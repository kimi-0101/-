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로직설명" sheetId="2" state="visible" r:id="rId4"/>
    <sheet name="RAW_판매펀칭" sheetId="3" state="visible" r:id="rId5"/>
    <sheet name="RAW_2026" sheetId="4" state="visible" r:id="rId6"/>
    <sheet name="RAW_발주" sheetId="5" state="visible" r:id="rId7"/>
  </sheets>
  <definedNames>
    <definedName function="false" hidden="false" localSheetId="0" name="_xlnm.Print_Area" vbProcedure="false">요약!$A$1:$N$66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<sst xmlns="http://schemas.openxmlformats.org/spreadsheetml/2006/main" count="18935" uniqueCount="1756">
  <si>
    <r>
      <rPr>
        <b val="true"/>
        <sz val="16"/>
        <color rgb="FF0F2142"/>
        <rFont val="Cambria"/>
        <family val="0"/>
        <charset val="1"/>
      </rPr>
      <t xml:space="preserve">2027 TNH </t>
    </r>
    <r>
      <rPr>
        <b val="true"/>
        <sz val="16"/>
        <color rgb="FF0F2142"/>
        <rFont val="WenQuanYi Zen Hei"/>
        <family val="2"/>
      </rPr>
      <t xml:space="preserve">사업계획 — 요약</t>
    </r>
  </si>
  <si>
    <r>
      <rPr>
        <i val="true"/>
        <sz val="9"/>
        <color rgb="FF595959"/>
        <rFont val="WenQuanYi Zen Hei"/>
        <family val="2"/>
      </rPr>
      <t xml:space="preserve">노란 칸 </t>
    </r>
    <r>
      <rPr>
        <i val="true"/>
        <sz val="9"/>
        <color rgb="FF595959"/>
        <rFont val="Cambria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입력</t>
    </r>
    <r>
      <rPr>
        <i val="true"/>
        <sz val="9"/>
        <color rgb="FF595959"/>
        <rFont val="Cambria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나머지는 수식</t>
    </r>
    <r>
      <rPr>
        <i val="true"/>
        <sz val="9"/>
        <color rgb="FF595959"/>
        <rFont val="Cambria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단위</t>
    </r>
    <r>
      <rPr>
        <i val="true"/>
        <sz val="9"/>
        <color rgb="FF595959"/>
        <rFont val="Cambria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억원</t>
    </r>
    <r>
      <rPr>
        <i val="true"/>
        <sz val="9"/>
        <color rgb="FF595959"/>
        <rFont val="Cambria"/>
        <family val="0"/>
        <charset val="1"/>
      </rPr>
      <t xml:space="preserve">.</t>
    </r>
  </si>
  <si>
    <r>
      <rPr>
        <b val="true"/>
        <sz val="12"/>
        <color rgb="FF1F3A68"/>
        <rFont val="Cambria"/>
        <family val="0"/>
        <charset val="1"/>
      </rPr>
      <t xml:space="preserve">① 2026 </t>
    </r>
    <r>
      <rPr>
        <b val="true"/>
        <sz val="12"/>
        <color rgb="FF1F3A68"/>
        <rFont val="WenQuanYi Zen Hei"/>
        <family val="2"/>
      </rPr>
      <t xml:space="preserve">예상매출</t>
    </r>
  </si>
  <si>
    <t xml:space="preserve">구분</t>
  </si>
  <si>
    <r>
      <rPr>
        <b val="true"/>
        <sz val="10"/>
        <color rgb="FFFFFFFF"/>
        <rFont val="WenQuanYi Zen Hei"/>
        <family val="2"/>
      </rPr>
      <t xml:space="preserve">현재까지 매출 </t>
    </r>
    <r>
      <rPr>
        <b val="true"/>
        <sz val="10"/>
        <color rgb="FFFFFFFF"/>
        <rFont val="Cambria"/>
        <family val="0"/>
        <charset val="1"/>
      </rPr>
      <t xml:space="preserve">(1/1~10/22)</t>
    </r>
  </si>
  <si>
    <t xml:space="preserve">잔여기간 예상</t>
  </si>
  <si>
    <t xml:space="preserve">최종 예상매출</t>
  </si>
  <si>
    <t xml:space="preserve">현재까지 이익</t>
  </si>
  <si>
    <t xml:space="preserve">잔여기간 이익</t>
  </si>
  <si>
    <t xml:space="preserve">최종 예상 이익</t>
  </si>
  <si>
    <t xml:space="preserve">이익률</t>
  </si>
  <si>
    <t xml:space="preserve">홍콩</t>
  </si>
  <si>
    <t xml:space="preserve">중국</t>
  </si>
  <si>
    <t xml:space="preserve">대만</t>
  </si>
  <si>
    <t xml:space="preserve">홀세일</t>
  </si>
  <si>
    <r>
      <rPr>
        <b val="true"/>
        <sz val="10"/>
        <rFont val="Cambria"/>
        <family val="0"/>
        <charset val="1"/>
      </rPr>
      <t xml:space="preserve">TNH </t>
    </r>
    <r>
      <rPr>
        <b val="true"/>
        <sz val="10"/>
        <rFont val="WenQuanYi Zen Hei"/>
        <family val="2"/>
      </rPr>
      <t xml:space="preserve">합계</t>
    </r>
  </si>
  <si>
    <r>
      <rPr>
        <i val="true"/>
        <sz val="9"/>
        <color rgb="FF595959"/>
        <rFont val="WenQuanYi Zen Hei"/>
        <family val="2"/>
      </rPr>
      <t xml:space="preserve">※ 현재까지 </t>
    </r>
    <r>
      <rPr>
        <i val="true"/>
        <sz val="9"/>
        <color rgb="FF595959"/>
        <rFont val="Cambria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판매펀칭 출고 </t>
    </r>
    <r>
      <rPr>
        <i val="true"/>
        <sz val="9"/>
        <color rgb="FF595959"/>
        <rFont val="Cambria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잔여 </t>
    </r>
    <r>
      <rPr>
        <i val="true"/>
        <sz val="9"/>
        <color rgb="FF595959"/>
        <rFont val="Cambria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수주 − 출고 </t>
    </r>
    <r>
      <rPr>
        <i val="true"/>
        <sz val="9"/>
        <color rgb="FF595959"/>
        <rFont val="Cambria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태국</t>
    </r>
    <r>
      <rPr>
        <i val="true"/>
        <sz val="9"/>
        <color rgb="FF595959"/>
        <rFont val="Cambria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인도네시아</t>
    </r>
    <r>
      <rPr>
        <i val="true"/>
        <sz val="9"/>
        <color rgb="FF595959"/>
        <rFont val="Cambria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디즈니크루즈는 </t>
    </r>
    <r>
      <rPr>
        <i val="true"/>
        <sz val="9"/>
        <color rgb="FF595959"/>
        <rFont val="Cambria"/>
        <family val="0"/>
        <charset val="1"/>
      </rPr>
      <t xml:space="preserve">26FW </t>
    </r>
    <r>
      <rPr>
        <i val="true"/>
        <sz val="9"/>
        <color rgb="FF595959"/>
        <rFont val="WenQuanYi Zen Hei"/>
        <family val="2"/>
      </rPr>
      <t xml:space="preserve">진척률 </t>
    </r>
    <r>
      <rPr>
        <i val="true"/>
        <sz val="9"/>
        <color rgb="FF595959"/>
        <rFont val="Cambria"/>
        <family val="0"/>
        <charset val="1"/>
      </rPr>
      <t xml:space="preserve">0%</t>
    </r>
    <r>
      <rPr>
        <i val="true"/>
        <sz val="9"/>
        <color rgb="FF595959"/>
        <rFont val="WenQuanYi Zen Hei"/>
        <family val="2"/>
      </rPr>
      <t xml:space="preserve">로 제외</t>
    </r>
    <r>
      <rPr>
        <i val="true"/>
        <sz val="9"/>
        <color rgb="FF595959"/>
        <rFont val="Cambria"/>
        <family val="0"/>
        <charset val="1"/>
      </rPr>
      <t xml:space="preserve">)</t>
    </r>
  </si>
  <si>
    <r>
      <rPr>
        <b val="true"/>
        <sz val="12"/>
        <color rgb="FF1F3A68"/>
        <rFont val="Cambria"/>
        <family val="0"/>
        <charset val="1"/>
      </rPr>
      <t xml:space="preserve">② 2027 </t>
    </r>
    <r>
      <rPr>
        <b val="true"/>
        <sz val="12"/>
        <color rgb="FF1F3A68"/>
        <rFont val="WenQuanYi Zen Hei"/>
        <family val="2"/>
      </rPr>
      <t xml:space="preserve">계획</t>
    </r>
  </si>
  <si>
    <t xml:space="preserve">법인 매출목표</t>
  </si>
  <si>
    <t xml:space="preserve">정판율</t>
  </si>
  <si>
    <t xml:space="preserve">할인율</t>
  </si>
  <si>
    <r>
      <rPr>
        <b val="true"/>
        <sz val="10"/>
        <color rgb="FFFFFFFF"/>
        <rFont val="WenQuanYi Zen Hei"/>
        <family val="2"/>
      </rPr>
      <t xml:space="preserve">법인 판매배수 </t>
    </r>
    <r>
      <rPr>
        <b val="true"/>
        <sz val="10"/>
        <color rgb="FFFFFFFF"/>
        <rFont val="Cambria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법인택가</t>
    </r>
    <r>
      <rPr>
        <b val="true"/>
        <sz val="10"/>
        <color rgb="FFFFFFFF"/>
        <rFont val="Cambria"/>
        <family val="0"/>
        <charset val="1"/>
      </rPr>
      <t xml:space="preserve">÷TNH </t>
    </r>
    <r>
      <rPr>
        <b val="true"/>
        <sz val="10"/>
        <color rgb="FFFFFFFF"/>
        <rFont val="WenQuanYi Zen Hei"/>
        <family val="2"/>
      </rPr>
      <t xml:space="preserve">공급가</t>
    </r>
    <r>
      <rPr>
        <b val="true"/>
        <sz val="10"/>
        <color rgb="FFFFFFFF"/>
        <rFont val="Cambria"/>
        <family val="0"/>
        <charset val="1"/>
      </rPr>
      <t xml:space="preserve">) ★</t>
    </r>
    <r>
      <rPr>
        <b val="true"/>
        <sz val="10"/>
        <color rgb="FFFFFFFF"/>
        <rFont val="WenQuanYi Zen Hei"/>
        <family val="2"/>
      </rPr>
      <t xml:space="preserve">입력</t>
    </r>
  </si>
  <si>
    <t xml:space="preserve">법인 입고 택가</t>
  </si>
  <si>
    <r>
      <rPr>
        <b val="true"/>
        <sz val="10"/>
        <color rgb="FFFFFFFF"/>
        <rFont val="Cambria"/>
        <family val="0"/>
        <charset val="1"/>
      </rPr>
      <t xml:space="preserve">2027 TNH </t>
    </r>
    <r>
      <rPr>
        <b val="true"/>
        <sz val="10"/>
        <color rgb="FFFFFFFF"/>
        <rFont val="WenQuanYi Zen Hei"/>
        <family val="2"/>
      </rPr>
      <t xml:space="preserve">매출 </t>
    </r>
    <r>
      <rPr>
        <b val="true"/>
        <sz val="10"/>
        <color rgb="FFFFFFFF"/>
        <rFont val="Cambria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원화</t>
    </r>
    <r>
      <rPr>
        <b val="true"/>
        <sz val="10"/>
        <color rgb="FFFFFFFF"/>
        <rFont val="Cambria"/>
        <family val="0"/>
        <charset val="1"/>
      </rPr>
      <t xml:space="preserve">)</t>
    </r>
  </si>
  <si>
    <r>
      <rPr>
        <b val="true"/>
        <sz val="10"/>
        <color rgb="FFFFFFFF"/>
        <rFont val="Cambria"/>
        <family val="0"/>
        <charset val="1"/>
      </rPr>
      <t xml:space="preserve">2027 TNH </t>
    </r>
    <r>
      <rPr>
        <b val="true"/>
        <sz val="10"/>
        <color rgb="FFFFFFFF"/>
        <rFont val="WenQuanYi Zen Hei"/>
        <family val="2"/>
      </rPr>
      <t xml:space="preserve">이익</t>
    </r>
  </si>
  <si>
    <r>
      <rPr>
        <b val="true"/>
        <sz val="10"/>
        <color rgb="FFFFFFFF"/>
        <rFont val="WenQuanYi Zen Hei"/>
        <family val="2"/>
      </rPr>
      <t xml:space="preserve">공급율 </t>
    </r>
    <r>
      <rPr>
        <b val="true"/>
        <sz val="10"/>
        <color rgb="FFFFFFFF"/>
        <rFont val="Cambria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한국택가 대비</t>
    </r>
    <r>
      <rPr>
        <b val="true"/>
        <sz val="10"/>
        <color rgb="FFFFFFFF"/>
        <rFont val="Cambria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원가 환산용</t>
    </r>
    <r>
      <rPr>
        <b val="true"/>
        <sz val="10"/>
        <color rgb="FFFFFFFF"/>
        <rFont val="Cambria"/>
        <family val="0"/>
        <charset val="1"/>
      </rPr>
      <t xml:space="preserve">)</t>
    </r>
  </si>
  <si>
    <t xml:space="preserve">법인 소계</t>
  </si>
  <si>
    <r>
      <rPr>
        <b val="true"/>
        <sz val="10"/>
        <rFont val="WenQuanYi Zen Hei"/>
        <family val="2"/>
      </rPr>
      <t xml:space="preserve">홀세일 </t>
    </r>
    <r>
      <rPr>
        <b val="true"/>
        <sz val="10"/>
        <rFont val="Cambria"/>
        <family val="0"/>
        <charset val="1"/>
      </rPr>
      <t xml:space="preserve">(TNH </t>
    </r>
    <r>
      <rPr>
        <b val="true"/>
        <sz val="10"/>
        <rFont val="WenQuanYi Zen Hei"/>
        <family val="2"/>
      </rPr>
      <t xml:space="preserve">매출 입력</t>
    </r>
    <r>
      <rPr>
        <b val="true"/>
        <sz val="10"/>
        <rFont val="Cambria"/>
        <family val="0"/>
        <charset val="1"/>
      </rPr>
      <t xml:space="preserve">)</t>
    </r>
  </si>
  <si>
    <t xml:space="preserve">-</t>
  </si>
  <si>
    <r>
      <rPr>
        <i val="true"/>
        <sz val="9"/>
        <color rgb="FF595959"/>
        <rFont val="Cambria"/>
        <family val="0"/>
        <charset val="1"/>
      </rPr>
      <t xml:space="preserve">※ 2027 TNH </t>
    </r>
    <r>
      <rPr>
        <i val="true"/>
        <sz val="9"/>
        <color rgb="FF595959"/>
        <rFont val="WenQuanYi Zen Hei"/>
        <family val="2"/>
      </rPr>
      <t xml:space="preserve">매출 </t>
    </r>
    <r>
      <rPr>
        <i val="true"/>
        <sz val="9"/>
        <color rgb="FF595959"/>
        <rFont val="Cambria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법인 입고 택가 </t>
    </r>
    <r>
      <rPr>
        <i val="true"/>
        <sz val="9"/>
        <color rgb="FF595959"/>
        <rFont val="Cambria"/>
        <family val="0"/>
        <charset val="1"/>
      </rPr>
      <t xml:space="preserve">÷ </t>
    </r>
    <r>
      <rPr>
        <i val="true"/>
        <sz val="9"/>
        <color rgb="FF595959"/>
        <rFont val="WenQuanYi Zen Hei"/>
        <family val="2"/>
      </rPr>
      <t xml:space="preserve">법인 판매배수 </t>
    </r>
    <r>
      <rPr>
        <i val="true"/>
        <sz val="9"/>
        <color rgb="FF595959"/>
        <rFont val="Cambria"/>
        <family val="0"/>
        <charset val="1"/>
      </rPr>
      <t xml:space="preserve">× (2027 </t>
    </r>
    <r>
      <rPr>
        <i val="true"/>
        <sz val="9"/>
        <color rgb="FF595959"/>
        <rFont val="WenQuanYi Zen Hei"/>
        <family val="2"/>
      </rPr>
      <t xml:space="preserve">적용 환율 </t>
    </r>
    <r>
      <rPr>
        <i val="true"/>
        <sz val="9"/>
        <color rgb="FF595959"/>
        <rFont val="Cambria"/>
        <family val="0"/>
        <charset val="1"/>
      </rPr>
      <t xml:space="preserve">÷ 2026 </t>
    </r>
    <r>
      <rPr>
        <i val="true"/>
        <sz val="9"/>
        <color rgb="FF595959"/>
        <rFont val="WenQuanYi Zen Hei"/>
        <family val="2"/>
      </rPr>
      <t xml:space="preserve">적용 환율</t>
    </r>
    <r>
      <rPr>
        <i val="true"/>
        <sz val="9"/>
        <color rgb="FF595959"/>
        <rFont val="Cambria"/>
        <family val="0"/>
        <charset val="1"/>
      </rPr>
      <t xml:space="preserve">),  </t>
    </r>
    <r>
      <rPr>
        <i val="true"/>
        <sz val="9"/>
        <color rgb="FF595959"/>
        <rFont val="WenQuanYi Zen Hei"/>
        <family val="2"/>
      </rPr>
      <t xml:space="preserve">법인 입고 택가 </t>
    </r>
    <r>
      <rPr>
        <i val="true"/>
        <sz val="9"/>
        <color rgb="FF595959"/>
        <rFont val="Cambria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목표 </t>
    </r>
    <r>
      <rPr>
        <i val="true"/>
        <sz val="9"/>
        <color rgb="FF595959"/>
        <rFont val="Cambria"/>
        <family val="0"/>
        <charset val="1"/>
      </rPr>
      <t xml:space="preserve">× </t>
    </r>
    <r>
      <rPr>
        <i val="true"/>
        <sz val="9"/>
        <color rgb="FF595959"/>
        <rFont val="WenQuanYi Zen Hei"/>
        <family val="2"/>
      </rPr>
      <t xml:space="preserve">정상비중 </t>
    </r>
    <r>
      <rPr>
        <i val="true"/>
        <sz val="9"/>
        <color rgb="FF595959"/>
        <rFont val="Cambria"/>
        <family val="0"/>
        <charset val="1"/>
      </rPr>
      <t xml:space="preserve">÷ (1−</t>
    </r>
    <r>
      <rPr>
        <i val="true"/>
        <sz val="9"/>
        <color rgb="FF595959"/>
        <rFont val="WenQuanYi Zen Hei"/>
        <family val="2"/>
      </rPr>
      <t xml:space="preserve">할인율</t>
    </r>
    <r>
      <rPr>
        <i val="true"/>
        <sz val="9"/>
        <color rgb="FF595959"/>
        <rFont val="Cambria"/>
        <family val="0"/>
        <charset val="1"/>
      </rPr>
      <t xml:space="preserve">) ÷ </t>
    </r>
    <r>
      <rPr>
        <i val="true"/>
        <sz val="9"/>
        <color rgb="FF595959"/>
        <rFont val="WenQuanYi Zen Hei"/>
        <family val="2"/>
      </rPr>
      <t xml:space="preserve">정판율</t>
    </r>
    <r>
      <rPr>
        <i val="true"/>
        <sz val="9"/>
        <color rgb="FF595959"/>
        <rFont val="Cambria"/>
        <family val="0"/>
        <charset val="1"/>
      </rPr>
      <t xml:space="preserve">.  </t>
    </r>
    <r>
      <rPr>
        <i val="true"/>
        <sz val="9"/>
        <color rgb="FF595959"/>
        <rFont val="WenQuanYi Zen Hei"/>
        <family val="2"/>
      </rPr>
      <t xml:space="preserve">원가 </t>
    </r>
    <r>
      <rPr>
        <i val="true"/>
        <sz val="9"/>
        <color rgb="FF595959"/>
        <rFont val="Cambria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공급가 </t>
    </r>
    <r>
      <rPr>
        <i val="true"/>
        <sz val="9"/>
        <color rgb="FF595959"/>
        <rFont val="Cambria"/>
        <family val="0"/>
        <charset val="1"/>
      </rPr>
      <t xml:space="preserve">÷ </t>
    </r>
    <r>
      <rPr>
        <i val="true"/>
        <sz val="9"/>
        <color rgb="FF595959"/>
        <rFont val="WenQuanYi Zen Hei"/>
        <family val="2"/>
      </rPr>
      <t xml:space="preserve">공급율 </t>
    </r>
    <r>
      <rPr>
        <i val="true"/>
        <sz val="9"/>
        <color rgb="FF595959"/>
        <rFont val="Cambria"/>
        <family val="0"/>
        <charset val="1"/>
      </rPr>
      <t xml:space="preserve">÷ </t>
    </r>
    <r>
      <rPr>
        <i val="true"/>
        <sz val="9"/>
        <color rgb="FF595959"/>
        <rFont val="WenQuanYi Zen Hei"/>
        <family val="2"/>
      </rPr>
      <t xml:space="preserve">택가배수</t>
    </r>
  </si>
  <si>
    <t xml:space="preserve">③ 공통 가정</t>
  </si>
  <si>
    <t xml:space="preserve">이월제품 비중</t>
  </si>
  <si>
    <r>
      <rPr>
        <b val="true"/>
        <sz val="10"/>
        <color rgb="FFFFFFFF"/>
        <rFont val="WenQuanYi Zen Hei"/>
        <family val="2"/>
      </rPr>
      <t xml:space="preserve">정상제품 비중 </t>
    </r>
    <r>
      <rPr>
        <b val="true"/>
        <sz val="10"/>
        <color rgb="FFFFFFFF"/>
        <rFont val="Cambria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자동</t>
    </r>
    <r>
      <rPr>
        <b val="true"/>
        <sz val="10"/>
        <color rgb="FFFFFFFF"/>
        <rFont val="Cambria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</si>
  <si>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공급율 </t>
    </r>
    <r>
      <rPr>
        <b val="true"/>
        <sz val="10"/>
        <color rgb="FFFFFFFF"/>
        <rFont val="Cambria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홍콩</t>
    </r>
    <r>
      <rPr>
        <b val="true"/>
        <sz val="10"/>
        <color rgb="FFFFFFFF"/>
        <rFont val="Cambria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대만</t>
    </r>
    <r>
      <rPr>
        <b val="true"/>
        <sz val="10"/>
        <color rgb="FFFFFFFF"/>
        <rFont val="Cambria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홀세일</t>
    </r>
    <r>
      <rPr>
        <b val="true"/>
        <sz val="10"/>
        <color rgb="FFFFFFFF"/>
        <rFont val="Cambria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한국택가 대비</t>
    </r>
    <r>
      <rPr>
        <b val="true"/>
        <sz val="10"/>
        <color rgb="FFFFFFFF"/>
        <rFont val="Cambria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</si>
  <si>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중국 공급 마진 </t>
    </r>
    <r>
      <rPr>
        <b val="true"/>
        <sz val="10"/>
        <color rgb="FFFFFFFF"/>
        <rFont val="Cambria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한국원가 </t>
    </r>
    <r>
      <rPr>
        <b val="true"/>
        <sz val="10"/>
        <color rgb="FFFFFFFF"/>
        <rFont val="Cambria"/>
        <family val="0"/>
        <charset val="1"/>
      </rPr>
      <t xml:space="preserve">+)</t>
    </r>
  </si>
  <si>
    <r>
      <rPr>
        <b val="true"/>
        <sz val="10"/>
        <color rgb="FFFFFFFF"/>
        <rFont val="WenQuanYi Zen Hei"/>
        <family val="2"/>
      </rPr>
      <t xml:space="preserve">택가배수 </t>
    </r>
    <r>
      <rPr>
        <b val="true"/>
        <sz val="10"/>
        <color rgb="FFFFFFFF"/>
        <rFont val="Cambria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한국택가</t>
    </r>
    <r>
      <rPr>
        <b val="true"/>
        <sz val="10"/>
        <color rgb="FFFFFFFF"/>
        <rFont val="Cambria"/>
        <family val="0"/>
        <charset val="1"/>
      </rPr>
      <t xml:space="preserve">÷</t>
    </r>
    <r>
      <rPr>
        <b val="true"/>
        <sz val="10"/>
        <color rgb="FFFFFFFF"/>
        <rFont val="WenQuanYi Zen Hei"/>
        <family val="2"/>
      </rPr>
      <t xml:space="preserve">원가</t>
    </r>
    <r>
      <rPr>
        <b val="true"/>
        <sz val="10"/>
        <color rgb="FFFFFFFF"/>
        <rFont val="Cambria"/>
        <family val="0"/>
        <charset val="1"/>
      </rPr>
      <t xml:space="preserve">)</t>
    </r>
  </si>
  <si>
    <r>
      <rPr>
        <b val="true"/>
        <sz val="10"/>
        <color rgb="FFFFFFFF"/>
        <rFont val="Cambria"/>
        <family val="0"/>
        <charset val="1"/>
      </rPr>
      <t xml:space="preserve">2026 </t>
    </r>
    <r>
      <rPr>
        <b val="true"/>
        <sz val="10"/>
        <color rgb="FFFFFFFF"/>
        <rFont val="WenQuanYi Zen Hei"/>
        <family val="2"/>
      </rPr>
      <t xml:space="preserve">잔여기간 적용 환율 </t>
    </r>
    <r>
      <rPr>
        <b val="true"/>
        <sz val="10"/>
        <color rgb="FFFFFFFF"/>
        <rFont val="Cambria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달러 환산 기준</t>
    </r>
    <r>
      <rPr>
        <b val="true"/>
        <sz val="10"/>
        <color rgb="FFFFFFFF"/>
        <rFont val="Cambria"/>
        <family val="0"/>
        <charset val="1"/>
      </rPr>
      <t xml:space="preserve">)</t>
    </r>
  </si>
  <si>
    <r>
      <rPr>
        <b val="true"/>
        <sz val="10"/>
        <color rgb="FFFFFFFF"/>
        <rFont val="Cambria"/>
        <family val="0"/>
        <charset val="1"/>
      </rPr>
      <t xml:space="preserve">2027 </t>
    </r>
    <r>
      <rPr>
        <b val="true"/>
        <sz val="10"/>
        <color rgb="FFFFFFFF"/>
        <rFont val="WenQuanYi Zen Hei"/>
        <family val="2"/>
      </rPr>
      <t xml:space="preserve">적용 환율</t>
    </r>
  </si>
  <si>
    <t xml:space="preserve">입력값</t>
  </si>
  <si>
    <r>
      <rPr>
        <b val="true"/>
        <sz val="12"/>
        <color rgb="FF1F3A68"/>
        <rFont val="Cambria"/>
        <family val="0"/>
        <charset val="1"/>
      </rPr>
      <t xml:space="preserve">④ 2026 </t>
    </r>
    <r>
      <rPr>
        <b val="true"/>
        <sz val="12"/>
        <color rgb="FF1F3A68"/>
        <rFont val="WenQuanYi Zen Hei"/>
        <family val="2"/>
      </rPr>
      <t xml:space="preserve">예상 </t>
    </r>
    <r>
      <rPr>
        <b val="true"/>
        <sz val="12"/>
        <color rgb="FF1F3A68"/>
        <rFont val="Cambria"/>
        <family val="0"/>
        <charset val="1"/>
      </rPr>
      <t xml:space="preserve">vs 2027 </t>
    </r>
    <r>
      <rPr>
        <b val="true"/>
        <sz val="12"/>
        <color rgb="FF1F3A68"/>
        <rFont val="WenQuanYi Zen Hei"/>
        <family val="2"/>
      </rPr>
      <t xml:space="preserve">계획 </t>
    </r>
    <r>
      <rPr>
        <b val="true"/>
        <sz val="12"/>
        <color rgb="FF1F3A68"/>
        <rFont val="Cambria"/>
        <family val="0"/>
        <charset val="1"/>
      </rPr>
      <t xml:space="preserve">(TNH </t>
    </r>
    <r>
      <rPr>
        <b val="true"/>
        <sz val="12"/>
        <color rgb="FF1F3A68"/>
        <rFont val="WenQuanYi Zen Hei"/>
        <family val="2"/>
      </rPr>
      <t xml:space="preserve">매출</t>
    </r>
    <r>
      <rPr>
        <b val="true"/>
        <sz val="12"/>
        <color rgb="FF1F3A68"/>
        <rFont val="Cambria"/>
        <family val="0"/>
        <charset val="1"/>
      </rPr>
      <t xml:space="preserve">·</t>
    </r>
    <r>
      <rPr>
        <b val="true"/>
        <sz val="12"/>
        <color rgb="FF1F3A68"/>
        <rFont val="WenQuanYi Zen Hei"/>
        <family val="2"/>
      </rPr>
      <t xml:space="preserve">이익</t>
    </r>
    <r>
      <rPr>
        <b val="true"/>
        <sz val="12"/>
        <color rgb="FF1F3A68"/>
        <rFont val="Cambria"/>
        <family val="0"/>
        <charset val="1"/>
      </rPr>
      <t xml:space="preserve">)</t>
    </r>
  </si>
  <si>
    <r>
      <rPr>
        <b val="true"/>
        <sz val="10"/>
        <color rgb="FFFFFFFF"/>
        <rFont val="Cambria"/>
        <family val="0"/>
        <charset val="1"/>
      </rPr>
      <t xml:space="preserve">2026 </t>
    </r>
    <r>
      <rPr>
        <b val="true"/>
        <sz val="10"/>
        <color rgb="FFFFFFFF"/>
        <rFont val="WenQuanYi Zen Hei"/>
        <family val="2"/>
      </rPr>
      <t xml:space="preserve">예상</t>
    </r>
  </si>
  <si>
    <r>
      <rPr>
        <b val="true"/>
        <sz val="10"/>
        <color rgb="FFFFFFFF"/>
        <rFont val="Cambria"/>
        <family val="0"/>
        <charset val="1"/>
      </rPr>
      <t xml:space="preserve">2027 </t>
    </r>
    <r>
      <rPr>
        <b val="true"/>
        <sz val="10"/>
        <color rgb="FFFFFFFF"/>
        <rFont val="WenQuanYi Zen Hei"/>
        <family val="2"/>
      </rPr>
      <t xml:space="preserve">계획</t>
    </r>
  </si>
  <si>
    <t xml:space="preserve">증감</t>
  </si>
  <si>
    <t xml:space="preserve">증감률</t>
  </si>
  <si>
    <r>
      <rPr>
        <b val="true"/>
        <sz val="10"/>
        <color rgb="FFFFFFFF"/>
        <rFont val="Cambria"/>
        <family val="0"/>
        <charset val="1"/>
      </rPr>
      <t xml:space="preserve">2026 </t>
    </r>
    <r>
      <rPr>
        <b val="true"/>
        <sz val="10"/>
        <color rgb="FFFFFFFF"/>
        <rFont val="WenQuanYi Zen Hei"/>
        <family val="2"/>
      </rPr>
      <t xml:space="preserve">이익</t>
    </r>
  </si>
  <si>
    <r>
      <rPr>
        <b val="true"/>
        <sz val="10"/>
        <color rgb="FFFFFFFF"/>
        <rFont val="Cambria"/>
        <family val="0"/>
        <charset val="1"/>
      </rPr>
      <t xml:space="preserve">2027 </t>
    </r>
    <r>
      <rPr>
        <b val="true"/>
        <sz val="10"/>
        <color rgb="FFFFFFFF"/>
        <rFont val="WenQuanYi Zen Hei"/>
        <family val="2"/>
      </rPr>
      <t xml:space="preserve">이익</t>
    </r>
  </si>
  <si>
    <r>
      <rPr>
        <b val="true"/>
        <sz val="10"/>
        <color rgb="FFFFFFFF"/>
        <rFont val="Cambria"/>
        <family val="0"/>
        <charset val="1"/>
      </rPr>
      <t xml:space="preserve">2026 </t>
    </r>
    <r>
      <rPr>
        <b val="true"/>
        <sz val="10"/>
        <color rgb="FFFFFFFF"/>
        <rFont val="WenQuanYi Zen Hei"/>
        <family val="2"/>
      </rPr>
      <t xml:space="preserve">이익률</t>
    </r>
  </si>
  <si>
    <r>
      <rPr>
        <b val="true"/>
        <sz val="10"/>
        <color rgb="FFFFFFFF"/>
        <rFont val="Cambria"/>
        <family val="0"/>
        <charset val="1"/>
      </rPr>
      <t xml:space="preserve">2027 </t>
    </r>
    <r>
      <rPr>
        <b val="true"/>
        <sz val="10"/>
        <color rgb="FFFFFFFF"/>
        <rFont val="WenQuanYi Zen Hei"/>
        <family val="2"/>
      </rPr>
      <t xml:space="preserve">이익률</t>
    </r>
  </si>
  <si>
    <r>
      <rPr>
        <b val="true"/>
        <sz val="12"/>
        <color rgb="FF1F3A68"/>
        <rFont val="Cambria"/>
        <family val="0"/>
        <charset val="1"/>
      </rPr>
      <t xml:space="preserve">⑤ 2027 </t>
    </r>
    <r>
      <rPr>
        <b val="true"/>
        <sz val="12"/>
        <color rgb="FF1F3A68"/>
        <rFont val="WenQuanYi Zen Hei"/>
        <family val="2"/>
      </rPr>
      <t xml:space="preserve">월별 비중 </t>
    </r>
    <r>
      <rPr>
        <b val="true"/>
        <sz val="12"/>
        <color rgb="FF1F3A68"/>
        <rFont val="Cambria"/>
        <family val="0"/>
        <charset val="1"/>
      </rPr>
      <t xml:space="preserve">(</t>
    </r>
    <r>
      <rPr>
        <b val="true"/>
        <sz val="12"/>
        <color rgb="FF1F3A68"/>
        <rFont val="WenQuanYi Zen Hei"/>
        <family val="2"/>
      </rPr>
      <t xml:space="preserve">입력</t>
    </r>
    <r>
      <rPr>
        <b val="true"/>
        <sz val="12"/>
        <color rgb="FF1F3A68"/>
        <rFont val="Cambria"/>
        <family val="0"/>
        <charset val="1"/>
      </rPr>
      <t xml:space="preserve">)</t>
    </r>
  </si>
  <si>
    <r>
      <rPr>
        <b val="true"/>
        <sz val="10"/>
        <color rgb="FFFFFFFF"/>
        <rFont val="Cambria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</si>
  <si>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</si>
  <si>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</si>
  <si>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</si>
  <si>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</si>
  <si>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</si>
  <si>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</si>
  <si>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</si>
  <si>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</si>
  <si>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</si>
  <si>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</si>
  <si>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월</t>
    </r>
  </si>
  <si>
    <t xml:space="preserve">합계</t>
  </si>
  <si>
    <r>
      <rPr>
        <b val="true"/>
        <sz val="12"/>
        <color rgb="FF1F3A68"/>
        <rFont val="Cambria"/>
        <family val="0"/>
        <charset val="1"/>
      </rPr>
      <t xml:space="preserve">⑥ 2027 </t>
    </r>
    <r>
      <rPr>
        <b val="true"/>
        <sz val="12"/>
        <color rgb="FF1F3A68"/>
        <rFont val="WenQuanYi Zen Hei"/>
        <family val="2"/>
      </rPr>
      <t xml:space="preserve">월별 </t>
    </r>
    <r>
      <rPr>
        <b val="true"/>
        <sz val="12"/>
        <color rgb="FF1F3A68"/>
        <rFont val="Cambria"/>
        <family val="0"/>
        <charset val="1"/>
      </rPr>
      <t xml:space="preserve">TNH </t>
    </r>
    <r>
      <rPr>
        <b val="true"/>
        <sz val="12"/>
        <color rgb="FF1F3A68"/>
        <rFont val="WenQuanYi Zen Hei"/>
        <family val="2"/>
      </rPr>
      <t xml:space="preserve">매출</t>
    </r>
  </si>
  <si>
    <r>
      <rPr>
        <b val="true"/>
        <sz val="14"/>
        <color rgb="FF162D54"/>
        <rFont val="Cambria"/>
        <family val="0"/>
        <charset val="1"/>
      </rPr>
      <t xml:space="preserve">2027 TNH </t>
    </r>
    <r>
      <rPr>
        <b val="true"/>
        <sz val="14"/>
        <color rgb="FF162D54"/>
        <rFont val="WenQuanYi Zen Hei"/>
        <family val="2"/>
      </rPr>
      <t xml:space="preserve">사업계획 — 계산 로직</t>
    </r>
  </si>
  <si>
    <r>
      <rPr>
        <b val="true"/>
        <sz val="11"/>
        <color rgb="FF162D54"/>
        <rFont val="Cambria"/>
        <family val="0"/>
        <charset val="1"/>
      </rPr>
      <t xml:space="preserve">1. 2026 </t>
    </r>
    <r>
      <rPr>
        <b val="true"/>
        <sz val="11"/>
        <color rgb="FF162D54"/>
        <rFont val="WenQuanYi Zen Hei"/>
        <family val="2"/>
      </rPr>
      <t xml:space="preserve">예상매출</t>
    </r>
  </si>
  <si>
    <r>
      <rPr>
        <sz val="11"/>
        <color rgb="FF000000"/>
        <rFont val="WenQuanYi Zen Hei"/>
        <family val="2"/>
      </rPr>
      <t xml:space="preserve">현재까지 매출 </t>
    </r>
    <r>
      <rPr>
        <sz val="11"/>
        <color rgb="FF000000"/>
        <rFont val="Cambria"/>
        <family val="0"/>
        <charset val="1"/>
      </rPr>
      <t xml:space="preserve">= RAW_</t>
    </r>
    <r>
      <rPr>
        <sz val="11"/>
        <color rgb="FF000000"/>
        <rFont val="WenQuanYi Zen Hei"/>
        <family val="2"/>
      </rPr>
      <t xml:space="preserve">판매펀칭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본사판매</t>
    </r>
    <r>
      <rPr>
        <sz val="11"/>
        <color rgb="FF000000"/>
        <rFont val="Cambria"/>
        <family val="0"/>
        <charset val="1"/>
      </rPr>
      <t xml:space="preserve">, TNH→</t>
    </r>
    <r>
      <rPr>
        <sz val="11"/>
        <color rgb="FF000000"/>
        <rFont val="WenQuanYi Zen Hei"/>
        <family val="2"/>
      </rPr>
      <t xml:space="preserve">법인</t>
    </r>
    <r>
      <rPr>
        <sz val="11"/>
        <color rgb="FF000000"/>
        <rFont val="Cambria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홀세일</t>
    </r>
    <r>
      <rPr>
        <sz val="11"/>
        <color rgb="FF000000"/>
        <rFont val="Cambria"/>
        <family val="0"/>
        <charset val="1"/>
      </rPr>
      <t xml:space="preserve">, 1/1~10/22) </t>
    </r>
    <r>
      <rPr>
        <sz val="11"/>
        <color rgb="FF000000"/>
        <rFont val="WenQuanYi Zen Hei"/>
        <family val="2"/>
      </rPr>
      <t xml:space="preserve">판매금액 합계</t>
    </r>
    <r>
      <rPr>
        <sz val="11"/>
        <color rgb="FF000000"/>
        <rFont val="Cambria"/>
        <family val="0"/>
        <charset val="1"/>
      </rPr>
      <t xml:space="preserve">. </t>
    </r>
    <r>
      <rPr>
        <sz val="11"/>
        <color rgb="FF000000"/>
        <rFont val="WenQuanYi Zen Hei"/>
        <family val="2"/>
      </rPr>
      <t xml:space="preserve">홍콩법인</t>
    </r>
    <r>
      <rPr>
        <sz val="11"/>
        <color rgb="FF000000"/>
        <rFont val="Cambria"/>
        <family val="0"/>
        <charset val="1"/>
      </rPr>
      <t xml:space="preserve">=HK, </t>
    </r>
    <r>
      <rPr>
        <sz val="11"/>
        <color rgb="FF000000"/>
        <rFont val="WenQuanYi Zen Hei"/>
        <family val="2"/>
      </rPr>
      <t xml:space="preserve">상해법인</t>
    </r>
    <r>
      <rPr>
        <sz val="11"/>
        <color rgb="FF000000"/>
        <rFont val="Cambria"/>
        <family val="0"/>
        <charset val="1"/>
      </rPr>
      <t xml:space="preserve">=CN, W</t>
    </r>
    <r>
      <rPr>
        <sz val="11"/>
        <color rgb="FF000000"/>
        <rFont val="WenQuanYi Zen Hei"/>
        <family val="2"/>
      </rPr>
      <t xml:space="preserve">대만</t>
    </r>
    <r>
      <rPr>
        <sz val="11"/>
        <color rgb="FF000000"/>
        <rFont val="Cambria"/>
        <family val="0"/>
        <charset val="1"/>
      </rPr>
      <t xml:space="preserve">=TW, </t>
    </r>
    <r>
      <rPr>
        <sz val="11"/>
        <color rgb="FF000000"/>
        <rFont val="WenQuanYi Zen Hei"/>
        <family val="2"/>
      </rPr>
      <t xml:space="preserve">그 외</t>
    </r>
    <r>
      <rPr>
        <sz val="11"/>
        <color rgb="FF000000"/>
        <rFont val="Cambria"/>
        <family val="0"/>
        <charset val="1"/>
      </rPr>
      <t xml:space="preserve">=</t>
    </r>
    <r>
      <rPr>
        <sz val="11"/>
        <color rgb="FF000000"/>
        <rFont val="WenQuanYi Zen Hei"/>
        <family val="2"/>
      </rPr>
      <t xml:space="preserve">홀세일</t>
    </r>
    <r>
      <rPr>
        <sz val="11"/>
        <color rgb="FF000000"/>
        <rFont val="Cambria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소계행 제외</t>
    </r>
  </si>
  <si>
    <r>
      <rPr>
        <sz val="11"/>
        <color rgb="FF000000"/>
        <rFont val="WenQuanYi Zen Hei"/>
        <family val="2"/>
      </rPr>
      <t xml:space="preserve">잔여기간 예상 </t>
    </r>
    <r>
      <rPr>
        <sz val="11"/>
        <color rgb="FF000000"/>
        <rFont val="Cambria"/>
        <family val="0"/>
        <charset val="1"/>
      </rPr>
      <t xml:space="preserve">= </t>
    </r>
    <r>
      <rPr>
        <sz val="11"/>
        <color rgb="FF000000"/>
        <rFont val="WenQuanYi Zen Hei"/>
        <family val="2"/>
      </rPr>
      <t xml:space="preserve">수주</t>
    </r>
    <r>
      <rPr>
        <sz val="11"/>
        <color rgb="FF000000"/>
        <rFont val="Cambria"/>
        <family val="0"/>
        <charset val="1"/>
      </rPr>
      <t xml:space="preserve">(RAW_2026) − </t>
    </r>
    <r>
      <rPr>
        <sz val="11"/>
        <color rgb="FF000000"/>
        <rFont val="WenQuanYi Zen Hei"/>
        <family val="2"/>
      </rPr>
      <t xml:space="preserve">출고</t>
    </r>
    <r>
      <rPr>
        <sz val="11"/>
        <color rgb="FF000000"/>
        <rFont val="Cambria"/>
        <family val="0"/>
        <charset val="1"/>
      </rPr>
      <t xml:space="preserve">(RAW_</t>
    </r>
    <r>
      <rPr>
        <sz val="11"/>
        <color rgb="FF000000"/>
        <rFont val="WenQuanYi Zen Hei"/>
        <family val="2"/>
      </rPr>
      <t xml:space="preserve">판매펀칭</t>
    </r>
    <r>
      <rPr>
        <sz val="11"/>
        <color rgb="FF000000"/>
        <rFont val="Cambria"/>
        <family val="0"/>
        <charset val="1"/>
      </rPr>
      <t xml:space="preserve">). </t>
    </r>
    <r>
      <rPr>
        <sz val="11"/>
        <color rgb="FF000000"/>
        <rFont val="WenQuanYi Zen Hei"/>
        <family val="2"/>
      </rPr>
      <t xml:space="preserve">같은 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차수</t>
    </r>
    <r>
      <rPr>
        <sz val="11"/>
        <color rgb="FF000000"/>
        <rFont val="Cambria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스타일</t>
    </r>
    <r>
      <rPr>
        <sz val="11"/>
        <color rgb="FF000000"/>
        <rFont val="Cambria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의 출고수량을 수주수량에서 차감하고</t>
    </r>
    <r>
      <rPr>
        <sz val="11"/>
        <color rgb="FF000000"/>
        <rFont val="Cambria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출고가 더 많으면 </t>
    </r>
    <r>
      <rPr>
        <sz val="11"/>
        <color rgb="FF000000"/>
        <rFont val="Cambria"/>
        <family val="0"/>
        <charset val="1"/>
      </rPr>
      <t xml:space="preserve">0, </t>
    </r>
    <r>
      <rPr>
        <sz val="11"/>
        <color rgb="FF000000"/>
        <rFont val="WenQuanYi Zen Hei"/>
        <family val="2"/>
      </rPr>
      <t xml:space="preserve">수주 없는 출고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스팟</t>
    </r>
    <r>
      <rPr>
        <sz val="11"/>
        <color rgb="FF000000"/>
        <rFont val="Cambria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이월</t>
    </r>
    <r>
      <rPr>
        <sz val="11"/>
        <color rgb="FF000000"/>
        <rFont val="Cambria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는 차감하지 않음 → 남은 수량 </t>
    </r>
    <r>
      <rPr>
        <sz val="11"/>
        <color rgb="FF000000"/>
        <rFont val="Cambria"/>
        <family val="0"/>
        <charset val="1"/>
      </rPr>
      <t xml:space="preserve">× </t>
    </r>
    <r>
      <rPr>
        <sz val="11"/>
        <color rgb="FF000000"/>
        <rFont val="WenQuanYi Zen Hei"/>
        <family val="2"/>
      </rPr>
      <t xml:space="preserve">수주 공급단가</t>
    </r>
  </si>
  <si>
    <r>
      <rPr>
        <sz val="11"/>
        <color rgb="FF000000"/>
        <rFont val="WenQuanYi Zen Hei"/>
        <family val="2"/>
      </rPr>
      <t xml:space="preserve">태국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차수 </t>
    </r>
    <r>
      <rPr>
        <sz val="11"/>
        <color rgb="FF000000"/>
        <rFont val="Cambria"/>
        <family val="0"/>
        <charset val="1"/>
      </rPr>
      <t xml:space="preserve">500)·</t>
    </r>
    <r>
      <rPr>
        <sz val="11"/>
        <color rgb="FF000000"/>
        <rFont val="WenQuanYi Zen Hei"/>
        <family val="2"/>
      </rPr>
      <t xml:space="preserve">인도네시아</t>
    </r>
    <r>
      <rPr>
        <sz val="11"/>
        <color rgb="FF000000"/>
        <rFont val="Cambria"/>
        <family val="0"/>
        <charset val="1"/>
      </rPr>
      <t xml:space="preserve">(800)·</t>
    </r>
    <r>
      <rPr>
        <sz val="11"/>
        <color rgb="FF000000"/>
        <rFont val="WenQuanYi Zen Hei"/>
        <family val="2"/>
      </rPr>
      <t xml:space="preserve">디즈니크루즈</t>
    </r>
    <r>
      <rPr>
        <sz val="11"/>
        <color rgb="FF000000"/>
        <rFont val="Cambria"/>
        <family val="0"/>
        <charset val="1"/>
      </rPr>
      <t xml:space="preserve">(810)</t>
    </r>
    <r>
      <rPr>
        <sz val="11"/>
        <color rgb="FF000000"/>
        <rFont val="WenQuanYi Zen Hei"/>
        <family val="2"/>
      </rPr>
      <t xml:space="preserve">는 </t>
    </r>
    <r>
      <rPr>
        <sz val="11"/>
        <color rgb="FF000000"/>
        <rFont val="Cambria"/>
        <family val="0"/>
        <charset val="1"/>
      </rPr>
      <t xml:space="preserve">26FW </t>
    </r>
    <r>
      <rPr>
        <sz val="11"/>
        <color rgb="FF000000"/>
        <rFont val="WenQuanYi Zen Hei"/>
        <family val="2"/>
      </rPr>
      <t xml:space="preserve">진척률 </t>
    </r>
    <r>
      <rPr>
        <sz val="11"/>
        <color rgb="FF000000"/>
        <rFont val="Cambria"/>
        <family val="0"/>
        <charset val="1"/>
      </rPr>
      <t xml:space="preserve">0%(</t>
    </r>
    <r>
      <rPr>
        <sz val="11"/>
        <color rgb="FF000000"/>
        <rFont val="WenQuanYi Zen Hei"/>
        <family val="2"/>
      </rPr>
      <t xml:space="preserve">사업종료</t>
    </r>
    <r>
      <rPr>
        <sz val="11"/>
        <color rgb="FF000000"/>
        <rFont val="Cambria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수입 지연</t>
    </r>
    <r>
      <rPr>
        <sz val="11"/>
        <color rgb="FF000000"/>
        <rFont val="Cambria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오더 캔슬</t>
    </r>
    <r>
      <rPr>
        <sz val="11"/>
        <color rgb="FF000000"/>
        <rFont val="Cambria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로 잔여 </t>
    </r>
    <r>
      <rPr>
        <sz val="11"/>
        <color rgb="FF000000"/>
        <rFont val="Cambria"/>
        <family val="0"/>
        <charset val="1"/>
      </rPr>
      <t xml:space="preserve">0. </t>
    </r>
    <r>
      <rPr>
        <sz val="11"/>
        <color rgb="FF000000"/>
        <rFont val="WenQuanYi Zen Hei"/>
        <family val="2"/>
      </rPr>
      <t xml:space="preserve">차수↔매장 연결은 수량 일치 대조로 추정한 값이라 확인 필요</t>
    </r>
  </si>
  <si>
    <r>
      <rPr>
        <sz val="11"/>
        <color rgb="FF000000"/>
        <rFont val="WenQuanYi Zen Hei"/>
        <family val="2"/>
      </rPr>
      <t xml:space="preserve">최종 예상매출 </t>
    </r>
    <r>
      <rPr>
        <sz val="11"/>
        <color rgb="FF000000"/>
        <rFont val="Cambria"/>
        <family val="0"/>
        <charset val="1"/>
      </rPr>
      <t xml:space="preserve">= </t>
    </r>
    <r>
      <rPr>
        <sz val="11"/>
        <color rgb="FF000000"/>
        <rFont val="WenQuanYi Zen Hei"/>
        <family val="2"/>
      </rPr>
      <t xml:space="preserve">현재까지 매출 </t>
    </r>
    <r>
      <rPr>
        <sz val="11"/>
        <color rgb="FF000000"/>
        <rFont val="Cambria"/>
        <family val="0"/>
        <charset val="1"/>
      </rPr>
      <t xml:space="preserve">+ </t>
    </r>
    <r>
      <rPr>
        <sz val="11"/>
        <color rgb="FF000000"/>
        <rFont val="WenQuanYi Zen Hei"/>
        <family val="2"/>
      </rPr>
      <t xml:space="preserve">잔여기간 예상</t>
    </r>
    <r>
      <rPr>
        <sz val="11"/>
        <color rgb="FF000000"/>
        <rFont val="Cambria"/>
        <family val="0"/>
        <charset val="1"/>
      </rPr>
      <t xml:space="preserve">.  2026 </t>
    </r>
    <r>
      <rPr>
        <sz val="11"/>
        <color rgb="FF000000"/>
        <rFont val="WenQuanYi Zen Hei"/>
        <family val="2"/>
      </rPr>
      <t xml:space="preserve">이익 </t>
    </r>
    <r>
      <rPr>
        <sz val="11"/>
        <color rgb="FF000000"/>
        <rFont val="Cambria"/>
        <family val="0"/>
        <charset val="1"/>
      </rPr>
      <t xml:space="preserve">= </t>
    </r>
    <r>
      <rPr>
        <sz val="11"/>
        <color rgb="FF000000"/>
        <rFont val="WenQuanYi Zen Hei"/>
        <family val="2"/>
      </rPr>
      <t xml:space="preserve">매출 − 원가 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원가 </t>
    </r>
    <r>
      <rPr>
        <sz val="11"/>
        <color rgb="FF000000"/>
        <rFont val="Cambria"/>
        <family val="0"/>
        <charset val="1"/>
      </rPr>
      <t xml:space="preserve">= </t>
    </r>
    <r>
      <rPr>
        <sz val="11"/>
        <color rgb="FF000000"/>
        <rFont val="WenQuanYi Zen Hei"/>
        <family val="2"/>
      </rPr>
      <t xml:space="preserve">택가 </t>
    </r>
    <r>
      <rPr>
        <sz val="11"/>
        <color rgb="FF000000"/>
        <rFont val="Cambria"/>
        <family val="0"/>
        <charset val="1"/>
      </rPr>
      <t xml:space="preserve">÷ </t>
    </r>
    <r>
      <rPr>
        <sz val="11"/>
        <color rgb="FF000000"/>
        <rFont val="WenQuanYi Zen Hei"/>
        <family val="2"/>
      </rPr>
      <t xml:space="preserve">택가배수 </t>
    </r>
    <r>
      <rPr>
        <sz val="11"/>
        <color rgb="FF000000"/>
        <rFont val="Cambria"/>
        <family val="0"/>
        <charset val="1"/>
      </rPr>
      <t xml:space="preserve">4; </t>
    </r>
    <r>
      <rPr>
        <sz val="11"/>
        <color rgb="FF000000"/>
        <rFont val="WenQuanYi Zen Hei"/>
        <family val="2"/>
      </rPr>
      <t xml:space="preserve">택가는 현재까지</t>
    </r>
    <r>
      <rPr>
        <sz val="11"/>
        <color rgb="FF000000"/>
        <rFont val="Cambria"/>
        <family val="0"/>
        <charset val="1"/>
      </rPr>
      <t xml:space="preserve">=</t>
    </r>
    <r>
      <rPr>
        <sz val="11"/>
        <color rgb="FF000000"/>
        <rFont val="WenQuanYi Zen Hei"/>
        <family val="2"/>
      </rPr>
      <t xml:space="preserve">판매펀칭 </t>
    </r>
    <r>
      <rPr>
        <sz val="11"/>
        <color rgb="FF000000"/>
        <rFont val="Cambria"/>
        <family val="0"/>
        <charset val="1"/>
      </rPr>
      <t xml:space="preserve">TAG(</t>
    </r>
    <r>
      <rPr>
        <sz val="11"/>
        <color rgb="FF000000"/>
        <rFont val="WenQuanYi Zen Hei"/>
        <family val="2"/>
      </rPr>
      <t xml:space="preserve">보정</t>
    </r>
    <r>
      <rPr>
        <sz val="11"/>
        <color rgb="FF000000"/>
        <rFont val="Cambria"/>
        <family val="0"/>
        <charset val="1"/>
      </rPr>
      <t xml:space="preserve">), </t>
    </r>
    <r>
      <rPr>
        <sz val="11"/>
        <color rgb="FF000000"/>
        <rFont val="WenQuanYi Zen Hei"/>
        <family val="2"/>
      </rPr>
      <t xml:space="preserve">잔여</t>
    </r>
    <r>
      <rPr>
        <sz val="11"/>
        <color rgb="FF000000"/>
        <rFont val="Cambria"/>
        <family val="0"/>
        <charset val="1"/>
      </rPr>
      <t xml:space="preserve">=</t>
    </r>
    <r>
      <rPr>
        <sz val="11"/>
        <color rgb="FF000000"/>
        <rFont val="WenQuanYi Zen Hei"/>
        <family val="2"/>
      </rPr>
      <t xml:space="preserve">수주 잔여 택가</t>
    </r>
    <r>
      <rPr>
        <sz val="11"/>
        <color rgb="FF000000"/>
        <rFont val="Cambria"/>
        <family val="0"/>
        <charset val="1"/>
      </rPr>
      <t xml:space="preserve">)</t>
    </r>
  </si>
  <si>
    <r>
      <rPr>
        <sz val="11"/>
        <color rgb="FF000000"/>
        <rFont val="WenQuanYi Zen Hei"/>
        <family val="2"/>
      </rPr>
      <t xml:space="preserve">수주 중복 제거</t>
    </r>
    <r>
      <rPr>
        <sz val="11"/>
        <color rgb="FF000000"/>
        <rFont val="Cambria"/>
        <family val="0"/>
        <charset val="1"/>
      </rPr>
      <t xml:space="preserve">: RAW_2026</t>
    </r>
    <r>
      <rPr>
        <sz val="11"/>
        <color rgb="FF000000"/>
        <rFont val="WenQuanYi Zen Hei"/>
        <family val="2"/>
      </rPr>
      <t xml:space="preserve">에서 차수</t>
    </r>
    <r>
      <rPr>
        <sz val="11"/>
        <color rgb="FF000000"/>
        <rFont val="Cambria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스타일</t>
    </r>
    <r>
      <rPr>
        <sz val="11"/>
        <color rgb="FF000000"/>
        <rFont val="Cambria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수량이 모두 같은 행이 반복되면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배치명만 다른 중복 입력</t>
    </r>
    <r>
      <rPr>
        <sz val="11"/>
        <color rgb="FF000000"/>
        <rFont val="Cambria"/>
        <family val="0"/>
        <charset val="1"/>
      </rPr>
      <t xml:space="preserve">) </t>
    </r>
    <r>
      <rPr>
        <sz val="11"/>
        <color rgb="FF000000"/>
        <rFont val="WenQuanYi Zen Hei"/>
        <family val="2"/>
      </rPr>
      <t xml:space="preserve">첫 행만 인정하고 나머지는 제외 </t>
    </r>
    <r>
      <rPr>
        <sz val="11"/>
        <color rgb="FF000000"/>
        <rFont val="Cambria"/>
        <family val="0"/>
        <charset val="1"/>
      </rPr>
      <t xml:space="preserve">(RAW_2026 V·W</t>
    </r>
    <r>
      <rPr>
        <sz val="11"/>
        <color rgb="FF000000"/>
        <rFont val="WenQuanYi Zen Hei"/>
        <family val="2"/>
      </rPr>
      <t xml:space="preserve">열</t>
    </r>
    <r>
      <rPr>
        <sz val="11"/>
        <color rgb="FF000000"/>
        <rFont val="Cambria"/>
        <family val="0"/>
        <charset val="1"/>
      </rPr>
      <t xml:space="preserve">). </t>
    </r>
    <r>
      <rPr>
        <sz val="11"/>
        <color rgb="FF000000"/>
        <rFont val="WenQuanYi Zen Hei"/>
        <family val="2"/>
      </rPr>
      <t xml:space="preserve">실제 발주수량</t>
    </r>
    <r>
      <rPr>
        <sz val="11"/>
        <color rgb="FF000000"/>
        <rFont val="Cambria"/>
        <family val="0"/>
        <charset val="1"/>
      </rPr>
      <t xml:space="preserve">(RAW_</t>
    </r>
    <r>
      <rPr>
        <sz val="11"/>
        <color rgb="FF000000"/>
        <rFont val="WenQuanYi Zen Hei"/>
        <family val="2"/>
      </rPr>
      <t xml:space="preserve">발주</t>
    </r>
    <r>
      <rPr>
        <sz val="11"/>
        <color rgb="FF000000"/>
        <rFont val="Cambria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과 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차수그룹</t>
    </r>
    <r>
      <rPr>
        <sz val="11"/>
        <color rgb="FF000000"/>
        <rFont val="Cambria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스타일</t>
    </r>
    <r>
      <rPr>
        <sz val="11"/>
        <color rgb="FF000000"/>
        <rFont val="Cambria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별로 대조해 전 건 일치 확인</t>
    </r>
  </si>
  <si>
    <r>
      <rPr>
        <b val="true"/>
        <sz val="11"/>
        <color rgb="FF162D54"/>
        <rFont val="Cambria"/>
        <family val="0"/>
        <charset val="1"/>
      </rPr>
      <t xml:space="preserve">2. 2027 </t>
    </r>
    <r>
      <rPr>
        <b val="true"/>
        <sz val="11"/>
        <color rgb="FF162D54"/>
        <rFont val="WenQuanYi Zen Hei"/>
        <family val="2"/>
      </rPr>
      <t xml:space="preserve">계획</t>
    </r>
  </si>
  <si>
    <r>
      <rPr>
        <sz val="11"/>
        <color rgb="FF000000"/>
        <rFont val="WenQuanYi Zen Hei"/>
        <family val="2"/>
      </rPr>
      <t xml:space="preserve">정상제품 매출 </t>
    </r>
    <r>
      <rPr>
        <sz val="11"/>
        <color rgb="FF000000"/>
        <rFont val="Cambria"/>
        <family val="0"/>
        <charset val="1"/>
      </rPr>
      <t xml:space="preserve">= </t>
    </r>
    <r>
      <rPr>
        <sz val="11"/>
        <color rgb="FF000000"/>
        <rFont val="WenQuanYi Zen Hei"/>
        <family val="2"/>
      </rPr>
      <t xml:space="preserve">법인 매출목표 </t>
    </r>
    <r>
      <rPr>
        <sz val="11"/>
        <color rgb="FF000000"/>
        <rFont val="Cambria"/>
        <family val="0"/>
        <charset val="1"/>
      </rPr>
      <t xml:space="preserve">× </t>
    </r>
    <r>
      <rPr>
        <sz val="11"/>
        <color rgb="FF000000"/>
        <rFont val="WenQuanYi Zen Hei"/>
        <family val="2"/>
      </rPr>
      <t xml:space="preserve">정상비중 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이월제품은 </t>
    </r>
    <r>
      <rPr>
        <sz val="11"/>
        <color rgb="FF000000"/>
        <rFont val="Cambria"/>
        <family val="0"/>
        <charset val="1"/>
      </rPr>
      <t xml:space="preserve">TNH </t>
    </r>
    <r>
      <rPr>
        <sz val="11"/>
        <color rgb="FF000000"/>
        <rFont val="WenQuanYi Zen Hei"/>
        <family val="2"/>
      </rPr>
      <t xml:space="preserve">공급 대상이 아님</t>
    </r>
    <r>
      <rPr>
        <sz val="11"/>
        <color rgb="FF000000"/>
        <rFont val="Cambria"/>
        <family val="0"/>
        <charset val="1"/>
      </rPr>
      <t xml:space="preserve">)</t>
    </r>
  </si>
  <si>
    <r>
      <rPr>
        <sz val="11"/>
        <color rgb="FF000000"/>
        <rFont val="WenQuanYi Zen Hei"/>
        <family val="2"/>
      </rPr>
      <t xml:space="preserve">법인 입고 택가 </t>
    </r>
    <r>
      <rPr>
        <sz val="11"/>
        <color rgb="FF000000"/>
        <rFont val="Cambria"/>
        <family val="0"/>
        <charset val="1"/>
      </rPr>
      <t xml:space="preserve">= </t>
    </r>
    <r>
      <rPr>
        <sz val="11"/>
        <color rgb="FF000000"/>
        <rFont val="WenQuanYi Zen Hei"/>
        <family val="2"/>
      </rPr>
      <t xml:space="preserve">정상제품 매출 </t>
    </r>
    <r>
      <rPr>
        <sz val="11"/>
        <color rgb="FF000000"/>
        <rFont val="Cambria"/>
        <family val="0"/>
        <charset val="1"/>
      </rPr>
      <t xml:space="preserve">÷ (1 − </t>
    </r>
    <r>
      <rPr>
        <sz val="11"/>
        <color rgb="FF000000"/>
        <rFont val="WenQuanYi Zen Hei"/>
        <family val="2"/>
      </rPr>
      <t xml:space="preserve">할인율</t>
    </r>
    <r>
      <rPr>
        <sz val="11"/>
        <color rgb="FF000000"/>
        <rFont val="Cambria"/>
        <family val="0"/>
        <charset val="1"/>
      </rPr>
      <t xml:space="preserve">) ÷ </t>
    </r>
    <r>
      <rPr>
        <sz val="11"/>
        <color rgb="FF000000"/>
        <rFont val="WenQuanYi Zen Hei"/>
        <family val="2"/>
      </rPr>
      <t xml:space="preserve">정판율</t>
    </r>
    <r>
      <rPr>
        <sz val="11"/>
        <color rgb="FF000000"/>
        <rFont val="Cambria"/>
        <family val="0"/>
        <charset val="1"/>
      </rPr>
      <t xml:space="preserve">.  TNH </t>
    </r>
    <r>
      <rPr>
        <sz val="11"/>
        <color rgb="FF000000"/>
        <rFont val="WenQuanYi Zen Hei"/>
        <family val="2"/>
      </rPr>
      <t xml:space="preserve">공급가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원화</t>
    </r>
    <r>
      <rPr>
        <sz val="11"/>
        <color rgb="FF000000"/>
        <rFont val="Cambria"/>
        <family val="0"/>
        <charset val="1"/>
      </rPr>
      <t xml:space="preserve">) = </t>
    </r>
    <r>
      <rPr>
        <sz val="11"/>
        <color rgb="FF000000"/>
        <rFont val="WenQuanYi Zen Hei"/>
        <family val="2"/>
      </rPr>
      <t xml:space="preserve">법인 입고 택가 </t>
    </r>
    <r>
      <rPr>
        <sz val="11"/>
        <color rgb="FF000000"/>
        <rFont val="Cambria"/>
        <family val="0"/>
        <charset val="1"/>
      </rPr>
      <t xml:space="preserve">÷ </t>
    </r>
    <r>
      <rPr>
        <sz val="11"/>
        <color rgb="FF000000"/>
        <rFont val="WenQuanYi Zen Hei"/>
        <family val="2"/>
      </rPr>
      <t xml:space="preserve">법인 판매배수  ※ 법인은 자기 매입가</t>
    </r>
    <r>
      <rPr>
        <sz val="11"/>
        <color rgb="FF000000"/>
        <rFont val="Cambria"/>
        <family val="0"/>
        <charset val="1"/>
      </rPr>
      <t xml:space="preserve">(TNH </t>
    </r>
    <r>
      <rPr>
        <sz val="11"/>
        <color rgb="FF000000"/>
        <rFont val="WenQuanYi Zen Hei"/>
        <family val="2"/>
      </rPr>
      <t xml:space="preserve">공급가</t>
    </r>
    <r>
      <rPr>
        <sz val="11"/>
        <color rgb="FF000000"/>
        <rFont val="Cambria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의 약 </t>
    </r>
    <r>
      <rPr>
        <sz val="11"/>
        <color rgb="FF000000"/>
        <rFont val="Cambria"/>
        <family val="0"/>
        <charset val="1"/>
      </rPr>
      <t xml:space="preserve">4</t>
    </r>
    <r>
      <rPr>
        <sz val="11"/>
        <color rgb="FF000000"/>
        <rFont val="WenQuanYi Zen Hei"/>
        <family val="2"/>
      </rPr>
      <t xml:space="preserve">배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홍콩</t>
    </r>
    <r>
      <rPr>
        <sz val="11"/>
        <color rgb="FF000000"/>
        <rFont val="Cambria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대만</t>
    </r>
    <r>
      <rPr>
        <sz val="11"/>
        <color rgb="FF000000"/>
        <rFont val="Cambria"/>
        <family val="0"/>
        <charset val="1"/>
      </rPr>
      <t xml:space="preserve">)·5</t>
    </r>
    <r>
      <rPr>
        <sz val="11"/>
        <color rgb="FF000000"/>
        <rFont val="WenQuanYi Zen Hei"/>
        <family val="2"/>
      </rPr>
      <t xml:space="preserve">배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중국</t>
    </r>
    <r>
      <rPr>
        <sz val="11"/>
        <color rgb="FF000000"/>
        <rFont val="Cambria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로 판매</t>
    </r>
  </si>
  <si>
    <r>
      <rPr>
        <sz val="11"/>
        <color rgb="FF000000"/>
        <rFont val="Cambria"/>
        <family val="0"/>
        <charset val="1"/>
      </rPr>
      <t xml:space="preserve">TNH </t>
    </r>
    <r>
      <rPr>
        <sz val="11"/>
        <color rgb="FF000000"/>
        <rFont val="WenQuanYi Zen Hei"/>
        <family val="2"/>
      </rPr>
      <t xml:space="preserve">매출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원화</t>
    </r>
    <r>
      <rPr>
        <sz val="11"/>
        <color rgb="FF000000"/>
        <rFont val="Cambria"/>
        <family val="0"/>
        <charset val="1"/>
      </rPr>
      <t xml:space="preserve">) = </t>
    </r>
    <r>
      <rPr>
        <sz val="11"/>
        <color rgb="FF000000"/>
        <rFont val="WenQuanYi Zen Hei"/>
        <family val="2"/>
      </rPr>
      <t xml:space="preserve">법인 입고 택가 </t>
    </r>
    <r>
      <rPr>
        <sz val="11"/>
        <color rgb="FF000000"/>
        <rFont val="Cambria"/>
        <family val="0"/>
        <charset val="1"/>
      </rPr>
      <t xml:space="preserve">÷ </t>
    </r>
    <r>
      <rPr>
        <sz val="11"/>
        <color rgb="FF000000"/>
        <rFont val="WenQuanYi Zen Hei"/>
        <family val="2"/>
      </rPr>
      <t xml:space="preserve">법인 판매배수</t>
    </r>
    <r>
      <rPr>
        <sz val="11"/>
        <color rgb="FF000000"/>
        <rFont val="Cambria"/>
        <family val="0"/>
        <charset val="1"/>
      </rPr>
      <t xml:space="preserve">(= TNH </t>
    </r>
    <r>
      <rPr>
        <sz val="11"/>
        <color rgb="FF000000"/>
        <rFont val="WenQuanYi Zen Hei"/>
        <family val="2"/>
      </rPr>
      <t xml:space="preserve">공급가</t>
    </r>
    <r>
      <rPr>
        <sz val="11"/>
        <color rgb="FF000000"/>
        <rFont val="Cambria"/>
        <family val="0"/>
        <charset val="1"/>
      </rPr>
      <t xml:space="preserve">) × (2027 </t>
    </r>
    <r>
      <rPr>
        <sz val="11"/>
        <color rgb="FF000000"/>
        <rFont val="WenQuanYi Zen Hei"/>
        <family val="2"/>
      </rPr>
      <t xml:space="preserve">적용 환율 </t>
    </r>
    <r>
      <rPr>
        <sz val="11"/>
        <color rgb="FF000000"/>
        <rFont val="Cambria"/>
        <family val="0"/>
        <charset val="1"/>
      </rPr>
      <t xml:space="preserve">÷ 2026 </t>
    </r>
    <r>
      <rPr>
        <sz val="11"/>
        <color rgb="FF000000"/>
        <rFont val="WenQuanYi Zen Hei"/>
        <family val="2"/>
      </rPr>
      <t xml:space="preserve">적용 환율</t>
    </r>
    <r>
      <rPr>
        <sz val="11"/>
        <color rgb="FF000000"/>
        <rFont val="Cambria"/>
        <family val="0"/>
        <charset val="1"/>
      </rPr>
      <t xml:space="preserve">). TNH</t>
    </r>
    <r>
      <rPr>
        <sz val="11"/>
        <color rgb="FF000000"/>
        <rFont val="WenQuanYi Zen Hei"/>
        <family val="2"/>
      </rPr>
      <t xml:space="preserve">는 법인에 </t>
    </r>
    <r>
      <rPr>
        <sz val="11"/>
        <color rgb="FF000000"/>
        <rFont val="Cambria"/>
        <family val="0"/>
        <charset val="1"/>
      </rPr>
      <t xml:space="preserve">USD</t>
    </r>
    <r>
      <rPr>
        <sz val="11"/>
        <color rgb="FF000000"/>
        <rFont val="WenQuanYi Zen Hei"/>
        <family val="2"/>
      </rPr>
      <t xml:space="preserve">로 공급하고 원화로 회계처리하므로 환율이 오르면 원화 매출이 증가</t>
    </r>
    <r>
      <rPr>
        <sz val="11"/>
        <color rgb="FF000000"/>
        <rFont val="Cambria"/>
        <family val="0"/>
        <charset val="1"/>
      </rPr>
      <t xml:space="preserve">. </t>
    </r>
    <r>
      <rPr>
        <sz val="11"/>
        <color rgb="FF000000"/>
        <rFont val="WenQuanYi Zen Hei"/>
        <family val="2"/>
      </rPr>
      <t xml:space="preserve">홀세일은 </t>
    </r>
    <r>
      <rPr>
        <sz val="11"/>
        <color rgb="FF000000"/>
        <rFont val="Cambria"/>
        <family val="0"/>
        <charset val="1"/>
      </rPr>
      <t xml:space="preserve">TNH </t>
    </r>
    <r>
      <rPr>
        <sz val="11"/>
        <color rgb="FF000000"/>
        <rFont val="WenQuanYi Zen Hei"/>
        <family val="2"/>
      </rPr>
      <t xml:space="preserve">매출을 직접 입력</t>
    </r>
  </si>
  <si>
    <r>
      <rPr>
        <sz val="11"/>
        <color rgb="FF000000"/>
        <rFont val="WenQuanYi Zen Hei"/>
        <family val="2"/>
      </rPr>
      <t xml:space="preserve">이익 </t>
    </r>
    <r>
      <rPr>
        <sz val="11"/>
        <color rgb="FF000000"/>
        <rFont val="Cambria"/>
        <family val="0"/>
        <charset val="1"/>
      </rPr>
      <t xml:space="preserve">= TNH </t>
    </r>
    <r>
      <rPr>
        <sz val="11"/>
        <color rgb="FF000000"/>
        <rFont val="WenQuanYi Zen Hei"/>
        <family val="2"/>
      </rPr>
      <t xml:space="preserve">매출 − 원가</t>
    </r>
    <r>
      <rPr>
        <sz val="11"/>
        <color rgb="FF000000"/>
        <rFont val="Cambria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원가 </t>
    </r>
    <r>
      <rPr>
        <sz val="11"/>
        <color rgb="FF000000"/>
        <rFont val="Cambria"/>
        <family val="0"/>
        <charset val="1"/>
      </rPr>
      <t xml:space="preserve">= </t>
    </r>
    <r>
      <rPr>
        <sz val="11"/>
        <color rgb="FF000000"/>
        <rFont val="WenQuanYi Zen Hei"/>
        <family val="2"/>
      </rPr>
      <t xml:space="preserve">공급가 </t>
    </r>
    <r>
      <rPr>
        <sz val="11"/>
        <color rgb="FF000000"/>
        <rFont val="Cambria"/>
        <family val="0"/>
        <charset val="1"/>
      </rPr>
      <t xml:space="preserve">÷ </t>
    </r>
    <r>
      <rPr>
        <sz val="11"/>
        <color rgb="FF000000"/>
        <rFont val="WenQuanYi Zen Hei"/>
        <family val="2"/>
      </rPr>
      <t xml:space="preserve">공급율 </t>
    </r>
    <r>
      <rPr>
        <sz val="11"/>
        <color rgb="FF000000"/>
        <rFont val="Cambria"/>
        <family val="0"/>
        <charset val="1"/>
      </rPr>
      <t xml:space="preserve">÷ </t>
    </r>
    <r>
      <rPr>
        <sz val="11"/>
        <color rgb="FF000000"/>
        <rFont val="WenQuanYi Zen Hei"/>
        <family val="2"/>
      </rPr>
      <t xml:space="preserve">택가배수</t>
    </r>
    <r>
      <rPr>
        <sz val="11"/>
        <color rgb="FF000000"/>
        <rFont val="Cambria"/>
        <family val="0"/>
        <charset val="1"/>
      </rPr>
      <t xml:space="preserve">(4) (</t>
    </r>
    <r>
      <rPr>
        <sz val="11"/>
        <color rgb="FF000000"/>
        <rFont val="WenQuanYi Zen Hei"/>
        <family val="2"/>
      </rPr>
      <t xml:space="preserve">공급율</t>
    </r>
    <r>
      <rPr>
        <sz val="11"/>
        <color rgb="FF000000"/>
        <rFont val="Cambria"/>
        <family val="0"/>
        <charset val="1"/>
      </rPr>
      <t xml:space="preserve">: </t>
    </r>
    <r>
      <rPr>
        <sz val="11"/>
        <color rgb="FF000000"/>
        <rFont val="WenQuanYi Zen Hei"/>
        <family val="2"/>
      </rPr>
      <t xml:space="preserve">홍콩</t>
    </r>
    <r>
      <rPr>
        <sz val="11"/>
        <color rgb="FF000000"/>
        <rFont val="Cambria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대만</t>
    </r>
    <r>
      <rPr>
        <sz val="11"/>
        <color rgb="FF000000"/>
        <rFont val="Cambria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홀세일 한국택가의 </t>
    </r>
    <r>
      <rPr>
        <sz val="11"/>
        <color rgb="FF000000"/>
        <rFont val="Cambria"/>
        <family val="0"/>
        <charset val="1"/>
      </rPr>
      <t xml:space="preserve">33%, </t>
    </r>
    <r>
      <rPr>
        <sz val="11"/>
        <color rgb="FF000000"/>
        <rFont val="WenQuanYi Zen Hei"/>
        <family val="2"/>
      </rPr>
      <t xml:space="preserve">중국 한국원가 </t>
    </r>
    <r>
      <rPr>
        <sz val="11"/>
        <color rgb="FF000000"/>
        <rFont val="Cambria"/>
        <family val="0"/>
        <charset val="1"/>
      </rPr>
      <t xml:space="preserve">+ 5%). </t>
    </r>
    <r>
      <rPr>
        <sz val="11"/>
        <color rgb="FF000000"/>
        <rFont val="WenQuanYi Zen Hei"/>
        <family val="2"/>
      </rPr>
      <t xml:space="preserve">원가는 원화라서 환율 영향 없음 → 환율이 오르면 이익 증가</t>
    </r>
  </si>
  <si>
    <r>
      <rPr>
        <sz val="11"/>
        <color rgb="FF000000"/>
        <rFont val="WenQuanYi Zen Hei"/>
        <family val="2"/>
      </rPr>
      <t xml:space="preserve">※ 매출은 판매배수로 정해지고</t>
    </r>
    <r>
      <rPr>
        <sz val="11"/>
        <color rgb="FF000000"/>
        <rFont val="Cambria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공급율</t>
    </r>
    <r>
      <rPr>
        <sz val="11"/>
        <color rgb="FF000000"/>
        <rFont val="Cambria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중국 마진은 원가</t>
    </r>
    <r>
      <rPr>
        <sz val="11"/>
        <color rgb="FF000000"/>
        <rFont val="Cambria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이익 계산에만 사용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법인 택가와 한국택가를 잇는 별도 비율 없이 판매배수 하나로 계산</t>
    </r>
    <r>
      <rPr>
        <sz val="11"/>
        <color rgb="FF000000"/>
        <rFont val="Cambria"/>
        <family val="0"/>
        <charset val="1"/>
      </rPr>
      <t xml:space="preserve">). 2026 </t>
    </r>
    <r>
      <rPr>
        <sz val="11"/>
        <color rgb="FF000000"/>
        <rFont val="WenQuanYi Zen Hei"/>
        <family val="2"/>
      </rPr>
      <t xml:space="preserve">잔여기간 적용 환율은 수주</t>
    </r>
    <r>
      <rPr>
        <sz val="11"/>
        <color rgb="FF000000"/>
        <rFont val="Cambria"/>
        <family val="0"/>
        <charset val="1"/>
      </rPr>
      <t xml:space="preserve">(USD </t>
    </r>
    <r>
      <rPr>
        <sz val="11"/>
        <color rgb="FF000000"/>
        <rFont val="WenQuanYi Zen Hei"/>
        <family val="2"/>
      </rPr>
      <t xml:space="preserve">공급가</t>
    </r>
    <r>
      <rPr>
        <sz val="11"/>
        <color rgb="FF000000"/>
        <rFont val="Cambria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의 잔여기간 예상 환산에만 사용</t>
    </r>
  </si>
  <si>
    <r>
      <rPr>
        <b val="true"/>
        <sz val="11"/>
        <color rgb="FF162D54"/>
        <rFont val="Cambria"/>
        <family val="0"/>
        <charset val="1"/>
      </rPr>
      <t xml:space="preserve">3. </t>
    </r>
    <r>
      <rPr>
        <b val="true"/>
        <sz val="11"/>
        <color rgb="FF162D54"/>
        <rFont val="WenQuanYi Zen Hei"/>
        <family val="2"/>
      </rPr>
      <t xml:space="preserve">월별 배분</t>
    </r>
  </si>
  <si>
    <r>
      <rPr>
        <sz val="11"/>
        <color rgb="FF000000"/>
        <rFont val="Cambria"/>
        <family val="0"/>
        <charset val="1"/>
      </rPr>
      <t xml:space="preserve">2027 </t>
    </r>
    <r>
      <rPr>
        <sz val="11"/>
        <color rgb="FF000000"/>
        <rFont val="WenQuanYi Zen Hei"/>
        <family val="2"/>
      </rPr>
      <t xml:space="preserve">월별 </t>
    </r>
    <r>
      <rPr>
        <sz val="11"/>
        <color rgb="FF000000"/>
        <rFont val="Cambria"/>
        <family val="0"/>
        <charset val="1"/>
      </rPr>
      <t xml:space="preserve">TNH </t>
    </r>
    <r>
      <rPr>
        <sz val="11"/>
        <color rgb="FF000000"/>
        <rFont val="WenQuanYi Zen Hei"/>
        <family val="2"/>
      </rPr>
      <t xml:space="preserve">매출 </t>
    </r>
    <r>
      <rPr>
        <sz val="11"/>
        <color rgb="FF000000"/>
        <rFont val="Cambria"/>
        <family val="0"/>
        <charset val="1"/>
      </rPr>
      <t xml:space="preserve">= </t>
    </r>
    <r>
      <rPr>
        <sz val="11"/>
        <color rgb="FF000000"/>
        <rFont val="WenQuanYi Zen Hei"/>
        <family val="2"/>
      </rPr>
      <t xml:space="preserve">구분별 </t>
    </r>
    <r>
      <rPr>
        <sz val="11"/>
        <color rgb="FF000000"/>
        <rFont val="Cambria"/>
        <family val="0"/>
        <charset val="1"/>
      </rPr>
      <t xml:space="preserve">2027 </t>
    </r>
    <r>
      <rPr>
        <sz val="11"/>
        <color rgb="FF000000"/>
        <rFont val="WenQuanYi Zen Hei"/>
        <family val="2"/>
      </rPr>
      <t xml:space="preserve">연간 매출 </t>
    </r>
    <r>
      <rPr>
        <sz val="11"/>
        <color rgb="FF000000"/>
        <rFont val="Cambria"/>
        <family val="0"/>
        <charset val="1"/>
      </rPr>
      <t xml:space="preserve">× </t>
    </r>
    <r>
      <rPr>
        <sz val="11"/>
        <color rgb="FF000000"/>
        <rFont val="WenQuanYi Zen Hei"/>
        <family val="2"/>
      </rPr>
      <t xml:space="preserve">요약 ⑤의 월별 비중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입력</t>
    </r>
    <r>
      <rPr>
        <sz val="11"/>
        <color rgb="FF000000"/>
        <rFont val="Cambria"/>
        <family val="0"/>
        <charset val="1"/>
      </rPr>
      <t xml:space="preserve">). </t>
    </r>
    <r>
      <rPr>
        <sz val="11"/>
        <color rgb="FF000000"/>
        <rFont val="WenQuanYi Zen Hei"/>
        <family val="2"/>
      </rPr>
      <t xml:space="preserve">홀세일은 자체 비중 행 사용</t>
    </r>
  </si>
  <si>
    <r>
      <rPr>
        <b val="true"/>
        <sz val="11"/>
        <color rgb="FF162D54"/>
        <rFont val="Cambria"/>
        <family val="0"/>
        <charset val="1"/>
      </rPr>
      <t xml:space="preserve">4. </t>
    </r>
    <r>
      <rPr>
        <b val="true"/>
        <sz val="11"/>
        <color rgb="FF162D54"/>
        <rFont val="WenQuanYi Zen Hei"/>
        <family val="2"/>
      </rPr>
      <t xml:space="preserve">확인이 필요한 가정</t>
    </r>
  </si>
  <si>
    <r>
      <rPr>
        <sz val="11"/>
        <color rgb="FF000000"/>
        <rFont val="Cambria"/>
        <family val="0"/>
        <charset val="1"/>
      </rPr>
      <t xml:space="preserve">· </t>
    </r>
    <r>
      <rPr>
        <sz val="11"/>
        <color rgb="FF000000"/>
        <rFont val="WenQuanYi Zen Hei"/>
        <family val="2"/>
      </rPr>
      <t xml:space="preserve">정상비중 </t>
    </r>
    <r>
      <rPr>
        <sz val="11"/>
        <color rgb="FF000000"/>
        <rFont val="Cambria"/>
        <family val="0"/>
        <charset val="1"/>
      </rPr>
      <t xml:space="preserve">40%(</t>
    </r>
    <r>
      <rPr>
        <sz val="11"/>
        <color rgb="FF000000"/>
        <rFont val="WenQuanYi Zen Hei"/>
        <family val="2"/>
      </rPr>
      <t xml:space="preserve">이월 </t>
    </r>
    <r>
      <rPr>
        <sz val="11"/>
        <color rgb="FF000000"/>
        <rFont val="Cambria"/>
        <family val="0"/>
        <charset val="1"/>
      </rPr>
      <t xml:space="preserve">60%), </t>
    </r>
    <r>
      <rPr>
        <sz val="11"/>
        <color rgb="FF000000"/>
        <rFont val="WenQuanYi Zen Hei"/>
        <family val="2"/>
      </rPr>
      <t xml:space="preserve">정판율 </t>
    </r>
    <r>
      <rPr>
        <sz val="11"/>
        <color rgb="FF000000"/>
        <rFont val="Cambria"/>
        <family val="0"/>
        <charset val="1"/>
      </rPr>
      <t xml:space="preserve">60%, </t>
    </r>
    <r>
      <rPr>
        <sz val="11"/>
        <color rgb="FF000000"/>
        <rFont val="WenQuanYi Zen Hei"/>
        <family val="2"/>
      </rPr>
      <t xml:space="preserve">할인율 </t>
    </r>
    <r>
      <rPr>
        <sz val="11"/>
        <color rgb="FF000000"/>
        <rFont val="Cambria"/>
        <family val="0"/>
        <charset val="1"/>
      </rPr>
      <t xml:space="preserve">0%</t>
    </r>
    <r>
      <rPr>
        <sz val="11"/>
        <color rgb="FF000000"/>
        <rFont val="WenQuanYi Zen Hei"/>
        <family val="2"/>
      </rPr>
      <t xml:space="preserve">는 임시값입니다</t>
    </r>
    <r>
      <rPr>
        <sz val="11"/>
        <color rgb="FF000000"/>
        <rFont val="Cambria"/>
        <family val="0"/>
        <charset val="1"/>
      </rPr>
      <t xml:space="preserve">.</t>
    </r>
  </si>
  <si>
    <r>
      <rPr>
        <sz val="11"/>
        <color rgb="FF000000"/>
        <rFont val="Cambria"/>
        <family val="0"/>
        <charset val="1"/>
      </rPr>
      <t xml:space="preserve">· </t>
    </r>
    <r>
      <rPr>
        <sz val="11"/>
        <color rgb="FF000000"/>
        <rFont val="WenQuanYi Zen Hei"/>
        <family val="2"/>
      </rPr>
      <t xml:space="preserve">법인 매출목표 단위는 억원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원화</t>
    </r>
    <r>
      <rPr>
        <sz val="11"/>
        <color rgb="FF000000"/>
        <rFont val="Cambria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으로 가정했고</t>
    </r>
    <r>
      <rPr>
        <sz val="11"/>
        <color rgb="FF000000"/>
        <rFont val="Cambria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중국 법인 매출에 도매</t>
    </r>
    <r>
      <rPr>
        <sz val="11"/>
        <color rgb="FF000000"/>
        <rFont val="Cambria"/>
        <family val="0"/>
        <charset val="1"/>
      </rPr>
      <t xml:space="preserve">(RF) </t>
    </r>
    <r>
      <rPr>
        <sz val="11"/>
        <color rgb="FF000000"/>
        <rFont val="WenQuanYi Zen Hei"/>
        <family val="2"/>
      </rPr>
      <t xml:space="preserve">포함 여부는 확인되지 않았습니다</t>
    </r>
    <r>
      <rPr>
        <sz val="11"/>
        <color rgb="FF000000"/>
        <rFont val="Cambria"/>
        <family val="0"/>
        <charset val="1"/>
      </rPr>
      <t xml:space="preserve">.</t>
    </r>
  </si>
  <si>
    <t xml:space="preserve">데이터 보정 건수</t>
  </si>
  <si>
    <t xml:space="preserve">매장코드</t>
  </si>
  <si>
    <t xml:space="preserve">매장명</t>
  </si>
  <si>
    <t xml:space="preserve">브랜드</t>
  </si>
  <si>
    <t xml:space="preserve">년도</t>
  </si>
  <si>
    <t xml:space="preserve">시즌</t>
  </si>
  <si>
    <t xml:space="preserve">품목</t>
  </si>
  <si>
    <t xml:space="preserve">라인</t>
  </si>
  <si>
    <t xml:space="preserve">스타일</t>
  </si>
  <si>
    <t xml:space="preserve">스타일명</t>
  </si>
  <si>
    <t xml:space="preserve">수량</t>
  </si>
  <si>
    <r>
      <rPr>
        <b val="true"/>
        <sz val="11"/>
        <color rgb="FFFFFFFF"/>
        <rFont val="Cambria"/>
        <family val="0"/>
        <charset val="1"/>
      </rPr>
      <t xml:space="preserve">TAG</t>
    </r>
    <r>
      <rPr>
        <b val="true"/>
        <sz val="11"/>
        <color rgb="FFFFFFFF"/>
        <rFont val="WenQuanYi Zen Hei"/>
        <family val="2"/>
      </rPr>
      <t xml:space="preserve">금액</t>
    </r>
    <r>
      <rPr>
        <b val="true"/>
        <sz val="11"/>
        <color rgb="FFFFFFFF"/>
        <rFont val="Cambria"/>
        <family val="0"/>
        <charset val="1"/>
      </rPr>
      <t xml:space="preserve">(KRW)</t>
    </r>
  </si>
  <si>
    <r>
      <rPr>
        <b val="true"/>
        <sz val="11"/>
        <color rgb="FFFFFFFF"/>
        <rFont val="WenQuanYi Zen Hei"/>
        <family val="2"/>
      </rPr>
      <t xml:space="preserve">판매금액</t>
    </r>
    <r>
      <rPr>
        <b val="true"/>
        <sz val="11"/>
        <color rgb="FFFFFFFF"/>
        <rFont val="Cambria"/>
        <family val="0"/>
        <charset val="1"/>
      </rPr>
      <t xml:space="preserve">(KRW)</t>
    </r>
  </si>
  <si>
    <r>
      <rPr>
        <b val="true"/>
        <sz val="11"/>
        <color rgb="FFFFFFFF"/>
        <rFont val="Cambria"/>
        <family val="0"/>
        <charset val="1"/>
      </rPr>
      <t xml:space="preserve">TAG(</t>
    </r>
    <r>
      <rPr>
        <b val="true"/>
        <sz val="11"/>
        <color rgb="FFFFFFFF"/>
        <rFont val="WenQuanYi Zen Hei"/>
        <family val="2"/>
      </rPr>
      <t xml:space="preserve">보정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</si>
  <si>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보정내역</t>
  </si>
  <si>
    <r>
      <rPr>
        <b val="true"/>
        <sz val="11"/>
        <color rgb="FFFFFFFF"/>
        <rFont val="WenQuanYi Zen Hei"/>
        <family val="2"/>
      </rPr>
      <t xml:space="preserve">차수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매장→차수</t>
    </r>
    <r>
      <rPr>
        <b val="true"/>
        <sz val="11"/>
        <color rgb="FFFFFFFF"/>
        <rFont val="Cambria"/>
        <family val="0"/>
        <charset val="1"/>
      </rPr>
      <t xml:space="preserve">, </t>
    </r>
    <r>
      <rPr>
        <b val="true"/>
        <sz val="11"/>
        <color rgb="FFFFFFFF"/>
        <rFont val="WenQuanYi Zen Hei"/>
        <family val="2"/>
      </rPr>
      <t xml:space="preserve">추정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</si>
  <si>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i val="true"/>
        <sz val="10"/>
        <rFont val="WenQuanYi Zen Hei"/>
        <family val="2"/>
      </rPr>
      <t xml:space="preserve">판매펀칭 리스트</t>
    </r>
    <r>
      <rPr>
        <i val="true"/>
        <sz val="10"/>
        <rFont val="Cambria"/>
        <family val="0"/>
        <charset val="1"/>
      </rPr>
      <t xml:space="preserve">(1/1~</t>
    </r>
    <r>
      <rPr>
        <i val="true"/>
        <sz val="10"/>
        <rFont val="WenQuanYi Zen Hei"/>
        <family val="2"/>
      </rPr>
      <t xml:space="preserve">기준일</t>
    </r>
    <r>
      <rPr>
        <i val="true"/>
        <sz val="10"/>
        <rFont val="Cambria"/>
        <family val="0"/>
        <charset val="1"/>
      </rPr>
      <t xml:space="preserve">, </t>
    </r>
    <r>
      <rPr>
        <i val="true"/>
        <sz val="10"/>
        <rFont val="WenQuanYi Zen Hei"/>
        <family val="2"/>
      </rPr>
      <t xml:space="preserve">본사판매 </t>
    </r>
    <r>
      <rPr>
        <i val="true"/>
        <sz val="10"/>
        <rFont val="Cambria"/>
        <family val="0"/>
        <charset val="1"/>
      </rPr>
      <t xml:space="preserve">= TNH → </t>
    </r>
    <r>
      <rPr>
        <i val="true"/>
        <sz val="10"/>
        <rFont val="WenQuanYi Zen Hei"/>
        <family val="2"/>
      </rPr>
      <t xml:space="preserve">법인</t>
    </r>
    <r>
      <rPr>
        <i val="true"/>
        <sz val="10"/>
        <rFont val="Cambria"/>
        <family val="0"/>
        <charset val="1"/>
      </rPr>
      <t xml:space="preserve">/</t>
    </r>
    <r>
      <rPr>
        <i val="true"/>
        <sz val="10"/>
        <rFont val="WenQuanYi Zen Hei"/>
        <family val="2"/>
      </rPr>
      <t xml:space="preserve">홀세일 공급</t>
    </r>
    <r>
      <rPr>
        <i val="true"/>
        <sz val="10"/>
        <rFont val="Cambria"/>
        <family val="0"/>
        <charset val="1"/>
      </rPr>
      <t xml:space="preserve">, KIDS </t>
    </r>
    <r>
      <rPr>
        <i val="true"/>
        <sz val="10"/>
        <rFont val="WenQuanYi Zen Hei"/>
        <family val="2"/>
      </rPr>
      <t xml:space="preserve">포함</t>
    </r>
    <r>
      <rPr>
        <i val="true"/>
        <sz val="10"/>
        <rFont val="Cambria"/>
        <family val="0"/>
        <charset val="1"/>
      </rPr>
      <t xml:space="preserve">). </t>
    </r>
    <r>
      <rPr>
        <i val="true"/>
        <sz val="10"/>
        <rFont val="WenQuanYi Zen Hei"/>
        <family val="2"/>
      </rPr>
      <t xml:space="preserve">소계행은 구분 열에서 </t>
    </r>
    <r>
      <rPr>
        <i val="true"/>
        <sz val="10"/>
        <rFont val="Cambria"/>
        <family val="0"/>
        <charset val="1"/>
      </rPr>
      <t xml:space="preserve">"</t>
    </r>
    <r>
      <rPr>
        <i val="true"/>
        <sz val="10"/>
        <rFont val="WenQuanYi Zen Hei"/>
        <family val="2"/>
      </rPr>
      <t xml:space="preserve">제외</t>
    </r>
    <r>
      <rPr>
        <i val="true"/>
        <sz val="10"/>
        <rFont val="Cambria"/>
        <family val="0"/>
        <charset val="1"/>
      </rPr>
      <t xml:space="preserve">" </t>
    </r>
    <r>
      <rPr>
        <i val="true"/>
        <sz val="10"/>
        <rFont val="WenQuanYi Zen Hei"/>
        <family val="2"/>
      </rPr>
      <t xml:space="preserve">처리되므로 원본을 그대로 붙여넣어도 됩니다</t>
    </r>
    <r>
      <rPr>
        <i val="true"/>
        <sz val="10"/>
        <rFont val="Cambria"/>
        <family val="0"/>
        <charset val="1"/>
      </rPr>
      <t xml:space="preserve">.</t>
    </r>
  </si>
  <si>
    <t xml:space="preserve">W9002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</si>
  <si>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대만</t>
    </r>
  </si>
  <si>
    <t xml:space="preserve">KIDS</t>
  </si>
  <si>
    <t xml:space="preserve">봄</t>
  </si>
  <si>
    <t xml:space="preserve">용품</t>
  </si>
  <si>
    <t xml:space="preserve">K261KBG050</t>
  </si>
  <si>
    <t xml:space="preserve">스퀘어</t>
  </si>
  <si>
    <r>
      <rPr>
        <sz val="11"/>
        <color theme="1"/>
        <rFont val="WenQuanYi Zen Hei"/>
        <family val="2"/>
      </rPr>
      <t xml:space="preserve">택가 오류행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택가≤</t>
    </r>
    <r>
      <rPr>
        <sz val="11"/>
        <color theme="1"/>
        <rFont val="맑은 고딕"/>
        <family val="2"/>
        <charset val="129"/>
      </rPr>
      <t xml:space="preserve">0 </t>
    </r>
    <r>
      <rPr>
        <sz val="11"/>
        <color theme="1"/>
        <rFont val="WenQuanYi Zen Hei"/>
        <family val="2"/>
      </rPr>
      <t xml:space="preserve">또는 판매금액</t>
    </r>
    <r>
      <rPr>
        <sz val="11"/>
        <color theme="1"/>
        <rFont val="맑은 고딕"/>
        <family val="2"/>
        <charset val="129"/>
      </rPr>
      <t xml:space="preserve">&gt;</t>
    </r>
    <r>
      <rPr>
        <sz val="11"/>
        <color theme="1"/>
        <rFont val="WenQuanYi Zen Hei"/>
        <family val="2"/>
      </rPr>
      <t xml:space="preserve">택가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WenQuanYi Zen Hei"/>
        <family val="2"/>
      </rPr>
      <t xml:space="preserve">은 </t>
    </r>
    <r>
      <rPr>
        <sz val="11"/>
        <color theme="1"/>
        <rFont val="맑은 고딕"/>
        <family val="2"/>
        <charset val="129"/>
      </rPr>
      <t xml:space="preserve">TAG(</t>
    </r>
    <r>
      <rPr>
        <sz val="11"/>
        <color theme="1"/>
        <rFont val="WenQuanYi Zen Hei"/>
        <family val="2"/>
      </rPr>
      <t xml:space="preserve">보정</t>
    </r>
    <r>
      <rPr>
        <sz val="11"/>
        <color theme="1"/>
        <rFont val="맑은 고딕"/>
        <family val="2"/>
        <charset val="129"/>
      </rPr>
      <t xml:space="preserve">) = </t>
    </r>
    <r>
      <rPr>
        <sz val="11"/>
        <color theme="1"/>
        <rFont val="WenQuanYi Zen Hei"/>
        <family val="2"/>
      </rPr>
      <t xml:space="preserve">판매금액</t>
    </r>
    <r>
      <rPr>
        <sz val="11"/>
        <color theme="1"/>
        <rFont val="맑은 고딕"/>
        <family val="2"/>
        <charset val="129"/>
      </rPr>
      <t xml:space="preserve">÷</t>
    </r>
    <r>
      <rPr>
        <sz val="11"/>
        <color theme="1"/>
        <rFont val="WenQuanYi Zen Hei"/>
        <family val="2"/>
      </rPr>
      <t xml:space="preserve">공급율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요약</t>
    </r>
    <r>
      <rPr>
        <sz val="11"/>
        <color theme="1"/>
        <rFont val="맑은 고딕"/>
        <family val="2"/>
        <charset val="129"/>
      </rPr>
      <t xml:space="preserve">!D27)</t>
    </r>
    <r>
      <rPr>
        <sz val="11"/>
        <color theme="1"/>
        <rFont val="WenQuanYi Zen Hei"/>
        <family val="2"/>
      </rPr>
      <t xml:space="preserve">로 보정하고 </t>
    </r>
    <r>
      <rPr>
        <sz val="11"/>
        <color theme="1"/>
        <rFont val="맑은 고딕"/>
        <family val="2"/>
        <charset val="129"/>
      </rPr>
      <t xml:space="preserve">O</t>
    </r>
    <r>
      <rPr>
        <sz val="11"/>
        <color theme="1"/>
        <rFont val="WenQuanYi Zen Hei"/>
        <family val="2"/>
      </rPr>
      <t xml:space="preserve">열에 표시합니다</t>
    </r>
    <r>
      <rPr>
        <sz val="11"/>
        <color theme="1"/>
        <rFont val="맑은 고딕"/>
        <family val="2"/>
        <charset val="129"/>
      </rPr>
      <t xml:space="preserve">.</t>
    </r>
  </si>
  <si>
    <t xml:space="preserve">K261KBG060</t>
  </si>
  <si>
    <t xml:space="preserve">코닉</t>
  </si>
  <si>
    <t xml:space="preserve">K261KBG070</t>
  </si>
  <si>
    <t xml:space="preserve">데이</t>
  </si>
  <si>
    <r>
      <rPr>
        <sz val="11"/>
        <color rgb="FF0000FF"/>
        <rFont val="Cambria"/>
        <family val="0"/>
        <charset val="1"/>
      </rPr>
      <t xml:space="preserve">4</t>
    </r>
    <r>
      <rPr>
        <sz val="11"/>
        <color rgb="FF0000FF"/>
        <rFont val="WenQuanYi Zen Hei"/>
        <family val="2"/>
      </rPr>
      <t xml:space="preserve">계절</t>
    </r>
  </si>
  <si>
    <t xml:space="preserve">K265KCR080</t>
  </si>
  <si>
    <r>
      <rPr>
        <sz val="11"/>
        <color rgb="FF0000FF"/>
        <rFont val="Cambria"/>
        <family val="0"/>
        <charset val="1"/>
      </rPr>
      <t xml:space="preserve">KIDS</t>
    </r>
    <r>
      <rPr>
        <sz val="11"/>
        <color rgb="FF0000FF"/>
        <rFont val="WenQuanYi Zen Hei"/>
        <family val="2"/>
      </rPr>
      <t xml:space="preserve">뉴슬링백</t>
    </r>
  </si>
  <si>
    <t xml:space="preserve">K265KCR090</t>
  </si>
  <si>
    <r>
      <rPr>
        <sz val="11"/>
        <color rgb="FF0000FF"/>
        <rFont val="Cambria"/>
        <family val="0"/>
        <charset val="1"/>
      </rPr>
      <t xml:space="preserve">KIDS</t>
    </r>
    <r>
      <rPr>
        <sz val="11"/>
        <color rgb="FF0000FF"/>
        <rFont val="WenQuanYi Zen Hei"/>
        <family val="2"/>
      </rPr>
      <t xml:space="preserve">코닉슬링백</t>
    </r>
  </si>
  <si>
    <t xml:space="preserve">K265KCR100</t>
  </si>
  <si>
    <r>
      <rPr>
        <sz val="11"/>
        <color rgb="FF0000FF"/>
        <rFont val="Cambria"/>
        <family val="0"/>
        <charset val="1"/>
      </rPr>
      <t xml:space="preserve">KIDS</t>
    </r>
    <r>
      <rPr>
        <sz val="11"/>
        <color rgb="FF0000FF"/>
        <rFont val="WenQuanYi Zen Hei"/>
        <family val="2"/>
      </rPr>
      <t xml:space="preserve">슬림미니크로스백</t>
    </r>
  </si>
  <si>
    <t xml:space="preserve">K265KCR110</t>
  </si>
  <si>
    <r>
      <rPr>
        <sz val="11"/>
        <color rgb="FF0000FF"/>
        <rFont val="Cambria"/>
        <family val="0"/>
        <charset val="1"/>
      </rPr>
      <t xml:space="preserve">KIDS</t>
    </r>
    <r>
      <rPr>
        <sz val="11"/>
        <color rgb="FF0000FF"/>
        <rFont val="WenQuanYi Zen Hei"/>
        <family val="2"/>
      </rPr>
      <t xml:space="preserve">코닉폴더크로스백</t>
    </r>
  </si>
  <si>
    <t xml:space="preserve">K265KCR120</t>
  </si>
  <si>
    <r>
      <rPr>
        <sz val="11"/>
        <color rgb="FF0000FF"/>
        <rFont val="Cambria"/>
        <family val="0"/>
        <charset val="1"/>
      </rPr>
      <t xml:space="preserve">KIDS</t>
    </r>
    <r>
      <rPr>
        <sz val="11"/>
        <color rgb="FF0000FF"/>
        <rFont val="WenQuanYi Zen Hei"/>
        <family val="2"/>
      </rPr>
      <t xml:space="preserve">가로크로스백</t>
    </r>
  </si>
  <si>
    <t xml:space="preserve">K265KCR130</t>
  </si>
  <si>
    <r>
      <rPr>
        <sz val="11"/>
        <color rgb="FF0000FF"/>
        <rFont val="Cambria"/>
        <family val="0"/>
        <charset val="1"/>
      </rPr>
      <t xml:space="preserve">KIDS</t>
    </r>
    <r>
      <rPr>
        <sz val="11"/>
        <color rgb="FF0000FF"/>
        <rFont val="WenQuanYi Zen Hei"/>
        <family val="2"/>
      </rPr>
      <t xml:space="preserve">어드벤쳐크로스백</t>
    </r>
  </si>
  <si>
    <t xml:space="preserve">내셔널지오그래픽</t>
  </si>
  <si>
    <t xml:space="preserve">의류</t>
  </si>
  <si>
    <t xml:space="preserve">Urban</t>
  </si>
  <si>
    <t xml:space="preserve">N251UJP260</t>
  </si>
  <si>
    <r>
      <rPr>
        <sz val="11"/>
        <color rgb="FF0000FF"/>
        <rFont val="WenQuanYi Zen Hei"/>
        <family val="2"/>
      </rPr>
      <t xml:space="preserve">아틀라스 윈드스토퍼 </t>
    </r>
    <r>
      <rPr>
        <sz val="11"/>
        <color rgb="FF0000FF"/>
        <rFont val="Cambria"/>
        <family val="0"/>
        <charset val="1"/>
      </rPr>
      <t xml:space="preserve">BY GORE-TEX LABS 2L </t>
    </r>
    <r>
      <rPr>
        <sz val="11"/>
        <color rgb="FF0000FF"/>
        <rFont val="WenQuanYi Zen Hei"/>
        <family val="2"/>
      </rPr>
      <t xml:space="preserve">블록 자켓</t>
    </r>
  </si>
  <si>
    <t xml:space="preserve">온라인</t>
  </si>
  <si>
    <t xml:space="preserve">N251UJP860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</si>
  <si>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아틀라스 윈드스토퍼 </t>
    </r>
    <r>
      <rPr>
        <sz val="11"/>
        <color rgb="FF0000FF"/>
        <rFont val="Cambria"/>
        <family val="0"/>
        <charset val="1"/>
      </rPr>
      <t xml:space="preserve">BY GORE-TEX LABS 2L </t>
    </r>
    <r>
      <rPr>
        <sz val="11"/>
        <color rgb="FF0000FF"/>
        <rFont val="WenQuanYi Zen Hei"/>
        <family val="2"/>
      </rPr>
      <t xml:space="preserve">블록 자켓</t>
    </r>
  </si>
  <si>
    <t xml:space="preserve">Original</t>
  </si>
  <si>
    <t xml:space="preserve">N261ABG010</t>
  </si>
  <si>
    <t xml:space="preserve">파치백팩</t>
  </si>
  <si>
    <t xml:space="preserve">N261ABG020</t>
  </si>
  <si>
    <r>
      <rPr>
        <sz val="11"/>
        <color rgb="FF0000FF"/>
        <rFont val="WenQuanYi Zen Hei"/>
        <family val="2"/>
      </rPr>
      <t xml:space="preserve">파치</t>
    </r>
    <r>
      <rPr>
        <sz val="11"/>
        <color rgb="FF0000FF"/>
        <rFont val="Cambria"/>
        <family val="0"/>
        <charset val="1"/>
      </rPr>
      <t xml:space="preserve">+</t>
    </r>
    <r>
      <rPr>
        <sz val="11"/>
        <color rgb="FF0000FF"/>
        <rFont val="WenQuanYi Zen Hei"/>
        <family val="2"/>
      </rPr>
      <t xml:space="preserve">백팩</t>
    </r>
  </si>
  <si>
    <t xml:space="preserve">N261ABG030</t>
  </si>
  <si>
    <t xml:space="preserve">라코백팩</t>
  </si>
  <si>
    <t xml:space="preserve">N261ABG040</t>
  </si>
  <si>
    <t xml:space="preserve">버디백팩</t>
  </si>
  <si>
    <t xml:space="preserve">N261ABG050</t>
  </si>
  <si>
    <t xml:space="preserve">타이니백팩</t>
  </si>
  <si>
    <t xml:space="preserve">N261ABG060</t>
  </si>
  <si>
    <t xml:space="preserve">마일드백팩</t>
  </si>
  <si>
    <t xml:space="preserve">N261ABG070</t>
  </si>
  <si>
    <t xml:space="preserve">유니티백팩</t>
  </si>
  <si>
    <t xml:space="preserve">N261ABG080</t>
  </si>
  <si>
    <t xml:space="preserve">지오백팩</t>
  </si>
  <si>
    <t xml:space="preserve">N261ABG090</t>
  </si>
  <si>
    <t xml:space="preserve">브레이브백팩</t>
  </si>
  <si>
    <t xml:space="preserve">N261ABG100</t>
  </si>
  <si>
    <t xml:space="preserve">퓨전백팩</t>
  </si>
  <si>
    <t xml:space="preserve">N261ABG520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</si>
  <si>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파치</t>
    </r>
    <r>
      <rPr>
        <sz val="11"/>
        <color rgb="FF0000FF"/>
        <rFont val="Cambria"/>
        <family val="0"/>
        <charset val="1"/>
      </rPr>
      <t xml:space="preserve">+</t>
    </r>
    <r>
      <rPr>
        <sz val="11"/>
        <color rgb="FF0000FF"/>
        <rFont val="WenQuanYi Zen Hei"/>
        <family val="2"/>
      </rPr>
      <t xml:space="preserve">백팩</t>
    </r>
  </si>
  <si>
    <t xml:space="preserve">N261ABG530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</si>
  <si>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라코백팩</t>
    </r>
  </si>
  <si>
    <t xml:space="preserve">N261MPT040</t>
  </si>
  <si>
    <t xml:space="preserve">카고 포켓 베이직핏 조거 팬츠</t>
  </si>
  <si>
    <t xml:space="preserve">N261MJP020</t>
  </si>
  <si>
    <t xml:space="preserve">론트라 후드 탈부착 점퍼</t>
  </si>
  <si>
    <t xml:space="preserve">N261UPT020</t>
  </si>
  <si>
    <t xml:space="preserve">론트라 베이직핏 스트레이트 스웻 팬츠</t>
  </si>
  <si>
    <t xml:space="preserve">N261UJP060</t>
  </si>
  <si>
    <t xml:space="preserve">오르카 타슬란 후드 아웃포켓 점퍼</t>
  </si>
  <si>
    <t xml:space="preserve">N261UJP061</t>
  </si>
  <si>
    <t xml:space="preserve">오르카 스탠드넥 점퍼</t>
  </si>
  <si>
    <t xml:space="preserve">N261UJP062</t>
  </si>
  <si>
    <t xml:space="preserve">오르카 타슬란 후드 아노락 점퍼</t>
  </si>
  <si>
    <t xml:space="preserve">N261UJP901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</si>
  <si>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카라넥 셔츠 자켓</t>
    </r>
  </si>
  <si>
    <t xml:space="preserve">N261UHD010</t>
  </si>
  <si>
    <t xml:space="preserve">폴하스 스몰로고 후디</t>
  </si>
  <si>
    <t xml:space="preserve">N261UHD020</t>
  </si>
  <si>
    <t xml:space="preserve">론트라 레터링 그래픽 세미오버핏 후디</t>
  </si>
  <si>
    <t xml:space="preserve">N261UHD901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</si>
  <si>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그리핀 세미오버핏 후디</t>
    </r>
  </si>
  <si>
    <t xml:space="preserve">N261USW010</t>
  </si>
  <si>
    <t xml:space="preserve">폴하스 스몰로고 맨투맨</t>
  </si>
  <si>
    <t xml:space="preserve">N261USW020</t>
  </si>
  <si>
    <t xml:space="preserve">론트라 레터링 그래픽 세미오버핏 맨투맨</t>
  </si>
  <si>
    <t xml:space="preserve">N261USW021</t>
  </si>
  <si>
    <t xml:space="preserve">론트라 빅아치로고 그래픽 맨투맨</t>
  </si>
  <si>
    <t xml:space="preserve">N261USW022</t>
  </si>
  <si>
    <t xml:space="preserve">론트라 그래픽 세미오버핏 하프집업 맨투맨</t>
  </si>
  <si>
    <t xml:space="preserve">N261UTS030</t>
  </si>
  <si>
    <t xml:space="preserve">스트라이프 긴팔 티셔츠</t>
  </si>
  <si>
    <t xml:space="preserve">N261UTS050</t>
  </si>
  <si>
    <t xml:space="preserve">네오디 긴팔 티셔츠</t>
  </si>
  <si>
    <t xml:space="preserve">WOMEN</t>
  </si>
  <si>
    <t xml:space="preserve">N261WPT020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</si>
  <si>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론트라 세미루즈핏 스트레이트 팬츠</t>
    </r>
  </si>
  <si>
    <t xml:space="preserve">N261WPT030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</si>
  <si>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타누 베이직핏 스트레이트 팬츠</t>
    </r>
  </si>
  <si>
    <t xml:space="preserve">N261WPT050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</si>
  <si>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그레비 베이직핏 조거 팬츠</t>
    </r>
  </si>
  <si>
    <t xml:space="preserve">N261WPT090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</si>
  <si>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리오 스트레치 베이직핏 테이퍼드 팬츠</t>
    </r>
  </si>
  <si>
    <t xml:space="preserve">N261WSK060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</si>
  <si>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오르카 타슬란 </t>
    </r>
    <r>
      <rPr>
        <sz val="11"/>
        <color rgb="FF0000FF"/>
        <rFont val="Cambria"/>
        <family val="0"/>
        <charset val="1"/>
      </rPr>
      <t xml:space="preserve">A</t>
    </r>
    <r>
      <rPr>
        <sz val="11"/>
        <color rgb="FF0000FF"/>
        <rFont val="WenQuanYi Zen Hei"/>
        <family val="2"/>
      </rPr>
      <t xml:space="preserve">라인 카고 스커트</t>
    </r>
  </si>
  <si>
    <t xml:space="preserve">N261WSK100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</si>
  <si>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코튼 </t>
    </r>
    <r>
      <rPr>
        <sz val="11"/>
        <color rgb="FF0000FF"/>
        <rFont val="Cambria"/>
        <family val="0"/>
        <charset val="1"/>
      </rPr>
      <t xml:space="preserve">A</t>
    </r>
    <r>
      <rPr>
        <sz val="11"/>
        <color rgb="FF0000FF"/>
        <rFont val="WenQuanYi Zen Hei"/>
        <family val="2"/>
      </rPr>
      <t xml:space="preserve">라인 플리츠 스커트</t>
    </r>
  </si>
  <si>
    <t xml:space="preserve">N261WJP020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</si>
  <si>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론트라 카라 봄버 점퍼</t>
    </r>
  </si>
  <si>
    <t xml:space="preserve">N261WJP060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</si>
  <si>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오르카 타슬란 후드 점퍼</t>
    </r>
  </si>
  <si>
    <t xml:space="preserve">N261WFT050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</si>
  <si>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그레비 세미오버핏 후드 풀집업</t>
    </r>
  </si>
  <si>
    <t xml:space="preserve">N261WFT090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</si>
  <si>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리오 스트레치 후드 풀집업</t>
    </r>
  </si>
  <si>
    <t xml:space="preserve">N261WHD020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</si>
  <si>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론트라 하이브리드 후디</t>
    </r>
  </si>
  <si>
    <t xml:space="preserve">N261WSW020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</si>
  <si>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론트라 그래픽 맨투맨</t>
    </r>
  </si>
  <si>
    <t xml:space="preserve">N261WSW050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</si>
  <si>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그레비 맨투맨</t>
    </r>
  </si>
  <si>
    <t xml:space="preserve">N261WSW051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</si>
  <si>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그레비 세미오버핏 변형 맨투맨</t>
    </r>
  </si>
  <si>
    <t xml:space="preserve">N261WTS100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</si>
  <si>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골지 슬림핏 긴팔 티셔츠</t>
    </r>
  </si>
  <si>
    <t xml:space="preserve">여름</t>
  </si>
  <si>
    <t xml:space="preserve">N262MHP490</t>
  </si>
  <si>
    <r>
      <rPr>
        <sz val="11"/>
        <color rgb="FF0000FF"/>
        <rFont val="WenQuanYi Zen Hei"/>
        <family val="2"/>
      </rPr>
      <t xml:space="preserve">시어서커 </t>
    </r>
    <r>
      <rPr>
        <sz val="11"/>
        <color rgb="FF0000FF"/>
        <rFont val="Cambria"/>
        <family val="0"/>
        <charset val="1"/>
      </rPr>
      <t xml:space="preserve">4.5</t>
    </r>
    <r>
      <rPr>
        <sz val="11"/>
        <color rgb="FF0000FF"/>
        <rFont val="WenQuanYi Zen Hei"/>
        <family val="2"/>
      </rPr>
      <t xml:space="preserve">부 쇼츠</t>
    </r>
  </si>
  <si>
    <t xml:space="preserve">N262MHP540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</si>
  <si>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</t>
    </r>
    <r>
      <rPr>
        <sz val="11"/>
        <color rgb="FF0000FF"/>
        <rFont val="Cambria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부 반바지</t>
    </r>
  </si>
  <si>
    <t xml:space="preserve">N262MHP560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</si>
  <si>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멀티포켓 </t>
    </r>
    <r>
      <rPr>
        <sz val="11"/>
        <color rgb="FF0000FF"/>
        <rFont val="Cambria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부 반바지</t>
    </r>
  </si>
  <si>
    <t xml:space="preserve">N262MHP350</t>
  </si>
  <si>
    <r>
      <rPr>
        <sz val="11"/>
        <color rgb="FF0000FF"/>
        <rFont val="WenQuanYi Zen Hei"/>
        <family val="2"/>
      </rPr>
      <t xml:space="preserve">에어플로우 카고 </t>
    </r>
    <r>
      <rPr>
        <sz val="11"/>
        <color rgb="FF0000FF"/>
        <rFont val="Cambria"/>
        <family val="0"/>
        <charset val="1"/>
      </rPr>
      <t xml:space="preserve">4</t>
    </r>
    <r>
      <rPr>
        <sz val="11"/>
        <color rgb="FF0000FF"/>
        <rFont val="WenQuanYi Zen Hei"/>
        <family val="2"/>
      </rPr>
      <t xml:space="preserve">부 쇼츠</t>
    </r>
  </si>
  <si>
    <t xml:space="preserve">N262MPL320</t>
  </si>
  <si>
    <t xml:space="preserve">냉감 스트레치 반팔 카라 티셔츠</t>
  </si>
  <si>
    <t xml:space="preserve">N262MPL330</t>
  </si>
  <si>
    <t xml:space="preserve">에어플로우 반팔 카라 티셔츠</t>
  </si>
  <si>
    <t xml:space="preserve">N262MSH330</t>
  </si>
  <si>
    <t xml:space="preserve">에어서커 반팔 셔츠</t>
  </si>
  <si>
    <t xml:space="preserve">N262MTS093</t>
  </si>
  <si>
    <t xml:space="preserve">크로우 소로나 쿨터치 그래픽 세미오버핏 민소매 티셔츠</t>
  </si>
  <si>
    <t xml:space="preserve">N262MTS530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</si>
  <si>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익스플로러 그래픽 세미오버핏 티셔츠</t>
    </r>
  </si>
  <si>
    <t xml:space="preserve">N262MTS540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</si>
  <si>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가슴포켓 세미오버핏 티셔츠</t>
    </r>
  </si>
  <si>
    <t xml:space="preserve">N262MTS550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</si>
  <si>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소매포켓 세미오버핏 티셔츠</t>
    </r>
  </si>
  <si>
    <t xml:space="preserve">N262MTS580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</si>
  <si>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네이쳐 냉감 그래픽 세미오버핏 티셔츠</t>
    </r>
  </si>
  <si>
    <t xml:space="preserve">N262MTS330</t>
  </si>
  <si>
    <t xml:space="preserve">에어플로우 반팔 티셔츠</t>
  </si>
  <si>
    <t xml:space="preserve">N262UHP010</t>
  </si>
  <si>
    <r>
      <rPr>
        <sz val="11"/>
        <color rgb="FF0000FF"/>
        <rFont val="WenQuanYi Zen Hei"/>
        <family val="2"/>
      </rPr>
      <t xml:space="preserve">라이트팩 </t>
    </r>
    <r>
      <rPr>
        <sz val="11"/>
        <color rgb="FF0000FF"/>
        <rFont val="Cambria"/>
        <family val="0"/>
        <charset val="1"/>
      </rPr>
      <t xml:space="preserve">4.5</t>
    </r>
    <r>
      <rPr>
        <sz val="11"/>
        <color rgb="FF0000FF"/>
        <rFont val="WenQuanYi Zen Hei"/>
        <family val="2"/>
      </rPr>
      <t xml:space="preserve">부 반바지</t>
    </r>
  </si>
  <si>
    <t xml:space="preserve">N262UHP020</t>
  </si>
  <si>
    <r>
      <rPr>
        <sz val="11"/>
        <color rgb="FF0000FF"/>
        <rFont val="WenQuanYi Zen Hei"/>
        <family val="2"/>
      </rPr>
      <t xml:space="preserve">카고 포켓 </t>
    </r>
    <r>
      <rPr>
        <sz val="11"/>
        <color rgb="FF0000FF"/>
        <rFont val="Cambria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부 쇼츠</t>
    </r>
  </si>
  <si>
    <t xml:space="preserve">N262UHP140</t>
  </si>
  <si>
    <r>
      <rPr>
        <sz val="11"/>
        <color rgb="FF0000FF"/>
        <rFont val="WenQuanYi Zen Hei"/>
        <family val="2"/>
      </rPr>
      <t xml:space="preserve">프리즈 스트레치 </t>
    </r>
    <r>
      <rPr>
        <sz val="11"/>
        <color rgb="FF0000FF"/>
        <rFont val="Cambria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부 카고 쇼츠</t>
    </r>
  </si>
  <si>
    <t xml:space="preserve">N262UHP150</t>
  </si>
  <si>
    <r>
      <rPr>
        <sz val="11"/>
        <color rgb="FF0000FF"/>
        <rFont val="WenQuanYi Zen Hei"/>
        <family val="2"/>
      </rPr>
      <t xml:space="preserve">펠리스 냉감 타슬란 </t>
    </r>
    <r>
      <rPr>
        <sz val="11"/>
        <color rgb="FF0000FF"/>
        <rFont val="Cambria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부 쇼츠</t>
    </r>
  </si>
  <si>
    <t xml:space="preserve">N262UHP190</t>
  </si>
  <si>
    <r>
      <rPr>
        <sz val="11"/>
        <color rgb="FF0000FF"/>
        <rFont val="WenQuanYi Zen Hei"/>
        <family val="2"/>
      </rPr>
      <t xml:space="preserve">프로즌에어 </t>
    </r>
    <r>
      <rPr>
        <sz val="11"/>
        <color rgb="FF0000FF"/>
        <rFont val="Cambria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부 쇼츠</t>
    </r>
  </si>
  <si>
    <t xml:space="preserve">N262UPB900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</si>
  <si>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반팔 </t>
    </r>
    <r>
      <rPr>
        <sz val="11"/>
        <color rgb="FF0000FF"/>
        <rFont val="Cambria"/>
        <family val="0"/>
        <charset val="1"/>
      </rPr>
      <t xml:space="preserve">+ </t>
    </r>
    <r>
      <rPr>
        <sz val="11"/>
        <color rgb="FF0000FF"/>
        <rFont val="WenQuanYi Zen Hei"/>
        <family val="2"/>
      </rPr>
      <t xml:space="preserve">반바지 </t>
    </r>
    <r>
      <rPr>
        <sz val="11"/>
        <color rgb="FF0000FF"/>
        <rFont val="Cambria"/>
        <family val="0"/>
        <charset val="1"/>
      </rPr>
      <t xml:space="preserve">+ </t>
    </r>
    <r>
      <rPr>
        <sz val="11"/>
        <color rgb="FF0000FF"/>
        <rFont val="WenQuanYi Zen Hei"/>
        <family val="2"/>
      </rPr>
      <t xml:space="preserve">미니백 </t>
    </r>
    <r>
      <rPr>
        <sz val="11"/>
        <color rgb="FF0000FF"/>
        <rFont val="Cambria"/>
        <family val="0"/>
        <charset val="1"/>
      </rPr>
      <t xml:space="preserve">3PACK</t>
    </r>
  </si>
  <si>
    <t xml:space="preserve">N262UPT010</t>
  </si>
  <si>
    <t xml:space="preserve">라이트팩 베이직핏 조거 팬츠</t>
  </si>
  <si>
    <t xml:space="preserve">N262UPT140</t>
  </si>
  <si>
    <t xml:space="preserve">아델리 냉감 스트레치 세미루즈핏 조거 카고 팬츠</t>
  </si>
  <si>
    <t xml:space="preserve">N262UPT141</t>
  </si>
  <si>
    <t xml:space="preserve">아델리 냉감 스트레치 원턱 세미루즈핏 테이퍼드 팬츠</t>
  </si>
  <si>
    <t xml:space="preserve">N262UPT191</t>
  </si>
  <si>
    <t xml:space="preserve">프로즌에어 세미루즈핏 스트레이트 팬츠</t>
  </si>
  <si>
    <t xml:space="preserve">N262UPT192</t>
  </si>
  <si>
    <r>
      <rPr>
        <sz val="11"/>
        <color rgb="FF0000FF"/>
        <rFont val="WenQuanYi Zen Hei"/>
        <family val="2"/>
      </rPr>
      <t xml:space="preserve">프로즌에어 </t>
    </r>
    <r>
      <rPr>
        <sz val="11"/>
        <color rgb="FF0000FF"/>
        <rFont val="Cambria"/>
        <family val="0"/>
        <charset val="1"/>
      </rPr>
      <t xml:space="preserve">7</t>
    </r>
    <r>
      <rPr>
        <sz val="11"/>
        <color rgb="FF0000FF"/>
        <rFont val="WenQuanYi Zen Hei"/>
        <family val="2"/>
      </rPr>
      <t xml:space="preserve">부 팬츠</t>
    </r>
  </si>
  <si>
    <t xml:space="preserve">N262UJP011</t>
  </si>
  <si>
    <t xml:space="preserve">라이트팩 후드 풀집업 바람막이</t>
  </si>
  <si>
    <t xml:space="preserve">N262UJP020</t>
  </si>
  <si>
    <t xml:space="preserve">라이트팩 스탠드넥 풀집업 바람막이</t>
  </si>
  <si>
    <t xml:space="preserve">N262UFT140</t>
  </si>
  <si>
    <t xml:space="preserve">아델리 냉감 스트레치 세미오버핏 후드 풀집업 점퍼</t>
  </si>
  <si>
    <t xml:space="preserve">N262UFT141</t>
  </si>
  <si>
    <t xml:space="preserve">아델리 냉감 스트레치 세미오버핏 스탠드넥 풀집업 점퍼</t>
  </si>
  <si>
    <t xml:space="preserve">N262UFT142</t>
  </si>
  <si>
    <t xml:space="preserve">프리즈 스트레치 세미오버핏 후드 아노락</t>
  </si>
  <si>
    <t xml:space="preserve">N262UPL142</t>
  </si>
  <si>
    <t xml:space="preserve">프리즈 스트레치 세미오버핏 반팔 카라 티셔츠</t>
  </si>
  <si>
    <t xml:space="preserve">N262UPL240</t>
  </si>
  <si>
    <t xml:space="preserve">크라즈 반팔 카라 티셔츠</t>
  </si>
  <si>
    <t xml:space="preserve">N262USH140</t>
  </si>
  <si>
    <t xml:space="preserve">프리즈 스트레치 세미오버핏 반팔 셔츠</t>
  </si>
  <si>
    <t xml:space="preserve">N262UTS030</t>
  </si>
  <si>
    <t xml:space="preserve">스트라이프 세미오버핏 포켓 반팔 티셔츠</t>
  </si>
  <si>
    <t xml:space="preserve">N262UTS060</t>
  </si>
  <si>
    <t xml:space="preserve">라텔 리젠 동물 실루엣 그래픽 세미오버핏 반팔 티셔츠</t>
  </si>
  <si>
    <t xml:space="preserve">N262UTS061</t>
  </si>
  <si>
    <t xml:space="preserve">라텔 리젠 동물 스몰 그래픽 세미오버핏 반팔티셔츠</t>
  </si>
  <si>
    <t xml:space="preserve">N262UTS062</t>
  </si>
  <si>
    <t xml:space="preserve">라텔 리젠 동물 빅그래픽 세미오버핏 반팔티셔츠</t>
  </si>
  <si>
    <t xml:space="preserve">N262UTS070</t>
  </si>
  <si>
    <r>
      <rPr>
        <sz val="11"/>
        <color rgb="FF0000FF"/>
        <rFont val="WenQuanYi Zen Hei"/>
        <family val="2"/>
      </rPr>
      <t xml:space="preserve">캐스터 </t>
    </r>
    <r>
      <rPr>
        <sz val="11"/>
        <color rgb="FF0000FF"/>
        <rFont val="Cambria"/>
        <family val="0"/>
        <charset val="1"/>
      </rPr>
      <t xml:space="preserve">COOLMAX ECO </t>
    </r>
    <r>
      <rPr>
        <sz val="11"/>
        <color rgb="FF0000FF"/>
        <rFont val="WenQuanYi Zen Hei"/>
        <family val="2"/>
      </rPr>
      <t xml:space="preserve">레터링 그래픽 세미오버핏 반팔 티셔츠</t>
    </r>
  </si>
  <si>
    <t xml:space="preserve">N262UTS071</t>
  </si>
  <si>
    <r>
      <rPr>
        <sz val="11"/>
        <color rgb="FF0000FF"/>
        <rFont val="WenQuanYi Zen Hei"/>
        <family val="2"/>
      </rPr>
      <t xml:space="preserve">캐스터 </t>
    </r>
    <r>
      <rPr>
        <sz val="11"/>
        <color rgb="FF0000FF"/>
        <rFont val="Cambria"/>
        <family val="0"/>
        <charset val="1"/>
      </rPr>
      <t xml:space="preserve">COOLMAX ECO </t>
    </r>
    <r>
      <rPr>
        <sz val="11"/>
        <color rgb="FF0000FF"/>
        <rFont val="WenQuanYi Zen Hei"/>
        <family val="2"/>
      </rPr>
      <t xml:space="preserve">빅그래픽 세미오버핏 반팔 티셔츠</t>
    </r>
  </si>
  <si>
    <t xml:space="preserve">N262UTS072</t>
  </si>
  <si>
    <r>
      <rPr>
        <sz val="11"/>
        <color rgb="FF0000FF"/>
        <rFont val="WenQuanYi Zen Hei"/>
        <family val="2"/>
      </rPr>
      <t xml:space="preserve">캐스터 </t>
    </r>
    <r>
      <rPr>
        <sz val="11"/>
        <color rgb="FF0000FF"/>
        <rFont val="Cambria"/>
        <family val="0"/>
        <charset val="1"/>
      </rPr>
      <t xml:space="preserve">COOLMAX ECO </t>
    </r>
    <r>
      <rPr>
        <sz val="11"/>
        <color rgb="FF0000FF"/>
        <rFont val="WenQuanYi Zen Hei"/>
        <family val="2"/>
      </rPr>
      <t xml:space="preserve">그래픽 세미오버핏 반팔 티셔츠</t>
    </r>
  </si>
  <si>
    <t xml:space="preserve">N262UTS080</t>
  </si>
  <si>
    <r>
      <rPr>
        <sz val="11"/>
        <color rgb="FF0000FF"/>
        <rFont val="WenQuanYi Zen Hei"/>
        <family val="2"/>
      </rPr>
      <t xml:space="preserve">아비스 </t>
    </r>
    <r>
      <rPr>
        <sz val="11"/>
        <color rgb="FF0000FF"/>
        <rFont val="Cambria"/>
        <family val="0"/>
        <charset val="1"/>
      </rPr>
      <t xml:space="preserve">AEROSILVER </t>
    </r>
    <r>
      <rPr>
        <sz val="11"/>
        <color rgb="FF0000FF"/>
        <rFont val="WenQuanYi Zen Hei"/>
        <family val="2"/>
      </rPr>
      <t xml:space="preserve">빅그래픽 세미오버핏 반팔 티셔츠</t>
    </r>
  </si>
  <si>
    <t xml:space="preserve">N262UTS081</t>
  </si>
  <si>
    <r>
      <rPr>
        <sz val="11"/>
        <color rgb="FF0000FF"/>
        <rFont val="WenQuanYi Zen Hei"/>
        <family val="2"/>
      </rPr>
      <t xml:space="preserve">아비스 </t>
    </r>
    <r>
      <rPr>
        <sz val="11"/>
        <color rgb="FF0000FF"/>
        <rFont val="Cambria"/>
        <family val="0"/>
        <charset val="1"/>
      </rPr>
      <t xml:space="preserve">AEROSILVER </t>
    </r>
    <r>
      <rPr>
        <sz val="11"/>
        <color rgb="FF0000FF"/>
        <rFont val="WenQuanYi Zen Hei"/>
        <family val="2"/>
      </rPr>
      <t xml:space="preserve">그래픽 세미오버핏 반팔 티셔츠</t>
    </r>
  </si>
  <si>
    <t xml:space="preserve">N262UTS082</t>
  </si>
  <si>
    <r>
      <rPr>
        <sz val="11"/>
        <color rgb="FF0000FF"/>
        <rFont val="WenQuanYi Zen Hei"/>
        <family val="2"/>
      </rPr>
      <t xml:space="preserve">아비스 </t>
    </r>
    <r>
      <rPr>
        <sz val="11"/>
        <color rgb="FF0000FF"/>
        <rFont val="Cambria"/>
        <family val="0"/>
        <charset val="1"/>
      </rPr>
      <t xml:space="preserve">AEROSILVER </t>
    </r>
    <r>
      <rPr>
        <sz val="11"/>
        <color rgb="FF0000FF"/>
        <rFont val="WenQuanYi Zen Hei"/>
        <family val="2"/>
      </rPr>
      <t xml:space="preserve">그래픽 세미오버핏 거셋 디테일 반팔 티셔츠</t>
    </r>
  </si>
  <si>
    <t xml:space="preserve">N262UTS091</t>
  </si>
  <si>
    <t xml:space="preserve">크로우 소로나 쿨터치 반팔 티셔츠</t>
  </si>
  <si>
    <t xml:space="preserve">N262UTS092</t>
  </si>
  <si>
    <t xml:space="preserve">크로우 소로나 쿨터치 레터링 그래픽 반팔 티셔츠</t>
  </si>
  <si>
    <t xml:space="preserve">N262UTS140</t>
  </si>
  <si>
    <t xml:space="preserve">프리즈 스트레치 세미오버핏 포켓 반팔 티셔츠</t>
  </si>
  <si>
    <t xml:space="preserve">N262UTS141</t>
  </si>
  <si>
    <t xml:space="preserve">프리즈 스트레치 그래픽 세미오버핏 반팔 티셔츠</t>
  </si>
  <si>
    <t xml:space="preserve">N262UTS190</t>
  </si>
  <si>
    <t xml:space="preserve">프로즌에어 세미오버핏 반팔 티셔츠</t>
  </si>
  <si>
    <t xml:space="preserve">N262UTS210</t>
  </si>
  <si>
    <t xml:space="preserve">어반 빅로고 세미오버핏 반팔 티셔츠</t>
  </si>
  <si>
    <t xml:space="preserve">N262UTS230</t>
  </si>
  <si>
    <t xml:space="preserve">토르콰투스 반팔 티셔츠</t>
  </si>
  <si>
    <t xml:space="preserve">N262UTS240</t>
  </si>
  <si>
    <t xml:space="preserve">크라즈 세미오버핏 반팔 티셔츠</t>
  </si>
  <si>
    <t xml:space="preserve">N262UTS250</t>
  </si>
  <si>
    <t xml:space="preserve">크라즈 백그래픽 세미오버핏 반팔 티셔츠</t>
  </si>
  <si>
    <t xml:space="preserve">N262WHP010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</si>
  <si>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라이트팩 </t>
    </r>
    <r>
      <rPr>
        <sz val="11"/>
        <color rgb="FF0000FF"/>
        <rFont val="Cambria"/>
        <family val="0"/>
        <charset val="1"/>
      </rPr>
      <t xml:space="preserve">3.5</t>
    </r>
    <r>
      <rPr>
        <sz val="11"/>
        <color rgb="FF0000FF"/>
        <rFont val="WenQuanYi Zen Hei"/>
        <family val="2"/>
      </rPr>
      <t xml:space="preserve">부 쇼츠</t>
    </r>
  </si>
  <si>
    <t xml:space="preserve">N262WHP100</t>
  </si>
  <si>
    <r>
      <rPr>
        <sz val="11"/>
        <color rgb="FF0000FF"/>
        <rFont val="Cambria"/>
        <family val="0"/>
        <charset val="1"/>
      </rPr>
      <t xml:space="preserve">W' 5</t>
    </r>
    <r>
      <rPr>
        <sz val="11"/>
        <color rgb="FF0000FF"/>
        <rFont val="WenQuanYi Zen Hei"/>
        <family val="2"/>
      </rPr>
      <t xml:space="preserve">부 버뮤다 쇼츠</t>
    </r>
  </si>
  <si>
    <t xml:space="preserve">N262WHP140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</si>
  <si>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프리즈 스트레치 </t>
    </r>
    <r>
      <rPr>
        <sz val="11"/>
        <color rgb="FF0000FF"/>
        <rFont val="Cambria"/>
        <family val="0"/>
        <charset val="1"/>
      </rPr>
      <t xml:space="preserve">4</t>
    </r>
    <r>
      <rPr>
        <sz val="11"/>
        <color rgb="FF0000FF"/>
        <rFont val="WenQuanYi Zen Hei"/>
        <family val="2"/>
      </rPr>
      <t xml:space="preserve">부 쇼츠</t>
    </r>
  </si>
  <si>
    <t xml:space="preserve">N262WHP490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</si>
  <si>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시어서커 </t>
    </r>
    <r>
      <rPr>
        <sz val="11"/>
        <color rgb="FF0000FF"/>
        <rFont val="Cambria"/>
        <family val="0"/>
        <charset val="1"/>
      </rPr>
      <t xml:space="preserve">4</t>
    </r>
    <r>
      <rPr>
        <sz val="11"/>
        <color rgb="FF0000FF"/>
        <rFont val="WenQuanYi Zen Hei"/>
        <family val="2"/>
      </rPr>
      <t xml:space="preserve">부 쇼츠</t>
    </r>
  </si>
  <si>
    <t xml:space="preserve">N262WPT140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</si>
  <si>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냉감 스트레치 베이직핏 조거 카고 팬츠</t>
    </r>
  </si>
  <si>
    <t xml:space="preserve">N262WPT141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</si>
  <si>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냉감 스트레치 베이직핏 스트레이트 팬츠</t>
    </r>
  </si>
  <si>
    <t xml:space="preserve">N262WPT142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</si>
  <si>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스트레치 와이드핏 조디악 치마 팬츠</t>
    </r>
  </si>
  <si>
    <t xml:space="preserve">N262WPT191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</si>
  <si>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프로즌에어 세미루즈핏 조거 팬츠</t>
    </r>
  </si>
  <si>
    <t xml:space="preserve">N262WSK140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</si>
  <si>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냉감 스트레치 </t>
    </r>
    <r>
      <rPr>
        <sz val="11"/>
        <color rgb="FF0000FF"/>
        <rFont val="Cambria"/>
        <family val="0"/>
        <charset val="1"/>
      </rPr>
      <t xml:space="preserve">A</t>
    </r>
    <r>
      <rPr>
        <sz val="11"/>
        <color rgb="FF0000FF"/>
        <rFont val="WenQuanYi Zen Hei"/>
        <family val="2"/>
      </rPr>
      <t xml:space="preserve">라인 스커트</t>
    </r>
  </si>
  <si>
    <t xml:space="preserve">N262WSK190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</si>
  <si>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프로즌에어 </t>
    </r>
    <r>
      <rPr>
        <sz val="11"/>
        <color rgb="FF0000FF"/>
        <rFont val="Cambria"/>
        <family val="0"/>
        <charset val="1"/>
      </rPr>
      <t xml:space="preserve">H</t>
    </r>
    <r>
      <rPr>
        <sz val="11"/>
        <color rgb="FF0000FF"/>
        <rFont val="WenQuanYi Zen Hei"/>
        <family val="2"/>
      </rPr>
      <t xml:space="preserve">라인 포켓 스커트</t>
    </r>
  </si>
  <si>
    <t xml:space="preserve">N262WJP020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</si>
  <si>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라이트팩 후드 경량 점퍼</t>
    </r>
  </si>
  <si>
    <t xml:space="preserve">N262WJP021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</si>
  <si>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라이트팩 가디건 경량 점퍼</t>
    </r>
  </si>
  <si>
    <t xml:space="preserve">N262WFT140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</si>
  <si>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냉감 스트레치 오버핏 후드 풀집업</t>
    </r>
  </si>
  <si>
    <t xml:space="preserve">N262WFT170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</si>
  <si>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피넷 냉감 세미오버핏 후드 반팔 아노락</t>
    </r>
  </si>
  <si>
    <t xml:space="preserve">N262WOP170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</si>
  <si>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피넷 스트레치 </t>
    </r>
    <r>
      <rPr>
        <sz val="11"/>
        <color rgb="FF0000FF"/>
        <rFont val="Cambria"/>
        <family val="0"/>
        <charset val="1"/>
      </rPr>
      <t xml:space="preserve">A</t>
    </r>
    <r>
      <rPr>
        <sz val="11"/>
        <color rgb="FF0000FF"/>
        <rFont val="WenQuanYi Zen Hei"/>
        <family val="2"/>
      </rPr>
      <t xml:space="preserve">라인 오버롤 원피스</t>
    </r>
  </si>
  <si>
    <t xml:space="preserve">N262WPL240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</si>
  <si>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크라즈 세미오버핏 반팔 카라 티셔츠</t>
    </r>
  </si>
  <si>
    <t xml:space="preserve">N262WSH190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</si>
  <si>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프로즌에어 세미오버핏 반팔 셔츠</t>
    </r>
  </si>
  <si>
    <t xml:space="preserve">N262WTS090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</si>
  <si>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크로우 소로나 쿨터치 그래픽 반팔 티셔츠</t>
    </r>
  </si>
  <si>
    <t xml:space="preserve">N262WTS190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</si>
  <si>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프로즌에어 세미크롭 반팔 티셔츠</t>
    </r>
  </si>
  <si>
    <t xml:space="preserve">신발</t>
  </si>
  <si>
    <t xml:space="preserve">N262WSD020</t>
  </si>
  <si>
    <r>
      <rPr>
        <sz val="11"/>
        <color rgb="FF0000FF"/>
        <rFont val="WenQuanYi Zen Hei"/>
        <family val="2"/>
      </rPr>
      <t xml:space="preserve">로버 젠 </t>
    </r>
    <r>
      <rPr>
        <sz val="11"/>
        <color rgb="FF0000FF"/>
        <rFont val="Cambria"/>
        <family val="0"/>
        <charset val="1"/>
      </rPr>
      <t xml:space="preserve">MJ</t>
    </r>
  </si>
  <si>
    <t xml:space="preserve">가을</t>
  </si>
  <si>
    <t xml:space="preserve">N263AAC010</t>
  </si>
  <si>
    <t xml:space="preserve">베이직이어워머</t>
  </si>
  <si>
    <t xml:space="preserve">N263ABG010</t>
  </si>
  <si>
    <t xml:space="preserve">데일리백팩</t>
  </si>
  <si>
    <t xml:space="preserve">N263ACR010</t>
  </si>
  <si>
    <t xml:space="preserve">데일리크로스백</t>
  </si>
  <si>
    <t xml:space="preserve">N263ACR020</t>
  </si>
  <si>
    <t xml:space="preserve">어반스퀘어크로스백</t>
  </si>
  <si>
    <t xml:space="preserve">N263ACR040</t>
  </si>
  <si>
    <r>
      <rPr>
        <sz val="11"/>
        <color rgb="FF0000FF"/>
        <rFont val="Cambria"/>
        <family val="0"/>
        <charset val="1"/>
      </rPr>
      <t xml:space="preserve">NRN</t>
    </r>
    <r>
      <rPr>
        <sz val="11"/>
        <color rgb="FF0000FF"/>
        <rFont val="WenQuanYi Zen Hei"/>
        <family val="2"/>
      </rPr>
      <t xml:space="preserve">엔지니어드크로스백</t>
    </r>
  </si>
  <si>
    <t xml:space="preserve">N263ACR050</t>
  </si>
  <si>
    <r>
      <rPr>
        <sz val="11"/>
        <color rgb="FF0000FF"/>
        <rFont val="Cambria"/>
        <family val="0"/>
        <charset val="1"/>
      </rPr>
      <t xml:space="preserve">NRN</t>
    </r>
    <r>
      <rPr>
        <sz val="11"/>
        <color rgb="FF0000FF"/>
        <rFont val="WenQuanYi Zen Hei"/>
        <family val="2"/>
      </rPr>
      <t xml:space="preserve">엔지니어드미니크로스백</t>
    </r>
  </si>
  <si>
    <t xml:space="preserve">N263ACR080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</si>
  <si>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플러피크로스백</t>
    </r>
  </si>
  <si>
    <t xml:space="preserve">N263ACR090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</si>
  <si>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플러피버킷백</t>
    </r>
  </si>
  <si>
    <t xml:space="preserve">N263AGL010</t>
  </si>
  <si>
    <t xml:space="preserve">파워스트레치장갑</t>
  </si>
  <si>
    <t xml:space="preserve">N263AGL030</t>
  </si>
  <si>
    <t xml:space="preserve">폴라텍써멀프로장갑</t>
  </si>
  <si>
    <t xml:space="preserve">N263AGL040</t>
  </si>
  <si>
    <r>
      <rPr>
        <sz val="11"/>
        <color rgb="FF0000FF"/>
        <rFont val="Cambria"/>
        <family val="0"/>
        <charset val="1"/>
      </rPr>
      <t xml:space="preserve">NRN</t>
    </r>
    <r>
      <rPr>
        <sz val="11"/>
        <color rgb="FF0000FF"/>
        <rFont val="WenQuanYi Zen Hei"/>
        <family val="2"/>
      </rPr>
      <t xml:space="preserve">장갑</t>
    </r>
  </si>
  <si>
    <t xml:space="preserve">N263AHA040</t>
  </si>
  <si>
    <t xml:space="preserve">베이직비니</t>
  </si>
  <si>
    <t xml:space="preserve">N263AMS020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</si>
  <si>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플러피머플러</t>
    </r>
  </si>
  <si>
    <t xml:space="preserve">N263AMS030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</si>
  <si>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퍼머플러</t>
    </r>
  </si>
  <si>
    <t xml:space="preserve">N263AMS040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</si>
  <si>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덤블머플러</t>
    </r>
  </si>
  <si>
    <t xml:space="preserve">N263AMS060</t>
  </si>
  <si>
    <t xml:space="preserve">폴라텍써멀프로넥워머</t>
  </si>
  <si>
    <t xml:space="preserve">N263ATO010</t>
  </si>
  <si>
    <t xml:space="preserve">어반리포터백</t>
  </si>
  <si>
    <t xml:space="preserve">N263MPT020</t>
  </si>
  <si>
    <t xml:space="preserve">타누 레귤러핏 스트레이트 팬츠</t>
  </si>
  <si>
    <t xml:space="preserve">N263MPT030</t>
  </si>
  <si>
    <r>
      <rPr>
        <sz val="11"/>
        <color rgb="FF0000FF"/>
        <rFont val="Cambria"/>
        <family val="0"/>
        <charset val="1"/>
      </rPr>
      <t xml:space="preserve">6 </t>
    </r>
    <r>
      <rPr>
        <sz val="11"/>
        <color rgb="FF0000FF"/>
        <rFont val="WenQuanYi Zen Hei"/>
        <family val="2"/>
      </rPr>
      <t xml:space="preserve">포켓 와이드핏 커브드 팬츠</t>
    </r>
  </si>
  <si>
    <t xml:space="preserve">N263MPT050</t>
  </si>
  <si>
    <t xml:space="preserve">크로우 레귤러핏 조거 카고 팬츠</t>
  </si>
  <si>
    <t xml:space="preserve">N263MPT060</t>
  </si>
  <si>
    <t xml:space="preserve">릴렉스핏 조거 카고 팬츠</t>
  </si>
  <si>
    <t xml:space="preserve">N263MPT300</t>
  </si>
  <si>
    <t xml:space="preserve">커뮤트 릴렉스핏 스트레이트 우븐 카고 팬츠</t>
  </si>
  <si>
    <t xml:space="preserve">N263MPD500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</si>
  <si>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윈드스토퍼 </t>
    </r>
    <r>
      <rPr>
        <sz val="11"/>
        <color rgb="FF0000FF"/>
        <rFont val="Cambria"/>
        <family val="0"/>
        <charset val="1"/>
      </rPr>
      <t xml:space="preserve">BY GORE-TEX LABS </t>
    </r>
    <r>
      <rPr>
        <sz val="11"/>
        <color rgb="FF0000FF"/>
        <rFont val="WenQuanYi Zen Hei"/>
        <family val="2"/>
      </rPr>
      <t xml:space="preserve">인피니티 </t>
    </r>
    <r>
      <rPr>
        <sz val="11"/>
        <color rgb="FF0000FF"/>
        <rFont val="Cambria"/>
        <family val="0"/>
        <charset val="1"/>
      </rPr>
      <t xml:space="preserve">2L 3IN1 </t>
    </r>
    <r>
      <rPr>
        <sz val="11"/>
        <color rgb="FF0000FF"/>
        <rFont val="WenQuanYi Zen Hei"/>
        <family val="2"/>
      </rPr>
      <t xml:space="preserve">자켓</t>
    </r>
  </si>
  <si>
    <t xml:space="preserve">N263MSW500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</si>
  <si>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리플렉터 패널드 맨투맨</t>
    </r>
  </si>
  <si>
    <t xml:space="preserve">N263MTS500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</si>
  <si>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델타피크 베이스레이어 긴팔 티셔츠</t>
    </r>
  </si>
  <si>
    <t xml:space="preserve">N263UPT030</t>
  </si>
  <si>
    <t xml:space="preserve">아르켈론 우븐 스트레치 레귤러핏 스트레이트 팬츠</t>
  </si>
  <si>
    <t xml:space="preserve">N263UPT031</t>
  </si>
  <si>
    <t xml:space="preserve">아르켈론 우븐 스트레치 레귤러핏 조거 카고 팬츠</t>
  </si>
  <si>
    <t xml:space="preserve">N263UPT220</t>
  </si>
  <si>
    <t xml:space="preserve">네이쳐 세미 레귤러핏 조거 팬츠</t>
  </si>
  <si>
    <t xml:space="preserve">N263UJP020</t>
  </si>
  <si>
    <t xml:space="preserve">코듀라 유틸리티 포켓 점퍼</t>
  </si>
  <si>
    <t xml:space="preserve">N263UJP210</t>
  </si>
  <si>
    <t xml:space="preserve">아틀라스 소프트쉘 고어 윈드스토퍼 후드 점퍼</t>
  </si>
  <si>
    <t xml:space="preserve">N263UJP220</t>
  </si>
  <si>
    <t xml:space="preserve">네이쳐 다잉 경량 자켓</t>
  </si>
  <si>
    <t xml:space="preserve">N263UJP230</t>
  </si>
  <si>
    <r>
      <rPr>
        <sz val="11"/>
        <color rgb="FF0000FF"/>
        <rFont val="WenQuanYi Zen Hei"/>
        <family val="2"/>
      </rPr>
      <t xml:space="preserve">어반스퀘어 소프트쉘 </t>
    </r>
    <r>
      <rPr>
        <sz val="11"/>
        <color rgb="FF0000FF"/>
        <rFont val="Cambria"/>
        <family val="0"/>
        <charset val="1"/>
      </rPr>
      <t xml:space="preserve">3L </t>
    </r>
    <r>
      <rPr>
        <sz val="11"/>
        <color rgb="FF0000FF"/>
        <rFont val="WenQuanYi Zen Hei"/>
        <family val="2"/>
      </rPr>
      <t xml:space="preserve">블루종 점퍼</t>
    </r>
  </si>
  <si>
    <t xml:space="preserve">N263UFT030</t>
  </si>
  <si>
    <t xml:space="preserve">아르켈론 우븐 스트레치 베이직핏 후드 풀집업</t>
  </si>
  <si>
    <t xml:space="preserve">N263UHD030</t>
  </si>
  <si>
    <t xml:space="preserve">폴하스 베이직핏 스몰로고 후디</t>
  </si>
  <si>
    <t xml:space="preserve">N263USW010</t>
  </si>
  <si>
    <t xml:space="preserve">폴하스 베이직핏 스몰로고 맨투맨</t>
  </si>
  <si>
    <t xml:space="preserve">N263USW080</t>
  </si>
  <si>
    <t xml:space="preserve">동물 그래픽 세미오버핏 맨투맨</t>
  </si>
  <si>
    <t xml:space="preserve">N263UTS010</t>
  </si>
  <si>
    <t xml:space="preserve">팔코 스몰로고 긴팔 티셔츠</t>
  </si>
  <si>
    <t xml:space="preserve">N263UTS020</t>
  </si>
  <si>
    <t xml:space="preserve">그래픽 긴팔 티셔츠</t>
  </si>
  <si>
    <t xml:space="preserve">N263UTS030</t>
  </si>
  <si>
    <t xml:space="preserve">동물 그래픽 반팔 세미오버핏 티셔츠</t>
  </si>
  <si>
    <t xml:space="preserve">N263UTS040</t>
  </si>
  <si>
    <t xml:space="preserve">가먼트다잉 포켓 반팔 티셔츠</t>
  </si>
  <si>
    <t xml:space="preserve">N263UTS050</t>
  </si>
  <si>
    <r>
      <rPr>
        <sz val="11"/>
        <color rgb="FF0000FF"/>
        <rFont val="Cambria"/>
        <family val="0"/>
        <charset val="1"/>
      </rPr>
      <t xml:space="preserve">SEAWOOL WAFFLE </t>
    </r>
    <r>
      <rPr>
        <sz val="11"/>
        <color rgb="FF0000FF"/>
        <rFont val="WenQuanYi Zen Hei"/>
        <family val="2"/>
      </rPr>
      <t xml:space="preserve">소매 레터링 긴팔 티셔츠</t>
    </r>
  </si>
  <si>
    <t xml:space="preserve">N263UTS220</t>
  </si>
  <si>
    <t xml:space="preserve">네이쳐 델타피크 배색형 베이직핏 반팔 티셔츠</t>
  </si>
  <si>
    <t xml:space="preserve">N263UTS230</t>
  </si>
  <si>
    <t xml:space="preserve">네이쳐 델타피크 세미오버핏 긴팔 티셔츠 </t>
  </si>
  <si>
    <t xml:space="preserve">N263UTS240</t>
  </si>
  <si>
    <t xml:space="preserve">어반 폴라스페이스 그래픽 세미오버핏 반팔 티셔츠</t>
  </si>
  <si>
    <t xml:space="preserve">N263UTS901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</si>
  <si>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세미오버핏 롱 슬리브 티셔츠</t>
    </r>
  </si>
  <si>
    <t xml:space="preserve">N263WPT011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</si>
  <si>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데님라이크 레귤러핏 조거 팬츠</t>
    </r>
  </si>
  <si>
    <t xml:space="preserve">N263WPT020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</si>
  <si>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코튼터치 카고 레귤러핏 팬츠</t>
    </r>
  </si>
  <si>
    <t xml:space="preserve">N263WPT030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</si>
  <si>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아르켈론 우븐 스트레치 레귤러핏 조거 카고 팬츠</t>
    </r>
  </si>
  <si>
    <t xml:space="preserve">N263WPT040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</si>
  <si>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코튼터치 와이드핏 커브드 팬츠</t>
    </r>
  </si>
  <si>
    <t xml:space="preserve">N263WSK010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</si>
  <si>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분또 플리츠 스커트</t>
    </r>
  </si>
  <si>
    <t xml:space="preserve">N263WJP030</t>
  </si>
  <si>
    <r>
      <rPr>
        <sz val="11"/>
        <color rgb="FF0000FF"/>
        <rFont val="Cambria"/>
        <family val="0"/>
        <charset val="1"/>
      </rPr>
      <t xml:space="preserve">W' 3L </t>
    </r>
    <r>
      <rPr>
        <sz val="11"/>
        <color rgb="FF0000FF"/>
        <rFont val="WenQuanYi Zen Hei"/>
        <family val="2"/>
      </rPr>
      <t xml:space="preserve">후드 자켓</t>
    </r>
  </si>
  <si>
    <t xml:space="preserve">N263WFT010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</si>
  <si>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데님라이크 후드 풀집업</t>
    </r>
  </si>
  <si>
    <t xml:space="preserve">N263WFT030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</si>
  <si>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아르켈론 우븐 스트레치 후드 풀집업</t>
    </r>
  </si>
  <si>
    <t xml:space="preserve">N263WSW010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</si>
  <si>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폴하스 베이직핏 스몰로고 맨투맨</t>
    </r>
  </si>
  <si>
    <t xml:space="preserve">N263WTS050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</si>
  <si>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동물 그래픽 포인트 반팔 티셔츠</t>
    </r>
  </si>
  <si>
    <t xml:space="preserve">겨울</t>
  </si>
  <si>
    <t xml:space="preserve">N264AHA010</t>
  </si>
  <si>
    <t xml:space="preserve">패디드고소모</t>
  </si>
  <si>
    <t xml:space="preserve">N264AHA030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</si>
  <si>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덤블고소모</t>
    </r>
  </si>
  <si>
    <t xml:space="preserve">N264MPT020</t>
  </si>
  <si>
    <t xml:space="preserve">릴렉스핏 스트레이트 기어 카고 팬츠</t>
  </si>
  <si>
    <t xml:space="preserve">N264MDW240</t>
  </si>
  <si>
    <t xml:space="preserve">소매 하이브리드 구스다운 점퍼</t>
  </si>
  <si>
    <t xml:space="preserve">N264MFJ500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</si>
  <si>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하이브리드 플리스 점퍼</t>
    </r>
  </si>
  <si>
    <t xml:space="preserve">N264MFT310</t>
  </si>
  <si>
    <r>
      <rPr>
        <sz val="11"/>
        <color rgb="FF0000FF"/>
        <rFont val="Cambria"/>
        <family val="0"/>
        <charset val="1"/>
      </rPr>
      <t xml:space="preserve">[OCTA] </t>
    </r>
    <r>
      <rPr>
        <sz val="11"/>
        <color rgb="FF0000FF"/>
        <rFont val="WenQuanYi Zen Hei"/>
        <family val="2"/>
      </rPr>
      <t xml:space="preserve">라이닝 풀집업 자켓</t>
    </r>
  </si>
  <si>
    <t xml:space="preserve">N264MSW500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</si>
  <si>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리플렉터 와플 맨투맨</t>
    </r>
  </si>
  <si>
    <t xml:space="preserve">N264UPT050</t>
  </si>
  <si>
    <t xml:space="preserve">아르켈론 더블웜 기모 우븐 레귤러핏 스트레이트 카고 팬츠</t>
  </si>
  <si>
    <t xml:space="preserve">N264UPT051</t>
  </si>
  <si>
    <t xml:space="preserve">아르켈론 더블웜 기모 우븐 레귤러핏 조거 팬츠</t>
  </si>
  <si>
    <t xml:space="preserve">N264UDV020</t>
  </si>
  <si>
    <r>
      <rPr>
        <sz val="11"/>
        <color rgb="FF0000FF"/>
        <rFont val="WenQuanYi Zen Hei"/>
        <family val="2"/>
      </rPr>
      <t xml:space="preserve">헤론 </t>
    </r>
    <r>
      <rPr>
        <sz val="11"/>
        <color rgb="FF0000FF"/>
        <rFont val="Cambria"/>
        <family val="0"/>
        <charset val="1"/>
      </rPr>
      <t xml:space="preserve">U</t>
    </r>
    <r>
      <rPr>
        <sz val="11"/>
        <color rgb="FF0000FF"/>
        <rFont val="WenQuanYi Zen Hei"/>
        <family val="2"/>
      </rPr>
      <t xml:space="preserve">넥 경량 구스다운 베스트</t>
    </r>
  </si>
  <si>
    <t xml:space="preserve">N264UDV120</t>
  </si>
  <si>
    <t xml:space="preserve">후드 덕다운 베스트</t>
  </si>
  <si>
    <t xml:space="preserve">N264UDW010</t>
  </si>
  <si>
    <t xml:space="preserve">라이트팩 후드 경량 덕다운 점퍼</t>
  </si>
  <si>
    <t xml:space="preserve">N264UDW020</t>
  </si>
  <si>
    <r>
      <rPr>
        <sz val="11"/>
        <color rgb="FF0000FF"/>
        <rFont val="WenQuanYi Zen Hei"/>
        <family val="2"/>
      </rPr>
      <t xml:space="preserve">헤론 </t>
    </r>
    <r>
      <rPr>
        <sz val="11"/>
        <color rgb="FF0000FF"/>
        <rFont val="Cambria"/>
        <family val="0"/>
        <charset val="1"/>
      </rPr>
      <t xml:space="preserve">U</t>
    </r>
    <r>
      <rPr>
        <sz val="11"/>
        <color rgb="FF0000FF"/>
        <rFont val="WenQuanYi Zen Hei"/>
        <family val="2"/>
      </rPr>
      <t xml:space="preserve">넥 경량 구스다운 점퍼</t>
    </r>
  </si>
  <si>
    <t xml:space="preserve">N264UDW022</t>
  </si>
  <si>
    <t xml:space="preserve">헤론 스탠드넥 경량 구스다운 점퍼</t>
  </si>
  <si>
    <t xml:space="preserve">N264UDW050</t>
  </si>
  <si>
    <t xml:space="preserve">메를린 하이브리드 구스다운 점퍼</t>
  </si>
  <si>
    <t xml:space="preserve">N264UDW121</t>
  </si>
  <si>
    <t xml:space="preserve">레이만 스탠드넥 덕다운 점퍼</t>
  </si>
  <si>
    <t xml:space="preserve">N264UDW150</t>
  </si>
  <si>
    <t xml:space="preserve">퓨어이펙트 후드 덕다운 점퍼</t>
  </si>
  <si>
    <t xml:space="preserve">N264UDW151</t>
  </si>
  <si>
    <t xml:space="preserve">퓨어이펙트 스탠드넥 덕다운 점퍼</t>
  </si>
  <si>
    <t xml:space="preserve">N264UDW160</t>
  </si>
  <si>
    <t xml:space="preserve">카이만 프로 롱기장 구스다운 점퍼</t>
  </si>
  <si>
    <t xml:space="preserve">N264UDW210</t>
  </si>
  <si>
    <r>
      <rPr>
        <sz val="11"/>
        <color rgb="FF0000FF"/>
        <rFont val="Cambria"/>
        <family val="0"/>
        <charset val="1"/>
      </rPr>
      <t xml:space="preserve">[PERTEX] </t>
    </r>
    <r>
      <rPr>
        <sz val="11"/>
        <color rgb="FF0000FF"/>
        <rFont val="WenQuanYi Zen Hei"/>
        <family val="2"/>
      </rPr>
      <t xml:space="preserve">토르니에 경량 블루종 구스다운 점퍼</t>
    </r>
  </si>
  <si>
    <t xml:space="preserve">N264UFJ150</t>
  </si>
  <si>
    <t xml:space="preserve">코스토니 후드 플리스 자켓</t>
  </si>
  <si>
    <t xml:space="preserve">N264UFJ151</t>
  </si>
  <si>
    <t xml:space="preserve">코스토니 스탠드넥 플리스 자켓</t>
  </si>
  <si>
    <t xml:space="preserve">N264UFJ152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</si>
  <si>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쉐르파 포켓 배색 후드 자켓</t>
    </r>
  </si>
  <si>
    <t xml:space="preserve">N264UFV150</t>
  </si>
  <si>
    <t xml:space="preserve">코스토니 스탠드넥 플리스 베스트</t>
  </si>
  <si>
    <t xml:space="preserve">N264UPD210</t>
  </si>
  <si>
    <t xml:space="preserve">경량 솔라볼 스탠드넥 패딩 점퍼</t>
  </si>
  <si>
    <t xml:space="preserve">N264UPD220</t>
  </si>
  <si>
    <t xml:space="preserve">솔라볼 리버시블 후드 롱패딩 점퍼</t>
  </si>
  <si>
    <t xml:space="preserve">N264UFT050</t>
  </si>
  <si>
    <t xml:space="preserve">아르켈론 더블웜 기모 우븐 베이직핏 후드 풀집업</t>
  </si>
  <si>
    <t xml:space="preserve">N264UKT020</t>
  </si>
  <si>
    <t xml:space="preserve">가먼트다잉 라운드 니트</t>
  </si>
  <si>
    <t xml:space="preserve">N264USH070</t>
  </si>
  <si>
    <t xml:space="preserve">코듀로이 셔츠형 자켓</t>
  </si>
  <si>
    <t xml:space="preserve">N264USW020</t>
  </si>
  <si>
    <t xml:space="preserve">폴리카터 베이직핏 기모 맨투맨</t>
  </si>
  <si>
    <t xml:space="preserve">N264USW050</t>
  </si>
  <si>
    <t xml:space="preserve">아르켈론 더블웜 기모 우븐 맨투맨</t>
  </si>
  <si>
    <t xml:space="preserve">N264USW901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</si>
  <si>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그래픽 세미오버핏 기모 맨투맨</t>
    </r>
  </si>
  <si>
    <t xml:space="preserve">N264UWT050</t>
  </si>
  <si>
    <t xml:space="preserve">루나 뮬</t>
  </si>
  <si>
    <t xml:space="preserve">N264WPT050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</si>
  <si>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아르켈론 더블웜 기모 우븐 릴렉스핏 스트레이트 팬츠</t>
    </r>
  </si>
  <si>
    <t xml:space="preserve">N264WPT051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</si>
  <si>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아르켈론 더블웜 기모 우븐 릴렉스핏 조거 팬츠</t>
    </r>
  </si>
  <si>
    <t xml:space="preserve">N264WDV020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</si>
  <si>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헤론 </t>
    </r>
    <r>
      <rPr>
        <sz val="11"/>
        <color rgb="FF0000FF"/>
        <rFont val="Cambria"/>
        <family val="0"/>
        <charset val="1"/>
      </rPr>
      <t xml:space="preserve">U</t>
    </r>
    <r>
      <rPr>
        <sz val="11"/>
        <color rgb="FF0000FF"/>
        <rFont val="WenQuanYi Zen Hei"/>
        <family val="2"/>
      </rPr>
      <t xml:space="preserve">넥 경량 구스다운 베스트</t>
    </r>
  </si>
  <si>
    <t xml:space="preserve">N264WDV041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</si>
  <si>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니트라이크 후드 덕다운 베스트</t>
    </r>
  </si>
  <si>
    <t xml:space="preserve">N264WDW010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</si>
  <si>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라이트팩 경량 후드 덕다운 점퍼</t>
    </r>
  </si>
  <si>
    <t xml:space="preserve">N264WDW020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</si>
  <si>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헤론 </t>
    </r>
    <r>
      <rPr>
        <sz val="11"/>
        <color rgb="FF0000FF"/>
        <rFont val="Cambria"/>
        <family val="0"/>
        <charset val="1"/>
      </rPr>
      <t xml:space="preserve">U</t>
    </r>
    <r>
      <rPr>
        <sz val="11"/>
        <color rgb="FF0000FF"/>
        <rFont val="WenQuanYi Zen Hei"/>
        <family val="2"/>
      </rPr>
      <t xml:space="preserve">넥 경량 구스다운 점퍼</t>
    </r>
  </si>
  <si>
    <t xml:space="preserve">N264WDW021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</si>
  <si>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헤론 </t>
    </r>
    <r>
      <rPr>
        <sz val="11"/>
        <color rgb="FF0000FF"/>
        <rFont val="Cambria"/>
        <family val="0"/>
        <charset val="1"/>
      </rPr>
      <t xml:space="preserve">U</t>
    </r>
    <r>
      <rPr>
        <sz val="11"/>
        <color rgb="FF0000FF"/>
        <rFont val="WenQuanYi Zen Hei"/>
        <family val="2"/>
      </rPr>
      <t xml:space="preserve">넥 글로시 구스다운 점퍼</t>
    </r>
  </si>
  <si>
    <t xml:space="preserve">N264WDW121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</si>
  <si>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레이만 스탠드넥 덕다운 점퍼</t>
    </r>
  </si>
  <si>
    <t xml:space="preserve">N264WDW130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</si>
  <si>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레녹 셔링 스탠드넥 덕다운 점퍼</t>
    </r>
  </si>
  <si>
    <t xml:space="preserve">N264WDW140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</si>
  <si>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타루가 블루종 덕다운 점퍼</t>
    </r>
  </si>
  <si>
    <t xml:space="preserve">N264WDW151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</si>
  <si>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퓨어이펙트 스탠드넥 다운 점퍼</t>
    </r>
  </si>
  <si>
    <t xml:space="preserve">N264WDW153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</si>
  <si>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퓨어이펙트 리버시블 후드 덕다운 점퍼</t>
    </r>
  </si>
  <si>
    <t xml:space="preserve">N264WDW160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</si>
  <si>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카이만 프로 롱기장 구스다운 점퍼</t>
    </r>
  </si>
  <si>
    <t xml:space="preserve">N264WDW170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</si>
  <si>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레더라이크 덕다운 점퍼</t>
    </r>
  </si>
  <si>
    <t xml:space="preserve">N264WFJ150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</si>
  <si>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코스토니 후드 플리스 자켓</t>
    </r>
  </si>
  <si>
    <t xml:space="preserve">N264WFJ151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</si>
  <si>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코스토니 플리스 롱기장 자켓</t>
    </r>
  </si>
  <si>
    <t xml:space="preserve">N264WFJ160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</si>
  <si>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디퍼 후드 페이크퍼 자켓</t>
    </r>
  </si>
  <si>
    <t xml:space="preserve">N264WFV150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</si>
  <si>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코스토니 플리스 베스트</t>
    </r>
  </si>
  <si>
    <t xml:space="preserve">N264WFT050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</si>
  <si>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아르켈론 더블웜 기모 우븐 후드 풀집업</t>
    </r>
  </si>
  <si>
    <t xml:space="preserve">N264WKT020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</si>
  <si>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부클 라운드 니트</t>
    </r>
  </si>
  <si>
    <t xml:space="preserve">N265AAC020</t>
  </si>
  <si>
    <t xml:space="preserve">메쉬백팩파우치</t>
  </si>
  <si>
    <t xml:space="preserve">N265AAC080</t>
  </si>
  <si>
    <t xml:space="preserve">원터치벨트</t>
  </si>
  <si>
    <t xml:space="preserve">N265ABG060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</si>
  <si>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리브백팩</t>
    </r>
  </si>
  <si>
    <t xml:space="preserve">N265ABG030</t>
  </si>
  <si>
    <t xml:space="preserve">어반프라임백팩</t>
  </si>
  <si>
    <t xml:space="preserve">N265ABG070</t>
  </si>
  <si>
    <r>
      <rPr>
        <sz val="11"/>
        <color rgb="FF0000FF"/>
        <rFont val="WenQuanYi Zen Hei"/>
        <family val="2"/>
      </rPr>
      <t xml:space="preserve">울트라백팩</t>
    </r>
    <r>
      <rPr>
        <sz val="11"/>
        <color rgb="FF0000FF"/>
        <rFont val="Cambria"/>
        <family val="0"/>
        <charset val="1"/>
      </rPr>
      <t xml:space="preserve">20</t>
    </r>
  </si>
  <si>
    <t xml:space="preserve">N265ACR010</t>
  </si>
  <si>
    <r>
      <rPr>
        <sz val="11"/>
        <color rgb="FF0000FF"/>
        <rFont val="WenQuanYi Zen Hei"/>
        <family val="2"/>
      </rPr>
      <t xml:space="preserve">파치메신저백</t>
    </r>
    <r>
      <rPr>
        <sz val="11"/>
        <color rgb="FF0000FF"/>
        <rFont val="Cambria"/>
        <family val="0"/>
        <charset val="1"/>
      </rPr>
      <t xml:space="preserve">16"</t>
    </r>
  </si>
  <si>
    <t xml:space="preserve">N265ACR030</t>
  </si>
  <si>
    <r>
      <rPr>
        <sz val="11"/>
        <color rgb="FF0000FF"/>
        <rFont val="WenQuanYi Zen Hei"/>
        <family val="2"/>
      </rPr>
      <t xml:space="preserve">라코메신저백</t>
    </r>
    <r>
      <rPr>
        <sz val="11"/>
        <color rgb="FF0000FF"/>
        <rFont val="Cambria"/>
        <family val="0"/>
        <charset val="1"/>
      </rPr>
      <t xml:space="preserve">14"</t>
    </r>
  </si>
  <si>
    <t xml:space="preserve">N265ACR060</t>
  </si>
  <si>
    <t xml:space="preserve">코어오리지날슬링백</t>
  </si>
  <si>
    <t xml:space="preserve">N265ACR070</t>
  </si>
  <si>
    <t xml:space="preserve">파치슬링백</t>
  </si>
  <si>
    <t xml:space="preserve">N265ACR110</t>
  </si>
  <si>
    <t xml:space="preserve">스트링슬링백</t>
  </si>
  <si>
    <t xml:space="preserve">N265ACR130</t>
  </si>
  <si>
    <t xml:space="preserve">라이트와이드크로스백</t>
  </si>
  <si>
    <t xml:space="preserve">N265ACR150</t>
  </si>
  <si>
    <t xml:space="preserve">아이콘커버백</t>
  </si>
  <si>
    <t xml:space="preserve">N265ACR160</t>
  </si>
  <si>
    <t xml:space="preserve">파치크로스백</t>
  </si>
  <si>
    <t xml:space="preserve">N265ACR210</t>
  </si>
  <si>
    <t xml:space="preserve">버트크로스백</t>
  </si>
  <si>
    <t xml:space="preserve">N265ACR220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</si>
  <si>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루미버킷백</t>
    </r>
  </si>
  <si>
    <t xml:space="preserve">N265ACR260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</si>
  <si>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루미호보백</t>
    </r>
  </si>
  <si>
    <t xml:space="preserve">N265ACR090</t>
  </si>
  <si>
    <t xml:space="preserve">빅로고슬링백</t>
  </si>
  <si>
    <t xml:space="preserve">N265ACR230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</si>
  <si>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어반트래블크로스백</t>
    </r>
  </si>
  <si>
    <t xml:space="preserve">N265ACR660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</si>
  <si>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파치크로스백</t>
    </r>
  </si>
  <si>
    <t xml:space="preserve">N265AHA010</t>
  </si>
  <si>
    <t xml:space="preserve">스몰로고캡</t>
  </si>
  <si>
    <t xml:space="preserve">N265AHA020</t>
  </si>
  <si>
    <t xml:space="preserve">라이트볼캡</t>
  </si>
  <si>
    <t xml:space="preserve">N265AHA030</t>
  </si>
  <si>
    <t xml:space="preserve">어반메탈로고캡</t>
  </si>
  <si>
    <t xml:space="preserve">N265AHA060</t>
  </si>
  <si>
    <t xml:space="preserve">엔지니어드볼캡</t>
  </si>
  <si>
    <t xml:space="preserve">N265AHA070</t>
  </si>
  <si>
    <t xml:space="preserve">어반고어텍스캡</t>
  </si>
  <si>
    <t xml:space="preserve">N265AHA090</t>
  </si>
  <si>
    <t xml:space="preserve">타공스트레치캡</t>
  </si>
  <si>
    <t xml:space="preserve">N265AHA130</t>
  </si>
  <si>
    <t xml:space="preserve">캠프햇</t>
  </si>
  <si>
    <t xml:space="preserve">N265AHI020</t>
  </si>
  <si>
    <t xml:space="preserve">크래스트힙색</t>
  </si>
  <si>
    <t xml:space="preserve">N265ASO010</t>
  </si>
  <si>
    <t xml:space="preserve">번들미들삭스</t>
  </si>
  <si>
    <t xml:space="preserve">N265ASO020</t>
  </si>
  <si>
    <t xml:space="preserve">번들스니커즈삭스</t>
  </si>
  <si>
    <t xml:space="preserve">N265ASO030</t>
  </si>
  <si>
    <t xml:space="preserve">번들앵클삭스</t>
  </si>
  <si>
    <t xml:space="preserve">N265ASO040</t>
  </si>
  <si>
    <t xml:space="preserve">스트라이프미들삭스</t>
  </si>
  <si>
    <t xml:space="preserve">N265ASO050</t>
  </si>
  <si>
    <t xml:space="preserve">스트라이프크루삭스</t>
  </si>
  <si>
    <t xml:space="preserve">N265ATO010</t>
  </si>
  <si>
    <t xml:space="preserve">크래스트헬맷백</t>
  </si>
  <si>
    <t xml:space="preserve">N265ATO020</t>
  </si>
  <si>
    <t xml:space="preserve">크래스트토트백</t>
  </si>
  <si>
    <t xml:space="preserve">기타</t>
  </si>
  <si>
    <t xml:space="preserve">N265APE495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</si>
  <si>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수출단독</t>
    </r>
    <r>
      <rPr>
        <sz val="11"/>
        <color rgb="FF0000FF"/>
        <rFont val="Cambria"/>
        <family val="0"/>
        <charset val="1"/>
      </rPr>
      <t xml:space="preserve">-</t>
    </r>
    <r>
      <rPr>
        <sz val="11"/>
        <color rgb="FF0000FF"/>
        <rFont val="WenQuanYi Zen Hei"/>
        <family val="2"/>
      </rPr>
      <t xml:space="preserve">사</t>
    </r>
    <r>
      <rPr>
        <sz val="11"/>
        <color rgb="FF0000FF"/>
        <rFont val="Cambria"/>
        <family val="0"/>
        <charset val="1"/>
      </rPr>
      <t xml:space="preserve">)NG</t>
    </r>
    <r>
      <rPr>
        <sz val="11"/>
        <color rgb="FF0000FF"/>
        <rFont val="WenQuanYi Zen Hei"/>
        <family val="2"/>
      </rPr>
      <t xml:space="preserve">쇼퍼백</t>
    </r>
  </si>
  <si>
    <t xml:space="preserve">N265MJP250</t>
  </si>
  <si>
    <r>
      <rPr>
        <sz val="11"/>
        <color rgb="FF0000FF"/>
        <rFont val="WenQuanYi Zen Hei"/>
        <family val="2"/>
      </rPr>
      <t xml:space="preserve">아틀라스 </t>
    </r>
    <r>
      <rPr>
        <sz val="11"/>
        <color rgb="FF0000FF"/>
        <rFont val="Cambria"/>
        <family val="0"/>
        <charset val="1"/>
      </rPr>
      <t xml:space="preserve">GORE-TEX 3L </t>
    </r>
    <r>
      <rPr>
        <sz val="11"/>
        <color rgb="FF0000FF"/>
        <rFont val="WenQuanYi Zen Hei"/>
        <family val="2"/>
      </rPr>
      <t xml:space="preserve">방수 자켓</t>
    </r>
  </si>
  <si>
    <t xml:space="preserve">N265UTS010</t>
  </si>
  <si>
    <t xml:space="preserve">네오디 스몰로고 반팔 티셔츠</t>
  </si>
  <si>
    <t xml:space="preserve">N265UTS909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</si>
  <si>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수피마 세미오버핏 반팔 티셔츠</t>
    </r>
  </si>
  <si>
    <t xml:space="preserve">N265UJG010</t>
  </si>
  <si>
    <t xml:space="preserve">쉬프트</t>
  </si>
  <si>
    <t xml:space="preserve">N265UUG010</t>
  </si>
  <si>
    <t xml:space="preserve">하이킥</t>
  </si>
  <si>
    <t xml:space="preserve">N265WJP250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</si>
  <si>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아틀라스 </t>
    </r>
    <r>
      <rPr>
        <sz val="11"/>
        <color rgb="FF0000FF"/>
        <rFont val="Cambria"/>
        <family val="0"/>
        <charset val="1"/>
      </rPr>
      <t xml:space="preserve">GORE-TEX 3L </t>
    </r>
    <r>
      <rPr>
        <sz val="11"/>
        <color rgb="FF0000FF"/>
        <rFont val="WenQuanYi Zen Hei"/>
        <family val="2"/>
      </rPr>
      <t xml:space="preserve">방수 자켓</t>
    </r>
  </si>
  <si>
    <r>
      <rPr>
        <sz val="11"/>
        <color rgb="FF0000FF"/>
        <rFont val="WenQuanYi Zen Hei"/>
        <family val="2"/>
      </rPr>
      <t xml:space="preserve">해외전용</t>
    </r>
    <r>
      <rPr>
        <sz val="11"/>
        <color rgb="FF0000FF"/>
        <rFont val="Cambria"/>
        <family val="0"/>
        <charset val="1"/>
      </rPr>
      <t xml:space="preserve">(NGA&amp;MG)</t>
    </r>
  </si>
  <si>
    <t xml:space="preserve">O261WTS302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</si>
  <si>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사선 절개 긴팔티셔츠</t>
    </r>
  </si>
  <si>
    <t xml:space="preserve">O262MHP193</t>
  </si>
  <si>
    <r>
      <rPr>
        <sz val="11"/>
        <color rgb="FF0000FF"/>
        <rFont val="WenQuanYi Zen Hei"/>
        <family val="2"/>
      </rPr>
      <t xml:space="preserve">프로즌</t>
    </r>
    <r>
      <rPr>
        <sz val="11"/>
        <color rgb="FF0000FF"/>
        <rFont val="Cambria"/>
        <family val="0"/>
        <charset val="1"/>
      </rPr>
      <t xml:space="preserve">+ </t>
    </r>
    <r>
      <rPr>
        <sz val="11"/>
        <color rgb="FF0000FF"/>
        <rFont val="WenQuanYi Zen Hei"/>
        <family val="2"/>
      </rPr>
      <t xml:space="preserve">반바지</t>
    </r>
  </si>
  <si>
    <t xml:space="preserve">O262UJP011</t>
  </si>
  <si>
    <r>
      <rPr>
        <sz val="11"/>
        <color rgb="FF0000FF"/>
        <rFont val="WenQuanYi Zen Hei"/>
        <family val="2"/>
      </rPr>
      <t xml:space="preserve">스킨 초경량 </t>
    </r>
    <r>
      <rPr>
        <sz val="11"/>
        <color rgb="FF0000FF"/>
        <rFont val="Cambria"/>
        <family val="0"/>
        <charset val="1"/>
      </rPr>
      <t xml:space="preserve">UV </t>
    </r>
    <r>
      <rPr>
        <sz val="11"/>
        <color rgb="FF0000FF"/>
        <rFont val="WenQuanYi Zen Hei"/>
        <family val="2"/>
      </rPr>
      <t xml:space="preserve">점퍼</t>
    </r>
  </si>
  <si>
    <t xml:space="preserve">O262UTS191</t>
  </si>
  <si>
    <r>
      <rPr>
        <sz val="11"/>
        <color rgb="FF0000FF"/>
        <rFont val="WenQuanYi Zen Hei"/>
        <family val="2"/>
      </rPr>
      <t xml:space="preserve">프로즌</t>
    </r>
    <r>
      <rPr>
        <sz val="11"/>
        <color rgb="FF0000FF"/>
        <rFont val="Cambria"/>
        <family val="0"/>
        <charset val="1"/>
      </rPr>
      <t xml:space="preserve">+ </t>
    </r>
    <r>
      <rPr>
        <sz val="11"/>
        <color rgb="FF0000FF"/>
        <rFont val="WenQuanYi Zen Hei"/>
        <family val="2"/>
      </rPr>
      <t xml:space="preserve">포켓 포인트티셔츠</t>
    </r>
  </si>
  <si>
    <t xml:space="preserve">B2B</t>
  </si>
  <si>
    <t xml:space="preserve">O262UTS920</t>
  </si>
  <si>
    <t xml:space="preserve">베이직 반팔 로고 티셔츠</t>
  </si>
  <si>
    <t xml:space="preserve">O262UTS901</t>
  </si>
  <si>
    <r>
      <rPr>
        <sz val="11"/>
        <color rgb="FF0000FF"/>
        <rFont val="WenQuanYi Zen Hei"/>
        <family val="2"/>
      </rPr>
      <t xml:space="preserve">대만 거실 그래픽 티셔크 </t>
    </r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세미오버핏</t>
    </r>
    <r>
      <rPr>
        <sz val="11"/>
        <color rgb="FF0000FF"/>
        <rFont val="Cambria"/>
        <family val="0"/>
        <charset val="1"/>
      </rPr>
      <t xml:space="preserve">) </t>
    </r>
  </si>
  <si>
    <t xml:space="preserve">O262UTS902</t>
  </si>
  <si>
    <r>
      <rPr>
        <sz val="11"/>
        <color rgb="FF0000FF"/>
        <rFont val="WenQuanYi Zen Hei"/>
        <family val="2"/>
      </rPr>
      <t xml:space="preserve">대만 검정곰 그래픽 티셔츠</t>
    </r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세미오버핏</t>
    </r>
    <r>
      <rPr>
        <sz val="11"/>
        <color rgb="FF0000FF"/>
        <rFont val="Cambria"/>
        <family val="0"/>
        <charset val="1"/>
      </rPr>
      <t xml:space="preserve">) </t>
    </r>
  </si>
  <si>
    <t xml:space="preserve">O262UTS903</t>
  </si>
  <si>
    <r>
      <rPr>
        <sz val="11"/>
        <color rgb="FF0000FF"/>
        <rFont val="WenQuanYi Zen Hei"/>
        <family val="2"/>
      </rPr>
      <t xml:space="preserve">대만 바다 거북 그래픽 티셔츠</t>
    </r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세미오버핏</t>
    </r>
    <r>
      <rPr>
        <sz val="11"/>
        <color rgb="FF0000FF"/>
        <rFont val="Cambria"/>
        <family val="0"/>
        <charset val="1"/>
      </rPr>
      <t xml:space="preserve">) </t>
    </r>
  </si>
  <si>
    <t xml:space="preserve">O262UTS904</t>
  </si>
  <si>
    <r>
      <rPr>
        <sz val="11"/>
        <color rgb="FF0000FF"/>
        <rFont val="WenQuanYi Zen Hei"/>
        <family val="2"/>
      </rPr>
      <t xml:space="preserve">대만 퀸즈 헤드 그래픽 티셔츠</t>
    </r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세미 오버 핏</t>
    </r>
    <r>
      <rPr>
        <sz val="11"/>
        <color rgb="FF0000FF"/>
        <rFont val="Cambria"/>
        <family val="0"/>
        <charset val="1"/>
      </rPr>
      <t xml:space="preserve">) </t>
    </r>
  </si>
  <si>
    <t xml:space="preserve">O262UTS905</t>
  </si>
  <si>
    <r>
      <rPr>
        <sz val="11"/>
        <color rgb="FF0000FF"/>
        <rFont val="WenQuanYi Zen Hei"/>
        <family val="2"/>
      </rPr>
      <t xml:space="preserve">대만 지우펀 그래픽 티셔츠</t>
    </r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세미 오버 핏</t>
    </r>
    <r>
      <rPr>
        <sz val="11"/>
        <color rgb="FF0000FF"/>
        <rFont val="Cambria"/>
        <family val="0"/>
        <charset val="1"/>
      </rPr>
      <t xml:space="preserve">)</t>
    </r>
  </si>
  <si>
    <t xml:space="preserve">O262UTS906</t>
  </si>
  <si>
    <r>
      <rPr>
        <sz val="11"/>
        <color rgb="FF0000FF"/>
        <rFont val="WenQuanYi Zen Hei"/>
        <family val="2"/>
      </rPr>
      <t xml:space="preserve">대만 조이 그래픽 티셔츠 </t>
    </r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세미오버핏</t>
    </r>
    <r>
      <rPr>
        <sz val="11"/>
        <color rgb="FF0000FF"/>
        <rFont val="Cambria"/>
        <family val="0"/>
        <charset val="1"/>
      </rPr>
      <t xml:space="preserve">)</t>
    </r>
  </si>
  <si>
    <t xml:space="preserve">O262WPT301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</si>
  <si>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카시아 랩형 스커트 팬츠</t>
    </r>
  </si>
  <si>
    <t xml:space="preserve">O262WSK141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</si>
  <si>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포켓 포인트 스커트</t>
    </r>
  </si>
  <si>
    <t xml:space="preserve">O262WSK170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</si>
  <si>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벌룬핏 스커트</t>
    </r>
  </si>
  <si>
    <t xml:space="preserve">O262WSK301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</si>
  <si>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카시아 포켓 스커트</t>
    </r>
  </si>
  <si>
    <t xml:space="preserve">O262WSK330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</si>
  <si>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에어닷 주름스커트</t>
    </r>
  </si>
  <si>
    <t xml:space="preserve">O262WJP301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</si>
  <si>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스킨 라이트팩 초경량 점퍼</t>
    </r>
  </si>
  <si>
    <t xml:space="preserve">O262WFT142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</si>
  <si>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냉감 스트레치 여성 후드 반집업 </t>
    </r>
  </si>
  <si>
    <t xml:space="preserve">O262WOP302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</si>
  <si>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카시아 오버롤 원피스</t>
    </r>
  </si>
  <si>
    <t xml:space="preserve">O262WTS926</t>
  </si>
  <si>
    <t xml:space="preserve">여성 반팔 로고 티셔츠</t>
  </si>
  <si>
    <t xml:space="preserve">O262WTS303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</si>
  <si>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카시아 우븐 티셔츠</t>
    </r>
  </si>
  <si>
    <t xml:space="preserve">O263MJK301</t>
  </si>
  <si>
    <r>
      <rPr>
        <sz val="11"/>
        <color rgb="FF0000FF"/>
        <rFont val="Cambria"/>
        <family val="0"/>
        <charset val="1"/>
      </rPr>
      <t xml:space="preserve">DEMIZAX 3L </t>
    </r>
    <r>
      <rPr>
        <sz val="11"/>
        <color rgb="FF0000FF"/>
        <rFont val="WenQuanYi Zen Hei"/>
        <family val="2"/>
      </rPr>
      <t xml:space="preserve">퍼펙트 기능성 자켓</t>
    </r>
  </si>
  <si>
    <t xml:space="preserve">O263UHD900</t>
  </si>
  <si>
    <t xml:space="preserve">대만 설산 그래픽 후디</t>
  </si>
  <si>
    <t xml:space="preserve">O263UHD901</t>
  </si>
  <si>
    <t xml:space="preserve">대만 미어캣 자수 후디</t>
  </si>
  <si>
    <t xml:space="preserve">O263USW901</t>
  </si>
  <si>
    <t xml:space="preserve">대만 고슴도치 자수 맨투맨 티셔츠</t>
  </si>
  <si>
    <t xml:space="preserve">O263USW902</t>
  </si>
  <si>
    <t xml:space="preserve">대만 알파카 자수 맨투맨 티셔츠 </t>
  </si>
  <si>
    <t xml:space="preserve">O263UTS900</t>
  </si>
  <si>
    <t xml:space="preserve">대만 기차 그래픽 반팔 티셔츠 </t>
  </si>
  <si>
    <t xml:space="preserve">O263UTS901</t>
  </si>
  <si>
    <t xml:space="preserve">대만 오토바이 그래픽 반팔 티셔츠</t>
  </si>
  <si>
    <t xml:space="preserve">O263UTS902</t>
  </si>
  <si>
    <t xml:space="preserve">대만 레오파트 그래픽 반팔티</t>
  </si>
  <si>
    <t xml:space="preserve">O263UTS903</t>
  </si>
  <si>
    <t xml:space="preserve">대만 레오파드 자수 반팔 티셔츠</t>
  </si>
  <si>
    <t xml:space="preserve">O263UTS904</t>
  </si>
  <si>
    <t xml:space="preserve">대만 다람쥐 그래픽 반팔 티셔츠</t>
  </si>
  <si>
    <t xml:space="preserve">O263UTS905</t>
  </si>
  <si>
    <t xml:space="preserve">대만 사향 고양이 자수 반팔 티셔츠</t>
  </si>
  <si>
    <t xml:space="preserve">O263WSK301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</si>
  <si>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립스탑 스커트</t>
    </r>
  </si>
  <si>
    <t xml:space="preserve">O263WJK301</t>
  </si>
  <si>
    <r>
      <rPr>
        <sz val="11"/>
        <color rgb="FF0000FF"/>
        <rFont val="Cambria"/>
        <family val="0"/>
        <charset val="1"/>
      </rPr>
      <t xml:space="preserve">W' DEMIZAX 3L </t>
    </r>
    <r>
      <rPr>
        <sz val="11"/>
        <color rgb="FF0000FF"/>
        <rFont val="WenQuanYi Zen Hei"/>
        <family val="2"/>
      </rPr>
      <t xml:space="preserve">퍼펙트 기능성 자켓</t>
    </r>
  </si>
  <si>
    <t xml:space="preserve">O263WFT301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</si>
  <si>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아르켈론 집업 자켓</t>
    </r>
  </si>
  <si>
    <t xml:space="preserve">O264MDW301</t>
  </si>
  <si>
    <r>
      <rPr>
        <sz val="11"/>
        <color rgb="FF0000FF"/>
        <rFont val="WenQuanYi Zen Hei"/>
        <family val="2"/>
      </rPr>
      <t xml:space="preserve">윈드브레이커 </t>
    </r>
    <r>
      <rPr>
        <sz val="11"/>
        <color rgb="FF0000FF"/>
        <rFont val="Cambria"/>
        <family val="0"/>
        <charset val="1"/>
      </rPr>
      <t xml:space="preserve">3IN1 </t>
    </r>
    <r>
      <rPr>
        <sz val="11"/>
        <color rgb="FF0000FF"/>
        <rFont val="WenQuanYi Zen Hei"/>
        <family val="2"/>
      </rPr>
      <t xml:space="preserve">다운 자켓</t>
    </r>
  </si>
  <si>
    <t xml:space="preserve">O264WDW301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</si>
  <si>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윈드브레이커 </t>
    </r>
    <r>
      <rPr>
        <sz val="11"/>
        <color rgb="FF0000FF"/>
        <rFont val="Cambria"/>
        <family val="0"/>
        <charset val="1"/>
      </rPr>
      <t xml:space="preserve">3IN1 </t>
    </r>
    <r>
      <rPr>
        <sz val="11"/>
        <color rgb="FF0000FF"/>
        <rFont val="WenQuanYi Zen Hei"/>
        <family val="2"/>
      </rPr>
      <t xml:space="preserve">다운 자켓</t>
    </r>
  </si>
  <si>
    <t xml:space="preserve">O264WDW302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</si>
  <si>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퍼 리버서블 덕다운 자켓</t>
    </r>
  </si>
  <si>
    <t xml:space="preserve">O264WDW303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</si>
  <si>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네이쳐 문양 구스 다운 자켓</t>
    </r>
  </si>
  <si>
    <t xml:space="preserve">O264WDW304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</si>
  <si>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솔리드 숏기장 구스 다운 자켓</t>
    </r>
  </si>
  <si>
    <t xml:space="preserve">O264WKT010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</si>
  <si>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스웨터 니트 가디건</t>
    </r>
  </si>
  <si>
    <t xml:space="preserve">O264WOP301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</si>
  <si>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원피스</t>
    </r>
  </si>
  <si>
    <t xml:space="preserve">O265ABG020</t>
  </si>
  <si>
    <r>
      <rPr>
        <sz val="11"/>
        <color rgb="FF0000FF"/>
        <rFont val="WenQuanYi Zen Hei"/>
        <family val="2"/>
      </rPr>
      <t xml:space="preserve">파치백팩</t>
    </r>
    <r>
      <rPr>
        <sz val="11"/>
        <color rgb="FF0000FF"/>
        <rFont val="Cambria"/>
        <family val="0"/>
        <charset val="1"/>
      </rPr>
      <t xml:space="preserve">_</t>
    </r>
    <r>
      <rPr>
        <sz val="11"/>
        <color rgb="FF0000FF"/>
        <rFont val="WenQuanYi Zen Hei"/>
        <family val="2"/>
      </rPr>
      <t xml:space="preserve">라이트</t>
    </r>
  </si>
  <si>
    <t xml:space="preserve">O265ABG030</t>
  </si>
  <si>
    <r>
      <rPr>
        <sz val="11"/>
        <color rgb="FF0000FF"/>
        <rFont val="WenQuanYi Zen Hei"/>
        <family val="2"/>
      </rPr>
      <t xml:space="preserve">파치</t>
    </r>
    <r>
      <rPr>
        <sz val="11"/>
        <color rgb="FF0000FF"/>
        <rFont val="Cambria"/>
        <family val="0"/>
        <charset val="1"/>
      </rPr>
      <t xml:space="preserve">+</t>
    </r>
    <r>
      <rPr>
        <sz val="11"/>
        <color rgb="FF0000FF"/>
        <rFont val="WenQuanYi Zen Hei"/>
        <family val="2"/>
      </rPr>
      <t xml:space="preserve">백팩</t>
    </r>
    <r>
      <rPr>
        <sz val="11"/>
        <color rgb="FF0000FF"/>
        <rFont val="Cambria"/>
        <family val="0"/>
        <charset val="1"/>
      </rPr>
      <t xml:space="preserve">_</t>
    </r>
    <r>
      <rPr>
        <sz val="11"/>
        <color rgb="FF0000FF"/>
        <rFont val="WenQuanYi Zen Hei"/>
        <family val="2"/>
      </rPr>
      <t xml:space="preserve">라이트</t>
    </r>
  </si>
  <si>
    <t xml:space="preserve">O265ABG040</t>
  </si>
  <si>
    <r>
      <rPr>
        <sz val="11"/>
        <color rgb="FF0000FF"/>
        <rFont val="WenQuanYi Zen Hei"/>
        <family val="2"/>
      </rPr>
      <t xml:space="preserve">라코백팩</t>
    </r>
    <r>
      <rPr>
        <sz val="11"/>
        <color rgb="FF0000FF"/>
        <rFont val="Cambria"/>
        <family val="0"/>
        <charset val="1"/>
      </rPr>
      <t xml:space="preserve">_</t>
    </r>
    <r>
      <rPr>
        <sz val="11"/>
        <color rgb="FF0000FF"/>
        <rFont val="WenQuanYi Zen Hei"/>
        <family val="2"/>
      </rPr>
      <t xml:space="preserve">라이트</t>
    </r>
  </si>
  <si>
    <t xml:space="preserve">O265ABG050</t>
  </si>
  <si>
    <r>
      <rPr>
        <sz val="11"/>
        <color rgb="FF0000FF"/>
        <rFont val="WenQuanYi Zen Hei"/>
        <family val="2"/>
      </rPr>
      <t xml:space="preserve">유니티백팩</t>
    </r>
    <r>
      <rPr>
        <sz val="11"/>
        <color rgb="FF0000FF"/>
        <rFont val="Cambria"/>
        <family val="0"/>
        <charset val="1"/>
      </rPr>
      <t xml:space="preserve">_</t>
    </r>
    <r>
      <rPr>
        <sz val="11"/>
        <color rgb="FF0000FF"/>
        <rFont val="WenQuanYi Zen Hei"/>
        <family val="2"/>
      </rPr>
      <t xml:space="preserve">라이트</t>
    </r>
  </si>
  <si>
    <t xml:space="preserve">O265ABG060</t>
  </si>
  <si>
    <r>
      <rPr>
        <sz val="11"/>
        <color rgb="FF0000FF"/>
        <rFont val="WenQuanYi Zen Hei"/>
        <family val="2"/>
      </rPr>
      <t xml:space="preserve">브레이브백팩</t>
    </r>
    <r>
      <rPr>
        <sz val="11"/>
        <color rgb="FF0000FF"/>
        <rFont val="Cambria"/>
        <family val="0"/>
        <charset val="1"/>
      </rPr>
      <t xml:space="preserve">_</t>
    </r>
    <r>
      <rPr>
        <sz val="11"/>
        <color rgb="FF0000FF"/>
        <rFont val="WenQuanYi Zen Hei"/>
        <family val="2"/>
      </rPr>
      <t xml:space="preserve">라이트</t>
    </r>
  </si>
  <si>
    <t xml:space="preserve">O265ABG070</t>
  </si>
  <si>
    <r>
      <rPr>
        <sz val="11"/>
        <color rgb="FF0000FF"/>
        <rFont val="WenQuanYi Zen Hei"/>
        <family val="2"/>
      </rPr>
      <t xml:space="preserve">시프트백팩</t>
    </r>
    <r>
      <rPr>
        <sz val="11"/>
        <color rgb="FF0000FF"/>
        <rFont val="Cambria"/>
        <family val="0"/>
        <charset val="1"/>
      </rPr>
      <t xml:space="preserve">_</t>
    </r>
    <r>
      <rPr>
        <sz val="11"/>
        <color rgb="FF0000FF"/>
        <rFont val="WenQuanYi Zen Hei"/>
        <family val="2"/>
      </rPr>
      <t xml:space="preserve">라이트</t>
    </r>
  </si>
  <si>
    <t xml:space="preserve"> </t>
  </si>
  <si>
    <t xml:space="preserve">       소  계</t>
  </si>
  <si>
    <t xml:space="preserve">W9007</t>
  </si>
  <si>
    <t xml:space="preserve">홍콩법인</t>
  </si>
  <si>
    <t xml:space="preserve">K265APE498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</si>
  <si>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사</t>
    </r>
    <r>
      <rPr>
        <sz val="11"/>
        <color rgb="FF0000FF"/>
        <rFont val="Cambria"/>
        <family val="0"/>
        <charset val="1"/>
      </rPr>
      <t xml:space="preserve">)KIDS3</t>
    </r>
    <r>
      <rPr>
        <sz val="11"/>
        <color rgb="FF0000FF"/>
        <rFont val="WenQuanYi Zen Hei"/>
        <family val="2"/>
      </rPr>
      <t xml:space="preserve">단자동우산</t>
    </r>
  </si>
  <si>
    <t xml:space="preserve">N235APE498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</si>
  <si>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사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돗자리</t>
    </r>
  </si>
  <si>
    <t xml:space="preserve">캐리어</t>
  </si>
  <si>
    <t xml:space="preserve">N255ASU450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</si>
  <si>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부다페스트 캐리어 </t>
    </r>
    <r>
      <rPr>
        <sz val="11"/>
        <color rgb="FF0000FF"/>
        <rFont val="Cambria"/>
        <family val="0"/>
        <charset val="1"/>
      </rPr>
      <t xml:space="preserve">24</t>
    </r>
  </si>
  <si>
    <t xml:space="preserve">홈쇼핑</t>
  </si>
  <si>
    <t xml:space="preserve">N255APP510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</si>
  <si>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홈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풀데이 미니캐리어 </t>
    </r>
    <r>
      <rPr>
        <sz val="11"/>
        <color rgb="FF0000FF"/>
        <rFont val="Cambria"/>
        <family val="0"/>
        <charset val="1"/>
      </rPr>
      <t xml:space="preserve">V2</t>
    </r>
  </si>
  <si>
    <t xml:space="preserve">N255USN312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</si>
  <si>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스텀프 </t>
    </r>
    <r>
      <rPr>
        <sz val="11"/>
        <color rgb="FF0000FF"/>
        <rFont val="Cambria"/>
        <family val="0"/>
        <charset val="1"/>
      </rPr>
      <t xml:space="preserve">V3</t>
    </r>
  </si>
  <si>
    <t xml:space="preserve">N261MPT510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</si>
  <si>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베이직핏 조거 팬츠</t>
    </r>
  </si>
  <si>
    <t xml:space="preserve">N261MPT210</t>
  </si>
  <si>
    <t xml:space="preserve">아르마딜로 스트레치 베이직핏 스트레이트 팬츠</t>
  </si>
  <si>
    <t xml:space="preserve">N261MJP530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</si>
  <si>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필드 자켓</t>
    </r>
  </si>
  <si>
    <t xml:space="preserve">N261MJP210</t>
  </si>
  <si>
    <t xml:space="preserve">어반시티 블루종 점퍼</t>
  </si>
  <si>
    <t xml:space="preserve">N261MJP270</t>
  </si>
  <si>
    <r>
      <rPr>
        <sz val="11"/>
        <color rgb="FF0000FF"/>
        <rFont val="Cambria"/>
        <family val="0"/>
        <charset val="1"/>
      </rPr>
      <t xml:space="preserve">3L </t>
    </r>
    <r>
      <rPr>
        <sz val="11"/>
        <color rgb="FF0000FF"/>
        <rFont val="WenQuanYi Zen Hei"/>
        <family val="2"/>
      </rPr>
      <t xml:space="preserve">방수 후드형 자켓</t>
    </r>
  </si>
  <si>
    <t xml:space="preserve">N261MFT510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</si>
  <si>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세미오버핏 후드 풀집업</t>
    </r>
  </si>
  <si>
    <t xml:space="preserve">N261UPT050</t>
  </si>
  <si>
    <t xml:space="preserve">마게이 베이직핏 조거 카고 팬츠</t>
  </si>
  <si>
    <t xml:space="preserve">N261UPT091</t>
  </si>
  <si>
    <t xml:space="preserve">리오 스트레치 베이직핏 조거 카고 팬츠</t>
  </si>
  <si>
    <t xml:space="preserve">N261UFT050</t>
  </si>
  <si>
    <t xml:space="preserve">마게이 소매 포켓 베이직핏 후드 풀집업</t>
  </si>
  <si>
    <t xml:space="preserve">N261UFT090</t>
  </si>
  <si>
    <t xml:space="preserve">리오 스트레치 세미오버핏 후드 풀집업</t>
  </si>
  <si>
    <t xml:space="preserve">N261UFT220</t>
  </si>
  <si>
    <t xml:space="preserve">어반 스트레치 액티브핏 후드 집업</t>
  </si>
  <si>
    <t xml:space="preserve">N261USW050</t>
  </si>
  <si>
    <t xml:space="preserve">가슴포켓 세미오버핏 하이브리드 맨투맨</t>
  </si>
  <si>
    <t xml:space="preserve">N261USW210</t>
  </si>
  <si>
    <t xml:space="preserve">블루핀 로고 세미오버핏 맨투맨</t>
  </si>
  <si>
    <t xml:space="preserve">N261WJP100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</si>
  <si>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스트레치 중기장 스탠드넥 점퍼</t>
    </r>
  </si>
  <si>
    <t xml:space="preserve">N262MPT030</t>
  </si>
  <si>
    <t xml:space="preserve">크로우 세미루즈핏 스트레이트 카고 팬츠</t>
  </si>
  <si>
    <t xml:space="preserve">N262MPT510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</si>
  <si>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경량 어드벤처 베이직핏 조거 팬츠</t>
    </r>
  </si>
  <si>
    <t xml:space="preserve">N262MPT210</t>
  </si>
  <si>
    <t xml:space="preserve">골든자칼 고신축 베이직핏 스트레이트 팬츠</t>
  </si>
  <si>
    <t xml:space="preserve">N262MPT320</t>
  </si>
  <si>
    <t xml:space="preserve">에어서커 베이직핏 스트레이트 팬츠</t>
  </si>
  <si>
    <t xml:space="preserve">N262MVT540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</si>
  <si>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베스트</t>
    </r>
  </si>
  <si>
    <t xml:space="preserve">N262MVT230</t>
  </si>
  <si>
    <t xml:space="preserve">베이드 경량 베스트</t>
  </si>
  <si>
    <t xml:space="preserve">N262MFT310</t>
  </si>
  <si>
    <t xml:space="preserve">에어서커 스탠드넥 집업 점퍼</t>
  </si>
  <si>
    <t xml:space="preserve">N262MSH560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</si>
  <si>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멀티포켓 세미오버핏 반팔 셔츠</t>
    </r>
  </si>
  <si>
    <t xml:space="preserve">N262MTS570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</si>
  <si>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네이쳐 냉감 로고 세미오버핏 티셔츠</t>
    </r>
  </si>
  <si>
    <t xml:space="preserve">N262MTS270</t>
  </si>
  <si>
    <t xml:space="preserve">와플 세미오버핏 반팔 티셔츠</t>
  </si>
  <si>
    <t xml:space="preserve">N262UHP210</t>
  </si>
  <si>
    <r>
      <rPr>
        <sz val="11"/>
        <color rgb="FF0000FF"/>
        <rFont val="WenQuanYi Zen Hei"/>
        <family val="2"/>
      </rPr>
      <t xml:space="preserve">키프로스 </t>
    </r>
    <r>
      <rPr>
        <sz val="11"/>
        <color rgb="FF0000FF"/>
        <rFont val="Cambria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부 쇼츠</t>
    </r>
  </si>
  <si>
    <t xml:space="preserve">N262UJP010</t>
  </si>
  <si>
    <t xml:space="preserve">월리스 후드 풀집업 바람막이</t>
  </si>
  <si>
    <t xml:space="preserve">N262UJP230</t>
  </si>
  <si>
    <t xml:space="preserve">베이드 경량 벤틸레이션 후드 점퍼</t>
  </si>
  <si>
    <t xml:space="preserve">N262UTS090</t>
  </si>
  <si>
    <t xml:space="preserve">크로우 트리코트 세미오버핏 반팔 티셔츠</t>
  </si>
  <si>
    <t xml:space="preserve">N262UTS410</t>
  </si>
  <si>
    <t xml:space="preserve">야자수 그래픽 세미오버핏 반팔 티셔츠</t>
  </si>
  <si>
    <t xml:space="preserve">N262USD040</t>
  </si>
  <si>
    <r>
      <rPr>
        <sz val="11"/>
        <color rgb="FF0000FF"/>
        <rFont val="WenQuanYi Zen Hei"/>
        <family val="2"/>
      </rPr>
      <t xml:space="preserve">클리프 </t>
    </r>
    <r>
      <rPr>
        <sz val="11"/>
        <color rgb="FF0000FF"/>
        <rFont val="Cambria"/>
        <family val="0"/>
        <charset val="1"/>
      </rPr>
      <t xml:space="preserve">26</t>
    </r>
  </si>
  <si>
    <t xml:space="preserve">N262WHP170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</si>
  <si>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피넷 냉감 스트레치 </t>
    </r>
    <r>
      <rPr>
        <sz val="11"/>
        <color rgb="FF0000FF"/>
        <rFont val="Cambria"/>
        <family val="0"/>
        <charset val="1"/>
      </rPr>
      <t xml:space="preserve">4</t>
    </r>
    <r>
      <rPr>
        <sz val="11"/>
        <color rgb="FF0000FF"/>
        <rFont val="WenQuanYi Zen Hei"/>
        <family val="2"/>
      </rPr>
      <t xml:space="preserve">부 카고 쇼츠</t>
    </r>
  </si>
  <si>
    <t xml:space="preserve">N262WJP170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</si>
  <si>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피넷 냉감 스탠드넥 점퍼</t>
    </r>
  </si>
  <si>
    <t xml:space="preserve">N262WJP350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</si>
  <si>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에어플로우 하이브리드 후드 점퍼</t>
    </r>
  </si>
  <si>
    <t xml:space="preserve">N262WOP140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</si>
  <si>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프리즈 스트레치 </t>
    </r>
    <r>
      <rPr>
        <sz val="11"/>
        <color rgb="FF0000FF"/>
        <rFont val="Cambria"/>
        <family val="0"/>
        <charset val="1"/>
      </rPr>
      <t xml:space="preserve">A</t>
    </r>
    <r>
      <rPr>
        <sz val="11"/>
        <color rgb="FF0000FF"/>
        <rFont val="WenQuanYi Zen Hei"/>
        <family val="2"/>
      </rPr>
      <t xml:space="preserve">라인 카라 반팔 원피스</t>
    </r>
  </si>
  <si>
    <t xml:space="preserve">N262WOP141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</si>
  <si>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프리즈 스트레치 </t>
    </r>
    <r>
      <rPr>
        <sz val="11"/>
        <color rgb="FF0000FF"/>
        <rFont val="Cambria"/>
        <family val="0"/>
        <charset val="1"/>
      </rPr>
      <t xml:space="preserve">H</t>
    </r>
    <r>
      <rPr>
        <sz val="11"/>
        <color rgb="FF0000FF"/>
        <rFont val="WenQuanYi Zen Hei"/>
        <family val="2"/>
      </rPr>
      <t xml:space="preserve">라인 후드 반팔 원피스</t>
    </r>
  </si>
  <si>
    <t xml:space="preserve">N262WTS060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</si>
  <si>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라텔 리젠 오버핏 크롭 반팔 티셔츠</t>
    </r>
  </si>
  <si>
    <t xml:space="preserve">N262WTS070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</si>
  <si>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캐스터 </t>
    </r>
    <r>
      <rPr>
        <sz val="11"/>
        <color rgb="FF0000FF"/>
        <rFont val="Cambria"/>
        <family val="0"/>
        <charset val="1"/>
      </rPr>
      <t xml:space="preserve">COOL MAX ECO </t>
    </r>
    <r>
      <rPr>
        <sz val="11"/>
        <color rgb="FF0000FF"/>
        <rFont val="WenQuanYi Zen Hei"/>
        <family val="2"/>
      </rPr>
      <t xml:space="preserve">지구 그래픽 세미오버핏 반팔 티셔츠</t>
    </r>
  </si>
  <si>
    <t xml:space="preserve">N262WTS071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</si>
  <si>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캐스터 </t>
    </r>
    <r>
      <rPr>
        <sz val="11"/>
        <color rgb="FF0000FF"/>
        <rFont val="Cambria"/>
        <family val="0"/>
        <charset val="1"/>
      </rPr>
      <t xml:space="preserve">COOL MAX ECO </t>
    </r>
    <r>
      <rPr>
        <sz val="11"/>
        <color rgb="FF0000FF"/>
        <rFont val="WenQuanYi Zen Hei"/>
        <family val="2"/>
      </rPr>
      <t xml:space="preserve">로고 세미오버핏 세미크롭 반팔 티셔츠</t>
    </r>
  </si>
  <si>
    <t xml:space="preserve">N262WTS081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</si>
  <si>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아비스 </t>
    </r>
    <r>
      <rPr>
        <sz val="11"/>
        <color rgb="FF0000FF"/>
        <rFont val="Cambria"/>
        <family val="0"/>
        <charset val="1"/>
      </rPr>
      <t xml:space="preserve">AEROSILVER </t>
    </r>
    <r>
      <rPr>
        <sz val="11"/>
        <color rgb="FF0000FF"/>
        <rFont val="WenQuanYi Zen Hei"/>
        <family val="2"/>
      </rPr>
      <t xml:space="preserve">그래픽 반팔 티셔츠</t>
    </r>
  </si>
  <si>
    <t xml:space="preserve">N262WTS082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</si>
  <si>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아비스 </t>
    </r>
    <r>
      <rPr>
        <sz val="11"/>
        <color rgb="FF0000FF"/>
        <rFont val="Cambria"/>
        <family val="0"/>
        <charset val="1"/>
      </rPr>
      <t xml:space="preserve">AEROSILVER </t>
    </r>
    <r>
      <rPr>
        <sz val="11"/>
        <color rgb="FF0000FF"/>
        <rFont val="WenQuanYi Zen Hei"/>
        <family val="2"/>
      </rPr>
      <t xml:space="preserve">그래픽 세미오버핏 세미크롭 반팔 티셔츠</t>
    </r>
  </si>
  <si>
    <t xml:space="preserve">N262WTS091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</si>
  <si>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크로우 소로나 쿨터치 세미오버핏 세미크롭 반팔 티셔츠</t>
    </r>
  </si>
  <si>
    <t xml:space="preserve">N262WTS350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</si>
  <si>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에어플로우 하이브리드 세미크롭 반팔 티셔츠</t>
    </r>
  </si>
  <si>
    <t xml:space="preserve">N262WTS410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</si>
  <si>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그래픽 티셔츠</t>
    </r>
  </si>
  <si>
    <t xml:space="preserve">N263ABG020</t>
  </si>
  <si>
    <r>
      <rPr>
        <sz val="11"/>
        <color rgb="FF0000FF"/>
        <rFont val="Cambria"/>
        <family val="0"/>
        <charset val="1"/>
      </rPr>
      <t xml:space="preserve">NRN</t>
    </r>
    <r>
      <rPr>
        <sz val="11"/>
        <color rgb="FF0000FF"/>
        <rFont val="WenQuanYi Zen Hei"/>
        <family val="2"/>
      </rPr>
      <t xml:space="preserve">엔지니어드백팩</t>
    </r>
  </si>
  <si>
    <t xml:space="preserve">N263ABG040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</si>
  <si>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플러피미니백팩</t>
    </r>
  </si>
  <si>
    <t xml:space="preserve">N263AHA010</t>
  </si>
  <si>
    <t xml:space="preserve">빈티지볼캡</t>
  </si>
  <si>
    <t xml:space="preserve">N263AHA020</t>
  </si>
  <si>
    <t xml:space="preserve">코튼브러쉬드로고볼캡</t>
  </si>
  <si>
    <t xml:space="preserve">N263AMS010</t>
  </si>
  <si>
    <t xml:space="preserve">패디드머플러</t>
  </si>
  <si>
    <t xml:space="preserve">N263ATO020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</si>
  <si>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플러피토트백</t>
    </r>
  </si>
  <si>
    <t xml:space="preserve">N263MPT510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</si>
  <si>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슬레이트 세미 레귤러핏 팬츠</t>
    </r>
  </si>
  <si>
    <t xml:space="preserve">N263MJP520</t>
  </si>
  <si>
    <r>
      <rPr>
        <sz val="11"/>
        <color rgb="FF0000FF"/>
        <rFont val="Cambria"/>
        <family val="0"/>
        <charset val="1"/>
      </rPr>
      <t xml:space="preserve">[CORDURA] NRN </t>
    </r>
    <r>
      <rPr>
        <sz val="11"/>
        <color rgb="FF0000FF"/>
        <rFont val="WenQuanYi Zen Hei"/>
        <family val="2"/>
      </rPr>
      <t xml:space="preserve">유틸리티 셔츠 자켓</t>
    </r>
  </si>
  <si>
    <t xml:space="preserve">N263UPT010</t>
  </si>
  <si>
    <t xml:space="preserve">슐리언 레귤러핏 조거 카고 팬츠</t>
  </si>
  <si>
    <t xml:space="preserve">N263UPT080</t>
  </si>
  <si>
    <t xml:space="preserve">레귤러핏 스트레이트 스웻팬츠</t>
  </si>
  <si>
    <t xml:space="preserve">N263UJP010</t>
  </si>
  <si>
    <r>
      <rPr>
        <sz val="11"/>
        <color rgb="FF0000FF"/>
        <rFont val="Cambria"/>
        <family val="0"/>
        <charset val="1"/>
      </rPr>
      <t xml:space="preserve">2L </t>
    </r>
    <r>
      <rPr>
        <sz val="11"/>
        <color rgb="FF0000FF"/>
        <rFont val="WenQuanYi Zen Hei"/>
        <family val="2"/>
      </rPr>
      <t xml:space="preserve">컬러블록 점퍼</t>
    </r>
  </si>
  <si>
    <t xml:space="preserve">N263UJP240</t>
  </si>
  <si>
    <r>
      <rPr>
        <sz val="11"/>
        <color rgb="FF0000FF"/>
        <rFont val="WenQuanYi Zen Hei"/>
        <family val="2"/>
      </rPr>
      <t xml:space="preserve">어반스퀘어 </t>
    </r>
    <r>
      <rPr>
        <sz val="11"/>
        <color rgb="FF0000FF"/>
        <rFont val="Cambria"/>
        <family val="0"/>
        <charset val="1"/>
      </rPr>
      <t xml:space="preserve">3L </t>
    </r>
    <r>
      <rPr>
        <sz val="11"/>
        <color rgb="FF0000FF"/>
        <rFont val="WenQuanYi Zen Hei"/>
        <family val="2"/>
      </rPr>
      <t xml:space="preserve">방수 후드 점퍼</t>
    </r>
  </si>
  <si>
    <t xml:space="preserve">N263UFT010</t>
  </si>
  <si>
    <t xml:space="preserve">슐리언 소매 포켓 베이직핏 후드 풀집업</t>
  </si>
  <si>
    <t xml:space="preserve">N263USW070</t>
  </si>
  <si>
    <t xml:space="preserve">소재변형 세미오버핏 맨투맨</t>
  </si>
  <si>
    <t xml:space="preserve">N263WPT010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</si>
  <si>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레귤러핏 스트레이트 스웻팬츠</t>
    </r>
  </si>
  <si>
    <t xml:space="preserve">N263WPT220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</si>
  <si>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네이쳐 세미레귤러핏 조거 팬츠</t>
    </r>
  </si>
  <si>
    <t xml:space="preserve">N263WJP220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</si>
  <si>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네이쳐 경량 자켓</t>
    </r>
  </si>
  <si>
    <t xml:space="preserve">N263WSW030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</si>
  <si>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그래픽 세미크롭 맨투맨</t>
    </r>
  </si>
  <si>
    <t xml:space="preserve">N263WTS010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</si>
  <si>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와플 이너 티셔츠</t>
    </r>
  </si>
  <si>
    <t xml:space="preserve">N264MPT010</t>
  </si>
  <si>
    <t xml:space="preserve">디블러 레귤러핏 스트레이트 기모 팬츠</t>
  </si>
  <si>
    <t xml:space="preserve">N264MPT040</t>
  </si>
  <si>
    <t xml:space="preserve">기모 레귤러핏 팬츠</t>
  </si>
  <si>
    <t xml:space="preserve">N264MDV210</t>
  </si>
  <si>
    <r>
      <rPr>
        <sz val="11"/>
        <color rgb="FF0000FF"/>
        <rFont val="Cambria"/>
        <family val="0"/>
        <charset val="1"/>
      </rPr>
      <t xml:space="preserve">[PERTEX] </t>
    </r>
    <r>
      <rPr>
        <sz val="11"/>
        <color rgb="FF0000FF"/>
        <rFont val="WenQuanYi Zen Hei"/>
        <family val="2"/>
      </rPr>
      <t xml:space="preserve">토르니에 액티브 구스다운 베스트</t>
    </r>
  </si>
  <si>
    <t xml:space="preserve">N264MDW260</t>
  </si>
  <si>
    <r>
      <rPr>
        <sz val="11"/>
        <color rgb="FF0000FF"/>
        <rFont val="WenQuanYi Zen Hei"/>
        <family val="2"/>
      </rPr>
      <t xml:space="preserve">안타레스 </t>
    </r>
    <r>
      <rPr>
        <sz val="11"/>
        <color rgb="FF0000FF"/>
        <rFont val="Cambria"/>
        <family val="0"/>
        <charset val="1"/>
      </rPr>
      <t xml:space="preserve">3L </t>
    </r>
    <r>
      <rPr>
        <sz val="11"/>
        <color rgb="FF0000FF"/>
        <rFont val="WenQuanYi Zen Hei"/>
        <family val="2"/>
      </rPr>
      <t xml:space="preserve">모듈 구스다운 점퍼</t>
    </r>
  </si>
  <si>
    <t xml:space="preserve">N264MPD510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</si>
  <si>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프리마로프트 슬레이트 패딩 점퍼</t>
    </r>
  </si>
  <si>
    <t xml:space="preserve">N264MHD500</t>
  </si>
  <si>
    <r>
      <rPr>
        <sz val="11"/>
        <color rgb="FF0000FF"/>
        <rFont val="Cambria"/>
        <family val="0"/>
        <charset val="1"/>
      </rPr>
      <t xml:space="preserve">[POLARTEC] NRN </t>
    </r>
    <r>
      <rPr>
        <sz val="11"/>
        <color rgb="FF0000FF"/>
        <rFont val="WenQuanYi Zen Hei"/>
        <family val="2"/>
      </rPr>
      <t xml:space="preserve">슬레이트 플리스 후디</t>
    </r>
  </si>
  <si>
    <t xml:space="preserve">N264UPT060</t>
  </si>
  <si>
    <t xml:space="preserve">시로 플리스 릴렉스핏 카고 조거 팬츠</t>
  </si>
  <si>
    <t xml:space="preserve">N264UDV010</t>
  </si>
  <si>
    <t xml:space="preserve">라이트팩 덕다운 베스트</t>
  </si>
  <si>
    <t xml:space="preserve">N264UDW025</t>
  </si>
  <si>
    <t xml:space="preserve">악틱 경량 리버서블 구스다운 점퍼</t>
  </si>
  <si>
    <t xml:space="preserve">N264UDW030</t>
  </si>
  <si>
    <t xml:space="preserve">메를린 후드 경량 구스다운 점퍼</t>
  </si>
  <si>
    <t xml:space="preserve">N264UDW130</t>
  </si>
  <si>
    <t xml:space="preserve">네츄라 후드 덕다운 점퍼</t>
  </si>
  <si>
    <t xml:space="preserve">N264UDW161</t>
  </si>
  <si>
    <t xml:space="preserve">피그먼트 중기장 덕다운 점퍼</t>
  </si>
  <si>
    <t xml:space="preserve">N264UFJ160</t>
  </si>
  <si>
    <t xml:space="preserve">시로 마이크로 플리스 후드 집업</t>
  </si>
  <si>
    <t xml:space="preserve">N264UPD010</t>
  </si>
  <si>
    <t xml:space="preserve">링크스 리버서블 플리스 라이너 패딩 점퍼</t>
  </si>
  <si>
    <t xml:space="preserve">N264UHD030</t>
  </si>
  <si>
    <t xml:space="preserve">기모 동물그래픽 세미오버핏 후디</t>
  </si>
  <si>
    <t xml:space="preserve">N264USW030</t>
  </si>
  <si>
    <t xml:space="preserve">그래픽 기모 세미오버핏 맨투맨</t>
  </si>
  <si>
    <t xml:space="preserve">N264WPT070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</si>
  <si>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소재변형 레귤러핏 부츠컷 팬츠</t>
    </r>
  </si>
  <si>
    <t xml:space="preserve">N264WPT210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</si>
  <si>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고신축 브러쉬 슬림핏 스트레이트 팬츠</t>
    </r>
  </si>
  <si>
    <t xml:space="preserve">N264WDV010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</si>
  <si>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라이트팩 경량 덕다운 베스트</t>
    </r>
  </si>
  <si>
    <t xml:space="preserve">N264WDV040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</si>
  <si>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크라사 후드 덕다운 베스트</t>
    </r>
  </si>
  <si>
    <t xml:space="preserve">N264WDW100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</si>
  <si>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메를린 후드 중경량 덕다운 점퍼</t>
    </r>
  </si>
  <si>
    <t xml:space="preserve">N264WDW240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</si>
  <si>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소매 하이브리드 구스다운 점퍼</t>
    </r>
  </si>
  <si>
    <t xml:space="preserve">N264WFT070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</si>
  <si>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소재변형 후드 집업</t>
    </r>
  </si>
  <si>
    <t xml:space="preserve">N264WHD010</t>
  </si>
  <si>
    <r>
      <rPr>
        <sz val="11"/>
        <color rgb="FF0000FF"/>
        <rFont val="Cambria"/>
        <family val="0"/>
        <charset val="1"/>
      </rPr>
      <t xml:space="preserve">W' CP </t>
    </r>
    <r>
      <rPr>
        <sz val="11"/>
        <color rgb="FF0000FF"/>
        <rFont val="WenQuanYi Zen Hei"/>
        <family val="2"/>
      </rPr>
      <t xml:space="preserve">기모 베이직핏 후디</t>
    </r>
  </si>
  <si>
    <t xml:space="preserve">N265ABG080</t>
  </si>
  <si>
    <t xml:space="preserve">엑스트라백팩</t>
  </si>
  <si>
    <t xml:space="preserve">N265ABG140</t>
  </si>
  <si>
    <t xml:space="preserve">데일리라이트백팩</t>
  </si>
  <si>
    <t xml:space="preserve">N265ABG160</t>
  </si>
  <si>
    <t xml:space="preserve">트레이서백팩</t>
  </si>
  <si>
    <t xml:space="preserve">N265ACR120</t>
  </si>
  <si>
    <t xml:space="preserve">라이트더블크로스백</t>
  </si>
  <si>
    <t xml:space="preserve">N265ACR180</t>
  </si>
  <si>
    <t xml:space="preserve">울트라미니크로스백</t>
  </si>
  <si>
    <t xml:space="preserve">N265ACR250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</si>
  <si>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리브크로스백</t>
    </r>
  </si>
  <si>
    <t xml:space="preserve">N265ACR290</t>
  </si>
  <si>
    <r>
      <rPr>
        <sz val="11"/>
        <color rgb="FF0000FF"/>
        <rFont val="WenQuanYi Zen Hei"/>
        <family val="2"/>
      </rPr>
      <t xml:space="preserve">데일리라이트크로스백</t>
    </r>
    <r>
      <rPr>
        <sz val="11"/>
        <color rgb="FF0000FF"/>
        <rFont val="Cambria"/>
        <family val="0"/>
        <charset val="1"/>
      </rPr>
      <t xml:space="preserve">S</t>
    </r>
  </si>
  <si>
    <t xml:space="preserve">N265ACR300</t>
  </si>
  <si>
    <r>
      <rPr>
        <sz val="11"/>
        <color rgb="FF0000FF"/>
        <rFont val="WenQuanYi Zen Hei"/>
        <family val="2"/>
      </rPr>
      <t xml:space="preserve">데일리라이트크로스백</t>
    </r>
    <r>
      <rPr>
        <sz val="11"/>
        <color rgb="FF0000FF"/>
        <rFont val="Cambria"/>
        <family val="0"/>
        <charset val="1"/>
      </rPr>
      <t xml:space="preserve">M</t>
    </r>
  </si>
  <si>
    <t xml:space="preserve">N265ACR320</t>
  </si>
  <si>
    <t xml:space="preserve">트레이서미니사코슈백</t>
  </si>
  <si>
    <t xml:space="preserve">N265AHA040</t>
  </si>
  <si>
    <t xml:space="preserve">어반고주파로고캡</t>
  </si>
  <si>
    <t xml:space="preserve">N265AHA140</t>
  </si>
  <si>
    <t xml:space="preserve">엔지니어드햇</t>
  </si>
  <si>
    <t xml:space="preserve">N265UJG020</t>
  </si>
  <si>
    <t xml:space="preserve">트레고</t>
  </si>
  <si>
    <t xml:space="preserve">N265UTR010</t>
  </si>
  <si>
    <t xml:space="preserve">로버 젠</t>
  </si>
  <si>
    <t xml:space="preserve">O261UJP062</t>
  </si>
  <si>
    <t xml:space="preserve">O262MSH193</t>
  </si>
  <si>
    <r>
      <rPr>
        <sz val="11"/>
        <color rgb="FF0000FF"/>
        <rFont val="WenQuanYi Zen Hei"/>
        <family val="2"/>
      </rPr>
      <t xml:space="preserve">프로즌</t>
    </r>
    <r>
      <rPr>
        <sz val="11"/>
        <color rgb="FF0000FF"/>
        <rFont val="Cambria"/>
        <family val="0"/>
        <charset val="1"/>
      </rPr>
      <t xml:space="preserve">+ </t>
    </r>
    <r>
      <rPr>
        <sz val="11"/>
        <color rgb="FF0000FF"/>
        <rFont val="WenQuanYi Zen Hei"/>
        <family val="2"/>
      </rPr>
      <t xml:space="preserve">셔츠</t>
    </r>
  </si>
  <si>
    <t xml:space="preserve">O262UFT142</t>
  </si>
  <si>
    <t xml:space="preserve">O262UTS141</t>
  </si>
  <si>
    <t xml:space="preserve">O262UTS912</t>
  </si>
  <si>
    <r>
      <rPr>
        <sz val="11"/>
        <color rgb="FF0000FF"/>
        <rFont val="WenQuanYi Zen Hei"/>
        <family val="2"/>
      </rPr>
      <t xml:space="preserve">홍콩 그래픽 반팔티</t>
    </r>
    <r>
      <rPr>
        <sz val="11"/>
        <color rgb="FF0000FF"/>
        <rFont val="Cambria"/>
        <family val="0"/>
        <charset val="1"/>
      </rPr>
      <t xml:space="preserve">1 </t>
    </r>
  </si>
  <si>
    <t xml:space="preserve">O262UTS913</t>
  </si>
  <si>
    <r>
      <rPr>
        <sz val="11"/>
        <color rgb="FF0000FF"/>
        <rFont val="WenQuanYi Zen Hei"/>
        <family val="2"/>
      </rPr>
      <t xml:space="preserve">홍콩 그래픽 반팔티 </t>
    </r>
    <r>
      <rPr>
        <sz val="11"/>
        <color rgb="FF0000FF"/>
        <rFont val="Cambria"/>
        <family val="0"/>
        <charset val="1"/>
      </rPr>
      <t xml:space="preserve">2</t>
    </r>
  </si>
  <si>
    <t xml:space="preserve">O262UTS914</t>
  </si>
  <si>
    <r>
      <rPr>
        <sz val="11"/>
        <color rgb="FF0000FF"/>
        <rFont val="WenQuanYi Zen Hei"/>
        <family val="2"/>
      </rPr>
      <t xml:space="preserve">홍콩 그래픽 반팔티 </t>
    </r>
    <r>
      <rPr>
        <sz val="11"/>
        <color rgb="FF0000FF"/>
        <rFont val="Cambria"/>
        <family val="0"/>
        <charset val="1"/>
      </rPr>
      <t xml:space="preserve">3</t>
    </r>
  </si>
  <si>
    <t xml:space="preserve">O262UTS915</t>
  </si>
  <si>
    <r>
      <rPr>
        <sz val="11"/>
        <color rgb="FF0000FF"/>
        <rFont val="WenQuanYi Zen Hei"/>
        <family val="2"/>
      </rPr>
      <t xml:space="preserve">홍콩 그래픽 반팔티</t>
    </r>
    <r>
      <rPr>
        <sz val="11"/>
        <color rgb="FF0000FF"/>
        <rFont val="Cambria"/>
        <family val="0"/>
        <charset val="1"/>
      </rPr>
      <t xml:space="preserve">4</t>
    </r>
  </si>
  <si>
    <t xml:space="preserve">O262UTS916</t>
  </si>
  <si>
    <r>
      <rPr>
        <sz val="11"/>
        <color rgb="FF0000FF"/>
        <rFont val="WenQuanYi Zen Hei"/>
        <family val="2"/>
      </rPr>
      <t xml:space="preserve">홍콩 그래픽 반팔 티셔츠</t>
    </r>
    <r>
      <rPr>
        <sz val="11"/>
        <color rgb="FF0000FF"/>
        <rFont val="Cambria"/>
        <family val="0"/>
        <charset val="1"/>
      </rPr>
      <t xml:space="preserve">5</t>
    </r>
  </si>
  <si>
    <t xml:space="preserve">O262UTS917</t>
  </si>
  <si>
    <r>
      <rPr>
        <sz val="11"/>
        <color rgb="FF0000FF"/>
        <rFont val="WenQuanYi Zen Hei"/>
        <family val="2"/>
      </rPr>
      <t xml:space="preserve">홍콩 그래픽 반팔티</t>
    </r>
    <r>
      <rPr>
        <sz val="11"/>
        <color rgb="FF0000FF"/>
        <rFont val="Cambria"/>
        <family val="0"/>
        <charset val="1"/>
      </rPr>
      <t xml:space="preserve">6</t>
    </r>
  </si>
  <si>
    <t xml:space="preserve">O262UTS907</t>
  </si>
  <si>
    <r>
      <rPr>
        <sz val="11"/>
        <color rgb="FF0000FF"/>
        <rFont val="WenQuanYi Zen Hei"/>
        <family val="2"/>
      </rPr>
      <t xml:space="preserve">홍콩 빅토리아 하버 그래픽</t>
    </r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베이직핏</t>
    </r>
    <r>
      <rPr>
        <sz val="11"/>
        <color rgb="FF0000FF"/>
        <rFont val="Cambria"/>
        <family val="0"/>
        <charset val="1"/>
      </rPr>
      <t xml:space="preserve">)</t>
    </r>
  </si>
  <si>
    <t xml:space="preserve">O262UTS908</t>
  </si>
  <si>
    <r>
      <rPr>
        <sz val="11"/>
        <color rgb="FF0000FF"/>
        <rFont val="WenQuanYi Zen Hei"/>
        <family val="2"/>
      </rPr>
      <t xml:space="preserve">홍콩 파인애플번 그래픽 티셔츠</t>
    </r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세미오버핏</t>
    </r>
    <r>
      <rPr>
        <sz val="11"/>
        <color rgb="FF0000FF"/>
        <rFont val="Cambria"/>
        <family val="0"/>
        <charset val="1"/>
      </rPr>
      <t xml:space="preserve">)</t>
    </r>
  </si>
  <si>
    <t xml:space="preserve">O262UTS909</t>
  </si>
  <si>
    <r>
      <rPr>
        <sz val="11"/>
        <color rgb="FF0000FF"/>
        <rFont val="WenQuanYi Zen Hei"/>
        <family val="2"/>
      </rPr>
      <t xml:space="preserve">홍콩 샤오마이 그래픽 티셔츠</t>
    </r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세미오버핏</t>
    </r>
    <r>
      <rPr>
        <sz val="11"/>
        <color rgb="FF0000FF"/>
        <rFont val="Cambria"/>
        <family val="0"/>
        <charset val="1"/>
      </rPr>
      <t xml:space="preserve">) </t>
    </r>
  </si>
  <si>
    <t xml:space="preserve">O262UTS910</t>
  </si>
  <si>
    <r>
      <rPr>
        <sz val="11"/>
        <color rgb="FF0000FF"/>
        <rFont val="WenQuanYi Zen Hei"/>
        <family val="2"/>
      </rPr>
      <t xml:space="preserve">홍콩 밀크티 그래픽 티셔츠</t>
    </r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세미오버핏</t>
    </r>
    <r>
      <rPr>
        <sz val="11"/>
        <color rgb="FF0000FF"/>
        <rFont val="Cambria"/>
        <family val="0"/>
        <charset val="1"/>
      </rPr>
      <t xml:space="preserve">)</t>
    </r>
  </si>
  <si>
    <t xml:space="preserve">O262UTS911</t>
  </si>
  <si>
    <r>
      <rPr>
        <sz val="11"/>
        <color rgb="FF0000FF"/>
        <rFont val="WenQuanYi Zen Hei"/>
        <family val="2"/>
      </rPr>
      <t xml:space="preserve">홍콩 에그타르트 그래픽</t>
    </r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세미오버핏</t>
    </r>
    <r>
      <rPr>
        <sz val="11"/>
        <color rgb="FF0000FF"/>
        <rFont val="Cambria"/>
        <family val="0"/>
        <charset val="1"/>
      </rPr>
      <t xml:space="preserve">)</t>
    </r>
  </si>
  <si>
    <t xml:space="preserve">O262UTS926</t>
  </si>
  <si>
    <r>
      <rPr>
        <sz val="11"/>
        <color rgb="FF0000FF"/>
        <rFont val="WenQuanYi Zen Hei"/>
        <family val="2"/>
      </rPr>
      <t xml:space="preserve">홍콩 파인애플번 와펜 티셔츠</t>
    </r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세미오버핏</t>
    </r>
    <r>
      <rPr>
        <sz val="11"/>
        <color rgb="FF0000FF"/>
        <rFont val="Cambria"/>
        <family val="0"/>
        <charset val="1"/>
      </rPr>
      <t xml:space="preserve">)</t>
    </r>
  </si>
  <si>
    <t xml:space="preserve">O262WJP302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</si>
  <si>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스킨 초경량 </t>
    </r>
    <r>
      <rPr>
        <sz val="11"/>
        <color rgb="FF0000FF"/>
        <rFont val="Cambria"/>
        <family val="0"/>
        <charset val="1"/>
      </rPr>
      <t xml:space="preserve">UV </t>
    </r>
    <r>
      <rPr>
        <sz val="11"/>
        <color rgb="FF0000FF"/>
        <rFont val="WenQuanYi Zen Hei"/>
        <family val="2"/>
      </rPr>
      <t xml:space="preserve">점퍼</t>
    </r>
  </si>
  <si>
    <t xml:space="preserve">O262WVT301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</si>
  <si>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스킨 초경량 </t>
    </r>
    <r>
      <rPr>
        <sz val="11"/>
        <color rgb="FF0000FF"/>
        <rFont val="Cambria"/>
        <family val="0"/>
        <charset val="1"/>
      </rPr>
      <t xml:space="preserve">UV </t>
    </r>
    <r>
      <rPr>
        <sz val="11"/>
        <color rgb="FF0000FF"/>
        <rFont val="WenQuanYi Zen Hei"/>
        <family val="2"/>
      </rPr>
      <t xml:space="preserve">스킨 베스트</t>
    </r>
  </si>
  <si>
    <t xml:space="preserve">O262WOP190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</si>
  <si>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카라 포인트 원피스</t>
    </r>
  </si>
  <si>
    <t xml:space="preserve">O262WSH193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</si>
  <si>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</t>
    </r>
    <r>
      <rPr>
        <sz val="11"/>
        <color rgb="FF0000FF"/>
        <rFont val="Cambria"/>
        <family val="0"/>
        <charset val="1"/>
      </rPr>
      <t xml:space="preserve">+ </t>
    </r>
    <r>
      <rPr>
        <sz val="11"/>
        <color rgb="FF0000FF"/>
        <rFont val="WenQuanYi Zen Hei"/>
        <family val="2"/>
      </rPr>
      <t xml:space="preserve">셔츠</t>
    </r>
  </si>
  <si>
    <t xml:space="preserve">O262WTS191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</si>
  <si>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</t>
    </r>
    <r>
      <rPr>
        <sz val="11"/>
        <color rgb="FF0000FF"/>
        <rFont val="Cambria"/>
        <family val="0"/>
        <charset val="1"/>
      </rPr>
      <t xml:space="preserve">+ </t>
    </r>
    <r>
      <rPr>
        <sz val="11"/>
        <color rgb="FF0000FF"/>
        <rFont val="WenQuanYi Zen Hei"/>
        <family val="2"/>
      </rPr>
      <t xml:space="preserve">티셔츠</t>
    </r>
  </si>
  <si>
    <t xml:space="preserve">O262WTS192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</si>
  <si>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</t>
    </r>
    <r>
      <rPr>
        <sz val="11"/>
        <color rgb="FF0000FF"/>
        <rFont val="Cambria"/>
        <family val="0"/>
        <charset val="1"/>
      </rPr>
      <t xml:space="preserve">+ </t>
    </r>
    <r>
      <rPr>
        <sz val="11"/>
        <color rgb="FF0000FF"/>
        <rFont val="WenQuanYi Zen Hei"/>
        <family val="2"/>
      </rPr>
      <t xml:space="preserve">하프넥 티셔츠</t>
    </r>
  </si>
  <si>
    <t xml:space="preserve">O263WJK304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</si>
  <si>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오거스틴 중기장 자켓</t>
    </r>
  </si>
  <si>
    <t xml:space="preserve">WW002</t>
  </si>
  <si>
    <r>
      <rPr>
        <sz val="11"/>
        <color rgb="FF0000FF"/>
        <rFont val="WenQuanYi Zen Hei"/>
        <family val="2"/>
      </rPr>
      <t xml:space="preserve">상해법인</t>
    </r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덕나이철</t>
    </r>
    <r>
      <rPr>
        <sz val="11"/>
        <color rgb="FF0000FF"/>
        <rFont val="Cambria"/>
        <family val="0"/>
        <charset val="1"/>
      </rPr>
      <t xml:space="preserve">)</t>
    </r>
  </si>
  <si>
    <t xml:space="preserve">N255ASU050</t>
  </si>
  <si>
    <r>
      <rPr>
        <sz val="11"/>
        <color rgb="FF0000FF"/>
        <rFont val="WenQuanYi Zen Hei"/>
        <family val="2"/>
      </rPr>
      <t xml:space="preserve">하바나 캐리어 </t>
    </r>
    <r>
      <rPr>
        <sz val="11"/>
        <color rgb="FF0000FF"/>
        <rFont val="Cambria"/>
        <family val="0"/>
        <charset val="1"/>
      </rPr>
      <t xml:space="preserve">20</t>
    </r>
  </si>
  <si>
    <t xml:space="preserve">N255ASU930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</si>
  <si>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홈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페이지 캐리어 </t>
    </r>
    <r>
      <rPr>
        <sz val="11"/>
        <color rgb="FF0000FF"/>
        <rFont val="Cambria"/>
        <family val="0"/>
        <charset val="1"/>
      </rPr>
      <t xml:space="preserve">SET</t>
    </r>
  </si>
  <si>
    <t xml:space="preserve">N255ASU440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</si>
  <si>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부다페스트 캐리어 </t>
    </r>
    <r>
      <rPr>
        <sz val="11"/>
        <color rgb="FF0000FF"/>
        <rFont val="Cambria"/>
        <family val="0"/>
        <charset val="1"/>
      </rPr>
      <t xml:space="preserve">20</t>
    </r>
  </si>
  <si>
    <t xml:space="preserve">N255ASU460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</si>
  <si>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부다페스트 캐리어 </t>
    </r>
    <r>
      <rPr>
        <sz val="11"/>
        <color rgb="FF0000FF"/>
        <rFont val="Cambria"/>
        <family val="0"/>
        <charset val="1"/>
      </rPr>
      <t xml:space="preserve">28</t>
    </r>
  </si>
  <si>
    <t xml:space="preserve">N261MHD500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</si>
  <si>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하이브리드 세미오버핏 후디</t>
    </r>
  </si>
  <si>
    <t xml:space="preserve">N261MSW500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</si>
  <si>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하이브리드 세미오버핏 포켓 맨투맨</t>
    </r>
  </si>
  <si>
    <t xml:space="preserve">N261MSW510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</si>
  <si>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포켓 세미오버핏 맨투맨</t>
    </r>
  </si>
  <si>
    <t xml:space="preserve">N261MTS210</t>
  </si>
  <si>
    <t xml:space="preserve">와플 긴팔 티셔츠</t>
  </si>
  <si>
    <t xml:space="preserve">N262AHA020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</si>
  <si>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니트햇</t>
    </r>
  </si>
  <si>
    <t xml:space="preserve">N262MHP520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</si>
  <si>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로고 포인트 </t>
    </r>
    <r>
      <rPr>
        <sz val="11"/>
        <color rgb="FF0000FF"/>
        <rFont val="Cambria"/>
        <family val="0"/>
        <charset val="1"/>
      </rPr>
      <t xml:space="preserve">4.5</t>
    </r>
    <r>
      <rPr>
        <sz val="11"/>
        <color rgb="FF0000FF"/>
        <rFont val="WenQuanYi Zen Hei"/>
        <family val="2"/>
      </rPr>
      <t xml:space="preserve">부 반바지</t>
    </r>
  </si>
  <si>
    <t xml:space="preserve">N262MJP510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</si>
  <si>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벤틸레이션 경량 후드 자켓</t>
    </r>
  </si>
  <si>
    <t xml:space="preserve">N262UHP090</t>
  </si>
  <si>
    <r>
      <rPr>
        <sz val="11"/>
        <color rgb="FF0000FF"/>
        <rFont val="WenQuanYi Zen Hei"/>
        <family val="2"/>
      </rPr>
      <t xml:space="preserve">크로우 트리코트 </t>
    </r>
    <r>
      <rPr>
        <sz val="11"/>
        <color rgb="FF0000FF"/>
        <rFont val="Cambria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부 쇼츠</t>
    </r>
  </si>
  <si>
    <t xml:space="preserve">N262UTS620</t>
  </si>
  <si>
    <r>
      <rPr>
        <sz val="11"/>
        <color rgb="FF0000FF"/>
        <rFont val="Cambria"/>
        <family val="0"/>
        <charset val="1"/>
      </rPr>
      <t xml:space="preserve">ROK </t>
    </r>
    <r>
      <rPr>
        <sz val="11"/>
        <color rgb="FF0000FF"/>
        <rFont val="WenQuanYi Zen Hei"/>
        <family val="2"/>
      </rPr>
      <t xml:space="preserve">나전칠기 그래픽 세미오버핏 반팔 티셔츠</t>
    </r>
  </si>
  <si>
    <t xml:space="preserve">N262USI010</t>
  </si>
  <si>
    <r>
      <rPr>
        <sz val="11"/>
        <color rgb="FF0000FF"/>
        <rFont val="WenQuanYi Zen Hei"/>
        <family val="2"/>
      </rPr>
      <t xml:space="preserve">리오 슬라이드 </t>
    </r>
    <r>
      <rPr>
        <sz val="11"/>
        <color rgb="FF0000FF"/>
        <rFont val="Cambria"/>
        <family val="0"/>
        <charset val="1"/>
      </rPr>
      <t xml:space="preserve">VC</t>
    </r>
  </si>
  <si>
    <t xml:space="preserve">N262WSK320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</si>
  <si>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에어서커 </t>
    </r>
    <r>
      <rPr>
        <sz val="11"/>
        <color rgb="FF0000FF"/>
        <rFont val="Cambria"/>
        <family val="0"/>
        <charset val="1"/>
      </rPr>
      <t xml:space="preserve">A</t>
    </r>
    <r>
      <rPr>
        <sz val="11"/>
        <color rgb="FF0000FF"/>
        <rFont val="WenQuanYi Zen Hei"/>
        <family val="2"/>
      </rPr>
      <t xml:space="preserve">라인 스커트</t>
    </r>
  </si>
  <si>
    <t xml:space="preserve">N262WOP320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</si>
  <si>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에어서커 </t>
    </r>
    <r>
      <rPr>
        <sz val="11"/>
        <color rgb="FF0000FF"/>
        <rFont val="Cambria"/>
        <family val="0"/>
        <charset val="1"/>
      </rPr>
      <t xml:space="preserve">H</t>
    </r>
    <r>
      <rPr>
        <sz val="11"/>
        <color rgb="FF0000FF"/>
        <rFont val="WenQuanYi Zen Hei"/>
        <family val="2"/>
      </rPr>
      <t xml:space="preserve">라인 반팔 원피스</t>
    </r>
  </si>
  <si>
    <t xml:space="preserve">N262WSH320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</si>
  <si>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에어서커 반팔 셔츠</t>
    </r>
  </si>
  <si>
    <t xml:space="preserve">N263AGL020</t>
  </si>
  <si>
    <t xml:space="preserve">폴라텍플리스장갑</t>
  </si>
  <si>
    <t xml:space="preserve">N263MPT500</t>
  </si>
  <si>
    <r>
      <rPr>
        <sz val="11"/>
        <color rgb="FF0000FF"/>
        <rFont val="Cambria"/>
        <family val="0"/>
        <charset val="1"/>
      </rPr>
      <t xml:space="preserve">[CORDURA] NRN </t>
    </r>
    <r>
      <rPr>
        <sz val="11"/>
        <color rgb="FF0000FF"/>
        <rFont val="WenQuanYi Zen Hei"/>
        <family val="2"/>
      </rPr>
      <t xml:space="preserve">유틸리티 카고 어드벤처핏 팬츠</t>
    </r>
  </si>
  <si>
    <t xml:space="preserve">N263MJP510</t>
  </si>
  <si>
    <r>
      <rPr>
        <sz val="11"/>
        <color rgb="FF0000FF"/>
        <rFont val="Cambria"/>
        <family val="0"/>
        <charset val="1"/>
      </rPr>
      <t xml:space="preserve">[CORDURA] NRN </t>
    </r>
    <r>
      <rPr>
        <sz val="11"/>
        <color rgb="FF0000FF"/>
        <rFont val="WenQuanYi Zen Hei"/>
        <family val="2"/>
      </rPr>
      <t xml:space="preserve">유틸리티 필드 자켓</t>
    </r>
  </si>
  <si>
    <t xml:space="preserve">N263MPL310</t>
  </si>
  <si>
    <t xml:space="preserve">고신축 베이직핏 긴팔 폴로티셔츠</t>
  </si>
  <si>
    <t xml:space="preserve">N263UPT902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</si>
  <si>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벨티드 릴렉스핏 스트레이트 팬츠</t>
    </r>
  </si>
  <si>
    <t xml:space="preserve">N263WTS020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</si>
  <si>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이너 티셔츠</t>
    </r>
  </si>
  <si>
    <t xml:space="preserve">N264MPT520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</si>
  <si>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리플렉터 프리마로프트 패딩 세미 레귤러핏 팬츠</t>
    </r>
  </si>
  <si>
    <t xml:space="preserve">N264MDW500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</si>
  <si>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인피니티 멀티포켓 구스다운 점퍼</t>
    </r>
  </si>
  <si>
    <t xml:space="preserve">N264MDW520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</si>
  <si>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인피니티 </t>
    </r>
    <r>
      <rPr>
        <sz val="11"/>
        <color rgb="FF0000FF"/>
        <rFont val="Cambria"/>
        <family val="0"/>
        <charset val="1"/>
      </rPr>
      <t xml:space="preserve">3IN1 </t>
    </r>
    <r>
      <rPr>
        <sz val="11"/>
        <color rgb="FF0000FF"/>
        <rFont val="WenQuanYi Zen Hei"/>
        <family val="2"/>
      </rPr>
      <t xml:space="preserve">숏기장 구스다운 점퍼</t>
    </r>
  </si>
  <si>
    <t xml:space="preserve">N264MVT350</t>
  </si>
  <si>
    <r>
      <rPr>
        <sz val="11"/>
        <color rgb="FF0000FF"/>
        <rFont val="Cambria"/>
        <family val="0"/>
        <charset val="1"/>
      </rPr>
      <t xml:space="preserve">SEQUENCE </t>
    </r>
    <r>
      <rPr>
        <sz val="11"/>
        <color rgb="FF0000FF"/>
        <rFont val="WenQuanYi Zen Hei"/>
        <family val="2"/>
      </rPr>
      <t xml:space="preserve">액티브 경량 베스트</t>
    </r>
  </si>
  <si>
    <t xml:space="preserve">N264MTS210</t>
  </si>
  <si>
    <t xml:space="preserve">하프넥 브러쉬 긴팔 티셔츠</t>
  </si>
  <si>
    <t xml:space="preserve">N264UDW152</t>
  </si>
  <si>
    <t xml:space="preserve">퓨어이펙트 리버서블 후드 덕다운 점퍼</t>
  </si>
  <si>
    <t xml:space="preserve">N264UDW230</t>
  </si>
  <si>
    <t xml:space="preserve">글래시어 스탠드넥 튜브 구스다운 점퍼</t>
  </si>
  <si>
    <t xml:space="preserve">N264UDW902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</si>
  <si>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[PERTEX] </t>
    </r>
    <r>
      <rPr>
        <sz val="11"/>
        <color rgb="FF0000FF"/>
        <rFont val="WenQuanYi Zen Hei"/>
        <family val="2"/>
      </rPr>
      <t xml:space="preserve">배색 후드 경량 덕다운 점퍼</t>
    </r>
  </si>
  <si>
    <t xml:space="preserve">N264USW180</t>
  </si>
  <si>
    <t xml:space="preserve">클라우드 플리스 하프넥 풀오버</t>
  </si>
  <si>
    <t xml:space="preserve">N264UWT010</t>
  </si>
  <si>
    <t xml:space="preserve">플러피 솔라 슬립온</t>
  </si>
  <si>
    <t xml:space="preserve">N264UWT020</t>
  </si>
  <si>
    <t xml:space="preserve">플러피 솔라 부츠</t>
  </si>
  <si>
    <t xml:space="preserve">N264UWT040</t>
  </si>
  <si>
    <t xml:space="preserve">지오로브</t>
  </si>
  <si>
    <t xml:space="preserve">N264WPT240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</si>
  <si>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고신축 브러쉬 세미레귤러핏 부츠컷 팬츠</t>
    </r>
  </si>
  <si>
    <t xml:space="preserve">N264WDW150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</si>
  <si>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레녹 후드 중기장 구스다운 점퍼</t>
    </r>
  </si>
  <si>
    <t xml:space="preserve">N264WDW154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</si>
  <si>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퓨어이펙트 </t>
    </r>
    <r>
      <rPr>
        <sz val="11"/>
        <color rgb="FF0000FF"/>
        <rFont val="Cambria"/>
        <family val="0"/>
        <charset val="1"/>
      </rPr>
      <t xml:space="preserve">UL </t>
    </r>
    <r>
      <rPr>
        <sz val="11"/>
        <color rgb="FF0000FF"/>
        <rFont val="WenQuanYi Zen Hei"/>
        <family val="2"/>
      </rPr>
      <t xml:space="preserve">후드 덕다운 점퍼</t>
    </r>
  </si>
  <si>
    <t xml:space="preserve">N264WFJ155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</si>
  <si>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코스토니 리버시블 자켓</t>
    </r>
  </si>
  <si>
    <t xml:space="preserve">N264WSW160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</si>
  <si>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시로 하프 집업</t>
    </r>
  </si>
  <si>
    <t xml:space="preserve">N265ABG050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</si>
  <si>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루미미니백팩</t>
    </r>
  </si>
  <si>
    <t xml:space="preserve">N265ABG530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</si>
  <si>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어반프라임백팩</t>
    </r>
  </si>
  <si>
    <t xml:space="preserve">N265ACR020</t>
  </si>
  <si>
    <r>
      <rPr>
        <sz val="11"/>
        <color rgb="FF0000FF"/>
        <rFont val="WenQuanYi Zen Hei"/>
        <family val="2"/>
      </rPr>
      <t xml:space="preserve">데이즈메신저백</t>
    </r>
    <r>
      <rPr>
        <sz val="11"/>
        <color rgb="FF0000FF"/>
        <rFont val="Cambria"/>
        <family val="0"/>
        <charset val="1"/>
      </rPr>
      <t xml:space="preserve">13"</t>
    </r>
  </si>
  <si>
    <t xml:space="preserve">N265ACR190</t>
  </si>
  <si>
    <t xml:space="preserve">엑스트라미니크로스백</t>
  </si>
  <si>
    <t xml:space="preserve">N265AHA200</t>
  </si>
  <si>
    <t xml:space="preserve">어반고어텍스햇</t>
  </si>
  <si>
    <t xml:space="preserve">캠핑</t>
  </si>
  <si>
    <t xml:space="preserve">N265ACH020</t>
  </si>
  <si>
    <t xml:space="preserve">디 오리지널 로버 체어</t>
  </si>
  <si>
    <t xml:space="preserve">N265AET020</t>
  </si>
  <si>
    <r>
      <rPr>
        <sz val="11"/>
        <color rgb="FF0000FF"/>
        <rFont val="WenQuanYi Zen Hei"/>
        <family val="2"/>
      </rPr>
      <t xml:space="preserve">네이쳐 핸들 텀블러 </t>
    </r>
    <r>
      <rPr>
        <sz val="11"/>
        <color rgb="FF0000FF"/>
        <rFont val="Cambria"/>
        <family val="0"/>
        <charset val="1"/>
      </rPr>
      <t xml:space="preserve">1200</t>
    </r>
  </si>
  <si>
    <t xml:space="preserve">N265AET040</t>
  </si>
  <si>
    <r>
      <rPr>
        <sz val="11"/>
        <color rgb="FF0000FF"/>
        <rFont val="WenQuanYi Zen Hei"/>
        <family val="2"/>
      </rPr>
      <t xml:space="preserve">시그니쳐 머그컵 </t>
    </r>
    <r>
      <rPr>
        <sz val="11"/>
        <color rgb="FF0000FF"/>
        <rFont val="Cambria"/>
        <family val="0"/>
        <charset val="1"/>
      </rPr>
      <t xml:space="preserve">640</t>
    </r>
  </si>
  <si>
    <t xml:space="preserve">N265ASU020</t>
  </si>
  <si>
    <r>
      <rPr>
        <sz val="11"/>
        <color rgb="FF0000FF"/>
        <rFont val="WenQuanYi Zen Hei"/>
        <family val="2"/>
      </rPr>
      <t xml:space="preserve">스톤헨지 미니 </t>
    </r>
    <r>
      <rPr>
        <sz val="11"/>
        <color rgb="FF0000FF"/>
        <rFont val="Cambria"/>
        <family val="0"/>
        <charset val="1"/>
      </rPr>
      <t xml:space="preserve">20</t>
    </r>
  </si>
  <si>
    <t xml:space="preserve">N265ASU030</t>
  </si>
  <si>
    <r>
      <rPr>
        <sz val="11"/>
        <color rgb="FF0000FF"/>
        <rFont val="WenQuanYi Zen Hei"/>
        <family val="2"/>
      </rPr>
      <t xml:space="preserve">스톤헨지 캐리어 </t>
    </r>
    <r>
      <rPr>
        <sz val="11"/>
        <color rgb="FF0000FF"/>
        <rFont val="Cambria"/>
        <family val="0"/>
        <charset val="1"/>
      </rPr>
      <t xml:space="preserve">26</t>
    </r>
  </si>
  <si>
    <t xml:space="preserve">N265ASU210</t>
  </si>
  <si>
    <r>
      <rPr>
        <sz val="11"/>
        <color rgb="FF0000FF"/>
        <rFont val="WenQuanYi Zen Hei"/>
        <family val="2"/>
      </rPr>
      <t xml:space="preserve">타르가 캐리어 </t>
    </r>
    <r>
      <rPr>
        <sz val="11"/>
        <color rgb="FF0000FF"/>
        <rFont val="Cambria"/>
        <family val="0"/>
        <charset val="1"/>
      </rPr>
      <t xml:space="preserve">24</t>
    </r>
  </si>
  <si>
    <t xml:space="preserve">O261MPT210</t>
  </si>
  <si>
    <t xml:space="preserve">O261UPT090</t>
  </si>
  <si>
    <t xml:space="preserve">리오 스트레치 베이직핏 스트레이트 팬츠</t>
  </si>
  <si>
    <t xml:space="preserve">O261UJP030</t>
  </si>
  <si>
    <r>
      <rPr>
        <sz val="11"/>
        <color rgb="FF0000FF"/>
        <rFont val="WenQuanYi Zen Hei"/>
        <family val="2"/>
      </rPr>
      <t xml:space="preserve">오거스틴 </t>
    </r>
    <r>
      <rPr>
        <sz val="11"/>
        <color rgb="FF0000FF"/>
        <rFont val="Cambria"/>
        <family val="0"/>
        <charset val="1"/>
      </rPr>
      <t xml:space="preserve">2L </t>
    </r>
    <r>
      <rPr>
        <sz val="11"/>
        <color rgb="FF0000FF"/>
        <rFont val="WenQuanYi Zen Hei"/>
        <family val="2"/>
      </rPr>
      <t xml:space="preserve">점퍼</t>
    </r>
  </si>
  <si>
    <t xml:space="preserve">O261WPT301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</si>
  <si>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부츠컷 팬츠</t>
    </r>
  </si>
  <si>
    <t xml:space="preserve">O262MPT021</t>
  </si>
  <si>
    <t xml:space="preserve">다셀로 베이직핏 스트레이트 팬츠</t>
  </si>
  <si>
    <t xml:space="preserve">O262MPT210</t>
  </si>
  <si>
    <t xml:space="preserve">O262MVT230</t>
  </si>
  <si>
    <t xml:space="preserve">O262MPL330</t>
  </si>
  <si>
    <t xml:space="preserve">에어서커 반팔 카라 티셔츠</t>
  </si>
  <si>
    <t xml:space="preserve">O262MTS301</t>
  </si>
  <si>
    <r>
      <rPr>
        <sz val="11"/>
        <color rgb="FF0000FF"/>
        <rFont val="WenQuanYi Zen Hei"/>
        <family val="2"/>
      </rPr>
      <t xml:space="preserve">반집업스킨 티셔츠</t>
    </r>
    <r>
      <rPr>
        <sz val="11"/>
        <color rgb="FF0000FF"/>
        <rFont val="Cambria"/>
        <family val="0"/>
        <charset val="1"/>
      </rPr>
      <t xml:space="preserve">
</t>
    </r>
  </si>
  <si>
    <t xml:space="preserve">O262UHP140</t>
  </si>
  <si>
    <t xml:space="preserve">O262UPT141</t>
  </si>
  <si>
    <t xml:space="preserve">O262UVT140</t>
  </si>
  <si>
    <t xml:space="preserve">스킨 울트라 후드 베스트</t>
  </si>
  <si>
    <t xml:space="preserve">O262UFT140</t>
  </si>
  <si>
    <t xml:space="preserve">O262UTS918</t>
  </si>
  <si>
    <t xml:space="preserve">지구의날 스페셜 세이블 티셔츠 </t>
  </si>
  <si>
    <t xml:space="preserve">O262UTS919</t>
  </si>
  <si>
    <t xml:space="preserve">지구의 날 스페셜 세이블 티셔츠</t>
  </si>
  <si>
    <t xml:space="preserve">O262WFT140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</si>
  <si>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냉감 스트레치 세미오버핏 후드 풀집업</t>
    </r>
  </si>
  <si>
    <t xml:space="preserve">O262WOP301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</si>
  <si>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카시아 컬러 블록 원피스</t>
    </r>
  </si>
  <si>
    <t xml:space="preserve">O262WPL140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</si>
  <si>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냉감 스트레치 반팔 카라 티셔츠</t>
    </r>
  </si>
  <si>
    <t xml:space="preserve">O262WPL330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</si>
  <si>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에어닷 카라티셔츠</t>
    </r>
  </si>
  <si>
    <t xml:space="preserve">O262WTS301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</si>
  <si>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반집업 스킨 티셔츠</t>
    </r>
  </si>
  <si>
    <t xml:space="preserve">O262WTS302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</si>
  <si>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스킨 흡한속건 티셔츠</t>
    </r>
  </si>
  <si>
    <t xml:space="preserve">O262WTS330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</si>
  <si>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에어닷 티셔츠</t>
    </r>
  </si>
  <si>
    <t xml:space="preserve">O263MPT301</t>
  </si>
  <si>
    <t xml:space="preserve">아르켈론 베이직핏 팬츠</t>
  </si>
  <si>
    <t xml:space="preserve">O263MPT302</t>
  </si>
  <si>
    <t xml:space="preserve">립스탑매칭 카고 팬츠</t>
  </si>
  <si>
    <t xml:space="preserve">O263MPT303</t>
  </si>
  <si>
    <t xml:space="preserve">코듀라 카고 팬츠</t>
  </si>
  <si>
    <t xml:space="preserve">O263MJK302</t>
  </si>
  <si>
    <t xml:space="preserve">라운드넥 버튼 자켓</t>
  </si>
  <si>
    <t xml:space="preserve">O263MVT301</t>
  </si>
  <si>
    <t xml:space="preserve">아르켈론 베스트</t>
  </si>
  <si>
    <t xml:space="preserve">O263MSH301</t>
  </si>
  <si>
    <t xml:space="preserve">데님 셔츠</t>
  </si>
  <si>
    <t xml:space="preserve">O263MTS303</t>
  </si>
  <si>
    <t xml:space="preserve">퀵드라이 티셔츠</t>
  </si>
  <si>
    <t xml:space="preserve">O263WJK302</t>
  </si>
  <si>
    <r>
      <rPr>
        <sz val="11"/>
        <color rgb="FF0000FF"/>
        <rFont val="Cambria"/>
        <family val="0"/>
        <charset val="1"/>
      </rPr>
      <t xml:space="preserve">W' TORAY </t>
    </r>
    <r>
      <rPr>
        <sz val="11"/>
        <color rgb="FF0000FF"/>
        <rFont val="WenQuanYi Zen Hei"/>
        <family val="2"/>
      </rPr>
      <t xml:space="preserve">방수 자켓</t>
    </r>
  </si>
  <si>
    <t xml:space="preserve">O263WOP301</t>
  </si>
  <si>
    <r>
      <rPr>
        <sz val="11"/>
        <color rgb="FF0000FF"/>
        <rFont val="Cambria"/>
        <family val="0"/>
        <charset val="1"/>
      </rPr>
      <t xml:space="preserve">W’ </t>
    </r>
    <r>
      <rPr>
        <sz val="11"/>
        <color rgb="FF0000FF"/>
        <rFont val="WenQuanYi Zen Hei"/>
        <family val="2"/>
      </rPr>
      <t xml:space="preserve">아르켈론 포켓 원피스</t>
    </r>
  </si>
  <si>
    <t xml:space="preserve">O263WTS301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</si>
  <si>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컴포터블 티셔츠</t>
    </r>
  </si>
  <si>
    <t xml:space="preserve">O264MPT301</t>
  </si>
  <si>
    <t xml:space="preserve">소프트쉘 베이직 팬츠</t>
  </si>
  <si>
    <t xml:space="preserve">O264MPT302</t>
  </si>
  <si>
    <t xml:space="preserve">빅포켓 팬츠</t>
  </si>
  <si>
    <t xml:space="preserve">O264MPT304</t>
  </si>
  <si>
    <t xml:space="preserve">플리스  웜 팬츠</t>
  </si>
  <si>
    <t xml:space="preserve">O264MDW302</t>
  </si>
  <si>
    <t xml:space="preserve">스퀘어 스티치드 경량 다운 자켓</t>
  </si>
  <si>
    <t xml:space="preserve">O264MDW303</t>
  </si>
  <si>
    <t xml:space="preserve">경량 다운 자켓</t>
  </si>
  <si>
    <t xml:space="preserve">O264MJK301</t>
  </si>
  <si>
    <t xml:space="preserve">소프트쉘 플리스 웜 자켓</t>
  </si>
  <si>
    <t xml:space="preserve">O264MPD302</t>
  </si>
  <si>
    <t xml:space="preserve">오블리크 경량 패딩 자켓</t>
  </si>
  <si>
    <t xml:space="preserve">O264MPD303</t>
  </si>
  <si>
    <t xml:space="preserve">퍼텍스 경량 패딩 자켓</t>
  </si>
  <si>
    <t xml:space="preserve">O264MHD301</t>
  </si>
  <si>
    <t xml:space="preserve">프리마로프트 쿼터집업 후디</t>
  </si>
  <si>
    <t xml:space="preserve">O264MSH301</t>
  </si>
  <si>
    <t xml:space="preserve">코듀로이 셔츠</t>
  </si>
  <si>
    <t xml:space="preserve">O264MTS301</t>
  </si>
  <si>
    <t xml:space="preserve">포켓 반넥 쿼터 집 티셔츠</t>
  </si>
  <si>
    <t xml:space="preserve">O264UDW250</t>
  </si>
  <si>
    <r>
      <rPr>
        <sz val="11"/>
        <color rgb="FF0000FF"/>
        <rFont val="Cambria"/>
        <family val="0"/>
        <charset val="1"/>
      </rPr>
      <t xml:space="preserve">[PERTEX] </t>
    </r>
    <r>
      <rPr>
        <sz val="11"/>
        <color rgb="FF0000FF"/>
        <rFont val="WenQuanYi Zen Hei"/>
        <family val="2"/>
      </rPr>
      <t xml:space="preserve">오베론 후드 구스다운 점퍼</t>
    </r>
  </si>
  <si>
    <t xml:space="preserve">O264UDW330</t>
  </si>
  <si>
    <t xml:space="preserve">아틀라스 프로 고어 윈드스토퍼 구스다운 점퍼</t>
  </si>
  <si>
    <t xml:space="preserve">O264UVT301</t>
  </si>
  <si>
    <t xml:space="preserve">플리스 베스트</t>
  </si>
  <si>
    <t xml:space="preserve">O264WPT302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</si>
  <si>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플리스 기모 팬츠</t>
    </r>
  </si>
  <si>
    <t xml:space="preserve">O264WSK301</t>
  </si>
  <si>
    <r>
      <rPr>
        <sz val="11"/>
        <color rgb="FF0000FF"/>
        <rFont val="Cambria"/>
        <family val="0"/>
        <charset val="1"/>
      </rPr>
      <t xml:space="preserve">W'  </t>
    </r>
    <r>
      <rPr>
        <sz val="11"/>
        <color rgb="FF0000FF"/>
        <rFont val="WenQuanYi Zen Hei"/>
        <family val="2"/>
      </rPr>
      <t xml:space="preserve">등고선 퀼팅 스커트</t>
    </r>
  </si>
  <si>
    <t xml:space="preserve">O264WDW140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</si>
  <si>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타루가 블루종 구스다운 점퍼</t>
    </r>
  </si>
  <si>
    <t xml:space="preserve">O264WDW310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</si>
  <si>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아틀라스 고어 윈드스토퍼 중기장 구스다운 점퍼</t>
    </r>
  </si>
  <si>
    <t xml:space="preserve">O264WDW320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</si>
  <si>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아틀라스 고어 윈드스토퍼 롱기장 구스다운 점퍼</t>
    </r>
  </si>
  <si>
    <t xml:space="preserve">O264WJK301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</si>
  <si>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소프트쉘 플리스 웜 자켓</t>
    </r>
  </si>
  <si>
    <t xml:space="preserve">O264WPD303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</si>
  <si>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등고선 퀼팅 여성 자켓</t>
    </r>
  </si>
  <si>
    <t xml:space="preserve">O264WHD301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</si>
  <si>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하이넥 후디</t>
    </r>
  </si>
  <si>
    <t xml:space="preserve">O264WSW301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</si>
  <si>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맨투맨</t>
    </r>
  </si>
  <si>
    <t xml:space="preserve">O264WSW302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</si>
  <si>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플리스 아노락</t>
    </r>
  </si>
  <si>
    <t xml:space="preserve">O265UTS010</t>
  </si>
  <si>
    <t xml:space="preserve">O265WTS010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</si>
  <si>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네오디 스몰로고 반팔 티셔츠</t>
    </r>
  </si>
  <si>
    <t xml:space="preserve">WW003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</si>
  <si>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태국</t>
    </r>
  </si>
  <si>
    <t xml:space="preserve">N242ACR010</t>
  </si>
  <si>
    <t xml:space="preserve">비치크로스백</t>
  </si>
  <si>
    <t xml:space="preserve">N242AHA030</t>
  </si>
  <si>
    <t xml:space="preserve">메쉬서핑캡</t>
  </si>
  <si>
    <t xml:space="preserve">N251ABG550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</si>
  <si>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로디백팩</t>
    </r>
  </si>
  <si>
    <t xml:space="preserve">N252MVT100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</si>
  <si>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하이브리드 후드 베스트</t>
    </r>
  </si>
  <si>
    <t xml:space="preserve">N252UJP220</t>
  </si>
  <si>
    <r>
      <rPr>
        <sz val="11"/>
        <color rgb="FF0000FF"/>
        <rFont val="WenQuanYi Zen Hei"/>
        <family val="2"/>
      </rPr>
      <t xml:space="preserve">유로파 경량 </t>
    </r>
    <r>
      <rPr>
        <sz val="11"/>
        <color rgb="FF0000FF"/>
        <rFont val="Cambria"/>
        <family val="0"/>
        <charset val="1"/>
      </rPr>
      <t xml:space="preserve">3L </t>
    </r>
    <r>
      <rPr>
        <sz val="11"/>
        <color rgb="FF0000FF"/>
        <rFont val="WenQuanYi Zen Hei"/>
        <family val="2"/>
      </rPr>
      <t xml:space="preserve">후드 점퍼</t>
    </r>
  </si>
  <si>
    <t xml:space="preserve">N252USH490</t>
  </si>
  <si>
    <t xml:space="preserve">크링클 세미오버핏 반팔 셔츠</t>
  </si>
  <si>
    <t xml:space="preserve">N252UTS080</t>
  </si>
  <si>
    <r>
      <rPr>
        <sz val="11"/>
        <color rgb="FF0000FF"/>
        <rFont val="WenQuanYi Zen Hei"/>
        <family val="2"/>
      </rPr>
      <t xml:space="preserve">리젠아스킨 트래블</t>
    </r>
    <r>
      <rPr>
        <sz val="11"/>
        <color rgb="FF0000FF"/>
        <rFont val="Cambria"/>
        <family val="0"/>
        <charset val="1"/>
      </rPr>
      <t xml:space="preserve">1 </t>
    </r>
    <r>
      <rPr>
        <sz val="11"/>
        <color rgb="FF0000FF"/>
        <rFont val="WenQuanYi Zen Hei"/>
        <family val="2"/>
      </rPr>
      <t xml:space="preserve">그래픽 세미오버핏 반팔 티셔츠</t>
    </r>
  </si>
  <si>
    <t xml:space="preserve">N252UTS091</t>
  </si>
  <si>
    <t xml:space="preserve">크로우 소로나 쿨 바르셀로나 세미오버핏 반팔 티셔츠</t>
  </si>
  <si>
    <t xml:space="preserve">N261MPT520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</si>
  <si>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필드 어드벤처 베이직핏 팬츠</t>
    </r>
  </si>
  <si>
    <t xml:space="preserve">N261MJP500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</si>
  <si>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윈드스토퍼 </t>
    </r>
    <r>
      <rPr>
        <sz val="11"/>
        <color rgb="FF0000FF"/>
        <rFont val="Cambria"/>
        <family val="0"/>
        <charset val="1"/>
      </rPr>
      <t xml:space="preserve">BY GORE-TEX LABS </t>
    </r>
    <r>
      <rPr>
        <sz val="11"/>
        <color rgb="FF0000FF"/>
        <rFont val="WenQuanYi Zen Hei"/>
        <family val="2"/>
      </rPr>
      <t xml:space="preserve">아라미드 유틸리티 </t>
    </r>
    <r>
      <rPr>
        <sz val="11"/>
        <color rgb="FF0000FF"/>
        <rFont val="Cambria"/>
        <family val="0"/>
        <charset val="1"/>
      </rPr>
      <t xml:space="preserve">2L </t>
    </r>
    <r>
      <rPr>
        <sz val="11"/>
        <color rgb="FF0000FF"/>
        <rFont val="WenQuanYi Zen Hei"/>
        <family val="2"/>
      </rPr>
      <t xml:space="preserve">자켓</t>
    </r>
  </si>
  <si>
    <t xml:space="preserve">N261MJP520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</si>
  <si>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점퍼</t>
    </r>
  </si>
  <si>
    <t xml:space="preserve">N261UJP030</t>
  </si>
  <si>
    <t xml:space="preserve">N262UTS906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</si>
  <si>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윈도우 그래픽 세미오버핏 반팔 티셔츠</t>
    </r>
  </si>
  <si>
    <t xml:space="preserve">N262UTS908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</si>
  <si>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바캉스 그래픽 세미오버핏 반팔 티셔츠</t>
    </r>
  </si>
  <si>
    <t xml:space="preserve">WW005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</si>
  <si>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말레이시아</t>
    </r>
  </si>
  <si>
    <t xml:space="preserve">K261KCR010</t>
  </si>
  <si>
    <r>
      <rPr>
        <sz val="11"/>
        <color rgb="FF0000FF"/>
        <rFont val="Cambria"/>
        <family val="0"/>
        <charset val="1"/>
      </rPr>
      <t xml:space="preserve">KIDS</t>
    </r>
    <r>
      <rPr>
        <sz val="11"/>
        <color rgb="FF0000FF"/>
        <rFont val="WenQuanYi Zen Hei"/>
        <family val="2"/>
      </rPr>
      <t xml:space="preserve">루카보조가방</t>
    </r>
  </si>
  <si>
    <t xml:space="preserve">K261KCR030</t>
  </si>
  <si>
    <r>
      <rPr>
        <sz val="11"/>
        <color rgb="FF0000FF"/>
        <rFont val="Cambria"/>
        <family val="0"/>
        <charset val="1"/>
      </rPr>
      <t xml:space="preserve">KIDS</t>
    </r>
    <r>
      <rPr>
        <sz val="11"/>
        <color rgb="FF0000FF"/>
        <rFont val="WenQuanYi Zen Hei"/>
        <family val="2"/>
      </rPr>
      <t xml:space="preserve">보조가방</t>
    </r>
    <r>
      <rPr>
        <sz val="11"/>
        <color rgb="FF0000FF"/>
        <rFont val="Cambria"/>
        <family val="0"/>
        <charset val="1"/>
      </rPr>
      <t xml:space="preserve">L</t>
    </r>
  </si>
  <si>
    <t xml:space="preserve">K262UTS020</t>
  </si>
  <si>
    <r>
      <rPr>
        <sz val="11"/>
        <color rgb="FF0000FF"/>
        <rFont val="Cambria"/>
        <family val="0"/>
        <charset val="1"/>
      </rPr>
      <t xml:space="preserve">KIDS </t>
    </r>
    <r>
      <rPr>
        <sz val="11"/>
        <color rgb="FF0000FF"/>
        <rFont val="WenQuanYi Zen Hei"/>
        <family val="2"/>
      </rPr>
      <t xml:space="preserve">냉감 사파리 그래픽 </t>
    </r>
    <r>
      <rPr>
        <sz val="11"/>
        <color rgb="FF0000FF"/>
        <rFont val="Cambria"/>
        <family val="0"/>
        <charset val="1"/>
      </rPr>
      <t xml:space="preserve">H/TEE-2</t>
    </r>
  </si>
  <si>
    <t xml:space="preserve">K262UTS220</t>
  </si>
  <si>
    <r>
      <rPr>
        <sz val="11"/>
        <color rgb="FF0000FF"/>
        <rFont val="Cambria"/>
        <family val="0"/>
        <charset val="1"/>
      </rPr>
      <t xml:space="preserve">KIDS </t>
    </r>
    <r>
      <rPr>
        <sz val="11"/>
        <color rgb="FF0000FF"/>
        <rFont val="WenQuanYi Zen Hei"/>
        <family val="2"/>
      </rPr>
      <t xml:space="preserve">어드벤처 그래픽 </t>
    </r>
    <r>
      <rPr>
        <sz val="11"/>
        <color rgb="FF0000FF"/>
        <rFont val="Cambria"/>
        <family val="0"/>
        <charset val="1"/>
      </rPr>
      <t xml:space="preserve">H/TEE-2</t>
    </r>
  </si>
  <si>
    <t xml:space="preserve">K265KCR140</t>
  </si>
  <si>
    <r>
      <rPr>
        <sz val="11"/>
        <color rgb="FF0000FF"/>
        <rFont val="Cambria"/>
        <family val="0"/>
        <charset val="1"/>
      </rPr>
      <t xml:space="preserve">KIDS</t>
    </r>
    <r>
      <rPr>
        <sz val="11"/>
        <color rgb="FF0000FF"/>
        <rFont val="WenQuanYi Zen Hei"/>
        <family val="2"/>
      </rPr>
      <t xml:space="preserve">루카미니크로스백</t>
    </r>
  </si>
  <si>
    <t xml:space="preserve">K265KHA020</t>
  </si>
  <si>
    <r>
      <rPr>
        <sz val="11"/>
        <color rgb="FF0000FF"/>
        <rFont val="Cambria"/>
        <family val="0"/>
        <charset val="1"/>
      </rPr>
      <t xml:space="preserve">KIDS</t>
    </r>
    <r>
      <rPr>
        <sz val="11"/>
        <color rgb="FF0000FF"/>
        <rFont val="WenQuanYi Zen Hei"/>
        <family val="2"/>
      </rPr>
      <t xml:space="preserve">배색빅로고캡</t>
    </r>
  </si>
  <si>
    <t xml:space="preserve">N225UTS020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</si>
  <si>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비</t>
    </r>
    <r>
      <rPr>
        <sz val="11"/>
        <color rgb="FF0000FF"/>
        <rFont val="Cambria"/>
        <family val="0"/>
        <charset val="1"/>
      </rPr>
      <t xml:space="preserve">)UNI </t>
    </r>
    <r>
      <rPr>
        <sz val="11"/>
        <color rgb="FF0000FF"/>
        <rFont val="WenQuanYi Zen Hei"/>
        <family val="2"/>
      </rPr>
      <t xml:space="preserve">네오디 빅로고 </t>
    </r>
    <r>
      <rPr>
        <sz val="11"/>
        <color rgb="FF0000FF"/>
        <rFont val="Cambria"/>
        <family val="0"/>
        <charset val="1"/>
      </rPr>
      <t xml:space="preserve">H/TEE</t>
    </r>
  </si>
  <si>
    <t xml:space="preserve">N261UTS210</t>
  </si>
  <si>
    <t xml:space="preserve">카프 기능성 긴팔 티셔츠</t>
  </si>
  <si>
    <t xml:space="preserve">N261UTS250</t>
  </si>
  <si>
    <t xml:space="preserve">베이스레이어 긴팔 티셔츠</t>
  </si>
  <si>
    <t xml:space="preserve">N261WTS250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</si>
  <si>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슬림핏 긴팔 티셔츠</t>
    </r>
  </si>
  <si>
    <t xml:space="preserve">N262AHA010</t>
  </si>
  <si>
    <t xml:space="preserve">스몰로고선바이저</t>
  </si>
  <si>
    <t xml:space="preserve">N262MBS410</t>
  </si>
  <si>
    <r>
      <rPr>
        <sz val="11"/>
        <color rgb="FF0000FF"/>
        <rFont val="Cambria"/>
        <family val="0"/>
        <charset val="1"/>
      </rPr>
      <t xml:space="preserve">4</t>
    </r>
    <r>
      <rPr>
        <sz val="11"/>
        <color rgb="FF0000FF"/>
        <rFont val="WenQuanYi Zen Hei"/>
        <family val="2"/>
      </rPr>
      <t xml:space="preserve">부 보드숏</t>
    </r>
  </si>
  <si>
    <t xml:space="preserve">N262MRG410</t>
  </si>
  <si>
    <t xml:space="preserve">베이직 집업 래쉬가드</t>
  </si>
  <si>
    <t xml:space="preserve">N262MSH490</t>
  </si>
  <si>
    <t xml:space="preserve">시어서커 세미오버핏 패턴 셔츠</t>
  </si>
  <si>
    <t xml:space="preserve">N262UHP622</t>
  </si>
  <si>
    <r>
      <rPr>
        <sz val="11"/>
        <color rgb="FF0000FF"/>
        <rFont val="Cambria"/>
        <family val="0"/>
        <charset val="1"/>
      </rPr>
      <t xml:space="preserve">[</t>
    </r>
    <r>
      <rPr>
        <sz val="11"/>
        <color rgb="FF0000FF"/>
        <rFont val="WenQuanYi Zen Hei"/>
        <family val="2"/>
      </rPr>
      <t xml:space="preserve">국유청 </t>
    </r>
    <r>
      <rPr>
        <sz val="11"/>
        <color rgb="FF0000FF"/>
        <rFont val="Cambria"/>
        <family val="0"/>
        <charset val="1"/>
      </rPr>
      <t xml:space="preserve">X NG] </t>
    </r>
    <r>
      <rPr>
        <sz val="11"/>
        <color rgb="FF0000FF"/>
        <rFont val="WenQuanYi Zen Hei"/>
        <family val="2"/>
      </rPr>
      <t xml:space="preserve">훈민정음 </t>
    </r>
    <r>
      <rPr>
        <sz val="11"/>
        <color rgb="FF0000FF"/>
        <rFont val="Cambria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부 반바지</t>
    </r>
  </si>
  <si>
    <t xml:space="preserve">N262UPL020</t>
  </si>
  <si>
    <t xml:space="preserve">카리디 피케 반팔 카라 티셔츠</t>
  </si>
  <si>
    <t xml:space="preserve">N262UTS420</t>
  </si>
  <si>
    <t xml:space="preserve">스트라이프 세미오버핏 반팔 티셔츠</t>
  </si>
  <si>
    <t xml:space="preserve">N262UTS633</t>
  </si>
  <si>
    <r>
      <rPr>
        <sz val="11"/>
        <color rgb="FF0000FF"/>
        <rFont val="Cambria"/>
        <family val="0"/>
        <charset val="1"/>
      </rPr>
      <t xml:space="preserve">[</t>
    </r>
    <r>
      <rPr>
        <sz val="11"/>
        <color rgb="FF0000FF"/>
        <rFont val="WenQuanYi Zen Hei"/>
        <family val="2"/>
      </rPr>
      <t xml:space="preserve">국유청 </t>
    </r>
    <r>
      <rPr>
        <sz val="11"/>
        <color rgb="FF0000FF"/>
        <rFont val="Cambria"/>
        <family val="0"/>
        <charset val="1"/>
      </rPr>
      <t xml:space="preserve">X NG] </t>
    </r>
    <r>
      <rPr>
        <sz val="11"/>
        <color rgb="FF0000FF"/>
        <rFont val="WenQuanYi Zen Hei"/>
        <family val="2"/>
      </rPr>
      <t xml:space="preserve">십장생도 세미오버핏 그래픽 티셔츠</t>
    </r>
  </si>
  <si>
    <t xml:space="preserve">N262UTS635</t>
  </si>
  <si>
    <r>
      <rPr>
        <sz val="11"/>
        <color rgb="FF0000FF"/>
        <rFont val="Cambria"/>
        <family val="0"/>
        <charset val="1"/>
      </rPr>
      <t xml:space="preserve">[</t>
    </r>
    <r>
      <rPr>
        <sz val="11"/>
        <color rgb="FF0000FF"/>
        <rFont val="WenQuanYi Zen Hei"/>
        <family val="2"/>
      </rPr>
      <t xml:space="preserve">국유청 </t>
    </r>
    <r>
      <rPr>
        <sz val="11"/>
        <color rgb="FF0000FF"/>
        <rFont val="Cambria"/>
        <family val="0"/>
        <charset val="1"/>
      </rPr>
      <t xml:space="preserve">X NG] </t>
    </r>
    <r>
      <rPr>
        <sz val="11"/>
        <color rgb="FF0000FF"/>
        <rFont val="WenQuanYi Zen Hei"/>
        <family val="2"/>
      </rPr>
      <t xml:space="preserve">훈민정음 해례본 세미오버핏 그래픽 티셔츠</t>
    </r>
  </si>
  <si>
    <t xml:space="preserve">N262UTS638</t>
  </si>
  <si>
    <r>
      <rPr>
        <sz val="11"/>
        <color rgb="FF0000FF"/>
        <rFont val="Cambria"/>
        <family val="0"/>
        <charset val="1"/>
      </rPr>
      <t xml:space="preserve">[</t>
    </r>
    <r>
      <rPr>
        <sz val="11"/>
        <color rgb="FF0000FF"/>
        <rFont val="WenQuanYi Zen Hei"/>
        <family val="2"/>
      </rPr>
      <t xml:space="preserve">국유청 </t>
    </r>
    <r>
      <rPr>
        <sz val="11"/>
        <color rgb="FF0000FF"/>
        <rFont val="Cambria"/>
        <family val="0"/>
        <charset val="1"/>
      </rPr>
      <t xml:space="preserve">X NG] </t>
    </r>
    <r>
      <rPr>
        <sz val="11"/>
        <color rgb="FF0000FF"/>
        <rFont val="WenQuanYi Zen Hei"/>
        <family val="2"/>
      </rPr>
      <t xml:space="preserve">단청 세미오버핏 그래픽 티셔츠</t>
    </r>
  </si>
  <si>
    <t xml:space="preserve">N262USI020</t>
  </si>
  <si>
    <t xml:space="preserve">리오 슬라이드</t>
  </si>
  <si>
    <t xml:space="preserve">N262WBS410</t>
  </si>
  <si>
    <r>
      <rPr>
        <sz val="11"/>
        <color rgb="FF0000FF"/>
        <rFont val="Cambria"/>
        <family val="0"/>
        <charset val="1"/>
      </rPr>
      <t xml:space="preserve">W' 4</t>
    </r>
    <r>
      <rPr>
        <sz val="11"/>
        <color rgb="FF0000FF"/>
        <rFont val="WenQuanYi Zen Hei"/>
        <family val="2"/>
      </rPr>
      <t xml:space="preserve">부 레깅스 쇼츠</t>
    </r>
  </si>
  <si>
    <t xml:space="preserve">N262WJP140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</si>
  <si>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프리즈 스트레치 스탠드넥 반팔 풀집업 </t>
    </r>
  </si>
  <si>
    <t xml:space="preserve">N262WOP040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</si>
  <si>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에리카 냉감 분또 </t>
    </r>
    <r>
      <rPr>
        <sz val="11"/>
        <color rgb="FF0000FF"/>
        <rFont val="Cambria"/>
        <family val="0"/>
        <charset val="1"/>
      </rPr>
      <t xml:space="preserve">H</t>
    </r>
    <r>
      <rPr>
        <sz val="11"/>
        <color rgb="FF0000FF"/>
        <rFont val="WenQuanYi Zen Hei"/>
        <family val="2"/>
      </rPr>
      <t xml:space="preserve">라인 반팔 원피스</t>
    </r>
  </si>
  <si>
    <t xml:space="preserve">N262WPL020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</si>
  <si>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카리디 피케 반팔 카라 티셔츠</t>
    </r>
  </si>
  <si>
    <t xml:space="preserve">N262WPL030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</si>
  <si>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피케 변형 반팔 카라 티셔츠</t>
    </r>
  </si>
  <si>
    <t xml:space="preserve">N262WRG410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</si>
  <si>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베이직 집업 래쉬가드</t>
    </r>
  </si>
  <si>
    <t xml:space="preserve">N263AMS050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</si>
  <si>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프린지머플러</t>
    </r>
  </si>
  <si>
    <t xml:space="preserve">N263UJP040</t>
  </si>
  <si>
    <t xml:space="preserve">면터치 우븐 스트레치 스탠드넥 자켓</t>
  </si>
  <si>
    <t xml:space="preserve">N263UFT070</t>
  </si>
  <si>
    <t xml:space="preserve">쿠션지 세미오버핏 스타디움 점퍼</t>
  </si>
  <si>
    <t xml:space="preserve">N263USH010</t>
  </si>
  <si>
    <t xml:space="preserve">플란넬 체크 셔츠</t>
  </si>
  <si>
    <t xml:space="preserve">N263WPD020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</si>
  <si>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엘크 카라넥 패딩 점퍼</t>
    </r>
  </si>
  <si>
    <t xml:space="preserve">N263WOP020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</si>
  <si>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엘크 패딩 베스트 원피스</t>
    </r>
  </si>
  <si>
    <t xml:space="preserve">N263WTS210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</si>
  <si>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카프 스몰로고 베이직핏 긴팔 티셔츠</t>
    </r>
  </si>
  <si>
    <t xml:space="preserve">N264MPT220</t>
  </si>
  <si>
    <t xml:space="preserve">어반스퀘어 스트레치 세미 레귤러핏 스트레이트 팬츠</t>
  </si>
  <si>
    <t xml:space="preserve">N264UFJ161</t>
  </si>
  <si>
    <t xml:space="preserve">시로 마이크로 플리스 스탠드넥 풀집업</t>
  </si>
  <si>
    <t xml:space="preserve">N264UJP330</t>
  </si>
  <si>
    <r>
      <rPr>
        <sz val="11"/>
        <color rgb="FF0000FF"/>
        <rFont val="Cambria"/>
        <family val="0"/>
        <charset val="1"/>
      </rPr>
      <t xml:space="preserve">[OCTA] </t>
    </r>
    <r>
      <rPr>
        <sz val="11"/>
        <color rgb="FF0000FF"/>
        <rFont val="WenQuanYi Zen Hei"/>
        <family val="2"/>
      </rPr>
      <t xml:space="preserve">베이드 후드 풀집업 자켓</t>
    </r>
  </si>
  <si>
    <t xml:space="preserve">N264UPD230</t>
  </si>
  <si>
    <r>
      <rPr>
        <sz val="11"/>
        <color rgb="FF0000FF"/>
        <rFont val="Cambria"/>
        <family val="0"/>
        <charset val="1"/>
      </rPr>
      <t xml:space="preserve">[PERTEX] </t>
    </r>
    <r>
      <rPr>
        <sz val="11"/>
        <color rgb="FF0000FF"/>
        <rFont val="WenQuanYi Zen Hei"/>
        <family val="2"/>
      </rPr>
      <t xml:space="preserve">프리마로프트 후드형 패딩 점퍼</t>
    </r>
  </si>
  <si>
    <t xml:space="preserve">N264UPV010</t>
  </si>
  <si>
    <t xml:space="preserve">링크스 리버서블 플리스 라이너 패딩 베스트</t>
  </si>
  <si>
    <t xml:space="preserve">N264USW060</t>
  </si>
  <si>
    <t xml:space="preserve">기모 하프집업 맨투맨</t>
  </si>
  <si>
    <t xml:space="preserve">N264WSK160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</si>
  <si>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시로 스커트</t>
    </r>
  </si>
  <si>
    <t xml:space="preserve">N264WKT200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</si>
  <si>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울혼방 카라넥 니트</t>
    </r>
  </si>
  <si>
    <t xml:space="preserve">N264WTS210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</si>
  <si>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하프넥 브러쉬 긴팔 티셔츠</t>
    </r>
  </si>
  <si>
    <t xml:space="preserve">N265AAC010</t>
  </si>
  <si>
    <t xml:space="preserve">몰드파우치</t>
  </si>
  <si>
    <t xml:space="preserve">N265ABG100</t>
  </si>
  <si>
    <t xml:space="preserve">얼티메이트백팩</t>
  </si>
  <si>
    <t xml:space="preserve">N265ABG040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</si>
  <si>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어반트래블백팩</t>
    </r>
  </si>
  <si>
    <t xml:space="preserve">N265ACR360</t>
  </si>
  <si>
    <t xml:space="preserve">마일드슬링백</t>
  </si>
  <si>
    <t xml:space="preserve">N265ACR050</t>
  </si>
  <si>
    <t xml:space="preserve">어반시티슬링백</t>
  </si>
  <si>
    <t xml:space="preserve">N265AHA110</t>
  </si>
  <si>
    <t xml:space="preserve">버트볼캡</t>
  </si>
  <si>
    <t xml:space="preserve">N265AHA120</t>
  </si>
  <si>
    <t xml:space="preserve">베이직경량햇</t>
  </si>
  <si>
    <t xml:space="preserve">N265AHA180</t>
  </si>
  <si>
    <r>
      <rPr>
        <sz val="11"/>
        <color rgb="FF0000FF"/>
        <rFont val="Cambria"/>
        <family val="0"/>
        <charset val="1"/>
      </rPr>
      <t xml:space="preserve">2WAY</t>
    </r>
    <r>
      <rPr>
        <sz val="11"/>
        <color rgb="FF0000FF"/>
        <rFont val="WenQuanYi Zen Hei"/>
        <family val="2"/>
      </rPr>
      <t xml:space="preserve">메쉬햇</t>
    </r>
  </si>
  <si>
    <t xml:space="preserve">N265AHI010</t>
  </si>
  <si>
    <t xml:space="preserve">코어오리지날힙색</t>
  </si>
  <si>
    <t xml:space="preserve">N265ATO030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</si>
  <si>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리브더플백</t>
    </r>
  </si>
  <si>
    <t xml:space="preserve">N265ASU200</t>
  </si>
  <si>
    <r>
      <rPr>
        <sz val="11"/>
        <color rgb="FF0000FF"/>
        <rFont val="WenQuanYi Zen Hei"/>
        <family val="2"/>
      </rPr>
      <t xml:space="preserve">론다 캐리어 </t>
    </r>
    <r>
      <rPr>
        <sz val="11"/>
        <color rgb="FF0000FF"/>
        <rFont val="Cambria"/>
        <family val="0"/>
        <charset val="1"/>
      </rPr>
      <t xml:space="preserve">25</t>
    </r>
  </si>
  <si>
    <t xml:space="preserve">N265UTS020</t>
  </si>
  <si>
    <t xml:space="preserve">네오디 빅로고 반팔 티셔츠</t>
  </si>
  <si>
    <t xml:space="preserve">O262UTS540</t>
  </si>
  <si>
    <r>
      <rPr>
        <sz val="11"/>
        <color rgb="FF0000FF"/>
        <rFont val="Cambria"/>
        <family val="0"/>
        <charset val="1"/>
      </rPr>
      <t xml:space="preserve">C_</t>
    </r>
    <r>
      <rPr>
        <sz val="11"/>
        <color rgb="FF0000FF"/>
        <rFont val="WenQuanYi Zen Hei"/>
        <family val="2"/>
      </rPr>
      <t xml:space="preserve">만텔라 백 빅 로고 리젠아스킨 반팔 티셔츠</t>
    </r>
  </si>
  <si>
    <t xml:space="preserve">O262UTS922</t>
  </si>
  <si>
    <r>
      <rPr>
        <sz val="11"/>
        <color rgb="FF0000FF"/>
        <rFont val="WenQuanYi Zen Hei"/>
        <family val="2"/>
      </rPr>
      <t xml:space="preserve">베이직 반팔 그래픽 티셔츠</t>
    </r>
    <r>
      <rPr>
        <sz val="11"/>
        <color rgb="FF0000FF"/>
        <rFont val="Cambria"/>
        <family val="0"/>
        <charset val="1"/>
      </rPr>
      <t xml:space="preserve">2</t>
    </r>
  </si>
  <si>
    <t xml:space="preserve">O262UTS923</t>
  </si>
  <si>
    <r>
      <rPr>
        <sz val="11"/>
        <color rgb="FF0000FF"/>
        <rFont val="WenQuanYi Zen Hei"/>
        <family val="2"/>
      </rPr>
      <t xml:space="preserve">베이직 반팔 그래픽 티셔츠</t>
    </r>
    <r>
      <rPr>
        <sz val="11"/>
        <color rgb="FF0000FF"/>
        <rFont val="Cambria"/>
        <family val="0"/>
        <charset val="1"/>
      </rPr>
      <t xml:space="preserve">3</t>
    </r>
  </si>
  <si>
    <t xml:space="preserve">O262UTS925</t>
  </si>
  <si>
    <r>
      <rPr>
        <sz val="11"/>
        <color rgb="FF0000FF"/>
        <rFont val="WenQuanYi Zen Hei"/>
        <family val="2"/>
      </rPr>
      <t xml:space="preserve">베이직 반팔 그래픽 티셔츠</t>
    </r>
    <r>
      <rPr>
        <sz val="11"/>
        <color rgb="FF0000FF"/>
        <rFont val="Cambria"/>
        <family val="0"/>
        <charset val="1"/>
      </rPr>
      <t xml:space="preserve">5</t>
    </r>
  </si>
  <si>
    <t xml:space="preserve">O263AHA910</t>
  </si>
  <si>
    <t xml:space="preserve">말레이시아 사슴 엠보 캡</t>
  </si>
  <si>
    <t xml:space="preserve">O263AHA920</t>
  </si>
  <si>
    <t xml:space="preserve">말레이시아 비스포크 네이비 볼캡 </t>
  </si>
  <si>
    <t xml:space="preserve">O263UTS906</t>
  </si>
  <si>
    <t xml:space="preserve">말레이시아 맥 그래픽 반팔 티셔츠</t>
  </si>
  <si>
    <t xml:space="preserve">O263UTS907</t>
  </si>
  <si>
    <t xml:space="preserve">말레이시아 검정곰 그래픽 반팔 티셔츠</t>
  </si>
  <si>
    <t xml:space="preserve">O263UTS908</t>
  </si>
  <si>
    <t xml:space="preserve">말레이시아 사슴 그래픽 반팔 티셔츠</t>
  </si>
  <si>
    <t xml:space="preserve">O263UTS909</t>
  </si>
  <si>
    <t xml:space="preserve">말레이시아 쿠알루룸프 그래픽 반팔 티셔츠 </t>
  </si>
  <si>
    <t xml:space="preserve">WW009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</si>
  <si>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필리핀</t>
    </r>
  </si>
  <si>
    <t xml:space="preserve">N261MPT010</t>
  </si>
  <si>
    <t xml:space="preserve">타누 테이퍼드 팬츠</t>
  </si>
  <si>
    <t xml:space="preserve">N261MPT500</t>
  </si>
  <si>
    <t xml:space="preserve">N261MPD500</t>
  </si>
  <si>
    <r>
      <rPr>
        <sz val="11"/>
        <color rgb="FF0000FF"/>
        <rFont val="Cambria"/>
        <family val="0"/>
        <charset val="1"/>
      </rPr>
      <t xml:space="preserve">[CORDURA] NRN </t>
    </r>
    <r>
      <rPr>
        <sz val="11"/>
        <color rgb="FF0000FF"/>
        <rFont val="WenQuanYi Zen Hei"/>
        <family val="2"/>
      </rPr>
      <t xml:space="preserve">인슐레이션 </t>
    </r>
    <r>
      <rPr>
        <sz val="11"/>
        <color rgb="FF0000FF"/>
        <rFont val="Cambria"/>
        <family val="0"/>
        <charset val="1"/>
      </rPr>
      <t xml:space="preserve">3 IN 1 </t>
    </r>
    <r>
      <rPr>
        <sz val="11"/>
        <color rgb="FF0000FF"/>
        <rFont val="WenQuanYi Zen Hei"/>
        <family val="2"/>
      </rPr>
      <t xml:space="preserve">자켓</t>
    </r>
  </si>
  <si>
    <t xml:space="preserve">N261MVT260</t>
  </si>
  <si>
    <r>
      <rPr>
        <sz val="11"/>
        <color rgb="FF0000FF"/>
        <rFont val="WenQuanYi Zen Hei"/>
        <family val="2"/>
      </rPr>
      <t xml:space="preserve">에테르 </t>
    </r>
    <r>
      <rPr>
        <sz val="11"/>
        <color rgb="FF0000FF"/>
        <rFont val="Cambria"/>
        <family val="0"/>
        <charset val="1"/>
      </rPr>
      <t xml:space="preserve">Heatlock AERO </t>
    </r>
    <r>
      <rPr>
        <sz val="11"/>
        <color rgb="FF0000FF"/>
        <rFont val="WenQuanYi Zen Hei"/>
        <family val="2"/>
      </rPr>
      <t xml:space="preserve">인슐레이션 베스트</t>
    </r>
  </si>
  <si>
    <t xml:space="preserve">N261UPT902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</si>
  <si>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벨티드 세미루즈핏 스트레이트 팬츠</t>
    </r>
  </si>
  <si>
    <t xml:space="preserve">N261UJP080</t>
  </si>
  <si>
    <t xml:space="preserve">코버스 스트레치 하이넥 블록형 점퍼</t>
  </si>
  <si>
    <t xml:space="preserve">N261UVT030</t>
  </si>
  <si>
    <r>
      <rPr>
        <sz val="11"/>
        <color rgb="FF0000FF"/>
        <rFont val="WenQuanYi Zen Hei"/>
        <family val="2"/>
      </rPr>
      <t xml:space="preserve">오거스틴 </t>
    </r>
    <r>
      <rPr>
        <sz val="11"/>
        <color rgb="FF0000FF"/>
        <rFont val="Cambria"/>
        <family val="0"/>
        <charset val="1"/>
      </rPr>
      <t xml:space="preserve">2L </t>
    </r>
    <r>
      <rPr>
        <sz val="11"/>
        <color rgb="FF0000FF"/>
        <rFont val="WenQuanYi Zen Hei"/>
        <family val="2"/>
      </rPr>
      <t xml:space="preserve">후드 베스트</t>
    </r>
  </si>
  <si>
    <t xml:space="preserve">N262UTS903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</si>
  <si>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소로나 쿨 메이즈 세미오버핏 반팔 티셔츠</t>
    </r>
  </si>
  <si>
    <t xml:space="preserve">N262USD050</t>
  </si>
  <si>
    <r>
      <rPr>
        <sz val="11"/>
        <color rgb="FF0000FF"/>
        <rFont val="WenQuanYi Zen Hei"/>
        <family val="2"/>
      </rPr>
      <t xml:space="preserve">코어레인 </t>
    </r>
    <r>
      <rPr>
        <sz val="11"/>
        <color rgb="FF0000FF"/>
        <rFont val="Cambria"/>
        <family val="0"/>
        <charset val="1"/>
      </rPr>
      <t xml:space="preserve">SD</t>
    </r>
  </si>
  <si>
    <t xml:space="preserve">N264WFJ152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</si>
  <si>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베일 쉐르파 스탠드넥 자켓</t>
    </r>
  </si>
  <si>
    <t xml:space="preserve">N265ABG020</t>
  </si>
  <si>
    <t xml:space="preserve">어반심플백팩</t>
  </si>
  <si>
    <t xml:space="preserve">N265ACR080</t>
  </si>
  <si>
    <t xml:space="preserve">루키슬링백</t>
  </si>
  <si>
    <t xml:space="preserve">N265ACR140</t>
  </si>
  <si>
    <t xml:space="preserve">라이트크로스백</t>
  </si>
  <si>
    <t xml:space="preserve">N265ACR200</t>
  </si>
  <si>
    <r>
      <rPr>
        <sz val="11"/>
        <color rgb="FF0000FF"/>
        <rFont val="WenQuanYi Zen Hei"/>
        <family val="2"/>
      </rPr>
      <t xml:space="preserve">얼티메이트 </t>
    </r>
    <r>
      <rPr>
        <sz val="11"/>
        <color rgb="FF0000FF"/>
        <rFont val="Cambria"/>
        <family val="0"/>
        <charset val="1"/>
      </rPr>
      <t xml:space="preserve">2WAY</t>
    </r>
    <r>
      <rPr>
        <sz val="11"/>
        <color rgb="FF0000FF"/>
        <rFont val="WenQuanYi Zen Hei"/>
        <family val="2"/>
      </rPr>
      <t xml:space="preserve">백</t>
    </r>
  </si>
  <si>
    <t xml:space="preserve">N265ACR310</t>
  </si>
  <si>
    <r>
      <rPr>
        <sz val="11"/>
        <color rgb="FF0000FF"/>
        <rFont val="WenQuanYi Zen Hei"/>
        <family val="2"/>
      </rPr>
      <t xml:space="preserve">데일리라이트크로스백</t>
    </r>
    <r>
      <rPr>
        <sz val="11"/>
        <color rgb="FF0000FF"/>
        <rFont val="Cambria"/>
        <family val="0"/>
        <charset val="1"/>
      </rPr>
      <t xml:space="preserve">L</t>
    </r>
  </si>
  <si>
    <t xml:space="preserve">N265ACR040</t>
  </si>
  <si>
    <t xml:space="preserve">어반심플슬링백</t>
  </si>
  <si>
    <t xml:space="preserve">N265ACR240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</si>
  <si>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어반트래블듀얼크로스백</t>
    </r>
  </si>
  <si>
    <t xml:space="preserve">N265AWA010</t>
  </si>
  <si>
    <t xml:space="preserve">지퍼반지갑</t>
  </si>
  <si>
    <t xml:space="preserve">N265MJP240</t>
  </si>
  <si>
    <r>
      <rPr>
        <sz val="11"/>
        <color rgb="FF0000FF"/>
        <rFont val="WenQuanYi Zen Hei"/>
        <family val="2"/>
      </rPr>
      <t xml:space="preserve">아틀라스 윈드스토퍼 </t>
    </r>
    <r>
      <rPr>
        <sz val="11"/>
        <color rgb="FF0000FF"/>
        <rFont val="Cambria"/>
        <family val="0"/>
        <charset val="1"/>
      </rPr>
      <t xml:space="preserve">BY GORE-TEX LABS 2L </t>
    </r>
    <r>
      <rPr>
        <sz val="11"/>
        <color rgb="FF0000FF"/>
        <rFont val="WenQuanYi Zen Hei"/>
        <family val="2"/>
      </rPr>
      <t xml:space="preserve">스탠드넥 자켓</t>
    </r>
  </si>
  <si>
    <t xml:space="preserve">N265UJP260</t>
  </si>
  <si>
    <r>
      <rPr>
        <sz val="11"/>
        <color rgb="FF0000FF"/>
        <rFont val="WenQuanYi Zen Hei"/>
        <family val="2"/>
      </rPr>
      <t xml:space="preserve">아틀라스 윈드스토퍼 </t>
    </r>
    <r>
      <rPr>
        <sz val="11"/>
        <color rgb="FF0000FF"/>
        <rFont val="Cambria"/>
        <family val="0"/>
        <charset val="1"/>
      </rPr>
      <t xml:space="preserve">BY GORE-TEX LABS 2L </t>
    </r>
    <r>
      <rPr>
        <sz val="11"/>
        <color rgb="FF0000FF"/>
        <rFont val="WenQuanYi Zen Hei"/>
        <family val="2"/>
      </rPr>
      <t xml:space="preserve">후드 자켓</t>
    </r>
  </si>
  <si>
    <t xml:space="preserve">N265UJG030</t>
  </si>
  <si>
    <t xml:space="preserve">네오 알파</t>
  </si>
  <si>
    <t xml:space="preserve">N265UJG040</t>
  </si>
  <si>
    <t xml:space="preserve">코지 위브</t>
  </si>
  <si>
    <t xml:space="preserve">N265UTR020</t>
  </si>
  <si>
    <t xml:space="preserve">코어레인</t>
  </si>
  <si>
    <t xml:space="preserve">O262UTS502</t>
  </si>
  <si>
    <r>
      <rPr>
        <sz val="11"/>
        <color rgb="FF0000FF"/>
        <rFont val="Cambria"/>
        <family val="0"/>
        <charset val="1"/>
      </rPr>
      <t xml:space="preserve">C_</t>
    </r>
    <r>
      <rPr>
        <sz val="11"/>
        <color rgb="FF0000FF"/>
        <rFont val="WenQuanYi Zen Hei"/>
        <family val="2"/>
      </rPr>
      <t xml:space="preserve">세미 오버핏 와펜 </t>
    </r>
    <r>
      <rPr>
        <sz val="11"/>
        <color rgb="FF0000FF"/>
        <rFont val="Cambria"/>
        <family val="0"/>
        <charset val="1"/>
      </rPr>
      <t xml:space="preserve">H/TEE</t>
    </r>
  </si>
  <si>
    <t xml:space="preserve">O262WTS510</t>
  </si>
  <si>
    <r>
      <rPr>
        <sz val="11"/>
        <color rgb="FF0000FF"/>
        <rFont val="Cambria"/>
        <family val="0"/>
        <charset val="1"/>
      </rPr>
      <t xml:space="preserve">C_</t>
    </r>
    <r>
      <rPr>
        <sz val="11"/>
        <color rgb="FF0000FF"/>
        <rFont val="WenQuanYi Zen Hei"/>
        <family val="2"/>
      </rPr>
      <t xml:space="preserve">트러타 드라이실 반팔 티셔츠</t>
    </r>
  </si>
  <si>
    <t xml:space="preserve">WW010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</si>
  <si>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인도네시아</t>
    </r>
  </si>
  <si>
    <t xml:space="preserve">N265AAC030</t>
  </si>
  <si>
    <t xml:space="preserve">보스턴파우치</t>
  </si>
  <si>
    <t xml:space="preserve">N265AAC050</t>
  </si>
  <si>
    <t xml:space="preserve">브리프파우치</t>
  </si>
  <si>
    <t xml:space="preserve">N265ABG010</t>
  </si>
  <si>
    <t xml:space="preserve">어반시티백팩</t>
  </si>
  <si>
    <t xml:space="preserve">N265ABG550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</si>
  <si>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)W</t>
    </r>
    <r>
      <rPr>
        <sz val="11"/>
        <color rgb="FF0000FF"/>
        <rFont val="WenQuanYi Zen Hei"/>
        <family val="2"/>
      </rPr>
      <t xml:space="preserve">루미미니백팩</t>
    </r>
  </si>
  <si>
    <t xml:space="preserve">O265ABG010</t>
  </si>
  <si>
    <t xml:space="preserve">아이콘백팩</t>
  </si>
  <si>
    <t xml:space="preserve">WW011</t>
  </si>
  <si>
    <r>
      <rPr>
        <sz val="11"/>
        <color rgb="FF0000FF"/>
        <rFont val="WenQuanYi Zen Hei"/>
        <family val="2"/>
      </rPr>
      <t xml:space="preserve">디즈니</t>
    </r>
    <r>
      <rPr>
        <sz val="11"/>
        <color rgb="FF0000FF"/>
        <rFont val="Cambria"/>
        <family val="0"/>
        <charset val="1"/>
      </rPr>
      <t xml:space="preserve">_</t>
    </r>
    <r>
      <rPr>
        <sz val="11"/>
        <color rgb="FF0000FF"/>
        <rFont val="WenQuanYi Zen Hei"/>
        <family val="2"/>
      </rPr>
      <t xml:space="preserve">일본</t>
    </r>
  </si>
  <si>
    <t xml:space="preserve">N265ABG640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</si>
  <si>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데일리라이트백팩</t>
    </r>
  </si>
  <si>
    <t xml:space="preserve">N265ACR570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</si>
  <si>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파치슬링백</t>
    </r>
  </si>
  <si>
    <t xml:space="preserve">N265ACR670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</si>
  <si>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크래스트</t>
    </r>
    <r>
      <rPr>
        <sz val="11"/>
        <color rgb="FF0000FF"/>
        <rFont val="Cambria"/>
        <family val="0"/>
        <charset val="1"/>
      </rPr>
      <t xml:space="preserve">2WAY</t>
    </r>
    <r>
      <rPr>
        <sz val="11"/>
        <color rgb="FF0000FF"/>
        <rFont val="WenQuanYi Zen Hei"/>
        <family val="2"/>
      </rPr>
      <t xml:space="preserve">크로스백</t>
    </r>
  </si>
  <si>
    <t xml:space="preserve">N265ACR800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</si>
  <si>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데일리라이트크로스백</t>
    </r>
    <r>
      <rPr>
        <sz val="11"/>
        <color rgb="FF0000FF"/>
        <rFont val="Cambria"/>
        <family val="0"/>
        <charset val="1"/>
      </rPr>
      <t xml:space="preserve">M</t>
    </r>
  </si>
  <si>
    <t xml:space="preserve">WW013</t>
  </si>
  <si>
    <r>
      <rPr>
        <sz val="11"/>
        <color rgb="FF0000FF"/>
        <rFont val="WenQuanYi Zen Hei"/>
        <family val="2"/>
      </rPr>
      <t xml:space="preserve">디즈니</t>
    </r>
    <r>
      <rPr>
        <sz val="11"/>
        <color rgb="FF0000FF"/>
        <rFont val="Cambria"/>
        <family val="0"/>
        <charset val="1"/>
      </rPr>
      <t xml:space="preserve">_</t>
    </r>
    <r>
      <rPr>
        <sz val="11"/>
        <color rgb="FF0000FF"/>
        <rFont val="WenQuanYi Zen Hei"/>
        <family val="2"/>
      </rPr>
      <t xml:space="preserve">싱가폴크루즈</t>
    </r>
    <r>
      <rPr>
        <sz val="11"/>
        <color rgb="FF0000FF"/>
        <rFont val="Cambria"/>
        <family val="0"/>
        <charset val="1"/>
      </rPr>
      <t xml:space="preserve">(R/X)</t>
    </r>
  </si>
  <si>
    <t xml:space="preserve">K262UTS560</t>
  </si>
  <si>
    <r>
      <rPr>
        <sz val="11"/>
        <color rgb="FF0000FF"/>
        <rFont val="Cambria"/>
        <family val="0"/>
        <charset val="1"/>
      </rPr>
      <t xml:space="preserve">KIDS </t>
    </r>
    <r>
      <rPr>
        <sz val="11"/>
        <color rgb="FF0000FF"/>
        <rFont val="WenQuanYi Zen Hei"/>
        <family val="2"/>
      </rPr>
      <t xml:space="preserve">냉감 변형로고 그래픽 </t>
    </r>
    <r>
      <rPr>
        <sz val="11"/>
        <color rgb="FF0000FF"/>
        <rFont val="Cambria"/>
        <family val="0"/>
        <charset val="1"/>
      </rPr>
      <t xml:space="preserve">H/TEE</t>
    </r>
  </si>
  <si>
    <t xml:space="preserve">N261UDV010</t>
  </si>
  <si>
    <t xml:space="preserve">케루스 경량 구스다운 베스트</t>
  </si>
  <si>
    <t xml:space="preserve">N262URG410</t>
  </si>
  <si>
    <t xml:space="preserve">그래픽 워터 긴팔 티셔츠</t>
  </si>
  <si>
    <t xml:space="preserve">N262UTS901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</si>
  <si>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소로나 쿨 그리핀 세미오버핏 반팔 티셔츠</t>
    </r>
  </si>
  <si>
    <t xml:space="preserve">O261UFT550</t>
  </si>
  <si>
    <r>
      <rPr>
        <sz val="11"/>
        <color rgb="FF0000FF"/>
        <rFont val="Cambria"/>
        <family val="0"/>
        <charset val="1"/>
      </rPr>
      <t xml:space="preserve">C_</t>
    </r>
    <r>
      <rPr>
        <sz val="11"/>
        <color rgb="FF0000FF"/>
        <rFont val="WenQuanYi Zen Hei"/>
        <family val="2"/>
      </rPr>
      <t xml:space="preserve">마게이 소매 포켓 세미오버핏 후드 풀집업</t>
    </r>
  </si>
  <si>
    <t xml:space="preserve">O261USW522</t>
  </si>
  <si>
    <r>
      <rPr>
        <sz val="11"/>
        <color rgb="FF0000FF"/>
        <rFont val="Cambria"/>
        <family val="0"/>
        <charset val="1"/>
      </rPr>
      <t xml:space="preserve">C_</t>
    </r>
    <r>
      <rPr>
        <sz val="11"/>
        <color rgb="FF0000FF"/>
        <rFont val="WenQuanYi Zen Hei"/>
        <family val="2"/>
      </rPr>
      <t xml:space="preserve">론트라 그래픽 세미오버핏 하프집업</t>
    </r>
  </si>
  <si>
    <t xml:space="preserve">O262UPL520</t>
  </si>
  <si>
    <r>
      <rPr>
        <sz val="11"/>
        <color rgb="FF0000FF"/>
        <rFont val="Cambria"/>
        <family val="0"/>
        <charset val="1"/>
      </rPr>
      <t xml:space="preserve">C_</t>
    </r>
    <r>
      <rPr>
        <sz val="11"/>
        <color rgb="FF0000FF"/>
        <rFont val="WenQuanYi Zen Hei"/>
        <family val="2"/>
      </rPr>
      <t xml:space="preserve">카리디 피케 반팔 카라 티셔츠</t>
    </r>
  </si>
  <si>
    <t xml:space="preserve">O262UTS592</t>
  </si>
  <si>
    <r>
      <rPr>
        <sz val="11"/>
        <color rgb="FF0000FF"/>
        <rFont val="Cambria"/>
        <family val="0"/>
        <charset val="1"/>
      </rPr>
      <t xml:space="preserve">C_</t>
    </r>
    <r>
      <rPr>
        <sz val="11"/>
        <color rgb="FF0000FF"/>
        <rFont val="WenQuanYi Zen Hei"/>
        <family val="2"/>
      </rPr>
      <t xml:space="preserve">크로우 소로나 쿨터치 레터링 그래픽 반팔 티셔츠</t>
    </r>
  </si>
  <si>
    <t xml:space="preserve">O265AET540</t>
  </si>
  <si>
    <r>
      <rPr>
        <sz val="11"/>
        <color rgb="FF0000FF"/>
        <rFont val="Cambria"/>
        <family val="0"/>
        <charset val="1"/>
      </rPr>
      <t xml:space="preserve">(C) </t>
    </r>
    <r>
      <rPr>
        <sz val="11"/>
        <color rgb="FF0000FF"/>
        <rFont val="WenQuanYi Zen Hei"/>
        <family val="2"/>
      </rPr>
      <t xml:space="preserve">시그니쳐 머그컵 </t>
    </r>
    <r>
      <rPr>
        <sz val="11"/>
        <color rgb="FF0000FF"/>
        <rFont val="Cambria"/>
        <family val="0"/>
        <charset val="1"/>
      </rPr>
      <t xml:space="preserve">640</t>
    </r>
  </si>
  <si>
    <t xml:space="preserve">WW015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</si>
  <si>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워싱턴박물관</t>
    </r>
  </si>
  <si>
    <t xml:space="preserve">N251ABG510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</si>
  <si>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파치백팩</t>
    </r>
  </si>
  <si>
    <t xml:space="preserve">N251ABG530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</si>
  <si>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리플백팩</t>
    </r>
  </si>
  <si>
    <t xml:space="preserve">N251UFT050</t>
  </si>
  <si>
    <t xml:space="preserve">마게이 후드 풀집업 </t>
  </si>
  <si>
    <t xml:space="preserve">N251USW010</t>
  </si>
  <si>
    <t xml:space="preserve">폴하스 스몰로고 베이직핏 맨투맨</t>
  </si>
  <si>
    <t xml:space="preserve">N252MPL810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</si>
  <si>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웰라카 냉감 베이직핏 피케 카라티</t>
    </r>
  </si>
  <si>
    <t xml:space="preserve">N252UFT140</t>
  </si>
  <si>
    <t xml:space="preserve">아델리 경량 우븐 스트레치 풀집업 후드 점퍼</t>
  </si>
  <si>
    <t xml:space="preserve">N252UTS230</t>
  </si>
  <si>
    <t xml:space="preserve">토르콰투스 스몰로고 그래픽 베이직핏 반팔 티셔츠</t>
  </si>
  <si>
    <t xml:space="preserve">N253ABG520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</si>
  <si>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경량백팩</t>
    </r>
  </si>
  <si>
    <t xml:space="preserve">N253ACR640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</si>
  <si>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패디드슬링크로스백</t>
    </r>
    <r>
      <rPr>
        <sz val="11"/>
        <color rgb="FF0000FF"/>
        <rFont val="Cambria"/>
        <family val="0"/>
        <charset val="1"/>
      </rPr>
      <t xml:space="preserve">M</t>
    </r>
  </si>
  <si>
    <t xml:space="preserve">N255ABG020</t>
  </si>
  <si>
    <t xml:space="preserve">N255ABG510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</si>
  <si>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코어오리지날백팩</t>
    </r>
  </si>
  <si>
    <t xml:space="preserve">N255ACR650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</si>
  <si>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빅로고슬링백</t>
    </r>
  </si>
  <si>
    <t xml:space="preserve">N255AHA010</t>
  </si>
  <si>
    <t xml:space="preserve">N255AHA020</t>
  </si>
  <si>
    <t xml:space="preserve">메탈로고캡</t>
  </si>
  <si>
    <t xml:space="preserve">N255AHA510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</si>
  <si>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스몰로고캡</t>
    </r>
  </si>
  <si>
    <t xml:space="preserve">N255AHA540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</si>
  <si>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아델리볼캡</t>
    </r>
  </si>
  <si>
    <t xml:space="preserve">N255ATO540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</si>
  <si>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아델리토트백</t>
    </r>
  </si>
  <si>
    <t xml:space="preserve">N255UTS920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</si>
  <si>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네오디 빅로고 베이직핏 반팔 티셔츠</t>
    </r>
  </si>
  <si>
    <t xml:space="preserve">WW016</t>
  </si>
  <si>
    <t xml:space="preserve">싱가폴동물원</t>
  </si>
  <si>
    <t xml:space="preserve">K252UHP130</t>
  </si>
  <si>
    <r>
      <rPr>
        <sz val="11"/>
        <color rgb="FF0000FF"/>
        <rFont val="Cambria"/>
        <family val="0"/>
        <charset val="1"/>
      </rPr>
      <t xml:space="preserve">KIDS </t>
    </r>
    <r>
      <rPr>
        <sz val="11"/>
        <color rgb="FF0000FF"/>
        <rFont val="WenQuanYi Zen Hei"/>
        <family val="2"/>
      </rPr>
      <t xml:space="preserve">프로즌 에어로쿨 메쉬 </t>
    </r>
    <r>
      <rPr>
        <sz val="11"/>
        <color rgb="FF0000FF"/>
        <rFont val="Cambria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부 </t>
    </r>
    <r>
      <rPr>
        <sz val="11"/>
        <color rgb="FF0000FF"/>
        <rFont val="Cambria"/>
        <family val="0"/>
        <charset val="1"/>
      </rPr>
      <t xml:space="preserve">H/PT</t>
    </r>
  </si>
  <si>
    <t xml:space="preserve">K252UTS130</t>
  </si>
  <si>
    <r>
      <rPr>
        <sz val="11"/>
        <color rgb="FF0000FF"/>
        <rFont val="Cambria"/>
        <family val="0"/>
        <charset val="1"/>
      </rPr>
      <t xml:space="preserve">KIDS </t>
    </r>
    <r>
      <rPr>
        <sz val="11"/>
        <color rgb="FF0000FF"/>
        <rFont val="WenQuanYi Zen Hei"/>
        <family val="2"/>
      </rPr>
      <t xml:space="preserve">프로즌 에어로쿨 메쉬 </t>
    </r>
    <r>
      <rPr>
        <sz val="11"/>
        <color rgb="FF0000FF"/>
        <rFont val="Cambria"/>
        <family val="0"/>
        <charset val="1"/>
      </rPr>
      <t xml:space="preserve">H/TEE</t>
    </r>
  </si>
  <si>
    <t xml:space="preserve">K262UHP030</t>
  </si>
  <si>
    <r>
      <rPr>
        <sz val="11"/>
        <color rgb="FF0000FF"/>
        <rFont val="Cambria"/>
        <family val="0"/>
        <charset val="1"/>
      </rPr>
      <t xml:space="preserve">KIDS </t>
    </r>
    <r>
      <rPr>
        <sz val="11"/>
        <color rgb="FF0000FF"/>
        <rFont val="WenQuanYi Zen Hei"/>
        <family val="2"/>
      </rPr>
      <t xml:space="preserve">경량 나일론 </t>
    </r>
    <r>
      <rPr>
        <sz val="11"/>
        <color rgb="FF0000FF"/>
        <rFont val="Cambria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부 </t>
    </r>
    <r>
      <rPr>
        <sz val="11"/>
        <color rgb="FF0000FF"/>
        <rFont val="Cambria"/>
        <family val="0"/>
        <charset val="1"/>
      </rPr>
      <t xml:space="preserve">H/PT</t>
    </r>
  </si>
  <si>
    <t xml:space="preserve">K262UTS040</t>
  </si>
  <si>
    <r>
      <rPr>
        <sz val="11"/>
        <color rgb="FF0000FF"/>
        <rFont val="Cambria"/>
        <family val="0"/>
        <charset val="1"/>
      </rPr>
      <t xml:space="preserve">KIDS </t>
    </r>
    <r>
      <rPr>
        <sz val="11"/>
        <color rgb="FF0000FF"/>
        <rFont val="WenQuanYi Zen Hei"/>
        <family val="2"/>
      </rPr>
      <t xml:space="preserve">사파리 그래픽 </t>
    </r>
    <r>
      <rPr>
        <sz val="11"/>
        <color rgb="FF0000FF"/>
        <rFont val="Cambria"/>
        <family val="0"/>
        <charset val="1"/>
      </rPr>
      <t xml:space="preserve">H/TEE-4</t>
    </r>
  </si>
  <si>
    <t xml:space="preserve">K262UTS410</t>
  </si>
  <si>
    <r>
      <rPr>
        <sz val="11"/>
        <color rgb="FF0000FF"/>
        <rFont val="Cambria"/>
        <family val="0"/>
        <charset val="1"/>
      </rPr>
      <t xml:space="preserve">KIDS </t>
    </r>
    <r>
      <rPr>
        <sz val="11"/>
        <color rgb="FF0000FF"/>
        <rFont val="WenQuanYi Zen Hei"/>
        <family val="2"/>
      </rPr>
      <t xml:space="preserve">쿨 스트라이프 </t>
    </r>
    <r>
      <rPr>
        <sz val="11"/>
        <color rgb="FF0000FF"/>
        <rFont val="Cambria"/>
        <family val="0"/>
        <charset val="1"/>
      </rPr>
      <t xml:space="preserve">H/TEE</t>
    </r>
  </si>
  <si>
    <t xml:space="preserve">N242ACR020</t>
  </si>
  <si>
    <t xml:space="preserve">방수팩</t>
  </si>
  <si>
    <t xml:space="preserve">N242AHA050</t>
  </si>
  <si>
    <t xml:space="preserve">고주파로고선바이저</t>
  </si>
  <si>
    <t xml:space="preserve">N251ABG030</t>
  </si>
  <si>
    <t xml:space="preserve">리플백팩</t>
  </si>
  <si>
    <t xml:space="preserve">N252AHA010</t>
  </si>
  <si>
    <t xml:space="preserve">N252AHA020</t>
  </si>
  <si>
    <t xml:space="preserve">라피아선바이저</t>
  </si>
  <si>
    <t xml:space="preserve">N252AHA030</t>
  </si>
  <si>
    <t xml:space="preserve">라피아햇</t>
  </si>
  <si>
    <t xml:space="preserve">N252MPT100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</si>
  <si>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카고 와이드핏 팬츠</t>
    </r>
  </si>
  <si>
    <t xml:space="preserve">N252MPT190</t>
  </si>
  <si>
    <t xml:space="preserve">프로즌에어 릴렉스핏 팬츠</t>
  </si>
  <si>
    <t xml:space="preserve">N252MTS100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</si>
  <si>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가슴 포켓 세미오버핏 반팔 티셔츠</t>
    </r>
  </si>
  <si>
    <t xml:space="preserve">N252MTS110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</si>
  <si>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소매 포켓 세미오버핏 반팔 티셔츠</t>
    </r>
  </si>
  <si>
    <t xml:space="preserve">N252UHP120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</si>
  <si>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올오버프린트 셋업 </t>
    </r>
    <r>
      <rPr>
        <sz val="11"/>
        <color rgb="FF0000FF"/>
        <rFont val="Cambria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부 쇼츠</t>
    </r>
  </si>
  <si>
    <t xml:space="preserve">N252UHP140</t>
  </si>
  <si>
    <r>
      <rPr>
        <sz val="11"/>
        <color rgb="FF0000FF"/>
        <rFont val="WenQuanYi Zen Hei"/>
        <family val="2"/>
      </rPr>
      <t xml:space="preserve">아델리 경량 우븐 스트레치 </t>
    </r>
    <r>
      <rPr>
        <sz val="11"/>
        <color rgb="FF0000FF"/>
        <rFont val="Cambria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부 카고 쇼츠</t>
    </r>
  </si>
  <si>
    <t xml:space="preserve">N252UJP230</t>
  </si>
  <si>
    <t xml:space="preserve">월리스 슈퍼라이트 점퍼</t>
  </si>
  <si>
    <t xml:space="preserve">N252UVT140</t>
  </si>
  <si>
    <t xml:space="preserve">아델리 경량 우븐 스트레치 풀집업 베스트</t>
  </si>
  <si>
    <t xml:space="preserve">N252USH120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</si>
  <si>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올오버프린트 셋업 셔츠</t>
    </r>
  </si>
  <si>
    <t xml:space="preserve">N252UTS070</t>
  </si>
  <si>
    <t xml:space="preserve">리젠 별자리 그래픽 세미오버핏 반팔 티셔츠</t>
  </si>
  <si>
    <t xml:space="preserve">N252UTS171</t>
  </si>
  <si>
    <t xml:space="preserve">프로즌큐브 반팔티셔츠</t>
  </si>
  <si>
    <t xml:space="preserve">N252UTS190</t>
  </si>
  <si>
    <t xml:space="preserve">프로즌에어 반팔티셔츠</t>
  </si>
  <si>
    <t xml:space="preserve">N252USD326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</si>
  <si>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로버 프로즌</t>
    </r>
  </si>
  <si>
    <t xml:space="preserve">N252USD327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</si>
  <si>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로버 피셔맨 </t>
    </r>
  </si>
  <si>
    <t xml:space="preserve">N252WHP170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</si>
  <si>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프로즌큐브 </t>
    </r>
    <r>
      <rPr>
        <sz val="11"/>
        <color rgb="FF0000FF"/>
        <rFont val="Cambria"/>
        <family val="0"/>
        <charset val="1"/>
      </rPr>
      <t xml:space="preserve">4</t>
    </r>
    <r>
      <rPr>
        <sz val="11"/>
        <color rgb="FF0000FF"/>
        <rFont val="WenQuanYi Zen Hei"/>
        <family val="2"/>
      </rPr>
      <t xml:space="preserve">부 쇼츠</t>
    </r>
  </si>
  <si>
    <t xml:space="preserve">N252WPT190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</si>
  <si>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프로즌에어 릴렉스핏 팬츠</t>
    </r>
  </si>
  <si>
    <t xml:space="preserve">N252WTS140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</si>
  <si>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경량 우븐 스트레치 라운드 반팔 티셔츠</t>
    </r>
  </si>
  <si>
    <t xml:space="preserve">N252WTS141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</si>
  <si>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경량 우븐 스트레치 카라형 티셔츠</t>
    </r>
  </si>
  <si>
    <t xml:space="preserve">N252WTS190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</si>
  <si>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프로즌에어 세미크롭 반팔티셔츠</t>
    </r>
  </si>
  <si>
    <t xml:space="preserve">N255ASU060</t>
  </si>
  <si>
    <r>
      <rPr>
        <sz val="11"/>
        <color rgb="FF0000FF"/>
        <rFont val="WenQuanYi Zen Hei"/>
        <family val="2"/>
      </rPr>
      <t xml:space="preserve">하바나 캐리어 </t>
    </r>
    <r>
      <rPr>
        <sz val="11"/>
        <color rgb="FF0000FF"/>
        <rFont val="Cambria"/>
        <family val="0"/>
        <charset val="1"/>
      </rPr>
      <t xml:space="preserve">24</t>
    </r>
  </si>
  <si>
    <t xml:space="preserve">N255ASU070</t>
  </si>
  <si>
    <r>
      <rPr>
        <sz val="11"/>
        <color rgb="FF0000FF"/>
        <rFont val="WenQuanYi Zen Hei"/>
        <family val="2"/>
      </rPr>
      <t xml:space="preserve">하바나 캐리어 </t>
    </r>
    <r>
      <rPr>
        <sz val="11"/>
        <color rgb="FF0000FF"/>
        <rFont val="Cambria"/>
        <family val="0"/>
        <charset val="1"/>
      </rPr>
      <t xml:space="preserve">28</t>
    </r>
  </si>
  <si>
    <t xml:space="preserve">N255ASU360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</si>
  <si>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하바나 캐리어 </t>
    </r>
    <r>
      <rPr>
        <sz val="11"/>
        <color rgb="FF0000FF"/>
        <rFont val="Cambria"/>
        <family val="0"/>
        <charset val="1"/>
      </rPr>
      <t xml:space="preserve">24</t>
    </r>
  </si>
  <si>
    <t xml:space="preserve">N255USN314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</si>
  <si>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컨투어 에어 </t>
    </r>
  </si>
  <si>
    <t xml:space="preserve">N255USN316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</si>
  <si>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로버 시티</t>
    </r>
  </si>
  <si>
    <t xml:space="preserve">N255USN317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</si>
  <si>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로버 에어릿</t>
    </r>
  </si>
  <si>
    <t xml:space="preserve">N255USN311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</si>
  <si>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하이킥</t>
    </r>
  </si>
  <si>
    <t xml:space="preserve">N261UPT220</t>
  </si>
  <si>
    <t xml:space="preserve">어반 스트레치 베이직핏 조거 팬츠</t>
  </si>
  <si>
    <t xml:space="preserve">N263UJP030</t>
  </si>
  <si>
    <r>
      <rPr>
        <sz val="11"/>
        <color rgb="FF0000FF"/>
        <rFont val="WenQuanYi Zen Hei"/>
        <family val="2"/>
      </rPr>
      <t xml:space="preserve">코튼터치 로우머스 </t>
    </r>
    <r>
      <rPr>
        <sz val="11"/>
        <color rgb="FF0000FF"/>
        <rFont val="Cambria"/>
        <family val="0"/>
        <charset val="1"/>
      </rPr>
      <t xml:space="preserve">MA-1 </t>
    </r>
    <r>
      <rPr>
        <sz val="11"/>
        <color rgb="FF0000FF"/>
        <rFont val="WenQuanYi Zen Hei"/>
        <family val="2"/>
      </rPr>
      <t xml:space="preserve">항공점퍼</t>
    </r>
  </si>
  <si>
    <t xml:space="preserve">O262UTS921</t>
  </si>
  <si>
    <r>
      <rPr>
        <sz val="11"/>
        <color rgb="FF0000FF"/>
        <rFont val="WenQuanYi Zen Hei"/>
        <family val="2"/>
      </rPr>
      <t xml:space="preserve">베이직 반팔 그래픽 티셔츠</t>
    </r>
    <r>
      <rPr>
        <sz val="11"/>
        <color rgb="FF0000FF"/>
        <rFont val="Cambria"/>
        <family val="0"/>
        <charset val="1"/>
      </rPr>
      <t xml:space="preserve">1</t>
    </r>
  </si>
  <si>
    <t xml:space="preserve">OBG2UTS901</t>
  </si>
  <si>
    <r>
      <rPr>
        <sz val="11"/>
        <color rgb="FF0000FF"/>
        <rFont val="WenQuanYi Zen Hei"/>
        <family val="2"/>
      </rPr>
      <t xml:space="preserve">싱가폴 만다이 비스포크 그래픽 티셔츠</t>
    </r>
    <r>
      <rPr>
        <sz val="11"/>
        <color rgb="FF0000FF"/>
        <rFont val="Cambria"/>
        <family val="0"/>
        <charset val="1"/>
      </rPr>
      <t xml:space="preserve">(BASIC FIT)1 </t>
    </r>
  </si>
  <si>
    <t xml:space="preserve">OBG2UTS902</t>
  </si>
  <si>
    <r>
      <rPr>
        <sz val="11"/>
        <color rgb="FF0000FF"/>
        <rFont val="WenQuanYi Zen Hei"/>
        <family val="2"/>
      </rPr>
      <t xml:space="preserve">싱가폴 만다이 비스포크 그래픽 반팔 티셔츠</t>
    </r>
    <r>
      <rPr>
        <sz val="11"/>
        <color rgb="FF0000FF"/>
        <rFont val="Cambria"/>
        <family val="0"/>
        <charset val="1"/>
      </rPr>
      <t xml:space="preserve">(BASIC FIT)2</t>
    </r>
  </si>
  <si>
    <t xml:space="preserve">OBG2UTS903</t>
  </si>
  <si>
    <r>
      <rPr>
        <sz val="11"/>
        <color rgb="FF0000FF"/>
        <rFont val="WenQuanYi Zen Hei"/>
        <family val="2"/>
      </rPr>
      <t xml:space="preserve">싱가폴 만다이 비스포크 그래픽 반팔티</t>
    </r>
    <r>
      <rPr>
        <sz val="11"/>
        <color rgb="FF0000FF"/>
        <rFont val="Cambria"/>
        <family val="0"/>
        <charset val="1"/>
      </rPr>
      <t xml:space="preserve">(BASIC FIT)2</t>
    </r>
  </si>
  <si>
    <t xml:space="preserve">OBG2UTS904</t>
  </si>
  <si>
    <r>
      <rPr>
        <sz val="11"/>
        <color rgb="FF0000FF"/>
        <rFont val="WenQuanYi Zen Hei"/>
        <family val="2"/>
      </rPr>
      <t xml:space="preserve">싱가폴 만다이 비스포크 그래픽 반팔티</t>
    </r>
    <r>
      <rPr>
        <sz val="11"/>
        <color rgb="FF0000FF"/>
        <rFont val="Cambria"/>
        <family val="0"/>
        <charset val="1"/>
      </rPr>
      <t xml:space="preserve">(SEMI OVER FIT)</t>
    </r>
  </si>
  <si>
    <t xml:space="preserve">OBG2UTS905</t>
  </si>
  <si>
    <r>
      <rPr>
        <sz val="11"/>
        <color rgb="FF0000FF"/>
        <rFont val="WenQuanYi Zen Hei"/>
        <family val="2"/>
      </rPr>
      <t xml:space="preserve">싱가폴 만다이 비스포크 그래픽 반팔티 </t>
    </r>
    <r>
      <rPr>
        <sz val="11"/>
        <color rgb="FF0000FF"/>
        <rFont val="Cambria"/>
        <family val="0"/>
        <charset val="1"/>
      </rPr>
      <t xml:space="preserve">(SEMI OVER FIT) 5</t>
    </r>
  </si>
  <si>
    <t xml:space="preserve">OBG5AET940</t>
  </si>
  <si>
    <t xml:space="preserve">싱가폴 만다이 비스포크 텀블러 </t>
  </si>
  <si>
    <t xml:space="preserve">OBG5AET941</t>
  </si>
  <si>
    <t xml:space="preserve">싱가폴 만다이 비스포크 머그컵</t>
  </si>
  <si>
    <t xml:space="preserve">WW017</t>
  </si>
  <si>
    <t xml:space="preserve">N251ABG560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</si>
  <si>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듀블백팩</t>
    </r>
  </si>
  <si>
    <t xml:space="preserve">N253UJP011</t>
  </si>
  <si>
    <r>
      <rPr>
        <sz val="11"/>
        <color rgb="FF0000FF"/>
        <rFont val="Cambria"/>
        <family val="0"/>
        <charset val="1"/>
      </rPr>
      <t xml:space="preserve">2L </t>
    </r>
    <r>
      <rPr>
        <sz val="11"/>
        <color rgb="FF0000FF"/>
        <rFont val="WenQuanYi Zen Hei"/>
        <family val="2"/>
      </rPr>
      <t xml:space="preserve">방풍 점퍼</t>
    </r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데님</t>
    </r>
    <r>
      <rPr>
        <sz val="11"/>
        <color rgb="FF0000FF"/>
        <rFont val="Cambria"/>
        <family val="0"/>
        <charset val="1"/>
      </rPr>
      <t xml:space="preserve">)</t>
    </r>
  </si>
  <si>
    <t xml:space="preserve">N253UJP020</t>
  </si>
  <si>
    <t xml:space="preserve">페커리 소프트쉘 스탠넥 점퍼</t>
  </si>
  <si>
    <t xml:space="preserve">N255ACR530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</si>
  <si>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데이즈메신저백</t>
    </r>
    <r>
      <rPr>
        <sz val="11"/>
        <color rgb="FF0000FF"/>
        <rFont val="Cambria"/>
        <family val="0"/>
        <charset val="1"/>
      </rPr>
      <t xml:space="preserve">13"</t>
    </r>
  </si>
  <si>
    <t xml:space="preserve">N255ACR630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</si>
  <si>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데일리슬링백</t>
    </r>
  </si>
  <si>
    <t xml:space="preserve">N255ASU350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</si>
  <si>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하바나 캐리어 </t>
    </r>
    <r>
      <rPr>
        <sz val="11"/>
        <color rgb="FF0000FF"/>
        <rFont val="Cambria"/>
        <family val="0"/>
        <charset val="1"/>
      </rPr>
      <t xml:space="preserve">20</t>
    </r>
  </si>
  <si>
    <t xml:space="preserve">N262MJP030</t>
  </si>
  <si>
    <t xml:space="preserve">미노우 소매포켓 홑겹 항공점퍼</t>
  </si>
  <si>
    <t xml:space="preserve">N265AHA240</t>
  </si>
  <si>
    <t xml:space="preserve">컴포트오버캡</t>
  </si>
  <si>
    <t xml:space="preserve">N265AHI040</t>
  </si>
  <si>
    <t xml:space="preserve">네이처울트라힙색</t>
  </si>
  <si>
    <t xml:space="preserve">차수(C)</t>
  </si>
  <si>
    <t xml:space="preserve">스타일(L)</t>
  </si>
  <si>
    <t xml:space="preserve">수량(P)</t>
  </si>
  <si>
    <t xml:space="preserve">택가 KRW(AB)</t>
  </si>
  <si>
    <t xml:space="preserve">한국원가 KRW(AH)</t>
  </si>
  <si>
    <t xml:space="preserve">배수(S)</t>
  </si>
  <si>
    <t xml:space="preserve">해외공급가 USD(AL)</t>
  </si>
  <si>
    <t xml:space="preserve">중국공급가(BB)</t>
  </si>
  <si>
    <t xml:space="preserve">택가(보정)</t>
  </si>
  <si>
    <t xml:space="preserve">원가(보정)</t>
  </si>
  <si>
    <t xml:space="preserve">공급단가 KRW</t>
  </si>
  <si>
    <t xml:space="preserve">택가금액</t>
  </si>
  <si>
    <t xml:space="preserve">원가금액</t>
  </si>
  <si>
    <r>
      <rPr>
        <b val="true"/>
        <sz val="11"/>
        <color rgb="FFFFFFFF"/>
        <rFont val="Cambria"/>
        <family val="0"/>
        <charset val="1"/>
      </rPr>
      <t xml:space="preserve">TNH </t>
    </r>
    <r>
      <rPr>
        <b val="true"/>
        <sz val="11"/>
        <color rgb="FFFFFFFF"/>
        <rFont val="WenQuanYi Zen Hei"/>
        <family val="2"/>
      </rPr>
      <t xml:space="preserve">공급금액</t>
    </r>
  </si>
  <si>
    <t xml:space="preserve">출고수량(판매펀칭 차감)</t>
  </si>
  <si>
    <t xml:space="preserve">잔여수량</t>
  </si>
  <si>
    <t xml:space="preserve">잔여 TNH금액</t>
  </si>
  <si>
    <t xml:space="preserve">잔여 택가금액</t>
  </si>
  <si>
    <t xml:space="preserve">잔여 원가금액</t>
  </si>
  <si>
    <t xml:space="preserve">중복(차수·스타일·수량 동일)</t>
  </si>
  <si>
    <t xml:space="preserve">유효수량(중복 제외)</t>
  </si>
  <si>
    <t xml:space="preserve">발주 대조 차이(수량)</t>
  </si>
  <si>
    <t xml:space="preserve">100</t>
  </si>
  <si>
    <t xml:space="preserve">200</t>
  </si>
  <si>
    <t xml:space="preserve">300</t>
  </si>
  <si>
    <t xml:space="preserve">500</t>
  </si>
  <si>
    <t xml:space="preserve">600</t>
  </si>
  <si>
    <t xml:space="preserve">800</t>
  </si>
  <si>
    <t xml:space="preserve">810</t>
  </si>
  <si>
    <t xml:space="preserve">830</t>
  </si>
  <si>
    <t xml:space="preserve">700</t>
  </si>
  <si>
    <t xml:space="preserve">N261MPT030</t>
  </si>
  <si>
    <t xml:space="preserve">N261MPT270</t>
  </si>
  <si>
    <t xml:space="preserve">N261MJP260</t>
  </si>
  <si>
    <t xml:space="preserve">N261UPT090</t>
  </si>
  <si>
    <t xml:space="preserve">N261UJP040</t>
  </si>
  <si>
    <t xml:space="preserve">N262MSH320</t>
  </si>
  <si>
    <t xml:space="preserve">N262MTS520</t>
  </si>
  <si>
    <t xml:space="preserve">N262UJP150</t>
  </si>
  <si>
    <t xml:space="preserve">N262UTS191</t>
  </si>
  <si>
    <t xml:space="preserve">N262UTS902</t>
  </si>
  <si>
    <t xml:space="preserve">N262UTS904</t>
  </si>
  <si>
    <t xml:space="preserve">N262UTS905</t>
  </si>
  <si>
    <t xml:space="preserve">N263MJP530</t>
  </si>
  <si>
    <t xml:space="preserve">N263UTS210</t>
  </si>
  <si>
    <t xml:space="preserve">N264MPT210</t>
  </si>
  <si>
    <t xml:space="preserve">N264MPT310</t>
  </si>
  <si>
    <t xml:space="preserve">N264MPT510</t>
  </si>
  <si>
    <t xml:space="preserve">N264MSH350</t>
  </si>
  <si>
    <t xml:space="preserve">N264UPT070</t>
  </si>
  <si>
    <t xml:space="preserve">N264UDV030</t>
  </si>
  <si>
    <t xml:space="preserve">N264UDW024</t>
  </si>
  <si>
    <t xml:space="preserve">N264UDW060</t>
  </si>
  <si>
    <t xml:space="preserve">N264UDW140</t>
  </si>
  <si>
    <t xml:space="preserve">N264UDW154</t>
  </si>
  <si>
    <t xml:space="preserve">N264UDW162</t>
  </si>
  <si>
    <t xml:space="preserve">N264UDW220</t>
  </si>
  <si>
    <t xml:space="preserve">N264UDW250</t>
  </si>
  <si>
    <t xml:space="preserve">N264UDW310</t>
  </si>
  <si>
    <t xml:space="preserve">N264UDW320</t>
  </si>
  <si>
    <t xml:space="preserve">N264UDW330</t>
  </si>
  <si>
    <t xml:space="preserve">N264UFJ155</t>
  </si>
  <si>
    <t xml:space="preserve">N264UFT040</t>
  </si>
  <si>
    <t xml:space="preserve">N264UWT030</t>
  </si>
  <si>
    <t xml:space="preserve">N264UWT070</t>
  </si>
  <si>
    <t xml:space="preserve">N264WPT080</t>
  </si>
  <si>
    <t xml:space="preserve">N264WDW040</t>
  </si>
  <si>
    <t xml:space="preserve">N264WDW131</t>
  </si>
  <si>
    <t xml:space="preserve">N264WDW152</t>
  </si>
  <si>
    <t xml:space="preserve">N264WDW162</t>
  </si>
  <si>
    <t xml:space="preserve">N264WDW260</t>
  </si>
  <si>
    <t xml:space="preserve">N264WDW310</t>
  </si>
  <si>
    <t xml:space="preserve">N264WDW320</t>
  </si>
  <si>
    <t xml:space="preserve">N264WFT040</t>
  </si>
  <si>
    <t xml:space="preserve">N264WTS220</t>
  </si>
  <si>
    <t xml:space="preserve">N265ASU140</t>
  </si>
  <si>
    <t xml:space="preserve">N265ASU150</t>
  </si>
  <si>
    <t xml:space="preserve">N265UPA010</t>
  </si>
  <si>
    <t xml:space="preserve">N265UTS901</t>
  </si>
  <si>
    <t xml:space="preserve">N265WTS010</t>
  </si>
  <si>
    <t xml:space="preserve">O261MPD301</t>
  </si>
  <si>
    <t xml:space="preserve">O261UPT101</t>
  </si>
  <si>
    <t xml:space="preserve">O261UJP101</t>
  </si>
  <si>
    <t xml:space="preserve">O261UJP102</t>
  </si>
  <si>
    <t xml:space="preserve">O261UJP260</t>
  </si>
  <si>
    <t xml:space="preserve">O261UHD101</t>
  </si>
  <si>
    <t xml:space="preserve">O261UHD102</t>
  </si>
  <si>
    <t xml:space="preserve">O261USW101</t>
  </si>
  <si>
    <t xml:space="preserve">O261UTS101</t>
  </si>
  <si>
    <t xml:space="preserve">O261UTS102</t>
  </si>
  <si>
    <t xml:space="preserve">O261UTS103</t>
  </si>
  <si>
    <t xml:space="preserve">O261UTS104</t>
  </si>
  <si>
    <t xml:space="preserve">O261WJP301</t>
  </si>
  <si>
    <t xml:space="preserve">O261WJP302</t>
  </si>
  <si>
    <t xml:space="preserve">O261WPD301</t>
  </si>
  <si>
    <t xml:space="preserve">O262UTS510</t>
  </si>
  <si>
    <t xml:space="preserve">O262WTS540</t>
  </si>
  <si>
    <t xml:space="preserve">O263UPL901</t>
  </si>
  <si>
    <t xml:space="preserve">O263UTS910</t>
  </si>
  <si>
    <t xml:space="preserve">O263UTS911</t>
  </si>
  <si>
    <t xml:space="preserve">O263WJK303</t>
  </si>
  <si>
    <t xml:space="preserve">O263WPL901</t>
  </si>
  <si>
    <t xml:space="preserve">O263WTS912</t>
  </si>
  <si>
    <t xml:space="preserve">O264APE900</t>
  </si>
  <si>
    <t xml:space="preserve">O264UDW310</t>
  </si>
  <si>
    <t xml:space="preserve">O265AAC530</t>
  </si>
  <si>
    <t xml:space="preserve">O265ABG510</t>
  </si>
  <si>
    <t xml:space="preserve">O265ACR510</t>
  </si>
  <si>
    <t xml:space="preserve">O265AHA530</t>
  </si>
  <si>
    <t xml:space="preserve">O265AHA540</t>
  </si>
  <si>
    <t xml:space="preserve">O265ATO020</t>
  </si>
  <si>
    <t xml:space="preserve">O265AET510</t>
  </si>
  <si>
    <t xml:space="preserve">O265AGW801</t>
  </si>
  <si>
    <r>
      <rPr>
        <b val="true"/>
        <sz val="11"/>
        <color rgb="FFFFFFFF"/>
        <rFont val="WenQuanYi Zen Hei"/>
        <family val="2"/>
      </rPr>
      <t xml:space="preserve">차수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원본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</si>
  <si>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차수그룹</t>
  </si>
  <si>
    <t xml:space="preserve">발주수량</t>
  </si>
  <si>
    <r>
      <rPr>
        <b val="true"/>
        <sz val="11"/>
        <color rgb="FFFFFFFF"/>
        <rFont val="Cambria"/>
        <family val="0"/>
        <charset val="1"/>
      </rPr>
      <t xml:space="preserve">Tag</t>
    </r>
    <r>
      <rPr>
        <b val="true"/>
        <sz val="11"/>
        <color rgb="FFFFFFFF"/>
        <rFont val="WenQuanYi Zen Hei"/>
        <family val="2"/>
      </rPr>
      <t xml:space="preserve">금액</t>
    </r>
  </si>
  <si>
    <t xml:space="preserve">차수</t>
  </si>
  <si>
    <r>
      <rPr>
        <i val="true"/>
        <sz val="10"/>
        <rFont val="WenQuanYi Zen Hei"/>
        <family val="2"/>
      </rPr>
      <t xml:space="preserve">실제 발주수량</t>
    </r>
    <r>
      <rPr>
        <i val="true"/>
        <sz val="10"/>
        <rFont val="Cambria"/>
        <family val="0"/>
        <charset val="1"/>
      </rPr>
      <t xml:space="preserve">(</t>
    </r>
    <r>
      <rPr>
        <i val="true"/>
        <sz val="10"/>
        <rFont val="WenQuanYi Zen Hei"/>
        <family val="2"/>
      </rPr>
      <t xml:space="preserve">스타일</t>
    </r>
    <r>
      <rPr>
        <i val="true"/>
        <sz val="10"/>
        <rFont val="Cambria"/>
        <family val="0"/>
        <charset val="1"/>
      </rPr>
      <t xml:space="preserve">×</t>
    </r>
    <r>
      <rPr>
        <i val="true"/>
        <sz val="10"/>
        <rFont val="WenQuanYi Zen Hei"/>
        <family val="2"/>
      </rPr>
      <t xml:space="preserve">차수</t>
    </r>
    <r>
      <rPr>
        <i val="true"/>
        <sz val="10"/>
        <rFont val="Cambria"/>
        <family val="0"/>
        <charset val="1"/>
      </rPr>
      <t xml:space="preserve">). 101·201·299 </t>
    </r>
    <r>
      <rPr>
        <i val="true"/>
        <sz val="10"/>
        <rFont val="WenQuanYi Zen Hei"/>
        <family val="2"/>
      </rPr>
      <t xml:space="preserve">등 추가차수는 </t>
    </r>
    <r>
      <rPr>
        <i val="true"/>
        <sz val="10"/>
        <rFont val="Cambria"/>
        <family val="0"/>
        <charset val="1"/>
      </rPr>
      <t xml:space="preserve">RAW_2026</t>
    </r>
    <r>
      <rPr>
        <i val="true"/>
        <sz val="10"/>
        <rFont val="WenQuanYi Zen Hei"/>
        <family val="2"/>
      </rPr>
      <t xml:space="preserve">의 대표 차수</t>
    </r>
    <r>
      <rPr>
        <i val="true"/>
        <sz val="10"/>
        <rFont val="Cambria"/>
        <family val="0"/>
        <charset val="1"/>
      </rPr>
      <t xml:space="preserve">(100·200·300…)</t>
    </r>
    <r>
      <rPr>
        <i val="true"/>
        <sz val="10"/>
        <rFont val="WenQuanYi Zen Hei"/>
        <family val="2"/>
      </rPr>
      <t xml:space="preserve">로 합산해 대조합니다</t>
    </r>
    <r>
      <rPr>
        <i val="true"/>
        <sz val="10"/>
        <rFont val="Cambria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</si>
</sst>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;[RED]\-#,##0.0;\-"/>
    <numFmt numFmtId="166" formatCode="0.0%;[RED]\-0.0%;\-"/>
    <numFmt numFmtId="167" formatCode="0%"/>
    <numFmt numFmtId="168" formatCode="0.0\배"/>
    <numFmt numFmtId="169" formatCode="0.0%"/>
    <numFmt numFmtId="170" formatCode="#,##0.00"/>
    <numFmt numFmtId="171" formatCode="#,##0"/>
  </numFmts>
  <fonts count="36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2142"/>
      <name val="Cambria"/>
      <family val="0"/>
      <charset val="1"/>
    </font>
    <font>
      <b val="true"/>
      <sz val="16"/>
      <color rgb="FF0F2142"/>
      <name val="WenQuanYi Zen Hei"/>
      <family val="2"/>
    </font>
    <font>
      <i val="true"/>
      <sz val="9"/>
      <color rgb="FF595959"/>
      <name val="WenQuanYi Zen Hei"/>
      <family val="2"/>
    </font>
    <font>
      <i val="true"/>
      <sz val="9"/>
      <color rgb="FF595959"/>
      <name val="Cambria"/>
      <family val="0"/>
      <charset val="1"/>
    </font>
    <font>
      <b val="true"/>
      <sz val="12"/>
      <color rgb="FF1F3A68"/>
      <name val="Cambria"/>
      <family val="0"/>
      <charset val="1"/>
    </font>
    <font>
      <b val="true"/>
      <sz val="10"/>
      <color rgb="FFC00000"/>
      <name val="Cambria"/>
      <family val="0"/>
      <charset val="1"/>
    </font>
    <font>
      <b val="true"/>
      <sz val="12"/>
      <color rgb="FF1F3A68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Cambria"/>
      <family val="0"/>
      <charset val="1"/>
    </font>
    <font>
      <b val="true"/>
      <sz val="10"/>
      <name val="WenQuanYi Zen Hei"/>
      <family val="2"/>
    </font>
    <font>
      <sz val="10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FF"/>
      <name val="Cambria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4"/>
      <color rgb="FF162D54"/>
      <name val="Cambria"/>
      <family val="0"/>
      <charset val="1"/>
    </font>
    <font>
      <b val="true"/>
      <sz val="14"/>
      <color rgb="FF162D54"/>
      <name val="WenQuanYi Zen Hei"/>
      <family val="2"/>
    </font>
    <font>
      <b val="true"/>
      <sz val="11"/>
      <color rgb="FF162D54"/>
      <name val="Cambria"/>
      <family val="0"/>
      <charset val="1"/>
    </font>
    <font>
      <b val="true"/>
      <sz val="11"/>
      <color rgb="FF162D54"/>
      <name val="WenQuanYi Zen Hei"/>
      <family val="2"/>
    </font>
    <font>
      <sz val="11"/>
      <color rgb="FF000000"/>
      <name val="WenQuanYi Zen Hei"/>
      <family val="2"/>
    </font>
    <font>
      <sz val="11"/>
      <color rgb="FF000000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Cambria"/>
      <family val="0"/>
      <charset val="1"/>
    </font>
    <font>
      <i val="true"/>
      <sz val="10"/>
      <name val="WenQuanYi Zen Hei"/>
      <family val="2"/>
    </font>
    <font>
      <i val="true"/>
      <sz val="10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FF"/>
      <name val="WenQuanYi Zen Hei"/>
      <family val="2"/>
    </font>
    <font>
      <sz val="11"/>
      <color theme="1"/>
      <name val="WenQuanYi Zen Hei"/>
      <family val="2"/>
    </font>
    <font>
      <b val="true"/>
      <sz val="11"/>
      <color rgb="FFFFFFFF"/>
      <name val="WenQuanYi Zen Hei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62D54"/>
        <bgColor rgb="FF0F2142"/>
      </patternFill>
    </fill>
    <fill>
      <patternFill patternType="solid">
        <fgColor rgb="FFF1F4F9"/>
        <bgColor rgb="FFFFFFFF"/>
      </patternFill>
    </fill>
    <fill>
      <patternFill patternType="solid">
        <fgColor rgb="FFFFF9DB"/>
        <bgColor rgb="FFFFFFFF"/>
      </patternFill>
    </fill>
    <fill>
      <patternFill patternType="solid">
        <fgColor rgb="FF111111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CC8DE"/>
      </left>
      <right style="thin">
        <color rgb="FFBCC8DE"/>
      </right>
      <top style="thin">
        <color rgb="FFBCC8DE"/>
      </top>
      <bottom style="thin">
        <color rgb="FFBCC8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8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CC8DE"/>
      <rgbColor rgb="FF808080"/>
      <rgbColor rgb="FF9999FF"/>
      <rgbColor rgb="FF993366"/>
      <rgbColor rgb="FFFFF9DB"/>
      <rgbColor rgb="FFF1F4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B3B3B3"/>
      <rgbColor rgb="FF162D54"/>
      <rgbColor rgb="FF339966"/>
      <rgbColor rgb="FF111111"/>
      <rgbColor rgb="FF333300"/>
      <rgbColor rgb="FF993300"/>
      <rgbColor rgb="FF993366"/>
      <rgbColor rgb="FF1F3A68"/>
      <rgbColor rgb="FF0F21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2027 월별 TNH 매출 (억원)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요약!A51</c:f>
              <c:strCache>
                <c:ptCount val="1"/>
                <c:pt idx="0">
                  <c:v>TNH 합계</c:v>
                </c:pt>
              </c:strCache>
            </c:strRef>
          </c:tx>
          <c:spPr>
            <a:solidFill>
              <a:srgbClr val="162d5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요약!$B$46:$M$46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요약!$B$51:$M$51</c:f>
              <c:numCache>
                <c:formatCode>#,##0.0;[RED]\-#,##0.0;\-</c:formatCode>
                <c:ptCount val="12"/>
                <c:pt idx="0">
                  <c:v>21.1303817482518</c:v>
                </c:pt>
                <c:pt idx="1">
                  <c:v>15.7402220512821</c:v>
                </c:pt>
                <c:pt idx="2">
                  <c:v>8.98411888111888</c:v>
                </c:pt>
                <c:pt idx="3">
                  <c:v>9.99849925407925</c:v>
                </c:pt>
                <c:pt idx="4">
                  <c:v>11.0839627972028</c:v>
                </c:pt>
                <c:pt idx="5">
                  <c:v>10.1754775291375</c:v>
                </c:pt>
                <c:pt idx="6">
                  <c:v>8.15920466200466</c:v>
                </c:pt>
                <c:pt idx="7">
                  <c:v>8.89746571095571</c:v>
                </c:pt>
                <c:pt idx="8">
                  <c:v>9.18699841491842</c:v>
                </c:pt>
                <c:pt idx="9">
                  <c:v>14.5967056643357</c:v>
                </c:pt>
                <c:pt idx="10">
                  <c:v>17.3235647552448</c:v>
                </c:pt>
                <c:pt idx="11">
                  <c:v>18.4908344289044</c:v>
                </c:pt>
              </c:numCache>
            </c:numRef>
          </c:val>
        </c:ser>
        <c:gapWidth val="150"/>
        <c:overlap val="0"/>
        <c:axId val="81078765"/>
        <c:axId val="52272668"/>
      </c:barChart>
      <c:catAx>
        <c:axId val="810787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272668"/>
        <c:crosses val="autoZero"/>
        <c:auto val="1"/>
        <c:lblAlgn val="ctr"/>
        <c:lblOffset val="100"/>
        <c:noMultiLvlLbl val="0"/>
      </c:catAx>
      <c:valAx>
        <c:axId val="522726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;[RED]\-#,##0.0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0787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51</xdr:row>
      <xdr:rowOff>9360</xdr:rowOff>
    </xdr:from>
    <xdr:to>
      <xdr:col>7</xdr:col>
      <xdr:colOff>162360</xdr:colOff>
      <xdr:row>63</xdr:row>
      <xdr:rowOff>63000</xdr:rowOff>
    </xdr:to>
    <xdr:graphicFrame>
      <xdr:nvGraphicFramePr>
        <xdr:cNvPr id="0" name="Chart 1"/>
        <xdr:cNvGraphicFramePr/>
      </xdr:nvGraphicFramePr>
      <xdr:xfrm>
        <a:off x="0" y="10953720"/>
        <a:ext cx="935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68"/>
    <pageSetUpPr fitToPage="true"/>
  </sheetPr>
  <dimension ref="A1:N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14" min="2" style="0" width="12.5"/>
  </cols>
  <sheetData>
    <row r="1" customFormat="false" ht="20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6.4" hidden="false" customHeight="false" outlineLevel="0" collapsed="false">
      <c r="A3" s="3" t="str">
        <f aca="false">"2027 TNH 매출 "&amp;TEXT(G22,"0.0")&amp;"억 (2026 예상 "&amp;TEXT(D12,"0.0")&amp;"억 대비 "&amp;TEXT(IF(D12=0,0,G22/D12-1),"+0.0%;-0.0%")&amp;")  ·  이익 "&amp;TEXT(H22,"0.0")&amp;"억  ·  이익률 "&amp;TEXT(I22,"0.0%")</f>
        <v>2027 TNH 매출 153.8억 (2026 예상 188.2억 대비 -18.3%)  ·  이익 32.2억  ·  이익률 20.9%</v>
      </c>
    </row>
    <row r="4" customFormat="false" ht="15" hidden="false" customHeight="false" outlineLevel="0" collapsed="false">
      <c r="A4" s="4" t="str">
        <f aca="false">IF(MAX(ABS(N40-1),ABS(N41-1),ABS(N42-1),ABS(N43-1))&gt;0.0005,"⚠ ⑤ 월별 비중 합계가 100%가 아닙니다","")</f>
        <v/>
      </c>
    </row>
    <row r="6" customFormat="false" ht="16.4" hidden="false" customHeight="false" outlineLevel="0" collapsed="false">
      <c r="A6" s="3" t="s">
        <v>2</v>
      </c>
    </row>
    <row r="7" customFormat="false" ht="30" hidden="false" customHeight="true" outlineLevel="0" collapsed="false">
      <c r="A7" s="5" t="s">
        <v>3</v>
      </c>
      <c r="B7" s="5" t="s">
        <v>4</v>
      </c>
      <c r="C7" s="5" t="s">
        <v>5</v>
      </c>
      <c r="D7" s="5" t="s">
        <v>6</v>
      </c>
      <c r="F7" s="5" t="s">
        <v>7</v>
      </c>
      <c r="G7" s="5" t="s">
        <v>8</v>
      </c>
      <c r="H7" s="5" t="s">
        <v>9</v>
      </c>
      <c r="I7" s="5" t="s">
        <v>10</v>
      </c>
    </row>
    <row r="8" customFormat="false" ht="15" hidden="false" customHeight="false" outlineLevel="0" collapsed="false">
      <c r="A8" s="6" t="s">
        <v>11</v>
      </c>
      <c r="B8" s="7" t="n">
        <f aca="false">SUMIFS(RAW_판매펀칭!$M:$M,RAW_판매펀칭!$A:$A,"HK")/10^8</f>
        <v>37.00267998</v>
      </c>
      <c r="C8" s="7" t="n">
        <f aca="false">SUMIFS(RAW_2026!$S:$S,RAW_2026!$B:$B,"HK")/10^8</f>
        <v>9.169842</v>
      </c>
      <c r="D8" s="7" t="n">
        <f aca="false">B8+C8</f>
        <v>46.17252198</v>
      </c>
      <c r="F8" s="7" t="n">
        <f aca="false">B8-SUMIFS(RAW_판매펀칭!$N:$N,RAW_판매펀칭!$A:$A,"HK")/10^8/$F$27</f>
        <v>11.0921008663636</v>
      </c>
      <c r="G8" s="7" t="n">
        <f aca="false">C8-SUMIFS(RAW_2026!$T:$T,RAW_2026!$B:$B,"HK")/10^8/$F$27</f>
        <v>2.58099956</v>
      </c>
      <c r="H8" s="7" t="n">
        <f aca="false">F8+G8</f>
        <v>13.6731004263636</v>
      </c>
      <c r="I8" s="8" t="n">
        <f aca="false">IF(D8=0,0,H8/D8)</f>
        <v>0.296130682059911</v>
      </c>
    </row>
    <row r="9" customFormat="false" ht="15" hidden="false" customHeight="false" outlineLevel="0" collapsed="false">
      <c r="A9" s="6" t="s">
        <v>12</v>
      </c>
      <c r="B9" s="7" t="n">
        <f aca="false">SUMIFS(RAW_판매펀칭!$M:$M,RAW_판매펀칭!$A:$A,"CN")/10^8</f>
        <v>36.11269645</v>
      </c>
      <c r="C9" s="7" t="n">
        <f aca="false">SUMIFS(RAW_2026!$S:$S,RAW_2026!$B:$B,"CN")/10^8</f>
        <v>10.86169203</v>
      </c>
      <c r="D9" s="7" t="n">
        <f aca="false">B9+C9</f>
        <v>46.97438848</v>
      </c>
      <c r="F9" s="7" t="n">
        <f aca="false">B9-SUMIFS(RAW_판매펀칭!$N:$N,RAW_판매펀칭!$A:$A,"CN")/10^8/$F$27</f>
        <v>5.34369645</v>
      </c>
      <c r="G9" s="7" t="n">
        <f aca="false">C9-SUMIFS(RAW_2026!$T:$T,RAW_2026!$B:$B,"CN")/10^8/$F$27</f>
        <v>0.701918170000001</v>
      </c>
      <c r="H9" s="7" t="n">
        <f aca="false">F9+G9</f>
        <v>6.04561462</v>
      </c>
      <c r="I9" s="8" t="n">
        <f aca="false">IF(D9=0,0,H9/D9)</f>
        <v>0.128700230394144</v>
      </c>
    </row>
    <row r="10" customFormat="false" ht="15" hidden="false" customHeight="false" outlineLevel="0" collapsed="false">
      <c r="A10" s="6" t="s">
        <v>13</v>
      </c>
      <c r="B10" s="7" t="n">
        <f aca="false">SUMIFS(RAW_판매펀칭!$M:$M,RAW_판매펀칭!$A:$A,"TW")/10^8</f>
        <v>47.7469574</v>
      </c>
      <c r="C10" s="7" t="n">
        <f aca="false">SUMIFS(RAW_2026!$S:$S,RAW_2026!$B:$B,"TW")/10^8</f>
        <v>13.98722292</v>
      </c>
      <c r="D10" s="7" t="n">
        <f aca="false">B10+C10</f>
        <v>61.73418032</v>
      </c>
      <c r="F10" s="7" t="n">
        <f aca="false">B10-SUMIFS(RAW_판매펀칭!$N:$N,RAW_판매펀칭!$A:$A,"TW")/10^8/$F$27</f>
        <v>14.4568124</v>
      </c>
      <c r="G10" s="7" t="n">
        <f aca="false">C10-SUMIFS(RAW_2026!$T:$T,RAW_2026!$B:$B,"TW")/10^8/$F$27</f>
        <v>3.75021042</v>
      </c>
      <c r="H10" s="7" t="n">
        <f aca="false">F10+G10</f>
        <v>18.20702282</v>
      </c>
      <c r="I10" s="8" t="n">
        <f aca="false">IF(D10=0,0,H10/D10)</f>
        <v>0.294926128858011</v>
      </c>
    </row>
    <row r="11" customFormat="false" ht="15" hidden="false" customHeight="false" outlineLevel="0" collapsed="false">
      <c r="A11" s="6" t="s">
        <v>14</v>
      </c>
      <c r="B11" s="7" t="n">
        <f aca="false">SUMIFS(RAW_판매펀칭!$M:$M,RAW_판매펀칭!$A:$A,"홀세일")/10^8</f>
        <v>27.69231467</v>
      </c>
      <c r="C11" s="7" t="n">
        <f aca="false">SUMIFS(RAW_2026!$S:$S,RAW_2026!$B:$B,"홀세일")/10^8</f>
        <v>5.57936148</v>
      </c>
      <c r="D11" s="7" t="n">
        <f aca="false">B11+C11</f>
        <v>33.27167615</v>
      </c>
      <c r="F11" s="7" t="n">
        <f aca="false">B11-SUMIFS(RAW_판매펀칭!$N:$N,RAW_판매펀칭!$A:$A,"홀세일")/10^8/$F$27</f>
        <v>9.53725717</v>
      </c>
      <c r="G11" s="7" t="n">
        <f aca="false">C11-SUMIFS(RAW_2026!$T:$T,RAW_2026!$B:$B,"홀세일")/10^8/$F$27</f>
        <v>1.42193398</v>
      </c>
      <c r="H11" s="7" t="n">
        <f aca="false">F11+G11</f>
        <v>10.95919115</v>
      </c>
      <c r="I11" s="8" t="n">
        <f aca="false">IF(D11=0,0,H11/D11)</f>
        <v>0.329385003045601</v>
      </c>
    </row>
    <row r="12" customFormat="false" ht="15" hidden="false" customHeight="false" outlineLevel="0" collapsed="false">
      <c r="A12" s="9" t="s">
        <v>15</v>
      </c>
      <c r="B12" s="10" t="n">
        <f aca="false">SUM(B8:B11)</f>
        <v>148.5546485</v>
      </c>
      <c r="C12" s="10" t="n">
        <f aca="false">SUM(C8:C11)</f>
        <v>39.59811843</v>
      </c>
      <c r="D12" s="10" t="n">
        <f aca="false">SUM(D8:D11)</f>
        <v>188.15276693</v>
      </c>
      <c r="F12" s="10" t="n">
        <f aca="false">SUM(F8:F11)</f>
        <v>40.4298668863636</v>
      </c>
      <c r="G12" s="10" t="n">
        <f aca="false">SUM(G8:G11)</f>
        <v>8.45506213</v>
      </c>
      <c r="H12" s="10" t="n">
        <f aca="false">SUM(H8:H11)</f>
        <v>48.8849290163636</v>
      </c>
      <c r="I12" s="11" t="n">
        <f aca="false">IF(D12=0,0,H12/D12)</f>
        <v>0.259815095010273</v>
      </c>
    </row>
    <row r="13" customFormat="false" ht="15" hidden="false" customHeight="false" outlineLevel="0" collapsed="false">
      <c r="A13" s="2" t="s">
        <v>16</v>
      </c>
    </row>
    <row r="14" customFormat="false" ht="15" hidden="false" customHeight="false" outlineLevel="0" collapsed="false">
      <c r="A14" s="2" t="str">
        <f aca="false">"※ 실제 발주수량 대조: 수주(중복 제거 후) vs 발주 — 불일치 "&amp;COUNTIF(RAW_2026!X:X,"&gt;0")&amp;"건 / 수량 차이 "&amp;TEXT(SUM(RAW_2026!X:X),"#,##0")&amp;" (RAW_발주)"</f>
        <v>※ 실제 발주수량 대조: 수주(중복 제거 후) vs 발주 — 불일치 0건 / 수량 차이 0 (RAW_발주)</v>
      </c>
    </row>
    <row r="15" customFormat="false" ht="16.4" hidden="false" customHeight="false" outlineLevel="0" collapsed="false">
      <c r="A15" s="3" t="s">
        <v>17</v>
      </c>
    </row>
    <row r="16" customFormat="false" ht="55.5" hidden="false" customHeight="true" outlineLevel="0" collapsed="false">
      <c r="A16" s="5" t="s">
        <v>3</v>
      </c>
      <c r="B16" s="5" t="s">
        <v>18</v>
      </c>
      <c r="C16" s="5" t="s">
        <v>19</v>
      </c>
      <c r="D16" s="5" t="s">
        <v>20</v>
      </c>
      <c r="E16" s="5" t="s">
        <v>21</v>
      </c>
      <c r="F16" s="5" t="s">
        <v>22</v>
      </c>
      <c r="G16" s="12" t="s">
        <v>23</v>
      </c>
      <c r="H16" s="12" t="s">
        <v>24</v>
      </c>
      <c r="I16" s="5" t="s">
        <v>10</v>
      </c>
      <c r="J16" s="5" t="s">
        <v>25</v>
      </c>
    </row>
    <row r="17" customFormat="false" ht="15" hidden="false" customHeight="false" outlineLevel="0" collapsed="false">
      <c r="A17" s="6" t="s">
        <v>11</v>
      </c>
      <c r="B17" s="13" t="n">
        <v>180</v>
      </c>
      <c r="C17" s="14" t="n">
        <v>0.65</v>
      </c>
      <c r="D17" s="14" t="n">
        <v>0.1</v>
      </c>
      <c r="E17" s="15" t="n">
        <v>4</v>
      </c>
      <c r="F17" s="7" t="n">
        <f aca="false">IF(OR(C17=0,D17=1),0,B17*$C$27/(1-D17)/C17)</f>
        <v>123.076923076923</v>
      </c>
      <c r="G17" s="7" t="n">
        <f aca="false">IF(OR(E17=0,$G$27=0),0,F17/E17*$H$27/$G$27)</f>
        <v>31.7685314685315</v>
      </c>
      <c r="H17" s="7" t="n">
        <f aca="false">IF(OR(J17=0,E17=0),0,G17-F17/E17/J17/$F$27)</f>
        <v>8.45850815850816</v>
      </c>
      <c r="I17" s="8" t="n">
        <f aca="false">IF(G17=0,0,H17/G17)</f>
        <v>0.266254301584157</v>
      </c>
      <c r="J17" s="16" t="n">
        <f aca="false">$D$27</f>
        <v>0.33</v>
      </c>
    </row>
    <row r="18" customFormat="false" ht="15" hidden="false" customHeight="false" outlineLevel="0" collapsed="false">
      <c r="A18" s="6" t="s">
        <v>12</v>
      </c>
      <c r="B18" s="13" t="n">
        <v>300</v>
      </c>
      <c r="C18" s="14" t="n">
        <v>0.65</v>
      </c>
      <c r="D18" s="14" t="n">
        <v>0.1</v>
      </c>
      <c r="E18" s="15" t="n">
        <v>5</v>
      </c>
      <c r="F18" s="7" t="n">
        <f aca="false">IF(OR(C18=0,D18=1),0,B18*$C$27/(1-D18)/C18)</f>
        <v>205.128205128205</v>
      </c>
      <c r="G18" s="7" t="n">
        <f aca="false">IF(OR(E18=0,$G$27=0),0,F18/E18*$H$27/$G$27)</f>
        <v>42.358041958042</v>
      </c>
      <c r="H18" s="7" t="n">
        <f aca="false">IF(OR(J18=0,E18=0),0,G18-F18/E18/J18/$F$27)</f>
        <v>3.28600288600288</v>
      </c>
      <c r="I18" s="8" t="n">
        <f aca="false">IF(G18=0,0,H18/G18)</f>
        <v>0.0775768362772258</v>
      </c>
      <c r="J18" s="16" t="n">
        <f aca="false">(1+$E$27)/$F$27</f>
        <v>0.2625</v>
      </c>
    </row>
    <row r="19" customFormat="false" ht="15" hidden="false" customHeight="false" outlineLevel="0" collapsed="false">
      <c r="A19" s="6" t="s">
        <v>13</v>
      </c>
      <c r="B19" s="13" t="n">
        <v>262</v>
      </c>
      <c r="C19" s="14" t="n">
        <v>0.65</v>
      </c>
      <c r="D19" s="14" t="n">
        <v>0.1</v>
      </c>
      <c r="E19" s="15" t="n">
        <v>4</v>
      </c>
      <c r="F19" s="7" t="n">
        <f aca="false">IF(OR(C19=0,D19=1),0,B19*$C$27/(1-D19)/C19)</f>
        <v>179.145299145299</v>
      </c>
      <c r="G19" s="7" t="n">
        <f aca="false">IF(OR(E19=0,$G$27=0),0,F19/E19*$H$27/$G$27)</f>
        <v>46.2408624708625</v>
      </c>
      <c r="H19" s="7" t="n">
        <f aca="false">IF(OR(J19=0,E19=0),0,G19-F19/E19/J19/$F$27)</f>
        <v>12.3118285418285</v>
      </c>
      <c r="I19" s="8" t="n">
        <f aca="false">IF(G19=0,0,H19/G19)</f>
        <v>0.266254301584157</v>
      </c>
      <c r="J19" s="16" t="n">
        <f aca="false">$D$27</f>
        <v>0.33</v>
      </c>
    </row>
    <row r="20" customFormat="false" ht="15" hidden="false" customHeight="false" outlineLevel="0" collapsed="false">
      <c r="A20" s="17" t="s">
        <v>26</v>
      </c>
      <c r="B20" s="10" t="n">
        <f aca="false">SUM(B17:B19)</f>
        <v>742</v>
      </c>
      <c r="C20" s="18"/>
      <c r="D20" s="18"/>
      <c r="E20" s="18"/>
      <c r="F20" s="10" t="n">
        <f aca="false">SUM(F17:F19)</f>
        <v>507.350427350427</v>
      </c>
      <c r="G20" s="10" t="n">
        <f aca="false">SUM(G17:G19)</f>
        <v>120.367435897436</v>
      </c>
      <c r="H20" s="10" t="n">
        <f aca="false">SUM(H17:H19)</f>
        <v>24.0563395863396</v>
      </c>
      <c r="I20" s="11" t="n">
        <f aca="false">IF(G20=0,0,H20/G20)</f>
        <v>0.199857539599313</v>
      </c>
      <c r="J20" s="18"/>
    </row>
    <row r="21" customFormat="false" ht="15" hidden="false" customHeight="false" outlineLevel="0" collapsed="false">
      <c r="A21" s="6" t="s">
        <v>27</v>
      </c>
      <c r="B21" s="19" t="s">
        <v>28</v>
      </c>
      <c r="C21" s="19" t="s">
        <v>28</v>
      </c>
      <c r="D21" s="19" t="s">
        <v>28</v>
      </c>
      <c r="E21" s="19" t="s">
        <v>28</v>
      </c>
      <c r="F21" s="19" t="s">
        <v>28</v>
      </c>
      <c r="G21" s="13" t="n">
        <v>33.4</v>
      </c>
      <c r="H21" s="7" t="n">
        <f aca="false">IF(J21=0,0,G21-G21/J21/$F$27)</f>
        <v>8.0969696969697</v>
      </c>
      <c r="I21" s="8" t="n">
        <f aca="false">IF(G21=0,0,H21/G21)</f>
        <v>0.242424242424242</v>
      </c>
      <c r="J21" s="16" t="n">
        <f aca="false">$D$27</f>
        <v>0.33</v>
      </c>
    </row>
    <row r="22" customFormat="false" ht="15" hidden="false" customHeight="false" outlineLevel="0" collapsed="false">
      <c r="A22" s="9" t="s">
        <v>15</v>
      </c>
      <c r="B22" s="18" t="s">
        <v>28</v>
      </c>
      <c r="C22" s="18" t="s">
        <v>28</v>
      </c>
      <c r="D22" s="18" t="s">
        <v>28</v>
      </c>
      <c r="E22" s="18" t="s">
        <v>28</v>
      </c>
      <c r="F22" s="10" t="n">
        <f aca="false">F20</f>
        <v>507.350427350427</v>
      </c>
      <c r="G22" s="10" t="n">
        <f aca="false">G20+G21</f>
        <v>153.767435897436</v>
      </c>
      <c r="H22" s="10" t="n">
        <f aca="false">H20+H21</f>
        <v>32.1533092833093</v>
      </c>
      <c r="I22" s="11" t="n">
        <f aca="false">IF(G22=0,0,H22/G22)</f>
        <v>0.209103501633179</v>
      </c>
      <c r="J22" s="18" t="s">
        <v>28</v>
      </c>
    </row>
    <row r="23" customFormat="false" ht="15" hidden="false" customHeight="false" outlineLevel="0" collapsed="false">
      <c r="A23" s="20" t="s">
        <v>29</v>
      </c>
    </row>
    <row r="25" customFormat="false" ht="15" hidden="false" customHeight="false" outlineLevel="0" collapsed="false">
      <c r="A25" s="21" t="s">
        <v>30</v>
      </c>
    </row>
    <row r="26" customFormat="false" ht="42" hidden="false" customHeight="true" outlineLevel="0" collapsed="false">
      <c r="A26" s="5"/>
      <c r="B26" s="5" t="s">
        <v>31</v>
      </c>
      <c r="C26" s="5" t="s">
        <v>32</v>
      </c>
      <c r="D26" s="5" t="s">
        <v>33</v>
      </c>
      <c r="E26" s="5" t="s">
        <v>34</v>
      </c>
      <c r="F26" s="5" t="s">
        <v>35</v>
      </c>
      <c r="G26" s="12" t="s">
        <v>36</v>
      </c>
      <c r="H26" s="12" t="s">
        <v>37</v>
      </c>
    </row>
    <row r="27" customFormat="false" ht="15" hidden="false" customHeight="false" outlineLevel="0" collapsed="false">
      <c r="A27" s="6" t="s">
        <v>38</v>
      </c>
      <c r="B27" s="14" t="n">
        <v>0.6</v>
      </c>
      <c r="C27" s="22" t="n">
        <f aca="false">1-B27</f>
        <v>0.4</v>
      </c>
      <c r="D27" s="14" t="n">
        <v>0.33</v>
      </c>
      <c r="E27" s="14" t="n">
        <v>0.05</v>
      </c>
      <c r="F27" s="15" t="n">
        <v>4</v>
      </c>
      <c r="G27" s="23" t="n">
        <v>1320</v>
      </c>
      <c r="H27" s="23" t="n">
        <v>1362.87</v>
      </c>
    </row>
    <row r="29" customFormat="false" ht="16.4" hidden="false" customHeight="false" outlineLevel="0" collapsed="false">
      <c r="A29" s="3" t="s">
        <v>39</v>
      </c>
    </row>
    <row r="30" customFormat="false" ht="15" hidden="false" customHeight="false" outlineLevel="0" collapsed="false">
      <c r="A30" s="5" t="s">
        <v>3</v>
      </c>
      <c r="B30" s="12" t="s">
        <v>40</v>
      </c>
      <c r="C30" s="12" t="s">
        <v>41</v>
      </c>
      <c r="D30" s="5" t="s">
        <v>42</v>
      </c>
      <c r="E30" s="5" t="s">
        <v>43</v>
      </c>
      <c r="G30" s="12" t="s">
        <v>44</v>
      </c>
      <c r="H30" s="12" t="s">
        <v>45</v>
      </c>
      <c r="I30" s="5" t="s">
        <v>42</v>
      </c>
      <c r="J30" s="5" t="s">
        <v>43</v>
      </c>
      <c r="K30" s="12" t="s">
        <v>46</v>
      </c>
      <c r="L30" s="12" t="s">
        <v>47</v>
      </c>
    </row>
    <row r="31" customFormat="false" ht="15" hidden="false" customHeight="false" outlineLevel="0" collapsed="false">
      <c r="A31" s="6" t="s">
        <v>11</v>
      </c>
      <c r="B31" s="7" t="n">
        <f aca="false">D8</f>
        <v>46.17252198</v>
      </c>
      <c r="C31" s="7" t="n">
        <f aca="false">G17</f>
        <v>31.7685314685315</v>
      </c>
      <c r="D31" s="7" t="n">
        <f aca="false">C31-B31</f>
        <v>-14.4039905114685</v>
      </c>
      <c r="E31" s="8" t="n">
        <f aca="false">IF(B31=0,0,D31/B31)</f>
        <v>-0.311960228590237</v>
      </c>
      <c r="G31" s="7" t="n">
        <f aca="false">H8</f>
        <v>13.6731004263636</v>
      </c>
      <c r="H31" s="7" t="n">
        <f aca="false">H17</f>
        <v>8.45850815850816</v>
      </c>
      <c r="I31" s="7" t="n">
        <f aca="false">H31-G31</f>
        <v>-5.21459226785548</v>
      </c>
      <c r="J31" s="8" t="n">
        <f aca="false">IF(G31=0,0,I31/G31)</f>
        <v>-0.381375994123544</v>
      </c>
      <c r="K31" s="8" t="n">
        <f aca="false">IF(B31=0,0,G31/B31)</f>
        <v>0.296130682059911</v>
      </c>
      <c r="L31" s="8" t="n">
        <f aca="false">IF(C31=0,0,H31/C31)</f>
        <v>0.266254301584157</v>
      </c>
    </row>
    <row r="32" customFormat="false" ht="15" hidden="false" customHeight="false" outlineLevel="0" collapsed="false">
      <c r="A32" s="6" t="s">
        <v>12</v>
      </c>
      <c r="B32" s="7" t="n">
        <f aca="false">D9</f>
        <v>46.97438848</v>
      </c>
      <c r="C32" s="7" t="n">
        <f aca="false">G18</f>
        <v>42.358041958042</v>
      </c>
      <c r="D32" s="7" t="n">
        <f aca="false">C32-B32</f>
        <v>-4.61634652195804</v>
      </c>
      <c r="E32" s="8" t="n">
        <f aca="false">IF(B32=0,0,D32/B32)</f>
        <v>-0.098273690650034</v>
      </c>
      <c r="G32" s="7" t="n">
        <f aca="false">H9</f>
        <v>6.04561462</v>
      </c>
      <c r="H32" s="7" t="n">
        <f aca="false">H18</f>
        <v>3.28600288600288</v>
      </c>
      <c r="I32" s="7" t="n">
        <f aca="false">H32-G32</f>
        <v>-2.75961173399712</v>
      </c>
      <c r="J32" s="8" t="n">
        <f aca="false">IF(G32=0,0,I32/G32)</f>
        <v>-0.456465042423944</v>
      </c>
      <c r="K32" s="8" t="n">
        <f aca="false">IF(B32=0,0,G32/B32)</f>
        <v>0.128700230394144</v>
      </c>
      <c r="L32" s="8" t="n">
        <f aca="false">IF(C32=0,0,H32/C32)</f>
        <v>0.0775768362772258</v>
      </c>
    </row>
    <row r="33" customFormat="false" ht="15" hidden="false" customHeight="false" outlineLevel="0" collapsed="false">
      <c r="A33" s="6" t="s">
        <v>13</v>
      </c>
      <c r="B33" s="7" t="n">
        <f aca="false">D10</f>
        <v>61.73418032</v>
      </c>
      <c r="C33" s="7" t="n">
        <f aca="false">G19</f>
        <v>46.2408624708625</v>
      </c>
      <c r="D33" s="7" t="n">
        <f aca="false">C33-B33</f>
        <v>-15.4933178491375</v>
      </c>
      <c r="E33" s="8" t="n">
        <f aca="false">IF(B33=0,0,D33/B33)</f>
        <v>-0.250968228116542</v>
      </c>
      <c r="G33" s="7" t="n">
        <f aca="false">H10</f>
        <v>18.20702282</v>
      </c>
      <c r="H33" s="7" t="n">
        <f aca="false">H19</f>
        <v>12.3118285418285</v>
      </c>
      <c r="I33" s="7" t="n">
        <f aca="false">H33-G33</f>
        <v>-5.89519427817145</v>
      </c>
      <c r="J33" s="8" t="n">
        <f aca="false">IF(G33=0,0,I33/G33)</f>
        <v>-0.323786834149278</v>
      </c>
      <c r="K33" s="8" t="n">
        <f aca="false">IF(B33=0,0,G33/B33)</f>
        <v>0.294926128858011</v>
      </c>
      <c r="L33" s="8" t="n">
        <f aca="false">IF(C33=0,0,H33/C33)</f>
        <v>0.266254301584157</v>
      </c>
    </row>
    <row r="34" customFormat="false" ht="15" hidden="false" customHeight="false" outlineLevel="0" collapsed="false">
      <c r="A34" s="17" t="s">
        <v>26</v>
      </c>
      <c r="B34" s="10" t="n">
        <f aca="false">SUM(B31:B33)</f>
        <v>154.88109078</v>
      </c>
      <c r="C34" s="10" t="n">
        <f aca="false">SUM(C31:C33)</f>
        <v>120.367435897436</v>
      </c>
      <c r="D34" s="10" t="n">
        <f aca="false">C34-B34</f>
        <v>-34.5136548825641</v>
      </c>
      <c r="E34" s="11" t="n">
        <f aca="false">IF(B34=0,0,D34/B34)</f>
        <v>-0.222839694043664</v>
      </c>
      <c r="G34" s="10" t="n">
        <f aca="false">SUM(G31:G33)</f>
        <v>37.9257378663636</v>
      </c>
      <c r="H34" s="10" t="n">
        <f aca="false">SUM(H31:H33)</f>
        <v>24.0563395863396</v>
      </c>
      <c r="I34" s="10" t="n">
        <f aca="false">H34-G34</f>
        <v>-13.8693982800241</v>
      </c>
      <c r="J34" s="11" t="n">
        <f aca="false">IF(G34=0,0,I34/G34)</f>
        <v>-0.365698838316468</v>
      </c>
      <c r="K34" s="11" t="n">
        <f aca="false">IF(B34=0,0,G34/B34)</f>
        <v>0.244870033361497</v>
      </c>
      <c r="L34" s="11" t="n">
        <f aca="false">IF(C34=0,0,H34/C34)</f>
        <v>0.199857539599313</v>
      </c>
    </row>
    <row r="35" customFormat="false" ht="15" hidden="false" customHeight="false" outlineLevel="0" collapsed="false">
      <c r="A35" s="6" t="s">
        <v>14</v>
      </c>
      <c r="B35" s="7" t="n">
        <f aca="false">D11</f>
        <v>33.27167615</v>
      </c>
      <c r="C35" s="7" t="n">
        <f aca="false">G21</f>
        <v>33.4</v>
      </c>
      <c r="D35" s="7" t="n">
        <f aca="false">C35-B35</f>
        <v>0.128323850000001</v>
      </c>
      <c r="E35" s="8" t="n">
        <f aca="false">IF(B35=0,0,D35/B35)</f>
        <v>0.00385684957443904</v>
      </c>
      <c r="G35" s="7" t="n">
        <f aca="false">H11</f>
        <v>10.95919115</v>
      </c>
      <c r="H35" s="7" t="n">
        <f aca="false">H21</f>
        <v>8.0969696969697</v>
      </c>
      <c r="I35" s="7" t="n">
        <f aca="false">H35-G35</f>
        <v>-2.8622214530303</v>
      </c>
      <c r="J35" s="8" t="n">
        <f aca="false">IF(G35=0,0,I35/G35)</f>
        <v>-0.261170866887407</v>
      </c>
      <c r="K35" s="8" t="n">
        <f aca="false">IF(B35=0,0,G35/B35)</f>
        <v>0.329385003045601</v>
      </c>
      <c r="L35" s="8" t="n">
        <f aca="false">IF(C35=0,0,H35/C35)</f>
        <v>0.242424242424242</v>
      </c>
    </row>
    <row r="36" customFormat="false" ht="15" hidden="false" customHeight="false" outlineLevel="0" collapsed="false">
      <c r="A36" s="9" t="s">
        <v>15</v>
      </c>
      <c r="B36" s="10" t="n">
        <f aca="false">B34+B35</f>
        <v>188.15276693</v>
      </c>
      <c r="C36" s="10" t="n">
        <f aca="false">C34+C35</f>
        <v>153.767435897436</v>
      </c>
      <c r="D36" s="10" t="n">
        <f aca="false">C36-B36</f>
        <v>-34.3853310325641</v>
      </c>
      <c r="E36" s="11" t="n">
        <f aca="false">IF(B36=0,0,D36/B36)</f>
        <v>-0.182752194366383</v>
      </c>
      <c r="G36" s="10" t="n">
        <f aca="false">G34+G35</f>
        <v>48.8849290163636</v>
      </c>
      <c r="H36" s="10" t="n">
        <f aca="false">H34+H35</f>
        <v>32.1533092833093</v>
      </c>
      <c r="I36" s="10" t="n">
        <f aca="false">H36-G36</f>
        <v>-16.7316197330544</v>
      </c>
      <c r="J36" s="11" t="n">
        <f aca="false">IF(G36=0,0,I36/G36)</f>
        <v>-0.34226539896281</v>
      </c>
      <c r="K36" s="11" t="n">
        <f aca="false">IF(B36=0,0,G36/B36)</f>
        <v>0.259815095010273</v>
      </c>
      <c r="L36" s="11" t="n">
        <f aca="false">IF(C36=0,0,H36/C36)</f>
        <v>0.209103501633179</v>
      </c>
    </row>
    <row r="38" customFormat="false" ht="16.4" hidden="false" customHeight="false" outlineLevel="0" collapsed="false">
      <c r="A38" s="3" t="s">
        <v>48</v>
      </c>
    </row>
    <row r="39" customFormat="false" ht="15" hidden="false" customHeight="false" outlineLevel="0" collapsed="false">
      <c r="A39" s="5" t="s">
        <v>3</v>
      </c>
      <c r="B39" s="12" t="s">
        <v>49</v>
      </c>
      <c r="C39" s="12" t="s">
        <v>50</v>
      </c>
      <c r="D39" s="12" t="s">
        <v>51</v>
      </c>
      <c r="E39" s="12" t="s">
        <v>52</v>
      </c>
      <c r="F39" s="12" t="s">
        <v>53</v>
      </c>
      <c r="G39" s="12" t="s">
        <v>54</v>
      </c>
      <c r="H39" s="12" t="s">
        <v>55</v>
      </c>
      <c r="I39" s="12" t="s">
        <v>56</v>
      </c>
      <c r="J39" s="12" t="s">
        <v>57</v>
      </c>
      <c r="K39" s="12" t="s">
        <v>58</v>
      </c>
      <c r="L39" s="12" t="s">
        <v>59</v>
      </c>
      <c r="M39" s="12" t="s">
        <v>60</v>
      </c>
      <c r="N39" s="5" t="s">
        <v>61</v>
      </c>
    </row>
    <row r="40" customFormat="false" ht="15" hidden="false" customHeight="false" outlineLevel="0" collapsed="false">
      <c r="A40" s="6" t="s">
        <v>11</v>
      </c>
      <c r="B40" s="24" t="n">
        <v>0.144</v>
      </c>
      <c r="C40" s="24" t="n">
        <v>0.113</v>
      </c>
      <c r="D40" s="24" t="n">
        <v>0.07</v>
      </c>
      <c r="E40" s="24" t="n">
        <v>0.063</v>
      </c>
      <c r="F40" s="24" t="n">
        <v>0.065</v>
      </c>
      <c r="G40" s="24" t="n">
        <v>0.074</v>
      </c>
      <c r="H40" s="24" t="n">
        <v>0.055</v>
      </c>
      <c r="I40" s="24" t="n">
        <v>0.059</v>
      </c>
      <c r="J40" s="24" t="n">
        <v>0.046</v>
      </c>
      <c r="K40" s="24" t="n">
        <v>0.076</v>
      </c>
      <c r="L40" s="24" t="n">
        <v>0.109</v>
      </c>
      <c r="M40" s="24" t="n">
        <v>0.126</v>
      </c>
      <c r="N40" s="25" t="n">
        <f aca="false">SUM(B40:M40)</f>
        <v>1</v>
      </c>
    </row>
    <row r="41" customFormat="false" ht="15" hidden="false" customHeight="false" outlineLevel="0" collapsed="false">
      <c r="A41" s="6" t="s">
        <v>12</v>
      </c>
      <c r="B41" s="24" t="n">
        <v>0.142</v>
      </c>
      <c r="C41" s="24" t="n">
        <v>0.081</v>
      </c>
      <c r="D41" s="24" t="n">
        <v>0.046</v>
      </c>
      <c r="E41" s="24" t="n">
        <v>0.053</v>
      </c>
      <c r="F41" s="24" t="n">
        <v>0.071</v>
      </c>
      <c r="G41" s="24" t="n">
        <v>0.065</v>
      </c>
      <c r="H41" s="24" t="n">
        <v>0.055</v>
      </c>
      <c r="I41" s="24" t="n">
        <v>0.063</v>
      </c>
      <c r="J41" s="24" t="n">
        <v>0.066</v>
      </c>
      <c r="K41" s="24" t="n">
        <v>0.129</v>
      </c>
      <c r="L41" s="24" t="n">
        <v>0.099</v>
      </c>
      <c r="M41" s="24" t="n">
        <v>0.13</v>
      </c>
      <c r="N41" s="25" t="n">
        <f aca="false">SUM(B41:M41)</f>
        <v>1</v>
      </c>
    </row>
    <row r="42" customFormat="false" ht="15" hidden="false" customHeight="false" outlineLevel="0" collapsed="false">
      <c r="A42" s="6" t="s">
        <v>13</v>
      </c>
      <c r="B42" s="24" t="n">
        <v>0.129</v>
      </c>
      <c r="C42" s="24" t="n">
        <v>0.112</v>
      </c>
      <c r="D42" s="24" t="n">
        <v>0.06</v>
      </c>
      <c r="E42" s="24" t="n">
        <v>0.076</v>
      </c>
      <c r="F42" s="24" t="n">
        <v>0.078</v>
      </c>
      <c r="G42" s="24" t="n">
        <v>0.062</v>
      </c>
      <c r="H42" s="24" t="n">
        <v>0.05</v>
      </c>
      <c r="I42" s="24" t="n">
        <v>0.053</v>
      </c>
      <c r="J42" s="24" t="n">
        <v>0.064</v>
      </c>
      <c r="K42" s="24" t="n">
        <v>0.081</v>
      </c>
      <c r="L42" s="24" t="n">
        <v>0.126</v>
      </c>
      <c r="M42" s="24" t="n">
        <v>0.109</v>
      </c>
      <c r="N42" s="25" t="n">
        <f aca="false">SUM(B42:M42)</f>
        <v>1</v>
      </c>
    </row>
    <row r="43" customFormat="false" ht="15" hidden="false" customHeight="false" outlineLevel="0" collapsed="false">
      <c r="A43" s="6" t="s">
        <v>14</v>
      </c>
      <c r="B43" s="24" t="n">
        <v>0.137</v>
      </c>
      <c r="C43" s="24" t="n">
        <v>0.106</v>
      </c>
      <c r="D43" s="24" t="n">
        <v>0.061</v>
      </c>
      <c r="E43" s="24" t="n">
        <v>0.067</v>
      </c>
      <c r="F43" s="24" t="n">
        <v>0.072</v>
      </c>
      <c r="G43" s="24" t="n">
        <v>0.066</v>
      </c>
      <c r="H43" s="24" t="n">
        <v>0.053</v>
      </c>
      <c r="I43" s="24" t="n">
        <v>0.057</v>
      </c>
      <c r="J43" s="24" t="n">
        <v>0.059</v>
      </c>
      <c r="K43" s="24" t="n">
        <v>0.089</v>
      </c>
      <c r="L43" s="24" t="n">
        <v>0.115</v>
      </c>
      <c r="M43" s="24" t="n">
        <v>0.118</v>
      </c>
      <c r="N43" s="25" t="n">
        <f aca="false">SUM(B43:M43)</f>
        <v>1</v>
      </c>
    </row>
    <row r="45" customFormat="false" ht="16.4" hidden="false" customHeight="false" outlineLevel="0" collapsed="false">
      <c r="A45" s="3" t="s">
        <v>62</v>
      </c>
    </row>
    <row r="46" customFormat="false" ht="15" hidden="false" customHeight="false" outlineLevel="0" collapsed="false">
      <c r="A46" s="5" t="s">
        <v>3</v>
      </c>
      <c r="B46" s="12" t="s">
        <v>49</v>
      </c>
      <c r="C46" s="12" t="s">
        <v>50</v>
      </c>
      <c r="D46" s="12" t="s">
        <v>51</v>
      </c>
      <c r="E46" s="12" t="s">
        <v>52</v>
      </c>
      <c r="F46" s="12" t="s">
        <v>53</v>
      </c>
      <c r="G46" s="12" t="s">
        <v>54</v>
      </c>
      <c r="H46" s="12" t="s">
        <v>55</v>
      </c>
      <c r="I46" s="12" t="s">
        <v>56</v>
      </c>
      <c r="J46" s="12" t="s">
        <v>57</v>
      </c>
      <c r="K46" s="12" t="s">
        <v>58</v>
      </c>
      <c r="L46" s="12" t="s">
        <v>59</v>
      </c>
      <c r="M46" s="12" t="s">
        <v>60</v>
      </c>
      <c r="N46" s="5" t="s">
        <v>61</v>
      </c>
    </row>
    <row r="47" customFormat="false" ht="15" hidden="false" customHeight="false" outlineLevel="0" collapsed="false">
      <c r="A47" s="6" t="s">
        <v>11</v>
      </c>
      <c r="B47" s="7" t="n">
        <f aca="false">$G$17*B40</f>
        <v>4.57466853146853</v>
      </c>
      <c r="C47" s="7" t="n">
        <f aca="false">$G$17*C40</f>
        <v>3.58984405594406</v>
      </c>
      <c r="D47" s="7" t="n">
        <f aca="false">$G$17*D40</f>
        <v>2.2237972027972</v>
      </c>
      <c r="E47" s="7" t="n">
        <f aca="false">$G$17*E40</f>
        <v>2.00141748251748</v>
      </c>
      <c r="F47" s="7" t="n">
        <f aca="false">$G$17*F40</f>
        <v>2.06495454545455</v>
      </c>
      <c r="G47" s="7" t="n">
        <f aca="false">$G$17*G40</f>
        <v>2.35087132867133</v>
      </c>
      <c r="H47" s="7" t="n">
        <f aca="false">$G$17*H40</f>
        <v>1.74726923076923</v>
      </c>
      <c r="I47" s="7" t="n">
        <f aca="false">$G$17*I40</f>
        <v>1.87434335664336</v>
      </c>
      <c r="J47" s="7" t="n">
        <f aca="false">$G$17*J40</f>
        <v>1.46135244755245</v>
      </c>
      <c r="K47" s="7" t="n">
        <f aca="false">$G$17*K40</f>
        <v>2.41440839160839</v>
      </c>
      <c r="L47" s="7" t="n">
        <f aca="false">$G$17*L40</f>
        <v>3.46276993006993</v>
      </c>
      <c r="M47" s="7" t="n">
        <f aca="false">$G$17*M40</f>
        <v>4.00283496503497</v>
      </c>
      <c r="N47" s="26" t="n">
        <f aca="false">SUM(B47:M47)</f>
        <v>31.7685314685315</v>
      </c>
    </row>
    <row r="48" customFormat="false" ht="15" hidden="false" customHeight="false" outlineLevel="0" collapsed="false">
      <c r="A48" s="6" t="s">
        <v>12</v>
      </c>
      <c r="B48" s="7" t="n">
        <f aca="false">$G$18*B41</f>
        <v>6.01484195804196</v>
      </c>
      <c r="C48" s="7" t="n">
        <f aca="false">$G$18*C41</f>
        <v>3.4310013986014</v>
      </c>
      <c r="D48" s="7" t="n">
        <f aca="false">$G$18*D41</f>
        <v>1.94846993006993</v>
      </c>
      <c r="E48" s="7" t="n">
        <f aca="false">$G$18*E41</f>
        <v>2.24497622377622</v>
      </c>
      <c r="F48" s="7" t="n">
        <f aca="false">$G$18*F41</f>
        <v>3.00742097902098</v>
      </c>
      <c r="G48" s="7" t="n">
        <f aca="false">$G$18*G41</f>
        <v>2.75327272727273</v>
      </c>
      <c r="H48" s="7" t="n">
        <f aca="false">$G$18*H41</f>
        <v>2.32969230769231</v>
      </c>
      <c r="I48" s="7" t="n">
        <f aca="false">$G$18*I41</f>
        <v>2.66855664335664</v>
      </c>
      <c r="J48" s="7" t="n">
        <f aca="false">$G$18*J41</f>
        <v>2.79563076923077</v>
      </c>
      <c r="K48" s="7" t="n">
        <f aca="false">$G$18*K41</f>
        <v>5.46418741258741</v>
      </c>
      <c r="L48" s="7" t="n">
        <f aca="false">$G$18*L41</f>
        <v>4.19344615384615</v>
      </c>
      <c r="M48" s="7" t="n">
        <f aca="false">$G$18*M41</f>
        <v>5.50654545454546</v>
      </c>
      <c r="N48" s="26" t="n">
        <f aca="false">SUM(B48:M48)</f>
        <v>42.358041958042</v>
      </c>
    </row>
    <row r="49" customFormat="false" ht="15" hidden="false" customHeight="false" outlineLevel="0" collapsed="false">
      <c r="A49" s="6" t="s">
        <v>13</v>
      </c>
      <c r="B49" s="7" t="n">
        <f aca="false">$G$19*B42</f>
        <v>5.96507125874126</v>
      </c>
      <c r="C49" s="7" t="n">
        <f aca="false">$G$19*C42</f>
        <v>5.1789765967366</v>
      </c>
      <c r="D49" s="7" t="n">
        <f aca="false">$G$19*D42</f>
        <v>2.77445174825175</v>
      </c>
      <c r="E49" s="7" t="n">
        <f aca="false">$G$19*E42</f>
        <v>3.51430554778555</v>
      </c>
      <c r="F49" s="7" t="n">
        <f aca="false">$G$19*F42</f>
        <v>3.60678727272727</v>
      </c>
      <c r="G49" s="7" t="n">
        <f aca="false">$G$19*G42</f>
        <v>2.86693347319347</v>
      </c>
      <c r="H49" s="7" t="n">
        <f aca="false">$G$19*H42</f>
        <v>2.31204312354312</v>
      </c>
      <c r="I49" s="7" t="n">
        <f aca="false">$G$19*I42</f>
        <v>2.45076571095571</v>
      </c>
      <c r="J49" s="7" t="n">
        <f aca="false">$G$19*J42</f>
        <v>2.9594151981352</v>
      </c>
      <c r="K49" s="7" t="n">
        <f aca="false">$G$19*K42</f>
        <v>3.74550986013986</v>
      </c>
      <c r="L49" s="7" t="n">
        <f aca="false">$G$19*L42</f>
        <v>5.82634867132867</v>
      </c>
      <c r="M49" s="7" t="n">
        <f aca="false">$G$19*M42</f>
        <v>5.04025400932401</v>
      </c>
      <c r="N49" s="26" t="n">
        <f aca="false">SUM(B49:M49)</f>
        <v>46.2408624708625</v>
      </c>
    </row>
    <row r="50" customFormat="false" ht="15" hidden="false" customHeight="false" outlineLevel="0" collapsed="false">
      <c r="A50" s="6" t="s">
        <v>14</v>
      </c>
      <c r="B50" s="7" t="n">
        <f aca="false">$G$21*B43</f>
        <v>4.5758</v>
      </c>
      <c r="C50" s="7" t="n">
        <f aca="false">$G$21*C43</f>
        <v>3.5404</v>
      </c>
      <c r="D50" s="7" t="n">
        <f aca="false">$G$21*D43</f>
        <v>2.0374</v>
      </c>
      <c r="E50" s="7" t="n">
        <f aca="false">$G$21*E43</f>
        <v>2.2378</v>
      </c>
      <c r="F50" s="7" t="n">
        <f aca="false">$G$21*F43</f>
        <v>2.4048</v>
      </c>
      <c r="G50" s="7" t="n">
        <f aca="false">$G$21*G43</f>
        <v>2.2044</v>
      </c>
      <c r="H50" s="7" t="n">
        <f aca="false">$G$21*H43</f>
        <v>1.7702</v>
      </c>
      <c r="I50" s="7" t="n">
        <f aca="false">$G$21*I43</f>
        <v>1.9038</v>
      </c>
      <c r="J50" s="7" t="n">
        <f aca="false">$G$21*J43</f>
        <v>1.9706</v>
      </c>
      <c r="K50" s="7" t="n">
        <f aca="false">$G$21*K43</f>
        <v>2.9726</v>
      </c>
      <c r="L50" s="7" t="n">
        <f aca="false">$G$21*L43</f>
        <v>3.841</v>
      </c>
      <c r="M50" s="7" t="n">
        <f aca="false">$G$21*M43</f>
        <v>3.9412</v>
      </c>
      <c r="N50" s="26" t="n">
        <f aca="false">SUM(B50:M50)</f>
        <v>33.4</v>
      </c>
    </row>
    <row r="51" customFormat="false" ht="15" hidden="false" customHeight="false" outlineLevel="0" collapsed="false">
      <c r="A51" s="9" t="s">
        <v>15</v>
      </c>
      <c r="B51" s="10" t="n">
        <f aca="false">SUM(B47:B50)</f>
        <v>21.1303817482518</v>
      </c>
      <c r="C51" s="10" t="n">
        <f aca="false">SUM(C47:C50)</f>
        <v>15.7402220512821</v>
      </c>
      <c r="D51" s="10" t="n">
        <f aca="false">SUM(D47:D50)</f>
        <v>8.98411888111888</v>
      </c>
      <c r="E51" s="10" t="n">
        <f aca="false">SUM(E47:E50)</f>
        <v>9.99849925407925</v>
      </c>
      <c r="F51" s="10" t="n">
        <f aca="false">SUM(F47:F50)</f>
        <v>11.0839627972028</v>
      </c>
      <c r="G51" s="10" t="n">
        <f aca="false">SUM(G47:G50)</f>
        <v>10.1754775291375</v>
      </c>
      <c r="H51" s="10" t="n">
        <f aca="false">SUM(H47:H50)</f>
        <v>8.15920466200466</v>
      </c>
      <c r="I51" s="10" t="n">
        <f aca="false">SUM(I47:I50)</f>
        <v>8.89746571095571</v>
      </c>
      <c r="J51" s="10" t="n">
        <f aca="false">SUM(J47:J50)</f>
        <v>9.18699841491842</v>
      </c>
      <c r="K51" s="10" t="n">
        <f aca="false">SUM(K47:K50)</f>
        <v>14.5967056643357</v>
      </c>
      <c r="L51" s="10" t="n">
        <f aca="false">SUM(L47:L50)</f>
        <v>17.3235647552448</v>
      </c>
      <c r="M51" s="10" t="n">
        <f aca="false">SUM(M47:M50)</f>
        <v>18.4908344289044</v>
      </c>
      <c r="N51" s="10" t="n">
        <f aca="false">SUM(N47:N50)</f>
        <v>153.767435897436</v>
      </c>
    </row>
  </sheetData>
  <conditionalFormatting sqref="N40:N43">
    <cfRule type="expression" priority="2" aboveAverage="0" equalAverage="0" bottom="0" percent="0" rank="0" text="" dxfId="0">
      <formula>ABS($N40-1)&gt;0.0005</formula>
    </cfRule>
  </conditionalFormatting>
  <printOptions headings="false" gridLines="false" gridLinesSet="true" horizontalCentered="true" verticalCentered="false"/>
  <pageMargins left="0.4" right="0.4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150"/>
  </cols>
  <sheetData>
    <row r="1" customFormat="false" ht="19.4" hidden="false" customHeight="false" outlineLevel="0" collapsed="false">
      <c r="A1" s="27" t="s">
        <v>63</v>
      </c>
    </row>
    <row r="3" customFormat="false" ht="14.9" hidden="false" customHeight="false" outlineLevel="0" collapsed="false">
      <c r="A3" s="28" t="s">
        <v>64</v>
      </c>
    </row>
    <row r="4" customFormat="false" ht="14.9" hidden="false" customHeight="false" outlineLevel="0" collapsed="false">
      <c r="A4" s="29" t="s">
        <v>65</v>
      </c>
    </row>
    <row r="5" customFormat="false" ht="14.9" hidden="false" customHeight="false" outlineLevel="0" collapsed="false">
      <c r="A5" s="29" t="s">
        <v>66</v>
      </c>
    </row>
    <row r="6" customFormat="false" ht="14.9" hidden="false" customHeight="false" outlineLevel="0" collapsed="false">
      <c r="A6" s="29" t="s">
        <v>67</v>
      </c>
    </row>
    <row r="7" customFormat="false" ht="14.9" hidden="false" customHeight="false" outlineLevel="0" collapsed="false">
      <c r="A7" s="29" t="s">
        <v>68</v>
      </c>
    </row>
    <row r="8" customFormat="false" ht="14.9" hidden="false" customHeight="false" outlineLevel="0" collapsed="false">
      <c r="A8" s="29" t="s">
        <v>69</v>
      </c>
    </row>
    <row r="9" customFormat="false" ht="14.9" hidden="false" customHeight="false" outlineLevel="0" collapsed="false">
      <c r="A9" s="28" t="s">
        <v>70</v>
      </c>
    </row>
    <row r="10" customFormat="false" ht="14.9" hidden="false" customHeight="false" outlineLevel="0" collapsed="false">
      <c r="A10" s="29" t="s">
        <v>71</v>
      </c>
    </row>
    <row r="11" customFormat="false" ht="14.9" hidden="false" customHeight="false" outlineLevel="0" collapsed="false">
      <c r="A11" s="29" t="s">
        <v>72</v>
      </c>
    </row>
    <row r="12" customFormat="false" ht="14.9" hidden="false" customHeight="false" outlineLevel="0" collapsed="false">
      <c r="A12" s="30" t="s">
        <v>73</v>
      </c>
    </row>
    <row r="13" customFormat="false" ht="14.9" hidden="false" customHeight="false" outlineLevel="0" collapsed="false">
      <c r="A13" s="29" t="s">
        <v>74</v>
      </c>
    </row>
    <row r="14" customFormat="false" ht="14.9" hidden="false" customHeight="false" outlineLevel="0" collapsed="false">
      <c r="A14" s="29" t="s">
        <v>75</v>
      </c>
    </row>
    <row r="15" customFormat="false" ht="14.9" hidden="false" customHeight="false" outlineLevel="0" collapsed="false">
      <c r="A15" s="28" t="s">
        <v>76</v>
      </c>
    </row>
    <row r="16" customFormat="false" ht="14.9" hidden="false" customHeight="false" outlineLevel="0" collapsed="false">
      <c r="A16" s="30" t="s">
        <v>77</v>
      </c>
    </row>
    <row r="18" customFormat="false" ht="14.9" hidden="false" customHeight="false" outlineLevel="0" collapsed="false">
      <c r="A18" s="28" t="s">
        <v>78</v>
      </c>
    </row>
    <row r="19" customFormat="false" ht="14.9" hidden="false" customHeight="false" outlineLevel="0" collapsed="false">
      <c r="A19" s="30" t="s">
        <v>79</v>
      </c>
    </row>
    <row r="20" customFormat="false" ht="14.9" hidden="false" customHeight="false" outlineLevel="0" collapsed="false">
      <c r="A20" s="30" t="s">
        <v>80</v>
      </c>
    </row>
    <row r="22" customFormat="false" ht="15" hidden="false" customHeight="false" outlineLevel="0" collapsed="false">
      <c r="A22" s="31" t="s">
        <v>81</v>
      </c>
    </row>
    <row r="23" customFormat="false" ht="14.9" hidden="false" customHeight="false" outlineLevel="0" collapsed="false">
      <c r="A23" s="32" t="str">
        <f aca="false">COUNTIF(RAW_2026!P:P,"*택가보정*")&amp;"행 택가 보정 / "&amp;COUNTIF(RAW_2026!P:P,"*원가보정*")&amp;"행 원가 보정 / "&amp;COUNTIF(RAW_2026!P:P,"*공급가보정*")&amp;"행 해외공급가 보정 / "&amp;COUNTIF(RAW_2026!P:P,"*중국공급가*")&amp;"행 중국공급가=원가+마진 (RAW_2026)  ·  "&amp;COUNTIF(RAW_판매펀칭!O:O,"택가보정*")&amp;"행 택가 보정 (RAW_판매펀칭)"</f>
        <v>88행 택가 보정 / 6행 원가 보정 / 16행 해외공급가 보정 / 170행 중국공급가=원가+마진 (RAW_2026)  ·  1행 택가 보정 (RAW_판매펀칭)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7" min="5" style="0" width="7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40"/>
    <col collapsed="false" customWidth="true" hidden="false" outlineLevel="0" max="11" min="11" style="0" width="9"/>
    <col collapsed="false" customWidth="true" hidden="false" outlineLevel="0" max="14" min="12" style="0" width="16"/>
    <col collapsed="false" customWidth="true" hidden="false" outlineLevel="0" max="15" min="15" style="0" width="24"/>
    <col collapsed="false" customWidth="true" hidden="false" outlineLevel="0" max="16" min="16" style="0" width="18"/>
  </cols>
  <sheetData>
    <row r="1" customFormat="false" ht="15" hidden="false" customHeight="false" outlineLevel="0" collapsed="false">
      <c r="A1" s="33" t="s">
        <v>3</v>
      </c>
      <c r="B1" s="33" t="s">
        <v>82</v>
      </c>
      <c r="C1" s="33" t="s">
        <v>83</v>
      </c>
      <c r="D1" s="33" t="s">
        <v>84</v>
      </c>
      <c r="E1" s="33" t="s">
        <v>85</v>
      </c>
      <c r="F1" s="33" t="s">
        <v>86</v>
      </c>
      <c r="G1" s="33" t="s">
        <v>87</v>
      </c>
      <c r="H1" s="33" t="s">
        <v>88</v>
      </c>
      <c r="I1" s="33" t="s">
        <v>89</v>
      </c>
      <c r="J1" s="33" t="s">
        <v>90</v>
      </c>
      <c r="K1" s="33" t="s">
        <v>91</v>
      </c>
      <c r="L1" s="34" t="s">
        <v>92</v>
      </c>
      <c r="M1" s="33" t="s">
        <v>93</v>
      </c>
      <c r="N1" s="34" t="s">
        <v>94</v>
      </c>
      <c r="O1" s="33" t="s">
        <v>95</v>
      </c>
      <c r="P1" s="33" t="s">
        <v>96</v>
      </c>
      <c r="Q1" s="35" t="s">
        <v>97</v>
      </c>
    </row>
    <row r="2" customFormat="false" ht="15" hidden="false" customHeight="false" outlineLevel="0" collapsed="false">
      <c r="A2" s="32" t="str">
        <f aca="false">IF(OR(TRIM(C2)="",SUBSTITUTE(C2," ","")="소계"),"제외",IF(ISNUMBER(SEARCH("홍콩",C2)),"HK",IF(ISNUMBER(SEARCH("상해",C2)),"CN",IF(ISNUMBER(SEARCH("대만",C2)),"TW","홀세일"))))</f>
        <v>TW</v>
      </c>
      <c r="B2" s="36" t="s">
        <v>98</v>
      </c>
      <c r="C2" s="36" t="s">
        <v>99</v>
      </c>
      <c r="D2" s="36" t="s">
        <v>100</v>
      </c>
      <c r="E2" s="36" t="n">
        <v>2026</v>
      </c>
      <c r="F2" s="37" t="s">
        <v>101</v>
      </c>
      <c r="G2" s="37" t="s">
        <v>102</v>
      </c>
      <c r="H2" s="36" t="s">
        <v>100</v>
      </c>
      <c r="I2" s="36" t="s">
        <v>103</v>
      </c>
      <c r="J2" s="37" t="s">
        <v>104</v>
      </c>
      <c r="K2" s="38" t="n">
        <v>210</v>
      </c>
      <c r="L2" s="38" t="n">
        <v>29190000</v>
      </c>
      <c r="M2" s="38" t="n">
        <v>11280150</v>
      </c>
      <c r="N2" s="39" t="n">
        <f aca="false">IF(A2="제외",0,IF(OR(N(L2)&lt;=0,N(M2)&gt;N(L2)),N(M2)/요약!$D$27,N(L2)))</f>
        <v>29190000</v>
      </c>
      <c r="O2" s="32" t="str">
        <f aca="false">IF(A2="제외","",IF(OR(N(L2)&lt;=0,N(M2)&gt;N(L2)),"택가보정(판매금액÷공급율)",""))</f>
        <v/>
      </c>
      <c r="P2" s="0" t="str">
        <f aca="false">IF(A2="HK","100",IF(A2="CN","200",IF(A2="TW","300",IF(ISNUMBER(SEARCH("태국",C2)),"500",IF(ISNUMBER(SEARCH("말레이",C2)),"600",IF(ISNUMBER(SEARCH("필리핀",C2)),"700",IF(ISNUMBER(SEARCH("인도네시아",C2)),"800",IF(ISNUMBER(SEARCH("크루즈",C2)),"810",IF(ISNUMBER(SEARCH("동물원",C2)),"830","")))))))))</f>
        <v>300</v>
      </c>
      <c r="Q2" s="40" t="s">
        <v>105</v>
      </c>
    </row>
    <row r="3" customFormat="false" ht="15" hidden="false" customHeight="false" outlineLevel="0" collapsed="false">
      <c r="A3" s="32" t="str">
        <f aca="false">IF(OR(TRIM(C3)="",SUBSTITUTE(C3," ","")="소계"),"제외",IF(ISNUMBER(SEARCH("홍콩",C3)),"HK",IF(ISNUMBER(SEARCH("상해",C3)),"CN",IF(ISNUMBER(SEARCH("대만",C3)),"TW","홀세일"))))</f>
        <v>TW</v>
      </c>
      <c r="B3" s="36" t="s">
        <v>98</v>
      </c>
      <c r="C3" s="36" t="s">
        <v>99</v>
      </c>
      <c r="D3" s="36" t="s">
        <v>100</v>
      </c>
      <c r="E3" s="36" t="n">
        <v>2026</v>
      </c>
      <c r="F3" s="37" t="s">
        <v>101</v>
      </c>
      <c r="G3" s="37" t="s">
        <v>102</v>
      </c>
      <c r="H3" s="36" t="s">
        <v>100</v>
      </c>
      <c r="I3" s="36" t="s">
        <v>106</v>
      </c>
      <c r="J3" s="37" t="s">
        <v>107</v>
      </c>
      <c r="K3" s="38" t="n">
        <v>120</v>
      </c>
      <c r="L3" s="38" t="n">
        <v>19080000</v>
      </c>
      <c r="M3" s="38" t="n">
        <v>7371720</v>
      </c>
      <c r="N3" s="39" t="n">
        <f aca="false">IF(A3="제외",0,IF(OR(N(L3)&lt;=0,N(M3)&gt;N(L3)),N(M3)/요약!$D$27,N(L3)))</f>
        <v>19080000</v>
      </c>
      <c r="O3" s="32" t="str">
        <f aca="false">IF(A3="제외","",IF(OR(N(L3)&lt;=0,N(M3)&gt;N(L3)),"택가보정(판매금액÷공급율)",""))</f>
        <v/>
      </c>
      <c r="P3" s="0" t="str">
        <f aca="false">IF(A3="HK","100",IF(A3="CN","200",IF(A3="TW","300",IF(ISNUMBER(SEARCH("태국",C3)),"500",IF(ISNUMBER(SEARCH("말레이",C3)),"600",IF(ISNUMBER(SEARCH("필리핀",C3)),"700",IF(ISNUMBER(SEARCH("인도네시아",C3)),"800",IF(ISNUMBER(SEARCH("크루즈",C3)),"810",IF(ISNUMBER(SEARCH("동물원",C3)),"830","")))))))))</f>
        <v>300</v>
      </c>
    </row>
    <row r="4" customFormat="false" ht="15" hidden="false" customHeight="false" outlineLevel="0" collapsed="false">
      <c r="A4" s="32" t="str">
        <f aca="false">IF(OR(TRIM(C4)="",SUBSTITUTE(C4," ","")="소계"),"제외",IF(ISNUMBER(SEARCH("홍콩",C4)),"HK",IF(ISNUMBER(SEARCH("상해",C4)),"CN",IF(ISNUMBER(SEARCH("대만",C4)),"TW","홀세일"))))</f>
        <v>TW</v>
      </c>
      <c r="B4" s="36" t="s">
        <v>98</v>
      </c>
      <c r="C4" s="36" t="s">
        <v>99</v>
      </c>
      <c r="D4" s="36" t="s">
        <v>100</v>
      </c>
      <c r="E4" s="36" t="n">
        <v>2026</v>
      </c>
      <c r="F4" s="37" t="s">
        <v>101</v>
      </c>
      <c r="G4" s="37" t="s">
        <v>102</v>
      </c>
      <c r="H4" s="36" t="s">
        <v>100</v>
      </c>
      <c r="I4" s="36" t="s">
        <v>108</v>
      </c>
      <c r="J4" s="37" t="s">
        <v>109</v>
      </c>
      <c r="K4" s="38" t="n">
        <v>150</v>
      </c>
      <c r="L4" s="38" t="n">
        <v>22350000</v>
      </c>
      <c r="M4" s="38" t="n">
        <v>8646900</v>
      </c>
      <c r="N4" s="39" t="n">
        <f aca="false">IF(A4="제외",0,IF(OR(N(L4)&lt;=0,N(M4)&gt;N(L4)),N(M4)/요약!$D$27,N(L4)))</f>
        <v>22350000</v>
      </c>
      <c r="O4" s="32" t="str">
        <f aca="false">IF(A4="제외","",IF(OR(N(L4)&lt;=0,N(M4)&gt;N(L4)),"택가보정(판매금액÷공급율)",""))</f>
        <v/>
      </c>
      <c r="P4" s="0" t="str">
        <f aca="false">IF(A4="HK","100",IF(A4="CN","200",IF(A4="TW","300",IF(ISNUMBER(SEARCH("태국",C4)),"500",IF(ISNUMBER(SEARCH("말레이",C4)),"600",IF(ISNUMBER(SEARCH("필리핀",C4)),"700",IF(ISNUMBER(SEARCH("인도네시아",C4)),"800",IF(ISNUMBER(SEARCH("크루즈",C4)),"810",IF(ISNUMBER(SEARCH("동물원",C4)),"830","")))))))))</f>
        <v>300</v>
      </c>
    </row>
    <row r="5" customFormat="false" ht="15" hidden="false" customHeight="false" outlineLevel="0" collapsed="false">
      <c r="A5" s="32" t="str">
        <f aca="false">IF(OR(TRIM(C5)="",SUBSTITUTE(C5," ","")="소계"),"제외",IF(ISNUMBER(SEARCH("홍콩",C5)),"HK",IF(ISNUMBER(SEARCH("상해",C5)),"CN",IF(ISNUMBER(SEARCH("대만",C5)),"TW","홀세일"))))</f>
        <v>TW</v>
      </c>
      <c r="B5" s="36" t="s">
        <v>98</v>
      </c>
      <c r="C5" s="36" t="s">
        <v>99</v>
      </c>
      <c r="D5" s="36" t="s">
        <v>100</v>
      </c>
      <c r="E5" s="36" t="n">
        <v>2026</v>
      </c>
      <c r="F5" s="36" t="s">
        <v>110</v>
      </c>
      <c r="G5" s="37" t="s">
        <v>102</v>
      </c>
      <c r="H5" s="36" t="s">
        <v>100</v>
      </c>
      <c r="I5" s="36" t="s">
        <v>111</v>
      </c>
      <c r="J5" s="36" t="s">
        <v>112</v>
      </c>
      <c r="K5" s="38" t="n">
        <v>80</v>
      </c>
      <c r="L5" s="38" t="n">
        <v>6320000</v>
      </c>
      <c r="M5" s="38" t="n">
        <v>2459680</v>
      </c>
      <c r="N5" s="39" t="n">
        <f aca="false">IF(A5="제외",0,IF(OR(N(L5)&lt;=0,N(M5)&gt;N(L5)),N(M5)/요약!$D$27,N(L5)))</f>
        <v>6320000</v>
      </c>
      <c r="O5" s="32" t="str">
        <f aca="false">IF(A5="제외","",IF(OR(N(L5)&lt;=0,N(M5)&gt;N(L5)),"택가보정(판매금액÷공급율)",""))</f>
        <v/>
      </c>
      <c r="P5" s="0" t="str">
        <f aca="false">IF(A5="HK","100",IF(A5="CN","200",IF(A5="TW","300",IF(ISNUMBER(SEARCH("태국",C5)),"500",IF(ISNUMBER(SEARCH("말레이",C5)),"600",IF(ISNUMBER(SEARCH("필리핀",C5)),"700",IF(ISNUMBER(SEARCH("인도네시아",C5)),"800",IF(ISNUMBER(SEARCH("크루즈",C5)),"810",IF(ISNUMBER(SEARCH("동물원",C5)),"830","")))))))))</f>
        <v>300</v>
      </c>
    </row>
    <row r="6" customFormat="false" ht="15" hidden="false" customHeight="false" outlineLevel="0" collapsed="false">
      <c r="A6" s="32" t="str">
        <f aca="false">IF(OR(TRIM(C6)="",SUBSTITUTE(C6," ","")="소계"),"제외",IF(ISNUMBER(SEARCH("홍콩",C6)),"HK",IF(ISNUMBER(SEARCH("상해",C6)),"CN",IF(ISNUMBER(SEARCH("대만",C6)),"TW","홀세일"))))</f>
        <v>TW</v>
      </c>
      <c r="B6" s="36" t="s">
        <v>98</v>
      </c>
      <c r="C6" s="36" t="s">
        <v>99</v>
      </c>
      <c r="D6" s="36" t="s">
        <v>100</v>
      </c>
      <c r="E6" s="36" t="n">
        <v>2026</v>
      </c>
      <c r="F6" s="36" t="s">
        <v>110</v>
      </c>
      <c r="G6" s="37" t="s">
        <v>102</v>
      </c>
      <c r="H6" s="36" t="s">
        <v>100</v>
      </c>
      <c r="I6" s="36" t="s">
        <v>113</v>
      </c>
      <c r="J6" s="36" t="s">
        <v>114</v>
      </c>
      <c r="K6" s="38" t="n">
        <v>80</v>
      </c>
      <c r="L6" s="38" t="n">
        <v>6320000</v>
      </c>
      <c r="M6" s="38" t="n">
        <v>2445600</v>
      </c>
      <c r="N6" s="39" t="n">
        <f aca="false">IF(A6="제외",0,IF(OR(N(L6)&lt;=0,N(M6)&gt;N(L6)),N(M6)/요약!$D$27,N(L6)))</f>
        <v>6320000</v>
      </c>
      <c r="O6" s="32" t="str">
        <f aca="false">IF(A6="제외","",IF(OR(N(L6)&lt;=0,N(M6)&gt;N(L6)),"택가보정(판매금액÷공급율)",""))</f>
        <v/>
      </c>
      <c r="P6" s="0" t="str">
        <f aca="false">IF(A6="HK","100",IF(A6="CN","200",IF(A6="TW","300",IF(ISNUMBER(SEARCH("태국",C6)),"500",IF(ISNUMBER(SEARCH("말레이",C6)),"600",IF(ISNUMBER(SEARCH("필리핀",C6)),"700",IF(ISNUMBER(SEARCH("인도네시아",C6)),"800",IF(ISNUMBER(SEARCH("크루즈",C6)),"810",IF(ISNUMBER(SEARCH("동물원",C6)),"830","")))))))))</f>
        <v>300</v>
      </c>
    </row>
    <row r="7" customFormat="false" ht="15" hidden="false" customHeight="false" outlineLevel="0" collapsed="false">
      <c r="A7" s="32" t="str">
        <f aca="false">IF(OR(TRIM(C7)="",SUBSTITUTE(C7," ","")="소계"),"제외",IF(ISNUMBER(SEARCH("홍콩",C7)),"HK",IF(ISNUMBER(SEARCH("상해",C7)),"CN",IF(ISNUMBER(SEARCH("대만",C7)),"TW","홀세일"))))</f>
        <v>TW</v>
      </c>
      <c r="B7" s="36" t="s">
        <v>98</v>
      </c>
      <c r="C7" s="36" t="s">
        <v>99</v>
      </c>
      <c r="D7" s="36" t="s">
        <v>100</v>
      </c>
      <c r="E7" s="36" t="n">
        <v>2026</v>
      </c>
      <c r="F7" s="36" t="s">
        <v>110</v>
      </c>
      <c r="G7" s="37" t="s">
        <v>102</v>
      </c>
      <c r="H7" s="36" t="s">
        <v>100</v>
      </c>
      <c r="I7" s="36" t="s">
        <v>115</v>
      </c>
      <c r="J7" s="36" t="s">
        <v>116</v>
      </c>
      <c r="K7" s="38" t="n">
        <v>80</v>
      </c>
      <c r="L7" s="38" t="n">
        <v>2320000</v>
      </c>
      <c r="M7" s="38" t="n">
        <v>896720</v>
      </c>
      <c r="N7" s="39" t="n">
        <f aca="false">IF(A7="제외",0,IF(OR(N(L7)&lt;=0,N(M7)&gt;N(L7)),N(M7)/요약!$D$27,N(L7)))</f>
        <v>2320000</v>
      </c>
      <c r="O7" s="32" t="str">
        <f aca="false">IF(A7="제외","",IF(OR(N(L7)&lt;=0,N(M7)&gt;N(L7)),"택가보정(판매금액÷공급율)",""))</f>
        <v/>
      </c>
      <c r="P7" s="0" t="str">
        <f aca="false">IF(A7="HK","100",IF(A7="CN","200",IF(A7="TW","300",IF(ISNUMBER(SEARCH("태국",C7)),"500",IF(ISNUMBER(SEARCH("말레이",C7)),"600",IF(ISNUMBER(SEARCH("필리핀",C7)),"700",IF(ISNUMBER(SEARCH("인도네시아",C7)),"800",IF(ISNUMBER(SEARCH("크루즈",C7)),"810",IF(ISNUMBER(SEARCH("동물원",C7)),"830","")))))))))</f>
        <v>300</v>
      </c>
    </row>
    <row r="8" customFormat="false" ht="15" hidden="false" customHeight="false" outlineLevel="0" collapsed="false">
      <c r="A8" s="32" t="str">
        <f aca="false">IF(OR(TRIM(C8)="",SUBSTITUTE(C8," ","")="소계"),"제외",IF(ISNUMBER(SEARCH("홍콩",C8)),"HK",IF(ISNUMBER(SEARCH("상해",C8)),"CN",IF(ISNUMBER(SEARCH("대만",C8)),"TW","홀세일"))))</f>
        <v>TW</v>
      </c>
      <c r="B8" s="36" t="s">
        <v>98</v>
      </c>
      <c r="C8" s="36" t="s">
        <v>99</v>
      </c>
      <c r="D8" s="36" t="s">
        <v>100</v>
      </c>
      <c r="E8" s="36" t="n">
        <v>2026</v>
      </c>
      <c r="F8" s="36" t="s">
        <v>110</v>
      </c>
      <c r="G8" s="37" t="s">
        <v>102</v>
      </c>
      <c r="H8" s="36" t="s">
        <v>100</v>
      </c>
      <c r="I8" s="36" t="s">
        <v>117</v>
      </c>
      <c r="J8" s="36" t="s">
        <v>118</v>
      </c>
      <c r="K8" s="38" t="n">
        <v>150</v>
      </c>
      <c r="L8" s="38" t="n">
        <v>8850000</v>
      </c>
      <c r="M8" s="38" t="n">
        <v>3447900</v>
      </c>
      <c r="N8" s="39" t="n">
        <f aca="false">IF(A8="제외",0,IF(OR(N(L8)&lt;=0,N(M8)&gt;N(L8)),N(M8)/요약!$D$27,N(L8)))</f>
        <v>8850000</v>
      </c>
      <c r="O8" s="32" t="str">
        <f aca="false">IF(A8="제외","",IF(OR(N(L8)&lt;=0,N(M8)&gt;N(L8)),"택가보정(판매금액÷공급율)",""))</f>
        <v/>
      </c>
      <c r="P8" s="0" t="str">
        <f aca="false">IF(A8="HK","100",IF(A8="CN","200",IF(A8="TW","300",IF(ISNUMBER(SEARCH("태국",C8)),"500",IF(ISNUMBER(SEARCH("말레이",C8)),"600",IF(ISNUMBER(SEARCH("필리핀",C8)),"700",IF(ISNUMBER(SEARCH("인도네시아",C8)),"800",IF(ISNUMBER(SEARCH("크루즈",C8)),"810",IF(ISNUMBER(SEARCH("동물원",C8)),"830","")))))))))</f>
        <v>300</v>
      </c>
    </row>
    <row r="9" customFormat="false" ht="15" hidden="false" customHeight="false" outlineLevel="0" collapsed="false">
      <c r="A9" s="32" t="str">
        <f aca="false">IF(OR(TRIM(C9)="",SUBSTITUTE(C9," ","")="소계"),"제외",IF(ISNUMBER(SEARCH("홍콩",C9)),"HK",IF(ISNUMBER(SEARCH("상해",C9)),"CN",IF(ISNUMBER(SEARCH("대만",C9)),"TW","홀세일"))))</f>
        <v>TW</v>
      </c>
      <c r="B9" s="36" t="s">
        <v>98</v>
      </c>
      <c r="C9" s="36" t="s">
        <v>99</v>
      </c>
      <c r="D9" s="36" t="s">
        <v>100</v>
      </c>
      <c r="E9" s="36" t="n">
        <v>2026</v>
      </c>
      <c r="F9" s="36" t="s">
        <v>110</v>
      </c>
      <c r="G9" s="37" t="s">
        <v>102</v>
      </c>
      <c r="H9" s="36" t="s">
        <v>100</v>
      </c>
      <c r="I9" s="36" t="s">
        <v>119</v>
      </c>
      <c r="J9" s="36" t="s">
        <v>120</v>
      </c>
      <c r="K9" s="38" t="n">
        <v>150</v>
      </c>
      <c r="L9" s="38" t="n">
        <v>7350000</v>
      </c>
      <c r="M9" s="38" t="n">
        <v>2934000</v>
      </c>
      <c r="N9" s="39" t="n">
        <f aca="false">IF(A9="제외",0,IF(OR(N(L9)&lt;=0,N(M9)&gt;N(L9)),N(M9)/요약!$D$27,N(L9)))</f>
        <v>7350000</v>
      </c>
      <c r="O9" s="32" t="str">
        <f aca="false">IF(A9="제외","",IF(OR(N(L9)&lt;=0,N(M9)&gt;N(L9)),"택가보정(판매금액÷공급율)",""))</f>
        <v/>
      </c>
      <c r="P9" s="0" t="str">
        <f aca="false">IF(A9="HK","100",IF(A9="CN","200",IF(A9="TW","300",IF(ISNUMBER(SEARCH("태국",C9)),"500",IF(ISNUMBER(SEARCH("말레이",C9)),"600",IF(ISNUMBER(SEARCH("필리핀",C9)),"700",IF(ISNUMBER(SEARCH("인도네시아",C9)),"800",IF(ISNUMBER(SEARCH("크루즈",C9)),"810",IF(ISNUMBER(SEARCH("동물원",C9)),"830","")))))))))</f>
        <v>300</v>
      </c>
    </row>
    <row r="10" customFormat="false" ht="15" hidden="false" customHeight="false" outlineLevel="0" collapsed="false">
      <c r="A10" s="32" t="str">
        <f aca="false">IF(OR(TRIM(C10)="",SUBSTITUTE(C10," ","")="소계"),"제외",IF(ISNUMBER(SEARCH("홍콩",C10)),"HK",IF(ISNUMBER(SEARCH("상해",C10)),"CN",IF(ISNUMBER(SEARCH("대만",C10)),"TW","홀세일"))))</f>
        <v>TW</v>
      </c>
      <c r="B10" s="36" t="s">
        <v>98</v>
      </c>
      <c r="C10" s="36" t="s">
        <v>99</v>
      </c>
      <c r="D10" s="36" t="s">
        <v>100</v>
      </c>
      <c r="E10" s="36" t="n">
        <v>2026</v>
      </c>
      <c r="F10" s="36" t="s">
        <v>110</v>
      </c>
      <c r="G10" s="37" t="s">
        <v>102</v>
      </c>
      <c r="H10" s="36" t="s">
        <v>100</v>
      </c>
      <c r="I10" s="36" t="s">
        <v>121</v>
      </c>
      <c r="J10" s="36" t="s">
        <v>122</v>
      </c>
      <c r="K10" s="38" t="n">
        <v>220</v>
      </c>
      <c r="L10" s="38" t="n">
        <v>15180000</v>
      </c>
      <c r="M10" s="38" t="n">
        <v>5776540</v>
      </c>
      <c r="N10" s="39" t="n">
        <f aca="false">IF(A10="제외",0,IF(OR(N(L10)&lt;=0,N(M10)&gt;N(L10)),N(M10)/요약!$D$27,N(L10)))</f>
        <v>15180000</v>
      </c>
      <c r="O10" s="32" t="str">
        <f aca="false">IF(A10="제외","",IF(OR(N(L10)&lt;=0,N(M10)&gt;N(L10)),"택가보정(판매금액÷공급율)",""))</f>
        <v/>
      </c>
      <c r="P10" s="0" t="str">
        <f aca="false">IF(A10="HK","100",IF(A10="CN","200",IF(A10="TW","300",IF(ISNUMBER(SEARCH("태국",C10)),"500",IF(ISNUMBER(SEARCH("말레이",C10)),"600",IF(ISNUMBER(SEARCH("필리핀",C10)),"700",IF(ISNUMBER(SEARCH("인도네시아",C10)),"800",IF(ISNUMBER(SEARCH("크루즈",C10)),"810",IF(ISNUMBER(SEARCH("동물원",C10)),"830","")))))))))</f>
        <v>300</v>
      </c>
    </row>
    <row r="11" customFormat="false" ht="15" hidden="false" customHeight="false" outlineLevel="0" collapsed="false">
      <c r="A11" s="32" t="str">
        <f aca="false">IF(OR(TRIM(C11)="",SUBSTITUTE(C11," ","")="소계"),"제외",IF(ISNUMBER(SEARCH("홍콩",C11)),"HK",IF(ISNUMBER(SEARCH("상해",C11)),"CN",IF(ISNUMBER(SEARCH("대만",C11)),"TW","홀세일"))))</f>
        <v>TW</v>
      </c>
      <c r="B11" s="36" t="s">
        <v>98</v>
      </c>
      <c r="C11" s="36" t="s">
        <v>99</v>
      </c>
      <c r="D11" s="37" t="s">
        <v>123</v>
      </c>
      <c r="E11" s="36" t="n">
        <v>2025</v>
      </c>
      <c r="F11" s="37" t="s">
        <v>101</v>
      </c>
      <c r="G11" s="37" t="s">
        <v>124</v>
      </c>
      <c r="H11" s="36" t="s">
        <v>125</v>
      </c>
      <c r="I11" s="36" t="s">
        <v>126</v>
      </c>
      <c r="J11" s="37" t="s">
        <v>127</v>
      </c>
      <c r="K11" s="38" t="n">
        <v>67</v>
      </c>
      <c r="L11" s="38" t="n">
        <v>20033000</v>
      </c>
      <c r="M11" s="38" t="n">
        <v>7088533</v>
      </c>
      <c r="N11" s="39" t="n">
        <f aca="false">IF(A11="제외",0,IF(OR(N(L11)&lt;=0,N(M11)&gt;N(L11)),N(M11)/요약!$D$27,N(L11)))</f>
        <v>20033000</v>
      </c>
      <c r="O11" s="32" t="str">
        <f aca="false">IF(A11="제외","",IF(OR(N(L11)&lt;=0,N(M11)&gt;N(L11)),"택가보정(판매금액÷공급율)",""))</f>
        <v/>
      </c>
      <c r="P11" s="0" t="str">
        <f aca="false">IF(A11="HK","100",IF(A11="CN","200",IF(A11="TW","300",IF(ISNUMBER(SEARCH("태국",C11)),"500",IF(ISNUMBER(SEARCH("말레이",C11)),"600",IF(ISNUMBER(SEARCH("필리핀",C11)),"700",IF(ISNUMBER(SEARCH("인도네시아",C11)),"800",IF(ISNUMBER(SEARCH("크루즈",C11)),"810",IF(ISNUMBER(SEARCH("동물원",C11)),"830","")))))))))</f>
        <v>300</v>
      </c>
    </row>
    <row r="12" customFormat="false" ht="15" hidden="false" customHeight="false" outlineLevel="0" collapsed="false">
      <c r="A12" s="32" t="str">
        <f aca="false">IF(OR(TRIM(C12)="",SUBSTITUTE(C12," ","")="소계"),"제외",IF(ISNUMBER(SEARCH("홍콩",C12)),"HK",IF(ISNUMBER(SEARCH("상해",C12)),"CN",IF(ISNUMBER(SEARCH("대만",C12)),"TW","홀세일"))))</f>
        <v>TW</v>
      </c>
      <c r="B12" s="36" t="s">
        <v>98</v>
      </c>
      <c r="C12" s="36" t="s">
        <v>99</v>
      </c>
      <c r="D12" s="37" t="s">
        <v>123</v>
      </c>
      <c r="E12" s="36" t="n">
        <v>2025</v>
      </c>
      <c r="F12" s="37" t="s">
        <v>101</v>
      </c>
      <c r="G12" s="37" t="s">
        <v>124</v>
      </c>
      <c r="H12" s="37" t="s">
        <v>128</v>
      </c>
      <c r="I12" s="36" t="s">
        <v>129</v>
      </c>
      <c r="J12" s="36" t="s">
        <v>130</v>
      </c>
      <c r="K12" s="38" t="n">
        <v>20</v>
      </c>
      <c r="L12" s="38" t="n">
        <v>5980000</v>
      </c>
      <c r="M12" s="38" t="n">
        <v>2115980</v>
      </c>
      <c r="N12" s="39" t="n">
        <f aca="false">IF(A12="제외",0,IF(OR(N(L12)&lt;=0,N(M12)&gt;N(L12)),N(M12)/요약!$D$27,N(L12)))</f>
        <v>5980000</v>
      </c>
      <c r="O12" s="32" t="str">
        <f aca="false">IF(A12="제외","",IF(OR(N(L12)&lt;=0,N(M12)&gt;N(L12)),"택가보정(판매금액÷공급율)",""))</f>
        <v/>
      </c>
      <c r="P12" s="0" t="str">
        <f aca="false">IF(A12="HK","100",IF(A12="CN","200",IF(A12="TW","300",IF(ISNUMBER(SEARCH("태국",C12)),"500",IF(ISNUMBER(SEARCH("말레이",C12)),"600",IF(ISNUMBER(SEARCH("필리핀",C12)),"700",IF(ISNUMBER(SEARCH("인도네시아",C12)),"800",IF(ISNUMBER(SEARCH("크루즈",C12)),"810",IF(ISNUMBER(SEARCH("동물원",C12)),"830","")))))))))</f>
        <v>300</v>
      </c>
    </row>
    <row r="13" customFormat="false" ht="15" hidden="false" customHeight="false" outlineLevel="0" collapsed="false">
      <c r="A13" s="32" t="str">
        <f aca="false">IF(OR(TRIM(C13)="",SUBSTITUTE(C13," ","")="소계"),"제외",IF(ISNUMBER(SEARCH("홍콩",C13)),"HK",IF(ISNUMBER(SEARCH("상해",C13)),"CN",IF(ISNUMBER(SEARCH("대만",C13)),"TW","홀세일"))))</f>
        <v>TW</v>
      </c>
      <c r="B13" s="36" t="s">
        <v>98</v>
      </c>
      <c r="C13" s="36" t="s">
        <v>99</v>
      </c>
      <c r="D13" s="37" t="s">
        <v>123</v>
      </c>
      <c r="E13" s="36" t="n">
        <v>2026</v>
      </c>
      <c r="F13" s="37" t="s">
        <v>101</v>
      </c>
      <c r="G13" s="37" t="s">
        <v>102</v>
      </c>
      <c r="H13" s="36" t="s">
        <v>131</v>
      </c>
      <c r="I13" s="36" t="s">
        <v>132</v>
      </c>
      <c r="J13" s="37" t="s">
        <v>133</v>
      </c>
      <c r="K13" s="38" t="n">
        <v>150</v>
      </c>
      <c r="L13" s="38" t="n">
        <v>25350000</v>
      </c>
      <c r="M13" s="38" t="n">
        <v>9736800</v>
      </c>
      <c r="N13" s="39" t="n">
        <f aca="false">IF(A13="제외",0,IF(OR(N(L13)&lt;=0,N(M13)&gt;N(L13)),N(M13)/요약!$D$27,N(L13)))</f>
        <v>25350000</v>
      </c>
      <c r="O13" s="32" t="str">
        <f aca="false">IF(A13="제외","",IF(OR(N(L13)&lt;=0,N(M13)&gt;N(L13)),"택가보정(판매금액÷공급율)",""))</f>
        <v/>
      </c>
      <c r="P13" s="0" t="str">
        <f aca="false">IF(A13="HK","100",IF(A13="CN","200",IF(A13="TW","300",IF(ISNUMBER(SEARCH("태국",C13)),"500",IF(ISNUMBER(SEARCH("말레이",C13)),"600",IF(ISNUMBER(SEARCH("필리핀",C13)),"700",IF(ISNUMBER(SEARCH("인도네시아",C13)),"800",IF(ISNUMBER(SEARCH("크루즈",C13)),"810",IF(ISNUMBER(SEARCH("동물원",C13)),"830","")))))))))</f>
        <v>300</v>
      </c>
    </row>
    <row r="14" customFormat="false" ht="15" hidden="false" customHeight="false" outlineLevel="0" collapsed="false">
      <c r="A14" s="32" t="str">
        <f aca="false">IF(OR(TRIM(C14)="",SUBSTITUTE(C14," ","")="소계"),"제외",IF(ISNUMBER(SEARCH("홍콩",C14)),"HK",IF(ISNUMBER(SEARCH("상해",C14)),"CN",IF(ISNUMBER(SEARCH("대만",C14)),"TW","홀세일"))))</f>
        <v>TW</v>
      </c>
      <c r="B14" s="36" t="s">
        <v>98</v>
      </c>
      <c r="C14" s="36" t="s">
        <v>99</v>
      </c>
      <c r="D14" s="37" t="s">
        <v>123</v>
      </c>
      <c r="E14" s="36" t="n">
        <v>2026</v>
      </c>
      <c r="F14" s="37" t="s">
        <v>101</v>
      </c>
      <c r="G14" s="37" t="s">
        <v>102</v>
      </c>
      <c r="H14" s="36" t="s">
        <v>131</v>
      </c>
      <c r="I14" s="36" t="s">
        <v>134</v>
      </c>
      <c r="J14" s="37" t="s">
        <v>135</v>
      </c>
      <c r="K14" s="38" t="n">
        <v>250</v>
      </c>
      <c r="L14" s="38" t="n">
        <v>44750000</v>
      </c>
      <c r="M14" s="38" t="n">
        <v>17203750</v>
      </c>
      <c r="N14" s="39" t="n">
        <f aca="false">IF(A14="제외",0,IF(OR(N(L14)&lt;=0,N(M14)&gt;N(L14)),N(M14)/요약!$D$27,N(L14)))</f>
        <v>44750000</v>
      </c>
      <c r="O14" s="32" t="str">
        <f aca="false">IF(A14="제외","",IF(OR(N(L14)&lt;=0,N(M14)&gt;N(L14)),"택가보정(판매금액÷공급율)",""))</f>
        <v/>
      </c>
      <c r="P14" s="0" t="str">
        <f aca="false">IF(A14="HK","100",IF(A14="CN","200",IF(A14="TW","300",IF(ISNUMBER(SEARCH("태국",C14)),"500",IF(ISNUMBER(SEARCH("말레이",C14)),"600",IF(ISNUMBER(SEARCH("필리핀",C14)),"700",IF(ISNUMBER(SEARCH("인도네시아",C14)),"800",IF(ISNUMBER(SEARCH("크루즈",C14)),"810",IF(ISNUMBER(SEARCH("동물원",C14)),"830","")))))))))</f>
        <v>300</v>
      </c>
    </row>
    <row r="15" customFormat="false" ht="15" hidden="false" customHeight="false" outlineLevel="0" collapsed="false">
      <c r="A15" s="32" t="str">
        <f aca="false">IF(OR(TRIM(C15)="",SUBSTITUTE(C15," ","")="소계"),"제외",IF(ISNUMBER(SEARCH("홍콩",C15)),"HK",IF(ISNUMBER(SEARCH("상해",C15)),"CN",IF(ISNUMBER(SEARCH("대만",C15)),"TW","홀세일"))))</f>
        <v>TW</v>
      </c>
      <c r="B15" s="36" t="s">
        <v>98</v>
      </c>
      <c r="C15" s="36" t="s">
        <v>99</v>
      </c>
      <c r="D15" s="37" t="s">
        <v>123</v>
      </c>
      <c r="E15" s="36" t="n">
        <v>2026</v>
      </c>
      <c r="F15" s="37" t="s">
        <v>101</v>
      </c>
      <c r="G15" s="37" t="s">
        <v>102</v>
      </c>
      <c r="H15" s="36" t="s">
        <v>131</v>
      </c>
      <c r="I15" s="36" t="s">
        <v>136</v>
      </c>
      <c r="J15" s="37" t="s">
        <v>137</v>
      </c>
      <c r="K15" s="38" t="n">
        <v>130</v>
      </c>
      <c r="L15" s="38" t="n">
        <v>21970000</v>
      </c>
      <c r="M15" s="38" t="n">
        <v>8438560</v>
      </c>
      <c r="N15" s="39" t="n">
        <f aca="false">IF(A15="제외",0,IF(OR(N(L15)&lt;=0,N(M15)&gt;N(L15)),N(M15)/요약!$D$27,N(L15)))</f>
        <v>21970000</v>
      </c>
      <c r="O15" s="32" t="str">
        <f aca="false">IF(A15="제외","",IF(OR(N(L15)&lt;=0,N(M15)&gt;N(L15)),"택가보정(판매금액÷공급율)",""))</f>
        <v/>
      </c>
      <c r="P15" s="0" t="str">
        <f aca="false">IF(A15="HK","100",IF(A15="CN","200",IF(A15="TW","300",IF(ISNUMBER(SEARCH("태국",C15)),"500",IF(ISNUMBER(SEARCH("말레이",C15)),"600",IF(ISNUMBER(SEARCH("필리핀",C15)),"700",IF(ISNUMBER(SEARCH("인도네시아",C15)),"800",IF(ISNUMBER(SEARCH("크루즈",C15)),"810",IF(ISNUMBER(SEARCH("동물원",C15)),"830","")))))))))</f>
        <v>300</v>
      </c>
    </row>
    <row r="16" customFormat="false" ht="15" hidden="false" customHeight="false" outlineLevel="0" collapsed="false">
      <c r="A16" s="32" t="str">
        <f aca="false">IF(OR(TRIM(C16)="",SUBSTITUTE(C16," ","")="소계"),"제외",IF(ISNUMBER(SEARCH("홍콩",C16)),"HK",IF(ISNUMBER(SEARCH("상해",C16)),"CN",IF(ISNUMBER(SEARCH("대만",C16)),"TW","홀세일"))))</f>
        <v>TW</v>
      </c>
      <c r="B16" s="36" t="s">
        <v>98</v>
      </c>
      <c r="C16" s="36" t="s">
        <v>99</v>
      </c>
      <c r="D16" s="37" t="s">
        <v>123</v>
      </c>
      <c r="E16" s="36" t="n">
        <v>2026</v>
      </c>
      <c r="F16" s="37" t="s">
        <v>101</v>
      </c>
      <c r="G16" s="37" t="s">
        <v>102</v>
      </c>
      <c r="H16" s="36" t="s">
        <v>131</v>
      </c>
      <c r="I16" s="36" t="s">
        <v>138</v>
      </c>
      <c r="J16" s="37" t="s">
        <v>139</v>
      </c>
      <c r="K16" s="38" t="n">
        <v>180</v>
      </c>
      <c r="L16" s="38" t="n">
        <v>26820000</v>
      </c>
      <c r="M16" s="38" t="n">
        <v>10305000</v>
      </c>
      <c r="N16" s="39" t="n">
        <f aca="false">IF(A16="제외",0,IF(OR(N(L16)&lt;=0,N(M16)&gt;N(L16)),N(M16)/요약!$D$27,N(L16)))</f>
        <v>26820000</v>
      </c>
      <c r="O16" s="32" t="str">
        <f aca="false">IF(A16="제외","",IF(OR(N(L16)&lt;=0,N(M16)&gt;N(L16)),"택가보정(판매금액÷공급율)",""))</f>
        <v/>
      </c>
      <c r="P16" s="0" t="str">
        <f aca="false">IF(A16="HK","100",IF(A16="CN","200",IF(A16="TW","300",IF(ISNUMBER(SEARCH("태국",C16)),"500",IF(ISNUMBER(SEARCH("말레이",C16)),"600",IF(ISNUMBER(SEARCH("필리핀",C16)),"700",IF(ISNUMBER(SEARCH("인도네시아",C16)),"800",IF(ISNUMBER(SEARCH("크루즈",C16)),"810",IF(ISNUMBER(SEARCH("동물원",C16)),"830","")))))))))</f>
        <v>300</v>
      </c>
    </row>
    <row r="17" customFormat="false" ht="15" hidden="false" customHeight="false" outlineLevel="0" collapsed="false">
      <c r="A17" s="32" t="str">
        <f aca="false">IF(OR(TRIM(C17)="",SUBSTITUTE(C17," ","")="소계"),"제외",IF(ISNUMBER(SEARCH("홍콩",C17)),"HK",IF(ISNUMBER(SEARCH("상해",C17)),"CN",IF(ISNUMBER(SEARCH("대만",C17)),"TW","홀세일"))))</f>
        <v>TW</v>
      </c>
      <c r="B17" s="36" t="s">
        <v>98</v>
      </c>
      <c r="C17" s="36" t="s">
        <v>99</v>
      </c>
      <c r="D17" s="37" t="s">
        <v>123</v>
      </c>
      <c r="E17" s="36" t="n">
        <v>2026</v>
      </c>
      <c r="F17" s="37" t="s">
        <v>101</v>
      </c>
      <c r="G17" s="37" t="s">
        <v>102</v>
      </c>
      <c r="H17" s="36" t="s">
        <v>131</v>
      </c>
      <c r="I17" s="36" t="s">
        <v>140</v>
      </c>
      <c r="J17" s="37" t="s">
        <v>141</v>
      </c>
      <c r="K17" s="38" t="n">
        <v>280</v>
      </c>
      <c r="L17" s="38" t="n">
        <v>41720000</v>
      </c>
      <c r="M17" s="38" t="n">
        <v>15693200</v>
      </c>
      <c r="N17" s="39" t="n">
        <f aca="false">IF(A17="제외",0,IF(OR(N(L17)&lt;=0,N(M17)&gt;N(L17)),N(M17)/요약!$D$27,N(L17)))</f>
        <v>41720000</v>
      </c>
      <c r="O17" s="32" t="str">
        <f aca="false">IF(A17="제외","",IF(OR(N(L17)&lt;=0,N(M17)&gt;N(L17)),"택가보정(판매금액÷공급율)",""))</f>
        <v/>
      </c>
      <c r="P17" s="0" t="str">
        <f aca="false">IF(A17="HK","100",IF(A17="CN","200",IF(A17="TW","300",IF(ISNUMBER(SEARCH("태국",C17)),"500",IF(ISNUMBER(SEARCH("말레이",C17)),"600",IF(ISNUMBER(SEARCH("필리핀",C17)),"700",IF(ISNUMBER(SEARCH("인도네시아",C17)),"800",IF(ISNUMBER(SEARCH("크루즈",C17)),"810",IF(ISNUMBER(SEARCH("동물원",C17)),"830","")))))))))</f>
        <v>300</v>
      </c>
    </row>
    <row r="18" customFormat="false" ht="15" hidden="false" customHeight="false" outlineLevel="0" collapsed="false">
      <c r="A18" s="32" t="str">
        <f aca="false">IF(OR(TRIM(C18)="",SUBSTITUTE(C18," ","")="소계"),"제외",IF(ISNUMBER(SEARCH("홍콩",C18)),"HK",IF(ISNUMBER(SEARCH("상해",C18)),"CN",IF(ISNUMBER(SEARCH("대만",C18)),"TW","홀세일"))))</f>
        <v>TW</v>
      </c>
      <c r="B18" s="36" t="s">
        <v>98</v>
      </c>
      <c r="C18" s="36" t="s">
        <v>99</v>
      </c>
      <c r="D18" s="37" t="s">
        <v>123</v>
      </c>
      <c r="E18" s="36" t="n">
        <v>2026</v>
      </c>
      <c r="F18" s="37" t="s">
        <v>101</v>
      </c>
      <c r="G18" s="37" t="s">
        <v>102</v>
      </c>
      <c r="H18" s="36" t="s">
        <v>131</v>
      </c>
      <c r="I18" s="36" t="s">
        <v>142</v>
      </c>
      <c r="J18" s="37" t="s">
        <v>143</v>
      </c>
      <c r="K18" s="38" t="n">
        <v>150</v>
      </c>
      <c r="L18" s="38" t="n">
        <v>25350000</v>
      </c>
      <c r="M18" s="38" t="n">
        <v>9736800</v>
      </c>
      <c r="N18" s="39" t="n">
        <f aca="false">IF(A18="제외",0,IF(OR(N(L18)&lt;=0,N(M18)&gt;N(L18)),N(M18)/요약!$D$27,N(L18)))</f>
        <v>25350000</v>
      </c>
      <c r="O18" s="32" t="str">
        <f aca="false">IF(A18="제외","",IF(OR(N(L18)&lt;=0,N(M18)&gt;N(L18)),"택가보정(판매금액÷공급율)",""))</f>
        <v/>
      </c>
      <c r="P18" s="0" t="str">
        <f aca="false">IF(A18="HK","100",IF(A18="CN","200",IF(A18="TW","300",IF(ISNUMBER(SEARCH("태국",C18)),"500",IF(ISNUMBER(SEARCH("말레이",C18)),"600",IF(ISNUMBER(SEARCH("필리핀",C18)),"700",IF(ISNUMBER(SEARCH("인도네시아",C18)),"800",IF(ISNUMBER(SEARCH("크루즈",C18)),"810",IF(ISNUMBER(SEARCH("동물원",C18)),"830","")))))))))</f>
        <v>300</v>
      </c>
    </row>
    <row r="19" customFormat="false" ht="15" hidden="false" customHeight="false" outlineLevel="0" collapsed="false">
      <c r="A19" s="32" t="str">
        <f aca="false">IF(OR(TRIM(C19)="",SUBSTITUTE(C19," ","")="소계"),"제외",IF(ISNUMBER(SEARCH("홍콩",C19)),"HK",IF(ISNUMBER(SEARCH("상해",C19)),"CN",IF(ISNUMBER(SEARCH("대만",C19)),"TW","홀세일"))))</f>
        <v>TW</v>
      </c>
      <c r="B19" s="36" t="s">
        <v>98</v>
      </c>
      <c r="C19" s="36" t="s">
        <v>99</v>
      </c>
      <c r="D19" s="37" t="s">
        <v>123</v>
      </c>
      <c r="E19" s="36" t="n">
        <v>2026</v>
      </c>
      <c r="F19" s="37" t="s">
        <v>101</v>
      </c>
      <c r="G19" s="37" t="s">
        <v>102</v>
      </c>
      <c r="H19" s="36" t="s">
        <v>131</v>
      </c>
      <c r="I19" s="36" t="s">
        <v>144</v>
      </c>
      <c r="J19" s="37" t="s">
        <v>145</v>
      </c>
      <c r="K19" s="38" t="n">
        <v>230</v>
      </c>
      <c r="L19" s="38" t="n">
        <v>38870000</v>
      </c>
      <c r="M19" s="38" t="n">
        <v>15003260</v>
      </c>
      <c r="N19" s="39" t="n">
        <f aca="false">IF(A19="제외",0,IF(OR(N(L19)&lt;=0,N(M19)&gt;N(L19)),N(M19)/요약!$D$27,N(L19)))</f>
        <v>38870000</v>
      </c>
      <c r="O19" s="32" t="str">
        <f aca="false">IF(A19="제외","",IF(OR(N(L19)&lt;=0,N(M19)&gt;N(L19)),"택가보정(판매금액÷공급율)",""))</f>
        <v/>
      </c>
      <c r="P19" s="0" t="str">
        <f aca="false">IF(A19="HK","100",IF(A19="CN","200",IF(A19="TW","300",IF(ISNUMBER(SEARCH("태국",C19)),"500",IF(ISNUMBER(SEARCH("말레이",C19)),"600",IF(ISNUMBER(SEARCH("필리핀",C19)),"700",IF(ISNUMBER(SEARCH("인도네시아",C19)),"800",IF(ISNUMBER(SEARCH("크루즈",C19)),"810",IF(ISNUMBER(SEARCH("동물원",C19)),"830","")))))))))</f>
        <v>300</v>
      </c>
    </row>
    <row r="20" customFormat="false" ht="15" hidden="false" customHeight="false" outlineLevel="0" collapsed="false">
      <c r="A20" s="32" t="str">
        <f aca="false">IF(OR(TRIM(C20)="",SUBSTITUTE(C20," ","")="소계"),"제외",IF(ISNUMBER(SEARCH("홍콩",C20)),"HK",IF(ISNUMBER(SEARCH("상해",C20)),"CN",IF(ISNUMBER(SEARCH("대만",C20)),"TW","홀세일"))))</f>
        <v>TW</v>
      </c>
      <c r="B20" s="36" t="s">
        <v>98</v>
      </c>
      <c r="C20" s="36" t="s">
        <v>99</v>
      </c>
      <c r="D20" s="37" t="s">
        <v>123</v>
      </c>
      <c r="E20" s="36" t="n">
        <v>2026</v>
      </c>
      <c r="F20" s="37" t="s">
        <v>101</v>
      </c>
      <c r="G20" s="37" t="s">
        <v>102</v>
      </c>
      <c r="H20" s="36" t="s">
        <v>131</v>
      </c>
      <c r="I20" s="36" t="s">
        <v>146</v>
      </c>
      <c r="J20" s="37" t="s">
        <v>147</v>
      </c>
      <c r="K20" s="38" t="n">
        <v>80</v>
      </c>
      <c r="L20" s="38" t="n">
        <v>15120000</v>
      </c>
      <c r="M20" s="38" t="n">
        <v>5805920</v>
      </c>
      <c r="N20" s="39" t="n">
        <f aca="false">IF(A20="제외",0,IF(OR(N(L20)&lt;=0,N(M20)&gt;N(L20)),N(M20)/요약!$D$27,N(L20)))</f>
        <v>15120000</v>
      </c>
      <c r="O20" s="32" t="str">
        <f aca="false">IF(A20="제외","",IF(OR(N(L20)&lt;=0,N(M20)&gt;N(L20)),"택가보정(판매금액÷공급율)",""))</f>
        <v/>
      </c>
      <c r="P20" s="0" t="str">
        <f aca="false">IF(A20="HK","100",IF(A20="CN","200",IF(A20="TW","300",IF(ISNUMBER(SEARCH("태국",C20)),"500",IF(ISNUMBER(SEARCH("말레이",C20)),"600",IF(ISNUMBER(SEARCH("필리핀",C20)),"700",IF(ISNUMBER(SEARCH("인도네시아",C20)),"800",IF(ISNUMBER(SEARCH("크루즈",C20)),"810",IF(ISNUMBER(SEARCH("동물원",C20)),"830","")))))))))</f>
        <v>300</v>
      </c>
    </row>
    <row r="21" customFormat="false" ht="15" hidden="false" customHeight="false" outlineLevel="0" collapsed="false">
      <c r="A21" s="32" t="str">
        <f aca="false">IF(OR(TRIM(C21)="",SUBSTITUTE(C21," ","")="소계"),"제외",IF(ISNUMBER(SEARCH("홍콩",C21)),"HK",IF(ISNUMBER(SEARCH("상해",C21)),"CN",IF(ISNUMBER(SEARCH("대만",C21)),"TW","홀세일"))))</f>
        <v>TW</v>
      </c>
      <c r="B21" s="36" t="s">
        <v>98</v>
      </c>
      <c r="C21" s="36" t="s">
        <v>99</v>
      </c>
      <c r="D21" s="37" t="s">
        <v>123</v>
      </c>
      <c r="E21" s="36" t="n">
        <v>2026</v>
      </c>
      <c r="F21" s="37" t="s">
        <v>101</v>
      </c>
      <c r="G21" s="37" t="s">
        <v>102</v>
      </c>
      <c r="H21" s="36" t="s">
        <v>131</v>
      </c>
      <c r="I21" s="36" t="s">
        <v>148</v>
      </c>
      <c r="J21" s="37" t="s">
        <v>149</v>
      </c>
      <c r="K21" s="38" t="n">
        <v>80</v>
      </c>
      <c r="L21" s="38" t="n">
        <v>14320000</v>
      </c>
      <c r="M21" s="38" t="n">
        <v>5505200</v>
      </c>
      <c r="N21" s="39" t="n">
        <f aca="false">IF(A21="제외",0,IF(OR(N(L21)&lt;=0,N(M21)&gt;N(L21)),N(M21)/요약!$D$27,N(L21)))</f>
        <v>14320000</v>
      </c>
      <c r="O21" s="32" t="str">
        <f aca="false">IF(A21="제외","",IF(OR(N(L21)&lt;=0,N(M21)&gt;N(L21)),"택가보정(판매금액÷공급율)",""))</f>
        <v/>
      </c>
      <c r="P21" s="0" t="str">
        <f aca="false">IF(A21="HK","100",IF(A21="CN","200",IF(A21="TW","300",IF(ISNUMBER(SEARCH("태국",C21)),"500",IF(ISNUMBER(SEARCH("말레이",C21)),"600",IF(ISNUMBER(SEARCH("필리핀",C21)),"700",IF(ISNUMBER(SEARCH("인도네시아",C21)),"800",IF(ISNUMBER(SEARCH("크루즈",C21)),"810",IF(ISNUMBER(SEARCH("동물원",C21)),"830","")))))))))</f>
        <v>300</v>
      </c>
    </row>
    <row r="22" customFormat="false" ht="15" hidden="false" customHeight="false" outlineLevel="0" collapsed="false">
      <c r="A22" s="32" t="str">
        <f aca="false">IF(OR(TRIM(C22)="",SUBSTITUTE(C22," ","")="소계"),"제외",IF(ISNUMBER(SEARCH("홍콩",C22)),"HK",IF(ISNUMBER(SEARCH("상해",C22)),"CN",IF(ISNUMBER(SEARCH("대만",C22)),"TW","홀세일"))))</f>
        <v>TW</v>
      </c>
      <c r="B22" s="36" t="s">
        <v>98</v>
      </c>
      <c r="C22" s="36" t="s">
        <v>99</v>
      </c>
      <c r="D22" s="37" t="s">
        <v>123</v>
      </c>
      <c r="E22" s="36" t="n">
        <v>2026</v>
      </c>
      <c r="F22" s="37" t="s">
        <v>101</v>
      </c>
      <c r="G22" s="37" t="s">
        <v>102</v>
      </c>
      <c r="H22" s="36" t="s">
        <v>131</v>
      </c>
      <c r="I22" s="36" t="s">
        <v>150</v>
      </c>
      <c r="J22" s="37" t="s">
        <v>151</v>
      </c>
      <c r="K22" s="38" t="n">
        <v>80</v>
      </c>
      <c r="L22" s="38" t="n">
        <v>15120000</v>
      </c>
      <c r="M22" s="38" t="n">
        <v>5805920</v>
      </c>
      <c r="N22" s="39" t="n">
        <f aca="false">IF(A22="제외",0,IF(OR(N(L22)&lt;=0,N(M22)&gt;N(L22)),N(M22)/요약!$D$27,N(L22)))</f>
        <v>15120000</v>
      </c>
      <c r="O22" s="32" t="str">
        <f aca="false">IF(A22="제외","",IF(OR(N(L22)&lt;=0,N(M22)&gt;N(L22)),"택가보정(판매금액÷공급율)",""))</f>
        <v/>
      </c>
      <c r="P22" s="0" t="str">
        <f aca="false">IF(A22="HK","100",IF(A22="CN","200",IF(A22="TW","300",IF(ISNUMBER(SEARCH("태국",C22)),"500",IF(ISNUMBER(SEARCH("말레이",C22)),"600",IF(ISNUMBER(SEARCH("필리핀",C22)),"700",IF(ISNUMBER(SEARCH("인도네시아",C22)),"800",IF(ISNUMBER(SEARCH("크루즈",C22)),"810",IF(ISNUMBER(SEARCH("동물원",C22)),"830","")))))))))</f>
        <v>300</v>
      </c>
    </row>
    <row r="23" customFormat="false" ht="15" hidden="false" customHeight="false" outlineLevel="0" collapsed="false">
      <c r="A23" s="32" t="str">
        <f aca="false">IF(OR(TRIM(C23)="",SUBSTITUTE(C23," ","")="소계"),"제외",IF(ISNUMBER(SEARCH("홍콩",C23)),"HK",IF(ISNUMBER(SEARCH("상해",C23)),"CN",IF(ISNUMBER(SEARCH("대만",C23)),"TW","홀세일"))))</f>
        <v>TW</v>
      </c>
      <c r="B23" s="36" t="s">
        <v>98</v>
      </c>
      <c r="C23" s="36" t="s">
        <v>99</v>
      </c>
      <c r="D23" s="37" t="s">
        <v>123</v>
      </c>
      <c r="E23" s="36" t="n">
        <v>2026</v>
      </c>
      <c r="F23" s="37" t="s">
        <v>101</v>
      </c>
      <c r="G23" s="37" t="s">
        <v>102</v>
      </c>
      <c r="H23" s="37" t="s">
        <v>128</v>
      </c>
      <c r="I23" s="36" t="s">
        <v>152</v>
      </c>
      <c r="J23" s="36" t="s">
        <v>153</v>
      </c>
      <c r="K23" s="38" t="n">
        <v>200</v>
      </c>
      <c r="L23" s="38" t="n">
        <v>35800000</v>
      </c>
      <c r="M23" s="38" t="n">
        <v>13711000</v>
      </c>
      <c r="N23" s="39" t="n">
        <f aca="false">IF(A23="제외",0,IF(OR(N(L23)&lt;=0,N(M23)&gt;N(L23)),N(M23)/요약!$D$27,N(L23)))</f>
        <v>35800000</v>
      </c>
      <c r="O23" s="32" t="str">
        <f aca="false">IF(A23="제외","",IF(OR(N(L23)&lt;=0,N(M23)&gt;N(L23)),"택가보정(판매금액÷공급율)",""))</f>
        <v/>
      </c>
      <c r="P23" s="0" t="str">
        <f aca="false">IF(A23="HK","100",IF(A23="CN","200",IF(A23="TW","300",IF(ISNUMBER(SEARCH("태국",C23)),"500",IF(ISNUMBER(SEARCH("말레이",C23)),"600",IF(ISNUMBER(SEARCH("필리핀",C23)),"700",IF(ISNUMBER(SEARCH("인도네시아",C23)),"800",IF(ISNUMBER(SEARCH("크루즈",C23)),"810",IF(ISNUMBER(SEARCH("동물원",C23)),"830","")))))))))</f>
        <v>300</v>
      </c>
    </row>
    <row r="24" customFormat="false" ht="15" hidden="false" customHeight="false" outlineLevel="0" collapsed="false">
      <c r="A24" s="32" t="str">
        <f aca="false">IF(OR(TRIM(C24)="",SUBSTITUTE(C24," ","")="소계"),"제외",IF(ISNUMBER(SEARCH("홍콩",C24)),"HK",IF(ISNUMBER(SEARCH("상해",C24)),"CN",IF(ISNUMBER(SEARCH("대만",C24)),"TW","홀세일"))))</f>
        <v>TW</v>
      </c>
      <c r="B24" s="36" t="s">
        <v>98</v>
      </c>
      <c r="C24" s="36" t="s">
        <v>99</v>
      </c>
      <c r="D24" s="37" t="s">
        <v>123</v>
      </c>
      <c r="E24" s="36" t="n">
        <v>2026</v>
      </c>
      <c r="F24" s="37" t="s">
        <v>101</v>
      </c>
      <c r="G24" s="37" t="s">
        <v>102</v>
      </c>
      <c r="H24" s="37" t="s">
        <v>128</v>
      </c>
      <c r="I24" s="36" t="s">
        <v>154</v>
      </c>
      <c r="J24" s="36" t="s">
        <v>155</v>
      </c>
      <c r="K24" s="38" t="n">
        <v>50</v>
      </c>
      <c r="L24" s="38" t="n">
        <v>8450000</v>
      </c>
      <c r="M24" s="38" t="n">
        <v>3155500</v>
      </c>
      <c r="N24" s="39" t="n">
        <f aca="false">IF(A24="제외",0,IF(OR(N(L24)&lt;=0,N(M24)&gt;N(L24)),N(M24)/요약!$D$27,N(L24)))</f>
        <v>8450000</v>
      </c>
      <c r="O24" s="32" t="str">
        <f aca="false">IF(A24="제외","",IF(OR(N(L24)&lt;=0,N(M24)&gt;N(L24)),"택가보정(판매금액÷공급율)",""))</f>
        <v/>
      </c>
      <c r="P24" s="0" t="str">
        <f aca="false">IF(A24="HK","100",IF(A24="CN","200",IF(A24="TW","300",IF(ISNUMBER(SEARCH("태국",C24)),"500",IF(ISNUMBER(SEARCH("말레이",C24)),"600",IF(ISNUMBER(SEARCH("필리핀",C24)),"700",IF(ISNUMBER(SEARCH("인도네시아",C24)),"800",IF(ISNUMBER(SEARCH("크루즈",C24)),"810",IF(ISNUMBER(SEARCH("동물원",C24)),"830","")))))))))</f>
        <v>300</v>
      </c>
    </row>
    <row r="25" customFormat="false" ht="15" hidden="false" customHeight="false" outlineLevel="0" collapsed="false">
      <c r="A25" s="32" t="str">
        <f aca="false">IF(OR(TRIM(C25)="",SUBSTITUTE(C25," ","")="소계"),"제외",IF(ISNUMBER(SEARCH("홍콩",C25)),"HK",IF(ISNUMBER(SEARCH("상해",C25)),"CN",IF(ISNUMBER(SEARCH("대만",C25)),"TW","홀세일"))))</f>
        <v>TW</v>
      </c>
      <c r="B25" s="36" t="s">
        <v>98</v>
      </c>
      <c r="C25" s="36" t="s">
        <v>99</v>
      </c>
      <c r="D25" s="37" t="s">
        <v>123</v>
      </c>
      <c r="E25" s="36" t="n">
        <v>2026</v>
      </c>
      <c r="F25" s="37" t="s">
        <v>101</v>
      </c>
      <c r="G25" s="37" t="s">
        <v>124</v>
      </c>
      <c r="H25" s="36" t="s">
        <v>131</v>
      </c>
      <c r="I25" s="36" t="s">
        <v>156</v>
      </c>
      <c r="J25" s="37" t="s">
        <v>157</v>
      </c>
      <c r="K25" s="38" t="n">
        <v>150</v>
      </c>
      <c r="L25" s="38" t="n">
        <v>25350000</v>
      </c>
      <c r="M25" s="38" t="n">
        <v>9325200</v>
      </c>
      <c r="N25" s="39" t="n">
        <f aca="false">IF(A25="제외",0,IF(OR(N(L25)&lt;=0,N(M25)&gt;N(L25)),N(M25)/요약!$D$27,N(L25)))</f>
        <v>25350000</v>
      </c>
      <c r="O25" s="32" t="str">
        <f aca="false">IF(A25="제외","",IF(OR(N(L25)&lt;=0,N(M25)&gt;N(L25)),"택가보정(판매금액÷공급율)",""))</f>
        <v/>
      </c>
      <c r="P25" s="0" t="str">
        <f aca="false">IF(A25="HK","100",IF(A25="CN","200",IF(A25="TW","300",IF(ISNUMBER(SEARCH("태국",C25)),"500",IF(ISNUMBER(SEARCH("말레이",C25)),"600",IF(ISNUMBER(SEARCH("필리핀",C25)),"700",IF(ISNUMBER(SEARCH("인도네시아",C25)),"800",IF(ISNUMBER(SEARCH("크루즈",C25)),"810",IF(ISNUMBER(SEARCH("동물원",C25)),"830","")))))))))</f>
        <v>300</v>
      </c>
    </row>
    <row r="26" customFormat="false" ht="15" hidden="false" customHeight="false" outlineLevel="0" collapsed="false">
      <c r="A26" s="32" t="str">
        <f aca="false">IF(OR(TRIM(C26)="",SUBSTITUTE(C26," ","")="소계"),"제외",IF(ISNUMBER(SEARCH("홍콩",C26)),"HK",IF(ISNUMBER(SEARCH("상해",C26)),"CN",IF(ISNUMBER(SEARCH("대만",C26)),"TW","홀세일"))))</f>
        <v>TW</v>
      </c>
      <c r="B26" s="36" t="s">
        <v>98</v>
      </c>
      <c r="C26" s="36" t="s">
        <v>99</v>
      </c>
      <c r="D26" s="37" t="s">
        <v>123</v>
      </c>
      <c r="E26" s="36" t="n">
        <v>2026</v>
      </c>
      <c r="F26" s="37" t="s">
        <v>101</v>
      </c>
      <c r="G26" s="37" t="s">
        <v>124</v>
      </c>
      <c r="H26" s="36" t="s">
        <v>131</v>
      </c>
      <c r="I26" s="36" t="s">
        <v>158</v>
      </c>
      <c r="J26" s="37" t="s">
        <v>159</v>
      </c>
      <c r="K26" s="38" t="n">
        <v>200</v>
      </c>
      <c r="L26" s="38" t="n">
        <v>47800000</v>
      </c>
      <c r="M26" s="38" t="n">
        <v>18374400</v>
      </c>
      <c r="N26" s="39" t="n">
        <f aca="false">IF(A26="제외",0,IF(OR(N(L26)&lt;=0,N(M26)&gt;N(L26)),N(M26)/요약!$D$27,N(L26)))</f>
        <v>47800000</v>
      </c>
      <c r="O26" s="32" t="str">
        <f aca="false">IF(A26="제외","",IF(OR(N(L26)&lt;=0,N(M26)&gt;N(L26)),"택가보정(판매금액÷공급율)",""))</f>
        <v/>
      </c>
      <c r="P26" s="0" t="str">
        <f aca="false">IF(A26="HK","100",IF(A26="CN","200",IF(A26="TW","300",IF(ISNUMBER(SEARCH("태국",C26)),"500",IF(ISNUMBER(SEARCH("말레이",C26)),"600",IF(ISNUMBER(SEARCH("필리핀",C26)),"700",IF(ISNUMBER(SEARCH("인도네시아",C26)),"800",IF(ISNUMBER(SEARCH("크루즈",C26)),"810",IF(ISNUMBER(SEARCH("동물원",C26)),"830","")))))))))</f>
        <v>300</v>
      </c>
    </row>
    <row r="27" customFormat="false" ht="15" hidden="false" customHeight="false" outlineLevel="0" collapsed="false">
      <c r="A27" s="32" t="str">
        <f aca="false">IF(OR(TRIM(C27)="",SUBSTITUTE(C27," ","")="소계"),"제외",IF(ISNUMBER(SEARCH("홍콩",C27)),"HK",IF(ISNUMBER(SEARCH("상해",C27)),"CN",IF(ISNUMBER(SEARCH("대만",C27)),"TW","홀세일"))))</f>
        <v>TW</v>
      </c>
      <c r="B27" s="36" t="s">
        <v>98</v>
      </c>
      <c r="C27" s="36" t="s">
        <v>99</v>
      </c>
      <c r="D27" s="37" t="s">
        <v>123</v>
      </c>
      <c r="E27" s="36" t="n">
        <v>2026</v>
      </c>
      <c r="F27" s="37" t="s">
        <v>101</v>
      </c>
      <c r="G27" s="37" t="s">
        <v>124</v>
      </c>
      <c r="H27" s="36" t="s">
        <v>131</v>
      </c>
      <c r="I27" s="36" t="s">
        <v>160</v>
      </c>
      <c r="J27" s="37" t="s">
        <v>161</v>
      </c>
      <c r="K27" s="38" t="n">
        <v>30</v>
      </c>
      <c r="L27" s="38" t="n">
        <v>3270000</v>
      </c>
      <c r="M27" s="38" t="n">
        <v>1186170</v>
      </c>
      <c r="N27" s="39" t="n">
        <f aca="false">IF(A27="제외",0,IF(OR(N(L27)&lt;=0,N(M27)&gt;N(L27)),N(M27)/요약!$D$27,N(L27)))</f>
        <v>3270000</v>
      </c>
      <c r="O27" s="32" t="str">
        <f aca="false">IF(A27="제외","",IF(OR(N(L27)&lt;=0,N(M27)&gt;N(L27)),"택가보정(판매금액÷공급율)",""))</f>
        <v/>
      </c>
      <c r="P27" s="0" t="str">
        <f aca="false">IF(A27="HK","100",IF(A27="CN","200",IF(A27="TW","300",IF(ISNUMBER(SEARCH("태국",C27)),"500",IF(ISNUMBER(SEARCH("말레이",C27)),"600",IF(ISNUMBER(SEARCH("필리핀",C27)),"700",IF(ISNUMBER(SEARCH("인도네시아",C27)),"800",IF(ISNUMBER(SEARCH("크루즈",C27)),"810",IF(ISNUMBER(SEARCH("동물원",C27)),"830","")))))))))</f>
        <v>300</v>
      </c>
    </row>
    <row r="28" customFormat="false" ht="15" hidden="false" customHeight="false" outlineLevel="0" collapsed="false">
      <c r="A28" s="32" t="str">
        <f aca="false">IF(OR(TRIM(C28)="",SUBSTITUTE(C28," ","")="소계"),"제외",IF(ISNUMBER(SEARCH("홍콩",C28)),"HK",IF(ISNUMBER(SEARCH("상해",C28)),"CN",IF(ISNUMBER(SEARCH("대만",C28)),"TW","홀세일"))))</f>
        <v>TW</v>
      </c>
      <c r="B28" s="36" t="s">
        <v>98</v>
      </c>
      <c r="C28" s="36" t="s">
        <v>99</v>
      </c>
      <c r="D28" s="37" t="s">
        <v>123</v>
      </c>
      <c r="E28" s="36" t="n">
        <v>2026</v>
      </c>
      <c r="F28" s="37" t="s">
        <v>101</v>
      </c>
      <c r="G28" s="37" t="s">
        <v>124</v>
      </c>
      <c r="H28" s="36" t="s">
        <v>131</v>
      </c>
      <c r="I28" s="36" t="s">
        <v>162</v>
      </c>
      <c r="J28" s="37" t="s">
        <v>163</v>
      </c>
      <c r="K28" s="38" t="n">
        <v>80</v>
      </c>
      <c r="L28" s="38" t="n">
        <v>15920000</v>
      </c>
      <c r="M28" s="38" t="n">
        <v>6219760</v>
      </c>
      <c r="N28" s="39" t="n">
        <f aca="false">IF(A28="제외",0,IF(OR(N(L28)&lt;=0,N(M28)&gt;N(L28)),N(M28)/요약!$D$27,N(L28)))</f>
        <v>15920000</v>
      </c>
      <c r="O28" s="32" t="str">
        <f aca="false">IF(A28="제외","",IF(OR(N(L28)&lt;=0,N(M28)&gt;N(L28)),"택가보정(판매금액÷공급율)",""))</f>
        <v/>
      </c>
      <c r="P28" s="0" t="str">
        <f aca="false">IF(A28="HK","100",IF(A28="CN","200",IF(A28="TW","300",IF(ISNUMBER(SEARCH("태국",C28)),"500",IF(ISNUMBER(SEARCH("말레이",C28)),"600",IF(ISNUMBER(SEARCH("필리핀",C28)),"700",IF(ISNUMBER(SEARCH("인도네시아",C28)),"800",IF(ISNUMBER(SEARCH("크루즈",C28)),"810",IF(ISNUMBER(SEARCH("동물원",C28)),"830","")))))))))</f>
        <v>300</v>
      </c>
    </row>
    <row r="29" customFormat="false" ht="15" hidden="false" customHeight="false" outlineLevel="0" collapsed="false">
      <c r="A29" s="32" t="str">
        <f aca="false">IF(OR(TRIM(C29)="",SUBSTITUTE(C29," ","")="소계"),"제외",IF(ISNUMBER(SEARCH("홍콩",C29)),"HK",IF(ISNUMBER(SEARCH("상해",C29)),"CN",IF(ISNUMBER(SEARCH("대만",C29)),"TW","홀세일"))))</f>
        <v>TW</v>
      </c>
      <c r="B29" s="36" t="s">
        <v>98</v>
      </c>
      <c r="C29" s="36" t="s">
        <v>99</v>
      </c>
      <c r="D29" s="37" t="s">
        <v>123</v>
      </c>
      <c r="E29" s="36" t="n">
        <v>2026</v>
      </c>
      <c r="F29" s="37" t="s">
        <v>101</v>
      </c>
      <c r="G29" s="37" t="s">
        <v>124</v>
      </c>
      <c r="H29" s="36" t="s">
        <v>131</v>
      </c>
      <c r="I29" s="36" t="s">
        <v>164</v>
      </c>
      <c r="J29" s="37" t="s">
        <v>165</v>
      </c>
      <c r="K29" s="38" t="n">
        <v>60</v>
      </c>
      <c r="L29" s="38" t="n">
        <v>11340000</v>
      </c>
      <c r="M29" s="38" t="n">
        <v>4426740</v>
      </c>
      <c r="N29" s="39" t="n">
        <f aca="false">IF(A29="제외",0,IF(OR(N(L29)&lt;=0,N(M29)&gt;N(L29)),N(M29)/요약!$D$27,N(L29)))</f>
        <v>11340000</v>
      </c>
      <c r="O29" s="32" t="str">
        <f aca="false">IF(A29="제외","",IF(OR(N(L29)&lt;=0,N(M29)&gt;N(L29)),"택가보정(판매금액÷공급율)",""))</f>
        <v/>
      </c>
      <c r="P29" s="0" t="str">
        <f aca="false">IF(A29="HK","100",IF(A29="CN","200",IF(A29="TW","300",IF(ISNUMBER(SEARCH("태국",C29)),"500",IF(ISNUMBER(SEARCH("말레이",C29)),"600",IF(ISNUMBER(SEARCH("필리핀",C29)),"700",IF(ISNUMBER(SEARCH("인도네시아",C29)),"800",IF(ISNUMBER(SEARCH("크루즈",C29)),"810",IF(ISNUMBER(SEARCH("동물원",C29)),"830","")))))))))</f>
        <v>300</v>
      </c>
    </row>
    <row r="30" customFormat="false" ht="15" hidden="false" customHeight="false" outlineLevel="0" collapsed="false">
      <c r="A30" s="32" t="str">
        <f aca="false">IF(OR(TRIM(C30)="",SUBSTITUTE(C30," ","")="소계"),"제외",IF(ISNUMBER(SEARCH("홍콩",C30)),"HK",IF(ISNUMBER(SEARCH("상해",C30)),"CN",IF(ISNUMBER(SEARCH("대만",C30)),"TW","홀세일"))))</f>
        <v>TW</v>
      </c>
      <c r="B30" s="36" t="s">
        <v>98</v>
      </c>
      <c r="C30" s="36" t="s">
        <v>99</v>
      </c>
      <c r="D30" s="37" t="s">
        <v>123</v>
      </c>
      <c r="E30" s="36" t="n">
        <v>2026</v>
      </c>
      <c r="F30" s="37" t="s">
        <v>101</v>
      </c>
      <c r="G30" s="37" t="s">
        <v>124</v>
      </c>
      <c r="H30" s="36" t="s">
        <v>131</v>
      </c>
      <c r="I30" s="36" t="s">
        <v>166</v>
      </c>
      <c r="J30" s="37" t="s">
        <v>167</v>
      </c>
      <c r="K30" s="38" t="n">
        <v>80</v>
      </c>
      <c r="L30" s="38" t="n">
        <v>14320000</v>
      </c>
      <c r="M30" s="38" t="n">
        <v>5596640</v>
      </c>
      <c r="N30" s="39" t="n">
        <f aca="false">IF(A30="제외",0,IF(OR(N(L30)&lt;=0,N(M30)&gt;N(L30)),N(M30)/요약!$D$27,N(L30)))</f>
        <v>14320000</v>
      </c>
      <c r="O30" s="32" t="str">
        <f aca="false">IF(A30="제외","",IF(OR(N(L30)&lt;=0,N(M30)&gt;N(L30)),"택가보정(판매금액÷공급율)",""))</f>
        <v/>
      </c>
      <c r="P30" s="0" t="str">
        <f aca="false">IF(A30="HK","100",IF(A30="CN","200",IF(A30="TW","300",IF(ISNUMBER(SEARCH("태국",C30)),"500",IF(ISNUMBER(SEARCH("말레이",C30)),"600",IF(ISNUMBER(SEARCH("필리핀",C30)),"700",IF(ISNUMBER(SEARCH("인도네시아",C30)),"800",IF(ISNUMBER(SEARCH("크루즈",C30)),"810",IF(ISNUMBER(SEARCH("동물원",C30)),"830","")))))))))</f>
        <v>300</v>
      </c>
    </row>
    <row r="31" customFormat="false" ht="15" hidden="false" customHeight="false" outlineLevel="0" collapsed="false">
      <c r="A31" s="32" t="str">
        <f aca="false">IF(OR(TRIM(C31)="",SUBSTITUTE(C31," ","")="소계"),"제외",IF(ISNUMBER(SEARCH("홍콩",C31)),"HK",IF(ISNUMBER(SEARCH("상해",C31)),"CN",IF(ISNUMBER(SEARCH("대만",C31)),"TW","홀세일"))))</f>
        <v>TW</v>
      </c>
      <c r="B31" s="36" t="s">
        <v>98</v>
      </c>
      <c r="C31" s="36" t="s">
        <v>99</v>
      </c>
      <c r="D31" s="37" t="s">
        <v>123</v>
      </c>
      <c r="E31" s="36" t="n">
        <v>2026</v>
      </c>
      <c r="F31" s="37" t="s">
        <v>101</v>
      </c>
      <c r="G31" s="37" t="s">
        <v>124</v>
      </c>
      <c r="H31" s="37" t="s">
        <v>128</v>
      </c>
      <c r="I31" s="36" t="s">
        <v>168</v>
      </c>
      <c r="J31" s="36" t="s">
        <v>169</v>
      </c>
      <c r="K31" s="38" t="n">
        <v>160</v>
      </c>
      <c r="L31" s="38" t="n">
        <v>23840000</v>
      </c>
      <c r="M31" s="38" t="n">
        <v>9166880</v>
      </c>
      <c r="N31" s="39" t="n">
        <f aca="false">IF(A31="제외",0,IF(OR(N(L31)&lt;=0,N(M31)&gt;N(L31)),N(M31)/요약!$D$27,N(L31)))</f>
        <v>23840000</v>
      </c>
      <c r="O31" s="32" t="str">
        <f aca="false">IF(A31="제외","",IF(OR(N(L31)&lt;=0,N(M31)&gt;N(L31)),"택가보정(판매금액÷공급율)",""))</f>
        <v/>
      </c>
      <c r="P31" s="0" t="str">
        <f aca="false">IF(A31="HK","100",IF(A31="CN","200",IF(A31="TW","300",IF(ISNUMBER(SEARCH("태국",C31)),"500",IF(ISNUMBER(SEARCH("말레이",C31)),"600",IF(ISNUMBER(SEARCH("필리핀",C31)),"700",IF(ISNUMBER(SEARCH("인도네시아",C31)),"800",IF(ISNUMBER(SEARCH("크루즈",C31)),"810",IF(ISNUMBER(SEARCH("동물원",C31)),"830","")))))))))</f>
        <v>300</v>
      </c>
    </row>
    <row r="32" customFormat="false" ht="15" hidden="false" customHeight="false" outlineLevel="0" collapsed="false">
      <c r="A32" s="32" t="str">
        <f aca="false">IF(OR(TRIM(C32)="",SUBSTITUTE(C32," ","")="소계"),"제외",IF(ISNUMBER(SEARCH("홍콩",C32)),"HK",IF(ISNUMBER(SEARCH("상해",C32)),"CN",IF(ISNUMBER(SEARCH("대만",C32)),"TW","홀세일"))))</f>
        <v>TW</v>
      </c>
      <c r="B32" s="36" t="s">
        <v>98</v>
      </c>
      <c r="C32" s="36" t="s">
        <v>99</v>
      </c>
      <c r="D32" s="37" t="s">
        <v>123</v>
      </c>
      <c r="E32" s="36" t="n">
        <v>2026</v>
      </c>
      <c r="F32" s="37" t="s">
        <v>101</v>
      </c>
      <c r="G32" s="37" t="s">
        <v>124</v>
      </c>
      <c r="H32" s="36" t="s">
        <v>131</v>
      </c>
      <c r="I32" s="36" t="s">
        <v>170</v>
      </c>
      <c r="J32" s="37" t="s">
        <v>171</v>
      </c>
      <c r="K32" s="38" t="n">
        <v>350</v>
      </c>
      <c r="L32" s="38" t="n">
        <v>38150000</v>
      </c>
      <c r="M32" s="38" t="n">
        <v>13838650</v>
      </c>
      <c r="N32" s="39" t="n">
        <f aca="false">IF(A32="제외",0,IF(OR(N(L32)&lt;=0,N(M32)&gt;N(L32)),N(M32)/요약!$D$27,N(L32)))</f>
        <v>38150000</v>
      </c>
      <c r="O32" s="32" t="str">
        <f aca="false">IF(A32="제외","",IF(OR(N(L32)&lt;=0,N(M32)&gt;N(L32)),"택가보정(판매금액÷공급율)",""))</f>
        <v/>
      </c>
      <c r="P32" s="0" t="str">
        <f aca="false">IF(A32="HK","100",IF(A32="CN","200",IF(A32="TW","300",IF(ISNUMBER(SEARCH("태국",C32)),"500",IF(ISNUMBER(SEARCH("말레이",C32)),"600",IF(ISNUMBER(SEARCH("필리핀",C32)),"700",IF(ISNUMBER(SEARCH("인도네시아",C32)),"800",IF(ISNUMBER(SEARCH("크루즈",C32)),"810",IF(ISNUMBER(SEARCH("동물원",C32)),"830","")))))))))</f>
        <v>300</v>
      </c>
    </row>
    <row r="33" customFormat="false" ht="15" hidden="false" customHeight="false" outlineLevel="0" collapsed="false">
      <c r="A33" s="32" t="str">
        <f aca="false">IF(OR(TRIM(C33)="",SUBSTITUTE(C33," ","")="소계"),"제외",IF(ISNUMBER(SEARCH("홍콩",C33)),"HK",IF(ISNUMBER(SEARCH("상해",C33)),"CN",IF(ISNUMBER(SEARCH("대만",C33)),"TW","홀세일"))))</f>
        <v>TW</v>
      </c>
      <c r="B33" s="36" t="s">
        <v>98</v>
      </c>
      <c r="C33" s="36" t="s">
        <v>99</v>
      </c>
      <c r="D33" s="37" t="s">
        <v>123</v>
      </c>
      <c r="E33" s="36" t="n">
        <v>2026</v>
      </c>
      <c r="F33" s="37" t="s">
        <v>101</v>
      </c>
      <c r="G33" s="37" t="s">
        <v>124</v>
      </c>
      <c r="H33" s="36" t="s">
        <v>131</v>
      </c>
      <c r="I33" s="36" t="s">
        <v>172</v>
      </c>
      <c r="J33" s="37" t="s">
        <v>173</v>
      </c>
      <c r="K33" s="38" t="n">
        <v>165</v>
      </c>
      <c r="L33" s="38" t="n">
        <v>19635000</v>
      </c>
      <c r="M33" s="38" t="n">
        <v>7121235</v>
      </c>
      <c r="N33" s="39" t="n">
        <f aca="false">IF(A33="제외",0,IF(OR(N(L33)&lt;=0,N(M33)&gt;N(L33)),N(M33)/요약!$D$27,N(L33)))</f>
        <v>19635000</v>
      </c>
      <c r="O33" s="32" t="str">
        <f aca="false">IF(A33="제외","",IF(OR(N(L33)&lt;=0,N(M33)&gt;N(L33)),"택가보정(판매금액÷공급율)",""))</f>
        <v/>
      </c>
      <c r="P33" s="0" t="str">
        <f aca="false">IF(A33="HK","100",IF(A33="CN","200",IF(A33="TW","300",IF(ISNUMBER(SEARCH("태국",C33)),"500",IF(ISNUMBER(SEARCH("말레이",C33)),"600",IF(ISNUMBER(SEARCH("필리핀",C33)),"700",IF(ISNUMBER(SEARCH("인도네시아",C33)),"800",IF(ISNUMBER(SEARCH("크루즈",C33)),"810",IF(ISNUMBER(SEARCH("동물원",C33)),"830","")))))))))</f>
        <v>300</v>
      </c>
    </row>
    <row r="34" customFormat="false" ht="15" hidden="false" customHeight="false" outlineLevel="0" collapsed="false">
      <c r="A34" s="32" t="str">
        <f aca="false">IF(OR(TRIM(C34)="",SUBSTITUTE(C34," ","")="소계"),"제외",IF(ISNUMBER(SEARCH("홍콩",C34)),"HK",IF(ISNUMBER(SEARCH("상해",C34)),"CN",IF(ISNUMBER(SEARCH("대만",C34)),"TW","홀세일"))))</f>
        <v>TW</v>
      </c>
      <c r="B34" s="36" t="s">
        <v>98</v>
      </c>
      <c r="C34" s="36" t="s">
        <v>99</v>
      </c>
      <c r="D34" s="37" t="s">
        <v>123</v>
      </c>
      <c r="E34" s="36" t="n">
        <v>2026</v>
      </c>
      <c r="F34" s="37" t="s">
        <v>101</v>
      </c>
      <c r="G34" s="37" t="s">
        <v>124</v>
      </c>
      <c r="H34" s="37" t="s">
        <v>128</v>
      </c>
      <c r="I34" s="36" t="s">
        <v>174</v>
      </c>
      <c r="J34" s="36" t="s">
        <v>175</v>
      </c>
      <c r="K34" s="38" t="n">
        <v>180</v>
      </c>
      <c r="L34" s="38" t="n">
        <v>19620000</v>
      </c>
      <c r="M34" s="38" t="n">
        <v>7117020</v>
      </c>
      <c r="N34" s="39" t="n">
        <f aca="false">IF(A34="제외",0,IF(OR(N(L34)&lt;=0,N(M34)&gt;N(L34)),N(M34)/요약!$D$27,N(L34)))</f>
        <v>19620000</v>
      </c>
      <c r="O34" s="32" t="str">
        <f aca="false">IF(A34="제외","",IF(OR(N(L34)&lt;=0,N(M34)&gt;N(L34)),"택가보정(판매금액÷공급율)",""))</f>
        <v/>
      </c>
      <c r="P34" s="0" t="str">
        <f aca="false">IF(A34="HK","100",IF(A34="CN","200",IF(A34="TW","300",IF(ISNUMBER(SEARCH("태국",C34)),"500",IF(ISNUMBER(SEARCH("말레이",C34)),"600",IF(ISNUMBER(SEARCH("필리핀",C34)),"700",IF(ISNUMBER(SEARCH("인도네시아",C34)),"800",IF(ISNUMBER(SEARCH("크루즈",C34)),"810",IF(ISNUMBER(SEARCH("동물원",C34)),"830","")))))))))</f>
        <v>300</v>
      </c>
    </row>
    <row r="35" customFormat="false" ht="15" hidden="false" customHeight="false" outlineLevel="0" collapsed="false">
      <c r="A35" s="32" t="str">
        <f aca="false">IF(OR(TRIM(C35)="",SUBSTITUTE(C35," ","")="소계"),"제외",IF(ISNUMBER(SEARCH("홍콩",C35)),"HK",IF(ISNUMBER(SEARCH("상해",C35)),"CN",IF(ISNUMBER(SEARCH("대만",C35)),"TW","홀세일"))))</f>
        <v>TW</v>
      </c>
      <c r="B35" s="36" t="s">
        <v>98</v>
      </c>
      <c r="C35" s="36" t="s">
        <v>99</v>
      </c>
      <c r="D35" s="37" t="s">
        <v>123</v>
      </c>
      <c r="E35" s="36" t="n">
        <v>2026</v>
      </c>
      <c r="F35" s="37" t="s">
        <v>101</v>
      </c>
      <c r="G35" s="37" t="s">
        <v>124</v>
      </c>
      <c r="H35" s="36" t="s">
        <v>131</v>
      </c>
      <c r="I35" s="36" t="s">
        <v>176</v>
      </c>
      <c r="J35" s="37" t="s">
        <v>177</v>
      </c>
      <c r="K35" s="38" t="n">
        <v>280</v>
      </c>
      <c r="L35" s="38" t="n">
        <v>22120000</v>
      </c>
      <c r="M35" s="38" t="n">
        <v>8029280</v>
      </c>
      <c r="N35" s="39" t="n">
        <f aca="false">IF(A35="제외",0,IF(OR(N(L35)&lt;=0,N(M35)&gt;N(L35)),N(M35)/요약!$D$27,N(L35)))</f>
        <v>22120000</v>
      </c>
      <c r="O35" s="32" t="str">
        <f aca="false">IF(A35="제외","",IF(OR(N(L35)&lt;=0,N(M35)&gt;N(L35)),"택가보정(판매금액÷공급율)",""))</f>
        <v/>
      </c>
      <c r="P35" s="0" t="str">
        <f aca="false">IF(A35="HK","100",IF(A35="CN","200",IF(A35="TW","300",IF(ISNUMBER(SEARCH("태국",C35)),"500",IF(ISNUMBER(SEARCH("말레이",C35)),"600",IF(ISNUMBER(SEARCH("필리핀",C35)),"700",IF(ISNUMBER(SEARCH("인도네시아",C35)),"800",IF(ISNUMBER(SEARCH("크루즈",C35)),"810",IF(ISNUMBER(SEARCH("동물원",C35)),"830","")))))))))</f>
        <v>300</v>
      </c>
    </row>
    <row r="36" customFormat="false" ht="15" hidden="false" customHeight="false" outlineLevel="0" collapsed="false">
      <c r="A36" s="32" t="str">
        <f aca="false">IF(OR(TRIM(C36)="",SUBSTITUTE(C36," ","")="소계"),"제외",IF(ISNUMBER(SEARCH("홍콩",C36)),"HK",IF(ISNUMBER(SEARCH("상해",C36)),"CN",IF(ISNUMBER(SEARCH("대만",C36)),"TW","홀세일"))))</f>
        <v>TW</v>
      </c>
      <c r="B36" s="36" t="s">
        <v>98</v>
      </c>
      <c r="C36" s="36" t="s">
        <v>99</v>
      </c>
      <c r="D36" s="37" t="s">
        <v>123</v>
      </c>
      <c r="E36" s="36" t="n">
        <v>2026</v>
      </c>
      <c r="F36" s="37" t="s">
        <v>101</v>
      </c>
      <c r="G36" s="37" t="s">
        <v>124</v>
      </c>
      <c r="H36" s="36" t="s">
        <v>131</v>
      </c>
      <c r="I36" s="36" t="s">
        <v>178</v>
      </c>
      <c r="J36" s="37" t="s">
        <v>179</v>
      </c>
      <c r="K36" s="38" t="n">
        <v>330</v>
      </c>
      <c r="L36" s="38" t="n">
        <v>29370000</v>
      </c>
      <c r="M36" s="38" t="n">
        <v>10658010</v>
      </c>
      <c r="N36" s="39" t="n">
        <f aca="false">IF(A36="제외",0,IF(OR(N(L36)&lt;=0,N(M36)&gt;N(L36)),N(M36)/요약!$D$27,N(L36)))</f>
        <v>29370000</v>
      </c>
      <c r="O36" s="32" t="str">
        <f aca="false">IF(A36="제외","",IF(OR(N(L36)&lt;=0,N(M36)&gt;N(L36)),"택가보정(판매금액÷공급율)",""))</f>
        <v/>
      </c>
      <c r="P36" s="0" t="str">
        <f aca="false">IF(A36="HK","100",IF(A36="CN","200",IF(A36="TW","300",IF(ISNUMBER(SEARCH("태국",C36)),"500",IF(ISNUMBER(SEARCH("말레이",C36)),"600",IF(ISNUMBER(SEARCH("필리핀",C36)),"700",IF(ISNUMBER(SEARCH("인도네시아",C36)),"800",IF(ISNUMBER(SEARCH("크루즈",C36)),"810",IF(ISNUMBER(SEARCH("동물원",C36)),"830","")))))))))</f>
        <v>300</v>
      </c>
    </row>
    <row r="37" customFormat="false" ht="15" hidden="false" customHeight="false" outlineLevel="0" collapsed="false">
      <c r="A37" s="32" t="str">
        <f aca="false">IF(OR(TRIM(C37)="",SUBSTITUTE(C37," ","")="소계"),"제외",IF(ISNUMBER(SEARCH("홍콩",C37)),"HK",IF(ISNUMBER(SEARCH("상해",C37)),"CN",IF(ISNUMBER(SEARCH("대만",C37)),"TW","홀세일"))))</f>
        <v>TW</v>
      </c>
      <c r="B37" s="36" t="s">
        <v>98</v>
      </c>
      <c r="C37" s="36" t="s">
        <v>99</v>
      </c>
      <c r="D37" s="37" t="s">
        <v>123</v>
      </c>
      <c r="E37" s="36" t="n">
        <v>2026</v>
      </c>
      <c r="F37" s="37" t="s">
        <v>101</v>
      </c>
      <c r="G37" s="37" t="s">
        <v>124</v>
      </c>
      <c r="H37" s="36" t="s">
        <v>131</v>
      </c>
      <c r="I37" s="36" t="s">
        <v>180</v>
      </c>
      <c r="J37" s="37" t="s">
        <v>181</v>
      </c>
      <c r="K37" s="38" t="n">
        <v>150</v>
      </c>
      <c r="L37" s="38" t="n">
        <v>13350000</v>
      </c>
      <c r="M37" s="38" t="n">
        <v>4844550</v>
      </c>
      <c r="N37" s="39" t="n">
        <f aca="false">IF(A37="제외",0,IF(OR(N(L37)&lt;=0,N(M37)&gt;N(L37)),N(M37)/요약!$D$27,N(L37)))</f>
        <v>13350000</v>
      </c>
      <c r="O37" s="32" t="str">
        <f aca="false">IF(A37="제외","",IF(OR(N(L37)&lt;=0,N(M37)&gt;N(L37)),"택가보정(판매금액÷공급율)",""))</f>
        <v/>
      </c>
      <c r="P37" s="0" t="str">
        <f aca="false">IF(A37="HK","100",IF(A37="CN","200",IF(A37="TW","300",IF(ISNUMBER(SEARCH("태국",C37)),"500",IF(ISNUMBER(SEARCH("말레이",C37)),"600",IF(ISNUMBER(SEARCH("필리핀",C37)),"700",IF(ISNUMBER(SEARCH("인도네시아",C37)),"800",IF(ISNUMBER(SEARCH("크루즈",C37)),"810",IF(ISNUMBER(SEARCH("동물원",C37)),"830","")))))))))</f>
        <v>300</v>
      </c>
    </row>
    <row r="38" customFormat="false" ht="15" hidden="false" customHeight="false" outlineLevel="0" collapsed="false">
      <c r="A38" s="32" t="str">
        <f aca="false">IF(OR(TRIM(C38)="",SUBSTITUTE(C38," ","")="소계"),"제외",IF(ISNUMBER(SEARCH("홍콩",C38)),"HK",IF(ISNUMBER(SEARCH("상해",C38)),"CN",IF(ISNUMBER(SEARCH("대만",C38)),"TW","홀세일"))))</f>
        <v>TW</v>
      </c>
      <c r="B38" s="36" t="s">
        <v>98</v>
      </c>
      <c r="C38" s="36" t="s">
        <v>99</v>
      </c>
      <c r="D38" s="37" t="s">
        <v>123</v>
      </c>
      <c r="E38" s="36" t="n">
        <v>2026</v>
      </c>
      <c r="F38" s="37" t="s">
        <v>101</v>
      </c>
      <c r="G38" s="37" t="s">
        <v>124</v>
      </c>
      <c r="H38" s="36" t="s">
        <v>131</v>
      </c>
      <c r="I38" s="36" t="s">
        <v>182</v>
      </c>
      <c r="J38" s="37" t="s">
        <v>183</v>
      </c>
      <c r="K38" s="38" t="n">
        <v>125</v>
      </c>
      <c r="L38" s="38" t="n">
        <v>14875000</v>
      </c>
      <c r="M38" s="38" t="n">
        <v>5394875</v>
      </c>
      <c r="N38" s="39" t="n">
        <f aca="false">IF(A38="제외",0,IF(OR(N(L38)&lt;=0,N(M38)&gt;N(L38)),N(M38)/요약!$D$27,N(L38)))</f>
        <v>14875000</v>
      </c>
      <c r="O38" s="32" t="str">
        <f aca="false">IF(A38="제외","",IF(OR(N(L38)&lt;=0,N(M38)&gt;N(L38)),"택가보정(판매금액÷공급율)",""))</f>
        <v/>
      </c>
      <c r="P38" s="0" t="str">
        <f aca="false">IF(A38="HK","100",IF(A38="CN","200",IF(A38="TW","300",IF(ISNUMBER(SEARCH("태국",C38)),"500",IF(ISNUMBER(SEARCH("말레이",C38)),"600",IF(ISNUMBER(SEARCH("필리핀",C38)),"700",IF(ISNUMBER(SEARCH("인도네시아",C38)),"800",IF(ISNUMBER(SEARCH("크루즈",C38)),"810",IF(ISNUMBER(SEARCH("동물원",C38)),"830","")))))))))</f>
        <v>300</v>
      </c>
    </row>
    <row r="39" customFormat="false" ht="15" hidden="false" customHeight="false" outlineLevel="0" collapsed="false">
      <c r="A39" s="32" t="str">
        <f aca="false">IF(OR(TRIM(C39)="",SUBSTITUTE(C39," ","")="소계"),"제외",IF(ISNUMBER(SEARCH("홍콩",C39)),"HK",IF(ISNUMBER(SEARCH("상해",C39)),"CN",IF(ISNUMBER(SEARCH("대만",C39)),"TW","홀세일"))))</f>
        <v>TW</v>
      </c>
      <c r="B39" s="36" t="s">
        <v>98</v>
      </c>
      <c r="C39" s="36" t="s">
        <v>99</v>
      </c>
      <c r="D39" s="37" t="s">
        <v>123</v>
      </c>
      <c r="E39" s="36" t="n">
        <v>2026</v>
      </c>
      <c r="F39" s="37" t="s">
        <v>101</v>
      </c>
      <c r="G39" s="37" t="s">
        <v>124</v>
      </c>
      <c r="H39" s="36" t="s">
        <v>131</v>
      </c>
      <c r="I39" s="36" t="s">
        <v>184</v>
      </c>
      <c r="J39" s="37" t="s">
        <v>185</v>
      </c>
      <c r="K39" s="38" t="n">
        <v>150</v>
      </c>
      <c r="L39" s="38" t="n">
        <v>11850000</v>
      </c>
      <c r="M39" s="38" t="n">
        <v>4238250</v>
      </c>
      <c r="N39" s="39" t="n">
        <f aca="false">IF(A39="제외",0,IF(OR(N(L39)&lt;=0,N(M39)&gt;N(L39)),N(M39)/요약!$D$27,N(L39)))</f>
        <v>11850000</v>
      </c>
      <c r="O39" s="32" t="str">
        <f aca="false">IF(A39="제외","",IF(OR(N(L39)&lt;=0,N(M39)&gt;N(L39)),"택가보정(판매금액÷공급율)",""))</f>
        <v/>
      </c>
      <c r="P39" s="0" t="str">
        <f aca="false">IF(A39="HK","100",IF(A39="CN","200",IF(A39="TW","300",IF(ISNUMBER(SEARCH("태국",C39)),"500",IF(ISNUMBER(SEARCH("말레이",C39)),"600",IF(ISNUMBER(SEARCH("필리핀",C39)),"700",IF(ISNUMBER(SEARCH("인도네시아",C39)),"800",IF(ISNUMBER(SEARCH("크루즈",C39)),"810",IF(ISNUMBER(SEARCH("동물원",C39)),"830","")))))))))</f>
        <v>300</v>
      </c>
    </row>
    <row r="40" customFormat="false" ht="15" hidden="false" customHeight="false" outlineLevel="0" collapsed="false">
      <c r="A40" s="32" t="str">
        <f aca="false">IF(OR(TRIM(C40)="",SUBSTITUTE(C40," ","")="소계"),"제외",IF(ISNUMBER(SEARCH("홍콩",C40)),"HK",IF(ISNUMBER(SEARCH("상해",C40)),"CN",IF(ISNUMBER(SEARCH("대만",C40)),"TW","홀세일"))))</f>
        <v>TW</v>
      </c>
      <c r="B40" s="36" t="s">
        <v>98</v>
      </c>
      <c r="C40" s="36" t="s">
        <v>99</v>
      </c>
      <c r="D40" s="37" t="s">
        <v>123</v>
      </c>
      <c r="E40" s="36" t="n">
        <v>2026</v>
      </c>
      <c r="F40" s="37" t="s">
        <v>101</v>
      </c>
      <c r="G40" s="37" t="s">
        <v>124</v>
      </c>
      <c r="H40" s="36" t="s">
        <v>131</v>
      </c>
      <c r="I40" s="36" t="s">
        <v>186</v>
      </c>
      <c r="J40" s="37" t="s">
        <v>187</v>
      </c>
      <c r="K40" s="38" t="n">
        <v>300</v>
      </c>
      <c r="L40" s="38" t="n">
        <v>17700000</v>
      </c>
      <c r="M40" s="38" t="n">
        <v>6430500</v>
      </c>
      <c r="N40" s="39" t="n">
        <f aca="false">IF(A40="제외",0,IF(OR(N(L40)&lt;=0,N(M40)&gt;N(L40)),N(M40)/요약!$D$27,N(L40)))</f>
        <v>17700000</v>
      </c>
      <c r="O40" s="32" t="str">
        <f aca="false">IF(A40="제외","",IF(OR(N(L40)&lt;=0,N(M40)&gt;N(L40)),"택가보정(판매금액÷공급율)",""))</f>
        <v/>
      </c>
      <c r="P40" s="0" t="str">
        <f aca="false">IF(A40="HK","100",IF(A40="CN","200",IF(A40="TW","300",IF(ISNUMBER(SEARCH("태국",C40)),"500",IF(ISNUMBER(SEARCH("말레이",C40)),"600",IF(ISNUMBER(SEARCH("필리핀",C40)),"700",IF(ISNUMBER(SEARCH("인도네시아",C40)),"800",IF(ISNUMBER(SEARCH("크루즈",C40)),"810",IF(ISNUMBER(SEARCH("동물원",C40)),"830","")))))))))</f>
        <v>300</v>
      </c>
    </row>
    <row r="41" customFormat="false" ht="15" hidden="false" customHeight="false" outlineLevel="0" collapsed="false">
      <c r="A41" s="32" t="str">
        <f aca="false">IF(OR(TRIM(C41)="",SUBSTITUTE(C41," ","")="소계"),"제외",IF(ISNUMBER(SEARCH("홍콩",C41)),"HK",IF(ISNUMBER(SEARCH("상해",C41)),"CN",IF(ISNUMBER(SEARCH("대만",C41)),"TW","홀세일"))))</f>
        <v>TW</v>
      </c>
      <c r="B41" s="36" t="s">
        <v>98</v>
      </c>
      <c r="C41" s="36" t="s">
        <v>99</v>
      </c>
      <c r="D41" s="37" t="s">
        <v>123</v>
      </c>
      <c r="E41" s="36" t="n">
        <v>2026</v>
      </c>
      <c r="F41" s="37" t="s">
        <v>101</v>
      </c>
      <c r="G41" s="37" t="s">
        <v>124</v>
      </c>
      <c r="H41" s="36" t="s">
        <v>188</v>
      </c>
      <c r="I41" s="36" t="s">
        <v>189</v>
      </c>
      <c r="J41" s="36" t="s">
        <v>190</v>
      </c>
      <c r="K41" s="38" t="n">
        <v>150</v>
      </c>
      <c r="L41" s="38" t="n">
        <v>16350000</v>
      </c>
      <c r="M41" s="38" t="n">
        <v>5930850</v>
      </c>
      <c r="N41" s="39" t="n">
        <f aca="false">IF(A41="제외",0,IF(OR(N(L41)&lt;=0,N(M41)&gt;N(L41)),N(M41)/요약!$D$27,N(L41)))</f>
        <v>16350000</v>
      </c>
      <c r="O41" s="32" t="str">
        <f aca="false">IF(A41="제외","",IF(OR(N(L41)&lt;=0,N(M41)&gt;N(L41)),"택가보정(판매금액÷공급율)",""))</f>
        <v/>
      </c>
      <c r="P41" s="0" t="str">
        <f aca="false">IF(A41="HK","100",IF(A41="CN","200",IF(A41="TW","300",IF(ISNUMBER(SEARCH("태국",C41)),"500",IF(ISNUMBER(SEARCH("말레이",C41)),"600",IF(ISNUMBER(SEARCH("필리핀",C41)),"700",IF(ISNUMBER(SEARCH("인도네시아",C41)),"800",IF(ISNUMBER(SEARCH("크루즈",C41)),"810",IF(ISNUMBER(SEARCH("동물원",C41)),"830","")))))))))</f>
        <v>300</v>
      </c>
    </row>
    <row r="42" customFormat="false" ht="15" hidden="false" customHeight="false" outlineLevel="0" collapsed="false">
      <c r="A42" s="32" t="str">
        <f aca="false">IF(OR(TRIM(C42)="",SUBSTITUTE(C42," ","")="소계"),"제외",IF(ISNUMBER(SEARCH("홍콩",C42)),"HK",IF(ISNUMBER(SEARCH("상해",C42)),"CN",IF(ISNUMBER(SEARCH("대만",C42)),"TW","홀세일"))))</f>
        <v>TW</v>
      </c>
      <c r="B42" s="36" t="s">
        <v>98</v>
      </c>
      <c r="C42" s="36" t="s">
        <v>99</v>
      </c>
      <c r="D42" s="37" t="s">
        <v>123</v>
      </c>
      <c r="E42" s="36" t="n">
        <v>2026</v>
      </c>
      <c r="F42" s="37" t="s">
        <v>101</v>
      </c>
      <c r="G42" s="37" t="s">
        <v>124</v>
      </c>
      <c r="H42" s="36" t="s">
        <v>188</v>
      </c>
      <c r="I42" s="36" t="s">
        <v>191</v>
      </c>
      <c r="J42" s="36" t="s">
        <v>192</v>
      </c>
      <c r="K42" s="38" t="n">
        <v>230</v>
      </c>
      <c r="L42" s="38" t="n">
        <v>29670000</v>
      </c>
      <c r="M42" s="38" t="n">
        <v>10748360</v>
      </c>
      <c r="N42" s="39" t="n">
        <f aca="false">IF(A42="제외",0,IF(OR(N(L42)&lt;=0,N(M42)&gt;N(L42)),N(M42)/요약!$D$27,N(L42)))</f>
        <v>29670000</v>
      </c>
      <c r="O42" s="32" t="str">
        <f aca="false">IF(A42="제외","",IF(OR(N(L42)&lt;=0,N(M42)&gt;N(L42)),"택가보정(판매금액÷공급율)",""))</f>
        <v/>
      </c>
      <c r="P42" s="0" t="str">
        <f aca="false">IF(A42="HK","100",IF(A42="CN","200",IF(A42="TW","300",IF(ISNUMBER(SEARCH("태국",C42)),"500",IF(ISNUMBER(SEARCH("말레이",C42)),"600",IF(ISNUMBER(SEARCH("필리핀",C42)),"700",IF(ISNUMBER(SEARCH("인도네시아",C42)),"800",IF(ISNUMBER(SEARCH("크루즈",C42)),"810",IF(ISNUMBER(SEARCH("동물원",C42)),"830","")))))))))</f>
        <v>300</v>
      </c>
    </row>
    <row r="43" customFormat="false" ht="15" hidden="false" customHeight="false" outlineLevel="0" collapsed="false">
      <c r="A43" s="32" t="str">
        <f aca="false">IF(OR(TRIM(C43)="",SUBSTITUTE(C43," ","")="소계"),"제외",IF(ISNUMBER(SEARCH("홍콩",C43)),"HK",IF(ISNUMBER(SEARCH("상해",C43)),"CN",IF(ISNUMBER(SEARCH("대만",C43)),"TW","홀세일"))))</f>
        <v>TW</v>
      </c>
      <c r="B43" s="36" t="s">
        <v>98</v>
      </c>
      <c r="C43" s="36" t="s">
        <v>99</v>
      </c>
      <c r="D43" s="37" t="s">
        <v>123</v>
      </c>
      <c r="E43" s="36" t="n">
        <v>2026</v>
      </c>
      <c r="F43" s="37" t="s">
        <v>101</v>
      </c>
      <c r="G43" s="37" t="s">
        <v>124</v>
      </c>
      <c r="H43" s="36" t="s">
        <v>188</v>
      </c>
      <c r="I43" s="36" t="s">
        <v>193</v>
      </c>
      <c r="J43" s="36" t="s">
        <v>194</v>
      </c>
      <c r="K43" s="38" t="n">
        <v>80</v>
      </c>
      <c r="L43" s="38" t="n">
        <v>8720000</v>
      </c>
      <c r="M43" s="38" t="n">
        <v>3163120</v>
      </c>
      <c r="N43" s="39" t="n">
        <f aca="false">IF(A43="제외",0,IF(OR(N(L43)&lt;=0,N(M43)&gt;N(L43)),N(M43)/요약!$D$27,N(L43)))</f>
        <v>8720000</v>
      </c>
      <c r="O43" s="32" t="str">
        <f aca="false">IF(A43="제외","",IF(OR(N(L43)&lt;=0,N(M43)&gt;N(L43)),"택가보정(판매금액÷공급율)",""))</f>
        <v/>
      </c>
      <c r="P43" s="0" t="str">
        <f aca="false">IF(A43="HK","100",IF(A43="CN","200",IF(A43="TW","300",IF(ISNUMBER(SEARCH("태국",C43)),"500",IF(ISNUMBER(SEARCH("말레이",C43)),"600",IF(ISNUMBER(SEARCH("필리핀",C43)),"700",IF(ISNUMBER(SEARCH("인도네시아",C43)),"800",IF(ISNUMBER(SEARCH("크루즈",C43)),"810",IF(ISNUMBER(SEARCH("동물원",C43)),"830","")))))))))</f>
        <v>300</v>
      </c>
    </row>
    <row r="44" customFormat="false" ht="15" hidden="false" customHeight="false" outlineLevel="0" collapsed="false">
      <c r="A44" s="32" t="str">
        <f aca="false">IF(OR(TRIM(C44)="",SUBSTITUTE(C44," ","")="소계"),"제외",IF(ISNUMBER(SEARCH("홍콩",C44)),"HK",IF(ISNUMBER(SEARCH("상해",C44)),"CN",IF(ISNUMBER(SEARCH("대만",C44)),"TW","홀세일"))))</f>
        <v>TW</v>
      </c>
      <c r="B44" s="36" t="s">
        <v>98</v>
      </c>
      <c r="C44" s="36" t="s">
        <v>99</v>
      </c>
      <c r="D44" s="37" t="s">
        <v>123</v>
      </c>
      <c r="E44" s="36" t="n">
        <v>2026</v>
      </c>
      <c r="F44" s="37" t="s">
        <v>101</v>
      </c>
      <c r="G44" s="37" t="s">
        <v>124</v>
      </c>
      <c r="H44" s="36" t="s">
        <v>188</v>
      </c>
      <c r="I44" s="36" t="s">
        <v>195</v>
      </c>
      <c r="J44" s="36" t="s">
        <v>196</v>
      </c>
      <c r="K44" s="38" t="n">
        <v>230</v>
      </c>
      <c r="L44" s="38" t="n">
        <v>31970000</v>
      </c>
      <c r="M44" s="38" t="n">
        <v>11580270</v>
      </c>
      <c r="N44" s="39" t="n">
        <f aca="false">IF(A44="제외",0,IF(OR(N(L44)&lt;=0,N(M44)&gt;N(L44)),N(M44)/요약!$D$27,N(L44)))</f>
        <v>31970000</v>
      </c>
      <c r="O44" s="32" t="str">
        <f aca="false">IF(A44="제외","",IF(OR(N(L44)&lt;=0,N(M44)&gt;N(L44)),"택가보정(판매금액÷공급율)",""))</f>
        <v/>
      </c>
      <c r="P44" s="0" t="str">
        <f aca="false">IF(A44="HK","100",IF(A44="CN","200",IF(A44="TW","300",IF(ISNUMBER(SEARCH("태국",C44)),"500",IF(ISNUMBER(SEARCH("말레이",C44)),"600",IF(ISNUMBER(SEARCH("필리핀",C44)),"700",IF(ISNUMBER(SEARCH("인도네시아",C44)),"800",IF(ISNUMBER(SEARCH("크루즈",C44)),"810",IF(ISNUMBER(SEARCH("동물원",C44)),"830","")))))))))</f>
        <v>300</v>
      </c>
    </row>
    <row r="45" customFormat="false" ht="15" hidden="false" customHeight="false" outlineLevel="0" collapsed="false">
      <c r="A45" s="32" t="str">
        <f aca="false">IF(OR(TRIM(C45)="",SUBSTITUTE(C45," ","")="소계"),"제외",IF(ISNUMBER(SEARCH("홍콩",C45)),"HK",IF(ISNUMBER(SEARCH("상해",C45)),"CN",IF(ISNUMBER(SEARCH("대만",C45)),"TW","홀세일"))))</f>
        <v>TW</v>
      </c>
      <c r="B45" s="36" t="s">
        <v>98</v>
      </c>
      <c r="C45" s="36" t="s">
        <v>99</v>
      </c>
      <c r="D45" s="37" t="s">
        <v>123</v>
      </c>
      <c r="E45" s="36" t="n">
        <v>2026</v>
      </c>
      <c r="F45" s="37" t="s">
        <v>101</v>
      </c>
      <c r="G45" s="37" t="s">
        <v>124</v>
      </c>
      <c r="H45" s="36" t="s">
        <v>188</v>
      </c>
      <c r="I45" s="36" t="s">
        <v>197</v>
      </c>
      <c r="J45" s="36" t="s">
        <v>198</v>
      </c>
      <c r="K45" s="38" t="n">
        <v>280</v>
      </c>
      <c r="L45" s="38" t="n">
        <v>41720000</v>
      </c>
      <c r="M45" s="38" t="n">
        <v>15349600</v>
      </c>
      <c r="N45" s="39" t="n">
        <f aca="false">IF(A45="제외",0,IF(OR(N(L45)&lt;=0,N(M45)&gt;N(L45)),N(M45)/요약!$D$27,N(L45)))</f>
        <v>41720000</v>
      </c>
      <c r="O45" s="32" t="str">
        <f aca="false">IF(A45="제외","",IF(OR(N(L45)&lt;=0,N(M45)&gt;N(L45)),"택가보정(판매금액÷공급율)",""))</f>
        <v/>
      </c>
      <c r="P45" s="0" t="str">
        <f aca="false">IF(A45="HK","100",IF(A45="CN","200",IF(A45="TW","300",IF(ISNUMBER(SEARCH("태국",C45)),"500",IF(ISNUMBER(SEARCH("말레이",C45)),"600",IF(ISNUMBER(SEARCH("필리핀",C45)),"700",IF(ISNUMBER(SEARCH("인도네시아",C45)),"800",IF(ISNUMBER(SEARCH("크루즈",C45)),"810",IF(ISNUMBER(SEARCH("동물원",C45)),"830","")))))))))</f>
        <v>300</v>
      </c>
    </row>
    <row r="46" customFormat="false" ht="15" hidden="false" customHeight="false" outlineLevel="0" collapsed="false">
      <c r="A46" s="32" t="str">
        <f aca="false">IF(OR(TRIM(C46)="",SUBSTITUTE(C46," ","")="소계"),"제외",IF(ISNUMBER(SEARCH("홍콩",C46)),"HK",IF(ISNUMBER(SEARCH("상해",C46)),"CN",IF(ISNUMBER(SEARCH("대만",C46)),"TW","홀세일"))))</f>
        <v>TW</v>
      </c>
      <c r="B46" s="36" t="s">
        <v>98</v>
      </c>
      <c r="C46" s="36" t="s">
        <v>99</v>
      </c>
      <c r="D46" s="37" t="s">
        <v>123</v>
      </c>
      <c r="E46" s="36" t="n">
        <v>2026</v>
      </c>
      <c r="F46" s="37" t="s">
        <v>101</v>
      </c>
      <c r="G46" s="37" t="s">
        <v>124</v>
      </c>
      <c r="H46" s="36" t="s">
        <v>188</v>
      </c>
      <c r="I46" s="36" t="s">
        <v>199</v>
      </c>
      <c r="J46" s="36" t="s">
        <v>200</v>
      </c>
      <c r="K46" s="38" t="n">
        <v>280</v>
      </c>
      <c r="L46" s="38" t="n">
        <v>44520000</v>
      </c>
      <c r="M46" s="38" t="n">
        <v>16378320</v>
      </c>
      <c r="N46" s="39" t="n">
        <f aca="false">IF(A46="제외",0,IF(OR(N(L46)&lt;=0,N(M46)&gt;N(L46)),N(M46)/요약!$D$27,N(L46)))</f>
        <v>44520000</v>
      </c>
      <c r="O46" s="32" t="str">
        <f aca="false">IF(A46="제외","",IF(OR(N(L46)&lt;=0,N(M46)&gt;N(L46)),"택가보정(판매금액÷공급율)",""))</f>
        <v/>
      </c>
      <c r="P46" s="0" t="str">
        <f aca="false">IF(A46="HK","100",IF(A46="CN","200",IF(A46="TW","300",IF(ISNUMBER(SEARCH("태국",C46)),"500",IF(ISNUMBER(SEARCH("말레이",C46)),"600",IF(ISNUMBER(SEARCH("필리핀",C46)),"700",IF(ISNUMBER(SEARCH("인도네시아",C46)),"800",IF(ISNUMBER(SEARCH("크루즈",C46)),"810",IF(ISNUMBER(SEARCH("동물원",C46)),"830","")))))))))</f>
        <v>300</v>
      </c>
    </row>
    <row r="47" customFormat="false" ht="15" hidden="false" customHeight="false" outlineLevel="0" collapsed="false">
      <c r="A47" s="32" t="str">
        <f aca="false">IF(OR(TRIM(C47)="",SUBSTITUTE(C47," ","")="소계"),"제외",IF(ISNUMBER(SEARCH("홍콩",C47)),"HK",IF(ISNUMBER(SEARCH("상해",C47)),"CN",IF(ISNUMBER(SEARCH("대만",C47)),"TW","홀세일"))))</f>
        <v>TW</v>
      </c>
      <c r="B47" s="36" t="s">
        <v>98</v>
      </c>
      <c r="C47" s="36" t="s">
        <v>99</v>
      </c>
      <c r="D47" s="37" t="s">
        <v>123</v>
      </c>
      <c r="E47" s="36" t="n">
        <v>2026</v>
      </c>
      <c r="F47" s="37" t="s">
        <v>101</v>
      </c>
      <c r="G47" s="37" t="s">
        <v>124</v>
      </c>
      <c r="H47" s="36" t="s">
        <v>188</v>
      </c>
      <c r="I47" s="36" t="s">
        <v>201</v>
      </c>
      <c r="J47" s="36" t="s">
        <v>202</v>
      </c>
      <c r="K47" s="38" t="n">
        <v>80</v>
      </c>
      <c r="L47" s="38" t="n">
        <v>19120000</v>
      </c>
      <c r="M47" s="38" t="n">
        <v>7349760</v>
      </c>
      <c r="N47" s="39" t="n">
        <f aca="false">IF(A47="제외",0,IF(OR(N(L47)&lt;=0,N(M47)&gt;N(L47)),N(M47)/요약!$D$27,N(L47)))</f>
        <v>19120000</v>
      </c>
      <c r="O47" s="32" t="str">
        <f aca="false">IF(A47="제외","",IF(OR(N(L47)&lt;=0,N(M47)&gt;N(L47)),"택가보정(판매금액÷공급율)",""))</f>
        <v/>
      </c>
      <c r="P47" s="0" t="str">
        <f aca="false">IF(A47="HK","100",IF(A47="CN","200",IF(A47="TW","300",IF(ISNUMBER(SEARCH("태국",C47)),"500",IF(ISNUMBER(SEARCH("말레이",C47)),"600",IF(ISNUMBER(SEARCH("필리핀",C47)),"700",IF(ISNUMBER(SEARCH("인도네시아",C47)),"800",IF(ISNUMBER(SEARCH("크루즈",C47)),"810",IF(ISNUMBER(SEARCH("동물원",C47)),"830","")))))))))</f>
        <v>300</v>
      </c>
    </row>
    <row r="48" customFormat="false" ht="15" hidden="false" customHeight="false" outlineLevel="0" collapsed="false">
      <c r="A48" s="32" t="str">
        <f aca="false">IF(OR(TRIM(C48)="",SUBSTITUTE(C48," ","")="소계"),"제외",IF(ISNUMBER(SEARCH("홍콩",C48)),"HK",IF(ISNUMBER(SEARCH("상해",C48)),"CN",IF(ISNUMBER(SEARCH("대만",C48)),"TW","홀세일"))))</f>
        <v>TW</v>
      </c>
      <c r="B48" s="36" t="s">
        <v>98</v>
      </c>
      <c r="C48" s="36" t="s">
        <v>99</v>
      </c>
      <c r="D48" s="37" t="s">
        <v>123</v>
      </c>
      <c r="E48" s="36" t="n">
        <v>2026</v>
      </c>
      <c r="F48" s="37" t="s">
        <v>101</v>
      </c>
      <c r="G48" s="37" t="s">
        <v>124</v>
      </c>
      <c r="H48" s="36" t="s">
        <v>188</v>
      </c>
      <c r="I48" s="36" t="s">
        <v>203</v>
      </c>
      <c r="J48" s="36" t="s">
        <v>204</v>
      </c>
      <c r="K48" s="38" t="n">
        <v>120</v>
      </c>
      <c r="L48" s="38" t="n">
        <v>23880000</v>
      </c>
      <c r="M48" s="38" t="n">
        <v>9329640</v>
      </c>
      <c r="N48" s="39" t="n">
        <f aca="false">IF(A48="제외",0,IF(OR(N(L48)&lt;=0,N(M48)&gt;N(L48)),N(M48)/요약!$D$27,N(L48)))</f>
        <v>23880000</v>
      </c>
      <c r="O48" s="32" t="str">
        <f aca="false">IF(A48="제외","",IF(OR(N(L48)&lt;=0,N(M48)&gt;N(L48)),"택가보정(판매금액÷공급율)",""))</f>
        <v/>
      </c>
      <c r="P48" s="0" t="str">
        <f aca="false">IF(A48="HK","100",IF(A48="CN","200",IF(A48="TW","300",IF(ISNUMBER(SEARCH("태국",C48)),"500",IF(ISNUMBER(SEARCH("말레이",C48)),"600",IF(ISNUMBER(SEARCH("필리핀",C48)),"700",IF(ISNUMBER(SEARCH("인도네시아",C48)),"800",IF(ISNUMBER(SEARCH("크루즈",C48)),"810",IF(ISNUMBER(SEARCH("동물원",C48)),"830","")))))))))</f>
        <v>300</v>
      </c>
    </row>
    <row r="49" customFormat="false" ht="15" hidden="false" customHeight="false" outlineLevel="0" collapsed="false">
      <c r="A49" s="32" t="str">
        <f aca="false">IF(OR(TRIM(C49)="",SUBSTITUTE(C49," ","")="소계"),"제외",IF(ISNUMBER(SEARCH("홍콩",C49)),"HK",IF(ISNUMBER(SEARCH("상해",C49)),"CN",IF(ISNUMBER(SEARCH("대만",C49)),"TW","홀세일"))))</f>
        <v>TW</v>
      </c>
      <c r="B49" s="36" t="s">
        <v>98</v>
      </c>
      <c r="C49" s="36" t="s">
        <v>99</v>
      </c>
      <c r="D49" s="37" t="s">
        <v>123</v>
      </c>
      <c r="E49" s="36" t="n">
        <v>2026</v>
      </c>
      <c r="F49" s="37" t="s">
        <v>101</v>
      </c>
      <c r="G49" s="37" t="s">
        <v>124</v>
      </c>
      <c r="H49" s="36" t="s">
        <v>188</v>
      </c>
      <c r="I49" s="36" t="s">
        <v>205</v>
      </c>
      <c r="J49" s="36" t="s">
        <v>206</v>
      </c>
      <c r="K49" s="38" t="n">
        <v>80</v>
      </c>
      <c r="L49" s="38" t="n">
        <v>11920000</v>
      </c>
      <c r="M49" s="38" t="n">
        <v>4321760</v>
      </c>
      <c r="N49" s="39" t="n">
        <f aca="false">IF(A49="제외",0,IF(OR(N(L49)&lt;=0,N(M49)&gt;N(L49)),N(M49)/요약!$D$27,N(L49)))</f>
        <v>11920000</v>
      </c>
      <c r="O49" s="32" t="str">
        <f aca="false">IF(A49="제외","",IF(OR(N(L49)&lt;=0,N(M49)&gt;N(L49)),"택가보정(판매금액÷공급율)",""))</f>
        <v/>
      </c>
      <c r="P49" s="0" t="str">
        <f aca="false">IF(A49="HK","100",IF(A49="CN","200",IF(A49="TW","300",IF(ISNUMBER(SEARCH("태국",C49)),"500",IF(ISNUMBER(SEARCH("말레이",C49)),"600",IF(ISNUMBER(SEARCH("필리핀",C49)),"700",IF(ISNUMBER(SEARCH("인도네시아",C49)),"800",IF(ISNUMBER(SEARCH("크루즈",C49)),"810",IF(ISNUMBER(SEARCH("동물원",C49)),"830","")))))))))</f>
        <v>300</v>
      </c>
    </row>
    <row r="50" customFormat="false" ht="15" hidden="false" customHeight="false" outlineLevel="0" collapsed="false">
      <c r="A50" s="32" t="str">
        <f aca="false">IF(OR(TRIM(C50)="",SUBSTITUTE(C50," ","")="소계"),"제외",IF(ISNUMBER(SEARCH("홍콩",C50)),"HK",IF(ISNUMBER(SEARCH("상해",C50)),"CN",IF(ISNUMBER(SEARCH("대만",C50)),"TW","홀세일"))))</f>
        <v>TW</v>
      </c>
      <c r="B50" s="36" t="s">
        <v>98</v>
      </c>
      <c r="C50" s="36" t="s">
        <v>99</v>
      </c>
      <c r="D50" s="37" t="s">
        <v>123</v>
      </c>
      <c r="E50" s="36" t="n">
        <v>2026</v>
      </c>
      <c r="F50" s="37" t="s">
        <v>101</v>
      </c>
      <c r="G50" s="37" t="s">
        <v>124</v>
      </c>
      <c r="H50" s="36" t="s">
        <v>188</v>
      </c>
      <c r="I50" s="36" t="s">
        <v>207</v>
      </c>
      <c r="J50" s="36" t="s">
        <v>208</v>
      </c>
      <c r="K50" s="38" t="n">
        <v>150</v>
      </c>
      <c r="L50" s="38" t="n">
        <v>28350000</v>
      </c>
      <c r="M50" s="38" t="n">
        <v>10265100</v>
      </c>
      <c r="N50" s="39" t="n">
        <f aca="false">IF(A50="제외",0,IF(OR(N(L50)&lt;=0,N(M50)&gt;N(L50)),N(M50)/요약!$D$27,N(L50)))</f>
        <v>28350000</v>
      </c>
      <c r="O50" s="32" t="str">
        <f aca="false">IF(A50="제외","",IF(OR(N(L50)&lt;=0,N(M50)&gt;N(L50)),"택가보정(판매금액÷공급율)",""))</f>
        <v/>
      </c>
      <c r="P50" s="0" t="str">
        <f aca="false">IF(A50="HK","100",IF(A50="CN","200",IF(A50="TW","300",IF(ISNUMBER(SEARCH("태국",C50)),"500",IF(ISNUMBER(SEARCH("말레이",C50)),"600",IF(ISNUMBER(SEARCH("필리핀",C50)),"700",IF(ISNUMBER(SEARCH("인도네시아",C50)),"800",IF(ISNUMBER(SEARCH("크루즈",C50)),"810",IF(ISNUMBER(SEARCH("동물원",C50)),"830","")))))))))</f>
        <v>300</v>
      </c>
    </row>
    <row r="51" customFormat="false" ht="15" hidden="false" customHeight="false" outlineLevel="0" collapsed="false">
      <c r="A51" s="32" t="str">
        <f aca="false">IF(OR(TRIM(C51)="",SUBSTITUTE(C51," ","")="소계"),"제외",IF(ISNUMBER(SEARCH("홍콩",C51)),"HK",IF(ISNUMBER(SEARCH("상해",C51)),"CN",IF(ISNUMBER(SEARCH("대만",C51)),"TW","홀세일"))))</f>
        <v>TW</v>
      </c>
      <c r="B51" s="36" t="s">
        <v>98</v>
      </c>
      <c r="C51" s="36" t="s">
        <v>99</v>
      </c>
      <c r="D51" s="37" t="s">
        <v>123</v>
      </c>
      <c r="E51" s="36" t="n">
        <v>2026</v>
      </c>
      <c r="F51" s="37" t="s">
        <v>101</v>
      </c>
      <c r="G51" s="37" t="s">
        <v>124</v>
      </c>
      <c r="H51" s="36" t="s">
        <v>188</v>
      </c>
      <c r="I51" s="36" t="s">
        <v>209</v>
      </c>
      <c r="J51" s="36" t="s">
        <v>210</v>
      </c>
      <c r="K51" s="38" t="n">
        <v>80</v>
      </c>
      <c r="L51" s="38" t="n">
        <v>9520000</v>
      </c>
      <c r="M51" s="38" t="n">
        <v>3452720</v>
      </c>
      <c r="N51" s="39" t="n">
        <f aca="false">IF(A51="제외",0,IF(OR(N(L51)&lt;=0,N(M51)&gt;N(L51)),N(M51)/요약!$D$27,N(L51)))</f>
        <v>9520000</v>
      </c>
      <c r="O51" s="32" t="str">
        <f aca="false">IF(A51="제외","",IF(OR(N(L51)&lt;=0,N(M51)&gt;N(L51)),"택가보정(판매금액÷공급율)",""))</f>
        <v/>
      </c>
      <c r="P51" s="0" t="str">
        <f aca="false">IF(A51="HK","100",IF(A51="CN","200",IF(A51="TW","300",IF(ISNUMBER(SEARCH("태국",C51)),"500",IF(ISNUMBER(SEARCH("말레이",C51)),"600",IF(ISNUMBER(SEARCH("필리핀",C51)),"700",IF(ISNUMBER(SEARCH("인도네시아",C51)),"800",IF(ISNUMBER(SEARCH("크루즈",C51)),"810",IF(ISNUMBER(SEARCH("동물원",C51)),"830","")))))))))</f>
        <v>300</v>
      </c>
    </row>
    <row r="52" customFormat="false" ht="15" hidden="false" customHeight="false" outlineLevel="0" collapsed="false">
      <c r="A52" s="32" t="str">
        <f aca="false">IF(OR(TRIM(C52)="",SUBSTITUTE(C52," ","")="소계"),"제외",IF(ISNUMBER(SEARCH("홍콩",C52)),"HK",IF(ISNUMBER(SEARCH("상해",C52)),"CN",IF(ISNUMBER(SEARCH("대만",C52)),"TW","홀세일"))))</f>
        <v>TW</v>
      </c>
      <c r="B52" s="36" t="s">
        <v>98</v>
      </c>
      <c r="C52" s="36" t="s">
        <v>99</v>
      </c>
      <c r="D52" s="37" t="s">
        <v>123</v>
      </c>
      <c r="E52" s="36" t="n">
        <v>2026</v>
      </c>
      <c r="F52" s="37" t="s">
        <v>101</v>
      </c>
      <c r="G52" s="37" t="s">
        <v>124</v>
      </c>
      <c r="H52" s="36" t="s">
        <v>188</v>
      </c>
      <c r="I52" s="36" t="s">
        <v>211</v>
      </c>
      <c r="J52" s="36" t="s">
        <v>212</v>
      </c>
      <c r="K52" s="38" t="n">
        <v>100</v>
      </c>
      <c r="L52" s="38" t="n">
        <v>9900000</v>
      </c>
      <c r="M52" s="38" t="n">
        <v>3591800</v>
      </c>
      <c r="N52" s="39" t="n">
        <f aca="false">IF(A52="제외",0,IF(OR(N(L52)&lt;=0,N(M52)&gt;N(L52)),N(M52)/요약!$D$27,N(L52)))</f>
        <v>9900000</v>
      </c>
      <c r="O52" s="32" t="str">
        <f aca="false">IF(A52="제외","",IF(OR(N(L52)&lt;=0,N(M52)&gt;N(L52)),"택가보정(판매금액÷공급율)",""))</f>
        <v/>
      </c>
      <c r="P52" s="0" t="str">
        <f aca="false">IF(A52="HK","100",IF(A52="CN","200",IF(A52="TW","300",IF(ISNUMBER(SEARCH("태국",C52)),"500",IF(ISNUMBER(SEARCH("말레이",C52)),"600",IF(ISNUMBER(SEARCH("필리핀",C52)),"700",IF(ISNUMBER(SEARCH("인도네시아",C52)),"800",IF(ISNUMBER(SEARCH("크루즈",C52)),"810",IF(ISNUMBER(SEARCH("동물원",C52)),"830","")))))))))</f>
        <v>300</v>
      </c>
    </row>
    <row r="53" customFormat="false" ht="15" hidden="false" customHeight="false" outlineLevel="0" collapsed="false">
      <c r="A53" s="32" t="str">
        <f aca="false">IF(OR(TRIM(C53)="",SUBSTITUTE(C53," ","")="소계"),"제외",IF(ISNUMBER(SEARCH("홍콩",C53)),"HK",IF(ISNUMBER(SEARCH("상해",C53)),"CN",IF(ISNUMBER(SEARCH("대만",C53)),"TW","홀세일"))))</f>
        <v>TW</v>
      </c>
      <c r="B53" s="36" t="s">
        <v>98</v>
      </c>
      <c r="C53" s="36" t="s">
        <v>99</v>
      </c>
      <c r="D53" s="37" t="s">
        <v>123</v>
      </c>
      <c r="E53" s="36" t="n">
        <v>2026</v>
      </c>
      <c r="F53" s="37" t="s">
        <v>101</v>
      </c>
      <c r="G53" s="37" t="s">
        <v>124</v>
      </c>
      <c r="H53" s="36" t="s">
        <v>188</v>
      </c>
      <c r="I53" s="36" t="s">
        <v>213</v>
      </c>
      <c r="J53" s="36" t="s">
        <v>214</v>
      </c>
      <c r="K53" s="38" t="n">
        <v>100</v>
      </c>
      <c r="L53" s="38" t="n">
        <v>8900000</v>
      </c>
      <c r="M53" s="38" t="n">
        <v>3229700</v>
      </c>
      <c r="N53" s="39" t="n">
        <f aca="false">IF(A53="제외",0,IF(OR(N(L53)&lt;=0,N(M53)&gt;N(L53)),N(M53)/요약!$D$27,N(L53)))</f>
        <v>8900000</v>
      </c>
      <c r="O53" s="32" t="str">
        <f aca="false">IF(A53="제외","",IF(OR(N(L53)&lt;=0,N(M53)&gt;N(L53)),"택가보정(판매금액÷공급율)",""))</f>
        <v/>
      </c>
      <c r="P53" s="0" t="str">
        <f aca="false">IF(A53="HK","100",IF(A53="CN","200",IF(A53="TW","300",IF(ISNUMBER(SEARCH("태국",C53)),"500",IF(ISNUMBER(SEARCH("말레이",C53)),"600",IF(ISNUMBER(SEARCH("필리핀",C53)),"700",IF(ISNUMBER(SEARCH("인도네시아",C53)),"800",IF(ISNUMBER(SEARCH("크루즈",C53)),"810",IF(ISNUMBER(SEARCH("동물원",C53)),"830","")))))))))</f>
        <v>300</v>
      </c>
    </row>
    <row r="54" customFormat="false" ht="15" hidden="false" customHeight="false" outlineLevel="0" collapsed="false">
      <c r="A54" s="32" t="str">
        <f aca="false">IF(OR(TRIM(C54)="",SUBSTITUTE(C54," ","")="소계"),"제외",IF(ISNUMBER(SEARCH("홍콩",C54)),"HK",IF(ISNUMBER(SEARCH("상해",C54)),"CN",IF(ISNUMBER(SEARCH("대만",C54)),"TW","홀세일"))))</f>
        <v>TW</v>
      </c>
      <c r="B54" s="36" t="s">
        <v>98</v>
      </c>
      <c r="C54" s="36" t="s">
        <v>99</v>
      </c>
      <c r="D54" s="37" t="s">
        <v>123</v>
      </c>
      <c r="E54" s="36" t="n">
        <v>2026</v>
      </c>
      <c r="F54" s="37" t="s">
        <v>101</v>
      </c>
      <c r="G54" s="37" t="s">
        <v>124</v>
      </c>
      <c r="H54" s="36" t="s">
        <v>188</v>
      </c>
      <c r="I54" s="36" t="s">
        <v>215</v>
      </c>
      <c r="J54" s="36" t="s">
        <v>216</v>
      </c>
      <c r="K54" s="38" t="n">
        <v>80</v>
      </c>
      <c r="L54" s="38" t="n">
        <v>7920000</v>
      </c>
      <c r="M54" s="38" t="n">
        <v>2873440</v>
      </c>
      <c r="N54" s="39" t="n">
        <f aca="false">IF(A54="제외",0,IF(OR(N(L54)&lt;=0,N(M54)&gt;N(L54)),N(M54)/요약!$D$27,N(L54)))</f>
        <v>7920000</v>
      </c>
      <c r="O54" s="32" t="str">
        <f aca="false">IF(A54="제외","",IF(OR(N(L54)&lt;=0,N(M54)&gt;N(L54)),"택가보정(판매금액÷공급율)",""))</f>
        <v/>
      </c>
      <c r="P54" s="0" t="str">
        <f aca="false">IF(A54="HK","100",IF(A54="CN","200",IF(A54="TW","300",IF(ISNUMBER(SEARCH("태국",C54)),"500",IF(ISNUMBER(SEARCH("말레이",C54)),"600",IF(ISNUMBER(SEARCH("필리핀",C54)),"700",IF(ISNUMBER(SEARCH("인도네시아",C54)),"800",IF(ISNUMBER(SEARCH("크루즈",C54)),"810",IF(ISNUMBER(SEARCH("동물원",C54)),"830","")))))))))</f>
        <v>300</v>
      </c>
    </row>
    <row r="55" customFormat="false" ht="15" hidden="false" customHeight="false" outlineLevel="0" collapsed="false">
      <c r="A55" s="32" t="str">
        <f aca="false">IF(OR(TRIM(C55)="",SUBSTITUTE(C55," ","")="소계"),"제외",IF(ISNUMBER(SEARCH("홍콩",C55)),"HK",IF(ISNUMBER(SEARCH("상해",C55)),"CN",IF(ISNUMBER(SEARCH("대만",C55)),"TW","홀세일"))))</f>
        <v>TW</v>
      </c>
      <c r="B55" s="36" t="s">
        <v>98</v>
      </c>
      <c r="C55" s="36" t="s">
        <v>99</v>
      </c>
      <c r="D55" s="37" t="s">
        <v>123</v>
      </c>
      <c r="E55" s="36" t="n">
        <v>2026</v>
      </c>
      <c r="F55" s="37" t="s">
        <v>101</v>
      </c>
      <c r="G55" s="37" t="s">
        <v>124</v>
      </c>
      <c r="H55" s="36" t="s">
        <v>188</v>
      </c>
      <c r="I55" s="36" t="s">
        <v>217</v>
      </c>
      <c r="J55" s="36" t="s">
        <v>218</v>
      </c>
      <c r="K55" s="38" t="n">
        <v>80</v>
      </c>
      <c r="L55" s="38" t="n">
        <v>5520000</v>
      </c>
      <c r="M55" s="38" t="n">
        <v>2034080</v>
      </c>
      <c r="N55" s="39" t="n">
        <f aca="false">IF(A55="제외",0,IF(OR(N(L55)&lt;=0,N(M55)&gt;N(L55)),N(M55)/요약!$D$27,N(L55)))</f>
        <v>5520000</v>
      </c>
      <c r="O55" s="32" t="str">
        <f aca="false">IF(A55="제외","",IF(OR(N(L55)&lt;=0,N(M55)&gt;N(L55)),"택가보정(판매금액÷공급율)",""))</f>
        <v/>
      </c>
      <c r="P55" s="0" t="str">
        <f aca="false">IF(A55="HK","100",IF(A55="CN","200",IF(A55="TW","300",IF(ISNUMBER(SEARCH("태국",C55)),"500",IF(ISNUMBER(SEARCH("말레이",C55)),"600",IF(ISNUMBER(SEARCH("필리핀",C55)),"700",IF(ISNUMBER(SEARCH("인도네시아",C55)),"800",IF(ISNUMBER(SEARCH("크루즈",C55)),"810",IF(ISNUMBER(SEARCH("동물원",C55)),"830","")))))))))</f>
        <v>300</v>
      </c>
    </row>
    <row r="56" customFormat="false" ht="15" hidden="false" customHeight="false" outlineLevel="0" collapsed="false">
      <c r="A56" s="32" t="str">
        <f aca="false">IF(OR(TRIM(C56)="",SUBSTITUTE(C56," ","")="소계"),"제외",IF(ISNUMBER(SEARCH("홍콩",C56)),"HK",IF(ISNUMBER(SEARCH("상해",C56)),"CN",IF(ISNUMBER(SEARCH("대만",C56)),"TW","홀세일"))))</f>
        <v>TW</v>
      </c>
      <c r="B56" s="36" t="s">
        <v>98</v>
      </c>
      <c r="C56" s="36" t="s">
        <v>99</v>
      </c>
      <c r="D56" s="37" t="s">
        <v>123</v>
      </c>
      <c r="E56" s="36" t="n">
        <v>2026</v>
      </c>
      <c r="F56" s="37" t="s">
        <v>219</v>
      </c>
      <c r="G56" s="37" t="s">
        <v>124</v>
      </c>
      <c r="H56" s="36" t="s">
        <v>131</v>
      </c>
      <c r="I56" s="36" t="s">
        <v>220</v>
      </c>
      <c r="J56" s="37" t="s">
        <v>221</v>
      </c>
      <c r="K56" s="38" t="n">
        <v>300</v>
      </c>
      <c r="L56" s="38" t="n">
        <v>26700000</v>
      </c>
      <c r="M56" s="38" t="n">
        <v>9966900</v>
      </c>
      <c r="N56" s="39" t="n">
        <f aca="false">IF(A56="제외",0,IF(OR(N(L56)&lt;=0,N(M56)&gt;N(L56)),N(M56)/요약!$D$27,N(L56)))</f>
        <v>26700000</v>
      </c>
      <c r="O56" s="32" t="str">
        <f aca="false">IF(A56="제외","",IF(OR(N(L56)&lt;=0,N(M56)&gt;N(L56)),"택가보정(판매금액÷공급율)",""))</f>
        <v/>
      </c>
      <c r="P56" s="0" t="str">
        <f aca="false">IF(A56="HK","100",IF(A56="CN","200",IF(A56="TW","300",IF(ISNUMBER(SEARCH("태국",C56)),"500",IF(ISNUMBER(SEARCH("말레이",C56)),"600",IF(ISNUMBER(SEARCH("필리핀",C56)),"700",IF(ISNUMBER(SEARCH("인도네시아",C56)),"800",IF(ISNUMBER(SEARCH("크루즈",C56)),"810",IF(ISNUMBER(SEARCH("동물원",C56)),"830","")))))))))</f>
        <v>300</v>
      </c>
    </row>
    <row r="57" customFormat="false" ht="15" hidden="false" customHeight="false" outlineLevel="0" collapsed="false">
      <c r="A57" s="32" t="str">
        <f aca="false">IF(OR(TRIM(C57)="",SUBSTITUTE(C57," ","")="소계"),"제외",IF(ISNUMBER(SEARCH("홍콩",C57)),"HK",IF(ISNUMBER(SEARCH("상해",C57)),"CN",IF(ISNUMBER(SEARCH("대만",C57)),"TW","홀세일"))))</f>
        <v>TW</v>
      </c>
      <c r="B57" s="36" t="s">
        <v>98</v>
      </c>
      <c r="C57" s="36" t="s">
        <v>99</v>
      </c>
      <c r="D57" s="37" t="s">
        <v>123</v>
      </c>
      <c r="E57" s="36" t="n">
        <v>2026</v>
      </c>
      <c r="F57" s="37" t="s">
        <v>219</v>
      </c>
      <c r="G57" s="37" t="s">
        <v>124</v>
      </c>
      <c r="H57" s="36" t="s">
        <v>131</v>
      </c>
      <c r="I57" s="36" t="s">
        <v>222</v>
      </c>
      <c r="J57" s="36" t="s">
        <v>223</v>
      </c>
      <c r="K57" s="38" t="n">
        <v>200</v>
      </c>
      <c r="L57" s="38" t="n">
        <v>25800000</v>
      </c>
      <c r="M57" s="38" t="n">
        <v>9324400</v>
      </c>
      <c r="N57" s="39" t="n">
        <f aca="false">IF(A57="제외",0,IF(OR(N(L57)&lt;=0,N(M57)&gt;N(L57)),N(M57)/요약!$D$27,N(L57)))</f>
        <v>25800000</v>
      </c>
      <c r="O57" s="32" t="str">
        <f aca="false">IF(A57="제외","",IF(OR(N(L57)&lt;=0,N(M57)&gt;N(L57)),"택가보정(판매금액÷공급율)",""))</f>
        <v/>
      </c>
      <c r="P57" s="0" t="str">
        <f aca="false">IF(A57="HK","100",IF(A57="CN","200",IF(A57="TW","300",IF(ISNUMBER(SEARCH("태국",C57)),"500",IF(ISNUMBER(SEARCH("말레이",C57)),"600",IF(ISNUMBER(SEARCH("필리핀",C57)),"700",IF(ISNUMBER(SEARCH("인도네시아",C57)),"800",IF(ISNUMBER(SEARCH("크루즈",C57)),"810",IF(ISNUMBER(SEARCH("동물원",C57)),"830","")))))))))</f>
        <v>300</v>
      </c>
    </row>
    <row r="58" customFormat="false" ht="15" hidden="false" customHeight="false" outlineLevel="0" collapsed="false">
      <c r="A58" s="32" t="str">
        <f aca="false">IF(OR(TRIM(C58)="",SUBSTITUTE(C58," ","")="소계"),"제외",IF(ISNUMBER(SEARCH("홍콩",C58)),"HK",IF(ISNUMBER(SEARCH("상해",C58)),"CN",IF(ISNUMBER(SEARCH("대만",C58)),"TW","홀세일"))))</f>
        <v>TW</v>
      </c>
      <c r="B58" s="36" t="s">
        <v>98</v>
      </c>
      <c r="C58" s="36" t="s">
        <v>99</v>
      </c>
      <c r="D58" s="37" t="s">
        <v>123</v>
      </c>
      <c r="E58" s="36" t="n">
        <v>2026</v>
      </c>
      <c r="F58" s="37" t="s">
        <v>219</v>
      </c>
      <c r="G58" s="37" t="s">
        <v>124</v>
      </c>
      <c r="H58" s="36" t="s">
        <v>131</v>
      </c>
      <c r="I58" s="36" t="s">
        <v>224</v>
      </c>
      <c r="J58" s="36" t="s">
        <v>225</v>
      </c>
      <c r="K58" s="38" t="n">
        <v>400</v>
      </c>
      <c r="L58" s="38" t="n">
        <v>43600000</v>
      </c>
      <c r="M58" s="38" t="n">
        <v>16022800</v>
      </c>
      <c r="N58" s="39" t="n">
        <f aca="false">IF(A58="제외",0,IF(OR(N(L58)&lt;=0,N(M58)&gt;N(L58)),N(M58)/요약!$D$27,N(L58)))</f>
        <v>43600000</v>
      </c>
      <c r="O58" s="32" t="str">
        <f aca="false">IF(A58="제외","",IF(OR(N(L58)&lt;=0,N(M58)&gt;N(L58)),"택가보정(판매금액÷공급율)",""))</f>
        <v/>
      </c>
      <c r="P58" s="0" t="str">
        <f aca="false">IF(A58="HK","100",IF(A58="CN","200",IF(A58="TW","300",IF(ISNUMBER(SEARCH("태국",C58)),"500",IF(ISNUMBER(SEARCH("말레이",C58)),"600",IF(ISNUMBER(SEARCH("필리핀",C58)),"700",IF(ISNUMBER(SEARCH("인도네시아",C58)),"800",IF(ISNUMBER(SEARCH("크루즈",C58)),"810",IF(ISNUMBER(SEARCH("동물원",C58)),"830","")))))))))</f>
        <v>300</v>
      </c>
    </row>
    <row r="59" customFormat="false" ht="15" hidden="false" customHeight="false" outlineLevel="0" collapsed="false">
      <c r="A59" s="32" t="str">
        <f aca="false">IF(OR(TRIM(C59)="",SUBSTITUTE(C59," ","")="소계"),"제외",IF(ISNUMBER(SEARCH("홍콩",C59)),"HK",IF(ISNUMBER(SEARCH("상해",C59)),"CN",IF(ISNUMBER(SEARCH("대만",C59)),"TW","홀세일"))))</f>
        <v>TW</v>
      </c>
      <c r="B59" s="36" t="s">
        <v>98</v>
      </c>
      <c r="C59" s="36" t="s">
        <v>99</v>
      </c>
      <c r="D59" s="37" t="s">
        <v>123</v>
      </c>
      <c r="E59" s="36" t="n">
        <v>2026</v>
      </c>
      <c r="F59" s="37" t="s">
        <v>219</v>
      </c>
      <c r="G59" s="37" t="s">
        <v>124</v>
      </c>
      <c r="H59" s="36" t="s">
        <v>125</v>
      </c>
      <c r="I59" s="36" t="s">
        <v>226</v>
      </c>
      <c r="J59" s="37" t="s">
        <v>227</v>
      </c>
      <c r="K59" s="38" t="n">
        <v>350</v>
      </c>
      <c r="L59" s="38" t="n">
        <v>31150000</v>
      </c>
      <c r="M59" s="38" t="n">
        <v>11550000</v>
      </c>
      <c r="N59" s="39" t="n">
        <f aca="false">IF(A59="제외",0,IF(OR(N(L59)&lt;=0,N(M59)&gt;N(L59)),N(M59)/요약!$D$27,N(L59)))</f>
        <v>31150000</v>
      </c>
      <c r="O59" s="32" t="str">
        <f aca="false">IF(A59="제외","",IF(OR(N(L59)&lt;=0,N(M59)&gt;N(L59)),"택가보정(판매금액÷공급율)",""))</f>
        <v/>
      </c>
      <c r="P59" s="0" t="str">
        <f aca="false">IF(A59="HK","100",IF(A59="CN","200",IF(A59="TW","300",IF(ISNUMBER(SEARCH("태국",C59)),"500",IF(ISNUMBER(SEARCH("말레이",C59)),"600",IF(ISNUMBER(SEARCH("필리핀",C59)),"700",IF(ISNUMBER(SEARCH("인도네시아",C59)),"800",IF(ISNUMBER(SEARCH("크루즈",C59)),"810",IF(ISNUMBER(SEARCH("동물원",C59)),"830","")))))))))</f>
        <v>300</v>
      </c>
    </row>
    <row r="60" customFormat="false" ht="15" hidden="false" customHeight="false" outlineLevel="0" collapsed="false">
      <c r="A60" s="32" t="str">
        <f aca="false">IF(OR(TRIM(C60)="",SUBSTITUTE(C60," ","")="소계"),"제외",IF(ISNUMBER(SEARCH("홍콩",C60)),"HK",IF(ISNUMBER(SEARCH("상해",C60)),"CN",IF(ISNUMBER(SEARCH("대만",C60)),"TW","홀세일"))))</f>
        <v>TW</v>
      </c>
      <c r="B60" s="36" t="s">
        <v>98</v>
      </c>
      <c r="C60" s="36" t="s">
        <v>99</v>
      </c>
      <c r="D60" s="37" t="s">
        <v>123</v>
      </c>
      <c r="E60" s="36" t="n">
        <v>2026</v>
      </c>
      <c r="F60" s="37" t="s">
        <v>219</v>
      </c>
      <c r="G60" s="37" t="s">
        <v>124</v>
      </c>
      <c r="H60" s="36" t="s">
        <v>125</v>
      </c>
      <c r="I60" s="36" t="s">
        <v>228</v>
      </c>
      <c r="J60" s="37" t="s">
        <v>229</v>
      </c>
      <c r="K60" s="38" t="n">
        <v>230</v>
      </c>
      <c r="L60" s="38" t="n">
        <v>20470000</v>
      </c>
      <c r="M60" s="38" t="n">
        <v>7351610</v>
      </c>
      <c r="N60" s="39" t="n">
        <f aca="false">IF(A60="제외",0,IF(OR(N(L60)&lt;=0,N(M60)&gt;N(L60)),N(M60)/요약!$D$27,N(L60)))</f>
        <v>20470000</v>
      </c>
      <c r="O60" s="32" t="str">
        <f aca="false">IF(A60="제외","",IF(OR(N(L60)&lt;=0,N(M60)&gt;N(L60)),"택가보정(판매금액÷공급율)",""))</f>
        <v/>
      </c>
      <c r="P60" s="0" t="str">
        <f aca="false">IF(A60="HK","100",IF(A60="CN","200",IF(A60="TW","300",IF(ISNUMBER(SEARCH("태국",C60)),"500",IF(ISNUMBER(SEARCH("말레이",C60)),"600",IF(ISNUMBER(SEARCH("필리핀",C60)),"700",IF(ISNUMBER(SEARCH("인도네시아",C60)),"800",IF(ISNUMBER(SEARCH("크루즈",C60)),"810",IF(ISNUMBER(SEARCH("동물원",C60)),"830","")))))))))</f>
        <v>300</v>
      </c>
    </row>
    <row r="61" customFormat="false" ht="15" hidden="false" customHeight="false" outlineLevel="0" collapsed="false">
      <c r="A61" s="32" t="str">
        <f aca="false">IF(OR(TRIM(C61)="",SUBSTITUTE(C61," ","")="소계"),"제외",IF(ISNUMBER(SEARCH("홍콩",C61)),"HK",IF(ISNUMBER(SEARCH("상해",C61)),"CN",IF(ISNUMBER(SEARCH("대만",C61)),"TW","홀세일"))))</f>
        <v>TW</v>
      </c>
      <c r="B61" s="36" t="s">
        <v>98</v>
      </c>
      <c r="C61" s="36" t="s">
        <v>99</v>
      </c>
      <c r="D61" s="37" t="s">
        <v>123</v>
      </c>
      <c r="E61" s="36" t="n">
        <v>2026</v>
      </c>
      <c r="F61" s="37" t="s">
        <v>219</v>
      </c>
      <c r="G61" s="37" t="s">
        <v>124</v>
      </c>
      <c r="H61" s="36" t="s">
        <v>125</v>
      </c>
      <c r="I61" s="36" t="s">
        <v>230</v>
      </c>
      <c r="J61" s="37" t="s">
        <v>231</v>
      </c>
      <c r="K61" s="38" t="n">
        <v>300</v>
      </c>
      <c r="L61" s="38" t="n">
        <v>32700000</v>
      </c>
      <c r="M61" s="38" t="n">
        <v>12017100</v>
      </c>
      <c r="N61" s="39" t="n">
        <f aca="false">IF(A61="제외",0,IF(OR(N(L61)&lt;=0,N(M61)&gt;N(L61)),N(M61)/요약!$D$27,N(L61)))</f>
        <v>32700000</v>
      </c>
      <c r="O61" s="32" t="str">
        <f aca="false">IF(A61="제외","",IF(OR(N(L61)&lt;=0,N(M61)&gt;N(L61)),"택가보정(판매금액÷공급율)",""))</f>
        <v/>
      </c>
      <c r="P61" s="0" t="str">
        <f aca="false">IF(A61="HK","100",IF(A61="CN","200",IF(A61="TW","300",IF(ISNUMBER(SEARCH("태국",C61)),"500",IF(ISNUMBER(SEARCH("말레이",C61)),"600",IF(ISNUMBER(SEARCH("필리핀",C61)),"700",IF(ISNUMBER(SEARCH("인도네시아",C61)),"800",IF(ISNUMBER(SEARCH("크루즈",C61)),"810",IF(ISNUMBER(SEARCH("동물원",C61)),"830","")))))))))</f>
        <v>300</v>
      </c>
    </row>
    <row r="62" customFormat="false" ht="15" hidden="false" customHeight="false" outlineLevel="0" collapsed="false">
      <c r="A62" s="32" t="str">
        <f aca="false">IF(OR(TRIM(C62)="",SUBSTITUTE(C62," ","")="소계"),"제외",IF(ISNUMBER(SEARCH("홍콩",C62)),"HK",IF(ISNUMBER(SEARCH("상해",C62)),"CN",IF(ISNUMBER(SEARCH("대만",C62)),"TW","홀세일"))))</f>
        <v>TW</v>
      </c>
      <c r="B62" s="36" t="s">
        <v>98</v>
      </c>
      <c r="C62" s="36" t="s">
        <v>99</v>
      </c>
      <c r="D62" s="37" t="s">
        <v>123</v>
      </c>
      <c r="E62" s="36" t="n">
        <v>2026</v>
      </c>
      <c r="F62" s="37" t="s">
        <v>219</v>
      </c>
      <c r="G62" s="37" t="s">
        <v>124</v>
      </c>
      <c r="H62" s="36" t="s">
        <v>125</v>
      </c>
      <c r="I62" s="36" t="s">
        <v>232</v>
      </c>
      <c r="J62" s="37" t="s">
        <v>233</v>
      </c>
      <c r="K62" s="38" t="n">
        <v>200</v>
      </c>
      <c r="L62" s="38" t="n">
        <v>29800000</v>
      </c>
      <c r="M62" s="38" t="n">
        <v>10946000</v>
      </c>
      <c r="N62" s="39" t="n">
        <f aca="false">IF(A62="제외",0,IF(OR(N(L62)&lt;=0,N(M62)&gt;N(L62)),N(M62)/요약!$D$27,N(L62)))</f>
        <v>29800000</v>
      </c>
      <c r="O62" s="32" t="str">
        <f aca="false">IF(A62="제외","",IF(OR(N(L62)&lt;=0,N(M62)&gt;N(L62)),"택가보정(판매금액÷공급율)",""))</f>
        <v/>
      </c>
      <c r="P62" s="0" t="str">
        <f aca="false">IF(A62="HK","100",IF(A62="CN","200",IF(A62="TW","300",IF(ISNUMBER(SEARCH("태국",C62)),"500",IF(ISNUMBER(SEARCH("말레이",C62)),"600",IF(ISNUMBER(SEARCH("필리핀",C62)),"700",IF(ISNUMBER(SEARCH("인도네시아",C62)),"800",IF(ISNUMBER(SEARCH("크루즈",C62)),"810",IF(ISNUMBER(SEARCH("동물원",C62)),"830","")))))))))</f>
        <v>300</v>
      </c>
    </row>
    <row r="63" customFormat="false" ht="15" hidden="false" customHeight="false" outlineLevel="0" collapsed="false">
      <c r="A63" s="32" t="str">
        <f aca="false">IF(OR(TRIM(C63)="",SUBSTITUTE(C63," ","")="소계"),"제외",IF(ISNUMBER(SEARCH("홍콩",C63)),"HK",IF(ISNUMBER(SEARCH("상해",C63)),"CN",IF(ISNUMBER(SEARCH("대만",C63)),"TW","홀세일"))))</f>
        <v>TW</v>
      </c>
      <c r="B63" s="36" t="s">
        <v>98</v>
      </c>
      <c r="C63" s="36" t="s">
        <v>99</v>
      </c>
      <c r="D63" s="37" t="s">
        <v>123</v>
      </c>
      <c r="E63" s="36" t="n">
        <v>2026</v>
      </c>
      <c r="F63" s="37" t="s">
        <v>219</v>
      </c>
      <c r="G63" s="37" t="s">
        <v>124</v>
      </c>
      <c r="H63" s="36" t="s">
        <v>131</v>
      </c>
      <c r="I63" s="36" t="s">
        <v>234</v>
      </c>
      <c r="J63" s="37" t="s">
        <v>235</v>
      </c>
      <c r="K63" s="38" t="n">
        <v>370</v>
      </c>
      <c r="L63" s="38" t="n">
        <v>21830000</v>
      </c>
      <c r="M63" s="38" t="n">
        <v>8316860</v>
      </c>
      <c r="N63" s="39" t="n">
        <f aca="false">IF(A63="제외",0,IF(OR(N(L63)&lt;=0,N(M63)&gt;N(L63)),N(M63)/요약!$D$27,N(L63)))</f>
        <v>21830000</v>
      </c>
      <c r="O63" s="32" t="str">
        <f aca="false">IF(A63="제외","",IF(OR(N(L63)&lt;=0,N(M63)&gt;N(L63)),"택가보정(판매금액÷공급율)",""))</f>
        <v/>
      </c>
      <c r="P63" s="0" t="str">
        <f aca="false">IF(A63="HK","100",IF(A63="CN","200",IF(A63="TW","300",IF(ISNUMBER(SEARCH("태국",C63)),"500",IF(ISNUMBER(SEARCH("말레이",C63)),"600",IF(ISNUMBER(SEARCH("필리핀",C63)),"700",IF(ISNUMBER(SEARCH("인도네시아",C63)),"800",IF(ISNUMBER(SEARCH("크루즈",C63)),"810",IF(ISNUMBER(SEARCH("동물원",C63)),"830","")))))))))</f>
        <v>300</v>
      </c>
    </row>
    <row r="64" customFormat="false" ht="15" hidden="false" customHeight="false" outlineLevel="0" collapsed="false">
      <c r="A64" s="32" t="str">
        <f aca="false">IF(OR(TRIM(C64)="",SUBSTITUTE(C64," ","")="소계"),"제외",IF(ISNUMBER(SEARCH("홍콩",C64)),"HK",IF(ISNUMBER(SEARCH("상해",C64)),"CN",IF(ISNUMBER(SEARCH("대만",C64)),"TW","홀세일"))))</f>
        <v>TW</v>
      </c>
      <c r="B64" s="36" t="s">
        <v>98</v>
      </c>
      <c r="C64" s="36" t="s">
        <v>99</v>
      </c>
      <c r="D64" s="37" t="s">
        <v>123</v>
      </c>
      <c r="E64" s="36" t="n">
        <v>2026</v>
      </c>
      <c r="F64" s="37" t="s">
        <v>219</v>
      </c>
      <c r="G64" s="37" t="s">
        <v>124</v>
      </c>
      <c r="H64" s="36" t="s">
        <v>131</v>
      </c>
      <c r="I64" s="36" t="s">
        <v>236</v>
      </c>
      <c r="J64" s="36" t="s">
        <v>237</v>
      </c>
      <c r="K64" s="38" t="n">
        <v>350</v>
      </c>
      <c r="L64" s="38" t="n">
        <v>27650000</v>
      </c>
      <c r="M64" s="38" t="n">
        <v>10002650</v>
      </c>
      <c r="N64" s="39" t="n">
        <f aca="false">IF(A64="제외",0,IF(OR(N(L64)&lt;=0,N(M64)&gt;N(L64)),N(M64)/요약!$D$27,N(L64)))</f>
        <v>27650000</v>
      </c>
      <c r="O64" s="32" t="str">
        <f aca="false">IF(A64="제외","",IF(OR(N(L64)&lt;=0,N(M64)&gt;N(L64)),"택가보정(판매금액÷공급율)",""))</f>
        <v/>
      </c>
      <c r="P64" s="0" t="str">
        <f aca="false">IF(A64="HK","100",IF(A64="CN","200",IF(A64="TW","300",IF(ISNUMBER(SEARCH("태국",C64)),"500",IF(ISNUMBER(SEARCH("말레이",C64)),"600",IF(ISNUMBER(SEARCH("필리핀",C64)),"700",IF(ISNUMBER(SEARCH("인도네시아",C64)),"800",IF(ISNUMBER(SEARCH("크루즈",C64)),"810",IF(ISNUMBER(SEARCH("동물원",C64)),"830","")))))))))</f>
        <v>300</v>
      </c>
    </row>
    <row r="65" customFormat="false" ht="15" hidden="false" customHeight="false" outlineLevel="0" collapsed="false">
      <c r="A65" s="32" t="str">
        <f aca="false">IF(OR(TRIM(C65)="",SUBSTITUTE(C65," ","")="소계"),"제외",IF(ISNUMBER(SEARCH("홍콩",C65)),"HK",IF(ISNUMBER(SEARCH("상해",C65)),"CN",IF(ISNUMBER(SEARCH("대만",C65)),"TW","홀세일"))))</f>
        <v>TW</v>
      </c>
      <c r="B65" s="36" t="s">
        <v>98</v>
      </c>
      <c r="C65" s="36" t="s">
        <v>99</v>
      </c>
      <c r="D65" s="37" t="s">
        <v>123</v>
      </c>
      <c r="E65" s="36" t="n">
        <v>2026</v>
      </c>
      <c r="F65" s="37" t="s">
        <v>219</v>
      </c>
      <c r="G65" s="37" t="s">
        <v>124</v>
      </c>
      <c r="H65" s="36" t="s">
        <v>131</v>
      </c>
      <c r="I65" s="36" t="s">
        <v>238</v>
      </c>
      <c r="J65" s="36" t="s">
        <v>239</v>
      </c>
      <c r="K65" s="38" t="n">
        <v>150</v>
      </c>
      <c r="L65" s="38" t="n">
        <v>11850000</v>
      </c>
      <c r="M65" s="38" t="n">
        <v>4286850</v>
      </c>
      <c r="N65" s="39" t="n">
        <f aca="false">IF(A65="제외",0,IF(OR(N(L65)&lt;=0,N(M65)&gt;N(L65)),N(M65)/요약!$D$27,N(L65)))</f>
        <v>11850000</v>
      </c>
      <c r="O65" s="32" t="str">
        <f aca="false">IF(A65="제외","",IF(OR(N(L65)&lt;=0,N(M65)&gt;N(L65)),"택가보정(판매금액÷공급율)",""))</f>
        <v/>
      </c>
      <c r="P65" s="0" t="str">
        <f aca="false">IF(A65="HK","100",IF(A65="CN","200",IF(A65="TW","300",IF(ISNUMBER(SEARCH("태국",C65)),"500",IF(ISNUMBER(SEARCH("말레이",C65)),"600",IF(ISNUMBER(SEARCH("필리핀",C65)),"700",IF(ISNUMBER(SEARCH("인도네시아",C65)),"800",IF(ISNUMBER(SEARCH("크루즈",C65)),"810",IF(ISNUMBER(SEARCH("동물원",C65)),"830","")))))))))</f>
        <v>300</v>
      </c>
    </row>
    <row r="66" customFormat="false" ht="15" hidden="false" customHeight="false" outlineLevel="0" collapsed="false">
      <c r="A66" s="32" t="str">
        <f aca="false">IF(OR(TRIM(C66)="",SUBSTITUTE(C66," ","")="소계"),"제외",IF(ISNUMBER(SEARCH("홍콩",C66)),"HK",IF(ISNUMBER(SEARCH("상해",C66)),"CN",IF(ISNUMBER(SEARCH("대만",C66)),"TW","홀세일"))))</f>
        <v>TW</v>
      </c>
      <c r="B66" s="36" t="s">
        <v>98</v>
      </c>
      <c r="C66" s="36" t="s">
        <v>99</v>
      </c>
      <c r="D66" s="37" t="s">
        <v>123</v>
      </c>
      <c r="E66" s="36" t="n">
        <v>2026</v>
      </c>
      <c r="F66" s="37" t="s">
        <v>219</v>
      </c>
      <c r="G66" s="37" t="s">
        <v>124</v>
      </c>
      <c r="H66" s="36" t="s">
        <v>131</v>
      </c>
      <c r="I66" s="36" t="s">
        <v>240</v>
      </c>
      <c r="J66" s="36" t="s">
        <v>241</v>
      </c>
      <c r="K66" s="38" t="n">
        <v>400</v>
      </c>
      <c r="L66" s="38" t="n">
        <v>27600000</v>
      </c>
      <c r="M66" s="38" t="n">
        <v>9988400</v>
      </c>
      <c r="N66" s="39" t="n">
        <f aca="false">IF(A66="제외",0,IF(OR(N(L66)&lt;=0,N(M66)&gt;N(L66)),N(M66)/요약!$D$27,N(L66)))</f>
        <v>27600000</v>
      </c>
      <c r="O66" s="32" t="str">
        <f aca="false">IF(A66="제외","",IF(OR(N(L66)&lt;=0,N(M66)&gt;N(L66)),"택가보정(판매금액÷공급율)",""))</f>
        <v/>
      </c>
      <c r="P66" s="0" t="str">
        <f aca="false">IF(A66="HK","100",IF(A66="CN","200",IF(A66="TW","300",IF(ISNUMBER(SEARCH("태국",C66)),"500",IF(ISNUMBER(SEARCH("말레이",C66)),"600",IF(ISNUMBER(SEARCH("필리핀",C66)),"700",IF(ISNUMBER(SEARCH("인도네시아",C66)),"800",IF(ISNUMBER(SEARCH("크루즈",C66)),"810",IF(ISNUMBER(SEARCH("동물원",C66)),"830","")))))))))</f>
        <v>300</v>
      </c>
    </row>
    <row r="67" customFormat="false" ht="15" hidden="false" customHeight="false" outlineLevel="0" collapsed="false">
      <c r="A67" s="32" t="str">
        <f aca="false">IF(OR(TRIM(C67)="",SUBSTITUTE(C67," ","")="소계"),"제외",IF(ISNUMBER(SEARCH("홍콩",C67)),"HK",IF(ISNUMBER(SEARCH("상해",C67)),"CN",IF(ISNUMBER(SEARCH("대만",C67)),"TW","홀세일"))))</f>
        <v>TW</v>
      </c>
      <c r="B67" s="36" t="s">
        <v>98</v>
      </c>
      <c r="C67" s="36" t="s">
        <v>99</v>
      </c>
      <c r="D67" s="37" t="s">
        <v>123</v>
      </c>
      <c r="E67" s="36" t="n">
        <v>2026</v>
      </c>
      <c r="F67" s="37" t="s">
        <v>219</v>
      </c>
      <c r="G67" s="37" t="s">
        <v>124</v>
      </c>
      <c r="H67" s="36" t="s">
        <v>131</v>
      </c>
      <c r="I67" s="36" t="s">
        <v>242</v>
      </c>
      <c r="J67" s="36" t="s">
        <v>243</v>
      </c>
      <c r="K67" s="38" t="n">
        <v>350</v>
      </c>
      <c r="L67" s="38" t="n">
        <v>27650000</v>
      </c>
      <c r="M67" s="38" t="n">
        <v>10168550</v>
      </c>
      <c r="N67" s="39" t="n">
        <f aca="false">IF(A67="제외",0,IF(OR(N(L67)&lt;=0,N(M67)&gt;N(L67)),N(M67)/요약!$D$27,N(L67)))</f>
        <v>27650000</v>
      </c>
      <c r="O67" s="32" t="str">
        <f aca="false">IF(A67="제외","",IF(OR(N(L67)&lt;=0,N(M67)&gt;N(L67)),"택가보정(판매금액÷공급율)",""))</f>
        <v/>
      </c>
      <c r="P67" s="0" t="str">
        <f aca="false">IF(A67="HK","100",IF(A67="CN","200",IF(A67="TW","300",IF(ISNUMBER(SEARCH("태국",C67)),"500",IF(ISNUMBER(SEARCH("말레이",C67)),"600",IF(ISNUMBER(SEARCH("필리핀",C67)),"700",IF(ISNUMBER(SEARCH("인도네시아",C67)),"800",IF(ISNUMBER(SEARCH("크루즈",C67)),"810",IF(ISNUMBER(SEARCH("동물원",C67)),"830","")))))))))</f>
        <v>300</v>
      </c>
    </row>
    <row r="68" customFormat="false" ht="15" hidden="false" customHeight="false" outlineLevel="0" collapsed="false">
      <c r="A68" s="32" t="str">
        <f aca="false">IF(OR(TRIM(C68)="",SUBSTITUTE(C68," ","")="소계"),"제외",IF(ISNUMBER(SEARCH("홍콩",C68)),"HK",IF(ISNUMBER(SEARCH("상해",C68)),"CN",IF(ISNUMBER(SEARCH("대만",C68)),"TW","홀세일"))))</f>
        <v>TW</v>
      </c>
      <c r="B68" s="36" t="s">
        <v>98</v>
      </c>
      <c r="C68" s="36" t="s">
        <v>99</v>
      </c>
      <c r="D68" s="37" t="s">
        <v>123</v>
      </c>
      <c r="E68" s="36" t="n">
        <v>2026</v>
      </c>
      <c r="F68" s="37" t="s">
        <v>219</v>
      </c>
      <c r="G68" s="37" t="s">
        <v>124</v>
      </c>
      <c r="H68" s="36" t="s">
        <v>125</v>
      </c>
      <c r="I68" s="36" t="s">
        <v>244</v>
      </c>
      <c r="J68" s="37" t="s">
        <v>245</v>
      </c>
      <c r="K68" s="38" t="n">
        <v>450</v>
      </c>
      <c r="L68" s="38" t="n">
        <v>35550000</v>
      </c>
      <c r="M68" s="38" t="n">
        <v>13073850</v>
      </c>
      <c r="N68" s="39" t="n">
        <f aca="false">IF(A68="제외",0,IF(OR(N(L68)&lt;=0,N(M68)&gt;N(L68)),N(M68)/요약!$D$27,N(L68)))</f>
        <v>35550000</v>
      </c>
      <c r="O68" s="32" t="str">
        <f aca="false">IF(A68="제외","",IF(OR(N(L68)&lt;=0,N(M68)&gt;N(L68)),"택가보정(판매금액÷공급율)",""))</f>
        <v/>
      </c>
      <c r="P68" s="0" t="str">
        <f aca="false">IF(A68="HK","100",IF(A68="CN","200",IF(A68="TW","300",IF(ISNUMBER(SEARCH("태국",C68)),"500",IF(ISNUMBER(SEARCH("말레이",C68)),"600",IF(ISNUMBER(SEARCH("필리핀",C68)),"700",IF(ISNUMBER(SEARCH("인도네시아",C68)),"800",IF(ISNUMBER(SEARCH("크루즈",C68)),"810",IF(ISNUMBER(SEARCH("동물원",C68)),"830","")))))))))</f>
        <v>300</v>
      </c>
    </row>
    <row r="69" customFormat="false" ht="15" hidden="false" customHeight="false" outlineLevel="0" collapsed="false">
      <c r="A69" s="32" t="str">
        <f aca="false">IF(OR(TRIM(C69)="",SUBSTITUTE(C69," ","")="소계"),"제외",IF(ISNUMBER(SEARCH("홍콩",C69)),"HK",IF(ISNUMBER(SEARCH("상해",C69)),"CN",IF(ISNUMBER(SEARCH("대만",C69)),"TW","홀세일"))))</f>
        <v>TW</v>
      </c>
      <c r="B69" s="36" t="s">
        <v>98</v>
      </c>
      <c r="C69" s="36" t="s">
        <v>99</v>
      </c>
      <c r="D69" s="37" t="s">
        <v>123</v>
      </c>
      <c r="E69" s="36" t="n">
        <v>2026</v>
      </c>
      <c r="F69" s="37" t="s">
        <v>219</v>
      </c>
      <c r="G69" s="37" t="s">
        <v>124</v>
      </c>
      <c r="H69" s="36" t="s">
        <v>131</v>
      </c>
      <c r="I69" s="36" t="s">
        <v>246</v>
      </c>
      <c r="J69" s="37" t="s">
        <v>247</v>
      </c>
      <c r="K69" s="38" t="n">
        <v>350</v>
      </c>
      <c r="L69" s="38" t="n">
        <v>27650000</v>
      </c>
      <c r="M69" s="38" t="n">
        <v>10002650</v>
      </c>
      <c r="N69" s="39" t="n">
        <f aca="false">IF(A69="제외",0,IF(OR(N(L69)&lt;=0,N(M69)&gt;N(L69)),N(M69)/요약!$D$27,N(L69)))</f>
        <v>27650000</v>
      </c>
      <c r="O69" s="32" t="str">
        <f aca="false">IF(A69="제외","",IF(OR(N(L69)&lt;=0,N(M69)&gt;N(L69)),"택가보정(판매금액÷공급율)",""))</f>
        <v/>
      </c>
      <c r="P69" s="0" t="str">
        <f aca="false">IF(A69="HK","100",IF(A69="CN","200",IF(A69="TW","300",IF(ISNUMBER(SEARCH("태국",C69)),"500",IF(ISNUMBER(SEARCH("말레이",C69)),"600",IF(ISNUMBER(SEARCH("필리핀",C69)),"700",IF(ISNUMBER(SEARCH("인도네시아",C69)),"800",IF(ISNUMBER(SEARCH("크루즈",C69)),"810",IF(ISNUMBER(SEARCH("동물원",C69)),"830","")))))))))</f>
        <v>300</v>
      </c>
    </row>
    <row r="70" customFormat="false" ht="15" hidden="false" customHeight="false" outlineLevel="0" collapsed="false">
      <c r="A70" s="32" t="str">
        <f aca="false">IF(OR(TRIM(C70)="",SUBSTITUTE(C70," ","")="소계"),"제외",IF(ISNUMBER(SEARCH("홍콩",C70)),"HK",IF(ISNUMBER(SEARCH("상해",C70)),"CN",IF(ISNUMBER(SEARCH("대만",C70)),"TW","홀세일"))))</f>
        <v>TW</v>
      </c>
      <c r="B70" s="36" t="s">
        <v>98</v>
      </c>
      <c r="C70" s="36" t="s">
        <v>99</v>
      </c>
      <c r="D70" s="37" t="s">
        <v>123</v>
      </c>
      <c r="E70" s="36" t="n">
        <v>2026</v>
      </c>
      <c r="F70" s="37" t="s">
        <v>219</v>
      </c>
      <c r="G70" s="37" t="s">
        <v>124</v>
      </c>
      <c r="H70" s="36" t="s">
        <v>131</v>
      </c>
      <c r="I70" s="36" t="s">
        <v>248</v>
      </c>
      <c r="J70" s="37" t="s">
        <v>249</v>
      </c>
      <c r="K70" s="38" t="n">
        <v>320</v>
      </c>
      <c r="L70" s="38" t="n">
        <v>31680000</v>
      </c>
      <c r="M70" s="38" t="n">
        <v>11622400</v>
      </c>
      <c r="N70" s="39" t="n">
        <f aca="false">IF(A70="제외",0,IF(OR(N(L70)&lt;=0,N(M70)&gt;N(L70)),N(M70)/요약!$D$27,N(L70)))</f>
        <v>31680000</v>
      </c>
      <c r="O70" s="32" t="str">
        <f aca="false">IF(A70="제외","",IF(OR(N(L70)&lt;=0,N(M70)&gt;N(L70)),"택가보정(판매금액÷공급율)",""))</f>
        <v/>
      </c>
      <c r="P70" s="0" t="str">
        <f aca="false">IF(A70="HK","100",IF(A70="CN","200",IF(A70="TW","300",IF(ISNUMBER(SEARCH("태국",C70)),"500",IF(ISNUMBER(SEARCH("말레이",C70)),"600",IF(ISNUMBER(SEARCH("필리핀",C70)),"700",IF(ISNUMBER(SEARCH("인도네시아",C70)),"800",IF(ISNUMBER(SEARCH("크루즈",C70)),"810",IF(ISNUMBER(SEARCH("동물원",C70)),"830","")))))))))</f>
        <v>300</v>
      </c>
    </row>
    <row r="71" customFormat="false" ht="15" hidden="false" customHeight="false" outlineLevel="0" collapsed="false">
      <c r="A71" s="32" t="str">
        <f aca="false">IF(OR(TRIM(C71)="",SUBSTITUTE(C71," ","")="소계"),"제외",IF(ISNUMBER(SEARCH("홍콩",C71)),"HK",IF(ISNUMBER(SEARCH("상해",C71)),"CN",IF(ISNUMBER(SEARCH("대만",C71)),"TW","홀세일"))))</f>
        <v>TW</v>
      </c>
      <c r="B71" s="36" t="s">
        <v>98</v>
      </c>
      <c r="C71" s="36" t="s">
        <v>99</v>
      </c>
      <c r="D71" s="37" t="s">
        <v>123</v>
      </c>
      <c r="E71" s="36" t="n">
        <v>2026</v>
      </c>
      <c r="F71" s="37" t="s">
        <v>219</v>
      </c>
      <c r="G71" s="37" t="s">
        <v>124</v>
      </c>
      <c r="H71" s="36" t="s">
        <v>131</v>
      </c>
      <c r="I71" s="36" t="s">
        <v>250</v>
      </c>
      <c r="J71" s="37" t="s">
        <v>251</v>
      </c>
      <c r="K71" s="38" t="n">
        <v>1540</v>
      </c>
      <c r="L71" s="38" t="n">
        <v>137060000</v>
      </c>
      <c r="M71" s="38" t="n">
        <v>50266020</v>
      </c>
      <c r="N71" s="39" t="n">
        <f aca="false">IF(A71="제외",0,IF(OR(N(L71)&lt;=0,N(M71)&gt;N(L71)),N(M71)/요약!$D$27,N(L71)))</f>
        <v>137060000</v>
      </c>
      <c r="O71" s="32" t="str">
        <f aca="false">IF(A71="제외","",IF(OR(N(L71)&lt;=0,N(M71)&gt;N(L71)),"택가보정(판매금액÷공급율)",""))</f>
        <v/>
      </c>
      <c r="P71" s="0" t="str">
        <f aca="false">IF(A71="HK","100",IF(A71="CN","200",IF(A71="TW","300",IF(ISNUMBER(SEARCH("태국",C71)),"500",IF(ISNUMBER(SEARCH("말레이",C71)),"600",IF(ISNUMBER(SEARCH("필리핀",C71)),"700",IF(ISNUMBER(SEARCH("인도네시아",C71)),"800",IF(ISNUMBER(SEARCH("크루즈",C71)),"810",IF(ISNUMBER(SEARCH("동물원",C71)),"830","")))))))))</f>
        <v>300</v>
      </c>
    </row>
    <row r="72" customFormat="false" ht="15" hidden="false" customHeight="false" outlineLevel="0" collapsed="false">
      <c r="A72" s="32" t="str">
        <f aca="false">IF(OR(TRIM(C72)="",SUBSTITUTE(C72," ","")="소계"),"제외",IF(ISNUMBER(SEARCH("홍콩",C72)),"HK",IF(ISNUMBER(SEARCH("상해",C72)),"CN",IF(ISNUMBER(SEARCH("대만",C72)),"TW","홀세일"))))</f>
        <v>TW</v>
      </c>
      <c r="B72" s="36" t="s">
        <v>98</v>
      </c>
      <c r="C72" s="36" t="s">
        <v>99</v>
      </c>
      <c r="D72" s="37" t="s">
        <v>123</v>
      </c>
      <c r="E72" s="36" t="n">
        <v>2026</v>
      </c>
      <c r="F72" s="37" t="s">
        <v>219</v>
      </c>
      <c r="G72" s="37" t="s">
        <v>124</v>
      </c>
      <c r="H72" s="36" t="s">
        <v>131</v>
      </c>
      <c r="I72" s="36" t="s">
        <v>252</v>
      </c>
      <c r="J72" s="37" t="s">
        <v>253</v>
      </c>
      <c r="K72" s="38" t="n">
        <v>350</v>
      </c>
      <c r="L72" s="38" t="n">
        <v>27650000</v>
      </c>
      <c r="M72" s="38" t="n">
        <v>10148950</v>
      </c>
      <c r="N72" s="39" t="n">
        <f aca="false">IF(A72="제외",0,IF(OR(N(L72)&lt;=0,N(M72)&gt;N(L72)),N(M72)/요약!$D$27,N(L72)))</f>
        <v>27650000</v>
      </c>
      <c r="O72" s="32" t="str">
        <f aca="false">IF(A72="제외","",IF(OR(N(L72)&lt;=0,N(M72)&gt;N(L72)),"택가보정(판매금액÷공급율)",""))</f>
        <v/>
      </c>
      <c r="P72" s="0" t="str">
        <f aca="false">IF(A72="HK","100",IF(A72="CN","200",IF(A72="TW","300",IF(ISNUMBER(SEARCH("태국",C72)),"500",IF(ISNUMBER(SEARCH("말레이",C72)),"600",IF(ISNUMBER(SEARCH("필리핀",C72)),"700",IF(ISNUMBER(SEARCH("인도네시아",C72)),"800",IF(ISNUMBER(SEARCH("크루즈",C72)),"810",IF(ISNUMBER(SEARCH("동물원",C72)),"830","")))))))))</f>
        <v>300</v>
      </c>
    </row>
    <row r="73" customFormat="false" ht="15" hidden="false" customHeight="false" outlineLevel="0" collapsed="false">
      <c r="A73" s="32" t="str">
        <f aca="false">IF(OR(TRIM(C73)="",SUBSTITUTE(C73," ","")="소계"),"제외",IF(ISNUMBER(SEARCH("홍콩",C73)),"HK",IF(ISNUMBER(SEARCH("상해",C73)),"CN",IF(ISNUMBER(SEARCH("대만",C73)),"TW","홀세일"))))</f>
        <v>TW</v>
      </c>
      <c r="B73" s="36" t="s">
        <v>98</v>
      </c>
      <c r="C73" s="36" t="s">
        <v>99</v>
      </c>
      <c r="D73" s="37" t="s">
        <v>123</v>
      </c>
      <c r="E73" s="36" t="n">
        <v>2026</v>
      </c>
      <c r="F73" s="37" t="s">
        <v>219</v>
      </c>
      <c r="G73" s="37" t="s">
        <v>124</v>
      </c>
      <c r="H73" s="36" t="s">
        <v>131</v>
      </c>
      <c r="I73" s="36" t="s">
        <v>254</v>
      </c>
      <c r="J73" s="37" t="s">
        <v>255</v>
      </c>
      <c r="K73" s="38" t="n">
        <v>400</v>
      </c>
      <c r="L73" s="38" t="n">
        <v>31600000</v>
      </c>
      <c r="M73" s="38" t="n">
        <v>11282000</v>
      </c>
      <c r="N73" s="39" t="n">
        <f aca="false">IF(A73="제외",0,IF(OR(N(L73)&lt;=0,N(M73)&gt;N(L73)),N(M73)/요약!$D$27,N(L73)))</f>
        <v>31600000</v>
      </c>
      <c r="O73" s="32" t="str">
        <f aca="false">IF(A73="제외","",IF(OR(N(L73)&lt;=0,N(M73)&gt;N(L73)),"택가보정(판매금액÷공급율)",""))</f>
        <v/>
      </c>
      <c r="P73" s="0" t="str">
        <f aca="false">IF(A73="HK","100",IF(A73="CN","200",IF(A73="TW","300",IF(ISNUMBER(SEARCH("태국",C73)),"500",IF(ISNUMBER(SEARCH("말레이",C73)),"600",IF(ISNUMBER(SEARCH("필리핀",C73)),"700",IF(ISNUMBER(SEARCH("인도네시아",C73)),"800",IF(ISNUMBER(SEARCH("크루즈",C73)),"810",IF(ISNUMBER(SEARCH("동물원",C73)),"830","")))))))))</f>
        <v>300</v>
      </c>
    </row>
    <row r="74" customFormat="false" ht="15" hidden="false" customHeight="false" outlineLevel="0" collapsed="false">
      <c r="A74" s="32" t="str">
        <f aca="false">IF(OR(TRIM(C74)="",SUBSTITUTE(C74," ","")="소계"),"제외",IF(ISNUMBER(SEARCH("홍콩",C74)),"HK",IF(ISNUMBER(SEARCH("상해",C74)),"CN",IF(ISNUMBER(SEARCH("대만",C74)),"TW","홀세일"))))</f>
        <v>TW</v>
      </c>
      <c r="B74" s="36" t="s">
        <v>98</v>
      </c>
      <c r="C74" s="36" t="s">
        <v>99</v>
      </c>
      <c r="D74" s="37" t="s">
        <v>123</v>
      </c>
      <c r="E74" s="36" t="n">
        <v>2026</v>
      </c>
      <c r="F74" s="37" t="s">
        <v>219</v>
      </c>
      <c r="G74" s="37" t="s">
        <v>124</v>
      </c>
      <c r="H74" s="37" t="s">
        <v>128</v>
      </c>
      <c r="I74" s="36" t="s">
        <v>256</v>
      </c>
      <c r="J74" s="36" t="s">
        <v>257</v>
      </c>
      <c r="K74" s="38" t="n">
        <v>400</v>
      </c>
      <c r="L74" s="38" t="n">
        <v>35600000</v>
      </c>
      <c r="M74" s="38" t="n">
        <v>12905600</v>
      </c>
      <c r="N74" s="39" t="n">
        <f aca="false">IF(A74="제외",0,IF(OR(N(L74)&lt;=0,N(M74)&gt;N(L74)),N(M74)/요약!$D$27,N(L74)))</f>
        <v>35600000</v>
      </c>
      <c r="O74" s="32" t="str">
        <f aca="false">IF(A74="제외","",IF(OR(N(L74)&lt;=0,N(M74)&gt;N(L74)),"택가보정(판매금액÷공급율)",""))</f>
        <v/>
      </c>
      <c r="P74" s="0" t="str">
        <f aca="false">IF(A74="HK","100",IF(A74="CN","200",IF(A74="TW","300",IF(ISNUMBER(SEARCH("태국",C74)),"500",IF(ISNUMBER(SEARCH("말레이",C74)),"600",IF(ISNUMBER(SEARCH("필리핀",C74)),"700",IF(ISNUMBER(SEARCH("인도네시아",C74)),"800",IF(ISNUMBER(SEARCH("크루즈",C74)),"810",IF(ISNUMBER(SEARCH("동물원",C74)),"830","")))))))))</f>
        <v>300</v>
      </c>
    </row>
    <row r="75" customFormat="false" ht="15" hidden="false" customHeight="false" outlineLevel="0" collapsed="false">
      <c r="A75" s="32" t="str">
        <f aca="false">IF(OR(TRIM(C75)="",SUBSTITUTE(C75," ","")="소계"),"제외",IF(ISNUMBER(SEARCH("홍콩",C75)),"HK",IF(ISNUMBER(SEARCH("상해",C75)),"CN",IF(ISNUMBER(SEARCH("대만",C75)),"TW","홀세일"))))</f>
        <v>TW</v>
      </c>
      <c r="B75" s="36" t="s">
        <v>98</v>
      </c>
      <c r="C75" s="36" t="s">
        <v>99</v>
      </c>
      <c r="D75" s="37" t="s">
        <v>123</v>
      </c>
      <c r="E75" s="36" t="n">
        <v>2026</v>
      </c>
      <c r="F75" s="37" t="s">
        <v>219</v>
      </c>
      <c r="G75" s="37" t="s">
        <v>124</v>
      </c>
      <c r="H75" s="36" t="s">
        <v>131</v>
      </c>
      <c r="I75" s="36" t="s">
        <v>258</v>
      </c>
      <c r="J75" s="37" t="s">
        <v>259</v>
      </c>
      <c r="K75" s="38" t="n">
        <v>300</v>
      </c>
      <c r="L75" s="38" t="n">
        <v>38700000</v>
      </c>
      <c r="M75" s="38" t="n">
        <v>13986600</v>
      </c>
      <c r="N75" s="39" t="n">
        <f aca="false">IF(A75="제외",0,IF(OR(N(L75)&lt;=0,N(M75)&gt;N(L75)),N(M75)/요약!$D$27,N(L75)))</f>
        <v>38700000</v>
      </c>
      <c r="O75" s="32" t="str">
        <f aca="false">IF(A75="제외","",IF(OR(N(L75)&lt;=0,N(M75)&gt;N(L75)),"택가보정(판매금액÷공급율)",""))</f>
        <v/>
      </c>
      <c r="P75" s="0" t="str">
        <f aca="false">IF(A75="HK","100",IF(A75="CN","200",IF(A75="TW","300",IF(ISNUMBER(SEARCH("태국",C75)),"500",IF(ISNUMBER(SEARCH("말레이",C75)),"600",IF(ISNUMBER(SEARCH("필리핀",C75)),"700",IF(ISNUMBER(SEARCH("인도네시아",C75)),"800",IF(ISNUMBER(SEARCH("크루즈",C75)),"810",IF(ISNUMBER(SEARCH("동물원",C75)),"830","")))))))))</f>
        <v>300</v>
      </c>
    </row>
    <row r="76" customFormat="false" ht="15" hidden="false" customHeight="false" outlineLevel="0" collapsed="false">
      <c r="A76" s="32" t="str">
        <f aca="false">IF(OR(TRIM(C76)="",SUBSTITUTE(C76," ","")="소계"),"제외",IF(ISNUMBER(SEARCH("홍콩",C76)),"HK",IF(ISNUMBER(SEARCH("상해",C76)),"CN",IF(ISNUMBER(SEARCH("대만",C76)),"TW","홀세일"))))</f>
        <v>TW</v>
      </c>
      <c r="B76" s="36" t="s">
        <v>98</v>
      </c>
      <c r="C76" s="36" t="s">
        <v>99</v>
      </c>
      <c r="D76" s="37" t="s">
        <v>123</v>
      </c>
      <c r="E76" s="36" t="n">
        <v>2026</v>
      </c>
      <c r="F76" s="37" t="s">
        <v>219</v>
      </c>
      <c r="G76" s="37" t="s">
        <v>124</v>
      </c>
      <c r="H76" s="36" t="s">
        <v>131</v>
      </c>
      <c r="I76" s="36" t="s">
        <v>260</v>
      </c>
      <c r="J76" s="37" t="s">
        <v>261</v>
      </c>
      <c r="K76" s="38" t="n">
        <v>650</v>
      </c>
      <c r="L76" s="38" t="n">
        <v>90350000</v>
      </c>
      <c r="M76" s="38" t="n">
        <v>32649500</v>
      </c>
      <c r="N76" s="39" t="n">
        <f aca="false">IF(A76="제외",0,IF(OR(N(L76)&lt;=0,N(M76)&gt;N(L76)),N(M76)/요약!$D$27,N(L76)))</f>
        <v>90350000</v>
      </c>
      <c r="O76" s="32" t="str">
        <f aca="false">IF(A76="제외","",IF(OR(N(L76)&lt;=0,N(M76)&gt;N(L76)),"택가보정(판매금액÷공급율)",""))</f>
        <v/>
      </c>
      <c r="P76" s="0" t="str">
        <f aca="false">IF(A76="HK","100",IF(A76="CN","200",IF(A76="TW","300",IF(ISNUMBER(SEARCH("태국",C76)),"500",IF(ISNUMBER(SEARCH("말레이",C76)),"600",IF(ISNUMBER(SEARCH("필리핀",C76)),"700",IF(ISNUMBER(SEARCH("인도네시아",C76)),"800",IF(ISNUMBER(SEARCH("크루즈",C76)),"810",IF(ISNUMBER(SEARCH("동물원",C76)),"830","")))))))))</f>
        <v>300</v>
      </c>
    </row>
    <row r="77" customFormat="false" ht="15" hidden="false" customHeight="false" outlineLevel="0" collapsed="false">
      <c r="A77" s="32" t="str">
        <f aca="false">IF(OR(TRIM(C77)="",SUBSTITUTE(C77," ","")="소계"),"제외",IF(ISNUMBER(SEARCH("홍콩",C77)),"HK",IF(ISNUMBER(SEARCH("상해",C77)),"CN",IF(ISNUMBER(SEARCH("대만",C77)),"TW","홀세일"))))</f>
        <v>TW</v>
      </c>
      <c r="B77" s="36" t="s">
        <v>98</v>
      </c>
      <c r="C77" s="36" t="s">
        <v>99</v>
      </c>
      <c r="D77" s="37" t="s">
        <v>123</v>
      </c>
      <c r="E77" s="36" t="n">
        <v>2026</v>
      </c>
      <c r="F77" s="37" t="s">
        <v>219</v>
      </c>
      <c r="G77" s="37" t="s">
        <v>124</v>
      </c>
      <c r="H77" s="36" t="s">
        <v>131</v>
      </c>
      <c r="I77" s="36" t="s">
        <v>262</v>
      </c>
      <c r="J77" s="37" t="s">
        <v>263</v>
      </c>
      <c r="K77" s="38" t="n">
        <v>650</v>
      </c>
      <c r="L77" s="38" t="n">
        <v>83850000</v>
      </c>
      <c r="M77" s="38" t="n">
        <v>32649500</v>
      </c>
      <c r="N77" s="39" t="n">
        <f aca="false">IF(A77="제외",0,IF(OR(N(L77)&lt;=0,N(M77)&gt;N(L77)),N(M77)/요약!$D$27,N(L77)))</f>
        <v>83850000</v>
      </c>
      <c r="O77" s="32" t="str">
        <f aca="false">IF(A77="제외","",IF(OR(N(L77)&lt;=0,N(M77)&gt;N(L77)),"택가보정(판매금액÷공급율)",""))</f>
        <v/>
      </c>
      <c r="P77" s="0" t="str">
        <f aca="false">IF(A77="HK","100",IF(A77="CN","200",IF(A77="TW","300",IF(ISNUMBER(SEARCH("태국",C77)),"500",IF(ISNUMBER(SEARCH("말레이",C77)),"600",IF(ISNUMBER(SEARCH("필리핀",C77)),"700",IF(ISNUMBER(SEARCH("인도네시아",C77)),"800",IF(ISNUMBER(SEARCH("크루즈",C77)),"810",IF(ISNUMBER(SEARCH("동물원",C77)),"830","")))))))))</f>
        <v>300</v>
      </c>
    </row>
    <row r="78" customFormat="false" ht="15" hidden="false" customHeight="false" outlineLevel="0" collapsed="false">
      <c r="A78" s="32" t="str">
        <f aca="false">IF(OR(TRIM(C78)="",SUBSTITUTE(C78," ","")="소계"),"제외",IF(ISNUMBER(SEARCH("홍콩",C78)),"HK",IF(ISNUMBER(SEARCH("상해",C78)),"CN",IF(ISNUMBER(SEARCH("대만",C78)),"TW","홀세일"))))</f>
        <v>TW</v>
      </c>
      <c r="B78" s="36" t="s">
        <v>98</v>
      </c>
      <c r="C78" s="36" t="s">
        <v>99</v>
      </c>
      <c r="D78" s="37" t="s">
        <v>123</v>
      </c>
      <c r="E78" s="36" t="n">
        <v>2026</v>
      </c>
      <c r="F78" s="37" t="s">
        <v>219</v>
      </c>
      <c r="G78" s="37" t="s">
        <v>124</v>
      </c>
      <c r="H78" s="36" t="s">
        <v>131</v>
      </c>
      <c r="I78" s="36" t="s">
        <v>264</v>
      </c>
      <c r="J78" s="37" t="s">
        <v>265</v>
      </c>
      <c r="K78" s="38" t="n">
        <v>80</v>
      </c>
      <c r="L78" s="38" t="n">
        <v>8720000</v>
      </c>
      <c r="M78" s="38" t="n">
        <v>3111120</v>
      </c>
      <c r="N78" s="39" t="n">
        <f aca="false">IF(A78="제외",0,IF(OR(N(L78)&lt;=0,N(M78)&gt;N(L78)),N(M78)/요약!$D$27,N(L78)))</f>
        <v>8720000</v>
      </c>
      <c r="O78" s="32" t="str">
        <f aca="false">IF(A78="제외","",IF(OR(N(L78)&lt;=0,N(M78)&gt;N(L78)),"택가보정(판매금액÷공급율)",""))</f>
        <v/>
      </c>
      <c r="P78" s="0" t="str">
        <f aca="false">IF(A78="HK","100",IF(A78="CN","200",IF(A78="TW","300",IF(ISNUMBER(SEARCH("태국",C78)),"500",IF(ISNUMBER(SEARCH("말레이",C78)),"600",IF(ISNUMBER(SEARCH("필리핀",C78)),"700",IF(ISNUMBER(SEARCH("인도네시아",C78)),"800",IF(ISNUMBER(SEARCH("크루즈",C78)),"810",IF(ISNUMBER(SEARCH("동물원",C78)),"830","")))))))))</f>
        <v>300</v>
      </c>
    </row>
    <row r="79" customFormat="false" ht="15" hidden="false" customHeight="false" outlineLevel="0" collapsed="false">
      <c r="A79" s="32" t="str">
        <f aca="false">IF(OR(TRIM(C79)="",SUBSTITUTE(C79," ","")="소계"),"제외",IF(ISNUMBER(SEARCH("홍콩",C79)),"HK",IF(ISNUMBER(SEARCH("상해",C79)),"CN",IF(ISNUMBER(SEARCH("대만",C79)),"TW","홀세일"))))</f>
        <v>TW</v>
      </c>
      <c r="B79" s="36" t="s">
        <v>98</v>
      </c>
      <c r="C79" s="36" t="s">
        <v>99</v>
      </c>
      <c r="D79" s="37" t="s">
        <v>123</v>
      </c>
      <c r="E79" s="36" t="n">
        <v>2026</v>
      </c>
      <c r="F79" s="37" t="s">
        <v>219</v>
      </c>
      <c r="G79" s="37" t="s">
        <v>124</v>
      </c>
      <c r="H79" s="36" t="s">
        <v>131</v>
      </c>
      <c r="I79" s="36" t="s">
        <v>266</v>
      </c>
      <c r="J79" s="37" t="s">
        <v>267</v>
      </c>
      <c r="K79" s="38" t="n">
        <v>120</v>
      </c>
      <c r="L79" s="38" t="n">
        <v>11880000</v>
      </c>
      <c r="M79" s="38" t="n">
        <v>4239360</v>
      </c>
      <c r="N79" s="39" t="n">
        <f aca="false">IF(A79="제외",0,IF(OR(N(L79)&lt;=0,N(M79)&gt;N(L79)),N(M79)/요약!$D$27,N(L79)))</f>
        <v>11880000</v>
      </c>
      <c r="O79" s="32" t="str">
        <f aca="false">IF(A79="제외","",IF(OR(N(L79)&lt;=0,N(M79)&gt;N(L79)),"택가보정(판매금액÷공급율)",""))</f>
        <v/>
      </c>
      <c r="P79" s="0" t="str">
        <f aca="false">IF(A79="HK","100",IF(A79="CN","200",IF(A79="TW","300",IF(ISNUMBER(SEARCH("태국",C79)),"500",IF(ISNUMBER(SEARCH("말레이",C79)),"600",IF(ISNUMBER(SEARCH("필리핀",C79)),"700",IF(ISNUMBER(SEARCH("인도네시아",C79)),"800",IF(ISNUMBER(SEARCH("크루즈",C79)),"810",IF(ISNUMBER(SEARCH("동물원",C79)),"830","")))))))))</f>
        <v>300</v>
      </c>
    </row>
    <row r="80" customFormat="false" ht="15" hidden="false" customHeight="false" outlineLevel="0" collapsed="false">
      <c r="A80" s="32" t="str">
        <f aca="false">IF(OR(TRIM(C80)="",SUBSTITUTE(C80," ","")="소계"),"제외",IF(ISNUMBER(SEARCH("홍콩",C80)),"HK",IF(ISNUMBER(SEARCH("상해",C80)),"CN",IF(ISNUMBER(SEARCH("대만",C80)),"TW","홀세일"))))</f>
        <v>TW</v>
      </c>
      <c r="B80" s="36" t="s">
        <v>98</v>
      </c>
      <c r="C80" s="36" t="s">
        <v>99</v>
      </c>
      <c r="D80" s="37" t="s">
        <v>123</v>
      </c>
      <c r="E80" s="36" t="n">
        <v>2026</v>
      </c>
      <c r="F80" s="37" t="s">
        <v>219</v>
      </c>
      <c r="G80" s="37" t="s">
        <v>124</v>
      </c>
      <c r="H80" s="36" t="s">
        <v>131</v>
      </c>
      <c r="I80" s="36" t="s">
        <v>268</v>
      </c>
      <c r="J80" s="37" t="s">
        <v>269</v>
      </c>
      <c r="K80" s="38" t="n">
        <v>400</v>
      </c>
      <c r="L80" s="38" t="n">
        <v>67600000</v>
      </c>
      <c r="M80" s="38" t="n">
        <v>25923600</v>
      </c>
      <c r="N80" s="39" t="n">
        <f aca="false">IF(A80="제외",0,IF(OR(N(L80)&lt;=0,N(M80)&gt;N(L80)),N(M80)/요약!$D$27,N(L80)))</f>
        <v>67600000</v>
      </c>
      <c r="O80" s="32" t="str">
        <f aca="false">IF(A80="제외","",IF(OR(N(L80)&lt;=0,N(M80)&gt;N(L80)),"택가보정(판매금액÷공급율)",""))</f>
        <v/>
      </c>
      <c r="P80" s="0" t="str">
        <f aca="false">IF(A80="HK","100",IF(A80="CN","200",IF(A80="TW","300",IF(ISNUMBER(SEARCH("태국",C80)),"500",IF(ISNUMBER(SEARCH("말레이",C80)),"600",IF(ISNUMBER(SEARCH("필리핀",C80)),"700",IF(ISNUMBER(SEARCH("인도네시아",C80)),"800",IF(ISNUMBER(SEARCH("크루즈",C80)),"810",IF(ISNUMBER(SEARCH("동물원",C80)),"830","")))))))))</f>
        <v>300</v>
      </c>
    </row>
    <row r="81" customFormat="false" ht="15" hidden="false" customHeight="false" outlineLevel="0" collapsed="false">
      <c r="A81" s="32" t="str">
        <f aca="false">IF(OR(TRIM(C81)="",SUBSTITUTE(C81," ","")="소계"),"제외",IF(ISNUMBER(SEARCH("홍콩",C81)),"HK",IF(ISNUMBER(SEARCH("상해",C81)),"CN",IF(ISNUMBER(SEARCH("대만",C81)),"TW","홀세일"))))</f>
        <v>TW</v>
      </c>
      <c r="B81" s="36" t="s">
        <v>98</v>
      </c>
      <c r="C81" s="36" t="s">
        <v>99</v>
      </c>
      <c r="D81" s="37" t="s">
        <v>123</v>
      </c>
      <c r="E81" s="36" t="n">
        <v>2026</v>
      </c>
      <c r="F81" s="37" t="s">
        <v>219</v>
      </c>
      <c r="G81" s="37" t="s">
        <v>124</v>
      </c>
      <c r="H81" s="36" t="s">
        <v>131</v>
      </c>
      <c r="I81" s="36" t="s">
        <v>270</v>
      </c>
      <c r="J81" s="37" t="s">
        <v>271</v>
      </c>
      <c r="K81" s="38" t="n">
        <v>80</v>
      </c>
      <c r="L81" s="38" t="n">
        <v>12720000</v>
      </c>
      <c r="M81" s="38" t="n">
        <v>4872880</v>
      </c>
      <c r="N81" s="39" t="n">
        <f aca="false">IF(A81="제외",0,IF(OR(N(L81)&lt;=0,N(M81)&gt;N(L81)),N(M81)/요약!$D$27,N(L81)))</f>
        <v>12720000</v>
      </c>
      <c r="O81" s="32" t="str">
        <f aca="false">IF(A81="제외","",IF(OR(N(L81)&lt;=0,N(M81)&gt;N(L81)),"택가보정(판매금액÷공급율)",""))</f>
        <v/>
      </c>
      <c r="P81" s="0" t="str">
        <f aca="false">IF(A81="HK","100",IF(A81="CN","200",IF(A81="TW","300",IF(ISNUMBER(SEARCH("태국",C81)),"500",IF(ISNUMBER(SEARCH("말레이",C81)),"600",IF(ISNUMBER(SEARCH("필리핀",C81)),"700",IF(ISNUMBER(SEARCH("인도네시아",C81)),"800",IF(ISNUMBER(SEARCH("크루즈",C81)),"810",IF(ISNUMBER(SEARCH("동물원",C81)),"830","")))))))))</f>
        <v>300</v>
      </c>
    </row>
    <row r="82" customFormat="false" ht="15" hidden="false" customHeight="false" outlineLevel="0" collapsed="false">
      <c r="A82" s="32" t="str">
        <f aca="false">IF(OR(TRIM(C82)="",SUBSTITUTE(C82," ","")="소계"),"제외",IF(ISNUMBER(SEARCH("홍콩",C82)),"HK",IF(ISNUMBER(SEARCH("상해",C82)),"CN",IF(ISNUMBER(SEARCH("대만",C82)),"TW","홀세일"))))</f>
        <v>TW</v>
      </c>
      <c r="B82" s="36" t="s">
        <v>98</v>
      </c>
      <c r="C82" s="36" t="s">
        <v>99</v>
      </c>
      <c r="D82" s="37" t="s">
        <v>123</v>
      </c>
      <c r="E82" s="36" t="n">
        <v>2026</v>
      </c>
      <c r="F82" s="37" t="s">
        <v>219</v>
      </c>
      <c r="G82" s="37" t="s">
        <v>124</v>
      </c>
      <c r="H82" s="36" t="s">
        <v>131</v>
      </c>
      <c r="I82" s="36" t="s">
        <v>272</v>
      </c>
      <c r="J82" s="37" t="s">
        <v>273</v>
      </c>
      <c r="K82" s="38" t="n">
        <v>930</v>
      </c>
      <c r="L82" s="38" t="n">
        <v>175770000</v>
      </c>
      <c r="M82" s="38" t="n">
        <v>63493890</v>
      </c>
      <c r="N82" s="39" t="n">
        <f aca="false">IF(A82="제외",0,IF(OR(N(L82)&lt;=0,N(M82)&gt;N(L82)),N(M82)/요약!$D$27,N(L82)))</f>
        <v>175770000</v>
      </c>
      <c r="O82" s="32" t="str">
        <f aca="false">IF(A82="제외","",IF(OR(N(L82)&lt;=0,N(M82)&gt;N(L82)),"택가보정(판매금액÷공급율)",""))</f>
        <v/>
      </c>
      <c r="P82" s="0" t="str">
        <f aca="false">IF(A82="HK","100",IF(A82="CN","200",IF(A82="TW","300",IF(ISNUMBER(SEARCH("태국",C82)),"500",IF(ISNUMBER(SEARCH("말레이",C82)),"600",IF(ISNUMBER(SEARCH("필리핀",C82)),"700",IF(ISNUMBER(SEARCH("인도네시아",C82)),"800",IF(ISNUMBER(SEARCH("크루즈",C82)),"810",IF(ISNUMBER(SEARCH("동물원",C82)),"830","")))))))))</f>
        <v>300</v>
      </c>
    </row>
    <row r="83" customFormat="false" ht="15" hidden="false" customHeight="false" outlineLevel="0" collapsed="false">
      <c r="A83" s="32" t="str">
        <f aca="false">IF(OR(TRIM(C83)="",SUBSTITUTE(C83," ","")="소계"),"제외",IF(ISNUMBER(SEARCH("홍콩",C83)),"HK",IF(ISNUMBER(SEARCH("상해",C83)),"CN",IF(ISNUMBER(SEARCH("대만",C83)),"TW","홀세일"))))</f>
        <v>TW</v>
      </c>
      <c r="B83" s="36" t="s">
        <v>98</v>
      </c>
      <c r="C83" s="36" t="s">
        <v>99</v>
      </c>
      <c r="D83" s="37" t="s">
        <v>123</v>
      </c>
      <c r="E83" s="36" t="n">
        <v>2026</v>
      </c>
      <c r="F83" s="37" t="s">
        <v>219</v>
      </c>
      <c r="G83" s="37" t="s">
        <v>124</v>
      </c>
      <c r="H83" s="36" t="s">
        <v>131</v>
      </c>
      <c r="I83" s="36" t="s">
        <v>274</v>
      </c>
      <c r="J83" s="37" t="s">
        <v>275</v>
      </c>
      <c r="K83" s="38" t="n">
        <v>420</v>
      </c>
      <c r="L83" s="38" t="n">
        <v>75180000</v>
      </c>
      <c r="M83" s="38" t="n">
        <v>27158880</v>
      </c>
      <c r="N83" s="39" t="n">
        <f aca="false">IF(A83="제외",0,IF(OR(N(L83)&lt;=0,N(M83)&gt;N(L83)),N(M83)/요약!$D$27,N(L83)))</f>
        <v>75180000</v>
      </c>
      <c r="O83" s="32" t="str">
        <f aca="false">IF(A83="제외","",IF(OR(N(L83)&lt;=0,N(M83)&gt;N(L83)),"택가보정(판매금액÷공급율)",""))</f>
        <v/>
      </c>
      <c r="P83" s="0" t="str">
        <f aca="false">IF(A83="HK","100",IF(A83="CN","200",IF(A83="TW","300",IF(ISNUMBER(SEARCH("태국",C83)),"500",IF(ISNUMBER(SEARCH("말레이",C83)),"600",IF(ISNUMBER(SEARCH("필리핀",C83)),"700",IF(ISNUMBER(SEARCH("인도네시아",C83)),"800",IF(ISNUMBER(SEARCH("크루즈",C83)),"810",IF(ISNUMBER(SEARCH("동물원",C83)),"830","")))))))))</f>
        <v>300</v>
      </c>
    </row>
    <row r="84" customFormat="false" ht="15" hidden="false" customHeight="false" outlineLevel="0" collapsed="false">
      <c r="A84" s="32" t="str">
        <f aca="false">IF(OR(TRIM(C84)="",SUBSTITUTE(C84," ","")="소계"),"제외",IF(ISNUMBER(SEARCH("홍콩",C84)),"HK",IF(ISNUMBER(SEARCH("상해",C84)),"CN",IF(ISNUMBER(SEARCH("대만",C84)),"TW","홀세일"))))</f>
        <v>TW</v>
      </c>
      <c r="B84" s="36" t="s">
        <v>98</v>
      </c>
      <c r="C84" s="36" t="s">
        <v>99</v>
      </c>
      <c r="D84" s="37" t="s">
        <v>123</v>
      </c>
      <c r="E84" s="36" t="n">
        <v>2026</v>
      </c>
      <c r="F84" s="37" t="s">
        <v>219</v>
      </c>
      <c r="G84" s="37" t="s">
        <v>124</v>
      </c>
      <c r="H84" s="36" t="s">
        <v>131</v>
      </c>
      <c r="I84" s="36" t="s">
        <v>276</v>
      </c>
      <c r="J84" s="37" t="s">
        <v>277</v>
      </c>
      <c r="K84" s="38" t="n">
        <v>470</v>
      </c>
      <c r="L84" s="38" t="n">
        <v>70030000</v>
      </c>
      <c r="M84" s="38" t="n">
        <v>25674220</v>
      </c>
      <c r="N84" s="39" t="n">
        <f aca="false">IF(A84="제외",0,IF(OR(N(L84)&lt;=0,N(M84)&gt;N(L84)),N(M84)/요약!$D$27,N(L84)))</f>
        <v>70030000</v>
      </c>
      <c r="O84" s="32" t="str">
        <f aca="false">IF(A84="제외","",IF(OR(N(L84)&lt;=0,N(M84)&gt;N(L84)),"택가보정(판매금액÷공급율)",""))</f>
        <v/>
      </c>
      <c r="P84" s="0" t="str">
        <f aca="false">IF(A84="HK","100",IF(A84="CN","200",IF(A84="TW","300",IF(ISNUMBER(SEARCH("태국",C84)),"500",IF(ISNUMBER(SEARCH("말레이",C84)),"600",IF(ISNUMBER(SEARCH("필리핀",C84)),"700",IF(ISNUMBER(SEARCH("인도네시아",C84)),"800",IF(ISNUMBER(SEARCH("크루즈",C84)),"810",IF(ISNUMBER(SEARCH("동물원",C84)),"830","")))))))))</f>
        <v>300</v>
      </c>
    </row>
    <row r="85" customFormat="false" ht="15" hidden="false" customHeight="false" outlineLevel="0" collapsed="false">
      <c r="A85" s="32" t="str">
        <f aca="false">IF(OR(TRIM(C85)="",SUBSTITUTE(C85," ","")="소계"),"제외",IF(ISNUMBER(SEARCH("홍콩",C85)),"HK",IF(ISNUMBER(SEARCH("상해",C85)),"CN",IF(ISNUMBER(SEARCH("대만",C85)),"TW","홀세일"))))</f>
        <v>TW</v>
      </c>
      <c r="B85" s="36" t="s">
        <v>98</v>
      </c>
      <c r="C85" s="36" t="s">
        <v>99</v>
      </c>
      <c r="D85" s="37" t="s">
        <v>123</v>
      </c>
      <c r="E85" s="36" t="n">
        <v>2026</v>
      </c>
      <c r="F85" s="37" t="s">
        <v>219</v>
      </c>
      <c r="G85" s="37" t="s">
        <v>124</v>
      </c>
      <c r="H85" s="36" t="s">
        <v>131</v>
      </c>
      <c r="I85" s="36" t="s">
        <v>278</v>
      </c>
      <c r="J85" s="37" t="s">
        <v>279</v>
      </c>
      <c r="K85" s="38" t="n">
        <v>880</v>
      </c>
      <c r="L85" s="38" t="n">
        <v>87120000</v>
      </c>
      <c r="M85" s="38" t="n">
        <v>31961600</v>
      </c>
      <c r="N85" s="39" t="n">
        <f aca="false">IF(A85="제외",0,IF(OR(N(L85)&lt;=0,N(M85)&gt;N(L85)),N(M85)/요약!$D$27,N(L85)))</f>
        <v>87120000</v>
      </c>
      <c r="O85" s="32" t="str">
        <f aca="false">IF(A85="제외","",IF(OR(N(L85)&lt;=0,N(M85)&gt;N(L85)),"택가보정(판매금액÷공급율)",""))</f>
        <v/>
      </c>
      <c r="P85" s="0" t="str">
        <f aca="false">IF(A85="HK","100",IF(A85="CN","200",IF(A85="TW","300",IF(ISNUMBER(SEARCH("태국",C85)),"500",IF(ISNUMBER(SEARCH("말레이",C85)),"600",IF(ISNUMBER(SEARCH("필리핀",C85)),"700",IF(ISNUMBER(SEARCH("인도네시아",C85)),"800",IF(ISNUMBER(SEARCH("크루즈",C85)),"810",IF(ISNUMBER(SEARCH("동물원",C85)),"830","")))))))))</f>
        <v>300</v>
      </c>
    </row>
    <row r="86" customFormat="false" ht="15" hidden="false" customHeight="false" outlineLevel="0" collapsed="false">
      <c r="A86" s="32" t="str">
        <f aca="false">IF(OR(TRIM(C86)="",SUBSTITUTE(C86," ","")="소계"),"제외",IF(ISNUMBER(SEARCH("홍콩",C86)),"HK",IF(ISNUMBER(SEARCH("상해",C86)),"CN",IF(ISNUMBER(SEARCH("대만",C86)),"TW","홀세일"))))</f>
        <v>TW</v>
      </c>
      <c r="B86" s="36" t="s">
        <v>98</v>
      </c>
      <c r="C86" s="36" t="s">
        <v>99</v>
      </c>
      <c r="D86" s="37" t="s">
        <v>123</v>
      </c>
      <c r="E86" s="36" t="n">
        <v>2026</v>
      </c>
      <c r="F86" s="37" t="s">
        <v>219</v>
      </c>
      <c r="G86" s="37" t="s">
        <v>124</v>
      </c>
      <c r="H86" s="36" t="s">
        <v>125</v>
      </c>
      <c r="I86" s="36" t="s">
        <v>280</v>
      </c>
      <c r="J86" s="37" t="s">
        <v>281</v>
      </c>
      <c r="K86" s="38" t="n">
        <v>150</v>
      </c>
      <c r="L86" s="38" t="n">
        <v>14850000</v>
      </c>
      <c r="M86" s="38" t="n">
        <v>5369400</v>
      </c>
      <c r="N86" s="39" t="n">
        <f aca="false">IF(A86="제외",0,IF(OR(N(L86)&lt;=0,N(M86)&gt;N(L86)),N(M86)/요약!$D$27,N(L86)))</f>
        <v>14850000</v>
      </c>
      <c r="O86" s="32" t="str">
        <f aca="false">IF(A86="제외","",IF(OR(N(L86)&lt;=0,N(M86)&gt;N(L86)),"택가보정(판매금액÷공급율)",""))</f>
        <v/>
      </c>
      <c r="P86" s="0" t="str">
        <f aca="false">IF(A86="HK","100",IF(A86="CN","200",IF(A86="TW","300",IF(ISNUMBER(SEARCH("태국",C86)),"500",IF(ISNUMBER(SEARCH("말레이",C86)),"600",IF(ISNUMBER(SEARCH("필리핀",C86)),"700",IF(ISNUMBER(SEARCH("인도네시아",C86)),"800",IF(ISNUMBER(SEARCH("크루즈",C86)),"810",IF(ISNUMBER(SEARCH("동물원",C86)),"830","")))))))))</f>
        <v>300</v>
      </c>
    </row>
    <row r="87" customFormat="false" ht="15" hidden="false" customHeight="false" outlineLevel="0" collapsed="false">
      <c r="A87" s="32" t="str">
        <f aca="false">IF(OR(TRIM(C87)="",SUBSTITUTE(C87," ","")="소계"),"제외",IF(ISNUMBER(SEARCH("홍콩",C87)),"HK",IF(ISNUMBER(SEARCH("상해",C87)),"CN",IF(ISNUMBER(SEARCH("대만",C87)),"TW","홀세일"))))</f>
        <v>TW</v>
      </c>
      <c r="B87" s="36" t="s">
        <v>98</v>
      </c>
      <c r="C87" s="36" t="s">
        <v>99</v>
      </c>
      <c r="D87" s="37" t="s">
        <v>123</v>
      </c>
      <c r="E87" s="36" t="n">
        <v>2026</v>
      </c>
      <c r="F87" s="37" t="s">
        <v>219</v>
      </c>
      <c r="G87" s="37" t="s">
        <v>124</v>
      </c>
      <c r="H87" s="36" t="s">
        <v>131</v>
      </c>
      <c r="I87" s="36" t="s">
        <v>282</v>
      </c>
      <c r="J87" s="37" t="s">
        <v>283</v>
      </c>
      <c r="K87" s="38" t="n">
        <v>550</v>
      </c>
      <c r="L87" s="38" t="n">
        <v>70950000</v>
      </c>
      <c r="M87" s="38" t="n">
        <v>26016650</v>
      </c>
      <c r="N87" s="39" t="n">
        <f aca="false">IF(A87="제외",0,IF(OR(N(L87)&lt;=0,N(M87)&gt;N(L87)),N(M87)/요약!$D$27,N(L87)))</f>
        <v>70950000</v>
      </c>
      <c r="O87" s="32" t="str">
        <f aca="false">IF(A87="제외","",IF(OR(N(L87)&lt;=0,N(M87)&gt;N(L87)),"택가보정(판매금액÷공급율)",""))</f>
        <v/>
      </c>
      <c r="P87" s="0" t="str">
        <f aca="false">IF(A87="HK","100",IF(A87="CN","200",IF(A87="TW","300",IF(ISNUMBER(SEARCH("태국",C87)),"500",IF(ISNUMBER(SEARCH("말레이",C87)),"600",IF(ISNUMBER(SEARCH("필리핀",C87)),"700",IF(ISNUMBER(SEARCH("인도네시아",C87)),"800",IF(ISNUMBER(SEARCH("크루즈",C87)),"810",IF(ISNUMBER(SEARCH("동물원",C87)),"830","")))))))))</f>
        <v>300</v>
      </c>
    </row>
    <row r="88" customFormat="false" ht="15" hidden="false" customHeight="false" outlineLevel="0" collapsed="false">
      <c r="A88" s="32" t="str">
        <f aca="false">IF(OR(TRIM(C88)="",SUBSTITUTE(C88," ","")="소계"),"제외",IF(ISNUMBER(SEARCH("홍콩",C88)),"HK",IF(ISNUMBER(SEARCH("상해",C88)),"CN",IF(ISNUMBER(SEARCH("대만",C88)),"TW","홀세일"))))</f>
        <v>TW</v>
      </c>
      <c r="B88" s="36" t="s">
        <v>98</v>
      </c>
      <c r="C88" s="36" t="s">
        <v>99</v>
      </c>
      <c r="D88" s="37" t="s">
        <v>123</v>
      </c>
      <c r="E88" s="36" t="n">
        <v>2026</v>
      </c>
      <c r="F88" s="37" t="s">
        <v>219</v>
      </c>
      <c r="G88" s="37" t="s">
        <v>124</v>
      </c>
      <c r="H88" s="36" t="s">
        <v>131</v>
      </c>
      <c r="I88" s="36" t="s">
        <v>284</v>
      </c>
      <c r="J88" s="37" t="s">
        <v>285</v>
      </c>
      <c r="K88" s="38" t="n">
        <v>330</v>
      </c>
      <c r="L88" s="38" t="n">
        <v>22770000</v>
      </c>
      <c r="M88" s="38" t="n">
        <v>8240430</v>
      </c>
      <c r="N88" s="39" t="n">
        <f aca="false">IF(A88="제외",0,IF(OR(N(L88)&lt;=0,N(M88)&gt;N(L88)),N(M88)/요약!$D$27,N(L88)))</f>
        <v>22770000</v>
      </c>
      <c r="O88" s="32" t="str">
        <f aca="false">IF(A88="제외","",IF(OR(N(L88)&lt;=0,N(M88)&gt;N(L88)),"택가보정(판매금액÷공급율)",""))</f>
        <v/>
      </c>
      <c r="P88" s="0" t="str">
        <f aca="false">IF(A88="HK","100",IF(A88="CN","200",IF(A88="TW","300",IF(ISNUMBER(SEARCH("태국",C88)),"500",IF(ISNUMBER(SEARCH("말레이",C88)),"600",IF(ISNUMBER(SEARCH("필리핀",C88)),"700",IF(ISNUMBER(SEARCH("인도네시아",C88)),"800",IF(ISNUMBER(SEARCH("크루즈",C88)),"810",IF(ISNUMBER(SEARCH("동물원",C88)),"830","")))))))))</f>
        <v>300</v>
      </c>
    </row>
    <row r="89" customFormat="false" ht="15" hidden="false" customHeight="false" outlineLevel="0" collapsed="false">
      <c r="A89" s="32" t="str">
        <f aca="false">IF(OR(TRIM(C89)="",SUBSTITUTE(C89," ","")="소계"),"제외",IF(ISNUMBER(SEARCH("홍콩",C89)),"HK",IF(ISNUMBER(SEARCH("상해",C89)),"CN",IF(ISNUMBER(SEARCH("대만",C89)),"TW","홀세일"))))</f>
        <v>TW</v>
      </c>
      <c r="B89" s="36" t="s">
        <v>98</v>
      </c>
      <c r="C89" s="36" t="s">
        <v>99</v>
      </c>
      <c r="D89" s="37" t="s">
        <v>123</v>
      </c>
      <c r="E89" s="36" t="n">
        <v>2026</v>
      </c>
      <c r="F89" s="37" t="s">
        <v>219</v>
      </c>
      <c r="G89" s="37" t="s">
        <v>124</v>
      </c>
      <c r="H89" s="36" t="s">
        <v>131</v>
      </c>
      <c r="I89" s="36" t="s">
        <v>286</v>
      </c>
      <c r="J89" s="37" t="s">
        <v>287</v>
      </c>
      <c r="K89" s="38" t="n">
        <v>680</v>
      </c>
      <c r="L89" s="38" t="n">
        <v>40120000</v>
      </c>
      <c r="M89" s="38" t="n">
        <v>14526160</v>
      </c>
      <c r="N89" s="39" t="n">
        <f aca="false">IF(A89="제외",0,IF(OR(N(L89)&lt;=0,N(M89)&gt;N(L89)),N(M89)/요약!$D$27,N(L89)))</f>
        <v>40120000</v>
      </c>
      <c r="O89" s="32" t="str">
        <f aca="false">IF(A89="제외","",IF(OR(N(L89)&lt;=0,N(M89)&gt;N(L89)),"택가보정(판매금액÷공급율)",""))</f>
        <v/>
      </c>
      <c r="P89" s="0" t="str">
        <f aca="false">IF(A89="HK","100",IF(A89="CN","200",IF(A89="TW","300",IF(ISNUMBER(SEARCH("태국",C89)),"500",IF(ISNUMBER(SEARCH("말레이",C89)),"600",IF(ISNUMBER(SEARCH("필리핀",C89)),"700",IF(ISNUMBER(SEARCH("인도네시아",C89)),"800",IF(ISNUMBER(SEARCH("크루즈",C89)),"810",IF(ISNUMBER(SEARCH("동물원",C89)),"830","")))))))))</f>
        <v>300</v>
      </c>
    </row>
    <row r="90" customFormat="false" ht="15" hidden="false" customHeight="false" outlineLevel="0" collapsed="false">
      <c r="A90" s="32" t="str">
        <f aca="false">IF(OR(TRIM(C90)="",SUBSTITUTE(C90," ","")="소계"),"제외",IF(ISNUMBER(SEARCH("홍콩",C90)),"HK",IF(ISNUMBER(SEARCH("상해",C90)),"CN",IF(ISNUMBER(SEARCH("대만",C90)),"TW","홀세일"))))</f>
        <v>TW</v>
      </c>
      <c r="B90" s="36" t="s">
        <v>98</v>
      </c>
      <c r="C90" s="36" t="s">
        <v>99</v>
      </c>
      <c r="D90" s="37" t="s">
        <v>123</v>
      </c>
      <c r="E90" s="36" t="n">
        <v>2026</v>
      </c>
      <c r="F90" s="37" t="s">
        <v>219</v>
      </c>
      <c r="G90" s="37" t="s">
        <v>124</v>
      </c>
      <c r="H90" s="36" t="s">
        <v>131</v>
      </c>
      <c r="I90" s="36" t="s">
        <v>288</v>
      </c>
      <c r="J90" s="37" t="s">
        <v>289</v>
      </c>
      <c r="K90" s="38" t="n">
        <v>850</v>
      </c>
      <c r="L90" s="38" t="n">
        <v>50150000</v>
      </c>
      <c r="M90" s="38" t="n">
        <v>18157700</v>
      </c>
      <c r="N90" s="39" t="n">
        <f aca="false">IF(A90="제외",0,IF(OR(N(L90)&lt;=0,N(M90)&gt;N(L90)),N(M90)/요약!$D$27,N(L90)))</f>
        <v>50150000</v>
      </c>
      <c r="O90" s="32" t="str">
        <f aca="false">IF(A90="제외","",IF(OR(N(L90)&lt;=0,N(M90)&gt;N(L90)),"택가보정(판매금액÷공급율)",""))</f>
        <v/>
      </c>
      <c r="P90" s="0" t="str">
        <f aca="false">IF(A90="HK","100",IF(A90="CN","200",IF(A90="TW","300",IF(ISNUMBER(SEARCH("태국",C90)),"500",IF(ISNUMBER(SEARCH("말레이",C90)),"600",IF(ISNUMBER(SEARCH("필리핀",C90)),"700",IF(ISNUMBER(SEARCH("인도네시아",C90)),"800",IF(ISNUMBER(SEARCH("크루즈",C90)),"810",IF(ISNUMBER(SEARCH("동물원",C90)),"830","")))))))))</f>
        <v>300</v>
      </c>
    </row>
    <row r="91" customFormat="false" ht="15" hidden="false" customHeight="false" outlineLevel="0" collapsed="false">
      <c r="A91" s="32" t="str">
        <f aca="false">IF(OR(TRIM(C91)="",SUBSTITUTE(C91," ","")="소계"),"제외",IF(ISNUMBER(SEARCH("홍콩",C91)),"HK",IF(ISNUMBER(SEARCH("상해",C91)),"CN",IF(ISNUMBER(SEARCH("대만",C91)),"TW","홀세일"))))</f>
        <v>TW</v>
      </c>
      <c r="B91" s="36" t="s">
        <v>98</v>
      </c>
      <c r="C91" s="36" t="s">
        <v>99</v>
      </c>
      <c r="D91" s="37" t="s">
        <v>123</v>
      </c>
      <c r="E91" s="36" t="n">
        <v>2026</v>
      </c>
      <c r="F91" s="37" t="s">
        <v>219</v>
      </c>
      <c r="G91" s="37" t="s">
        <v>124</v>
      </c>
      <c r="H91" s="36" t="s">
        <v>131</v>
      </c>
      <c r="I91" s="36" t="s">
        <v>290</v>
      </c>
      <c r="J91" s="37" t="s">
        <v>291</v>
      </c>
      <c r="K91" s="38" t="n">
        <v>900</v>
      </c>
      <c r="L91" s="38" t="n">
        <v>62100000</v>
      </c>
      <c r="M91" s="38" t="n">
        <v>22473900</v>
      </c>
      <c r="N91" s="39" t="n">
        <f aca="false">IF(A91="제외",0,IF(OR(N(L91)&lt;=0,N(M91)&gt;N(L91)),N(M91)/요약!$D$27,N(L91)))</f>
        <v>62100000</v>
      </c>
      <c r="O91" s="32" t="str">
        <f aca="false">IF(A91="제외","",IF(OR(N(L91)&lt;=0,N(M91)&gt;N(L91)),"택가보정(판매금액÷공급율)",""))</f>
        <v/>
      </c>
      <c r="P91" s="0" t="str">
        <f aca="false">IF(A91="HK","100",IF(A91="CN","200",IF(A91="TW","300",IF(ISNUMBER(SEARCH("태국",C91)),"500",IF(ISNUMBER(SEARCH("말레이",C91)),"600",IF(ISNUMBER(SEARCH("필리핀",C91)),"700",IF(ISNUMBER(SEARCH("인도네시아",C91)),"800",IF(ISNUMBER(SEARCH("크루즈",C91)),"810",IF(ISNUMBER(SEARCH("동물원",C91)),"830","")))))))))</f>
        <v>300</v>
      </c>
    </row>
    <row r="92" customFormat="false" ht="15" hidden="false" customHeight="false" outlineLevel="0" collapsed="false">
      <c r="A92" s="32" t="str">
        <f aca="false">IF(OR(TRIM(C92)="",SUBSTITUTE(C92," ","")="소계"),"제외",IF(ISNUMBER(SEARCH("홍콩",C92)),"HK",IF(ISNUMBER(SEARCH("상해",C92)),"CN",IF(ISNUMBER(SEARCH("대만",C92)),"TW","홀세일"))))</f>
        <v>TW</v>
      </c>
      <c r="B92" s="36" t="s">
        <v>98</v>
      </c>
      <c r="C92" s="36" t="s">
        <v>99</v>
      </c>
      <c r="D92" s="37" t="s">
        <v>123</v>
      </c>
      <c r="E92" s="36" t="n">
        <v>2026</v>
      </c>
      <c r="F92" s="37" t="s">
        <v>219</v>
      </c>
      <c r="G92" s="37" t="s">
        <v>124</v>
      </c>
      <c r="H92" s="36" t="s">
        <v>131</v>
      </c>
      <c r="I92" s="36" t="s">
        <v>292</v>
      </c>
      <c r="J92" s="37" t="s">
        <v>293</v>
      </c>
      <c r="K92" s="38" t="n">
        <v>550</v>
      </c>
      <c r="L92" s="38" t="n">
        <v>32450000</v>
      </c>
      <c r="M92" s="38" t="n">
        <v>11749100</v>
      </c>
      <c r="N92" s="39" t="n">
        <f aca="false">IF(A92="제외",0,IF(OR(N(L92)&lt;=0,N(M92)&gt;N(L92)),N(M92)/요약!$D$27,N(L92)))</f>
        <v>32450000</v>
      </c>
      <c r="O92" s="32" t="str">
        <f aca="false">IF(A92="제외","",IF(OR(N(L92)&lt;=0,N(M92)&gt;N(L92)),"택가보정(판매금액÷공급율)",""))</f>
        <v/>
      </c>
      <c r="P92" s="0" t="str">
        <f aca="false">IF(A92="HK","100",IF(A92="CN","200",IF(A92="TW","300",IF(ISNUMBER(SEARCH("태국",C92)),"500",IF(ISNUMBER(SEARCH("말레이",C92)),"600",IF(ISNUMBER(SEARCH("필리핀",C92)),"700",IF(ISNUMBER(SEARCH("인도네시아",C92)),"800",IF(ISNUMBER(SEARCH("크루즈",C92)),"810",IF(ISNUMBER(SEARCH("동물원",C92)),"830","")))))))))</f>
        <v>300</v>
      </c>
    </row>
    <row r="93" customFormat="false" ht="15" hidden="false" customHeight="false" outlineLevel="0" collapsed="false">
      <c r="A93" s="32" t="str">
        <f aca="false">IF(OR(TRIM(C93)="",SUBSTITUTE(C93," ","")="소계"),"제외",IF(ISNUMBER(SEARCH("홍콩",C93)),"HK",IF(ISNUMBER(SEARCH("상해",C93)),"CN",IF(ISNUMBER(SEARCH("대만",C93)),"TW","홀세일"))))</f>
        <v>TW</v>
      </c>
      <c r="B93" s="36" t="s">
        <v>98</v>
      </c>
      <c r="C93" s="36" t="s">
        <v>99</v>
      </c>
      <c r="D93" s="37" t="s">
        <v>123</v>
      </c>
      <c r="E93" s="36" t="n">
        <v>2026</v>
      </c>
      <c r="F93" s="37" t="s">
        <v>219</v>
      </c>
      <c r="G93" s="37" t="s">
        <v>124</v>
      </c>
      <c r="H93" s="36" t="s">
        <v>131</v>
      </c>
      <c r="I93" s="36" t="s">
        <v>294</v>
      </c>
      <c r="J93" s="37" t="s">
        <v>295</v>
      </c>
      <c r="K93" s="38" t="n">
        <v>400</v>
      </c>
      <c r="L93" s="38" t="n">
        <v>23600000</v>
      </c>
      <c r="M93" s="38" t="n">
        <v>8544800</v>
      </c>
      <c r="N93" s="39" t="n">
        <f aca="false">IF(A93="제외",0,IF(OR(N(L93)&lt;=0,N(M93)&gt;N(L93)),N(M93)/요약!$D$27,N(L93)))</f>
        <v>23600000</v>
      </c>
      <c r="O93" s="32" t="str">
        <f aca="false">IF(A93="제외","",IF(OR(N(L93)&lt;=0,N(M93)&gt;N(L93)),"택가보정(판매금액÷공급율)",""))</f>
        <v/>
      </c>
      <c r="P93" s="0" t="str">
        <f aca="false">IF(A93="HK","100",IF(A93="CN","200",IF(A93="TW","300",IF(ISNUMBER(SEARCH("태국",C93)),"500",IF(ISNUMBER(SEARCH("말레이",C93)),"600",IF(ISNUMBER(SEARCH("필리핀",C93)),"700",IF(ISNUMBER(SEARCH("인도네시아",C93)),"800",IF(ISNUMBER(SEARCH("크루즈",C93)),"810",IF(ISNUMBER(SEARCH("동물원",C93)),"830","")))))))))</f>
        <v>300</v>
      </c>
    </row>
    <row r="94" customFormat="false" ht="15" hidden="false" customHeight="false" outlineLevel="0" collapsed="false">
      <c r="A94" s="32" t="str">
        <f aca="false">IF(OR(TRIM(C94)="",SUBSTITUTE(C94," ","")="소계"),"제외",IF(ISNUMBER(SEARCH("홍콩",C94)),"HK",IF(ISNUMBER(SEARCH("상해",C94)),"CN",IF(ISNUMBER(SEARCH("대만",C94)),"TW","홀세일"))))</f>
        <v>TW</v>
      </c>
      <c r="B94" s="36" t="s">
        <v>98</v>
      </c>
      <c r="C94" s="36" t="s">
        <v>99</v>
      </c>
      <c r="D94" s="37" t="s">
        <v>123</v>
      </c>
      <c r="E94" s="36" t="n">
        <v>2026</v>
      </c>
      <c r="F94" s="37" t="s">
        <v>219</v>
      </c>
      <c r="G94" s="37" t="s">
        <v>124</v>
      </c>
      <c r="H94" s="36" t="s">
        <v>131</v>
      </c>
      <c r="I94" s="36" t="s">
        <v>296</v>
      </c>
      <c r="J94" s="37" t="s">
        <v>297</v>
      </c>
      <c r="K94" s="38" t="n">
        <v>450</v>
      </c>
      <c r="L94" s="38" t="n">
        <v>31050000</v>
      </c>
      <c r="M94" s="38" t="n">
        <v>11236950</v>
      </c>
      <c r="N94" s="39" t="n">
        <f aca="false">IF(A94="제외",0,IF(OR(N(L94)&lt;=0,N(M94)&gt;N(L94)),N(M94)/요약!$D$27,N(L94)))</f>
        <v>31050000</v>
      </c>
      <c r="O94" s="32" t="str">
        <f aca="false">IF(A94="제외","",IF(OR(N(L94)&lt;=0,N(M94)&gt;N(L94)),"택가보정(판매금액÷공급율)",""))</f>
        <v/>
      </c>
      <c r="P94" s="0" t="str">
        <f aca="false">IF(A94="HK","100",IF(A94="CN","200",IF(A94="TW","300",IF(ISNUMBER(SEARCH("태국",C94)),"500",IF(ISNUMBER(SEARCH("말레이",C94)),"600",IF(ISNUMBER(SEARCH("필리핀",C94)),"700",IF(ISNUMBER(SEARCH("인도네시아",C94)),"800",IF(ISNUMBER(SEARCH("크루즈",C94)),"810",IF(ISNUMBER(SEARCH("동물원",C94)),"830","")))))))))</f>
        <v>300</v>
      </c>
    </row>
    <row r="95" customFormat="false" ht="15" hidden="false" customHeight="false" outlineLevel="0" collapsed="false">
      <c r="A95" s="32" t="str">
        <f aca="false">IF(OR(TRIM(C95)="",SUBSTITUTE(C95," ","")="소계"),"제외",IF(ISNUMBER(SEARCH("홍콩",C95)),"HK",IF(ISNUMBER(SEARCH("상해",C95)),"CN",IF(ISNUMBER(SEARCH("대만",C95)),"TW","홀세일"))))</f>
        <v>TW</v>
      </c>
      <c r="B95" s="36" t="s">
        <v>98</v>
      </c>
      <c r="C95" s="36" t="s">
        <v>99</v>
      </c>
      <c r="D95" s="37" t="s">
        <v>123</v>
      </c>
      <c r="E95" s="36" t="n">
        <v>2026</v>
      </c>
      <c r="F95" s="37" t="s">
        <v>219</v>
      </c>
      <c r="G95" s="37" t="s">
        <v>124</v>
      </c>
      <c r="H95" s="36" t="s">
        <v>131</v>
      </c>
      <c r="I95" s="36" t="s">
        <v>298</v>
      </c>
      <c r="J95" s="37" t="s">
        <v>299</v>
      </c>
      <c r="K95" s="38" t="n">
        <v>580</v>
      </c>
      <c r="L95" s="38" t="n">
        <v>34220000</v>
      </c>
      <c r="M95" s="38" t="n">
        <v>12702580</v>
      </c>
      <c r="N95" s="39" t="n">
        <f aca="false">IF(A95="제외",0,IF(OR(N(L95)&lt;=0,N(M95)&gt;N(L95)),N(M95)/요약!$D$27,N(L95)))</f>
        <v>34220000</v>
      </c>
      <c r="O95" s="32" t="str">
        <f aca="false">IF(A95="제외","",IF(OR(N(L95)&lt;=0,N(M95)&gt;N(L95)),"택가보정(판매금액÷공급율)",""))</f>
        <v/>
      </c>
      <c r="P95" s="0" t="str">
        <f aca="false">IF(A95="HK","100",IF(A95="CN","200",IF(A95="TW","300",IF(ISNUMBER(SEARCH("태국",C95)),"500",IF(ISNUMBER(SEARCH("말레이",C95)),"600",IF(ISNUMBER(SEARCH("필리핀",C95)),"700",IF(ISNUMBER(SEARCH("인도네시아",C95)),"800",IF(ISNUMBER(SEARCH("크루즈",C95)),"810",IF(ISNUMBER(SEARCH("동물원",C95)),"830","")))))))))</f>
        <v>300</v>
      </c>
    </row>
    <row r="96" customFormat="false" ht="15" hidden="false" customHeight="false" outlineLevel="0" collapsed="false">
      <c r="A96" s="32" t="str">
        <f aca="false">IF(OR(TRIM(C96)="",SUBSTITUTE(C96," ","")="소계"),"제외",IF(ISNUMBER(SEARCH("홍콩",C96)),"HK",IF(ISNUMBER(SEARCH("상해",C96)),"CN",IF(ISNUMBER(SEARCH("대만",C96)),"TW","홀세일"))))</f>
        <v>TW</v>
      </c>
      <c r="B96" s="36" t="s">
        <v>98</v>
      </c>
      <c r="C96" s="36" t="s">
        <v>99</v>
      </c>
      <c r="D96" s="37" t="s">
        <v>123</v>
      </c>
      <c r="E96" s="36" t="n">
        <v>2026</v>
      </c>
      <c r="F96" s="37" t="s">
        <v>219</v>
      </c>
      <c r="G96" s="37" t="s">
        <v>124</v>
      </c>
      <c r="H96" s="36" t="s">
        <v>131</v>
      </c>
      <c r="I96" s="36" t="s">
        <v>300</v>
      </c>
      <c r="J96" s="37" t="s">
        <v>301</v>
      </c>
      <c r="K96" s="38" t="n">
        <v>700</v>
      </c>
      <c r="L96" s="38" t="n">
        <v>48300000</v>
      </c>
      <c r="M96" s="38" t="n">
        <v>17920700</v>
      </c>
      <c r="N96" s="39" t="n">
        <f aca="false">IF(A96="제외",0,IF(OR(N(L96)&lt;=0,N(M96)&gt;N(L96)),N(M96)/요약!$D$27,N(L96)))</f>
        <v>48300000</v>
      </c>
      <c r="O96" s="32" t="str">
        <f aca="false">IF(A96="제외","",IF(OR(N(L96)&lt;=0,N(M96)&gt;N(L96)),"택가보정(판매금액÷공급율)",""))</f>
        <v/>
      </c>
      <c r="P96" s="0" t="str">
        <f aca="false">IF(A96="HK","100",IF(A96="CN","200",IF(A96="TW","300",IF(ISNUMBER(SEARCH("태국",C96)),"500",IF(ISNUMBER(SEARCH("말레이",C96)),"600",IF(ISNUMBER(SEARCH("필리핀",C96)),"700",IF(ISNUMBER(SEARCH("인도네시아",C96)),"800",IF(ISNUMBER(SEARCH("크루즈",C96)),"810",IF(ISNUMBER(SEARCH("동물원",C96)),"830","")))))))))</f>
        <v>300</v>
      </c>
    </row>
    <row r="97" customFormat="false" ht="15" hidden="false" customHeight="false" outlineLevel="0" collapsed="false">
      <c r="A97" s="32" t="str">
        <f aca="false">IF(OR(TRIM(C97)="",SUBSTITUTE(C97," ","")="소계"),"제외",IF(ISNUMBER(SEARCH("홍콩",C97)),"HK",IF(ISNUMBER(SEARCH("상해",C97)),"CN",IF(ISNUMBER(SEARCH("대만",C97)),"TW","홀세일"))))</f>
        <v>TW</v>
      </c>
      <c r="B97" s="36" t="s">
        <v>98</v>
      </c>
      <c r="C97" s="36" t="s">
        <v>99</v>
      </c>
      <c r="D97" s="37" t="s">
        <v>123</v>
      </c>
      <c r="E97" s="36" t="n">
        <v>2026</v>
      </c>
      <c r="F97" s="37" t="s">
        <v>219</v>
      </c>
      <c r="G97" s="37" t="s">
        <v>124</v>
      </c>
      <c r="H97" s="36" t="s">
        <v>131</v>
      </c>
      <c r="I97" s="36" t="s">
        <v>302</v>
      </c>
      <c r="J97" s="37" t="s">
        <v>303</v>
      </c>
      <c r="K97" s="38" t="n">
        <v>600</v>
      </c>
      <c r="L97" s="38" t="n">
        <v>41400000</v>
      </c>
      <c r="M97" s="38" t="n">
        <v>15360600</v>
      </c>
      <c r="N97" s="39" t="n">
        <f aca="false">IF(A97="제외",0,IF(OR(N(L97)&lt;=0,N(M97)&gt;N(L97)),N(M97)/요약!$D$27,N(L97)))</f>
        <v>41400000</v>
      </c>
      <c r="O97" s="32" t="str">
        <f aca="false">IF(A97="제외","",IF(OR(N(L97)&lt;=0,N(M97)&gt;N(L97)),"택가보정(판매금액÷공급율)",""))</f>
        <v/>
      </c>
      <c r="P97" s="0" t="str">
        <f aca="false">IF(A97="HK","100",IF(A97="CN","200",IF(A97="TW","300",IF(ISNUMBER(SEARCH("태국",C97)),"500",IF(ISNUMBER(SEARCH("말레이",C97)),"600",IF(ISNUMBER(SEARCH("필리핀",C97)),"700",IF(ISNUMBER(SEARCH("인도네시아",C97)),"800",IF(ISNUMBER(SEARCH("크루즈",C97)),"810",IF(ISNUMBER(SEARCH("동물원",C97)),"830","")))))))))</f>
        <v>300</v>
      </c>
    </row>
    <row r="98" customFormat="false" ht="15" hidden="false" customHeight="false" outlineLevel="0" collapsed="false">
      <c r="A98" s="32" t="str">
        <f aca="false">IF(OR(TRIM(C98)="",SUBSTITUTE(C98," ","")="소계"),"제외",IF(ISNUMBER(SEARCH("홍콩",C98)),"HK",IF(ISNUMBER(SEARCH("상해",C98)),"CN",IF(ISNUMBER(SEARCH("대만",C98)),"TW","홀세일"))))</f>
        <v>TW</v>
      </c>
      <c r="B98" s="36" t="s">
        <v>98</v>
      </c>
      <c r="C98" s="36" t="s">
        <v>99</v>
      </c>
      <c r="D98" s="37" t="s">
        <v>123</v>
      </c>
      <c r="E98" s="36" t="n">
        <v>2026</v>
      </c>
      <c r="F98" s="37" t="s">
        <v>219</v>
      </c>
      <c r="G98" s="37" t="s">
        <v>124</v>
      </c>
      <c r="H98" s="36" t="s">
        <v>131</v>
      </c>
      <c r="I98" s="36" t="s">
        <v>304</v>
      </c>
      <c r="J98" s="37" t="s">
        <v>305</v>
      </c>
      <c r="K98" s="38" t="n">
        <v>400</v>
      </c>
      <c r="L98" s="38" t="n">
        <v>23600000</v>
      </c>
      <c r="M98" s="38" t="n">
        <v>8760400</v>
      </c>
      <c r="N98" s="39" t="n">
        <f aca="false">IF(A98="제외",0,IF(OR(N(L98)&lt;=0,N(M98)&gt;N(L98)),N(M98)/요약!$D$27,N(L98)))</f>
        <v>23600000</v>
      </c>
      <c r="O98" s="32" t="str">
        <f aca="false">IF(A98="제외","",IF(OR(N(L98)&lt;=0,N(M98)&gt;N(L98)),"택가보정(판매금액÷공급율)",""))</f>
        <v/>
      </c>
      <c r="P98" s="0" t="str">
        <f aca="false">IF(A98="HK","100",IF(A98="CN","200",IF(A98="TW","300",IF(ISNUMBER(SEARCH("태국",C98)),"500",IF(ISNUMBER(SEARCH("말레이",C98)),"600",IF(ISNUMBER(SEARCH("필리핀",C98)),"700",IF(ISNUMBER(SEARCH("인도네시아",C98)),"800",IF(ISNUMBER(SEARCH("크루즈",C98)),"810",IF(ISNUMBER(SEARCH("동물원",C98)),"830","")))))))))</f>
        <v>300</v>
      </c>
    </row>
    <row r="99" customFormat="false" ht="15" hidden="false" customHeight="false" outlineLevel="0" collapsed="false">
      <c r="A99" s="32" t="str">
        <f aca="false">IF(OR(TRIM(C99)="",SUBSTITUTE(C99," ","")="소계"),"제외",IF(ISNUMBER(SEARCH("홍콩",C99)),"HK",IF(ISNUMBER(SEARCH("상해",C99)),"CN",IF(ISNUMBER(SEARCH("대만",C99)),"TW","홀세일"))))</f>
        <v>TW</v>
      </c>
      <c r="B99" s="36" t="s">
        <v>98</v>
      </c>
      <c r="C99" s="36" t="s">
        <v>99</v>
      </c>
      <c r="D99" s="37" t="s">
        <v>123</v>
      </c>
      <c r="E99" s="36" t="n">
        <v>2026</v>
      </c>
      <c r="F99" s="37" t="s">
        <v>219</v>
      </c>
      <c r="G99" s="37" t="s">
        <v>124</v>
      </c>
      <c r="H99" s="36" t="s">
        <v>131</v>
      </c>
      <c r="I99" s="36" t="s">
        <v>306</v>
      </c>
      <c r="J99" s="37" t="s">
        <v>307</v>
      </c>
      <c r="K99" s="38" t="n">
        <v>240</v>
      </c>
      <c r="L99" s="38" t="n">
        <v>16560000</v>
      </c>
      <c r="M99" s="38" t="n">
        <v>6144240</v>
      </c>
      <c r="N99" s="39" t="n">
        <f aca="false">IF(A99="제외",0,IF(OR(N(L99)&lt;=0,N(M99)&gt;N(L99)),N(M99)/요약!$D$27,N(L99)))</f>
        <v>16560000</v>
      </c>
      <c r="O99" s="32" t="str">
        <f aca="false">IF(A99="제외","",IF(OR(N(L99)&lt;=0,N(M99)&gt;N(L99)),"택가보정(판매금액÷공급율)",""))</f>
        <v/>
      </c>
      <c r="P99" s="0" t="str">
        <f aca="false">IF(A99="HK","100",IF(A99="CN","200",IF(A99="TW","300",IF(ISNUMBER(SEARCH("태국",C99)),"500",IF(ISNUMBER(SEARCH("말레이",C99)),"600",IF(ISNUMBER(SEARCH("필리핀",C99)),"700",IF(ISNUMBER(SEARCH("인도네시아",C99)),"800",IF(ISNUMBER(SEARCH("크루즈",C99)),"810",IF(ISNUMBER(SEARCH("동물원",C99)),"830","")))))))))</f>
        <v>300</v>
      </c>
    </row>
    <row r="100" customFormat="false" ht="15" hidden="false" customHeight="false" outlineLevel="0" collapsed="false">
      <c r="A100" s="32" t="str">
        <f aca="false">IF(OR(TRIM(C100)="",SUBSTITUTE(C100," ","")="소계"),"제외",IF(ISNUMBER(SEARCH("홍콩",C100)),"HK",IF(ISNUMBER(SEARCH("상해",C100)),"CN",IF(ISNUMBER(SEARCH("대만",C100)),"TW","홀세일"))))</f>
        <v>TW</v>
      </c>
      <c r="B100" s="36" t="s">
        <v>98</v>
      </c>
      <c r="C100" s="36" t="s">
        <v>99</v>
      </c>
      <c r="D100" s="37" t="s">
        <v>123</v>
      </c>
      <c r="E100" s="36" t="n">
        <v>2026</v>
      </c>
      <c r="F100" s="37" t="s">
        <v>219</v>
      </c>
      <c r="G100" s="37" t="s">
        <v>124</v>
      </c>
      <c r="H100" s="36" t="s">
        <v>131</v>
      </c>
      <c r="I100" s="36" t="s">
        <v>308</v>
      </c>
      <c r="J100" s="37" t="s">
        <v>309</v>
      </c>
      <c r="K100" s="38" t="n">
        <v>1100</v>
      </c>
      <c r="L100" s="38" t="n">
        <v>97900000</v>
      </c>
      <c r="M100" s="38" t="n">
        <v>35923800</v>
      </c>
      <c r="N100" s="39" t="n">
        <f aca="false">IF(A100="제외",0,IF(OR(N(L100)&lt;=0,N(M100)&gt;N(L100)),N(M100)/요약!$D$27,N(L100)))</f>
        <v>97900000</v>
      </c>
      <c r="O100" s="32" t="str">
        <f aca="false">IF(A100="제외","",IF(OR(N(L100)&lt;=0,N(M100)&gt;N(L100)),"택가보정(판매금액÷공급율)",""))</f>
        <v/>
      </c>
      <c r="P100" s="0" t="str">
        <f aca="false">IF(A100="HK","100",IF(A100="CN","200",IF(A100="TW","300",IF(ISNUMBER(SEARCH("태국",C100)),"500",IF(ISNUMBER(SEARCH("말레이",C100)),"600",IF(ISNUMBER(SEARCH("필리핀",C100)),"700",IF(ISNUMBER(SEARCH("인도네시아",C100)),"800",IF(ISNUMBER(SEARCH("크루즈",C100)),"810",IF(ISNUMBER(SEARCH("동물원",C100)),"830","")))))))))</f>
        <v>300</v>
      </c>
    </row>
    <row r="101" customFormat="false" ht="15" hidden="false" customHeight="false" outlineLevel="0" collapsed="false">
      <c r="A101" s="32" t="str">
        <f aca="false">IF(OR(TRIM(C101)="",SUBSTITUTE(C101," ","")="소계"),"제외",IF(ISNUMBER(SEARCH("홍콩",C101)),"HK",IF(ISNUMBER(SEARCH("상해",C101)),"CN",IF(ISNUMBER(SEARCH("대만",C101)),"TW","홀세일"))))</f>
        <v>TW</v>
      </c>
      <c r="B101" s="36" t="s">
        <v>98</v>
      </c>
      <c r="C101" s="36" t="s">
        <v>99</v>
      </c>
      <c r="D101" s="37" t="s">
        <v>123</v>
      </c>
      <c r="E101" s="36" t="n">
        <v>2026</v>
      </c>
      <c r="F101" s="37" t="s">
        <v>219</v>
      </c>
      <c r="G101" s="37" t="s">
        <v>124</v>
      </c>
      <c r="H101" s="36" t="s">
        <v>131</v>
      </c>
      <c r="I101" s="36" t="s">
        <v>310</v>
      </c>
      <c r="J101" s="37" t="s">
        <v>311</v>
      </c>
      <c r="K101" s="38" t="n">
        <v>555</v>
      </c>
      <c r="L101" s="38" t="n">
        <v>49395000</v>
      </c>
      <c r="M101" s="38" t="n">
        <v>18111540</v>
      </c>
      <c r="N101" s="39" t="n">
        <f aca="false">IF(A101="제외",0,IF(OR(N(L101)&lt;=0,N(M101)&gt;N(L101)),N(M101)/요약!$D$27,N(L101)))</f>
        <v>49395000</v>
      </c>
      <c r="O101" s="32" t="str">
        <f aca="false">IF(A101="제외","",IF(OR(N(L101)&lt;=0,N(M101)&gt;N(L101)),"택가보정(판매금액÷공급율)",""))</f>
        <v/>
      </c>
      <c r="P101" s="0" t="str">
        <f aca="false">IF(A101="HK","100",IF(A101="CN","200",IF(A101="TW","300",IF(ISNUMBER(SEARCH("태국",C101)),"500",IF(ISNUMBER(SEARCH("말레이",C101)),"600",IF(ISNUMBER(SEARCH("필리핀",C101)),"700",IF(ISNUMBER(SEARCH("인도네시아",C101)),"800",IF(ISNUMBER(SEARCH("크루즈",C101)),"810",IF(ISNUMBER(SEARCH("동물원",C101)),"830","")))))))))</f>
        <v>300</v>
      </c>
    </row>
    <row r="102" customFormat="false" ht="15" hidden="false" customHeight="false" outlineLevel="0" collapsed="false">
      <c r="A102" s="32" t="str">
        <f aca="false">IF(OR(TRIM(C102)="",SUBSTITUTE(C102," ","")="소계"),"제외",IF(ISNUMBER(SEARCH("홍콩",C102)),"HK",IF(ISNUMBER(SEARCH("상해",C102)),"CN",IF(ISNUMBER(SEARCH("대만",C102)),"TW","홀세일"))))</f>
        <v>TW</v>
      </c>
      <c r="B102" s="36" t="s">
        <v>98</v>
      </c>
      <c r="C102" s="36" t="s">
        <v>99</v>
      </c>
      <c r="D102" s="37" t="s">
        <v>123</v>
      </c>
      <c r="E102" s="36" t="n">
        <v>2026</v>
      </c>
      <c r="F102" s="37" t="s">
        <v>219</v>
      </c>
      <c r="G102" s="37" t="s">
        <v>124</v>
      </c>
      <c r="H102" s="36" t="s">
        <v>131</v>
      </c>
      <c r="I102" s="36" t="s">
        <v>312</v>
      </c>
      <c r="J102" s="37" t="s">
        <v>313</v>
      </c>
      <c r="K102" s="38" t="n">
        <v>900</v>
      </c>
      <c r="L102" s="38" t="n">
        <v>80100000</v>
      </c>
      <c r="M102" s="38" t="n">
        <v>28589400</v>
      </c>
      <c r="N102" s="39" t="n">
        <f aca="false">IF(A102="제외",0,IF(OR(N(L102)&lt;=0,N(M102)&gt;N(L102)),N(M102)/요약!$D$27,N(L102)))</f>
        <v>80100000</v>
      </c>
      <c r="O102" s="32" t="str">
        <f aca="false">IF(A102="제외","",IF(OR(N(L102)&lt;=0,N(M102)&gt;N(L102)),"택가보정(판매금액÷공급율)",""))</f>
        <v/>
      </c>
      <c r="P102" s="0" t="str">
        <f aca="false">IF(A102="HK","100",IF(A102="CN","200",IF(A102="TW","300",IF(ISNUMBER(SEARCH("태국",C102)),"500",IF(ISNUMBER(SEARCH("말레이",C102)),"600",IF(ISNUMBER(SEARCH("필리핀",C102)),"700",IF(ISNUMBER(SEARCH("인도네시아",C102)),"800",IF(ISNUMBER(SEARCH("크루즈",C102)),"810",IF(ISNUMBER(SEARCH("동물원",C102)),"830","")))))))))</f>
        <v>300</v>
      </c>
    </row>
    <row r="103" customFormat="false" ht="15" hidden="false" customHeight="false" outlineLevel="0" collapsed="false">
      <c r="A103" s="32" t="str">
        <f aca="false">IF(OR(TRIM(C103)="",SUBSTITUTE(C103," ","")="소계"),"제외",IF(ISNUMBER(SEARCH("홍콩",C103)),"HK",IF(ISNUMBER(SEARCH("상해",C103)),"CN",IF(ISNUMBER(SEARCH("대만",C103)),"TW","홀세일"))))</f>
        <v>TW</v>
      </c>
      <c r="B103" s="36" t="s">
        <v>98</v>
      </c>
      <c r="C103" s="36" t="s">
        <v>99</v>
      </c>
      <c r="D103" s="37" t="s">
        <v>123</v>
      </c>
      <c r="E103" s="36" t="n">
        <v>2026</v>
      </c>
      <c r="F103" s="37" t="s">
        <v>219</v>
      </c>
      <c r="G103" s="37" t="s">
        <v>124</v>
      </c>
      <c r="H103" s="36" t="s">
        <v>125</v>
      </c>
      <c r="I103" s="36" t="s">
        <v>314</v>
      </c>
      <c r="J103" s="37" t="s">
        <v>315</v>
      </c>
      <c r="K103" s="38" t="n">
        <v>400</v>
      </c>
      <c r="L103" s="38" t="n">
        <v>23600000</v>
      </c>
      <c r="M103" s="38" t="n">
        <v>8558600</v>
      </c>
      <c r="N103" s="39" t="n">
        <f aca="false">IF(A103="제외",0,IF(OR(N(L103)&lt;=0,N(M103)&gt;N(L103)),N(M103)/요약!$D$27,N(L103)))</f>
        <v>23600000</v>
      </c>
      <c r="O103" s="32" t="str">
        <f aca="false">IF(A103="제외","",IF(OR(N(L103)&lt;=0,N(M103)&gt;N(L103)),"택가보정(판매금액÷공급율)",""))</f>
        <v/>
      </c>
      <c r="P103" s="0" t="str">
        <f aca="false">IF(A103="HK","100",IF(A103="CN","200",IF(A103="TW","300",IF(ISNUMBER(SEARCH("태국",C103)),"500",IF(ISNUMBER(SEARCH("말레이",C103)),"600",IF(ISNUMBER(SEARCH("필리핀",C103)),"700",IF(ISNUMBER(SEARCH("인도네시아",C103)),"800",IF(ISNUMBER(SEARCH("크루즈",C103)),"810",IF(ISNUMBER(SEARCH("동물원",C103)),"830","")))))))))</f>
        <v>300</v>
      </c>
    </row>
    <row r="104" customFormat="false" ht="15" hidden="false" customHeight="false" outlineLevel="0" collapsed="false">
      <c r="A104" s="32" t="str">
        <f aca="false">IF(OR(TRIM(C104)="",SUBSTITUTE(C104," ","")="소계"),"제외",IF(ISNUMBER(SEARCH("홍콩",C104)),"HK",IF(ISNUMBER(SEARCH("상해",C104)),"CN",IF(ISNUMBER(SEARCH("대만",C104)),"TW","홀세일"))))</f>
        <v>TW</v>
      </c>
      <c r="B104" s="36" t="s">
        <v>98</v>
      </c>
      <c r="C104" s="36" t="s">
        <v>99</v>
      </c>
      <c r="D104" s="37" t="s">
        <v>123</v>
      </c>
      <c r="E104" s="36" t="n">
        <v>2026</v>
      </c>
      <c r="F104" s="37" t="s">
        <v>219</v>
      </c>
      <c r="G104" s="37" t="s">
        <v>124</v>
      </c>
      <c r="H104" s="36" t="s">
        <v>125</v>
      </c>
      <c r="I104" s="36" t="s">
        <v>316</v>
      </c>
      <c r="J104" s="37" t="s">
        <v>317</v>
      </c>
      <c r="K104" s="38" t="n">
        <v>150</v>
      </c>
      <c r="L104" s="38" t="n">
        <v>8850000</v>
      </c>
      <c r="M104" s="38" t="n">
        <v>3204300</v>
      </c>
      <c r="N104" s="39" t="n">
        <f aca="false">IF(A104="제외",0,IF(OR(N(L104)&lt;=0,N(M104)&gt;N(L104)),N(M104)/요약!$D$27,N(L104)))</f>
        <v>8850000</v>
      </c>
      <c r="O104" s="32" t="str">
        <f aca="false">IF(A104="제외","",IF(OR(N(L104)&lt;=0,N(M104)&gt;N(L104)),"택가보정(판매금액÷공급율)",""))</f>
        <v/>
      </c>
      <c r="P104" s="0" t="str">
        <f aca="false">IF(A104="HK","100",IF(A104="CN","200",IF(A104="TW","300",IF(ISNUMBER(SEARCH("태국",C104)),"500",IF(ISNUMBER(SEARCH("말레이",C104)),"600",IF(ISNUMBER(SEARCH("필리핀",C104)),"700",IF(ISNUMBER(SEARCH("인도네시아",C104)),"800",IF(ISNUMBER(SEARCH("크루즈",C104)),"810",IF(ISNUMBER(SEARCH("동물원",C104)),"830","")))))))))</f>
        <v>300</v>
      </c>
    </row>
    <row r="105" customFormat="false" ht="15" hidden="false" customHeight="false" outlineLevel="0" collapsed="false">
      <c r="A105" s="32" t="str">
        <f aca="false">IF(OR(TRIM(C105)="",SUBSTITUTE(C105," ","")="소계"),"제외",IF(ISNUMBER(SEARCH("홍콩",C105)),"HK",IF(ISNUMBER(SEARCH("상해",C105)),"CN",IF(ISNUMBER(SEARCH("대만",C105)),"TW","홀세일"))))</f>
        <v>TW</v>
      </c>
      <c r="B105" s="36" t="s">
        <v>98</v>
      </c>
      <c r="C105" s="36" t="s">
        <v>99</v>
      </c>
      <c r="D105" s="37" t="s">
        <v>123</v>
      </c>
      <c r="E105" s="36" t="n">
        <v>2026</v>
      </c>
      <c r="F105" s="37" t="s">
        <v>219</v>
      </c>
      <c r="G105" s="37" t="s">
        <v>124</v>
      </c>
      <c r="H105" s="36" t="s">
        <v>125</v>
      </c>
      <c r="I105" s="36" t="s">
        <v>318</v>
      </c>
      <c r="J105" s="37" t="s">
        <v>319</v>
      </c>
      <c r="K105" s="38" t="n">
        <v>500</v>
      </c>
      <c r="L105" s="38" t="n">
        <v>29500000</v>
      </c>
      <c r="M105" s="38" t="n">
        <v>10560000</v>
      </c>
      <c r="N105" s="39" t="n">
        <f aca="false">IF(A105="제외",0,IF(OR(N(L105)&lt;=0,N(M105)&gt;N(L105)),N(M105)/요약!$D$27,N(L105)))</f>
        <v>29500000</v>
      </c>
      <c r="O105" s="32" t="str">
        <f aca="false">IF(A105="제외","",IF(OR(N(L105)&lt;=0,N(M105)&gt;N(L105)),"택가보정(판매금액÷공급율)",""))</f>
        <v/>
      </c>
      <c r="P105" s="0" t="str">
        <f aca="false">IF(A105="HK","100",IF(A105="CN","200",IF(A105="TW","300",IF(ISNUMBER(SEARCH("태국",C105)),"500",IF(ISNUMBER(SEARCH("말레이",C105)),"600",IF(ISNUMBER(SEARCH("필리핀",C105)),"700",IF(ISNUMBER(SEARCH("인도네시아",C105)),"800",IF(ISNUMBER(SEARCH("크루즈",C105)),"810",IF(ISNUMBER(SEARCH("동물원",C105)),"830","")))))))))</f>
        <v>300</v>
      </c>
    </row>
    <row r="106" customFormat="false" ht="15" hidden="false" customHeight="false" outlineLevel="0" collapsed="false">
      <c r="A106" s="32" t="str">
        <f aca="false">IF(OR(TRIM(C106)="",SUBSTITUTE(C106," ","")="소계"),"제외",IF(ISNUMBER(SEARCH("홍콩",C106)),"HK",IF(ISNUMBER(SEARCH("상해",C106)),"CN",IF(ISNUMBER(SEARCH("대만",C106)),"TW","홀세일"))))</f>
        <v>TW</v>
      </c>
      <c r="B106" s="36" t="s">
        <v>98</v>
      </c>
      <c r="C106" s="36" t="s">
        <v>99</v>
      </c>
      <c r="D106" s="37" t="s">
        <v>123</v>
      </c>
      <c r="E106" s="36" t="n">
        <v>2026</v>
      </c>
      <c r="F106" s="37" t="s">
        <v>219</v>
      </c>
      <c r="G106" s="37" t="s">
        <v>124</v>
      </c>
      <c r="H106" s="36" t="s">
        <v>125</v>
      </c>
      <c r="I106" s="36" t="s">
        <v>320</v>
      </c>
      <c r="J106" s="37" t="s">
        <v>321</v>
      </c>
      <c r="K106" s="38" t="n">
        <v>200</v>
      </c>
      <c r="L106" s="38" t="n">
        <v>13800000</v>
      </c>
      <c r="M106" s="38" t="n">
        <v>4937400</v>
      </c>
      <c r="N106" s="39" t="n">
        <f aca="false">IF(A106="제외",0,IF(OR(N(L106)&lt;=0,N(M106)&gt;N(L106)),N(M106)/요약!$D$27,N(L106)))</f>
        <v>13800000</v>
      </c>
      <c r="O106" s="32" t="str">
        <f aca="false">IF(A106="제외","",IF(OR(N(L106)&lt;=0,N(M106)&gt;N(L106)),"택가보정(판매금액÷공급율)",""))</f>
        <v/>
      </c>
      <c r="P106" s="0" t="str">
        <f aca="false">IF(A106="HK","100",IF(A106="CN","200",IF(A106="TW","300",IF(ISNUMBER(SEARCH("태국",C106)),"500",IF(ISNUMBER(SEARCH("말레이",C106)),"600",IF(ISNUMBER(SEARCH("필리핀",C106)),"700",IF(ISNUMBER(SEARCH("인도네시아",C106)),"800",IF(ISNUMBER(SEARCH("크루즈",C106)),"810",IF(ISNUMBER(SEARCH("동물원",C106)),"830","")))))))))</f>
        <v>300</v>
      </c>
    </row>
    <row r="107" customFormat="false" ht="15" hidden="false" customHeight="false" outlineLevel="0" collapsed="false">
      <c r="A107" s="32" t="str">
        <f aca="false">IF(OR(TRIM(C107)="",SUBSTITUTE(C107," ","")="소계"),"제외",IF(ISNUMBER(SEARCH("홍콩",C107)),"HK",IF(ISNUMBER(SEARCH("상해",C107)),"CN",IF(ISNUMBER(SEARCH("대만",C107)),"TW","홀세일"))))</f>
        <v>TW</v>
      </c>
      <c r="B107" s="36" t="s">
        <v>98</v>
      </c>
      <c r="C107" s="36" t="s">
        <v>99</v>
      </c>
      <c r="D107" s="37" t="s">
        <v>123</v>
      </c>
      <c r="E107" s="36" t="n">
        <v>2026</v>
      </c>
      <c r="F107" s="37" t="s">
        <v>219</v>
      </c>
      <c r="G107" s="37" t="s">
        <v>124</v>
      </c>
      <c r="H107" s="36" t="s">
        <v>188</v>
      </c>
      <c r="I107" s="36" t="s">
        <v>322</v>
      </c>
      <c r="J107" s="36" t="s">
        <v>323</v>
      </c>
      <c r="K107" s="38" t="n">
        <v>300</v>
      </c>
      <c r="L107" s="38" t="n">
        <v>23700000</v>
      </c>
      <c r="M107" s="38" t="n">
        <v>8573700</v>
      </c>
      <c r="N107" s="39" t="n">
        <f aca="false">IF(A107="제외",0,IF(OR(N(L107)&lt;=0,N(M107)&gt;N(L107)),N(M107)/요약!$D$27,N(L107)))</f>
        <v>23700000</v>
      </c>
      <c r="O107" s="32" t="str">
        <f aca="false">IF(A107="제외","",IF(OR(N(L107)&lt;=0,N(M107)&gt;N(L107)),"택가보정(판매금액÷공급율)",""))</f>
        <v/>
      </c>
      <c r="P107" s="0" t="str">
        <f aca="false">IF(A107="HK","100",IF(A107="CN","200",IF(A107="TW","300",IF(ISNUMBER(SEARCH("태국",C107)),"500",IF(ISNUMBER(SEARCH("말레이",C107)),"600",IF(ISNUMBER(SEARCH("필리핀",C107)),"700",IF(ISNUMBER(SEARCH("인도네시아",C107)),"800",IF(ISNUMBER(SEARCH("크루즈",C107)),"810",IF(ISNUMBER(SEARCH("동물원",C107)),"830","")))))))))</f>
        <v>300</v>
      </c>
    </row>
    <row r="108" customFormat="false" ht="15" hidden="false" customHeight="false" outlineLevel="0" collapsed="false">
      <c r="A108" s="32" t="str">
        <f aca="false">IF(OR(TRIM(C108)="",SUBSTITUTE(C108," ","")="소계"),"제외",IF(ISNUMBER(SEARCH("홍콩",C108)),"HK",IF(ISNUMBER(SEARCH("상해",C108)),"CN",IF(ISNUMBER(SEARCH("대만",C108)),"TW","홀세일"))))</f>
        <v>TW</v>
      </c>
      <c r="B108" s="36" t="s">
        <v>98</v>
      </c>
      <c r="C108" s="36" t="s">
        <v>99</v>
      </c>
      <c r="D108" s="37" t="s">
        <v>123</v>
      </c>
      <c r="E108" s="36" t="n">
        <v>2026</v>
      </c>
      <c r="F108" s="37" t="s">
        <v>219</v>
      </c>
      <c r="G108" s="37" t="s">
        <v>124</v>
      </c>
      <c r="H108" s="36" t="s">
        <v>188</v>
      </c>
      <c r="I108" s="36" t="s">
        <v>324</v>
      </c>
      <c r="J108" s="36" t="s">
        <v>325</v>
      </c>
      <c r="K108" s="38" t="n">
        <v>150</v>
      </c>
      <c r="L108" s="38" t="n">
        <v>17850000</v>
      </c>
      <c r="M108" s="38" t="n">
        <v>6546300</v>
      </c>
      <c r="N108" s="39" t="n">
        <f aca="false">IF(A108="제외",0,IF(OR(N(L108)&lt;=0,N(M108)&gt;N(L108)),N(M108)/요약!$D$27,N(L108)))</f>
        <v>17850000</v>
      </c>
      <c r="O108" s="32" t="str">
        <f aca="false">IF(A108="제외","",IF(OR(N(L108)&lt;=0,N(M108)&gt;N(L108)),"택가보정(판매금액÷공급율)",""))</f>
        <v/>
      </c>
      <c r="P108" s="0" t="str">
        <f aca="false">IF(A108="HK","100",IF(A108="CN","200",IF(A108="TW","300",IF(ISNUMBER(SEARCH("태국",C108)),"500",IF(ISNUMBER(SEARCH("말레이",C108)),"600",IF(ISNUMBER(SEARCH("필리핀",C108)),"700",IF(ISNUMBER(SEARCH("인도네시아",C108)),"800",IF(ISNUMBER(SEARCH("크루즈",C108)),"810",IF(ISNUMBER(SEARCH("동물원",C108)),"830","")))))))))</f>
        <v>300</v>
      </c>
    </row>
    <row r="109" customFormat="false" ht="15" hidden="false" customHeight="false" outlineLevel="0" collapsed="false">
      <c r="A109" s="32" t="str">
        <f aca="false">IF(OR(TRIM(C109)="",SUBSTITUTE(C109," ","")="소계"),"제외",IF(ISNUMBER(SEARCH("홍콩",C109)),"HK",IF(ISNUMBER(SEARCH("상해",C109)),"CN",IF(ISNUMBER(SEARCH("대만",C109)),"TW","홀세일"))))</f>
        <v>TW</v>
      </c>
      <c r="B109" s="36" t="s">
        <v>98</v>
      </c>
      <c r="C109" s="36" t="s">
        <v>99</v>
      </c>
      <c r="D109" s="37" t="s">
        <v>123</v>
      </c>
      <c r="E109" s="36" t="n">
        <v>2026</v>
      </c>
      <c r="F109" s="37" t="s">
        <v>219</v>
      </c>
      <c r="G109" s="37" t="s">
        <v>124</v>
      </c>
      <c r="H109" s="36" t="s">
        <v>188</v>
      </c>
      <c r="I109" s="36" t="s">
        <v>326</v>
      </c>
      <c r="J109" s="36" t="s">
        <v>327</v>
      </c>
      <c r="K109" s="38" t="n">
        <v>150</v>
      </c>
      <c r="L109" s="38" t="n">
        <v>11850000</v>
      </c>
      <c r="M109" s="38" t="n">
        <v>4349550</v>
      </c>
      <c r="N109" s="39" t="n">
        <f aca="false">IF(A109="제외",0,IF(OR(N(L109)&lt;=0,N(M109)&gt;N(L109)),N(M109)/요약!$D$27,N(L109)))</f>
        <v>11850000</v>
      </c>
      <c r="O109" s="32" t="str">
        <f aca="false">IF(A109="제외","",IF(OR(N(L109)&lt;=0,N(M109)&gt;N(L109)),"택가보정(판매금액÷공급율)",""))</f>
        <v/>
      </c>
      <c r="P109" s="0" t="str">
        <f aca="false">IF(A109="HK","100",IF(A109="CN","200",IF(A109="TW","300",IF(ISNUMBER(SEARCH("태국",C109)),"500",IF(ISNUMBER(SEARCH("말레이",C109)),"600",IF(ISNUMBER(SEARCH("필리핀",C109)),"700",IF(ISNUMBER(SEARCH("인도네시아",C109)),"800",IF(ISNUMBER(SEARCH("크루즈",C109)),"810",IF(ISNUMBER(SEARCH("동물원",C109)),"830","")))))))))</f>
        <v>300</v>
      </c>
    </row>
    <row r="110" customFormat="false" ht="15" hidden="false" customHeight="false" outlineLevel="0" collapsed="false">
      <c r="A110" s="32" t="str">
        <f aca="false">IF(OR(TRIM(C110)="",SUBSTITUTE(C110," ","")="소계"),"제외",IF(ISNUMBER(SEARCH("홍콩",C110)),"HK",IF(ISNUMBER(SEARCH("상해",C110)),"CN",IF(ISNUMBER(SEARCH("대만",C110)),"TW","홀세일"))))</f>
        <v>TW</v>
      </c>
      <c r="B110" s="36" t="s">
        <v>98</v>
      </c>
      <c r="C110" s="36" t="s">
        <v>99</v>
      </c>
      <c r="D110" s="37" t="s">
        <v>123</v>
      </c>
      <c r="E110" s="36" t="n">
        <v>2026</v>
      </c>
      <c r="F110" s="37" t="s">
        <v>219</v>
      </c>
      <c r="G110" s="37" t="s">
        <v>124</v>
      </c>
      <c r="H110" s="36" t="s">
        <v>188</v>
      </c>
      <c r="I110" s="36" t="s">
        <v>328</v>
      </c>
      <c r="J110" s="36" t="s">
        <v>329</v>
      </c>
      <c r="K110" s="38" t="n">
        <v>200</v>
      </c>
      <c r="L110" s="38" t="n">
        <v>17800000</v>
      </c>
      <c r="M110" s="38" t="n">
        <v>6644600</v>
      </c>
      <c r="N110" s="39" t="n">
        <f aca="false">IF(A110="제외",0,IF(OR(N(L110)&lt;=0,N(M110)&gt;N(L110)),N(M110)/요약!$D$27,N(L110)))</f>
        <v>17800000</v>
      </c>
      <c r="O110" s="32" t="str">
        <f aca="false">IF(A110="제외","",IF(OR(N(L110)&lt;=0,N(M110)&gt;N(L110)),"택가보정(판매금액÷공급율)",""))</f>
        <v/>
      </c>
      <c r="P110" s="0" t="str">
        <f aca="false">IF(A110="HK","100",IF(A110="CN","200",IF(A110="TW","300",IF(ISNUMBER(SEARCH("태국",C110)),"500",IF(ISNUMBER(SEARCH("말레이",C110)),"600",IF(ISNUMBER(SEARCH("필리핀",C110)),"700",IF(ISNUMBER(SEARCH("인도네시아",C110)),"800",IF(ISNUMBER(SEARCH("크루즈",C110)),"810",IF(ISNUMBER(SEARCH("동물원",C110)),"830","")))))))))</f>
        <v>300</v>
      </c>
    </row>
    <row r="111" customFormat="false" ht="15" hidden="false" customHeight="false" outlineLevel="0" collapsed="false">
      <c r="A111" s="32" t="str">
        <f aca="false">IF(OR(TRIM(C111)="",SUBSTITUTE(C111," ","")="소계"),"제외",IF(ISNUMBER(SEARCH("홍콩",C111)),"HK",IF(ISNUMBER(SEARCH("상해",C111)),"CN",IF(ISNUMBER(SEARCH("대만",C111)),"TW","홀세일"))))</f>
        <v>TW</v>
      </c>
      <c r="B111" s="36" t="s">
        <v>98</v>
      </c>
      <c r="C111" s="36" t="s">
        <v>99</v>
      </c>
      <c r="D111" s="37" t="s">
        <v>123</v>
      </c>
      <c r="E111" s="36" t="n">
        <v>2026</v>
      </c>
      <c r="F111" s="37" t="s">
        <v>219</v>
      </c>
      <c r="G111" s="37" t="s">
        <v>124</v>
      </c>
      <c r="H111" s="36" t="s">
        <v>188</v>
      </c>
      <c r="I111" s="36" t="s">
        <v>330</v>
      </c>
      <c r="J111" s="36" t="s">
        <v>331</v>
      </c>
      <c r="K111" s="38" t="n">
        <v>380</v>
      </c>
      <c r="L111" s="38" t="n">
        <v>52820000</v>
      </c>
      <c r="M111" s="38" t="n">
        <v>19087400</v>
      </c>
      <c r="N111" s="39" t="n">
        <f aca="false">IF(A111="제외",0,IF(OR(N(L111)&lt;=0,N(M111)&gt;N(L111)),N(M111)/요약!$D$27,N(L111)))</f>
        <v>52820000</v>
      </c>
      <c r="O111" s="32" t="str">
        <f aca="false">IF(A111="제외","",IF(OR(N(L111)&lt;=0,N(M111)&gt;N(L111)),"택가보정(판매금액÷공급율)",""))</f>
        <v/>
      </c>
      <c r="P111" s="0" t="str">
        <f aca="false">IF(A111="HK","100",IF(A111="CN","200",IF(A111="TW","300",IF(ISNUMBER(SEARCH("태국",C111)),"500",IF(ISNUMBER(SEARCH("말레이",C111)),"600",IF(ISNUMBER(SEARCH("필리핀",C111)),"700",IF(ISNUMBER(SEARCH("인도네시아",C111)),"800",IF(ISNUMBER(SEARCH("크루즈",C111)),"810",IF(ISNUMBER(SEARCH("동물원",C111)),"830","")))))))))</f>
        <v>300</v>
      </c>
    </row>
    <row r="112" customFormat="false" ht="15" hidden="false" customHeight="false" outlineLevel="0" collapsed="false">
      <c r="A112" s="32" t="str">
        <f aca="false">IF(OR(TRIM(C112)="",SUBSTITUTE(C112," ","")="소계"),"제외",IF(ISNUMBER(SEARCH("홍콩",C112)),"HK",IF(ISNUMBER(SEARCH("상해",C112)),"CN",IF(ISNUMBER(SEARCH("대만",C112)),"TW","홀세일"))))</f>
        <v>TW</v>
      </c>
      <c r="B112" s="36" t="s">
        <v>98</v>
      </c>
      <c r="C112" s="36" t="s">
        <v>99</v>
      </c>
      <c r="D112" s="37" t="s">
        <v>123</v>
      </c>
      <c r="E112" s="36" t="n">
        <v>2026</v>
      </c>
      <c r="F112" s="37" t="s">
        <v>219</v>
      </c>
      <c r="G112" s="37" t="s">
        <v>124</v>
      </c>
      <c r="H112" s="36" t="s">
        <v>188</v>
      </c>
      <c r="I112" s="36" t="s">
        <v>332</v>
      </c>
      <c r="J112" s="36" t="s">
        <v>333</v>
      </c>
      <c r="K112" s="38" t="n">
        <v>300</v>
      </c>
      <c r="L112" s="38" t="n">
        <v>38700000</v>
      </c>
      <c r="M112" s="38" t="n">
        <v>13986600</v>
      </c>
      <c r="N112" s="39" t="n">
        <f aca="false">IF(A112="제외",0,IF(OR(N(L112)&lt;=0,N(M112)&gt;N(L112)),N(M112)/요약!$D$27,N(L112)))</f>
        <v>38700000</v>
      </c>
      <c r="O112" s="32" t="str">
        <f aca="false">IF(A112="제외","",IF(OR(N(L112)&lt;=0,N(M112)&gt;N(L112)),"택가보정(판매금액÷공급율)",""))</f>
        <v/>
      </c>
      <c r="P112" s="0" t="str">
        <f aca="false">IF(A112="HK","100",IF(A112="CN","200",IF(A112="TW","300",IF(ISNUMBER(SEARCH("태국",C112)),"500",IF(ISNUMBER(SEARCH("말레이",C112)),"600",IF(ISNUMBER(SEARCH("필리핀",C112)),"700",IF(ISNUMBER(SEARCH("인도네시아",C112)),"800",IF(ISNUMBER(SEARCH("크루즈",C112)),"810",IF(ISNUMBER(SEARCH("동물원",C112)),"830","")))))))))</f>
        <v>300</v>
      </c>
    </row>
    <row r="113" customFormat="false" ht="15" hidden="false" customHeight="false" outlineLevel="0" collapsed="false">
      <c r="A113" s="32" t="str">
        <f aca="false">IF(OR(TRIM(C113)="",SUBSTITUTE(C113," ","")="소계"),"제외",IF(ISNUMBER(SEARCH("홍콩",C113)),"HK",IF(ISNUMBER(SEARCH("상해",C113)),"CN",IF(ISNUMBER(SEARCH("대만",C113)),"TW","홀세일"))))</f>
        <v>TW</v>
      </c>
      <c r="B113" s="36" t="s">
        <v>98</v>
      </c>
      <c r="C113" s="36" t="s">
        <v>99</v>
      </c>
      <c r="D113" s="37" t="s">
        <v>123</v>
      </c>
      <c r="E113" s="36" t="n">
        <v>2026</v>
      </c>
      <c r="F113" s="37" t="s">
        <v>219</v>
      </c>
      <c r="G113" s="37" t="s">
        <v>124</v>
      </c>
      <c r="H113" s="36" t="s">
        <v>188</v>
      </c>
      <c r="I113" s="36" t="s">
        <v>334</v>
      </c>
      <c r="J113" s="36" t="s">
        <v>335</v>
      </c>
      <c r="K113" s="38" t="n">
        <v>300</v>
      </c>
      <c r="L113" s="38" t="n">
        <v>44700000</v>
      </c>
      <c r="M113" s="38" t="n">
        <v>16387800</v>
      </c>
      <c r="N113" s="39" t="n">
        <f aca="false">IF(A113="제외",0,IF(OR(N(L113)&lt;=0,N(M113)&gt;N(L113)),N(M113)/요약!$D$27,N(L113)))</f>
        <v>44700000</v>
      </c>
      <c r="O113" s="32" t="str">
        <f aca="false">IF(A113="제외","",IF(OR(N(L113)&lt;=0,N(M113)&gt;N(L113)),"택가보정(판매금액÷공급율)",""))</f>
        <v/>
      </c>
      <c r="P113" s="0" t="str">
        <f aca="false">IF(A113="HK","100",IF(A113="CN","200",IF(A113="TW","300",IF(ISNUMBER(SEARCH("태국",C113)),"500",IF(ISNUMBER(SEARCH("말레이",C113)),"600",IF(ISNUMBER(SEARCH("필리핀",C113)),"700",IF(ISNUMBER(SEARCH("인도네시아",C113)),"800",IF(ISNUMBER(SEARCH("크루즈",C113)),"810",IF(ISNUMBER(SEARCH("동물원",C113)),"830","")))))))))</f>
        <v>300</v>
      </c>
    </row>
    <row r="114" customFormat="false" ht="15" hidden="false" customHeight="false" outlineLevel="0" collapsed="false">
      <c r="A114" s="32" t="str">
        <f aca="false">IF(OR(TRIM(C114)="",SUBSTITUTE(C114," ","")="소계"),"제외",IF(ISNUMBER(SEARCH("홍콩",C114)),"HK",IF(ISNUMBER(SEARCH("상해",C114)),"CN",IF(ISNUMBER(SEARCH("대만",C114)),"TW","홀세일"))))</f>
        <v>TW</v>
      </c>
      <c r="B114" s="36" t="s">
        <v>98</v>
      </c>
      <c r="C114" s="36" t="s">
        <v>99</v>
      </c>
      <c r="D114" s="37" t="s">
        <v>123</v>
      </c>
      <c r="E114" s="36" t="n">
        <v>2026</v>
      </c>
      <c r="F114" s="37" t="s">
        <v>219</v>
      </c>
      <c r="G114" s="37" t="s">
        <v>124</v>
      </c>
      <c r="H114" s="36" t="s">
        <v>188</v>
      </c>
      <c r="I114" s="36" t="s">
        <v>336</v>
      </c>
      <c r="J114" s="36" t="s">
        <v>337</v>
      </c>
      <c r="K114" s="38" t="n">
        <v>80</v>
      </c>
      <c r="L114" s="38" t="n">
        <v>8720000</v>
      </c>
      <c r="M114" s="38" t="n">
        <v>3198480</v>
      </c>
      <c r="N114" s="39" t="n">
        <f aca="false">IF(A114="제외",0,IF(OR(N(L114)&lt;=0,N(M114)&gt;N(L114)),N(M114)/요약!$D$27,N(L114)))</f>
        <v>8720000</v>
      </c>
      <c r="O114" s="32" t="str">
        <f aca="false">IF(A114="제외","",IF(OR(N(L114)&lt;=0,N(M114)&gt;N(L114)),"택가보정(판매금액÷공급율)",""))</f>
        <v/>
      </c>
      <c r="P114" s="0" t="str">
        <f aca="false">IF(A114="HK","100",IF(A114="CN","200",IF(A114="TW","300",IF(ISNUMBER(SEARCH("태국",C114)),"500",IF(ISNUMBER(SEARCH("말레이",C114)),"600",IF(ISNUMBER(SEARCH("필리핀",C114)),"700",IF(ISNUMBER(SEARCH("인도네시아",C114)),"800",IF(ISNUMBER(SEARCH("크루즈",C114)),"810",IF(ISNUMBER(SEARCH("동물원",C114)),"830","")))))))))</f>
        <v>300</v>
      </c>
    </row>
    <row r="115" customFormat="false" ht="15" hidden="false" customHeight="false" outlineLevel="0" collapsed="false">
      <c r="A115" s="32" t="str">
        <f aca="false">IF(OR(TRIM(C115)="",SUBSTITUTE(C115," ","")="소계"),"제외",IF(ISNUMBER(SEARCH("홍콩",C115)),"HK",IF(ISNUMBER(SEARCH("상해",C115)),"CN",IF(ISNUMBER(SEARCH("대만",C115)),"TW","홀세일"))))</f>
        <v>TW</v>
      </c>
      <c r="B115" s="36" t="s">
        <v>98</v>
      </c>
      <c r="C115" s="36" t="s">
        <v>99</v>
      </c>
      <c r="D115" s="37" t="s">
        <v>123</v>
      </c>
      <c r="E115" s="36" t="n">
        <v>2026</v>
      </c>
      <c r="F115" s="37" t="s">
        <v>219</v>
      </c>
      <c r="G115" s="37" t="s">
        <v>124</v>
      </c>
      <c r="H115" s="36" t="s">
        <v>188</v>
      </c>
      <c r="I115" s="36" t="s">
        <v>338</v>
      </c>
      <c r="J115" s="36" t="s">
        <v>339</v>
      </c>
      <c r="K115" s="38" t="n">
        <v>550</v>
      </c>
      <c r="L115" s="38" t="n">
        <v>70950000</v>
      </c>
      <c r="M115" s="38" t="n">
        <v>25642100</v>
      </c>
      <c r="N115" s="39" t="n">
        <f aca="false">IF(A115="제외",0,IF(OR(N(L115)&lt;=0,N(M115)&gt;N(L115)),N(M115)/요약!$D$27,N(L115)))</f>
        <v>70950000</v>
      </c>
      <c r="O115" s="32" t="str">
        <f aca="false">IF(A115="제외","",IF(OR(N(L115)&lt;=0,N(M115)&gt;N(L115)),"택가보정(판매금액÷공급율)",""))</f>
        <v/>
      </c>
      <c r="P115" s="0" t="str">
        <f aca="false">IF(A115="HK","100",IF(A115="CN","200",IF(A115="TW","300",IF(ISNUMBER(SEARCH("태국",C115)),"500",IF(ISNUMBER(SEARCH("말레이",C115)),"600",IF(ISNUMBER(SEARCH("필리핀",C115)),"700",IF(ISNUMBER(SEARCH("인도네시아",C115)),"800",IF(ISNUMBER(SEARCH("크루즈",C115)),"810",IF(ISNUMBER(SEARCH("동물원",C115)),"830","")))))))))</f>
        <v>300</v>
      </c>
    </row>
    <row r="116" customFormat="false" ht="15" hidden="false" customHeight="false" outlineLevel="0" collapsed="false">
      <c r="A116" s="32" t="str">
        <f aca="false">IF(OR(TRIM(C116)="",SUBSTITUTE(C116," ","")="소계"),"제외",IF(ISNUMBER(SEARCH("홍콩",C116)),"HK",IF(ISNUMBER(SEARCH("상해",C116)),"CN",IF(ISNUMBER(SEARCH("대만",C116)),"TW","홀세일"))))</f>
        <v>TW</v>
      </c>
      <c r="B116" s="36" t="s">
        <v>98</v>
      </c>
      <c r="C116" s="36" t="s">
        <v>99</v>
      </c>
      <c r="D116" s="37" t="s">
        <v>123</v>
      </c>
      <c r="E116" s="36" t="n">
        <v>2026</v>
      </c>
      <c r="F116" s="37" t="s">
        <v>219</v>
      </c>
      <c r="G116" s="37" t="s">
        <v>124</v>
      </c>
      <c r="H116" s="36" t="s">
        <v>188</v>
      </c>
      <c r="I116" s="36" t="s">
        <v>340</v>
      </c>
      <c r="J116" s="36" t="s">
        <v>341</v>
      </c>
      <c r="K116" s="38" t="n">
        <v>200</v>
      </c>
      <c r="L116" s="38" t="n">
        <v>23800000</v>
      </c>
      <c r="M116" s="38" t="n">
        <v>8728400</v>
      </c>
      <c r="N116" s="39" t="n">
        <f aca="false">IF(A116="제외",0,IF(OR(N(L116)&lt;=0,N(M116)&gt;N(L116)),N(M116)/요약!$D$27,N(L116)))</f>
        <v>23800000</v>
      </c>
      <c r="O116" s="32" t="str">
        <f aca="false">IF(A116="제외","",IF(OR(N(L116)&lt;=0,N(M116)&gt;N(L116)),"택가보정(판매금액÷공급율)",""))</f>
        <v/>
      </c>
      <c r="P116" s="0" t="str">
        <f aca="false">IF(A116="HK","100",IF(A116="CN","200",IF(A116="TW","300",IF(ISNUMBER(SEARCH("태국",C116)),"500",IF(ISNUMBER(SEARCH("말레이",C116)),"600",IF(ISNUMBER(SEARCH("필리핀",C116)),"700",IF(ISNUMBER(SEARCH("인도네시아",C116)),"800",IF(ISNUMBER(SEARCH("크루즈",C116)),"810",IF(ISNUMBER(SEARCH("동물원",C116)),"830","")))))))))</f>
        <v>300</v>
      </c>
    </row>
    <row r="117" customFormat="false" ht="15" hidden="false" customHeight="false" outlineLevel="0" collapsed="false">
      <c r="A117" s="32" t="str">
        <f aca="false">IF(OR(TRIM(C117)="",SUBSTITUTE(C117," ","")="소계"),"제외",IF(ISNUMBER(SEARCH("홍콩",C117)),"HK",IF(ISNUMBER(SEARCH("상해",C117)),"CN",IF(ISNUMBER(SEARCH("대만",C117)),"TW","홀세일"))))</f>
        <v>TW</v>
      </c>
      <c r="B117" s="36" t="s">
        <v>98</v>
      </c>
      <c r="C117" s="36" t="s">
        <v>99</v>
      </c>
      <c r="D117" s="37" t="s">
        <v>123</v>
      </c>
      <c r="E117" s="36" t="n">
        <v>2026</v>
      </c>
      <c r="F117" s="37" t="s">
        <v>219</v>
      </c>
      <c r="G117" s="37" t="s">
        <v>124</v>
      </c>
      <c r="H117" s="36" t="s">
        <v>188</v>
      </c>
      <c r="I117" s="36" t="s">
        <v>342</v>
      </c>
      <c r="J117" s="36" t="s">
        <v>343</v>
      </c>
      <c r="K117" s="38" t="n">
        <v>300</v>
      </c>
      <c r="L117" s="38" t="n">
        <v>50700000</v>
      </c>
      <c r="M117" s="38" t="n">
        <v>19442700</v>
      </c>
      <c r="N117" s="39" t="n">
        <f aca="false">IF(A117="제외",0,IF(OR(N(L117)&lt;=0,N(M117)&gt;N(L117)),N(M117)/요약!$D$27,N(L117)))</f>
        <v>50700000</v>
      </c>
      <c r="O117" s="32" t="str">
        <f aca="false">IF(A117="제외","",IF(OR(N(L117)&lt;=0,N(M117)&gt;N(L117)),"택가보정(판매금액÷공급율)",""))</f>
        <v/>
      </c>
      <c r="P117" s="0" t="str">
        <f aca="false">IF(A117="HK","100",IF(A117="CN","200",IF(A117="TW","300",IF(ISNUMBER(SEARCH("태국",C117)),"500",IF(ISNUMBER(SEARCH("말레이",C117)),"600",IF(ISNUMBER(SEARCH("필리핀",C117)),"700",IF(ISNUMBER(SEARCH("인도네시아",C117)),"800",IF(ISNUMBER(SEARCH("크루즈",C117)),"810",IF(ISNUMBER(SEARCH("동물원",C117)),"830","")))))))))</f>
        <v>300</v>
      </c>
    </row>
    <row r="118" customFormat="false" ht="15" hidden="false" customHeight="false" outlineLevel="0" collapsed="false">
      <c r="A118" s="32" t="str">
        <f aca="false">IF(OR(TRIM(C118)="",SUBSTITUTE(C118," ","")="소계"),"제외",IF(ISNUMBER(SEARCH("홍콩",C118)),"HK",IF(ISNUMBER(SEARCH("상해",C118)),"CN",IF(ISNUMBER(SEARCH("대만",C118)),"TW","홀세일"))))</f>
        <v>TW</v>
      </c>
      <c r="B118" s="36" t="s">
        <v>98</v>
      </c>
      <c r="C118" s="36" t="s">
        <v>99</v>
      </c>
      <c r="D118" s="37" t="s">
        <v>123</v>
      </c>
      <c r="E118" s="36" t="n">
        <v>2026</v>
      </c>
      <c r="F118" s="37" t="s">
        <v>219</v>
      </c>
      <c r="G118" s="37" t="s">
        <v>124</v>
      </c>
      <c r="H118" s="36" t="s">
        <v>188</v>
      </c>
      <c r="I118" s="36" t="s">
        <v>344</v>
      </c>
      <c r="J118" s="36" t="s">
        <v>345</v>
      </c>
      <c r="K118" s="38" t="n">
        <v>160</v>
      </c>
      <c r="L118" s="38" t="n">
        <v>25440000</v>
      </c>
      <c r="M118" s="38" t="n">
        <v>9745760</v>
      </c>
      <c r="N118" s="39" t="n">
        <f aca="false">IF(A118="제외",0,IF(OR(N(L118)&lt;=0,N(M118)&gt;N(L118)),N(M118)/요약!$D$27,N(L118)))</f>
        <v>25440000</v>
      </c>
      <c r="O118" s="32" t="str">
        <f aca="false">IF(A118="제외","",IF(OR(N(L118)&lt;=0,N(M118)&gt;N(L118)),"택가보정(판매금액÷공급율)",""))</f>
        <v/>
      </c>
      <c r="P118" s="0" t="str">
        <f aca="false">IF(A118="HK","100",IF(A118="CN","200",IF(A118="TW","300",IF(ISNUMBER(SEARCH("태국",C118)),"500",IF(ISNUMBER(SEARCH("말레이",C118)),"600",IF(ISNUMBER(SEARCH("필리핀",C118)),"700",IF(ISNUMBER(SEARCH("인도네시아",C118)),"800",IF(ISNUMBER(SEARCH("크루즈",C118)),"810",IF(ISNUMBER(SEARCH("동물원",C118)),"830","")))))))))</f>
        <v>300</v>
      </c>
    </row>
    <row r="119" customFormat="false" ht="15" hidden="false" customHeight="false" outlineLevel="0" collapsed="false">
      <c r="A119" s="32" t="str">
        <f aca="false">IF(OR(TRIM(C119)="",SUBSTITUTE(C119," ","")="소계"),"제외",IF(ISNUMBER(SEARCH("홍콩",C119)),"HK",IF(ISNUMBER(SEARCH("상해",C119)),"CN",IF(ISNUMBER(SEARCH("대만",C119)),"TW","홀세일"))))</f>
        <v>TW</v>
      </c>
      <c r="B119" s="36" t="s">
        <v>98</v>
      </c>
      <c r="C119" s="36" t="s">
        <v>99</v>
      </c>
      <c r="D119" s="37" t="s">
        <v>123</v>
      </c>
      <c r="E119" s="36" t="n">
        <v>2026</v>
      </c>
      <c r="F119" s="37" t="s">
        <v>219</v>
      </c>
      <c r="G119" s="37" t="s">
        <v>124</v>
      </c>
      <c r="H119" s="36" t="s">
        <v>188</v>
      </c>
      <c r="I119" s="36" t="s">
        <v>346</v>
      </c>
      <c r="J119" s="36" t="s">
        <v>347</v>
      </c>
      <c r="K119" s="38" t="n">
        <v>530</v>
      </c>
      <c r="L119" s="38" t="n">
        <v>100170000</v>
      </c>
      <c r="M119" s="38" t="n">
        <v>36184690</v>
      </c>
      <c r="N119" s="39" t="n">
        <f aca="false">IF(A119="제외",0,IF(OR(N(L119)&lt;=0,N(M119)&gt;N(L119)),N(M119)/요약!$D$27,N(L119)))</f>
        <v>100170000</v>
      </c>
      <c r="O119" s="32" t="str">
        <f aca="false">IF(A119="제외","",IF(OR(N(L119)&lt;=0,N(M119)&gt;N(L119)),"택가보정(판매금액÷공급율)",""))</f>
        <v/>
      </c>
      <c r="P119" s="0" t="str">
        <f aca="false">IF(A119="HK","100",IF(A119="CN","200",IF(A119="TW","300",IF(ISNUMBER(SEARCH("태국",C119)),"500",IF(ISNUMBER(SEARCH("말레이",C119)),"600",IF(ISNUMBER(SEARCH("필리핀",C119)),"700",IF(ISNUMBER(SEARCH("인도네시아",C119)),"800",IF(ISNUMBER(SEARCH("크루즈",C119)),"810",IF(ISNUMBER(SEARCH("동물원",C119)),"830","")))))))))</f>
        <v>300</v>
      </c>
    </row>
    <row r="120" customFormat="false" ht="15" hidden="false" customHeight="false" outlineLevel="0" collapsed="false">
      <c r="A120" s="32" t="str">
        <f aca="false">IF(OR(TRIM(C120)="",SUBSTITUTE(C120," ","")="소계"),"제외",IF(ISNUMBER(SEARCH("홍콩",C120)),"HK",IF(ISNUMBER(SEARCH("상해",C120)),"CN",IF(ISNUMBER(SEARCH("대만",C120)),"TW","홀세일"))))</f>
        <v>TW</v>
      </c>
      <c r="B120" s="36" t="s">
        <v>98</v>
      </c>
      <c r="C120" s="36" t="s">
        <v>99</v>
      </c>
      <c r="D120" s="37" t="s">
        <v>123</v>
      </c>
      <c r="E120" s="36" t="n">
        <v>2026</v>
      </c>
      <c r="F120" s="37" t="s">
        <v>219</v>
      </c>
      <c r="G120" s="37" t="s">
        <v>124</v>
      </c>
      <c r="H120" s="36" t="s">
        <v>188</v>
      </c>
      <c r="I120" s="36" t="s">
        <v>348</v>
      </c>
      <c r="J120" s="36" t="s">
        <v>349</v>
      </c>
      <c r="K120" s="38" t="n">
        <v>150</v>
      </c>
      <c r="L120" s="38" t="n">
        <v>22350000</v>
      </c>
      <c r="M120" s="38" t="n">
        <v>8209500</v>
      </c>
      <c r="N120" s="39" t="n">
        <f aca="false">IF(A120="제외",0,IF(OR(N(L120)&lt;=0,N(M120)&gt;N(L120)),N(M120)/요약!$D$27,N(L120)))</f>
        <v>22350000</v>
      </c>
      <c r="O120" s="32" t="str">
        <f aca="false">IF(A120="제외","",IF(OR(N(L120)&lt;=0,N(M120)&gt;N(L120)),"택가보정(판매금액÷공급율)",""))</f>
        <v/>
      </c>
      <c r="P120" s="0" t="str">
        <f aca="false">IF(A120="HK","100",IF(A120="CN","200",IF(A120="TW","300",IF(ISNUMBER(SEARCH("태국",C120)),"500",IF(ISNUMBER(SEARCH("말레이",C120)),"600",IF(ISNUMBER(SEARCH("필리핀",C120)),"700",IF(ISNUMBER(SEARCH("인도네시아",C120)),"800",IF(ISNUMBER(SEARCH("크루즈",C120)),"810",IF(ISNUMBER(SEARCH("동물원",C120)),"830","")))))))))</f>
        <v>300</v>
      </c>
    </row>
    <row r="121" customFormat="false" ht="15" hidden="false" customHeight="false" outlineLevel="0" collapsed="false">
      <c r="A121" s="32" t="str">
        <f aca="false">IF(OR(TRIM(C121)="",SUBSTITUTE(C121," ","")="소계"),"제외",IF(ISNUMBER(SEARCH("홍콩",C121)),"HK",IF(ISNUMBER(SEARCH("상해",C121)),"CN",IF(ISNUMBER(SEARCH("대만",C121)),"TW","홀세일"))))</f>
        <v>TW</v>
      </c>
      <c r="B121" s="36" t="s">
        <v>98</v>
      </c>
      <c r="C121" s="36" t="s">
        <v>99</v>
      </c>
      <c r="D121" s="37" t="s">
        <v>123</v>
      </c>
      <c r="E121" s="36" t="n">
        <v>2026</v>
      </c>
      <c r="F121" s="37" t="s">
        <v>219</v>
      </c>
      <c r="G121" s="37" t="s">
        <v>124</v>
      </c>
      <c r="H121" s="36" t="s">
        <v>188</v>
      </c>
      <c r="I121" s="36" t="s">
        <v>350</v>
      </c>
      <c r="J121" s="36" t="s">
        <v>351</v>
      </c>
      <c r="K121" s="38" t="n">
        <v>120</v>
      </c>
      <c r="L121" s="38" t="n">
        <v>19080000</v>
      </c>
      <c r="M121" s="38" t="n">
        <v>7007880</v>
      </c>
      <c r="N121" s="39" t="n">
        <f aca="false">IF(A121="제외",0,IF(OR(N(L121)&lt;=0,N(M121)&gt;N(L121)),N(M121)/요약!$D$27,N(L121)))</f>
        <v>19080000</v>
      </c>
      <c r="O121" s="32" t="str">
        <f aca="false">IF(A121="제외","",IF(OR(N(L121)&lt;=0,N(M121)&gt;N(L121)),"택가보정(판매금액÷공급율)",""))</f>
        <v/>
      </c>
      <c r="P121" s="0" t="str">
        <f aca="false">IF(A121="HK","100",IF(A121="CN","200",IF(A121="TW","300",IF(ISNUMBER(SEARCH("태국",C121)),"500",IF(ISNUMBER(SEARCH("말레이",C121)),"600",IF(ISNUMBER(SEARCH("필리핀",C121)),"700",IF(ISNUMBER(SEARCH("인도네시아",C121)),"800",IF(ISNUMBER(SEARCH("크루즈",C121)),"810",IF(ISNUMBER(SEARCH("동물원",C121)),"830","")))))))))</f>
        <v>300</v>
      </c>
    </row>
    <row r="122" customFormat="false" ht="15" hidden="false" customHeight="false" outlineLevel="0" collapsed="false">
      <c r="A122" s="32" t="str">
        <f aca="false">IF(OR(TRIM(C122)="",SUBSTITUTE(C122," ","")="소계"),"제외",IF(ISNUMBER(SEARCH("홍콩",C122)),"HK",IF(ISNUMBER(SEARCH("상해",C122)),"CN",IF(ISNUMBER(SEARCH("대만",C122)),"TW","홀세일"))))</f>
        <v>TW</v>
      </c>
      <c r="B122" s="36" t="s">
        <v>98</v>
      </c>
      <c r="C122" s="36" t="s">
        <v>99</v>
      </c>
      <c r="D122" s="37" t="s">
        <v>123</v>
      </c>
      <c r="E122" s="36" t="n">
        <v>2026</v>
      </c>
      <c r="F122" s="37" t="s">
        <v>219</v>
      </c>
      <c r="G122" s="37" t="s">
        <v>124</v>
      </c>
      <c r="H122" s="36" t="s">
        <v>188</v>
      </c>
      <c r="I122" s="36" t="s">
        <v>352</v>
      </c>
      <c r="J122" s="36" t="s">
        <v>353</v>
      </c>
      <c r="K122" s="38" t="n">
        <v>80</v>
      </c>
      <c r="L122" s="38" t="n">
        <v>7920000</v>
      </c>
      <c r="M122" s="38" t="n">
        <v>2863680</v>
      </c>
      <c r="N122" s="39" t="n">
        <f aca="false">IF(A122="제외",0,IF(OR(N(L122)&lt;=0,N(M122)&gt;N(L122)),N(M122)/요약!$D$27,N(L122)))</f>
        <v>7920000</v>
      </c>
      <c r="O122" s="32" t="str">
        <f aca="false">IF(A122="제외","",IF(OR(N(L122)&lt;=0,N(M122)&gt;N(L122)),"택가보정(판매금액÷공급율)",""))</f>
        <v/>
      </c>
      <c r="P122" s="0" t="str">
        <f aca="false">IF(A122="HK","100",IF(A122="CN","200",IF(A122="TW","300",IF(ISNUMBER(SEARCH("태국",C122)),"500",IF(ISNUMBER(SEARCH("말레이",C122)),"600",IF(ISNUMBER(SEARCH("필리핀",C122)),"700",IF(ISNUMBER(SEARCH("인도네시아",C122)),"800",IF(ISNUMBER(SEARCH("크루즈",C122)),"810",IF(ISNUMBER(SEARCH("동물원",C122)),"830","")))))))))</f>
        <v>300</v>
      </c>
    </row>
    <row r="123" customFormat="false" ht="15" hidden="false" customHeight="false" outlineLevel="0" collapsed="false">
      <c r="A123" s="32" t="str">
        <f aca="false">IF(OR(TRIM(C123)="",SUBSTITUTE(C123," ","")="소계"),"제외",IF(ISNUMBER(SEARCH("홍콩",C123)),"HK",IF(ISNUMBER(SEARCH("상해",C123)),"CN",IF(ISNUMBER(SEARCH("대만",C123)),"TW","홀세일"))))</f>
        <v>TW</v>
      </c>
      <c r="B123" s="36" t="s">
        <v>98</v>
      </c>
      <c r="C123" s="36" t="s">
        <v>99</v>
      </c>
      <c r="D123" s="37" t="s">
        <v>123</v>
      </c>
      <c r="E123" s="36" t="n">
        <v>2026</v>
      </c>
      <c r="F123" s="37" t="s">
        <v>219</v>
      </c>
      <c r="G123" s="37" t="s">
        <v>124</v>
      </c>
      <c r="H123" s="36" t="s">
        <v>188</v>
      </c>
      <c r="I123" s="36" t="s">
        <v>354</v>
      </c>
      <c r="J123" s="36" t="s">
        <v>355</v>
      </c>
      <c r="K123" s="38" t="n">
        <v>160</v>
      </c>
      <c r="L123" s="38" t="n">
        <v>17440000</v>
      </c>
      <c r="M123" s="38" t="n">
        <v>6396960</v>
      </c>
      <c r="N123" s="39" t="n">
        <f aca="false">IF(A123="제외",0,IF(OR(N(L123)&lt;=0,N(M123)&gt;N(L123)),N(M123)/요약!$D$27,N(L123)))</f>
        <v>17440000</v>
      </c>
      <c r="O123" s="32" t="str">
        <f aca="false">IF(A123="제외","",IF(OR(N(L123)&lt;=0,N(M123)&gt;N(L123)),"택가보정(판매금액÷공급율)",""))</f>
        <v/>
      </c>
      <c r="P123" s="0" t="str">
        <f aca="false">IF(A123="HK","100",IF(A123="CN","200",IF(A123="TW","300",IF(ISNUMBER(SEARCH("태국",C123)),"500",IF(ISNUMBER(SEARCH("말레이",C123)),"600",IF(ISNUMBER(SEARCH("필리핀",C123)),"700",IF(ISNUMBER(SEARCH("인도네시아",C123)),"800",IF(ISNUMBER(SEARCH("크루즈",C123)),"810",IF(ISNUMBER(SEARCH("동물원",C123)),"830","")))))))))</f>
        <v>300</v>
      </c>
    </row>
    <row r="124" customFormat="false" ht="15" hidden="false" customHeight="false" outlineLevel="0" collapsed="false">
      <c r="A124" s="32" t="str">
        <f aca="false">IF(OR(TRIM(C124)="",SUBSTITUTE(C124," ","")="소계"),"제외",IF(ISNUMBER(SEARCH("홍콩",C124)),"HK",IF(ISNUMBER(SEARCH("상해",C124)),"CN",IF(ISNUMBER(SEARCH("대만",C124)),"TW","홀세일"))))</f>
        <v>TW</v>
      </c>
      <c r="B124" s="36" t="s">
        <v>98</v>
      </c>
      <c r="C124" s="36" t="s">
        <v>99</v>
      </c>
      <c r="D124" s="37" t="s">
        <v>123</v>
      </c>
      <c r="E124" s="36" t="n">
        <v>2026</v>
      </c>
      <c r="F124" s="37" t="s">
        <v>219</v>
      </c>
      <c r="G124" s="37" t="s">
        <v>124</v>
      </c>
      <c r="H124" s="36" t="s">
        <v>188</v>
      </c>
      <c r="I124" s="36" t="s">
        <v>356</v>
      </c>
      <c r="J124" s="36" t="s">
        <v>357</v>
      </c>
      <c r="K124" s="38" t="n">
        <v>80</v>
      </c>
      <c r="L124" s="38" t="n">
        <v>5520000</v>
      </c>
      <c r="M124" s="38" t="n">
        <v>2102000</v>
      </c>
      <c r="N124" s="39" t="n">
        <f aca="false">IF(A124="제외",0,IF(OR(N(L124)&lt;=0,N(M124)&gt;N(L124)),N(M124)/요약!$D$27,N(L124)))</f>
        <v>5520000</v>
      </c>
      <c r="O124" s="32" t="str">
        <f aca="false">IF(A124="제외","",IF(OR(N(L124)&lt;=0,N(M124)&gt;N(L124)),"택가보정(판매금액÷공급율)",""))</f>
        <v/>
      </c>
      <c r="P124" s="0" t="str">
        <f aca="false">IF(A124="HK","100",IF(A124="CN","200",IF(A124="TW","300",IF(ISNUMBER(SEARCH("태국",C124)),"500",IF(ISNUMBER(SEARCH("말레이",C124)),"600",IF(ISNUMBER(SEARCH("필리핀",C124)),"700",IF(ISNUMBER(SEARCH("인도네시아",C124)),"800",IF(ISNUMBER(SEARCH("크루즈",C124)),"810",IF(ISNUMBER(SEARCH("동물원",C124)),"830","")))))))))</f>
        <v>300</v>
      </c>
    </row>
    <row r="125" customFormat="false" ht="15" hidden="false" customHeight="false" outlineLevel="0" collapsed="false">
      <c r="A125" s="32" t="str">
        <f aca="false">IF(OR(TRIM(C125)="",SUBSTITUTE(C125," ","")="소계"),"제외",IF(ISNUMBER(SEARCH("홍콩",C125)),"HK",IF(ISNUMBER(SEARCH("상해",C125)),"CN",IF(ISNUMBER(SEARCH("대만",C125)),"TW","홀세일"))))</f>
        <v>TW</v>
      </c>
      <c r="B125" s="36" t="s">
        <v>98</v>
      </c>
      <c r="C125" s="36" t="s">
        <v>99</v>
      </c>
      <c r="D125" s="37" t="s">
        <v>123</v>
      </c>
      <c r="E125" s="36" t="n">
        <v>2026</v>
      </c>
      <c r="F125" s="37" t="s">
        <v>219</v>
      </c>
      <c r="G125" s="37" t="s">
        <v>124</v>
      </c>
      <c r="H125" s="36" t="s">
        <v>188</v>
      </c>
      <c r="I125" s="36" t="s">
        <v>358</v>
      </c>
      <c r="J125" s="36" t="s">
        <v>359</v>
      </c>
      <c r="K125" s="38" t="n">
        <v>190</v>
      </c>
      <c r="L125" s="38" t="n">
        <v>15010000</v>
      </c>
      <c r="M125" s="38" t="n">
        <v>5509430</v>
      </c>
      <c r="N125" s="39" t="n">
        <f aca="false">IF(A125="제외",0,IF(OR(N(L125)&lt;=0,N(M125)&gt;N(L125)),N(M125)/요약!$D$27,N(L125)))</f>
        <v>15010000</v>
      </c>
      <c r="O125" s="32" t="str">
        <f aca="false">IF(A125="제외","",IF(OR(N(L125)&lt;=0,N(M125)&gt;N(L125)),"택가보정(판매금액÷공급율)",""))</f>
        <v/>
      </c>
      <c r="P125" s="0" t="str">
        <f aca="false">IF(A125="HK","100",IF(A125="CN","200",IF(A125="TW","300",IF(ISNUMBER(SEARCH("태국",C125)),"500",IF(ISNUMBER(SEARCH("말레이",C125)),"600",IF(ISNUMBER(SEARCH("필리핀",C125)),"700",IF(ISNUMBER(SEARCH("인도네시아",C125)),"800",IF(ISNUMBER(SEARCH("크루즈",C125)),"810",IF(ISNUMBER(SEARCH("동물원",C125)),"830","")))))))))</f>
        <v>300</v>
      </c>
    </row>
    <row r="126" customFormat="false" ht="15" hidden="false" customHeight="false" outlineLevel="0" collapsed="false">
      <c r="A126" s="32" t="str">
        <f aca="false">IF(OR(TRIM(C126)="",SUBSTITUTE(C126," ","")="소계"),"제외",IF(ISNUMBER(SEARCH("홍콩",C126)),"HK",IF(ISNUMBER(SEARCH("상해",C126)),"CN",IF(ISNUMBER(SEARCH("대만",C126)),"TW","홀세일"))))</f>
        <v>TW</v>
      </c>
      <c r="B126" s="36" t="s">
        <v>98</v>
      </c>
      <c r="C126" s="36" t="s">
        <v>99</v>
      </c>
      <c r="D126" s="37" t="s">
        <v>123</v>
      </c>
      <c r="E126" s="36" t="n">
        <v>2026</v>
      </c>
      <c r="F126" s="37" t="s">
        <v>219</v>
      </c>
      <c r="G126" s="37" t="s">
        <v>360</v>
      </c>
      <c r="H126" s="36" t="s">
        <v>131</v>
      </c>
      <c r="I126" s="36" t="s">
        <v>361</v>
      </c>
      <c r="J126" s="37" t="s">
        <v>362</v>
      </c>
      <c r="K126" s="38" t="n">
        <v>220</v>
      </c>
      <c r="L126" s="38" t="n">
        <v>23980000</v>
      </c>
      <c r="M126" s="38" t="n">
        <v>10167740</v>
      </c>
      <c r="N126" s="39" t="n">
        <f aca="false">IF(A126="제외",0,IF(OR(N(L126)&lt;=0,N(M126)&gt;N(L126)),N(M126)/요약!$D$27,N(L126)))</f>
        <v>23980000</v>
      </c>
      <c r="O126" s="32" t="str">
        <f aca="false">IF(A126="제외","",IF(OR(N(L126)&lt;=0,N(M126)&gt;N(L126)),"택가보정(판매금액÷공급율)",""))</f>
        <v/>
      </c>
      <c r="P126" s="0" t="str">
        <f aca="false">IF(A126="HK","100",IF(A126="CN","200",IF(A126="TW","300",IF(ISNUMBER(SEARCH("태국",C126)),"500",IF(ISNUMBER(SEARCH("말레이",C126)),"600",IF(ISNUMBER(SEARCH("필리핀",C126)),"700",IF(ISNUMBER(SEARCH("인도네시아",C126)),"800",IF(ISNUMBER(SEARCH("크루즈",C126)),"810",IF(ISNUMBER(SEARCH("동물원",C126)),"830","")))))))))</f>
        <v>300</v>
      </c>
    </row>
    <row r="127" customFormat="false" ht="15" hidden="false" customHeight="false" outlineLevel="0" collapsed="false">
      <c r="A127" s="32" t="str">
        <f aca="false">IF(OR(TRIM(C127)="",SUBSTITUTE(C127," ","")="소계"),"제외",IF(ISNUMBER(SEARCH("홍콩",C127)),"HK",IF(ISNUMBER(SEARCH("상해",C127)),"CN",IF(ISNUMBER(SEARCH("대만",C127)),"TW","홀세일"))))</f>
        <v>TW</v>
      </c>
      <c r="B127" s="36" t="s">
        <v>98</v>
      </c>
      <c r="C127" s="36" t="s">
        <v>99</v>
      </c>
      <c r="D127" s="37" t="s">
        <v>123</v>
      </c>
      <c r="E127" s="36" t="n">
        <v>2026</v>
      </c>
      <c r="F127" s="37" t="s">
        <v>363</v>
      </c>
      <c r="G127" s="37" t="s">
        <v>102</v>
      </c>
      <c r="H127" s="36" t="s">
        <v>131</v>
      </c>
      <c r="I127" s="36" t="s">
        <v>364</v>
      </c>
      <c r="J127" s="37" t="s">
        <v>365</v>
      </c>
      <c r="K127" s="38" t="n">
        <v>300</v>
      </c>
      <c r="L127" s="38" t="n">
        <v>11700000</v>
      </c>
      <c r="M127" s="38" t="n">
        <v>3998400</v>
      </c>
      <c r="N127" s="39" t="n">
        <f aca="false">IF(A127="제외",0,IF(OR(N(L127)&lt;=0,N(M127)&gt;N(L127)),N(M127)/요약!$D$27,N(L127)))</f>
        <v>11700000</v>
      </c>
      <c r="O127" s="32" t="str">
        <f aca="false">IF(A127="제외","",IF(OR(N(L127)&lt;=0,N(M127)&gt;N(L127)),"택가보정(판매금액÷공급율)",""))</f>
        <v/>
      </c>
      <c r="P127" s="0" t="str">
        <f aca="false">IF(A127="HK","100",IF(A127="CN","200",IF(A127="TW","300",IF(ISNUMBER(SEARCH("태국",C127)),"500",IF(ISNUMBER(SEARCH("말레이",C127)),"600",IF(ISNUMBER(SEARCH("필리핀",C127)),"700",IF(ISNUMBER(SEARCH("인도네시아",C127)),"800",IF(ISNUMBER(SEARCH("크루즈",C127)),"810",IF(ISNUMBER(SEARCH("동물원",C127)),"830","")))))))))</f>
        <v>300</v>
      </c>
    </row>
    <row r="128" customFormat="false" ht="15" hidden="false" customHeight="false" outlineLevel="0" collapsed="false">
      <c r="A128" s="32" t="str">
        <f aca="false">IF(OR(TRIM(C128)="",SUBSTITUTE(C128," ","")="소계"),"제외",IF(ISNUMBER(SEARCH("홍콩",C128)),"HK",IF(ISNUMBER(SEARCH("상해",C128)),"CN",IF(ISNUMBER(SEARCH("대만",C128)),"TW","홀세일"))))</f>
        <v>TW</v>
      </c>
      <c r="B128" s="36" t="s">
        <v>98</v>
      </c>
      <c r="C128" s="36" t="s">
        <v>99</v>
      </c>
      <c r="D128" s="37" t="s">
        <v>123</v>
      </c>
      <c r="E128" s="36" t="n">
        <v>2026</v>
      </c>
      <c r="F128" s="37" t="s">
        <v>363</v>
      </c>
      <c r="G128" s="37" t="s">
        <v>102</v>
      </c>
      <c r="H128" s="36" t="s">
        <v>131</v>
      </c>
      <c r="I128" s="36" t="s">
        <v>366</v>
      </c>
      <c r="J128" s="37" t="s">
        <v>367</v>
      </c>
      <c r="K128" s="38" t="n">
        <v>100</v>
      </c>
      <c r="L128" s="38" t="n">
        <v>15900000</v>
      </c>
      <c r="M128" s="38" t="n">
        <v>6150300</v>
      </c>
      <c r="N128" s="39" t="n">
        <f aca="false">IF(A128="제외",0,IF(OR(N(L128)&lt;=0,N(M128)&gt;N(L128)),N(M128)/요약!$D$27,N(L128)))</f>
        <v>15900000</v>
      </c>
      <c r="O128" s="32" t="str">
        <f aca="false">IF(A128="제외","",IF(OR(N(L128)&lt;=0,N(M128)&gt;N(L128)),"택가보정(판매금액÷공급율)",""))</f>
        <v/>
      </c>
      <c r="P128" s="0" t="str">
        <f aca="false">IF(A128="HK","100",IF(A128="CN","200",IF(A128="TW","300",IF(ISNUMBER(SEARCH("태국",C128)),"500",IF(ISNUMBER(SEARCH("말레이",C128)),"600",IF(ISNUMBER(SEARCH("필리핀",C128)),"700",IF(ISNUMBER(SEARCH("인도네시아",C128)),"800",IF(ISNUMBER(SEARCH("크루즈",C128)),"810",IF(ISNUMBER(SEARCH("동물원",C128)),"830","")))))))))</f>
        <v>300</v>
      </c>
    </row>
    <row r="129" customFormat="false" ht="15" hidden="false" customHeight="false" outlineLevel="0" collapsed="false">
      <c r="A129" s="32" t="str">
        <f aca="false">IF(OR(TRIM(C129)="",SUBSTITUTE(C129," ","")="소계"),"제외",IF(ISNUMBER(SEARCH("홍콩",C129)),"HK",IF(ISNUMBER(SEARCH("상해",C129)),"CN",IF(ISNUMBER(SEARCH("대만",C129)),"TW","홀세일"))))</f>
        <v>TW</v>
      </c>
      <c r="B129" s="36" t="s">
        <v>98</v>
      </c>
      <c r="C129" s="36" t="s">
        <v>99</v>
      </c>
      <c r="D129" s="37" t="s">
        <v>123</v>
      </c>
      <c r="E129" s="36" t="n">
        <v>2026</v>
      </c>
      <c r="F129" s="37" t="s">
        <v>363</v>
      </c>
      <c r="G129" s="37" t="s">
        <v>102</v>
      </c>
      <c r="H129" s="36" t="s">
        <v>131</v>
      </c>
      <c r="I129" s="36" t="s">
        <v>368</v>
      </c>
      <c r="J129" s="37" t="s">
        <v>369</v>
      </c>
      <c r="K129" s="38" t="n">
        <v>500</v>
      </c>
      <c r="L129" s="38" t="n">
        <v>44500000</v>
      </c>
      <c r="M129" s="38" t="n">
        <v>17230000</v>
      </c>
      <c r="N129" s="39" t="n">
        <f aca="false">IF(A129="제외",0,IF(OR(N(L129)&lt;=0,N(M129)&gt;N(L129)),N(M129)/요약!$D$27,N(L129)))</f>
        <v>44500000</v>
      </c>
      <c r="O129" s="32" t="str">
        <f aca="false">IF(A129="제외","",IF(OR(N(L129)&lt;=0,N(M129)&gt;N(L129)),"택가보정(판매금액÷공급율)",""))</f>
        <v/>
      </c>
      <c r="P129" s="0" t="str">
        <f aca="false">IF(A129="HK","100",IF(A129="CN","200",IF(A129="TW","300",IF(ISNUMBER(SEARCH("태국",C129)),"500",IF(ISNUMBER(SEARCH("말레이",C129)),"600",IF(ISNUMBER(SEARCH("필리핀",C129)),"700",IF(ISNUMBER(SEARCH("인도네시아",C129)),"800",IF(ISNUMBER(SEARCH("크루즈",C129)),"810",IF(ISNUMBER(SEARCH("동물원",C129)),"830","")))))))))</f>
        <v>300</v>
      </c>
    </row>
    <row r="130" customFormat="false" ht="15" hidden="false" customHeight="false" outlineLevel="0" collapsed="false">
      <c r="A130" s="32" t="str">
        <f aca="false">IF(OR(TRIM(C130)="",SUBSTITUTE(C130," ","")="소계"),"제외",IF(ISNUMBER(SEARCH("홍콩",C130)),"HK",IF(ISNUMBER(SEARCH("상해",C130)),"CN",IF(ISNUMBER(SEARCH("대만",C130)),"TW","홀세일"))))</f>
        <v>TW</v>
      </c>
      <c r="B130" s="36" t="s">
        <v>98</v>
      </c>
      <c r="C130" s="36" t="s">
        <v>99</v>
      </c>
      <c r="D130" s="37" t="s">
        <v>123</v>
      </c>
      <c r="E130" s="36" t="n">
        <v>2026</v>
      </c>
      <c r="F130" s="37" t="s">
        <v>363</v>
      </c>
      <c r="G130" s="37" t="s">
        <v>102</v>
      </c>
      <c r="H130" s="36" t="s">
        <v>131</v>
      </c>
      <c r="I130" s="36" t="s">
        <v>370</v>
      </c>
      <c r="J130" s="37" t="s">
        <v>371</v>
      </c>
      <c r="K130" s="38" t="n">
        <v>200</v>
      </c>
      <c r="L130" s="38" t="n">
        <v>13800000</v>
      </c>
      <c r="M130" s="38" t="n">
        <v>5346800</v>
      </c>
      <c r="N130" s="39" t="n">
        <f aca="false">IF(A130="제외",0,IF(OR(N(L130)&lt;=0,N(M130)&gt;N(L130)),N(M130)/요약!$D$27,N(L130)))</f>
        <v>13800000</v>
      </c>
      <c r="O130" s="32" t="str">
        <f aca="false">IF(A130="제외","",IF(OR(N(L130)&lt;=0,N(M130)&gt;N(L130)),"택가보정(판매금액÷공급율)",""))</f>
        <v/>
      </c>
      <c r="P130" s="0" t="str">
        <f aca="false">IF(A130="HK","100",IF(A130="CN","200",IF(A130="TW","300",IF(ISNUMBER(SEARCH("태국",C130)),"500",IF(ISNUMBER(SEARCH("말레이",C130)),"600",IF(ISNUMBER(SEARCH("필리핀",C130)),"700",IF(ISNUMBER(SEARCH("인도네시아",C130)),"800",IF(ISNUMBER(SEARCH("크루즈",C130)),"810",IF(ISNUMBER(SEARCH("동물원",C130)),"830","")))))))))</f>
        <v>300</v>
      </c>
    </row>
    <row r="131" customFormat="false" ht="15" hidden="false" customHeight="false" outlineLevel="0" collapsed="false">
      <c r="A131" s="32" t="str">
        <f aca="false">IF(OR(TRIM(C131)="",SUBSTITUTE(C131," ","")="소계"),"제외",IF(ISNUMBER(SEARCH("홍콩",C131)),"HK",IF(ISNUMBER(SEARCH("상해",C131)),"CN",IF(ISNUMBER(SEARCH("대만",C131)),"TW","홀세일"))))</f>
        <v>TW</v>
      </c>
      <c r="B131" s="36" t="s">
        <v>98</v>
      </c>
      <c r="C131" s="36" t="s">
        <v>99</v>
      </c>
      <c r="D131" s="37" t="s">
        <v>123</v>
      </c>
      <c r="E131" s="36" t="n">
        <v>2026</v>
      </c>
      <c r="F131" s="37" t="s">
        <v>363</v>
      </c>
      <c r="G131" s="37" t="s">
        <v>102</v>
      </c>
      <c r="H131" s="36" t="s">
        <v>131</v>
      </c>
      <c r="I131" s="36" t="s">
        <v>372</v>
      </c>
      <c r="J131" s="36" t="s">
        <v>373</v>
      </c>
      <c r="K131" s="38" t="n">
        <v>400</v>
      </c>
      <c r="L131" s="38" t="n">
        <v>39600000</v>
      </c>
      <c r="M131" s="38" t="n">
        <v>13997200</v>
      </c>
      <c r="N131" s="39" t="n">
        <f aca="false">IF(A131="제외",0,IF(OR(N(L131)&lt;=0,N(M131)&gt;N(L131)),N(M131)/요약!$D$27,N(L131)))</f>
        <v>39600000</v>
      </c>
      <c r="O131" s="32" t="str">
        <f aca="false">IF(A131="제외","",IF(OR(N(L131)&lt;=0,N(M131)&gt;N(L131)),"택가보정(판매금액÷공급율)",""))</f>
        <v/>
      </c>
      <c r="P131" s="0" t="str">
        <f aca="false">IF(A131="HK","100",IF(A131="CN","200",IF(A131="TW","300",IF(ISNUMBER(SEARCH("태국",C131)),"500",IF(ISNUMBER(SEARCH("말레이",C131)),"600",IF(ISNUMBER(SEARCH("필리핀",C131)),"700",IF(ISNUMBER(SEARCH("인도네시아",C131)),"800",IF(ISNUMBER(SEARCH("크루즈",C131)),"810",IF(ISNUMBER(SEARCH("동물원",C131)),"830","")))))))))</f>
        <v>300</v>
      </c>
    </row>
    <row r="132" customFormat="false" ht="15" hidden="false" customHeight="false" outlineLevel="0" collapsed="false">
      <c r="A132" s="32" t="str">
        <f aca="false">IF(OR(TRIM(C132)="",SUBSTITUTE(C132," ","")="소계"),"제외",IF(ISNUMBER(SEARCH("홍콩",C132)),"HK",IF(ISNUMBER(SEARCH("상해",C132)),"CN",IF(ISNUMBER(SEARCH("대만",C132)),"TW","홀세일"))))</f>
        <v>TW</v>
      </c>
      <c r="B132" s="36" t="s">
        <v>98</v>
      </c>
      <c r="C132" s="36" t="s">
        <v>99</v>
      </c>
      <c r="D132" s="37" t="s">
        <v>123</v>
      </c>
      <c r="E132" s="36" t="n">
        <v>2026</v>
      </c>
      <c r="F132" s="37" t="s">
        <v>363</v>
      </c>
      <c r="G132" s="37" t="s">
        <v>102</v>
      </c>
      <c r="H132" s="36" t="s">
        <v>131</v>
      </c>
      <c r="I132" s="36" t="s">
        <v>374</v>
      </c>
      <c r="J132" s="36" t="s">
        <v>375</v>
      </c>
      <c r="K132" s="38" t="n">
        <v>500</v>
      </c>
      <c r="L132" s="38" t="n">
        <v>34500000</v>
      </c>
      <c r="M132" s="38" t="n">
        <v>12205000</v>
      </c>
      <c r="N132" s="39" t="n">
        <f aca="false">IF(A132="제외",0,IF(OR(N(L132)&lt;=0,N(M132)&gt;N(L132)),N(M132)/요약!$D$27,N(L132)))</f>
        <v>34500000</v>
      </c>
      <c r="O132" s="32" t="str">
        <f aca="false">IF(A132="제외","",IF(OR(N(L132)&lt;=0,N(M132)&gt;N(L132)),"택가보정(판매금액÷공급율)",""))</f>
        <v/>
      </c>
      <c r="P132" s="0" t="str">
        <f aca="false">IF(A132="HK","100",IF(A132="CN","200",IF(A132="TW","300",IF(ISNUMBER(SEARCH("태국",C132)),"500",IF(ISNUMBER(SEARCH("말레이",C132)),"600",IF(ISNUMBER(SEARCH("필리핀",C132)),"700",IF(ISNUMBER(SEARCH("인도네시아",C132)),"800",IF(ISNUMBER(SEARCH("크루즈",C132)),"810",IF(ISNUMBER(SEARCH("동물원",C132)),"830","")))))))))</f>
        <v>300</v>
      </c>
    </row>
    <row r="133" customFormat="false" ht="15" hidden="false" customHeight="false" outlineLevel="0" collapsed="false">
      <c r="A133" s="32" t="str">
        <f aca="false">IF(OR(TRIM(C133)="",SUBSTITUTE(C133," ","")="소계"),"제외",IF(ISNUMBER(SEARCH("홍콩",C133)),"HK",IF(ISNUMBER(SEARCH("상해",C133)),"CN",IF(ISNUMBER(SEARCH("대만",C133)),"TW","홀세일"))))</f>
        <v>TW</v>
      </c>
      <c r="B133" s="36" t="s">
        <v>98</v>
      </c>
      <c r="C133" s="36" t="s">
        <v>99</v>
      </c>
      <c r="D133" s="37" t="s">
        <v>123</v>
      </c>
      <c r="E133" s="36" t="n">
        <v>2026</v>
      </c>
      <c r="F133" s="37" t="s">
        <v>363</v>
      </c>
      <c r="G133" s="37" t="s">
        <v>102</v>
      </c>
      <c r="H133" s="36" t="s">
        <v>131</v>
      </c>
      <c r="I133" s="36" t="s">
        <v>376</v>
      </c>
      <c r="J133" s="36" t="s">
        <v>377</v>
      </c>
      <c r="K133" s="38" t="n">
        <v>150</v>
      </c>
      <c r="L133" s="38" t="n">
        <v>13350000</v>
      </c>
      <c r="M133" s="38" t="n">
        <v>4719750</v>
      </c>
      <c r="N133" s="39" t="n">
        <f aca="false">IF(A133="제외",0,IF(OR(N(L133)&lt;=0,N(M133)&gt;N(L133)),N(M133)/요약!$D$27,N(L133)))</f>
        <v>13350000</v>
      </c>
      <c r="O133" s="32" t="str">
        <f aca="false">IF(A133="제외","",IF(OR(N(L133)&lt;=0,N(M133)&gt;N(L133)),"택가보정(판매금액÷공급율)",""))</f>
        <v/>
      </c>
      <c r="P133" s="0" t="str">
        <f aca="false">IF(A133="HK","100",IF(A133="CN","200",IF(A133="TW","300",IF(ISNUMBER(SEARCH("태국",C133)),"500",IF(ISNUMBER(SEARCH("말레이",C133)),"600",IF(ISNUMBER(SEARCH("필리핀",C133)),"700",IF(ISNUMBER(SEARCH("인도네시아",C133)),"800",IF(ISNUMBER(SEARCH("크루즈",C133)),"810",IF(ISNUMBER(SEARCH("동물원",C133)),"830","")))))))))</f>
        <v>300</v>
      </c>
    </row>
    <row r="134" customFormat="false" ht="15" hidden="false" customHeight="false" outlineLevel="0" collapsed="false">
      <c r="A134" s="32" t="str">
        <f aca="false">IF(OR(TRIM(C134)="",SUBSTITUTE(C134," ","")="소계"),"제외",IF(ISNUMBER(SEARCH("홍콩",C134)),"HK",IF(ISNUMBER(SEARCH("상해",C134)),"CN",IF(ISNUMBER(SEARCH("대만",C134)),"TW","홀세일"))))</f>
        <v>TW</v>
      </c>
      <c r="B134" s="36" t="s">
        <v>98</v>
      </c>
      <c r="C134" s="36" t="s">
        <v>99</v>
      </c>
      <c r="D134" s="37" t="s">
        <v>123</v>
      </c>
      <c r="E134" s="36" t="n">
        <v>2026</v>
      </c>
      <c r="F134" s="37" t="s">
        <v>363</v>
      </c>
      <c r="G134" s="37" t="s">
        <v>102</v>
      </c>
      <c r="H134" s="36" t="s">
        <v>131</v>
      </c>
      <c r="I134" s="36" t="s">
        <v>378</v>
      </c>
      <c r="J134" s="36" t="s">
        <v>379</v>
      </c>
      <c r="K134" s="38" t="n">
        <v>250</v>
      </c>
      <c r="L134" s="38" t="n">
        <v>19750000</v>
      </c>
      <c r="M134" s="38" t="n">
        <v>6984500</v>
      </c>
      <c r="N134" s="39" t="n">
        <f aca="false">IF(A134="제외",0,IF(OR(N(L134)&lt;=0,N(M134)&gt;N(L134)),N(M134)/요약!$D$27,N(L134)))</f>
        <v>19750000</v>
      </c>
      <c r="O134" s="32" t="str">
        <f aca="false">IF(A134="제외","",IF(OR(N(L134)&lt;=0,N(M134)&gt;N(L134)),"택가보정(판매금액÷공급율)",""))</f>
        <v/>
      </c>
      <c r="P134" s="0" t="str">
        <f aca="false">IF(A134="HK","100",IF(A134="CN","200",IF(A134="TW","300",IF(ISNUMBER(SEARCH("태국",C134)),"500",IF(ISNUMBER(SEARCH("말레이",C134)),"600",IF(ISNUMBER(SEARCH("필리핀",C134)),"700",IF(ISNUMBER(SEARCH("인도네시아",C134)),"800",IF(ISNUMBER(SEARCH("크루즈",C134)),"810",IF(ISNUMBER(SEARCH("동물원",C134)),"830","")))))))))</f>
        <v>300</v>
      </c>
    </row>
    <row r="135" customFormat="false" ht="15" hidden="false" customHeight="false" outlineLevel="0" collapsed="false">
      <c r="A135" s="32" t="str">
        <f aca="false">IF(OR(TRIM(C135)="",SUBSTITUTE(C135," ","")="소계"),"제외",IF(ISNUMBER(SEARCH("홍콩",C135)),"HK",IF(ISNUMBER(SEARCH("상해",C135)),"CN",IF(ISNUMBER(SEARCH("대만",C135)),"TW","홀세일"))))</f>
        <v>TW</v>
      </c>
      <c r="B135" s="36" t="s">
        <v>98</v>
      </c>
      <c r="C135" s="36" t="s">
        <v>99</v>
      </c>
      <c r="D135" s="37" t="s">
        <v>123</v>
      </c>
      <c r="E135" s="36" t="n">
        <v>2026</v>
      </c>
      <c r="F135" s="37" t="s">
        <v>363</v>
      </c>
      <c r="G135" s="37" t="s">
        <v>102</v>
      </c>
      <c r="H135" s="36" t="s">
        <v>131</v>
      </c>
      <c r="I135" s="36" t="s">
        <v>380</v>
      </c>
      <c r="J135" s="37" t="s">
        <v>381</v>
      </c>
      <c r="K135" s="38" t="n">
        <v>100</v>
      </c>
      <c r="L135" s="38" t="n">
        <v>5900000</v>
      </c>
      <c r="M135" s="38" t="n">
        <v>1980500</v>
      </c>
      <c r="N135" s="39" t="n">
        <f aca="false">IF(A135="제외",0,IF(OR(N(L135)&lt;=0,N(M135)&gt;N(L135)),N(M135)/요약!$D$27,N(L135)))</f>
        <v>5900000</v>
      </c>
      <c r="O135" s="32" t="str">
        <f aca="false">IF(A135="제외","",IF(OR(N(L135)&lt;=0,N(M135)&gt;N(L135)),"택가보정(판매금액÷공급율)",""))</f>
        <v/>
      </c>
      <c r="P135" s="0" t="str">
        <f aca="false">IF(A135="HK","100",IF(A135="CN","200",IF(A135="TW","300",IF(ISNUMBER(SEARCH("태국",C135)),"500",IF(ISNUMBER(SEARCH("말레이",C135)),"600",IF(ISNUMBER(SEARCH("필리핀",C135)),"700",IF(ISNUMBER(SEARCH("인도네시아",C135)),"800",IF(ISNUMBER(SEARCH("크루즈",C135)),"810",IF(ISNUMBER(SEARCH("동물원",C135)),"830","")))))))))</f>
        <v>300</v>
      </c>
    </row>
    <row r="136" customFormat="false" ht="15" hidden="false" customHeight="false" outlineLevel="0" collapsed="false">
      <c r="A136" s="32" t="str">
        <f aca="false">IF(OR(TRIM(C136)="",SUBSTITUTE(C136," ","")="소계"),"제외",IF(ISNUMBER(SEARCH("홍콩",C136)),"HK",IF(ISNUMBER(SEARCH("상해",C136)),"CN",IF(ISNUMBER(SEARCH("대만",C136)),"TW","홀세일"))))</f>
        <v>TW</v>
      </c>
      <c r="B136" s="36" t="s">
        <v>98</v>
      </c>
      <c r="C136" s="36" t="s">
        <v>99</v>
      </c>
      <c r="D136" s="37" t="s">
        <v>123</v>
      </c>
      <c r="E136" s="36" t="n">
        <v>2026</v>
      </c>
      <c r="F136" s="37" t="s">
        <v>363</v>
      </c>
      <c r="G136" s="37" t="s">
        <v>102</v>
      </c>
      <c r="H136" s="36" t="s">
        <v>131</v>
      </c>
      <c r="I136" s="36" t="s">
        <v>382</v>
      </c>
      <c r="J136" s="37" t="s">
        <v>383</v>
      </c>
      <c r="K136" s="38" t="n">
        <v>100</v>
      </c>
      <c r="L136" s="38" t="n">
        <v>6900000</v>
      </c>
      <c r="M136" s="38" t="n">
        <v>2315100</v>
      </c>
      <c r="N136" s="39" t="n">
        <f aca="false">IF(A136="제외",0,IF(OR(N(L136)&lt;=0,N(M136)&gt;N(L136)),N(M136)/요약!$D$27,N(L136)))</f>
        <v>6900000</v>
      </c>
      <c r="O136" s="32" t="str">
        <f aca="false">IF(A136="제외","",IF(OR(N(L136)&lt;=0,N(M136)&gt;N(L136)),"택가보정(판매금액÷공급율)",""))</f>
        <v/>
      </c>
      <c r="P136" s="0" t="str">
        <f aca="false">IF(A136="HK","100",IF(A136="CN","200",IF(A136="TW","300",IF(ISNUMBER(SEARCH("태국",C136)),"500",IF(ISNUMBER(SEARCH("말레이",C136)),"600",IF(ISNUMBER(SEARCH("필리핀",C136)),"700",IF(ISNUMBER(SEARCH("인도네시아",C136)),"800",IF(ISNUMBER(SEARCH("크루즈",C136)),"810",IF(ISNUMBER(SEARCH("동물원",C136)),"830","")))))))))</f>
        <v>300</v>
      </c>
    </row>
    <row r="137" customFormat="false" ht="15" hidden="false" customHeight="false" outlineLevel="0" collapsed="false">
      <c r="A137" s="32" t="str">
        <f aca="false">IF(OR(TRIM(C137)="",SUBSTITUTE(C137," ","")="소계"),"제외",IF(ISNUMBER(SEARCH("홍콩",C137)),"HK",IF(ISNUMBER(SEARCH("상해",C137)),"CN",IF(ISNUMBER(SEARCH("대만",C137)),"TW","홀세일"))))</f>
        <v>TW</v>
      </c>
      <c r="B137" s="36" t="s">
        <v>98</v>
      </c>
      <c r="C137" s="36" t="s">
        <v>99</v>
      </c>
      <c r="D137" s="37" t="s">
        <v>123</v>
      </c>
      <c r="E137" s="36" t="n">
        <v>2026</v>
      </c>
      <c r="F137" s="37" t="s">
        <v>363</v>
      </c>
      <c r="G137" s="37" t="s">
        <v>102</v>
      </c>
      <c r="H137" s="36" t="s">
        <v>131</v>
      </c>
      <c r="I137" s="36" t="s">
        <v>384</v>
      </c>
      <c r="J137" s="36" t="s">
        <v>385</v>
      </c>
      <c r="K137" s="38" t="n">
        <v>100</v>
      </c>
      <c r="L137" s="38" t="n">
        <v>7900000</v>
      </c>
      <c r="M137" s="38" t="n">
        <v>2649600</v>
      </c>
      <c r="N137" s="39" t="n">
        <f aca="false">IF(A137="제외",0,IF(OR(N(L137)&lt;=0,N(M137)&gt;N(L137)),N(M137)/요약!$D$27,N(L137)))</f>
        <v>7900000</v>
      </c>
      <c r="O137" s="32" t="str">
        <f aca="false">IF(A137="제외","",IF(OR(N(L137)&lt;=0,N(M137)&gt;N(L137)),"택가보정(판매금액÷공급율)",""))</f>
        <v/>
      </c>
      <c r="P137" s="0" t="str">
        <f aca="false">IF(A137="HK","100",IF(A137="CN","200",IF(A137="TW","300",IF(ISNUMBER(SEARCH("태국",C137)),"500",IF(ISNUMBER(SEARCH("말레이",C137)),"600",IF(ISNUMBER(SEARCH("필리핀",C137)),"700",IF(ISNUMBER(SEARCH("인도네시아",C137)),"800",IF(ISNUMBER(SEARCH("크루즈",C137)),"810",IF(ISNUMBER(SEARCH("동물원",C137)),"830","")))))))))</f>
        <v>300</v>
      </c>
    </row>
    <row r="138" customFormat="false" ht="15" hidden="false" customHeight="false" outlineLevel="0" collapsed="false">
      <c r="A138" s="32" t="str">
        <f aca="false">IF(OR(TRIM(C138)="",SUBSTITUTE(C138," ","")="소계"),"제외",IF(ISNUMBER(SEARCH("홍콩",C138)),"HK",IF(ISNUMBER(SEARCH("상해",C138)),"CN",IF(ISNUMBER(SEARCH("대만",C138)),"TW","홀세일"))))</f>
        <v>TW</v>
      </c>
      <c r="B138" s="36" t="s">
        <v>98</v>
      </c>
      <c r="C138" s="36" t="s">
        <v>99</v>
      </c>
      <c r="D138" s="37" t="s">
        <v>123</v>
      </c>
      <c r="E138" s="36" t="n">
        <v>2026</v>
      </c>
      <c r="F138" s="37" t="s">
        <v>363</v>
      </c>
      <c r="G138" s="37" t="s">
        <v>102</v>
      </c>
      <c r="H138" s="36" t="s">
        <v>131</v>
      </c>
      <c r="I138" s="36" t="s">
        <v>386</v>
      </c>
      <c r="J138" s="37" t="s">
        <v>387</v>
      </c>
      <c r="K138" s="38" t="n">
        <v>300</v>
      </c>
      <c r="L138" s="38" t="n">
        <v>14700000</v>
      </c>
      <c r="M138" s="38" t="n">
        <v>5018400</v>
      </c>
      <c r="N138" s="39" t="n">
        <f aca="false">IF(A138="제외",0,IF(OR(N(L138)&lt;=0,N(M138)&gt;N(L138)),N(M138)/요약!$D$27,N(L138)))</f>
        <v>14700000</v>
      </c>
      <c r="O138" s="32" t="str">
        <f aca="false">IF(A138="제외","",IF(OR(N(L138)&lt;=0,N(M138)&gt;N(L138)),"택가보정(판매금액÷공급율)",""))</f>
        <v/>
      </c>
      <c r="P138" s="0" t="str">
        <f aca="false">IF(A138="HK","100",IF(A138="CN","200",IF(A138="TW","300",IF(ISNUMBER(SEARCH("태국",C138)),"500",IF(ISNUMBER(SEARCH("말레이",C138)),"600",IF(ISNUMBER(SEARCH("필리핀",C138)),"700",IF(ISNUMBER(SEARCH("인도네시아",C138)),"800",IF(ISNUMBER(SEARCH("크루즈",C138)),"810",IF(ISNUMBER(SEARCH("동물원",C138)),"830","")))))))))</f>
        <v>300</v>
      </c>
    </row>
    <row r="139" customFormat="false" ht="15" hidden="false" customHeight="false" outlineLevel="0" collapsed="false">
      <c r="A139" s="32" t="str">
        <f aca="false">IF(OR(TRIM(C139)="",SUBSTITUTE(C139," ","")="소계"),"제외",IF(ISNUMBER(SEARCH("홍콩",C139)),"HK",IF(ISNUMBER(SEARCH("상해",C139)),"CN",IF(ISNUMBER(SEARCH("대만",C139)),"TW","홀세일"))))</f>
        <v>TW</v>
      </c>
      <c r="B139" s="36" t="s">
        <v>98</v>
      </c>
      <c r="C139" s="36" t="s">
        <v>99</v>
      </c>
      <c r="D139" s="37" t="s">
        <v>123</v>
      </c>
      <c r="E139" s="36" t="n">
        <v>2026</v>
      </c>
      <c r="F139" s="37" t="s">
        <v>363</v>
      </c>
      <c r="G139" s="37" t="s">
        <v>102</v>
      </c>
      <c r="H139" s="36" t="s">
        <v>131</v>
      </c>
      <c r="I139" s="36" t="s">
        <v>388</v>
      </c>
      <c r="J139" s="36" t="s">
        <v>389</v>
      </c>
      <c r="K139" s="38" t="n">
        <v>330</v>
      </c>
      <c r="L139" s="38" t="n">
        <v>19470000</v>
      </c>
      <c r="M139" s="38" t="n">
        <v>6535650</v>
      </c>
      <c r="N139" s="39" t="n">
        <f aca="false">IF(A139="제외",0,IF(OR(N(L139)&lt;=0,N(M139)&gt;N(L139)),N(M139)/요약!$D$27,N(L139)))</f>
        <v>19470000</v>
      </c>
      <c r="O139" s="32" t="str">
        <f aca="false">IF(A139="제외","",IF(OR(N(L139)&lt;=0,N(M139)&gt;N(L139)),"택가보정(판매금액÷공급율)",""))</f>
        <v/>
      </c>
      <c r="P139" s="0" t="str">
        <f aca="false">IF(A139="HK","100",IF(A139="CN","200",IF(A139="TW","300",IF(ISNUMBER(SEARCH("태국",C139)),"500",IF(ISNUMBER(SEARCH("말레이",C139)),"600",IF(ISNUMBER(SEARCH("필리핀",C139)),"700",IF(ISNUMBER(SEARCH("인도네시아",C139)),"800",IF(ISNUMBER(SEARCH("크루즈",C139)),"810",IF(ISNUMBER(SEARCH("동물원",C139)),"830","")))))))))</f>
        <v>300</v>
      </c>
    </row>
    <row r="140" customFormat="false" ht="15" hidden="false" customHeight="false" outlineLevel="0" collapsed="false">
      <c r="A140" s="32" t="str">
        <f aca="false">IF(OR(TRIM(C140)="",SUBSTITUTE(C140," ","")="소계"),"제외",IF(ISNUMBER(SEARCH("홍콩",C140)),"HK",IF(ISNUMBER(SEARCH("상해",C140)),"CN",IF(ISNUMBER(SEARCH("대만",C140)),"TW","홀세일"))))</f>
        <v>TW</v>
      </c>
      <c r="B140" s="36" t="s">
        <v>98</v>
      </c>
      <c r="C140" s="36" t="s">
        <v>99</v>
      </c>
      <c r="D140" s="37" t="s">
        <v>123</v>
      </c>
      <c r="E140" s="36" t="n">
        <v>2026</v>
      </c>
      <c r="F140" s="37" t="s">
        <v>363</v>
      </c>
      <c r="G140" s="37" t="s">
        <v>102</v>
      </c>
      <c r="H140" s="36" t="s">
        <v>131</v>
      </c>
      <c r="I140" s="36" t="s">
        <v>390</v>
      </c>
      <c r="J140" s="36" t="s">
        <v>391</v>
      </c>
      <c r="K140" s="38" t="n">
        <v>270</v>
      </c>
      <c r="L140" s="38" t="n">
        <v>13230000</v>
      </c>
      <c r="M140" s="38" t="n">
        <v>4444200</v>
      </c>
      <c r="N140" s="39" t="n">
        <f aca="false">IF(A140="제외",0,IF(OR(N(L140)&lt;=0,N(M140)&gt;N(L140)),N(M140)/요약!$D$27,N(L140)))</f>
        <v>13230000</v>
      </c>
      <c r="O140" s="32" t="str">
        <f aca="false">IF(A140="제외","",IF(OR(N(L140)&lt;=0,N(M140)&gt;N(L140)),"택가보정(판매금액÷공급율)",""))</f>
        <v/>
      </c>
      <c r="P140" s="0" t="str">
        <f aca="false">IF(A140="HK","100",IF(A140="CN","200",IF(A140="TW","300",IF(ISNUMBER(SEARCH("태국",C140)),"500",IF(ISNUMBER(SEARCH("말레이",C140)),"600",IF(ISNUMBER(SEARCH("필리핀",C140)),"700",IF(ISNUMBER(SEARCH("인도네시아",C140)),"800",IF(ISNUMBER(SEARCH("크루즈",C140)),"810",IF(ISNUMBER(SEARCH("동물원",C140)),"830","")))))))))</f>
        <v>300</v>
      </c>
    </row>
    <row r="141" customFormat="false" ht="15" hidden="false" customHeight="false" outlineLevel="0" collapsed="false">
      <c r="A141" s="32" t="str">
        <f aca="false">IF(OR(TRIM(C141)="",SUBSTITUTE(C141," ","")="소계"),"제외",IF(ISNUMBER(SEARCH("홍콩",C141)),"HK",IF(ISNUMBER(SEARCH("상해",C141)),"CN",IF(ISNUMBER(SEARCH("대만",C141)),"TW","홀세일"))))</f>
        <v>TW</v>
      </c>
      <c r="B141" s="36" t="s">
        <v>98</v>
      </c>
      <c r="C141" s="36" t="s">
        <v>99</v>
      </c>
      <c r="D141" s="37" t="s">
        <v>123</v>
      </c>
      <c r="E141" s="36" t="n">
        <v>2026</v>
      </c>
      <c r="F141" s="37" t="s">
        <v>363</v>
      </c>
      <c r="G141" s="37" t="s">
        <v>102</v>
      </c>
      <c r="H141" s="36" t="s">
        <v>131</v>
      </c>
      <c r="I141" s="36" t="s">
        <v>392</v>
      </c>
      <c r="J141" s="36" t="s">
        <v>393</v>
      </c>
      <c r="K141" s="38" t="n">
        <v>200</v>
      </c>
      <c r="L141" s="38" t="n">
        <v>9800000</v>
      </c>
      <c r="M141" s="38" t="n">
        <v>3292000</v>
      </c>
      <c r="N141" s="39" t="n">
        <f aca="false">IF(A141="제외",0,IF(OR(N(L141)&lt;=0,N(M141)&gt;N(L141)),N(M141)/요약!$D$27,N(L141)))</f>
        <v>9800000</v>
      </c>
      <c r="O141" s="32" t="str">
        <f aca="false">IF(A141="제외","",IF(OR(N(L141)&lt;=0,N(M141)&gt;N(L141)),"택가보정(판매금액÷공급율)",""))</f>
        <v/>
      </c>
      <c r="P141" s="0" t="str">
        <f aca="false">IF(A141="HK","100",IF(A141="CN","200",IF(A141="TW","300",IF(ISNUMBER(SEARCH("태국",C141)),"500",IF(ISNUMBER(SEARCH("말레이",C141)),"600",IF(ISNUMBER(SEARCH("필리핀",C141)),"700",IF(ISNUMBER(SEARCH("인도네시아",C141)),"800",IF(ISNUMBER(SEARCH("크루즈",C141)),"810",IF(ISNUMBER(SEARCH("동물원",C141)),"830","")))))))))</f>
        <v>300</v>
      </c>
    </row>
    <row r="142" customFormat="false" ht="15" hidden="false" customHeight="false" outlineLevel="0" collapsed="false">
      <c r="A142" s="32" t="str">
        <f aca="false">IF(OR(TRIM(C142)="",SUBSTITUTE(C142," ","")="소계"),"제외",IF(ISNUMBER(SEARCH("홍콩",C142)),"HK",IF(ISNUMBER(SEARCH("상해",C142)),"CN",IF(ISNUMBER(SEARCH("대만",C142)),"TW","홀세일"))))</f>
        <v>TW</v>
      </c>
      <c r="B142" s="36" t="s">
        <v>98</v>
      </c>
      <c r="C142" s="36" t="s">
        <v>99</v>
      </c>
      <c r="D142" s="37" t="s">
        <v>123</v>
      </c>
      <c r="E142" s="36" t="n">
        <v>2026</v>
      </c>
      <c r="F142" s="37" t="s">
        <v>363</v>
      </c>
      <c r="G142" s="37" t="s">
        <v>102</v>
      </c>
      <c r="H142" s="36" t="s">
        <v>131</v>
      </c>
      <c r="I142" s="36" t="s">
        <v>394</v>
      </c>
      <c r="J142" s="37" t="s">
        <v>395</v>
      </c>
      <c r="K142" s="38" t="n">
        <v>120</v>
      </c>
      <c r="L142" s="38" t="n">
        <v>7080000</v>
      </c>
      <c r="M142" s="38" t="n">
        <v>2376600</v>
      </c>
      <c r="N142" s="39" t="n">
        <f aca="false">IF(A142="제외",0,IF(OR(N(L142)&lt;=0,N(M142)&gt;N(L142)),N(M142)/요약!$D$27,N(L142)))</f>
        <v>7080000</v>
      </c>
      <c r="O142" s="32" t="str">
        <f aca="false">IF(A142="제외","",IF(OR(N(L142)&lt;=0,N(M142)&gt;N(L142)),"택가보정(판매금액÷공급율)",""))</f>
        <v/>
      </c>
      <c r="P142" s="0" t="str">
        <f aca="false">IF(A142="HK","100",IF(A142="CN","200",IF(A142="TW","300",IF(ISNUMBER(SEARCH("태국",C142)),"500",IF(ISNUMBER(SEARCH("말레이",C142)),"600",IF(ISNUMBER(SEARCH("필리핀",C142)),"700",IF(ISNUMBER(SEARCH("인도네시아",C142)),"800",IF(ISNUMBER(SEARCH("크루즈",C142)),"810",IF(ISNUMBER(SEARCH("동물원",C142)),"830","")))))))))</f>
        <v>300</v>
      </c>
    </row>
    <row r="143" customFormat="false" ht="15" hidden="false" customHeight="false" outlineLevel="0" collapsed="false">
      <c r="A143" s="32" t="str">
        <f aca="false">IF(OR(TRIM(C143)="",SUBSTITUTE(C143," ","")="소계"),"제외",IF(ISNUMBER(SEARCH("홍콩",C143)),"HK",IF(ISNUMBER(SEARCH("상해",C143)),"CN",IF(ISNUMBER(SEARCH("대만",C143)),"TW","홀세일"))))</f>
        <v>TW</v>
      </c>
      <c r="B143" s="36" t="s">
        <v>98</v>
      </c>
      <c r="C143" s="36" t="s">
        <v>99</v>
      </c>
      <c r="D143" s="37" t="s">
        <v>123</v>
      </c>
      <c r="E143" s="36" t="n">
        <v>2026</v>
      </c>
      <c r="F143" s="37" t="s">
        <v>363</v>
      </c>
      <c r="G143" s="37" t="s">
        <v>102</v>
      </c>
      <c r="H143" s="36" t="s">
        <v>131</v>
      </c>
      <c r="I143" s="36" t="s">
        <v>396</v>
      </c>
      <c r="J143" s="37" t="s">
        <v>397</v>
      </c>
      <c r="K143" s="38" t="n">
        <v>120</v>
      </c>
      <c r="L143" s="38" t="n">
        <v>17880000</v>
      </c>
      <c r="M143" s="38" t="n">
        <v>7380360</v>
      </c>
      <c r="N143" s="39" t="n">
        <f aca="false">IF(A143="제외",0,IF(OR(N(L143)&lt;=0,N(M143)&gt;N(L143)),N(M143)/요약!$D$27,N(L143)))</f>
        <v>17880000</v>
      </c>
      <c r="O143" s="32" t="str">
        <f aca="false">IF(A143="제외","",IF(OR(N(L143)&lt;=0,N(M143)&gt;N(L143)),"택가보정(판매금액÷공급율)",""))</f>
        <v/>
      </c>
      <c r="P143" s="0" t="str">
        <f aca="false">IF(A143="HK","100",IF(A143="CN","200",IF(A143="TW","300",IF(ISNUMBER(SEARCH("태국",C143)),"500",IF(ISNUMBER(SEARCH("말레이",C143)),"600",IF(ISNUMBER(SEARCH("필리핀",C143)),"700",IF(ISNUMBER(SEARCH("인도네시아",C143)),"800",IF(ISNUMBER(SEARCH("크루즈",C143)),"810",IF(ISNUMBER(SEARCH("동물원",C143)),"830","")))))))))</f>
        <v>300</v>
      </c>
    </row>
    <row r="144" customFormat="false" ht="15" hidden="false" customHeight="false" outlineLevel="0" collapsed="false">
      <c r="A144" s="32" t="str">
        <f aca="false">IF(OR(TRIM(C144)="",SUBSTITUTE(C144," ","")="소계"),"제외",IF(ISNUMBER(SEARCH("홍콩",C144)),"HK",IF(ISNUMBER(SEARCH("상해",C144)),"CN",IF(ISNUMBER(SEARCH("대만",C144)),"TW","홀세일"))))</f>
        <v>TW</v>
      </c>
      <c r="B144" s="36" t="s">
        <v>98</v>
      </c>
      <c r="C144" s="36" t="s">
        <v>99</v>
      </c>
      <c r="D144" s="37" t="s">
        <v>123</v>
      </c>
      <c r="E144" s="36" t="n">
        <v>2026</v>
      </c>
      <c r="F144" s="37" t="s">
        <v>363</v>
      </c>
      <c r="G144" s="37" t="s">
        <v>124</v>
      </c>
      <c r="H144" s="36" t="s">
        <v>131</v>
      </c>
      <c r="I144" s="36" t="s">
        <v>398</v>
      </c>
      <c r="J144" s="37" t="s">
        <v>399</v>
      </c>
      <c r="K144" s="38" t="n">
        <v>180</v>
      </c>
      <c r="L144" s="38" t="n">
        <v>25020000</v>
      </c>
      <c r="M144" s="38" t="n">
        <v>8386380</v>
      </c>
      <c r="N144" s="39" t="n">
        <f aca="false">IF(A144="제외",0,IF(OR(N(L144)&lt;=0,N(M144)&gt;N(L144)),N(M144)/요약!$D$27,N(L144)))</f>
        <v>25020000</v>
      </c>
      <c r="O144" s="32" t="str">
        <f aca="false">IF(A144="제외","",IF(OR(N(L144)&lt;=0,N(M144)&gt;N(L144)),"택가보정(판매금액÷공급율)",""))</f>
        <v/>
      </c>
      <c r="P144" s="0" t="str">
        <f aca="false">IF(A144="HK","100",IF(A144="CN","200",IF(A144="TW","300",IF(ISNUMBER(SEARCH("태국",C144)),"500",IF(ISNUMBER(SEARCH("말레이",C144)),"600",IF(ISNUMBER(SEARCH("필리핀",C144)),"700",IF(ISNUMBER(SEARCH("인도네시아",C144)),"800",IF(ISNUMBER(SEARCH("크루즈",C144)),"810",IF(ISNUMBER(SEARCH("동물원",C144)),"830","")))))))))</f>
        <v>300</v>
      </c>
    </row>
    <row r="145" customFormat="false" ht="15" hidden="false" customHeight="false" outlineLevel="0" collapsed="false">
      <c r="A145" s="32" t="str">
        <f aca="false">IF(OR(TRIM(C145)="",SUBSTITUTE(C145," ","")="소계"),"제외",IF(ISNUMBER(SEARCH("홍콩",C145)),"HK",IF(ISNUMBER(SEARCH("상해",C145)),"CN",IF(ISNUMBER(SEARCH("대만",C145)),"TW","홀세일"))))</f>
        <v>TW</v>
      </c>
      <c r="B145" s="36" t="s">
        <v>98</v>
      </c>
      <c r="C145" s="36" t="s">
        <v>99</v>
      </c>
      <c r="D145" s="37" t="s">
        <v>123</v>
      </c>
      <c r="E145" s="36" t="n">
        <v>2026</v>
      </c>
      <c r="F145" s="37" t="s">
        <v>363</v>
      </c>
      <c r="G145" s="37" t="s">
        <v>124</v>
      </c>
      <c r="H145" s="36" t="s">
        <v>131</v>
      </c>
      <c r="I145" s="36" t="s">
        <v>400</v>
      </c>
      <c r="J145" s="36" t="s">
        <v>401</v>
      </c>
      <c r="K145" s="38" t="n">
        <v>130</v>
      </c>
      <c r="L145" s="38" t="n">
        <v>21970000</v>
      </c>
      <c r="M145" s="38" t="n">
        <v>7246200</v>
      </c>
      <c r="N145" s="39" t="n">
        <f aca="false">IF(A145="제외",0,IF(OR(N(L145)&lt;=0,N(M145)&gt;N(L145)),N(M145)/요약!$D$27,N(L145)))</f>
        <v>21970000</v>
      </c>
      <c r="O145" s="32" t="str">
        <f aca="false">IF(A145="제외","",IF(OR(N(L145)&lt;=0,N(M145)&gt;N(L145)),"택가보정(판매금액÷공급율)",""))</f>
        <v/>
      </c>
      <c r="P145" s="0" t="str">
        <f aca="false">IF(A145="HK","100",IF(A145="CN","200",IF(A145="TW","300",IF(ISNUMBER(SEARCH("태국",C145)),"500",IF(ISNUMBER(SEARCH("말레이",C145)),"600",IF(ISNUMBER(SEARCH("필리핀",C145)),"700",IF(ISNUMBER(SEARCH("인도네시아",C145)),"800",IF(ISNUMBER(SEARCH("크루즈",C145)),"810",IF(ISNUMBER(SEARCH("동물원",C145)),"830","")))))))))</f>
        <v>300</v>
      </c>
    </row>
    <row r="146" customFormat="false" ht="15" hidden="false" customHeight="false" outlineLevel="0" collapsed="false">
      <c r="A146" s="32" t="str">
        <f aca="false">IF(OR(TRIM(C146)="",SUBSTITUTE(C146," ","")="소계"),"제외",IF(ISNUMBER(SEARCH("홍콩",C146)),"HK",IF(ISNUMBER(SEARCH("상해",C146)),"CN",IF(ISNUMBER(SEARCH("대만",C146)),"TW","홀세일"))))</f>
        <v>TW</v>
      </c>
      <c r="B146" s="36" t="s">
        <v>98</v>
      </c>
      <c r="C146" s="36" t="s">
        <v>99</v>
      </c>
      <c r="D146" s="37" t="s">
        <v>123</v>
      </c>
      <c r="E146" s="36" t="n">
        <v>2026</v>
      </c>
      <c r="F146" s="37" t="s">
        <v>363</v>
      </c>
      <c r="G146" s="37" t="s">
        <v>124</v>
      </c>
      <c r="H146" s="36" t="s">
        <v>131</v>
      </c>
      <c r="I146" s="36" t="s">
        <v>402</v>
      </c>
      <c r="J146" s="37" t="s">
        <v>403</v>
      </c>
      <c r="K146" s="38" t="n">
        <v>180</v>
      </c>
      <c r="L146" s="38" t="n">
        <v>28620000</v>
      </c>
      <c r="M146" s="38" t="n">
        <v>9701460</v>
      </c>
      <c r="N146" s="39" t="n">
        <f aca="false">IF(A146="제외",0,IF(OR(N(L146)&lt;=0,N(M146)&gt;N(L146)),N(M146)/요약!$D$27,N(L146)))</f>
        <v>28620000</v>
      </c>
      <c r="O146" s="32" t="str">
        <f aca="false">IF(A146="제외","",IF(OR(N(L146)&lt;=0,N(M146)&gt;N(L146)),"택가보정(판매금액÷공급율)",""))</f>
        <v/>
      </c>
      <c r="P146" s="0" t="str">
        <f aca="false">IF(A146="HK","100",IF(A146="CN","200",IF(A146="TW","300",IF(ISNUMBER(SEARCH("태국",C146)),"500",IF(ISNUMBER(SEARCH("말레이",C146)),"600",IF(ISNUMBER(SEARCH("필리핀",C146)),"700",IF(ISNUMBER(SEARCH("인도네시아",C146)),"800",IF(ISNUMBER(SEARCH("크루즈",C146)),"810",IF(ISNUMBER(SEARCH("동물원",C146)),"830","")))))))))</f>
        <v>300</v>
      </c>
    </row>
    <row r="147" customFormat="false" ht="15" hidden="false" customHeight="false" outlineLevel="0" collapsed="false">
      <c r="A147" s="32" t="str">
        <f aca="false">IF(OR(TRIM(C147)="",SUBSTITUTE(C147," ","")="소계"),"제외",IF(ISNUMBER(SEARCH("홍콩",C147)),"HK",IF(ISNUMBER(SEARCH("상해",C147)),"CN",IF(ISNUMBER(SEARCH("대만",C147)),"TW","홀세일"))))</f>
        <v>TW</v>
      </c>
      <c r="B147" s="36" t="s">
        <v>98</v>
      </c>
      <c r="C147" s="36" t="s">
        <v>99</v>
      </c>
      <c r="D147" s="37" t="s">
        <v>123</v>
      </c>
      <c r="E147" s="36" t="n">
        <v>2026</v>
      </c>
      <c r="F147" s="37" t="s">
        <v>363</v>
      </c>
      <c r="G147" s="37" t="s">
        <v>124</v>
      </c>
      <c r="H147" s="36" t="s">
        <v>131</v>
      </c>
      <c r="I147" s="36" t="s">
        <v>404</v>
      </c>
      <c r="J147" s="37" t="s">
        <v>405</v>
      </c>
      <c r="K147" s="38" t="n">
        <v>180</v>
      </c>
      <c r="L147" s="38" t="n">
        <v>30420000</v>
      </c>
      <c r="M147" s="38" t="n">
        <v>10207260</v>
      </c>
      <c r="N147" s="39" t="n">
        <f aca="false">IF(A147="제외",0,IF(OR(N(L147)&lt;=0,N(M147)&gt;N(L147)),N(M147)/요약!$D$27,N(L147)))</f>
        <v>30420000</v>
      </c>
      <c r="O147" s="32" t="str">
        <f aca="false">IF(A147="제외","",IF(OR(N(L147)&lt;=0,N(M147)&gt;N(L147)),"택가보정(판매금액÷공급율)",""))</f>
        <v/>
      </c>
      <c r="P147" s="0" t="str">
        <f aca="false">IF(A147="HK","100",IF(A147="CN","200",IF(A147="TW","300",IF(ISNUMBER(SEARCH("태국",C147)),"500",IF(ISNUMBER(SEARCH("말레이",C147)),"600",IF(ISNUMBER(SEARCH("필리핀",C147)),"700",IF(ISNUMBER(SEARCH("인도네시아",C147)),"800",IF(ISNUMBER(SEARCH("크루즈",C147)),"810",IF(ISNUMBER(SEARCH("동물원",C147)),"830","")))))))))</f>
        <v>300</v>
      </c>
    </row>
    <row r="148" customFormat="false" ht="15" hidden="false" customHeight="false" outlineLevel="0" collapsed="false">
      <c r="A148" s="32" t="str">
        <f aca="false">IF(OR(TRIM(C148)="",SUBSTITUTE(C148," ","")="소계"),"제외",IF(ISNUMBER(SEARCH("홍콩",C148)),"HK",IF(ISNUMBER(SEARCH("상해",C148)),"CN",IF(ISNUMBER(SEARCH("대만",C148)),"TW","홀세일"))))</f>
        <v>TW</v>
      </c>
      <c r="B148" s="36" t="s">
        <v>98</v>
      </c>
      <c r="C148" s="36" t="s">
        <v>99</v>
      </c>
      <c r="D148" s="37" t="s">
        <v>123</v>
      </c>
      <c r="E148" s="36" t="n">
        <v>2026</v>
      </c>
      <c r="F148" s="37" t="s">
        <v>363</v>
      </c>
      <c r="G148" s="37" t="s">
        <v>124</v>
      </c>
      <c r="H148" s="36" t="s">
        <v>125</v>
      </c>
      <c r="I148" s="36" t="s">
        <v>406</v>
      </c>
      <c r="J148" s="37" t="s">
        <v>407</v>
      </c>
      <c r="K148" s="38" t="n">
        <v>150</v>
      </c>
      <c r="L148" s="38" t="n">
        <v>23850000</v>
      </c>
      <c r="M148" s="38" t="n">
        <v>7851150</v>
      </c>
      <c r="N148" s="39" t="n">
        <f aca="false">IF(A148="제외",0,IF(OR(N(L148)&lt;=0,N(M148)&gt;N(L148)),N(M148)/요약!$D$27,N(L148)))</f>
        <v>23850000</v>
      </c>
      <c r="O148" s="32" t="str">
        <f aca="false">IF(A148="제외","",IF(OR(N(L148)&lt;=0,N(M148)&gt;N(L148)),"택가보정(판매금액÷공급율)",""))</f>
        <v/>
      </c>
      <c r="P148" s="0" t="str">
        <f aca="false">IF(A148="HK","100",IF(A148="CN","200",IF(A148="TW","300",IF(ISNUMBER(SEARCH("태국",C148)),"500",IF(ISNUMBER(SEARCH("말레이",C148)),"600",IF(ISNUMBER(SEARCH("필리핀",C148)),"700",IF(ISNUMBER(SEARCH("인도네시아",C148)),"800",IF(ISNUMBER(SEARCH("크루즈",C148)),"810",IF(ISNUMBER(SEARCH("동물원",C148)),"830","")))))))))</f>
        <v>300</v>
      </c>
    </row>
    <row r="149" customFormat="false" ht="15" hidden="false" customHeight="false" outlineLevel="0" collapsed="false">
      <c r="A149" s="32" t="str">
        <f aca="false">IF(OR(TRIM(C149)="",SUBSTITUTE(C149," ","")="소계"),"제외",IF(ISNUMBER(SEARCH("홍콩",C149)),"HK",IF(ISNUMBER(SEARCH("상해",C149)),"CN",IF(ISNUMBER(SEARCH("대만",C149)),"TW","홀세일"))))</f>
        <v>TW</v>
      </c>
      <c r="B149" s="36" t="s">
        <v>98</v>
      </c>
      <c r="C149" s="36" t="s">
        <v>99</v>
      </c>
      <c r="D149" s="37" t="s">
        <v>123</v>
      </c>
      <c r="E149" s="36" t="n">
        <v>2026</v>
      </c>
      <c r="F149" s="37" t="s">
        <v>363</v>
      </c>
      <c r="G149" s="37" t="s">
        <v>124</v>
      </c>
      <c r="H149" s="36" t="s">
        <v>131</v>
      </c>
      <c r="I149" s="36" t="s">
        <v>408</v>
      </c>
      <c r="J149" s="36" t="s">
        <v>409</v>
      </c>
      <c r="K149" s="38" t="n">
        <v>360</v>
      </c>
      <c r="L149" s="38" t="n">
        <v>212400000</v>
      </c>
      <c r="M149" s="38" t="n">
        <v>73605960</v>
      </c>
      <c r="N149" s="39" t="n">
        <f aca="false">IF(A149="제외",0,IF(OR(N(L149)&lt;=0,N(M149)&gt;N(L149)),N(M149)/요약!$D$27,N(L149)))</f>
        <v>212400000</v>
      </c>
      <c r="O149" s="32" t="str">
        <f aca="false">IF(A149="제외","",IF(OR(N(L149)&lt;=0,N(M149)&gt;N(L149)),"택가보정(판매금액÷공급율)",""))</f>
        <v/>
      </c>
      <c r="P149" s="0" t="str">
        <f aca="false">IF(A149="HK","100",IF(A149="CN","200",IF(A149="TW","300",IF(ISNUMBER(SEARCH("태국",C149)),"500",IF(ISNUMBER(SEARCH("말레이",C149)),"600",IF(ISNUMBER(SEARCH("필리핀",C149)),"700",IF(ISNUMBER(SEARCH("인도네시아",C149)),"800",IF(ISNUMBER(SEARCH("크루즈",C149)),"810",IF(ISNUMBER(SEARCH("동물원",C149)),"830","")))))))))</f>
        <v>300</v>
      </c>
    </row>
    <row r="150" customFormat="false" ht="15" hidden="false" customHeight="false" outlineLevel="0" collapsed="false">
      <c r="A150" s="32" t="str">
        <f aca="false">IF(OR(TRIM(C150)="",SUBSTITUTE(C150," ","")="소계"),"제외",IF(ISNUMBER(SEARCH("홍콩",C150)),"HK",IF(ISNUMBER(SEARCH("상해",C150)),"CN",IF(ISNUMBER(SEARCH("대만",C150)),"TW","홀세일"))))</f>
        <v>TW</v>
      </c>
      <c r="B150" s="36" t="s">
        <v>98</v>
      </c>
      <c r="C150" s="36" t="s">
        <v>99</v>
      </c>
      <c r="D150" s="37" t="s">
        <v>123</v>
      </c>
      <c r="E150" s="36" t="n">
        <v>2026</v>
      </c>
      <c r="F150" s="37" t="s">
        <v>363</v>
      </c>
      <c r="G150" s="37" t="s">
        <v>124</v>
      </c>
      <c r="H150" s="36" t="s">
        <v>131</v>
      </c>
      <c r="I150" s="36" t="s">
        <v>410</v>
      </c>
      <c r="J150" s="36" t="s">
        <v>411</v>
      </c>
      <c r="K150" s="38" t="n">
        <v>260</v>
      </c>
      <c r="L150" s="38" t="n">
        <v>28340000</v>
      </c>
      <c r="M150" s="38" t="n">
        <v>10051080</v>
      </c>
      <c r="N150" s="39" t="n">
        <f aca="false">IF(A150="제외",0,IF(OR(N(L150)&lt;=0,N(M150)&gt;N(L150)),N(M150)/요약!$D$27,N(L150)))</f>
        <v>28340000</v>
      </c>
      <c r="O150" s="32" t="str">
        <f aca="false">IF(A150="제외","",IF(OR(N(L150)&lt;=0,N(M150)&gt;N(L150)),"택가보정(판매금액÷공급율)",""))</f>
        <v/>
      </c>
      <c r="P150" s="0" t="str">
        <f aca="false">IF(A150="HK","100",IF(A150="CN","200",IF(A150="TW","300",IF(ISNUMBER(SEARCH("태국",C150)),"500",IF(ISNUMBER(SEARCH("말레이",C150)),"600",IF(ISNUMBER(SEARCH("필리핀",C150)),"700",IF(ISNUMBER(SEARCH("인도네시아",C150)),"800",IF(ISNUMBER(SEARCH("크루즈",C150)),"810",IF(ISNUMBER(SEARCH("동물원",C150)),"830","")))))))))</f>
        <v>300</v>
      </c>
    </row>
    <row r="151" customFormat="false" ht="15" hidden="false" customHeight="false" outlineLevel="0" collapsed="false">
      <c r="A151" s="32" t="str">
        <f aca="false">IF(OR(TRIM(C151)="",SUBSTITUTE(C151," ","")="소계"),"제외",IF(ISNUMBER(SEARCH("홍콩",C151)),"HK",IF(ISNUMBER(SEARCH("상해",C151)),"CN",IF(ISNUMBER(SEARCH("대만",C151)),"TW","홀세일"))))</f>
        <v>TW</v>
      </c>
      <c r="B151" s="36" t="s">
        <v>98</v>
      </c>
      <c r="C151" s="36" t="s">
        <v>99</v>
      </c>
      <c r="D151" s="37" t="s">
        <v>123</v>
      </c>
      <c r="E151" s="36" t="n">
        <v>2026</v>
      </c>
      <c r="F151" s="37" t="s">
        <v>363</v>
      </c>
      <c r="G151" s="37" t="s">
        <v>124</v>
      </c>
      <c r="H151" s="36" t="s">
        <v>131</v>
      </c>
      <c r="I151" s="36" t="s">
        <v>412</v>
      </c>
      <c r="J151" s="36" t="s">
        <v>413</v>
      </c>
      <c r="K151" s="38" t="n">
        <v>150</v>
      </c>
      <c r="L151" s="38" t="n">
        <v>13350000</v>
      </c>
      <c r="M151" s="38" t="n">
        <v>4664850</v>
      </c>
      <c r="N151" s="39" t="n">
        <f aca="false">IF(A151="제외",0,IF(OR(N(L151)&lt;=0,N(M151)&gt;N(L151)),N(M151)/요약!$D$27,N(L151)))</f>
        <v>13350000</v>
      </c>
      <c r="O151" s="32" t="str">
        <f aca="false">IF(A151="제외","",IF(OR(N(L151)&lt;=0,N(M151)&gt;N(L151)),"택가보정(판매금액÷공급율)",""))</f>
        <v/>
      </c>
      <c r="P151" s="0" t="str">
        <f aca="false">IF(A151="HK","100",IF(A151="CN","200",IF(A151="TW","300",IF(ISNUMBER(SEARCH("태국",C151)),"500",IF(ISNUMBER(SEARCH("말레이",C151)),"600",IF(ISNUMBER(SEARCH("필리핀",C151)),"700",IF(ISNUMBER(SEARCH("인도네시아",C151)),"800",IF(ISNUMBER(SEARCH("크루즈",C151)),"810",IF(ISNUMBER(SEARCH("동물원",C151)),"830","")))))))))</f>
        <v>300</v>
      </c>
    </row>
    <row r="152" customFormat="false" ht="15" hidden="false" customHeight="false" outlineLevel="0" collapsed="false">
      <c r="A152" s="32" t="str">
        <f aca="false">IF(OR(TRIM(C152)="",SUBSTITUTE(C152," ","")="소계"),"제외",IF(ISNUMBER(SEARCH("홍콩",C152)),"HK",IF(ISNUMBER(SEARCH("상해",C152)),"CN",IF(ISNUMBER(SEARCH("대만",C152)),"TW","홀세일"))))</f>
        <v>TW</v>
      </c>
      <c r="B152" s="36" t="s">
        <v>98</v>
      </c>
      <c r="C152" s="36" t="s">
        <v>99</v>
      </c>
      <c r="D152" s="37" t="s">
        <v>123</v>
      </c>
      <c r="E152" s="36" t="n">
        <v>2026</v>
      </c>
      <c r="F152" s="37" t="s">
        <v>363</v>
      </c>
      <c r="G152" s="37" t="s">
        <v>124</v>
      </c>
      <c r="H152" s="36" t="s">
        <v>131</v>
      </c>
      <c r="I152" s="36" t="s">
        <v>414</v>
      </c>
      <c r="J152" s="37" t="s">
        <v>415</v>
      </c>
      <c r="K152" s="38" t="n">
        <v>430</v>
      </c>
      <c r="L152" s="38" t="n">
        <v>64070000</v>
      </c>
      <c r="M152" s="38" t="n">
        <v>22271420</v>
      </c>
      <c r="N152" s="39" t="n">
        <f aca="false">IF(A152="제외",0,IF(OR(N(L152)&lt;=0,N(M152)&gt;N(L152)),N(M152)/요약!$D$27,N(L152)))</f>
        <v>64070000</v>
      </c>
      <c r="O152" s="32" t="str">
        <f aca="false">IF(A152="제외","",IF(OR(N(L152)&lt;=0,N(M152)&gt;N(L152)),"택가보정(판매금액÷공급율)",""))</f>
        <v/>
      </c>
      <c r="P152" s="0" t="str">
        <f aca="false">IF(A152="HK","100",IF(A152="CN","200",IF(A152="TW","300",IF(ISNUMBER(SEARCH("태국",C152)),"500",IF(ISNUMBER(SEARCH("말레이",C152)),"600",IF(ISNUMBER(SEARCH("필리핀",C152)),"700",IF(ISNUMBER(SEARCH("인도네시아",C152)),"800",IF(ISNUMBER(SEARCH("크루즈",C152)),"810",IF(ISNUMBER(SEARCH("동물원",C152)),"830","")))))))))</f>
        <v>300</v>
      </c>
    </row>
    <row r="153" customFormat="false" ht="15" hidden="false" customHeight="false" outlineLevel="0" collapsed="false">
      <c r="A153" s="32" t="str">
        <f aca="false">IF(OR(TRIM(C153)="",SUBSTITUTE(C153," ","")="소계"),"제외",IF(ISNUMBER(SEARCH("홍콩",C153)),"HK",IF(ISNUMBER(SEARCH("상해",C153)),"CN",IF(ISNUMBER(SEARCH("대만",C153)),"TW","홀세일"))))</f>
        <v>TW</v>
      </c>
      <c r="B153" s="36" t="s">
        <v>98</v>
      </c>
      <c r="C153" s="36" t="s">
        <v>99</v>
      </c>
      <c r="D153" s="37" t="s">
        <v>123</v>
      </c>
      <c r="E153" s="36" t="n">
        <v>2026</v>
      </c>
      <c r="F153" s="37" t="s">
        <v>363</v>
      </c>
      <c r="G153" s="37" t="s">
        <v>124</v>
      </c>
      <c r="H153" s="36" t="s">
        <v>131</v>
      </c>
      <c r="I153" s="36" t="s">
        <v>416</v>
      </c>
      <c r="J153" s="37" t="s">
        <v>417</v>
      </c>
      <c r="K153" s="38" t="n">
        <v>430</v>
      </c>
      <c r="L153" s="38" t="n">
        <v>64070000</v>
      </c>
      <c r="M153" s="38" t="n">
        <v>22271420</v>
      </c>
      <c r="N153" s="39" t="n">
        <f aca="false">IF(A153="제외",0,IF(OR(N(L153)&lt;=0,N(M153)&gt;N(L153)),N(M153)/요약!$D$27,N(L153)))</f>
        <v>64070000</v>
      </c>
      <c r="O153" s="32" t="str">
        <f aca="false">IF(A153="제외","",IF(OR(N(L153)&lt;=0,N(M153)&gt;N(L153)),"택가보정(판매금액÷공급율)",""))</f>
        <v/>
      </c>
      <c r="P153" s="0" t="str">
        <f aca="false">IF(A153="HK","100",IF(A153="CN","200",IF(A153="TW","300",IF(ISNUMBER(SEARCH("태국",C153)),"500",IF(ISNUMBER(SEARCH("말레이",C153)),"600",IF(ISNUMBER(SEARCH("필리핀",C153)),"700",IF(ISNUMBER(SEARCH("인도네시아",C153)),"800",IF(ISNUMBER(SEARCH("크루즈",C153)),"810",IF(ISNUMBER(SEARCH("동물원",C153)),"830","")))))))))</f>
        <v>300</v>
      </c>
    </row>
    <row r="154" customFormat="false" ht="15" hidden="false" customHeight="false" outlineLevel="0" collapsed="false">
      <c r="A154" s="32" t="str">
        <f aca="false">IF(OR(TRIM(C154)="",SUBSTITUTE(C154," ","")="소계"),"제외",IF(ISNUMBER(SEARCH("홍콩",C154)),"HK",IF(ISNUMBER(SEARCH("상해",C154)),"CN",IF(ISNUMBER(SEARCH("대만",C154)),"TW","홀세일"))))</f>
        <v>TW</v>
      </c>
      <c r="B154" s="36" t="s">
        <v>98</v>
      </c>
      <c r="C154" s="36" t="s">
        <v>99</v>
      </c>
      <c r="D154" s="37" t="s">
        <v>123</v>
      </c>
      <c r="E154" s="36" t="n">
        <v>2026</v>
      </c>
      <c r="F154" s="37" t="s">
        <v>363</v>
      </c>
      <c r="G154" s="37" t="s">
        <v>124</v>
      </c>
      <c r="H154" s="36" t="s">
        <v>125</v>
      </c>
      <c r="I154" s="36" t="s">
        <v>418</v>
      </c>
      <c r="J154" s="37" t="s">
        <v>419</v>
      </c>
      <c r="K154" s="38" t="n">
        <v>100</v>
      </c>
      <c r="L154" s="38" t="n">
        <v>13900000</v>
      </c>
      <c r="M154" s="38" t="n">
        <v>4804900</v>
      </c>
      <c r="N154" s="39" t="n">
        <f aca="false">IF(A154="제외",0,IF(OR(N(L154)&lt;=0,N(M154)&gt;N(L154)),N(M154)/요약!$D$27,N(L154)))</f>
        <v>13900000</v>
      </c>
      <c r="O154" s="32" t="str">
        <f aca="false">IF(A154="제외","",IF(OR(N(L154)&lt;=0,N(M154)&gt;N(L154)),"택가보정(판매금액÷공급율)",""))</f>
        <v/>
      </c>
      <c r="P154" s="0" t="str">
        <f aca="false">IF(A154="HK","100",IF(A154="CN","200",IF(A154="TW","300",IF(ISNUMBER(SEARCH("태국",C154)),"500",IF(ISNUMBER(SEARCH("말레이",C154)),"600",IF(ISNUMBER(SEARCH("필리핀",C154)),"700",IF(ISNUMBER(SEARCH("인도네시아",C154)),"800",IF(ISNUMBER(SEARCH("크루즈",C154)),"810",IF(ISNUMBER(SEARCH("동물원",C154)),"830","")))))))))</f>
        <v>300</v>
      </c>
    </row>
    <row r="155" customFormat="false" ht="15" hidden="false" customHeight="false" outlineLevel="0" collapsed="false">
      <c r="A155" s="32" t="str">
        <f aca="false">IF(OR(TRIM(C155)="",SUBSTITUTE(C155," ","")="소계"),"제외",IF(ISNUMBER(SEARCH("홍콩",C155)),"HK",IF(ISNUMBER(SEARCH("상해",C155)),"CN",IF(ISNUMBER(SEARCH("대만",C155)),"TW","홀세일"))))</f>
        <v>TW</v>
      </c>
      <c r="B155" s="36" t="s">
        <v>98</v>
      </c>
      <c r="C155" s="36" t="s">
        <v>99</v>
      </c>
      <c r="D155" s="37" t="s">
        <v>123</v>
      </c>
      <c r="E155" s="36" t="n">
        <v>2026</v>
      </c>
      <c r="F155" s="37" t="s">
        <v>363</v>
      </c>
      <c r="G155" s="37" t="s">
        <v>124</v>
      </c>
      <c r="H155" s="36" t="s">
        <v>131</v>
      </c>
      <c r="I155" s="36" t="s">
        <v>420</v>
      </c>
      <c r="J155" s="37" t="s">
        <v>421</v>
      </c>
      <c r="K155" s="38" t="n">
        <v>70</v>
      </c>
      <c r="L155" s="38" t="n">
        <v>18130000</v>
      </c>
      <c r="M155" s="38" t="n">
        <v>5143950</v>
      </c>
      <c r="N155" s="39" t="n">
        <f aca="false">IF(A155="제외",0,IF(OR(N(L155)&lt;=0,N(M155)&gt;N(L155)),N(M155)/요약!$D$27,N(L155)))</f>
        <v>18130000</v>
      </c>
      <c r="O155" s="32" t="str">
        <f aca="false">IF(A155="제외","",IF(OR(N(L155)&lt;=0,N(M155)&gt;N(L155)),"택가보정(판매금액÷공급율)",""))</f>
        <v/>
      </c>
      <c r="P155" s="0" t="str">
        <f aca="false">IF(A155="HK","100",IF(A155="CN","200",IF(A155="TW","300",IF(ISNUMBER(SEARCH("태국",C155)),"500",IF(ISNUMBER(SEARCH("말레이",C155)),"600",IF(ISNUMBER(SEARCH("필리핀",C155)),"700",IF(ISNUMBER(SEARCH("인도네시아",C155)),"800",IF(ISNUMBER(SEARCH("크루즈",C155)),"810",IF(ISNUMBER(SEARCH("동물원",C155)),"830","")))))))))</f>
        <v>300</v>
      </c>
    </row>
    <row r="156" customFormat="false" ht="15" hidden="false" customHeight="false" outlineLevel="0" collapsed="false">
      <c r="A156" s="32" t="str">
        <f aca="false">IF(OR(TRIM(C156)="",SUBSTITUTE(C156," ","")="소계"),"제외",IF(ISNUMBER(SEARCH("홍콩",C156)),"HK",IF(ISNUMBER(SEARCH("상해",C156)),"CN",IF(ISNUMBER(SEARCH("대만",C156)),"TW","홀세일"))))</f>
        <v>TW</v>
      </c>
      <c r="B156" s="36" t="s">
        <v>98</v>
      </c>
      <c r="C156" s="36" t="s">
        <v>99</v>
      </c>
      <c r="D156" s="37" t="s">
        <v>123</v>
      </c>
      <c r="E156" s="36" t="n">
        <v>2026</v>
      </c>
      <c r="F156" s="37" t="s">
        <v>363</v>
      </c>
      <c r="G156" s="37" t="s">
        <v>124</v>
      </c>
      <c r="H156" s="36" t="s">
        <v>125</v>
      </c>
      <c r="I156" s="36" t="s">
        <v>422</v>
      </c>
      <c r="J156" s="37" t="s">
        <v>423</v>
      </c>
      <c r="K156" s="38" t="n">
        <v>395</v>
      </c>
      <c r="L156" s="38" t="n">
        <v>137855000</v>
      </c>
      <c r="M156" s="38" t="n">
        <v>46933900</v>
      </c>
      <c r="N156" s="39" t="n">
        <f aca="false">IF(A156="제외",0,IF(OR(N(L156)&lt;=0,N(M156)&gt;N(L156)),N(M156)/요약!$D$27,N(L156)))</f>
        <v>137855000</v>
      </c>
      <c r="O156" s="32" t="str">
        <f aca="false">IF(A156="제외","",IF(OR(N(L156)&lt;=0,N(M156)&gt;N(L156)),"택가보정(판매금액÷공급율)",""))</f>
        <v/>
      </c>
      <c r="P156" s="0" t="str">
        <f aca="false">IF(A156="HK","100",IF(A156="CN","200",IF(A156="TW","300",IF(ISNUMBER(SEARCH("태국",C156)),"500",IF(ISNUMBER(SEARCH("말레이",C156)),"600",IF(ISNUMBER(SEARCH("필리핀",C156)),"700",IF(ISNUMBER(SEARCH("인도네시아",C156)),"800",IF(ISNUMBER(SEARCH("크루즈",C156)),"810",IF(ISNUMBER(SEARCH("동물원",C156)),"830","")))))))))</f>
        <v>300</v>
      </c>
    </row>
    <row r="157" customFormat="false" ht="15" hidden="false" customHeight="false" outlineLevel="0" collapsed="false">
      <c r="A157" s="32" t="str">
        <f aca="false">IF(OR(TRIM(C157)="",SUBSTITUTE(C157," ","")="소계"),"제외",IF(ISNUMBER(SEARCH("홍콩",C157)),"HK",IF(ISNUMBER(SEARCH("상해",C157)),"CN",IF(ISNUMBER(SEARCH("대만",C157)),"TW","홀세일"))))</f>
        <v>TW</v>
      </c>
      <c r="B157" s="36" t="s">
        <v>98</v>
      </c>
      <c r="C157" s="36" t="s">
        <v>99</v>
      </c>
      <c r="D157" s="37" t="s">
        <v>123</v>
      </c>
      <c r="E157" s="36" t="n">
        <v>2026</v>
      </c>
      <c r="F157" s="37" t="s">
        <v>363</v>
      </c>
      <c r="G157" s="37" t="s">
        <v>124</v>
      </c>
      <c r="H157" s="36" t="s">
        <v>125</v>
      </c>
      <c r="I157" s="36" t="s">
        <v>424</v>
      </c>
      <c r="J157" s="37" t="s">
        <v>425</v>
      </c>
      <c r="K157" s="38" t="n">
        <v>100</v>
      </c>
      <c r="L157" s="38" t="n">
        <v>17900000</v>
      </c>
      <c r="M157" s="38" t="n">
        <v>6340100</v>
      </c>
      <c r="N157" s="39" t="n">
        <f aca="false">IF(A157="제외",0,IF(OR(N(L157)&lt;=0,N(M157)&gt;N(L157)),N(M157)/요약!$D$27,N(L157)))</f>
        <v>17900000</v>
      </c>
      <c r="O157" s="32" t="str">
        <f aca="false">IF(A157="제외","",IF(OR(N(L157)&lt;=0,N(M157)&gt;N(L157)),"택가보정(판매금액÷공급율)",""))</f>
        <v/>
      </c>
      <c r="P157" s="0" t="str">
        <f aca="false">IF(A157="HK","100",IF(A157="CN","200",IF(A157="TW","300",IF(ISNUMBER(SEARCH("태국",C157)),"500",IF(ISNUMBER(SEARCH("말레이",C157)),"600",IF(ISNUMBER(SEARCH("필리핀",C157)),"700",IF(ISNUMBER(SEARCH("인도네시아",C157)),"800",IF(ISNUMBER(SEARCH("크루즈",C157)),"810",IF(ISNUMBER(SEARCH("동물원",C157)),"830","")))))))))</f>
        <v>300</v>
      </c>
    </row>
    <row r="158" customFormat="false" ht="15" hidden="false" customHeight="false" outlineLevel="0" collapsed="false">
      <c r="A158" s="32" t="str">
        <f aca="false">IF(OR(TRIM(C158)="",SUBSTITUTE(C158," ","")="소계"),"제외",IF(ISNUMBER(SEARCH("홍콩",C158)),"HK",IF(ISNUMBER(SEARCH("상해",C158)),"CN",IF(ISNUMBER(SEARCH("대만",C158)),"TW","홀세일"))))</f>
        <v>TW</v>
      </c>
      <c r="B158" s="36" t="s">
        <v>98</v>
      </c>
      <c r="C158" s="36" t="s">
        <v>99</v>
      </c>
      <c r="D158" s="37" t="s">
        <v>123</v>
      </c>
      <c r="E158" s="36" t="n">
        <v>2026</v>
      </c>
      <c r="F158" s="37" t="s">
        <v>363</v>
      </c>
      <c r="G158" s="37" t="s">
        <v>124</v>
      </c>
      <c r="H158" s="36" t="s">
        <v>125</v>
      </c>
      <c r="I158" s="36" t="s">
        <v>426</v>
      </c>
      <c r="J158" s="37" t="s">
        <v>427</v>
      </c>
      <c r="K158" s="38" t="n">
        <v>200</v>
      </c>
      <c r="L158" s="38" t="n">
        <v>43800000</v>
      </c>
      <c r="M158" s="38" t="n">
        <v>16202000</v>
      </c>
      <c r="N158" s="39" t="n">
        <f aca="false">IF(A158="제외",0,IF(OR(N(L158)&lt;=0,N(M158)&gt;N(L158)),N(M158)/요약!$D$27,N(L158)))</f>
        <v>43800000</v>
      </c>
      <c r="O158" s="32" t="str">
        <f aca="false">IF(A158="제외","",IF(OR(N(L158)&lt;=0,N(M158)&gt;N(L158)),"택가보정(판매금액÷공급율)",""))</f>
        <v/>
      </c>
      <c r="P158" s="0" t="str">
        <f aca="false">IF(A158="HK","100",IF(A158="CN","200",IF(A158="TW","300",IF(ISNUMBER(SEARCH("태국",C158)),"500",IF(ISNUMBER(SEARCH("말레이",C158)),"600",IF(ISNUMBER(SEARCH("필리핀",C158)),"700",IF(ISNUMBER(SEARCH("인도네시아",C158)),"800",IF(ISNUMBER(SEARCH("크루즈",C158)),"810",IF(ISNUMBER(SEARCH("동물원",C158)),"830","")))))))))</f>
        <v>300</v>
      </c>
    </row>
    <row r="159" customFormat="false" ht="15" hidden="false" customHeight="false" outlineLevel="0" collapsed="false">
      <c r="A159" s="32" t="str">
        <f aca="false">IF(OR(TRIM(C159)="",SUBSTITUTE(C159," ","")="소계"),"제외",IF(ISNUMBER(SEARCH("홍콩",C159)),"HK",IF(ISNUMBER(SEARCH("상해",C159)),"CN",IF(ISNUMBER(SEARCH("대만",C159)),"TW","홀세일"))))</f>
        <v>TW</v>
      </c>
      <c r="B159" s="36" t="s">
        <v>98</v>
      </c>
      <c r="C159" s="36" t="s">
        <v>99</v>
      </c>
      <c r="D159" s="37" t="s">
        <v>123</v>
      </c>
      <c r="E159" s="36" t="n">
        <v>2026</v>
      </c>
      <c r="F159" s="37" t="s">
        <v>363</v>
      </c>
      <c r="G159" s="37" t="s">
        <v>124</v>
      </c>
      <c r="H159" s="36" t="s">
        <v>131</v>
      </c>
      <c r="I159" s="36" t="s">
        <v>428</v>
      </c>
      <c r="J159" s="37" t="s">
        <v>429</v>
      </c>
      <c r="K159" s="38" t="n">
        <v>560</v>
      </c>
      <c r="L159" s="38" t="n">
        <v>105840000</v>
      </c>
      <c r="M159" s="38" t="n">
        <v>36771840</v>
      </c>
      <c r="N159" s="39" t="n">
        <f aca="false">IF(A159="제외",0,IF(OR(N(L159)&lt;=0,N(M159)&gt;N(L159)),N(M159)/요약!$D$27,N(L159)))</f>
        <v>105840000</v>
      </c>
      <c r="O159" s="32" t="str">
        <f aca="false">IF(A159="제외","",IF(OR(N(L159)&lt;=0,N(M159)&gt;N(L159)),"택가보정(판매금액÷공급율)",""))</f>
        <v/>
      </c>
      <c r="P159" s="0" t="str">
        <f aca="false">IF(A159="HK","100",IF(A159="CN","200",IF(A159="TW","300",IF(ISNUMBER(SEARCH("태국",C159)),"500",IF(ISNUMBER(SEARCH("말레이",C159)),"600",IF(ISNUMBER(SEARCH("필리핀",C159)),"700",IF(ISNUMBER(SEARCH("인도네시아",C159)),"800",IF(ISNUMBER(SEARCH("크루즈",C159)),"810",IF(ISNUMBER(SEARCH("동물원",C159)),"830","")))))))))</f>
        <v>300</v>
      </c>
    </row>
    <row r="160" customFormat="false" ht="15" hidden="false" customHeight="false" outlineLevel="0" collapsed="false">
      <c r="A160" s="32" t="str">
        <f aca="false">IF(OR(TRIM(C160)="",SUBSTITUTE(C160," ","")="소계"),"제외",IF(ISNUMBER(SEARCH("홍콩",C160)),"HK",IF(ISNUMBER(SEARCH("상해",C160)),"CN",IF(ISNUMBER(SEARCH("대만",C160)),"TW","홀세일"))))</f>
        <v>TW</v>
      </c>
      <c r="B160" s="36" t="s">
        <v>98</v>
      </c>
      <c r="C160" s="36" t="s">
        <v>99</v>
      </c>
      <c r="D160" s="37" t="s">
        <v>123</v>
      </c>
      <c r="E160" s="36" t="n">
        <v>2026</v>
      </c>
      <c r="F160" s="37" t="s">
        <v>363</v>
      </c>
      <c r="G160" s="37" t="s">
        <v>124</v>
      </c>
      <c r="H160" s="36" t="s">
        <v>131</v>
      </c>
      <c r="I160" s="36" t="s">
        <v>430</v>
      </c>
      <c r="J160" s="37" t="s">
        <v>431</v>
      </c>
      <c r="K160" s="38" t="n">
        <v>550</v>
      </c>
      <c r="L160" s="38" t="n">
        <v>59950000</v>
      </c>
      <c r="M160" s="38" t="n">
        <v>20369800</v>
      </c>
      <c r="N160" s="39" t="n">
        <f aca="false">IF(A160="제외",0,IF(OR(N(L160)&lt;=0,N(M160)&gt;N(L160)),N(M160)/요약!$D$27,N(L160)))</f>
        <v>59950000</v>
      </c>
      <c r="O160" s="32" t="str">
        <f aca="false">IF(A160="제외","",IF(OR(N(L160)&lt;=0,N(M160)&gt;N(L160)),"택가보정(판매금액÷공급율)",""))</f>
        <v/>
      </c>
      <c r="P160" s="0" t="str">
        <f aca="false">IF(A160="HK","100",IF(A160="CN","200",IF(A160="TW","300",IF(ISNUMBER(SEARCH("태국",C160)),"500",IF(ISNUMBER(SEARCH("말레이",C160)),"600",IF(ISNUMBER(SEARCH("필리핀",C160)),"700",IF(ISNUMBER(SEARCH("인도네시아",C160)),"800",IF(ISNUMBER(SEARCH("크루즈",C160)),"810",IF(ISNUMBER(SEARCH("동물원",C160)),"830","")))))))))</f>
        <v>300</v>
      </c>
    </row>
    <row r="161" customFormat="false" ht="15" hidden="false" customHeight="false" outlineLevel="0" collapsed="false">
      <c r="A161" s="32" t="str">
        <f aca="false">IF(OR(TRIM(C161)="",SUBSTITUTE(C161," ","")="소계"),"제외",IF(ISNUMBER(SEARCH("홍콩",C161)),"HK",IF(ISNUMBER(SEARCH("상해",C161)),"CN",IF(ISNUMBER(SEARCH("대만",C161)),"TW","홀세일"))))</f>
        <v>TW</v>
      </c>
      <c r="B161" s="36" t="s">
        <v>98</v>
      </c>
      <c r="C161" s="36" t="s">
        <v>99</v>
      </c>
      <c r="D161" s="37" t="s">
        <v>123</v>
      </c>
      <c r="E161" s="36" t="n">
        <v>2026</v>
      </c>
      <c r="F161" s="37" t="s">
        <v>363</v>
      </c>
      <c r="G161" s="37" t="s">
        <v>124</v>
      </c>
      <c r="H161" s="36" t="s">
        <v>131</v>
      </c>
      <c r="I161" s="36" t="s">
        <v>432</v>
      </c>
      <c r="J161" s="37" t="s">
        <v>433</v>
      </c>
      <c r="K161" s="38" t="n">
        <v>700</v>
      </c>
      <c r="L161" s="38" t="n">
        <v>55300000</v>
      </c>
      <c r="M161" s="38" t="n">
        <v>18762800</v>
      </c>
      <c r="N161" s="39" t="n">
        <f aca="false">IF(A161="제외",0,IF(OR(N(L161)&lt;=0,N(M161)&gt;N(L161)),N(M161)/요약!$D$27,N(L161)))</f>
        <v>55300000</v>
      </c>
      <c r="O161" s="32" t="str">
        <f aca="false">IF(A161="제외","",IF(OR(N(L161)&lt;=0,N(M161)&gt;N(L161)),"택가보정(판매금액÷공급율)",""))</f>
        <v/>
      </c>
      <c r="P161" s="0" t="str">
        <f aca="false">IF(A161="HK","100",IF(A161="CN","200",IF(A161="TW","300",IF(ISNUMBER(SEARCH("태국",C161)),"500",IF(ISNUMBER(SEARCH("말레이",C161)),"600",IF(ISNUMBER(SEARCH("필리핀",C161)),"700",IF(ISNUMBER(SEARCH("인도네시아",C161)),"800",IF(ISNUMBER(SEARCH("크루즈",C161)),"810",IF(ISNUMBER(SEARCH("동물원",C161)),"830","")))))))))</f>
        <v>300</v>
      </c>
    </row>
    <row r="162" customFormat="false" ht="15" hidden="false" customHeight="false" outlineLevel="0" collapsed="false">
      <c r="A162" s="32" t="str">
        <f aca="false">IF(OR(TRIM(C162)="",SUBSTITUTE(C162," ","")="소계"),"제외",IF(ISNUMBER(SEARCH("홍콩",C162)),"HK",IF(ISNUMBER(SEARCH("상해",C162)),"CN",IF(ISNUMBER(SEARCH("대만",C162)),"TW","홀세일"))))</f>
        <v>TW</v>
      </c>
      <c r="B162" s="36" t="s">
        <v>98</v>
      </c>
      <c r="C162" s="36" t="s">
        <v>99</v>
      </c>
      <c r="D162" s="37" t="s">
        <v>123</v>
      </c>
      <c r="E162" s="36" t="n">
        <v>2026</v>
      </c>
      <c r="F162" s="37" t="s">
        <v>363</v>
      </c>
      <c r="G162" s="37" t="s">
        <v>124</v>
      </c>
      <c r="H162" s="36" t="s">
        <v>131</v>
      </c>
      <c r="I162" s="36" t="s">
        <v>434</v>
      </c>
      <c r="J162" s="37" t="s">
        <v>435</v>
      </c>
      <c r="K162" s="38" t="n">
        <v>580</v>
      </c>
      <c r="L162" s="38" t="n">
        <v>63220000</v>
      </c>
      <c r="M162" s="38" t="n">
        <v>20012900</v>
      </c>
      <c r="N162" s="39" t="n">
        <f aca="false">IF(A162="제외",0,IF(OR(N(L162)&lt;=0,N(M162)&gt;N(L162)),N(M162)/요약!$D$27,N(L162)))</f>
        <v>63220000</v>
      </c>
      <c r="O162" s="32" t="str">
        <f aca="false">IF(A162="제외","",IF(OR(N(L162)&lt;=0,N(M162)&gt;N(L162)),"택가보정(판매금액÷공급율)",""))</f>
        <v/>
      </c>
      <c r="P162" s="0" t="str">
        <f aca="false">IF(A162="HK","100",IF(A162="CN","200",IF(A162="TW","300",IF(ISNUMBER(SEARCH("태국",C162)),"500",IF(ISNUMBER(SEARCH("말레이",C162)),"600",IF(ISNUMBER(SEARCH("필리핀",C162)),"700",IF(ISNUMBER(SEARCH("인도네시아",C162)),"800",IF(ISNUMBER(SEARCH("크루즈",C162)),"810",IF(ISNUMBER(SEARCH("동물원",C162)),"830","")))))))))</f>
        <v>300</v>
      </c>
    </row>
    <row r="163" customFormat="false" ht="15" hidden="false" customHeight="false" outlineLevel="0" collapsed="false">
      <c r="A163" s="32" t="str">
        <f aca="false">IF(OR(TRIM(C163)="",SUBSTITUTE(C163," ","")="소계"),"제외",IF(ISNUMBER(SEARCH("홍콩",C163)),"HK",IF(ISNUMBER(SEARCH("상해",C163)),"CN",IF(ISNUMBER(SEARCH("대만",C163)),"TW","홀세일"))))</f>
        <v>TW</v>
      </c>
      <c r="B163" s="36" t="s">
        <v>98</v>
      </c>
      <c r="C163" s="36" t="s">
        <v>99</v>
      </c>
      <c r="D163" s="37" t="s">
        <v>123</v>
      </c>
      <c r="E163" s="36" t="n">
        <v>2026</v>
      </c>
      <c r="F163" s="37" t="s">
        <v>363</v>
      </c>
      <c r="G163" s="37" t="s">
        <v>124</v>
      </c>
      <c r="H163" s="36" t="s">
        <v>131</v>
      </c>
      <c r="I163" s="36" t="s">
        <v>436</v>
      </c>
      <c r="J163" s="37" t="s">
        <v>437</v>
      </c>
      <c r="K163" s="38" t="n">
        <v>450</v>
      </c>
      <c r="L163" s="38" t="n">
        <v>26550000</v>
      </c>
      <c r="M163" s="38" t="n">
        <v>9013950</v>
      </c>
      <c r="N163" s="39" t="n">
        <f aca="false">IF(A163="제외",0,IF(OR(N(L163)&lt;=0,N(M163)&gt;N(L163)),N(M163)/요약!$D$27,N(L163)))</f>
        <v>26550000</v>
      </c>
      <c r="O163" s="32" t="str">
        <f aca="false">IF(A163="제외","",IF(OR(N(L163)&lt;=0,N(M163)&gt;N(L163)),"택가보정(판매금액÷공급율)",""))</f>
        <v/>
      </c>
      <c r="P163" s="0" t="str">
        <f aca="false">IF(A163="HK","100",IF(A163="CN","200",IF(A163="TW","300",IF(ISNUMBER(SEARCH("태국",C163)),"500",IF(ISNUMBER(SEARCH("말레이",C163)),"600",IF(ISNUMBER(SEARCH("필리핀",C163)),"700",IF(ISNUMBER(SEARCH("인도네시아",C163)),"800",IF(ISNUMBER(SEARCH("크루즈",C163)),"810",IF(ISNUMBER(SEARCH("동물원",C163)),"830","")))))))))</f>
        <v>300</v>
      </c>
    </row>
    <row r="164" customFormat="false" ht="15" hidden="false" customHeight="false" outlineLevel="0" collapsed="false">
      <c r="A164" s="32" t="str">
        <f aca="false">IF(OR(TRIM(C164)="",SUBSTITUTE(C164," ","")="소계"),"제외",IF(ISNUMBER(SEARCH("홍콩",C164)),"HK",IF(ISNUMBER(SEARCH("상해",C164)),"CN",IF(ISNUMBER(SEARCH("대만",C164)),"TW","홀세일"))))</f>
        <v>TW</v>
      </c>
      <c r="B164" s="36" t="s">
        <v>98</v>
      </c>
      <c r="C164" s="36" t="s">
        <v>99</v>
      </c>
      <c r="D164" s="37" t="s">
        <v>123</v>
      </c>
      <c r="E164" s="36" t="n">
        <v>2026</v>
      </c>
      <c r="F164" s="37" t="s">
        <v>363</v>
      </c>
      <c r="G164" s="37" t="s">
        <v>124</v>
      </c>
      <c r="H164" s="36" t="s">
        <v>131</v>
      </c>
      <c r="I164" s="36" t="s">
        <v>438</v>
      </c>
      <c r="J164" s="37" t="s">
        <v>439</v>
      </c>
      <c r="K164" s="38" t="n">
        <v>550</v>
      </c>
      <c r="L164" s="38" t="n">
        <v>43450000</v>
      </c>
      <c r="M164" s="38" t="n">
        <v>13484900</v>
      </c>
      <c r="N164" s="39" t="n">
        <f aca="false">IF(A164="제외",0,IF(OR(N(L164)&lt;=0,N(M164)&gt;N(L164)),N(M164)/요약!$D$27,N(L164)))</f>
        <v>43450000</v>
      </c>
      <c r="O164" s="32" t="str">
        <f aca="false">IF(A164="제외","",IF(OR(N(L164)&lt;=0,N(M164)&gt;N(L164)),"택가보정(판매금액÷공급율)",""))</f>
        <v/>
      </c>
      <c r="P164" s="0" t="str">
        <f aca="false">IF(A164="HK","100",IF(A164="CN","200",IF(A164="TW","300",IF(ISNUMBER(SEARCH("태국",C164)),"500",IF(ISNUMBER(SEARCH("말레이",C164)),"600",IF(ISNUMBER(SEARCH("필리핀",C164)),"700",IF(ISNUMBER(SEARCH("인도네시아",C164)),"800",IF(ISNUMBER(SEARCH("크루즈",C164)),"810",IF(ISNUMBER(SEARCH("동물원",C164)),"830","")))))))))</f>
        <v>300</v>
      </c>
    </row>
    <row r="165" customFormat="false" ht="15" hidden="false" customHeight="false" outlineLevel="0" collapsed="false">
      <c r="A165" s="32" t="str">
        <f aca="false">IF(OR(TRIM(C165)="",SUBSTITUTE(C165," ","")="소계"),"제외",IF(ISNUMBER(SEARCH("홍콩",C165)),"HK",IF(ISNUMBER(SEARCH("상해",C165)),"CN",IF(ISNUMBER(SEARCH("대만",C165)),"TW","홀세일"))))</f>
        <v>TW</v>
      </c>
      <c r="B165" s="36" t="s">
        <v>98</v>
      </c>
      <c r="C165" s="36" t="s">
        <v>99</v>
      </c>
      <c r="D165" s="37" t="s">
        <v>123</v>
      </c>
      <c r="E165" s="36" t="n">
        <v>2026</v>
      </c>
      <c r="F165" s="37" t="s">
        <v>363</v>
      </c>
      <c r="G165" s="37" t="s">
        <v>124</v>
      </c>
      <c r="H165" s="36" t="s">
        <v>131</v>
      </c>
      <c r="I165" s="36" t="s">
        <v>440</v>
      </c>
      <c r="J165" s="37" t="s">
        <v>441</v>
      </c>
      <c r="K165" s="38" t="n">
        <v>390</v>
      </c>
      <c r="L165" s="38" t="n">
        <v>26910000</v>
      </c>
      <c r="M165" s="38" t="n">
        <v>8154120</v>
      </c>
      <c r="N165" s="39" t="n">
        <f aca="false">IF(A165="제외",0,IF(OR(N(L165)&lt;=0,N(M165)&gt;N(L165)),N(M165)/요약!$D$27,N(L165)))</f>
        <v>26910000</v>
      </c>
      <c r="O165" s="32" t="str">
        <f aca="false">IF(A165="제외","",IF(OR(N(L165)&lt;=0,N(M165)&gt;N(L165)),"택가보정(판매금액÷공급율)",""))</f>
        <v/>
      </c>
      <c r="P165" s="0" t="str">
        <f aca="false">IF(A165="HK","100",IF(A165="CN","200",IF(A165="TW","300",IF(ISNUMBER(SEARCH("태국",C165)),"500",IF(ISNUMBER(SEARCH("말레이",C165)),"600",IF(ISNUMBER(SEARCH("필리핀",C165)),"700",IF(ISNUMBER(SEARCH("인도네시아",C165)),"800",IF(ISNUMBER(SEARCH("크루즈",C165)),"810",IF(ISNUMBER(SEARCH("동물원",C165)),"830","")))))))))</f>
        <v>300</v>
      </c>
    </row>
    <row r="166" customFormat="false" ht="15" hidden="false" customHeight="false" outlineLevel="0" collapsed="false">
      <c r="A166" s="32" t="str">
        <f aca="false">IF(OR(TRIM(C166)="",SUBSTITUTE(C166," ","")="소계"),"제외",IF(ISNUMBER(SEARCH("홍콩",C166)),"HK",IF(ISNUMBER(SEARCH("상해",C166)),"CN",IF(ISNUMBER(SEARCH("대만",C166)),"TW","홀세일"))))</f>
        <v>TW</v>
      </c>
      <c r="B166" s="36" t="s">
        <v>98</v>
      </c>
      <c r="C166" s="36" t="s">
        <v>99</v>
      </c>
      <c r="D166" s="37" t="s">
        <v>123</v>
      </c>
      <c r="E166" s="36" t="n">
        <v>2026</v>
      </c>
      <c r="F166" s="37" t="s">
        <v>363</v>
      </c>
      <c r="G166" s="37" t="s">
        <v>124</v>
      </c>
      <c r="H166" s="36" t="s">
        <v>131</v>
      </c>
      <c r="I166" s="36" t="s">
        <v>442</v>
      </c>
      <c r="J166" s="37" t="s">
        <v>443</v>
      </c>
      <c r="K166" s="38" t="n">
        <v>120</v>
      </c>
      <c r="L166" s="38" t="n">
        <v>9480000</v>
      </c>
      <c r="M166" s="38" t="n">
        <v>2759880</v>
      </c>
      <c r="N166" s="39" t="n">
        <f aca="false">IF(A166="제외",0,IF(OR(N(L166)&lt;=0,N(M166)&gt;N(L166)),N(M166)/요약!$D$27,N(L166)))</f>
        <v>9480000</v>
      </c>
      <c r="O166" s="32" t="str">
        <f aca="false">IF(A166="제외","",IF(OR(N(L166)&lt;=0,N(M166)&gt;N(L166)),"택가보정(판매금액÷공급율)",""))</f>
        <v/>
      </c>
      <c r="P166" s="0" t="str">
        <f aca="false">IF(A166="HK","100",IF(A166="CN","200",IF(A166="TW","300",IF(ISNUMBER(SEARCH("태국",C166)),"500",IF(ISNUMBER(SEARCH("말레이",C166)),"600",IF(ISNUMBER(SEARCH("필리핀",C166)),"700",IF(ISNUMBER(SEARCH("인도네시아",C166)),"800",IF(ISNUMBER(SEARCH("크루즈",C166)),"810",IF(ISNUMBER(SEARCH("동물원",C166)),"830","")))))))))</f>
        <v>300</v>
      </c>
    </row>
    <row r="167" customFormat="false" ht="15" hidden="false" customHeight="false" outlineLevel="0" collapsed="false">
      <c r="A167" s="32" t="str">
        <f aca="false">IF(OR(TRIM(C167)="",SUBSTITUTE(C167," ","")="소계"),"제외",IF(ISNUMBER(SEARCH("홍콩",C167)),"HK",IF(ISNUMBER(SEARCH("상해",C167)),"CN",IF(ISNUMBER(SEARCH("대만",C167)),"TW","홀세일"))))</f>
        <v>TW</v>
      </c>
      <c r="B167" s="36" t="s">
        <v>98</v>
      </c>
      <c r="C167" s="36" t="s">
        <v>99</v>
      </c>
      <c r="D167" s="37" t="s">
        <v>123</v>
      </c>
      <c r="E167" s="36" t="n">
        <v>2026</v>
      </c>
      <c r="F167" s="37" t="s">
        <v>363</v>
      </c>
      <c r="G167" s="37" t="s">
        <v>124</v>
      </c>
      <c r="H167" s="36" t="s">
        <v>131</v>
      </c>
      <c r="I167" s="36" t="s">
        <v>444</v>
      </c>
      <c r="J167" s="36" t="s">
        <v>445</v>
      </c>
      <c r="K167" s="38" t="n">
        <v>300</v>
      </c>
      <c r="L167" s="38" t="n">
        <v>29700000</v>
      </c>
      <c r="M167" s="38" t="n">
        <v>10189500</v>
      </c>
      <c r="N167" s="39" t="n">
        <f aca="false">IF(A167="제외",0,IF(OR(N(L167)&lt;=0,N(M167)&gt;N(L167)),N(M167)/요약!$D$27,N(L167)))</f>
        <v>29700000</v>
      </c>
      <c r="O167" s="32" t="str">
        <f aca="false">IF(A167="제외","",IF(OR(N(L167)&lt;=0,N(M167)&gt;N(L167)),"택가보정(판매금액÷공급율)",""))</f>
        <v/>
      </c>
      <c r="P167" s="0" t="str">
        <f aca="false">IF(A167="HK","100",IF(A167="CN","200",IF(A167="TW","300",IF(ISNUMBER(SEARCH("태국",C167)),"500",IF(ISNUMBER(SEARCH("말레이",C167)),"600",IF(ISNUMBER(SEARCH("필리핀",C167)),"700",IF(ISNUMBER(SEARCH("인도네시아",C167)),"800",IF(ISNUMBER(SEARCH("크루즈",C167)),"810",IF(ISNUMBER(SEARCH("동물원",C167)),"830","")))))))))</f>
        <v>300</v>
      </c>
    </row>
    <row r="168" customFormat="false" ht="15" hidden="false" customHeight="false" outlineLevel="0" collapsed="false">
      <c r="A168" s="32" t="str">
        <f aca="false">IF(OR(TRIM(C168)="",SUBSTITUTE(C168," ","")="소계"),"제외",IF(ISNUMBER(SEARCH("홍콩",C168)),"HK",IF(ISNUMBER(SEARCH("상해",C168)),"CN",IF(ISNUMBER(SEARCH("대만",C168)),"TW","홀세일"))))</f>
        <v>TW</v>
      </c>
      <c r="B168" s="36" t="s">
        <v>98</v>
      </c>
      <c r="C168" s="36" t="s">
        <v>99</v>
      </c>
      <c r="D168" s="37" t="s">
        <v>123</v>
      </c>
      <c r="E168" s="36" t="n">
        <v>2026</v>
      </c>
      <c r="F168" s="37" t="s">
        <v>363</v>
      </c>
      <c r="G168" s="37" t="s">
        <v>124</v>
      </c>
      <c r="H168" s="36" t="s">
        <v>125</v>
      </c>
      <c r="I168" s="36" t="s">
        <v>446</v>
      </c>
      <c r="J168" s="37" t="s">
        <v>447</v>
      </c>
      <c r="K168" s="38" t="n">
        <v>100</v>
      </c>
      <c r="L168" s="38" t="n">
        <v>6900000</v>
      </c>
      <c r="M168" s="38" t="n">
        <v>2312600</v>
      </c>
      <c r="N168" s="39" t="n">
        <f aca="false">IF(A168="제외",0,IF(OR(N(L168)&lt;=0,N(M168)&gt;N(L168)),N(M168)/요약!$D$27,N(L168)))</f>
        <v>6900000</v>
      </c>
      <c r="O168" s="32" t="str">
        <f aca="false">IF(A168="제외","",IF(OR(N(L168)&lt;=0,N(M168)&gt;N(L168)),"택가보정(판매금액÷공급율)",""))</f>
        <v/>
      </c>
      <c r="P168" s="0" t="str">
        <f aca="false">IF(A168="HK","100",IF(A168="CN","200",IF(A168="TW","300",IF(ISNUMBER(SEARCH("태국",C168)),"500",IF(ISNUMBER(SEARCH("말레이",C168)),"600",IF(ISNUMBER(SEARCH("필리핀",C168)),"700",IF(ISNUMBER(SEARCH("인도네시아",C168)),"800",IF(ISNUMBER(SEARCH("크루즈",C168)),"810",IF(ISNUMBER(SEARCH("동물원",C168)),"830","")))))))))</f>
        <v>300</v>
      </c>
    </row>
    <row r="169" customFormat="false" ht="15" hidden="false" customHeight="false" outlineLevel="0" collapsed="false">
      <c r="A169" s="32" t="str">
        <f aca="false">IF(OR(TRIM(C169)="",SUBSTITUTE(C169," ","")="소계"),"제외",IF(ISNUMBER(SEARCH("홍콩",C169)),"HK",IF(ISNUMBER(SEARCH("상해",C169)),"CN",IF(ISNUMBER(SEARCH("대만",C169)),"TW","홀세일"))))</f>
        <v>TW</v>
      </c>
      <c r="B169" s="36" t="s">
        <v>98</v>
      </c>
      <c r="C169" s="36" t="s">
        <v>99</v>
      </c>
      <c r="D169" s="37" t="s">
        <v>123</v>
      </c>
      <c r="E169" s="36" t="n">
        <v>2026</v>
      </c>
      <c r="F169" s="37" t="s">
        <v>363</v>
      </c>
      <c r="G169" s="37" t="s">
        <v>124</v>
      </c>
      <c r="H169" s="36" t="s">
        <v>125</v>
      </c>
      <c r="I169" s="36" t="s">
        <v>448</v>
      </c>
      <c r="J169" s="37" t="s">
        <v>449</v>
      </c>
      <c r="K169" s="38" t="n">
        <v>100</v>
      </c>
      <c r="L169" s="38" t="n">
        <v>7900000</v>
      </c>
      <c r="M169" s="38" t="n">
        <v>2639000</v>
      </c>
      <c r="N169" s="39" t="n">
        <f aca="false">IF(A169="제외",0,IF(OR(N(L169)&lt;=0,N(M169)&gt;N(L169)),N(M169)/요약!$D$27,N(L169)))</f>
        <v>7900000</v>
      </c>
      <c r="O169" s="32" t="str">
        <f aca="false">IF(A169="제외","",IF(OR(N(L169)&lt;=0,N(M169)&gt;N(L169)),"택가보정(판매금액÷공급율)",""))</f>
        <v/>
      </c>
      <c r="P169" s="0" t="str">
        <f aca="false">IF(A169="HK","100",IF(A169="CN","200",IF(A169="TW","300",IF(ISNUMBER(SEARCH("태국",C169)),"500",IF(ISNUMBER(SEARCH("말레이",C169)),"600",IF(ISNUMBER(SEARCH("필리핀",C169)),"700",IF(ISNUMBER(SEARCH("인도네시아",C169)),"800",IF(ISNUMBER(SEARCH("크루즈",C169)),"810",IF(ISNUMBER(SEARCH("동물원",C169)),"830","")))))))))</f>
        <v>300</v>
      </c>
    </row>
    <row r="170" customFormat="false" ht="15" hidden="false" customHeight="false" outlineLevel="0" collapsed="false">
      <c r="A170" s="32" t="str">
        <f aca="false">IF(OR(TRIM(C170)="",SUBSTITUTE(C170," ","")="소계"),"제외",IF(ISNUMBER(SEARCH("홍콩",C170)),"HK",IF(ISNUMBER(SEARCH("상해",C170)),"CN",IF(ISNUMBER(SEARCH("대만",C170)),"TW","홀세일"))))</f>
        <v>TW</v>
      </c>
      <c r="B170" s="36" t="s">
        <v>98</v>
      </c>
      <c r="C170" s="36" t="s">
        <v>99</v>
      </c>
      <c r="D170" s="37" t="s">
        <v>123</v>
      </c>
      <c r="E170" s="36" t="n">
        <v>2026</v>
      </c>
      <c r="F170" s="37" t="s">
        <v>363</v>
      </c>
      <c r="G170" s="37" t="s">
        <v>124</v>
      </c>
      <c r="H170" s="36" t="s">
        <v>125</v>
      </c>
      <c r="I170" s="36" t="s">
        <v>450</v>
      </c>
      <c r="J170" s="37" t="s">
        <v>451</v>
      </c>
      <c r="K170" s="38" t="n">
        <v>270</v>
      </c>
      <c r="L170" s="38" t="n">
        <v>18630000</v>
      </c>
      <c r="M170" s="38" t="n">
        <v>6342300</v>
      </c>
      <c r="N170" s="39" t="n">
        <f aca="false">IF(A170="제외",0,IF(OR(N(L170)&lt;=0,N(M170)&gt;N(L170)),N(M170)/요약!$D$27,N(L170)))</f>
        <v>18630000</v>
      </c>
      <c r="O170" s="32" t="str">
        <f aca="false">IF(A170="제외","",IF(OR(N(L170)&lt;=0,N(M170)&gt;N(L170)),"택가보정(판매금액÷공급율)",""))</f>
        <v/>
      </c>
      <c r="P170" s="0" t="str">
        <f aca="false">IF(A170="HK","100",IF(A170="CN","200",IF(A170="TW","300",IF(ISNUMBER(SEARCH("태국",C170)),"500",IF(ISNUMBER(SEARCH("말레이",C170)),"600",IF(ISNUMBER(SEARCH("필리핀",C170)),"700",IF(ISNUMBER(SEARCH("인도네시아",C170)),"800",IF(ISNUMBER(SEARCH("크루즈",C170)),"810",IF(ISNUMBER(SEARCH("동물원",C170)),"830","")))))))))</f>
        <v>300</v>
      </c>
    </row>
    <row r="171" customFormat="false" ht="15" hidden="false" customHeight="false" outlineLevel="0" collapsed="false">
      <c r="A171" s="32" t="str">
        <f aca="false">IF(OR(TRIM(C171)="",SUBSTITUTE(C171," ","")="소계"),"제외",IF(ISNUMBER(SEARCH("홍콩",C171)),"HK",IF(ISNUMBER(SEARCH("상해",C171)),"CN",IF(ISNUMBER(SEARCH("대만",C171)),"TW","홀세일"))))</f>
        <v>TW</v>
      </c>
      <c r="B171" s="36" t="s">
        <v>98</v>
      </c>
      <c r="C171" s="36" t="s">
        <v>99</v>
      </c>
      <c r="D171" s="37" t="s">
        <v>123</v>
      </c>
      <c r="E171" s="36" t="n">
        <v>2026</v>
      </c>
      <c r="F171" s="37" t="s">
        <v>363</v>
      </c>
      <c r="G171" s="37" t="s">
        <v>124</v>
      </c>
      <c r="H171" s="37" t="s">
        <v>128</v>
      </c>
      <c r="I171" s="36" t="s">
        <v>452</v>
      </c>
      <c r="J171" s="36" t="s">
        <v>453</v>
      </c>
      <c r="K171" s="38" t="n">
        <v>1600</v>
      </c>
      <c r="L171" s="38" t="n">
        <v>94400000</v>
      </c>
      <c r="M171" s="38" t="n">
        <v>34416000</v>
      </c>
      <c r="N171" s="39" t="n">
        <f aca="false">IF(A171="제외",0,IF(OR(N(L171)&lt;=0,N(M171)&gt;N(L171)),N(M171)/요약!$D$27,N(L171)))</f>
        <v>94400000</v>
      </c>
      <c r="O171" s="32" t="str">
        <f aca="false">IF(A171="제외","",IF(OR(N(L171)&lt;=0,N(M171)&gt;N(L171)),"택가보정(판매금액÷공급율)",""))</f>
        <v/>
      </c>
      <c r="P171" s="0" t="str">
        <f aca="false">IF(A171="HK","100",IF(A171="CN","200",IF(A171="TW","300",IF(ISNUMBER(SEARCH("태국",C171)),"500",IF(ISNUMBER(SEARCH("말레이",C171)),"600",IF(ISNUMBER(SEARCH("필리핀",C171)),"700",IF(ISNUMBER(SEARCH("인도네시아",C171)),"800",IF(ISNUMBER(SEARCH("크루즈",C171)),"810",IF(ISNUMBER(SEARCH("동물원",C171)),"830","")))))))))</f>
        <v>300</v>
      </c>
    </row>
    <row r="172" customFormat="false" ht="15" hidden="false" customHeight="false" outlineLevel="0" collapsed="false">
      <c r="A172" s="32" t="str">
        <f aca="false">IF(OR(TRIM(C172)="",SUBSTITUTE(C172," ","")="소계"),"제외",IF(ISNUMBER(SEARCH("홍콩",C172)),"HK",IF(ISNUMBER(SEARCH("상해",C172)),"CN",IF(ISNUMBER(SEARCH("대만",C172)),"TW","홀세일"))))</f>
        <v>TW</v>
      </c>
      <c r="B172" s="36" t="s">
        <v>98</v>
      </c>
      <c r="C172" s="36" t="s">
        <v>99</v>
      </c>
      <c r="D172" s="37" t="s">
        <v>123</v>
      </c>
      <c r="E172" s="36" t="n">
        <v>2026</v>
      </c>
      <c r="F172" s="37" t="s">
        <v>363</v>
      </c>
      <c r="G172" s="37" t="s">
        <v>124</v>
      </c>
      <c r="H172" s="36" t="s">
        <v>188</v>
      </c>
      <c r="I172" s="36" t="s">
        <v>454</v>
      </c>
      <c r="J172" s="36" t="s">
        <v>455</v>
      </c>
      <c r="K172" s="38" t="n">
        <v>140</v>
      </c>
      <c r="L172" s="38" t="n">
        <v>15260000</v>
      </c>
      <c r="M172" s="38" t="n">
        <v>5328260</v>
      </c>
      <c r="N172" s="39" t="n">
        <f aca="false">IF(A172="제외",0,IF(OR(N(L172)&lt;=0,N(M172)&gt;N(L172)),N(M172)/요약!$D$27,N(L172)))</f>
        <v>15260000</v>
      </c>
      <c r="O172" s="32" t="str">
        <f aca="false">IF(A172="제외","",IF(OR(N(L172)&lt;=0,N(M172)&gt;N(L172)),"택가보정(판매금액÷공급율)",""))</f>
        <v/>
      </c>
      <c r="P172" s="0" t="str">
        <f aca="false">IF(A172="HK","100",IF(A172="CN","200",IF(A172="TW","300",IF(ISNUMBER(SEARCH("태국",C172)),"500",IF(ISNUMBER(SEARCH("말레이",C172)),"600",IF(ISNUMBER(SEARCH("필리핀",C172)),"700",IF(ISNUMBER(SEARCH("인도네시아",C172)),"800",IF(ISNUMBER(SEARCH("크루즈",C172)),"810",IF(ISNUMBER(SEARCH("동물원",C172)),"830","")))))))))</f>
        <v>300</v>
      </c>
    </row>
    <row r="173" customFormat="false" ht="15" hidden="false" customHeight="false" outlineLevel="0" collapsed="false">
      <c r="A173" s="32" t="str">
        <f aca="false">IF(OR(TRIM(C173)="",SUBSTITUTE(C173," ","")="소계"),"제외",IF(ISNUMBER(SEARCH("홍콩",C173)),"HK",IF(ISNUMBER(SEARCH("상해",C173)),"CN",IF(ISNUMBER(SEARCH("대만",C173)),"TW","홀세일"))))</f>
        <v>TW</v>
      </c>
      <c r="B173" s="36" t="s">
        <v>98</v>
      </c>
      <c r="C173" s="36" t="s">
        <v>99</v>
      </c>
      <c r="D173" s="37" t="s">
        <v>123</v>
      </c>
      <c r="E173" s="36" t="n">
        <v>2026</v>
      </c>
      <c r="F173" s="37" t="s">
        <v>363</v>
      </c>
      <c r="G173" s="37" t="s">
        <v>124</v>
      </c>
      <c r="H173" s="36" t="s">
        <v>188</v>
      </c>
      <c r="I173" s="36" t="s">
        <v>456</v>
      </c>
      <c r="J173" s="36" t="s">
        <v>457</v>
      </c>
      <c r="K173" s="38" t="n">
        <v>100</v>
      </c>
      <c r="L173" s="38" t="n">
        <v>14900000</v>
      </c>
      <c r="M173" s="38" t="n">
        <v>5001000</v>
      </c>
      <c r="N173" s="39" t="n">
        <f aca="false">IF(A173="제외",0,IF(OR(N(L173)&lt;=0,N(M173)&gt;N(L173)),N(M173)/요약!$D$27,N(L173)))</f>
        <v>14900000</v>
      </c>
      <c r="O173" s="32" t="str">
        <f aca="false">IF(A173="제외","",IF(OR(N(L173)&lt;=0,N(M173)&gt;N(L173)),"택가보정(판매금액÷공급율)",""))</f>
        <v/>
      </c>
      <c r="P173" s="0" t="str">
        <f aca="false">IF(A173="HK","100",IF(A173="CN","200",IF(A173="TW","300",IF(ISNUMBER(SEARCH("태국",C173)),"500",IF(ISNUMBER(SEARCH("말레이",C173)),"600",IF(ISNUMBER(SEARCH("필리핀",C173)),"700",IF(ISNUMBER(SEARCH("인도네시아",C173)),"800",IF(ISNUMBER(SEARCH("크루즈",C173)),"810",IF(ISNUMBER(SEARCH("동물원",C173)),"830","")))))))))</f>
        <v>300</v>
      </c>
    </row>
    <row r="174" customFormat="false" ht="15" hidden="false" customHeight="false" outlineLevel="0" collapsed="false">
      <c r="A174" s="32" t="str">
        <f aca="false">IF(OR(TRIM(C174)="",SUBSTITUTE(C174," ","")="소계"),"제외",IF(ISNUMBER(SEARCH("홍콩",C174)),"HK",IF(ISNUMBER(SEARCH("상해",C174)),"CN",IF(ISNUMBER(SEARCH("대만",C174)),"TW","홀세일"))))</f>
        <v>TW</v>
      </c>
      <c r="B174" s="36" t="s">
        <v>98</v>
      </c>
      <c r="C174" s="36" t="s">
        <v>99</v>
      </c>
      <c r="D174" s="37" t="s">
        <v>123</v>
      </c>
      <c r="E174" s="36" t="n">
        <v>2026</v>
      </c>
      <c r="F174" s="37" t="s">
        <v>363</v>
      </c>
      <c r="G174" s="37" t="s">
        <v>124</v>
      </c>
      <c r="H174" s="36" t="s">
        <v>188</v>
      </c>
      <c r="I174" s="36" t="s">
        <v>458</v>
      </c>
      <c r="J174" s="36" t="s">
        <v>459</v>
      </c>
      <c r="K174" s="38" t="n">
        <v>255</v>
      </c>
      <c r="L174" s="38" t="n">
        <v>37995000</v>
      </c>
      <c r="M174" s="38" t="n">
        <v>13207470</v>
      </c>
      <c r="N174" s="39" t="n">
        <f aca="false">IF(A174="제외",0,IF(OR(N(L174)&lt;=0,N(M174)&gt;N(L174)),N(M174)/요약!$D$27,N(L174)))</f>
        <v>37995000</v>
      </c>
      <c r="O174" s="32" t="str">
        <f aca="false">IF(A174="제외","",IF(OR(N(L174)&lt;=0,N(M174)&gt;N(L174)),"택가보정(판매금액÷공급율)",""))</f>
        <v/>
      </c>
      <c r="P174" s="0" t="str">
        <f aca="false">IF(A174="HK","100",IF(A174="CN","200",IF(A174="TW","300",IF(ISNUMBER(SEARCH("태국",C174)),"500",IF(ISNUMBER(SEARCH("말레이",C174)),"600",IF(ISNUMBER(SEARCH("필리핀",C174)),"700",IF(ISNUMBER(SEARCH("인도네시아",C174)),"800",IF(ISNUMBER(SEARCH("크루즈",C174)),"810",IF(ISNUMBER(SEARCH("동물원",C174)),"830","")))))))))</f>
        <v>300</v>
      </c>
    </row>
    <row r="175" customFormat="false" ht="15" hidden="false" customHeight="false" outlineLevel="0" collapsed="false">
      <c r="A175" s="32" t="str">
        <f aca="false">IF(OR(TRIM(C175)="",SUBSTITUTE(C175," ","")="소계"),"제외",IF(ISNUMBER(SEARCH("홍콩",C175)),"HK",IF(ISNUMBER(SEARCH("상해",C175)),"CN",IF(ISNUMBER(SEARCH("대만",C175)),"TW","홀세일"))))</f>
        <v>TW</v>
      </c>
      <c r="B175" s="36" t="s">
        <v>98</v>
      </c>
      <c r="C175" s="36" t="s">
        <v>99</v>
      </c>
      <c r="D175" s="37" t="s">
        <v>123</v>
      </c>
      <c r="E175" s="36" t="n">
        <v>2026</v>
      </c>
      <c r="F175" s="37" t="s">
        <v>363</v>
      </c>
      <c r="G175" s="37" t="s">
        <v>124</v>
      </c>
      <c r="H175" s="36" t="s">
        <v>188</v>
      </c>
      <c r="I175" s="36" t="s">
        <v>460</v>
      </c>
      <c r="J175" s="36" t="s">
        <v>461</v>
      </c>
      <c r="K175" s="38" t="n">
        <v>220</v>
      </c>
      <c r="L175" s="38" t="n">
        <v>30580000</v>
      </c>
      <c r="M175" s="38" t="n">
        <v>10083040</v>
      </c>
      <c r="N175" s="39" t="n">
        <f aca="false">IF(A175="제외",0,IF(OR(N(L175)&lt;=0,N(M175)&gt;N(L175)),N(M175)/요약!$D$27,N(L175)))</f>
        <v>30580000</v>
      </c>
      <c r="O175" s="32" t="str">
        <f aca="false">IF(A175="제외","",IF(OR(N(L175)&lt;=0,N(M175)&gt;N(L175)),"택가보정(판매금액÷공급율)",""))</f>
        <v/>
      </c>
      <c r="P175" s="0" t="str">
        <f aca="false">IF(A175="HK","100",IF(A175="CN","200",IF(A175="TW","300",IF(ISNUMBER(SEARCH("태국",C175)),"500",IF(ISNUMBER(SEARCH("말레이",C175)),"600",IF(ISNUMBER(SEARCH("필리핀",C175)),"700",IF(ISNUMBER(SEARCH("인도네시아",C175)),"800",IF(ISNUMBER(SEARCH("크루즈",C175)),"810",IF(ISNUMBER(SEARCH("동물원",C175)),"830","")))))))))</f>
        <v>300</v>
      </c>
    </row>
    <row r="176" customFormat="false" ht="15" hidden="false" customHeight="false" outlineLevel="0" collapsed="false">
      <c r="A176" s="32" t="str">
        <f aca="false">IF(OR(TRIM(C176)="",SUBSTITUTE(C176," ","")="소계"),"제외",IF(ISNUMBER(SEARCH("홍콩",C176)),"HK",IF(ISNUMBER(SEARCH("상해",C176)),"CN",IF(ISNUMBER(SEARCH("대만",C176)),"TW","홀세일"))))</f>
        <v>TW</v>
      </c>
      <c r="B176" s="36" t="s">
        <v>98</v>
      </c>
      <c r="C176" s="36" t="s">
        <v>99</v>
      </c>
      <c r="D176" s="37" t="s">
        <v>123</v>
      </c>
      <c r="E176" s="36" t="n">
        <v>2026</v>
      </c>
      <c r="F176" s="37" t="s">
        <v>363</v>
      </c>
      <c r="G176" s="37" t="s">
        <v>124</v>
      </c>
      <c r="H176" s="36" t="s">
        <v>188</v>
      </c>
      <c r="I176" s="36" t="s">
        <v>462</v>
      </c>
      <c r="J176" s="36" t="s">
        <v>463</v>
      </c>
      <c r="K176" s="38" t="n">
        <v>50</v>
      </c>
      <c r="L176" s="38" t="n">
        <v>7950000</v>
      </c>
      <c r="M176" s="38" t="n">
        <v>2653150</v>
      </c>
      <c r="N176" s="39" t="n">
        <f aca="false">IF(A176="제외",0,IF(OR(N(L176)&lt;=0,N(M176)&gt;N(L176)),N(M176)/요약!$D$27,N(L176)))</f>
        <v>7950000</v>
      </c>
      <c r="O176" s="32" t="str">
        <f aca="false">IF(A176="제외","",IF(OR(N(L176)&lt;=0,N(M176)&gt;N(L176)),"택가보정(판매금액÷공급율)",""))</f>
        <v/>
      </c>
      <c r="P176" s="0" t="str">
        <f aca="false">IF(A176="HK","100",IF(A176="CN","200",IF(A176="TW","300",IF(ISNUMBER(SEARCH("태국",C176)),"500",IF(ISNUMBER(SEARCH("말레이",C176)),"600",IF(ISNUMBER(SEARCH("필리핀",C176)),"700",IF(ISNUMBER(SEARCH("인도네시아",C176)),"800",IF(ISNUMBER(SEARCH("크루즈",C176)),"810",IF(ISNUMBER(SEARCH("동물원",C176)),"830","")))))))))</f>
        <v>300</v>
      </c>
    </row>
    <row r="177" customFormat="false" ht="15" hidden="false" customHeight="false" outlineLevel="0" collapsed="false">
      <c r="A177" s="32" t="str">
        <f aca="false">IF(OR(TRIM(C177)="",SUBSTITUTE(C177," ","")="소계"),"제외",IF(ISNUMBER(SEARCH("홍콩",C177)),"HK",IF(ISNUMBER(SEARCH("상해",C177)),"CN",IF(ISNUMBER(SEARCH("대만",C177)),"TW","홀세일"))))</f>
        <v>TW</v>
      </c>
      <c r="B177" s="36" t="s">
        <v>98</v>
      </c>
      <c r="C177" s="36" t="s">
        <v>99</v>
      </c>
      <c r="D177" s="37" t="s">
        <v>123</v>
      </c>
      <c r="E177" s="36" t="n">
        <v>2026</v>
      </c>
      <c r="F177" s="37" t="s">
        <v>363</v>
      </c>
      <c r="G177" s="37" t="s">
        <v>124</v>
      </c>
      <c r="H177" s="36" t="s">
        <v>188</v>
      </c>
      <c r="I177" s="36" t="s">
        <v>464</v>
      </c>
      <c r="J177" s="36" t="s">
        <v>465</v>
      </c>
      <c r="K177" s="38" t="n">
        <v>270</v>
      </c>
      <c r="L177" s="38" t="n">
        <v>69930000</v>
      </c>
      <c r="M177" s="38" t="n">
        <v>24186870</v>
      </c>
      <c r="N177" s="39" t="n">
        <f aca="false">IF(A177="제외",0,IF(OR(N(L177)&lt;=0,N(M177)&gt;N(L177)),N(M177)/요약!$D$27,N(L177)))</f>
        <v>69930000</v>
      </c>
      <c r="O177" s="32" t="str">
        <f aca="false">IF(A177="제외","",IF(OR(N(L177)&lt;=0,N(M177)&gt;N(L177)),"택가보정(판매금액÷공급율)",""))</f>
        <v/>
      </c>
      <c r="P177" s="0" t="str">
        <f aca="false">IF(A177="HK","100",IF(A177="CN","200",IF(A177="TW","300",IF(ISNUMBER(SEARCH("태국",C177)),"500",IF(ISNUMBER(SEARCH("말레이",C177)),"600",IF(ISNUMBER(SEARCH("필리핀",C177)),"700",IF(ISNUMBER(SEARCH("인도네시아",C177)),"800",IF(ISNUMBER(SEARCH("크루즈",C177)),"810",IF(ISNUMBER(SEARCH("동물원",C177)),"830","")))))))))</f>
        <v>300</v>
      </c>
    </row>
    <row r="178" customFormat="false" ht="15" hidden="false" customHeight="false" outlineLevel="0" collapsed="false">
      <c r="A178" s="32" t="str">
        <f aca="false">IF(OR(TRIM(C178)="",SUBSTITUTE(C178," ","")="소계"),"제외",IF(ISNUMBER(SEARCH("홍콩",C178)),"HK",IF(ISNUMBER(SEARCH("상해",C178)),"CN",IF(ISNUMBER(SEARCH("대만",C178)),"TW","홀세일"))))</f>
        <v>TW</v>
      </c>
      <c r="B178" s="36" t="s">
        <v>98</v>
      </c>
      <c r="C178" s="36" t="s">
        <v>99</v>
      </c>
      <c r="D178" s="37" t="s">
        <v>123</v>
      </c>
      <c r="E178" s="36" t="n">
        <v>2026</v>
      </c>
      <c r="F178" s="37" t="s">
        <v>363</v>
      </c>
      <c r="G178" s="37" t="s">
        <v>124</v>
      </c>
      <c r="H178" s="36" t="s">
        <v>188</v>
      </c>
      <c r="I178" s="36" t="s">
        <v>466</v>
      </c>
      <c r="J178" s="36" t="s">
        <v>467</v>
      </c>
      <c r="K178" s="38" t="n">
        <v>270</v>
      </c>
      <c r="L178" s="38" t="n">
        <v>42930000</v>
      </c>
      <c r="M178" s="38" t="n">
        <v>14034600</v>
      </c>
      <c r="N178" s="39" t="n">
        <f aca="false">IF(A178="제외",0,IF(OR(N(L178)&lt;=0,N(M178)&gt;N(L178)),N(M178)/요약!$D$27,N(L178)))</f>
        <v>42930000</v>
      </c>
      <c r="O178" s="32" t="str">
        <f aca="false">IF(A178="제외","",IF(OR(N(L178)&lt;=0,N(M178)&gt;N(L178)),"택가보정(판매금액÷공급율)",""))</f>
        <v/>
      </c>
      <c r="P178" s="0" t="str">
        <f aca="false">IF(A178="HK","100",IF(A178="CN","200",IF(A178="TW","300",IF(ISNUMBER(SEARCH("태국",C178)),"500",IF(ISNUMBER(SEARCH("말레이",C178)),"600",IF(ISNUMBER(SEARCH("필리핀",C178)),"700",IF(ISNUMBER(SEARCH("인도네시아",C178)),"800",IF(ISNUMBER(SEARCH("크루즈",C178)),"810",IF(ISNUMBER(SEARCH("동물원",C178)),"830","")))))))))</f>
        <v>300</v>
      </c>
    </row>
    <row r="179" customFormat="false" ht="15" hidden="false" customHeight="false" outlineLevel="0" collapsed="false">
      <c r="A179" s="32" t="str">
        <f aca="false">IF(OR(TRIM(C179)="",SUBSTITUTE(C179," ","")="소계"),"제외",IF(ISNUMBER(SEARCH("홍콩",C179)),"HK",IF(ISNUMBER(SEARCH("상해",C179)),"CN",IF(ISNUMBER(SEARCH("대만",C179)),"TW","홀세일"))))</f>
        <v>TW</v>
      </c>
      <c r="B179" s="36" t="s">
        <v>98</v>
      </c>
      <c r="C179" s="36" t="s">
        <v>99</v>
      </c>
      <c r="D179" s="37" t="s">
        <v>123</v>
      </c>
      <c r="E179" s="36" t="n">
        <v>2026</v>
      </c>
      <c r="F179" s="37" t="s">
        <v>363</v>
      </c>
      <c r="G179" s="37" t="s">
        <v>124</v>
      </c>
      <c r="H179" s="36" t="s">
        <v>188</v>
      </c>
      <c r="I179" s="36" t="s">
        <v>468</v>
      </c>
      <c r="J179" s="36" t="s">
        <v>469</v>
      </c>
      <c r="K179" s="38" t="n">
        <v>280</v>
      </c>
      <c r="L179" s="38" t="n">
        <v>52920000</v>
      </c>
      <c r="M179" s="38" t="n">
        <v>18385920</v>
      </c>
      <c r="N179" s="39" t="n">
        <f aca="false">IF(A179="제외",0,IF(OR(N(L179)&lt;=0,N(M179)&gt;N(L179)),N(M179)/요약!$D$27,N(L179)))</f>
        <v>52920000</v>
      </c>
      <c r="O179" s="32" t="str">
        <f aca="false">IF(A179="제외","",IF(OR(N(L179)&lt;=0,N(M179)&gt;N(L179)),"택가보정(판매금액÷공급율)",""))</f>
        <v/>
      </c>
      <c r="P179" s="0" t="str">
        <f aca="false">IF(A179="HK","100",IF(A179="CN","200",IF(A179="TW","300",IF(ISNUMBER(SEARCH("태국",C179)),"500",IF(ISNUMBER(SEARCH("말레이",C179)),"600",IF(ISNUMBER(SEARCH("필리핀",C179)),"700",IF(ISNUMBER(SEARCH("인도네시아",C179)),"800",IF(ISNUMBER(SEARCH("크루즈",C179)),"810",IF(ISNUMBER(SEARCH("동물원",C179)),"830","")))))))))</f>
        <v>300</v>
      </c>
    </row>
    <row r="180" customFormat="false" ht="15" hidden="false" customHeight="false" outlineLevel="0" collapsed="false">
      <c r="A180" s="32" t="str">
        <f aca="false">IF(OR(TRIM(C180)="",SUBSTITUTE(C180," ","")="소계"),"제외",IF(ISNUMBER(SEARCH("홍콩",C180)),"HK",IF(ISNUMBER(SEARCH("상해",C180)),"CN",IF(ISNUMBER(SEARCH("대만",C180)),"TW","홀세일"))))</f>
        <v>TW</v>
      </c>
      <c r="B180" s="36" t="s">
        <v>98</v>
      </c>
      <c r="C180" s="36" t="s">
        <v>99</v>
      </c>
      <c r="D180" s="37" t="s">
        <v>123</v>
      </c>
      <c r="E180" s="36" t="n">
        <v>2026</v>
      </c>
      <c r="F180" s="37" t="s">
        <v>363</v>
      </c>
      <c r="G180" s="37" t="s">
        <v>124</v>
      </c>
      <c r="H180" s="36" t="s">
        <v>188</v>
      </c>
      <c r="I180" s="36" t="s">
        <v>470</v>
      </c>
      <c r="J180" s="36" t="s">
        <v>471</v>
      </c>
      <c r="K180" s="38" t="n">
        <v>290</v>
      </c>
      <c r="L180" s="38" t="n">
        <v>22910000</v>
      </c>
      <c r="M180" s="38" t="n">
        <v>7773160</v>
      </c>
      <c r="N180" s="39" t="n">
        <f aca="false">IF(A180="제외",0,IF(OR(N(L180)&lt;=0,N(M180)&gt;N(L180)),N(M180)/요약!$D$27,N(L180)))</f>
        <v>22910000</v>
      </c>
      <c r="O180" s="32" t="str">
        <f aca="false">IF(A180="제외","",IF(OR(N(L180)&lt;=0,N(M180)&gt;N(L180)),"택가보정(판매금액÷공급율)",""))</f>
        <v/>
      </c>
      <c r="P180" s="0" t="str">
        <f aca="false">IF(A180="HK","100",IF(A180="CN","200",IF(A180="TW","300",IF(ISNUMBER(SEARCH("태국",C180)),"500",IF(ISNUMBER(SEARCH("말레이",C180)),"600",IF(ISNUMBER(SEARCH("필리핀",C180)),"700",IF(ISNUMBER(SEARCH("인도네시아",C180)),"800",IF(ISNUMBER(SEARCH("크루즈",C180)),"810",IF(ISNUMBER(SEARCH("동물원",C180)),"830","")))))))))</f>
        <v>300</v>
      </c>
    </row>
    <row r="181" customFormat="false" ht="15" hidden="false" customHeight="false" outlineLevel="0" collapsed="false">
      <c r="A181" s="32" t="str">
        <f aca="false">IF(OR(TRIM(C181)="",SUBSTITUTE(C181," ","")="소계"),"제외",IF(ISNUMBER(SEARCH("홍콩",C181)),"HK",IF(ISNUMBER(SEARCH("상해",C181)),"CN",IF(ISNUMBER(SEARCH("대만",C181)),"TW","홀세일"))))</f>
        <v>TW</v>
      </c>
      <c r="B181" s="36" t="s">
        <v>98</v>
      </c>
      <c r="C181" s="36" t="s">
        <v>99</v>
      </c>
      <c r="D181" s="37" t="s">
        <v>123</v>
      </c>
      <c r="E181" s="36" t="n">
        <v>2026</v>
      </c>
      <c r="F181" s="37" t="s">
        <v>363</v>
      </c>
      <c r="G181" s="37" t="s">
        <v>124</v>
      </c>
      <c r="H181" s="36" t="s">
        <v>188</v>
      </c>
      <c r="I181" s="36" t="s">
        <v>472</v>
      </c>
      <c r="J181" s="36" t="s">
        <v>473</v>
      </c>
      <c r="K181" s="38" t="n">
        <v>540</v>
      </c>
      <c r="L181" s="38" t="n">
        <v>37260000</v>
      </c>
      <c r="M181" s="38" t="n">
        <v>11290320</v>
      </c>
      <c r="N181" s="39" t="n">
        <f aca="false">IF(A181="제외",0,IF(OR(N(L181)&lt;=0,N(M181)&gt;N(L181)),N(M181)/요약!$D$27,N(L181)))</f>
        <v>37260000</v>
      </c>
      <c r="O181" s="32" t="str">
        <f aca="false">IF(A181="제외","",IF(OR(N(L181)&lt;=0,N(M181)&gt;N(L181)),"택가보정(판매금액÷공급율)",""))</f>
        <v/>
      </c>
      <c r="P181" s="0" t="str">
        <f aca="false">IF(A181="HK","100",IF(A181="CN","200",IF(A181="TW","300",IF(ISNUMBER(SEARCH("태국",C181)),"500",IF(ISNUMBER(SEARCH("말레이",C181)),"600",IF(ISNUMBER(SEARCH("필리핀",C181)),"700",IF(ISNUMBER(SEARCH("인도네시아",C181)),"800",IF(ISNUMBER(SEARCH("크루즈",C181)),"810",IF(ISNUMBER(SEARCH("동물원",C181)),"830","")))))))))</f>
        <v>300</v>
      </c>
    </row>
    <row r="182" customFormat="false" ht="15" hidden="false" customHeight="false" outlineLevel="0" collapsed="false">
      <c r="A182" s="32" t="str">
        <f aca="false">IF(OR(TRIM(C182)="",SUBSTITUTE(C182," ","")="소계"),"제외",IF(ISNUMBER(SEARCH("홍콩",C182)),"HK",IF(ISNUMBER(SEARCH("상해",C182)),"CN",IF(ISNUMBER(SEARCH("대만",C182)),"TW","홀세일"))))</f>
        <v>TW</v>
      </c>
      <c r="B182" s="36" t="s">
        <v>98</v>
      </c>
      <c r="C182" s="36" t="s">
        <v>99</v>
      </c>
      <c r="D182" s="37" t="s">
        <v>123</v>
      </c>
      <c r="E182" s="36" t="n">
        <v>2026</v>
      </c>
      <c r="F182" s="37" t="s">
        <v>474</v>
      </c>
      <c r="G182" s="37" t="s">
        <v>102</v>
      </c>
      <c r="H182" s="36" t="s">
        <v>131</v>
      </c>
      <c r="I182" s="36" t="s">
        <v>475</v>
      </c>
      <c r="J182" s="37" t="s">
        <v>476</v>
      </c>
      <c r="K182" s="38" t="n">
        <v>200</v>
      </c>
      <c r="L182" s="38" t="n">
        <v>15800000</v>
      </c>
      <c r="M182" s="38" t="n">
        <v>5385600</v>
      </c>
      <c r="N182" s="39" t="n">
        <f aca="false">IF(A182="제외",0,IF(OR(N(L182)&lt;=0,N(M182)&gt;N(L182)),N(M182)/요약!$D$27,N(L182)))</f>
        <v>15800000</v>
      </c>
      <c r="O182" s="32" t="str">
        <f aca="false">IF(A182="제외","",IF(OR(N(L182)&lt;=0,N(M182)&gt;N(L182)),"택가보정(판매금액÷공급율)",""))</f>
        <v/>
      </c>
      <c r="P182" s="0" t="str">
        <f aca="false">IF(A182="HK","100",IF(A182="CN","200",IF(A182="TW","300",IF(ISNUMBER(SEARCH("태국",C182)),"500",IF(ISNUMBER(SEARCH("말레이",C182)),"600",IF(ISNUMBER(SEARCH("필리핀",C182)),"700",IF(ISNUMBER(SEARCH("인도네시아",C182)),"800",IF(ISNUMBER(SEARCH("크루즈",C182)),"810",IF(ISNUMBER(SEARCH("동물원",C182)),"830","")))))))))</f>
        <v>300</v>
      </c>
    </row>
    <row r="183" customFormat="false" ht="15" hidden="false" customHeight="false" outlineLevel="0" collapsed="false">
      <c r="A183" s="32" t="str">
        <f aca="false">IF(OR(TRIM(C183)="",SUBSTITUTE(C183," ","")="소계"),"제외",IF(ISNUMBER(SEARCH("홍콩",C183)),"HK",IF(ISNUMBER(SEARCH("상해",C183)),"CN",IF(ISNUMBER(SEARCH("대만",C183)),"TW","홀세일"))))</f>
        <v>TW</v>
      </c>
      <c r="B183" s="36" t="s">
        <v>98</v>
      </c>
      <c r="C183" s="36" t="s">
        <v>99</v>
      </c>
      <c r="D183" s="37" t="s">
        <v>123</v>
      </c>
      <c r="E183" s="36" t="n">
        <v>2026</v>
      </c>
      <c r="F183" s="37" t="s">
        <v>474</v>
      </c>
      <c r="G183" s="37" t="s">
        <v>102</v>
      </c>
      <c r="H183" s="36" t="s">
        <v>131</v>
      </c>
      <c r="I183" s="36" t="s">
        <v>477</v>
      </c>
      <c r="J183" s="36" t="s">
        <v>478</v>
      </c>
      <c r="K183" s="38" t="n">
        <v>200</v>
      </c>
      <c r="L183" s="38" t="n">
        <v>15800000</v>
      </c>
      <c r="M183" s="38" t="n">
        <v>5385600</v>
      </c>
      <c r="N183" s="39" t="n">
        <f aca="false">IF(A183="제외",0,IF(OR(N(L183)&lt;=0,N(M183)&gt;N(L183)),N(M183)/요약!$D$27,N(L183)))</f>
        <v>15800000</v>
      </c>
      <c r="O183" s="32" t="str">
        <f aca="false">IF(A183="제외","",IF(OR(N(L183)&lt;=0,N(M183)&gt;N(L183)),"택가보정(판매금액÷공급율)",""))</f>
        <v/>
      </c>
      <c r="P183" s="0" t="str">
        <f aca="false">IF(A183="HK","100",IF(A183="CN","200",IF(A183="TW","300",IF(ISNUMBER(SEARCH("태국",C183)),"500",IF(ISNUMBER(SEARCH("말레이",C183)),"600",IF(ISNUMBER(SEARCH("필리핀",C183)),"700",IF(ISNUMBER(SEARCH("인도네시아",C183)),"800",IF(ISNUMBER(SEARCH("크루즈",C183)),"810",IF(ISNUMBER(SEARCH("동물원",C183)),"830","")))))))))</f>
        <v>300</v>
      </c>
    </row>
    <row r="184" customFormat="false" ht="15" hidden="false" customHeight="false" outlineLevel="0" collapsed="false">
      <c r="A184" s="32" t="str">
        <f aca="false">IF(OR(TRIM(C184)="",SUBSTITUTE(C184," ","")="소계"),"제외",IF(ISNUMBER(SEARCH("홍콩",C184)),"HK",IF(ISNUMBER(SEARCH("상해",C184)),"CN",IF(ISNUMBER(SEARCH("대만",C184)),"TW","홀세일"))))</f>
        <v>TW</v>
      </c>
      <c r="B184" s="36" t="s">
        <v>98</v>
      </c>
      <c r="C184" s="36" t="s">
        <v>99</v>
      </c>
      <c r="D184" s="37" t="s">
        <v>123</v>
      </c>
      <c r="E184" s="36" t="n">
        <v>2026</v>
      </c>
      <c r="F184" s="37" t="s">
        <v>474</v>
      </c>
      <c r="G184" s="37" t="s">
        <v>124</v>
      </c>
      <c r="H184" s="36" t="s">
        <v>131</v>
      </c>
      <c r="I184" s="36" t="s">
        <v>479</v>
      </c>
      <c r="J184" s="37" t="s">
        <v>480</v>
      </c>
      <c r="K184" s="38" t="n">
        <v>180</v>
      </c>
      <c r="L184" s="38" t="n">
        <v>30420000</v>
      </c>
      <c r="M184" s="38" t="n">
        <v>10138500</v>
      </c>
      <c r="N184" s="39" t="n">
        <f aca="false">IF(A184="제외",0,IF(OR(N(L184)&lt;=0,N(M184)&gt;N(L184)),N(M184)/요약!$D$27,N(L184)))</f>
        <v>30420000</v>
      </c>
      <c r="O184" s="32" t="str">
        <f aca="false">IF(A184="제외","",IF(OR(N(L184)&lt;=0,N(M184)&gt;N(L184)),"택가보정(판매금액÷공급율)",""))</f>
        <v/>
      </c>
      <c r="P184" s="0" t="str">
        <f aca="false">IF(A184="HK","100",IF(A184="CN","200",IF(A184="TW","300",IF(ISNUMBER(SEARCH("태국",C184)),"500",IF(ISNUMBER(SEARCH("말레이",C184)),"600",IF(ISNUMBER(SEARCH("필리핀",C184)),"700",IF(ISNUMBER(SEARCH("인도네시아",C184)),"800",IF(ISNUMBER(SEARCH("크루즈",C184)),"810",IF(ISNUMBER(SEARCH("동물원",C184)),"830","")))))))))</f>
        <v>300</v>
      </c>
    </row>
    <row r="185" customFormat="false" ht="15" hidden="false" customHeight="false" outlineLevel="0" collapsed="false">
      <c r="A185" s="32" t="str">
        <f aca="false">IF(OR(TRIM(C185)="",SUBSTITUTE(C185," ","")="소계"),"제외",IF(ISNUMBER(SEARCH("홍콩",C185)),"HK",IF(ISNUMBER(SEARCH("상해",C185)),"CN",IF(ISNUMBER(SEARCH("대만",C185)),"TW","홀세일"))))</f>
        <v>TW</v>
      </c>
      <c r="B185" s="36" t="s">
        <v>98</v>
      </c>
      <c r="C185" s="36" t="s">
        <v>99</v>
      </c>
      <c r="D185" s="37" t="s">
        <v>123</v>
      </c>
      <c r="E185" s="36" t="n">
        <v>2026</v>
      </c>
      <c r="F185" s="37" t="s">
        <v>474</v>
      </c>
      <c r="G185" s="37" t="s">
        <v>124</v>
      </c>
      <c r="H185" s="36" t="s">
        <v>125</v>
      </c>
      <c r="I185" s="36" t="s">
        <v>481</v>
      </c>
      <c r="J185" s="37" t="s">
        <v>482</v>
      </c>
      <c r="K185" s="38" t="n">
        <v>100</v>
      </c>
      <c r="L185" s="38" t="n">
        <v>19900000</v>
      </c>
      <c r="M185" s="38" t="n">
        <v>6772800</v>
      </c>
      <c r="N185" s="39" t="n">
        <f aca="false">IF(A185="제외",0,IF(OR(N(L185)&lt;=0,N(M185)&gt;N(L185)),N(M185)/요약!$D$27,N(L185)))</f>
        <v>19900000</v>
      </c>
      <c r="O185" s="32" t="str">
        <f aca="false">IF(A185="제외","",IF(OR(N(L185)&lt;=0,N(M185)&gt;N(L185)),"택가보정(판매금액÷공급율)",""))</f>
        <v/>
      </c>
      <c r="P185" s="0" t="str">
        <f aca="false">IF(A185="HK","100",IF(A185="CN","200",IF(A185="TW","300",IF(ISNUMBER(SEARCH("태국",C185)),"500",IF(ISNUMBER(SEARCH("말레이",C185)),"600",IF(ISNUMBER(SEARCH("필리핀",C185)),"700",IF(ISNUMBER(SEARCH("인도네시아",C185)),"800",IF(ISNUMBER(SEARCH("크루즈",C185)),"810",IF(ISNUMBER(SEARCH("동물원",C185)),"830","")))))))))</f>
        <v>300</v>
      </c>
    </row>
    <row r="186" customFormat="false" ht="15" hidden="false" customHeight="false" outlineLevel="0" collapsed="false">
      <c r="A186" s="32" t="str">
        <f aca="false">IF(OR(TRIM(C186)="",SUBSTITUTE(C186," ","")="소계"),"제외",IF(ISNUMBER(SEARCH("홍콩",C186)),"HK",IF(ISNUMBER(SEARCH("상해",C186)),"CN",IF(ISNUMBER(SEARCH("대만",C186)),"TW","홀세일"))))</f>
        <v>TW</v>
      </c>
      <c r="B186" s="36" t="s">
        <v>98</v>
      </c>
      <c r="C186" s="36" t="s">
        <v>99</v>
      </c>
      <c r="D186" s="37" t="s">
        <v>123</v>
      </c>
      <c r="E186" s="36" t="n">
        <v>2026</v>
      </c>
      <c r="F186" s="37" t="s">
        <v>474</v>
      </c>
      <c r="G186" s="37" t="s">
        <v>124</v>
      </c>
      <c r="H186" s="36" t="s">
        <v>131</v>
      </c>
      <c r="I186" s="36" t="s">
        <v>483</v>
      </c>
      <c r="J186" s="36" t="s">
        <v>484</v>
      </c>
      <c r="K186" s="38" t="n">
        <v>50</v>
      </c>
      <c r="L186" s="38" t="n">
        <v>12950000</v>
      </c>
      <c r="M186" s="38" t="n">
        <v>4411600</v>
      </c>
      <c r="N186" s="39" t="n">
        <f aca="false">IF(A186="제외",0,IF(OR(N(L186)&lt;=0,N(M186)&gt;N(L186)),N(M186)/요약!$D$27,N(L186)))</f>
        <v>12950000</v>
      </c>
      <c r="O186" s="32" t="str">
        <f aca="false">IF(A186="제외","",IF(OR(N(L186)&lt;=0,N(M186)&gt;N(L186)),"택가보정(판매금액÷공급율)",""))</f>
        <v/>
      </c>
      <c r="P186" s="0" t="str">
        <f aca="false">IF(A186="HK","100",IF(A186="CN","200",IF(A186="TW","300",IF(ISNUMBER(SEARCH("태국",C186)),"500",IF(ISNUMBER(SEARCH("말레이",C186)),"600",IF(ISNUMBER(SEARCH("필리핀",C186)),"700",IF(ISNUMBER(SEARCH("인도네시아",C186)),"800",IF(ISNUMBER(SEARCH("크루즈",C186)),"810",IF(ISNUMBER(SEARCH("동물원",C186)),"830","")))))))))</f>
        <v>300</v>
      </c>
    </row>
    <row r="187" customFormat="false" ht="15" hidden="false" customHeight="false" outlineLevel="0" collapsed="false">
      <c r="A187" s="32" t="str">
        <f aca="false">IF(OR(TRIM(C187)="",SUBSTITUTE(C187," ","")="소계"),"제외",IF(ISNUMBER(SEARCH("홍콩",C187)),"HK",IF(ISNUMBER(SEARCH("상해",C187)),"CN",IF(ISNUMBER(SEARCH("대만",C187)),"TW","홀세일"))))</f>
        <v>TW</v>
      </c>
      <c r="B187" s="36" t="s">
        <v>98</v>
      </c>
      <c r="C187" s="36" t="s">
        <v>99</v>
      </c>
      <c r="D187" s="37" t="s">
        <v>123</v>
      </c>
      <c r="E187" s="36" t="n">
        <v>2026</v>
      </c>
      <c r="F187" s="37" t="s">
        <v>474</v>
      </c>
      <c r="G187" s="37" t="s">
        <v>124</v>
      </c>
      <c r="H187" s="36" t="s">
        <v>125</v>
      </c>
      <c r="I187" s="36" t="s">
        <v>485</v>
      </c>
      <c r="J187" s="36" t="s">
        <v>486</v>
      </c>
      <c r="K187" s="38" t="n">
        <v>150</v>
      </c>
      <c r="L187" s="38" t="n">
        <v>32850000</v>
      </c>
      <c r="M187" s="38" t="n">
        <v>10506000</v>
      </c>
      <c r="N187" s="39" t="n">
        <f aca="false">IF(A187="제외",0,IF(OR(N(L187)&lt;=0,N(M187)&gt;N(L187)),N(M187)/요약!$D$27,N(L187)))</f>
        <v>32850000</v>
      </c>
      <c r="O187" s="32" t="str">
        <f aca="false">IF(A187="제외","",IF(OR(N(L187)&lt;=0,N(M187)&gt;N(L187)),"택가보정(판매금액÷공급율)",""))</f>
        <v/>
      </c>
      <c r="P187" s="0" t="str">
        <f aca="false">IF(A187="HK","100",IF(A187="CN","200",IF(A187="TW","300",IF(ISNUMBER(SEARCH("태국",C187)),"500",IF(ISNUMBER(SEARCH("말레이",C187)),"600",IF(ISNUMBER(SEARCH("필리핀",C187)),"700",IF(ISNUMBER(SEARCH("인도네시아",C187)),"800",IF(ISNUMBER(SEARCH("크루즈",C187)),"810",IF(ISNUMBER(SEARCH("동물원",C187)),"830","")))))))))</f>
        <v>300</v>
      </c>
    </row>
    <row r="188" customFormat="false" ht="15" hidden="false" customHeight="false" outlineLevel="0" collapsed="false">
      <c r="A188" s="32" t="str">
        <f aca="false">IF(OR(TRIM(C188)="",SUBSTITUTE(C188," ","")="소계"),"제외",IF(ISNUMBER(SEARCH("홍콩",C188)),"HK",IF(ISNUMBER(SEARCH("상해",C188)),"CN",IF(ISNUMBER(SEARCH("대만",C188)),"TW","홀세일"))))</f>
        <v>TW</v>
      </c>
      <c r="B188" s="36" t="s">
        <v>98</v>
      </c>
      <c r="C188" s="36" t="s">
        <v>99</v>
      </c>
      <c r="D188" s="37" t="s">
        <v>123</v>
      </c>
      <c r="E188" s="36" t="n">
        <v>2026</v>
      </c>
      <c r="F188" s="37" t="s">
        <v>474</v>
      </c>
      <c r="G188" s="37" t="s">
        <v>124</v>
      </c>
      <c r="H188" s="36" t="s">
        <v>131</v>
      </c>
      <c r="I188" s="36" t="s">
        <v>487</v>
      </c>
      <c r="J188" s="36" t="s">
        <v>488</v>
      </c>
      <c r="K188" s="38" t="n">
        <v>240</v>
      </c>
      <c r="L188" s="38" t="n">
        <v>23760000</v>
      </c>
      <c r="M188" s="38" t="n">
        <v>7681200</v>
      </c>
      <c r="N188" s="39" t="n">
        <f aca="false">IF(A188="제외",0,IF(OR(N(L188)&lt;=0,N(M188)&gt;N(L188)),N(M188)/요약!$D$27,N(L188)))</f>
        <v>23760000</v>
      </c>
      <c r="O188" s="32" t="str">
        <f aca="false">IF(A188="제외","",IF(OR(N(L188)&lt;=0,N(M188)&gt;N(L188)),"택가보정(판매금액÷공급율)",""))</f>
        <v/>
      </c>
      <c r="P188" s="0" t="str">
        <f aca="false">IF(A188="HK","100",IF(A188="CN","200",IF(A188="TW","300",IF(ISNUMBER(SEARCH("태국",C188)),"500",IF(ISNUMBER(SEARCH("말레이",C188)),"600",IF(ISNUMBER(SEARCH("필리핀",C188)),"700",IF(ISNUMBER(SEARCH("인도네시아",C188)),"800",IF(ISNUMBER(SEARCH("크루즈",C188)),"810",IF(ISNUMBER(SEARCH("동물원",C188)),"830","")))))))))</f>
        <v>300</v>
      </c>
    </row>
    <row r="189" customFormat="false" ht="15" hidden="false" customHeight="false" outlineLevel="0" collapsed="false">
      <c r="A189" s="32" t="str">
        <f aca="false">IF(OR(TRIM(C189)="",SUBSTITUTE(C189," ","")="소계"),"제외",IF(ISNUMBER(SEARCH("홍콩",C189)),"HK",IF(ISNUMBER(SEARCH("상해",C189)),"CN",IF(ISNUMBER(SEARCH("대만",C189)),"TW","홀세일"))))</f>
        <v>TW</v>
      </c>
      <c r="B189" s="36" t="s">
        <v>98</v>
      </c>
      <c r="C189" s="36" t="s">
        <v>99</v>
      </c>
      <c r="D189" s="37" t="s">
        <v>123</v>
      </c>
      <c r="E189" s="36" t="n">
        <v>2026</v>
      </c>
      <c r="F189" s="37" t="s">
        <v>474</v>
      </c>
      <c r="G189" s="37" t="s">
        <v>124</v>
      </c>
      <c r="H189" s="36" t="s">
        <v>131</v>
      </c>
      <c r="I189" s="36" t="s">
        <v>489</v>
      </c>
      <c r="J189" s="37" t="s">
        <v>490</v>
      </c>
      <c r="K189" s="38" t="n">
        <v>420</v>
      </c>
      <c r="L189" s="38" t="n">
        <v>66780000</v>
      </c>
      <c r="M189" s="38" t="n">
        <v>22380960</v>
      </c>
      <c r="N189" s="39" t="n">
        <f aca="false">IF(A189="제외",0,IF(OR(N(L189)&lt;=0,N(M189)&gt;N(L189)),N(M189)/요약!$D$27,N(L189)))</f>
        <v>66780000</v>
      </c>
      <c r="O189" s="32" t="str">
        <f aca="false">IF(A189="제외","",IF(OR(N(L189)&lt;=0,N(M189)&gt;N(L189)),"택가보정(판매금액÷공급율)",""))</f>
        <v/>
      </c>
      <c r="P189" s="0" t="str">
        <f aca="false">IF(A189="HK","100",IF(A189="CN","200",IF(A189="TW","300",IF(ISNUMBER(SEARCH("태국",C189)),"500",IF(ISNUMBER(SEARCH("말레이",C189)),"600",IF(ISNUMBER(SEARCH("필리핀",C189)),"700",IF(ISNUMBER(SEARCH("인도네시아",C189)),"800",IF(ISNUMBER(SEARCH("크루즈",C189)),"810",IF(ISNUMBER(SEARCH("동물원",C189)),"830","")))))))))</f>
        <v>300</v>
      </c>
    </row>
    <row r="190" customFormat="false" ht="15" hidden="false" customHeight="false" outlineLevel="0" collapsed="false">
      <c r="A190" s="32" t="str">
        <f aca="false">IF(OR(TRIM(C190)="",SUBSTITUTE(C190," ","")="소계"),"제외",IF(ISNUMBER(SEARCH("홍콩",C190)),"HK",IF(ISNUMBER(SEARCH("상해",C190)),"CN",IF(ISNUMBER(SEARCH("대만",C190)),"TW","홀세일"))))</f>
        <v>TW</v>
      </c>
      <c r="B190" s="36" t="s">
        <v>98</v>
      </c>
      <c r="C190" s="36" t="s">
        <v>99</v>
      </c>
      <c r="D190" s="37" t="s">
        <v>123</v>
      </c>
      <c r="E190" s="36" t="n">
        <v>2026</v>
      </c>
      <c r="F190" s="37" t="s">
        <v>474</v>
      </c>
      <c r="G190" s="37" t="s">
        <v>124</v>
      </c>
      <c r="H190" s="36" t="s">
        <v>131</v>
      </c>
      <c r="I190" s="36" t="s">
        <v>491</v>
      </c>
      <c r="J190" s="37" t="s">
        <v>492</v>
      </c>
      <c r="K190" s="38" t="n">
        <v>420</v>
      </c>
      <c r="L190" s="38" t="n">
        <v>66780000</v>
      </c>
      <c r="M190" s="38" t="n">
        <v>22225140</v>
      </c>
      <c r="N190" s="39" t="n">
        <f aca="false">IF(A190="제외",0,IF(OR(N(L190)&lt;=0,N(M190)&gt;N(L190)),N(M190)/요약!$D$27,N(L190)))</f>
        <v>66780000</v>
      </c>
      <c r="O190" s="32" t="str">
        <f aca="false">IF(A190="제외","",IF(OR(N(L190)&lt;=0,N(M190)&gt;N(L190)),"택가보정(판매금액÷공급율)",""))</f>
        <v/>
      </c>
      <c r="P190" s="0" t="str">
        <f aca="false">IF(A190="HK","100",IF(A190="CN","200",IF(A190="TW","300",IF(ISNUMBER(SEARCH("태국",C190)),"500",IF(ISNUMBER(SEARCH("말레이",C190)),"600",IF(ISNUMBER(SEARCH("필리핀",C190)),"700",IF(ISNUMBER(SEARCH("인도네시아",C190)),"800",IF(ISNUMBER(SEARCH("크루즈",C190)),"810",IF(ISNUMBER(SEARCH("동물원",C190)),"830","")))))))))</f>
        <v>300</v>
      </c>
    </row>
    <row r="191" customFormat="false" ht="15" hidden="false" customHeight="false" outlineLevel="0" collapsed="false">
      <c r="A191" s="32" t="str">
        <f aca="false">IF(OR(TRIM(C191)="",SUBSTITUTE(C191," ","")="소계"),"제외",IF(ISNUMBER(SEARCH("홍콩",C191)),"HK",IF(ISNUMBER(SEARCH("상해",C191)),"CN",IF(ISNUMBER(SEARCH("대만",C191)),"TW","홀세일"))))</f>
        <v>TW</v>
      </c>
      <c r="B191" s="36" t="s">
        <v>98</v>
      </c>
      <c r="C191" s="36" t="s">
        <v>99</v>
      </c>
      <c r="D191" s="37" t="s">
        <v>123</v>
      </c>
      <c r="E191" s="36" t="n">
        <v>2026</v>
      </c>
      <c r="F191" s="37" t="s">
        <v>474</v>
      </c>
      <c r="G191" s="37" t="s">
        <v>124</v>
      </c>
      <c r="H191" s="36" t="s">
        <v>131</v>
      </c>
      <c r="I191" s="36" t="s">
        <v>493</v>
      </c>
      <c r="J191" s="37" t="s">
        <v>494</v>
      </c>
      <c r="K191" s="38" t="n">
        <v>870</v>
      </c>
      <c r="L191" s="38" t="n">
        <v>129630000</v>
      </c>
      <c r="M191" s="38" t="n">
        <v>45928170</v>
      </c>
      <c r="N191" s="39" t="n">
        <f aca="false">IF(A191="제외",0,IF(OR(N(L191)&lt;=0,N(M191)&gt;N(L191)),N(M191)/요약!$D$27,N(L191)))</f>
        <v>129630000</v>
      </c>
      <c r="O191" s="32" t="str">
        <f aca="false">IF(A191="제외","",IF(OR(N(L191)&lt;=0,N(M191)&gt;N(L191)),"택가보정(판매금액÷공급율)",""))</f>
        <v/>
      </c>
      <c r="P191" s="0" t="str">
        <f aca="false">IF(A191="HK","100",IF(A191="CN","200",IF(A191="TW","300",IF(ISNUMBER(SEARCH("태국",C191)),"500",IF(ISNUMBER(SEARCH("말레이",C191)),"600",IF(ISNUMBER(SEARCH("필리핀",C191)),"700",IF(ISNUMBER(SEARCH("인도네시아",C191)),"800",IF(ISNUMBER(SEARCH("크루즈",C191)),"810",IF(ISNUMBER(SEARCH("동물원",C191)),"830","")))))))))</f>
        <v>300</v>
      </c>
    </row>
    <row r="192" customFormat="false" ht="15" hidden="false" customHeight="false" outlineLevel="0" collapsed="false">
      <c r="A192" s="32" t="str">
        <f aca="false">IF(OR(TRIM(C192)="",SUBSTITUTE(C192," ","")="소계"),"제외",IF(ISNUMBER(SEARCH("홍콩",C192)),"HK",IF(ISNUMBER(SEARCH("상해",C192)),"CN",IF(ISNUMBER(SEARCH("대만",C192)),"TW","홀세일"))))</f>
        <v>TW</v>
      </c>
      <c r="B192" s="36" t="s">
        <v>98</v>
      </c>
      <c r="C192" s="36" t="s">
        <v>99</v>
      </c>
      <c r="D192" s="37" t="s">
        <v>123</v>
      </c>
      <c r="E192" s="36" t="n">
        <v>2026</v>
      </c>
      <c r="F192" s="37" t="s">
        <v>474</v>
      </c>
      <c r="G192" s="37" t="s">
        <v>124</v>
      </c>
      <c r="H192" s="36" t="s">
        <v>131</v>
      </c>
      <c r="I192" s="36" t="s">
        <v>495</v>
      </c>
      <c r="J192" s="37" t="s">
        <v>496</v>
      </c>
      <c r="K192" s="38" t="n">
        <v>188</v>
      </c>
      <c r="L192" s="38" t="n">
        <v>44932000</v>
      </c>
      <c r="M192" s="38" t="n">
        <v>15889572</v>
      </c>
      <c r="N192" s="39" t="n">
        <f aca="false">IF(A192="제외",0,IF(OR(N(L192)&lt;=0,N(M192)&gt;N(L192)),N(M192)/요약!$D$27,N(L192)))</f>
        <v>44932000</v>
      </c>
      <c r="O192" s="32" t="str">
        <f aca="false">IF(A192="제외","",IF(OR(N(L192)&lt;=0,N(M192)&gt;N(L192)),"택가보정(판매금액÷공급율)",""))</f>
        <v/>
      </c>
      <c r="P192" s="0" t="str">
        <f aca="false">IF(A192="HK","100",IF(A192="CN","200",IF(A192="TW","300",IF(ISNUMBER(SEARCH("태국",C192)),"500",IF(ISNUMBER(SEARCH("말레이",C192)),"600",IF(ISNUMBER(SEARCH("필리핀",C192)),"700",IF(ISNUMBER(SEARCH("인도네시아",C192)),"800",IF(ISNUMBER(SEARCH("크루즈",C192)),"810",IF(ISNUMBER(SEARCH("동물원",C192)),"830","")))))))))</f>
        <v>300</v>
      </c>
    </row>
    <row r="193" customFormat="false" ht="15" hidden="false" customHeight="false" outlineLevel="0" collapsed="false">
      <c r="A193" s="32" t="str">
        <f aca="false">IF(OR(TRIM(C193)="",SUBSTITUTE(C193," ","")="소계"),"제외",IF(ISNUMBER(SEARCH("홍콩",C193)),"HK",IF(ISNUMBER(SEARCH("상해",C193)),"CN",IF(ISNUMBER(SEARCH("대만",C193)),"TW","홀세일"))))</f>
        <v>TW</v>
      </c>
      <c r="B193" s="36" t="s">
        <v>98</v>
      </c>
      <c r="C193" s="36" t="s">
        <v>99</v>
      </c>
      <c r="D193" s="37" t="s">
        <v>123</v>
      </c>
      <c r="E193" s="36" t="n">
        <v>2026</v>
      </c>
      <c r="F193" s="37" t="s">
        <v>474</v>
      </c>
      <c r="G193" s="37" t="s">
        <v>124</v>
      </c>
      <c r="H193" s="36" t="s">
        <v>131</v>
      </c>
      <c r="I193" s="36" t="s">
        <v>497</v>
      </c>
      <c r="J193" s="37" t="s">
        <v>498</v>
      </c>
      <c r="K193" s="38" t="n">
        <v>505</v>
      </c>
      <c r="L193" s="38" t="n">
        <v>130795000</v>
      </c>
      <c r="M193" s="38" t="n">
        <v>35832275</v>
      </c>
      <c r="N193" s="39" t="n">
        <f aca="false">IF(A193="제외",0,IF(OR(N(L193)&lt;=0,N(M193)&gt;N(L193)),N(M193)/요약!$D$27,N(L193)))</f>
        <v>130795000</v>
      </c>
      <c r="O193" s="32" t="str">
        <f aca="false">IF(A193="제외","",IF(OR(N(L193)&lt;=0,N(M193)&gt;N(L193)),"택가보정(판매금액÷공급율)",""))</f>
        <v/>
      </c>
      <c r="P193" s="0" t="str">
        <f aca="false">IF(A193="HK","100",IF(A193="CN","200",IF(A193="TW","300",IF(ISNUMBER(SEARCH("태국",C193)),"500",IF(ISNUMBER(SEARCH("말레이",C193)),"600",IF(ISNUMBER(SEARCH("필리핀",C193)),"700",IF(ISNUMBER(SEARCH("인도네시아",C193)),"800",IF(ISNUMBER(SEARCH("크루즈",C193)),"810",IF(ISNUMBER(SEARCH("동물원",C193)),"830","")))))))))</f>
        <v>300</v>
      </c>
    </row>
    <row r="194" customFormat="false" ht="15" hidden="false" customHeight="false" outlineLevel="0" collapsed="false">
      <c r="A194" s="32" t="str">
        <f aca="false">IF(OR(TRIM(C194)="",SUBSTITUTE(C194," ","")="소계"),"제외",IF(ISNUMBER(SEARCH("홍콩",C194)),"HK",IF(ISNUMBER(SEARCH("상해",C194)),"CN",IF(ISNUMBER(SEARCH("대만",C194)),"TW","홀세일"))))</f>
        <v>TW</v>
      </c>
      <c r="B194" s="36" t="s">
        <v>98</v>
      </c>
      <c r="C194" s="36" t="s">
        <v>99</v>
      </c>
      <c r="D194" s="37" t="s">
        <v>123</v>
      </c>
      <c r="E194" s="36" t="n">
        <v>2026</v>
      </c>
      <c r="F194" s="37" t="s">
        <v>474</v>
      </c>
      <c r="G194" s="37" t="s">
        <v>124</v>
      </c>
      <c r="H194" s="36" t="s">
        <v>131</v>
      </c>
      <c r="I194" s="36" t="s">
        <v>499</v>
      </c>
      <c r="J194" s="37" t="s">
        <v>500</v>
      </c>
      <c r="K194" s="38" t="n">
        <v>450</v>
      </c>
      <c r="L194" s="38" t="n">
        <v>76050000</v>
      </c>
      <c r="M194" s="38" t="n">
        <v>27431550</v>
      </c>
      <c r="N194" s="39" t="n">
        <f aca="false">IF(A194="제외",0,IF(OR(N(L194)&lt;=0,N(M194)&gt;N(L194)),N(M194)/요약!$D$27,N(L194)))</f>
        <v>76050000</v>
      </c>
      <c r="O194" s="32" t="str">
        <f aca="false">IF(A194="제외","",IF(OR(N(L194)&lt;=0,N(M194)&gt;N(L194)),"택가보정(판매금액÷공급율)",""))</f>
        <v/>
      </c>
      <c r="P194" s="0" t="str">
        <f aca="false">IF(A194="HK","100",IF(A194="CN","200",IF(A194="TW","300",IF(ISNUMBER(SEARCH("태국",C194)),"500",IF(ISNUMBER(SEARCH("말레이",C194)),"600",IF(ISNUMBER(SEARCH("필리핀",C194)),"700",IF(ISNUMBER(SEARCH("인도네시아",C194)),"800",IF(ISNUMBER(SEARCH("크루즈",C194)),"810",IF(ISNUMBER(SEARCH("동물원",C194)),"830","")))))))))</f>
        <v>300</v>
      </c>
    </row>
    <row r="195" customFormat="false" ht="15" hidden="false" customHeight="false" outlineLevel="0" collapsed="false">
      <c r="A195" s="32" t="str">
        <f aca="false">IF(OR(TRIM(C195)="",SUBSTITUTE(C195," ","")="소계"),"제외",IF(ISNUMBER(SEARCH("홍콩",C195)),"HK",IF(ISNUMBER(SEARCH("상해",C195)),"CN",IF(ISNUMBER(SEARCH("대만",C195)),"TW","홀세일"))))</f>
        <v>TW</v>
      </c>
      <c r="B195" s="36" t="s">
        <v>98</v>
      </c>
      <c r="C195" s="36" t="s">
        <v>99</v>
      </c>
      <c r="D195" s="37" t="s">
        <v>123</v>
      </c>
      <c r="E195" s="36" t="n">
        <v>2026</v>
      </c>
      <c r="F195" s="37" t="s">
        <v>474</v>
      </c>
      <c r="G195" s="37" t="s">
        <v>124</v>
      </c>
      <c r="H195" s="36" t="s">
        <v>131</v>
      </c>
      <c r="I195" s="36" t="s">
        <v>501</v>
      </c>
      <c r="J195" s="37" t="s">
        <v>502</v>
      </c>
      <c r="K195" s="38" t="n">
        <v>800</v>
      </c>
      <c r="L195" s="38" t="n">
        <v>151200000</v>
      </c>
      <c r="M195" s="38" t="n">
        <v>55836800</v>
      </c>
      <c r="N195" s="39" t="n">
        <f aca="false">IF(A195="제외",0,IF(OR(N(L195)&lt;=0,N(M195)&gt;N(L195)),N(M195)/요약!$D$27,N(L195)))</f>
        <v>151200000</v>
      </c>
      <c r="O195" s="32" t="str">
        <f aca="false">IF(A195="제외","",IF(OR(N(L195)&lt;=0,N(M195)&gt;N(L195)),"택가보정(판매금액÷공급율)",""))</f>
        <v/>
      </c>
      <c r="P195" s="0" t="str">
        <f aca="false">IF(A195="HK","100",IF(A195="CN","200",IF(A195="TW","300",IF(ISNUMBER(SEARCH("태국",C195)),"500",IF(ISNUMBER(SEARCH("말레이",C195)),"600",IF(ISNUMBER(SEARCH("필리핀",C195)),"700",IF(ISNUMBER(SEARCH("인도네시아",C195)),"800",IF(ISNUMBER(SEARCH("크루즈",C195)),"810",IF(ISNUMBER(SEARCH("동물원",C195)),"830","")))))))))</f>
        <v>300</v>
      </c>
    </row>
    <row r="196" customFormat="false" ht="15" hidden="false" customHeight="false" outlineLevel="0" collapsed="false">
      <c r="A196" s="32" t="str">
        <f aca="false">IF(OR(TRIM(C196)="",SUBSTITUTE(C196," ","")="소계"),"제외",IF(ISNUMBER(SEARCH("홍콩",C196)),"HK",IF(ISNUMBER(SEARCH("상해",C196)),"CN",IF(ISNUMBER(SEARCH("대만",C196)),"TW","홀세일"))))</f>
        <v>TW</v>
      </c>
      <c r="B196" s="36" t="s">
        <v>98</v>
      </c>
      <c r="C196" s="36" t="s">
        <v>99</v>
      </c>
      <c r="D196" s="37" t="s">
        <v>123</v>
      </c>
      <c r="E196" s="36" t="n">
        <v>2026</v>
      </c>
      <c r="F196" s="37" t="s">
        <v>474</v>
      </c>
      <c r="G196" s="37" t="s">
        <v>124</v>
      </c>
      <c r="H196" s="36" t="s">
        <v>131</v>
      </c>
      <c r="I196" s="36" t="s">
        <v>503</v>
      </c>
      <c r="J196" s="37" t="s">
        <v>504</v>
      </c>
      <c r="K196" s="38" t="n">
        <v>30</v>
      </c>
      <c r="L196" s="38" t="n">
        <v>7770000</v>
      </c>
      <c r="M196" s="38" t="n">
        <v>2589660</v>
      </c>
      <c r="N196" s="39" t="n">
        <f aca="false">IF(A196="제외",0,IF(OR(N(L196)&lt;=0,N(M196)&gt;N(L196)),N(M196)/요약!$D$27,N(L196)))</f>
        <v>7770000</v>
      </c>
      <c r="O196" s="32" t="str">
        <f aca="false">IF(A196="제외","",IF(OR(N(L196)&lt;=0,N(M196)&gt;N(L196)),"택가보정(판매금액÷공급율)",""))</f>
        <v/>
      </c>
      <c r="P196" s="0" t="str">
        <f aca="false">IF(A196="HK","100",IF(A196="CN","200",IF(A196="TW","300",IF(ISNUMBER(SEARCH("태국",C196)),"500",IF(ISNUMBER(SEARCH("말레이",C196)),"600",IF(ISNUMBER(SEARCH("필리핀",C196)),"700",IF(ISNUMBER(SEARCH("인도네시아",C196)),"800",IF(ISNUMBER(SEARCH("크루즈",C196)),"810",IF(ISNUMBER(SEARCH("동물원",C196)),"830","")))))))))</f>
        <v>300</v>
      </c>
    </row>
    <row r="197" customFormat="false" ht="15" hidden="false" customHeight="false" outlineLevel="0" collapsed="false">
      <c r="A197" s="32" t="str">
        <f aca="false">IF(OR(TRIM(C197)="",SUBSTITUTE(C197," ","")="소계"),"제외",IF(ISNUMBER(SEARCH("홍콩",C197)),"HK",IF(ISNUMBER(SEARCH("상해",C197)),"CN",IF(ISNUMBER(SEARCH("대만",C197)),"TW","홀세일"))))</f>
        <v>TW</v>
      </c>
      <c r="B197" s="36" t="s">
        <v>98</v>
      </c>
      <c r="C197" s="36" t="s">
        <v>99</v>
      </c>
      <c r="D197" s="37" t="s">
        <v>123</v>
      </c>
      <c r="E197" s="36" t="n">
        <v>2026</v>
      </c>
      <c r="F197" s="37" t="s">
        <v>474</v>
      </c>
      <c r="G197" s="37" t="s">
        <v>124</v>
      </c>
      <c r="H197" s="36" t="s">
        <v>131</v>
      </c>
      <c r="I197" s="36" t="s">
        <v>505</v>
      </c>
      <c r="J197" s="37" t="s">
        <v>506</v>
      </c>
      <c r="K197" s="38" t="n">
        <v>585</v>
      </c>
      <c r="L197" s="38" t="n">
        <v>174915000</v>
      </c>
      <c r="M197" s="38" t="n">
        <v>64655370</v>
      </c>
      <c r="N197" s="39" t="n">
        <f aca="false">IF(A197="제외",0,IF(OR(N(L197)&lt;=0,N(M197)&gt;N(L197)),N(M197)/요약!$D$27,N(L197)))</f>
        <v>174915000</v>
      </c>
      <c r="O197" s="32" t="str">
        <f aca="false">IF(A197="제외","",IF(OR(N(L197)&lt;=0,N(M197)&gt;N(L197)),"택가보정(판매금액÷공급율)",""))</f>
        <v/>
      </c>
      <c r="P197" s="0" t="str">
        <f aca="false">IF(A197="HK","100",IF(A197="CN","200",IF(A197="TW","300",IF(ISNUMBER(SEARCH("태국",C197)),"500",IF(ISNUMBER(SEARCH("말레이",C197)),"600",IF(ISNUMBER(SEARCH("필리핀",C197)),"700",IF(ISNUMBER(SEARCH("인도네시아",C197)),"800",IF(ISNUMBER(SEARCH("크루즈",C197)),"810",IF(ISNUMBER(SEARCH("동물원",C197)),"830","")))))))))</f>
        <v>300</v>
      </c>
    </row>
    <row r="198" customFormat="false" ht="15" hidden="false" customHeight="false" outlineLevel="0" collapsed="false">
      <c r="A198" s="32" t="str">
        <f aca="false">IF(OR(TRIM(C198)="",SUBSTITUTE(C198," ","")="소계"),"제외",IF(ISNUMBER(SEARCH("홍콩",C198)),"HK",IF(ISNUMBER(SEARCH("상해",C198)),"CN",IF(ISNUMBER(SEARCH("대만",C198)),"TW","홀세일"))))</f>
        <v>TW</v>
      </c>
      <c r="B198" s="36" t="s">
        <v>98</v>
      </c>
      <c r="C198" s="36" t="s">
        <v>99</v>
      </c>
      <c r="D198" s="37" t="s">
        <v>123</v>
      </c>
      <c r="E198" s="36" t="n">
        <v>2026</v>
      </c>
      <c r="F198" s="37" t="s">
        <v>474</v>
      </c>
      <c r="G198" s="37" t="s">
        <v>124</v>
      </c>
      <c r="H198" s="36" t="s">
        <v>131</v>
      </c>
      <c r="I198" s="36" t="s">
        <v>507</v>
      </c>
      <c r="J198" s="37" t="s">
        <v>508</v>
      </c>
      <c r="K198" s="38" t="n">
        <v>360</v>
      </c>
      <c r="L198" s="38" t="n">
        <v>158040000</v>
      </c>
      <c r="M198" s="38" t="n">
        <v>48893040</v>
      </c>
      <c r="N198" s="39" t="n">
        <f aca="false">IF(A198="제외",0,IF(OR(N(L198)&lt;=0,N(M198)&gt;N(L198)),N(M198)/요약!$D$27,N(L198)))</f>
        <v>158040000</v>
      </c>
      <c r="O198" s="32" t="str">
        <f aca="false">IF(A198="제외","",IF(OR(N(L198)&lt;=0,N(M198)&gt;N(L198)),"택가보정(판매금액÷공급율)",""))</f>
        <v/>
      </c>
      <c r="P198" s="0" t="str">
        <f aca="false">IF(A198="HK","100",IF(A198="CN","200",IF(A198="TW","300",IF(ISNUMBER(SEARCH("태국",C198)),"500",IF(ISNUMBER(SEARCH("말레이",C198)),"600",IF(ISNUMBER(SEARCH("필리핀",C198)),"700",IF(ISNUMBER(SEARCH("인도네시아",C198)),"800",IF(ISNUMBER(SEARCH("크루즈",C198)),"810",IF(ISNUMBER(SEARCH("동물원",C198)),"830","")))))))))</f>
        <v>300</v>
      </c>
    </row>
    <row r="199" customFormat="false" ht="15" hidden="false" customHeight="false" outlineLevel="0" collapsed="false">
      <c r="A199" s="32" t="str">
        <f aca="false">IF(OR(TRIM(C199)="",SUBSTITUTE(C199," ","")="소계"),"제외",IF(ISNUMBER(SEARCH("홍콩",C199)),"HK",IF(ISNUMBER(SEARCH("상해",C199)),"CN",IF(ISNUMBER(SEARCH("대만",C199)),"TW","홀세일"))))</f>
        <v>TW</v>
      </c>
      <c r="B199" s="36" t="s">
        <v>98</v>
      </c>
      <c r="C199" s="36" t="s">
        <v>99</v>
      </c>
      <c r="D199" s="37" t="s">
        <v>123</v>
      </c>
      <c r="E199" s="36" t="n">
        <v>2026</v>
      </c>
      <c r="F199" s="37" t="s">
        <v>474</v>
      </c>
      <c r="G199" s="37" t="s">
        <v>124</v>
      </c>
      <c r="H199" s="36" t="s">
        <v>131</v>
      </c>
      <c r="I199" s="36" t="s">
        <v>509</v>
      </c>
      <c r="J199" s="37" t="s">
        <v>510</v>
      </c>
      <c r="K199" s="38" t="n">
        <v>138</v>
      </c>
      <c r="L199" s="38" t="n">
        <v>55062000</v>
      </c>
      <c r="M199" s="38" t="n">
        <v>16866222</v>
      </c>
      <c r="N199" s="39" t="n">
        <f aca="false">IF(A199="제외",0,IF(OR(N(L199)&lt;=0,N(M199)&gt;N(L199)),N(M199)/요약!$D$27,N(L199)))</f>
        <v>55062000</v>
      </c>
      <c r="O199" s="32" t="str">
        <f aca="false">IF(A199="제외","",IF(OR(N(L199)&lt;=0,N(M199)&gt;N(L199)),"택가보정(판매금액÷공급율)",""))</f>
        <v/>
      </c>
      <c r="P199" s="0" t="str">
        <f aca="false">IF(A199="HK","100",IF(A199="CN","200",IF(A199="TW","300",IF(ISNUMBER(SEARCH("태국",C199)),"500",IF(ISNUMBER(SEARCH("말레이",C199)),"600",IF(ISNUMBER(SEARCH("필리핀",C199)),"700",IF(ISNUMBER(SEARCH("인도네시아",C199)),"800",IF(ISNUMBER(SEARCH("크루즈",C199)),"810",IF(ISNUMBER(SEARCH("동물원",C199)),"830","")))))))))</f>
        <v>300</v>
      </c>
    </row>
    <row r="200" customFormat="false" ht="15" hidden="false" customHeight="false" outlineLevel="0" collapsed="false">
      <c r="A200" s="32" t="str">
        <f aca="false">IF(OR(TRIM(C200)="",SUBSTITUTE(C200," ","")="소계"),"제외",IF(ISNUMBER(SEARCH("홍콩",C200)),"HK",IF(ISNUMBER(SEARCH("상해",C200)),"CN",IF(ISNUMBER(SEARCH("대만",C200)),"TW","홀세일"))))</f>
        <v>TW</v>
      </c>
      <c r="B200" s="36" t="s">
        <v>98</v>
      </c>
      <c r="C200" s="36" t="s">
        <v>99</v>
      </c>
      <c r="D200" s="37" t="s">
        <v>123</v>
      </c>
      <c r="E200" s="36" t="n">
        <v>2026</v>
      </c>
      <c r="F200" s="37" t="s">
        <v>474</v>
      </c>
      <c r="G200" s="37" t="s">
        <v>124</v>
      </c>
      <c r="H200" s="36" t="s">
        <v>131</v>
      </c>
      <c r="I200" s="36" t="s">
        <v>511</v>
      </c>
      <c r="J200" s="37" t="s">
        <v>512</v>
      </c>
      <c r="K200" s="38" t="n">
        <v>270</v>
      </c>
      <c r="L200" s="38" t="n">
        <v>118530000</v>
      </c>
      <c r="M200" s="38" t="n">
        <v>42761790</v>
      </c>
      <c r="N200" s="39" t="n">
        <f aca="false">IF(A200="제외",0,IF(OR(N(L200)&lt;=0,N(M200)&gt;N(L200)),N(M200)/요약!$D$27,N(L200)))</f>
        <v>118530000</v>
      </c>
      <c r="O200" s="32" t="str">
        <f aca="false">IF(A200="제외","",IF(OR(N(L200)&lt;=0,N(M200)&gt;N(L200)),"택가보정(판매금액÷공급율)",""))</f>
        <v/>
      </c>
      <c r="P200" s="0" t="str">
        <f aca="false">IF(A200="HK","100",IF(A200="CN","200",IF(A200="TW","300",IF(ISNUMBER(SEARCH("태국",C200)),"500",IF(ISNUMBER(SEARCH("말레이",C200)),"600",IF(ISNUMBER(SEARCH("필리핀",C200)),"700",IF(ISNUMBER(SEARCH("인도네시아",C200)),"800",IF(ISNUMBER(SEARCH("크루즈",C200)),"810",IF(ISNUMBER(SEARCH("동물원",C200)),"830","")))))))))</f>
        <v>300</v>
      </c>
    </row>
    <row r="201" customFormat="false" ht="15" hidden="false" customHeight="false" outlineLevel="0" collapsed="false">
      <c r="A201" s="32" t="str">
        <f aca="false">IF(OR(TRIM(C201)="",SUBSTITUTE(C201," ","")="소계"),"제외",IF(ISNUMBER(SEARCH("홍콩",C201)),"HK",IF(ISNUMBER(SEARCH("상해",C201)),"CN",IF(ISNUMBER(SEARCH("대만",C201)),"TW","홀세일"))))</f>
        <v>TW</v>
      </c>
      <c r="B201" s="36" t="s">
        <v>98</v>
      </c>
      <c r="C201" s="36" t="s">
        <v>99</v>
      </c>
      <c r="D201" s="37" t="s">
        <v>123</v>
      </c>
      <c r="E201" s="36" t="n">
        <v>2026</v>
      </c>
      <c r="F201" s="37" t="s">
        <v>474</v>
      </c>
      <c r="G201" s="37" t="s">
        <v>124</v>
      </c>
      <c r="H201" s="36" t="s">
        <v>125</v>
      </c>
      <c r="I201" s="36" t="s">
        <v>513</v>
      </c>
      <c r="J201" s="36" t="s">
        <v>514</v>
      </c>
      <c r="K201" s="38" t="n">
        <v>100</v>
      </c>
      <c r="L201" s="38" t="n">
        <v>24900000</v>
      </c>
      <c r="M201" s="38" t="n">
        <v>8486400</v>
      </c>
      <c r="N201" s="39" t="n">
        <f aca="false">IF(A201="제외",0,IF(OR(N(L201)&lt;=0,N(M201)&gt;N(L201)),N(M201)/요약!$D$27,N(L201)))</f>
        <v>24900000</v>
      </c>
      <c r="O201" s="32" t="str">
        <f aca="false">IF(A201="제외","",IF(OR(N(L201)&lt;=0,N(M201)&gt;N(L201)),"택가보정(판매금액÷공급율)",""))</f>
        <v/>
      </c>
      <c r="P201" s="0" t="str">
        <f aca="false">IF(A201="HK","100",IF(A201="CN","200",IF(A201="TW","300",IF(ISNUMBER(SEARCH("태국",C201)),"500",IF(ISNUMBER(SEARCH("말레이",C201)),"600",IF(ISNUMBER(SEARCH("필리핀",C201)),"700",IF(ISNUMBER(SEARCH("인도네시아",C201)),"800",IF(ISNUMBER(SEARCH("크루즈",C201)),"810",IF(ISNUMBER(SEARCH("동물원",C201)),"830","")))))))))</f>
        <v>300</v>
      </c>
    </row>
    <row r="202" customFormat="false" ht="15" hidden="false" customHeight="false" outlineLevel="0" collapsed="false">
      <c r="A202" s="32" t="str">
        <f aca="false">IF(OR(TRIM(C202)="",SUBSTITUTE(C202," ","")="소계"),"제외",IF(ISNUMBER(SEARCH("홍콩",C202)),"HK",IF(ISNUMBER(SEARCH("상해",C202)),"CN",IF(ISNUMBER(SEARCH("대만",C202)),"TW","홀세일"))))</f>
        <v>TW</v>
      </c>
      <c r="B202" s="36" t="s">
        <v>98</v>
      </c>
      <c r="C202" s="36" t="s">
        <v>99</v>
      </c>
      <c r="D202" s="37" t="s">
        <v>123</v>
      </c>
      <c r="E202" s="36" t="n">
        <v>2026</v>
      </c>
      <c r="F202" s="37" t="s">
        <v>474</v>
      </c>
      <c r="G202" s="37" t="s">
        <v>124</v>
      </c>
      <c r="H202" s="36" t="s">
        <v>131</v>
      </c>
      <c r="I202" s="36" t="s">
        <v>515</v>
      </c>
      <c r="J202" s="37" t="s">
        <v>516</v>
      </c>
      <c r="K202" s="38" t="n">
        <v>360</v>
      </c>
      <c r="L202" s="38" t="n">
        <v>68040000</v>
      </c>
      <c r="M202" s="38" t="n">
        <v>25126560</v>
      </c>
      <c r="N202" s="39" t="n">
        <f aca="false">IF(A202="제외",0,IF(OR(N(L202)&lt;=0,N(M202)&gt;N(L202)),N(M202)/요약!$D$27,N(L202)))</f>
        <v>68040000</v>
      </c>
      <c r="O202" s="32" t="str">
        <f aca="false">IF(A202="제외","",IF(OR(N(L202)&lt;=0,N(M202)&gt;N(L202)),"택가보정(판매금액÷공급율)",""))</f>
        <v/>
      </c>
      <c r="P202" s="0" t="str">
        <f aca="false">IF(A202="HK","100",IF(A202="CN","200",IF(A202="TW","300",IF(ISNUMBER(SEARCH("태국",C202)),"500",IF(ISNUMBER(SEARCH("말레이",C202)),"600",IF(ISNUMBER(SEARCH("필리핀",C202)),"700",IF(ISNUMBER(SEARCH("인도네시아",C202)),"800",IF(ISNUMBER(SEARCH("크루즈",C202)),"810",IF(ISNUMBER(SEARCH("동물원",C202)),"830","")))))))))</f>
        <v>300</v>
      </c>
    </row>
    <row r="203" customFormat="false" ht="15" hidden="false" customHeight="false" outlineLevel="0" collapsed="false">
      <c r="A203" s="32" t="str">
        <f aca="false">IF(OR(TRIM(C203)="",SUBSTITUTE(C203," ","")="소계"),"제외",IF(ISNUMBER(SEARCH("홍콩",C203)),"HK",IF(ISNUMBER(SEARCH("상해",C203)),"CN",IF(ISNUMBER(SEARCH("대만",C203)),"TW","홀세일"))))</f>
        <v>TW</v>
      </c>
      <c r="B203" s="36" t="s">
        <v>98</v>
      </c>
      <c r="C203" s="36" t="s">
        <v>99</v>
      </c>
      <c r="D203" s="37" t="s">
        <v>123</v>
      </c>
      <c r="E203" s="36" t="n">
        <v>2026</v>
      </c>
      <c r="F203" s="37" t="s">
        <v>474</v>
      </c>
      <c r="G203" s="37" t="s">
        <v>124</v>
      </c>
      <c r="H203" s="36" t="s">
        <v>131</v>
      </c>
      <c r="I203" s="36" t="s">
        <v>517</v>
      </c>
      <c r="J203" s="37" t="s">
        <v>518</v>
      </c>
      <c r="K203" s="38" t="n">
        <v>540</v>
      </c>
      <c r="L203" s="38" t="n">
        <v>96660000</v>
      </c>
      <c r="M203" s="38" t="n">
        <v>34468740</v>
      </c>
      <c r="N203" s="39" t="n">
        <f aca="false">IF(A203="제외",0,IF(OR(N(L203)&lt;=0,N(M203)&gt;N(L203)),N(M203)/요약!$D$27,N(L203)))</f>
        <v>96660000</v>
      </c>
      <c r="O203" s="32" t="str">
        <f aca="false">IF(A203="제외","",IF(OR(N(L203)&lt;=0,N(M203)&gt;N(L203)),"택가보정(판매금액÷공급율)",""))</f>
        <v/>
      </c>
      <c r="P203" s="0" t="str">
        <f aca="false">IF(A203="HK","100",IF(A203="CN","200",IF(A203="TW","300",IF(ISNUMBER(SEARCH("태국",C203)),"500",IF(ISNUMBER(SEARCH("말레이",C203)),"600",IF(ISNUMBER(SEARCH("필리핀",C203)),"700",IF(ISNUMBER(SEARCH("인도네시아",C203)),"800",IF(ISNUMBER(SEARCH("크루즈",C203)),"810",IF(ISNUMBER(SEARCH("동물원",C203)),"830","")))))))))</f>
        <v>300</v>
      </c>
    </row>
    <row r="204" customFormat="false" ht="15" hidden="false" customHeight="false" outlineLevel="0" collapsed="false">
      <c r="A204" s="32" t="str">
        <f aca="false">IF(OR(TRIM(C204)="",SUBSTITUTE(C204," ","")="소계"),"제외",IF(ISNUMBER(SEARCH("홍콩",C204)),"HK",IF(ISNUMBER(SEARCH("상해",C204)),"CN",IF(ISNUMBER(SEARCH("대만",C204)),"TW","홀세일"))))</f>
        <v>TW</v>
      </c>
      <c r="B204" s="36" t="s">
        <v>98</v>
      </c>
      <c r="C204" s="36" t="s">
        <v>99</v>
      </c>
      <c r="D204" s="37" t="s">
        <v>123</v>
      </c>
      <c r="E204" s="36" t="n">
        <v>2026</v>
      </c>
      <c r="F204" s="37" t="s">
        <v>474</v>
      </c>
      <c r="G204" s="37" t="s">
        <v>124</v>
      </c>
      <c r="H204" s="36" t="s">
        <v>131</v>
      </c>
      <c r="I204" s="36" t="s">
        <v>519</v>
      </c>
      <c r="J204" s="36" t="s">
        <v>520</v>
      </c>
      <c r="K204" s="38" t="n">
        <v>380</v>
      </c>
      <c r="L204" s="38" t="n">
        <v>83220000</v>
      </c>
      <c r="M204" s="38" t="n">
        <v>26962900</v>
      </c>
      <c r="N204" s="39" t="n">
        <f aca="false">IF(A204="제외",0,IF(OR(N(L204)&lt;=0,N(M204)&gt;N(L204)),N(M204)/요약!$D$27,N(L204)))</f>
        <v>83220000</v>
      </c>
      <c r="O204" s="32" t="str">
        <f aca="false">IF(A204="제외","",IF(OR(N(L204)&lt;=0,N(M204)&gt;N(L204)),"택가보정(판매금액÷공급율)",""))</f>
        <v/>
      </c>
      <c r="P204" s="0" t="str">
        <f aca="false">IF(A204="HK","100",IF(A204="CN","200",IF(A204="TW","300",IF(ISNUMBER(SEARCH("태국",C204)),"500",IF(ISNUMBER(SEARCH("말레이",C204)),"600",IF(ISNUMBER(SEARCH("필리핀",C204)),"700",IF(ISNUMBER(SEARCH("인도네시아",C204)),"800",IF(ISNUMBER(SEARCH("크루즈",C204)),"810",IF(ISNUMBER(SEARCH("동물원",C204)),"830","")))))))))</f>
        <v>300</v>
      </c>
    </row>
    <row r="205" customFormat="false" ht="15" hidden="false" customHeight="false" outlineLevel="0" collapsed="false">
      <c r="A205" s="32" t="str">
        <f aca="false">IF(OR(TRIM(C205)="",SUBSTITUTE(C205," ","")="소계"),"제외",IF(ISNUMBER(SEARCH("홍콩",C205)),"HK",IF(ISNUMBER(SEARCH("상해",C205)),"CN",IF(ISNUMBER(SEARCH("대만",C205)),"TW","홀세일"))))</f>
        <v>TW</v>
      </c>
      <c r="B205" s="36" t="s">
        <v>98</v>
      </c>
      <c r="C205" s="36" t="s">
        <v>99</v>
      </c>
      <c r="D205" s="37" t="s">
        <v>123</v>
      </c>
      <c r="E205" s="36" t="n">
        <v>2026</v>
      </c>
      <c r="F205" s="37" t="s">
        <v>474</v>
      </c>
      <c r="G205" s="37" t="s">
        <v>124</v>
      </c>
      <c r="H205" s="36" t="s">
        <v>131</v>
      </c>
      <c r="I205" s="36" t="s">
        <v>521</v>
      </c>
      <c r="J205" s="37" t="s">
        <v>522</v>
      </c>
      <c r="K205" s="38" t="n">
        <v>140</v>
      </c>
      <c r="L205" s="38" t="n">
        <v>20860000</v>
      </c>
      <c r="M205" s="38" t="n">
        <v>7440300</v>
      </c>
      <c r="N205" s="39" t="n">
        <f aca="false">IF(A205="제외",0,IF(OR(N(L205)&lt;=0,N(M205)&gt;N(L205)),N(M205)/요약!$D$27,N(L205)))</f>
        <v>20860000</v>
      </c>
      <c r="O205" s="32" t="str">
        <f aca="false">IF(A205="제외","",IF(OR(N(L205)&lt;=0,N(M205)&gt;N(L205)),"택가보정(판매금액÷공급율)",""))</f>
        <v/>
      </c>
      <c r="P205" s="0" t="str">
        <f aca="false">IF(A205="HK","100",IF(A205="CN","200",IF(A205="TW","300",IF(ISNUMBER(SEARCH("태국",C205)),"500",IF(ISNUMBER(SEARCH("말레이",C205)),"600",IF(ISNUMBER(SEARCH("필리핀",C205)),"700",IF(ISNUMBER(SEARCH("인도네시아",C205)),"800",IF(ISNUMBER(SEARCH("크루즈",C205)),"810",IF(ISNUMBER(SEARCH("동물원",C205)),"830","")))))))))</f>
        <v>300</v>
      </c>
    </row>
    <row r="206" customFormat="false" ht="15" hidden="false" customHeight="false" outlineLevel="0" collapsed="false">
      <c r="A206" s="32" t="str">
        <f aca="false">IF(OR(TRIM(C206)="",SUBSTITUTE(C206," ","")="소계"),"제외",IF(ISNUMBER(SEARCH("홍콩",C206)),"HK",IF(ISNUMBER(SEARCH("상해",C206)),"CN",IF(ISNUMBER(SEARCH("대만",C206)),"TW","홀세일"))))</f>
        <v>TW</v>
      </c>
      <c r="B206" s="36" t="s">
        <v>98</v>
      </c>
      <c r="C206" s="36" t="s">
        <v>99</v>
      </c>
      <c r="D206" s="37" t="s">
        <v>123</v>
      </c>
      <c r="E206" s="36" t="n">
        <v>2026</v>
      </c>
      <c r="F206" s="37" t="s">
        <v>474</v>
      </c>
      <c r="G206" s="37" t="s">
        <v>124</v>
      </c>
      <c r="H206" s="36" t="s">
        <v>125</v>
      </c>
      <c r="I206" s="36" t="s">
        <v>523</v>
      </c>
      <c r="J206" s="37" t="s">
        <v>524</v>
      </c>
      <c r="K206" s="38" t="n">
        <v>100</v>
      </c>
      <c r="L206" s="38" t="n">
        <v>21900000</v>
      </c>
      <c r="M206" s="38" t="n">
        <v>7769400</v>
      </c>
      <c r="N206" s="39" t="n">
        <f aca="false">IF(A206="제외",0,IF(OR(N(L206)&lt;=0,N(M206)&gt;N(L206)),N(M206)/요약!$D$27,N(L206)))</f>
        <v>21900000</v>
      </c>
      <c r="O206" s="32" t="str">
        <f aca="false">IF(A206="제외","",IF(OR(N(L206)&lt;=0,N(M206)&gt;N(L206)),"택가보정(판매금액÷공급율)",""))</f>
        <v/>
      </c>
      <c r="P206" s="0" t="str">
        <f aca="false">IF(A206="HK","100",IF(A206="CN","200",IF(A206="TW","300",IF(ISNUMBER(SEARCH("태국",C206)),"500",IF(ISNUMBER(SEARCH("말레이",C206)),"600",IF(ISNUMBER(SEARCH("필리핀",C206)),"700",IF(ISNUMBER(SEARCH("인도네시아",C206)),"800",IF(ISNUMBER(SEARCH("크루즈",C206)),"810",IF(ISNUMBER(SEARCH("동물원",C206)),"830","")))))))))</f>
        <v>300</v>
      </c>
    </row>
    <row r="207" customFormat="false" ht="15" hidden="false" customHeight="false" outlineLevel="0" collapsed="false">
      <c r="A207" s="32" t="str">
        <f aca="false">IF(OR(TRIM(C207)="",SUBSTITUTE(C207," ","")="소계"),"제외",IF(ISNUMBER(SEARCH("홍콩",C207)),"HK",IF(ISNUMBER(SEARCH("상해",C207)),"CN",IF(ISNUMBER(SEARCH("대만",C207)),"TW","홀세일"))))</f>
        <v>TW</v>
      </c>
      <c r="B207" s="36" t="s">
        <v>98</v>
      </c>
      <c r="C207" s="36" t="s">
        <v>99</v>
      </c>
      <c r="D207" s="37" t="s">
        <v>123</v>
      </c>
      <c r="E207" s="36" t="n">
        <v>2026</v>
      </c>
      <c r="F207" s="37" t="s">
        <v>474</v>
      </c>
      <c r="G207" s="37" t="s">
        <v>124</v>
      </c>
      <c r="H207" s="36" t="s">
        <v>125</v>
      </c>
      <c r="I207" s="36" t="s">
        <v>525</v>
      </c>
      <c r="J207" s="37" t="s">
        <v>526</v>
      </c>
      <c r="K207" s="38" t="n">
        <v>70</v>
      </c>
      <c r="L207" s="38" t="n">
        <v>19530000</v>
      </c>
      <c r="M207" s="38" t="n">
        <v>6429220</v>
      </c>
      <c r="N207" s="39" t="n">
        <f aca="false">IF(A207="제외",0,IF(OR(N(L207)&lt;=0,N(M207)&gt;N(L207)),N(M207)/요약!$D$27,N(L207)))</f>
        <v>19530000</v>
      </c>
      <c r="O207" s="32" t="str">
        <f aca="false">IF(A207="제외","",IF(OR(N(L207)&lt;=0,N(M207)&gt;N(L207)),"택가보정(판매금액÷공급율)",""))</f>
        <v/>
      </c>
      <c r="P207" s="0" t="str">
        <f aca="false">IF(A207="HK","100",IF(A207="CN","200",IF(A207="TW","300",IF(ISNUMBER(SEARCH("태국",C207)),"500",IF(ISNUMBER(SEARCH("말레이",C207)),"600",IF(ISNUMBER(SEARCH("필리핀",C207)),"700",IF(ISNUMBER(SEARCH("인도네시아",C207)),"800",IF(ISNUMBER(SEARCH("크루즈",C207)),"810",IF(ISNUMBER(SEARCH("동물원",C207)),"830","")))))))))</f>
        <v>300</v>
      </c>
    </row>
    <row r="208" customFormat="false" ht="15" hidden="false" customHeight="false" outlineLevel="0" collapsed="false">
      <c r="A208" s="32" t="str">
        <f aca="false">IF(OR(TRIM(C208)="",SUBSTITUTE(C208," ","")="소계"),"제외",IF(ISNUMBER(SEARCH("홍콩",C208)),"HK",IF(ISNUMBER(SEARCH("상해",C208)),"CN",IF(ISNUMBER(SEARCH("대만",C208)),"TW","홀세일"))))</f>
        <v>TW</v>
      </c>
      <c r="B208" s="36" t="s">
        <v>98</v>
      </c>
      <c r="C208" s="36" t="s">
        <v>99</v>
      </c>
      <c r="D208" s="37" t="s">
        <v>123</v>
      </c>
      <c r="E208" s="36" t="n">
        <v>2026</v>
      </c>
      <c r="F208" s="37" t="s">
        <v>474</v>
      </c>
      <c r="G208" s="37" t="s">
        <v>124</v>
      </c>
      <c r="H208" s="36" t="s">
        <v>131</v>
      </c>
      <c r="I208" s="36" t="s">
        <v>527</v>
      </c>
      <c r="J208" s="37" t="s">
        <v>528</v>
      </c>
      <c r="K208" s="38" t="n">
        <v>600</v>
      </c>
      <c r="L208" s="38" t="n">
        <v>119400000</v>
      </c>
      <c r="M208" s="38" t="n">
        <v>39678000</v>
      </c>
      <c r="N208" s="39" t="n">
        <f aca="false">IF(A208="제외",0,IF(OR(N(L208)&lt;=0,N(M208)&gt;N(L208)),N(M208)/요약!$D$27,N(L208)))</f>
        <v>119400000</v>
      </c>
      <c r="O208" s="32" t="str">
        <f aca="false">IF(A208="제외","",IF(OR(N(L208)&lt;=0,N(M208)&gt;N(L208)),"택가보정(판매금액÷공급율)",""))</f>
        <v/>
      </c>
      <c r="P208" s="0" t="str">
        <f aca="false">IF(A208="HK","100",IF(A208="CN","200",IF(A208="TW","300",IF(ISNUMBER(SEARCH("태국",C208)),"500",IF(ISNUMBER(SEARCH("말레이",C208)),"600",IF(ISNUMBER(SEARCH("필리핀",C208)),"700",IF(ISNUMBER(SEARCH("인도네시아",C208)),"800",IF(ISNUMBER(SEARCH("크루즈",C208)),"810",IF(ISNUMBER(SEARCH("동물원",C208)),"830","")))))))))</f>
        <v>300</v>
      </c>
    </row>
    <row r="209" customFormat="false" ht="15" hidden="false" customHeight="false" outlineLevel="0" collapsed="false">
      <c r="A209" s="32" t="str">
        <f aca="false">IF(OR(TRIM(C209)="",SUBSTITUTE(C209," ","")="소계"),"제외",IF(ISNUMBER(SEARCH("홍콩",C209)),"HK",IF(ISNUMBER(SEARCH("상해",C209)),"CN",IF(ISNUMBER(SEARCH("대만",C209)),"TW","홀세일"))))</f>
        <v>TW</v>
      </c>
      <c r="B209" s="36" t="s">
        <v>98</v>
      </c>
      <c r="C209" s="36" t="s">
        <v>99</v>
      </c>
      <c r="D209" s="37" t="s">
        <v>123</v>
      </c>
      <c r="E209" s="36" t="n">
        <v>2026</v>
      </c>
      <c r="F209" s="37" t="s">
        <v>474</v>
      </c>
      <c r="G209" s="37" t="s">
        <v>124</v>
      </c>
      <c r="H209" s="36" t="s">
        <v>131</v>
      </c>
      <c r="I209" s="36" t="s">
        <v>529</v>
      </c>
      <c r="J209" s="37" t="s">
        <v>530</v>
      </c>
      <c r="K209" s="38" t="n">
        <v>100</v>
      </c>
      <c r="L209" s="38" t="n">
        <v>15900000</v>
      </c>
      <c r="M209" s="38" t="n">
        <v>5306300</v>
      </c>
      <c r="N209" s="39" t="n">
        <f aca="false">IF(A209="제외",0,IF(OR(N(L209)&lt;=0,N(M209)&gt;N(L209)),N(M209)/요약!$D$27,N(L209)))</f>
        <v>15900000</v>
      </c>
      <c r="O209" s="32" t="str">
        <f aca="false">IF(A209="제외","",IF(OR(N(L209)&lt;=0,N(M209)&gt;N(L209)),"택가보정(판매금액÷공급율)",""))</f>
        <v/>
      </c>
      <c r="P209" s="0" t="str">
        <f aca="false">IF(A209="HK","100",IF(A209="CN","200",IF(A209="TW","300",IF(ISNUMBER(SEARCH("태국",C209)),"500",IF(ISNUMBER(SEARCH("말레이",C209)),"600",IF(ISNUMBER(SEARCH("필리핀",C209)),"700",IF(ISNUMBER(SEARCH("인도네시아",C209)),"800",IF(ISNUMBER(SEARCH("크루즈",C209)),"810",IF(ISNUMBER(SEARCH("동물원",C209)),"830","")))))))))</f>
        <v>300</v>
      </c>
    </row>
    <row r="210" customFormat="false" ht="15" hidden="false" customHeight="false" outlineLevel="0" collapsed="false">
      <c r="A210" s="32" t="str">
        <f aca="false">IF(OR(TRIM(C210)="",SUBSTITUTE(C210," ","")="소계"),"제외",IF(ISNUMBER(SEARCH("홍콩",C210)),"HK",IF(ISNUMBER(SEARCH("상해",C210)),"CN",IF(ISNUMBER(SEARCH("대만",C210)),"TW","홀세일"))))</f>
        <v>TW</v>
      </c>
      <c r="B210" s="36" t="s">
        <v>98</v>
      </c>
      <c r="C210" s="36" t="s">
        <v>99</v>
      </c>
      <c r="D210" s="37" t="s">
        <v>123</v>
      </c>
      <c r="E210" s="36" t="n">
        <v>2026</v>
      </c>
      <c r="F210" s="37" t="s">
        <v>474</v>
      </c>
      <c r="G210" s="37" t="s">
        <v>124</v>
      </c>
      <c r="H210" s="36" t="s">
        <v>131</v>
      </c>
      <c r="I210" s="36" t="s">
        <v>531</v>
      </c>
      <c r="J210" s="37" t="s">
        <v>532</v>
      </c>
      <c r="K210" s="38" t="n">
        <v>60</v>
      </c>
      <c r="L210" s="38" t="n">
        <v>8940000</v>
      </c>
      <c r="M210" s="38" t="n">
        <v>3000600</v>
      </c>
      <c r="N210" s="39" t="n">
        <f aca="false">IF(A210="제외",0,IF(OR(N(L210)&lt;=0,N(M210)&gt;N(L210)),N(M210)/요약!$D$27,N(L210)))</f>
        <v>8940000</v>
      </c>
      <c r="O210" s="32" t="str">
        <f aca="false">IF(A210="제외","",IF(OR(N(L210)&lt;=0,N(M210)&gt;N(L210)),"택가보정(판매금액÷공급율)",""))</f>
        <v/>
      </c>
      <c r="P210" s="0" t="str">
        <f aca="false">IF(A210="HK","100",IF(A210="CN","200",IF(A210="TW","300",IF(ISNUMBER(SEARCH("태국",C210)),"500",IF(ISNUMBER(SEARCH("말레이",C210)),"600",IF(ISNUMBER(SEARCH("필리핀",C210)),"700",IF(ISNUMBER(SEARCH("인도네시아",C210)),"800",IF(ISNUMBER(SEARCH("크루즈",C210)),"810",IF(ISNUMBER(SEARCH("동물원",C210)),"830","")))))))))</f>
        <v>300</v>
      </c>
    </row>
    <row r="211" customFormat="false" ht="15" hidden="false" customHeight="false" outlineLevel="0" collapsed="false">
      <c r="A211" s="32" t="str">
        <f aca="false">IF(OR(TRIM(C211)="",SUBSTITUTE(C211," ","")="소계"),"제외",IF(ISNUMBER(SEARCH("홍콩",C211)),"HK",IF(ISNUMBER(SEARCH("상해",C211)),"CN",IF(ISNUMBER(SEARCH("대만",C211)),"TW","홀세일"))))</f>
        <v>TW</v>
      </c>
      <c r="B211" s="36" t="s">
        <v>98</v>
      </c>
      <c r="C211" s="36" t="s">
        <v>99</v>
      </c>
      <c r="D211" s="37" t="s">
        <v>123</v>
      </c>
      <c r="E211" s="36" t="n">
        <v>2026</v>
      </c>
      <c r="F211" s="37" t="s">
        <v>474</v>
      </c>
      <c r="G211" s="37" t="s">
        <v>124</v>
      </c>
      <c r="H211" s="36" t="s">
        <v>131</v>
      </c>
      <c r="I211" s="36" t="s">
        <v>533</v>
      </c>
      <c r="J211" s="37" t="s">
        <v>534</v>
      </c>
      <c r="K211" s="38" t="n">
        <v>850</v>
      </c>
      <c r="L211" s="38" t="n">
        <v>75650000</v>
      </c>
      <c r="M211" s="38" t="n">
        <v>25325750</v>
      </c>
      <c r="N211" s="39" t="n">
        <f aca="false">IF(A211="제외",0,IF(OR(N(L211)&lt;=0,N(M211)&gt;N(L211)),N(M211)/요약!$D$27,N(L211)))</f>
        <v>75650000</v>
      </c>
      <c r="O211" s="32" t="str">
        <f aca="false">IF(A211="제외","",IF(OR(N(L211)&lt;=0,N(M211)&gt;N(L211)),"택가보정(판매금액÷공급율)",""))</f>
        <v/>
      </c>
      <c r="P211" s="0" t="str">
        <f aca="false">IF(A211="HK","100",IF(A211="CN","200",IF(A211="TW","300",IF(ISNUMBER(SEARCH("태국",C211)),"500",IF(ISNUMBER(SEARCH("말레이",C211)),"600",IF(ISNUMBER(SEARCH("필리핀",C211)),"700",IF(ISNUMBER(SEARCH("인도네시아",C211)),"800",IF(ISNUMBER(SEARCH("크루즈",C211)),"810",IF(ISNUMBER(SEARCH("동물원",C211)),"830","")))))))))</f>
        <v>300</v>
      </c>
    </row>
    <row r="212" customFormat="false" ht="15" hidden="false" customHeight="false" outlineLevel="0" collapsed="false">
      <c r="A212" s="32" t="str">
        <f aca="false">IF(OR(TRIM(C212)="",SUBSTITUTE(C212," ","")="소계"),"제외",IF(ISNUMBER(SEARCH("홍콩",C212)),"HK",IF(ISNUMBER(SEARCH("상해",C212)),"CN",IF(ISNUMBER(SEARCH("대만",C212)),"TW","홀세일"))))</f>
        <v>TW</v>
      </c>
      <c r="B212" s="36" t="s">
        <v>98</v>
      </c>
      <c r="C212" s="36" t="s">
        <v>99</v>
      </c>
      <c r="D212" s="37" t="s">
        <v>123</v>
      </c>
      <c r="E212" s="36" t="n">
        <v>2026</v>
      </c>
      <c r="F212" s="37" t="s">
        <v>474</v>
      </c>
      <c r="G212" s="37" t="s">
        <v>124</v>
      </c>
      <c r="H212" s="36" t="s">
        <v>131</v>
      </c>
      <c r="I212" s="36" t="s">
        <v>535</v>
      </c>
      <c r="J212" s="37" t="s">
        <v>536</v>
      </c>
      <c r="K212" s="38" t="n">
        <v>300</v>
      </c>
      <c r="L212" s="38" t="n">
        <v>44700000</v>
      </c>
      <c r="M212" s="38" t="n">
        <v>14898900</v>
      </c>
      <c r="N212" s="39" t="n">
        <f aca="false">IF(A212="제외",0,IF(OR(N(L212)&lt;=0,N(M212)&gt;N(L212)),N(M212)/요약!$D$27,N(L212)))</f>
        <v>44700000</v>
      </c>
      <c r="O212" s="32" t="str">
        <f aca="false">IF(A212="제외","",IF(OR(N(L212)&lt;=0,N(M212)&gt;N(L212)),"택가보정(판매금액÷공급율)",""))</f>
        <v/>
      </c>
      <c r="P212" s="0" t="str">
        <f aca="false">IF(A212="HK","100",IF(A212="CN","200",IF(A212="TW","300",IF(ISNUMBER(SEARCH("태국",C212)),"500",IF(ISNUMBER(SEARCH("말레이",C212)),"600",IF(ISNUMBER(SEARCH("필리핀",C212)),"700",IF(ISNUMBER(SEARCH("인도네시아",C212)),"800",IF(ISNUMBER(SEARCH("크루즈",C212)),"810",IF(ISNUMBER(SEARCH("동물원",C212)),"830","")))))))))</f>
        <v>300</v>
      </c>
    </row>
    <row r="213" customFormat="false" ht="15" hidden="false" customHeight="false" outlineLevel="0" collapsed="false">
      <c r="A213" s="32" t="str">
        <f aca="false">IF(OR(TRIM(C213)="",SUBSTITUTE(C213," ","")="소계"),"제외",IF(ISNUMBER(SEARCH("홍콩",C213)),"HK",IF(ISNUMBER(SEARCH("상해",C213)),"CN",IF(ISNUMBER(SEARCH("대만",C213)),"TW","홀세일"))))</f>
        <v>TW</v>
      </c>
      <c r="B213" s="36" t="s">
        <v>98</v>
      </c>
      <c r="C213" s="36" t="s">
        <v>99</v>
      </c>
      <c r="D213" s="37" t="s">
        <v>123</v>
      </c>
      <c r="E213" s="36" t="n">
        <v>2026</v>
      </c>
      <c r="F213" s="37" t="s">
        <v>474</v>
      </c>
      <c r="G213" s="37" t="s">
        <v>124</v>
      </c>
      <c r="H213" s="37" t="s">
        <v>128</v>
      </c>
      <c r="I213" s="36" t="s">
        <v>537</v>
      </c>
      <c r="J213" s="36" t="s">
        <v>538</v>
      </c>
      <c r="K213" s="38" t="n">
        <v>1600</v>
      </c>
      <c r="L213" s="38" t="n">
        <v>142400000</v>
      </c>
      <c r="M213" s="38" t="n">
        <v>49033600</v>
      </c>
      <c r="N213" s="39" t="n">
        <f aca="false">IF(A213="제외",0,IF(OR(N(L213)&lt;=0,N(M213)&gt;N(L213)),N(M213)/요약!$D$27,N(L213)))</f>
        <v>142400000</v>
      </c>
      <c r="O213" s="32" t="str">
        <f aca="false">IF(A213="제외","",IF(OR(N(L213)&lt;=0,N(M213)&gt;N(L213)),"택가보정(판매금액÷공급율)",""))</f>
        <v/>
      </c>
      <c r="P213" s="0" t="str">
        <f aca="false">IF(A213="HK","100",IF(A213="CN","200",IF(A213="TW","300",IF(ISNUMBER(SEARCH("태국",C213)),"500",IF(ISNUMBER(SEARCH("말레이",C213)),"600",IF(ISNUMBER(SEARCH("필리핀",C213)),"700",IF(ISNUMBER(SEARCH("인도네시아",C213)),"800",IF(ISNUMBER(SEARCH("크루즈",C213)),"810",IF(ISNUMBER(SEARCH("동물원",C213)),"830","")))))))))</f>
        <v>300</v>
      </c>
    </row>
    <row r="214" customFormat="false" ht="15" hidden="false" customHeight="false" outlineLevel="0" collapsed="false">
      <c r="A214" s="32" t="str">
        <f aca="false">IF(OR(TRIM(C214)="",SUBSTITUTE(C214," ","")="소계"),"제외",IF(ISNUMBER(SEARCH("홍콩",C214)),"HK",IF(ISNUMBER(SEARCH("상해",C214)),"CN",IF(ISNUMBER(SEARCH("대만",C214)),"TW","홀세일"))))</f>
        <v>TW</v>
      </c>
      <c r="B214" s="36" t="s">
        <v>98</v>
      </c>
      <c r="C214" s="36" t="s">
        <v>99</v>
      </c>
      <c r="D214" s="37" t="s">
        <v>123</v>
      </c>
      <c r="E214" s="36" t="n">
        <v>2026</v>
      </c>
      <c r="F214" s="37" t="s">
        <v>474</v>
      </c>
      <c r="G214" s="37" t="s">
        <v>360</v>
      </c>
      <c r="H214" s="36" t="s">
        <v>131</v>
      </c>
      <c r="I214" s="36" t="s">
        <v>539</v>
      </c>
      <c r="J214" s="37" t="s">
        <v>540</v>
      </c>
      <c r="K214" s="38" t="n">
        <v>370</v>
      </c>
      <c r="L214" s="38" t="n">
        <v>36630000</v>
      </c>
      <c r="M214" s="38" t="n">
        <v>13163490</v>
      </c>
      <c r="N214" s="39" t="n">
        <f aca="false">IF(A214="제외",0,IF(OR(N(L214)&lt;=0,N(M214)&gt;N(L214)),N(M214)/요약!$D$27,N(L214)))</f>
        <v>36630000</v>
      </c>
      <c r="O214" s="32" t="str">
        <f aca="false">IF(A214="제외","",IF(OR(N(L214)&lt;=0,N(M214)&gt;N(L214)),"택가보정(판매금액÷공급율)",""))</f>
        <v/>
      </c>
      <c r="P214" s="0" t="str">
        <f aca="false">IF(A214="HK","100",IF(A214="CN","200",IF(A214="TW","300",IF(ISNUMBER(SEARCH("태국",C214)),"500",IF(ISNUMBER(SEARCH("말레이",C214)),"600",IF(ISNUMBER(SEARCH("필리핀",C214)),"700",IF(ISNUMBER(SEARCH("인도네시아",C214)),"800",IF(ISNUMBER(SEARCH("크루즈",C214)),"810",IF(ISNUMBER(SEARCH("동물원",C214)),"830","")))))))))</f>
        <v>300</v>
      </c>
    </row>
    <row r="215" customFormat="false" ht="15" hidden="false" customHeight="false" outlineLevel="0" collapsed="false">
      <c r="A215" s="32" t="str">
        <f aca="false">IF(OR(TRIM(C215)="",SUBSTITUTE(C215," ","")="소계"),"제외",IF(ISNUMBER(SEARCH("홍콩",C215)),"HK",IF(ISNUMBER(SEARCH("상해",C215)),"CN",IF(ISNUMBER(SEARCH("대만",C215)),"TW","홀세일"))))</f>
        <v>TW</v>
      </c>
      <c r="B215" s="36" t="s">
        <v>98</v>
      </c>
      <c r="C215" s="36" t="s">
        <v>99</v>
      </c>
      <c r="D215" s="37" t="s">
        <v>123</v>
      </c>
      <c r="E215" s="36" t="n">
        <v>2026</v>
      </c>
      <c r="F215" s="37" t="s">
        <v>474</v>
      </c>
      <c r="G215" s="37" t="s">
        <v>124</v>
      </c>
      <c r="H215" s="36" t="s">
        <v>188</v>
      </c>
      <c r="I215" s="36" t="s">
        <v>541</v>
      </c>
      <c r="J215" s="36" t="s">
        <v>542</v>
      </c>
      <c r="K215" s="38" t="n">
        <v>150</v>
      </c>
      <c r="L215" s="38" t="n">
        <v>23850000</v>
      </c>
      <c r="M215" s="38" t="n">
        <v>7937550</v>
      </c>
      <c r="N215" s="39" t="n">
        <f aca="false">IF(A215="제외",0,IF(OR(N(L215)&lt;=0,N(M215)&gt;N(L215)),N(M215)/요약!$D$27,N(L215)))</f>
        <v>23850000</v>
      </c>
      <c r="O215" s="32" t="str">
        <f aca="false">IF(A215="제외","",IF(OR(N(L215)&lt;=0,N(M215)&gt;N(L215)),"택가보정(판매금액÷공급율)",""))</f>
        <v/>
      </c>
      <c r="P215" s="0" t="str">
        <f aca="false">IF(A215="HK","100",IF(A215="CN","200",IF(A215="TW","300",IF(ISNUMBER(SEARCH("태국",C215)),"500",IF(ISNUMBER(SEARCH("말레이",C215)),"600",IF(ISNUMBER(SEARCH("필리핀",C215)),"700",IF(ISNUMBER(SEARCH("인도네시아",C215)),"800",IF(ISNUMBER(SEARCH("크루즈",C215)),"810",IF(ISNUMBER(SEARCH("동물원",C215)),"830","")))))))))</f>
        <v>300</v>
      </c>
    </row>
    <row r="216" customFormat="false" ht="15" hidden="false" customHeight="false" outlineLevel="0" collapsed="false">
      <c r="A216" s="32" t="str">
        <f aca="false">IF(OR(TRIM(C216)="",SUBSTITUTE(C216," ","")="소계"),"제외",IF(ISNUMBER(SEARCH("홍콩",C216)),"HK",IF(ISNUMBER(SEARCH("상해",C216)),"CN",IF(ISNUMBER(SEARCH("대만",C216)),"TW","홀세일"))))</f>
        <v>TW</v>
      </c>
      <c r="B216" s="36" t="s">
        <v>98</v>
      </c>
      <c r="C216" s="36" t="s">
        <v>99</v>
      </c>
      <c r="D216" s="37" t="s">
        <v>123</v>
      </c>
      <c r="E216" s="36" t="n">
        <v>2026</v>
      </c>
      <c r="F216" s="37" t="s">
        <v>474</v>
      </c>
      <c r="G216" s="37" t="s">
        <v>124</v>
      </c>
      <c r="H216" s="36" t="s">
        <v>188</v>
      </c>
      <c r="I216" s="36" t="s">
        <v>543</v>
      </c>
      <c r="J216" s="36" t="s">
        <v>544</v>
      </c>
      <c r="K216" s="38" t="n">
        <v>300</v>
      </c>
      <c r="L216" s="38" t="n">
        <v>47700000</v>
      </c>
      <c r="M216" s="38" t="n">
        <v>15875100</v>
      </c>
      <c r="N216" s="39" t="n">
        <f aca="false">IF(A216="제외",0,IF(OR(N(L216)&lt;=0,N(M216)&gt;N(L216)),N(M216)/요약!$D$27,N(L216)))</f>
        <v>47700000</v>
      </c>
      <c r="O216" s="32" t="str">
        <f aca="false">IF(A216="제외","",IF(OR(N(L216)&lt;=0,N(M216)&gt;N(L216)),"택가보정(판매금액÷공급율)",""))</f>
        <v/>
      </c>
      <c r="P216" s="0" t="str">
        <f aca="false">IF(A216="HK","100",IF(A216="CN","200",IF(A216="TW","300",IF(ISNUMBER(SEARCH("태국",C216)),"500",IF(ISNUMBER(SEARCH("말레이",C216)),"600",IF(ISNUMBER(SEARCH("필리핀",C216)),"700",IF(ISNUMBER(SEARCH("인도네시아",C216)),"800",IF(ISNUMBER(SEARCH("크루즈",C216)),"810",IF(ISNUMBER(SEARCH("동물원",C216)),"830","")))))))))</f>
        <v>300</v>
      </c>
    </row>
    <row r="217" customFormat="false" ht="15" hidden="false" customHeight="false" outlineLevel="0" collapsed="false">
      <c r="A217" s="32" t="str">
        <f aca="false">IF(OR(TRIM(C217)="",SUBSTITUTE(C217," ","")="소계"),"제외",IF(ISNUMBER(SEARCH("홍콩",C217)),"HK",IF(ISNUMBER(SEARCH("상해",C217)),"CN",IF(ISNUMBER(SEARCH("대만",C217)),"TW","홀세일"))))</f>
        <v>TW</v>
      </c>
      <c r="B217" s="36" t="s">
        <v>98</v>
      </c>
      <c r="C217" s="36" t="s">
        <v>99</v>
      </c>
      <c r="D217" s="37" t="s">
        <v>123</v>
      </c>
      <c r="E217" s="36" t="n">
        <v>2026</v>
      </c>
      <c r="F217" s="37" t="s">
        <v>474</v>
      </c>
      <c r="G217" s="37" t="s">
        <v>124</v>
      </c>
      <c r="H217" s="36" t="s">
        <v>188</v>
      </c>
      <c r="I217" s="36" t="s">
        <v>545</v>
      </c>
      <c r="J217" s="36" t="s">
        <v>546</v>
      </c>
      <c r="K217" s="38" t="n">
        <v>940</v>
      </c>
      <c r="L217" s="38" t="n">
        <v>140060000</v>
      </c>
      <c r="M217" s="38" t="n">
        <v>49623540</v>
      </c>
      <c r="N217" s="39" t="n">
        <f aca="false">IF(A217="제외",0,IF(OR(N(L217)&lt;=0,N(M217)&gt;N(L217)),N(M217)/요약!$D$27,N(L217)))</f>
        <v>140060000</v>
      </c>
      <c r="O217" s="32" t="str">
        <f aca="false">IF(A217="제외","",IF(OR(N(L217)&lt;=0,N(M217)&gt;N(L217)),"택가보정(판매금액÷공급율)",""))</f>
        <v/>
      </c>
      <c r="P217" s="0" t="str">
        <f aca="false">IF(A217="HK","100",IF(A217="CN","200",IF(A217="TW","300",IF(ISNUMBER(SEARCH("태국",C217)),"500",IF(ISNUMBER(SEARCH("말레이",C217)),"600",IF(ISNUMBER(SEARCH("필리핀",C217)),"700",IF(ISNUMBER(SEARCH("인도네시아",C217)),"800",IF(ISNUMBER(SEARCH("크루즈",C217)),"810",IF(ISNUMBER(SEARCH("동물원",C217)),"830","")))))))))</f>
        <v>300</v>
      </c>
    </row>
    <row r="218" customFormat="false" ht="15" hidden="false" customHeight="false" outlineLevel="0" collapsed="false">
      <c r="A218" s="32" t="str">
        <f aca="false">IF(OR(TRIM(C218)="",SUBSTITUTE(C218," ","")="소계"),"제외",IF(ISNUMBER(SEARCH("홍콩",C218)),"HK",IF(ISNUMBER(SEARCH("상해",C218)),"CN",IF(ISNUMBER(SEARCH("대만",C218)),"TW","홀세일"))))</f>
        <v>TW</v>
      </c>
      <c r="B218" s="36" t="s">
        <v>98</v>
      </c>
      <c r="C218" s="36" t="s">
        <v>99</v>
      </c>
      <c r="D218" s="37" t="s">
        <v>123</v>
      </c>
      <c r="E218" s="36" t="n">
        <v>2026</v>
      </c>
      <c r="F218" s="37" t="s">
        <v>474</v>
      </c>
      <c r="G218" s="37" t="s">
        <v>124</v>
      </c>
      <c r="H218" s="36" t="s">
        <v>188</v>
      </c>
      <c r="I218" s="36" t="s">
        <v>547</v>
      </c>
      <c r="J218" s="36" t="s">
        <v>548</v>
      </c>
      <c r="K218" s="38" t="n">
        <v>50</v>
      </c>
      <c r="L218" s="38" t="n">
        <v>11950000</v>
      </c>
      <c r="M218" s="38" t="n">
        <v>4238500</v>
      </c>
      <c r="N218" s="39" t="n">
        <f aca="false">IF(A218="제외",0,IF(OR(N(L218)&lt;=0,N(M218)&gt;N(L218)),N(M218)/요약!$D$27,N(L218)))</f>
        <v>11950000</v>
      </c>
      <c r="O218" s="32" t="str">
        <f aca="false">IF(A218="제외","",IF(OR(N(L218)&lt;=0,N(M218)&gt;N(L218)),"택가보정(판매금액÷공급율)",""))</f>
        <v/>
      </c>
      <c r="P218" s="0" t="str">
        <f aca="false">IF(A218="HK","100",IF(A218="CN","200",IF(A218="TW","300",IF(ISNUMBER(SEARCH("태국",C218)),"500",IF(ISNUMBER(SEARCH("말레이",C218)),"600",IF(ISNUMBER(SEARCH("필리핀",C218)),"700",IF(ISNUMBER(SEARCH("인도네시아",C218)),"800",IF(ISNUMBER(SEARCH("크루즈",C218)),"810",IF(ISNUMBER(SEARCH("동물원",C218)),"830","")))))))))</f>
        <v>300</v>
      </c>
    </row>
    <row r="219" customFormat="false" ht="15" hidden="false" customHeight="false" outlineLevel="0" collapsed="false">
      <c r="A219" s="32" t="str">
        <f aca="false">IF(OR(TRIM(C219)="",SUBSTITUTE(C219," ","")="소계"),"제외",IF(ISNUMBER(SEARCH("홍콩",C219)),"HK",IF(ISNUMBER(SEARCH("상해",C219)),"CN",IF(ISNUMBER(SEARCH("대만",C219)),"TW","홀세일"))))</f>
        <v>TW</v>
      </c>
      <c r="B219" s="36" t="s">
        <v>98</v>
      </c>
      <c r="C219" s="36" t="s">
        <v>99</v>
      </c>
      <c r="D219" s="37" t="s">
        <v>123</v>
      </c>
      <c r="E219" s="36" t="n">
        <v>2026</v>
      </c>
      <c r="F219" s="37" t="s">
        <v>474</v>
      </c>
      <c r="G219" s="37" t="s">
        <v>124</v>
      </c>
      <c r="H219" s="36" t="s">
        <v>188</v>
      </c>
      <c r="I219" s="36" t="s">
        <v>549</v>
      </c>
      <c r="J219" s="36" t="s">
        <v>550</v>
      </c>
      <c r="K219" s="38" t="n">
        <v>300</v>
      </c>
      <c r="L219" s="38" t="n">
        <v>77700000</v>
      </c>
      <c r="M219" s="38" t="n">
        <v>21286500</v>
      </c>
      <c r="N219" s="39" t="n">
        <f aca="false">IF(A219="제외",0,IF(OR(N(L219)&lt;=0,N(M219)&gt;N(L219)),N(M219)/요약!$D$27,N(L219)))</f>
        <v>77700000</v>
      </c>
      <c r="O219" s="32" t="str">
        <f aca="false">IF(A219="제외","",IF(OR(N(L219)&lt;=0,N(M219)&gt;N(L219)),"택가보정(판매금액÷공급율)",""))</f>
        <v/>
      </c>
      <c r="P219" s="0" t="str">
        <f aca="false">IF(A219="HK","100",IF(A219="CN","200",IF(A219="TW","300",IF(ISNUMBER(SEARCH("태국",C219)),"500",IF(ISNUMBER(SEARCH("말레이",C219)),"600",IF(ISNUMBER(SEARCH("필리핀",C219)),"700",IF(ISNUMBER(SEARCH("인도네시아",C219)),"800",IF(ISNUMBER(SEARCH("크루즈",C219)),"810",IF(ISNUMBER(SEARCH("동물원",C219)),"830","")))))))))</f>
        <v>300</v>
      </c>
    </row>
    <row r="220" customFormat="false" ht="15" hidden="false" customHeight="false" outlineLevel="0" collapsed="false">
      <c r="A220" s="32" t="str">
        <f aca="false">IF(OR(TRIM(C220)="",SUBSTITUTE(C220," ","")="소계"),"제외",IF(ISNUMBER(SEARCH("홍콩",C220)),"HK",IF(ISNUMBER(SEARCH("상해",C220)),"CN",IF(ISNUMBER(SEARCH("대만",C220)),"TW","홀세일"))))</f>
        <v>TW</v>
      </c>
      <c r="B220" s="36" t="s">
        <v>98</v>
      </c>
      <c r="C220" s="36" t="s">
        <v>99</v>
      </c>
      <c r="D220" s="37" t="s">
        <v>123</v>
      </c>
      <c r="E220" s="36" t="n">
        <v>2026</v>
      </c>
      <c r="F220" s="37" t="s">
        <v>474</v>
      </c>
      <c r="G220" s="37" t="s">
        <v>124</v>
      </c>
      <c r="H220" s="36" t="s">
        <v>188</v>
      </c>
      <c r="I220" s="36" t="s">
        <v>551</v>
      </c>
      <c r="J220" s="36" t="s">
        <v>552</v>
      </c>
      <c r="K220" s="38" t="n">
        <v>605</v>
      </c>
      <c r="L220" s="38" t="n">
        <v>102245000</v>
      </c>
      <c r="M220" s="38" t="n">
        <v>36880195</v>
      </c>
      <c r="N220" s="39" t="n">
        <f aca="false">IF(A220="제외",0,IF(OR(N(L220)&lt;=0,N(M220)&gt;N(L220)),N(M220)/요약!$D$27,N(L220)))</f>
        <v>102245000</v>
      </c>
      <c r="O220" s="32" t="str">
        <f aca="false">IF(A220="제외","",IF(OR(N(L220)&lt;=0,N(M220)&gt;N(L220)),"택가보정(판매금액÷공급율)",""))</f>
        <v/>
      </c>
      <c r="P220" s="0" t="str">
        <f aca="false">IF(A220="HK","100",IF(A220="CN","200",IF(A220="TW","300",IF(ISNUMBER(SEARCH("태국",C220)),"500",IF(ISNUMBER(SEARCH("말레이",C220)),"600",IF(ISNUMBER(SEARCH("필리핀",C220)),"700",IF(ISNUMBER(SEARCH("인도네시아",C220)),"800",IF(ISNUMBER(SEARCH("크루즈",C220)),"810",IF(ISNUMBER(SEARCH("동물원",C220)),"830","")))))))))</f>
        <v>300</v>
      </c>
    </row>
    <row r="221" customFormat="false" ht="15" hidden="false" customHeight="false" outlineLevel="0" collapsed="false">
      <c r="A221" s="32" t="str">
        <f aca="false">IF(OR(TRIM(C221)="",SUBSTITUTE(C221," ","")="소계"),"제외",IF(ISNUMBER(SEARCH("홍콩",C221)),"HK",IF(ISNUMBER(SEARCH("상해",C221)),"CN",IF(ISNUMBER(SEARCH("대만",C221)),"TW","홀세일"))))</f>
        <v>TW</v>
      </c>
      <c r="B221" s="36" t="s">
        <v>98</v>
      </c>
      <c r="C221" s="36" t="s">
        <v>99</v>
      </c>
      <c r="D221" s="37" t="s">
        <v>123</v>
      </c>
      <c r="E221" s="36" t="n">
        <v>2026</v>
      </c>
      <c r="F221" s="37" t="s">
        <v>474</v>
      </c>
      <c r="G221" s="37" t="s">
        <v>124</v>
      </c>
      <c r="H221" s="36" t="s">
        <v>188</v>
      </c>
      <c r="I221" s="36" t="s">
        <v>553</v>
      </c>
      <c r="J221" s="36" t="s">
        <v>554</v>
      </c>
      <c r="K221" s="38" t="n">
        <v>350</v>
      </c>
      <c r="L221" s="38" t="n">
        <v>62650000</v>
      </c>
      <c r="M221" s="38" t="n">
        <v>23137450</v>
      </c>
      <c r="N221" s="39" t="n">
        <f aca="false">IF(A221="제외",0,IF(OR(N(L221)&lt;=0,N(M221)&gt;N(L221)),N(M221)/요약!$D$27,N(L221)))</f>
        <v>62650000</v>
      </c>
      <c r="O221" s="32" t="str">
        <f aca="false">IF(A221="제외","",IF(OR(N(L221)&lt;=0,N(M221)&gt;N(L221)),"택가보정(판매금액÷공급율)",""))</f>
        <v/>
      </c>
      <c r="P221" s="0" t="str">
        <f aca="false">IF(A221="HK","100",IF(A221="CN","200",IF(A221="TW","300",IF(ISNUMBER(SEARCH("태국",C221)),"500",IF(ISNUMBER(SEARCH("말레이",C221)),"600",IF(ISNUMBER(SEARCH("필리핀",C221)),"700",IF(ISNUMBER(SEARCH("인도네시아",C221)),"800",IF(ISNUMBER(SEARCH("크루즈",C221)),"810",IF(ISNUMBER(SEARCH("동물원",C221)),"830","")))))))))</f>
        <v>300</v>
      </c>
    </row>
    <row r="222" customFormat="false" ht="15" hidden="false" customHeight="false" outlineLevel="0" collapsed="false">
      <c r="A222" s="32" t="str">
        <f aca="false">IF(OR(TRIM(C222)="",SUBSTITUTE(C222," ","")="소계"),"제외",IF(ISNUMBER(SEARCH("홍콩",C222)),"HK",IF(ISNUMBER(SEARCH("상해",C222)),"CN",IF(ISNUMBER(SEARCH("대만",C222)),"TW","홀세일"))))</f>
        <v>TW</v>
      </c>
      <c r="B222" s="36" t="s">
        <v>98</v>
      </c>
      <c r="C222" s="36" t="s">
        <v>99</v>
      </c>
      <c r="D222" s="37" t="s">
        <v>123</v>
      </c>
      <c r="E222" s="36" t="n">
        <v>2026</v>
      </c>
      <c r="F222" s="37" t="s">
        <v>474</v>
      </c>
      <c r="G222" s="37" t="s">
        <v>124</v>
      </c>
      <c r="H222" s="36" t="s">
        <v>188</v>
      </c>
      <c r="I222" s="36" t="s">
        <v>555</v>
      </c>
      <c r="J222" s="36" t="s">
        <v>556</v>
      </c>
      <c r="K222" s="38" t="n">
        <v>455</v>
      </c>
      <c r="L222" s="38" t="n">
        <v>136045000</v>
      </c>
      <c r="M222" s="38" t="n">
        <v>50287510</v>
      </c>
      <c r="N222" s="39" t="n">
        <f aca="false">IF(A222="제외",0,IF(OR(N(L222)&lt;=0,N(M222)&gt;N(L222)),N(M222)/요약!$D$27,N(L222)))</f>
        <v>136045000</v>
      </c>
      <c r="O222" s="32" t="str">
        <f aca="false">IF(A222="제외","",IF(OR(N(L222)&lt;=0,N(M222)&gt;N(L222)),"택가보정(판매금액÷공급율)",""))</f>
        <v/>
      </c>
      <c r="P222" s="0" t="str">
        <f aca="false">IF(A222="HK","100",IF(A222="CN","200",IF(A222="TW","300",IF(ISNUMBER(SEARCH("태국",C222)),"500",IF(ISNUMBER(SEARCH("말레이",C222)),"600",IF(ISNUMBER(SEARCH("필리핀",C222)),"700",IF(ISNUMBER(SEARCH("인도네시아",C222)),"800",IF(ISNUMBER(SEARCH("크루즈",C222)),"810",IF(ISNUMBER(SEARCH("동물원",C222)),"830","")))))))))</f>
        <v>300</v>
      </c>
    </row>
    <row r="223" customFormat="false" ht="15" hidden="false" customHeight="false" outlineLevel="0" collapsed="false">
      <c r="A223" s="32" t="str">
        <f aca="false">IF(OR(TRIM(C223)="",SUBSTITUTE(C223," ","")="소계"),"제외",IF(ISNUMBER(SEARCH("홍콩",C223)),"HK",IF(ISNUMBER(SEARCH("상해",C223)),"CN",IF(ISNUMBER(SEARCH("대만",C223)),"TW","홀세일"))))</f>
        <v>TW</v>
      </c>
      <c r="B223" s="36" t="s">
        <v>98</v>
      </c>
      <c r="C223" s="36" t="s">
        <v>99</v>
      </c>
      <c r="D223" s="37" t="s">
        <v>123</v>
      </c>
      <c r="E223" s="36" t="n">
        <v>2026</v>
      </c>
      <c r="F223" s="37" t="s">
        <v>474</v>
      </c>
      <c r="G223" s="37" t="s">
        <v>124</v>
      </c>
      <c r="H223" s="36" t="s">
        <v>188</v>
      </c>
      <c r="I223" s="36" t="s">
        <v>557</v>
      </c>
      <c r="J223" s="36" t="s">
        <v>558</v>
      </c>
      <c r="K223" s="38" t="n">
        <v>160</v>
      </c>
      <c r="L223" s="38" t="n">
        <v>52640000</v>
      </c>
      <c r="M223" s="38" t="n">
        <v>17930240</v>
      </c>
      <c r="N223" s="39" t="n">
        <f aca="false">IF(A223="제외",0,IF(OR(N(L223)&lt;=0,N(M223)&gt;N(L223)),N(M223)/요약!$D$27,N(L223)))</f>
        <v>52640000</v>
      </c>
      <c r="O223" s="32" t="str">
        <f aca="false">IF(A223="제외","",IF(OR(N(L223)&lt;=0,N(M223)&gt;N(L223)),"택가보정(판매금액÷공급율)",""))</f>
        <v/>
      </c>
      <c r="P223" s="0" t="str">
        <f aca="false">IF(A223="HK","100",IF(A223="CN","200",IF(A223="TW","300",IF(ISNUMBER(SEARCH("태국",C223)),"500",IF(ISNUMBER(SEARCH("말레이",C223)),"600",IF(ISNUMBER(SEARCH("필리핀",C223)),"700",IF(ISNUMBER(SEARCH("인도네시아",C223)),"800",IF(ISNUMBER(SEARCH("크루즈",C223)),"810",IF(ISNUMBER(SEARCH("동물원",C223)),"830","")))))))))</f>
        <v>300</v>
      </c>
    </row>
    <row r="224" customFormat="false" ht="15" hidden="false" customHeight="false" outlineLevel="0" collapsed="false">
      <c r="A224" s="32" t="str">
        <f aca="false">IF(OR(TRIM(C224)="",SUBSTITUTE(C224," ","")="소계"),"제외",IF(ISNUMBER(SEARCH("홍콩",C224)),"HK",IF(ISNUMBER(SEARCH("상해",C224)),"CN",IF(ISNUMBER(SEARCH("대만",C224)),"TW","홀세일"))))</f>
        <v>TW</v>
      </c>
      <c r="B224" s="36" t="s">
        <v>98</v>
      </c>
      <c r="C224" s="36" t="s">
        <v>99</v>
      </c>
      <c r="D224" s="37" t="s">
        <v>123</v>
      </c>
      <c r="E224" s="36" t="n">
        <v>2026</v>
      </c>
      <c r="F224" s="37" t="s">
        <v>474</v>
      </c>
      <c r="G224" s="37" t="s">
        <v>124</v>
      </c>
      <c r="H224" s="36" t="s">
        <v>188</v>
      </c>
      <c r="I224" s="36" t="s">
        <v>559</v>
      </c>
      <c r="J224" s="36" t="s">
        <v>560</v>
      </c>
      <c r="K224" s="38" t="n">
        <v>250</v>
      </c>
      <c r="L224" s="38" t="n">
        <v>99750000</v>
      </c>
      <c r="M224" s="38" t="n">
        <v>33966000</v>
      </c>
      <c r="N224" s="39" t="n">
        <f aca="false">IF(A224="제외",0,IF(OR(N(L224)&lt;=0,N(M224)&gt;N(L224)),N(M224)/요약!$D$27,N(L224)))</f>
        <v>99750000</v>
      </c>
      <c r="O224" s="32" t="str">
        <f aca="false">IF(A224="제외","",IF(OR(N(L224)&lt;=0,N(M224)&gt;N(L224)),"택가보정(판매금액÷공급율)",""))</f>
        <v/>
      </c>
      <c r="P224" s="0" t="str">
        <f aca="false">IF(A224="HK","100",IF(A224="CN","200",IF(A224="TW","300",IF(ISNUMBER(SEARCH("태국",C224)),"500",IF(ISNUMBER(SEARCH("말레이",C224)),"600",IF(ISNUMBER(SEARCH("필리핀",C224)),"700",IF(ISNUMBER(SEARCH("인도네시아",C224)),"800",IF(ISNUMBER(SEARCH("크루즈",C224)),"810",IF(ISNUMBER(SEARCH("동물원",C224)),"830","")))))))))</f>
        <v>300</v>
      </c>
    </row>
    <row r="225" customFormat="false" ht="15" hidden="false" customHeight="false" outlineLevel="0" collapsed="false">
      <c r="A225" s="32" t="str">
        <f aca="false">IF(OR(TRIM(C225)="",SUBSTITUTE(C225," ","")="소계"),"제외",IF(ISNUMBER(SEARCH("홍콩",C225)),"HK",IF(ISNUMBER(SEARCH("상해",C225)),"CN",IF(ISNUMBER(SEARCH("대만",C225)),"TW","홀세일"))))</f>
        <v>TW</v>
      </c>
      <c r="B225" s="36" t="s">
        <v>98</v>
      </c>
      <c r="C225" s="36" t="s">
        <v>99</v>
      </c>
      <c r="D225" s="37" t="s">
        <v>123</v>
      </c>
      <c r="E225" s="36" t="n">
        <v>2026</v>
      </c>
      <c r="F225" s="37" t="s">
        <v>474</v>
      </c>
      <c r="G225" s="37" t="s">
        <v>124</v>
      </c>
      <c r="H225" s="36" t="s">
        <v>188</v>
      </c>
      <c r="I225" s="36" t="s">
        <v>561</v>
      </c>
      <c r="J225" s="36" t="s">
        <v>562</v>
      </c>
      <c r="K225" s="38" t="n">
        <v>180</v>
      </c>
      <c r="L225" s="38" t="n">
        <v>71820000</v>
      </c>
      <c r="M225" s="38" t="n">
        <v>21999420</v>
      </c>
      <c r="N225" s="39" t="n">
        <f aca="false">IF(A225="제외",0,IF(OR(N(L225)&lt;=0,N(M225)&gt;N(L225)),N(M225)/요약!$D$27,N(L225)))</f>
        <v>71820000</v>
      </c>
      <c r="O225" s="32" t="str">
        <f aca="false">IF(A225="제외","",IF(OR(N(L225)&lt;=0,N(M225)&gt;N(L225)),"택가보정(판매금액÷공급율)",""))</f>
        <v/>
      </c>
      <c r="P225" s="0" t="str">
        <f aca="false">IF(A225="HK","100",IF(A225="CN","200",IF(A225="TW","300",IF(ISNUMBER(SEARCH("태국",C225)),"500",IF(ISNUMBER(SEARCH("말레이",C225)),"600",IF(ISNUMBER(SEARCH("필리핀",C225)),"700",IF(ISNUMBER(SEARCH("인도네시아",C225)),"800",IF(ISNUMBER(SEARCH("크루즈",C225)),"810",IF(ISNUMBER(SEARCH("동물원",C225)),"830","")))))))))</f>
        <v>300</v>
      </c>
    </row>
    <row r="226" customFormat="false" ht="15" hidden="false" customHeight="false" outlineLevel="0" collapsed="false">
      <c r="A226" s="32" t="str">
        <f aca="false">IF(OR(TRIM(C226)="",SUBSTITUTE(C226," ","")="소계"),"제외",IF(ISNUMBER(SEARCH("홍콩",C226)),"HK",IF(ISNUMBER(SEARCH("상해",C226)),"CN",IF(ISNUMBER(SEARCH("대만",C226)),"TW","홀세일"))))</f>
        <v>TW</v>
      </c>
      <c r="B226" s="36" t="s">
        <v>98</v>
      </c>
      <c r="C226" s="36" t="s">
        <v>99</v>
      </c>
      <c r="D226" s="37" t="s">
        <v>123</v>
      </c>
      <c r="E226" s="36" t="n">
        <v>2026</v>
      </c>
      <c r="F226" s="37" t="s">
        <v>474</v>
      </c>
      <c r="G226" s="37" t="s">
        <v>124</v>
      </c>
      <c r="H226" s="36" t="s">
        <v>188</v>
      </c>
      <c r="I226" s="36" t="s">
        <v>563</v>
      </c>
      <c r="J226" s="36" t="s">
        <v>564</v>
      </c>
      <c r="K226" s="38" t="n">
        <v>100</v>
      </c>
      <c r="L226" s="38" t="n">
        <v>45900000</v>
      </c>
      <c r="M226" s="38" t="n">
        <v>16034400</v>
      </c>
      <c r="N226" s="39" t="n">
        <f aca="false">IF(A226="제외",0,IF(OR(N(L226)&lt;=0,N(M226)&gt;N(L226)),N(M226)/요약!$D$27,N(L226)))</f>
        <v>45900000</v>
      </c>
      <c r="O226" s="32" t="str">
        <f aca="false">IF(A226="제외","",IF(OR(N(L226)&lt;=0,N(M226)&gt;N(L226)),"택가보정(판매금액÷공급율)",""))</f>
        <v/>
      </c>
      <c r="P226" s="0" t="str">
        <f aca="false">IF(A226="HK","100",IF(A226="CN","200",IF(A226="TW","300",IF(ISNUMBER(SEARCH("태국",C226)),"500",IF(ISNUMBER(SEARCH("말레이",C226)),"600",IF(ISNUMBER(SEARCH("필리핀",C226)),"700",IF(ISNUMBER(SEARCH("인도네시아",C226)),"800",IF(ISNUMBER(SEARCH("크루즈",C226)),"810",IF(ISNUMBER(SEARCH("동물원",C226)),"830","")))))))))</f>
        <v>300</v>
      </c>
    </row>
    <row r="227" customFormat="false" ht="15" hidden="false" customHeight="false" outlineLevel="0" collapsed="false">
      <c r="A227" s="32" t="str">
        <f aca="false">IF(OR(TRIM(C227)="",SUBSTITUTE(C227," ","")="소계"),"제외",IF(ISNUMBER(SEARCH("홍콩",C227)),"HK",IF(ISNUMBER(SEARCH("상해",C227)),"CN",IF(ISNUMBER(SEARCH("대만",C227)),"TW","홀세일"))))</f>
        <v>TW</v>
      </c>
      <c r="B227" s="36" t="s">
        <v>98</v>
      </c>
      <c r="C227" s="36" t="s">
        <v>99</v>
      </c>
      <c r="D227" s="37" t="s">
        <v>123</v>
      </c>
      <c r="E227" s="36" t="n">
        <v>2026</v>
      </c>
      <c r="F227" s="37" t="s">
        <v>474</v>
      </c>
      <c r="G227" s="37" t="s">
        <v>124</v>
      </c>
      <c r="H227" s="36" t="s">
        <v>188</v>
      </c>
      <c r="I227" s="36" t="s">
        <v>565</v>
      </c>
      <c r="J227" s="36" t="s">
        <v>566</v>
      </c>
      <c r="K227" s="38" t="n">
        <v>600</v>
      </c>
      <c r="L227" s="38" t="n">
        <v>263400000</v>
      </c>
      <c r="M227" s="38" t="n">
        <v>95026200</v>
      </c>
      <c r="N227" s="39" t="n">
        <f aca="false">IF(A227="제외",0,IF(OR(N(L227)&lt;=0,N(M227)&gt;N(L227)),N(M227)/요약!$D$27,N(L227)))</f>
        <v>263400000</v>
      </c>
      <c r="O227" s="32" t="str">
        <f aca="false">IF(A227="제외","",IF(OR(N(L227)&lt;=0,N(M227)&gt;N(L227)),"택가보정(판매금액÷공급율)",""))</f>
        <v/>
      </c>
      <c r="P227" s="0" t="str">
        <f aca="false">IF(A227="HK","100",IF(A227="CN","200",IF(A227="TW","300",IF(ISNUMBER(SEARCH("태국",C227)),"500",IF(ISNUMBER(SEARCH("말레이",C227)),"600",IF(ISNUMBER(SEARCH("필리핀",C227)),"700",IF(ISNUMBER(SEARCH("인도네시아",C227)),"800",IF(ISNUMBER(SEARCH("크루즈",C227)),"810",IF(ISNUMBER(SEARCH("동물원",C227)),"830","")))))))))</f>
        <v>300</v>
      </c>
    </row>
    <row r="228" customFormat="false" ht="15" hidden="false" customHeight="false" outlineLevel="0" collapsed="false">
      <c r="A228" s="32" t="str">
        <f aca="false">IF(OR(TRIM(C228)="",SUBSTITUTE(C228," ","")="소계"),"제외",IF(ISNUMBER(SEARCH("홍콩",C228)),"HK",IF(ISNUMBER(SEARCH("상해",C228)),"CN",IF(ISNUMBER(SEARCH("대만",C228)),"TW","홀세일"))))</f>
        <v>TW</v>
      </c>
      <c r="B228" s="36" t="s">
        <v>98</v>
      </c>
      <c r="C228" s="36" t="s">
        <v>99</v>
      </c>
      <c r="D228" s="37" t="s">
        <v>123</v>
      </c>
      <c r="E228" s="36" t="n">
        <v>2026</v>
      </c>
      <c r="F228" s="37" t="s">
        <v>474</v>
      </c>
      <c r="G228" s="37" t="s">
        <v>124</v>
      </c>
      <c r="H228" s="36" t="s">
        <v>188</v>
      </c>
      <c r="I228" s="36" t="s">
        <v>567</v>
      </c>
      <c r="J228" s="36" t="s">
        <v>568</v>
      </c>
      <c r="K228" s="38" t="n">
        <v>350</v>
      </c>
      <c r="L228" s="38" t="n">
        <v>115150000</v>
      </c>
      <c r="M228" s="38" t="n">
        <v>45172400</v>
      </c>
      <c r="N228" s="39" t="n">
        <f aca="false">IF(A228="제외",0,IF(OR(N(L228)&lt;=0,N(M228)&gt;N(L228)),N(M228)/요약!$D$27,N(L228)))</f>
        <v>115150000</v>
      </c>
      <c r="O228" s="32" t="str">
        <f aca="false">IF(A228="제외","",IF(OR(N(L228)&lt;=0,N(M228)&gt;N(L228)),"택가보정(판매금액÷공급율)",""))</f>
        <v/>
      </c>
      <c r="P228" s="0" t="str">
        <f aca="false">IF(A228="HK","100",IF(A228="CN","200",IF(A228="TW","300",IF(ISNUMBER(SEARCH("태국",C228)),"500",IF(ISNUMBER(SEARCH("말레이",C228)),"600",IF(ISNUMBER(SEARCH("필리핀",C228)),"700",IF(ISNUMBER(SEARCH("인도네시아",C228)),"800",IF(ISNUMBER(SEARCH("크루즈",C228)),"810",IF(ISNUMBER(SEARCH("동물원",C228)),"830","")))))))))</f>
        <v>300</v>
      </c>
    </row>
    <row r="229" customFormat="false" ht="15" hidden="false" customHeight="false" outlineLevel="0" collapsed="false">
      <c r="A229" s="32" t="str">
        <f aca="false">IF(OR(TRIM(C229)="",SUBSTITUTE(C229," ","")="소계"),"제외",IF(ISNUMBER(SEARCH("홍콩",C229)),"HK",IF(ISNUMBER(SEARCH("상해",C229)),"CN",IF(ISNUMBER(SEARCH("대만",C229)),"TW","홀세일"))))</f>
        <v>TW</v>
      </c>
      <c r="B229" s="36" t="s">
        <v>98</v>
      </c>
      <c r="C229" s="36" t="s">
        <v>99</v>
      </c>
      <c r="D229" s="37" t="s">
        <v>123</v>
      </c>
      <c r="E229" s="36" t="n">
        <v>2026</v>
      </c>
      <c r="F229" s="37" t="s">
        <v>474</v>
      </c>
      <c r="G229" s="37" t="s">
        <v>124</v>
      </c>
      <c r="H229" s="36" t="s">
        <v>188</v>
      </c>
      <c r="I229" s="36" t="s">
        <v>569</v>
      </c>
      <c r="J229" s="36" t="s">
        <v>570</v>
      </c>
      <c r="K229" s="38" t="n">
        <v>540</v>
      </c>
      <c r="L229" s="38" t="n">
        <v>102060000</v>
      </c>
      <c r="M229" s="38" t="n">
        <v>37689840</v>
      </c>
      <c r="N229" s="39" t="n">
        <f aca="false">IF(A229="제외",0,IF(OR(N(L229)&lt;=0,N(M229)&gt;N(L229)),N(M229)/요약!$D$27,N(L229)))</f>
        <v>102060000</v>
      </c>
      <c r="O229" s="32" t="str">
        <f aca="false">IF(A229="제외","",IF(OR(N(L229)&lt;=0,N(M229)&gt;N(L229)),"택가보정(판매금액÷공급율)",""))</f>
        <v/>
      </c>
      <c r="P229" s="0" t="str">
        <f aca="false">IF(A229="HK","100",IF(A229="CN","200",IF(A229="TW","300",IF(ISNUMBER(SEARCH("태국",C229)),"500",IF(ISNUMBER(SEARCH("말레이",C229)),"600",IF(ISNUMBER(SEARCH("필리핀",C229)),"700",IF(ISNUMBER(SEARCH("인도네시아",C229)),"800",IF(ISNUMBER(SEARCH("크루즈",C229)),"810",IF(ISNUMBER(SEARCH("동물원",C229)),"830","")))))))))</f>
        <v>300</v>
      </c>
    </row>
    <row r="230" customFormat="false" ht="15" hidden="false" customHeight="false" outlineLevel="0" collapsed="false">
      <c r="A230" s="32" t="str">
        <f aca="false">IF(OR(TRIM(C230)="",SUBSTITUTE(C230," ","")="소계"),"제외",IF(ISNUMBER(SEARCH("홍콩",C230)),"HK",IF(ISNUMBER(SEARCH("상해",C230)),"CN",IF(ISNUMBER(SEARCH("대만",C230)),"TW","홀세일"))))</f>
        <v>TW</v>
      </c>
      <c r="B230" s="36" t="s">
        <v>98</v>
      </c>
      <c r="C230" s="36" t="s">
        <v>99</v>
      </c>
      <c r="D230" s="37" t="s">
        <v>123</v>
      </c>
      <c r="E230" s="36" t="n">
        <v>2026</v>
      </c>
      <c r="F230" s="37" t="s">
        <v>474</v>
      </c>
      <c r="G230" s="37" t="s">
        <v>124</v>
      </c>
      <c r="H230" s="36" t="s">
        <v>188</v>
      </c>
      <c r="I230" s="36" t="s">
        <v>571</v>
      </c>
      <c r="J230" s="36" t="s">
        <v>572</v>
      </c>
      <c r="K230" s="38" t="n">
        <v>50</v>
      </c>
      <c r="L230" s="38" t="n">
        <v>10950000</v>
      </c>
      <c r="M230" s="38" t="n">
        <v>3911100</v>
      </c>
      <c r="N230" s="39" t="n">
        <f aca="false">IF(A230="제외",0,IF(OR(N(L230)&lt;=0,N(M230)&gt;N(L230)),N(M230)/요약!$D$27,N(L230)))</f>
        <v>10950000</v>
      </c>
      <c r="O230" s="32" t="str">
        <f aca="false">IF(A230="제외","",IF(OR(N(L230)&lt;=0,N(M230)&gt;N(L230)),"택가보정(판매금액÷공급율)",""))</f>
        <v/>
      </c>
      <c r="P230" s="0" t="str">
        <f aca="false">IF(A230="HK","100",IF(A230="CN","200",IF(A230="TW","300",IF(ISNUMBER(SEARCH("태국",C230)),"500",IF(ISNUMBER(SEARCH("말레이",C230)),"600",IF(ISNUMBER(SEARCH("필리핀",C230)),"700",IF(ISNUMBER(SEARCH("인도네시아",C230)),"800",IF(ISNUMBER(SEARCH("크루즈",C230)),"810",IF(ISNUMBER(SEARCH("동물원",C230)),"830","")))))))))</f>
        <v>300</v>
      </c>
    </row>
    <row r="231" customFormat="false" ht="15" hidden="false" customHeight="false" outlineLevel="0" collapsed="false">
      <c r="A231" s="32" t="str">
        <f aca="false">IF(OR(TRIM(C231)="",SUBSTITUTE(C231," ","")="소계"),"제외",IF(ISNUMBER(SEARCH("홍콩",C231)),"HK",IF(ISNUMBER(SEARCH("상해",C231)),"CN",IF(ISNUMBER(SEARCH("대만",C231)),"TW","홀세일"))))</f>
        <v>TW</v>
      </c>
      <c r="B231" s="36" t="s">
        <v>98</v>
      </c>
      <c r="C231" s="36" t="s">
        <v>99</v>
      </c>
      <c r="D231" s="37" t="s">
        <v>123</v>
      </c>
      <c r="E231" s="36" t="n">
        <v>2026</v>
      </c>
      <c r="F231" s="37" t="s">
        <v>474</v>
      </c>
      <c r="G231" s="37" t="s">
        <v>124</v>
      </c>
      <c r="H231" s="36" t="s">
        <v>188</v>
      </c>
      <c r="I231" s="36" t="s">
        <v>573</v>
      </c>
      <c r="J231" s="36" t="s">
        <v>574</v>
      </c>
      <c r="K231" s="38" t="n">
        <v>360</v>
      </c>
      <c r="L231" s="38" t="n">
        <v>71640000</v>
      </c>
      <c r="M231" s="38" t="n">
        <v>25543800</v>
      </c>
      <c r="N231" s="39" t="n">
        <f aca="false">IF(A231="제외",0,IF(OR(N(L231)&lt;=0,N(M231)&gt;N(L231)),N(M231)/요약!$D$27,N(L231)))</f>
        <v>71640000</v>
      </c>
      <c r="O231" s="32" t="str">
        <f aca="false">IF(A231="제외","",IF(OR(N(L231)&lt;=0,N(M231)&gt;N(L231)),"택가보정(판매금액÷공급율)",""))</f>
        <v/>
      </c>
      <c r="P231" s="0" t="str">
        <f aca="false">IF(A231="HK","100",IF(A231="CN","200",IF(A231="TW","300",IF(ISNUMBER(SEARCH("태국",C231)),"500",IF(ISNUMBER(SEARCH("말레이",C231)),"600",IF(ISNUMBER(SEARCH("필리핀",C231)),"700",IF(ISNUMBER(SEARCH("인도네시아",C231)),"800",IF(ISNUMBER(SEARCH("크루즈",C231)),"810",IF(ISNUMBER(SEARCH("동물원",C231)),"830","")))))))))</f>
        <v>300</v>
      </c>
    </row>
    <row r="232" customFormat="false" ht="15" hidden="false" customHeight="false" outlineLevel="0" collapsed="false">
      <c r="A232" s="32" t="str">
        <f aca="false">IF(OR(TRIM(C232)="",SUBSTITUTE(C232," ","")="소계"),"제외",IF(ISNUMBER(SEARCH("홍콩",C232)),"HK",IF(ISNUMBER(SEARCH("상해",C232)),"CN",IF(ISNUMBER(SEARCH("대만",C232)),"TW","홀세일"))))</f>
        <v>TW</v>
      </c>
      <c r="B232" s="36" t="s">
        <v>98</v>
      </c>
      <c r="C232" s="36" t="s">
        <v>99</v>
      </c>
      <c r="D232" s="37" t="s">
        <v>123</v>
      </c>
      <c r="E232" s="36" t="n">
        <v>2026</v>
      </c>
      <c r="F232" s="37" t="s">
        <v>474</v>
      </c>
      <c r="G232" s="37" t="s">
        <v>124</v>
      </c>
      <c r="H232" s="36" t="s">
        <v>188</v>
      </c>
      <c r="I232" s="36" t="s">
        <v>575</v>
      </c>
      <c r="J232" s="36" t="s">
        <v>576</v>
      </c>
      <c r="K232" s="38" t="n">
        <v>70</v>
      </c>
      <c r="L232" s="38" t="n">
        <v>10430000</v>
      </c>
      <c r="M232" s="38" t="n">
        <v>3720150</v>
      </c>
      <c r="N232" s="39" t="n">
        <f aca="false">IF(A232="제외",0,IF(OR(N(L232)&lt;=0,N(M232)&gt;N(L232)),N(M232)/요약!$D$27,N(L232)))</f>
        <v>10430000</v>
      </c>
      <c r="O232" s="32" t="str">
        <f aca="false">IF(A232="제외","",IF(OR(N(L232)&lt;=0,N(M232)&gt;N(L232)),"택가보정(판매금액÷공급율)",""))</f>
        <v/>
      </c>
      <c r="P232" s="0" t="str">
        <f aca="false">IF(A232="HK","100",IF(A232="CN","200",IF(A232="TW","300",IF(ISNUMBER(SEARCH("태국",C232)),"500",IF(ISNUMBER(SEARCH("말레이",C232)),"600",IF(ISNUMBER(SEARCH("필리핀",C232)),"700",IF(ISNUMBER(SEARCH("인도네시아",C232)),"800",IF(ISNUMBER(SEARCH("크루즈",C232)),"810",IF(ISNUMBER(SEARCH("동물원",C232)),"830","")))))))))</f>
        <v>300</v>
      </c>
    </row>
    <row r="233" customFormat="false" ht="15" hidden="false" customHeight="false" outlineLevel="0" collapsed="false">
      <c r="A233" s="32" t="str">
        <f aca="false">IF(OR(TRIM(C233)="",SUBSTITUTE(C233," ","")="소계"),"제외",IF(ISNUMBER(SEARCH("홍콩",C233)),"HK",IF(ISNUMBER(SEARCH("상해",C233)),"CN",IF(ISNUMBER(SEARCH("대만",C233)),"TW","홀세일"))))</f>
        <v>TW</v>
      </c>
      <c r="B233" s="36" t="s">
        <v>98</v>
      </c>
      <c r="C233" s="36" t="s">
        <v>99</v>
      </c>
      <c r="D233" s="37" t="s">
        <v>123</v>
      </c>
      <c r="E233" s="36" t="n">
        <v>2026</v>
      </c>
      <c r="F233" s="37" t="s">
        <v>474</v>
      </c>
      <c r="G233" s="37" t="s">
        <v>124</v>
      </c>
      <c r="H233" s="36" t="s">
        <v>188</v>
      </c>
      <c r="I233" s="36" t="s">
        <v>577</v>
      </c>
      <c r="J233" s="36" t="s">
        <v>578</v>
      </c>
      <c r="K233" s="38" t="n">
        <v>360</v>
      </c>
      <c r="L233" s="38" t="n">
        <v>71640000</v>
      </c>
      <c r="M233" s="38" t="n">
        <v>23838120</v>
      </c>
      <c r="N233" s="39" t="n">
        <f aca="false">IF(A233="제외",0,IF(OR(N(L233)&lt;=0,N(M233)&gt;N(L233)),N(M233)/요약!$D$27,N(L233)))</f>
        <v>71640000</v>
      </c>
      <c r="O233" s="32" t="str">
        <f aca="false">IF(A233="제외","",IF(OR(N(L233)&lt;=0,N(M233)&gt;N(L233)),"택가보정(판매금액÷공급율)",""))</f>
        <v/>
      </c>
      <c r="P233" s="0" t="str">
        <f aca="false">IF(A233="HK","100",IF(A233="CN","200",IF(A233="TW","300",IF(ISNUMBER(SEARCH("태국",C233)),"500",IF(ISNUMBER(SEARCH("말레이",C233)),"600",IF(ISNUMBER(SEARCH("필리핀",C233)),"700",IF(ISNUMBER(SEARCH("인도네시아",C233)),"800",IF(ISNUMBER(SEARCH("크루즈",C233)),"810",IF(ISNUMBER(SEARCH("동물원",C233)),"830","")))))))))</f>
        <v>300</v>
      </c>
    </row>
    <row r="234" customFormat="false" ht="15" hidden="false" customHeight="false" outlineLevel="0" collapsed="false">
      <c r="A234" s="32" t="str">
        <f aca="false">IF(OR(TRIM(C234)="",SUBSTITUTE(C234," ","")="소계"),"제외",IF(ISNUMBER(SEARCH("홍콩",C234)),"HK",IF(ISNUMBER(SEARCH("상해",C234)),"CN",IF(ISNUMBER(SEARCH("대만",C234)),"TW","홀세일"))))</f>
        <v>TW</v>
      </c>
      <c r="B234" s="36" t="s">
        <v>98</v>
      </c>
      <c r="C234" s="36" t="s">
        <v>99</v>
      </c>
      <c r="D234" s="37" t="s">
        <v>123</v>
      </c>
      <c r="E234" s="36" t="n">
        <v>2026</v>
      </c>
      <c r="F234" s="37" t="s">
        <v>474</v>
      </c>
      <c r="G234" s="37" t="s">
        <v>124</v>
      </c>
      <c r="H234" s="36" t="s">
        <v>188</v>
      </c>
      <c r="I234" s="36" t="s">
        <v>579</v>
      </c>
      <c r="J234" s="36" t="s">
        <v>580</v>
      </c>
      <c r="K234" s="38" t="n">
        <v>100</v>
      </c>
      <c r="L234" s="38" t="n">
        <v>13900000</v>
      </c>
      <c r="M234" s="38" t="n">
        <v>4313200</v>
      </c>
      <c r="N234" s="39" t="n">
        <f aca="false">IF(A234="제외",0,IF(OR(N(L234)&lt;=0,N(M234)&gt;N(L234)),N(M234)/요약!$D$27,N(L234)))</f>
        <v>13900000</v>
      </c>
      <c r="O234" s="32" t="str">
        <f aca="false">IF(A234="제외","",IF(OR(N(L234)&lt;=0,N(M234)&gt;N(L234)),"택가보정(판매금액÷공급율)",""))</f>
        <v/>
      </c>
      <c r="P234" s="0" t="str">
        <f aca="false">IF(A234="HK","100",IF(A234="CN","200",IF(A234="TW","300",IF(ISNUMBER(SEARCH("태국",C234)),"500",IF(ISNUMBER(SEARCH("말레이",C234)),"600",IF(ISNUMBER(SEARCH("필리핀",C234)),"700",IF(ISNUMBER(SEARCH("인도네시아",C234)),"800",IF(ISNUMBER(SEARCH("크루즈",C234)),"810",IF(ISNUMBER(SEARCH("동물원",C234)),"830","")))))))))</f>
        <v>300</v>
      </c>
    </row>
    <row r="235" customFormat="false" ht="15" hidden="false" customHeight="false" outlineLevel="0" collapsed="false">
      <c r="A235" s="32" t="str">
        <f aca="false">IF(OR(TRIM(C235)="",SUBSTITUTE(C235," ","")="소계"),"제외",IF(ISNUMBER(SEARCH("홍콩",C235)),"HK",IF(ISNUMBER(SEARCH("상해",C235)),"CN",IF(ISNUMBER(SEARCH("대만",C235)),"TW","홀세일"))))</f>
        <v>TW</v>
      </c>
      <c r="B235" s="36" t="s">
        <v>98</v>
      </c>
      <c r="C235" s="36" t="s">
        <v>99</v>
      </c>
      <c r="D235" s="37" t="s">
        <v>123</v>
      </c>
      <c r="E235" s="36" t="n">
        <v>2026</v>
      </c>
      <c r="F235" s="36" t="s">
        <v>110</v>
      </c>
      <c r="G235" s="37" t="s">
        <v>102</v>
      </c>
      <c r="H235" s="36" t="s">
        <v>131</v>
      </c>
      <c r="I235" s="36" t="s">
        <v>581</v>
      </c>
      <c r="J235" s="37" t="s">
        <v>582</v>
      </c>
      <c r="K235" s="38" t="n">
        <v>300</v>
      </c>
      <c r="L235" s="38" t="n">
        <v>8700000</v>
      </c>
      <c r="M235" s="38" t="n">
        <v>3264300</v>
      </c>
      <c r="N235" s="39" t="n">
        <f aca="false">IF(A235="제외",0,IF(OR(N(L235)&lt;=0,N(M235)&gt;N(L235)),N(M235)/요약!$D$27,N(L235)))</f>
        <v>8700000</v>
      </c>
      <c r="O235" s="32" t="str">
        <f aca="false">IF(A235="제외","",IF(OR(N(L235)&lt;=0,N(M235)&gt;N(L235)),"택가보정(판매금액÷공급율)",""))</f>
        <v/>
      </c>
      <c r="P235" s="0" t="str">
        <f aca="false">IF(A235="HK","100",IF(A235="CN","200",IF(A235="TW","300",IF(ISNUMBER(SEARCH("태국",C235)),"500",IF(ISNUMBER(SEARCH("말레이",C235)),"600",IF(ISNUMBER(SEARCH("필리핀",C235)),"700",IF(ISNUMBER(SEARCH("인도네시아",C235)),"800",IF(ISNUMBER(SEARCH("크루즈",C235)),"810",IF(ISNUMBER(SEARCH("동물원",C235)),"830","")))))))))</f>
        <v>300</v>
      </c>
    </row>
    <row r="236" customFormat="false" ht="15" hidden="false" customHeight="false" outlineLevel="0" collapsed="false">
      <c r="A236" s="32" t="str">
        <f aca="false">IF(OR(TRIM(C236)="",SUBSTITUTE(C236," ","")="소계"),"제외",IF(ISNUMBER(SEARCH("홍콩",C236)),"HK",IF(ISNUMBER(SEARCH("상해",C236)),"CN",IF(ISNUMBER(SEARCH("대만",C236)),"TW","홀세일"))))</f>
        <v>TW</v>
      </c>
      <c r="B236" s="36" t="s">
        <v>98</v>
      </c>
      <c r="C236" s="36" t="s">
        <v>99</v>
      </c>
      <c r="D236" s="37" t="s">
        <v>123</v>
      </c>
      <c r="E236" s="36" t="n">
        <v>2026</v>
      </c>
      <c r="F236" s="36" t="s">
        <v>110</v>
      </c>
      <c r="G236" s="37" t="s">
        <v>102</v>
      </c>
      <c r="H236" s="36" t="s">
        <v>131</v>
      </c>
      <c r="I236" s="36" t="s">
        <v>583</v>
      </c>
      <c r="J236" s="37" t="s">
        <v>584</v>
      </c>
      <c r="K236" s="38" t="n">
        <v>180</v>
      </c>
      <c r="L236" s="38" t="n">
        <v>8820000</v>
      </c>
      <c r="M236" s="38" t="n">
        <v>3452400</v>
      </c>
      <c r="N236" s="39" t="n">
        <f aca="false">IF(A236="제외",0,IF(OR(N(L236)&lt;=0,N(M236)&gt;N(L236)),N(M236)/요약!$D$27,N(L236)))</f>
        <v>8820000</v>
      </c>
      <c r="O236" s="32" t="str">
        <f aca="false">IF(A236="제외","",IF(OR(N(L236)&lt;=0,N(M236)&gt;N(L236)),"택가보정(판매금액÷공급율)",""))</f>
        <v/>
      </c>
      <c r="P236" s="0" t="str">
        <f aca="false">IF(A236="HK","100",IF(A236="CN","200",IF(A236="TW","300",IF(ISNUMBER(SEARCH("태국",C236)),"500",IF(ISNUMBER(SEARCH("말레이",C236)),"600",IF(ISNUMBER(SEARCH("필리핀",C236)),"700",IF(ISNUMBER(SEARCH("인도네시아",C236)),"800",IF(ISNUMBER(SEARCH("크루즈",C236)),"810",IF(ISNUMBER(SEARCH("동물원",C236)),"830","")))))))))</f>
        <v>300</v>
      </c>
    </row>
    <row r="237" customFormat="false" ht="15" hidden="false" customHeight="false" outlineLevel="0" collapsed="false">
      <c r="A237" s="32" t="str">
        <f aca="false">IF(OR(TRIM(C237)="",SUBSTITUTE(C237," ","")="소계"),"제외",IF(ISNUMBER(SEARCH("홍콩",C237)),"HK",IF(ISNUMBER(SEARCH("상해",C237)),"CN",IF(ISNUMBER(SEARCH("대만",C237)),"TW","홀세일"))))</f>
        <v>TW</v>
      </c>
      <c r="B237" s="36" t="s">
        <v>98</v>
      </c>
      <c r="C237" s="36" t="s">
        <v>99</v>
      </c>
      <c r="D237" s="37" t="s">
        <v>123</v>
      </c>
      <c r="E237" s="36" t="n">
        <v>2026</v>
      </c>
      <c r="F237" s="36" t="s">
        <v>110</v>
      </c>
      <c r="G237" s="37" t="s">
        <v>102</v>
      </c>
      <c r="H237" s="36" t="s">
        <v>131</v>
      </c>
      <c r="I237" s="36" t="s">
        <v>585</v>
      </c>
      <c r="J237" s="36" t="s">
        <v>586</v>
      </c>
      <c r="K237" s="38" t="n">
        <v>200</v>
      </c>
      <c r="L237" s="38" t="n">
        <v>23800000</v>
      </c>
      <c r="M237" s="38" t="n">
        <v>9436400</v>
      </c>
      <c r="N237" s="39" t="n">
        <f aca="false">IF(A237="제외",0,IF(OR(N(L237)&lt;=0,N(M237)&gt;N(L237)),N(M237)/요약!$D$27,N(L237)))</f>
        <v>23800000</v>
      </c>
      <c r="O237" s="32" t="str">
        <f aca="false">IF(A237="제외","",IF(OR(N(L237)&lt;=0,N(M237)&gt;N(L237)),"택가보정(판매금액÷공급율)",""))</f>
        <v/>
      </c>
      <c r="P237" s="0" t="str">
        <f aca="false">IF(A237="HK","100",IF(A237="CN","200",IF(A237="TW","300",IF(ISNUMBER(SEARCH("태국",C237)),"500",IF(ISNUMBER(SEARCH("말레이",C237)),"600",IF(ISNUMBER(SEARCH("필리핀",C237)),"700",IF(ISNUMBER(SEARCH("인도네시아",C237)),"800",IF(ISNUMBER(SEARCH("크루즈",C237)),"810",IF(ISNUMBER(SEARCH("동물원",C237)),"830","")))))))))</f>
        <v>300</v>
      </c>
    </row>
    <row r="238" customFormat="false" ht="15" hidden="false" customHeight="false" outlineLevel="0" collapsed="false">
      <c r="A238" s="32" t="str">
        <f aca="false">IF(OR(TRIM(C238)="",SUBSTITUTE(C238," ","")="소계"),"제외",IF(ISNUMBER(SEARCH("홍콩",C238)),"HK",IF(ISNUMBER(SEARCH("상해",C238)),"CN",IF(ISNUMBER(SEARCH("대만",C238)),"TW","홀세일"))))</f>
        <v>TW</v>
      </c>
      <c r="B238" s="36" t="s">
        <v>98</v>
      </c>
      <c r="C238" s="36" t="s">
        <v>99</v>
      </c>
      <c r="D238" s="37" t="s">
        <v>123</v>
      </c>
      <c r="E238" s="36" t="n">
        <v>2026</v>
      </c>
      <c r="F238" s="36" t="s">
        <v>110</v>
      </c>
      <c r="G238" s="37" t="s">
        <v>102</v>
      </c>
      <c r="H238" s="36" t="s">
        <v>125</v>
      </c>
      <c r="I238" s="36" t="s">
        <v>587</v>
      </c>
      <c r="J238" s="37" t="s">
        <v>588</v>
      </c>
      <c r="K238" s="38" t="n">
        <v>80</v>
      </c>
      <c r="L238" s="38" t="n">
        <v>15920000</v>
      </c>
      <c r="M238" s="38" t="n">
        <v>6118240</v>
      </c>
      <c r="N238" s="39" t="n">
        <f aca="false">IF(A238="제외",0,IF(OR(N(L238)&lt;=0,N(M238)&gt;N(L238)),N(M238)/요약!$D$27,N(L238)))</f>
        <v>15920000</v>
      </c>
      <c r="O238" s="32" t="str">
        <f aca="false">IF(A238="제외","",IF(OR(N(L238)&lt;=0,N(M238)&gt;N(L238)),"택가보정(판매금액÷공급율)",""))</f>
        <v/>
      </c>
      <c r="P238" s="0" t="str">
        <f aca="false">IF(A238="HK","100",IF(A238="CN","200",IF(A238="TW","300",IF(ISNUMBER(SEARCH("태국",C238)),"500",IF(ISNUMBER(SEARCH("말레이",C238)),"600",IF(ISNUMBER(SEARCH("필리핀",C238)),"700",IF(ISNUMBER(SEARCH("인도네시아",C238)),"800",IF(ISNUMBER(SEARCH("크루즈",C238)),"810",IF(ISNUMBER(SEARCH("동물원",C238)),"830","")))))))))</f>
        <v>300</v>
      </c>
    </row>
    <row r="239" customFormat="false" ht="15" hidden="false" customHeight="false" outlineLevel="0" collapsed="false">
      <c r="A239" s="32" t="str">
        <f aca="false">IF(OR(TRIM(C239)="",SUBSTITUTE(C239," ","")="소계"),"제외",IF(ISNUMBER(SEARCH("홍콩",C239)),"HK",IF(ISNUMBER(SEARCH("상해",C239)),"CN",IF(ISNUMBER(SEARCH("대만",C239)),"TW","홀세일"))))</f>
        <v>TW</v>
      </c>
      <c r="B239" s="36" t="s">
        <v>98</v>
      </c>
      <c r="C239" s="36" t="s">
        <v>99</v>
      </c>
      <c r="D239" s="37" t="s">
        <v>123</v>
      </c>
      <c r="E239" s="36" t="n">
        <v>2026</v>
      </c>
      <c r="F239" s="36" t="s">
        <v>110</v>
      </c>
      <c r="G239" s="37" t="s">
        <v>102</v>
      </c>
      <c r="H239" s="36" t="s">
        <v>125</v>
      </c>
      <c r="I239" s="36" t="s">
        <v>589</v>
      </c>
      <c r="J239" s="37" t="s">
        <v>590</v>
      </c>
      <c r="K239" s="38" t="n">
        <v>230</v>
      </c>
      <c r="L239" s="38" t="n">
        <v>34270000</v>
      </c>
      <c r="M239" s="38" t="n">
        <v>13659240</v>
      </c>
      <c r="N239" s="39" t="n">
        <f aca="false">IF(A239="제외",0,IF(OR(N(L239)&lt;=0,N(M239)&gt;N(L239)),N(M239)/요약!$D$27,N(L239)))</f>
        <v>34270000</v>
      </c>
      <c r="O239" s="32" t="str">
        <f aca="false">IF(A239="제외","",IF(OR(N(L239)&lt;=0,N(M239)&gt;N(L239)),"택가보정(판매금액÷공급율)",""))</f>
        <v/>
      </c>
      <c r="P239" s="0" t="str">
        <f aca="false">IF(A239="HK","100",IF(A239="CN","200",IF(A239="TW","300",IF(ISNUMBER(SEARCH("태국",C239)),"500",IF(ISNUMBER(SEARCH("말레이",C239)),"600",IF(ISNUMBER(SEARCH("필리핀",C239)),"700",IF(ISNUMBER(SEARCH("인도네시아",C239)),"800",IF(ISNUMBER(SEARCH("크루즈",C239)),"810",IF(ISNUMBER(SEARCH("동물원",C239)),"830","")))))))))</f>
        <v>300</v>
      </c>
    </row>
    <row r="240" customFormat="false" ht="15" hidden="false" customHeight="false" outlineLevel="0" collapsed="false">
      <c r="A240" s="32" t="str">
        <f aca="false">IF(OR(TRIM(C240)="",SUBSTITUTE(C240," ","")="소계"),"제외",IF(ISNUMBER(SEARCH("홍콩",C240)),"HK",IF(ISNUMBER(SEARCH("상해",C240)),"CN",IF(ISNUMBER(SEARCH("대만",C240)),"TW","홀세일"))))</f>
        <v>TW</v>
      </c>
      <c r="B240" s="36" t="s">
        <v>98</v>
      </c>
      <c r="C240" s="36" t="s">
        <v>99</v>
      </c>
      <c r="D240" s="37" t="s">
        <v>123</v>
      </c>
      <c r="E240" s="36" t="n">
        <v>2026</v>
      </c>
      <c r="F240" s="36" t="s">
        <v>110</v>
      </c>
      <c r="G240" s="37" t="s">
        <v>102</v>
      </c>
      <c r="H240" s="36" t="s">
        <v>131</v>
      </c>
      <c r="I240" s="36" t="s">
        <v>591</v>
      </c>
      <c r="J240" s="37" t="s">
        <v>592</v>
      </c>
      <c r="K240" s="38" t="n">
        <v>30</v>
      </c>
      <c r="L240" s="38" t="n">
        <v>3870000</v>
      </c>
      <c r="M240" s="38" t="n">
        <v>1487640</v>
      </c>
      <c r="N240" s="39" t="n">
        <f aca="false">IF(A240="제외",0,IF(OR(N(L240)&lt;=0,N(M240)&gt;N(L240)),N(M240)/요약!$D$27,N(L240)))</f>
        <v>3870000</v>
      </c>
      <c r="O240" s="32" t="str">
        <f aca="false">IF(A240="제외","",IF(OR(N(L240)&lt;=0,N(M240)&gt;N(L240)),"택가보정(판매금액÷공급율)",""))</f>
        <v/>
      </c>
      <c r="P240" s="0" t="str">
        <f aca="false">IF(A240="HK","100",IF(A240="CN","200",IF(A240="TW","300",IF(ISNUMBER(SEARCH("태국",C240)),"500",IF(ISNUMBER(SEARCH("말레이",C240)),"600",IF(ISNUMBER(SEARCH("필리핀",C240)),"700",IF(ISNUMBER(SEARCH("인도네시아",C240)),"800",IF(ISNUMBER(SEARCH("크루즈",C240)),"810",IF(ISNUMBER(SEARCH("동물원",C240)),"830","")))))))))</f>
        <v>300</v>
      </c>
    </row>
    <row r="241" customFormat="false" ht="15" hidden="false" customHeight="false" outlineLevel="0" collapsed="false">
      <c r="A241" s="32" t="str">
        <f aca="false">IF(OR(TRIM(C241)="",SUBSTITUTE(C241," ","")="소계"),"제외",IF(ISNUMBER(SEARCH("홍콩",C241)),"HK",IF(ISNUMBER(SEARCH("상해",C241)),"CN",IF(ISNUMBER(SEARCH("대만",C241)),"TW","홀세일"))))</f>
        <v>TW</v>
      </c>
      <c r="B241" s="36" t="s">
        <v>98</v>
      </c>
      <c r="C241" s="36" t="s">
        <v>99</v>
      </c>
      <c r="D241" s="37" t="s">
        <v>123</v>
      </c>
      <c r="E241" s="36" t="n">
        <v>2026</v>
      </c>
      <c r="F241" s="36" t="s">
        <v>110</v>
      </c>
      <c r="G241" s="37" t="s">
        <v>102</v>
      </c>
      <c r="H241" s="36" t="s">
        <v>131</v>
      </c>
      <c r="I241" s="36" t="s">
        <v>593</v>
      </c>
      <c r="J241" s="37" t="s">
        <v>594</v>
      </c>
      <c r="K241" s="38" t="n">
        <v>250</v>
      </c>
      <c r="L241" s="38" t="n">
        <v>29750000</v>
      </c>
      <c r="M241" s="38" t="n">
        <v>11421000</v>
      </c>
      <c r="N241" s="39" t="n">
        <f aca="false">IF(A241="제외",0,IF(OR(N(L241)&lt;=0,N(M241)&gt;N(L241)),N(M241)/요약!$D$27,N(L241)))</f>
        <v>29750000</v>
      </c>
      <c r="O241" s="32" t="str">
        <f aca="false">IF(A241="제외","",IF(OR(N(L241)&lt;=0,N(M241)&gt;N(L241)),"택가보정(판매금액÷공급율)",""))</f>
        <v/>
      </c>
      <c r="P241" s="0" t="str">
        <f aca="false">IF(A241="HK","100",IF(A241="CN","200",IF(A241="TW","300",IF(ISNUMBER(SEARCH("태국",C241)),"500",IF(ISNUMBER(SEARCH("말레이",C241)),"600",IF(ISNUMBER(SEARCH("필리핀",C241)),"700",IF(ISNUMBER(SEARCH("인도네시아",C241)),"800",IF(ISNUMBER(SEARCH("크루즈",C241)),"810",IF(ISNUMBER(SEARCH("동물원",C241)),"830","")))))))))</f>
        <v>300</v>
      </c>
    </row>
    <row r="242" customFormat="false" ht="15" hidden="false" customHeight="false" outlineLevel="0" collapsed="false">
      <c r="A242" s="32" t="str">
        <f aca="false">IF(OR(TRIM(C242)="",SUBSTITUTE(C242," ","")="소계"),"제외",IF(ISNUMBER(SEARCH("홍콩",C242)),"HK",IF(ISNUMBER(SEARCH("상해",C242)),"CN",IF(ISNUMBER(SEARCH("대만",C242)),"TW","홀세일"))))</f>
        <v>TW</v>
      </c>
      <c r="B242" s="36" t="s">
        <v>98</v>
      </c>
      <c r="C242" s="36" t="s">
        <v>99</v>
      </c>
      <c r="D242" s="37" t="s">
        <v>123</v>
      </c>
      <c r="E242" s="36" t="n">
        <v>2026</v>
      </c>
      <c r="F242" s="36" t="s">
        <v>110</v>
      </c>
      <c r="G242" s="37" t="s">
        <v>102</v>
      </c>
      <c r="H242" s="36" t="s">
        <v>131</v>
      </c>
      <c r="I242" s="36" t="s">
        <v>595</v>
      </c>
      <c r="J242" s="37" t="s">
        <v>596</v>
      </c>
      <c r="K242" s="38" t="n">
        <v>250</v>
      </c>
      <c r="L242" s="38" t="n">
        <v>14750000</v>
      </c>
      <c r="M242" s="38" t="n">
        <v>5674250</v>
      </c>
      <c r="N242" s="39" t="n">
        <f aca="false">IF(A242="제외",0,IF(OR(N(L242)&lt;=0,N(M242)&gt;N(L242)),N(M242)/요약!$D$27,N(L242)))</f>
        <v>14750000</v>
      </c>
      <c r="O242" s="32" t="str">
        <f aca="false">IF(A242="제외","",IF(OR(N(L242)&lt;=0,N(M242)&gt;N(L242)),"택가보정(판매금액÷공급율)",""))</f>
        <v/>
      </c>
      <c r="P242" s="0" t="str">
        <f aca="false">IF(A242="HK","100",IF(A242="CN","200",IF(A242="TW","300",IF(ISNUMBER(SEARCH("태국",C242)),"500",IF(ISNUMBER(SEARCH("말레이",C242)),"600",IF(ISNUMBER(SEARCH("필리핀",C242)),"700",IF(ISNUMBER(SEARCH("인도네시아",C242)),"800",IF(ISNUMBER(SEARCH("크루즈",C242)),"810",IF(ISNUMBER(SEARCH("동물원",C242)),"830","")))))))))</f>
        <v>300</v>
      </c>
    </row>
    <row r="243" customFormat="false" ht="15" hidden="false" customHeight="false" outlineLevel="0" collapsed="false">
      <c r="A243" s="32" t="str">
        <f aca="false">IF(OR(TRIM(C243)="",SUBSTITUTE(C243," ","")="소계"),"제외",IF(ISNUMBER(SEARCH("홍콩",C243)),"HK",IF(ISNUMBER(SEARCH("상해",C243)),"CN",IF(ISNUMBER(SEARCH("대만",C243)),"TW","홀세일"))))</f>
        <v>TW</v>
      </c>
      <c r="B243" s="36" t="s">
        <v>98</v>
      </c>
      <c r="C243" s="36" t="s">
        <v>99</v>
      </c>
      <c r="D243" s="37" t="s">
        <v>123</v>
      </c>
      <c r="E243" s="36" t="n">
        <v>2026</v>
      </c>
      <c r="F243" s="36" t="s">
        <v>110</v>
      </c>
      <c r="G243" s="37" t="s">
        <v>102</v>
      </c>
      <c r="H243" s="36" t="s">
        <v>131</v>
      </c>
      <c r="I243" s="36" t="s">
        <v>597</v>
      </c>
      <c r="J243" s="37" t="s">
        <v>598</v>
      </c>
      <c r="K243" s="38" t="n">
        <v>350</v>
      </c>
      <c r="L243" s="38" t="n">
        <v>24150000</v>
      </c>
      <c r="M243" s="38" t="n">
        <v>9310350</v>
      </c>
      <c r="N243" s="39" t="n">
        <f aca="false">IF(A243="제외",0,IF(OR(N(L243)&lt;=0,N(M243)&gt;N(L243)),N(M243)/요약!$D$27,N(L243)))</f>
        <v>24150000</v>
      </c>
      <c r="O243" s="32" t="str">
        <f aca="false">IF(A243="제외","",IF(OR(N(L243)&lt;=0,N(M243)&gt;N(L243)),"택가보정(판매금액÷공급율)",""))</f>
        <v/>
      </c>
      <c r="P243" s="0" t="str">
        <f aca="false">IF(A243="HK","100",IF(A243="CN","200",IF(A243="TW","300",IF(ISNUMBER(SEARCH("태국",C243)),"500",IF(ISNUMBER(SEARCH("말레이",C243)),"600",IF(ISNUMBER(SEARCH("필리핀",C243)),"700",IF(ISNUMBER(SEARCH("인도네시아",C243)),"800",IF(ISNUMBER(SEARCH("크루즈",C243)),"810",IF(ISNUMBER(SEARCH("동물원",C243)),"830","")))))))))</f>
        <v>300</v>
      </c>
    </row>
    <row r="244" customFormat="false" ht="15" hidden="false" customHeight="false" outlineLevel="0" collapsed="false">
      <c r="A244" s="32" t="str">
        <f aca="false">IF(OR(TRIM(C244)="",SUBSTITUTE(C244," ","")="소계"),"제외",IF(ISNUMBER(SEARCH("홍콩",C244)),"HK",IF(ISNUMBER(SEARCH("상해",C244)),"CN",IF(ISNUMBER(SEARCH("대만",C244)),"TW","홀세일"))))</f>
        <v>TW</v>
      </c>
      <c r="B244" s="36" t="s">
        <v>98</v>
      </c>
      <c r="C244" s="36" t="s">
        <v>99</v>
      </c>
      <c r="D244" s="37" t="s">
        <v>123</v>
      </c>
      <c r="E244" s="36" t="n">
        <v>2026</v>
      </c>
      <c r="F244" s="36" t="s">
        <v>110</v>
      </c>
      <c r="G244" s="37" t="s">
        <v>102</v>
      </c>
      <c r="H244" s="36" t="s">
        <v>131</v>
      </c>
      <c r="I244" s="36" t="s">
        <v>599</v>
      </c>
      <c r="J244" s="37" t="s">
        <v>600</v>
      </c>
      <c r="K244" s="38" t="n">
        <v>180</v>
      </c>
      <c r="L244" s="38" t="n">
        <v>14220000</v>
      </c>
      <c r="M244" s="38" t="n">
        <v>5534280</v>
      </c>
      <c r="N244" s="39" t="n">
        <f aca="false">IF(A244="제외",0,IF(OR(N(L244)&lt;=0,N(M244)&gt;N(L244)),N(M244)/요약!$D$27,N(L244)))</f>
        <v>14220000</v>
      </c>
      <c r="O244" s="32" t="str">
        <f aca="false">IF(A244="제외","",IF(OR(N(L244)&lt;=0,N(M244)&gt;N(L244)),"택가보정(판매금액÷공급율)",""))</f>
        <v/>
      </c>
      <c r="P244" s="0" t="str">
        <f aca="false">IF(A244="HK","100",IF(A244="CN","200",IF(A244="TW","300",IF(ISNUMBER(SEARCH("태국",C244)),"500",IF(ISNUMBER(SEARCH("말레이",C244)),"600",IF(ISNUMBER(SEARCH("필리핀",C244)),"700",IF(ISNUMBER(SEARCH("인도네시아",C244)),"800",IF(ISNUMBER(SEARCH("크루즈",C244)),"810",IF(ISNUMBER(SEARCH("동물원",C244)),"830","")))))))))</f>
        <v>300</v>
      </c>
    </row>
    <row r="245" customFormat="false" ht="15" hidden="false" customHeight="false" outlineLevel="0" collapsed="false">
      <c r="A245" s="32" t="str">
        <f aca="false">IF(OR(TRIM(C245)="",SUBSTITUTE(C245," ","")="소계"),"제외",IF(ISNUMBER(SEARCH("홍콩",C245)),"HK",IF(ISNUMBER(SEARCH("상해",C245)),"CN",IF(ISNUMBER(SEARCH("대만",C245)),"TW","홀세일"))))</f>
        <v>TW</v>
      </c>
      <c r="B245" s="36" t="s">
        <v>98</v>
      </c>
      <c r="C245" s="36" t="s">
        <v>99</v>
      </c>
      <c r="D245" s="37" t="s">
        <v>123</v>
      </c>
      <c r="E245" s="36" t="n">
        <v>2026</v>
      </c>
      <c r="F245" s="36" t="s">
        <v>110</v>
      </c>
      <c r="G245" s="37" t="s">
        <v>102</v>
      </c>
      <c r="H245" s="36" t="s">
        <v>131</v>
      </c>
      <c r="I245" s="36" t="s">
        <v>601</v>
      </c>
      <c r="J245" s="37" t="s">
        <v>602</v>
      </c>
      <c r="K245" s="38" t="n">
        <v>350</v>
      </c>
      <c r="L245" s="38" t="n">
        <v>27650000</v>
      </c>
      <c r="M245" s="38" t="n">
        <v>10626000</v>
      </c>
      <c r="N245" s="39" t="n">
        <f aca="false">IF(A245="제외",0,IF(OR(N(L245)&lt;=0,N(M245)&gt;N(L245)),N(M245)/요약!$D$27,N(L245)))</f>
        <v>27650000</v>
      </c>
      <c r="O245" s="32" t="str">
        <f aca="false">IF(A245="제외","",IF(OR(N(L245)&lt;=0,N(M245)&gt;N(L245)),"택가보정(판매금액÷공급율)",""))</f>
        <v/>
      </c>
      <c r="P245" s="0" t="str">
        <f aca="false">IF(A245="HK","100",IF(A245="CN","200",IF(A245="TW","300",IF(ISNUMBER(SEARCH("태국",C245)),"500",IF(ISNUMBER(SEARCH("말레이",C245)),"600",IF(ISNUMBER(SEARCH("필리핀",C245)),"700",IF(ISNUMBER(SEARCH("인도네시아",C245)),"800",IF(ISNUMBER(SEARCH("크루즈",C245)),"810",IF(ISNUMBER(SEARCH("동물원",C245)),"830","")))))))))</f>
        <v>300</v>
      </c>
    </row>
    <row r="246" customFormat="false" ht="15" hidden="false" customHeight="false" outlineLevel="0" collapsed="false">
      <c r="A246" s="32" t="str">
        <f aca="false">IF(OR(TRIM(C246)="",SUBSTITUTE(C246," ","")="소계"),"제외",IF(ISNUMBER(SEARCH("홍콩",C246)),"HK",IF(ISNUMBER(SEARCH("상해",C246)),"CN",IF(ISNUMBER(SEARCH("대만",C246)),"TW","홀세일"))))</f>
        <v>TW</v>
      </c>
      <c r="B246" s="36" t="s">
        <v>98</v>
      </c>
      <c r="C246" s="36" t="s">
        <v>99</v>
      </c>
      <c r="D246" s="37" t="s">
        <v>123</v>
      </c>
      <c r="E246" s="36" t="n">
        <v>2026</v>
      </c>
      <c r="F246" s="36" t="s">
        <v>110</v>
      </c>
      <c r="G246" s="37" t="s">
        <v>102</v>
      </c>
      <c r="H246" s="36" t="s">
        <v>131</v>
      </c>
      <c r="I246" s="36" t="s">
        <v>603</v>
      </c>
      <c r="J246" s="37" t="s">
        <v>604</v>
      </c>
      <c r="K246" s="38" t="n">
        <v>300</v>
      </c>
      <c r="L246" s="38" t="n">
        <v>20700000</v>
      </c>
      <c r="M246" s="38" t="n">
        <v>7980300</v>
      </c>
      <c r="N246" s="39" t="n">
        <f aca="false">IF(A246="제외",0,IF(OR(N(L246)&lt;=0,N(M246)&gt;N(L246)),N(M246)/요약!$D$27,N(L246)))</f>
        <v>20700000</v>
      </c>
      <c r="O246" s="32" t="str">
        <f aca="false">IF(A246="제외","",IF(OR(N(L246)&lt;=0,N(M246)&gt;N(L246)),"택가보정(판매금액÷공급율)",""))</f>
        <v/>
      </c>
      <c r="P246" s="0" t="str">
        <f aca="false">IF(A246="HK","100",IF(A246="CN","200",IF(A246="TW","300",IF(ISNUMBER(SEARCH("태국",C246)),"500",IF(ISNUMBER(SEARCH("말레이",C246)),"600",IF(ISNUMBER(SEARCH("필리핀",C246)),"700",IF(ISNUMBER(SEARCH("인도네시아",C246)),"800",IF(ISNUMBER(SEARCH("크루즈",C246)),"810",IF(ISNUMBER(SEARCH("동물원",C246)),"830","")))))))))</f>
        <v>300</v>
      </c>
    </row>
    <row r="247" customFormat="false" ht="15" hidden="false" customHeight="false" outlineLevel="0" collapsed="false">
      <c r="A247" s="32" t="str">
        <f aca="false">IF(OR(TRIM(C247)="",SUBSTITUTE(C247," ","")="소계"),"제외",IF(ISNUMBER(SEARCH("홍콩",C247)),"HK",IF(ISNUMBER(SEARCH("상해",C247)),"CN",IF(ISNUMBER(SEARCH("대만",C247)),"TW","홀세일"))))</f>
        <v>TW</v>
      </c>
      <c r="B247" s="36" t="s">
        <v>98</v>
      </c>
      <c r="C247" s="36" t="s">
        <v>99</v>
      </c>
      <c r="D247" s="37" t="s">
        <v>123</v>
      </c>
      <c r="E247" s="36" t="n">
        <v>2026</v>
      </c>
      <c r="F247" s="36" t="s">
        <v>110</v>
      </c>
      <c r="G247" s="37" t="s">
        <v>102</v>
      </c>
      <c r="H247" s="36" t="s">
        <v>131</v>
      </c>
      <c r="I247" s="36" t="s">
        <v>605</v>
      </c>
      <c r="J247" s="37" t="s">
        <v>606</v>
      </c>
      <c r="K247" s="38" t="n">
        <v>350</v>
      </c>
      <c r="L247" s="38" t="n">
        <v>24150000</v>
      </c>
      <c r="M247" s="38" t="n">
        <v>9428650</v>
      </c>
      <c r="N247" s="39" t="n">
        <f aca="false">IF(A247="제외",0,IF(OR(N(L247)&lt;=0,N(M247)&gt;N(L247)),N(M247)/요약!$D$27,N(L247)))</f>
        <v>24150000</v>
      </c>
      <c r="O247" s="32" t="str">
        <f aca="false">IF(A247="제외","",IF(OR(N(L247)&lt;=0,N(M247)&gt;N(L247)),"택가보정(판매금액÷공급율)",""))</f>
        <v/>
      </c>
      <c r="P247" s="0" t="str">
        <f aca="false">IF(A247="HK","100",IF(A247="CN","200",IF(A247="TW","300",IF(ISNUMBER(SEARCH("태국",C247)),"500",IF(ISNUMBER(SEARCH("말레이",C247)),"600",IF(ISNUMBER(SEARCH("필리핀",C247)),"700",IF(ISNUMBER(SEARCH("인도네시아",C247)),"800",IF(ISNUMBER(SEARCH("크루즈",C247)),"810",IF(ISNUMBER(SEARCH("동물원",C247)),"830","")))))))))</f>
        <v>300</v>
      </c>
    </row>
    <row r="248" customFormat="false" ht="15" hidden="false" customHeight="false" outlineLevel="0" collapsed="false">
      <c r="A248" s="32" t="str">
        <f aca="false">IF(OR(TRIM(C248)="",SUBSTITUTE(C248," ","")="소계"),"제외",IF(ISNUMBER(SEARCH("홍콩",C248)),"HK",IF(ISNUMBER(SEARCH("상해",C248)),"CN",IF(ISNUMBER(SEARCH("대만",C248)),"TW","홀세일"))))</f>
        <v>TW</v>
      </c>
      <c r="B248" s="36" t="s">
        <v>98</v>
      </c>
      <c r="C248" s="36" t="s">
        <v>99</v>
      </c>
      <c r="D248" s="37" t="s">
        <v>123</v>
      </c>
      <c r="E248" s="36" t="n">
        <v>2026</v>
      </c>
      <c r="F248" s="36" t="s">
        <v>110</v>
      </c>
      <c r="G248" s="37" t="s">
        <v>102</v>
      </c>
      <c r="H248" s="36" t="s">
        <v>131</v>
      </c>
      <c r="I248" s="36" t="s">
        <v>607</v>
      </c>
      <c r="J248" s="37" t="s">
        <v>608</v>
      </c>
      <c r="K248" s="38" t="n">
        <v>600</v>
      </c>
      <c r="L248" s="38" t="n">
        <v>47400000</v>
      </c>
      <c r="M248" s="38" t="n">
        <v>18447600</v>
      </c>
      <c r="N248" s="39" t="n">
        <f aca="false">IF(A248="제외",0,IF(OR(N(L248)&lt;=0,N(M248)&gt;N(L248)),N(M248)/요약!$D$27,N(L248)))</f>
        <v>47400000</v>
      </c>
      <c r="O248" s="32" t="str">
        <f aca="false">IF(A248="제외","",IF(OR(N(L248)&lt;=0,N(M248)&gt;N(L248)),"택가보정(판매금액÷공급율)",""))</f>
        <v/>
      </c>
      <c r="P248" s="0" t="str">
        <f aca="false">IF(A248="HK","100",IF(A248="CN","200",IF(A248="TW","300",IF(ISNUMBER(SEARCH("태국",C248)),"500",IF(ISNUMBER(SEARCH("말레이",C248)),"600",IF(ISNUMBER(SEARCH("필리핀",C248)),"700",IF(ISNUMBER(SEARCH("인도네시아",C248)),"800",IF(ISNUMBER(SEARCH("크루즈",C248)),"810",IF(ISNUMBER(SEARCH("동물원",C248)),"830","")))))))))</f>
        <v>300</v>
      </c>
    </row>
    <row r="249" customFormat="false" ht="15" hidden="false" customHeight="false" outlineLevel="0" collapsed="false">
      <c r="A249" s="32" t="str">
        <f aca="false">IF(OR(TRIM(C249)="",SUBSTITUTE(C249," ","")="소계"),"제외",IF(ISNUMBER(SEARCH("홍콩",C249)),"HK",IF(ISNUMBER(SEARCH("상해",C249)),"CN",IF(ISNUMBER(SEARCH("대만",C249)),"TW","홀세일"))))</f>
        <v>TW</v>
      </c>
      <c r="B249" s="36" t="s">
        <v>98</v>
      </c>
      <c r="C249" s="36" t="s">
        <v>99</v>
      </c>
      <c r="D249" s="37" t="s">
        <v>123</v>
      </c>
      <c r="E249" s="36" t="n">
        <v>2026</v>
      </c>
      <c r="F249" s="36" t="s">
        <v>110</v>
      </c>
      <c r="G249" s="37" t="s">
        <v>102</v>
      </c>
      <c r="H249" s="36" t="s">
        <v>131</v>
      </c>
      <c r="I249" s="36" t="s">
        <v>609</v>
      </c>
      <c r="J249" s="36" t="s">
        <v>610</v>
      </c>
      <c r="K249" s="38" t="n">
        <v>350</v>
      </c>
      <c r="L249" s="38" t="n">
        <v>20650000</v>
      </c>
      <c r="M249" s="38" t="n">
        <v>8204700</v>
      </c>
      <c r="N249" s="39" t="n">
        <f aca="false">IF(A249="제외",0,IF(OR(N(L249)&lt;=0,N(M249)&gt;N(L249)),N(M249)/요약!$D$27,N(L249)))</f>
        <v>20650000</v>
      </c>
      <c r="O249" s="32" t="str">
        <f aca="false">IF(A249="제외","",IF(OR(N(L249)&lt;=0,N(M249)&gt;N(L249)),"택가보정(판매금액÷공급율)",""))</f>
        <v/>
      </c>
      <c r="P249" s="0" t="str">
        <f aca="false">IF(A249="HK","100",IF(A249="CN","200",IF(A249="TW","300",IF(ISNUMBER(SEARCH("태국",C249)),"500",IF(ISNUMBER(SEARCH("말레이",C249)),"600",IF(ISNUMBER(SEARCH("필리핀",C249)),"700",IF(ISNUMBER(SEARCH("인도네시아",C249)),"800",IF(ISNUMBER(SEARCH("크루즈",C249)),"810",IF(ISNUMBER(SEARCH("동물원",C249)),"830","")))))))))</f>
        <v>300</v>
      </c>
    </row>
    <row r="250" customFormat="false" ht="15" hidden="false" customHeight="false" outlineLevel="0" collapsed="false">
      <c r="A250" s="32" t="str">
        <f aca="false">IF(OR(TRIM(C250)="",SUBSTITUTE(C250," ","")="소계"),"제외",IF(ISNUMBER(SEARCH("홍콩",C250)),"HK",IF(ISNUMBER(SEARCH("상해",C250)),"CN",IF(ISNUMBER(SEARCH("대만",C250)),"TW","홀세일"))))</f>
        <v>TW</v>
      </c>
      <c r="B250" s="36" t="s">
        <v>98</v>
      </c>
      <c r="C250" s="36" t="s">
        <v>99</v>
      </c>
      <c r="D250" s="37" t="s">
        <v>123</v>
      </c>
      <c r="E250" s="36" t="n">
        <v>2026</v>
      </c>
      <c r="F250" s="36" t="s">
        <v>110</v>
      </c>
      <c r="G250" s="37" t="s">
        <v>102</v>
      </c>
      <c r="H250" s="36" t="s">
        <v>131</v>
      </c>
      <c r="I250" s="36" t="s">
        <v>611</v>
      </c>
      <c r="J250" s="36" t="s">
        <v>612</v>
      </c>
      <c r="K250" s="38" t="n">
        <v>200</v>
      </c>
      <c r="L250" s="38" t="n">
        <v>13800000</v>
      </c>
      <c r="M250" s="38" t="n">
        <v>5494600</v>
      </c>
      <c r="N250" s="39" t="n">
        <f aca="false">IF(A250="제외",0,IF(OR(N(L250)&lt;=0,N(M250)&gt;N(L250)),N(M250)/요약!$D$27,N(L250)))</f>
        <v>13800000</v>
      </c>
      <c r="O250" s="32" t="str">
        <f aca="false">IF(A250="제외","",IF(OR(N(L250)&lt;=0,N(M250)&gt;N(L250)),"택가보정(판매금액÷공급율)",""))</f>
        <v/>
      </c>
      <c r="P250" s="0" t="str">
        <f aca="false">IF(A250="HK","100",IF(A250="CN","200",IF(A250="TW","300",IF(ISNUMBER(SEARCH("태국",C250)),"500",IF(ISNUMBER(SEARCH("말레이",C250)),"600",IF(ISNUMBER(SEARCH("필리핀",C250)),"700",IF(ISNUMBER(SEARCH("인도네시아",C250)),"800",IF(ISNUMBER(SEARCH("크루즈",C250)),"810",IF(ISNUMBER(SEARCH("동물원",C250)),"830","")))))))))</f>
        <v>300</v>
      </c>
    </row>
    <row r="251" customFormat="false" ht="15" hidden="false" customHeight="false" outlineLevel="0" collapsed="false">
      <c r="A251" s="32" t="str">
        <f aca="false">IF(OR(TRIM(C251)="",SUBSTITUTE(C251," ","")="소계"),"제외",IF(ISNUMBER(SEARCH("홍콩",C251)),"HK",IF(ISNUMBER(SEARCH("상해",C251)),"CN",IF(ISNUMBER(SEARCH("대만",C251)),"TW","홀세일"))))</f>
        <v>TW</v>
      </c>
      <c r="B251" s="36" t="s">
        <v>98</v>
      </c>
      <c r="C251" s="36" t="s">
        <v>99</v>
      </c>
      <c r="D251" s="37" t="s">
        <v>123</v>
      </c>
      <c r="E251" s="36" t="n">
        <v>2026</v>
      </c>
      <c r="F251" s="36" t="s">
        <v>110</v>
      </c>
      <c r="G251" s="37" t="s">
        <v>102</v>
      </c>
      <c r="H251" s="36" t="s">
        <v>125</v>
      </c>
      <c r="I251" s="36" t="s">
        <v>613</v>
      </c>
      <c r="J251" s="37" t="s">
        <v>614</v>
      </c>
      <c r="K251" s="38" t="n">
        <v>420</v>
      </c>
      <c r="L251" s="38" t="n">
        <v>41580000</v>
      </c>
      <c r="M251" s="38" t="n">
        <v>15846000</v>
      </c>
      <c r="N251" s="39" t="n">
        <f aca="false">IF(A251="제외",0,IF(OR(N(L251)&lt;=0,N(M251)&gt;N(L251)),N(M251)/요약!$D$27,N(L251)))</f>
        <v>41580000</v>
      </c>
      <c r="O251" s="32" t="str">
        <f aca="false">IF(A251="제외","",IF(OR(N(L251)&lt;=0,N(M251)&gt;N(L251)),"택가보정(판매금액÷공급율)",""))</f>
        <v/>
      </c>
      <c r="P251" s="0" t="str">
        <f aca="false">IF(A251="HK","100",IF(A251="CN","200",IF(A251="TW","300",IF(ISNUMBER(SEARCH("태국",C251)),"500",IF(ISNUMBER(SEARCH("말레이",C251)),"600",IF(ISNUMBER(SEARCH("필리핀",C251)),"700",IF(ISNUMBER(SEARCH("인도네시아",C251)),"800",IF(ISNUMBER(SEARCH("크루즈",C251)),"810",IF(ISNUMBER(SEARCH("동물원",C251)),"830","")))))))))</f>
        <v>300</v>
      </c>
    </row>
    <row r="252" customFormat="false" ht="15" hidden="false" customHeight="false" outlineLevel="0" collapsed="false">
      <c r="A252" s="32" t="str">
        <f aca="false">IF(OR(TRIM(C252)="",SUBSTITUTE(C252," ","")="소계"),"제외",IF(ISNUMBER(SEARCH("홍콩",C252)),"HK",IF(ISNUMBER(SEARCH("상해",C252)),"CN",IF(ISNUMBER(SEARCH("대만",C252)),"TW","홀세일"))))</f>
        <v>TW</v>
      </c>
      <c r="B252" s="36" t="s">
        <v>98</v>
      </c>
      <c r="C252" s="36" t="s">
        <v>99</v>
      </c>
      <c r="D252" s="37" t="s">
        <v>123</v>
      </c>
      <c r="E252" s="36" t="n">
        <v>2026</v>
      </c>
      <c r="F252" s="36" t="s">
        <v>110</v>
      </c>
      <c r="G252" s="37" t="s">
        <v>102</v>
      </c>
      <c r="H252" s="36" t="s">
        <v>125</v>
      </c>
      <c r="I252" s="36" t="s">
        <v>615</v>
      </c>
      <c r="J252" s="36" t="s">
        <v>616</v>
      </c>
      <c r="K252" s="38" t="n">
        <v>350</v>
      </c>
      <c r="L252" s="38" t="n">
        <v>27650000</v>
      </c>
      <c r="M252" s="38" t="n">
        <v>10626000</v>
      </c>
      <c r="N252" s="39" t="n">
        <f aca="false">IF(A252="제외",0,IF(OR(N(L252)&lt;=0,N(M252)&gt;N(L252)),N(M252)/요약!$D$27,N(L252)))</f>
        <v>27650000</v>
      </c>
      <c r="O252" s="32" t="str">
        <f aca="false">IF(A252="제외","",IF(OR(N(L252)&lt;=0,N(M252)&gt;N(L252)),"택가보정(판매금액÷공급율)",""))</f>
        <v/>
      </c>
      <c r="P252" s="0" t="str">
        <f aca="false">IF(A252="HK","100",IF(A252="CN","200",IF(A252="TW","300",IF(ISNUMBER(SEARCH("태국",C252)),"500",IF(ISNUMBER(SEARCH("말레이",C252)),"600",IF(ISNUMBER(SEARCH("필리핀",C252)),"700",IF(ISNUMBER(SEARCH("인도네시아",C252)),"800",IF(ISNUMBER(SEARCH("크루즈",C252)),"810",IF(ISNUMBER(SEARCH("동물원",C252)),"830","")))))))))</f>
        <v>300</v>
      </c>
    </row>
    <row r="253" customFormat="false" ht="15" hidden="false" customHeight="false" outlineLevel="0" collapsed="false">
      <c r="A253" s="32" t="str">
        <f aca="false">IF(OR(TRIM(C253)="",SUBSTITUTE(C253," ","")="소계"),"제외",IF(ISNUMBER(SEARCH("홍콩",C253)),"HK",IF(ISNUMBER(SEARCH("상해",C253)),"CN",IF(ISNUMBER(SEARCH("대만",C253)),"TW","홀세일"))))</f>
        <v>TW</v>
      </c>
      <c r="B253" s="36" t="s">
        <v>98</v>
      </c>
      <c r="C253" s="36" t="s">
        <v>99</v>
      </c>
      <c r="D253" s="37" t="s">
        <v>123</v>
      </c>
      <c r="E253" s="36" t="n">
        <v>2026</v>
      </c>
      <c r="F253" s="36" t="s">
        <v>110</v>
      </c>
      <c r="G253" s="37" t="s">
        <v>102</v>
      </c>
      <c r="H253" s="37" t="s">
        <v>128</v>
      </c>
      <c r="I253" s="36" t="s">
        <v>617</v>
      </c>
      <c r="J253" s="36" t="s">
        <v>618</v>
      </c>
      <c r="K253" s="38" t="n">
        <v>50</v>
      </c>
      <c r="L253" s="38" t="n">
        <v>3450000</v>
      </c>
      <c r="M253" s="38" t="n">
        <v>1209950</v>
      </c>
      <c r="N253" s="39" t="n">
        <f aca="false">IF(A253="제외",0,IF(OR(N(L253)&lt;=0,N(M253)&gt;N(L253)),N(M253)/요약!$D$27,N(L253)))</f>
        <v>3450000</v>
      </c>
      <c r="O253" s="32" t="str">
        <f aca="false">IF(A253="제외","",IF(OR(N(L253)&lt;=0,N(M253)&gt;N(L253)),"택가보정(판매금액÷공급율)",""))</f>
        <v/>
      </c>
      <c r="P253" s="0" t="str">
        <f aca="false">IF(A253="HK","100",IF(A253="CN","200",IF(A253="TW","300",IF(ISNUMBER(SEARCH("태국",C253)),"500",IF(ISNUMBER(SEARCH("말레이",C253)),"600",IF(ISNUMBER(SEARCH("필리핀",C253)),"700",IF(ISNUMBER(SEARCH("인도네시아",C253)),"800",IF(ISNUMBER(SEARCH("크루즈",C253)),"810",IF(ISNUMBER(SEARCH("동물원",C253)),"830","")))))))))</f>
        <v>300</v>
      </c>
    </row>
    <row r="254" customFormat="false" ht="15" hidden="false" customHeight="false" outlineLevel="0" collapsed="false">
      <c r="A254" s="32" t="str">
        <f aca="false">IF(OR(TRIM(C254)="",SUBSTITUTE(C254," ","")="소계"),"제외",IF(ISNUMBER(SEARCH("홍콩",C254)),"HK",IF(ISNUMBER(SEARCH("상해",C254)),"CN",IF(ISNUMBER(SEARCH("대만",C254)),"TW","홀세일"))))</f>
        <v>TW</v>
      </c>
      <c r="B254" s="36" t="s">
        <v>98</v>
      </c>
      <c r="C254" s="36" t="s">
        <v>99</v>
      </c>
      <c r="D254" s="37" t="s">
        <v>123</v>
      </c>
      <c r="E254" s="36" t="n">
        <v>2026</v>
      </c>
      <c r="F254" s="36" t="s">
        <v>110</v>
      </c>
      <c r="G254" s="37" t="s">
        <v>102</v>
      </c>
      <c r="H254" s="36" t="s">
        <v>131</v>
      </c>
      <c r="I254" s="36" t="s">
        <v>619</v>
      </c>
      <c r="J254" s="37" t="s">
        <v>620</v>
      </c>
      <c r="K254" s="38" t="n">
        <v>690</v>
      </c>
      <c r="L254" s="38" t="n">
        <v>26910000</v>
      </c>
      <c r="M254" s="38" t="n">
        <v>10392780</v>
      </c>
      <c r="N254" s="39" t="n">
        <f aca="false">IF(A254="제외",0,IF(OR(N(L254)&lt;=0,N(M254)&gt;N(L254)),N(M254)/요약!$D$27,N(L254)))</f>
        <v>26910000</v>
      </c>
      <c r="O254" s="32" t="str">
        <f aca="false">IF(A254="제외","",IF(OR(N(L254)&lt;=0,N(M254)&gt;N(L254)),"택가보정(판매금액÷공급율)",""))</f>
        <v/>
      </c>
      <c r="P254" s="0" t="str">
        <f aca="false">IF(A254="HK","100",IF(A254="CN","200",IF(A254="TW","300",IF(ISNUMBER(SEARCH("태국",C254)),"500",IF(ISNUMBER(SEARCH("말레이",C254)),"600",IF(ISNUMBER(SEARCH("필리핀",C254)),"700",IF(ISNUMBER(SEARCH("인도네시아",C254)),"800",IF(ISNUMBER(SEARCH("크루즈",C254)),"810",IF(ISNUMBER(SEARCH("동물원",C254)),"830","")))))))))</f>
        <v>300</v>
      </c>
    </row>
    <row r="255" customFormat="false" ht="15" hidden="false" customHeight="false" outlineLevel="0" collapsed="false">
      <c r="A255" s="32" t="str">
        <f aca="false">IF(OR(TRIM(C255)="",SUBSTITUTE(C255," ","")="소계"),"제외",IF(ISNUMBER(SEARCH("홍콩",C255)),"HK",IF(ISNUMBER(SEARCH("상해",C255)),"CN",IF(ISNUMBER(SEARCH("대만",C255)),"TW","홀세일"))))</f>
        <v>TW</v>
      </c>
      <c r="B255" s="36" t="s">
        <v>98</v>
      </c>
      <c r="C255" s="36" t="s">
        <v>99</v>
      </c>
      <c r="D255" s="37" t="s">
        <v>123</v>
      </c>
      <c r="E255" s="36" t="n">
        <v>2026</v>
      </c>
      <c r="F255" s="36" t="s">
        <v>110</v>
      </c>
      <c r="G255" s="37" t="s">
        <v>102</v>
      </c>
      <c r="H255" s="36" t="s">
        <v>131</v>
      </c>
      <c r="I255" s="36" t="s">
        <v>621</v>
      </c>
      <c r="J255" s="37" t="s">
        <v>622</v>
      </c>
      <c r="K255" s="38" t="n">
        <v>550</v>
      </c>
      <c r="L255" s="38" t="n">
        <v>21450000</v>
      </c>
      <c r="M255" s="38" t="n">
        <v>8210150</v>
      </c>
      <c r="N255" s="39" t="n">
        <f aca="false">IF(A255="제외",0,IF(OR(N(L255)&lt;=0,N(M255)&gt;N(L255)),N(M255)/요약!$D$27,N(L255)))</f>
        <v>21450000</v>
      </c>
      <c r="O255" s="32" t="str">
        <f aca="false">IF(A255="제외","",IF(OR(N(L255)&lt;=0,N(M255)&gt;N(L255)),"택가보정(판매금액÷공급율)",""))</f>
        <v/>
      </c>
      <c r="P255" s="0" t="str">
        <f aca="false">IF(A255="HK","100",IF(A255="CN","200",IF(A255="TW","300",IF(ISNUMBER(SEARCH("태국",C255)),"500",IF(ISNUMBER(SEARCH("말레이",C255)),"600",IF(ISNUMBER(SEARCH("필리핀",C255)),"700",IF(ISNUMBER(SEARCH("인도네시아",C255)),"800",IF(ISNUMBER(SEARCH("크루즈",C255)),"810",IF(ISNUMBER(SEARCH("동물원",C255)),"830","")))))))))</f>
        <v>300</v>
      </c>
    </row>
    <row r="256" customFormat="false" ht="15" hidden="false" customHeight="false" outlineLevel="0" collapsed="false">
      <c r="A256" s="32" t="str">
        <f aca="false">IF(OR(TRIM(C256)="",SUBSTITUTE(C256," ","")="소계"),"제외",IF(ISNUMBER(SEARCH("홍콩",C256)),"HK",IF(ISNUMBER(SEARCH("상해",C256)),"CN",IF(ISNUMBER(SEARCH("대만",C256)),"TW","홀세일"))))</f>
        <v>TW</v>
      </c>
      <c r="B256" s="36" t="s">
        <v>98</v>
      </c>
      <c r="C256" s="36" t="s">
        <v>99</v>
      </c>
      <c r="D256" s="37" t="s">
        <v>123</v>
      </c>
      <c r="E256" s="36" t="n">
        <v>2026</v>
      </c>
      <c r="F256" s="36" t="s">
        <v>110</v>
      </c>
      <c r="G256" s="37" t="s">
        <v>102</v>
      </c>
      <c r="H256" s="36" t="s">
        <v>131</v>
      </c>
      <c r="I256" s="36" t="s">
        <v>623</v>
      </c>
      <c r="J256" s="37" t="s">
        <v>624</v>
      </c>
      <c r="K256" s="38" t="n">
        <v>250</v>
      </c>
      <c r="L256" s="38" t="n">
        <v>12250000</v>
      </c>
      <c r="M256" s="38" t="n">
        <v>4743250</v>
      </c>
      <c r="N256" s="39" t="n">
        <f aca="false">IF(A256="제외",0,IF(OR(N(L256)&lt;=0,N(M256)&gt;N(L256)),N(M256)/요약!$D$27,N(L256)))</f>
        <v>12250000</v>
      </c>
      <c r="O256" s="32" t="str">
        <f aca="false">IF(A256="제외","",IF(OR(N(L256)&lt;=0,N(M256)&gt;N(L256)),"택가보정(판매금액÷공급율)",""))</f>
        <v/>
      </c>
      <c r="P256" s="0" t="str">
        <f aca="false">IF(A256="HK","100",IF(A256="CN","200",IF(A256="TW","300",IF(ISNUMBER(SEARCH("태국",C256)),"500",IF(ISNUMBER(SEARCH("말레이",C256)),"600",IF(ISNUMBER(SEARCH("필리핀",C256)),"700",IF(ISNUMBER(SEARCH("인도네시아",C256)),"800",IF(ISNUMBER(SEARCH("크루즈",C256)),"810",IF(ISNUMBER(SEARCH("동물원",C256)),"830","")))))))))</f>
        <v>300</v>
      </c>
    </row>
    <row r="257" customFormat="false" ht="15" hidden="false" customHeight="false" outlineLevel="0" collapsed="false">
      <c r="A257" s="32" t="str">
        <f aca="false">IF(OR(TRIM(C257)="",SUBSTITUTE(C257," ","")="소계"),"제외",IF(ISNUMBER(SEARCH("홍콩",C257)),"HK",IF(ISNUMBER(SEARCH("상해",C257)),"CN",IF(ISNUMBER(SEARCH("대만",C257)),"TW","홀세일"))))</f>
        <v>TW</v>
      </c>
      <c r="B257" s="36" t="s">
        <v>98</v>
      </c>
      <c r="C257" s="36" t="s">
        <v>99</v>
      </c>
      <c r="D257" s="37" t="s">
        <v>123</v>
      </c>
      <c r="E257" s="36" t="n">
        <v>2026</v>
      </c>
      <c r="F257" s="36" t="s">
        <v>110</v>
      </c>
      <c r="G257" s="37" t="s">
        <v>102</v>
      </c>
      <c r="H257" s="36" t="s">
        <v>131</v>
      </c>
      <c r="I257" s="36" t="s">
        <v>625</v>
      </c>
      <c r="J257" s="37" t="s">
        <v>626</v>
      </c>
      <c r="K257" s="38" t="n">
        <v>350</v>
      </c>
      <c r="L257" s="38" t="n">
        <v>20650000</v>
      </c>
      <c r="M257" s="38" t="n">
        <v>7841400</v>
      </c>
      <c r="N257" s="39" t="n">
        <f aca="false">IF(A257="제외",0,IF(OR(N(L257)&lt;=0,N(M257)&gt;N(L257)),N(M257)/요약!$D$27,N(L257)))</f>
        <v>20650000</v>
      </c>
      <c r="O257" s="32" t="str">
        <f aca="false">IF(A257="제외","",IF(OR(N(L257)&lt;=0,N(M257)&gt;N(L257)),"택가보정(판매금액÷공급율)",""))</f>
        <v/>
      </c>
      <c r="P257" s="0" t="str">
        <f aca="false">IF(A257="HK","100",IF(A257="CN","200",IF(A257="TW","300",IF(ISNUMBER(SEARCH("태국",C257)),"500",IF(ISNUMBER(SEARCH("말레이",C257)),"600",IF(ISNUMBER(SEARCH("필리핀",C257)),"700",IF(ISNUMBER(SEARCH("인도네시아",C257)),"800",IF(ISNUMBER(SEARCH("크루즈",C257)),"810",IF(ISNUMBER(SEARCH("동물원",C257)),"830","")))))))))</f>
        <v>300</v>
      </c>
    </row>
    <row r="258" customFormat="false" ht="15" hidden="false" customHeight="false" outlineLevel="0" collapsed="false">
      <c r="A258" s="32" t="str">
        <f aca="false">IF(OR(TRIM(C258)="",SUBSTITUTE(C258," ","")="소계"),"제외",IF(ISNUMBER(SEARCH("홍콩",C258)),"HK",IF(ISNUMBER(SEARCH("상해",C258)),"CN",IF(ISNUMBER(SEARCH("대만",C258)),"TW","홀세일"))))</f>
        <v>TW</v>
      </c>
      <c r="B258" s="36" t="s">
        <v>98</v>
      </c>
      <c r="C258" s="36" t="s">
        <v>99</v>
      </c>
      <c r="D258" s="37" t="s">
        <v>123</v>
      </c>
      <c r="E258" s="36" t="n">
        <v>2026</v>
      </c>
      <c r="F258" s="36" t="s">
        <v>110</v>
      </c>
      <c r="G258" s="37" t="s">
        <v>102</v>
      </c>
      <c r="H258" s="36" t="s">
        <v>131</v>
      </c>
      <c r="I258" s="36" t="s">
        <v>627</v>
      </c>
      <c r="J258" s="37" t="s">
        <v>628</v>
      </c>
      <c r="K258" s="38" t="n">
        <v>250</v>
      </c>
      <c r="L258" s="38" t="n">
        <v>19750000</v>
      </c>
      <c r="M258" s="38" t="n">
        <v>7576250</v>
      </c>
      <c r="N258" s="39" t="n">
        <f aca="false">IF(A258="제외",0,IF(OR(N(L258)&lt;=0,N(M258)&gt;N(L258)),N(M258)/요약!$D$27,N(L258)))</f>
        <v>19750000</v>
      </c>
      <c r="O258" s="32" t="str">
        <f aca="false">IF(A258="제외","",IF(OR(N(L258)&lt;=0,N(M258)&gt;N(L258)),"택가보정(판매금액÷공급율)",""))</f>
        <v/>
      </c>
      <c r="P258" s="0" t="str">
        <f aca="false">IF(A258="HK","100",IF(A258="CN","200",IF(A258="TW","300",IF(ISNUMBER(SEARCH("태국",C258)),"500",IF(ISNUMBER(SEARCH("말레이",C258)),"600",IF(ISNUMBER(SEARCH("필리핀",C258)),"700",IF(ISNUMBER(SEARCH("인도네시아",C258)),"800",IF(ISNUMBER(SEARCH("크루즈",C258)),"810",IF(ISNUMBER(SEARCH("동물원",C258)),"830","")))))))))</f>
        <v>300</v>
      </c>
    </row>
    <row r="259" customFormat="false" ht="15" hidden="false" customHeight="false" outlineLevel="0" collapsed="false">
      <c r="A259" s="32" t="str">
        <f aca="false">IF(OR(TRIM(C259)="",SUBSTITUTE(C259," ","")="소계"),"제외",IF(ISNUMBER(SEARCH("홍콩",C259)),"HK",IF(ISNUMBER(SEARCH("상해",C259)),"CN",IF(ISNUMBER(SEARCH("대만",C259)),"TW","홀세일"))))</f>
        <v>TW</v>
      </c>
      <c r="B259" s="36" t="s">
        <v>98</v>
      </c>
      <c r="C259" s="36" t="s">
        <v>99</v>
      </c>
      <c r="D259" s="37" t="s">
        <v>123</v>
      </c>
      <c r="E259" s="36" t="n">
        <v>2026</v>
      </c>
      <c r="F259" s="36" t="s">
        <v>110</v>
      </c>
      <c r="G259" s="37" t="s">
        <v>102</v>
      </c>
      <c r="H259" s="36" t="s">
        <v>131</v>
      </c>
      <c r="I259" s="36" t="s">
        <v>629</v>
      </c>
      <c r="J259" s="37" t="s">
        <v>630</v>
      </c>
      <c r="K259" s="38" t="n">
        <v>180</v>
      </c>
      <c r="L259" s="38" t="n">
        <v>8820000</v>
      </c>
      <c r="M259" s="38" t="n">
        <v>3512880</v>
      </c>
      <c r="N259" s="39" t="n">
        <f aca="false">IF(A259="제외",0,IF(OR(N(L259)&lt;=0,N(M259)&gt;N(L259)),N(M259)/요약!$D$27,N(L259)))</f>
        <v>8820000</v>
      </c>
      <c r="O259" s="32" t="str">
        <f aca="false">IF(A259="제외","",IF(OR(N(L259)&lt;=0,N(M259)&gt;N(L259)),"택가보정(판매금액÷공급율)",""))</f>
        <v/>
      </c>
      <c r="P259" s="0" t="str">
        <f aca="false">IF(A259="HK","100",IF(A259="CN","200",IF(A259="TW","300",IF(ISNUMBER(SEARCH("태국",C259)),"500",IF(ISNUMBER(SEARCH("말레이",C259)),"600",IF(ISNUMBER(SEARCH("필리핀",C259)),"700",IF(ISNUMBER(SEARCH("인도네시아",C259)),"800",IF(ISNUMBER(SEARCH("크루즈",C259)),"810",IF(ISNUMBER(SEARCH("동물원",C259)),"830","")))))))))</f>
        <v>300</v>
      </c>
    </row>
    <row r="260" customFormat="false" ht="15" hidden="false" customHeight="false" outlineLevel="0" collapsed="false">
      <c r="A260" s="32" t="str">
        <f aca="false">IF(OR(TRIM(C260)="",SUBSTITUTE(C260," ","")="소계"),"제외",IF(ISNUMBER(SEARCH("홍콩",C260)),"HK",IF(ISNUMBER(SEARCH("상해",C260)),"CN",IF(ISNUMBER(SEARCH("대만",C260)),"TW","홀세일"))))</f>
        <v>TW</v>
      </c>
      <c r="B260" s="36" t="s">
        <v>98</v>
      </c>
      <c r="C260" s="36" t="s">
        <v>99</v>
      </c>
      <c r="D260" s="37" t="s">
        <v>123</v>
      </c>
      <c r="E260" s="36" t="n">
        <v>2026</v>
      </c>
      <c r="F260" s="36" t="s">
        <v>110</v>
      </c>
      <c r="G260" s="37" t="s">
        <v>102</v>
      </c>
      <c r="H260" s="36" t="s">
        <v>131</v>
      </c>
      <c r="I260" s="36" t="s">
        <v>631</v>
      </c>
      <c r="J260" s="37" t="s">
        <v>632</v>
      </c>
      <c r="K260" s="38" t="n">
        <v>150</v>
      </c>
      <c r="L260" s="38" t="n">
        <v>8850000</v>
      </c>
      <c r="M260" s="38" t="n">
        <v>3399150</v>
      </c>
      <c r="N260" s="39" t="n">
        <f aca="false">IF(A260="제외",0,IF(OR(N(L260)&lt;=0,N(M260)&gt;N(L260)),N(M260)/요약!$D$27,N(L260)))</f>
        <v>8850000</v>
      </c>
      <c r="O260" s="32" t="str">
        <f aca="false">IF(A260="제외","",IF(OR(N(L260)&lt;=0,N(M260)&gt;N(L260)),"택가보정(판매금액÷공급율)",""))</f>
        <v/>
      </c>
      <c r="P260" s="0" t="str">
        <f aca="false">IF(A260="HK","100",IF(A260="CN","200",IF(A260="TW","300",IF(ISNUMBER(SEARCH("태국",C260)),"500",IF(ISNUMBER(SEARCH("말레이",C260)),"600",IF(ISNUMBER(SEARCH("필리핀",C260)),"700",IF(ISNUMBER(SEARCH("인도네시아",C260)),"800",IF(ISNUMBER(SEARCH("크루즈",C260)),"810",IF(ISNUMBER(SEARCH("동물원",C260)),"830","")))))))))</f>
        <v>300</v>
      </c>
    </row>
    <row r="261" customFormat="false" ht="15" hidden="false" customHeight="false" outlineLevel="0" collapsed="false">
      <c r="A261" s="32" t="str">
        <f aca="false">IF(OR(TRIM(C261)="",SUBSTITUTE(C261," ","")="소계"),"제외",IF(ISNUMBER(SEARCH("홍콩",C261)),"HK",IF(ISNUMBER(SEARCH("상해",C261)),"CN",IF(ISNUMBER(SEARCH("대만",C261)),"TW","홀세일"))))</f>
        <v>TW</v>
      </c>
      <c r="B261" s="36" t="s">
        <v>98</v>
      </c>
      <c r="C261" s="36" t="s">
        <v>99</v>
      </c>
      <c r="D261" s="37" t="s">
        <v>123</v>
      </c>
      <c r="E261" s="36" t="n">
        <v>2026</v>
      </c>
      <c r="F261" s="36" t="s">
        <v>110</v>
      </c>
      <c r="G261" s="37" t="s">
        <v>102</v>
      </c>
      <c r="H261" s="36" t="s">
        <v>131</v>
      </c>
      <c r="I261" s="36" t="s">
        <v>633</v>
      </c>
      <c r="J261" s="37" t="s">
        <v>634</v>
      </c>
      <c r="K261" s="38" t="n">
        <v>400</v>
      </c>
      <c r="L261" s="38" t="n">
        <v>31600000</v>
      </c>
      <c r="M261" s="38" t="n">
        <v>12298400</v>
      </c>
      <c r="N261" s="39" t="n">
        <f aca="false">IF(A261="제외",0,IF(OR(N(L261)&lt;=0,N(M261)&gt;N(L261)),N(M261)/요약!$D$27,N(L261)))</f>
        <v>31600000</v>
      </c>
      <c r="O261" s="32" t="str">
        <f aca="false">IF(A261="제외","",IF(OR(N(L261)&lt;=0,N(M261)&gt;N(L261)),"택가보정(판매금액÷공급율)",""))</f>
        <v/>
      </c>
      <c r="P261" s="0" t="str">
        <f aca="false">IF(A261="HK","100",IF(A261="CN","200",IF(A261="TW","300",IF(ISNUMBER(SEARCH("태국",C261)),"500",IF(ISNUMBER(SEARCH("말레이",C261)),"600",IF(ISNUMBER(SEARCH("필리핀",C261)),"700",IF(ISNUMBER(SEARCH("인도네시아",C261)),"800",IF(ISNUMBER(SEARCH("크루즈",C261)),"810",IF(ISNUMBER(SEARCH("동물원",C261)),"830","")))))))))</f>
        <v>300</v>
      </c>
    </row>
    <row r="262" customFormat="false" ht="15" hidden="false" customHeight="false" outlineLevel="0" collapsed="false">
      <c r="A262" s="32" t="str">
        <f aca="false">IF(OR(TRIM(C262)="",SUBSTITUTE(C262," ","")="소계"),"제외",IF(ISNUMBER(SEARCH("홍콩",C262)),"HK",IF(ISNUMBER(SEARCH("상해",C262)),"CN",IF(ISNUMBER(SEARCH("대만",C262)),"TW","홀세일"))))</f>
        <v>TW</v>
      </c>
      <c r="B262" s="36" t="s">
        <v>98</v>
      </c>
      <c r="C262" s="36" t="s">
        <v>99</v>
      </c>
      <c r="D262" s="37" t="s">
        <v>123</v>
      </c>
      <c r="E262" s="36" t="n">
        <v>2026</v>
      </c>
      <c r="F262" s="36" t="s">
        <v>110</v>
      </c>
      <c r="G262" s="37" t="s">
        <v>102</v>
      </c>
      <c r="H262" s="36" t="s">
        <v>131</v>
      </c>
      <c r="I262" s="36" t="s">
        <v>635</v>
      </c>
      <c r="J262" s="37" t="s">
        <v>636</v>
      </c>
      <c r="K262" s="38" t="n">
        <v>700</v>
      </c>
      <c r="L262" s="38" t="n">
        <v>14700000</v>
      </c>
      <c r="M262" s="38" t="n">
        <v>5706400</v>
      </c>
      <c r="N262" s="39" t="n">
        <f aca="false">IF(A262="제외",0,IF(OR(N(L262)&lt;=0,N(M262)&gt;N(L262)),N(M262)/요약!$D$27,N(L262)))</f>
        <v>14700000</v>
      </c>
      <c r="O262" s="32" t="str">
        <f aca="false">IF(A262="제외","",IF(OR(N(L262)&lt;=0,N(M262)&gt;N(L262)),"택가보정(판매금액÷공급율)",""))</f>
        <v/>
      </c>
      <c r="P262" s="0" t="str">
        <f aca="false">IF(A262="HK","100",IF(A262="CN","200",IF(A262="TW","300",IF(ISNUMBER(SEARCH("태국",C262)),"500",IF(ISNUMBER(SEARCH("말레이",C262)),"600",IF(ISNUMBER(SEARCH("필리핀",C262)),"700",IF(ISNUMBER(SEARCH("인도네시아",C262)),"800",IF(ISNUMBER(SEARCH("크루즈",C262)),"810",IF(ISNUMBER(SEARCH("동물원",C262)),"830","")))))))))</f>
        <v>300</v>
      </c>
    </row>
    <row r="263" customFormat="false" ht="15" hidden="false" customHeight="false" outlineLevel="0" collapsed="false">
      <c r="A263" s="32" t="str">
        <f aca="false">IF(OR(TRIM(C263)="",SUBSTITUTE(C263," ","")="소계"),"제외",IF(ISNUMBER(SEARCH("홍콩",C263)),"HK",IF(ISNUMBER(SEARCH("상해",C263)),"CN",IF(ISNUMBER(SEARCH("대만",C263)),"TW","홀세일"))))</f>
        <v>TW</v>
      </c>
      <c r="B263" s="36" t="s">
        <v>98</v>
      </c>
      <c r="C263" s="36" t="s">
        <v>99</v>
      </c>
      <c r="D263" s="37" t="s">
        <v>123</v>
      </c>
      <c r="E263" s="36" t="n">
        <v>2026</v>
      </c>
      <c r="F263" s="36" t="s">
        <v>110</v>
      </c>
      <c r="G263" s="37" t="s">
        <v>102</v>
      </c>
      <c r="H263" s="36" t="s">
        <v>131</v>
      </c>
      <c r="I263" s="36" t="s">
        <v>637</v>
      </c>
      <c r="J263" s="37" t="s">
        <v>638</v>
      </c>
      <c r="K263" s="38" t="n">
        <v>400</v>
      </c>
      <c r="L263" s="38" t="n">
        <v>7600000</v>
      </c>
      <c r="M263" s="38" t="n">
        <v>2969600</v>
      </c>
      <c r="N263" s="39" t="n">
        <f aca="false">IF(A263="제외",0,IF(OR(N(L263)&lt;=0,N(M263)&gt;N(L263)),N(M263)/요약!$D$27,N(L263)))</f>
        <v>7600000</v>
      </c>
      <c r="O263" s="32" t="str">
        <f aca="false">IF(A263="제외","",IF(OR(N(L263)&lt;=0,N(M263)&gt;N(L263)),"택가보정(판매금액÷공급율)",""))</f>
        <v/>
      </c>
      <c r="P263" s="0" t="str">
        <f aca="false">IF(A263="HK","100",IF(A263="CN","200",IF(A263="TW","300",IF(ISNUMBER(SEARCH("태국",C263)),"500",IF(ISNUMBER(SEARCH("말레이",C263)),"600",IF(ISNUMBER(SEARCH("필리핀",C263)),"700",IF(ISNUMBER(SEARCH("인도네시아",C263)),"800",IF(ISNUMBER(SEARCH("크루즈",C263)),"810",IF(ISNUMBER(SEARCH("동물원",C263)),"830","")))))))))</f>
        <v>300</v>
      </c>
    </row>
    <row r="264" customFormat="false" ht="15" hidden="false" customHeight="false" outlineLevel="0" collapsed="false">
      <c r="A264" s="32" t="str">
        <f aca="false">IF(OR(TRIM(C264)="",SUBSTITUTE(C264," ","")="소계"),"제외",IF(ISNUMBER(SEARCH("홍콩",C264)),"HK",IF(ISNUMBER(SEARCH("상해",C264)),"CN",IF(ISNUMBER(SEARCH("대만",C264)),"TW","홀세일"))))</f>
        <v>TW</v>
      </c>
      <c r="B264" s="36" t="s">
        <v>98</v>
      </c>
      <c r="C264" s="36" t="s">
        <v>99</v>
      </c>
      <c r="D264" s="37" t="s">
        <v>123</v>
      </c>
      <c r="E264" s="36" t="n">
        <v>2026</v>
      </c>
      <c r="F264" s="36" t="s">
        <v>110</v>
      </c>
      <c r="G264" s="37" t="s">
        <v>102</v>
      </c>
      <c r="H264" s="36" t="s">
        <v>131</v>
      </c>
      <c r="I264" s="36" t="s">
        <v>639</v>
      </c>
      <c r="J264" s="37" t="s">
        <v>640</v>
      </c>
      <c r="K264" s="38" t="n">
        <v>600</v>
      </c>
      <c r="L264" s="38" t="n">
        <v>11940000</v>
      </c>
      <c r="M264" s="38" t="n">
        <v>4629000</v>
      </c>
      <c r="N264" s="39" t="n">
        <f aca="false">IF(A264="제외",0,IF(OR(N(L264)&lt;=0,N(M264)&gt;N(L264)),N(M264)/요약!$D$27,N(L264)))</f>
        <v>11940000</v>
      </c>
      <c r="O264" s="32" t="str">
        <f aca="false">IF(A264="제외","",IF(OR(N(L264)&lt;=0,N(M264)&gt;N(L264)),"택가보정(판매금액÷공급율)",""))</f>
        <v/>
      </c>
      <c r="P264" s="0" t="str">
        <f aca="false">IF(A264="HK","100",IF(A264="CN","200",IF(A264="TW","300",IF(ISNUMBER(SEARCH("태국",C264)),"500",IF(ISNUMBER(SEARCH("말레이",C264)),"600",IF(ISNUMBER(SEARCH("필리핀",C264)),"700",IF(ISNUMBER(SEARCH("인도네시아",C264)),"800",IF(ISNUMBER(SEARCH("크루즈",C264)),"810",IF(ISNUMBER(SEARCH("동물원",C264)),"830","")))))))))</f>
        <v>300</v>
      </c>
    </row>
    <row r="265" customFormat="false" ht="15" hidden="false" customHeight="false" outlineLevel="0" collapsed="false">
      <c r="A265" s="32" t="str">
        <f aca="false">IF(OR(TRIM(C265)="",SUBSTITUTE(C265," ","")="소계"),"제외",IF(ISNUMBER(SEARCH("홍콩",C265)),"HK",IF(ISNUMBER(SEARCH("상해",C265)),"CN",IF(ISNUMBER(SEARCH("대만",C265)),"TW","홀세일"))))</f>
        <v>TW</v>
      </c>
      <c r="B265" s="36" t="s">
        <v>98</v>
      </c>
      <c r="C265" s="36" t="s">
        <v>99</v>
      </c>
      <c r="D265" s="37" t="s">
        <v>123</v>
      </c>
      <c r="E265" s="36" t="n">
        <v>2026</v>
      </c>
      <c r="F265" s="36" t="s">
        <v>110</v>
      </c>
      <c r="G265" s="37" t="s">
        <v>102</v>
      </c>
      <c r="H265" s="36" t="s">
        <v>131</v>
      </c>
      <c r="I265" s="36" t="s">
        <v>641</v>
      </c>
      <c r="J265" s="37" t="s">
        <v>642</v>
      </c>
      <c r="K265" s="38" t="n">
        <v>1000</v>
      </c>
      <c r="L265" s="38" t="n">
        <v>10900000</v>
      </c>
      <c r="M265" s="38" t="n">
        <v>4222000</v>
      </c>
      <c r="N265" s="39" t="n">
        <f aca="false">IF(A265="제외",0,IF(OR(N(L265)&lt;=0,N(M265)&gt;N(L265)),N(M265)/요약!$D$27,N(L265)))</f>
        <v>10900000</v>
      </c>
      <c r="O265" s="32" t="str">
        <f aca="false">IF(A265="제외","",IF(OR(N(L265)&lt;=0,N(M265)&gt;N(L265)),"택가보정(판매금액÷공급율)",""))</f>
        <v/>
      </c>
      <c r="P265" s="0" t="str">
        <f aca="false">IF(A265="HK","100",IF(A265="CN","200",IF(A265="TW","300",IF(ISNUMBER(SEARCH("태국",C265)),"500",IF(ISNUMBER(SEARCH("말레이",C265)),"600",IF(ISNUMBER(SEARCH("필리핀",C265)),"700",IF(ISNUMBER(SEARCH("인도네시아",C265)),"800",IF(ISNUMBER(SEARCH("크루즈",C265)),"810",IF(ISNUMBER(SEARCH("동물원",C265)),"830","")))))))))</f>
        <v>300</v>
      </c>
    </row>
    <row r="266" customFormat="false" ht="15" hidden="false" customHeight="false" outlineLevel="0" collapsed="false">
      <c r="A266" s="32" t="str">
        <f aca="false">IF(OR(TRIM(C266)="",SUBSTITUTE(C266," ","")="소계"),"제외",IF(ISNUMBER(SEARCH("홍콩",C266)),"HK",IF(ISNUMBER(SEARCH("상해",C266)),"CN",IF(ISNUMBER(SEARCH("대만",C266)),"TW","홀세일"))))</f>
        <v>TW</v>
      </c>
      <c r="B266" s="36" t="s">
        <v>98</v>
      </c>
      <c r="C266" s="36" t="s">
        <v>99</v>
      </c>
      <c r="D266" s="37" t="s">
        <v>123</v>
      </c>
      <c r="E266" s="36" t="n">
        <v>2026</v>
      </c>
      <c r="F266" s="36" t="s">
        <v>110</v>
      </c>
      <c r="G266" s="37" t="s">
        <v>102</v>
      </c>
      <c r="H266" s="36" t="s">
        <v>131</v>
      </c>
      <c r="I266" s="36" t="s">
        <v>643</v>
      </c>
      <c r="J266" s="37" t="s">
        <v>644</v>
      </c>
      <c r="K266" s="38" t="n">
        <v>500</v>
      </c>
      <c r="L266" s="38" t="n">
        <v>5450000</v>
      </c>
      <c r="M266" s="38" t="n">
        <v>2111000</v>
      </c>
      <c r="N266" s="39" t="n">
        <f aca="false">IF(A266="제외",0,IF(OR(N(L266)&lt;=0,N(M266)&gt;N(L266)),N(M266)/요약!$D$27,N(L266)))</f>
        <v>5450000</v>
      </c>
      <c r="O266" s="32" t="str">
        <f aca="false">IF(A266="제외","",IF(OR(N(L266)&lt;=0,N(M266)&gt;N(L266)),"택가보정(판매금액÷공급율)",""))</f>
        <v/>
      </c>
      <c r="P266" s="0" t="str">
        <f aca="false">IF(A266="HK","100",IF(A266="CN","200",IF(A266="TW","300",IF(ISNUMBER(SEARCH("태국",C266)),"500",IF(ISNUMBER(SEARCH("말레이",C266)),"600",IF(ISNUMBER(SEARCH("필리핀",C266)),"700",IF(ISNUMBER(SEARCH("인도네시아",C266)),"800",IF(ISNUMBER(SEARCH("크루즈",C266)),"810",IF(ISNUMBER(SEARCH("동물원",C266)),"830","")))))))))</f>
        <v>300</v>
      </c>
    </row>
    <row r="267" customFormat="false" ht="15" hidden="false" customHeight="false" outlineLevel="0" collapsed="false">
      <c r="A267" s="32" t="str">
        <f aca="false">IF(OR(TRIM(C267)="",SUBSTITUTE(C267," ","")="소계"),"제외",IF(ISNUMBER(SEARCH("홍콩",C267)),"HK",IF(ISNUMBER(SEARCH("상해",C267)),"CN",IF(ISNUMBER(SEARCH("대만",C267)),"TW","홀세일"))))</f>
        <v>TW</v>
      </c>
      <c r="B267" s="36" t="s">
        <v>98</v>
      </c>
      <c r="C267" s="36" t="s">
        <v>99</v>
      </c>
      <c r="D267" s="37" t="s">
        <v>123</v>
      </c>
      <c r="E267" s="36" t="n">
        <v>2026</v>
      </c>
      <c r="F267" s="36" t="s">
        <v>110</v>
      </c>
      <c r="G267" s="37" t="s">
        <v>102</v>
      </c>
      <c r="H267" s="36" t="s">
        <v>131</v>
      </c>
      <c r="I267" s="36" t="s">
        <v>645</v>
      </c>
      <c r="J267" s="37" t="s">
        <v>646</v>
      </c>
      <c r="K267" s="38" t="n">
        <v>150</v>
      </c>
      <c r="L267" s="38" t="n">
        <v>19350000</v>
      </c>
      <c r="M267" s="38" t="n">
        <v>7532850</v>
      </c>
      <c r="N267" s="39" t="n">
        <f aca="false">IF(A267="제외",0,IF(OR(N(L267)&lt;=0,N(M267)&gt;N(L267)),N(M267)/요약!$D$27,N(L267)))</f>
        <v>19350000</v>
      </c>
      <c r="O267" s="32" t="str">
        <f aca="false">IF(A267="제외","",IF(OR(N(L267)&lt;=0,N(M267)&gt;N(L267)),"택가보정(판매금액÷공급율)",""))</f>
        <v/>
      </c>
      <c r="P267" s="0" t="str">
        <f aca="false">IF(A267="HK","100",IF(A267="CN","200",IF(A267="TW","300",IF(ISNUMBER(SEARCH("태국",C267)),"500",IF(ISNUMBER(SEARCH("말레이",C267)),"600",IF(ISNUMBER(SEARCH("필리핀",C267)),"700",IF(ISNUMBER(SEARCH("인도네시아",C267)),"800",IF(ISNUMBER(SEARCH("크루즈",C267)),"810",IF(ISNUMBER(SEARCH("동물원",C267)),"830","")))))))))</f>
        <v>300</v>
      </c>
    </row>
    <row r="268" customFormat="false" ht="15" hidden="false" customHeight="false" outlineLevel="0" collapsed="false">
      <c r="A268" s="32" t="str">
        <f aca="false">IF(OR(TRIM(C268)="",SUBSTITUTE(C268," ","")="소계"),"제외",IF(ISNUMBER(SEARCH("홍콩",C268)),"HK",IF(ISNUMBER(SEARCH("상해",C268)),"CN",IF(ISNUMBER(SEARCH("대만",C268)),"TW","홀세일"))))</f>
        <v>TW</v>
      </c>
      <c r="B268" s="36" t="s">
        <v>98</v>
      </c>
      <c r="C268" s="36" t="s">
        <v>99</v>
      </c>
      <c r="D268" s="37" t="s">
        <v>123</v>
      </c>
      <c r="E268" s="36" t="n">
        <v>2026</v>
      </c>
      <c r="F268" s="36" t="s">
        <v>110</v>
      </c>
      <c r="G268" s="37" t="s">
        <v>102</v>
      </c>
      <c r="H268" s="36" t="s">
        <v>131</v>
      </c>
      <c r="I268" s="36" t="s">
        <v>647</v>
      </c>
      <c r="J268" s="37" t="s">
        <v>648</v>
      </c>
      <c r="K268" s="38" t="n">
        <v>120</v>
      </c>
      <c r="L268" s="38" t="n">
        <v>15480000</v>
      </c>
      <c r="M268" s="38" t="n">
        <v>6026280</v>
      </c>
      <c r="N268" s="39" t="n">
        <f aca="false">IF(A268="제외",0,IF(OR(N(L268)&lt;=0,N(M268)&gt;N(L268)),N(M268)/요약!$D$27,N(L268)))</f>
        <v>15480000</v>
      </c>
      <c r="O268" s="32" t="str">
        <f aca="false">IF(A268="제외","",IF(OR(N(L268)&lt;=0,N(M268)&gt;N(L268)),"택가보정(판매금액÷공급율)",""))</f>
        <v/>
      </c>
      <c r="P268" s="0" t="str">
        <f aca="false">IF(A268="HK","100",IF(A268="CN","200",IF(A268="TW","300",IF(ISNUMBER(SEARCH("태국",C268)),"500",IF(ISNUMBER(SEARCH("말레이",C268)),"600",IF(ISNUMBER(SEARCH("필리핀",C268)),"700",IF(ISNUMBER(SEARCH("인도네시아",C268)),"800",IF(ISNUMBER(SEARCH("크루즈",C268)),"810",IF(ISNUMBER(SEARCH("동물원",C268)),"830","")))))))))</f>
        <v>300</v>
      </c>
    </row>
    <row r="269" customFormat="false" ht="15" hidden="false" customHeight="false" outlineLevel="0" collapsed="false">
      <c r="A269" s="32" t="str">
        <f aca="false">IF(OR(TRIM(C269)="",SUBSTITUTE(C269," ","")="소계"),"제외",IF(ISNUMBER(SEARCH("홍콩",C269)),"HK",IF(ISNUMBER(SEARCH("상해",C269)),"CN",IF(ISNUMBER(SEARCH("대만",C269)),"TW","홀세일"))))</f>
        <v>TW</v>
      </c>
      <c r="B269" s="36" t="s">
        <v>98</v>
      </c>
      <c r="C269" s="36" t="s">
        <v>99</v>
      </c>
      <c r="D269" s="37" t="s">
        <v>123</v>
      </c>
      <c r="E269" s="36" t="n">
        <v>2026</v>
      </c>
      <c r="F269" s="36" t="s">
        <v>110</v>
      </c>
      <c r="G269" s="37" t="s">
        <v>102</v>
      </c>
      <c r="H269" s="37" t="s">
        <v>649</v>
      </c>
      <c r="I269" s="36" t="s">
        <v>650</v>
      </c>
      <c r="J269" s="36" t="s">
        <v>651</v>
      </c>
      <c r="K269" s="38" t="n">
        <v>1500</v>
      </c>
      <c r="L269" s="38" t="n">
        <v>58500000</v>
      </c>
      <c r="M269" s="38" t="n">
        <v>11422500</v>
      </c>
      <c r="N269" s="39" t="n">
        <f aca="false">IF(A269="제외",0,IF(OR(N(L269)&lt;=0,N(M269)&gt;N(L269)),N(M269)/요약!$D$27,N(L269)))</f>
        <v>58500000</v>
      </c>
      <c r="O269" s="32" t="str">
        <f aca="false">IF(A269="제외","",IF(OR(N(L269)&lt;=0,N(M269)&gt;N(L269)),"택가보정(판매금액÷공급율)",""))</f>
        <v/>
      </c>
      <c r="P269" s="0" t="str">
        <f aca="false">IF(A269="HK","100",IF(A269="CN","200",IF(A269="TW","300",IF(ISNUMBER(SEARCH("태국",C269)),"500",IF(ISNUMBER(SEARCH("말레이",C269)),"600",IF(ISNUMBER(SEARCH("필리핀",C269)),"700",IF(ISNUMBER(SEARCH("인도네시아",C269)),"800",IF(ISNUMBER(SEARCH("크루즈",C269)),"810",IF(ISNUMBER(SEARCH("동물원",C269)),"830","")))))))))</f>
        <v>300</v>
      </c>
    </row>
    <row r="270" customFormat="false" ht="15" hidden="false" customHeight="false" outlineLevel="0" collapsed="false">
      <c r="A270" s="32" t="str">
        <f aca="false">IF(OR(TRIM(C270)="",SUBSTITUTE(C270," ","")="소계"),"제외",IF(ISNUMBER(SEARCH("홍콩",C270)),"HK",IF(ISNUMBER(SEARCH("상해",C270)),"CN",IF(ISNUMBER(SEARCH("대만",C270)),"TW","홀세일"))))</f>
        <v>TW</v>
      </c>
      <c r="B270" s="36" t="s">
        <v>98</v>
      </c>
      <c r="C270" s="36" t="s">
        <v>99</v>
      </c>
      <c r="D270" s="37" t="s">
        <v>123</v>
      </c>
      <c r="E270" s="36" t="n">
        <v>2026</v>
      </c>
      <c r="F270" s="36" t="s">
        <v>110</v>
      </c>
      <c r="G270" s="37" t="s">
        <v>124</v>
      </c>
      <c r="H270" s="36" t="s">
        <v>125</v>
      </c>
      <c r="I270" s="36" t="s">
        <v>652</v>
      </c>
      <c r="J270" s="37" t="s">
        <v>653</v>
      </c>
      <c r="K270" s="38" t="n">
        <v>340</v>
      </c>
      <c r="L270" s="38" t="n">
        <v>169660000</v>
      </c>
      <c r="M270" s="38" t="n">
        <v>66209900</v>
      </c>
      <c r="N270" s="39" t="n">
        <f aca="false">IF(A270="제외",0,IF(OR(N(L270)&lt;=0,N(M270)&gt;N(L270)),N(M270)/요약!$D$27,N(L270)))</f>
        <v>169660000</v>
      </c>
      <c r="O270" s="32" t="str">
        <f aca="false">IF(A270="제외","",IF(OR(N(L270)&lt;=0,N(M270)&gt;N(L270)),"택가보정(판매금액÷공급율)",""))</f>
        <v/>
      </c>
      <c r="P270" s="0" t="str">
        <f aca="false">IF(A270="HK","100",IF(A270="CN","200",IF(A270="TW","300",IF(ISNUMBER(SEARCH("태국",C270)),"500",IF(ISNUMBER(SEARCH("말레이",C270)),"600",IF(ISNUMBER(SEARCH("필리핀",C270)),"700",IF(ISNUMBER(SEARCH("인도네시아",C270)),"800",IF(ISNUMBER(SEARCH("크루즈",C270)),"810",IF(ISNUMBER(SEARCH("동물원",C270)),"830","")))))))))</f>
        <v>300</v>
      </c>
    </row>
    <row r="271" customFormat="false" ht="15" hidden="false" customHeight="false" outlineLevel="0" collapsed="false">
      <c r="A271" s="32" t="str">
        <f aca="false">IF(OR(TRIM(C271)="",SUBSTITUTE(C271," ","")="소계"),"제외",IF(ISNUMBER(SEARCH("홍콩",C271)),"HK",IF(ISNUMBER(SEARCH("상해",C271)),"CN",IF(ISNUMBER(SEARCH("대만",C271)),"TW","홀세일"))))</f>
        <v>TW</v>
      </c>
      <c r="B271" s="36" t="s">
        <v>98</v>
      </c>
      <c r="C271" s="36" t="s">
        <v>99</v>
      </c>
      <c r="D271" s="37" t="s">
        <v>123</v>
      </c>
      <c r="E271" s="36" t="n">
        <v>2026</v>
      </c>
      <c r="F271" s="36" t="s">
        <v>110</v>
      </c>
      <c r="G271" s="37" t="s">
        <v>124</v>
      </c>
      <c r="H271" s="36" t="s">
        <v>131</v>
      </c>
      <c r="I271" s="36" t="s">
        <v>654</v>
      </c>
      <c r="J271" s="37" t="s">
        <v>655</v>
      </c>
      <c r="K271" s="38" t="n">
        <v>1500</v>
      </c>
      <c r="L271" s="38" t="n">
        <v>73500000</v>
      </c>
      <c r="M271" s="38" t="n">
        <v>26636970</v>
      </c>
      <c r="N271" s="39" t="n">
        <f aca="false">IF(A271="제외",0,IF(OR(N(L271)&lt;=0,N(M271)&gt;N(L271)),N(M271)/요약!$D$27,N(L271)))</f>
        <v>73500000</v>
      </c>
      <c r="O271" s="32" t="str">
        <f aca="false">IF(A271="제외","",IF(OR(N(L271)&lt;=0,N(M271)&gt;N(L271)),"택가보정(판매금액÷공급율)",""))</f>
        <v/>
      </c>
      <c r="P271" s="0" t="str">
        <f aca="false">IF(A271="HK","100",IF(A271="CN","200",IF(A271="TW","300",IF(ISNUMBER(SEARCH("태국",C271)),"500",IF(ISNUMBER(SEARCH("말레이",C271)),"600",IF(ISNUMBER(SEARCH("필리핀",C271)),"700",IF(ISNUMBER(SEARCH("인도네시아",C271)),"800",IF(ISNUMBER(SEARCH("크루즈",C271)),"810",IF(ISNUMBER(SEARCH("동물원",C271)),"830","")))))))))</f>
        <v>300</v>
      </c>
    </row>
    <row r="272" customFormat="false" ht="15" hidden="false" customHeight="false" outlineLevel="0" collapsed="false">
      <c r="A272" s="32" t="str">
        <f aca="false">IF(OR(TRIM(C272)="",SUBSTITUTE(C272," ","")="소계"),"제외",IF(ISNUMBER(SEARCH("홍콩",C272)),"HK",IF(ISNUMBER(SEARCH("상해",C272)),"CN",IF(ISNUMBER(SEARCH("대만",C272)),"TW","홀세일"))))</f>
        <v>TW</v>
      </c>
      <c r="B272" s="36" t="s">
        <v>98</v>
      </c>
      <c r="C272" s="36" t="s">
        <v>99</v>
      </c>
      <c r="D272" s="37" t="s">
        <v>123</v>
      </c>
      <c r="E272" s="36" t="n">
        <v>2026</v>
      </c>
      <c r="F272" s="36" t="s">
        <v>110</v>
      </c>
      <c r="G272" s="37" t="s">
        <v>124</v>
      </c>
      <c r="H272" s="37" t="s">
        <v>128</v>
      </c>
      <c r="I272" s="36" t="s">
        <v>656</v>
      </c>
      <c r="J272" s="36" t="s">
        <v>657</v>
      </c>
      <c r="K272" s="38" t="n">
        <v>180</v>
      </c>
      <c r="L272" s="38" t="n">
        <v>7020000</v>
      </c>
      <c r="M272" s="38" t="n">
        <v>2554740</v>
      </c>
      <c r="N272" s="39" t="n">
        <f aca="false">IF(A272="제외",0,IF(OR(N(L272)&lt;=0,N(M272)&gt;N(L272)),N(M272)/요약!$D$27,N(L272)))</f>
        <v>7020000</v>
      </c>
      <c r="O272" s="32" t="str">
        <f aca="false">IF(A272="제외","",IF(OR(N(L272)&lt;=0,N(M272)&gt;N(L272)),"택가보정(판매금액÷공급율)",""))</f>
        <v/>
      </c>
      <c r="P272" s="0" t="str">
        <f aca="false">IF(A272="HK","100",IF(A272="CN","200",IF(A272="TW","300",IF(ISNUMBER(SEARCH("태국",C272)),"500",IF(ISNUMBER(SEARCH("말레이",C272)),"600",IF(ISNUMBER(SEARCH("필리핀",C272)),"700",IF(ISNUMBER(SEARCH("인도네시아",C272)),"800",IF(ISNUMBER(SEARCH("크루즈",C272)),"810",IF(ISNUMBER(SEARCH("동물원",C272)),"830","")))))))))</f>
        <v>300</v>
      </c>
    </row>
    <row r="273" customFormat="false" ht="15" hidden="false" customHeight="false" outlineLevel="0" collapsed="false">
      <c r="A273" s="32" t="str">
        <f aca="false">IF(OR(TRIM(C273)="",SUBSTITUTE(C273," ","")="소계"),"제외",IF(ISNUMBER(SEARCH("홍콩",C273)),"HK",IF(ISNUMBER(SEARCH("상해",C273)),"CN",IF(ISNUMBER(SEARCH("대만",C273)),"TW","홀세일"))))</f>
        <v>TW</v>
      </c>
      <c r="B273" s="36" t="s">
        <v>98</v>
      </c>
      <c r="C273" s="36" t="s">
        <v>99</v>
      </c>
      <c r="D273" s="37" t="s">
        <v>123</v>
      </c>
      <c r="E273" s="36" t="n">
        <v>2026</v>
      </c>
      <c r="F273" s="36" t="s">
        <v>110</v>
      </c>
      <c r="G273" s="37" t="s">
        <v>360</v>
      </c>
      <c r="H273" s="36" t="s">
        <v>131</v>
      </c>
      <c r="I273" s="36" t="s">
        <v>658</v>
      </c>
      <c r="J273" s="37" t="s">
        <v>659</v>
      </c>
      <c r="K273" s="38" t="n">
        <v>950</v>
      </c>
      <c r="L273" s="38" t="n">
        <v>132050000</v>
      </c>
      <c r="M273" s="38" t="n">
        <v>55774500</v>
      </c>
      <c r="N273" s="39" t="n">
        <f aca="false">IF(A273="제외",0,IF(OR(N(L273)&lt;=0,N(M273)&gt;N(L273)),N(M273)/요약!$D$27,N(L273)))</f>
        <v>132050000</v>
      </c>
      <c r="O273" s="32" t="str">
        <f aca="false">IF(A273="제외","",IF(OR(N(L273)&lt;=0,N(M273)&gt;N(L273)),"택가보정(판매금액÷공급율)",""))</f>
        <v/>
      </c>
      <c r="P273" s="0" t="str">
        <f aca="false">IF(A273="HK","100",IF(A273="CN","200",IF(A273="TW","300",IF(ISNUMBER(SEARCH("태국",C273)),"500",IF(ISNUMBER(SEARCH("말레이",C273)),"600",IF(ISNUMBER(SEARCH("필리핀",C273)),"700",IF(ISNUMBER(SEARCH("인도네시아",C273)),"800",IF(ISNUMBER(SEARCH("크루즈",C273)),"810",IF(ISNUMBER(SEARCH("동물원",C273)),"830","")))))))))</f>
        <v>300</v>
      </c>
    </row>
    <row r="274" customFormat="false" ht="15" hidden="false" customHeight="false" outlineLevel="0" collapsed="false">
      <c r="A274" s="32" t="str">
        <f aca="false">IF(OR(TRIM(C274)="",SUBSTITUTE(C274," ","")="소계"),"제외",IF(ISNUMBER(SEARCH("홍콩",C274)),"HK",IF(ISNUMBER(SEARCH("상해",C274)),"CN",IF(ISNUMBER(SEARCH("대만",C274)),"TW","홀세일"))))</f>
        <v>TW</v>
      </c>
      <c r="B274" s="36" t="s">
        <v>98</v>
      </c>
      <c r="C274" s="36" t="s">
        <v>99</v>
      </c>
      <c r="D274" s="37" t="s">
        <v>123</v>
      </c>
      <c r="E274" s="36" t="n">
        <v>2026</v>
      </c>
      <c r="F274" s="36" t="s">
        <v>110</v>
      </c>
      <c r="G274" s="37" t="s">
        <v>360</v>
      </c>
      <c r="H274" s="36" t="s">
        <v>131</v>
      </c>
      <c r="I274" s="36" t="s">
        <v>660</v>
      </c>
      <c r="J274" s="37" t="s">
        <v>661</v>
      </c>
      <c r="K274" s="38" t="n">
        <v>310</v>
      </c>
      <c r="L274" s="38" t="n">
        <v>30690000</v>
      </c>
      <c r="M274" s="38" t="n">
        <v>12906230</v>
      </c>
      <c r="N274" s="39" t="n">
        <f aca="false">IF(A274="제외",0,IF(OR(N(L274)&lt;=0,N(M274)&gt;N(L274)),N(M274)/요약!$D$27,N(L274)))</f>
        <v>30690000</v>
      </c>
      <c r="O274" s="32" t="str">
        <f aca="false">IF(A274="제외","",IF(OR(N(L274)&lt;=0,N(M274)&gt;N(L274)),"택가보정(판매금액÷공급율)",""))</f>
        <v/>
      </c>
      <c r="P274" s="0" t="str">
        <f aca="false">IF(A274="HK","100",IF(A274="CN","200",IF(A274="TW","300",IF(ISNUMBER(SEARCH("태국",C274)),"500",IF(ISNUMBER(SEARCH("말레이",C274)),"600",IF(ISNUMBER(SEARCH("필리핀",C274)),"700",IF(ISNUMBER(SEARCH("인도네시아",C274)),"800",IF(ISNUMBER(SEARCH("크루즈",C274)),"810",IF(ISNUMBER(SEARCH("동물원",C274)),"830","")))))))))</f>
        <v>300</v>
      </c>
    </row>
    <row r="275" customFormat="false" ht="15" hidden="false" customHeight="false" outlineLevel="0" collapsed="false">
      <c r="A275" s="32" t="str">
        <f aca="false">IF(OR(TRIM(C275)="",SUBSTITUTE(C275," ","")="소계"),"제외",IF(ISNUMBER(SEARCH("홍콩",C275)),"HK",IF(ISNUMBER(SEARCH("상해",C275)),"CN",IF(ISNUMBER(SEARCH("대만",C275)),"TW","홀세일"))))</f>
        <v>TW</v>
      </c>
      <c r="B275" s="36" t="s">
        <v>98</v>
      </c>
      <c r="C275" s="36" t="s">
        <v>99</v>
      </c>
      <c r="D275" s="37" t="s">
        <v>123</v>
      </c>
      <c r="E275" s="36" t="n">
        <v>2026</v>
      </c>
      <c r="F275" s="36" t="s">
        <v>110</v>
      </c>
      <c r="G275" s="37" t="s">
        <v>124</v>
      </c>
      <c r="H275" s="36" t="s">
        <v>188</v>
      </c>
      <c r="I275" s="36" t="s">
        <v>662</v>
      </c>
      <c r="J275" s="36" t="s">
        <v>663</v>
      </c>
      <c r="K275" s="38" t="n">
        <v>300</v>
      </c>
      <c r="L275" s="38" t="n">
        <v>119700000</v>
      </c>
      <c r="M275" s="38" t="n">
        <v>46692300</v>
      </c>
      <c r="N275" s="39" t="n">
        <f aca="false">IF(A275="제외",0,IF(OR(N(L275)&lt;=0,N(M275)&gt;N(L275)),N(M275)/요약!$D$27,N(L275)))</f>
        <v>119700000</v>
      </c>
      <c r="O275" s="32" t="str">
        <f aca="false">IF(A275="제외","",IF(OR(N(L275)&lt;=0,N(M275)&gt;N(L275)),"택가보정(판매금액÷공급율)",""))</f>
        <v/>
      </c>
      <c r="P275" s="0" t="str">
        <f aca="false">IF(A275="HK","100",IF(A275="CN","200",IF(A275="TW","300",IF(ISNUMBER(SEARCH("태국",C275)),"500",IF(ISNUMBER(SEARCH("말레이",C275)),"600",IF(ISNUMBER(SEARCH("필리핀",C275)),"700",IF(ISNUMBER(SEARCH("인도네시아",C275)),"800",IF(ISNUMBER(SEARCH("크루즈",C275)),"810",IF(ISNUMBER(SEARCH("동물원",C275)),"830","")))))))))</f>
        <v>300</v>
      </c>
    </row>
    <row r="276" customFormat="false" ht="15" hidden="false" customHeight="false" outlineLevel="0" collapsed="false">
      <c r="A276" s="32" t="str">
        <f aca="false">IF(OR(TRIM(C276)="",SUBSTITUTE(C276," ","")="소계"),"제외",IF(ISNUMBER(SEARCH("홍콩",C276)),"HK",IF(ISNUMBER(SEARCH("상해",C276)),"CN",IF(ISNUMBER(SEARCH("대만",C276)),"TW","홀세일"))))</f>
        <v>TW</v>
      </c>
      <c r="B276" s="36" t="s">
        <v>98</v>
      </c>
      <c r="C276" s="36" t="s">
        <v>99</v>
      </c>
      <c r="D276" s="37" t="s">
        <v>664</v>
      </c>
      <c r="E276" s="36" t="n">
        <v>2026</v>
      </c>
      <c r="F276" s="37" t="s">
        <v>101</v>
      </c>
      <c r="G276" s="37" t="s">
        <v>124</v>
      </c>
      <c r="H276" s="36" t="s">
        <v>188</v>
      </c>
      <c r="I276" s="36" t="s">
        <v>665</v>
      </c>
      <c r="J276" s="36" t="s">
        <v>666</v>
      </c>
      <c r="K276" s="38" t="n">
        <v>100</v>
      </c>
      <c r="L276" s="38" t="n">
        <v>8900000</v>
      </c>
      <c r="M276" s="38" t="n">
        <v>3483200</v>
      </c>
      <c r="N276" s="39" t="n">
        <f aca="false">IF(A276="제외",0,IF(OR(N(L276)&lt;=0,N(M276)&gt;N(L276)),N(M276)/요약!$D$27,N(L276)))</f>
        <v>8900000</v>
      </c>
      <c r="O276" s="32" t="str">
        <f aca="false">IF(A276="제외","",IF(OR(N(L276)&lt;=0,N(M276)&gt;N(L276)),"택가보정(판매금액÷공급율)",""))</f>
        <v/>
      </c>
      <c r="P276" s="0" t="str">
        <f aca="false">IF(A276="HK","100",IF(A276="CN","200",IF(A276="TW","300",IF(ISNUMBER(SEARCH("태국",C276)),"500",IF(ISNUMBER(SEARCH("말레이",C276)),"600",IF(ISNUMBER(SEARCH("필리핀",C276)),"700",IF(ISNUMBER(SEARCH("인도네시아",C276)),"800",IF(ISNUMBER(SEARCH("크루즈",C276)),"810",IF(ISNUMBER(SEARCH("동물원",C276)),"830","")))))))))</f>
        <v>300</v>
      </c>
    </row>
    <row r="277" customFormat="false" ht="15" hidden="false" customHeight="false" outlineLevel="0" collapsed="false">
      <c r="A277" s="32" t="str">
        <f aca="false">IF(OR(TRIM(C277)="",SUBSTITUTE(C277," ","")="소계"),"제외",IF(ISNUMBER(SEARCH("홍콩",C277)),"HK",IF(ISNUMBER(SEARCH("상해",C277)),"CN",IF(ISNUMBER(SEARCH("대만",C277)),"TW","홀세일"))))</f>
        <v>TW</v>
      </c>
      <c r="B277" s="36" t="s">
        <v>98</v>
      </c>
      <c r="C277" s="36" t="s">
        <v>99</v>
      </c>
      <c r="D277" s="37" t="s">
        <v>664</v>
      </c>
      <c r="E277" s="36" t="n">
        <v>2026</v>
      </c>
      <c r="F277" s="37" t="s">
        <v>219</v>
      </c>
      <c r="G277" s="37" t="s">
        <v>124</v>
      </c>
      <c r="H277" s="36" t="s">
        <v>131</v>
      </c>
      <c r="I277" s="36" t="s">
        <v>667</v>
      </c>
      <c r="J277" s="37" t="s">
        <v>668</v>
      </c>
      <c r="K277" s="38" t="n">
        <v>935</v>
      </c>
      <c r="L277" s="38" t="n">
        <v>92565000</v>
      </c>
      <c r="M277" s="38" t="n">
        <v>36878270</v>
      </c>
      <c r="N277" s="39" t="n">
        <f aca="false">IF(A277="제외",0,IF(OR(N(L277)&lt;=0,N(M277)&gt;N(L277)),N(M277)/요약!$D$27,N(L277)))</f>
        <v>92565000</v>
      </c>
      <c r="O277" s="32" t="str">
        <f aca="false">IF(A277="제외","",IF(OR(N(L277)&lt;=0,N(M277)&gt;N(L277)),"택가보정(판매금액÷공급율)",""))</f>
        <v/>
      </c>
      <c r="P277" s="0" t="str">
        <f aca="false">IF(A277="HK","100",IF(A277="CN","200",IF(A277="TW","300",IF(ISNUMBER(SEARCH("태국",C277)),"500",IF(ISNUMBER(SEARCH("말레이",C277)),"600",IF(ISNUMBER(SEARCH("필리핀",C277)),"700",IF(ISNUMBER(SEARCH("인도네시아",C277)),"800",IF(ISNUMBER(SEARCH("크루즈",C277)),"810",IF(ISNUMBER(SEARCH("동물원",C277)),"830","")))))))))</f>
        <v>300</v>
      </c>
    </row>
    <row r="278" customFormat="false" ht="15" hidden="false" customHeight="false" outlineLevel="0" collapsed="false">
      <c r="A278" s="32" t="str">
        <f aca="false">IF(OR(TRIM(C278)="",SUBSTITUTE(C278," ","")="소계"),"제외",IF(ISNUMBER(SEARCH("홍콩",C278)),"HK",IF(ISNUMBER(SEARCH("상해",C278)),"CN",IF(ISNUMBER(SEARCH("대만",C278)),"TW","홀세일"))))</f>
        <v>TW</v>
      </c>
      <c r="B278" s="36" t="s">
        <v>98</v>
      </c>
      <c r="C278" s="36" t="s">
        <v>99</v>
      </c>
      <c r="D278" s="37" t="s">
        <v>664</v>
      </c>
      <c r="E278" s="36" t="n">
        <v>2026</v>
      </c>
      <c r="F278" s="37" t="s">
        <v>219</v>
      </c>
      <c r="G278" s="37" t="s">
        <v>124</v>
      </c>
      <c r="H278" s="36" t="s">
        <v>131</v>
      </c>
      <c r="I278" s="36" t="s">
        <v>669</v>
      </c>
      <c r="J278" s="37" t="s">
        <v>670</v>
      </c>
      <c r="K278" s="38" t="n">
        <v>300</v>
      </c>
      <c r="L278" s="38" t="n">
        <v>50700000</v>
      </c>
      <c r="M278" s="38" t="n">
        <v>18273300</v>
      </c>
      <c r="N278" s="39" t="n">
        <f aca="false">IF(A278="제외",0,IF(OR(N(L278)&lt;=0,N(M278)&gt;N(L278)),N(M278)/요약!$D$27,N(L278)))</f>
        <v>50700000</v>
      </c>
      <c r="O278" s="32" t="str">
        <f aca="false">IF(A278="제외","",IF(OR(N(L278)&lt;=0,N(M278)&gt;N(L278)),"택가보정(판매금액÷공급율)",""))</f>
        <v/>
      </c>
      <c r="P278" s="0" t="str">
        <f aca="false">IF(A278="HK","100",IF(A278="CN","200",IF(A278="TW","300",IF(ISNUMBER(SEARCH("태국",C278)),"500",IF(ISNUMBER(SEARCH("말레이",C278)),"600",IF(ISNUMBER(SEARCH("필리핀",C278)),"700",IF(ISNUMBER(SEARCH("인도네시아",C278)),"800",IF(ISNUMBER(SEARCH("크루즈",C278)),"810",IF(ISNUMBER(SEARCH("동물원",C278)),"830","")))))))))</f>
        <v>300</v>
      </c>
    </row>
    <row r="279" customFormat="false" ht="15" hidden="false" customHeight="false" outlineLevel="0" collapsed="false">
      <c r="A279" s="32" t="str">
        <f aca="false">IF(OR(TRIM(C279)="",SUBSTITUTE(C279," ","")="소계"),"제외",IF(ISNUMBER(SEARCH("홍콩",C279)),"HK",IF(ISNUMBER(SEARCH("상해",C279)),"CN",IF(ISNUMBER(SEARCH("대만",C279)),"TW","홀세일"))))</f>
        <v>TW</v>
      </c>
      <c r="B279" s="36" t="s">
        <v>98</v>
      </c>
      <c r="C279" s="36" t="s">
        <v>99</v>
      </c>
      <c r="D279" s="37" t="s">
        <v>664</v>
      </c>
      <c r="E279" s="36" t="n">
        <v>2026</v>
      </c>
      <c r="F279" s="37" t="s">
        <v>219</v>
      </c>
      <c r="G279" s="37" t="s">
        <v>124</v>
      </c>
      <c r="H279" s="36" t="s">
        <v>131</v>
      </c>
      <c r="I279" s="36" t="s">
        <v>671</v>
      </c>
      <c r="J279" s="37" t="s">
        <v>672</v>
      </c>
      <c r="K279" s="38" t="n">
        <v>680</v>
      </c>
      <c r="L279" s="38" t="n">
        <v>46920000</v>
      </c>
      <c r="M279" s="38" t="n">
        <v>18515040</v>
      </c>
      <c r="N279" s="39" t="n">
        <f aca="false">IF(A279="제외",0,IF(OR(N(L279)&lt;=0,N(M279)&gt;N(L279)),N(M279)/요약!$D$27,N(L279)))</f>
        <v>46920000</v>
      </c>
      <c r="O279" s="32" t="str">
        <f aca="false">IF(A279="제외","",IF(OR(N(L279)&lt;=0,N(M279)&gt;N(L279)),"택가보정(판매금액÷공급율)",""))</f>
        <v/>
      </c>
      <c r="P279" s="0" t="str">
        <f aca="false">IF(A279="HK","100",IF(A279="CN","200",IF(A279="TW","300",IF(ISNUMBER(SEARCH("태국",C279)),"500",IF(ISNUMBER(SEARCH("말레이",C279)),"600",IF(ISNUMBER(SEARCH("필리핀",C279)),"700",IF(ISNUMBER(SEARCH("인도네시아",C279)),"800",IF(ISNUMBER(SEARCH("크루즈",C279)),"810",IF(ISNUMBER(SEARCH("동물원",C279)),"830","")))))))))</f>
        <v>300</v>
      </c>
    </row>
    <row r="280" customFormat="false" ht="15" hidden="false" customHeight="false" outlineLevel="0" collapsed="false">
      <c r="A280" s="32" t="str">
        <f aca="false">IF(OR(TRIM(C280)="",SUBSTITUTE(C280," ","")="소계"),"제외",IF(ISNUMBER(SEARCH("홍콩",C280)),"HK",IF(ISNUMBER(SEARCH("상해",C280)),"CN",IF(ISNUMBER(SEARCH("대만",C280)),"TW","홀세일"))))</f>
        <v>TW</v>
      </c>
      <c r="B280" s="36" t="s">
        <v>98</v>
      </c>
      <c r="C280" s="36" t="s">
        <v>99</v>
      </c>
      <c r="D280" s="37" t="s">
        <v>664</v>
      </c>
      <c r="E280" s="36" t="n">
        <v>2026</v>
      </c>
      <c r="F280" s="37" t="s">
        <v>219</v>
      </c>
      <c r="G280" s="37" t="s">
        <v>124</v>
      </c>
      <c r="H280" s="36" t="s">
        <v>673</v>
      </c>
      <c r="I280" s="36" t="s">
        <v>674</v>
      </c>
      <c r="J280" s="37" t="s">
        <v>675</v>
      </c>
      <c r="K280" s="38" t="n">
        <v>500</v>
      </c>
      <c r="L280" s="38" t="n">
        <v>16000000</v>
      </c>
      <c r="M280" s="38" t="n">
        <v>5332000</v>
      </c>
      <c r="N280" s="39" t="n">
        <f aca="false">IF(A280="제외",0,IF(OR(N(L280)&lt;=0,N(M280)&gt;N(L280)),N(M280)/요약!$D$27,N(L280)))</f>
        <v>16000000</v>
      </c>
      <c r="O280" s="32" t="str">
        <f aca="false">IF(A280="제외","",IF(OR(N(L280)&lt;=0,N(M280)&gt;N(L280)),"택가보정(판매금액÷공급율)",""))</f>
        <v/>
      </c>
      <c r="P280" s="0" t="str">
        <f aca="false">IF(A280="HK","100",IF(A280="CN","200",IF(A280="TW","300",IF(ISNUMBER(SEARCH("태국",C280)),"500",IF(ISNUMBER(SEARCH("말레이",C280)),"600",IF(ISNUMBER(SEARCH("필리핀",C280)),"700",IF(ISNUMBER(SEARCH("인도네시아",C280)),"800",IF(ISNUMBER(SEARCH("크루즈",C280)),"810",IF(ISNUMBER(SEARCH("동물원",C280)),"830","")))))))))</f>
        <v>300</v>
      </c>
    </row>
    <row r="281" customFormat="false" ht="15" hidden="false" customHeight="false" outlineLevel="0" collapsed="false">
      <c r="A281" s="32" t="str">
        <f aca="false">IF(OR(TRIM(C281)="",SUBSTITUTE(C281," ","")="소계"),"제외",IF(ISNUMBER(SEARCH("홍콩",C281)),"HK",IF(ISNUMBER(SEARCH("상해",C281)),"CN",IF(ISNUMBER(SEARCH("대만",C281)),"TW","홀세일"))))</f>
        <v>TW</v>
      </c>
      <c r="B281" s="36" t="s">
        <v>98</v>
      </c>
      <c r="C281" s="36" t="s">
        <v>99</v>
      </c>
      <c r="D281" s="37" t="s">
        <v>664</v>
      </c>
      <c r="E281" s="36" t="n">
        <v>2026</v>
      </c>
      <c r="F281" s="37" t="s">
        <v>219</v>
      </c>
      <c r="G281" s="37" t="s">
        <v>124</v>
      </c>
      <c r="H281" s="37" t="s">
        <v>649</v>
      </c>
      <c r="I281" s="36" t="s">
        <v>676</v>
      </c>
      <c r="J281" s="37" t="s">
        <v>677</v>
      </c>
      <c r="K281" s="38" t="n">
        <v>800</v>
      </c>
      <c r="L281" s="38" t="n">
        <v>55200000</v>
      </c>
      <c r="M281" s="38" t="n">
        <v>19715200</v>
      </c>
      <c r="N281" s="39" t="n">
        <f aca="false">IF(A281="제외",0,IF(OR(N(L281)&lt;=0,N(M281)&gt;N(L281)),N(M281)/요약!$D$27,N(L281)))</f>
        <v>55200000</v>
      </c>
      <c r="O281" s="32" t="str">
        <f aca="false">IF(A281="제외","",IF(OR(N(L281)&lt;=0,N(M281)&gt;N(L281)),"택가보정(판매금액÷공급율)",""))</f>
        <v/>
      </c>
      <c r="P281" s="0" t="str">
        <f aca="false">IF(A281="HK","100",IF(A281="CN","200",IF(A281="TW","300",IF(ISNUMBER(SEARCH("태국",C281)),"500",IF(ISNUMBER(SEARCH("말레이",C281)),"600",IF(ISNUMBER(SEARCH("필리핀",C281)),"700",IF(ISNUMBER(SEARCH("인도네시아",C281)),"800",IF(ISNUMBER(SEARCH("크루즈",C281)),"810",IF(ISNUMBER(SEARCH("동물원",C281)),"830","")))))))))</f>
        <v>300</v>
      </c>
    </row>
    <row r="282" customFormat="false" ht="15" hidden="false" customHeight="false" outlineLevel="0" collapsed="false">
      <c r="A282" s="32" t="str">
        <f aca="false">IF(OR(TRIM(C282)="",SUBSTITUTE(C282," ","")="소계"),"제외",IF(ISNUMBER(SEARCH("홍콩",C282)),"HK",IF(ISNUMBER(SEARCH("상해",C282)),"CN",IF(ISNUMBER(SEARCH("대만",C282)),"TW","홀세일"))))</f>
        <v>TW</v>
      </c>
      <c r="B282" s="36" t="s">
        <v>98</v>
      </c>
      <c r="C282" s="36" t="s">
        <v>99</v>
      </c>
      <c r="D282" s="37" t="s">
        <v>664</v>
      </c>
      <c r="E282" s="36" t="n">
        <v>2026</v>
      </c>
      <c r="F282" s="37" t="s">
        <v>219</v>
      </c>
      <c r="G282" s="37" t="s">
        <v>124</v>
      </c>
      <c r="H282" s="37" t="s">
        <v>649</v>
      </c>
      <c r="I282" s="36" t="s">
        <v>678</v>
      </c>
      <c r="J282" s="37" t="s">
        <v>679</v>
      </c>
      <c r="K282" s="38" t="n">
        <v>850</v>
      </c>
      <c r="L282" s="38" t="n">
        <v>50150000</v>
      </c>
      <c r="M282" s="38" t="n">
        <v>17920550</v>
      </c>
      <c r="N282" s="39" t="n">
        <f aca="false">IF(A282="제외",0,IF(OR(N(L282)&lt;=0,N(M282)&gt;N(L282)),N(M282)/요약!$D$27,N(L282)))</f>
        <v>50150000</v>
      </c>
      <c r="O282" s="32" t="str">
        <f aca="false">IF(A282="제외","",IF(OR(N(L282)&lt;=0,N(M282)&gt;N(L282)),"택가보정(판매금액÷공급율)",""))</f>
        <v/>
      </c>
      <c r="P282" s="0" t="str">
        <f aca="false">IF(A282="HK","100",IF(A282="CN","200",IF(A282="TW","300",IF(ISNUMBER(SEARCH("태국",C282)),"500",IF(ISNUMBER(SEARCH("말레이",C282)),"600",IF(ISNUMBER(SEARCH("필리핀",C282)),"700",IF(ISNUMBER(SEARCH("인도네시아",C282)),"800",IF(ISNUMBER(SEARCH("크루즈",C282)),"810",IF(ISNUMBER(SEARCH("동물원",C282)),"830","")))))))))</f>
        <v>300</v>
      </c>
    </row>
    <row r="283" customFormat="false" ht="15" hidden="false" customHeight="false" outlineLevel="0" collapsed="false">
      <c r="A283" s="32" t="str">
        <f aca="false">IF(OR(TRIM(C283)="",SUBSTITUTE(C283," ","")="소계"),"제외",IF(ISNUMBER(SEARCH("홍콩",C283)),"HK",IF(ISNUMBER(SEARCH("상해",C283)),"CN",IF(ISNUMBER(SEARCH("대만",C283)),"TW","홀세일"))))</f>
        <v>TW</v>
      </c>
      <c r="B283" s="36" t="s">
        <v>98</v>
      </c>
      <c r="C283" s="36" t="s">
        <v>99</v>
      </c>
      <c r="D283" s="37" t="s">
        <v>664</v>
      </c>
      <c r="E283" s="36" t="n">
        <v>2026</v>
      </c>
      <c r="F283" s="37" t="s">
        <v>219</v>
      </c>
      <c r="G283" s="37" t="s">
        <v>124</v>
      </c>
      <c r="H283" s="37" t="s">
        <v>649</v>
      </c>
      <c r="I283" s="36" t="s">
        <v>680</v>
      </c>
      <c r="J283" s="37" t="s">
        <v>681</v>
      </c>
      <c r="K283" s="38" t="n">
        <v>800</v>
      </c>
      <c r="L283" s="38" t="n">
        <v>47200000</v>
      </c>
      <c r="M283" s="38" t="n">
        <v>16866400</v>
      </c>
      <c r="N283" s="39" t="n">
        <f aca="false">IF(A283="제외",0,IF(OR(N(L283)&lt;=0,N(M283)&gt;N(L283)),N(M283)/요약!$D$27,N(L283)))</f>
        <v>47200000</v>
      </c>
      <c r="O283" s="32" t="str">
        <f aca="false">IF(A283="제외","",IF(OR(N(L283)&lt;=0,N(M283)&gt;N(L283)),"택가보정(판매금액÷공급율)",""))</f>
        <v/>
      </c>
      <c r="P283" s="0" t="str">
        <f aca="false">IF(A283="HK","100",IF(A283="CN","200",IF(A283="TW","300",IF(ISNUMBER(SEARCH("태국",C283)),"500",IF(ISNUMBER(SEARCH("말레이",C283)),"600",IF(ISNUMBER(SEARCH("필리핀",C283)),"700",IF(ISNUMBER(SEARCH("인도네시아",C283)),"800",IF(ISNUMBER(SEARCH("크루즈",C283)),"810",IF(ISNUMBER(SEARCH("동물원",C283)),"830","")))))))))</f>
        <v>300</v>
      </c>
    </row>
    <row r="284" customFormat="false" ht="15" hidden="false" customHeight="false" outlineLevel="0" collapsed="false">
      <c r="A284" s="32" t="str">
        <f aca="false">IF(OR(TRIM(C284)="",SUBSTITUTE(C284," ","")="소계"),"제외",IF(ISNUMBER(SEARCH("홍콩",C284)),"HK",IF(ISNUMBER(SEARCH("상해",C284)),"CN",IF(ISNUMBER(SEARCH("대만",C284)),"TW","홀세일"))))</f>
        <v>TW</v>
      </c>
      <c r="B284" s="36" t="s">
        <v>98</v>
      </c>
      <c r="C284" s="36" t="s">
        <v>99</v>
      </c>
      <c r="D284" s="37" t="s">
        <v>664</v>
      </c>
      <c r="E284" s="36" t="n">
        <v>2026</v>
      </c>
      <c r="F284" s="37" t="s">
        <v>219</v>
      </c>
      <c r="G284" s="37" t="s">
        <v>124</v>
      </c>
      <c r="H284" s="37" t="s">
        <v>649</v>
      </c>
      <c r="I284" s="36" t="s">
        <v>682</v>
      </c>
      <c r="J284" s="37" t="s">
        <v>683</v>
      </c>
      <c r="K284" s="38" t="n">
        <v>800</v>
      </c>
      <c r="L284" s="38" t="n">
        <v>55200000</v>
      </c>
      <c r="M284" s="38" t="n">
        <v>19715200</v>
      </c>
      <c r="N284" s="39" t="n">
        <f aca="false">IF(A284="제외",0,IF(OR(N(L284)&lt;=0,N(M284)&gt;N(L284)),N(M284)/요약!$D$27,N(L284)))</f>
        <v>55200000</v>
      </c>
      <c r="O284" s="32" t="str">
        <f aca="false">IF(A284="제외","",IF(OR(N(L284)&lt;=0,N(M284)&gt;N(L284)),"택가보정(판매금액÷공급율)",""))</f>
        <v/>
      </c>
      <c r="P284" s="0" t="str">
        <f aca="false">IF(A284="HK","100",IF(A284="CN","200",IF(A284="TW","300",IF(ISNUMBER(SEARCH("태국",C284)),"500",IF(ISNUMBER(SEARCH("말레이",C284)),"600",IF(ISNUMBER(SEARCH("필리핀",C284)),"700",IF(ISNUMBER(SEARCH("인도네시아",C284)),"800",IF(ISNUMBER(SEARCH("크루즈",C284)),"810",IF(ISNUMBER(SEARCH("동물원",C284)),"830","")))))))))</f>
        <v>300</v>
      </c>
    </row>
    <row r="285" customFormat="false" ht="15" hidden="false" customHeight="false" outlineLevel="0" collapsed="false">
      <c r="A285" s="32" t="str">
        <f aca="false">IF(OR(TRIM(C285)="",SUBSTITUTE(C285," ","")="소계"),"제외",IF(ISNUMBER(SEARCH("홍콩",C285)),"HK",IF(ISNUMBER(SEARCH("상해",C285)),"CN",IF(ISNUMBER(SEARCH("대만",C285)),"TW","홀세일"))))</f>
        <v>TW</v>
      </c>
      <c r="B285" s="36" t="s">
        <v>98</v>
      </c>
      <c r="C285" s="36" t="s">
        <v>99</v>
      </c>
      <c r="D285" s="37" t="s">
        <v>664</v>
      </c>
      <c r="E285" s="36" t="n">
        <v>2026</v>
      </c>
      <c r="F285" s="37" t="s">
        <v>219</v>
      </c>
      <c r="G285" s="37" t="s">
        <v>124</v>
      </c>
      <c r="H285" s="37" t="s">
        <v>649</v>
      </c>
      <c r="I285" s="36" t="s">
        <v>684</v>
      </c>
      <c r="J285" s="37" t="s">
        <v>685</v>
      </c>
      <c r="K285" s="38" t="n">
        <v>800</v>
      </c>
      <c r="L285" s="38" t="n">
        <v>55200000</v>
      </c>
      <c r="M285" s="38" t="n">
        <v>19715200</v>
      </c>
      <c r="N285" s="39" t="n">
        <f aca="false">IF(A285="제외",0,IF(OR(N(L285)&lt;=0,N(M285)&gt;N(L285)),N(M285)/요약!$D$27,N(L285)))</f>
        <v>55200000</v>
      </c>
      <c r="O285" s="32" t="str">
        <f aca="false">IF(A285="제외","",IF(OR(N(L285)&lt;=0,N(M285)&gt;N(L285)),"택가보정(판매금액÷공급율)",""))</f>
        <v/>
      </c>
      <c r="P285" s="0" t="str">
        <f aca="false">IF(A285="HK","100",IF(A285="CN","200",IF(A285="TW","300",IF(ISNUMBER(SEARCH("태국",C285)),"500",IF(ISNUMBER(SEARCH("말레이",C285)),"600",IF(ISNUMBER(SEARCH("필리핀",C285)),"700",IF(ISNUMBER(SEARCH("인도네시아",C285)),"800",IF(ISNUMBER(SEARCH("크루즈",C285)),"810",IF(ISNUMBER(SEARCH("동물원",C285)),"830","")))))))))</f>
        <v>300</v>
      </c>
    </row>
    <row r="286" customFormat="false" ht="15" hidden="false" customHeight="false" outlineLevel="0" collapsed="false">
      <c r="A286" s="32" t="str">
        <f aca="false">IF(OR(TRIM(C286)="",SUBSTITUTE(C286," ","")="소계"),"제외",IF(ISNUMBER(SEARCH("홍콩",C286)),"HK",IF(ISNUMBER(SEARCH("상해",C286)),"CN",IF(ISNUMBER(SEARCH("대만",C286)),"TW","홀세일"))))</f>
        <v>TW</v>
      </c>
      <c r="B286" s="36" t="s">
        <v>98</v>
      </c>
      <c r="C286" s="36" t="s">
        <v>99</v>
      </c>
      <c r="D286" s="37" t="s">
        <v>664</v>
      </c>
      <c r="E286" s="36" t="n">
        <v>2026</v>
      </c>
      <c r="F286" s="37" t="s">
        <v>219</v>
      </c>
      <c r="G286" s="37" t="s">
        <v>124</v>
      </c>
      <c r="H286" s="37" t="s">
        <v>649</v>
      </c>
      <c r="I286" s="36" t="s">
        <v>686</v>
      </c>
      <c r="J286" s="37" t="s">
        <v>687</v>
      </c>
      <c r="K286" s="38" t="n">
        <v>800</v>
      </c>
      <c r="L286" s="38" t="n">
        <v>55200000</v>
      </c>
      <c r="M286" s="38" t="n">
        <v>19715200</v>
      </c>
      <c r="N286" s="39" t="n">
        <f aca="false">IF(A286="제외",0,IF(OR(N(L286)&lt;=0,N(M286)&gt;N(L286)),N(M286)/요약!$D$27,N(L286)))</f>
        <v>55200000</v>
      </c>
      <c r="O286" s="32" t="str">
        <f aca="false">IF(A286="제외","",IF(OR(N(L286)&lt;=0,N(M286)&gt;N(L286)),"택가보정(판매금액÷공급율)",""))</f>
        <v/>
      </c>
      <c r="P286" s="0" t="str">
        <f aca="false">IF(A286="HK","100",IF(A286="CN","200",IF(A286="TW","300",IF(ISNUMBER(SEARCH("태국",C286)),"500",IF(ISNUMBER(SEARCH("말레이",C286)),"600",IF(ISNUMBER(SEARCH("필리핀",C286)),"700",IF(ISNUMBER(SEARCH("인도네시아",C286)),"800",IF(ISNUMBER(SEARCH("크루즈",C286)),"810",IF(ISNUMBER(SEARCH("동물원",C286)),"830","")))))))))</f>
        <v>300</v>
      </c>
    </row>
    <row r="287" customFormat="false" ht="15" hidden="false" customHeight="false" outlineLevel="0" collapsed="false">
      <c r="A287" s="32" t="str">
        <f aca="false">IF(OR(TRIM(C287)="",SUBSTITUTE(C287," ","")="소계"),"제외",IF(ISNUMBER(SEARCH("홍콩",C287)),"HK",IF(ISNUMBER(SEARCH("상해",C287)),"CN",IF(ISNUMBER(SEARCH("대만",C287)),"TW","홀세일"))))</f>
        <v>TW</v>
      </c>
      <c r="B287" s="36" t="s">
        <v>98</v>
      </c>
      <c r="C287" s="36" t="s">
        <v>99</v>
      </c>
      <c r="D287" s="37" t="s">
        <v>664</v>
      </c>
      <c r="E287" s="36" t="n">
        <v>2026</v>
      </c>
      <c r="F287" s="37" t="s">
        <v>219</v>
      </c>
      <c r="G287" s="37" t="s">
        <v>124</v>
      </c>
      <c r="H287" s="36" t="s">
        <v>188</v>
      </c>
      <c r="I287" s="36" t="s">
        <v>688</v>
      </c>
      <c r="J287" s="36" t="s">
        <v>689</v>
      </c>
      <c r="K287" s="38" t="n">
        <v>320</v>
      </c>
      <c r="L287" s="38" t="n">
        <v>50880000</v>
      </c>
      <c r="M287" s="38" t="n">
        <v>18383040</v>
      </c>
      <c r="N287" s="39" t="n">
        <f aca="false">IF(A287="제외",0,IF(OR(N(L287)&lt;=0,N(M287)&gt;N(L287)),N(M287)/요약!$D$27,N(L287)))</f>
        <v>50880000</v>
      </c>
      <c r="O287" s="32" t="str">
        <f aca="false">IF(A287="제외","",IF(OR(N(L287)&lt;=0,N(M287)&gt;N(L287)),"택가보정(판매금액÷공급율)",""))</f>
        <v/>
      </c>
      <c r="P287" s="0" t="str">
        <f aca="false">IF(A287="HK","100",IF(A287="CN","200",IF(A287="TW","300",IF(ISNUMBER(SEARCH("태국",C287)),"500",IF(ISNUMBER(SEARCH("말레이",C287)),"600",IF(ISNUMBER(SEARCH("필리핀",C287)),"700",IF(ISNUMBER(SEARCH("인도네시아",C287)),"800",IF(ISNUMBER(SEARCH("크루즈",C287)),"810",IF(ISNUMBER(SEARCH("동물원",C287)),"830","")))))))))</f>
        <v>300</v>
      </c>
    </row>
    <row r="288" customFormat="false" ht="15" hidden="false" customHeight="false" outlineLevel="0" collapsed="false">
      <c r="A288" s="32" t="str">
        <f aca="false">IF(OR(TRIM(C288)="",SUBSTITUTE(C288," ","")="소계"),"제외",IF(ISNUMBER(SEARCH("홍콩",C288)),"HK",IF(ISNUMBER(SEARCH("상해",C288)),"CN",IF(ISNUMBER(SEARCH("대만",C288)),"TW","홀세일"))))</f>
        <v>TW</v>
      </c>
      <c r="B288" s="36" t="s">
        <v>98</v>
      </c>
      <c r="C288" s="36" t="s">
        <v>99</v>
      </c>
      <c r="D288" s="37" t="s">
        <v>664</v>
      </c>
      <c r="E288" s="36" t="n">
        <v>2026</v>
      </c>
      <c r="F288" s="37" t="s">
        <v>219</v>
      </c>
      <c r="G288" s="37" t="s">
        <v>124</v>
      </c>
      <c r="H288" s="36" t="s">
        <v>188</v>
      </c>
      <c r="I288" s="36" t="s">
        <v>690</v>
      </c>
      <c r="J288" s="36" t="s">
        <v>691</v>
      </c>
      <c r="K288" s="38" t="n">
        <v>360</v>
      </c>
      <c r="L288" s="38" t="n">
        <v>46440000</v>
      </c>
      <c r="M288" s="38" t="n">
        <v>17823240</v>
      </c>
      <c r="N288" s="39" t="n">
        <f aca="false">IF(A288="제외",0,IF(OR(N(L288)&lt;=0,N(M288)&gt;N(L288)),N(M288)/요약!$D$27,N(L288)))</f>
        <v>46440000</v>
      </c>
      <c r="O288" s="32" t="str">
        <f aca="false">IF(A288="제외","",IF(OR(N(L288)&lt;=0,N(M288)&gt;N(L288)),"택가보정(판매금액÷공급율)",""))</f>
        <v/>
      </c>
      <c r="P288" s="0" t="str">
        <f aca="false">IF(A288="HK","100",IF(A288="CN","200",IF(A288="TW","300",IF(ISNUMBER(SEARCH("태국",C288)),"500",IF(ISNUMBER(SEARCH("말레이",C288)),"600",IF(ISNUMBER(SEARCH("필리핀",C288)),"700",IF(ISNUMBER(SEARCH("인도네시아",C288)),"800",IF(ISNUMBER(SEARCH("크루즈",C288)),"810",IF(ISNUMBER(SEARCH("동물원",C288)),"830","")))))))))</f>
        <v>300</v>
      </c>
    </row>
    <row r="289" customFormat="false" ht="15" hidden="false" customHeight="false" outlineLevel="0" collapsed="false">
      <c r="A289" s="32" t="str">
        <f aca="false">IF(OR(TRIM(C289)="",SUBSTITUTE(C289," ","")="소계"),"제외",IF(ISNUMBER(SEARCH("홍콩",C289)),"HK",IF(ISNUMBER(SEARCH("상해",C289)),"CN",IF(ISNUMBER(SEARCH("대만",C289)),"TW","홀세일"))))</f>
        <v>TW</v>
      </c>
      <c r="B289" s="36" t="s">
        <v>98</v>
      </c>
      <c r="C289" s="36" t="s">
        <v>99</v>
      </c>
      <c r="D289" s="37" t="s">
        <v>664</v>
      </c>
      <c r="E289" s="36" t="n">
        <v>2026</v>
      </c>
      <c r="F289" s="37" t="s">
        <v>219</v>
      </c>
      <c r="G289" s="37" t="s">
        <v>124</v>
      </c>
      <c r="H289" s="36" t="s">
        <v>188</v>
      </c>
      <c r="I289" s="36" t="s">
        <v>692</v>
      </c>
      <c r="J289" s="36" t="s">
        <v>693</v>
      </c>
      <c r="K289" s="38" t="n">
        <v>320</v>
      </c>
      <c r="L289" s="38" t="n">
        <v>47680000</v>
      </c>
      <c r="M289" s="38" t="n">
        <v>18290880</v>
      </c>
      <c r="N289" s="39" t="n">
        <f aca="false">IF(A289="제외",0,IF(OR(N(L289)&lt;=0,N(M289)&gt;N(L289)),N(M289)/요약!$D$27,N(L289)))</f>
        <v>47680000</v>
      </c>
      <c r="O289" s="32" t="str">
        <f aca="false">IF(A289="제외","",IF(OR(N(L289)&lt;=0,N(M289)&gt;N(L289)),"택가보정(판매금액÷공급율)",""))</f>
        <v/>
      </c>
      <c r="P289" s="0" t="str">
        <f aca="false">IF(A289="HK","100",IF(A289="CN","200",IF(A289="TW","300",IF(ISNUMBER(SEARCH("태국",C289)),"500",IF(ISNUMBER(SEARCH("말레이",C289)),"600",IF(ISNUMBER(SEARCH("필리핀",C289)),"700",IF(ISNUMBER(SEARCH("인도네시아",C289)),"800",IF(ISNUMBER(SEARCH("크루즈",C289)),"810",IF(ISNUMBER(SEARCH("동물원",C289)),"830","")))))))))</f>
        <v>300</v>
      </c>
    </row>
    <row r="290" customFormat="false" ht="15" hidden="false" customHeight="false" outlineLevel="0" collapsed="false">
      <c r="A290" s="32" t="str">
        <f aca="false">IF(OR(TRIM(C290)="",SUBSTITUTE(C290," ","")="소계"),"제외",IF(ISNUMBER(SEARCH("홍콩",C290)),"HK",IF(ISNUMBER(SEARCH("상해",C290)),"CN",IF(ISNUMBER(SEARCH("대만",C290)),"TW","홀세일"))))</f>
        <v>TW</v>
      </c>
      <c r="B290" s="36" t="s">
        <v>98</v>
      </c>
      <c r="C290" s="36" t="s">
        <v>99</v>
      </c>
      <c r="D290" s="37" t="s">
        <v>664</v>
      </c>
      <c r="E290" s="36" t="n">
        <v>2026</v>
      </c>
      <c r="F290" s="37" t="s">
        <v>219</v>
      </c>
      <c r="G290" s="37" t="s">
        <v>124</v>
      </c>
      <c r="H290" s="36" t="s">
        <v>188</v>
      </c>
      <c r="I290" s="36" t="s">
        <v>694</v>
      </c>
      <c r="J290" s="36" t="s">
        <v>695</v>
      </c>
      <c r="K290" s="38" t="n">
        <v>395</v>
      </c>
      <c r="L290" s="38" t="n">
        <v>47005000</v>
      </c>
      <c r="M290" s="38" t="n">
        <v>16990135</v>
      </c>
      <c r="N290" s="39" t="n">
        <f aca="false">IF(A290="제외",0,IF(OR(N(L290)&lt;=0,N(M290)&gt;N(L290)),N(M290)/요약!$D$27,N(L290)))</f>
        <v>47005000</v>
      </c>
      <c r="O290" s="32" t="str">
        <f aca="false">IF(A290="제외","",IF(OR(N(L290)&lt;=0,N(M290)&gt;N(L290)),"택가보정(판매금액÷공급율)",""))</f>
        <v/>
      </c>
      <c r="P290" s="0" t="str">
        <f aca="false">IF(A290="HK","100",IF(A290="CN","200",IF(A290="TW","300",IF(ISNUMBER(SEARCH("태국",C290)),"500",IF(ISNUMBER(SEARCH("말레이",C290)),"600",IF(ISNUMBER(SEARCH("필리핀",C290)),"700",IF(ISNUMBER(SEARCH("인도네시아",C290)),"800",IF(ISNUMBER(SEARCH("크루즈",C290)),"810",IF(ISNUMBER(SEARCH("동물원",C290)),"830","")))))))))</f>
        <v>300</v>
      </c>
    </row>
    <row r="291" customFormat="false" ht="15" hidden="false" customHeight="false" outlineLevel="0" collapsed="false">
      <c r="A291" s="32" t="str">
        <f aca="false">IF(OR(TRIM(C291)="",SUBSTITUTE(C291," ","")="소계"),"제외",IF(ISNUMBER(SEARCH("홍콩",C291)),"HK",IF(ISNUMBER(SEARCH("상해",C291)),"CN",IF(ISNUMBER(SEARCH("대만",C291)),"TW","홀세일"))))</f>
        <v>TW</v>
      </c>
      <c r="B291" s="36" t="s">
        <v>98</v>
      </c>
      <c r="C291" s="36" t="s">
        <v>99</v>
      </c>
      <c r="D291" s="37" t="s">
        <v>664</v>
      </c>
      <c r="E291" s="36" t="n">
        <v>2026</v>
      </c>
      <c r="F291" s="37" t="s">
        <v>219</v>
      </c>
      <c r="G291" s="37" t="s">
        <v>124</v>
      </c>
      <c r="H291" s="36" t="s">
        <v>188</v>
      </c>
      <c r="I291" s="36" t="s">
        <v>696</v>
      </c>
      <c r="J291" s="36" t="s">
        <v>697</v>
      </c>
      <c r="K291" s="38" t="n">
        <v>130</v>
      </c>
      <c r="L291" s="38" t="n">
        <v>19370000</v>
      </c>
      <c r="M291" s="38" t="n">
        <v>7720440</v>
      </c>
      <c r="N291" s="39" t="n">
        <f aca="false">IF(A291="제외",0,IF(OR(N(L291)&lt;=0,N(M291)&gt;N(L291)),N(M291)/요약!$D$27,N(L291)))</f>
        <v>19370000</v>
      </c>
      <c r="O291" s="32" t="str">
        <f aca="false">IF(A291="제외","",IF(OR(N(L291)&lt;=0,N(M291)&gt;N(L291)),"택가보정(판매금액÷공급율)",""))</f>
        <v/>
      </c>
      <c r="P291" s="0" t="str">
        <f aca="false">IF(A291="HK","100",IF(A291="CN","200",IF(A291="TW","300",IF(ISNUMBER(SEARCH("태국",C291)),"500",IF(ISNUMBER(SEARCH("말레이",C291)),"600",IF(ISNUMBER(SEARCH("필리핀",C291)),"700",IF(ISNUMBER(SEARCH("인도네시아",C291)),"800",IF(ISNUMBER(SEARCH("크루즈",C291)),"810",IF(ISNUMBER(SEARCH("동물원",C291)),"830","")))))))))</f>
        <v>300</v>
      </c>
    </row>
    <row r="292" customFormat="false" ht="15" hidden="false" customHeight="false" outlineLevel="0" collapsed="false">
      <c r="A292" s="32" t="str">
        <f aca="false">IF(OR(TRIM(C292)="",SUBSTITUTE(C292," ","")="소계"),"제외",IF(ISNUMBER(SEARCH("홍콩",C292)),"HK",IF(ISNUMBER(SEARCH("상해",C292)),"CN",IF(ISNUMBER(SEARCH("대만",C292)),"TW","홀세일"))))</f>
        <v>TW</v>
      </c>
      <c r="B292" s="36" t="s">
        <v>98</v>
      </c>
      <c r="C292" s="36" t="s">
        <v>99</v>
      </c>
      <c r="D292" s="37" t="s">
        <v>664</v>
      </c>
      <c r="E292" s="36" t="n">
        <v>2026</v>
      </c>
      <c r="F292" s="37" t="s">
        <v>219</v>
      </c>
      <c r="G292" s="37" t="s">
        <v>124</v>
      </c>
      <c r="H292" s="36" t="s">
        <v>188</v>
      </c>
      <c r="I292" s="36" t="s">
        <v>698</v>
      </c>
      <c r="J292" s="36" t="s">
        <v>699</v>
      </c>
      <c r="K292" s="38" t="n">
        <v>320</v>
      </c>
      <c r="L292" s="38" t="n">
        <v>54080000</v>
      </c>
      <c r="M292" s="38" t="n">
        <v>19537920</v>
      </c>
      <c r="N292" s="39" t="n">
        <f aca="false">IF(A292="제외",0,IF(OR(N(L292)&lt;=0,N(M292)&gt;N(L292)),N(M292)/요약!$D$27,N(L292)))</f>
        <v>54080000</v>
      </c>
      <c r="O292" s="32" t="str">
        <f aca="false">IF(A292="제외","",IF(OR(N(L292)&lt;=0,N(M292)&gt;N(L292)),"택가보정(판매금액÷공급율)",""))</f>
        <v/>
      </c>
      <c r="P292" s="0" t="str">
        <f aca="false">IF(A292="HK","100",IF(A292="CN","200",IF(A292="TW","300",IF(ISNUMBER(SEARCH("태국",C292)),"500",IF(ISNUMBER(SEARCH("말레이",C292)),"600",IF(ISNUMBER(SEARCH("필리핀",C292)),"700",IF(ISNUMBER(SEARCH("인도네시아",C292)),"800",IF(ISNUMBER(SEARCH("크루즈",C292)),"810",IF(ISNUMBER(SEARCH("동물원",C292)),"830","")))))))))</f>
        <v>300</v>
      </c>
    </row>
    <row r="293" customFormat="false" ht="15" hidden="false" customHeight="false" outlineLevel="0" collapsed="false">
      <c r="A293" s="32" t="str">
        <f aca="false">IF(OR(TRIM(C293)="",SUBSTITUTE(C293," ","")="소계"),"제외",IF(ISNUMBER(SEARCH("홍콩",C293)),"HK",IF(ISNUMBER(SEARCH("상해",C293)),"CN",IF(ISNUMBER(SEARCH("대만",C293)),"TW","홀세일"))))</f>
        <v>TW</v>
      </c>
      <c r="B293" s="36" t="s">
        <v>98</v>
      </c>
      <c r="C293" s="36" t="s">
        <v>99</v>
      </c>
      <c r="D293" s="37" t="s">
        <v>664</v>
      </c>
      <c r="E293" s="36" t="n">
        <v>2026</v>
      </c>
      <c r="F293" s="37" t="s">
        <v>219</v>
      </c>
      <c r="G293" s="37" t="s">
        <v>124</v>
      </c>
      <c r="H293" s="36" t="s">
        <v>188</v>
      </c>
      <c r="I293" s="36" t="s">
        <v>700</v>
      </c>
      <c r="J293" s="36" t="s">
        <v>701</v>
      </c>
      <c r="K293" s="38" t="n">
        <v>150</v>
      </c>
      <c r="L293" s="38" t="n">
        <v>23850000</v>
      </c>
      <c r="M293" s="38" t="n">
        <v>8075850</v>
      </c>
      <c r="N293" s="39" t="n">
        <f aca="false">IF(A293="제외",0,IF(OR(N(L293)&lt;=0,N(M293)&gt;N(L293)),N(M293)/요약!$D$27,N(L293)))</f>
        <v>23850000</v>
      </c>
      <c r="O293" s="32" t="str">
        <f aca="false">IF(A293="제외","",IF(OR(N(L293)&lt;=0,N(M293)&gt;N(L293)),"택가보정(판매금액÷공급율)",""))</f>
        <v/>
      </c>
      <c r="P293" s="0" t="str">
        <f aca="false">IF(A293="HK","100",IF(A293="CN","200",IF(A293="TW","300",IF(ISNUMBER(SEARCH("태국",C293)),"500",IF(ISNUMBER(SEARCH("말레이",C293)),"600",IF(ISNUMBER(SEARCH("필리핀",C293)),"700",IF(ISNUMBER(SEARCH("인도네시아",C293)),"800",IF(ISNUMBER(SEARCH("크루즈",C293)),"810",IF(ISNUMBER(SEARCH("동물원",C293)),"830","")))))))))</f>
        <v>300</v>
      </c>
    </row>
    <row r="294" customFormat="false" ht="15" hidden="false" customHeight="false" outlineLevel="0" collapsed="false">
      <c r="A294" s="32" t="str">
        <f aca="false">IF(OR(TRIM(C294)="",SUBSTITUTE(C294," ","")="소계"),"제외",IF(ISNUMBER(SEARCH("홍콩",C294)),"HK",IF(ISNUMBER(SEARCH("상해",C294)),"CN",IF(ISNUMBER(SEARCH("대만",C294)),"TW","홀세일"))))</f>
        <v>TW</v>
      </c>
      <c r="B294" s="36" t="s">
        <v>98</v>
      </c>
      <c r="C294" s="36" t="s">
        <v>99</v>
      </c>
      <c r="D294" s="37" t="s">
        <v>664</v>
      </c>
      <c r="E294" s="36" t="n">
        <v>2026</v>
      </c>
      <c r="F294" s="37" t="s">
        <v>219</v>
      </c>
      <c r="G294" s="37" t="s">
        <v>124</v>
      </c>
      <c r="H294" s="36" t="s">
        <v>188</v>
      </c>
      <c r="I294" s="36" t="s">
        <v>702</v>
      </c>
      <c r="J294" s="36" t="s">
        <v>703</v>
      </c>
      <c r="K294" s="38" t="n">
        <v>263</v>
      </c>
      <c r="L294" s="38" t="n">
        <v>44447000</v>
      </c>
      <c r="M294" s="38" t="n">
        <v>16057728</v>
      </c>
      <c r="N294" s="39" t="n">
        <f aca="false">IF(A294="제외",0,IF(OR(N(L294)&lt;=0,N(M294)&gt;N(L294)),N(M294)/요약!$D$27,N(L294)))</f>
        <v>44447000</v>
      </c>
      <c r="O294" s="32" t="str">
        <f aca="false">IF(A294="제외","",IF(OR(N(L294)&lt;=0,N(M294)&gt;N(L294)),"택가보정(판매금액÷공급율)",""))</f>
        <v/>
      </c>
      <c r="P294" s="0" t="str">
        <f aca="false">IF(A294="HK","100",IF(A294="CN","200",IF(A294="TW","300",IF(ISNUMBER(SEARCH("태국",C294)),"500",IF(ISNUMBER(SEARCH("말레이",C294)),"600",IF(ISNUMBER(SEARCH("필리핀",C294)),"700",IF(ISNUMBER(SEARCH("인도네시아",C294)),"800",IF(ISNUMBER(SEARCH("크루즈",C294)),"810",IF(ISNUMBER(SEARCH("동물원",C294)),"830","")))))))))</f>
        <v>300</v>
      </c>
    </row>
    <row r="295" customFormat="false" ht="15" hidden="false" customHeight="false" outlineLevel="0" collapsed="false">
      <c r="A295" s="32" t="str">
        <f aca="false">IF(OR(TRIM(C295)="",SUBSTITUTE(C295," ","")="소계"),"제외",IF(ISNUMBER(SEARCH("홍콩",C295)),"HK",IF(ISNUMBER(SEARCH("상해",C295)),"CN",IF(ISNUMBER(SEARCH("대만",C295)),"TW","홀세일"))))</f>
        <v>TW</v>
      </c>
      <c r="B295" s="36" t="s">
        <v>98</v>
      </c>
      <c r="C295" s="36" t="s">
        <v>99</v>
      </c>
      <c r="D295" s="37" t="s">
        <v>664</v>
      </c>
      <c r="E295" s="36" t="n">
        <v>2026</v>
      </c>
      <c r="F295" s="37" t="s">
        <v>219</v>
      </c>
      <c r="G295" s="37" t="s">
        <v>124</v>
      </c>
      <c r="H295" s="36" t="s">
        <v>673</v>
      </c>
      <c r="I295" s="36" t="s">
        <v>704</v>
      </c>
      <c r="J295" s="37" t="s">
        <v>705</v>
      </c>
      <c r="K295" s="38" t="n">
        <v>340</v>
      </c>
      <c r="L295" s="38" t="n">
        <v>11560000</v>
      </c>
      <c r="M295" s="38" t="n">
        <v>3821940</v>
      </c>
      <c r="N295" s="39" t="n">
        <f aca="false">IF(A295="제외",0,IF(OR(N(L295)&lt;=0,N(M295)&gt;N(L295)),N(M295)/요약!$D$27,N(L295)))</f>
        <v>11560000</v>
      </c>
      <c r="O295" s="32" t="str">
        <f aca="false">IF(A295="제외","",IF(OR(N(L295)&lt;=0,N(M295)&gt;N(L295)),"택가보정(판매금액÷공급율)",""))</f>
        <v/>
      </c>
      <c r="P295" s="0" t="str">
        <f aca="false">IF(A295="HK","100",IF(A295="CN","200",IF(A295="TW","300",IF(ISNUMBER(SEARCH("태국",C295)),"500",IF(ISNUMBER(SEARCH("말레이",C295)),"600",IF(ISNUMBER(SEARCH("필리핀",C295)),"700",IF(ISNUMBER(SEARCH("인도네시아",C295)),"800",IF(ISNUMBER(SEARCH("크루즈",C295)),"810",IF(ISNUMBER(SEARCH("동물원",C295)),"830","")))))))))</f>
        <v>300</v>
      </c>
    </row>
    <row r="296" customFormat="false" ht="15" hidden="false" customHeight="false" outlineLevel="0" collapsed="false">
      <c r="A296" s="32" t="str">
        <f aca="false">IF(OR(TRIM(C296)="",SUBSTITUTE(C296," ","")="소계"),"제외",IF(ISNUMBER(SEARCH("홍콩",C296)),"HK",IF(ISNUMBER(SEARCH("상해",C296)),"CN",IF(ISNUMBER(SEARCH("대만",C296)),"TW","홀세일"))))</f>
        <v>TW</v>
      </c>
      <c r="B296" s="36" t="s">
        <v>98</v>
      </c>
      <c r="C296" s="36" t="s">
        <v>99</v>
      </c>
      <c r="D296" s="37" t="s">
        <v>664</v>
      </c>
      <c r="E296" s="36" t="n">
        <v>2026</v>
      </c>
      <c r="F296" s="37" t="s">
        <v>219</v>
      </c>
      <c r="G296" s="37" t="s">
        <v>124</v>
      </c>
      <c r="H296" s="36" t="s">
        <v>188</v>
      </c>
      <c r="I296" s="36" t="s">
        <v>706</v>
      </c>
      <c r="J296" s="36" t="s">
        <v>707</v>
      </c>
      <c r="K296" s="38" t="n">
        <v>354</v>
      </c>
      <c r="L296" s="38" t="n">
        <v>35046000</v>
      </c>
      <c r="M296" s="38" t="n">
        <v>12671784</v>
      </c>
      <c r="N296" s="39" t="n">
        <f aca="false">IF(A296="제외",0,IF(OR(N(L296)&lt;=0,N(M296)&gt;N(L296)),N(M296)/요약!$D$27,N(L296)))</f>
        <v>35046000</v>
      </c>
      <c r="O296" s="32" t="str">
        <f aca="false">IF(A296="제외","",IF(OR(N(L296)&lt;=0,N(M296)&gt;N(L296)),"택가보정(판매금액÷공급율)",""))</f>
        <v/>
      </c>
      <c r="P296" s="0" t="str">
        <f aca="false">IF(A296="HK","100",IF(A296="CN","200",IF(A296="TW","300",IF(ISNUMBER(SEARCH("태국",C296)),"500",IF(ISNUMBER(SEARCH("말레이",C296)),"600",IF(ISNUMBER(SEARCH("필리핀",C296)),"700",IF(ISNUMBER(SEARCH("인도네시아",C296)),"800",IF(ISNUMBER(SEARCH("크루즈",C296)),"810",IF(ISNUMBER(SEARCH("동물원",C296)),"830","")))))))))</f>
        <v>300</v>
      </c>
    </row>
    <row r="297" customFormat="false" ht="15" hidden="false" customHeight="false" outlineLevel="0" collapsed="false">
      <c r="A297" s="32" t="str">
        <f aca="false">IF(OR(TRIM(C297)="",SUBSTITUTE(C297," ","")="소계"),"제외",IF(ISNUMBER(SEARCH("홍콩",C297)),"HK",IF(ISNUMBER(SEARCH("상해",C297)),"CN",IF(ISNUMBER(SEARCH("대만",C297)),"TW","홀세일"))))</f>
        <v>TW</v>
      </c>
      <c r="B297" s="36" t="s">
        <v>98</v>
      </c>
      <c r="C297" s="36" t="s">
        <v>99</v>
      </c>
      <c r="D297" s="37" t="s">
        <v>664</v>
      </c>
      <c r="E297" s="36" t="n">
        <v>2026</v>
      </c>
      <c r="F297" s="37" t="s">
        <v>363</v>
      </c>
      <c r="G297" s="37" t="s">
        <v>124</v>
      </c>
      <c r="H297" s="36" t="s">
        <v>131</v>
      </c>
      <c r="I297" s="36" t="s">
        <v>708</v>
      </c>
      <c r="J297" s="36" t="s">
        <v>709</v>
      </c>
      <c r="K297" s="38" t="n">
        <v>270</v>
      </c>
      <c r="L297" s="38" t="n">
        <v>126630000</v>
      </c>
      <c r="M297" s="38" t="n">
        <v>48560850</v>
      </c>
      <c r="N297" s="39" t="n">
        <f aca="false">IF(A297="제외",0,IF(OR(N(L297)&lt;=0,N(M297)&gt;N(L297)),N(M297)/요약!$D$27,N(L297)))</f>
        <v>126630000</v>
      </c>
      <c r="O297" s="32" t="str">
        <f aca="false">IF(A297="제외","",IF(OR(N(L297)&lt;=0,N(M297)&gt;N(L297)),"택가보정(판매금액÷공급율)",""))</f>
        <v/>
      </c>
      <c r="P297" s="0" t="str">
        <f aca="false">IF(A297="HK","100",IF(A297="CN","200",IF(A297="TW","300",IF(ISNUMBER(SEARCH("태국",C297)),"500",IF(ISNUMBER(SEARCH("말레이",C297)),"600",IF(ISNUMBER(SEARCH("필리핀",C297)),"700",IF(ISNUMBER(SEARCH("인도네시아",C297)),"800",IF(ISNUMBER(SEARCH("크루즈",C297)),"810",IF(ISNUMBER(SEARCH("동물원",C297)),"830","")))))))))</f>
        <v>300</v>
      </c>
    </row>
    <row r="298" customFormat="false" ht="15" hidden="false" customHeight="false" outlineLevel="0" collapsed="false">
      <c r="A298" s="32" t="str">
        <f aca="false">IF(OR(TRIM(C298)="",SUBSTITUTE(C298," ","")="소계"),"제외",IF(ISNUMBER(SEARCH("홍콩",C298)),"HK",IF(ISNUMBER(SEARCH("상해",C298)),"CN",IF(ISNUMBER(SEARCH("대만",C298)),"TW","홀세일"))))</f>
        <v>TW</v>
      </c>
      <c r="B298" s="36" t="s">
        <v>98</v>
      </c>
      <c r="C298" s="36" t="s">
        <v>99</v>
      </c>
      <c r="D298" s="37" t="s">
        <v>664</v>
      </c>
      <c r="E298" s="36" t="n">
        <v>2026</v>
      </c>
      <c r="F298" s="37" t="s">
        <v>363</v>
      </c>
      <c r="G298" s="37" t="s">
        <v>124</v>
      </c>
      <c r="H298" s="36" t="s">
        <v>673</v>
      </c>
      <c r="I298" s="36" t="s">
        <v>710</v>
      </c>
      <c r="J298" s="37" t="s">
        <v>711</v>
      </c>
      <c r="K298" s="38" t="n">
        <v>400</v>
      </c>
      <c r="L298" s="38" t="n">
        <v>47600000</v>
      </c>
      <c r="M298" s="38" t="n">
        <v>17178000</v>
      </c>
      <c r="N298" s="39" t="n">
        <f aca="false">IF(A298="제외",0,IF(OR(N(L298)&lt;=0,N(M298)&gt;N(L298)),N(M298)/요약!$D$27,N(L298)))</f>
        <v>47600000</v>
      </c>
      <c r="O298" s="32" t="str">
        <f aca="false">IF(A298="제외","",IF(OR(N(L298)&lt;=0,N(M298)&gt;N(L298)),"택가보정(판매금액÷공급율)",""))</f>
        <v/>
      </c>
      <c r="P298" s="0" t="str">
        <f aca="false">IF(A298="HK","100",IF(A298="CN","200",IF(A298="TW","300",IF(ISNUMBER(SEARCH("태국",C298)),"500",IF(ISNUMBER(SEARCH("말레이",C298)),"600",IF(ISNUMBER(SEARCH("필리핀",C298)),"700",IF(ISNUMBER(SEARCH("인도네시아",C298)),"800",IF(ISNUMBER(SEARCH("크루즈",C298)),"810",IF(ISNUMBER(SEARCH("동물원",C298)),"830","")))))))))</f>
        <v>300</v>
      </c>
    </row>
    <row r="299" customFormat="false" ht="15" hidden="false" customHeight="false" outlineLevel="0" collapsed="false">
      <c r="A299" s="32" t="str">
        <f aca="false">IF(OR(TRIM(C299)="",SUBSTITUTE(C299," ","")="소계"),"제외",IF(ISNUMBER(SEARCH("홍콩",C299)),"HK",IF(ISNUMBER(SEARCH("상해",C299)),"CN",IF(ISNUMBER(SEARCH("대만",C299)),"TW","홀세일"))))</f>
        <v>TW</v>
      </c>
      <c r="B299" s="36" t="s">
        <v>98</v>
      </c>
      <c r="C299" s="36" t="s">
        <v>99</v>
      </c>
      <c r="D299" s="37" t="s">
        <v>664</v>
      </c>
      <c r="E299" s="36" t="n">
        <v>2026</v>
      </c>
      <c r="F299" s="37" t="s">
        <v>363</v>
      </c>
      <c r="G299" s="37" t="s">
        <v>124</v>
      </c>
      <c r="H299" s="36" t="s">
        <v>673</v>
      </c>
      <c r="I299" s="36" t="s">
        <v>712</v>
      </c>
      <c r="J299" s="37" t="s">
        <v>713</v>
      </c>
      <c r="K299" s="38" t="n">
        <v>400</v>
      </c>
      <c r="L299" s="38" t="n">
        <v>47600000</v>
      </c>
      <c r="M299" s="38" t="n">
        <v>17178000</v>
      </c>
      <c r="N299" s="39" t="n">
        <f aca="false">IF(A299="제외",0,IF(OR(N(L299)&lt;=0,N(M299)&gt;N(L299)),N(M299)/요약!$D$27,N(L299)))</f>
        <v>47600000</v>
      </c>
      <c r="O299" s="32" t="str">
        <f aca="false">IF(A299="제외","",IF(OR(N(L299)&lt;=0,N(M299)&gt;N(L299)),"택가보정(판매금액÷공급율)",""))</f>
        <v/>
      </c>
      <c r="P299" s="0" t="str">
        <f aca="false">IF(A299="HK","100",IF(A299="CN","200",IF(A299="TW","300",IF(ISNUMBER(SEARCH("태국",C299)),"500",IF(ISNUMBER(SEARCH("말레이",C299)),"600",IF(ISNUMBER(SEARCH("필리핀",C299)),"700",IF(ISNUMBER(SEARCH("인도네시아",C299)),"800",IF(ISNUMBER(SEARCH("크루즈",C299)),"810",IF(ISNUMBER(SEARCH("동물원",C299)),"830","")))))))))</f>
        <v>300</v>
      </c>
    </row>
    <row r="300" customFormat="false" ht="15" hidden="false" customHeight="false" outlineLevel="0" collapsed="false">
      <c r="A300" s="32" t="str">
        <f aca="false">IF(OR(TRIM(C300)="",SUBSTITUTE(C300," ","")="소계"),"제외",IF(ISNUMBER(SEARCH("홍콩",C300)),"HK",IF(ISNUMBER(SEARCH("상해",C300)),"CN",IF(ISNUMBER(SEARCH("대만",C300)),"TW","홀세일"))))</f>
        <v>TW</v>
      </c>
      <c r="B300" s="36" t="s">
        <v>98</v>
      </c>
      <c r="C300" s="36" t="s">
        <v>99</v>
      </c>
      <c r="D300" s="37" t="s">
        <v>664</v>
      </c>
      <c r="E300" s="36" t="n">
        <v>2026</v>
      </c>
      <c r="F300" s="37" t="s">
        <v>363</v>
      </c>
      <c r="G300" s="37" t="s">
        <v>124</v>
      </c>
      <c r="H300" s="36" t="s">
        <v>673</v>
      </c>
      <c r="I300" s="36" t="s">
        <v>714</v>
      </c>
      <c r="J300" s="37" t="s">
        <v>715</v>
      </c>
      <c r="K300" s="38" t="n">
        <v>800</v>
      </c>
      <c r="L300" s="38" t="n">
        <v>79200000</v>
      </c>
      <c r="M300" s="38" t="n">
        <v>28591200</v>
      </c>
      <c r="N300" s="39" t="n">
        <f aca="false">IF(A300="제외",0,IF(OR(N(L300)&lt;=0,N(M300)&gt;N(L300)),N(M300)/요약!$D$27,N(L300)))</f>
        <v>79200000</v>
      </c>
      <c r="O300" s="32" t="str">
        <f aca="false">IF(A300="제외","",IF(OR(N(L300)&lt;=0,N(M300)&gt;N(L300)),"택가보정(판매금액÷공급율)",""))</f>
        <v/>
      </c>
      <c r="P300" s="0" t="str">
        <f aca="false">IF(A300="HK","100",IF(A300="CN","200",IF(A300="TW","300",IF(ISNUMBER(SEARCH("태국",C300)),"500",IF(ISNUMBER(SEARCH("말레이",C300)),"600",IF(ISNUMBER(SEARCH("필리핀",C300)),"700",IF(ISNUMBER(SEARCH("인도네시아",C300)),"800",IF(ISNUMBER(SEARCH("크루즈",C300)),"810",IF(ISNUMBER(SEARCH("동물원",C300)),"830","")))))))))</f>
        <v>300</v>
      </c>
    </row>
    <row r="301" customFormat="false" ht="15" hidden="false" customHeight="false" outlineLevel="0" collapsed="false">
      <c r="A301" s="32" t="str">
        <f aca="false">IF(OR(TRIM(C301)="",SUBSTITUTE(C301," ","")="소계"),"제외",IF(ISNUMBER(SEARCH("홍콩",C301)),"HK",IF(ISNUMBER(SEARCH("상해",C301)),"CN",IF(ISNUMBER(SEARCH("대만",C301)),"TW","홀세일"))))</f>
        <v>TW</v>
      </c>
      <c r="B301" s="36" t="s">
        <v>98</v>
      </c>
      <c r="C301" s="36" t="s">
        <v>99</v>
      </c>
      <c r="D301" s="37" t="s">
        <v>664</v>
      </c>
      <c r="E301" s="36" t="n">
        <v>2026</v>
      </c>
      <c r="F301" s="37" t="s">
        <v>363</v>
      </c>
      <c r="G301" s="37" t="s">
        <v>124</v>
      </c>
      <c r="H301" s="36" t="s">
        <v>673</v>
      </c>
      <c r="I301" s="36" t="s">
        <v>716</v>
      </c>
      <c r="J301" s="37" t="s">
        <v>717</v>
      </c>
      <c r="K301" s="38" t="n">
        <v>800</v>
      </c>
      <c r="L301" s="38" t="n">
        <v>79200000</v>
      </c>
      <c r="M301" s="38" t="n">
        <v>28591200</v>
      </c>
      <c r="N301" s="39" t="n">
        <f aca="false">IF(A301="제외",0,IF(OR(N(L301)&lt;=0,N(M301)&gt;N(L301)),N(M301)/요약!$D$27,N(L301)))</f>
        <v>79200000</v>
      </c>
      <c r="O301" s="32" t="str">
        <f aca="false">IF(A301="제외","",IF(OR(N(L301)&lt;=0,N(M301)&gt;N(L301)),"택가보정(판매금액÷공급율)",""))</f>
        <v/>
      </c>
      <c r="P301" s="0" t="str">
        <f aca="false">IF(A301="HK","100",IF(A301="CN","200",IF(A301="TW","300",IF(ISNUMBER(SEARCH("태국",C301)),"500",IF(ISNUMBER(SEARCH("말레이",C301)),"600",IF(ISNUMBER(SEARCH("필리핀",C301)),"700",IF(ISNUMBER(SEARCH("인도네시아",C301)),"800",IF(ISNUMBER(SEARCH("크루즈",C301)),"810",IF(ISNUMBER(SEARCH("동물원",C301)),"830","")))))))))</f>
        <v>300</v>
      </c>
    </row>
    <row r="302" customFormat="false" ht="15" hidden="false" customHeight="false" outlineLevel="0" collapsed="false">
      <c r="A302" s="32" t="str">
        <f aca="false">IF(OR(TRIM(C302)="",SUBSTITUTE(C302," ","")="소계"),"제외",IF(ISNUMBER(SEARCH("홍콩",C302)),"HK",IF(ISNUMBER(SEARCH("상해",C302)),"CN",IF(ISNUMBER(SEARCH("대만",C302)),"TW","홀세일"))))</f>
        <v>TW</v>
      </c>
      <c r="B302" s="36" t="s">
        <v>98</v>
      </c>
      <c r="C302" s="36" t="s">
        <v>99</v>
      </c>
      <c r="D302" s="37" t="s">
        <v>664</v>
      </c>
      <c r="E302" s="36" t="n">
        <v>2026</v>
      </c>
      <c r="F302" s="37" t="s">
        <v>363</v>
      </c>
      <c r="G302" s="37" t="s">
        <v>124</v>
      </c>
      <c r="H302" s="36" t="s">
        <v>673</v>
      </c>
      <c r="I302" s="36" t="s">
        <v>718</v>
      </c>
      <c r="J302" s="37" t="s">
        <v>719</v>
      </c>
      <c r="K302" s="38" t="n">
        <v>400</v>
      </c>
      <c r="L302" s="38" t="n">
        <v>27600000</v>
      </c>
      <c r="M302" s="38" t="n">
        <v>9972400</v>
      </c>
      <c r="N302" s="39" t="n">
        <f aca="false">IF(A302="제외",0,IF(OR(N(L302)&lt;=0,N(M302)&gt;N(L302)),N(M302)/요약!$D$27,N(L302)))</f>
        <v>27600000</v>
      </c>
      <c r="O302" s="32" t="str">
        <f aca="false">IF(A302="제외","",IF(OR(N(L302)&lt;=0,N(M302)&gt;N(L302)),"택가보정(판매금액÷공급율)",""))</f>
        <v/>
      </c>
      <c r="P302" s="0" t="str">
        <f aca="false">IF(A302="HK","100",IF(A302="CN","200",IF(A302="TW","300",IF(ISNUMBER(SEARCH("태국",C302)),"500",IF(ISNUMBER(SEARCH("말레이",C302)),"600",IF(ISNUMBER(SEARCH("필리핀",C302)),"700",IF(ISNUMBER(SEARCH("인도네시아",C302)),"800",IF(ISNUMBER(SEARCH("크루즈",C302)),"810",IF(ISNUMBER(SEARCH("동물원",C302)),"830","")))))))))</f>
        <v>300</v>
      </c>
    </row>
    <row r="303" customFormat="false" ht="15" hidden="false" customHeight="false" outlineLevel="0" collapsed="false">
      <c r="A303" s="32" t="str">
        <f aca="false">IF(OR(TRIM(C303)="",SUBSTITUTE(C303," ","")="소계"),"제외",IF(ISNUMBER(SEARCH("홍콩",C303)),"HK",IF(ISNUMBER(SEARCH("상해",C303)),"CN",IF(ISNUMBER(SEARCH("대만",C303)),"TW","홀세일"))))</f>
        <v>TW</v>
      </c>
      <c r="B303" s="36" t="s">
        <v>98</v>
      </c>
      <c r="C303" s="36" t="s">
        <v>99</v>
      </c>
      <c r="D303" s="37" t="s">
        <v>664</v>
      </c>
      <c r="E303" s="36" t="n">
        <v>2026</v>
      </c>
      <c r="F303" s="37" t="s">
        <v>363</v>
      </c>
      <c r="G303" s="37" t="s">
        <v>124</v>
      </c>
      <c r="H303" s="36" t="s">
        <v>673</v>
      </c>
      <c r="I303" s="36" t="s">
        <v>720</v>
      </c>
      <c r="J303" s="37" t="s">
        <v>721</v>
      </c>
      <c r="K303" s="38" t="n">
        <v>400</v>
      </c>
      <c r="L303" s="38" t="n">
        <v>27600000</v>
      </c>
      <c r="M303" s="38" t="n">
        <v>9972400</v>
      </c>
      <c r="N303" s="39" t="n">
        <f aca="false">IF(A303="제외",0,IF(OR(N(L303)&lt;=0,N(M303)&gt;N(L303)),N(M303)/요약!$D$27,N(L303)))</f>
        <v>27600000</v>
      </c>
      <c r="O303" s="32" t="str">
        <f aca="false">IF(A303="제외","",IF(OR(N(L303)&lt;=0,N(M303)&gt;N(L303)),"택가보정(판매금액÷공급율)",""))</f>
        <v/>
      </c>
      <c r="P303" s="0" t="str">
        <f aca="false">IF(A303="HK","100",IF(A303="CN","200",IF(A303="TW","300",IF(ISNUMBER(SEARCH("태국",C303)),"500",IF(ISNUMBER(SEARCH("말레이",C303)),"600",IF(ISNUMBER(SEARCH("필리핀",C303)),"700",IF(ISNUMBER(SEARCH("인도네시아",C303)),"800",IF(ISNUMBER(SEARCH("크루즈",C303)),"810",IF(ISNUMBER(SEARCH("동물원",C303)),"830","")))))))))</f>
        <v>300</v>
      </c>
    </row>
    <row r="304" customFormat="false" ht="15" hidden="false" customHeight="false" outlineLevel="0" collapsed="false">
      <c r="A304" s="32" t="str">
        <f aca="false">IF(OR(TRIM(C304)="",SUBSTITUTE(C304," ","")="소계"),"제외",IF(ISNUMBER(SEARCH("홍콩",C304)),"HK",IF(ISNUMBER(SEARCH("상해",C304)),"CN",IF(ISNUMBER(SEARCH("대만",C304)),"TW","홀세일"))))</f>
        <v>TW</v>
      </c>
      <c r="B304" s="36" t="s">
        <v>98</v>
      </c>
      <c r="C304" s="36" t="s">
        <v>99</v>
      </c>
      <c r="D304" s="37" t="s">
        <v>664</v>
      </c>
      <c r="E304" s="36" t="n">
        <v>2026</v>
      </c>
      <c r="F304" s="37" t="s">
        <v>363</v>
      </c>
      <c r="G304" s="37" t="s">
        <v>124</v>
      </c>
      <c r="H304" s="36" t="s">
        <v>673</v>
      </c>
      <c r="I304" s="36" t="s">
        <v>722</v>
      </c>
      <c r="J304" s="37" t="s">
        <v>723</v>
      </c>
      <c r="K304" s="38" t="n">
        <v>400</v>
      </c>
      <c r="L304" s="38" t="n">
        <v>27600000</v>
      </c>
      <c r="M304" s="38" t="n">
        <v>9972400</v>
      </c>
      <c r="N304" s="39" t="n">
        <f aca="false">IF(A304="제외",0,IF(OR(N(L304)&lt;=0,N(M304)&gt;N(L304)),N(M304)/요약!$D$27,N(L304)))</f>
        <v>27600000</v>
      </c>
      <c r="O304" s="32" t="str">
        <f aca="false">IF(A304="제외","",IF(OR(N(L304)&lt;=0,N(M304)&gt;N(L304)),"택가보정(판매금액÷공급율)",""))</f>
        <v/>
      </c>
      <c r="P304" s="0" t="str">
        <f aca="false">IF(A304="HK","100",IF(A304="CN","200",IF(A304="TW","300",IF(ISNUMBER(SEARCH("태국",C304)),"500",IF(ISNUMBER(SEARCH("말레이",C304)),"600",IF(ISNUMBER(SEARCH("필리핀",C304)),"700",IF(ISNUMBER(SEARCH("인도네시아",C304)),"800",IF(ISNUMBER(SEARCH("크루즈",C304)),"810",IF(ISNUMBER(SEARCH("동물원",C304)),"830","")))))))))</f>
        <v>300</v>
      </c>
    </row>
    <row r="305" customFormat="false" ht="15" hidden="false" customHeight="false" outlineLevel="0" collapsed="false">
      <c r="A305" s="32" t="str">
        <f aca="false">IF(OR(TRIM(C305)="",SUBSTITUTE(C305," ","")="소계"),"제외",IF(ISNUMBER(SEARCH("홍콩",C305)),"HK",IF(ISNUMBER(SEARCH("상해",C305)),"CN",IF(ISNUMBER(SEARCH("대만",C305)),"TW","홀세일"))))</f>
        <v>TW</v>
      </c>
      <c r="B305" s="36" t="s">
        <v>98</v>
      </c>
      <c r="C305" s="36" t="s">
        <v>99</v>
      </c>
      <c r="D305" s="37" t="s">
        <v>664</v>
      </c>
      <c r="E305" s="36" t="n">
        <v>2026</v>
      </c>
      <c r="F305" s="37" t="s">
        <v>363</v>
      </c>
      <c r="G305" s="37" t="s">
        <v>124</v>
      </c>
      <c r="H305" s="36" t="s">
        <v>673</v>
      </c>
      <c r="I305" s="36" t="s">
        <v>724</v>
      </c>
      <c r="J305" s="37" t="s">
        <v>725</v>
      </c>
      <c r="K305" s="38" t="n">
        <v>400</v>
      </c>
      <c r="L305" s="38" t="n">
        <v>23600000</v>
      </c>
      <c r="M305" s="38" t="n">
        <v>8531200</v>
      </c>
      <c r="N305" s="39" t="n">
        <f aca="false">IF(A305="제외",0,IF(OR(N(L305)&lt;=0,N(M305)&gt;N(L305)),N(M305)/요약!$D$27,N(L305)))</f>
        <v>23600000</v>
      </c>
      <c r="O305" s="32" t="str">
        <f aca="false">IF(A305="제외","",IF(OR(N(L305)&lt;=0,N(M305)&gt;N(L305)),"택가보정(판매금액÷공급율)",""))</f>
        <v/>
      </c>
      <c r="P305" s="0" t="str">
        <f aca="false">IF(A305="HK","100",IF(A305="CN","200",IF(A305="TW","300",IF(ISNUMBER(SEARCH("태국",C305)),"500",IF(ISNUMBER(SEARCH("말레이",C305)),"600",IF(ISNUMBER(SEARCH("필리핀",C305)),"700",IF(ISNUMBER(SEARCH("인도네시아",C305)),"800",IF(ISNUMBER(SEARCH("크루즈",C305)),"810",IF(ISNUMBER(SEARCH("동물원",C305)),"830","")))))))))</f>
        <v>300</v>
      </c>
    </row>
    <row r="306" customFormat="false" ht="15" hidden="false" customHeight="false" outlineLevel="0" collapsed="false">
      <c r="A306" s="32" t="str">
        <f aca="false">IF(OR(TRIM(C306)="",SUBSTITUTE(C306," ","")="소계"),"제외",IF(ISNUMBER(SEARCH("홍콩",C306)),"HK",IF(ISNUMBER(SEARCH("상해",C306)),"CN",IF(ISNUMBER(SEARCH("대만",C306)),"TW","홀세일"))))</f>
        <v>TW</v>
      </c>
      <c r="B306" s="36" t="s">
        <v>98</v>
      </c>
      <c r="C306" s="36" t="s">
        <v>99</v>
      </c>
      <c r="D306" s="37" t="s">
        <v>664</v>
      </c>
      <c r="E306" s="36" t="n">
        <v>2026</v>
      </c>
      <c r="F306" s="37" t="s">
        <v>363</v>
      </c>
      <c r="G306" s="37" t="s">
        <v>124</v>
      </c>
      <c r="H306" s="36" t="s">
        <v>673</v>
      </c>
      <c r="I306" s="36" t="s">
        <v>726</v>
      </c>
      <c r="J306" s="37" t="s">
        <v>727</v>
      </c>
      <c r="K306" s="38" t="n">
        <v>400</v>
      </c>
      <c r="L306" s="38" t="n">
        <v>27600000</v>
      </c>
      <c r="M306" s="38" t="n">
        <v>9972400</v>
      </c>
      <c r="N306" s="39" t="n">
        <f aca="false">IF(A306="제외",0,IF(OR(N(L306)&lt;=0,N(M306)&gt;N(L306)),N(M306)/요약!$D$27,N(L306)))</f>
        <v>27600000</v>
      </c>
      <c r="O306" s="32" t="str">
        <f aca="false">IF(A306="제외","",IF(OR(N(L306)&lt;=0,N(M306)&gt;N(L306)),"택가보정(판매금액÷공급율)",""))</f>
        <v/>
      </c>
      <c r="P306" s="0" t="str">
        <f aca="false">IF(A306="HK","100",IF(A306="CN","200",IF(A306="TW","300",IF(ISNUMBER(SEARCH("태국",C306)),"500",IF(ISNUMBER(SEARCH("말레이",C306)),"600",IF(ISNUMBER(SEARCH("필리핀",C306)),"700",IF(ISNUMBER(SEARCH("인도네시아",C306)),"800",IF(ISNUMBER(SEARCH("크루즈",C306)),"810",IF(ISNUMBER(SEARCH("동물원",C306)),"830","")))))))))</f>
        <v>300</v>
      </c>
    </row>
    <row r="307" customFormat="false" ht="15" hidden="false" customHeight="false" outlineLevel="0" collapsed="false">
      <c r="A307" s="32" t="str">
        <f aca="false">IF(OR(TRIM(C307)="",SUBSTITUTE(C307," ","")="소계"),"제외",IF(ISNUMBER(SEARCH("홍콩",C307)),"HK",IF(ISNUMBER(SEARCH("상해",C307)),"CN",IF(ISNUMBER(SEARCH("대만",C307)),"TW","홀세일"))))</f>
        <v>TW</v>
      </c>
      <c r="B307" s="36" t="s">
        <v>98</v>
      </c>
      <c r="C307" s="36" t="s">
        <v>99</v>
      </c>
      <c r="D307" s="37" t="s">
        <v>664</v>
      </c>
      <c r="E307" s="36" t="n">
        <v>2026</v>
      </c>
      <c r="F307" s="37" t="s">
        <v>363</v>
      </c>
      <c r="G307" s="37" t="s">
        <v>124</v>
      </c>
      <c r="H307" s="36" t="s">
        <v>673</v>
      </c>
      <c r="I307" s="36" t="s">
        <v>728</v>
      </c>
      <c r="J307" s="37" t="s">
        <v>729</v>
      </c>
      <c r="K307" s="38" t="n">
        <v>400</v>
      </c>
      <c r="L307" s="38" t="n">
        <v>23600000</v>
      </c>
      <c r="M307" s="38" t="n">
        <v>8531200</v>
      </c>
      <c r="N307" s="39" t="n">
        <f aca="false">IF(A307="제외",0,IF(OR(N(L307)&lt;=0,N(M307)&gt;N(L307)),N(M307)/요약!$D$27,N(L307)))</f>
        <v>23600000</v>
      </c>
      <c r="O307" s="32" t="str">
        <f aca="false">IF(A307="제외","",IF(OR(N(L307)&lt;=0,N(M307)&gt;N(L307)),"택가보정(판매금액÷공급율)",""))</f>
        <v/>
      </c>
      <c r="P307" s="0" t="str">
        <f aca="false">IF(A307="HK","100",IF(A307="CN","200",IF(A307="TW","300",IF(ISNUMBER(SEARCH("태국",C307)),"500",IF(ISNUMBER(SEARCH("말레이",C307)),"600",IF(ISNUMBER(SEARCH("필리핀",C307)),"700",IF(ISNUMBER(SEARCH("인도네시아",C307)),"800",IF(ISNUMBER(SEARCH("크루즈",C307)),"810",IF(ISNUMBER(SEARCH("동물원",C307)),"830","")))))))))</f>
        <v>300</v>
      </c>
    </row>
    <row r="308" customFormat="false" ht="15" hidden="false" customHeight="false" outlineLevel="0" collapsed="false">
      <c r="A308" s="32" t="str">
        <f aca="false">IF(OR(TRIM(C308)="",SUBSTITUTE(C308," ","")="소계"),"제외",IF(ISNUMBER(SEARCH("홍콩",C308)),"HK",IF(ISNUMBER(SEARCH("상해",C308)),"CN",IF(ISNUMBER(SEARCH("대만",C308)),"TW","홀세일"))))</f>
        <v>TW</v>
      </c>
      <c r="B308" s="36" t="s">
        <v>98</v>
      </c>
      <c r="C308" s="36" t="s">
        <v>99</v>
      </c>
      <c r="D308" s="37" t="s">
        <v>664</v>
      </c>
      <c r="E308" s="36" t="n">
        <v>2026</v>
      </c>
      <c r="F308" s="37" t="s">
        <v>363</v>
      </c>
      <c r="G308" s="37" t="s">
        <v>124</v>
      </c>
      <c r="H308" s="36" t="s">
        <v>188</v>
      </c>
      <c r="I308" s="36" t="s">
        <v>730</v>
      </c>
      <c r="J308" s="36" t="s">
        <v>731</v>
      </c>
      <c r="K308" s="38" t="n">
        <v>197</v>
      </c>
      <c r="L308" s="38" t="n">
        <v>21473000</v>
      </c>
      <c r="M308" s="38" t="n">
        <v>7503139</v>
      </c>
      <c r="N308" s="39" t="n">
        <f aca="false">IF(A308="제외",0,IF(OR(N(L308)&lt;=0,N(M308)&gt;N(L308)),N(M308)/요약!$D$27,N(L308)))</f>
        <v>21473000</v>
      </c>
      <c r="O308" s="32" t="str">
        <f aca="false">IF(A308="제외","",IF(OR(N(L308)&lt;=0,N(M308)&gt;N(L308)),"택가보정(판매금액÷공급율)",""))</f>
        <v/>
      </c>
      <c r="P308" s="0" t="str">
        <f aca="false">IF(A308="HK","100",IF(A308="CN","200",IF(A308="TW","300",IF(ISNUMBER(SEARCH("태국",C308)),"500",IF(ISNUMBER(SEARCH("말레이",C308)),"600",IF(ISNUMBER(SEARCH("필리핀",C308)),"700",IF(ISNUMBER(SEARCH("인도네시아",C308)),"800",IF(ISNUMBER(SEARCH("크루즈",C308)),"810",IF(ISNUMBER(SEARCH("동물원",C308)),"830","")))))))))</f>
        <v>300</v>
      </c>
    </row>
    <row r="309" customFormat="false" ht="15" hidden="false" customHeight="false" outlineLevel="0" collapsed="false">
      <c r="A309" s="32" t="str">
        <f aca="false">IF(OR(TRIM(C309)="",SUBSTITUTE(C309," ","")="소계"),"제외",IF(ISNUMBER(SEARCH("홍콩",C309)),"HK",IF(ISNUMBER(SEARCH("상해",C309)),"CN",IF(ISNUMBER(SEARCH("대만",C309)),"TW","홀세일"))))</f>
        <v>TW</v>
      </c>
      <c r="B309" s="36" t="s">
        <v>98</v>
      </c>
      <c r="C309" s="36" t="s">
        <v>99</v>
      </c>
      <c r="D309" s="37" t="s">
        <v>664</v>
      </c>
      <c r="E309" s="36" t="n">
        <v>2026</v>
      </c>
      <c r="F309" s="37" t="s">
        <v>363</v>
      </c>
      <c r="G309" s="37" t="s">
        <v>124</v>
      </c>
      <c r="H309" s="36" t="s">
        <v>188</v>
      </c>
      <c r="I309" s="36" t="s">
        <v>732</v>
      </c>
      <c r="J309" s="36" t="s">
        <v>733</v>
      </c>
      <c r="K309" s="38" t="n">
        <v>200</v>
      </c>
      <c r="L309" s="38" t="n">
        <v>93800000</v>
      </c>
      <c r="M309" s="38" t="n">
        <v>34501600</v>
      </c>
      <c r="N309" s="39" t="n">
        <f aca="false">IF(A309="제외",0,IF(OR(N(L309)&lt;=0,N(M309)&gt;N(L309)),N(M309)/요약!$D$27,N(L309)))</f>
        <v>93800000</v>
      </c>
      <c r="O309" s="32" t="str">
        <f aca="false">IF(A309="제외","",IF(OR(N(L309)&lt;=0,N(M309)&gt;N(L309)),"택가보정(판매금액÷공급율)",""))</f>
        <v/>
      </c>
      <c r="P309" s="0" t="str">
        <f aca="false">IF(A309="HK","100",IF(A309="CN","200",IF(A309="TW","300",IF(ISNUMBER(SEARCH("태국",C309)),"500",IF(ISNUMBER(SEARCH("말레이",C309)),"600",IF(ISNUMBER(SEARCH("필리핀",C309)),"700",IF(ISNUMBER(SEARCH("인도네시아",C309)),"800",IF(ISNUMBER(SEARCH("크루즈",C309)),"810",IF(ISNUMBER(SEARCH("동물원",C309)),"830","")))))))))</f>
        <v>300</v>
      </c>
    </row>
    <row r="310" customFormat="false" ht="15" hidden="false" customHeight="false" outlineLevel="0" collapsed="false">
      <c r="A310" s="32" t="str">
        <f aca="false">IF(OR(TRIM(C310)="",SUBSTITUTE(C310," ","")="소계"),"제외",IF(ISNUMBER(SEARCH("홍콩",C310)),"HK",IF(ISNUMBER(SEARCH("상해",C310)),"CN",IF(ISNUMBER(SEARCH("대만",C310)),"TW","홀세일"))))</f>
        <v>TW</v>
      </c>
      <c r="B310" s="36" t="s">
        <v>98</v>
      </c>
      <c r="C310" s="36" t="s">
        <v>99</v>
      </c>
      <c r="D310" s="37" t="s">
        <v>664</v>
      </c>
      <c r="E310" s="36" t="n">
        <v>2026</v>
      </c>
      <c r="F310" s="37" t="s">
        <v>363</v>
      </c>
      <c r="G310" s="37" t="s">
        <v>124</v>
      </c>
      <c r="H310" s="36" t="s">
        <v>188</v>
      </c>
      <c r="I310" s="36" t="s">
        <v>734</v>
      </c>
      <c r="J310" s="36" t="s">
        <v>735</v>
      </c>
      <c r="K310" s="38" t="n">
        <v>272</v>
      </c>
      <c r="L310" s="38" t="n">
        <v>54128000</v>
      </c>
      <c r="M310" s="38" t="n">
        <v>17541008</v>
      </c>
      <c r="N310" s="39" t="n">
        <f aca="false">IF(A310="제외",0,IF(OR(N(L310)&lt;=0,N(M310)&gt;N(L310)),N(M310)/요약!$D$27,N(L310)))</f>
        <v>54128000</v>
      </c>
      <c r="O310" s="32" t="str">
        <f aca="false">IF(A310="제외","",IF(OR(N(L310)&lt;=0,N(M310)&gt;N(L310)),"택가보정(판매금액÷공급율)",""))</f>
        <v/>
      </c>
      <c r="P310" s="0" t="str">
        <f aca="false">IF(A310="HK","100",IF(A310="CN","200",IF(A310="TW","300",IF(ISNUMBER(SEARCH("태국",C310)),"500",IF(ISNUMBER(SEARCH("말레이",C310)),"600",IF(ISNUMBER(SEARCH("필리핀",C310)),"700",IF(ISNUMBER(SEARCH("인도네시아",C310)),"800",IF(ISNUMBER(SEARCH("크루즈",C310)),"810",IF(ISNUMBER(SEARCH("동물원",C310)),"830","")))))))))</f>
        <v>300</v>
      </c>
    </row>
    <row r="311" customFormat="false" ht="15" hidden="false" customHeight="false" outlineLevel="0" collapsed="false">
      <c r="A311" s="32" t="str">
        <f aca="false">IF(OR(TRIM(C311)="",SUBSTITUTE(C311," ","")="소계"),"제외",IF(ISNUMBER(SEARCH("홍콩",C311)),"HK",IF(ISNUMBER(SEARCH("상해",C311)),"CN",IF(ISNUMBER(SEARCH("대만",C311)),"TW","홀세일"))))</f>
        <v>TW</v>
      </c>
      <c r="B311" s="36" t="s">
        <v>98</v>
      </c>
      <c r="C311" s="36" t="s">
        <v>99</v>
      </c>
      <c r="D311" s="37" t="s">
        <v>664</v>
      </c>
      <c r="E311" s="36" t="n">
        <v>2026</v>
      </c>
      <c r="F311" s="37" t="s">
        <v>474</v>
      </c>
      <c r="G311" s="37" t="s">
        <v>124</v>
      </c>
      <c r="H311" s="36" t="s">
        <v>125</v>
      </c>
      <c r="I311" s="36" t="s">
        <v>736</v>
      </c>
      <c r="J311" s="37" t="s">
        <v>737</v>
      </c>
      <c r="K311" s="38" t="n">
        <v>239</v>
      </c>
      <c r="L311" s="38" t="n">
        <v>210081000</v>
      </c>
      <c r="M311" s="38" t="n">
        <v>72412318</v>
      </c>
      <c r="N311" s="39" t="n">
        <f aca="false">IF(A311="제외",0,IF(OR(N(L311)&lt;=0,N(M311)&gt;N(L311)),N(M311)/요약!$D$27,N(L311)))</f>
        <v>210081000</v>
      </c>
      <c r="O311" s="32" t="str">
        <f aca="false">IF(A311="제외","",IF(OR(N(L311)&lt;=0,N(M311)&gt;N(L311)),"택가보정(판매금액÷공급율)",""))</f>
        <v/>
      </c>
      <c r="P311" s="0" t="str">
        <f aca="false">IF(A311="HK","100",IF(A311="CN","200",IF(A311="TW","300",IF(ISNUMBER(SEARCH("태국",C311)),"500",IF(ISNUMBER(SEARCH("말레이",C311)),"600",IF(ISNUMBER(SEARCH("필리핀",C311)),"700",IF(ISNUMBER(SEARCH("인도네시아",C311)),"800",IF(ISNUMBER(SEARCH("크루즈",C311)),"810",IF(ISNUMBER(SEARCH("동물원",C311)),"830","")))))))))</f>
        <v>300</v>
      </c>
    </row>
    <row r="312" customFormat="false" ht="15" hidden="false" customHeight="false" outlineLevel="0" collapsed="false">
      <c r="A312" s="32" t="str">
        <f aca="false">IF(OR(TRIM(C312)="",SUBSTITUTE(C312," ","")="소계"),"제외",IF(ISNUMBER(SEARCH("홍콩",C312)),"HK",IF(ISNUMBER(SEARCH("상해",C312)),"CN",IF(ISNUMBER(SEARCH("대만",C312)),"TW","홀세일"))))</f>
        <v>TW</v>
      </c>
      <c r="B312" s="36" t="s">
        <v>98</v>
      </c>
      <c r="C312" s="36" t="s">
        <v>99</v>
      </c>
      <c r="D312" s="37" t="s">
        <v>664</v>
      </c>
      <c r="E312" s="36" t="n">
        <v>2026</v>
      </c>
      <c r="F312" s="37" t="s">
        <v>474</v>
      </c>
      <c r="G312" s="37" t="s">
        <v>124</v>
      </c>
      <c r="H312" s="36" t="s">
        <v>188</v>
      </c>
      <c r="I312" s="36" t="s">
        <v>738</v>
      </c>
      <c r="J312" s="36" t="s">
        <v>739</v>
      </c>
      <c r="K312" s="38" t="n">
        <v>304</v>
      </c>
      <c r="L312" s="38" t="n">
        <v>242896000</v>
      </c>
      <c r="M312" s="38" t="n">
        <v>83577280</v>
      </c>
      <c r="N312" s="39" t="n">
        <f aca="false">IF(A312="제외",0,IF(OR(N(L312)&lt;=0,N(M312)&gt;N(L312)),N(M312)/요약!$D$27,N(L312)))</f>
        <v>242896000</v>
      </c>
      <c r="O312" s="32" t="str">
        <f aca="false">IF(A312="제외","",IF(OR(N(L312)&lt;=0,N(M312)&gt;N(L312)),"택가보정(판매금액÷공급율)",""))</f>
        <v/>
      </c>
      <c r="P312" s="0" t="str">
        <f aca="false">IF(A312="HK","100",IF(A312="CN","200",IF(A312="TW","300",IF(ISNUMBER(SEARCH("태국",C312)),"500",IF(ISNUMBER(SEARCH("말레이",C312)),"600",IF(ISNUMBER(SEARCH("필리핀",C312)),"700",IF(ISNUMBER(SEARCH("인도네시아",C312)),"800",IF(ISNUMBER(SEARCH("크루즈",C312)),"810",IF(ISNUMBER(SEARCH("동물원",C312)),"830","")))))))))</f>
        <v>300</v>
      </c>
    </row>
    <row r="313" customFormat="false" ht="15" hidden="false" customHeight="false" outlineLevel="0" collapsed="false">
      <c r="A313" s="32" t="str">
        <f aca="false">IF(OR(TRIM(C313)="",SUBSTITUTE(C313," ","")="소계"),"제외",IF(ISNUMBER(SEARCH("홍콩",C313)),"HK",IF(ISNUMBER(SEARCH("상해",C313)),"CN",IF(ISNUMBER(SEARCH("대만",C313)),"TW","홀세일"))))</f>
        <v>TW</v>
      </c>
      <c r="B313" s="36" t="s">
        <v>98</v>
      </c>
      <c r="C313" s="36" t="s">
        <v>99</v>
      </c>
      <c r="D313" s="37" t="s">
        <v>664</v>
      </c>
      <c r="E313" s="36" t="n">
        <v>2026</v>
      </c>
      <c r="F313" s="37" t="s">
        <v>474</v>
      </c>
      <c r="G313" s="37" t="s">
        <v>124</v>
      </c>
      <c r="H313" s="36" t="s">
        <v>188</v>
      </c>
      <c r="I313" s="36" t="s">
        <v>740</v>
      </c>
      <c r="J313" s="36" t="s">
        <v>741</v>
      </c>
      <c r="K313" s="38" t="n">
        <v>250</v>
      </c>
      <c r="L313" s="38" t="n">
        <v>74750000</v>
      </c>
      <c r="M313" s="38" t="n">
        <v>25456750</v>
      </c>
      <c r="N313" s="39" t="n">
        <f aca="false">IF(A313="제외",0,IF(OR(N(L313)&lt;=0,N(M313)&gt;N(L313)),N(M313)/요약!$D$27,N(L313)))</f>
        <v>74750000</v>
      </c>
      <c r="O313" s="32" t="str">
        <f aca="false">IF(A313="제외","",IF(OR(N(L313)&lt;=0,N(M313)&gt;N(L313)),"택가보정(판매금액÷공급율)",""))</f>
        <v/>
      </c>
      <c r="P313" s="0" t="str">
        <f aca="false">IF(A313="HK","100",IF(A313="CN","200",IF(A313="TW","300",IF(ISNUMBER(SEARCH("태국",C313)),"500",IF(ISNUMBER(SEARCH("말레이",C313)),"600",IF(ISNUMBER(SEARCH("필리핀",C313)),"700",IF(ISNUMBER(SEARCH("인도네시아",C313)),"800",IF(ISNUMBER(SEARCH("크루즈",C313)),"810",IF(ISNUMBER(SEARCH("동물원",C313)),"830","")))))))))</f>
        <v>300</v>
      </c>
    </row>
    <row r="314" customFormat="false" ht="15" hidden="false" customHeight="false" outlineLevel="0" collapsed="false">
      <c r="A314" s="32" t="str">
        <f aca="false">IF(OR(TRIM(C314)="",SUBSTITUTE(C314," ","")="소계"),"제외",IF(ISNUMBER(SEARCH("홍콩",C314)),"HK",IF(ISNUMBER(SEARCH("상해",C314)),"CN",IF(ISNUMBER(SEARCH("대만",C314)),"TW","홀세일"))))</f>
        <v>TW</v>
      </c>
      <c r="B314" s="36" t="s">
        <v>98</v>
      </c>
      <c r="C314" s="36" t="s">
        <v>99</v>
      </c>
      <c r="D314" s="37" t="s">
        <v>664</v>
      </c>
      <c r="E314" s="36" t="n">
        <v>2026</v>
      </c>
      <c r="F314" s="37" t="s">
        <v>474</v>
      </c>
      <c r="G314" s="37" t="s">
        <v>124</v>
      </c>
      <c r="H314" s="36" t="s">
        <v>188</v>
      </c>
      <c r="I314" s="36" t="s">
        <v>742</v>
      </c>
      <c r="J314" s="36" t="s">
        <v>743</v>
      </c>
      <c r="K314" s="38" t="n">
        <v>100</v>
      </c>
      <c r="L314" s="38" t="n">
        <v>42900000</v>
      </c>
      <c r="M314" s="38" t="n">
        <v>15477400</v>
      </c>
      <c r="N314" s="39" t="n">
        <f aca="false">IF(A314="제외",0,IF(OR(N(L314)&lt;=0,N(M314)&gt;N(L314)),N(M314)/요약!$D$27,N(L314)))</f>
        <v>42900000</v>
      </c>
      <c r="O314" s="32" t="str">
        <f aca="false">IF(A314="제외","",IF(OR(N(L314)&lt;=0,N(M314)&gt;N(L314)),"택가보정(판매금액÷공급율)",""))</f>
        <v/>
      </c>
      <c r="P314" s="0" t="str">
        <f aca="false">IF(A314="HK","100",IF(A314="CN","200",IF(A314="TW","300",IF(ISNUMBER(SEARCH("태국",C314)),"500",IF(ISNUMBER(SEARCH("말레이",C314)),"600",IF(ISNUMBER(SEARCH("필리핀",C314)),"700",IF(ISNUMBER(SEARCH("인도네시아",C314)),"800",IF(ISNUMBER(SEARCH("크루즈",C314)),"810",IF(ISNUMBER(SEARCH("동물원",C314)),"830","")))))))))</f>
        <v>300</v>
      </c>
    </row>
    <row r="315" customFormat="false" ht="15" hidden="false" customHeight="false" outlineLevel="0" collapsed="false">
      <c r="A315" s="32" t="str">
        <f aca="false">IF(OR(TRIM(C315)="",SUBSTITUTE(C315," ","")="소계"),"제외",IF(ISNUMBER(SEARCH("홍콩",C315)),"HK",IF(ISNUMBER(SEARCH("상해",C315)),"CN",IF(ISNUMBER(SEARCH("대만",C315)),"TW","홀세일"))))</f>
        <v>TW</v>
      </c>
      <c r="B315" s="36" t="s">
        <v>98</v>
      </c>
      <c r="C315" s="36" t="s">
        <v>99</v>
      </c>
      <c r="D315" s="37" t="s">
        <v>664</v>
      </c>
      <c r="E315" s="36" t="n">
        <v>2026</v>
      </c>
      <c r="F315" s="37" t="s">
        <v>474</v>
      </c>
      <c r="G315" s="37" t="s">
        <v>124</v>
      </c>
      <c r="H315" s="36" t="s">
        <v>188</v>
      </c>
      <c r="I315" s="36" t="s">
        <v>744</v>
      </c>
      <c r="J315" s="36" t="s">
        <v>745</v>
      </c>
      <c r="K315" s="38" t="n">
        <v>360</v>
      </c>
      <c r="L315" s="38" t="n">
        <v>143640000</v>
      </c>
      <c r="M315" s="38" t="n">
        <v>51827760</v>
      </c>
      <c r="N315" s="39" t="n">
        <f aca="false">IF(A315="제외",0,IF(OR(N(L315)&lt;=0,N(M315)&gt;N(L315)),N(M315)/요약!$D$27,N(L315)))</f>
        <v>143640000</v>
      </c>
      <c r="O315" s="32" t="str">
        <f aca="false">IF(A315="제외","",IF(OR(N(L315)&lt;=0,N(M315)&gt;N(L315)),"택가보정(판매금액÷공급율)",""))</f>
        <v/>
      </c>
      <c r="P315" s="0" t="str">
        <f aca="false">IF(A315="HK","100",IF(A315="CN","200",IF(A315="TW","300",IF(ISNUMBER(SEARCH("태국",C315)),"500",IF(ISNUMBER(SEARCH("말레이",C315)),"600",IF(ISNUMBER(SEARCH("필리핀",C315)),"700",IF(ISNUMBER(SEARCH("인도네시아",C315)),"800",IF(ISNUMBER(SEARCH("크루즈",C315)),"810",IF(ISNUMBER(SEARCH("동물원",C315)),"830","")))))))))</f>
        <v>300</v>
      </c>
    </row>
    <row r="316" customFormat="false" ht="15" hidden="false" customHeight="false" outlineLevel="0" collapsed="false">
      <c r="A316" s="32" t="str">
        <f aca="false">IF(OR(TRIM(C316)="",SUBSTITUTE(C316," ","")="소계"),"제외",IF(ISNUMBER(SEARCH("홍콩",C316)),"HK",IF(ISNUMBER(SEARCH("상해",C316)),"CN",IF(ISNUMBER(SEARCH("대만",C316)),"TW","홀세일"))))</f>
        <v>TW</v>
      </c>
      <c r="B316" s="36" t="s">
        <v>98</v>
      </c>
      <c r="C316" s="36" t="s">
        <v>99</v>
      </c>
      <c r="D316" s="37" t="s">
        <v>664</v>
      </c>
      <c r="E316" s="36" t="n">
        <v>2026</v>
      </c>
      <c r="F316" s="37" t="s">
        <v>474</v>
      </c>
      <c r="G316" s="37" t="s">
        <v>124</v>
      </c>
      <c r="H316" s="36" t="s">
        <v>188</v>
      </c>
      <c r="I316" s="36" t="s">
        <v>746</v>
      </c>
      <c r="J316" s="36" t="s">
        <v>747</v>
      </c>
      <c r="K316" s="38" t="n">
        <v>339</v>
      </c>
      <c r="L316" s="38" t="n">
        <v>53901000</v>
      </c>
      <c r="M316" s="38" t="n">
        <v>17262129</v>
      </c>
      <c r="N316" s="39" t="n">
        <f aca="false">IF(A316="제외",0,IF(OR(N(L316)&lt;=0,N(M316)&gt;N(L316)),N(M316)/요약!$D$27,N(L316)))</f>
        <v>53901000</v>
      </c>
      <c r="O316" s="32" t="str">
        <f aca="false">IF(A316="제외","",IF(OR(N(L316)&lt;=0,N(M316)&gt;N(L316)),"택가보정(판매금액÷공급율)",""))</f>
        <v/>
      </c>
      <c r="P316" s="0" t="str">
        <f aca="false">IF(A316="HK","100",IF(A316="CN","200",IF(A316="TW","300",IF(ISNUMBER(SEARCH("태국",C316)),"500",IF(ISNUMBER(SEARCH("말레이",C316)),"600",IF(ISNUMBER(SEARCH("필리핀",C316)),"700",IF(ISNUMBER(SEARCH("인도네시아",C316)),"800",IF(ISNUMBER(SEARCH("크루즈",C316)),"810",IF(ISNUMBER(SEARCH("동물원",C316)),"830","")))))))))</f>
        <v>300</v>
      </c>
    </row>
    <row r="317" customFormat="false" ht="15" hidden="false" customHeight="false" outlineLevel="0" collapsed="false">
      <c r="A317" s="32" t="str">
        <f aca="false">IF(OR(TRIM(C317)="",SUBSTITUTE(C317," ","")="소계"),"제외",IF(ISNUMBER(SEARCH("홍콩",C317)),"HK",IF(ISNUMBER(SEARCH("상해",C317)),"CN",IF(ISNUMBER(SEARCH("대만",C317)),"TW","홀세일"))))</f>
        <v>TW</v>
      </c>
      <c r="B317" s="36" t="s">
        <v>98</v>
      </c>
      <c r="C317" s="36" t="s">
        <v>99</v>
      </c>
      <c r="D317" s="37" t="s">
        <v>664</v>
      </c>
      <c r="E317" s="36" t="n">
        <v>2026</v>
      </c>
      <c r="F317" s="37" t="s">
        <v>474</v>
      </c>
      <c r="G317" s="37" t="s">
        <v>124</v>
      </c>
      <c r="H317" s="36" t="s">
        <v>188</v>
      </c>
      <c r="I317" s="36" t="s">
        <v>748</v>
      </c>
      <c r="J317" s="36" t="s">
        <v>749</v>
      </c>
      <c r="K317" s="38" t="n">
        <v>166</v>
      </c>
      <c r="L317" s="38" t="n">
        <v>26394000</v>
      </c>
      <c r="M317" s="38" t="n">
        <v>7494236</v>
      </c>
      <c r="N317" s="39" t="n">
        <f aca="false">IF(A317="제외",0,IF(OR(N(L317)&lt;=0,N(M317)&gt;N(L317)),N(M317)/요약!$D$27,N(L317)))</f>
        <v>26394000</v>
      </c>
      <c r="O317" s="32" t="str">
        <f aca="false">IF(A317="제외","",IF(OR(N(L317)&lt;=0,N(M317)&gt;N(L317)),"택가보정(판매금액÷공급율)",""))</f>
        <v/>
      </c>
      <c r="P317" s="0" t="str">
        <f aca="false">IF(A317="HK","100",IF(A317="CN","200",IF(A317="TW","300",IF(ISNUMBER(SEARCH("태국",C317)),"500",IF(ISNUMBER(SEARCH("말레이",C317)),"600",IF(ISNUMBER(SEARCH("필리핀",C317)),"700",IF(ISNUMBER(SEARCH("인도네시아",C317)),"800",IF(ISNUMBER(SEARCH("크루즈",C317)),"810",IF(ISNUMBER(SEARCH("동물원",C317)),"830","")))))))))</f>
        <v>300</v>
      </c>
    </row>
    <row r="318" customFormat="false" ht="15" hidden="false" customHeight="false" outlineLevel="0" collapsed="false">
      <c r="A318" s="32" t="str">
        <f aca="false">IF(OR(TRIM(C318)="",SUBSTITUTE(C318," ","")="소계"),"제외",IF(ISNUMBER(SEARCH("홍콩",C318)),"HK",IF(ISNUMBER(SEARCH("상해",C318)),"CN",IF(ISNUMBER(SEARCH("대만",C318)),"TW","홀세일"))))</f>
        <v>TW</v>
      </c>
      <c r="B318" s="36" t="s">
        <v>98</v>
      </c>
      <c r="C318" s="36" t="s">
        <v>99</v>
      </c>
      <c r="D318" s="37" t="s">
        <v>664</v>
      </c>
      <c r="E318" s="36" t="n">
        <v>2026</v>
      </c>
      <c r="F318" s="36" t="s">
        <v>110</v>
      </c>
      <c r="G318" s="37" t="s">
        <v>102</v>
      </c>
      <c r="H318" s="36" t="s">
        <v>131</v>
      </c>
      <c r="I318" s="36" t="s">
        <v>750</v>
      </c>
      <c r="J318" s="37" t="s">
        <v>751</v>
      </c>
      <c r="K318" s="38" t="n">
        <v>300</v>
      </c>
      <c r="L318" s="38" t="n">
        <v>44700000</v>
      </c>
      <c r="M318" s="38" t="n">
        <v>17790156</v>
      </c>
      <c r="N318" s="39" t="n">
        <f aca="false">IF(A318="제외",0,IF(OR(N(L318)&lt;=0,N(M318)&gt;N(L318)),N(M318)/요약!$D$27,N(L318)))</f>
        <v>44700000</v>
      </c>
      <c r="O318" s="32" t="str">
        <f aca="false">IF(A318="제외","",IF(OR(N(L318)&lt;=0,N(M318)&gt;N(L318)),"택가보정(판매금액÷공급율)",""))</f>
        <v/>
      </c>
      <c r="P318" s="0" t="str">
        <f aca="false">IF(A318="HK","100",IF(A318="CN","200",IF(A318="TW","300",IF(ISNUMBER(SEARCH("태국",C318)),"500",IF(ISNUMBER(SEARCH("말레이",C318)),"600",IF(ISNUMBER(SEARCH("필리핀",C318)),"700",IF(ISNUMBER(SEARCH("인도네시아",C318)),"800",IF(ISNUMBER(SEARCH("크루즈",C318)),"810",IF(ISNUMBER(SEARCH("동물원",C318)),"830","")))))))))</f>
        <v>300</v>
      </c>
    </row>
    <row r="319" customFormat="false" ht="15" hidden="false" customHeight="false" outlineLevel="0" collapsed="false">
      <c r="A319" s="32" t="str">
        <f aca="false">IF(OR(TRIM(C319)="",SUBSTITUTE(C319," ","")="소계"),"제외",IF(ISNUMBER(SEARCH("홍콩",C319)),"HK",IF(ISNUMBER(SEARCH("상해",C319)),"CN",IF(ISNUMBER(SEARCH("대만",C319)),"TW","홀세일"))))</f>
        <v>TW</v>
      </c>
      <c r="B319" s="36" t="s">
        <v>98</v>
      </c>
      <c r="C319" s="36" t="s">
        <v>99</v>
      </c>
      <c r="D319" s="37" t="s">
        <v>664</v>
      </c>
      <c r="E319" s="36" t="n">
        <v>2026</v>
      </c>
      <c r="F319" s="36" t="s">
        <v>110</v>
      </c>
      <c r="G319" s="37" t="s">
        <v>102</v>
      </c>
      <c r="H319" s="36" t="s">
        <v>131</v>
      </c>
      <c r="I319" s="36" t="s">
        <v>752</v>
      </c>
      <c r="J319" s="37" t="s">
        <v>753</v>
      </c>
      <c r="K319" s="38" t="n">
        <v>400</v>
      </c>
      <c r="L319" s="38" t="n">
        <v>63600000</v>
      </c>
      <c r="M319" s="38" t="n">
        <v>25314800</v>
      </c>
      <c r="N319" s="39" t="n">
        <f aca="false">IF(A319="제외",0,IF(OR(N(L319)&lt;=0,N(M319)&gt;N(L319)),N(M319)/요약!$D$27,N(L319)))</f>
        <v>63600000</v>
      </c>
      <c r="O319" s="32" t="str">
        <f aca="false">IF(A319="제외","",IF(OR(N(L319)&lt;=0,N(M319)&gt;N(L319)),"택가보정(판매금액÷공급율)",""))</f>
        <v/>
      </c>
      <c r="P319" s="0" t="str">
        <f aca="false">IF(A319="HK","100",IF(A319="CN","200",IF(A319="TW","300",IF(ISNUMBER(SEARCH("태국",C319)),"500",IF(ISNUMBER(SEARCH("말레이",C319)),"600",IF(ISNUMBER(SEARCH("필리핀",C319)),"700",IF(ISNUMBER(SEARCH("인도네시아",C319)),"800",IF(ISNUMBER(SEARCH("크루즈",C319)),"810",IF(ISNUMBER(SEARCH("동물원",C319)),"830","")))))))))</f>
        <v>300</v>
      </c>
    </row>
    <row r="320" customFormat="false" ht="15" hidden="false" customHeight="false" outlineLevel="0" collapsed="false">
      <c r="A320" s="32" t="str">
        <f aca="false">IF(OR(TRIM(C320)="",SUBSTITUTE(C320," ","")="소계"),"제외",IF(ISNUMBER(SEARCH("홍콩",C320)),"HK",IF(ISNUMBER(SEARCH("상해",C320)),"CN",IF(ISNUMBER(SEARCH("대만",C320)),"TW","홀세일"))))</f>
        <v>TW</v>
      </c>
      <c r="B320" s="36" t="s">
        <v>98</v>
      </c>
      <c r="C320" s="36" t="s">
        <v>99</v>
      </c>
      <c r="D320" s="37" t="s">
        <v>664</v>
      </c>
      <c r="E320" s="36" t="n">
        <v>2026</v>
      </c>
      <c r="F320" s="36" t="s">
        <v>110</v>
      </c>
      <c r="G320" s="37" t="s">
        <v>102</v>
      </c>
      <c r="H320" s="36" t="s">
        <v>131</v>
      </c>
      <c r="I320" s="36" t="s">
        <v>754</v>
      </c>
      <c r="J320" s="37" t="s">
        <v>755</v>
      </c>
      <c r="K320" s="38" t="n">
        <v>200</v>
      </c>
      <c r="L320" s="38" t="n">
        <v>29800000</v>
      </c>
      <c r="M320" s="38" t="n">
        <v>11877600</v>
      </c>
      <c r="N320" s="39" t="n">
        <f aca="false">IF(A320="제외",0,IF(OR(N(L320)&lt;=0,N(M320)&gt;N(L320)),N(M320)/요약!$D$27,N(L320)))</f>
        <v>29800000</v>
      </c>
      <c r="O320" s="32" t="str">
        <f aca="false">IF(A320="제외","",IF(OR(N(L320)&lt;=0,N(M320)&gt;N(L320)),"택가보정(판매금액÷공급율)",""))</f>
        <v/>
      </c>
      <c r="P320" s="0" t="str">
        <f aca="false">IF(A320="HK","100",IF(A320="CN","200",IF(A320="TW","300",IF(ISNUMBER(SEARCH("태국",C320)),"500",IF(ISNUMBER(SEARCH("말레이",C320)),"600",IF(ISNUMBER(SEARCH("필리핀",C320)),"700",IF(ISNUMBER(SEARCH("인도네시아",C320)),"800",IF(ISNUMBER(SEARCH("크루즈",C320)),"810",IF(ISNUMBER(SEARCH("동물원",C320)),"830","")))))))))</f>
        <v>300</v>
      </c>
    </row>
    <row r="321" customFormat="false" ht="15" hidden="false" customHeight="false" outlineLevel="0" collapsed="false">
      <c r="A321" s="32" t="str">
        <f aca="false">IF(OR(TRIM(C321)="",SUBSTITUTE(C321," ","")="소계"),"제외",IF(ISNUMBER(SEARCH("홍콩",C321)),"HK",IF(ISNUMBER(SEARCH("상해",C321)),"CN",IF(ISNUMBER(SEARCH("대만",C321)),"TW","홀세일"))))</f>
        <v>TW</v>
      </c>
      <c r="B321" s="36" t="s">
        <v>98</v>
      </c>
      <c r="C321" s="36" t="s">
        <v>99</v>
      </c>
      <c r="D321" s="37" t="s">
        <v>664</v>
      </c>
      <c r="E321" s="36" t="n">
        <v>2026</v>
      </c>
      <c r="F321" s="36" t="s">
        <v>110</v>
      </c>
      <c r="G321" s="37" t="s">
        <v>102</v>
      </c>
      <c r="H321" s="36" t="s">
        <v>131</v>
      </c>
      <c r="I321" s="36" t="s">
        <v>756</v>
      </c>
      <c r="J321" s="37" t="s">
        <v>757</v>
      </c>
      <c r="K321" s="38" t="n">
        <v>200</v>
      </c>
      <c r="L321" s="38" t="n">
        <v>29800000</v>
      </c>
      <c r="M321" s="38" t="n">
        <v>11877600</v>
      </c>
      <c r="N321" s="39" t="n">
        <f aca="false">IF(A321="제외",0,IF(OR(N(L321)&lt;=0,N(M321)&gt;N(L321)),N(M321)/요약!$D$27,N(L321)))</f>
        <v>29800000</v>
      </c>
      <c r="O321" s="32" t="str">
        <f aca="false">IF(A321="제외","",IF(OR(N(L321)&lt;=0,N(M321)&gt;N(L321)),"택가보정(판매금액÷공급율)",""))</f>
        <v/>
      </c>
      <c r="P321" s="0" t="str">
        <f aca="false">IF(A321="HK","100",IF(A321="CN","200",IF(A321="TW","300",IF(ISNUMBER(SEARCH("태국",C321)),"500",IF(ISNUMBER(SEARCH("말레이",C321)),"600",IF(ISNUMBER(SEARCH("필리핀",C321)),"700",IF(ISNUMBER(SEARCH("인도네시아",C321)),"800",IF(ISNUMBER(SEARCH("크루즈",C321)),"810",IF(ISNUMBER(SEARCH("동물원",C321)),"830","")))))))))</f>
        <v>300</v>
      </c>
    </row>
    <row r="322" customFormat="false" ht="15" hidden="false" customHeight="false" outlineLevel="0" collapsed="false">
      <c r="A322" s="32" t="str">
        <f aca="false">IF(OR(TRIM(C322)="",SUBSTITUTE(C322," ","")="소계"),"제외",IF(ISNUMBER(SEARCH("홍콩",C322)),"HK",IF(ISNUMBER(SEARCH("상해",C322)),"CN",IF(ISNUMBER(SEARCH("대만",C322)),"TW","홀세일"))))</f>
        <v>TW</v>
      </c>
      <c r="B322" s="36" t="s">
        <v>98</v>
      </c>
      <c r="C322" s="36" t="s">
        <v>99</v>
      </c>
      <c r="D322" s="37" t="s">
        <v>664</v>
      </c>
      <c r="E322" s="36" t="n">
        <v>2026</v>
      </c>
      <c r="F322" s="36" t="s">
        <v>110</v>
      </c>
      <c r="G322" s="37" t="s">
        <v>102</v>
      </c>
      <c r="H322" s="36" t="s">
        <v>131</v>
      </c>
      <c r="I322" s="36" t="s">
        <v>758</v>
      </c>
      <c r="J322" s="37" t="s">
        <v>759</v>
      </c>
      <c r="K322" s="38" t="n">
        <v>200</v>
      </c>
      <c r="L322" s="38" t="n">
        <v>31800000</v>
      </c>
      <c r="M322" s="38" t="n">
        <v>12657400</v>
      </c>
      <c r="N322" s="39" t="n">
        <f aca="false">IF(A322="제외",0,IF(OR(N(L322)&lt;=0,N(M322)&gt;N(L322)),N(M322)/요약!$D$27,N(L322)))</f>
        <v>31800000</v>
      </c>
      <c r="O322" s="32" t="str">
        <f aca="false">IF(A322="제외","",IF(OR(N(L322)&lt;=0,N(M322)&gt;N(L322)),"택가보정(판매금액÷공급율)",""))</f>
        <v/>
      </c>
      <c r="P322" s="0" t="str">
        <f aca="false">IF(A322="HK","100",IF(A322="CN","200",IF(A322="TW","300",IF(ISNUMBER(SEARCH("태국",C322)),"500",IF(ISNUMBER(SEARCH("말레이",C322)),"600",IF(ISNUMBER(SEARCH("필리핀",C322)),"700",IF(ISNUMBER(SEARCH("인도네시아",C322)),"800",IF(ISNUMBER(SEARCH("크루즈",C322)),"810",IF(ISNUMBER(SEARCH("동물원",C322)),"830","")))))))))</f>
        <v>300</v>
      </c>
    </row>
    <row r="323" customFormat="false" ht="15" hidden="false" customHeight="false" outlineLevel="0" collapsed="false">
      <c r="A323" s="32" t="str">
        <f aca="false">IF(OR(TRIM(C323)="",SUBSTITUTE(C323," ","")="소계"),"제외",IF(ISNUMBER(SEARCH("홍콩",C323)),"HK",IF(ISNUMBER(SEARCH("상해",C323)),"CN",IF(ISNUMBER(SEARCH("대만",C323)),"TW","홀세일"))))</f>
        <v>TW</v>
      </c>
      <c r="B323" s="36" t="s">
        <v>98</v>
      </c>
      <c r="C323" s="36" t="s">
        <v>99</v>
      </c>
      <c r="D323" s="37" t="s">
        <v>664</v>
      </c>
      <c r="E323" s="36" t="n">
        <v>2026</v>
      </c>
      <c r="F323" s="36" t="s">
        <v>110</v>
      </c>
      <c r="G323" s="37" t="s">
        <v>102</v>
      </c>
      <c r="H323" s="36" t="s">
        <v>131</v>
      </c>
      <c r="I323" s="36" t="s">
        <v>760</v>
      </c>
      <c r="J323" s="37" t="s">
        <v>761</v>
      </c>
      <c r="K323" s="38" t="n">
        <v>200</v>
      </c>
      <c r="L323" s="38" t="n">
        <v>33800000</v>
      </c>
      <c r="M323" s="38" t="n">
        <v>13467400</v>
      </c>
      <c r="N323" s="39" t="n">
        <f aca="false">IF(A323="제외",0,IF(OR(N(L323)&lt;=0,N(M323)&gt;N(L323)),N(M323)/요약!$D$27,N(L323)))</f>
        <v>33800000</v>
      </c>
      <c r="O323" s="32" t="str">
        <f aca="false">IF(A323="제외","",IF(OR(N(L323)&lt;=0,N(M323)&gt;N(L323)),"택가보정(판매금액÷공급율)",""))</f>
        <v/>
      </c>
      <c r="P323" s="0" t="str">
        <f aca="false">IF(A323="HK","100",IF(A323="CN","200",IF(A323="TW","300",IF(ISNUMBER(SEARCH("태국",C323)),"500",IF(ISNUMBER(SEARCH("말레이",C323)),"600",IF(ISNUMBER(SEARCH("필리핀",C323)),"700",IF(ISNUMBER(SEARCH("인도네시아",C323)),"800",IF(ISNUMBER(SEARCH("크루즈",C323)),"810",IF(ISNUMBER(SEARCH("동물원",C323)),"830","")))))))))</f>
        <v>300</v>
      </c>
    </row>
    <row r="324" customFormat="false" ht="15" hidden="false" customHeight="false" outlineLevel="0" collapsed="false">
      <c r="A324" s="32" t="str">
        <f aca="false">IF(OR(TRIM(C324)="",SUBSTITUTE(C324," ","")="소계"),"제외",IF(ISNUMBER(SEARCH("홍콩",C324)),"HK",IF(ISNUMBER(SEARCH("상해",C324)),"CN",IF(ISNUMBER(SEARCH("대만",C324)),"TW","홀세일"))))</f>
        <v>제외</v>
      </c>
      <c r="B324" s="36" t="s">
        <v>762</v>
      </c>
      <c r="C324" s="37" t="s">
        <v>763</v>
      </c>
      <c r="D324" s="36"/>
      <c r="E324" s="36"/>
      <c r="F324" s="36"/>
      <c r="G324" s="36"/>
      <c r="H324" s="36"/>
      <c r="I324" s="36"/>
      <c r="J324" s="36"/>
      <c r="K324" s="38" t="n">
        <v>106012</v>
      </c>
      <c r="L324" s="38" t="n">
        <v>13316058000</v>
      </c>
      <c r="M324" s="38" t="n">
        <v>4774695740</v>
      </c>
      <c r="N324" s="39" t="n">
        <f aca="false">IF(A324="제외",0,IF(OR(N(L324)&lt;=0,N(M324)&gt;N(L324)),N(M324)/요약!$D$27,N(L324)))</f>
        <v>0</v>
      </c>
      <c r="O324" s="32" t="str">
        <f aca="false">IF(A324="제외","",IF(OR(N(L324)&lt;=0,N(M324)&gt;N(L324)),"택가보정(판매금액÷공급율)",""))</f>
        <v/>
      </c>
      <c r="P324" s="0" t="str">
        <f aca="false">IF(A324="HK","100",IF(A324="CN","200",IF(A324="TW","300",IF(ISNUMBER(SEARCH("태국",C324)),"500",IF(ISNUMBER(SEARCH("말레이",C324)),"600",IF(ISNUMBER(SEARCH("필리핀",C324)),"700",IF(ISNUMBER(SEARCH("인도네시아",C324)),"800",IF(ISNUMBER(SEARCH("크루즈",C324)),"810",IF(ISNUMBER(SEARCH("동물원",C324)),"830","")))))))))</f>
        <v/>
      </c>
    </row>
    <row r="325" customFormat="false" ht="15" hidden="false" customHeight="false" outlineLevel="0" collapsed="false">
      <c r="A325" s="32" t="str">
        <f aca="false">IF(OR(TRIM(C325)="",SUBSTITUTE(C325," ","")="소계"),"제외",IF(ISNUMBER(SEARCH("홍콩",C325)),"HK",IF(ISNUMBER(SEARCH("상해",C325)),"CN",IF(ISNUMBER(SEARCH("대만",C325)),"TW","홀세일"))))</f>
        <v>HK</v>
      </c>
      <c r="B325" s="36" t="s">
        <v>764</v>
      </c>
      <c r="C325" s="37" t="s">
        <v>765</v>
      </c>
      <c r="D325" s="36" t="s">
        <v>100</v>
      </c>
      <c r="E325" s="36" t="n">
        <v>2026</v>
      </c>
      <c r="F325" s="36" t="s">
        <v>110</v>
      </c>
      <c r="G325" s="37" t="s">
        <v>102</v>
      </c>
      <c r="H325" s="36" t="s">
        <v>100</v>
      </c>
      <c r="I325" s="36" t="s">
        <v>766</v>
      </c>
      <c r="J325" s="36" t="s">
        <v>767</v>
      </c>
      <c r="K325" s="38" t="n">
        <v>800</v>
      </c>
      <c r="L325" s="38" t="n">
        <v>36000000</v>
      </c>
      <c r="M325" s="38" t="n">
        <v>11300800</v>
      </c>
      <c r="N325" s="39" t="n">
        <f aca="false">IF(A325="제외",0,IF(OR(N(L325)&lt;=0,N(M325)&gt;N(L325)),N(M325)/요약!$D$27,N(L325)))</f>
        <v>36000000</v>
      </c>
      <c r="O325" s="32" t="str">
        <f aca="false">IF(A325="제외","",IF(OR(N(L325)&lt;=0,N(M325)&gt;N(L325)),"택가보정(판매금액÷공급율)",""))</f>
        <v/>
      </c>
      <c r="P325" s="0" t="str">
        <f aca="false">IF(A325="HK","100",IF(A325="CN","200",IF(A325="TW","300",IF(ISNUMBER(SEARCH("태국",C325)),"500",IF(ISNUMBER(SEARCH("말레이",C325)),"600",IF(ISNUMBER(SEARCH("필리핀",C325)),"700",IF(ISNUMBER(SEARCH("인도네시아",C325)),"800",IF(ISNUMBER(SEARCH("크루즈",C325)),"810",IF(ISNUMBER(SEARCH("동물원",C325)),"830","")))))))))</f>
        <v>100</v>
      </c>
    </row>
    <row r="326" customFormat="false" ht="15" hidden="false" customHeight="false" outlineLevel="0" collapsed="false">
      <c r="A326" s="32" t="str">
        <f aca="false">IF(OR(TRIM(C326)="",SUBSTITUTE(C326," ","")="소계"),"제외",IF(ISNUMBER(SEARCH("홍콩",C326)),"HK",IF(ISNUMBER(SEARCH("상해",C326)),"CN",IF(ISNUMBER(SEARCH("대만",C326)),"TW","홀세일"))))</f>
        <v>HK</v>
      </c>
      <c r="B326" s="36" t="s">
        <v>764</v>
      </c>
      <c r="C326" s="37" t="s">
        <v>765</v>
      </c>
      <c r="D326" s="37" t="s">
        <v>123</v>
      </c>
      <c r="E326" s="36" t="n">
        <v>2023</v>
      </c>
      <c r="F326" s="36" t="s">
        <v>110</v>
      </c>
      <c r="G326" s="37" t="s">
        <v>102</v>
      </c>
      <c r="H326" s="37" t="s">
        <v>649</v>
      </c>
      <c r="I326" s="36" t="s">
        <v>768</v>
      </c>
      <c r="J326" s="36" t="s">
        <v>769</v>
      </c>
      <c r="K326" s="38" t="n">
        <v>639</v>
      </c>
      <c r="L326" s="38" t="n">
        <v>639</v>
      </c>
      <c r="M326" s="38" t="n">
        <v>93933</v>
      </c>
      <c r="N326" s="39" t="n">
        <f aca="false">IF(A326="제외",0,IF(OR(N(L326)&lt;=0,N(M326)&gt;N(L326)),N(M326)/요약!$D$27,N(L326)))</f>
        <v>284645.454545455</v>
      </c>
      <c r="O326" s="32" t="str">
        <f aca="false">IF(A326="제외","",IF(OR(N(L326)&lt;=0,N(M326)&gt;N(L326)),"택가보정(판매금액÷공급율)",""))</f>
        <v>택가보정(판매금액÷공급율)</v>
      </c>
      <c r="P326" s="0" t="str">
        <f aca="false">IF(A326="HK","100",IF(A326="CN","200",IF(A326="TW","300",IF(ISNUMBER(SEARCH("태국",C326)),"500",IF(ISNUMBER(SEARCH("말레이",C326)),"600",IF(ISNUMBER(SEARCH("필리핀",C326)),"700",IF(ISNUMBER(SEARCH("인도네시아",C326)),"800",IF(ISNUMBER(SEARCH("크루즈",C326)),"810",IF(ISNUMBER(SEARCH("동물원",C326)),"830","")))))))))</f>
        <v>100</v>
      </c>
    </row>
    <row r="327" customFormat="false" ht="15" hidden="false" customHeight="false" outlineLevel="0" collapsed="false">
      <c r="A327" s="32" t="str">
        <f aca="false">IF(OR(TRIM(C327)="",SUBSTITUTE(C327," ","")="소계"),"제외",IF(ISNUMBER(SEARCH("홍콩",C327)),"HK",IF(ISNUMBER(SEARCH("상해",C327)),"CN",IF(ISNUMBER(SEARCH("대만",C327)),"TW","홀세일"))))</f>
        <v>HK</v>
      </c>
      <c r="B327" s="36" t="s">
        <v>764</v>
      </c>
      <c r="C327" s="37" t="s">
        <v>765</v>
      </c>
      <c r="D327" s="37" t="s">
        <v>123</v>
      </c>
      <c r="E327" s="36" t="n">
        <v>2025</v>
      </c>
      <c r="F327" s="36" t="s">
        <v>110</v>
      </c>
      <c r="G327" s="37" t="s">
        <v>770</v>
      </c>
      <c r="H327" s="37" t="s">
        <v>128</v>
      </c>
      <c r="I327" s="36" t="s">
        <v>771</v>
      </c>
      <c r="J327" s="36" t="s">
        <v>772</v>
      </c>
      <c r="K327" s="38" t="n">
        <v>180</v>
      </c>
      <c r="L327" s="38" t="n">
        <v>46620000</v>
      </c>
      <c r="M327" s="38" t="n">
        <v>23385780</v>
      </c>
      <c r="N327" s="39" t="n">
        <f aca="false">IF(A327="제외",0,IF(OR(N(L327)&lt;=0,N(M327)&gt;N(L327)),N(M327)/요약!$D$27,N(L327)))</f>
        <v>46620000</v>
      </c>
      <c r="O327" s="32" t="str">
        <f aca="false">IF(A327="제외","",IF(OR(N(L327)&lt;=0,N(M327)&gt;N(L327)),"택가보정(판매금액÷공급율)",""))</f>
        <v/>
      </c>
      <c r="P327" s="0" t="str">
        <f aca="false">IF(A327="HK","100",IF(A327="CN","200",IF(A327="TW","300",IF(ISNUMBER(SEARCH("태국",C327)),"500",IF(ISNUMBER(SEARCH("말레이",C327)),"600",IF(ISNUMBER(SEARCH("필리핀",C327)),"700",IF(ISNUMBER(SEARCH("인도네시아",C327)),"800",IF(ISNUMBER(SEARCH("크루즈",C327)),"810",IF(ISNUMBER(SEARCH("동물원",C327)),"830","")))))))))</f>
        <v>100</v>
      </c>
    </row>
    <row r="328" customFormat="false" ht="15" hidden="false" customHeight="false" outlineLevel="0" collapsed="false">
      <c r="A328" s="32" t="str">
        <f aca="false">IF(OR(TRIM(C328)="",SUBSTITUTE(C328," ","")="소계"),"제외",IF(ISNUMBER(SEARCH("홍콩",C328)),"HK",IF(ISNUMBER(SEARCH("상해",C328)),"CN",IF(ISNUMBER(SEARCH("대만",C328)),"TW","홀세일"))))</f>
        <v>HK</v>
      </c>
      <c r="B328" s="36" t="s">
        <v>764</v>
      </c>
      <c r="C328" s="37" t="s">
        <v>765</v>
      </c>
      <c r="D328" s="37" t="s">
        <v>123</v>
      </c>
      <c r="E328" s="36" t="n">
        <v>2025</v>
      </c>
      <c r="F328" s="36" t="s">
        <v>110</v>
      </c>
      <c r="G328" s="37" t="s">
        <v>649</v>
      </c>
      <c r="H328" s="37" t="s">
        <v>773</v>
      </c>
      <c r="I328" s="36" t="s">
        <v>774</v>
      </c>
      <c r="J328" s="36" t="s">
        <v>775</v>
      </c>
      <c r="K328" s="38" t="n">
        <v>250</v>
      </c>
      <c r="L328" s="38" t="n">
        <v>27250000</v>
      </c>
      <c r="M328" s="38" t="n">
        <v>6123750</v>
      </c>
      <c r="N328" s="39" t="n">
        <f aca="false">IF(A328="제외",0,IF(OR(N(L328)&lt;=0,N(M328)&gt;N(L328)),N(M328)/요약!$D$27,N(L328)))</f>
        <v>27250000</v>
      </c>
      <c r="O328" s="32" t="str">
        <f aca="false">IF(A328="제외","",IF(OR(N(L328)&lt;=0,N(M328)&gt;N(L328)),"택가보정(판매금액÷공급율)",""))</f>
        <v/>
      </c>
      <c r="P328" s="0" t="str">
        <f aca="false">IF(A328="HK","100",IF(A328="CN","200",IF(A328="TW","300",IF(ISNUMBER(SEARCH("태국",C328)),"500",IF(ISNUMBER(SEARCH("말레이",C328)),"600",IF(ISNUMBER(SEARCH("필리핀",C328)),"700",IF(ISNUMBER(SEARCH("인도네시아",C328)),"800",IF(ISNUMBER(SEARCH("크루즈",C328)),"810",IF(ISNUMBER(SEARCH("동물원",C328)),"830","")))))))))</f>
        <v>100</v>
      </c>
    </row>
    <row r="329" customFormat="false" ht="15" hidden="false" customHeight="false" outlineLevel="0" collapsed="false">
      <c r="A329" s="32" t="str">
        <f aca="false">IF(OR(TRIM(C329)="",SUBSTITUTE(C329," ","")="소계"),"제외",IF(ISNUMBER(SEARCH("홍콩",C329)),"HK",IF(ISNUMBER(SEARCH("상해",C329)),"CN",IF(ISNUMBER(SEARCH("대만",C329)),"TW","홀세일"))))</f>
        <v>HK</v>
      </c>
      <c r="B329" s="36" t="s">
        <v>764</v>
      </c>
      <c r="C329" s="37" t="s">
        <v>765</v>
      </c>
      <c r="D329" s="37" t="s">
        <v>123</v>
      </c>
      <c r="E329" s="36" t="n">
        <v>2025</v>
      </c>
      <c r="F329" s="36" t="s">
        <v>110</v>
      </c>
      <c r="G329" s="37" t="s">
        <v>360</v>
      </c>
      <c r="H329" s="37" t="s">
        <v>128</v>
      </c>
      <c r="I329" s="36" t="s">
        <v>776</v>
      </c>
      <c r="J329" s="36" t="s">
        <v>777</v>
      </c>
      <c r="K329" s="38" t="n">
        <v>110</v>
      </c>
      <c r="L329" s="38" t="n">
        <v>11990000</v>
      </c>
      <c r="M329" s="38" t="n">
        <v>5092560</v>
      </c>
      <c r="N329" s="39" t="n">
        <f aca="false">IF(A329="제외",0,IF(OR(N(L329)&lt;=0,N(M329)&gt;N(L329)),N(M329)/요약!$D$27,N(L329)))</f>
        <v>11990000</v>
      </c>
      <c r="O329" s="32" t="str">
        <f aca="false">IF(A329="제외","",IF(OR(N(L329)&lt;=0,N(M329)&gt;N(L329)),"택가보정(판매금액÷공급율)",""))</f>
        <v/>
      </c>
      <c r="P329" s="0" t="str">
        <f aca="false">IF(A329="HK","100",IF(A329="CN","200",IF(A329="TW","300",IF(ISNUMBER(SEARCH("태국",C329)),"500",IF(ISNUMBER(SEARCH("말레이",C329)),"600",IF(ISNUMBER(SEARCH("필리핀",C329)),"700",IF(ISNUMBER(SEARCH("인도네시아",C329)),"800",IF(ISNUMBER(SEARCH("크루즈",C329)),"810",IF(ISNUMBER(SEARCH("동물원",C329)),"830","")))))))))</f>
        <v>100</v>
      </c>
    </row>
    <row r="330" customFormat="false" ht="15" hidden="false" customHeight="false" outlineLevel="0" collapsed="false">
      <c r="A330" s="32" t="str">
        <f aca="false">IF(OR(TRIM(C330)="",SUBSTITUTE(C330," ","")="소계"),"제외",IF(ISNUMBER(SEARCH("홍콩",C330)),"HK",IF(ISNUMBER(SEARCH("상해",C330)),"CN",IF(ISNUMBER(SEARCH("대만",C330)),"TW","홀세일"))))</f>
        <v>HK</v>
      </c>
      <c r="B330" s="36" t="s">
        <v>764</v>
      </c>
      <c r="C330" s="37" t="s">
        <v>765</v>
      </c>
      <c r="D330" s="37" t="s">
        <v>123</v>
      </c>
      <c r="E330" s="36" t="n">
        <v>2026</v>
      </c>
      <c r="F330" s="37" t="s">
        <v>101</v>
      </c>
      <c r="G330" s="37" t="s">
        <v>124</v>
      </c>
      <c r="H330" s="36" t="s">
        <v>131</v>
      </c>
      <c r="I330" s="36" t="s">
        <v>778</v>
      </c>
      <c r="J330" s="36" t="s">
        <v>779</v>
      </c>
      <c r="K330" s="38" t="n">
        <v>90</v>
      </c>
      <c r="L330" s="38" t="n">
        <v>12510000</v>
      </c>
      <c r="M330" s="38" t="n">
        <v>4539510</v>
      </c>
      <c r="N330" s="39" t="n">
        <f aca="false">IF(A330="제외",0,IF(OR(N(L330)&lt;=0,N(M330)&gt;N(L330)),N(M330)/요약!$D$27,N(L330)))</f>
        <v>12510000</v>
      </c>
      <c r="O330" s="32" t="str">
        <f aca="false">IF(A330="제외","",IF(OR(N(L330)&lt;=0,N(M330)&gt;N(L330)),"택가보정(판매금액÷공급율)",""))</f>
        <v/>
      </c>
      <c r="P330" s="0" t="str">
        <f aca="false">IF(A330="HK","100",IF(A330="CN","200",IF(A330="TW","300",IF(ISNUMBER(SEARCH("태국",C330)),"500",IF(ISNUMBER(SEARCH("말레이",C330)),"600",IF(ISNUMBER(SEARCH("필리핀",C330)),"700",IF(ISNUMBER(SEARCH("인도네시아",C330)),"800",IF(ISNUMBER(SEARCH("크루즈",C330)),"810",IF(ISNUMBER(SEARCH("동물원",C330)),"830","")))))))))</f>
        <v>100</v>
      </c>
    </row>
    <row r="331" customFormat="false" ht="15" hidden="false" customHeight="false" outlineLevel="0" collapsed="false">
      <c r="A331" s="32" t="str">
        <f aca="false">IF(OR(TRIM(C331)="",SUBSTITUTE(C331," ","")="소계"),"제외",IF(ISNUMBER(SEARCH("홍콩",C331)),"HK",IF(ISNUMBER(SEARCH("상해",C331)),"CN",IF(ISNUMBER(SEARCH("대만",C331)),"TW","홀세일"))))</f>
        <v>HK</v>
      </c>
      <c r="B331" s="36" t="s">
        <v>764</v>
      </c>
      <c r="C331" s="37" t="s">
        <v>765</v>
      </c>
      <c r="D331" s="37" t="s">
        <v>123</v>
      </c>
      <c r="E331" s="36" t="n">
        <v>2026</v>
      </c>
      <c r="F331" s="37" t="s">
        <v>101</v>
      </c>
      <c r="G331" s="37" t="s">
        <v>124</v>
      </c>
      <c r="H331" s="36" t="s">
        <v>125</v>
      </c>
      <c r="I331" s="36" t="s">
        <v>780</v>
      </c>
      <c r="J331" s="37" t="s">
        <v>781</v>
      </c>
      <c r="K331" s="38" t="n">
        <v>110</v>
      </c>
      <c r="L331" s="38" t="n">
        <v>17490000</v>
      </c>
      <c r="M331" s="38" t="n">
        <v>6334130</v>
      </c>
      <c r="N331" s="39" t="n">
        <f aca="false">IF(A331="제외",0,IF(OR(N(L331)&lt;=0,N(M331)&gt;N(L331)),N(M331)/요약!$D$27,N(L331)))</f>
        <v>17490000</v>
      </c>
      <c r="O331" s="32" t="str">
        <f aca="false">IF(A331="제외","",IF(OR(N(L331)&lt;=0,N(M331)&gt;N(L331)),"택가보정(판매금액÷공급율)",""))</f>
        <v/>
      </c>
      <c r="P331" s="0" t="str">
        <f aca="false">IF(A331="HK","100",IF(A331="CN","200",IF(A331="TW","300",IF(ISNUMBER(SEARCH("태국",C331)),"500",IF(ISNUMBER(SEARCH("말레이",C331)),"600",IF(ISNUMBER(SEARCH("필리핀",C331)),"700",IF(ISNUMBER(SEARCH("인도네시아",C331)),"800",IF(ISNUMBER(SEARCH("크루즈",C331)),"810",IF(ISNUMBER(SEARCH("동물원",C331)),"830","")))))))))</f>
        <v>100</v>
      </c>
    </row>
    <row r="332" customFormat="false" ht="15" hidden="false" customHeight="false" outlineLevel="0" collapsed="false">
      <c r="A332" s="32" t="str">
        <f aca="false">IF(OR(TRIM(C332)="",SUBSTITUTE(C332," ","")="소계"),"제외",IF(ISNUMBER(SEARCH("홍콩",C332)),"HK",IF(ISNUMBER(SEARCH("상해",C332)),"CN",IF(ISNUMBER(SEARCH("대만",C332)),"TW","홀세일"))))</f>
        <v>HK</v>
      </c>
      <c r="B332" s="36" t="s">
        <v>764</v>
      </c>
      <c r="C332" s="37" t="s">
        <v>765</v>
      </c>
      <c r="D332" s="37" t="s">
        <v>123</v>
      </c>
      <c r="E332" s="36" t="n">
        <v>2026</v>
      </c>
      <c r="F332" s="37" t="s">
        <v>101</v>
      </c>
      <c r="G332" s="37" t="s">
        <v>124</v>
      </c>
      <c r="H332" s="36" t="s">
        <v>131</v>
      </c>
      <c r="I332" s="36" t="s">
        <v>782</v>
      </c>
      <c r="J332" s="36" t="s">
        <v>783</v>
      </c>
      <c r="K332" s="38" t="n">
        <v>80</v>
      </c>
      <c r="L332" s="38" t="n">
        <v>22320000</v>
      </c>
      <c r="M332" s="38" t="n">
        <v>8576640</v>
      </c>
      <c r="N332" s="39" t="n">
        <f aca="false">IF(A332="제외",0,IF(OR(N(L332)&lt;=0,N(M332)&gt;N(L332)),N(M332)/요약!$D$27,N(L332)))</f>
        <v>22320000</v>
      </c>
      <c r="O332" s="32" t="str">
        <f aca="false">IF(A332="제외","",IF(OR(N(L332)&lt;=0,N(M332)&gt;N(L332)),"택가보정(판매금액÷공급율)",""))</f>
        <v/>
      </c>
      <c r="P332" s="0" t="str">
        <f aca="false">IF(A332="HK","100",IF(A332="CN","200",IF(A332="TW","300",IF(ISNUMBER(SEARCH("태국",C332)),"500",IF(ISNUMBER(SEARCH("말레이",C332)),"600",IF(ISNUMBER(SEARCH("필리핀",C332)),"700",IF(ISNUMBER(SEARCH("인도네시아",C332)),"800",IF(ISNUMBER(SEARCH("크루즈",C332)),"810",IF(ISNUMBER(SEARCH("동물원",C332)),"830","")))))))))</f>
        <v>100</v>
      </c>
    </row>
    <row r="333" customFormat="false" ht="15" hidden="false" customHeight="false" outlineLevel="0" collapsed="false">
      <c r="A333" s="32" t="str">
        <f aca="false">IF(OR(TRIM(C333)="",SUBSTITUTE(C333," ","")="소계"),"제외",IF(ISNUMBER(SEARCH("홍콩",C333)),"HK",IF(ISNUMBER(SEARCH("상해",C333)),"CN",IF(ISNUMBER(SEARCH("대만",C333)),"TW","홀세일"))))</f>
        <v>HK</v>
      </c>
      <c r="B333" s="36" t="s">
        <v>764</v>
      </c>
      <c r="C333" s="37" t="s">
        <v>765</v>
      </c>
      <c r="D333" s="37" t="s">
        <v>123</v>
      </c>
      <c r="E333" s="36" t="n">
        <v>2026</v>
      </c>
      <c r="F333" s="37" t="s">
        <v>101</v>
      </c>
      <c r="G333" s="37" t="s">
        <v>124</v>
      </c>
      <c r="H333" s="36" t="s">
        <v>125</v>
      </c>
      <c r="I333" s="36" t="s">
        <v>784</v>
      </c>
      <c r="J333" s="37" t="s">
        <v>785</v>
      </c>
      <c r="K333" s="38" t="n">
        <v>100</v>
      </c>
      <c r="L333" s="38" t="n">
        <v>21900000</v>
      </c>
      <c r="M333" s="38" t="n">
        <v>8433200</v>
      </c>
      <c r="N333" s="39" t="n">
        <f aca="false">IF(A333="제외",0,IF(OR(N(L333)&lt;=0,N(M333)&gt;N(L333)),N(M333)/요약!$D$27,N(L333)))</f>
        <v>21900000</v>
      </c>
      <c r="O333" s="32" t="str">
        <f aca="false">IF(A333="제외","",IF(OR(N(L333)&lt;=0,N(M333)&gt;N(L333)),"택가보정(판매금액÷공급율)",""))</f>
        <v/>
      </c>
      <c r="P333" s="0" t="str">
        <f aca="false">IF(A333="HK","100",IF(A333="CN","200",IF(A333="TW","300",IF(ISNUMBER(SEARCH("태국",C333)),"500",IF(ISNUMBER(SEARCH("말레이",C333)),"600",IF(ISNUMBER(SEARCH("필리핀",C333)),"700",IF(ISNUMBER(SEARCH("인도네시아",C333)),"800",IF(ISNUMBER(SEARCH("크루즈",C333)),"810",IF(ISNUMBER(SEARCH("동물원",C333)),"830","")))))))))</f>
        <v>100</v>
      </c>
    </row>
    <row r="334" customFormat="false" ht="15" hidden="false" customHeight="false" outlineLevel="0" collapsed="false">
      <c r="A334" s="32" t="str">
        <f aca="false">IF(OR(TRIM(C334)="",SUBSTITUTE(C334," ","")="소계"),"제외",IF(ISNUMBER(SEARCH("홍콩",C334)),"HK",IF(ISNUMBER(SEARCH("상해",C334)),"CN",IF(ISNUMBER(SEARCH("대만",C334)),"TW","홀세일"))))</f>
        <v>HK</v>
      </c>
      <c r="B334" s="36" t="s">
        <v>764</v>
      </c>
      <c r="C334" s="37" t="s">
        <v>765</v>
      </c>
      <c r="D334" s="37" t="s">
        <v>123</v>
      </c>
      <c r="E334" s="36" t="n">
        <v>2026</v>
      </c>
      <c r="F334" s="37" t="s">
        <v>101</v>
      </c>
      <c r="G334" s="37" t="s">
        <v>124</v>
      </c>
      <c r="H334" s="36" t="s">
        <v>125</v>
      </c>
      <c r="I334" s="36" t="s">
        <v>786</v>
      </c>
      <c r="J334" s="36" t="s">
        <v>787</v>
      </c>
      <c r="K334" s="38" t="n">
        <v>220</v>
      </c>
      <c r="L334" s="38" t="n">
        <v>56980000</v>
      </c>
      <c r="M334" s="38" t="n">
        <v>21847320</v>
      </c>
      <c r="N334" s="39" t="n">
        <f aca="false">IF(A334="제외",0,IF(OR(N(L334)&lt;=0,N(M334)&gt;N(L334)),N(M334)/요약!$D$27,N(L334)))</f>
        <v>56980000</v>
      </c>
      <c r="O334" s="32" t="str">
        <f aca="false">IF(A334="제외","",IF(OR(N(L334)&lt;=0,N(M334)&gt;N(L334)),"택가보정(판매금액÷공급율)",""))</f>
        <v/>
      </c>
      <c r="P334" s="0" t="str">
        <f aca="false">IF(A334="HK","100",IF(A334="CN","200",IF(A334="TW","300",IF(ISNUMBER(SEARCH("태국",C334)),"500",IF(ISNUMBER(SEARCH("말레이",C334)),"600",IF(ISNUMBER(SEARCH("필리핀",C334)),"700",IF(ISNUMBER(SEARCH("인도네시아",C334)),"800",IF(ISNUMBER(SEARCH("크루즈",C334)),"810",IF(ISNUMBER(SEARCH("동물원",C334)),"830","")))))))))</f>
        <v>100</v>
      </c>
    </row>
    <row r="335" customFormat="false" ht="15" hidden="false" customHeight="false" outlineLevel="0" collapsed="false">
      <c r="A335" s="32" t="str">
        <f aca="false">IF(OR(TRIM(C335)="",SUBSTITUTE(C335," ","")="소계"),"제외",IF(ISNUMBER(SEARCH("홍콩",C335)),"HK",IF(ISNUMBER(SEARCH("상해",C335)),"CN",IF(ISNUMBER(SEARCH("대만",C335)),"TW","홀세일"))))</f>
        <v>HK</v>
      </c>
      <c r="B335" s="36" t="s">
        <v>764</v>
      </c>
      <c r="C335" s="37" t="s">
        <v>765</v>
      </c>
      <c r="D335" s="37" t="s">
        <v>123</v>
      </c>
      <c r="E335" s="36" t="n">
        <v>2026</v>
      </c>
      <c r="F335" s="37" t="s">
        <v>101</v>
      </c>
      <c r="G335" s="37" t="s">
        <v>124</v>
      </c>
      <c r="H335" s="36" t="s">
        <v>131</v>
      </c>
      <c r="I335" s="36" t="s">
        <v>788</v>
      </c>
      <c r="J335" s="36" t="s">
        <v>789</v>
      </c>
      <c r="K335" s="38" t="n">
        <v>70</v>
      </c>
      <c r="L335" s="38" t="n">
        <v>13930000</v>
      </c>
      <c r="M335" s="38" t="n">
        <v>5052600</v>
      </c>
      <c r="N335" s="39" t="n">
        <f aca="false">IF(A335="제외",0,IF(OR(N(L335)&lt;=0,N(M335)&gt;N(L335)),N(M335)/요약!$D$27,N(L335)))</f>
        <v>13930000</v>
      </c>
      <c r="O335" s="32" t="str">
        <f aca="false">IF(A335="제외","",IF(OR(N(L335)&lt;=0,N(M335)&gt;N(L335)),"택가보정(판매금액÷공급율)",""))</f>
        <v/>
      </c>
      <c r="P335" s="0" t="str">
        <f aca="false">IF(A335="HK","100",IF(A335="CN","200",IF(A335="TW","300",IF(ISNUMBER(SEARCH("태국",C335)),"500",IF(ISNUMBER(SEARCH("말레이",C335)),"600",IF(ISNUMBER(SEARCH("필리핀",C335)),"700",IF(ISNUMBER(SEARCH("인도네시아",C335)),"800",IF(ISNUMBER(SEARCH("크루즈",C335)),"810",IF(ISNUMBER(SEARCH("동물원",C335)),"830","")))))))))</f>
        <v>100</v>
      </c>
    </row>
    <row r="336" customFormat="false" ht="15" hidden="false" customHeight="false" outlineLevel="0" collapsed="false">
      <c r="A336" s="32" t="str">
        <f aca="false">IF(OR(TRIM(C336)="",SUBSTITUTE(C336," ","")="소계"),"제외",IF(ISNUMBER(SEARCH("홍콩",C336)),"HK",IF(ISNUMBER(SEARCH("상해",C336)),"CN",IF(ISNUMBER(SEARCH("대만",C336)),"TW","홀세일"))))</f>
        <v>HK</v>
      </c>
      <c r="B336" s="36" t="s">
        <v>764</v>
      </c>
      <c r="C336" s="37" t="s">
        <v>765</v>
      </c>
      <c r="D336" s="37" t="s">
        <v>123</v>
      </c>
      <c r="E336" s="36" t="n">
        <v>2026</v>
      </c>
      <c r="F336" s="37" t="s">
        <v>101</v>
      </c>
      <c r="G336" s="37" t="s">
        <v>124</v>
      </c>
      <c r="H336" s="36" t="s">
        <v>131</v>
      </c>
      <c r="I336" s="36" t="s">
        <v>790</v>
      </c>
      <c r="J336" s="37" t="s">
        <v>791</v>
      </c>
      <c r="K336" s="38" t="n">
        <v>210</v>
      </c>
      <c r="L336" s="38" t="n">
        <v>27090000</v>
      </c>
      <c r="M336" s="38" t="n">
        <v>9831360</v>
      </c>
      <c r="N336" s="39" t="n">
        <f aca="false">IF(A336="제외",0,IF(OR(N(L336)&lt;=0,N(M336)&gt;N(L336)),N(M336)/요약!$D$27,N(L336)))</f>
        <v>27090000</v>
      </c>
      <c r="O336" s="32" t="str">
        <f aca="false">IF(A336="제외","",IF(OR(N(L336)&lt;=0,N(M336)&gt;N(L336)),"택가보정(판매금액÷공급율)",""))</f>
        <v/>
      </c>
      <c r="P336" s="0" t="str">
        <f aca="false">IF(A336="HK","100",IF(A336="CN","200",IF(A336="TW","300",IF(ISNUMBER(SEARCH("태국",C336)),"500",IF(ISNUMBER(SEARCH("말레이",C336)),"600",IF(ISNUMBER(SEARCH("필리핀",C336)),"700",IF(ISNUMBER(SEARCH("인도네시아",C336)),"800",IF(ISNUMBER(SEARCH("크루즈",C336)),"810",IF(ISNUMBER(SEARCH("동물원",C336)),"830","")))))))))</f>
        <v>100</v>
      </c>
    </row>
    <row r="337" customFormat="false" ht="15" hidden="false" customHeight="false" outlineLevel="0" collapsed="false">
      <c r="A337" s="32" t="str">
        <f aca="false">IF(OR(TRIM(C337)="",SUBSTITUTE(C337," ","")="소계"),"제외",IF(ISNUMBER(SEARCH("홍콩",C337)),"HK",IF(ISNUMBER(SEARCH("상해",C337)),"CN",IF(ISNUMBER(SEARCH("대만",C337)),"TW","홀세일"))))</f>
        <v>HK</v>
      </c>
      <c r="B337" s="36" t="s">
        <v>764</v>
      </c>
      <c r="C337" s="37" t="s">
        <v>765</v>
      </c>
      <c r="D337" s="37" t="s">
        <v>123</v>
      </c>
      <c r="E337" s="36" t="n">
        <v>2026</v>
      </c>
      <c r="F337" s="37" t="s">
        <v>101</v>
      </c>
      <c r="G337" s="37" t="s">
        <v>124</v>
      </c>
      <c r="H337" s="36" t="s">
        <v>131</v>
      </c>
      <c r="I337" s="36" t="s">
        <v>792</v>
      </c>
      <c r="J337" s="37" t="s">
        <v>793</v>
      </c>
      <c r="K337" s="38" t="n">
        <v>300</v>
      </c>
      <c r="L337" s="38" t="n">
        <v>44700000</v>
      </c>
      <c r="M337" s="38" t="n">
        <v>16189800</v>
      </c>
      <c r="N337" s="39" t="n">
        <f aca="false">IF(A337="제외",0,IF(OR(N(L337)&lt;=0,N(M337)&gt;N(L337)),N(M337)/요약!$D$27,N(L337)))</f>
        <v>44700000</v>
      </c>
      <c r="O337" s="32" t="str">
        <f aca="false">IF(A337="제외","",IF(OR(N(L337)&lt;=0,N(M337)&gt;N(L337)),"택가보정(판매금액÷공급율)",""))</f>
        <v/>
      </c>
      <c r="P337" s="0" t="str">
        <f aca="false">IF(A337="HK","100",IF(A337="CN","200",IF(A337="TW","300",IF(ISNUMBER(SEARCH("태국",C337)),"500",IF(ISNUMBER(SEARCH("말레이",C337)),"600",IF(ISNUMBER(SEARCH("필리핀",C337)),"700",IF(ISNUMBER(SEARCH("인도네시아",C337)),"800",IF(ISNUMBER(SEARCH("크루즈",C337)),"810",IF(ISNUMBER(SEARCH("동물원",C337)),"830","")))))))))</f>
        <v>100</v>
      </c>
    </row>
    <row r="338" customFormat="false" ht="15" hidden="false" customHeight="false" outlineLevel="0" collapsed="false">
      <c r="A338" s="32" t="str">
        <f aca="false">IF(OR(TRIM(C338)="",SUBSTITUTE(C338," ","")="소계"),"제외",IF(ISNUMBER(SEARCH("홍콩",C338)),"HK",IF(ISNUMBER(SEARCH("상해",C338)),"CN",IF(ISNUMBER(SEARCH("대만",C338)),"TW","홀세일"))))</f>
        <v>HK</v>
      </c>
      <c r="B338" s="36" t="s">
        <v>764</v>
      </c>
      <c r="C338" s="37" t="s">
        <v>765</v>
      </c>
      <c r="D338" s="37" t="s">
        <v>123</v>
      </c>
      <c r="E338" s="36" t="n">
        <v>2026</v>
      </c>
      <c r="F338" s="37" t="s">
        <v>101</v>
      </c>
      <c r="G338" s="37" t="s">
        <v>124</v>
      </c>
      <c r="H338" s="36" t="s">
        <v>131</v>
      </c>
      <c r="I338" s="36" t="s">
        <v>162</v>
      </c>
      <c r="J338" s="37" t="s">
        <v>163</v>
      </c>
      <c r="K338" s="38" t="n">
        <v>550</v>
      </c>
      <c r="L338" s="38" t="n">
        <v>109450000</v>
      </c>
      <c r="M338" s="38" t="n">
        <v>42874150</v>
      </c>
      <c r="N338" s="39" t="n">
        <f aca="false">IF(A338="제외",0,IF(OR(N(L338)&lt;=0,N(M338)&gt;N(L338)),N(M338)/요약!$D$27,N(L338)))</f>
        <v>109450000</v>
      </c>
      <c r="O338" s="32" t="str">
        <f aca="false">IF(A338="제외","",IF(OR(N(L338)&lt;=0,N(M338)&gt;N(L338)),"택가보정(판매금액÷공급율)",""))</f>
        <v/>
      </c>
      <c r="P338" s="0" t="str">
        <f aca="false">IF(A338="HK","100",IF(A338="CN","200",IF(A338="TW","300",IF(ISNUMBER(SEARCH("태국",C338)),"500",IF(ISNUMBER(SEARCH("말레이",C338)),"600",IF(ISNUMBER(SEARCH("필리핀",C338)),"700",IF(ISNUMBER(SEARCH("인도네시아",C338)),"800",IF(ISNUMBER(SEARCH("크루즈",C338)),"810",IF(ISNUMBER(SEARCH("동물원",C338)),"830","")))))))))</f>
        <v>100</v>
      </c>
    </row>
    <row r="339" customFormat="false" ht="15" hidden="false" customHeight="false" outlineLevel="0" collapsed="false">
      <c r="A339" s="32" t="str">
        <f aca="false">IF(OR(TRIM(C339)="",SUBSTITUTE(C339," ","")="소계"),"제외",IF(ISNUMBER(SEARCH("홍콩",C339)),"HK",IF(ISNUMBER(SEARCH("상해",C339)),"CN",IF(ISNUMBER(SEARCH("대만",C339)),"TW","홀세일"))))</f>
        <v>HK</v>
      </c>
      <c r="B339" s="36" t="s">
        <v>764</v>
      </c>
      <c r="C339" s="37" t="s">
        <v>765</v>
      </c>
      <c r="D339" s="37" t="s">
        <v>123</v>
      </c>
      <c r="E339" s="36" t="n">
        <v>2026</v>
      </c>
      <c r="F339" s="37" t="s">
        <v>101</v>
      </c>
      <c r="G339" s="37" t="s">
        <v>124</v>
      </c>
      <c r="H339" s="36" t="s">
        <v>131</v>
      </c>
      <c r="I339" s="36" t="s">
        <v>164</v>
      </c>
      <c r="J339" s="37" t="s">
        <v>165</v>
      </c>
      <c r="K339" s="38" t="n">
        <v>300</v>
      </c>
      <c r="L339" s="38" t="n">
        <v>56700000</v>
      </c>
      <c r="M339" s="38" t="n">
        <v>22192500</v>
      </c>
      <c r="N339" s="39" t="n">
        <f aca="false">IF(A339="제외",0,IF(OR(N(L339)&lt;=0,N(M339)&gt;N(L339)),N(M339)/요약!$D$27,N(L339)))</f>
        <v>56700000</v>
      </c>
      <c r="O339" s="32" t="str">
        <f aca="false">IF(A339="제외","",IF(OR(N(L339)&lt;=0,N(M339)&gt;N(L339)),"택가보정(판매금액÷공급율)",""))</f>
        <v/>
      </c>
      <c r="P339" s="0" t="str">
        <f aca="false">IF(A339="HK","100",IF(A339="CN","200",IF(A339="TW","300",IF(ISNUMBER(SEARCH("태국",C339)),"500",IF(ISNUMBER(SEARCH("말레이",C339)),"600",IF(ISNUMBER(SEARCH("필리핀",C339)),"700",IF(ISNUMBER(SEARCH("인도네시아",C339)),"800",IF(ISNUMBER(SEARCH("크루즈",C339)),"810",IF(ISNUMBER(SEARCH("동물원",C339)),"830","")))))))))</f>
        <v>100</v>
      </c>
    </row>
    <row r="340" customFormat="false" ht="15" hidden="false" customHeight="false" outlineLevel="0" collapsed="false">
      <c r="A340" s="32" t="str">
        <f aca="false">IF(OR(TRIM(C340)="",SUBSTITUTE(C340," ","")="소계"),"제외",IF(ISNUMBER(SEARCH("홍콩",C340)),"HK",IF(ISNUMBER(SEARCH("상해",C340)),"CN",IF(ISNUMBER(SEARCH("대만",C340)),"TW","홀세일"))))</f>
        <v>HK</v>
      </c>
      <c r="B340" s="36" t="s">
        <v>764</v>
      </c>
      <c r="C340" s="37" t="s">
        <v>765</v>
      </c>
      <c r="D340" s="37" t="s">
        <v>123</v>
      </c>
      <c r="E340" s="36" t="n">
        <v>2026</v>
      </c>
      <c r="F340" s="37" t="s">
        <v>101</v>
      </c>
      <c r="G340" s="37" t="s">
        <v>124</v>
      </c>
      <c r="H340" s="36" t="s">
        <v>131</v>
      </c>
      <c r="I340" s="36" t="s">
        <v>794</v>
      </c>
      <c r="J340" s="37" t="s">
        <v>795</v>
      </c>
      <c r="K340" s="38" t="n">
        <v>180</v>
      </c>
      <c r="L340" s="38" t="n">
        <v>28620000</v>
      </c>
      <c r="M340" s="38" t="n">
        <v>10383480</v>
      </c>
      <c r="N340" s="39" t="n">
        <f aca="false">IF(A340="제외",0,IF(OR(N(L340)&lt;=0,N(M340)&gt;N(L340)),N(M340)/요약!$D$27,N(L340)))</f>
        <v>28620000</v>
      </c>
      <c r="O340" s="32" t="str">
        <f aca="false">IF(A340="제외","",IF(OR(N(L340)&lt;=0,N(M340)&gt;N(L340)),"택가보정(판매금액÷공급율)",""))</f>
        <v/>
      </c>
      <c r="P340" s="0" t="str">
        <f aca="false">IF(A340="HK","100",IF(A340="CN","200",IF(A340="TW","300",IF(ISNUMBER(SEARCH("태국",C340)),"500",IF(ISNUMBER(SEARCH("말레이",C340)),"600",IF(ISNUMBER(SEARCH("필리핀",C340)),"700",IF(ISNUMBER(SEARCH("인도네시아",C340)),"800",IF(ISNUMBER(SEARCH("크루즈",C340)),"810",IF(ISNUMBER(SEARCH("동물원",C340)),"830","")))))))))</f>
        <v>100</v>
      </c>
    </row>
    <row r="341" customFormat="false" ht="15" hidden="false" customHeight="false" outlineLevel="0" collapsed="false">
      <c r="A341" s="32" t="str">
        <f aca="false">IF(OR(TRIM(C341)="",SUBSTITUTE(C341," ","")="소계"),"제외",IF(ISNUMBER(SEARCH("홍콩",C341)),"HK",IF(ISNUMBER(SEARCH("상해",C341)),"CN",IF(ISNUMBER(SEARCH("대만",C341)),"TW","홀세일"))))</f>
        <v>HK</v>
      </c>
      <c r="B341" s="36" t="s">
        <v>764</v>
      </c>
      <c r="C341" s="37" t="s">
        <v>765</v>
      </c>
      <c r="D341" s="37" t="s">
        <v>123</v>
      </c>
      <c r="E341" s="36" t="n">
        <v>2026</v>
      </c>
      <c r="F341" s="37" t="s">
        <v>101</v>
      </c>
      <c r="G341" s="37" t="s">
        <v>124</v>
      </c>
      <c r="H341" s="36" t="s">
        <v>131</v>
      </c>
      <c r="I341" s="36" t="s">
        <v>796</v>
      </c>
      <c r="J341" s="37" t="s">
        <v>797</v>
      </c>
      <c r="K341" s="38" t="n">
        <v>290</v>
      </c>
      <c r="L341" s="38" t="n">
        <v>54810000</v>
      </c>
      <c r="M341" s="38" t="n">
        <v>19841180</v>
      </c>
      <c r="N341" s="39" t="n">
        <f aca="false">IF(A341="제외",0,IF(OR(N(L341)&lt;=0,N(M341)&gt;N(L341)),N(M341)/요약!$D$27,N(L341)))</f>
        <v>54810000</v>
      </c>
      <c r="O341" s="32" t="str">
        <f aca="false">IF(A341="제외","",IF(OR(N(L341)&lt;=0,N(M341)&gt;N(L341)),"택가보정(판매금액÷공급율)",""))</f>
        <v/>
      </c>
      <c r="P341" s="0" t="str">
        <f aca="false">IF(A341="HK","100",IF(A341="CN","200",IF(A341="TW","300",IF(ISNUMBER(SEARCH("태국",C341)),"500",IF(ISNUMBER(SEARCH("말레이",C341)),"600",IF(ISNUMBER(SEARCH("필리핀",C341)),"700",IF(ISNUMBER(SEARCH("인도네시아",C341)),"800",IF(ISNUMBER(SEARCH("크루즈",C341)),"810",IF(ISNUMBER(SEARCH("동물원",C341)),"830","")))))))))</f>
        <v>100</v>
      </c>
    </row>
    <row r="342" customFormat="false" ht="15" hidden="false" customHeight="false" outlineLevel="0" collapsed="false">
      <c r="A342" s="32" t="str">
        <f aca="false">IF(OR(TRIM(C342)="",SUBSTITUTE(C342," ","")="소계"),"제외",IF(ISNUMBER(SEARCH("홍콩",C342)),"HK",IF(ISNUMBER(SEARCH("상해",C342)),"CN",IF(ISNUMBER(SEARCH("대만",C342)),"TW","홀세일"))))</f>
        <v>HK</v>
      </c>
      <c r="B342" s="36" t="s">
        <v>764</v>
      </c>
      <c r="C342" s="37" t="s">
        <v>765</v>
      </c>
      <c r="D342" s="37" t="s">
        <v>123</v>
      </c>
      <c r="E342" s="36" t="n">
        <v>2026</v>
      </c>
      <c r="F342" s="37" t="s">
        <v>101</v>
      </c>
      <c r="G342" s="37" t="s">
        <v>124</v>
      </c>
      <c r="H342" s="36" t="s">
        <v>125</v>
      </c>
      <c r="I342" s="36" t="s">
        <v>798</v>
      </c>
      <c r="J342" s="37" t="s">
        <v>799</v>
      </c>
      <c r="K342" s="38" t="n">
        <v>90</v>
      </c>
      <c r="L342" s="38" t="n">
        <v>16110000</v>
      </c>
      <c r="M342" s="38" t="n">
        <v>5941530</v>
      </c>
      <c r="N342" s="39" t="n">
        <f aca="false">IF(A342="제외",0,IF(OR(N(L342)&lt;=0,N(M342)&gt;N(L342)),N(M342)/요약!$D$27,N(L342)))</f>
        <v>16110000</v>
      </c>
      <c r="O342" s="32" t="str">
        <f aca="false">IF(A342="제외","",IF(OR(N(L342)&lt;=0,N(M342)&gt;N(L342)),"택가보정(판매금액÷공급율)",""))</f>
        <v/>
      </c>
      <c r="P342" s="0" t="str">
        <f aca="false">IF(A342="HK","100",IF(A342="CN","200",IF(A342="TW","300",IF(ISNUMBER(SEARCH("태국",C342)),"500",IF(ISNUMBER(SEARCH("말레이",C342)),"600",IF(ISNUMBER(SEARCH("필리핀",C342)),"700",IF(ISNUMBER(SEARCH("인도네시아",C342)),"800",IF(ISNUMBER(SEARCH("크루즈",C342)),"810",IF(ISNUMBER(SEARCH("동물원",C342)),"830","")))))))))</f>
        <v>100</v>
      </c>
    </row>
    <row r="343" customFormat="false" ht="15" hidden="false" customHeight="false" outlineLevel="0" collapsed="false">
      <c r="A343" s="32" t="str">
        <f aca="false">IF(OR(TRIM(C343)="",SUBSTITUTE(C343," ","")="소계"),"제외",IF(ISNUMBER(SEARCH("홍콩",C343)),"HK",IF(ISNUMBER(SEARCH("상해",C343)),"CN",IF(ISNUMBER(SEARCH("대만",C343)),"TW","홀세일"))))</f>
        <v>HK</v>
      </c>
      <c r="B343" s="36" t="s">
        <v>764</v>
      </c>
      <c r="C343" s="37" t="s">
        <v>765</v>
      </c>
      <c r="D343" s="37" t="s">
        <v>123</v>
      </c>
      <c r="E343" s="36" t="n">
        <v>2026</v>
      </c>
      <c r="F343" s="37" t="s">
        <v>101</v>
      </c>
      <c r="G343" s="37" t="s">
        <v>124</v>
      </c>
      <c r="H343" s="36" t="s">
        <v>131</v>
      </c>
      <c r="I343" s="36" t="s">
        <v>172</v>
      </c>
      <c r="J343" s="37" t="s">
        <v>173</v>
      </c>
      <c r="K343" s="38" t="n">
        <v>240</v>
      </c>
      <c r="L343" s="38" t="n">
        <v>28560000</v>
      </c>
      <c r="M343" s="38" t="n">
        <v>10366080</v>
      </c>
      <c r="N343" s="39" t="n">
        <f aca="false">IF(A343="제외",0,IF(OR(N(L343)&lt;=0,N(M343)&gt;N(L343)),N(M343)/요약!$D$27,N(L343)))</f>
        <v>28560000</v>
      </c>
      <c r="O343" s="32" t="str">
        <f aca="false">IF(A343="제외","",IF(OR(N(L343)&lt;=0,N(M343)&gt;N(L343)),"택가보정(판매금액÷공급율)",""))</f>
        <v/>
      </c>
      <c r="P343" s="0" t="str">
        <f aca="false">IF(A343="HK","100",IF(A343="CN","200",IF(A343="TW","300",IF(ISNUMBER(SEARCH("태국",C343)),"500",IF(ISNUMBER(SEARCH("말레이",C343)),"600",IF(ISNUMBER(SEARCH("필리핀",C343)),"700",IF(ISNUMBER(SEARCH("인도네시아",C343)),"800",IF(ISNUMBER(SEARCH("크루즈",C343)),"810",IF(ISNUMBER(SEARCH("동물원",C343)),"830","")))))))))</f>
        <v>100</v>
      </c>
    </row>
    <row r="344" customFormat="false" ht="15" hidden="false" customHeight="false" outlineLevel="0" collapsed="false">
      <c r="A344" s="32" t="str">
        <f aca="false">IF(OR(TRIM(C344)="",SUBSTITUTE(C344," ","")="소계"),"제외",IF(ISNUMBER(SEARCH("홍콩",C344)),"HK",IF(ISNUMBER(SEARCH("상해",C344)),"CN",IF(ISNUMBER(SEARCH("대만",C344)),"TW","홀세일"))))</f>
        <v>HK</v>
      </c>
      <c r="B344" s="36" t="s">
        <v>764</v>
      </c>
      <c r="C344" s="37" t="s">
        <v>765</v>
      </c>
      <c r="D344" s="37" t="s">
        <v>123</v>
      </c>
      <c r="E344" s="36" t="n">
        <v>2026</v>
      </c>
      <c r="F344" s="37" t="s">
        <v>101</v>
      </c>
      <c r="G344" s="37" t="s">
        <v>124</v>
      </c>
      <c r="H344" s="36" t="s">
        <v>131</v>
      </c>
      <c r="I344" s="36" t="s">
        <v>176</v>
      </c>
      <c r="J344" s="37" t="s">
        <v>177</v>
      </c>
      <c r="K344" s="38" t="n">
        <v>420</v>
      </c>
      <c r="L344" s="38" t="n">
        <v>33180000</v>
      </c>
      <c r="M344" s="38" t="n">
        <v>12053160</v>
      </c>
      <c r="N344" s="39" t="n">
        <f aca="false">IF(A344="제외",0,IF(OR(N(L344)&lt;=0,N(M344)&gt;N(L344)),N(M344)/요약!$D$27,N(L344)))</f>
        <v>33180000</v>
      </c>
      <c r="O344" s="32" t="str">
        <f aca="false">IF(A344="제외","",IF(OR(N(L344)&lt;=0,N(M344)&gt;N(L344)),"택가보정(판매금액÷공급율)",""))</f>
        <v/>
      </c>
      <c r="P344" s="0" t="str">
        <f aca="false">IF(A344="HK","100",IF(A344="CN","200",IF(A344="TW","300",IF(ISNUMBER(SEARCH("태국",C344)),"500",IF(ISNUMBER(SEARCH("말레이",C344)),"600",IF(ISNUMBER(SEARCH("필리핀",C344)),"700",IF(ISNUMBER(SEARCH("인도네시아",C344)),"800",IF(ISNUMBER(SEARCH("크루즈",C344)),"810",IF(ISNUMBER(SEARCH("동물원",C344)),"830","")))))))))</f>
        <v>100</v>
      </c>
    </row>
    <row r="345" customFormat="false" ht="15" hidden="false" customHeight="false" outlineLevel="0" collapsed="false">
      <c r="A345" s="32" t="str">
        <f aca="false">IF(OR(TRIM(C345)="",SUBSTITUTE(C345," ","")="소계"),"제외",IF(ISNUMBER(SEARCH("홍콩",C345)),"HK",IF(ISNUMBER(SEARCH("상해",C345)),"CN",IF(ISNUMBER(SEARCH("대만",C345)),"TW","홀세일"))))</f>
        <v>HK</v>
      </c>
      <c r="B345" s="36" t="s">
        <v>764</v>
      </c>
      <c r="C345" s="37" t="s">
        <v>765</v>
      </c>
      <c r="D345" s="37" t="s">
        <v>123</v>
      </c>
      <c r="E345" s="36" t="n">
        <v>2026</v>
      </c>
      <c r="F345" s="37" t="s">
        <v>101</v>
      </c>
      <c r="G345" s="37" t="s">
        <v>124</v>
      </c>
      <c r="H345" s="36" t="s">
        <v>131</v>
      </c>
      <c r="I345" s="36" t="s">
        <v>178</v>
      </c>
      <c r="J345" s="37" t="s">
        <v>179</v>
      </c>
      <c r="K345" s="38" t="n">
        <v>340</v>
      </c>
      <c r="L345" s="38" t="n">
        <v>30260000</v>
      </c>
      <c r="M345" s="38" t="n">
        <v>10989480</v>
      </c>
      <c r="N345" s="39" t="n">
        <f aca="false">IF(A345="제외",0,IF(OR(N(L345)&lt;=0,N(M345)&gt;N(L345)),N(M345)/요약!$D$27,N(L345)))</f>
        <v>30260000</v>
      </c>
      <c r="O345" s="32" t="str">
        <f aca="false">IF(A345="제외","",IF(OR(N(L345)&lt;=0,N(M345)&gt;N(L345)),"택가보정(판매금액÷공급율)",""))</f>
        <v/>
      </c>
      <c r="P345" s="0" t="str">
        <f aca="false">IF(A345="HK","100",IF(A345="CN","200",IF(A345="TW","300",IF(ISNUMBER(SEARCH("태국",C345)),"500",IF(ISNUMBER(SEARCH("말레이",C345)),"600",IF(ISNUMBER(SEARCH("필리핀",C345)),"700",IF(ISNUMBER(SEARCH("인도네시아",C345)),"800",IF(ISNUMBER(SEARCH("크루즈",C345)),"810",IF(ISNUMBER(SEARCH("동물원",C345)),"830","")))))))))</f>
        <v>100</v>
      </c>
    </row>
    <row r="346" customFormat="false" ht="15" hidden="false" customHeight="false" outlineLevel="0" collapsed="false">
      <c r="A346" s="32" t="str">
        <f aca="false">IF(OR(TRIM(C346)="",SUBSTITUTE(C346," ","")="소계"),"제외",IF(ISNUMBER(SEARCH("홍콩",C346)),"HK",IF(ISNUMBER(SEARCH("상해",C346)),"CN",IF(ISNUMBER(SEARCH("대만",C346)),"TW","홀세일"))))</f>
        <v>HK</v>
      </c>
      <c r="B346" s="36" t="s">
        <v>764</v>
      </c>
      <c r="C346" s="37" t="s">
        <v>765</v>
      </c>
      <c r="D346" s="37" t="s">
        <v>123</v>
      </c>
      <c r="E346" s="36" t="n">
        <v>2026</v>
      </c>
      <c r="F346" s="37" t="s">
        <v>101</v>
      </c>
      <c r="G346" s="37" t="s">
        <v>124</v>
      </c>
      <c r="H346" s="36" t="s">
        <v>131</v>
      </c>
      <c r="I346" s="36" t="s">
        <v>180</v>
      </c>
      <c r="J346" s="37" t="s">
        <v>181</v>
      </c>
      <c r="K346" s="38" t="n">
        <v>200</v>
      </c>
      <c r="L346" s="38" t="n">
        <v>17800000</v>
      </c>
      <c r="M346" s="38" t="n">
        <v>6464400</v>
      </c>
      <c r="N346" s="39" t="n">
        <f aca="false">IF(A346="제외",0,IF(OR(N(L346)&lt;=0,N(M346)&gt;N(L346)),N(M346)/요약!$D$27,N(L346)))</f>
        <v>17800000</v>
      </c>
      <c r="O346" s="32" t="str">
        <f aca="false">IF(A346="제외","",IF(OR(N(L346)&lt;=0,N(M346)&gt;N(L346)),"택가보정(판매금액÷공급율)",""))</f>
        <v/>
      </c>
      <c r="P346" s="0" t="str">
        <f aca="false">IF(A346="HK","100",IF(A346="CN","200",IF(A346="TW","300",IF(ISNUMBER(SEARCH("태국",C346)),"500",IF(ISNUMBER(SEARCH("말레이",C346)),"600",IF(ISNUMBER(SEARCH("필리핀",C346)),"700",IF(ISNUMBER(SEARCH("인도네시아",C346)),"800",IF(ISNUMBER(SEARCH("크루즈",C346)),"810",IF(ISNUMBER(SEARCH("동물원",C346)),"830","")))))))))</f>
        <v>100</v>
      </c>
    </row>
    <row r="347" customFormat="false" ht="15" hidden="false" customHeight="false" outlineLevel="0" collapsed="false">
      <c r="A347" s="32" t="str">
        <f aca="false">IF(OR(TRIM(C347)="",SUBSTITUTE(C347," ","")="소계"),"제외",IF(ISNUMBER(SEARCH("홍콩",C347)),"HK",IF(ISNUMBER(SEARCH("상해",C347)),"CN",IF(ISNUMBER(SEARCH("대만",C347)),"TW","홀세일"))))</f>
        <v>HK</v>
      </c>
      <c r="B347" s="36" t="s">
        <v>764</v>
      </c>
      <c r="C347" s="37" t="s">
        <v>765</v>
      </c>
      <c r="D347" s="37" t="s">
        <v>123</v>
      </c>
      <c r="E347" s="36" t="n">
        <v>2026</v>
      </c>
      <c r="F347" s="37" t="s">
        <v>101</v>
      </c>
      <c r="G347" s="37" t="s">
        <v>124</v>
      </c>
      <c r="H347" s="36" t="s">
        <v>131</v>
      </c>
      <c r="I347" s="36" t="s">
        <v>182</v>
      </c>
      <c r="J347" s="37" t="s">
        <v>183</v>
      </c>
      <c r="K347" s="38" t="n">
        <v>200</v>
      </c>
      <c r="L347" s="38" t="n">
        <v>23800000</v>
      </c>
      <c r="M347" s="38" t="n">
        <v>8638400</v>
      </c>
      <c r="N347" s="39" t="n">
        <f aca="false">IF(A347="제외",0,IF(OR(N(L347)&lt;=0,N(M347)&gt;N(L347)),N(M347)/요약!$D$27,N(L347)))</f>
        <v>23800000</v>
      </c>
      <c r="O347" s="32" t="str">
        <f aca="false">IF(A347="제외","",IF(OR(N(L347)&lt;=0,N(M347)&gt;N(L347)),"택가보정(판매금액÷공급율)",""))</f>
        <v/>
      </c>
      <c r="P347" s="0" t="str">
        <f aca="false">IF(A347="HK","100",IF(A347="CN","200",IF(A347="TW","300",IF(ISNUMBER(SEARCH("태국",C347)),"500",IF(ISNUMBER(SEARCH("말레이",C347)),"600",IF(ISNUMBER(SEARCH("필리핀",C347)),"700",IF(ISNUMBER(SEARCH("인도네시아",C347)),"800",IF(ISNUMBER(SEARCH("크루즈",C347)),"810",IF(ISNUMBER(SEARCH("동물원",C347)),"830","")))))))))</f>
        <v>100</v>
      </c>
    </row>
    <row r="348" customFormat="false" ht="15" hidden="false" customHeight="false" outlineLevel="0" collapsed="false">
      <c r="A348" s="32" t="str">
        <f aca="false">IF(OR(TRIM(C348)="",SUBSTITUTE(C348," ","")="소계"),"제외",IF(ISNUMBER(SEARCH("홍콩",C348)),"HK",IF(ISNUMBER(SEARCH("상해",C348)),"CN",IF(ISNUMBER(SEARCH("대만",C348)),"TW","홀세일"))))</f>
        <v>HK</v>
      </c>
      <c r="B348" s="36" t="s">
        <v>764</v>
      </c>
      <c r="C348" s="37" t="s">
        <v>765</v>
      </c>
      <c r="D348" s="37" t="s">
        <v>123</v>
      </c>
      <c r="E348" s="36" t="n">
        <v>2026</v>
      </c>
      <c r="F348" s="37" t="s">
        <v>101</v>
      </c>
      <c r="G348" s="37" t="s">
        <v>124</v>
      </c>
      <c r="H348" s="36" t="s">
        <v>131</v>
      </c>
      <c r="I348" s="36" t="s">
        <v>800</v>
      </c>
      <c r="J348" s="37" t="s">
        <v>801</v>
      </c>
      <c r="K348" s="38" t="n">
        <v>200</v>
      </c>
      <c r="L348" s="38" t="n">
        <v>21800000</v>
      </c>
      <c r="M348" s="38" t="n">
        <v>7913800</v>
      </c>
      <c r="N348" s="39" t="n">
        <f aca="false">IF(A348="제외",0,IF(OR(N(L348)&lt;=0,N(M348)&gt;N(L348)),N(M348)/요약!$D$27,N(L348)))</f>
        <v>21800000</v>
      </c>
      <c r="O348" s="32" t="str">
        <f aca="false">IF(A348="제외","",IF(OR(N(L348)&lt;=0,N(M348)&gt;N(L348)),"택가보정(판매금액÷공급율)",""))</f>
        <v/>
      </c>
      <c r="P348" s="0" t="str">
        <f aca="false">IF(A348="HK","100",IF(A348="CN","200",IF(A348="TW","300",IF(ISNUMBER(SEARCH("태국",C348)),"500",IF(ISNUMBER(SEARCH("말레이",C348)),"600",IF(ISNUMBER(SEARCH("필리핀",C348)),"700",IF(ISNUMBER(SEARCH("인도네시아",C348)),"800",IF(ISNUMBER(SEARCH("크루즈",C348)),"810",IF(ISNUMBER(SEARCH("동물원",C348)),"830","")))))))))</f>
        <v>100</v>
      </c>
    </row>
    <row r="349" customFormat="false" ht="15" hidden="false" customHeight="false" outlineLevel="0" collapsed="false">
      <c r="A349" s="32" t="str">
        <f aca="false">IF(OR(TRIM(C349)="",SUBSTITUTE(C349," ","")="소계"),"제외",IF(ISNUMBER(SEARCH("홍콩",C349)),"HK",IF(ISNUMBER(SEARCH("상해",C349)),"CN",IF(ISNUMBER(SEARCH("대만",C349)),"TW","홀세일"))))</f>
        <v>HK</v>
      </c>
      <c r="B349" s="36" t="s">
        <v>764</v>
      </c>
      <c r="C349" s="37" t="s">
        <v>765</v>
      </c>
      <c r="D349" s="37" t="s">
        <v>123</v>
      </c>
      <c r="E349" s="36" t="n">
        <v>2026</v>
      </c>
      <c r="F349" s="37" t="s">
        <v>101</v>
      </c>
      <c r="G349" s="37" t="s">
        <v>124</v>
      </c>
      <c r="H349" s="36" t="s">
        <v>125</v>
      </c>
      <c r="I349" s="36" t="s">
        <v>802</v>
      </c>
      <c r="J349" s="37" t="s">
        <v>803</v>
      </c>
      <c r="K349" s="38" t="n">
        <v>480</v>
      </c>
      <c r="L349" s="38" t="n">
        <v>42720000</v>
      </c>
      <c r="M349" s="38" t="n">
        <v>15514560</v>
      </c>
      <c r="N349" s="39" t="n">
        <f aca="false">IF(A349="제외",0,IF(OR(N(L349)&lt;=0,N(M349)&gt;N(L349)),N(M349)/요약!$D$27,N(L349)))</f>
        <v>42720000</v>
      </c>
      <c r="O349" s="32" t="str">
        <f aca="false">IF(A349="제외","",IF(OR(N(L349)&lt;=0,N(M349)&gt;N(L349)),"택가보정(판매금액÷공급율)",""))</f>
        <v/>
      </c>
      <c r="P349" s="0" t="str">
        <f aca="false">IF(A349="HK","100",IF(A349="CN","200",IF(A349="TW","300",IF(ISNUMBER(SEARCH("태국",C349)),"500",IF(ISNUMBER(SEARCH("말레이",C349)),"600",IF(ISNUMBER(SEARCH("필리핀",C349)),"700",IF(ISNUMBER(SEARCH("인도네시아",C349)),"800",IF(ISNUMBER(SEARCH("크루즈",C349)),"810",IF(ISNUMBER(SEARCH("동물원",C349)),"830","")))))))))</f>
        <v>100</v>
      </c>
    </row>
    <row r="350" customFormat="false" ht="15" hidden="false" customHeight="false" outlineLevel="0" collapsed="false">
      <c r="A350" s="32" t="str">
        <f aca="false">IF(OR(TRIM(C350)="",SUBSTITUTE(C350," ","")="소계"),"제외",IF(ISNUMBER(SEARCH("홍콩",C350)),"HK",IF(ISNUMBER(SEARCH("상해",C350)),"CN",IF(ISNUMBER(SEARCH("대만",C350)),"TW","홀세일"))))</f>
        <v>HK</v>
      </c>
      <c r="B350" s="36" t="s">
        <v>764</v>
      </c>
      <c r="C350" s="37" t="s">
        <v>765</v>
      </c>
      <c r="D350" s="37" t="s">
        <v>123</v>
      </c>
      <c r="E350" s="36" t="n">
        <v>2026</v>
      </c>
      <c r="F350" s="37" t="s">
        <v>101</v>
      </c>
      <c r="G350" s="37" t="s">
        <v>124</v>
      </c>
      <c r="H350" s="36" t="s">
        <v>188</v>
      </c>
      <c r="I350" s="36" t="s">
        <v>191</v>
      </c>
      <c r="J350" s="36" t="s">
        <v>192</v>
      </c>
      <c r="K350" s="38" t="n">
        <v>180</v>
      </c>
      <c r="L350" s="38" t="n">
        <v>23220000</v>
      </c>
      <c r="M350" s="38" t="n">
        <v>8411760</v>
      </c>
      <c r="N350" s="39" t="n">
        <f aca="false">IF(A350="제외",0,IF(OR(N(L350)&lt;=0,N(M350)&gt;N(L350)),N(M350)/요약!$D$27,N(L350)))</f>
        <v>23220000</v>
      </c>
      <c r="O350" s="32" t="str">
        <f aca="false">IF(A350="제외","",IF(OR(N(L350)&lt;=0,N(M350)&gt;N(L350)),"택가보정(판매금액÷공급율)",""))</f>
        <v/>
      </c>
      <c r="P350" s="0" t="str">
        <f aca="false">IF(A350="HK","100",IF(A350="CN","200",IF(A350="TW","300",IF(ISNUMBER(SEARCH("태국",C350)),"500",IF(ISNUMBER(SEARCH("말레이",C350)),"600",IF(ISNUMBER(SEARCH("필리핀",C350)),"700",IF(ISNUMBER(SEARCH("인도네시아",C350)),"800",IF(ISNUMBER(SEARCH("크루즈",C350)),"810",IF(ISNUMBER(SEARCH("동물원",C350)),"830","")))))))))</f>
        <v>100</v>
      </c>
    </row>
    <row r="351" customFormat="false" ht="15" hidden="false" customHeight="false" outlineLevel="0" collapsed="false">
      <c r="A351" s="32" t="str">
        <f aca="false">IF(OR(TRIM(C351)="",SUBSTITUTE(C351," ","")="소계"),"제외",IF(ISNUMBER(SEARCH("홍콩",C351)),"HK",IF(ISNUMBER(SEARCH("상해",C351)),"CN",IF(ISNUMBER(SEARCH("대만",C351)),"TW","홀세일"))))</f>
        <v>HK</v>
      </c>
      <c r="B351" s="36" t="s">
        <v>764</v>
      </c>
      <c r="C351" s="37" t="s">
        <v>765</v>
      </c>
      <c r="D351" s="37" t="s">
        <v>123</v>
      </c>
      <c r="E351" s="36" t="n">
        <v>2026</v>
      </c>
      <c r="F351" s="37" t="s">
        <v>101</v>
      </c>
      <c r="G351" s="37" t="s">
        <v>124</v>
      </c>
      <c r="H351" s="36" t="s">
        <v>188</v>
      </c>
      <c r="I351" s="36" t="s">
        <v>193</v>
      </c>
      <c r="J351" s="36" t="s">
        <v>194</v>
      </c>
      <c r="K351" s="38" t="n">
        <v>160</v>
      </c>
      <c r="L351" s="38" t="n">
        <v>17440000</v>
      </c>
      <c r="M351" s="38" t="n">
        <v>6331040</v>
      </c>
      <c r="N351" s="39" t="n">
        <f aca="false">IF(A351="제외",0,IF(OR(N(L351)&lt;=0,N(M351)&gt;N(L351)),N(M351)/요약!$D$27,N(L351)))</f>
        <v>17440000</v>
      </c>
      <c r="O351" s="32" t="str">
        <f aca="false">IF(A351="제외","",IF(OR(N(L351)&lt;=0,N(M351)&gt;N(L351)),"택가보정(판매금액÷공급율)",""))</f>
        <v/>
      </c>
      <c r="P351" s="0" t="str">
        <f aca="false">IF(A351="HK","100",IF(A351="CN","200",IF(A351="TW","300",IF(ISNUMBER(SEARCH("태국",C351)),"500",IF(ISNUMBER(SEARCH("말레이",C351)),"600",IF(ISNUMBER(SEARCH("필리핀",C351)),"700",IF(ISNUMBER(SEARCH("인도네시아",C351)),"800",IF(ISNUMBER(SEARCH("크루즈",C351)),"810",IF(ISNUMBER(SEARCH("동물원",C351)),"830","")))))))))</f>
        <v>100</v>
      </c>
    </row>
    <row r="352" customFormat="false" ht="15" hidden="false" customHeight="false" outlineLevel="0" collapsed="false">
      <c r="A352" s="32" t="str">
        <f aca="false">IF(OR(TRIM(C352)="",SUBSTITUTE(C352," ","")="소계"),"제외",IF(ISNUMBER(SEARCH("홍콩",C352)),"HK",IF(ISNUMBER(SEARCH("상해",C352)),"CN",IF(ISNUMBER(SEARCH("대만",C352)),"TW","홀세일"))))</f>
        <v>HK</v>
      </c>
      <c r="B352" s="36" t="s">
        <v>764</v>
      </c>
      <c r="C352" s="37" t="s">
        <v>765</v>
      </c>
      <c r="D352" s="37" t="s">
        <v>123</v>
      </c>
      <c r="E352" s="36" t="n">
        <v>2026</v>
      </c>
      <c r="F352" s="37" t="s">
        <v>101</v>
      </c>
      <c r="G352" s="37" t="s">
        <v>124</v>
      </c>
      <c r="H352" s="36" t="s">
        <v>188</v>
      </c>
      <c r="I352" s="36" t="s">
        <v>195</v>
      </c>
      <c r="J352" s="36" t="s">
        <v>196</v>
      </c>
      <c r="K352" s="38" t="n">
        <v>90</v>
      </c>
      <c r="L352" s="38" t="n">
        <v>12510000</v>
      </c>
      <c r="M352" s="38" t="n">
        <v>4531410</v>
      </c>
      <c r="N352" s="39" t="n">
        <f aca="false">IF(A352="제외",0,IF(OR(N(L352)&lt;=0,N(M352)&gt;N(L352)),N(M352)/요약!$D$27,N(L352)))</f>
        <v>12510000</v>
      </c>
      <c r="O352" s="32" t="str">
        <f aca="false">IF(A352="제외","",IF(OR(N(L352)&lt;=0,N(M352)&gt;N(L352)),"택가보정(판매금액÷공급율)",""))</f>
        <v/>
      </c>
      <c r="P352" s="0" t="str">
        <f aca="false">IF(A352="HK","100",IF(A352="CN","200",IF(A352="TW","300",IF(ISNUMBER(SEARCH("태국",C352)),"500",IF(ISNUMBER(SEARCH("말레이",C352)),"600",IF(ISNUMBER(SEARCH("필리핀",C352)),"700",IF(ISNUMBER(SEARCH("인도네시아",C352)),"800",IF(ISNUMBER(SEARCH("크루즈",C352)),"810",IF(ISNUMBER(SEARCH("동물원",C352)),"830","")))))))))</f>
        <v>100</v>
      </c>
    </row>
    <row r="353" customFormat="false" ht="15" hidden="false" customHeight="false" outlineLevel="0" collapsed="false">
      <c r="A353" s="32" t="str">
        <f aca="false">IF(OR(TRIM(C353)="",SUBSTITUTE(C353," ","")="소계"),"제외",IF(ISNUMBER(SEARCH("홍콩",C353)),"HK",IF(ISNUMBER(SEARCH("상해",C353)),"CN",IF(ISNUMBER(SEARCH("대만",C353)),"TW","홀세일"))))</f>
        <v>HK</v>
      </c>
      <c r="B353" s="36" t="s">
        <v>764</v>
      </c>
      <c r="C353" s="37" t="s">
        <v>765</v>
      </c>
      <c r="D353" s="37" t="s">
        <v>123</v>
      </c>
      <c r="E353" s="36" t="n">
        <v>2026</v>
      </c>
      <c r="F353" s="37" t="s">
        <v>101</v>
      </c>
      <c r="G353" s="37" t="s">
        <v>124</v>
      </c>
      <c r="H353" s="36" t="s">
        <v>188</v>
      </c>
      <c r="I353" s="36" t="s">
        <v>197</v>
      </c>
      <c r="J353" s="36" t="s">
        <v>198</v>
      </c>
      <c r="K353" s="38" t="n">
        <v>200</v>
      </c>
      <c r="L353" s="38" t="n">
        <v>29800000</v>
      </c>
      <c r="M353" s="38" t="n">
        <v>10993000</v>
      </c>
      <c r="N353" s="39" t="n">
        <f aca="false">IF(A353="제외",0,IF(OR(N(L353)&lt;=0,N(M353)&gt;N(L353)),N(M353)/요약!$D$27,N(L353)))</f>
        <v>29800000</v>
      </c>
      <c r="O353" s="32" t="str">
        <f aca="false">IF(A353="제외","",IF(OR(N(L353)&lt;=0,N(M353)&gt;N(L353)),"택가보정(판매금액÷공급율)",""))</f>
        <v/>
      </c>
      <c r="P353" s="0" t="str">
        <f aca="false">IF(A353="HK","100",IF(A353="CN","200",IF(A353="TW","300",IF(ISNUMBER(SEARCH("태국",C353)),"500",IF(ISNUMBER(SEARCH("말레이",C353)),"600",IF(ISNUMBER(SEARCH("필리핀",C353)),"700",IF(ISNUMBER(SEARCH("인도네시아",C353)),"800",IF(ISNUMBER(SEARCH("크루즈",C353)),"810",IF(ISNUMBER(SEARCH("동물원",C353)),"830","")))))))))</f>
        <v>100</v>
      </c>
    </row>
    <row r="354" customFormat="false" ht="15" hidden="false" customHeight="false" outlineLevel="0" collapsed="false">
      <c r="A354" s="32" t="str">
        <f aca="false">IF(OR(TRIM(C354)="",SUBSTITUTE(C354," ","")="소계"),"제외",IF(ISNUMBER(SEARCH("홍콩",C354)),"HK",IF(ISNUMBER(SEARCH("상해",C354)),"CN",IF(ISNUMBER(SEARCH("대만",C354)),"TW","홀세일"))))</f>
        <v>HK</v>
      </c>
      <c r="B354" s="36" t="s">
        <v>764</v>
      </c>
      <c r="C354" s="37" t="s">
        <v>765</v>
      </c>
      <c r="D354" s="37" t="s">
        <v>123</v>
      </c>
      <c r="E354" s="36" t="n">
        <v>2026</v>
      </c>
      <c r="F354" s="37" t="s">
        <v>101</v>
      </c>
      <c r="G354" s="37" t="s">
        <v>124</v>
      </c>
      <c r="H354" s="36" t="s">
        <v>188</v>
      </c>
      <c r="I354" s="36" t="s">
        <v>203</v>
      </c>
      <c r="J354" s="36" t="s">
        <v>204</v>
      </c>
      <c r="K354" s="38" t="n">
        <v>490</v>
      </c>
      <c r="L354" s="38" t="n">
        <v>97510000</v>
      </c>
      <c r="M354" s="38" t="n">
        <v>38196970</v>
      </c>
      <c r="N354" s="39" t="n">
        <f aca="false">IF(A354="제외",0,IF(OR(N(L354)&lt;=0,N(M354)&gt;N(L354)),N(M354)/요약!$D$27,N(L354)))</f>
        <v>97510000</v>
      </c>
      <c r="O354" s="32" t="str">
        <f aca="false">IF(A354="제외","",IF(OR(N(L354)&lt;=0,N(M354)&gt;N(L354)),"택가보정(판매금액÷공급율)",""))</f>
        <v/>
      </c>
      <c r="P354" s="0" t="str">
        <f aca="false">IF(A354="HK","100",IF(A354="CN","200",IF(A354="TW","300",IF(ISNUMBER(SEARCH("태국",C354)),"500",IF(ISNUMBER(SEARCH("말레이",C354)),"600",IF(ISNUMBER(SEARCH("필리핀",C354)),"700",IF(ISNUMBER(SEARCH("인도네시아",C354)),"800",IF(ISNUMBER(SEARCH("크루즈",C354)),"810",IF(ISNUMBER(SEARCH("동물원",C354)),"830","")))))))))</f>
        <v>100</v>
      </c>
    </row>
    <row r="355" customFormat="false" ht="15" hidden="false" customHeight="false" outlineLevel="0" collapsed="false">
      <c r="A355" s="32" t="str">
        <f aca="false">IF(OR(TRIM(C355)="",SUBSTITUTE(C355," ","")="소계"),"제외",IF(ISNUMBER(SEARCH("홍콩",C355)),"HK",IF(ISNUMBER(SEARCH("상해",C355)),"CN",IF(ISNUMBER(SEARCH("대만",C355)),"TW","홀세일"))))</f>
        <v>HK</v>
      </c>
      <c r="B355" s="36" t="s">
        <v>764</v>
      </c>
      <c r="C355" s="37" t="s">
        <v>765</v>
      </c>
      <c r="D355" s="37" t="s">
        <v>123</v>
      </c>
      <c r="E355" s="36" t="n">
        <v>2026</v>
      </c>
      <c r="F355" s="37" t="s">
        <v>101</v>
      </c>
      <c r="G355" s="37" t="s">
        <v>124</v>
      </c>
      <c r="H355" s="36" t="s">
        <v>188</v>
      </c>
      <c r="I355" s="36" t="s">
        <v>804</v>
      </c>
      <c r="J355" s="36" t="s">
        <v>805</v>
      </c>
      <c r="K355" s="38" t="n">
        <v>110</v>
      </c>
      <c r="L355" s="38" t="n">
        <v>24090000</v>
      </c>
      <c r="M355" s="38" t="n">
        <v>9262440</v>
      </c>
      <c r="N355" s="39" t="n">
        <f aca="false">IF(A355="제외",0,IF(OR(N(L355)&lt;=0,N(M355)&gt;N(L355)),N(M355)/요약!$D$27,N(L355)))</f>
        <v>24090000</v>
      </c>
      <c r="O355" s="32" t="str">
        <f aca="false">IF(A355="제외","",IF(OR(N(L355)&lt;=0,N(M355)&gt;N(L355)),"택가보정(판매금액÷공급율)",""))</f>
        <v/>
      </c>
      <c r="P355" s="0" t="str">
        <f aca="false">IF(A355="HK","100",IF(A355="CN","200",IF(A355="TW","300",IF(ISNUMBER(SEARCH("태국",C355)),"500",IF(ISNUMBER(SEARCH("말레이",C355)),"600",IF(ISNUMBER(SEARCH("필리핀",C355)),"700",IF(ISNUMBER(SEARCH("인도네시아",C355)),"800",IF(ISNUMBER(SEARCH("크루즈",C355)),"810",IF(ISNUMBER(SEARCH("동물원",C355)),"830","")))))))))</f>
        <v>100</v>
      </c>
    </row>
    <row r="356" customFormat="false" ht="15" hidden="false" customHeight="false" outlineLevel="0" collapsed="false">
      <c r="A356" s="32" t="str">
        <f aca="false">IF(OR(TRIM(C356)="",SUBSTITUTE(C356," ","")="소계"),"제외",IF(ISNUMBER(SEARCH("홍콩",C356)),"HK",IF(ISNUMBER(SEARCH("상해",C356)),"CN",IF(ISNUMBER(SEARCH("대만",C356)),"TW","홀세일"))))</f>
        <v>HK</v>
      </c>
      <c r="B356" s="36" t="s">
        <v>764</v>
      </c>
      <c r="C356" s="37" t="s">
        <v>765</v>
      </c>
      <c r="D356" s="37" t="s">
        <v>123</v>
      </c>
      <c r="E356" s="36" t="n">
        <v>2026</v>
      </c>
      <c r="F356" s="37" t="s">
        <v>101</v>
      </c>
      <c r="G356" s="37" t="s">
        <v>124</v>
      </c>
      <c r="H356" s="36" t="s">
        <v>188</v>
      </c>
      <c r="I356" s="36" t="s">
        <v>205</v>
      </c>
      <c r="J356" s="36" t="s">
        <v>206</v>
      </c>
      <c r="K356" s="38" t="n">
        <v>70</v>
      </c>
      <c r="L356" s="38" t="n">
        <v>10430000</v>
      </c>
      <c r="M356" s="38" t="n">
        <v>3784410</v>
      </c>
      <c r="N356" s="39" t="n">
        <f aca="false">IF(A356="제외",0,IF(OR(N(L356)&lt;=0,N(M356)&gt;N(L356)),N(M356)/요약!$D$27,N(L356)))</f>
        <v>10430000</v>
      </c>
      <c r="O356" s="32" t="str">
        <f aca="false">IF(A356="제외","",IF(OR(N(L356)&lt;=0,N(M356)&gt;N(L356)),"택가보정(판매금액÷공급율)",""))</f>
        <v/>
      </c>
      <c r="P356" s="0" t="str">
        <f aca="false">IF(A356="HK","100",IF(A356="CN","200",IF(A356="TW","300",IF(ISNUMBER(SEARCH("태국",C356)),"500",IF(ISNUMBER(SEARCH("말레이",C356)),"600",IF(ISNUMBER(SEARCH("필리핀",C356)),"700",IF(ISNUMBER(SEARCH("인도네시아",C356)),"800",IF(ISNUMBER(SEARCH("크루즈",C356)),"810",IF(ISNUMBER(SEARCH("동물원",C356)),"830","")))))))))</f>
        <v>100</v>
      </c>
    </row>
    <row r="357" customFormat="false" ht="15" hidden="false" customHeight="false" outlineLevel="0" collapsed="false">
      <c r="A357" s="32" t="str">
        <f aca="false">IF(OR(TRIM(C357)="",SUBSTITUTE(C357," ","")="소계"),"제외",IF(ISNUMBER(SEARCH("홍콩",C357)),"HK",IF(ISNUMBER(SEARCH("상해",C357)),"CN",IF(ISNUMBER(SEARCH("대만",C357)),"TW","홀세일"))))</f>
        <v>HK</v>
      </c>
      <c r="B357" s="36" t="s">
        <v>764</v>
      </c>
      <c r="C357" s="37" t="s">
        <v>765</v>
      </c>
      <c r="D357" s="37" t="s">
        <v>123</v>
      </c>
      <c r="E357" s="36" t="n">
        <v>2026</v>
      </c>
      <c r="F357" s="37" t="s">
        <v>101</v>
      </c>
      <c r="G357" s="37" t="s">
        <v>124</v>
      </c>
      <c r="H357" s="36" t="s">
        <v>188</v>
      </c>
      <c r="I357" s="36" t="s">
        <v>207</v>
      </c>
      <c r="J357" s="36" t="s">
        <v>208</v>
      </c>
      <c r="K357" s="38" t="n">
        <v>300</v>
      </c>
      <c r="L357" s="38" t="n">
        <v>56700000</v>
      </c>
      <c r="M357" s="38" t="n">
        <v>20530200</v>
      </c>
      <c r="N357" s="39" t="n">
        <f aca="false">IF(A357="제외",0,IF(OR(N(L357)&lt;=0,N(M357)&gt;N(L357)),N(M357)/요약!$D$27,N(L357)))</f>
        <v>56700000</v>
      </c>
      <c r="O357" s="32" t="str">
        <f aca="false">IF(A357="제외","",IF(OR(N(L357)&lt;=0,N(M357)&gt;N(L357)),"택가보정(판매금액÷공급율)",""))</f>
        <v/>
      </c>
      <c r="P357" s="0" t="str">
        <f aca="false">IF(A357="HK","100",IF(A357="CN","200",IF(A357="TW","300",IF(ISNUMBER(SEARCH("태국",C357)),"500",IF(ISNUMBER(SEARCH("말레이",C357)),"600",IF(ISNUMBER(SEARCH("필리핀",C357)),"700",IF(ISNUMBER(SEARCH("인도네시아",C357)),"800",IF(ISNUMBER(SEARCH("크루즈",C357)),"810",IF(ISNUMBER(SEARCH("동물원",C357)),"830","")))))))))</f>
        <v>100</v>
      </c>
    </row>
    <row r="358" customFormat="false" ht="15" hidden="false" customHeight="false" outlineLevel="0" collapsed="false">
      <c r="A358" s="32" t="str">
        <f aca="false">IF(OR(TRIM(C358)="",SUBSTITUTE(C358," ","")="소계"),"제외",IF(ISNUMBER(SEARCH("홍콩",C358)),"HK",IF(ISNUMBER(SEARCH("상해",C358)),"CN",IF(ISNUMBER(SEARCH("대만",C358)),"TW","홀세일"))))</f>
        <v>HK</v>
      </c>
      <c r="B358" s="36" t="s">
        <v>764</v>
      </c>
      <c r="C358" s="37" t="s">
        <v>765</v>
      </c>
      <c r="D358" s="37" t="s">
        <v>123</v>
      </c>
      <c r="E358" s="36" t="n">
        <v>2026</v>
      </c>
      <c r="F358" s="37" t="s">
        <v>101</v>
      </c>
      <c r="G358" s="37" t="s">
        <v>124</v>
      </c>
      <c r="H358" s="36" t="s">
        <v>188</v>
      </c>
      <c r="I358" s="36" t="s">
        <v>209</v>
      </c>
      <c r="J358" s="36" t="s">
        <v>210</v>
      </c>
      <c r="K358" s="38" t="n">
        <v>160</v>
      </c>
      <c r="L358" s="38" t="n">
        <v>19040000</v>
      </c>
      <c r="M358" s="38" t="n">
        <v>6910720</v>
      </c>
      <c r="N358" s="39" t="n">
        <f aca="false">IF(A358="제외",0,IF(OR(N(L358)&lt;=0,N(M358)&gt;N(L358)),N(M358)/요약!$D$27,N(L358)))</f>
        <v>19040000</v>
      </c>
      <c r="O358" s="32" t="str">
        <f aca="false">IF(A358="제외","",IF(OR(N(L358)&lt;=0,N(M358)&gt;N(L358)),"택가보정(판매금액÷공급율)",""))</f>
        <v/>
      </c>
      <c r="P358" s="0" t="str">
        <f aca="false">IF(A358="HK","100",IF(A358="CN","200",IF(A358="TW","300",IF(ISNUMBER(SEARCH("태국",C358)),"500",IF(ISNUMBER(SEARCH("말레이",C358)),"600",IF(ISNUMBER(SEARCH("필리핀",C358)),"700",IF(ISNUMBER(SEARCH("인도네시아",C358)),"800",IF(ISNUMBER(SEARCH("크루즈",C358)),"810",IF(ISNUMBER(SEARCH("동물원",C358)),"830","")))))))))</f>
        <v>100</v>
      </c>
    </row>
    <row r="359" customFormat="false" ht="15" hidden="false" customHeight="false" outlineLevel="0" collapsed="false">
      <c r="A359" s="32" t="str">
        <f aca="false">IF(OR(TRIM(C359)="",SUBSTITUTE(C359," ","")="소계"),"제외",IF(ISNUMBER(SEARCH("홍콩",C359)),"HK",IF(ISNUMBER(SEARCH("상해",C359)),"CN",IF(ISNUMBER(SEARCH("대만",C359)),"TW","홀세일"))))</f>
        <v>HK</v>
      </c>
      <c r="B359" s="36" t="s">
        <v>764</v>
      </c>
      <c r="C359" s="37" t="s">
        <v>765</v>
      </c>
      <c r="D359" s="37" t="s">
        <v>123</v>
      </c>
      <c r="E359" s="36" t="n">
        <v>2026</v>
      </c>
      <c r="F359" s="37" t="s">
        <v>101</v>
      </c>
      <c r="G359" s="37" t="s">
        <v>124</v>
      </c>
      <c r="H359" s="36" t="s">
        <v>188</v>
      </c>
      <c r="I359" s="36" t="s">
        <v>211</v>
      </c>
      <c r="J359" s="36" t="s">
        <v>212</v>
      </c>
      <c r="K359" s="38" t="n">
        <v>180</v>
      </c>
      <c r="L359" s="38" t="n">
        <v>17820000</v>
      </c>
      <c r="M359" s="38" t="n">
        <v>6470100</v>
      </c>
      <c r="N359" s="39" t="n">
        <f aca="false">IF(A359="제외",0,IF(OR(N(L359)&lt;=0,N(M359)&gt;N(L359)),N(M359)/요약!$D$27,N(L359)))</f>
        <v>17820000</v>
      </c>
      <c r="O359" s="32" t="str">
        <f aca="false">IF(A359="제외","",IF(OR(N(L359)&lt;=0,N(M359)&gt;N(L359)),"택가보정(판매금액÷공급율)",""))</f>
        <v/>
      </c>
      <c r="P359" s="0" t="str">
        <f aca="false">IF(A359="HK","100",IF(A359="CN","200",IF(A359="TW","300",IF(ISNUMBER(SEARCH("태국",C359)),"500",IF(ISNUMBER(SEARCH("말레이",C359)),"600",IF(ISNUMBER(SEARCH("필리핀",C359)),"700",IF(ISNUMBER(SEARCH("인도네시아",C359)),"800",IF(ISNUMBER(SEARCH("크루즈",C359)),"810",IF(ISNUMBER(SEARCH("동물원",C359)),"830","")))))))))</f>
        <v>100</v>
      </c>
    </row>
    <row r="360" customFormat="false" ht="15" hidden="false" customHeight="false" outlineLevel="0" collapsed="false">
      <c r="A360" s="32" t="str">
        <f aca="false">IF(OR(TRIM(C360)="",SUBSTITUTE(C360," ","")="소계"),"제외",IF(ISNUMBER(SEARCH("홍콩",C360)),"HK",IF(ISNUMBER(SEARCH("상해",C360)),"CN",IF(ISNUMBER(SEARCH("대만",C360)),"TW","홀세일"))))</f>
        <v>HK</v>
      </c>
      <c r="B360" s="36" t="s">
        <v>764</v>
      </c>
      <c r="C360" s="37" t="s">
        <v>765</v>
      </c>
      <c r="D360" s="37" t="s">
        <v>123</v>
      </c>
      <c r="E360" s="36" t="n">
        <v>2026</v>
      </c>
      <c r="F360" s="37" t="s">
        <v>101</v>
      </c>
      <c r="G360" s="37" t="s">
        <v>124</v>
      </c>
      <c r="H360" s="36" t="s">
        <v>188</v>
      </c>
      <c r="I360" s="36" t="s">
        <v>213</v>
      </c>
      <c r="J360" s="36" t="s">
        <v>214</v>
      </c>
      <c r="K360" s="38" t="n">
        <v>180</v>
      </c>
      <c r="L360" s="38" t="n">
        <v>16020000</v>
      </c>
      <c r="M360" s="38" t="n">
        <v>5817960</v>
      </c>
      <c r="N360" s="39" t="n">
        <f aca="false">IF(A360="제외",0,IF(OR(N(L360)&lt;=0,N(M360)&gt;N(L360)),N(M360)/요약!$D$27,N(L360)))</f>
        <v>16020000</v>
      </c>
      <c r="O360" s="32" t="str">
        <f aca="false">IF(A360="제외","",IF(OR(N(L360)&lt;=0,N(M360)&gt;N(L360)),"택가보정(판매금액÷공급율)",""))</f>
        <v/>
      </c>
      <c r="P360" s="0" t="str">
        <f aca="false">IF(A360="HK","100",IF(A360="CN","200",IF(A360="TW","300",IF(ISNUMBER(SEARCH("태국",C360)),"500",IF(ISNUMBER(SEARCH("말레이",C360)),"600",IF(ISNUMBER(SEARCH("필리핀",C360)),"700",IF(ISNUMBER(SEARCH("인도네시아",C360)),"800",IF(ISNUMBER(SEARCH("크루즈",C360)),"810",IF(ISNUMBER(SEARCH("동물원",C360)),"830","")))))))))</f>
        <v>100</v>
      </c>
    </row>
    <row r="361" customFormat="false" ht="15" hidden="false" customHeight="false" outlineLevel="0" collapsed="false">
      <c r="A361" s="32" t="str">
        <f aca="false">IF(OR(TRIM(C361)="",SUBSTITUTE(C361," ","")="소계"),"제외",IF(ISNUMBER(SEARCH("홍콩",C361)),"HK",IF(ISNUMBER(SEARCH("상해",C361)),"CN",IF(ISNUMBER(SEARCH("대만",C361)),"TW","홀세일"))))</f>
        <v>HK</v>
      </c>
      <c r="B361" s="36" t="s">
        <v>764</v>
      </c>
      <c r="C361" s="37" t="s">
        <v>765</v>
      </c>
      <c r="D361" s="37" t="s">
        <v>123</v>
      </c>
      <c r="E361" s="36" t="n">
        <v>2026</v>
      </c>
      <c r="F361" s="37" t="s">
        <v>101</v>
      </c>
      <c r="G361" s="37" t="s">
        <v>124</v>
      </c>
      <c r="H361" s="36" t="s">
        <v>188</v>
      </c>
      <c r="I361" s="36" t="s">
        <v>215</v>
      </c>
      <c r="J361" s="36" t="s">
        <v>216</v>
      </c>
      <c r="K361" s="38" t="n">
        <v>90</v>
      </c>
      <c r="L361" s="38" t="n">
        <v>8910000</v>
      </c>
      <c r="M361" s="38" t="n">
        <v>3235050</v>
      </c>
      <c r="N361" s="39" t="n">
        <f aca="false">IF(A361="제외",0,IF(OR(N(L361)&lt;=0,N(M361)&gt;N(L361)),N(M361)/요약!$D$27,N(L361)))</f>
        <v>8910000</v>
      </c>
      <c r="O361" s="32" t="str">
        <f aca="false">IF(A361="제외","",IF(OR(N(L361)&lt;=0,N(M361)&gt;N(L361)),"택가보정(판매금액÷공급율)",""))</f>
        <v/>
      </c>
      <c r="P361" s="0" t="str">
        <f aca="false">IF(A361="HK","100",IF(A361="CN","200",IF(A361="TW","300",IF(ISNUMBER(SEARCH("태국",C361)),"500",IF(ISNUMBER(SEARCH("말레이",C361)),"600",IF(ISNUMBER(SEARCH("필리핀",C361)),"700",IF(ISNUMBER(SEARCH("인도네시아",C361)),"800",IF(ISNUMBER(SEARCH("크루즈",C361)),"810",IF(ISNUMBER(SEARCH("동물원",C361)),"830","")))))))))</f>
        <v>100</v>
      </c>
    </row>
    <row r="362" customFormat="false" ht="15" hidden="false" customHeight="false" outlineLevel="0" collapsed="false">
      <c r="A362" s="32" t="str">
        <f aca="false">IF(OR(TRIM(C362)="",SUBSTITUTE(C362," ","")="소계"),"제외",IF(ISNUMBER(SEARCH("홍콩",C362)),"HK",IF(ISNUMBER(SEARCH("상해",C362)),"CN",IF(ISNUMBER(SEARCH("대만",C362)),"TW","홀세일"))))</f>
        <v>HK</v>
      </c>
      <c r="B362" s="36" t="s">
        <v>764</v>
      </c>
      <c r="C362" s="37" t="s">
        <v>765</v>
      </c>
      <c r="D362" s="37" t="s">
        <v>123</v>
      </c>
      <c r="E362" s="36" t="n">
        <v>2026</v>
      </c>
      <c r="F362" s="37" t="s">
        <v>219</v>
      </c>
      <c r="G362" s="37" t="s">
        <v>124</v>
      </c>
      <c r="H362" s="36" t="s">
        <v>131</v>
      </c>
      <c r="I362" s="36" t="s">
        <v>224</v>
      </c>
      <c r="J362" s="36" t="s">
        <v>225</v>
      </c>
      <c r="K362" s="38" t="n">
        <v>170</v>
      </c>
      <c r="L362" s="38" t="n">
        <v>18530000</v>
      </c>
      <c r="M362" s="38" t="n">
        <v>6867830</v>
      </c>
      <c r="N362" s="39" t="n">
        <f aca="false">IF(A362="제외",0,IF(OR(N(L362)&lt;=0,N(M362)&gt;N(L362)),N(M362)/요약!$D$27,N(L362)))</f>
        <v>18530000</v>
      </c>
      <c r="O362" s="32" t="str">
        <f aca="false">IF(A362="제외","",IF(OR(N(L362)&lt;=0,N(M362)&gt;N(L362)),"택가보정(판매금액÷공급율)",""))</f>
        <v/>
      </c>
      <c r="P362" s="0" t="str">
        <f aca="false">IF(A362="HK","100",IF(A362="CN","200",IF(A362="TW","300",IF(ISNUMBER(SEARCH("태국",C362)),"500",IF(ISNUMBER(SEARCH("말레이",C362)),"600",IF(ISNUMBER(SEARCH("필리핀",C362)),"700",IF(ISNUMBER(SEARCH("인도네시아",C362)),"800",IF(ISNUMBER(SEARCH("크루즈",C362)),"810",IF(ISNUMBER(SEARCH("동물원",C362)),"830","")))))))))</f>
        <v>100</v>
      </c>
    </row>
    <row r="363" customFormat="false" ht="15" hidden="false" customHeight="false" outlineLevel="0" collapsed="false">
      <c r="A363" s="32" t="str">
        <f aca="false">IF(OR(TRIM(C363)="",SUBSTITUTE(C363," ","")="소계"),"제외",IF(ISNUMBER(SEARCH("홍콩",C363)),"HK",IF(ISNUMBER(SEARCH("상해",C363)),"CN",IF(ISNUMBER(SEARCH("대만",C363)),"TW","홀세일"))))</f>
        <v>HK</v>
      </c>
      <c r="B363" s="36" t="s">
        <v>764</v>
      </c>
      <c r="C363" s="37" t="s">
        <v>765</v>
      </c>
      <c r="D363" s="37" t="s">
        <v>123</v>
      </c>
      <c r="E363" s="36" t="n">
        <v>2026</v>
      </c>
      <c r="F363" s="37" t="s">
        <v>219</v>
      </c>
      <c r="G363" s="37" t="s">
        <v>124</v>
      </c>
      <c r="H363" s="36" t="s">
        <v>131</v>
      </c>
      <c r="I363" s="36" t="s">
        <v>806</v>
      </c>
      <c r="J363" s="37" t="s">
        <v>807</v>
      </c>
      <c r="K363" s="38" t="n">
        <v>400</v>
      </c>
      <c r="L363" s="38" t="n">
        <v>63600000</v>
      </c>
      <c r="M363" s="38" t="n">
        <v>22978800</v>
      </c>
      <c r="N363" s="39" t="n">
        <f aca="false">IF(A363="제외",0,IF(OR(N(L363)&lt;=0,N(M363)&gt;N(L363)),N(M363)/요약!$D$27,N(L363)))</f>
        <v>63600000</v>
      </c>
      <c r="O363" s="32" t="str">
        <f aca="false">IF(A363="제외","",IF(OR(N(L363)&lt;=0,N(M363)&gt;N(L363)),"택가보정(판매금액÷공급율)",""))</f>
        <v/>
      </c>
      <c r="P363" s="0" t="str">
        <f aca="false">IF(A363="HK","100",IF(A363="CN","200",IF(A363="TW","300",IF(ISNUMBER(SEARCH("태국",C363)),"500",IF(ISNUMBER(SEARCH("말레이",C363)),"600",IF(ISNUMBER(SEARCH("필리핀",C363)),"700",IF(ISNUMBER(SEARCH("인도네시아",C363)),"800",IF(ISNUMBER(SEARCH("크루즈",C363)),"810",IF(ISNUMBER(SEARCH("동물원",C363)),"830","")))))))))</f>
        <v>100</v>
      </c>
    </row>
    <row r="364" customFormat="false" ht="15" hidden="false" customHeight="false" outlineLevel="0" collapsed="false">
      <c r="A364" s="32" t="str">
        <f aca="false">IF(OR(TRIM(C364)="",SUBSTITUTE(C364," ","")="소계"),"제외",IF(ISNUMBER(SEARCH("홍콩",C364)),"HK",IF(ISNUMBER(SEARCH("상해",C364)),"CN",IF(ISNUMBER(SEARCH("대만",C364)),"TW","홀세일"))))</f>
        <v>HK</v>
      </c>
      <c r="B364" s="36" t="s">
        <v>764</v>
      </c>
      <c r="C364" s="37" t="s">
        <v>765</v>
      </c>
      <c r="D364" s="37" t="s">
        <v>123</v>
      </c>
      <c r="E364" s="36" t="n">
        <v>2026</v>
      </c>
      <c r="F364" s="37" t="s">
        <v>219</v>
      </c>
      <c r="G364" s="37" t="s">
        <v>124</v>
      </c>
      <c r="H364" s="36" t="s">
        <v>131</v>
      </c>
      <c r="I364" s="36" t="s">
        <v>808</v>
      </c>
      <c r="J364" s="36" t="s">
        <v>809</v>
      </c>
      <c r="K364" s="38" t="n">
        <v>360</v>
      </c>
      <c r="L364" s="38" t="n">
        <v>60840000</v>
      </c>
      <c r="M364" s="38" t="n">
        <v>22295160</v>
      </c>
      <c r="N364" s="39" t="n">
        <f aca="false">IF(A364="제외",0,IF(OR(N(L364)&lt;=0,N(M364)&gt;N(L364)),N(M364)/요약!$D$27,N(L364)))</f>
        <v>60840000</v>
      </c>
      <c r="O364" s="32" t="str">
        <f aca="false">IF(A364="제외","",IF(OR(N(L364)&lt;=0,N(M364)&gt;N(L364)),"택가보정(판매금액÷공급율)",""))</f>
        <v/>
      </c>
      <c r="P364" s="0" t="str">
        <f aca="false">IF(A364="HK","100",IF(A364="CN","200",IF(A364="TW","300",IF(ISNUMBER(SEARCH("태국",C364)),"500",IF(ISNUMBER(SEARCH("말레이",C364)),"600",IF(ISNUMBER(SEARCH("필리핀",C364)),"700",IF(ISNUMBER(SEARCH("인도네시아",C364)),"800",IF(ISNUMBER(SEARCH("크루즈",C364)),"810",IF(ISNUMBER(SEARCH("동물원",C364)),"830","")))))))))</f>
        <v>100</v>
      </c>
    </row>
    <row r="365" customFormat="false" ht="15" hidden="false" customHeight="false" outlineLevel="0" collapsed="false">
      <c r="A365" s="32" t="str">
        <f aca="false">IF(OR(TRIM(C365)="",SUBSTITUTE(C365," ","")="소계"),"제외",IF(ISNUMBER(SEARCH("홍콩",C365)),"HK",IF(ISNUMBER(SEARCH("상해",C365)),"CN",IF(ISNUMBER(SEARCH("대만",C365)),"TW","홀세일"))))</f>
        <v>HK</v>
      </c>
      <c r="B365" s="36" t="s">
        <v>764</v>
      </c>
      <c r="C365" s="37" t="s">
        <v>765</v>
      </c>
      <c r="D365" s="37" t="s">
        <v>123</v>
      </c>
      <c r="E365" s="36" t="n">
        <v>2026</v>
      </c>
      <c r="F365" s="37" t="s">
        <v>219</v>
      </c>
      <c r="G365" s="37" t="s">
        <v>124</v>
      </c>
      <c r="H365" s="36" t="s">
        <v>125</v>
      </c>
      <c r="I365" s="36" t="s">
        <v>810</v>
      </c>
      <c r="J365" s="37" t="s">
        <v>811</v>
      </c>
      <c r="K365" s="38" t="n">
        <v>330</v>
      </c>
      <c r="L365" s="38" t="n">
        <v>45870000</v>
      </c>
      <c r="M365" s="38" t="n">
        <v>16813830</v>
      </c>
      <c r="N365" s="39" t="n">
        <f aca="false">IF(A365="제외",0,IF(OR(N(L365)&lt;=0,N(M365)&gt;N(L365)),N(M365)/요약!$D$27,N(L365)))</f>
        <v>45870000</v>
      </c>
      <c r="O365" s="32" t="str">
        <f aca="false">IF(A365="제외","",IF(OR(N(L365)&lt;=0,N(M365)&gt;N(L365)),"택가보정(판매금액÷공급율)",""))</f>
        <v/>
      </c>
      <c r="P365" s="0" t="str">
        <f aca="false">IF(A365="HK","100",IF(A365="CN","200",IF(A365="TW","300",IF(ISNUMBER(SEARCH("태국",C365)),"500",IF(ISNUMBER(SEARCH("말레이",C365)),"600",IF(ISNUMBER(SEARCH("필리핀",C365)),"700",IF(ISNUMBER(SEARCH("인도네시아",C365)),"800",IF(ISNUMBER(SEARCH("크루즈",C365)),"810",IF(ISNUMBER(SEARCH("동물원",C365)),"830","")))))))))</f>
        <v>100</v>
      </c>
    </row>
    <row r="366" customFormat="false" ht="15" hidden="false" customHeight="false" outlineLevel="0" collapsed="false">
      <c r="A366" s="32" t="str">
        <f aca="false">IF(OR(TRIM(C366)="",SUBSTITUTE(C366," ","")="소계"),"제외",IF(ISNUMBER(SEARCH("홍콩",C366)),"HK",IF(ISNUMBER(SEARCH("상해",C366)),"CN",IF(ISNUMBER(SEARCH("대만",C366)),"TW","홀세일"))))</f>
        <v>HK</v>
      </c>
      <c r="B366" s="36" t="s">
        <v>764</v>
      </c>
      <c r="C366" s="37" t="s">
        <v>765</v>
      </c>
      <c r="D366" s="37" t="s">
        <v>123</v>
      </c>
      <c r="E366" s="36" t="n">
        <v>2026</v>
      </c>
      <c r="F366" s="37" t="s">
        <v>219</v>
      </c>
      <c r="G366" s="37" t="s">
        <v>124</v>
      </c>
      <c r="H366" s="36" t="s">
        <v>125</v>
      </c>
      <c r="I366" s="36" t="s">
        <v>812</v>
      </c>
      <c r="J366" s="37" t="s">
        <v>813</v>
      </c>
      <c r="K366" s="38" t="n">
        <v>260</v>
      </c>
      <c r="L366" s="38" t="n">
        <v>36140000</v>
      </c>
      <c r="M366" s="38" t="n">
        <v>12888980</v>
      </c>
      <c r="N366" s="39" t="n">
        <f aca="false">IF(A366="제외",0,IF(OR(N(L366)&lt;=0,N(M366)&gt;N(L366)),N(M366)/요약!$D$27,N(L366)))</f>
        <v>36140000</v>
      </c>
      <c r="O366" s="32" t="str">
        <f aca="false">IF(A366="제외","",IF(OR(N(L366)&lt;=0,N(M366)&gt;N(L366)),"택가보정(판매금액÷공급율)",""))</f>
        <v/>
      </c>
      <c r="P366" s="0" t="str">
        <f aca="false">IF(A366="HK","100",IF(A366="CN","200",IF(A366="TW","300",IF(ISNUMBER(SEARCH("태국",C366)),"500",IF(ISNUMBER(SEARCH("말레이",C366)),"600",IF(ISNUMBER(SEARCH("필리핀",C366)),"700",IF(ISNUMBER(SEARCH("인도네시아",C366)),"800",IF(ISNUMBER(SEARCH("크루즈",C366)),"810",IF(ISNUMBER(SEARCH("동물원",C366)),"830","")))))))))</f>
        <v>100</v>
      </c>
    </row>
    <row r="367" customFormat="false" ht="15" hidden="false" customHeight="false" outlineLevel="0" collapsed="false">
      <c r="A367" s="32" t="str">
        <f aca="false">IF(OR(TRIM(C367)="",SUBSTITUTE(C367," ","")="소계"),"제외",IF(ISNUMBER(SEARCH("홍콩",C367)),"HK",IF(ISNUMBER(SEARCH("상해",C367)),"CN",IF(ISNUMBER(SEARCH("대만",C367)),"TW","홀세일"))))</f>
        <v>HK</v>
      </c>
      <c r="B367" s="36" t="s">
        <v>764</v>
      </c>
      <c r="C367" s="37" t="s">
        <v>765</v>
      </c>
      <c r="D367" s="37" t="s">
        <v>123</v>
      </c>
      <c r="E367" s="36" t="n">
        <v>2026</v>
      </c>
      <c r="F367" s="37" t="s">
        <v>219</v>
      </c>
      <c r="G367" s="37" t="s">
        <v>124</v>
      </c>
      <c r="H367" s="36" t="s">
        <v>131</v>
      </c>
      <c r="I367" s="36" t="s">
        <v>814</v>
      </c>
      <c r="J367" s="36" t="s">
        <v>815</v>
      </c>
      <c r="K367" s="38" t="n">
        <v>300</v>
      </c>
      <c r="L367" s="38" t="n">
        <v>59700000</v>
      </c>
      <c r="M367" s="38" t="n">
        <v>23235300</v>
      </c>
      <c r="N367" s="39" t="n">
        <f aca="false">IF(A367="제외",0,IF(OR(N(L367)&lt;=0,N(M367)&gt;N(L367)),N(M367)/요약!$D$27,N(L367)))</f>
        <v>59700000</v>
      </c>
      <c r="O367" s="32" t="str">
        <f aca="false">IF(A367="제외","",IF(OR(N(L367)&lt;=0,N(M367)&gt;N(L367)),"택가보정(판매금액÷공급율)",""))</f>
        <v/>
      </c>
      <c r="P367" s="0" t="str">
        <f aca="false">IF(A367="HK","100",IF(A367="CN","200",IF(A367="TW","300",IF(ISNUMBER(SEARCH("태국",C367)),"500",IF(ISNUMBER(SEARCH("말레이",C367)),"600",IF(ISNUMBER(SEARCH("필리핀",C367)),"700",IF(ISNUMBER(SEARCH("인도네시아",C367)),"800",IF(ISNUMBER(SEARCH("크루즈",C367)),"810",IF(ISNUMBER(SEARCH("동물원",C367)),"830","")))))))))</f>
        <v>100</v>
      </c>
    </row>
    <row r="368" customFormat="false" ht="15" hidden="false" customHeight="false" outlineLevel="0" collapsed="false">
      <c r="A368" s="32" t="str">
        <f aca="false">IF(OR(TRIM(C368)="",SUBSTITUTE(C368," ","")="소계"),"제외",IF(ISNUMBER(SEARCH("홍콩",C368)),"HK",IF(ISNUMBER(SEARCH("상해",C368)),"CN",IF(ISNUMBER(SEARCH("대만",C368)),"TW","홀세일"))))</f>
        <v>HK</v>
      </c>
      <c r="B368" s="36" t="s">
        <v>764</v>
      </c>
      <c r="C368" s="37" t="s">
        <v>765</v>
      </c>
      <c r="D368" s="37" t="s">
        <v>123</v>
      </c>
      <c r="E368" s="36" t="n">
        <v>2026</v>
      </c>
      <c r="F368" s="37" t="s">
        <v>219</v>
      </c>
      <c r="G368" s="37" t="s">
        <v>124</v>
      </c>
      <c r="H368" s="36" t="s">
        <v>125</v>
      </c>
      <c r="I368" s="36" t="s">
        <v>816</v>
      </c>
      <c r="J368" s="37" t="s">
        <v>817</v>
      </c>
      <c r="K368" s="38" t="n">
        <v>250</v>
      </c>
      <c r="L368" s="38" t="n">
        <v>32250000</v>
      </c>
      <c r="M368" s="38" t="n">
        <v>12377250</v>
      </c>
      <c r="N368" s="39" t="n">
        <f aca="false">IF(A368="제외",0,IF(OR(N(L368)&lt;=0,N(M368)&gt;N(L368)),N(M368)/요약!$D$27,N(L368)))</f>
        <v>32250000</v>
      </c>
      <c r="O368" s="32" t="str">
        <f aca="false">IF(A368="제외","",IF(OR(N(L368)&lt;=0,N(M368)&gt;N(L368)),"택가보정(판매금액÷공급율)",""))</f>
        <v/>
      </c>
      <c r="P368" s="0" t="str">
        <f aca="false">IF(A368="HK","100",IF(A368="CN","200",IF(A368="TW","300",IF(ISNUMBER(SEARCH("태국",C368)),"500",IF(ISNUMBER(SEARCH("말레이",C368)),"600",IF(ISNUMBER(SEARCH("필리핀",C368)),"700",IF(ISNUMBER(SEARCH("인도네시아",C368)),"800",IF(ISNUMBER(SEARCH("크루즈",C368)),"810",IF(ISNUMBER(SEARCH("동물원",C368)),"830","")))))))))</f>
        <v>100</v>
      </c>
    </row>
    <row r="369" customFormat="false" ht="15" hidden="false" customHeight="false" outlineLevel="0" collapsed="false">
      <c r="A369" s="32" t="str">
        <f aca="false">IF(OR(TRIM(C369)="",SUBSTITUTE(C369," ","")="소계"),"제외",IF(ISNUMBER(SEARCH("홍콩",C369)),"HK",IF(ISNUMBER(SEARCH("상해",C369)),"CN",IF(ISNUMBER(SEARCH("대만",C369)),"TW","홀세일"))))</f>
        <v>HK</v>
      </c>
      <c r="B369" s="36" t="s">
        <v>764</v>
      </c>
      <c r="C369" s="37" t="s">
        <v>765</v>
      </c>
      <c r="D369" s="37" t="s">
        <v>123</v>
      </c>
      <c r="E369" s="36" t="n">
        <v>2026</v>
      </c>
      <c r="F369" s="37" t="s">
        <v>219</v>
      </c>
      <c r="G369" s="37" t="s">
        <v>124</v>
      </c>
      <c r="H369" s="36" t="s">
        <v>125</v>
      </c>
      <c r="I369" s="36" t="s">
        <v>818</v>
      </c>
      <c r="J369" s="37" t="s">
        <v>819</v>
      </c>
      <c r="K369" s="38" t="n">
        <v>180</v>
      </c>
      <c r="L369" s="38" t="n">
        <v>30420000</v>
      </c>
      <c r="M369" s="38" t="n">
        <v>11267280</v>
      </c>
      <c r="N369" s="39" t="n">
        <f aca="false">IF(A369="제외",0,IF(OR(N(L369)&lt;=0,N(M369)&gt;N(L369)),N(M369)/요약!$D$27,N(L369)))</f>
        <v>30420000</v>
      </c>
      <c r="O369" s="32" t="str">
        <f aca="false">IF(A369="제외","",IF(OR(N(L369)&lt;=0,N(M369)&gt;N(L369)),"택가보정(판매금액÷공급율)",""))</f>
        <v/>
      </c>
      <c r="P369" s="0" t="str">
        <f aca="false">IF(A369="HK","100",IF(A369="CN","200",IF(A369="TW","300",IF(ISNUMBER(SEARCH("태국",C369)),"500",IF(ISNUMBER(SEARCH("말레이",C369)),"600",IF(ISNUMBER(SEARCH("필리핀",C369)),"700",IF(ISNUMBER(SEARCH("인도네시아",C369)),"800",IF(ISNUMBER(SEARCH("크루즈",C369)),"810",IF(ISNUMBER(SEARCH("동물원",C369)),"830","")))))))))</f>
        <v>100</v>
      </c>
    </row>
    <row r="370" customFormat="false" ht="15" hidden="false" customHeight="false" outlineLevel="0" collapsed="false">
      <c r="A370" s="32" t="str">
        <f aca="false">IF(OR(TRIM(C370)="",SUBSTITUTE(C370," ","")="소계"),"제외",IF(ISNUMBER(SEARCH("홍콩",C370)),"HK",IF(ISNUMBER(SEARCH("상해",C370)),"CN",IF(ISNUMBER(SEARCH("대만",C370)),"TW","홀세일"))))</f>
        <v>HK</v>
      </c>
      <c r="B370" s="36" t="s">
        <v>764</v>
      </c>
      <c r="C370" s="37" t="s">
        <v>765</v>
      </c>
      <c r="D370" s="37" t="s">
        <v>123</v>
      </c>
      <c r="E370" s="36" t="n">
        <v>2026</v>
      </c>
      <c r="F370" s="37" t="s">
        <v>219</v>
      </c>
      <c r="G370" s="37" t="s">
        <v>124</v>
      </c>
      <c r="H370" s="36" t="s">
        <v>125</v>
      </c>
      <c r="I370" s="36" t="s">
        <v>228</v>
      </c>
      <c r="J370" s="37" t="s">
        <v>229</v>
      </c>
      <c r="K370" s="38" t="n">
        <v>430</v>
      </c>
      <c r="L370" s="38" t="n">
        <v>38270000</v>
      </c>
      <c r="M370" s="38" t="n">
        <v>14180110</v>
      </c>
      <c r="N370" s="39" t="n">
        <f aca="false">IF(A370="제외",0,IF(OR(N(L370)&lt;=0,N(M370)&gt;N(L370)),N(M370)/요약!$D$27,N(L370)))</f>
        <v>38270000</v>
      </c>
      <c r="O370" s="32" t="str">
        <f aca="false">IF(A370="제외","",IF(OR(N(L370)&lt;=0,N(M370)&gt;N(L370)),"택가보정(판매금액÷공급율)",""))</f>
        <v/>
      </c>
      <c r="P370" s="0" t="str">
        <f aca="false">IF(A370="HK","100",IF(A370="CN","200",IF(A370="TW","300",IF(ISNUMBER(SEARCH("태국",C370)),"500",IF(ISNUMBER(SEARCH("말레이",C370)),"600",IF(ISNUMBER(SEARCH("필리핀",C370)),"700",IF(ISNUMBER(SEARCH("인도네시아",C370)),"800",IF(ISNUMBER(SEARCH("크루즈",C370)),"810",IF(ISNUMBER(SEARCH("동물원",C370)),"830","")))))))))</f>
        <v>100</v>
      </c>
    </row>
    <row r="371" customFormat="false" ht="15" hidden="false" customHeight="false" outlineLevel="0" collapsed="false">
      <c r="A371" s="32" t="str">
        <f aca="false">IF(OR(TRIM(C371)="",SUBSTITUTE(C371," ","")="소계"),"제외",IF(ISNUMBER(SEARCH("홍콩",C371)),"HK",IF(ISNUMBER(SEARCH("상해",C371)),"CN",IF(ISNUMBER(SEARCH("대만",C371)),"TW","홀세일"))))</f>
        <v>HK</v>
      </c>
      <c r="B371" s="36" t="s">
        <v>764</v>
      </c>
      <c r="C371" s="37" t="s">
        <v>765</v>
      </c>
      <c r="D371" s="37" t="s">
        <v>123</v>
      </c>
      <c r="E371" s="36" t="n">
        <v>2026</v>
      </c>
      <c r="F371" s="37" t="s">
        <v>219</v>
      </c>
      <c r="G371" s="37" t="s">
        <v>124</v>
      </c>
      <c r="H371" s="36" t="s">
        <v>125</v>
      </c>
      <c r="I371" s="36" t="s">
        <v>230</v>
      </c>
      <c r="J371" s="37" t="s">
        <v>231</v>
      </c>
      <c r="K371" s="38" t="n">
        <v>390</v>
      </c>
      <c r="L371" s="38" t="n">
        <v>42510000</v>
      </c>
      <c r="M371" s="38" t="n">
        <v>15755610</v>
      </c>
      <c r="N371" s="39" t="n">
        <f aca="false">IF(A371="제외",0,IF(OR(N(L371)&lt;=0,N(M371)&gt;N(L371)),N(M371)/요약!$D$27,N(L371)))</f>
        <v>42510000</v>
      </c>
      <c r="O371" s="32" t="str">
        <f aca="false">IF(A371="제외","",IF(OR(N(L371)&lt;=0,N(M371)&gt;N(L371)),"택가보정(판매금액÷공급율)",""))</f>
        <v/>
      </c>
      <c r="P371" s="0" t="str">
        <f aca="false">IF(A371="HK","100",IF(A371="CN","200",IF(A371="TW","300",IF(ISNUMBER(SEARCH("태국",C371)),"500",IF(ISNUMBER(SEARCH("말레이",C371)),"600",IF(ISNUMBER(SEARCH("필리핀",C371)),"700",IF(ISNUMBER(SEARCH("인도네시아",C371)),"800",IF(ISNUMBER(SEARCH("크루즈",C371)),"810",IF(ISNUMBER(SEARCH("동물원",C371)),"830","")))))))))</f>
        <v>100</v>
      </c>
    </row>
    <row r="372" customFormat="false" ht="15" hidden="false" customHeight="false" outlineLevel="0" collapsed="false">
      <c r="A372" s="32" t="str">
        <f aca="false">IF(OR(TRIM(C372)="",SUBSTITUTE(C372," ","")="소계"),"제외",IF(ISNUMBER(SEARCH("홍콩",C372)),"HK",IF(ISNUMBER(SEARCH("상해",C372)),"CN",IF(ISNUMBER(SEARCH("대만",C372)),"TW","홀세일"))))</f>
        <v>HK</v>
      </c>
      <c r="B372" s="36" t="s">
        <v>764</v>
      </c>
      <c r="C372" s="37" t="s">
        <v>765</v>
      </c>
      <c r="D372" s="37" t="s">
        <v>123</v>
      </c>
      <c r="E372" s="36" t="n">
        <v>2026</v>
      </c>
      <c r="F372" s="37" t="s">
        <v>219</v>
      </c>
      <c r="G372" s="37" t="s">
        <v>124</v>
      </c>
      <c r="H372" s="36" t="s">
        <v>131</v>
      </c>
      <c r="I372" s="36" t="s">
        <v>820</v>
      </c>
      <c r="J372" s="36" t="s">
        <v>821</v>
      </c>
      <c r="K372" s="38" t="n">
        <v>100</v>
      </c>
      <c r="L372" s="38" t="n">
        <v>15900000</v>
      </c>
      <c r="M372" s="38" t="n">
        <v>5889600</v>
      </c>
      <c r="N372" s="39" t="n">
        <f aca="false">IF(A372="제외",0,IF(OR(N(L372)&lt;=0,N(M372)&gt;N(L372)),N(M372)/요약!$D$27,N(L372)))</f>
        <v>15900000</v>
      </c>
      <c r="O372" s="32" t="str">
        <f aca="false">IF(A372="제외","",IF(OR(N(L372)&lt;=0,N(M372)&gt;N(L372)),"택가보정(판매금액÷공급율)",""))</f>
        <v/>
      </c>
      <c r="P372" s="0" t="str">
        <f aca="false">IF(A372="HK","100",IF(A372="CN","200",IF(A372="TW","300",IF(ISNUMBER(SEARCH("태국",C372)),"500",IF(ISNUMBER(SEARCH("말레이",C372)),"600",IF(ISNUMBER(SEARCH("필리핀",C372)),"700",IF(ISNUMBER(SEARCH("인도네시아",C372)),"800",IF(ISNUMBER(SEARCH("크루즈",C372)),"810",IF(ISNUMBER(SEARCH("동물원",C372)),"830","")))))))))</f>
        <v>100</v>
      </c>
    </row>
    <row r="373" customFormat="false" ht="15" hidden="false" customHeight="false" outlineLevel="0" collapsed="false">
      <c r="A373" s="32" t="str">
        <f aca="false">IF(OR(TRIM(C373)="",SUBSTITUTE(C373," ","")="소계"),"제외",IF(ISNUMBER(SEARCH("홍콩",C373)),"HK",IF(ISNUMBER(SEARCH("상해",C373)),"CN",IF(ISNUMBER(SEARCH("대만",C373)),"TW","홀세일"))))</f>
        <v>HK</v>
      </c>
      <c r="B373" s="36" t="s">
        <v>764</v>
      </c>
      <c r="C373" s="37" t="s">
        <v>765</v>
      </c>
      <c r="D373" s="37" t="s">
        <v>123</v>
      </c>
      <c r="E373" s="36" t="n">
        <v>2026</v>
      </c>
      <c r="F373" s="37" t="s">
        <v>219</v>
      </c>
      <c r="G373" s="37" t="s">
        <v>124</v>
      </c>
      <c r="H373" s="36" t="s">
        <v>125</v>
      </c>
      <c r="I373" s="36" t="s">
        <v>232</v>
      </c>
      <c r="J373" s="37" t="s">
        <v>233</v>
      </c>
      <c r="K373" s="38" t="n">
        <v>180</v>
      </c>
      <c r="L373" s="38" t="n">
        <v>26820000</v>
      </c>
      <c r="M373" s="38" t="n">
        <v>9935460</v>
      </c>
      <c r="N373" s="39" t="n">
        <f aca="false">IF(A373="제외",0,IF(OR(N(L373)&lt;=0,N(M373)&gt;N(L373)),N(M373)/요약!$D$27,N(L373)))</f>
        <v>26820000</v>
      </c>
      <c r="O373" s="32" t="str">
        <f aca="false">IF(A373="제외","",IF(OR(N(L373)&lt;=0,N(M373)&gt;N(L373)),"택가보정(판매금액÷공급율)",""))</f>
        <v/>
      </c>
      <c r="P373" s="0" t="str">
        <f aca="false">IF(A373="HK","100",IF(A373="CN","200",IF(A373="TW","300",IF(ISNUMBER(SEARCH("태국",C373)),"500",IF(ISNUMBER(SEARCH("말레이",C373)),"600",IF(ISNUMBER(SEARCH("필리핀",C373)),"700",IF(ISNUMBER(SEARCH("인도네시아",C373)),"800",IF(ISNUMBER(SEARCH("크루즈",C373)),"810",IF(ISNUMBER(SEARCH("동물원",C373)),"830","")))))))))</f>
        <v>100</v>
      </c>
    </row>
    <row r="374" customFormat="false" ht="15" hidden="false" customHeight="false" outlineLevel="0" collapsed="false">
      <c r="A374" s="32" t="str">
        <f aca="false">IF(OR(TRIM(C374)="",SUBSTITUTE(C374," ","")="소계"),"제외",IF(ISNUMBER(SEARCH("홍콩",C374)),"HK",IF(ISNUMBER(SEARCH("상해",C374)),"CN",IF(ISNUMBER(SEARCH("대만",C374)),"TW","홀세일"))))</f>
        <v>HK</v>
      </c>
      <c r="B374" s="36" t="s">
        <v>764</v>
      </c>
      <c r="C374" s="37" t="s">
        <v>765</v>
      </c>
      <c r="D374" s="37" t="s">
        <v>123</v>
      </c>
      <c r="E374" s="36" t="n">
        <v>2026</v>
      </c>
      <c r="F374" s="37" t="s">
        <v>219</v>
      </c>
      <c r="G374" s="37" t="s">
        <v>124</v>
      </c>
      <c r="H374" s="36" t="s">
        <v>131</v>
      </c>
      <c r="I374" s="36" t="s">
        <v>234</v>
      </c>
      <c r="J374" s="37" t="s">
        <v>235</v>
      </c>
      <c r="K374" s="38" t="n">
        <v>750</v>
      </c>
      <c r="L374" s="38" t="n">
        <v>44250000</v>
      </c>
      <c r="M374" s="38" t="n">
        <v>16858500</v>
      </c>
      <c r="N374" s="39" t="n">
        <f aca="false">IF(A374="제외",0,IF(OR(N(L374)&lt;=0,N(M374)&gt;N(L374)),N(M374)/요약!$D$27,N(L374)))</f>
        <v>44250000</v>
      </c>
      <c r="O374" s="32" t="str">
        <f aca="false">IF(A374="제외","",IF(OR(N(L374)&lt;=0,N(M374)&gt;N(L374)),"택가보정(판매금액÷공급율)",""))</f>
        <v/>
      </c>
      <c r="P374" s="0" t="str">
        <f aca="false">IF(A374="HK","100",IF(A374="CN","200",IF(A374="TW","300",IF(ISNUMBER(SEARCH("태국",C374)),"500",IF(ISNUMBER(SEARCH("말레이",C374)),"600",IF(ISNUMBER(SEARCH("필리핀",C374)),"700",IF(ISNUMBER(SEARCH("인도네시아",C374)),"800",IF(ISNUMBER(SEARCH("크루즈",C374)),"810",IF(ISNUMBER(SEARCH("동물원",C374)),"830","")))))))))</f>
        <v>100</v>
      </c>
    </row>
    <row r="375" customFormat="false" ht="15" hidden="false" customHeight="false" outlineLevel="0" collapsed="false">
      <c r="A375" s="32" t="str">
        <f aca="false">IF(OR(TRIM(C375)="",SUBSTITUTE(C375," ","")="소계"),"제외",IF(ISNUMBER(SEARCH("홍콩",C375)),"HK",IF(ISNUMBER(SEARCH("상해",C375)),"CN",IF(ISNUMBER(SEARCH("대만",C375)),"TW","홀세일"))))</f>
        <v>HK</v>
      </c>
      <c r="B375" s="36" t="s">
        <v>764</v>
      </c>
      <c r="C375" s="37" t="s">
        <v>765</v>
      </c>
      <c r="D375" s="37" t="s">
        <v>123</v>
      </c>
      <c r="E375" s="36" t="n">
        <v>2026</v>
      </c>
      <c r="F375" s="37" t="s">
        <v>219</v>
      </c>
      <c r="G375" s="37" t="s">
        <v>124</v>
      </c>
      <c r="H375" s="36" t="s">
        <v>131</v>
      </c>
      <c r="I375" s="36" t="s">
        <v>236</v>
      </c>
      <c r="J375" s="36" t="s">
        <v>237</v>
      </c>
      <c r="K375" s="38" t="n">
        <v>80</v>
      </c>
      <c r="L375" s="38" t="n">
        <v>6320000</v>
      </c>
      <c r="M375" s="38" t="n">
        <v>2319120</v>
      </c>
      <c r="N375" s="39" t="n">
        <f aca="false">IF(A375="제외",0,IF(OR(N(L375)&lt;=0,N(M375)&gt;N(L375)),N(M375)/요약!$D$27,N(L375)))</f>
        <v>6320000</v>
      </c>
      <c r="O375" s="32" t="str">
        <f aca="false">IF(A375="제외","",IF(OR(N(L375)&lt;=0,N(M375)&gt;N(L375)),"택가보정(판매금액÷공급율)",""))</f>
        <v/>
      </c>
      <c r="P375" s="0" t="str">
        <f aca="false">IF(A375="HK","100",IF(A375="CN","200",IF(A375="TW","300",IF(ISNUMBER(SEARCH("태국",C375)),"500",IF(ISNUMBER(SEARCH("말레이",C375)),"600",IF(ISNUMBER(SEARCH("필리핀",C375)),"700",IF(ISNUMBER(SEARCH("인도네시아",C375)),"800",IF(ISNUMBER(SEARCH("크루즈",C375)),"810",IF(ISNUMBER(SEARCH("동물원",C375)),"830","")))))))))</f>
        <v>100</v>
      </c>
    </row>
    <row r="376" customFormat="false" ht="15" hidden="false" customHeight="false" outlineLevel="0" collapsed="false">
      <c r="A376" s="32" t="str">
        <f aca="false">IF(OR(TRIM(C376)="",SUBSTITUTE(C376," ","")="소계"),"제외",IF(ISNUMBER(SEARCH("홍콩",C376)),"HK",IF(ISNUMBER(SEARCH("상해",C376)),"CN",IF(ISNUMBER(SEARCH("대만",C376)),"TW","홀세일"))))</f>
        <v>HK</v>
      </c>
      <c r="B376" s="36" t="s">
        <v>764</v>
      </c>
      <c r="C376" s="37" t="s">
        <v>765</v>
      </c>
      <c r="D376" s="37" t="s">
        <v>123</v>
      </c>
      <c r="E376" s="36" t="n">
        <v>2026</v>
      </c>
      <c r="F376" s="37" t="s">
        <v>219</v>
      </c>
      <c r="G376" s="37" t="s">
        <v>124</v>
      </c>
      <c r="H376" s="36" t="s">
        <v>131</v>
      </c>
      <c r="I376" s="36" t="s">
        <v>238</v>
      </c>
      <c r="J376" s="36" t="s">
        <v>239</v>
      </c>
      <c r="K376" s="38" t="n">
        <v>80</v>
      </c>
      <c r="L376" s="38" t="n">
        <v>6320000</v>
      </c>
      <c r="M376" s="38" t="n">
        <v>2319120</v>
      </c>
      <c r="N376" s="39" t="n">
        <f aca="false">IF(A376="제외",0,IF(OR(N(L376)&lt;=0,N(M376)&gt;N(L376)),N(M376)/요약!$D$27,N(L376)))</f>
        <v>6320000</v>
      </c>
      <c r="O376" s="32" t="str">
        <f aca="false">IF(A376="제외","",IF(OR(N(L376)&lt;=0,N(M376)&gt;N(L376)),"택가보정(판매금액÷공급율)",""))</f>
        <v/>
      </c>
      <c r="P376" s="0" t="str">
        <f aca="false">IF(A376="HK","100",IF(A376="CN","200",IF(A376="TW","300",IF(ISNUMBER(SEARCH("태국",C376)),"500",IF(ISNUMBER(SEARCH("말레이",C376)),"600",IF(ISNUMBER(SEARCH("필리핀",C376)),"700",IF(ISNUMBER(SEARCH("인도네시아",C376)),"800",IF(ISNUMBER(SEARCH("크루즈",C376)),"810",IF(ISNUMBER(SEARCH("동물원",C376)),"830","")))))))))</f>
        <v>100</v>
      </c>
    </row>
    <row r="377" customFormat="false" ht="15" hidden="false" customHeight="false" outlineLevel="0" collapsed="false">
      <c r="A377" s="32" t="str">
        <f aca="false">IF(OR(TRIM(C377)="",SUBSTITUTE(C377," ","")="소계"),"제외",IF(ISNUMBER(SEARCH("홍콩",C377)),"HK",IF(ISNUMBER(SEARCH("상해",C377)),"CN",IF(ISNUMBER(SEARCH("대만",C377)),"TW","홀세일"))))</f>
        <v>HK</v>
      </c>
      <c r="B377" s="36" t="s">
        <v>764</v>
      </c>
      <c r="C377" s="37" t="s">
        <v>765</v>
      </c>
      <c r="D377" s="37" t="s">
        <v>123</v>
      </c>
      <c r="E377" s="36" t="n">
        <v>2026</v>
      </c>
      <c r="F377" s="37" t="s">
        <v>219</v>
      </c>
      <c r="G377" s="37" t="s">
        <v>124</v>
      </c>
      <c r="H377" s="36" t="s">
        <v>131</v>
      </c>
      <c r="I377" s="36" t="s">
        <v>240</v>
      </c>
      <c r="J377" s="36" t="s">
        <v>241</v>
      </c>
      <c r="K377" s="38" t="n">
        <v>210</v>
      </c>
      <c r="L377" s="38" t="n">
        <v>14490000</v>
      </c>
      <c r="M377" s="38" t="n">
        <v>5319090</v>
      </c>
      <c r="N377" s="39" t="n">
        <f aca="false">IF(A377="제외",0,IF(OR(N(L377)&lt;=0,N(M377)&gt;N(L377)),N(M377)/요약!$D$27,N(L377)))</f>
        <v>14490000</v>
      </c>
      <c r="O377" s="32" t="str">
        <f aca="false">IF(A377="제외","",IF(OR(N(L377)&lt;=0,N(M377)&gt;N(L377)),"택가보정(판매금액÷공급율)",""))</f>
        <v/>
      </c>
      <c r="P377" s="0" t="str">
        <f aca="false">IF(A377="HK","100",IF(A377="CN","200",IF(A377="TW","300",IF(ISNUMBER(SEARCH("태국",C377)),"500",IF(ISNUMBER(SEARCH("말레이",C377)),"600",IF(ISNUMBER(SEARCH("필리핀",C377)),"700",IF(ISNUMBER(SEARCH("인도네시아",C377)),"800",IF(ISNUMBER(SEARCH("크루즈",C377)),"810",IF(ISNUMBER(SEARCH("동물원",C377)),"830","")))))))))</f>
        <v>100</v>
      </c>
    </row>
    <row r="378" customFormat="false" ht="15" hidden="false" customHeight="false" outlineLevel="0" collapsed="false">
      <c r="A378" s="32" t="str">
        <f aca="false">IF(OR(TRIM(C378)="",SUBSTITUTE(C378," ","")="소계"),"제외",IF(ISNUMBER(SEARCH("홍콩",C378)),"HK",IF(ISNUMBER(SEARCH("상해",C378)),"CN",IF(ISNUMBER(SEARCH("대만",C378)),"TW","홀세일"))))</f>
        <v>HK</v>
      </c>
      <c r="B378" s="36" t="s">
        <v>764</v>
      </c>
      <c r="C378" s="37" t="s">
        <v>765</v>
      </c>
      <c r="D378" s="37" t="s">
        <v>123</v>
      </c>
      <c r="E378" s="36" t="n">
        <v>2026</v>
      </c>
      <c r="F378" s="37" t="s">
        <v>219</v>
      </c>
      <c r="G378" s="37" t="s">
        <v>124</v>
      </c>
      <c r="H378" s="36" t="s">
        <v>131</v>
      </c>
      <c r="I378" s="36" t="s">
        <v>822</v>
      </c>
      <c r="J378" s="36" t="s">
        <v>823</v>
      </c>
      <c r="K378" s="38" t="n">
        <v>339</v>
      </c>
      <c r="L378" s="38" t="n">
        <v>20001000</v>
      </c>
      <c r="M378" s="38" t="n">
        <v>7424439</v>
      </c>
      <c r="N378" s="39" t="n">
        <f aca="false">IF(A378="제외",0,IF(OR(N(L378)&lt;=0,N(M378)&gt;N(L378)),N(M378)/요약!$D$27,N(L378)))</f>
        <v>20001000</v>
      </c>
      <c r="O378" s="32" t="str">
        <f aca="false">IF(A378="제외","",IF(OR(N(L378)&lt;=0,N(M378)&gt;N(L378)),"택가보정(판매금액÷공급율)",""))</f>
        <v/>
      </c>
      <c r="P378" s="0" t="str">
        <f aca="false">IF(A378="HK","100",IF(A378="CN","200",IF(A378="TW","300",IF(ISNUMBER(SEARCH("태국",C378)),"500",IF(ISNUMBER(SEARCH("말레이",C378)),"600",IF(ISNUMBER(SEARCH("필리핀",C378)),"700",IF(ISNUMBER(SEARCH("인도네시아",C378)),"800",IF(ISNUMBER(SEARCH("크루즈",C378)),"810",IF(ISNUMBER(SEARCH("동물원",C378)),"830","")))))))))</f>
        <v>100</v>
      </c>
    </row>
    <row r="379" customFormat="false" ht="15" hidden="false" customHeight="false" outlineLevel="0" collapsed="false">
      <c r="A379" s="32" t="str">
        <f aca="false">IF(OR(TRIM(C379)="",SUBSTITUTE(C379," ","")="소계"),"제외",IF(ISNUMBER(SEARCH("홍콩",C379)),"HK",IF(ISNUMBER(SEARCH("상해",C379)),"CN",IF(ISNUMBER(SEARCH("대만",C379)),"TW","홀세일"))))</f>
        <v>HK</v>
      </c>
      <c r="B379" s="36" t="s">
        <v>764</v>
      </c>
      <c r="C379" s="37" t="s">
        <v>765</v>
      </c>
      <c r="D379" s="37" t="s">
        <v>123</v>
      </c>
      <c r="E379" s="36" t="n">
        <v>2026</v>
      </c>
      <c r="F379" s="37" t="s">
        <v>219</v>
      </c>
      <c r="G379" s="37" t="s">
        <v>124</v>
      </c>
      <c r="H379" s="36" t="s">
        <v>131</v>
      </c>
      <c r="I379" s="36" t="s">
        <v>242</v>
      </c>
      <c r="J379" s="36" t="s">
        <v>243</v>
      </c>
      <c r="K379" s="38" t="n">
        <v>80</v>
      </c>
      <c r="L379" s="38" t="n">
        <v>6320000</v>
      </c>
      <c r="M379" s="38" t="n">
        <v>2344000</v>
      </c>
      <c r="N379" s="39" t="n">
        <f aca="false">IF(A379="제외",0,IF(OR(N(L379)&lt;=0,N(M379)&gt;N(L379)),N(M379)/요약!$D$27,N(L379)))</f>
        <v>6320000</v>
      </c>
      <c r="O379" s="32" t="str">
        <f aca="false">IF(A379="제외","",IF(OR(N(L379)&lt;=0,N(M379)&gt;N(L379)),"택가보정(판매금액÷공급율)",""))</f>
        <v/>
      </c>
      <c r="P379" s="0" t="str">
        <f aca="false">IF(A379="HK","100",IF(A379="CN","200",IF(A379="TW","300",IF(ISNUMBER(SEARCH("태국",C379)),"500",IF(ISNUMBER(SEARCH("말레이",C379)),"600",IF(ISNUMBER(SEARCH("필리핀",C379)),"700",IF(ISNUMBER(SEARCH("인도네시아",C379)),"800",IF(ISNUMBER(SEARCH("크루즈",C379)),"810",IF(ISNUMBER(SEARCH("동물원",C379)),"830","")))))))))</f>
        <v>100</v>
      </c>
    </row>
    <row r="380" customFormat="false" ht="15" hidden="false" customHeight="false" outlineLevel="0" collapsed="false">
      <c r="A380" s="32" t="str">
        <f aca="false">IF(OR(TRIM(C380)="",SUBSTITUTE(C380," ","")="소계"),"제외",IF(ISNUMBER(SEARCH("홍콩",C380)),"HK",IF(ISNUMBER(SEARCH("상해",C380)),"CN",IF(ISNUMBER(SEARCH("대만",C380)),"TW","홀세일"))))</f>
        <v>HK</v>
      </c>
      <c r="B380" s="36" t="s">
        <v>764</v>
      </c>
      <c r="C380" s="37" t="s">
        <v>765</v>
      </c>
      <c r="D380" s="37" t="s">
        <v>123</v>
      </c>
      <c r="E380" s="36" t="n">
        <v>2026</v>
      </c>
      <c r="F380" s="37" t="s">
        <v>219</v>
      </c>
      <c r="G380" s="37" t="s">
        <v>124</v>
      </c>
      <c r="H380" s="36" t="s">
        <v>125</v>
      </c>
      <c r="I380" s="36" t="s">
        <v>824</v>
      </c>
      <c r="J380" s="37" t="s">
        <v>825</v>
      </c>
      <c r="K380" s="38" t="n">
        <v>340</v>
      </c>
      <c r="L380" s="38" t="n">
        <v>23460000</v>
      </c>
      <c r="M380" s="38" t="n">
        <v>8490140</v>
      </c>
      <c r="N380" s="39" t="n">
        <f aca="false">IF(A380="제외",0,IF(OR(N(L380)&lt;=0,N(M380)&gt;N(L380)),N(M380)/요약!$D$27,N(L380)))</f>
        <v>23460000</v>
      </c>
      <c r="O380" s="32" t="str">
        <f aca="false">IF(A380="제외","",IF(OR(N(L380)&lt;=0,N(M380)&gt;N(L380)),"택가보정(판매금액÷공급율)",""))</f>
        <v/>
      </c>
      <c r="P380" s="0" t="str">
        <f aca="false">IF(A380="HK","100",IF(A380="CN","200",IF(A380="TW","300",IF(ISNUMBER(SEARCH("태국",C380)),"500",IF(ISNUMBER(SEARCH("말레이",C380)),"600",IF(ISNUMBER(SEARCH("필리핀",C380)),"700",IF(ISNUMBER(SEARCH("인도네시아",C380)),"800",IF(ISNUMBER(SEARCH("크루즈",C380)),"810",IF(ISNUMBER(SEARCH("동물원",C380)),"830","")))))))))</f>
        <v>100</v>
      </c>
    </row>
    <row r="381" customFormat="false" ht="15" hidden="false" customHeight="false" outlineLevel="0" collapsed="false">
      <c r="A381" s="32" t="str">
        <f aca="false">IF(OR(TRIM(C381)="",SUBSTITUTE(C381," ","")="소계"),"제외",IF(ISNUMBER(SEARCH("홍콩",C381)),"HK",IF(ISNUMBER(SEARCH("상해",C381)),"CN",IF(ISNUMBER(SEARCH("대만",C381)),"TW","홀세일"))))</f>
        <v>HK</v>
      </c>
      <c r="B381" s="36" t="s">
        <v>764</v>
      </c>
      <c r="C381" s="37" t="s">
        <v>765</v>
      </c>
      <c r="D381" s="37" t="s">
        <v>123</v>
      </c>
      <c r="E381" s="36" t="n">
        <v>2026</v>
      </c>
      <c r="F381" s="37" t="s">
        <v>219</v>
      </c>
      <c r="G381" s="37" t="s">
        <v>124</v>
      </c>
      <c r="H381" s="36" t="s">
        <v>125</v>
      </c>
      <c r="I381" s="36" t="s">
        <v>244</v>
      </c>
      <c r="J381" s="37" t="s">
        <v>245</v>
      </c>
      <c r="K381" s="38" t="n">
        <v>660</v>
      </c>
      <c r="L381" s="38" t="n">
        <v>52140000</v>
      </c>
      <c r="M381" s="38" t="n">
        <v>19338000</v>
      </c>
      <c r="N381" s="39" t="n">
        <f aca="false">IF(A381="제외",0,IF(OR(N(L381)&lt;=0,N(M381)&gt;N(L381)),N(M381)/요약!$D$27,N(L381)))</f>
        <v>52140000</v>
      </c>
      <c r="O381" s="32" t="str">
        <f aca="false">IF(A381="제외","",IF(OR(N(L381)&lt;=0,N(M381)&gt;N(L381)),"택가보정(판매금액÷공급율)",""))</f>
        <v/>
      </c>
      <c r="P381" s="0" t="str">
        <f aca="false">IF(A381="HK","100",IF(A381="CN","200",IF(A381="TW","300",IF(ISNUMBER(SEARCH("태국",C381)),"500",IF(ISNUMBER(SEARCH("말레이",C381)),"600",IF(ISNUMBER(SEARCH("필리핀",C381)),"700",IF(ISNUMBER(SEARCH("인도네시아",C381)),"800",IF(ISNUMBER(SEARCH("크루즈",C381)),"810",IF(ISNUMBER(SEARCH("동물원",C381)),"830","")))))))))</f>
        <v>100</v>
      </c>
    </row>
    <row r="382" customFormat="false" ht="15" hidden="false" customHeight="false" outlineLevel="0" collapsed="false">
      <c r="A382" s="32" t="str">
        <f aca="false">IF(OR(TRIM(C382)="",SUBSTITUTE(C382," ","")="소계"),"제외",IF(ISNUMBER(SEARCH("홍콩",C382)),"HK",IF(ISNUMBER(SEARCH("상해",C382)),"CN",IF(ISNUMBER(SEARCH("대만",C382)),"TW","홀세일"))))</f>
        <v>HK</v>
      </c>
      <c r="B382" s="36" t="s">
        <v>764</v>
      </c>
      <c r="C382" s="37" t="s">
        <v>765</v>
      </c>
      <c r="D382" s="37" t="s">
        <v>123</v>
      </c>
      <c r="E382" s="36" t="n">
        <v>2026</v>
      </c>
      <c r="F382" s="37" t="s">
        <v>219</v>
      </c>
      <c r="G382" s="37" t="s">
        <v>124</v>
      </c>
      <c r="H382" s="36" t="s">
        <v>131</v>
      </c>
      <c r="I382" s="36" t="s">
        <v>246</v>
      </c>
      <c r="J382" s="37" t="s">
        <v>247</v>
      </c>
      <c r="K382" s="38" t="n">
        <v>260</v>
      </c>
      <c r="L382" s="38" t="n">
        <v>20540000</v>
      </c>
      <c r="M382" s="38" t="n">
        <v>7430540</v>
      </c>
      <c r="N382" s="39" t="n">
        <f aca="false">IF(A382="제외",0,IF(OR(N(L382)&lt;=0,N(M382)&gt;N(L382)),N(M382)/요약!$D$27,N(L382)))</f>
        <v>20540000</v>
      </c>
      <c r="O382" s="32" t="str">
        <f aca="false">IF(A382="제외","",IF(OR(N(L382)&lt;=0,N(M382)&gt;N(L382)),"택가보정(판매금액÷공급율)",""))</f>
        <v/>
      </c>
      <c r="P382" s="0" t="str">
        <f aca="false">IF(A382="HK","100",IF(A382="CN","200",IF(A382="TW","300",IF(ISNUMBER(SEARCH("태국",C382)),"500",IF(ISNUMBER(SEARCH("말레이",C382)),"600",IF(ISNUMBER(SEARCH("필리핀",C382)),"700",IF(ISNUMBER(SEARCH("인도네시아",C382)),"800",IF(ISNUMBER(SEARCH("크루즈",C382)),"810",IF(ISNUMBER(SEARCH("동물원",C382)),"830","")))))))))</f>
        <v>100</v>
      </c>
    </row>
    <row r="383" customFormat="false" ht="15" hidden="false" customHeight="false" outlineLevel="0" collapsed="false">
      <c r="A383" s="32" t="str">
        <f aca="false">IF(OR(TRIM(C383)="",SUBSTITUTE(C383," ","")="소계"),"제외",IF(ISNUMBER(SEARCH("홍콩",C383)),"HK",IF(ISNUMBER(SEARCH("상해",C383)),"CN",IF(ISNUMBER(SEARCH("대만",C383)),"TW","홀세일"))))</f>
        <v>HK</v>
      </c>
      <c r="B383" s="36" t="s">
        <v>764</v>
      </c>
      <c r="C383" s="37" t="s">
        <v>765</v>
      </c>
      <c r="D383" s="37" t="s">
        <v>123</v>
      </c>
      <c r="E383" s="36" t="n">
        <v>2026</v>
      </c>
      <c r="F383" s="37" t="s">
        <v>219</v>
      </c>
      <c r="G383" s="37" t="s">
        <v>124</v>
      </c>
      <c r="H383" s="36" t="s">
        <v>131</v>
      </c>
      <c r="I383" s="36" t="s">
        <v>248</v>
      </c>
      <c r="J383" s="37" t="s">
        <v>249</v>
      </c>
      <c r="K383" s="38" t="n">
        <v>380</v>
      </c>
      <c r="L383" s="38" t="n">
        <v>37620000</v>
      </c>
      <c r="M383" s="38" t="n">
        <v>13424640</v>
      </c>
      <c r="N383" s="39" t="n">
        <f aca="false">IF(A383="제외",0,IF(OR(N(L383)&lt;=0,N(M383)&gt;N(L383)),N(M383)/요약!$D$27,N(L383)))</f>
        <v>37620000</v>
      </c>
      <c r="O383" s="32" t="str">
        <f aca="false">IF(A383="제외","",IF(OR(N(L383)&lt;=0,N(M383)&gt;N(L383)),"택가보정(판매금액÷공급율)",""))</f>
        <v/>
      </c>
      <c r="P383" s="0" t="str">
        <f aca="false">IF(A383="HK","100",IF(A383="CN","200",IF(A383="TW","300",IF(ISNUMBER(SEARCH("태국",C383)),"500",IF(ISNUMBER(SEARCH("말레이",C383)),"600",IF(ISNUMBER(SEARCH("필리핀",C383)),"700",IF(ISNUMBER(SEARCH("인도네시아",C383)),"800",IF(ISNUMBER(SEARCH("크루즈",C383)),"810",IF(ISNUMBER(SEARCH("동물원",C383)),"830","")))))))))</f>
        <v>100</v>
      </c>
    </row>
    <row r="384" customFormat="false" ht="15" hidden="false" customHeight="false" outlineLevel="0" collapsed="false">
      <c r="A384" s="32" t="str">
        <f aca="false">IF(OR(TRIM(C384)="",SUBSTITUTE(C384," ","")="소계"),"제외",IF(ISNUMBER(SEARCH("홍콩",C384)),"HK",IF(ISNUMBER(SEARCH("상해",C384)),"CN",IF(ISNUMBER(SEARCH("대만",C384)),"TW","홀세일"))))</f>
        <v>HK</v>
      </c>
      <c r="B384" s="36" t="s">
        <v>764</v>
      </c>
      <c r="C384" s="37" t="s">
        <v>765</v>
      </c>
      <c r="D384" s="37" t="s">
        <v>123</v>
      </c>
      <c r="E384" s="36" t="n">
        <v>2026</v>
      </c>
      <c r="F384" s="37" t="s">
        <v>219</v>
      </c>
      <c r="G384" s="37" t="s">
        <v>124</v>
      </c>
      <c r="H384" s="36" t="s">
        <v>131</v>
      </c>
      <c r="I384" s="36" t="s">
        <v>250</v>
      </c>
      <c r="J384" s="37" t="s">
        <v>251</v>
      </c>
      <c r="K384" s="38" t="n">
        <v>550</v>
      </c>
      <c r="L384" s="38" t="n">
        <v>48950000</v>
      </c>
      <c r="M384" s="38" t="n">
        <v>17471300</v>
      </c>
      <c r="N384" s="39" t="n">
        <f aca="false">IF(A384="제외",0,IF(OR(N(L384)&lt;=0,N(M384)&gt;N(L384)),N(M384)/요약!$D$27,N(L384)))</f>
        <v>48950000</v>
      </c>
      <c r="O384" s="32" t="str">
        <f aca="false">IF(A384="제외","",IF(OR(N(L384)&lt;=0,N(M384)&gt;N(L384)),"택가보정(판매금액÷공급율)",""))</f>
        <v/>
      </c>
      <c r="P384" s="0" t="str">
        <f aca="false">IF(A384="HK","100",IF(A384="CN","200",IF(A384="TW","300",IF(ISNUMBER(SEARCH("태국",C384)),"500",IF(ISNUMBER(SEARCH("말레이",C384)),"600",IF(ISNUMBER(SEARCH("필리핀",C384)),"700",IF(ISNUMBER(SEARCH("인도네시아",C384)),"800",IF(ISNUMBER(SEARCH("크루즈",C384)),"810",IF(ISNUMBER(SEARCH("동물원",C384)),"830","")))))))))</f>
        <v>100</v>
      </c>
    </row>
    <row r="385" customFormat="false" ht="15" hidden="false" customHeight="false" outlineLevel="0" collapsed="false">
      <c r="A385" s="32" t="str">
        <f aca="false">IF(OR(TRIM(C385)="",SUBSTITUTE(C385," ","")="소계"),"제외",IF(ISNUMBER(SEARCH("홍콩",C385)),"HK",IF(ISNUMBER(SEARCH("상해",C385)),"CN",IF(ISNUMBER(SEARCH("대만",C385)),"TW","홀세일"))))</f>
        <v>HK</v>
      </c>
      <c r="B385" s="36" t="s">
        <v>764</v>
      </c>
      <c r="C385" s="37" t="s">
        <v>765</v>
      </c>
      <c r="D385" s="37" t="s">
        <v>123</v>
      </c>
      <c r="E385" s="36" t="n">
        <v>2026</v>
      </c>
      <c r="F385" s="37" t="s">
        <v>219</v>
      </c>
      <c r="G385" s="37" t="s">
        <v>124</v>
      </c>
      <c r="H385" s="36" t="s">
        <v>131</v>
      </c>
      <c r="I385" s="36" t="s">
        <v>252</v>
      </c>
      <c r="J385" s="37" t="s">
        <v>253</v>
      </c>
      <c r="K385" s="38" t="n">
        <v>340</v>
      </c>
      <c r="L385" s="38" t="n">
        <v>26860000</v>
      </c>
      <c r="M385" s="38" t="n">
        <v>9589700</v>
      </c>
      <c r="N385" s="39" t="n">
        <f aca="false">IF(A385="제외",0,IF(OR(N(L385)&lt;=0,N(M385)&gt;N(L385)),N(M385)/요약!$D$27,N(L385)))</f>
        <v>26860000</v>
      </c>
      <c r="O385" s="32" t="str">
        <f aca="false">IF(A385="제외","",IF(OR(N(L385)&lt;=0,N(M385)&gt;N(L385)),"택가보정(판매금액÷공급율)",""))</f>
        <v/>
      </c>
      <c r="P385" s="0" t="str">
        <f aca="false">IF(A385="HK","100",IF(A385="CN","200",IF(A385="TW","300",IF(ISNUMBER(SEARCH("태국",C385)),"500",IF(ISNUMBER(SEARCH("말레이",C385)),"600",IF(ISNUMBER(SEARCH("필리핀",C385)),"700",IF(ISNUMBER(SEARCH("인도네시아",C385)),"800",IF(ISNUMBER(SEARCH("크루즈",C385)),"810",IF(ISNUMBER(SEARCH("동물원",C385)),"830","")))))))))</f>
        <v>100</v>
      </c>
    </row>
    <row r="386" customFormat="false" ht="15" hidden="false" customHeight="false" outlineLevel="0" collapsed="false">
      <c r="A386" s="32" t="str">
        <f aca="false">IF(OR(TRIM(C386)="",SUBSTITUTE(C386," ","")="소계"),"제외",IF(ISNUMBER(SEARCH("홍콩",C386)),"HK",IF(ISNUMBER(SEARCH("상해",C386)),"CN",IF(ISNUMBER(SEARCH("대만",C386)),"TW","홀세일"))))</f>
        <v>HK</v>
      </c>
      <c r="B386" s="36" t="s">
        <v>764</v>
      </c>
      <c r="C386" s="37" t="s">
        <v>765</v>
      </c>
      <c r="D386" s="37" t="s">
        <v>123</v>
      </c>
      <c r="E386" s="36" t="n">
        <v>2026</v>
      </c>
      <c r="F386" s="37" t="s">
        <v>219</v>
      </c>
      <c r="G386" s="37" t="s">
        <v>124</v>
      </c>
      <c r="H386" s="36" t="s">
        <v>131</v>
      </c>
      <c r="I386" s="36" t="s">
        <v>254</v>
      </c>
      <c r="J386" s="37" t="s">
        <v>255</v>
      </c>
      <c r="K386" s="38" t="n">
        <v>510</v>
      </c>
      <c r="L386" s="38" t="n">
        <v>40290000</v>
      </c>
      <c r="M386" s="38" t="n">
        <v>15077130</v>
      </c>
      <c r="N386" s="39" t="n">
        <f aca="false">IF(A386="제외",0,IF(OR(N(L386)&lt;=0,N(M386)&gt;N(L386)),N(M386)/요약!$D$27,N(L386)))</f>
        <v>40290000</v>
      </c>
      <c r="O386" s="32" t="str">
        <f aca="false">IF(A386="제외","",IF(OR(N(L386)&lt;=0,N(M386)&gt;N(L386)),"택가보정(판매금액÷공급율)",""))</f>
        <v/>
      </c>
      <c r="P386" s="0" t="str">
        <f aca="false">IF(A386="HK","100",IF(A386="CN","200",IF(A386="TW","300",IF(ISNUMBER(SEARCH("태국",C386)),"500",IF(ISNUMBER(SEARCH("말레이",C386)),"600",IF(ISNUMBER(SEARCH("필리핀",C386)),"700",IF(ISNUMBER(SEARCH("인도네시아",C386)),"800",IF(ISNUMBER(SEARCH("크루즈",C386)),"810",IF(ISNUMBER(SEARCH("동물원",C386)),"830","")))))))))</f>
        <v>100</v>
      </c>
    </row>
    <row r="387" customFormat="false" ht="15" hidden="false" customHeight="false" outlineLevel="0" collapsed="false">
      <c r="A387" s="32" t="str">
        <f aca="false">IF(OR(TRIM(C387)="",SUBSTITUTE(C387," ","")="소계"),"제외",IF(ISNUMBER(SEARCH("홍콩",C387)),"HK",IF(ISNUMBER(SEARCH("상해",C387)),"CN",IF(ISNUMBER(SEARCH("대만",C387)),"TW","홀세일"))))</f>
        <v>HK</v>
      </c>
      <c r="B387" s="36" t="s">
        <v>764</v>
      </c>
      <c r="C387" s="37" t="s">
        <v>765</v>
      </c>
      <c r="D387" s="37" t="s">
        <v>123</v>
      </c>
      <c r="E387" s="36" t="n">
        <v>2026</v>
      </c>
      <c r="F387" s="37" t="s">
        <v>219</v>
      </c>
      <c r="G387" s="37" t="s">
        <v>124</v>
      </c>
      <c r="H387" s="36" t="s">
        <v>125</v>
      </c>
      <c r="I387" s="36" t="s">
        <v>826</v>
      </c>
      <c r="J387" s="37" t="s">
        <v>827</v>
      </c>
      <c r="K387" s="38" t="n">
        <v>380</v>
      </c>
      <c r="L387" s="38" t="n">
        <v>33820000</v>
      </c>
      <c r="M387" s="38" t="n">
        <v>9791840</v>
      </c>
      <c r="N387" s="39" t="n">
        <f aca="false">IF(A387="제외",0,IF(OR(N(L387)&lt;=0,N(M387)&gt;N(L387)),N(M387)/요약!$D$27,N(L387)))</f>
        <v>33820000</v>
      </c>
      <c r="O387" s="32" t="str">
        <f aca="false">IF(A387="제외","",IF(OR(N(L387)&lt;=0,N(M387)&gt;N(L387)),"택가보정(판매금액÷공급율)",""))</f>
        <v/>
      </c>
      <c r="P387" s="0" t="str">
        <f aca="false">IF(A387="HK","100",IF(A387="CN","200",IF(A387="TW","300",IF(ISNUMBER(SEARCH("태국",C387)),"500",IF(ISNUMBER(SEARCH("말레이",C387)),"600",IF(ISNUMBER(SEARCH("필리핀",C387)),"700",IF(ISNUMBER(SEARCH("인도네시아",C387)),"800",IF(ISNUMBER(SEARCH("크루즈",C387)),"810",IF(ISNUMBER(SEARCH("동물원",C387)),"830","")))))))))</f>
        <v>100</v>
      </c>
    </row>
    <row r="388" customFormat="false" ht="15" hidden="false" customHeight="false" outlineLevel="0" collapsed="false">
      <c r="A388" s="32" t="str">
        <f aca="false">IF(OR(TRIM(C388)="",SUBSTITUTE(C388," ","")="소계"),"제외",IF(ISNUMBER(SEARCH("홍콩",C388)),"HK",IF(ISNUMBER(SEARCH("상해",C388)),"CN",IF(ISNUMBER(SEARCH("대만",C388)),"TW","홀세일"))))</f>
        <v>HK</v>
      </c>
      <c r="B388" s="36" t="s">
        <v>764</v>
      </c>
      <c r="C388" s="37" t="s">
        <v>765</v>
      </c>
      <c r="D388" s="37" t="s">
        <v>123</v>
      </c>
      <c r="E388" s="36" t="n">
        <v>2026</v>
      </c>
      <c r="F388" s="37" t="s">
        <v>219</v>
      </c>
      <c r="G388" s="37" t="s">
        <v>124</v>
      </c>
      <c r="H388" s="37" t="s">
        <v>128</v>
      </c>
      <c r="I388" s="36" t="s">
        <v>256</v>
      </c>
      <c r="J388" s="36" t="s">
        <v>257</v>
      </c>
      <c r="K388" s="38" t="n">
        <v>50</v>
      </c>
      <c r="L388" s="38" t="n">
        <v>4450000</v>
      </c>
      <c r="M388" s="38" t="n">
        <v>1613200</v>
      </c>
      <c r="N388" s="39" t="n">
        <f aca="false">IF(A388="제외",0,IF(OR(N(L388)&lt;=0,N(M388)&gt;N(L388)),N(M388)/요약!$D$27,N(L388)))</f>
        <v>4450000</v>
      </c>
      <c r="O388" s="32" t="str">
        <f aca="false">IF(A388="제외","",IF(OR(N(L388)&lt;=0,N(M388)&gt;N(L388)),"택가보정(판매금액÷공급율)",""))</f>
        <v/>
      </c>
      <c r="P388" s="0" t="str">
        <f aca="false">IF(A388="HK","100",IF(A388="CN","200",IF(A388="TW","300",IF(ISNUMBER(SEARCH("태국",C388)),"500",IF(ISNUMBER(SEARCH("말레이",C388)),"600",IF(ISNUMBER(SEARCH("필리핀",C388)),"700",IF(ISNUMBER(SEARCH("인도네시아",C388)),"800",IF(ISNUMBER(SEARCH("크루즈",C388)),"810",IF(ISNUMBER(SEARCH("동물원",C388)),"830","")))))))))</f>
        <v>100</v>
      </c>
    </row>
    <row r="389" customFormat="false" ht="15" hidden="false" customHeight="false" outlineLevel="0" collapsed="false">
      <c r="A389" s="32" t="str">
        <f aca="false">IF(OR(TRIM(C389)="",SUBSTITUTE(C389," ","")="소계"),"제외",IF(ISNUMBER(SEARCH("홍콩",C389)),"HK",IF(ISNUMBER(SEARCH("상해",C389)),"CN",IF(ISNUMBER(SEARCH("대만",C389)),"TW","홀세일"))))</f>
        <v>HK</v>
      </c>
      <c r="B389" s="36" t="s">
        <v>764</v>
      </c>
      <c r="C389" s="37" t="s">
        <v>765</v>
      </c>
      <c r="D389" s="37" t="s">
        <v>123</v>
      </c>
      <c r="E389" s="36" t="n">
        <v>2026</v>
      </c>
      <c r="F389" s="37" t="s">
        <v>219</v>
      </c>
      <c r="G389" s="37" t="s">
        <v>124</v>
      </c>
      <c r="H389" s="36" t="s">
        <v>131</v>
      </c>
      <c r="I389" s="36" t="s">
        <v>258</v>
      </c>
      <c r="J389" s="37" t="s">
        <v>259</v>
      </c>
      <c r="K389" s="38" t="n">
        <v>300</v>
      </c>
      <c r="L389" s="38" t="n">
        <v>38700000</v>
      </c>
      <c r="M389" s="38" t="n">
        <v>13986600</v>
      </c>
      <c r="N389" s="39" t="n">
        <f aca="false">IF(A389="제외",0,IF(OR(N(L389)&lt;=0,N(M389)&gt;N(L389)),N(M389)/요약!$D$27,N(L389)))</f>
        <v>38700000</v>
      </c>
      <c r="O389" s="32" t="str">
        <f aca="false">IF(A389="제외","",IF(OR(N(L389)&lt;=0,N(M389)&gt;N(L389)),"택가보정(판매금액÷공급율)",""))</f>
        <v/>
      </c>
      <c r="P389" s="0" t="str">
        <f aca="false">IF(A389="HK","100",IF(A389="CN","200",IF(A389="TW","300",IF(ISNUMBER(SEARCH("태국",C389)),"500",IF(ISNUMBER(SEARCH("말레이",C389)),"600",IF(ISNUMBER(SEARCH("필리핀",C389)),"700",IF(ISNUMBER(SEARCH("인도네시아",C389)),"800",IF(ISNUMBER(SEARCH("크루즈",C389)),"810",IF(ISNUMBER(SEARCH("동물원",C389)),"830","")))))))))</f>
        <v>100</v>
      </c>
    </row>
    <row r="390" customFormat="false" ht="15" hidden="false" customHeight="false" outlineLevel="0" collapsed="false">
      <c r="A390" s="32" t="str">
        <f aca="false">IF(OR(TRIM(C390)="",SUBSTITUTE(C390," ","")="소계"),"제외",IF(ISNUMBER(SEARCH("홍콩",C390)),"HK",IF(ISNUMBER(SEARCH("상해",C390)),"CN",IF(ISNUMBER(SEARCH("대만",C390)),"TW","홀세일"))))</f>
        <v>HK</v>
      </c>
      <c r="B390" s="36" t="s">
        <v>764</v>
      </c>
      <c r="C390" s="37" t="s">
        <v>765</v>
      </c>
      <c r="D390" s="37" t="s">
        <v>123</v>
      </c>
      <c r="E390" s="36" t="n">
        <v>2026</v>
      </c>
      <c r="F390" s="37" t="s">
        <v>219</v>
      </c>
      <c r="G390" s="37" t="s">
        <v>124</v>
      </c>
      <c r="H390" s="36" t="s">
        <v>131</v>
      </c>
      <c r="I390" s="36" t="s">
        <v>260</v>
      </c>
      <c r="J390" s="37" t="s">
        <v>261</v>
      </c>
      <c r="K390" s="38" t="n">
        <v>520</v>
      </c>
      <c r="L390" s="38" t="n">
        <v>72280000</v>
      </c>
      <c r="M390" s="38" t="n">
        <v>26494520</v>
      </c>
      <c r="N390" s="39" t="n">
        <f aca="false">IF(A390="제외",0,IF(OR(N(L390)&lt;=0,N(M390)&gt;N(L390)),N(M390)/요약!$D$27,N(L390)))</f>
        <v>72280000</v>
      </c>
      <c r="O390" s="32" t="str">
        <f aca="false">IF(A390="제외","",IF(OR(N(L390)&lt;=0,N(M390)&gt;N(L390)),"택가보정(판매금액÷공급율)",""))</f>
        <v/>
      </c>
      <c r="P390" s="0" t="str">
        <f aca="false">IF(A390="HK","100",IF(A390="CN","200",IF(A390="TW","300",IF(ISNUMBER(SEARCH("태국",C390)),"500",IF(ISNUMBER(SEARCH("말레이",C390)),"600",IF(ISNUMBER(SEARCH("필리핀",C390)),"700",IF(ISNUMBER(SEARCH("인도네시아",C390)),"800",IF(ISNUMBER(SEARCH("크루즈",C390)),"810",IF(ISNUMBER(SEARCH("동물원",C390)),"830","")))))))))</f>
        <v>100</v>
      </c>
    </row>
    <row r="391" customFormat="false" ht="15" hidden="false" customHeight="false" outlineLevel="0" collapsed="false">
      <c r="A391" s="32" t="str">
        <f aca="false">IF(OR(TRIM(C391)="",SUBSTITUTE(C391," ","")="소계"),"제외",IF(ISNUMBER(SEARCH("홍콩",C391)),"HK",IF(ISNUMBER(SEARCH("상해",C391)),"CN",IF(ISNUMBER(SEARCH("대만",C391)),"TW","홀세일"))))</f>
        <v>HK</v>
      </c>
      <c r="B391" s="36" t="s">
        <v>764</v>
      </c>
      <c r="C391" s="37" t="s">
        <v>765</v>
      </c>
      <c r="D391" s="37" t="s">
        <v>123</v>
      </c>
      <c r="E391" s="36" t="n">
        <v>2026</v>
      </c>
      <c r="F391" s="37" t="s">
        <v>219</v>
      </c>
      <c r="G391" s="37" t="s">
        <v>124</v>
      </c>
      <c r="H391" s="36" t="s">
        <v>131</v>
      </c>
      <c r="I391" s="36" t="s">
        <v>264</v>
      </c>
      <c r="J391" s="37" t="s">
        <v>265</v>
      </c>
      <c r="K391" s="38" t="n">
        <v>180</v>
      </c>
      <c r="L391" s="38" t="n">
        <v>19620000</v>
      </c>
      <c r="M391" s="38" t="n">
        <v>7337160</v>
      </c>
      <c r="N391" s="39" t="n">
        <f aca="false">IF(A391="제외",0,IF(OR(N(L391)&lt;=0,N(M391)&gt;N(L391)),N(M391)/요약!$D$27,N(L391)))</f>
        <v>19620000</v>
      </c>
      <c r="O391" s="32" t="str">
        <f aca="false">IF(A391="제외","",IF(OR(N(L391)&lt;=0,N(M391)&gt;N(L391)),"택가보정(판매금액÷공급율)",""))</f>
        <v/>
      </c>
      <c r="P391" s="0" t="str">
        <f aca="false">IF(A391="HK","100",IF(A391="CN","200",IF(A391="TW","300",IF(ISNUMBER(SEARCH("태국",C391)),"500",IF(ISNUMBER(SEARCH("말레이",C391)),"600",IF(ISNUMBER(SEARCH("필리핀",C391)),"700",IF(ISNUMBER(SEARCH("인도네시아",C391)),"800",IF(ISNUMBER(SEARCH("크루즈",C391)),"810",IF(ISNUMBER(SEARCH("동물원",C391)),"830","")))))))))</f>
        <v>100</v>
      </c>
    </row>
    <row r="392" customFormat="false" ht="15" hidden="false" customHeight="false" outlineLevel="0" collapsed="false">
      <c r="A392" s="32" t="str">
        <f aca="false">IF(OR(TRIM(C392)="",SUBSTITUTE(C392," ","")="소계"),"제외",IF(ISNUMBER(SEARCH("홍콩",C392)),"HK",IF(ISNUMBER(SEARCH("상해",C392)),"CN",IF(ISNUMBER(SEARCH("대만",C392)),"TW","홀세일"))))</f>
        <v>HK</v>
      </c>
      <c r="B392" s="36" t="s">
        <v>764</v>
      </c>
      <c r="C392" s="37" t="s">
        <v>765</v>
      </c>
      <c r="D392" s="37" t="s">
        <v>123</v>
      </c>
      <c r="E392" s="36" t="n">
        <v>2026</v>
      </c>
      <c r="F392" s="37" t="s">
        <v>219</v>
      </c>
      <c r="G392" s="37" t="s">
        <v>124</v>
      </c>
      <c r="H392" s="36" t="s">
        <v>131</v>
      </c>
      <c r="I392" s="36" t="s">
        <v>828</v>
      </c>
      <c r="J392" s="37" t="s">
        <v>829</v>
      </c>
      <c r="K392" s="38" t="n">
        <v>330</v>
      </c>
      <c r="L392" s="38" t="n">
        <v>45870000</v>
      </c>
      <c r="M392" s="38" t="n">
        <v>17828250</v>
      </c>
      <c r="N392" s="39" t="n">
        <f aca="false">IF(A392="제외",0,IF(OR(N(L392)&lt;=0,N(M392)&gt;N(L392)),N(M392)/요약!$D$27,N(L392)))</f>
        <v>45870000</v>
      </c>
      <c r="O392" s="32" t="str">
        <f aca="false">IF(A392="제외","",IF(OR(N(L392)&lt;=0,N(M392)&gt;N(L392)),"택가보정(판매금액÷공급율)",""))</f>
        <v/>
      </c>
      <c r="P392" s="0" t="str">
        <f aca="false">IF(A392="HK","100",IF(A392="CN","200",IF(A392="TW","300",IF(ISNUMBER(SEARCH("태국",C392)),"500",IF(ISNUMBER(SEARCH("말레이",C392)),"600",IF(ISNUMBER(SEARCH("필리핀",C392)),"700",IF(ISNUMBER(SEARCH("인도네시아",C392)),"800",IF(ISNUMBER(SEARCH("크루즈",C392)),"810",IF(ISNUMBER(SEARCH("동물원",C392)),"830","")))))))))</f>
        <v>100</v>
      </c>
    </row>
    <row r="393" customFormat="false" ht="15" hidden="false" customHeight="false" outlineLevel="0" collapsed="false">
      <c r="A393" s="32" t="str">
        <f aca="false">IF(OR(TRIM(C393)="",SUBSTITUTE(C393," ","")="소계"),"제외",IF(ISNUMBER(SEARCH("홍콩",C393)),"HK",IF(ISNUMBER(SEARCH("상해",C393)),"CN",IF(ISNUMBER(SEARCH("대만",C393)),"TW","홀세일"))))</f>
        <v>HK</v>
      </c>
      <c r="B393" s="36" t="s">
        <v>764</v>
      </c>
      <c r="C393" s="37" t="s">
        <v>765</v>
      </c>
      <c r="D393" s="37" t="s">
        <v>123</v>
      </c>
      <c r="E393" s="36" t="n">
        <v>2026</v>
      </c>
      <c r="F393" s="37" t="s">
        <v>219</v>
      </c>
      <c r="G393" s="37" t="s">
        <v>124</v>
      </c>
      <c r="H393" s="36" t="s">
        <v>131</v>
      </c>
      <c r="I393" s="36" t="s">
        <v>268</v>
      </c>
      <c r="J393" s="37" t="s">
        <v>269</v>
      </c>
      <c r="K393" s="38" t="n">
        <v>470</v>
      </c>
      <c r="L393" s="38" t="n">
        <v>79430000</v>
      </c>
      <c r="M393" s="38" t="n">
        <v>30460230</v>
      </c>
      <c r="N393" s="39" t="n">
        <f aca="false">IF(A393="제외",0,IF(OR(N(L393)&lt;=0,N(M393)&gt;N(L393)),N(M393)/요약!$D$27,N(L393)))</f>
        <v>79430000</v>
      </c>
      <c r="O393" s="32" t="str">
        <f aca="false">IF(A393="제외","",IF(OR(N(L393)&lt;=0,N(M393)&gt;N(L393)),"택가보정(판매금액÷공급율)",""))</f>
        <v/>
      </c>
      <c r="P393" s="0" t="str">
        <f aca="false">IF(A393="HK","100",IF(A393="CN","200",IF(A393="TW","300",IF(ISNUMBER(SEARCH("태국",C393)),"500",IF(ISNUMBER(SEARCH("말레이",C393)),"600",IF(ISNUMBER(SEARCH("필리핀",C393)),"700",IF(ISNUMBER(SEARCH("인도네시아",C393)),"800",IF(ISNUMBER(SEARCH("크루즈",C393)),"810",IF(ISNUMBER(SEARCH("동물원",C393)),"830","")))))))))</f>
        <v>100</v>
      </c>
    </row>
    <row r="394" customFormat="false" ht="15" hidden="false" customHeight="false" outlineLevel="0" collapsed="false">
      <c r="A394" s="32" t="str">
        <f aca="false">IF(OR(TRIM(C394)="",SUBSTITUTE(C394," ","")="소계"),"제외",IF(ISNUMBER(SEARCH("홍콩",C394)),"HK",IF(ISNUMBER(SEARCH("상해",C394)),"CN",IF(ISNUMBER(SEARCH("대만",C394)),"TW","홀세일"))))</f>
        <v>HK</v>
      </c>
      <c r="B394" s="36" t="s">
        <v>764</v>
      </c>
      <c r="C394" s="37" t="s">
        <v>765</v>
      </c>
      <c r="D394" s="37" t="s">
        <v>123</v>
      </c>
      <c r="E394" s="36" t="n">
        <v>2026</v>
      </c>
      <c r="F394" s="37" t="s">
        <v>219</v>
      </c>
      <c r="G394" s="37" t="s">
        <v>124</v>
      </c>
      <c r="H394" s="36" t="s">
        <v>131</v>
      </c>
      <c r="I394" s="36" t="s">
        <v>270</v>
      </c>
      <c r="J394" s="37" t="s">
        <v>271</v>
      </c>
      <c r="K394" s="38" t="n">
        <v>130</v>
      </c>
      <c r="L394" s="38" t="n">
        <v>20670000</v>
      </c>
      <c r="M394" s="38" t="n">
        <v>7918430</v>
      </c>
      <c r="N394" s="39" t="n">
        <f aca="false">IF(A394="제외",0,IF(OR(N(L394)&lt;=0,N(M394)&gt;N(L394)),N(M394)/요약!$D$27,N(L394)))</f>
        <v>20670000</v>
      </c>
      <c r="O394" s="32" t="str">
        <f aca="false">IF(A394="제외","",IF(OR(N(L394)&lt;=0,N(M394)&gt;N(L394)),"택가보정(판매금액÷공급율)",""))</f>
        <v/>
      </c>
      <c r="P394" s="0" t="str">
        <f aca="false">IF(A394="HK","100",IF(A394="CN","200",IF(A394="TW","300",IF(ISNUMBER(SEARCH("태국",C394)),"500",IF(ISNUMBER(SEARCH("말레이",C394)),"600",IF(ISNUMBER(SEARCH("필리핀",C394)),"700",IF(ISNUMBER(SEARCH("인도네시아",C394)),"800",IF(ISNUMBER(SEARCH("크루즈",C394)),"810",IF(ISNUMBER(SEARCH("동물원",C394)),"830","")))))))))</f>
        <v>100</v>
      </c>
    </row>
    <row r="395" customFormat="false" ht="15" hidden="false" customHeight="false" outlineLevel="0" collapsed="false">
      <c r="A395" s="32" t="str">
        <f aca="false">IF(OR(TRIM(C395)="",SUBSTITUTE(C395," ","")="소계"),"제외",IF(ISNUMBER(SEARCH("홍콩",C395)),"HK",IF(ISNUMBER(SEARCH("상해",C395)),"CN",IF(ISNUMBER(SEARCH("대만",C395)),"TW","홀세일"))))</f>
        <v>HK</v>
      </c>
      <c r="B395" s="36" t="s">
        <v>764</v>
      </c>
      <c r="C395" s="37" t="s">
        <v>765</v>
      </c>
      <c r="D395" s="37" t="s">
        <v>123</v>
      </c>
      <c r="E395" s="36" t="n">
        <v>2026</v>
      </c>
      <c r="F395" s="37" t="s">
        <v>219</v>
      </c>
      <c r="G395" s="37" t="s">
        <v>124</v>
      </c>
      <c r="H395" s="36" t="s">
        <v>125</v>
      </c>
      <c r="I395" s="36" t="s">
        <v>830</v>
      </c>
      <c r="J395" s="37" t="s">
        <v>831</v>
      </c>
      <c r="K395" s="38" t="n">
        <v>230</v>
      </c>
      <c r="L395" s="38" t="n">
        <v>41170000</v>
      </c>
      <c r="M395" s="38" t="n">
        <v>15802380</v>
      </c>
      <c r="N395" s="39" t="n">
        <f aca="false">IF(A395="제외",0,IF(OR(N(L395)&lt;=0,N(M395)&gt;N(L395)),N(M395)/요약!$D$27,N(L395)))</f>
        <v>41170000</v>
      </c>
      <c r="O395" s="32" t="str">
        <f aca="false">IF(A395="제외","",IF(OR(N(L395)&lt;=0,N(M395)&gt;N(L395)),"택가보정(판매금액÷공급율)",""))</f>
        <v/>
      </c>
      <c r="P395" s="0" t="str">
        <f aca="false">IF(A395="HK","100",IF(A395="CN","200",IF(A395="TW","300",IF(ISNUMBER(SEARCH("태국",C395)),"500",IF(ISNUMBER(SEARCH("말레이",C395)),"600",IF(ISNUMBER(SEARCH("필리핀",C395)),"700",IF(ISNUMBER(SEARCH("인도네시아",C395)),"800",IF(ISNUMBER(SEARCH("크루즈",C395)),"810",IF(ISNUMBER(SEARCH("동물원",C395)),"830","")))))))))</f>
        <v>100</v>
      </c>
    </row>
    <row r="396" customFormat="false" ht="15" hidden="false" customHeight="false" outlineLevel="0" collapsed="false">
      <c r="A396" s="32" t="str">
        <f aca="false">IF(OR(TRIM(C396)="",SUBSTITUTE(C396," ","")="소계"),"제외",IF(ISNUMBER(SEARCH("홍콩",C396)),"HK",IF(ISNUMBER(SEARCH("상해",C396)),"CN",IF(ISNUMBER(SEARCH("대만",C396)),"TW","홀세일"))))</f>
        <v>HK</v>
      </c>
      <c r="B396" s="36" t="s">
        <v>764</v>
      </c>
      <c r="C396" s="37" t="s">
        <v>765</v>
      </c>
      <c r="D396" s="37" t="s">
        <v>123</v>
      </c>
      <c r="E396" s="36" t="n">
        <v>2026</v>
      </c>
      <c r="F396" s="37" t="s">
        <v>219</v>
      </c>
      <c r="G396" s="37" t="s">
        <v>124</v>
      </c>
      <c r="H396" s="36" t="s">
        <v>131</v>
      </c>
      <c r="I396" s="36" t="s">
        <v>272</v>
      </c>
      <c r="J396" s="37" t="s">
        <v>273</v>
      </c>
      <c r="K396" s="38" t="n">
        <v>550</v>
      </c>
      <c r="L396" s="38" t="n">
        <v>103950000</v>
      </c>
      <c r="M396" s="38" t="n">
        <v>38088600</v>
      </c>
      <c r="N396" s="39" t="n">
        <f aca="false">IF(A396="제외",0,IF(OR(N(L396)&lt;=0,N(M396)&gt;N(L396)),N(M396)/요약!$D$27,N(L396)))</f>
        <v>103950000</v>
      </c>
      <c r="O396" s="32" t="str">
        <f aca="false">IF(A396="제외","",IF(OR(N(L396)&lt;=0,N(M396)&gt;N(L396)),"택가보정(판매금액÷공급율)",""))</f>
        <v/>
      </c>
      <c r="P396" s="0" t="str">
        <f aca="false">IF(A396="HK","100",IF(A396="CN","200",IF(A396="TW","300",IF(ISNUMBER(SEARCH("태국",C396)),"500",IF(ISNUMBER(SEARCH("말레이",C396)),"600",IF(ISNUMBER(SEARCH("필리핀",C396)),"700",IF(ISNUMBER(SEARCH("인도네시아",C396)),"800",IF(ISNUMBER(SEARCH("크루즈",C396)),"810",IF(ISNUMBER(SEARCH("동물원",C396)),"830","")))))))))</f>
        <v>100</v>
      </c>
    </row>
    <row r="397" customFormat="false" ht="15" hidden="false" customHeight="false" outlineLevel="0" collapsed="false">
      <c r="A397" s="32" t="str">
        <f aca="false">IF(OR(TRIM(C397)="",SUBSTITUTE(C397," ","")="소계"),"제외",IF(ISNUMBER(SEARCH("홍콩",C397)),"HK",IF(ISNUMBER(SEARCH("상해",C397)),"CN",IF(ISNUMBER(SEARCH("대만",C397)),"TW","홀세일"))))</f>
        <v>HK</v>
      </c>
      <c r="B397" s="36" t="s">
        <v>764</v>
      </c>
      <c r="C397" s="37" t="s">
        <v>765</v>
      </c>
      <c r="D397" s="37" t="s">
        <v>123</v>
      </c>
      <c r="E397" s="36" t="n">
        <v>2026</v>
      </c>
      <c r="F397" s="37" t="s">
        <v>219</v>
      </c>
      <c r="G397" s="37" t="s">
        <v>124</v>
      </c>
      <c r="H397" s="36" t="s">
        <v>131</v>
      </c>
      <c r="I397" s="36" t="s">
        <v>278</v>
      </c>
      <c r="J397" s="37" t="s">
        <v>279</v>
      </c>
      <c r="K397" s="38" t="n">
        <v>260</v>
      </c>
      <c r="L397" s="38" t="n">
        <v>25740000</v>
      </c>
      <c r="M397" s="38" t="n">
        <v>9185280</v>
      </c>
      <c r="N397" s="39" t="n">
        <f aca="false">IF(A397="제외",0,IF(OR(N(L397)&lt;=0,N(M397)&gt;N(L397)),N(M397)/요약!$D$27,N(L397)))</f>
        <v>25740000</v>
      </c>
      <c r="O397" s="32" t="str">
        <f aca="false">IF(A397="제외","",IF(OR(N(L397)&lt;=0,N(M397)&gt;N(L397)),"택가보정(판매금액÷공급율)",""))</f>
        <v/>
      </c>
      <c r="P397" s="0" t="str">
        <f aca="false">IF(A397="HK","100",IF(A397="CN","200",IF(A397="TW","300",IF(ISNUMBER(SEARCH("태국",C397)),"500",IF(ISNUMBER(SEARCH("말레이",C397)),"600",IF(ISNUMBER(SEARCH("필리핀",C397)),"700",IF(ISNUMBER(SEARCH("인도네시아",C397)),"800",IF(ISNUMBER(SEARCH("크루즈",C397)),"810",IF(ISNUMBER(SEARCH("동물원",C397)),"830","")))))))))</f>
        <v>100</v>
      </c>
    </row>
    <row r="398" customFormat="false" ht="15" hidden="false" customHeight="false" outlineLevel="0" collapsed="false">
      <c r="A398" s="32" t="str">
        <f aca="false">IF(OR(TRIM(C398)="",SUBSTITUTE(C398," ","")="소계"),"제외",IF(ISNUMBER(SEARCH("홍콩",C398)),"HK",IF(ISNUMBER(SEARCH("상해",C398)),"CN",IF(ISNUMBER(SEARCH("대만",C398)),"TW","홀세일"))))</f>
        <v>HK</v>
      </c>
      <c r="B398" s="36" t="s">
        <v>764</v>
      </c>
      <c r="C398" s="37" t="s">
        <v>765</v>
      </c>
      <c r="D398" s="37" t="s">
        <v>123</v>
      </c>
      <c r="E398" s="36" t="n">
        <v>2026</v>
      </c>
      <c r="F398" s="37" t="s">
        <v>219</v>
      </c>
      <c r="G398" s="37" t="s">
        <v>124</v>
      </c>
      <c r="H398" s="36" t="s">
        <v>125</v>
      </c>
      <c r="I398" s="36" t="s">
        <v>280</v>
      </c>
      <c r="J398" s="37" t="s">
        <v>281</v>
      </c>
      <c r="K398" s="38" t="n">
        <v>130</v>
      </c>
      <c r="L398" s="38" t="n">
        <v>12870000</v>
      </c>
      <c r="M398" s="38" t="n">
        <v>4653480</v>
      </c>
      <c r="N398" s="39" t="n">
        <f aca="false">IF(A398="제외",0,IF(OR(N(L398)&lt;=0,N(M398)&gt;N(L398)),N(M398)/요약!$D$27,N(L398)))</f>
        <v>12870000</v>
      </c>
      <c r="O398" s="32" t="str">
        <f aca="false">IF(A398="제외","",IF(OR(N(L398)&lt;=0,N(M398)&gt;N(L398)),"택가보정(판매금액÷공급율)",""))</f>
        <v/>
      </c>
      <c r="P398" s="0" t="str">
        <f aca="false">IF(A398="HK","100",IF(A398="CN","200",IF(A398="TW","300",IF(ISNUMBER(SEARCH("태국",C398)),"500",IF(ISNUMBER(SEARCH("말레이",C398)),"600",IF(ISNUMBER(SEARCH("필리핀",C398)),"700",IF(ISNUMBER(SEARCH("인도네시아",C398)),"800",IF(ISNUMBER(SEARCH("크루즈",C398)),"810",IF(ISNUMBER(SEARCH("동물원",C398)),"830","")))))))))</f>
        <v>100</v>
      </c>
    </row>
    <row r="399" customFormat="false" ht="15" hidden="false" customHeight="false" outlineLevel="0" collapsed="false">
      <c r="A399" s="32" t="str">
        <f aca="false">IF(OR(TRIM(C399)="",SUBSTITUTE(C399," ","")="소계"),"제외",IF(ISNUMBER(SEARCH("홍콩",C399)),"HK",IF(ISNUMBER(SEARCH("상해",C399)),"CN",IF(ISNUMBER(SEARCH("대만",C399)),"TW","홀세일"))))</f>
        <v>HK</v>
      </c>
      <c r="B399" s="36" t="s">
        <v>764</v>
      </c>
      <c r="C399" s="37" t="s">
        <v>765</v>
      </c>
      <c r="D399" s="37" t="s">
        <v>123</v>
      </c>
      <c r="E399" s="36" t="n">
        <v>2026</v>
      </c>
      <c r="F399" s="37" t="s">
        <v>219</v>
      </c>
      <c r="G399" s="37" t="s">
        <v>124</v>
      </c>
      <c r="H399" s="36" t="s">
        <v>131</v>
      </c>
      <c r="I399" s="36" t="s">
        <v>282</v>
      </c>
      <c r="J399" s="37" t="s">
        <v>283</v>
      </c>
      <c r="K399" s="38" t="n">
        <v>300</v>
      </c>
      <c r="L399" s="38" t="n">
        <v>38700000</v>
      </c>
      <c r="M399" s="38" t="n">
        <v>13803300</v>
      </c>
      <c r="N399" s="39" t="n">
        <f aca="false">IF(A399="제외",0,IF(OR(N(L399)&lt;=0,N(M399)&gt;N(L399)),N(M399)/요약!$D$27,N(L399)))</f>
        <v>38700000</v>
      </c>
      <c r="O399" s="32" t="str">
        <f aca="false">IF(A399="제외","",IF(OR(N(L399)&lt;=0,N(M399)&gt;N(L399)),"택가보정(판매금액÷공급율)",""))</f>
        <v/>
      </c>
      <c r="P399" s="0" t="str">
        <f aca="false">IF(A399="HK","100",IF(A399="CN","200",IF(A399="TW","300",IF(ISNUMBER(SEARCH("태국",C399)),"500",IF(ISNUMBER(SEARCH("말레이",C399)),"600",IF(ISNUMBER(SEARCH("필리핀",C399)),"700",IF(ISNUMBER(SEARCH("인도네시아",C399)),"800",IF(ISNUMBER(SEARCH("크루즈",C399)),"810",IF(ISNUMBER(SEARCH("동물원",C399)),"830","")))))))))</f>
        <v>100</v>
      </c>
    </row>
    <row r="400" customFormat="false" ht="15" hidden="false" customHeight="false" outlineLevel="0" collapsed="false">
      <c r="A400" s="32" t="str">
        <f aca="false">IF(OR(TRIM(C400)="",SUBSTITUTE(C400," ","")="소계"),"제외",IF(ISNUMBER(SEARCH("홍콩",C400)),"HK",IF(ISNUMBER(SEARCH("상해",C400)),"CN",IF(ISNUMBER(SEARCH("대만",C400)),"TW","홀세일"))))</f>
        <v>HK</v>
      </c>
      <c r="B400" s="36" t="s">
        <v>764</v>
      </c>
      <c r="C400" s="37" t="s">
        <v>765</v>
      </c>
      <c r="D400" s="37" t="s">
        <v>123</v>
      </c>
      <c r="E400" s="36" t="n">
        <v>2026</v>
      </c>
      <c r="F400" s="37" t="s">
        <v>219</v>
      </c>
      <c r="G400" s="37" t="s">
        <v>124</v>
      </c>
      <c r="H400" s="36" t="s">
        <v>131</v>
      </c>
      <c r="I400" s="36" t="s">
        <v>286</v>
      </c>
      <c r="J400" s="37" t="s">
        <v>287</v>
      </c>
      <c r="K400" s="38" t="n">
        <v>660</v>
      </c>
      <c r="L400" s="38" t="n">
        <v>38940000</v>
      </c>
      <c r="M400" s="38" t="n">
        <v>14098920</v>
      </c>
      <c r="N400" s="39" t="n">
        <f aca="false">IF(A400="제외",0,IF(OR(N(L400)&lt;=0,N(M400)&gt;N(L400)),N(M400)/요약!$D$27,N(L400)))</f>
        <v>38940000</v>
      </c>
      <c r="O400" s="32" t="str">
        <f aca="false">IF(A400="제외","",IF(OR(N(L400)&lt;=0,N(M400)&gt;N(L400)),"택가보정(판매금액÷공급율)",""))</f>
        <v/>
      </c>
      <c r="P400" s="0" t="str">
        <f aca="false">IF(A400="HK","100",IF(A400="CN","200",IF(A400="TW","300",IF(ISNUMBER(SEARCH("태국",C400)),"500",IF(ISNUMBER(SEARCH("말레이",C400)),"600",IF(ISNUMBER(SEARCH("필리핀",C400)),"700",IF(ISNUMBER(SEARCH("인도네시아",C400)),"800",IF(ISNUMBER(SEARCH("크루즈",C400)),"810",IF(ISNUMBER(SEARCH("동물원",C400)),"830","")))))))))</f>
        <v>100</v>
      </c>
    </row>
    <row r="401" customFormat="false" ht="15" hidden="false" customHeight="false" outlineLevel="0" collapsed="false">
      <c r="A401" s="32" t="str">
        <f aca="false">IF(OR(TRIM(C401)="",SUBSTITUTE(C401," ","")="소계"),"제외",IF(ISNUMBER(SEARCH("홍콩",C401)),"HK",IF(ISNUMBER(SEARCH("상해",C401)),"CN",IF(ISNUMBER(SEARCH("대만",C401)),"TW","홀세일"))))</f>
        <v>HK</v>
      </c>
      <c r="B401" s="36" t="s">
        <v>764</v>
      </c>
      <c r="C401" s="37" t="s">
        <v>765</v>
      </c>
      <c r="D401" s="37" t="s">
        <v>123</v>
      </c>
      <c r="E401" s="36" t="n">
        <v>2026</v>
      </c>
      <c r="F401" s="37" t="s">
        <v>219</v>
      </c>
      <c r="G401" s="37" t="s">
        <v>124</v>
      </c>
      <c r="H401" s="36" t="s">
        <v>131</v>
      </c>
      <c r="I401" s="36" t="s">
        <v>288</v>
      </c>
      <c r="J401" s="37" t="s">
        <v>289</v>
      </c>
      <c r="K401" s="38" t="n">
        <v>960</v>
      </c>
      <c r="L401" s="38" t="n">
        <v>56640000</v>
      </c>
      <c r="M401" s="38" t="n">
        <v>20507520</v>
      </c>
      <c r="N401" s="39" t="n">
        <f aca="false">IF(A401="제외",0,IF(OR(N(L401)&lt;=0,N(M401)&gt;N(L401)),N(M401)/요약!$D$27,N(L401)))</f>
        <v>56640000</v>
      </c>
      <c r="O401" s="32" t="str">
        <f aca="false">IF(A401="제외","",IF(OR(N(L401)&lt;=0,N(M401)&gt;N(L401)),"택가보정(판매금액÷공급율)",""))</f>
        <v/>
      </c>
      <c r="P401" s="0" t="str">
        <f aca="false">IF(A401="HK","100",IF(A401="CN","200",IF(A401="TW","300",IF(ISNUMBER(SEARCH("태국",C401)),"500",IF(ISNUMBER(SEARCH("말레이",C401)),"600",IF(ISNUMBER(SEARCH("필리핀",C401)),"700",IF(ISNUMBER(SEARCH("인도네시아",C401)),"800",IF(ISNUMBER(SEARCH("크루즈",C401)),"810",IF(ISNUMBER(SEARCH("동물원",C401)),"830","")))))))))</f>
        <v>100</v>
      </c>
    </row>
    <row r="402" customFormat="false" ht="15" hidden="false" customHeight="false" outlineLevel="0" collapsed="false">
      <c r="A402" s="32" t="str">
        <f aca="false">IF(OR(TRIM(C402)="",SUBSTITUTE(C402," ","")="소계"),"제외",IF(ISNUMBER(SEARCH("홍콩",C402)),"HK",IF(ISNUMBER(SEARCH("상해",C402)),"CN",IF(ISNUMBER(SEARCH("대만",C402)),"TW","홀세일"))))</f>
        <v>HK</v>
      </c>
      <c r="B402" s="36" t="s">
        <v>764</v>
      </c>
      <c r="C402" s="37" t="s">
        <v>765</v>
      </c>
      <c r="D402" s="37" t="s">
        <v>123</v>
      </c>
      <c r="E402" s="36" t="n">
        <v>2026</v>
      </c>
      <c r="F402" s="37" t="s">
        <v>219</v>
      </c>
      <c r="G402" s="37" t="s">
        <v>124</v>
      </c>
      <c r="H402" s="36" t="s">
        <v>131</v>
      </c>
      <c r="I402" s="36" t="s">
        <v>290</v>
      </c>
      <c r="J402" s="37" t="s">
        <v>291</v>
      </c>
      <c r="K402" s="38" t="n">
        <v>1140</v>
      </c>
      <c r="L402" s="38" t="n">
        <v>78660000</v>
      </c>
      <c r="M402" s="38" t="n">
        <v>28466940</v>
      </c>
      <c r="N402" s="39" t="n">
        <f aca="false">IF(A402="제외",0,IF(OR(N(L402)&lt;=0,N(M402)&gt;N(L402)),N(M402)/요약!$D$27,N(L402)))</f>
        <v>78660000</v>
      </c>
      <c r="O402" s="32" t="str">
        <f aca="false">IF(A402="제외","",IF(OR(N(L402)&lt;=0,N(M402)&gt;N(L402)),"택가보정(판매금액÷공급율)",""))</f>
        <v/>
      </c>
      <c r="P402" s="0" t="str">
        <f aca="false">IF(A402="HK","100",IF(A402="CN","200",IF(A402="TW","300",IF(ISNUMBER(SEARCH("태국",C402)),"500",IF(ISNUMBER(SEARCH("말레이",C402)),"600",IF(ISNUMBER(SEARCH("필리핀",C402)),"700",IF(ISNUMBER(SEARCH("인도네시아",C402)),"800",IF(ISNUMBER(SEARCH("크루즈",C402)),"810",IF(ISNUMBER(SEARCH("동물원",C402)),"830","")))))))))</f>
        <v>100</v>
      </c>
    </row>
    <row r="403" customFormat="false" ht="15" hidden="false" customHeight="false" outlineLevel="0" collapsed="false">
      <c r="A403" s="32" t="str">
        <f aca="false">IF(OR(TRIM(C403)="",SUBSTITUTE(C403," ","")="소계"),"제외",IF(ISNUMBER(SEARCH("홍콩",C403)),"HK",IF(ISNUMBER(SEARCH("상해",C403)),"CN",IF(ISNUMBER(SEARCH("대만",C403)),"TW","홀세일"))))</f>
        <v>HK</v>
      </c>
      <c r="B403" s="36" t="s">
        <v>764</v>
      </c>
      <c r="C403" s="37" t="s">
        <v>765</v>
      </c>
      <c r="D403" s="37" t="s">
        <v>123</v>
      </c>
      <c r="E403" s="36" t="n">
        <v>2026</v>
      </c>
      <c r="F403" s="37" t="s">
        <v>219</v>
      </c>
      <c r="G403" s="37" t="s">
        <v>124</v>
      </c>
      <c r="H403" s="36" t="s">
        <v>131</v>
      </c>
      <c r="I403" s="36" t="s">
        <v>292</v>
      </c>
      <c r="J403" s="37" t="s">
        <v>293</v>
      </c>
      <c r="K403" s="38" t="n">
        <v>420</v>
      </c>
      <c r="L403" s="38" t="n">
        <v>24780000</v>
      </c>
      <c r="M403" s="38" t="n">
        <v>8972040</v>
      </c>
      <c r="N403" s="39" t="n">
        <f aca="false">IF(A403="제외",0,IF(OR(N(L403)&lt;=0,N(M403)&gt;N(L403)),N(M403)/요약!$D$27,N(L403)))</f>
        <v>24780000</v>
      </c>
      <c r="O403" s="32" t="str">
        <f aca="false">IF(A403="제외","",IF(OR(N(L403)&lt;=0,N(M403)&gt;N(L403)),"택가보정(판매금액÷공급율)",""))</f>
        <v/>
      </c>
      <c r="P403" s="0" t="str">
        <f aca="false">IF(A403="HK","100",IF(A403="CN","200",IF(A403="TW","300",IF(ISNUMBER(SEARCH("태국",C403)),"500",IF(ISNUMBER(SEARCH("말레이",C403)),"600",IF(ISNUMBER(SEARCH("필리핀",C403)),"700",IF(ISNUMBER(SEARCH("인도네시아",C403)),"800",IF(ISNUMBER(SEARCH("크루즈",C403)),"810",IF(ISNUMBER(SEARCH("동물원",C403)),"830","")))))))))</f>
        <v>100</v>
      </c>
    </row>
    <row r="404" customFormat="false" ht="15" hidden="false" customHeight="false" outlineLevel="0" collapsed="false">
      <c r="A404" s="32" t="str">
        <f aca="false">IF(OR(TRIM(C404)="",SUBSTITUTE(C404," ","")="소계"),"제외",IF(ISNUMBER(SEARCH("홍콩",C404)),"HK",IF(ISNUMBER(SEARCH("상해",C404)),"CN",IF(ISNUMBER(SEARCH("대만",C404)),"TW","홀세일"))))</f>
        <v>HK</v>
      </c>
      <c r="B404" s="36" t="s">
        <v>764</v>
      </c>
      <c r="C404" s="37" t="s">
        <v>765</v>
      </c>
      <c r="D404" s="37" t="s">
        <v>123</v>
      </c>
      <c r="E404" s="36" t="n">
        <v>2026</v>
      </c>
      <c r="F404" s="37" t="s">
        <v>219</v>
      </c>
      <c r="G404" s="37" t="s">
        <v>124</v>
      </c>
      <c r="H404" s="36" t="s">
        <v>131</v>
      </c>
      <c r="I404" s="36" t="s">
        <v>294</v>
      </c>
      <c r="J404" s="37" t="s">
        <v>295</v>
      </c>
      <c r="K404" s="38" t="n">
        <v>360</v>
      </c>
      <c r="L404" s="38" t="n">
        <v>21240000</v>
      </c>
      <c r="M404" s="38" t="n">
        <v>7690320</v>
      </c>
      <c r="N404" s="39" t="n">
        <f aca="false">IF(A404="제외",0,IF(OR(N(L404)&lt;=0,N(M404)&gt;N(L404)),N(M404)/요약!$D$27,N(L404)))</f>
        <v>21240000</v>
      </c>
      <c r="O404" s="32" t="str">
        <f aca="false">IF(A404="제외","",IF(OR(N(L404)&lt;=0,N(M404)&gt;N(L404)),"택가보정(판매금액÷공급율)",""))</f>
        <v/>
      </c>
      <c r="P404" s="0" t="str">
        <f aca="false">IF(A404="HK","100",IF(A404="CN","200",IF(A404="TW","300",IF(ISNUMBER(SEARCH("태국",C404)),"500",IF(ISNUMBER(SEARCH("말레이",C404)),"600",IF(ISNUMBER(SEARCH("필리핀",C404)),"700",IF(ISNUMBER(SEARCH("인도네시아",C404)),"800",IF(ISNUMBER(SEARCH("크루즈",C404)),"810",IF(ISNUMBER(SEARCH("동물원",C404)),"830","")))))))))</f>
        <v>100</v>
      </c>
    </row>
    <row r="405" customFormat="false" ht="15" hidden="false" customHeight="false" outlineLevel="0" collapsed="false">
      <c r="A405" s="32" t="str">
        <f aca="false">IF(OR(TRIM(C405)="",SUBSTITUTE(C405," ","")="소계"),"제외",IF(ISNUMBER(SEARCH("홍콩",C405)),"HK",IF(ISNUMBER(SEARCH("상해",C405)),"CN",IF(ISNUMBER(SEARCH("대만",C405)),"TW","홀세일"))))</f>
        <v>HK</v>
      </c>
      <c r="B405" s="36" t="s">
        <v>764</v>
      </c>
      <c r="C405" s="37" t="s">
        <v>765</v>
      </c>
      <c r="D405" s="37" t="s">
        <v>123</v>
      </c>
      <c r="E405" s="36" t="n">
        <v>2026</v>
      </c>
      <c r="F405" s="37" t="s">
        <v>219</v>
      </c>
      <c r="G405" s="37" t="s">
        <v>124</v>
      </c>
      <c r="H405" s="36" t="s">
        <v>131</v>
      </c>
      <c r="I405" s="36" t="s">
        <v>298</v>
      </c>
      <c r="J405" s="37" t="s">
        <v>299</v>
      </c>
      <c r="K405" s="38" t="n">
        <v>480</v>
      </c>
      <c r="L405" s="38" t="n">
        <v>28320000</v>
      </c>
      <c r="M405" s="38" t="n">
        <v>10627680</v>
      </c>
      <c r="N405" s="39" t="n">
        <f aca="false">IF(A405="제외",0,IF(OR(N(L405)&lt;=0,N(M405)&gt;N(L405)),N(M405)/요약!$D$27,N(L405)))</f>
        <v>28320000</v>
      </c>
      <c r="O405" s="32" t="str">
        <f aca="false">IF(A405="제외","",IF(OR(N(L405)&lt;=0,N(M405)&gt;N(L405)),"택가보정(판매금액÷공급율)",""))</f>
        <v/>
      </c>
      <c r="P405" s="0" t="str">
        <f aca="false">IF(A405="HK","100",IF(A405="CN","200",IF(A405="TW","300",IF(ISNUMBER(SEARCH("태국",C405)),"500",IF(ISNUMBER(SEARCH("말레이",C405)),"600",IF(ISNUMBER(SEARCH("필리핀",C405)),"700",IF(ISNUMBER(SEARCH("인도네시아",C405)),"800",IF(ISNUMBER(SEARCH("크루즈",C405)),"810",IF(ISNUMBER(SEARCH("동물원",C405)),"830","")))))))))</f>
        <v>100</v>
      </c>
    </row>
    <row r="406" customFormat="false" ht="15" hidden="false" customHeight="false" outlineLevel="0" collapsed="false">
      <c r="A406" s="32" t="str">
        <f aca="false">IF(OR(TRIM(C406)="",SUBSTITUTE(C406," ","")="소계"),"제외",IF(ISNUMBER(SEARCH("홍콩",C406)),"HK",IF(ISNUMBER(SEARCH("상해",C406)),"CN",IF(ISNUMBER(SEARCH("대만",C406)),"TW","홀세일"))))</f>
        <v>HK</v>
      </c>
      <c r="B406" s="36" t="s">
        <v>764</v>
      </c>
      <c r="C406" s="37" t="s">
        <v>765</v>
      </c>
      <c r="D406" s="37" t="s">
        <v>123</v>
      </c>
      <c r="E406" s="36" t="n">
        <v>2026</v>
      </c>
      <c r="F406" s="37" t="s">
        <v>219</v>
      </c>
      <c r="G406" s="37" t="s">
        <v>124</v>
      </c>
      <c r="H406" s="36" t="s">
        <v>131</v>
      </c>
      <c r="I406" s="36" t="s">
        <v>300</v>
      </c>
      <c r="J406" s="37" t="s">
        <v>301</v>
      </c>
      <c r="K406" s="38" t="n">
        <v>720</v>
      </c>
      <c r="L406" s="38" t="n">
        <v>49680000</v>
      </c>
      <c r="M406" s="38" t="n">
        <v>18634320</v>
      </c>
      <c r="N406" s="39" t="n">
        <f aca="false">IF(A406="제외",0,IF(OR(N(L406)&lt;=0,N(M406)&gt;N(L406)),N(M406)/요약!$D$27,N(L406)))</f>
        <v>49680000</v>
      </c>
      <c r="O406" s="32" t="str">
        <f aca="false">IF(A406="제외","",IF(OR(N(L406)&lt;=0,N(M406)&gt;N(L406)),"택가보정(판매금액÷공급율)",""))</f>
        <v/>
      </c>
      <c r="P406" s="0" t="str">
        <f aca="false">IF(A406="HK","100",IF(A406="CN","200",IF(A406="TW","300",IF(ISNUMBER(SEARCH("태국",C406)),"500",IF(ISNUMBER(SEARCH("말레이",C406)),"600",IF(ISNUMBER(SEARCH("필리핀",C406)),"700",IF(ISNUMBER(SEARCH("인도네시아",C406)),"800",IF(ISNUMBER(SEARCH("크루즈",C406)),"810",IF(ISNUMBER(SEARCH("동물원",C406)),"830","")))))))))</f>
        <v>100</v>
      </c>
    </row>
    <row r="407" customFormat="false" ht="15" hidden="false" customHeight="false" outlineLevel="0" collapsed="false">
      <c r="A407" s="32" t="str">
        <f aca="false">IF(OR(TRIM(C407)="",SUBSTITUTE(C407," ","")="소계"),"제외",IF(ISNUMBER(SEARCH("홍콩",C407)),"HK",IF(ISNUMBER(SEARCH("상해",C407)),"CN",IF(ISNUMBER(SEARCH("대만",C407)),"TW","홀세일"))))</f>
        <v>HK</v>
      </c>
      <c r="B407" s="36" t="s">
        <v>764</v>
      </c>
      <c r="C407" s="37" t="s">
        <v>765</v>
      </c>
      <c r="D407" s="37" t="s">
        <v>123</v>
      </c>
      <c r="E407" s="36" t="n">
        <v>2026</v>
      </c>
      <c r="F407" s="37" t="s">
        <v>219</v>
      </c>
      <c r="G407" s="37" t="s">
        <v>124</v>
      </c>
      <c r="H407" s="36" t="s">
        <v>131</v>
      </c>
      <c r="I407" s="36" t="s">
        <v>302</v>
      </c>
      <c r="J407" s="37" t="s">
        <v>303</v>
      </c>
      <c r="K407" s="38" t="n">
        <v>720</v>
      </c>
      <c r="L407" s="38" t="n">
        <v>49680000</v>
      </c>
      <c r="M407" s="38" t="n">
        <v>18634320</v>
      </c>
      <c r="N407" s="39" t="n">
        <f aca="false">IF(A407="제외",0,IF(OR(N(L407)&lt;=0,N(M407)&gt;N(L407)),N(M407)/요약!$D$27,N(L407)))</f>
        <v>49680000</v>
      </c>
      <c r="O407" s="32" t="str">
        <f aca="false">IF(A407="제외","",IF(OR(N(L407)&lt;=0,N(M407)&gt;N(L407)),"택가보정(판매금액÷공급율)",""))</f>
        <v/>
      </c>
      <c r="P407" s="0" t="str">
        <f aca="false">IF(A407="HK","100",IF(A407="CN","200",IF(A407="TW","300",IF(ISNUMBER(SEARCH("태국",C407)),"500",IF(ISNUMBER(SEARCH("말레이",C407)),"600",IF(ISNUMBER(SEARCH("필리핀",C407)),"700",IF(ISNUMBER(SEARCH("인도네시아",C407)),"800",IF(ISNUMBER(SEARCH("크루즈",C407)),"810",IF(ISNUMBER(SEARCH("동물원",C407)),"830","")))))))))</f>
        <v>100</v>
      </c>
    </row>
    <row r="408" customFormat="false" ht="15" hidden="false" customHeight="false" outlineLevel="0" collapsed="false">
      <c r="A408" s="32" t="str">
        <f aca="false">IF(OR(TRIM(C408)="",SUBSTITUTE(C408," ","")="소계"),"제외",IF(ISNUMBER(SEARCH("홍콩",C408)),"HK",IF(ISNUMBER(SEARCH("상해",C408)),"CN",IF(ISNUMBER(SEARCH("대만",C408)),"TW","홀세일"))))</f>
        <v>HK</v>
      </c>
      <c r="B408" s="36" t="s">
        <v>764</v>
      </c>
      <c r="C408" s="37" t="s">
        <v>765</v>
      </c>
      <c r="D408" s="37" t="s">
        <v>123</v>
      </c>
      <c r="E408" s="36" t="n">
        <v>2026</v>
      </c>
      <c r="F408" s="37" t="s">
        <v>219</v>
      </c>
      <c r="G408" s="37" t="s">
        <v>124</v>
      </c>
      <c r="H408" s="36" t="s">
        <v>131</v>
      </c>
      <c r="I408" s="36" t="s">
        <v>832</v>
      </c>
      <c r="J408" s="37" t="s">
        <v>833</v>
      </c>
      <c r="K408" s="38" t="n">
        <v>660</v>
      </c>
      <c r="L408" s="38" t="n">
        <v>38940000</v>
      </c>
      <c r="M408" s="38" t="n">
        <v>14454660</v>
      </c>
      <c r="N408" s="39" t="n">
        <f aca="false">IF(A408="제외",0,IF(OR(N(L408)&lt;=0,N(M408)&gt;N(L408)),N(M408)/요약!$D$27,N(L408)))</f>
        <v>38940000</v>
      </c>
      <c r="O408" s="32" t="str">
        <f aca="false">IF(A408="제외","",IF(OR(N(L408)&lt;=0,N(M408)&gt;N(L408)),"택가보정(판매금액÷공급율)",""))</f>
        <v/>
      </c>
      <c r="P408" s="0" t="str">
        <f aca="false">IF(A408="HK","100",IF(A408="CN","200",IF(A408="TW","300",IF(ISNUMBER(SEARCH("태국",C408)),"500",IF(ISNUMBER(SEARCH("말레이",C408)),"600",IF(ISNUMBER(SEARCH("필리핀",C408)),"700",IF(ISNUMBER(SEARCH("인도네시아",C408)),"800",IF(ISNUMBER(SEARCH("크루즈",C408)),"810",IF(ISNUMBER(SEARCH("동물원",C408)),"830","")))))))))</f>
        <v>100</v>
      </c>
    </row>
    <row r="409" customFormat="false" ht="15" hidden="false" customHeight="false" outlineLevel="0" collapsed="false">
      <c r="A409" s="32" t="str">
        <f aca="false">IF(OR(TRIM(C409)="",SUBSTITUTE(C409," ","")="소계"),"제외",IF(ISNUMBER(SEARCH("홍콩",C409)),"HK",IF(ISNUMBER(SEARCH("상해",C409)),"CN",IF(ISNUMBER(SEARCH("대만",C409)),"TW","홀세일"))))</f>
        <v>HK</v>
      </c>
      <c r="B409" s="36" t="s">
        <v>764</v>
      </c>
      <c r="C409" s="37" t="s">
        <v>765</v>
      </c>
      <c r="D409" s="37" t="s">
        <v>123</v>
      </c>
      <c r="E409" s="36" t="n">
        <v>2026</v>
      </c>
      <c r="F409" s="37" t="s">
        <v>219</v>
      </c>
      <c r="G409" s="37" t="s">
        <v>124</v>
      </c>
      <c r="H409" s="36" t="s">
        <v>131</v>
      </c>
      <c r="I409" s="36" t="s">
        <v>304</v>
      </c>
      <c r="J409" s="37" t="s">
        <v>305</v>
      </c>
      <c r="K409" s="38" t="n">
        <v>658</v>
      </c>
      <c r="L409" s="38" t="n">
        <v>38822000</v>
      </c>
      <c r="M409" s="38" t="n">
        <v>14569789</v>
      </c>
      <c r="N409" s="39" t="n">
        <f aca="false">IF(A409="제외",0,IF(OR(N(L409)&lt;=0,N(M409)&gt;N(L409)),N(M409)/요약!$D$27,N(L409)))</f>
        <v>38822000</v>
      </c>
      <c r="O409" s="32" t="str">
        <f aca="false">IF(A409="제외","",IF(OR(N(L409)&lt;=0,N(M409)&gt;N(L409)),"택가보정(판매금액÷공급율)",""))</f>
        <v/>
      </c>
      <c r="P409" s="0" t="str">
        <f aca="false">IF(A409="HK","100",IF(A409="CN","200",IF(A409="TW","300",IF(ISNUMBER(SEARCH("태국",C409)),"500",IF(ISNUMBER(SEARCH("말레이",C409)),"600",IF(ISNUMBER(SEARCH("필리핀",C409)),"700",IF(ISNUMBER(SEARCH("인도네시아",C409)),"800",IF(ISNUMBER(SEARCH("크루즈",C409)),"810",IF(ISNUMBER(SEARCH("동물원",C409)),"830","")))))))))</f>
        <v>100</v>
      </c>
    </row>
    <row r="410" customFormat="false" ht="15" hidden="false" customHeight="false" outlineLevel="0" collapsed="false">
      <c r="A410" s="32" t="str">
        <f aca="false">IF(OR(TRIM(C410)="",SUBSTITUTE(C410," ","")="소계"),"제외",IF(ISNUMBER(SEARCH("홍콩",C410)),"HK",IF(ISNUMBER(SEARCH("상해",C410)),"CN",IF(ISNUMBER(SEARCH("대만",C410)),"TW","홀세일"))))</f>
        <v>HK</v>
      </c>
      <c r="B410" s="36" t="s">
        <v>764</v>
      </c>
      <c r="C410" s="37" t="s">
        <v>765</v>
      </c>
      <c r="D410" s="37" t="s">
        <v>123</v>
      </c>
      <c r="E410" s="36" t="n">
        <v>2026</v>
      </c>
      <c r="F410" s="37" t="s">
        <v>219</v>
      </c>
      <c r="G410" s="37" t="s">
        <v>124</v>
      </c>
      <c r="H410" s="36" t="s">
        <v>131</v>
      </c>
      <c r="I410" s="36" t="s">
        <v>306</v>
      </c>
      <c r="J410" s="37" t="s">
        <v>307</v>
      </c>
      <c r="K410" s="38" t="n">
        <v>479</v>
      </c>
      <c r="L410" s="38" t="n">
        <v>33051000</v>
      </c>
      <c r="M410" s="38" t="n">
        <v>12397787</v>
      </c>
      <c r="N410" s="39" t="n">
        <f aca="false">IF(A410="제외",0,IF(OR(N(L410)&lt;=0,N(M410)&gt;N(L410)),N(M410)/요약!$D$27,N(L410)))</f>
        <v>33051000</v>
      </c>
      <c r="O410" s="32" t="str">
        <f aca="false">IF(A410="제외","",IF(OR(N(L410)&lt;=0,N(M410)&gt;N(L410)),"택가보정(판매금액÷공급율)",""))</f>
        <v/>
      </c>
      <c r="P410" s="0" t="str">
        <f aca="false">IF(A410="HK","100",IF(A410="CN","200",IF(A410="TW","300",IF(ISNUMBER(SEARCH("태국",C410)),"500",IF(ISNUMBER(SEARCH("말레이",C410)),"600",IF(ISNUMBER(SEARCH("필리핀",C410)),"700",IF(ISNUMBER(SEARCH("인도네시아",C410)),"800",IF(ISNUMBER(SEARCH("크루즈",C410)),"810",IF(ISNUMBER(SEARCH("동물원",C410)),"830","")))))))))</f>
        <v>100</v>
      </c>
    </row>
    <row r="411" customFormat="false" ht="15" hidden="false" customHeight="false" outlineLevel="0" collapsed="false">
      <c r="A411" s="32" t="str">
        <f aca="false">IF(OR(TRIM(C411)="",SUBSTITUTE(C411," ","")="소계"),"제외",IF(ISNUMBER(SEARCH("홍콩",C411)),"HK",IF(ISNUMBER(SEARCH("상해",C411)),"CN",IF(ISNUMBER(SEARCH("대만",C411)),"TW","홀세일"))))</f>
        <v>HK</v>
      </c>
      <c r="B411" s="36" t="s">
        <v>764</v>
      </c>
      <c r="C411" s="37" t="s">
        <v>765</v>
      </c>
      <c r="D411" s="37" t="s">
        <v>123</v>
      </c>
      <c r="E411" s="36" t="n">
        <v>2026</v>
      </c>
      <c r="F411" s="37" t="s">
        <v>219</v>
      </c>
      <c r="G411" s="37" t="s">
        <v>124</v>
      </c>
      <c r="H411" s="36" t="s">
        <v>131</v>
      </c>
      <c r="I411" s="36" t="s">
        <v>308</v>
      </c>
      <c r="J411" s="37" t="s">
        <v>309</v>
      </c>
      <c r="K411" s="38" t="n">
        <v>600</v>
      </c>
      <c r="L411" s="38" t="n">
        <v>53400000</v>
      </c>
      <c r="M411" s="38" t="n">
        <v>19059600</v>
      </c>
      <c r="N411" s="39" t="n">
        <f aca="false">IF(A411="제외",0,IF(OR(N(L411)&lt;=0,N(M411)&gt;N(L411)),N(M411)/요약!$D$27,N(L411)))</f>
        <v>53400000</v>
      </c>
      <c r="O411" s="32" t="str">
        <f aca="false">IF(A411="제외","",IF(OR(N(L411)&lt;=0,N(M411)&gt;N(L411)),"택가보정(판매금액÷공급율)",""))</f>
        <v/>
      </c>
      <c r="P411" s="0" t="str">
        <f aca="false">IF(A411="HK","100",IF(A411="CN","200",IF(A411="TW","300",IF(ISNUMBER(SEARCH("태국",C411)),"500",IF(ISNUMBER(SEARCH("말레이",C411)),"600",IF(ISNUMBER(SEARCH("필리핀",C411)),"700",IF(ISNUMBER(SEARCH("인도네시아",C411)),"800",IF(ISNUMBER(SEARCH("크루즈",C411)),"810",IF(ISNUMBER(SEARCH("동물원",C411)),"830","")))))))))</f>
        <v>100</v>
      </c>
    </row>
    <row r="412" customFormat="false" ht="15" hidden="false" customHeight="false" outlineLevel="0" collapsed="false">
      <c r="A412" s="32" t="str">
        <f aca="false">IF(OR(TRIM(C412)="",SUBSTITUTE(C412," ","")="소계"),"제외",IF(ISNUMBER(SEARCH("홍콩",C412)),"HK",IF(ISNUMBER(SEARCH("상해",C412)),"CN",IF(ISNUMBER(SEARCH("대만",C412)),"TW","홀세일"))))</f>
        <v>HK</v>
      </c>
      <c r="B412" s="36" t="s">
        <v>764</v>
      </c>
      <c r="C412" s="37" t="s">
        <v>765</v>
      </c>
      <c r="D412" s="37" t="s">
        <v>123</v>
      </c>
      <c r="E412" s="36" t="n">
        <v>2026</v>
      </c>
      <c r="F412" s="37" t="s">
        <v>219</v>
      </c>
      <c r="G412" s="37" t="s">
        <v>124</v>
      </c>
      <c r="H412" s="36" t="s">
        <v>131</v>
      </c>
      <c r="I412" s="36" t="s">
        <v>312</v>
      </c>
      <c r="J412" s="37" t="s">
        <v>313</v>
      </c>
      <c r="K412" s="38" t="n">
        <v>780</v>
      </c>
      <c r="L412" s="38" t="n">
        <v>69420000</v>
      </c>
      <c r="M412" s="38" t="n">
        <v>25970880</v>
      </c>
      <c r="N412" s="39" t="n">
        <f aca="false">IF(A412="제외",0,IF(OR(N(L412)&lt;=0,N(M412)&gt;N(L412)),N(M412)/요약!$D$27,N(L412)))</f>
        <v>69420000</v>
      </c>
      <c r="O412" s="32" t="str">
        <f aca="false">IF(A412="제외","",IF(OR(N(L412)&lt;=0,N(M412)&gt;N(L412)),"택가보정(판매금액÷공급율)",""))</f>
        <v/>
      </c>
      <c r="P412" s="0" t="str">
        <f aca="false">IF(A412="HK","100",IF(A412="CN","200",IF(A412="TW","300",IF(ISNUMBER(SEARCH("태국",C412)),"500",IF(ISNUMBER(SEARCH("말레이",C412)),"600",IF(ISNUMBER(SEARCH("필리핀",C412)),"700",IF(ISNUMBER(SEARCH("인도네시아",C412)),"800",IF(ISNUMBER(SEARCH("크루즈",C412)),"810",IF(ISNUMBER(SEARCH("동물원",C412)),"830","")))))))))</f>
        <v>100</v>
      </c>
    </row>
    <row r="413" customFormat="false" ht="15" hidden="false" customHeight="false" outlineLevel="0" collapsed="false">
      <c r="A413" s="32" t="str">
        <f aca="false">IF(OR(TRIM(C413)="",SUBSTITUTE(C413," ","")="소계"),"제외",IF(ISNUMBER(SEARCH("홍콩",C413)),"HK",IF(ISNUMBER(SEARCH("상해",C413)),"CN",IF(ISNUMBER(SEARCH("대만",C413)),"TW","홀세일"))))</f>
        <v>HK</v>
      </c>
      <c r="B413" s="36" t="s">
        <v>764</v>
      </c>
      <c r="C413" s="37" t="s">
        <v>765</v>
      </c>
      <c r="D413" s="37" t="s">
        <v>123</v>
      </c>
      <c r="E413" s="36" t="n">
        <v>2026</v>
      </c>
      <c r="F413" s="37" t="s">
        <v>219</v>
      </c>
      <c r="G413" s="37" t="s">
        <v>124</v>
      </c>
      <c r="H413" s="36" t="s">
        <v>131</v>
      </c>
      <c r="I413" s="36" t="s">
        <v>834</v>
      </c>
      <c r="J413" s="37" t="s">
        <v>835</v>
      </c>
      <c r="K413" s="38" t="n">
        <v>180</v>
      </c>
      <c r="L413" s="38" t="n">
        <v>12420000</v>
      </c>
      <c r="M413" s="38" t="n">
        <v>3944340</v>
      </c>
      <c r="N413" s="39" t="n">
        <f aca="false">IF(A413="제외",0,IF(OR(N(L413)&lt;=0,N(M413)&gt;N(L413)),N(M413)/요약!$D$27,N(L413)))</f>
        <v>12420000</v>
      </c>
      <c r="O413" s="32" t="str">
        <f aca="false">IF(A413="제외","",IF(OR(N(L413)&lt;=0,N(M413)&gt;N(L413)),"택가보정(판매금액÷공급율)",""))</f>
        <v/>
      </c>
      <c r="P413" s="0" t="str">
        <f aca="false">IF(A413="HK","100",IF(A413="CN","200",IF(A413="TW","300",IF(ISNUMBER(SEARCH("태국",C413)),"500",IF(ISNUMBER(SEARCH("말레이",C413)),"600",IF(ISNUMBER(SEARCH("필리핀",C413)),"700",IF(ISNUMBER(SEARCH("인도네시아",C413)),"800",IF(ISNUMBER(SEARCH("크루즈",C413)),"810",IF(ISNUMBER(SEARCH("동물원",C413)),"830","")))))))))</f>
        <v>100</v>
      </c>
    </row>
    <row r="414" customFormat="false" ht="15" hidden="false" customHeight="false" outlineLevel="0" collapsed="false">
      <c r="A414" s="32" t="str">
        <f aca="false">IF(OR(TRIM(C414)="",SUBSTITUTE(C414," ","")="소계"),"제외",IF(ISNUMBER(SEARCH("홍콩",C414)),"HK",IF(ISNUMBER(SEARCH("상해",C414)),"CN",IF(ISNUMBER(SEARCH("대만",C414)),"TW","홀세일"))))</f>
        <v>HK</v>
      </c>
      <c r="B414" s="36" t="s">
        <v>764</v>
      </c>
      <c r="C414" s="37" t="s">
        <v>765</v>
      </c>
      <c r="D414" s="37" t="s">
        <v>123</v>
      </c>
      <c r="E414" s="36" t="n">
        <v>2026</v>
      </c>
      <c r="F414" s="37" t="s">
        <v>219</v>
      </c>
      <c r="G414" s="37" t="s">
        <v>124</v>
      </c>
      <c r="H414" s="36" t="s">
        <v>125</v>
      </c>
      <c r="I414" s="36" t="s">
        <v>314</v>
      </c>
      <c r="J414" s="37" t="s">
        <v>315</v>
      </c>
      <c r="K414" s="38" t="n">
        <v>956</v>
      </c>
      <c r="L414" s="38" t="n">
        <v>56404000</v>
      </c>
      <c r="M414" s="38" t="n">
        <v>20422072</v>
      </c>
      <c r="N414" s="39" t="n">
        <f aca="false">IF(A414="제외",0,IF(OR(N(L414)&lt;=0,N(M414)&gt;N(L414)),N(M414)/요약!$D$27,N(L414)))</f>
        <v>56404000</v>
      </c>
      <c r="O414" s="32" t="str">
        <f aca="false">IF(A414="제외","",IF(OR(N(L414)&lt;=0,N(M414)&gt;N(L414)),"택가보정(판매금액÷공급율)",""))</f>
        <v/>
      </c>
      <c r="P414" s="0" t="str">
        <f aca="false">IF(A414="HK","100",IF(A414="CN","200",IF(A414="TW","300",IF(ISNUMBER(SEARCH("태국",C414)),"500",IF(ISNUMBER(SEARCH("말레이",C414)),"600",IF(ISNUMBER(SEARCH("필리핀",C414)),"700",IF(ISNUMBER(SEARCH("인도네시아",C414)),"800",IF(ISNUMBER(SEARCH("크루즈",C414)),"810",IF(ISNUMBER(SEARCH("동물원",C414)),"830","")))))))))</f>
        <v>100</v>
      </c>
    </row>
    <row r="415" customFormat="false" ht="15" hidden="false" customHeight="false" outlineLevel="0" collapsed="false">
      <c r="A415" s="32" t="str">
        <f aca="false">IF(OR(TRIM(C415)="",SUBSTITUTE(C415," ","")="소계"),"제외",IF(ISNUMBER(SEARCH("홍콩",C415)),"HK",IF(ISNUMBER(SEARCH("상해",C415)),"CN",IF(ISNUMBER(SEARCH("대만",C415)),"TW","홀세일"))))</f>
        <v>HK</v>
      </c>
      <c r="B415" s="36" t="s">
        <v>764</v>
      </c>
      <c r="C415" s="37" t="s">
        <v>765</v>
      </c>
      <c r="D415" s="37" t="s">
        <v>123</v>
      </c>
      <c r="E415" s="36" t="n">
        <v>2026</v>
      </c>
      <c r="F415" s="37" t="s">
        <v>219</v>
      </c>
      <c r="G415" s="37" t="s">
        <v>124</v>
      </c>
      <c r="H415" s="36" t="s">
        <v>125</v>
      </c>
      <c r="I415" s="36" t="s">
        <v>316</v>
      </c>
      <c r="J415" s="37" t="s">
        <v>317</v>
      </c>
      <c r="K415" s="38" t="n">
        <v>775</v>
      </c>
      <c r="L415" s="38" t="n">
        <v>45725000</v>
      </c>
      <c r="M415" s="38" t="n">
        <v>16555550</v>
      </c>
      <c r="N415" s="39" t="n">
        <f aca="false">IF(A415="제외",0,IF(OR(N(L415)&lt;=0,N(M415)&gt;N(L415)),N(M415)/요약!$D$27,N(L415)))</f>
        <v>45725000</v>
      </c>
      <c r="O415" s="32" t="str">
        <f aca="false">IF(A415="제외","",IF(OR(N(L415)&lt;=0,N(M415)&gt;N(L415)),"택가보정(판매금액÷공급율)",""))</f>
        <v/>
      </c>
      <c r="P415" s="0" t="str">
        <f aca="false">IF(A415="HK","100",IF(A415="CN","200",IF(A415="TW","300",IF(ISNUMBER(SEARCH("태국",C415)),"500",IF(ISNUMBER(SEARCH("말레이",C415)),"600",IF(ISNUMBER(SEARCH("필리핀",C415)),"700",IF(ISNUMBER(SEARCH("인도네시아",C415)),"800",IF(ISNUMBER(SEARCH("크루즈",C415)),"810",IF(ISNUMBER(SEARCH("동물원",C415)),"830","")))))))))</f>
        <v>100</v>
      </c>
    </row>
    <row r="416" customFormat="false" ht="15" hidden="false" customHeight="false" outlineLevel="0" collapsed="false">
      <c r="A416" s="32" t="str">
        <f aca="false">IF(OR(TRIM(C416)="",SUBSTITUTE(C416," ","")="소계"),"제외",IF(ISNUMBER(SEARCH("홍콩",C416)),"HK",IF(ISNUMBER(SEARCH("상해",C416)),"CN",IF(ISNUMBER(SEARCH("대만",C416)),"TW","홀세일"))))</f>
        <v>HK</v>
      </c>
      <c r="B416" s="36" t="s">
        <v>764</v>
      </c>
      <c r="C416" s="37" t="s">
        <v>765</v>
      </c>
      <c r="D416" s="37" t="s">
        <v>123</v>
      </c>
      <c r="E416" s="36" t="n">
        <v>2026</v>
      </c>
      <c r="F416" s="37" t="s">
        <v>219</v>
      </c>
      <c r="G416" s="37" t="s">
        <v>124</v>
      </c>
      <c r="H416" s="36" t="s">
        <v>125</v>
      </c>
      <c r="I416" s="36" t="s">
        <v>318</v>
      </c>
      <c r="J416" s="37" t="s">
        <v>319</v>
      </c>
      <c r="K416" s="38" t="n">
        <v>660</v>
      </c>
      <c r="L416" s="38" t="n">
        <v>38940000</v>
      </c>
      <c r="M416" s="38" t="n">
        <v>14153700</v>
      </c>
      <c r="N416" s="39" t="n">
        <f aca="false">IF(A416="제외",0,IF(OR(N(L416)&lt;=0,N(M416)&gt;N(L416)),N(M416)/요약!$D$27,N(L416)))</f>
        <v>38940000</v>
      </c>
      <c r="O416" s="32" t="str">
        <f aca="false">IF(A416="제외","",IF(OR(N(L416)&lt;=0,N(M416)&gt;N(L416)),"택가보정(판매금액÷공급율)",""))</f>
        <v/>
      </c>
      <c r="P416" s="0" t="str">
        <f aca="false">IF(A416="HK","100",IF(A416="CN","200",IF(A416="TW","300",IF(ISNUMBER(SEARCH("태국",C416)),"500",IF(ISNUMBER(SEARCH("말레이",C416)),"600",IF(ISNUMBER(SEARCH("필리핀",C416)),"700",IF(ISNUMBER(SEARCH("인도네시아",C416)),"800",IF(ISNUMBER(SEARCH("크루즈",C416)),"810",IF(ISNUMBER(SEARCH("동물원",C416)),"830","")))))))))</f>
        <v>100</v>
      </c>
    </row>
    <row r="417" customFormat="false" ht="15" hidden="false" customHeight="false" outlineLevel="0" collapsed="false">
      <c r="A417" s="32" t="str">
        <f aca="false">IF(OR(TRIM(C417)="",SUBSTITUTE(C417," ","")="소계"),"제외",IF(ISNUMBER(SEARCH("홍콩",C417)),"HK",IF(ISNUMBER(SEARCH("상해",C417)),"CN",IF(ISNUMBER(SEARCH("대만",C417)),"TW","홀세일"))))</f>
        <v>HK</v>
      </c>
      <c r="B417" s="36" t="s">
        <v>764</v>
      </c>
      <c r="C417" s="37" t="s">
        <v>765</v>
      </c>
      <c r="D417" s="37" t="s">
        <v>123</v>
      </c>
      <c r="E417" s="36" t="n">
        <v>2026</v>
      </c>
      <c r="F417" s="37" t="s">
        <v>219</v>
      </c>
      <c r="G417" s="37" t="s">
        <v>124</v>
      </c>
      <c r="H417" s="36" t="s">
        <v>125</v>
      </c>
      <c r="I417" s="36" t="s">
        <v>320</v>
      </c>
      <c r="J417" s="37" t="s">
        <v>321</v>
      </c>
      <c r="K417" s="38" t="n">
        <v>780</v>
      </c>
      <c r="L417" s="38" t="n">
        <v>53820000</v>
      </c>
      <c r="M417" s="38" t="n">
        <v>19553040</v>
      </c>
      <c r="N417" s="39" t="n">
        <f aca="false">IF(A417="제외",0,IF(OR(N(L417)&lt;=0,N(M417)&gt;N(L417)),N(M417)/요약!$D$27,N(L417)))</f>
        <v>53820000</v>
      </c>
      <c r="O417" s="32" t="str">
        <f aca="false">IF(A417="제외","",IF(OR(N(L417)&lt;=0,N(M417)&gt;N(L417)),"택가보정(판매금액÷공급율)",""))</f>
        <v/>
      </c>
      <c r="P417" s="0" t="str">
        <f aca="false">IF(A417="HK","100",IF(A417="CN","200",IF(A417="TW","300",IF(ISNUMBER(SEARCH("태국",C417)),"500",IF(ISNUMBER(SEARCH("말레이",C417)),"600",IF(ISNUMBER(SEARCH("필리핀",C417)),"700",IF(ISNUMBER(SEARCH("인도네시아",C417)),"800",IF(ISNUMBER(SEARCH("크루즈",C417)),"810",IF(ISNUMBER(SEARCH("동물원",C417)),"830","")))))))))</f>
        <v>100</v>
      </c>
    </row>
    <row r="418" customFormat="false" ht="15" hidden="false" customHeight="false" outlineLevel="0" collapsed="false">
      <c r="A418" s="32" t="str">
        <f aca="false">IF(OR(TRIM(C418)="",SUBSTITUTE(C418," ","")="소계"),"제외",IF(ISNUMBER(SEARCH("홍콩",C418)),"HK",IF(ISNUMBER(SEARCH("상해",C418)),"CN",IF(ISNUMBER(SEARCH("대만",C418)),"TW","홀세일"))))</f>
        <v>HK</v>
      </c>
      <c r="B418" s="36" t="s">
        <v>764</v>
      </c>
      <c r="C418" s="37" t="s">
        <v>765</v>
      </c>
      <c r="D418" s="37" t="s">
        <v>123</v>
      </c>
      <c r="E418" s="36" t="n">
        <v>2026</v>
      </c>
      <c r="F418" s="37" t="s">
        <v>219</v>
      </c>
      <c r="G418" s="37" t="s">
        <v>360</v>
      </c>
      <c r="H418" s="36" t="s">
        <v>131</v>
      </c>
      <c r="I418" s="36" t="s">
        <v>836</v>
      </c>
      <c r="J418" s="37" t="s">
        <v>837</v>
      </c>
      <c r="K418" s="38" t="n">
        <v>190</v>
      </c>
      <c r="L418" s="38" t="n">
        <v>9310000</v>
      </c>
      <c r="M418" s="38" t="n">
        <v>4068090</v>
      </c>
      <c r="N418" s="39" t="n">
        <f aca="false">IF(A418="제외",0,IF(OR(N(L418)&lt;=0,N(M418)&gt;N(L418)),N(M418)/요약!$D$27,N(L418)))</f>
        <v>9310000</v>
      </c>
      <c r="O418" s="32" t="str">
        <f aca="false">IF(A418="제외","",IF(OR(N(L418)&lt;=0,N(M418)&gt;N(L418)),"택가보정(판매금액÷공급율)",""))</f>
        <v/>
      </c>
      <c r="P418" s="0" t="str">
        <f aca="false">IF(A418="HK","100",IF(A418="CN","200",IF(A418="TW","300",IF(ISNUMBER(SEARCH("태국",C418)),"500",IF(ISNUMBER(SEARCH("말레이",C418)),"600",IF(ISNUMBER(SEARCH("필리핀",C418)),"700",IF(ISNUMBER(SEARCH("인도네시아",C418)),"800",IF(ISNUMBER(SEARCH("크루즈",C418)),"810",IF(ISNUMBER(SEARCH("동물원",C418)),"830","")))))))))</f>
        <v>100</v>
      </c>
    </row>
    <row r="419" customFormat="false" ht="15" hidden="false" customHeight="false" outlineLevel="0" collapsed="false">
      <c r="A419" s="32" t="str">
        <f aca="false">IF(OR(TRIM(C419)="",SUBSTITUTE(C419," ","")="소계"),"제외",IF(ISNUMBER(SEARCH("홍콩",C419)),"HK",IF(ISNUMBER(SEARCH("상해",C419)),"CN",IF(ISNUMBER(SEARCH("대만",C419)),"TW","홀세일"))))</f>
        <v>HK</v>
      </c>
      <c r="B419" s="36" t="s">
        <v>764</v>
      </c>
      <c r="C419" s="37" t="s">
        <v>765</v>
      </c>
      <c r="D419" s="37" t="s">
        <v>123</v>
      </c>
      <c r="E419" s="36" t="n">
        <v>2026</v>
      </c>
      <c r="F419" s="37" t="s">
        <v>219</v>
      </c>
      <c r="G419" s="37" t="s">
        <v>124</v>
      </c>
      <c r="H419" s="36" t="s">
        <v>188</v>
      </c>
      <c r="I419" s="36" t="s">
        <v>322</v>
      </c>
      <c r="J419" s="36" t="s">
        <v>323</v>
      </c>
      <c r="K419" s="38" t="n">
        <v>200</v>
      </c>
      <c r="L419" s="38" t="n">
        <v>15800000</v>
      </c>
      <c r="M419" s="38" t="n">
        <v>5715800</v>
      </c>
      <c r="N419" s="39" t="n">
        <f aca="false">IF(A419="제외",0,IF(OR(N(L419)&lt;=0,N(M419)&gt;N(L419)),N(M419)/요약!$D$27,N(L419)))</f>
        <v>15800000</v>
      </c>
      <c r="O419" s="32" t="str">
        <f aca="false">IF(A419="제외","",IF(OR(N(L419)&lt;=0,N(M419)&gt;N(L419)),"택가보정(판매금액÷공급율)",""))</f>
        <v/>
      </c>
      <c r="P419" s="0" t="str">
        <f aca="false">IF(A419="HK","100",IF(A419="CN","200",IF(A419="TW","300",IF(ISNUMBER(SEARCH("태국",C419)),"500",IF(ISNUMBER(SEARCH("말레이",C419)),"600",IF(ISNUMBER(SEARCH("필리핀",C419)),"700",IF(ISNUMBER(SEARCH("인도네시아",C419)),"800",IF(ISNUMBER(SEARCH("크루즈",C419)),"810",IF(ISNUMBER(SEARCH("동물원",C419)),"830","")))))))))</f>
        <v>100</v>
      </c>
    </row>
    <row r="420" customFormat="false" ht="15" hidden="false" customHeight="false" outlineLevel="0" collapsed="false">
      <c r="A420" s="32" t="str">
        <f aca="false">IF(OR(TRIM(C420)="",SUBSTITUTE(C420," ","")="소계"),"제외",IF(ISNUMBER(SEARCH("홍콩",C420)),"HK",IF(ISNUMBER(SEARCH("상해",C420)),"CN",IF(ISNUMBER(SEARCH("대만",C420)),"TW","홀세일"))))</f>
        <v>HK</v>
      </c>
      <c r="B420" s="36" t="s">
        <v>764</v>
      </c>
      <c r="C420" s="37" t="s">
        <v>765</v>
      </c>
      <c r="D420" s="37" t="s">
        <v>123</v>
      </c>
      <c r="E420" s="36" t="n">
        <v>2026</v>
      </c>
      <c r="F420" s="37" t="s">
        <v>219</v>
      </c>
      <c r="G420" s="37" t="s">
        <v>124</v>
      </c>
      <c r="H420" s="36" t="s">
        <v>188</v>
      </c>
      <c r="I420" s="36" t="s">
        <v>326</v>
      </c>
      <c r="J420" s="36" t="s">
        <v>327</v>
      </c>
      <c r="K420" s="38" t="n">
        <v>295</v>
      </c>
      <c r="L420" s="38" t="n">
        <v>23305000</v>
      </c>
      <c r="M420" s="38" t="n">
        <v>8320475</v>
      </c>
      <c r="N420" s="39" t="n">
        <f aca="false">IF(A420="제외",0,IF(OR(N(L420)&lt;=0,N(M420)&gt;N(L420)),N(M420)/요약!$D$27,N(L420)))</f>
        <v>23305000</v>
      </c>
      <c r="O420" s="32" t="str">
        <f aca="false">IF(A420="제외","",IF(OR(N(L420)&lt;=0,N(M420)&gt;N(L420)),"택가보정(판매금액÷공급율)",""))</f>
        <v/>
      </c>
      <c r="P420" s="0" t="str">
        <f aca="false">IF(A420="HK","100",IF(A420="CN","200",IF(A420="TW","300",IF(ISNUMBER(SEARCH("태국",C420)),"500",IF(ISNUMBER(SEARCH("말레이",C420)),"600",IF(ISNUMBER(SEARCH("필리핀",C420)),"700",IF(ISNUMBER(SEARCH("인도네시아",C420)),"800",IF(ISNUMBER(SEARCH("크루즈",C420)),"810",IF(ISNUMBER(SEARCH("동물원",C420)),"830","")))))))))</f>
        <v>100</v>
      </c>
    </row>
    <row r="421" customFormat="false" ht="15" hidden="false" customHeight="false" outlineLevel="0" collapsed="false">
      <c r="A421" s="32" t="str">
        <f aca="false">IF(OR(TRIM(C421)="",SUBSTITUTE(C421," ","")="소계"),"제외",IF(ISNUMBER(SEARCH("홍콩",C421)),"HK",IF(ISNUMBER(SEARCH("상해",C421)),"CN",IF(ISNUMBER(SEARCH("대만",C421)),"TW","홀세일"))))</f>
        <v>HK</v>
      </c>
      <c r="B421" s="36" t="s">
        <v>764</v>
      </c>
      <c r="C421" s="37" t="s">
        <v>765</v>
      </c>
      <c r="D421" s="37" t="s">
        <v>123</v>
      </c>
      <c r="E421" s="36" t="n">
        <v>2026</v>
      </c>
      <c r="F421" s="37" t="s">
        <v>219</v>
      </c>
      <c r="G421" s="37" t="s">
        <v>124</v>
      </c>
      <c r="H421" s="36" t="s">
        <v>188</v>
      </c>
      <c r="I421" s="36" t="s">
        <v>838</v>
      </c>
      <c r="J421" s="36" t="s">
        <v>839</v>
      </c>
      <c r="K421" s="38" t="n">
        <v>180</v>
      </c>
      <c r="L421" s="38" t="n">
        <v>16020000</v>
      </c>
      <c r="M421" s="38" t="n">
        <v>5940000</v>
      </c>
      <c r="N421" s="39" t="n">
        <f aca="false">IF(A421="제외",0,IF(OR(N(L421)&lt;=0,N(M421)&gt;N(L421)),N(M421)/요약!$D$27,N(L421)))</f>
        <v>16020000</v>
      </c>
      <c r="O421" s="32" t="str">
        <f aca="false">IF(A421="제외","",IF(OR(N(L421)&lt;=0,N(M421)&gt;N(L421)),"택가보정(판매금액÷공급율)",""))</f>
        <v/>
      </c>
      <c r="P421" s="0" t="str">
        <f aca="false">IF(A421="HK","100",IF(A421="CN","200",IF(A421="TW","300",IF(ISNUMBER(SEARCH("태국",C421)),"500",IF(ISNUMBER(SEARCH("말레이",C421)),"600",IF(ISNUMBER(SEARCH("필리핀",C421)),"700",IF(ISNUMBER(SEARCH("인도네시아",C421)),"800",IF(ISNUMBER(SEARCH("크루즈",C421)),"810",IF(ISNUMBER(SEARCH("동물원",C421)),"830","")))))))))</f>
        <v>100</v>
      </c>
    </row>
    <row r="422" customFormat="false" ht="15" hidden="false" customHeight="false" outlineLevel="0" collapsed="false">
      <c r="A422" s="32" t="str">
        <f aca="false">IF(OR(TRIM(C422)="",SUBSTITUTE(C422," ","")="소계"),"제외",IF(ISNUMBER(SEARCH("홍콩",C422)),"HK",IF(ISNUMBER(SEARCH("상해",C422)),"CN",IF(ISNUMBER(SEARCH("대만",C422)),"TW","홀세일"))))</f>
        <v>HK</v>
      </c>
      <c r="B422" s="36" t="s">
        <v>764</v>
      </c>
      <c r="C422" s="37" t="s">
        <v>765</v>
      </c>
      <c r="D422" s="37" t="s">
        <v>123</v>
      </c>
      <c r="E422" s="36" t="n">
        <v>2026</v>
      </c>
      <c r="F422" s="37" t="s">
        <v>219</v>
      </c>
      <c r="G422" s="37" t="s">
        <v>124</v>
      </c>
      <c r="H422" s="36" t="s">
        <v>188</v>
      </c>
      <c r="I422" s="36" t="s">
        <v>330</v>
      </c>
      <c r="J422" s="36" t="s">
        <v>331</v>
      </c>
      <c r="K422" s="38" t="n">
        <v>200</v>
      </c>
      <c r="L422" s="38" t="n">
        <v>27800000</v>
      </c>
      <c r="M422" s="38" t="n">
        <v>10190200</v>
      </c>
      <c r="N422" s="39" t="n">
        <f aca="false">IF(A422="제외",0,IF(OR(N(L422)&lt;=0,N(M422)&gt;N(L422)),N(M422)/요약!$D$27,N(L422)))</f>
        <v>27800000</v>
      </c>
      <c r="O422" s="32" t="str">
        <f aca="false">IF(A422="제외","",IF(OR(N(L422)&lt;=0,N(M422)&gt;N(L422)),"택가보정(판매금액÷공급율)",""))</f>
        <v/>
      </c>
      <c r="P422" s="0" t="str">
        <f aca="false">IF(A422="HK","100",IF(A422="CN","200",IF(A422="TW","300",IF(ISNUMBER(SEARCH("태국",C422)),"500",IF(ISNUMBER(SEARCH("말레이",C422)),"600",IF(ISNUMBER(SEARCH("필리핀",C422)),"700",IF(ISNUMBER(SEARCH("인도네시아",C422)),"800",IF(ISNUMBER(SEARCH("크루즈",C422)),"810",IF(ISNUMBER(SEARCH("동물원",C422)),"830","")))))))))</f>
        <v>100</v>
      </c>
    </row>
    <row r="423" customFormat="false" ht="15" hidden="false" customHeight="false" outlineLevel="0" collapsed="false">
      <c r="A423" s="32" t="str">
        <f aca="false">IF(OR(TRIM(C423)="",SUBSTITUTE(C423," ","")="소계"),"제외",IF(ISNUMBER(SEARCH("홍콩",C423)),"HK",IF(ISNUMBER(SEARCH("상해",C423)),"CN",IF(ISNUMBER(SEARCH("대만",C423)),"TW","홀세일"))))</f>
        <v>HK</v>
      </c>
      <c r="B423" s="36" t="s">
        <v>764</v>
      </c>
      <c r="C423" s="37" t="s">
        <v>765</v>
      </c>
      <c r="D423" s="37" t="s">
        <v>123</v>
      </c>
      <c r="E423" s="36" t="n">
        <v>2026</v>
      </c>
      <c r="F423" s="37" t="s">
        <v>219</v>
      </c>
      <c r="G423" s="37" t="s">
        <v>124</v>
      </c>
      <c r="H423" s="36" t="s">
        <v>188</v>
      </c>
      <c r="I423" s="36" t="s">
        <v>332</v>
      </c>
      <c r="J423" s="36" t="s">
        <v>333</v>
      </c>
      <c r="K423" s="38" t="n">
        <v>200</v>
      </c>
      <c r="L423" s="38" t="n">
        <v>25800000</v>
      </c>
      <c r="M423" s="38" t="n">
        <v>9458000</v>
      </c>
      <c r="N423" s="39" t="n">
        <f aca="false">IF(A423="제외",0,IF(OR(N(L423)&lt;=0,N(M423)&gt;N(L423)),N(M423)/요약!$D$27,N(L423)))</f>
        <v>25800000</v>
      </c>
      <c r="O423" s="32" t="str">
        <f aca="false">IF(A423="제외","",IF(OR(N(L423)&lt;=0,N(M423)&gt;N(L423)),"택가보정(판매금액÷공급율)",""))</f>
        <v/>
      </c>
      <c r="P423" s="0" t="str">
        <f aca="false">IF(A423="HK","100",IF(A423="CN","200",IF(A423="TW","300",IF(ISNUMBER(SEARCH("태국",C423)),"500",IF(ISNUMBER(SEARCH("말레이",C423)),"600",IF(ISNUMBER(SEARCH("필리핀",C423)),"700",IF(ISNUMBER(SEARCH("인도네시아",C423)),"800",IF(ISNUMBER(SEARCH("크루즈",C423)),"810",IF(ISNUMBER(SEARCH("동물원",C423)),"830","")))))))))</f>
        <v>100</v>
      </c>
    </row>
    <row r="424" customFormat="false" ht="15" hidden="false" customHeight="false" outlineLevel="0" collapsed="false">
      <c r="A424" s="32" t="str">
        <f aca="false">IF(OR(TRIM(C424)="",SUBSTITUTE(C424," ","")="소계"),"제외",IF(ISNUMBER(SEARCH("홍콩",C424)),"HK",IF(ISNUMBER(SEARCH("상해",C424)),"CN",IF(ISNUMBER(SEARCH("대만",C424)),"TW","홀세일"))))</f>
        <v>HK</v>
      </c>
      <c r="B424" s="36" t="s">
        <v>764</v>
      </c>
      <c r="C424" s="37" t="s">
        <v>765</v>
      </c>
      <c r="D424" s="37" t="s">
        <v>123</v>
      </c>
      <c r="E424" s="36" t="n">
        <v>2026</v>
      </c>
      <c r="F424" s="37" t="s">
        <v>219</v>
      </c>
      <c r="G424" s="37" t="s">
        <v>124</v>
      </c>
      <c r="H424" s="36" t="s">
        <v>188</v>
      </c>
      <c r="I424" s="36" t="s">
        <v>334</v>
      </c>
      <c r="J424" s="36" t="s">
        <v>335</v>
      </c>
      <c r="K424" s="38" t="n">
        <v>90</v>
      </c>
      <c r="L424" s="38" t="n">
        <v>13410000</v>
      </c>
      <c r="M424" s="38" t="n">
        <v>4782060</v>
      </c>
      <c r="N424" s="39" t="n">
        <f aca="false">IF(A424="제외",0,IF(OR(N(L424)&lt;=0,N(M424)&gt;N(L424)),N(M424)/요약!$D$27,N(L424)))</f>
        <v>13410000</v>
      </c>
      <c r="O424" s="32" t="str">
        <f aca="false">IF(A424="제외","",IF(OR(N(L424)&lt;=0,N(M424)&gt;N(L424)),"택가보정(판매금액÷공급율)",""))</f>
        <v/>
      </c>
      <c r="P424" s="0" t="str">
        <f aca="false">IF(A424="HK","100",IF(A424="CN","200",IF(A424="TW","300",IF(ISNUMBER(SEARCH("태국",C424)),"500",IF(ISNUMBER(SEARCH("말레이",C424)),"600",IF(ISNUMBER(SEARCH("필리핀",C424)),"700",IF(ISNUMBER(SEARCH("인도네시아",C424)),"800",IF(ISNUMBER(SEARCH("크루즈",C424)),"810",IF(ISNUMBER(SEARCH("동물원",C424)),"830","")))))))))</f>
        <v>100</v>
      </c>
    </row>
    <row r="425" customFormat="false" ht="15" hidden="false" customHeight="false" outlineLevel="0" collapsed="false">
      <c r="A425" s="32" t="str">
        <f aca="false">IF(OR(TRIM(C425)="",SUBSTITUTE(C425," ","")="소계"),"제외",IF(ISNUMBER(SEARCH("홍콩",C425)),"HK",IF(ISNUMBER(SEARCH("상해",C425)),"CN",IF(ISNUMBER(SEARCH("대만",C425)),"TW","홀세일"))))</f>
        <v>HK</v>
      </c>
      <c r="B425" s="36" t="s">
        <v>764</v>
      </c>
      <c r="C425" s="37" t="s">
        <v>765</v>
      </c>
      <c r="D425" s="37" t="s">
        <v>123</v>
      </c>
      <c r="E425" s="36" t="n">
        <v>2026</v>
      </c>
      <c r="F425" s="37" t="s">
        <v>219</v>
      </c>
      <c r="G425" s="37" t="s">
        <v>124</v>
      </c>
      <c r="H425" s="36" t="s">
        <v>188</v>
      </c>
      <c r="I425" s="36" t="s">
        <v>336</v>
      </c>
      <c r="J425" s="36" t="s">
        <v>337</v>
      </c>
      <c r="K425" s="38" t="n">
        <v>90</v>
      </c>
      <c r="L425" s="38" t="n">
        <v>9810000</v>
      </c>
      <c r="M425" s="38" t="n">
        <v>3500010</v>
      </c>
      <c r="N425" s="39" t="n">
        <f aca="false">IF(A425="제외",0,IF(OR(N(L425)&lt;=0,N(M425)&gt;N(L425)),N(M425)/요약!$D$27,N(L425)))</f>
        <v>9810000</v>
      </c>
      <c r="O425" s="32" t="str">
        <f aca="false">IF(A425="제외","",IF(OR(N(L425)&lt;=0,N(M425)&gt;N(L425)),"택가보정(판매금액÷공급율)",""))</f>
        <v/>
      </c>
      <c r="P425" s="0" t="str">
        <f aca="false">IF(A425="HK","100",IF(A425="CN","200",IF(A425="TW","300",IF(ISNUMBER(SEARCH("태국",C425)),"500",IF(ISNUMBER(SEARCH("말레이",C425)),"600",IF(ISNUMBER(SEARCH("필리핀",C425)),"700",IF(ISNUMBER(SEARCH("인도네시아",C425)),"800",IF(ISNUMBER(SEARCH("크루즈",C425)),"810",IF(ISNUMBER(SEARCH("동물원",C425)),"830","")))))))))</f>
        <v>100</v>
      </c>
    </row>
    <row r="426" customFormat="false" ht="15" hidden="false" customHeight="false" outlineLevel="0" collapsed="false">
      <c r="A426" s="32" t="str">
        <f aca="false">IF(OR(TRIM(C426)="",SUBSTITUTE(C426," ","")="소계"),"제외",IF(ISNUMBER(SEARCH("홍콩",C426)),"HK",IF(ISNUMBER(SEARCH("상해",C426)),"CN",IF(ISNUMBER(SEARCH("대만",C426)),"TW","홀세일"))))</f>
        <v>HK</v>
      </c>
      <c r="B426" s="36" t="s">
        <v>764</v>
      </c>
      <c r="C426" s="37" t="s">
        <v>765</v>
      </c>
      <c r="D426" s="37" t="s">
        <v>123</v>
      </c>
      <c r="E426" s="36" t="n">
        <v>2026</v>
      </c>
      <c r="F426" s="37" t="s">
        <v>219</v>
      </c>
      <c r="G426" s="37" t="s">
        <v>124</v>
      </c>
      <c r="H426" s="36" t="s">
        <v>188</v>
      </c>
      <c r="I426" s="36" t="s">
        <v>340</v>
      </c>
      <c r="J426" s="36" t="s">
        <v>341</v>
      </c>
      <c r="K426" s="38" t="n">
        <v>90</v>
      </c>
      <c r="L426" s="38" t="n">
        <v>10710000</v>
      </c>
      <c r="M426" s="38" t="n">
        <v>3820500</v>
      </c>
      <c r="N426" s="39" t="n">
        <f aca="false">IF(A426="제외",0,IF(OR(N(L426)&lt;=0,N(M426)&gt;N(L426)),N(M426)/요약!$D$27,N(L426)))</f>
        <v>10710000</v>
      </c>
      <c r="O426" s="32" t="str">
        <f aca="false">IF(A426="제외","",IF(OR(N(L426)&lt;=0,N(M426)&gt;N(L426)),"택가보정(판매금액÷공급율)",""))</f>
        <v/>
      </c>
      <c r="P426" s="0" t="str">
        <f aca="false">IF(A426="HK","100",IF(A426="CN","200",IF(A426="TW","300",IF(ISNUMBER(SEARCH("태국",C426)),"500",IF(ISNUMBER(SEARCH("말레이",C426)),"600",IF(ISNUMBER(SEARCH("필리핀",C426)),"700",IF(ISNUMBER(SEARCH("인도네시아",C426)),"800",IF(ISNUMBER(SEARCH("크루즈",C426)),"810",IF(ISNUMBER(SEARCH("동물원",C426)),"830","")))))))))</f>
        <v>100</v>
      </c>
    </row>
    <row r="427" customFormat="false" ht="15" hidden="false" customHeight="false" outlineLevel="0" collapsed="false">
      <c r="A427" s="32" t="str">
        <f aca="false">IF(OR(TRIM(C427)="",SUBSTITUTE(C427," ","")="소계"),"제외",IF(ISNUMBER(SEARCH("홍콩",C427)),"HK",IF(ISNUMBER(SEARCH("상해",C427)),"CN",IF(ISNUMBER(SEARCH("대만",C427)),"TW","홀세일"))))</f>
        <v>HK</v>
      </c>
      <c r="B427" s="36" t="s">
        <v>764</v>
      </c>
      <c r="C427" s="37" t="s">
        <v>765</v>
      </c>
      <c r="D427" s="37" t="s">
        <v>123</v>
      </c>
      <c r="E427" s="36" t="n">
        <v>2026</v>
      </c>
      <c r="F427" s="37" t="s">
        <v>219</v>
      </c>
      <c r="G427" s="37" t="s">
        <v>124</v>
      </c>
      <c r="H427" s="36" t="s">
        <v>188</v>
      </c>
      <c r="I427" s="36" t="s">
        <v>342</v>
      </c>
      <c r="J427" s="36" t="s">
        <v>343</v>
      </c>
      <c r="K427" s="38" t="n">
        <v>320</v>
      </c>
      <c r="L427" s="38" t="n">
        <v>54080000</v>
      </c>
      <c r="M427" s="38" t="n">
        <v>20738880</v>
      </c>
      <c r="N427" s="39" t="n">
        <f aca="false">IF(A427="제외",0,IF(OR(N(L427)&lt;=0,N(M427)&gt;N(L427)),N(M427)/요약!$D$27,N(L427)))</f>
        <v>54080000</v>
      </c>
      <c r="O427" s="32" t="str">
        <f aca="false">IF(A427="제외","",IF(OR(N(L427)&lt;=0,N(M427)&gt;N(L427)),"택가보정(판매금액÷공급율)",""))</f>
        <v/>
      </c>
      <c r="P427" s="0" t="str">
        <f aca="false">IF(A427="HK","100",IF(A427="CN","200",IF(A427="TW","300",IF(ISNUMBER(SEARCH("태국",C427)),"500",IF(ISNUMBER(SEARCH("말레이",C427)),"600",IF(ISNUMBER(SEARCH("필리핀",C427)),"700",IF(ISNUMBER(SEARCH("인도네시아",C427)),"800",IF(ISNUMBER(SEARCH("크루즈",C427)),"810",IF(ISNUMBER(SEARCH("동물원",C427)),"830","")))))))))</f>
        <v>100</v>
      </c>
    </row>
    <row r="428" customFormat="false" ht="15" hidden="false" customHeight="false" outlineLevel="0" collapsed="false">
      <c r="A428" s="32" t="str">
        <f aca="false">IF(OR(TRIM(C428)="",SUBSTITUTE(C428," ","")="소계"),"제외",IF(ISNUMBER(SEARCH("홍콩",C428)),"HK",IF(ISNUMBER(SEARCH("상해",C428)),"CN",IF(ISNUMBER(SEARCH("대만",C428)),"TW","홀세일"))))</f>
        <v>HK</v>
      </c>
      <c r="B428" s="36" t="s">
        <v>764</v>
      </c>
      <c r="C428" s="37" t="s">
        <v>765</v>
      </c>
      <c r="D428" s="37" t="s">
        <v>123</v>
      </c>
      <c r="E428" s="36" t="n">
        <v>2026</v>
      </c>
      <c r="F428" s="37" t="s">
        <v>219</v>
      </c>
      <c r="G428" s="37" t="s">
        <v>124</v>
      </c>
      <c r="H428" s="36" t="s">
        <v>188</v>
      </c>
      <c r="I428" s="36" t="s">
        <v>840</v>
      </c>
      <c r="J428" s="36" t="s">
        <v>841</v>
      </c>
      <c r="K428" s="38" t="n">
        <v>100</v>
      </c>
      <c r="L428" s="38" t="n">
        <v>17900000</v>
      </c>
      <c r="M428" s="38" t="n">
        <v>7043800</v>
      </c>
      <c r="N428" s="39" t="n">
        <f aca="false">IF(A428="제외",0,IF(OR(N(L428)&lt;=0,N(M428)&gt;N(L428)),N(M428)/요약!$D$27,N(L428)))</f>
        <v>17900000</v>
      </c>
      <c r="O428" s="32" t="str">
        <f aca="false">IF(A428="제외","",IF(OR(N(L428)&lt;=0,N(M428)&gt;N(L428)),"택가보정(판매금액÷공급율)",""))</f>
        <v/>
      </c>
      <c r="P428" s="0" t="str">
        <f aca="false">IF(A428="HK","100",IF(A428="CN","200",IF(A428="TW","300",IF(ISNUMBER(SEARCH("태국",C428)),"500",IF(ISNUMBER(SEARCH("말레이",C428)),"600",IF(ISNUMBER(SEARCH("필리핀",C428)),"700",IF(ISNUMBER(SEARCH("인도네시아",C428)),"800",IF(ISNUMBER(SEARCH("크루즈",C428)),"810",IF(ISNUMBER(SEARCH("동물원",C428)),"830","")))))))))</f>
        <v>100</v>
      </c>
    </row>
    <row r="429" customFormat="false" ht="15" hidden="false" customHeight="false" outlineLevel="0" collapsed="false">
      <c r="A429" s="32" t="str">
        <f aca="false">IF(OR(TRIM(C429)="",SUBSTITUTE(C429," ","")="소계"),"제외",IF(ISNUMBER(SEARCH("홍콩",C429)),"HK",IF(ISNUMBER(SEARCH("상해",C429)),"CN",IF(ISNUMBER(SEARCH("대만",C429)),"TW","홀세일"))))</f>
        <v>HK</v>
      </c>
      <c r="B429" s="36" t="s">
        <v>764</v>
      </c>
      <c r="C429" s="37" t="s">
        <v>765</v>
      </c>
      <c r="D429" s="37" t="s">
        <v>123</v>
      </c>
      <c r="E429" s="36" t="n">
        <v>2026</v>
      </c>
      <c r="F429" s="37" t="s">
        <v>219</v>
      </c>
      <c r="G429" s="37" t="s">
        <v>124</v>
      </c>
      <c r="H429" s="36" t="s">
        <v>188</v>
      </c>
      <c r="I429" s="36" t="s">
        <v>842</v>
      </c>
      <c r="J429" s="36" t="s">
        <v>843</v>
      </c>
      <c r="K429" s="38" t="n">
        <v>240</v>
      </c>
      <c r="L429" s="38" t="n">
        <v>42960000</v>
      </c>
      <c r="M429" s="38" t="n">
        <v>16905120</v>
      </c>
      <c r="N429" s="39" t="n">
        <f aca="false">IF(A429="제외",0,IF(OR(N(L429)&lt;=0,N(M429)&gt;N(L429)),N(M429)/요약!$D$27,N(L429)))</f>
        <v>42960000</v>
      </c>
      <c r="O429" s="32" t="str">
        <f aca="false">IF(A429="제외","",IF(OR(N(L429)&lt;=0,N(M429)&gt;N(L429)),"택가보정(판매금액÷공급율)",""))</f>
        <v/>
      </c>
      <c r="P429" s="0" t="str">
        <f aca="false">IF(A429="HK","100",IF(A429="CN","200",IF(A429="TW","300",IF(ISNUMBER(SEARCH("태국",C429)),"500",IF(ISNUMBER(SEARCH("말레이",C429)),"600",IF(ISNUMBER(SEARCH("필리핀",C429)),"700",IF(ISNUMBER(SEARCH("인도네시아",C429)),"800",IF(ISNUMBER(SEARCH("크루즈",C429)),"810",IF(ISNUMBER(SEARCH("동물원",C429)),"830","")))))))))</f>
        <v>100</v>
      </c>
    </row>
    <row r="430" customFormat="false" ht="15" hidden="false" customHeight="false" outlineLevel="0" collapsed="false">
      <c r="A430" s="32" t="str">
        <f aca="false">IF(OR(TRIM(C430)="",SUBSTITUTE(C430," ","")="소계"),"제외",IF(ISNUMBER(SEARCH("홍콩",C430)),"HK",IF(ISNUMBER(SEARCH("상해",C430)),"CN",IF(ISNUMBER(SEARCH("대만",C430)),"TW","홀세일"))))</f>
        <v>HK</v>
      </c>
      <c r="B430" s="36" t="s">
        <v>764</v>
      </c>
      <c r="C430" s="37" t="s">
        <v>765</v>
      </c>
      <c r="D430" s="37" t="s">
        <v>123</v>
      </c>
      <c r="E430" s="36" t="n">
        <v>2026</v>
      </c>
      <c r="F430" s="37" t="s">
        <v>219</v>
      </c>
      <c r="G430" s="37" t="s">
        <v>124</v>
      </c>
      <c r="H430" s="36" t="s">
        <v>188</v>
      </c>
      <c r="I430" s="36" t="s">
        <v>346</v>
      </c>
      <c r="J430" s="36" t="s">
        <v>347</v>
      </c>
      <c r="K430" s="38" t="n">
        <v>430</v>
      </c>
      <c r="L430" s="38" t="n">
        <v>81270000</v>
      </c>
      <c r="M430" s="38" t="n">
        <v>29778360</v>
      </c>
      <c r="N430" s="39" t="n">
        <f aca="false">IF(A430="제외",0,IF(OR(N(L430)&lt;=0,N(M430)&gt;N(L430)),N(M430)/요약!$D$27,N(L430)))</f>
        <v>81270000</v>
      </c>
      <c r="O430" s="32" t="str">
        <f aca="false">IF(A430="제외","",IF(OR(N(L430)&lt;=0,N(M430)&gt;N(L430)),"택가보정(판매금액÷공급율)",""))</f>
        <v/>
      </c>
      <c r="P430" s="0" t="str">
        <f aca="false">IF(A430="HK","100",IF(A430="CN","200",IF(A430="TW","300",IF(ISNUMBER(SEARCH("태국",C430)),"500",IF(ISNUMBER(SEARCH("말레이",C430)),"600",IF(ISNUMBER(SEARCH("필리핀",C430)),"700",IF(ISNUMBER(SEARCH("인도네시아",C430)),"800",IF(ISNUMBER(SEARCH("크루즈",C430)),"810",IF(ISNUMBER(SEARCH("동물원",C430)),"830","")))))))))</f>
        <v>100</v>
      </c>
    </row>
    <row r="431" customFormat="false" ht="15" hidden="false" customHeight="false" outlineLevel="0" collapsed="false">
      <c r="A431" s="32" t="str">
        <f aca="false">IF(OR(TRIM(C431)="",SUBSTITUTE(C431," ","")="소계"),"제외",IF(ISNUMBER(SEARCH("홍콩",C431)),"HK",IF(ISNUMBER(SEARCH("상해",C431)),"CN",IF(ISNUMBER(SEARCH("대만",C431)),"TW","홀세일"))))</f>
        <v>HK</v>
      </c>
      <c r="B431" s="36" t="s">
        <v>764</v>
      </c>
      <c r="C431" s="37" t="s">
        <v>765</v>
      </c>
      <c r="D431" s="37" t="s">
        <v>123</v>
      </c>
      <c r="E431" s="36" t="n">
        <v>2026</v>
      </c>
      <c r="F431" s="37" t="s">
        <v>219</v>
      </c>
      <c r="G431" s="37" t="s">
        <v>124</v>
      </c>
      <c r="H431" s="36" t="s">
        <v>188</v>
      </c>
      <c r="I431" s="36" t="s">
        <v>348</v>
      </c>
      <c r="J431" s="36" t="s">
        <v>349</v>
      </c>
      <c r="K431" s="38" t="n">
        <v>220</v>
      </c>
      <c r="L431" s="38" t="n">
        <v>32780000</v>
      </c>
      <c r="M431" s="38" t="n">
        <v>12143340</v>
      </c>
      <c r="N431" s="39" t="n">
        <f aca="false">IF(A431="제외",0,IF(OR(N(L431)&lt;=0,N(M431)&gt;N(L431)),N(M431)/요약!$D$27,N(L431)))</f>
        <v>32780000</v>
      </c>
      <c r="O431" s="32" t="str">
        <f aca="false">IF(A431="제외","",IF(OR(N(L431)&lt;=0,N(M431)&gt;N(L431)),"택가보정(판매금액÷공급율)",""))</f>
        <v/>
      </c>
      <c r="P431" s="0" t="str">
        <f aca="false">IF(A431="HK","100",IF(A431="CN","200",IF(A431="TW","300",IF(ISNUMBER(SEARCH("태국",C431)),"500",IF(ISNUMBER(SEARCH("말레이",C431)),"600",IF(ISNUMBER(SEARCH("필리핀",C431)),"700",IF(ISNUMBER(SEARCH("인도네시아",C431)),"800",IF(ISNUMBER(SEARCH("크루즈",C431)),"810",IF(ISNUMBER(SEARCH("동물원",C431)),"830","")))))))))</f>
        <v>100</v>
      </c>
    </row>
    <row r="432" customFormat="false" ht="15" hidden="false" customHeight="false" outlineLevel="0" collapsed="false">
      <c r="A432" s="32" t="str">
        <f aca="false">IF(OR(TRIM(C432)="",SUBSTITUTE(C432," ","")="소계"),"제외",IF(ISNUMBER(SEARCH("홍콩",C432)),"HK",IF(ISNUMBER(SEARCH("상해",C432)),"CN",IF(ISNUMBER(SEARCH("대만",C432)),"TW","홀세일"))))</f>
        <v>HK</v>
      </c>
      <c r="B432" s="36" t="s">
        <v>764</v>
      </c>
      <c r="C432" s="37" t="s">
        <v>765</v>
      </c>
      <c r="D432" s="37" t="s">
        <v>123</v>
      </c>
      <c r="E432" s="36" t="n">
        <v>2026</v>
      </c>
      <c r="F432" s="37" t="s">
        <v>219</v>
      </c>
      <c r="G432" s="37" t="s">
        <v>124</v>
      </c>
      <c r="H432" s="36" t="s">
        <v>188</v>
      </c>
      <c r="I432" s="36" t="s">
        <v>844</v>
      </c>
      <c r="J432" s="36" t="s">
        <v>845</v>
      </c>
      <c r="K432" s="38" t="n">
        <v>140</v>
      </c>
      <c r="L432" s="38" t="n">
        <v>22260000</v>
      </c>
      <c r="M432" s="38" t="n">
        <v>7937300</v>
      </c>
      <c r="N432" s="39" t="n">
        <f aca="false">IF(A432="제외",0,IF(OR(N(L432)&lt;=0,N(M432)&gt;N(L432)),N(M432)/요약!$D$27,N(L432)))</f>
        <v>22260000</v>
      </c>
      <c r="O432" s="32" t="str">
        <f aca="false">IF(A432="제외","",IF(OR(N(L432)&lt;=0,N(M432)&gt;N(L432)),"택가보정(판매금액÷공급율)",""))</f>
        <v/>
      </c>
      <c r="P432" s="0" t="str">
        <f aca="false">IF(A432="HK","100",IF(A432="CN","200",IF(A432="TW","300",IF(ISNUMBER(SEARCH("태국",C432)),"500",IF(ISNUMBER(SEARCH("말레이",C432)),"600",IF(ISNUMBER(SEARCH("필리핀",C432)),"700",IF(ISNUMBER(SEARCH("인도네시아",C432)),"800",IF(ISNUMBER(SEARCH("크루즈",C432)),"810",IF(ISNUMBER(SEARCH("동물원",C432)),"830","")))))))))</f>
        <v>100</v>
      </c>
    </row>
    <row r="433" customFormat="false" ht="15" hidden="false" customHeight="false" outlineLevel="0" collapsed="false">
      <c r="A433" s="32" t="str">
        <f aca="false">IF(OR(TRIM(C433)="",SUBSTITUTE(C433," ","")="소계"),"제외",IF(ISNUMBER(SEARCH("홍콩",C433)),"HK",IF(ISNUMBER(SEARCH("상해",C433)),"CN",IF(ISNUMBER(SEARCH("대만",C433)),"TW","홀세일"))))</f>
        <v>HK</v>
      </c>
      <c r="B433" s="36" t="s">
        <v>764</v>
      </c>
      <c r="C433" s="37" t="s">
        <v>765</v>
      </c>
      <c r="D433" s="37" t="s">
        <v>123</v>
      </c>
      <c r="E433" s="36" t="n">
        <v>2026</v>
      </c>
      <c r="F433" s="37" t="s">
        <v>219</v>
      </c>
      <c r="G433" s="37" t="s">
        <v>124</v>
      </c>
      <c r="H433" s="36" t="s">
        <v>188</v>
      </c>
      <c r="I433" s="36" t="s">
        <v>846</v>
      </c>
      <c r="J433" s="36" t="s">
        <v>847</v>
      </c>
      <c r="K433" s="38" t="n">
        <v>170</v>
      </c>
      <c r="L433" s="38" t="n">
        <v>30430000</v>
      </c>
      <c r="M433" s="38" t="n">
        <v>10849060</v>
      </c>
      <c r="N433" s="39" t="n">
        <f aca="false">IF(A433="제외",0,IF(OR(N(L433)&lt;=0,N(M433)&gt;N(L433)),N(M433)/요약!$D$27,N(L433)))</f>
        <v>30430000</v>
      </c>
      <c r="O433" s="32" t="str">
        <f aca="false">IF(A433="제외","",IF(OR(N(L433)&lt;=0,N(M433)&gt;N(L433)),"택가보정(판매금액÷공급율)",""))</f>
        <v/>
      </c>
      <c r="P433" s="0" t="str">
        <f aca="false">IF(A433="HK","100",IF(A433="CN","200",IF(A433="TW","300",IF(ISNUMBER(SEARCH("태국",C433)),"500",IF(ISNUMBER(SEARCH("말레이",C433)),"600",IF(ISNUMBER(SEARCH("필리핀",C433)),"700",IF(ISNUMBER(SEARCH("인도네시아",C433)),"800",IF(ISNUMBER(SEARCH("크루즈",C433)),"810",IF(ISNUMBER(SEARCH("동물원",C433)),"830","")))))))))</f>
        <v>100</v>
      </c>
    </row>
    <row r="434" customFormat="false" ht="15" hidden="false" customHeight="false" outlineLevel="0" collapsed="false">
      <c r="A434" s="32" t="str">
        <f aca="false">IF(OR(TRIM(C434)="",SUBSTITUTE(C434," ","")="소계"),"제외",IF(ISNUMBER(SEARCH("홍콩",C434)),"HK",IF(ISNUMBER(SEARCH("상해",C434)),"CN",IF(ISNUMBER(SEARCH("대만",C434)),"TW","홀세일"))))</f>
        <v>HK</v>
      </c>
      <c r="B434" s="36" t="s">
        <v>764</v>
      </c>
      <c r="C434" s="37" t="s">
        <v>765</v>
      </c>
      <c r="D434" s="37" t="s">
        <v>123</v>
      </c>
      <c r="E434" s="36" t="n">
        <v>2026</v>
      </c>
      <c r="F434" s="37" t="s">
        <v>219</v>
      </c>
      <c r="G434" s="37" t="s">
        <v>124</v>
      </c>
      <c r="H434" s="36" t="s">
        <v>188</v>
      </c>
      <c r="I434" s="36" t="s">
        <v>352</v>
      </c>
      <c r="J434" s="36" t="s">
        <v>353</v>
      </c>
      <c r="K434" s="38" t="n">
        <v>160</v>
      </c>
      <c r="L434" s="38" t="n">
        <v>15840000</v>
      </c>
      <c r="M434" s="38" t="n">
        <v>5727360</v>
      </c>
      <c r="N434" s="39" t="n">
        <f aca="false">IF(A434="제외",0,IF(OR(N(L434)&lt;=0,N(M434)&gt;N(L434)),N(M434)/요약!$D$27,N(L434)))</f>
        <v>15840000</v>
      </c>
      <c r="O434" s="32" t="str">
        <f aca="false">IF(A434="제외","",IF(OR(N(L434)&lt;=0,N(M434)&gt;N(L434)),"택가보정(판매금액÷공급율)",""))</f>
        <v/>
      </c>
      <c r="P434" s="0" t="str">
        <f aca="false">IF(A434="HK","100",IF(A434="CN","200",IF(A434="TW","300",IF(ISNUMBER(SEARCH("태국",C434)),"500",IF(ISNUMBER(SEARCH("말레이",C434)),"600",IF(ISNUMBER(SEARCH("필리핀",C434)),"700",IF(ISNUMBER(SEARCH("인도네시아",C434)),"800",IF(ISNUMBER(SEARCH("크루즈",C434)),"810",IF(ISNUMBER(SEARCH("동물원",C434)),"830","")))))))))</f>
        <v>100</v>
      </c>
    </row>
    <row r="435" customFormat="false" ht="15" hidden="false" customHeight="false" outlineLevel="0" collapsed="false">
      <c r="A435" s="32" t="str">
        <f aca="false">IF(OR(TRIM(C435)="",SUBSTITUTE(C435," ","")="소계"),"제외",IF(ISNUMBER(SEARCH("홍콩",C435)),"HK",IF(ISNUMBER(SEARCH("상해",C435)),"CN",IF(ISNUMBER(SEARCH("대만",C435)),"TW","홀세일"))))</f>
        <v>HK</v>
      </c>
      <c r="B435" s="36" t="s">
        <v>764</v>
      </c>
      <c r="C435" s="37" t="s">
        <v>765</v>
      </c>
      <c r="D435" s="37" t="s">
        <v>123</v>
      </c>
      <c r="E435" s="36" t="n">
        <v>2026</v>
      </c>
      <c r="F435" s="37" t="s">
        <v>219</v>
      </c>
      <c r="G435" s="37" t="s">
        <v>124</v>
      </c>
      <c r="H435" s="36" t="s">
        <v>188</v>
      </c>
      <c r="I435" s="36" t="s">
        <v>354</v>
      </c>
      <c r="J435" s="36" t="s">
        <v>355</v>
      </c>
      <c r="K435" s="38" t="n">
        <v>90</v>
      </c>
      <c r="L435" s="38" t="n">
        <v>9810000</v>
      </c>
      <c r="M435" s="38" t="n">
        <v>3500010</v>
      </c>
      <c r="N435" s="39" t="n">
        <f aca="false">IF(A435="제외",0,IF(OR(N(L435)&lt;=0,N(M435)&gt;N(L435)),N(M435)/요약!$D$27,N(L435)))</f>
        <v>9810000</v>
      </c>
      <c r="O435" s="32" t="str">
        <f aca="false">IF(A435="제외","",IF(OR(N(L435)&lt;=0,N(M435)&gt;N(L435)),"택가보정(판매금액÷공급율)",""))</f>
        <v/>
      </c>
      <c r="P435" s="0" t="str">
        <f aca="false">IF(A435="HK","100",IF(A435="CN","200",IF(A435="TW","300",IF(ISNUMBER(SEARCH("태국",C435)),"500",IF(ISNUMBER(SEARCH("말레이",C435)),"600",IF(ISNUMBER(SEARCH("필리핀",C435)),"700",IF(ISNUMBER(SEARCH("인도네시아",C435)),"800",IF(ISNUMBER(SEARCH("크루즈",C435)),"810",IF(ISNUMBER(SEARCH("동물원",C435)),"830","")))))))))</f>
        <v>100</v>
      </c>
    </row>
    <row r="436" customFormat="false" ht="15" hidden="false" customHeight="false" outlineLevel="0" collapsed="false">
      <c r="A436" s="32" t="str">
        <f aca="false">IF(OR(TRIM(C436)="",SUBSTITUTE(C436," ","")="소계"),"제외",IF(ISNUMBER(SEARCH("홍콩",C436)),"HK",IF(ISNUMBER(SEARCH("상해",C436)),"CN",IF(ISNUMBER(SEARCH("대만",C436)),"TW","홀세일"))))</f>
        <v>HK</v>
      </c>
      <c r="B436" s="36" t="s">
        <v>764</v>
      </c>
      <c r="C436" s="37" t="s">
        <v>765</v>
      </c>
      <c r="D436" s="37" t="s">
        <v>123</v>
      </c>
      <c r="E436" s="36" t="n">
        <v>2026</v>
      </c>
      <c r="F436" s="37" t="s">
        <v>219</v>
      </c>
      <c r="G436" s="37" t="s">
        <v>124</v>
      </c>
      <c r="H436" s="36" t="s">
        <v>188</v>
      </c>
      <c r="I436" s="36" t="s">
        <v>848</v>
      </c>
      <c r="J436" s="36" t="s">
        <v>849</v>
      </c>
      <c r="K436" s="38" t="n">
        <v>297</v>
      </c>
      <c r="L436" s="38" t="n">
        <v>17523000</v>
      </c>
      <c r="M436" s="38" t="n">
        <v>6344514</v>
      </c>
      <c r="N436" s="39" t="n">
        <f aca="false">IF(A436="제외",0,IF(OR(N(L436)&lt;=0,N(M436)&gt;N(L436)),N(M436)/요약!$D$27,N(L436)))</f>
        <v>17523000</v>
      </c>
      <c r="O436" s="32" t="str">
        <f aca="false">IF(A436="제외","",IF(OR(N(L436)&lt;=0,N(M436)&gt;N(L436)),"택가보정(판매금액÷공급율)",""))</f>
        <v/>
      </c>
      <c r="P436" s="0" t="str">
        <f aca="false">IF(A436="HK","100",IF(A436="CN","200",IF(A436="TW","300",IF(ISNUMBER(SEARCH("태국",C436)),"500",IF(ISNUMBER(SEARCH("말레이",C436)),"600",IF(ISNUMBER(SEARCH("필리핀",C436)),"700",IF(ISNUMBER(SEARCH("인도네시아",C436)),"800",IF(ISNUMBER(SEARCH("크루즈",C436)),"810",IF(ISNUMBER(SEARCH("동물원",C436)),"830","")))))))))</f>
        <v>100</v>
      </c>
    </row>
    <row r="437" customFormat="false" ht="15" hidden="false" customHeight="false" outlineLevel="0" collapsed="false">
      <c r="A437" s="32" t="str">
        <f aca="false">IF(OR(TRIM(C437)="",SUBSTITUTE(C437," ","")="소계"),"제외",IF(ISNUMBER(SEARCH("홍콩",C437)),"HK",IF(ISNUMBER(SEARCH("상해",C437)),"CN",IF(ISNUMBER(SEARCH("대만",C437)),"TW","홀세일"))))</f>
        <v>HK</v>
      </c>
      <c r="B437" s="36" t="s">
        <v>764</v>
      </c>
      <c r="C437" s="37" t="s">
        <v>765</v>
      </c>
      <c r="D437" s="37" t="s">
        <v>123</v>
      </c>
      <c r="E437" s="36" t="n">
        <v>2026</v>
      </c>
      <c r="F437" s="37" t="s">
        <v>219</v>
      </c>
      <c r="G437" s="37" t="s">
        <v>124</v>
      </c>
      <c r="H437" s="36" t="s">
        <v>188</v>
      </c>
      <c r="I437" s="36" t="s">
        <v>850</v>
      </c>
      <c r="J437" s="36" t="s">
        <v>851</v>
      </c>
      <c r="K437" s="38" t="n">
        <v>300</v>
      </c>
      <c r="L437" s="38" t="n">
        <v>20700000</v>
      </c>
      <c r="M437" s="38" t="n">
        <v>7491300</v>
      </c>
      <c r="N437" s="39" t="n">
        <f aca="false">IF(A437="제외",0,IF(OR(N(L437)&lt;=0,N(M437)&gt;N(L437)),N(M437)/요약!$D$27,N(L437)))</f>
        <v>20700000</v>
      </c>
      <c r="O437" s="32" t="str">
        <f aca="false">IF(A437="제외","",IF(OR(N(L437)&lt;=0,N(M437)&gt;N(L437)),"택가보정(판매금액÷공급율)",""))</f>
        <v/>
      </c>
      <c r="P437" s="0" t="str">
        <f aca="false">IF(A437="HK","100",IF(A437="CN","200",IF(A437="TW","300",IF(ISNUMBER(SEARCH("태국",C437)),"500",IF(ISNUMBER(SEARCH("말레이",C437)),"600",IF(ISNUMBER(SEARCH("필리핀",C437)),"700",IF(ISNUMBER(SEARCH("인도네시아",C437)),"800",IF(ISNUMBER(SEARCH("크루즈",C437)),"810",IF(ISNUMBER(SEARCH("동물원",C437)),"830","")))))))))</f>
        <v>100</v>
      </c>
    </row>
    <row r="438" customFormat="false" ht="15" hidden="false" customHeight="false" outlineLevel="0" collapsed="false">
      <c r="A438" s="32" t="str">
        <f aca="false">IF(OR(TRIM(C438)="",SUBSTITUTE(C438," ","")="소계"),"제외",IF(ISNUMBER(SEARCH("홍콩",C438)),"HK",IF(ISNUMBER(SEARCH("상해",C438)),"CN",IF(ISNUMBER(SEARCH("대만",C438)),"TW","홀세일"))))</f>
        <v>HK</v>
      </c>
      <c r="B438" s="36" t="s">
        <v>764</v>
      </c>
      <c r="C438" s="37" t="s">
        <v>765</v>
      </c>
      <c r="D438" s="37" t="s">
        <v>123</v>
      </c>
      <c r="E438" s="36" t="n">
        <v>2026</v>
      </c>
      <c r="F438" s="37" t="s">
        <v>219</v>
      </c>
      <c r="G438" s="37" t="s">
        <v>124</v>
      </c>
      <c r="H438" s="36" t="s">
        <v>188</v>
      </c>
      <c r="I438" s="36" t="s">
        <v>852</v>
      </c>
      <c r="J438" s="36" t="s">
        <v>853</v>
      </c>
      <c r="K438" s="38" t="n">
        <v>150</v>
      </c>
      <c r="L438" s="38" t="n">
        <v>8850000</v>
      </c>
      <c r="M438" s="38" t="n">
        <v>3745650</v>
      </c>
      <c r="N438" s="39" t="n">
        <f aca="false">IF(A438="제외",0,IF(OR(N(L438)&lt;=0,N(M438)&gt;N(L438)),N(M438)/요약!$D$27,N(L438)))</f>
        <v>8850000</v>
      </c>
      <c r="O438" s="32" t="str">
        <f aca="false">IF(A438="제외","",IF(OR(N(L438)&lt;=0,N(M438)&gt;N(L438)),"택가보정(판매금액÷공급율)",""))</f>
        <v/>
      </c>
      <c r="P438" s="0" t="str">
        <f aca="false">IF(A438="HK","100",IF(A438="CN","200",IF(A438="TW","300",IF(ISNUMBER(SEARCH("태국",C438)),"500",IF(ISNUMBER(SEARCH("말레이",C438)),"600",IF(ISNUMBER(SEARCH("필리핀",C438)),"700",IF(ISNUMBER(SEARCH("인도네시아",C438)),"800",IF(ISNUMBER(SEARCH("크루즈",C438)),"810",IF(ISNUMBER(SEARCH("동물원",C438)),"830","")))))))))</f>
        <v>100</v>
      </c>
    </row>
    <row r="439" customFormat="false" ht="15" hidden="false" customHeight="false" outlineLevel="0" collapsed="false">
      <c r="A439" s="32" t="str">
        <f aca="false">IF(OR(TRIM(C439)="",SUBSTITUTE(C439," ","")="소계"),"제외",IF(ISNUMBER(SEARCH("홍콩",C439)),"HK",IF(ISNUMBER(SEARCH("상해",C439)),"CN",IF(ISNUMBER(SEARCH("대만",C439)),"TW","홀세일"))))</f>
        <v>HK</v>
      </c>
      <c r="B439" s="36" t="s">
        <v>764</v>
      </c>
      <c r="C439" s="37" t="s">
        <v>765</v>
      </c>
      <c r="D439" s="37" t="s">
        <v>123</v>
      </c>
      <c r="E439" s="36" t="n">
        <v>2026</v>
      </c>
      <c r="F439" s="37" t="s">
        <v>219</v>
      </c>
      <c r="G439" s="37" t="s">
        <v>124</v>
      </c>
      <c r="H439" s="36" t="s">
        <v>188</v>
      </c>
      <c r="I439" s="36" t="s">
        <v>854</v>
      </c>
      <c r="J439" s="36" t="s">
        <v>855</v>
      </c>
      <c r="K439" s="38" t="n">
        <v>400</v>
      </c>
      <c r="L439" s="38" t="n">
        <v>23600000</v>
      </c>
      <c r="M439" s="38" t="n">
        <v>10355158</v>
      </c>
      <c r="N439" s="39" t="n">
        <f aca="false">IF(A439="제외",0,IF(OR(N(L439)&lt;=0,N(M439)&gt;N(L439)),N(M439)/요약!$D$27,N(L439)))</f>
        <v>23600000</v>
      </c>
      <c r="O439" s="32" t="str">
        <f aca="false">IF(A439="제외","",IF(OR(N(L439)&lt;=0,N(M439)&gt;N(L439)),"택가보정(판매금액÷공급율)",""))</f>
        <v/>
      </c>
      <c r="P439" s="0" t="str">
        <f aca="false">IF(A439="HK","100",IF(A439="CN","200",IF(A439="TW","300",IF(ISNUMBER(SEARCH("태국",C439)),"500",IF(ISNUMBER(SEARCH("말레이",C439)),"600",IF(ISNUMBER(SEARCH("필리핀",C439)),"700",IF(ISNUMBER(SEARCH("인도네시아",C439)),"800",IF(ISNUMBER(SEARCH("크루즈",C439)),"810",IF(ISNUMBER(SEARCH("동물원",C439)),"830","")))))))))</f>
        <v>100</v>
      </c>
    </row>
    <row r="440" customFormat="false" ht="15" hidden="false" customHeight="false" outlineLevel="0" collapsed="false">
      <c r="A440" s="32" t="str">
        <f aca="false">IF(OR(TRIM(C440)="",SUBSTITUTE(C440," ","")="소계"),"제외",IF(ISNUMBER(SEARCH("홍콩",C440)),"HK",IF(ISNUMBER(SEARCH("상해",C440)),"CN",IF(ISNUMBER(SEARCH("대만",C440)),"TW","홀세일"))))</f>
        <v>HK</v>
      </c>
      <c r="B440" s="36" t="s">
        <v>764</v>
      </c>
      <c r="C440" s="37" t="s">
        <v>765</v>
      </c>
      <c r="D440" s="37" t="s">
        <v>123</v>
      </c>
      <c r="E440" s="36" t="n">
        <v>2026</v>
      </c>
      <c r="F440" s="37" t="s">
        <v>219</v>
      </c>
      <c r="G440" s="37" t="s">
        <v>124</v>
      </c>
      <c r="H440" s="36" t="s">
        <v>188</v>
      </c>
      <c r="I440" s="36" t="s">
        <v>856</v>
      </c>
      <c r="J440" s="36" t="s">
        <v>857</v>
      </c>
      <c r="K440" s="38" t="n">
        <v>550</v>
      </c>
      <c r="L440" s="38" t="n">
        <v>32450000</v>
      </c>
      <c r="M440" s="38" t="n">
        <v>12362900</v>
      </c>
      <c r="N440" s="39" t="n">
        <f aca="false">IF(A440="제외",0,IF(OR(N(L440)&lt;=0,N(M440)&gt;N(L440)),N(M440)/요약!$D$27,N(L440)))</f>
        <v>32450000</v>
      </c>
      <c r="O440" s="32" t="str">
        <f aca="false">IF(A440="제외","",IF(OR(N(L440)&lt;=0,N(M440)&gt;N(L440)),"택가보정(판매금액÷공급율)",""))</f>
        <v/>
      </c>
      <c r="P440" s="0" t="str">
        <f aca="false">IF(A440="HK","100",IF(A440="CN","200",IF(A440="TW","300",IF(ISNUMBER(SEARCH("태국",C440)),"500",IF(ISNUMBER(SEARCH("말레이",C440)),"600",IF(ISNUMBER(SEARCH("필리핀",C440)),"700",IF(ISNUMBER(SEARCH("인도네시아",C440)),"800",IF(ISNUMBER(SEARCH("크루즈",C440)),"810",IF(ISNUMBER(SEARCH("동물원",C440)),"830","")))))))))</f>
        <v>100</v>
      </c>
    </row>
    <row r="441" customFormat="false" ht="15" hidden="false" customHeight="false" outlineLevel="0" collapsed="false">
      <c r="A441" s="32" t="str">
        <f aca="false">IF(OR(TRIM(C441)="",SUBSTITUTE(C441," ","")="소계"),"제외",IF(ISNUMBER(SEARCH("홍콩",C441)),"HK",IF(ISNUMBER(SEARCH("상해",C441)),"CN",IF(ISNUMBER(SEARCH("대만",C441)),"TW","홀세일"))))</f>
        <v>HK</v>
      </c>
      <c r="B441" s="36" t="s">
        <v>764</v>
      </c>
      <c r="C441" s="37" t="s">
        <v>765</v>
      </c>
      <c r="D441" s="37" t="s">
        <v>123</v>
      </c>
      <c r="E441" s="36" t="n">
        <v>2026</v>
      </c>
      <c r="F441" s="37" t="s">
        <v>219</v>
      </c>
      <c r="G441" s="37" t="s">
        <v>124</v>
      </c>
      <c r="H441" s="36" t="s">
        <v>188</v>
      </c>
      <c r="I441" s="36" t="s">
        <v>356</v>
      </c>
      <c r="J441" s="36" t="s">
        <v>357</v>
      </c>
      <c r="K441" s="38" t="n">
        <v>300</v>
      </c>
      <c r="L441" s="38" t="n">
        <v>20700000</v>
      </c>
      <c r="M441" s="38" t="n">
        <v>7882500</v>
      </c>
      <c r="N441" s="39" t="n">
        <f aca="false">IF(A441="제외",0,IF(OR(N(L441)&lt;=0,N(M441)&gt;N(L441)),N(M441)/요약!$D$27,N(L441)))</f>
        <v>20700000</v>
      </c>
      <c r="O441" s="32" t="str">
        <f aca="false">IF(A441="제외","",IF(OR(N(L441)&lt;=0,N(M441)&gt;N(L441)),"택가보정(판매금액÷공급율)",""))</f>
        <v/>
      </c>
      <c r="P441" s="0" t="str">
        <f aca="false">IF(A441="HK","100",IF(A441="CN","200",IF(A441="TW","300",IF(ISNUMBER(SEARCH("태국",C441)),"500",IF(ISNUMBER(SEARCH("말레이",C441)),"600",IF(ISNUMBER(SEARCH("필리핀",C441)),"700",IF(ISNUMBER(SEARCH("인도네시아",C441)),"800",IF(ISNUMBER(SEARCH("크루즈",C441)),"810",IF(ISNUMBER(SEARCH("동물원",C441)),"830","")))))))))</f>
        <v>100</v>
      </c>
    </row>
    <row r="442" customFormat="false" ht="15" hidden="false" customHeight="false" outlineLevel="0" collapsed="false">
      <c r="A442" s="32" t="str">
        <f aca="false">IF(OR(TRIM(C442)="",SUBSTITUTE(C442," ","")="소계"),"제외",IF(ISNUMBER(SEARCH("홍콩",C442)),"HK",IF(ISNUMBER(SEARCH("상해",C442)),"CN",IF(ISNUMBER(SEARCH("대만",C442)),"TW","홀세일"))))</f>
        <v>HK</v>
      </c>
      <c r="B442" s="36" t="s">
        <v>764</v>
      </c>
      <c r="C442" s="37" t="s">
        <v>765</v>
      </c>
      <c r="D442" s="37" t="s">
        <v>123</v>
      </c>
      <c r="E442" s="36" t="n">
        <v>2026</v>
      </c>
      <c r="F442" s="37" t="s">
        <v>219</v>
      </c>
      <c r="G442" s="37" t="s">
        <v>124</v>
      </c>
      <c r="H442" s="36" t="s">
        <v>188</v>
      </c>
      <c r="I442" s="36" t="s">
        <v>858</v>
      </c>
      <c r="J442" s="36" t="s">
        <v>859</v>
      </c>
      <c r="K442" s="38" t="n">
        <v>300</v>
      </c>
      <c r="L442" s="38" t="n">
        <v>17700000</v>
      </c>
      <c r="M442" s="38" t="n">
        <v>6743400</v>
      </c>
      <c r="N442" s="39" t="n">
        <f aca="false">IF(A442="제외",0,IF(OR(N(L442)&lt;=0,N(M442)&gt;N(L442)),N(M442)/요약!$D$27,N(L442)))</f>
        <v>17700000</v>
      </c>
      <c r="O442" s="32" t="str">
        <f aca="false">IF(A442="제외","",IF(OR(N(L442)&lt;=0,N(M442)&gt;N(L442)),"택가보정(판매금액÷공급율)",""))</f>
        <v/>
      </c>
      <c r="P442" s="0" t="str">
        <f aca="false">IF(A442="HK","100",IF(A442="CN","200",IF(A442="TW","300",IF(ISNUMBER(SEARCH("태국",C442)),"500",IF(ISNUMBER(SEARCH("말레이",C442)),"600",IF(ISNUMBER(SEARCH("필리핀",C442)),"700",IF(ISNUMBER(SEARCH("인도네시아",C442)),"800",IF(ISNUMBER(SEARCH("크루즈",C442)),"810",IF(ISNUMBER(SEARCH("동물원",C442)),"830","")))))))))</f>
        <v>100</v>
      </c>
    </row>
    <row r="443" customFormat="false" ht="15" hidden="false" customHeight="false" outlineLevel="0" collapsed="false">
      <c r="A443" s="32" t="str">
        <f aca="false">IF(OR(TRIM(C443)="",SUBSTITUTE(C443," ","")="소계"),"제외",IF(ISNUMBER(SEARCH("홍콩",C443)),"HK",IF(ISNUMBER(SEARCH("상해",C443)),"CN",IF(ISNUMBER(SEARCH("대만",C443)),"TW","홀세일"))))</f>
        <v>HK</v>
      </c>
      <c r="B443" s="36" t="s">
        <v>764</v>
      </c>
      <c r="C443" s="37" t="s">
        <v>765</v>
      </c>
      <c r="D443" s="37" t="s">
        <v>123</v>
      </c>
      <c r="E443" s="36" t="n">
        <v>2026</v>
      </c>
      <c r="F443" s="37" t="s">
        <v>219</v>
      </c>
      <c r="G443" s="37" t="s">
        <v>124</v>
      </c>
      <c r="H443" s="36" t="s">
        <v>188</v>
      </c>
      <c r="I443" s="36" t="s">
        <v>358</v>
      </c>
      <c r="J443" s="36" t="s">
        <v>359</v>
      </c>
      <c r="K443" s="38" t="n">
        <v>200</v>
      </c>
      <c r="L443" s="38" t="n">
        <v>15800000</v>
      </c>
      <c r="M443" s="38" t="n">
        <v>5641000</v>
      </c>
      <c r="N443" s="39" t="n">
        <f aca="false">IF(A443="제외",0,IF(OR(N(L443)&lt;=0,N(M443)&gt;N(L443)),N(M443)/요약!$D$27,N(L443)))</f>
        <v>15800000</v>
      </c>
      <c r="O443" s="32" t="str">
        <f aca="false">IF(A443="제외","",IF(OR(N(L443)&lt;=0,N(M443)&gt;N(L443)),"택가보정(판매금액÷공급율)",""))</f>
        <v/>
      </c>
      <c r="P443" s="0" t="str">
        <f aca="false">IF(A443="HK","100",IF(A443="CN","200",IF(A443="TW","300",IF(ISNUMBER(SEARCH("태국",C443)),"500",IF(ISNUMBER(SEARCH("말레이",C443)),"600",IF(ISNUMBER(SEARCH("필리핀",C443)),"700",IF(ISNUMBER(SEARCH("인도네시아",C443)),"800",IF(ISNUMBER(SEARCH("크루즈",C443)),"810",IF(ISNUMBER(SEARCH("동물원",C443)),"830","")))))))))</f>
        <v>100</v>
      </c>
    </row>
    <row r="444" customFormat="false" ht="15" hidden="false" customHeight="false" outlineLevel="0" collapsed="false">
      <c r="A444" s="32" t="str">
        <f aca="false">IF(OR(TRIM(C444)="",SUBSTITUTE(C444," ","")="소계"),"제외",IF(ISNUMBER(SEARCH("홍콩",C444)),"HK",IF(ISNUMBER(SEARCH("상해",C444)),"CN",IF(ISNUMBER(SEARCH("대만",C444)),"TW","홀세일"))))</f>
        <v>HK</v>
      </c>
      <c r="B444" s="36" t="s">
        <v>764</v>
      </c>
      <c r="C444" s="37" t="s">
        <v>765</v>
      </c>
      <c r="D444" s="37" t="s">
        <v>123</v>
      </c>
      <c r="E444" s="36" t="n">
        <v>2026</v>
      </c>
      <c r="F444" s="37" t="s">
        <v>219</v>
      </c>
      <c r="G444" s="37" t="s">
        <v>124</v>
      </c>
      <c r="H444" s="36" t="s">
        <v>188</v>
      </c>
      <c r="I444" s="36" t="s">
        <v>860</v>
      </c>
      <c r="J444" s="36" t="s">
        <v>861</v>
      </c>
      <c r="K444" s="38" t="n">
        <v>300</v>
      </c>
      <c r="L444" s="38" t="n">
        <v>26700000</v>
      </c>
      <c r="M444" s="38" t="n">
        <v>9900000</v>
      </c>
      <c r="N444" s="39" t="n">
        <f aca="false">IF(A444="제외",0,IF(OR(N(L444)&lt;=0,N(M444)&gt;N(L444)),N(M444)/요약!$D$27,N(L444)))</f>
        <v>26700000</v>
      </c>
      <c r="O444" s="32" t="str">
        <f aca="false">IF(A444="제외","",IF(OR(N(L444)&lt;=0,N(M444)&gt;N(L444)),"택가보정(판매금액÷공급율)",""))</f>
        <v/>
      </c>
      <c r="P444" s="0" t="str">
        <f aca="false">IF(A444="HK","100",IF(A444="CN","200",IF(A444="TW","300",IF(ISNUMBER(SEARCH("태국",C444)),"500",IF(ISNUMBER(SEARCH("말레이",C444)),"600",IF(ISNUMBER(SEARCH("필리핀",C444)),"700",IF(ISNUMBER(SEARCH("인도네시아",C444)),"800",IF(ISNUMBER(SEARCH("크루즈",C444)),"810",IF(ISNUMBER(SEARCH("동물원",C444)),"830","")))))))))</f>
        <v>100</v>
      </c>
    </row>
    <row r="445" customFormat="false" ht="15" hidden="false" customHeight="false" outlineLevel="0" collapsed="false">
      <c r="A445" s="32" t="str">
        <f aca="false">IF(OR(TRIM(C445)="",SUBSTITUTE(C445," ","")="소계"),"제외",IF(ISNUMBER(SEARCH("홍콩",C445)),"HK",IF(ISNUMBER(SEARCH("상해",C445)),"CN",IF(ISNUMBER(SEARCH("대만",C445)),"TW","홀세일"))))</f>
        <v>HK</v>
      </c>
      <c r="B445" s="36" t="s">
        <v>764</v>
      </c>
      <c r="C445" s="37" t="s">
        <v>765</v>
      </c>
      <c r="D445" s="37" t="s">
        <v>123</v>
      </c>
      <c r="E445" s="36" t="n">
        <v>2026</v>
      </c>
      <c r="F445" s="37" t="s">
        <v>219</v>
      </c>
      <c r="G445" s="37" t="s">
        <v>124</v>
      </c>
      <c r="H445" s="36" t="s">
        <v>188</v>
      </c>
      <c r="I445" s="36" t="s">
        <v>862</v>
      </c>
      <c r="J445" s="36" t="s">
        <v>863</v>
      </c>
      <c r="K445" s="38" t="n">
        <v>350</v>
      </c>
      <c r="L445" s="38" t="n">
        <v>20650000</v>
      </c>
      <c r="M445" s="38" t="n">
        <v>7669550</v>
      </c>
      <c r="N445" s="39" t="n">
        <f aca="false">IF(A445="제외",0,IF(OR(N(L445)&lt;=0,N(M445)&gt;N(L445)),N(M445)/요약!$D$27,N(L445)))</f>
        <v>20650000</v>
      </c>
      <c r="O445" s="32" t="str">
        <f aca="false">IF(A445="제외","",IF(OR(N(L445)&lt;=0,N(M445)&gt;N(L445)),"택가보정(판매금액÷공급율)",""))</f>
        <v/>
      </c>
      <c r="P445" s="0" t="str">
        <f aca="false">IF(A445="HK","100",IF(A445="CN","200",IF(A445="TW","300",IF(ISNUMBER(SEARCH("태국",C445)),"500",IF(ISNUMBER(SEARCH("말레이",C445)),"600",IF(ISNUMBER(SEARCH("필리핀",C445)),"700",IF(ISNUMBER(SEARCH("인도네시아",C445)),"800",IF(ISNUMBER(SEARCH("크루즈",C445)),"810",IF(ISNUMBER(SEARCH("동물원",C445)),"830","")))))))))</f>
        <v>100</v>
      </c>
    </row>
    <row r="446" customFormat="false" ht="15" hidden="false" customHeight="false" outlineLevel="0" collapsed="false">
      <c r="A446" s="32" t="str">
        <f aca="false">IF(OR(TRIM(C446)="",SUBSTITUTE(C446," ","")="소계"),"제외",IF(ISNUMBER(SEARCH("홍콩",C446)),"HK",IF(ISNUMBER(SEARCH("상해",C446)),"CN",IF(ISNUMBER(SEARCH("대만",C446)),"TW","홀세일"))))</f>
        <v>HK</v>
      </c>
      <c r="B446" s="36" t="s">
        <v>764</v>
      </c>
      <c r="C446" s="37" t="s">
        <v>765</v>
      </c>
      <c r="D446" s="37" t="s">
        <v>123</v>
      </c>
      <c r="E446" s="36" t="n">
        <v>2026</v>
      </c>
      <c r="F446" s="37" t="s">
        <v>219</v>
      </c>
      <c r="G446" s="37" t="s">
        <v>360</v>
      </c>
      <c r="H446" s="36" t="s">
        <v>131</v>
      </c>
      <c r="I446" s="36" t="s">
        <v>361</v>
      </c>
      <c r="J446" s="37" t="s">
        <v>362</v>
      </c>
      <c r="K446" s="38" t="n">
        <v>160</v>
      </c>
      <c r="L446" s="38" t="n">
        <v>17440000</v>
      </c>
      <c r="M446" s="38" t="n">
        <v>7400800</v>
      </c>
      <c r="N446" s="39" t="n">
        <f aca="false">IF(A446="제외",0,IF(OR(N(L446)&lt;=0,N(M446)&gt;N(L446)),N(M446)/요약!$D$27,N(L446)))</f>
        <v>17440000</v>
      </c>
      <c r="O446" s="32" t="str">
        <f aca="false">IF(A446="제외","",IF(OR(N(L446)&lt;=0,N(M446)&gt;N(L446)),"택가보정(판매금액÷공급율)",""))</f>
        <v/>
      </c>
      <c r="P446" s="0" t="str">
        <f aca="false">IF(A446="HK","100",IF(A446="CN","200",IF(A446="TW","300",IF(ISNUMBER(SEARCH("태국",C446)),"500",IF(ISNUMBER(SEARCH("말레이",C446)),"600",IF(ISNUMBER(SEARCH("필리핀",C446)),"700",IF(ISNUMBER(SEARCH("인도네시아",C446)),"800",IF(ISNUMBER(SEARCH("크루즈",C446)),"810",IF(ISNUMBER(SEARCH("동물원",C446)),"830","")))))))))</f>
        <v>100</v>
      </c>
    </row>
    <row r="447" customFormat="false" ht="15" hidden="false" customHeight="false" outlineLevel="0" collapsed="false">
      <c r="A447" s="32" t="str">
        <f aca="false">IF(OR(TRIM(C447)="",SUBSTITUTE(C447," ","")="소계"),"제외",IF(ISNUMBER(SEARCH("홍콩",C447)),"HK",IF(ISNUMBER(SEARCH("상해",C447)),"CN",IF(ISNUMBER(SEARCH("대만",C447)),"TW","홀세일"))))</f>
        <v>HK</v>
      </c>
      <c r="B447" s="36" t="s">
        <v>764</v>
      </c>
      <c r="C447" s="37" t="s">
        <v>765</v>
      </c>
      <c r="D447" s="37" t="s">
        <v>123</v>
      </c>
      <c r="E447" s="36" t="n">
        <v>2026</v>
      </c>
      <c r="F447" s="37" t="s">
        <v>363</v>
      </c>
      <c r="G447" s="37" t="s">
        <v>102</v>
      </c>
      <c r="H447" s="36" t="s">
        <v>131</v>
      </c>
      <c r="I447" s="36" t="s">
        <v>366</v>
      </c>
      <c r="J447" s="37" t="s">
        <v>367</v>
      </c>
      <c r="K447" s="38" t="n">
        <v>140</v>
      </c>
      <c r="L447" s="38" t="n">
        <v>22260000</v>
      </c>
      <c r="M447" s="38" t="n">
        <v>7886060</v>
      </c>
      <c r="N447" s="39" t="n">
        <f aca="false">IF(A447="제외",0,IF(OR(N(L447)&lt;=0,N(M447)&gt;N(L447)),N(M447)/요약!$D$27,N(L447)))</f>
        <v>22260000</v>
      </c>
      <c r="O447" s="32" t="str">
        <f aca="false">IF(A447="제외","",IF(OR(N(L447)&lt;=0,N(M447)&gt;N(L447)),"택가보정(판매금액÷공급율)",""))</f>
        <v/>
      </c>
      <c r="P447" s="0" t="str">
        <f aca="false">IF(A447="HK","100",IF(A447="CN","200",IF(A447="TW","300",IF(ISNUMBER(SEARCH("태국",C447)),"500",IF(ISNUMBER(SEARCH("말레이",C447)),"600",IF(ISNUMBER(SEARCH("필리핀",C447)),"700",IF(ISNUMBER(SEARCH("인도네시아",C447)),"800",IF(ISNUMBER(SEARCH("크루즈",C447)),"810",IF(ISNUMBER(SEARCH("동물원",C447)),"830","")))))))))</f>
        <v>100</v>
      </c>
    </row>
    <row r="448" customFormat="false" ht="15" hidden="false" customHeight="false" outlineLevel="0" collapsed="false">
      <c r="A448" s="32" t="str">
        <f aca="false">IF(OR(TRIM(C448)="",SUBSTITUTE(C448," ","")="소계"),"제외",IF(ISNUMBER(SEARCH("홍콩",C448)),"HK",IF(ISNUMBER(SEARCH("상해",C448)),"CN",IF(ISNUMBER(SEARCH("대만",C448)),"TW","홀세일"))))</f>
        <v>HK</v>
      </c>
      <c r="B448" s="36" t="s">
        <v>764</v>
      </c>
      <c r="C448" s="37" t="s">
        <v>765</v>
      </c>
      <c r="D448" s="37" t="s">
        <v>123</v>
      </c>
      <c r="E448" s="36" t="n">
        <v>2026</v>
      </c>
      <c r="F448" s="37" t="s">
        <v>363</v>
      </c>
      <c r="G448" s="37" t="s">
        <v>102</v>
      </c>
      <c r="H448" s="36" t="s">
        <v>131</v>
      </c>
      <c r="I448" s="36" t="s">
        <v>864</v>
      </c>
      <c r="J448" s="36" t="s">
        <v>865</v>
      </c>
      <c r="K448" s="38" t="n">
        <v>60</v>
      </c>
      <c r="L448" s="38" t="n">
        <v>15540000</v>
      </c>
      <c r="M448" s="38" t="n">
        <v>5511180</v>
      </c>
      <c r="N448" s="39" t="n">
        <f aca="false">IF(A448="제외",0,IF(OR(N(L448)&lt;=0,N(M448)&gt;N(L448)),N(M448)/요약!$D$27,N(L448)))</f>
        <v>15540000</v>
      </c>
      <c r="O448" s="32" t="str">
        <f aca="false">IF(A448="제외","",IF(OR(N(L448)&lt;=0,N(M448)&gt;N(L448)),"택가보정(판매금액÷공급율)",""))</f>
        <v/>
      </c>
      <c r="P448" s="0" t="str">
        <f aca="false">IF(A448="HK","100",IF(A448="CN","200",IF(A448="TW","300",IF(ISNUMBER(SEARCH("태국",C448)),"500",IF(ISNUMBER(SEARCH("말레이",C448)),"600",IF(ISNUMBER(SEARCH("필리핀",C448)),"700",IF(ISNUMBER(SEARCH("인도네시아",C448)),"800",IF(ISNUMBER(SEARCH("크루즈",C448)),"810",IF(ISNUMBER(SEARCH("동물원",C448)),"830","")))))))))</f>
        <v>100</v>
      </c>
    </row>
    <row r="449" customFormat="false" ht="15" hidden="false" customHeight="false" outlineLevel="0" collapsed="false">
      <c r="A449" s="32" t="str">
        <f aca="false">IF(OR(TRIM(C449)="",SUBSTITUTE(C449," ","")="소계"),"제외",IF(ISNUMBER(SEARCH("홍콩",C449)),"HK",IF(ISNUMBER(SEARCH("상해",C449)),"CN",IF(ISNUMBER(SEARCH("대만",C449)),"TW","홀세일"))))</f>
        <v>HK</v>
      </c>
      <c r="B449" s="36" t="s">
        <v>764</v>
      </c>
      <c r="C449" s="37" t="s">
        <v>765</v>
      </c>
      <c r="D449" s="37" t="s">
        <v>123</v>
      </c>
      <c r="E449" s="36" t="n">
        <v>2026</v>
      </c>
      <c r="F449" s="37" t="s">
        <v>363</v>
      </c>
      <c r="G449" s="37" t="s">
        <v>102</v>
      </c>
      <c r="H449" s="36" t="s">
        <v>131</v>
      </c>
      <c r="I449" s="36" t="s">
        <v>866</v>
      </c>
      <c r="J449" s="36" t="s">
        <v>867</v>
      </c>
      <c r="K449" s="38" t="n">
        <v>390</v>
      </c>
      <c r="L449" s="38" t="n">
        <v>42510000</v>
      </c>
      <c r="M449" s="38" t="n">
        <v>15068820</v>
      </c>
      <c r="N449" s="39" t="n">
        <f aca="false">IF(A449="제외",0,IF(OR(N(L449)&lt;=0,N(M449)&gt;N(L449)),N(M449)/요약!$D$27,N(L449)))</f>
        <v>42510000</v>
      </c>
      <c r="O449" s="32" t="str">
        <f aca="false">IF(A449="제외","",IF(OR(N(L449)&lt;=0,N(M449)&gt;N(L449)),"택가보정(판매금액÷공급율)",""))</f>
        <v/>
      </c>
      <c r="P449" s="0" t="str">
        <f aca="false">IF(A449="HK","100",IF(A449="CN","200",IF(A449="TW","300",IF(ISNUMBER(SEARCH("태국",C449)),"500",IF(ISNUMBER(SEARCH("말레이",C449)),"600",IF(ISNUMBER(SEARCH("필리핀",C449)),"700",IF(ISNUMBER(SEARCH("인도네시아",C449)),"800",IF(ISNUMBER(SEARCH("크루즈",C449)),"810",IF(ISNUMBER(SEARCH("동물원",C449)),"830","")))))))))</f>
        <v>100</v>
      </c>
    </row>
    <row r="450" customFormat="false" ht="15" hidden="false" customHeight="false" outlineLevel="0" collapsed="false">
      <c r="A450" s="32" t="str">
        <f aca="false">IF(OR(TRIM(C450)="",SUBSTITUTE(C450," ","")="소계"),"제외",IF(ISNUMBER(SEARCH("홍콩",C450)),"HK",IF(ISNUMBER(SEARCH("상해",C450)),"CN",IF(ISNUMBER(SEARCH("대만",C450)),"TW","홀세일"))))</f>
        <v>HK</v>
      </c>
      <c r="B450" s="36" t="s">
        <v>764</v>
      </c>
      <c r="C450" s="37" t="s">
        <v>765</v>
      </c>
      <c r="D450" s="37" t="s">
        <v>123</v>
      </c>
      <c r="E450" s="36" t="n">
        <v>2026</v>
      </c>
      <c r="F450" s="37" t="s">
        <v>363</v>
      </c>
      <c r="G450" s="37" t="s">
        <v>102</v>
      </c>
      <c r="H450" s="36" t="s">
        <v>131</v>
      </c>
      <c r="I450" s="36" t="s">
        <v>372</v>
      </c>
      <c r="J450" s="36" t="s">
        <v>373</v>
      </c>
      <c r="K450" s="38" t="n">
        <v>200</v>
      </c>
      <c r="L450" s="38" t="n">
        <v>19800000</v>
      </c>
      <c r="M450" s="38" t="n">
        <v>7019800</v>
      </c>
      <c r="N450" s="39" t="n">
        <f aca="false">IF(A450="제외",0,IF(OR(N(L450)&lt;=0,N(M450)&gt;N(L450)),N(M450)/요약!$D$27,N(L450)))</f>
        <v>19800000</v>
      </c>
      <c r="O450" s="32" t="str">
        <f aca="false">IF(A450="제외","",IF(OR(N(L450)&lt;=0,N(M450)&gt;N(L450)),"택가보정(판매금액÷공급율)",""))</f>
        <v/>
      </c>
      <c r="P450" s="0" t="str">
        <f aca="false">IF(A450="HK","100",IF(A450="CN","200",IF(A450="TW","300",IF(ISNUMBER(SEARCH("태국",C450)),"500",IF(ISNUMBER(SEARCH("말레이",C450)),"600",IF(ISNUMBER(SEARCH("필리핀",C450)),"700",IF(ISNUMBER(SEARCH("인도네시아",C450)),"800",IF(ISNUMBER(SEARCH("크루즈",C450)),"810",IF(ISNUMBER(SEARCH("동물원",C450)),"830","")))))))))</f>
        <v>100</v>
      </c>
    </row>
    <row r="451" customFormat="false" ht="15" hidden="false" customHeight="false" outlineLevel="0" collapsed="false">
      <c r="A451" s="32" t="str">
        <f aca="false">IF(OR(TRIM(C451)="",SUBSTITUTE(C451," ","")="소계"),"제외",IF(ISNUMBER(SEARCH("홍콩",C451)),"HK",IF(ISNUMBER(SEARCH("상해",C451)),"CN",IF(ISNUMBER(SEARCH("대만",C451)),"TW","홀세일"))))</f>
        <v>HK</v>
      </c>
      <c r="B451" s="36" t="s">
        <v>764</v>
      </c>
      <c r="C451" s="37" t="s">
        <v>765</v>
      </c>
      <c r="D451" s="37" t="s">
        <v>123</v>
      </c>
      <c r="E451" s="36" t="n">
        <v>2026</v>
      </c>
      <c r="F451" s="37" t="s">
        <v>363</v>
      </c>
      <c r="G451" s="37" t="s">
        <v>102</v>
      </c>
      <c r="H451" s="36" t="s">
        <v>131</v>
      </c>
      <c r="I451" s="36" t="s">
        <v>374</v>
      </c>
      <c r="J451" s="36" t="s">
        <v>375</v>
      </c>
      <c r="K451" s="38" t="n">
        <v>200</v>
      </c>
      <c r="L451" s="38" t="n">
        <v>13800000</v>
      </c>
      <c r="M451" s="38" t="n">
        <v>4897000</v>
      </c>
      <c r="N451" s="39" t="n">
        <f aca="false">IF(A451="제외",0,IF(OR(N(L451)&lt;=0,N(M451)&gt;N(L451)),N(M451)/요약!$D$27,N(L451)))</f>
        <v>13800000</v>
      </c>
      <c r="O451" s="32" t="str">
        <f aca="false">IF(A451="제외","",IF(OR(N(L451)&lt;=0,N(M451)&gt;N(L451)),"택가보정(판매금액÷공급율)",""))</f>
        <v/>
      </c>
      <c r="P451" s="0" t="str">
        <f aca="false">IF(A451="HK","100",IF(A451="CN","200",IF(A451="TW","300",IF(ISNUMBER(SEARCH("태국",C451)),"500",IF(ISNUMBER(SEARCH("말레이",C451)),"600",IF(ISNUMBER(SEARCH("필리핀",C451)),"700",IF(ISNUMBER(SEARCH("인도네시아",C451)),"800",IF(ISNUMBER(SEARCH("크루즈",C451)),"810",IF(ISNUMBER(SEARCH("동물원",C451)),"830","")))))))))</f>
        <v>100</v>
      </c>
    </row>
    <row r="452" customFormat="false" ht="15" hidden="false" customHeight="false" outlineLevel="0" collapsed="false">
      <c r="A452" s="32" t="str">
        <f aca="false">IF(OR(TRIM(C452)="",SUBSTITUTE(C452," ","")="소계"),"제외",IF(ISNUMBER(SEARCH("홍콩",C452)),"HK",IF(ISNUMBER(SEARCH("상해",C452)),"CN",IF(ISNUMBER(SEARCH("대만",C452)),"TW","홀세일"))))</f>
        <v>HK</v>
      </c>
      <c r="B452" s="36" t="s">
        <v>764</v>
      </c>
      <c r="C452" s="37" t="s">
        <v>765</v>
      </c>
      <c r="D452" s="37" t="s">
        <v>123</v>
      </c>
      <c r="E452" s="36" t="n">
        <v>2026</v>
      </c>
      <c r="F452" s="37" t="s">
        <v>363</v>
      </c>
      <c r="G452" s="37" t="s">
        <v>102</v>
      </c>
      <c r="H452" s="36" t="s">
        <v>131</v>
      </c>
      <c r="I452" s="36" t="s">
        <v>376</v>
      </c>
      <c r="J452" s="36" t="s">
        <v>377</v>
      </c>
      <c r="K452" s="38" t="n">
        <v>230</v>
      </c>
      <c r="L452" s="38" t="n">
        <v>20470000</v>
      </c>
      <c r="M452" s="38" t="n">
        <v>7259030</v>
      </c>
      <c r="N452" s="39" t="n">
        <f aca="false">IF(A452="제외",0,IF(OR(N(L452)&lt;=0,N(M452)&gt;N(L452)),N(M452)/요약!$D$27,N(L452)))</f>
        <v>20470000</v>
      </c>
      <c r="O452" s="32" t="str">
        <f aca="false">IF(A452="제외","",IF(OR(N(L452)&lt;=0,N(M452)&gt;N(L452)),"택가보정(판매금액÷공급율)",""))</f>
        <v/>
      </c>
      <c r="P452" s="0" t="str">
        <f aca="false">IF(A452="HK","100",IF(A452="CN","200",IF(A452="TW","300",IF(ISNUMBER(SEARCH("태국",C452)),"500",IF(ISNUMBER(SEARCH("말레이",C452)),"600",IF(ISNUMBER(SEARCH("필리핀",C452)),"700",IF(ISNUMBER(SEARCH("인도네시아",C452)),"800",IF(ISNUMBER(SEARCH("크루즈",C452)),"810",IF(ISNUMBER(SEARCH("동물원",C452)),"830","")))))))))</f>
        <v>100</v>
      </c>
    </row>
    <row r="453" customFormat="false" ht="15" hidden="false" customHeight="false" outlineLevel="0" collapsed="false">
      <c r="A453" s="32" t="str">
        <f aca="false">IF(OR(TRIM(C453)="",SUBSTITUTE(C453," ","")="소계"),"제외",IF(ISNUMBER(SEARCH("홍콩",C453)),"HK",IF(ISNUMBER(SEARCH("상해",C453)),"CN",IF(ISNUMBER(SEARCH("대만",C453)),"TW","홀세일"))))</f>
        <v>HK</v>
      </c>
      <c r="B453" s="36" t="s">
        <v>764</v>
      </c>
      <c r="C453" s="37" t="s">
        <v>765</v>
      </c>
      <c r="D453" s="37" t="s">
        <v>123</v>
      </c>
      <c r="E453" s="36" t="n">
        <v>2026</v>
      </c>
      <c r="F453" s="37" t="s">
        <v>363</v>
      </c>
      <c r="G453" s="37" t="s">
        <v>102</v>
      </c>
      <c r="H453" s="36" t="s">
        <v>131</v>
      </c>
      <c r="I453" s="36" t="s">
        <v>378</v>
      </c>
      <c r="J453" s="36" t="s">
        <v>379</v>
      </c>
      <c r="K453" s="38" t="n">
        <v>210</v>
      </c>
      <c r="L453" s="38" t="n">
        <v>16590000</v>
      </c>
      <c r="M453" s="38" t="n">
        <v>5884830</v>
      </c>
      <c r="N453" s="39" t="n">
        <f aca="false">IF(A453="제외",0,IF(OR(N(L453)&lt;=0,N(M453)&gt;N(L453)),N(M453)/요약!$D$27,N(L453)))</f>
        <v>16590000</v>
      </c>
      <c r="O453" s="32" t="str">
        <f aca="false">IF(A453="제외","",IF(OR(N(L453)&lt;=0,N(M453)&gt;N(L453)),"택가보정(판매금액÷공급율)",""))</f>
        <v/>
      </c>
      <c r="P453" s="0" t="str">
        <f aca="false">IF(A453="HK","100",IF(A453="CN","200",IF(A453="TW","300",IF(ISNUMBER(SEARCH("태국",C453)),"500",IF(ISNUMBER(SEARCH("말레이",C453)),"600",IF(ISNUMBER(SEARCH("필리핀",C453)),"700",IF(ISNUMBER(SEARCH("인도네시아",C453)),"800",IF(ISNUMBER(SEARCH("크루즈",C453)),"810",IF(ISNUMBER(SEARCH("동물원",C453)),"830","")))))))))</f>
        <v>100</v>
      </c>
    </row>
    <row r="454" customFormat="false" ht="15" hidden="false" customHeight="false" outlineLevel="0" collapsed="false">
      <c r="A454" s="32" t="str">
        <f aca="false">IF(OR(TRIM(C454)="",SUBSTITUTE(C454," ","")="소계"),"제외",IF(ISNUMBER(SEARCH("홍콩",C454)),"HK",IF(ISNUMBER(SEARCH("상해",C454)),"CN",IF(ISNUMBER(SEARCH("대만",C454)),"TW","홀세일"))))</f>
        <v>HK</v>
      </c>
      <c r="B454" s="36" t="s">
        <v>764</v>
      </c>
      <c r="C454" s="37" t="s">
        <v>765</v>
      </c>
      <c r="D454" s="37" t="s">
        <v>123</v>
      </c>
      <c r="E454" s="36" t="n">
        <v>2026</v>
      </c>
      <c r="F454" s="37" t="s">
        <v>363</v>
      </c>
      <c r="G454" s="37" t="s">
        <v>102</v>
      </c>
      <c r="H454" s="36" t="s">
        <v>131</v>
      </c>
      <c r="I454" s="36" t="s">
        <v>380</v>
      </c>
      <c r="J454" s="37" t="s">
        <v>381</v>
      </c>
      <c r="K454" s="38" t="n">
        <v>50</v>
      </c>
      <c r="L454" s="38" t="n">
        <v>2950000</v>
      </c>
      <c r="M454" s="38" t="n">
        <v>1006400</v>
      </c>
      <c r="N454" s="39" t="n">
        <f aca="false">IF(A454="제외",0,IF(OR(N(L454)&lt;=0,N(M454)&gt;N(L454)),N(M454)/요약!$D$27,N(L454)))</f>
        <v>2950000</v>
      </c>
      <c r="O454" s="32" t="str">
        <f aca="false">IF(A454="제외","",IF(OR(N(L454)&lt;=0,N(M454)&gt;N(L454)),"택가보정(판매금액÷공급율)",""))</f>
        <v/>
      </c>
      <c r="P454" s="0" t="str">
        <f aca="false">IF(A454="HK","100",IF(A454="CN","200",IF(A454="TW","300",IF(ISNUMBER(SEARCH("태국",C454)),"500",IF(ISNUMBER(SEARCH("말레이",C454)),"600",IF(ISNUMBER(SEARCH("필리핀",C454)),"700",IF(ISNUMBER(SEARCH("인도네시아",C454)),"800",IF(ISNUMBER(SEARCH("크루즈",C454)),"810",IF(ISNUMBER(SEARCH("동물원",C454)),"830","")))))))))</f>
        <v>100</v>
      </c>
    </row>
    <row r="455" customFormat="false" ht="15" hidden="false" customHeight="false" outlineLevel="0" collapsed="false">
      <c r="A455" s="32" t="str">
        <f aca="false">IF(OR(TRIM(C455)="",SUBSTITUTE(C455," ","")="소계"),"제외",IF(ISNUMBER(SEARCH("홍콩",C455)),"HK",IF(ISNUMBER(SEARCH("상해",C455)),"CN",IF(ISNUMBER(SEARCH("대만",C455)),"TW","홀세일"))))</f>
        <v>HK</v>
      </c>
      <c r="B455" s="36" t="s">
        <v>764</v>
      </c>
      <c r="C455" s="37" t="s">
        <v>765</v>
      </c>
      <c r="D455" s="37" t="s">
        <v>123</v>
      </c>
      <c r="E455" s="36" t="n">
        <v>2026</v>
      </c>
      <c r="F455" s="37" t="s">
        <v>363</v>
      </c>
      <c r="G455" s="37" t="s">
        <v>102</v>
      </c>
      <c r="H455" s="36" t="s">
        <v>131</v>
      </c>
      <c r="I455" s="36" t="s">
        <v>382</v>
      </c>
      <c r="J455" s="37" t="s">
        <v>383</v>
      </c>
      <c r="K455" s="38" t="n">
        <v>70</v>
      </c>
      <c r="L455" s="38" t="n">
        <v>4830000</v>
      </c>
      <c r="M455" s="38" t="n">
        <v>1646960</v>
      </c>
      <c r="N455" s="39" t="n">
        <f aca="false">IF(A455="제외",0,IF(OR(N(L455)&lt;=0,N(M455)&gt;N(L455)),N(M455)/요약!$D$27,N(L455)))</f>
        <v>4830000</v>
      </c>
      <c r="O455" s="32" t="str">
        <f aca="false">IF(A455="제외","",IF(OR(N(L455)&lt;=0,N(M455)&gt;N(L455)),"택가보정(판매금액÷공급율)",""))</f>
        <v/>
      </c>
      <c r="P455" s="0" t="str">
        <f aca="false">IF(A455="HK","100",IF(A455="CN","200",IF(A455="TW","300",IF(ISNUMBER(SEARCH("태국",C455)),"500",IF(ISNUMBER(SEARCH("말레이",C455)),"600",IF(ISNUMBER(SEARCH("필리핀",C455)),"700",IF(ISNUMBER(SEARCH("인도네시아",C455)),"800",IF(ISNUMBER(SEARCH("크루즈",C455)),"810",IF(ISNUMBER(SEARCH("동물원",C455)),"830","")))))))))</f>
        <v>100</v>
      </c>
    </row>
    <row r="456" customFormat="false" ht="15" hidden="false" customHeight="false" outlineLevel="0" collapsed="false">
      <c r="A456" s="32" t="str">
        <f aca="false">IF(OR(TRIM(C456)="",SUBSTITUTE(C456," ","")="소계"),"제외",IF(ISNUMBER(SEARCH("홍콩",C456)),"HK",IF(ISNUMBER(SEARCH("상해",C456)),"CN",IF(ISNUMBER(SEARCH("대만",C456)),"TW","홀세일"))))</f>
        <v>HK</v>
      </c>
      <c r="B456" s="36" t="s">
        <v>764</v>
      </c>
      <c r="C456" s="37" t="s">
        <v>765</v>
      </c>
      <c r="D456" s="37" t="s">
        <v>123</v>
      </c>
      <c r="E456" s="36" t="n">
        <v>2026</v>
      </c>
      <c r="F456" s="37" t="s">
        <v>363</v>
      </c>
      <c r="G456" s="37" t="s">
        <v>102</v>
      </c>
      <c r="H456" s="36" t="s">
        <v>131</v>
      </c>
      <c r="I456" s="36" t="s">
        <v>868</v>
      </c>
      <c r="J456" s="37" t="s">
        <v>869</v>
      </c>
      <c r="K456" s="38" t="n">
        <v>260</v>
      </c>
      <c r="L456" s="38" t="n">
        <v>12740000</v>
      </c>
      <c r="M456" s="38" t="n">
        <v>4810520</v>
      </c>
      <c r="N456" s="39" t="n">
        <f aca="false">IF(A456="제외",0,IF(OR(N(L456)&lt;=0,N(M456)&gt;N(L456)),N(M456)/요약!$D$27,N(L456)))</f>
        <v>12740000</v>
      </c>
      <c r="O456" s="32" t="str">
        <f aca="false">IF(A456="제외","",IF(OR(N(L456)&lt;=0,N(M456)&gt;N(L456)),"택가보정(판매금액÷공급율)",""))</f>
        <v/>
      </c>
      <c r="P456" s="0" t="str">
        <f aca="false">IF(A456="HK","100",IF(A456="CN","200",IF(A456="TW","300",IF(ISNUMBER(SEARCH("태국",C456)),"500",IF(ISNUMBER(SEARCH("말레이",C456)),"600",IF(ISNUMBER(SEARCH("필리핀",C456)),"700",IF(ISNUMBER(SEARCH("인도네시아",C456)),"800",IF(ISNUMBER(SEARCH("크루즈",C456)),"810",IF(ISNUMBER(SEARCH("동물원",C456)),"830","")))))))))</f>
        <v>100</v>
      </c>
    </row>
    <row r="457" customFormat="false" ht="15" hidden="false" customHeight="false" outlineLevel="0" collapsed="false">
      <c r="A457" s="32" t="str">
        <f aca="false">IF(OR(TRIM(C457)="",SUBSTITUTE(C457," ","")="소계"),"제외",IF(ISNUMBER(SEARCH("홍콩",C457)),"HK",IF(ISNUMBER(SEARCH("상해",C457)),"CN",IF(ISNUMBER(SEARCH("대만",C457)),"TW","홀세일"))))</f>
        <v>HK</v>
      </c>
      <c r="B457" s="36" t="s">
        <v>764</v>
      </c>
      <c r="C457" s="37" t="s">
        <v>765</v>
      </c>
      <c r="D457" s="37" t="s">
        <v>123</v>
      </c>
      <c r="E457" s="36" t="n">
        <v>2026</v>
      </c>
      <c r="F457" s="37" t="s">
        <v>363</v>
      </c>
      <c r="G457" s="37" t="s">
        <v>102</v>
      </c>
      <c r="H457" s="36" t="s">
        <v>131</v>
      </c>
      <c r="I457" s="36" t="s">
        <v>870</v>
      </c>
      <c r="J457" s="37" t="s">
        <v>871</v>
      </c>
      <c r="K457" s="38" t="n">
        <v>290</v>
      </c>
      <c r="L457" s="38" t="n">
        <v>14210000</v>
      </c>
      <c r="M457" s="38" t="n">
        <v>4849380</v>
      </c>
      <c r="N457" s="39" t="n">
        <f aca="false">IF(A457="제외",0,IF(OR(N(L457)&lt;=0,N(M457)&gt;N(L457)),N(M457)/요약!$D$27,N(L457)))</f>
        <v>14210000</v>
      </c>
      <c r="O457" s="32" t="str">
        <f aca="false">IF(A457="제외","",IF(OR(N(L457)&lt;=0,N(M457)&gt;N(L457)),"택가보정(판매금액÷공급율)",""))</f>
        <v/>
      </c>
      <c r="P457" s="0" t="str">
        <f aca="false">IF(A457="HK","100",IF(A457="CN","200",IF(A457="TW","300",IF(ISNUMBER(SEARCH("태국",C457)),"500",IF(ISNUMBER(SEARCH("말레이",C457)),"600",IF(ISNUMBER(SEARCH("필리핀",C457)),"700",IF(ISNUMBER(SEARCH("인도네시아",C457)),"800",IF(ISNUMBER(SEARCH("크루즈",C457)),"810",IF(ISNUMBER(SEARCH("동물원",C457)),"830","")))))))))</f>
        <v>100</v>
      </c>
    </row>
    <row r="458" customFormat="false" ht="15" hidden="false" customHeight="false" outlineLevel="0" collapsed="false">
      <c r="A458" s="32" t="str">
        <f aca="false">IF(OR(TRIM(C458)="",SUBSTITUTE(C458," ","")="소계"),"제외",IF(ISNUMBER(SEARCH("홍콩",C458)),"HK",IF(ISNUMBER(SEARCH("상해",C458)),"CN",IF(ISNUMBER(SEARCH("대만",C458)),"TW","홀세일"))))</f>
        <v>HK</v>
      </c>
      <c r="B458" s="36" t="s">
        <v>764</v>
      </c>
      <c r="C458" s="37" t="s">
        <v>765</v>
      </c>
      <c r="D458" s="37" t="s">
        <v>123</v>
      </c>
      <c r="E458" s="36" t="n">
        <v>2026</v>
      </c>
      <c r="F458" s="37" t="s">
        <v>363</v>
      </c>
      <c r="G458" s="37" t="s">
        <v>102</v>
      </c>
      <c r="H458" s="36" t="s">
        <v>131</v>
      </c>
      <c r="I458" s="36" t="s">
        <v>872</v>
      </c>
      <c r="J458" s="37" t="s">
        <v>873</v>
      </c>
      <c r="K458" s="38" t="n">
        <v>280</v>
      </c>
      <c r="L458" s="38" t="n">
        <v>16520000</v>
      </c>
      <c r="M458" s="38" t="n">
        <v>5635840</v>
      </c>
      <c r="N458" s="39" t="n">
        <f aca="false">IF(A458="제외",0,IF(OR(N(L458)&lt;=0,N(M458)&gt;N(L458)),N(M458)/요약!$D$27,N(L458)))</f>
        <v>16520000</v>
      </c>
      <c r="O458" s="32" t="str">
        <f aca="false">IF(A458="제외","",IF(OR(N(L458)&lt;=0,N(M458)&gt;N(L458)),"택가보정(판매금액÷공급율)",""))</f>
        <v/>
      </c>
      <c r="P458" s="0" t="str">
        <f aca="false">IF(A458="HK","100",IF(A458="CN","200",IF(A458="TW","300",IF(ISNUMBER(SEARCH("태국",C458)),"500",IF(ISNUMBER(SEARCH("말레이",C458)),"600",IF(ISNUMBER(SEARCH("필리핀",C458)),"700",IF(ISNUMBER(SEARCH("인도네시아",C458)),"800",IF(ISNUMBER(SEARCH("크루즈",C458)),"810",IF(ISNUMBER(SEARCH("동물원",C458)),"830","")))))))))</f>
        <v>100</v>
      </c>
    </row>
    <row r="459" customFormat="false" ht="15" hidden="false" customHeight="false" outlineLevel="0" collapsed="false">
      <c r="A459" s="32" t="str">
        <f aca="false">IF(OR(TRIM(C459)="",SUBSTITUTE(C459," ","")="소계"),"제외",IF(ISNUMBER(SEARCH("홍콩",C459)),"HK",IF(ISNUMBER(SEARCH("상해",C459)),"CN",IF(ISNUMBER(SEARCH("대만",C459)),"TW","홀세일"))))</f>
        <v>HK</v>
      </c>
      <c r="B459" s="36" t="s">
        <v>764</v>
      </c>
      <c r="C459" s="37" t="s">
        <v>765</v>
      </c>
      <c r="D459" s="37" t="s">
        <v>123</v>
      </c>
      <c r="E459" s="36" t="n">
        <v>2026</v>
      </c>
      <c r="F459" s="37" t="s">
        <v>363</v>
      </c>
      <c r="G459" s="37" t="s">
        <v>102</v>
      </c>
      <c r="H459" s="36" t="s">
        <v>131</v>
      </c>
      <c r="I459" s="36" t="s">
        <v>388</v>
      </c>
      <c r="J459" s="36" t="s">
        <v>389</v>
      </c>
      <c r="K459" s="38" t="n">
        <v>200</v>
      </c>
      <c r="L459" s="38" t="n">
        <v>11800000</v>
      </c>
      <c r="M459" s="38" t="n">
        <v>4189200</v>
      </c>
      <c r="N459" s="39" t="n">
        <f aca="false">IF(A459="제외",0,IF(OR(N(L459)&lt;=0,N(M459)&gt;N(L459)),N(M459)/요약!$D$27,N(L459)))</f>
        <v>11800000</v>
      </c>
      <c r="O459" s="32" t="str">
        <f aca="false">IF(A459="제외","",IF(OR(N(L459)&lt;=0,N(M459)&gt;N(L459)),"택가보정(판매금액÷공급율)",""))</f>
        <v/>
      </c>
      <c r="P459" s="0" t="str">
        <f aca="false">IF(A459="HK","100",IF(A459="CN","200",IF(A459="TW","300",IF(ISNUMBER(SEARCH("태국",C459)),"500",IF(ISNUMBER(SEARCH("말레이",C459)),"600",IF(ISNUMBER(SEARCH("필리핀",C459)),"700",IF(ISNUMBER(SEARCH("인도네시아",C459)),"800",IF(ISNUMBER(SEARCH("크루즈",C459)),"810",IF(ISNUMBER(SEARCH("동물원",C459)),"830","")))))))))</f>
        <v>100</v>
      </c>
    </row>
    <row r="460" customFormat="false" ht="15" hidden="false" customHeight="false" outlineLevel="0" collapsed="false">
      <c r="A460" s="32" t="str">
        <f aca="false">IF(OR(TRIM(C460)="",SUBSTITUTE(C460," ","")="소계"),"제외",IF(ISNUMBER(SEARCH("홍콩",C460)),"HK",IF(ISNUMBER(SEARCH("상해",C460)),"CN",IF(ISNUMBER(SEARCH("대만",C460)),"TW","홀세일"))))</f>
        <v>HK</v>
      </c>
      <c r="B460" s="36" t="s">
        <v>764</v>
      </c>
      <c r="C460" s="37" t="s">
        <v>765</v>
      </c>
      <c r="D460" s="37" t="s">
        <v>123</v>
      </c>
      <c r="E460" s="36" t="n">
        <v>2026</v>
      </c>
      <c r="F460" s="37" t="s">
        <v>363</v>
      </c>
      <c r="G460" s="37" t="s">
        <v>102</v>
      </c>
      <c r="H460" s="36" t="s">
        <v>131</v>
      </c>
      <c r="I460" s="36" t="s">
        <v>390</v>
      </c>
      <c r="J460" s="36" t="s">
        <v>391</v>
      </c>
      <c r="K460" s="38" t="n">
        <v>350</v>
      </c>
      <c r="L460" s="38" t="n">
        <v>17150000</v>
      </c>
      <c r="M460" s="38" t="n">
        <v>5854800</v>
      </c>
      <c r="N460" s="39" t="n">
        <f aca="false">IF(A460="제외",0,IF(OR(N(L460)&lt;=0,N(M460)&gt;N(L460)),N(M460)/요약!$D$27,N(L460)))</f>
        <v>17150000</v>
      </c>
      <c r="O460" s="32" t="str">
        <f aca="false">IF(A460="제외","",IF(OR(N(L460)&lt;=0,N(M460)&gt;N(L460)),"택가보정(판매금액÷공급율)",""))</f>
        <v/>
      </c>
      <c r="P460" s="0" t="str">
        <f aca="false">IF(A460="HK","100",IF(A460="CN","200",IF(A460="TW","300",IF(ISNUMBER(SEARCH("태국",C460)),"500",IF(ISNUMBER(SEARCH("말레이",C460)),"600",IF(ISNUMBER(SEARCH("필리핀",C460)),"700",IF(ISNUMBER(SEARCH("인도네시아",C460)),"800",IF(ISNUMBER(SEARCH("크루즈",C460)),"810",IF(ISNUMBER(SEARCH("동물원",C460)),"830","")))))))))</f>
        <v>100</v>
      </c>
    </row>
    <row r="461" customFormat="false" ht="15" hidden="false" customHeight="false" outlineLevel="0" collapsed="false">
      <c r="A461" s="32" t="str">
        <f aca="false">IF(OR(TRIM(C461)="",SUBSTITUTE(C461," ","")="소계"),"제외",IF(ISNUMBER(SEARCH("홍콩",C461)),"HK",IF(ISNUMBER(SEARCH("상해",C461)),"CN",IF(ISNUMBER(SEARCH("대만",C461)),"TW","홀세일"))))</f>
        <v>HK</v>
      </c>
      <c r="B461" s="36" t="s">
        <v>764</v>
      </c>
      <c r="C461" s="37" t="s">
        <v>765</v>
      </c>
      <c r="D461" s="37" t="s">
        <v>123</v>
      </c>
      <c r="E461" s="36" t="n">
        <v>2026</v>
      </c>
      <c r="F461" s="37" t="s">
        <v>363</v>
      </c>
      <c r="G461" s="37" t="s">
        <v>102</v>
      </c>
      <c r="H461" s="36" t="s">
        <v>131</v>
      </c>
      <c r="I461" s="36" t="s">
        <v>392</v>
      </c>
      <c r="J461" s="36" t="s">
        <v>393</v>
      </c>
      <c r="K461" s="38" t="n">
        <v>350</v>
      </c>
      <c r="L461" s="38" t="n">
        <v>17150000</v>
      </c>
      <c r="M461" s="38" t="n">
        <v>5854800</v>
      </c>
      <c r="N461" s="39" t="n">
        <f aca="false">IF(A461="제외",0,IF(OR(N(L461)&lt;=0,N(M461)&gt;N(L461)),N(M461)/요약!$D$27,N(L461)))</f>
        <v>17150000</v>
      </c>
      <c r="O461" s="32" t="str">
        <f aca="false">IF(A461="제외","",IF(OR(N(L461)&lt;=0,N(M461)&gt;N(L461)),"택가보정(판매금액÷공급율)",""))</f>
        <v/>
      </c>
      <c r="P461" s="0" t="str">
        <f aca="false">IF(A461="HK","100",IF(A461="CN","200",IF(A461="TW","300",IF(ISNUMBER(SEARCH("태국",C461)),"500",IF(ISNUMBER(SEARCH("말레이",C461)),"600",IF(ISNUMBER(SEARCH("필리핀",C461)),"700",IF(ISNUMBER(SEARCH("인도네시아",C461)),"800",IF(ISNUMBER(SEARCH("크루즈",C461)),"810",IF(ISNUMBER(SEARCH("동물원",C461)),"830","")))))))))</f>
        <v>100</v>
      </c>
    </row>
    <row r="462" customFormat="false" ht="15" hidden="false" customHeight="false" outlineLevel="0" collapsed="false">
      <c r="A462" s="32" t="str">
        <f aca="false">IF(OR(TRIM(C462)="",SUBSTITUTE(C462," ","")="소계"),"제외",IF(ISNUMBER(SEARCH("홍콩",C462)),"HK",IF(ISNUMBER(SEARCH("상해",C462)),"CN",IF(ISNUMBER(SEARCH("대만",C462)),"TW","홀세일"))))</f>
        <v>HK</v>
      </c>
      <c r="B462" s="36" t="s">
        <v>764</v>
      </c>
      <c r="C462" s="37" t="s">
        <v>765</v>
      </c>
      <c r="D462" s="37" t="s">
        <v>123</v>
      </c>
      <c r="E462" s="36" t="n">
        <v>2026</v>
      </c>
      <c r="F462" s="37" t="s">
        <v>363</v>
      </c>
      <c r="G462" s="37" t="s">
        <v>102</v>
      </c>
      <c r="H462" s="36" t="s">
        <v>131</v>
      </c>
      <c r="I462" s="36" t="s">
        <v>874</v>
      </c>
      <c r="J462" s="36" t="s">
        <v>875</v>
      </c>
      <c r="K462" s="38" t="n">
        <v>200</v>
      </c>
      <c r="L462" s="38" t="n">
        <v>15800000</v>
      </c>
      <c r="M462" s="38" t="n">
        <v>5604600</v>
      </c>
      <c r="N462" s="39" t="n">
        <f aca="false">IF(A462="제외",0,IF(OR(N(L462)&lt;=0,N(M462)&gt;N(L462)),N(M462)/요약!$D$27,N(L462)))</f>
        <v>15800000</v>
      </c>
      <c r="O462" s="32" t="str">
        <f aca="false">IF(A462="제외","",IF(OR(N(L462)&lt;=0,N(M462)&gt;N(L462)),"택가보정(판매금액÷공급율)",""))</f>
        <v/>
      </c>
      <c r="P462" s="0" t="str">
        <f aca="false">IF(A462="HK","100",IF(A462="CN","200",IF(A462="TW","300",IF(ISNUMBER(SEARCH("태국",C462)),"500",IF(ISNUMBER(SEARCH("말레이",C462)),"600",IF(ISNUMBER(SEARCH("필리핀",C462)),"700",IF(ISNUMBER(SEARCH("인도네시아",C462)),"800",IF(ISNUMBER(SEARCH("크루즈",C462)),"810",IF(ISNUMBER(SEARCH("동물원",C462)),"830","")))))))))</f>
        <v>100</v>
      </c>
    </row>
    <row r="463" customFormat="false" ht="15" hidden="false" customHeight="false" outlineLevel="0" collapsed="false">
      <c r="A463" s="32" t="str">
        <f aca="false">IF(OR(TRIM(C463)="",SUBSTITUTE(C463," ","")="소계"),"제외",IF(ISNUMBER(SEARCH("홍콩",C463)),"HK",IF(ISNUMBER(SEARCH("상해",C463)),"CN",IF(ISNUMBER(SEARCH("대만",C463)),"TW","홀세일"))))</f>
        <v>HK</v>
      </c>
      <c r="B463" s="36" t="s">
        <v>764</v>
      </c>
      <c r="C463" s="37" t="s">
        <v>765</v>
      </c>
      <c r="D463" s="37" t="s">
        <v>123</v>
      </c>
      <c r="E463" s="36" t="n">
        <v>2026</v>
      </c>
      <c r="F463" s="37" t="s">
        <v>363</v>
      </c>
      <c r="G463" s="37" t="s">
        <v>124</v>
      </c>
      <c r="H463" s="36" t="s">
        <v>131</v>
      </c>
      <c r="I463" s="36" t="s">
        <v>876</v>
      </c>
      <c r="J463" s="36" t="s">
        <v>877</v>
      </c>
      <c r="K463" s="38" t="n">
        <v>120</v>
      </c>
      <c r="L463" s="38" t="n">
        <v>21480000</v>
      </c>
      <c r="M463" s="38" t="n">
        <v>7167720</v>
      </c>
      <c r="N463" s="39" t="n">
        <f aca="false">IF(A463="제외",0,IF(OR(N(L463)&lt;=0,N(M463)&gt;N(L463)),N(M463)/요약!$D$27,N(L463)))</f>
        <v>21480000</v>
      </c>
      <c r="O463" s="32" t="str">
        <f aca="false">IF(A463="제외","",IF(OR(N(L463)&lt;=0,N(M463)&gt;N(L463)),"택가보정(판매금액÷공급율)",""))</f>
        <v/>
      </c>
      <c r="P463" s="0" t="str">
        <f aca="false">IF(A463="HK","100",IF(A463="CN","200",IF(A463="TW","300",IF(ISNUMBER(SEARCH("태국",C463)),"500",IF(ISNUMBER(SEARCH("말레이",C463)),"600",IF(ISNUMBER(SEARCH("필리핀",C463)),"700",IF(ISNUMBER(SEARCH("인도네시아",C463)),"800",IF(ISNUMBER(SEARCH("크루즈",C463)),"810",IF(ISNUMBER(SEARCH("동물원",C463)),"830","")))))))))</f>
        <v>100</v>
      </c>
    </row>
    <row r="464" customFormat="false" ht="15" hidden="false" customHeight="false" outlineLevel="0" collapsed="false">
      <c r="A464" s="32" t="str">
        <f aca="false">IF(OR(TRIM(C464)="",SUBSTITUTE(C464," ","")="소계"),"제외",IF(ISNUMBER(SEARCH("홍콩",C464)),"HK",IF(ISNUMBER(SEARCH("상해",C464)),"CN",IF(ISNUMBER(SEARCH("대만",C464)),"TW","홀세일"))))</f>
        <v>HK</v>
      </c>
      <c r="B464" s="36" t="s">
        <v>764</v>
      </c>
      <c r="C464" s="37" t="s">
        <v>765</v>
      </c>
      <c r="D464" s="37" t="s">
        <v>123</v>
      </c>
      <c r="E464" s="36" t="n">
        <v>2026</v>
      </c>
      <c r="F464" s="37" t="s">
        <v>363</v>
      </c>
      <c r="G464" s="37" t="s">
        <v>124</v>
      </c>
      <c r="H464" s="36" t="s">
        <v>131</v>
      </c>
      <c r="I464" s="36" t="s">
        <v>878</v>
      </c>
      <c r="J464" s="36" t="s">
        <v>879</v>
      </c>
      <c r="K464" s="38" t="n">
        <v>140</v>
      </c>
      <c r="L464" s="38" t="n">
        <v>36260000</v>
      </c>
      <c r="M464" s="38" t="n">
        <v>12156200</v>
      </c>
      <c r="N464" s="39" t="n">
        <f aca="false">IF(A464="제외",0,IF(OR(N(L464)&lt;=0,N(M464)&gt;N(L464)),N(M464)/요약!$D$27,N(L464)))</f>
        <v>36260000</v>
      </c>
      <c r="O464" s="32" t="str">
        <f aca="false">IF(A464="제외","",IF(OR(N(L464)&lt;=0,N(M464)&gt;N(L464)),"택가보정(판매금액÷공급율)",""))</f>
        <v/>
      </c>
      <c r="P464" s="0" t="str">
        <f aca="false">IF(A464="HK","100",IF(A464="CN","200",IF(A464="TW","300",IF(ISNUMBER(SEARCH("태국",C464)),"500",IF(ISNUMBER(SEARCH("말레이",C464)),"600",IF(ISNUMBER(SEARCH("필리핀",C464)),"700",IF(ISNUMBER(SEARCH("인도네시아",C464)),"800",IF(ISNUMBER(SEARCH("크루즈",C464)),"810",IF(ISNUMBER(SEARCH("동물원",C464)),"830","")))))))))</f>
        <v>100</v>
      </c>
    </row>
    <row r="465" customFormat="false" ht="15" hidden="false" customHeight="false" outlineLevel="0" collapsed="false">
      <c r="A465" s="32" t="str">
        <f aca="false">IF(OR(TRIM(C465)="",SUBSTITUTE(C465," ","")="소계"),"제외",IF(ISNUMBER(SEARCH("홍콩",C465)),"HK",IF(ISNUMBER(SEARCH("상해",C465)),"CN",IF(ISNUMBER(SEARCH("대만",C465)),"TW","홀세일"))))</f>
        <v>HK</v>
      </c>
      <c r="B465" s="36" t="s">
        <v>764</v>
      </c>
      <c r="C465" s="37" t="s">
        <v>765</v>
      </c>
      <c r="D465" s="37" t="s">
        <v>123</v>
      </c>
      <c r="E465" s="36" t="n">
        <v>2026</v>
      </c>
      <c r="F465" s="37" t="s">
        <v>363</v>
      </c>
      <c r="G465" s="37" t="s">
        <v>124</v>
      </c>
      <c r="H465" s="36" t="s">
        <v>131</v>
      </c>
      <c r="I465" s="36" t="s">
        <v>408</v>
      </c>
      <c r="J465" s="36" t="s">
        <v>409</v>
      </c>
      <c r="K465" s="38" t="n">
        <v>90</v>
      </c>
      <c r="L465" s="38" t="n">
        <v>53100000</v>
      </c>
      <c r="M465" s="38" t="n">
        <v>18401490</v>
      </c>
      <c r="N465" s="39" t="n">
        <f aca="false">IF(A465="제외",0,IF(OR(N(L465)&lt;=0,N(M465)&gt;N(L465)),N(M465)/요약!$D$27,N(L465)))</f>
        <v>53100000</v>
      </c>
      <c r="O465" s="32" t="str">
        <f aca="false">IF(A465="제외","",IF(OR(N(L465)&lt;=0,N(M465)&gt;N(L465)),"택가보정(판매금액÷공급율)",""))</f>
        <v/>
      </c>
      <c r="P465" s="0" t="str">
        <f aca="false">IF(A465="HK","100",IF(A465="CN","200",IF(A465="TW","300",IF(ISNUMBER(SEARCH("태국",C465)),"500",IF(ISNUMBER(SEARCH("말레이",C465)),"600",IF(ISNUMBER(SEARCH("필리핀",C465)),"700",IF(ISNUMBER(SEARCH("인도네시아",C465)),"800",IF(ISNUMBER(SEARCH("크루즈",C465)),"810",IF(ISNUMBER(SEARCH("동물원",C465)),"830","")))))))))</f>
        <v>100</v>
      </c>
    </row>
    <row r="466" customFormat="false" ht="15" hidden="false" customHeight="false" outlineLevel="0" collapsed="false">
      <c r="A466" s="32" t="str">
        <f aca="false">IF(OR(TRIM(C466)="",SUBSTITUTE(C466," ","")="소계"),"제외",IF(ISNUMBER(SEARCH("홍콩",C466)),"HK",IF(ISNUMBER(SEARCH("상해",C466)),"CN",IF(ISNUMBER(SEARCH("대만",C466)),"TW","홀세일"))))</f>
        <v>HK</v>
      </c>
      <c r="B466" s="36" t="s">
        <v>764</v>
      </c>
      <c r="C466" s="37" t="s">
        <v>765</v>
      </c>
      <c r="D466" s="37" t="s">
        <v>123</v>
      </c>
      <c r="E466" s="36" t="n">
        <v>2026</v>
      </c>
      <c r="F466" s="37" t="s">
        <v>363</v>
      </c>
      <c r="G466" s="37" t="s">
        <v>124</v>
      </c>
      <c r="H466" s="36" t="s">
        <v>131</v>
      </c>
      <c r="I466" s="36" t="s">
        <v>410</v>
      </c>
      <c r="J466" s="36" t="s">
        <v>411</v>
      </c>
      <c r="K466" s="38" t="n">
        <v>90</v>
      </c>
      <c r="L466" s="38" t="n">
        <v>9810000</v>
      </c>
      <c r="M466" s="38" t="n">
        <v>3451500</v>
      </c>
      <c r="N466" s="39" t="n">
        <f aca="false">IF(A466="제외",0,IF(OR(N(L466)&lt;=0,N(M466)&gt;N(L466)),N(M466)/요약!$D$27,N(L466)))</f>
        <v>9810000</v>
      </c>
      <c r="O466" s="32" t="str">
        <f aca="false">IF(A466="제외","",IF(OR(N(L466)&lt;=0,N(M466)&gt;N(L466)),"택가보정(판매금액÷공급율)",""))</f>
        <v/>
      </c>
      <c r="P466" s="0" t="str">
        <f aca="false">IF(A466="HK","100",IF(A466="CN","200",IF(A466="TW","300",IF(ISNUMBER(SEARCH("태국",C466)),"500",IF(ISNUMBER(SEARCH("말레이",C466)),"600",IF(ISNUMBER(SEARCH("필리핀",C466)),"700",IF(ISNUMBER(SEARCH("인도네시아",C466)),"800",IF(ISNUMBER(SEARCH("크루즈",C466)),"810",IF(ISNUMBER(SEARCH("동물원",C466)),"830","")))))))))</f>
        <v>100</v>
      </c>
    </row>
    <row r="467" customFormat="false" ht="15" hidden="false" customHeight="false" outlineLevel="0" collapsed="false">
      <c r="A467" s="32" t="str">
        <f aca="false">IF(OR(TRIM(C467)="",SUBSTITUTE(C467," ","")="소계"),"제외",IF(ISNUMBER(SEARCH("홍콩",C467)),"HK",IF(ISNUMBER(SEARCH("상해",C467)),"CN",IF(ISNUMBER(SEARCH("대만",C467)),"TW","홀세일"))))</f>
        <v>HK</v>
      </c>
      <c r="B467" s="36" t="s">
        <v>764</v>
      </c>
      <c r="C467" s="37" t="s">
        <v>765</v>
      </c>
      <c r="D467" s="37" t="s">
        <v>123</v>
      </c>
      <c r="E467" s="36" t="n">
        <v>2026</v>
      </c>
      <c r="F467" s="37" t="s">
        <v>363</v>
      </c>
      <c r="G467" s="37" t="s">
        <v>124</v>
      </c>
      <c r="H467" s="36" t="s">
        <v>131</v>
      </c>
      <c r="I467" s="36" t="s">
        <v>412</v>
      </c>
      <c r="J467" s="36" t="s">
        <v>413</v>
      </c>
      <c r="K467" s="38" t="n">
        <v>160</v>
      </c>
      <c r="L467" s="38" t="n">
        <v>14240000</v>
      </c>
      <c r="M467" s="38" t="n">
        <v>4975840</v>
      </c>
      <c r="N467" s="39" t="n">
        <f aca="false">IF(A467="제외",0,IF(OR(N(L467)&lt;=0,N(M467)&gt;N(L467)),N(M467)/요약!$D$27,N(L467)))</f>
        <v>14240000</v>
      </c>
      <c r="O467" s="32" t="str">
        <f aca="false">IF(A467="제외","",IF(OR(N(L467)&lt;=0,N(M467)&gt;N(L467)),"택가보정(판매금액÷공급율)",""))</f>
        <v/>
      </c>
      <c r="P467" s="0" t="str">
        <f aca="false">IF(A467="HK","100",IF(A467="CN","200",IF(A467="TW","300",IF(ISNUMBER(SEARCH("태국",C467)),"500",IF(ISNUMBER(SEARCH("말레이",C467)),"600",IF(ISNUMBER(SEARCH("필리핀",C467)),"700",IF(ISNUMBER(SEARCH("인도네시아",C467)),"800",IF(ISNUMBER(SEARCH("크루즈",C467)),"810",IF(ISNUMBER(SEARCH("동물원",C467)),"830","")))))))))</f>
        <v>100</v>
      </c>
    </row>
    <row r="468" customFormat="false" ht="15" hidden="false" customHeight="false" outlineLevel="0" collapsed="false">
      <c r="A468" s="32" t="str">
        <f aca="false">IF(OR(TRIM(C468)="",SUBSTITUTE(C468," ","")="소계"),"제외",IF(ISNUMBER(SEARCH("홍콩",C468)),"HK",IF(ISNUMBER(SEARCH("상해",C468)),"CN",IF(ISNUMBER(SEARCH("대만",C468)),"TW","홀세일"))))</f>
        <v>HK</v>
      </c>
      <c r="B468" s="36" t="s">
        <v>764</v>
      </c>
      <c r="C468" s="37" t="s">
        <v>765</v>
      </c>
      <c r="D468" s="37" t="s">
        <v>123</v>
      </c>
      <c r="E468" s="36" t="n">
        <v>2026</v>
      </c>
      <c r="F468" s="37" t="s">
        <v>363</v>
      </c>
      <c r="G468" s="37" t="s">
        <v>124</v>
      </c>
      <c r="H468" s="36" t="s">
        <v>131</v>
      </c>
      <c r="I468" s="36" t="s">
        <v>880</v>
      </c>
      <c r="J468" s="37" t="s">
        <v>881</v>
      </c>
      <c r="K468" s="38" t="n">
        <v>180</v>
      </c>
      <c r="L468" s="38" t="n">
        <v>21420000</v>
      </c>
      <c r="M468" s="38" t="n">
        <v>7520760</v>
      </c>
      <c r="N468" s="39" t="n">
        <f aca="false">IF(A468="제외",0,IF(OR(N(L468)&lt;=0,N(M468)&gt;N(L468)),N(M468)/요약!$D$27,N(L468)))</f>
        <v>21420000</v>
      </c>
      <c r="O468" s="32" t="str">
        <f aca="false">IF(A468="제외","",IF(OR(N(L468)&lt;=0,N(M468)&gt;N(L468)),"택가보정(판매금액÷공급율)",""))</f>
        <v/>
      </c>
      <c r="P468" s="0" t="str">
        <f aca="false">IF(A468="HK","100",IF(A468="CN","200",IF(A468="TW","300",IF(ISNUMBER(SEARCH("태국",C468)),"500",IF(ISNUMBER(SEARCH("말레이",C468)),"600",IF(ISNUMBER(SEARCH("필리핀",C468)),"700",IF(ISNUMBER(SEARCH("인도네시아",C468)),"800",IF(ISNUMBER(SEARCH("크루즈",C468)),"810",IF(ISNUMBER(SEARCH("동물원",C468)),"830","")))))))))</f>
        <v>100</v>
      </c>
    </row>
    <row r="469" customFormat="false" ht="15" hidden="false" customHeight="false" outlineLevel="0" collapsed="false">
      <c r="A469" s="32" t="str">
        <f aca="false">IF(OR(TRIM(C469)="",SUBSTITUTE(C469," ","")="소계"),"제외",IF(ISNUMBER(SEARCH("홍콩",C469)),"HK",IF(ISNUMBER(SEARCH("상해",C469)),"CN",IF(ISNUMBER(SEARCH("대만",C469)),"TW","홀세일"))))</f>
        <v>HK</v>
      </c>
      <c r="B469" s="36" t="s">
        <v>764</v>
      </c>
      <c r="C469" s="37" t="s">
        <v>765</v>
      </c>
      <c r="D469" s="37" t="s">
        <v>123</v>
      </c>
      <c r="E469" s="36" t="n">
        <v>2026</v>
      </c>
      <c r="F469" s="37" t="s">
        <v>363</v>
      </c>
      <c r="G469" s="37" t="s">
        <v>124</v>
      </c>
      <c r="H469" s="36" t="s">
        <v>131</v>
      </c>
      <c r="I469" s="36" t="s">
        <v>414</v>
      </c>
      <c r="J469" s="37" t="s">
        <v>415</v>
      </c>
      <c r="K469" s="38" t="n">
        <v>230</v>
      </c>
      <c r="L469" s="38" t="n">
        <v>34270000</v>
      </c>
      <c r="M469" s="38" t="n">
        <v>12143310</v>
      </c>
      <c r="N469" s="39" t="n">
        <f aca="false">IF(A469="제외",0,IF(OR(N(L469)&lt;=0,N(M469)&gt;N(L469)),N(M469)/요약!$D$27,N(L469)))</f>
        <v>34270000</v>
      </c>
      <c r="O469" s="32" t="str">
        <f aca="false">IF(A469="제외","",IF(OR(N(L469)&lt;=0,N(M469)&gt;N(L469)),"택가보정(판매금액÷공급율)",""))</f>
        <v/>
      </c>
      <c r="P469" s="0" t="str">
        <f aca="false">IF(A469="HK","100",IF(A469="CN","200",IF(A469="TW","300",IF(ISNUMBER(SEARCH("태국",C469)),"500",IF(ISNUMBER(SEARCH("말레이",C469)),"600",IF(ISNUMBER(SEARCH("필리핀",C469)),"700",IF(ISNUMBER(SEARCH("인도네시아",C469)),"800",IF(ISNUMBER(SEARCH("크루즈",C469)),"810",IF(ISNUMBER(SEARCH("동물원",C469)),"830","")))))))))</f>
        <v>100</v>
      </c>
    </row>
    <row r="470" customFormat="false" ht="15" hidden="false" customHeight="false" outlineLevel="0" collapsed="false">
      <c r="A470" s="32" t="str">
        <f aca="false">IF(OR(TRIM(C470)="",SUBSTITUTE(C470," ","")="소계"),"제외",IF(ISNUMBER(SEARCH("홍콩",C470)),"HK",IF(ISNUMBER(SEARCH("상해",C470)),"CN",IF(ISNUMBER(SEARCH("대만",C470)),"TW","홀세일"))))</f>
        <v>HK</v>
      </c>
      <c r="B470" s="36" t="s">
        <v>764</v>
      </c>
      <c r="C470" s="37" t="s">
        <v>765</v>
      </c>
      <c r="D470" s="37" t="s">
        <v>123</v>
      </c>
      <c r="E470" s="36" t="n">
        <v>2026</v>
      </c>
      <c r="F470" s="37" t="s">
        <v>363</v>
      </c>
      <c r="G470" s="37" t="s">
        <v>124</v>
      </c>
      <c r="H470" s="36" t="s">
        <v>131</v>
      </c>
      <c r="I470" s="36" t="s">
        <v>416</v>
      </c>
      <c r="J470" s="37" t="s">
        <v>417</v>
      </c>
      <c r="K470" s="38" t="n">
        <v>210</v>
      </c>
      <c r="L470" s="38" t="n">
        <v>31290000</v>
      </c>
      <c r="M470" s="38" t="n">
        <v>11087370</v>
      </c>
      <c r="N470" s="39" t="n">
        <f aca="false">IF(A470="제외",0,IF(OR(N(L470)&lt;=0,N(M470)&gt;N(L470)),N(M470)/요약!$D$27,N(L470)))</f>
        <v>31290000</v>
      </c>
      <c r="O470" s="32" t="str">
        <f aca="false">IF(A470="제외","",IF(OR(N(L470)&lt;=0,N(M470)&gt;N(L470)),"택가보정(판매금액÷공급율)",""))</f>
        <v/>
      </c>
      <c r="P470" s="0" t="str">
        <f aca="false">IF(A470="HK","100",IF(A470="CN","200",IF(A470="TW","300",IF(ISNUMBER(SEARCH("태국",C470)),"500",IF(ISNUMBER(SEARCH("말레이",C470)),"600",IF(ISNUMBER(SEARCH("필리핀",C470)),"700",IF(ISNUMBER(SEARCH("인도네시아",C470)),"800",IF(ISNUMBER(SEARCH("크루즈",C470)),"810",IF(ISNUMBER(SEARCH("동물원",C470)),"830","")))))))))</f>
        <v>100</v>
      </c>
    </row>
    <row r="471" customFormat="false" ht="15" hidden="false" customHeight="false" outlineLevel="0" collapsed="false">
      <c r="A471" s="32" t="str">
        <f aca="false">IF(OR(TRIM(C471)="",SUBSTITUTE(C471," ","")="소계"),"제외",IF(ISNUMBER(SEARCH("홍콩",C471)),"HK",IF(ISNUMBER(SEARCH("상해",C471)),"CN",IF(ISNUMBER(SEARCH("대만",C471)),"TW","홀세일"))))</f>
        <v>HK</v>
      </c>
      <c r="B471" s="36" t="s">
        <v>764</v>
      </c>
      <c r="C471" s="37" t="s">
        <v>765</v>
      </c>
      <c r="D471" s="37" t="s">
        <v>123</v>
      </c>
      <c r="E471" s="36" t="n">
        <v>2026</v>
      </c>
      <c r="F471" s="37" t="s">
        <v>363</v>
      </c>
      <c r="G471" s="37" t="s">
        <v>124</v>
      </c>
      <c r="H471" s="36" t="s">
        <v>131</v>
      </c>
      <c r="I471" s="36" t="s">
        <v>882</v>
      </c>
      <c r="J471" s="37" t="s">
        <v>883</v>
      </c>
      <c r="K471" s="38" t="n">
        <v>230</v>
      </c>
      <c r="L471" s="38" t="n">
        <v>25070000</v>
      </c>
      <c r="M471" s="38" t="n">
        <v>8666630</v>
      </c>
      <c r="N471" s="39" t="n">
        <f aca="false">IF(A471="제외",0,IF(OR(N(L471)&lt;=0,N(M471)&gt;N(L471)),N(M471)/요약!$D$27,N(L471)))</f>
        <v>25070000</v>
      </c>
      <c r="O471" s="32" t="str">
        <f aca="false">IF(A471="제외","",IF(OR(N(L471)&lt;=0,N(M471)&gt;N(L471)),"택가보정(판매금액÷공급율)",""))</f>
        <v/>
      </c>
      <c r="P471" s="0" t="str">
        <f aca="false">IF(A471="HK","100",IF(A471="CN","200",IF(A471="TW","300",IF(ISNUMBER(SEARCH("태국",C471)),"500",IF(ISNUMBER(SEARCH("말레이",C471)),"600",IF(ISNUMBER(SEARCH("필리핀",C471)),"700",IF(ISNUMBER(SEARCH("인도네시아",C471)),"800",IF(ISNUMBER(SEARCH("크루즈",C471)),"810",IF(ISNUMBER(SEARCH("동물원",C471)),"830","")))))))))</f>
        <v>100</v>
      </c>
    </row>
    <row r="472" customFormat="false" ht="15" hidden="false" customHeight="false" outlineLevel="0" collapsed="false">
      <c r="A472" s="32" t="str">
        <f aca="false">IF(OR(TRIM(C472)="",SUBSTITUTE(C472," ","")="소계"),"제외",IF(ISNUMBER(SEARCH("홍콩",C472)),"HK",IF(ISNUMBER(SEARCH("상해",C472)),"CN",IF(ISNUMBER(SEARCH("대만",C472)),"TW","홀세일"))))</f>
        <v>HK</v>
      </c>
      <c r="B472" s="36" t="s">
        <v>764</v>
      </c>
      <c r="C472" s="37" t="s">
        <v>765</v>
      </c>
      <c r="D472" s="37" t="s">
        <v>123</v>
      </c>
      <c r="E472" s="36" t="n">
        <v>2026</v>
      </c>
      <c r="F472" s="37" t="s">
        <v>363</v>
      </c>
      <c r="G472" s="37" t="s">
        <v>124</v>
      </c>
      <c r="H472" s="36" t="s">
        <v>125</v>
      </c>
      <c r="I472" s="36" t="s">
        <v>418</v>
      </c>
      <c r="J472" s="37" t="s">
        <v>419</v>
      </c>
      <c r="K472" s="38" t="n">
        <v>100</v>
      </c>
      <c r="L472" s="38" t="n">
        <v>13900000</v>
      </c>
      <c r="M472" s="38" t="n">
        <v>4639500</v>
      </c>
      <c r="N472" s="39" t="n">
        <f aca="false">IF(A472="제외",0,IF(OR(N(L472)&lt;=0,N(M472)&gt;N(L472)),N(M472)/요약!$D$27,N(L472)))</f>
        <v>13900000</v>
      </c>
      <c r="O472" s="32" t="str">
        <f aca="false">IF(A472="제외","",IF(OR(N(L472)&lt;=0,N(M472)&gt;N(L472)),"택가보정(판매금액÷공급율)",""))</f>
        <v/>
      </c>
      <c r="P472" s="0" t="str">
        <f aca="false">IF(A472="HK","100",IF(A472="CN","200",IF(A472="TW","300",IF(ISNUMBER(SEARCH("태국",C472)),"500",IF(ISNUMBER(SEARCH("말레이",C472)),"600",IF(ISNUMBER(SEARCH("필리핀",C472)),"700",IF(ISNUMBER(SEARCH("인도네시아",C472)),"800",IF(ISNUMBER(SEARCH("크루즈",C472)),"810",IF(ISNUMBER(SEARCH("동물원",C472)),"830","")))))))))</f>
        <v>100</v>
      </c>
    </row>
    <row r="473" customFormat="false" ht="15" hidden="false" customHeight="false" outlineLevel="0" collapsed="false">
      <c r="A473" s="32" t="str">
        <f aca="false">IF(OR(TRIM(C473)="",SUBSTITUTE(C473," ","")="소계"),"제외",IF(ISNUMBER(SEARCH("홍콩",C473)),"HK",IF(ISNUMBER(SEARCH("상해",C473)),"CN",IF(ISNUMBER(SEARCH("대만",C473)),"TW","홀세일"))))</f>
        <v>HK</v>
      </c>
      <c r="B473" s="36" t="s">
        <v>764</v>
      </c>
      <c r="C473" s="37" t="s">
        <v>765</v>
      </c>
      <c r="D473" s="37" t="s">
        <v>123</v>
      </c>
      <c r="E473" s="36" t="n">
        <v>2026</v>
      </c>
      <c r="F473" s="37" t="s">
        <v>363</v>
      </c>
      <c r="G473" s="37" t="s">
        <v>124</v>
      </c>
      <c r="H473" s="36" t="s">
        <v>131</v>
      </c>
      <c r="I473" s="36" t="s">
        <v>420</v>
      </c>
      <c r="J473" s="37" t="s">
        <v>421</v>
      </c>
      <c r="K473" s="38" t="n">
        <v>210</v>
      </c>
      <c r="L473" s="38" t="n">
        <v>54390000</v>
      </c>
      <c r="M473" s="38" t="n">
        <v>15730890</v>
      </c>
      <c r="N473" s="39" t="n">
        <f aca="false">IF(A473="제외",0,IF(OR(N(L473)&lt;=0,N(M473)&gt;N(L473)),N(M473)/요약!$D$27,N(L473)))</f>
        <v>54390000</v>
      </c>
      <c r="O473" s="32" t="str">
        <f aca="false">IF(A473="제외","",IF(OR(N(L473)&lt;=0,N(M473)&gt;N(L473)),"택가보정(판매금액÷공급율)",""))</f>
        <v/>
      </c>
      <c r="P473" s="0" t="str">
        <f aca="false">IF(A473="HK","100",IF(A473="CN","200",IF(A473="TW","300",IF(ISNUMBER(SEARCH("태국",C473)),"500",IF(ISNUMBER(SEARCH("말레이",C473)),"600",IF(ISNUMBER(SEARCH("필리핀",C473)),"700",IF(ISNUMBER(SEARCH("인도네시아",C473)),"800",IF(ISNUMBER(SEARCH("크루즈",C473)),"810",IF(ISNUMBER(SEARCH("동물원",C473)),"830","")))))))))</f>
        <v>100</v>
      </c>
    </row>
    <row r="474" customFormat="false" ht="15" hidden="false" customHeight="false" outlineLevel="0" collapsed="false">
      <c r="A474" s="32" t="str">
        <f aca="false">IF(OR(TRIM(C474)="",SUBSTITUTE(C474," ","")="소계"),"제외",IF(ISNUMBER(SEARCH("홍콩",C474)),"HK",IF(ISNUMBER(SEARCH("상해",C474)),"CN",IF(ISNUMBER(SEARCH("대만",C474)),"TW","홀세일"))))</f>
        <v>HK</v>
      </c>
      <c r="B474" s="36" t="s">
        <v>764</v>
      </c>
      <c r="C474" s="37" t="s">
        <v>765</v>
      </c>
      <c r="D474" s="37" t="s">
        <v>123</v>
      </c>
      <c r="E474" s="36" t="n">
        <v>2026</v>
      </c>
      <c r="F474" s="37" t="s">
        <v>363</v>
      </c>
      <c r="G474" s="37" t="s">
        <v>124</v>
      </c>
      <c r="H474" s="36" t="s">
        <v>125</v>
      </c>
      <c r="I474" s="36" t="s">
        <v>884</v>
      </c>
      <c r="J474" s="36" t="s">
        <v>885</v>
      </c>
      <c r="K474" s="38" t="n">
        <v>210</v>
      </c>
      <c r="L474" s="38" t="n">
        <v>50190000</v>
      </c>
      <c r="M474" s="38" t="n">
        <v>16357320</v>
      </c>
      <c r="N474" s="39" t="n">
        <f aca="false">IF(A474="제외",0,IF(OR(N(L474)&lt;=0,N(M474)&gt;N(L474)),N(M474)/요약!$D$27,N(L474)))</f>
        <v>50190000</v>
      </c>
      <c r="O474" s="32" t="str">
        <f aca="false">IF(A474="제외","",IF(OR(N(L474)&lt;=0,N(M474)&gt;N(L474)),"택가보정(판매금액÷공급율)",""))</f>
        <v/>
      </c>
      <c r="P474" s="0" t="str">
        <f aca="false">IF(A474="HK","100",IF(A474="CN","200",IF(A474="TW","300",IF(ISNUMBER(SEARCH("태국",C474)),"500",IF(ISNUMBER(SEARCH("말레이",C474)),"600",IF(ISNUMBER(SEARCH("필리핀",C474)),"700",IF(ISNUMBER(SEARCH("인도네시아",C474)),"800",IF(ISNUMBER(SEARCH("크루즈",C474)),"810",IF(ISNUMBER(SEARCH("동물원",C474)),"830","")))))))))</f>
        <v>100</v>
      </c>
    </row>
    <row r="475" customFormat="false" ht="15" hidden="false" customHeight="false" outlineLevel="0" collapsed="false">
      <c r="A475" s="32" t="str">
        <f aca="false">IF(OR(TRIM(C475)="",SUBSTITUTE(C475," ","")="소계"),"제외",IF(ISNUMBER(SEARCH("홍콩",C475)),"HK",IF(ISNUMBER(SEARCH("상해",C475)),"CN",IF(ISNUMBER(SEARCH("대만",C475)),"TW","홀세일"))))</f>
        <v>HK</v>
      </c>
      <c r="B475" s="36" t="s">
        <v>764</v>
      </c>
      <c r="C475" s="37" t="s">
        <v>765</v>
      </c>
      <c r="D475" s="37" t="s">
        <v>123</v>
      </c>
      <c r="E475" s="36" t="n">
        <v>2026</v>
      </c>
      <c r="F475" s="37" t="s">
        <v>363</v>
      </c>
      <c r="G475" s="37" t="s">
        <v>124</v>
      </c>
      <c r="H475" s="36" t="s">
        <v>125</v>
      </c>
      <c r="I475" s="36" t="s">
        <v>422</v>
      </c>
      <c r="J475" s="37" t="s">
        <v>423</v>
      </c>
      <c r="K475" s="38" t="n">
        <v>90</v>
      </c>
      <c r="L475" s="38" t="n">
        <v>31410000</v>
      </c>
      <c r="M475" s="38" t="n">
        <v>10523880</v>
      </c>
      <c r="N475" s="39" t="n">
        <f aca="false">IF(A475="제외",0,IF(OR(N(L475)&lt;=0,N(M475)&gt;N(L475)),N(M475)/요약!$D$27,N(L475)))</f>
        <v>31410000</v>
      </c>
      <c r="O475" s="32" t="str">
        <f aca="false">IF(A475="제외","",IF(OR(N(L475)&lt;=0,N(M475)&gt;N(L475)),"택가보정(판매금액÷공급율)",""))</f>
        <v/>
      </c>
      <c r="P475" s="0" t="str">
        <f aca="false">IF(A475="HK","100",IF(A475="CN","200",IF(A475="TW","300",IF(ISNUMBER(SEARCH("태국",C475)),"500",IF(ISNUMBER(SEARCH("말레이",C475)),"600",IF(ISNUMBER(SEARCH("필리핀",C475)),"700",IF(ISNUMBER(SEARCH("인도네시아",C475)),"800",IF(ISNUMBER(SEARCH("크루즈",C475)),"810",IF(ISNUMBER(SEARCH("동물원",C475)),"830","")))))))))</f>
        <v>100</v>
      </c>
    </row>
    <row r="476" customFormat="false" ht="15" hidden="false" customHeight="false" outlineLevel="0" collapsed="false">
      <c r="A476" s="32" t="str">
        <f aca="false">IF(OR(TRIM(C476)="",SUBSTITUTE(C476," ","")="소계"),"제외",IF(ISNUMBER(SEARCH("홍콩",C476)),"HK",IF(ISNUMBER(SEARCH("상해",C476)),"CN",IF(ISNUMBER(SEARCH("대만",C476)),"TW","홀세일"))))</f>
        <v>HK</v>
      </c>
      <c r="B476" s="36" t="s">
        <v>764</v>
      </c>
      <c r="C476" s="37" t="s">
        <v>765</v>
      </c>
      <c r="D476" s="37" t="s">
        <v>123</v>
      </c>
      <c r="E476" s="36" t="n">
        <v>2026</v>
      </c>
      <c r="F476" s="37" t="s">
        <v>363</v>
      </c>
      <c r="G476" s="37" t="s">
        <v>124</v>
      </c>
      <c r="H476" s="36" t="s">
        <v>125</v>
      </c>
      <c r="I476" s="36" t="s">
        <v>424</v>
      </c>
      <c r="J476" s="37" t="s">
        <v>425</v>
      </c>
      <c r="K476" s="38" t="n">
        <v>180</v>
      </c>
      <c r="L476" s="38" t="n">
        <v>32220000</v>
      </c>
      <c r="M476" s="38" t="n">
        <v>11378340</v>
      </c>
      <c r="N476" s="39" t="n">
        <f aca="false">IF(A476="제외",0,IF(OR(N(L476)&lt;=0,N(M476)&gt;N(L476)),N(M476)/요약!$D$27,N(L476)))</f>
        <v>32220000</v>
      </c>
      <c r="O476" s="32" t="str">
        <f aca="false">IF(A476="제외","",IF(OR(N(L476)&lt;=0,N(M476)&gt;N(L476)),"택가보정(판매금액÷공급율)",""))</f>
        <v/>
      </c>
      <c r="P476" s="0" t="str">
        <f aca="false">IF(A476="HK","100",IF(A476="CN","200",IF(A476="TW","300",IF(ISNUMBER(SEARCH("태국",C476)),"500",IF(ISNUMBER(SEARCH("말레이",C476)),"600",IF(ISNUMBER(SEARCH("필리핀",C476)),"700",IF(ISNUMBER(SEARCH("인도네시아",C476)),"800",IF(ISNUMBER(SEARCH("크루즈",C476)),"810",IF(ISNUMBER(SEARCH("동물원",C476)),"830","")))))))))</f>
        <v>100</v>
      </c>
    </row>
    <row r="477" customFormat="false" ht="15" hidden="false" customHeight="false" outlineLevel="0" collapsed="false">
      <c r="A477" s="32" t="str">
        <f aca="false">IF(OR(TRIM(C477)="",SUBSTITUTE(C477," ","")="소계"),"제외",IF(ISNUMBER(SEARCH("홍콩",C477)),"HK",IF(ISNUMBER(SEARCH("상해",C477)),"CN",IF(ISNUMBER(SEARCH("대만",C477)),"TW","홀세일"))))</f>
        <v>HK</v>
      </c>
      <c r="B477" s="36" t="s">
        <v>764</v>
      </c>
      <c r="C477" s="37" t="s">
        <v>765</v>
      </c>
      <c r="D477" s="37" t="s">
        <v>123</v>
      </c>
      <c r="E477" s="36" t="n">
        <v>2026</v>
      </c>
      <c r="F477" s="37" t="s">
        <v>363</v>
      </c>
      <c r="G477" s="37" t="s">
        <v>124</v>
      </c>
      <c r="H477" s="36" t="s">
        <v>125</v>
      </c>
      <c r="I477" s="36" t="s">
        <v>886</v>
      </c>
      <c r="J477" s="37" t="s">
        <v>887</v>
      </c>
      <c r="K477" s="38" t="n">
        <v>90</v>
      </c>
      <c r="L477" s="38" t="n">
        <v>35910000</v>
      </c>
      <c r="M477" s="38" t="n">
        <v>12724020</v>
      </c>
      <c r="N477" s="39" t="n">
        <f aca="false">IF(A477="제외",0,IF(OR(N(L477)&lt;=0,N(M477)&gt;N(L477)),N(M477)/요약!$D$27,N(L477)))</f>
        <v>35910000</v>
      </c>
      <c r="O477" s="32" t="str">
        <f aca="false">IF(A477="제외","",IF(OR(N(L477)&lt;=0,N(M477)&gt;N(L477)),"택가보정(판매금액÷공급율)",""))</f>
        <v/>
      </c>
      <c r="P477" s="0" t="str">
        <f aca="false">IF(A477="HK","100",IF(A477="CN","200",IF(A477="TW","300",IF(ISNUMBER(SEARCH("태국",C477)),"500",IF(ISNUMBER(SEARCH("말레이",C477)),"600",IF(ISNUMBER(SEARCH("필리핀",C477)),"700",IF(ISNUMBER(SEARCH("인도네시아",C477)),"800",IF(ISNUMBER(SEARCH("크루즈",C477)),"810",IF(ISNUMBER(SEARCH("동물원",C477)),"830","")))))))))</f>
        <v>100</v>
      </c>
    </row>
    <row r="478" customFormat="false" ht="15" hidden="false" customHeight="false" outlineLevel="0" collapsed="false">
      <c r="A478" s="32" t="str">
        <f aca="false">IF(OR(TRIM(C478)="",SUBSTITUTE(C478," ","")="소계"),"제외",IF(ISNUMBER(SEARCH("홍콩",C478)),"HK",IF(ISNUMBER(SEARCH("상해",C478)),"CN",IF(ISNUMBER(SEARCH("대만",C478)),"TW","홀세일"))))</f>
        <v>HK</v>
      </c>
      <c r="B478" s="36" t="s">
        <v>764</v>
      </c>
      <c r="C478" s="37" t="s">
        <v>765</v>
      </c>
      <c r="D478" s="37" t="s">
        <v>123</v>
      </c>
      <c r="E478" s="36" t="n">
        <v>2026</v>
      </c>
      <c r="F478" s="37" t="s">
        <v>363</v>
      </c>
      <c r="G478" s="37" t="s">
        <v>124</v>
      </c>
      <c r="H478" s="36" t="s">
        <v>131</v>
      </c>
      <c r="I478" s="36" t="s">
        <v>888</v>
      </c>
      <c r="J478" s="37" t="s">
        <v>889</v>
      </c>
      <c r="K478" s="38" t="n">
        <v>160</v>
      </c>
      <c r="L478" s="38" t="n">
        <v>25440000</v>
      </c>
      <c r="M478" s="38" t="n">
        <v>8773760</v>
      </c>
      <c r="N478" s="39" t="n">
        <f aca="false">IF(A478="제외",0,IF(OR(N(L478)&lt;=0,N(M478)&gt;N(L478)),N(M478)/요약!$D$27,N(L478)))</f>
        <v>25440000</v>
      </c>
      <c r="O478" s="32" t="str">
        <f aca="false">IF(A478="제외","",IF(OR(N(L478)&lt;=0,N(M478)&gt;N(L478)),"택가보정(판매금액÷공급율)",""))</f>
        <v/>
      </c>
      <c r="P478" s="0" t="str">
        <f aca="false">IF(A478="HK","100",IF(A478="CN","200",IF(A478="TW","300",IF(ISNUMBER(SEARCH("태국",C478)),"500",IF(ISNUMBER(SEARCH("말레이",C478)),"600",IF(ISNUMBER(SEARCH("필리핀",C478)),"700",IF(ISNUMBER(SEARCH("인도네시아",C478)),"800",IF(ISNUMBER(SEARCH("크루즈",C478)),"810",IF(ISNUMBER(SEARCH("동물원",C478)),"830","")))))))))</f>
        <v>100</v>
      </c>
    </row>
    <row r="479" customFormat="false" ht="15" hidden="false" customHeight="false" outlineLevel="0" collapsed="false">
      <c r="A479" s="32" t="str">
        <f aca="false">IF(OR(TRIM(C479)="",SUBSTITUTE(C479," ","")="소계"),"제외",IF(ISNUMBER(SEARCH("홍콩",C479)),"HK",IF(ISNUMBER(SEARCH("상해",C479)),"CN",IF(ISNUMBER(SEARCH("대만",C479)),"TW","홀세일"))))</f>
        <v>HK</v>
      </c>
      <c r="B479" s="36" t="s">
        <v>764</v>
      </c>
      <c r="C479" s="37" t="s">
        <v>765</v>
      </c>
      <c r="D479" s="37" t="s">
        <v>123</v>
      </c>
      <c r="E479" s="36" t="n">
        <v>2026</v>
      </c>
      <c r="F479" s="37" t="s">
        <v>363</v>
      </c>
      <c r="G479" s="37" t="s">
        <v>124</v>
      </c>
      <c r="H479" s="36" t="s">
        <v>131</v>
      </c>
      <c r="I479" s="36" t="s">
        <v>428</v>
      </c>
      <c r="J479" s="37" t="s">
        <v>429</v>
      </c>
      <c r="K479" s="38" t="n">
        <v>360</v>
      </c>
      <c r="L479" s="38" t="n">
        <v>68040000</v>
      </c>
      <c r="M479" s="38" t="n">
        <v>24097320</v>
      </c>
      <c r="N479" s="39" t="n">
        <f aca="false">IF(A479="제외",0,IF(OR(N(L479)&lt;=0,N(M479)&gt;N(L479)),N(M479)/요약!$D$27,N(L479)))</f>
        <v>68040000</v>
      </c>
      <c r="O479" s="32" t="str">
        <f aca="false">IF(A479="제외","",IF(OR(N(L479)&lt;=0,N(M479)&gt;N(L479)),"택가보정(판매금액÷공급율)",""))</f>
        <v/>
      </c>
      <c r="P479" s="0" t="str">
        <f aca="false">IF(A479="HK","100",IF(A479="CN","200",IF(A479="TW","300",IF(ISNUMBER(SEARCH("태국",C479)),"500",IF(ISNUMBER(SEARCH("말레이",C479)),"600",IF(ISNUMBER(SEARCH("필리핀",C479)),"700",IF(ISNUMBER(SEARCH("인도네시아",C479)),"800",IF(ISNUMBER(SEARCH("크루즈",C479)),"810",IF(ISNUMBER(SEARCH("동물원",C479)),"830","")))))))))</f>
        <v>100</v>
      </c>
    </row>
    <row r="480" customFormat="false" ht="15" hidden="false" customHeight="false" outlineLevel="0" collapsed="false">
      <c r="A480" s="32" t="str">
        <f aca="false">IF(OR(TRIM(C480)="",SUBSTITUTE(C480," ","")="소계"),"제외",IF(ISNUMBER(SEARCH("홍콩",C480)),"HK",IF(ISNUMBER(SEARCH("상해",C480)),"CN",IF(ISNUMBER(SEARCH("대만",C480)),"TW","홀세일"))))</f>
        <v>HK</v>
      </c>
      <c r="B480" s="36" t="s">
        <v>764</v>
      </c>
      <c r="C480" s="37" t="s">
        <v>765</v>
      </c>
      <c r="D480" s="37" t="s">
        <v>123</v>
      </c>
      <c r="E480" s="36" t="n">
        <v>2026</v>
      </c>
      <c r="F480" s="37" t="s">
        <v>363</v>
      </c>
      <c r="G480" s="37" t="s">
        <v>124</v>
      </c>
      <c r="H480" s="36" t="s">
        <v>131</v>
      </c>
      <c r="I480" s="36" t="s">
        <v>430</v>
      </c>
      <c r="J480" s="37" t="s">
        <v>431</v>
      </c>
      <c r="K480" s="38" t="n">
        <v>280</v>
      </c>
      <c r="L480" s="38" t="n">
        <v>30520000</v>
      </c>
      <c r="M480" s="38" t="n">
        <v>10550680</v>
      </c>
      <c r="N480" s="39" t="n">
        <f aca="false">IF(A480="제외",0,IF(OR(N(L480)&lt;=0,N(M480)&gt;N(L480)),N(M480)/요약!$D$27,N(L480)))</f>
        <v>30520000</v>
      </c>
      <c r="O480" s="32" t="str">
        <f aca="false">IF(A480="제외","",IF(OR(N(L480)&lt;=0,N(M480)&gt;N(L480)),"택가보정(판매금액÷공급율)",""))</f>
        <v/>
      </c>
      <c r="P480" s="0" t="str">
        <f aca="false">IF(A480="HK","100",IF(A480="CN","200",IF(A480="TW","300",IF(ISNUMBER(SEARCH("태국",C480)),"500",IF(ISNUMBER(SEARCH("말레이",C480)),"600",IF(ISNUMBER(SEARCH("필리핀",C480)),"700",IF(ISNUMBER(SEARCH("인도네시아",C480)),"800",IF(ISNUMBER(SEARCH("크루즈",C480)),"810",IF(ISNUMBER(SEARCH("동물원",C480)),"830","")))))))))</f>
        <v>100</v>
      </c>
    </row>
    <row r="481" customFormat="false" ht="15" hidden="false" customHeight="false" outlineLevel="0" collapsed="false">
      <c r="A481" s="32" t="str">
        <f aca="false">IF(OR(TRIM(C481)="",SUBSTITUTE(C481," ","")="소계"),"제외",IF(ISNUMBER(SEARCH("홍콩",C481)),"HK",IF(ISNUMBER(SEARCH("상해",C481)),"CN",IF(ISNUMBER(SEARCH("대만",C481)),"TW","홀세일"))))</f>
        <v>HK</v>
      </c>
      <c r="B481" s="36" t="s">
        <v>764</v>
      </c>
      <c r="C481" s="37" t="s">
        <v>765</v>
      </c>
      <c r="D481" s="37" t="s">
        <v>123</v>
      </c>
      <c r="E481" s="36" t="n">
        <v>2026</v>
      </c>
      <c r="F481" s="37" t="s">
        <v>363</v>
      </c>
      <c r="G481" s="37" t="s">
        <v>124</v>
      </c>
      <c r="H481" s="36" t="s">
        <v>131</v>
      </c>
      <c r="I481" s="36" t="s">
        <v>432</v>
      </c>
      <c r="J481" s="37" t="s">
        <v>433</v>
      </c>
      <c r="K481" s="38" t="n">
        <v>420</v>
      </c>
      <c r="L481" s="38" t="n">
        <v>33180000</v>
      </c>
      <c r="M481" s="38" t="n">
        <v>11453820</v>
      </c>
      <c r="N481" s="39" t="n">
        <f aca="false">IF(A481="제외",0,IF(OR(N(L481)&lt;=0,N(M481)&gt;N(L481)),N(M481)/요약!$D$27,N(L481)))</f>
        <v>33180000</v>
      </c>
      <c r="O481" s="32" t="str">
        <f aca="false">IF(A481="제외","",IF(OR(N(L481)&lt;=0,N(M481)&gt;N(L481)),"택가보정(판매금액÷공급율)",""))</f>
        <v/>
      </c>
      <c r="P481" s="0" t="str">
        <f aca="false">IF(A481="HK","100",IF(A481="CN","200",IF(A481="TW","300",IF(ISNUMBER(SEARCH("태국",C481)),"500",IF(ISNUMBER(SEARCH("말레이",C481)),"600",IF(ISNUMBER(SEARCH("필리핀",C481)),"700",IF(ISNUMBER(SEARCH("인도네시아",C481)),"800",IF(ISNUMBER(SEARCH("크루즈",C481)),"810",IF(ISNUMBER(SEARCH("동물원",C481)),"830","")))))))))</f>
        <v>100</v>
      </c>
    </row>
    <row r="482" customFormat="false" ht="15" hidden="false" customHeight="false" outlineLevel="0" collapsed="false">
      <c r="A482" s="32" t="str">
        <f aca="false">IF(OR(TRIM(C482)="",SUBSTITUTE(C482," ","")="소계"),"제외",IF(ISNUMBER(SEARCH("홍콩",C482)),"HK",IF(ISNUMBER(SEARCH("상해",C482)),"CN",IF(ISNUMBER(SEARCH("대만",C482)),"TW","홀세일"))))</f>
        <v>HK</v>
      </c>
      <c r="B482" s="36" t="s">
        <v>764</v>
      </c>
      <c r="C482" s="37" t="s">
        <v>765</v>
      </c>
      <c r="D482" s="37" t="s">
        <v>123</v>
      </c>
      <c r="E482" s="36" t="n">
        <v>2026</v>
      </c>
      <c r="F482" s="37" t="s">
        <v>363</v>
      </c>
      <c r="G482" s="37" t="s">
        <v>124</v>
      </c>
      <c r="H482" s="36" t="s">
        <v>131</v>
      </c>
      <c r="I482" s="36" t="s">
        <v>890</v>
      </c>
      <c r="J482" s="37" t="s">
        <v>891</v>
      </c>
      <c r="K482" s="38" t="n">
        <v>160</v>
      </c>
      <c r="L482" s="38" t="n">
        <v>17440000</v>
      </c>
      <c r="M482" s="38" t="n">
        <v>6028960</v>
      </c>
      <c r="N482" s="39" t="n">
        <f aca="false">IF(A482="제외",0,IF(OR(N(L482)&lt;=0,N(M482)&gt;N(L482)),N(M482)/요약!$D$27,N(L482)))</f>
        <v>17440000</v>
      </c>
      <c r="O482" s="32" t="str">
        <f aca="false">IF(A482="제외","",IF(OR(N(L482)&lt;=0,N(M482)&gt;N(L482)),"택가보정(판매금액÷공급율)",""))</f>
        <v/>
      </c>
      <c r="P482" s="0" t="str">
        <f aca="false">IF(A482="HK","100",IF(A482="CN","200",IF(A482="TW","300",IF(ISNUMBER(SEARCH("태국",C482)),"500",IF(ISNUMBER(SEARCH("말레이",C482)),"600",IF(ISNUMBER(SEARCH("필리핀",C482)),"700",IF(ISNUMBER(SEARCH("인도네시아",C482)),"800",IF(ISNUMBER(SEARCH("크루즈",C482)),"810",IF(ISNUMBER(SEARCH("동물원",C482)),"830","")))))))))</f>
        <v>100</v>
      </c>
    </row>
    <row r="483" customFormat="false" ht="15" hidden="false" customHeight="false" outlineLevel="0" collapsed="false">
      <c r="A483" s="32" t="str">
        <f aca="false">IF(OR(TRIM(C483)="",SUBSTITUTE(C483," ","")="소계"),"제외",IF(ISNUMBER(SEARCH("홍콩",C483)),"HK",IF(ISNUMBER(SEARCH("상해",C483)),"CN",IF(ISNUMBER(SEARCH("대만",C483)),"TW","홀세일"))))</f>
        <v>HK</v>
      </c>
      <c r="B483" s="36" t="s">
        <v>764</v>
      </c>
      <c r="C483" s="37" t="s">
        <v>765</v>
      </c>
      <c r="D483" s="37" t="s">
        <v>123</v>
      </c>
      <c r="E483" s="36" t="n">
        <v>2026</v>
      </c>
      <c r="F483" s="37" t="s">
        <v>363</v>
      </c>
      <c r="G483" s="37" t="s">
        <v>124</v>
      </c>
      <c r="H483" s="36" t="s">
        <v>131</v>
      </c>
      <c r="I483" s="36" t="s">
        <v>434</v>
      </c>
      <c r="J483" s="37" t="s">
        <v>435</v>
      </c>
      <c r="K483" s="38" t="n">
        <v>600</v>
      </c>
      <c r="L483" s="38" t="n">
        <v>65400000</v>
      </c>
      <c r="M483" s="38" t="n">
        <v>20703000</v>
      </c>
      <c r="N483" s="39" t="n">
        <f aca="false">IF(A483="제외",0,IF(OR(N(L483)&lt;=0,N(M483)&gt;N(L483)),N(M483)/요약!$D$27,N(L483)))</f>
        <v>65400000</v>
      </c>
      <c r="O483" s="32" t="str">
        <f aca="false">IF(A483="제외","",IF(OR(N(L483)&lt;=0,N(M483)&gt;N(L483)),"택가보정(판매금액÷공급율)",""))</f>
        <v/>
      </c>
      <c r="P483" s="0" t="str">
        <f aca="false">IF(A483="HK","100",IF(A483="CN","200",IF(A483="TW","300",IF(ISNUMBER(SEARCH("태국",C483)),"500",IF(ISNUMBER(SEARCH("말레이",C483)),"600",IF(ISNUMBER(SEARCH("필리핀",C483)),"700",IF(ISNUMBER(SEARCH("인도네시아",C483)),"800",IF(ISNUMBER(SEARCH("크루즈",C483)),"810",IF(ISNUMBER(SEARCH("동물원",C483)),"830","")))))))))</f>
        <v>100</v>
      </c>
    </row>
    <row r="484" customFormat="false" ht="15" hidden="false" customHeight="false" outlineLevel="0" collapsed="false">
      <c r="A484" s="32" t="str">
        <f aca="false">IF(OR(TRIM(C484)="",SUBSTITUTE(C484," ","")="소계"),"제외",IF(ISNUMBER(SEARCH("홍콩",C484)),"HK",IF(ISNUMBER(SEARCH("상해",C484)),"CN",IF(ISNUMBER(SEARCH("대만",C484)),"TW","홀세일"))))</f>
        <v>HK</v>
      </c>
      <c r="B484" s="36" t="s">
        <v>764</v>
      </c>
      <c r="C484" s="37" t="s">
        <v>765</v>
      </c>
      <c r="D484" s="37" t="s">
        <v>123</v>
      </c>
      <c r="E484" s="36" t="n">
        <v>2026</v>
      </c>
      <c r="F484" s="37" t="s">
        <v>363</v>
      </c>
      <c r="G484" s="37" t="s">
        <v>124</v>
      </c>
      <c r="H484" s="36" t="s">
        <v>131</v>
      </c>
      <c r="I484" s="36" t="s">
        <v>436</v>
      </c>
      <c r="J484" s="37" t="s">
        <v>437</v>
      </c>
      <c r="K484" s="38" t="n">
        <v>200</v>
      </c>
      <c r="L484" s="38" t="n">
        <v>11800000</v>
      </c>
      <c r="M484" s="38" t="n">
        <v>4076000</v>
      </c>
      <c r="N484" s="39" t="n">
        <f aca="false">IF(A484="제외",0,IF(OR(N(L484)&lt;=0,N(M484)&gt;N(L484)),N(M484)/요약!$D$27,N(L484)))</f>
        <v>11800000</v>
      </c>
      <c r="O484" s="32" t="str">
        <f aca="false">IF(A484="제외","",IF(OR(N(L484)&lt;=0,N(M484)&gt;N(L484)),"택가보정(판매금액÷공급율)",""))</f>
        <v/>
      </c>
      <c r="P484" s="0" t="str">
        <f aca="false">IF(A484="HK","100",IF(A484="CN","200",IF(A484="TW","300",IF(ISNUMBER(SEARCH("태국",C484)),"500",IF(ISNUMBER(SEARCH("말레이",C484)),"600",IF(ISNUMBER(SEARCH("필리핀",C484)),"700",IF(ISNUMBER(SEARCH("인도네시아",C484)),"800",IF(ISNUMBER(SEARCH("크루즈",C484)),"810",IF(ISNUMBER(SEARCH("동물원",C484)),"830","")))))))))</f>
        <v>100</v>
      </c>
    </row>
    <row r="485" customFormat="false" ht="15" hidden="false" customHeight="false" outlineLevel="0" collapsed="false">
      <c r="A485" s="32" t="str">
        <f aca="false">IF(OR(TRIM(C485)="",SUBSTITUTE(C485," ","")="소계"),"제외",IF(ISNUMBER(SEARCH("홍콩",C485)),"HK",IF(ISNUMBER(SEARCH("상해",C485)),"CN",IF(ISNUMBER(SEARCH("대만",C485)),"TW","홀세일"))))</f>
        <v>HK</v>
      </c>
      <c r="B485" s="36" t="s">
        <v>764</v>
      </c>
      <c r="C485" s="37" t="s">
        <v>765</v>
      </c>
      <c r="D485" s="37" t="s">
        <v>123</v>
      </c>
      <c r="E485" s="36" t="n">
        <v>2026</v>
      </c>
      <c r="F485" s="37" t="s">
        <v>363</v>
      </c>
      <c r="G485" s="37" t="s">
        <v>124</v>
      </c>
      <c r="H485" s="36" t="s">
        <v>131</v>
      </c>
      <c r="I485" s="36" t="s">
        <v>438</v>
      </c>
      <c r="J485" s="37" t="s">
        <v>439</v>
      </c>
      <c r="K485" s="38" t="n">
        <v>200</v>
      </c>
      <c r="L485" s="38" t="n">
        <v>15800000</v>
      </c>
      <c r="M485" s="38" t="n">
        <v>4864600</v>
      </c>
      <c r="N485" s="39" t="n">
        <f aca="false">IF(A485="제외",0,IF(OR(N(L485)&lt;=0,N(M485)&gt;N(L485)),N(M485)/요약!$D$27,N(L485)))</f>
        <v>15800000</v>
      </c>
      <c r="O485" s="32" t="str">
        <f aca="false">IF(A485="제외","",IF(OR(N(L485)&lt;=0,N(M485)&gt;N(L485)),"택가보정(판매금액÷공급율)",""))</f>
        <v/>
      </c>
      <c r="P485" s="0" t="str">
        <f aca="false">IF(A485="HK","100",IF(A485="CN","200",IF(A485="TW","300",IF(ISNUMBER(SEARCH("태국",C485)),"500",IF(ISNUMBER(SEARCH("말레이",C485)),"600",IF(ISNUMBER(SEARCH("필리핀",C485)),"700",IF(ISNUMBER(SEARCH("인도네시아",C485)),"800",IF(ISNUMBER(SEARCH("크루즈",C485)),"810",IF(ISNUMBER(SEARCH("동물원",C485)),"830","")))))))))</f>
        <v>100</v>
      </c>
    </row>
    <row r="486" customFormat="false" ht="15" hidden="false" customHeight="false" outlineLevel="0" collapsed="false">
      <c r="A486" s="32" t="str">
        <f aca="false">IF(OR(TRIM(C486)="",SUBSTITUTE(C486," ","")="소계"),"제외",IF(ISNUMBER(SEARCH("홍콩",C486)),"HK",IF(ISNUMBER(SEARCH("상해",C486)),"CN",IF(ISNUMBER(SEARCH("대만",C486)),"TW","홀세일"))))</f>
        <v>HK</v>
      </c>
      <c r="B486" s="36" t="s">
        <v>764</v>
      </c>
      <c r="C486" s="37" t="s">
        <v>765</v>
      </c>
      <c r="D486" s="37" t="s">
        <v>123</v>
      </c>
      <c r="E486" s="36" t="n">
        <v>2026</v>
      </c>
      <c r="F486" s="37" t="s">
        <v>363</v>
      </c>
      <c r="G486" s="37" t="s">
        <v>124</v>
      </c>
      <c r="H486" s="36" t="s">
        <v>131</v>
      </c>
      <c r="I486" s="36" t="s">
        <v>440</v>
      </c>
      <c r="J486" s="37" t="s">
        <v>441</v>
      </c>
      <c r="K486" s="38" t="n">
        <v>400</v>
      </c>
      <c r="L486" s="38" t="n">
        <v>27600000</v>
      </c>
      <c r="M486" s="38" t="n">
        <v>8296800</v>
      </c>
      <c r="N486" s="39" t="n">
        <f aca="false">IF(A486="제외",0,IF(OR(N(L486)&lt;=0,N(M486)&gt;N(L486)),N(M486)/요약!$D$27,N(L486)))</f>
        <v>27600000</v>
      </c>
      <c r="O486" s="32" t="str">
        <f aca="false">IF(A486="제외","",IF(OR(N(L486)&lt;=0,N(M486)&gt;N(L486)),"택가보정(판매금액÷공급율)",""))</f>
        <v/>
      </c>
      <c r="P486" s="0" t="str">
        <f aca="false">IF(A486="HK","100",IF(A486="CN","200",IF(A486="TW","300",IF(ISNUMBER(SEARCH("태국",C486)),"500",IF(ISNUMBER(SEARCH("말레이",C486)),"600",IF(ISNUMBER(SEARCH("필리핀",C486)),"700",IF(ISNUMBER(SEARCH("인도네시아",C486)),"800",IF(ISNUMBER(SEARCH("크루즈",C486)),"810",IF(ISNUMBER(SEARCH("동물원",C486)),"830","")))))))))</f>
        <v>100</v>
      </c>
    </row>
    <row r="487" customFormat="false" ht="15" hidden="false" customHeight="false" outlineLevel="0" collapsed="false">
      <c r="A487" s="32" t="str">
        <f aca="false">IF(OR(TRIM(C487)="",SUBSTITUTE(C487," ","")="소계"),"제외",IF(ISNUMBER(SEARCH("홍콩",C487)),"HK",IF(ISNUMBER(SEARCH("상해",C487)),"CN",IF(ISNUMBER(SEARCH("대만",C487)),"TW","홀세일"))))</f>
        <v>HK</v>
      </c>
      <c r="B487" s="36" t="s">
        <v>764</v>
      </c>
      <c r="C487" s="37" t="s">
        <v>765</v>
      </c>
      <c r="D487" s="37" t="s">
        <v>123</v>
      </c>
      <c r="E487" s="36" t="n">
        <v>2026</v>
      </c>
      <c r="F487" s="37" t="s">
        <v>363</v>
      </c>
      <c r="G487" s="37" t="s">
        <v>124</v>
      </c>
      <c r="H487" s="36" t="s">
        <v>131</v>
      </c>
      <c r="I487" s="36" t="s">
        <v>442</v>
      </c>
      <c r="J487" s="37" t="s">
        <v>443</v>
      </c>
      <c r="K487" s="38" t="n">
        <v>200</v>
      </c>
      <c r="L487" s="38" t="n">
        <v>15800000</v>
      </c>
      <c r="M487" s="38" t="n">
        <v>4613800</v>
      </c>
      <c r="N487" s="39" t="n">
        <f aca="false">IF(A487="제외",0,IF(OR(N(L487)&lt;=0,N(M487)&gt;N(L487)),N(M487)/요약!$D$27,N(L487)))</f>
        <v>15800000</v>
      </c>
      <c r="O487" s="32" t="str">
        <f aca="false">IF(A487="제외","",IF(OR(N(L487)&lt;=0,N(M487)&gt;N(L487)),"택가보정(판매금액÷공급율)",""))</f>
        <v/>
      </c>
      <c r="P487" s="0" t="str">
        <f aca="false">IF(A487="HK","100",IF(A487="CN","200",IF(A487="TW","300",IF(ISNUMBER(SEARCH("태국",C487)),"500",IF(ISNUMBER(SEARCH("말레이",C487)),"600",IF(ISNUMBER(SEARCH("필리핀",C487)),"700",IF(ISNUMBER(SEARCH("인도네시아",C487)),"800",IF(ISNUMBER(SEARCH("크루즈",C487)),"810",IF(ISNUMBER(SEARCH("동물원",C487)),"830","")))))))))</f>
        <v>100</v>
      </c>
    </row>
    <row r="488" customFormat="false" ht="15" hidden="false" customHeight="false" outlineLevel="0" collapsed="false">
      <c r="A488" s="32" t="str">
        <f aca="false">IF(OR(TRIM(C488)="",SUBSTITUTE(C488," ","")="소계"),"제외",IF(ISNUMBER(SEARCH("홍콩",C488)),"HK",IF(ISNUMBER(SEARCH("상해",C488)),"CN",IF(ISNUMBER(SEARCH("대만",C488)),"TW","홀세일"))))</f>
        <v>HK</v>
      </c>
      <c r="B488" s="36" t="s">
        <v>764</v>
      </c>
      <c r="C488" s="37" t="s">
        <v>765</v>
      </c>
      <c r="D488" s="37" t="s">
        <v>123</v>
      </c>
      <c r="E488" s="36" t="n">
        <v>2026</v>
      </c>
      <c r="F488" s="37" t="s">
        <v>363</v>
      </c>
      <c r="G488" s="37" t="s">
        <v>124</v>
      </c>
      <c r="H488" s="36" t="s">
        <v>125</v>
      </c>
      <c r="I488" s="36" t="s">
        <v>446</v>
      </c>
      <c r="J488" s="37" t="s">
        <v>447</v>
      </c>
      <c r="K488" s="38" t="n">
        <v>200</v>
      </c>
      <c r="L488" s="38" t="n">
        <v>13800000</v>
      </c>
      <c r="M488" s="38" t="n">
        <v>4625200</v>
      </c>
      <c r="N488" s="39" t="n">
        <f aca="false">IF(A488="제외",0,IF(OR(N(L488)&lt;=0,N(M488)&gt;N(L488)),N(M488)/요약!$D$27,N(L488)))</f>
        <v>13800000</v>
      </c>
      <c r="O488" s="32" t="str">
        <f aca="false">IF(A488="제외","",IF(OR(N(L488)&lt;=0,N(M488)&gt;N(L488)),"택가보정(판매금액÷공급율)",""))</f>
        <v/>
      </c>
      <c r="P488" s="0" t="str">
        <f aca="false">IF(A488="HK","100",IF(A488="CN","200",IF(A488="TW","300",IF(ISNUMBER(SEARCH("태국",C488)),"500",IF(ISNUMBER(SEARCH("말레이",C488)),"600",IF(ISNUMBER(SEARCH("필리핀",C488)),"700",IF(ISNUMBER(SEARCH("인도네시아",C488)),"800",IF(ISNUMBER(SEARCH("크루즈",C488)),"810",IF(ISNUMBER(SEARCH("동물원",C488)),"830","")))))))))</f>
        <v>100</v>
      </c>
    </row>
    <row r="489" customFormat="false" ht="15" hidden="false" customHeight="false" outlineLevel="0" collapsed="false">
      <c r="A489" s="32" t="str">
        <f aca="false">IF(OR(TRIM(C489)="",SUBSTITUTE(C489," ","")="소계"),"제외",IF(ISNUMBER(SEARCH("홍콩",C489)),"HK",IF(ISNUMBER(SEARCH("상해",C489)),"CN",IF(ISNUMBER(SEARCH("대만",C489)),"TW","홀세일"))))</f>
        <v>HK</v>
      </c>
      <c r="B489" s="36" t="s">
        <v>764</v>
      </c>
      <c r="C489" s="37" t="s">
        <v>765</v>
      </c>
      <c r="D489" s="37" t="s">
        <v>123</v>
      </c>
      <c r="E489" s="36" t="n">
        <v>2026</v>
      </c>
      <c r="F489" s="37" t="s">
        <v>363</v>
      </c>
      <c r="G489" s="37" t="s">
        <v>124</v>
      </c>
      <c r="H489" s="36" t="s">
        <v>125</v>
      </c>
      <c r="I489" s="36" t="s">
        <v>448</v>
      </c>
      <c r="J489" s="37" t="s">
        <v>449</v>
      </c>
      <c r="K489" s="38" t="n">
        <v>70</v>
      </c>
      <c r="L489" s="38" t="n">
        <v>5530000</v>
      </c>
      <c r="M489" s="38" t="n">
        <v>1847300</v>
      </c>
      <c r="N489" s="39" t="n">
        <f aca="false">IF(A489="제외",0,IF(OR(N(L489)&lt;=0,N(M489)&gt;N(L489)),N(M489)/요약!$D$27,N(L489)))</f>
        <v>5530000</v>
      </c>
      <c r="O489" s="32" t="str">
        <f aca="false">IF(A489="제외","",IF(OR(N(L489)&lt;=0,N(M489)&gt;N(L489)),"택가보정(판매금액÷공급율)",""))</f>
        <v/>
      </c>
      <c r="P489" s="0" t="str">
        <f aca="false">IF(A489="HK","100",IF(A489="CN","200",IF(A489="TW","300",IF(ISNUMBER(SEARCH("태국",C489)),"500",IF(ISNUMBER(SEARCH("말레이",C489)),"600",IF(ISNUMBER(SEARCH("필리핀",C489)),"700",IF(ISNUMBER(SEARCH("인도네시아",C489)),"800",IF(ISNUMBER(SEARCH("크루즈",C489)),"810",IF(ISNUMBER(SEARCH("동물원",C489)),"830","")))))))))</f>
        <v>100</v>
      </c>
    </row>
    <row r="490" customFormat="false" ht="15" hidden="false" customHeight="false" outlineLevel="0" collapsed="false">
      <c r="A490" s="32" t="str">
        <f aca="false">IF(OR(TRIM(C490)="",SUBSTITUTE(C490," ","")="소계"),"제외",IF(ISNUMBER(SEARCH("홍콩",C490)),"HK",IF(ISNUMBER(SEARCH("상해",C490)),"CN",IF(ISNUMBER(SEARCH("대만",C490)),"TW","홀세일"))))</f>
        <v>HK</v>
      </c>
      <c r="B490" s="36" t="s">
        <v>764</v>
      </c>
      <c r="C490" s="37" t="s">
        <v>765</v>
      </c>
      <c r="D490" s="37" t="s">
        <v>123</v>
      </c>
      <c r="E490" s="36" t="n">
        <v>2026</v>
      </c>
      <c r="F490" s="37" t="s">
        <v>363</v>
      </c>
      <c r="G490" s="37" t="s">
        <v>124</v>
      </c>
      <c r="H490" s="36" t="s">
        <v>125</v>
      </c>
      <c r="I490" s="36" t="s">
        <v>450</v>
      </c>
      <c r="J490" s="37" t="s">
        <v>451</v>
      </c>
      <c r="K490" s="38" t="n">
        <v>280</v>
      </c>
      <c r="L490" s="38" t="n">
        <v>19320000</v>
      </c>
      <c r="M490" s="38" t="n">
        <v>6691720</v>
      </c>
      <c r="N490" s="39" t="n">
        <f aca="false">IF(A490="제외",0,IF(OR(N(L490)&lt;=0,N(M490)&gt;N(L490)),N(M490)/요약!$D$27,N(L490)))</f>
        <v>19320000</v>
      </c>
      <c r="O490" s="32" t="str">
        <f aca="false">IF(A490="제외","",IF(OR(N(L490)&lt;=0,N(M490)&gt;N(L490)),"택가보정(판매금액÷공급율)",""))</f>
        <v/>
      </c>
      <c r="P490" s="0" t="str">
        <f aca="false">IF(A490="HK","100",IF(A490="CN","200",IF(A490="TW","300",IF(ISNUMBER(SEARCH("태국",C490)),"500",IF(ISNUMBER(SEARCH("말레이",C490)),"600",IF(ISNUMBER(SEARCH("필리핀",C490)),"700",IF(ISNUMBER(SEARCH("인도네시아",C490)),"800",IF(ISNUMBER(SEARCH("크루즈",C490)),"810",IF(ISNUMBER(SEARCH("동물원",C490)),"830","")))))))))</f>
        <v>100</v>
      </c>
    </row>
    <row r="491" customFormat="false" ht="15" hidden="false" customHeight="false" outlineLevel="0" collapsed="false">
      <c r="A491" s="32" t="str">
        <f aca="false">IF(OR(TRIM(C491)="",SUBSTITUTE(C491," ","")="소계"),"제외",IF(ISNUMBER(SEARCH("홍콩",C491)),"HK",IF(ISNUMBER(SEARCH("상해",C491)),"CN",IF(ISNUMBER(SEARCH("대만",C491)),"TW","홀세일"))))</f>
        <v>HK</v>
      </c>
      <c r="B491" s="36" t="s">
        <v>764</v>
      </c>
      <c r="C491" s="37" t="s">
        <v>765</v>
      </c>
      <c r="D491" s="37" t="s">
        <v>123</v>
      </c>
      <c r="E491" s="36" t="n">
        <v>2026</v>
      </c>
      <c r="F491" s="37" t="s">
        <v>363</v>
      </c>
      <c r="G491" s="37" t="s">
        <v>124</v>
      </c>
      <c r="H491" s="36" t="s">
        <v>188</v>
      </c>
      <c r="I491" s="36" t="s">
        <v>892</v>
      </c>
      <c r="J491" s="36" t="s">
        <v>893</v>
      </c>
      <c r="K491" s="38" t="n">
        <v>90</v>
      </c>
      <c r="L491" s="38" t="n">
        <v>9810000</v>
      </c>
      <c r="M491" s="38" t="n">
        <v>3391290</v>
      </c>
      <c r="N491" s="39" t="n">
        <f aca="false">IF(A491="제외",0,IF(OR(N(L491)&lt;=0,N(M491)&gt;N(L491)),N(M491)/요약!$D$27,N(L491)))</f>
        <v>9810000</v>
      </c>
      <c r="O491" s="32" t="str">
        <f aca="false">IF(A491="제외","",IF(OR(N(L491)&lt;=0,N(M491)&gt;N(L491)),"택가보정(판매금액÷공급율)",""))</f>
        <v/>
      </c>
      <c r="P491" s="0" t="str">
        <f aca="false">IF(A491="HK","100",IF(A491="CN","200",IF(A491="TW","300",IF(ISNUMBER(SEARCH("태국",C491)),"500",IF(ISNUMBER(SEARCH("말레이",C491)),"600",IF(ISNUMBER(SEARCH("필리핀",C491)),"700",IF(ISNUMBER(SEARCH("인도네시아",C491)),"800",IF(ISNUMBER(SEARCH("크루즈",C491)),"810",IF(ISNUMBER(SEARCH("동물원",C491)),"830","")))))))))</f>
        <v>100</v>
      </c>
    </row>
    <row r="492" customFormat="false" ht="15" hidden="false" customHeight="false" outlineLevel="0" collapsed="false">
      <c r="A492" s="32" t="str">
        <f aca="false">IF(OR(TRIM(C492)="",SUBSTITUTE(C492," ","")="소계"),"제외",IF(ISNUMBER(SEARCH("홍콩",C492)),"HK",IF(ISNUMBER(SEARCH("상해",C492)),"CN",IF(ISNUMBER(SEARCH("대만",C492)),"TW","홀세일"))))</f>
        <v>HK</v>
      </c>
      <c r="B492" s="36" t="s">
        <v>764</v>
      </c>
      <c r="C492" s="37" t="s">
        <v>765</v>
      </c>
      <c r="D492" s="37" t="s">
        <v>123</v>
      </c>
      <c r="E492" s="36" t="n">
        <v>2026</v>
      </c>
      <c r="F492" s="37" t="s">
        <v>363</v>
      </c>
      <c r="G492" s="37" t="s">
        <v>124</v>
      </c>
      <c r="H492" s="36" t="s">
        <v>188</v>
      </c>
      <c r="I492" s="36" t="s">
        <v>454</v>
      </c>
      <c r="J492" s="36" t="s">
        <v>455</v>
      </c>
      <c r="K492" s="38" t="n">
        <v>160</v>
      </c>
      <c r="L492" s="38" t="n">
        <v>17440000</v>
      </c>
      <c r="M492" s="38" t="n">
        <v>6089440</v>
      </c>
      <c r="N492" s="39" t="n">
        <f aca="false">IF(A492="제외",0,IF(OR(N(L492)&lt;=0,N(M492)&gt;N(L492)),N(M492)/요약!$D$27,N(L492)))</f>
        <v>17440000</v>
      </c>
      <c r="O492" s="32" t="str">
        <f aca="false">IF(A492="제외","",IF(OR(N(L492)&lt;=0,N(M492)&gt;N(L492)),"택가보정(판매금액÷공급율)",""))</f>
        <v/>
      </c>
      <c r="P492" s="0" t="str">
        <f aca="false">IF(A492="HK","100",IF(A492="CN","200",IF(A492="TW","300",IF(ISNUMBER(SEARCH("태국",C492)),"500",IF(ISNUMBER(SEARCH("말레이",C492)),"600",IF(ISNUMBER(SEARCH("필리핀",C492)),"700",IF(ISNUMBER(SEARCH("인도네시아",C492)),"800",IF(ISNUMBER(SEARCH("크루즈",C492)),"810",IF(ISNUMBER(SEARCH("동물원",C492)),"830","")))))))))</f>
        <v>100</v>
      </c>
    </row>
    <row r="493" customFormat="false" ht="15" hidden="false" customHeight="false" outlineLevel="0" collapsed="false">
      <c r="A493" s="32" t="str">
        <f aca="false">IF(OR(TRIM(C493)="",SUBSTITUTE(C493," ","")="소계"),"제외",IF(ISNUMBER(SEARCH("홍콩",C493)),"HK",IF(ISNUMBER(SEARCH("상해",C493)),"CN",IF(ISNUMBER(SEARCH("대만",C493)),"TW","홀세일"))))</f>
        <v>HK</v>
      </c>
      <c r="B493" s="36" t="s">
        <v>764</v>
      </c>
      <c r="C493" s="37" t="s">
        <v>765</v>
      </c>
      <c r="D493" s="37" t="s">
        <v>123</v>
      </c>
      <c r="E493" s="36" t="n">
        <v>2026</v>
      </c>
      <c r="F493" s="37" t="s">
        <v>363</v>
      </c>
      <c r="G493" s="37" t="s">
        <v>124</v>
      </c>
      <c r="H493" s="36" t="s">
        <v>188</v>
      </c>
      <c r="I493" s="36" t="s">
        <v>456</v>
      </c>
      <c r="J493" s="36" t="s">
        <v>457</v>
      </c>
      <c r="K493" s="38" t="n">
        <v>90</v>
      </c>
      <c r="L493" s="38" t="n">
        <v>13410000</v>
      </c>
      <c r="M493" s="38" t="n">
        <v>4482000</v>
      </c>
      <c r="N493" s="39" t="n">
        <f aca="false">IF(A493="제외",0,IF(OR(N(L493)&lt;=0,N(M493)&gt;N(L493)),N(M493)/요약!$D$27,N(L493)))</f>
        <v>13410000</v>
      </c>
      <c r="O493" s="32" t="str">
        <f aca="false">IF(A493="제외","",IF(OR(N(L493)&lt;=0,N(M493)&gt;N(L493)),"택가보정(판매금액÷공급율)",""))</f>
        <v/>
      </c>
      <c r="P493" s="0" t="str">
        <f aca="false">IF(A493="HK","100",IF(A493="CN","200",IF(A493="TW","300",IF(ISNUMBER(SEARCH("태국",C493)),"500",IF(ISNUMBER(SEARCH("말레이",C493)),"600",IF(ISNUMBER(SEARCH("필리핀",C493)),"700",IF(ISNUMBER(SEARCH("인도네시아",C493)),"800",IF(ISNUMBER(SEARCH("크루즈",C493)),"810",IF(ISNUMBER(SEARCH("동물원",C493)),"830","")))))))))</f>
        <v>100</v>
      </c>
    </row>
    <row r="494" customFormat="false" ht="15" hidden="false" customHeight="false" outlineLevel="0" collapsed="false">
      <c r="A494" s="32" t="str">
        <f aca="false">IF(OR(TRIM(C494)="",SUBSTITUTE(C494," ","")="소계"),"제외",IF(ISNUMBER(SEARCH("홍콩",C494)),"HK",IF(ISNUMBER(SEARCH("상해",C494)),"CN",IF(ISNUMBER(SEARCH("대만",C494)),"TW","홀세일"))))</f>
        <v>HK</v>
      </c>
      <c r="B494" s="36" t="s">
        <v>764</v>
      </c>
      <c r="C494" s="37" t="s">
        <v>765</v>
      </c>
      <c r="D494" s="37" t="s">
        <v>123</v>
      </c>
      <c r="E494" s="36" t="n">
        <v>2026</v>
      </c>
      <c r="F494" s="37" t="s">
        <v>363</v>
      </c>
      <c r="G494" s="37" t="s">
        <v>124</v>
      </c>
      <c r="H494" s="36" t="s">
        <v>188</v>
      </c>
      <c r="I494" s="36" t="s">
        <v>458</v>
      </c>
      <c r="J494" s="36" t="s">
        <v>459</v>
      </c>
      <c r="K494" s="38" t="n">
        <v>90</v>
      </c>
      <c r="L494" s="38" t="n">
        <v>13410000</v>
      </c>
      <c r="M494" s="38" t="n">
        <v>4751730</v>
      </c>
      <c r="N494" s="39" t="n">
        <f aca="false">IF(A494="제외",0,IF(OR(N(L494)&lt;=0,N(M494)&gt;N(L494)),N(M494)/요약!$D$27,N(L494)))</f>
        <v>13410000</v>
      </c>
      <c r="O494" s="32" t="str">
        <f aca="false">IF(A494="제외","",IF(OR(N(L494)&lt;=0,N(M494)&gt;N(L494)),"택가보정(판매금액÷공급율)",""))</f>
        <v/>
      </c>
      <c r="P494" s="0" t="str">
        <f aca="false">IF(A494="HK","100",IF(A494="CN","200",IF(A494="TW","300",IF(ISNUMBER(SEARCH("태국",C494)),"500",IF(ISNUMBER(SEARCH("말레이",C494)),"600",IF(ISNUMBER(SEARCH("필리핀",C494)),"700",IF(ISNUMBER(SEARCH("인도네시아",C494)),"800",IF(ISNUMBER(SEARCH("크루즈",C494)),"810",IF(ISNUMBER(SEARCH("동물원",C494)),"830","")))))))))</f>
        <v>100</v>
      </c>
    </row>
    <row r="495" customFormat="false" ht="15" hidden="false" customHeight="false" outlineLevel="0" collapsed="false">
      <c r="A495" s="32" t="str">
        <f aca="false">IF(OR(TRIM(C495)="",SUBSTITUTE(C495," ","")="소계"),"제외",IF(ISNUMBER(SEARCH("홍콩",C495)),"HK",IF(ISNUMBER(SEARCH("상해",C495)),"CN",IF(ISNUMBER(SEARCH("대만",C495)),"TW","홀세일"))))</f>
        <v>HK</v>
      </c>
      <c r="B495" s="36" t="s">
        <v>764</v>
      </c>
      <c r="C495" s="37" t="s">
        <v>765</v>
      </c>
      <c r="D495" s="37" t="s">
        <v>123</v>
      </c>
      <c r="E495" s="36" t="n">
        <v>2026</v>
      </c>
      <c r="F495" s="37" t="s">
        <v>363</v>
      </c>
      <c r="G495" s="37" t="s">
        <v>124</v>
      </c>
      <c r="H495" s="36" t="s">
        <v>188</v>
      </c>
      <c r="I495" s="36" t="s">
        <v>894</v>
      </c>
      <c r="J495" s="36" t="s">
        <v>895</v>
      </c>
      <c r="K495" s="38" t="n">
        <v>70</v>
      </c>
      <c r="L495" s="38" t="n">
        <v>9730000</v>
      </c>
      <c r="M495" s="38" t="n">
        <v>3247650</v>
      </c>
      <c r="N495" s="39" t="n">
        <f aca="false">IF(A495="제외",0,IF(OR(N(L495)&lt;=0,N(M495)&gt;N(L495)),N(M495)/요약!$D$27,N(L495)))</f>
        <v>9730000</v>
      </c>
      <c r="O495" s="32" t="str">
        <f aca="false">IF(A495="제외","",IF(OR(N(L495)&lt;=0,N(M495)&gt;N(L495)),"택가보정(판매금액÷공급율)",""))</f>
        <v/>
      </c>
      <c r="P495" s="0" t="str">
        <f aca="false">IF(A495="HK","100",IF(A495="CN","200",IF(A495="TW","300",IF(ISNUMBER(SEARCH("태국",C495)),"500",IF(ISNUMBER(SEARCH("말레이",C495)),"600",IF(ISNUMBER(SEARCH("필리핀",C495)),"700",IF(ISNUMBER(SEARCH("인도네시아",C495)),"800",IF(ISNUMBER(SEARCH("크루즈",C495)),"810",IF(ISNUMBER(SEARCH("동물원",C495)),"830","")))))))))</f>
        <v>100</v>
      </c>
    </row>
    <row r="496" customFormat="false" ht="15" hidden="false" customHeight="false" outlineLevel="0" collapsed="false">
      <c r="A496" s="32" t="str">
        <f aca="false">IF(OR(TRIM(C496)="",SUBSTITUTE(C496," ","")="소계"),"제외",IF(ISNUMBER(SEARCH("홍콩",C496)),"HK",IF(ISNUMBER(SEARCH("상해",C496)),"CN",IF(ISNUMBER(SEARCH("대만",C496)),"TW","홀세일"))))</f>
        <v>HK</v>
      </c>
      <c r="B496" s="36" t="s">
        <v>764</v>
      </c>
      <c r="C496" s="37" t="s">
        <v>765</v>
      </c>
      <c r="D496" s="37" t="s">
        <v>123</v>
      </c>
      <c r="E496" s="36" t="n">
        <v>2026</v>
      </c>
      <c r="F496" s="37" t="s">
        <v>363</v>
      </c>
      <c r="G496" s="37" t="s">
        <v>124</v>
      </c>
      <c r="H496" s="36" t="s">
        <v>188</v>
      </c>
      <c r="I496" s="36" t="s">
        <v>464</v>
      </c>
      <c r="J496" s="36" t="s">
        <v>465</v>
      </c>
      <c r="K496" s="38" t="n">
        <v>180</v>
      </c>
      <c r="L496" s="38" t="n">
        <v>46620000</v>
      </c>
      <c r="M496" s="38" t="n">
        <v>16124580</v>
      </c>
      <c r="N496" s="39" t="n">
        <f aca="false">IF(A496="제외",0,IF(OR(N(L496)&lt;=0,N(M496)&gt;N(L496)),N(M496)/요약!$D$27,N(L496)))</f>
        <v>46620000</v>
      </c>
      <c r="O496" s="32" t="str">
        <f aca="false">IF(A496="제외","",IF(OR(N(L496)&lt;=0,N(M496)&gt;N(L496)),"택가보정(판매금액÷공급율)",""))</f>
        <v/>
      </c>
      <c r="P496" s="0" t="str">
        <f aca="false">IF(A496="HK","100",IF(A496="CN","200",IF(A496="TW","300",IF(ISNUMBER(SEARCH("태국",C496)),"500",IF(ISNUMBER(SEARCH("말레이",C496)),"600",IF(ISNUMBER(SEARCH("필리핀",C496)),"700",IF(ISNUMBER(SEARCH("인도네시아",C496)),"800",IF(ISNUMBER(SEARCH("크루즈",C496)),"810",IF(ISNUMBER(SEARCH("동물원",C496)),"830","")))))))))</f>
        <v>100</v>
      </c>
    </row>
    <row r="497" customFormat="false" ht="15" hidden="false" customHeight="false" outlineLevel="0" collapsed="false">
      <c r="A497" s="32" t="str">
        <f aca="false">IF(OR(TRIM(C497)="",SUBSTITUTE(C497," ","")="소계"),"제외",IF(ISNUMBER(SEARCH("홍콩",C497)),"HK",IF(ISNUMBER(SEARCH("상해",C497)),"CN",IF(ISNUMBER(SEARCH("대만",C497)),"TW","홀세일"))))</f>
        <v>HK</v>
      </c>
      <c r="B497" s="36" t="s">
        <v>764</v>
      </c>
      <c r="C497" s="37" t="s">
        <v>765</v>
      </c>
      <c r="D497" s="37" t="s">
        <v>123</v>
      </c>
      <c r="E497" s="36" t="n">
        <v>2026</v>
      </c>
      <c r="F497" s="37" t="s">
        <v>363</v>
      </c>
      <c r="G497" s="37" t="s">
        <v>124</v>
      </c>
      <c r="H497" s="36" t="s">
        <v>188</v>
      </c>
      <c r="I497" s="36" t="s">
        <v>896</v>
      </c>
      <c r="J497" s="36" t="s">
        <v>897</v>
      </c>
      <c r="K497" s="38" t="n">
        <v>160</v>
      </c>
      <c r="L497" s="38" t="n">
        <v>28640000</v>
      </c>
      <c r="M497" s="38" t="n">
        <v>10142720</v>
      </c>
      <c r="N497" s="39" t="n">
        <f aca="false">IF(A497="제외",0,IF(OR(N(L497)&lt;=0,N(M497)&gt;N(L497)),N(M497)/요약!$D$27,N(L497)))</f>
        <v>28640000</v>
      </c>
      <c r="O497" s="32" t="str">
        <f aca="false">IF(A497="제외","",IF(OR(N(L497)&lt;=0,N(M497)&gt;N(L497)),"택가보정(판매금액÷공급율)",""))</f>
        <v/>
      </c>
      <c r="P497" s="0" t="str">
        <f aca="false">IF(A497="HK","100",IF(A497="CN","200",IF(A497="TW","300",IF(ISNUMBER(SEARCH("태국",C497)),"500",IF(ISNUMBER(SEARCH("말레이",C497)),"600",IF(ISNUMBER(SEARCH("필리핀",C497)),"700",IF(ISNUMBER(SEARCH("인도네시아",C497)),"800",IF(ISNUMBER(SEARCH("크루즈",C497)),"810",IF(ISNUMBER(SEARCH("동물원",C497)),"830","")))))))))</f>
        <v>100</v>
      </c>
    </row>
    <row r="498" customFormat="false" ht="15" hidden="false" customHeight="false" outlineLevel="0" collapsed="false">
      <c r="A498" s="32" t="str">
        <f aca="false">IF(OR(TRIM(C498)="",SUBSTITUTE(C498," ","")="소계"),"제외",IF(ISNUMBER(SEARCH("홍콩",C498)),"HK",IF(ISNUMBER(SEARCH("상해",C498)),"CN",IF(ISNUMBER(SEARCH("대만",C498)),"TW","홀세일"))))</f>
        <v>HK</v>
      </c>
      <c r="B498" s="36" t="s">
        <v>764</v>
      </c>
      <c r="C498" s="37" t="s">
        <v>765</v>
      </c>
      <c r="D498" s="37" t="s">
        <v>123</v>
      </c>
      <c r="E498" s="36" t="n">
        <v>2026</v>
      </c>
      <c r="F498" s="37" t="s">
        <v>363</v>
      </c>
      <c r="G498" s="37" t="s">
        <v>124</v>
      </c>
      <c r="H498" s="36" t="s">
        <v>188</v>
      </c>
      <c r="I498" s="36" t="s">
        <v>466</v>
      </c>
      <c r="J498" s="36" t="s">
        <v>467</v>
      </c>
      <c r="K498" s="38" t="n">
        <v>180</v>
      </c>
      <c r="L498" s="38" t="n">
        <v>28620000</v>
      </c>
      <c r="M498" s="38" t="n">
        <v>9356400</v>
      </c>
      <c r="N498" s="39" t="n">
        <f aca="false">IF(A498="제외",0,IF(OR(N(L498)&lt;=0,N(M498)&gt;N(L498)),N(M498)/요약!$D$27,N(L498)))</f>
        <v>28620000</v>
      </c>
      <c r="O498" s="32" t="str">
        <f aca="false">IF(A498="제외","",IF(OR(N(L498)&lt;=0,N(M498)&gt;N(L498)),"택가보정(판매금액÷공급율)",""))</f>
        <v/>
      </c>
      <c r="P498" s="0" t="str">
        <f aca="false">IF(A498="HK","100",IF(A498="CN","200",IF(A498="TW","300",IF(ISNUMBER(SEARCH("태국",C498)),"500",IF(ISNUMBER(SEARCH("말레이",C498)),"600",IF(ISNUMBER(SEARCH("필리핀",C498)),"700",IF(ISNUMBER(SEARCH("인도네시아",C498)),"800",IF(ISNUMBER(SEARCH("크루즈",C498)),"810",IF(ISNUMBER(SEARCH("동물원",C498)),"830","")))))))))</f>
        <v>100</v>
      </c>
    </row>
    <row r="499" customFormat="false" ht="15" hidden="false" customHeight="false" outlineLevel="0" collapsed="false">
      <c r="A499" s="32" t="str">
        <f aca="false">IF(OR(TRIM(C499)="",SUBSTITUTE(C499," ","")="소계"),"제외",IF(ISNUMBER(SEARCH("홍콩",C499)),"HK",IF(ISNUMBER(SEARCH("상해",C499)),"CN",IF(ISNUMBER(SEARCH("대만",C499)),"TW","홀세일"))))</f>
        <v>HK</v>
      </c>
      <c r="B499" s="36" t="s">
        <v>764</v>
      </c>
      <c r="C499" s="37" t="s">
        <v>765</v>
      </c>
      <c r="D499" s="37" t="s">
        <v>123</v>
      </c>
      <c r="E499" s="36" t="n">
        <v>2026</v>
      </c>
      <c r="F499" s="37" t="s">
        <v>363</v>
      </c>
      <c r="G499" s="37" t="s">
        <v>124</v>
      </c>
      <c r="H499" s="36" t="s">
        <v>188</v>
      </c>
      <c r="I499" s="36" t="s">
        <v>468</v>
      </c>
      <c r="J499" s="36" t="s">
        <v>469</v>
      </c>
      <c r="K499" s="38" t="n">
        <v>100</v>
      </c>
      <c r="L499" s="38" t="n">
        <v>18900000</v>
      </c>
      <c r="M499" s="38" t="n">
        <v>6693700</v>
      </c>
      <c r="N499" s="39" t="n">
        <f aca="false">IF(A499="제외",0,IF(OR(N(L499)&lt;=0,N(M499)&gt;N(L499)),N(M499)/요약!$D$27,N(L499)))</f>
        <v>18900000</v>
      </c>
      <c r="O499" s="32" t="str">
        <f aca="false">IF(A499="제외","",IF(OR(N(L499)&lt;=0,N(M499)&gt;N(L499)),"택가보정(판매금액÷공급율)",""))</f>
        <v/>
      </c>
      <c r="P499" s="0" t="str">
        <f aca="false">IF(A499="HK","100",IF(A499="CN","200",IF(A499="TW","300",IF(ISNUMBER(SEARCH("태국",C499)),"500",IF(ISNUMBER(SEARCH("말레이",C499)),"600",IF(ISNUMBER(SEARCH("필리핀",C499)),"700",IF(ISNUMBER(SEARCH("인도네시아",C499)),"800",IF(ISNUMBER(SEARCH("크루즈",C499)),"810",IF(ISNUMBER(SEARCH("동물원",C499)),"830","")))))))))</f>
        <v>100</v>
      </c>
    </row>
    <row r="500" customFormat="false" ht="15" hidden="false" customHeight="false" outlineLevel="0" collapsed="false">
      <c r="A500" s="32" t="str">
        <f aca="false">IF(OR(TRIM(C500)="",SUBSTITUTE(C500," ","")="소계"),"제외",IF(ISNUMBER(SEARCH("홍콩",C500)),"HK",IF(ISNUMBER(SEARCH("상해",C500)),"CN",IF(ISNUMBER(SEARCH("대만",C500)),"TW","홀세일"))))</f>
        <v>HK</v>
      </c>
      <c r="B500" s="36" t="s">
        <v>764</v>
      </c>
      <c r="C500" s="37" t="s">
        <v>765</v>
      </c>
      <c r="D500" s="37" t="s">
        <v>123</v>
      </c>
      <c r="E500" s="36" t="n">
        <v>2026</v>
      </c>
      <c r="F500" s="37" t="s">
        <v>363</v>
      </c>
      <c r="G500" s="37" t="s">
        <v>124</v>
      </c>
      <c r="H500" s="36" t="s">
        <v>188</v>
      </c>
      <c r="I500" s="36" t="s">
        <v>470</v>
      </c>
      <c r="J500" s="36" t="s">
        <v>471</v>
      </c>
      <c r="K500" s="38" t="n">
        <v>180</v>
      </c>
      <c r="L500" s="38" t="n">
        <v>14220000</v>
      </c>
      <c r="M500" s="38" t="n">
        <v>4908780</v>
      </c>
      <c r="N500" s="39" t="n">
        <f aca="false">IF(A500="제외",0,IF(OR(N(L500)&lt;=0,N(M500)&gt;N(L500)),N(M500)/요약!$D$27,N(L500)))</f>
        <v>14220000</v>
      </c>
      <c r="O500" s="32" t="str">
        <f aca="false">IF(A500="제외","",IF(OR(N(L500)&lt;=0,N(M500)&gt;N(L500)),"택가보정(판매금액÷공급율)",""))</f>
        <v/>
      </c>
      <c r="P500" s="0" t="str">
        <f aca="false">IF(A500="HK","100",IF(A500="CN","200",IF(A500="TW","300",IF(ISNUMBER(SEARCH("태국",C500)),"500",IF(ISNUMBER(SEARCH("말레이",C500)),"600",IF(ISNUMBER(SEARCH("필리핀",C500)),"700",IF(ISNUMBER(SEARCH("인도네시아",C500)),"800",IF(ISNUMBER(SEARCH("크루즈",C500)),"810",IF(ISNUMBER(SEARCH("동물원",C500)),"830","")))))))))</f>
        <v>100</v>
      </c>
    </row>
    <row r="501" customFormat="false" ht="15" hidden="false" customHeight="false" outlineLevel="0" collapsed="false">
      <c r="A501" s="32" t="str">
        <f aca="false">IF(OR(TRIM(C501)="",SUBSTITUTE(C501," ","")="소계"),"제외",IF(ISNUMBER(SEARCH("홍콩",C501)),"HK",IF(ISNUMBER(SEARCH("상해",C501)),"CN",IF(ISNUMBER(SEARCH("대만",C501)),"TW","홀세일"))))</f>
        <v>HK</v>
      </c>
      <c r="B501" s="36" t="s">
        <v>764</v>
      </c>
      <c r="C501" s="37" t="s">
        <v>765</v>
      </c>
      <c r="D501" s="37" t="s">
        <v>123</v>
      </c>
      <c r="E501" s="36" t="n">
        <v>2026</v>
      </c>
      <c r="F501" s="37" t="s">
        <v>363</v>
      </c>
      <c r="G501" s="37" t="s">
        <v>124</v>
      </c>
      <c r="H501" s="36" t="s">
        <v>188</v>
      </c>
      <c r="I501" s="36" t="s">
        <v>898</v>
      </c>
      <c r="J501" s="36" t="s">
        <v>899</v>
      </c>
      <c r="K501" s="38" t="n">
        <v>200</v>
      </c>
      <c r="L501" s="38" t="n">
        <v>21800000</v>
      </c>
      <c r="M501" s="38" t="n">
        <v>7491200</v>
      </c>
      <c r="N501" s="39" t="n">
        <f aca="false">IF(A501="제외",0,IF(OR(N(L501)&lt;=0,N(M501)&gt;N(L501)),N(M501)/요약!$D$27,N(L501)))</f>
        <v>21800000</v>
      </c>
      <c r="O501" s="32" t="str">
        <f aca="false">IF(A501="제외","",IF(OR(N(L501)&lt;=0,N(M501)&gt;N(L501)),"택가보정(판매금액÷공급율)",""))</f>
        <v/>
      </c>
      <c r="P501" s="0" t="str">
        <f aca="false">IF(A501="HK","100",IF(A501="CN","200",IF(A501="TW","300",IF(ISNUMBER(SEARCH("태국",C501)),"500",IF(ISNUMBER(SEARCH("말레이",C501)),"600",IF(ISNUMBER(SEARCH("필리핀",C501)),"700",IF(ISNUMBER(SEARCH("인도네시아",C501)),"800",IF(ISNUMBER(SEARCH("크루즈",C501)),"810",IF(ISNUMBER(SEARCH("동물원",C501)),"830","")))))))))</f>
        <v>100</v>
      </c>
    </row>
    <row r="502" customFormat="false" ht="15" hidden="false" customHeight="false" outlineLevel="0" collapsed="false">
      <c r="A502" s="32" t="str">
        <f aca="false">IF(OR(TRIM(C502)="",SUBSTITUTE(C502," ","")="소계"),"제외",IF(ISNUMBER(SEARCH("홍콩",C502)),"HK",IF(ISNUMBER(SEARCH("상해",C502)),"CN",IF(ISNUMBER(SEARCH("대만",C502)),"TW","홀세일"))))</f>
        <v>HK</v>
      </c>
      <c r="B502" s="36" t="s">
        <v>764</v>
      </c>
      <c r="C502" s="37" t="s">
        <v>765</v>
      </c>
      <c r="D502" s="37" t="s">
        <v>123</v>
      </c>
      <c r="E502" s="36" t="n">
        <v>2026</v>
      </c>
      <c r="F502" s="37" t="s">
        <v>363</v>
      </c>
      <c r="G502" s="37" t="s">
        <v>124</v>
      </c>
      <c r="H502" s="36" t="s">
        <v>188</v>
      </c>
      <c r="I502" s="36" t="s">
        <v>900</v>
      </c>
      <c r="J502" s="36" t="s">
        <v>901</v>
      </c>
      <c r="K502" s="38" t="n">
        <v>200</v>
      </c>
      <c r="L502" s="38" t="n">
        <v>13800000</v>
      </c>
      <c r="M502" s="38" t="n">
        <v>4864600</v>
      </c>
      <c r="N502" s="39" t="n">
        <f aca="false">IF(A502="제외",0,IF(OR(N(L502)&lt;=0,N(M502)&gt;N(L502)),N(M502)/요약!$D$27,N(L502)))</f>
        <v>13800000</v>
      </c>
      <c r="O502" s="32" t="str">
        <f aca="false">IF(A502="제외","",IF(OR(N(L502)&lt;=0,N(M502)&gt;N(L502)),"택가보정(판매금액÷공급율)",""))</f>
        <v/>
      </c>
      <c r="P502" s="0" t="str">
        <f aca="false">IF(A502="HK","100",IF(A502="CN","200",IF(A502="TW","300",IF(ISNUMBER(SEARCH("태국",C502)),"500",IF(ISNUMBER(SEARCH("말레이",C502)),"600",IF(ISNUMBER(SEARCH("필리핀",C502)),"700",IF(ISNUMBER(SEARCH("인도네시아",C502)),"800",IF(ISNUMBER(SEARCH("크루즈",C502)),"810",IF(ISNUMBER(SEARCH("동물원",C502)),"830","")))))))))</f>
        <v>100</v>
      </c>
    </row>
    <row r="503" customFormat="false" ht="15" hidden="false" customHeight="false" outlineLevel="0" collapsed="false">
      <c r="A503" s="32" t="str">
        <f aca="false">IF(OR(TRIM(C503)="",SUBSTITUTE(C503," ","")="소계"),"제외",IF(ISNUMBER(SEARCH("홍콩",C503)),"HK",IF(ISNUMBER(SEARCH("상해",C503)),"CN",IF(ISNUMBER(SEARCH("대만",C503)),"TW","홀세일"))))</f>
        <v>HK</v>
      </c>
      <c r="B503" s="36" t="s">
        <v>764</v>
      </c>
      <c r="C503" s="37" t="s">
        <v>765</v>
      </c>
      <c r="D503" s="37" t="s">
        <v>123</v>
      </c>
      <c r="E503" s="36" t="n">
        <v>2026</v>
      </c>
      <c r="F503" s="37" t="s">
        <v>363</v>
      </c>
      <c r="G503" s="37" t="s">
        <v>124</v>
      </c>
      <c r="H503" s="36" t="s">
        <v>188</v>
      </c>
      <c r="I503" s="36" t="s">
        <v>472</v>
      </c>
      <c r="J503" s="36" t="s">
        <v>473</v>
      </c>
      <c r="K503" s="38" t="n">
        <v>350</v>
      </c>
      <c r="L503" s="38" t="n">
        <v>24150000</v>
      </c>
      <c r="M503" s="38" t="n">
        <v>7259700</v>
      </c>
      <c r="N503" s="39" t="n">
        <f aca="false">IF(A503="제외",0,IF(OR(N(L503)&lt;=0,N(M503)&gt;N(L503)),N(M503)/요약!$D$27,N(L503)))</f>
        <v>24150000</v>
      </c>
      <c r="O503" s="32" t="str">
        <f aca="false">IF(A503="제외","",IF(OR(N(L503)&lt;=0,N(M503)&gt;N(L503)),"택가보정(판매금액÷공급율)",""))</f>
        <v/>
      </c>
      <c r="P503" s="0" t="str">
        <f aca="false">IF(A503="HK","100",IF(A503="CN","200",IF(A503="TW","300",IF(ISNUMBER(SEARCH("태국",C503)),"500",IF(ISNUMBER(SEARCH("말레이",C503)),"600",IF(ISNUMBER(SEARCH("필리핀",C503)),"700",IF(ISNUMBER(SEARCH("인도네시아",C503)),"800",IF(ISNUMBER(SEARCH("크루즈",C503)),"810",IF(ISNUMBER(SEARCH("동물원",C503)),"830","")))))))))</f>
        <v>100</v>
      </c>
    </row>
    <row r="504" customFormat="false" ht="15" hidden="false" customHeight="false" outlineLevel="0" collapsed="false">
      <c r="A504" s="32" t="str">
        <f aca="false">IF(OR(TRIM(C504)="",SUBSTITUTE(C504," ","")="소계"),"제외",IF(ISNUMBER(SEARCH("홍콩",C504)),"HK",IF(ISNUMBER(SEARCH("상해",C504)),"CN",IF(ISNUMBER(SEARCH("대만",C504)),"TW","홀세일"))))</f>
        <v>HK</v>
      </c>
      <c r="B504" s="36" t="s">
        <v>764</v>
      </c>
      <c r="C504" s="37" t="s">
        <v>765</v>
      </c>
      <c r="D504" s="37" t="s">
        <v>123</v>
      </c>
      <c r="E504" s="36" t="n">
        <v>2026</v>
      </c>
      <c r="F504" s="37" t="s">
        <v>474</v>
      </c>
      <c r="G504" s="37" t="s">
        <v>102</v>
      </c>
      <c r="H504" s="36" t="s">
        <v>131</v>
      </c>
      <c r="I504" s="36" t="s">
        <v>475</v>
      </c>
      <c r="J504" s="37" t="s">
        <v>476</v>
      </c>
      <c r="K504" s="38" t="n">
        <v>120</v>
      </c>
      <c r="L504" s="38" t="n">
        <v>9480000</v>
      </c>
      <c r="M504" s="38" t="n">
        <v>3279600</v>
      </c>
      <c r="N504" s="39" t="n">
        <f aca="false">IF(A504="제외",0,IF(OR(N(L504)&lt;=0,N(M504)&gt;N(L504)),N(M504)/요약!$D$27,N(L504)))</f>
        <v>9480000</v>
      </c>
      <c r="O504" s="32" t="str">
        <f aca="false">IF(A504="제외","",IF(OR(N(L504)&lt;=0,N(M504)&gt;N(L504)),"택가보정(판매금액÷공급율)",""))</f>
        <v/>
      </c>
      <c r="P504" s="0" t="str">
        <f aca="false">IF(A504="HK","100",IF(A504="CN","200",IF(A504="TW","300",IF(ISNUMBER(SEARCH("태국",C504)),"500",IF(ISNUMBER(SEARCH("말레이",C504)),"600",IF(ISNUMBER(SEARCH("필리핀",C504)),"700",IF(ISNUMBER(SEARCH("인도네시아",C504)),"800",IF(ISNUMBER(SEARCH("크루즈",C504)),"810",IF(ISNUMBER(SEARCH("동물원",C504)),"830","")))))))))</f>
        <v>100</v>
      </c>
    </row>
    <row r="505" customFormat="false" ht="15" hidden="false" customHeight="false" outlineLevel="0" collapsed="false">
      <c r="A505" s="32" t="str">
        <f aca="false">IF(OR(TRIM(C505)="",SUBSTITUTE(C505," ","")="소계"),"제외",IF(ISNUMBER(SEARCH("홍콩",C505)),"HK",IF(ISNUMBER(SEARCH("상해",C505)),"CN",IF(ISNUMBER(SEARCH("대만",C505)),"TW","홀세일"))))</f>
        <v>HK</v>
      </c>
      <c r="B505" s="36" t="s">
        <v>764</v>
      </c>
      <c r="C505" s="37" t="s">
        <v>765</v>
      </c>
      <c r="D505" s="37" t="s">
        <v>123</v>
      </c>
      <c r="E505" s="36" t="n">
        <v>2026</v>
      </c>
      <c r="F505" s="37" t="s">
        <v>474</v>
      </c>
      <c r="G505" s="37" t="s">
        <v>124</v>
      </c>
      <c r="H505" s="36" t="s">
        <v>131</v>
      </c>
      <c r="I505" s="36" t="s">
        <v>902</v>
      </c>
      <c r="J505" s="37" t="s">
        <v>903</v>
      </c>
      <c r="K505" s="38" t="n">
        <v>220</v>
      </c>
      <c r="L505" s="38" t="n">
        <v>32780000</v>
      </c>
      <c r="M505" s="38" t="n">
        <v>10926740</v>
      </c>
      <c r="N505" s="39" t="n">
        <f aca="false">IF(A505="제외",0,IF(OR(N(L505)&lt;=0,N(M505)&gt;N(L505)),N(M505)/요약!$D$27,N(L505)))</f>
        <v>32780000</v>
      </c>
      <c r="O505" s="32" t="str">
        <f aca="false">IF(A505="제외","",IF(OR(N(L505)&lt;=0,N(M505)&gt;N(L505)),"택가보정(판매금액÷공급율)",""))</f>
        <v/>
      </c>
      <c r="P505" s="0" t="str">
        <f aca="false">IF(A505="HK","100",IF(A505="CN","200",IF(A505="TW","300",IF(ISNUMBER(SEARCH("태국",C505)),"500",IF(ISNUMBER(SEARCH("말레이",C505)),"600",IF(ISNUMBER(SEARCH("필리핀",C505)),"700",IF(ISNUMBER(SEARCH("인도네시아",C505)),"800",IF(ISNUMBER(SEARCH("크루즈",C505)),"810",IF(ISNUMBER(SEARCH("동물원",C505)),"830","")))))))))</f>
        <v>100</v>
      </c>
    </row>
    <row r="506" customFormat="false" ht="15" hidden="false" customHeight="false" outlineLevel="0" collapsed="false">
      <c r="A506" s="32" t="str">
        <f aca="false">IF(OR(TRIM(C506)="",SUBSTITUTE(C506," ","")="소계"),"제외",IF(ISNUMBER(SEARCH("홍콩",C506)),"HK",IF(ISNUMBER(SEARCH("상해",C506)),"CN",IF(ISNUMBER(SEARCH("대만",C506)),"TW","홀세일"))))</f>
        <v>HK</v>
      </c>
      <c r="B506" s="36" t="s">
        <v>764</v>
      </c>
      <c r="C506" s="37" t="s">
        <v>765</v>
      </c>
      <c r="D506" s="37" t="s">
        <v>123</v>
      </c>
      <c r="E506" s="36" t="n">
        <v>2026</v>
      </c>
      <c r="F506" s="37" t="s">
        <v>474</v>
      </c>
      <c r="G506" s="37" t="s">
        <v>124</v>
      </c>
      <c r="H506" s="36" t="s">
        <v>131</v>
      </c>
      <c r="I506" s="36" t="s">
        <v>904</v>
      </c>
      <c r="J506" s="37" t="s">
        <v>905</v>
      </c>
      <c r="K506" s="38" t="n">
        <v>180</v>
      </c>
      <c r="L506" s="38" t="n">
        <v>26820000</v>
      </c>
      <c r="M506" s="38" t="n">
        <v>9168660</v>
      </c>
      <c r="N506" s="39" t="n">
        <f aca="false">IF(A506="제외",0,IF(OR(N(L506)&lt;=0,N(M506)&gt;N(L506)),N(M506)/요약!$D$27,N(L506)))</f>
        <v>26820000</v>
      </c>
      <c r="O506" s="32" t="str">
        <f aca="false">IF(A506="제외","",IF(OR(N(L506)&lt;=0,N(M506)&gt;N(L506)),"택가보정(판매금액÷공급율)",""))</f>
        <v/>
      </c>
      <c r="P506" s="0" t="str">
        <f aca="false">IF(A506="HK","100",IF(A506="CN","200",IF(A506="TW","300",IF(ISNUMBER(SEARCH("태국",C506)),"500",IF(ISNUMBER(SEARCH("말레이",C506)),"600",IF(ISNUMBER(SEARCH("필리핀",C506)),"700",IF(ISNUMBER(SEARCH("인도네시아",C506)),"800",IF(ISNUMBER(SEARCH("크루즈",C506)),"810",IF(ISNUMBER(SEARCH("동물원",C506)),"830","")))))))))</f>
        <v>100</v>
      </c>
    </row>
    <row r="507" customFormat="false" ht="15" hidden="false" customHeight="false" outlineLevel="0" collapsed="false">
      <c r="A507" s="32" t="str">
        <f aca="false">IF(OR(TRIM(C507)="",SUBSTITUTE(C507," ","")="소계"),"제외",IF(ISNUMBER(SEARCH("홍콩",C507)),"HK",IF(ISNUMBER(SEARCH("상해",C507)),"CN",IF(ISNUMBER(SEARCH("대만",C507)),"TW","홀세일"))))</f>
        <v>HK</v>
      </c>
      <c r="B507" s="36" t="s">
        <v>764</v>
      </c>
      <c r="C507" s="37" t="s">
        <v>765</v>
      </c>
      <c r="D507" s="37" t="s">
        <v>123</v>
      </c>
      <c r="E507" s="36" t="n">
        <v>2026</v>
      </c>
      <c r="F507" s="37" t="s">
        <v>474</v>
      </c>
      <c r="G507" s="37" t="s">
        <v>124</v>
      </c>
      <c r="H507" s="36" t="s">
        <v>125</v>
      </c>
      <c r="I507" s="36" t="s">
        <v>906</v>
      </c>
      <c r="J507" s="36" t="s">
        <v>907</v>
      </c>
      <c r="K507" s="38" t="n">
        <v>200</v>
      </c>
      <c r="L507" s="38" t="n">
        <v>39800000</v>
      </c>
      <c r="M507" s="38" t="n">
        <v>13325400</v>
      </c>
      <c r="N507" s="39" t="n">
        <f aca="false">IF(A507="제외",0,IF(OR(N(L507)&lt;=0,N(M507)&gt;N(L507)),N(M507)/요약!$D$27,N(L507)))</f>
        <v>39800000</v>
      </c>
      <c r="O507" s="32" t="str">
        <f aca="false">IF(A507="제외","",IF(OR(N(L507)&lt;=0,N(M507)&gt;N(L507)),"택가보정(판매금액÷공급율)",""))</f>
        <v/>
      </c>
      <c r="P507" s="0" t="str">
        <f aca="false">IF(A507="HK","100",IF(A507="CN","200",IF(A507="TW","300",IF(ISNUMBER(SEARCH("태국",C507)),"500",IF(ISNUMBER(SEARCH("말레이",C507)),"600",IF(ISNUMBER(SEARCH("필리핀",C507)),"700",IF(ISNUMBER(SEARCH("인도네시아",C507)),"800",IF(ISNUMBER(SEARCH("크루즈",C507)),"810",IF(ISNUMBER(SEARCH("동물원",C507)),"830","")))))))))</f>
        <v>100</v>
      </c>
    </row>
    <row r="508" customFormat="false" ht="15" hidden="false" customHeight="false" outlineLevel="0" collapsed="false">
      <c r="A508" s="32" t="str">
        <f aca="false">IF(OR(TRIM(C508)="",SUBSTITUTE(C508," ","")="소계"),"제외",IF(ISNUMBER(SEARCH("홍콩",C508)),"HK",IF(ISNUMBER(SEARCH("상해",C508)),"CN",IF(ISNUMBER(SEARCH("대만",C508)),"TW","홀세일"))))</f>
        <v>HK</v>
      </c>
      <c r="B508" s="36" t="s">
        <v>764</v>
      </c>
      <c r="C508" s="37" t="s">
        <v>765</v>
      </c>
      <c r="D508" s="37" t="s">
        <v>123</v>
      </c>
      <c r="E508" s="36" t="n">
        <v>2026</v>
      </c>
      <c r="F508" s="37" t="s">
        <v>474</v>
      </c>
      <c r="G508" s="37" t="s">
        <v>124</v>
      </c>
      <c r="H508" s="36" t="s">
        <v>125</v>
      </c>
      <c r="I508" s="36" t="s">
        <v>481</v>
      </c>
      <c r="J508" s="37" t="s">
        <v>482</v>
      </c>
      <c r="K508" s="38" t="n">
        <v>220</v>
      </c>
      <c r="L508" s="38" t="n">
        <v>43780000</v>
      </c>
      <c r="M508" s="38" t="n">
        <v>14657940</v>
      </c>
      <c r="N508" s="39" t="n">
        <f aca="false">IF(A508="제외",0,IF(OR(N(L508)&lt;=0,N(M508)&gt;N(L508)),N(M508)/요약!$D$27,N(L508)))</f>
        <v>43780000</v>
      </c>
      <c r="O508" s="32" t="str">
        <f aca="false">IF(A508="제외","",IF(OR(N(L508)&lt;=0,N(M508)&gt;N(L508)),"택가보정(판매금액÷공급율)",""))</f>
        <v/>
      </c>
      <c r="P508" s="0" t="str">
        <f aca="false">IF(A508="HK","100",IF(A508="CN","200",IF(A508="TW","300",IF(ISNUMBER(SEARCH("태국",C508)),"500",IF(ISNUMBER(SEARCH("말레이",C508)),"600",IF(ISNUMBER(SEARCH("필리핀",C508)),"700",IF(ISNUMBER(SEARCH("인도네시아",C508)),"800",IF(ISNUMBER(SEARCH("크루즈",C508)),"810",IF(ISNUMBER(SEARCH("동물원",C508)),"830","")))))))))</f>
        <v>100</v>
      </c>
    </row>
    <row r="509" customFormat="false" ht="15" hidden="false" customHeight="false" outlineLevel="0" collapsed="false">
      <c r="A509" s="32" t="str">
        <f aca="false">IF(OR(TRIM(C509)="",SUBSTITUTE(C509," ","")="소계"),"제외",IF(ISNUMBER(SEARCH("홍콩",C509)),"HK",IF(ISNUMBER(SEARCH("상해",C509)),"CN",IF(ISNUMBER(SEARCH("대만",C509)),"TW","홀세일"))))</f>
        <v>HK</v>
      </c>
      <c r="B509" s="36" t="s">
        <v>764</v>
      </c>
      <c r="C509" s="37" t="s">
        <v>765</v>
      </c>
      <c r="D509" s="37" t="s">
        <v>123</v>
      </c>
      <c r="E509" s="36" t="n">
        <v>2026</v>
      </c>
      <c r="F509" s="37" t="s">
        <v>474</v>
      </c>
      <c r="G509" s="37" t="s">
        <v>124</v>
      </c>
      <c r="H509" s="36" t="s">
        <v>125</v>
      </c>
      <c r="I509" s="36" t="s">
        <v>908</v>
      </c>
      <c r="J509" s="37" t="s">
        <v>909</v>
      </c>
      <c r="K509" s="38" t="n">
        <v>280</v>
      </c>
      <c r="L509" s="38" t="n">
        <v>122920000</v>
      </c>
      <c r="M509" s="38" t="n">
        <v>41849920</v>
      </c>
      <c r="N509" s="39" t="n">
        <f aca="false">IF(A509="제외",0,IF(OR(N(L509)&lt;=0,N(M509)&gt;N(L509)),N(M509)/요약!$D$27,N(L509)))</f>
        <v>122920000</v>
      </c>
      <c r="O509" s="32" t="str">
        <f aca="false">IF(A509="제외","",IF(OR(N(L509)&lt;=0,N(M509)&gt;N(L509)),"택가보정(판매금액÷공급율)",""))</f>
        <v/>
      </c>
      <c r="P509" s="0" t="str">
        <f aca="false">IF(A509="HK","100",IF(A509="CN","200",IF(A509="TW","300",IF(ISNUMBER(SEARCH("태국",C509)),"500",IF(ISNUMBER(SEARCH("말레이",C509)),"600",IF(ISNUMBER(SEARCH("필리핀",C509)),"700",IF(ISNUMBER(SEARCH("인도네시아",C509)),"800",IF(ISNUMBER(SEARCH("크루즈",C509)),"810",IF(ISNUMBER(SEARCH("동물원",C509)),"830","")))))))))</f>
        <v>100</v>
      </c>
    </row>
    <row r="510" customFormat="false" ht="15" hidden="false" customHeight="false" outlineLevel="0" collapsed="false">
      <c r="A510" s="32" t="str">
        <f aca="false">IF(OR(TRIM(C510)="",SUBSTITUTE(C510," ","")="소계"),"제외",IF(ISNUMBER(SEARCH("홍콩",C510)),"HK",IF(ISNUMBER(SEARCH("상해",C510)),"CN",IF(ISNUMBER(SEARCH("대만",C510)),"TW","홀세일"))))</f>
        <v>HK</v>
      </c>
      <c r="B510" s="36" t="s">
        <v>764</v>
      </c>
      <c r="C510" s="37" t="s">
        <v>765</v>
      </c>
      <c r="D510" s="37" t="s">
        <v>123</v>
      </c>
      <c r="E510" s="36" t="n">
        <v>2026</v>
      </c>
      <c r="F510" s="37" t="s">
        <v>474</v>
      </c>
      <c r="G510" s="37" t="s">
        <v>124</v>
      </c>
      <c r="H510" s="36" t="s">
        <v>131</v>
      </c>
      <c r="I510" s="36" t="s">
        <v>483</v>
      </c>
      <c r="J510" s="36" t="s">
        <v>484</v>
      </c>
      <c r="K510" s="38" t="n">
        <v>140</v>
      </c>
      <c r="L510" s="38" t="n">
        <v>36260000</v>
      </c>
      <c r="M510" s="38" t="n">
        <v>12156200</v>
      </c>
      <c r="N510" s="39" t="n">
        <f aca="false">IF(A510="제외",0,IF(OR(N(L510)&lt;=0,N(M510)&gt;N(L510)),N(M510)/요약!$D$27,N(L510)))</f>
        <v>36260000</v>
      </c>
      <c r="O510" s="32" t="str">
        <f aca="false">IF(A510="제외","",IF(OR(N(L510)&lt;=0,N(M510)&gt;N(L510)),"택가보정(판매금액÷공급율)",""))</f>
        <v/>
      </c>
      <c r="P510" s="0" t="str">
        <f aca="false">IF(A510="HK","100",IF(A510="CN","200",IF(A510="TW","300",IF(ISNUMBER(SEARCH("태국",C510)),"500",IF(ISNUMBER(SEARCH("말레이",C510)),"600",IF(ISNUMBER(SEARCH("필리핀",C510)),"700",IF(ISNUMBER(SEARCH("인도네시아",C510)),"800",IF(ISNUMBER(SEARCH("크루즈",C510)),"810",IF(ISNUMBER(SEARCH("동물원",C510)),"830","")))))))))</f>
        <v>100</v>
      </c>
    </row>
    <row r="511" customFormat="false" ht="15" hidden="false" customHeight="false" outlineLevel="0" collapsed="false">
      <c r="A511" s="32" t="str">
        <f aca="false">IF(OR(TRIM(C511)="",SUBSTITUTE(C511," ","")="소계"),"제외",IF(ISNUMBER(SEARCH("홍콩",C511)),"HK",IF(ISNUMBER(SEARCH("상해",C511)),"CN",IF(ISNUMBER(SEARCH("대만",C511)),"TW","홀세일"))))</f>
        <v>HK</v>
      </c>
      <c r="B511" s="36" t="s">
        <v>764</v>
      </c>
      <c r="C511" s="37" t="s">
        <v>765</v>
      </c>
      <c r="D511" s="37" t="s">
        <v>123</v>
      </c>
      <c r="E511" s="36" t="n">
        <v>2026</v>
      </c>
      <c r="F511" s="37" t="s">
        <v>474</v>
      </c>
      <c r="G511" s="37" t="s">
        <v>124</v>
      </c>
      <c r="H511" s="36" t="s">
        <v>131</v>
      </c>
      <c r="I511" s="36" t="s">
        <v>910</v>
      </c>
      <c r="J511" s="36" t="s">
        <v>911</v>
      </c>
      <c r="K511" s="38" t="n">
        <v>50</v>
      </c>
      <c r="L511" s="38" t="n">
        <v>12950000</v>
      </c>
      <c r="M511" s="38" t="n">
        <v>4578700</v>
      </c>
      <c r="N511" s="39" t="n">
        <f aca="false">IF(A511="제외",0,IF(OR(N(L511)&lt;=0,N(M511)&gt;N(L511)),N(M511)/요약!$D$27,N(L511)))</f>
        <v>12950000</v>
      </c>
      <c r="O511" s="32" t="str">
        <f aca="false">IF(A511="제외","",IF(OR(N(L511)&lt;=0,N(M511)&gt;N(L511)),"택가보정(판매금액÷공급율)",""))</f>
        <v/>
      </c>
      <c r="P511" s="0" t="str">
        <f aca="false">IF(A511="HK","100",IF(A511="CN","200",IF(A511="TW","300",IF(ISNUMBER(SEARCH("태국",C511)),"500",IF(ISNUMBER(SEARCH("말레이",C511)),"600",IF(ISNUMBER(SEARCH("필리핀",C511)),"700",IF(ISNUMBER(SEARCH("인도네시아",C511)),"800",IF(ISNUMBER(SEARCH("크루즈",C511)),"810",IF(ISNUMBER(SEARCH("동물원",C511)),"830","")))))))))</f>
        <v>100</v>
      </c>
    </row>
    <row r="512" customFormat="false" ht="15" hidden="false" customHeight="false" outlineLevel="0" collapsed="false">
      <c r="A512" s="32" t="str">
        <f aca="false">IF(OR(TRIM(C512)="",SUBSTITUTE(C512," ","")="소계"),"제외",IF(ISNUMBER(SEARCH("홍콩",C512)),"HK",IF(ISNUMBER(SEARCH("상해",C512)),"CN",IF(ISNUMBER(SEARCH("대만",C512)),"TW","홀세일"))))</f>
        <v>HK</v>
      </c>
      <c r="B512" s="36" t="s">
        <v>764</v>
      </c>
      <c r="C512" s="37" t="s">
        <v>765</v>
      </c>
      <c r="D512" s="37" t="s">
        <v>123</v>
      </c>
      <c r="E512" s="36" t="n">
        <v>2026</v>
      </c>
      <c r="F512" s="37" t="s">
        <v>474</v>
      </c>
      <c r="G512" s="37" t="s">
        <v>124</v>
      </c>
      <c r="H512" s="36" t="s">
        <v>131</v>
      </c>
      <c r="I512" s="36" t="s">
        <v>912</v>
      </c>
      <c r="J512" s="36" t="s">
        <v>913</v>
      </c>
      <c r="K512" s="38" t="n">
        <v>115</v>
      </c>
      <c r="L512" s="38" t="n">
        <v>15985000</v>
      </c>
      <c r="M512" s="38" t="n">
        <v>5335425</v>
      </c>
      <c r="N512" s="39" t="n">
        <f aca="false">IF(A512="제외",0,IF(OR(N(L512)&lt;=0,N(M512)&gt;N(L512)),N(M512)/요약!$D$27,N(L512)))</f>
        <v>15985000</v>
      </c>
      <c r="O512" s="32" t="str">
        <f aca="false">IF(A512="제외","",IF(OR(N(L512)&lt;=0,N(M512)&gt;N(L512)),"택가보정(판매금액÷공급율)",""))</f>
        <v/>
      </c>
      <c r="P512" s="0" t="str">
        <f aca="false">IF(A512="HK","100",IF(A512="CN","200",IF(A512="TW","300",IF(ISNUMBER(SEARCH("태국",C512)),"500",IF(ISNUMBER(SEARCH("말레이",C512)),"600",IF(ISNUMBER(SEARCH("필리핀",C512)),"700",IF(ISNUMBER(SEARCH("인도네시아",C512)),"800",IF(ISNUMBER(SEARCH("크루즈",C512)),"810",IF(ISNUMBER(SEARCH("동물원",C512)),"830","")))))))))</f>
        <v>100</v>
      </c>
    </row>
    <row r="513" customFormat="false" ht="15" hidden="false" customHeight="false" outlineLevel="0" collapsed="false">
      <c r="A513" s="32" t="str">
        <f aca="false">IF(OR(TRIM(C513)="",SUBSTITUTE(C513," ","")="소계"),"제외",IF(ISNUMBER(SEARCH("홍콩",C513)),"HK",IF(ISNUMBER(SEARCH("상해",C513)),"CN",IF(ISNUMBER(SEARCH("대만",C513)),"TW","홀세일"))))</f>
        <v>HK</v>
      </c>
      <c r="B513" s="36" t="s">
        <v>764</v>
      </c>
      <c r="C513" s="37" t="s">
        <v>765</v>
      </c>
      <c r="D513" s="37" t="s">
        <v>123</v>
      </c>
      <c r="E513" s="36" t="n">
        <v>2026</v>
      </c>
      <c r="F513" s="37" t="s">
        <v>474</v>
      </c>
      <c r="G513" s="37" t="s">
        <v>124</v>
      </c>
      <c r="H513" s="36" t="s">
        <v>131</v>
      </c>
      <c r="I513" s="36" t="s">
        <v>487</v>
      </c>
      <c r="J513" s="36" t="s">
        <v>488</v>
      </c>
      <c r="K513" s="38" t="n">
        <v>70</v>
      </c>
      <c r="L513" s="38" t="n">
        <v>6930000</v>
      </c>
      <c r="M513" s="38" t="n">
        <v>2245040</v>
      </c>
      <c r="N513" s="39" t="n">
        <f aca="false">IF(A513="제외",0,IF(OR(N(L513)&lt;=0,N(M513)&gt;N(L513)),N(M513)/요약!$D$27,N(L513)))</f>
        <v>6930000</v>
      </c>
      <c r="O513" s="32" t="str">
        <f aca="false">IF(A513="제외","",IF(OR(N(L513)&lt;=0,N(M513)&gt;N(L513)),"택가보정(판매금액÷공급율)",""))</f>
        <v/>
      </c>
      <c r="P513" s="0" t="str">
        <f aca="false">IF(A513="HK","100",IF(A513="CN","200",IF(A513="TW","300",IF(ISNUMBER(SEARCH("태국",C513)),"500",IF(ISNUMBER(SEARCH("말레이",C513)),"600",IF(ISNUMBER(SEARCH("필리핀",C513)),"700",IF(ISNUMBER(SEARCH("인도네시아",C513)),"800",IF(ISNUMBER(SEARCH("크루즈",C513)),"810",IF(ISNUMBER(SEARCH("동물원",C513)),"830","")))))))))</f>
        <v>100</v>
      </c>
    </row>
    <row r="514" customFormat="false" ht="15" hidden="false" customHeight="false" outlineLevel="0" collapsed="false">
      <c r="A514" s="32" t="str">
        <f aca="false">IF(OR(TRIM(C514)="",SUBSTITUTE(C514," ","")="소계"),"제외",IF(ISNUMBER(SEARCH("홍콩",C514)),"HK",IF(ISNUMBER(SEARCH("상해",C514)),"CN",IF(ISNUMBER(SEARCH("대만",C514)),"TW","홀세일"))))</f>
        <v>HK</v>
      </c>
      <c r="B514" s="36" t="s">
        <v>764</v>
      </c>
      <c r="C514" s="37" t="s">
        <v>765</v>
      </c>
      <c r="D514" s="37" t="s">
        <v>123</v>
      </c>
      <c r="E514" s="36" t="n">
        <v>2026</v>
      </c>
      <c r="F514" s="37" t="s">
        <v>474</v>
      </c>
      <c r="G514" s="37" t="s">
        <v>124</v>
      </c>
      <c r="H514" s="36" t="s">
        <v>131</v>
      </c>
      <c r="I514" s="36" t="s">
        <v>489</v>
      </c>
      <c r="J514" s="37" t="s">
        <v>490</v>
      </c>
      <c r="K514" s="38" t="n">
        <v>280</v>
      </c>
      <c r="L514" s="38" t="n">
        <v>44520000</v>
      </c>
      <c r="M514" s="38" t="n">
        <v>14857640</v>
      </c>
      <c r="N514" s="39" t="n">
        <f aca="false">IF(A514="제외",0,IF(OR(N(L514)&lt;=0,N(M514)&gt;N(L514)),N(M514)/요약!$D$27,N(L514)))</f>
        <v>44520000</v>
      </c>
      <c r="O514" s="32" t="str">
        <f aca="false">IF(A514="제외","",IF(OR(N(L514)&lt;=0,N(M514)&gt;N(L514)),"택가보정(판매금액÷공급율)",""))</f>
        <v/>
      </c>
      <c r="P514" s="0" t="str">
        <f aca="false">IF(A514="HK","100",IF(A514="CN","200",IF(A514="TW","300",IF(ISNUMBER(SEARCH("태국",C514)),"500",IF(ISNUMBER(SEARCH("말레이",C514)),"600",IF(ISNUMBER(SEARCH("필리핀",C514)),"700",IF(ISNUMBER(SEARCH("인도네시아",C514)),"800",IF(ISNUMBER(SEARCH("크루즈",C514)),"810",IF(ISNUMBER(SEARCH("동물원",C514)),"830","")))))))))</f>
        <v>100</v>
      </c>
    </row>
    <row r="515" customFormat="false" ht="15" hidden="false" customHeight="false" outlineLevel="0" collapsed="false">
      <c r="A515" s="32" t="str">
        <f aca="false">IF(OR(TRIM(C515)="",SUBSTITUTE(C515," ","")="소계"),"제외",IF(ISNUMBER(SEARCH("홍콩",C515)),"HK",IF(ISNUMBER(SEARCH("상해",C515)),"CN",IF(ISNUMBER(SEARCH("대만",C515)),"TW","홀세일"))))</f>
        <v>HK</v>
      </c>
      <c r="B515" s="36" t="s">
        <v>764</v>
      </c>
      <c r="C515" s="37" t="s">
        <v>765</v>
      </c>
      <c r="D515" s="37" t="s">
        <v>123</v>
      </c>
      <c r="E515" s="36" t="n">
        <v>2026</v>
      </c>
      <c r="F515" s="37" t="s">
        <v>474</v>
      </c>
      <c r="G515" s="37" t="s">
        <v>124</v>
      </c>
      <c r="H515" s="36" t="s">
        <v>131</v>
      </c>
      <c r="I515" s="36" t="s">
        <v>491</v>
      </c>
      <c r="J515" s="37" t="s">
        <v>492</v>
      </c>
      <c r="K515" s="38" t="n">
        <v>240</v>
      </c>
      <c r="L515" s="38" t="n">
        <v>38160000</v>
      </c>
      <c r="M515" s="38" t="n">
        <v>12700080</v>
      </c>
      <c r="N515" s="39" t="n">
        <f aca="false">IF(A515="제외",0,IF(OR(N(L515)&lt;=0,N(M515)&gt;N(L515)),N(M515)/요약!$D$27,N(L515)))</f>
        <v>38160000</v>
      </c>
      <c r="O515" s="32" t="str">
        <f aca="false">IF(A515="제외","",IF(OR(N(L515)&lt;=0,N(M515)&gt;N(L515)),"택가보정(판매금액÷공급율)",""))</f>
        <v/>
      </c>
      <c r="P515" s="0" t="str">
        <f aca="false">IF(A515="HK","100",IF(A515="CN","200",IF(A515="TW","300",IF(ISNUMBER(SEARCH("태국",C515)),"500",IF(ISNUMBER(SEARCH("말레이",C515)),"600",IF(ISNUMBER(SEARCH("필리핀",C515)),"700",IF(ISNUMBER(SEARCH("인도네시아",C515)),"800",IF(ISNUMBER(SEARCH("크루즈",C515)),"810",IF(ISNUMBER(SEARCH("동물원",C515)),"830","")))))))))</f>
        <v>100</v>
      </c>
    </row>
    <row r="516" customFormat="false" ht="15" hidden="false" customHeight="false" outlineLevel="0" collapsed="false">
      <c r="A516" s="32" t="str">
        <f aca="false">IF(OR(TRIM(C516)="",SUBSTITUTE(C516," ","")="소계"),"제외",IF(ISNUMBER(SEARCH("홍콩",C516)),"HK",IF(ISNUMBER(SEARCH("상해",C516)),"CN",IF(ISNUMBER(SEARCH("대만",C516)),"TW","홀세일"))))</f>
        <v>HK</v>
      </c>
      <c r="B516" s="36" t="s">
        <v>764</v>
      </c>
      <c r="C516" s="37" t="s">
        <v>765</v>
      </c>
      <c r="D516" s="37" t="s">
        <v>123</v>
      </c>
      <c r="E516" s="36" t="n">
        <v>2026</v>
      </c>
      <c r="F516" s="37" t="s">
        <v>474</v>
      </c>
      <c r="G516" s="37" t="s">
        <v>124</v>
      </c>
      <c r="H516" s="36" t="s">
        <v>131</v>
      </c>
      <c r="I516" s="36" t="s">
        <v>914</v>
      </c>
      <c r="J516" s="37" t="s">
        <v>915</v>
      </c>
      <c r="K516" s="38" t="n">
        <v>120</v>
      </c>
      <c r="L516" s="38" t="n">
        <v>14280000</v>
      </c>
      <c r="M516" s="38" t="n">
        <v>4521720</v>
      </c>
      <c r="N516" s="39" t="n">
        <f aca="false">IF(A516="제외",0,IF(OR(N(L516)&lt;=0,N(M516)&gt;N(L516)),N(M516)/요약!$D$27,N(L516)))</f>
        <v>14280000</v>
      </c>
      <c r="O516" s="32" t="str">
        <f aca="false">IF(A516="제외","",IF(OR(N(L516)&lt;=0,N(M516)&gt;N(L516)),"택가보정(판매금액÷공급율)",""))</f>
        <v/>
      </c>
      <c r="P516" s="0" t="str">
        <f aca="false">IF(A516="HK","100",IF(A516="CN","200",IF(A516="TW","300",IF(ISNUMBER(SEARCH("태국",C516)),"500",IF(ISNUMBER(SEARCH("말레이",C516)),"600",IF(ISNUMBER(SEARCH("필리핀",C516)),"700",IF(ISNUMBER(SEARCH("인도네시아",C516)),"800",IF(ISNUMBER(SEARCH("크루즈",C516)),"810",IF(ISNUMBER(SEARCH("동물원",C516)),"830","")))))))))</f>
        <v>100</v>
      </c>
    </row>
    <row r="517" customFormat="false" ht="15" hidden="false" customHeight="false" outlineLevel="0" collapsed="false">
      <c r="A517" s="32" t="str">
        <f aca="false">IF(OR(TRIM(C517)="",SUBSTITUTE(C517," ","")="소계"),"제외",IF(ISNUMBER(SEARCH("홍콩",C517)),"HK",IF(ISNUMBER(SEARCH("상해",C517)),"CN",IF(ISNUMBER(SEARCH("대만",C517)),"TW","홀세일"))))</f>
        <v>HK</v>
      </c>
      <c r="B517" s="36" t="s">
        <v>764</v>
      </c>
      <c r="C517" s="37" t="s">
        <v>765</v>
      </c>
      <c r="D517" s="37" t="s">
        <v>123</v>
      </c>
      <c r="E517" s="36" t="n">
        <v>2026</v>
      </c>
      <c r="F517" s="37" t="s">
        <v>474</v>
      </c>
      <c r="G517" s="37" t="s">
        <v>124</v>
      </c>
      <c r="H517" s="36" t="s">
        <v>131</v>
      </c>
      <c r="I517" s="36" t="s">
        <v>916</v>
      </c>
      <c r="J517" s="37" t="s">
        <v>917</v>
      </c>
      <c r="K517" s="38" t="n">
        <v>180</v>
      </c>
      <c r="L517" s="38" t="n">
        <v>35820000</v>
      </c>
      <c r="M517" s="38" t="n">
        <v>10802700</v>
      </c>
      <c r="N517" s="39" t="n">
        <f aca="false">IF(A517="제외",0,IF(OR(N(L517)&lt;=0,N(M517)&gt;N(L517)),N(M517)/요약!$D$27,N(L517)))</f>
        <v>35820000</v>
      </c>
      <c r="O517" s="32" t="str">
        <f aca="false">IF(A517="제외","",IF(OR(N(L517)&lt;=0,N(M517)&gt;N(L517)),"택가보정(판매금액÷공급율)",""))</f>
        <v/>
      </c>
      <c r="P517" s="0" t="str">
        <f aca="false">IF(A517="HK","100",IF(A517="CN","200",IF(A517="TW","300",IF(ISNUMBER(SEARCH("태국",C517)),"500",IF(ISNUMBER(SEARCH("말레이",C517)),"600",IF(ISNUMBER(SEARCH("필리핀",C517)),"700",IF(ISNUMBER(SEARCH("인도네시아",C517)),"800",IF(ISNUMBER(SEARCH("크루즈",C517)),"810",IF(ISNUMBER(SEARCH("동물원",C517)),"830","")))))))))</f>
        <v>100</v>
      </c>
    </row>
    <row r="518" customFormat="false" ht="15" hidden="false" customHeight="false" outlineLevel="0" collapsed="false">
      <c r="A518" s="32" t="str">
        <f aca="false">IF(OR(TRIM(C518)="",SUBSTITUTE(C518," ","")="소계"),"제외",IF(ISNUMBER(SEARCH("홍콩",C518)),"HK",IF(ISNUMBER(SEARCH("상해",C518)),"CN",IF(ISNUMBER(SEARCH("대만",C518)),"TW","홀세일"))))</f>
        <v>HK</v>
      </c>
      <c r="B518" s="36" t="s">
        <v>764</v>
      </c>
      <c r="C518" s="37" t="s">
        <v>765</v>
      </c>
      <c r="D518" s="37" t="s">
        <v>123</v>
      </c>
      <c r="E518" s="36" t="n">
        <v>2026</v>
      </c>
      <c r="F518" s="37" t="s">
        <v>474</v>
      </c>
      <c r="G518" s="37" t="s">
        <v>124</v>
      </c>
      <c r="H518" s="36" t="s">
        <v>131</v>
      </c>
      <c r="I518" s="36" t="s">
        <v>493</v>
      </c>
      <c r="J518" s="37" t="s">
        <v>494</v>
      </c>
      <c r="K518" s="38" t="n">
        <v>210</v>
      </c>
      <c r="L518" s="38" t="n">
        <v>31290000</v>
      </c>
      <c r="M518" s="38" t="n">
        <v>10726590</v>
      </c>
      <c r="N518" s="39" t="n">
        <f aca="false">IF(A518="제외",0,IF(OR(N(L518)&lt;=0,N(M518)&gt;N(L518)),N(M518)/요약!$D$27,N(L518)))</f>
        <v>31290000</v>
      </c>
      <c r="O518" s="32" t="str">
        <f aca="false">IF(A518="제외","",IF(OR(N(L518)&lt;=0,N(M518)&gt;N(L518)),"택가보정(판매금액÷공급율)",""))</f>
        <v/>
      </c>
      <c r="P518" s="0" t="str">
        <f aca="false">IF(A518="HK","100",IF(A518="CN","200",IF(A518="TW","300",IF(ISNUMBER(SEARCH("태국",C518)),"500",IF(ISNUMBER(SEARCH("말레이",C518)),"600",IF(ISNUMBER(SEARCH("필리핀",C518)),"700",IF(ISNUMBER(SEARCH("인도네시아",C518)),"800",IF(ISNUMBER(SEARCH("크루즈",C518)),"810",IF(ISNUMBER(SEARCH("동물원",C518)),"830","")))))))))</f>
        <v>100</v>
      </c>
    </row>
    <row r="519" customFormat="false" ht="15" hidden="false" customHeight="false" outlineLevel="0" collapsed="false">
      <c r="A519" s="32" t="str">
        <f aca="false">IF(OR(TRIM(C519)="",SUBSTITUTE(C519," ","")="소계"),"제외",IF(ISNUMBER(SEARCH("홍콩",C519)),"HK",IF(ISNUMBER(SEARCH("상해",C519)),"CN",IF(ISNUMBER(SEARCH("대만",C519)),"TW","홀세일"))))</f>
        <v>HK</v>
      </c>
      <c r="B519" s="36" t="s">
        <v>764</v>
      </c>
      <c r="C519" s="37" t="s">
        <v>765</v>
      </c>
      <c r="D519" s="37" t="s">
        <v>123</v>
      </c>
      <c r="E519" s="36" t="n">
        <v>2026</v>
      </c>
      <c r="F519" s="37" t="s">
        <v>474</v>
      </c>
      <c r="G519" s="37" t="s">
        <v>124</v>
      </c>
      <c r="H519" s="36" t="s">
        <v>131</v>
      </c>
      <c r="I519" s="36" t="s">
        <v>497</v>
      </c>
      <c r="J519" s="37" t="s">
        <v>498</v>
      </c>
      <c r="K519" s="38" t="n">
        <v>340</v>
      </c>
      <c r="L519" s="38" t="n">
        <v>88060000</v>
      </c>
      <c r="M519" s="38" t="n">
        <v>24023040</v>
      </c>
      <c r="N519" s="39" t="n">
        <f aca="false">IF(A519="제외",0,IF(OR(N(L519)&lt;=0,N(M519)&gt;N(L519)),N(M519)/요약!$D$27,N(L519)))</f>
        <v>88060000</v>
      </c>
      <c r="O519" s="32" t="str">
        <f aca="false">IF(A519="제외","",IF(OR(N(L519)&lt;=0,N(M519)&gt;N(L519)),"택가보정(판매금액÷공급율)",""))</f>
        <v/>
      </c>
      <c r="P519" s="0" t="str">
        <f aca="false">IF(A519="HK","100",IF(A519="CN","200",IF(A519="TW","300",IF(ISNUMBER(SEARCH("태국",C519)),"500",IF(ISNUMBER(SEARCH("말레이",C519)),"600",IF(ISNUMBER(SEARCH("필리핀",C519)),"700",IF(ISNUMBER(SEARCH("인도네시아",C519)),"800",IF(ISNUMBER(SEARCH("크루즈",C519)),"810",IF(ISNUMBER(SEARCH("동물원",C519)),"830","")))))))))</f>
        <v>100</v>
      </c>
    </row>
    <row r="520" customFormat="false" ht="15" hidden="false" customHeight="false" outlineLevel="0" collapsed="false">
      <c r="A520" s="32" t="str">
        <f aca="false">IF(OR(TRIM(C520)="",SUBSTITUTE(C520," ","")="소계"),"제외",IF(ISNUMBER(SEARCH("홍콩",C520)),"HK",IF(ISNUMBER(SEARCH("상해",C520)),"CN",IF(ISNUMBER(SEARCH("대만",C520)),"TW","홀세일"))))</f>
        <v>HK</v>
      </c>
      <c r="B520" s="36" t="s">
        <v>764</v>
      </c>
      <c r="C520" s="37" t="s">
        <v>765</v>
      </c>
      <c r="D520" s="37" t="s">
        <v>123</v>
      </c>
      <c r="E520" s="36" t="n">
        <v>2026</v>
      </c>
      <c r="F520" s="37" t="s">
        <v>474</v>
      </c>
      <c r="G520" s="37" t="s">
        <v>124</v>
      </c>
      <c r="H520" s="36" t="s">
        <v>131</v>
      </c>
      <c r="I520" s="36" t="s">
        <v>499</v>
      </c>
      <c r="J520" s="37" t="s">
        <v>500</v>
      </c>
      <c r="K520" s="38" t="n">
        <v>200</v>
      </c>
      <c r="L520" s="38" t="n">
        <v>33800000</v>
      </c>
      <c r="M520" s="38" t="n">
        <v>12003000</v>
      </c>
      <c r="N520" s="39" t="n">
        <f aca="false">IF(A520="제외",0,IF(OR(N(L520)&lt;=0,N(M520)&gt;N(L520)),N(M520)/요약!$D$27,N(L520)))</f>
        <v>33800000</v>
      </c>
      <c r="O520" s="32" t="str">
        <f aca="false">IF(A520="제외","",IF(OR(N(L520)&lt;=0,N(M520)&gt;N(L520)),"택가보정(판매금액÷공급율)",""))</f>
        <v/>
      </c>
      <c r="P520" s="0" t="str">
        <f aca="false">IF(A520="HK","100",IF(A520="CN","200",IF(A520="TW","300",IF(ISNUMBER(SEARCH("태국",C520)),"500",IF(ISNUMBER(SEARCH("말레이",C520)),"600",IF(ISNUMBER(SEARCH("필리핀",C520)),"700",IF(ISNUMBER(SEARCH("인도네시아",C520)),"800",IF(ISNUMBER(SEARCH("크루즈",C520)),"810",IF(ISNUMBER(SEARCH("동물원",C520)),"830","")))))))))</f>
        <v>100</v>
      </c>
    </row>
    <row r="521" customFormat="false" ht="15" hidden="false" customHeight="false" outlineLevel="0" collapsed="false">
      <c r="A521" s="32" t="str">
        <f aca="false">IF(OR(TRIM(C521)="",SUBSTITUTE(C521," ","")="소계"),"제외",IF(ISNUMBER(SEARCH("홍콩",C521)),"HK",IF(ISNUMBER(SEARCH("상해",C521)),"CN",IF(ISNUMBER(SEARCH("대만",C521)),"TW","홀세일"))))</f>
        <v>HK</v>
      </c>
      <c r="B521" s="36" t="s">
        <v>764</v>
      </c>
      <c r="C521" s="37" t="s">
        <v>765</v>
      </c>
      <c r="D521" s="37" t="s">
        <v>123</v>
      </c>
      <c r="E521" s="36" t="n">
        <v>2026</v>
      </c>
      <c r="F521" s="37" t="s">
        <v>474</v>
      </c>
      <c r="G521" s="37" t="s">
        <v>124</v>
      </c>
      <c r="H521" s="36" t="s">
        <v>131</v>
      </c>
      <c r="I521" s="36" t="s">
        <v>501</v>
      </c>
      <c r="J521" s="37" t="s">
        <v>502</v>
      </c>
      <c r="K521" s="38" t="n">
        <v>270</v>
      </c>
      <c r="L521" s="38" t="n">
        <v>51030000</v>
      </c>
      <c r="M521" s="38" t="n">
        <v>18119430</v>
      </c>
      <c r="N521" s="39" t="n">
        <f aca="false">IF(A521="제외",0,IF(OR(N(L521)&lt;=0,N(M521)&gt;N(L521)),N(M521)/요약!$D$27,N(L521)))</f>
        <v>51030000</v>
      </c>
      <c r="O521" s="32" t="str">
        <f aca="false">IF(A521="제외","",IF(OR(N(L521)&lt;=0,N(M521)&gt;N(L521)),"택가보정(판매금액÷공급율)",""))</f>
        <v/>
      </c>
      <c r="P521" s="0" t="str">
        <f aca="false">IF(A521="HK","100",IF(A521="CN","200",IF(A521="TW","300",IF(ISNUMBER(SEARCH("태국",C521)),"500",IF(ISNUMBER(SEARCH("말레이",C521)),"600",IF(ISNUMBER(SEARCH("필리핀",C521)),"700",IF(ISNUMBER(SEARCH("인도네시아",C521)),"800",IF(ISNUMBER(SEARCH("크루즈",C521)),"810",IF(ISNUMBER(SEARCH("동물원",C521)),"830","")))))))))</f>
        <v>100</v>
      </c>
    </row>
    <row r="522" customFormat="false" ht="15" hidden="false" customHeight="false" outlineLevel="0" collapsed="false">
      <c r="A522" s="32" t="str">
        <f aca="false">IF(OR(TRIM(C522)="",SUBSTITUTE(C522," ","")="소계"),"제외",IF(ISNUMBER(SEARCH("홍콩",C522)),"HK",IF(ISNUMBER(SEARCH("상해",C522)),"CN",IF(ISNUMBER(SEARCH("대만",C522)),"TW","홀세일"))))</f>
        <v>HK</v>
      </c>
      <c r="B522" s="36" t="s">
        <v>764</v>
      </c>
      <c r="C522" s="37" t="s">
        <v>765</v>
      </c>
      <c r="D522" s="37" t="s">
        <v>123</v>
      </c>
      <c r="E522" s="36" t="n">
        <v>2026</v>
      </c>
      <c r="F522" s="37" t="s">
        <v>474</v>
      </c>
      <c r="G522" s="37" t="s">
        <v>124</v>
      </c>
      <c r="H522" s="36" t="s">
        <v>131</v>
      </c>
      <c r="I522" s="36" t="s">
        <v>918</v>
      </c>
      <c r="J522" s="37" t="s">
        <v>919</v>
      </c>
      <c r="K522" s="38" t="n">
        <v>420</v>
      </c>
      <c r="L522" s="38" t="n">
        <v>100380000</v>
      </c>
      <c r="M522" s="38" t="n">
        <v>30849420</v>
      </c>
      <c r="N522" s="39" t="n">
        <f aca="false">IF(A522="제외",0,IF(OR(N(L522)&lt;=0,N(M522)&gt;N(L522)),N(M522)/요약!$D$27,N(L522)))</f>
        <v>100380000</v>
      </c>
      <c r="O522" s="32" t="str">
        <f aca="false">IF(A522="제외","",IF(OR(N(L522)&lt;=0,N(M522)&gt;N(L522)),"택가보정(판매금액÷공급율)",""))</f>
        <v/>
      </c>
      <c r="P522" s="0" t="str">
        <f aca="false">IF(A522="HK","100",IF(A522="CN","200",IF(A522="TW","300",IF(ISNUMBER(SEARCH("태국",C522)),"500",IF(ISNUMBER(SEARCH("말레이",C522)),"600",IF(ISNUMBER(SEARCH("필리핀",C522)),"700",IF(ISNUMBER(SEARCH("인도네시아",C522)),"800",IF(ISNUMBER(SEARCH("크루즈",C522)),"810",IF(ISNUMBER(SEARCH("동물원",C522)),"830","")))))))))</f>
        <v>100</v>
      </c>
    </row>
    <row r="523" customFormat="false" ht="15" hidden="false" customHeight="false" outlineLevel="0" collapsed="false">
      <c r="A523" s="32" t="str">
        <f aca="false">IF(OR(TRIM(C523)="",SUBSTITUTE(C523," ","")="소계"),"제외",IF(ISNUMBER(SEARCH("홍콩",C523)),"HK",IF(ISNUMBER(SEARCH("상해",C523)),"CN",IF(ISNUMBER(SEARCH("대만",C523)),"TW","홀세일"))))</f>
        <v>HK</v>
      </c>
      <c r="B523" s="36" t="s">
        <v>764</v>
      </c>
      <c r="C523" s="37" t="s">
        <v>765</v>
      </c>
      <c r="D523" s="37" t="s">
        <v>123</v>
      </c>
      <c r="E523" s="36" t="n">
        <v>2026</v>
      </c>
      <c r="F523" s="37" t="s">
        <v>474</v>
      </c>
      <c r="G523" s="37" t="s">
        <v>124</v>
      </c>
      <c r="H523" s="36" t="s">
        <v>131</v>
      </c>
      <c r="I523" s="36" t="s">
        <v>920</v>
      </c>
      <c r="J523" s="37" t="s">
        <v>921</v>
      </c>
      <c r="K523" s="38" t="n">
        <v>194</v>
      </c>
      <c r="L523" s="38" t="n">
        <v>63826000</v>
      </c>
      <c r="M523" s="38" t="n">
        <v>19188346</v>
      </c>
      <c r="N523" s="39" t="n">
        <f aca="false">IF(A523="제외",0,IF(OR(N(L523)&lt;=0,N(M523)&gt;N(L523)),N(M523)/요약!$D$27,N(L523)))</f>
        <v>63826000</v>
      </c>
      <c r="O523" s="32" t="str">
        <f aca="false">IF(A523="제외","",IF(OR(N(L523)&lt;=0,N(M523)&gt;N(L523)),"택가보정(판매금액÷공급율)",""))</f>
        <v/>
      </c>
      <c r="P523" s="0" t="str">
        <f aca="false">IF(A523="HK","100",IF(A523="CN","200",IF(A523="TW","300",IF(ISNUMBER(SEARCH("태국",C523)),"500",IF(ISNUMBER(SEARCH("말레이",C523)),"600",IF(ISNUMBER(SEARCH("필리핀",C523)),"700",IF(ISNUMBER(SEARCH("인도네시아",C523)),"800",IF(ISNUMBER(SEARCH("크루즈",C523)),"810",IF(ISNUMBER(SEARCH("동물원",C523)),"830","")))))))))</f>
        <v>100</v>
      </c>
    </row>
    <row r="524" customFormat="false" ht="15" hidden="false" customHeight="false" outlineLevel="0" collapsed="false">
      <c r="A524" s="32" t="str">
        <f aca="false">IF(OR(TRIM(C524)="",SUBSTITUTE(C524," ","")="소계"),"제외",IF(ISNUMBER(SEARCH("홍콩",C524)),"HK",IF(ISNUMBER(SEARCH("상해",C524)),"CN",IF(ISNUMBER(SEARCH("대만",C524)),"TW","홀세일"))))</f>
        <v>HK</v>
      </c>
      <c r="B524" s="36" t="s">
        <v>764</v>
      </c>
      <c r="C524" s="37" t="s">
        <v>765</v>
      </c>
      <c r="D524" s="37" t="s">
        <v>123</v>
      </c>
      <c r="E524" s="36" t="n">
        <v>2026</v>
      </c>
      <c r="F524" s="37" t="s">
        <v>474</v>
      </c>
      <c r="G524" s="37" t="s">
        <v>124</v>
      </c>
      <c r="H524" s="36" t="s">
        <v>131</v>
      </c>
      <c r="I524" s="36" t="s">
        <v>503</v>
      </c>
      <c r="J524" s="37" t="s">
        <v>504</v>
      </c>
      <c r="K524" s="38" t="n">
        <v>280</v>
      </c>
      <c r="L524" s="38" t="n">
        <v>72520000</v>
      </c>
      <c r="M524" s="38" t="n">
        <v>23796080</v>
      </c>
      <c r="N524" s="39" t="n">
        <f aca="false">IF(A524="제외",0,IF(OR(N(L524)&lt;=0,N(M524)&gt;N(L524)),N(M524)/요약!$D$27,N(L524)))</f>
        <v>72520000</v>
      </c>
      <c r="O524" s="32" t="str">
        <f aca="false">IF(A524="제외","",IF(OR(N(L524)&lt;=0,N(M524)&gt;N(L524)),"택가보정(판매금액÷공급율)",""))</f>
        <v/>
      </c>
      <c r="P524" s="0" t="str">
        <f aca="false">IF(A524="HK","100",IF(A524="CN","200",IF(A524="TW","300",IF(ISNUMBER(SEARCH("태국",C524)),"500",IF(ISNUMBER(SEARCH("말레이",C524)),"600",IF(ISNUMBER(SEARCH("필리핀",C524)),"700",IF(ISNUMBER(SEARCH("인도네시아",C524)),"800",IF(ISNUMBER(SEARCH("크루즈",C524)),"810",IF(ISNUMBER(SEARCH("동물원",C524)),"830","")))))))))</f>
        <v>100</v>
      </c>
    </row>
    <row r="525" customFormat="false" ht="15" hidden="false" customHeight="false" outlineLevel="0" collapsed="false">
      <c r="A525" s="32" t="str">
        <f aca="false">IF(OR(TRIM(C525)="",SUBSTITUTE(C525," ","")="소계"),"제외",IF(ISNUMBER(SEARCH("홍콩",C525)),"HK",IF(ISNUMBER(SEARCH("상해",C525)),"CN",IF(ISNUMBER(SEARCH("대만",C525)),"TW","홀세일"))))</f>
        <v>HK</v>
      </c>
      <c r="B525" s="36" t="s">
        <v>764</v>
      </c>
      <c r="C525" s="37" t="s">
        <v>765</v>
      </c>
      <c r="D525" s="37" t="s">
        <v>123</v>
      </c>
      <c r="E525" s="36" t="n">
        <v>2026</v>
      </c>
      <c r="F525" s="37" t="s">
        <v>474</v>
      </c>
      <c r="G525" s="37" t="s">
        <v>124</v>
      </c>
      <c r="H525" s="36" t="s">
        <v>131</v>
      </c>
      <c r="I525" s="36" t="s">
        <v>505</v>
      </c>
      <c r="J525" s="37" t="s">
        <v>506</v>
      </c>
      <c r="K525" s="38" t="n">
        <v>310</v>
      </c>
      <c r="L525" s="38" t="n">
        <v>92690000</v>
      </c>
      <c r="M525" s="38" t="n">
        <v>31064790</v>
      </c>
      <c r="N525" s="39" t="n">
        <f aca="false">IF(A525="제외",0,IF(OR(N(L525)&lt;=0,N(M525)&gt;N(L525)),N(M525)/요약!$D$27,N(L525)))</f>
        <v>92690000</v>
      </c>
      <c r="O525" s="32" t="str">
        <f aca="false">IF(A525="제외","",IF(OR(N(L525)&lt;=0,N(M525)&gt;N(L525)),"택가보정(판매금액÷공급율)",""))</f>
        <v/>
      </c>
      <c r="P525" s="0" t="str">
        <f aca="false">IF(A525="HK","100",IF(A525="CN","200",IF(A525="TW","300",IF(ISNUMBER(SEARCH("태국",C525)),"500",IF(ISNUMBER(SEARCH("말레이",C525)),"600",IF(ISNUMBER(SEARCH("필리핀",C525)),"700",IF(ISNUMBER(SEARCH("인도네시아",C525)),"800",IF(ISNUMBER(SEARCH("크루즈",C525)),"810",IF(ISNUMBER(SEARCH("동물원",C525)),"830","")))))))))</f>
        <v>100</v>
      </c>
    </row>
    <row r="526" customFormat="false" ht="15" hidden="false" customHeight="false" outlineLevel="0" collapsed="false">
      <c r="A526" s="32" t="str">
        <f aca="false">IF(OR(TRIM(C526)="",SUBSTITUTE(C526," ","")="소계"),"제외",IF(ISNUMBER(SEARCH("홍콩",C526)),"HK",IF(ISNUMBER(SEARCH("상해",C526)),"CN",IF(ISNUMBER(SEARCH("대만",C526)),"TW","홀세일"))))</f>
        <v>HK</v>
      </c>
      <c r="B526" s="36" t="s">
        <v>764</v>
      </c>
      <c r="C526" s="37" t="s">
        <v>765</v>
      </c>
      <c r="D526" s="37" t="s">
        <v>123</v>
      </c>
      <c r="E526" s="36" t="n">
        <v>2026</v>
      </c>
      <c r="F526" s="37" t="s">
        <v>474</v>
      </c>
      <c r="G526" s="37" t="s">
        <v>124</v>
      </c>
      <c r="H526" s="36" t="s">
        <v>131</v>
      </c>
      <c r="I526" s="36" t="s">
        <v>922</v>
      </c>
      <c r="J526" s="37" t="s">
        <v>923</v>
      </c>
      <c r="K526" s="38" t="n">
        <v>100</v>
      </c>
      <c r="L526" s="38" t="n">
        <v>32900000</v>
      </c>
      <c r="M526" s="38" t="n">
        <v>11402500</v>
      </c>
      <c r="N526" s="39" t="n">
        <f aca="false">IF(A526="제외",0,IF(OR(N(L526)&lt;=0,N(M526)&gt;N(L526)),N(M526)/요약!$D$27,N(L526)))</f>
        <v>32900000</v>
      </c>
      <c r="O526" s="32" t="str">
        <f aca="false">IF(A526="제외","",IF(OR(N(L526)&lt;=0,N(M526)&gt;N(L526)),"택가보정(판매금액÷공급율)",""))</f>
        <v/>
      </c>
      <c r="P526" s="0" t="str">
        <f aca="false">IF(A526="HK","100",IF(A526="CN","200",IF(A526="TW","300",IF(ISNUMBER(SEARCH("태국",C526)),"500",IF(ISNUMBER(SEARCH("말레이",C526)),"600",IF(ISNUMBER(SEARCH("필리핀",C526)),"700",IF(ISNUMBER(SEARCH("인도네시아",C526)),"800",IF(ISNUMBER(SEARCH("크루즈",C526)),"810",IF(ISNUMBER(SEARCH("동물원",C526)),"830","")))))))))</f>
        <v>100</v>
      </c>
    </row>
    <row r="527" customFormat="false" ht="15" hidden="false" customHeight="false" outlineLevel="0" collapsed="false">
      <c r="A527" s="32" t="str">
        <f aca="false">IF(OR(TRIM(C527)="",SUBSTITUTE(C527," ","")="소계"),"제외",IF(ISNUMBER(SEARCH("홍콩",C527)),"HK",IF(ISNUMBER(SEARCH("상해",C527)),"CN",IF(ISNUMBER(SEARCH("대만",C527)),"TW","홀세일"))))</f>
        <v>HK</v>
      </c>
      <c r="B527" s="36" t="s">
        <v>764</v>
      </c>
      <c r="C527" s="37" t="s">
        <v>765</v>
      </c>
      <c r="D527" s="37" t="s">
        <v>123</v>
      </c>
      <c r="E527" s="36" t="n">
        <v>2026</v>
      </c>
      <c r="F527" s="37" t="s">
        <v>474</v>
      </c>
      <c r="G527" s="37" t="s">
        <v>124</v>
      </c>
      <c r="H527" s="36" t="s">
        <v>131</v>
      </c>
      <c r="I527" s="36" t="s">
        <v>507</v>
      </c>
      <c r="J527" s="37" t="s">
        <v>508</v>
      </c>
      <c r="K527" s="38" t="n">
        <v>100</v>
      </c>
      <c r="L527" s="38" t="n">
        <v>43900000</v>
      </c>
      <c r="M527" s="38" t="n">
        <v>13365600</v>
      </c>
      <c r="N527" s="39" t="n">
        <f aca="false">IF(A527="제외",0,IF(OR(N(L527)&lt;=0,N(M527)&gt;N(L527)),N(M527)/요약!$D$27,N(L527)))</f>
        <v>43900000</v>
      </c>
      <c r="O527" s="32" t="str">
        <f aca="false">IF(A527="제외","",IF(OR(N(L527)&lt;=0,N(M527)&gt;N(L527)),"택가보정(판매금액÷공급율)",""))</f>
        <v/>
      </c>
      <c r="P527" s="0" t="str">
        <f aca="false">IF(A527="HK","100",IF(A527="CN","200",IF(A527="TW","300",IF(ISNUMBER(SEARCH("태국",C527)),"500",IF(ISNUMBER(SEARCH("말레이",C527)),"600",IF(ISNUMBER(SEARCH("필리핀",C527)),"700",IF(ISNUMBER(SEARCH("인도네시아",C527)),"800",IF(ISNUMBER(SEARCH("크루즈",C527)),"810",IF(ISNUMBER(SEARCH("동물원",C527)),"830","")))))))))</f>
        <v>100</v>
      </c>
    </row>
    <row r="528" customFormat="false" ht="15" hidden="false" customHeight="false" outlineLevel="0" collapsed="false">
      <c r="A528" s="32" t="str">
        <f aca="false">IF(OR(TRIM(C528)="",SUBSTITUTE(C528," ","")="소계"),"제외",IF(ISNUMBER(SEARCH("홍콩",C528)),"HK",IF(ISNUMBER(SEARCH("상해",C528)),"CN",IF(ISNUMBER(SEARCH("대만",C528)),"TW","홀세일"))))</f>
        <v>HK</v>
      </c>
      <c r="B528" s="36" t="s">
        <v>764</v>
      </c>
      <c r="C528" s="37" t="s">
        <v>765</v>
      </c>
      <c r="D528" s="37" t="s">
        <v>123</v>
      </c>
      <c r="E528" s="36" t="n">
        <v>2026</v>
      </c>
      <c r="F528" s="37" t="s">
        <v>474</v>
      </c>
      <c r="G528" s="37" t="s">
        <v>124</v>
      </c>
      <c r="H528" s="36" t="s">
        <v>131</v>
      </c>
      <c r="I528" s="36" t="s">
        <v>509</v>
      </c>
      <c r="J528" s="37" t="s">
        <v>510</v>
      </c>
      <c r="K528" s="38" t="n">
        <v>186</v>
      </c>
      <c r="L528" s="38" t="n">
        <v>74214000</v>
      </c>
      <c r="M528" s="38" t="n">
        <v>22371522</v>
      </c>
      <c r="N528" s="39" t="n">
        <f aca="false">IF(A528="제외",0,IF(OR(N(L528)&lt;=0,N(M528)&gt;N(L528)),N(M528)/요약!$D$27,N(L528)))</f>
        <v>74214000</v>
      </c>
      <c r="O528" s="32" t="str">
        <f aca="false">IF(A528="제외","",IF(OR(N(L528)&lt;=0,N(M528)&gt;N(L528)),"택가보정(판매금액÷공급율)",""))</f>
        <v/>
      </c>
      <c r="P528" s="0" t="str">
        <f aca="false">IF(A528="HK","100",IF(A528="CN","200",IF(A528="TW","300",IF(ISNUMBER(SEARCH("태국",C528)),"500",IF(ISNUMBER(SEARCH("말레이",C528)),"600",IF(ISNUMBER(SEARCH("필리핀",C528)),"700",IF(ISNUMBER(SEARCH("인도네시아",C528)),"800",IF(ISNUMBER(SEARCH("크루즈",C528)),"810",IF(ISNUMBER(SEARCH("동물원",C528)),"830","")))))))))</f>
        <v>100</v>
      </c>
    </row>
    <row r="529" customFormat="false" ht="15" hidden="false" customHeight="false" outlineLevel="0" collapsed="false">
      <c r="A529" s="32" t="str">
        <f aca="false">IF(OR(TRIM(C529)="",SUBSTITUTE(C529," ","")="소계"),"제외",IF(ISNUMBER(SEARCH("홍콩",C529)),"HK",IF(ISNUMBER(SEARCH("상해",C529)),"CN",IF(ISNUMBER(SEARCH("대만",C529)),"TW","홀세일"))))</f>
        <v>HK</v>
      </c>
      <c r="B529" s="36" t="s">
        <v>764</v>
      </c>
      <c r="C529" s="37" t="s">
        <v>765</v>
      </c>
      <c r="D529" s="37" t="s">
        <v>123</v>
      </c>
      <c r="E529" s="36" t="n">
        <v>2026</v>
      </c>
      <c r="F529" s="37" t="s">
        <v>474</v>
      </c>
      <c r="G529" s="37" t="s">
        <v>124</v>
      </c>
      <c r="H529" s="36" t="s">
        <v>131</v>
      </c>
      <c r="I529" s="36" t="s">
        <v>924</v>
      </c>
      <c r="J529" s="37" t="s">
        <v>925</v>
      </c>
      <c r="K529" s="38" t="n">
        <v>240</v>
      </c>
      <c r="L529" s="38" t="n">
        <v>86160000</v>
      </c>
      <c r="M529" s="38" t="n">
        <v>28866480</v>
      </c>
      <c r="N529" s="39" t="n">
        <f aca="false">IF(A529="제외",0,IF(OR(N(L529)&lt;=0,N(M529)&gt;N(L529)),N(M529)/요약!$D$27,N(L529)))</f>
        <v>86160000</v>
      </c>
      <c r="O529" s="32" t="str">
        <f aca="false">IF(A529="제외","",IF(OR(N(L529)&lt;=0,N(M529)&gt;N(L529)),"택가보정(판매금액÷공급율)",""))</f>
        <v/>
      </c>
      <c r="P529" s="0" t="str">
        <f aca="false">IF(A529="HK","100",IF(A529="CN","200",IF(A529="TW","300",IF(ISNUMBER(SEARCH("태국",C529)),"500",IF(ISNUMBER(SEARCH("말레이",C529)),"600",IF(ISNUMBER(SEARCH("필리핀",C529)),"700",IF(ISNUMBER(SEARCH("인도네시아",C529)),"800",IF(ISNUMBER(SEARCH("크루즈",C529)),"810",IF(ISNUMBER(SEARCH("동물원",C529)),"830","")))))))))</f>
        <v>100</v>
      </c>
    </row>
    <row r="530" customFormat="false" ht="15" hidden="false" customHeight="false" outlineLevel="0" collapsed="false">
      <c r="A530" s="32" t="str">
        <f aca="false">IF(OR(TRIM(C530)="",SUBSTITUTE(C530," ","")="소계"),"제외",IF(ISNUMBER(SEARCH("홍콩",C530)),"HK",IF(ISNUMBER(SEARCH("상해",C530)),"CN",IF(ISNUMBER(SEARCH("대만",C530)),"TW","홀세일"))))</f>
        <v>HK</v>
      </c>
      <c r="B530" s="36" t="s">
        <v>764</v>
      </c>
      <c r="C530" s="37" t="s">
        <v>765</v>
      </c>
      <c r="D530" s="37" t="s">
        <v>123</v>
      </c>
      <c r="E530" s="36" t="n">
        <v>2026</v>
      </c>
      <c r="F530" s="37" t="s">
        <v>474</v>
      </c>
      <c r="G530" s="37" t="s">
        <v>124</v>
      </c>
      <c r="H530" s="36" t="s">
        <v>131</v>
      </c>
      <c r="I530" s="36" t="s">
        <v>515</v>
      </c>
      <c r="J530" s="37" t="s">
        <v>516</v>
      </c>
      <c r="K530" s="38" t="n">
        <v>360</v>
      </c>
      <c r="L530" s="38" t="n">
        <v>68040000</v>
      </c>
      <c r="M530" s="38" t="n">
        <v>22781880</v>
      </c>
      <c r="N530" s="39" t="n">
        <f aca="false">IF(A530="제외",0,IF(OR(N(L530)&lt;=0,N(M530)&gt;N(L530)),N(M530)/요약!$D$27,N(L530)))</f>
        <v>68040000</v>
      </c>
      <c r="O530" s="32" t="str">
        <f aca="false">IF(A530="제외","",IF(OR(N(L530)&lt;=0,N(M530)&gt;N(L530)),"택가보정(판매금액÷공급율)",""))</f>
        <v/>
      </c>
      <c r="P530" s="0" t="str">
        <f aca="false">IF(A530="HK","100",IF(A530="CN","200",IF(A530="TW","300",IF(ISNUMBER(SEARCH("태국",C530)),"500",IF(ISNUMBER(SEARCH("말레이",C530)),"600",IF(ISNUMBER(SEARCH("필리핀",C530)),"700",IF(ISNUMBER(SEARCH("인도네시아",C530)),"800",IF(ISNUMBER(SEARCH("크루즈",C530)),"810",IF(ISNUMBER(SEARCH("동물원",C530)),"830","")))))))))</f>
        <v>100</v>
      </c>
    </row>
    <row r="531" customFormat="false" ht="15" hidden="false" customHeight="false" outlineLevel="0" collapsed="false">
      <c r="A531" s="32" t="str">
        <f aca="false">IF(OR(TRIM(C531)="",SUBSTITUTE(C531," ","")="소계"),"제외",IF(ISNUMBER(SEARCH("홍콩",C531)),"HK",IF(ISNUMBER(SEARCH("상해",C531)),"CN",IF(ISNUMBER(SEARCH("대만",C531)),"TW","홀세일"))))</f>
        <v>HK</v>
      </c>
      <c r="B531" s="36" t="s">
        <v>764</v>
      </c>
      <c r="C531" s="37" t="s">
        <v>765</v>
      </c>
      <c r="D531" s="37" t="s">
        <v>123</v>
      </c>
      <c r="E531" s="36" t="n">
        <v>2026</v>
      </c>
      <c r="F531" s="37" t="s">
        <v>474</v>
      </c>
      <c r="G531" s="37" t="s">
        <v>124</v>
      </c>
      <c r="H531" s="36" t="s">
        <v>131</v>
      </c>
      <c r="I531" s="36" t="s">
        <v>517</v>
      </c>
      <c r="J531" s="37" t="s">
        <v>518</v>
      </c>
      <c r="K531" s="38" t="n">
        <v>110</v>
      </c>
      <c r="L531" s="38" t="n">
        <v>19690000</v>
      </c>
      <c r="M531" s="38" t="n">
        <v>6593180</v>
      </c>
      <c r="N531" s="39" t="n">
        <f aca="false">IF(A531="제외",0,IF(OR(N(L531)&lt;=0,N(M531)&gt;N(L531)),N(M531)/요약!$D$27,N(L531)))</f>
        <v>19690000</v>
      </c>
      <c r="O531" s="32" t="str">
        <f aca="false">IF(A531="제외","",IF(OR(N(L531)&lt;=0,N(M531)&gt;N(L531)),"택가보정(판매금액÷공급율)",""))</f>
        <v/>
      </c>
      <c r="P531" s="0" t="str">
        <f aca="false">IF(A531="HK","100",IF(A531="CN","200",IF(A531="TW","300",IF(ISNUMBER(SEARCH("태국",C531)),"500",IF(ISNUMBER(SEARCH("말레이",C531)),"600",IF(ISNUMBER(SEARCH("필리핀",C531)),"700",IF(ISNUMBER(SEARCH("인도네시아",C531)),"800",IF(ISNUMBER(SEARCH("크루즈",C531)),"810",IF(ISNUMBER(SEARCH("동물원",C531)),"830","")))))))))</f>
        <v>100</v>
      </c>
    </row>
    <row r="532" customFormat="false" ht="15" hidden="false" customHeight="false" outlineLevel="0" collapsed="false">
      <c r="A532" s="32" t="str">
        <f aca="false">IF(OR(TRIM(C532)="",SUBSTITUTE(C532," ","")="소계"),"제외",IF(ISNUMBER(SEARCH("홍콩",C532)),"HK",IF(ISNUMBER(SEARCH("상해",C532)),"CN",IF(ISNUMBER(SEARCH("대만",C532)),"TW","홀세일"))))</f>
        <v>HK</v>
      </c>
      <c r="B532" s="36" t="s">
        <v>764</v>
      </c>
      <c r="C532" s="37" t="s">
        <v>765</v>
      </c>
      <c r="D532" s="37" t="s">
        <v>123</v>
      </c>
      <c r="E532" s="36" t="n">
        <v>2026</v>
      </c>
      <c r="F532" s="37" t="s">
        <v>474</v>
      </c>
      <c r="G532" s="37" t="s">
        <v>124</v>
      </c>
      <c r="H532" s="36" t="s">
        <v>131</v>
      </c>
      <c r="I532" s="36" t="s">
        <v>926</v>
      </c>
      <c r="J532" s="37" t="s">
        <v>927</v>
      </c>
      <c r="K532" s="38" t="n">
        <v>240</v>
      </c>
      <c r="L532" s="38" t="n">
        <v>28560000</v>
      </c>
      <c r="M532" s="38" t="n">
        <v>10486320</v>
      </c>
      <c r="N532" s="39" t="n">
        <f aca="false">IF(A532="제외",0,IF(OR(N(L532)&lt;=0,N(M532)&gt;N(L532)),N(M532)/요약!$D$27,N(L532)))</f>
        <v>28560000</v>
      </c>
      <c r="O532" s="32" t="str">
        <f aca="false">IF(A532="제외","",IF(OR(N(L532)&lt;=0,N(M532)&gt;N(L532)),"택가보정(판매금액÷공급율)",""))</f>
        <v/>
      </c>
      <c r="P532" s="0" t="str">
        <f aca="false">IF(A532="HK","100",IF(A532="CN","200",IF(A532="TW","300",IF(ISNUMBER(SEARCH("태국",C532)),"500",IF(ISNUMBER(SEARCH("말레이",C532)),"600",IF(ISNUMBER(SEARCH("필리핀",C532)),"700",IF(ISNUMBER(SEARCH("인도네시아",C532)),"800",IF(ISNUMBER(SEARCH("크루즈",C532)),"810",IF(ISNUMBER(SEARCH("동물원",C532)),"830","")))))))))</f>
        <v>100</v>
      </c>
    </row>
    <row r="533" customFormat="false" ht="15" hidden="false" customHeight="false" outlineLevel="0" collapsed="false">
      <c r="A533" s="32" t="str">
        <f aca="false">IF(OR(TRIM(C533)="",SUBSTITUTE(C533," ","")="소계"),"제외",IF(ISNUMBER(SEARCH("홍콩",C533)),"HK",IF(ISNUMBER(SEARCH("상해",C533)),"CN",IF(ISNUMBER(SEARCH("대만",C533)),"TW","홀세일"))))</f>
        <v>HK</v>
      </c>
      <c r="B533" s="36" t="s">
        <v>764</v>
      </c>
      <c r="C533" s="37" t="s">
        <v>765</v>
      </c>
      <c r="D533" s="37" t="s">
        <v>123</v>
      </c>
      <c r="E533" s="36" t="n">
        <v>2026</v>
      </c>
      <c r="F533" s="37" t="s">
        <v>474</v>
      </c>
      <c r="G533" s="37" t="s">
        <v>124</v>
      </c>
      <c r="H533" s="36" t="s">
        <v>131</v>
      </c>
      <c r="I533" s="36" t="s">
        <v>521</v>
      </c>
      <c r="J533" s="37" t="s">
        <v>522</v>
      </c>
      <c r="K533" s="38" t="n">
        <v>360</v>
      </c>
      <c r="L533" s="38" t="n">
        <v>53640000</v>
      </c>
      <c r="M533" s="38" t="n">
        <v>17965440</v>
      </c>
      <c r="N533" s="39" t="n">
        <f aca="false">IF(A533="제외",0,IF(OR(N(L533)&lt;=0,N(M533)&gt;N(L533)),N(M533)/요약!$D$27,N(L533)))</f>
        <v>53640000</v>
      </c>
      <c r="O533" s="32" t="str">
        <f aca="false">IF(A533="제외","",IF(OR(N(L533)&lt;=0,N(M533)&gt;N(L533)),"택가보정(판매금액÷공급율)",""))</f>
        <v/>
      </c>
      <c r="P533" s="0" t="str">
        <f aca="false">IF(A533="HK","100",IF(A533="CN","200",IF(A533="TW","300",IF(ISNUMBER(SEARCH("태국",C533)),"500",IF(ISNUMBER(SEARCH("말레이",C533)),"600",IF(ISNUMBER(SEARCH("필리핀",C533)),"700",IF(ISNUMBER(SEARCH("인도네시아",C533)),"800",IF(ISNUMBER(SEARCH("크루즈",C533)),"810",IF(ISNUMBER(SEARCH("동물원",C533)),"830","")))))))))</f>
        <v>100</v>
      </c>
    </row>
    <row r="534" customFormat="false" ht="15" hidden="false" customHeight="false" outlineLevel="0" collapsed="false">
      <c r="A534" s="32" t="str">
        <f aca="false">IF(OR(TRIM(C534)="",SUBSTITUTE(C534," ","")="소계"),"제외",IF(ISNUMBER(SEARCH("홍콩",C534)),"HK",IF(ISNUMBER(SEARCH("상해",C534)),"CN",IF(ISNUMBER(SEARCH("대만",C534)),"TW","홀세일"))))</f>
        <v>HK</v>
      </c>
      <c r="B534" s="36" t="s">
        <v>764</v>
      </c>
      <c r="C534" s="37" t="s">
        <v>765</v>
      </c>
      <c r="D534" s="37" t="s">
        <v>123</v>
      </c>
      <c r="E534" s="36" t="n">
        <v>2026</v>
      </c>
      <c r="F534" s="37" t="s">
        <v>474</v>
      </c>
      <c r="G534" s="37" t="s">
        <v>124</v>
      </c>
      <c r="H534" s="36" t="s">
        <v>131</v>
      </c>
      <c r="I534" s="36" t="s">
        <v>928</v>
      </c>
      <c r="J534" s="37" t="s">
        <v>929</v>
      </c>
      <c r="K534" s="38" t="n">
        <v>240</v>
      </c>
      <c r="L534" s="38" t="n">
        <v>52560000</v>
      </c>
      <c r="M534" s="38" t="n">
        <v>16106160</v>
      </c>
      <c r="N534" s="39" t="n">
        <f aca="false">IF(A534="제외",0,IF(OR(N(L534)&lt;=0,N(M534)&gt;N(L534)),N(M534)/요약!$D$27,N(L534)))</f>
        <v>52560000</v>
      </c>
      <c r="O534" s="32" t="str">
        <f aca="false">IF(A534="제외","",IF(OR(N(L534)&lt;=0,N(M534)&gt;N(L534)),"택가보정(판매금액÷공급율)",""))</f>
        <v/>
      </c>
      <c r="P534" s="0" t="str">
        <f aca="false">IF(A534="HK","100",IF(A534="CN","200",IF(A534="TW","300",IF(ISNUMBER(SEARCH("태국",C534)),"500",IF(ISNUMBER(SEARCH("말레이",C534)),"600",IF(ISNUMBER(SEARCH("필리핀",C534)),"700",IF(ISNUMBER(SEARCH("인도네시아",C534)),"800",IF(ISNUMBER(SEARCH("크루즈",C534)),"810",IF(ISNUMBER(SEARCH("동물원",C534)),"830","")))))))))</f>
        <v>100</v>
      </c>
    </row>
    <row r="535" customFormat="false" ht="15" hidden="false" customHeight="false" outlineLevel="0" collapsed="false">
      <c r="A535" s="32" t="str">
        <f aca="false">IF(OR(TRIM(C535)="",SUBSTITUTE(C535," ","")="소계"),"제외",IF(ISNUMBER(SEARCH("홍콩",C535)),"HK",IF(ISNUMBER(SEARCH("상해",C535)),"CN",IF(ISNUMBER(SEARCH("대만",C535)),"TW","홀세일"))))</f>
        <v>HK</v>
      </c>
      <c r="B535" s="36" t="s">
        <v>764</v>
      </c>
      <c r="C535" s="37" t="s">
        <v>765</v>
      </c>
      <c r="D535" s="37" t="s">
        <v>123</v>
      </c>
      <c r="E535" s="36" t="n">
        <v>2026</v>
      </c>
      <c r="F535" s="37" t="s">
        <v>474</v>
      </c>
      <c r="G535" s="37" t="s">
        <v>124</v>
      </c>
      <c r="H535" s="36" t="s">
        <v>131</v>
      </c>
      <c r="I535" s="36" t="s">
        <v>527</v>
      </c>
      <c r="J535" s="37" t="s">
        <v>528</v>
      </c>
      <c r="K535" s="38" t="n">
        <v>130</v>
      </c>
      <c r="L535" s="38" t="n">
        <v>25870000</v>
      </c>
      <c r="M535" s="38" t="n">
        <v>8588328</v>
      </c>
      <c r="N535" s="39" t="n">
        <f aca="false">IF(A535="제외",0,IF(OR(N(L535)&lt;=0,N(M535)&gt;N(L535)),N(M535)/요약!$D$27,N(L535)))</f>
        <v>25870000</v>
      </c>
      <c r="O535" s="32" t="str">
        <f aca="false">IF(A535="제외","",IF(OR(N(L535)&lt;=0,N(M535)&gt;N(L535)),"택가보정(판매금액÷공급율)",""))</f>
        <v/>
      </c>
      <c r="P535" s="0" t="str">
        <f aca="false">IF(A535="HK","100",IF(A535="CN","200",IF(A535="TW","300",IF(ISNUMBER(SEARCH("태국",C535)),"500",IF(ISNUMBER(SEARCH("말레이",C535)),"600",IF(ISNUMBER(SEARCH("필리핀",C535)),"700",IF(ISNUMBER(SEARCH("인도네시아",C535)),"800",IF(ISNUMBER(SEARCH("크루즈",C535)),"810",IF(ISNUMBER(SEARCH("동물원",C535)),"830","")))))))))</f>
        <v>100</v>
      </c>
    </row>
    <row r="536" customFormat="false" ht="15" hidden="false" customHeight="false" outlineLevel="0" collapsed="false">
      <c r="A536" s="32" t="str">
        <f aca="false">IF(OR(TRIM(C536)="",SUBSTITUTE(C536," ","")="소계"),"제외",IF(ISNUMBER(SEARCH("홍콩",C536)),"HK",IF(ISNUMBER(SEARCH("상해",C536)),"CN",IF(ISNUMBER(SEARCH("대만",C536)),"TW","홀세일"))))</f>
        <v>HK</v>
      </c>
      <c r="B536" s="36" t="s">
        <v>764</v>
      </c>
      <c r="C536" s="37" t="s">
        <v>765</v>
      </c>
      <c r="D536" s="37" t="s">
        <v>123</v>
      </c>
      <c r="E536" s="36" t="n">
        <v>2026</v>
      </c>
      <c r="F536" s="37" t="s">
        <v>474</v>
      </c>
      <c r="G536" s="37" t="s">
        <v>124</v>
      </c>
      <c r="H536" s="36" t="s">
        <v>131</v>
      </c>
      <c r="I536" s="36" t="s">
        <v>930</v>
      </c>
      <c r="J536" s="37" t="s">
        <v>931</v>
      </c>
      <c r="K536" s="38" t="n">
        <v>285</v>
      </c>
      <c r="L536" s="38" t="n">
        <v>36765000</v>
      </c>
      <c r="M536" s="38" t="n">
        <v>12312855</v>
      </c>
      <c r="N536" s="39" t="n">
        <f aca="false">IF(A536="제외",0,IF(OR(N(L536)&lt;=0,N(M536)&gt;N(L536)),N(M536)/요약!$D$27,N(L536)))</f>
        <v>36765000</v>
      </c>
      <c r="O536" s="32" t="str">
        <f aca="false">IF(A536="제외","",IF(OR(N(L536)&lt;=0,N(M536)&gt;N(L536)),"택가보정(판매금액÷공급율)",""))</f>
        <v/>
      </c>
      <c r="P536" s="0" t="str">
        <f aca="false">IF(A536="HK","100",IF(A536="CN","200",IF(A536="TW","300",IF(ISNUMBER(SEARCH("태국",C536)),"500",IF(ISNUMBER(SEARCH("말레이",C536)),"600",IF(ISNUMBER(SEARCH("필리핀",C536)),"700",IF(ISNUMBER(SEARCH("인도네시아",C536)),"800",IF(ISNUMBER(SEARCH("크루즈",C536)),"810",IF(ISNUMBER(SEARCH("동물원",C536)),"830","")))))))))</f>
        <v>100</v>
      </c>
    </row>
    <row r="537" customFormat="false" ht="15" hidden="false" customHeight="false" outlineLevel="0" collapsed="false">
      <c r="A537" s="32" t="str">
        <f aca="false">IF(OR(TRIM(C537)="",SUBSTITUTE(C537," ","")="소계"),"제외",IF(ISNUMBER(SEARCH("홍콩",C537)),"HK",IF(ISNUMBER(SEARCH("상해",C537)),"CN",IF(ISNUMBER(SEARCH("대만",C537)),"TW","홀세일"))))</f>
        <v>HK</v>
      </c>
      <c r="B537" s="36" t="s">
        <v>764</v>
      </c>
      <c r="C537" s="37" t="s">
        <v>765</v>
      </c>
      <c r="D537" s="37" t="s">
        <v>123</v>
      </c>
      <c r="E537" s="36" t="n">
        <v>2026</v>
      </c>
      <c r="F537" s="37" t="s">
        <v>474</v>
      </c>
      <c r="G537" s="37" t="s">
        <v>124</v>
      </c>
      <c r="H537" s="36" t="s">
        <v>131</v>
      </c>
      <c r="I537" s="36" t="s">
        <v>533</v>
      </c>
      <c r="J537" s="37" t="s">
        <v>534</v>
      </c>
      <c r="K537" s="38" t="n">
        <v>500</v>
      </c>
      <c r="L537" s="38" t="n">
        <v>44500000</v>
      </c>
      <c r="M537" s="38" t="n">
        <v>14897500</v>
      </c>
      <c r="N537" s="39" t="n">
        <f aca="false">IF(A537="제외",0,IF(OR(N(L537)&lt;=0,N(M537)&gt;N(L537)),N(M537)/요약!$D$27,N(L537)))</f>
        <v>44500000</v>
      </c>
      <c r="O537" s="32" t="str">
        <f aca="false">IF(A537="제외","",IF(OR(N(L537)&lt;=0,N(M537)&gt;N(L537)),"택가보정(판매금액÷공급율)",""))</f>
        <v/>
      </c>
      <c r="P537" s="0" t="str">
        <f aca="false">IF(A537="HK","100",IF(A537="CN","200",IF(A537="TW","300",IF(ISNUMBER(SEARCH("태국",C537)),"500",IF(ISNUMBER(SEARCH("말레이",C537)),"600",IF(ISNUMBER(SEARCH("필리핀",C537)),"700",IF(ISNUMBER(SEARCH("인도네시아",C537)),"800",IF(ISNUMBER(SEARCH("크루즈",C537)),"810",IF(ISNUMBER(SEARCH("동물원",C537)),"830","")))))))))</f>
        <v>100</v>
      </c>
    </row>
    <row r="538" customFormat="false" ht="15" hidden="false" customHeight="false" outlineLevel="0" collapsed="false">
      <c r="A538" s="32" t="str">
        <f aca="false">IF(OR(TRIM(C538)="",SUBSTITUTE(C538," ","")="소계"),"제외",IF(ISNUMBER(SEARCH("홍콩",C538)),"HK",IF(ISNUMBER(SEARCH("상해",C538)),"CN",IF(ISNUMBER(SEARCH("대만",C538)),"TW","홀세일"))))</f>
        <v>HK</v>
      </c>
      <c r="B538" s="36" t="s">
        <v>764</v>
      </c>
      <c r="C538" s="37" t="s">
        <v>765</v>
      </c>
      <c r="D538" s="37" t="s">
        <v>123</v>
      </c>
      <c r="E538" s="36" t="n">
        <v>2026</v>
      </c>
      <c r="F538" s="37" t="s">
        <v>474</v>
      </c>
      <c r="G538" s="37" t="s">
        <v>124</v>
      </c>
      <c r="H538" s="36" t="s">
        <v>131</v>
      </c>
      <c r="I538" s="36" t="s">
        <v>932</v>
      </c>
      <c r="J538" s="37" t="s">
        <v>933</v>
      </c>
      <c r="K538" s="38" t="n">
        <v>310</v>
      </c>
      <c r="L538" s="38" t="n">
        <v>33790000</v>
      </c>
      <c r="M538" s="38" t="n">
        <v>11296400</v>
      </c>
      <c r="N538" s="39" t="n">
        <f aca="false">IF(A538="제외",0,IF(OR(N(L538)&lt;=0,N(M538)&gt;N(L538)),N(M538)/요약!$D$27,N(L538)))</f>
        <v>33790000</v>
      </c>
      <c r="O538" s="32" t="str">
        <f aca="false">IF(A538="제외","",IF(OR(N(L538)&lt;=0,N(M538)&gt;N(L538)),"택가보정(판매금액÷공급율)",""))</f>
        <v/>
      </c>
      <c r="P538" s="0" t="str">
        <f aca="false">IF(A538="HK","100",IF(A538="CN","200",IF(A538="TW","300",IF(ISNUMBER(SEARCH("태국",C538)),"500",IF(ISNUMBER(SEARCH("말레이",C538)),"600",IF(ISNUMBER(SEARCH("필리핀",C538)),"700",IF(ISNUMBER(SEARCH("인도네시아",C538)),"800",IF(ISNUMBER(SEARCH("크루즈",C538)),"810",IF(ISNUMBER(SEARCH("동물원",C538)),"830","")))))))))</f>
        <v>100</v>
      </c>
    </row>
    <row r="539" customFormat="false" ht="15" hidden="false" customHeight="false" outlineLevel="0" collapsed="false">
      <c r="A539" s="32" t="str">
        <f aca="false">IF(OR(TRIM(C539)="",SUBSTITUTE(C539," ","")="소계"),"제외",IF(ISNUMBER(SEARCH("홍콩",C539)),"HK",IF(ISNUMBER(SEARCH("상해",C539)),"CN",IF(ISNUMBER(SEARCH("대만",C539)),"TW","홀세일"))))</f>
        <v>HK</v>
      </c>
      <c r="B539" s="36" t="s">
        <v>764</v>
      </c>
      <c r="C539" s="37" t="s">
        <v>765</v>
      </c>
      <c r="D539" s="37" t="s">
        <v>123</v>
      </c>
      <c r="E539" s="36" t="n">
        <v>2026</v>
      </c>
      <c r="F539" s="37" t="s">
        <v>474</v>
      </c>
      <c r="G539" s="37" t="s">
        <v>124</v>
      </c>
      <c r="H539" s="36" t="s">
        <v>131</v>
      </c>
      <c r="I539" s="36" t="s">
        <v>535</v>
      </c>
      <c r="J539" s="37" t="s">
        <v>536</v>
      </c>
      <c r="K539" s="38" t="n">
        <v>100</v>
      </c>
      <c r="L539" s="38" t="n">
        <v>14900000</v>
      </c>
      <c r="M539" s="38" t="n">
        <v>4966300</v>
      </c>
      <c r="N539" s="39" t="n">
        <f aca="false">IF(A539="제외",0,IF(OR(N(L539)&lt;=0,N(M539)&gt;N(L539)),N(M539)/요약!$D$27,N(L539)))</f>
        <v>14900000</v>
      </c>
      <c r="O539" s="32" t="str">
        <f aca="false">IF(A539="제외","",IF(OR(N(L539)&lt;=0,N(M539)&gt;N(L539)),"택가보정(판매금액÷공급율)",""))</f>
        <v/>
      </c>
      <c r="P539" s="0" t="str">
        <f aca="false">IF(A539="HK","100",IF(A539="CN","200",IF(A539="TW","300",IF(ISNUMBER(SEARCH("태국",C539)),"500",IF(ISNUMBER(SEARCH("말레이",C539)),"600",IF(ISNUMBER(SEARCH("필리핀",C539)),"700",IF(ISNUMBER(SEARCH("인도네시아",C539)),"800",IF(ISNUMBER(SEARCH("크루즈",C539)),"810",IF(ISNUMBER(SEARCH("동물원",C539)),"830","")))))))))</f>
        <v>100</v>
      </c>
    </row>
    <row r="540" customFormat="false" ht="15" hidden="false" customHeight="false" outlineLevel="0" collapsed="false">
      <c r="A540" s="32" t="str">
        <f aca="false">IF(OR(TRIM(C540)="",SUBSTITUTE(C540," ","")="소계"),"제외",IF(ISNUMBER(SEARCH("홍콩",C540)),"HK",IF(ISNUMBER(SEARCH("상해",C540)),"CN",IF(ISNUMBER(SEARCH("대만",C540)),"TW","홀세일"))))</f>
        <v>HK</v>
      </c>
      <c r="B540" s="36" t="s">
        <v>764</v>
      </c>
      <c r="C540" s="37" t="s">
        <v>765</v>
      </c>
      <c r="D540" s="37" t="s">
        <v>123</v>
      </c>
      <c r="E540" s="36" t="n">
        <v>2026</v>
      </c>
      <c r="F540" s="37" t="s">
        <v>474</v>
      </c>
      <c r="G540" s="37" t="s">
        <v>360</v>
      </c>
      <c r="H540" s="36" t="s">
        <v>131</v>
      </c>
      <c r="I540" s="36" t="s">
        <v>539</v>
      </c>
      <c r="J540" s="37" t="s">
        <v>540</v>
      </c>
      <c r="K540" s="38" t="n">
        <v>180</v>
      </c>
      <c r="L540" s="38" t="n">
        <v>17820000</v>
      </c>
      <c r="M540" s="38" t="n">
        <v>6385320</v>
      </c>
      <c r="N540" s="39" t="n">
        <f aca="false">IF(A540="제외",0,IF(OR(N(L540)&lt;=0,N(M540)&gt;N(L540)),N(M540)/요약!$D$27,N(L540)))</f>
        <v>17820000</v>
      </c>
      <c r="O540" s="32" t="str">
        <f aca="false">IF(A540="제외","",IF(OR(N(L540)&lt;=0,N(M540)&gt;N(L540)),"택가보정(판매금액÷공급율)",""))</f>
        <v/>
      </c>
      <c r="P540" s="0" t="str">
        <f aca="false">IF(A540="HK","100",IF(A540="CN","200",IF(A540="TW","300",IF(ISNUMBER(SEARCH("태국",C540)),"500",IF(ISNUMBER(SEARCH("말레이",C540)),"600",IF(ISNUMBER(SEARCH("필리핀",C540)),"700",IF(ISNUMBER(SEARCH("인도네시아",C540)),"800",IF(ISNUMBER(SEARCH("크루즈",C540)),"810",IF(ISNUMBER(SEARCH("동물원",C540)),"830","")))))))))</f>
        <v>100</v>
      </c>
    </row>
    <row r="541" customFormat="false" ht="15" hidden="false" customHeight="false" outlineLevel="0" collapsed="false">
      <c r="A541" s="32" t="str">
        <f aca="false">IF(OR(TRIM(C541)="",SUBSTITUTE(C541," ","")="소계"),"제외",IF(ISNUMBER(SEARCH("홍콩",C541)),"HK",IF(ISNUMBER(SEARCH("상해",C541)),"CN",IF(ISNUMBER(SEARCH("대만",C541)),"TW","홀세일"))))</f>
        <v>HK</v>
      </c>
      <c r="B541" s="36" t="s">
        <v>764</v>
      </c>
      <c r="C541" s="37" t="s">
        <v>765</v>
      </c>
      <c r="D541" s="37" t="s">
        <v>123</v>
      </c>
      <c r="E541" s="36" t="n">
        <v>2026</v>
      </c>
      <c r="F541" s="37" t="s">
        <v>474</v>
      </c>
      <c r="G541" s="37" t="s">
        <v>124</v>
      </c>
      <c r="H541" s="36" t="s">
        <v>188</v>
      </c>
      <c r="I541" s="36" t="s">
        <v>541</v>
      </c>
      <c r="J541" s="36" t="s">
        <v>542</v>
      </c>
      <c r="K541" s="38" t="n">
        <v>90</v>
      </c>
      <c r="L541" s="38" t="n">
        <v>14310000</v>
      </c>
      <c r="M541" s="38" t="n">
        <v>4763520</v>
      </c>
      <c r="N541" s="39" t="n">
        <f aca="false">IF(A541="제외",0,IF(OR(N(L541)&lt;=0,N(M541)&gt;N(L541)),N(M541)/요약!$D$27,N(L541)))</f>
        <v>14310000</v>
      </c>
      <c r="O541" s="32" t="str">
        <f aca="false">IF(A541="제외","",IF(OR(N(L541)&lt;=0,N(M541)&gt;N(L541)),"택가보정(판매금액÷공급율)",""))</f>
        <v/>
      </c>
      <c r="P541" s="0" t="str">
        <f aca="false">IF(A541="HK","100",IF(A541="CN","200",IF(A541="TW","300",IF(ISNUMBER(SEARCH("태국",C541)),"500",IF(ISNUMBER(SEARCH("말레이",C541)),"600",IF(ISNUMBER(SEARCH("필리핀",C541)),"700",IF(ISNUMBER(SEARCH("인도네시아",C541)),"800",IF(ISNUMBER(SEARCH("크루즈",C541)),"810",IF(ISNUMBER(SEARCH("동물원",C541)),"830","")))))))))</f>
        <v>100</v>
      </c>
    </row>
    <row r="542" customFormat="false" ht="15" hidden="false" customHeight="false" outlineLevel="0" collapsed="false">
      <c r="A542" s="32" t="str">
        <f aca="false">IF(OR(TRIM(C542)="",SUBSTITUTE(C542," ","")="소계"),"제외",IF(ISNUMBER(SEARCH("홍콩",C542)),"HK",IF(ISNUMBER(SEARCH("상해",C542)),"CN",IF(ISNUMBER(SEARCH("대만",C542)),"TW","홀세일"))))</f>
        <v>HK</v>
      </c>
      <c r="B542" s="36" t="s">
        <v>764</v>
      </c>
      <c r="C542" s="37" t="s">
        <v>765</v>
      </c>
      <c r="D542" s="37" t="s">
        <v>123</v>
      </c>
      <c r="E542" s="36" t="n">
        <v>2026</v>
      </c>
      <c r="F542" s="37" t="s">
        <v>474</v>
      </c>
      <c r="G542" s="37" t="s">
        <v>124</v>
      </c>
      <c r="H542" s="36" t="s">
        <v>188</v>
      </c>
      <c r="I542" s="36" t="s">
        <v>934</v>
      </c>
      <c r="J542" s="36" t="s">
        <v>935</v>
      </c>
      <c r="K542" s="38" t="n">
        <v>90</v>
      </c>
      <c r="L542" s="38" t="n">
        <v>11610000</v>
      </c>
      <c r="M542" s="38" t="n">
        <v>3881880</v>
      </c>
      <c r="N542" s="39" t="n">
        <f aca="false">IF(A542="제외",0,IF(OR(N(L542)&lt;=0,N(M542)&gt;N(L542)),N(M542)/요약!$D$27,N(L542)))</f>
        <v>11610000</v>
      </c>
      <c r="O542" s="32" t="str">
        <f aca="false">IF(A542="제외","",IF(OR(N(L542)&lt;=0,N(M542)&gt;N(L542)),"택가보정(판매금액÷공급율)",""))</f>
        <v/>
      </c>
      <c r="P542" s="0" t="str">
        <f aca="false">IF(A542="HK","100",IF(A542="CN","200",IF(A542="TW","300",IF(ISNUMBER(SEARCH("태국",C542)),"500",IF(ISNUMBER(SEARCH("말레이",C542)),"600",IF(ISNUMBER(SEARCH("필리핀",C542)),"700",IF(ISNUMBER(SEARCH("인도네시아",C542)),"800",IF(ISNUMBER(SEARCH("크루즈",C542)),"810",IF(ISNUMBER(SEARCH("동물원",C542)),"830","")))))))))</f>
        <v>100</v>
      </c>
    </row>
    <row r="543" customFormat="false" ht="15" hidden="false" customHeight="false" outlineLevel="0" collapsed="false">
      <c r="A543" s="32" t="str">
        <f aca="false">IF(OR(TRIM(C543)="",SUBSTITUTE(C543," ","")="소계"),"제외",IF(ISNUMBER(SEARCH("홍콩",C543)),"HK",IF(ISNUMBER(SEARCH("상해",C543)),"CN",IF(ISNUMBER(SEARCH("대만",C543)),"TW","홀세일"))))</f>
        <v>HK</v>
      </c>
      <c r="B543" s="36" t="s">
        <v>764</v>
      </c>
      <c r="C543" s="37" t="s">
        <v>765</v>
      </c>
      <c r="D543" s="37" t="s">
        <v>123</v>
      </c>
      <c r="E543" s="36" t="n">
        <v>2026</v>
      </c>
      <c r="F543" s="37" t="s">
        <v>474</v>
      </c>
      <c r="G543" s="37" t="s">
        <v>124</v>
      </c>
      <c r="H543" s="36" t="s">
        <v>188</v>
      </c>
      <c r="I543" s="36" t="s">
        <v>936</v>
      </c>
      <c r="J543" s="36" t="s">
        <v>937</v>
      </c>
      <c r="K543" s="38" t="n">
        <v>70</v>
      </c>
      <c r="L543" s="38" t="n">
        <v>11830000</v>
      </c>
      <c r="M543" s="38" t="n">
        <v>3952760</v>
      </c>
      <c r="N543" s="39" t="n">
        <f aca="false">IF(A543="제외",0,IF(OR(N(L543)&lt;=0,N(M543)&gt;N(L543)),N(M543)/요약!$D$27,N(L543)))</f>
        <v>11830000</v>
      </c>
      <c r="O543" s="32" t="str">
        <f aca="false">IF(A543="제외","",IF(OR(N(L543)&lt;=0,N(M543)&gt;N(L543)),"택가보정(판매금액÷공급율)",""))</f>
        <v/>
      </c>
      <c r="P543" s="0" t="str">
        <f aca="false">IF(A543="HK","100",IF(A543="CN","200",IF(A543="TW","300",IF(ISNUMBER(SEARCH("태국",C543)),"500",IF(ISNUMBER(SEARCH("말레이",C543)),"600",IF(ISNUMBER(SEARCH("필리핀",C543)),"700",IF(ISNUMBER(SEARCH("인도네시아",C543)),"800",IF(ISNUMBER(SEARCH("크루즈",C543)),"810",IF(ISNUMBER(SEARCH("동물원",C543)),"830","")))))))))</f>
        <v>100</v>
      </c>
    </row>
    <row r="544" customFormat="false" ht="15" hidden="false" customHeight="false" outlineLevel="0" collapsed="false">
      <c r="A544" s="32" t="str">
        <f aca="false">IF(OR(TRIM(C544)="",SUBSTITUTE(C544," ","")="소계"),"제외",IF(ISNUMBER(SEARCH("홍콩",C544)),"HK",IF(ISNUMBER(SEARCH("상해",C544)),"CN",IF(ISNUMBER(SEARCH("대만",C544)),"TW","홀세일"))))</f>
        <v>HK</v>
      </c>
      <c r="B544" s="36" t="s">
        <v>764</v>
      </c>
      <c r="C544" s="37" t="s">
        <v>765</v>
      </c>
      <c r="D544" s="37" t="s">
        <v>123</v>
      </c>
      <c r="E544" s="36" t="n">
        <v>2026</v>
      </c>
      <c r="F544" s="37" t="s">
        <v>474</v>
      </c>
      <c r="G544" s="37" t="s">
        <v>124</v>
      </c>
      <c r="H544" s="36" t="s">
        <v>188</v>
      </c>
      <c r="I544" s="36" t="s">
        <v>938</v>
      </c>
      <c r="J544" s="36" t="s">
        <v>939</v>
      </c>
      <c r="K544" s="38" t="n">
        <v>160</v>
      </c>
      <c r="L544" s="38" t="n">
        <v>31840000</v>
      </c>
      <c r="M544" s="38" t="n">
        <v>9602400</v>
      </c>
      <c r="N544" s="39" t="n">
        <f aca="false">IF(A544="제외",0,IF(OR(N(L544)&lt;=0,N(M544)&gt;N(L544)),N(M544)/요약!$D$27,N(L544)))</f>
        <v>31840000</v>
      </c>
      <c r="O544" s="32" t="str">
        <f aca="false">IF(A544="제외","",IF(OR(N(L544)&lt;=0,N(M544)&gt;N(L544)),"택가보정(판매금액÷공급율)",""))</f>
        <v/>
      </c>
      <c r="P544" s="0" t="str">
        <f aca="false">IF(A544="HK","100",IF(A544="CN","200",IF(A544="TW","300",IF(ISNUMBER(SEARCH("태국",C544)),"500",IF(ISNUMBER(SEARCH("말레이",C544)),"600",IF(ISNUMBER(SEARCH("필리핀",C544)),"700",IF(ISNUMBER(SEARCH("인도네시아",C544)),"800",IF(ISNUMBER(SEARCH("크루즈",C544)),"810",IF(ISNUMBER(SEARCH("동물원",C544)),"830","")))))))))</f>
        <v>100</v>
      </c>
    </row>
    <row r="545" customFormat="false" ht="15" hidden="false" customHeight="false" outlineLevel="0" collapsed="false">
      <c r="A545" s="32" t="str">
        <f aca="false">IF(OR(TRIM(C545)="",SUBSTITUTE(C545," ","")="소계"),"제외",IF(ISNUMBER(SEARCH("홍콩",C545)),"HK",IF(ISNUMBER(SEARCH("상해",C545)),"CN",IF(ISNUMBER(SEARCH("대만",C545)),"TW","홀세일"))))</f>
        <v>HK</v>
      </c>
      <c r="B545" s="36" t="s">
        <v>764</v>
      </c>
      <c r="C545" s="37" t="s">
        <v>765</v>
      </c>
      <c r="D545" s="37" t="s">
        <v>123</v>
      </c>
      <c r="E545" s="36" t="n">
        <v>2026</v>
      </c>
      <c r="F545" s="37" t="s">
        <v>474</v>
      </c>
      <c r="G545" s="37" t="s">
        <v>124</v>
      </c>
      <c r="H545" s="36" t="s">
        <v>188</v>
      </c>
      <c r="I545" s="36" t="s">
        <v>545</v>
      </c>
      <c r="J545" s="36" t="s">
        <v>546</v>
      </c>
      <c r="K545" s="38" t="n">
        <v>380</v>
      </c>
      <c r="L545" s="38" t="n">
        <v>56620000</v>
      </c>
      <c r="M545" s="38" t="n">
        <v>19410020</v>
      </c>
      <c r="N545" s="39" t="n">
        <f aca="false">IF(A545="제외",0,IF(OR(N(L545)&lt;=0,N(M545)&gt;N(L545)),N(M545)/요약!$D$27,N(L545)))</f>
        <v>56620000</v>
      </c>
      <c r="O545" s="32" t="str">
        <f aca="false">IF(A545="제외","",IF(OR(N(L545)&lt;=0,N(M545)&gt;N(L545)),"택가보정(판매금액÷공급율)",""))</f>
        <v/>
      </c>
      <c r="P545" s="0" t="str">
        <f aca="false">IF(A545="HK","100",IF(A545="CN","200",IF(A545="TW","300",IF(ISNUMBER(SEARCH("태국",C545)),"500",IF(ISNUMBER(SEARCH("말레이",C545)),"600",IF(ISNUMBER(SEARCH("필리핀",C545)),"700",IF(ISNUMBER(SEARCH("인도네시아",C545)),"800",IF(ISNUMBER(SEARCH("크루즈",C545)),"810",IF(ISNUMBER(SEARCH("동물원",C545)),"830","")))))))))</f>
        <v>100</v>
      </c>
    </row>
    <row r="546" customFormat="false" ht="15" hidden="false" customHeight="false" outlineLevel="0" collapsed="false">
      <c r="A546" s="32" t="str">
        <f aca="false">IF(OR(TRIM(C546)="",SUBSTITUTE(C546," ","")="소계"),"제외",IF(ISNUMBER(SEARCH("홍콩",C546)),"HK",IF(ISNUMBER(SEARCH("상해",C546)),"CN",IF(ISNUMBER(SEARCH("대만",C546)),"TW","홀세일"))))</f>
        <v>HK</v>
      </c>
      <c r="B546" s="36" t="s">
        <v>764</v>
      </c>
      <c r="C546" s="37" t="s">
        <v>765</v>
      </c>
      <c r="D546" s="37" t="s">
        <v>123</v>
      </c>
      <c r="E546" s="36" t="n">
        <v>2026</v>
      </c>
      <c r="F546" s="37" t="s">
        <v>474</v>
      </c>
      <c r="G546" s="37" t="s">
        <v>124</v>
      </c>
      <c r="H546" s="36" t="s">
        <v>188</v>
      </c>
      <c r="I546" s="36" t="s">
        <v>940</v>
      </c>
      <c r="J546" s="36" t="s">
        <v>941</v>
      </c>
      <c r="K546" s="38" t="n">
        <v>80</v>
      </c>
      <c r="L546" s="38" t="n">
        <v>17520000</v>
      </c>
      <c r="M546" s="38" t="n">
        <v>6214720</v>
      </c>
      <c r="N546" s="39" t="n">
        <f aca="false">IF(A546="제외",0,IF(OR(N(L546)&lt;=0,N(M546)&gt;N(L546)),N(M546)/요약!$D$27,N(L546)))</f>
        <v>17520000</v>
      </c>
      <c r="O546" s="32" t="str">
        <f aca="false">IF(A546="제외","",IF(OR(N(L546)&lt;=0,N(M546)&gt;N(L546)),"택가보정(판매금액÷공급율)",""))</f>
        <v/>
      </c>
      <c r="P546" s="0" t="str">
        <f aca="false">IF(A546="HK","100",IF(A546="CN","200",IF(A546="TW","300",IF(ISNUMBER(SEARCH("태국",C546)),"500",IF(ISNUMBER(SEARCH("말레이",C546)),"600",IF(ISNUMBER(SEARCH("필리핀",C546)),"700",IF(ISNUMBER(SEARCH("인도네시아",C546)),"800",IF(ISNUMBER(SEARCH("크루즈",C546)),"810",IF(ISNUMBER(SEARCH("동물원",C546)),"830","")))))))))</f>
        <v>100</v>
      </c>
    </row>
    <row r="547" customFormat="false" ht="15" hidden="false" customHeight="false" outlineLevel="0" collapsed="false">
      <c r="A547" s="32" t="str">
        <f aca="false">IF(OR(TRIM(C547)="",SUBSTITUTE(C547," ","")="소계"),"제외",IF(ISNUMBER(SEARCH("홍콩",C547)),"HK",IF(ISNUMBER(SEARCH("상해",C547)),"CN",IF(ISNUMBER(SEARCH("대만",C547)),"TW","홀세일"))))</f>
        <v>HK</v>
      </c>
      <c r="B547" s="36" t="s">
        <v>764</v>
      </c>
      <c r="C547" s="37" t="s">
        <v>765</v>
      </c>
      <c r="D547" s="37" t="s">
        <v>123</v>
      </c>
      <c r="E547" s="36" t="n">
        <v>2026</v>
      </c>
      <c r="F547" s="37" t="s">
        <v>474</v>
      </c>
      <c r="G547" s="37" t="s">
        <v>124</v>
      </c>
      <c r="H547" s="36" t="s">
        <v>188</v>
      </c>
      <c r="I547" s="36" t="s">
        <v>547</v>
      </c>
      <c r="J547" s="36" t="s">
        <v>548</v>
      </c>
      <c r="K547" s="38" t="n">
        <v>190</v>
      </c>
      <c r="L547" s="38" t="n">
        <v>45410000</v>
      </c>
      <c r="M547" s="38" t="n">
        <v>16104210</v>
      </c>
      <c r="N547" s="39" t="n">
        <f aca="false">IF(A547="제외",0,IF(OR(N(L547)&lt;=0,N(M547)&gt;N(L547)),N(M547)/요약!$D$27,N(L547)))</f>
        <v>45410000</v>
      </c>
      <c r="O547" s="32" t="str">
        <f aca="false">IF(A547="제외","",IF(OR(N(L547)&lt;=0,N(M547)&gt;N(L547)),"택가보정(판매금액÷공급율)",""))</f>
        <v/>
      </c>
      <c r="P547" s="0" t="str">
        <f aca="false">IF(A547="HK","100",IF(A547="CN","200",IF(A547="TW","300",IF(ISNUMBER(SEARCH("태국",C547)),"500",IF(ISNUMBER(SEARCH("말레이",C547)),"600",IF(ISNUMBER(SEARCH("필리핀",C547)),"700",IF(ISNUMBER(SEARCH("인도네시아",C547)),"800",IF(ISNUMBER(SEARCH("크루즈",C547)),"810",IF(ISNUMBER(SEARCH("동물원",C547)),"830","")))))))))</f>
        <v>100</v>
      </c>
    </row>
    <row r="548" customFormat="false" ht="15" hidden="false" customHeight="false" outlineLevel="0" collapsed="false">
      <c r="A548" s="32" t="str">
        <f aca="false">IF(OR(TRIM(C548)="",SUBSTITUTE(C548," ","")="소계"),"제외",IF(ISNUMBER(SEARCH("홍콩",C548)),"HK",IF(ISNUMBER(SEARCH("상해",C548)),"CN",IF(ISNUMBER(SEARCH("대만",C548)),"TW","홀세일"))))</f>
        <v>HK</v>
      </c>
      <c r="B548" s="36" t="s">
        <v>764</v>
      </c>
      <c r="C548" s="37" t="s">
        <v>765</v>
      </c>
      <c r="D548" s="37" t="s">
        <v>123</v>
      </c>
      <c r="E548" s="36" t="n">
        <v>2026</v>
      </c>
      <c r="F548" s="37" t="s">
        <v>474</v>
      </c>
      <c r="G548" s="37" t="s">
        <v>124</v>
      </c>
      <c r="H548" s="36" t="s">
        <v>188</v>
      </c>
      <c r="I548" s="36" t="s">
        <v>549</v>
      </c>
      <c r="J548" s="36" t="s">
        <v>550</v>
      </c>
      <c r="K548" s="38" t="n">
        <v>205</v>
      </c>
      <c r="L548" s="38" t="n">
        <v>53095000</v>
      </c>
      <c r="M548" s="38" t="n">
        <v>14484480</v>
      </c>
      <c r="N548" s="39" t="n">
        <f aca="false">IF(A548="제외",0,IF(OR(N(L548)&lt;=0,N(M548)&gt;N(L548)),N(M548)/요약!$D$27,N(L548)))</f>
        <v>53095000</v>
      </c>
      <c r="O548" s="32" t="str">
        <f aca="false">IF(A548="제외","",IF(OR(N(L548)&lt;=0,N(M548)&gt;N(L548)),"택가보정(판매금액÷공급율)",""))</f>
        <v/>
      </c>
      <c r="P548" s="0" t="str">
        <f aca="false">IF(A548="HK","100",IF(A548="CN","200",IF(A548="TW","300",IF(ISNUMBER(SEARCH("태국",C548)),"500",IF(ISNUMBER(SEARCH("말레이",C548)),"600",IF(ISNUMBER(SEARCH("필리핀",C548)),"700",IF(ISNUMBER(SEARCH("인도네시아",C548)),"800",IF(ISNUMBER(SEARCH("크루즈",C548)),"810",IF(ISNUMBER(SEARCH("동물원",C548)),"830","")))))))))</f>
        <v>100</v>
      </c>
    </row>
    <row r="549" customFormat="false" ht="15" hidden="false" customHeight="false" outlineLevel="0" collapsed="false">
      <c r="A549" s="32" t="str">
        <f aca="false">IF(OR(TRIM(C549)="",SUBSTITUTE(C549," ","")="소계"),"제외",IF(ISNUMBER(SEARCH("홍콩",C549)),"HK",IF(ISNUMBER(SEARCH("상해",C549)),"CN",IF(ISNUMBER(SEARCH("대만",C549)),"TW","홀세일"))))</f>
        <v>HK</v>
      </c>
      <c r="B549" s="36" t="s">
        <v>764</v>
      </c>
      <c r="C549" s="37" t="s">
        <v>765</v>
      </c>
      <c r="D549" s="37" t="s">
        <v>123</v>
      </c>
      <c r="E549" s="36" t="n">
        <v>2026</v>
      </c>
      <c r="F549" s="37" t="s">
        <v>474</v>
      </c>
      <c r="G549" s="37" t="s">
        <v>124</v>
      </c>
      <c r="H549" s="36" t="s">
        <v>188</v>
      </c>
      <c r="I549" s="36" t="s">
        <v>551</v>
      </c>
      <c r="J549" s="36" t="s">
        <v>552</v>
      </c>
      <c r="K549" s="38" t="n">
        <v>551</v>
      </c>
      <c r="L549" s="38" t="n">
        <v>93119000</v>
      </c>
      <c r="M549" s="38" t="n">
        <v>33068265</v>
      </c>
      <c r="N549" s="39" t="n">
        <f aca="false">IF(A549="제외",0,IF(OR(N(L549)&lt;=0,N(M549)&gt;N(L549)),N(M549)/요약!$D$27,N(L549)))</f>
        <v>93119000</v>
      </c>
      <c r="O549" s="32" t="str">
        <f aca="false">IF(A549="제외","",IF(OR(N(L549)&lt;=0,N(M549)&gt;N(L549)),"택가보정(판매금액÷공급율)",""))</f>
        <v/>
      </c>
      <c r="P549" s="0" t="str">
        <f aca="false">IF(A549="HK","100",IF(A549="CN","200",IF(A549="TW","300",IF(ISNUMBER(SEARCH("태국",C549)),"500",IF(ISNUMBER(SEARCH("말레이",C549)),"600",IF(ISNUMBER(SEARCH("필리핀",C549)),"700",IF(ISNUMBER(SEARCH("인도네시아",C549)),"800",IF(ISNUMBER(SEARCH("크루즈",C549)),"810",IF(ISNUMBER(SEARCH("동물원",C549)),"830","")))))))))</f>
        <v>100</v>
      </c>
    </row>
    <row r="550" customFormat="false" ht="15" hidden="false" customHeight="false" outlineLevel="0" collapsed="false">
      <c r="A550" s="32" t="str">
        <f aca="false">IF(OR(TRIM(C550)="",SUBSTITUTE(C550," ","")="소계"),"제외",IF(ISNUMBER(SEARCH("홍콩",C550)),"HK",IF(ISNUMBER(SEARCH("상해",C550)),"CN",IF(ISNUMBER(SEARCH("대만",C550)),"TW","홀세일"))))</f>
        <v>HK</v>
      </c>
      <c r="B550" s="36" t="s">
        <v>764</v>
      </c>
      <c r="C550" s="37" t="s">
        <v>765</v>
      </c>
      <c r="D550" s="37" t="s">
        <v>123</v>
      </c>
      <c r="E550" s="36" t="n">
        <v>2026</v>
      </c>
      <c r="F550" s="37" t="s">
        <v>474</v>
      </c>
      <c r="G550" s="37" t="s">
        <v>124</v>
      </c>
      <c r="H550" s="36" t="s">
        <v>188</v>
      </c>
      <c r="I550" s="36" t="s">
        <v>942</v>
      </c>
      <c r="J550" s="36" t="s">
        <v>943</v>
      </c>
      <c r="K550" s="38" t="n">
        <v>160</v>
      </c>
      <c r="L550" s="38" t="n">
        <v>52640000</v>
      </c>
      <c r="M550" s="38" t="n">
        <v>14963040</v>
      </c>
      <c r="N550" s="39" t="n">
        <f aca="false">IF(A550="제외",0,IF(OR(N(L550)&lt;=0,N(M550)&gt;N(L550)),N(M550)/요약!$D$27,N(L550)))</f>
        <v>52640000</v>
      </c>
      <c r="O550" s="32" t="str">
        <f aca="false">IF(A550="제외","",IF(OR(N(L550)&lt;=0,N(M550)&gt;N(L550)),"택가보정(판매금액÷공급율)",""))</f>
        <v/>
      </c>
      <c r="P550" s="0" t="str">
        <f aca="false">IF(A550="HK","100",IF(A550="CN","200",IF(A550="TW","300",IF(ISNUMBER(SEARCH("태국",C550)),"500",IF(ISNUMBER(SEARCH("말레이",C550)),"600",IF(ISNUMBER(SEARCH("필리핀",C550)),"700",IF(ISNUMBER(SEARCH("인도네시아",C550)),"800",IF(ISNUMBER(SEARCH("크루즈",C550)),"810",IF(ISNUMBER(SEARCH("동물원",C550)),"830","")))))))))</f>
        <v>100</v>
      </c>
    </row>
    <row r="551" customFormat="false" ht="15" hidden="false" customHeight="false" outlineLevel="0" collapsed="false">
      <c r="A551" s="32" t="str">
        <f aca="false">IF(OR(TRIM(C551)="",SUBSTITUTE(C551," ","")="소계"),"제외",IF(ISNUMBER(SEARCH("홍콩",C551)),"HK",IF(ISNUMBER(SEARCH("상해",C551)),"CN",IF(ISNUMBER(SEARCH("대만",C551)),"TW","홀세일"))))</f>
        <v>HK</v>
      </c>
      <c r="B551" s="36" t="s">
        <v>764</v>
      </c>
      <c r="C551" s="37" t="s">
        <v>765</v>
      </c>
      <c r="D551" s="37" t="s">
        <v>123</v>
      </c>
      <c r="E551" s="36" t="n">
        <v>2026</v>
      </c>
      <c r="F551" s="37" t="s">
        <v>474</v>
      </c>
      <c r="G551" s="37" t="s">
        <v>124</v>
      </c>
      <c r="H551" s="36" t="s">
        <v>188</v>
      </c>
      <c r="I551" s="36" t="s">
        <v>557</v>
      </c>
      <c r="J551" s="36" t="s">
        <v>558</v>
      </c>
      <c r="K551" s="38" t="n">
        <v>280</v>
      </c>
      <c r="L551" s="38" t="n">
        <v>92120000</v>
      </c>
      <c r="M551" s="38" t="n">
        <v>30875040</v>
      </c>
      <c r="N551" s="39" t="n">
        <f aca="false">IF(A551="제외",0,IF(OR(N(L551)&lt;=0,N(M551)&gt;N(L551)),N(M551)/요약!$D$27,N(L551)))</f>
        <v>92120000</v>
      </c>
      <c r="O551" s="32" t="str">
        <f aca="false">IF(A551="제외","",IF(OR(N(L551)&lt;=0,N(M551)&gt;N(L551)),"택가보정(판매금액÷공급율)",""))</f>
        <v/>
      </c>
      <c r="P551" s="0" t="str">
        <f aca="false">IF(A551="HK","100",IF(A551="CN","200",IF(A551="TW","300",IF(ISNUMBER(SEARCH("태국",C551)),"500",IF(ISNUMBER(SEARCH("말레이",C551)),"600",IF(ISNUMBER(SEARCH("필리핀",C551)),"700",IF(ISNUMBER(SEARCH("인도네시아",C551)),"800",IF(ISNUMBER(SEARCH("크루즈",C551)),"810",IF(ISNUMBER(SEARCH("동물원",C551)),"830","")))))))))</f>
        <v>100</v>
      </c>
    </row>
    <row r="552" customFormat="false" ht="15" hidden="false" customHeight="false" outlineLevel="0" collapsed="false">
      <c r="A552" s="32" t="str">
        <f aca="false">IF(OR(TRIM(C552)="",SUBSTITUTE(C552," ","")="소계"),"제외",IF(ISNUMBER(SEARCH("홍콩",C552)),"HK",IF(ISNUMBER(SEARCH("상해",C552)),"CN",IF(ISNUMBER(SEARCH("대만",C552)),"TW","홀세일"))))</f>
        <v>HK</v>
      </c>
      <c r="B552" s="36" t="s">
        <v>764</v>
      </c>
      <c r="C552" s="37" t="s">
        <v>765</v>
      </c>
      <c r="D552" s="37" t="s">
        <v>123</v>
      </c>
      <c r="E552" s="36" t="n">
        <v>2026</v>
      </c>
      <c r="F552" s="37" t="s">
        <v>474</v>
      </c>
      <c r="G552" s="37" t="s">
        <v>124</v>
      </c>
      <c r="H552" s="36" t="s">
        <v>188</v>
      </c>
      <c r="I552" s="36" t="s">
        <v>559</v>
      </c>
      <c r="J552" s="36" t="s">
        <v>560</v>
      </c>
      <c r="K552" s="38" t="n">
        <v>300</v>
      </c>
      <c r="L552" s="38" t="n">
        <v>119700000</v>
      </c>
      <c r="M552" s="38" t="n">
        <v>41472600</v>
      </c>
      <c r="N552" s="39" t="n">
        <f aca="false">IF(A552="제외",0,IF(OR(N(L552)&lt;=0,N(M552)&gt;N(L552)),N(M552)/요약!$D$27,N(L552)))</f>
        <v>119700000</v>
      </c>
      <c r="O552" s="32" t="str">
        <f aca="false">IF(A552="제외","",IF(OR(N(L552)&lt;=0,N(M552)&gt;N(L552)),"택가보정(판매금액÷공급율)",""))</f>
        <v/>
      </c>
      <c r="P552" s="0" t="str">
        <f aca="false">IF(A552="HK","100",IF(A552="CN","200",IF(A552="TW","300",IF(ISNUMBER(SEARCH("태국",C552)),"500",IF(ISNUMBER(SEARCH("말레이",C552)),"600",IF(ISNUMBER(SEARCH("필리핀",C552)),"700",IF(ISNUMBER(SEARCH("인도네시아",C552)),"800",IF(ISNUMBER(SEARCH("크루즈",C552)),"810",IF(ISNUMBER(SEARCH("동물원",C552)),"830","")))))))))</f>
        <v>100</v>
      </c>
    </row>
    <row r="553" customFormat="false" ht="15" hidden="false" customHeight="false" outlineLevel="0" collapsed="false">
      <c r="A553" s="32" t="str">
        <f aca="false">IF(OR(TRIM(C553)="",SUBSTITUTE(C553," ","")="소계"),"제외",IF(ISNUMBER(SEARCH("홍콩",C553)),"HK",IF(ISNUMBER(SEARCH("상해",C553)),"CN",IF(ISNUMBER(SEARCH("대만",C553)),"TW","홀세일"))))</f>
        <v>HK</v>
      </c>
      <c r="B553" s="36" t="s">
        <v>764</v>
      </c>
      <c r="C553" s="37" t="s">
        <v>765</v>
      </c>
      <c r="D553" s="37" t="s">
        <v>123</v>
      </c>
      <c r="E553" s="36" t="n">
        <v>2026</v>
      </c>
      <c r="F553" s="37" t="s">
        <v>474</v>
      </c>
      <c r="G553" s="37" t="s">
        <v>124</v>
      </c>
      <c r="H553" s="36" t="s">
        <v>188</v>
      </c>
      <c r="I553" s="36" t="s">
        <v>561</v>
      </c>
      <c r="J553" s="36" t="s">
        <v>562</v>
      </c>
      <c r="K553" s="38" t="n">
        <v>160</v>
      </c>
      <c r="L553" s="38" t="n">
        <v>63840000</v>
      </c>
      <c r="M553" s="38" t="n">
        <v>19244320</v>
      </c>
      <c r="N553" s="39" t="n">
        <f aca="false">IF(A553="제외",0,IF(OR(N(L553)&lt;=0,N(M553)&gt;N(L553)),N(M553)/요약!$D$27,N(L553)))</f>
        <v>63840000</v>
      </c>
      <c r="O553" s="32" t="str">
        <f aca="false">IF(A553="제외","",IF(OR(N(L553)&lt;=0,N(M553)&gt;N(L553)),"택가보정(판매금액÷공급율)",""))</f>
        <v/>
      </c>
      <c r="P553" s="0" t="str">
        <f aca="false">IF(A553="HK","100",IF(A553="CN","200",IF(A553="TW","300",IF(ISNUMBER(SEARCH("태국",C553)),"500",IF(ISNUMBER(SEARCH("말레이",C553)),"600",IF(ISNUMBER(SEARCH("필리핀",C553)),"700",IF(ISNUMBER(SEARCH("인도네시아",C553)),"800",IF(ISNUMBER(SEARCH("크루즈",C553)),"810",IF(ISNUMBER(SEARCH("동물원",C553)),"830","")))))))))</f>
        <v>100</v>
      </c>
    </row>
    <row r="554" customFormat="false" ht="15" hidden="false" customHeight="false" outlineLevel="0" collapsed="false">
      <c r="A554" s="32" t="str">
        <f aca="false">IF(OR(TRIM(C554)="",SUBSTITUTE(C554," ","")="소계"),"제외",IF(ISNUMBER(SEARCH("홍콩",C554)),"HK",IF(ISNUMBER(SEARCH("상해",C554)),"CN",IF(ISNUMBER(SEARCH("대만",C554)),"TW","홀세일"))))</f>
        <v>HK</v>
      </c>
      <c r="B554" s="36" t="s">
        <v>764</v>
      </c>
      <c r="C554" s="37" t="s">
        <v>765</v>
      </c>
      <c r="D554" s="37" t="s">
        <v>123</v>
      </c>
      <c r="E554" s="36" t="n">
        <v>2026</v>
      </c>
      <c r="F554" s="37" t="s">
        <v>474</v>
      </c>
      <c r="G554" s="37" t="s">
        <v>124</v>
      </c>
      <c r="H554" s="36" t="s">
        <v>188</v>
      </c>
      <c r="I554" s="36" t="s">
        <v>563</v>
      </c>
      <c r="J554" s="36" t="s">
        <v>564</v>
      </c>
      <c r="K554" s="38" t="n">
        <v>50</v>
      </c>
      <c r="L554" s="38" t="n">
        <v>22950000</v>
      </c>
      <c r="M554" s="38" t="n">
        <v>8017200</v>
      </c>
      <c r="N554" s="39" t="n">
        <f aca="false">IF(A554="제외",0,IF(OR(N(L554)&lt;=0,N(M554)&gt;N(L554)),N(M554)/요약!$D$27,N(L554)))</f>
        <v>22950000</v>
      </c>
      <c r="O554" s="32" t="str">
        <f aca="false">IF(A554="제외","",IF(OR(N(L554)&lt;=0,N(M554)&gt;N(L554)),"택가보정(판매금액÷공급율)",""))</f>
        <v/>
      </c>
      <c r="P554" s="0" t="str">
        <f aca="false">IF(A554="HK","100",IF(A554="CN","200",IF(A554="TW","300",IF(ISNUMBER(SEARCH("태국",C554)),"500",IF(ISNUMBER(SEARCH("말레이",C554)),"600",IF(ISNUMBER(SEARCH("필리핀",C554)),"700",IF(ISNUMBER(SEARCH("인도네시아",C554)),"800",IF(ISNUMBER(SEARCH("크루즈",C554)),"810",IF(ISNUMBER(SEARCH("동물원",C554)),"830","")))))))))</f>
        <v>100</v>
      </c>
    </row>
    <row r="555" customFormat="false" ht="15" hidden="false" customHeight="false" outlineLevel="0" collapsed="false">
      <c r="A555" s="32" t="str">
        <f aca="false">IF(OR(TRIM(C555)="",SUBSTITUTE(C555," ","")="소계"),"제외",IF(ISNUMBER(SEARCH("홍콩",C555)),"HK",IF(ISNUMBER(SEARCH("상해",C555)),"CN",IF(ISNUMBER(SEARCH("대만",C555)),"TW","홀세일"))))</f>
        <v>HK</v>
      </c>
      <c r="B555" s="36" t="s">
        <v>764</v>
      </c>
      <c r="C555" s="37" t="s">
        <v>765</v>
      </c>
      <c r="D555" s="37" t="s">
        <v>123</v>
      </c>
      <c r="E555" s="36" t="n">
        <v>2026</v>
      </c>
      <c r="F555" s="37" t="s">
        <v>474</v>
      </c>
      <c r="G555" s="37" t="s">
        <v>124</v>
      </c>
      <c r="H555" s="36" t="s">
        <v>188</v>
      </c>
      <c r="I555" s="36" t="s">
        <v>567</v>
      </c>
      <c r="J555" s="36" t="s">
        <v>568</v>
      </c>
      <c r="K555" s="38" t="n">
        <v>200</v>
      </c>
      <c r="L555" s="38" t="n">
        <v>65800000</v>
      </c>
      <c r="M555" s="38" t="n">
        <v>25393400</v>
      </c>
      <c r="N555" s="39" t="n">
        <f aca="false">IF(A555="제외",0,IF(OR(N(L555)&lt;=0,N(M555)&gt;N(L555)),N(M555)/요약!$D$27,N(L555)))</f>
        <v>65800000</v>
      </c>
      <c r="O555" s="32" t="str">
        <f aca="false">IF(A555="제외","",IF(OR(N(L555)&lt;=0,N(M555)&gt;N(L555)),"택가보정(판매금액÷공급율)",""))</f>
        <v/>
      </c>
      <c r="P555" s="0" t="str">
        <f aca="false">IF(A555="HK","100",IF(A555="CN","200",IF(A555="TW","300",IF(ISNUMBER(SEARCH("태국",C555)),"500",IF(ISNUMBER(SEARCH("말레이",C555)),"600",IF(ISNUMBER(SEARCH("필리핀",C555)),"700",IF(ISNUMBER(SEARCH("인도네시아",C555)),"800",IF(ISNUMBER(SEARCH("크루즈",C555)),"810",IF(ISNUMBER(SEARCH("동물원",C555)),"830","")))))))))</f>
        <v>100</v>
      </c>
    </row>
    <row r="556" customFormat="false" ht="15" hidden="false" customHeight="false" outlineLevel="0" collapsed="false">
      <c r="A556" s="32" t="str">
        <f aca="false">IF(OR(TRIM(C556)="",SUBSTITUTE(C556," ","")="소계"),"제외",IF(ISNUMBER(SEARCH("홍콩",C556)),"HK",IF(ISNUMBER(SEARCH("상해",C556)),"CN",IF(ISNUMBER(SEARCH("대만",C556)),"TW","홀세일"))))</f>
        <v>HK</v>
      </c>
      <c r="B556" s="36" t="s">
        <v>764</v>
      </c>
      <c r="C556" s="37" t="s">
        <v>765</v>
      </c>
      <c r="D556" s="37" t="s">
        <v>123</v>
      </c>
      <c r="E556" s="36" t="n">
        <v>2026</v>
      </c>
      <c r="F556" s="37" t="s">
        <v>474</v>
      </c>
      <c r="G556" s="37" t="s">
        <v>124</v>
      </c>
      <c r="H556" s="36" t="s">
        <v>188</v>
      </c>
      <c r="I556" s="36" t="s">
        <v>944</v>
      </c>
      <c r="J556" s="36" t="s">
        <v>945</v>
      </c>
      <c r="K556" s="38" t="n">
        <v>240</v>
      </c>
      <c r="L556" s="38" t="n">
        <v>47760000</v>
      </c>
      <c r="M556" s="38" t="n">
        <v>16864320</v>
      </c>
      <c r="N556" s="39" t="n">
        <f aca="false">IF(A556="제외",0,IF(OR(N(L556)&lt;=0,N(M556)&gt;N(L556)),N(M556)/요약!$D$27,N(L556)))</f>
        <v>47760000</v>
      </c>
      <c r="O556" s="32" t="str">
        <f aca="false">IF(A556="제외","",IF(OR(N(L556)&lt;=0,N(M556)&gt;N(L556)),"택가보정(판매금액÷공급율)",""))</f>
        <v/>
      </c>
      <c r="P556" s="0" t="str">
        <f aca="false">IF(A556="HK","100",IF(A556="CN","200",IF(A556="TW","300",IF(ISNUMBER(SEARCH("태국",C556)),"500",IF(ISNUMBER(SEARCH("말레이",C556)),"600",IF(ISNUMBER(SEARCH("필리핀",C556)),"700",IF(ISNUMBER(SEARCH("인도네시아",C556)),"800",IF(ISNUMBER(SEARCH("크루즈",C556)),"810",IF(ISNUMBER(SEARCH("동물원",C556)),"830","")))))))))</f>
        <v>100</v>
      </c>
    </row>
    <row r="557" customFormat="false" ht="15" hidden="false" customHeight="false" outlineLevel="0" collapsed="false">
      <c r="A557" s="32" t="str">
        <f aca="false">IF(OR(TRIM(C557)="",SUBSTITUTE(C557," ","")="소계"),"제외",IF(ISNUMBER(SEARCH("홍콩",C557)),"HK",IF(ISNUMBER(SEARCH("상해",C557)),"CN",IF(ISNUMBER(SEARCH("대만",C557)),"TW","홀세일"))))</f>
        <v>HK</v>
      </c>
      <c r="B557" s="36" t="s">
        <v>764</v>
      </c>
      <c r="C557" s="37" t="s">
        <v>765</v>
      </c>
      <c r="D557" s="37" t="s">
        <v>123</v>
      </c>
      <c r="E557" s="36" t="n">
        <v>2026</v>
      </c>
      <c r="F557" s="37" t="s">
        <v>474</v>
      </c>
      <c r="G557" s="37" t="s">
        <v>124</v>
      </c>
      <c r="H557" s="36" t="s">
        <v>188</v>
      </c>
      <c r="I557" s="36" t="s">
        <v>569</v>
      </c>
      <c r="J557" s="36" t="s">
        <v>570</v>
      </c>
      <c r="K557" s="38" t="n">
        <v>360</v>
      </c>
      <c r="L557" s="38" t="n">
        <v>68040000</v>
      </c>
      <c r="M557" s="38" t="n">
        <v>22781880</v>
      </c>
      <c r="N557" s="39" t="n">
        <f aca="false">IF(A557="제외",0,IF(OR(N(L557)&lt;=0,N(M557)&gt;N(L557)),N(M557)/요약!$D$27,N(L557)))</f>
        <v>68040000</v>
      </c>
      <c r="O557" s="32" t="str">
        <f aca="false">IF(A557="제외","",IF(OR(N(L557)&lt;=0,N(M557)&gt;N(L557)),"택가보정(판매금액÷공급율)",""))</f>
        <v/>
      </c>
      <c r="P557" s="0" t="str">
        <f aca="false">IF(A557="HK","100",IF(A557="CN","200",IF(A557="TW","300",IF(ISNUMBER(SEARCH("태국",C557)),"500",IF(ISNUMBER(SEARCH("말레이",C557)),"600",IF(ISNUMBER(SEARCH("필리핀",C557)),"700",IF(ISNUMBER(SEARCH("인도네시아",C557)),"800",IF(ISNUMBER(SEARCH("크루즈",C557)),"810",IF(ISNUMBER(SEARCH("동물원",C557)),"830","")))))))))</f>
        <v>100</v>
      </c>
    </row>
    <row r="558" customFormat="false" ht="15" hidden="false" customHeight="false" outlineLevel="0" collapsed="false">
      <c r="A558" s="32" t="str">
        <f aca="false">IF(OR(TRIM(C558)="",SUBSTITUTE(C558," ","")="소계"),"제외",IF(ISNUMBER(SEARCH("홍콩",C558)),"HK",IF(ISNUMBER(SEARCH("상해",C558)),"CN",IF(ISNUMBER(SEARCH("대만",C558)),"TW","홀세일"))))</f>
        <v>HK</v>
      </c>
      <c r="B558" s="36" t="s">
        <v>764</v>
      </c>
      <c r="C558" s="37" t="s">
        <v>765</v>
      </c>
      <c r="D558" s="37" t="s">
        <v>123</v>
      </c>
      <c r="E558" s="36" t="n">
        <v>2026</v>
      </c>
      <c r="F558" s="37" t="s">
        <v>474</v>
      </c>
      <c r="G558" s="37" t="s">
        <v>124</v>
      </c>
      <c r="H558" s="36" t="s">
        <v>188</v>
      </c>
      <c r="I558" s="36" t="s">
        <v>573</v>
      </c>
      <c r="J558" s="36" t="s">
        <v>574</v>
      </c>
      <c r="K558" s="38" t="n">
        <v>400</v>
      </c>
      <c r="L558" s="38" t="n">
        <v>79600000</v>
      </c>
      <c r="M558" s="38" t="n">
        <v>27091200</v>
      </c>
      <c r="N558" s="39" t="n">
        <f aca="false">IF(A558="제외",0,IF(OR(N(L558)&lt;=0,N(M558)&gt;N(L558)),N(M558)/요약!$D$27,N(L558)))</f>
        <v>79600000</v>
      </c>
      <c r="O558" s="32" t="str">
        <f aca="false">IF(A558="제외","",IF(OR(N(L558)&lt;=0,N(M558)&gt;N(L558)),"택가보정(판매금액÷공급율)",""))</f>
        <v/>
      </c>
      <c r="P558" s="0" t="str">
        <f aca="false">IF(A558="HK","100",IF(A558="CN","200",IF(A558="TW","300",IF(ISNUMBER(SEARCH("태국",C558)),"500",IF(ISNUMBER(SEARCH("말레이",C558)),"600",IF(ISNUMBER(SEARCH("필리핀",C558)),"700",IF(ISNUMBER(SEARCH("인도네시아",C558)),"800",IF(ISNUMBER(SEARCH("크루즈",C558)),"810",IF(ISNUMBER(SEARCH("동물원",C558)),"830","")))))))))</f>
        <v>100</v>
      </c>
    </row>
    <row r="559" customFormat="false" ht="15" hidden="false" customHeight="false" outlineLevel="0" collapsed="false">
      <c r="A559" s="32" t="str">
        <f aca="false">IF(OR(TRIM(C559)="",SUBSTITUTE(C559," ","")="소계"),"제외",IF(ISNUMBER(SEARCH("홍콩",C559)),"HK",IF(ISNUMBER(SEARCH("상해",C559)),"CN",IF(ISNUMBER(SEARCH("대만",C559)),"TW","홀세일"))))</f>
        <v>HK</v>
      </c>
      <c r="B559" s="36" t="s">
        <v>764</v>
      </c>
      <c r="C559" s="37" t="s">
        <v>765</v>
      </c>
      <c r="D559" s="37" t="s">
        <v>123</v>
      </c>
      <c r="E559" s="36" t="n">
        <v>2026</v>
      </c>
      <c r="F559" s="37" t="s">
        <v>474</v>
      </c>
      <c r="G559" s="37" t="s">
        <v>124</v>
      </c>
      <c r="H559" s="36" t="s">
        <v>188</v>
      </c>
      <c r="I559" s="36" t="s">
        <v>575</v>
      </c>
      <c r="J559" s="36" t="s">
        <v>576</v>
      </c>
      <c r="K559" s="38" t="n">
        <v>80</v>
      </c>
      <c r="L559" s="38" t="n">
        <v>11920000</v>
      </c>
      <c r="M559" s="38" t="n">
        <v>3992320</v>
      </c>
      <c r="N559" s="39" t="n">
        <f aca="false">IF(A559="제외",0,IF(OR(N(L559)&lt;=0,N(M559)&gt;N(L559)),N(M559)/요약!$D$27,N(L559)))</f>
        <v>11920000</v>
      </c>
      <c r="O559" s="32" t="str">
        <f aca="false">IF(A559="제외","",IF(OR(N(L559)&lt;=0,N(M559)&gt;N(L559)),"택가보정(판매금액÷공급율)",""))</f>
        <v/>
      </c>
      <c r="P559" s="0" t="str">
        <f aca="false">IF(A559="HK","100",IF(A559="CN","200",IF(A559="TW","300",IF(ISNUMBER(SEARCH("태국",C559)),"500",IF(ISNUMBER(SEARCH("말레이",C559)),"600",IF(ISNUMBER(SEARCH("필리핀",C559)),"700",IF(ISNUMBER(SEARCH("인도네시아",C559)),"800",IF(ISNUMBER(SEARCH("크루즈",C559)),"810",IF(ISNUMBER(SEARCH("동물원",C559)),"830","")))))))))</f>
        <v>100</v>
      </c>
    </row>
    <row r="560" customFormat="false" ht="15" hidden="false" customHeight="false" outlineLevel="0" collapsed="false">
      <c r="A560" s="32" t="str">
        <f aca="false">IF(OR(TRIM(C560)="",SUBSTITUTE(C560," ","")="소계"),"제외",IF(ISNUMBER(SEARCH("홍콩",C560)),"HK",IF(ISNUMBER(SEARCH("상해",C560)),"CN",IF(ISNUMBER(SEARCH("대만",C560)),"TW","홀세일"))))</f>
        <v>HK</v>
      </c>
      <c r="B560" s="36" t="s">
        <v>764</v>
      </c>
      <c r="C560" s="37" t="s">
        <v>765</v>
      </c>
      <c r="D560" s="37" t="s">
        <v>123</v>
      </c>
      <c r="E560" s="36" t="n">
        <v>2026</v>
      </c>
      <c r="F560" s="37" t="s">
        <v>474</v>
      </c>
      <c r="G560" s="37" t="s">
        <v>124</v>
      </c>
      <c r="H560" s="36" t="s">
        <v>188</v>
      </c>
      <c r="I560" s="36" t="s">
        <v>946</v>
      </c>
      <c r="J560" s="36" t="s">
        <v>947</v>
      </c>
      <c r="K560" s="38" t="n">
        <v>200</v>
      </c>
      <c r="L560" s="38" t="n">
        <v>31800000</v>
      </c>
      <c r="M560" s="38" t="n">
        <v>10612600</v>
      </c>
      <c r="N560" s="39" t="n">
        <f aca="false">IF(A560="제외",0,IF(OR(N(L560)&lt;=0,N(M560)&gt;N(L560)),N(M560)/요약!$D$27,N(L560)))</f>
        <v>31800000</v>
      </c>
      <c r="O560" s="32" t="str">
        <f aca="false">IF(A560="제외","",IF(OR(N(L560)&lt;=0,N(M560)&gt;N(L560)),"택가보정(판매금액÷공급율)",""))</f>
        <v/>
      </c>
      <c r="P560" s="0" t="str">
        <f aca="false">IF(A560="HK","100",IF(A560="CN","200",IF(A560="TW","300",IF(ISNUMBER(SEARCH("태국",C560)),"500",IF(ISNUMBER(SEARCH("말레이",C560)),"600",IF(ISNUMBER(SEARCH("필리핀",C560)),"700",IF(ISNUMBER(SEARCH("인도네시아",C560)),"800",IF(ISNUMBER(SEARCH("크루즈",C560)),"810",IF(ISNUMBER(SEARCH("동물원",C560)),"830","")))))))))</f>
        <v>100</v>
      </c>
    </row>
    <row r="561" customFormat="false" ht="15" hidden="false" customHeight="false" outlineLevel="0" collapsed="false">
      <c r="A561" s="32" t="str">
        <f aca="false">IF(OR(TRIM(C561)="",SUBSTITUTE(C561," ","")="소계"),"제외",IF(ISNUMBER(SEARCH("홍콩",C561)),"HK",IF(ISNUMBER(SEARCH("상해",C561)),"CN",IF(ISNUMBER(SEARCH("대만",C561)),"TW","홀세일"))))</f>
        <v>HK</v>
      </c>
      <c r="B561" s="36" t="s">
        <v>764</v>
      </c>
      <c r="C561" s="37" t="s">
        <v>765</v>
      </c>
      <c r="D561" s="37" t="s">
        <v>123</v>
      </c>
      <c r="E561" s="36" t="n">
        <v>2026</v>
      </c>
      <c r="F561" s="37" t="s">
        <v>474</v>
      </c>
      <c r="G561" s="37" t="s">
        <v>124</v>
      </c>
      <c r="H561" s="36" t="s">
        <v>188</v>
      </c>
      <c r="I561" s="36" t="s">
        <v>948</v>
      </c>
      <c r="J561" s="36" t="s">
        <v>949</v>
      </c>
      <c r="K561" s="38" t="n">
        <v>180</v>
      </c>
      <c r="L561" s="38" t="n">
        <v>21420000</v>
      </c>
      <c r="M561" s="38" t="n">
        <v>7160580</v>
      </c>
      <c r="N561" s="39" t="n">
        <f aca="false">IF(A561="제외",0,IF(OR(N(L561)&lt;=0,N(M561)&gt;N(L561)),N(M561)/요약!$D$27,N(L561)))</f>
        <v>21420000</v>
      </c>
      <c r="O561" s="32" t="str">
        <f aca="false">IF(A561="제외","",IF(OR(N(L561)&lt;=0,N(M561)&gt;N(L561)),"택가보정(판매금액÷공급율)",""))</f>
        <v/>
      </c>
      <c r="P561" s="0" t="str">
        <f aca="false">IF(A561="HK","100",IF(A561="CN","200",IF(A561="TW","300",IF(ISNUMBER(SEARCH("태국",C561)),"500",IF(ISNUMBER(SEARCH("말레이",C561)),"600",IF(ISNUMBER(SEARCH("필리핀",C561)),"700",IF(ISNUMBER(SEARCH("인도네시아",C561)),"800",IF(ISNUMBER(SEARCH("크루즈",C561)),"810",IF(ISNUMBER(SEARCH("동물원",C561)),"830","")))))))))</f>
        <v>100</v>
      </c>
    </row>
    <row r="562" customFormat="false" ht="15" hidden="false" customHeight="false" outlineLevel="0" collapsed="false">
      <c r="A562" s="32" t="str">
        <f aca="false">IF(OR(TRIM(C562)="",SUBSTITUTE(C562," ","")="소계"),"제외",IF(ISNUMBER(SEARCH("홍콩",C562)),"HK",IF(ISNUMBER(SEARCH("상해",C562)),"CN",IF(ISNUMBER(SEARCH("대만",C562)),"TW","홀세일"))))</f>
        <v>HK</v>
      </c>
      <c r="B562" s="36" t="s">
        <v>764</v>
      </c>
      <c r="C562" s="37" t="s">
        <v>765</v>
      </c>
      <c r="D562" s="37" t="s">
        <v>123</v>
      </c>
      <c r="E562" s="36" t="n">
        <v>2026</v>
      </c>
      <c r="F562" s="36" t="s">
        <v>110</v>
      </c>
      <c r="G562" s="37" t="s">
        <v>102</v>
      </c>
      <c r="H562" s="36" t="s">
        <v>131</v>
      </c>
      <c r="I562" s="36" t="s">
        <v>585</v>
      </c>
      <c r="J562" s="36" t="s">
        <v>586</v>
      </c>
      <c r="K562" s="38" t="n">
        <v>300</v>
      </c>
      <c r="L562" s="38" t="n">
        <v>35700000</v>
      </c>
      <c r="M562" s="38" t="n">
        <v>13683300</v>
      </c>
      <c r="N562" s="39" t="n">
        <f aca="false">IF(A562="제외",0,IF(OR(N(L562)&lt;=0,N(M562)&gt;N(L562)),N(M562)/요약!$D$27,N(L562)))</f>
        <v>35700000</v>
      </c>
      <c r="O562" s="32" t="str">
        <f aca="false">IF(A562="제외","",IF(OR(N(L562)&lt;=0,N(M562)&gt;N(L562)),"택가보정(판매금액÷공급율)",""))</f>
        <v/>
      </c>
      <c r="P562" s="0" t="str">
        <f aca="false">IF(A562="HK","100",IF(A562="CN","200",IF(A562="TW","300",IF(ISNUMBER(SEARCH("태국",C562)),"500",IF(ISNUMBER(SEARCH("말레이",C562)),"600",IF(ISNUMBER(SEARCH("필리핀",C562)),"700",IF(ISNUMBER(SEARCH("인도네시아",C562)),"800",IF(ISNUMBER(SEARCH("크루즈",C562)),"810",IF(ISNUMBER(SEARCH("동물원",C562)),"830","")))))))))</f>
        <v>100</v>
      </c>
    </row>
    <row r="563" customFormat="false" ht="15" hidden="false" customHeight="false" outlineLevel="0" collapsed="false">
      <c r="A563" s="32" t="str">
        <f aca="false">IF(OR(TRIM(C563)="",SUBSTITUTE(C563," ","")="소계"),"제외",IF(ISNUMBER(SEARCH("홍콩",C563)),"HK",IF(ISNUMBER(SEARCH("상해",C563)),"CN",IF(ISNUMBER(SEARCH("대만",C563)),"TW","홀세일"))))</f>
        <v>HK</v>
      </c>
      <c r="B563" s="36" t="s">
        <v>764</v>
      </c>
      <c r="C563" s="37" t="s">
        <v>765</v>
      </c>
      <c r="D563" s="37" t="s">
        <v>123</v>
      </c>
      <c r="E563" s="36" t="n">
        <v>2026</v>
      </c>
      <c r="F563" s="36" t="s">
        <v>110</v>
      </c>
      <c r="G563" s="37" t="s">
        <v>102</v>
      </c>
      <c r="H563" s="36" t="s">
        <v>131</v>
      </c>
      <c r="I563" s="36" t="s">
        <v>950</v>
      </c>
      <c r="J563" s="37" t="s">
        <v>951</v>
      </c>
      <c r="K563" s="38" t="n">
        <v>210</v>
      </c>
      <c r="L563" s="38" t="n">
        <v>24990000</v>
      </c>
      <c r="M563" s="38" t="n">
        <v>9898350</v>
      </c>
      <c r="N563" s="39" t="n">
        <f aca="false">IF(A563="제외",0,IF(OR(N(L563)&lt;=0,N(M563)&gt;N(L563)),N(M563)/요약!$D$27,N(L563)))</f>
        <v>24990000</v>
      </c>
      <c r="O563" s="32" t="str">
        <f aca="false">IF(A563="제외","",IF(OR(N(L563)&lt;=0,N(M563)&gt;N(L563)),"택가보정(판매금액÷공급율)",""))</f>
        <v/>
      </c>
      <c r="P563" s="0" t="str">
        <f aca="false">IF(A563="HK","100",IF(A563="CN","200",IF(A563="TW","300",IF(ISNUMBER(SEARCH("태국",C563)),"500",IF(ISNUMBER(SEARCH("말레이",C563)),"600",IF(ISNUMBER(SEARCH("필리핀",C563)),"700",IF(ISNUMBER(SEARCH("인도네시아",C563)),"800",IF(ISNUMBER(SEARCH("크루즈",C563)),"810",IF(ISNUMBER(SEARCH("동물원",C563)),"830","")))))))))</f>
        <v>100</v>
      </c>
    </row>
    <row r="564" customFormat="false" ht="15" hidden="false" customHeight="false" outlineLevel="0" collapsed="false">
      <c r="A564" s="32" t="str">
        <f aca="false">IF(OR(TRIM(C564)="",SUBSTITUTE(C564," ","")="소계"),"제외",IF(ISNUMBER(SEARCH("홍콩",C564)),"HK",IF(ISNUMBER(SEARCH("상해",C564)),"CN",IF(ISNUMBER(SEARCH("대만",C564)),"TW","홀세일"))))</f>
        <v>HK</v>
      </c>
      <c r="B564" s="36" t="s">
        <v>764</v>
      </c>
      <c r="C564" s="37" t="s">
        <v>765</v>
      </c>
      <c r="D564" s="37" t="s">
        <v>123</v>
      </c>
      <c r="E564" s="36" t="n">
        <v>2026</v>
      </c>
      <c r="F564" s="36" t="s">
        <v>110</v>
      </c>
      <c r="G564" s="37" t="s">
        <v>102</v>
      </c>
      <c r="H564" s="36" t="s">
        <v>131</v>
      </c>
      <c r="I564" s="36" t="s">
        <v>952</v>
      </c>
      <c r="J564" s="37" t="s">
        <v>953</v>
      </c>
      <c r="K564" s="38" t="n">
        <v>60</v>
      </c>
      <c r="L564" s="38" t="n">
        <v>4140000</v>
      </c>
      <c r="M564" s="38" t="n">
        <v>1638660</v>
      </c>
      <c r="N564" s="39" t="n">
        <f aca="false">IF(A564="제외",0,IF(OR(N(L564)&lt;=0,N(M564)&gt;N(L564)),N(M564)/요약!$D$27,N(L564)))</f>
        <v>4140000</v>
      </c>
      <c r="O564" s="32" t="str">
        <f aca="false">IF(A564="제외","",IF(OR(N(L564)&lt;=0,N(M564)&gt;N(L564)),"택가보정(판매금액÷공급율)",""))</f>
        <v/>
      </c>
      <c r="P564" s="0" t="str">
        <f aca="false">IF(A564="HK","100",IF(A564="CN","200",IF(A564="TW","300",IF(ISNUMBER(SEARCH("태국",C564)),"500",IF(ISNUMBER(SEARCH("말레이",C564)),"600",IF(ISNUMBER(SEARCH("필리핀",C564)),"700",IF(ISNUMBER(SEARCH("인도네시아",C564)),"800",IF(ISNUMBER(SEARCH("크루즈",C564)),"810",IF(ISNUMBER(SEARCH("동물원",C564)),"830","")))))))))</f>
        <v>100</v>
      </c>
    </row>
    <row r="565" customFormat="false" ht="15" hidden="false" customHeight="false" outlineLevel="0" collapsed="false">
      <c r="A565" s="32" t="str">
        <f aca="false">IF(OR(TRIM(C565)="",SUBSTITUTE(C565," ","")="소계"),"제외",IF(ISNUMBER(SEARCH("홍콩",C565)),"HK",IF(ISNUMBER(SEARCH("상해",C565)),"CN",IF(ISNUMBER(SEARCH("대만",C565)),"TW","홀세일"))))</f>
        <v>HK</v>
      </c>
      <c r="B565" s="36" t="s">
        <v>764</v>
      </c>
      <c r="C565" s="37" t="s">
        <v>765</v>
      </c>
      <c r="D565" s="37" t="s">
        <v>123</v>
      </c>
      <c r="E565" s="36" t="n">
        <v>2026</v>
      </c>
      <c r="F565" s="36" t="s">
        <v>110</v>
      </c>
      <c r="G565" s="37" t="s">
        <v>102</v>
      </c>
      <c r="H565" s="36" t="s">
        <v>131</v>
      </c>
      <c r="I565" s="36" t="s">
        <v>954</v>
      </c>
      <c r="J565" s="37" t="s">
        <v>955</v>
      </c>
      <c r="K565" s="38" t="n">
        <v>60</v>
      </c>
      <c r="L565" s="38" t="n">
        <v>10740000</v>
      </c>
      <c r="M565" s="38" t="n">
        <v>4239180</v>
      </c>
      <c r="N565" s="39" t="n">
        <f aca="false">IF(A565="제외",0,IF(OR(N(L565)&lt;=0,N(M565)&gt;N(L565)),N(M565)/요약!$D$27,N(L565)))</f>
        <v>10740000</v>
      </c>
      <c r="O565" s="32" t="str">
        <f aca="false">IF(A565="제외","",IF(OR(N(L565)&lt;=0,N(M565)&gt;N(L565)),"택가보정(판매금액÷공급율)",""))</f>
        <v/>
      </c>
      <c r="P565" s="0" t="str">
        <f aca="false">IF(A565="HK","100",IF(A565="CN","200",IF(A565="TW","300",IF(ISNUMBER(SEARCH("태국",C565)),"500",IF(ISNUMBER(SEARCH("말레이",C565)),"600",IF(ISNUMBER(SEARCH("필리핀",C565)),"700",IF(ISNUMBER(SEARCH("인도네시아",C565)),"800",IF(ISNUMBER(SEARCH("크루즈",C565)),"810",IF(ISNUMBER(SEARCH("동물원",C565)),"830","")))))))))</f>
        <v>100</v>
      </c>
    </row>
    <row r="566" customFormat="false" ht="15" hidden="false" customHeight="false" outlineLevel="0" collapsed="false">
      <c r="A566" s="32" t="str">
        <f aca="false">IF(OR(TRIM(C566)="",SUBSTITUTE(C566," ","")="소계"),"제외",IF(ISNUMBER(SEARCH("홍콩",C566)),"HK",IF(ISNUMBER(SEARCH("상해",C566)),"CN",IF(ISNUMBER(SEARCH("대만",C566)),"TW","홀세일"))))</f>
        <v>HK</v>
      </c>
      <c r="B566" s="36" t="s">
        <v>764</v>
      </c>
      <c r="C566" s="37" t="s">
        <v>765</v>
      </c>
      <c r="D566" s="37" t="s">
        <v>123</v>
      </c>
      <c r="E566" s="36" t="n">
        <v>2026</v>
      </c>
      <c r="F566" s="36" t="s">
        <v>110</v>
      </c>
      <c r="G566" s="37" t="s">
        <v>102</v>
      </c>
      <c r="H566" s="36" t="s">
        <v>125</v>
      </c>
      <c r="I566" s="36" t="s">
        <v>589</v>
      </c>
      <c r="J566" s="37" t="s">
        <v>590</v>
      </c>
      <c r="K566" s="38" t="n">
        <v>210</v>
      </c>
      <c r="L566" s="38" t="n">
        <v>31290000</v>
      </c>
      <c r="M566" s="38" t="n">
        <v>12404070</v>
      </c>
      <c r="N566" s="39" t="n">
        <f aca="false">IF(A566="제외",0,IF(OR(N(L566)&lt;=0,N(M566)&gt;N(L566)),N(M566)/요약!$D$27,N(L566)))</f>
        <v>31290000</v>
      </c>
      <c r="O566" s="32" t="str">
        <f aca="false">IF(A566="제외","",IF(OR(N(L566)&lt;=0,N(M566)&gt;N(L566)),"택가보정(판매금액÷공급율)",""))</f>
        <v/>
      </c>
      <c r="P566" s="0" t="str">
        <f aca="false">IF(A566="HK","100",IF(A566="CN","200",IF(A566="TW","300",IF(ISNUMBER(SEARCH("태국",C566)),"500",IF(ISNUMBER(SEARCH("말레이",C566)),"600",IF(ISNUMBER(SEARCH("필리핀",C566)),"700",IF(ISNUMBER(SEARCH("인도네시아",C566)),"800",IF(ISNUMBER(SEARCH("크루즈",C566)),"810",IF(ISNUMBER(SEARCH("동물원",C566)),"830","")))))))))</f>
        <v>100</v>
      </c>
    </row>
    <row r="567" customFormat="false" ht="15" hidden="false" customHeight="false" outlineLevel="0" collapsed="false">
      <c r="A567" s="32" t="str">
        <f aca="false">IF(OR(TRIM(C567)="",SUBSTITUTE(C567," ","")="소계"),"제외",IF(ISNUMBER(SEARCH("홍콩",C567)),"HK",IF(ISNUMBER(SEARCH("상해",C567)),"CN",IF(ISNUMBER(SEARCH("대만",C567)),"TW","홀세일"))))</f>
        <v>HK</v>
      </c>
      <c r="B567" s="36" t="s">
        <v>764</v>
      </c>
      <c r="C567" s="37" t="s">
        <v>765</v>
      </c>
      <c r="D567" s="37" t="s">
        <v>123</v>
      </c>
      <c r="E567" s="36" t="n">
        <v>2026</v>
      </c>
      <c r="F567" s="36" t="s">
        <v>110</v>
      </c>
      <c r="G567" s="37" t="s">
        <v>102</v>
      </c>
      <c r="H567" s="36" t="s">
        <v>131</v>
      </c>
      <c r="I567" s="36" t="s">
        <v>599</v>
      </c>
      <c r="J567" s="37" t="s">
        <v>600</v>
      </c>
      <c r="K567" s="38" t="n">
        <v>300</v>
      </c>
      <c r="L567" s="38" t="n">
        <v>23700000</v>
      </c>
      <c r="M567" s="38" t="n">
        <v>9128700</v>
      </c>
      <c r="N567" s="39" t="n">
        <f aca="false">IF(A567="제외",0,IF(OR(N(L567)&lt;=0,N(M567)&gt;N(L567)),N(M567)/요약!$D$27,N(L567)))</f>
        <v>23700000</v>
      </c>
      <c r="O567" s="32" t="str">
        <f aca="false">IF(A567="제외","",IF(OR(N(L567)&lt;=0,N(M567)&gt;N(L567)),"택가보정(판매금액÷공급율)",""))</f>
        <v/>
      </c>
      <c r="P567" s="0" t="str">
        <f aca="false">IF(A567="HK","100",IF(A567="CN","200",IF(A567="TW","300",IF(ISNUMBER(SEARCH("태국",C567)),"500",IF(ISNUMBER(SEARCH("말레이",C567)),"600",IF(ISNUMBER(SEARCH("필리핀",C567)),"700",IF(ISNUMBER(SEARCH("인도네시아",C567)),"800",IF(ISNUMBER(SEARCH("크루즈",C567)),"810",IF(ISNUMBER(SEARCH("동물원",C567)),"830","")))))))))</f>
        <v>100</v>
      </c>
    </row>
    <row r="568" customFormat="false" ht="15" hidden="false" customHeight="false" outlineLevel="0" collapsed="false">
      <c r="A568" s="32" t="str">
        <f aca="false">IF(OR(TRIM(C568)="",SUBSTITUTE(C568," ","")="소계"),"제외",IF(ISNUMBER(SEARCH("홍콩",C568)),"HK",IF(ISNUMBER(SEARCH("상해",C568)),"CN",IF(ISNUMBER(SEARCH("대만",C568)),"TW","홀세일"))))</f>
        <v>HK</v>
      </c>
      <c r="B568" s="36" t="s">
        <v>764</v>
      </c>
      <c r="C568" s="37" t="s">
        <v>765</v>
      </c>
      <c r="D568" s="37" t="s">
        <v>123</v>
      </c>
      <c r="E568" s="36" t="n">
        <v>2026</v>
      </c>
      <c r="F568" s="36" t="s">
        <v>110</v>
      </c>
      <c r="G568" s="37" t="s">
        <v>102</v>
      </c>
      <c r="H568" s="36" t="s">
        <v>131</v>
      </c>
      <c r="I568" s="36" t="s">
        <v>956</v>
      </c>
      <c r="J568" s="37" t="s">
        <v>957</v>
      </c>
      <c r="K568" s="38" t="n">
        <v>500</v>
      </c>
      <c r="L568" s="38" t="n">
        <v>44500000</v>
      </c>
      <c r="M568" s="38" t="n">
        <v>17003500</v>
      </c>
      <c r="N568" s="39" t="n">
        <f aca="false">IF(A568="제외",0,IF(OR(N(L568)&lt;=0,N(M568)&gt;N(L568)),N(M568)/요약!$D$27,N(L568)))</f>
        <v>44500000</v>
      </c>
      <c r="O568" s="32" t="str">
        <f aca="false">IF(A568="제외","",IF(OR(N(L568)&lt;=0,N(M568)&gt;N(L568)),"택가보정(판매금액÷공급율)",""))</f>
        <v/>
      </c>
      <c r="P568" s="0" t="str">
        <f aca="false">IF(A568="HK","100",IF(A568="CN","200",IF(A568="TW","300",IF(ISNUMBER(SEARCH("태국",C568)),"500",IF(ISNUMBER(SEARCH("말레이",C568)),"600",IF(ISNUMBER(SEARCH("필리핀",C568)),"700",IF(ISNUMBER(SEARCH("인도네시아",C568)),"800",IF(ISNUMBER(SEARCH("크루즈",C568)),"810",IF(ISNUMBER(SEARCH("동물원",C568)),"830","")))))))))</f>
        <v>100</v>
      </c>
    </row>
    <row r="569" customFormat="false" ht="15" hidden="false" customHeight="false" outlineLevel="0" collapsed="false">
      <c r="A569" s="32" t="str">
        <f aca="false">IF(OR(TRIM(C569)="",SUBSTITUTE(C569," ","")="소계"),"제외",IF(ISNUMBER(SEARCH("홍콩",C569)),"HK",IF(ISNUMBER(SEARCH("상해",C569)),"CN",IF(ISNUMBER(SEARCH("대만",C569)),"TW","홀세일"))))</f>
        <v>HK</v>
      </c>
      <c r="B569" s="36" t="s">
        <v>764</v>
      </c>
      <c r="C569" s="37" t="s">
        <v>765</v>
      </c>
      <c r="D569" s="37" t="s">
        <v>123</v>
      </c>
      <c r="E569" s="36" t="n">
        <v>2026</v>
      </c>
      <c r="F569" s="36" t="s">
        <v>110</v>
      </c>
      <c r="G569" s="37" t="s">
        <v>102</v>
      </c>
      <c r="H569" s="36" t="s">
        <v>131</v>
      </c>
      <c r="I569" s="36" t="s">
        <v>601</v>
      </c>
      <c r="J569" s="37" t="s">
        <v>602</v>
      </c>
      <c r="K569" s="38" t="n">
        <v>550</v>
      </c>
      <c r="L569" s="38" t="n">
        <v>43450000</v>
      </c>
      <c r="M569" s="38" t="n">
        <v>16573150</v>
      </c>
      <c r="N569" s="39" t="n">
        <f aca="false">IF(A569="제외",0,IF(OR(N(L569)&lt;=0,N(M569)&gt;N(L569)),N(M569)/요약!$D$27,N(L569)))</f>
        <v>43450000</v>
      </c>
      <c r="O569" s="32" t="str">
        <f aca="false">IF(A569="제외","",IF(OR(N(L569)&lt;=0,N(M569)&gt;N(L569)),"택가보정(판매금액÷공급율)",""))</f>
        <v/>
      </c>
      <c r="P569" s="0" t="str">
        <f aca="false">IF(A569="HK","100",IF(A569="CN","200",IF(A569="TW","300",IF(ISNUMBER(SEARCH("태국",C569)),"500",IF(ISNUMBER(SEARCH("말레이",C569)),"600",IF(ISNUMBER(SEARCH("필리핀",C569)),"700",IF(ISNUMBER(SEARCH("인도네시아",C569)),"800",IF(ISNUMBER(SEARCH("크루즈",C569)),"810",IF(ISNUMBER(SEARCH("동물원",C569)),"830","")))))))))</f>
        <v>100</v>
      </c>
    </row>
    <row r="570" customFormat="false" ht="15" hidden="false" customHeight="false" outlineLevel="0" collapsed="false">
      <c r="A570" s="32" t="str">
        <f aca="false">IF(OR(TRIM(C570)="",SUBSTITUTE(C570," ","")="소계"),"제외",IF(ISNUMBER(SEARCH("홍콩",C570)),"HK",IF(ISNUMBER(SEARCH("상해",C570)),"CN",IF(ISNUMBER(SEARCH("대만",C570)),"TW","홀세일"))))</f>
        <v>HK</v>
      </c>
      <c r="B570" s="36" t="s">
        <v>764</v>
      </c>
      <c r="C570" s="37" t="s">
        <v>765</v>
      </c>
      <c r="D570" s="37" t="s">
        <v>123</v>
      </c>
      <c r="E570" s="36" t="n">
        <v>2026</v>
      </c>
      <c r="F570" s="36" t="s">
        <v>110</v>
      </c>
      <c r="G570" s="37" t="s">
        <v>102</v>
      </c>
      <c r="H570" s="36" t="s">
        <v>131</v>
      </c>
      <c r="I570" s="36" t="s">
        <v>605</v>
      </c>
      <c r="J570" s="37" t="s">
        <v>606</v>
      </c>
      <c r="K570" s="38" t="n">
        <v>300</v>
      </c>
      <c r="L570" s="38" t="n">
        <v>20700000</v>
      </c>
      <c r="M570" s="38" t="n">
        <v>7998600</v>
      </c>
      <c r="N570" s="39" t="n">
        <f aca="false">IF(A570="제외",0,IF(OR(N(L570)&lt;=0,N(M570)&gt;N(L570)),N(M570)/요약!$D$27,N(L570)))</f>
        <v>20700000</v>
      </c>
      <c r="O570" s="32" t="str">
        <f aca="false">IF(A570="제외","",IF(OR(N(L570)&lt;=0,N(M570)&gt;N(L570)),"택가보정(판매금액÷공급율)",""))</f>
        <v/>
      </c>
      <c r="P570" s="0" t="str">
        <f aca="false">IF(A570="HK","100",IF(A570="CN","200",IF(A570="TW","300",IF(ISNUMBER(SEARCH("태국",C570)),"500",IF(ISNUMBER(SEARCH("말레이",C570)),"600",IF(ISNUMBER(SEARCH("필리핀",C570)),"700",IF(ISNUMBER(SEARCH("인도네시아",C570)),"800",IF(ISNUMBER(SEARCH("크루즈",C570)),"810",IF(ISNUMBER(SEARCH("동물원",C570)),"830","")))))))))</f>
        <v>100</v>
      </c>
    </row>
    <row r="571" customFormat="false" ht="15" hidden="false" customHeight="false" outlineLevel="0" collapsed="false">
      <c r="A571" s="32" t="str">
        <f aca="false">IF(OR(TRIM(C571)="",SUBSTITUTE(C571," ","")="소계"),"제외",IF(ISNUMBER(SEARCH("홍콩",C571)),"HK",IF(ISNUMBER(SEARCH("상해",C571)),"CN",IF(ISNUMBER(SEARCH("대만",C571)),"TW","홀세일"))))</f>
        <v>HK</v>
      </c>
      <c r="B571" s="36" t="s">
        <v>764</v>
      </c>
      <c r="C571" s="37" t="s">
        <v>765</v>
      </c>
      <c r="D571" s="37" t="s">
        <v>123</v>
      </c>
      <c r="E571" s="36" t="n">
        <v>2026</v>
      </c>
      <c r="F571" s="36" t="s">
        <v>110</v>
      </c>
      <c r="G571" s="37" t="s">
        <v>102</v>
      </c>
      <c r="H571" s="36" t="s">
        <v>131</v>
      </c>
      <c r="I571" s="36" t="s">
        <v>958</v>
      </c>
      <c r="J571" s="37" t="s">
        <v>959</v>
      </c>
      <c r="K571" s="38" t="n">
        <v>350</v>
      </c>
      <c r="L571" s="38" t="n">
        <v>17150000</v>
      </c>
      <c r="M571" s="38" t="n">
        <v>6839000</v>
      </c>
      <c r="N571" s="39" t="n">
        <f aca="false">IF(A571="제외",0,IF(OR(N(L571)&lt;=0,N(M571)&gt;N(L571)),N(M571)/요약!$D$27,N(L571)))</f>
        <v>17150000</v>
      </c>
      <c r="O571" s="32" t="str">
        <f aca="false">IF(A571="제외","",IF(OR(N(L571)&lt;=0,N(M571)&gt;N(L571)),"택가보정(판매금액÷공급율)",""))</f>
        <v/>
      </c>
      <c r="P571" s="0" t="str">
        <f aca="false">IF(A571="HK","100",IF(A571="CN","200",IF(A571="TW","300",IF(ISNUMBER(SEARCH("태국",C571)),"500",IF(ISNUMBER(SEARCH("말레이",C571)),"600",IF(ISNUMBER(SEARCH("필리핀",C571)),"700",IF(ISNUMBER(SEARCH("인도네시아",C571)),"800",IF(ISNUMBER(SEARCH("크루즈",C571)),"810",IF(ISNUMBER(SEARCH("동물원",C571)),"830","")))))))))</f>
        <v>100</v>
      </c>
    </row>
    <row r="572" customFormat="false" ht="15" hidden="false" customHeight="false" outlineLevel="0" collapsed="false">
      <c r="A572" s="32" t="str">
        <f aca="false">IF(OR(TRIM(C572)="",SUBSTITUTE(C572," ","")="소계"),"제외",IF(ISNUMBER(SEARCH("홍콩",C572)),"HK",IF(ISNUMBER(SEARCH("상해",C572)),"CN",IF(ISNUMBER(SEARCH("대만",C572)),"TW","홀세일"))))</f>
        <v>HK</v>
      </c>
      <c r="B572" s="36" t="s">
        <v>764</v>
      </c>
      <c r="C572" s="37" t="s">
        <v>765</v>
      </c>
      <c r="D572" s="37" t="s">
        <v>123</v>
      </c>
      <c r="E572" s="36" t="n">
        <v>2026</v>
      </c>
      <c r="F572" s="36" t="s">
        <v>110</v>
      </c>
      <c r="G572" s="37" t="s">
        <v>102</v>
      </c>
      <c r="H572" s="36" t="s">
        <v>131</v>
      </c>
      <c r="I572" s="36" t="s">
        <v>607</v>
      </c>
      <c r="J572" s="37" t="s">
        <v>608</v>
      </c>
      <c r="K572" s="38" t="n">
        <v>550</v>
      </c>
      <c r="L572" s="38" t="n">
        <v>43450000</v>
      </c>
      <c r="M572" s="38" t="n">
        <v>16735950</v>
      </c>
      <c r="N572" s="39" t="n">
        <f aca="false">IF(A572="제외",0,IF(OR(N(L572)&lt;=0,N(M572)&gt;N(L572)),N(M572)/요약!$D$27,N(L572)))</f>
        <v>43450000</v>
      </c>
      <c r="O572" s="32" t="str">
        <f aca="false">IF(A572="제외","",IF(OR(N(L572)&lt;=0,N(M572)&gt;N(L572)),"택가보정(판매금액÷공급율)",""))</f>
        <v/>
      </c>
      <c r="P572" s="0" t="str">
        <f aca="false">IF(A572="HK","100",IF(A572="CN","200",IF(A572="TW","300",IF(ISNUMBER(SEARCH("태국",C572)),"500",IF(ISNUMBER(SEARCH("말레이",C572)),"600",IF(ISNUMBER(SEARCH("필리핀",C572)),"700",IF(ISNUMBER(SEARCH("인도네시아",C572)),"800",IF(ISNUMBER(SEARCH("크루즈",C572)),"810",IF(ISNUMBER(SEARCH("동물원",C572)),"830","")))))))))</f>
        <v>100</v>
      </c>
    </row>
    <row r="573" customFormat="false" ht="15" hidden="false" customHeight="false" outlineLevel="0" collapsed="false">
      <c r="A573" s="32" t="str">
        <f aca="false">IF(OR(TRIM(C573)="",SUBSTITUTE(C573," ","")="소계"),"제외",IF(ISNUMBER(SEARCH("홍콩",C573)),"HK",IF(ISNUMBER(SEARCH("상해",C573)),"CN",IF(ISNUMBER(SEARCH("대만",C573)),"TW","홀세일"))))</f>
        <v>HK</v>
      </c>
      <c r="B573" s="36" t="s">
        <v>764</v>
      </c>
      <c r="C573" s="37" t="s">
        <v>765</v>
      </c>
      <c r="D573" s="37" t="s">
        <v>123</v>
      </c>
      <c r="E573" s="36" t="n">
        <v>2026</v>
      </c>
      <c r="F573" s="36" t="s">
        <v>110</v>
      </c>
      <c r="G573" s="37" t="s">
        <v>102</v>
      </c>
      <c r="H573" s="36" t="s">
        <v>131</v>
      </c>
      <c r="I573" s="36" t="s">
        <v>609</v>
      </c>
      <c r="J573" s="36" t="s">
        <v>610</v>
      </c>
      <c r="K573" s="38" t="n">
        <v>250</v>
      </c>
      <c r="L573" s="38" t="n">
        <v>14750000</v>
      </c>
      <c r="M573" s="38" t="n">
        <v>5665250</v>
      </c>
      <c r="N573" s="39" t="n">
        <f aca="false">IF(A573="제외",0,IF(OR(N(L573)&lt;=0,N(M573)&gt;N(L573)),N(M573)/요약!$D$27,N(L573)))</f>
        <v>14750000</v>
      </c>
      <c r="O573" s="32" t="str">
        <f aca="false">IF(A573="제외","",IF(OR(N(L573)&lt;=0,N(M573)&gt;N(L573)),"택가보정(판매금액÷공급율)",""))</f>
        <v/>
      </c>
      <c r="P573" s="0" t="str">
        <f aca="false">IF(A573="HK","100",IF(A573="CN","200",IF(A573="TW","300",IF(ISNUMBER(SEARCH("태국",C573)),"500",IF(ISNUMBER(SEARCH("말레이",C573)),"600",IF(ISNUMBER(SEARCH("필리핀",C573)),"700",IF(ISNUMBER(SEARCH("인도네시아",C573)),"800",IF(ISNUMBER(SEARCH("크루즈",C573)),"810",IF(ISNUMBER(SEARCH("동물원",C573)),"830","")))))))))</f>
        <v>100</v>
      </c>
    </row>
    <row r="574" customFormat="false" ht="15" hidden="false" customHeight="false" outlineLevel="0" collapsed="false">
      <c r="A574" s="32" t="str">
        <f aca="false">IF(OR(TRIM(C574)="",SUBSTITUTE(C574," ","")="소계"),"제외",IF(ISNUMBER(SEARCH("홍콩",C574)),"HK",IF(ISNUMBER(SEARCH("상해",C574)),"CN",IF(ISNUMBER(SEARCH("대만",C574)),"TW","홀세일"))))</f>
        <v>HK</v>
      </c>
      <c r="B574" s="36" t="s">
        <v>764</v>
      </c>
      <c r="C574" s="37" t="s">
        <v>765</v>
      </c>
      <c r="D574" s="37" t="s">
        <v>123</v>
      </c>
      <c r="E574" s="36" t="n">
        <v>2026</v>
      </c>
      <c r="F574" s="36" t="s">
        <v>110</v>
      </c>
      <c r="G574" s="37" t="s">
        <v>102</v>
      </c>
      <c r="H574" s="36" t="s">
        <v>131</v>
      </c>
      <c r="I574" s="36" t="s">
        <v>960</v>
      </c>
      <c r="J574" s="36" t="s">
        <v>961</v>
      </c>
      <c r="K574" s="38" t="n">
        <v>350</v>
      </c>
      <c r="L574" s="38" t="n">
        <v>27650000</v>
      </c>
      <c r="M574" s="38" t="n">
        <v>10608850</v>
      </c>
      <c r="N574" s="39" t="n">
        <f aca="false">IF(A574="제외",0,IF(OR(N(L574)&lt;=0,N(M574)&gt;N(L574)),N(M574)/요약!$D$27,N(L574)))</f>
        <v>27650000</v>
      </c>
      <c r="O574" s="32" t="str">
        <f aca="false">IF(A574="제외","",IF(OR(N(L574)&lt;=0,N(M574)&gt;N(L574)),"택가보정(판매금액÷공급율)",""))</f>
        <v/>
      </c>
      <c r="P574" s="0" t="str">
        <f aca="false">IF(A574="HK","100",IF(A574="CN","200",IF(A574="TW","300",IF(ISNUMBER(SEARCH("태국",C574)),"500",IF(ISNUMBER(SEARCH("말레이",C574)),"600",IF(ISNUMBER(SEARCH("필리핀",C574)),"700",IF(ISNUMBER(SEARCH("인도네시아",C574)),"800",IF(ISNUMBER(SEARCH("크루즈",C574)),"810",IF(ISNUMBER(SEARCH("동물원",C574)),"830","")))))))))</f>
        <v>100</v>
      </c>
    </row>
    <row r="575" customFormat="false" ht="15" hidden="false" customHeight="false" outlineLevel="0" collapsed="false">
      <c r="A575" s="32" t="str">
        <f aca="false">IF(OR(TRIM(C575)="",SUBSTITUTE(C575," ","")="소계"),"제외",IF(ISNUMBER(SEARCH("홍콩",C575)),"HK",IF(ISNUMBER(SEARCH("상해",C575)),"CN",IF(ISNUMBER(SEARCH("대만",C575)),"TW","홀세일"))))</f>
        <v>HK</v>
      </c>
      <c r="B575" s="36" t="s">
        <v>764</v>
      </c>
      <c r="C575" s="37" t="s">
        <v>765</v>
      </c>
      <c r="D575" s="37" t="s">
        <v>123</v>
      </c>
      <c r="E575" s="36" t="n">
        <v>2026</v>
      </c>
      <c r="F575" s="36" t="s">
        <v>110</v>
      </c>
      <c r="G575" s="37" t="s">
        <v>102</v>
      </c>
      <c r="H575" s="36" t="s">
        <v>131</v>
      </c>
      <c r="I575" s="36" t="s">
        <v>611</v>
      </c>
      <c r="J575" s="36" t="s">
        <v>612</v>
      </c>
      <c r="K575" s="38" t="n">
        <v>350</v>
      </c>
      <c r="L575" s="38" t="n">
        <v>24150000</v>
      </c>
      <c r="M575" s="38" t="n">
        <v>9295650</v>
      </c>
      <c r="N575" s="39" t="n">
        <f aca="false">IF(A575="제외",0,IF(OR(N(L575)&lt;=0,N(M575)&gt;N(L575)),N(M575)/요약!$D$27,N(L575)))</f>
        <v>24150000</v>
      </c>
      <c r="O575" s="32" t="str">
        <f aca="false">IF(A575="제외","",IF(OR(N(L575)&lt;=0,N(M575)&gt;N(L575)),"택가보정(판매금액÷공급율)",""))</f>
        <v/>
      </c>
      <c r="P575" s="0" t="str">
        <f aca="false">IF(A575="HK","100",IF(A575="CN","200",IF(A575="TW","300",IF(ISNUMBER(SEARCH("태국",C575)),"500",IF(ISNUMBER(SEARCH("말레이",C575)),"600",IF(ISNUMBER(SEARCH("필리핀",C575)),"700",IF(ISNUMBER(SEARCH("인도네시아",C575)),"800",IF(ISNUMBER(SEARCH("크루즈",C575)),"810",IF(ISNUMBER(SEARCH("동물원",C575)),"830","")))))))))</f>
        <v>100</v>
      </c>
    </row>
    <row r="576" customFormat="false" ht="15" hidden="false" customHeight="false" outlineLevel="0" collapsed="false">
      <c r="A576" s="32" t="str">
        <f aca="false">IF(OR(TRIM(C576)="",SUBSTITUTE(C576," ","")="소계"),"제외",IF(ISNUMBER(SEARCH("홍콩",C576)),"HK",IF(ISNUMBER(SEARCH("상해",C576)),"CN",IF(ISNUMBER(SEARCH("대만",C576)),"TW","홀세일"))))</f>
        <v>HK</v>
      </c>
      <c r="B576" s="36" t="s">
        <v>764</v>
      </c>
      <c r="C576" s="37" t="s">
        <v>765</v>
      </c>
      <c r="D576" s="37" t="s">
        <v>123</v>
      </c>
      <c r="E576" s="36" t="n">
        <v>2026</v>
      </c>
      <c r="F576" s="36" t="s">
        <v>110</v>
      </c>
      <c r="G576" s="37" t="s">
        <v>102</v>
      </c>
      <c r="H576" s="36" t="s">
        <v>131</v>
      </c>
      <c r="I576" s="36" t="s">
        <v>962</v>
      </c>
      <c r="J576" s="37" t="s">
        <v>963</v>
      </c>
      <c r="K576" s="38" t="n">
        <v>100</v>
      </c>
      <c r="L576" s="38" t="n">
        <v>3900000</v>
      </c>
      <c r="M576" s="38" t="n">
        <v>1543700</v>
      </c>
      <c r="N576" s="39" t="n">
        <f aca="false">IF(A576="제외",0,IF(OR(N(L576)&lt;=0,N(M576)&gt;N(L576)),N(M576)/요약!$D$27,N(L576)))</f>
        <v>3900000</v>
      </c>
      <c r="O576" s="32" t="str">
        <f aca="false">IF(A576="제외","",IF(OR(N(L576)&lt;=0,N(M576)&gt;N(L576)),"택가보정(판매금액÷공급율)",""))</f>
        <v/>
      </c>
      <c r="P576" s="0" t="str">
        <f aca="false">IF(A576="HK","100",IF(A576="CN","200",IF(A576="TW","300",IF(ISNUMBER(SEARCH("태국",C576)),"500",IF(ISNUMBER(SEARCH("말레이",C576)),"600",IF(ISNUMBER(SEARCH("필리핀",C576)),"700",IF(ISNUMBER(SEARCH("인도네시아",C576)),"800",IF(ISNUMBER(SEARCH("크루즈",C576)),"810",IF(ISNUMBER(SEARCH("동물원",C576)),"830","")))))))))</f>
        <v>100</v>
      </c>
    </row>
    <row r="577" customFormat="false" ht="15" hidden="false" customHeight="false" outlineLevel="0" collapsed="false">
      <c r="A577" s="32" t="str">
        <f aca="false">IF(OR(TRIM(C577)="",SUBSTITUTE(C577," ","")="소계"),"제외",IF(ISNUMBER(SEARCH("홍콩",C577)),"HK",IF(ISNUMBER(SEARCH("상해",C577)),"CN",IF(ISNUMBER(SEARCH("대만",C577)),"TW","홀세일"))))</f>
        <v>HK</v>
      </c>
      <c r="B577" s="36" t="s">
        <v>764</v>
      </c>
      <c r="C577" s="37" t="s">
        <v>765</v>
      </c>
      <c r="D577" s="37" t="s">
        <v>123</v>
      </c>
      <c r="E577" s="36" t="n">
        <v>2026</v>
      </c>
      <c r="F577" s="36" t="s">
        <v>110</v>
      </c>
      <c r="G577" s="37" t="s">
        <v>102</v>
      </c>
      <c r="H577" s="36" t="s">
        <v>131</v>
      </c>
      <c r="I577" s="36" t="s">
        <v>964</v>
      </c>
      <c r="J577" s="37" t="s">
        <v>965</v>
      </c>
      <c r="K577" s="38" t="n">
        <v>100</v>
      </c>
      <c r="L577" s="38" t="n">
        <v>4900000</v>
      </c>
      <c r="M577" s="38" t="n">
        <v>1944400</v>
      </c>
      <c r="N577" s="39" t="n">
        <f aca="false">IF(A577="제외",0,IF(OR(N(L577)&lt;=0,N(M577)&gt;N(L577)),N(M577)/요약!$D$27,N(L577)))</f>
        <v>4900000</v>
      </c>
      <c r="O577" s="32" t="str">
        <f aca="false">IF(A577="제외","",IF(OR(N(L577)&lt;=0,N(M577)&gt;N(L577)),"택가보정(판매금액÷공급율)",""))</f>
        <v/>
      </c>
      <c r="P577" s="0" t="str">
        <f aca="false">IF(A577="HK","100",IF(A577="CN","200",IF(A577="TW","300",IF(ISNUMBER(SEARCH("태국",C577)),"500",IF(ISNUMBER(SEARCH("말레이",C577)),"600",IF(ISNUMBER(SEARCH("필리핀",C577)),"700",IF(ISNUMBER(SEARCH("인도네시아",C577)),"800",IF(ISNUMBER(SEARCH("크루즈",C577)),"810",IF(ISNUMBER(SEARCH("동물원",C577)),"830","")))))))))</f>
        <v>100</v>
      </c>
    </row>
    <row r="578" customFormat="false" ht="15" hidden="false" customHeight="false" outlineLevel="0" collapsed="false">
      <c r="A578" s="32" t="str">
        <f aca="false">IF(OR(TRIM(C578)="",SUBSTITUTE(C578," ","")="소계"),"제외",IF(ISNUMBER(SEARCH("홍콩",C578)),"HK",IF(ISNUMBER(SEARCH("상해",C578)),"CN",IF(ISNUMBER(SEARCH("대만",C578)),"TW","홀세일"))))</f>
        <v>HK</v>
      </c>
      <c r="B578" s="36" t="s">
        <v>764</v>
      </c>
      <c r="C578" s="37" t="s">
        <v>765</v>
      </c>
      <c r="D578" s="37" t="s">
        <v>123</v>
      </c>
      <c r="E578" s="36" t="n">
        <v>2026</v>
      </c>
      <c r="F578" s="36" t="s">
        <v>110</v>
      </c>
      <c r="G578" s="37" t="s">
        <v>102</v>
      </c>
      <c r="H578" s="36" t="s">
        <v>131</v>
      </c>
      <c r="I578" s="36" t="s">
        <v>966</v>
      </c>
      <c r="J578" s="37" t="s">
        <v>967</v>
      </c>
      <c r="K578" s="38" t="n">
        <v>80</v>
      </c>
      <c r="L578" s="38" t="n">
        <v>4720000</v>
      </c>
      <c r="M578" s="38" t="n">
        <v>1864320</v>
      </c>
      <c r="N578" s="39" t="n">
        <f aca="false">IF(A578="제외",0,IF(OR(N(L578)&lt;=0,N(M578)&gt;N(L578)),N(M578)/요약!$D$27,N(L578)))</f>
        <v>4720000</v>
      </c>
      <c r="O578" s="32" t="str">
        <f aca="false">IF(A578="제외","",IF(OR(N(L578)&lt;=0,N(M578)&gt;N(L578)),"택가보정(판매금액÷공급율)",""))</f>
        <v/>
      </c>
      <c r="P578" s="0" t="str">
        <f aca="false">IF(A578="HK","100",IF(A578="CN","200",IF(A578="TW","300",IF(ISNUMBER(SEARCH("태국",C578)),"500",IF(ISNUMBER(SEARCH("말레이",C578)),"600",IF(ISNUMBER(SEARCH("필리핀",C578)),"700",IF(ISNUMBER(SEARCH("인도네시아",C578)),"800",IF(ISNUMBER(SEARCH("크루즈",C578)),"810",IF(ISNUMBER(SEARCH("동물원",C578)),"830","")))))))))</f>
        <v>100</v>
      </c>
    </row>
    <row r="579" customFormat="false" ht="15" hidden="false" customHeight="false" outlineLevel="0" collapsed="false">
      <c r="A579" s="32" t="str">
        <f aca="false">IF(OR(TRIM(C579)="",SUBSTITUTE(C579," ","")="소계"),"제외",IF(ISNUMBER(SEARCH("홍콩",C579)),"HK",IF(ISNUMBER(SEARCH("상해",C579)),"CN",IF(ISNUMBER(SEARCH("대만",C579)),"TW","홀세일"))))</f>
        <v>HK</v>
      </c>
      <c r="B579" s="36" t="s">
        <v>764</v>
      </c>
      <c r="C579" s="37" t="s">
        <v>765</v>
      </c>
      <c r="D579" s="37" t="s">
        <v>123</v>
      </c>
      <c r="E579" s="36" t="n">
        <v>2026</v>
      </c>
      <c r="F579" s="36" t="s">
        <v>110</v>
      </c>
      <c r="G579" s="37" t="s">
        <v>102</v>
      </c>
      <c r="H579" s="36" t="s">
        <v>131</v>
      </c>
      <c r="I579" s="36" t="s">
        <v>619</v>
      </c>
      <c r="J579" s="37" t="s">
        <v>620</v>
      </c>
      <c r="K579" s="38" t="n">
        <v>530</v>
      </c>
      <c r="L579" s="38" t="n">
        <v>20670000</v>
      </c>
      <c r="M579" s="38" t="n">
        <v>7989220</v>
      </c>
      <c r="N579" s="39" t="n">
        <f aca="false">IF(A579="제외",0,IF(OR(N(L579)&lt;=0,N(M579)&gt;N(L579)),N(M579)/요약!$D$27,N(L579)))</f>
        <v>20670000</v>
      </c>
      <c r="O579" s="32" t="str">
        <f aca="false">IF(A579="제외","",IF(OR(N(L579)&lt;=0,N(M579)&gt;N(L579)),"택가보정(판매금액÷공급율)",""))</f>
        <v/>
      </c>
      <c r="P579" s="0" t="str">
        <f aca="false">IF(A579="HK","100",IF(A579="CN","200",IF(A579="TW","300",IF(ISNUMBER(SEARCH("태국",C579)),"500",IF(ISNUMBER(SEARCH("말레이",C579)),"600",IF(ISNUMBER(SEARCH("필리핀",C579)),"700",IF(ISNUMBER(SEARCH("인도네시아",C579)),"800",IF(ISNUMBER(SEARCH("크루즈",C579)),"810",IF(ISNUMBER(SEARCH("동물원",C579)),"830","")))))))))</f>
        <v>100</v>
      </c>
    </row>
    <row r="580" customFormat="false" ht="15" hidden="false" customHeight="false" outlineLevel="0" collapsed="false">
      <c r="A580" s="32" t="str">
        <f aca="false">IF(OR(TRIM(C580)="",SUBSTITUTE(C580," ","")="소계"),"제외",IF(ISNUMBER(SEARCH("홍콩",C580)),"HK",IF(ISNUMBER(SEARCH("상해",C580)),"CN",IF(ISNUMBER(SEARCH("대만",C580)),"TW","홀세일"))))</f>
        <v>HK</v>
      </c>
      <c r="B580" s="36" t="s">
        <v>764</v>
      </c>
      <c r="C580" s="37" t="s">
        <v>765</v>
      </c>
      <c r="D580" s="37" t="s">
        <v>123</v>
      </c>
      <c r="E580" s="36" t="n">
        <v>2026</v>
      </c>
      <c r="F580" s="36" t="s">
        <v>110</v>
      </c>
      <c r="G580" s="37" t="s">
        <v>102</v>
      </c>
      <c r="H580" s="36" t="s">
        <v>131</v>
      </c>
      <c r="I580" s="36" t="s">
        <v>621</v>
      </c>
      <c r="J580" s="37" t="s">
        <v>622</v>
      </c>
      <c r="K580" s="38" t="n">
        <v>470</v>
      </c>
      <c r="L580" s="38" t="n">
        <v>18330000</v>
      </c>
      <c r="M580" s="38" t="n">
        <v>7072090</v>
      </c>
      <c r="N580" s="39" t="n">
        <f aca="false">IF(A580="제외",0,IF(OR(N(L580)&lt;=0,N(M580)&gt;N(L580)),N(M580)/요약!$D$27,N(L580)))</f>
        <v>18330000</v>
      </c>
      <c r="O580" s="32" t="str">
        <f aca="false">IF(A580="제외","",IF(OR(N(L580)&lt;=0,N(M580)&gt;N(L580)),"택가보정(판매금액÷공급율)",""))</f>
        <v/>
      </c>
      <c r="P580" s="0" t="str">
        <f aca="false">IF(A580="HK","100",IF(A580="CN","200",IF(A580="TW","300",IF(ISNUMBER(SEARCH("태국",C580)),"500",IF(ISNUMBER(SEARCH("말레이",C580)),"600",IF(ISNUMBER(SEARCH("필리핀",C580)),"700",IF(ISNUMBER(SEARCH("인도네시아",C580)),"800",IF(ISNUMBER(SEARCH("크루즈",C580)),"810",IF(ISNUMBER(SEARCH("동물원",C580)),"830","")))))))))</f>
        <v>100</v>
      </c>
    </row>
    <row r="581" customFormat="false" ht="15" hidden="false" customHeight="false" outlineLevel="0" collapsed="false">
      <c r="A581" s="32" t="str">
        <f aca="false">IF(OR(TRIM(C581)="",SUBSTITUTE(C581," ","")="소계"),"제외",IF(ISNUMBER(SEARCH("홍콩",C581)),"HK",IF(ISNUMBER(SEARCH("상해",C581)),"CN",IF(ISNUMBER(SEARCH("대만",C581)),"TW","홀세일"))))</f>
        <v>HK</v>
      </c>
      <c r="B581" s="36" t="s">
        <v>764</v>
      </c>
      <c r="C581" s="37" t="s">
        <v>765</v>
      </c>
      <c r="D581" s="37" t="s">
        <v>123</v>
      </c>
      <c r="E581" s="36" t="n">
        <v>2026</v>
      </c>
      <c r="F581" s="36" t="s">
        <v>110</v>
      </c>
      <c r="G581" s="37" t="s">
        <v>102</v>
      </c>
      <c r="H581" s="36" t="s">
        <v>131</v>
      </c>
      <c r="I581" s="36" t="s">
        <v>968</v>
      </c>
      <c r="J581" s="37" t="s">
        <v>969</v>
      </c>
      <c r="K581" s="38" t="n">
        <v>200</v>
      </c>
      <c r="L581" s="38" t="n">
        <v>9800000</v>
      </c>
      <c r="M581" s="38" t="n">
        <v>3797400</v>
      </c>
      <c r="N581" s="39" t="n">
        <f aca="false">IF(A581="제외",0,IF(OR(N(L581)&lt;=0,N(M581)&gt;N(L581)),N(M581)/요약!$D$27,N(L581)))</f>
        <v>9800000</v>
      </c>
      <c r="O581" s="32" t="str">
        <f aca="false">IF(A581="제외","",IF(OR(N(L581)&lt;=0,N(M581)&gt;N(L581)),"택가보정(판매금액÷공급율)",""))</f>
        <v/>
      </c>
      <c r="P581" s="0" t="str">
        <f aca="false">IF(A581="HK","100",IF(A581="CN","200",IF(A581="TW","300",IF(ISNUMBER(SEARCH("태국",C581)),"500",IF(ISNUMBER(SEARCH("말레이",C581)),"600",IF(ISNUMBER(SEARCH("필리핀",C581)),"700",IF(ISNUMBER(SEARCH("인도네시아",C581)),"800",IF(ISNUMBER(SEARCH("크루즈",C581)),"810",IF(ISNUMBER(SEARCH("동물원",C581)),"830","")))))))))</f>
        <v>100</v>
      </c>
    </row>
    <row r="582" customFormat="false" ht="15" hidden="false" customHeight="false" outlineLevel="0" collapsed="false">
      <c r="A582" s="32" t="str">
        <f aca="false">IF(OR(TRIM(C582)="",SUBSTITUTE(C582," ","")="소계"),"제외",IF(ISNUMBER(SEARCH("홍콩",C582)),"HK",IF(ISNUMBER(SEARCH("상해",C582)),"CN",IF(ISNUMBER(SEARCH("대만",C582)),"TW","홀세일"))))</f>
        <v>HK</v>
      </c>
      <c r="B582" s="36" t="s">
        <v>764</v>
      </c>
      <c r="C582" s="37" t="s">
        <v>765</v>
      </c>
      <c r="D582" s="37" t="s">
        <v>123</v>
      </c>
      <c r="E582" s="36" t="n">
        <v>2026</v>
      </c>
      <c r="F582" s="36" t="s">
        <v>110</v>
      </c>
      <c r="G582" s="37" t="s">
        <v>102</v>
      </c>
      <c r="H582" s="36" t="s">
        <v>131</v>
      </c>
      <c r="I582" s="36" t="s">
        <v>627</v>
      </c>
      <c r="J582" s="37" t="s">
        <v>628</v>
      </c>
      <c r="K582" s="38" t="n">
        <v>130</v>
      </c>
      <c r="L582" s="38" t="n">
        <v>10270000</v>
      </c>
      <c r="M582" s="38" t="n">
        <v>3947060</v>
      </c>
      <c r="N582" s="39" t="n">
        <f aca="false">IF(A582="제외",0,IF(OR(N(L582)&lt;=0,N(M582)&gt;N(L582)),N(M582)/요약!$D$27,N(L582)))</f>
        <v>10270000</v>
      </c>
      <c r="O582" s="32" t="str">
        <f aca="false">IF(A582="제외","",IF(OR(N(L582)&lt;=0,N(M582)&gt;N(L582)),"택가보정(판매금액÷공급율)",""))</f>
        <v/>
      </c>
      <c r="P582" s="0" t="str">
        <f aca="false">IF(A582="HK","100",IF(A582="CN","200",IF(A582="TW","300",IF(ISNUMBER(SEARCH("태국",C582)),"500",IF(ISNUMBER(SEARCH("말레이",C582)),"600",IF(ISNUMBER(SEARCH("필리핀",C582)),"700",IF(ISNUMBER(SEARCH("인도네시아",C582)),"800",IF(ISNUMBER(SEARCH("크루즈",C582)),"810",IF(ISNUMBER(SEARCH("동물원",C582)),"830","")))))))))</f>
        <v>100</v>
      </c>
    </row>
    <row r="583" customFormat="false" ht="15" hidden="false" customHeight="false" outlineLevel="0" collapsed="false">
      <c r="A583" s="32" t="str">
        <f aca="false">IF(OR(TRIM(C583)="",SUBSTITUTE(C583," ","")="소계"),"제외",IF(ISNUMBER(SEARCH("홍콩",C583)),"HK",IF(ISNUMBER(SEARCH("상해",C583)),"CN",IF(ISNUMBER(SEARCH("대만",C583)),"TW","홀세일"))))</f>
        <v>HK</v>
      </c>
      <c r="B583" s="36" t="s">
        <v>764</v>
      </c>
      <c r="C583" s="37" t="s">
        <v>765</v>
      </c>
      <c r="D583" s="37" t="s">
        <v>123</v>
      </c>
      <c r="E583" s="36" t="n">
        <v>2026</v>
      </c>
      <c r="F583" s="36" t="s">
        <v>110</v>
      </c>
      <c r="G583" s="37" t="s">
        <v>102</v>
      </c>
      <c r="H583" s="36" t="s">
        <v>131</v>
      </c>
      <c r="I583" s="36" t="s">
        <v>629</v>
      </c>
      <c r="J583" s="37" t="s">
        <v>630</v>
      </c>
      <c r="K583" s="38" t="n">
        <v>230</v>
      </c>
      <c r="L583" s="38" t="n">
        <v>11270000</v>
      </c>
      <c r="M583" s="38" t="n">
        <v>4462460</v>
      </c>
      <c r="N583" s="39" t="n">
        <f aca="false">IF(A583="제외",0,IF(OR(N(L583)&lt;=0,N(M583)&gt;N(L583)),N(M583)/요약!$D$27,N(L583)))</f>
        <v>11270000</v>
      </c>
      <c r="O583" s="32" t="str">
        <f aca="false">IF(A583="제외","",IF(OR(N(L583)&lt;=0,N(M583)&gt;N(L583)),"택가보정(판매금액÷공급율)",""))</f>
        <v/>
      </c>
      <c r="P583" s="0" t="str">
        <f aca="false">IF(A583="HK","100",IF(A583="CN","200",IF(A583="TW","300",IF(ISNUMBER(SEARCH("태국",C583)),"500",IF(ISNUMBER(SEARCH("말레이",C583)),"600",IF(ISNUMBER(SEARCH("필리핀",C583)),"700",IF(ISNUMBER(SEARCH("인도네시아",C583)),"800",IF(ISNUMBER(SEARCH("크루즈",C583)),"810",IF(ISNUMBER(SEARCH("동물원",C583)),"830","")))))))))</f>
        <v>100</v>
      </c>
    </row>
    <row r="584" customFormat="false" ht="15" hidden="false" customHeight="false" outlineLevel="0" collapsed="false">
      <c r="A584" s="32" t="str">
        <f aca="false">IF(OR(TRIM(C584)="",SUBSTITUTE(C584," ","")="소계"),"제외",IF(ISNUMBER(SEARCH("홍콩",C584)),"HK",IF(ISNUMBER(SEARCH("상해",C584)),"CN",IF(ISNUMBER(SEARCH("대만",C584)),"TW","홀세일"))))</f>
        <v>HK</v>
      </c>
      <c r="B584" s="36" t="s">
        <v>764</v>
      </c>
      <c r="C584" s="37" t="s">
        <v>765</v>
      </c>
      <c r="D584" s="37" t="s">
        <v>123</v>
      </c>
      <c r="E584" s="36" t="n">
        <v>2026</v>
      </c>
      <c r="F584" s="36" t="s">
        <v>110</v>
      </c>
      <c r="G584" s="37" t="s">
        <v>102</v>
      </c>
      <c r="H584" s="36" t="s">
        <v>131</v>
      </c>
      <c r="I584" s="36" t="s">
        <v>631</v>
      </c>
      <c r="J584" s="37" t="s">
        <v>632</v>
      </c>
      <c r="K584" s="38" t="n">
        <v>200</v>
      </c>
      <c r="L584" s="38" t="n">
        <v>11800000</v>
      </c>
      <c r="M584" s="38" t="n">
        <v>4532200</v>
      </c>
      <c r="N584" s="39" t="n">
        <f aca="false">IF(A584="제외",0,IF(OR(N(L584)&lt;=0,N(M584)&gt;N(L584)),N(M584)/요약!$D$27,N(L584)))</f>
        <v>11800000</v>
      </c>
      <c r="O584" s="32" t="str">
        <f aca="false">IF(A584="제외","",IF(OR(N(L584)&lt;=0,N(M584)&gt;N(L584)),"택가보정(판매금액÷공급율)",""))</f>
        <v/>
      </c>
      <c r="P584" s="0" t="str">
        <f aca="false">IF(A584="HK","100",IF(A584="CN","200",IF(A584="TW","300",IF(ISNUMBER(SEARCH("태국",C584)),"500",IF(ISNUMBER(SEARCH("말레이",C584)),"600",IF(ISNUMBER(SEARCH("필리핀",C584)),"700",IF(ISNUMBER(SEARCH("인도네시아",C584)),"800",IF(ISNUMBER(SEARCH("크루즈",C584)),"810",IF(ISNUMBER(SEARCH("동물원",C584)),"830","")))))))))</f>
        <v>100</v>
      </c>
    </row>
    <row r="585" customFormat="false" ht="15" hidden="false" customHeight="false" outlineLevel="0" collapsed="false">
      <c r="A585" s="32" t="str">
        <f aca="false">IF(OR(TRIM(C585)="",SUBSTITUTE(C585," ","")="소계"),"제외",IF(ISNUMBER(SEARCH("홍콩",C585)),"HK",IF(ISNUMBER(SEARCH("상해",C585)),"CN",IF(ISNUMBER(SEARCH("대만",C585)),"TW","홀세일"))))</f>
        <v>HK</v>
      </c>
      <c r="B585" s="36" t="s">
        <v>764</v>
      </c>
      <c r="C585" s="37" t="s">
        <v>765</v>
      </c>
      <c r="D585" s="37" t="s">
        <v>123</v>
      </c>
      <c r="E585" s="36" t="n">
        <v>2026</v>
      </c>
      <c r="F585" s="36" t="s">
        <v>110</v>
      </c>
      <c r="G585" s="37" t="s">
        <v>102</v>
      </c>
      <c r="H585" s="36" t="s">
        <v>131</v>
      </c>
      <c r="I585" s="36" t="s">
        <v>970</v>
      </c>
      <c r="J585" s="37" t="s">
        <v>971</v>
      </c>
      <c r="K585" s="38" t="n">
        <v>200</v>
      </c>
      <c r="L585" s="38" t="n">
        <v>15800000</v>
      </c>
      <c r="M585" s="38" t="n">
        <v>6085800</v>
      </c>
      <c r="N585" s="39" t="n">
        <f aca="false">IF(A585="제외",0,IF(OR(N(L585)&lt;=0,N(M585)&gt;N(L585)),N(M585)/요약!$D$27,N(L585)))</f>
        <v>15800000</v>
      </c>
      <c r="O585" s="32" t="str">
        <f aca="false">IF(A585="제외","",IF(OR(N(L585)&lt;=0,N(M585)&gt;N(L585)),"택가보정(판매금액÷공급율)",""))</f>
        <v/>
      </c>
      <c r="P585" s="0" t="str">
        <f aca="false">IF(A585="HK","100",IF(A585="CN","200",IF(A585="TW","300",IF(ISNUMBER(SEARCH("태국",C585)),"500",IF(ISNUMBER(SEARCH("말레이",C585)),"600",IF(ISNUMBER(SEARCH("필리핀",C585)),"700",IF(ISNUMBER(SEARCH("인도네시아",C585)),"800",IF(ISNUMBER(SEARCH("크루즈",C585)),"810",IF(ISNUMBER(SEARCH("동물원",C585)),"830","")))))))))</f>
        <v>100</v>
      </c>
    </row>
    <row r="586" customFormat="false" ht="15" hidden="false" customHeight="false" outlineLevel="0" collapsed="false">
      <c r="A586" s="32" t="str">
        <f aca="false">IF(OR(TRIM(C586)="",SUBSTITUTE(C586," ","")="소계"),"제외",IF(ISNUMBER(SEARCH("홍콩",C586)),"HK",IF(ISNUMBER(SEARCH("상해",C586)),"CN",IF(ISNUMBER(SEARCH("대만",C586)),"TW","홀세일"))))</f>
        <v>HK</v>
      </c>
      <c r="B586" s="36" t="s">
        <v>764</v>
      </c>
      <c r="C586" s="37" t="s">
        <v>765</v>
      </c>
      <c r="D586" s="37" t="s">
        <v>123</v>
      </c>
      <c r="E586" s="36" t="n">
        <v>2026</v>
      </c>
      <c r="F586" s="36" t="s">
        <v>110</v>
      </c>
      <c r="G586" s="37" t="s">
        <v>102</v>
      </c>
      <c r="H586" s="36" t="s">
        <v>131</v>
      </c>
      <c r="I586" s="36" t="s">
        <v>635</v>
      </c>
      <c r="J586" s="37" t="s">
        <v>636</v>
      </c>
      <c r="K586" s="38" t="n">
        <v>280</v>
      </c>
      <c r="L586" s="38" t="n">
        <v>5880000</v>
      </c>
      <c r="M586" s="38" t="n">
        <v>2304400</v>
      </c>
      <c r="N586" s="39" t="n">
        <f aca="false">IF(A586="제외",0,IF(OR(N(L586)&lt;=0,N(M586)&gt;N(L586)),N(M586)/요약!$D$27,N(L586)))</f>
        <v>5880000</v>
      </c>
      <c r="O586" s="32" t="str">
        <f aca="false">IF(A586="제외","",IF(OR(N(L586)&lt;=0,N(M586)&gt;N(L586)),"택가보정(판매금액÷공급율)",""))</f>
        <v/>
      </c>
      <c r="P586" s="0" t="str">
        <f aca="false">IF(A586="HK","100",IF(A586="CN","200",IF(A586="TW","300",IF(ISNUMBER(SEARCH("태국",C586)),"500",IF(ISNUMBER(SEARCH("말레이",C586)),"600",IF(ISNUMBER(SEARCH("필리핀",C586)),"700",IF(ISNUMBER(SEARCH("인도네시아",C586)),"800",IF(ISNUMBER(SEARCH("크루즈",C586)),"810",IF(ISNUMBER(SEARCH("동물원",C586)),"830","")))))))))</f>
        <v>100</v>
      </c>
    </row>
    <row r="587" customFormat="false" ht="15" hidden="false" customHeight="false" outlineLevel="0" collapsed="false">
      <c r="A587" s="32" t="str">
        <f aca="false">IF(OR(TRIM(C587)="",SUBSTITUTE(C587," ","")="소계"),"제외",IF(ISNUMBER(SEARCH("홍콩",C587)),"HK",IF(ISNUMBER(SEARCH("상해",C587)),"CN",IF(ISNUMBER(SEARCH("대만",C587)),"TW","홀세일"))))</f>
        <v>HK</v>
      </c>
      <c r="B587" s="36" t="s">
        <v>764</v>
      </c>
      <c r="C587" s="37" t="s">
        <v>765</v>
      </c>
      <c r="D587" s="37" t="s">
        <v>123</v>
      </c>
      <c r="E587" s="36" t="n">
        <v>2026</v>
      </c>
      <c r="F587" s="36" t="s">
        <v>110</v>
      </c>
      <c r="G587" s="37" t="s">
        <v>102</v>
      </c>
      <c r="H587" s="36" t="s">
        <v>131</v>
      </c>
      <c r="I587" s="36" t="s">
        <v>637</v>
      </c>
      <c r="J587" s="37" t="s">
        <v>638</v>
      </c>
      <c r="K587" s="38" t="n">
        <v>280</v>
      </c>
      <c r="L587" s="38" t="n">
        <v>5320000</v>
      </c>
      <c r="M587" s="38" t="n">
        <v>2098600</v>
      </c>
      <c r="N587" s="39" t="n">
        <f aca="false">IF(A587="제외",0,IF(OR(N(L587)&lt;=0,N(M587)&gt;N(L587)),N(M587)/요약!$D$27,N(L587)))</f>
        <v>5320000</v>
      </c>
      <c r="O587" s="32" t="str">
        <f aca="false">IF(A587="제외","",IF(OR(N(L587)&lt;=0,N(M587)&gt;N(L587)),"택가보정(판매금액÷공급율)",""))</f>
        <v/>
      </c>
      <c r="P587" s="0" t="str">
        <f aca="false">IF(A587="HK","100",IF(A587="CN","200",IF(A587="TW","300",IF(ISNUMBER(SEARCH("태국",C587)),"500",IF(ISNUMBER(SEARCH("말레이",C587)),"600",IF(ISNUMBER(SEARCH("필리핀",C587)),"700",IF(ISNUMBER(SEARCH("인도네시아",C587)),"800",IF(ISNUMBER(SEARCH("크루즈",C587)),"810",IF(ISNUMBER(SEARCH("동물원",C587)),"830","")))))))))</f>
        <v>100</v>
      </c>
    </row>
    <row r="588" customFormat="false" ht="15" hidden="false" customHeight="false" outlineLevel="0" collapsed="false">
      <c r="A588" s="32" t="str">
        <f aca="false">IF(OR(TRIM(C588)="",SUBSTITUTE(C588," ","")="소계"),"제외",IF(ISNUMBER(SEARCH("홍콩",C588)),"HK",IF(ISNUMBER(SEARCH("상해",C588)),"CN",IF(ISNUMBER(SEARCH("대만",C588)),"TW","홀세일"))))</f>
        <v>HK</v>
      </c>
      <c r="B588" s="36" t="s">
        <v>764</v>
      </c>
      <c r="C588" s="37" t="s">
        <v>765</v>
      </c>
      <c r="D588" s="37" t="s">
        <v>123</v>
      </c>
      <c r="E588" s="36" t="n">
        <v>2026</v>
      </c>
      <c r="F588" s="36" t="s">
        <v>110</v>
      </c>
      <c r="G588" s="37" t="s">
        <v>102</v>
      </c>
      <c r="H588" s="36" t="s">
        <v>131</v>
      </c>
      <c r="I588" s="36" t="s">
        <v>639</v>
      </c>
      <c r="J588" s="37" t="s">
        <v>640</v>
      </c>
      <c r="K588" s="38" t="n">
        <v>280</v>
      </c>
      <c r="L588" s="38" t="n">
        <v>5572000</v>
      </c>
      <c r="M588" s="38" t="n">
        <v>2180920</v>
      </c>
      <c r="N588" s="39" t="n">
        <f aca="false">IF(A588="제외",0,IF(OR(N(L588)&lt;=0,N(M588)&gt;N(L588)),N(M588)/요약!$D$27,N(L588)))</f>
        <v>5572000</v>
      </c>
      <c r="O588" s="32" t="str">
        <f aca="false">IF(A588="제외","",IF(OR(N(L588)&lt;=0,N(M588)&gt;N(L588)),"택가보정(판매금액÷공급율)",""))</f>
        <v/>
      </c>
      <c r="P588" s="0" t="str">
        <f aca="false">IF(A588="HK","100",IF(A588="CN","200",IF(A588="TW","300",IF(ISNUMBER(SEARCH("태국",C588)),"500",IF(ISNUMBER(SEARCH("말레이",C588)),"600",IF(ISNUMBER(SEARCH("필리핀",C588)),"700",IF(ISNUMBER(SEARCH("인도네시아",C588)),"800",IF(ISNUMBER(SEARCH("크루즈",C588)),"810",IF(ISNUMBER(SEARCH("동물원",C588)),"830","")))))))))</f>
        <v>100</v>
      </c>
    </row>
    <row r="589" customFormat="false" ht="15" hidden="false" customHeight="false" outlineLevel="0" collapsed="false">
      <c r="A589" s="32" t="str">
        <f aca="false">IF(OR(TRIM(C589)="",SUBSTITUTE(C589," ","")="소계"),"제외",IF(ISNUMBER(SEARCH("홍콩",C589)),"HK",IF(ISNUMBER(SEARCH("상해",C589)),"CN",IF(ISNUMBER(SEARCH("대만",C589)),"TW","홀세일"))))</f>
        <v>HK</v>
      </c>
      <c r="B589" s="36" t="s">
        <v>764</v>
      </c>
      <c r="C589" s="37" t="s">
        <v>765</v>
      </c>
      <c r="D589" s="37" t="s">
        <v>123</v>
      </c>
      <c r="E589" s="36" t="n">
        <v>2026</v>
      </c>
      <c r="F589" s="36" t="s">
        <v>110</v>
      </c>
      <c r="G589" s="37" t="s">
        <v>102</v>
      </c>
      <c r="H589" s="36" t="s">
        <v>131</v>
      </c>
      <c r="I589" s="36" t="s">
        <v>641</v>
      </c>
      <c r="J589" s="37" t="s">
        <v>642</v>
      </c>
      <c r="K589" s="38" t="n">
        <v>340</v>
      </c>
      <c r="L589" s="38" t="n">
        <v>3706000</v>
      </c>
      <c r="M589" s="38" t="n">
        <v>1449080</v>
      </c>
      <c r="N589" s="39" t="n">
        <f aca="false">IF(A589="제외",0,IF(OR(N(L589)&lt;=0,N(M589)&gt;N(L589)),N(M589)/요약!$D$27,N(L589)))</f>
        <v>3706000</v>
      </c>
      <c r="O589" s="32" t="str">
        <f aca="false">IF(A589="제외","",IF(OR(N(L589)&lt;=0,N(M589)&gt;N(L589)),"택가보정(판매금액÷공급율)",""))</f>
        <v/>
      </c>
      <c r="P589" s="0" t="str">
        <f aca="false">IF(A589="HK","100",IF(A589="CN","200",IF(A589="TW","300",IF(ISNUMBER(SEARCH("태국",C589)),"500",IF(ISNUMBER(SEARCH("말레이",C589)),"600",IF(ISNUMBER(SEARCH("필리핀",C589)),"700",IF(ISNUMBER(SEARCH("인도네시아",C589)),"800",IF(ISNUMBER(SEARCH("크루즈",C589)),"810",IF(ISNUMBER(SEARCH("동물원",C589)),"830","")))))))))</f>
        <v>100</v>
      </c>
    </row>
    <row r="590" customFormat="false" ht="15" hidden="false" customHeight="false" outlineLevel="0" collapsed="false">
      <c r="A590" s="32" t="str">
        <f aca="false">IF(OR(TRIM(C590)="",SUBSTITUTE(C590," ","")="소계"),"제외",IF(ISNUMBER(SEARCH("홍콩",C590)),"HK",IF(ISNUMBER(SEARCH("상해",C590)),"CN",IF(ISNUMBER(SEARCH("대만",C590)),"TW","홀세일"))))</f>
        <v>HK</v>
      </c>
      <c r="B590" s="36" t="s">
        <v>764</v>
      </c>
      <c r="C590" s="37" t="s">
        <v>765</v>
      </c>
      <c r="D590" s="37" t="s">
        <v>123</v>
      </c>
      <c r="E590" s="36" t="n">
        <v>2026</v>
      </c>
      <c r="F590" s="36" t="s">
        <v>110</v>
      </c>
      <c r="G590" s="37" t="s">
        <v>102</v>
      </c>
      <c r="H590" s="36" t="s">
        <v>131</v>
      </c>
      <c r="I590" s="36" t="s">
        <v>643</v>
      </c>
      <c r="J590" s="37" t="s">
        <v>644</v>
      </c>
      <c r="K590" s="38" t="n">
        <v>170</v>
      </c>
      <c r="L590" s="38" t="n">
        <v>1853000</v>
      </c>
      <c r="M590" s="38" t="n">
        <v>724540</v>
      </c>
      <c r="N590" s="39" t="n">
        <f aca="false">IF(A590="제외",0,IF(OR(N(L590)&lt;=0,N(M590)&gt;N(L590)),N(M590)/요약!$D$27,N(L590)))</f>
        <v>1853000</v>
      </c>
      <c r="O590" s="32" t="str">
        <f aca="false">IF(A590="제외","",IF(OR(N(L590)&lt;=0,N(M590)&gt;N(L590)),"택가보정(판매금액÷공급율)",""))</f>
        <v/>
      </c>
      <c r="P590" s="0" t="str">
        <f aca="false">IF(A590="HK","100",IF(A590="CN","200",IF(A590="TW","300",IF(ISNUMBER(SEARCH("태국",C590)),"500",IF(ISNUMBER(SEARCH("말레이",C590)),"600",IF(ISNUMBER(SEARCH("필리핀",C590)),"700",IF(ISNUMBER(SEARCH("인도네시아",C590)),"800",IF(ISNUMBER(SEARCH("크루즈",C590)),"810",IF(ISNUMBER(SEARCH("동물원",C590)),"830","")))))))))</f>
        <v>100</v>
      </c>
    </row>
    <row r="591" customFormat="false" ht="15" hidden="false" customHeight="false" outlineLevel="0" collapsed="false">
      <c r="A591" s="32" t="str">
        <f aca="false">IF(OR(TRIM(C591)="",SUBSTITUTE(C591," ","")="소계"),"제외",IF(ISNUMBER(SEARCH("홍콩",C591)),"HK",IF(ISNUMBER(SEARCH("상해",C591)),"CN",IF(ISNUMBER(SEARCH("대만",C591)),"TW","홀세일"))))</f>
        <v>HK</v>
      </c>
      <c r="B591" s="36" t="s">
        <v>764</v>
      </c>
      <c r="C591" s="37" t="s">
        <v>765</v>
      </c>
      <c r="D591" s="37" t="s">
        <v>123</v>
      </c>
      <c r="E591" s="36" t="n">
        <v>2026</v>
      </c>
      <c r="F591" s="36" t="s">
        <v>110</v>
      </c>
      <c r="G591" s="37" t="s">
        <v>124</v>
      </c>
      <c r="H591" s="36" t="s">
        <v>125</v>
      </c>
      <c r="I591" s="36" t="s">
        <v>652</v>
      </c>
      <c r="J591" s="37" t="s">
        <v>653</v>
      </c>
      <c r="K591" s="38" t="n">
        <v>240</v>
      </c>
      <c r="L591" s="38" t="n">
        <v>119760000</v>
      </c>
      <c r="M591" s="38" t="n">
        <v>46860480</v>
      </c>
      <c r="N591" s="39" t="n">
        <f aca="false">IF(A591="제외",0,IF(OR(N(L591)&lt;=0,N(M591)&gt;N(L591)),N(M591)/요약!$D$27,N(L591)))</f>
        <v>119760000</v>
      </c>
      <c r="O591" s="32" t="str">
        <f aca="false">IF(A591="제외","",IF(OR(N(L591)&lt;=0,N(M591)&gt;N(L591)),"택가보정(판매금액÷공급율)",""))</f>
        <v/>
      </c>
      <c r="P591" s="0" t="str">
        <f aca="false">IF(A591="HK","100",IF(A591="CN","200",IF(A591="TW","300",IF(ISNUMBER(SEARCH("태국",C591)),"500",IF(ISNUMBER(SEARCH("말레이",C591)),"600",IF(ISNUMBER(SEARCH("필리핀",C591)),"700",IF(ISNUMBER(SEARCH("인도네시아",C591)),"800",IF(ISNUMBER(SEARCH("크루즈",C591)),"810",IF(ISNUMBER(SEARCH("동물원",C591)),"830","")))))))))</f>
        <v>100</v>
      </c>
    </row>
    <row r="592" customFormat="false" ht="15" hidden="false" customHeight="false" outlineLevel="0" collapsed="false">
      <c r="A592" s="32" t="str">
        <f aca="false">IF(OR(TRIM(C592)="",SUBSTITUTE(C592," ","")="소계"),"제외",IF(ISNUMBER(SEARCH("홍콩",C592)),"HK",IF(ISNUMBER(SEARCH("상해",C592)),"CN",IF(ISNUMBER(SEARCH("대만",C592)),"TW","홀세일"))))</f>
        <v>HK</v>
      </c>
      <c r="B592" s="36" t="s">
        <v>764</v>
      </c>
      <c r="C592" s="37" t="s">
        <v>765</v>
      </c>
      <c r="D592" s="37" t="s">
        <v>123</v>
      </c>
      <c r="E592" s="36" t="n">
        <v>2026</v>
      </c>
      <c r="F592" s="36" t="s">
        <v>110</v>
      </c>
      <c r="G592" s="37" t="s">
        <v>360</v>
      </c>
      <c r="H592" s="36" t="s">
        <v>131</v>
      </c>
      <c r="I592" s="36" t="s">
        <v>658</v>
      </c>
      <c r="J592" s="37" t="s">
        <v>659</v>
      </c>
      <c r="K592" s="38" t="n">
        <v>260</v>
      </c>
      <c r="L592" s="38" t="n">
        <v>36140000</v>
      </c>
      <c r="M592" s="38" t="n">
        <v>15264600</v>
      </c>
      <c r="N592" s="39" t="n">
        <f aca="false">IF(A592="제외",0,IF(OR(N(L592)&lt;=0,N(M592)&gt;N(L592)),N(M592)/요약!$D$27,N(L592)))</f>
        <v>36140000</v>
      </c>
      <c r="O592" s="32" t="str">
        <f aca="false">IF(A592="제외","",IF(OR(N(L592)&lt;=0,N(M592)&gt;N(L592)),"택가보정(판매금액÷공급율)",""))</f>
        <v/>
      </c>
      <c r="P592" s="0" t="str">
        <f aca="false">IF(A592="HK","100",IF(A592="CN","200",IF(A592="TW","300",IF(ISNUMBER(SEARCH("태국",C592)),"500",IF(ISNUMBER(SEARCH("말레이",C592)),"600",IF(ISNUMBER(SEARCH("필리핀",C592)),"700",IF(ISNUMBER(SEARCH("인도네시아",C592)),"800",IF(ISNUMBER(SEARCH("크루즈",C592)),"810",IF(ISNUMBER(SEARCH("동물원",C592)),"830","")))))))))</f>
        <v>100</v>
      </c>
    </row>
    <row r="593" customFormat="false" ht="15" hidden="false" customHeight="false" outlineLevel="0" collapsed="false">
      <c r="A593" s="32" t="str">
        <f aca="false">IF(OR(TRIM(C593)="",SUBSTITUTE(C593," ","")="소계"),"제외",IF(ISNUMBER(SEARCH("홍콩",C593)),"HK",IF(ISNUMBER(SEARCH("상해",C593)),"CN",IF(ISNUMBER(SEARCH("대만",C593)),"TW","홀세일"))))</f>
        <v>HK</v>
      </c>
      <c r="B593" s="36" t="s">
        <v>764</v>
      </c>
      <c r="C593" s="37" t="s">
        <v>765</v>
      </c>
      <c r="D593" s="37" t="s">
        <v>123</v>
      </c>
      <c r="E593" s="36" t="n">
        <v>2026</v>
      </c>
      <c r="F593" s="36" t="s">
        <v>110</v>
      </c>
      <c r="G593" s="37" t="s">
        <v>360</v>
      </c>
      <c r="H593" s="36" t="s">
        <v>131</v>
      </c>
      <c r="I593" s="36" t="s">
        <v>972</v>
      </c>
      <c r="J593" s="37" t="s">
        <v>973</v>
      </c>
      <c r="K593" s="38" t="n">
        <v>390</v>
      </c>
      <c r="L593" s="38" t="n">
        <v>50310000</v>
      </c>
      <c r="M593" s="38" t="n">
        <v>20990190</v>
      </c>
      <c r="N593" s="39" t="n">
        <f aca="false">IF(A593="제외",0,IF(OR(N(L593)&lt;=0,N(M593)&gt;N(L593)),N(M593)/요약!$D$27,N(L593)))</f>
        <v>50310000</v>
      </c>
      <c r="O593" s="32" t="str">
        <f aca="false">IF(A593="제외","",IF(OR(N(L593)&lt;=0,N(M593)&gt;N(L593)),"택가보정(판매금액÷공급율)",""))</f>
        <v/>
      </c>
      <c r="P593" s="0" t="str">
        <f aca="false">IF(A593="HK","100",IF(A593="CN","200",IF(A593="TW","300",IF(ISNUMBER(SEARCH("태국",C593)),"500",IF(ISNUMBER(SEARCH("말레이",C593)),"600",IF(ISNUMBER(SEARCH("필리핀",C593)),"700",IF(ISNUMBER(SEARCH("인도네시아",C593)),"800",IF(ISNUMBER(SEARCH("크루즈",C593)),"810",IF(ISNUMBER(SEARCH("동물원",C593)),"830","")))))))))</f>
        <v>100</v>
      </c>
    </row>
    <row r="594" customFormat="false" ht="15" hidden="false" customHeight="false" outlineLevel="0" collapsed="false">
      <c r="A594" s="32" t="str">
        <f aca="false">IF(OR(TRIM(C594)="",SUBSTITUTE(C594," ","")="소계"),"제외",IF(ISNUMBER(SEARCH("홍콩",C594)),"HK",IF(ISNUMBER(SEARCH("상해",C594)),"CN",IF(ISNUMBER(SEARCH("대만",C594)),"TW","홀세일"))))</f>
        <v>HK</v>
      </c>
      <c r="B594" s="36" t="s">
        <v>764</v>
      </c>
      <c r="C594" s="37" t="s">
        <v>765</v>
      </c>
      <c r="D594" s="37" t="s">
        <v>123</v>
      </c>
      <c r="E594" s="36" t="n">
        <v>2026</v>
      </c>
      <c r="F594" s="36" t="s">
        <v>110</v>
      </c>
      <c r="G594" s="37" t="s">
        <v>360</v>
      </c>
      <c r="H594" s="36" t="s">
        <v>131</v>
      </c>
      <c r="I594" s="36" t="s">
        <v>974</v>
      </c>
      <c r="J594" s="37" t="s">
        <v>975</v>
      </c>
      <c r="K594" s="38" t="n">
        <v>190</v>
      </c>
      <c r="L594" s="38" t="n">
        <v>22610000</v>
      </c>
      <c r="M594" s="38" t="n">
        <v>9569540</v>
      </c>
      <c r="N594" s="39" t="n">
        <f aca="false">IF(A594="제외",0,IF(OR(N(L594)&lt;=0,N(M594)&gt;N(L594)),N(M594)/요약!$D$27,N(L594)))</f>
        <v>22610000</v>
      </c>
      <c r="O594" s="32" t="str">
        <f aca="false">IF(A594="제외","",IF(OR(N(L594)&lt;=0,N(M594)&gt;N(L594)),"택가보정(판매금액÷공급율)",""))</f>
        <v/>
      </c>
      <c r="P594" s="0" t="str">
        <f aca="false">IF(A594="HK","100",IF(A594="CN","200",IF(A594="TW","300",IF(ISNUMBER(SEARCH("태국",C594)),"500",IF(ISNUMBER(SEARCH("말레이",C594)),"600",IF(ISNUMBER(SEARCH("필리핀",C594)),"700",IF(ISNUMBER(SEARCH("인도네시아",C594)),"800",IF(ISNUMBER(SEARCH("크루즈",C594)),"810",IF(ISNUMBER(SEARCH("동물원",C594)),"830","")))))))))</f>
        <v>100</v>
      </c>
    </row>
    <row r="595" customFormat="false" ht="15" hidden="false" customHeight="false" outlineLevel="0" collapsed="false">
      <c r="A595" s="32" t="str">
        <f aca="false">IF(OR(TRIM(C595)="",SUBSTITUTE(C595," ","")="소계"),"제외",IF(ISNUMBER(SEARCH("홍콩",C595)),"HK",IF(ISNUMBER(SEARCH("상해",C595)),"CN",IF(ISNUMBER(SEARCH("대만",C595)),"TW","홀세일"))))</f>
        <v>HK</v>
      </c>
      <c r="B595" s="36" t="s">
        <v>764</v>
      </c>
      <c r="C595" s="37" t="s">
        <v>765</v>
      </c>
      <c r="D595" s="37" t="s">
        <v>123</v>
      </c>
      <c r="E595" s="36" t="n">
        <v>2026</v>
      </c>
      <c r="F595" s="36" t="s">
        <v>110</v>
      </c>
      <c r="G595" s="37" t="s">
        <v>360</v>
      </c>
      <c r="H595" s="36" t="s">
        <v>131</v>
      </c>
      <c r="I595" s="36" t="s">
        <v>660</v>
      </c>
      <c r="J595" s="37" t="s">
        <v>661</v>
      </c>
      <c r="K595" s="38" t="n">
        <v>130</v>
      </c>
      <c r="L595" s="38" t="n">
        <v>12870000</v>
      </c>
      <c r="M595" s="38" t="n">
        <v>5388890</v>
      </c>
      <c r="N595" s="39" t="n">
        <f aca="false">IF(A595="제외",0,IF(OR(N(L595)&lt;=0,N(M595)&gt;N(L595)),N(M595)/요약!$D$27,N(L595)))</f>
        <v>12870000</v>
      </c>
      <c r="O595" s="32" t="str">
        <f aca="false">IF(A595="제외","",IF(OR(N(L595)&lt;=0,N(M595)&gt;N(L595)),"택가보정(판매금액÷공급율)",""))</f>
        <v/>
      </c>
      <c r="P595" s="0" t="str">
        <f aca="false">IF(A595="HK","100",IF(A595="CN","200",IF(A595="TW","300",IF(ISNUMBER(SEARCH("태국",C595)),"500",IF(ISNUMBER(SEARCH("말레이",C595)),"600",IF(ISNUMBER(SEARCH("필리핀",C595)),"700",IF(ISNUMBER(SEARCH("인도네시아",C595)),"800",IF(ISNUMBER(SEARCH("크루즈",C595)),"810",IF(ISNUMBER(SEARCH("동물원",C595)),"830","")))))))))</f>
        <v>100</v>
      </c>
    </row>
    <row r="596" customFormat="false" ht="15" hidden="false" customHeight="false" outlineLevel="0" collapsed="false">
      <c r="A596" s="32" t="str">
        <f aca="false">IF(OR(TRIM(C596)="",SUBSTITUTE(C596," ","")="소계"),"제외",IF(ISNUMBER(SEARCH("홍콩",C596)),"HK",IF(ISNUMBER(SEARCH("상해",C596)),"CN",IF(ISNUMBER(SEARCH("대만",C596)),"TW","홀세일"))))</f>
        <v>HK</v>
      </c>
      <c r="B596" s="36" t="s">
        <v>764</v>
      </c>
      <c r="C596" s="37" t="s">
        <v>765</v>
      </c>
      <c r="D596" s="37" t="s">
        <v>123</v>
      </c>
      <c r="E596" s="36" t="n">
        <v>2026</v>
      </c>
      <c r="F596" s="36" t="s">
        <v>110</v>
      </c>
      <c r="G596" s="37" t="s">
        <v>124</v>
      </c>
      <c r="H596" s="36" t="s">
        <v>188</v>
      </c>
      <c r="I596" s="36" t="s">
        <v>662</v>
      </c>
      <c r="J596" s="36" t="s">
        <v>663</v>
      </c>
      <c r="K596" s="38" t="n">
        <v>240</v>
      </c>
      <c r="L596" s="38" t="n">
        <v>95760000</v>
      </c>
      <c r="M596" s="38" t="n">
        <v>37452960</v>
      </c>
      <c r="N596" s="39" t="n">
        <f aca="false">IF(A596="제외",0,IF(OR(N(L596)&lt;=0,N(M596)&gt;N(L596)),N(M596)/요약!$D$27,N(L596)))</f>
        <v>95760000</v>
      </c>
      <c r="O596" s="32" t="str">
        <f aca="false">IF(A596="제외","",IF(OR(N(L596)&lt;=0,N(M596)&gt;N(L596)),"택가보정(판매금액÷공급율)",""))</f>
        <v/>
      </c>
      <c r="P596" s="0" t="str">
        <f aca="false">IF(A596="HK","100",IF(A596="CN","200",IF(A596="TW","300",IF(ISNUMBER(SEARCH("태국",C596)),"500",IF(ISNUMBER(SEARCH("말레이",C596)),"600",IF(ISNUMBER(SEARCH("필리핀",C596)),"700",IF(ISNUMBER(SEARCH("인도네시아",C596)),"800",IF(ISNUMBER(SEARCH("크루즈",C596)),"810",IF(ISNUMBER(SEARCH("동물원",C596)),"830","")))))))))</f>
        <v>100</v>
      </c>
    </row>
    <row r="597" customFormat="false" ht="15" hidden="false" customHeight="false" outlineLevel="0" collapsed="false">
      <c r="A597" s="32" t="str">
        <f aca="false">IF(OR(TRIM(C597)="",SUBSTITUTE(C597," ","")="소계"),"제외",IF(ISNUMBER(SEARCH("홍콩",C597)),"HK",IF(ISNUMBER(SEARCH("상해",C597)),"CN",IF(ISNUMBER(SEARCH("대만",C597)),"TW","홀세일"))))</f>
        <v>HK</v>
      </c>
      <c r="B597" s="36" t="s">
        <v>764</v>
      </c>
      <c r="C597" s="37" t="s">
        <v>765</v>
      </c>
      <c r="D597" s="37" t="s">
        <v>664</v>
      </c>
      <c r="E597" s="36" t="n">
        <v>2026</v>
      </c>
      <c r="F597" s="37" t="s">
        <v>101</v>
      </c>
      <c r="G597" s="37" t="s">
        <v>124</v>
      </c>
      <c r="H597" s="36" t="s">
        <v>131</v>
      </c>
      <c r="I597" s="36" t="s">
        <v>976</v>
      </c>
      <c r="J597" s="37" t="s">
        <v>167</v>
      </c>
      <c r="K597" s="38" t="n">
        <v>389</v>
      </c>
      <c r="L597" s="38" t="n">
        <v>69631000</v>
      </c>
      <c r="M597" s="38" t="n">
        <v>27285627</v>
      </c>
      <c r="N597" s="39" t="n">
        <f aca="false">IF(A597="제외",0,IF(OR(N(L597)&lt;=0,N(M597)&gt;N(L597)),N(M597)/요약!$D$27,N(L597)))</f>
        <v>69631000</v>
      </c>
      <c r="O597" s="32" t="str">
        <f aca="false">IF(A597="제외","",IF(OR(N(L597)&lt;=0,N(M597)&gt;N(L597)),"택가보정(판매금액÷공급율)",""))</f>
        <v/>
      </c>
      <c r="P597" s="0" t="str">
        <f aca="false">IF(A597="HK","100",IF(A597="CN","200",IF(A597="TW","300",IF(ISNUMBER(SEARCH("태국",C597)),"500",IF(ISNUMBER(SEARCH("말레이",C597)),"600",IF(ISNUMBER(SEARCH("필리핀",C597)),"700",IF(ISNUMBER(SEARCH("인도네시아",C597)),"800",IF(ISNUMBER(SEARCH("크루즈",C597)),"810",IF(ISNUMBER(SEARCH("동물원",C597)),"830","")))))))))</f>
        <v>100</v>
      </c>
    </row>
    <row r="598" customFormat="false" ht="15" hidden="false" customHeight="false" outlineLevel="0" collapsed="false">
      <c r="A598" s="32" t="str">
        <f aca="false">IF(OR(TRIM(C598)="",SUBSTITUTE(C598," ","")="소계"),"제외",IF(ISNUMBER(SEARCH("홍콩",C598)),"HK",IF(ISNUMBER(SEARCH("상해",C598)),"CN",IF(ISNUMBER(SEARCH("대만",C598)),"TW","홀세일"))))</f>
        <v>HK</v>
      </c>
      <c r="B598" s="36" t="s">
        <v>764</v>
      </c>
      <c r="C598" s="37" t="s">
        <v>765</v>
      </c>
      <c r="D598" s="37" t="s">
        <v>664</v>
      </c>
      <c r="E598" s="36" t="n">
        <v>2026</v>
      </c>
      <c r="F598" s="37" t="s">
        <v>219</v>
      </c>
      <c r="G598" s="37" t="s">
        <v>124</v>
      </c>
      <c r="H598" s="36" t="s">
        <v>131</v>
      </c>
      <c r="I598" s="36" t="s">
        <v>667</v>
      </c>
      <c r="J598" s="37" t="s">
        <v>668</v>
      </c>
      <c r="K598" s="38" t="n">
        <v>240</v>
      </c>
      <c r="L598" s="38" t="n">
        <v>23760000</v>
      </c>
      <c r="M598" s="38" t="n">
        <v>9340560</v>
      </c>
      <c r="N598" s="39" t="n">
        <f aca="false">IF(A598="제외",0,IF(OR(N(L598)&lt;=0,N(M598)&gt;N(L598)),N(M598)/요약!$D$27,N(L598)))</f>
        <v>23760000</v>
      </c>
      <c r="O598" s="32" t="str">
        <f aca="false">IF(A598="제외","",IF(OR(N(L598)&lt;=0,N(M598)&gt;N(L598)),"택가보정(판매금액÷공급율)",""))</f>
        <v/>
      </c>
      <c r="P598" s="0" t="str">
        <f aca="false">IF(A598="HK","100",IF(A598="CN","200",IF(A598="TW","300",IF(ISNUMBER(SEARCH("태국",C598)),"500",IF(ISNUMBER(SEARCH("말레이",C598)),"600",IF(ISNUMBER(SEARCH("필리핀",C598)),"700",IF(ISNUMBER(SEARCH("인도네시아",C598)),"800",IF(ISNUMBER(SEARCH("크루즈",C598)),"810",IF(ISNUMBER(SEARCH("동물원",C598)),"830","")))))))))</f>
        <v>100</v>
      </c>
    </row>
    <row r="599" customFormat="false" ht="15" hidden="false" customHeight="false" outlineLevel="0" collapsed="false">
      <c r="A599" s="32" t="str">
        <f aca="false">IF(OR(TRIM(C599)="",SUBSTITUTE(C599," ","")="소계"),"제외",IF(ISNUMBER(SEARCH("홍콩",C599)),"HK",IF(ISNUMBER(SEARCH("상해",C599)),"CN",IF(ISNUMBER(SEARCH("대만",C599)),"TW","홀세일"))))</f>
        <v>HK</v>
      </c>
      <c r="B599" s="36" t="s">
        <v>764</v>
      </c>
      <c r="C599" s="37" t="s">
        <v>765</v>
      </c>
      <c r="D599" s="37" t="s">
        <v>664</v>
      </c>
      <c r="E599" s="36" t="n">
        <v>2026</v>
      </c>
      <c r="F599" s="37" t="s">
        <v>219</v>
      </c>
      <c r="G599" s="37" t="s">
        <v>124</v>
      </c>
      <c r="H599" s="36" t="s">
        <v>131</v>
      </c>
      <c r="I599" s="36" t="s">
        <v>977</v>
      </c>
      <c r="J599" s="37" t="s">
        <v>978</v>
      </c>
      <c r="K599" s="38" t="n">
        <v>240</v>
      </c>
      <c r="L599" s="38" t="n">
        <v>28560000</v>
      </c>
      <c r="M599" s="38" t="n">
        <v>11222880</v>
      </c>
      <c r="N599" s="39" t="n">
        <f aca="false">IF(A599="제외",0,IF(OR(N(L599)&lt;=0,N(M599)&gt;N(L599)),N(M599)/요약!$D$27,N(L599)))</f>
        <v>28560000</v>
      </c>
      <c r="O599" s="32" t="str">
        <f aca="false">IF(A599="제외","",IF(OR(N(L599)&lt;=0,N(M599)&gt;N(L599)),"택가보정(판매금액÷공급율)",""))</f>
        <v/>
      </c>
      <c r="P599" s="0" t="str">
        <f aca="false">IF(A599="HK","100",IF(A599="CN","200",IF(A599="TW","300",IF(ISNUMBER(SEARCH("태국",C599)),"500",IF(ISNUMBER(SEARCH("말레이",C599)),"600",IF(ISNUMBER(SEARCH("필리핀",C599)),"700",IF(ISNUMBER(SEARCH("인도네시아",C599)),"800",IF(ISNUMBER(SEARCH("크루즈",C599)),"810",IF(ISNUMBER(SEARCH("동물원",C599)),"830","")))))))))</f>
        <v>100</v>
      </c>
    </row>
    <row r="600" customFormat="false" ht="15" hidden="false" customHeight="false" outlineLevel="0" collapsed="false">
      <c r="A600" s="32" t="str">
        <f aca="false">IF(OR(TRIM(C600)="",SUBSTITUTE(C600," ","")="소계"),"제외",IF(ISNUMBER(SEARCH("홍콩",C600)),"HK",IF(ISNUMBER(SEARCH("상해",C600)),"CN",IF(ISNUMBER(SEARCH("대만",C600)),"TW","홀세일"))))</f>
        <v>HK</v>
      </c>
      <c r="B600" s="36" t="s">
        <v>764</v>
      </c>
      <c r="C600" s="37" t="s">
        <v>765</v>
      </c>
      <c r="D600" s="37" t="s">
        <v>664</v>
      </c>
      <c r="E600" s="36" t="n">
        <v>2026</v>
      </c>
      <c r="F600" s="37" t="s">
        <v>219</v>
      </c>
      <c r="G600" s="37" t="s">
        <v>124</v>
      </c>
      <c r="H600" s="36" t="s">
        <v>131</v>
      </c>
      <c r="I600" s="36" t="s">
        <v>979</v>
      </c>
      <c r="J600" s="37" t="s">
        <v>277</v>
      </c>
      <c r="K600" s="38" t="n">
        <v>747</v>
      </c>
      <c r="L600" s="38" t="n">
        <v>111303000</v>
      </c>
      <c r="M600" s="38" t="n">
        <v>39691098</v>
      </c>
      <c r="N600" s="39" t="n">
        <f aca="false">IF(A600="제외",0,IF(OR(N(L600)&lt;=0,N(M600)&gt;N(L600)),N(M600)/요약!$D$27,N(L600)))</f>
        <v>111303000</v>
      </c>
      <c r="O600" s="32" t="str">
        <f aca="false">IF(A600="제외","",IF(OR(N(L600)&lt;=0,N(M600)&gt;N(L600)),"택가보정(판매금액÷공급율)",""))</f>
        <v/>
      </c>
      <c r="P600" s="0" t="str">
        <f aca="false">IF(A600="HK","100",IF(A600="CN","200",IF(A600="TW","300",IF(ISNUMBER(SEARCH("태국",C600)),"500",IF(ISNUMBER(SEARCH("말레이",C600)),"600",IF(ISNUMBER(SEARCH("필리핀",C600)),"700",IF(ISNUMBER(SEARCH("인도네시아",C600)),"800",IF(ISNUMBER(SEARCH("크루즈",C600)),"810",IF(ISNUMBER(SEARCH("동물원",C600)),"830","")))))))))</f>
        <v>100</v>
      </c>
    </row>
    <row r="601" customFormat="false" ht="15" hidden="false" customHeight="false" outlineLevel="0" collapsed="false">
      <c r="A601" s="32" t="str">
        <f aca="false">IF(OR(TRIM(C601)="",SUBSTITUTE(C601," ","")="소계"),"제외",IF(ISNUMBER(SEARCH("홍콩",C601)),"HK",IF(ISNUMBER(SEARCH("상해",C601)),"CN",IF(ISNUMBER(SEARCH("대만",C601)),"TW","홀세일"))))</f>
        <v>HK</v>
      </c>
      <c r="B601" s="36" t="s">
        <v>764</v>
      </c>
      <c r="C601" s="37" t="s">
        <v>765</v>
      </c>
      <c r="D601" s="37" t="s">
        <v>664</v>
      </c>
      <c r="E601" s="36" t="n">
        <v>2026</v>
      </c>
      <c r="F601" s="37" t="s">
        <v>219</v>
      </c>
      <c r="G601" s="37" t="s">
        <v>124</v>
      </c>
      <c r="H601" s="36" t="s">
        <v>131</v>
      </c>
      <c r="I601" s="36" t="s">
        <v>980</v>
      </c>
      <c r="J601" s="37" t="s">
        <v>311</v>
      </c>
      <c r="K601" s="38" t="n">
        <v>720</v>
      </c>
      <c r="L601" s="38" t="n">
        <v>64080000</v>
      </c>
      <c r="M601" s="38" t="n">
        <v>22871520</v>
      </c>
      <c r="N601" s="39" t="n">
        <f aca="false">IF(A601="제외",0,IF(OR(N(L601)&lt;=0,N(M601)&gt;N(L601)),N(M601)/요약!$D$27,N(L601)))</f>
        <v>64080000</v>
      </c>
      <c r="O601" s="32" t="str">
        <f aca="false">IF(A601="제외","",IF(OR(N(L601)&lt;=0,N(M601)&gt;N(L601)),"택가보정(판매금액÷공급율)",""))</f>
        <v/>
      </c>
      <c r="P601" s="0" t="str">
        <f aca="false">IF(A601="HK","100",IF(A601="CN","200",IF(A601="TW","300",IF(ISNUMBER(SEARCH("태국",C601)),"500",IF(ISNUMBER(SEARCH("말레이",C601)),"600",IF(ISNUMBER(SEARCH("필리핀",C601)),"700",IF(ISNUMBER(SEARCH("인도네시아",C601)),"800",IF(ISNUMBER(SEARCH("크루즈",C601)),"810",IF(ISNUMBER(SEARCH("동물원",C601)),"830","")))))))))</f>
        <v>100</v>
      </c>
    </row>
    <row r="602" customFormat="false" ht="15" hidden="false" customHeight="false" outlineLevel="0" collapsed="false">
      <c r="A602" s="32" t="str">
        <f aca="false">IF(OR(TRIM(C602)="",SUBSTITUTE(C602," ","")="소계"),"제외",IF(ISNUMBER(SEARCH("홍콩",C602)),"HK",IF(ISNUMBER(SEARCH("상해",C602)),"CN",IF(ISNUMBER(SEARCH("대만",C602)),"TW","홀세일"))))</f>
        <v>HK</v>
      </c>
      <c r="B602" s="36" t="s">
        <v>764</v>
      </c>
      <c r="C602" s="37" t="s">
        <v>765</v>
      </c>
      <c r="D602" s="37" t="s">
        <v>664</v>
      </c>
      <c r="E602" s="36" t="n">
        <v>2026</v>
      </c>
      <c r="F602" s="37" t="s">
        <v>219</v>
      </c>
      <c r="G602" s="37" t="s">
        <v>124</v>
      </c>
      <c r="H602" s="36" t="s">
        <v>131</v>
      </c>
      <c r="I602" s="36" t="s">
        <v>671</v>
      </c>
      <c r="J602" s="37" t="s">
        <v>672</v>
      </c>
      <c r="K602" s="38" t="n">
        <v>100</v>
      </c>
      <c r="L602" s="38" t="n">
        <v>6900000</v>
      </c>
      <c r="M602" s="38" t="n">
        <v>2752600</v>
      </c>
      <c r="N602" s="39" t="n">
        <f aca="false">IF(A602="제외",0,IF(OR(N(L602)&lt;=0,N(M602)&gt;N(L602)),N(M602)/요약!$D$27,N(L602)))</f>
        <v>6900000</v>
      </c>
      <c r="O602" s="32" t="str">
        <f aca="false">IF(A602="제외","",IF(OR(N(L602)&lt;=0,N(M602)&gt;N(L602)),"택가보정(판매금액÷공급율)",""))</f>
        <v/>
      </c>
      <c r="P602" s="0" t="str">
        <f aca="false">IF(A602="HK","100",IF(A602="CN","200",IF(A602="TW","300",IF(ISNUMBER(SEARCH("태국",C602)),"500",IF(ISNUMBER(SEARCH("말레이",C602)),"600",IF(ISNUMBER(SEARCH("필리핀",C602)),"700",IF(ISNUMBER(SEARCH("인도네시아",C602)),"800",IF(ISNUMBER(SEARCH("크루즈",C602)),"810",IF(ISNUMBER(SEARCH("동물원",C602)),"830","")))))))))</f>
        <v>100</v>
      </c>
    </row>
    <row r="603" customFormat="false" ht="15" hidden="false" customHeight="false" outlineLevel="0" collapsed="false">
      <c r="A603" s="32" t="str">
        <f aca="false">IF(OR(TRIM(C603)="",SUBSTITUTE(C603," ","")="소계"),"제외",IF(ISNUMBER(SEARCH("홍콩",C603)),"HK",IF(ISNUMBER(SEARCH("상해",C603)),"CN",IF(ISNUMBER(SEARCH("대만",C603)),"TW","홀세일"))))</f>
        <v>HK</v>
      </c>
      <c r="B603" s="36" t="s">
        <v>764</v>
      </c>
      <c r="C603" s="37" t="s">
        <v>765</v>
      </c>
      <c r="D603" s="37" t="s">
        <v>664</v>
      </c>
      <c r="E603" s="36" t="n">
        <v>2026</v>
      </c>
      <c r="F603" s="37" t="s">
        <v>219</v>
      </c>
      <c r="G603" s="37" t="s">
        <v>124</v>
      </c>
      <c r="H603" s="36" t="s">
        <v>673</v>
      </c>
      <c r="I603" s="36" t="s">
        <v>981</v>
      </c>
      <c r="J603" s="37" t="s">
        <v>982</v>
      </c>
      <c r="K603" s="38" t="n">
        <v>400</v>
      </c>
      <c r="L603" s="38" t="n">
        <v>23600000</v>
      </c>
      <c r="M603" s="38" t="n">
        <v>10332400</v>
      </c>
      <c r="N603" s="39" t="n">
        <f aca="false">IF(A603="제외",0,IF(OR(N(L603)&lt;=0,N(M603)&gt;N(L603)),N(M603)/요약!$D$27,N(L603)))</f>
        <v>23600000</v>
      </c>
      <c r="O603" s="32" t="str">
        <f aca="false">IF(A603="제외","",IF(OR(N(L603)&lt;=0,N(M603)&gt;N(L603)),"택가보정(판매금액÷공급율)",""))</f>
        <v/>
      </c>
      <c r="P603" s="0" t="str">
        <f aca="false">IF(A603="HK","100",IF(A603="CN","200",IF(A603="TW","300",IF(ISNUMBER(SEARCH("태국",C603)),"500",IF(ISNUMBER(SEARCH("말레이",C603)),"600",IF(ISNUMBER(SEARCH("필리핀",C603)),"700",IF(ISNUMBER(SEARCH("인도네시아",C603)),"800",IF(ISNUMBER(SEARCH("크루즈",C603)),"810",IF(ISNUMBER(SEARCH("동물원",C603)),"830","")))))))))</f>
        <v>100</v>
      </c>
    </row>
    <row r="604" customFormat="false" ht="15" hidden="false" customHeight="false" outlineLevel="0" collapsed="false">
      <c r="A604" s="32" t="str">
        <f aca="false">IF(OR(TRIM(C604)="",SUBSTITUTE(C604," ","")="소계"),"제외",IF(ISNUMBER(SEARCH("홍콩",C604)),"HK",IF(ISNUMBER(SEARCH("상해",C604)),"CN",IF(ISNUMBER(SEARCH("대만",C604)),"TW","홀세일"))))</f>
        <v>HK</v>
      </c>
      <c r="B604" s="36" t="s">
        <v>764</v>
      </c>
      <c r="C604" s="37" t="s">
        <v>765</v>
      </c>
      <c r="D604" s="37" t="s">
        <v>664</v>
      </c>
      <c r="E604" s="36" t="n">
        <v>2026</v>
      </c>
      <c r="F604" s="37" t="s">
        <v>219</v>
      </c>
      <c r="G604" s="37" t="s">
        <v>124</v>
      </c>
      <c r="H604" s="36" t="s">
        <v>673</v>
      </c>
      <c r="I604" s="36" t="s">
        <v>983</v>
      </c>
      <c r="J604" s="37" t="s">
        <v>984</v>
      </c>
      <c r="K604" s="38" t="n">
        <v>400</v>
      </c>
      <c r="L604" s="38" t="n">
        <v>23600000</v>
      </c>
      <c r="M604" s="38" t="n">
        <v>10332400</v>
      </c>
      <c r="N604" s="39" t="n">
        <f aca="false">IF(A604="제외",0,IF(OR(N(L604)&lt;=0,N(M604)&gt;N(L604)),N(M604)/요약!$D$27,N(L604)))</f>
        <v>23600000</v>
      </c>
      <c r="O604" s="32" t="str">
        <f aca="false">IF(A604="제외","",IF(OR(N(L604)&lt;=0,N(M604)&gt;N(L604)),"택가보정(판매금액÷공급율)",""))</f>
        <v/>
      </c>
      <c r="P604" s="0" t="str">
        <f aca="false">IF(A604="HK","100",IF(A604="CN","200",IF(A604="TW","300",IF(ISNUMBER(SEARCH("태국",C604)),"500",IF(ISNUMBER(SEARCH("말레이",C604)),"600",IF(ISNUMBER(SEARCH("필리핀",C604)),"700",IF(ISNUMBER(SEARCH("인도네시아",C604)),"800",IF(ISNUMBER(SEARCH("크루즈",C604)),"810",IF(ISNUMBER(SEARCH("동물원",C604)),"830","")))))))))</f>
        <v>100</v>
      </c>
    </row>
    <row r="605" customFormat="false" ht="15" hidden="false" customHeight="false" outlineLevel="0" collapsed="false">
      <c r="A605" s="32" t="str">
        <f aca="false">IF(OR(TRIM(C605)="",SUBSTITUTE(C605," ","")="소계"),"제외",IF(ISNUMBER(SEARCH("홍콩",C605)),"HK",IF(ISNUMBER(SEARCH("상해",C605)),"CN",IF(ISNUMBER(SEARCH("대만",C605)),"TW","홀세일"))))</f>
        <v>HK</v>
      </c>
      <c r="B605" s="36" t="s">
        <v>764</v>
      </c>
      <c r="C605" s="37" t="s">
        <v>765</v>
      </c>
      <c r="D605" s="37" t="s">
        <v>664</v>
      </c>
      <c r="E605" s="36" t="n">
        <v>2026</v>
      </c>
      <c r="F605" s="37" t="s">
        <v>219</v>
      </c>
      <c r="G605" s="37" t="s">
        <v>124</v>
      </c>
      <c r="H605" s="36" t="s">
        <v>673</v>
      </c>
      <c r="I605" s="36" t="s">
        <v>985</v>
      </c>
      <c r="J605" s="37" t="s">
        <v>986</v>
      </c>
      <c r="K605" s="38" t="n">
        <v>400</v>
      </c>
      <c r="L605" s="38" t="n">
        <v>23600000</v>
      </c>
      <c r="M605" s="38" t="n">
        <v>10241600</v>
      </c>
      <c r="N605" s="39" t="n">
        <f aca="false">IF(A605="제외",0,IF(OR(N(L605)&lt;=0,N(M605)&gt;N(L605)),N(M605)/요약!$D$27,N(L605)))</f>
        <v>23600000</v>
      </c>
      <c r="O605" s="32" t="str">
        <f aca="false">IF(A605="제외","",IF(OR(N(L605)&lt;=0,N(M605)&gt;N(L605)),"택가보정(판매금액÷공급율)",""))</f>
        <v/>
      </c>
      <c r="P605" s="0" t="str">
        <f aca="false">IF(A605="HK","100",IF(A605="CN","200",IF(A605="TW","300",IF(ISNUMBER(SEARCH("태국",C605)),"500",IF(ISNUMBER(SEARCH("말레이",C605)),"600",IF(ISNUMBER(SEARCH("필리핀",C605)),"700",IF(ISNUMBER(SEARCH("인도네시아",C605)),"800",IF(ISNUMBER(SEARCH("크루즈",C605)),"810",IF(ISNUMBER(SEARCH("동물원",C605)),"830","")))))))))</f>
        <v>100</v>
      </c>
    </row>
    <row r="606" customFormat="false" ht="15" hidden="false" customHeight="false" outlineLevel="0" collapsed="false">
      <c r="A606" s="32" t="str">
        <f aca="false">IF(OR(TRIM(C606)="",SUBSTITUTE(C606," ","")="소계"),"제외",IF(ISNUMBER(SEARCH("홍콩",C606)),"HK",IF(ISNUMBER(SEARCH("상해",C606)),"CN",IF(ISNUMBER(SEARCH("대만",C606)),"TW","홀세일"))))</f>
        <v>HK</v>
      </c>
      <c r="B606" s="36" t="s">
        <v>764</v>
      </c>
      <c r="C606" s="37" t="s">
        <v>765</v>
      </c>
      <c r="D606" s="37" t="s">
        <v>664</v>
      </c>
      <c r="E606" s="36" t="n">
        <v>2026</v>
      </c>
      <c r="F606" s="37" t="s">
        <v>219</v>
      </c>
      <c r="G606" s="37" t="s">
        <v>124</v>
      </c>
      <c r="H606" s="36" t="s">
        <v>673</v>
      </c>
      <c r="I606" s="36" t="s">
        <v>987</v>
      </c>
      <c r="J606" s="37" t="s">
        <v>988</v>
      </c>
      <c r="K606" s="38" t="n">
        <v>400</v>
      </c>
      <c r="L606" s="38" t="n">
        <v>23600000</v>
      </c>
      <c r="M606" s="38" t="n">
        <v>10332400</v>
      </c>
      <c r="N606" s="39" t="n">
        <f aca="false">IF(A606="제외",0,IF(OR(N(L606)&lt;=0,N(M606)&gt;N(L606)),N(M606)/요약!$D$27,N(L606)))</f>
        <v>23600000</v>
      </c>
      <c r="O606" s="32" t="str">
        <f aca="false">IF(A606="제외","",IF(OR(N(L606)&lt;=0,N(M606)&gt;N(L606)),"택가보정(판매금액÷공급율)",""))</f>
        <v/>
      </c>
      <c r="P606" s="0" t="str">
        <f aca="false">IF(A606="HK","100",IF(A606="CN","200",IF(A606="TW","300",IF(ISNUMBER(SEARCH("태국",C606)),"500",IF(ISNUMBER(SEARCH("말레이",C606)),"600",IF(ISNUMBER(SEARCH("필리핀",C606)),"700",IF(ISNUMBER(SEARCH("인도네시아",C606)),"800",IF(ISNUMBER(SEARCH("크루즈",C606)),"810",IF(ISNUMBER(SEARCH("동물원",C606)),"830","")))))))))</f>
        <v>100</v>
      </c>
    </row>
    <row r="607" customFormat="false" ht="15" hidden="false" customHeight="false" outlineLevel="0" collapsed="false">
      <c r="A607" s="32" t="str">
        <f aca="false">IF(OR(TRIM(C607)="",SUBSTITUTE(C607," ","")="소계"),"제외",IF(ISNUMBER(SEARCH("홍콩",C607)),"HK",IF(ISNUMBER(SEARCH("상해",C607)),"CN",IF(ISNUMBER(SEARCH("대만",C607)),"TW","홀세일"))))</f>
        <v>HK</v>
      </c>
      <c r="B607" s="36" t="s">
        <v>764</v>
      </c>
      <c r="C607" s="37" t="s">
        <v>765</v>
      </c>
      <c r="D607" s="37" t="s">
        <v>664</v>
      </c>
      <c r="E607" s="36" t="n">
        <v>2026</v>
      </c>
      <c r="F607" s="37" t="s">
        <v>219</v>
      </c>
      <c r="G607" s="37" t="s">
        <v>124</v>
      </c>
      <c r="H607" s="36" t="s">
        <v>673</v>
      </c>
      <c r="I607" s="36" t="s">
        <v>989</v>
      </c>
      <c r="J607" s="37" t="s">
        <v>990</v>
      </c>
      <c r="K607" s="38" t="n">
        <v>400</v>
      </c>
      <c r="L607" s="38" t="n">
        <v>27600000</v>
      </c>
      <c r="M607" s="38" t="n">
        <v>10332400</v>
      </c>
      <c r="N607" s="39" t="n">
        <f aca="false">IF(A607="제외",0,IF(OR(N(L607)&lt;=0,N(M607)&gt;N(L607)),N(M607)/요약!$D$27,N(L607)))</f>
        <v>27600000</v>
      </c>
      <c r="O607" s="32" t="str">
        <f aca="false">IF(A607="제외","",IF(OR(N(L607)&lt;=0,N(M607)&gt;N(L607)),"택가보정(판매금액÷공급율)",""))</f>
        <v/>
      </c>
      <c r="P607" s="0" t="str">
        <f aca="false">IF(A607="HK","100",IF(A607="CN","200",IF(A607="TW","300",IF(ISNUMBER(SEARCH("태국",C607)),"500",IF(ISNUMBER(SEARCH("말레이",C607)),"600",IF(ISNUMBER(SEARCH("필리핀",C607)),"700",IF(ISNUMBER(SEARCH("인도네시아",C607)),"800",IF(ISNUMBER(SEARCH("크루즈",C607)),"810",IF(ISNUMBER(SEARCH("동물원",C607)),"830","")))))))))</f>
        <v>100</v>
      </c>
    </row>
    <row r="608" customFormat="false" ht="15" hidden="false" customHeight="false" outlineLevel="0" collapsed="false">
      <c r="A608" s="32" t="str">
        <f aca="false">IF(OR(TRIM(C608)="",SUBSTITUTE(C608," ","")="소계"),"제외",IF(ISNUMBER(SEARCH("홍콩",C608)),"HK",IF(ISNUMBER(SEARCH("상해",C608)),"CN",IF(ISNUMBER(SEARCH("대만",C608)),"TW","홀세일"))))</f>
        <v>HK</v>
      </c>
      <c r="B608" s="36" t="s">
        <v>764</v>
      </c>
      <c r="C608" s="37" t="s">
        <v>765</v>
      </c>
      <c r="D608" s="37" t="s">
        <v>664</v>
      </c>
      <c r="E608" s="36" t="n">
        <v>2026</v>
      </c>
      <c r="F608" s="37" t="s">
        <v>219</v>
      </c>
      <c r="G608" s="37" t="s">
        <v>124</v>
      </c>
      <c r="H608" s="36" t="s">
        <v>673</v>
      </c>
      <c r="I608" s="36" t="s">
        <v>991</v>
      </c>
      <c r="J608" s="37" t="s">
        <v>992</v>
      </c>
      <c r="K608" s="38" t="n">
        <v>395</v>
      </c>
      <c r="L608" s="38" t="n">
        <v>27255000</v>
      </c>
      <c r="M608" s="38" t="n">
        <v>10203245</v>
      </c>
      <c r="N608" s="39" t="n">
        <f aca="false">IF(A608="제외",0,IF(OR(N(L608)&lt;=0,N(M608)&gt;N(L608)),N(M608)/요약!$D$27,N(L608)))</f>
        <v>27255000</v>
      </c>
      <c r="O608" s="32" t="str">
        <f aca="false">IF(A608="제외","",IF(OR(N(L608)&lt;=0,N(M608)&gt;N(L608)),"택가보정(판매금액÷공급율)",""))</f>
        <v/>
      </c>
      <c r="P608" s="0" t="str">
        <f aca="false">IF(A608="HK","100",IF(A608="CN","200",IF(A608="TW","300",IF(ISNUMBER(SEARCH("태국",C608)),"500",IF(ISNUMBER(SEARCH("말레이",C608)),"600",IF(ISNUMBER(SEARCH("필리핀",C608)),"700",IF(ISNUMBER(SEARCH("인도네시아",C608)),"800",IF(ISNUMBER(SEARCH("크루즈",C608)),"810",IF(ISNUMBER(SEARCH("동물원",C608)),"830","")))))))))</f>
        <v>100</v>
      </c>
    </row>
    <row r="609" customFormat="false" ht="15" hidden="false" customHeight="false" outlineLevel="0" collapsed="false">
      <c r="A609" s="32" t="str">
        <f aca="false">IF(OR(TRIM(C609)="",SUBSTITUTE(C609," ","")="소계"),"제외",IF(ISNUMBER(SEARCH("홍콩",C609)),"HK",IF(ISNUMBER(SEARCH("상해",C609)),"CN",IF(ISNUMBER(SEARCH("대만",C609)),"TW","홀세일"))))</f>
        <v>HK</v>
      </c>
      <c r="B609" s="36" t="s">
        <v>764</v>
      </c>
      <c r="C609" s="37" t="s">
        <v>765</v>
      </c>
      <c r="D609" s="37" t="s">
        <v>664</v>
      </c>
      <c r="E609" s="36" t="n">
        <v>2026</v>
      </c>
      <c r="F609" s="37" t="s">
        <v>219</v>
      </c>
      <c r="G609" s="37" t="s">
        <v>124</v>
      </c>
      <c r="H609" s="37" t="s">
        <v>649</v>
      </c>
      <c r="I609" s="36" t="s">
        <v>993</v>
      </c>
      <c r="J609" s="37" t="s">
        <v>994</v>
      </c>
      <c r="K609" s="38" t="n">
        <v>790</v>
      </c>
      <c r="L609" s="38" t="n">
        <v>54510000</v>
      </c>
      <c r="M609" s="38" t="n">
        <v>19727090</v>
      </c>
      <c r="N609" s="39" t="n">
        <f aca="false">IF(A609="제외",0,IF(OR(N(L609)&lt;=0,N(M609)&gt;N(L609)),N(M609)/요약!$D$27,N(L609)))</f>
        <v>54510000</v>
      </c>
      <c r="O609" s="32" t="str">
        <f aca="false">IF(A609="제외","",IF(OR(N(L609)&lt;=0,N(M609)&gt;N(L609)),"택가보정(판매금액÷공급율)",""))</f>
        <v/>
      </c>
      <c r="P609" s="0" t="str">
        <f aca="false">IF(A609="HK","100",IF(A609="CN","200",IF(A609="TW","300",IF(ISNUMBER(SEARCH("태국",C609)),"500",IF(ISNUMBER(SEARCH("말레이",C609)),"600",IF(ISNUMBER(SEARCH("필리핀",C609)),"700",IF(ISNUMBER(SEARCH("인도네시아",C609)),"800",IF(ISNUMBER(SEARCH("크루즈",C609)),"810",IF(ISNUMBER(SEARCH("동물원",C609)),"830","")))))))))</f>
        <v>100</v>
      </c>
    </row>
    <row r="610" customFormat="false" ht="15" hidden="false" customHeight="false" outlineLevel="0" collapsed="false">
      <c r="A610" s="32" t="str">
        <f aca="false">IF(OR(TRIM(C610)="",SUBSTITUTE(C610," ","")="소계"),"제외",IF(ISNUMBER(SEARCH("홍콩",C610)),"HK",IF(ISNUMBER(SEARCH("상해",C610)),"CN",IF(ISNUMBER(SEARCH("대만",C610)),"TW","홀세일"))))</f>
        <v>HK</v>
      </c>
      <c r="B610" s="36" t="s">
        <v>764</v>
      </c>
      <c r="C610" s="37" t="s">
        <v>765</v>
      </c>
      <c r="D610" s="37" t="s">
        <v>664</v>
      </c>
      <c r="E610" s="36" t="n">
        <v>2026</v>
      </c>
      <c r="F610" s="37" t="s">
        <v>219</v>
      </c>
      <c r="G610" s="37" t="s">
        <v>124</v>
      </c>
      <c r="H610" s="37" t="s">
        <v>649</v>
      </c>
      <c r="I610" s="36" t="s">
        <v>995</v>
      </c>
      <c r="J610" s="37" t="s">
        <v>996</v>
      </c>
      <c r="K610" s="38" t="n">
        <v>400</v>
      </c>
      <c r="L610" s="38" t="n">
        <v>23600000</v>
      </c>
      <c r="M610" s="38" t="n">
        <v>8544800</v>
      </c>
      <c r="N610" s="39" t="n">
        <f aca="false">IF(A610="제외",0,IF(OR(N(L610)&lt;=0,N(M610)&gt;N(L610)),N(M610)/요약!$D$27,N(L610)))</f>
        <v>23600000</v>
      </c>
      <c r="O610" s="32" t="str">
        <f aca="false">IF(A610="제외","",IF(OR(N(L610)&lt;=0,N(M610)&gt;N(L610)),"택가보정(판매금액÷공급율)",""))</f>
        <v/>
      </c>
      <c r="P610" s="0" t="str">
        <f aca="false">IF(A610="HK","100",IF(A610="CN","200",IF(A610="TW","300",IF(ISNUMBER(SEARCH("태국",C610)),"500",IF(ISNUMBER(SEARCH("말레이",C610)),"600",IF(ISNUMBER(SEARCH("필리핀",C610)),"700",IF(ISNUMBER(SEARCH("인도네시아",C610)),"800",IF(ISNUMBER(SEARCH("크루즈",C610)),"810",IF(ISNUMBER(SEARCH("동물원",C610)),"830","")))))))))</f>
        <v>100</v>
      </c>
    </row>
    <row r="611" customFormat="false" ht="15" hidden="false" customHeight="false" outlineLevel="0" collapsed="false">
      <c r="A611" s="32" t="str">
        <f aca="false">IF(OR(TRIM(C611)="",SUBSTITUTE(C611," ","")="소계"),"제외",IF(ISNUMBER(SEARCH("홍콩",C611)),"HK",IF(ISNUMBER(SEARCH("상해",C611)),"CN",IF(ISNUMBER(SEARCH("대만",C611)),"TW","홀세일"))))</f>
        <v>HK</v>
      </c>
      <c r="B611" s="36" t="s">
        <v>764</v>
      </c>
      <c r="C611" s="37" t="s">
        <v>765</v>
      </c>
      <c r="D611" s="37" t="s">
        <v>664</v>
      </c>
      <c r="E611" s="36" t="n">
        <v>2026</v>
      </c>
      <c r="F611" s="37" t="s">
        <v>219</v>
      </c>
      <c r="G611" s="37" t="s">
        <v>124</v>
      </c>
      <c r="H611" s="37" t="s">
        <v>649</v>
      </c>
      <c r="I611" s="36" t="s">
        <v>997</v>
      </c>
      <c r="J611" s="37" t="s">
        <v>998</v>
      </c>
      <c r="K611" s="38" t="n">
        <v>400</v>
      </c>
      <c r="L611" s="38" t="n">
        <v>23600000</v>
      </c>
      <c r="M611" s="38" t="n">
        <v>8544800</v>
      </c>
      <c r="N611" s="39" t="n">
        <f aca="false">IF(A611="제외",0,IF(OR(N(L611)&lt;=0,N(M611)&gt;N(L611)),N(M611)/요약!$D$27,N(L611)))</f>
        <v>23600000</v>
      </c>
      <c r="O611" s="32" t="str">
        <f aca="false">IF(A611="제외","",IF(OR(N(L611)&lt;=0,N(M611)&gt;N(L611)),"택가보정(판매금액÷공급율)",""))</f>
        <v/>
      </c>
      <c r="P611" s="0" t="str">
        <f aca="false">IF(A611="HK","100",IF(A611="CN","200",IF(A611="TW","300",IF(ISNUMBER(SEARCH("태국",C611)),"500",IF(ISNUMBER(SEARCH("말레이",C611)),"600",IF(ISNUMBER(SEARCH("필리핀",C611)),"700",IF(ISNUMBER(SEARCH("인도네시아",C611)),"800",IF(ISNUMBER(SEARCH("크루즈",C611)),"810",IF(ISNUMBER(SEARCH("동물원",C611)),"830","")))))))))</f>
        <v>100</v>
      </c>
    </row>
    <row r="612" customFormat="false" ht="15" hidden="false" customHeight="false" outlineLevel="0" collapsed="false">
      <c r="A612" s="32" t="str">
        <f aca="false">IF(OR(TRIM(C612)="",SUBSTITUTE(C612," ","")="소계"),"제외",IF(ISNUMBER(SEARCH("홍콩",C612)),"HK",IF(ISNUMBER(SEARCH("상해",C612)),"CN",IF(ISNUMBER(SEARCH("대만",C612)),"TW","홀세일"))))</f>
        <v>HK</v>
      </c>
      <c r="B612" s="36" t="s">
        <v>764</v>
      </c>
      <c r="C612" s="37" t="s">
        <v>765</v>
      </c>
      <c r="D612" s="37" t="s">
        <v>664</v>
      </c>
      <c r="E612" s="36" t="n">
        <v>2026</v>
      </c>
      <c r="F612" s="37" t="s">
        <v>219</v>
      </c>
      <c r="G612" s="37" t="s">
        <v>124</v>
      </c>
      <c r="H612" s="37" t="s">
        <v>649</v>
      </c>
      <c r="I612" s="36" t="s">
        <v>999</v>
      </c>
      <c r="J612" s="37" t="s">
        <v>1000</v>
      </c>
      <c r="K612" s="38" t="n">
        <v>400</v>
      </c>
      <c r="L612" s="38" t="n">
        <v>23600000</v>
      </c>
      <c r="M612" s="38" t="n">
        <v>8544800</v>
      </c>
      <c r="N612" s="39" t="n">
        <f aca="false">IF(A612="제외",0,IF(OR(N(L612)&lt;=0,N(M612)&gt;N(L612)),N(M612)/요약!$D$27,N(L612)))</f>
        <v>23600000</v>
      </c>
      <c r="O612" s="32" t="str">
        <f aca="false">IF(A612="제외","",IF(OR(N(L612)&lt;=0,N(M612)&gt;N(L612)),"택가보정(판매금액÷공급율)",""))</f>
        <v/>
      </c>
      <c r="P612" s="0" t="str">
        <f aca="false">IF(A612="HK","100",IF(A612="CN","200",IF(A612="TW","300",IF(ISNUMBER(SEARCH("태국",C612)),"500",IF(ISNUMBER(SEARCH("말레이",C612)),"600",IF(ISNUMBER(SEARCH("필리핀",C612)),"700",IF(ISNUMBER(SEARCH("인도네시아",C612)),"800",IF(ISNUMBER(SEARCH("크루즈",C612)),"810",IF(ISNUMBER(SEARCH("동물원",C612)),"830","")))))))))</f>
        <v>100</v>
      </c>
    </row>
    <row r="613" customFormat="false" ht="15" hidden="false" customHeight="false" outlineLevel="0" collapsed="false">
      <c r="A613" s="32" t="str">
        <f aca="false">IF(OR(TRIM(C613)="",SUBSTITUTE(C613," ","")="소계"),"제외",IF(ISNUMBER(SEARCH("홍콩",C613)),"HK",IF(ISNUMBER(SEARCH("상해",C613)),"CN",IF(ISNUMBER(SEARCH("대만",C613)),"TW","홀세일"))))</f>
        <v>HK</v>
      </c>
      <c r="B613" s="36" t="s">
        <v>764</v>
      </c>
      <c r="C613" s="37" t="s">
        <v>765</v>
      </c>
      <c r="D613" s="37" t="s">
        <v>664</v>
      </c>
      <c r="E613" s="36" t="n">
        <v>2026</v>
      </c>
      <c r="F613" s="37" t="s">
        <v>219</v>
      </c>
      <c r="G613" s="37" t="s">
        <v>124</v>
      </c>
      <c r="H613" s="37" t="s">
        <v>649</v>
      </c>
      <c r="I613" s="36" t="s">
        <v>1001</v>
      </c>
      <c r="J613" s="37" t="s">
        <v>1002</v>
      </c>
      <c r="K613" s="38" t="n">
        <v>400</v>
      </c>
      <c r="L613" s="38" t="n">
        <v>23600000</v>
      </c>
      <c r="M613" s="38" t="n">
        <v>8544800</v>
      </c>
      <c r="N613" s="39" t="n">
        <f aca="false">IF(A613="제외",0,IF(OR(N(L613)&lt;=0,N(M613)&gt;N(L613)),N(M613)/요약!$D$27,N(L613)))</f>
        <v>23600000</v>
      </c>
      <c r="O613" s="32" t="str">
        <f aca="false">IF(A613="제외","",IF(OR(N(L613)&lt;=0,N(M613)&gt;N(L613)),"택가보정(판매금액÷공급율)",""))</f>
        <v/>
      </c>
      <c r="P613" s="0" t="str">
        <f aca="false">IF(A613="HK","100",IF(A613="CN","200",IF(A613="TW","300",IF(ISNUMBER(SEARCH("태국",C613)),"500",IF(ISNUMBER(SEARCH("말레이",C613)),"600",IF(ISNUMBER(SEARCH("필리핀",C613)),"700",IF(ISNUMBER(SEARCH("인도네시아",C613)),"800",IF(ISNUMBER(SEARCH("크루즈",C613)),"810",IF(ISNUMBER(SEARCH("동물원",C613)),"830","")))))))))</f>
        <v>100</v>
      </c>
    </row>
    <row r="614" customFormat="false" ht="15" hidden="false" customHeight="false" outlineLevel="0" collapsed="false">
      <c r="A614" s="32" t="str">
        <f aca="false">IF(OR(TRIM(C614)="",SUBSTITUTE(C614," ","")="소계"),"제외",IF(ISNUMBER(SEARCH("홍콩",C614)),"HK",IF(ISNUMBER(SEARCH("상해",C614)),"CN",IF(ISNUMBER(SEARCH("대만",C614)),"TW","홀세일"))))</f>
        <v>HK</v>
      </c>
      <c r="B614" s="36" t="s">
        <v>764</v>
      </c>
      <c r="C614" s="37" t="s">
        <v>765</v>
      </c>
      <c r="D614" s="37" t="s">
        <v>664</v>
      </c>
      <c r="E614" s="36" t="n">
        <v>2026</v>
      </c>
      <c r="F614" s="37" t="s">
        <v>219</v>
      </c>
      <c r="G614" s="37" t="s">
        <v>124</v>
      </c>
      <c r="H614" s="37" t="s">
        <v>649</v>
      </c>
      <c r="I614" s="36" t="s">
        <v>1003</v>
      </c>
      <c r="J614" s="37" t="s">
        <v>1004</v>
      </c>
      <c r="K614" s="38" t="n">
        <v>400</v>
      </c>
      <c r="L614" s="38" t="n">
        <v>23600000</v>
      </c>
      <c r="M614" s="38" t="n">
        <v>9166400</v>
      </c>
      <c r="N614" s="39" t="n">
        <f aca="false">IF(A614="제외",0,IF(OR(N(L614)&lt;=0,N(M614)&gt;N(L614)),N(M614)/요약!$D$27,N(L614)))</f>
        <v>23600000</v>
      </c>
      <c r="O614" s="32" t="str">
        <f aca="false">IF(A614="제외","",IF(OR(N(L614)&lt;=0,N(M614)&gt;N(L614)),"택가보정(판매금액÷공급율)",""))</f>
        <v/>
      </c>
      <c r="P614" s="0" t="str">
        <f aca="false">IF(A614="HK","100",IF(A614="CN","200",IF(A614="TW","300",IF(ISNUMBER(SEARCH("태국",C614)),"500",IF(ISNUMBER(SEARCH("말레이",C614)),"600",IF(ISNUMBER(SEARCH("필리핀",C614)),"700",IF(ISNUMBER(SEARCH("인도네시아",C614)),"800",IF(ISNUMBER(SEARCH("크루즈",C614)),"810",IF(ISNUMBER(SEARCH("동물원",C614)),"830","")))))))))</f>
        <v>100</v>
      </c>
    </row>
    <row r="615" customFormat="false" ht="15" hidden="false" customHeight="false" outlineLevel="0" collapsed="false">
      <c r="A615" s="32" t="str">
        <f aca="false">IF(OR(TRIM(C615)="",SUBSTITUTE(C615," ","")="소계"),"제외",IF(ISNUMBER(SEARCH("홍콩",C615)),"HK",IF(ISNUMBER(SEARCH("상해",C615)),"CN",IF(ISNUMBER(SEARCH("대만",C615)),"TW","홀세일"))))</f>
        <v>HK</v>
      </c>
      <c r="B615" s="36" t="s">
        <v>764</v>
      </c>
      <c r="C615" s="37" t="s">
        <v>765</v>
      </c>
      <c r="D615" s="37" t="s">
        <v>664</v>
      </c>
      <c r="E615" s="36" t="n">
        <v>2026</v>
      </c>
      <c r="F615" s="37" t="s">
        <v>219</v>
      </c>
      <c r="G615" s="37" t="s">
        <v>124</v>
      </c>
      <c r="H615" s="36" t="s">
        <v>188</v>
      </c>
      <c r="I615" s="36" t="s">
        <v>690</v>
      </c>
      <c r="J615" s="36" t="s">
        <v>691</v>
      </c>
      <c r="K615" s="38" t="n">
        <v>310</v>
      </c>
      <c r="L615" s="38" t="n">
        <v>39990000</v>
      </c>
      <c r="M615" s="38" t="n">
        <v>15347790</v>
      </c>
      <c r="N615" s="39" t="n">
        <f aca="false">IF(A615="제외",0,IF(OR(N(L615)&lt;=0,N(M615)&gt;N(L615)),N(M615)/요약!$D$27,N(L615)))</f>
        <v>39990000</v>
      </c>
      <c r="O615" s="32" t="str">
        <f aca="false">IF(A615="제외","",IF(OR(N(L615)&lt;=0,N(M615)&gt;N(L615)),"택가보정(판매금액÷공급율)",""))</f>
        <v/>
      </c>
      <c r="P615" s="0" t="str">
        <f aca="false">IF(A615="HK","100",IF(A615="CN","200",IF(A615="TW","300",IF(ISNUMBER(SEARCH("태국",C615)),"500",IF(ISNUMBER(SEARCH("말레이",C615)),"600",IF(ISNUMBER(SEARCH("필리핀",C615)),"700",IF(ISNUMBER(SEARCH("인도네시아",C615)),"800",IF(ISNUMBER(SEARCH("크루즈",C615)),"810",IF(ISNUMBER(SEARCH("동물원",C615)),"830","")))))))))</f>
        <v>100</v>
      </c>
    </row>
    <row r="616" customFormat="false" ht="15" hidden="false" customHeight="false" outlineLevel="0" collapsed="false">
      <c r="A616" s="32" t="str">
        <f aca="false">IF(OR(TRIM(C616)="",SUBSTITUTE(C616," ","")="소계"),"제외",IF(ISNUMBER(SEARCH("홍콩",C616)),"HK",IF(ISNUMBER(SEARCH("상해",C616)),"CN",IF(ISNUMBER(SEARCH("대만",C616)),"TW","홀세일"))))</f>
        <v>HK</v>
      </c>
      <c r="B616" s="36" t="s">
        <v>764</v>
      </c>
      <c r="C616" s="37" t="s">
        <v>765</v>
      </c>
      <c r="D616" s="37" t="s">
        <v>664</v>
      </c>
      <c r="E616" s="36" t="n">
        <v>2026</v>
      </c>
      <c r="F616" s="37" t="s">
        <v>219</v>
      </c>
      <c r="G616" s="37" t="s">
        <v>124</v>
      </c>
      <c r="H616" s="36" t="s">
        <v>188</v>
      </c>
      <c r="I616" s="36" t="s">
        <v>694</v>
      </c>
      <c r="J616" s="36" t="s">
        <v>695</v>
      </c>
      <c r="K616" s="38" t="n">
        <v>140</v>
      </c>
      <c r="L616" s="38" t="n">
        <v>16660000</v>
      </c>
      <c r="M616" s="38" t="n">
        <v>6108200</v>
      </c>
      <c r="N616" s="39" t="n">
        <f aca="false">IF(A616="제외",0,IF(OR(N(L616)&lt;=0,N(M616)&gt;N(L616)),N(M616)/요약!$D$27,N(L616)))</f>
        <v>16660000</v>
      </c>
      <c r="O616" s="32" t="str">
        <f aca="false">IF(A616="제외","",IF(OR(N(L616)&lt;=0,N(M616)&gt;N(L616)),"택가보정(판매금액÷공급율)",""))</f>
        <v/>
      </c>
      <c r="P616" s="0" t="str">
        <f aca="false">IF(A616="HK","100",IF(A616="CN","200",IF(A616="TW","300",IF(ISNUMBER(SEARCH("태국",C616)),"500",IF(ISNUMBER(SEARCH("말레이",C616)),"600",IF(ISNUMBER(SEARCH("필리핀",C616)),"700",IF(ISNUMBER(SEARCH("인도네시아",C616)),"800",IF(ISNUMBER(SEARCH("크루즈",C616)),"810",IF(ISNUMBER(SEARCH("동물원",C616)),"830","")))))))))</f>
        <v>100</v>
      </c>
    </row>
    <row r="617" customFormat="false" ht="15" hidden="false" customHeight="false" outlineLevel="0" collapsed="false">
      <c r="A617" s="32" t="str">
        <f aca="false">IF(OR(TRIM(C617)="",SUBSTITUTE(C617," ","")="소계"),"제외",IF(ISNUMBER(SEARCH("홍콩",C617)),"HK",IF(ISNUMBER(SEARCH("상해",C617)),"CN",IF(ISNUMBER(SEARCH("대만",C617)),"TW","홀세일"))))</f>
        <v>HK</v>
      </c>
      <c r="B617" s="36" t="s">
        <v>764</v>
      </c>
      <c r="C617" s="37" t="s">
        <v>765</v>
      </c>
      <c r="D617" s="37" t="s">
        <v>664</v>
      </c>
      <c r="E617" s="36" t="n">
        <v>2026</v>
      </c>
      <c r="F617" s="37" t="s">
        <v>219</v>
      </c>
      <c r="G617" s="37" t="s">
        <v>124</v>
      </c>
      <c r="H617" s="36" t="s">
        <v>188</v>
      </c>
      <c r="I617" s="36" t="s">
        <v>698</v>
      </c>
      <c r="J617" s="36" t="s">
        <v>699</v>
      </c>
      <c r="K617" s="38" t="n">
        <v>200</v>
      </c>
      <c r="L617" s="38" t="n">
        <v>33800000</v>
      </c>
      <c r="M617" s="38" t="n">
        <v>12386200</v>
      </c>
      <c r="N617" s="39" t="n">
        <f aca="false">IF(A617="제외",0,IF(OR(N(L617)&lt;=0,N(M617)&gt;N(L617)),N(M617)/요약!$D$27,N(L617)))</f>
        <v>33800000</v>
      </c>
      <c r="O617" s="32" t="str">
        <f aca="false">IF(A617="제외","",IF(OR(N(L617)&lt;=0,N(M617)&gt;N(L617)),"택가보정(판매금액÷공급율)",""))</f>
        <v/>
      </c>
      <c r="P617" s="0" t="str">
        <f aca="false">IF(A617="HK","100",IF(A617="CN","200",IF(A617="TW","300",IF(ISNUMBER(SEARCH("태국",C617)),"500",IF(ISNUMBER(SEARCH("말레이",C617)),"600",IF(ISNUMBER(SEARCH("필리핀",C617)),"700",IF(ISNUMBER(SEARCH("인도네시아",C617)),"800",IF(ISNUMBER(SEARCH("크루즈",C617)),"810",IF(ISNUMBER(SEARCH("동물원",C617)),"830","")))))))))</f>
        <v>100</v>
      </c>
    </row>
    <row r="618" customFormat="false" ht="15" hidden="false" customHeight="false" outlineLevel="0" collapsed="false">
      <c r="A618" s="32" t="str">
        <f aca="false">IF(OR(TRIM(C618)="",SUBSTITUTE(C618," ","")="소계"),"제외",IF(ISNUMBER(SEARCH("홍콩",C618)),"HK",IF(ISNUMBER(SEARCH("상해",C618)),"CN",IF(ISNUMBER(SEARCH("대만",C618)),"TW","홀세일"))))</f>
        <v>HK</v>
      </c>
      <c r="B618" s="36" t="s">
        <v>764</v>
      </c>
      <c r="C618" s="37" t="s">
        <v>765</v>
      </c>
      <c r="D618" s="37" t="s">
        <v>664</v>
      </c>
      <c r="E618" s="36" t="n">
        <v>2026</v>
      </c>
      <c r="F618" s="37" t="s">
        <v>219</v>
      </c>
      <c r="G618" s="37" t="s">
        <v>124</v>
      </c>
      <c r="H618" s="36" t="s">
        <v>188</v>
      </c>
      <c r="I618" s="36" t="s">
        <v>1005</v>
      </c>
      <c r="J618" s="36" t="s">
        <v>1006</v>
      </c>
      <c r="K618" s="38" t="n">
        <v>200</v>
      </c>
      <c r="L618" s="38" t="n">
        <v>33800000</v>
      </c>
      <c r="M618" s="38" t="n">
        <v>12386200</v>
      </c>
      <c r="N618" s="39" t="n">
        <f aca="false">IF(A618="제외",0,IF(OR(N(L618)&lt;=0,N(M618)&gt;N(L618)),N(M618)/요약!$D$27,N(L618)))</f>
        <v>33800000</v>
      </c>
      <c r="O618" s="32" t="str">
        <f aca="false">IF(A618="제외","",IF(OR(N(L618)&lt;=0,N(M618)&gt;N(L618)),"택가보정(판매금액÷공급율)",""))</f>
        <v/>
      </c>
      <c r="P618" s="0" t="str">
        <f aca="false">IF(A618="HK","100",IF(A618="CN","200",IF(A618="TW","300",IF(ISNUMBER(SEARCH("태국",C618)),"500",IF(ISNUMBER(SEARCH("말레이",C618)),"600",IF(ISNUMBER(SEARCH("필리핀",C618)),"700",IF(ISNUMBER(SEARCH("인도네시아",C618)),"800",IF(ISNUMBER(SEARCH("크루즈",C618)),"810",IF(ISNUMBER(SEARCH("동물원",C618)),"830","")))))))))</f>
        <v>100</v>
      </c>
    </row>
    <row r="619" customFormat="false" ht="15" hidden="false" customHeight="false" outlineLevel="0" collapsed="false">
      <c r="A619" s="32" t="str">
        <f aca="false">IF(OR(TRIM(C619)="",SUBSTITUTE(C619," ","")="소계"),"제외",IF(ISNUMBER(SEARCH("홍콩",C619)),"HK",IF(ISNUMBER(SEARCH("상해",C619)),"CN",IF(ISNUMBER(SEARCH("대만",C619)),"TW","홀세일"))))</f>
        <v>HK</v>
      </c>
      <c r="B619" s="36" t="s">
        <v>764</v>
      </c>
      <c r="C619" s="37" t="s">
        <v>765</v>
      </c>
      <c r="D619" s="37" t="s">
        <v>664</v>
      </c>
      <c r="E619" s="36" t="n">
        <v>2026</v>
      </c>
      <c r="F619" s="37" t="s">
        <v>219</v>
      </c>
      <c r="G619" s="37" t="s">
        <v>124</v>
      </c>
      <c r="H619" s="36" t="s">
        <v>188</v>
      </c>
      <c r="I619" s="36" t="s">
        <v>1007</v>
      </c>
      <c r="J619" s="36" t="s">
        <v>1008</v>
      </c>
      <c r="K619" s="38" t="n">
        <v>113</v>
      </c>
      <c r="L619" s="38" t="n">
        <v>15707000</v>
      </c>
      <c r="M619" s="38" t="n">
        <v>5757463</v>
      </c>
      <c r="N619" s="39" t="n">
        <f aca="false">IF(A619="제외",0,IF(OR(N(L619)&lt;=0,N(M619)&gt;N(L619)),N(M619)/요약!$D$27,N(L619)))</f>
        <v>15707000</v>
      </c>
      <c r="O619" s="32" t="str">
        <f aca="false">IF(A619="제외","",IF(OR(N(L619)&lt;=0,N(M619)&gt;N(L619)),"택가보정(판매금액÷공급율)",""))</f>
        <v/>
      </c>
      <c r="P619" s="0" t="str">
        <f aca="false">IF(A619="HK","100",IF(A619="CN","200",IF(A619="TW","300",IF(ISNUMBER(SEARCH("태국",C619)),"500",IF(ISNUMBER(SEARCH("말레이",C619)),"600",IF(ISNUMBER(SEARCH("필리핀",C619)),"700",IF(ISNUMBER(SEARCH("인도네시아",C619)),"800",IF(ISNUMBER(SEARCH("크루즈",C619)),"810",IF(ISNUMBER(SEARCH("동물원",C619)),"830","")))))))))</f>
        <v>100</v>
      </c>
    </row>
    <row r="620" customFormat="false" ht="15" hidden="false" customHeight="false" outlineLevel="0" collapsed="false">
      <c r="A620" s="32" t="str">
        <f aca="false">IF(OR(TRIM(C620)="",SUBSTITUTE(C620," ","")="소계"),"제외",IF(ISNUMBER(SEARCH("홍콩",C620)),"HK",IF(ISNUMBER(SEARCH("상해",C620)),"CN",IF(ISNUMBER(SEARCH("대만",C620)),"TW","홀세일"))))</f>
        <v>HK</v>
      </c>
      <c r="B620" s="36" t="s">
        <v>764</v>
      </c>
      <c r="C620" s="37" t="s">
        <v>765</v>
      </c>
      <c r="D620" s="37" t="s">
        <v>664</v>
      </c>
      <c r="E620" s="36" t="n">
        <v>2026</v>
      </c>
      <c r="F620" s="37" t="s">
        <v>219</v>
      </c>
      <c r="G620" s="37" t="s">
        <v>124</v>
      </c>
      <c r="H620" s="36" t="s">
        <v>188</v>
      </c>
      <c r="I620" s="36" t="s">
        <v>700</v>
      </c>
      <c r="J620" s="36" t="s">
        <v>701</v>
      </c>
      <c r="K620" s="38" t="n">
        <v>100</v>
      </c>
      <c r="L620" s="38" t="n">
        <v>15900000</v>
      </c>
      <c r="M620" s="38" t="n">
        <v>5461100</v>
      </c>
      <c r="N620" s="39" t="n">
        <f aca="false">IF(A620="제외",0,IF(OR(N(L620)&lt;=0,N(M620)&gt;N(L620)),N(M620)/요약!$D$27,N(L620)))</f>
        <v>15900000</v>
      </c>
      <c r="O620" s="32" t="str">
        <f aca="false">IF(A620="제외","",IF(OR(N(L620)&lt;=0,N(M620)&gt;N(L620)),"택가보정(판매금액÷공급율)",""))</f>
        <v/>
      </c>
      <c r="P620" s="0" t="str">
        <f aca="false">IF(A620="HK","100",IF(A620="CN","200",IF(A620="TW","300",IF(ISNUMBER(SEARCH("태국",C620)),"500",IF(ISNUMBER(SEARCH("말레이",C620)),"600",IF(ISNUMBER(SEARCH("필리핀",C620)),"700",IF(ISNUMBER(SEARCH("인도네시아",C620)),"800",IF(ISNUMBER(SEARCH("크루즈",C620)),"810",IF(ISNUMBER(SEARCH("동물원",C620)),"830","")))))))))</f>
        <v>100</v>
      </c>
    </row>
    <row r="621" customFormat="false" ht="15" hidden="false" customHeight="false" outlineLevel="0" collapsed="false">
      <c r="A621" s="32" t="str">
        <f aca="false">IF(OR(TRIM(C621)="",SUBSTITUTE(C621," ","")="소계"),"제외",IF(ISNUMBER(SEARCH("홍콩",C621)),"HK",IF(ISNUMBER(SEARCH("상해",C621)),"CN",IF(ISNUMBER(SEARCH("대만",C621)),"TW","홀세일"))))</f>
        <v>HK</v>
      </c>
      <c r="B621" s="36" t="s">
        <v>764</v>
      </c>
      <c r="C621" s="37" t="s">
        <v>765</v>
      </c>
      <c r="D621" s="37" t="s">
        <v>664</v>
      </c>
      <c r="E621" s="36" t="n">
        <v>2026</v>
      </c>
      <c r="F621" s="37" t="s">
        <v>219</v>
      </c>
      <c r="G621" s="37" t="s">
        <v>124</v>
      </c>
      <c r="H621" s="36" t="s">
        <v>188</v>
      </c>
      <c r="I621" s="36" t="s">
        <v>1009</v>
      </c>
      <c r="J621" s="36" t="s">
        <v>1010</v>
      </c>
      <c r="K621" s="38" t="n">
        <v>210</v>
      </c>
      <c r="L621" s="38" t="n">
        <v>31290000</v>
      </c>
      <c r="M621" s="38" t="n">
        <v>12003390</v>
      </c>
      <c r="N621" s="39" t="n">
        <f aca="false">IF(A621="제외",0,IF(OR(N(L621)&lt;=0,N(M621)&gt;N(L621)),N(M621)/요약!$D$27,N(L621)))</f>
        <v>31290000</v>
      </c>
      <c r="O621" s="32" t="str">
        <f aca="false">IF(A621="제외","",IF(OR(N(L621)&lt;=0,N(M621)&gt;N(L621)),"택가보정(판매금액÷공급율)",""))</f>
        <v/>
      </c>
      <c r="P621" s="0" t="str">
        <f aca="false">IF(A621="HK","100",IF(A621="CN","200",IF(A621="TW","300",IF(ISNUMBER(SEARCH("태국",C621)),"500",IF(ISNUMBER(SEARCH("말레이",C621)),"600",IF(ISNUMBER(SEARCH("필리핀",C621)),"700",IF(ISNUMBER(SEARCH("인도네시아",C621)),"800",IF(ISNUMBER(SEARCH("크루즈",C621)),"810",IF(ISNUMBER(SEARCH("동물원",C621)),"830","")))))))))</f>
        <v>100</v>
      </c>
    </row>
    <row r="622" customFormat="false" ht="15" hidden="false" customHeight="false" outlineLevel="0" collapsed="false">
      <c r="A622" s="32" t="str">
        <f aca="false">IF(OR(TRIM(C622)="",SUBSTITUTE(C622," ","")="소계"),"제외",IF(ISNUMBER(SEARCH("홍콩",C622)),"HK",IF(ISNUMBER(SEARCH("상해",C622)),"CN",IF(ISNUMBER(SEARCH("대만",C622)),"TW","홀세일"))))</f>
        <v>HK</v>
      </c>
      <c r="B622" s="36" t="s">
        <v>764</v>
      </c>
      <c r="C622" s="37" t="s">
        <v>765</v>
      </c>
      <c r="D622" s="37" t="s">
        <v>664</v>
      </c>
      <c r="E622" s="36" t="n">
        <v>2026</v>
      </c>
      <c r="F622" s="37" t="s">
        <v>219</v>
      </c>
      <c r="G622" s="37" t="s">
        <v>124</v>
      </c>
      <c r="H622" s="36" t="s">
        <v>188</v>
      </c>
      <c r="I622" s="36" t="s">
        <v>702</v>
      </c>
      <c r="J622" s="36" t="s">
        <v>703</v>
      </c>
      <c r="K622" s="38" t="n">
        <v>140</v>
      </c>
      <c r="L622" s="38" t="n">
        <v>23660000</v>
      </c>
      <c r="M622" s="38" t="n">
        <v>8670340</v>
      </c>
      <c r="N622" s="39" t="n">
        <f aca="false">IF(A622="제외",0,IF(OR(N(L622)&lt;=0,N(M622)&gt;N(L622)),N(M622)/요약!$D$27,N(L622)))</f>
        <v>23660000</v>
      </c>
      <c r="O622" s="32" t="str">
        <f aca="false">IF(A622="제외","",IF(OR(N(L622)&lt;=0,N(M622)&gt;N(L622)),"택가보정(판매금액÷공급율)",""))</f>
        <v/>
      </c>
      <c r="P622" s="0" t="str">
        <f aca="false">IF(A622="HK","100",IF(A622="CN","200",IF(A622="TW","300",IF(ISNUMBER(SEARCH("태국",C622)),"500",IF(ISNUMBER(SEARCH("말레이",C622)),"600",IF(ISNUMBER(SEARCH("필리핀",C622)),"700",IF(ISNUMBER(SEARCH("인도네시아",C622)),"800",IF(ISNUMBER(SEARCH("크루즈",C622)),"810",IF(ISNUMBER(SEARCH("동물원",C622)),"830","")))))))))</f>
        <v>100</v>
      </c>
    </row>
    <row r="623" customFormat="false" ht="15" hidden="false" customHeight="false" outlineLevel="0" collapsed="false">
      <c r="A623" s="32" t="str">
        <f aca="false">IF(OR(TRIM(C623)="",SUBSTITUTE(C623," ","")="소계"),"제외",IF(ISNUMBER(SEARCH("홍콩",C623)),"HK",IF(ISNUMBER(SEARCH("상해",C623)),"CN",IF(ISNUMBER(SEARCH("대만",C623)),"TW","홀세일"))))</f>
        <v>HK</v>
      </c>
      <c r="B623" s="36" t="s">
        <v>764</v>
      </c>
      <c r="C623" s="37" t="s">
        <v>765</v>
      </c>
      <c r="D623" s="37" t="s">
        <v>664</v>
      </c>
      <c r="E623" s="36" t="n">
        <v>2026</v>
      </c>
      <c r="F623" s="37" t="s">
        <v>219</v>
      </c>
      <c r="G623" s="37" t="s">
        <v>124</v>
      </c>
      <c r="H623" s="36" t="s">
        <v>188</v>
      </c>
      <c r="I623" s="36" t="s">
        <v>1011</v>
      </c>
      <c r="J623" s="36" t="s">
        <v>1012</v>
      </c>
      <c r="K623" s="38" t="n">
        <v>90</v>
      </c>
      <c r="L623" s="38" t="n">
        <v>8910000</v>
      </c>
      <c r="M623" s="38" t="n">
        <v>3502710</v>
      </c>
      <c r="N623" s="39" t="n">
        <f aca="false">IF(A623="제외",0,IF(OR(N(L623)&lt;=0,N(M623)&gt;N(L623)),N(M623)/요약!$D$27,N(L623)))</f>
        <v>8910000</v>
      </c>
      <c r="O623" s="32" t="str">
        <f aca="false">IF(A623="제외","",IF(OR(N(L623)&lt;=0,N(M623)&gt;N(L623)),"택가보정(판매금액÷공급율)",""))</f>
        <v/>
      </c>
      <c r="P623" s="0" t="str">
        <f aca="false">IF(A623="HK","100",IF(A623="CN","200",IF(A623="TW","300",IF(ISNUMBER(SEARCH("태국",C623)),"500",IF(ISNUMBER(SEARCH("말레이",C623)),"600",IF(ISNUMBER(SEARCH("필리핀",C623)),"700",IF(ISNUMBER(SEARCH("인도네시아",C623)),"800",IF(ISNUMBER(SEARCH("크루즈",C623)),"810",IF(ISNUMBER(SEARCH("동물원",C623)),"830","")))))))))</f>
        <v>100</v>
      </c>
    </row>
    <row r="624" customFormat="false" ht="15" hidden="false" customHeight="false" outlineLevel="0" collapsed="false">
      <c r="A624" s="32" t="str">
        <f aca="false">IF(OR(TRIM(C624)="",SUBSTITUTE(C624," ","")="소계"),"제외",IF(ISNUMBER(SEARCH("홍콩",C624)),"HK",IF(ISNUMBER(SEARCH("상해",C624)),"CN",IF(ISNUMBER(SEARCH("대만",C624)),"TW","홀세일"))))</f>
        <v>HK</v>
      </c>
      <c r="B624" s="36" t="s">
        <v>764</v>
      </c>
      <c r="C624" s="37" t="s">
        <v>765</v>
      </c>
      <c r="D624" s="37" t="s">
        <v>664</v>
      </c>
      <c r="E624" s="36" t="n">
        <v>2026</v>
      </c>
      <c r="F624" s="37" t="s">
        <v>219</v>
      </c>
      <c r="G624" s="37" t="s">
        <v>124</v>
      </c>
      <c r="H624" s="36" t="s">
        <v>188</v>
      </c>
      <c r="I624" s="36" t="s">
        <v>1013</v>
      </c>
      <c r="J624" s="36" t="s">
        <v>1014</v>
      </c>
      <c r="K624" s="38" t="n">
        <v>100</v>
      </c>
      <c r="L624" s="38" t="n">
        <v>6900000</v>
      </c>
      <c r="M624" s="38" t="n">
        <v>2752600</v>
      </c>
      <c r="N624" s="39" t="n">
        <f aca="false">IF(A624="제외",0,IF(OR(N(L624)&lt;=0,N(M624)&gt;N(L624)),N(M624)/요약!$D$27,N(L624)))</f>
        <v>6900000</v>
      </c>
      <c r="O624" s="32" t="str">
        <f aca="false">IF(A624="제외","",IF(OR(N(L624)&lt;=0,N(M624)&gt;N(L624)),"택가보정(판매금액÷공급율)",""))</f>
        <v/>
      </c>
      <c r="P624" s="0" t="str">
        <f aca="false">IF(A624="HK","100",IF(A624="CN","200",IF(A624="TW","300",IF(ISNUMBER(SEARCH("태국",C624)),"500",IF(ISNUMBER(SEARCH("말레이",C624)),"600",IF(ISNUMBER(SEARCH("필리핀",C624)),"700",IF(ISNUMBER(SEARCH("인도네시아",C624)),"800",IF(ISNUMBER(SEARCH("크루즈",C624)),"810",IF(ISNUMBER(SEARCH("동물원",C624)),"830","")))))))))</f>
        <v>100</v>
      </c>
    </row>
    <row r="625" customFormat="false" ht="15" hidden="false" customHeight="false" outlineLevel="0" collapsed="false">
      <c r="A625" s="32" t="str">
        <f aca="false">IF(OR(TRIM(C625)="",SUBSTITUTE(C625," ","")="소계"),"제외",IF(ISNUMBER(SEARCH("홍콩",C625)),"HK",IF(ISNUMBER(SEARCH("상해",C625)),"CN",IF(ISNUMBER(SEARCH("대만",C625)),"TW","홀세일"))))</f>
        <v>HK</v>
      </c>
      <c r="B625" s="36" t="s">
        <v>764</v>
      </c>
      <c r="C625" s="37" t="s">
        <v>765</v>
      </c>
      <c r="D625" s="37" t="s">
        <v>664</v>
      </c>
      <c r="E625" s="36" t="n">
        <v>2026</v>
      </c>
      <c r="F625" s="37" t="s">
        <v>219</v>
      </c>
      <c r="G625" s="37" t="s">
        <v>124</v>
      </c>
      <c r="H625" s="36" t="s">
        <v>188</v>
      </c>
      <c r="I625" s="36" t="s">
        <v>1015</v>
      </c>
      <c r="J625" s="36" t="s">
        <v>1016</v>
      </c>
      <c r="K625" s="38" t="n">
        <v>180</v>
      </c>
      <c r="L625" s="38" t="n">
        <v>19620000</v>
      </c>
      <c r="M625" s="38" t="n">
        <v>7724520</v>
      </c>
      <c r="N625" s="39" t="n">
        <f aca="false">IF(A625="제외",0,IF(OR(N(L625)&lt;=0,N(M625)&gt;N(L625)),N(M625)/요약!$D$27,N(L625)))</f>
        <v>19620000</v>
      </c>
      <c r="O625" s="32" t="str">
        <f aca="false">IF(A625="제외","",IF(OR(N(L625)&lt;=0,N(M625)&gt;N(L625)),"택가보정(판매금액÷공급율)",""))</f>
        <v/>
      </c>
      <c r="P625" s="0" t="str">
        <f aca="false">IF(A625="HK","100",IF(A625="CN","200",IF(A625="TW","300",IF(ISNUMBER(SEARCH("태국",C625)),"500",IF(ISNUMBER(SEARCH("말레이",C625)),"600",IF(ISNUMBER(SEARCH("필리핀",C625)),"700",IF(ISNUMBER(SEARCH("인도네시아",C625)),"800",IF(ISNUMBER(SEARCH("크루즈",C625)),"810",IF(ISNUMBER(SEARCH("동물원",C625)),"830","")))))))))</f>
        <v>100</v>
      </c>
    </row>
    <row r="626" customFormat="false" ht="15" hidden="false" customHeight="false" outlineLevel="0" collapsed="false">
      <c r="A626" s="32" t="str">
        <f aca="false">IF(OR(TRIM(C626)="",SUBSTITUTE(C626," ","")="소계"),"제외",IF(ISNUMBER(SEARCH("홍콩",C626)),"HK",IF(ISNUMBER(SEARCH("상해",C626)),"CN",IF(ISNUMBER(SEARCH("대만",C626)),"TW","홀세일"))))</f>
        <v>HK</v>
      </c>
      <c r="B626" s="36" t="s">
        <v>764</v>
      </c>
      <c r="C626" s="37" t="s">
        <v>765</v>
      </c>
      <c r="D626" s="37" t="s">
        <v>664</v>
      </c>
      <c r="E626" s="36" t="n">
        <v>2026</v>
      </c>
      <c r="F626" s="37" t="s">
        <v>219</v>
      </c>
      <c r="G626" s="37" t="s">
        <v>124</v>
      </c>
      <c r="H626" s="36" t="s">
        <v>188</v>
      </c>
      <c r="I626" s="36" t="s">
        <v>706</v>
      </c>
      <c r="J626" s="36" t="s">
        <v>707</v>
      </c>
      <c r="K626" s="38" t="n">
        <v>197</v>
      </c>
      <c r="L626" s="38" t="n">
        <v>19503000</v>
      </c>
      <c r="M626" s="38" t="n">
        <v>7153070</v>
      </c>
      <c r="N626" s="39" t="n">
        <f aca="false">IF(A626="제외",0,IF(OR(N(L626)&lt;=0,N(M626)&gt;N(L626)),N(M626)/요약!$D$27,N(L626)))</f>
        <v>19503000</v>
      </c>
      <c r="O626" s="32" t="str">
        <f aca="false">IF(A626="제외","",IF(OR(N(L626)&lt;=0,N(M626)&gt;N(L626)),"택가보정(판매금액÷공급율)",""))</f>
        <v/>
      </c>
      <c r="P626" s="0" t="str">
        <f aca="false">IF(A626="HK","100",IF(A626="CN","200",IF(A626="TW","300",IF(ISNUMBER(SEARCH("태국",C626)),"500",IF(ISNUMBER(SEARCH("말레이",C626)),"600",IF(ISNUMBER(SEARCH("필리핀",C626)),"700",IF(ISNUMBER(SEARCH("인도네시아",C626)),"800",IF(ISNUMBER(SEARCH("크루즈",C626)),"810",IF(ISNUMBER(SEARCH("동물원",C626)),"830","")))))))))</f>
        <v>100</v>
      </c>
    </row>
    <row r="627" customFormat="false" ht="15" hidden="false" customHeight="false" outlineLevel="0" collapsed="false">
      <c r="A627" s="32" t="str">
        <f aca="false">IF(OR(TRIM(C627)="",SUBSTITUTE(C627," ","")="소계"),"제외",IF(ISNUMBER(SEARCH("홍콩",C627)),"HK",IF(ISNUMBER(SEARCH("상해",C627)),"CN",IF(ISNUMBER(SEARCH("대만",C627)),"TW","홀세일"))))</f>
        <v>HK</v>
      </c>
      <c r="B627" s="36" t="s">
        <v>764</v>
      </c>
      <c r="C627" s="37" t="s">
        <v>765</v>
      </c>
      <c r="D627" s="37" t="s">
        <v>664</v>
      </c>
      <c r="E627" s="36" t="n">
        <v>2026</v>
      </c>
      <c r="F627" s="37" t="s">
        <v>363</v>
      </c>
      <c r="G627" s="37" t="s">
        <v>124</v>
      </c>
      <c r="H627" s="36" t="s">
        <v>188</v>
      </c>
      <c r="I627" s="36" t="s">
        <v>1017</v>
      </c>
      <c r="J627" s="36" t="s">
        <v>1018</v>
      </c>
      <c r="K627" s="38" t="n">
        <v>230</v>
      </c>
      <c r="L627" s="38" t="n">
        <v>73370000</v>
      </c>
      <c r="M627" s="38" t="n">
        <v>27642780</v>
      </c>
      <c r="N627" s="39" t="n">
        <f aca="false">IF(A627="제외",0,IF(OR(N(L627)&lt;=0,N(M627)&gt;N(L627)),N(M627)/요약!$D$27,N(L627)))</f>
        <v>73370000</v>
      </c>
      <c r="O627" s="32" t="str">
        <f aca="false">IF(A627="제외","",IF(OR(N(L627)&lt;=0,N(M627)&gt;N(L627)),"택가보정(판매금액÷공급율)",""))</f>
        <v/>
      </c>
      <c r="P627" s="0" t="str">
        <f aca="false">IF(A627="HK","100",IF(A627="CN","200",IF(A627="TW","300",IF(ISNUMBER(SEARCH("태국",C627)),"500",IF(ISNUMBER(SEARCH("말레이",C627)),"600",IF(ISNUMBER(SEARCH("필리핀",C627)),"700",IF(ISNUMBER(SEARCH("인도네시아",C627)),"800",IF(ISNUMBER(SEARCH("크루즈",C627)),"810",IF(ISNUMBER(SEARCH("동물원",C627)),"830","")))))))))</f>
        <v>100</v>
      </c>
    </row>
    <row r="628" customFormat="false" ht="15" hidden="false" customHeight="false" outlineLevel="0" collapsed="false">
      <c r="A628" s="32" t="str">
        <f aca="false">IF(OR(TRIM(C628)="",SUBSTITUTE(C628," ","")="소계"),"제외",IF(ISNUMBER(SEARCH("홍콩",C628)),"HK",IF(ISNUMBER(SEARCH("상해",C628)),"CN",IF(ISNUMBER(SEARCH("대만",C628)),"TW","홀세일"))))</f>
        <v>HK</v>
      </c>
      <c r="B628" s="36" t="s">
        <v>764</v>
      </c>
      <c r="C628" s="37" t="s">
        <v>765</v>
      </c>
      <c r="D628" s="37" t="s">
        <v>664</v>
      </c>
      <c r="E628" s="36" t="n">
        <v>2026</v>
      </c>
      <c r="F628" s="37" t="s">
        <v>363</v>
      </c>
      <c r="G628" s="37" t="s">
        <v>124</v>
      </c>
      <c r="H628" s="36" t="s">
        <v>188</v>
      </c>
      <c r="I628" s="36" t="s">
        <v>734</v>
      </c>
      <c r="J628" s="36" t="s">
        <v>735</v>
      </c>
      <c r="K628" s="38" t="n">
        <v>240</v>
      </c>
      <c r="L628" s="38" t="n">
        <v>47760000</v>
      </c>
      <c r="M628" s="38" t="n">
        <v>15198480</v>
      </c>
      <c r="N628" s="39" t="n">
        <f aca="false">IF(A628="제외",0,IF(OR(N(L628)&lt;=0,N(M628)&gt;N(L628)),N(M628)/요약!$D$27,N(L628)))</f>
        <v>47760000</v>
      </c>
      <c r="O628" s="32" t="str">
        <f aca="false">IF(A628="제외","",IF(OR(N(L628)&lt;=0,N(M628)&gt;N(L628)),"택가보정(판매금액÷공급율)",""))</f>
        <v/>
      </c>
      <c r="P628" s="0" t="str">
        <f aca="false">IF(A628="HK","100",IF(A628="CN","200",IF(A628="TW","300",IF(ISNUMBER(SEARCH("태국",C628)),"500",IF(ISNUMBER(SEARCH("말레이",C628)),"600",IF(ISNUMBER(SEARCH("필리핀",C628)),"700",IF(ISNUMBER(SEARCH("인도네시아",C628)),"800",IF(ISNUMBER(SEARCH("크루즈",C628)),"810",IF(ISNUMBER(SEARCH("동물원",C628)),"830","")))))))))</f>
        <v>100</v>
      </c>
    </row>
    <row r="629" customFormat="false" ht="15" hidden="false" customHeight="false" outlineLevel="0" collapsed="false">
      <c r="A629" s="32" t="str">
        <f aca="false">IF(OR(TRIM(C629)="",SUBSTITUTE(C629," ","")="소계"),"제외",IF(ISNUMBER(SEARCH("홍콩",C629)),"HK",IF(ISNUMBER(SEARCH("상해",C629)),"CN",IF(ISNUMBER(SEARCH("대만",C629)),"TW","홀세일"))))</f>
        <v>HK</v>
      </c>
      <c r="B629" s="36" t="s">
        <v>764</v>
      </c>
      <c r="C629" s="37" t="s">
        <v>765</v>
      </c>
      <c r="D629" s="37" t="s">
        <v>664</v>
      </c>
      <c r="E629" s="36" t="n">
        <v>2026</v>
      </c>
      <c r="F629" s="37" t="s">
        <v>474</v>
      </c>
      <c r="G629" s="37" t="s">
        <v>124</v>
      </c>
      <c r="H629" s="36" t="s">
        <v>125</v>
      </c>
      <c r="I629" s="36" t="s">
        <v>736</v>
      </c>
      <c r="J629" s="37" t="s">
        <v>737</v>
      </c>
      <c r="K629" s="38" t="n">
        <v>237</v>
      </c>
      <c r="L629" s="38" t="n">
        <v>208323000</v>
      </c>
      <c r="M629" s="38" t="n">
        <v>72151332</v>
      </c>
      <c r="N629" s="39" t="n">
        <f aca="false">IF(A629="제외",0,IF(OR(N(L629)&lt;=0,N(M629)&gt;N(L629)),N(M629)/요약!$D$27,N(L629)))</f>
        <v>208323000</v>
      </c>
      <c r="O629" s="32" t="str">
        <f aca="false">IF(A629="제외","",IF(OR(N(L629)&lt;=0,N(M629)&gt;N(L629)),"택가보정(판매금액÷공급율)",""))</f>
        <v/>
      </c>
      <c r="P629" s="0" t="str">
        <f aca="false">IF(A629="HK","100",IF(A629="CN","200",IF(A629="TW","300",IF(ISNUMBER(SEARCH("태국",C629)),"500",IF(ISNUMBER(SEARCH("말레이",C629)),"600",IF(ISNUMBER(SEARCH("필리핀",C629)),"700",IF(ISNUMBER(SEARCH("인도네시아",C629)),"800",IF(ISNUMBER(SEARCH("크루즈",C629)),"810",IF(ISNUMBER(SEARCH("동물원",C629)),"830","")))))))))</f>
        <v>100</v>
      </c>
    </row>
    <row r="630" customFormat="false" ht="15" hidden="false" customHeight="false" outlineLevel="0" collapsed="false">
      <c r="A630" s="32" t="str">
        <f aca="false">IF(OR(TRIM(C630)="",SUBSTITUTE(C630," ","")="소계"),"제외",IF(ISNUMBER(SEARCH("홍콩",C630)),"HK",IF(ISNUMBER(SEARCH("상해",C630)),"CN",IF(ISNUMBER(SEARCH("대만",C630)),"TW","홀세일"))))</f>
        <v>HK</v>
      </c>
      <c r="B630" s="36" t="s">
        <v>764</v>
      </c>
      <c r="C630" s="37" t="s">
        <v>765</v>
      </c>
      <c r="D630" s="37" t="s">
        <v>664</v>
      </c>
      <c r="E630" s="36" t="n">
        <v>2026</v>
      </c>
      <c r="F630" s="37" t="s">
        <v>474</v>
      </c>
      <c r="G630" s="37" t="s">
        <v>124</v>
      </c>
      <c r="H630" s="36" t="s">
        <v>188</v>
      </c>
      <c r="I630" s="36" t="s">
        <v>738</v>
      </c>
      <c r="J630" s="36" t="s">
        <v>739</v>
      </c>
      <c r="K630" s="38" t="n">
        <v>246</v>
      </c>
      <c r="L630" s="38" t="n">
        <v>196554000</v>
      </c>
      <c r="M630" s="38" t="n">
        <v>68082960</v>
      </c>
      <c r="N630" s="39" t="n">
        <f aca="false">IF(A630="제외",0,IF(OR(N(L630)&lt;=0,N(M630)&gt;N(L630)),N(M630)/요약!$D$27,N(L630)))</f>
        <v>196554000</v>
      </c>
      <c r="O630" s="32" t="str">
        <f aca="false">IF(A630="제외","",IF(OR(N(L630)&lt;=0,N(M630)&gt;N(L630)),"택가보정(판매금액÷공급율)",""))</f>
        <v/>
      </c>
      <c r="P630" s="0" t="str">
        <f aca="false">IF(A630="HK","100",IF(A630="CN","200",IF(A630="TW","300",IF(ISNUMBER(SEARCH("태국",C630)),"500",IF(ISNUMBER(SEARCH("말레이",C630)),"600",IF(ISNUMBER(SEARCH("필리핀",C630)),"700",IF(ISNUMBER(SEARCH("인도네시아",C630)),"800",IF(ISNUMBER(SEARCH("크루즈",C630)),"810",IF(ISNUMBER(SEARCH("동물원",C630)),"830","")))))))))</f>
        <v>100</v>
      </c>
    </row>
    <row r="631" customFormat="false" ht="15" hidden="false" customHeight="false" outlineLevel="0" collapsed="false">
      <c r="A631" s="32" t="str">
        <f aca="false">IF(OR(TRIM(C631)="",SUBSTITUTE(C631," ","")="소계"),"제외",IF(ISNUMBER(SEARCH("홍콩",C631)),"HK",IF(ISNUMBER(SEARCH("상해",C631)),"CN",IF(ISNUMBER(SEARCH("대만",C631)),"TW","홀세일"))))</f>
        <v>HK</v>
      </c>
      <c r="B631" s="36" t="s">
        <v>764</v>
      </c>
      <c r="C631" s="37" t="s">
        <v>765</v>
      </c>
      <c r="D631" s="37" t="s">
        <v>664</v>
      </c>
      <c r="E631" s="36" t="n">
        <v>2026</v>
      </c>
      <c r="F631" s="37" t="s">
        <v>474</v>
      </c>
      <c r="G631" s="37" t="s">
        <v>124</v>
      </c>
      <c r="H631" s="36" t="s">
        <v>188</v>
      </c>
      <c r="I631" s="36" t="s">
        <v>740</v>
      </c>
      <c r="J631" s="36" t="s">
        <v>741</v>
      </c>
      <c r="K631" s="38" t="n">
        <v>385</v>
      </c>
      <c r="L631" s="38" t="n">
        <v>115115000</v>
      </c>
      <c r="M631" s="38" t="n">
        <v>38580465</v>
      </c>
      <c r="N631" s="39" t="n">
        <f aca="false">IF(A631="제외",0,IF(OR(N(L631)&lt;=0,N(M631)&gt;N(L631)),N(M631)/요약!$D$27,N(L631)))</f>
        <v>115115000</v>
      </c>
      <c r="O631" s="32" t="str">
        <f aca="false">IF(A631="제외","",IF(OR(N(L631)&lt;=0,N(M631)&gt;N(L631)),"택가보정(판매금액÷공급율)",""))</f>
        <v/>
      </c>
      <c r="P631" s="0" t="str">
        <f aca="false">IF(A631="HK","100",IF(A631="CN","200",IF(A631="TW","300",IF(ISNUMBER(SEARCH("태국",C631)),"500",IF(ISNUMBER(SEARCH("말레이",C631)),"600",IF(ISNUMBER(SEARCH("필리핀",C631)),"700",IF(ISNUMBER(SEARCH("인도네시아",C631)),"800",IF(ISNUMBER(SEARCH("크루즈",C631)),"810",IF(ISNUMBER(SEARCH("동물원",C631)),"830","")))))))))</f>
        <v>100</v>
      </c>
    </row>
    <row r="632" customFormat="false" ht="15" hidden="false" customHeight="false" outlineLevel="0" collapsed="false">
      <c r="A632" s="32" t="str">
        <f aca="false">IF(OR(TRIM(C632)="",SUBSTITUTE(C632," ","")="소계"),"제외",IF(ISNUMBER(SEARCH("홍콩",C632)),"HK",IF(ISNUMBER(SEARCH("상해",C632)),"CN",IF(ISNUMBER(SEARCH("대만",C632)),"TW","홀세일"))))</f>
        <v>HK</v>
      </c>
      <c r="B632" s="36" t="s">
        <v>764</v>
      </c>
      <c r="C632" s="37" t="s">
        <v>765</v>
      </c>
      <c r="D632" s="37" t="s">
        <v>664</v>
      </c>
      <c r="E632" s="36" t="n">
        <v>2026</v>
      </c>
      <c r="F632" s="37" t="s">
        <v>474</v>
      </c>
      <c r="G632" s="37" t="s">
        <v>124</v>
      </c>
      <c r="H632" s="36" t="s">
        <v>188</v>
      </c>
      <c r="I632" s="36" t="s">
        <v>746</v>
      </c>
      <c r="J632" s="36" t="s">
        <v>747</v>
      </c>
      <c r="K632" s="38" t="n">
        <v>200</v>
      </c>
      <c r="L632" s="38" t="n">
        <v>31800000</v>
      </c>
      <c r="M632" s="38" t="n">
        <v>10296200</v>
      </c>
      <c r="N632" s="39" t="n">
        <f aca="false">IF(A632="제외",0,IF(OR(N(L632)&lt;=0,N(M632)&gt;N(L632)),N(M632)/요약!$D$27,N(L632)))</f>
        <v>31800000</v>
      </c>
      <c r="O632" s="32" t="str">
        <f aca="false">IF(A632="제외","",IF(OR(N(L632)&lt;=0,N(M632)&gt;N(L632)),"택가보정(판매금액÷공급율)",""))</f>
        <v/>
      </c>
      <c r="P632" s="0" t="str">
        <f aca="false">IF(A632="HK","100",IF(A632="CN","200",IF(A632="TW","300",IF(ISNUMBER(SEARCH("태국",C632)),"500",IF(ISNUMBER(SEARCH("말레이",C632)),"600",IF(ISNUMBER(SEARCH("필리핀",C632)),"700",IF(ISNUMBER(SEARCH("인도네시아",C632)),"800",IF(ISNUMBER(SEARCH("크루즈",C632)),"810",IF(ISNUMBER(SEARCH("동물원",C632)),"830","")))))))))</f>
        <v>100</v>
      </c>
    </row>
    <row r="633" customFormat="false" ht="15" hidden="false" customHeight="false" outlineLevel="0" collapsed="false">
      <c r="A633" s="32" t="str">
        <f aca="false">IF(OR(TRIM(C633)="",SUBSTITUTE(C633," ","")="소계"),"제외",IF(ISNUMBER(SEARCH("홍콩",C633)),"HK",IF(ISNUMBER(SEARCH("상해",C633)),"CN",IF(ISNUMBER(SEARCH("대만",C633)),"TW","홀세일"))))</f>
        <v>제외</v>
      </c>
      <c r="B633" s="36" t="s">
        <v>762</v>
      </c>
      <c r="C633" s="37" t="s">
        <v>763</v>
      </c>
      <c r="D633" s="36"/>
      <c r="E633" s="36"/>
      <c r="F633" s="36"/>
      <c r="G633" s="36"/>
      <c r="H633" s="36"/>
      <c r="I633" s="36"/>
      <c r="J633" s="36"/>
      <c r="K633" s="38" t="n">
        <v>83733</v>
      </c>
      <c r="L633" s="38" t="n">
        <v>10363947639</v>
      </c>
      <c r="M633" s="38" t="n">
        <v>3700267998</v>
      </c>
      <c r="N633" s="39" t="n">
        <f aca="false">IF(A633="제외",0,IF(OR(N(L633)&lt;=0,N(M633)&gt;N(L633)),N(M633)/요약!$D$27,N(L633)))</f>
        <v>0</v>
      </c>
      <c r="O633" s="32" t="str">
        <f aca="false">IF(A633="제외","",IF(OR(N(L633)&lt;=0,N(M633)&gt;N(L633)),"택가보정(판매금액÷공급율)",""))</f>
        <v/>
      </c>
      <c r="P633" s="0" t="str">
        <f aca="false">IF(A633="HK","100",IF(A633="CN","200",IF(A633="TW","300",IF(ISNUMBER(SEARCH("태국",C633)),"500",IF(ISNUMBER(SEARCH("말레이",C633)),"600",IF(ISNUMBER(SEARCH("필리핀",C633)),"700",IF(ISNUMBER(SEARCH("인도네시아",C633)),"800",IF(ISNUMBER(SEARCH("크루즈",C633)),"810",IF(ISNUMBER(SEARCH("동물원",C633)),"830","")))))))))</f>
        <v/>
      </c>
    </row>
    <row r="634" customFormat="false" ht="15" hidden="false" customHeight="false" outlineLevel="0" collapsed="false">
      <c r="A634" s="32" t="str">
        <f aca="false">IF(OR(TRIM(C634)="",SUBSTITUTE(C634," ","")="소계"),"제외",IF(ISNUMBER(SEARCH("홍콩",C634)),"HK",IF(ISNUMBER(SEARCH("상해",C634)),"CN",IF(ISNUMBER(SEARCH("대만",C634)),"TW","홀세일"))))</f>
        <v>CN</v>
      </c>
      <c r="B634" s="36" t="s">
        <v>1019</v>
      </c>
      <c r="C634" s="37" t="s">
        <v>1020</v>
      </c>
      <c r="D634" s="37" t="s">
        <v>123</v>
      </c>
      <c r="E634" s="36" t="n">
        <v>2025</v>
      </c>
      <c r="F634" s="36" t="s">
        <v>110</v>
      </c>
      <c r="G634" s="37" t="s">
        <v>770</v>
      </c>
      <c r="H634" s="36" t="s">
        <v>131</v>
      </c>
      <c r="I634" s="36" t="s">
        <v>1021</v>
      </c>
      <c r="J634" s="37" t="s">
        <v>1022</v>
      </c>
      <c r="K634" s="38" t="n">
        <v>50</v>
      </c>
      <c r="L634" s="38" t="n">
        <v>10950000</v>
      </c>
      <c r="M634" s="38" t="n">
        <v>2449900</v>
      </c>
      <c r="N634" s="39" t="n">
        <f aca="false">IF(A634="제외",0,IF(OR(N(L634)&lt;=0,N(M634)&gt;N(L634)),N(M634)/요약!$D$27,N(L634)))</f>
        <v>10950000</v>
      </c>
      <c r="O634" s="32" t="str">
        <f aca="false">IF(A634="제외","",IF(OR(N(L634)&lt;=0,N(M634)&gt;N(L634)),"택가보정(판매금액÷공급율)",""))</f>
        <v/>
      </c>
      <c r="P634" s="0" t="str">
        <f aca="false">IF(A634="HK","100",IF(A634="CN","200",IF(A634="TW","300",IF(ISNUMBER(SEARCH("태국",C634)),"500",IF(ISNUMBER(SEARCH("말레이",C634)),"600",IF(ISNUMBER(SEARCH("필리핀",C634)),"700",IF(ISNUMBER(SEARCH("인도네시아",C634)),"800",IF(ISNUMBER(SEARCH("크루즈",C634)),"810",IF(ISNUMBER(SEARCH("동물원",C634)),"830","")))))))))</f>
        <v>200</v>
      </c>
    </row>
    <row r="635" customFormat="false" ht="15" hidden="false" customHeight="false" outlineLevel="0" collapsed="false">
      <c r="A635" s="32" t="str">
        <f aca="false">IF(OR(TRIM(C635)="",SUBSTITUTE(C635," ","")="소계"),"제외",IF(ISNUMBER(SEARCH("홍콩",C635)),"HK",IF(ISNUMBER(SEARCH("상해",C635)),"CN",IF(ISNUMBER(SEARCH("대만",C635)),"TW","홀세일"))))</f>
        <v>CN</v>
      </c>
      <c r="B635" s="36" t="s">
        <v>1019</v>
      </c>
      <c r="C635" s="37" t="s">
        <v>1020</v>
      </c>
      <c r="D635" s="37" t="s">
        <v>123</v>
      </c>
      <c r="E635" s="36" t="n">
        <v>2025</v>
      </c>
      <c r="F635" s="36" t="s">
        <v>110</v>
      </c>
      <c r="G635" s="37" t="s">
        <v>770</v>
      </c>
      <c r="H635" s="37" t="s">
        <v>773</v>
      </c>
      <c r="I635" s="36" t="s">
        <v>1023</v>
      </c>
      <c r="J635" s="36" t="s">
        <v>1024</v>
      </c>
      <c r="K635" s="38" t="n">
        <v>30</v>
      </c>
      <c r="L635" s="38" t="n">
        <v>10440000</v>
      </c>
      <c r="M635" s="38" t="n">
        <v>4182690</v>
      </c>
      <c r="N635" s="39" t="n">
        <f aca="false">IF(A635="제외",0,IF(OR(N(L635)&lt;=0,N(M635)&gt;N(L635)),N(M635)/요약!$D$27,N(L635)))</f>
        <v>10440000</v>
      </c>
      <c r="O635" s="32" t="str">
        <f aca="false">IF(A635="제외","",IF(OR(N(L635)&lt;=0,N(M635)&gt;N(L635)),"택가보정(판매금액÷공급율)",""))</f>
        <v/>
      </c>
      <c r="P635" s="0" t="str">
        <f aca="false">IF(A635="HK","100",IF(A635="CN","200",IF(A635="TW","300",IF(ISNUMBER(SEARCH("태국",C635)),"500",IF(ISNUMBER(SEARCH("말레이",C635)),"600",IF(ISNUMBER(SEARCH("필리핀",C635)),"700",IF(ISNUMBER(SEARCH("인도네시아",C635)),"800",IF(ISNUMBER(SEARCH("크루즈",C635)),"810",IF(ISNUMBER(SEARCH("동물원",C635)),"830","")))))))))</f>
        <v>200</v>
      </c>
    </row>
    <row r="636" customFormat="false" ht="15" hidden="false" customHeight="false" outlineLevel="0" collapsed="false">
      <c r="A636" s="32" t="str">
        <f aca="false">IF(OR(TRIM(C636)="",SUBSTITUTE(C636," ","")="소계"),"제외",IF(ISNUMBER(SEARCH("홍콩",C636)),"HK",IF(ISNUMBER(SEARCH("상해",C636)),"CN",IF(ISNUMBER(SEARCH("대만",C636)),"TW","홀세일"))))</f>
        <v>CN</v>
      </c>
      <c r="B636" s="36" t="s">
        <v>1019</v>
      </c>
      <c r="C636" s="37" t="s">
        <v>1020</v>
      </c>
      <c r="D636" s="37" t="s">
        <v>123</v>
      </c>
      <c r="E636" s="36" t="n">
        <v>2025</v>
      </c>
      <c r="F636" s="36" t="s">
        <v>110</v>
      </c>
      <c r="G636" s="37" t="s">
        <v>770</v>
      </c>
      <c r="H636" s="37" t="s">
        <v>128</v>
      </c>
      <c r="I636" s="36" t="s">
        <v>1025</v>
      </c>
      <c r="J636" s="36" t="s">
        <v>1026</v>
      </c>
      <c r="K636" s="38" t="n">
        <v>25</v>
      </c>
      <c r="L636" s="38" t="n">
        <v>5725000</v>
      </c>
      <c r="M636" s="38" t="n">
        <v>1599875</v>
      </c>
      <c r="N636" s="39" t="n">
        <f aca="false">IF(A636="제외",0,IF(OR(N(L636)&lt;=0,N(M636)&gt;N(L636)),N(M636)/요약!$D$27,N(L636)))</f>
        <v>5725000</v>
      </c>
      <c r="O636" s="32" t="str">
        <f aca="false">IF(A636="제외","",IF(OR(N(L636)&lt;=0,N(M636)&gt;N(L636)),"택가보정(판매금액÷공급율)",""))</f>
        <v/>
      </c>
      <c r="P636" s="0" t="str">
        <f aca="false">IF(A636="HK","100",IF(A636="CN","200",IF(A636="TW","300",IF(ISNUMBER(SEARCH("태국",C636)),"500",IF(ISNUMBER(SEARCH("말레이",C636)),"600",IF(ISNUMBER(SEARCH("필리핀",C636)),"700",IF(ISNUMBER(SEARCH("인도네시아",C636)),"800",IF(ISNUMBER(SEARCH("크루즈",C636)),"810",IF(ISNUMBER(SEARCH("동물원",C636)),"830","")))))))))</f>
        <v>200</v>
      </c>
    </row>
    <row r="637" customFormat="false" ht="15" hidden="false" customHeight="false" outlineLevel="0" collapsed="false">
      <c r="A637" s="32" t="str">
        <f aca="false">IF(OR(TRIM(C637)="",SUBSTITUTE(C637," ","")="소계"),"제외",IF(ISNUMBER(SEARCH("홍콩",C637)),"HK",IF(ISNUMBER(SEARCH("상해",C637)),"CN",IF(ISNUMBER(SEARCH("대만",C637)),"TW","홀세일"))))</f>
        <v>CN</v>
      </c>
      <c r="B637" s="36" t="s">
        <v>1019</v>
      </c>
      <c r="C637" s="37" t="s">
        <v>1020</v>
      </c>
      <c r="D637" s="37" t="s">
        <v>123</v>
      </c>
      <c r="E637" s="36" t="n">
        <v>2025</v>
      </c>
      <c r="F637" s="36" t="s">
        <v>110</v>
      </c>
      <c r="G637" s="37" t="s">
        <v>770</v>
      </c>
      <c r="H637" s="37" t="s">
        <v>128</v>
      </c>
      <c r="I637" s="36" t="s">
        <v>1027</v>
      </c>
      <c r="J637" s="36" t="s">
        <v>1028</v>
      </c>
      <c r="K637" s="38" t="n">
        <v>25</v>
      </c>
      <c r="L637" s="38" t="n">
        <v>7725000</v>
      </c>
      <c r="M637" s="38" t="n">
        <v>2223500</v>
      </c>
      <c r="N637" s="39" t="n">
        <f aca="false">IF(A637="제외",0,IF(OR(N(L637)&lt;=0,N(M637)&gt;N(L637)),N(M637)/요약!$D$27,N(L637)))</f>
        <v>7725000</v>
      </c>
      <c r="O637" s="32" t="str">
        <f aca="false">IF(A637="제외","",IF(OR(N(L637)&lt;=0,N(M637)&gt;N(L637)),"택가보정(판매금액÷공급율)",""))</f>
        <v/>
      </c>
      <c r="P637" s="0" t="str">
        <f aca="false">IF(A637="HK","100",IF(A637="CN","200",IF(A637="TW","300",IF(ISNUMBER(SEARCH("태국",C637)),"500",IF(ISNUMBER(SEARCH("말레이",C637)),"600",IF(ISNUMBER(SEARCH("필리핀",C637)),"700",IF(ISNUMBER(SEARCH("인도네시아",C637)),"800",IF(ISNUMBER(SEARCH("크루즈",C637)),"810",IF(ISNUMBER(SEARCH("동물원",C637)),"830","")))))))))</f>
        <v>200</v>
      </c>
    </row>
    <row r="638" customFormat="false" ht="15" hidden="false" customHeight="false" outlineLevel="0" collapsed="false">
      <c r="A638" s="32" t="str">
        <f aca="false">IF(OR(TRIM(C638)="",SUBSTITUTE(C638," ","")="소계"),"제외",IF(ISNUMBER(SEARCH("홍콩",C638)),"HK",IF(ISNUMBER(SEARCH("상해",C638)),"CN",IF(ISNUMBER(SEARCH("대만",C638)),"TW","홀세일"))))</f>
        <v>CN</v>
      </c>
      <c r="B638" s="36" t="s">
        <v>1019</v>
      </c>
      <c r="C638" s="37" t="s">
        <v>1020</v>
      </c>
      <c r="D638" s="37" t="s">
        <v>123</v>
      </c>
      <c r="E638" s="36" t="n">
        <v>2026</v>
      </c>
      <c r="F638" s="37" t="s">
        <v>101</v>
      </c>
      <c r="G638" s="37" t="s">
        <v>102</v>
      </c>
      <c r="H638" s="36" t="s">
        <v>131</v>
      </c>
      <c r="I638" s="36" t="s">
        <v>148</v>
      </c>
      <c r="J638" s="37" t="s">
        <v>149</v>
      </c>
      <c r="K638" s="38" t="n">
        <v>280</v>
      </c>
      <c r="L638" s="38" t="n">
        <v>50120000</v>
      </c>
      <c r="M638" s="38" t="n">
        <v>14770280</v>
      </c>
      <c r="N638" s="39" t="n">
        <f aca="false">IF(A638="제외",0,IF(OR(N(L638)&lt;=0,N(M638)&gt;N(L638)),N(M638)/요약!$D$27,N(L638)))</f>
        <v>50120000</v>
      </c>
      <c r="O638" s="32" t="str">
        <f aca="false">IF(A638="제외","",IF(OR(N(L638)&lt;=0,N(M638)&gt;N(L638)),"택가보정(판매금액÷공급율)",""))</f>
        <v/>
      </c>
      <c r="P638" s="0" t="str">
        <f aca="false">IF(A638="HK","100",IF(A638="CN","200",IF(A638="TW","300",IF(ISNUMBER(SEARCH("태국",C638)),"500",IF(ISNUMBER(SEARCH("말레이",C638)),"600",IF(ISNUMBER(SEARCH("필리핀",C638)),"700",IF(ISNUMBER(SEARCH("인도네시아",C638)),"800",IF(ISNUMBER(SEARCH("크루즈",C638)),"810",IF(ISNUMBER(SEARCH("동물원",C638)),"830","")))))))))</f>
        <v>200</v>
      </c>
    </row>
    <row r="639" customFormat="false" ht="15" hidden="false" customHeight="false" outlineLevel="0" collapsed="false">
      <c r="A639" s="32" t="str">
        <f aca="false">IF(OR(TRIM(C639)="",SUBSTITUTE(C639," ","")="소계"),"제외",IF(ISNUMBER(SEARCH("홍콩",C639)),"HK",IF(ISNUMBER(SEARCH("상해",C639)),"CN",IF(ISNUMBER(SEARCH("대만",C639)),"TW","홀세일"))))</f>
        <v>CN</v>
      </c>
      <c r="B639" s="36" t="s">
        <v>1019</v>
      </c>
      <c r="C639" s="37" t="s">
        <v>1020</v>
      </c>
      <c r="D639" s="37" t="s">
        <v>123</v>
      </c>
      <c r="E639" s="36" t="n">
        <v>2026</v>
      </c>
      <c r="F639" s="37" t="s">
        <v>101</v>
      </c>
      <c r="G639" s="37" t="s">
        <v>124</v>
      </c>
      <c r="H639" s="36" t="s">
        <v>131</v>
      </c>
      <c r="I639" s="36" t="s">
        <v>1029</v>
      </c>
      <c r="J639" s="36" t="s">
        <v>1030</v>
      </c>
      <c r="K639" s="38" t="n">
        <v>2</v>
      </c>
      <c r="L639" s="38" t="n">
        <v>318000</v>
      </c>
      <c r="M639" s="38" t="n">
        <v>101018</v>
      </c>
      <c r="N639" s="39" t="n">
        <f aca="false">IF(A639="제외",0,IF(OR(N(L639)&lt;=0,N(M639)&gt;N(L639)),N(M639)/요약!$D$27,N(L639)))</f>
        <v>318000</v>
      </c>
      <c r="O639" s="32" t="str">
        <f aca="false">IF(A639="제외","",IF(OR(N(L639)&lt;=0,N(M639)&gt;N(L639)),"택가보정(판매금액÷공급율)",""))</f>
        <v/>
      </c>
      <c r="P639" s="0" t="str">
        <f aca="false">IF(A639="HK","100",IF(A639="CN","200",IF(A639="TW","300",IF(ISNUMBER(SEARCH("태국",C639)),"500",IF(ISNUMBER(SEARCH("말레이",C639)),"600",IF(ISNUMBER(SEARCH("필리핀",C639)),"700",IF(ISNUMBER(SEARCH("인도네시아",C639)),"800",IF(ISNUMBER(SEARCH("크루즈",C639)),"810",IF(ISNUMBER(SEARCH("동물원",C639)),"830","")))))))))</f>
        <v>200</v>
      </c>
    </row>
    <row r="640" customFormat="false" ht="15" hidden="false" customHeight="false" outlineLevel="0" collapsed="false">
      <c r="A640" s="32" t="str">
        <f aca="false">IF(OR(TRIM(C640)="",SUBSTITUTE(C640," ","")="소계"),"제외",IF(ISNUMBER(SEARCH("홍콩",C640)),"HK",IF(ISNUMBER(SEARCH("상해",C640)),"CN",IF(ISNUMBER(SEARCH("대만",C640)),"TW","홀세일"))))</f>
        <v>CN</v>
      </c>
      <c r="B640" s="36" t="s">
        <v>1019</v>
      </c>
      <c r="C640" s="37" t="s">
        <v>1020</v>
      </c>
      <c r="D640" s="37" t="s">
        <v>123</v>
      </c>
      <c r="E640" s="36" t="n">
        <v>2026</v>
      </c>
      <c r="F640" s="37" t="s">
        <v>101</v>
      </c>
      <c r="G640" s="37" t="s">
        <v>124</v>
      </c>
      <c r="H640" s="36" t="s">
        <v>131</v>
      </c>
      <c r="I640" s="36" t="s">
        <v>1031</v>
      </c>
      <c r="J640" s="36" t="s">
        <v>1032</v>
      </c>
      <c r="K640" s="38" t="n">
        <v>4</v>
      </c>
      <c r="L640" s="38" t="n">
        <v>476000</v>
      </c>
      <c r="M640" s="38" t="n">
        <v>137176</v>
      </c>
      <c r="N640" s="39" t="n">
        <f aca="false">IF(A640="제외",0,IF(OR(N(L640)&lt;=0,N(M640)&gt;N(L640)),N(M640)/요약!$D$27,N(L640)))</f>
        <v>476000</v>
      </c>
      <c r="O640" s="32" t="str">
        <f aca="false">IF(A640="제외","",IF(OR(N(L640)&lt;=0,N(M640)&gt;N(L640)),"택가보정(판매금액÷공급율)",""))</f>
        <v/>
      </c>
      <c r="P640" s="0" t="str">
        <f aca="false">IF(A640="HK","100",IF(A640="CN","200",IF(A640="TW","300",IF(ISNUMBER(SEARCH("태국",C640)),"500",IF(ISNUMBER(SEARCH("말레이",C640)),"600",IF(ISNUMBER(SEARCH("필리핀",C640)),"700",IF(ISNUMBER(SEARCH("인도네시아",C640)),"800",IF(ISNUMBER(SEARCH("크루즈",C640)),"810",IF(ISNUMBER(SEARCH("동물원",C640)),"830","")))))))))</f>
        <v>200</v>
      </c>
    </row>
    <row r="641" customFormat="false" ht="15" hidden="false" customHeight="false" outlineLevel="0" collapsed="false">
      <c r="A641" s="32" t="str">
        <f aca="false">IF(OR(TRIM(C641)="",SUBSTITUTE(C641," ","")="소계"),"제외",IF(ISNUMBER(SEARCH("홍콩",C641)),"HK",IF(ISNUMBER(SEARCH("상해",C641)),"CN",IF(ISNUMBER(SEARCH("대만",C641)),"TW","홀세일"))))</f>
        <v>CN</v>
      </c>
      <c r="B641" s="36" t="s">
        <v>1019</v>
      </c>
      <c r="C641" s="37" t="s">
        <v>1020</v>
      </c>
      <c r="D641" s="37" t="s">
        <v>123</v>
      </c>
      <c r="E641" s="36" t="n">
        <v>2026</v>
      </c>
      <c r="F641" s="37" t="s">
        <v>101</v>
      </c>
      <c r="G641" s="37" t="s">
        <v>124</v>
      </c>
      <c r="H641" s="36" t="s">
        <v>131</v>
      </c>
      <c r="I641" s="36" t="s">
        <v>1033</v>
      </c>
      <c r="J641" s="36" t="s">
        <v>1034</v>
      </c>
      <c r="K641" s="38" t="n">
        <v>100</v>
      </c>
      <c r="L641" s="38" t="n">
        <v>12900000</v>
      </c>
      <c r="M641" s="38" t="n">
        <v>3985800</v>
      </c>
      <c r="N641" s="39" t="n">
        <f aca="false">IF(A641="제외",0,IF(OR(N(L641)&lt;=0,N(M641)&gt;N(L641)),N(M641)/요약!$D$27,N(L641)))</f>
        <v>12900000</v>
      </c>
      <c r="O641" s="32" t="str">
        <f aca="false">IF(A641="제외","",IF(OR(N(L641)&lt;=0,N(M641)&gt;N(L641)),"택가보정(판매금액÷공급율)",""))</f>
        <v/>
      </c>
      <c r="P641" s="0" t="str">
        <f aca="false">IF(A641="HK","100",IF(A641="CN","200",IF(A641="TW","300",IF(ISNUMBER(SEARCH("태국",C641)),"500",IF(ISNUMBER(SEARCH("말레이",C641)),"600",IF(ISNUMBER(SEARCH("필리핀",C641)),"700",IF(ISNUMBER(SEARCH("인도네시아",C641)),"800",IF(ISNUMBER(SEARCH("크루즈",C641)),"810",IF(ISNUMBER(SEARCH("동물원",C641)),"830","")))))))))</f>
        <v>200</v>
      </c>
    </row>
    <row r="642" customFormat="false" ht="15" hidden="false" customHeight="false" outlineLevel="0" collapsed="false">
      <c r="A642" s="32" t="str">
        <f aca="false">IF(OR(TRIM(C642)="",SUBSTITUTE(C642," ","")="소계"),"제외",IF(ISNUMBER(SEARCH("홍콩",C642)),"HK",IF(ISNUMBER(SEARCH("상해",C642)),"CN",IF(ISNUMBER(SEARCH("대만",C642)),"TW","홀세일"))))</f>
        <v>CN</v>
      </c>
      <c r="B642" s="36" t="s">
        <v>1019</v>
      </c>
      <c r="C642" s="37" t="s">
        <v>1020</v>
      </c>
      <c r="D642" s="37" t="s">
        <v>123</v>
      </c>
      <c r="E642" s="36" t="n">
        <v>2026</v>
      </c>
      <c r="F642" s="37" t="s">
        <v>101</v>
      </c>
      <c r="G642" s="37" t="s">
        <v>124</v>
      </c>
      <c r="H642" s="36" t="s">
        <v>125</v>
      </c>
      <c r="I642" s="36" t="s">
        <v>1035</v>
      </c>
      <c r="J642" s="37" t="s">
        <v>1036</v>
      </c>
      <c r="K642" s="38" t="n">
        <v>306</v>
      </c>
      <c r="L642" s="38" t="n">
        <v>24174000</v>
      </c>
      <c r="M642" s="38" t="n">
        <v>4515521</v>
      </c>
      <c r="N642" s="39" t="n">
        <f aca="false">IF(A642="제외",0,IF(OR(N(L642)&lt;=0,N(M642)&gt;N(L642)),N(M642)/요약!$D$27,N(L642)))</f>
        <v>24174000</v>
      </c>
      <c r="O642" s="32" t="str">
        <f aca="false">IF(A642="제외","",IF(OR(N(L642)&lt;=0,N(M642)&gt;N(L642)),"택가보정(판매금액÷공급율)",""))</f>
        <v/>
      </c>
      <c r="P642" s="0" t="str">
        <f aca="false">IF(A642="HK","100",IF(A642="CN","200",IF(A642="TW","300",IF(ISNUMBER(SEARCH("태국",C642)),"500",IF(ISNUMBER(SEARCH("말레이",C642)),"600",IF(ISNUMBER(SEARCH("필리핀",C642)),"700",IF(ISNUMBER(SEARCH("인도네시아",C642)),"800",IF(ISNUMBER(SEARCH("크루즈",C642)),"810",IF(ISNUMBER(SEARCH("동물원",C642)),"830","")))))))))</f>
        <v>200</v>
      </c>
    </row>
    <row r="643" customFormat="false" ht="15" hidden="false" customHeight="false" outlineLevel="0" collapsed="false">
      <c r="A643" s="32" t="str">
        <f aca="false">IF(OR(TRIM(C643)="",SUBSTITUTE(C643," ","")="소계"),"제외",IF(ISNUMBER(SEARCH("홍콩",C643)),"HK",IF(ISNUMBER(SEARCH("상해",C643)),"CN",IF(ISNUMBER(SEARCH("대만",C643)),"TW","홀세일"))))</f>
        <v>CN</v>
      </c>
      <c r="B643" s="36" t="s">
        <v>1019</v>
      </c>
      <c r="C643" s="37" t="s">
        <v>1020</v>
      </c>
      <c r="D643" s="37" t="s">
        <v>123</v>
      </c>
      <c r="E643" s="36" t="n">
        <v>2026</v>
      </c>
      <c r="F643" s="37" t="s">
        <v>101</v>
      </c>
      <c r="G643" s="37" t="s">
        <v>124</v>
      </c>
      <c r="H643" s="36" t="s">
        <v>131</v>
      </c>
      <c r="I643" s="36" t="s">
        <v>162</v>
      </c>
      <c r="J643" s="37" t="s">
        <v>163</v>
      </c>
      <c r="K643" s="38" t="n">
        <v>260</v>
      </c>
      <c r="L643" s="38" t="n">
        <v>51740000</v>
      </c>
      <c r="M643" s="38" t="n">
        <v>11635000</v>
      </c>
      <c r="N643" s="39" t="n">
        <f aca="false">IF(A643="제외",0,IF(OR(N(L643)&lt;=0,N(M643)&gt;N(L643)),N(M643)/요약!$D$27,N(L643)))</f>
        <v>51740000</v>
      </c>
      <c r="O643" s="32" t="str">
        <f aca="false">IF(A643="제외","",IF(OR(N(L643)&lt;=0,N(M643)&gt;N(L643)),"택가보정(판매금액÷공급율)",""))</f>
        <v/>
      </c>
      <c r="P643" s="0" t="str">
        <f aca="false">IF(A643="HK","100",IF(A643="CN","200",IF(A643="TW","300",IF(ISNUMBER(SEARCH("태국",C643)),"500",IF(ISNUMBER(SEARCH("말레이",C643)),"600",IF(ISNUMBER(SEARCH("필리핀",C643)),"700",IF(ISNUMBER(SEARCH("인도네시아",C643)),"800",IF(ISNUMBER(SEARCH("크루즈",C643)),"810",IF(ISNUMBER(SEARCH("동물원",C643)),"830","")))))))))</f>
        <v>200</v>
      </c>
    </row>
    <row r="644" customFormat="false" ht="15" hidden="false" customHeight="false" outlineLevel="0" collapsed="false">
      <c r="A644" s="32" t="str">
        <f aca="false">IF(OR(TRIM(C644)="",SUBSTITUTE(C644," ","")="소계"),"제외",IF(ISNUMBER(SEARCH("홍콩",C644)),"HK",IF(ISNUMBER(SEARCH("상해",C644)),"CN",IF(ISNUMBER(SEARCH("대만",C644)),"TW","홀세일"))))</f>
        <v>CN</v>
      </c>
      <c r="B644" s="36" t="s">
        <v>1019</v>
      </c>
      <c r="C644" s="37" t="s">
        <v>1020</v>
      </c>
      <c r="D644" s="37" t="s">
        <v>123</v>
      </c>
      <c r="E644" s="36" t="n">
        <v>2026</v>
      </c>
      <c r="F644" s="37" t="s">
        <v>101</v>
      </c>
      <c r="G644" s="37" t="s">
        <v>124</v>
      </c>
      <c r="H644" s="36" t="s">
        <v>131</v>
      </c>
      <c r="I644" s="36" t="s">
        <v>184</v>
      </c>
      <c r="J644" s="37" t="s">
        <v>185</v>
      </c>
      <c r="K644" s="38" t="n">
        <v>80</v>
      </c>
      <c r="L644" s="38" t="n">
        <v>6320000</v>
      </c>
      <c r="M644" s="38" t="n">
        <v>1474320</v>
      </c>
      <c r="N644" s="39" t="n">
        <f aca="false">IF(A644="제외",0,IF(OR(N(L644)&lt;=0,N(M644)&gt;N(L644)),N(M644)/요약!$D$27,N(L644)))</f>
        <v>6320000</v>
      </c>
      <c r="O644" s="32" t="str">
        <f aca="false">IF(A644="제외","",IF(OR(N(L644)&lt;=0,N(M644)&gt;N(L644)),"택가보정(판매금액÷공급율)",""))</f>
        <v/>
      </c>
      <c r="P644" s="0" t="str">
        <f aca="false">IF(A644="HK","100",IF(A644="CN","200",IF(A644="TW","300",IF(ISNUMBER(SEARCH("태국",C644)),"500",IF(ISNUMBER(SEARCH("말레이",C644)),"600",IF(ISNUMBER(SEARCH("필리핀",C644)),"700",IF(ISNUMBER(SEARCH("인도네시아",C644)),"800",IF(ISNUMBER(SEARCH("크루즈",C644)),"810",IF(ISNUMBER(SEARCH("동물원",C644)),"830","")))))))))</f>
        <v>200</v>
      </c>
    </row>
    <row r="645" customFormat="false" ht="15" hidden="false" customHeight="false" outlineLevel="0" collapsed="false">
      <c r="A645" s="32" t="str">
        <f aca="false">IF(OR(TRIM(C645)="",SUBSTITUTE(C645," ","")="소계"),"제외",IF(ISNUMBER(SEARCH("홍콩",C645)),"HK",IF(ISNUMBER(SEARCH("상해",C645)),"CN",IF(ISNUMBER(SEARCH("대만",C645)),"TW","홀세일"))))</f>
        <v>CN</v>
      </c>
      <c r="B645" s="36" t="s">
        <v>1019</v>
      </c>
      <c r="C645" s="37" t="s">
        <v>1020</v>
      </c>
      <c r="D645" s="37" t="s">
        <v>123</v>
      </c>
      <c r="E645" s="36" t="n">
        <v>2026</v>
      </c>
      <c r="F645" s="37" t="s">
        <v>101</v>
      </c>
      <c r="G645" s="37" t="s">
        <v>124</v>
      </c>
      <c r="H645" s="36" t="s">
        <v>188</v>
      </c>
      <c r="I645" s="36" t="s">
        <v>199</v>
      </c>
      <c r="J645" s="36" t="s">
        <v>200</v>
      </c>
      <c r="K645" s="38" t="n">
        <v>130</v>
      </c>
      <c r="L645" s="38" t="n">
        <v>20670000</v>
      </c>
      <c r="M645" s="38" t="n">
        <v>5531370</v>
      </c>
      <c r="N645" s="39" t="n">
        <f aca="false">IF(A645="제외",0,IF(OR(N(L645)&lt;=0,N(M645)&gt;N(L645)),N(M645)/요약!$D$27,N(L645)))</f>
        <v>20670000</v>
      </c>
      <c r="O645" s="32" t="str">
        <f aca="false">IF(A645="제외","",IF(OR(N(L645)&lt;=0,N(M645)&gt;N(L645)),"택가보정(판매금액÷공급율)",""))</f>
        <v/>
      </c>
      <c r="P645" s="0" t="str">
        <f aca="false">IF(A645="HK","100",IF(A645="CN","200",IF(A645="TW","300",IF(ISNUMBER(SEARCH("태국",C645)),"500",IF(ISNUMBER(SEARCH("말레이",C645)),"600",IF(ISNUMBER(SEARCH("필리핀",C645)),"700",IF(ISNUMBER(SEARCH("인도네시아",C645)),"800",IF(ISNUMBER(SEARCH("크루즈",C645)),"810",IF(ISNUMBER(SEARCH("동물원",C645)),"830","")))))))))</f>
        <v>200</v>
      </c>
    </row>
    <row r="646" customFormat="false" ht="15" hidden="false" customHeight="false" outlineLevel="0" collapsed="false">
      <c r="A646" s="32" t="str">
        <f aca="false">IF(OR(TRIM(C646)="",SUBSTITUTE(C646," ","")="소계"),"제외",IF(ISNUMBER(SEARCH("홍콩",C646)),"HK",IF(ISNUMBER(SEARCH("상해",C646)),"CN",IF(ISNUMBER(SEARCH("대만",C646)),"TW","홀세일"))))</f>
        <v>CN</v>
      </c>
      <c r="B646" s="36" t="s">
        <v>1019</v>
      </c>
      <c r="C646" s="37" t="s">
        <v>1020</v>
      </c>
      <c r="D646" s="37" t="s">
        <v>123</v>
      </c>
      <c r="E646" s="36" t="n">
        <v>2026</v>
      </c>
      <c r="F646" s="37" t="s">
        <v>219</v>
      </c>
      <c r="G646" s="37" t="s">
        <v>102</v>
      </c>
      <c r="H646" s="36" t="s">
        <v>131</v>
      </c>
      <c r="I646" s="36" t="s">
        <v>1037</v>
      </c>
      <c r="J646" s="36" t="s">
        <v>1038</v>
      </c>
      <c r="K646" s="38" t="n">
        <v>60</v>
      </c>
      <c r="L646" s="38" t="n">
        <v>3900000</v>
      </c>
      <c r="M646" s="38" t="n">
        <v>1133760</v>
      </c>
      <c r="N646" s="39" t="n">
        <f aca="false">IF(A646="제외",0,IF(OR(N(L646)&lt;=0,N(M646)&gt;N(L646)),N(M646)/요약!$D$27,N(L646)))</f>
        <v>3900000</v>
      </c>
      <c r="O646" s="32" t="str">
        <f aca="false">IF(A646="제외","",IF(OR(N(L646)&lt;=0,N(M646)&gt;N(L646)),"택가보정(판매금액÷공급율)",""))</f>
        <v/>
      </c>
      <c r="P646" s="0" t="str">
        <f aca="false">IF(A646="HK","100",IF(A646="CN","200",IF(A646="TW","300",IF(ISNUMBER(SEARCH("태국",C646)),"500",IF(ISNUMBER(SEARCH("말레이",C646)),"600",IF(ISNUMBER(SEARCH("필리핀",C646)),"700",IF(ISNUMBER(SEARCH("인도네시아",C646)),"800",IF(ISNUMBER(SEARCH("크루즈",C646)),"810",IF(ISNUMBER(SEARCH("동물원",C646)),"830","")))))))))</f>
        <v>200</v>
      </c>
    </row>
    <row r="647" customFormat="false" ht="15" hidden="false" customHeight="false" outlineLevel="0" collapsed="false">
      <c r="A647" s="32" t="str">
        <f aca="false">IF(OR(TRIM(C647)="",SUBSTITUTE(C647," ","")="소계"),"제외",IF(ISNUMBER(SEARCH("홍콩",C647)),"HK",IF(ISNUMBER(SEARCH("상해",C647)),"CN",IF(ISNUMBER(SEARCH("대만",C647)),"TW","홀세일"))))</f>
        <v>CN</v>
      </c>
      <c r="B647" s="36" t="s">
        <v>1019</v>
      </c>
      <c r="C647" s="37" t="s">
        <v>1020</v>
      </c>
      <c r="D647" s="37" t="s">
        <v>123</v>
      </c>
      <c r="E647" s="36" t="n">
        <v>2026</v>
      </c>
      <c r="F647" s="37" t="s">
        <v>219</v>
      </c>
      <c r="G647" s="37" t="s">
        <v>124</v>
      </c>
      <c r="H647" s="36" t="s">
        <v>131</v>
      </c>
      <c r="I647" s="36" t="s">
        <v>1039</v>
      </c>
      <c r="J647" s="36" t="s">
        <v>1040</v>
      </c>
      <c r="K647" s="38" t="n">
        <v>100</v>
      </c>
      <c r="L647" s="38" t="n">
        <v>8900000</v>
      </c>
      <c r="M647" s="38" t="n">
        <v>2868300</v>
      </c>
      <c r="N647" s="39" t="n">
        <f aca="false">IF(A647="제외",0,IF(OR(N(L647)&lt;=0,N(M647)&gt;N(L647)),N(M647)/요약!$D$27,N(L647)))</f>
        <v>8900000</v>
      </c>
      <c r="O647" s="32" t="str">
        <f aca="false">IF(A647="제외","",IF(OR(N(L647)&lt;=0,N(M647)&gt;N(L647)),"택가보정(판매금액÷공급율)",""))</f>
        <v/>
      </c>
      <c r="P647" s="0" t="str">
        <f aca="false">IF(A647="HK","100",IF(A647="CN","200",IF(A647="TW","300",IF(ISNUMBER(SEARCH("태국",C647)),"500",IF(ISNUMBER(SEARCH("말레이",C647)),"600",IF(ISNUMBER(SEARCH("필리핀",C647)),"700",IF(ISNUMBER(SEARCH("인도네시아",C647)),"800",IF(ISNUMBER(SEARCH("크루즈",C647)),"810",IF(ISNUMBER(SEARCH("동물원",C647)),"830","")))))))))</f>
        <v>200</v>
      </c>
    </row>
    <row r="648" customFormat="false" ht="15" hidden="false" customHeight="false" outlineLevel="0" collapsed="false">
      <c r="A648" s="32" t="str">
        <f aca="false">IF(OR(TRIM(C648)="",SUBSTITUTE(C648," ","")="소계"),"제외",IF(ISNUMBER(SEARCH("홍콩",C648)),"HK",IF(ISNUMBER(SEARCH("상해",C648)),"CN",IF(ISNUMBER(SEARCH("대만",C648)),"TW","홀세일"))))</f>
        <v>CN</v>
      </c>
      <c r="B648" s="36" t="s">
        <v>1019</v>
      </c>
      <c r="C648" s="37" t="s">
        <v>1020</v>
      </c>
      <c r="D648" s="37" t="s">
        <v>123</v>
      </c>
      <c r="E648" s="36" t="n">
        <v>2026</v>
      </c>
      <c r="F648" s="37" t="s">
        <v>219</v>
      </c>
      <c r="G648" s="37" t="s">
        <v>124</v>
      </c>
      <c r="H648" s="36" t="s">
        <v>131</v>
      </c>
      <c r="I648" s="36" t="s">
        <v>222</v>
      </c>
      <c r="J648" s="36" t="s">
        <v>223</v>
      </c>
      <c r="K648" s="38" t="n">
        <v>200</v>
      </c>
      <c r="L648" s="38" t="n">
        <v>25800000</v>
      </c>
      <c r="M648" s="38" t="n">
        <v>7049400</v>
      </c>
      <c r="N648" s="39" t="n">
        <f aca="false">IF(A648="제외",0,IF(OR(N(L648)&lt;=0,N(M648)&gt;N(L648)),N(M648)/요약!$D$27,N(L648)))</f>
        <v>25800000</v>
      </c>
      <c r="O648" s="32" t="str">
        <f aca="false">IF(A648="제외","",IF(OR(N(L648)&lt;=0,N(M648)&gt;N(L648)),"택가보정(판매금액÷공급율)",""))</f>
        <v/>
      </c>
      <c r="P648" s="0" t="str">
        <f aca="false">IF(A648="HK","100",IF(A648="CN","200",IF(A648="TW","300",IF(ISNUMBER(SEARCH("태국",C648)),"500",IF(ISNUMBER(SEARCH("말레이",C648)),"600",IF(ISNUMBER(SEARCH("필리핀",C648)),"700",IF(ISNUMBER(SEARCH("인도네시아",C648)),"800",IF(ISNUMBER(SEARCH("크루즈",C648)),"810",IF(ISNUMBER(SEARCH("동물원",C648)),"830","")))))))))</f>
        <v>200</v>
      </c>
    </row>
    <row r="649" customFormat="false" ht="15" hidden="false" customHeight="false" outlineLevel="0" collapsed="false">
      <c r="A649" s="32" t="str">
        <f aca="false">IF(OR(TRIM(C649)="",SUBSTITUTE(C649," ","")="소계"),"제외",IF(ISNUMBER(SEARCH("홍콩",C649)),"HK",IF(ISNUMBER(SEARCH("상해",C649)),"CN",IF(ISNUMBER(SEARCH("대만",C649)),"TW","홀세일"))))</f>
        <v>CN</v>
      </c>
      <c r="B649" s="36" t="s">
        <v>1019</v>
      </c>
      <c r="C649" s="37" t="s">
        <v>1020</v>
      </c>
      <c r="D649" s="37" t="s">
        <v>123</v>
      </c>
      <c r="E649" s="36" t="n">
        <v>2026</v>
      </c>
      <c r="F649" s="37" t="s">
        <v>219</v>
      </c>
      <c r="G649" s="37" t="s">
        <v>124</v>
      </c>
      <c r="H649" s="36" t="s">
        <v>131</v>
      </c>
      <c r="I649" s="36" t="s">
        <v>224</v>
      </c>
      <c r="J649" s="36" t="s">
        <v>225</v>
      </c>
      <c r="K649" s="38" t="n">
        <v>106</v>
      </c>
      <c r="L649" s="38" t="n">
        <v>11554000</v>
      </c>
      <c r="M649" s="38" t="n">
        <v>3312615</v>
      </c>
      <c r="N649" s="39" t="n">
        <f aca="false">IF(A649="제외",0,IF(OR(N(L649)&lt;=0,N(M649)&gt;N(L649)),N(M649)/요약!$D$27,N(L649)))</f>
        <v>11554000</v>
      </c>
      <c r="O649" s="32" t="str">
        <f aca="false">IF(A649="제외","",IF(OR(N(L649)&lt;=0,N(M649)&gt;N(L649)),"택가보정(판매금액÷공급율)",""))</f>
        <v/>
      </c>
      <c r="P649" s="0" t="str">
        <f aca="false">IF(A649="HK","100",IF(A649="CN","200",IF(A649="TW","300",IF(ISNUMBER(SEARCH("태국",C649)),"500",IF(ISNUMBER(SEARCH("말레이",C649)),"600",IF(ISNUMBER(SEARCH("필리핀",C649)),"700",IF(ISNUMBER(SEARCH("인도네시아",C649)),"800",IF(ISNUMBER(SEARCH("크루즈",C649)),"810",IF(ISNUMBER(SEARCH("동물원",C649)),"830","")))))))))</f>
        <v>200</v>
      </c>
    </row>
    <row r="650" customFormat="false" ht="15" hidden="false" customHeight="false" outlineLevel="0" collapsed="false">
      <c r="A650" s="32" t="str">
        <f aca="false">IF(OR(TRIM(C650)="",SUBSTITUTE(C650," ","")="소계"),"제외",IF(ISNUMBER(SEARCH("홍콩",C650)),"HK",IF(ISNUMBER(SEARCH("상해",C650)),"CN",IF(ISNUMBER(SEARCH("대만",C650)),"TW","홀세일"))))</f>
        <v>CN</v>
      </c>
      <c r="B650" s="36" t="s">
        <v>1019</v>
      </c>
      <c r="C650" s="37" t="s">
        <v>1020</v>
      </c>
      <c r="D650" s="37" t="s">
        <v>123</v>
      </c>
      <c r="E650" s="36" t="n">
        <v>2026</v>
      </c>
      <c r="F650" s="37" t="s">
        <v>219</v>
      </c>
      <c r="G650" s="37" t="s">
        <v>124</v>
      </c>
      <c r="H650" s="36" t="s">
        <v>131</v>
      </c>
      <c r="I650" s="36" t="s">
        <v>806</v>
      </c>
      <c r="J650" s="37" t="s">
        <v>807</v>
      </c>
      <c r="K650" s="38" t="n">
        <v>765</v>
      </c>
      <c r="L650" s="38" t="n">
        <v>121635000</v>
      </c>
      <c r="M650" s="38" t="n">
        <v>29482335</v>
      </c>
      <c r="N650" s="39" t="n">
        <f aca="false">IF(A650="제외",0,IF(OR(N(L650)&lt;=0,N(M650)&gt;N(L650)),N(M650)/요약!$D$27,N(L650)))</f>
        <v>121635000</v>
      </c>
      <c r="O650" s="32" t="str">
        <f aca="false">IF(A650="제외","",IF(OR(N(L650)&lt;=0,N(M650)&gt;N(L650)),"택가보정(판매금액÷공급율)",""))</f>
        <v/>
      </c>
      <c r="P650" s="0" t="str">
        <f aca="false">IF(A650="HK","100",IF(A650="CN","200",IF(A650="TW","300",IF(ISNUMBER(SEARCH("태국",C650)),"500",IF(ISNUMBER(SEARCH("말레이",C650)),"600",IF(ISNUMBER(SEARCH("필리핀",C650)),"700",IF(ISNUMBER(SEARCH("인도네시아",C650)),"800",IF(ISNUMBER(SEARCH("크루즈",C650)),"810",IF(ISNUMBER(SEARCH("동물원",C650)),"830","")))))))))</f>
        <v>200</v>
      </c>
    </row>
    <row r="651" customFormat="false" ht="15" hidden="false" customHeight="false" outlineLevel="0" collapsed="false">
      <c r="A651" s="32" t="str">
        <f aca="false">IF(OR(TRIM(C651)="",SUBSTITUTE(C651," ","")="소계"),"제외",IF(ISNUMBER(SEARCH("홍콩",C651)),"HK",IF(ISNUMBER(SEARCH("상해",C651)),"CN",IF(ISNUMBER(SEARCH("대만",C651)),"TW","홀세일"))))</f>
        <v>CN</v>
      </c>
      <c r="B651" s="36" t="s">
        <v>1019</v>
      </c>
      <c r="C651" s="37" t="s">
        <v>1020</v>
      </c>
      <c r="D651" s="37" t="s">
        <v>123</v>
      </c>
      <c r="E651" s="36" t="n">
        <v>2026</v>
      </c>
      <c r="F651" s="37" t="s">
        <v>219</v>
      </c>
      <c r="G651" s="37" t="s">
        <v>124</v>
      </c>
      <c r="H651" s="36" t="s">
        <v>131</v>
      </c>
      <c r="I651" s="36" t="s">
        <v>1041</v>
      </c>
      <c r="J651" s="36" t="s">
        <v>1042</v>
      </c>
      <c r="K651" s="38" t="n">
        <v>110</v>
      </c>
      <c r="L651" s="38" t="n">
        <v>24090000</v>
      </c>
      <c r="M651" s="38" t="n">
        <v>5588110</v>
      </c>
      <c r="N651" s="39" t="n">
        <f aca="false">IF(A651="제외",0,IF(OR(N(L651)&lt;=0,N(M651)&gt;N(L651)),N(M651)/요약!$D$27,N(L651)))</f>
        <v>24090000</v>
      </c>
      <c r="O651" s="32" t="str">
        <f aca="false">IF(A651="제외","",IF(OR(N(L651)&lt;=0,N(M651)&gt;N(L651)),"택가보정(판매금액÷공급율)",""))</f>
        <v/>
      </c>
      <c r="P651" s="0" t="str">
        <f aca="false">IF(A651="HK","100",IF(A651="CN","200",IF(A651="TW","300",IF(ISNUMBER(SEARCH("태국",C651)),"500",IF(ISNUMBER(SEARCH("말레이",C651)),"600",IF(ISNUMBER(SEARCH("필리핀",C651)),"700",IF(ISNUMBER(SEARCH("인도네시아",C651)),"800",IF(ISNUMBER(SEARCH("크루즈",C651)),"810",IF(ISNUMBER(SEARCH("동물원",C651)),"830","")))))))))</f>
        <v>200</v>
      </c>
    </row>
    <row r="652" customFormat="false" ht="15" hidden="false" customHeight="false" outlineLevel="0" collapsed="false">
      <c r="A652" s="32" t="str">
        <f aca="false">IF(OR(TRIM(C652)="",SUBSTITUTE(C652," ","")="소계"),"제외",IF(ISNUMBER(SEARCH("홍콩",C652)),"HK",IF(ISNUMBER(SEARCH("상해",C652)),"CN",IF(ISNUMBER(SEARCH("대만",C652)),"TW","홀세일"))))</f>
        <v>CN</v>
      </c>
      <c r="B652" s="36" t="s">
        <v>1019</v>
      </c>
      <c r="C652" s="37" t="s">
        <v>1020</v>
      </c>
      <c r="D652" s="37" t="s">
        <v>123</v>
      </c>
      <c r="E652" s="36" t="n">
        <v>2026</v>
      </c>
      <c r="F652" s="37" t="s">
        <v>219</v>
      </c>
      <c r="G652" s="37" t="s">
        <v>124</v>
      </c>
      <c r="H652" s="36" t="s">
        <v>131</v>
      </c>
      <c r="I652" s="36" t="s">
        <v>814</v>
      </c>
      <c r="J652" s="36" t="s">
        <v>815</v>
      </c>
      <c r="K652" s="38" t="n">
        <v>190</v>
      </c>
      <c r="L652" s="38" t="n">
        <v>37810000</v>
      </c>
      <c r="M652" s="38" t="n">
        <v>12076780</v>
      </c>
      <c r="N652" s="39" t="n">
        <f aca="false">IF(A652="제외",0,IF(OR(N(L652)&lt;=0,N(M652)&gt;N(L652)),N(M652)/요약!$D$27,N(L652)))</f>
        <v>37810000</v>
      </c>
      <c r="O652" s="32" t="str">
        <f aca="false">IF(A652="제외","",IF(OR(N(L652)&lt;=0,N(M652)&gt;N(L652)),"택가보정(판매금액÷공급율)",""))</f>
        <v/>
      </c>
      <c r="P652" s="0" t="str">
        <f aca="false">IF(A652="HK","100",IF(A652="CN","200",IF(A652="TW","300",IF(ISNUMBER(SEARCH("태국",C652)),"500",IF(ISNUMBER(SEARCH("말레이",C652)),"600",IF(ISNUMBER(SEARCH("필리핀",C652)),"700",IF(ISNUMBER(SEARCH("인도네시아",C652)),"800",IF(ISNUMBER(SEARCH("크루즈",C652)),"810",IF(ISNUMBER(SEARCH("동물원",C652)),"830","")))))))))</f>
        <v>200</v>
      </c>
    </row>
    <row r="653" customFormat="false" ht="15" hidden="false" customHeight="false" outlineLevel="0" collapsed="false">
      <c r="A653" s="32" t="str">
        <f aca="false">IF(OR(TRIM(C653)="",SUBSTITUTE(C653," ","")="소계"),"제외",IF(ISNUMBER(SEARCH("홍콩",C653)),"HK",IF(ISNUMBER(SEARCH("상해",C653)),"CN",IF(ISNUMBER(SEARCH("대만",C653)),"TW","홀세일"))))</f>
        <v>CN</v>
      </c>
      <c r="B653" s="36" t="s">
        <v>1019</v>
      </c>
      <c r="C653" s="37" t="s">
        <v>1020</v>
      </c>
      <c r="D653" s="37" t="s">
        <v>123</v>
      </c>
      <c r="E653" s="36" t="n">
        <v>2026</v>
      </c>
      <c r="F653" s="37" t="s">
        <v>219</v>
      </c>
      <c r="G653" s="37" t="s">
        <v>124</v>
      </c>
      <c r="H653" s="36" t="s">
        <v>125</v>
      </c>
      <c r="I653" s="36" t="s">
        <v>228</v>
      </c>
      <c r="J653" s="37" t="s">
        <v>229</v>
      </c>
      <c r="K653" s="38" t="n">
        <v>754</v>
      </c>
      <c r="L653" s="38" t="n">
        <v>67106000</v>
      </c>
      <c r="M653" s="38" t="n">
        <v>15275708</v>
      </c>
      <c r="N653" s="39" t="n">
        <f aca="false">IF(A653="제외",0,IF(OR(N(L653)&lt;=0,N(M653)&gt;N(L653)),N(M653)/요약!$D$27,N(L653)))</f>
        <v>67106000</v>
      </c>
      <c r="O653" s="32" t="str">
        <f aca="false">IF(A653="제외","",IF(OR(N(L653)&lt;=0,N(M653)&gt;N(L653)),"택가보정(판매금액÷공급율)",""))</f>
        <v/>
      </c>
      <c r="P653" s="0" t="str">
        <f aca="false">IF(A653="HK","100",IF(A653="CN","200",IF(A653="TW","300",IF(ISNUMBER(SEARCH("태국",C653)),"500",IF(ISNUMBER(SEARCH("말레이",C653)),"600",IF(ISNUMBER(SEARCH("필리핀",C653)),"700",IF(ISNUMBER(SEARCH("인도네시아",C653)),"800",IF(ISNUMBER(SEARCH("크루즈",C653)),"810",IF(ISNUMBER(SEARCH("동물원",C653)),"830","")))))))))</f>
        <v>200</v>
      </c>
    </row>
    <row r="654" customFormat="false" ht="15" hidden="false" customHeight="false" outlineLevel="0" collapsed="false">
      <c r="A654" s="32" t="str">
        <f aca="false">IF(OR(TRIM(C654)="",SUBSTITUTE(C654," ","")="소계"),"제외",IF(ISNUMBER(SEARCH("홍콩",C654)),"HK",IF(ISNUMBER(SEARCH("상해",C654)),"CN",IF(ISNUMBER(SEARCH("대만",C654)),"TW","홀세일"))))</f>
        <v>CN</v>
      </c>
      <c r="B654" s="36" t="s">
        <v>1019</v>
      </c>
      <c r="C654" s="37" t="s">
        <v>1020</v>
      </c>
      <c r="D654" s="37" t="s">
        <v>123</v>
      </c>
      <c r="E654" s="36" t="n">
        <v>2026</v>
      </c>
      <c r="F654" s="37" t="s">
        <v>219</v>
      </c>
      <c r="G654" s="37" t="s">
        <v>124</v>
      </c>
      <c r="H654" s="36" t="s">
        <v>125</v>
      </c>
      <c r="I654" s="36" t="s">
        <v>230</v>
      </c>
      <c r="J654" s="37" t="s">
        <v>231</v>
      </c>
      <c r="K654" s="38" t="n">
        <v>1195</v>
      </c>
      <c r="L654" s="38" t="n">
        <v>130255000</v>
      </c>
      <c r="M654" s="38" t="n">
        <v>36647502</v>
      </c>
      <c r="N654" s="39" t="n">
        <f aca="false">IF(A654="제외",0,IF(OR(N(L654)&lt;=0,N(M654)&gt;N(L654)),N(M654)/요약!$D$27,N(L654)))</f>
        <v>130255000</v>
      </c>
      <c r="O654" s="32" t="str">
        <f aca="false">IF(A654="제외","",IF(OR(N(L654)&lt;=0,N(M654)&gt;N(L654)),"택가보정(판매금액÷공급율)",""))</f>
        <v/>
      </c>
      <c r="P654" s="0" t="str">
        <f aca="false">IF(A654="HK","100",IF(A654="CN","200",IF(A654="TW","300",IF(ISNUMBER(SEARCH("태국",C654)),"500",IF(ISNUMBER(SEARCH("말레이",C654)),"600",IF(ISNUMBER(SEARCH("필리핀",C654)),"700",IF(ISNUMBER(SEARCH("인도네시아",C654)),"800",IF(ISNUMBER(SEARCH("크루즈",C654)),"810",IF(ISNUMBER(SEARCH("동물원",C654)),"830","")))))))))</f>
        <v>200</v>
      </c>
    </row>
    <row r="655" customFormat="false" ht="15" hidden="false" customHeight="false" outlineLevel="0" collapsed="false">
      <c r="A655" s="32" t="str">
        <f aca="false">IF(OR(TRIM(C655)="",SUBSTITUTE(C655," ","")="소계"),"제외",IF(ISNUMBER(SEARCH("홍콩",C655)),"HK",IF(ISNUMBER(SEARCH("상해",C655)),"CN",IF(ISNUMBER(SEARCH("대만",C655)),"TW","홀세일"))))</f>
        <v>CN</v>
      </c>
      <c r="B655" s="36" t="s">
        <v>1019</v>
      </c>
      <c r="C655" s="37" t="s">
        <v>1020</v>
      </c>
      <c r="D655" s="37" t="s">
        <v>123</v>
      </c>
      <c r="E655" s="36" t="n">
        <v>2026</v>
      </c>
      <c r="F655" s="37" t="s">
        <v>219</v>
      </c>
      <c r="G655" s="37" t="s">
        <v>124</v>
      </c>
      <c r="H655" s="36" t="s">
        <v>131</v>
      </c>
      <c r="I655" s="36" t="s">
        <v>820</v>
      </c>
      <c r="J655" s="36" t="s">
        <v>821</v>
      </c>
      <c r="K655" s="38" t="n">
        <v>140</v>
      </c>
      <c r="L655" s="38" t="n">
        <v>22260000</v>
      </c>
      <c r="M655" s="38" t="n">
        <v>6027700</v>
      </c>
      <c r="N655" s="39" t="n">
        <f aca="false">IF(A655="제외",0,IF(OR(N(L655)&lt;=0,N(M655)&gt;N(L655)),N(M655)/요약!$D$27,N(L655)))</f>
        <v>22260000</v>
      </c>
      <c r="O655" s="32" t="str">
        <f aca="false">IF(A655="제외","",IF(OR(N(L655)&lt;=0,N(M655)&gt;N(L655)),"택가보정(판매금액÷공급율)",""))</f>
        <v/>
      </c>
      <c r="P655" s="0" t="str">
        <f aca="false">IF(A655="HK","100",IF(A655="CN","200",IF(A655="TW","300",IF(ISNUMBER(SEARCH("태국",C655)),"500",IF(ISNUMBER(SEARCH("말레이",C655)),"600",IF(ISNUMBER(SEARCH("필리핀",C655)),"700",IF(ISNUMBER(SEARCH("인도네시아",C655)),"800",IF(ISNUMBER(SEARCH("크루즈",C655)),"810",IF(ISNUMBER(SEARCH("동물원",C655)),"830","")))))))))</f>
        <v>200</v>
      </c>
    </row>
    <row r="656" customFormat="false" ht="15" hidden="false" customHeight="false" outlineLevel="0" collapsed="false">
      <c r="A656" s="32" t="str">
        <f aca="false">IF(OR(TRIM(C656)="",SUBSTITUTE(C656," ","")="소계"),"제외",IF(ISNUMBER(SEARCH("홍콩",C656)),"HK",IF(ISNUMBER(SEARCH("상해",C656)),"CN",IF(ISNUMBER(SEARCH("대만",C656)),"TW","홀세일"))))</f>
        <v>CN</v>
      </c>
      <c r="B656" s="36" t="s">
        <v>1019</v>
      </c>
      <c r="C656" s="37" t="s">
        <v>1020</v>
      </c>
      <c r="D656" s="37" t="s">
        <v>123</v>
      </c>
      <c r="E656" s="36" t="n">
        <v>2026</v>
      </c>
      <c r="F656" s="37" t="s">
        <v>219</v>
      </c>
      <c r="G656" s="37" t="s">
        <v>124</v>
      </c>
      <c r="H656" s="36" t="s">
        <v>125</v>
      </c>
      <c r="I656" s="36" t="s">
        <v>232</v>
      </c>
      <c r="J656" s="37" t="s">
        <v>233</v>
      </c>
      <c r="K656" s="38" t="n">
        <v>100</v>
      </c>
      <c r="L656" s="38" t="n">
        <v>14900000</v>
      </c>
      <c r="M656" s="38" t="n">
        <v>3465100</v>
      </c>
      <c r="N656" s="39" t="n">
        <f aca="false">IF(A656="제외",0,IF(OR(N(L656)&lt;=0,N(M656)&gt;N(L656)),N(M656)/요약!$D$27,N(L656)))</f>
        <v>14900000</v>
      </c>
      <c r="O656" s="32" t="str">
        <f aca="false">IF(A656="제외","",IF(OR(N(L656)&lt;=0,N(M656)&gt;N(L656)),"택가보정(판매금액÷공급율)",""))</f>
        <v/>
      </c>
      <c r="P656" s="0" t="str">
        <f aca="false">IF(A656="HK","100",IF(A656="CN","200",IF(A656="TW","300",IF(ISNUMBER(SEARCH("태국",C656)),"500",IF(ISNUMBER(SEARCH("말레이",C656)),"600",IF(ISNUMBER(SEARCH("필리핀",C656)),"700",IF(ISNUMBER(SEARCH("인도네시아",C656)),"800",IF(ISNUMBER(SEARCH("크루즈",C656)),"810",IF(ISNUMBER(SEARCH("동물원",C656)),"830","")))))))))</f>
        <v>200</v>
      </c>
    </row>
    <row r="657" customFormat="false" ht="15" hidden="false" customHeight="false" outlineLevel="0" collapsed="false">
      <c r="A657" s="32" t="str">
        <f aca="false">IF(OR(TRIM(C657)="",SUBSTITUTE(C657," ","")="소계"),"제외",IF(ISNUMBER(SEARCH("홍콩",C657)),"HK",IF(ISNUMBER(SEARCH("상해",C657)),"CN",IF(ISNUMBER(SEARCH("대만",C657)),"TW","홀세일"))))</f>
        <v>CN</v>
      </c>
      <c r="B657" s="36" t="s">
        <v>1019</v>
      </c>
      <c r="C657" s="37" t="s">
        <v>1020</v>
      </c>
      <c r="D657" s="37" t="s">
        <v>123</v>
      </c>
      <c r="E657" s="36" t="n">
        <v>2026</v>
      </c>
      <c r="F657" s="37" t="s">
        <v>219</v>
      </c>
      <c r="G657" s="37" t="s">
        <v>124</v>
      </c>
      <c r="H657" s="36" t="s">
        <v>131</v>
      </c>
      <c r="I657" s="36" t="s">
        <v>236</v>
      </c>
      <c r="J657" s="36" t="s">
        <v>237</v>
      </c>
      <c r="K657" s="38" t="n">
        <v>200</v>
      </c>
      <c r="L657" s="38" t="n">
        <v>15800000</v>
      </c>
      <c r="M657" s="38" t="n">
        <v>5023000</v>
      </c>
      <c r="N657" s="39" t="n">
        <f aca="false">IF(A657="제외",0,IF(OR(N(L657)&lt;=0,N(M657)&gt;N(L657)),N(M657)/요약!$D$27,N(L657)))</f>
        <v>15800000</v>
      </c>
      <c r="O657" s="32" t="str">
        <f aca="false">IF(A657="제외","",IF(OR(N(L657)&lt;=0,N(M657)&gt;N(L657)),"택가보정(판매금액÷공급율)",""))</f>
        <v/>
      </c>
      <c r="P657" s="0" t="str">
        <f aca="false">IF(A657="HK","100",IF(A657="CN","200",IF(A657="TW","300",IF(ISNUMBER(SEARCH("태국",C657)),"500",IF(ISNUMBER(SEARCH("말레이",C657)),"600",IF(ISNUMBER(SEARCH("필리핀",C657)),"700",IF(ISNUMBER(SEARCH("인도네시아",C657)),"800",IF(ISNUMBER(SEARCH("크루즈",C657)),"810",IF(ISNUMBER(SEARCH("동물원",C657)),"830","")))))))))</f>
        <v>200</v>
      </c>
    </row>
    <row r="658" customFormat="false" ht="15" hidden="false" customHeight="false" outlineLevel="0" collapsed="false">
      <c r="A658" s="32" t="str">
        <f aca="false">IF(OR(TRIM(C658)="",SUBSTITUTE(C658," ","")="소계"),"제외",IF(ISNUMBER(SEARCH("홍콩",C658)),"HK",IF(ISNUMBER(SEARCH("상해",C658)),"CN",IF(ISNUMBER(SEARCH("대만",C658)),"TW","홀세일"))))</f>
        <v>CN</v>
      </c>
      <c r="B658" s="36" t="s">
        <v>1019</v>
      </c>
      <c r="C658" s="37" t="s">
        <v>1020</v>
      </c>
      <c r="D658" s="37" t="s">
        <v>123</v>
      </c>
      <c r="E658" s="36" t="n">
        <v>2026</v>
      </c>
      <c r="F658" s="37" t="s">
        <v>219</v>
      </c>
      <c r="G658" s="37" t="s">
        <v>124</v>
      </c>
      <c r="H658" s="36" t="s">
        <v>131</v>
      </c>
      <c r="I658" s="36" t="s">
        <v>238</v>
      </c>
      <c r="J658" s="36" t="s">
        <v>239</v>
      </c>
      <c r="K658" s="38" t="n">
        <v>240</v>
      </c>
      <c r="L658" s="38" t="n">
        <v>18960000</v>
      </c>
      <c r="M658" s="38" t="n">
        <v>5317200</v>
      </c>
      <c r="N658" s="39" t="n">
        <f aca="false">IF(A658="제외",0,IF(OR(N(L658)&lt;=0,N(M658)&gt;N(L658)),N(M658)/요약!$D$27,N(L658)))</f>
        <v>18960000</v>
      </c>
      <c r="O658" s="32" t="str">
        <f aca="false">IF(A658="제외","",IF(OR(N(L658)&lt;=0,N(M658)&gt;N(L658)),"택가보정(판매금액÷공급율)",""))</f>
        <v/>
      </c>
      <c r="P658" s="0" t="str">
        <f aca="false">IF(A658="HK","100",IF(A658="CN","200",IF(A658="TW","300",IF(ISNUMBER(SEARCH("태국",C658)),"500",IF(ISNUMBER(SEARCH("말레이",C658)),"600",IF(ISNUMBER(SEARCH("필리핀",C658)),"700",IF(ISNUMBER(SEARCH("인도네시아",C658)),"800",IF(ISNUMBER(SEARCH("크루즈",C658)),"810",IF(ISNUMBER(SEARCH("동물원",C658)),"830","")))))))))</f>
        <v>200</v>
      </c>
    </row>
    <row r="659" customFormat="false" ht="15" hidden="false" customHeight="false" outlineLevel="0" collapsed="false">
      <c r="A659" s="32" t="str">
        <f aca="false">IF(OR(TRIM(C659)="",SUBSTITUTE(C659," ","")="소계"),"제외",IF(ISNUMBER(SEARCH("홍콩",C659)),"HK",IF(ISNUMBER(SEARCH("상해",C659)),"CN",IF(ISNUMBER(SEARCH("대만",C659)),"TW","홀세일"))))</f>
        <v>CN</v>
      </c>
      <c r="B659" s="36" t="s">
        <v>1019</v>
      </c>
      <c r="C659" s="37" t="s">
        <v>1020</v>
      </c>
      <c r="D659" s="37" t="s">
        <v>123</v>
      </c>
      <c r="E659" s="36" t="n">
        <v>2026</v>
      </c>
      <c r="F659" s="37" t="s">
        <v>219</v>
      </c>
      <c r="G659" s="37" t="s">
        <v>124</v>
      </c>
      <c r="H659" s="36" t="s">
        <v>131</v>
      </c>
      <c r="I659" s="36" t="s">
        <v>240</v>
      </c>
      <c r="J659" s="36" t="s">
        <v>241</v>
      </c>
      <c r="K659" s="38" t="n">
        <v>200</v>
      </c>
      <c r="L659" s="38" t="n">
        <v>13800000</v>
      </c>
      <c r="M659" s="38" t="n">
        <v>3938600</v>
      </c>
      <c r="N659" s="39" t="n">
        <f aca="false">IF(A659="제외",0,IF(OR(N(L659)&lt;=0,N(M659)&gt;N(L659)),N(M659)/요약!$D$27,N(L659)))</f>
        <v>13800000</v>
      </c>
      <c r="O659" s="32" t="str">
        <f aca="false">IF(A659="제외","",IF(OR(N(L659)&lt;=0,N(M659)&gt;N(L659)),"택가보정(판매금액÷공급율)",""))</f>
        <v/>
      </c>
      <c r="P659" s="0" t="str">
        <f aca="false">IF(A659="HK","100",IF(A659="CN","200",IF(A659="TW","300",IF(ISNUMBER(SEARCH("태국",C659)),"500",IF(ISNUMBER(SEARCH("말레이",C659)),"600",IF(ISNUMBER(SEARCH("필리핀",C659)),"700",IF(ISNUMBER(SEARCH("인도네시아",C659)),"800",IF(ISNUMBER(SEARCH("크루즈",C659)),"810",IF(ISNUMBER(SEARCH("동물원",C659)),"830","")))))))))</f>
        <v>200</v>
      </c>
    </row>
    <row r="660" customFormat="false" ht="15" hidden="false" customHeight="false" outlineLevel="0" collapsed="false">
      <c r="A660" s="32" t="str">
        <f aca="false">IF(OR(TRIM(C660)="",SUBSTITUTE(C660," ","")="소계"),"제외",IF(ISNUMBER(SEARCH("홍콩",C660)),"HK",IF(ISNUMBER(SEARCH("상해",C660)),"CN",IF(ISNUMBER(SEARCH("대만",C660)),"TW","홀세일"))))</f>
        <v>CN</v>
      </c>
      <c r="B660" s="36" t="s">
        <v>1019</v>
      </c>
      <c r="C660" s="37" t="s">
        <v>1020</v>
      </c>
      <c r="D660" s="37" t="s">
        <v>123</v>
      </c>
      <c r="E660" s="36" t="n">
        <v>2026</v>
      </c>
      <c r="F660" s="37" t="s">
        <v>219</v>
      </c>
      <c r="G660" s="37" t="s">
        <v>124</v>
      </c>
      <c r="H660" s="36" t="s">
        <v>125</v>
      </c>
      <c r="I660" s="36" t="s">
        <v>244</v>
      </c>
      <c r="J660" s="37" t="s">
        <v>245</v>
      </c>
      <c r="K660" s="38" t="n">
        <v>1173</v>
      </c>
      <c r="L660" s="38" t="n">
        <v>92667000</v>
      </c>
      <c r="M660" s="38" t="n">
        <v>30312660</v>
      </c>
      <c r="N660" s="39" t="n">
        <f aca="false">IF(A660="제외",0,IF(OR(N(L660)&lt;=0,N(M660)&gt;N(L660)),N(M660)/요약!$D$27,N(L660)))</f>
        <v>92667000</v>
      </c>
      <c r="O660" s="32" t="str">
        <f aca="false">IF(A660="제외","",IF(OR(N(L660)&lt;=0,N(M660)&gt;N(L660)),"택가보정(판매금액÷공급율)",""))</f>
        <v/>
      </c>
      <c r="P660" s="0" t="str">
        <f aca="false">IF(A660="HK","100",IF(A660="CN","200",IF(A660="TW","300",IF(ISNUMBER(SEARCH("태국",C660)),"500",IF(ISNUMBER(SEARCH("말레이",C660)),"600",IF(ISNUMBER(SEARCH("필리핀",C660)),"700",IF(ISNUMBER(SEARCH("인도네시아",C660)),"800",IF(ISNUMBER(SEARCH("크루즈",C660)),"810",IF(ISNUMBER(SEARCH("동물원",C660)),"830","")))))))))</f>
        <v>200</v>
      </c>
    </row>
    <row r="661" customFormat="false" ht="15" hidden="false" customHeight="false" outlineLevel="0" collapsed="false">
      <c r="A661" s="32" t="str">
        <f aca="false">IF(OR(TRIM(C661)="",SUBSTITUTE(C661," ","")="소계"),"제외",IF(ISNUMBER(SEARCH("홍콩",C661)),"HK",IF(ISNUMBER(SEARCH("상해",C661)),"CN",IF(ISNUMBER(SEARCH("대만",C661)),"TW","홀세일"))))</f>
        <v>CN</v>
      </c>
      <c r="B661" s="36" t="s">
        <v>1019</v>
      </c>
      <c r="C661" s="37" t="s">
        <v>1020</v>
      </c>
      <c r="D661" s="37" t="s">
        <v>123</v>
      </c>
      <c r="E661" s="36" t="n">
        <v>2026</v>
      </c>
      <c r="F661" s="37" t="s">
        <v>219</v>
      </c>
      <c r="G661" s="37" t="s">
        <v>124</v>
      </c>
      <c r="H661" s="36" t="s">
        <v>131</v>
      </c>
      <c r="I661" s="36" t="s">
        <v>1043</v>
      </c>
      <c r="J661" s="37" t="s">
        <v>1044</v>
      </c>
      <c r="K661" s="38" t="n">
        <v>330</v>
      </c>
      <c r="L661" s="38" t="n">
        <v>26070000</v>
      </c>
      <c r="M661" s="38" t="n">
        <v>6812190</v>
      </c>
      <c r="N661" s="39" t="n">
        <f aca="false">IF(A661="제외",0,IF(OR(N(L661)&lt;=0,N(M661)&gt;N(L661)),N(M661)/요약!$D$27,N(L661)))</f>
        <v>26070000</v>
      </c>
      <c r="O661" s="32" t="str">
        <f aca="false">IF(A661="제외","",IF(OR(N(L661)&lt;=0,N(M661)&gt;N(L661)),"택가보정(판매금액÷공급율)",""))</f>
        <v/>
      </c>
      <c r="P661" s="0" t="str">
        <f aca="false">IF(A661="HK","100",IF(A661="CN","200",IF(A661="TW","300",IF(ISNUMBER(SEARCH("태국",C661)),"500",IF(ISNUMBER(SEARCH("말레이",C661)),"600",IF(ISNUMBER(SEARCH("필리핀",C661)),"700",IF(ISNUMBER(SEARCH("인도네시아",C661)),"800",IF(ISNUMBER(SEARCH("크루즈",C661)),"810",IF(ISNUMBER(SEARCH("동물원",C661)),"830","")))))))))</f>
        <v>200</v>
      </c>
    </row>
    <row r="662" customFormat="false" ht="15" hidden="false" customHeight="false" outlineLevel="0" collapsed="false">
      <c r="A662" s="32" t="str">
        <f aca="false">IF(OR(TRIM(C662)="",SUBSTITUTE(C662," ","")="소계"),"제외",IF(ISNUMBER(SEARCH("홍콩",C662)),"HK",IF(ISNUMBER(SEARCH("상해",C662)),"CN",IF(ISNUMBER(SEARCH("대만",C662)),"TW","홀세일"))))</f>
        <v>CN</v>
      </c>
      <c r="B662" s="36" t="s">
        <v>1019</v>
      </c>
      <c r="C662" s="37" t="s">
        <v>1020</v>
      </c>
      <c r="D662" s="37" t="s">
        <v>123</v>
      </c>
      <c r="E662" s="36" t="n">
        <v>2026</v>
      </c>
      <c r="F662" s="37" t="s">
        <v>219</v>
      </c>
      <c r="G662" s="37" t="s">
        <v>124</v>
      </c>
      <c r="H662" s="36" t="s">
        <v>125</v>
      </c>
      <c r="I662" s="36" t="s">
        <v>826</v>
      </c>
      <c r="J662" s="37" t="s">
        <v>827</v>
      </c>
      <c r="K662" s="38" t="n">
        <v>480</v>
      </c>
      <c r="L662" s="38" t="n">
        <v>42720000</v>
      </c>
      <c r="M662" s="38" t="n">
        <v>12561120</v>
      </c>
      <c r="N662" s="39" t="n">
        <f aca="false">IF(A662="제외",0,IF(OR(N(L662)&lt;=0,N(M662)&gt;N(L662)),N(M662)/요약!$D$27,N(L662)))</f>
        <v>42720000</v>
      </c>
      <c r="O662" s="32" t="str">
        <f aca="false">IF(A662="제외","",IF(OR(N(L662)&lt;=0,N(M662)&gt;N(L662)),"택가보정(판매금액÷공급율)",""))</f>
        <v/>
      </c>
      <c r="P662" s="0" t="str">
        <f aca="false">IF(A662="HK","100",IF(A662="CN","200",IF(A662="TW","300",IF(ISNUMBER(SEARCH("태국",C662)),"500",IF(ISNUMBER(SEARCH("말레이",C662)),"600",IF(ISNUMBER(SEARCH("필리핀",C662)),"700",IF(ISNUMBER(SEARCH("인도네시아",C662)),"800",IF(ISNUMBER(SEARCH("크루즈",C662)),"810",IF(ISNUMBER(SEARCH("동물원",C662)),"830","")))))))))</f>
        <v>200</v>
      </c>
    </row>
    <row r="663" customFormat="false" ht="15" hidden="false" customHeight="false" outlineLevel="0" collapsed="false">
      <c r="A663" s="32" t="str">
        <f aca="false">IF(OR(TRIM(C663)="",SUBSTITUTE(C663," ","")="소계"),"제외",IF(ISNUMBER(SEARCH("홍콩",C663)),"HK",IF(ISNUMBER(SEARCH("상해",C663)),"CN",IF(ISNUMBER(SEARCH("대만",C663)),"TW","홀세일"))))</f>
        <v>CN</v>
      </c>
      <c r="B663" s="36" t="s">
        <v>1019</v>
      </c>
      <c r="C663" s="37" t="s">
        <v>1020</v>
      </c>
      <c r="D663" s="37" t="s">
        <v>123</v>
      </c>
      <c r="E663" s="36" t="n">
        <v>2026</v>
      </c>
      <c r="F663" s="37" t="s">
        <v>219</v>
      </c>
      <c r="G663" s="37" t="s">
        <v>124</v>
      </c>
      <c r="H663" s="36" t="s">
        <v>131</v>
      </c>
      <c r="I663" s="36" t="s">
        <v>264</v>
      </c>
      <c r="J663" s="37" t="s">
        <v>265</v>
      </c>
      <c r="K663" s="38" t="n">
        <v>365</v>
      </c>
      <c r="L663" s="38" t="n">
        <v>39785000</v>
      </c>
      <c r="M663" s="38" t="n">
        <v>11288720</v>
      </c>
      <c r="N663" s="39" t="n">
        <f aca="false">IF(A663="제외",0,IF(OR(N(L663)&lt;=0,N(M663)&gt;N(L663)),N(M663)/요약!$D$27,N(L663)))</f>
        <v>39785000</v>
      </c>
      <c r="O663" s="32" t="str">
        <f aca="false">IF(A663="제외","",IF(OR(N(L663)&lt;=0,N(M663)&gt;N(L663)),"택가보정(판매금액÷공급율)",""))</f>
        <v/>
      </c>
      <c r="P663" s="0" t="str">
        <f aca="false">IF(A663="HK","100",IF(A663="CN","200",IF(A663="TW","300",IF(ISNUMBER(SEARCH("태국",C663)),"500",IF(ISNUMBER(SEARCH("말레이",C663)),"600",IF(ISNUMBER(SEARCH("필리핀",C663)),"700",IF(ISNUMBER(SEARCH("인도네시아",C663)),"800",IF(ISNUMBER(SEARCH("크루즈",C663)),"810",IF(ISNUMBER(SEARCH("동물원",C663)),"830","")))))))))</f>
        <v>200</v>
      </c>
    </row>
    <row r="664" customFormat="false" ht="15" hidden="false" customHeight="false" outlineLevel="0" collapsed="false">
      <c r="A664" s="32" t="str">
        <f aca="false">IF(OR(TRIM(C664)="",SUBSTITUTE(C664," ","")="소계"),"제외",IF(ISNUMBER(SEARCH("홍콩",C664)),"HK",IF(ISNUMBER(SEARCH("상해",C664)),"CN",IF(ISNUMBER(SEARCH("대만",C664)),"TW","홀세일"))))</f>
        <v>CN</v>
      </c>
      <c r="B664" s="36" t="s">
        <v>1019</v>
      </c>
      <c r="C664" s="37" t="s">
        <v>1020</v>
      </c>
      <c r="D664" s="37" t="s">
        <v>123</v>
      </c>
      <c r="E664" s="36" t="n">
        <v>2026</v>
      </c>
      <c r="F664" s="37" t="s">
        <v>219</v>
      </c>
      <c r="G664" s="37" t="s">
        <v>124</v>
      </c>
      <c r="H664" s="36" t="s">
        <v>131</v>
      </c>
      <c r="I664" s="36" t="s">
        <v>278</v>
      </c>
      <c r="J664" s="37" t="s">
        <v>279</v>
      </c>
      <c r="K664" s="38" t="n">
        <v>513</v>
      </c>
      <c r="L664" s="38" t="n">
        <v>50787000</v>
      </c>
      <c r="M664" s="38" t="n">
        <v>11996076</v>
      </c>
      <c r="N664" s="39" t="n">
        <f aca="false">IF(A664="제외",0,IF(OR(N(L664)&lt;=0,N(M664)&gt;N(L664)),N(M664)/요약!$D$27,N(L664)))</f>
        <v>50787000</v>
      </c>
      <c r="O664" s="32" t="str">
        <f aca="false">IF(A664="제외","",IF(OR(N(L664)&lt;=0,N(M664)&gt;N(L664)),"택가보정(판매금액÷공급율)",""))</f>
        <v/>
      </c>
      <c r="P664" s="0" t="str">
        <f aca="false">IF(A664="HK","100",IF(A664="CN","200",IF(A664="TW","300",IF(ISNUMBER(SEARCH("태국",C664)),"500",IF(ISNUMBER(SEARCH("말레이",C664)),"600",IF(ISNUMBER(SEARCH("필리핀",C664)),"700",IF(ISNUMBER(SEARCH("인도네시아",C664)),"800",IF(ISNUMBER(SEARCH("크루즈",C664)),"810",IF(ISNUMBER(SEARCH("동물원",C664)),"830","")))))))))</f>
        <v>200</v>
      </c>
    </row>
    <row r="665" customFormat="false" ht="15" hidden="false" customHeight="false" outlineLevel="0" collapsed="false">
      <c r="A665" s="32" t="str">
        <f aca="false">IF(OR(TRIM(C665)="",SUBSTITUTE(C665," ","")="소계"),"제외",IF(ISNUMBER(SEARCH("홍콩",C665)),"HK",IF(ISNUMBER(SEARCH("상해",C665)),"CN",IF(ISNUMBER(SEARCH("대만",C665)),"TW","홀세일"))))</f>
        <v>CN</v>
      </c>
      <c r="B665" s="36" t="s">
        <v>1019</v>
      </c>
      <c r="C665" s="37" t="s">
        <v>1020</v>
      </c>
      <c r="D665" s="37" t="s">
        <v>123</v>
      </c>
      <c r="E665" s="36" t="n">
        <v>2026</v>
      </c>
      <c r="F665" s="37" t="s">
        <v>219</v>
      </c>
      <c r="G665" s="37" t="s">
        <v>124</v>
      </c>
      <c r="H665" s="36" t="s">
        <v>125</v>
      </c>
      <c r="I665" s="36" t="s">
        <v>280</v>
      </c>
      <c r="J665" s="37" t="s">
        <v>281</v>
      </c>
      <c r="K665" s="38" t="n">
        <v>50</v>
      </c>
      <c r="L665" s="38" t="n">
        <v>4950000</v>
      </c>
      <c r="M665" s="38" t="n">
        <v>1214500</v>
      </c>
      <c r="N665" s="39" t="n">
        <f aca="false">IF(A665="제외",0,IF(OR(N(L665)&lt;=0,N(M665)&gt;N(L665)),N(M665)/요약!$D$27,N(L665)))</f>
        <v>4950000</v>
      </c>
      <c r="O665" s="32" t="str">
        <f aca="false">IF(A665="제외","",IF(OR(N(L665)&lt;=0,N(M665)&gt;N(L665)),"택가보정(판매금액÷공급율)",""))</f>
        <v/>
      </c>
      <c r="P665" s="0" t="str">
        <f aca="false">IF(A665="HK","100",IF(A665="CN","200",IF(A665="TW","300",IF(ISNUMBER(SEARCH("태국",C665)),"500",IF(ISNUMBER(SEARCH("말레이",C665)),"600",IF(ISNUMBER(SEARCH("필리핀",C665)),"700",IF(ISNUMBER(SEARCH("인도네시아",C665)),"800",IF(ISNUMBER(SEARCH("크루즈",C665)),"810",IF(ISNUMBER(SEARCH("동물원",C665)),"830","")))))))))</f>
        <v>200</v>
      </c>
    </row>
    <row r="666" customFormat="false" ht="15" hidden="false" customHeight="false" outlineLevel="0" collapsed="false">
      <c r="A666" s="32" t="str">
        <f aca="false">IF(OR(TRIM(C666)="",SUBSTITUTE(C666," ","")="소계"),"제외",IF(ISNUMBER(SEARCH("홍콩",C666)),"HK",IF(ISNUMBER(SEARCH("상해",C666)),"CN",IF(ISNUMBER(SEARCH("대만",C666)),"TW","홀세일"))))</f>
        <v>CN</v>
      </c>
      <c r="B666" s="36" t="s">
        <v>1019</v>
      </c>
      <c r="C666" s="37" t="s">
        <v>1020</v>
      </c>
      <c r="D666" s="37" t="s">
        <v>123</v>
      </c>
      <c r="E666" s="36" t="n">
        <v>2026</v>
      </c>
      <c r="F666" s="37" t="s">
        <v>219</v>
      </c>
      <c r="G666" s="37" t="s">
        <v>124</v>
      </c>
      <c r="H666" s="36" t="s">
        <v>131</v>
      </c>
      <c r="I666" s="36" t="s">
        <v>282</v>
      </c>
      <c r="J666" s="37" t="s">
        <v>283</v>
      </c>
      <c r="K666" s="38" t="n">
        <v>212</v>
      </c>
      <c r="L666" s="38" t="n">
        <v>27348000</v>
      </c>
      <c r="M666" s="38" t="n">
        <v>5569688</v>
      </c>
      <c r="N666" s="39" t="n">
        <f aca="false">IF(A666="제외",0,IF(OR(N(L666)&lt;=0,N(M666)&gt;N(L666)),N(M666)/요약!$D$27,N(L666)))</f>
        <v>27348000</v>
      </c>
      <c r="O666" s="32" t="str">
        <f aca="false">IF(A666="제외","",IF(OR(N(L666)&lt;=0,N(M666)&gt;N(L666)),"택가보정(판매금액÷공급율)",""))</f>
        <v/>
      </c>
      <c r="P666" s="0" t="str">
        <f aca="false">IF(A666="HK","100",IF(A666="CN","200",IF(A666="TW","300",IF(ISNUMBER(SEARCH("태국",C666)),"500",IF(ISNUMBER(SEARCH("말레이",C666)),"600",IF(ISNUMBER(SEARCH("필리핀",C666)),"700",IF(ISNUMBER(SEARCH("인도네시아",C666)),"800",IF(ISNUMBER(SEARCH("크루즈",C666)),"810",IF(ISNUMBER(SEARCH("동물원",C666)),"830","")))))))))</f>
        <v>200</v>
      </c>
    </row>
    <row r="667" customFormat="false" ht="15" hidden="false" customHeight="false" outlineLevel="0" collapsed="false">
      <c r="A667" s="32" t="str">
        <f aca="false">IF(OR(TRIM(C667)="",SUBSTITUTE(C667," ","")="소계"),"제외",IF(ISNUMBER(SEARCH("홍콩",C667)),"HK",IF(ISNUMBER(SEARCH("상해",C667)),"CN",IF(ISNUMBER(SEARCH("대만",C667)),"TW","홀세일"))))</f>
        <v>CN</v>
      </c>
      <c r="B667" s="36" t="s">
        <v>1019</v>
      </c>
      <c r="C667" s="37" t="s">
        <v>1020</v>
      </c>
      <c r="D667" s="37" t="s">
        <v>123</v>
      </c>
      <c r="E667" s="36" t="n">
        <v>2026</v>
      </c>
      <c r="F667" s="37" t="s">
        <v>219</v>
      </c>
      <c r="G667" s="37" t="s">
        <v>124</v>
      </c>
      <c r="H667" s="36" t="s">
        <v>131</v>
      </c>
      <c r="I667" s="36" t="s">
        <v>286</v>
      </c>
      <c r="J667" s="37" t="s">
        <v>287</v>
      </c>
      <c r="K667" s="38" t="n">
        <v>330</v>
      </c>
      <c r="L667" s="38" t="n">
        <v>19470000</v>
      </c>
      <c r="M667" s="38" t="n">
        <v>4341810</v>
      </c>
      <c r="N667" s="39" t="n">
        <f aca="false">IF(A667="제외",0,IF(OR(N(L667)&lt;=0,N(M667)&gt;N(L667)),N(M667)/요약!$D$27,N(L667)))</f>
        <v>19470000</v>
      </c>
      <c r="O667" s="32" t="str">
        <f aca="false">IF(A667="제외","",IF(OR(N(L667)&lt;=0,N(M667)&gt;N(L667)),"택가보정(판매금액÷공급율)",""))</f>
        <v/>
      </c>
      <c r="P667" s="0" t="str">
        <f aca="false">IF(A667="HK","100",IF(A667="CN","200",IF(A667="TW","300",IF(ISNUMBER(SEARCH("태국",C667)),"500",IF(ISNUMBER(SEARCH("말레이",C667)),"600",IF(ISNUMBER(SEARCH("필리핀",C667)),"700",IF(ISNUMBER(SEARCH("인도네시아",C667)),"800",IF(ISNUMBER(SEARCH("크루즈",C667)),"810",IF(ISNUMBER(SEARCH("동물원",C667)),"830","")))))))))</f>
        <v>200</v>
      </c>
    </row>
    <row r="668" customFormat="false" ht="15" hidden="false" customHeight="false" outlineLevel="0" collapsed="false">
      <c r="A668" s="32" t="str">
        <f aca="false">IF(OR(TRIM(C668)="",SUBSTITUTE(C668," ","")="소계"),"제외",IF(ISNUMBER(SEARCH("홍콩",C668)),"HK",IF(ISNUMBER(SEARCH("상해",C668)),"CN",IF(ISNUMBER(SEARCH("대만",C668)),"TW","홀세일"))))</f>
        <v>CN</v>
      </c>
      <c r="B668" s="36" t="s">
        <v>1019</v>
      </c>
      <c r="C668" s="37" t="s">
        <v>1020</v>
      </c>
      <c r="D668" s="37" t="s">
        <v>123</v>
      </c>
      <c r="E668" s="36" t="n">
        <v>2026</v>
      </c>
      <c r="F668" s="37" t="s">
        <v>219</v>
      </c>
      <c r="G668" s="37" t="s">
        <v>124</v>
      </c>
      <c r="H668" s="36" t="s">
        <v>131</v>
      </c>
      <c r="I668" s="36" t="s">
        <v>290</v>
      </c>
      <c r="J668" s="37" t="s">
        <v>291</v>
      </c>
      <c r="K668" s="38" t="n">
        <v>410</v>
      </c>
      <c r="L668" s="38" t="n">
        <v>28290000</v>
      </c>
      <c r="M668" s="38" t="n">
        <v>6757620</v>
      </c>
      <c r="N668" s="39" t="n">
        <f aca="false">IF(A668="제외",0,IF(OR(N(L668)&lt;=0,N(M668)&gt;N(L668)),N(M668)/요약!$D$27,N(L668)))</f>
        <v>28290000</v>
      </c>
      <c r="O668" s="32" t="str">
        <f aca="false">IF(A668="제외","",IF(OR(N(L668)&lt;=0,N(M668)&gt;N(L668)),"택가보정(판매금액÷공급율)",""))</f>
        <v/>
      </c>
      <c r="P668" s="0" t="str">
        <f aca="false">IF(A668="HK","100",IF(A668="CN","200",IF(A668="TW","300",IF(ISNUMBER(SEARCH("태국",C668)),"500",IF(ISNUMBER(SEARCH("말레이",C668)),"600",IF(ISNUMBER(SEARCH("필리핀",C668)),"700",IF(ISNUMBER(SEARCH("인도네시아",C668)),"800",IF(ISNUMBER(SEARCH("크루즈",C668)),"810",IF(ISNUMBER(SEARCH("동물원",C668)),"830","")))))))))</f>
        <v>200</v>
      </c>
    </row>
    <row r="669" customFormat="false" ht="15" hidden="false" customHeight="false" outlineLevel="0" collapsed="false">
      <c r="A669" s="32" t="str">
        <f aca="false">IF(OR(TRIM(C669)="",SUBSTITUTE(C669," ","")="소계"),"제외",IF(ISNUMBER(SEARCH("홍콩",C669)),"HK",IF(ISNUMBER(SEARCH("상해",C669)),"CN",IF(ISNUMBER(SEARCH("대만",C669)),"TW","홀세일"))))</f>
        <v>CN</v>
      </c>
      <c r="B669" s="36" t="s">
        <v>1019</v>
      </c>
      <c r="C669" s="37" t="s">
        <v>1020</v>
      </c>
      <c r="D669" s="37" t="s">
        <v>123</v>
      </c>
      <c r="E669" s="36" t="n">
        <v>2026</v>
      </c>
      <c r="F669" s="37" t="s">
        <v>219</v>
      </c>
      <c r="G669" s="37" t="s">
        <v>124</v>
      </c>
      <c r="H669" s="36" t="s">
        <v>131</v>
      </c>
      <c r="I669" s="36" t="s">
        <v>294</v>
      </c>
      <c r="J669" s="37" t="s">
        <v>295</v>
      </c>
      <c r="K669" s="38" t="n">
        <v>460</v>
      </c>
      <c r="L669" s="38" t="n">
        <v>27140000</v>
      </c>
      <c r="M669" s="38" t="n">
        <v>7515480</v>
      </c>
      <c r="N669" s="39" t="n">
        <f aca="false">IF(A669="제외",0,IF(OR(N(L669)&lt;=0,N(M669)&gt;N(L669)),N(M669)/요약!$D$27,N(L669)))</f>
        <v>27140000</v>
      </c>
      <c r="O669" s="32" t="str">
        <f aca="false">IF(A669="제외","",IF(OR(N(L669)&lt;=0,N(M669)&gt;N(L669)),"택가보정(판매금액÷공급율)",""))</f>
        <v/>
      </c>
      <c r="P669" s="0" t="str">
        <f aca="false">IF(A669="HK","100",IF(A669="CN","200",IF(A669="TW","300",IF(ISNUMBER(SEARCH("태국",C669)),"500",IF(ISNUMBER(SEARCH("말레이",C669)),"600",IF(ISNUMBER(SEARCH("필리핀",C669)),"700",IF(ISNUMBER(SEARCH("인도네시아",C669)),"800",IF(ISNUMBER(SEARCH("크루즈",C669)),"810",IF(ISNUMBER(SEARCH("동물원",C669)),"830","")))))))))</f>
        <v>200</v>
      </c>
    </row>
    <row r="670" customFormat="false" ht="15" hidden="false" customHeight="false" outlineLevel="0" collapsed="false">
      <c r="A670" s="32" t="str">
        <f aca="false">IF(OR(TRIM(C670)="",SUBSTITUTE(C670," ","")="소계"),"제외",IF(ISNUMBER(SEARCH("홍콩",C670)),"HK",IF(ISNUMBER(SEARCH("상해",C670)),"CN",IF(ISNUMBER(SEARCH("대만",C670)),"TW","홀세일"))))</f>
        <v>CN</v>
      </c>
      <c r="B670" s="36" t="s">
        <v>1019</v>
      </c>
      <c r="C670" s="37" t="s">
        <v>1020</v>
      </c>
      <c r="D670" s="37" t="s">
        <v>123</v>
      </c>
      <c r="E670" s="36" t="n">
        <v>2026</v>
      </c>
      <c r="F670" s="37" t="s">
        <v>219</v>
      </c>
      <c r="G670" s="37" t="s">
        <v>124</v>
      </c>
      <c r="H670" s="36" t="s">
        <v>131</v>
      </c>
      <c r="I670" s="36" t="s">
        <v>302</v>
      </c>
      <c r="J670" s="37" t="s">
        <v>303</v>
      </c>
      <c r="K670" s="38" t="n">
        <v>242</v>
      </c>
      <c r="L670" s="38" t="n">
        <v>16698000</v>
      </c>
      <c r="M670" s="38" t="n">
        <v>4081516</v>
      </c>
      <c r="N670" s="39" t="n">
        <f aca="false">IF(A670="제외",0,IF(OR(N(L670)&lt;=0,N(M670)&gt;N(L670)),N(M670)/요약!$D$27,N(L670)))</f>
        <v>16698000</v>
      </c>
      <c r="O670" s="32" t="str">
        <f aca="false">IF(A670="제외","",IF(OR(N(L670)&lt;=0,N(M670)&gt;N(L670)),"택가보정(판매금액÷공급율)",""))</f>
        <v/>
      </c>
      <c r="P670" s="0" t="str">
        <f aca="false">IF(A670="HK","100",IF(A670="CN","200",IF(A670="TW","300",IF(ISNUMBER(SEARCH("태국",C670)),"500",IF(ISNUMBER(SEARCH("말레이",C670)),"600",IF(ISNUMBER(SEARCH("필리핀",C670)),"700",IF(ISNUMBER(SEARCH("인도네시아",C670)),"800",IF(ISNUMBER(SEARCH("크루즈",C670)),"810",IF(ISNUMBER(SEARCH("동물원",C670)),"830","")))))))))</f>
        <v>200</v>
      </c>
    </row>
    <row r="671" customFormat="false" ht="15" hidden="false" customHeight="false" outlineLevel="0" collapsed="false">
      <c r="A671" s="32" t="str">
        <f aca="false">IF(OR(TRIM(C671)="",SUBSTITUTE(C671," ","")="소계"),"제외",IF(ISNUMBER(SEARCH("홍콩",C671)),"HK",IF(ISNUMBER(SEARCH("상해",C671)),"CN",IF(ISNUMBER(SEARCH("대만",C671)),"TW","홀세일"))))</f>
        <v>CN</v>
      </c>
      <c r="B671" s="36" t="s">
        <v>1019</v>
      </c>
      <c r="C671" s="37" t="s">
        <v>1020</v>
      </c>
      <c r="D671" s="37" t="s">
        <v>123</v>
      </c>
      <c r="E671" s="36" t="n">
        <v>2026</v>
      </c>
      <c r="F671" s="37" t="s">
        <v>219</v>
      </c>
      <c r="G671" s="37" t="s">
        <v>124</v>
      </c>
      <c r="H671" s="36" t="s">
        <v>131</v>
      </c>
      <c r="I671" s="36" t="s">
        <v>312</v>
      </c>
      <c r="J671" s="37" t="s">
        <v>313</v>
      </c>
      <c r="K671" s="38" t="n">
        <v>520</v>
      </c>
      <c r="L671" s="38" t="n">
        <v>46280000</v>
      </c>
      <c r="M671" s="38" t="n">
        <v>9849840</v>
      </c>
      <c r="N671" s="39" t="n">
        <f aca="false">IF(A671="제외",0,IF(OR(N(L671)&lt;=0,N(M671)&gt;N(L671)),N(M671)/요약!$D$27,N(L671)))</f>
        <v>46280000</v>
      </c>
      <c r="O671" s="32" t="str">
        <f aca="false">IF(A671="제외","",IF(OR(N(L671)&lt;=0,N(M671)&gt;N(L671)),"택가보정(판매금액÷공급율)",""))</f>
        <v/>
      </c>
      <c r="P671" s="0" t="str">
        <f aca="false">IF(A671="HK","100",IF(A671="CN","200",IF(A671="TW","300",IF(ISNUMBER(SEARCH("태국",C671)),"500",IF(ISNUMBER(SEARCH("말레이",C671)),"600",IF(ISNUMBER(SEARCH("필리핀",C671)),"700",IF(ISNUMBER(SEARCH("인도네시아",C671)),"800",IF(ISNUMBER(SEARCH("크루즈",C671)),"810",IF(ISNUMBER(SEARCH("동물원",C671)),"830","")))))))))</f>
        <v>200</v>
      </c>
    </row>
    <row r="672" customFormat="false" ht="15" hidden="false" customHeight="false" outlineLevel="0" collapsed="false">
      <c r="A672" s="32" t="str">
        <f aca="false">IF(OR(TRIM(C672)="",SUBSTITUTE(C672," ","")="소계"),"제외",IF(ISNUMBER(SEARCH("홍콩",C672)),"HK",IF(ISNUMBER(SEARCH("상해",C672)),"CN",IF(ISNUMBER(SEARCH("대만",C672)),"TW","홀세일"))))</f>
        <v>CN</v>
      </c>
      <c r="B672" s="36" t="s">
        <v>1019</v>
      </c>
      <c r="C672" s="37" t="s">
        <v>1020</v>
      </c>
      <c r="D672" s="37" t="s">
        <v>123</v>
      </c>
      <c r="E672" s="36" t="n">
        <v>2026</v>
      </c>
      <c r="F672" s="37" t="s">
        <v>219</v>
      </c>
      <c r="G672" s="37" t="s">
        <v>124</v>
      </c>
      <c r="H672" s="36" t="s">
        <v>131</v>
      </c>
      <c r="I672" s="36" t="s">
        <v>1045</v>
      </c>
      <c r="J672" s="36" t="s">
        <v>1046</v>
      </c>
      <c r="K672" s="38" t="n">
        <v>392</v>
      </c>
      <c r="L672" s="38" t="n">
        <v>23128000</v>
      </c>
      <c r="M672" s="38" t="n">
        <v>6438248</v>
      </c>
      <c r="N672" s="39" t="n">
        <f aca="false">IF(A672="제외",0,IF(OR(N(L672)&lt;=0,N(M672)&gt;N(L672)),N(M672)/요약!$D$27,N(L672)))</f>
        <v>23128000</v>
      </c>
      <c r="O672" s="32" t="str">
        <f aca="false">IF(A672="제외","",IF(OR(N(L672)&lt;=0,N(M672)&gt;N(L672)),"택가보정(판매금액÷공급율)",""))</f>
        <v/>
      </c>
      <c r="P672" s="0" t="str">
        <f aca="false">IF(A672="HK","100",IF(A672="CN","200",IF(A672="TW","300",IF(ISNUMBER(SEARCH("태국",C672)),"500",IF(ISNUMBER(SEARCH("말레이",C672)),"600",IF(ISNUMBER(SEARCH("필리핀",C672)),"700",IF(ISNUMBER(SEARCH("인도네시아",C672)),"800",IF(ISNUMBER(SEARCH("크루즈",C672)),"810",IF(ISNUMBER(SEARCH("동물원",C672)),"830","")))))))))</f>
        <v>200</v>
      </c>
    </row>
    <row r="673" customFormat="false" ht="15" hidden="false" customHeight="false" outlineLevel="0" collapsed="false">
      <c r="A673" s="32" t="str">
        <f aca="false">IF(OR(TRIM(C673)="",SUBSTITUTE(C673," ","")="소계"),"제외",IF(ISNUMBER(SEARCH("홍콩",C673)),"HK",IF(ISNUMBER(SEARCH("상해",C673)),"CN",IF(ISNUMBER(SEARCH("대만",C673)),"TW","홀세일"))))</f>
        <v>CN</v>
      </c>
      <c r="B673" s="36" t="s">
        <v>1019</v>
      </c>
      <c r="C673" s="37" t="s">
        <v>1020</v>
      </c>
      <c r="D673" s="37" t="s">
        <v>123</v>
      </c>
      <c r="E673" s="36" t="n">
        <v>2026</v>
      </c>
      <c r="F673" s="37" t="s">
        <v>219</v>
      </c>
      <c r="G673" s="37" t="s">
        <v>124</v>
      </c>
      <c r="H673" s="36" t="s">
        <v>125</v>
      </c>
      <c r="I673" s="36" t="s">
        <v>314</v>
      </c>
      <c r="J673" s="37" t="s">
        <v>315</v>
      </c>
      <c r="K673" s="38" t="n">
        <v>954</v>
      </c>
      <c r="L673" s="38" t="n">
        <v>56286000</v>
      </c>
      <c r="M673" s="38" t="n">
        <v>15861738</v>
      </c>
      <c r="N673" s="39" t="n">
        <f aca="false">IF(A673="제외",0,IF(OR(N(L673)&lt;=0,N(M673)&gt;N(L673)),N(M673)/요약!$D$27,N(L673)))</f>
        <v>56286000</v>
      </c>
      <c r="O673" s="32" t="str">
        <f aca="false">IF(A673="제외","",IF(OR(N(L673)&lt;=0,N(M673)&gt;N(L673)),"택가보정(판매금액÷공급율)",""))</f>
        <v/>
      </c>
      <c r="P673" s="0" t="str">
        <f aca="false">IF(A673="HK","100",IF(A673="CN","200",IF(A673="TW","300",IF(ISNUMBER(SEARCH("태국",C673)),"500",IF(ISNUMBER(SEARCH("말레이",C673)),"600",IF(ISNUMBER(SEARCH("필리핀",C673)),"700",IF(ISNUMBER(SEARCH("인도네시아",C673)),"800",IF(ISNUMBER(SEARCH("크루즈",C673)),"810",IF(ISNUMBER(SEARCH("동물원",C673)),"830","")))))))))</f>
        <v>200</v>
      </c>
    </row>
    <row r="674" customFormat="false" ht="15" hidden="false" customHeight="false" outlineLevel="0" collapsed="false">
      <c r="A674" s="32" t="str">
        <f aca="false">IF(OR(TRIM(C674)="",SUBSTITUTE(C674," ","")="소계"),"제외",IF(ISNUMBER(SEARCH("홍콩",C674)),"HK",IF(ISNUMBER(SEARCH("상해",C674)),"CN",IF(ISNUMBER(SEARCH("대만",C674)),"TW","홀세일"))))</f>
        <v>CN</v>
      </c>
      <c r="B674" s="36" t="s">
        <v>1019</v>
      </c>
      <c r="C674" s="37" t="s">
        <v>1020</v>
      </c>
      <c r="D674" s="37" t="s">
        <v>123</v>
      </c>
      <c r="E674" s="36" t="n">
        <v>2026</v>
      </c>
      <c r="F674" s="37" t="s">
        <v>219</v>
      </c>
      <c r="G674" s="37" t="s">
        <v>124</v>
      </c>
      <c r="H674" s="36" t="s">
        <v>125</v>
      </c>
      <c r="I674" s="36" t="s">
        <v>318</v>
      </c>
      <c r="J674" s="37" t="s">
        <v>319</v>
      </c>
      <c r="K674" s="38" t="n">
        <v>80</v>
      </c>
      <c r="L674" s="38" t="n">
        <v>4720000</v>
      </c>
      <c r="M674" s="38" t="n">
        <v>1520000</v>
      </c>
      <c r="N674" s="39" t="n">
        <f aca="false">IF(A674="제외",0,IF(OR(N(L674)&lt;=0,N(M674)&gt;N(L674)),N(M674)/요약!$D$27,N(L674)))</f>
        <v>4720000</v>
      </c>
      <c r="O674" s="32" t="str">
        <f aca="false">IF(A674="제외","",IF(OR(N(L674)&lt;=0,N(M674)&gt;N(L674)),"택가보정(판매금액÷공급율)",""))</f>
        <v/>
      </c>
      <c r="P674" s="0" t="str">
        <f aca="false">IF(A674="HK","100",IF(A674="CN","200",IF(A674="TW","300",IF(ISNUMBER(SEARCH("태국",C674)),"500",IF(ISNUMBER(SEARCH("말레이",C674)),"600",IF(ISNUMBER(SEARCH("필리핀",C674)),"700",IF(ISNUMBER(SEARCH("인도네시아",C674)),"800",IF(ISNUMBER(SEARCH("크루즈",C674)),"810",IF(ISNUMBER(SEARCH("동물원",C674)),"830","")))))))))</f>
        <v>200</v>
      </c>
    </row>
    <row r="675" customFormat="false" ht="15" hidden="false" customHeight="false" outlineLevel="0" collapsed="false">
      <c r="A675" s="32" t="str">
        <f aca="false">IF(OR(TRIM(C675)="",SUBSTITUTE(C675," ","")="소계"),"제외",IF(ISNUMBER(SEARCH("홍콩",C675)),"HK",IF(ISNUMBER(SEARCH("상해",C675)),"CN",IF(ISNUMBER(SEARCH("대만",C675)),"TW","홀세일"))))</f>
        <v>CN</v>
      </c>
      <c r="B675" s="36" t="s">
        <v>1019</v>
      </c>
      <c r="C675" s="37" t="s">
        <v>1020</v>
      </c>
      <c r="D675" s="37" t="s">
        <v>123</v>
      </c>
      <c r="E675" s="36" t="n">
        <v>2026</v>
      </c>
      <c r="F675" s="37" t="s">
        <v>219</v>
      </c>
      <c r="G675" s="37" t="s">
        <v>360</v>
      </c>
      <c r="H675" s="36" t="s">
        <v>131</v>
      </c>
      <c r="I675" s="36" t="s">
        <v>1047</v>
      </c>
      <c r="J675" s="37" t="s">
        <v>1048</v>
      </c>
      <c r="K675" s="38" t="n">
        <v>530</v>
      </c>
      <c r="L675" s="38" t="n">
        <v>31270000</v>
      </c>
      <c r="M675" s="38" t="n">
        <v>9806060</v>
      </c>
      <c r="N675" s="39" t="n">
        <f aca="false">IF(A675="제외",0,IF(OR(N(L675)&lt;=0,N(M675)&gt;N(L675)),N(M675)/요약!$D$27,N(L675)))</f>
        <v>31270000</v>
      </c>
      <c r="O675" s="32" t="str">
        <f aca="false">IF(A675="제외","",IF(OR(N(L675)&lt;=0,N(M675)&gt;N(L675)),"택가보정(판매금액÷공급율)",""))</f>
        <v/>
      </c>
      <c r="P675" s="0" t="str">
        <f aca="false">IF(A675="HK","100",IF(A675="CN","200",IF(A675="TW","300",IF(ISNUMBER(SEARCH("태국",C675)),"500",IF(ISNUMBER(SEARCH("말레이",C675)),"600",IF(ISNUMBER(SEARCH("필리핀",C675)),"700",IF(ISNUMBER(SEARCH("인도네시아",C675)),"800",IF(ISNUMBER(SEARCH("크루즈",C675)),"810",IF(ISNUMBER(SEARCH("동물원",C675)),"830","")))))))))</f>
        <v>200</v>
      </c>
    </row>
    <row r="676" customFormat="false" ht="15" hidden="false" customHeight="false" outlineLevel="0" collapsed="false">
      <c r="A676" s="32" t="str">
        <f aca="false">IF(OR(TRIM(C676)="",SUBSTITUTE(C676," ","")="소계"),"제외",IF(ISNUMBER(SEARCH("홍콩",C676)),"HK",IF(ISNUMBER(SEARCH("상해",C676)),"CN",IF(ISNUMBER(SEARCH("대만",C676)),"TW","홀세일"))))</f>
        <v>CN</v>
      </c>
      <c r="B676" s="36" t="s">
        <v>1019</v>
      </c>
      <c r="C676" s="37" t="s">
        <v>1020</v>
      </c>
      <c r="D676" s="37" t="s">
        <v>123</v>
      </c>
      <c r="E676" s="36" t="n">
        <v>2026</v>
      </c>
      <c r="F676" s="37" t="s">
        <v>219</v>
      </c>
      <c r="G676" s="37" t="s">
        <v>124</v>
      </c>
      <c r="H676" s="36" t="s">
        <v>188</v>
      </c>
      <c r="I676" s="36" t="s">
        <v>326</v>
      </c>
      <c r="J676" s="36" t="s">
        <v>327</v>
      </c>
      <c r="K676" s="38" t="n">
        <v>453</v>
      </c>
      <c r="L676" s="38" t="n">
        <v>35787000</v>
      </c>
      <c r="M676" s="38" t="n">
        <v>9480468</v>
      </c>
      <c r="N676" s="39" t="n">
        <f aca="false">IF(A676="제외",0,IF(OR(N(L676)&lt;=0,N(M676)&gt;N(L676)),N(M676)/요약!$D$27,N(L676)))</f>
        <v>35787000</v>
      </c>
      <c r="O676" s="32" t="str">
        <f aca="false">IF(A676="제외","",IF(OR(N(L676)&lt;=0,N(M676)&gt;N(L676)),"택가보정(판매금액÷공급율)",""))</f>
        <v/>
      </c>
      <c r="P676" s="0" t="str">
        <f aca="false">IF(A676="HK","100",IF(A676="CN","200",IF(A676="TW","300",IF(ISNUMBER(SEARCH("태국",C676)),"500",IF(ISNUMBER(SEARCH("말레이",C676)),"600",IF(ISNUMBER(SEARCH("필리핀",C676)),"700",IF(ISNUMBER(SEARCH("인도네시아",C676)),"800",IF(ISNUMBER(SEARCH("크루즈",C676)),"810",IF(ISNUMBER(SEARCH("동물원",C676)),"830","")))))))))</f>
        <v>200</v>
      </c>
    </row>
    <row r="677" customFormat="false" ht="15" hidden="false" customHeight="false" outlineLevel="0" collapsed="false">
      <c r="A677" s="32" t="str">
        <f aca="false">IF(OR(TRIM(C677)="",SUBSTITUTE(C677," ","")="소계"),"제외",IF(ISNUMBER(SEARCH("홍콩",C677)),"HK",IF(ISNUMBER(SEARCH("상해",C677)),"CN",IF(ISNUMBER(SEARCH("대만",C677)),"TW","홀세일"))))</f>
        <v>CN</v>
      </c>
      <c r="B677" s="36" t="s">
        <v>1019</v>
      </c>
      <c r="C677" s="37" t="s">
        <v>1020</v>
      </c>
      <c r="D677" s="37" t="s">
        <v>123</v>
      </c>
      <c r="E677" s="36" t="n">
        <v>2026</v>
      </c>
      <c r="F677" s="37" t="s">
        <v>219</v>
      </c>
      <c r="G677" s="37" t="s">
        <v>124</v>
      </c>
      <c r="H677" s="36" t="s">
        <v>188</v>
      </c>
      <c r="I677" s="36" t="s">
        <v>332</v>
      </c>
      <c r="J677" s="36" t="s">
        <v>333</v>
      </c>
      <c r="K677" s="38" t="n">
        <v>362</v>
      </c>
      <c r="L677" s="38" t="n">
        <v>46698000</v>
      </c>
      <c r="M677" s="38" t="n">
        <v>11286068</v>
      </c>
      <c r="N677" s="39" t="n">
        <f aca="false">IF(A677="제외",0,IF(OR(N(L677)&lt;=0,N(M677)&gt;N(L677)),N(M677)/요약!$D$27,N(L677)))</f>
        <v>46698000</v>
      </c>
      <c r="O677" s="32" t="str">
        <f aca="false">IF(A677="제외","",IF(OR(N(L677)&lt;=0,N(M677)&gt;N(L677)),"택가보정(판매금액÷공급율)",""))</f>
        <v/>
      </c>
      <c r="P677" s="0" t="str">
        <f aca="false">IF(A677="HK","100",IF(A677="CN","200",IF(A677="TW","300",IF(ISNUMBER(SEARCH("태국",C677)),"500",IF(ISNUMBER(SEARCH("말레이",C677)),"600",IF(ISNUMBER(SEARCH("필리핀",C677)),"700",IF(ISNUMBER(SEARCH("인도네시아",C677)),"800",IF(ISNUMBER(SEARCH("크루즈",C677)),"810",IF(ISNUMBER(SEARCH("동물원",C677)),"830","")))))))))</f>
        <v>200</v>
      </c>
    </row>
    <row r="678" customFormat="false" ht="15" hidden="false" customHeight="false" outlineLevel="0" collapsed="false">
      <c r="A678" s="32" t="str">
        <f aca="false">IF(OR(TRIM(C678)="",SUBSTITUTE(C678," ","")="소계"),"제외",IF(ISNUMBER(SEARCH("홍콩",C678)),"HK",IF(ISNUMBER(SEARCH("상해",C678)),"CN",IF(ISNUMBER(SEARCH("대만",C678)),"TW","홀세일"))))</f>
        <v>CN</v>
      </c>
      <c r="B678" s="36" t="s">
        <v>1019</v>
      </c>
      <c r="C678" s="37" t="s">
        <v>1020</v>
      </c>
      <c r="D678" s="37" t="s">
        <v>123</v>
      </c>
      <c r="E678" s="36" t="n">
        <v>2026</v>
      </c>
      <c r="F678" s="37" t="s">
        <v>219</v>
      </c>
      <c r="G678" s="37" t="s">
        <v>124</v>
      </c>
      <c r="H678" s="36" t="s">
        <v>188</v>
      </c>
      <c r="I678" s="36" t="s">
        <v>334</v>
      </c>
      <c r="J678" s="36" t="s">
        <v>335</v>
      </c>
      <c r="K678" s="38" t="n">
        <v>76</v>
      </c>
      <c r="L678" s="38" t="n">
        <v>11324000</v>
      </c>
      <c r="M678" s="38" t="n">
        <v>2797115</v>
      </c>
      <c r="N678" s="39" t="n">
        <f aca="false">IF(A678="제외",0,IF(OR(N(L678)&lt;=0,N(M678)&gt;N(L678)),N(M678)/요약!$D$27,N(L678)))</f>
        <v>11324000</v>
      </c>
      <c r="O678" s="32" t="str">
        <f aca="false">IF(A678="제외","",IF(OR(N(L678)&lt;=0,N(M678)&gt;N(L678)),"택가보정(판매금액÷공급율)",""))</f>
        <v/>
      </c>
      <c r="P678" s="0" t="str">
        <f aca="false">IF(A678="HK","100",IF(A678="CN","200",IF(A678="TW","300",IF(ISNUMBER(SEARCH("태국",C678)),"500",IF(ISNUMBER(SEARCH("말레이",C678)),"600",IF(ISNUMBER(SEARCH("필리핀",C678)),"700",IF(ISNUMBER(SEARCH("인도네시아",C678)),"800",IF(ISNUMBER(SEARCH("크루즈",C678)),"810",IF(ISNUMBER(SEARCH("동물원",C678)),"830","")))))))))</f>
        <v>200</v>
      </c>
    </row>
    <row r="679" customFormat="false" ht="15" hidden="false" customHeight="false" outlineLevel="0" collapsed="false">
      <c r="A679" s="32" t="str">
        <f aca="false">IF(OR(TRIM(C679)="",SUBSTITUTE(C679," ","")="소계"),"제외",IF(ISNUMBER(SEARCH("홍콩",C679)),"HK",IF(ISNUMBER(SEARCH("상해",C679)),"CN",IF(ISNUMBER(SEARCH("대만",C679)),"TW","홀세일"))))</f>
        <v>CN</v>
      </c>
      <c r="B679" s="36" t="s">
        <v>1019</v>
      </c>
      <c r="C679" s="37" t="s">
        <v>1020</v>
      </c>
      <c r="D679" s="37" t="s">
        <v>123</v>
      </c>
      <c r="E679" s="36" t="n">
        <v>2026</v>
      </c>
      <c r="F679" s="37" t="s">
        <v>219</v>
      </c>
      <c r="G679" s="37" t="s">
        <v>124</v>
      </c>
      <c r="H679" s="36" t="s">
        <v>188</v>
      </c>
      <c r="I679" s="36" t="s">
        <v>340</v>
      </c>
      <c r="J679" s="36" t="s">
        <v>341</v>
      </c>
      <c r="K679" s="38" t="n">
        <v>127</v>
      </c>
      <c r="L679" s="38" t="n">
        <v>15113000</v>
      </c>
      <c r="M679" s="38" t="n">
        <v>4026154</v>
      </c>
      <c r="N679" s="39" t="n">
        <f aca="false">IF(A679="제외",0,IF(OR(N(L679)&lt;=0,N(M679)&gt;N(L679)),N(M679)/요약!$D$27,N(L679)))</f>
        <v>15113000</v>
      </c>
      <c r="O679" s="32" t="str">
        <f aca="false">IF(A679="제외","",IF(OR(N(L679)&lt;=0,N(M679)&gt;N(L679)),"택가보정(판매금액÷공급율)",""))</f>
        <v/>
      </c>
      <c r="P679" s="0" t="str">
        <f aca="false">IF(A679="HK","100",IF(A679="CN","200",IF(A679="TW","300",IF(ISNUMBER(SEARCH("태국",C679)),"500",IF(ISNUMBER(SEARCH("말레이",C679)),"600",IF(ISNUMBER(SEARCH("필리핀",C679)),"700",IF(ISNUMBER(SEARCH("인도네시아",C679)),"800",IF(ISNUMBER(SEARCH("크루즈",C679)),"810",IF(ISNUMBER(SEARCH("동물원",C679)),"830","")))))))))</f>
        <v>200</v>
      </c>
    </row>
    <row r="680" customFormat="false" ht="15" hidden="false" customHeight="false" outlineLevel="0" collapsed="false">
      <c r="A680" s="32" t="str">
        <f aca="false">IF(OR(TRIM(C680)="",SUBSTITUTE(C680," ","")="소계"),"제외",IF(ISNUMBER(SEARCH("홍콩",C680)),"HK",IF(ISNUMBER(SEARCH("상해",C680)),"CN",IF(ISNUMBER(SEARCH("대만",C680)),"TW","홀세일"))))</f>
        <v>CN</v>
      </c>
      <c r="B680" s="36" t="s">
        <v>1019</v>
      </c>
      <c r="C680" s="37" t="s">
        <v>1020</v>
      </c>
      <c r="D680" s="37" t="s">
        <v>123</v>
      </c>
      <c r="E680" s="36" t="n">
        <v>2026</v>
      </c>
      <c r="F680" s="37" t="s">
        <v>219</v>
      </c>
      <c r="G680" s="37" t="s">
        <v>124</v>
      </c>
      <c r="H680" s="36" t="s">
        <v>188</v>
      </c>
      <c r="I680" s="36" t="s">
        <v>1049</v>
      </c>
      <c r="J680" s="36" t="s">
        <v>1050</v>
      </c>
      <c r="K680" s="38" t="n">
        <v>255</v>
      </c>
      <c r="L680" s="38" t="n">
        <v>27795000</v>
      </c>
      <c r="M680" s="38" t="n">
        <v>7256790</v>
      </c>
      <c r="N680" s="39" t="n">
        <f aca="false">IF(A680="제외",0,IF(OR(N(L680)&lt;=0,N(M680)&gt;N(L680)),N(M680)/요약!$D$27,N(L680)))</f>
        <v>27795000</v>
      </c>
      <c r="O680" s="32" t="str">
        <f aca="false">IF(A680="제외","",IF(OR(N(L680)&lt;=0,N(M680)&gt;N(L680)),"택가보정(판매금액÷공급율)",""))</f>
        <v/>
      </c>
      <c r="P680" s="0" t="str">
        <f aca="false">IF(A680="HK","100",IF(A680="CN","200",IF(A680="TW","300",IF(ISNUMBER(SEARCH("태국",C680)),"500",IF(ISNUMBER(SEARCH("말레이",C680)),"600",IF(ISNUMBER(SEARCH("필리핀",C680)),"700",IF(ISNUMBER(SEARCH("인도네시아",C680)),"800",IF(ISNUMBER(SEARCH("크루즈",C680)),"810",IF(ISNUMBER(SEARCH("동물원",C680)),"830","")))))))))</f>
        <v>200</v>
      </c>
    </row>
    <row r="681" customFormat="false" ht="15" hidden="false" customHeight="false" outlineLevel="0" collapsed="false">
      <c r="A681" s="32" t="str">
        <f aca="false">IF(OR(TRIM(C681)="",SUBSTITUTE(C681," ","")="소계"),"제외",IF(ISNUMBER(SEARCH("홍콩",C681)),"HK",IF(ISNUMBER(SEARCH("상해",C681)),"CN",IF(ISNUMBER(SEARCH("대만",C681)),"TW","홀세일"))))</f>
        <v>CN</v>
      </c>
      <c r="B681" s="36" t="s">
        <v>1019</v>
      </c>
      <c r="C681" s="37" t="s">
        <v>1020</v>
      </c>
      <c r="D681" s="37" t="s">
        <v>123</v>
      </c>
      <c r="E681" s="36" t="n">
        <v>2026</v>
      </c>
      <c r="F681" s="37" t="s">
        <v>219</v>
      </c>
      <c r="G681" s="37" t="s">
        <v>124</v>
      </c>
      <c r="H681" s="36" t="s">
        <v>188</v>
      </c>
      <c r="I681" s="36" t="s">
        <v>348</v>
      </c>
      <c r="J681" s="36" t="s">
        <v>349</v>
      </c>
      <c r="K681" s="38" t="n">
        <v>170</v>
      </c>
      <c r="L681" s="38" t="n">
        <v>25330000</v>
      </c>
      <c r="M681" s="38" t="n">
        <v>8219330</v>
      </c>
      <c r="N681" s="39" t="n">
        <f aca="false">IF(A681="제외",0,IF(OR(N(L681)&lt;=0,N(M681)&gt;N(L681)),N(M681)/요약!$D$27,N(L681)))</f>
        <v>25330000</v>
      </c>
      <c r="O681" s="32" t="str">
        <f aca="false">IF(A681="제외","",IF(OR(N(L681)&lt;=0,N(M681)&gt;N(L681)),"택가보정(판매금액÷공급율)",""))</f>
        <v/>
      </c>
      <c r="P681" s="0" t="str">
        <f aca="false">IF(A681="HK","100",IF(A681="CN","200",IF(A681="TW","300",IF(ISNUMBER(SEARCH("태국",C681)),"500",IF(ISNUMBER(SEARCH("말레이",C681)),"600",IF(ISNUMBER(SEARCH("필리핀",C681)),"700",IF(ISNUMBER(SEARCH("인도네시아",C681)),"800",IF(ISNUMBER(SEARCH("크루즈",C681)),"810",IF(ISNUMBER(SEARCH("동물원",C681)),"830","")))))))))</f>
        <v>200</v>
      </c>
    </row>
    <row r="682" customFormat="false" ht="15" hidden="false" customHeight="false" outlineLevel="0" collapsed="false">
      <c r="A682" s="32" t="str">
        <f aca="false">IF(OR(TRIM(C682)="",SUBSTITUTE(C682," ","")="소계"),"제외",IF(ISNUMBER(SEARCH("홍콩",C682)),"HK",IF(ISNUMBER(SEARCH("상해",C682)),"CN",IF(ISNUMBER(SEARCH("대만",C682)),"TW","홀세일"))))</f>
        <v>CN</v>
      </c>
      <c r="B682" s="36" t="s">
        <v>1019</v>
      </c>
      <c r="C682" s="37" t="s">
        <v>1020</v>
      </c>
      <c r="D682" s="37" t="s">
        <v>123</v>
      </c>
      <c r="E682" s="36" t="n">
        <v>2026</v>
      </c>
      <c r="F682" s="37" t="s">
        <v>219</v>
      </c>
      <c r="G682" s="37" t="s">
        <v>124</v>
      </c>
      <c r="H682" s="36" t="s">
        <v>188</v>
      </c>
      <c r="I682" s="36" t="s">
        <v>846</v>
      </c>
      <c r="J682" s="36" t="s">
        <v>847</v>
      </c>
      <c r="K682" s="38" t="n">
        <v>452</v>
      </c>
      <c r="L682" s="38" t="n">
        <v>80908000</v>
      </c>
      <c r="M682" s="38" t="n">
        <v>20680902</v>
      </c>
      <c r="N682" s="39" t="n">
        <f aca="false">IF(A682="제외",0,IF(OR(N(L682)&lt;=0,N(M682)&gt;N(L682)),N(M682)/요약!$D$27,N(L682)))</f>
        <v>80908000</v>
      </c>
      <c r="O682" s="32" t="str">
        <f aca="false">IF(A682="제외","",IF(OR(N(L682)&lt;=0,N(M682)&gt;N(L682)),"택가보정(판매금액÷공급율)",""))</f>
        <v/>
      </c>
      <c r="P682" s="0" t="str">
        <f aca="false">IF(A682="HK","100",IF(A682="CN","200",IF(A682="TW","300",IF(ISNUMBER(SEARCH("태국",C682)),"500",IF(ISNUMBER(SEARCH("말레이",C682)),"600",IF(ISNUMBER(SEARCH("필리핀",C682)),"700",IF(ISNUMBER(SEARCH("인도네시아",C682)),"800",IF(ISNUMBER(SEARCH("크루즈",C682)),"810",IF(ISNUMBER(SEARCH("동물원",C682)),"830","")))))))))</f>
        <v>200</v>
      </c>
    </row>
    <row r="683" customFormat="false" ht="15" hidden="false" customHeight="false" outlineLevel="0" collapsed="false">
      <c r="A683" s="32" t="str">
        <f aca="false">IF(OR(TRIM(C683)="",SUBSTITUTE(C683," ","")="소계"),"제외",IF(ISNUMBER(SEARCH("홍콩",C683)),"HK",IF(ISNUMBER(SEARCH("상해",C683)),"CN",IF(ISNUMBER(SEARCH("대만",C683)),"TW","홀세일"))))</f>
        <v>CN</v>
      </c>
      <c r="B683" s="36" t="s">
        <v>1019</v>
      </c>
      <c r="C683" s="37" t="s">
        <v>1020</v>
      </c>
      <c r="D683" s="37" t="s">
        <v>123</v>
      </c>
      <c r="E683" s="36" t="n">
        <v>2026</v>
      </c>
      <c r="F683" s="37" t="s">
        <v>219</v>
      </c>
      <c r="G683" s="37" t="s">
        <v>124</v>
      </c>
      <c r="H683" s="36" t="s">
        <v>188</v>
      </c>
      <c r="I683" s="36" t="s">
        <v>350</v>
      </c>
      <c r="J683" s="36" t="s">
        <v>351</v>
      </c>
      <c r="K683" s="38" t="n">
        <v>110</v>
      </c>
      <c r="L683" s="38" t="n">
        <v>17490000</v>
      </c>
      <c r="M683" s="38" t="n">
        <v>4638810</v>
      </c>
      <c r="N683" s="39" t="n">
        <f aca="false">IF(A683="제외",0,IF(OR(N(L683)&lt;=0,N(M683)&gt;N(L683)),N(M683)/요약!$D$27,N(L683)))</f>
        <v>17490000</v>
      </c>
      <c r="O683" s="32" t="str">
        <f aca="false">IF(A683="제외","",IF(OR(N(L683)&lt;=0,N(M683)&gt;N(L683)),"택가보정(판매금액÷공급율)",""))</f>
        <v/>
      </c>
      <c r="P683" s="0" t="str">
        <f aca="false">IF(A683="HK","100",IF(A683="CN","200",IF(A683="TW","300",IF(ISNUMBER(SEARCH("태국",C683)),"500",IF(ISNUMBER(SEARCH("말레이",C683)),"600",IF(ISNUMBER(SEARCH("필리핀",C683)),"700",IF(ISNUMBER(SEARCH("인도네시아",C683)),"800",IF(ISNUMBER(SEARCH("크루즈",C683)),"810",IF(ISNUMBER(SEARCH("동물원",C683)),"830","")))))))))</f>
        <v>200</v>
      </c>
    </row>
    <row r="684" customFormat="false" ht="15" hidden="false" customHeight="false" outlineLevel="0" collapsed="false">
      <c r="A684" s="32" t="str">
        <f aca="false">IF(OR(TRIM(C684)="",SUBSTITUTE(C684," ","")="소계"),"제외",IF(ISNUMBER(SEARCH("홍콩",C684)),"HK",IF(ISNUMBER(SEARCH("상해",C684)),"CN",IF(ISNUMBER(SEARCH("대만",C684)),"TW","홀세일"))))</f>
        <v>CN</v>
      </c>
      <c r="B684" s="36" t="s">
        <v>1019</v>
      </c>
      <c r="C684" s="37" t="s">
        <v>1020</v>
      </c>
      <c r="D684" s="37" t="s">
        <v>123</v>
      </c>
      <c r="E684" s="36" t="n">
        <v>2026</v>
      </c>
      <c r="F684" s="37" t="s">
        <v>219</v>
      </c>
      <c r="G684" s="37" t="s">
        <v>124</v>
      </c>
      <c r="H684" s="36" t="s">
        <v>188</v>
      </c>
      <c r="I684" s="36" t="s">
        <v>1051</v>
      </c>
      <c r="J684" s="36" t="s">
        <v>1052</v>
      </c>
      <c r="K684" s="38" t="n">
        <v>200</v>
      </c>
      <c r="L684" s="38" t="n">
        <v>35800000</v>
      </c>
      <c r="M684" s="38" t="n">
        <v>8758600</v>
      </c>
      <c r="N684" s="39" t="n">
        <f aca="false">IF(A684="제외",0,IF(OR(N(L684)&lt;=0,N(M684)&gt;N(L684)),N(M684)/요약!$D$27,N(L684)))</f>
        <v>35800000</v>
      </c>
      <c r="O684" s="32" t="str">
        <f aca="false">IF(A684="제외","",IF(OR(N(L684)&lt;=0,N(M684)&gt;N(L684)),"택가보정(판매금액÷공급율)",""))</f>
        <v/>
      </c>
      <c r="P684" s="0" t="str">
        <f aca="false">IF(A684="HK","100",IF(A684="CN","200",IF(A684="TW","300",IF(ISNUMBER(SEARCH("태국",C684)),"500",IF(ISNUMBER(SEARCH("말레이",C684)),"600",IF(ISNUMBER(SEARCH("필리핀",C684)),"700",IF(ISNUMBER(SEARCH("인도네시아",C684)),"800",IF(ISNUMBER(SEARCH("크루즈",C684)),"810",IF(ISNUMBER(SEARCH("동물원",C684)),"830","")))))))))</f>
        <v>200</v>
      </c>
    </row>
    <row r="685" customFormat="false" ht="15" hidden="false" customHeight="false" outlineLevel="0" collapsed="false">
      <c r="A685" s="32" t="str">
        <f aca="false">IF(OR(TRIM(C685)="",SUBSTITUTE(C685," ","")="소계"),"제외",IF(ISNUMBER(SEARCH("홍콩",C685)),"HK",IF(ISNUMBER(SEARCH("상해",C685)),"CN",IF(ISNUMBER(SEARCH("대만",C685)),"TW","홀세일"))))</f>
        <v>CN</v>
      </c>
      <c r="B685" s="36" t="s">
        <v>1019</v>
      </c>
      <c r="C685" s="37" t="s">
        <v>1020</v>
      </c>
      <c r="D685" s="37" t="s">
        <v>123</v>
      </c>
      <c r="E685" s="36" t="n">
        <v>2026</v>
      </c>
      <c r="F685" s="37" t="s">
        <v>219</v>
      </c>
      <c r="G685" s="37" t="s">
        <v>124</v>
      </c>
      <c r="H685" s="36" t="s">
        <v>188</v>
      </c>
      <c r="I685" s="36" t="s">
        <v>354</v>
      </c>
      <c r="J685" s="36" t="s">
        <v>355</v>
      </c>
      <c r="K685" s="38" t="n">
        <v>142</v>
      </c>
      <c r="L685" s="38" t="n">
        <v>15478000</v>
      </c>
      <c r="M685" s="38" t="n">
        <v>4103800</v>
      </c>
      <c r="N685" s="39" t="n">
        <f aca="false">IF(A685="제외",0,IF(OR(N(L685)&lt;=0,N(M685)&gt;N(L685)),N(M685)/요약!$D$27,N(L685)))</f>
        <v>15478000</v>
      </c>
      <c r="O685" s="32" t="str">
        <f aca="false">IF(A685="제외","",IF(OR(N(L685)&lt;=0,N(M685)&gt;N(L685)),"택가보정(판매금액÷공급율)",""))</f>
        <v/>
      </c>
      <c r="P685" s="0" t="str">
        <f aca="false">IF(A685="HK","100",IF(A685="CN","200",IF(A685="TW","300",IF(ISNUMBER(SEARCH("태국",C685)),"500",IF(ISNUMBER(SEARCH("말레이",C685)),"600",IF(ISNUMBER(SEARCH("필리핀",C685)),"700",IF(ISNUMBER(SEARCH("인도네시아",C685)),"800",IF(ISNUMBER(SEARCH("크루즈",C685)),"810",IF(ISNUMBER(SEARCH("동물원",C685)),"830","")))))))))</f>
        <v>200</v>
      </c>
    </row>
    <row r="686" customFormat="false" ht="15" hidden="false" customHeight="false" outlineLevel="0" collapsed="false">
      <c r="A686" s="32" t="str">
        <f aca="false">IF(OR(TRIM(C686)="",SUBSTITUTE(C686," ","")="소계"),"제외",IF(ISNUMBER(SEARCH("홍콩",C686)),"HK",IF(ISNUMBER(SEARCH("상해",C686)),"CN",IF(ISNUMBER(SEARCH("대만",C686)),"TW","홀세일"))))</f>
        <v>CN</v>
      </c>
      <c r="B686" s="36" t="s">
        <v>1019</v>
      </c>
      <c r="C686" s="37" t="s">
        <v>1020</v>
      </c>
      <c r="D686" s="37" t="s">
        <v>123</v>
      </c>
      <c r="E686" s="36" t="n">
        <v>2026</v>
      </c>
      <c r="F686" s="37" t="s">
        <v>219</v>
      </c>
      <c r="G686" s="37" t="s">
        <v>124</v>
      </c>
      <c r="H686" s="36" t="s">
        <v>188</v>
      </c>
      <c r="I686" s="36" t="s">
        <v>1053</v>
      </c>
      <c r="J686" s="36" t="s">
        <v>1054</v>
      </c>
      <c r="K686" s="38" t="n">
        <v>290</v>
      </c>
      <c r="L686" s="38" t="n">
        <v>37410000</v>
      </c>
      <c r="M686" s="38" t="n">
        <v>10091420</v>
      </c>
      <c r="N686" s="39" t="n">
        <f aca="false">IF(A686="제외",0,IF(OR(N(L686)&lt;=0,N(M686)&gt;N(L686)),N(M686)/요약!$D$27,N(L686)))</f>
        <v>37410000</v>
      </c>
      <c r="O686" s="32" t="str">
        <f aca="false">IF(A686="제외","",IF(OR(N(L686)&lt;=0,N(M686)&gt;N(L686)),"택가보정(판매금액÷공급율)",""))</f>
        <v/>
      </c>
      <c r="P686" s="0" t="str">
        <f aca="false">IF(A686="HK","100",IF(A686="CN","200",IF(A686="TW","300",IF(ISNUMBER(SEARCH("태국",C686)),"500",IF(ISNUMBER(SEARCH("말레이",C686)),"600",IF(ISNUMBER(SEARCH("필리핀",C686)),"700",IF(ISNUMBER(SEARCH("인도네시아",C686)),"800",IF(ISNUMBER(SEARCH("크루즈",C686)),"810",IF(ISNUMBER(SEARCH("동물원",C686)),"830","")))))))))</f>
        <v>200</v>
      </c>
    </row>
    <row r="687" customFormat="false" ht="15" hidden="false" customHeight="false" outlineLevel="0" collapsed="false">
      <c r="A687" s="32" t="str">
        <f aca="false">IF(OR(TRIM(C687)="",SUBSTITUTE(C687," ","")="소계"),"제외",IF(ISNUMBER(SEARCH("홍콩",C687)),"HK",IF(ISNUMBER(SEARCH("상해",C687)),"CN",IF(ISNUMBER(SEARCH("대만",C687)),"TW","홀세일"))))</f>
        <v>CN</v>
      </c>
      <c r="B687" s="36" t="s">
        <v>1019</v>
      </c>
      <c r="C687" s="37" t="s">
        <v>1020</v>
      </c>
      <c r="D687" s="37" t="s">
        <v>123</v>
      </c>
      <c r="E687" s="36" t="n">
        <v>2026</v>
      </c>
      <c r="F687" s="37" t="s">
        <v>219</v>
      </c>
      <c r="G687" s="37" t="s">
        <v>124</v>
      </c>
      <c r="H687" s="36" t="s">
        <v>188</v>
      </c>
      <c r="I687" s="36" t="s">
        <v>852</v>
      </c>
      <c r="J687" s="36" t="s">
        <v>853</v>
      </c>
      <c r="K687" s="38" t="n">
        <v>192</v>
      </c>
      <c r="L687" s="38" t="n">
        <v>11328000</v>
      </c>
      <c r="M687" s="38" t="n">
        <v>2776476</v>
      </c>
      <c r="N687" s="39" t="n">
        <f aca="false">IF(A687="제외",0,IF(OR(N(L687)&lt;=0,N(M687)&gt;N(L687)),N(M687)/요약!$D$27,N(L687)))</f>
        <v>11328000</v>
      </c>
      <c r="O687" s="32" t="str">
        <f aca="false">IF(A687="제외","",IF(OR(N(L687)&lt;=0,N(M687)&gt;N(L687)),"택가보정(판매금액÷공급율)",""))</f>
        <v/>
      </c>
      <c r="P687" s="0" t="str">
        <f aca="false">IF(A687="HK","100",IF(A687="CN","200",IF(A687="TW","300",IF(ISNUMBER(SEARCH("태국",C687)),"500",IF(ISNUMBER(SEARCH("말레이",C687)),"600",IF(ISNUMBER(SEARCH("필리핀",C687)),"700",IF(ISNUMBER(SEARCH("인도네시아",C687)),"800",IF(ISNUMBER(SEARCH("크루즈",C687)),"810",IF(ISNUMBER(SEARCH("동물원",C687)),"830","")))))))))</f>
        <v>200</v>
      </c>
    </row>
    <row r="688" customFormat="false" ht="15" hidden="false" customHeight="false" outlineLevel="0" collapsed="false">
      <c r="A688" s="32" t="str">
        <f aca="false">IF(OR(TRIM(C688)="",SUBSTITUTE(C688," ","")="소계"),"제외",IF(ISNUMBER(SEARCH("홍콩",C688)),"HK",IF(ISNUMBER(SEARCH("상해",C688)),"CN",IF(ISNUMBER(SEARCH("대만",C688)),"TW","홀세일"))))</f>
        <v>CN</v>
      </c>
      <c r="B688" s="36" t="s">
        <v>1019</v>
      </c>
      <c r="C688" s="37" t="s">
        <v>1020</v>
      </c>
      <c r="D688" s="37" t="s">
        <v>123</v>
      </c>
      <c r="E688" s="36" t="n">
        <v>2026</v>
      </c>
      <c r="F688" s="37" t="s">
        <v>219</v>
      </c>
      <c r="G688" s="37" t="s">
        <v>124</v>
      </c>
      <c r="H688" s="36" t="s">
        <v>188</v>
      </c>
      <c r="I688" s="36" t="s">
        <v>358</v>
      </c>
      <c r="J688" s="36" t="s">
        <v>359</v>
      </c>
      <c r="K688" s="38" t="n">
        <v>163</v>
      </c>
      <c r="L688" s="38" t="n">
        <v>12877000</v>
      </c>
      <c r="M688" s="38" t="n">
        <v>3388933</v>
      </c>
      <c r="N688" s="39" t="n">
        <f aca="false">IF(A688="제외",0,IF(OR(N(L688)&lt;=0,N(M688)&gt;N(L688)),N(M688)/요약!$D$27,N(L688)))</f>
        <v>12877000</v>
      </c>
      <c r="O688" s="32" t="str">
        <f aca="false">IF(A688="제외","",IF(OR(N(L688)&lt;=0,N(M688)&gt;N(L688)),"택가보정(판매금액÷공급율)",""))</f>
        <v/>
      </c>
      <c r="P688" s="0" t="str">
        <f aca="false">IF(A688="HK","100",IF(A688="CN","200",IF(A688="TW","300",IF(ISNUMBER(SEARCH("태국",C688)),"500",IF(ISNUMBER(SEARCH("말레이",C688)),"600",IF(ISNUMBER(SEARCH("필리핀",C688)),"700",IF(ISNUMBER(SEARCH("인도네시아",C688)),"800",IF(ISNUMBER(SEARCH("크루즈",C688)),"810",IF(ISNUMBER(SEARCH("동물원",C688)),"830","")))))))))</f>
        <v>200</v>
      </c>
    </row>
    <row r="689" customFormat="false" ht="15" hidden="false" customHeight="false" outlineLevel="0" collapsed="false">
      <c r="A689" s="32" t="str">
        <f aca="false">IF(OR(TRIM(C689)="",SUBSTITUTE(C689," ","")="소계"),"제외",IF(ISNUMBER(SEARCH("홍콩",C689)),"HK",IF(ISNUMBER(SEARCH("상해",C689)),"CN",IF(ISNUMBER(SEARCH("대만",C689)),"TW","홀세일"))))</f>
        <v>CN</v>
      </c>
      <c r="B689" s="36" t="s">
        <v>1019</v>
      </c>
      <c r="C689" s="37" t="s">
        <v>1020</v>
      </c>
      <c r="D689" s="37" t="s">
        <v>123</v>
      </c>
      <c r="E689" s="36" t="n">
        <v>2026</v>
      </c>
      <c r="F689" s="37" t="s">
        <v>219</v>
      </c>
      <c r="G689" s="37" t="s">
        <v>124</v>
      </c>
      <c r="H689" s="36" t="s">
        <v>188</v>
      </c>
      <c r="I689" s="36" t="s">
        <v>860</v>
      </c>
      <c r="J689" s="36" t="s">
        <v>861</v>
      </c>
      <c r="K689" s="38" t="n">
        <v>227</v>
      </c>
      <c r="L689" s="38" t="n">
        <v>20203000</v>
      </c>
      <c r="M689" s="38" t="n">
        <v>5789893</v>
      </c>
      <c r="N689" s="39" t="n">
        <f aca="false">IF(A689="제외",0,IF(OR(N(L689)&lt;=0,N(M689)&gt;N(L689)),N(M689)/요약!$D$27,N(L689)))</f>
        <v>20203000</v>
      </c>
      <c r="O689" s="32" t="str">
        <f aca="false">IF(A689="제외","",IF(OR(N(L689)&lt;=0,N(M689)&gt;N(L689)),"택가보정(판매금액÷공급율)",""))</f>
        <v/>
      </c>
      <c r="P689" s="0" t="str">
        <f aca="false">IF(A689="HK","100",IF(A689="CN","200",IF(A689="TW","300",IF(ISNUMBER(SEARCH("태국",C689)),"500",IF(ISNUMBER(SEARCH("말레이",C689)),"600",IF(ISNUMBER(SEARCH("필리핀",C689)),"700",IF(ISNUMBER(SEARCH("인도네시아",C689)),"800",IF(ISNUMBER(SEARCH("크루즈",C689)),"810",IF(ISNUMBER(SEARCH("동물원",C689)),"830","")))))))))</f>
        <v>200</v>
      </c>
    </row>
    <row r="690" customFormat="false" ht="15" hidden="false" customHeight="false" outlineLevel="0" collapsed="false">
      <c r="A690" s="32" t="str">
        <f aca="false">IF(OR(TRIM(C690)="",SUBSTITUTE(C690," ","")="소계"),"제외",IF(ISNUMBER(SEARCH("홍콩",C690)),"HK",IF(ISNUMBER(SEARCH("상해",C690)),"CN",IF(ISNUMBER(SEARCH("대만",C690)),"TW","홀세일"))))</f>
        <v>CN</v>
      </c>
      <c r="B690" s="36" t="s">
        <v>1019</v>
      </c>
      <c r="C690" s="37" t="s">
        <v>1020</v>
      </c>
      <c r="D690" s="37" t="s">
        <v>123</v>
      </c>
      <c r="E690" s="36" t="n">
        <v>2026</v>
      </c>
      <c r="F690" s="37" t="s">
        <v>219</v>
      </c>
      <c r="G690" s="37" t="s">
        <v>360</v>
      </c>
      <c r="H690" s="36" t="s">
        <v>131</v>
      </c>
      <c r="I690" s="36" t="s">
        <v>361</v>
      </c>
      <c r="J690" s="37" t="s">
        <v>362</v>
      </c>
      <c r="K690" s="38" t="n">
        <v>210</v>
      </c>
      <c r="L690" s="38" t="n">
        <v>22890000</v>
      </c>
      <c r="M690" s="38" t="n">
        <v>7154070</v>
      </c>
      <c r="N690" s="39" t="n">
        <f aca="false">IF(A690="제외",0,IF(OR(N(L690)&lt;=0,N(M690)&gt;N(L690)),N(M690)/요약!$D$27,N(L690)))</f>
        <v>22890000</v>
      </c>
      <c r="O690" s="32" t="str">
        <f aca="false">IF(A690="제외","",IF(OR(N(L690)&lt;=0,N(M690)&gt;N(L690)),"택가보정(판매금액÷공급율)",""))</f>
        <v/>
      </c>
      <c r="P690" s="0" t="str">
        <f aca="false">IF(A690="HK","100",IF(A690="CN","200",IF(A690="TW","300",IF(ISNUMBER(SEARCH("태국",C690)),"500",IF(ISNUMBER(SEARCH("말레이",C690)),"600",IF(ISNUMBER(SEARCH("필리핀",C690)),"700",IF(ISNUMBER(SEARCH("인도네시아",C690)),"800",IF(ISNUMBER(SEARCH("크루즈",C690)),"810",IF(ISNUMBER(SEARCH("동물원",C690)),"830","")))))))))</f>
        <v>200</v>
      </c>
    </row>
    <row r="691" customFormat="false" ht="15" hidden="false" customHeight="false" outlineLevel="0" collapsed="false">
      <c r="A691" s="32" t="str">
        <f aca="false">IF(OR(TRIM(C691)="",SUBSTITUTE(C691," ","")="소계"),"제외",IF(ISNUMBER(SEARCH("홍콩",C691)),"HK",IF(ISNUMBER(SEARCH("상해",C691)),"CN",IF(ISNUMBER(SEARCH("대만",C691)),"TW","홀세일"))))</f>
        <v>CN</v>
      </c>
      <c r="B691" s="36" t="s">
        <v>1019</v>
      </c>
      <c r="C691" s="37" t="s">
        <v>1020</v>
      </c>
      <c r="D691" s="37" t="s">
        <v>123</v>
      </c>
      <c r="E691" s="36" t="n">
        <v>2026</v>
      </c>
      <c r="F691" s="37" t="s">
        <v>363</v>
      </c>
      <c r="G691" s="37" t="s">
        <v>102</v>
      </c>
      <c r="H691" s="36" t="s">
        <v>131</v>
      </c>
      <c r="I691" s="36" t="s">
        <v>366</v>
      </c>
      <c r="J691" s="37" t="s">
        <v>367</v>
      </c>
      <c r="K691" s="38" t="n">
        <v>51</v>
      </c>
      <c r="L691" s="38" t="n">
        <v>8109000</v>
      </c>
      <c r="M691" s="38" t="n">
        <v>2089416</v>
      </c>
      <c r="N691" s="39" t="n">
        <f aca="false">IF(A691="제외",0,IF(OR(N(L691)&lt;=0,N(M691)&gt;N(L691)),N(M691)/요약!$D$27,N(L691)))</f>
        <v>8109000</v>
      </c>
      <c r="O691" s="32" t="str">
        <f aca="false">IF(A691="제외","",IF(OR(N(L691)&lt;=0,N(M691)&gt;N(L691)),"택가보정(판매금액÷공급율)",""))</f>
        <v/>
      </c>
      <c r="P691" s="0" t="str">
        <f aca="false">IF(A691="HK","100",IF(A691="CN","200",IF(A691="TW","300",IF(ISNUMBER(SEARCH("태국",C691)),"500",IF(ISNUMBER(SEARCH("말레이",C691)),"600",IF(ISNUMBER(SEARCH("필리핀",C691)),"700",IF(ISNUMBER(SEARCH("인도네시아",C691)),"800",IF(ISNUMBER(SEARCH("크루즈",C691)),"810",IF(ISNUMBER(SEARCH("동물원",C691)),"830","")))))))))</f>
        <v>200</v>
      </c>
    </row>
    <row r="692" customFormat="false" ht="15" hidden="false" customHeight="false" outlineLevel="0" collapsed="false">
      <c r="A692" s="32" t="str">
        <f aca="false">IF(OR(TRIM(C692)="",SUBSTITUTE(C692," ","")="소계"),"제외",IF(ISNUMBER(SEARCH("홍콩",C692)),"HK",IF(ISNUMBER(SEARCH("상해",C692)),"CN",IF(ISNUMBER(SEARCH("대만",C692)),"TW","홀세일"))))</f>
        <v>CN</v>
      </c>
      <c r="B692" s="36" t="s">
        <v>1019</v>
      </c>
      <c r="C692" s="37" t="s">
        <v>1020</v>
      </c>
      <c r="D692" s="37" t="s">
        <v>123</v>
      </c>
      <c r="E692" s="36" t="n">
        <v>2026</v>
      </c>
      <c r="F692" s="37" t="s">
        <v>363</v>
      </c>
      <c r="G692" s="37" t="s">
        <v>102</v>
      </c>
      <c r="H692" s="36" t="s">
        <v>131</v>
      </c>
      <c r="I692" s="36" t="s">
        <v>864</v>
      </c>
      <c r="J692" s="36" t="s">
        <v>865</v>
      </c>
      <c r="K692" s="38" t="n">
        <v>82</v>
      </c>
      <c r="L692" s="38" t="n">
        <v>21238000</v>
      </c>
      <c r="M692" s="38" t="n">
        <v>6270272</v>
      </c>
      <c r="N692" s="39" t="n">
        <f aca="false">IF(A692="제외",0,IF(OR(N(L692)&lt;=0,N(M692)&gt;N(L692)),N(M692)/요약!$D$27,N(L692)))</f>
        <v>21238000</v>
      </c>
      <c r="O692" s="32" t="str">
        <f aca="false">IF(A692="제외","",IF(OR(N(L692)&lt;=0,N(M692)&gt;N(L692)),"택가보정(판매금액÷공급율)",""))</f>
        <v/>
      </c>
      <c r="P692" s="0" t="str">
        <f aca="false">IF(A692="HK","100",IF(A692="CN","200",IF(A692="TW","300",IF(ISNUMBER(SEARCH("태국",C692)),"500",IF(ISNUMBER(SEARCH("말레이",C692)),"600",IF(ISNUMBER(SEARCH("필리핀",C692)),"700",IF(ISNUMBER(SEARCH("인도네시아",C692)),"800",IF(ISNUMBER(SEARCH("크루즈",C692)),"810",IF(ISNUMBER(SEARCH("동물원",C692)),"830","")))))))))</f>
        <v>200</v>
      </c>
    </row>
    <row r="693" customFormat="false" ht="15" hidden="false" customHeight="false" outlineLevel="0" collapsed="false">
      <c r="A693" s="32" t="str">
        <f aca="false">IF(OR(TRIM(C693)="",SUBSTITUTE(C693," ","")="소계"),"제외",IF(ISNUMBER(SEARCH("홍콩",C693)),"HK",IF(ISNUMBER(SEARCH("상해",C693)),"CN",IF(ISNUMBER(SEARCH("대만",C693)),"TW","홀세일"))))</f>
        <v>CN</v>
      </c>
      <c r="B693" s="36" t="s">
        <v>1019</v>
      </c>
      <c r="C693" s="37" t="s">
        <v>1020</v>
      </c>
      <c r="D693" s="37" t="s">
        <v>123</v>
      </c>
      <c r="E693" s="36" t="n">
        <v>2026</v>
      </c>
      <c r="F693" s="37" t="s">
        <v>363</v>
      </c>
      <c r="G693" s="37" t="s">
        <v>102</v>
      </c>
      <c r="H693" s="36" t="s">
        <v>131</v>
      </c>
      <c r="I693" s="36" t="s">
        <v>866</v>
      </c>
      <c r="J693" s="36" t="s">
        <v>867</v>
      </c>
      <c r="K693" s="38" t="n">
        <v>243</v>
      </c>
      <c r="L693" s="38" t="n">
        <v>26487000</v>
      </c>
      <c r="M693" s="38" t="n">
        <v>7399527</v>
      </c>
      <c r="N693" s="39" t="n">
        <f aca="false">IF(A693="제외",0,IF(OR(N(L693)&lt;=0,N(M693)&gt;N(L693)),N(M693)/요약!$D$27,N(L693)))</f>
        <v>26487000</v>
      </c>
      <c r="O693" s="32" t="str">
        <f aca="false">IF(A693="제외","",IF(OR(N(L693)&lt;=0,N(M693)&gt;N(L693)),"택가보정(판매금액÷공급율)",""))</f>
        <v/>
      </c>
      <c r="P693" s="0" t="str">
        <f aca="false">IF(A693="HK","100",IF(A693="CN","200",IF(A693="TW","300",IF(ISNUMBER(SEARCH("태국",C693)),"500",IF(ISNUMBER(SEARCH("말레이",C693)),"600",IF(ISNUMBER(SEARCH("필리핀",C693)),"700",IF(ISNUMBER(SEARCH("인도네시아",C693)),"800",IF(ISNUMBER(SEARCH("크루즈",C693)),"810",IF(ISNUMBER(SEARCH("동물원",C693)),"830","")))))))))</f>
        <v>200</v>
      </c>
    </row>
    <row r="694" customFormat="false" ht="15" hidden="false" customHeight="false" outlineLevel="0" collapsed="false">
      <c r="A694" s="32" t="str">
        <f aca="false">IF(OR(TRIM(C694)="",SUBSTITUTE(C694," ","")="소계"),"제외",IF(ISNUMBER(SEARCH("홍콩",C694)),"HK",IF(ISNUMBER(SEARCH("상해",C694)),"CN",IF(ISNUMBER(SEARCH("대만",C694)),"TW","홀세일"))))</f>
        <v>CN</v>
      </c>
      <c r="B694" s="36" t="s">
        <v>1019</v>
      </c>
      <c r="C694" s="37" t="s">
        <v>1020</v>
      </c>
      <c r="D694" s="37" t="s">
        <v>123</v>
      </c>
      <c r="E694" s="36" t="n">
        <v>2026</v>
      </c>
      <c r="F694" s="37" t="s">
        <v>363</v>
      </c>
      <c r="G694" s="37" t="s">
        <v>102</v>
      </c>
      <c r="H694" s="36" t="s">
        <v>131</v>
      </c>
      <c r="I694" s="36" t="s">
        <v>370</v>
      </c>
      <c r="J694" s="37" t="s">
        <v>371</v>
      </c>
      <c r="K694" s="38" t="n">
        <v>51</v>
      </c>
      <c r="L694" s="38" t="n">
        <v>3519000</v>
      </c>
      <c r="M694" s="38" t="n">
        <v>802537</v>
      </c>
      <c r="N694" s="39" t="n">
        <f aca="false">IF(A694="제외",0,IF(OR(N(L694)&lt;=0,N(M694)&gt;N(L694)),N(M694)/요약!$D$27,N(L694)))</f>
        <v>3519000</v>
      </c>
      <c r="O694" s="32" t="str">
        <f aca="false">IF(A694="제외","",IF(OR(N(L694)&lt;=0,N(M694)&gt;N(L694)),"택가보정(판매금액÷공급율)",""))</f>
        <v/>
      </c>
      <c r="P694" s="0" t="str">
        <f aca="false">IF(A694="HK","100",IF(A694="CN","200",IF(A694="TW","300",IF(ISNUMBER(SEARCH("태국",C694)),"500",IF(ISNUMBER(SEARCH("말레이",C694)),"600",IF(ISNUMBER(SEARCH("필리핀",C694)),"700",IF(ISNUMBER(SEARCH("인도네시아",C694)),"800",IF(ISNUMBER(SEARCH("크루즈",C694)),"810",IF(ISNUMBER(SEARCH("동물원",C694)),"830","")))))))))</f>
        <v>200</v>
      </c>
    </row>
    <row r="695" customFormat="false" ht="15" hidden="false" customHeight="false" outlineLevel="0" collapsed="false">
      <c r="A695" s="32" t="str">
        <f aca="false">IF(OR(TRIM(C695)="",SUBSTITUTE(C695," ","")="소계"),"제외",IF(ISNUMBER(SEARCH("홍콩",C695)),"HK",IF(ISNUMBER(SEARCH("상해",C695)),"CN",IF(ISNUMBER(SEARCH("대만",C695)),"TW","홀세일"))))</f>
        <v>CN</v>
      </c>
      <c r="B695" s="36" t="s">
        <v>1019</v>
      </c>
      <c r="C695" s="37" t="s">
        <v>1020</v>
      </c>
      <c r="D695" s="37" t="s">
        <v>123</v>
      </c>
      <c r="E695" s="36" t="n">
        <v>2026</v>
      </c>
      <c r="F695" s="37" t="s">
        <v>363</v>
      </c>
      <c r="G695" s="37" t="s">
        <v>102</v>
      </c>
      <c r="H695" s="36" t="s">
        <v>131</v>
      </c>
      <c r="I695" s="36" t="s">
        <v>372</v>
      </c>
      <c r="J695" s="36" t="s">
        <v>373</v>
      </c>
      <c r="K695" s="38" t="n">
        <v>222</v>
      </c>
      <c r="L695" s="38" t="n">
        <v>21978000</v>
      </c>
      <c r="M695" s="38" t="n">
        <v>6046696</v>
      </c>
      <c r="N695" s="39" t="n">
        <f aca="false">IF(A695="제외",0,IF(OR(N(L695)&lt;=0,N(M695)&gt;N(L695)),N(M695)/요약!$D$27,N(L695)))</f>
        <v>21978000</v>
      </c>
      <c r="O695" s="32" t="str">
        <f aca="false">IF(A695="제외","",IF(OR(N(L695)&lt;=0,N(M695)&gt;N(L695)),"택가보정(판매금액÷공급율)",""))</f>
        <v/>
      </c>
      <c r="P695" s="0" t="str">
        <f aca="false">IF(A695="HK","100",IF(A695="CN","200",IF(A695="TW","300",IF(ISNUMBER(SEARCH("태국",C695)),"500",IF(ISNUMBER(SEARCH("말레이",C695)),"600",IF(ISNUMBER(SEARCH("필리핀",C695)),"700",IF(ISNUMBER(SEARCH("인도네시아",C695)),"800",IF(ISNUMBER(SEARCH("크루즈",C695)),"810",IF(ISNUMBER(SEARCH("동물원",C695)),"830","")))))))))</f>
        <v>200</v>
      </c>
    </row>
    <row r="696" customFormat="false" ht="15" hidden="false" customHeight="false" outlineLevel="0" collapsed="false">
      <c r="A696" s="32" t="str">
        <f aca="false">IF(OR(TRIM(C696)="",SUBSTITUTE(C696," ","")="소계"),"제외",IF(ISNUMBER(SEARCH("홍콩",C696)),"HK",IF(ISNUMBER(SEARCH("상해",C696)),"CN",IF(ISNUMBER(SEARCH("대만",C696)),"TW","홀세일"))))</f>
        <v>CN</v>
      </c>
      <c r="B696" s="36" t="s">
        <v>1019</v>
      </c>
      <c r="C696" s="37" t="s">
        <v>1020</v>
      </c>
      <c r="D696" s="37" t="s">
        <v>123</v>
      </c>
      <c r="E696" s="36" t="n">
        <v>2026</v>
      </c>
      <c r="F696" s="37" t="s">
        <v>363</v>
      </c>
      <c r="G696" s="37" t="s">
        <v>102</v>
      </c>
      <c r="H696" s="36" t="s">
        <v>131</v>
      </c>
      <c r="I696" s="36" t="s">
        <v>374</v>
      </c>
      <c r="J696" s="36" t="s">
        <v>375</v>
      </c>
      <c r="K696" s="38" t="n">
        <v>152</v>
      </c>
      <c r="L696" s="38" t="n">
        <v>10488000</v>
      </c>
      <c r="M696" s="38" t="n">
        <v>2452588</v>
      </c>
      <c r="N696" s="39" t="n">
        <f aca="false">IF(A696="제외",0,IF(OR(N(L696)&lt;=0,N(M696)&gt;N(L696)),N(M696)/요약!$D$27,N(L696)))</f>
        <v>10488000</v>
      </c>
      <c r="O696" s="32" t="str">
        <f aca="false">IF(A696="제외","",IF(OR(N(L696)&lt;=0,N(M696)&gt;N(L696)),"택가보정(판매금액÷공급율)",""))</f>
        <v/>
      </c>
      <c r="P696" s="0" t="str">
        <f aca="false">IF(A696="HK","100",IF(A696="CN","200",IF(A696="TW","300",IF(ISNUMBER(SEARCH("태국",C696)),"500",IF(ISNUMBER(SEARCH("말레이",C696)),"600",IF(ISNUMBER(SEARCH("필리핀",C696)),"700",IF(ISNUMBER(SEARCH("인도네시아",C696)),"800",IF(ISNUMBER(SEARCH("크루즈",C696)),"810",IF(ISNUMBER(SEARCH("동물원",C696)),"830","")))))))))</f>
        <v>200</v>
      </c>
    </row>
    <row r="697" customFormat="false" ht="15" hidden="false" customHeight="false" outlineLevel="0" collapsed="false">
      <c r="A697" s="32" t="str">
        <f aca="false">IF(OR(TRIM(C697)="",SUBSTITUTE(C697," ","")="소계"),"제외",IF(ISNUMBER(SEARCH("홍콩",C697)),"HK",IF(ISNUMBER(SEARCH("상해",C697)),"CN",IF(ISNUMBER(SEARCH("대만",C697)),"TW","홀세일"))))</f>
        <v>CN</v>
      </c>
      <c r="B697" s="36" t="s">
        <v>1019</v>
      </c>
      <c r="C697" s="37" t="s">
        <v>1020</v>
      </c>
      <c r="D697" s="37" t="s">
        <v>123</v>
      </c>
      <c r="E697" s="36" t="n">
        <v>2026</v>
      </c>
      <c r="F697" s="37" t="s">
        <v>363</v>
      </c>
      <c r="G697" s="37" t="s">
        <v>102</v>
      </c>
      <c r="H697" s="36" t="s">
        <v>131</v>
      </c>
      <c r="I697" s="36" t="s">
        <v>1055</v>
      </c>
      <c r="J697" s="37" t="s">
        <v>1056</v>
      </c>
      <c r="K697" s="38" t="n">
        <v>131</v>
      </c>
      <c r="L697" s="38" t="n">
        <v>7729000</v>
      </c>
      <c r="M697" s="38" t="n">
        <v>2198388</v>
      </c>
      <c r="N697" s="39" t="n">
        <f aca="false">IF(A697="제외",0,IF(OR(N(L697)&lt;=0,N(M697)&gt;N(L697)),N(M697)/요약!$D$27,N(L697)))</f>
        <v>7729000</v>
      </c>
      <c r="O697" s="32" t="str">
        <f aca="false">IF(A697="제외","",IF(OR(N(L697)&lt;=0,N(M697)&gt;N(L697)),"택가보정(판매금액÷공급율)",""))</f>
        <v/>
      </c>
      <c r="P697" s="0" t="str">
        <f aca="false">IF(A697="HK","100",IF(A697="CN","200",IF(A697="TW","300",IF(ISNUMBER(SEARCH("태국",C697)),"500",IF(ISNUMBER(SEARCH("말레이",C697)),"600",IF(ISNUMBER(SEARCH("필리핀",C697)),"700",IF(ISNUMBER(SEARCH("인도네시아",C697)),"800",IF(ISNUMBER(SEARCH("크루즈",C697)),"810",IF(ISNUMBER(SEARCH("동물원",C697)),"830","")))))))))</f>
        <v>200</v>
      </c>
    </row>
    <row r="698" customFormat="false" ht="15" hidden="false" customHeight="false" outlineLevel="0" collapsed="false">
      <c r="A698" s="32" t="str">
        <f aca="false">IF(OR(TRIM(C698)="",SUBSTITUTE(C698," ","")="소계"),"제외",IF(ISNUMBER(SEARCH("홍콩",C698)),"HK",IF(ISNUMBER(SEARCH("상해",C698)),"CN",IF(ISNUMBER(SEARCH("대만",C698)),"TW","홀세일"))))</f>
        <v>CN</v>
      </c>
      <c r="B698" s="36" t="s">
        <v>1019</v>
      </c>
      <c r="C698" s="37" t="s">
        <v>1020</v>
      </c>
      <c r="D698" s="37" t="s">
        <v>123</v>
      </c>
      <c r="E698" s="36" t="n">
        <v>2026</v>
      </c>
      <c r="F698" s="37" t="s">
        <v>363</v>
      </c>
      <c r="G698" s="37" t="s">
        <v>102</v>
      </c>
      <c r="H698" s="36" t="s">
        <v>131</v>
      </c>
      <c r="I698" s="36" t="s">
        <v>384</v>
      </c>
      <c r="J698" s="36" t="s">
        <v>385</v>
      </c>
      <c r="K698" s="38" t="n">
        <v>101</v>
      </c>
      <c r="L698" s="38" t="n">
        <v>7979000</v>
      </c>
      <c r="M698" s="38" t="n">
        <v>2310076</v>
      </c>
      <c r="N698" s="39" t="n">
        <f aca="false">IF(A698="제외",0,IF(OR(N(L698)&lt;=0,N(M698)&gt;N(L698)),N(M698)/요약!$D$27,N(L698)))</f>
        <v>7979000</v>
      </c>
      <c r="O698" s="32" t="str">
        <f aca="false">IF(A698="제외","",IF(OR(N(L698)&lt;=0,N(M698)&gt;N(L698)),"택가보정(판매금액÷공급율)",""))</f>
        <v/>
      </c>
      <c r="P698" s="0" t="str">
        <f aca="false">IF(A698="HK","100",IF(A698="CN","200",IF(A698="TW","300",IF(ISNUMBER(SEARCH("태국",C698)),"500",IF(ISNUMBER(SEARCH("말레이",C698)),"600",IF(ISNUMBER(SEARCH("필리핀",C698)),"700",IF(ISNUMBER(SEARCH("인도네시아",C698)),"800",IF(ISNUMBER(SEARCH("크루즈",C698)),"810",IF(ISNUMBER(SEARCH("동물원",C698)),"830","")))))))))</f>
        <v>200</v>
      </c>
    </row>
    <row r="699" customFormat="false" ht="15" hidden="false" customHeight="false" outlineLevel="0" collapsed="false">
      <c r="A699" s="32" t="str">
        <f aca="false">IF(OR(TRIM(C699)="",SUBSTITUTE(C699," ","")="소계"),"제외",IF(ISNUMBER(SEARCH("홍콩",C699)),"HK",IF(ISNUMBER(SEARCH("상해",C699)),"CN",IF(ISNUMBER(SEARCH("대만",C699)),"TW","홀세일"))))</f>
        <v>CN</v>
      </c>
      <c r="B699" s="36" t="s">
        <v>1019</v>
      </c>
      <c r="C699" s="37" t="s">
        <v>1020</v>
      </c>
      <c r="D699" s="37" t="s">
        <v>123</v>
      </c>
      <c r="E699" s="36" t="n">
        <v>2026</v>
      </c>
      <c r="F699" s="37" t="s">
        <v>363</v>
      </c>
      <c r="G699" s="37" t="s">
        <v>102</v>
      </c>
      <c r="H699" s="36" t="s">
        <v>131</v>
      </c>
      <c r="I699" s="36" t="s">
        <v>868</v>
      </c>
      <c r="J699" s="37" t="s">
        <v>869</v>
      </c>
      <c r="K699" s="38" t="n">
        <v>222</v>
      </c>
      <c r="L699" s="38" t="n">
        <v>10878000</v>
      </c>
      <c r="M699" s="38" t="n">
        <v>2932620</v>
      </c>
      <c r="N699" s="39" t="n">
        <f aca="false">IF(A699="제외",0,IF(OR(N(L699)&lt;=0,N(M699)&gt;N(L699)),N(M699)/요약!$D$27,N(L699)))</f>
        <v>10878000</v>
      </c>
      <c r="O699" s="32" t="str">
        <f aca="false">IF(A699="제외","",IF(OR(N(L699)&lt;=0,N(M699)&gt;N(L699)),"택가보정(판매금액÷공급율)",""))</f>
        <v/>
      </c>
      <c r="P699" s="0" t="str">
        <f aca="false">IF(A699="HK","100",IF(A699="CN","200",IF(A699="TW","300",IF(ISNUMBER(SEARCH("태국",C699)),"500",IF(ISNUMBER(SEARCH("말레이",C699)),"600",IF(ISNUMBER(SEARCH("필리핀",C699)),"700",IF(ISNUMBER(SEARCH("인도네시아",C699)),"800",IF(ISNUMBER(SEARCH("크루즈",C699)),"810",IF(ISNUMBER(SEARCH("동물원",C699)),"830","")))))))))</f>
        <v>200</v>
      </c>
    </row>
    <row r="700" customFormat="false" ht="15" hidden="false" customHeight="false" outlineLevel="0" collapsed="false">
      <c r="A700" s="32" t="str">
        <f aca="false">IF(OR(TRIM(C700)="",SUBSTITUTE(C700," ","")="소계"),"제외",IF(ISNUMBER(SEARCH("홍콩",C700)),"HK",IF(ISNUMBER(SEARCH("상해",C700)),"CN",IF(ISNUMBER(SEARCH("대만",C700)),"TW","홀세일"))))</f>
        <v>CN</v>
      </c>
      <c r="B700" s="36" t="s">
        <v>1019</v>
      </c>
      <c r="C700" s="37" t="s">
        <v>1020</v>
      </c>
      <c r="D700" s="37" t="s">
        <v>123</v>
      </c>
      <c r="E700" s="36" t="n">
        <v>2026</v>
      </c>
      <c r="F700" s="37" t="s">
        <v>363</v>
      </c>
      <c r="G700" s="37" t="s">
        <v>102</v>
      </c>
      <c r="H700" s="36" t="s">
        <v>131</v>
      </c>
      <c r="I700" s="36" t="s">
        <v>870</v>
      </c>
      <c r="J700" s="37" t="s">
        <v>871</v>
      </c>
      <c r="K700" s="38" t="n">
        <v>202</v>
      </c>
      <c r="L700" s="38" t="n">
        <v>9898000</v>
      </c>
      <c r="M700" s="38" t="n">
        <v>2229008</v>
      </c>
      <c r="N700" s="39" t="n">
        <f aca="false">IF(A700="제외",0,IF(OR(N(L700)&lt;=0,N(M700)&gt;N(L700)),N(M700)/요약!$D$27,N(L700)))</f>
        <v>9898000</v>
      </c>
      <c r="O700" s="32" t="str">
        <f aca="false">IF(A700="제외","",IF(OR(N(L700)&lt;=0,N(M700)&gt;N(L700)),"택가보정(판매금액÷공급율)",""))</f>
        <v/>
      </c>
      <c r="P700" s="0" t="str">
        <f aca="false">IF(A700="HK","100",IF(A700="CN","200",IF(A700="TW","300",IF(ISNUMBER(SEARCH("태국",C700)),"500",IF(ISNUMBER(SEARCH("말레이",C700)),"600",IF(ISNUMBER(SEARCH("필리핀",C700)),"700",IF(ISNUMBER(SEARCH("인도네시아",C700)),"800",IF(ISNUMBER(SEARCH("크루즈",C700)),"810",IF(ISNUMBER(SEARCH("동물원",C700)),"830","")))))))))</f>
        <v>200</v>
      </c>
    </row>
    <row r="701" customFormat="false" ht="15" hidden="false" customHeight="false" outlineLevel="0" collapsed="false">
      <c r="A701" s="32" t="str">
        <f aca="false">IF(OR(TRIM(C701)="",SUBSTITUTE(C701," ","")="소계"),"제외",IF(ISNUMBER(SEARCH("홍콩",C701)),"HK",IF(ISNUMBER(SEARCH("상해",C701)),"CN",IF(ISNUMBER(SEARCH("대만",C701)),"TW","홀세일"))))</f>
        <v>CN</v>
      </c>
      <c r="B701" s="36" t="s">
        <v>1019</v>
      </c>
      <c r="C701" s="37" t="s">
        <v>1020</v>
      </c>
      <c r="D701" s="37" t="s">
        <v>123</v>
      </c>
      <c r="E701" s="36" t="n">
        <v>2026</v>
      </c>
      <c r="F701" s="37" t="s">
        <v>363</v>
      </c>
      <c r="G701" s="37" t="s">
        <v>102</v>
      </c>
      <c r="H701" s="36" t="s">
        <v>131</v>
      </c>
      <c r="I701" s="36" t="s">
        <v>386</v>
      </c>
      <c r="J701" s="37" t="s">
        <v>387</v>
      </c>
      <c r="K701" s="38" t="n">
        <v>535</v>
      </c>
      <c r="L701" s="38" t="n">
        <v>26215000</v>
      </c>
      <c r="M701" s="38" t="n">
        <v>6004355</v>
      </c>
      <c r="N701" s="39" t="n">
        <f aca="false">IF(A701="제외",0,IF(OR(N(L701)&lt;=0,N(M701)&gt;N(L701)),N(M701)/요약!$D$27,N(L701)))</f>
        <v>26215000</v>
      </c>
      <c r="O701" s="32" t="str">
        <f aca="false">IF(A701="제외","",IF(OR(N(L701)&lt;=0,N(M701)&gt;N(L701)),"택가보정(판매금액÷공급율)",""))</f>
        <v/>
      </c>
      <c r="P701" s="0" t="str">
        <f aca="false">IF(A701="HK","100",IF(A701="CN","200",IF(A701="TW","300",IF(ISNUMBER(SEARCH("태국",C701)),"500",IF(ISNUMBER(SEARCH("말레이",C701)),"600",IF(ISNUMBER(SEARCH("필리핀",C701)),"700",IF(ISNUMBER(SEARCH("인도네시아",C701)),"800",IF(ISNUMBER(SEARCH("크루즈",C701)),"810",IF(ISNUMBER(SEARCH("동물원",C701)),"830","")))))))))</f>
        <v>200</v>
      </c>
    </row>
    <row r="702" customFormat="false" ht="15" hidden="false" customHeight="false" outlineLevel="0" collapsed="false">
      <c r="A702" s="32" t="str">
        <f aca="false">IF(OR(TRIM(C702)="",SUBSTITUTE(C702," ","")="소계"),"제외",IF(ISNUMBER(SEARCH("홍콩",C702)),"HK",IF(ISNUMBER(SEARCH("상해",C702)),"CN",IF(ISNUMBER(SEARCH("대만",C702)),"TW","홀세일"))))</f>
        <v>CN</v>
      </c>
      <c r="B702" s="36" t="s">
        <v>1019</v>
      </c>
      <c r="C702" s="37" t="s">
        <v>1020</v>
      </c>
      <c r="D702" s="37" t="s">
        <v>123</v>
      </c>
      <c r="E702" s="36" t="n">
        <v>2026</v>
      </c>
      <c r="F702" s="37" t="s">
        <v>363</v>
      </c>
      <c r="G702" s="37" t="s">
        <v>102</v>
      </c>
      <c r="H702" s="36" t="s">
        <v>131</v>
      </c>
      <c r="I702" s="36" t="s">
        <v>874</v>
      </c>
      <c r="J702" s="36" t="s">
        <v>875</v>
      </c>
      <c r="K702" s="38" t="n">
        <v>122</v>
      </c>
      <c r="L702" s="38" t="n">
        <v>9638000</v>
      </c>
      <c r="M702" s="38" t="n">
        <v>2344650</v>
      </c>
      <c r="N702" s="39" t="n">
        <f aca="false">IF(A702="제외",0,IF(OR(N(L702)&lt;=0,N(M702)&gt;N(L702)),N(M702)/요약!$D$27,N(L702)))</f>
        <v>9638000</v>
      </c>
      <c r="O702" s="32" t="str">
        <f aca="false">IF(A702="제외","",IF(OR(N(L702)&lt;=0,N(M702)&gt;N(L702)),"택가보정(판매금액÷공급율)",""))</f>
        <v/>
      </c>
      <c r="P702" s="0" t="str">
        <f aca="false">IF(A702="HK","100",IF(A702="CN","200",IF(A702="TW","300",IF(ISNUMBER(SEARCH("태국",C702)),"500",IF(ISNUMBER(SEARCH("말레이",C702)),"600",IF(ISNUMBER(SEARCH("필리핀",C702)),"700",IF(ISNUMBER(SEARCH("인도네시아",C702)),"800",IF(ISNUMBER(SEARCH("크루즈",C702)),"810",IF(ISNUMBER(SEARCH("동물원",C702)),"830","")))))))))</f>
        <v>200</v>
      </c>
    </row>
    <row r="703" customFormat="false" ht="15" hidden="false" customHeight="false" outlineLevel="0" collapsed="false">
      <c r="A703" s="32" t="str">
        <f aca="false">IF(OR(TRIM(C703)="",SUBSTITUTE(C703," ","")="소계"),"제외",IF(ISNUMBER(SEARCH("홍콩",C703)),"HK",IF(ISNUMBER(SEARCH("상해",C703)),"CN",IF(ISNUMBER(SEARCH("대만",C703)),"TW","홀세일"))))</f>
        <v>CN</v>
      </c>
      <c r="B703" s="36" t="s">
        <v>1019</v>
      </c>
      <c r="C703" s="37" t="s">
        <v>1020</v>
      </c>
      <c r="D703" s="37" t="s">
        <v>123</v>
      </c>
      <c r="E703" s="36" t="n">
        <v>2026</v>
      </c>
      <c r="F703" s="37" t="s">
        <v>363</v>
      </c>
      <c r="G703" s="37" t="s">
        <v>124</v>
      </c>
      <c r="H703" s="36" t="s">
        <v>131</v>
      </c>
      <c r="I703" s="36" t="s">
        <v>1057</v>
      </c>
      <c r="J703" s="36" t="s">
        <v>1058</v>
      </c>
      <c r="K703" s="38" t="n">
        <v>142</v>
      </c>
      <c r="L703" s="38" t="n">
        <v>28258000</v>
      </c>
      <c r="M703" s="38" t="n">
        <v>9557026</v>
      </c>
      <c r="N703" s="39" t="n">
        <f aca="false">IF(A703="제외",0,IF(OR(N(L703)&lt;=0,N(M703)&gt;N(L703)),N(M703)/요약!$D$27,N(L703)))</f>
        <v>28258000</v>
      </c>
      <c r="O703" s="32" t="str">
        <f aca="false">IF(A703="제외","",IF(OR(N(L703)&lt;=0,N(M703)&gt;N(L703)),"택가보정(판매금액÷공급율)",""))</f>
        <v/>
      </c>
      <c r="P703" s="0" t="str">
        <f aca="false">IF(A703="HK","100",IF(A703="CN","200",IF(A703="TW","300",IF(ISNUMBER(SEARCH("태국",C703)),"500",IF(ISNUMBER(SEARCH("말레이",C703)),"600",IF(ISNUMBER(SEARCH("필리핀",C703)),"700",IF(ISNUMBER(SEARCH("인도네시아",C703)),"800",IF(ISNUMBER(SEARCH("크루즈",C703)),"810",IF(ISNUMBER(SEARCH("동물원",C703)),"830","")))))))))</f>
        <v>200</v>
      </c>
    </row>
    <row r="704" customFormat="false" ht="15" hidden="false" customHeight="false" outlineLevel="0" collapsed="false">
      <c r="A704" s="32" t="str">
        <f aca="false">IF(OR(TRIM(C704)="",SUBSTITUTE(C704," ","")="소계"),"제외",IF(ISNUMBER(SEARCH("홍콩",C704)),"HK",IF(ISNUMBER(SEARCH("상해",C704)),"CN",IF(ISNUMBER(SEARCH("대만",C704)),"TW","홀세일"))))</f>
        <v>CN</v>
      </c>
      <c r="B704" s="36" t="s">
        <v>1019</v>
      </c>
      <c r="C704" s="37" t="s">
        <v>1020</v>
      </c>
      <c r="D704" s="37" t="s">
        <v>123</v>
      </c>
      <c r="E704" s="36" t="n">
        <v>2026</v>
      </c>
      <c r="F704" s="37" t="s">
        <v>363</v>
      </c>
      <c r="G704" s="37" t="s">
        <v>124</v>
      </c>
      <c r="H704" s="36" t="s">
        <v>131</v>
      </c>
      <c r="I704" s="36" t="s">
        <v>1059</v>
      </c>
      <c r="J704" s="36" t="s">
        <v>1060</v>
      </c>
      <c r="K704" s="38" t="n">
        <v>71</v>
      </c>
      <c r="L704" s="38" t="n">
        <v>19809000</v>
      </c>
      <c r="M704" s="38" t="n">
        <v>4107162</v>
      </c>
      <c r="N704" s="39" t="n">
        <f aca="false">IF(A704="제외",0,IF(OR(N(L704)&lt;=0,N(M704)&gt;N(L704)),N(M704)/요약!$D$27,N(L704)))</f>
        <v>19809000</v>
      </c>
      <c r="O704" s="32" t="str">
        <f aca="false">IF(A704="제외","",IF(OR(N(L704)&lt;=0,N(M704)&gt;N(L704)),"택가보정(판매금액÷공급율)",""))</f>
        <v/>
      </c>
      <c r="P704" s="0" t="str">
        <f aca="false">IF(A704="HK","100",IF(A704="CN","200",IF(A704="TW","300",IF(ISNUMBER(SEARCH("태국",C704)),"500",IF(ISNUMBER(SEARCH("말레이",C704)),"600",IF(ISNUMBER(SEARCH("필리핀",C704)),"700",IF(ISNUMBER(SEARCH("인도네시아",C704)),"800",IF(ISNUMBER(SEARCH("크루즈",C704)),"810",IF(ISNUMBER(SEARCH("동물원",C704)),"830","")))))))))</f>
        <v>200</v>
      </c>
    </row>
    <row r="705" customFormat="false" ht="15" hidden="false" customHeight="false" outlineLevel="0" collapsed="false">
      <c r="A705" s="32" t="str">
        <f aca="false">IF(OR(TRIM(C705)="",SUBSTITUTE(C705," ","")="소계"),"제외",IF(ISNUMBER(SEARCH("홍콩",C705)),"HK",IF(ISNUMBER(SEARCH("상해",C705)),"CN",IF(ISNUMBER(SEARCH("대만",C705)),"TW","홀세일"))))</f>
        <v>CN</v>
      </c>
      <c r="B705" s="36" t="s">
        <v>1019</v>
      </c>
      <c r="C705" s="37" t="s">
        <v>1020</v>
      </c>
      <c r="D705" s="37" t="s">
        <v>123</v>
      </c>
      <c r="E705" s="36" t="n">
        <v>2026</v>
      </c>
      <c r="F705" s="37" t="s">
        <v>363</v>
      </c>
      <c r="G705" s="37" t="s">
        <v>124</v>
      </c>
      <c r="H705" s="36" t="s">
        <v>131</v>
      </c>
      <c r="I705" s="36" t="s">
        <v>408</v>
      </c>
      <c r="J705" s="36" t="s">
        <v>409</v>
      </c>
      <c r="K705" s="38" t="n">
        <v>82</v>
      </c>
      <c r="L705" s="38" t="n">
        <v>48380000</v>
      </c>
      <c r="M705" s="38" t="n">
        <v>16929870</v>
      </c>
      <c r="N705" s="39" t="n">
        <f aca="false">IF(A705="제외",0,IF(OR(N(L705)&lt;=0,N(M705)&gt;N(L705)),N(M705)/요약!$D$27,N(L705)))</f>
        <v>48380000</v>
      </c>
      <c r="O705" s="32" t="str">
        <f aca="false">IF(A705="제외","",IF(OR(N(L705)&lt;=0,N(M705)&gt;N(L705)),"택가보정(판매금액÷공급율)",""))</f>
        <v/>
      </c>
      <c r="P705" s="0" t="str">
        <f aca="false">IF(A705="HK","100",IF(A705="CN","200",IF(A705="TW","300",IF(ISNUMBER(SEARCH("태국",C705)),"500",IF(ISNUMBER(SEARCH("말레이",C705)),"600",IF(ISNUMBER(SEARCH("필리핀",C705)),"700",IF(ISNUMBER(SEARCH("인도네시아",C705)),"800",IF(ISNUMBER(SEARCH("크루즈",C705)),"810",IF(ISNUMBER(SEARCH("동물원",C705)),"830","")))))))))</f>
        <v>200</v>
      </c>
    </row>
    <row r="706" customFormat="false" ht="15" hidden="false" customHeight="false" outlineLevel="0" collapsed="false">
      <c r="A706" s="32" t="str">
        <f aca="false">IF(OR(TRIM(C706)="",SUBSTITUTE(C706," ","")="소계"),"제외",IF(ISNUMBER(SEARCH("홍콩",C706)),"HK",IF(ISNUMBER(SEARCH("상해",C706)),"CN",IF(ISNUMBER(SEARCH("대만",C706)),"TW","홀세일"))))</f>
        <v>CN</v>
      </c>
      <c r="B706" s="36" t="s">
        <v>1019</v>
      </c>
      <c r="C706" s="37" t="s">
        <v>1020</v>
      </c>
      <c r="D706" s="37" t="s">
        <v>123</v>
      </c>
      <c r="E706" s="36" t="n">
        <v>2026</v>
      </c>
      <c r="F706" s="37" t="s">
        <v>363</v>
      </c>
      <c r="G706" s="37" t="s">
        <v>124</v>
      </c>
      <c r="H706" s="36" t="s">
        <v>125</v>
      </c>
      <c r="I706" s="36" t="s">
        <v>1061</v>
      </c>
      <c r="J706" s="37" t="s">
        <v>1062</v>
      </c>
      <c r="K706" s="38" t="n">
        <v>197</v>
      </c>
      <c r="L706" s="38" t="n">
        <v>25413000</v>
      </c>
      <c r="M706" s="38" t="n">
        <v>6373126</v>
      </c>
      <c r="N706" s="39" t="n">
        <f aca="false">IF(A706="제외",0,IF(OR(N(L706)&lt;=0,N(M706)&gt;N(L706)),N(M706)/요약!$D$27,N(L706)))</f>
        <v>25413000</v>
      </c>
      <c r="O706" s="32" t="str">
        <f aca="false">IF(A706="제외","",IF(OR(N(L706)&lt;=0,N(M706)&gt;N(L706)),"택가보정(판매금액÷공급율)",""))</f>
        <v/>
      </c>
      <c r="P706" s="0" t="str">
        <f aca="false">IF(A706="HK","100",IF(A706="CN","200",IF(A706="TW","300",IF(ISNUMBER(SEARCH("태국",C706)),"500",IF(ISNUMBER(SEARCH("말레이",C706)),"600",IF(ISNUMBER(SEARCH("필리핀",C706)),"700",IF(ISNUMBER(SEARCH("인도네시아",C706)),"800",IF(ISNUMBER(SEARCH("크루즈",C706)),"810",IF(ISNUMBER(SEARCH("동물원",C706)),"830","")))))))))</f>
        <v>200</v>
      </c>
    </row>
    <row r="707" customFormat="false" ht="15" hidden="false" customHeight="false" outlineLevel="0" collapsed="false">
      <c r="A707" s="32" t="str">
        <f aca="false">IF(OR(TRIM(C707)="",SUBSTITUTE(C707," ","")="소계"),"제외",IF(ISNUMBER(SEARCH("홍콩",C707)),"HK",IF(ISNUMBER(SEARCH("상해",C707)),"CN",IF(ISNUMBER(SEARCH("대만",C707)),"TW","홀세일"))))</f>
        <v>CN</v>
      </c>
      <c r="B707" s="36" t="s">
        <v>1019</v>
      </c>
      <c r="C707" s="37" t="s">
        <v>1020</v>
      </c>
      <c r="D707" s="37" t="s">
        <v>123</v>
      </c>
      <c r="E707" s="36" t="n">
        <v>2026</v>
      </c>
      <c r="F707" s="37" t="s">
        <v>363</v>
      </c>
      <c r="G707" s="37" t="s">
        <v>124</v>
      </c>
      <c r="H707" s="36" t="s">
        <v>131</v>
      </c>
      <c r="I707" s="36" t="s">
        <v>414</v>
      </c>
      <c r="J707" s="37" t="s">
        <v>415</v>
      </c>
      <c r="K707" s="38" t="n">
        <v>404</v>
      </c>
      <c r="L707" s="38" t="n">
        <v>60196000</v>
      </c>
      <c r="M707" s="38" t="n">
        <v>11910194</v>
      </c>
      <c r="N707" s="39" t="n">
        <f aca="false">IF(A707="제외",0,IF(OR(N(L707)&lt;=0,N(M707)&gt;N(L707)),N(M707)/요약!$D$27,N(L707)))</f>
        <v>60196000</v>
      </c>
      <c r="O707" s="32" t="str">
        <f aca="false">IF(A707="제외","",IF(OR(N(L707)&lt;=0,N(M707)&gt;N(L707)),"택가보정(판매금액÷공급율)",""))</f>
        <v/>
      </c>
      <c r="P707" s="0" t="str">
        <f aca="false">IF(A707="HK","100",IF(A707="CN","200",IF(A707="TW","300",IF(ISNUMBER(SEARCH("태국",C707)),"500",IF(ISNUMBER(SEARCH("말레이",C707)),"600",IF(ISNUMBER(SEARCH("필리핀",C707)),"700",IF(ISNUMBER(SEARCH("인도네시아",C707)),"800",IF(ISNUMBER(SEARCH("크루즈",C707)),"810",IF(ISNUMBER(SEARCH("동물원",C707)),"830","")))))))))</f>
        <v>200</v>
      </c>
    </row>
    <row r="708" customFormat="false" ht="15" hidden="false" customHeight="false" outlineLevel="0" collapsed="false">
      <c r="A708" s="32" t="str">
        <f aca="false">IF(OR(TRIM(C708)="",SUBSTITUTE(C708," ","")="소계"),"제외",IF(ISNUMBER(SEARCH("홍콩",C708)),"HK",IF(ISNUMBER(SEARCH("상해",C708)),"CN",IF(ISNUMBER(SEARCH("대만",C708)),"TW","홀세일"))))</f>
        <v>CN</v>
      </c>
      <c r="B708" s="36" t="s">
        <v>1019</v>
      </c>
      <c r="C708" s="37" t="s">
        <v>1020</v>
      </c>
      <c r="D708" s="37" t="s">
        <v>123</v>
      </c>
      <c r="E708" s="36" t="n">
        <v>2026</v>
      </c>
      <c r="F708" s="37" t="s">
        <v>363</v>
      </c>
      <c r="G708" s="37" t="s">
        <v>124</v>
      </c>
      <c r="H708" s="37" t="s">
        <v>128</v>
      </c>
      <c r="I708" s="36" t="s">
        <v>1063</v>
      </c>
      <c r="J708" s="36" t="s">
        <v>1064</v>
      </c>
      <c r="K708" s="38" t="n">
        <v>397</v>
      </c>
      <c r="L708" s="38" t="n">
        <v>63123000</v>
      </c>
      <c r="M708" s="38" t="n">
        <v>20304145</v>
      </c>
      <c r="N708" s="39" t="n">
        <f aca="false">IF(A708="제외",0,IF(OR(N(L708)&lt;=0,N(M708)&gt;N(L708)),N(M708)/요약!$D$27,N(L708)))</f>
        <v>63123000</v>
      </c>
      <c r="O708" s="32" t="str">
        <f aca="false">IF(A708="제외","",IF(OR(N(L708)&lt;=0,N(M708)&gt;N(L708)),"택가보정(판매금액÷공급율)",""))</f>
        <v/>
      </c>
      <c r="P708" s="0" t="str">
        <f aca="false">IF(A708="HK","100",IF(A708="CN","200",IF(A708="TW","300",IF(ISNUMBER(SEARCH("태국",C708)),"500",IF(ISNUMBER(SEARCH("말레이",C708)),"600",IF(ISNUMBER(SEARCH("필리핀",C708)),"700",IF(ISNUMBER(SEARCH("인도네시아",C708)),"800",IF(ISNUMBER(SEARCH("크루즈",C708)),"810",IF(ISNUMBER(SEARCH("동물원",C708)),"830","")))))))))</f>
        <v>200</v>
      </c>
    </row>
    <row r="709" customFormat="false" ht="15" hidden="false" customHeight="false" outlineLevel="0" collapsed="false">
      <c r="A709" s="32" t="str">
        <f aca="false">IF(OR(TRIM(C709)="",SUBSTITUTE(C709," ","")="소계"),"제외",IF(ISNUMBER(SEARCH("홍콩",C709)),"HK",IF(ISNUMBER(SEARCH("상해",C709)),"CN",IF(ISNUMBER(SEARCH("대만",C709)),"TW","홀세일"))))</f>
        <v>CN</v>
      </c>
      <c r="B709" s="36" t="s">
        <v>1019</v>
      </c>
      <c r="C709" s="37" t="s">
        <v>1020</v>
      </c>
      <c r="D709" s="37" t="s">
        <v>123</v>
      </c>
      <c r="E709" s="36" t="n">
        <v>2026</v>
      </c>
      <c r="F709" s="37" t="s">
        <v>363</v>
      </c>
      <c r="G709" s="37" t="s">
        <v>124</v>
      </c>
      <c r="H709" s="36" t="s">
        <v>125</v>
      </c>
      <c r="I709" s="36" t="s">
        <v>422</v>
      </c>
      <c r="J709" s="37" t="s">
        <v>423</v>
      </c>
      <c r="K709" s="38" t="n">
        <v>127</v>
      </c>
      <c r="L709" s="38" t="n">
        <v>44323000</v>
      </c>
      <c r="M709" s="38" t="n">
        <v>17650632</v>
      </c>
      <c r="N709" s="39" t="n">
        <f aca="false">IF(A709="제외",0,IF(OR(N(L709)&lt;=0,N(M709)&gt;N(L709)),N(M709)/요약!$D$27,N(L709)))</f>
        <v>44323000</v>
      </c>
      <c r="O709" s="32" t="str">
        <f aca="false">IF(A709="제외","",IF(OR(N(L709)&lt;=0,N(M709)&gt;N(L709)),"택가보정(판매금액÷공급율)",""))</f>
        <v/>
      </c>
      <c r="P709" s="0" t="str">
        <f aca="false">IF(A709="HK","100",IF(A709="CN","200",IF(A709="TW","300",IF(ISNUMBER(SEARCH("태국",C709)),"500",IF(ISNUMBER(SEARCH("말레이",C709)),"600",IF(ISNUMBER(SEARCH("필리핀",C709)),"700",IF(ISNUMBER(SEARCH("인도네시아",C709)),"800",IF(ISNUMBER(SEARCH("크루즈",C709)),"810",IF(ISNUMBER(SEARCH("동물원",C709)),"830","")))))))))</f>
        <v>200</v>
      </c>
    </row>
    <row r="710" customFormat="false" ht="15" hidden="false" customHeight="false" outlineLevel="0" collapsed="false">
      <c r="A710" s="32" t="str">
        <f aca="false">IF(OR(TRIM(C710)="",SUBSTITUTE(C710," ","")="소계"),"제외",IF(ISNUMBER(SEARCH("홍콩",C710)),"HK",IF(ISNUMBER(SEARCH("상해",C710)),"CN",IF(ISNUMBER(SEARCH("대만",C710)),"TW","홀세일"))))</f>
        <v>CN</v>
      </c>
      <c r="B710" s="36" t="s">
        <v>1019</v>
      </c>
      <c r="C710" s="37" t="s">
        <v>1020</v>
      </c>
      <c r="D710" s="37" t="s">
        <v>123</v>
      </c>
      <c r="E710" s="36" t="n">
        <v>2026</v>
      </c>
      <c r="F710" s="37" t="s">
        <v>363</v>
      </c>
      <c r="G710" s="37" t="s">
        <v>124</v>
      </c>
      <c r="H710" s="36" t="s">
        <v>125</v>
      </c>
      <c r="I710" s="36" t="s">
        <v>424</v>
      </c>
      <c r="J710" s="37" t="s">
        <v>425</v>
      </c>
      <c r="K710" s="38" t="n">
        <v>267</v>
      </c>
      <c r="L710" s="38" t="n">
        <v>47793000</v>
      </c>
      <c r="M710" s="38" t="n">
        <v>15262202</v>
      </c>
      <c r="N710" s="39" t="n">
        <f aca="false">IF(A710="제외",0,IF(OR(N(L710)&lt;=0,N(M710)&gt;N(L710)),N(M710)/요약!$D$27,N(L710)))</f>
        <v>47793000</v>
      </c>
      <c r="O710" s="32" t="str">
        <f aca="false">IF(A710="제외","",IF(OR(N(L710)&lt;=0,N(M710)&gt;N(L710)),"택가보정(판매금액÷공급율)",""))</f>
        <v/>
      </c>
      <c r="P710" s="0" t="str">
        <f aca="false">IF(A710="HK","100",IF(A710="CN","200",IF(A710="TW","300",IF(ISNUMBER(SEARCH("태국",C710)),"500",IF(ISNUMBER(SEARCH("말레이",C710)),"600",IF(ISNUMBER(SEARCH("필리핀",C710)),"700",IF(ISNUMBER(SEARCH("인도네시아",C710)),"800",IF(ISNUMBER(SEARCH("크루즈",C710)),"810",IF(ISNUMBER(SEARCH("동물원",C710)),"830","")))))))))</f>
        <v>200</v>
      </c>
    </row>
    <row r="711" customFormat="false" ht="15" hidden="false" customHeight="false" outlineLevel="0" collapsed="false">
      <c r="A711" s="32" t="str">
        <f aca="false">IF(OR(TRIM(C711)="",SUBSTITUTE(C711," ","")="소계"),"제외",IF(ISNUMBER(SEARCH("홍콩",C711)),"HK",IF(ISNUMBER(SEARCH("상해",C711)),"CN",IF(ISNUMBER(SEARCH("대만",C711)),"TW","홀세일"))))</f>
        <v>CN</v>
      </c>
      <c r="B711" s="36" t="s">
        <v>1019</v>
      </c>
      <c r="C711" s="37" t="s">
        <v>1020</v>
      </c>
      <c r="D711" s="37" t="s">
        <v>123</v>
      </c>
      <c r="E711" s="36" t="n">
        <v>2026</v>
      </c>
      <c r="F711" s="37" t="s">
        <v>363</v>
      </c>
      <c r="G711" s="37" t="s">
        <v>124</v>
      </c>
      <c r="H711" s="36" t="s">
        <v>131</v>
      </c>
      <c r="I711" s="36" t="s">
        <v>428</v>
      </c>
      <c r="J711" s="37" t="s">
        <v>429</v>
      </c>
      <c r="K711" s="38" t="n">
        <v>513</v>
      </c>
      <c r="L711" s="38" t="n">
        <v>96957000</v>
      </c>
      <c r="M711" s="38" t="n">
        <v>26531427</v>
      </c>
      <c r="N711" s="39" t="n">
        <f aca="false">IF(A711="제외",0,IF(OR(N(L711)&lt;=0,N(M711)&gt;N(L711)),N(M711)/요약!$D$27,N(L711)))</f>
        <v>96957000</v>
      </c>
      <c r="O711" s="32" t="str">
        <f aca="false">IF(A711="제외","",IF(OR(N(L711)&lt;=0,N(M711)&gt;N(L711)),"택가보정(판매금액÷공급율)",""))</f>
        <v/>
      </c>
      <c r="P711" s="0" t="str">
        <f aca="false">IF(A711="HK","100",IF(A711="CN","200",IF(A711="TW","300",IF(ISNUMBER(SEARCH("태국",C711)),"500",IF(ISNUMBER(SEARCH("말레이",C711)),"600",IF(ISNUMBER(SEARCH("필리핀",C711)),"700",IF(ISNUMBER(SEARCH("인도네시아",C711)),"800",IF(ISNUMBER(SEARCH("크루즈",C711)),"810",IF(ISNUMBER(SEARCH("동물원",C711)),"830","")))))))))</f>
        <v>200</v>
      </c>
    </row>
    <row r="712" customFormat="false" ht="15" hidden="false" customHeight="false" outlineLevel="0" collapsed="false">
      <c r="A712" s="32" t="str">
        <f aca="false">IF(OR(TRIM(C712)="",SUBSTITUTE(C712," ","")="소계"),"제외",IF(ISNUMBER(SEARCH("홍콩",C712)),"HK",IF(ISNUMBER(SEARCH("상해",C712)),"CN",IF(ISNUMBER(SEARCH("대만",C712)),"TW","홀세일"))))</f>
        <v>CN</v>
      </c>
      <c r="B712" s="36" t="s">
        <v>1019</v>
      </c>
      <c r="C712" s="37" t="s">
        <v>1020</v>
      </c>
      <c r="D712" s="37" t="s">
        <v>123</v>
      </c>
      <c r="E712" s="36" t="n">
        <v>2026</v>
      </c>
      <c r="F712" s="37" t="s">
        <v>363</v>
      </c>
      <c r="G712" s="37" t="s">
        <v>124</v>
      </c>
      <c r="H712" s="36" t="s">
        <v>131</v>
      </c>
      <c r="I712" s="36" t="s">
        <v>440</v>
      </c>
      <c r="J712" s="37" t="s">
        <v>441</v>
      </c>
      <c r="K712" s="38" t="n">
        <v>423</v>
      </c>
      <c r="L712" s="38" t="n">
        <v>29187000</v>
      </c>
      <c r="M712" s="38" t="n">
        <v>7190703</v>
      </c>
      <c r="N712" s="39" t="n">
        <f aca="false">IF(A712="제외",0,IF(OR(N(L712)&lt;=0,N(M712)&gt;N(L712)),N(M712)/요약!$D$27,N(L712)))</f>
        <v>29187000</v>
      </c>
      <c r="O712" s="32" t="str">
        <f aca="false">IF(A712="제외","",IF(OR(N(L712)&lt;=0,N(M712)&gt;N(L712)),"택가보정(판매금액÷공급율)",""))</f>
        <v/>
      </c>
      <c r="P712" s="0" t="str">
        <f aca="false">IF(A712="HK","100",IF(A712="CN","200",IF(A712="TW","300",IF(ISNUMBER(SEARCH("태국",C712)),"500",IF(ISNUMBER(SEARCH("말레이",C712)),"600",IF(ISNUMBER(SEARCH("필리핀",C712)),"700",IF(ISNUMBER(SEARCH("인도네시아",C712)),"800",IF(ISNUMBER(SEARCH("크루즈",C712)),"810",IF(ISNUMBER(SEARCH("동물원",C712)),"830","")))))))))</f>
        <v>200</v>
      </c>
    </row>
    <row r="713" customFormat="false" ht="15" hidden="false" customHeight="false" outlineLevel="0" collapsed="false">
      <c r="A713" s="32" t="str">
        <f aca="false">IF(OR(TRIM(C713)="",SUBSTITUTE(C713," ","")="소계"),"제외",IF(ISNUMBER(SEARCH("홍콩",C713)),"HK",IF(ISNUMBER(SEARCH("상해",C713)),"CN",IF(ISNUMBER(SEARCH("대만",C713)),"TW","홀세일"))))</f>
        <v>CN</v>
      </c>
      <c r="B713" s="36" t="s">
        <v>1019</v>
      </c>
      <c r="C713" s="37" t="s">
        <v>1020</v>
      </c>
      <c r="D713" s="37" t="s">
        <v>123</v>
      </c>
      <c r="E713" s="36" t="n">
        <v>2026</v>
      </c>
      <c r="F713" s="37" t="s">
        <v>363</v>
      </c>
      <c r="G713" s="37" t="s">
        <v>124</v>
      </c>
      <c r="H713" s="36" t="s">
        <v>125</v>
      </c>
      <c r="I713" s="36" t="s">
        <v>446</v>
      </c>
      <c r="J713" s="37" t="s">
        <v>447</v>
      </c>
      <c r="K713" s="38" t="n">
        <v>222</v>
      </c>
      <c r="L713" s="38" t="n">
        <v>15318000</v>
      </c>
      <c r="M713" s="38" t="n">
        <v>3426108</v>
      </c>
      <c r="N713" s="39" t="n">
        <f aca="false">IF(A713="제외",0,IF(OR(N(L713)&lt;=0,N(M713)&gt;N(L713)),N(M713)/요약!$D$27,N(L713)))</f>
        <v>15318000</v>
      </c>
      <c r="O713" s="32" t="str">
        <f aca="false">IF(A713="제외","",IF(OR(N(L713)&lt;=0,N(M713)&gt;N(L713)),"택가보정(판매금액÷공급율)",""))</f>
        <v/>
      </c>
      <c r="P713" s="0" t="str">
        <f aca="false">IF(A713="HK","100",IF(A713="CN","200",IF(A713="TW","300",IF(ISNUMBER(SEARCH("태국",C713)),"500",IF(ISNUMBER(SEARCH("말레이",C713)),"600",IF(ISNUMBER(SEARCH("필리핀",C713)),"700",IF(ISNUMBER(SEARCH("인도네시아",C713)),"800",IF(ISNUMBER(SEARCH("크루즈",C713)),"810",IF(ISNUMBER(SEARCH("동물원",C713)),"830","")))))))))</f>
        <v>200</v>
      </c>
    </row>
    <row r="714" customFormat="false" ht="15" hidden="false" customHeight="false" outlineLevel="0" collapsed="false">
      <c r="A714" s="32" t="str">
        <f aca="false">IF(OR(TRIM(C714)="",SUBSTITUTE(C714," ","")="소계"),"제외",IF(ISNUMBER(SEARCH("홍콩",C714)),"HK",IF(ISNUMBER(SEARCH("상해",C714)),"CN",IF(ISNUMBER(SEARCH("대만",C714)),"TW","홀세일"))))</f>
        <v>CN</v>
      </c>
      <c r="B714" s="36" t="s">
        <v>1019</v>
      </c>
      <c r="C714" s="37" t="s">
        <v>1020</v>
      </c>
      <c r="D714" s="37" t="s">
        <v>123</v>
      </c>
      <c r="E714" s="36" t="n">
        <v>2026</v>
      </c>
      <c r="F714" s="37" t="s">
        <v>363</v>
      </c>
      <c r="G714" s="37" t="s">
        <v>124</v>
      </c>
      <c r="H714" s="36" t="s">
        <v>188</v>
      </c>
      <c r="I714" s="36" t="s">
        <v>894</v>
      </c>
      <c r="J714" s="36" t="s">
        <v>895</v>
      </c>
      <c r="K714" s="38" t="n">
        <v>217</v>
      </c>
      <c r="L714" s="38" t="n">
        <v>30163000</v>
      </c>
      <c r="M714" s="38" t="n">
        <v>8760607</v>
      </c>
      <c r="N714" s="39" t="n">
        <f aca="false">IF(A714="제외",0,IF(OR(N(L714)&lt;=0,N(M714)&gt;N(L714)),N(M714)/요약!$D$27,N(L714)))</f>
        <v>30163000</v>
      </c>
      <c r="O714" s="32" t="str">
        <f aca="false">IF(A714="제외","",IF(OR(N(L714)&lt;=0,N(M714)&gt;N(L714)),"택가보정(판매금액÷공급율)",""))</f>
        <v/>
      </c>
      <c r="P714" s="0" t="str">
        <f aca="false">IF(A714="HK","100",IF(A714="CN","200",IF(A714="TW","300",IF(ISNUMBER(SEARCH("태국",C714)),"500",IF(ISNUMBER(SEARCH("말레이",C714)),"600",IF(ISNUMBER(SEARCH("필리핀",C714)),"700",IF(ISNUMBER(SEARCH("인도네시아",C714)),"800",IF(ISNUMBER(SEARCH("크루즈",C714)),"810",IF(ISNUMBER(SEARCH("동물원",C714)),"830","")))))))))</f>
        <v>200</v>
      </c>
    </row>
    <row r="715" customFormat="false" ht="15" hidden="false" customHeight="false" outlineLevel="0" collapsed="false">
      <c r="A715" s="32" t="str">
        <f aca="false">IF(OR(TRIM(C715)="",SUBSTITUTE(C715," ","")="소계"),"제외",IF(ISNUMBER(SEARCH("홍콩",C715)),"HK",IF(ISNUMBER(SEARCH("상해",C715)),"CN",IF(ISNUMBER(SEARCH("대만",C715)),"TW","홀세일"))))</f>
        <v>CN</v>
      </c>
      <c r="B715" s="36" t="s">
        <v>1019</v>
      </c>
      <c r="C715" s="37" t="s">
        <v>1020</v>
      </c>
      <c r="D715" s="37" t="s">
        <v>123</v>
      </c>
      <c r="E715" s="36" t="n">
        <v>2026</v>
      </c>
      <c r="F715" s="37" t="s">
        <v>363</v>
      </c>
      <c r="G715" s="37" t="s">
        <v>124</v>
      </c>
      <c r="H715" s="36" t="s">
        <v>188</v>
      </c>
      <c r="I715" s="36" t="s">
        <v>1065</v>
      </c>
      <c r="J715" s="36" t="s">
        <v>1066</v>
      </c>
      <c r="K715" s="38" t="n">
        <v>229</v>
      </c>
      <c r="L715" s="38" t="n">
        <v>13511000</v>
      </c>
      <c r="M715" s="38" t="n">
        <v>2862694</v>
      </c>
      <c r="N715" s="39" t="n">
        <f aca="false">IF(A715="제외",0,IF(OR(N(L715)&lt;=0,N(M715)&gt;N(L715)),N(M715)/요약!$D$27,N(L715)))</f>
        <v>13511000</v>
      </c>
      <c r="O715" s="32" t="str">
        <f aca="false">IF(A715="제외","",IF(OR(N(L715)&lt;=0,N(M715)&gt;N(L715)),"택가보정(판매금액÷공급율)",""))</f>
        <v/>
      </c>
      <c r="P715" s="0" t="str">
        <f aca="false">IF(A715="HK","100",IF(A715="CN","200",IF(A715="TW","300",IF(ISNUMBER(SEARCH("태국",C715)),"500",IF(ISNUMBER(SEARCH("말레이",C715)),"600",IF(ISNUMBER(SEARCH("필리핀",C715)),"700",IF(ISNUMBER(SEARCH("인도네시아",C715)),"800",IF(ISNUMBER(SEARCH("크루즈",C715)),"810",IF(ISNUMBER(SEARCH("동물원",C715)),"830","")))))))))</f>
        <v>200</v>
      </c>
    </row>
    <row r="716" customFormat="false" ht="15" hidden="false" customHeight="false" outlineLevel="0" collapsed="false">
      <c r="A716" s="32" t="str">
        <f aca="false">IF(OR(TRIM(C716)="",SUBSTITUTE(C716," ","")="소계"),"제외",IF(ISNUMBER(SEARCH("홍콩",C716)),"HK",IF(ISNUMBER(SEARCH("상해",C716)),"CN",IF(ISNUMBER(SEARCH("대만",C716)),"TW","홀세일"))))</f>
        <v>CN</v>
      </c>
      <c r="B716" s="36" t="s">
        <v>1019</v>
      </c>
      <c r="C716" s="37" t="s">
        <v>1020</v>
      </c>
      <c r="D716" s="37" t="s">
        <v>123</v>
      </c>
      <c r="E716" s="36" t="n">
        <v>2026</v>
      </c>
      <c r="F716" s="37" t="s">
        <v>363</v>
      </c>
      <c r="G716" s="37" t="s">
        <v>124</v>
      </c>
      <c r="H716" s="36" t="s">
        <v>188</v>
      </c>
      <c r="I716" s="36" t="s">
        <v>472</v>
      </c>
      <c r="J716" s="36" t="s">
        <v>473</v>
      </c>
      <c r="K716" s="38" t="n">
        <v>483</v>
      </c>
      <c r="L716" s="38" t="n">
        <v>33327000</v>
      </c>
      <c r="M716" s="38" t="n">
        <v>8283039</v>
      </c>
      <c r="N716" s="39" t="n">
        <f aca="false">IF(A716="제외",0,IF(OR(N(L716)&lt;=0,N(M716)&gt;N(L716)),N(M716)/요약!$D$27,N(L716)))</f>
        <v>33327000</v>
      </c>
      <c r="O716" s="32" t="str">
        <f aca="false">IF(A716="제외","",IF(OR(N(L716)&lt;=0,N(M716)&gt;N(L716)),"택가보정(판매금액÷공급율)",""))</f>
        <v/>
      </c>
      <c r="P716" s="0" t="str">
        <f aca="false">IF(A716="HK","100",IF(A716="CN","200",IF(A716="TW","300",IF(ISNUMBER(SEARCH("태국",C716)),"500",IF(ISNUMBER(SEARCH("말레이",C716)),"600",IF(ISNUMBER(SEARCH("필리핀",C716)),"700",IF(ISNUMBER(SEARCH("인도네시아",C716)),"800",IF(ISNUMBER(SEARCH("크루즈",C716)),"810",IF(ISNUMBER(SEARCH("동물원",C716)),"830","")))))))))</f>
        <v>200</v>
      </c>
    </row>
    <row r="717" customFormat="false" ht="15" hidden="false" customHeight="false" outlineLevel="0" collapsed="false">
      <c r="A717" s="32" t="str">
        <f aca="false">IF(OR(TRIM(C717)="",SUBSTITUTE(C717," ","")="소계"),"제외",IF(ISNUMBER(SEARCH("홍콩",C717)),"HK",IF(ISNUMBER(SEARCH("상해",C717)),"CN",IF(ISNUMBER(SEARCH("대만",C717)),"TW","홀세일"))))</f>
        <v>CN</v>
      </c>
      <c r="B717" s="36" t="s">
        <v>1019</v>
      </c>
      <c r="C717" s="37" t="s">
        <v>1020</v>
      </c>
      <c r="D717" s="37" t="s">
        <v>123</v>
      </c>
      <c r="E717" s="36" t="n">
        <v>2026</v>
      </c>
      <c r="F717" s="37" t="s">
        <v>474</v>
      </c>
      <c r="G717" s="37" t="s">
        <v>124</v>
      </c>
      <c r="H717" s="36" t="s">
        <v>131</v>
      </c>
      <c r="I717" s="36" t="s">
        <v>1067</v>
      </c>
      <c r="J717" s="36" t="s">
        <v>1068</v>
      </c>
      <c r="K717" s="38" t="n">
        <v>2</v>
      </c>
      <c r="L717" s="38" t="n">
        <v>398000</v>
      </c>
      <c r="M717" s="38" t="n">
        <v>136766</v>
      </c>
      <c r="N717" s="39" t="n">
        <f aca="false">IF(A717="제외",0,IF(OR(N(L717)&lt;=0,N(M717)&gt;N(L717)),N(M717)/요약!$D$27,N(L717)))</f>
        <v>398000</v>
      </c>
      <c r="O717" s="32" t="str">
        <f aca="false">IF(A717="제외","",IF(OR(N(L717)&lt;=0,N(M717)&gt;N(L717)),"택가보정(판매금액÷공급율)",""))</f>
        <v/>
      </c>
      <c r="P717" s="0" t="str">
        <f aca="false">IF(A717="HK","100",IF(A717="CN","200",IF(A717="TW","300",IF(ISNUMBER(SEARCH("태국",C717)),"500",IF(ISNUMBER(SEARCH("말레이",C717)),"600",IF(ISNUMBER(SEARCH("필리핀",C717)),"700",IF(ISNUMBER(SEARCH("인도네시아",C717)),"800",IF(ISNUMBER(SEARCH("크루즈",C717)),"810",IF(ISNUMBER(SEARCH("동물원",C717)),"830","")))))))))</f>
        <v>200</v>
      </c>
    </row>
    <row r="718" customFormat="false" ht="15" hidden="false" customHeight="false" outlineLevel="0" collapsed="false">
      <c r="A718" s="32" t="str">
        <f aca="false">IF(OR(TRIM(C718)="",SUBSTITUTE(C718," ","")="소계"),"제외",IF(ISNUMBER(SEARCH("홍콩",C718)),"HK",IF(ISNUMBER(SEARCH("상해",C718)),"CN",IF(ISNUMBER(SEARCH("대만",C718)),"TW","홀세일"))))</f>
        <v>CN</v>
      </c>
      <c r="B718" s="36" t="s">
        <v>1019</v>
      </c>
      <c r="C718" s="37" t="s">
        <v>1020</v>
      </c>
      <c r="D718" s="37" t="s">
        <v>123</v>
      </c>
      <c r="E718" s="36" t="n">
        <v>2026</v>
      </c>
      <c r="F718" s="37" t="s">
        <v>474</v>
      </c>
      <c r="G718" s="37" t="s">
        <v>124</v>
      </c>
      <c r="H718" s="36" t="s">
        <v>125</v>
      </c>
      <c r="I718" s="36" t="s">
        <v>906</v>
      </c>
      <c r="J718" s="36" t="s">
        <v>907</v>
      </c>
      <c r="K718" s="38" t="n">
        <v>132</v>
      </c>
      <c r="L718" s="38" t="n">
        <v>26268000</v>
      </c>
      <c r="M718" s="38" t="n">
        <v>8340822</v>
      </c>
      <c r="N718" s="39" t="n">
        <f aca="false">IF(A718="제외",0,IF(OR(N(L718)&lt;=0,N(M718)&gt;N(L718)),N(M718)/요약!$D$27,N(L718)))</f>
        <v>26268000</v>
      </c>
      <c r="O718" s="32" t="str">
        <f aca="false">IF(A718="제외","",IF(OR(N(L718)&lt;=0,N(M718)&gt;N(L718)),"택가보정(판매금액÷공급율)",""))</f>
        <v/>
      </c>
      <c r="P718" s="0" t="str">
        <f aca="false">IF(A718="HK","100",IF(A718="CN","200",IF(A718="TW","300",IF(ISNUMBER(SEARCH("태국",C718)),"500",IF(ISNUMBER(SEARCH("말레이",C718)),"600",IF(ISNUMBER(SEARCH("필리핀",C718)),"700",IF(ISNUMBER(SEARCH("인도네시아",C718)),"800",IF(ISNUMBER(SEARCH("크루즈",C718)),"810",IF(ISNUMBER(SEARCH("동물원",C718)),"830","")))))))))</f>
        <v>200</v>
      </c>
    </row>
    <row r="719" customFormat="false" ht="15" hidden="false" customHeight="false" outlineLevel="0" collapsed="false">
      <c r="A719" s="32" t="str">
        <f aca="false">IF(OR(TRIM(C719)="",SUBSTITUTE(C719," ","")="소계"),"제외",IF(ISNUMBER(SEARCH("홍콩",C719)),"HK",IF(ISNUMBER(SEARCH("상해",C719)),"CN",IF(ISNUMBER(SEARCH("대만",C719)),"TW","홀세일"))))</f>
        <v>CN</v>
      </c>
      <c r="B719" s="36" t="s">
        <v>1019</v>
      </c>
      <c r="C719" s="37" t="s">
        <v>1020</v>
      </c>
      <c r="D719" s="37" t="s">
        <v>123</v>
      </c>
      <c r="E719" s="36" t="n">
        <v>2026</v>
      </c>
      <c r="F719" s="37" t="s">
        <v>474</v>
      </c>
      <c r="G719" s="37" t="s">
        <v>124</v>
      </c>
      <c r="H719" s="36" t="s">
        <v>131</v>
      </c>
      <c r="I719" s="36" t="s">
        <v>1069</v>
      </c>
      <c r="J719" s="36" t="s">
        <v>1070</v>
      </c>
      <c r="K719" s="38" t="n">
        <v>2</v>
      </c>
      <c r="L719" s="38" t="n">
        <v>998000</v>
      </c>
      <c r="M719" s="38" t="n">
        <v>412282</v>
      </c>
      <c r="N719" s="39" t="n">
        <f aca="false">IF(A719="제외",0,IF(OR(N(L719)&lt;=0,N(M719)&gt;N(L719)),N(M719)/요약!$D$27,N(L719)))</f>
        <v>998000</v>
      </c>
      <c r="O719" s="32" t="str">
        <f aca="false">IF(A719="제외","",IF(OR(N(L719)&lt;=0,N(M719)&gt;N(L719)),"택가보정(판매금액÷공급율)",""))</f>
        <v/>
      </c>
      <c r="P719" s="0" t="str">
        <f aca="false">IF(A719="HK","100",IF(A719="CN","200",IF(A719="TW","300",IF(ISNUMBER(SEARCH("태국",C719)),"500",IF(ISNUMBER(SEARCH("말레이",C719)),"600",IF(ISNUMBER(SEARCH("필리핀",C719)),"700",IF(ISNUMBER(SEARCH("인도네시아",C719)),"800",IF(ISNUMBER(SEARCH("크루즈",C719)),"810",IF(ISNUMBER(SEARCH("동물원",C719)),"830","")))))))))</f>
        <v>200</v>
      </c>
    </row>
    <row r="720" customFormat="false" ht="15" hidden="false" customHeight="false" outlineLevel="0" collapsed="false">
      <c r="A720" s="32" t="str">
        <f aca="false">IF(OR(TRIM(C720)="",SUBSTITUTE(C720," ","")="소계"),"제외",IF(ISNUMBER(SEARCH("홍콩",C720)),"HK",IF(ISNUMBER(SEARCH("상해",C720)),"CN",IF(ISNUMBER(SEARCH("대만",C720)),"TW","홀세일"))))</f>
        <v>CN</v>
      </c>
      <c r="B720" s="36" t="s">
        <v>1019</v>
      </c>
      <c r="C720" s="37" t="s">
        <v>1020</v>
      </c>
      <c r="D720" s="37" t="s">
        <v>123</v>
      </c>
      <c r="E720" s="36" t="n">
        <v>2026</v>
      </c>
      <c r="F720" s="37" t="s">
        <v>474</v>
      </c>
      <c r="G720" s="37" t="s">
        <v>124</v>
      </c>
      <c r="H720" s="36" t="s">
        <v>131</v>
      </c>
      <c r="I720" s="36" t="s">
        <v>1071</v>
      </c>
      <c r="J720" s="36" t="s">
        <v>1072</v>
      </c>
      <c r="K720" s="38" t="n">
        <v>1</v>
      </c>
      <c r="L720" s="38" t="n">
        <v>590000</v>
      </c>
      <c r="M720" s="38" t="n">
        <v>201101</v>
      </c>
      <c r="N720" s="39" t="n">
        <f aca="false">IF(A720="제외",0,IF(OR(N(L720)&lt;=0,N(M720)&gt;N(L720)),N(M720)/요약!$D$27,N(L720)))</f>
        <v>590000</v>
      </c>
      <c r="O720" s="32" t="str">
        <f aca="false">IF(A720="제외","",IF(OR(N(L720)&lt;=0,N(M720)&gt;N(L720)),"택가보정(판매금액÷공급율)",""))</f>
        <v/>
      </c>
      <c r="P720" s="0" t="str">
        <f aca="false">IF(A720="HK","100",IF(A720="CN","200",IF(A720="TW","300",IF(ISNUMBER(SEARCH("태국",C720)),"500",IF(ISNUMBER(SEARCH("말레이",C720)),"600",IF(ISNUMBER(SEARCH("필리핀",C720)),"700",IF(ISNUMBER(SEARCH("인도네시아",C720)),"800",IF(ISNUMBER(SEARCH("크루즈",C720)),"810",IF(ISNUMBER(SEARCH("동물원",C720)),"830","")))))))))</f>
        <v>200</v>
      </c>
    </row>
    <row r="721" customFormat="false" ht="15" hidden="false" customHeight="false" outlineLevel="0" collapsed="false">
      <c r="A721" s="32" t="str">
        <f aca="false">IF(OR(TRIM(C721)="",SUBSTITUTE(C721," ","")="소계"),"제외",IF(ISNUMBER(SEARCH("홍콩",C721)),"HK",IF(ISNUMBER(SEARCH("상해",C721)),"CN",IF(ISNUMBER(SEARCH("대만",C721)),"TW","홀세일"))))</f>
        <v>CN</v>
      </c>
      <c r="B721" s="36" t="s">
        <v>1019</v>
      </c>
      <c r="C721" s="37" t="s">
        <v>1020</v>
      </c>
      <c r="D721" s="37" t="s">
        <v>123</v>
      </c>
      <c r="E721" s="36" t="n">
        <v>2026</v>
      </c>
      <c r="F721" s="37" t="s">
        <v>474</v>
      </c>
      <c r="G721" s="37" t="s">
        <v>124</v>
      </c>
      <c r="H721" s="36" t="s">
        <v>125</v>
      </c>
      <c r="I721" s="36" t="s">
        <v>908</v>
      </c>
      <c r="J721" s="37" t="s">
        <v>909</v>
      </c>
      <c r="K721" s="38" t="n">
        <v>262</v>
      </c>
      <c r="L721" s="38" t="n">
        <v>115018000</v>
      </c>
      <c r="M721" s="38" t="n">
        <v>36761224</v>
      </c>
      <c r="N721" s="39" t="n">
        <f aca="false">IF(A721="제외",0,IF(OR(N(L721)&lt;=0,N(M721)&gt;N(L721)),N(M721)/요약!$D$27,N(L721)))</f>
        <v>115018000</v>
      </c>
      <c r="O721" s="32" t="str">
        <f aca="false">IF(A721="제외","",IF(OR(N(L721)&lt;=0,N(M721)&gt;N(L721)),"택가보정(판매금액÷공급율)",""))</f>
        <v/>
      </c>
      <c r="P721" s="0" t="str">
        <f aca="false">IF(A721="HK","100",IF(A721="CN","200",IF(A721="TW","300",IF(ISNUMBER(SEARCH("태국",C721)),"500",IF(ISNUMBER(SEARCH("말레이",C721)),"600",IF(ISNUMBER(SEARCH("필리핀",C721)),"700",IF(ISNUMBER(SEARCH("인도네시아",C721)),"800",IF(ISNUMBER(SEARCH("크루즈",C721)),"810",IF(ISNUMBER(SEARCH("동물원",C721)),"830","")))))))))</f>
        <v>200</v>
      </c>
    </row>
    <row r="722" customFormat="false" ht="15" hidden="false" customHeight="false" outlineLevel="0" collapsed="false">
      <c r="A722" s="32" t="str">
        <f aca="false">IF(OR(TRIM(C722)="",SUBSTITUTE(C722," ","")="소계"),"제외",IF(ISNUMBER(SEARCH("홍콩",C722)),"HK",IF(ISNUMBER(SEARCH("상해",C722)),"CN",IF(ISNUMBER(SEARCH("대만",C722)),"TW","홀세일"))))</f>
        <v>CN</v>
      </c>
      <c r="B722" s="36" t="s">
        <v>1019</v>
      </c>
      <c r="C722" s="37" t="s">
        <v>1020</v>
      </c>
      <c r="D722" s="37" t="s">
        <v>123</v>
      </c>
      <c r="E722" s="36" t="n">
        <v>2026</v>
      </c>
      <c r="F722" s="37" t="s">
        <v>474</v>
      </c>
      <c r="G722" s="37" t="s">
        <v>124</v>
      </c>
      <c r="H722" s="36" t="s">
        <v>125</v>
      </c>
      <c r="I722" s="36" t="s">
        <v>1073</v>
      </c>
      <c r="J722" s="36" t="s">
        <v>1074</v>
      </c>
      <c r="K722" s="38" t="n">
        <v>2</v>
      </c>
      <c r="L722" s="38" t="n">
        <v>398000</v>
      </c>
      <c r="M722" s="38" t="n">
        <v>103050</v>
      </c>
      <c r="N722" s="39" t="n">
        <f aca="false">IF(A722="제외",0,IF(OR(N(L722)&lt;=0,N(M722)&gt;N(L722)),N(M722)/요약!$D$27,N(L722)))</f>
        <v>398000</v>
      </c>
      <c r="O722" s="32" t="str">
        <f aca="false">IF(A722="제외","",IF(OR(N(L722)&lt;=0,N(M722)&gt;N(L722)),"택가보정(판매금액÷공급율)",""))</f>
        <v/>
      </c>
      <c r="P722" s="0" t="str">
        <f aca="false">IF(A722="HK","100",IF(A722="CN","200",IF(A722="TW","300",IF(ISNUMBER(SEARCH("태국",C722)),"500",IF(ISNUMBER(SEARCH("말레이",C722)),"600",IF(ISNUMBER(SEARCH("필리핀",C722)),"700",IF(ISNUMBER(SEARCH("인도네시아",C722)),"800",IF(ISNUMBER(SEARCH("크루즈",C722)),"810",IF(ISNUMBER(SEARCH("동물원",C722)),"830","")))))))))</f>
        <v>200</v>
      </c>
    </row>
    <row r="723" customFormat="false" ht="15" hidden="false" customHeight="false" outlineLevel="0" collapsed="false">
      <c r="A723" s="32" t="str">
        <f aca="false">IF(OR(TRIM(C723)="",SUBSTITUTE(C723," ","")="소계"),"제외",IF(ISNUMBER(SEARCH("홍콩",C723)),"HK",IF(ISNUMBER(SEARCH("상해",C723)),"CN",IF(ISNUMBER(SEARCH("대만",C723)),"TW","홀세일"))))</f>
        <v>CN</v>
      </c>
      <c r="B723" s="36" t="s">
        <v>1019</v>
      </c>
      <c r="C723" s="37" t="s">
        <v>1020</v>
      </c>
      <c r="D723" s="37" t="s">
        <v>123</v>
      </c>
      <c r="E723" s="36" t="n">
        <v>2026</v>
      </c>
      <c r="F723" s="37" t="s">
        <v>474</v>
      </c>
      <c r="G723" s="37" t="s">
        <v>124</v>
      </c>
      <c r="H723" s="36" t="s">
        <v>125</v>
      </c>
      <c r="I723" s="36" t="s">
        <v>485</v>
      </c>
      <c r="J723" s="36" t="s">
        <v>486</v>
      </c>
      <c r="K723" s="38" t="n">
        <v>332</v>
      </c>
      <c r="L723" s="38" t="n">
        <v>72708000</v>
      </c>
      <c r="M723" s="38" t="n">
        <v>19769272</v>
      </c>
      <c r="N723" s="39" t="n">
        <f aca="false">IF(A723="제외",0,IF(OR(N(L723)&lt;=0,N(M723)&gt;N(L723)),N(M723)/요약!$D$27,N(L723)))</f>
        <v>72708000</v>
      </c>
      <c r="O723" s="32" t="str">
        <f aca="false">IF(A723="제외","",IF(OR(N(L723)&lt;=0,N(M723)&gt;N(L723)),"택가보정(판매금액÷공급율)",""))</f>
        <v/>
      </c>
      <c r="P723" s="0" t="str">
        <f aca="false">IF(A723="HK","100",IF(A723="CN","200",IF(A723="TW","300",IF(ISNUMBER(SEARCH("태국",C723)),"500",IF(ISNUMBER(SEARCH("말레이",C723)),"600",IF(ISNUMBER(SEARCH("필리핀",C723)),"700",IF(ISNUMBER(SEARCH("인도네시아",C723)),"800",IF(ISNUMBER(SEARCH("크루즈",C723)),"810",IF(ISNUMBER(SEARCH("동물원",C723)),"830","")))))))))</f>
        <v>200</v>
      </c>
    </row>
    <row r="724" customFormat="false" ht="15" hidden="false" customHeight="false" outlineLevel="0" collapsed="false">
      <c r="A724" s="32" t="str">
        <f aca="false">IF(OR(TRIM(C724)="",SUBSTITUTE(C724," ","")="소계"),"제외",IF(ISNUMBER(SEARCH("홍콩",C724)),"HK",IF(ISNUMBER(SEARCH("상해",C724)),"CN",IF(ISNUMBER(SEARCH("대만",C724)),"TW","홀세일"))))</f>
        <v>CN</v>
      </c>
      <c r="B724" s="36" t="s">
        <v>1019</v>
      </c>
      <c r="C724" s="37" t="s">
        <v>1020</v>
      </c>
      <c r="D724" s="37" t="s">
        <v>123</v>
      </c>
      <c r="E724" s="36" t="n">
        <v>2026</v>
      </c>
      <c r="F724" s="37" t="s">
        <v>474</v>
      </c>
      <c r="G724" s="37" t="s">
        <v>124</v>
      </c>
      <c r="H724" s="36" t="s">
        <v>131</v>
      </c>
      <c r="I724" s="36" t="s">
        <v>912</v>
      </c>
      <c r="J724" s="36" t="s">
        <v>913</v>
      </c>
      <c r="K724" s="38" t="n">
        <v>122</v>
      </c>
      <c r="L724" s="38" t="n">
        <v>16958000</v>
      </c>
      <c r="M724" s="38" t="n">
        <v>5562534</v>
      </c>
      <c r="N724" s="39" t="n">
        <f aca="false">IF(A724="제외",0,IF(OR(N(L724)&lt;=0,N(M724)&gt;N(L724)),N(M724)/요약!$D$27,N(L724)))</f>
        <v>16958000</v>
      </c>
      <c r="O724" s="32" t="str">
        <f aca="false">IF(A724="제외","",IF(OR(N(L724)&lt;=0,N(M724)&gt;N(L724)),"택가보정(판매금액÷공급율)",""))</f>
        <v/>
      </c>
      <c r="P724" s="0" t="str">
        <f aca="false">IF(A724="HK","100",IF(A724="CN","200",IF(A724="TW","300",IF(ISNUMBER(SEARCH("태국",C724)),"500",IF(ISNUMBER(SEARCH("말레이",C724)),"600",IF(ISNUMBER(SEARCH("필리핀",C724)),"700",IF(ISNUMBER(SEARCH("인도네시아",C724)),"800",IF(ISNUMBER(SEARCH("크루즈",C724)),"810",IF(ISNUMBER(SEARCH("동물원",C724)),"830","")))))))))</f>
        <v>200</v>
      </c>
    </row>
    <row r="725" customFormat="false" ht="15" hidden="false" customHeight="false" outlineLevel="0" collapsed="false">
      <c r="A725" s="32" t="str">
        <f aca="false">IF(OR(TRIM(C725)="",SUBSTITUTE(C725," ","")="소계"),"제외",IF(ISNUMBER(SEARCH("홍콩",C725)),"HK",IF(ISNUMBER(SEARCH("상해",C725)),"CN",IF(ISNUMBER(SEARCH("대만",C725)),"TW","홀세일"))))</f>
        <v>CN</v>
      </c>
      <c r="B725" s="36" t="s">
        <v>1019</v>
      </c>
      <c r="C725" s="37" t="s">
        <v>1020</v>
      </c>
      <c r="D725" s="37" t="s">
        <v>123</v>
      </c>
      <c r="E725" s="36" t="n">
        <v>2026</v>
      </c>
      <c r="F725" s="37" t="s">
        <v>474</v>
      </c>
      <c r="G725" s="37" t="s">
        <v>124</v>
      </c>
      <c r="H725" s="36" t="s">
        <v>131</v>
      </c>
      <c r="I725" s="36" t="s">
        <v>487</v>
      </c>
      <c r="J725" s="36" t="s">
        <v>488</v>
      </c>
      <c r="K725" s="38" t="n">
        <v>162</v>
      </c>
      <c r="L725" s="38" t="n">
        <v>16038000</v>
      </c>
      <c r="M725" s="38" t="n">
        <v>4093870</v>
      </c>
      <c r="N725" s="39" t="n">
        <f aca="false">IF(A725="제외",0,IF(OR(N(L725)&lt;=0,N(M725)&gt;N(L725)),N(M725)/요약!$D$27,N(L725)))</f>
        <v>16038000</v>
      </c>
      <c r="O725" s="32" t="str">
        <f aca="false">IF(A725="제외","",IF(OR(N(L725)&lt;=0,N(M725)&gt;N(L725)),"택가보정(판매금액÷공급율)",""))</f>
        <v/>
      </c>
      <c r="P725" s="0" t="str">
        <f aca="false">IF(A725="HK","100",IF(A725="CN","200",IF(A725="TW","300",IF(ISNUMBER(SEARCH("태국",C725)),"500",IF(ISNUMBER(SEARCH("말레이",C725)),"600",IF(ISNUMBER(SEARCH("필리핀",C725)),"700",IF(ISNUMBER(SEARCH("인도네시아",C725)),"800",IF(ISNUMBER(SEARCH("크루즈",C725)),"810",IF(ISNUMBER(SEARCH("동물원",C725)),"830","")))))))))</f>
        <v>200</v>
      </c>
    </row>
    <row r="726" customFormat="false" ht="15" hidden="false" customHeight="false" outlineLevel="0" collapsed="false">
      <c r="A726" s="32" t="str">
        <f aca="false">IF(OR(TRIM(C726)="",SUBSTITUTE(C726," ","")="소계"),"제외",IF(ISNUMBER(SEARCH("홍콩",C726)),"HK",IF(ISNUMBER(SEARCH("상해",C726)),"CN",IF(ISNUMBER(SEARCH("대만",C726)),"TW","홀세일"))))</f>
        <v>CN</v>
      </c>
      <c r="B726" s="36" t="s">
        <v>1019</v>
      </c>
      <c r="C726" s="37" t="s">
        <v>1020</v>
      </c>
      <c r="D726" s="37" t="s">
        <v>123</v>
      </c>
      <c r="E726" s="36" t="n">
        <v>2026</v>
      </c>
      <c r="F726" s="37" t="s">
        <v>474</v>
      </c>
      <c r="G726" s="37" t="s">
        <v>124</v>
      </c>
      <c r="H726" s="36" t="s">
        <v>125</v>
      </c>
      <c r="I726" s="36" t="s">
        <v>1075</v>
      </c>
      <c r="J726" s="37" t="s">
        <v>1076</v>
      </c>
      <c r="K726" s="38" t="n">
        <v>412</v>
      </c>
      <c r="L726" s="38" t="n">
        <v>40788000</v>
      </c>
      <c r="M726" s="38" t="n">
        <v>10898824</v>
      </c>
      <c r="N726" s="39" t="n">
        <f aca="false">IF(A726="제외",0,IF(OR(N(L726)&lt;=0,N(M726)&gt;N(L726)),N(M726)/요약!$D$27,N(L726)))</f>
        <v>40788000</v>
      </c>
      <c r="O726" s="32" t="str">
        <f aca="false">IF(A726="제외","",IF(OR(N(L726)&lt;=0,N(M726)&gt;N(L726)),"택가보정(판매금액÷공급율)",""))</f>
        <v/>
      </c>
      <c r="P726" s="0" t="str">
        <f aca="false">IF(A726="HK","100",IF(A726="CN","200",IF(A726="TW","300",IF(ISNUMBER(SEARCH("태국",C726)),"500",IF(ISNUMBER(SEARCH("말레이",C726)),"600",IF(ISNUMBER(SEARCH("필리핀",C726)),"700",IF(ISNUMBER(SEARCH("인도네시아",C726)),"800",IF(ISNUMBER(SEARCH("크루즈",C726)),"810",IF(ISNUMBER(SEARCH("동물원",C726)),"830","")))))))))</f>
        <v>200</v>
      </c>
    </row>
    <row r="727" customFormat="false" ht="15" hidden="false" customHeight="false" outlineLevel="0" collapsed="false">
      <c r="A727" s="32" t="str">
        <f aca="false">IF(OR(TRIM(C727)="",SUBSTITUTE(C727," ","")="소계"),"제외",IF(ISNUMBER(SEARCH("홍콩",C727)),"HK",IF(ISNUMBER(SEARCH("상해",C727)),"CN",IF(ISNUMBER(SEARCH("대만",C727)),"TW","홀세일"))))</f>
        <v>CN</v>
      </c>
      <c r="B727" s="36" t="s">
        <v>1019</v>
      </c>
      <c r="C727" s="37" t="s">
        <v>1020</v>
      </c>
      <c r="D727" s="37" t="s">
        <v>123</v>
      </c>
      <c r="E727" s="36" t="n">
        <v>2026</v>
      </c>
      <c r="F727" s="37" t="s">
        <v>474</v>
      </c>
      <c r="G727" s="37" t="s">
        <v>124</v>
      </c>
      <c r="H727" s="36" t="s">
        <v>131</v>
      </c>
      <c r="I727" s="36" t="s">
        <v>489</v>
      </c>
      <c r="J727" s="37" t="s">
        <v>490</v>
      </c>
      <c r="K727" s="38" t="n">
        <v>751</v>
      </c>
      <c r="L727" s="38" t="n">
        <v>119409000</v>
      </c>
      <c r="M727" s="38" t="n">
        <v>26679092</v>
      </c>
      <c r="N727" s="39" t="n">
        <f aca="false">IF(A727="제외",0,IF(OR(N(L727)&lt;=0,N(M727)&gt;N(L727)),N(M727)/요약!$D$27,N(L727)))</f>
        <v>119409000</v>
      </c>
      <c r="O727" s="32" t="str">
        <f aca="false">IF(A727="제외","",IF(OR(N(L727)&lt;=0,N(M727)&gt;N(L727)),"택가보정(판매금액÷공급율)",""))</f>
        <v/>
      </c>
      <c r="P727" s="0" t="str">
        <f aca="false">IF(A727="HK","100",IF(A727="CN","200",IF(A727="TW","300",IF(ISNUMBER(SEARCH("태국",C727)),"500",IF(ISNUMBER(SEARCH("말레이",C727)),"600",IF(ISNUMBER(SEARCH("필리핀",C727)),"700",IF(ISNUMBER(SEARCH("인도네시아",C727)),"800",IF(ISNUMBER(SEARCH("크루즈",C727)),"810",IF(ISNUMBER(SEARCH("동물원",C727)),"830","")))))))))</f>
        <v>200</v>
      </c>
    </row>
    <row r="728" customFormat="false" ht="15" hidden="false" customHeight="false" outlineLevel="0" collapsed="false">
      <c r="A728" s="32" t="str">
        <f aca="false">IF(OR(TRIM(C728)="",SUBSTITUTE(C728," ","")="소계"),"제외",IF(ISNUMBER(SEARCH("홍콩",C728)),"HK",IF(ISNUMBER(SEARCH("상해",C728)),"CN",IF(ISNUMBER(SEARCH("대만",C728)),"TW","홀세일"))))</f>
        <v>CN</v>
      </c>
      <c r="B728" s="36" t="s">
        <v>1019</v>
      </c>
      <c r="C728" s="37" t="s">
        <v>1020</v>
      </c>
      <c r="D728" s="37" t="s">
        <v>123</v>
      </c>
      <c r="E728" s="36" t="n">
        <v>2026</v>
      </c>
      <c r="F728" s="37" t="s">
        <v>474</v>
      </c>
      <c r="G728" s="37" t="s">
        <v>124</v>
      </c>
      <c r="H728" s="36" t="s">
        <v>131</v>
      </c>
      <c r="I728" s="36" t="s">
        <v>493</v>
      </c>
      <c r="J728" s="37" t="s">
        <v>494</v>
      </c>
      <c r="K728" s="38" t="n">
        <v>414</v>
      </c>
      <c r="L728" s="38" t="n">
        <v>61686000</v>
      </c>
      <c r="M728" s="38" t="n">
        <v>16114842</v>
      </c>
      <c r="N728" s="39" t="n">
        <f aca="false">IF(A728="제외",0,IF(OR(N(L728)&lt;=0,N(M728)&gt;N(L728)),N(M728)/요약!$D$27,N(L728)))</f>
        <v>61686000</v>
      </c>
      <c r="O728" s="32" t="str">
        <f aca="false">IF(A728="제외","",IF(OR(N(L728)&lt;=0,N(M728)&gt;N(L728)),"택가보정(판매금액÷공급율)",""))</f>
        <v/>
      </c>
      <c r="P728" s="0" t="str">
        <f aca="false">IF(A728="HK","100",IF(A728="CN","200",IF(A728="TW","300",IF(ISNUMBER(SEARCH("태국",C728)),"500",IF(ISNUMBER(SEARCH("말레이",C728)),"600",IF(ISNUMBER(SEARCH("필리핀",C728)),"700",IF(ISNUMBER(SEARCH("인도네시아",C728)),"800",IF(ISNUMBER(SEARCH("크루즈",C728)),"810",IF(ISNUMBER(SEARCH("동물원",C728)),"830","")))))))))</f>
        <v>200</v>
      </c>
    </row>
    <row r="729" customFormat="false" ht="15" hidden="false" customHeight="false" outlineLevel="0" collapsed="false">
      <c r="A729" s="32" t="str">
        <f aca="false">IF(OR(TRIM(C729)="",SUBSTITUTE(C729," ","")="소계"),"제외",IF(ISNUMBER(SEARCH("홍콩",C729)),"HK",IF(ISNUMBER(SEARCH("상해",C729)),"CN",IF(ISNUMBER(SEARCH("대만",C729)),"TW","홀세일"))))</f>
        <v>CN</v>
      </c>
      <c r="B729" s="36" t="s">
        <v>1019</v>
      </c>
      <c r="C729" s="37" t="s">
        <v>1020</v>
      </c>
      <c r="D729" s="37" t="s">
        <v>123</v>
      </c>
      <c r="E729" s="36" t="n">
        <v>2026</v>
      </c>
      <c r="F729" s="37" t="s">
        <v>474</v>
      </c>
      <c r="G729" s="37" t="s">
        <v>124</v>
      </c>
      <c r="H729" s="36" t="s">
        <v>131</v>
      </c>
      <c r="I729" s="36" t="s">
        <v>499</v>
      </c>
      <c r="J729" s="37" t="s">
        <v>500</v>
      </c>
      <c r="K729" s="38" t="n">
        <v>623</v>
      </c>
      <c r="L729" s="38" t="n">
        <v>105287000</v>
      </c>
      <c r="M729" s="38" t="n">
        <v>32407248</v>
      </c>
      <c r="N729" s="39" t="n">
        <f aca="false">IF(A729="제외",0,IF(OR(N(L729)&lt;=0,N(M729)&gt;N(L729)),N(M729)/요약!$D$27,N(L729)))</f>
        <v>105287000</v>
      </c>
      <c r="O729" s="32" t="str">
        <f aca="false">IF(A729="제외","",IF(OR(N(L729)&lt;=0,N(M729)&gt;N(L729)),"택가보정(판매금액÷공급율)",""))</f>
        <v/>
      </c>
      <c r="P729" s="0" t="str">
        <f aca="false">IF(A729="HK","100",IF(A729="CN","200",IF(A729="TW","300",IF(ISNUMBER(SEARCH("태국",C729)),"500",IF(ISNUMBER(SEARCH("말레이",C729)),"600",IF(ISNUMBER(SEARCH("필리핀",C729)),"700",IF(ISNUMBER(SEARCH("인도네시아",C729)),"800",IF(ISNUMBER(SEARCH("크루즈",C729)),"810",IF(ISNUMBER(SEARCH("동물원",C729)),"830","")))))))))</f>
        <v>200</v>
      </c>
    </row>
    <row r="730" customFormat="false" ht="15" hidden="false" customHeight="false" outlineLevel="0" collapsed="false">
      <c r="A730" s="32" t="str">
        <f aca="false">IF(OR(TRIM(C730)="",SUBSTITUTE(C730," ","")="소계"),"제외",IF(ISNUMBER(SEARCH("홍콩",C730)),"HK",IF(ISNUMBER(SEARCH("상해",C730)),"CN",IF(ISNUMBER(SEARCH("대만",C730)),"TW","홀세일"))))</f>
        <v>CN</v>
      </c>
      <c r="B730" s="36" t="s">
        <v>1019</v>
      </c>
      <c r="C730" s="37" t="s">
        <v>1020</v>
      </c>
      <c r="D730" s="37" t="s">
        <v>123</v>
      </c>
      <c r="E730" s="36" t="n">
        <v>2026</v>
      </c>
      <c r="F730" s="37" t="s">
        <v>474</v>
      </c>
      <c r="G730" s="37" t="s">
        <v>124</v>
      </c>
      <c r="H730" s="36" t="s">
        <v>131</v>
      </c>
      <c r="I730" s="36" t="s">
        <v>509</v>
      </c>
      <c r="J730" s="37" t="s">
        <v>510</v>
      </c>
      <c r="K730" s="38" t="n">
        <v>252</v>
      </c>
      <c r="L730" s="38" t="n">
        <v>100548000</v>
      </c>
      <c r="M730" s="38" t="n">
        <v>26303340</v>
      </c>
      <c r="N730" s="39" t="n">
        <f aca="false">IF(A730="제외",0,IF(OR(N(L730)&lt;=0,N(M730)&gt;N(L730)),N(M730)/요약!$D$27,N(L730)))</f>
        <v>100548000</v>
      </c>
      <c r="O730" s="32" t="str">
        <f aca="false">IF(A730="제외","",IF(OR(N(L730)&lt;=0,N(M730)&gt;N(L730)),"택가보정(판매금액÷공급율)",""))</f>
        <v/>
      </c>
      <c r="P730" s="0" t="str">
        <f aca="false">IF(A730="HK","100",IF(A730="CN","200",IF(A730="TW","300",IF(ISNUMBER(SEARCH("태국",C730)),"500",IF(ISNUMBER(SEARCH("말레이",C730)),"600",IF(ISNUMBER(SEARCH("필리핀",C730)),"700",IF(ISNUMBER(SEARCH("인도네시아",C730)),"800",IF(ISNUMBER(SEARCH("크루즈",C730)),"810",IF(ISNUMBER(SEARCH("동물원",C730)),"830","")))))))))</f>
        <v>200</v>
      </c>
    </row>
    <row r="731" customFormat="false" ht="15" hidden="false" customHeight="false" outlineLevel="0" collapsed="false">
      <c r="A731" s="32" t="str">
        <f aca="false">IF(OR(TRIM(C731)="",SUBSTITUTE(C731," ","")="소계"),"제외",IF(ISNUMBER(SEARCH("홍콩",C731)),"HK",IF(ISNUMBER(SEARCH("상해",C731)),"CN",IF(ISNUMBER(SEARCH("대만",C731)),"TW","홀세일"))))</f>
        <v>CN</v>
      </c>
      <c r="B731" s="36" t="s">
        <v>1019</v>
      </c>
      <c r="C731" s="37" t="s">
        <v>1020</v>
      </c>
      <c r="D731" s="37" t="s">
        <v>123</v>
      </c>
      <c r="E731" s="36" t="n">
        <v>2026</v>
      </c>
      <c r="F731" s="37" t="s">
        <v>474</v>
      </c>
      <c r="G731" s="37" t="s">
        <v>124</v>
      </c>
      <c r="H731" s="36" t="s">
        <v>131</v>
      </c>
      <c r="I731" s="36" t="s">
        <v>1077</v>
      </c>
      <c r="J731" s="37" t="s">
        <v>1078</v>
      </c>
      <c r="K731" s="38" t="n">
        <v>2</v>
      </c>
      <c r="L731" s="38" t="n">
        <v>918000</v>
      </c>
      <c r="M731" s="38" t="n">
        <v>269724</v>
      </c>
      <c r="N731" s="39" t="n">
        <f aca="false">IF(A731="제외",0,IF(OR(N(L731)&lt;=0,N(M731)&gt;N(L731)),N(M731)/요약!$D$27,N(L731)))</f>
        <v>918000</v>
      </c>
      <c r="O731" s="32" t="str">
        <f aca="false">IF(A731="제외","",IF(OR(N(L731)&lt;=0,N(M731)&gt;N(L731)),"택가보정(판매금액÷공급율)",""))</f>
        <v/>
      </c>
      <c r="P731" s="0" t="str">
        <f aca="false">IF(A731="HK","100",IF(A731="CN","200",IF(A731="TW","300",IF(ISNUMBER(SEARCH("태국",C731)),"500",IF(ISNUMBER(SEARCH("말레이",C731)),"600",IF(ISNUMBER(SEARCH("필리핀",C731)),"700",IF(ISNUMBER(SEARCH("인도네시아",C731)),"800",IF(ISNUMBER(SEARCH("크루즈",C731)),"810",IF(ISNUMBER(SEARCH("동물원",C731)),"830","")))))))))</f>
        <v>200</v>
      </c>
    </row>
    <row r="732" customFormat="false" ht="15" hidden="false" customHeight="false" outlineLevel="0" collapsed="false">
      <c r="A732" s="32" t="str">
        <f aca="false">IF(OR(TRIM(C732)="",SUBSTITUTE(C732," ","")="소계"),"제외",IF(ISNUMBER(SEARCH("홍콩",C732)),"HK",IF(ISNUMBER(SEARCH("상해",C732)),"CN",IF(ISNUMBER(SEARCH("대만",C732)),"TW","홀세일"))))</f>
        <v>CN</v>
      </c>
      <c r="B732" s="36" t="s">
        <v>1019</v>
      </c>
      <c r="C732" s="37" t="s">
        <v>1020</v>
      </c>
      <c r="D732" s="37" t="s">
        <v>123</v>
      </c>
      <c r="E732" s="36" t="n">
        <v>2026</v>
      </c>
      <c r="F732" s="37" t="s">
        <v>474</v>
      </c>
      <c r="G732" s="37" t="s">
        <v>124</v>
      </c>
      <c r="H732" s="36" t="s">
        <v>131</v>
      </c>
      <c r="I732" s="36" t="s">
        <v>511</v>
      </c>
      <c r="J732" s="37" t="s">
        <v>512</v>
      </c>
      <c r="K732" s="38" t="n">
        <v>459</v>
      </c>
      <c r="L732" s="38" t="n">
        <v>201501000</v>
      </c>
      <c r="M732" s="38" t="n">
        <v>53974704</v>
      </c>
      <c r="N732" s="39" t="n">
        <f aca="false">IF(A732="제외",0,IF(OR(N(L732)&lt;=0,N(M732)&gt;N(L732)),N(M732)/요약!$D$27,N(L732)))</f>
        <v>201501000</v>
      </c>
      <c r="O732" s="32" t="str">
        <f aca="false">IF(A732="제외","",IF(OR(N(L732)&lt;=0,N(M732)&gt;N(L732)),"택가보정(판매금액÷공급율)",""))</f>
        <v/>
      </c>
      <c r="P732" s="0" t="str">
        <f aca="false">IF(A732="HK","100",IF(A732="CN","200",IF(A732="TW","300",IF(ISNUMBER(SEARCH("태국",C732)),"500",IF(ISNUMBER(SEARCH("말레이",C732)),"600",IF(ISNUMBER(SEARCH("필리핀",C732)),"700",IF(ISNUMBER(SEARCH("인도네시아",C732)),"800",IF(ISNUMBER(SEARCH("크루즈",C732)),"810",IF(ISNUMBER(SEARCH("동물원",C732)),"830","")))))))))</f>
        <v>200</v>
      </c>
    </row>
    <row r="733" customFormat="false" ht="15" hidden="false" customHeight="false" outlineLevel="0" collapsed="false">
      <c r="A733" s="32" t="str">
        <f aca="false">IF(OR(TRIM(C733)="",SUBSTITUTE(C733," ","")="소계"),"제외",IF(ISNUMBER(SEARCH("홍콩",C733)),"HK",IF(ISNUMBER(SEARCH("상해",C733)),"CN",IF(ISNUMBER(SEARCH("대만",C733)),"TW","홀세일"))))</f>
        <v>CN</v>
      </c>
      <c r="B733" s="36" t="s">
        <v>1019</v>
      </c>
      <c r="C733" s="37" t="s">
        <v>1020</v>
      </c>
      <c r="D733" s="37" t="s">
        <v>123</v>
      </c>
      <c r="E733" s="36" t="n">
        <v>2026</v>
      </c>
      <c r="F733" s="37" t="s">
        <v>474</v>
      </c>
      <c r="G733" s="37" t="s">
        <v>124</v>
      </c>
      <c r="H733" s="36" t="s">
        <v>125</v>
      </c>
      <c r="I733" s="36" t="s">
        <v>1079</v>
      </c>
      <c r="J733" s="37" t="s">
        <v>1080</v>
      </c>
      <c r="K733" s="38" t="n">
        <v>2</v>
      </c>
      <c r="L733" s="38" t="n">
        <v>518000</v>
      </c>
      <c r="M733" s="38" t="n">
        <v>119636</v>
      </c>
      <c r="N733" s="39" t="n">
        <f aca="false">IF(A733="제외",0,IF(OR(N(L733)&lt;=0,N(M733)&gt;N(L733)),N(M733)/요약!$D$27,N(L733)))</f>
        <v>518000</v>
      </c>
      <c r="O733" s="32" t="str">
        <f aca="false">IF(A733="제외","",IF(OR(N(L733)&lt;=0,N(M733)&gt;N(L733)),"택가보정(판매금액÷공급율)",""))</f>
        <v/>
      </c>
      <c r="P733" s="0" t="str">
        <f aca="false">IF(A733="HK","100",IF(A733="CN","200",IF(A733="TW","300",IF(ISNUMBER(SEARCH("태국",C733)),"500",IF(ISNUMBER(SEARCH("말레이",C733)),"600",IF(ISNUMBER(SEARCH("필리핀",C733)),"700",IF(ISNUMBER(SEARCH("인도네시아",C733)),"800",IF(ISNUMBER(SEARCH("크루즈",C733)),"810",IF(ISNUMBER(SEARCH("동물원",C733)),"830","")))))))))</f>
        <v>200</v>
      </c>
    </row>
    <row r="734" customFormat="false" ht="15" hidden="false" customHeight="false" outlineLevel="0" collapsed="false">
      <c r="A734" s="32" t="str">
        <f aca="false">IF(OR(TRIM(C734)="",SUBSTITUTE(C734," ","")="소계"),"제외",IF(ISNUMBER(SEARCH("홍콩",C734)),"HK",IF(ISNUMBER(SEARCH("상해",C734)),"CN",IF(ISNUMBER(SEARCH("대만",C734)),"TW","홀세일"))))</f>
        <v>CN</v>
      </c>
      <c r="B734" s="36" t="s">
        <v>1019</v>
      </c>
      <c r="C734" s="37" t="s">
        <v>1020</v>
      </c>
      <c r="D734" s="37" t="s">
        <v>123</v>
      </c>
      <c r="E734" s="36" t="n">
        <v>2026</v>
      </c>
      <c r="F734" s="37" t="s">
        <v>474</v>
      </c>
      <c r="G734" s="37" t="s">
        <v>124</v>
      </c>
      <c r="H734" s="37" t="s">
        <v>128</v>
      </c>
      <c r="I734" s="36" t="s">
        <v>1081</v>
      </c>
      <c r="J734" s="36" t="s">
        <v>1082</v>
      </c>
      <c r="K734" s="38" t="n">
        <v>418</v>
      </c>
      <c r="L734" s="38" t="n">
        <v>99902000</v>
      </c>
      <c r="M734" s="38" t="n">
        <v>27404964</v>
      </c>
      <c r="N734" s="39" t="n">
        <f aca="false">IF(A734="제외",0,IF(OR(N(L734)&lt;=0,N(M734)&gt;N(L734)),N(M734)/요약!$D$27,N(L734)))</f>
        <v>99902000</v>
      </c>
      <c r="O734" s="32" t="str">
        <f aca="false">IF(A734="제외","",IF(OR(N(L734)&lt;=0,N(M734)&gt;N(L734)),"택가보정(판매금액÷공급율)",""))</f>
        <v/>
      </c>
      <c r="P734" s="0" t="str">
        <f aca="false">IF(A734="HK","100",IF(A734="CN","200",IF(A734="TW","300",IF(ISNUMBER(SEARCH("태국",C734)),"500",IF(ISNUMBER(SEARCH("말레이",C734)),"600",IF(ISNUMBER(SEARCH("필리핀",C734)),"700",IF(ISNUMBER(SEARCH("인도네시아",C734)),"800",IF(ISNUMBER(SEARCH("크루즈",C734)),"810",IF(ISNUMBER(SEARCH("동물원",C734)),"830","")))))))))</f>
        <v>200</v>
      </c>
    </row>
    <row r="735" customFormat="false" ht="15" hidden="false" customHeight="false" outlineLevel="0" collapsed="false">
      <c r="A735" s="32" t="str">
        <f aca="false">IF(OR(TRIM(C735)="",SUBSTITUTE(C735," ","")="소계"),"제외",IF(ISNUMBER(SEARCH("홍콩",C735)),"HK",IF(ISNUMBER(SEARCH("상해",C735)),"CN",IF(ISNUMBER(SEARCH("대만",C735)),"TW","홀세일"))))</f>
        <v>CN</v>
      </c>
      <c r="B735" s="36" t="s">
        <v>1019</v>
      </c>
      <c r="C735" s="37" t="s">
        <v>1020</v>
      </c>
      <c r="D735" s="37" t="s">
        <v>123</v>
      </c>
      <c r="E735" s="36" t="n">
        <v>2026</v>
      </c>
      <c r="F735" s="37" t="s">
        <v>474</v>
      </c>
      <c r="G735" s="37" t="s">
        <v>124</v>
      </c>
      <c r="H735" s="36" t="s">
        <v>125</v>
      </c>
      <c r="I735" s="36" t="s">
        <v>523</v>
      </c>
      <c r="J735" s="37" t="s">
        <v>524</v>
      </c>
      <c r="K735" s="38" t="n">
        <v>204</v>
      </c>
      <c r="L735" s="38" t="n">
        <v>44676000</v>
      </c>
      <c r="M735" s="38" t="n">
        <v>11676258</v>
      </c>
      <c r="N735" s="39" t="n">
        <f aca="false">IF(A735="제외",0,IF(OR(N(L735)&lt;=0,N(M735)&gt;N(L735)),N(M735)/요약!$D$27,N(L735)))</f>
        <v>44676000</v>
      </c>
      <c r="O735" s="32" t="str">
        <f aca="false">IF(A735="제외","",IF(OR(N(L735)&lt;=0,N(M735)&gt;N(L735)),"택가보정(판매금액÷공급율)",""))</f>
        <v/>
      </c>
      <c r="P735" s="0" t="str">
        <f aca="false">IF(A735="HK","100",IF(A735="CN","200",IF(A735="TW","300",IF(ISNUMBER(SEARCH("태국",C735)),"500",IF(ISNUMBER(SEARCH("말레이",C735)),"600",IF(ISNUMBER(SEARCH("필리핀",C735)),"700",IF(ISNUMBER(SEARCH("인도네시아",C735)),"800",IF(ISNUMBER(SEARCH("크루즈",C735)),"810",IF(ISNUMBER(SEARCH("동물원",C735)),"830","")))))))))</f>
        <v>200</v>
      </c>
    </row>
    <row r="736" customFormat="false" ht="15" hidden="false" customHeight="false" outlineLevel="0" collapsed="false">
      <c r="A736" s="32" t="str">
        <f aca="false">IF(OR(TRIM(C736)="",SUBSTITUTE(C736," ","")="소계"),"제외",IF(ISNUMBER(SEARCH("홍콩",C736)),"HK",IF(ISNUMBER(SEARCH("상해",C736)),"CN",IF(ISNUMBER(SEARCH("대만",C736)),"TW","홀세일"))))</f>
        <v>CN</v>
      </c>
      <c r="B736" s="36" t="s">
        <v>1019</v>
      </c>
      <c r="C736" s="37" t="s">
        <v>1020</v>
      </c>
      <c r="D736" s="37" t="s">
        <v>123</v>
      </c>
      <c r="E736" s="36" t="n">
        <v>2026</v>
      </c>
      <c r="F736" s="37" t="s">
        <v>474</v>
      </c>
      <c r="G736" s="37" t="s">
        <v>124</v>
      </c>
      <c r="H736" s="36" t="s">
        <v>131</v>
      </c>
      <c r="I736" s="36" t="s">
        <v>1083</v>
      </c>
      <c r="J736" s="37" t="s">
        <v>1084</v>
      </c>
      <c r="K736" s="38" t="n">
        <v>232</v>
      </c>
      <c r="L736" s="38" t="n">
        <v>29928000</v>
      </c>
      <c r="M736" s="38" t="n">
        <v>6134514</v>
      </c>
      <c r="N736" s="39" t="n">
        <f aca="false">IF(A736="제외",0,IF(OR(N(L736)&lt;=0,N(M736)&gt;N(L736)),N(M736)/요약!$D$27,N(L736)))</f>
        <v>29928000</v>
      </c>
      <c r="O736" s="32" t="str">
        <f aca="false">IF(A736="제외","",IF(OR(N(L736)&lt;=0,N(M736)&gt;N(L736)),"택가보정(판매금액÷공급율)",""))</f>
        <v/>
      </c>
      <c r="P736" s="0" t="str">
        <f aca="false">IF(A736="HK","100",IF(A736="CN","200",IF(A736="TW","300",IF(ISNUMBER(SEARCH("태국",C736)),"500",IF(ISNUMBER(SEARCH("말레이",C736)),"600",IF(ISNUMBER(SEARCH("필리핀",C736)),"700",IF(ISNUMBER(SEARCH("인도네시아",C736)),"800",IF(ISNUMBER(SEARCH("크루즈",C736)),"810",IF(ISNUMBER(SEARCH("동물원",C736)),"830","")))))))))</f>
        <v>200</v>
      </c>
    </row>
    <row r="737" customFormat="false" ht="15" hidden="false" customHeight="false" outlineLevel="0" collapsed="false">
      <c r="A737" s="32" t="str">
        <f aca="false">IF(OR(TRIM(C737)="",SUBSTITUTE(C737," ","")="소계"),"제외",IF(ISNUMBER(SEARCH("홍콩",C737)),"HK",IF(ISNUMBER(SEARCH("상해",C737)),"CN",IF(ISNUMBER(SEARCH("대만",C737)),"TW","홀세일"))))</f>
        <v>CN</v>
      </c>
      <c r="B737" s="36" t="s">
        <v>1019</v>
      </c>
      <c r="C737" s="37" t="s">
        <v>1020</v>
      </c>
      <c r="D737" s="37" t="s">
        <v>123</v>
      </c>
      <c r="E737" s="36" t="n">
        <v>2026</v>
      </c>
      <c r="F737" s="37" t="s">
        <v>474</v>
      </c>
      <c r="G737" s="37" t="s">
        <v>360</v>
      </c>
      <c r="H737" s="36" t="s">
        <v>131</v>
      </c>
      <c r="I737" s="36" t="s">
        <v>1085</v>
      </c>
      <c r="J737" s="37" t="s">
        <v>1086</v>
      </c>
      <c r="K737" s="38" t="n">
        <v>212</v>
      </c>
      <c r="L737" s="38" t="n">
        <v>20988000</v>
      </c>
      <c r="M737" s="38" t="n">
        <v>6005130</v>
      </c>
      <c r="N737" s="39" t="n">
        <f aca="false">IF(A737="제외",0,IF(OR(N(L737)&lt;=0,N(M737)&gt;N(L737)),N(M737)/요약!$D$27,N(L737)))</f>
        <v>20988000</v>
      </c>
      <c r="O737" s="32" t="str">
        <f aca="false">IF(A737="제외","",IF(OR(N(L737)&lt;=0,N(M737)&gt;N(L737)),"택가보정(판매금액÷공급율)",""))</f>
        <v/>
      </c>
      <c r="P737" s="0" t="str">
        <f aca="false">IF(A737="HK","100",IF(A737="CN","200",IF(A737="TW","300",IF(ISNUMBER(SEARCH("태국",C737)),"500",IF(ISNUMBER(SEARCH("말레이",C737)),"600",IF(ISNUMBER(SEARCH("필리핀",C737)),"700",IF(ISNUMBER(SEARCH("인도네시아",C737)),"800",IF(ISNUMBER(SEARCH("크루즈",C737)),"810",IF(ISNUMBER(SEARCH("동물원",C737)),"830","")))))))))</f>
        <v>200</v>
      </c>
    </row>
    <row r="738" customFormat="false" ht="15" hidden="false" customHeight="false" outlineLevel="0" collapsed="false">
      <c r="A738" s="32" t="str">
        <f aca="false">IF(OR(TRIM(C738)="",SUBSTITUTE(C738," ","")="소계"),"제외",IF(ISNUMBER(SEARCH("홍콩",C738)),"HK",IF(ISNUMBER(SEARCH("상해",C738)),"CN",IF(ISNUMBER(SEARCH("대만",C738)),"TW","홀세일"))))</f>
        <v>CN</v>
      </c>
      <c r="B738" s="36" t="s">
        <v>1019</v>
      </c>
      <c r="C738" s="37" t="s">
        <v>1020</v>
      </c>
      <c r="D738" s="37" t="s">
        <v>123</v>
      </c>
      <c r="E738" s="36" t="n">
        <v>2026</v>
      </c>
      <c r="F738" s="37" t="s">
        <v>474</v>
      </c>
      <c r="G738" s="37" t="s">
        <v>360</v>
      </c>
      <c r="H738" s="36" t="s">
        <v>131</v>
      </c>
      <c r="I738" s="36" t="s">
        <v>1087</v>
      </c>
      <c r="J738" s="37" t="s">
        <v>1088</v>
      </c>
      <c r="K738" s="38" t="n">
        <v>162</v>
      </c>
      <c r="L738" s="38" t="n">
        <v>19278000</v>
      </c>
      <c r="M738" s="38" t="n">
        <v>5628060</v>
      </c>
      <c r="N738" s="39" t="n">
        <f aca="false">IF(A738="제외",0,IF(OR(N(L738)&lt;=0,N(M738)&gt;N(L738)),N(M738)/요약!$D$27,N(L738)))</f>
        <v>19278000</v>
      </c>
      <c r="O738" s="32" t="str">
        <f aca="false">IF(A738="제외","",IF(OR(N(L738)&lt;=0,N(M738)&gt;N(L738)),"택가보정(판매금액÷공급율)",""))</f>
        <v/>
      </c>
      <c r="P738" s="0" t="str">
        <f aca="false">IF(A738="HK","100",IF(A738="CN","200",IF(A738="TW","300",IF(ISNUMBER(SEARCH("태국",C738)),"500",IF(ISNUMBER(SEARCH("말레이",C738)),"600",IF(ISNUMBER(SEARCH("필리핀",C738)),"700",IF(ISNUMBER(SEARCH("인도네시아",C738)),"800",IF(ISNUMBER(SEARCH("크루즈",C738)),"810",IF(ISNUMBER(SEARCH("동물원",C738)),"830","")))))))))</f>
        <v>200</v>
      </c>
    </row>
    <row r="739" customFormat="false" ht="15" hidden="false" customHeight="false" outlineLevel="0" collapsed="false">
      <c r="A739" s="32" t="str">
        <f aca="false">IF(OR(TRIM(C739)="",SUBSTITUTE(C739," ","")="소계"),"제외",IF(ISNUMBER(SEARCH("홍콩",C739)),"HK",IF(ISNUMBER(SEARCH("상해",C739)),"CN",IF(ISNUMBER(SEARCH("대만",C739)),"TW","홀세일"))))</f>
        <v>CN</v>
      </c>
      <c r="B739" s="36" t="s">
        <v>1019</v>
      </c>
      <c r="C739" s="37" t="s">
        <v>1020</v>
      </c>
      <c r="D739" s="37" t="s">
        <v>123</v>
      </c>
      <c r="E739" s="36" t="n">
        <v>2026</v>
      </c>
      <c r="F739" s="37" t="s">
        <v>474</v>
      </c>
      <c r="G739" s="37" t="s">
        <v>360</v>
      </c>
      <c r="H739" s="36" t="s">
        <v>131</v>
      </c>
      <c r="I739" s="36" t="s">
        <v>1089</v>
      </c>
      <c r="J739" s="37" t="s">
        <v>1090</v>
      </c>
      <c r="K739" s="38" t="n">
        <v>152</v>
      </c>
      <c r="L739" s="38" t="n">
        <v>16568000</v>
      </c>
      <c r="M739" s="38" t="n">
        <v>4742778</v>
      </c>
      <c r="N739" s="39" t="n">
        <f aca="false">IF(A739="제외",0,IF(OR(N(L739)&lt;=0,N(M739)&gt;N(L739)),N(M739)/요약!$D$27,N(L739)))</f>
        <v>16568000</v>
      </c>
      <c r="O739" s="32" t="str">
        <f aca="false">IF(A739="제외","",IF(OR(N(L739)&lt;=0,N(M739)&gt;N(L739)),"택가보정(판매금액÷공급율)",""))</f>
        <v/>
      </c>
      <c r="P739" s="0" t="str">
        <f aca="false">IF(A739="HK","100",IF(A739="CN","200",IF(A739="TW","300",IF(ISNUMBER(SEARCH("태국",C739)),"500",IF(ISNUMBER(SEARCH("말레이",C739)),"600",IF(ISNUMBER(SEARCH("필리핀",C739)),"700",IF(ISNUMBER(SEARCH("인도네시아",C739)),"800",IF(ISNUMBER(SEARCH("크루즈",C739)),"810",IF(ISNUMBER(SEARCH("동물원",C739)),"830","")))))))))</f>
        <v>200</v>
      </c>
    </row>
    <row r="740" customFormat="false" ht="15" hidden="false" customHeight="false" outlineLevel="0" collapsed="false">
      <c r="A740" s="32" t="str">
        <f aca="false">IF(OR(TRIM(C740)="",SUBSTITUTE(C740," ","")="소계"),"제외",IF(ISNUMBER(SEARCH("홍콩",C740)),"HK",IF(ISNUMBER(SEARCH("상해",C740)),"CN",IF(ISNUMBER(SEARCH("대만",C740)),"TW","홀세일"))))</f>
        <v>CN</v>
      </c>
      <c r="B740" s="36" t="s">
        <v>1019</v>
      </c>
      <c r="C740" s="37" t="s">
        <v>1020</v>
      </c>
      <c r="D740" s="37" t="s">
        <v>123</v>
      </c>
      <c r="E740" s="36" t="n">
        <v>2026</v>
      </c>
      <c r="F740" s="37" t="s">
        <v>474</v>
      </c>
      <c r="G740" s="37" t="s">
        <v>124</v>
      </c>
      <c r="H740" s="36" t="s">
        <v>188</v>
      </c>
      <c r="I740" s="36" t="s">
        <v>541</v>
      </c>
      <c r="J740" s="36" t="s">
        <v>542</v>
      </c>
      <c r="K740" s="38" t="n">
        <v>560</v>
      </c>
      <c r="L740" s="38" t="n">
        <v>89040000</v>
      </c>
      <c r="M740" s="38" t="n">
        <v>20183800</v>
      </c>
      <c r="N740" s="39" t="n">
        <f aca="false">IF(A740="제외",0,IF(OR(N(L740)&lt;=0,N(M740)&gt;N(L740)),N(M740)/요약!$D$27,N(L740)))</f>
        <v>89040000</v>
      </c>
      <c r="O740" s="32" t="str">
        <f aca="false">IF(A740="제외","",IF(OR(N(L740)&lt;=0,N(M740)&gt;N(L740)),"택가보정(판매금액÷공급율)",""))</f>
        <v/>
      </c>
      <c r="P740" s="0" t="str">
        <f aca="false">IF(A740="HK","100",IF(A740="CN","200",IF(A740="TW","300",IF(ISNUMBER(SEARCH("태국",C740)),"500",IF(ISNUMBER(SEARCH("말레이",C740)),"600",IF(ISNUMBER(SEARCH("필리핀",C740)),"700",IF(ISNUMBER(SEARCH("인도네시아",C740)),"800",IF(ISNUMBER(SEARCH("크루즈",C740)),"810",IF(ISNUMBER(SEARCH("동물원",C740)),"830","")))))))))</f>
        <v>200</v>
      </c>
    </row>
    <row r="741" customFormat="false" ht="15" hidden="false" customHeight="false" outlineLevel="0" collapsed="false">
      <c r="A741" s="32" t="str">
        <f aca="false">IF(OR(TRIM(C741)="",SUBSTITUTE(C741," ","")="소계"),"제외",IF(ISNUMBER(SEARCH("홍콩",C741)),"HK",IF(ISNUMBER(SEARCH("상해",C741)),"CN",IF(ISNUMBER(SEARCH("대만",C741)),"TW","홀세일"))))</f>
        <v>CN</v>
      </c>
      <c r="B741" s="36" t="s">
        <v>1019</v>
      </c>
      <c r="C741" s="37" t="s">
        <v>1020</v>
      </c>
      <c r="D741" s="37" t="s">
        <v>123</v>
      </c>
      <c r="E741" s="36" t="n">
        <v>2026</v>
      </c>
      <c r="F741" s="37" t="s">
        <v>474</v>
      </c>
      <c r="G741" s="37" t="s">
        <v>124</v>
      </c>
      <c r="H741" s="36" t="s">
        <v>188</v>
      </c>
      <c r="I741" s="36" t="s">
        <v>934</v>
      </c>
      <c r="J741" s="36" t="s">
        <v>935</v>
      </c>
      <c r="K741" s="38" t="n">
        <v>282</v>
      </c>
      <c r="L741" s="38" t="n">
        <v>36378000</v>
      </c>
      <c r="M741" s="38" t="n">
        <v>8594820</v>
      </c>
      <c r="N741" s="39" t="n">
        <f aca="false">IF(A741="제외",0,IF(OR(N(L741)&lt;=0,N(M741)&gt;N(L741)),N(M741)/요약!$D$27,N(L741)))</f>
        <v>36378000</v>
      </c>
      <c r="O741" s="32" t="str">
        <f aca="false">IF(A741="제외","",IF(OR(N(L741)&lt;=0,N(M741)&gt;N(L741)),"택가보정(판매금액÷공급율)",""))</f>
        <v/>
      </c>
      <c r="P741" s="0" t="str">
        <f aca="false">IF(A741="HK","100",IF(A741="CN","200",IF(A741="TW","300",IF(ISNUMBER(SEARCH("태국",C741)),"500",IF(ISNUMBER(SEARCH("말레이",C741)),"600",IF(ISNUMBER(SEARCH("필리핀",C741)),"700",IF(ISNUMBER(SEARCH("인도네시아",C741)),"800",IF(ISNUMBER(SEARCH("크루즈",C741)),"810",IF(ISNUMBER(SEARCH("동물원",C741)),"830","")))))))))</f>
        <v>200</v>
      </c>
    </row>
    <row r="742" customFormat="false" ht="15" hidden="false" customHeight="false" outlineLevel="0" collapsed="false">
      <c r="A742" s="32" t="str">
        <f aca="false">IF(OR(TRIM(C742)="",SUBSTITUTE(C742," ","")="소계"),"제외",IF(ISNUMBER(SEARCH("홍콩",C742)),"HK",IF(ISNUMBER(SEARCH("상해",C742)),"CN",IF(ISNUMBER(SEARCH("대만",C742)),"TW","홀세일"))))</f>
        <v>CN</v>
      </c>
      <c r="B742" s="36" t="s">
        <v>1019</v>
      </c>
      <c r="C742" s="37" t="s">
        <v>1020</v>
      </c>
      <c r="D742" s="37" t="s">
        <v>123</v>
      </c>
      <c r="E742" s="36" t="n">
        <v>2026</v>
      </c>
      <c r="F742" s="37" t="s">
        <v>474</v>
      </c>
      <c r="G742" s="37" t="s">
        <v>124</v>
      </c>
      <c r="H742" s="36" t="s">
        <v>188</v>
      </c>
      <c r="I742" s="36" t="s">
        <v>1091</v>
      </c>
      <c r="J742" s="36" t="s">
        <v>1092</v>
      </c>
      <c r="K742" s="38" t="n">
        <v>1</v>
      </c>
      <c r="L742" s="38" t="n">
        <v>169000</v>
      </c>
      <c r="M742" s="38" t="n">
        <v>34469</v>
      </c>
      <c r="N742" s="39" t="n">
        <f aca="false">IF(A742="제외",0,IF(OR(N(L742)&lt;=0,N(M742)&gt;N(L742)),N(M742)/요약!$D$27,N(L742)))</f>
        <v>169000</v>
      </c>
      <c r="O742" s="32" t="str">
        <f aca="false">IF(A742="제외","",IF(OR(N(L742)&lt;=0,N(M742)&gt;N(L742)),"택가보정(판매금액÷공급율)",""))</f>
        <v/>
      </c>
      <c r="P742" s="0" t="str">
        <f aca="false">IF(A742="HK","100",IF(A742="CN","200",IF(A742="TW","300",IF(ISNUMBER(SEARCH("태국",C742)),"500",IF(ISNUMBER(SEARCH("말레이",C742)),"600",IF(ISNUMBER(SEARCH("필리핀",C742)),"700",IF(ISNUMBER(SEARCH("인도네시아",C742)),"800",IF(ISNUMBER(SEARCH("크루즈",C742)),"810",IF(ISNUMBER(SEARCH("동물원",C742)),"830","")))))))))</f>
        <v>200</v>
      </c>
    </row>
    <row r="743" customFormat="false" ht="15" hidden="false" customHeight="false" outlineLevel="0" collapsed="false">
      <c r="A743" s="32" t="str">
        <f aca="false">IF(OR(TRIM(C743)="",SUBSTITUTE(C743," ","")="소계"),"제외",IF(ISNUMBER(SEARCH("홍콩",C743)),"HK",IF(ISNUMBER(SEARCH("상해",C743)),"CN",IF(ISNUMBER(SEARCH("대만",C743)),"TW","홀세일"))))</f>
        <v>CN</v>
      </c>
      <c r="B743" s="36" t="s">
        <v>1019</v>
      </c>
      <c r="C743" s="37" t="s">
        <v>1020</v>
      </c>
      <c r="D743" s="37" t="s">
        <v>123</v>
      </c>
      <c r="E743" s="36" t="n">
        <v>2026</v>
      </c>
      <c r="F743" s="37" t="s">
        <v>474</v>
      </c>
      <c r="G743" s="37" t="s">
        <v>124</v>
      </c>
      <c r="H743" s="36" t="s">
        <v>188</v>
      </c>
      <c r="I743" s="36" t="s">
        <v>545</v>
      </c>
      <c r="J743" s="36" t="s">
        <v>546</v>
      </c>
      <c r="K743" s="38" t="n">
        <v>566</v>
      </c>
      <c r="L743" s="38" t="n">
        <v>84334000</v>
      </c>
      <c r="M743" s="38" t="n">
        <v>20481860</v>
      </c>
      <c r="N743" s="39" t="n">
        <f aca="false">IF(A743="제외",0,IF(OR(N(L743)&lt;=0,N(M743)&gt;N(L743)),N(M743)/요약!$D$27,N(L743)))</f>
        <v>84334000</v>
      </c>
      <c r="O743" s="32" t="str">
        <f aca="false">IF(A743="제외","",IF(OR(N(L743)&lt;=0,N(M743)&gt;N(L743)),"택가보정(판매금액÷공급율)",""))</f>
        <v/>
      </c>
      <c r="P743" s="0" t="str">
        <f aca="false">IF(A743="HK","100",IF(A743="CN","200",IF(A743="TW","300",IF(ISNUMBER(SEARCH("태국",C743)),"500",IF(ISNUMBER(SEARCH("말레이",C743)),"600",IF(ISNUMBER(SEARCH("필리핀",C743)),"700",IF(ISNUMBER(SEARCH("인도네시아",C743)),"800",IF(ISNUMBER(SEARCH("크루즈",C743)),"810",IF(ISNUMBER(SEARCH("동물원",C743)),"830","")))))))))</f>
        <v>200</v>
      </c>
    </row>
    <row r="744" customFormat="false" ht="15" hidden="false" customHeight="false" outlineLevel="0" collapsed="false">
      <c r="A744" s="32" t="str">
        <f aca="false">IF(OR(TRIM(C744)="",SUBSTITUTE(C744," ","")="소계"),"제외",IF(ISNUMBER(SEARCH("홍콩",C744)),"HK",IF(ISNUMBER(SEARCH("상해",C744)),"CN",IF(ISNUMBER(SEARCH("대만",C744)),"TW","홀세일"))))</f>
        <v>CN</v>
      </c>
      <c r="B744" s="36" t="s">
        <v>1019</v>
      </c>
      <c r="C744" s="37" t="s">
        <v>1020</v>
      </c>
      <c r="D744" s="37" t="s">
        <v>123</v>
      </c>
      <c r="E744" s="36" t="n">
        <v>2026</v>
      </c>
      <c r="F744" s="37" t="s">
        <v>474</v>
      </c>
      <c r="G744" s="37" t="s">
        <v>124</v>
      </c>
      <c r="H744" s="36" t="s">
        <v>188</v>
      </c>
      <c r="I744" s="36" t="s">
        <v>551</v>
      </c>
      <c r="J744" s="36" t="s">
        <v>552</v>
      </c>
      <c r="K744" s="38" t="n">
        <v>664</v>
      </c>
      <c r="L744" s="38" t="n">
        <v>112216000</v>
      </c>
      <c r="M744" s="38" t="n">
        <v>30539270</v>
      </c>
      <c r="N744" s="39" t="n">
        <f aca="false">IF(A744="제외",0,IF(OR(N(L744)&lt;=0,N(M744)&gt;N(L744)),N(M744)/요약!$D$27,N(L744)))</f>
        <v>112216000</v>
      </c>
      <c r="O744" s="32" t="str">
        <f aca="false">IF(A744="제외","",IF(OR(N(L744)&lt;=0,N(M744)&gt;N(L744)),"택가보정(판매금액÷공급율)",""))</f>
        <v/>
      </c>
      <c r="P744" s="0" t="str">
        <f aca="false">IF(A744="HK","100",IF(A744="CN","200",IF(A744="TW","300",IF(ISNUMBER(SEARCH("태국",C744)),"500",IF(ISNUMBER(SEARCH("말레이",C744)),"600",IF(ISNUMBER(SEARCH("필리핀",C744)),"700",IF(ISNUMBER(SEARCH("인도네시아",C744)),"800",IF(ISNUMBER(SEARCH("크루즈",C744)),"810",IF(ISNUMBER(SEARCH("동물원",C744)),"830","")))))))))</f>
        <v>200</v>
      </c>
    </row>
    <row r="745" customFormat="false" ht="15" hidden="false" customHeight="false" outlineLevel="0" collapsed="false">
      <c r="A745" s="32" t="str">
        <f aca="false">IF(OR(TRIM(C745)="",SUBSTITUTE(C745," ","")="소계"),"제외",IF(ISNUMBER(SEARCH("홍콩",C745)),"HK",IF(ISNUMBER(SEARCH("상해",C745)),"CN",IF(ISNUMBER(SEARCH("대만",C745)),"TW","홀세일"))))</f>
        <v>CN</v>
      </c>
      <c r="B745" s="36" t="s">
        <v>1019</v>
      </c>
      <c r="C745" s="37" t="s">
        <v>1020</v>
      </c>
      <c r="D745" s="37" t="s">
        <v>123</v>
      </c>
      <c r="E745" s="36" t="n">
        <v>2026</v>
      </c>
      <c r="F745" s="37" t="s">
        <v>474</v>
      </c>
      <c r="G745" s="37" t="s">
        <v>124</v>
      </c>
      <c r="H745" s="36" t="s">
        <v>188</v>
      </c>
      <c r="I745" s="36" t="s">
        <v>557</v>
      </c>
      <c r="J745" s="36" t="s">
        <v>558</v>
      </c>
      <c r="K745" s="38" t="n">
        <v>222</v>
      </c>
      <c r="L745" s="38" t="n">
        <v>73038000</v>
      </c>
      <c r="M745" s="38" t="n">
        <v>17530302</v>
      </c>
      <c r="N745" s="39" t="n">
        <f aca="false">IF(A745="제외",0,IF(OR(N(L745)&lt;=0,N(M745)&gt;N(L745)),N(M745)/요약!$D$27,N(L745)))</f>
        <v>73038000</v>
      </c>
      <c r="O745" s="32" t="str">
        <f aca="false">IF(A745="제외","",IF(OR(N(L745)&lt;=0,N(M745)&gt;N(L745)),"택가보정(판매금액÷공급율)",""))</f>
        <v/>
      </c>
      <c r="P745" s="0" t="str">
        <f aca="false">IF(A745="HK","100",IF(A745="CN","200",IF(A745="TW","300",IF(ISNUMBER(SEARCH("태국",C745)),"500",IF(ISNUMBER(SEARCH("말레이",C745)),"600",IF(ISNUMBER(SEARCH("필리핀",C745)),"700",IF(ISNUMBER(SEARCH("인도네시아",C745)),"800",IF(ISNUMBER(SEARCH("크루즈",C745)),"810",IF(ISNUMBER(SEARCH("동물원",C745)),"830","")))))))))</f>
        <v>200</v>
      </c>
    </row>
    <row r="746" customFormat="false" ht="15" hidden="false" customHeight="false" outlineLevel="0" collapsed="false">
      <c r="A746" s="32" t="str">
        <f aca="false">IF(OR(TRIM(C746)="",SUBSTITUTE(C746," ","")="소계"),"제외",IF(ISNUMBER(SEARCH("홍콩",C746)),"HK",IF(ISNUMBER(SEARCH("상해",C746)),"CN",IF(ISNUMBER(SEARCH("대만",C746)),"TW","홀세일"))))</f>
        <v>CN</v>
      </c>
      <c r="B746" s="36" t="s">
        <v>1019</v>
      </c>
      <c r="C746" s="37" t="s">
        <v>1020</v>
      </c>
      <c r="D746" s="37" t="s">
        <v>123</v>
      </c>
      <c r="E746" s="36" t="n">
        <v>2026</v>
      </c>
      <c r="F746" s="37" t="s">
        <v>474</v>
      </c>
      <c r="G746" s="37" t="s">
        <v>124</v>
      </c>
      <c r="H746" s="36" t="s">
        <v>188</v>
      </c>
      <c r="I746" s="36" t="s">
        <v>1093</v>
      </c>
      <c r="J746" s="36" t="s">
        <v>1094</v>
      </c>
      <c r="K746" s="38" t="n">
        <v>407</v>
      </c>
      <c r="L746" s="38" t="n">
        <v>203093000</v>
      </c>
      <c r="M746" s="38" t="n">
        <v>52693253</v>
      </c>
      <c r="N746" s="39" t="n">
        <f aca="false">IF(A746="제외",0,IF(OR(N(L746)&lt;=0,N(M746)&gt;N(L746)),N(M746)/요약!$D$27,N(L746)))</f>
        <v>203093000</v>
      </c>
      <c r="O746" s="32" t="str">
        <f aca="false">IF(A746="제외","",IF(OR(N(L746)&lt;=0,N(M746)&gt;N(L746)),"택가보정(판매금액÷공급율)",""))</f>
        <v/>
      </c>
      <c r="P746" s="0" t="str">
        <f aca="false">IF(A746="HK","100",IF(A746="CN","200",IF(A746="TW","300",IF(ISNUMBER(SEARCH("태국",C746)),"500",IF(ISNUMBER(SEARCH("말레이",C746)),"600",IF(ISNUMBER(SEARCH("필리핀",C746)),"700",IF(ISNUMBER(SEARCH("인도네시아",C746)),"800",IF(ISNUMBER(SEARCH("크루즈",C746)),"810",IF(ISNUMBER(SEARCH("동물원",C746)),"830","")))))))))</f>
        <v>200</v>
      </c>
    </row>
    <row r="747" customFormat="false" ht="15" hidden="false" customHeight="false" outlineLevel="0" collapsed="false">
      <c r="A747" s="32" t="str">
        <f aca="false">IF(OR(TRIM(C747)="",SUBSTITUTE(C747," ","")="소계"),"제외",IF(ISNUMBER(SEARCH("홍콩",C747)),"HK",IF(ISNUMBER(SEARCH("상해",C747)),"CN",IF(ISNUMBER(SEARCH("대만",C747)),"TW","홀세일"))))</f>
        <v>CN</v>
      </c>
      <c r="B747" s="36" t="s">
        <v>1019</v>
      </c>
      <c r="C747" s="37" t="s">
        <v>1020</v>
      </c>
      <c r="D747" s="37" t="s">
        <v>123</v>
      </c>
      <c r="E747" s="36" t="n">
        <v>2026</v>
      </c>
      <c r="F747" s="37" t="s">
        <v>474</v>
      </c>
      <c r="G747" s="37" t="s">
        <v>124</v>
      </c>
      <c r="H747" s="36" t="s">
        <v>188</v>
      </c>
      <c r="I747" s="36" t="s">
        <v>563</v>
      </c>
      <c r="J747" s="36" t="s">
        <v>564</v>
      </c>
      <c r="K747" s="38" t="n">
        <v>2</v>
      </c>
      <c r="L747" s="38" t="n">
        <v>918000</v>
      </c>
      <c r="M747" s="38" t="n">
        <v>257490</v>
      </c>
      <c r="N747" s="39" t="n">
        <f aca="false">IF(A747="제외",0,IF(OR(N(L747)&lt;=0,N(M747)&gt;N(L747)),N(M747)/요약!$D$27,N(L747)))</f>
        <v>918000</v>
      </c>
      <c r="O747" s="32" t="str">
        <f aca="false">IF(A747="제외","",IF(OR(N(L747)&lt;=0,N(M747)&gt;N(L747)),"택가보정(판매금액÷공급율)",""))</f>
        <v/>
      </c>
      <c r="P747" s="0" t="str">
        <f aca="false">IF(A747="HK","100",IF(A747="CN","200",IF(A747="TW","300",IF(ISNUMBER(SEARCH("태국",C747)),"500",IF(ISNUMBER(SEARCH("말레이",C747)),"600",IF(ISNUMBER(SEARCH("필리핀",C747)),"700",IF(ISNUMBER(SEARCH("인도네시아",C747)),"800",IF(ISNUMBER(SEARCH("크루즈",C747)),"810",IF(ISNUMBER(SEARCH("동물원",C747)),"830","")))))))))</f>
        <v>200</v>
      </c>
    </row>
    <row r="748" customFormat="false" ht="15" hidden="false" customHeight="false" outlineLevel="0" collapsed="false">
      <c r="A748" s="32" t="str">
        <f aca="false">IF(OR(TRIM(C748)="",SUBSTITUTE(C748," ","")="소계"),"제외",IF(ISNUMBER(SEARCH("홍콩",C748)),"HK",IF(ISNUMBER(SEARCH("상해",C748)),"CN",IF(ISNUMBER(SEARCH("대만",C748)),"TW","홀세일"))))</f>
        <v>CN</v>
      </c>
      <c r="B748" s="36" t="s">
        <v>1019</v>
      </c>
      <c r="C748" s="37" t="s">
        <v>1020</v>
      </c>
      <c r="D748" s="37" t="s">
        <v>123</v>
      </c>
      <c r="E748" s="36" t="n">
        <v>2026</v>
      </c>
      <c r="F748" s="37" t="s">
        <v>474</v>
      </c>
      <c r="G748" s="37" t="s">
        <v>124</v>
      </c>
      <c r="H748" s="36" t="s">
        <v>188</v>
      </c>
      <c r="I748" s="36" t="s">
        <v>1095</v>
      </c>
      <c r="J748" s="36" t="s">
        <v>1096</v>
      </c>
      <c r="K748" s="38" t="n">
        <v>3</v>
      </c>
      <c r="L748" s="38" t="n">
        <v>897000</v>
      </c>
      <c r="M748" s="38" t="n">
        <v>286821</v>
      </c>
      <c r="N748" s="39" t="n">
        <f aca="false">IF(A748="제외",0,IF(OR(N(L748)&lt;=0,N(M748)&gt;N(L748)),N(M748)/요약!$D$27,N(L748)))</f>
        <v>897000</v>
      </c>
      <c r="O748" s="32" t="str">
        <f aca="false">IF(A748="제외","",IF(OR(N(L748)&lt;=0,N(M748)&gt;N(L748)),"택가보정(판매금액÷공급율)",""))</f>
        <v/>
      </c>
      <c r="P748" s="0" t="str">
        <f aca="false">IF(A748="HK","100",IF(A748="CN","200",IF(A748="TW","300",IF(ISNUMBER(SEARCH("태국",C748)),"500",IF(ISNUMBER(SEARCH("말레이",C748)),"600",IF(ISNUMBER(SEARCH("필리핀",C748)),"700",IF(ISNUMBER(SEARCH("인도네시아",C748)),"800",IF(ISNUMBER(SEARCH("크루즈",C748)),"810",IF(ISNUMBER(SEARCH("동물원",C748)),"830","")))))))))</f>
        <v>200</v>
      </c>
    </row>
    <row r="749" customFormat="false" ht="15" hidden="false" customHeight="false" outlineLevel="0" collapsed="false">
      <c r="A749" s="32" t="str">
        <f aca="false">IF(OR(TRIM(C749)="",SUBSTITUTE(C749," ","")="소계"),"제외",IF(ISNUMBER(SEARCH("홍콩",C749)),"HK",IF(ISNUMBER(SEARCH("상해",C749)),"CN",IF(ISNUMBER(SEARCH("대만",C749)),"TW","홀세일"))))</f>
        <v>CN</v>
      </c>
      <c r="B749" s="36" t="s">
        <v>1019</v>
      </c>
      <c r="C749" s="37" t="s">
        <v>1020</v>
      </c>
      <c r="D749" s="37" t="s">
        <v>123</v>
      </c>
      <c r="E749" s="36" t="n">
        <v>2026</v>
      </c>
      <c r="F749" s="37" t="s">
        <v>474</v>
      </c>
      <c r="G749" s="37" t="s">
        <v>124</v>
      </c>
      <c r="H749" s="36" t="s">
        <v>188</v>
      </c>
      <c r="I749" s="36" t="s">
        <v>565</v>
      </c>
      <c r="J749" s="36" t="s">
        <v>566</v>
      </c>
      <c r="K749" s="38" t="n">
        <v>462</v>
      </c>
      <c r="L749" s="38" t="n">
        <v>202818000</v>
      </c>
      <c r="M749" s="38" t="n">
        <v>47511518</v>
      </c>
      <c r="N749" s="39" t="n">
        <f aca="false">IF(A749="제외",0,IF(OR(N(L749)&lt;=0,N(M749)&gt;N(L749)),N(M749)/요약!$D$27,N(L749)))</f>
        <v>202818000</v>
      </c>
      <c r="O749" s="32" t="str">
        <f aca="false">IF(A749="제외","",IF(OR(N(L749)&lt;=0,N(M749)&gt;N(L749)),"택가보정(판매금액÷공급율)",""))</f>
        <v/>
      </c>
      <c r="P749" s="0" t="str">
        <f aca="false">IF(A749="HK","100",IF(A749="CN","200",IF(A749="TW","300",IF(ISNUMBER(SEARCH("태국",C749)),"500",IF(ISNUMBER(SEARCH("말레이",C749)),"600",IF(ISNUMBER(SEARCH("필리핀",C749)),"700",IF(ISNUMBER(SEARCH("인도네시아",C749)),"800",IF(ISNUMBER(SEARCH("크루즈",C749)),"810",IF(ISNUMBER(SEARCH("동물원",C749)),"830","")))))))))</f>
        <v>200</v>
      </c>
    </row>
    <row r="750" customFormat="false" ht="15" hidden="false" customHeight="false" outlineLevel="0" collapsed="false">
      <c r="A750" s="32" t="str">
        <f aca="false">IF(OR(TRIM(C750)="",SUBSTITUTE(C750," ","")="소계"),"제외",IF(ISNUMBER(SEARCH("홍콩",C750)),"HK",IF(ISNUMBER(SEARCH("상해",C750)),"CN",IF(ISNUMBER(SEARCH("대만",C750)),"TW","홀세일"))))</f>
        <v>CN</v>
      </c>
      <c r="B750" s="36" t="s">
        <v>1019</v>
      </c>
      <c r="C750" s="37" t="s">
        <v>1020</v>
      </c>
      <c r="D750" s="37" t="s">
        <v>123</v>
      </c>
      <c r="E750" s="36" t="n">
        <v>2026</v>
      </c>
      <c r="F750" s="37" t="s">
        <v>474</v>
      </c>
      <c r="G750" s="37" t="s">
        <v>124</v>
      </c>
      <c r="H750" s="36" t="s">
        <v>188</v>
      </c>
      <c r="I750" s="36" t="s">
        <v>569</v>
      </c>
      <c r="J750" s="36" t="s">
        <v>570</v>
      </c>
      <c r="K750" s="38" t="n">
        <v>116</v>
      </c>
      <c r="L750" s="38" t="n">
        <v>21924000</v>
      </c>
      <c r="M750" s="38" t="n">
        <v>5497570</v>
      </c>
      <c r="N750" s="39" t="n">
        <f aca="false">IF(A750="제외",0,IF(OR(N(L750)&lt;=0,N(M750)&gt;N(L750)),N(M750)/요약!$D$27,N(L750)))</f>
        <v>21924000</v>
      </c>
      <c r="O750" s="32" t="str">
        <f aca="false">IF(A750="제외","",IF(OR(N(L750)&lt;=0,N(M750)&gt;N(L750)),"택가보정(판매금액÷공급율)",""))</f>
        <v/>
      </c>
      <c r="P750" s="0" t="str">
        <f aca="false">IF(A750="HK","100",IF(A750="CN","200",IF(A750="TW","300",IF(ISNUMBER(SEARCH("태국",C750)),"500",IF(ISNUMBER(SEARCH("말레이",C750)),"600",IF(ISNUMBER(SEARCH("필리핀",C750)),"700",IF(ISNUMBER(SEARCH("인도네시아",C750)),"800",IF(ISNUMBER(SEARCH("크루즈",C750)),"810",IF(ISNUMBER(SEARCH("동물원",C750)),"830","")))))))))</f>
        <v>200</v>
      </c>
    </row>
    <row r="751" customFormat="false" ht="15" hidden="false" customHeight="false" outlineLevel="0" collapsed="false">
      <c r="A751" s="32" t="str">
        <f aca="false">IF(OR(TRIM(C751)="",SUBSTITUTE(C751," ","")="소계"),"제외",IF(ISNUMBER(SEARCH("홍콩",C751)),"HK",IF(ISNUMBER(SEARCH("상해",C751)),"CN",IF(ISNUMBER(SEARCH("대만",C751)),"TW","홀세일"))))</f>
        <v>CN</v>
      </c>
      <c r="B751" s="36" t="s">
        <v>1019</v>
      </c>
      <c r="C751" s="37" t="s">
        <v>1020</v>
      </c>
      <c r="D751" s="37" t="s">
        <v>123</v>
      </c>
      <c r="E751" s="36" t="n">
        <v>2026</v>
      </c>
      <c r="F751" s="37" t="s">
        <v>474</v>
      </c>
      <c r="G751" s="37" t="s">
        <v>124</v>
      </c>
      <c r="H751" s="36" t="s">
        <v>188</v>
      </c>
      <c r="I751" s="36" t="s">
        <v>1097</v>
      </c>
      <c r="J751" s="36" t="s">
        <v>1098</v>
      </c>
      <c r="K751" s="38" t="n">
        <v>3</v>
      </c>
      <c r="L751" s="38" t="n">
        <v>837000</v>
      </c>
      <c r="M751" s="38" t="n">
        <v>269940</v>
      </c>
      <c r="N751" s="39" t="n">
        <f aca="false">IF(A751="제외",0,IF(OR(N(L751)&lt;=0,N(M751)&gt;N(L751)),N(M751)/요약!$D$27,N(L751)))</f>
        <v>837000</v>
      </c>
      <c r="O751" s="32" t="str">
        <f aca="false">IF(A751="제외","",IF(OR(N(L751)&lt;=0,N(M751)&gt;N(L751)),"택가보정(판매금액÷공급율)",""))</f>
        <v/>
      </c>
      <c r="P751" s="0" t="str">
        <f aca="false">IF(A751="HK","100",IF(A751="CN","200",IF(A751="TW","300",IF(ISNUMBER(SEARCH("태국",C751)),"500",IF(ISNUMBER(SEARCH("말레이",C751)),"600",IF(ISNUMBER(SEARCH("필리핀",C751)),"700",IF(ISNUMBER(SEARCH("인도네시아",C751)),"800",IF(ISNUMBER(SEARCH("크루즈",C751)),"810",IF(ISNUMBER(SEARCH("동물원",C751)),"830","")))))))))</f>
        <v>200</v>
      </c>
    </row>
    <row r="752" customFormat="false" ht="15" hidden="false" customHeight="false" outlineLevel="0" collapsed="false">
      <c r="A752" s="32" t="str">
        <f aca="false">IF(OR(TRIM(C752)="",SUBSTITUTE(C752," ","")="소계"),"제외",IF(ISNUMBER(SEARCH("홍콩",C752)),"HK",IF(ISNUMBER(SEARCH("상해",C752)),"CN",IF(ISNUMBER(SEARCH("대만",C752)),"TW","홀세일"))))</f>
        <v>CN</v>
      </c>
      <c r="B752" s="36" t="s">
        <v>1019</v>
      </c>
      <c r="C752" s="37" t="s">
        <v>1020</v>
      </c>
      <c r="D752" s="37" t="s">
        <v>123</v>
      </c>
      <c r="E752" s="36" t="n">
        <v>2026</v>
      </c>
      <c r="F752" s="37" t="s">
        <v>474</v>
      </c>
      <c r="G752" s="37" t="s">
        <v>124</v>
      </c>
      <c r="H752" s="36" t="s">
        <v>188</v>
      </c>
      <c r="I752" s="36" t="s">
        <v>577</v>
      </c>
      <c r="J752" s="36" t="s">
        <v>578</v>
      </c>
      <c r="K752" s="38" t="n">
        <v>473</v>
      </c>
      <c r="L752" s="38" t="n">
        <v>94127000</v>
      </c>
      <c r="M752" s="38" t="n">
        <v>24695439</v>
      </c>
      <c r="N752" s="39" t="n">
        <f aca="false">IF(A752="제외",0,IF(OR(N(L752)&lt;=0,N(M752)&gt;N(L752)),N(M752)/요약!$D$27,N(L752)))</f>
        <v>94127000</v>
      </c>
      <c r="O752" s="32" t="str">
        <f aca="false">IF(A752="제외","",IF(OR(N(L752)&lt;=0,N(M752)&gt;N(L752)),"택가보정(판매금액÷공급율)",""))</f>
        <v/>
      </c>
      <c r="P752" s="0" t="str">
        <f aca="false">IF(A752="HK","100",IF(A752="CN","200",IF(A752="TW","300",IF(ISNUMBER(SEARCH("태국",C752)),"500",IF(ISNUMBER(SEARCH("말레이",C752)),"600",IF(ISNUMBER(SEARCH("필리핀",C752)),"700",IF(ISNUMBER(SEARCH("인도네시아",C752)),"800",IF(ISNUMBER(SEARCH("크루즈",C752)),"810",IF(ISNUMBER(SEARCH("동물원",C752)),"830","")))))))))</f>
        <v>200</v>
      </c>
    </row>
    <row r="753" customFormat="false" ht="15" hidden="false" customHeight="false" outlineLevel="0" collapsed="false">
      <c r="A753" s="32" t="str">
        <f aca="false">IF(OR(TRIM(C753)="",SUBSTITUTE(C753," ","")="소계"),"제외",IF(ISNUMBER(SEARCH("홍콩",C753)),"HK",IF(ISNUMBER(SEARCH("상해",C753)),"CN",IF(ISNUMBER(SEARCH("대만",C753)),"TW","홀세일"))))</f>
        <v>CN</v>
      </c>
      <c r="B753" s="36" t="s">
        <v>1019</v>
      </c>
      <c r="C753" s="37" t="s">
        <v>1020</v>
      </c>
      <c r="D753" s="37" t="s">
        <v>123</v>
      </c>
      <c r="E753" s="36" t="n">
        <v>2026</v>
      </c>
      <c r="F753" s="37" t="s">
        <v>474</v>
      </c>
      <c r="G753" s="37" t="s">
        <v>124</v>
      </c>
      <c r="H753" s="36" t="s">
        <v>188</v>
      </c>
      <c r="I753" s="36" t="s">
        <v>946</v>
      </c>
      <c r="J753" s="36" t="s">
        <v>947</v>
      </c>
      <c r="K753" s="38" t="n">
        <v>302</v>
      </c>
      <c r="L753" s="38" t="n">
        <v>48018000</v>
      </c>
      <c r="M753" s="38" t="n">
        <v>11120214</v>
      </c>
      <c r="N753" s="39" t="n">
        <f aca="false">IF(A753="제외",0,IF(OR(N(L753)&lt;=0,N(M753)&gt;N(L753)),N(M753)/요약!$D$27,N(L753)))</f>
        <v>48018000</v>
      </c>
      <c r="O753" s="32" t="str">
        <f aca="false">IF(A753="제외","",IF(OR(N(L753)&lt;=0,N(M753)&gt;N(L753)),"택가보정(판매금액÷공급율)",""))</f>
        <v/>
      </c>
      <c r="P753" s="0" t="str">
        <f aca="false">IF(A753="HK","100",IF(A753="CN","200",IF(A753="TW","300",IF(ISNUMBER(SEARCH("태국",C753)),"500",IF(ISNUMBER(SEARCH("말레이",C753)),"600",IF(ISNUMBER(SEARCH("필리핀",C753)),"700",IF(ISNUMBER(SEARCH("인도네시아",C753)),"800",IF(ISNUMBER(SEARCH("크루즈",C753)),"810",IF(ISNUMBER(SEARCH("동물원",C753)),"830","")))))))))</f>
        <v>200</v>
      </c>
    </row>
    <row r="754" customFormat="false" ht="15" hidden="false" customHeight="false" outlineLevel="0" collapsed="false">
      <c r="A754" s="32" t="str">
        <f aca="false">IF(OR(TRIM(C754)="",SUBSTITUTE(C754," ","")="소계"),"제외",IF(ISNUMBER(SEARCH("홍콩",C754)),"HK",IF(ISNUMBER(SEARCH("상해",C754)),"CN",IF(ISNUMBER(SEARCH("대만",C754)),"TW","홀세일"))))</f>
        <v>CN</v>
      </c>
      <c r="B754" s="36" t="s">
        <v>1019</v>
      </c>
      <c r="C754" s="37" t="s">
        <v>1020</v>
      </c>
      <c r="D754" s="37" t="s">
        <v>123</v>
      </c>
      <c r="E754" s="36" t="n">
        <v>2026</v>
      </c>
      <c r="F754" s="37" t="s">
        <v>474</v>
      </c>
      <c r="G754" s="37" t="s">
        <v>124</v>
      </c>
      <c r="H754" s="36" t="s">
        <v>188</v>
      </c>
      <c r="I754" s="36" t="s">
        <v>1099</v>
      </c>
      <c r="J754" s="36" t="s">
        <v>1100</v>
      </c>
      <c r="K754" s="38" t="n">
        <v>272</v>
      </c>
      <c r="L754" s="38" t="n">
        <v>29648000</v>
      </c>
      <c r="M754" s="38" t="n">
        <v>6932062</v>
      </c>
      <c r="N754" s="39" t="n">
        <f aca="false">IF(A754="제외",0,IF(OR(N(L754)&lt;=0,N(M754)&gt;N(L754)),N(M754)/요약!$D$27,N(L754)))</f>
        <v>29648000</v>
      </c>
      <c r="O754" s="32" t="str">
        <f aca="false">IF(A754="제외","",IF(OR(N(L754)&lt;=0,N(M754)&gt;N(L754)),"택가보정(판매금액÷공급율)",""))</f>
        <v/>
      </c>
      <c r="P754" s="0" t="str">
        <f aca="false">IF(A754="HK","100",IF(A754="CN","200",IF(A754="TW","300",IF(ISNUMBER(SEARCH("태국",C754)),"500",IF(ISNUMBER(SEARCH("말레이",C754)),"600",IF(ISNUMBER(SEARCH("필리핀",C754)),"700",IF(ISNUMBER(SEARCH("인도네시아",C754)),"800",IF(ISNUMBER(SEARCH("크루즈",C754)),"810",IF(ISNUMBER(SEARCH("동물원",C754)),"830","")))))))))</f>
        <v>200</v>
      </c>
    </row>
    <row r="755" customFormat="false" ht="15" hidden="false" customHeight="false" outlineLevel="0" collapsed="false">
      <c r="A755" s="32" t="str">
        <f aca="false">IF(OR(TRIM(C755)="",SUBSTITUTE(C755," ","")="소계"),"제외",IF(ISNUMBER(SEARCH("홍콩",C755)),"HK",IF(ISNUMBER(SEARCH("상해",C755)),"CN",IF(ISNUMBER(SEARCH("대만",C755)),"TW","홀세일"))))</f>
        <v>CN</v>
      </c>
      <c r="B755" s="36" t="s">
        <v>1019</v>
      </c>
      <c r="C755" s="37" t="s">
        <v>1020</v>
      </c>
      <c r="D755" s="37" t="s">
        <v>123</v>
      </c>
      <c r="E755" s="36" t="n">
        <v>2026</v>
      </c>
      <c r="F755" s="36" t="s">
        <v>110</v>
      </c>
      <c r="G755" s="37" t="s">
        <v>102</v>
      </c>
      <c r="H755" s="36" t="s">
        <v>131</v>
      </c>
      <c r="I755" s="36" t="s">
        <v>1101</v>
      </c>
      <c r="J755" s="36" t="s">
        <v>1102</v>
      </c>
      <c r="K755" s="38" t="n">
        <v>240</v>
      </c>
      <c r="L755" s="38" t="n">
        <v>23760000</v>
      </c>
      <c r="M755" s="38" t="n">
        <v>6965760</v>
      </c>
      <c r="N755" s="39" t="n">
        <f aca="false">IF(A755="제외",0,IF(OR(N(L755)&lt;=0,N(M755)&gt;N(L755)),N(M755)/요약!$D$27,N(L755)))</f>
        <v>23760000</v>
      </c>
      <c r="O755" s="32" t="str">
        <f aca="false">IF(A755="제외","",IF(OR(N(L755)&lt;=0,N(M755)&gt;N(L755)),"택가보정(판매금액÷공급율)",""))</f>
        <v/>
      </c>
      <c r="P755" s="0" t="str">
        <f aca="false">IF(A755="HK","100",IF(A755="CN","200",IF(A755="TW","300",IF(ISNUMBER(SEARCH("태국",C755)),"500",IF(ISNUMBER(SEARCH("말레이",C755)),"600",IF(ISNUMBER(SEARCH("필리핀",C755)),"700",IF(ISNUMBER(SEARCH("인도네시아",C755)),"800",IF(ISNUMBER(SEARCH("크루즈",C755)),"810",IF(ISNUMBER(SEARCH("동물원",C755)),"830","")))))))))</f>
        <v>200</v>
      </c>
    </row>
    <row r="756" customFormat="false" ht="15" hidden="false" customHeight="false" outlineLevel="0" collapsed="false">
      <c r="A756" s="32" t="str">
        <f aca="false">IF(OR(TRIM(C756)="",SUBSTITUTE(C756," ","")="소계"),"제외",IF(ISNUMBER(SEARCH("홍콩",C756)),"HK",IF(ISNUMBER(SEARCH("상해",C756)),"CN",IF(ISNUMBER(SEARCH("대만",C756)),"TW","홀세일"))))</f>
        <v>CN</v>
      </c>
      <c r="B756" s="36" t="s">
        <v>1019</v>
      </c>
      <c r="C756" s="37" t="s">
        <v>1020</v>
      </c>
      <c r="D756" s="37" t="s">
        <v>123</v>
      </c>
      <c r="E756" s="36" t="n">
        <v>2026</v>
      </c>
      <c r="F756" s="36" t="s">
        <v>110</v>
      </c>
      <c r="G756" s="37" t="s">
        <v>102</v>
      </c>
      <c r="H756" s="36" t="s">
        <v>131</v>
      </c>
      <c r="I756" s="36" t="s">
        <v>585</v>
      </c>
      <c r="J756" s="36" t="s">
        <v>586</v>
      </c>
      <c r="K756" s="38" t="n">
        <v>580</v>
      </c>
      <c r="L756" s="38" t="n">
        <v>69020000</v>
      </c>
      <c r="M756" s="38" t="n">
        <v>16497520</v>
      </c>
      <c r="N756" s="39" t="n">
        <f aca="false">IF(A756="제외",0,IF(OR(N(L756)&lt;=0,N(M756)&gt;N(L756)),N(M756)/요약!$D$27,N(L756)))</f>
        <v>69020000</v>
      </c>
      <c r="O756" s="32" t="str">
        <f aca="false">IF(A756="제외","",IF(OR(N(L756)&lt;=0,N(M756)&gt;N(L756)),"택가보정(판매금액÷공급율)",""))</f>
        <v/>
      </c>
      <c r="P756" s="0" t="str">
        <f aca="false">IF(A756="HK","100",IF(A756="CN","200",IF(A756="TW","300",IF(ISNUMBER(SEARCH("태국",C756)),"500",IF(ISNUMBER(SEARCH("말레이",C756)),"600",IF(ISNUMBER(SEARCH("필리핀",C756)),"700",IF(ISNUMBER(SEARCH("인도네시아",C756)),"800",IF(ISNUMBER(SEARCH("크루즈",C756)),"810",IF(ISNUMBER(SEARCH("동물원",C756)),"830","")))))))))</f>
        <v>200</v>
      </c>
    </row>
    <row r="757" customFormat="false" ht="15" hidden="false" customHeight="false" outlineLevel="0" collapsed="false">
      <c r="A757" s="32" t="str">
        <f aca="false">IF(OR(TRIM(C757)="",SUBSTITUTE(C757," ","")="소계"),"제외",IF(ISNUMBER(SEARCH("홍콩",C757)),"HK",IF(ISNUMBER(SEARCH("상해",C757)),"CN",IF(ISNUMBER(SEARCH("대만",C757)),"TW","홀세일"))))</f>
        <v>CN</v>
      </c>
      <c r="B757" s="36" t="s">
        <v>1019</v>
      </c>
      <c r="C757" s="37" t="s">
        <v>1020</v>
      </c>
      <c r="D757" s="37" t="s">
        <v>123</v>
      </c>
      <c r="E757" s="36" t="n">
        <v>2026</v>
      </c>
      <c r="F757" s="36" t="s">
        <v>110</v>
      </c>
      <c r="G757" s="37" t="s">
        <v>102</v>
      </c>
      <c r="H757" s="36" t="s">
        <v>131</v>
      </c>
      <c r="I757" s="36" t="s">
        <v>950</v>
      </c>
      <c r="J757" s="37" t="s">
        <v>951</v>
      </c>
      <c r="K757" s="38" t="n">
        <v>535</v>
      </c>
      <c r="L757" s="38" t="n">
        <v>63665000</v>
      </c>
      <c r="M757" s="38" t="n">
        <v>18595530</v>
      </c>
      <c r="N757" s="39" t="n">
        <f aca="false">IF(A757="제외",0,IF(OR(N(L757)&lt;=0,N(M757)&gt;N(L757)),N(M757)/요약!$D$27,N(L757)))</f>
        <v>63665000</v>
      </c>
      <c r="O757" s="32" t="str">
        <f aca="false">IF(A757="제외","",IF(OR(N(L757)&lt;=0,N(M757)&gt;N(L757)),"택가보정(판매금액÷공급율)",""))</f>
        <v/>
      </c>
      <c r="P757" s="0" t="str">
        <f aca="false">IF(A757="HK","100",IF(A757="CN","200",IF(A757="TW","300",IF(ISNUMBER(SEARCH("태국",C757)),"500",IF(ISNUMBER(SEARCH("말레이",C757)),"600",IF(ISNUMBER(SEARCH("필리핀",C757)),"700",IF(ISNUMBER(SEARCH("인도네시아",C757)),"800",IF(ISNUMBER(SEARCH("크루즈",C757)),"810",IF(ISNUMBER(SEARCH("동물원",C757)),"830","")))))))))</f>
        <v>200</v>
      </c>
    </row>
    <row r="758" customFormat="false" ht="15" hidden="false" customHeight="false" outlineLevel="0" collapsed="false">
      <c r="A758" s="32" t="str">
        <f aca="false">IF(OR(TRIM(C758)="",SUBSTITUTE(C758," ","")="소계"),"제외",IF(ISNUMBER(SEARCH("홍콩",C758)),"HK",IF(ISNUMBER(SEARCH("상해",C758)),"CN",IF(ISNUMBER(SEARCH("대만",C758)),"TW","홀세일"))))</f>
        <v>CN</v>
      </c>
      <c r="B758" s="36" t="s">
        <v>1019</v>
      </c>
      <c r="C758" s="37" t="s">
        <v>1020</v>
      </c>
      <c r="D758" s="37" t="s">
        <v>123</v>
      </c>
      <c r="E758" s="36" t="n">
        <v>2026</v>
      </c>
      <c r="F758" s="36" t="s">
        <v>110</v>
      </c>
      <c r="G758" s="37" t="s">
        <v>102</v>
      </c>
      <c r="H758" s="36" t="s">
        <v>131</v>
      </c>
      <c r="I758" s="36" t="s">
        <v>954</v>
      </c>
      <c r="J758" s="37" t="s">
        <v>955</v>
      </c>
      <c r="K758" s="38" t="n">
        <v>242</v>
      </c>
      <c r="L758" s="38" t="n">
        <v>43318000</v>
      </c>
      <c r="M758" s="38" t="n">
        <v>12225696</v>
      </c>
      <c r="N758" s="39" t="n">
        <f aca="false">IF(A758="제외",0,IF(OR(N(L758)&lt;=0,N(M758)&gt;N(L758)),N(M758)/요약!$D$27,N(L758)))</f>
        <v>43318000</v>
      </c>
      <c r="O758" s="32" t="str">
        <f aca="false">IF(A758="제외","",IF(OR(N(L758)&lt;=0,N(M758)&gt;N(L758)),"택가보정(판매금액÷공급율)",""))</f>
        <v/>
      </c>
      <c r="P758" s="0" t="str">
        <f aca="false">IF(A758="HK","100",IF(A758="CN","200",IF(A758="TW","300",IF(ISNUMBER(SEARCH("태국",C758)),"500",IF(ISNUMBER(SEARCH("말레이",C758)),"600",IF(ISNUMBER(SEARCH("필리핀",C758)),"700",IF(ISNUMBER(SEARCH("인도네시아",C758)),"800",IF(ISNUMBER(SEARCH("크루즈",C758)),"810",IF(ISNUMBER(SEARCH("동물원",C758)),"830","")))))))))</f>
        <v>200</v>
      </c>
    </row>
    <row r="759" customFormat="false" ht="15" hidden="false" customHeight="false" outlineLevel="0" collapsed="false">
      <c r="A759" s="32" t="str">
        <f aca="false">IF(OR(TRIM(C759)="",SUBSTITUTE(C759," ","")="소계"),"제외",IF(ISNUMBER(SEARCH("홍콩",C759)),"HK",IF(ISNUMBER(SEARCH("상해",C759)),"CN",IF(ISNUMBER(SEARCH("대만",C759)),"TW","홀세일"))))</f>
        <v>CN</v>
      </c>
      <c r="B759" s="36" t="s">
        <v>1019</v>
      </c>
      <c r="C759" s="37" t="s">
        <v>1020</v>
      </c>
      <c r="D759" s="37" t="s">
        <v>123</v>
      </c>
      <c r="E759" s="36" t="n">
        <v>2026</v>
      </c>
      <c r="F759" s="36" t="s">
        <v>110</v>
      </c>
      <c r="G759" s="37" t="s">
        <v>102</v>
      </c>
      <c r="H759" s="36" t="s">
        <v>125</v>
      </c>
      <c r="I759" s="36" t="s">
        <v>589</v>
      </c>
      <c r="J759" s="37" t="s">
        <v>590</v>
      </c>
      <c r="K759" s="38" t="n">
        <v>192</v>
      </c>
      <c r="L759" s="38" t="n">
        <v>28608000</v>
      </c>
      <c r="M759" s="38" t="n">
        <v>8729942</v>
      </c>
      <c r="N759" s="39" t="n">
        <f aca="false">IF(A759="제외",0,IF(OR(N(L759)&lt;=0,N(M759)&gt;N(L759)),N(M759)/요약!$D$27,N(L759)))</f>
        <v>28608000</v>
      </c>
      <c r="O759" s="32" t="str">
        <f aca="false">IF(A759="제외","",IF(OR(N(L759)&lt;=0,N(M759)&gt;N(L759)),"택가보정(판매금액÷공급율)",""))</f>
        <v/>
      </c>
      <c r="P759" s="0" t="str">
        <f aca="false">IF(A759="HK","100",IF(A759="CN","200",IF(A759="TW","300",IF(ISNUMBER(SEARCH("태국",C759)),"500",IF(ISNUMBER(SEARCH("말레이",C759)),"600",IF(ISNUMBER(SEARCH("필리핀",C759)),"700",IF(ISNUMBER(SEARCH("인도네시아",C759)),"800",IF(ISNUMBER(SEARCH("크루즈",C759)),"810",IF(ISNUMBER(SEARCH("동물원",C759)),"830","")))))))))</f>
        <v>200</v>
      </c>
    </row>
    <row r="760" customFormat="false" ht="15" hidden="false" customHeight="false" outlineLevel="0" collapsed="false">
      <c r="A760" s="32" t="str">
        <f aca="false">IF(OR(TRIM(C760)="",SUBSTITUTE(C760," ","")="소계"),"제외",IF(ISNUMBER(SEARCH("홍콩",C760)),"HK",IF(ISNUMBER(SEARCH("상해",C760)),"CN",IF(ISNUMBER(SEARCH("대만",C760)),"TW","홀세일"))))</f>
        <v>CN</v>
      </c>
      <c r="B760" s="36" t="s">
        <v>1019</v>
      </c>
      <c r="C760" s="37" t="s">
        <v>1020</v>
      </c>
      <c r="D760" s="37" t="s">
        <v>123</v>
      </c>
      <c r="E760" s="36" t="n">
        <v>2026</v>
      </c>
      <c r="F760" s="36" t="s">
        <v>110</v>
      </c>
      <c r="G760" s="37" t="s">
        <v>102</v>
      </c>
      <c r="H760" s="37" t="s">
        <v>128</v>
      </c>
      <c r="I760" s="36" t="s">
        <v>1103</v>
      </c>
      <c r="J760" s="36" t="s">
        <v>1104</v>
      </c>
      <c r="K760" s="38" t="n">
        <v>70</v>
      </c>
      <c r="L760" s="38" t="n">
        <v>13930000</v>
      </c>
      <c r="M760" s="38" t="n">
        <v>4268950</v>
      </c>
      <c r="N760" s="39" t="n">
        <f aca="false">IF(A760="제외",0,IF(OR(N(L760)&lt;=0,N(M760)&gt;N(L760)),N(M760)/요약!$D$27,N(L760)))</f>
        <v>13930000</v>
      </c>
      <c r="O760" s="32" t="str">
        <f aca="false">IF(A760="제외","",IF(OR(N(L760)&lt;=0,N(M760)&gt;N(L760)),"택가보정(판매금액÷공급율)",""))</f>
        <v/>
      </c>
      <c r="P760" s="0" t="str">
        <f aca="false">IF(A760="HK","100",IF(A760="CN","200",IF(A760="TW","300",IF(ISNUMBER(SEARCH("태국",C760)),"500",IF(ISNUMBER(SEARCH("말레이",C760)),"600",IF(ISNUMBER(SEARCH("필리핀",C760)),"700",IF(ISNUMBER(SEARCH("인도네시아",C760)),"800",IF(ISNUMBER(SEARCH("크루즈",C760)),"810",IF(ISNUMBER(SEARCH("동물원",C760)),"830","")))))))))</f>
        <v>200</v>
      </c>
    </row>
    <row r="761" customFormat="false" ht="15" hidden="false" customHeight="false" outlineLevel="0" collapsed="false">
      <c r="A761" s="32" t="str">
        <f aca="false">IF(OR(TRIM(C761)="",SUBSTITUTE(C761," ","")="소계"),"제외",IF(ISNUMBER(SEARCH("홍콩",C761)),"HK",IF(ISNUMBER(SEARCH("상해",C761)),"CN",IF(ISNUMBER(SEARCH("대만",C761)),"TW","홀세일"))))</f>
        <v>CN</v>
      </c>
      <c r="B761" s="36" t="s">
        <v>1019</v>
      </c>
      <c r="C761" s="37" t="s">
        <v>1020</v>
      </c>
      <c r="D761" s="37" t="s">
        <v>123</v>
      </c>
      <c r="E761" s="36" t="n">
        <v>2026</v>
      </c>
      <c r="F761" s="36" t="s">
        <v>110</v>
      </c>
      <c r="G761" s="37" t="s">
        <v>102</v>
      </c>
      <c r="H761" s="36" t="s">
        <v>131</v>
      </c>
      <c r="I761" s="36" t="s">
        <v>1105</v>
      </c>
      <c r="J761" s="37" t="s">
        <v>1106</v>
      </c>
      <c r="K761" s="38" t="n">
        <v>110</v>
      </c>
      <c r="L761" s="38" t="n">
        <v>11990000</v>
      </c>
      <c r="M761" s="38" t="n">
        <v>3728010</v>
      </c>
      <c r="N761" s="39" t="n">
        <f aca="false">IF(A761="제외",0,IF(OR(N(L761)&lt;=0,N(M761)&gt;N(L761)),N(M761)/요약!$D$27,N(L761)))</f>
        <v>11990000</v>
      </c>
      <c r="O761" s="32" t="str">
        <f aca="false">IF(A761="제외","",IF(OR(N(L761)&lt;=0,N(M761)&gt;N(L761)),"택가보정(판매금액÷공급율)",""))</f>
        <v/>
      </c>
      <c r="P761" s="0" t="str">
        <f aca="false">IF(A761="HK","100",IF(A761="CN","200",IF(A761="TW","300",IF(ISNUMBER(SEARCH("태국",C761)),"500",IF(ISNUMBER(SEARCH("말레이",C761)),"600",IF(ISNUMBER(SEARCH("필리핀",C761)),"700",IF(ISNUMBER(SEARCH("인도네시아",C761)),"800",IF(ISNUMBER(SEARCH("크루즈",C761)),"810",IF(ISNUMBER(SEARCH("동물원",C761)),"830","")))))))))</f>
        <v>200</v>
      </c>
    </row>
    <row r="762" customFormat="false" ht="15" hidden="false" customHeight="false" outlineLevel="0" collapsed="false">
      <c r="A762" s="32" t="str">
        <f aca="false">IF(OR(TRIM(C762)="",SUBSTITUTE(C762," ","")="소계"),"제외",IF(ISNUMBER(SEARCH("홍콩",C762)),"HK",IF(ISNUMBER(SEARCH("상해",C762)),"CN",IF(ISNUMBER(SEARCH("대만",C762)),"TW","홀세일"))))</f>
        <v>CN</v>
      </c>
      <c r="B762" s="36" t="s">
        <v>1019</v>
      </c>
      <c r="C762" s="37" t="s">
        <v>1020</v>
      </c>
      <c r="D762" s="37" t="s">
        <v>123</v>
      </c>
      <c r="E762" s="36" t="n">
        <v>2026</v>
      </c>
      <c r="F762" s="36" t="s">
        <v>110</v>
      </c>
      <c r="G762" s="37" t="s">
        <v>102</v>
      </c>
      <c r="H762" s="36" t="s">
        <v>131</v>
      </c>
      <c r="I762" s="36" t="s">
        <v>599</v>
      </c>
      <c r="J762" s="37" t="s">
        <v>600</v>
      </c>
      <c r="K762" s="38" t="n">
        <v>100</v>
      </c>
      <c r="L762" s="38" t="n">
        <v>7900000</v>
      </c>
      <c r="M762" s="38" t="n">
        <v>2351000</v>
      </c>
      <c r="N762" s="39" t="n">
        <f aca="false">IF(A762="제외",0,IF(OR(N(L762)&lt;=0,N(M762)&gt;N(L762)),N(M762)/요약!$D$27,N(L762)))</f>
        <v>7900000</v>
      </c>
      <c r="O762" s="32" t="str">
        <f aca="false">IF(A762="제외","",IF(OR(N(L762)&lt;=0,N(M762)&gt;N(L762)),"택가보정(판매금액÷공급율)",""))</f>
        <v/>
      </c>
      <c r="P762" s="0" t="str">
        <f aca="false">IF(A762="HK","100",IF(A762="CN","200",IF(A762="TW","300",IF(ISNUMBER(SEARCH("태국",C762)),"500",IF(ISNUMBER(SEARCH("말레이",C762)),"600",IF(ISNUMBER(SEARCH("필리핀",C762)),"700",IF(ISNUMBER(SEARCH("인도네시아",C762)),"800",IF(ISNUMBER(SEARCH("크루즈",C762)),"810",IF(ISNUMBER(SEARCH("동물원",C762)),"830","")))))))))</f>
        <v>200</v>
      </c>
    </row>
    <row r="763" customFormat="false" ht="15" hidden="false" customHeight="false" outlineLevel="0" collapsed="false">
      <c r="A763" s="32" t="str">
        <f aca="false">IF(OR(TRIM(C763)="",SUBSTITUTE(C763," ","")="소계"),"제외",IF(ISNUMBER(SEARCH("홍콩",C763)),"HK",IF(ISNUMBER(SEARCH("상해",C763)),"CN",IF(ISNUMBER(SEARCH("대만",C763)),"TW","홀세일"))))</f>
        <v>CN</v>
      </c>
      <c r="B763" s="36" t="s">
        <v>1019</v>
      </c>
      <c r="C763" s="37" t="s">
        <v>1020</v>
      </c>
      <c r="D763" s="37" t="s">
        <v>123</v>
      </c>
      <c r="E763" s="36" t="n">
        <v>2026</v>
      </c>
      <c r="F763" s="36" t="s">
        <v>110</v>
      </c>
      <c r="G763" s="37" t="s">
        <v>102</v>
      </c>
      <c r="H763" s="36" t="s">
        <v>131</v>
      </c>
      <c r="I763" s="36" t="s">
        <v>601</v>
      </c>
      <c r="J763" s="37" t="s">
        <v>602</v>
      </c>
      <c r="K763" s="38" t="n">
        <v>553</v>
      </c>
      <c r="L763" s="38" t="n">
        <v>43687000</v>
      </c>
      <c r="M763" s="38" t="n">
        <v>12216917</v>
      </c>
      <c r="N763" s="39" t="n">
        <f aca="false">IF(A763="제외",0,IF(OR(N(L763)&lt;=0,N(M763)&gt;N(L763)),N(M763)/요약!$D$27,N(L763)))</f>
        <v>43687000</v>
      </c>
      <c r="O763" s="32" t="str">
        <f aca="false">IF(A763="제외","",IF(OR(N(L763)&lt;=0,N(M763)&gt;N(L763)),"택가보정(판매금액÷공급율)",""))</f>
        <v/>
      </c>
      <c r="P763" s="0" t="str">
        <f aca="false">IF(A763="HK","100",IF(A763="CN","200",IF(A763="TW","300",IF(ISNUMBER(SEARCH("태국",C763)),"500",IF(ISNUMBER(SEARCH("말레이",C763)),"600",IF(ISNUMBER(SEARCH("필리핀",C763)),"700",IF(ISNUMBER(SEARCH("인도네시아",C763)),"800",IF(ISNUMBER(SEARCH("크루즈",C763)),"810",IF(ISNUMBER(SEARCH("동물원",C763)),"830","")))))))))</f>
        <v>200</v>
      </c>
    </row>
    <row r="764" customFormat="false" ht="15" hidden="false" customHeight="false" outlineLevel="0" collapsed="false">
      <c r="A764" s="32" t="str">
        <f aca="false">IF(OR(TRIM(C764)="",SUBSTITUTE(C764," ","")="소계"),"제외",IF(ISNUMBER(SEARCH("홍콩",C764)),"HK",IF(ISNUMBER(SEARCH("상해",C764)),"CN",IF(ISNUMBER(SEARCH("대만",C764)),"TW","홀세일"))))</f>
        <v>CN</v>
      </c>
      <c r="B764" s="36" t="s">
        <v>1019</v>
      </c>
      <c r="C764" s="37" t="s">
        <v>1020</v>
      </c>
      <c r="D764" s="37" t="s">
        <v>123</v>
      </c>
      <c r="E764" s="36" t="n">
        <v>2026</v>
      </c>
      <c r="F764" s="36" t="s">
        <v>110</v>
      </c>
      <c r="G764" s="37" t="s">
        <v>102</v>
      </c>
      <c r="H764" s="36" t="s">
        <v>131</v>
      </c>
      <c r="I764" s="36" t="s">
        <v>605</v>
      </c>
      <c r="J764" s="37" t="s">
        <v>606</v>
      </c>
      <c r="K764" s="38" t="n">
        <v>220</v>
      </c>
      <c r="L764" s="38" t="n">
        <v>15180000</v>
      </c>
      <c r="M764" s="38" t="n">
        <v>3927000</v>
      </c>
      <c r="N764" s="39" t="n">
        <f aca="false">IF(A764="제외",0,IF(OR(N(L764)&lt;=0,N(M764)&gt;N(L764)),N(M764)/요약!$D$27,N(L764)))</f>
        <v>15180000</v>
      </c>
      <c r="O764" s="32" t="str">
        <f aca="false">IF(A764="제외","",IF(OR(N(L764)&lt;=0,N(M764)&gt;N(L764)),"택가보정(판매금액÷공급율)",""))</f>
        <v/>
      </c>
      <c r="P764" s="0" t="str">
        <f aca="false">IF(A764="HK","100",IF(A764="CN","200",IF(A764="TW","300",IF(ISNUMBER(SEARCH("태국",C764)),"500",IF(ISNUMBER(SEARCH("말레이",C764)),"600",IF(ISNUMBER(SEARCH("필리핀",C764)),"700",IF(ISNUMBER(SEARCH("인도네시아",C764)),"800",IF(ISNUMBER(SEARCH("크루즈",C764)),"810",IF(ISNUMBER(SEARCH("동물원",C764)),"830","")))))))))</f>
        <v>200</v>
      </c>
    </row>
    <row r="765" customFormat="false" ht="15" hidden="false" customHeight="false" outlineLevel="0" collapsed="false">
      <c r="A765" s="32" t="str">
        <f aca="false">IF(OR(TRIM(C765)="",SUBSTITUTE(C765," ","")="소계"),"제외",IF(ISNUMBER(SEARCH("홍콩",C765)),"HK",IF(ISNUMBER(SEARCH("상해",C765)),"CN",IF(ISNUMBER(SEARCH("대만",C765)),"TW","홀세일"))))</f>
        <v>CN</v>
      </c>
      <c r="B765" s="36" t="s">
        <v>1019</v>
      </c>
      <c r="C765" s="37" t="s">
        <v>1020</v>
      </c>
      <c r="D765" s="37" t="s">
        <v>123</v>
      </c>
      <c r="E765" s="36" t="n">
        <v>2026</v>
      </c>
      <c r="F765" s="36" t="s">
        <v>110</v>
      </c>
      <c r="G765" s="37" t="s">
        <v>102</v>
      </c>
      <c r="H765" s="36" t="s">
        <v>131</v>
      </c>
      <c r="I765" s="36" t="s">
        <v>1107</v>
      </c>
      <c r="J765" s="37" t="s">
        <v>1108</v>
      </c>
      <c r="K765" s="38" t="n">
        <v>515</v>
      </c>
      <c r="L765" s="38" t="n">
        <v>20085000</v>
      </c>
      <c r="M765" s="38" t="n">
        <v>6371580</v>
      </c>
      <c r="N765" s="39" t="n">
        <f aca="false">IF(A765="제외",0,IF(OR(N(L765)&lt;=0,N(M765)&gt;N(L765)),N(M765)/요약!$D$27,N(L765)))</f>
        <v>20085000</v>
      </c>
      <c r="O765" s="32" t="str">
        <f aca="false">IF(A765="제외","",IF(OR(N(L765)&lt;=0,N(M765)&gt;N(L765)),"택가보정(판매금액÷공급율)",""))</f>
        <v/>
      </c>
      <c r="P765" s="0" t="str">
        <f aca="false">IF(A765="HK","100",IF(A765="CN","200",IF(A765="TW","300",IF(ISNUMBER(SEARCH("태국",C765)),"500",IF(ISNUMBER(SEARCH("말레이",C765)),"600",IF(ISNUMBER(SEARCH("필리핀",C765)),"700",IF(ISNUMBER(SEARCH("인도네시아",C765)),"800",IF(ISNUMBER(SEARCH("크루즈",C765)),"810",IF(ISNUMBER(SEARCH("동물원",C765)),"830","")))))))))</f>
        <v>200</v>
      </c>
    </row>
    <row r="766" customFormat="false" ht="15" hidden="false" customHeight="false" outlineLevel="0" collapsed="false">
      <c r="A766" s="32" t="str">
        <f aca="false">IF(OR(TRIM(C766)="",SUBSTITUTE(C766," ","")="소계"),"제외",IF(ISNUMBER(SEARCH("홍콩",C766)),"HK",IF(ISNUMBER(SEARCH("상해",C766)),"CN",IF(ISNUMBER(SEARCH("대만",C766)),"TW","홀세일"))))</f>
        <v>CN</v>
      </c>
      <c r="B766" s="36" t="s">
        <v>1019</v>
      </c>
      <c r="C766" s="37" t="s">
        <v>1020</v>
      </c>
      <c r="D766" s="37" t="s">
        <v>123</v>
      </c>
      <c r="E766" s="36" t="n">
        <v>2026</v>
      </c>
      <c r="F766" s="36" t="s">
        <v>110</v>
      </c>
      <c r="G766" s="37" t="s">
        <v>102</v>
      </c>
      <c r="H766" s="36" t="s">
        <v>131</v>
      </c>
      <c r="I766" s="36" t="s">
        <v>611</v>
      </c>
      <c r="J766" s="36" t="s">
        <v>612</v>
      </c>
      <c r="K766" s="38" t="n">
        <v>120</v>
      </c>
      <c r="L766" s="38" t="n">
        <v>8280000</v>
      </c>
      <c r="M766" s="38" t="n">
        <v>2542560</v>
      </c>
      <c r="N766" s="39" t="n">
        <f aca="false">IF(A766="제외",0,IF(OR(N(L766)&lt;=0,N(M766)&gt;N(L766)),N(M766)/요약!$D$27,N(L766)))</f>
        <v>8280000</v>
      </c>
      <c r="O766" s="32" t="str">
        <f aca="false">IF(A766="제외","",IF(OR(N(L766)&lt;=0,N(M766)&gt;N(L766)),"택가보정(판매금액÷공급율)",""))</f>
        <v/>
      </c>
      <c r="P766" s="0" t="str">
        <f aca="false">IF(A766="HK","100",IF(A766="CN","200",IF(A766="TW","300",IF(ISNUMBER(SEARCH("태국",C766)),"500",IF(ISNUMBER(SEARCH("말레이",C766)),"600",IF(ISNUMBER(SEARCH("필리핀",C766)),"700",IF(ISNUMBER(SEARCH("인도네시아",C766)),"800",IF(ISNUMBER(SEARCH("크루즈",C766)),"810",IF(ISNUMBER(SEARCH("동물원",C766)),"830","")))))))))</f>
        <v>200</v>
      </c>
    </row>
    <row r="767" customFormat="false" ht="15" hidden="false" customHeight="false" outlineLevel="0" collapsed="false">
      <c r="A767" s="32" t="str">
        <f aca="false">IF(OR(TRIM(C767)="",SUBSTITUTE(C767," ","")="소계"),"제외",IF(ISNUMBER(SEARCH("홍콩",C767)),"HK",IF(ISNUMBER(SEARCH("상해",C767)),"CN",IF(ISNUMBER(SEARCH("대만",C767)),"TW","홀세일"))))</f>
        <v>CN</v>
      </c>
      <c r="B767" s="36" t="s">
        <v>1019</v>
      </c>
      <c r="C767" s="37" t="s">
        <v>1020</v>
      </c>
      <c r="D767" s="37" t="s">
        <v>123</v>
      </c>
      <c r="E767" s="36" t="n">
        <v>2026</v>
      </c>
      <c r="F767" s="36" t="s">
        <v>110</v>
      </c>
      <c r="G767" s="37" t="s">
        <v>102</v>
      </c>
      <c r="H767" s="36" t="s">
        <v>131</v>
      </c>
      <c r="I767" s="36" t="s">
        <v>966</v>
      </c>
      <c r="J767" s="37" t="s">
        <v>967</v>
      </c>
      <c r="K767" s="38" t="n">
        <v>112</v>
      </c>
      <c r="L767" s="38" t="n">
        <v>6608000</v>
      </c>
      <c r="M767" s="38" t="n">
        <v>2111234</v>
      </c>
      <c r="N767" s="39" t="n">
        <f aca="false">IF(A767="제외",0,IF(OR(N(L767)&lt;=0,N(M767)&gt;N(L767)),N(M767)/요약!$D$27,N(L767)))</f>
        <v>6608000</v>
      </c>
      <c r="O767" s="32" t="str">
        <f aca="false">IF(A767="제외","",IF(OR(N(L767)&lt;=0,N(M767)&gt;N(L767)),"택가보정(판매금액÷공급율)",""))</f>
        <v/>
      </c>
      <c r="P767" s="0" t="str">
        <f aca="false">IF(A767="HK","100",IF(A767="CN","200",IF(A767="TW","300",IF(ISNUMBER(SEARCH("태국",C767)),"500",IF(ISNUMBER(SEARCH("말레이",C767)),"600",IF(ISNUMBER(SEARCH("필리핀",C767)),"700",IF(ISNUMBER(SEARCH("인도네시아",C767)),"800",IF(ISNUMBER(SEARCH("크루즈",C767)),"810",IF(ISNUMBER(SEARCH("동물원",C767)),"830","")))))))))</f>
        <v>200</v>
      </c>
    </row>
    <row r="768" customFormat="false" ht="15" hidden="false" customHeight="false" outlineLevel="0" collapsed="false">
      <c r="A768" s="32" t="str">
        <f aca="false">IF(OR(TRIM(C768)="",SUBSTITUTE(C768," ","")="소계"),"제외",IF(ISNUMBER(SEARCH("홍콩",C768)),"HK",IF(ISNUMBER(SEARCH("상해",C768)),"CN",IF(ISNUMBER(SEARCH("대만",C768)),"TW","홀세일"))))</f>
        <v>CN</v>
      </c>
      <c r="B768" s="36" t="s">
        <v>1019</v>
      </c>
      <c r="C768" s="37" t="s">
        <v>1020</v>
      </c>
      <c r="D768" s="37" t="s">
        <v>123</v>
      </c>
      <c r="E768" s="36" t="n">
        <v>2026</v>
      </c>
      <c r="F768" s="36" t="s">
        <v>110</v>
      </c>
      <c r="G768" s="37" t="s">
        <v>102</v>
      </c>
      <c r="H768" s="36" t="s">
        <v>131</v>
      </c>
      <c r="I768" s="36" t="s">
        <v>621</v>
      </c>
      <c r="J768" s="37" t="s">
        <v>622</v>
      </c>
      <c r="K768" s="38" t="n">
        <v>800</v>
      </c>
      <c r="L768" s="38" t="n">
        <v>31200000</v>
      </c>
      <c r="M768" s="38" t="n">
        <v>8575800</v>
      </c>
      <c r="N768" s="39" t="n">
        <f aca="false">IF(A768="제외",0,IF(OR(N(L768)&lt;=0,N(M768)&gt;N(L768)),N(M768)/요약!$D$27,N(L768)))</f>
        <v>31200000</v>
      </c>
      <c r="O768" s="32" t="str">
        <f aca="false">IF(A768="제외","",IF(OR(N(L768)&lt;=0,N(M768)&gt;N(L768)),"택가보정(판매금액÷공급율)",""))</f>
        <v/>
      </c>
      <c r="P768" s="0" t="str">
        <f aca="false">IF(A768="HK","100",IF(A768="CN","200",IF(A768="TW","300",IF(ISNUMBER(SEARCH("태국",C768)),"500",IF(ISNUMBER(SEARCH("말레이",C768)),"600",IF(ISNUMBER(SEARCH("필리핀",C768)),"700",IF(ISNUMBER(SEARCH("인도네시아",C768)),"800",IF(ISNUMBER(SEARCH("크루즈",C768)),"810",IF(ISNUMBER(SEARCH("동물원",C768)),"830","")))))))))</f>
        <v>200</v>
      </c>
    </row>
    <row r="769" customFormat="false" ht="15" hidden="false" customHeight="false" outlineLevel="0" collapsed="false">
      <c r="A769" s="32" t="str">
        <f aca="false">IF(OR(TRIM(C769)="",SUBSTITUTE(C769," ","")="소계"),"제외",IF(ISNUMBER(SEARCH("홍콩",C769)),"HK",IF(ISNUMBER(SEARCH("상해",C769)),"CN",IF(ISNUMBER(SEARCH("대만",C769)),"TW","홀세일"))))</f>
        <v>CN</v>
      </c>
      <c r="B769" s="36" t="s">
        <v>1019</v>
      </c>
      <c r="C769" s="37" t="s">
        <v>1020</v>
      </c>
      <c r="D769" s="37" t="s">
        <v>123</v>
      </c>
      <c r="E769" s="36" t="n">
        <v>2026</v>
      </c>
      <c r="F769" s="36" t="s">
        <v>110</v>
      </c>
      <c r="G769" s="37" t="s">
        <v>102</v>
      </c>
      <c r="H769" s="36" t="s">
        <v>131</v>
      </c>
      <c r="I769" s="36" t="s">
        <v>625</v>
      </c>
      <c r="J769" s="37" t="s">
        <v>626</v>
      </c>
      <c r="K769" s="38" t="n">
        <v>160</v>
      </c>
      <c r="L769" s="38" t="n">
        <v>9440000</v>
      </c>
      <c r="M769" s="38" t="n">
        <v>2651520</v>
      </c>
      <c r="N769" s="39" t="n">
        <f aca="false">IF(A769="제외",0,IF(OR(N(L769)&lt;=0,N(M769)&gt;N(L769)),N(M769)/요약!$D$27,N(L769)))</f>
        <v>9440000</v>
      </c>
      <c r="O769" s="32" t="str">
        <f aca="false">IF(A769="제외","",IF(OR(N(L769)&lt;=0,N(M769)&gt;N(L769)),"택가보정(판매금액÷공급율)",""))</f>
        <v/>
      </c>
      <c r="P769" s="0" t="str">
        <f aca="false">IF(A769="HK","100",IF(A769="CN","200",IF(A769="TW","300",IF(ISNUMBER(SEARCH("태국",C769)),"500",IF(ISNUMBER(SEARCH("말레이",C769)),"600",IF(ISNUMBER(SEARCH("필리핀",C769)),"700",IF(ISNUMBER(SEARCH("인도네시아",C769)),"800",IF(ISNUMBER(SEARCH("크루즈",C769)),"810",IF(ISNUMBER(SEARCH("동물원",C769)),"830","")))))))))</f>
        <v>200</v>
      </c>
    </row>
    <row r="770" customFormat="false" ht="15" hidden="false" customHeight="false" outlineLevel="0" collapsed="false">
      <c r="A770" s="32" t="str">
        <f aca="false">IF(OR(TRIM(C770)="",SUBSTITUTE(C770," ","")="소계"),"제외",IF(ISNUMBER(SEARCH("홍콩",C770)),"HK",IF(ISNUMBER(SEARCH("상해",C770)),"CN",IF(ISNUMBER(SEARCH("대만",C770)),"TW","홀세일"))))</f>
        <v>CN</v>
      </c>
      <c r="B770" s="36" t="s">
        <v>1019</v>
      </c>
      <c r="C770" s="37" t="s">
        <v>1020</v>
      </c>
      <c r="D770" s="37" t="s">
        <v>123</v>
      </c>
      <c r="E770" s="36" t="n">
        <v>2026</v>
      </c>
      <c r="F770" s="36" t="s">
        <v>110</v>
      </c>
      <c r="G770" s="37" t="s">
        <v>102</v>
      </c>
      <c r="H770" s="36" t="s">
        <v>131</v>
      </c>
      <c r="I770" s="36" t="s">
        <v>627</v>
      </c>
      <c r="J770" s="37" t="s">
        <v>628</v>
      </c>
      <c r="K770" s="38" t="n">
        <v>80</v>
      </c>
      <c r="L770" s="38" t="n">
        <v>6320000</v>
      </c>
      <c r="M770" s="38" t="n">
        <v>1823680</v>
      </c>
      <c r="N770" s="39" t="n">
        <f aca="false">IF(A770="제외",0,IF(OR(N(L770)&lt;=0,N(M770)&gt;N(L770)),N(M770)/요약!$D$27,N(L770)))</f>
        <v>6320000</v>
      </c>
      <c r="O770" s="32" t="str">
        <f aca="false">IF(A770="제외","",IF(OR(N(L770)&lt;=0,N(M770)&gt;N(L770)),"택가보정(판매금액÷공급율)",""))</f>
        <v/>
      </c>
      <c r="P770" s="0" t="str">
        <f aca="false">IF(A770="HK","100",IF(A770="CN","200",IF(A770="TW","300",IF(ISNUMBER(SEARCH("태국",C770)),"500",IF(ISNUMBER(SEARCH("말레이",C770)),"600",IF(ISNUMBER(SEARCH("필리핀",C770)),"700",IF(ISNUMBER(SEARCH("인도네시아",C770)),"800",IF(ISNUMBER(SEARCH("크루즈",C770)),"810",IF(ISNUMBER(SEARCH("동물원",C770)),"830","")))))))))</f>
        <v>200</v>
      </c>
    </row>
    <row r="771" customFormat="false" ht="15" hidden="false" customHeight="false" outlineLevel="0" collapsed="false">
      <c r="A771" s="32" t="str">
        <f aca="false">IF(OR(TRIM(C771)="",SUBSTITUTE(C771," ","")="소계"),"제외",IF(ISNUMBER(SEARCH("홍콩",C771)),"HK",IF(ISNUMBER(SEARCH("상해",C771)),"CN",IF(ISNUMBER(SEARCH("대만",C771)),"TW","홀세일"))))</f>
        <v>CN</v>
      </c>
      <c r="B771" s="36" t="s">
        <v>1019</v>
      </c>
      <c r="C771" s="37" t="s">
        <v>1020</v>
      </c>
      <c r="D771" s="37" t="s">
        <v>123</v>
      </c>
      <c r="E771" s="36" t="n">
        <v>2026</v>
      </c>
      <c r="F771" s="36" t="s">
        <v>110</v>
      </c>
      <c r="G771" s="37" t="s">
        <v>102</v>
      </c>
      <c r="H771" s="36" t="s">
        <v>131</v>
      </c>
      <c r="I771" s="36" t="s">
        <v>970</v>
      </c>
      <c r="J771" s="37" t="s">
        <v>971</v>
      </c>
      <c r="K771" s="38" t="n">
        <v>141</v>
      </c>
      <c r="L771" s="38" t="n">
        <v>11139000</v>
      </c>
      <c r="M771" s="38" t="n">
        <v>3080065</v>
      </c>
      <c r="N771" s="39" t="n">
        <f aca="false">IF(A771="제외",0,IF(OR(N(L771)&lt;=0,N(M771)&gt;N(L771)),N(M771)/요약!$D$27,N(L771)))</f>
        <v>11139000</v>
      </c>
      <c r="O771" s="32" t="str">
        <f aca="false">IF(A771="제외","",IF(OR(N(L771)&lt;=0,N(M771)&gt;N(L771)),"택가보정(판매금액÷공급율)",""))</f>
        <v/>
      </c>
      <c r="P771" s="0" t="str">
        <f aca="false">IF(A771="HK","100",IF(A771="CN","200",IF(A771="TW","300",IF(ISNUMBER(SEARCH("태국",C771)),"500",IF(ISNUMBER(SEARCH("말레이",C771)),"600",IF(ISNUMBER(SEARCH("필리핀",C771)),"700",IF(ISNUMBER(SEARCH("인도네시아",C771)),"800",IF(ISNUMBER(SEARCH("크루즈",C771)),"810",IF(ISNUMBER(SEARCH("동물원",C771)),"830","")))))))))</f>
        <v>200</v>
      </c>
    </row>
    <row r="772" customFormat="false" ht="15" hidden="false" customHeight="false" outlineLevel="0" collapsed="false">
      <c r="A772" s="32" t="str">
        <f aca="false">IF(OR(TRIM(C772)="",SUBSTITUTE(C772," ","")="소계"),"제외",IF(ISNUMBER(SEARCH("홍콩",C772)),"HK",IF(ISNUMBER(SEARCH("상해",C772)),"CN",IF(ISNUMBER(SEARCH("대만",C772)),"TW","홀세일"))))</f>
        <v>CN</v>
      </c>
      <c r="B772" s="36" t="s">
        <v>1019</v>
      </c>
      <c r="C772" s="37" t="s">
        <v>1020</v>
      </c>
      <c r="D772" s="37" t="s">
        <v>123</v>
      </c>
      <c r="E772" s="36" t="n">
        <v>2026</v>
      </c>
      <c r="F772" s="36" t="s">
        <v>110</v>
      </c>
      <c r="G772" s="37" t="s">
        <v>102</v>
      </c>
      <c r="H772" s="36" t="s">
        <v>131</v>
      </c>
      <c r="I772" s="36" t="s">
        <v>1109</v>
      </c>
      <c r="J772" s="37" t="s">
        <v>1110</v>
      </c>
      <c r="K772" s="38" t="n">
        <v>80</v>
      </c>
      <c r="L772" s="38" t="n">
        <v>7120000</v>
      </c>
      <c r="M772" s="38" t="n">
        <v>2207600</v>
      </c>
      <c r="N772" s="39" t="n">
        <f aca="false">IF(A772="제외",0,IF(OR(N(L772)&lt;=0,N(M772)&gt;N(L772)),N(M772)/요약!$D$27,N(L772)))</f>
        <v>7120000</v>
      </c>
      <c r="O772" s="32" t="str">
        <f aca="false">IF(A772="제외","",IF(OR(N(L772)&lt;=0,N(M772)&gt;N(L772)),"택가보정(판매금액÷공급율)",""))</f>
        <v/>
      </c>
      <c r="P772" s="0" t="str">
        <f aca="false">IF(A772="HK","100",IF(A772="CN","200",IF(A772="TW","300",IF(ISNUMBER(SEARCH("태국",C772)),"500",IF(ISNUMBER(SEARCH("말레이",C772)),"600",IF(ISNUMBER(SEARCH("필리핀",C772)),"700",IF(ISNUMBER(SEARCH("인도네시아",C772)),"800",IF(ISNUMBER(SEARCH("크루즈",C772)),"810",IF(ISNUMBER(SEARCH("동물원",C772)),"830","")))))))))</f>
        <v>200</v>
      </c>
    </row>
    <row r="773" customFormat="false" ht="15" hidden="false" customHeight="false" outlineLevel="0" collapsed="false">
      <c r="A773" s="32" t="str">
        <f aca="false">IF(OR(TRIM(C773)="",SUBSTITUTE(C773," ","")="소계"),"제외",IF(ISNUMBER(SEARCH("홍콩",C773)),"HK",IF(ISNUMBER(SEARCH("상해",C773)),"CN",IF(ISNUMBER(SEARCH("대만",C773)),"TW","홀세일"))))</f>
        <v>CN</v>
      </c>
      <c r="B773" s="36" t="s">
        <v>1019</v>
      </c>
      <c r="C773" s="37" t="s">
        <v>1020</v>
      </c>
      <c r="D773" s="37" t="s">
        <v>123</v>
      </c>
      <c r="E773" s="36" t="n">
        <v>2026</v>
      </c>
      <c r="F773" s="36" t="s">
        <v>110</v>
      </c>
      <c r="G773" s="37" t="s">
        <v>102</v>
      </c>
      <c r="H773" s="36" t="s">
        <v>131</v>
      </c>
      <c r="I773" s="36" t="s">
        <v>633</v>
      </c>
      <c r="J773" s="37" t="s">
        <v>634</v>
      </c>
      <c r="K773" s="38" t="n">
        <v>160</v>
      </c>
      <c r="L773" s="38" t="n">
        <v>12640000</v>
      </c>
      <c r="M773" s="38" t="n">
        <v>3831200</v>
      </c>
      <c r="N773" s="39" t="n">
        <f aca="false">IF(A773="제외",0,IF(OR(N(L773)&lt;=0,N(M773)&gt;N(L773)),N(M773)/요약!$D$27,N(L773)))</f>
        <v>12640000</v>
      </c>
      <c r="O773" s="32" t="str">
        <f aca="false">IF(A773="제외","",IF(OR(N(L773)&lt;=0,N(M773)&gt;N(L773)),"택가보정(판매금액÷공급율)",""))</f>
        <v/>
      </c>
      <c r="P773" s="0" t="str">
        <f aca="false">IF(A773="HK","100",IF(A773="CN","200",IF(A773="TW","300",IF(ISNUMBER(SEARCH("태국",C773)),"500",IF(ISNUMBER(SEARCH("말레이",C773)),"600",IF(ISNUMBER(SEARCH("필리핀",C773)),"700",IF(ISNUMBER(SEARCH("인도네시아",C773)),"800",IF(ISNUMBER(SEARCH("크루즈",C773)),"810",IF(ISNUMBER(SEARCH("동물원",C773)),"830","")))))))))</f>
        <v>200</v>
      </c>
    </row>
    <row r="774" customFormat="false" ht="15" hidden="false" customHeight="false" outlineLevel="0" collapsed="false">
      <c r="A774" s="32" t="str">
        <f aca="false">IF(OR(TRIM(C774)="",SUBSTITUTE(C774," ","")="소계"),"제외",IF(ISNUMBER(SEARCH("홍콩",C774)),"HK",IF(ISNUMBER(SEARCH("상해",C774)),"CN",IF(ISNUMBER(SEARCH("대만",C774)),"TW","홀세일"))))</f>
        <v>CN</v>
      </c>
      <c r="B774" s="36" t="s">
        <v>1019</v>
      </c>
      <c r="C774" s="37" t="s">
        <v>1020</v>
      </c>
      <c r="D774" s="37" t="s">
        <v>123</v>
      </c>
      <c r="E774" s="36" t="n">
        <v>2026</v>
      </c>
      <c r="F774" s="36" t="s">
        <v>110</v>
      </c>
      <c r="G774" s="37" t="s">
        <v>102</v>
      </c>
      <c r="H774" s="36" t="s">
        <v>131</v>
      </c>
      <c r="I774" s="36" t="s">
        <v>637</v>
      </c>
      <c r="J774" s="37" t="s">
        <v>638</v>
      </c>
      <c r="K774" s="38" t="n">
        <v>150</v>
      </c>
      <c r="L774" s="38" t="n">
        <v>2850000</v>
      </c>
      <c r="M774" s="38" t="n">
        <v>629850</v>
      </c>
      <c r="N774" s="39" t="n">
        <f aca="false">IF(A774="제외",0,IF(OR(N(L774)&lt;=0,N(M774)&gt;N(L774)),N(M774)/요약!$D$27,N(L774)))</f>
        <v>2850000</v>
      </c>
      <c r="O774" s="32" t="str">
        <f aca="false">IF(A774="제외","",IF(OR(N(L774)&lt;=0,N(M774)&gt;N(L774)),"택가보정(판매금액÷공급율)",""))</f>
        <v/>
      </c>
      <c r="P774" s="0" t="str">
        <f aca="false">IF(A774="HK","100",IF(A774="CN","200",IF(A774="TW","300",IF(ISNUMBER(SEARCH("태국",C774)),"500",IF(ISNUMBER(SEARCH("말레이",C774)),"600",IF(ISNUMBER(SEARCH("필리핀",C774)),"700",IF(ISNUMBER(SEARCH("인도네시아",C774)),"800",IF(ISNUMBER(SEARCH("크루즈",C774)),"810",IF(ISNUMBER(SEARCH("동물원",C774)),"830","")))))))))</f>
        <v>200</v>
      </c>
    </row>
    <row r="775" customFormat="false" ht="15" hidden="false" customHeight="false" outlineLevel="0" collapsed="false">
      <c r="A775" s="32" t="str">
        <f aca="false">IF(OR(TRIM(C775)="",SUBSTITUTE(C775," ","")="소계"),"제외",IF(ISNUMBER(SEARCH("홍콩",C775)),"HK",IF(ISNUMBER(SEARCH("상해",C775)),"CN",IF(ISNUMBER(SEARCH("대만",C775)),"TW","홀세일"))))</f>
        <v>CN</v>
      </c>
      <c r="B775" s="36" t="s">
        <v>1019</v>
      </c>
      <c r="C775" s="37" t="s">
        <v>1020</v>
      </c>
      <c r="D775" s="37" t="s">
        <v>123</v>
      </c>
      <c r="E775" s="36" t="n">
        <v>2026</v>
      </c>
      <c r="F775" s="36" t="s">
        <v>110</v>
      </c>
      <c r="G775" s="37" t="s">
        <v>102</v>
      </c>
      <c r="H775" s="36" t="s">
        <v>131</v>
      </c>
      <c r="I775" s="36" t="s">
        <v>639</v>
      </c>
      <c r="J775" s="37" t="s">
        <v>640</v>
      </c>
      <c r="K775" s="38" t="n">
        <v>300</v>
      </c>
      <c r="L775" s="38" t="n">
        <v>5970000</v>
      </c>
      <c r="M775" s="38" t="n">
        <v>1394700</v>
      </c>
      <c r="N775" s="39" t="n">
        <f aca="false">IF(A775="제외",0,IF(OR(N(L775)&lt;=0,N(M775)&gt;N(L775)),N(M775)/요약!$D$27,N(L775)))</f>
        <v>5970000</v>
      </c>
      <c r="O775" s="32" t="str">
        <f aca="false">IF(A775="제외","",IF(OR(N(L775)&lt;=0,N(M775)&gt;N(L775)),"택가보정(판매금액÷공급율)",""))</f>
        <v/>
      </c>
      <c r="P775" s="0" t="str">
        <f aca="false">IF(A775="HK","100",IF(A775="CN","200",IF(A775="TW","300",IF(ISNUMBER(SEARCH("태국",C775)),"500",IF(ISNUMBER(SEARCH("말레이",C775)),"600",IF(ISNUMBER(SEARCH("필리핀",C775)),"700",IF(ISNUMBER(SEARCH("인도네시아",C775)),"800",IF(ISNUMBER(SEARCH("크루즈",C775)),"810",IF(ISNUMBER(SEARCH("동물원",C775)),"830","")))))))))</f>
        <v>200</v>
      </c>
    </row>
    <row r="776" customFormat="false" ht="15" hidden="false" customHeight="false" outlineLevel="0" collapsed="false">
      <c r="A776" s="32" t="str">
        <f aca="false">IF(OR(TRIM(C776)="",SUBSTITUTE(C776," ","")="소계"),"제외",IF(ISNUMBER(SEARCH("홍콩",C776)),"HK",IF(ISNUMBER(SEARCH("상해",C776)),"CN",IF(ISNUMBER(SEARCH("대만",C776)),"TW","홀세일"))))</f>
        <v>CN</v>
      </c>
      <c r="B776" s="36" t="s">
        <v>1019</v>
      </c>
      <c r="C776" s="37" t="s">
        <v>1020</v>
      </c>
      <c r="D776" s="37" t="s">
        <v>123</v>
      </c>
      <c r="E776" s="36" t="n">
        <v>2026</v>
      </c>
      <c r="F776" s="36" t="s">
        <v>110</v>
      </c>
      <c r="G776" s="37" t="s">
        <v>102</v>
      </c>
      <c r="H776" s="36" t="s">
        <v>131</v>
      </c>
      <c r="I776" s="36" t="s">
        <v>641</v>
      </c>
      <c r="J776" s="37" t="s">
        <v>642</v>
      </c>
      <c r="K776" s="38" t="n">
        <v>390</v>
      </c>
      <c r="L776" s="38" t="n">
        <v>4251000</v>
      </c>
      <c r="M776" s="38" t="n">
        <v>1228110</v>
      </c>
      <c r="N776" s="39" t="n">
        <f aca="false">IF(A776="제외",0,IF(OR(N(L776)&lt;=0,N(M776)&gt;N(L776)),N(M776)/요약!$D$27,N(L776)))</f>
        <v>4251000</v>
      </c>
      <c r="O776" s="32" t="str">
        <f aca="false">IF(A776="제외","",IF(OR(N(L776)&lt;=0,N(M776)&gt;N(L776)),"택가보정(판매금액÷공급율)",""))</f>
        <v/>
      </c>
      <c r="P776" s="0" t="str">
        <f aca="false">IF(A776="HK","100",IF(A776="CN","200",IF(A776="TW","300",IF(ISNUMBER(SEARCH("태국",C776)),"500",IF(ISNUMBER(SEARCH("말레이",C776)),"600",IF(ISNUMBER(SEARCH("필리핀",C776)),"700",IF(ISNUMBER(SEARCH("인도네시아",C776)),"800",IF(ISNUMBER(SEARCH("크루즈",C776)),"810",IF(ISNUMBER(SEARCH("동물원",C776)),"830","")))))))))</f>
        <v>200</v>
      </c>
    </row>
    <row r="777" customFormat="false" ht="15" hidden="false" customHeight="false" outlineLevel="0" collapsed="false">
      <c r="A777" s="32" t="str">
        <f aca="false">IF(OR(TRIM(C777)="",SUBSTITUTE(C777," ","")="소계"),"제외",IF(ISNUMBER(SEARCH("홍콩",C777)),"HK",IF(ISNUMBER(SEARCH("상해",C777)),"CN",IF(ISNUMBER(SEARCH("대만",C777)),"TW","홀세일"))))</f>
        <v>CN</v>
      </c>
      <c r="B777" s="36" t="s">
        <v>1019</v>
      </c>
      <c r="C777" s="37" t="s">
        <v>1020</v>
      </c>
      <c r="D777" s="37" t="s">
        <v>123</v>
      </c>
      <c r="E777" s="36" t="n">
        <v>2026</v>
      </c>
      <c r="F777" s="36" t="s">
        <v>110</v>
      </c>
      <c r="G777" s="37" t="s">
        <v>102</v>
      </c>
      <c r="H777" s="36" t="s">
        <v>131</v>
      </c>
      <c r="I777" s="36" t="s">
        <v>645</v>
      </c>
      <c r="J777" s="37" t="s">
        <v>646</v>
      </c>
      <c r="K777" s="38" t="n">
        <v>80</v>
      </c>
      <c r="L777" s="38" t="n">
        <v>10320000</v>
      </c>
      <c r="M777" s="38" t="n">
        <v>3006880</v>
      </c>
      <c r="N777" s="39" t="n">
        <f aca="false">IF(A777="제외",0,IF(OR(N(L777)&lt;=0,N(M777)&gt;N(L777)),N(M777)/요약!$D$27,N(L777)))</f>
        <v>10320000</v>
      </c>
      <c r="O777" s="32" t="str">
        <f aca="false">IF(A777="제외","",IF(OR(N(L777)&lt;=0,N(M777)&gt;N(L777)),"택가보정(판매금액÷공급율)",""))</f>
        <v/>
      </c>
      <c r="P777" s="0" t="str">
        <f aca="false">IF(A777="HK","100",IF(A777="CN","200",IF(A777="TW","300",IF(ISNUMBER(SEARCH("태국",C777)),"500",IF(ISNUMBER(SEARCH("말레이",C777)),"600",IF(ISNUMBER(SEARCH("필리핀",C777)),"700",IF(ISNUMBER(SEARCH("인도네시아",C777)),"800",IF(ISNUMBER(SEARCH("크루즈",C777)),"810",IF(ISNUMBER(SEARCH("동물원",C777)),"830","")))))))))</f>
        <v>200</v>
      </c>
    </row>
    <row r="778" customFormat="false" ht="15" hidden="false" customHeight="false" outlineLevel="0" collapsed="false">
      <c r="A778" s="32" t="str">
        <f aca="false">IF(OR(TRIM(C778)="",SUBSTITUTE(C778," ","")="소계"),"제외",IF(ISNUMBER(SEARCH("홍콩",C778)),"HK",IF(ISNUMBER(SEARCH("상해",C778)),"CN",IF(ISNUMBER(SEARCH("대만",C778)),"TW","홀세일"))))</f>
        <v>CN</v>
      </c>
      <c r="B778" s="36" t="s">
        <v>1019</v>
      </c>
      <c r="C778" s="37" t="s">
        <v>1020</v>
      </c>
      <c r="D778" s="37" t="s">
        <v>123</v>
      </c>
      <c r="E778" s="36" t="n">
        <v>2026</v>
      </c>
      <c r="F778" s="36" t="s">
        <v>110</v>
      </c>
      <c r="G778" s="37" t="s">
        <v>102</v>
      </c>
      <c r="H778" s="36" t="s">
        <v>131</v>
      </c>
      <c r="I778" s="36" t="s">
        <v>647</v>
      </c>
      <c r="J778" s="37" t="s">
        <v>648</v>
      </c>
      <c r="K778" s="38" t="n">
        <v>50</v>
      </c>
      <c r="L778" s="38" t="n">
        <v>6450000</v>
      </c>
      <c r="M778" s="38" t="n">
        <v>1843050</v>
      </c>
      <c r="N778" s="39" t="n">
        <f aca="false">IF(A778="제외",0,IF(OR(N(L778)&lt;=0,N(M778)&gt;N(L778)),N(M778)/요약!$D$27,N(L778)))</f>
        <v>6450000</v>
      </c>
      <c r="O778" s="32" t="str">
        <f aca="false">IF(A778="제외","",IF(OR(N(L778)&lt;=0,N(M778)&gt;N(L778)),"택가보정(판매금액÷공급율)",""))</f>
        <v/>
      </c>
      <c r="P778" s="0" t="str">
        <f aca="false">IF(A778="HK","100",IF(A778="CN","200",IF(A778="TW","300",IF(ISNUMBER(SEARCH("태국",C778)),"500",IF(ISNUMBER(SEARCH("말레이",C778)),"600",IF(ISNUMBER(SEARCH("필리핀",C778)),"700",IF(ISNUMBER(SEARCH("인도네시아",C778)),"800",IF(ISNUMBER(SEARCH("크루즈",C778)),"810",IF(ISNUMBER(SEARCH("동물원",C778)),"830","")))))))))</f>
        <v>200</v>
      </c>
    </row>
    <row r="779" customFormat="false" ht="15" hidden="false" customHeight="false" outlineLevel="0" collapsed="false">
      <c r="A779" s="32" t="str">
        <f aca="false">IF(OR(TRIM(C779)="",SUBSTITUTE(C779," ","")="소계"),"제외",IF(ISNUMBER(SEARCH("홍콩",C779)),"HK",IF(ISNUMBER(SEARCH("상해",C779)),"CN",IF(ISNUMBER(SEARCH("대만",C779)),"TW","홀세일"))))</f>
        <v>CN</v>
      </c>
      <c r="B779" s="36" t="s">
        <v>1019</v>
      </c>
      <c r="C779" s="37" t="s">
        <v>1020</v>
      </c>
      <c r="D779" s="37" t="s">
        <v>123</v>
      </c>
      <c r="E779" s="36" t="n">
        <v>2026</v>
      </c>
      <c r="F779" s="36" t="s">
        <v>110</v>
      </c>
      <c r="G779" s="37" t="s">
        <v>1111</v>
      </c>
      <c r="H779" s="36" t="s">
        <v>131</v>
      </c>
      <c r="I779" s="36" t="s">
        <v>1112</v>
      </c>
      <c r="J779" s="37" t="s">
        <v>1113</v>
      </c>
      <c r="K779" s="38" t="n">
        <v>600</v>
      </c>
      <c r="L779" s="38" t="n">
        <v>51000000</v>
      </c>
      <c r="M779" s="38" t="n">
        <v>26484600</v>
      </c>
      <c r="N779" s="39" t="n">
        <f aca="false">IF(A779="제외",0,IF(OR(N(L779)&lt;=0,N(M779)&gt;N(L779)),N(M779)/요약!$D$27,N(L779)))</f>
        <v>51000000</v>
      </c>
      <c r="O779" s="32" t="str">
        <f aca="false">IF(A779="제외","",IF(OR(N(L779)&lt;=0,N(M779)&gt;N(L779)),"택가보정(판매금액÷공급율)",""))</f>
        <v/>
      </c>
      <c r="P779" s="0" t="str">
        <f aca="false">IF(A779="HK","100",IF(A779="CN","200",IF(A779="TW","300",IF(ISNUMBER(SEARCH("태국",C779)),"500",IF(ISNUMBER(SEARCH("말레이",C779)),"600",IF(ISNUMBER(SEARCH("필리핀",C779)),"700",IF(ISNUMBER(SEARCH("인도네시아",C779)),"800",IF(ISNUMBER(SEARCH("크루즈",C779)),"810",IF(ISNUMBER(SEARCH("동물원",C779)),"830","")))))))))</f>
        <v>200</v>
      </c>
    </row>
    <row r="780" customFormat="false" ht="15" hidden="false" customHeight="false" outlineLevel="0" collapsed="false">
      <c r="A780" s="32" t="str">
        <f aca="false">IF(OR(TRIM(C780)="",SUBSTITUTE(C780," ","")="소계"),"제외",IF(ISNUMBER(SEARCH("홍콩",C780)),"HK",IF(ISNUMBER(SEARCH("상해",C780)),"CN",IF(ISNUMBER(SEARCH("대만",C780)),"TW","홀세일"))))</f>
        <v>CN</v>
      </c>
      <c r="B780" s="36" t="s">
        <v>1019</v>
      </c>
      <c r="C780" s="37" t="s">
        <v>1020</v>
      </c>
      <c r="D780" s="37" t="s">
        <v>123</v>
      </c>
      <c r="E780" s="36" t="n">
        <v>2026</v>
      </c>
      <c r="F780" s="36" t="s">
        <v>110</v>
      </c>
      <c r="G780" s="37" t="s">
        <v>1111</v>
      </c>
      <c r="H780" s="36" t="s">
        <v>125</v>
      </c>
      <c r="I780" s="36" t="s">
        <v>1114</v>
      </c>
      <c r="J780" s="37" t="s">
        <v>1115</v>
      </c>
      <c r="K780" s="38" t="n">
        <v>700</v>
      </c>
      <c r="L780" s="38" t="n">
        <v>31500000</v>
      </c>
      <c r="M780" s="38" t="n">
        <v>10549000</v>
      </c>
      <c r="N780" s="39" t="n">
        <f aca="false">IF(A780="제외",0,IF(OR(N(L780)&lt;=0,N(M780)&gt;N(L780)),N(M780)/요약!$D$27,N(L780)))</f>
        <v>31500000</v>
      </c>
      <c r="O780" s="32" t="str">
        <f aca="false">IF(A780="제외","",IF(OR(N(L780)&lt;=0,N(M780)&gt;N(L780)),"택가보정(판매금액÷공급율)",""))</f>
        <v/>
      </c>
      <c r="P780" s="0" t="str">
        <f aca="false">IF(A780="HK","100",IF(A780="CN","200",IF(A780="TW","300",IF(ISNUMBER(SEARCH("태국",C780)),"500",IF(ISNUMBER(SEARCH("말레이",C780)),"600",IF(ISNUMBER(SEARCH("필리핀",C780)),"700",IF(ISNUMBER(SEARCH("인도네시아",C780)),"800",IF(ISNUMBER(SEARCH("크루즈",C780)),"810",IF(ISNUMBER(SEARCH("동물원",C780)),"830","")))))))))</f>
        <v>200</v>
      </c>
    </row>
    <row r="781" customFormat="false" ht="15" hidden="false" customHeight="false" outlineLevel="0" collapsed="false">
      <c r="A781" s="32" t="str">
        <f aca="false">IF(OR(TRIM(C781)="",SUBSTITUTE(C781," ","")="소계"),"제외",IF(ISNUMBER(SEARCH("홍콩",C781)),"HK",IF(ISNUMBER(SEARCH("상해",C781)),"CN",IF(ISNUMBER(SEARCH("대만",C781)),"TW","홀세일"))))</f>
        <v>CN</v>
      </c>
      <c r="B781" s="36" t="s">
        <v>1019</v>
      </c>
      <c r="C781" s="37" t="s">
        <v>1020</v>
      </c>
      <c r="D781" s="37" t="s">
        <v>123</v>
      </c>
      <c r="E781" s="36" t="n">
        <v>2026</v>
      </c>
      <c r="F781" s="36" t="s">
        <v>110</v>
      </c>
      <c r="G781" s="37" t="s">
        <v>1111</v>
      </c>
      <c r="H781" s="36" t="s">
        <v>125</v>
      </c>
      <c r="I781" s="36" t="s">
        <v>1116</v>
      </c>
      <c r="J781" s="37" t="s">
        <v>1117</v>
      </c>
      <c r="K781" s="38" t="n">
        <v>1300</v>
      </c>
      <c r="L781" s="38" t="n">
        <v>37700000</v>
      </c>
      <c r="M781" s="38" t="n">
        <v>15823600</v>
      </c>
      <c r="N781" s="39" t="n">
        <f aca="false">IF(A781="제외",0,IF(OR(N(L781)&lt;=0,N(M781)&gt;N(L781)),N(M781)/요약!$D$27,N(L781)))</f>
        <v>37700000</v>
      </c>
      <c r="O781" s="32" t="str">
        <f aca="false">IF(A781="제외","",IF(OR(N(L781)&lt;=0,N(M781)&gt;N(L781)),"택가보정(판매금액÷공급율)",""))</f>
        <v/>
      </c>
      <c r="P781" s="0" t="str">
        <f aca="false">IF(A781="HK","100",IF(A781="CN","200",IF(A781="TW","300",IF(ISNUMBER(SEARCH("태국",C781)),"500",IF(ISNUMBER(SEARCH("말레이",C781)),"600",IF(ISNUMBER(SEARCH("필리핀",C781)),"700",IF(ISNUMBER(SEARCH("인도네시아",C781)),"800",IF(ISNUMBER(SEARCH("크루즈",C781)),"810",IF(ISNUMBER(SEARCH("동물원",C781)),"830","")))))))))</f>
        <v>200</v>
      </c>
    </row>
    <row r="782" customFormat="false" ht="15" hidden="false" customHeight="false" outlineLevel="0" collapsed="false">
      <c r="A782" s="32" t="str">
        <f aca="false">IF(OR(TRIM(C782)="",SUBSTITUTE(C782," ","")="소계"),"제외",IF(ISNUMBER(SEARCH("홍콩",C782)),"HK",IF(ISNUMBER(SEARCH("상해",C782)),"CN",IF(ISNUMBER(SEARCH("대만",C782)),"TW","홀세일"))))</f>
        <v>CN</v>
      </c>
      <c r="B782" s="36" t="s">
        <v>1019</v>
      </c>
      <c r="C782" s="37" t="s">
        <v>1020</v>
      </c>
      <c r="D782" s="37" t="s">
        <v>123</v>
      </c>
      <c r="E782" s="36" t="n">
        <v>2026</v>
      </c>
      <c r="F782" s="36" t="s">
        <v>110</v>
      </c>
      <c r="G782" s="37" t="s">
        <v>770</v>
      </c>
      <c r="H782" s="36" t="s">
        <v>131</v>
      </c>
      <c r="I782" s="36" t="s">
        <v>1118</v>
      </c>
      <c r="J782" s="37" t="s">
        <v>1119</v>
      </c>
      <c r="K782" s="38" t="n">
        <v>140</v>
      </c>
      <c r="L782" s="38" t="n">
        <v>34300000</v>
      </c>
      <c r="M782" s="38" t="n">
        <v>9247140</v>
      </c>
      <c r="N782" s="39" t="n">
        <f aca="false">IF(A782="제외",0,IF(OR(N(L782)&lt;=0,N(M782)&gt;N(L782)),N(M782)/요약!$D$27,N(L782)))</f>
        <v>34300000</v>
      </c>
      <c r="O782" s="32" t="str">
        <f aca="false">IF(A782="제외","",IF(OR(N(L782)&lt;=0,N(M782)&gt;N(L782)),"택가보정(판매금액÷공급율)",""))</f>
        <v/>
      </c>
      <c r="P782" s="0" t="str">
        <f aca="false">IF(A782="HK","100",IF(A782="CN","200",IF(A782="TW","300",IF(ISNUMBER(SEARCH("태국",C782)),"500",IF(ISNUMBER(SEARCH("말레이",C782)),"600",IF(ISNUMBER(SEARCH("필리핀",C782)),"700",IF(ISNUMBER(SEARCH("인도네시아",C782)),"800",IF(ISNUMBER(SEARCH("크루즈",C782)),"810",IF(ISNUMBER(SEARCH("동물원",C782)),"830","")))))))))</f>
        <v>200</v>
      </c>
    </row>
    <row r="783" customFormat="false" ht="15" hidden="false" customHeight="false" outlineLevel="0" collapsed="false">
      <c r="A783" s="32" t="str">
        <f aca="false">IF(OR(TRIM(C783)="",SUBSTITUTE(C783," ","")="소계"),"제외",IF(ISNUMBER(SEARCH("홍콩",C783)),"HK",IF(ISNUMBER(SEARCH("상해",C783)),"CN",IF(ISNUMBER(SEARCH("대만",C783)),"TW","홀세일"))))</f>
        <v>CN</v>
      </c>
      <c r="B783" s="36" t="s">
        <v>1019</v>
      </c>
      <c r="C783" s="37" t="s">
        <v>1020</v>
      </c>
      <c r="D783" s="37" t="s">
        <v>123</v>
      </c>
      <c r="E783" s="36" t="n">
        <v>2026</v>
      </c>
      <c r="F783" s="36" t="s">
        <v>110</v>
      </c>
      <c r="G783" s="37" t="s">
        <v>770</v>
      </c>
      <c r="H783" s="36" t="s">
        <v>131</v>
      </c>
      <c r="I783" s="36" t="s">
        <v>1120</v>
      </c>
      <c r="J783" s="37" t="s">
        <v>1121</v>
      </c>
      <c r="K783" s="38" t="n">
        <v>60</v>
      </c>
      <c r="L783" s="38" t="n">
        <v>20700000</v>
      </c>
      <c r="M783" s="38" t="n">
        <v>5898820</v>
      </c>
      <c r="N783" s="39" t="n">
        <f aca="false">IF(A783="제외",0,IF(OR(N(L783)&lt;=0,N(M783)&gt;N(L783)),N(M783)/요약!$D$27,N(L783)))</f>
        <v>20700000</v>
      </c>
      <c r="O783" s="32" t="str">
        <f aca="false">IF(A783="제외","",IF(OR(N(L783)&lt;=0,N(M783)&gt;N(L783)),"택가보정(판매금액÷공급율)",""))</f>
        <v/>
      </c>
      <c r="P783" s="0" t="str">
        <f aca="false">IF(A783="HK","100",IF(A783="CN","200",IF(A783="TW","300",IF(ISNUMBER(SEARCH("태국",C783)),"500",IF(ISNUMBER(SEARCH("말레이",C783)),"600",IF(ISNUMBER(SEARCH("필리핀",C783)),"700",IF(ISNUMBER(SEARCH("인도네시아",C783)),"800",IF(ISNUMBER(SEARCH("크루즈",C783)),"810",IF(ISNUMBER(SEARCH("동물원",C783)),"830","")))))))))</f>
        <v>200</v>
      </c>
    </row>
    <row r="784" customFormat="false" ht="15" hidden="false" customHeight="false" outlineLevel="0" collapsed="false">
      <c r="A784" s="32" t="str">
        <f aca="false">IF(OR(TRIM(C784)="",SUBSTITUTE(C784," ","")="소계"),"제외",IF(ISNUMBER(SEARCH("홍콩",C784)),"HK",IF(ISNUMBER(SEARCH("상해",C784)),"CN",IF(ISNUMBER(SEARCH("대만",C784)),"TW","홀세일"))))</f>
        <v>CN</v>
      </c>
      <c r="B784" s="36" t="s">
        <v>1019</v>
      </c>
      <c r="C784" s="37" t="s">
        <v>1020</v>
      </c>
      <c r="D784" s="37" t="s">
        <v>123</v>
      </c>
      <c r="E784" s="36" t="n">
        <v>2026</v>
      </c>
      <c r="F784" s="36" t="s">
        <v>110</v>
      </c>
      <c r="G784" s="37" t="s">
        <v>770</v>
      </c>
      <c r="H784" s="36" t="s">
        <v>131</v>
      </c>
      <c r="I784" s="36" t="s">
        <v>1122</v>
      </c>
      <c r="J784" s="37" t="s">
        <v>1123</v>
      </c>
      <c r="K784" s="38" t="n">
        <v>60</v>
      </c>
      <c r="L784" s="38" t="n">
        <v>18540000</v>
      </c>
      <c r="M784" s="38" t="n">
        <v>5227980</v>
      </c>
      <c r="N784" s="39" t="n">
        <f aca="false">IF(A784="제외",0,IF(OR(N(L784)&lt;=0,N(M784)&gt;N(L784)),N(M784)/요약!$D$27,N(L784)))</f>
        <v>18540000</v>
      </c>
      <c r="O784" s="32" t="str">
        <f aca="false">IF(A784="제외","",IF(OR(N(L784)&lt;=0,N(M784)&gt;N(L784)),"택가보정(판매금액÷공급율)",""))</f>
        <v/>
      </c>
      <c r="P784" s="0" t="str">
        <f aca="false">IF(A784="HK","100",IF(A784="CN","200",IF(A784="TW","300",IF(ISNUMBER(SEARCH("태국",C784)),"500",IF(ISNUMBER(SEARCH("말레이",C784)),"600",IF(ISNUMBER(SEARCH("필리핀",C784)),"700",IF(ISNUMBER(SEARCH("인도네시아",C784)),"800",IF(ISNUMBER(SEARCH("크루즈",C784)),"810",IF(ISNUMBER(SEARCH("동물원",C784)),"830","")))))))))</f>
        <v>200</v>
      </c>
    </row>
    <row r="785" customFormat="false" ht="15" hidden="false" customHeight="false" outlineLevel="0" collapsed="false">
      <c r="A785" s="32" t="str">
        <f aca="false">IF(OR(TRIM(C785)="",SUBSTITUTE(C785," ","")="소계"),"제외",IF(ISNUMBER(SEARCH("홍콩",C785)),"HK",IF(ISNUMBER(SEARCH("상해",C785)),"CN",IF(ISNUMBER(SEARCH("대만",C785)),"TW","홀세일"))))</f>
        <v>CN</v>
      </c>
      <c r="B785" s="36" t="s">
        <v>1019</v>
      </c>
      <c r="C785" s="37" t="s">
        <v>1020</v>
      </c>
      <c r="D785" s="37" t="s">
        <v>123</v>
      </c>
      <c r="E785" s="36" t="n">
        <v>2026</v>
      </c>
      <c r="F785" s="36" t="s">
        <v>110</v>
      </c>
      <c r="G785" s="37" t="s">
        <v>360</v>
      </c>
      <c r="H785" s="36" t="s">
        <v>131</v>
      </c>
      <c r="I785" s="36" t="s">
        <v>658</v>
      </c>
      <c r="J785" s="37" t="s">
        <v>659</v>
      </c>
      <c r="K785" s="38" t="n">
        <v>515</v>
      </c>
      <c r="L785" s="38" t="n">
        <v>71585000</v>
      </c>
      <c r="M785" s="38" t="n">
        <v>22394260</v>
      </c>
      <c r="N785" s="39" t="n">
        <f aca="false">IF(A785="제외",0,IF(OR(N(L785)&lt;=0,N(M785)&gt;N(L785)),N(M785)/요약!$D$27,N(L785)))</f>
        <v>71585000</v>
      </c>
      <c r="O785" s="32" t="str">
        <f aca="false">IF(A785="제외","",IF(OR(N(L785)&lt;=0,N(M785)&gt;N(L785)),"택가보정(판매금액÷공급율)",""))</f>
        <v/>
      </c>
      <c r="P785" s="0" t="str">
        <f aca="false">IF(A785="HK","100",IF(A785="CN","200",IF(A785="TW","300",IF(ISNUMBER(SEARCH("태국",C785)),"500",IF(ISNUMBER(SEARCH("말레이",C785)),"600",IF(ISNUMBER(SEARCH("필리핀",C785)),"700",IF(ISNUMBER(SEARCH("인도네시아",C785)),"800",IF(ISNUMBER(SEARCH("크루즈",C785)),"810",IF(ISNUMBER(SEARCH("동물원",C785)),"830","")))))))))</f>
        <v>200</v>
      </c>
    </row>
    <row r="786" customFormat="false" ht="15" hidden="false" customHeight="false" outlineLevel="0" collapsed="false">
      <c r="A786" s="32" t="str">
        <f aca="false">IF(OR(TRIM(C786)="",SUBSTITUTE(C786," ","")="소계"),"제외",IF(ISNUMBER(SEARCH("홍콩",C786)),"HK",IF(ISNUMBER(SEARCH("상해",C786)),"CN",IF(ISNUMBER(SEARCH("대만",C786)),"TW","홀세일"))))</f>
        <v>CN</v>
      </c>
      <c r="B786" s="36" t="s">
        <v>1019</v>
      </c>
      <c r="C786" s="37" t="s">
        <v>1020</v>
      </c>
      <c r="D786" s="37" t="s">
        <v>123</v>
      </c>
      <c r="E786" s="36" t="n">
        <v>2026</v>
      </c>
      <c r="F786" s="36" t="s">
        <v>110</v>
      </c>
      <c r="G786" s="37" t="s">
        <v>124</v>
      </c>
      <c r="H786" s="36" t="s">
        <v>188</v>
      </c>
      <c r="I786" s="36" t="s">
        <v>662</v>
      </c>
      <c r="J786" s="36" t="s">
        <v>663</v>
      </c>
      <c r="K786" s="38" t="n">
        <v>242</v>
      </c>
      <c r="L786" s="38" t="n">
        <v>96558000</v>
      </c>
      <c r="M786" s="38" t="n">
        <v>35955368</v>
      </c>
      <c r="N786" s="39" t="n">
        <f aca="false">IF(A786="제외",0,IF(OR(N(L786)&lt;=0,N(M786)&gt;N(L786)),N(M786)/요약!$D$27,N(L786)))</f>
        <v>96558000</v>
      </c>
      <c r="O786" s="32" t="str">
        <f aca="false">IF(A786="제외","",IF(OR(N(L786)&lt;=0,N(M786)&gt;N(L786)),"택가보정(판매금액÷공급율)",""))</f>
        <v/>
      </c>
      <c r="P786" s="0" t="str">
        <f aca="false">IF(A786="HK","100",IF(A786="CN","200",IF(A786="TW","300",IF(ISNUMBER(SEARCH("태국",C786)),"500",IF(ISNUMBER(SEARCH("말레이",C786)),"600",IF(ISNUMBER(SEARCH("필리핀",C786)),"700",IF(ISNUMBER(SEARCH("인도네시아",C786)),"800",IF(ISNUMBER(SEARCH("크루즈",C786)),"810",IF(ISNUMBER(SEARCH("동물원",C786)),"830","")))))))))</f>
        <v>200</v>
      </c>
    </row>
    <row r="787" customFormat="false" ht="15" hidden="false" customHeight="false" outlineLevel="0" collapsed="false">
      <c r="A787" s="32" t="str">
        <f aca="false">IF(OR(TRIM(C787)="",SUBSTITUTE(C787," ","")="소계"),"제외",IF(ISNUMBER(SEARCH("홍콩",C787)),"HK",IF(ISNUMBER(SEARCH("상해",C787)),"CN",IF(ISNUMBER(SEARCH("대만",C787)),"TW","홀세일"))))</f>
        <v>CN</v>
      </c>
      <c r="B787" s="36" t="s">
        <v>1019</v>
      </c>
      <c r="C787" s="37" t="s">
        <v>1020</v>
      </c>
      <c r="D787" s="37" t="s">
        <v>664</v>
      </c>
      <c r="E787" s="36" t="n">
        <v>2026</v>
      </c>
      <c r="F787" s="37" t="s">
        <v>101</v>
      </c>
      <c r="G787" s="37" t="s">
        <v>124</v>
      </c>
      <c r="H787" s="36" t="s">
        <v>125</v>
      </c>
      <c r="I787" s="36" t="s">
        <v>1124</v>
      </c>
      <c r="J787" s="37" t="s">
        <v>781</v>
      </c>
      <c r="K787" s="38" t="n">
        <v>354</v>
      </c>
      <c r="L787" s="38" t="n">
        <v>56286000</v>
      </c>
      <c r="M787" s="38" t="n">
        <v>15364302</v>
      </c>
      <c r="N787" s="39" t="n">
        <f aca="false">IF(A787="제외",0,IF(OR(N(L787)&lt;=0,N(M787)&gt;N(L787)),N(M787)/요약!$D$27,N(L787)))</f>
        <v>56286000</v>
      </c>
      <c r="O787" s="32" t="str">
        <f aca="false">IF(A787="제외","",IF(OR(N(L787)&lt;=0,N(M787)&gt;N(L787)),"택가보정(판매금액÷공급율)",""))</f>
        <v/>
      </c>
      <c r="P787" s="0" t="str">
        <f aca="false">IF(A787="HK","100",IF(A787="CN","200",IF(A787="TW","300",IF(ISNUMBER(SEARCH("태국",C787)),"500",IF(ISNUMBER(SEARCH("말레이",C787)),"600",IF(ISNUMBER(SEARCH("필리핀",C787)),"700",IF(ISNUMBER(SEARCH("인도네시아",C787)),"800",IF(ISNUMBER(SEARCH("크루즈",C787)),"810",IF(ISNUMBER(SEARCH("동물원",C787)),"830","")))))))))</f>
        <v>200</v>
      </c>
    </row>
    <row r="788" customFormat="false" ht="15" hidden="false" customHeight="false" outlineLevel="0" collapsed="false">
      <c r="A788" s="32" t="str">
        <f aca="false">IF(OR(TRIM(C788)="",SUBSTITUTE(C788," ","")="소계"),"제외",IF(ISNUMBER(SEARCH("홍콩",C788)),"HK",IF(ISNUMBER(SEARCH("상해",C788)),"CN",IF(ISNUMBER(SEARCH("대만",C788)),"TW","홀세일"))))</f>
        <v>CN</v>
      </c>
      <c r="B788" s="36" t="s">
        <v>1019</v>
      </c>
      <c r="C788" s="37" t="s">
        <v>1020</v>
      </c>
      <c r="D788" s="37" t="s">
        <v>664</v>
      </c>
      <c r="E788" s="36" t="n">
        <v>2026</v>
      </c>
      <c r="F788" s="37" t="s">
        <v>101</v>
      </c>
      <c r="G788" s="37" t="s">
        <v>124</v>
      </c>
      <c r="H788" s="36" t="s">
        <v>131</v>
      </c>
      <c r="I788" s="36" t="s">
        <v>1125</v>
      </c>
      <c r="J788" s="37" t="s">
        <v>1126</v>
      </c>
      <c r="K788" s="38" t="n">
        <v>2</v>
      </c>
      <c r="L788" s="38" t="n">
        <v>278000</v>
      </c>
      <c r="M788" s="38" t="n">
        <v>83512</v>
      </c>
      <c r="N788" s="39" t="n">
        <f aca="false">IF(A788="제외",0,IF(OR(N(L788)&lt;=0,N(M788)&gt;N(L788)),N(M788)/요약!$D$27,N(L788)))</f>
        <v>278000</v>
      </c>
      <c r="O788" s="32" t="str">
        <f aca="false">IF(A788="제외","",IF(OR(N(L788)&lt;=0,N(M788)&gt;N(L788)),"택가보정(판매금액÷공급율)",""))</f>
        <v/>
      </c>
      <c r="P788" s="0" t="str">
        <f aca="false">IF(A788="HK","100",IF(A788="CN","200",IF(A788="TW","300",IF(ISNUMBER(SEARCH("태국",C788)),"500",IF(ISNUMBER(SEARCH("말레이",C788)),"600",IF(ISNUMBER(SEARCH("필리핀",C788)),"700",IF(ISNUMBER(SEARCH("인도네시아",C788)),"800",IF(ISNUMBER(SEARCH("크루즈",C788)),"810",IF(ISNUMBER(SEARCH("동물원",C788)),"830","")))))))))</f>
        <v>200</v>
      </c>
    </row>
    <row r="789" customFormat="false" ht="15" hidden="false" customHeight="false" outlineLevel="0" collapsed="false">
      <c r="A789" s="32" t="str">
        <f aca="false">IF(OR(TRIM(C789)="",SUBSTITUTE(C789," ","")="소계"),"제외",IF(ISNUMBER(SEARCH("홍콩",C789)),"HK",IF(ISNUMBER(SEARCH("상해",C789)),"CN",IF(ISNUMBER(SEARCH("대만",C789)),"TW","홀세일"))))</f>
        <v>CN</v>
      </c>
      <c r="B789" s="36" t="s">
        <v>1019</v>
      </c>
      <c r="C789" s="37" t="s">
        <v>1020</v>
      </c>
      <c r="D789" s="37" t="s">
        <v>664</v>
      </c>
      <c r="E789" s="36" t="n">
        <v>2026</v>
      </c>
      <c r="F789" s="37" t="s">
        <v>101</v>
      </c>
      <c r="G789" s="37" t="s">
        <v>124</v>
      </c>
      <c r="H789" s="36" t="s">
        <v>131</v>
      </c>
      <c r="I789" s="36" t="s">
        <v>1127</v>
      </c>
      <c r="J789" s="37" t="s">
        <v>1128</v>
      </c>
      <c r="K789" s="38" t="n">
        <v>8</v>
      </c>
      <c r="L789" s="38" t="n">
        <v>1752000</v>
      </c>
      <c r="M789" s="38" t="n">
        <v>502950</v>
      </c>
      <c r="N789" s="39" t="n">
        <f aca="false">IF(A789="제외",0,IF(OR(N(L789)&lt;=0,N(M789)&gt;N(L789)),N(M789)/요약!$D$27,N(L789)))</f>
        <v>1752000</v>
      </c>
      <c r="O789" s="32" t="str">
        <f aca="false">IF(A789="제외","",IF(OR(N(L789)&lt;=0,N(M789)&gt;N(L789)),"택가보정(판매금액÷공급율)",""))</f>
        <v/>
      </c>
      <c r="P789" s="0" t="str">
        <f aca="false">IF(A789="HK","100",IF(A789="CN","200",IF(A789="TW","300",IF(ISNUMBER(SEARCH("태국",C789)),"500",IF(ISNUMBER(SEARCH("말레이",C789)),"600",IF(ISNUMBER(SEARCH("필리핀",C789)),"700",IF(ISNUMBER(SEARCH("인도네시아",C789)),"800",IF(ISNUMBER(SEARCH("크루즈",C789)),"810",IF(ISNUMBER(SEARCH("동물원",C789)),"830","")))))))))</f>
        <v>200</v>
      </c>
    </row>
    <row r="790" customFormat="false" ht="15" hidden="false" customHeight="false" outlineLevel="0" collapsed="false">
      <c r="A790" s="32" t="str">
        <f aca="false">IF(OR(TRIM(C790)="",SUBSTITUTE(C790," ","")="소계"),"제외",IF(ISNUMBER(SEARCH("홍콩",C790)),"HK",IF(ISNUMBER(SEARCH("상해",C790)),"CN",IF(ISNUMBER(SEARCH("대만",C790)),"TW","홀세일"))))</f>
        <v>CN</v>
      </c>
      <c r="B790" s="36" t="s">
        <v>1019</v>
      </c>
      <c r="C790" s="37" t="s">
        <v>1020</v>
      </c>
      <c r="D790" s="37" t="s">
        <v>664</v>
      </c>
      <c r="E790" s="36" t="n">
        <v>2026</v>
      </c>
      <c r="F790" s="37" t="s">
        <v>101</v>
      </c>
      <c r="G790" s="37" t="s">
        <v>124</v>
      </c>
      <c r="H790" s="36" t="s">
        <v>131</v>
      </c>
      <c r="I790" s="36" t="s">
        <v>976</v>
      </c>
      <c r="J790" s="37" t="s">
        <v>167</v>
      </c>
      <c r="K790" s="38" t="n">
        <v>222</v>
      </c>
      <c r="L790" s="38" t="n">
        <v>39738000</v>
      </c>
      <c r="M790" s="38" t="n">
        <v>11072274</v>
      </c>
      <c r="N790" s="39" t="n">
        <f aca="false">IF(A790="제외",0,IF(OR(N(L790)&lt;=0,N(M790)&gt;N(L790)),N(M790)/요약!$D$27,N(L790)))</f>
        <v>39738000</v>
      </c>
      <c r="O790" s="32" t="str">
        <f aca="false">IF(A790="제외","",IF(OR(N(L790)&lt;=0,N(M790)&gt;N(L790)),"택가보정(판매금액÷공급율)",""))</f>
        <v/>
      </c>
      <c r="P790" s="0" t="str">
        <f aca="false">IF(A790="HK","100",IF(A790="CN","200",IF(A790="TW","300",IF(ISNUMBER(SEARCH("태국",C790)),"500",IF(ISNUMBER(SEARCH("말레이",C790)),"600",IF(ISNUMBER(SEARCH("필리핀",C790)),"700",IF(ISNUMBER(SEARCH("인도네시아",C790)),"800",IF(ISNUMBER(SEARCH("크루즈",C790)),"810",IF(ISNUMBER(SEARCH("동물원",C790)),"830","")))))))))</f>
        <v>200</v>
      </c>
    </row>
    <row r="791" customFormat="false" ht="15" hidden="false" customHeight="false" outlineLevel="0" collapsed="false">
      <c r="A791" s="32" t="str">
        <f aca="false">IF(OR(TRIM(C791)="",SUBSTITUTE(C791," ","")="소계"),"제외",IF(ISNUMBER(SEARCH("홍콩",C791)),"HK",IF(ISNUMBER(SEARCH("상해",C791)),"CN",IF(ISNUMBER(SEARCH("대만",C791)),"TW","홀세일"))))</f>
        <v>CN</v>
      </c>
      <c r="B791" s="36" t="s">
        <v>1019</v>
      </c>
      <c r="C791" s="37" t="s">
        <v>1020</v>
      </c>
      <c r="D791" s="37" t="s">
        <v>664</v>
      </c>
      <c r="E791" s="36" t="n">
        <v>2026</v>
      </c>
      <c r="F791" s="37" t="s">
        <v>101</v>
      </c>
      <c r="G791" s="37" t="s">
        <v>124</v>
      </c>
      <c r="H791" s="36" t="s">
        <v>188</v>
      </c>
      <c r="I791" s="36" t="s">
        <v>1129</v>
      </c>
      <c r="J791" s="36" t="s">
        <v>1130</v>
      </c>
      <c r="K791" s="38" t="n">
        <v>126</v>
      </c>
      <c r="L791" s="38" t="n">
        <v>11214000</v>
      </c>
      <c r="M791" s="38" t="n">
        <v>3059250</v>
      </c>
      <c r="N791" s="39" t="n">
        <f aca="false">IF(A791="제외",0,IF(OR(N(L791)&lt;=0,N(M791)&gt;N(L791)),N(M791)/요약!$D$27,N(L791)))</f>
        <v>11214000</v>
      </c>
      <c r="O791" s="32" t="str">
        <f aca="false">IF(A791="제외","",IF(OR(N(L791)&lt;=0,N(M791)&gt;N(L791)),"택가보정(판매금액÷공급율)",""))</f>
        <v/>
      </c>
      <c r="P791" s="0" t="str">
        <f aca="false">IF(A791="HK","100",IF(A791="CN","200",IF(A791="TW","300",IF(ISNUMBER(SEARCH("태국",C791)),"500",IF(ISNUMBER(SEARCH("말레이",C791)),"600",IF(ISNUMBER(SEARCH("필리핀",C791)),"700",IF(ISNUMBER(SEARCH("인도네시아",C791)),"800",IF(ISNUMBER(SEARCH("크루즈",C791)),"810",IF(ISNUMBER(SEARCH("동물원",C791)),"830","")))))))))</f>
        <v>200</v>
      </c>
    </row>
    <row r="792" customFormat="false" ht="15" hidden="false" customHeight="false" outlineLevel="0" collapsed="false">
      <c r="A792" s="32" t="str">
        <f aca="false">IF(OR(TRIM(C792)="",SUBSTITUTE(C792," ","")="소계"),"제외",IF(ISNUMBER(SEARCH("홍콩",C792)),"HK",IF(ISNUMBER(SEARCH("상해",C792)),"CN",IF(ISNUMBER(SEARCH("대만",C792)),"TW","홀세일"))))</f>
        <v>CN</v>
      </c>
      <c r="B792" s="36" t="s">
        <v>1019</v>
      </c>
      <c r="C792" s="37" t="s">
        <v>1020</v>
      </c>
      <c r="D792" s="37" t="s">
        <v>664</v>
      </c>
      <c r="E792" s="36" t="n">
        <v>2026</v>
      </c>
      <c r="F792" s="37" t="s">
        <v>219</v>
      </c>
      <c r="G792" s="37" t="s">
        <v>124</v>
      </c>
      <c r="H792" s="36" t="s">
        <v>131</v>
      </c>
      <c r="I792" s="36" t="s">
        <v>667</v>
      </c>
      <c r="J792" s="37" t="s">
        <v>668</v>
      </c>
      <c r="K792" s="38" t="n">
        <v>367</v>
      </c>
      <c r="L792" s="38" t="n">
        <v>36333000</v>
      </c>
      <c r="M792" s="38" t="n">
        <v>13430943</v>
      </c>
      <c r="N792" s="39" t="n">
        <f aca="false">IF(A792="제외",0,IF(OR(N(L792)&lt;=0,N(M792)&gt;N(L792)),N(M792)/요약!$D$27,N(L792)))</f>
        <v>36333000</v>
      </c>
      <c r="O792" s="32" t="str">
        <f aca="false">IF(A792="제외","",IF(OR(N(L792)&lt;=0,N(M792)&gt;N(L792)),"택가보정(판매금액÷공급율)",""))</f>
        <v/>
      </c>
      <c r="P792" s="0" t="str">
        <f aca="false">IF(A792="HK","100",IF(A792="CN","200",IF(A792="TW","300",IF(ISNUMBER(SEARCH("태국",C792)),"500",IF(ISNUMBER(SEARCH("말레이",C792)),"600",IF(ISNUMBER(SEARCH("필리핀",C792)),"700",IF(ISNUMBER(SEARCH("인도네시아",C792)),"800",IF(ISNUMBER(SEARCH("크루즈",C792)),"810",IF(ISNUMBER(SEARCH("동물원",C792)),"830","")))))))))</f>
        <v>200</v>
      </c>
    </row>
    <row r="793" customFormat="false" ht="15" hidden="false" customHeight="false" outlineLevel="0" collapsed="false">
      <c r="A793" s="32" t="str">
        <f aca="false">IF(OR(TRIM(C793)="",SUBSTITUTE(C793," ","")="소계"),"제외",IF(ISNUMBER(SEARCH("홍콩",C793)),"HK",IF(ISNUMBER(SEARCH("상해",C793)),"CN",IF(ISNUMBER(SEARCH("대만",C793)),"TW","홀세일"))))</f>
        <v>CN</v>
      </c>
      <c r="B793" s="36" t="s">
        <v>1019</v>
      </c>
      <c r="C793" s="37" t="s">
        <v>1020</v>
      </c>
      <c r="D793" s="37" t="s">
        <v>664</v>
      </c>
      <c r="E793" s="36" t="n">
        <v>2026</v>
      </c>
      <c r="F793" s="37" t="s">
        <v>219</v>
      </c>
      <c r="G793" s="37" t="s">
        <v>124</v>
      </c>
      <c r="H793" s="36" t="s">
        <v>131</v>
      </c>
      <c r="I793" s="36" t="s">
        <v>1131</v>
      </c>
      <c r="J793" s="37" t="s">
        <v>1132</v>
      </c>
      <c r="K793" s="38" t="n">
        <v>312</v>
      </c>
      <c r="L793" s="38" t="n">
        <v>46488000</v>
      </c>
      <c r="M793" s="38" t="n">
        <v>10582640</v>
      </c>
      <c r="N793" s="39" t="n">
        <f aca="false">IF(A793="제외",0,IF(OR(N(L793)&lt;=0,N(M793)&gt;N(L793)),N(M793)/요약!$D$27,N(L793)))</f>
        <v>46488000</v>
      </c>
      <c r="O793" s="32" t="str">
        <f aca="false">IF(A793="제외","",IF(OR(N(L793)&lt;=0,N(M793)&gt;N(L793)),"택가보정(판매금액÷공급율)",""))</f>
        <v/>
      </c>
      <c r="P793" s="0" t="str">
        <f aca="false">IF(A793="HK","100",IF(A793="CN","200",IF(A793="TW","300",IF(ISNUMBER(SEARCH("태국",C793)),"500",IF(ISNUMBER(SEARCH("말레이",C793)),"600",IF(ISNUMBER(SEARCH("필리핀",C793)),"700",IF(ISNUMBER(SEARCH("인도네시아",C793)),"800",IF(ISNUMBER(SEARCH("크루즈",C793)),"810",IF(ISNUMBER(SEARCH("동물원",C793)),"830","")))))))))</f>
        <v>200</v>
      </c>
    </row>
    <row r="794" customFormat="false" ht="15" hidden="false" customHeight="false" outlineLevel="0" collapsed="false">
      <c r="A794" s="32" t="str">
        <f aca="false">IF(OR(TRIM(C794)="",SUBSTITUTE(C794," ","")="소계"),"제외",IF(ISNUMBER(SEARCH("홍콩",C794)),"HK",IF(ISNUMBER(SEARCH("상해",C794)),"CN",IF(ISNUMBER(SEARCH("대만",C794)),"TW","홀세일"))))</f>
        <v>CN</v>
      </c>
      <c r="B794" s="36" t="s">
        <v>1019</v>
      </c>
      <c r="C794" s="37" t="s">
        <v>1020</v>
      </c>
      <c r="D794" s="37" t="s">
        <v>664</v>
      </c>
      <c r="E794" s="36" t="n">
        <v>2026</v>
      </c>
      <c r="F794" s="37" t="s">
        <v>219</v>
      </c>
      <c r="G794" s="37" t="s">
        <v>124</v>
      </c>
      <c r="H794" s="36" t="s">
        <v>125</v>
      </c>
      <c r="I794" s="36" t="s">
        <v>1133</v>
      </c>
      <c r="J794" s="37" t="s">
        <v>811</v>
      </c>
      <c r="K794" s="38" t="n">
        <v>703</v>
      </c>
      <c r="L794" s="38" t="n">
        <v>97717000</v>
      </c>
      <c r="M794" s="38" t="n">
        <v>25064268</v>
      </c>
      <c r="N794" s="39" t="n">
        <f aca="false">IF(A794="제외",0,IF(OR(N(L794)&lt;=0,N(M794)&gt;N(L794)),N(M794)/요약!$D$27,N(L794)))</f>
        <v>97717000</v>
      </c>
      <c r="O794" s="32" t="str">
        <f aca="false">IF(A794="제외","",IF(OR(N(L794)&lt;=0,N(M794)&gt;N(L794)),"택가보정(판매금액÷공급율)",""))</f>
        <v/>
      </c>
      <c r="P794" s="0" t="str">
        <f aca="false">IF(A794="HK","100",IF(A794="CN","200",IF(A794="TW","300",IF(ISNUMBER(SEARCH("태국",C794)),"500",IF(ISNUMBER(SEARCH("말레이",C794)),"600",IF(ISNUMBER(SEARCH("필리핀",C794)),"700",IF(ISNUMBER(SEARCH("인도네시아",C794)),"800",IF(ISNUMBER(SEARCH("크루즈",C794)),"810",IF(ISNUMBER(SEARCH("동물원",C794)),"830","")))))))))</f>
        <v>200</v>
      </c>
    </row>
    <row r="795" customFormat="false" ht="15" hidden="false" customHeight="false" outlineLevel="0" collapsed="false">
      <c r="A795" s="32" t="str">
        <f aca="false">IF(OR(TRIM(C795)="",SUBSTITUTE(C795," ","")="소계"),"제외",IF(ISNUMBER(SEARCH("홍콩",C795)),"HK",IF(ISNUMBER(SEARCH("상해",C795)),"CN",IF(ISNUMBER(SEARCH("대만",C795)),"TW","홀세일"))))</f>
        <v>CN</v>
      </c>
      <c r="B795" s="36" t="s">
        <v>1019</v>
      </c>
      <c r="C795" s="37" t="s">
        <v>1020</v>
      </c>
      <c r="D795" s="37" t="s">
        <v>664</v>
      </c>
      <c r="E795" s="36" t="n">
        <v>2026</v>
      </c>
      <c r="F795" s="37" t="s">
        <v>219</v>
      </c>
      <c r="G795" s="37" t="s">
        <v>124</v>
      </c>
      <c r="H795" s="36" t="s">
        <v>125</v>
      </c>
      <c r="I795" s="36" t="s">
        <v>1134</v>
      </c>
      <c r="J795" s="37" t="s">
        <v>817</v>
      </c>
      <c r="K795" s="38" t="n">
        <v>294</v>
      </c>
      <c r="L795" s="38" t="n">
        <v>37926000</v>
      </c>
      <c r="M795" s="38" t="n">
        <v>11478336</v>
      </c>
      <c r="N795" s="39" t="n">
        <f aca="false">IF(A795="제외",0,IF(OR(N(L795)&lt;=0,N(M795)&gt;N(L795)),N(M795)/요약!$D$27,N(L795)))</f>
        <v>37926000</v>
      </c>
      <c r="O795" s="32" t="str">
        <f aca="false">IF(A795="제외","",IF(OR(N(L795)&lt;=0,N(M795)&gt;N(L795)),"택가보정(판매금액÷공급율)",""))</f>
        <v/>
      </c>
      <c r="P795" s="0" t="str">
        <f aca="false">IF(A795="HK","100",IF(A795="CN","200",IF(A795="TW","300",IF(ISNUMBER(SEARCH("태국",C795)),"500",IF(ISNUMBER(SEARCH("말레이",C795)),"600",IF(ISNUMBER(SEARCH("필리핀",C795)),"700",IF(ISNUMBER(SEARCH("인도네시아",C795)),"800",IF(ISNUMBER(SEARCH("크루즈",C795)),"810",IF(ISNUMBER(SEARCH("동물원",C795)),"830","")))))))))</f>
        <v>200</v>
      </c>
    </row>
    <row r="796" customFormat="false" ht="15" hidden="false" customHeight="false" outlineLevel="0" collapsed="false">
      <c r="A796" s="32" t="str">
        <f aca="false">IF(OR(TRIM(C796)="",SUBSTITUTE(C796," ","")="소계"),"제외",IF(ISNUMBER(SEARCH("홍콩",C796)),"HK",IF(ISNUMBER(SEARCH("상해",C796)),"CN",IF(ISNUMBER(SEARCH("대만",C796)),"TW","홀세일"))))</f>
        <v>CN</v>
      </c>
      <c r="B796" s="36" t="s">
        <v>1019</v>
      </c>
      <c r="C796" s="37" t="s">
        <v>1020</v>
      </c>
      <c r="D796" s="37" t="s">
        <v>664</v>
      </c>
      <c r="E796" s="36" t="n">
        <v>2026</v>
      </c>
      <c r="F796" s="37" t="s">
        <v>219</v>
      </c>
      <c r="G796" s="37" t="s">
        <v>124</v>
      </c>
      <c r="H796" s="36" t="s">
        <v>125</v>
      </c>
      <c r="I796" s="36" t="s">
        <v>1135</v>
      </c>
      <c r="J796" s="37" t="s">
        <v>1136</v>
      </c>
      <c r="K796" s="38" t="n">
        <v>111</v>
      </c>
      <c r="L796" s="38" t="n">
        <v>9879000</v>
      </c>
      <c r="M796" s="38" t="n">
        <v>3592343</v>
      </c>
      <c r="N796" s="39" t="n">
        <f aca="false">IF(A796="제외",0,IF(OR(N(L796)&lt;=0,N(M796)&gt;N(L796)),N(M796)/요약!$D$27,N(L796)))</f>
        <v>9879000</v>
      </c>
      <c r="O796" s="32" t="str">
        <f aca="false">IF(A796="제외","",IF(OR(N(L796)&lt;=0,N(M796)&gt;N(L796)),"택가보정(판매금액÷공급율)",""))</f>
        <v/>
      </c>
      <c r="P796" s="0" t="str">
        <f aca="false">IF(A796="HK","100",IF(A796="CN","200",IF(A796="TW","300",IF(ISNUMBER(SEARCH("태국",C796)),"500",IF(ISNUMBER(SEARCH("말레이",C796)),"600",IF(ISNUMBER(SEARCH("필리핀",C796)),"700",IF(ISNUMBER(SEARCH("인도네시아",C796)),"800",IF(ISNUMBER(SEARCH("크루즈",C796)),"810",IF(ISNUMBER(SEARCH("동물원",C796)),"830","")))))))))</f>
        <v>200</v>
      </c>
    </row>
    <row r="797" customFormat="false" ht="15" hidden="false" customHeight="false" outlineLevel="0" collapsed="false">
      <c r="A797" s="32" t="str">
        <f aca="false">IF(OR(TRIM(C797)="",SUBSTITUTE(C797," ","")="소계"),"제외",IF(ISNUMBER(SEARCH("홍콩",C797)),"HK",IF(ISNUMBER(SEARCH("상해",C797)),"CN",IF(ISNUMBER(SEARCH("대만",C797)),"TW","홀세일"))))</f>
        <v>CN</v>
      </c>
      <c r="B797" s="36" t="s">
        <v>1019</v>
      </c>
      <c r="C797" s="37" t="s">
        <v>1020</v>
      </c>
      <c r="D797" s="37" t="s">
        <v>664</v>
      </c>
      <c r="E797" s="36" t="n">
        <v>2026</v>
      </c>
      <c r="F797" s="37" t="s">
        <v>219</v>
      </c>
      <c r="G797" s="37" t="s">
        <v>124</v>
      </c>
      <c r="H797" s="36" t="s">
        <v>131</v>
      </c>
      <c r="I797" s="36" t="s">
        <v>977</v>
      </c>
      <c r="J797" s="37" t="s">
        <v>978</v>
      </c>
      <c r="K797" s="38" t="n">
        <v>513</v>
      </c>
      <c r="L797" s="38" t="n">
        <v>61047000</v>
      </c>
      <c r="M797" s="38" t="n">
        <v>23641104</v>
      </c>
      <c r="N797" s="39" t="n">
        <f aca="false">IF(A797="제외",0,IF(OR(N(L797)&lt;=0,N(M797)&gt;N(L797)),N(M797)/요약!$D$27,N(L797)))</f>
        <v>61047000</v>
      </c>
      <c r="O797" s="32" t="str">
        <f aca="false">IF(A797="제외","",IF(OR(N(L797)&lt;=0,N(M797)&gt;N(L797)),"택가보정(판매금액÷공급율)",""))</f>
        <v/>
      </c>
      <c r="P797" s="0" t="str">
        <f aca="false">IF(A797="HK","100",IF(A797="CN","200",IF(A797="TW","300",IF(ISNUMBER(SEARCH("태국",C797)),"500",IF(ISNUMBER(SEARCH("말레이",C797)),"600",IF(ISNUMBER(SEARCH("필리핀",C797)),"700",IF(ISNUMBER(SEARCH("인도네시아",C797)),"800",IF(ISNUMBER(SEARCH("크루즈",C797)),"810",IF(ISNUMBER(SEARCH("동물원",C797)),"830","")))))))))</f>
        <v>200</v>
      </c>
    </row>
    <row r="798" customFormat="false" ht="15" hidden="false" customHeight="false" outlineLevel="0" collapsed="false">
      <c r="A798" s="32" t="str">
        <f aca="false">IF(OR(TRIM(C798)="",SUBSTITUTE(C798," ","")="소계"),"제외",IF(ISNUMBER(SEARCH("홍콩",C798)),"HK",IF(ISNUMBER(SEARCH("상해",C798)),"CN",IF(ISNUMBER(SEARCH("대만",C798)),"TW","홀세일"))))</f>
        <v>CN</v>
      </c>
      <c r="B798" s="36" t="s">
        <v>1019</v>
      </c>
      <c r="C798" s="37" t="s">
        <v>1020</v>
      </c>
      <c r="D798" s="37" t="s">
        <v>664</v>
      </c>
      <c r="E798" s="36" t="n">
        <v>2026</v>
      </c>
      <c r="F798" s="37" t="s">
        <v>219</v>
      </c>
      <c r="G798" s="37" t="s">
        <v>124</v>
      </c>
      <c r="H798" s="36" t="s">
        <v>125</v>
      </c>
      <c r="I798" s="36" t="s">
        <v>1137</v>
      </c>
      <c r="J798" s="41" t="s">
        <v>1138</v>
      </c>
      <c r="K798" s="38" t="n">
        <v>515</v>
      </c>
      <c r="L798" s="38" t="n">
        <v>45835000</v>
      </c>
      <c r="M798" s="38" t="n">
        <v>14370032</v>
      </c>
      <c r="N798" s="39" t="n">
        <f aca="false">IF(A798="제외",0,IF(OR(N(L798)&lt;=0,N(M798)&gt;N(L798)),N(M798)/요약!$D$27,N(L798)))</f>
        <v>45835000</v>
      </c>
      <c r="O798" s="32" t="str">
        <f aca="false">IF(A798="제외","",IF(OR(N(L798)&lt;=0,N(M798)&gt;N(L798)),"택가보정(판매금액÷공급율)",""))</f>
        <v/>
      </c>
      <c r="P798" s="0" t="str">
        <f aca="false">IF(A798="HK","100",IF(A798="CN","200",IF(A798="TW","300",IF(ISNUMBER(SEARCH("태국",C798)),"500",IF(ISNUMBER(SEARCH("말레이",C798)),"600",IF(ISNUMBER(SEARCH("필리핀",C798)),"700",IF(ISNUMBER(SEARCH("인도네시아",C798)),"800",IF(ISNUMBER(SEARCH("크루즈",C798)),"810",IF(ISNUMBER(SEARCH("동물원",C798)),"830","")))))))))</f>
        <v>200</v>
      </c>
    </row>
    <row r="799" customFormat="false" ht="15" hidden="false" customHeight="false" outlineLevel="0" collapsed="false">
      <c r="A799" s="32" t="str">
        <f aca="false">IF(OR(TRIM(C799)="",SUBSTITUTE(C799," ","")="소계"),"제외",IF(ISNUMBER(SEARCH("홍콩",C799)),"HK",IF(ISNUMBER(SEARCH("상해",C799)),"CN",IF(ISNUMBER(SEARCH("대만",C799)),"TW","홀세일"))))</f>
        <v>CN</v>
      </c>
      <c r="B799" s="36" t="s">
        <v>1019</v>
      </c>
      <c r="C799" s="37" t="s">
        <v>1020</v>
      </c>
      <c r="D799" s="37" t="s">
        <v>664</v>
      </c>
      <c r="E799" s="36" t="n">
        <v>2026</v>
      </c>
      <c r="F799" s="37" t="s">
        <v>219</v>
      </c>
      <c r="G799" s="37" t="s">
        <v>124</v>
      </c>
      <c r="H799" s="36" t="s">
        <v>131</v>
      </c>
      <c r="I799" s="36" t="s">
        <v>1139</v>
      </c>
      <c r="J799" s="37" t="s">
        <v>251</v>
      </c>
      <c r="K799" s="38" t="n">
        <v>1426</v>
      </c>
      <c r="L799" s="38" t="n">
        <v>126914000</v>
      </c>
      <c r="M799" s="38" t="n">
        <v>39729300</v>
      </c>
      <c r="N799" s="39" t="n">
        <f aca="false">IF(A799="제외",0,IF(OR(N(L799)&lt;=0,N(M799)&gt;N(L799)),N(M799)/요약!$D$27,N(L799)))</f>
        <v>126914000</v>
      </c>
      <c r="O799" s="32" t="str">
        <f aca="false">IF(A799="제외","",IF(OR(N(L799)&lt;=0,N(M799)&gt;N(L799)),"택가보정(판매금액÷공급율)",""))</f>
        <v/>
      </c>
      <c r="P799" s="0" t="str">
        <f aca="false">IF(A799="HK","100",IF(A799="CN","200",IF(A799="TW","300",IF(ISNUMBER(SEARCH("태국",C799)),"500",IF(ISNUMBER(SEARCH("말레이",C799)),"600",IF(ISNUMBER(SEARCH("필리핀",C799)),"700",IF(ISNUMBER(SEARCH("인도네시아",C799)),"800",IF(ISNUMBER(SEARCH("크루즈",C799)),"810",IF(ISNUMBER(SEARCH("동물원",C799)),"830","")))))))))</f>
        <v>200</v>
      </c>
    </row>
    <row r="800" customFormat="false" ht="15" hidden="false" customHeight="false" outlineLevel="0" collapsed="false">
      <c r="A800" s="32" t="str">
        <f aca="false">IF(OR(TRIM(C800)="",SUBSTITUTE(C800," ","")="소계"),"제외",IF(ISNUMBER(SEARCH("홍콩",C800)),"HK",IF(ISNUMBER(SEARCH("상해",C800)),"CN",IF(ISNUMBER(SEARCH("대만",C800)),"TW","홀세일"))))</f>
        <v>CN</v>
      </c>
      <c r="B800" s="36" t="s">
        <v>1019</v>
      </c>
      <c r="C800" s="37" t="s">
        <v>1020</v>
      </c>
      <c r="D800" s="37" t="s">
        <v>664</v>
      </c>
      <c r="E800" s="36" t="n">
        <v>2026</v>
      </c>
      <c r="F800" s="37" t="s">
        <v>219</v>
      </c>
      <c r="G800" s="37" t="s">
        <v>124</v>
      </c>
      <c r="H800" s="36" t="s">
        <v>131</v>
      </c>
      <c r="I800" s="36" t="s">
        <v>1140</v>
      </c>
      <c r="J800" s="37" t="s">
        <v>263</v>
      </c>
      <c r="K800" s="38" t="n">
        <v>653</v>
      </c>
      <c r="L800" s="38" t="n">
        <v>90767000</v>
      </c>
      <c r="M800" s="38" t="n">
        <v>21114773</v>
      </c>
      <c r="N800" s="39" t="n">
        <f aca="false">IF(A800="제외",0,IF(OR(N(L800)&lt;=0,N(M800)&gt;N(L800)),N(M800)/요약!$D$27,N(L800)))</f>
        <v>90767000</v>
      </c>
      <c r="O800" s="32" t="str">
        <f aca="false">IF(A800="제외","",IF(OR(N(L800)&lt;=0,N(M800)&gt;N(L800)),"택가보정(판매금액÷공급율)",""))</f>
        <v/>
      </c>
      <c r="P800" s="0" t="str">
        <f aca="false">IF(A800="HK","100",IF(A800="CN","200",IF(A800="TW","300",IF(ISNUMBER(SEARCH("태국",C800)),"500",IF(ISNUMBER(SEARCH("말레이",C800)),"600",IF(ISNUMBER(SEARCH("필리핀",C800)),"700",IF(ISNUMBER(SEARCH("인도네시아",C800)),"800",IF(ISNUMBER(SEARCH("크루즈",C800)),"810",IF(ISNUMBER(SEARCH("동물원",C800)),"830","")))))))))</f>
        <v>200</v>
      </c>
    </row>
    <row r="801" customFormat="false" ht="15" hidden="false" customHeight="false" outlineLevel="0" collapsed="false">
      <c r="A801" s="32" t="str">
        <f aca="false">IF(OR(TRIM(C801)="",SUBSTITUTE(C801," ","")="소계"),"제외",IF(ISNUMBER(SEARCH("홍콩",C801)),"HK",IF(ISNUMBER(SEARCH("상해",C801)),"CN",IF(ISNUMBER(SEARCH("대만",C801)),"TW","홀세일"))))</f>
        <v>CN</v>
      </c>
      <c r="B801" s="36" t="s">
        <v>1019</v>
      </c>
      <c r="C801" s="37" t="s">
        <v>1020</v>
      </c>
      <c r="D801" s="37" t="s">
        <v>664</v>
      </c>
      <c r="E801" s="36" t="n">
        <v>2026</v>
      </c>
      <c r="F801" s="37" t="s">
        <v>219</v>
      </c>
      <c r="G801" s="37" t="s">
        <v>124</v>
      </c>
      <c r="H801" s="36" t="s">
        <v>131</v>
      </c>
      <c r="I801" s="36" t="s">
        <v>669</v>
      </c>
      <c r="J801" s="37" t="s">
        <v>670</v>
      </c>
      <c r="K801" s="38" t="n">
        <v>959</v>
      </c>
      <c r="L801" s="38" t="n">
        <v>162071000</v>
      </c>
      <c r="M801" s="38" t="n">
        <v>51598383</v>
      </c>
      <c r="N801" s="39" t="n">
        <f aca="false">IF(A801="제외",0,IF(OR(N(L801)&lt;=0,N(M801)&gt;N(L801)),N(M801)/요약!$D$27,N(L801)))</f>
        <v>162071000</v>
      </c>
      <c r="O801" s="32" t="str">
        <f aca="false">IF(A801="제외","",IF(OR(N(L801)&lt;=0,N(M801)&gt;N(L801)),"택가보정(판매금액÷공급율)",""))</f>
        <v/>
      </c>
      <c r="P801" s="0" t="str">
        <f aca="false">IF(A801="HK","100",IF(A801="CN","200",IF(A801="TW","300",IF(ISNUMBER(SEARCH("태국",C801)),"500",IF(ISNUMBER(SEARCH("말레이",C801)),"600",IF(ISNUMBER(SEARCH("필리핀",C801)),"700",IF(ISNUMBER(SEARCH("인도네시아",C801)),"800",IF(ISNUMBER(SEARCH("크루즈",C801)),"810",IF(ISNUMBER(SEARCH("동물원",C801)),"830","")))))))))</f>
        <v>200</v>
      </c>
    </row>
    <row r="802" customFormat="false" ht="15" hidden="false" customHeight="false" outlineLevel="0" collapsed="false">
      <c r="A802" s="32" t="str">
        <f aca="false">IF(OR(TRIM(C802)="",SUBSTITUTE(C802," ","")="소계"),"제외",IF(ISNUMBER(SEARCH("홍콩",C802)),"HK",IF(ISNUMBER(SEARCH("상해",C802)),"CN",IF(ISNUMBER(SEARCH("대만",C802)),"TW","홀세일"))))</f>
        <v>CN</v>
      </c>
      <c r="B802" s="36" t="s">
        <v>1019</v>
      </c>
      <c r="C802" s="37" t="s">
        <v>1020</v>
      </c>
      <c r="D802" s="37" t="s">
        <v>664</v>
      </c>
      <c r="E802" s="36" t="n">
        <v>2026</v>
      </c>
      <c r="F802" s="37" t="s">
        <v>219</v>
      </c>
      <c r="G802" s="37" t="s">
        <v>124</v>
      </c>
      <c r="H802" s="36" t="s">
        <v>131</v>
      </c>
      <c r="I802" s="36" t="s">
        <v>1141</v>
      </c>
      <c r="J802" s="37" t="s">
        <v>1142</v>
      </c>
      <c r="K802" s="38" t="n">
        <v>361</v>
      </c>
      <c r="L802" s="38" t="n">
        <v>50179000</v>
      </c>
      <c r="M802" s="38" t="n">
        <v>17167488</v>
      </c>
      <c r="N802" s="39" t="n">
        <f aca="false">IF(A802="제외",0,IF(OR(N(L802)&lt;=0,N(M802)&gt;N(L802)),N(M802)/요약!$D$27,N(L802)))</f>
        <v>50179000</v>
      </c>
      <c r="O802" s="32" t="str">
        <f aca="false">IF(A802="제외","",IF(OR(N(L802)&lt;=0,N(M802)&gt;N(L802)),"택가보정(판매금액÷공급율)",""))</f>
        <v/>
      </c>
      <c r="P802" s="0" t="str">
        <f aca="false">IF(A802="HK","100",IF(A802="CN","200",IF(A802="TW","300",IF(ISNUMBER(SEARCH("태국",C802)),"500",IF(ISNUMBER(SEARCH("말레이",C802)),"600",IF(ISNUMBER(SEARCH("필리핀",C802)),"700",IF(ISNUMBER(SEARCH("인도네시아",C802)),"800",IF(ISNUMBER(SEARCH("크루즈",C802)),"810",IF(ISNUMBER(SEARCH("동물원",C802)),"830","")))))))))</f>
        <v>200</v>
      </c>
    </row>
    <row r="803" customFormat="false" ht="15" hidden="false" customHeight="false" outlineLevel="0" collapsed="false">
      <c r="A803" s="32" t="str">
        <f aca="false">IF(OR(TRIM(C803)="",SUBSTITUTE(C803," ","")="소계"),"제외",IF(ISNUMBER(SEARCH("홍콩",C803)),"HK",IF(ISNUMBER(SEARCH("상해",C803)),"CN",IF(ISNUMBER(SEARCH("대만",C803)),"TW","홀세일"))))</f>
        <v>CN</v>
      </c>
      <c r="B803" s="36" t="s">
        <v>1019</v>
      </c>
      <c r="C803" s="37" t="s">
        <v>1020</v>
      </c>
      <c r="D803" s="37" t="s">
        <v>664</v>
      </c>
      <c r="E803" s="36" t="n">
        <v>2026</v>
      </c>
      <c r="F803" s="37" t="s">
        <v>219</v>
      </c>
      <c r="G803" s="37" t="s">
        <v>124</v>
      </c>
      <c r="H803" s="36" t="s">
        <v>131</v>
      </c>
      <c r="I803" s="36" t="s">
        <v>1143</v>
      </c>
      <c r="J803" s="37" t="s">
        <v>273</v>
      </c>
      <c r="K803" s="38" t="n">
        <v>1200</v>
      </c>
      <c r="L803" s="38" t="n">
        <v>226800000</v>
      </c>
      <c r="M803" s="38" t="n">
        <v>55947988</v>
      </c>
      <c r="N803" s="39" t="n">
        <f aca="false">IF(A803="제외",0,IF(OR(N(L803)&lt;=0,N(M803)&gt;N(L803)),N(M803)/요약!$D$27,N(L803)))</f>
        <v>226800000</v>
      </c>
      <c r="O803" s="32" t="str">
        <f aca="false">IF(A803="제외","",IF(OR(N(L803)&lt;=0,N(M803)&gt;N(L803)),"택가보정(판매금액÷공급율)",""))</f>
        <v/>
      </c>
      <c r="P803" s="0" t="str">
        <f aca="false">IF(A803="HK","100",IF(A803="CN","200",IF(A803="TW","300",IF(ISNUMBER(SEARCH("태국",C803)),"500",IF(ISNUMBER(SEARCH("말레이",C803)),"600",IF(ISNUMBER(SEARCH("필리핀",C803)),"700",IF(ISNUMBER(SEARCH("인도네시아",C803)),"800",IF(ISNUMBER(SEARCH("크루즈",C803)),"810",IF(ISNUMBER(SEARCH("동물원",C803)),"830","")))))))))</f>
        <v>200</v>
      </c>
    </row>
    <row r="804" customFormat="false" ht="15" hidden="false" customHeight="false" outlineLevel="0" collapsed="false">
      <c r="A804" s="32" t="str">
        <f aca="false">IF(OR(TRIM(C804)="",SUBSTITUTE(C804," ","")="소계"),"제외",IF(ISNUMBER(SEARCH("홍콩",C804)),"HK",IF(ISNUMBER(SEARCH("상해",C804)),"CN",IF(ISNUMBER(SEARCH("대만",C804)),"TW","홀세일"))))</f>
        <v>CN</v>
      </c>
      <c r="B804" s="36" t="s">
        <v>1019</v>
      </c>
      <c r="C804" s="37" t="s">
        <v>1020</v>
      </c>
      <c r="D804" s="37" t="s">
        <v>664</v>
      </c>
      <c r="E804" s="36" t="n">
        <v>2026</v>
      </c>
      <c r="F804" s="37" t="s">
        <v>219</v>
      </c>
      <c r="G804" s="37" t="s">
        <v>124</v>
      </c>
      <c r="H804" s="36" t="s">
        <v>131</v>
      </c>
      <c r="I804" s="36" t="s">
        <v>979</v>
      </c>
      <c r="J804" s="37" t="s">
        <v>277</v>
      </c>
      <c r="K804" s="38" t="n">
        <v>1659</v>
      </c>
      <c r="L804" s="38" t="n">
        <v>247191000</v>
      </c>
      <c r="M804" s="38" t="n">
        <v>63701556</v>
      </c>
      <c r="N804" s="39" t="n">
        <f aca="false">IF(A804="제외",0,IF(OR(N(L804)&lt;=0,N(M804)&gt;N(L804)),N(M804)/요약!$D$27,N(L804)))</f>
        <v>247191000</v>
      </c>
      <c r="O804" s="32" t="str">
        <f aca="false">IF(A804="제외","",IF(OR(N(L804)&lt;=0,N(M804)&gt;N(L804)),"택가보정(판매금액÷공급율)",""))</f>
        <v/>
      </c>
      <c r="P804" s="0" t="str">
        <f aca="false">IF(A804="HK","100",IF(A804="CN","200",IF(A804="TW","300",IF(ISNUMBER(SEARCH("태국",C804)),"500",IF(ISNUMBER(SEARCH("말레이",C804)),"600",IF(ISNUMBER(SEARCH("필리핀",C804)),"700",IF(ISNUMBER(SEARCH("인도네시아",C804)),"800",IF(ISNUMBER(SEARCH("크루즈",C804)),"810",IF(ISNUMBER(SEARCH("동물원",C804)),"830","")))))))))</f>
        <v>200</v>
      </c>
    </row>
    <row r="805" customFormat="false" ht="15" hidden="false" customHeight="false" outlineLevel="0" collapsed="false">
      <c r="A805" s="32" t="str">
        <f aca="false">IF(OR(TRIM(C805)="",SUBSTITUTE(C805," ","")="소계"),"제외",IF(ISNUMBER(SEARCH("홍콩",C805)),"HK",IF(ISNUMBER(SEARCH("상해",C805)),"CN",IF(ISNUMBER(SEARCH("대만",C805)),"TW","홀세일"))))</f>
        <v>CN</v>
      </c>
      <c r="B805" s="36" t="s">
        <v>1019</v>
      </c>
      <c r="C805" s="37" t="s">
        <v>1020</v>
      </c>
      <c r="D805" s="37" t="s">
        <v>664</v>
      </c>
      <c r="E805" s="36" t="n">
        <v>2026</v>
      </c>
      <c r="F805" s="37" t="s">
        <v>219</v>
      </c>
      <c r="G805" s="37" t="s">
        <v>124</v>
      </c>
      <c r="H805" s="36" t="s">
        <v>131</v>
      </c>
      <c r="I805" s="36" t="s">
        <v>980</v>
      </c>
      <c r="J805" s="37" t="s">
        <v>311</v>
      </c>
      <c r="K805" s="38" t="n">
        <v>664</v>
      </c>
      <c r="L805" s="38" t="n">
        <v>59096000</v>
      </c>
      <c r="M805" s="38" t="n">
        <v>16005272</v>
      </c>
      <c r="N805" s="39" t="n">
        <f aca="false">IF(A805="제외",0,IF(OR(N(L805)&lt;=0,N(M805)&gt;N(L805)),N(M805)/요약!$D$27,N(L805)))</f>
        <v>59096000</v>
      </c>
      <c r="O805" s="32" t="str">
        <f aca="false">IF(A805="제외","",IF(OR(N(L805)&lt;=0,N(M805)&gt;N(L805)),"택가보정(판매금액÷공급율)",""))</f>
        <v/>
      </c>
      <c r="P805" s="0" t="str">
        <f aca="false">IF(A805="HK","100",IF(A805="CN","200",IF(A805="TW","300",IF(ISNUMBER(SEARCH("태국",C805)),"500",IF(ISNUMBER(SEARCH("말레이",C805)),"600",IF(ISNUMBER(SEARCH("필리핀",C805)),"700",IF(ISNUMBER(SEARCH("인도네시아",C805)),"800",IF(ISNUMBER(SEARCH("크루즈",C805)),"810",IF(ISNUMBER(SEARCH("동물원",C805)),"830","")))))))))</f>
        <v>200</v>
      </c>
    </row>
    <row r="806" customFormat="false" ht="15" hidden="false" customHeight="false" outlineLevel="0" collapsed="false">
      <c r="A806" s="32" t="str">
        <f aca="false">IF(OR(TRIM(C806)="",SUBSTITUTE(C806," ","")="소계"),"제외",IF(ISNUMBER(SEARCH("홍콩",C806)),"HK",IF(ISNUMBER(SEARCH("상해",C806)),"CN",IF(ISNUMBER(SEARCH("대만",C806)),"TW","홀세일"))))</f>
        <v>CN</v>
      </c>
      <c r="B806" s="36" t="s">
        <v>1019</v>
      </c>
      <c r="C806" s="37" t="s">
        <v>1020</v>
      </c>
      <c r="D806" s="37" t="s">
        <v>664</v>
      </c>
      <c r="E806" s="36" t="n">
        <v>2026</v>
      </c>
      <c r="F806" s="37" t="s">
        <v>219</v>
      </c>
      <c r="G806" s="37" t="s">
        <v>124</v>
      </c>
      <c r="H806" s="36" t="s">
        <v>131</v>
      </c>
      <c r="I806" s="36" t="s">
        <v>671</v>
      </c>
      <c r="J806" s="37" t="s">
        <v>672</v>
      </c>
      <c r="K806" s="38" t="n">
        <v>302</v>
      </c>
      <c r="L806" s="38" t="n">
        <v>20838000</v>
      </c>
      <c r="M806" s="38" t="n">
        <v>6077560</v>
      </c>
      <c r="N806" s="39" t="n">
        <f aca="false">IF(A806="제외",0,IF(OR(N(L806)&lt;=0,N(M806)&gt;N(L806)),N(M806)/요약!$D$27,N(L806)))</f>
        <v>20838000</v>
      </c>
      <c r="O806" s="32" t="str">
        <f aca="false">IF(A806="제외","",IF(OR(N(L806)&lt;=0,N(M806)&gt;N(L806)),"택가보정(판매금액÷공급율)",""))</f>
        <v/>
      </c>
      <c r="P806" s="0" t="str">
        <f aca="false">IF(A806="HK","100",IF(A806="CN","200",IF(A806="TW","300",IF(ISNUMBER(SEARCH("태국",C806)),"500",IF(ISNUMBER(SEARCH("말레이",C806)),"600",IF(ISNUMBER(SEARCH("필리핀",C806)),"700",IF(ISNUMBER(SEARCH("인도네시아",C806)),"800",IF(ISNUMBER(SEARCH("크루즈",C806)),"810",IF(ISNUMBER(SEARCH("동물원",C806)),"830","")))))))))</f>
        <v>200</v>
      </c>
    </row>
    <row r="807" customFormat="false" ht="15" hidden="false" customHeight="false" outlineLevel="0" collapsed="false">
      <c r="A807" s="32" t="str">
        <f aca="false">IF(OR(TRIM(C807)="",SUBSTITUTE(C807," ","")="소계"),"제외",IF(ISNUMBER(SEARCH("홍콩",C807)),"HK",IF(ISNUMBER(SEARCH("상해",C807)),"CN",IF(ISNUMBER(SEARCH("대만",C807)),"TW","홀세일"))))</f>
        <v>CN</v>
      </c>
      <c r="B807" s="36" t="s">
        <v>1019</v>
      </c>
      <c r="C807" s="37" t="s">
        <v>1020</v>
      </c>
      <c r="D807" s="37" t="s">
        <v>664</v>
      </c>
      <c r="E807" s="36" t="n">
        <v>2026</v>
      </c>
      <c r="F807" s="37" t="s">
        <v>219</v>
      </c>
      <c r="G807" s="37" t="s">
        <v>124</v>
      </c>
      <c r="H807" s="36" t="s">
        <v>673</v>
      </c>
      <c r="I807" s="36" t="s">
        <v>1144</v>
      </c>
      <c r="J807" s="37" t="s">
        <v>1145</v>
      </c>
      <c r="K807" s="38" t="n">
        <v>763</v>
      </c>
      <c r="L807" s="38" t="n">
        <v>60277000</v>
      </c>
      <c r="M807" s="38" t="n">
        <v>16698754</v>
      </c>
      <c r="N807" s="39" t="n">
        <f aca="false">IF(A807="제외",0,IF(OR(N(L807)&lt;=0,N(M807)&gt;N(L807)),N(M807)/요약!$D$27,N(L807)))</f>
        <v>60277000</v>
      </c>
      <c r="O807" s="32" t="str">
        <f aca="false">IF(A807="제외","",IF(OR(N(L807)&lt;=0,N(M807)&gt;N(L807)),"택가보정(판매금액÷공급율)",""))</f>
        <v/>
      </c>
      <c r="P807" s="0" t="str">
        <f aca="false">IF(A807="HK","100",IF(A807="CN","200",IF(A807="TW","300",IF(ISNUMBER(SEARCH("태국",C807)),"500",IF(ISNUMBER(SEARCH("말레이",C807)),"600",IF(ISNUMBER(SEARCH("필리핀",C807)),"700",IF(ISNUMBER(SEARCH("인도네시아",C807)),"800",IF(ISNUMBER(SEARCH("크루즈",C807)),"810",IF(ISNUMBER(SEARCH("동물원",C807)),"830","")))))))))</f>
        <v>200</v>
      </c>
    </row>
    <row r="808" customFormat="false" ht="15" hidden="false" customHeight="false" outlineLevel="0" collapsed="false">
      <c r="A808" s="32" t="str">
        <f aca="false">IF(OR(TRIM(C808)="",SUBSTITUTE(C808," ","")="소계"),"제외",IF(ISNUMBER(SEARCH("홍콩",C808)),"HK",IF(ISNUMBER(SEARCH("상해",C808)),"CN",IF(ISNUMBER(SEARCH("대만",C808)),"TW","홀세일"))))</f>
        <v>CN</v>
      </c>
      <c r="B808" s="36" t="s">
        <v>1019</v>
      </c>
      <c r="C808" s="37" t="s">
        <v>1020</v>
      </c>
      <c r="D808" s="37" t="s">
        <v>664</v>
      </c>
      <c r="E808" s="36" t="n">
        <v>2026</v>
      </c>
      <c r="F808" s="37" t="s">
        <v>219</v>
      </c>
      <c r="G808" s="37" t="s">
        <v>124</v>
      </c>
      <c r="H808" s="36" t="s">
        <v>673</v>
      </c>
      <c r="I808" s="36" t="s">
        <v>1146</v>
      </c>
      <c r="J808" s="37" t="s">
        <v>1147</v>
      </c>
      <c r="K808" s="38" t="n">
        <v>552</v>
      </c>
      <c r="L808" s="38" t="n">
        <v>43608000</v>
      </c>
      <c r="M808" s="38" t="n">
        <v>9550564</v>
      </c>
      <c r="N808" s="39" t="n">
        <f aca="false">IF(A808="제외",0,IF(OR(N(L808)&lt;=0,N(M808)&gt;N(L808)),N(M808)/요약!$D$27,N(L808)))</f>
        <v>43608000</v>
      </c>
      <c r="O808" s="32" t="str">
        <f aca="false">IF(A808="제외","",IF(OR(N(L808)&lt;=0,N(M808)&gt;N(L808)),"택가보정(판매금액÷공급율)",""))</f>
        <v/>
      </c>
      <c r="P808" s="0" t="str">
        <f aca="false">IF(A808="HK","100",IF(A808="CN","200",IF(A808="TW","300",IF(ISNUMBER(SEARCH("태국",C808)),"500",IF(ISNUMBER(SEARCH("말레이",C808)),"600",IF(ISNUMBER(SEARCH("필리핀",C808)),"700",IF(ISNUMBER(SEARCH("인도네시아",C808)),"800",IF(ISNUMBER(SEARCH("크루즈",C808)),"810",IF(ISNUMBER(SEARCH("동물원",C808)),"830","")))))))))</f>
        <v>200</v>
      </c>
    </row>
    <row r="809" customFormat="false" ht="15" hidden="false" customHeight="false" outlineLevel="0" collapsed="false">
      <c r="A809" s="32" t="str">
        <f aca="false">IF(OR(TRIM(C809)="",SUBSTITUTE(C809," ","")="소계"),"제외",IF(ISNUMBER(SEARCH("홍콩",C809)),"HK",IF(ISNUMBER(SEARCH("상해",C809)),"CN",IF(ISNUMBER(SEARCH("대만",C809)),"TW","홀세일"))))</f>
        <v>CN</v>
      </c>
      <c r="B809" s="36" t="s">
        <v>1019</v>
      </c>
      <c r="C809" s="37" t="s">
        <v>1020</v>
      </c>
      <c r="D809" s="37" t="s">
        <v>664</v>
      </c>
      <c r="E809" s="36" t="n">
        <v>2026</v>
      </c>
      <c r="F809" s="37" t="s">
        <v>219</v>
      </c>
      <c r="G809" s="37" t="s">
        <v>124</v>
      </c>
      <c r="H809" s="36" t="s">
        <v>188</v>
      </c>
      <c r="I809" s="36" t="s">
        <v>688</v>
      </c>
      <c r="J809" s="36" t="s">
        <v>689</v>
      </c>
      <c r="K809" s="38" t="n">
        <v>497</v>
      </c>
      <c r="L809" s="38" t="n">
        <v>79023000</v>
      </c>
      <c r="M809" s="38" t="n">
        <v>25083792</v>
      </c>
      <c r="N809" s="39" t="n">
        <f aca="false">IF(A809="제외",0,IF(OR(N(L809)&lt;=0,N(M809)&gt;N(L809)),N(M809)/요약!$D$27,N(L809)))</f>
        <v>79023000</v>
      </c>
      <c r="O809" s="32" t="str">
        <f aca="false">IF(A809="제외","",IF(OR(N(L809)&lt;=0,N(M809)&gt;N(L809)),"택가보정(판매금액÷공급율)",""))</f>
        <v/>
      </c>
      <c r="P809" s="0" t="str">
        <f aca="false">IF(A809="HK","100",IF(A809="CN","200",IF(A809="TW","300",IF(ISNUMBER(SEARCH("태국",C809)),"500",IF(ISNUMBER(SEARCH("말레이",C809)),"600",IF(ISNUMBER(SEARCH("필리핀",C809)),"700",IF(ISNUMBER(SEARCH("인도네시아",C809)),"800",IF(ISNUMBER(SEARCH("크루즈",C809)),"810",IF(ISNUMBER(SEARCH("동물원",C809)),"830","")))))))))</f>
        <v>200</v>
      </c>
    </row>
    <row r="810" customFormat="false" ht="15" hidden="false" customHeight="false" outlineLevel="0" collapsed="false">
      <c r="A810" s="32" t="str">
        <f aca="false">IF(OR(TRIM(C810)="",SUBSTITUTE(C810," ","")="소계"),"제외",IF(ISNUMBER(SEARCH("홍콩",C810)),"HK",IF(ISNUMBER(SEARCH("상해",C810)),"CN",IF(ISNUMBER(SEARCH("대만",C810)),"TW","홀세일"))))</f>
        <v>CN</v>
      </c>
      <c r="B810" s="36" t="s">
        <v>1019</v>
      </c>
      <c r="C810" s="37" t="s">
        <v>1020</v>
      </c>
      <c r="D810" s="37" t="s">
        <v>664</v>
      </c>
      <c r="E810" s="36" t="n">
        <v>2026</v>
      </c>
      <c r="F810" s="37" t="s">
        <v>219</v>
      </c>
      <c r="G810" s="37" t="s">
        <v>124</v>
      </c>
      <c r="H810" s="36" t="s">
        <v>188</v>
      </c>
      <c r="I810" s="36" t="s">
        <v>690</v>
      </c>
      <c r="J810" s="36" t="s">
        <v>691</v>
      </c>
      <c r="K810" s="38" t="n">
        <v>745</v>
      </c>
      <c r="L810" s="38" t="n">
        <v>96105000</v>
      </c>
      <c r="M810" s="38" t="n">
        <v>29943785</v>
      </c>
      <c r="N810" s="39" t="n">
        <f aca="false">IF(A810="제외",0,IF(OR(N(L810)&lt;=0,N(M810)&gt;N(L810)),N(M810)/요약!$D$27,N(L810)))</f>
        <v>96105000</v>
      </c>
      <c r="O810" s="32" t="str">
        <f aca="false">IF(A810="제외","",IF(OR(N(L810)&lt;=0,N(M810)&gt;N(L810)),"택가보정(판매금액÷공급율)",""))</f>
        <v/>
      </c>
      <c r="P810" s="0" t="str">
        <f aca="false">IF(A810="HK","100",IF(A810="CN","200",IF(A810="TW","300",IF(ISNUMBER(SEARCH("태국",C810)),"500",IF(ISNUMBER(SEARCH("말레이",C810)),"600",IF(ISNUMBER(SEARCH("필리핀",C810)),"700",IF(ISNUMBER(SEARCH("인도네시아",C810)),"800",IF(ISNUMBER(SEARCH("크루즈",C810)),"810",IF(ISNUMBER(SEARCH("동물원",C810)),"830","")))))))))</f>
        <v>200</v>
      </c>
    </row>
    <row r="811" customFormat="false" ht="15" hidden="false" customHeight="false" outlineLevel="0" collapsed="false">
      <c r="A811" s="32" t="str">
        <f aca="false">IF(OR(TRIM(C811)="",SUBSTITUTE(C811," ","")="소계"),"제외",IF(ISNUMBER(SEARCH("홍콩",C811)),"HK",IF(ISNUMBER(SEARCH("상해",C811)),"CN",IF(ISNUMBER(SEARCH("대만",C811)),"TW","홀세일"))))</f>
        <v>CN</v>
      </c>
      <c r="B811" s="36" t="s">
        <v>1019</v>
      </c>
      <c r="C811" s="37" t="s">
        <v>1020</v>
      </c>
      <c r="D811" s="37" t="s">
        <v>664</v>
      </c>
      <c r="E811" s="36" t="n">
        <v>2026</v>
      </c>
      <c r="F811" s="37" t="s">
        <v>219</v>
      </c>
      <c r="G811" s="37" t="s">
        <v>124</v>
      </c>
      <c r="H811" s="36" t="s">
        <v>188</v>
      </c>
      <c r="I811" s="36" t="s">
        <v>692</v>
      </c>
      <c r="J811" s="36" t="s">
        <v>693</v>
      </c>
      <c r="K811" s="38" t="n">
        <v>287</v>
      </c>
      <c r="L811" s="38" t="n">
        <v>42763000</v>
      </c>
      <c r="M811" s="38" t="n">
        <v>12636680</v>
      </c>
      <c r="N811" s="39" t="n">
        <f aca="false">IF(A811="제외",0,IF(OR(N(L811)&lt;=0,N(M811)&gt;N(L811)),N(M811)/요약!$D$27,N(L811)))</f>
        <v>42763000</v>
      </c>
      <c r="O811" s="32" t="str">
        <f aca="false">IF(A811="제외","",IF(OR(N(L811)&lt;=0,N(M811)&gt;N(L811)),"택가보정(판매금액÷공급율)",""))</f>
        <v/>
      </c>
      <c r="P811" s="0" t="str">
        <f aca="false">IF(A811="HK","100",IF(A811="CN","200",IF(A811="TW","300",IF(ISNUMBER(SEARCH("태국",C811)),"500",IF(ISNUMBER(SEARCH("말레이",C811)),"600",IF(ISNUMBER(SEARCH("필리핀",C811)),"700",IF(ISNUMBER(SEARCH("인도네시아",C811)),"800",IF(ISNUMBER(SEARCH("크루즈",C811)),"810",IF(ISNUMBER(SEARCH("동물원",C811)),"830","")))))))))</f>
        <v>200</v>
      </c>
    </row>
    <row r="812" customFormat="false" ht="15" hidden="false" customHeight="false" outlineLevel="0" collapsed="false">
      <c r="A812" s="32" t="str">
        <f aca="false">IF(OR(TRIM(C812)="",SUBSTITUTE(C812," ","")="소계"),"제외",IF(ISNUMBER(SEARCH("홍콩",C812)),"HK",IF(ISNUMBER(SEARCH("상해",C812)),"CN",IF(ISNUMBER(SEARCH("대만",C812)),"TW","홀세일"))))</f>
        <v>CN</v>
      </c>
      <c r="B812" s="36" t="s">
        <v>1019</v>
      </c>
      <c r="C812" s="37" t="s">
        <v>1020</v>
      </c>
      <c r="D812" s="37" t="s">
        <v>664</v>
      </c>
      <c r="E812" s="36" t="n">
        <v>2026</v>
      </c>
      <c r="F812" s="37" t="s">
        <v>219</v>
      </c>
      <c r="G812" s="37" t="s">
        <v>124</v>
      </c>
      <c r="H812" s="36" t="s">
        <v>188</v>
      </c>
      <c r="I812" s="36" t="s">
        <v>694</v>
      </c>
      <c r="J812" s="36" t="s">
        <v>695</v>
      </c>
      <c r="K812" s="38" t="n">
        <v>473</v>
      </c>
      <c r="L812" s="38" t="n">
        <v>56287000</v>
      </c>
      <c r="M812" s="38" t="n">
        <v>18024071</v>
      </c>
      <c r="N812" s="39" t="n">
        <f aca="false">IF(A812="제외",0,IF(OR(N(L812)&lt;=0,N(M812)&gt;N(L812)),N(M812)/요약!$D$27,N(L812)))</f>
        <v>56287000</v>
      </c>
      <c r="O812" s="32" t="str">
        <f aca="false">IF(A812="제외","",IF(OR(N(L812)&lt;=0,N(M812)&gt;N(L812)),"택가보정(판매금액÷공급율)",""))</f>
        <v/>
      </c>
      <c r="P812" s="0" t="str">
        <f aca="false">IF(A812="HK","100",IF(A812="CN","200",IF(A812="TW","300",IF(ISNUMBER(SEARCH("태국",C812)),"500",IF(ISNUMBER(SEARCH("말레이",C812)),"600",IF(ISNUMBER(SEARCH("필리핀",C812)),"700",IF(ISNUMBER(SEARCH("인도네시아",C812)),"800",IF(ISNUMBER(SEARCH("크루즈",C812)),"810",IF(ISNUMBER(SEARCH("동물원",C812)),"830","")))))))))</f>
        <v>200</v>
      </c>
    </row>
    <row r="813" customFormat="false" ht="15" hidden="false" customHeight="false" outlineLevel="0" collapsed="false">
      <c r="A813" s="32" t="str">
        <f aca="false">IF(OR(TRIM(C813)="",SUBSTITUTE(C813," ","")="소계"),"제외",IF(ISNUMBER(SEARCH("홍콩",C813)),"HK",IF(ISNUMBER(SEARCH("상해",C813)),"CN",IF(ISNUMBER(SEARCH("대만",C813)),"TW","홀세일"))))</f>
        <v>CN</v>
      </c>
      <c r="B813" s="36" t="s">
        <v>1019</v>
      </c>
      <c r="C813" s="37" t="s">
        <v>1020</v>
      </c>
      <c r="D813" s="37" t="s">
        <v>664</v>
      </c>
      <c r="E813" s="36" t="n">
        <v>2026</v>
      </c>
      <c r="F813" s="37" t="s">
        <v>219</v>
      </c>
      <c r="G813" s="37" t="s">
        <v>124</v>
      </c>
      <c r="H813" s="36" t="s">
        <v>188</v>
      </c>
      <c r="I813" s="36" t="s">
        <v>696</v>
      </c>
      <c r="J813" s="36" t="s">
        <v>697</v>
      </c>
      <c r="K813" s="38" t="n">
        <v>541</v>
      </c>
      <c r="L813" s="38" t="n">
        <v>80609000</v>
      </c>
      <c r="M813" s="38" t="n">
        <v>27946245</v>
      </c>
      <c r="N813" s="39" t="n">
        <f aca="false">IF(A813="제외",0,IF(OR(N(L813)&lt;=0,N(M813)&gt;N(L813)),N(M813)/요약!$D$27,N(L813)))</f>
        <v>80609000</v>
      </c>
      <c r="O813" s="32" t="str">
        <f aca="false">IF(A813="제외","",IF(OR(N(L813)&lt;=0,N(M813)&gt;N(L813)),"택가보정(판매금액÷공급율)",""))</f>
        <v/>
      </c>
      <c r="P813" s="0" t="str">
        <f aca="false">IF(A813="HK","100",IF(A813="CN","200",IF(A813="TW","300",IF(ISNUMBER(SEARCH("태국",C813)),"500",IF(ISNUMBER(SEARCH("말레이",C813)),"600",IF(ISNUMBER(SEARCH("필리핀",C813)),"700",IF(ISNUMBER(SEARCH("인도네시아",C813)),"800",IF(ISNUMBER(SEARCH("크루즈",C813)),"810",IF(ISNUMBER(SEARCH("동물원",C813)),"830","")))))))))</f>
        <v>200</v>
      </c>
    </row>
    <row r="814" customFormat="false" ht="15" hidden="false" customHeight="false" outlineLevel="0" collapsed="false">
      <c r="A814" s="32" t="str">
        <f aca="false">IF(OR(TRIM(C814)="",SUBSTITUTE(C814," ","")="소계"),"제외",IF(ISNUMBER(SEARCH("홍콩",C814)),"HK",IF(ISNUMBER(SEARCH("상해",C814)),"CN",IF(ISNUMBER(SEARCH("대만",C814)),"TW","홀세일"))))</f>
        <v>CN</v>
      </c>
      <c r="B814" s="36" t="s">
        <v>1019</v>
      </c>
      <c r="C814" s="37" t="s">
        <v>1020</v>
      </c>
      <c r="D814" s="37" t="s">
        <v>664</v>
      </c>
      <c r="E814" s="36" t="n">
        <v>2026</v>
      </c>
      <c r="F814" s="37" t="s">
        <v>219</v>
      </c>
      <c r="G814" s="37" t="s">
        <v>124</v>
      </c>
      <c r="H814" s="36" t="s">
        <v>188</v>
      </c>
      <c r="I814" s="36" t="s">
        <v>1005</v>
      </c>
      <c r="J814" s="36" t="s">
        <v>1006</v>
      </c>
      <c r="K814" s="38" t="n">
        <v>1081</v>
      </c>
      <c r="L814" s="38" t="n">
        <v>182689000</v>
      </c>
      <c r="M814" s="38" t="n">
        <v>58010133</v>
      </c>
      <c r="N814" s="39" t="n">
        <f aca="false">IF(A814="제외",0,IF(OR(N(L814)&lt;=0,N(M814)&gt;N(L814)),N(M814)/요약!$D$27,N(L814)))</f>
        <v>182689000</v>
      </c>
      <c r="O814" s="32" t="str">
        <f aca="false">IF(A814="제외","",IF(OR(N(L814)&lt;=0,N(M814)&gt;N(L814)),"택가보정(판매금액÷공급율)",""))</f>
        <v/>
      </c>
      <c r="P814" s="0" t="str">
        <f aca="false">IF(A814="HK","100",IF(A814="CN","200",IF(A814="TW","300",IF(ISNUMBER(SEARCH("태국",C814)),"500",IF(ISNUMBER(SEARCH("말레이",C814)),"600",IF(ISNUMBER(SEARCH("필리핀",C814)),"700",IF(ISNUMBER(SEARCH("인도네시아",C814)),"800",IF(ISNUMBER(SEARCH("크루즈",C814)),"810",IF(ISNUMBER(SEARCH("동물원",C814)),"830","")))))))))</f>
        <v>200</v>
      </c>
    </row>
    <row r="815" customFormat="false" ht="15" hidden="false" customHeight="false" outlineLevel="0" collapsed="false">
      <c r="A815" s="32" t="str">
        <f aca="false">IF(OR(TRIM(C815)="",SUBSTITUTE(C815," ","")="소계"),"제외",IF(ISNUMBER(SEARCH("홍콩",C815)),"HK",IF(ISNUMBER(SEARCH("상해",C815)),"CN",IF(ISNUMBER(SEARCH("대만",C815)),"TW","홀세일"))))</f>
        <v>CN</v>
      </c>
      <c r="B815" s="36" t="s">
        <v>1019</v>
      </c>
      <c r="C815" s="37" t="s">
        <v>1020</v>
      </c>
      <c r="D815" s="37" t="s">
        <v>664</v>
      </c>
      <c r="E815" s="36" t="n">
        <v>2026</v>
      </c>
      <c r="F815" s="37" t="s">
        <v>219</v>
      </c>
      <c r="G815" s="37" t="s">
        <v>124</v>
      </c>
      <c r="H815" s="36" t="s">
        <v>188</v>
      </c>
      <c r="I815" s="36" t="s">
        <v>1007</v>
      </c>
      <c r="J815" s="36" t="s">
        <v>1008</v>
      </c>
      <c r="K815" s="38" t="n">
        <v>458</v>
      </c>
      <c r="L815" s="38" t="n">
        <v>63662000</v>
      </c>
      <c r="M815" s="38" t="n">
        <v>21619698</v>
      </c>
      <c r="N815" s="39" t="n">
        <f aca="false">IF(A815="제외",0,IF(OR(N(L815)&lt;=0,N(M815)&gt;N(L815)),N(M815)/요약!$D$27,N(L815)))</f>
        <v>63662000</v>
      </c>
      <c r="O815" s="32" t="str">
        <f aca="false">IF(A815="제외","",IF(OR(N(L815)&lt;=0,N(M815)&gt;N(L815)),"택가보정(판매금액÷공급율)",""))</f>
        <v/>
      </c>
      <c r="P815" s="0" t="str">
        <f aca="false">IF(A815="HK","100",IF(A815="CN","200",IF(A815="TW","300",IF(ISNUMBER(SEARCH("태국",C815)),"500",IF(ISNUMBER(SEARCH("말레이",C815)),"600",IF(ISNUMBER(SEARCH("필리핀",C815)),"700",IF(ISNUMBER(SEARCH("인도네시아",C815)),"800",IF(ISNUMBER(SEARCH("크루즈",C815)),"810",IF(ISNUMBER(SEARCH("동물원",C815)),"830","")))))))))</f>
        <v>200</v>
      </c>
    </row>
    <row r="816" customFormat="false" ht="15" hidden="false" customHeight="false" outlineLevel="0" collapsed="false">
      <c r="A816" s="32" t="str">
        <f aca="false">IF(OR(TRIM(C816)="",SUBSTITUTE(C816," ","")="소계"),"제외",IF(ISNUMBER(SEARCH("홍콩",C816)),"HK",IF(ISNUMBER(SEARCH("상해",C816)),"CN",IF(ISNUMBER(SEARCH("대만",C816)),"TW","홀세일"))))</f>
        <v>CN</v>
      </c>
      <c r="B816" s="36" t="s">
        <v>1019</v>
      </c>
      <c r="C816" s="37" t="s">
        <v>1020</v>
      </c>
      <c r="D816" s="37" t="s">
        <v>664</v>
      </c>
      <c r="E816" s="36" t="n">
        <v>2026</v>
      </c>
      <c r="F816" s="37" t="s">
        <v>219</v>
      </c>
      <c r="G816" s="37" t="s">
        <v>124</v>
      </c>
      <c r="H816" s="36" t="s">
        <v>188</v>
      </c>
      <c r="I816" s="36" t="s">
        <v>1148</v>
      </c>
      <c r="J816" s="36" t="s">
        <v>1149</v>
      </c>
      <c r="K816" s="38" t="n">
        <v>1081</v>
      </c>
      <c r="L816" s="38" t="n">
        <v>204309000</v>
      </c>
      <c r="M816" s="38" t="n">
        <v>51489308</v>
      </c>
      <c r="N816" s="39" t="n">
        <f aca="false">IF(A816="제외",0,IF(OR(N(L816)&lt;=0,N(M816)&gt;N(L816)),N(M816)/요약!$D$27,N(L816)))</f>
        <v>204309000</v>
      </c>
      <c r="O816" s="32" t="str">
        <f aca="false">IF(A816="제외","",IF(OR(N(L816)&lt;=0,N(M816)&gt;N(L816)),"택가보정(판매금액÷공급율)",""))</f>
        <v/>
      </c>
      <c r="P816" s="0" t="str">
        <f aca="false">IF(A816="HK","100",IF(A816="CN","200",IF(A816="TW","300",IF(ISNUMBER(SEARCH("태국",C816)),"500",IF(ISNUMBER(SEARCH("말레이",C816)),"600",IF(ISNUMBER(SEARCH("필리핀",C816)),"700",IF(ISNUMBER(SEARCH("인도네시아",C816)),"800",IF(ISNUMBER(SEARCH("크루즈",C816)),"810",IF(ISNUMBER(SEARCH("동물원",C816)),"830","")))))))))</f>
        <v>200</v>
      </c>
    </row>
    <row r="817" customFormat="false" ht="15" hidden="false" customHeight="false" outlineLevel="0" collapsed="false">
      <c r="A817" s="32" t="str">
        <f aca="false">IF(OR(TRIM(C817)="",SUBSTITUTE(C817," ","")="소계"),"제외",IF(ISNUMBER(SEARCH("홍콩",C817)),"HK",IF(ISNUMBER(SEARCH("상해",C817)),"CN",IF(ISNUMBER(SEARCH("대만",C817)),"TW","홀세일"))))</f>
        <v>CN</v>
      </c>
      <c r="B817" s="36" t="s">
        <v>1019</v>
      </c>
      <c r="C817" s="37" t="s">
        <v>1020</v>
      </c>
      <c r="D817" s="37" t="s">
        <v>664</v>
      </c>
      <c r="E817" s="36" t="n">
        <v>2026</v>
      </c>
      <c r="F817" s="37" t="s">
        <v>219</v>
      </c>
      <c r="G817" s="37" t="s">
        <v>124</v>
      </c>
      <c r="H817" s="36" t="s">
        <v>188</v>
      </c>
      <c r="I817" s="36" t="s">
        <v>700</v>
      </c>
      <c r="J817" s="36" t="s">
        <v>701</v>
      </c>
      <c r="K817" s="38" t="n">
        <v>635</v>
      </c>
      <c r="L817" s="38" t="n">
        <v>100965000</v>
      </c>
      <c r="M817" s="38" t="n">
        <v>26852837</v>
      </c>
      <c r="N817" s="39" t="n">
        <f aca="false">IF(A817="제외",0,IF(OR(N(L817)&lt;=0,N(M817)&gt;N(L817)),N(M817)/요약!$D$27,N(L817)))</f>
        <v>100965000</v>
      </c>
      <c r="O817" s="32" t="str">
        <f aca="false">IF(A817="제외","",IF(OR(N(L817)&lt;=0,N(M817)&gt;N(L817)),"택가보정(판매금액÷공급율)",""))</f>
        <v/>
      </c>
      <c r="P817" s="0" t="str">
        <f aca="false">IF(A817="HK","100",IF(A817="CN","200",IF(A817="TW","300",IF(ISNUMBER(SEARCH("태국",C817)),"500",IF(ISNUMBER(SEARCH("말레이",C817)),"600",IF(ISNUMBER(SEARCH("필리핀",C817)),"700",IF(ISNUMBER(SEARCH("인도네시아",C817)),"800",IF(ISNUMBER(SEARCH("크루즈",C817)),"810",IF(ISNUMBER(SEARCH("동물원",C817)),"830","")))))))))</f>
        <v>200</v>
      </c>
    </row>
    <row r="818" customFormat="false" ht="15" hidden="false" customHeight="false" outlineLevel="0" collapsed="false">
      <c r="A818" s="32" t="str">
        <f aca="false">IF(OR(TRIM(C818)="",SUBSTITUTE(C818," ","")="소계"),"제외",IF(ISNUMBER(SEARCH("홍콩",C818)),"HK",IF(ISNUMBER(SEARCH("상해",C818)),"CN",IF(ISNUMBER(SEARCH("대만",C818)),"TW","홀세일"))))</f>
        <v>CN</v>
      </c>
      <c r="B818" s="36" t="s">
        <v>1019</v>
      </c>
      <c r="C818" s="37" t="s">
        <v>1020</v>
      </c>
      <c r="D818" s="37" t="s">
        <v>664</v>
      </c>
      <c r="E818" s="36" t="n">
        <v>2026</v>
      </c>
      <c r="F818" s="37" t="s">
        <v>219</v>
      </c>
      <c r="G818" s="37" t="s">
        <v>124</v>
      </c>
      <c r="H818" s="36" t="s">
        <v>188</v>
      </c>
      <c r="I818" s="36" t="s">
        <v>1009</v>
      </c>
      <c r="J818" s="36" t="s">
        <v>1010</v>
      </c>
      <c r="K818" s="38" t="n">
        <v>412</v>
      </c>
      <c r="L818" s="38" t="n">
        <v>61388000</v>
      </c>
      <c r="M818" s="38" t="n">
        <v>18248493</v>
      </c>
      <c r="N818" s="39" t="n">
        <f aca="false">IF(A818="제외",0,IF(OR(N(L818)&lt;=0,N(M818)&gt;N(L818)),N(M818)/요약!$D$27,N(L818)))</f>
        <v>61388000</v>
      </c>
      <c r="O818" s="32" t="str">
        <f aca="false">IF(A818="제외","",IF(OR(N(L818)&lt;=0,N(M818)&gt;N(L818)),"택가보정(판매금액÷공급율)",""))</f>
        <v/>
      </c>
      <c r="P818" s="0" t="str">
        <f aca="false">IF(A818="HK","100",IF(A818="CN","200",IF(A818="TW","300",IF(ISNUMBER(SEARCH("태국",C818)),"500",IF(ISNUMBER(SEARCH("말레이",C818)),"600",IF(ISNUMBER(SEARCH("필리핀",C818)),"700",IF(ISNUMBER(SEARCH("인도네시아",C818)),"800",IF(ISNUMBER(SEARCH("크루즈",C818)),"810",IF(ISNUMBER(SEARCH("동물원",C818)),"830","")))))))))</f>
        <v>200</v>
      </c>
    </row>
    <row r="819" customFormat="false" ht="15" hidden="false" customHeight="false" outlineLevel="0" collapsed="false">
      <c r="A819" s="32" t="str">
        <f aca="false">IF(OR(TRIM(C819)="",SUBSTITUTE(C819," ","")="소계"),"제외",IF(ISNUMBER(SEARCH("홍콩",C819)),"HK",IF(ISNUMBER(SEARCH("상해",C819)),"CN",IF(ISNUMBER(SEARCH("대만",C819)),"TW","홀세일"))))</f>
        <v>CN</v>
      </c>
      <c r="B819" s="36" t="s">
        <v>1019</v>
      </c>
      <c r="C819" s="37" t="s">
        <v>1020</v>
      </c>
      <c r="D819" s="37" t="s">
        <v>664</v>
      </c>
      <c r="E819" s="36" t="n">
        <v>2026</v>
      </c>
      <c r="F819" s="37" t="s">
        <v>219</v>
      </c>
      <c r="G819" s="37" t="s">
        <v>124</v>
      </c>
      <c r="H819" s="36" t="s">
        <v>188</v>
      </c>
      <c r="I819" s="36" t="s">
        <v>1150</v>
      </c>
      <c r="J819" s="36" t="s">
        <v>1151</v>
      </c>
      <c r="K819" s="38" t="n">
        <v>1</v>
      </c>
      <c r="L819" s="38" t="n">
        <v>189000</v>
      </c>
      <c r="M819" s="38" t="n">
        <v>62741</v>
      </c>
      <c r="N819" s="39" t="n">
        <f aca="false">IF(A819="제외",0,IF(OR(N(L819)&lt;=0,N(M819)&gt;N(L819)),N(M819)/요약!$D$27,N(L819)))</f>
        <v>189000</v>
      </c>
      <c r="O819" s="32" t="str">
        <f aca="false">IF(A819="제외","",IF(OR(N(L819)&lt;=0,N(M819)&gt;N(L819)),"택가보정(판매금액÷공급율)",""))</f>
        <v/>
      </c>
      <c r="P819" s="0" t="str">
        <f aca="false">IF(A819="HK","100",IF(A819="CN","200",IF(A819="TW","300",IF(ISNUMBER(SEARCH("태국",C819)),"500",IF(ISNUMBER(SEARCH("말레이",C819)),"600",IF(ISNUMBER(SEARCH("필리핀",C819)),"700",IF(ISNUMBER(SEARCH("인도네시아",C819)),"800",IF(ISNUMBER(SEARCH("크루즈",C819)),"810",IF(ISNUMBER(SEARCH("동물원",C819)),"830","")))))))))</f>
        <v>200</v>
      </c>
    </row>
    <row r="820" customFormat="false" ht="15" hidden="false" customHeight="false" outlineLevel="0" collapsed="false">
      <c r="A820" s="32" t="str">
        <f aca="false">IF(OR(TRIM(C820)="",SUBSTITUTE(C820," ","")="소계"),"제외",IF(ISNUMBER(SEARCH("홍콩",C820)),"HK",IF(ISNUMBER(SEARCH("상해",C820)),"CN",IF(ISNUMBER(SEARCH("대만",C820)),"TW","홀세일"))))</f>
        <v>CN</v>
      </c>
      <c r="B820" s="36" t="s">
        <v>1019</v>
      </c>
      <c r="C820" s="37" t="s">
        <v>1020</v>
      </c>
      <c r="D820" s="37" t="s">
        <v>664</v>
      </c>
      <c r="E820" s="36" t="n">
        <v>2026</v>
      </c>
      <c r="F820" s="37" t="s">
        <v>219</v>
      </c>
      <c r="G820" s="37" t="s">
        <v>124</v>
      </c>
      <c r="H820" s="36" t="s">
        <v>188</v>
      </c>
      <c r="I820" s="36" t="s">
        <v>702</v>
      </c>
      <c r="J820" s="36" t="s">
        <v>703</v>
      </c>
      <c r="K820" s="38" t="n">
        <v>276</v>
      </c>
      <c r="L820" s="38" t="n">
        <v>46644000</v>
      </c>
      <c r="M820" s="38" t="n">
        <v>15920012</v>
      </c>
      <c r="N820" s="39" t="n">
        <f aca="false">IF(A820="제외",0,IF(OR(N(L820)&lt;=0,N(M820)&gt;N(L820)),N(M820)/요약!$D$27,N(L820)))</f>
        <v>46644000</v>
      </c>
      <c r="O820" s="32" t="str">
        <f aca="false">IF(A820="제외","",IF(OR(N(L820)&lt;=0,N(M820)&gt;N(L820)),"택가보정(판매금액÷공급율)",""))</f>
        <v/>
      </c>
      <c r="P820" s="0" t="str">
        <f aca="false">IF(A820="HK","100",IF(A820="CN","200",IF(A820="TW","300",IF(ISNUMBER(SEARCH("태국",C820)),"500",IF(ISNUMBER(SEARCH("말레이",C820)),"600",IF(ISNUMBER(SEARCH("필리핀",C820)),"700",IF(ISNUMBER(SEARCH("인도네시아",C820)),"800",IF(ISNUMBER(SEARCH("크루즈",C820)),"810",IF(ISNUMBER(SEARCH("동물원",C820)),"830","")))))))))</f>
        <v>200</v>
      </c>
    </row>
    <row r="821" customFormat="false" ht="15" hidden="false" customHeight="false" outlineLevel="0" collapsed="false">
      <c r="A821" s="32" t="str">
        <f aca="false">IF(OR(TRIM(C821)="",SUBSTITUTE(C821," ","")="소계"),"제외",IF(ISNUMBER(SEARCH("홍콩",C821)),"HK",IF(ISNUMBER(SEARCH("상해",C821)),"CN",IF(ISNUMBER(SEARCH("대만",C821)),"TW","홀세일"))))</f>
        <v>CN</v>
      </c>
      <c r="B821" s="36" t="s">
        <v>1019</v>
      </c>
      <c r="C821" s="37" t="s">
        <v>1020</v>
      </c>
      <c r="D821" s="37" t="s">
        <v>664</v>
      </c>
      <c r="E821" s="36" t="n">
        <v>2026</v>
      </c>
      <c r="F821" s="37" t="s">
        <v>219</v>
      </c>
      <c r="G821" s="37" t="s">
        <v>124</v>
      </c>
      <c r="H821" s="36" t="s">
        <v>188</v>
      </c>
      <c r="I821" s="36" t="s">
        <v>1152</v>
      </c>
      <c r="J821" s="36" t="s">
        <v>1153</v>
      </c>
      <c r="K821" s="38" t="n">
        <v>483</v>
      </c>
      <c r="L821" s="38" t="n">
        <v>42987000</v>
      </c>
      <c r="M821" s="38" t="n">
        <v>13315443</v>
      </c>
      <c r="N821" s="39" t="n">
        <f aca="false">IF(A821="제외",0,IF(OR(N(L821)&lt;=0,N(M821)&gt;N(L821)),N(M821)/요약!$D$27,N(L821)))</f>
        <v>42987000</v>
      </c>
      <c r="O821" s="32" t="str">
        <f aca="false">IF(A821="제외","",IF(OR(N(L821)&lt;=0,N(M821)&gt;N(L821)),"택가보정(판매금액÷공급율)",""))</f>
        <v/>
      </c>
      <c r="P821" s="0" t="str">
        <f aca="false">IF(A821="HK","100",IF(A821="CN","200",IF(A821="TW","300",IF(ISNUMBER(SEARCH("태국",C821)),"500",IF(ISNUMBER(SEARCH("말레이",C821)),"600",IF(ISNUMBER(SEARCH("필리핀",C821)),"700",IF(ISNUMBER(SEARCH("인도네시아",C821)),"800",IF(ISNUMBER(SEARCH("크루즈",C821)),"810",IF(ISNUMBER(SEARCH("동물원",C821)),"830","")))))))))</f>
        <v>200</v>
      </c>
    </row>
    <row r="822" customFormat="false" ht="15" hidden="false" customHeight="false" outlineLevel="0" collapsed="false">
      <c r="A822" s="32" t="str">
        <f aca="false">IF(OR(TRIM(C822)="",SUBSTITUTE(C822," ","")="소계"),"제외",IF(ISNUMBER(SEARCH("홍콩",C822)),"HK",IF(ISNUMBER(SEARCH("상해",C822)),"CN",IF(ISNUMBER(SEARCH("대만",C822)),"TW","홀세일"))))</f>
        <v>CN</v>
      </c>
      <c r="B822" s="36" t="s">
        <v>1019</v>
      </c>
      <c r="C822" s="37" t="s">
        <v>1020</v>
      </c>
      <c r="D822" s="37" t="s">
        <v>664</v>
      </c>
      <c r="E822" s="36" t="n">
        <v>2026</v>
      </c>
      <c r="F822" s="37" t="s">
        <v>219</v>
      </c>
      <c r="G822" s="37" t="s">
        <v>124</v>
      </c>
      <c r="H822" s="36" t="s">
        <v>188</v>
      </c>
      <c r="I822" s="36" t="s">
        <v>1154</v>
      </c>
      <c r="J822" s="36" t="s">
        <v>1155</v>
      </c>
      <c r="K822" s="38" t="n">
        <v>497</v>
      </c>
      <c r="L822" s="38" t="n">
        <v>54173000</v>
      </c>
      <c r="M822" s="38" t="n">
        <v>15942621</v>
      </c>
      <c r="N822" s="39" t="n">
        <f aca="false">IF(A822="제외",0,IF(OR(N(L822)&lt;=0,N(M822)&gt;N(L822)),N(M822)/요약!$D$27,N(L822)))</f>
        <v>54173000</v>
      </c>
      <c r="O822" s="32" t="str">
        <f aca="false">IF(A822="제외","",IF(OR(N(L822)&lt;=0,N(M822)&gt;N(L822)),"택가보정(판매금액÷공급율)",""))</f>
        <v/>
      </c>
      <c r="P822" s="0" t="str">
        <f aca="false">IF(A822="HK","100",IF(A822="CN","200",IF(A822="TW","300",IF(ISNUMBER(SEARCH("태국",C822)),"500",IF(ISNUMBER(SEARCH("말레이",C822)),"600",IF(ISNUMBER(SEARCH("필리핀",C822)),"700",IF(ISNUMBER(SEARCH("인도네시아",C822)),"800",IF(ISNUMBER(SEARCH("크루즈",C822)),"810",IF(ISNUMBER(SEARCH("동물원",C822)),"830","")))))))))</f>
        <v>200</v>
      </c>
    </row>
    <row r="823" customFormat="false" ht="15" hidden="false" customHeight="false" outlineLevel="0" collapsed="false">
      <c r="A823" s="32" t="str">
        <f aca="false">IF(OR(TRIM(C823)="",SUBSTITUTE(C823," ","")="소계"),"제외",IF(ISNUMBER(SEARCH("홍콩",C823)),"HK",IF(ISNUMBER(SEARCH("상해",C823)),"CN",IF(ISNUMBER(SEARCH("대만",C823)),"TW","홀세일"))))</f>
        <v>CN</v>
      </c>
      <c r="B823" s="36" t="s">
        <v>1019</v>
      </c>
      <c r="C823" s="37" t="s">
        <v>1020</v>
      </c>
      <c r="D823" s="37" t="s">
        <v>664</v>
      </c>
      <c r="E823" s="36" t="n">
        <v>2026</v>
      </c>
      <c r="F823" s="37" t="s">
        <v>219</v>
      </c>
      <c r="G823" s="37" t="s">
        <v>124</v>
      </c>
      <c r="H823" s="36" t="s">
        <v>188</v>
      </c>
      <c r="I823" s="36" t="s">
        <v>1011</v>
      </c>
      <c r="J823" s="36" t="s">
        <v>1012</v>
      </c>
      <c r="K823" s="38" t="n">
        <v>273</v>
      </c>
      <c r="L823" s="38" t="n">
        <v>27027000</v>
      </c>
      <c r="M823" s="38" t="n">
        <v>10319360</v>
      </c>
      <c r="N823" s="39" t="n">
        <f aca="false">IF(A823="제외",0,IF(OR(N(L823)&lt;=0,N(M823)&gt;N(L823)),N(M823)/요약!$D$27,N(L823)))</f>
        <v>27027000</v>
      </c>
      <c r="O823" s="32" t="str">
        <f aca="false">IF(A823="제외","",IF(OR(N(L823)&lt;=0,N(M823)&gt;N(L823)),"택가보정(판매금액÷공급율)",""))</f>
        <v/>
      </c>
      <c r="P823" s="0" t="str">
        <f aca="false">IF(A823="HK","100",IF(A823="CN","200",IF(A823="TW","300",IF(ISNUMBER(SEARCH("태국",C823)),"500",IF(ISNUMBER(SEARCH("말레이",C823)),"600",IF(ISNUMBER(SEARCH("필리핀",C823)),"700",IF(ISNUMBER(SEARCH("인도네시아",C823)),"800",IF(ISNUMBER(SEARCH("크루즈",C823)),"810",IF(ISNUMBER(SEARCH("동물원",C823)),"830","")))))))))</f>
        <v>200</v>
      </c>
    </row>
    <row r="824" customFormat="false" ht="15" hidden="false" customHeight="false" outlineLevel="0" collapsed="false">
      <c r="A824" s="32" t="str">
        <f aca="false">IF(OR(TRIM(C824)="",SUBSTITUTE(C824," ","")="소계"),"제외",IF(ISNUMBER(SEARCH("홍콩",C824)),"HK",IF(ISNUMBER(SEARCH("상해",C824)),"CN",IF(ISNUMBER(SEARCH("대만",C824)),"TW","홀세일"))))</f>
        <v>CN</v>
      </c>
      <c r="B824" s="36" t="s">
        <v>1019</v>
      </c>
      <c r="C824" s="37" t="s">
        <v>1020</v>
      </c>
      <c r="D824" s="37" t="s">
        <v>664</v>
      </c>
      <c r="E824" s="36" t="n">
        <v>2026</v>
      </c>
      <c r="F824" s="37" t="s">
        <v>219</v>
      </c>
      <c r="G824" s="37" t="s">
        <v>124</v>
      </c>
      <c r="H824" s="36" t="s">
        <v>188</v>
      </c>
      <c r="I824" s="36" t="s">
        <v>1013</v>
      </c>
      <c r="J824" s="36" t="s">
        <v>1014</v>
      </c>
      <c r="K824" s="38" t="n">
        <v>372</v>
      </c>
      <c r="L824" s="38" t="n">
        <v>25668000</v>
      </c>
      <c r="M824" s="38" t="n">
        <v>7761584</v>
      </c>
      <c r="N824" s="39" t="n">
        <f aca="false">IF(A824="제외",0,IF(OR(N(L824)&lt;=0,N(M824)&gt;N(L824)),N(M824)/요약!$D$27,N(L824)))</f>
        <v>25668000</v>
      </c>
      <c r="O824" s="32" t="str">
        <f aca="false">IF(A824="제외","",IF(OR(N(L824)&lt;=0,N(M824)&gt;N(L824)),"택가보정(판매금액÷공급율)",""))</f>
        <v/>
      </c>
      <c r="P824" s="0" t="str">
        <f aca="false">IF(A824="HK","100",IF(A824="CN","200",IF(A824="TW","300",IF(ISNUMBER(SEARCH("태국",C824)),"500",IF(ISNUMBER(SEARCH("말레이",C824)),"600",IF(ISNUMBER(SEARCH("필리핀",C824)),"700",IF(ISNUMBER(SEARCH("인도네시아",C824)),"800",IF(ISNUMBER(SEARCH("크루즈",C824)),"810",IF(ISNUMBER(SEARCH("동물원",C824)),"830","")))))))))</f>
        <v>200</v>
      </c>
    </row>
    <row r="825" customFormat="false" ht="15" hidden="false" customHeight="false" outlineLevel="0" collapsed="false">
      <c r="A825" s="32" t="str">
        <f aca="false">IF(OR(TRIM(C825)="",SUBSTITUTE(C825," ","")="소계"),"제외",IF(ISNUMBER(SEARCH("홍콩",C825)),"HK",IF(ISNUMBER(SEARCH("상해",C825)),"CN",IF(ISNUMBER(SEARCH("대만",C825)),"TW","홀세일"))))</f>
        <v>CN</v>
      </c>
      <c r="B825" s="36" t="s">
        <v>1019</v>
      </c>
      <c r="C825" s="37" t="s">
        <v>1020</v>
      </c>
      <c r="D825" s="37" t="s">
        <v>664</v>
      </c>
      <c r="E825" s="36" t="n">
        <v>2026</v>
      </c>
      <c r="F825" s="37" t="s">
        <v>219</v>
      </c>
      <c r="G825" s="37" t="s">
        <v>124</v>
      </c>
      <c r="H825" s="36" t="s">
        <v>188</v>
      </c>
      <c r="I825" s="36" t="s">
        <v>1015</v>
      </c>
      <c r="J825" s="36" t="s">
        <v>1016</v>
      </c>
      <c r="K825" s="38" t="n">
        <v>595</v>
      </c>
      <c r="L825" s="38" t="n">
        <v>64855000</v>
      </c>
      <c r="M825" s="38" t="n">
        <v>22581297</v>
      </c>
      <c r="N825" s="39" t="n">
        <f aca="false">IF(A825="제외",0,IF(OR(N(L825)&lt;=0,N(M825)&gt;N(L825)),N(M825)/요약!$D$27,N(L825)))</f>
        <v>64855000</v>
      </c>
      <c r="O825" s="32" t="str">
        <f aca="false">IF(A825="제외","",IF(OR(N(L825)&lt;=0,N(M825)&gt;N(L825)),"택가보정(판매금액÷공급율)",""))</f>
        <v/>
      </c>
      <c r="P825" s="0" t="str">
        <f aca="false">IF(A825="HK","100",IF(A825="CN","200",IF(A825="TW","300",IF(ISNUMBER(SEARCH("태국",C825)),"500",IF(ISNUMBER(SEARCH("말레이",C825)),"600",IF(ISNUMBER(SEARCH("필리핀",C825)),"700",IF(ISNUMBER(SEARCH("인도네시아",C825)),"800",IF(ISNUMBER(SEARCH("크루즈",C825)),"810",IF(ISNUMBER(SEARCH("동물원",C825)),"830","")))))))))</f>
        <v>200</v>
      </c>
    </row>
    <row r="826" customFormat="false" ht="15" hidden="false" customHeight="false" outlineLevel="0" collapsed="false">
      <c r="A826" s="32" t="str">
        <f aca="false">IF(OR(TRIM(C826)="",SUBSTITUTE(C826," ","")="소계"),"제외",IF(ISNUMBER(SEARCH("홍콩",C826)),"HK",IF(ISNUMBER(SEARCH("상해",C826)),"CN",IF(ISNUMBER(SEARCH("대만",C826)),"TW","홀세일"))))</f>
        <v>CN</v>
      </c>
      <c r="B826" s="36" t="s">
        <v>1019</v>
      </c>
      <c r="C826" s="37" t="s">
        <v>1020</v>
      </c>
      <c r="D826" s="37" t="s">
        <v>664</v>
      </c>
      <c r="E826" s="36" t="n">
        <v>2026</v>
      </c>
      <c r="F826" s="37" t="s">
        <v>219</v>
      </c>
      <c r="G826" s="37" t="s">
        <v>124</v>
      </c>
      <c r="H826" s="36" t="s">
        <v>188</v>
      </c>
      <c r="I826" s="36" t="s">
        <v>1156</v>
      </c>
      <c r="J826" s="36" t="s">
        <v>1157</v>
      </c>
      <c r="K826" s="38" t="n">
        <v>520</v>
      </c>
      <c r="L826" s="38" t="n">
        <v>51480000</v>
      </c>
      <c r="M826" s="38" t="n">
        <v>13232268</v>
      </c>
      <c r="N826" s="39" t="n">
        <f aca="false">IF(A826="제외",0,IF(OR(N(L826)&lt;=0,N(M826)&gt;N(L826)),N(M826)/요약!$D$27,N(L826)))</f>
        <v>51480000</v>
      </c>
      <c r="O826" s="32" t="str">
        <f aca="false">IF(A826="제외","",IF(OR(N(L826)&lt;=0,N(M826)&gt;N(L826)),"택가보정(판매금액÷공급율)",""))</f>
        <v/>
      </c>
      <c r="P826" s="0" t="str">
        <f aca="false">IF(A826="HK","100",IF(A826="CN","200",IF(A826="TW","300",IF(ISNUMBER(SEARCH("태국",C826)),"500",IF(ISNUMBER(SEARCH("말레이",C826)),"600",IF(ISNUMBER(SEARCH("필리핀",C826)),"700",IF(ISNUMBER(SEARCH("인도네시아",C826)),"800",IF(ISNUMBER(SEARCH("크루즈",C826)),"810",IF(ISNUMBER(SEARCH("동물원",C826)),"830","")))))))))</f>
        <v>200</v>
      </c>
    </row>
    <row r="827" customFormat="false" ht="15" hidden="false" customHeight="false" outlineLevel="0" collapsed="false">
      <c r="A827" s="32" t="str">
        <f aca="false">IF(OR(TRIM(C827)="",SUBSTITUTE(C827," ","")="소계"),"제외",IF(ISNUMBER(SEARCH("홍콩",C827)),"HK",IF(ISNUMBER(SEARCH("상해",C827)),"CN",IF(ISNUMBER(SEARCH("대만",C827)),"TW","홀세일"))))</f>
        <v>CN</v>
      </c>
      <c r="B827" s="36" t="s">
        <v>1019</v>
      </c>
      <c r="C827" s="37" t="s">
        <v>1020</v>
      </c>
      <c r="D827" s="37" t="s">
        <v>664</v>
      </c>
      <c r="E827" s="36" t="n">
        <v>2026</v>
      </c>
      <c r="F827" s="37" t="s">
        <v>219</v>
      </c>
      <c r="G827" s="37" t="s">
        <v>124</v>
      </c>
      <c r="H827" s="36" t="s">
        <v>188</v>
      </c>
      <c r="I827" s="36" t="s">
        <v>1158</v>
      </c>
      <c r="J827" s="36" t="s">
        <v>1159</v>
      </c>
      <c r="K827" s="38" t="n">
        <v>511</v>
      </c>
      <c r="L827" s="38" t="n">
        <v>40369000</v>
      </c>
      <c r="M827" s="38" t="n">
        <v>11303414</v>
      </c>
      <c r="N827" s="39" t="n">
        <f aca="false">IF(A827="제외",0,IF(OR(N(L827)&lt;=0,N(M827)&gt;N(L827)),N(M827)/요약!$D$27,N(L827)))</f>
        <v>40369000</v>
      </c>
      <c r="O827" s="32" t="str">
        <f aca="false">IF(A827="제외","",IF(OR(N(L827)&lt;=0,N(M827)&gt;N(L827)),"택가보정(판매금액÷공급율)",""))</f>
        <v/>
      </c>
      <c r="P827" s="0" t="str">
        <f aca="false">IF(A827="HK","100",IF(A827="CN","200",IF(A827="TW","300",IF(ISNUMBER(SEARCH("태국",C827)),"500",IF(ISNUMBER(SEARCH("말레이",C827)),"600",IF(ISNUMBER(SEARCH("필리핀",C827)),"700",IF(ISNUMBER(SEARCH("인도네시아",C827)),"800",IF(ISNUMBER(SEARCH("크루즈",C827)),"810",IF(ISNUMBER(SEARCH("동물원",C827)),"830","")))))))))</f>
        <v>200</v>
      </c>
    </row>
    <row r="828" customFormat="false" ht="15" hidden="false" customHeight="false" outlineLevel="0" collapsed="false">
      <c r="A828" s="32" t="str">
        <f aca="false">IF(OR(TRIM(C828)="",SUBSTITUTE(C828," ","")="소계"),"제외",IF(ISNUMBER(SEARCH("홍콩",C828)),"HK",IF(ISNUMBER(SEARCH("상해",C828)),"CN",IF(ISNUMBER(SEARCH("대만",C828)),"TW","홀세일"))))</f>
        <v>CN</v>
      </c>
      <c r="B828" s="36" t="s">
        <v>1019</v>
      </c>
      <c r="C828" s="37" t="s">
        <v>1020</v>
      </c>
      <c r="D828" s="37" t="s">
        <v>664</v>
      </c>
      <c r="E828" s="36" t="n">
        <v>2026</v>
      </c>
      <c r="F828" s="37" t="s">
        <v>219</v>
      </c>
      <c r="G828" s="37" t="s">
        <v>124</v>
      </c>
      <c r="H828" s="36" t="s">
        <v>188</v>
      </c>
      <c r="I828" s="36" t="s">
        <v>706</v>
      </c>
      <c r="J828" s="36" t="s">
        <v>707</v>
      </c>
      <c r="K828" s="38" t="n">
        <v>313</v>
      </c>
      <c r="L828" s="38" t="n">
        <v>30987000</v>
      </c>
      <c r="M828" s="38" t="n">
        <v>10727433</v>
      </c>
      <c r="N828" s="39" t="n">
        <f aca="false">IF(A828="제외",0,IF(OR(N(L828)&lt;=0,N(M828)&gt;N(L828)),N(M828)/요약!$D$27,N(L828)))</f>
        <v>30987000</v>
      </c>
      <c r="O828" s="32" t="str">
        <f aca="false">IF(A828="제외","",IF(OR(N(L828)&lt;=0,N(M828)&gt;N(L828)),"택가보정(판매금액÷공급율)",""))</f>
        <v/>
      </c>
      <c r="P828" s="0" t="str">
        <f aca="false">IF(A828="HK","100",IF(A828="CN","200",IF(A828="TW","300",IF(ISNUMBER(SEARCH("태국",C828)),"500",IF(ISNUMBER(SEARCH("말레이",C828)),"600",IF(ISNUMBER(SEARCH("필리핀",C828)),"700",IF(ISNUMBER(SEARCH("인도네시아",C828)),"800",IF(ISNUMBER(SEARCH("크루즈",C828)),"810",IF(ISNUMBER(SEARCH("동물원",C828)),"830","")))))))))</f>
        <v>200</v>
      </c>
    </row>
    <row r="829" customFormat="false" ht="15" hidden="false" customHeight="false" outlineLevel="0" collapsed="false">
      <c r="A829" s="32" t="str">
        <f aca="false">IF(OR(TRIM(C829)="",SUBSTITUTE(C829," ","")="소계"),"제외",IF(ISNUMBER(SEARCH("홍콩",C829)),"HK",IF(ISNUMBER(SEARCH("상해",C829)),"CN",IF(ISNUMBER(SEARCH("대만",C829)),"TW","홀세일"))))</f>
        <v>CN</v>
      </c>
      <c r="B829" s="36" t="s">
        <v>1019</v>
      </c>
      <c r="C829" s="37" t="s">
        <v>1020</v>
      </c>
      <c r="D829" s="37" t="s">
        <v>664</v>
      </c>
      <c r="E829" s="36" t="n">
        <v>2026</v>
      </c>
      <c r="F829" s="37" t="s">
        <v>219</v>
      </c>
      <c r="G829" s="37" t="s">
        <v>124</v>
      </c>
      <c r="H829" s="36" t="s">
        <v>188</v>
      </c>
      <c r="I829" s="36" t="s">
        <v>1160</v>
      </c>
      <c r="J829" s="36" t="s">
        <v>1161</v>
      </c>
      <c r="K829" s="38" t="n">
        <v>568</v>
      </c>
      <c r="L829" s="38" t="n">
        <v>56232000</v>
      </c>
      <c r="M829" s="38" t="n">
        <v>20016817</v>
      </c>
      <c r="N829" s="39" t="n">
        <f aca="false">IF(A829="제외",0,IF(OR(N(L829)&lt;=0,N(M829)&gt;N(L829)),N(M829)/요약!$D$27,N(L829)))</f>
        <v>56232000</v>
      </c>
      <c r="O829" s="32" t="str">
        <f aca="false">IF(A829="제외","",IF(OR(N(L829)&lt;=0,N(M829)&gt;N(L829)),"택가보정(판매금액÷공급율)",""))</f>
        <v/>
      </c>
      <c r="P829" s="0" t="str">
        <f aca="false">IF(A829="HK","100",IF(A829="CN","200",IF(A829="TW","300",IF(ISNUMBER(SEARCH("태국",C829)),"500",IF(ISNUMBER(SEARCH("말레이",C829)),"600",IF(ISNUMBER(SEARCH("필리핀",C829)),"700",IF(ISNUMBER(SEARCH("인도네시아",C829)),"800",IF(ISNUMBER(SEARCH("크루즈",C829)),"810",IF(ISNUMBER(SEARCH("동물원",C829)),"830","")))))))))</f>
        <v>200</v>
      </c>
    </row>
    <row r="830" customFormat="false" ht="15" hidden="false" customHeight="false" outlineLevel="0" collapsed="false">
      <c r="A830" s="32" t="str">
        <f aca="false">IF(OR(TRIM(C830)="",SUBSTITUTE(C830," ","")="소계"),"제외",IF(ISNUMBER(SEARCH("홍콩",C830)),"HK",IF(ISNUMBER(SEARCH("상해",C830)),"CN",IF(ISNUMBER(SEARCH("대만",C830)),"TW","홀세일"))))</f>
        <v>CN</v>
      </c>
      <c r="B830" s="36" t="s">
        <v>1019</v>
      </c>
      <c r="C830" s="37" t="s">
        <v>1020</v>
      </c>
      <c r="D830" s="37" t="s">
        <v>664</v>
      </c>
      <c r="E830" s="36" t="n">
        <v>2026</v>
      </c>
      <c r="F830" s="37" t="s">
        <v>363</v>
      </c>
      <c r="G830" s="37" t="s">
        <v>124</v>
      </c>
      <c r="H830" s="36" t="s">
        <v>131</v>
      </c>
      <c r="I830" s="36" t="s">
        <v>1162</v>
      </c>
      <c r="J830" s="37" t="s">
        <v>1163</v>
      </c>
      <c r="K830" s="38" t="n">
        <v>383</v>
      </c>
      <c r="L830" s="38" t="n">
        <v>60897000</v>
      </c>
      <c r="M830" s="38" t="n">
        <v>24068694</v>
      </c>
      <c r="N830" s="39" t="n">
        <f aca="false">IF(A830="제외",0,IF(OR(N(L830)&lt;=0,N(M830)&gt;N(L830)),N(M830)/요약!$D$27,N(L830)))</f>
        <v>60897000</v>
      </c>
      <c r="O830" s="32" t="str">
        <f aca="false">IF(A830="제외","",IF(OR(N(L830)&lt;=0,N(M830)&gt;N(L830)),"택가보정(판매금액÷공급율)",""))</f>
        <v/>
      </c>
      <c r="P830" s="0" t="str">
        <f aca="false">IF(A830="HK","100",IF(A830="CN","200",IF(A830="TW","300",IF(ISNUMBER(SEARCH("태국",C830)),"500",IF(ISNUMBER(SEARCH("말레이",C830)),"600",IF(ISNUMBER(SEARCH("필리핀",C830)),"700",IF(ISNUMBER(SEARCH("인도네시아",C830)),"800",IF(ISNUMBER(SEARCH("크루즈",C830)),"810",IF(ISNUMBER(SEARCH("동물원",C830)),"830","")))))))))</f>
        <v>200</v>
      </c>
    </row>
    <row r="831" customFormat="false" ht="15" hidden="false" customHeight="false" outlineLevel="0" collapsed="false">
      <c r="A831" s="32" t="str">
        <f aca="false">IF(OR(TRIM(C831)="",SUBSTITUTE(C831," ","")="소계"),"제외",IF(ISNUMBER(SEARCH("홍콩",C831)),"HK",IF(ISNUMBER(SEARCH("상해",C831)),"CN",IF(ISNUMBER(SEARCH("대만",C831)),"TW","홀세일"))))</f>
        <v>CN</v>
      </c>
      <c r="B831" s="36" t="s">
        <v>1019</v>
      </c>
      <c r="C831" s="37" t="s">
        <v>1020</v>
      </c>
      <c r="D831" s="37" t="s">
        <v>664</v>
      </c>
      <c r="E831" s="36" t="n">
        <v>2026</v>
      </c>
      <c r="F831" s="37" t="s">
        <v>363</v>
      </c>
      <c r="G831" s="37" t="s">
        <v>124</v>
      </c>
      <c r="H831" s="36" t="s">
        <v>131</v>
      </c>
      <c r="I831" s="36" t="s">
        <v>1164</v>
      </c>
      <c r="J831" s="37" t="s">
        <v>1165</v>
      </c>
      <c r="K831" s="38" t="n">
        <v>294</v>
      </c>
      <c r="L831" s="38" t="n">
        <v>52626000</v>
      </c>
      <c r="M831" s="38" t="n">
        <v>19189968</v>
      </c>
      <c r="N831" s="39" t="n">
        <f aca="false">IF(A831="제외",0,IF(OR(N(L831)&lt;=0,N(M831)&gt;N(L831)),N(M831)/요약!$D$27,N(L831)))</f>
        <v>52626000</v>
      </c>
      <c r="O831" s="32" t="str">
        <f aca="false">IF(A831="제외","",IF(OR(N(L831)&lt;=0,N(M831)&gt;N(L831)),"택가보정(판매금액÷공급율)",""))</f>
        <v/>
      </c>
      <c r="P831" s="0" t="str">
        <f aca="false">IF(A831="HK","100",IF(A831="CN","200",IF(A831="TW","300",IF(ISNUMBER(SEARCH("태국",C831)),"500",IF(ISNUMBER(SEARCH("말레이",C831)),"600",IF(ISNUMBER(SEARCH("필리핀",C831)),"700",IF(ISNUMBER(SEARCH("인도네시아",C831)),"800",IF(ISNUMBER(SEARCH("크루즈",C831)),"810",IF(ISNUMBER(SEARCH("동물원",C831)),"830","")))))))))</f>
        <v>200</v>
      </c>
    </row>
    <row r="832" customFormat="false" ht="15" hidden="false" customHeight="false" outlineLevel="0" collapsed="false">
      <c r="A832" s="32" t="str">
        <f aca="false">IF(OR(TRIM(C832)="",SUBSTITUTE(C832," ","")="소계"),"제외",IF(ISNUMBER(SEARCH("홍콩",C832)),"HK",IF(ISNUMBER(SEARCH("상해",C832)),"CN",IF(ISNUMBER(SEARCH("대만",C832)),"TW","홀세일"))))</f>
        <v>CN</v>
      </c>
      <c r="B832" s="36" t="s">
        <v>1019</v>
      </c>
      <c r="C832" s="37" t="s">
        <v>1020</v>
      </c>
      <c r="D832" s="37" t="s">
        <v>664</v>
      </c>
      <c r="E832" s="36" t="n">
        <v>2026</v>
      </c>
      <c r="F832" s="37" t="s">
        <v>363</v>
      </c>
      <c r="G832" s="37" t="s">
        <v>124</v>
      </c>
      <c r="H832" s="36" t="s">
        <v>131</v>
      </c>
      <c r="I832" s="36" t="s">
        <v>1166</v>
      </c>
      <c r="J832" s="37" t="s">
        <v>1167</v>
      </c>
      <c r="K832" s="38" t="n">
        <v>75</v>
      </c>
      <c r="L832" s="38" t="n">
        <v>14925000</v>
      </c>
      <c r="M832" s="38" t="n">
        <v>6042781</v>
      </c>
      <c r="N832" s="39" t="n">
        <f aca="false">IF(A832="제외",0,IF(OR(N(L832)&lt;=0,N(M832)&gt;N(L832)),N(M832)/요약!$D$27,N(L832)))</f>
        <v>14925000</v>
      </c>
      <c r="O832" s="32" t="str">
        <f aca="false">IF(A832="제외","",IF(OR(N(L832)&lt;=0,N(M832)&gt;N(L832)),"택가보정(판매금액÷공급율)",""))</f>
        <v/>
      </c>
      <c r="P832" s="0" t="str">
        <f aca="false">IF(A832="HK","100",IF(A832="CN","200",IF(A832="TW","300",IF(ISNUMBER(SEARCH("태국",C832)),"500",IF(ISNUMBER(SEARCH("말레이",C832)),"600",IF(ISNUMBER(SEARCH("필리핀",C832)),"700",IF(ISNUMBER(SEARCH("인도네시아",C832)),"800",IF(ISNUMBER(SEARCH("크루즈",C832)),"810",IF(ISNUMBER(SEARCH("동물원",C832)),"830","")))))))))</f>
        <v>200</v>
      </c>
    </row>
    <row r="833" customFormat="false" ht="15" hidden="false" customHeight="false" outlineLevel="0" collapsed="false">
      <c r="A833" s="32" t="str">
        <f aca="false">IF(OR(TRIM(C833)="",SUBSTITUTE(C833," ","")="소계"),"제외",IF(ISNUMBER(SEARCH("홍콩",C833)),"HK",IF(ISNUMBER(SEARCH("상해",C833)),"CN",IF(ISNUMBER(SEARCH("대만",C833)),"TW","홀세일"))))</f>
        <v>CN</v>
      </c>
      <c r="B833" s="36" t="s">
        <v>1019</v>
      </c>
      <c r="C833" s="37" t="s">
        <v>1020</v>
      </c>
      <c r="D833" s="37" t="s">
        <v>664</v>
      </c>
      <c r="E833" s="36" t="n">
        <v>2026</v>
      </c>
      <c r="F833" s="37" t="s">
        <v>363</v>
      </c>
      <c r="G833" s="37" t="s">
        <v>124</v>
      </c>
      <c r="H833" s="36" t="s">
        <v>131</v>
      </c>
      <c r="I833" s="36" t="s">
        <v>708</v>
      </c>
      <c r="J833" s="36" t="s">
        <v>709</v>
      </c>
      <c r="K833" s="38" t="n">
        <v>565</v>
      </c>
      <c r="L833" s="38" t="n">
        <v>264985000</v>
      </c>
      <c r="M833" s="38" t="n">
        <v>94020410</v>
      </c>
      <c r="N833" s="39" t="n">
        <f aca="false">IF(A833="제외",0,IF(OR(N(L833)&lt;=0,N(M833)&gt;N(L833)),N(M833)/요약!$D$27,N(L833)))</f>
        <v>264985000</v>
      </c>
      <c r="O833" s="32" t="str">
        <f aca="false">IF(A833="제외","",IF(OR(N(L833)&lt;=0,N(M833)&gt;N(L833)),"택가보정(판매금액÷공급율)",""))</f>
        <v/>
      </c>
      <c r="P833" s="0" t="str">
        <f aca="false">IF(A833="HK","100",IF(A833="CN","200",IF(A833="TW","300",IF(ISNUMBER(SEARCH("태국",C833)),"500",IF(ISNUMBER(SEARCH("말레이",C833)),"600",IF(ISNUMBER(SEARCH("필리핀",C833)),"700",IF(ISNUMBER(SEARCH("인도네시아",C833)),"800",IF(ISNUMBER(SEARCH("크루즈",C833)),"810",IF(ISNUMBER(SEARCH("동물원",C833)),"830","")))))))))</f>
        <v>200</v>
      </c>
    </row>
    <row r="834" customFormat="false" ht="15" hidden="false" customHeight="false" outlineLevel="0" collapsed="false">
      <c r="A834" s="32" t="str">
        <f aca="false">IF(OR(TRIM(C834)="",SUBSTITUTE(C834," ","")="소계"),"제외",IF(ISNUMBER(SEARCH("홍콩",C834)),"HK",IF(ISNUMBER(SEARCH("상해",C834)),"CN",IF(ISNUMBER(SEARCH("대만",C834)),"TW","홀세일"))))</f>
        <v>CN</v>
      </c>
      <c r="B834" s="36" t="s">
        <v>1019</v>
      </c>
      <c r="C834" s="37" t="s">
        <v>1020</v>
      </c>
      <c r="D834" s="37" t="s">
        <v>664</v>
      </c>
      <c r="E834" s="36" t="n">
        <v>2026</v>
      </c>
      <c r="F834" s="37" t="s">
        <v>363</v>
      </c>
      <c r="G834" s="37" t="s">
        <v>124</v>
      </c>
      <c r="H834" s="36" t="s">
        <v>131</v>
      </c>
      <c r="I834" s="36" t="s">
        <v>1168</v>
      </c>
      <c r="J834" s="37" t="s">
        <v>1169</v>
      </c>
      <c r="K834" s="38" t="n">
        <v>164</v>
      </c>
      <c r="L834" s="38" t="n">
        <v>34276000</v>
      </c>
      <c r="M834" s="38" t="n">
        <v>12558391</v>
      </c>
      <c r="N834" s="39" t="n">
        <f aca="false">IF(A834="제외",0,IF(OR(N(L834)&lt;=0,N(M834)&gt;N(L834)),N(M834)/요약!$D$27,N(L834)))</f>
        <v>34276000</v>
      </c>
      <c r="O834" s="32" t="str">
        <f aca="false">IF(A834="제외","",IF(OR(N(L834)&lt;=0,N(M834)&gt;N(L834)),"택가보정(판매금액÷공급율)",""))</f>
        <v/>
      </c>
      <c r="P834" s="0" t="str">
        <f aca="false">IF(A834="HK","100",IF(A834="CN","200",IF(A834="TW","300",IF(ISNUMBER(SEARCH("태국",C834)),"500",IF(ISNUMBER(SEARCH("말레이",C834)),"600",IF(ISNUMBER(SEARCH("필리핀",C834)),"700",IF(ISNUMBER(SEARCH("인도네시아",C834)),"800",IF(ISNUMBER(SEARCH("크루즈",C834)),"810",IF(ISNUMBER(SEARCH("동물원",C834)),"830","")))))))))</f>
        <v>200</v>
      </c>
    </row>
    <row r="835" customFormat="false" ht="15" hidden="false" customHeight="false" outlineLevel="0" collapsed="false">
      <c r="A835" s="32" t="str">
        <f aca="false">IF(OR(TRIM(C835)="",SUBSTITUTE(C835," ","")="소계"),"제외",IF(ISNUMBER(SEARCH("홍콩",C835)),"HK",IF(ISNUMBER(SEARCH("상해",C835)),"CN",IF(ISNUMBER(SEARCH("대만",C835)),"TW","홀세일"))))</f>
        <v>CN</v>
      </c>
      <c r="B835" s="36" t="s">
        <v>1019</v>
      </c>
      <c r="C835" s="37" t="s">
        <v>1020</v>
      </c>
      <c r="D835" s="37" t="s">
        <v>664</v>
      </c>
      <c r="E835" s="36" t="n">
        <v>2026</v>
      </c>
      <c r="F835" s="37" t="s">
        <v>363</v>
      </c>
      <c r="G835" s="37" t="s">
        <v>124</v>
      </c>
      <c r="H835" s="36" t="s">
        <v>125</v>
      </c>
      <c r="I835" s="36" t="s">
        <v>1170</v>
      </c>
      <c r="J835" s="37" t="s">
        <v>1171</v>
      </c>
      <c r="K835" s="38" t="n">
        <v>325</v>
      </c>
      <c r="L835" s="38" t="n">
        <v>58175000</v>
      </c>
      <c r="M835" s="38" t="n">
        <v>19709208</v>
      </c>
      <c r="N835" s="39" t="n">
        <f aca="false">IF(A835="제외",0,IF(OR(N(L835)&lt;=0,N(M835)&gt;N(L835)),N(M835)/요약!$D$27,N(L835)))</f>
        <v>58175000</v>
      </c>
      <c r="O835" s="32" t="str">
        <f aca="false">IF(A835="제외","",IF(OR(N(L835)&lt;=0,N(M835)&gt;N(L835)),"택가보정(판매금액÷공급율)",""))</f>
        <v/>
      </c>
      <c r="P835" s="0" t="str">
        <f aca="false">IF(A835="HK","100",IF(A835="CN","200",IF(A835="TW","300",IF(ISNUMBER(SEARCH("태국",C835)),"500",IF(ISNUMBER(SEARCH("말레이",C835)),"600",IF(ISNUMBER(SEARCH("필리핀",C835)),"700",IF(ISNUMBER(SEARCH("인도네시아",C835)),"800",IF(ISNUMBER(SEARCH("크루즈",C835)),"810",IF(ISNUMBER(SEARCH("동물원",C835)),"830","")))))))))</f>
        <v>200</v>
      </c>
    </row>
    <row r="836" customFormat="false" ht="15" hidden="false" customHeight="false" outlineLevel="0" collapsed="false">
      <c r="A836" s="32" t="str">
        <f aca="false">IF(OR(TRIM(C836)="",SUBSTITUTE(C836," ","")="소계"),"제외",IF(ISNUMBER(SEARCH("홍콩",C836)),"HK",IF(ISNUMBER(SEARCH("상해",C836)),"CN",IF(ISNUMBER(SEARCH("대만",C836)),"TW","홀세일"))))</f>
        <v>CN</v>
      </c>
      <c r="B836" s="36" t="s">
        <v>1019</v>
      </c>
      <c r="C836" s="37" t="s">
        <v>1020</v>
      </c>
      <c r="D836" s="37" t="s">
        <v>664</v>
      </c>
      <c r="E836" s="36" t="n">
        <v>2026</v>
      </c>
      <c r="F836" s="37" t="s">
        <v>363</v>
      </c>
      <c r="G836" s="37" t="s">
        <v>124</v>
      </c>
      <c r="H836" s="36" t="s">
        <v>131</v>
      </c>
      <c r="I836" s="36" t="s">
        <v>1172</v>
      </c>
      <c r="J836" s="37" t="s">
        <v>1173</v>
      </c>
      <c r="K836" s="38" t="n">
        <v>147</v>
      </c>
      <c r="L836" s="38" t="n">
        <v>20433000</v>
      </c>
      <c r="M836" s="38" t="n">
        <v>7887464</v>
      </c>
      <c r="N836" s="39" t="n">
        <f aca="false">IF(A836="제외",0,IF(OR(N(L836)&lt;=0,N(M836)&gt;N(L836)),N(M836)/요약!$D$27,N(L836)))</f>
        <v>20433000</v>
      </c>
      <c r="O836" s="32" t="str">
        <f aca="false">IF(A836="제외","",IF(OR(N(L836)&lt;=0,N(M836)&gt;N(L836)),"택가보정(판매금액÷공급율)",""))</f>
        <v/>
      </c>
      <c r="P836" s="0" t="str">
        <f aca="false">IF(A836="HK","100",IF(A836="CN","200",IF(A836="TW","300",IF(ISNUMBER(SEARCH("태국",C836)),"500",IF(ISNUMBER(SEARCH("말레이",C836)),"600",IF(ISNUMBER(SEARCH("필리핀",C836)),"700",IF(ISNUMBER(SEARCH("인도네시아",C836)),"800",IF(ISNUMBER(SEARCH("크루즈",C836)),"810",IF(ISNUMBER(SEARCH("동물원",C836)),"830","")))))))))</f>
        <v>200</v>
      </c>
    </row>
    <row r="837" customFormat="false" ht="15" hidden="false" customHeight="false" outlineLevel="0" collapsed="false">
      <c r="A837" s="32" t="str">
        <f aca="false">IF(OR(TRIM(C837)="",SUBSTITUTE(C837," ","")="소계"),"제외",IF(ISNUMBER(SEARCH("홍콩",C837)),"HK",IF(ISNUMBER(SEARCH("상해",C837)),"CN",IF(ISNUMBER(SEARCH("대만",C837)),"TW","홀세일"))))</f>
        <v>CN</v>
      </c>
      <c r="B837" s="36" t="s">
        <v>1019</v>
      </c>
      <c r="C837" s="37" t="s">
        <v>1020</v>
      </c>
      <c r="D837" s="37" t="s">
        <v>664</v>
      </c>
      <c r="E837" s="36" t="n">
        <v>2026</v>
      </c>
      <c r="F837" s="37" t="s">
        <v>363</v>
      </c>
      <c r="G837" s="37" t="s">
        <v>124</v>
      </c>
      <c r="H837" s="36" t="s">
        <v>131</v>
      </c>
      <c r="I837" s="36" t="s">
        <v>1174</v>
      </c>
      <c r="J837" s="37" t="s">
        <v>1175</v>
      </c>
      <c r="K837" s="38" t="n">
        <v>412</v>
      </c>
      <c r="L837" s="38" t="n">
        <v>32548000</v>
      </c>
      <c r="M837" s="38" t="n">
        <v>10674468</v>
      </c>
      <c r="N837" s="39" t="n">
        <f aca="false">IF(A837="제외",0,IF(OR(N(L837)&lt;=0,N(M837)&gt;N(L837)),N(M837)/요약!$D$27,N(L837)))</f>
        <v>32548000</v>
      </c>
      <c r="O837" s="32" t="str">
        <f aca="false">IF(A837="제외","",IF(OR(N(L837)&lt;=0,N(M837)&gt;N(L837)),"택가보정(판매금액÷공급율)",""))</f>
        <v/>
      </c>
      <c r="P837" s="0" t="str">
        <f aca="false">IF(A837="HK","100",IF(A837="CN","200",IF(A837="TW","300",IF(ISNUMBER(SEARCH("태국",C837)),"500",IF(ISNUMBER(SEARCH("말레이",C837)),"600",IF(ISNUMBER(SEARCH("필리핀",C837)),"700",IF(ISNUMBER(SEARCH("인도네시아",C837)),"800",IF(ISNUMBER(SEARCH("크루즈",C837)),"810",IF(ISNUMBER(SEARCH("동물원",C837)),"830","")))))))))</f>
        <v>200</v>
      </c>
    </row>
    <row r="838" customFormat="false" ht="15" hidden="false" customHeight="false" outlineLevel="0" collapsed="false">
      <c r="A838" s="32" t="str">
        <f aca="false">IF(OR(TRIM(C838)="",SUBSTITUTE(C838," ","")="소계"),"제외",IF(ISNUMBER(SEARCH("홍콩",C838)),"HK",IF(ISNUMBER(SEARCH("상해",C838)),"CN",IF(ISNUMBER(SEARCH("대만",C838)),"TW","홀세일"))))</f>
        <v>CN</v>
      </c>
      <c r="B838" s="36" t="s">
        <v>1019</v>
      </c>
      <c r="C838" s="37" t="s">
        <v>1020</v>
      </c>
      <c r="D838" s="37" t="s">
        <v>664</v>
      </c>
      <c r="E838" s="36" t="n">
        <v>2026</v>
      </c>
      <c r="F838" s="37" t="s">
        <v>363</v>
      </c>
      <c r="G838" s="37" t="s">
        <v>124</v>
      </c>
      <c r="H838" s="36" t="s">
        <v>188</v>
      </c>
      <c r="I838" s="36" t="s">
        <v>730</v>
      </c>
      <c r="J838" s="36" t="s">
        <v>731</v>
      </c>
      <c r="K838" s="38" t="n">
        <v>295</v>
      </c>
      <c r="L838" s="38" t="n">
        <v>32155000</v>
      </c>
      <c r="M838" s="38" t="n">
        <v>11686550</v>
      </c>
      <c r="N838" s="39" t="n">
        <f aca="false">IF(A838="제외",0,IF(OR(N(L838)&lt;=0,N(M838)&gt;N(L838)),N(M838)/요약!$D$27,N(L838)))</f>
        <v>32155000</v>
      </c>
      <c r="O838" s="32" t="str">
        <f aca="false">IF(A838="제외","",IF(OR(N(L838)&lt;=0,N(M838)&gt;N(L838)),"택가보정(판매금액÷공급율)",""))</f>
        <v/>
      </c>
      <c r="P838" s="0" t="str">
        <f aca="false">IF(A838="HK","100",IF(A838="CN","200",IF(A838="TW","300",IF(ISNUMBER(SEARCH("태국",C838)),"500",IF(ISNUMBER(SEARCH("말레이",C838)),"600",IF(ISNUMBER(SEARCH("필리핀",C838)),"700",IF(ISNUMBER(SEARCH("인도네시아",C838)),"800",IF(ISNUMBER(SEARCH("크루즈",C838)),"810",IF(ISNUMBER(SEARCH("동물원",C838)),"830","")))))))))</f>
        <v>200</v>
      </c>
    </row>
    <row r="839" customFormat="false" ht="15" hidden="false" customHeight="false" outlineLevel="0" collapsed="false">
      <c r="A839" s="32" t="str">
        <f aca="false">IF(OR(TRIM(C839)="",SUBSTITUTE(C839," ","")="소계"),"제외",IF(ISNUMBER(SEARCH("홍콩",C839)),"HK",IF(ISNUMBER(SEARCH("상해",C839)),"CN",IF(ISNUMBER(SEARCH("대만",C839)),"TW","홀세일"))))</f>
        <v>CN</v>
      </c>
      <c r="B839" s="36" t="s">
        <v>1019</v>
      </c>
      <c r="C839" s="37" t="s">
        <v>1020</v>
      </c>
      <c r="D839" s="37" t="s">
        <v>664</v>
      </c>
      <c r="E839" s="36" t="n">
        <v>2026</v>
      </c>
      <c r="F839" s="37" t="s">
        <v>363</v>
      </c>
      <c r="G839" s="37" t="s">
        <v>124</v>
      </c>
      <c r="H839" s="36" t="s">
        <v>188</v>
      </c>
      <c r="I839" s="36" t="s">
        <v>732</v>
      </c>
      <c r="J839" s="36" t="s">
        <v>733</v>
      </c>
      <c r="K839" s="38" t="n">
        <v>341</v>
      </c>
      <c r="L839" s="38" t="n">
        <v>159929000</v>
      </c>
      <c r="M839" s="38" t="n">
        <v>49822363</v>
      </c>
      <c r="N839" s="39" t="n">
        <f aca="false">IF(A839="제외",0,IF(OR(N(L839)&lt;=0,N(M839)&gt;N(L839)),N(M839)/요약!$D$27,N(L839)))</f>
        <v>159929000</v>
      </c>
      <c r="O839" s="32" t="str">
        <f aca="false">IF(A839="제외","",IF(OR(N(L839)&lt;=0,N(M839)&gt;N(L839)),"택가보정(판매금액÷공급율)",""))</f>
        <v/>
      </c>
      <c r="P839" s="0" t="str">
        <f aca="false">IF(A839="HK","100",IF(A839="CN","200",IF(A839="TW","300",IF(ISNUMBER(SEARCH("태국",C839)),"500",IF(ISNUMBER(SEARCH("말레이",C839)),"600",IF(ISNUMBER(SEARCH("필리핀",C839)),"700",IF(ISNUMBER(SEARCH("인도네시아",C839)),"800",IF(ISNUMBER(SEARCH("크루즈",C839)),"810",IF(ISNUMBER(SEARCH("동물원",C839)),"830","")))))))))</f>
        <v>200</v>
      </c>
    </row>
    <row r="840" customFormat="false" ht="15" hidden="false" customHeight="false" outlineLevel="0" collapsed="false">
      <c r="A840" s="32" t="str">
        <f aca="false">IF(OR(TRIM(C840)="",SUBSTITUTE(C840," ","")="소계"),"제외",IF(ISNUMBER(SEARCH("홍콩",C840)),"HK",IF(ISNUMBER(SEARCH("상해",C840)),"CN",IF(ISNUMBER(SEARCH("대만",C840)),"TW","홀세일"))))</f>
        <v>CN</v>
      </c>
      <c r="B840" s="36" t="s">
        <v>1019</v>
      </c>
      <c r="C840" s="37" t="s">
        <v>1020</v>
      </c>
      <c r="D840" s="37" t="s">
        <v>664</v>
      </c>
      <c r="E840" s="36" t="n">
        <v>2026</v>
      </c>
      <c r="F840" s="37" t="s">
        <v>363</v>
      </c>
      <c r="G840" s="37" t="s">
        <v>124</v>
      </c>
      <c r="H840" s="36" t="s">
        <v>188</v>
      </c>
      <c r="I840" s="36" t="s">
        <v>1176</v>
      </c>
      <c r="J840" s="36" t="s">
        <v>1177</v>
      </c>
      <c r="K840" s="38" t="n">
        <v>278</v>
      </c>
      <c r="L840" s="38" t="n">
        <v>60882000</v>
      </c>
      <c r="M840" s="38" t="n">
        <v>22768478</v>
      </c>
      <c r="N840" s="39" t="n">
        <f aca="false">IF(A840="제외",0,IF(OR(N(L840)&lt;=0,N(M840)&gt;N(L840)),N(M840)/요약!$D$27,N(L840)))</f>
        <v>60882000</v>
      </c>
      <c r="O840" s="32" t="str">
        <f aca="false">IF(A840="제외","",IF(OR(N(L840)&lt;=0,N(M840)&gt;N(L840)),"택가보정(판매금액÷공급율)",""))</f>
        <v/>
      </c>
      <c r="P840" s="0" t="str">
        <f aca="false">IF(A840="HK","100",IF(A840="CN","200",IF(A840="TW","300",IF(ISNUMBER(SEARCH("태국",C840)),"500",IF(ISNUMBER(SEARCH("말레이",C840)),"600",IF(ISNUMBER(SEARCH("필리핀",C840)),"700",IF(ISNUMBER(SEARCH("인도네시아",C840)),"800",IF(ISNUMBER(SEARCH("크루즈",C840)),"810",IF(ISNUMBER(SEARCH("동물원",C840)),"830","")))))))))</f>
        <v>200</v>
      </c>
    </row>
    <row r="841" customFormat="false" ht="15" hidden="false" customHeight="false" outlineLevel="0" collapsed="false">
      <c r="A841" s="32" t="str">
        <f aca="false">IF(OR(TRIM(C841)="",SUBSTITUTE(C841," ","")="소계"),"제외",IF(ISNUMBER(SEARCH("홍콩",C841)),"HK",IF(ISNUMBER(SEARCH("상해",C841)),"CN",IF(ISNUMBER(SEARCH("대만",C841)),"TW","홀세일"))))</f>
        <v>CN</v>
      </c>
      <c r="B841" s="36" t="s">
        <v>1019</v>
      </c>
      <c r="C841" s="37" t="s">
        <v>1020</v>
      </c>
      <c r="D841" s="37" t="s">
        <v>664</v>
      </c>
      <c r="E841" s="36" t="n">
        <v>2026</v>
      </c>
      <c r="F841" s="37" t="s">
        <v>363</v>
      </c>
      <c r="G841" s="37" t="s">
        <v>124</v>
      </c>
      <c r="H841" s="36" t="s">
        <v>188</v>
      </c>
      <c r="I841" s="36" t="s">
        <v>1017</v>
      </c>
      <c r="J841" s="36" t="s">
        <v>1018</v>
      </c>
      <c r="K841" s="38" t="n">
        <v>89</v>
      </c>
      <c r="L841" s="38" t="n">
        <v>28391000</v>
      </c>
      <c r="M841" s="38" t="n">
        <v>7483609</v>
      </c>
      <c r="N841" s="39" t="n">
        <f aca="false">IF(A841="제외",0,IF(OR(N(L841)&lt;=0,N(M841)&gt;N(L841)),N(M841)/요약!$D$27,N(L841)))</f>
        <v>28391000</v>
      </c>
      <c r="O841" s="32" t="str">
        <f aca="false">IF(A841="제외","",IF(OR(N(L841)&lt;=0,N(M841)&gt;N(L841)),"택가보정(판매금액÷공급율)",""))</f>
        <v/>
      </c>
      <c r="P841" s="0" t="str">
        <f aca="false">IF(A841="HK","100",IF(A841="CN","200",IF(A841="TW","300",IF(ISNUMBER(SEARCH("태국",C841)),"500",IF(ISNUMBER(SEARCH("말레이",C841)),"600",IF(ISNUMBER(SEARCH("필리핀",C841)),"700",IF(ISNUMBER(SEARCH("인도네시아",C841)),"800",IF(ISNUMBER(SEARCH("크루즈",C841)),"810",IF(ISNUMBER(SEARCH("동물원",C841)),"830","")))))))))</f>
        <v>200</v>
      </c>
    </row>
    <row r="842" customFormat="false" ht="15" hidden="false" customHeight="false" outlineLevel="0" collapsed="false">
      <c r="A842" s="32" t="str">
        <f aca="false">IF(OR(TRIM(C842)="",SUBSTITUTE(C842," ","")="소계"),"제외",IF(ISNUMBER(SEARCH("홍콩",C842)),"HK",IF(ISNUMBER(SEARCH("상해",C842)),"CN",IF(ISNUMBER(SEARCH("대만",C842)),"TW","홀세일"))))</f>
        <v>CN</v>
      </c>
      <c r="B842" s="36" t="s">
        <v>1019</v>
      </c>
      <c r="C842" s="37" t="s">
        <v>1020</v>
      </c>
      <c r="D842" s="37" t="s">
        <v>664</v>
      </c>
      <c r="E842" s="36" t="n">
        <v>2026</v>
      </c>
      <c r="F842" s="37" t="s">
        <v>363</v>
      </c>
      <c r="G842" s="37" t="s">
        <v>124</v>
      </c>
      <c r="H842" s="36" t="s">
        <v>188</v>
      </c>
      <c r="I842" s="36" t="s">
        <v>734</v>
      </c>
      <c r="J842" s="36" t="s">
        <v>735</v>
      </c>
      <c r="K842" s="38" t="n">
        <v>399</v>
      </c>
      <c r="L842" s="38" t="n">
        <v>79401000</v>
      </c>
      <c r="M842" s="38" t="n">
        <v>24286290</v>
      </c>
      <c r="N842" s="39" t="n">
        <f aca="false">IF(A842="제외",0,IF(OR(N(L842)&lt;=0,N(M842)&gt;N(L842)),N(M842)/요약!$D$27,N(L842)))</f>
        <v>79401000</v>
      </c>
      <c r="O842" s="32" t="str">
        <f aca="false">IF(A842="제외","",IF(OR(N(L842)&lt;=0,N(M842)&gt;N(L842)),"택가보정(판매금액÷공급율)",""))</f>
        <v/>
      </c>
      <c r="P842" s="0" t="str">
        <f aca="false">IF(A842="HK","100",IF(A842="CN","200",IF(A842="TW","300",IF(ISNUMBER(SEARCH("태국",C842)),"500",IF(ISNUMBER(SEARCH("말레이",C842)),"600",IF(ISNUMBER(SEARCH("필리핀",C842)),"700",IF(ISNUMBER(SEARCH("인도네시아",C842)),"800",IF(ISNUMBER(SEARCH("크루즈",C842)),"810",IF(ISNUMBER(SEARCH("동물원",C842)),"830","")))))))))</f>
        <v>200</v>
      </c>
    </row>
    <row r="843" customFormat="false" ht="15" hidden="false" customHeight="false" outlineLevel="0" collapsed="false">
      <c r="A843" s="32" t="str">
        <f aca="false">IF(OR(TRIM(C843)="",SUBSTITUTE(C843," ","")="소계"),"제외",IF(ISNUMBER(SEARCH("홍콩",C843)),"HK",IF(ISNUMBER(SEARCH("상해",C843)),"CN",IF(ISNUMBER(SEARCH("대만",C843)),"TW","홀세일"))))</f>
        <v>CN</v>
      </c>
      <c r="B843" s="36" t="s">
        <v>1019</v>
      </c>
      <c r="C843" s="37" t="s">
        <v>1020</v>
      </c>
      <c r="D843" s="37" t="s">
        <v>664</v>
      </c>
      <c r="E843" s="36" t="n">
        <v>2026</v>
      </c>
      <c r="F843" s="37" t="s">
        <v>363</v>
      </c>
      <c r="G843" s="37" t="s">
        <v>124</v>
      </c>
      <c r="H843" s="36" t="s">
        <v>188</v>
      </c>
      <c r="I843" s="36" t="s">
        <v>1178</v>
      </c>
      <c r="J843" s="36" t="s">
        <v>1179</v>
      </c>
      <c r="K843" s="38" t="n">
        <v>295</v>
      </c>
      <c r="L843" s="38" t="n">
        <v>58705000</v>
      </c>
      <c r="M843" s="38" t="n">
        <v>18906065</v>
      </c>
      <c r="N843" s="39" t="n">
        <f aca="false">IF(A843="제외",0,IF(OR(N(L843)&lt;=0,N(M843)&gt;N(L843)),N(M843)/요약!$D$27,N(L843)))</f>
        <v>58705000</v>
      </c>
      <c r="O843" s="32" t="str">
        <f aca="false">IF(A843="제외","",IF(OR(N(L843)&lt;=0,N(M843)&gt;N(L843)),"택가보정(판매금액÷공급율)",""))</f>
        <v/>
      </c>
      <c r="P843" s="0" t="str">
        <f aca="false">IF(A843="HK","100",IF(A843="CN","200",IF(A843="TW","300",IF(ISNUMBER(SEARCH("태국",C843)),"500",IF(ISNUMBER(SEARCH("말레이",C843)),"600",IF(ISNUMBER(SEARCH("필리핀",C843)),"700",IF(ISNUMBER(SEARCH("인도네시아",C843)),"800",IF(ISNUMBER(SEARCH("크루즈",C843)),"810",IF(ISNUMBER(SEARCH("동물원",C843)),"830","")))))))))</f>
        <v>200</v>
      </c>
    </row>
    <row r="844" customFormat="false" ht="15" hidden="false" customHeight="false" outlineLevel="0" collapsed="false">
      <c r="A844" s="32" t="str">
        <f aca="false">IF(OR(TRIM(C844)="",SUBSTITUTE(C844," ","")="소계"),"제외",IF(ISNUMBER(SEARCH("홍콩",C844)),"HK",IF(ISNUMBER(SEARCH("상해",C844)),"CN",IF(ISNUMBER(SEARCH("대만",C844)),"TW","홀세일"))))</f>
        <v>CN</v>
      </c>
      <c r="B844" s="36" t="s">
        <v>1019</v>
      </c>
      <c r="C844" s="37" t="s">
        <v>1020</v>
      </c>
      <c r="D844" s="37" t="s">
        <v>664</v>
      </c>
      <c r="E844" s="36" t="n">
        <v>2026</v>
      </c>
      <c r="F844" s="37" t="s">
        <v>363</v>
      </c>
      <c r="G844" s="37" t="s">
        <v>124</v>
      </c>
      <c r="H844" s="36" t="s">
        <v>188</v>
      </c>
      <c r="I844" s="36" t="s">
        <v>1180</v>
      </c>
      <c r="J844" s="36" t="s">
        <v>1181</v>
      </c>
      <c r="K844" s="38" t="n">
        <v>282</v>
      </c>
      <c r="L844" s="38" t="n">
        <v>16638000</v>
      </c>
      <c r="M844" s="38" t="n">
        <v>6139084</v>
      </c>
      <c r="N844" s="39" t="n">
        <f aca="false">IF(A844="제외",0,IF(OR(N(L844)&lt;=0,N(M844)&gt;N(L844)),N(M844)/요약!$D$27,N(L844)))</f>
        <v>16638000</v>
      </c>
      <c r="O844" s="32" t="str">
        <f aca="false">IF(A844="제외","",IF(OR(N(L844)&lt;=0,N(M844)&gt;N(L844)),"택가보정(판매금액÷공급율)",""))</f>
        <v/>
      </c>
      <c r="P844" s="0" t="str">
        <f aca="false">IF(A844="HK","100",IF(A844="CN","200",IF(A844="TW","300",IF(ISNUMBER(SEARCH("태국",C844)),"500",IF(ISNUMBER(SEARCH("말레이",C844)),"600",IF(ISNUMBER(SEARCH("필리핀",C844)),"700",IF(ISNUMBER(SEARCH("인도네시아",C844)),"800",IF(ISNUMBER(SEARCH("크루즈",C844)),"810",IF(ISNUMBER(SEARCH("동물원",C844)),"830","")))))))))</f>
        <v>200</v>
      </c>
    </row>
    <row r="845" customFormat="false" ht="15" hidden="false" customHeight="false" outlineLevel="0" collapsed="false">
      <c r="A845" s="32" t="str">
        <f aca="false">IF(OR(TRIM(C845)="",SUBSTITUTE(C845," ","")="소계"),"제외",IF(ISNUMBER(SEARCH("홍콩",C845)),"HK",IF(ISNUMBER(SEARCH("상해",C845)),"CN",IF(ISNUMBER(SEARCH("대만",C845)),"TW","홀세일"))))</f>
        <v>CN</v>
      </c>
      <c r="B845" s="36" t="s">
        <v>1019</v>
      </c>
      <c r="C845" s="37" t="s">
        <v>1020</v>
      </c>
      <c r="D845" s="37" t="s">
        <v>664</v>
      </c>
      <c r="E845" s="36" t="n">
        <v>2026</v>
      </c>
      <c r="F845" s="37" t="s">
        <v>474</v>
      </c>
      <c r="G845" s="37" t="s">
        <v>124</v>
      </c>
      <c r="H845" s="36" t="s">
        <v>131</v>
      </c>
      <c r="I845" s="36" t="s">
        <v>1182</v>
      </c>
      <c r="J845" s="37" t="s">
        <v>1183</v>
      </c>
      <c r="K845" s="38" t="n">
        <v>834</v>
      </c>
      <c r="L845" s="38" t="n">
        <v>165966000</v>
      </c>
      <c r="M845" s="38" t="n">
        <v>50250603</v>
      </c>
      <c r="N845" s="39" t="n">
        <f aca="false">IF(A845="제외",0,IF(OR(N(L845)&lt;=0,N(M845)&gt;N(L845)),N(M845)/요약!$D$27,N(L845)))</f>
        <v>165966000</v>
      </c>
      <c r="O845" s="32" t="str">
        <f aca="false">IF(A845="제외","",IF(OR(N(L845)&lt;=0,N(M845)&gt;N(L845)),"택가보정(판매금액÷공급율)",""))</f>
        <v/>
      </c>
      <c r="P845" s="0" t="str">
        <f aca="false">IF(A845="HK","100",IF(A845="CN","200",IF(A845="TW","300",IF(ISNUMBER(SEARCH("태국",C845)),"500",IF(ISNUMBER(SEARCH("말레이",C845)),"600",IF(ISNUMBER(SEARCH("필리핀",C845)),"700",IF(ISNUMBER(SEARCH("인도네시아",C845)),"800",IF(ISNUMBER(SEARCH("크루즈",C845)),"810",IF(ISNUMBER(SEARCH("동물원",C845)),"830","")))))))))</f>
        <v>200</v>
      </c>
    </row>
    <row r="846" customFormat="false" ht="15" hidden="false" customHeight="false" outlineLevel="0" collapsed="false">
      <c r="A846" s="32" t="str">
        <f aca="false">IF(OR(TRIM(C846)="",SUBSTITUTE(C846," ","")="소계"),"제외",IF(ISNUMBER(SEARCH("홍콩",C846)),"HK",IF(ISNUMBER(SEARCH("상해",C846)),"CN",IF(ISNUMBER(SEARCH("대만",C846)),"TW","홀세일"))))</f>
        <v>CN</v>
      </c>
      <c r="B846" s="36" t="s">
        <v>1019</v>
      </c>
      <c r="C846" s="37" t="s">
        <v>1020</v>
      </c>
      <c r="D846" s="37" t="s">
        <v>664</v>
      </c>
      <c r="E846" s="36" t="n">
        <v>2026</v>
      </c>
      <c r="F846" s="37" t="s">
        <v>474</v>
      </c>
      <c r="G846" s="37" t="s">
        <v>124</v>
      </c>
      <c r="H846" s="36" t="s">
        <v>131</v>
      </c>
      <c r="I846" s="36" t="s">
        <v>1184</v>
      </c>
      <c r="J846" s="37" t="s">
        <v>1185</v>
      </c>
      <c r="K846" s="38" t="n">
        <v>356</v>
      </c>
      <c r="L846" s="38" t="n">
        <v>70844000</v>
      </c>
      <c r="M846" s="38" t="n">
        <v>24119788</v>
      </c>
      <c r="N846" s="39" t="n">
        <f aca="false">IF(A846="제외",0,IF(OR(N(L846)&lt;=0,N(M846)&gt;N(L846)),N(M846)/요약!$D$27,N(L846)))</f>
        <v>70844000</v>
      </c>
      <c r="O846" s="32" t="str">
        <f aca="false">IF(A846="제외","",IF(OR(N(L846)&lt;=0,N(M846)&gt;N(L846)),"택가보정(판매금액÷공급율)",""))</f>
        <v/>
      </c>
      <c r="P846" s="0" t="str">
        <f aca="false">IF(A846="HK","100",IF(A846="CN","200",IF(A846="TW","300",IF(ISNUMBER(SEARCH("태국",C846)),"500",IF(ISNUMBER(SEARCH("말레이",C846)),"600",IF(ISNUMBER(SEARCH("필리핀",C846)),"700",IF(ISNUMBER(SEARCH("인도네시아",C846)),"800",IF(ISNUMBER(SEARCH("크루즈",C846)),"810",IF(ISNUMBER(SEARCH("동물원",C846)),"830","")))))))))</f>
        <v>200</v>
      </c>
    </row>
    <row r="847" customFormat="false" ht="15" hidden="false" customHeight="false" outlineLevel="0" collapsed="false">
      <c r="A847" s="32" t="str">
        <f aca="false">IF(OR(TRIM(C847)="",SUBSTITUTE(C847," ","")="소계"),"제외",IF(ISNUMBER(SEARCH("홍콩",C847)),"HK",IF(ISNUMBER(SEARCH("상해",C847)),"CN",IF(ISNUMBER(SEARCH("대만",C847)),"TW","홀세일"))))</f>
        <v>CN</v>
      </c>
      <c r="B847" s="36" t="s">
        <v>1019</v>
      </c>
      <c r="C847" s="37" t="s">
        <v>1020</v>
      </c>
      <c r="D847" s="37" t="s">
        <v>664</v>
      </c>
      <c r="E847" s="36" t="n">
        <v>2026</v>
      </c>
      <c r="F847" s="37" t="s">
        <v>474</v>
      </c>
      <c r="G847" s="37" t="s">
        <v>124</v>
      </c>
      <c r="H847" s="36" t="s">
        <v>131</v>
      </c>
      <c r="I847" s="36" t="s">
        <v>1186</v>
      </c>
      <c r="J847" s="37" t="s">
        <v>1187</v>
      </c>
      <c r="K847" s="38" t="n">
        <v>219</v>
      </c>
      <c r="L847" s="38" t="n">
        <v>39201000</v>
      </c>
      <c r="M847" s="38" t="n">
        <v>14762554</v>
      </c>
      <c r="N847" s="39" t="n">
        <f aca="false">IF(A847="제외",0,IF(OR(N(L847)&lt;=0,N(M847)&gt;N(L847)),N(M847)/요약!$D$27,N(L847)))</f>
        <v>39201000</v>
      </c>
      <c r="O847" s="32" t="str">
        <f aca="false">IF(A847="제외","",IF(OR(N(L847)&lt;=0,N(M847)&gt;N(L847)),"택가보정(판매금액÷공급율)",""))</f>
        <v/>
      </c>
      <c r="P847" s="0" t="str">
        <f aca="false">IF(A847="HK","100",IF(A847="CN","200",IF(A847="TW","300",IF(ISNUMBER(SEARCH("태국",C847)),"500",IF(ISNUMBER(SEARCH("말레이",C847)),"600",IF(ISNUMBER(SEARCH("필리핀",C847)),"700",IF(ISNUMBER(SEARCH("인도네시아",C847)),"800",IF(ISNUMBER(SEARCH("크루즈",C847)),"810",IF(ISNUMBER(SEARCH("동물원",C847)),"830","")))))))))</f>
        <v>200</v>
      </c>
    </row>
    <row r="848" customFormat="false" ht="15" hidden="false" customHeight="false" outlineLevel="0" collapsed="false">
      <c r="A848" s="32" t="str">
        <f aca="false">IF(OR(TRIM(C848)="",SUBSTITUTE(C848," ","")="소계"),"제외",IF(ISNUMBER(SEARCH("홍콩",C848)),"HK",IF(ISNUMBER(SEARCH("상해",C848)),"CN",IF(ISNUMBER(SEARCH("대만",C848)),"TW","홀세일"))))</f>
        <v>CN</v>
      </c>
      <c r="B848" s="36" t="s">
        <v>1019</v>
      </c>
      <c r="C848" s="37" t="s">
        <v>1020</v>
      </c>
      <c r="D848" s="37" t="s">
        <v>664</v>
      </c>
      <c r="E848" s="36" t="n">
        <v>2026</v>
      </c>
      <c r="F848" s="37" t="s">
        <v>474</v>
      </c>
      <c r="G848" s="37" t="s">
        <v>124</v>
      </c>
      <c r="H848" s="36" t="s">
        <v>125</v>
      </c>
      <c r="I848" s="36" t="s">
        <v>736</v>
      </c>
      <c r="J848" s="37" t="s">
        <v>737</v>
      </c>
      <c r="K848" s="38" t="n">
        <v>578</v>
      </c>
      <c r="L848" s="38" t="n">
        <v>508062000</v>
      </c>
      <c r="M848" s="38" t="n">
        <v>148007712</v>
      </c>
      <c r="N848" s="39" t="n">
        <f aca="false">IF(A848="제외",0,IF(OR(N(L848)&lt;=0,N(M848)&gt;N(L848)),N(M848)/요약!$D$27,N(L848)))</f>
        <v>508062000</v>
      </c>
      <c r="O848" s="32" t="str">
        <f aca="false">IF(A848="제외","",IF(OR(N(L848)&lt;=0,N(M848)&gt;N(L848)),"택가보정(판매금액÷공급율)",""))</f>
        <v/>
      </c>
      <c r="P848" s="0" t="str">
        <f aca="false">IF(A848="HK","100",IF(A848="CN","200",IF(A848="TW","300",IF(ISNUMBER(SEARCH("태국",C848)),"500",IF(ISNUMBER(SEARCH("말레이",C848)),"600",IF(ISNUMBER(SEARCH("필리핀",C848)),"700",IF(ISNUMBER(SEARCH("인도네시아",C848)),"800",IF(ISNUMBER(SEARCH("크루즈",C848)),"810",IF(ISNUMBER(SEARCH("동물원",C848)),"830","")))))))))</f>
        <v>200</v>
      </c>
    </row>
    <row r="849" customFormat="false" ht="15" hidden="false" customHeight="false" outlineLevel="0" collapsed="false">
      <c r="A849" s="32" t="str">
        <f aca="false">IF(OR(TRIM(C849)="",SUBSTITUTE(C849," ","")="소계"),"제외",IF(ISNUMBER(SEARCH("홍콩",C849)),"HK",IF(ISNUMBER(SEARCH("상해",C849)),"CN",IF(ISNUMBER(SEARCH("대만",C849)),"TW","홀세일"))))</f>
        <v>CN</v>
      </c>
      <c r="B849" s="36" t="s">
        <v>1019</v>
      </c>
      <c r="C849" s="37" t="s">
        <v>1020</v>
      </c>
      <c r="D849" s="37" t="s">
        <v>664</v>
      </c>
      <c r="E849" s="36" t="n">
        <v>2026</v>
      </c>
      <c r="F849" s="37" t="s">
        <v>474</v>
      </c>
      <c r="G849" s="37" t="s">
        <v>124</v>
      </c>
      <c r="H849" s="36" t="s">
        <v>125</v>
      </c>
      <c r="I849" s="36" t="s">
        <v>1188</v>
      </c>
      <c r="J849" s="37" t="s">
        <v>1189</v>
      </c>
      <c r="K849" s="38" t="n">
        <v>81</v>
      </c>
      <c r="L849" s="38" t="n">
        <v>44469000</v>
      </c>
      <c r="M849" s="38" t="n">
        <v>13876649</v>
      </c>
      <c r="N849" s="39" t="n">
        <f aca="false">IF(A849="제외",0,IF(OR(N(L849)&lt;=0,N(M849)&gt;N(L849)),N(M849)/요약!$D$27,N(L849)))</f>
        <v>44469000</v>
      </c>
      <c r="O849" s="32" t="str">
        <f aca="false">IF(A849="제외","",IF(OR(N(L849)&lt;=0,N(M849)&gt;N(L849)),"택가보정(판매금액÷공급율)",""))</f>
        <v/>
      </c>
      <c r="P849" s="0" t="str">
        <f aca="false">IF(A849="HK","100",IF(A849="CN","200",IF(A849="TW","300",IF(ISNUMBER(SEARCH("태국",C849)),"500",IF(ISNUMBER(SEARCH("말레이",C849)),"600",IF(ISNUMBER(SEARCH("필리핀",C849)),"700",IF(ISNUMBER(SEARCH("인도네시아",C849)),"800",IF(ISNUMBER(SEARCH("크루즈",C849)),"810",IF(ISNUMBER(SEARCH("동물원",C849)),"830","")))))))))</f>
        <v>200</v>
      </c>
    </row>
    <row r="850" customFormat="false" ht="15" hidden="false" customHeight="false" outlineLevel="0" collapsed="false">
      <c r="A850" s="32" t="str">
        <f aca="false">IF(OR(TRIM(C850)="",SUBSTITUTE(C850," ","")="소계"),"제외",IF(ISNUMBER(SEARCH("홍콩",C850)),"HK",IF(ISNUMBER(SEARCH("상해",C850)),"CN",IF(ISNUMBER(SEARCH("대만",C850)),"TW","홀세일"))))</f>
        <v>CN</v>
      </c>
      <c r="B850" s="36" t="s">
        <v>1019</v>
      </c>
      <c r="C850" s="37" t="s">
        <v>1020</v>
      </c>
      <c r="D850" s="37" t="s">
        <v>664</v>
      </c>
      <c r="E850" s="36" t="n">
        <v>2026</v>
      </c>
      <c r="F850" s="37" t="s">
        <v>474</v>
      </c>
      <c r="G850" s="37" t="s">
        <v>124</v>
      </c>
      <c r="H850" s="36" t="s">
        <v>125</v>
      </c>
      <c r="I850" s="36" t="s">
        <v>1190</v>
      </c>
      <c r="J850" s="37" t="s">
        <v>1191</v>
      </c>
      <c r="K850" s="38" t="n">
        <v>317</v>
      </c>
      <c r="L850" s="38" t="n">
        <v>174033000</v>
      </c>
      <c r="M850" s="38" t="n">
        <v>52744919</v>
      </c>
      <c r="N850" s="39" t="n">
        <f aca="false">IF(A850="제외",0,IF(OR(N(L850)&lt;=0,N(M850)&gt;N(L850)),N(M850)/요약!$D$27,N(L850)))</f>
        <v>174033000</v>
      </c>
      <c r="O850" s="32" t="str">
        <f aca="false">IF(A850="제외","",IF(OR(N(L850)&lt;=0,N(M850)&gt;N(L850)),"택가보정(판매금액÷공급율)",""))</f>
        <v/>
      </c>
      <c r="P850" s="0" t="str">
        <f aca="false">IF(A850="HK","100",IF(A850="CN","200",IF(A850="TW","300",IF(ISNUMBER(SEARCH("태국",C850)),"500",IF(ISNUMBER(SEARCH("말레이",C850)),"600",IF(ISNUMBER(SEARCH("필리핀",C850)),"700",IF(ISNUMBER(SEARCH("인도네시아",C850)),"800",IF(ISNUMBER(SEARCH("크루즈",C850)),"810",IF(ISNUMBER(SEARCH("동물원",C850)),"830","")))))))))</f>
        <v>200</v>
      </c>
    </row>
    <row r="851" customFormat="false" ht="15" hidden="false" customHeight="false" outlineLevel="0" collapsed="false">
      <c r="A851" s="32" t="str">
        <f aca="false">IF(OR(TRIM(C851)="",SUBSTITUTE(C851," ","")="소계"),"제외",IF(ISNUMBER(SEARCH("홍콩",C851)),"HK",IF(ISNUMBER(SEARCH("상해",C851)),"CN",IF(ISNUMBER(SEARCH("대만",C851)),"TW","홀세일"))))</f>
        <v>CN</v>
      </c>
      <c r="B851" s="36" t="s">
        <v>1019</v>
      </c>
      <c r="C851" s="37" t="s">
        <v>1020</v>
      </c>
      <c r="D851" s="37" t="s">
        <v>664</v>
      </c>
      <c r="E851" s="36" t="n">
        <v>2026</v>
      </c>
      <c r="F851" s="37" t="s">
        <v>474</v>
      </c>
      <c r="G851" s="37" t="s">
        <v>124</v>
      </c>
      <c r="H851" s="36" t="s">
        <v>131</v>
      </c>
      <c r="I851" s="36" t="s">
        <v>1192</v>
      </c>
      <c r="J851" s="37" t="s">
        <v>1193</v>
      </c>
      <c r="K851" s="38" t="n">
        <v>422</v>
      </c>
      <c r="L851" s="38" t="n">
        <v>151498000</v>
      </c>
      <c r="M851" s="38" t="n">
        <v>43656162</v>
      </c>
      <c r="N851" s="39" t="n">
        <f aca="false">IF(A851="제외",0,IF(OR(N(L851)&lt;=0,N(M851)&gt;N(L851)),N(M851)/요약!$D$27,N(L851)))</f>
        <v>151498000</v>
      </c>
      <c r="O851" s="32" t="str">
        <f aca="false">IF(A851="제외","",IF(OR(N(L851)&lt;=0,N(M851)&gt;N(L851)),"택가보정(판매금액÷공급율)",""))</f>
        <v/>
      </c>
      <c r="P851" s="0" t="str">
        <f aca="false">IF(A851="HK","100",IF(A851="CN","200",IF(A851="TW","300",IF(ISNUMBER(SEARCH("태국",C851)),"500",IF(ISNUMBER(SEARCH("말레이",C851)),"600",IF(ISNUMBER(SEARCH("필리핀",C851)),"700",IF(ISNUMBER(SEARCH("인도네시아",C851)),"800",IF(ISNUMBER(SEARCH("크루즈",C851)),"810",IF(ISNUMBER(SEARCH("동물원",C851)),"830","")))))))))</f>
        <v>200</v>
      </c>
    </row>
    <row r="852" customFormat="false" ht="15" hidden="false" customHeight="false" outlineLevel="0" collapsed="false">
      <c r="A852" s="32" t="str">
        <f aca="false">IF(OR(TRIM(C852)="",SUBSTITUTE(C852," ","")="소계"),"제외",IF(ISNUMBER(SEARCH("홍콩",C852)),"HK",IF(ISNUMBER(SEARCH("상해",C852)),"CN",IF(ISNUMBER(SEARCH("대만",C852)),"TW","홀세일"))))</f>
        <v>CN</v>
      </c>
      <c r="B852" s="36" t="s">
        <v>1019</v>
      </c>
      <c r="C852" s="37" t="s">
        <v>1020</v>
      </c>
      <c r="D852" s="37" t="s">
        <v>664</v>
      </c>
      <c r="E852" s="36" t="n">
        <v>2026</v>
      </c>
      <c r="F852" s="37" t="s">
        <v>474</v>
      </c>
      <c r="G852" s="37" t="s">
        <v>124</v>
      </c>
      <c r="H852" s="36" t="s">
        <v>131</v>
      </c>
      <c r="I852" s="36" t="s">
        <v>1194</v>
      </c>
      <c r="J852" s="37" t="s">
        <v>1195</v>
      </c>
      <c r="K852" s="38" t="n">
        <v>141</v>
      </c>
      <c r="L852" s="38" t="n">
        <v>36519000</v>
      </c>
      <c r="M852" s="38" t="n">
        <v>12266196</v>
      </c>
      <c r="N852" s="39" t="n">
        <f aca="false">IF(A852="제외",0,IF(OR(N(L852)&lt;=0,N(M852)&gt;N(L852)),N(M852)/요약!$D$27,N(L852)))</f>
        <v>36519000</v>
      </c>
      <c r="O852" s="32" t="str">
        <f aca="false">IF(A852="제외","",IF(OR(N(L852)&lt;=0,N(M852)&gt;N(L852)),"택가보정(판매금액÷공급율)",""))</f>
        <v/>
      </c>
      <c r="P852" s="0" t="str">
        <f aca="false">IF(A852="HK","100",IF(A852="CN","200",IF(A852="TW","300",IF(ISNUMBER(SEARCH("태국",C852)),"500",IF(ISNUMBER(SEARCH("말레이",C852)),"600",IF(ISNUMBER(SEARCH("필리핀",C852)),"700",IF(ISNUMBER(SEARCH("인도네시아",C852)),"800",IF(ISNUMBER(SEARCH("크루즈",C852)),"810",IF(ISNUMBER(SEARCH("동물원",C852)),"830","")))))))))</f>
        <v>200</v>
      </c>
    </row>
    <row r="853" customFormat="false" ht="15" hidden="false" customHeight="false" outlineLevel="0" collapsed="false">
      <c r="A853" s="32" t="str">
        <f aca="false">IF(OR(TRIM(C853)="",SUBSTITUTE(C853," ","")="소계"),"제외",IF(ISNUMBER(SEARCH("홍콩",C853)),"HK",IF(ISNUMBER(SEARCH("상해",C853)),"CN",IF(ISNUMBER(SEARCH("대만",C853)),"TW","홀세일"))))</f>
        <v>CN</v>
      </c>
      <c r="B853" s="36" t="s">
        <v>1019</v>
      </c>
      <c r="C853" s="37" t="s">
        <v>1020</v>
      </c>
      <c r="D853" s="37" t="s">
        <v>664</v>
      </c>
      <c r="E853" s="36" t="n">
        <v>2026</v>
      </c>
      <c r="F853" s="37" t="s">
        <v>474</v>
      </c>
      <c r="G853" s="37" t="s">
        <v>124</v>
      </c>
      <c r="H853" s="36" t="s">
        <v>131</v>
      </c>
      <c r="I853" s="36" t="s">
        <v>1196</v>
      </c>
      <c r="J853" s="37" t="s">
        <v>1197</v>
      </c>
      <c r="K853" s="38" t="n">
        <v>403</v>
      </c>
      <c r="L853" s="38" t="n">
        <v>92287000</v>
      </c>
      <c r="M853" s="38" t="n">
        <v>37721993</v>
      </c>
      <c r="N853" s="39" t="n">
        <f aca="false">IF(A853="제외",0,IF(OR(N(L853)&lt;=0,N(M853)&gt;N(L853)),N(M853)/요약!$D$27,N(L853)))</f>
        <v>92287000</v>
      </c>
      <c r="O853" s="32" t="str">
        <f aca="false">IF(A853="제외","",IF(OR(N(L853)&lt;=0,N(M853)&gt;N(L853)),"택가보정(판매금액÷공급율)",""))</f>
        <v/>
      </c>
      <c r="P853" s="0" t="str">
        <f aca="false">IF(A853="HK","100",IF(A853="CN","200",IF(A853="TW","300",IF(ISNUMBER(SEARCH("태국",C853)),"500",IF(ISNUMBER(SEARCH("말레이",C853)),"600",IF(ISNUMBER(SEARCH("필리핀",C853)),"700",IF(ISNUMBER(SEARCH("인도네시아",C853)),"800",IF(ISNUMBER(SEARCH("크루즈",C853)),"810",IF(ISNUMBER(SEARCH("동물원",C853)),"830","")))))))))</f>
        <v>200</v>
      </c>
    </row>
    <row r="854" customFormat="false" ht="15" hidden="false" customHeight="false" outlineLevel="0" collapsed="false">
      <c r="A854" s="32" t="str">
        <f aca="false">IF(OR(TRIM(C854)="",SUBSTITUTE(C854," ","")="소계"),"제외",IF(ISNUMBER(SEARCH("홍콩",C854)),"HK",IF(ISNUMBER(SEARCH("상해",C854)),"CN",IF(ISNUMBER(SEARCH("대만",C854)),"TW","홀세일"))))</f>
        <v>CN</v>
      </c>
      <c r="B854" s="36" t="s">
        <v>1019</v>
      </c>
      <c r="C854" s="37" t="s">
        <v>1020</v>
      </c>
      <c r="D854" s="37" t="s">
        <v>664</v>
      </c>
      <c r="E854" s="36" t="n">
        <v>2026</v>
      </c>
      <c r="F854" s="37" t="s">
        <v>474</v>
      </c>
      <c r="G854" s="37" t="s">
        <v>124</v>
      </c>
      <c r="H854" s="36" t="s">
        <v>131</v>
      </c>
      <c r="I854" s="36" t="s">
        <v>1198</v>
      </c>
      <c r="J854" s="37" t="s">
        <v>1199</v>
      </c>
      <c r="K854" s="38" t="n">
        <v>346</v>
      </c>
      <c r="L854" s="38" t="n">
        <v>51554000</v>
      </c>
      <c r="M854" s="38" t="n">
        <v>19874808</v>
      </c>
      <c r="N854" s="39" t="n">
        <f aca="false">IF(A854="제외",0,IF(OR(N(L854)&lt;=0,N(M854)&gt;N(L854)),N(M854)/요약!$D$27,N(L854)))</f>
        <v>51554000</v>
      </c>
      <c r="O854" s="32" t="str">
        <f aca="false">IF(A854="제외","",IF(OR(N(L854)&lt;=0,N(M854)&gt;N(L854)),"택가보정(판매금액÷공급율)",""))</f>
        <v/>
      </c>
      <c r="P854" s="0" t="str">
        <f aca="false">IF(A854="HK","100",IF(A854="CN","200",IF(A854="TW","300",IF(ISNUMBER(SEARCH("태국",C854)),"500",IF(ISNUMBER(SEARCH("말레이",C854)),"600",IF(ISNUMBER(SEARCH("필리핀",C854)),"700",IF(ISNUMBER(SEARCH("인도네시아",C854)),"800",IF(ISNUMBER(SEARCH("크루즈",C854)),"810",IF(ISNUMBER(SEARCH("동물원",C854)),"830","")))))))))</f>
        <v>200</v>
      </c>
    </row>
    <row r="855" customFormat="false" ht="15" hidden="false" customHeight="false" outlineLevel="0" collapsed="false">
      <c r="A855" s="32" t="str">
        <f aca="false">IF(OR(TRIM(C855)="",SUBSTITUTE(C855," ","")="소계"),"제외",IF(ISNUMBER(SEARCH("홍콩",C855)),"HK",IF(ISNUMBER(SEARCH("상해",C855)),"CN",IF(ISNUMBER(SEARCH("대만",C855)),"TW","홀세일"))))</f>
        <v>CN</v>
      </c>
      <c r="B855" s="36" t="s">
        <v>1019</v>
      </c>
      <c r="C855" s="37" t="s">
        <v>1020</v>
      </c>
      <c r="D855" s="37" t="s">
        <v>664</v>
      </c>
      <c r="E855" s="36" t="n">
        <v>2026</v>
      </c>
      <c r="F855" s="37" t="s">
        <v>474</v>
      </c>
      <c r="G855" s="37" t="s">
        <v>124</v>
      </c>
      <c r="H855" s="36" t="s">
        <v>131</v>
      </c>
      <c r="I855" s="36" t="s">
        <v>1200</v>
      </c>
      <c r="J855" s="37" t="s">
        <v>1201</v>
      </c>
      <c r="K855" s="38" t="n">
        <v>322</v>
      </c>
      <c r="L855" s="38" t="n">
        <v>44758000</v>
      </c>
      <c r="M855" s="38" t="n">
        <v>14481314</v>
      </c>
      <c r="N855" s="39" t="n">
        <f aca="false">IF(A855="제외",0,IF(OR(N(L855)&lt;=0,N(M855)&gt;N(L855)),N(M855)/요약!$D$27,N(L855)))</f>
        <v>44758000</v>
      </c>
      <c r="O855" s="32" t="str">
        <f aca="false">IF(A855="제외","",IF(OR(N(L855)&lt;=0,N(M855)&gt;N(L855)),"택가보정(판매금액÷공급율)",""))</f>
        <v/>
      </c>
      <c r="P855" s="0" t="str">
        <f aca="false">IF(A855="HK","100",IF(A855="CN","200",IF(A855="TW","300",IF(ISNUMBER(SEARCH("태국",C855)),"500",IF(ISNUMBER(SEARCH("말레이",C855)),"600",IF(ISNUMBER(SEARCH("필리핀",C855)),"700",IF(ISNUMBER(SEARCH("인도네시아",C855)),"800",IF(ISNUMBER(SEARCH("크루즈",C855)),"810",IF(ISNUMBER(SEARCH("동물원",C855)),"830","")))))))))</f>
        <v>200</v>
      </c>
    </row>
    <row r="856" customFormat="false" ht="15" hidden="false" customHeight="false" outlineLevel="0" collapsed="false">
      <c r="A856" s="32" t="str">
        <f aca="false">IF(OR(TRIM(C856)="",SUBSTITUTE(C856," ","")="소계"),"제외",IF(ISNUMBER(SEARCH("홍콩",C856)),"HK",IF(ISNUMBER(SEARCH("상해",C856)),"CN",IF(ISNUMBER(SEARCH("대만",C856)),"TW","홀세일"))))</f>
        <v>CN</v>
      </c>
      <c r="B856" s="36" t="s">
        <v>1019</v>
      </c>
      <c r="C856" s="37" t="s">
        <v>1020</v>
      </c>
      <c r="D856" s="37" t="s">
        <v>664</v>
      </c>
      <c r="E856" s="36" t="n">
        <v>2026</v>
      </c>
      <c r="F856" s="37" t="s">
        <v>474</v>
      </c>
      <c r="G856" s="37" t="s">
        <v>124</v>
      </c>
      <c r="H856" s="36" t="s">
        <v>131</v>
      </c>
      <c r="I856" s="36" t="s">
        <v>1202</v>
      </c>
      <c r="J856" s="37" t="s">
        <v>1203</v>
      </c>
      <c r="K856" s="38" t="n">
        <v>412</v>
      </c>
      <c r="L856" s="38" t="n">
        <v>49028000</v>
      </c>
      <c r="M856" s="38" t="n">
        <v>16801526</v>
      </c>
      <c r="N856" s="39" t="n">
        <f aca="false">IF(A856="제외",0,IF(OR(N(L856)&lt;=0,N(M856)&gt;N(L856)),N(M856)/요약!$D$27,N(L856)))</f>
        <v>49028000</v>
      </c>
      <c r="O856" s="32" t="str">
        <f aca="false">IF(A856="제외","",IF(OR(N(L856)&lt;=0,N(M856)&gt;N(L856)),"택가보정(판매금액÷공급율)",""))</f>
        <v/>
      </c>
      <c r="P856" s="0" t="str">
        <f aca="false">IF(A856="HK","100",IF(A856="CN","200",IF(A856="TW","300",IF(ISNUMBER(SEARCH("태국",C856)),"500",IF(ISNUMBER(SEARCH("말레이",C856)),"600",IF(ISNUMBER(SEARCH("필리핀",C856)),"700",IF(ISNUMBER(SEARCH("인도네시아",C856)),"800",IF(ISNUMBER(SEARCH("크루즈",C856)),"810",IF(ISNUMBER(SEARCH("동물원",C856)),"830","")))))))))</f>
        <v>200</v>
      </c>
    </row>
    <row r="857" customFormat="false" ht="15" hidden="false" customHeight="false" outlineLevel="0" collapsed="false">
      <c r="A857" s="32" t="str">
        <f aca="false">IF(OR(TRIM(C857)="",SUBSTITUTE(C857," ","")="소계"),"제외",IF(ISNUMBER(SEARCH("홍콩",C857)),"HK",IF(ISNUMBER(SEARCH("상해",C857)),"CN",IF(ISNUMBER(SEARCH("대만",C857)),"TW","홀세일"))))</f>
        <v>CN</v>
      </c>
      <c r="B857" s="36" t="s">
        <v>1019</v>
      </c>
      <c r="C857" s="37" t="s">
        <v>1020</v>
      </c>
      <c r="D857" s="37" t="s">
        <v>664</v>
      </c>
      <c r="E857" s="36" t="n">
        <v>2026</v>
      </c>
      <c r="F857" s="37" t="s">
        <v>474</v>
      </c>
      <c r="G857" s="37" t="s">
        <v>124</v>
      </c>
      <c r="H857" s="36" t="s">
        <v>125</v>
      </c>
      <c r="I857" s="36" t="s">
        <v>1204</v>
      </c>
      <c r="J857" s="36" t="s">
        <v>1205</v>
      </c>
      <c r="K857" s="38" t="n">
        <v>611</v>
      </c>
      <c r="L857" s="38" t="n">
        <v>243789000</v>
      </c>
      <c r="M857" s="38" t="n">
        <v>87532383</v>
      </c>
      <c r="N857" s="39" t="n">
        <f aca="false">IF(A857="제외",0,IF(OR(N(L857)&lt;=0,N(M857)&gt;N(L857)),N(M857)/요약!$D$27,N(L857)))</f>
        <v>243789000</v>
      </c>
      <c r="O857" s="32" t="str">
        <f aca="false">IF(A857="제외","",IF(OR(N(L857)&lt;=0,N(M857)&gt;N(L857)),"택가보정(판매금액÷공급율)",""))</f>
        <v/>
      </c>
      <c r="P857" s="0" t="str">
        <f aca="false">IF(A857="HK","100",IF(A857="CN","200",IF(A857="TW","300",IF(ISNUMBER(SEARCH("태국",C857)),"500",IF(ISNUMBER(SEARCH("말레이",C857)),"600",IF(ISNUMBER(SEARCH("필리핀",C857)),"700",IF(ISNUMBER(SEARCH("인도네시아",C857)),"800",IF(ISNUMBER(SEARCH("크루즈",C857)),"810",IF(ISNUMBER(SEARCH("동물원",C857)),"830","")))))))))</f>
        <v>200</v>
      </c>
    </row>
    <row r="858" customFormat="false" ht="15" hidden="false" customHeight="false" outlineLevel="0" collapsed="false">
      <c r="A858" s="32" t="str">
        <f aca="false">IF(OR(TRIM(C858)="",SUBSTITUTE(C858," ","")="소계"),"제외",IF(ISNUMBER(SEARCH("홍콩",C858)),"HK",IF(ISNUMBER(SEARCH("상해",C858)),"CN",IF(ISNUMBER(SEARCH("대만",C858)),"TW","홀세일"))))</f>
        <v>CN</v>
      </c>
      <c r="B858" s="36" t="s">
        <v>1019</v>
      </c>
      <c r="C858" s="37" t="s">
        <v>1020</v>
      </c>
      <c r="D858" s="37" t="s">
        <v>664</v>
      </c>
      <c r="E858" s="36" t="n">
        <v>2026</v>
      </c>
      <c r="F858" s="37" t="s">
        <v>474</v>
      </c>
      <c r="G858" s="37" t="s">
        <v>124</v>
      </c>
      <c r="H858" s="36" t="s">
        <v>125</v>
      </c>
      <c r="I858" s="36" t="s">
        <v>1206</v>
      </c>
      <c r="J858" s="37" t="s">
        <v>1207</v>
      </c>
      <c r="K858" s="38" t="n">
        <v>81</v>
      </c>
      <c r="L858" s="38" t="n">
        <v>72090000</v>
      </c>
      <c r="M858" s="38" t="n">
        <v>24521394</v>
      </c>
      <c r="N858" s="39" t="n">
        <f aca="false">IF(A858="제외",0,IF(OR(N(L858)&lt;=0,N(M858)&gt;N(L858)),N(M858)/요약!$D$27,N(L858)))</f>
        <v>72090000</v>
      </c>
      <c r="O858" s="32" t="str">
        <f aca="false">IF(A858="제외","",IF(OR(N(L858)&lt;=0,N(M858)&gt;N(L858)),"택가보정(판매금액÷공급율)",""))</f>
        <v/>
      </c>
      <c r="P858" s="0" t="str">
        <f aca="false">IF(A858="HK","100",IF(A858="CN","200",IF(A858="TW","300",IF(ISNUMBER(SEARCH("태국",C858)),"500",IF(ISNUMBER(SEARCH("말레이",C858)),"600",IF(ISNUMBER(SEARCH("필리핀",C858)),"700",IF(ISNUMBER(SEARCH("인도네시아",C858)),"800",IF(ISNUMBER(SEARCH("크루즈",C858)),"810",IF(ISNUMBER(SEARCH("동물원",C858)),"830","")))))))))</f>
        <v>200</v>
      </c>
    </row>
    <row r="859" customFormat="false" ht="15" hidden="false" customHeight="false" outlineLevel="0" collapsed="false">
      <c r="A859" s="32" t="str">
        <f aca="false">IF(OR(TRIM(C859)="",SUBSTITUTE(C859," ","")="소계"),"제외",IF(ISNUMBER(SEARCH("홍콩",C859)),"HK",IF(ISNUMBER(SEARCH("상해",C859)),"CN",IF(ISNUMBER(SEARCH("대만",C859)),"TW","홀세일"))))</f>
        <v>CN</v>
      </c>
      <c r="B859" s="36" t="s">
        <v>1019</v>
      </c>
      <c r="C859" s="37" t="s">
        <v>1020</v>
      </c>
      <c r="D859" s="37" t="s">
        <v>664</v>
      </c>
      <c r="E859" s="36" t="n">
        <v>2026</v>
      </c>
      <c r="F859" s="37" t="s">
        <v>474</v>
      </c>
      <c r="G859" s="37" t="s">
        <v>124</v>
      </c>
      <c r="H859" s="36" t="s">
        <v>131</v>
      </c>
      <c r="I859" s="36" t="s">
        <v>1208</v>
      </c>
      <c r="J859" s="37" t="s">
        <v>1209</v>
      </c>
      <c r="K859" s="38" t="n">
        <v>182</v>
      </c>
      <c r="L859" s="38" t="n">
        <v>19838000</v>
      </c>
      <c r="M859" s="38" t="n">
        <v>6349262</v>
      </c>
      <c r="N859" s="39" t="n">
        <f aca="false">IF(A859="제외",0,IF(OR(N(L859)&lt;=0,N(M859)&gt;N(L859)),N(M859)/요약!$D$27,N(L859)))</f>
        <v>19838000</v>
      </c>
      <c r="O859" s="32" t="str">
        <f aca="false">IF(A859="제외","",IF(OR(N(L859)&lt;=0,N(M859)&gt;N(L859)),"택가보정(판매금액÷공급율)",""))</f>
        <v/>
      </c>
      <c r="P859" s="0" t="str">
        <f aca="false">IF(A859="HK","100",IF(A859="CN","200",IF(A859="TW","300",IF(ISNUMBER(SEARCH("태국",C859)),"500",IF(ISNUMBER(SEARCH("말레이",C859)),"600",IF(ISNUMBER(SEARCH("필리핀",C859)),"700",IF(ISNUMBER(SEARCH("인도네시아",C859)),"800",IF(ISNUMBER(SEARCH("크루즈",C859)),"810",IF(ISNUMBER(SEARCH("동물원",C859)),"830","")))))))))</f>
        <v>200</v>
      </c>
    </row>
    <row r="860" customFormat="false" ht="15" hidden="false" customHeight="false" outlineLevel="0" collapsed="false">
      <c r="A860" s="32" t="str">
        <f aca="false">IF(OR(TRIM(C860)="",SUBSTITUTE(C860," ","")="소계"),"제외",IF(ISNUMBER(SEARCH("홍콩",C860)),"HK",IF(ISNUMBER(SEARCH("상해",C860)),"CN",IF(ISNUMBER(SEARCH("대만",C860)),"TW","홀세일"))))</f>
        <v>CN</v>
      </c>
      <c r="B860" s="36" t="s">
        <v>1019</v>
      </c>
      <c r="C860" s="37" t="s">
        <v>1020</v>
      </c>
      <c r="D860" s="37" t="s">
        <v>664</v>
      </c>
      <c r="E860" s="36" t="n">
        <v>2026</v>
      </c>
      <c r="F860" s="37" t="s">
        <v>474</v>
      </c>
      <c r="G860" s="37" t="s">
        <v>124</v>
      </c>
      <c r="H860" s="36" t="s">
        <v>188</v>
      </c>
      <c r="I860" s="36" t="s">
        <v>1210</v>
      </c>
      <c r="J860" s="36" t="s">
        <v>1211</v>
      </c>
      <c r="K860" s="38" t="n">
        <v>188</v>
      </c>
      <c r="L860" s="38" t="n">
        <v>33652000</v>
      </c>
      <c r="M860" s="38" t="n">
        <v>12519303</v>
      </c>
      <c r="N860" s="39" t="n">
        <f aca="false">IF(A860="제외",0,IF(OR(N(L860)&lt;=0,N(M860)&gt;N(L860)),N(M860)/요약!$D$27,N(L860)))</f>
        <v>33652000</v>
      </c>
      <c r="O860" s="32" t="str">
        <f aca="false">IF(A860="제외","",IF(OR(N(L860)&lt;=0,N(M860)&gt;N(L860)),"택가보정(판매금액÷공급율)",""))</f>
        <v/>
      </c>
      <c r="P860" s="0" t="str">
        <f aca="false">IF(A860="HK","100",IF(A860="CN","200",IF(A860="TW","300",IF(ISNUMBER(SEARCH("태국",C860)),"500",IF(ISNUMBER(SEARCH("말레이",C860)),"600",IF(ISNUMBER(SEARCH("필리핀",C860)),"700",IF(ISNUMBER(SEARCH("인도네시아",C860)),"800",IF(ISNUMBER(SEARCH("크루즈",C860)),"810",IF(ISNUMBER(SEARCH("동물원",C860)),"830","")))))))))</f>
        <v>200</v>
      </c>
    </row>
    <row r="861" customFormat="false" ht="15" hidden="false" customHeight="false" outlineLevel="0" collapsed="false">
      <c r="A861" s="32" t="str">
        <f aca="false">IF(OR(TRIM(C861)="",SUBSTITUTE(C861," ","")="소계"),"제외",IF(ISNUMBER(SEARCH("홍콩",C861)),"HK",IF(ISNUMBER(SEARCH("상해",C861)),"CN",IF(ISNUMBER(SEARCH("대만",C861)),"TW","홀세일"))))</f>
        <v>CN</v>
      </c>
      <c r="B861" s="36" t="s">
        <v>1019</v>
      </c>
      <c r="C861" s="37" t="s">
        <v>1020</v>
      </c>
      <c r="D861" s="37" t="s">
        <v>664</v>
      </c>
      <c r="E861" s="36" t="n">
        <v>2026</v>
      </c>
      <c r="F861" s="37" t="s">
        <v>474</v>
      </c>
      <c r="G861" s="37" t="s">
        <v>124</v>
      </c>
      <c r="H861" s="36" t="s">
        <v>188</v>
      </c>
      <c r="I861" s="36" t="s">
        <v>1212</v>
      </c>
      <c r="J861" s="36" t="s">
        <v>1213</v>
      </c>
      <c r="K861" s="38" t="n">
        <v>175</v>
      </c>
      <c r="L861" s="38" t="n">
        <v>36575000</v>
      </c>
      <c r="M861" s="38" t="n">
        <v>14461458</v>
      </c>
      <c r="N861" s="39" t="n">
        <f aca="false">IF(A861="제외",0,IF(OR(N(L861)&lt;=0,N(M861)&gt;N(L861)),N(M861)/요약!$D$27,N(L861)))</f>
        <v>36575000</v>
      </c>
      <c r="O861" s="32" t="str">
        <f aca="false">IF(A861="제외","",IF(OR(N(L861)&lt;=0,N(M861)&gt;N(L861)),"택가보정(판매금액÷공급율)",""))</f>
        <v/>
      </c>
      <c r="P861" s="0" t="str">
        <f aca="false">IF(A861="HK","100",IF(A861="CN","200",IF(A861="TW","300",IF(ISNUMBER(SEARCH("태국",C861)),"500",IF(ISNUMBER(SEARCH("말레이",C861)),"600",IF(ISNUMBER(SEARCH("필리핀",C861)),"700",IF(ISNUMBER(SEARCH("인도네시아",C861)),"800",IF(ISNUMBER(SEARCH("크루즈",C861)),"810",IF(ISNUMBER(SEARCH("동물원",C861)),"830","")))))))))</f>
        <v>200</v>
      </c>
    </row>
    <row r="862" customFormat="false" ht="15" hidden="false" customHeight="false" outlineLevel="0" collapsed="false">
      <c r="A862" s="32" t="str">
        <f aca="false">IF(OR(TRIM(C862)="",SUBSTITUTE(C862," ","")="소계"),"제외",IF(ISNUMBER(SEARCH("홍콩",C862)),"HK",IF(ISNUMBER(SEARCH("상해",C862)),"CN",IF(ISNUMBER(SEARCH("대만",C862)),"TW","홀세일"))))</f>
        <v>CN</v>
      </c>
      <c r="B862" s="36" t="s">
        <v>1019</v>
      </c>
      <c r="C862" s="37" t="s">
        <v>1020</v>
      </c>
      <c r="D862" s="37" t="s">
        <v>664</v>
      </c>
      <c r="E862" s="36" t="n">
        <v>2026</v>
      </c>
      <c r="F862" s="37" t="s">
        <v>474</v>
      </c>
      <c r="G862" s="37" t="s">
        <v>124</v>
      </c>
      <c r="H862" s="36" t="s">
        <v>188</v>
      </c>
      <c r="I862" s="36" t="s">
        <v>1214</v>
      </c>
      <c r="J862" s="36" t="s">
        <v>1215</v>
      </c>
      <c r="K862" s="38" t="n">
        <v>2</v>
      </c>
      <c r="L862" s="38" t="n">
        <v>798000</v>
      </c>
      <c r="M862" s="38" t="n">
        <v>268094</v>
      </c>
      <c r="N862" s="39" t="n">
        <f aca="false">IF(A862="제외",0,IF(OR(N(L862)&lt;=0,N(M862)&gt;N(L862)),N(M862)/요약!$D$27,N(L862)))</f>
        <v>798000</v>
      </c>
      <c r="O862" s="32" t="str">
        <f aca="false">IF(A862="제외","",IF(OR(N(L862)&lt;=0,N(M862)&gt;N(L862)),"택가보정(판매금액÷공급율)",""))</f>
        <v/>
      </c>
      <c r="P862" s="0" t="str">
        <f aca="false">IF(A862="HK","100",IF(A862="CN","200",IF(A862="TW","300",IF(ISNUMBER(SEARCH("태국",C862)),"500",IF(ISNUMBER(SEARCH("말레이",C862)),"600",IF(ISNUMBER(SEARCH("필리핀",C862)),"700",IF(ISNUMBER(SEARCH("인도네시아",C862)),"800",IF(ISNUMBER(SEARCH("크루즈",C862)),"810",IF(ISNUMBER(SEARCH("동물원",C862)),"830","")))))))))</f>
        <v>200</v>
      </c>
    </row>
    <row r="863" customFormat="false" ht="15" hidden="false" customHeight="false" outlineLevel="0" collapsed="false">
      <c r="A863" s="32" t="str">
        <f aca="false">IF(OR(TRIM(C863)="",SUBSTITUTE(C863," ","")="소계"),"제외",IF(ISNUMBER(SEARCH("홍콩",C863)),"HK",IF(ISNUMBER(SEARCH("상해",C863)),"CN",IF(ISNUMBER(SEARCH("대만",C863)),"TW","홀세일"))))</f>
        <v>CN</v>
      </c>
      <c r="B863" s="36" t="s">
        <v>1019</v>
      </c>
      <c r="C863" s="37" t="s">
        <v>1020</v>
      </c>
      <c r="D863" s="37" t="s">
        <v>664</v>
      </c>
      <c r="E863" s="36" t="n">
        <v>2026</v>
      </c>
      <c r="F863" s="37" t="s">
        <v>474</v>
      </c>
      <c r="G863" s="37" t="s">
        <v>124</v>
      </c>
      <c r="H863" s="36" t="s">
        <v>188</v>
      </c>
      <c r="I863" s="36" t="s">
        <v>738</v>
      </c>
      <c r="J863" s="36" t="s">
        <v>739</v>
      </c>
      <c r="K863" s="38" t="n">
        <v>600</v>
      </c>
      <c r="L863" s="38" t="n">
        <v>479400000</v>
      </c>
      <c r="M863" s="38" t="n">
        <v>137326302</v>
      </c>
      <c r="N863" s="39" t="n">
        <f aca="false">IF(A863="제외",0,IF(OR(N(L863)&lt;=0,N(M863)&gt;N(L863)),N(M863)/요약!$D$27,N(L863)))</f>
        <v>479400000</v>
      </c>
      <c r="O863" s="32" t="str">
        <f aca="false">IF(A863="제외","",IF(OR(N(L863)&lt;=0,N(M863)&gt;N(L863)),"택가보정(판매금액÷공급율)",""))</f>
        <v/>
      </c>
      <c r="P863" s="0" t="str">
        <f aca="false">IF(A863="HK","100",IF(A863="CN","200",IF(A863="TW","300",IF(ISNUMBER(SEARCH("태국",C863)),"500",IF(ISNUMBER(SEARCH("말레이",C863)),"600",IF(ISNUMBER(SEARCH("필리핀",C863)),"700",IF(ISNUMBER(SEARCH("인도네시아",C863)),"800",IF(ISNUMBER(SEARCH("크루즈",C863)),"810",IF(ISNUMBER(SEARCH("동물원",C863)),"830","")))))))))</f>
        <v>200</v>
      </c>
    </row>
    <row r="864" customFormat="false" ht="15" hidden="false" customHeight="false" outlineLevel="0" collapsed="false">
      <c r="A864" s="32" t="str">
        <f aca="false">IF(OR(TRIM(C864)="",SUBSTITUTE(C864," ","")="소계"),"제외",IF(ISNUMBER(SEARCH("홍콩",C864)),"HK",IF(ISNUMBER(SEARCH("상해",C864)),"CN",IF(ISNUMBER(SEARCH("대만",C864)),"TW","홀세일"))))</f>
        <v>CN</v>
      </c>
      <c r="B864" s="36" t="s">
        <v>1019</v>
      </c>
      <c r="C864" s="37" t="s">
        <v>1020</v>
      </c>
      <c r="D864" s="37" t="s">
        <v>664</v>
      </c>
      <c r="E864" s="36" t="n">
        <v>2026</v>
      </c>
      <c r="F864" s="37" t="s">
        <v>474</v>
      </c>
      <c r="G864" s="37" t="s">
        <v>124</v>
      </c>
      <c r="H864" s="36" t="s">
        <v>188</v>
      </c>
      <c r="I864" s="36" t="s">
        <v>742</v>
      </c>
      <c r="J864" s="36" t="s">
        <v>743</v>
      </c>
      <c r="K864" s="38" t="n">
        <v>133</v>
      </c>
      <c r="L864" s="38" t="n">
        <v>57057000</v>
      </c>
      <c r="M864" s="38" t="n">
        <v>17481596</v>
      </c>
      <c r="N864" s="39" t="n">
        <f aca="false">IF(A864="제외",0,IF(OR(N(L864)&lt;=0,N(M864)&gt;N(L864)),N(M864)/요약!$D$27,N(L864)))</f>
        <v>57057000</v>
      </c>
      <c r="O864" s="32" t="str">
        <f aca="false">IF(A864="제외","",IF(OR(N(L864)&lt;=0,N(M864)&gt;N(L864)),"택가보정(판매금액÷공급율)",""))</f>
        <v/>
      </c>
      <c r="P864" s="0" t="str">
        <f aca="false">IF(A864="HK","100",IF(A864="CN","200",IF(A864="TW","300",IF(ISNUMBER(SEARCH("태국",C864)),"500",IF(ISNUMBER(SEARCH("말레이",C864)),"600",IF(ISNUMBER(SEARCH("필리핀",C864)),"700",IF(ISNUMBER(SEARCH("인도네시아",C864)),"800",IF(ISNUMBER(SEARCH("크루즈",C864)),"810",IF(ISNUMBER(SEARCH("동물원",C864)),"830","")))))))))</f>
        <v>200</v>
      </c>
    </row>
    <row r="865" customFormat="false" ht="15" hidden="false" customHeight="false" outlineLevel="0" collapsed="false">
      <c r="A865" s="32" t="str">
        <f aca="false">IF(OR(TRIM(C865)="",SUBSTITUTE(C865," ","")="소계"),"제외",IF(ISNUMBER(SEARCH("홍콩",C865)),"HK",IF(ISNUMBER(SEARCH("상해",C865)),"CN",IF(ISNUMBER(SEARCH("대만",C865)),"TW","홀세일"))))</f>
        <v>CN</v>
      </c>
      <c r="B865" s="36" t="s">
        <v>1019</v>
      </c>
      <c r="C865" s="37" t="s">
        <v>1020</v>
      </c>
      <c r="D865" s="37" t="s">
        <v>664</v>
      </c>
      <c r="E865" s="36" t="n">
        <v>2026</v>
      </c>
      <c r="F865" s="37" t="s">
        <v>474</v>
      </c>
      <c r="G865" s="37" t="s">
        <v>124</v>
      </c>
      <c r="H865" s="36" t="s">
        <v>188</v>
      </c>
      <c r="I865" s="36" t="s">
        <v>744</v>
      </c>
      <c r="J865" s="36" t="s">
        <v>745</v>
      </c>
      <c r="K865" s="38" t="n">
        <v>519</v>
      </c>
      <c r="L865" s="38" t="n">
        <v>207081000</v>
      </c>
      <c r="M865" s="38" t="n">
        <v>66301719</v>
      </c>
      <c r="N865" s="39" t="n">
        <f aca="false">IF(A865="제외",0,IF(OR(N(L865)&lt;=0,N(M865)&gt;N(L865)),N(M865)/요약!$D$27,N(L865)))</f>
        <v>207081000</v>
      </c>
      <c r="O865" s="32" t="str">
        <f aca="false">IF(A865="제외","",IF(OR(N(L865)&lt;=0,N(M865)&gt;N(L865)),"택가보정(판매금액÷공급율)",""))</f>
        <v/>
      </c>
      <c r="P865" s="0" t="str">
        <f aca="false">IF(A865="HK","100",IF(A865="CN","200",IF(A865="TW","300",IF(ISNUMBER(SEARCH("태국",C865)),"500",IF(ISNUMBER(SEARCH("말레이",C865)),"600",IF(ISNUMBER(SEARCH("필리핀",C865)),"700",IF(ISNUMBER(SEARCH("인도네시아",C865)),"800",IF(ISNUMBER(SEARCH("크루즈",C865)),"810",IF(ISNUMBER(SEARCH("동물원",C865)),"830","")))))))))</f>
        <v>200</v>
      </c>
    </row>
    <row r="866" customFormat="false" ht="15" hidden="false" customHeight="false" outlineLevel="0" collapsed="false">
      <c r="A866" s="32" t="str">
        <f aca="false">IF(OR(TRIM(C866)="",SUBSTITUTE(C866," ","")="소계"),"제외",IF(ISNUMBER(SEARCH("홍콩",C866)),"HK",IF(ISNUMBER(SEARCH("상해",C866)),"CN",IF(ISNUMBER(SEARCH("대만",C866)),"TW","홀세일"))))</f>
        <v>CN</v>
      </c>
      <c r="B866" s="36" t="s">
        <v>1019</v>
      </c>
      <c r="C866" s="37" t="s">
        <v>1020</v>
      </c>
      <c r="D866" s="37" t="s">
        <v>664</v>
      </c>
      <c r="E866" s="36" t="n">
        <v>2026</v>
      </c>
      <c r="F866" s="37" t="s">
        <v>474</v>
      </c>
      <c r="G866" s="37" t="s">
        <v>124</v>
      </c>
      <c r="H866" s="36" t="s">
        <v>188</v>
      </c>
      <c r="I866" s="36" t="s">
        <v>1216</v>
      </c>
      <c r="J866" s="36" t="s">
        <v>1217</v>
      </c>
      <c r="K866" s="38" t="n">
        <v>6</v>
      </c>
      <c r="L866" s="38" t="n">
        <v>4140000</v>
      </c>
      <c r="M866" s="38" t="n">
        <v>1252098</v>
      </c>
      <c r="N866" s="39" t="n">
        <f aca="false">IF(A866="제외",0,IF(OR(N(L866)&lt;=0,N(M866)&gt;N(L866)),N(M866)/요약!$D$27,N(L866)))</f>
        <v>4140000</v>
      </c>
      <c r="O866" s="32" t="str">
        <f aca="false">IF(A866="제외","",IF(OR(N(L866)&lt;=0,N(M866)&gt;N(L866)),"택가보정(판매금액÷공급율)",""))</f>
        <v/>
      </c>
      <c r="P866" s="0" t="str">
        <f aca="false">IF(A866="HK","100",IF(A866="CN","200",IF(A866="TW","300",IF(ISNUMBER(SEARCH("태국",C866)),"500",IF(ISNUMBER(SEARCH("말레이",C866)),"600",IF(ISNUMBER(SEARCH("필리핀",C866)),"700",IF(ISNUMBER(SEARCH("인도네시아",C866)),"800",IF(ISNUMBER(SEARCH("크루즈",C866)),"810",IF(ISNUMBER(SEARCH("동물원",C866)),"830","")))))))))</f>
        <v>200</v>
      </c>
    </row>
    <row r="867" customFormat="false" ht="15" hidden="false" customHeight="false" outlineLevel="0" collapsed="false">
      <c r="A867" s="32" t="str">
        <f aca="false">IF(OR(TRIM(C867)="",SUBSTITUTE(C867," ","")="소계"),"제외",IF(ISNUMBER(SEARCH("홍콩",C867)),"HK",IF(ISNUMBER(SEARCH("상해",C867)),"CN",IF(ISNUMBER(SEARCH("대만",C867)),"TW","홀세일"))))</f>
        <v>CN</v>
      </c>
      <c r="B867" s="36" t="s">
        <v>1019</v>
      </c>
      <c r="C867" s="37" t="s">
        <v>1020</v>
      </c>
      <c r="D867" s="37" t="s">
        <v>664</v>
      </c>
      <c r="E867" s="36" t="n">
        <v>2026</v>
      </c>
      <c r="F867" s="37" t="s">
        <v>474</v>
      </c>
      <c r="G867" s="37" t="s">
        <v>124</v>
      </c>
      <c r="H867" s="36" t="s">
        <v>188</v>
      </c>
      <c r="I867" s="36" t="s">
        <v>1218</v>
      </c>
      <c r="J867" s="36" t="s">
        <v>1219</v>
      </c>
      <c r="K867" s="38" t="n">
        <v>2</v>
      </c>
      <c r="L867" s="38" t="n">
        <v>1580000</v>
      </c>
      <c r="M867" s="38" t="n">
        <v>490236</v>
      </c>
      <c r="N867" s="39" t="n">
        <f aca="false">IF(A867="제외",0,IF(OR(N(L867)&lt;=0,N(M867)&gt;N(L867)),N(M867)/요약!$D$27,N(L867)))</f>
        <v>1580000</v>
      </c>
      <c r="O867" s="32" t="str">
        <f aca="false">IF(A867="제외","",IF(OR(N(L867)&lt;=0,N(M867)&gt;N(L867)),"택가보정(판매금액÷공급율)",""))</f>
        <v/>
      </c>
      <c r="P867" s="0" t="str">
        <f aca="false">IF(A867="HK","100",IF(A867="CN","200",IF(A867="TW","300",IF(ISNUMBER(SEARCH("태국",C867)),"500",IF(ISNUMBER(SEARCH("말레이",C867)),"600",IF(ISNUMBER(SEARCH("필리핀",C867)),"700",IF(ISNUMBER(SEARCH("인도네시아",C867)),"800",IF(ISNUMBER(SEARCH("크루즈",C867)),"810",IF(ISNUMBER(SEARCH("동물원",C867)),"830","")))))))))</f>
        <v>200</v>
      </c>
    </row>
    <row r="868" customFormat="false" ht="15" hidden="false" customHeight="false" outlineLevel="0" collapsed="false">
      <c r="A868" s="32" t="str">
        <f aca="false">IF(OR(TRIM(C868)="",SUBSTITUTE(C868," ","")="소계"),"제외",IF(ISNUMBER(SEARCH("홍콩",C868)),"HK",IF(ISNUMBER(SEARCH("상해",C868)),"CN",IF(ISNUMBER(SEARCH("대만",C868)),"TW","홀세일"))))</f>
        <v>CN</v>
      </c>
      <c r="B868" s="36" t="s">
        <v>1019</v>
      </c>
      <c r="C868" s="37" t="s">
        <v>1020</v>
      </c>
      <c r="D868" s="37" t="s">
        <v>664</v>
      </c>
      <c r="E868" s="36" t="n">
        <v>2026</v>
      </c>
      <c r="F868" s="37" t="s">
        <v>474</v>
      </c>
      <c r="G868" s="37" t="s">
        <v>124</v>
      </c>
      <c r="H868" s="36" t="s">
        <v>188</v>
      </c>
      <c r="I868" s="36" t="s">
        <v>1220</v>
      </c>
      <c r="J868" s="36" t="s">
        <v>1221</v>
      </c>
      <c r="K868" s="38" t="n">
        <v>382</v>
      </c>
      <c r="L868" s="38" t="n">
        <v>137138000</v>
      </c>
      <c r="M868" s="38" t="n">
        <v>36769602</v>
      </c>
      <c r="N868" s="39" t="n">
        <f aca="false">IF(A868="제외",0,IF(OR(N(L868)&lt;=0,N(M868)&gt;N(L868)),N(M868)/요약!$D$27,N(L868)))</f>
        <v>137138000</v>
      </c>
      <c r="O868" s="32" t="str">
        <f aca="false">IF(A868="제외","",IF(OR(N(L868)&lt;=0,N(M868)&gt;N(L868)),"택가보정(판매금액÷공급율)",""))</f>
        <v/>
      </c>
      <c r="P868" s="0" t="str">
        <f aca="false">IF(A868="HK","100",IF(A868="CN","200",IF(A868="TW","300",IF(ISNUMBER(SEARCH("태국",C868)),"500",IF(ISNUMBER(SEARCH("말레이",C868)),"600",IF(ISNUMBER(SEARCH("필리핀",C868)),"700",IF(ISNUMBER(SEARCH("인도네시아",C868)),"800",IF(ISNUMBER(SEARCH("크루즈",C868)),"810",IF(ISNUMBER(SEARCH("동물원",C868)),"830","")))))))))</f>
        <v>200</v>
      </c>
    </row>
    <row r="869" customFormat="false" ht="15" hidden="false" customHeight="false" outlineLevel="0" collapsed="false">
      <c r="A869" s="32" t="str">
        <f aca="false">IF(OR(TRIM(C869)="",SUBSTITUTE(C869," ","")="소계"),"제외",IF(ISNUMBER(SEARCH("홍콩",C869)),"HK",IF(ISNUMBER(SEARCH("상해",C869)),"CN",IF(ISNUMBER(SEARCH("대만",C869)),"TW","홀세일"))))</f>
        <v>CN</v>
      </c>
      <c r="B869" s="36" t="s">
        <v>1019</v>
      </c>
      <c r="C869" s="37" t="s">
        <v>1020</v>
      </c>
      <c r="D869" s="37" t="s">
        <v>664</v>
      </c>
      <c r="E869" s="36" t="n">
        <v>2026</v>
      </c>
      <c r="F869" s="37" t="s">
        <v>474</v>
      </c>
      <c r="G869" s="37" t="s">
        <v>124</v>
      </c>
      <c r="H869" s="36" t="s">
        <v>188</v>
      </c>
      <c r="I869" s="36" t="s">
        <v>1222</v>
      </c>
      <c r="J869" s="36" t="s">
        <v>1223</v>
      </c>
      <c r="K869" s="38" t="n">
        <v>251</v>
      </c>
      <c r="L869" s="38" t="n">
        <v>75049000</v>
      </c>
      <c r="M869" s="38" t="n">
        <v>22392663</v>
      </c>
      <c r="N869" s="39" t="n">
        <f aca="false">IF(A869="제외",0,IF(OR(N(L869)&lt;=0,N(M869)&gt;N(L869)),N(M869)/요약!$D$27,N(L869)))</f>
        <v>75049000</v>
      </c>
      <c r="O869" s="32" t="str">
        <f aca="false">IF(A869="제외","",IF(OR(N(L869)&lt;=0,N(M869)&gt;N(L869)),"택가보정(판매금액÷공급율)",""))</f>
        <v/>
      </c>
      <c r="P869" s="0" t="str">
        <f aca="false">IF(A869="HK","100",IF(A869="CN","200",IF(A869="TW","300",IF(ISNUMBER(SEARCH("태국",C869)),"500",IF(ISNUMBER(SEARCH("말레이",C869)),"600",IF(ISNUMBER(SEARCH("필리핀",C869)),"700",IF(ISNUMBER(SEARCH("인도네시아",C869)),"800",IF(ISNUMBER(SEARCH("크루즈",C869)),"810",IF(ISNUMBER(SEARCH("동물원",C869)),"830","")))))))))</f>
        <v>200</v>
      </c>
    </row>
    <row r="870" customFormat="false" ht="15" hidden="false" customHeight="false" outlineLevel="0" collapsed="false">
      <c r="A870" s="32" t="str">
        <f aca="false">IF(OR(TRIM(C870)="",SUBSTITUTE(C870," ","")="소계"),"제외",IF(ISNUMBER(SEARCH("홍콩",C870)),"HK",IF(ISNUMBER(SEARCH("상해",C870)),"CN",IF(ISNUMBER(SEARCH("대만",C870)),"TW","홀세일"))))</f>
        <v>CN</v>
      </c>
      <c r="B870" s="36" t="s">
        <v>1019</v>
      </c>
      <c r="C870" s="37" t="s">
        <v>1020</v>
      </c>
      <c r="D870" s="37" t="s">
        <v>664</v>
      </c>
      <c r="E870" s="36" t="n">
        <v>2026</v>
      </c>
      <c r="F870" s="37" t="s">
        <v>474</v>
      </c>
      <c r="G870" s="37" t="s">
        <v>124</v>
      </c>
      <c r="H870" s="36" t="s">
        <v>188</v>
      </c>
      <c r="I870" s="36" t="s">
        <v>1224</v>
      </c>
      <c r="J870" s="36" t="s">
        <v>1225</v>
      </c>
      <c r="K870" s="38" t="n">
        <v>300</v>
      </c>
      <c r="L870" s="38" t="n">
        <v>47700000</v>
      </c>
      <c r="M870" s="38" t="n">
        <v>10307100</v>
      </c>
      <c r="N870" s="39" t="n">
        <f aca="false">IF(A870="제외",0,IF(OR(N(L870)&lt;=0,N(M870)&gt;N(L870)),N(M870)/요약!$D$27,N(L870)))</f>
        <v>47700000</v>
      </c>
      <c r="O870" s="32" t="str">
        <f aca="false">IF(A870="제외","",IF(OR(N(L870)&lt;=0,N(M870)&gt;N(L870)),"택가보정(판매금액÷공급율)",""))</f>
        <v/>
      </c>
      <c r="P870" s="0" t="str">
        <f aca="false">IF(A870="HK","100",IF(A870="CN","200",IF(A870="TW","300",IF(ISNUMBER(SEARCH("태국",C870)),"500",IF(ISNUMBER(SEARCH("말레이",C870)),"600",IF(ISNUMBER(SEARCH("필리핀",C870)),"700",IF(ISNUMBER(SEARCH("인도네시아",C870)),"800",IF(ISNUMBER(SEARCH("크루즈",C870)),"810",IF(ISNUMBER(SEARCH("동물원",C870)),"830","")))))))))</f>
        <v>200</v>
      </c>
    </row>
    <row r="871" customFormat="false" ht="15" hidden="false" customHeight="false" outlineLevel="0" collapsed="false">
      <c r="A871" s="32" t="str">
        <f aca="false">IF(OR(TRIM(C871)="",SUBSTITUTE(C871," ","")="소계"),"제외",IF(ISNUMBER(SEARCH("홍콩",C871)),"HK",IF(ISNUMBER(SEARCH("상해",C871)),"CN",IF(ISNUMBER(SEARCH("대만",C871)),"TW","홀세일"))))</f>
        <v>CN</v>
      </c>
      <c r="B871" s="36" t="s">
        <v>1019</v>
      </c>
      <c r="C871" s="37" t="s">
        <v>1020</v>
      </c>
      <c r="D871" s="37" t="s">
        <v>664</v>
      </c>
      <c r="E871" s="36" t="n">
        <v>2026</v>
      </c>
      <c r="F871" s="37" t="s">
        <v>474</v>
      </c>
      <c r="G871" s="37" t="s">
        <v>124</v>
      </c>
      <c r="H871" s="36" t="s">
        <v>188</v>
      </c>
      <c r="I871" s="36" t="s">
        <v>748</v>
      </c>
      <c r="J871" s="36" t="s">
        <v>749</v>
      </c>
      <c r="K871" s="38" t="n">
        <v>302</v>
      </c>
      <c r="L871" s="38" t="n">
        <v>48018000</v>
      </c>
      <c r="M871" s="38" t="n">
        <v>13679604</v>
      </c>
      <c r="N871" s="39" t="n">
        <f aca="false">IF(A871="제외",0,IF(OR(N(L871)&lt;=0,N(M871)&gt;N(L871)),N(M871)/요약!$D$27,N(L871)))</f>
        <v>48018000</v>
      </c>
      <c r="O871" s="32" t="str">
        <f aca="false">IF(A871="제외","",IF(OR(N(L871)&lt;=0,N(M871)&gt;N(L871)),"택가보정(판매금액÷공급율)",""))</f>
        <v/>
      </c>
      <c r="P871" s="0" t="str">
        <f aca="false">IF(A871="HK","100",IF(A871="CN","200",IF(A871="TW","300",IF(ISNUMBER(SEARCH("태국",C871)),"500",IF(ISNUMBER(SEARCH("말레이",C871)),"600",IF(ISNUMBER(SEARCH("필리핀",C871)),"700",IF(ISNUMBER(SEARCH("인도네시아",C871)),"800",IF(ISNUMBER(SEARCH("크루즈",C871)),"810",IF(ISNUMBER(SEARCH("동물원",C871)),"830","")))))))))</f>
        <v>200</v>
      </c>
    </row>
    <row r="872" customFormat="false" ht="15" hidden="false" customHeight="false" outlineLevel="0" collapsed="false">
      <c r="A872" s="32" t="str">
        <f aca="false">IF(OR(TRIM(C872)="",SUBSTITUTE(C872," ","")="소계"),"제외",IF(ISNUMBER(SEARCH("홍콩",C872)),"HK",IF(ISNUMBER(SEARCH("상해",C872)),"CN",IF(ISNUMBER(SEARCH("대만",C872)),"TW","홀세일"))))</f>
        <v>CN</v>
      </c>
      <c r="B872" s="36" t="s">
        <v>1019</v>
      </c>
      <c r="C872" s="37" t="s">
        <v>1020</v>
      </c>
      <c r="D872" s="37" t="s">
        <v>664</v>
      </c>
      <c r="E872" s="36" t="n">
        <v>2026</v>
      </c>
      <c r="F872" s="37" t="s">
        <v>474</v>
      </c>
      <c r="G872" s="37" t="s">
        <v>124</v>
      </c>
      <c r="H872" s="36" t="s">
        <v>188</v>
      </c>
      <c r="I872" s="36" t="s">
        <v>1226</v>
      </c>
      <c r="J872" s="36" t="s">
        <v>1227</v>
      </c>
      <c r="K872" s="38" t="n">
        <v>341</v>
      </c>
      <c r="L872" s="38" t="n">
        <v>33759000</v>
      </c>
      <c r="M872" s="38" t="n">
        <v>10344129</v>
      </c>
      <c r="N872" s="39" t="n">
        <f aca="false">IF(A872="제외",0,IF(OR(N(L872)&lt;=0,N(M872)&gt;N(L872)),N(M872)/요약!$D$27,N(L872)))</f>
        <v>33759000</v>
      </c>
      <c r="O872" s="32" t="str">
        <f aca="false">IF(A872="제외","",IF(OR(N(L872)&lt;=0,N(M872)&gt;N(L872)),"택가보정(판매금액÷공급율)",""))</f>
        <v/>
      </c>
      <c r="P872" s="0" t="str">
        <f aca="false">IF(A872="HK","100",IF(A872="CN","200",IF(A872="TW","300",IF(ISNUMBER(SEARCH("태국",C872)),"500",IF(ISNUMBER(SEARCH("말레이",C872)),"600",IF(ISNUMBER(SEARCH("필리핀",C872)),"700",IF(ISNUMBER(SEARCH("인도네시아",C872)),"800",IF(ISNUMBER(SEARCH("크루즈",C872)),"810",IF(ISNUMBER(SEARCH("동물원",C872)),"830","")))))))))</f>
        <v>200</v>
      </c>
    </row>
    <row r="873" customFormat="false" ht="15" hidden="false" customHeight="false" outlineLevel="0" collapsed="false">
      <c r="A873" s="32" t="str">
        <f aca="false">IF(OR(TRIM(C873)="",SUBSTITUTE(C873," ","")="소계"),"제외",IF(ISNUMBER(SEARCH("홍콩",C873)),"HK",IF(ISNUMBER(SEARCH("상해",C873)),"CN",IF(ISNUMBER(SEARCH("대만",C873)),"TW","홀세일"))))</f>
        <v>CN</v>
      </c>
      <c r="B873" s="36" t="s">
        <v>1019</v>
      </c>
      <c r="C873" s="37" t="s">
        <v>1020</v>
      </c>
      <c r="D873" s="37" t="s">
        <v>664</v>
      </c>
      <c r="E873" s="36" t="n">
        <v>2026</v>
      </c>
      <c r="F873" s="37" t="s">
        <v>474</v>
      </c>
      <c r="G873" s="37" t="s">
        <v>124</v>
      </c>
      <c r="H873" s="36" t="s">
        <v>188</v>
      </c>
      <c r="I873" s="36" t="s">
        <v>1228</v>
      </c>
      <c r="J873" s="36" t="s">
        <v>1229</v>
      </c>
      <c r="K873" s="38" t="n">
        <v>325</v>
      </c>
      <c r="L873" s="38" t="n">
        <v>41925000</v>
      </c>
      <c r="M873" s="38" t="n">
        <v>11874100</v>
      </c>
      <c r="N873" s="39" t="n">
        <f aca="false">IF(A873="제외",0,IF(OR(N(L873)&lt;=0,N(M873)&gt;N(L873)),N(M873)/요약!$D$27,N(L873)))</f>
        <v>41925000</v>
      </c>
      <c r="O873" s="32" t="str">
        <f aca="false">IF(A873="제외","",IF(OR(N(L873)&lt;=0,N(M873)&gt;N(L873)),"택가보정(판매금액÷공급율)",""))</f>
        <v/>
      </c>
      <c r="P873" s="0" t="str">
        <f aca="false">IF(A873="HK","100",IF(A873="CN","200",IF(A873="TW","300",IF(ISNUMBER(SEARCH("태국",C873)),"500",IF(ISNUMBER(SEARCH("말레이",C873)),"600",IF(ISNUMBER(SEARCH("필리핀",C873)),"700",IF(ISNUMBER(SEARCH("인도네시아",C873)),"800",IF(ISNUMBER(SEARCH("크루즈",C873)),"810",IF(ISNUMBER(SEARCH("동물원",C873)),"830","")))))))))</f>
        <v>200</v>
      </c>
    </row>
    <row r="874" customFormat="false" ht="15" hidden="false" customHeight="false" outlineLevel="0" collapsed="false">
      <c r="A874" s="32" t="str">
        <f aca="false">IF(OR(TRIM(C874)="",SUBSTITUTE(C874," ","")="소계"),"제외",IF(ISNUMBER(SEARCH("홍콩",C874)),"HK",IF(ISNUMBER(SEARCH("상해",C874)),"CN",IF(ISNUMBER(SEARCH("대만",C874)),"TW","홀세일"))))</f>
        <v>CN</v>
      </c>
      <c r="B874" s="36" t="s">
        <v>1019</v>
      </c>
      <c r="C874" s="37" t="s">
        <v>1020</v>
      </c>
      <c r="D874" s="37" t="s">
        <v>664</v>
      </c>
      <c r="E874" s="36" t="n">
        <v>2026</v>
      </c>
      <c r="F874" s="36" t="s">
        <v>110</v>
      </c>
      <c r="G874" s="37" t="s">
        <v>124</v>
      </c>
      <c r="H874" s="36" t="s">
        <v>131</v>
      </c>
      <c r="I874" s="36" t="s">
        <v>1230</v>
      </c>
      <c r="J874" s="37" t="s">
        <v>655</v>
      </c>
      <c r="K874" s="38" t="n">
        <v>1292</v>
      </c>
      <c r="L874" s="38" t="n">
        <v>63308000</v>
      </c>
      <c r="M874" s="38" t="n">
        <v>21490988</v>
      </c>
      <c r="N874" s="39" t="n">
        <f aca="false">IF(A874="제외",0,IF(OR(N(L874)&lt;=0,N(M874)&gt;N(L874)),N(M874)/요약!$D$27,N(L874)))</f>
        <v>63308000</v>
      </c>
      <c r="O874" s="32" t="str">
        <f aca="false">IF(A874="제외","",IF(OR(N(L874)&lt;=0,N(M874)&gt;N(L874)),"택가보정(판매금액÷공급율)",""))</f>
        <v/>
      </c>
      <c r="P874" s="0" t="str">
        <f aca="false">IF(A874="HK","100",IF(A874="CN","200",IF(A874="TW","300",IF(ISNUMBER(SEARCH("태국",C874)),"500",IF(ISNUMBER(SEARCH("말레이",C874)),"600",IF(ISNUMBER(SEARCH("필리핀",C874)),"700",IF(ISNUMBER(SEARCH("인도네시아",C874)),"800",IF(ISNUMBER(SEARCH("크루즈",C874)),"810",IF(ISNUMBER(SEARCH("동물원",C874)),"830","")))))))))</f>
        <v>200</v>
      </c>
    </row>
    <row r="875" customFormat="false" ht="15" hidden="false" customHeight="false" outlineLevel="0" collapsed="false">
      <c r="A875" s="32" t="str">
        <f aca="false">IF(OR(TRIM(C875)="",SUBSTITUTE(C875," ","")="소계"),"제외",IF(ISNUMBER(SEARCH("홍콩",C875)),"HK",IF(ISNUMBER(SEARCH("상해",C875)),"CN",IF(ISNUMBER(SEARCH("대만",C875)),"TW","홀세일"))))</f>
        <v>CN</v>
      </c>
      <c r="B875" s="36" t="s">
        <v>1019</v>
      </c>
      <c r="C875" s="37" t="s">
        <v>1020</v>
      </c>
      <c r="D875" s="37" t="s">
        <v>664</v>
      </c>
      <c r="E875" s="36" t="n">
        <v>2026</v>
      </c>
      <c r="F875" s="36" t="s">
        <v>110</v>
      </c>
      <c r="G875" s="37" t="s">
        <v>124</v>
      </c>
      <c r="H875" s="36" t="s">
        <v>188</v>
      </c>
      <c r="I875" s="36" t="s">
        <v>1231</v>
      </c>
      <c r="J875" s="36" t="s">
        <v>1232</v>
      </c>
      <c r="K875" s="38" t="n">
        <v>697</v>
      </c>
      <c r="L875" s="38" t="n">
        <v>34153000</v>
      </c>
      <c r="M875" s="38" t="n">
        <v>10056435</v>
      </c>
      <c r="N875" s="39" t="n">
        <f aca="false">IF(A875="제외",0,IF(OR(N(L875)&lt;=0,N(M875)&gt;N(L875)),N(M875)/요약!$D$27,N(L875)))</f>
        <v>34153000</v>
      </c>
      <c r="O875" s="32" t="str">
        <f aca="false">IF(A875="제외","",IF(OR(N(L875)&lt;=0,N(M875)&gt;N(L875)),"택가보정(판매금액÷공급율)",""))</f>
        <v/>
      </c>
      <c r="P875" s="0" t="str">
        <f aca="false">IF(A875="HK","100",IF(A875="CN","200",IF(A875="TW","300",IF(ISNUMBER(SEARCH("태국",C875)),"500",IF(ISNUMBER(SEARCH("말레이",C875)),"600",IF(ISNUMBER(SEARCH("필리핀",C875)),"700",IF(ISNUMBER(SEARCH("인도네시아",C875)),"800",IF(ISNUMBER(SEARCH("크루즈",C875)),"810",IF(ISNUMBER(SEARCH("동물원",C875)),"830","")))))))))</f>
        <v>200</v>
      </c>
    </row>
    <row r="876" customFormat="false" ht="15" hidden="false" customHeight="false" outlineLevel="0" collapsed="false">
      <c r="A876" s="32" t="str">
        <f aca="false">IF(OR(TRIM(C876)="",SUBSTITUTE(C876," ","")="소계"),"제외",IF(ISNUMBER(SEARCH("홍콩",C876)),"HK",IF(ISNUMBER(SEARCH("상해",C876)),"CN",IF(ISNUMBER(SEARCH("대만",C876)),"TW","홀세일"))))</f>
        <v>제외</v>
      </c>
      <c r="B876" s="36" t="s">
        <v>762</v>
      </c>
      <c r="C876" s="37" t="s">
        <v>763</v>
      </c>
      <c r="D876" s="36"/>
      <c r="E876" s="36"/>
      <c r="F876" s="36"/>
      <c r="G876" s="36"/>
      <c r="H876" s="36"/>
      <c r="I876" s="36"/>
      <c r="J876" s="36"/>
      <c r="K876" s="38" t="n">
        <v>79103</v>
      </c>
      <c r="L876" s="38" t="n">
        <v>12307600000</v>
      </c>
      <c r="M876" s="38" t="n">
        <v>3611269645</v>
      </c>
      <c r="N876" s="39" t="n">
        <f aca="false">IF(A876="제외",0,IF(OR(N(L876)&lt;=0,N(M876)&gt;N(L876)),N(M876)/요약!$D$27,N(L876)))</f>
        <v>0</v>
      </c>
      <c r="O876" s="32" t="str">
        <f aca="false">IF(A876="제외","",IF(OR(N(L876)&lt;=0,N(M876)&gt;N(L876)),"택가보정(판매금액÷공급율)",""))</f>
        <v/>
      </c>
      <c r="P876" s="0" t="str">
        <f aca="false">IF(A876="HK","100",IF(A876="CN","200",IF(A876="TW","300",IF(ISNUMBER(SEARCH("태국",C876)),"500",IF(ISNUMBER(SEARCH("말레이",C876)),"600",IF(ISNUMBER(SEARCH("필리핀",C876)),"700",IF(ISNUMBER(SEARCH("인도네시아",C876)),"800",IF(ISNUMBER(SEARCH("크루즈",C876)),"810",IF(ISNUMBER(SEARCH("동물원",C876)),"830","")))))))))</f>
        <v/>
      </c>
    </row>
    <row r="877" customFormat="false" ht="15" hidden="false" customHeight="false" outlineLevel="0" collapsed="false">
      <c r="A877" s="32" t="str">
        <f aca="false">IF(OR(TRIM(C877)="",SUBSTITUTE(C877," ","")="소계"),"제외",IF(ISNUMBER(SEARCH("홍콩",C877)),"HK",IF(ISNUMBER(SEARCH("상해",C877)),"CN",IF(ISNUMBER(SEARCH("대만",C877)),"TW","홀세일"))))</f>
        <v>홀세일</v>
      </c>
      <c r="B877" s="36" t="s">
        <v>1233</v>
      </c>
      <c r="C877" s="36" t="s">
        <v>1234</v>
      </c>
      <c r="D877" s="37" t="s">
        <v>123</v>
      </c>
      <c r="E877" s="36" t="n">
        <v>2024</v>
      </c>
      <c r="F877" s="37" t="s">
        <v>219</v>
      </c>
      <c r="G877" s="37" t="s">
        <v>102</v>
      </c>
      <c r="H877" s="36" t="s">
        <v>131</v>
      </c>
      <c r="I877" s="36" t="s">
        <v>1235</v>
      </c>
      <c r="J877" s="37" t="s">
        <v>1236</v>
      </c>
      <c r="K877" s="38" t="n">
        <v>105</v>
      </c>
      <c r="L877" s="38" t="n">
        <v>4095000</v>
      </c>
      <c r="M877" s="38" t="n">
        <v>1332870</v>
      </c>
      <c r="N877" s="39" t="n">
        <f aca="false">IF(A877="제외",0,IF(OR(N(L877)&lt;=0,N(M877)&gt;N(L877)),N(M877)/요약!$D$27,N(L877)))</f>
        <v>4095000</v>
      </c>
      <c r="O877" s="32" t="str">
        <f aca="false">IF(A877="제외","",IF(OR(N(L877)&lt;=0,N(M877)&gt;N(L877)),"택가보정(판매금액÷공급율)",""))</f>
        <v/>
      </c>
      <c r="P877" s="0" t="str">
        <f aca="false">IF(A877="HK","100",IF(A877="CN","200",IF(A877="TW","300",IF(ISNUMBER(SEARCH("태국",C877)),"500",IF(ISNUMBER(SEARCH("말레이",C877)),"600",IF(ISNUMBER(SEARCH("필리핀",C877)),"700",IF(ISNUMBER(SEARCH("인도네시아",C877)),"800",IF(ISNUMBER(SEARCH("크루즈",C877)),"810",IF(ISNUMBER(SEARCH("동물원",C877)),"830","")))))))))</f>
        <v>500</v>
      </c>
    </row>
    <row r="878" customFormat="false" ht="15" hidden="false" customHeight="false" outlineLevel="0" collapsed="false">
      <c r="A878" s="32" t="str">
        <f aca="false">IF(OR(TRIM(C878)="",SUBSTITUTE(C878," ","")="소계"),"제외",IF(ISNUMBER(SEARCH("홍콩",C878)),"HK",IF(ISNUMBER(SEARCH("상해",C878)),"CN",IF(ISNUMBER(SEARCH("대만",C878)),"TW","홀세일"))))</f>
        <v>홀세일</v>
      </c>
      <c r="B878" s="36" t="s">
        <v>1233</v>
      </c>
      <c r="C878" s="36" t="s">
        <v>1234</v>
      </c>
      <c r="D878" s="37" t="s">
        <v>123</v>
      </c>
      <c r="E878" s="36" t="n">
        <v>2024</v>
      </c>
      <c r="F878" s="37" t="s">
        <v>219</v>
      </c>
      <c r="G878" s="37" t="s">
        <v>102</v>
      </c>
      <c r="H878" s="36" t="s">
        <v>131</v>
      </c>
      <c r="I878" s="36" t="s">
        <v>1237</v>
      </c>
      <c r="J878" s="37" t="s">
        <v>1238</v>
      </c>
      <c r="K878" s="38" t="n">
        <v>48</v>
      </c>
      <c r="L878" s="38" t="n">
        <v>2832000</v>
      </c>
      <c r="M878" s="38" t="n">
        <v>921072</v>
      </c>
      <c r="N878" s="39" t="n">
        <f aca="false">IF(A878="제외",0,IF(OR(N(L878)&lt;=0,N(M878)&gt;N(L878)),N(M878)/요약!$D$27,N(L878)))</f>
        <v>2832000</v>
      </c>
      <c r="O878" s="32" t="str">
        <f aca="false">IF(A878="제외","",IF(OR(N(L878)&lt;=0,N(M878)&gt;N(L878)),"택가보정(판매금액÷공급율)",""))</f>
        <v/>
      </c>
      <c r="P878" s="0" t="str">
        <f aca="false">IF(A878="HK","100",IF(A878="CN","200",IF(A878="TW","300",IF(ISNUMBER(SEARCH("태국",C878)),"500",IF(ISNUMBER(SEARCH("말레이",C878)),"600",IF(ISNUMBER(SEARCH("필리핀",C878)),"700",IF(ISNUMBER(SEARCH("인도네시아",C878)),"800",IF(ISNUMBER(SEARCH("크루즈",C878)),"810",IF(ISNUMBER(SEARCH("동물원",C878)),"830","")))))))))</f>
        <v>500</v>
      </c>
    </row>
    <row r="879" customFormat="false" ht="15" hidden="false" customHeight="false" outlineLevel="0" collapsed="false">
      <c r="A879" s="32" t="str">
        <f aca="false">IF(OR(TRIM(C879)="",SUBSTITUTE(C879," ","")="소계"),"제외",IF(ISNUMBER(SEARCH("홍콩",C879)),"HK",IF(ISNUMBER(SEARCH("상해",C879)),"CN",IF(ISNUMBER(SEARCH("대만",C879)),"TW","홀세일"))))</f>
        <v>홀세일</v>
      </c>
      <c r="B879" s="36" t="s">
        <v>1233</v>
      </c>
      <c r="C879" s="36" t="s">
        <v>1234</v>
      </c>
      <c r="D879" s="37" t="s">
        <v>123</v>
      </c>
      <c r="E879" s="36" t="n">
        <v>2025</v>
      </c>
      <c r="F879" s="37" t="s">
        <v>101</v>
      </c>
      <c r="G879" s="37" t="s">
        <v>102</v>
      </c>
      <c r="H879" s="37" t="s">
        <v>128</v>
      </c>
      <c r="I879" s="36" t="s">
        <v>1239</v>
      </c>
      <c r="J879" s="36" t="s">
        <v>1240</v>
      </c>
      <c r="K879" s="38" t="n">
        <v>100</v>
      </c>
      <c r="L879" s="38" t="n">
        <v>16900000</v>
      </c>
      <c r="M879" s="38" t="n">
        <v>6111100</v>
      </c>
      <c r="N879" s="39" t="n">
        <f aca="false">IF(A879="제외",0,IF(OR(N(L879)&lt;=0,N(M879)&gt;N(L879)),N(M879)/요약!$D$27,N(L879)))</f>
        <v>16900000</v>
      </c>
      <c r="O879" s="32" t="str">
        <f aca="false">IF(A879="제외","",IF(OR(N(L879)&lt;=0,N(M879)&gt;N(L879)),"택가보정(판매금액÷공급율)",""))</f>
        <v/>
      </c>
      <c r="P879" s="0" t="str">
        <f aca="false">IF(A879="HK","100",IF(A879="CN","200",IF(A879="TW","300",IF(ISNUMBER(SEARCH("태국",C879)),"500",IF(ISNUMBER(SEARCH("말레이",C879)),"600",IF(ISNUMBER(SEARCH("필리핀",C879)),"700",IF(ISNUMBER(SEARCH("인도네시아",C879)),"800",IF(ISNUMBER(SEARCH("크루즈",C879)),"810",IF(ISNUMBER(SEARCH("동물원",C879)),"830","")))))))))</f>
        <v>500</v>
      </c>
    </row>
    <row r="880" customFormat="false" ht="15" hidden="false" customHeight="false" outlineLevel="0" collapsed="false">
      <c r="A880" s="32" t="str">
        <f aca="false">IF(OR(TRIM(C880)="",SUBSTITUTE(C880," ","")="소계"),"제외",IF(ISNUMBER(SEARCH("홍콩",C880)),"HK",IF(ISNUMBER(SEARCH("상해",C880)),"CN",IF(ISNUMBER(SEARCH("대만",C880)),"TW","홀세일"))))</f>
        <v>홀세일</v>
      </c>
      <c r="B880" s="36" t="s">
        <v>1233</v>
      </c>
      <c r="C880" s="36" t="s">
        <v>1234</v>
      </c>
      <c r="D880" s="37" t="s">
        <v>123</v>
      </c>
      <c r="E880" s="36" t="n">
        <v>2025</v>
      </c>
      <c r="F880" s="37" t="s">
        <v>219</v>
      </c>
      <c r="G880" s="37" t="s">
        <v>124</v>
      </c>
      <c r="H880" s="36" t="s">
        <v>131</v>
      </c>
      <c r="I880" s="36" t="s">
        <v>1241</v>
      </c>
      <c r="J880" s="36" t="s">
        <v>1242</v>
      </c>
      <c r="K880" s="38" t="n">
        <v>8</v>
      </c>
      <c r="L880" s="38" t="n">
        <v>1592000</v>
      </c>
      <c r="M880" s="38" t="n">
        <v>575088</v>
      </c>
      <c r="N880" s="39" t="n">
        <f aca="false">IF(A880="제외",0,IF(OR(N(L880)&lt;=0,N(M880)&gt;N(L880)),N(M880)/요약!$D$27,N(L880)))</f>
        <v>1592000</v>
      </c>
      <c r="O880" s="32" t="str">
        <f aca="false">IF(A880="제외","",IF(OR(N(L880)&lt;=0,N(M880)&gt;N(L880)),"택가보정(판매금액÷공급율)",""))</f>
        <v/>
      </c>
      <c r="P880" s="0" t="str">
        <f aca="false">IF(A880="HK","100",IF(A880="CN","200",IF(A880="TW","300",IF(ISNUMBER(SEARCH("태국",C880)),"500",IF(ISNUMBER(SEARCH("말레이",C880)),"600",IF(ISNUMBER(SEARCH("필리핀",C880)),"700",IF(ISNUMBER(SEARCH("인도네시아",C880)),"800",IF(ISNUMBER(SEARCH("크루즈",C880)),"810",IF(ISNUMBER(SEARCH("동물원",C880)),"830","")))))))))</f>
        <v>500</v>
      </c>
    </row>
    <row r="881" customFormat="false" ht="15" hidden="false" customHeight="false" outlineLevel="0" collapsed="false">
      <c r="A881" s="32" t="str">
        <f aca="false">IF(OR(TRIM(C881)="",SUBSTITUTE(C881," ","")="소계"),"제외",IF(ISNUMBER(SEARCH("홍콩",C881)),"HK",IF(ISNUMBER(SEARCH("상해",C881)),"CN",IF(ISNUMBER(SEARCH("대만",C881)),"TW","홀세일"))))</f>
        <v>홀세일</v>
      </c>
      <c r="B881" s="36" t="s">
        <v>1233</v>
      </c>
      <c r="C881" s="36" t="s">
        <v>1234</v>
      </c>
      <c r="D881" s="37" t="s">
        <v>123</v>
      </c>
      <c r="E881" s="36" t="n">
        <v>2025</v>
      </c>
      <c r="F881" s="37" t="s">
        <v>219</v>
      </c>
      <c r="G881" s="37" t="s">
        <v>124</v>
      </c>
      <c r="H881" s="36" t="s">
        <v>125</v>
      </c>
      <c r="I881" s="36" t="s">
        <v>1243</v>
      </c>
      <c r="J881" s="37" t="s">
        <v>1244</v>
      </c>
      <c r="K881" s="38" t="n">
        <v>7</v>
      </c>
      <c r="L881" s="38" t="n">
        <v>1673000</v>
      </c>
      <c r="M881" s="38" t="n">
        <v>603428</v>
      </c>
      <c r="N881" s="39" t="n">
        <f aca="false">IF(A881="제외",0,IF(OR(N(L881)&lt;=0,N(M881)&gt;N(L881)),N(M881)/요약!$D$27,N(L881)))</f>
        <v>1673000</v>
      </c>
      <c r="O881" s="32" t="str">
        <f aca="false">IF(A881="제외","",IF(OR(N(L881)&lt;=0,N(M881)&gt;N(L881)),"택가보정(판매금액÷공급율)",""))</f>
        <v/>
      </c>
      <c r="P881" s="0" t="str">
        <f aca="false">IF(A881="HK","100",IF(A881="CN","200",IF(A881="TW","300",IF(ISNUMBER(SEARCH("태국",C881)),"500",IF(ISNUMBER(SEARCH("말레이",C881)),"600",IF(ISNUMBER(SEARCH("필리핀",C881)),"700",IF(ISNUMBER(SEARCH("인도네시아",C881)),"800",IF(ISNUMBER(SEARCH("크루즈",C881)),"810",IF(ISNUMBER(SEARCH("동물원",C881)),"830","")))))))))</f>
        <v>500</v>
      </c>
    </row>
    <row r="882" customFormat="false" ht="15" hidden="false" customHeight="false" outlineLevel="0" collapsed="false">
      <c r="A882" s="32" t="str">
        <f aca="false">IF(OR(TRIM(C882)="",SUBSTITUTE(C882," ","")="소계"),"제외",IF(ISNUMBER(SEARCH("홍콩",C882)),"HK",IF(ISNUMBER(SEARCH("상해",C882)),"CN",IF(ISNUMBER(SEARCH("대만",C882)),"TW","홀세일"))))</f>
        <v>홀세일</v>
      </c>
      <c r="B882" s="36" t="s">
        <v>1233</v>
      </c>
      <c r="C882" s="36" t="s">
        <v>1234</v>
      </c>
      <c r="D882" s="37" t="s">
        <v>123</v>
      </c>
      <c r="E882" s="36" t="n">
        <v>2025</v>
      </c>
      <c r="F882" s="37" t="s">
        <v>219</v>
      </c>
      <c r="G882" s="37" t="s">
        <v>124</v>
      </c>
      <c r="H882" s="36" t="s">
        <v>125</v>
      </c>
      <c r="I882" s="36" t="s">
        <v>1245</v>
      </c>
      <c r="J882" s="37" t="s">
        <v>1246</v>
      </c>
      <c r="K882" s="38" t="n">
        <v>65</v>
      </c>
      <c r="L882" s="38" t="n">
        <v>8385000</v>
      </c>
      <c r="M882" s="38" t="n">
        <v>2859220</v>
      </c>
      <c r="N882" s="39" t="n">
        <f aca="false">IF(A882="제외",0,IF(OR(N(L882)&lt;=0,N(M882)&gt;N(L882)),N(M882)/요약!$D$27,N(L882)))</f>
        <v>8385000</v>
      </c>
      <c r="O882" s="32" t="str">
        <f aca="false">IF(A882="제외","",IF(OR(N(L882)&lt;=0,N(M882)&gt;N(L882)),"택가보정(판매금액÷공급율)",""))</f>
        <v/>
      </c>
      <c r="P882" s="0" t="str">
        <f aca="false">IF(A882="HK","100",IF(A882="CN","200",IF(A882="TW","300",IF(ISNUMBER(SEARCH("태국",C882)),"500",IF(ISNUMBER(SEARCH("말레이",C882)),"600",IF(ISNUMBER(SEARCH("필리핀",C882)),"700",IF(ISNUMBER(SEARCH("인도네시아",C882)),"800",IF(ISNUMBER(SEARCH("크루즈",C882)),"810",IF(ISNUMBER(SEARCH("동물원",C882)),"830","")))))))))</f>
        <v>500</v>
      </c>
    </row>
    <row r="883" customFormat="false" ht="15" hidden="false" customHeight="false" outlineLevel="0" collapsed="false">
      <c r="A883" s="32" t="str">
        <f aca="false">IF(OR(TRIM(C883)="",SUBSTITUTE(C883," ","")="소계"),"제외",IF(ISNUMBER(SEARCH("홍콩",C883)),"HK",IF(ISNUMBER(SEARCH("상해",C883)),"CN",IF(ISNUMBER(SEARCH("대만",C883)),"TW","홀세일"))))</f>
        <v>홀세일</v>
      </c>
      <c r="B883" s="36" t="s">
        <v>1233</v>
      </c>
      <c r="C883" s="36" t="s">
        <v>1234</v>
      </c>
      <c r="D883" s="37" t="s">
        <v>123</v>
      </c>
      <c r="E883" s="36" t="n">
        <v>2025</v>
      </c>
      <c r="F883" s="37" t="s">
        <v>219</v>
      </c>
      <c r="G883" s="37" t="s">
        <v>124</v>
      </c>
      <c r="H883" s="36" t="s">
        <v>131</v>
      </c>
      <c r="I883" s="36" t="s">
        <v>1247</v>
      </c>
      <c r="J883" s="37" t="s">
        <v>1248</v>
      </c>
      <c r="K883" s="38" t="n">
        <v>175</v>
      </c>
      <c r="L883" s="38" t="n">
        <v>12075000</v>
      </c>
      <c r="M883" s="38" t="n">
        <v>4133150</v>
      </c>
      <c r="N883" s="39" t="n">
        <f aca="false">IF(A883="제외",0,IF(OR(N(L883)&lt;=0,N(M883)&gt;N(L883)),N(M883)/요약!$D$27,N(L883)))</f>
        <v>12075000</v>
      </c>
      <c r="O883" s="32" t="str">
        <f aca="false">IF(A883="제외","",IF(OR(N(L883)&lt;=0,N(M883)&gt;N(L883)),"택가보정(판매금액÷공급율)",""))</f>
        <v/>
      </c>
      <c r="P883" s="0" t="str">
        <f aca="false">IF(A883="HK","100",IF(A883="CN","200",IF(A883="TW","300",IF(ISNUMBER(SEARCH("태국",C883)),"500",IF(ISNUMBER(SEARCH("말레이",C883)),"600",IF(ISNUMBER(SEARCH("필리핀",C883)),"700",IF(ISNUMBER(SEARCH("인도네시아",C883)),"800",IF(ISNUMBER(SEARCH("크루즈",C883)),"810",IF(ISNUMBER(SEARCH("동물원",C883)),"830","")))))))))</f>
        <v>500</v>
      </c>
    </row>
    <row r="884" customFormat="false" ht="15" hidden="false" customHeight="false" outlineLevel="0" collapsed="false">
      <c r="A884" s="32" t="str">
        <f aca="false">IF(OR(TRIM(C884)="",SUBSTITUTE(C884," ","")="소계"),"제외",IF(ISNUMBER(SEARCH("홍콩",C884)),"HK",IF(ISNUMBER(SEARCH("상해",C884)),"CN",IF(ISNUMBER(SEARCH("대만",C884)),"TW","홀세일"))))</f>
        <v>홀세일</v>
      </c>
      <c r="B884" s="36" t="s">
        <v>1233</v>
      </c>
      <c r="C884" s="36" t="s">
        <v>1234</v>
      </c>
      <c r="D884" s="37" t="s">
        <v>123</v>
      </c>
      <c r="E884" s="36" t="n">
        <v>2025</v>
      </c>
      <c r="F884" s="37" t="s">
        <v>219</v>
      </c>
      <c r="G884" s="37" t="s">
        <v>124</v>
      </c>
      <c r="H884" s="36" t="s">
        <v>131</v>
      </c>
      <c r="I884" s="36" t="s">
        <v>1249</v>
      </c>
      <c r="J884" s="37" t="s">
        <v>1250</v>
      </c>
      <c r="K884" s="38" t="n">
        <v>195</v>
      </c>
      <c r="L884" s="38" t="n">
        <v>13455000</v>
      </c>
      <c r="M884" s="38" t="n">
        <v>4605510</v>
      </c>
      <c r="N884" s="39" t="n">
        <f aca="false">IF(A884="제외",0,IF(OR(N(L884)&lt;=0,N(M884)&gt;N(L884)),N(M884)/요약!$D$27,N(L884)))</f>
        <v>13455000</v>
      </c>
      <c r="O884" s="32" t="str">
        <f aca="false">IF(A884="제외","",IF(OR(N(L884)&lt;=0,N(M884)&gt;N(L884)),"택가보정(판매금액÷공급율)",""))</f>
        <v/>
      </c>
      <c r="P884" s="0" t="str">
        <f aca="false">IF(A884="HK","100",IF(A884="CN","200",IF(A884="TW","300",IF(ISNUMBER(SEARCH("태국",C884)),"500",IF(ISNUMBER(SEARCH("말레이",C884)),"600",IF(ISNUMBER(SEARCH("필리핀",C884)),"700",IF(ISNUMBER(SEARCH("인도네시아",C884)),"800",IF(ISNUMBER(SEARCH("크루즈",C884)),"810",IF(ISNUMBER(SEARCH("동물원",C884)),"830","")))))))))</f>
        <v>500</v>
      </c>
    </row>
    <row r="885" customFormat="false" ht="15" hidden="false" customHeight="false" outlineLevel="0" collapsed="false">
      <c r="A885" s="32" t="str">
        <f aca="false">IF(OR(TRIM(C885)="",SUBSTITUTE(C885," ","")="소계"),"제외",IF(ISNUMBER(SEARCH("홍콩",C885)),"HK",IF(ISNUMBER(SEARCH("상해",C885)),"CN",IF(ISNUMBER(SEARCH("대만",C885)),"TW","홀세일"))))</f>
        <v>홀세일</v>
      </c>
      <c r="B885" s="36" t="s">
        <v>1233</v>
      </c>
      <c r="C885" s="36" t="s">
        <v>1234</v>
      </c>
      <c r="D885" s="37" t="s">
        <v>123</v>
      </c>
      <c r="E885" s="36" t="n">
        <v>2026</v>
      </c>
      <c r="F885" s="37" t="s">
        <v>101</v>
      </c>
      <c r="G885" s="37" t="s">
        <v>124</v>
      </c>
      <c r="H885" s="36" t="s">
        <v>131</v>
      </c>
      <c r="I885" s="36" t="s">
        <v>1251</v>
      </c>
      <c r="J885" s="36" t="s">
        <v>1252</v>
      </c>
      <c r="K885" s="38" t="n">
        <v>25</v>
      </c>
      <c r="L885" s="38" t="n">
        <v>4475000</v>
      </c>
      <c r="M885" s="38" t="n">
        <v>1644600</v>
      </c>
      <c r="N885" s="39" t="n">
        <f aca="false">IF(A885="제외",0,IF(OR(N(L885)&lt;=0,N(M885)&gt;N(L885)),N(M885)/요약!$D$27,N(L885)))</f>
        <v>4475000</v>
      </c>
      <c r="O885" s="32" t="str">
        <f aca="false">IF(A885="제외","",IF(OR(N(L885)&lt;=0,N(M885)&gt;N(L885)),"택가보정(판매금액÷공급율)",""))</f>
        <v/>
      </c>
      <c r="P885" s="0" t="str">
        <f aca="false">IF(A885="HK","100",IF(A885="CN","200",IF(A885="TW","300",IF(ISNUMBER(SEARCH("태국",C885)),"500",IF(ISNUMBER(SEARCH("말레이",C885)),"600",IF(ISNUMBER(SEARCH("필리핀",C885)),"700",IF(ISNUMBER(SEARCH("인도네시아",C885)),"800",IF(ISNUMBER(SEARCH("크루즈",C885)),"810",IF(ISNUMBER(SEARCH("동물원",C885)),"830","")))))))))</f>
        <v>500</v>
      </c>
    </row>
    <row r="886" customFormat="false" ht="15" hidden="false" customHeight="false" outlineLevel="0" collapsed="false">
      <c r="A886" s="32" t="str">
        <f aca="false">IF(OR(TRIM(C886)="",SUBSTITUTE(C886," ","")="소계"),"제외",IF(ISNUMBER(SEARCH("홍콩",C886)),"HK",IF(ISNUMBER(SEARCH("상해",C886)),"CN",IF(ISNUMBER(SEARCH("대만",C886)),"TW","홀세일"))))</f>
        <v>홀세일</v>
      </c>
      <c r="B886" s="36" t="s">
        <v>1233</v>
      </c>
      <c r="C886" s="36" t="s">
        <v>1234</v>
      </c>
      <c r="D886" s="37" t="s">
        <v>123</v>
      </c>
      <c r="E886" s="36" t="n">
        <v>2026</v>
      </c>
      <c r="F886" s="37" t="s">
        <v>101</v>
      </c>
      <c r="G886" s="37" t="s">
        <v>124</v>
      </c>
      <c r="H886" s="36" t="s">
        <v>131</v>
      </c>
      <c r="I886" s="36" t="s">
        <v>1253</v>
      </c>
      <c r="J886" s="36" t="s">
        <v>1254</v>
      </c>
      <c r="K886" s="38" t="n">
        <v>25</v>
      </c>
      <c r="L886" s="38" t="n">
        <v>14750000</v>
      </c>
      <c r="M886" s="38" t="n">
        <v>5748775</v>
      </c>
      <c r="N886" s="39" t="n">
        <f aca="false">IF(A886="제외",0,IF(OR(N(L886)&lt;=0,N(M886)&gt;N(L886)),N(M886)/요약!$D$27,N(L886)))</f>
        <v>14750000</v>
      </c>
      <c r="O886" s="32" t="str">
        <f aca="false">IF(A886="제외","",IF(OR(N(L886)&lt;=0,N(M886)&gt;N(L886)),"택가보정(판매금액÷공급율)",""))</f>
        <v/>
      </c>
      <c r="P886" s="0" t="str">
        <f aca="false">IF(A886="HK","100",IF(A886="CN","200",IF(A886="TW","300",IF(ISNUMBER(SEARCH("태국",C886)),"500",IF(ISNUMBER(SEARCH("말레이",C886)),"600",IF(ISNUMBER(SEARCH("필리핀",C886)),"700",IF(ISNUMBER(SEARCH("인도네시아",C886)),"800",IF(ISNUMBER(SEARCH("크루즈",C886)),"810",IF(ISNUMBER(SEARCH("동물원",C886)),"830","")))))))))</f>
        <v>500</v>
      </c>
    </row>
    <row r="887" customFormat="false" ht="15" hidden="false" customHeight="false" outlineLevel="0" collapsed="false">
      <c r="A887" s="32" t="str">
        <f aca="false">IF(OR(TRIM(C887)="",SUBSTITUTE(C887," ","")="소계"),"제외",IF(ISNUMBER(SEARCH("홍콩",C887)),"HK",IF(ISNUMBER(SEARCH("상해",C887)),"CN",IF(ISNUMBER(SEARCH("대만",C887)),"TW","홀세일"))))</f>
        <v>홀세일</v>
      </c>
      <c r="B887" s="36" t="s">
        <v>1233</v>
      </c>
      <c r="C887" s="36" t="s">
        <v>1234</v>
      </c>
      <c r="D887" s="37" t="s">
        <v>123</v>
      </c>
      <c r="E887" s="36" t="n">
        <v>2026</v>
      </c>
      <c r="F887" s="37" t="s">
        <v>101</v>
      </c>
      <c r="G887" s="37" t="s">
        <v>124</v>
      </c>
      <c r="H887" s="36" t="s">
        <v>131</v>
      </c>
      <c r="I887" s="36" t="s">
        <v>1255</v>
      </c>
      <c r="J887" s="36" t="s">
        <v>1256</v>
      </c>
      <c r="K887" s="38" t="n">
        <v>35</v>
      </c>
      <c r="L887" s="38" t="n">
        <v>10465000</v>
      </c>
      <c r="M887" s="38" t="n">
        <v>4080685</v>
      </c>
      <c r="N887" s="39" t="n">
        <f aca="false">IF(A887="제외",0,IF(OR(N(L887)&lt;=0,N(M887)&gt;N(L887)),N(M887)/요약!$D$27,N(L887)))</f>
        <v>10465000</v>
      </c>
      <c r="O887" s="32" t="str">
        <f aca="false">IF(A887="제외","",IF(OR(N(L887)&lt;=0,N(M887)&gt;N(L887)),"택가보정(판매금액÷공급율)",""))</f>
        <v/>
      </c>
      <c r="P887" s="0" t="str">
        <f aca="false">IF(A887="HK","100",IF(A887="CN","200",IF(A887="TW","300",IF(ISNUMBER(SEARCH("태국",C887)),"500",IF(ISNUMBER(SEARCH("말레이",C887)),"600",IF(ISNUMBER(SEARCH("필리핀",C887)),"700",IF(ISNUMBER(SEARCH("인도네시아",C887)),"800",IF(ISNUMBER(SEARCH("크루즈",C887)),"810",IF(ISNUMBER(SEARCH("동물원",C887)),"830","")))))))))</f>
        <v>500</v>
      </c>
    </row>
    <row r="888" customFormat="false" ht="15" hidden="false" customHeight="false" outlineLevel="0" collapsed="false">
      <c r="A888" s="32" t="str">
        <f aca="false">IF(OR(TRIM(C888)="",SUBSTITUTE(C888," ","")="소계"),"제외",IF(ISNUMBER(SEARCH("홍콩",C888)),"HK",IF(ISNUMBER(SEARCH("상해",C888)),"CN",IF(ISNUMBER(SEARCH("대만",C888)),"TW","홀세일"))))</f>
        <v>홀세일</v>
      </c>
      <c r="B888" s="36" t="s">
        <v>1233</v>
      </c>
      <c r="C888" s="36" t="s">
        <v>1234</v>
      </c>
      <c r="D888" s="37" t="s">
        <v>123</v>
      </c>
      <c r="E888" s="36" t="n">
        <v>2026</v>
      </c>
      <c r="F888" s="37" t="s">
        <v>101</v>
      </c>
      <c r="G888" s="37" t="s">
        <v>124</v>
      </c>
      <c r="H888" s="36" t="s">
        <v>131</v>
      </c>
      <c r="I888" s="36" t="s">
        <v>782</v>
      </c>
      <c r="J888" s="36" t="s">
        <v>783</v>
      </c>
      <c r="K888" s="38" t="n">
        <v>25</v>
      </c>
      <c r="L888" s="38" t="n">
        <v>6975000</v>
      </c>
      <c r="M888" s="38" t="n">
        <v>2720200</v>
      </c>
      <c r="N888" s="39" t="n">
        <f aca="false">IF(A888="제외",0,IF(OR(N(L888)&lt;=0,N(M888)&gt;N(L888)),N(M888)/요약!$D$27,N(L888)))</f>
        <v>6975000</v>
      </c>
      <c r="O888" s="32" t="str">
        <f aca="false">IF(A888="제외","",IF(OR(N(L888)&lt;=0,N(M888)&gt;N(L888)),"택가보정(판매금액÷공급율)",""))</f>
        <v/>
      </c>
      <c r="P888" s="0" t="str">
        <f aca="false">IF(A888="HK","100",IF(A888="CN","200",IF(A888="TW","300",IF(ISNUMBER(SEARCH("태국",C888)),"500",IF(ISNUMBER(SEARCH("말레이",C888)),"600",IF(ISNUMBER(SEARCH("필리핀",C888)),"700",IF(ISNUMBER(SEARCH("인도네시아",C888)),"800",IF(ISNUMBER(SEARCH("크루즈",C888)),"810",IF(ISNUMBER(SEARCH("동물원",C888)),"830","")))))))))</f>
        <v>500</v>
      </c>
    </row>
    <row r="889" customFormat="false" ht="15" hidden="false" customHeight="false" outlineLevel="0" collapsed="false">
      <c r="A889" s="32" t="str">
        <f aca="false">IF(OR(TRIM(C889)="",SUBSTITUTE(C889," ","")="소계"),"제외",IF(ISNUMBER(SEARCH("홍콩",C889)),"HK",IF(ISNUMBER(SEARCH("상해",C889)),"CN",IF(ISNUMBER(SEARCH("대만",C889)),"TW","홀세일"))))</f>
        <v>홀세일</v>
      </c>
      <c r="B889" s="36" t="s">
        <v>1233</v>
      </c>
      <c r="C889" s="36" t="s">
        <v>1234</v>
      </c>
      <c r="D889" s="37" t="s">
        <v>123</v>
      </c>
      <c r="E889" s="36" t="n">
        <v>2026</v>
      </c>
      <c r="F889" s="37" t="s">
        <v>101</v>
      </c>
      <c r="G889" s="37" t="s">
        <v>124</v>
      </c>
      <c r="H889" s="36" t="s">
        <v>131</v>
      </c>
      <c r="I889" s="36" t="s">
        <v>1257</v>
      </c>
      <c r="J889" s="37" t="s">
        <v>1128</v>
      </c>
      <c r="K889" s="38" t="n">
        <v>40</v>
      </c>
      <c r="L889" s="38" t="n">
        <v>8760000</v>
      </c>
      <c r="M889" s="38" t="n">
        <v>3418440</v>
      </c>
      <c r="N889" s="39" t="n">
        <f aca="false">IF(A889="제외",0,IF(OR(N(L889)&lt;=0,N(M889)&gt;N(L889)),N(M889)/요약!$D$27,N(L889)))</f>
        <v>8760000</v>
      </c>
      <c r="O889" s="32" t="str">
        <f aca="false">IF(A889="제외","",IF(OR(N(L889)&lt;=0,N(M889)&gt;N(L889)),"택가보정(판매금액÷공급율)",""))</f>
        <v/>
      </c>
      <c r="P889" s="0" t="str">
        <f aca="false">IF(A889="HK","100",IF(A889="CN","200",IF(A889="TW","300",IF(ISNUMBER(SEARCH("태국",C889)),"500",IF(ISNUMBER(SEARCH("말레이",C889)),"600",IF(ISNUMBER(SEARCH("필리핀",C889)),"700",IF(ISNUMBER(SEARCH("인도네시아",C889)),"800",IF(ISNUMBER(SEARCH("크루즈",C889)),"810",IF(ISNUMBER(SEARCH("동물원",C889)),"830","")))))))))</f>
        <v>500</v>
      </c>
    </row>
    <row r="890" customFormat="false" ht="15" hidden="false" customHeight="false" outlineLevel="0" collapsed="false">
      <c r="A890" s="32" t="str">
        <f aca="false">IF(OR(TRIM(C890)="",SUBSTITUTE(C890," ","")="소계"),"제외",IF(ISNUMBER(SEARCH("홍콩",C890)),"HK",IF(ISNUMBER(SEARCH("상해",C890)),"CN",IF(ISNUMBER(SEARCH("대만",C890)),"TW","홀세일"))))</f>
        <v>홀세일</v>
      </c>
      <c r="B890" s="36" t="s">
        <v>1233</v>
      </c>
      <c r="C890" s="36" t="s">
        <v>1234</v>
      </c>
      <c r="D890" s="37" t="s">
        <v>123</v>
      </c>
      <c r="E890" s="36" t="n">
        <v>2026</v>
      </c>
      <c r="F890" s="37" t="s">
        <v>219</v>
      </c>
      <c r="G890" s="37" t="s">
        <v>124</v>
      </c>
      <c r="H890" s="36" t="s">
        <v>131</v>
      </c>
      <c r="I890" s="36" t="s">
        <v>224</v>
      </c>
      <c r="J890" s="36" t="s">
        <v>225</v>
      </c>
      <c r="K890" s="38" t="n">
        <v>50</v>
      </c>
      <c r="L890" s="38" t="n">
        <v>5450000</v>
      </c>
      <c r="M890" s="38" t="n">
        <v>2019950</v>
      </c>
      <c r="N890" s="39" t="n">
        <f aca="false">IF(A890="제외",0,IF(OR(N(L890)&lt;=0,N(M890)&gt;N(L890)),N(M890)/요약!$D$27,N(L890)))</f>
        <v>5450000</v>
      </c>
      <c r="O890" s="32" t="str">
        <f aca="false">IF(A890="제외","",IF(OR(N(L890)&lt;=0,N(M890)&gt;N(L890)),"택가보정(판매금액÷공급율)",""))</f>
        <v/>
      </c>
      <c r="P890" s="0" t="str">
        <f aca="false">IF(A890="HK","100",IF(A890="CN","200",IF(A890="TW","300",IF(ISNUMBER(SEARCH("태국",C890)),"500",IF(ISNUMBER(SEARCH("말레이",C890)),"600",IF(ISNUMBER(SEARCH("필리핀",C890)),"700",IF(ISNUMBER(SEARCH("인도네시아",C890)),"800",IF(ISNUMBER(SEARCH("크루즈",C890)),"810",IF(ISNUMBER(SEARCH("동물원",C890)),"830","")))))))))</f>
        <v>500</v>
      </c>
    </row>
    <row r="891" customFormat="false" ht="15" hidden="false" customHeight="false" outlineLevel="0" collapsed="false">
      <c r="A891" s="32" t="str">
        <f aca="false">IF(OR(TRIM(C891)="",SUBSTITUTE(C891," ","")="소계"),"제외",IF(ISNUMBER(SEARCH("홍콩",C891)),"HK",IF(ISNUMBER(SEARCH("상해",C891)),"CN",IF(ISNUMBER(SEARCH("대만",C891)),"TW","홀세일"))))</f>
        <v>홀세일</v>
      </c>
      <c r="B891" s="36" t="s">
        <v>1233</v>
      </c>
      <c r="C891" s="36" t="s">
        <v>1234</v>
      </c>
      <c r="D891" s="37" t="s">
        <v>123</v>
      </c>
      <c r="E891" s="36" t="n">
        <v>2026</v>
      </c>
      <c r="F891" s="37" t="s">
        <v>219</v>
      </c>
      <c r="G891" s="37" t="s">
        <v>124</v>
      </c>
      <c r="H891" s="36" t="s">
        <v>131</v>
      </c>
      <c r="I891" s="36" t="s">
        <v>806</v>
      </c>
      <c r="J891" s="37" t="s">
        <v>807</v>
      </c>
      <c r="K891" s="38" t="n">
        <v>40</v>
      </c>
      <c r="L891" s="38" t="n">
        <v>6360000</v>
      </c>
      <c r="M891" s="38" t="n">
        <v>2355840</v>
      </c>
      <c r="N891" s="39" t="n">
        <f aca="false">IF(A891="제외",0,IF(OR(N(L891)&lt;=0,N(M891)&gt;N(L891)),N(M891)/요약!$D$27,N(L891)))</f>
        <v>6360000</v>
      </c>
      <c r="O891" s="32" t="str">
        <f aca="false">IF(A891="제외","",IF(OR(N(L891)&lt;=0,N(M891)&gt;N(L891)),"택가보정(판매금액÷공급율)",""))</f>
        <v/>
      </c>
      <c r="P891" s="0" t="str">
        <f aca="false">IF(A891="HK","100",IF(A891="CN","200",IF(A891="TW","300",IF(ISNUMBER(SEARCH("태국",C891)),"500",IF(ISNUMBER(SEARCH("말레이",C891)),"600",IF(ISNUMBER(SEARCH("필리핀",C891)),"700",IF(ISNUMBER(SEARCH("인도네시아",C891)),"800",IF(ISNUMBER(SEARCH("크루즈",C891)),"810",IF(ISNUMBER(SEARCH("동물원",C891)),"830","")))))))))</f>
        <v>500</v>
      </c>
    </row>
    <row r="892" customFormat="false" ht="15" hidden="false" customHeight="false" outlineLevel="0" collapsed="false">
      <c r="A892" s="32" t="str">
        <f aca="false">IF(OR(TRIM(C892)="",SUBSTITUTE(C892," ","")="소계"),"제외",IF(ISNUMBER(SEARCH("홍콩",C892)),"HK",IF(ISNUMBER(SEARCH("상해",C892)),"CN",IF(ISNUMBER(SEARCH("대만",C892)),"TW","홀세일"))))</f>
        <v>홀세일</v>
      </c>
      <c r="B892" s="36" t="s">
        <v>1233</v>
      </c>
      <c r="C892" s="36" t="s">
        <v>1234</v>
      </c>
      <c r="D892" s="37" t="s">
        <v>123</v>
      </c>
      <c r="E892" s="36" t="n">
        <v>2026</v>
      </c>
      <c r="F892" s="37" t="s">
        <v>219</v>
      </c>
      <c r="G892" s="37" t="s">
        <v>124</v>
      </c>
      <c r="H892" s="36" t="s">
        <v>131</v>
      </c>
      <c r="I892" s="36" t="s">
        <v>240</v>
      </c>
      <c r="J892" s="36" t="s">
        <v>241</v>
      </c>
      <c r="K892" s="38" t="n">
        <v>75</v>
      </c>
      <c r="L892" s="38" t="n">
        <v>5175000</v>
      </c>
      <c r="M892" s="38" t="n">
        <v>1920075</v>
      </c>
      <c r="N892" s="39" t="n">
        <f aca="false">IF(A892="제외",0,IF(OR(N(L892)&lt;=0,N(M892)&gt;N(L892)),N(M892)/요약!$D$27,N(L892)))</f>
        <v>5175000</v>
      </c>
      <c r="O892" s="32" t="str">
        <f aca="false">IF(A892="제외","",IF(OR(N(L892)&lt;=0,N(M892)&gt;N(L892)),"택가보정(판매금액÷공급율)",""))</f>
        <v/>
      </c>
      <c r="P892" s="0" t="str">
        <f aca="false">IF(A892="HK","100",IF(A892="CN","200",IF(A892="TW","300",IF(ISNUMBER(SEARCH("태국",C892)),"500",IF(ISNUMBER(SEARCH("말레이",C892)),"600",IF(ISNUMBER(SEARCH("필리핀",C892)),"700",IF(ISNUMBER(SEARCH("인도네시아",C892)),"800",IF(ISNUMBER(SEARCH("크루즈",C892)),"810",IF(ISNUMBER(SEARCH("동물원",C892)),"830","")))))))))</f>
        <v>500</v>
      </c>
    </row>
    <row r="893" customFormat="false" ht="15" hidden="false" customHeight="false" outlineLevel="0" collapsed="false">
      <c r="A893" s="32" t="str">
        <f aca="false">IF(OR(TRIM(C893)="",SUBSTITUTE(C893," ","")="소계"),"제외",IF(ISNUMBER(SEARCH("홍콩",C893)),"HK",IF(ISNUMBER(SEARCH("상해",C893)),"CN",IF(ISNUMBER(SEARCH("대만",C893)),"TW","홀세일"))))</f>
        <v>홀세일</v>
      </c>
      <c r="B893" s="36" t="s">
        <v>1233</v>
      </c>
      <c r="C893" s="36" t="s">
        <v>1234</v>
      </c>
      <c r="D893" s="37" t="s">
        <v>123</v>
      </c>
      <c r="E893" s="36" t="n">
        <v>2026</v>
      </c>
      <c r="F893" s="37" t="s">
        <v>219</v>
      </c>
      <c r="G893" s="37" t="s">
        <v>124</v>
      </c>
      <c r="H893" s="36" t="s">
        <v>131</v>
      </c>
      <c r="I893" s="36" t="s">
        <v>242</v>
      </c>
      <c r="J893" s="36" t="s">
        <v>243</v>
      </c>
      <c r="K893" s="38" t="n">
        <v>50</v>
      </c>
      <c r="L893" s="38" t="n">
        <v>3950000</v>
      </c>
      <c r="M893" s="38" t="n">
        <v>1465000</v>
      </c>
      <c r="N893" s="39" t="n">
        <f aca="false">IF(A893="제외",0,IF(OR(N(L893)&lt;=0,N(M893)&gt;N(L893)),N(M893)/요약!$D$27,N(L893)))</f>
        <v>3950000</v>
      </c>
      <c r="O893" s="32" t="str">
        <f aca="false">IF(A893="제외","",IF(OR(N(L893)&lt;=0,N(M893)&gt;N(L893)),"택가보정(판매금액÷공급율)",""))</f>
        <v/>
      </c>
      <c r="P893" s="0" t="str">
        <f aca="false">IF(A893="HK","100",IF(A893="CN","200",IF(A893="TW","300",IF(ISNUMBER(SEARCH("태국",C893)),"500",IF(ISNUMBER(SEARCH("말레이",C893)),"600",IF(ISNUMBER(SEARCH("필리핀",C893)),"700",IF(ISNUMBER(SEARCH("인도네시아",C893)),"800",IF(ISNUMBER(SEARCH("크루즈",C893)),"810",IF(ISNUMBER(SEARCH("동물원",C893)),"830","")))))))))</f>
        <v>500</v>
      </c>
    </row>
    <row r="894" customFormat="false" ht="15" hidden="false" customHeight="false" outlineLevel="0" collapsed="false">
      <c r="A894" s="32" t="str">
        <f aca="false">IF(OR(TRIM(C894)="",SUBSTITUTE(C894," ","")="소계"),"제외",IF(ISNUMBER(SEARCH("홍콩",C894)),"HK",IF(ISNUMBER(SEARCH("상해",C894)),"CN",IF(ISNUMBER(SEARCH("대만",C894)),"TW","홀세일"))))</f>
        <v>홀세일</v>
      </c>
      <c r="B894" s="36" t="s">
        <v>1233</v>
      </c>
      <c r="C894" s="36" t="s">
        <v>1234</v>
      </c>
      <c r="D894" s="37" t="s">
        <v>123</v>
      </c>
      <c r="E894" s="36" t="n">
        <v>2026</v>
      </c>
      <c r="F894" s="37" t="s">
        <v>219</v>
      </c>
      <c r="G894" s="37" t="s">
        <v>124</v>
      </c>
      <c r="H894" s="36" t="s">
        <v>131</v>
      </c>
      <c r="I894" s="36" t="s">
        <v>248</v>
      </c>
      <c r="J894" s="37" t="s">
        <v>249</v>
      </c>
      <c r="K894" s="38" t="n">
        <v>50</v>
      </c>
      <c r="L894" s="38" t="n">
        <v>4950000</v>
      </c>
      <c r="M894" s="38" t="n">
        <v>1834950</v>
      </c>
      <c r="N894" s="39" t="n">
        <f aca="false">IF(A894="제외",0,IF(OR(N(L894)&lt;=0,N(M894)&gt;N(L894)),N(M894)/요약!$D$27,N(L894)))</f>
        <v>4950000</v>
      </c>
      <c r="O894" s="32" t="str">
        <f aca="false">IF(A894="제외","",IF(OR(N(L894)&lt;=0,N(M894)&gt;N(L894)),"택가보정(판매금액÷공급율)",""))</f>
        <v/>
      </c>
      <c r="P894" s="0" t="str">
        <f aca="false">IF(A894="HK","100",IF(A894="CN","200",IF(A894="TW","300",IF(ISNUMBER(SEARCH("태국",C894)),"500",IF(ISNUMBER(SEARCH("말레이",C894)),"600",IF(ISNUMBER(SEARCH("필리핀",C894)),"700",IF(ISNUMBER(SEARCH("인도네시아",C894)),"800",IF(ISNUMBER(SEARCH("크루즈",C894)),"810",IF(ISNUMBER(SEARCH("동물원",C894)),"830","")))))))))</f>
        <v>500</v>
      </c>
    </row>
    <row r="895" customFormat="false" ht="15" hidden="false" customHeight="false" outlineLevel="0" collapsed="false">
      <c r="A895" s="32" t="str">
        <f aca="false">IF(OR(TRIM(C895)="",SUBSTITUTE(C895," ","")="소계"),"제외",IF(ISNUMBER(SEARCH("홍콩",C895)),"HK",IF(ISNUMBER(SEARCH("상해",C895)),"CN",IF(ISNUMBER(SEARCH("대만",C895)),"TW","홀세일"))))</f>
        <v>홀세일</v>
      </c>
      <c r="B895" s="36" t="s">
        <v>1233</v>
      </c>
      <c r="C895" s="36" t="s">
        <v>1234</v>
      </c>
      <c r="D895" s="37" t="s">
        <v>123</v>
      </c>
      <c r="E895" s="36" t="n">
        <v>2026</v>
      </c>
      <c r="F895" s="37" t="s">
        <v>219</v>
      </c>
      <c r="G895" s="37" t="s">
        <v>124</v>
      </c>
      <c r="H895" s="36" t="s">
        <v>131</v>
      </c>
      <c r="I895" s="36" t="s">
        <v>290</v>
      </c>
      <c r="J895" s="37" t="s">
        <v>291</v>
      </c>
      <c r="K895" s="38" t="n">
        <v>50</v>
      </c>
      <c r="L895" s="38" t="n">
        <v>3450000</v>
      </c>
      <c r="M895" s="38" t="n">
        <v>1280050</v>
      </c>
      <c r="N895" s="39" t="n">
        <f aca="false">IF(A895="제외",0,IF(OR(N(L895)&lt;=0,N(M895)&gt;N(L895)),N(M895)/요약!$D$27,N(L895)))</f>
        <v>3450000</v>
      </c>
      <c r="O895" s="32" t="str">
        <f aca="false">IF(A895="제외","",IF(OR(N(L895)&lt;=0,N(M895)&gt;N(L895)),"택가보정(판매금액÷공급율)",""))</f>
        <v/>
      </c>
      <c r="P895" s="0" t="str">
        <f aca="false">IF(A895="HK","100",IF(A895="CN","200",IF(A895="TW","300",IF(ISNUMBER(SEARCH("태국",C895)),"500",IF(ISNUMBER(SEARCH("말레이",C895)),"600",IF(ISNUMBER(SEARCH("필리핀",C895)),"700",IF(ISNUMBER(SEARCH("인도네시아",C895)),"800",IF(ISNUMBER(SEARCH("크루즈",C895)),"810",IF(ISNUMBER(SEARCH("동물원",C895)),"830","")))))))))</f>
        <v>500</v>
      </c>
    </row>
    <row r="896" customFormat="false" ht="15" hidden="false" customHeight="false" outlineLevel="0" collapsed="false">
      <c r="A896" s="32" t="str">
        <f aca="false">IF(OR(TRIM(C896)="",SUBSTITUTE(C896," ","")="소계"),"제외",IF(ISNUMBER(SEARCH("홍콩",C896)),"HK",IF(ISNUMBER(SEARCH("상해",C896)),"CN",IF(ISNUMBER(SEARCH("대만",C896)),"TW","홀세일"))))</f>
        <v>홀세일</v>
      </c>
      <c r="B896" s="36" t="s">
        <v>1233</v>
      </c>
      <c r="C896" s="36" t="s">
        <v>1234</v>
      </c>
      <c r="D896" s="37" t="s">
        <v>123</v>
      </c>
      <c r="E896" s="36" t="n">
        <v>2026</v>
      </c>
      <c r="F896" s="37" t="s">
        <v>219</v>
      </c>
      <c r="G896" s="37" t="s">
        <v>124</v>
      </c>
      <c r="H896" s="36" t="s">
        <v>125</v>
      </c>
      <c r="I896" s="36" t="s">
        <v>318</v>
      </c>
      <c r="J896" s="37" t="s">
        <v>319</v>
      </c>
      <c r="K896" s="38" t="n">
        <v>50</v>
      </c>
      <c r="L896" s="38" t="n">
        <v>2950000</v>
      </c>
      <c r="M896" s="38" t="n">
        <v>1086600</v>
      </c>
      <c r="N896" s="39" t="n">
        <f aca="false">IF(A896="제외",0,IF(OR(N(L896)&lt;=0,N(M896)&gt;N(L896)),N(M896)/요약!$D$27,N(L896)))</f>
        <v>2950000</v>
      </c>
      <c r="O896" s="32" t="str">
        <f aca="false">IF(A896="제외","",IF(OR(N(L896)&lt;=0,N(M896)&gt;N(L896)),"택가보정(판매금액÷공급율)",""))</f>
        <v/>
      </c>
      <c r="P896" s="0" t="str">
        <f aca="false">IF(A896="HK","100",IF(A896="CN","200",IF(A896="TW","300",IF(ISNUMBER(SEARCH("태국",C896)),"500",IF(ISNUMBER(SEARCH("말레이",C896)),"600",IF(ISNUMBER(SEARCH("필리핀",C896)),"700",IF(ISNUMBER(SEARCH("인도네시아",C896)),"800",IF(ISNUMBER(SEARCH("크루즈",C896)),"810",IF(ISNUMBER(SEARCH("동물원",C896)),"830","")))))))))</f>
        <v>500</v>
      </c>
    </row>
    <row r="897" customFormat="false" ht="15" hidden="false" customHeight="false" outlineLevel="0" collapsed="false">
      <c r="A897" s="32" t="str">
        <f aca="false">IF(OR(TRIM(C897)="",SUBSTITUTE(C897," ","")="소계"),"제외",IF(ISNUMBER(SEARCH("홍콩",C897)),"HK",IF(ISNUMBER(SEARCH("상해",C897)),"CN",IF(ISNUMBER(SEARCH("대만",C897)),"TW","홀세일"))))</f>
        <v>홀세일</v>
      </c>
      <c r="B897" s="36" t="s">
        <v>1233</v>
      </c>
      <c r="C897" s="36" t="s">
        <v>1234</v>
      </c>
      <c r="D897" s="37" t="s">
        <v>123</v>
      </c>
      <c r="E897" s="36" t="n">
        <v>2026</v>
      </c>
      <c r="F897" s="37" t="s">
        <v>219</v>
      </c>
      <c r="G897" s="37" t="s">
        <v>124</v>
      </c>
      <c r="H897" s="36" t="s">
        <v>125</v>
      </c>
      <c r="I897" s="36" t="s">
        <v>320</v>
      </c>
      <c r="J897" s="37" t="s">
        <v>321</v>
      </c>
      <c r="K897" s="38" t="n">
        <v>50</v>
      </c>
      <c r="L897" s="38" t="n">
        <v>3450000</v>
      </c>
      <c r="M897" s="38" t="n">
        <v>1270150</v>
      </c>
      <c r="N897" s="39" t="n">
        <f aca="false">IF(A897="제외",0,IF(OR(N(L897)&lt;=0,N(M897)&gt;N(L897)),N(M897)/요약!$D$27,N(L897)))</f>
        <v>3450000</v>
      </c>
      <c r="O897" s="32" t="str">
        <f aca="false">IF(A897="제외","",IF(OR(N(L897)&lt;=0,N(M897)&gt;N(L897)),"택가보정(판매금액÷공급율)",""))</f>
        <v/>
      </c>
      <c r="P897" s="0" t="str">
        <f aca="false">IF(A897="HK","100",IF(A897="CN","200",IF(A897="TW","300",IF(ISNUMBER(SEARCH("태국",C897)),"500",IF(ISNUMBER(SEARCH("말레이",C897)),"600",IF(ISNUMBER(SEARCH("필리핀",C897)),"700",IF(ISNUMBER(SEARCH("인도네시아",C897)),"800",IF(ISNUMBER(SEARCH("크루즈",C897)),"810",IF(ISNUMBER(SEARCH("동물원",C897)),"830","")))))))))</f>
        <v>500</v>
      </c>
    </row>
    <row r="898" customFormat="false" ht="15" hidden="false" customHeight="false" outlineLevel="0" collapsed="false">
      <c r="A898" s="32" t="str">
        <f aca="false">IF(OR(TRIM(C898)="",SUBSTITUTE(C898," ","")="소계"),"제외",IF(ISNUMBER(SEARCH("홍콩",C898)),"HK",IF(ISNUMBER(SEARCH("상해",C898)),"CN",IF(ISNUMBER(SEARCH("대만",C898)),"TW","홀세일"))))</f>
        <v>홀세일</v>
      </c>
      <c r="B898" s="36" t="s">
        <v>1233</v>
      </c>
      <c r="C898" s="36" t="s">
        <v>1234</v>
      </c>
      <c r="D898" s="37" t="s">
        <v>123</v>
      </c>
      <c r="E898" s="36" t="n">
        <v>2026</v>
      </c>
      <c r="F898" s="37" t="s">
        <v>219</v>
      </c>
      <c r="G898" s="37" t="s">
        <v>124</v>
      </c>
      <c r="H898" s="37" t="s">
        <v>128</v>
      </c>
      <c r="I898" s="36" t="s">
        <v>1258</v>
      </c>
      <c r="J898" s="36" t="s">
        <v>1259</v>
      </c>
      <c r="K898" s="38" t="n">
        <v>25</v>
      </c>
      <c r="L898" s="38" t="n">
        <v>1475000</v>
      </c>
      <c r="M898" s="38" t="n">
        <v>547525</v>
      </c>
      <c r="N898" s="39" t="n">
        <f aca="false">IF(A898="제외",0,IF(OR(N(L898)&lt;=0,N(M898)&gt;N(L898)),N(M898)/요약!$D$27,N(L898)))</f>
        <v>1475000</v>
      </c>
      <c r="O898" s="32" t="str">
        <f aca="false">IF(A898="제외","",IF(OR(N(L898)&lt;=0,N(M898)&gt;N(L898)),"택가보정(판매금액÷공급율)",""))</f>
        <v/>
      </c>
      <c r="P898" s="0" t="str">
        <f aca="false">IF(A898="HK","100",IF(A898="CN","200",IF(A898="TW","300",IF(ISNUMBER(SEARCH("태국",C898)),"500",IF(ISNUMBER(SEARCH("말레이",C898)),"600",IF(ISNUMBER(SEARCH("필리핀",C898)),"700",IF(ISNUMBER(SEARCH("인도네시아",C898)),"800",IF(ISNUMBER(SEARCH("크루즈",C898)),"810",IF(ISNUMBER(SEARCH("동물원",C898)),"830","")))))))))</f>
        <v>500</v>
      </c>
    </row>
    <row r="899" customFormat="false" ht="15" hidden="false" customHeight="false" outlineLevel="0" collapsed="false">
      <c r="A899" s="32" t="str">
        <f aca="false">IF(OR(TRIM(C899)="",SUBSTITUTE(C899," ","")="소계"),"제외",IF(ISNUMBER(SEARCH("홍콩",C899)),"HK",IF(ISNUMBER(SEARCH("상해",C899)),"CN",IF(ISNUMBER(SEARCH("대만",C899)),"TW","홀세일"))))</f>
        <v>홀세일</v>
      </c>
      <c r="B899" s="36" t="s">
        <v>1233</v>
      </c>
      <c r="C899" s="36" t="s">
        <v>1234</v>
      </c>
      <c r="D899" s="37" t="s">
        <v>123</v>
      </c>
      <c r="E899" s="36" t="n">
        <v>2026</v>
      </c>
      <c r="F899" s="37" t="s">
        <v>219</v>
      </c>
      <c r="G899" s="37" t="s">
        <v>124</v>
      </c>
      <c r="H899" s="37" t="s">
        <v>128</v>
      </c>
      <c r="I899" s="36" t="s">
        <v>1260</v>
      </c>
      <c r="J899" s="36" t="s">
        <v>1261</v>
      </c>
      <c r="K899" s="38" t="n">
        <v>25</v>
      </c>
      <c r="L899" s="38" t="n">
        <v>1475000</v>
      </c>
      <c r="M899" s="38" t="n">
        <v>547525</v>
      </c>
      <c r="N899" s="39" t="n">
        <f aca="false">IF(A899="제외",0,IF(OR(N(L899)&lt;=0,N(M899)&gt;N(L899)),N(M899)/요약!$D$27,N(L899)))</f>
        <v>1475000</v>
      </c>
      <c r="O899" s="32" t="str">
        <f aca="false">IF(A899="제외","",IF(OR(N(L899)&lt;=0,N(M899)&gt;N(L899)),"택가보정(판매금액÷공급율)",""))</f>
        <v/>
      </c>
      <c r="P899" s="0" t="str">
        <f aca="false">IF(A899="HK","100",IF(A899="CN","200",IF(A899="TW","300",IF(ISNUMBER(SEARCH("태국",C899)),"500",IF(ISNUMBER(SEARCH("말레이",C899)),"600",IF(ISNUMBER(SEARCH("필리핀",C899)),"700",IF(ISNUMBER(SEARCH("인도네시아",C899)),"800",IF(ISNUMBER(SEARCH("크루즈",C899)),"810",IF(ISNUMBER(SEARCH("동물원",C899)),"830","")))))))))</f>
        <v>500</v>
      </c>
    </row>
    <row r="900" customFormat="false" ht="15" hidden="false" customHeight="false" outlineLevel="0" collapsed="false">
      <c r="A900" s="32" t="str">
        <f aca="false">IF(OR(TRIM(C900)="",SUBSTITUTE(C900," ","")="소계"),"제외",IF(ISNUMBER(SEARCH("홍콩",C900)),"HK",IF(ISNUMBER(SEARCH("상해",C900)),"CN",IF(ISNUMBER(SEARCH("대만",C900)),"TW","홀세일"))))</f>
        <v>홀세일</v>
      </c>
      <c r="B900" s="36" t="s">
        <v>1233</v>
      </c>
      <c r="C900" s="36" t="s">
        <v>1234</v>
      </c>
      <c r="D900" s="37" t="s">
        <v>123</v>
      </c>
      <c r="E900" s="36" t="n">
        <v>2026</v>
      </c>
      <c r="F900" s="37" t="s">
        <v>219</v>
      </c>
      <c r="G900" s="37" t="s">
        <v>124</v>
      </c>
      <c r="H900" s="36" t="s">
        <v>188</v>
      </c>
      <c r="I900" s="36" t="s">
        <v>330</v>
      </c>
      <c r="J900" s="36" t="s">
        <v>331</v>
      </c>
      <c r="K900" s="38" t="n">
        <v>40</v>
      </c>
      <c r="L900" s="38" t="n">
        <v>5560000</v>
      </c>
      <c r="M900" s="38" t="n">
        <v>2059880</v>
      </c>
      <c r="N900" s="39" t="n">
        <f aca="false">IF(A900="제외",0,IF(OR(N(L900)&lt;=0,N(M900)&gt;N(L900)),N(M900)/요약!$D$27,N(L900)))</f>
        <v>5560000</v>
      </c>
      <c r="O900" s="32" t="str">
        <f aca="false">IF(A900="제외","",IF(OR(N(L900)&lt;=0,N(M900)&gt;N(L900)),"택가보정(판매금액÷공급율)",""))</f>
        <v/>
      </c>
      <c r="P900" s="0" t="str">
        <f aca="false">IF(A900="HK","100",IF(A900="CN","200",IF(A900="TW","300",IF(ISNUMBER(SEARCH("태국",C900)),"500",IF(ISNUMBER(SEARCH("말레이",C900)),"600",IF(ISNUMBER(SEARCH("필리핀",C900)),"700",IF(ISNUMBER(SEARCH("인도네시아",C900)),"800",IF(ISNUMBER(SEARCH("크루즈",C900)),"810",IF(ISNUMBER(SEARCH("동물원",C900)),"830","")))))))))</f>
        <v>500</v>
      </c>
    </row>
    <row r="901" customFormat="false" ht="15" hidden="false" customHeight="false" outlineLevel="0" collapsed="false">
      <c r="A901" s="32" t="str">
        <f aca="false">IF(OR(TRIM(C901)="",SUBSTITUTE(C901," ","")="소계"),"제외",IF(ISNUMBER(SEARCH("홍콩",C901)),"HK",IF(ISNUMBER(SEARCH("상해",C901)),"CN",IF(ISNUMBER(SEARCH("대만",C901)),"TW","홀세일"))))</f>
        <v>제외</v>
      </c>
      <c r="B901" s="36" t="s">
        <v>762</v>
      </c>
      <c r="C901" s="37" t="s">
        <v>763</v>
      </c>
      <c r="D901" s="36"/>
      <c r="E901" s="36"/>
      <c r="F901" s="36"/>
      <c r="G901" s="36"/>
      <c r="H901" s="36"/>
      <c r="I901" s="36"/>
      <c r="J901" s="36"/>
      <c r="K901" s="38" t="n">
        <v>1358</v>
      </c>
      <c r="L901" s="38" t="n">
        <v>150677000</v>
      </c>
      <c r="M901" s="38" t="n">
        <v>55141683</v>
      </c>
      <c r="N901" s="39" t="n">
        <f aca="false">IF(A901="제외",0,IF(OR(N(L901)&lt;=0,N(M901)&gt;N(L901)),N(M901)/요약!$D$27,N(L901)))</f>
        <v>0</v>
      </c>
      <c r="O901" s="32" t="str">
        <f aca="false">IF(A901="제외","",IF(OR(N(L901)&lt;=0,N(M901)&gt;N(L901)),"택가보정(판매금액÷공급율)",""))</f>
        <v/>
      </c>
      <c r="P901" s="0" t="str">
        <f aca="false">IF(A901="HK","100",IF(A901="CN","200",IF(A901="TW","300",IF(ISNUMBER(SEARCH("태국",C901)),"500",IF(ISNUMBER(SEARCH("말레이",C901)),"600",IF(ISNUMBER(SEARCH("필리핀",C901)),"700",IF(ISNUMBER(SEARCH("인도네시아",C901)),"800",IF(ISNUMBER(SEARCH("크루즈",C901)),"810",IF(ISNUMBER(SEARCH("동물원",C901)),"830","")))))))))</f>
        <v/>
      </c>
    </row>
    <row r="902" customFormat="false" ht="15" hidden="false" customHeight="false" outlineLevel="0" collapsed="false">
      <c r="A902" s="32" t="str">
        <f aca="false">IF(OR(TRIM(C902)="",SUBSTITUTE(C902," ","")="소계"),"제외",IF(ISNUMBER(SEARCH("홍콩",C902)),"HK",IF(ISNUMBER(SEARCH("상해",C902)),"CN",IF(ISNUMBER(SEARCH("대만",C902)),"TW","홀세일"))))</f>
        <v>홀세일</v>
      </c>
      <c r="B902" s="36" t="s">
        <v>1262</v>
      </c>
      <c r="C902" s="36" t="s">
        <v>1263</v>
      </c>
      <c r="D902" s="36" t="s">
        <v>100</v>
      </c>
      <c r="E902" s="36" t="n">
        <v>2026</v>
      </c>
      <c r="F902" s="37" t="s">
        <v>101</v>
      </c>
      <c r="G902" s="37" t="s">
        <v>102</v>
      </c>
      <c r="H902" s="36" t="s">
        <v>100</v>
      </c>
      <c r="I902" s="36" t="s">
        <v>1264</v>
      </c>
      <c r="J902" s="36" t="s">
        <v>1265</v>
      </c>
      <c r="K902" s="38" t="n">
        <v>20</v>
      </c>
      <c r="L902" s="38" t="n">
        <v>980000</v>
      </c>
      <c r="M902" s="38" t="n">
        <v>385060</v>
      </c>
      <c r="N902" s="39" t="n">
        <f aca="false">IF(A902="제외",0,IF(OR(N(L902)&lt;=0,N(M902)&gt;N(L902)),N(M902)/요약!$D$27,N(L902)))</f>
        <v>980000</v>
      </c>
      <c r="O902" s="32" t="str">
        <f aca="false">IF(A902="제외","",IF(OR(N(L902)&lt;=0,N(M902)&gt;N(L902)),"택가보정(판매금액÷공급율)",""))</f>
        <v/>
      </c>
      <c r="P902" s="0" t="str">
        <f aca="false">IF(A902="HK","100",IF(A902="CN","200",IF(A902="TW","300",IF(ISNUMBER(SEARCH("태국",C902)),"500",IF(ISNUMBER(SEARCH("말레이",C902)),"600",IF(ISNUMBER(SEARCH("필리핀",C902)),"700",IF(ISNUMBER(SEARCH("인도네시아",C902)),"800",IF(ISNUMBER(SEARCH("크루즈",C902)),"810",IF(ISNUMBER(SEARCH("동물원",C902)),"830","")))))))))</f>
        <v>600</v>
      </c>
    </row>
    <row r="903" customFormat="false" ht="15" hidden="false" customHeight="false" outlineLevel="0" collapsed="false">
      <c r="A903" s="32" t="str">
        <f aca="false">IF(OR(TRIM(C903)="",SUBSTITUTE(C903," ","")="소계"),"제외",IF(ISNUMBER(SEARCH("홍콩",C903)),"HK",IF(ISNUMBER(SEARCH("상해",C903)),"CN",IF(ISNUMBER(SEARCH("대만",C903)),"TW","홀세일"))))</f>
        <v>홀세일</v>
      </c>
      <c r="B903" s="36" t="s">
        <v>1262</v>
      </c>
      <c r="C903" s="36" t="s">
        <v>1263</v>
      </c>
      <c r="D903" s="36" t="s">
        <v>100</v>
      </c>
      <c r="E903" s="36" t="n">
        <v>2026</v>
      </c>
      <c r="F903" s="37" t="s">
        <v>101</v>
      </c>
      <c r="G903" s="37" t="s">
        <v>102</v>
      </c>
      <c r="H903" s="36" t="s">
        <v>100</v>
      </c>
      <c r="I903" s="36" t="s">
        <v>1266</v>
      </c>
      <c r="J903" s="36" t="s">
        <v>1267</v>
      </c>
      <c r="K903" s="38" t="n">
        <v>20</v>
      </c>
      <c r="L903" s="38" t="n">
        <v>780000</v>
      </c>
      <c r="M903" s="38" t="n">
        <v>305700</v>
      </c>
      <c r="N903" s="39" t="n">
        <f aca="false">IF(A903="제외",0,IF(OR(N(L903)&lt;=0,N(M903)&gt;N(L903)),N(M903)/요약!$D$27,N(L903)))</f>
        <v>780000</v>
      </c>
      <c r="O903" s="32" t="str">
        <f aca="false">IF(A903="제외","",IF(OR(N(L903)&lt;=0,N(M903)&gt;N(L903)),"택가보정(판매금액÷공급율)",""))</f>
        <v/>
      </c>
      <c r="P903" s="0" t="str">
        <f aca="false">IF(A903="HK","100",IF(A903="CN","200",IF(A903="TW","300",IF(ISNUMBER(SEARCH("태국",C903)),"500",IF(ISNUMBER(SEARCH("말레이",C903)),"600",IF(ISNUMBER(SEARCH("필리핀",C903)),"700",IF(ISNUMBER(SEARCH("인도네시아",C903)),"800",IF(ISNUMBER(SEARCH("크루즈",C903)),"810",IF(ISNUMBER(SEARCH("동물원",C903)),"830","")))))))))</f>
        <v>600</v>
      </c>
    </row>
    <row r="904" customFormat="false" ht="15" hidden="false" customHeight="false" outlineLevel="0" collapsed="false">
      <c r="A904" s="32" t="str">
        <f aca="false">IF(OR(TRIM(C904)="",SUBSTITUTE(C904," ","")="소계"),"제외",IF(ISNUMBER(SEARCH("홍콩",C904)),"HK",IF(ISNUMBER(SEARCH("상해",C904)),"CN",IF(ISNUMBER(SEARCH("대만",C904)),"TW","홀세일"))))</f>
        <v>홀세일</v>
      </c>
      <c r="B904" s="36" t="s">
        <v>1262</v>
      </c>
      <c r="C904" s="36" t="s">
        <v>1263</v>
      </c>
      <c r="D904" s="36" t="s">
        <v>100</v>
      </c>
      <c r="E904" s="36" t="n">
        <v>2026</v>
      </c>
      <c r="F904" s="37" t="s">
        <v>219</v>
      </c>
      <c r="G904" s="37" t="s">
        <v>124</v>
      </c>
      <c r="H904" s="36" t="s">
        <v>131</v>
      </c>
      <c r="I904" s="36" t="s">
        <v>1268</v>
      </c>
      <c r="J904" s="36" t="s">
        <v>1269</v>
      </c>
      <c r="K904" s="38" t="n">
        <v>30</v>
      </c>
      <c r="L904" s="38" t="n">
        <v>1470000</v>
      </c>
      <c r="M904" s="38" t="n">
        <v>545670</v>
      </c>
      <c r="N904" s="39" t="n">
        <f aca="false">IF(A904="제외",0,IF(OR(N(L904)&lt;=0,N(M904)&gt;N(L904)),N(M904)/요약!$D$27,N(L904)))</f>
        <v>1470000</v>
      </c>
      <c r="O904" s="32" t="str">
        <f aca="false">IF(A904="제외","",IF(OR(N(L904)&lt;=0,N(M904)&gt;N(L904)),"택가보정(판매금액÷공급율)",""))</f>
        <v/>
      </c>
      <c r="P904" s="0" t="str">
        <f aca="false">IF(A904="HK","100",IF(A904="CN","200",IF(A904="TW","300",IF(ISNUMBER(SEARCH("태국",C904)),"500",IF(ISNUMBER(SEARCH("말레이",C904)),"600",IF(ISNUMBER(SEARCH("필리핀",C904)),"700",IF(ISNUMBER(SEARCH("인도네시아",C904)),"800",IF(ISNUMBER(SEARCH("크루즈",C904)),"810",IF(ISNUMBER(SEARCH("동물원",C904)),"830","")))))))))</f>
        <v>600</v>
      </c>
    </row>
    <row r="905" customFormat="false" ht="15" hidden="false" customHeight="false" outlineLevel="0" collapsed="false">
      <c r="A905" s="32" t="str">
        <f aca="false">IF(OR(TRIM(C905)="",SUBSTITUTE(C905," ","")="소계"),"제외",IF(ISNUMBER(SEARCH("홍콩",C905)),"HK",IF(ISNUMBER(SEARCH("상해",C905)),"CN",IF(ISNUMBER(SEARCH("대만",C905)),"TW","홀세일"))))</f>
        <v>홀세일</v>
      </c>
      <c r="B905" s="36" t="s">
        <v>1262</v>
      </c>
      <c r="C905" s="36" t="s">
        <v>1263</v>
      </c>
      <c r="D905" s="36" t="s">
        <v>100</v>
      </c>
      <c r="E905" s="36" t="n">
        <v>2026</v>
      </c>
      <c r="F905" s="37" t="s">
        <v>219</v>
      </c>
      <c r="G905" s="37" t="s">
        <v>124</v>
      </c>
      <c r="H905" s="36" t="s">
        <v>131</v>
      </c>
      <c r="I905" s="36" t="s">
        <v>1270</v>
      </c>
      <c r="J905" s="36" t="s">
        <v>1271</v>
      </c>
      <c r="K905" s="38" t="n">
        <v>15</v>
      </c>
      <c r="L905" s="38" t="n">
        <v>735000</v>
      </c>
      <c r="M905" s="38" t="n">
        <v>272835</v>
      </c>
      <c r="N905" s="39" t="n">
        <f aca="false">IF(A905="제외",0,IF(OR(N(L905)&lt;=0,N(M905)&gt;N(L905)),N(M905)/요약!$D$27,N(L905)))</f>
        <v>735000</v>
      </c>
      <c r="O905" s="32" t="str">
        <f aca="false">IF(A905="제외","",IF(OR(N(L905)&lt;=0,N(M905)&gt;N(L905)),"택가보정(판매금액÷공급율)",""))</f>
        <v/>
      </c>
      <c r="P905" s="0" t="str">
        <f aca="false">IF(A905="HK","100",IF(A905="CN","200",IF(A905="TW","300",IF(ISNUMBER(SEARCH("태국",C905)),"500",IF(ISNUMBER(SEARCH("말레이",C905)),"600",IF(ISNUMBER(SEARCH("필리핀",C905)),"700",IF(ISNUMBER(SEARCH("인도네시아",C905)),"800",IF(ISNUMBER(SEARCH("크루즈",C905)),"810",IF(ISNUMBER(SEARCH("동물원",C905)),"830","")))))))))</f>
        <v>600</v>
      </c>
    </row>
    <row r="906" customFormat="false" ht="15" hidden="false" customHeight="false" outlineLevel="0" collapsed="false">
      <c r="A906" s="32" t="str">
        <f aca="false">IF(OR(TRIM(C906)="",SUBSTITUTE(C906," ","")="소계"),"제외",IF(ISNUMBER(SEARCH("홍콩",C906)),"HK",IF(ISNUMBER(SEARCH("상해",C906)),"CN",IF(ISNUMBER(SEARCH("대만",C906)),"TW","홀세일"))))</f>
        <v>홀세일</v>
      </c>
      <c r="B906" s="36" t="s">
        <v>1262</v>
      </c>
      <c r="C906" s="36" t="s">
        <v>1263</v>
      </c>
      <c r="D906" s="36" t="s">
        <v>100</v>
      </c>
      <c r="E906" s="36" t="n">
        <v>2026</v>
      </c>
      <c r="F906" s="36" t="s">
        <v>110</v>
      </c>
      <c r="G906" s="37" t="s">
        <v>102</v>
      </c>
      <c r="H906" s="36" t="s">
        <v>100</v>
      </c>
      <c r="I906" s="36" t="s">
        <v>111</v>
      </c>
      <c r="J906" s="36" t="s">
        <v>112</v>
      </c>
      <c r="K906" s="38" t="n">
        <v>30</v>
      </c>
      <c r="L906" s="38" t="n">
        <v>2370000</v>
      </c>
      <c r="M906" s="38" t="n">
        <v>922500</v>
      </c>
      <c r="N906" s="39" t="n">
        <f aca="false">IF(A906="제외",0,IF(OR(N(L906)&lt;=0,N(M906)&gt;N(L906)),N(M906)/요약!$D$27,N(L906)))</f>
        <v>2370000</v>
      </c>
      <c r="O906" s="32" t="str">
        <f aca="false">IF(A906="제외","",IF(OR(N(L906)&lt;=0,N(M906)&gt;N(L906)),"택가보정(판매금액÷공급율)",""))</f>
        <v/>
      </c>
      <c r="P906" s="0" t="str">
        <f aca="false">IF(A906="HK","100",IF(A906="CN","200",IF(A906="TW","300",IF(ISNUMBER(SEARCH("태국",C906)),"500",IF(ISNUMBER(SEARCH("말레이",C906)),"600",IF(ISNUMBER(SEARCH("필리핀",C906)),"700",IF(ISNUMBER(SEARCH("인도네시아",C906)),"800",IF(ISNUMBER(SEARCH("크루즈",C906)),"810",IF(ISNUMBER(SEARCH("동물원",C906)),"830","")))))))))</f>
        <v>600</v>
      </c>
    </row>
    <row r="907" customFormat="false" ht="15" hidden="false" customHeight="false" outlineLevel="0" collapsed="false">
      <c r="A907" s="32" t="str">
        <f aca="false">IF(OR(TRIM(C907)="",SUBSTITUTE(C907," ","")="소계"),"제외",IF(ISNUMBER(SEARCH("홍콩",C907)),"HK",IF(ISNUMBER(SEARCH("상해",C907)),"CN",IF(ISNUMBER(SEARCH("대만",C907)),"TW","홀세일"))))</f>
        <v>홀세일</v>
      </c>
      <c r="B907" s="36" t="s">
        <v>1262</v>
      </c>
      <c r="C907" s="36" t="s">
        <v>1263</v>
      </c>
      <c r="D907" s="36" t="s">
        <v>100</v>
      </c>
      <c r="E907" s="36" t="n">
        <v>2026</v>
      </c>
      <c r="F907" s="36" t="s">
        <v>110</v>
      </c>
      <c r="G907" s="37" t="s">
        <v>102</v>
      </c>
      <c r="H907" s="36" t="s">
        <v>100</v>
      </c>
      <c r="I907" s="36" t="s">
        <v>115</v>
      </c>
      <c r="J907" s="36" t="s">
        <v>116</v>
      </c>
      <c r="K907" s="38" t="n">
        <v>35</v>
      </c>
      <c r="L907" s="38" t="n">
        <v>1015000</v>
      </c>
      <c r="M907" s="38" t="n">
        <v>396095</v>
      </c>
      <c r="N907" s="39" t="n">
        <f aca="false">IF(A907="제외",0,IF(OR(N(L907)&lt;=0,N(M907)&gt;N(L907)),N(M907)/요약!$D$27,N(L907)))</f>
        <v>1015000</v>
      </c>
      <c r="O907" s="32" t="str">
        <f aca="false">IF(A907="제외","",IF(OR(N(L907)&lt;=0,N(M907)&gt;N(L907)),"택가보정(판매금액÷공급율)",""))</f>
        <v/>
      </c>
      <c r="P907" s="0" t="str">
        <f aca="false">IF(A907="HK","100",IF(A907="CN","200",IF(A907="TW","300",IF(ISNUMBER(SEARCH("태국",C907)),"500",IF(ISNUMBER(SEARCH("말레이",C907)),"600",IF(ISNUMBER(SEARCH("필리핀",C907)),"700",IF(ISNUMBER(SEARCH("인도네시아",C907)),"800",IF(ISNUMBER(SEARCH("크루즈",C907)),"810",IF(ISNUMBER(SEARCH("동물원",C907)),"830","")))))))))</f>
        <v>600</v>
      </c>
    </row>
    <row r="908" customFormat="false" ht="15" hidden="false" customHeight="false" outlineLevel="0" collapsed="false">
      <c r="A908" s="32" t="str">
        <f aca="false">IF(OR(TRIM(C908)="",SUBSTITUTE(C908," ","")="소계"),"제외",IF(ISNUMBER(SEARCH("홍콩",C908)),"HK",IF(ISNUMBER(SEARCH("상해",C908)),"CN",IF(ISNUMBER(SEARCH("대만",C908)),"TW","홀세일"))))</f>
        <v>홀세일</v>
      </c>
      <c r="B908" s="36" t="s">
        <v>1262</v>
      </c>
      <c r="C908" s="36" t="s">
        <v>1263</v>
      </c>
      <c r="D908" s="36" t="s">
        <v>100</v>
      </c>
      <c r="E908" s="36" t="n">
        <v>2026</v>
      </c>
      <c r="F908" s="36" t="s">
        <v>110</v>
      </c>
      <c r="G908" s="37" t="s">
        <v>102</v>
      </c>
      <c r="H908" s="36" t="s">
        <v>100</v>
      </c>
      <c r="I908" s="36" t="s">
        <v>119</v>
      </c>
      <c r="J908" s="36" t="s">
        <v>120</v>
      </c>
      <c r="K908" s="38" t="n">
        <v>35</v>
      </c>
      <c r="L908" s="38" t="n">
        <v>1715000</v>
      </c>
      <c r="M908" s="38" t="n">
        <v>676795</v>
      </c>
      <c r="N908" s="39" t="n">
        <f aca="false">IF(A908="제외",0,IF(OR(N(L908)&lt;=0,N(M908)&gt;N(L908)),N(M908)/요약!$D$27,N(L908)))</f>
        <v>1715000</v>
      </c>
      <c r="O908" s="32" t="str">
        <f aca="false">IF(A908="제외","",IF(OR(N(L908)&lt;=0,N(M908)&gt;N(L908)),"택가보정(판매금액÷공급율)",""))</f>
        <v/>
      </c>
      <c r="P908" s="0" t="str">
        <f aca="false">IF(A908="HK","100",IF(A908="CN","200",IF(A908="TW","300",IF(ISNUMBER(SEARCH("태국",C908)),"500",IF(ISNUMBER(SEARCH("말레이",C908)),"600",IF(ISNUMBER(SEARCH("필리핀",C908)),"700",IF(ISNUMBER(SEARCH("인도네시아",C908)),"800",IF(ISNUMBER(SEARCH("크루즈",C908)),"810",IF(ISNUMBER(SEARCH("동물원",C908)),"830","")))))))))</f>
        <v>600</v>
      </c>
    </row>
    <row r="909" customFormat="false" ht="15" hidden="false" customHeight="false" outlineLevel="0" collapsed="false">
      <c r="A909" s="32" t="str">
        <f aca="false">IF(OR(TRIM(C909)="",SUBSTITUTE(C909," ","")="소계"),"제외",IF(ISNUMBER(SEARCH("홍콩",C909)),"HK",IF(ISNUMBER(SEARCH("상해",C909)),"CN",IF(ISNUMBER(SEARCH("대만",C909)),"TW","홀세일"))))</f>
        <v>홀세일</v>
      </c>
      <c r="B909" s="36" t="s">
        <v>1262</v>
      </c>
      <c r="C909" s="36" t="s">
        <v>1263</v>
      </c>
      <c r="D909" s="36" t="s">
        <v>100</v>
      </c>
      <c r="E909" s="36" t="n">
        <v>2026</v>
      </c>
      <c r="F909" s="36" t="s">
        <v>110</v>
      </c>
      <c r="G909" s="37" t="s">
        <v>102</v>
      </c>
      <c r="H909" s="36" t="s">
        <v>100</v>
      </c>
      <c r="I909" s="36" t="s">
        <v>121</v>
      </c>
      <c r="J909" s="36" t="s">
        <v>122</v>
      </c>
      <c r="K909" s="38" t="n">
        <v>40</v>
      </c>
      <c r="L909" s="38" t="n">
        <v>2760000</v>
      </c>
      <c r="M909" s="38" t="n">
        <v>1077720</v>
      </c>
      <c r="N909" s="39" t="n">
        <f aca="false">IF(A909="제외",0,IF(OR(N(L909)&lt;=0,N(M909)&gt;N(L909)),N(M909)/요약!$D$27,N(L909)))</f>
        <v>2760000</v>
      </c>
      <c r="O909" s="32" t="str">
        <f aca="false">IF(A909="제외","",IF(OR(N(L909)&lt;=0,N(M909)&gt;N(L909)),"택가보정(판매금액÷공급율)",""))</f>
        <v/>
      </c>
      <c r="P909" s="0" t="str">
        <f aca="false">IF(A909="HK","100",IF(A909="CN","200",IF(A909="TW","300",IF(ISNUMBER(SEARCH("태국",C909)),"500",IF(ISNUMBER(SEARCH("말레이",C909)),"600",IF(ISNUMBER(SEARCH("필리핀",C909)),"700",IF(ISNUMBER(SEARCH("인도네시아",C909)),"800",IF(ISNUMBER(SEARCH("크루즈",C909)),"810",IF(ISNUMBER(SEARCH("동물원",C909)),"830","")))))))))</f>
        <v>600</v>
      </c>
    </row>
    <row r="910" customFormat="false" ht="15" hidden="false" customHeight="false" outlineLevel="0" collapsed="false">
      <c r="A910" s="32" t="str">
        <f aca="false">IF(OR(TRIM(C910)="",SUBSTITUTE(C910," ","")="소계"),"제외",IF(ISNUMBER(SEARCH("홍콩",C910)),"HK",IF(ISNUMBER(SEARCH("상해",C910)),"CN",IF(ISNUMBER(SEARCH("대만",C910)),"TW","홀세일"))))</f>
        <v>홀세일</v>
      </c>
      <c r="B910" s="36" t="s">
        <v>1262</v>
      </c>
      <c r="C910" s="36" t="s">
        <v>1263</v>
      </c>
      <c r="D910" s="36" t="s">
        <v>100</v>
      </c>
      <c r="E910" s="36" t="n">
        <v>2026</v>
      </c>
      <c r="F910" s="36" t="s">
        <v>110</v>
      </c>
      <c r="G910" s="37" t="s">
        <v>102</v>
      </c>
      <c r="H910" s="36" t="s">
        <v>100</v>
      </c>
      <c r="I910" s="36" t="s">
        <v>1272</v>
      </c>
      <c r="J910" s="36" t="s">
        <v>1273</v>
      </c>
      <c r="K910" s="38" t="n">
        <v>5</v>
      </c>
      <c r="L910" s="38" t="n">
        <v>245000</v>
      </c>
      <c r="M910" s="38" t="n">
        <v>96265</v>
      </c>
      <c r="N910" s="39" t="n">
        <f aca="false">IF(A910="제외",0,IF(OR(N(L910)&lt;=0,N(M910)&gt;N(L910)),N(M910)/요약!$D$27,N(L910)))</f>
        <v>245000</v>
      </c>
      <c r="O910" s="32" t="str">
        <f aca="false">IF(A910="제외","",IF(OR(N(L910)&lt;=0,N(M910)&gt;N(L910)),"택가보정(판매금액÷공급율)",""))</f>
        <v/>
      </c>
      <c r="P910" s="0" t="str">
        <f aca="false">IF(A910="HK","100",IF(A910="CN","200",IF(A910="TW","300",IF(ISNUMBER(SEARCH("태국",C910)),"500",IF(ISNUMBER(SEARCH("말레이",C910)),"600",IF(ISNUMBER(SEARCH("필리핀",C910)),"700",IF(ISNUMBER(SEARCH("인도네시아",C910)),"800",IF(ISNUMBER(SEARCH("크루즈",C910)),"810",IF(ISNUMBER(SEARCH("동물원",C910)),"830","")))))))))</f>
        <v>600</v>
      </c>
    </row>
    <row r="911" customFormat="false" ht="15" hidden="false" customHeight="false" outlineLevel="0" collapsed="false">
      <c r="A911" s="32" t="str">
        <f aca="false">IF(OR(TRIM(C911)="",SUBSTITUTE(C911," ","")="소계"),"제외",IF(ISNUMBER(SEARCH("홍콩",C911)),"HK",IF(ISNUMBER(SEARCH("상해",C911)),"CN",IF(ISNUMBER(SEARCH("대만",C911)),"TW","홀세일"))))</f>
        <v>홀세일</v>
      </c>
      <c r="B911" s="36" t="s">
        <v>1262</v>
      </c>
      <c r="C911" s="36" t="s">
        <v>1263</v>
      </c>
      <c r="D911" s="36" t="s">
        <v>100</v>
      </c>
      <c r="E911" s="36" t="n">
        <v>2026</v>
      </c>
      <c r="F911" s="36" t="s">
        <v>110</v>
      </c>
      <c r="G911" s="37" t="s">
        <v>102</v>
      </c>
      <c r="H911" s="36" t="s">
        <v>100</v>
      </c>
      <c r="I911" s="36" t="s">
        <v>1274</v>
      </c>
      <c r="J911" s="36" t="s">
        <v>1275</v>
      </c>
      <c r="K911" s="38" t="n">
        <v>10</v>
      </c>
      <c r="L911" s="38" t="n">
        <v>390000</v>
      </c>
      <c r="M911" s="38" t="n">
        <v>153510</v>
      </c>
      <c r="N911" s="39" t="n">
        <f aca="false">IF(A911="제외",0,IF(OR(N(L911)&lt;=0,N(M911)&gt;N(L911)),N(M911)/요약!$D$27,N(L911)))</f>
        <v>390000</v>
      </c>
      <c r="O911" s="32" t="str">
        <f aca="false">IF(A911="제외","",IF(OR(N(L911)&lt;=0,N(M911)&gt;N(L911)),"택가보정(판매금액÷공급율)",""))</f>
        <v/>
      </c>
      <c r="P911" s="0" t="str">
        <f aca="false">IF(A911="HK","100",IF(A911="CN","200",IF(A911="TW","300",IF(ISNUMBER(SEARCH("태국",C911)),"500",IF(ISNUMBER(SEARCH("말레이",C911)),"600",IF(ISNUMBER(SEARCH("필리핀",C911)),"700",IF(ISNUMBER(SEARCH("인도네시아",C911)),"800",IF(ISNUMBER(SEARCH("크루즈",C911)),"810",IF(ISNUMBER(SEARCH("동물원",C911)),"830","")))))))))</f>
        <v>600</v>
      </c>
    </row>
    <row r="912" customFormat="false" ht="15" hidden="false" customHeight="false" outlineLevel="0" collapsed="false">
      <c r="A912" s="32" t="str">
        <f aca="false">IF(OR(TRIM(C912)="",SUBSTITUTE(C912," ","")="소계"),"제외",IF(ISNUMBER(SEARCH("홍콩",C912)),"HK",IF(ISNUMBER(SEARCH("상해",C912)),"CN",IF(ISNUMBER(SEARCH("대만",C912)),"TW","홀세일"))))</f>
        <v>홀세일</v>
      </c>
      <c r="B912" s="36" t="s">
        <v>1262</v>
      </c>
      <c r="C912" s="36" t="s">
        <v>1263</v>
      </c>
      <c r="D912" s="37" t="s">
        <v>123</v>
      </c>
      <c r="E912" s="36" t="n">
        <v>2022</v>
      </c>
      <c r="F912" s="36" t="s">
        <v>110</v>
      </c>
      <c r="G912" s="37" t="s">
        <v>124</v>
      </c>
      <c r="H912" s="36" t="s">
        <v>131</v>
      </c>
      <c r="I912" s="36" t="s">
        <v>1276</v>
      </c>
      <c r="J912" s="36" t="s">
        <v>1277</v>
      </c>
      <c r="K912" s="38" t="n">
        <v>113</v>
      </c>
      <c r="L912" s="38" t="n">
        <v>5537000</v>
      </c>
      <c r="M912" s="38" t="n">
        <v>1290912</v>
      </c>
      <c r="N912" s="39" t="n">
        <f aca="false">IF(A912="제외",0,IF(OR(N(L912)&lt;=0,N(M912)&gt;N(L912)),N(M912)/요약!$D$27,N(L912)))</f>
        <v>5537000</v>
      </c>
      <c r="O912" s="32" t="str">
        <f aca="false">IF(A912="제외","",IF(OR(N(L912)&lt;=0,N(M912)&gt;N(L912)),"택가보정(판매금액÷공급율)",""))</f>
        <v/>
      </c>
      <c r="P912" s="0" t="str">
        <f aca="false">IF(A912="HK","100",IF(A912="CN","200",IF(A912="TW","300",IF(ISNUMBER(SEARCH("태국",C912)),"500",IF(ISNUMBER(SEARCH("말레이",C912)),"600",IF(ISNUMBER(SEARCH("필리핀",C912)),"700",IF(ISNUMBER(SEARCH("인도네시아",C912)),"800",IF(ISNUMBER(SEARCH("크루즈",C912)),"810",IF(ISNUMBER(SEARCH("동물원",C912)),"830","")))))))))</f>
        <v>600</v>
      </c>
    </row>
    <row r="913" customFormat="false" ht="15" hidden="false" customHeight="false" outlineLevel="0" collapsed="false">
      <c r="A913" s="32" t="str">
        <f aca="false">IF(OR(TRIM(C913)="",SUBSTITUTE(C913," ","")="소계"),"제외",IF(ISNUMBER(SEARCH("홍콩",C913)),"HK",IF(ISNUMBER(SEARCH("상해",C913)),"CN",IF(ISNUMBER(SEARCH("대만",C913)),"TW","홀세일"))))</f>
        <v>홀세일</v>
      </c>
      <c r="B913" s="36" t="s">
        <v>1262</v>
      </c>
      <c r="C913" s="36" t="s">
        <v>1263</v>
      </c>
      <c r="D913" s="37" t="s">
        <v>123</v>
      </c>
      <c r="E913" s="36" t="n">
        <v>2025</v>
      </c>
      <c r="F913" s="36" t="s">
        <v>110</v>
      </c>
      <c r="G913" s="37" t="s">
        <v>770</v>
      </c>
      <c r="H913" s="37" t="s">
        <v>128</v>
      </c>
      <c r="I913" s="36" t="s">
        <v>1025</v>
      </c>
      <c r="J913" s="36" t="s">
        <v>1026</v>
      </c>
      <c r="K913" s="38" t="n">
        <v>10</v>
      </c>
      <c r="L913" s="38" t="n">
        <v>2290000</v>
      </c>
      <c r="M913" s="38" t="n">
        <v>1149310</v>
      </c>
      <c r="N913" s="39" t="n">
        <f aca="false">IF(A913="제외",0,IF(OR(N(L913)&lt;=0,N(M913)&gt;N(L913)),N(M913)/요약!$D$27,N(L913)))</f>
        <v>2290000</v>
      </c>
      <c r="O913" s="32" t="str">
        <f aca="false">IF(A913="제외","",IF(OR(N(L913)&lt;=0,N(M913)&gt;N(L913)),"택가보정(판매금액÷공급율)",""))</f>
        <v/>
      </c>
      <c r="P913" s="0" t="str">
        <f aca="false">IF(A913="HK","100",IF(A913="CN","200",IF(A913="TW","300",IF(ISNUMBER(SEARCH("태국",C913)),"500",IF(ISNUMBER(SEARCH("말레이",C913)),"600",IF(ISNUMBER(SEARCH("필리핀",C913)),"700",IF(ISNUMBER(SEARCH("인도네시아",C913)),"800",IF(ISNUMBER(SEARCH("크루즈",C913)),"810",IF(ISNUMBER(SEARCH("동물원",C913)),"830","")))))))))</f>
        <v>600</v>
      </c>
    </row>
    <row r="914" customFormat="false" ht="15" hidden="false" customHeight="false" outlineLevel="0" collapsed="false">
      <c r="A914" s="32" t="str">
        <f aca="false">IF(OR(TRIM(C914)="",SUBSTITUTE(C914," ","")="소계"),"제외",IF(ISNUMBER(SEARCH("홍콩",C914)),"HK",IF(ISNUMBER(SEARCH("상해",C914)),"CN",IF(ISNUMBER(SEARCH("대만",C914)),"TW","홀세일"))))</f>
        <v>홀세일</v>
      </c>
      <c r="B914" s="36" t="s">
        <v>1262</v>
      </c>
      <c r="C914" s="36" t="s">
        <v>1263</v>
      </c>
      <c r="D914" s="37" t="s">
        <v>123</v>
      </c>
      <c r="E914" s="36" t="n">
        <v>2025</v>
      </c>
      <c r="F914" s="36" t="s">
        <v>110</v>
      </c>
      <c r="G914" s="37" t="s">
        <v>770</v>
      </c>
      <c r="H914" s="37" t="s">
        <v>128</v>
      </c>
      <c r="I914" s="36" t="s">
        <v>771</v>
      </c>
      <c r="J914" s="36" t="s">
        <v>772</v>
      </c>
      <c r="K914" s="38" t="n">
        <v>10</v>
      </c>
      <c r="L914" s="38" t="n">
        <v>2590000</v>
      </c>
      <c r="M914" s="38" t="n">
        <v>1299210</v>
      </c>
      <c r="N914" s="39" t="n">
        <f aca="false">IF(A914="제외",0,IF(OR(N(L914)&lt;=0,N(M914)&gt;N(L914)),N(M914)/요약!$D$27,N(L914)))</f>
        <v>2590000</v>
      </c>
      <c r="O914" s="32" t="str">
        <f aca="false">IF(A914="제외","",IF(OR(N(L914)&lt;=0,N(M914)&gt;N(L914)),"택가보정(판매금액÷공급율)",""))</f>
        <v/>
      </c>
      <c r="P914" s="0" t="str">
        <f aca="false">IF(A914="HK","100",IF(A914="CN","200",IF(A914="TW","300",IF(ISNUMBER(SEARCH("태국",C914)),"500",IF(ISNUMBER(SEARCH("말레이",C914)),"600",IF(ISNUMBER(SEARCH("필리핀",C914)),"700",IF(ISNUMBER(SEARCH("인도네시아",C914)),"800",IF(ISNUMBER(SEARCH("크루즈",C914)),"810",IF(ISNUMBER(SEARCH("동물원",C914)),"830","")))))))))</f>
        <v>600</v>
      </c>
    </row>
    <row r="915" customFormat="false" ht="15" hidden="false" customHeight="false" outlineLevel="0" collapsed="false">
      <c r="A915" s="32" t="str">
        <f aca="false">IF(OR(TRIM(C915)="",SUBSTITUTE(C915," ","")="소계"),"제외",IF(ISNUMBER(SEARCH("홍콩",C915)),"HK",IF(ISNUMBER(SEARCH("상해",C915)),"CN",IF(ISNUMBER(SEARCH("대만",C915)),"TW","홀세일"))))</f>
        <v>홀세일</v>
      </c>
      <c r="B915" s="36" t="s">
        <v>1262</v>
      </c>
      <c r="C915" s="36" t="s">
        <v>1263</v>
      </c>
      <c r="D915" s="37" t="s">
        <v>123</v>
      </c>
      <c r="E915" s="36" t="n">
        <v>2025</v>
      </c>
      <c r="F915" s="36" t="s">
        <v>110</v>
      </c>
      <c r="G915" s="37" t="s">
        <v>770</v>
      </c>
      <c r="H915" s="37" t="s">
        <v>128</v>
      </c>
      <c r="I915" s="36" t="s">
        <v>1027</v>
      </c>
      <c r="J915" s="36" t="s">
        <v>1028</v>
      </c>
      <c r="K915" s="38" t="n">
        <v>10</v>
      </c>
      <c r="L915" s="38" t="n">
        <v>3090000</v>
      </c>
      <c r="M915" s="38" t="n">
        <v>1550530</v>
      </c>
      <c r="N915" s="39" t="n">
        <f aca="false">IF(A915="제외",0,IF(OR(N(L915)&lt;=0,N(M915)&gt;N(L915)),N(M915)/요약!$D$27,N(L915)))</f>
        <v>3090000</v>
      </c>
      <c r="O915" s="32" t="str">
        <f aca="false">IF(A915="제외","",IF(OR(N(L915)&lt;=0,N(M915)&gt;N(L915)),"택가보정(판매금액÷공급율)",""))</f>
        <v/>
      </c>
      <c r="P915" s="0" t="str">
        <f aca="false">IF(A915="HK","100",IF(A915="CN","200",IF(A915="TW","300",IF(ISNUMBER(SEARCH("태국",C915)),"500",IF(ISNUMBER(SEARCH("말레이",C915)),"600",IF(ISNUMBER(SEARCH("필리핀",C915)),"700",IF(ISNUMBER(SEARCH("인도네시아",C915)),"800",IF(ISNUMBER(SEARCH("크루즈",C915)),"810",IF(ISNUMBER(SEARCH("동물원",C915)),"830","")))))))))</f>
        <v>600</v>
      </c>
    </row>
    <row r="916" customFormat="false" ht="15" hidden="false" customHeight="false" outlineLevel="0" collapsed="false">
      <c r="A916" s="32" t="str">
        <f aca="false">IF(OR(TRIM(C916)="",SUBSTITUTE(C916," ","")="소계"),"제외",IF(ISNUMBER(SEARCH("홍콩",C916)),"HK",IF(ISNUMBER(SEARCH("상해",C916)),"CN",IF(ISNUMBER(SEARCH("대만",C916)),"TW","홀세일"))))</f>
        <v>홀세일</v>
      </c>
      <c r="B916" s="36" t="s">
        <v>1262</v>
      </c>
      <c r="C916" s="36" t="s">
        <v>1263</v>
      </c>
      <c r="D916" s="37" t="s">
        <v>123</v>
      </c>
      <c r="E916" s="36" t="n">
        <v>2026</v>
      </c>
      <c r="F916" s="37" t="s">
        <v>101</v>
      </c>
      <c r="G916" s="37" t="s">
        <v>102</v>
      </c>
      <c r="H916" s="36" t="s">
        <v>131</v>
      </c>
      <c r="I916" s="36" t="s">
        <v>132</v>
      </c>
      <c r="J916" s="37" t="s">
        <v>133</v>
      </c>
      <c r="K916" s="38" t="n">
        <v>50</v>
      </c>
      <c r="L916" s="38" t="n">
        <v>8450000</v>
      </c>
      <c r="M916" s="38" t="n">
        <v>3299500</v>
      </c>
      <c r="N916" s="39" t="n">
        <f aca="false">IF(A916="제외",0,IF(OR(N(L916)&lt;=0,N(M916)&gt;N(L916)),N(M916)/요약!$D$27,N(L916)))</f>
        <v>8450000</v>
      </c>
      <c r="O916" s="32" t="str">
        <f aca="false">IF(A916="제외","",IF(OR(N(L916)&lt;=0,N(M916)&gt;N(L916)),"택가보정(판매금액÷공급율)",""))</f>
        <v/>
      </c>
      <c r="P916" s="0" t="str">
        <f aca="false">IF(A916="HK","100",IF(A916="CN","200",IF(A916="TW","300",IF(ISNUMBER(SEARCH("태국",C916)),"500",IF(ISNUMBER(SEARCH("말레이",C916)),"600",IF(ISNUMBER(SEARCH("필리핀",C916)),"700",IF(ISNUMBER(SEARCH("인도네시아",C916)),"800",IF(ISNUMBER(SEARCH("크루즈",C916)),"810",IF(ISNUMBER(SEARCH("동물원",C916)),"830","")))))))))</f>
        <v>600</v>
      </c>
    </row>
    <row r="917" customFormat="false" ht="15" hidden="false" customHeight="false" outlineLevel="0" collapsed="false">
      <c r="A917" s="32" t="str">
        <f aca="false">IF(OR(TRIM(C917)="",SUBSTITUTE(C917," ","")="소계"),"제외",IF(ISNUMBER(SEARCH("홍콩",C917)),"HK",IF(ISNUMBER(SEARCH("상해",C917)),"CN",IF(ISNUMBER(SEARCH("대만",C917)),"TW","홀세일"))))</f>
        <v>홀세일</v>
      </c>
      <c r="B917" s="36" t="s">
        <v>1262</v>
      </c>
      <c r="C917" s="36" t="s">
        <v>1263</v>
      </c>
      <c r="D917" s="37" t="s">
        <v>123</v>
      </c>
      <c r="E917" s="36" t="n">
        <v>2026</v>
      </c>
      <c r="F917" s="37" t="s">
        <v>101</v>
      </c>
      <c r="G917" s="37" t="s">
        <v>102</v>
      </c>
      <c r="H917" s="36" t="s">
        <v>131</v>
      </c>
      <c r="I917" s="36" t="s">
        <v>134</v>
      </c>
      <c r="J917" s="37" t="s">
        <v>135</v>
      </c>
      <c r="K917" s="38" t="n">
        <v>50</v>
      </c>
      <c r="L917" s="38" t="n">
        <v>8950000</v>
      </c>
      <c r="M917" s="38" t="n">
        <v>3497900</v>
      </c>
      <c r="N917" s="39" t="n">
        <f aca="false">IF(A917="제외",0,IF(OR(N(L917)&lt;=0,N(M917)&gt;N(L917)),N(M917)/요약!$D$27,N(L917)))</f>
        <v>8950000</v>
      </c>
      <c r="O917" s="32" t="str">
        <f aca="false">IF(A917="제외","",IF(OR(N(L917)&lt;=0,N(M917)&gt;N(L917)),"택가보정(판매금액÷공급율)",""))</f>
        <v/>
      </c>
      <c r="P917" s="0" t="str">
        <f aca="false">IF(A917="HK","100",IF(A917="CN","200",IF(A917="TW","300",IF(ISNUMBER(SEARCH("태국",C917)),"500",IF(ISNUMBER(SEARCH("말레이",C917)),"600",IF(ISNUMBER(SEARCH("필리핀",C917)),"700",IF(ISNUMBER(SEARCH("인도네시아",C917)),"800",IF(ISNUMBER(SEARCH("크루즈",C917)),"810",IF(ISNUMBER(SEARCH("동물원",C917)),"830","")))))))))</f>
        <v>600</v>
      </c>
    </row>
    <row r="918" customFormat="false" ht="15" hidden="false" customHeight="false" outlineLevel="0" collapsed="false">
      <c r="A918" s="32" t="str">
        <f aca="false">IF(OR(TRIM(C918)="",SUBSTITUTE(C918," ","")="소계"),"제외",IF(ISNUMBER(SEARCH("홍콩",C918)),"HK",IF(ISNUMBER(SEARCH("상해",C918)),"CN",IF(ISNUMBER(SEARCH("대만",C918)),"TW","홀세일"))))</f>
        <v>홀세일</v>
      </c>
      <c r="B918" s="36" t="s">
        <v>1262</v>
      </c>
      <c r="C918" s="36" t="s">
        <v>1263</v>
      </c>
      <c r="D918" s="37" t="s">
        <v>123</v>
      </c>
      <c r="E918" s="36" t="n">
        <v>2026</v>
      </c>
      <c r="F918" s="37" t="s">
        <v>101</v>
      </c>
      <c r="G918" s="37" t="s">
        <v>102</v>
      </c>
      <c r="H918" s="36" t="s">
        <v>131</v>
      </c>
      <c r="I918" s="36" t="s">
        <v>136</v>
      </c>
      <c r="J918" s="37" t="s">
        <v>137</v>
      </c>
      <c r="K918" s="38" t="n">
        <v>30</v>
      </c>
      <c r="L918" s="38" t="n">
        <v>5070000</v>
      </c>
      <c r="M918" s="38" t="n">
        <v>1979700</v>
      </c>
      <c r="N918" s="39" t="n">
        <f aca="false">IF(A918="제외",0,IF(OR(N(L918)&lt;=0,N(M918)&gt;N(L918)),N(M918)/요약!$D$27,N(L918)))</f>
        <v>5070000</v>
      </c>
      <c r="O918" s="32" t="str">
        <f aca="false">IF(A918="제외","",IF(OR(N(L918)&lt;=0,N(M918)&gt;N(L918)),"택가보정(판매금액÷공급율)",""))</f>
        <v/>
      </c>
      <c r="P918" s="0" t="str">
        <f aca="false">IF(A918="HK","100",IF(A918="CN","200",IF(A918="TW","300",IF(ISNUMBER(SEARCH("태국",C918)),"500",IF(ISNUMBER(SEARCH("말레이",C918)),"600",IF(ISNUMBER(SEARCH("필리핀",C918)),"700",IF(ISNUMBER(SEARCH("인도네시아",C918)),"800",IF(ISNUMBER(SEARCH("크루즈",C918)),"810",IF(ISNUMBER(SEARCH("동물원",C918)),"830","")))))))))</f>
        <v>600</v>
      </c>
    </row>
    <row r="919" customFormat="false" ht="15" hidden="false" customHeight="false" outlineLevel="0" collapsed="false">
      <c r="A919" s="32" t="str">
        <f aca="false">IF(OR(TRIM(C919)="",SUBSTITUTE(C919," ","")="소계"),"제외",IF(ISNUMBER(SEARCH("홍콩",C919)),"HK",IF(ISNUMBER(SEARCH("상해",C919)),"CN",IF(ISNUMBER(SEARCH("대만",C919)),"TW","홀세일"))))</f>
        <v>홀세일</v>
      </c>
      <c r="B919" s="36" t="s">
        <v>1262</v>
      </c>
      <c r="C919" s="36" t="s">
        <v>1263</v>
      </c>
      <c r="D919" s="37" t="s">
        <v>123</v>
      </c>
      <c r="E919" s="36" t="n">
        <v>2026</v>
      </c>
      <c r="F919" s="37" t="s">
        <v>101</v>
      </c>
      <c r="G919" s="37" t="s">
        <v>102</v>
      </c>
      <c r="H919" s="36" t="s">
        <v>131</v>
      </c>
      <c r="I919" s="36" t="s">
        <v>138</v>
      </c>
      <c r="J919" s="37" t="s">
        <v>139</v>
      </c>
      <c r="K919" s="38" t="n">
        <v>15</v>
      </c>
      <c r="L919" s="38" t="n">
        <v>2235000</v>
      </c>
      <c r="M919" s="38" t="n">
        <v>873000</v>
      </c>
      <c r="N919" s="39" t="n">
        <f aca="false">IF(A919="제외",0,IF(OR(N(L919)&lt;=0,N(M919)&gt;N(L919)),N(M919)/요약!$D$27,N(L919)))</f>
        <v>2235000</v>
      </c>
      <c r="O919" s="32" t="str">
        <f aca="false">IF(A919="제외","",IF(OR(N(L919)&lt;=0,N(M919)&gt;N(L919)),"택가보정(판매금액÷공급율)",""))</f>
        <v/>
      </c>
      <c r="P919" s="0" t="str">
        <f aca="false">IF(A919="HK","100",IF(A919="CN","200",IF(A919="TW","300",IF(ISNUMBER(SEARCH("태국",C919)),"500",IF(ISNUMBER(SEARCH("말레이",C919)),"600",IF(ISNUMBER(SEARCH("필리핀",C919)),"700",IF(ISNUMBER(SEARCH("인도네시아",C919)),"800",IF(ISNUMBER(SEARCH("크루즈",C919)),"810",IF(ISNUMBER(SEARCH("동물원",C919)),"830","")))))))))</f>
        <v>600</v>
      </c>
    </row>
    <row r="920" customFormat="false" ht="15" hidden="false" customHeight="false" outlineLevel="0" collapsed="false">
      <c r="A920" s="32" t="str">
        <f aca="false">IF(OR(TRIM(C920)="",SUBSTITUTE(C920," ","")="소계"),"제외",IF(ISNUMBER(SEARCH("홍콩",C920)),"HK",IF(ISNUMBER(SEARCH("상해",C920)),"CN",IF(ISNUMBER(SEARCH("대만",C920)),"TW","홀세일"))))</f>
        <v>홀세일</v>
      </c>
      <c r="B920" s="36" t="s">
        <v>1262</v>
      </c>
      <c r="C920" s="36" t="s">
        <v>1263</v>
      </c>
      <c r="D920" s="37" t="s">
        <v>123</v>
      </c>
      <c r="E920" s="36" t="n">
        <v>2026</v>
      </c>
      <c r="F920" s="37" t="s">
        <v>101</v>
      </c>
      <c r="G920" s="37" t="s">
        <v>102</v>
      </c>
      <c r="H920" s="36" t="s">
        <v>131</v>
      </c>
      <c r="I920" s="36" t="s">
        <v>140</v>
      </c>
      <c r="J920" s="37" t="s">
        <v>141</v>
      </c>
      <c r="K920" s="38" t="n">
        <v>20</v>
      </c>
      <c r="L920" s="38" t="n">
        <v>2980000</v>
      </c>
      <c r="M920" s="38" t="n">
        <v>1164000</v>
      </c>
      <c r="N920" s="39" t="n">
        <f aca="false">IF(A920="제외",0,IF(OR(N(L920)&lt;=0,N(M920)&gt;N(L920)),N(M920)/요약!$D$27,N(L920)))</f>
        <v>2980000</v>
      </c>
      <c r="O920" s="32" t="str">
        <f aca="false">IF(A920="제외","",IF(OR(N(L920)&lt;=0,N(M920)&gt;N(L920)),"택가보정(판매금액÷공급율)",""))</f>
        <v/>
      </c>
      <c r="P920" s="0" t="str">
        <f aca="false">IF(A920="HK","100",IF(A920="CN","200",IF(A920="TW","300",IF(ISNUMBER(SEARCH("태국",C920)),"500",IF(ISNUMBER(SEARCH("말레이",C920)),"600",IF(ISNUMBER(SEARCH("필리핀",C920)),"700",IF(ISNUMBER(SEARCH("인도네시아",C920)),"800",IF(ISNUMBER(SEARCH("크루즈",C920)),"810",IF(ISNUMBER(SEARCH("동물원",C920)),"830","")))))))))</f>
        <v>600</v>
      </c>
    </row>
    <row r="921" customFormat="false" ht="15" hidden="false" customHeight="false" outlineLevel="0" collapsed="false">
      <c r="A921" s="32" t="str">
        <f aca="false">IF(OR(TRIM(C921)="",SUBSTITUTE(C921," ","")="소계"),"제외",IF(ISNUMBER(SEARCH("홍콩",C921)),"HK",IF(ISNUMBER(SEARCH("상해",C921)),"CN",IF(ISNUMBER(SEARCH("대만",C921)),"TW","홀세일"))))</f>
        <v>홀세일</v>
      </c>
      <c r="B921" s="36" t="s">
        <v>1262</v>
      </c>
      <c r="C921" s="36" t="s">
        <v>1263</v>
      </c>
      <c r="D921" s="37" t="s">
        <v>123</v>
      </c>
      <c r="E921" s="36" t="n">
        <v>2026</v>
      </c>
      <c r="F921" s="37" t="s">
        <v>101</v>
      </c>
      <c r="G921" s="37" t="s">
        <v>102</v>
      </c>
      <c r="H921" s="36" t="s">
        <v>131</v>
      </c>
      <c r="I921" s="36" t="s">
        <v>142</v>
      </c>
      <c r="J921" s="37" t="s">
        <v>143</v>
      </c>
      <c r="K921" s="38" t="n">
        <v>30</v>
      </c>
      <c r="L921" s="38" t="n">
        <v>5070000</v>
      </c>
      <c r="M921" s="38" t="n">
        <v>1979700</v>
      </c>
      <c r="N921" s="39" t="n">
        <f aca="false">IF(A921="제외",0,IF(OR(N(L921)&lt;=0,N(M921)&gt;N(L921)),N(M921)/요약!$D$27,N(L921)))</f>
        <v>5070000</v>
      </c>
      <c r="O921" s="32" t="str">
        <f aca="false">IF(A921="제외","",IF(OR(N(L921)&lt;=0,N(M921)&gt;N(L921)),"택가보정(판매금액÷공급율)",""))</f>
        <v/>
      </c>
      <c r="P921" s="0" t="str">
        <f aca="false">IF(A921="HK","100",IF(A921="CN","200",IF(A921="TW","300",IF(ISNUMBER(SEARCH("태국",C921)),"500",IF(ISNUMBER(SEARCH("말레이",C921)),"600",IF(ISNUMBER(SEARCH("필리핀",C921)),"700",IF(ISNUMBER(SEARCH("인도네시아",C921)),"800",IF(ISNUMBER(SEARCH("크루즈",C921)),"810",IF(ISNUMBER(SEARCH("동물원",C921)),"830","")))))))))</f>
        <v>600</v>
      </c>
    </row>
    <row r="922" customFormat="false" ht="15" hidden="false" customHeight="false" outlineLevel="0" collapsed="false">
      <c r="A922" s="32" t="str">
        <f aca="false">IF(OR(TRIM(C922)="",SUBSTITUTE(C922," ","")="소계"),"제외",IF(ISNUMBER(SEARCH("홍콩",C922)),"HK",IF(ISNUMBER(SEARCH("상해",C922)),"CN",IF(ISNUMBER(SEARCH("대만",C922)),"TW","홀세일"))))</f>
        <v>홀세일</v>
      </c>
      <c r="B922" s="36" t="s">
        <v>1262</v>
      </c>
      <c r="C922" s="36" t="s">
        <v>1263</v>
      </c>
      <c r="D922" s="37" t="s">
        <v>123</v>
      </c>
      <c r="E922" s="36" t="n">
        <v>2026</v>
      </c>
      <c r="F922" s="37" t="s">
        <v>101</v>
      </c>
      <c r="G922" s="37" t="s">
        <v>102</v>
      </c>
      <c r="H922" s="36" t="s">
        <v>131</v>
      </c>
      <c r="I922" s="36" t="s">
        <v>144</v>
      </c>
      <c r="J922" s="37" t="s">
        <v>145</v>
      </c>
      <c r="K922" s="38" t="n">
        <v>15</v>
      </c>
      <c r="L922" s="38" t="n">
        <v>2535000</v>
      </c>
      <c r="M922" s="38" t="n">
        <v>989850</v>
      </c>
      <c r="N922" s="39" t="n">
        <f aca="false">IF(A922="제외",0,IF(OR(N(L922)&lt;=0,N(M922)&gt;N(L922)),N(M922)/요약!$D$27,N(L922)))</f>
        <v>2535000</v>
      </c>
      <c r="O922" s="32" t="str">
        <f aca="false">IF(A922="제외","",IF(OR(N(L922)&lt;=0,N(M922)&gt;N(L922)),"택가보정(판매금액÷공급율)",""))</f>
        <v/>
      </c>
      <c r="P922" s="0" t="str">
        <f aca="false">IF(A922="HK","100",IF(A922="CN","200",IF(A922="TW","300",IF(ISNUMBER(SEARCH("태국",C922)),"500",IF(ISNUMBER(SEARCH("말레이",C922)),"600",IF(ISNUMBER(SEARCH("필리핀",C922)),"700",IF(ISNUMBER(SEARCH("인도네시아",C922)),"800",IF(ISNUMBER(SEARCH("크루즈",C922)),"810",IF(ISNUMBER(SEARCH("동물원",C922)),"830","")))))))))</f>
        <v>600</v>
      </c>
    </row>
    <row r="923" customFormat="false" ht="15" hidden="false" customHeight="false" outlineLevel="0" collapsed="false">
      <c r="A923" s="32" t="str">
        <f aca="false">IF(OR(TRIM(C923)="",SUBSTITUTE(C923," ","")="소계"),"제외",IF(ISNUMBER(SEARCH("홍콩",C923)),"HK",IF(ISNUMBER(SEARCH("상해",C923)),"CN",IF(ISNUMBER(SEARCH("대만",C923)),"TW","홀세일"))))</f>
        <v>홀세일</v>
      </c>
      <c r="B923" s="36" t="s">
        <v>1262</v>
      </c>
      <c r="C923" s="36" t="s">
        <v>1263</v>
      </c>
      <c r="D923" s="37" t="s">
        <v>123</v>
      </c>
      <c r="E923" s="36" t="n">
        <v>2026</v>
      </c>
      <c r="F923" s="37" t="s">
        <v>101</v>
      </c>
      <c r="G923" s="37" t="s">
        <v>102</v>
      </c>
      <c r="H923" s="36" t="s">
        <v>131</v>
      </c>
      <c r="I923" s="36" t="s">
        <v>146</v>
      </c>
      <c r="J923" s="37" t="s">
        <v>147</v>
      </c>
      <c r="K923" s="38" t="n">
        <v>15</v>
      </c>
      <c r="L923" s="38" t="n">
        <v>2835000</v>
      </c>
      <c r="M923" s="38" t="n">
        <v>1106685</v>
      </c>
      <c r="N923" s="39" t="n">
        <f aca="false">IF(A923="제외",0,IF(OR(N(L923)&lt;=0,N(M923)&gt;N(L923)),N(M923)/요약!$D$27,N(L923)))</f>
        <v>2835000</v>
      </c>
      <c r="O923" s="32" t="str">
        <f aca="false">IF(A923="제외","",IF(OR(N(L923)&lt;=0,N(M923)&gt;N(L923)),"택가보정(판매금액÷공급율)",""))</f>
        <v/>
      </c>
      <c r="P923" s="0" t="str">
        <f aca="false">IF(A923="HK","100",IF(A923="CN","200",IF(A923="TW","300",IF(ISNUMBER(SEARCH("태국",C923)),"500",IF(ISNUMBER(SEARCH("말레이",C923)),"600",IF(ISNUMBER(SEARCH("필리핀",C923)),"700",IF(ISNUMBER(SEARCH("인도네시아",C923)),"800",IF(ISNUMBER(SEARCH("크루즈",C923)),"810",IF(ISNUMBER(SEARCH("동물원",C923)),"830","")))))))))</f>
        <v>600</v>
      </c>
    </row>
    <row r="924" customFormat="false" ht="15" hidden="false" customHeight="false" outlineLevel="0" collapsed="false">
      <c r="A924" s="32" t="str">
        <f aca="false">IF(OR(TRIM(C924)="",SUBSTITUTE(C924," ","")="소계"),"제외",IF(ISNUMBER(SEARCH("홍콩",C924)),"HK",IF(ISNUMBER(SEARCH("상해",C924)),"CN",IF(ISNUMBER(SEARCH("대만",C924)),"TW","홀세일"))))</f>
        <v>홀세일</v>
      </c>
      <c r="B924" s="36" t="s">
        <v>1262</v>
      </c>
      <c r="C924" s="36" t="s">
        <v>1263</v>
      </c>
      <c r="D924" s="37" t="s">
        <v>123</v>
      </c>
      <c r="E924" s="36" t="n">
        <v>2026</v>
      </c>
      <c r="F924" s="37" t="s">
        <v>101</v>
      </c>
      <c r="G924" s="37" t="s">
        <v>102</v>
      </c>
      <c r="H924" s="36" t="s">
        <v>131</v>
      </c>
      <c r="I924" s="36" t="s">
        <v>148</v>
      </c>
      <c r="J924" s="37" t="s">
        <v>149</v>
      </c>
      <c r="K924" s="38" t="n">
        <v>30</v>
      </c>
      <c r="L924" s="38" t="n">
        <v>5370000</v>
      </c>
      <c r="M924" s="38" t="n">
        <v>2098740</v>
      </c>
      <c r="N924" s="39" t="n">
        <f aca="false">IF(A924="제외",0,IF(OR(N(L924)&lt;=0,N(M924)&gt;N(L924)),N(M924)/요약!$D$27,N(L924)))</f>
        <v>5370000</v>
      </c>
      <c r="O924" s="32" t="str">
        <f aca="false">IF(A924="제외","",IF(OR(N(L924)&lt;=0,N(M924)&gt;N(L924)),"택가보정(판매금액÷공급율)",""))</f>
        <v/>
      </c>
      <c r="P924" s="0" t="str">
        <f aca="false">IF(A924="HK","100",IF(A924="CN","200",IF(A924="TW","300",IF(ISNUMBER(SEARCH("태국",C924)),"500",IF(ISNUMBER(SEARCH("말레이",C924)),"600",IF(ISNUMBER(SEARCH("필리핀",C924)),"700",IF(ISNUMBER(SEARCH("인도네시아",C924)),"800",IF(ISNUMBER(SEARCH("크루즈",C924)),"810",IF(ISNUMBER(SEARCH("동물원",C924)),"830","")))))))))</f>
        <v>600</v>
      </c>
    </row>
    <row r="925" customFormat="false" ht="15" hidden="false" customHeight="false" outlineLevel="0" collapsed="false">
      <c r="A925" s="32" t="str">
        <f aca="false">IF(OR(TRIM(C925)="",SUBSTITUTE(C925," ","")="소계"),"제외",IF(ISNUMBER(SEARCH("홍콩",C925)),"HK",IF(ISNUMBER(SEARCH("상해",C925)),"CN",IF(ISNUMBER(SEARCH("대만",C925)),"TW","홀세일"))))</f>
        <v>홀세일</v>
      </c>
      <c r="B925" s="36" t="s">
        <v>1262</v>
      </c>
      <c r="C925" s="36" t="s">
        <v>1263</v>
      </c>
      <c r="D925" s="37" t="s">
        <v>123</v>
      </c>
      <c r="E925" s="36" t="n">
        <v>2026</v>
      </c>
      <c r="F925" s="37" t="s">
        <v>101</v>
      </c>
      <c r="G925" s="37" t="s">
        <v>102</v>
      </c>
      <c r="H925" s="36" t="s">
        <v>131</v>
      </c>
      <c r="I925" s="36" t="s">
        <v>150</v>
      </c>
      <c r="J925" s="37" t="s">
        <v>151</v>
      </c>
      <c r="K925" s="38" t="n">
        <v>20</v>
      </c>
      <c r="L925" s="38" t="n">
        <v>3780000</v>
      </c>
      <c r="M925" s="38" t="n">
        <v>1475580</v>
      </c>
      <c r="N925" s="39" t="n">
        <f aca="false">IF(A925="제외",0,IF(OR(N(L925)&lt;=0,N(M925)&gt;N(L925)),N(M925)/요약!$D$27,N(L925)))</f>
        <v>3780000</v>
      </c>
      <c r="O925" s="32" t="str">
        <f aca="false">IF(A925="제외","",IF(OR(N(L925)&lt;=0,N(M925)&gt;N(L925)),"택가보정(판매금액÷공급율)",""))</f>
        <v/>
      </c>
      <c r="P925" s="0" t="str">
        <f aca="false">IF(A925="HK","100",IF(A925="CN","200",IF(A925="TW","300",IF(ISNUMBER(SEARCH("태국",C925)),"500",IF(ISNUMBER(SEARCH("말레이",C925)),"600",IF(ISNUMBER(SEARCH("필리핀",C925)),"700",IF(ISNUMBER(SEARCH("인도네시아",C925)),"800",IF(ISNUMBER(SEARCH("크루즈",C925)),"810",IF(ISNUMBER(SEARCH("동물원",C925)),"830","")))))))))</f>
        <v>600</v>
      </c>
    </row>
    <row r="926" customFormat="false" ht="15" hidden="false" customHeight="false" outlineLevel="0" collapsed="false">
      <c r="A926" s="32" t="str">
        <f aca="false">IF(OR(TRIM(C926)="",SUBSTITUTE(C926," ","")="소계"),"제외",IF(ISNUMBER(SEARCH("홍콩",C926)),"HK",IF(ISNUMBER(SEARCH("상해",C926)),"CN",IF(ISNUMBER(SEARCH("대만",C926)),"TW","홀세일"))))</f>
        <v>홀세일</v>
      </c>
      <c r="B926" s="36" t="s">
        <v>1262</v>
      </c>
      <c r="C926" s="36" t="s">
        <v>1263</v>
      </c>
      <c r="D926" s="37" t="s">
        <v>123</v>
      </c>
      <c r="E926" s="36" t="n">
        <v>2026</v>
      </c>
      <c r="F926" s="37" t="s">
        <v>101</v>
      </c>
      <c r="G926" s="37" t="s">
        <v>124</v>
      </c>
      <c r="H926" s="36" t="s">
        <v>131</v>
      </c>
      <c r="I926" s="36" t="s">
        <v>156</v>
      </c>
      <c r="J926" s="37" t="s">
        <v>157</v>
      </c>
      <c r="K926" s="38" t="n">
        <v>25</v>
      </c>
      <c r="L926" s="38" t="n">
        <v>4225000</v>
      </c>
      <c r="M926" s="38" t="n">
        <v>1534650</v>
      </c>
      <c r="N926" s="39" t="n">
        <f aca="false">IF(A926="제외",0,IF(OR(N(L926)&lt;=0,N(M926)&gt;N(L926)),N(M926)/요약!$D$27,N(L926)))</f>
        <v>4225000</v>
      </c>
      <c r="O926" s="32" t="str">
        <f aca="false">IF(A926="제외","",IF(OR(N(L926)&lt;=0,N(M926)&gt;N(L926)),"택가보정(판매금액÷공급율)",""))</f>
        <v/>
      </c>
      <c r="P926" s="0" t="str">
        <f aca="false">IF(A926="HK","100",IF(A926="CN","200",IF(A926="TW","300",IF(ISNUMBER(SEARCH("태국",C926)),"500",IF(ISNUMBER(SEARCH("말레이",C926)),"600",IF(ISNUMBER(SEARCH("필리핀",C926)),"700",IF(ISNUMBER(SEARCH("인도네시아",C926)),"800",IF(ISNUMBER(SEARCH("크루즈",C926)),"810",IF(ISNUMBER(SEARCH("동물원",C926)),"830","")))))))))</f>
        <v>600</v>
      </c>
    </row>
    <row r="927" customFormat="false" ht="15" hidden="false" customHeight="false" outlineLevel="0" collapsed="false">
      <c r="A927" s="32" t="str">
        <f aca="false">IF(OR(TRIM(C927)="",SUBSTITUTE(C927," ","")="소계"),"제외",IF(ISNUMBER(SEARCH("홍콩",C927)),"HK",IF(ISNUMBER(SEARCH("상해",C927)),"CN",IF(ISNUMBER(SEARCH("대만",C927)),"TW","홀세일"))))</f>
        <v>홀세일</v>
      </c>
      <c r="B927" s="36" t="s">
        <v>1262</v>
      </c>
      <c r="C927" s="36" t="s">
        <v>1263</v>
      </c>
      <c r="D927" s="37" t="s">
        <v>123</v>
      </c>
      <c r="E927" s="36" t="n">
        <v>2026</v>
      </c>
      <c r="F927" s="37" t="s">
        <v>101</v>
      </c>
      <c r="G927" s="37" t="s">
        <v>124</v>
      </c>
      <c r="H927" s="36" t="s">
        <v>131</v>
      </c>
      <c r="I927" s="36" t="s">
        <v>1029</v>
      </c>
      <c r="J927" s="36" t="s">
        <v>1030</v>
      </c>
      <c r="K927" s="38" t="n">
        <v>30</v>
      </c>
      <c r="L927" s="38" t="n">
        <v>4770000</v>
      </c>
      <c r="M927" s="38" t="n">
        <v>1764150</v>
      </c>
      <c r="N927" s="39" t="n">
        <f aca="false">IF(A927="제외",0,IF(OR(N(L927)&lt;=0,N(M927)&gt;N(L927)),N(M927)/요약!$D$27,N(L927)))</f>
        <v>4770000</v>
      </c>
      <c r="O927" s="32" t="str">
        <f aca="false">IF(A927="제외","",IF(OR(N(L927)&lt;=0,N(M927)&gt;N(L927)),"택가보정(판매금액÷공급율)",""))</f>
        <v/>
      </c>
      <c r="P927" s="0" t="str">
        <f aca="false">IF(A927="HK","100",IF(A927="CN","200",IF(A927="TW","300",IF(ISNUMBER(SEARCH("태국",C927)),"500",IF(ISNUMBER(SEARCH("말레이",C927)),"600",IF(ISNUMBER(SEARCH("필리핀",C927)),"700",IF(ISNUMBER(SEARCH("인도네시아",C927)),"800",IF(ISNUMBER(SEARCH("크루즈",C927)),"810",IF(ISNUMBER(SEARCH("동물원",C927)),"830","")))))))))</f>
        <v>600</v>
      </c>
    </row>
    <row r="928" customFormat="false" ht="15" hidden="false" customHeight="false" outlineLevel="0" collapsed="false">
      <c r="A928" s="32" t="str">
        <f aca="false">IF(OR(TRIM(C928)="",SUBSTITUTE(C928," ","")="소계"),"제외",IF(ISNUMBER(SEARCH("홍콩",C928)),"HK",IF(ISNUMBER(SEARCH("상해",C928)),"CN",IF(ISNUMBER(SEARCH("대만",C928)),"TW","홀세일"))))</f>
        <v>홀세일</v>
      </c>
      <c r="B928" s="36" t="s">
        <v>1262</v>
      </c>
      <c r="C928" s="36" t="s">
        <v>1263</v>
      </c>
      <c r="D928" s="37" t="s">
        <v>123</v>
      </c>
      <c r="E928" s="36" t="n">
        <v>2026</v>
      </c>
      <c r="F928" s="37" t="s">
        <v>101</v>
      </c>
      <c r="G928" s="37" t="s">
        <v>124</v>
      </c>
      <c r="H928" s="36" t="s">
        <v>131</v>
      </c>
      <c r="I928" s="36" t="s">
        <v>1031</v>
      </c>
      <c r="J928" s="36" t="s">
        <v>1032</v>
      </c>
      <c r="K928" s="38" t="n">
        <v>40</v>
      </c>
      <c r="L928" s="38" t="n">
        <v>4760000</v>
      </c>
      <c r="M928" s="38" t="n">
        <v>1761200</v>
      </c>
      <c r="N928" s="39" t="n">
        <f aca="false">IF(A928="제외",0,IF(OR(N(L928)&lt;=0,N(M928)&gt;N(L928)),N(M928)/요약!$D$27,N(L928)))</f>
        <v>4760000</v>
      </c>
      <c r="O928" s="32" t="str">
        <f aca="false">IF(A928="제외","",IF(OR(N(L928)&lt;=0,N(M928)&gt;N(L928)),"택가보정(판매금액÷공급율)",""))</f>
        <v/>
      </c>
      <c r="P928" s="0" t="str">
        <f aca="false">IF(A928="HK","100",IF(A928="CN","200",IF(A928="TW","300",IF(ISNUMBER(SEARCH("태국",C928)),"500",IF(ISNUMBER(SEARCH("말레이",C928)),"600",IF(ISNUMBER(SEARCH("필리핀",C928)),"700",IF(ISNUMBER(SEARCH("인도네시아",C928)),"800",IF(ISNUMBER(SEARCH("크루즈",C928)),"810",IF(ISNUMBER(SEARCH("동물원",C928)),"830","")))))))))</f>
        <v>600</v>
      </c>
    </row>
    <row r="929" customFormat="false" ht="15" hidden="false" customHeight="false" outlineLevel="0" collapsed="false">
      <c r="A929" s="32" t="str">
        <f aca="false">IF(OR(TRIM(C929)="",SUBSTITUTE(C929," ","")="소계"),"제외",IF(ISNUMBER(SEARCH("홍콩",C929)),"HK",IF(ISNUMBER(SEARCH("상해",C929)),"CN",IF(ISNUMBER(SEARCH("대만",C929)),"TW","홀세일"))))</f>
        <v>홀세일</v>
      </c>
      <c r="B929" s="36" t="s">
        <v>1262</v>
      </c>
      <c r="C929" s="36" t="s">
        <v>1263</v>
      </c>
      <c r="D929" s="37" t="s">
        <v>123</v>
      </c>
      <c r="E929" s="36" t="n">
        <v>2026</v>
      </c>
      <c r="F929" s="37" t="s">
        <v>101</v>
      </c>
      <c r="G929" s="37" t="s">
        <v>124</v>
      </c>
      <c r="H929" s="36" t="s">
        <v>131</v>
      </c>
      <c r="I929" s="36" t="s">
        <v>160</v>
      </c>
      <c r="J929" s="37" t="s">
        <v>161</v>
      </c>
      <c r="K929" s="38" t="n">
        <v>45</v>
      </c>
      <c r="L929" s="38" t="n">
        <v>4905000</v>
      </c>
      <c r="M929" s="38" t="n">
        <v>1815120</v>
      </c>
      <c r="N929" s="39" t="n">
        <f aca="false">IF(A929="제외",0,IF(OR(N(L929)&lt;=0,N(M929)&gt;N(L929)),N(M929)/요약!$D$27,N(L929)))</f>
        <v>4905000</v>
      </c>
      <c r="O929" s="32" t="str">
        <f aca="false">IF(A929="제외","",IF(OR(N(L929)&lt;=0,N(M929)&gt;N(L929)),"택가보정(판매금액÷공급율)",""))</f>
        <v/>
      </c>
      <c r="P929" s="0" t="str">
        <f aca="false">IF(A929="HK","100",IF(A929="CN","200",IF(A929="TW","300",IF(ISNUMBER(SEARCH("태국",C929)),"500",IF(ISNUMBER(SEARCH("말레이",C929)),"600",IF(ISNUMBER(SEARCH("필리핀",C929)),"700",IF(ISNUMBER(SEARCH("인도네시아",C929)),"800",IF(ISNUMBER(SEARCH("크루즈",C929)),"810",IF(ISNUMBER(SEARCH("동물원",C929)),"830","")))))))))</f>
        <v>600</v>
      </c>
    </row>
    <row r="930" customFormat="false" ht="15" hidden="false" customHeight="false" outlineLevel="0" collapsed="false">
      <c r="A930" s="32" t="str">
        <f aca="false">IF(OR(TRIM(C930)="",SUBSTITUTE(C930," ","")="소계"),"제외",IF(ISNUMBER(SEARCH("홍콩",C930)),"HK",IF(ISNUMBER(SEARCH("상해",C930)),"CN",IF(ISNUMBER(SEARCH("대만",C930)),"TW","홀세일"))))</f>
        <v>홀세일</v>
      </c>
      <c r="B930" s="36" t="s">
        <v>1262</v>
      </c>
      <c r="C930" s="36" t="s">
        <v>1263</v>
      </c>
      <c r="D930" s="37" t="s">
        <v>123</v>
      </c>
      <c r="E930" s="36" t="n">
        <v>2026</v>
      </c>
      <c r="F930" s="37" t="s">
        <v>101</v>
      </c>
      <c r="G930" s="37" t="s">
        <v>124</v>
      </c>
      <c r="H930" s="36" t="s">
        <v>131</v>
      </c>
      <c r="I930" s="36" t="s">
        <v>790</v>
      </c>
      <c r="J930" s="37" t="s">
        <v>791</v>
      </c>
      <c r="K930" s="38" t="n">
        <v>20</v>
      </c>
      <c r="L930" s="38" t="n">
        <v>2580000</v>
      </c>
      <c r="M930" s="38" t="n">
        <v>954460</v>
      </c>
      <c r="N930" s="39" t="n">
        <f aca="false">IF(A930="제외",0,IF(OR(N(L930)&lt;=0,N(M930)&gt;N(L930)),N(M930)/요약!$D$27,N(L930)))</f>
        <v>2580000</v>
      </c>
      <c r="O930" s="32" t="str">
        <f aca="false">IF(A930="제외","",IF(OR(N(L930)&lt;=0,N(M930)&gt;N(L930)),"택가보정(판매금액÷공급율)",""))</f>
        <v/>
      </c>
      <c r="P930" s="0" t="str">
        <f aca="false">IF(A930="HK","100",IF(A930="CN","200",IF(A930="TW","300",IF(ISNUMBER(SEARCH("태국",C930)),"500",IF(ISNUMBER(SEARCH("말레이",C930)),"600",IF(ISNUMBER(SEARCH("필리핀",C930)),"700",IF(ISNUMBER(SEARCH("인도네시아",C930)),"800",IF(ISNUMBER(SEARCH("크루즈",C930)),"810",IF(ISNUMBER(SEARCH("동물원",C930)),"830","")))))))))</f>
        <v>600</v>
      </c>
    </row>
    <row r="931" customFormat="false" ht="15" hidden="false" customHeight="false" outlineLevel="0" collapsed="false">
      <c r="A931" s="32" t="str">
        <f aca="false">IF(OR(TRIM(C931)="",SUBSTITUTE(C931," ","")="소계"),"제외",IF(ISNUMBER(SEARCH("홍콩",C931)),"HK",IF(ISNUMBER(SEARCH("상해",C931)),"CN",IF(ISNUMBER(SEARCH("대만",C931)),"TW","홀세일"))))</f>
        <v>홀세일</v>
      </c>
      <c r="B931" s="36" t="s">
        <v>1262</v>
      </c>
      <c r="C931" s="36" t="s">
        <v>1263</v>
      </c>
      <c r="D931" s="37" t="s">
        <v>123</v>
      </c>
      <c r="E931" s="36" t="n">
        <v>2026</v>
      </c>
      <c r="F931" s="37" t="s">
        <v>101</v>
      </c>
      <c r="G931" s="37" t="s">
        <v>124</v>
      </c>
      <c r="H931" s="36" t="s">
        <v>131</v>
      </c>
      <c r="I931" s="36" t="s">
        <v>162</v>
      </c>
      <c r="J931" s="37" t="s">
        <v>163</v>
      </c>
      <c r="K931" s="38" t="n">
        <v>25</v>
      </c>
      <c r="L931" s="38" t="n">
        <v>4975000</v>
      </c>
      <c r="M931" s="38" t="n">
        <v>1919200</v>
      </c>
      <c r="N931" s="39" t="n">
        <f aca="false">IF(A931="제외",0,IF(OR(N(L931)&lt;=0,N(M931)&gt;N(L931)),N(M931)/요약!$D$27,N(L931)))</f>
        <v>4975000</v>
      </c>
      <c r="O931" s="32" t="str">
        <f aca="false">IF(A931="제외","",IF(OR(N(L931)&lt;=0,N(M931)&gt;N(L931)),"택가보정(판매금액÷공급율)",""))</f>
        <v/>
      </c>
      <c r="P931" s="0" t="str">
        <f aca="false">IF(A931="HK","100",IF(A931="CN","200",IF(A931="TW","300",IF(ISNUMBER(SEARCH("태국",C931)),"500",IF(ISNUMBER(SEARCH("말레이",C931)),"600",IF(ISNUMBER(SEARCH("필리핀",C931)),"700",IF(ISNUMBER(SEARCH("인도네시아",C931)),"800",IF(ISNUMBER(SEARCH("크루즈",C931)),"810",IF(ISNUMBER(SEARCH("동물원",C931)),"830","")))))))))</f>
        <v>600</v>
      </c>
    </row>
    <row r="932" customFormat="false" ht="15" hidden="false" customHeight="false" outlineLevel="0" collapsed="false">
      <c r="A932" s="32" t="str">
        <f aca="false">IF(OR(TRIM(C932)="",SUBSTITUTE(C932," ","")="소계"),"제외",IF(ISNUMBER(SEARCH("홍콩",C932)),"HK",IF(ISNUMBER(SEARCH("상해",C932)),"CN",IF(ISNUMBER(SEARCH("대만",C932)),"TW","홀세일"))))</f>
        <v>홀세일</v>
      </c>
      <c r="B932" s="36" t="s">
        <v>1262</v>
      </c>
      <c r="C932" s="36" t="s">
        <v>1263</v>
      </c>
      <c r="D932" s="37" t="s">
        <v>123</v>
      </c>
      <c r="E932" s="36" t="n">
        <v>2026</v>
      </c>
      <c r="F932" s="37" t="s">
        <v>101</v>
      </c>
      <c r="G932" s="37" t="s">
        <v>124</v>
      </c>
      <c r="H932" s="36" t="s">
        <v>131</v>
      </c>
      <c r="I932" s="36" t="s">
        <v>794</v>
      </c>
      <c r="J932" s="37" t="s">
        <v>795</v>
      </c>
      <c r="K932" s="38" t="n">
        <v>20</v>
      </c>
      <c r="L932" s="38" t="n">
        <v>3180000</v>
      </c>
      <c r="M932" s="38" t="n">
        <v>1176100</v>
      </c>
      <c r="N932" s="39" t="n">
        <f aca="false">IF(A932="제외",0,IF(OR(N(L932)&lt;=0,N(M932)&gt;N(L932)),N(M932)/요약!$D$27,N(L932)))</f>
        <v>3180000</v>
      </c>
      <c r="O932" s="32" t="str">
        <f aca="false">IF(A932="제외","",IF(OR(N(L932)&lt;=0,N(M932)&gt;N(L932)),"택가보정(판매금액÷공급율)",""))</f>
        <v/>
      </c>
      <c r="P932" s="0" t="str">
        <f aca="false">IF(A932="HK","100",IF(A932="CN","200",IF(A932="TW","300",IF(ISNUMBER(SEARCH("태국",C932)),"500",IF(ISNUMBER(SEARCH("말레이",C932)),"600",IF(ISNUMBER(SEARCH("필리핀",C932)),"700",IF(ISNUMBER(SEARCH("인도네시아",C932)),"800",IF(ISNUMBER(SEARCH("크루즈",C932)),"810",IF(ISNUMBER(SEARCH("동물원",C932)),"830","")))))))))</f>
        <v>600</v>
      </c>
    </row>
    <row r="933" customFormat="false" ht="15" hidden="false" customHeight="false" outlineLevel="0" collapsed="false">
      <c r="A933" s="32" t="str">
        <f aca="false">IF(OR(TRIM(C933)="",SUBSTITUTE(C933," ","")="소계"),"제외",IF(ISNUMBER(SEARCH("홍콩",C933)),"HK",IF(ISNUMBER(SEARCH("상해",C933)),"CN",IF(ISNUMBER(SEARCH("대만",C933)),"TW","홀세일"))))</f>
        <v>홀세일</v>
      </c>
      <c r="B933" s="36" t="s">
        <v>1262</v>
      </c>
      <c r="C933" s="36" t="s">
        <v>1263</v>
      </c>
      <c r="D933" s="37" t="s">
        <v>123</v>
      </c>
      <c r="E933" s="36" t="n">
        <v>2026</v>
      </c>
      <c r="F933" s="37" t="s">
        <v>101</v>
      </c>
      <c r="G933" s="37" t="s">
        <v>124</v>
      </c>
      <c r="H933" s="36" t="s">
        <v>131</v>
      </c>
      <c r="I933" s="36" t="s">
        <v>176</v>
      </c>
      <c r="J933" s="37" t="s">
        <v>177</v>
      </c>
      <c r="K933" s="38" t="n">
        <v>60</v>
      </c>
      <c r="L933" s="38" t="n">
        <v>4740000</v>
      </c>
      <c r="M933" s="38" t="n">
        <v>1755300</v>
      </c>
      <c r="N933" s="39" t="n">
        <f aca="false">IF(A933="제외",0,IF(OR(N(L933)&lt;=0,N(M933)&gt;N(L933)),N(M933)/요약!$D$27,N(L933)))</f>
        <v>4740000</v>
      </c>
      <c r="O933" s="32" t="str">
        <f aca="false">IF(A933="제외","",IF(OR(N(L933)&lt;=0,N(M933)&gt;N(L933)),"택가보정(판매금액÷공급율)",""))</f>
        <v/>
      </c>
      <c r="P933" s="0" t="str">
        <f aca="false">IF(A933="HK","100",IF(A933="CN","200",IF(A933="TW","300",IF(ISNUMBER(SEARCH("태국",C933)),"500",IF(ISNUMBER(SEARCH("말레이",C933)),"600",IF(ISNUMBER(SEARCH("필리핀",C933)),"700",IF(ISNUMBER(SEARCH("인도네시아",C933)),"800",IF(ISNUMBER(SEARCH("크루즈",C933)),"810",IF(ISNUMBER(SEARCH("동물원",C933)),"830","")))))))))</f>
        <v>600</v>
      </c>
    </row>
    <row r="934" customFormat="false" ht="15" hidden="false" customHeight="false" outlineLevel="0" collapsed="false">
      <c r="A934" s="32" t="str">
        <f aca="false">IF(OR(TRIM(C934)="",SUBSTITUTE(C934," ","")="소계"),"제외",IF(ISNUMBER(SEARCH("홍콩",C934)),"HK",IF(ISNUMBER(SEARCH("상해",C934)),"CN",IF(ISNUMBER(SEARCH("대만",C934)),"TW","홀세일"))))</f>
        <v>홀세일</v>
      </c>
      <c r="B934" s="36" t="s">
        <v>1262</v>
      </c>
      <c r="C934" s="36" t="s">
        <v>1263</v>
      </c>
      <c r="D934" s="37" t="s">
        <v>123</v>
      </c>
      <c r="E934" s="36" t="n">
        <v>2026</v>
      </c>
      <c r="F934" s="37" t="s">
        <v>101</v>
      </c>
      <c r="G934" s="37" t="s">
        <v>124</v>
      </c>
      <c r="H934" s="36" t="s">
        <v>131</v>
      </c>
      <c r="I934" s="36" t="s">
        <v>178</v>
      </c>
      <c r="J934" s="37" t="s">
        <v>179</v>
      </c>
      <c r="K934" s="38" t="n">
        <v>40</v>
      </c>
      <c r="L934" s="38" t="n">
        <v>3560000</v>
      </c>
      <c r="M934" s="38" t="n">
        <v>1317920</v>
      </c>
      <c r="N934" s="39" t="n">
        <f aca="false">IF(A934="제외",0,IF(OR(N(L934)&lt;=0,N(M934)&gt;N(L934)),N(M934)/요약!$D$27,N(L934)))</f>
        <v>3560000</v>
      </c>
      <c r="O934" s="32" t="str">
        <f aca="false">IF(A934="제외","",IF(OR(N(L934)&lt;=0,N(M934)&gt;N(L934)),"택가보정(판매금액÷공급율)",""))</f>
        <v/>
      </c>
      <c r="P934" s="0" t="str">
        <f aca="false">IF(A934="HK","100",IF(A934="CN","200",IF(A934="TW","300",IF(ISNUMBER(SEARCH("태국",C934)),"500",IF(ISNUMBER(SEARCH("말레이",C934)),"600",IF(ISNUMBER(SEARCH("필리핀",C934)),"700",IF(ISNUMBER(SEARCH("인도네시아",C934)),"800",IF(ISNUMBER(SEARCH("크루즈",C934)),"810",IF(ISNUMBER(SEARCH("동물원",C934)),"830","")))))))))</f>
        <v>600</v>
      </c>
    </row>
    <row r="935" customFormat="false" ht="15" hidden="false" customHeight="false" outlineLevel="0" collapsed="false">
      <c r="A935" s="32" t="str">
        <f aca="false">IF(OR(TRIM(C935)="",SUBSTITUTE(C935," ","")="소계"),"제외",IF(ISNUMBER(SEARCH("홍콩",C935)),"HK",IF(ISNUMBER(SEARCH("상해",C935)),"CN",IF(ISNUMBER(SEARCH("대만",C935)),"TW","홀세일"))))</f>
        <v>홀세일</v>
      </c>
      <c r="B935" s="36" t="s">
        <v>1262</v>
      </c>
      <c r="C935" s="36" t="s">
        <v>1263</v>
      </c>
      <c r="D935" s="37" t="s">
        <v>123</v>
      </c>
      <c r="E935" s="36" t="n">
        <v>2026</v>
      </c>
      <c r="F935" s="37" t="s">
        <v>101</v>
      </c>
      <c r="G935" s="37" t="s">
        <v>124</v>
      </c>
      <c r="H935" s="36" t="s">
        <v>131</v>
      </c>
      <c r="I935" s="36" t="s">
        <v>180</v>
      </c>
      <c r="J935" s="37" t="s">
        <v>181</v>
      </c>
      <c r="K935" s="38" t="n">
        <v>40</v>
      </c>
      <c r="L935" s="38" t="n">
        <v>3560000</v>
      </c>
      <c r="M935" s="38" t="n">
        <v>1317920</v>
      </c>
      <c r="N935" s="39" t="n">
        <f aca="false">IF(A935="제외",0,IF(OR(N(L935)&lt;=0,N(M935)&gt;N(L935)),N(M935)/요약!$D$27,N(L935)))</f>
        <v>3560000</v>
      </c>
      <c r="O935" s="32" t="str">
        <f aca="false">IF(A935="제외","",IF(OR(N(L935)&lt;=0,N(M935)&gt;N(L935)),"택가보정(판매금액÷공급율)",""))</f>
        <v/>
      </c>
      <c r="P935" s="0" t="str">
        <f aca="false">IF(A935="HK","100",IF(A935="CN","200",IF(A935="TW","300",IF(ISNUMBER(SEARCH("태국",C935)),"500",IF(ISNUMBER(SEARCH("말레이",C935)),"600",IF(ISNUMBER(SEARCH("필리핀",C935)),"700",IF(ISNUMBER(SEARCH("인도네시아",C935)),"800",IF(ISNUMBER(SEARCH("크루즈",C935)),"810",IF(ISNUMBER(SEARCH("동물원",C935)),"830","")))))))))</f>
        <v>600</v>
      </c>
    </row>
    <row r="936" customFormat="false" ht="15" hidden="false" customHeight="false" outlineLevel="0" collapsed="false">
      <c r="A936" s="32" t="str">
        <f aca="false">IF(OR(TRIM(C936)="",SUBSTITUTE(C936," ","")="소계"),"제외",IF(ISNUMBER(SEARCH("홍콩",C936)),"HK",IF(ISNUMBER(SEARCH("상해",C936)),"CN",IF(ISNUMBER(SEARCH("대만",C936)),"TW","홀세일"))))</f>
        <v>홀세일</v>
      </c>
      <c r="B936" s="36" t="s">
        <v>1262</v>
      </c>
      <c r="C936" s="36" t="s">
        <v>1263</v>
      </c>
      <c r="D936" s="37" t="s">
        <v>123</v>
      </c>
      <c r="E936" s="36" t="n">
        <v>2026</v>
      </c>
      <c r="F936" s="37" t="s">
        <v>101</v>
      </c>
      <c r="G936" s="37" t="s">
        <v>124</v>
      </c>
      <c r="H936" s="36" t="s">
        <v>131</v>
      </c>
      <c r="I936" s="36" t="s">
        <v>182</v>
      </c>
      <c r="J936" s="37" t="s">
        <v>183</v>
      </c>
      <c r="K936" s="38" t="n">
        <v>20</v>
      </c>
      <c r="L936" s="38" t="n">
        <v>2380000</v>
      </c>
      <c r="M936" s="38" t="n">
        <v>880600</v>
      </c>
      <c r="N936" s="39" t="n">
        <f aca="false">IF(A936="제외",0,IF(OR(N(L936)&lt;=0,N(M936)&gt;N(L936)),N(M936)/요약!$D$27,N(L936)))</f>
        <v>2380000</v>
      </c>
      <c r="O936" s="32" t="str">
        <f aca="false">IF(A936="제외","",IF(OR(N(L936)&lt;=0,N(M936)&gt;N(L936)),"택가보정(판매금액÷공급율)",""))</f>
        <v/>
      </c>
      <c r="P936" s="0" t="str">
        <f aca="false">IF(A936="HK","100",IF(A936="CN","200",IF(A936="TW","300",IF(ISNUMBER(SEARCH("태국",C936)),"500",IF(ISNUMBER(SEARCH("말레이",C936)),"600",IF(ISNUMBER(SEARCH("필리핀",C936)),"700",IF(ISNUMBER(SEARCH("인도네시아",C936)),"800",IF(ISNUMBER(SEARCH("크루즈",C936)),"810",IF(ISNUMBER(SEARCH("동물원",C936)),"830","")))))))))</f>
        <v>600</v>
      </c>
    </row>
    <row r="937" customFormat="false" ht="15" hidden="false" customHeight="false" outlineLevel="0" collapsed="false">
      <c r="A937" s="32" t="str">
        <f aca="false">IF(OR(TRIM(C937)="",SUBSTITUTE(C937," ","")="소계"),"제외",IF(ISNUMBER(SEARCH("홍콩",C937)),"HK",IF(ISNUMBER(SEARCH("상해",C937)),"CN",IF(ISNUMBER(SEARCH("대만",C937)),"TW","홀세일"))))</f>
        <v>홀세일</v>
      </c>
      <c r="B937" s="36" t="s">
        <v>1262</v>
      </c>
      <c r="C937" s="36" t="s">
        <v>1263</v>
      </c>
      <c r="D937" s="37" t="s">
        <v>123</v>
      </c>
      <c r="E937" s="36" t="n">
        <v>2026</v>
      </c>
      <c r="F937" s="37" t="s">
        <v>101</v>
      </c>
      <c r="G937" s="37" t="s">
        <v>124</v>
      </c>
      <c r="H937" s="36" t="s">
        <v>131</v>
      </c>
      <c r="I937" s="36" t="s">
        <v>184</v>
      </c>
      <c r="J937" s="37" t="s">
        <v>185</v>
      </c>
      <c r="K937" s="38" t="n">
        <v>30</v>
      </c>
      <c r="L937" s="38" t="n">
        <v>2370000</v>
      </c>
      <c r="M937" s="38" t="n">
        <v>877650</v>
      </c>
      <c r="N937" s="39" t="n">
        <f aca="false">IF(A937="제외",0,IF(OR(N(L937)&lt;=0,N(M937)&gt;N(L937)),N(M937)/요약!$D$27,N(L937)))</f>
        <v>2370000</v>
      </c>
      <c r="O937" s="32" t="str">
        <f aca="false">IF(A937="제외","",IF(OR(N(L937)&lt;=0,N(M937)&gt;N(L937)),"택가보정(판매금액÷공급율)",""))</f>
        <v/>
      </c>
      <c r="P937" s="0" t="str">
        <f aca="false">IF(A937="HK","100",IF(A937="CN","200",IF(A937="TW","300",IF(ISNUMBER(SEARCH("태국",C937)),"500",IF(ISNUMBER(SEARCH("말레이",C937)),"600",IF(ISNUMBER(SEARCH("필리핀",C937)),"700",IF(ISNUMBER(SEARCH("인도네시아",C937)),"800",IF(ISNUMBER(SEARCH("크루즈",C937)),"810",IF(ISNUMBER(SEARCH("동물원",C937)),"830","")))))))))</f>
        <v>600</v>
      </c>
    </row>
    <row r="938" customFormat="false" ht="15" hidden="false" customHeight="false" outlineLevel="0" collapsed="false">
      <c r="A938" s="32" t="str">
        <f aca="false">IF(OR(TRIM(C938)="",SUBSTITUTE(C938," ","")="소계"),"제외",IF(ISNUMBER(SEARCH("홍콩",C938)),"HK",IF(ISNUMBER(SEARCH("상해",C938)),"CN",IF(ISNUMBER(SEARCH("대만",C938)),"TW","홀세일"))))</f>
        <v>홀세일</v>
      </c>
      <c r="B938" s="36" t="s">
        <v>1262</v>
      </c>
      <c r="C938" s="36" t="s">
        <v>1263</v>
      </c>
      <c r="D938" s="37" t="s">
        <v>123</v>
      </c>
      <c r="E938" s="36" t="n">
        <v>2026</v>
      </c>
      <c r="F938" s="37" t="s">
        <v>101</v>
      </c>
      <c r="G938" s="37" t="s">
        <v>124</v>
      </c>
      <c r="H938" s="36" t="s">
        <v>131</v>
      </c>
      <c r="I938" s="36" t="s">
        <v>186</v>
      </c>
      <c r="J938" s="37" t="s">
        <v>187</v>
      </c>
      <c r="K938" s="38" t="n">
        <v>105</v>
      </c>
      <c r="L938" s="38" t="n">
        <v>6195000</v>
      </c>
      <c r="M938" s="38" t="n">
        <v>2296035</v>
      </c>
      <c r="N938" s="39" t="n">
        <f aca="false">IF(A938="제외",0,IF(OR(N(L938)&lt;=0,N(M938)&gt;N(L938)),N(M938)/요약!$D$27,N(L938)))</f>
        <v>6195000</v>
      </c>
      <c r="O938" s="32" t="str">
        <f aca="false">IF(A938="제외","",IF(OR(N(L938)&lt;=0,N(M938)&gt;N(L938)),"택가보정(판매금액÷공급율)",""))</f>
        <v/>
      </c>
      <c r="P938" s="0" t="str">
        <f aca="false">IF(A938="HK","100",IF(A938="CN","200",IF(A938="TW","300",IF(ISNUMBER(SEARCH("태국",C938)),"500",IF(ISNUMBER(SEARCH("말레이",C938)),"600",IF(ISNUMBER(SEARCH("필리핀",C938)),"700",IF(ISNUMBER(SEARCH("인도네시아",C938)),"800",IF(ISNUMBER(SEARCH("크루즈",C938)),"810",IF(ISNUMBER(SEARCH("동물원",C938)),"830","")))))))))</f>
        <v>600</v>
      </c>
    </row>
    <row r="939" customFormat="false" ht="15" hidden="false" customHeight="false" outlineLevel="0" collapsed="false">
      <c r="A939" s="32" t="str">
        <f aca="false">IF(OR(TRIM(C939)="",SUBSTITUTE(C939," ","")="소계"),"제외",IF(ISNUMBER(SEARCH("홍콩",C939)),"HK",IF(ISNUMBER(SEARCH("상해",C939)),"CN",IF(ISNUMBER(SEARCH("대만",C939)),"TW","홀세일"))))</f>
        <v>홀세일</v>
      </c>
      <c r="B939" s="36" t="s">
        <v>1262</v>
      </c>
      <c r="C939" s="36" t="s">
        <v>1263</v>
      </c>
      <c r="D939" s="37" t="s">
        <v>123</v>
      </c>
      <c r="E939" s="36" t="n">
        <v>2026</v>
      </c>
      <c r="F939" s="37" t="s">
        <v>101</v>
      </c>
      <c r="G939" s="37" t="s">
        <v>124</v>
      </c>
      <c r="H939" s="36" t="s">
        <v>125</v>
      </c>
      <c r="I939" s="36" t="s">
        <v>1278</v>
      </c>
      <c r="J939" s="37" t="s">
        <v>1279</v>
      </c>
      <c r="K939" s="38" t="n">
        <v>40</v>
      </c>
      <c r="L939" s="38" t="n">
        <v>2760000</v>
      </c>
      <c r="M939" s="38" t="n">
        <v>1002240</v>
      </c>
      <c r="N939" s="39" t="n">
        <f aca="false">IF(A939="제외",0,IF(OR(N(L939)&lt;=0,N(M939)&gt;N(L939)),N(M939)/요약!$D$27,N(L939)))</f>
        <v>2760000</v>
      </c>
      <c r="O939" s="32" t="str">
        <f aca="false">IF(A939="제외","",IF(OR(N(L939)&lt;=0,N(M939)&gt;N(L939)),"택가보정(판매금액÷공급율)",""))</f>
        <v/>
      </c>
      <c r="P939" s="0" t="str">
        <f aca="false">IF(A939="HK","100",IF(A939="CN","200",IF(A939="TW","300",IF(ISNUMBER(SEARCH("태국",C939)),"500",IF(ISNUMBER(SEARCH("말레이",C939)),"600",IF(ISNUMBER(SEARCH("필리핀",C939)),"700",IF(ISNUMBER(SEARCH("인도네시아",C939)),"800",IF(ISNUMBER(SEARCH("크루즈",C939)),"810",IF(ISNUMBER(SEARCH("동물원",C939)),"830","")))))))))</f>
        <v>600</v>
      </c>
    </row>
    <row r="940" customFormat="false" ht="15" hidden="false" customHeight="false" outlineLevel="0" collapsed="false">
      <c r="A940" s="32" t="str">
        <f aca="false">IF(OR(TRIM(C940)="",SUBSTITUTE(C940," ","")="소계"),"제외",IF(ISNUMBER(SEARCH("홍콩",C940)),"HK",IF(ISNUMBER(SEARCH("상해",C940)),"CN",IF(ISNUMBER(SEARCH("대만",C940)),"TW","홀세일"))))</f>
        <v>홀세일</v>
      </c>
      <c r="B940" s="36" t="s">
        <v>1262</v>
      </c>
      <c r="C940" s="36" t="s">
        <v>1263</v>
      </c>
      <c r="D940" s="37" t="s">
        <v>123</v>
      </c>
      <c r="E940" s="36" t="n">
        <v>2026</v>
      </c>
      <c r="F940" s="37" t="s">
        <v>101</v>
      </c>
      <c r="G940" s="37" t="s">
        <v>124</v>
      </c>
      <c r="H940" s="36" t="s">
        <v>125</v>
      </c>
      <c r="I940" s="36" t="s">
        <v>1280</v>
      </c>
      <c r="J940" s="37" t="s">
        <v>1281</v>
      </c>
      <c r="K940" s="38" t="n">
        <v>75</v>
      </c>
      <c r="L940" s="38" t="n">
        <v>3675000</v>
      </c>
      <c r="M940" s="38" t="n">
        <v>1362975</v>
      </c>
      <c r="N940" s="39" t="n">
        <f aca="false">IF(A940="제외",0,IF(OR(N(L940)&lt;=0,N(M940)&gt;N(L940)),N(M940)/요약!$D$27,N(L940)))</f>
        <v>3675000</v>
      </c>
      <c r="O940" s="32" t="str">
        <f aca="false">IF(A940="제외","",IF(OR(N(L940)&lt;=0,N(M940)&gt;N(L940)),"택가보정(판매금액÷공급율)",""))</f>
        <v/>
      </c>
      <c r="P940" s="0" t="str">
        <f aca="false">IF(A940="HK","100",IF(A940="CN","200",IF(A940="TW","300",IF(ISNUMBER(SEARCH("태국",C940)),"500",IF(ISNUMBER(SEARCH("말레이",C940)),"600",IF(ISNUMBER(SEARCH("필리핀",C940)),"700",IF(ISNUMBER(SEARCH("인도네시아",C940)),"800",IF(ISNUMBER(SEARCH("크루즈",C940)),"810",IF(ISNUMBER(SEARCH("동물원",C940)),"830","")))))))))</f>
        <v>600</v>
      </c>
    </row>
    <row r="941" customFormat="false" ht="15" hidden="false" customHeight="false" outlineLevel="0" collapsed="false">
      <c r="A941" s="32" t="str">
        <f aca="false">IF(OR(TRIM(C941)="",SUBSTITUTE(C941," ","")="소계"),"제외",IF(ISNUMBER(SEARCH("홍콩",C941)),"HK",IF(ISNUMBER(SEARCH("상해",C941)),"CN",IF(ISNUMBER(SEARCH("대만",C941)),"TW","홀세일"))))</f>
        <v>홀세일</v>
      </c>
      <c r="B941" s="36" t="s">
        <v>1262</v>
      </c>
      <c r="C941" s="36" t="s">
        <v>1263</v>
      </c>
      <c r="D941" s="37" t="s">
        <v>123</v>
      </c>
      <c r="E941" s="36" t="n">
        <v>2026</v>
      </c>
      <c r="F941" s="37" t="s">
        <v>101</v>
      </c>
      <c r="G941" s="37" t="s">
        <v>124</v>
      </c>
      <c r="H941" s="36" t="s">
        <v>188</v>
      </c>
      <c r="I941" s="36" t="s">
        <v>197</v>
      </c>
      <c r="J941" s="36" t="s">
        <v>198</v>
      </c>
      <c r="K941" s="38" t="n">
        <v>45</v>
      </c>
      <c r="L941" s="38" t="n">
        <v>6705000</v>
      </c>
      <c r="M941" s="38" t="n">
        <v>2435850</v>
      </c>
      <c r="N941" s="39" t="n">
        <f aca="false">IF(A941="제외",0,IF(OR(N(L941)&lt;=0,N(M941)&gt;N(L941)),N(M941)/요약!$D$27,N(L941)))</f>
        <v>6705000</v>
      </c>
      <c r="O941" s="32" t="str">
        <f aca="false">IF(A941="제외","",IF(OR(N(L941)&lt;=0,N(M941)&gt;N(L941)),"택가보정(판매금액÷공급율)",""))</f>
        <v/>
      </c>
      <c r="P941" s="0" t="str">
        <f aca="false">IF(A941="HK","100",IF(A941="CN","200",IF(A941="TW","300",IF(ISNUMBER(SEARCH("태국",C941)),"500",IF(ISNUMBER(SEARCH("말레이",C941)),"600",IF(ISNUMBER(SEARCH("필리핀",C941)),"700",IF(ISNUMBER(SEARCH("인도네시아",C941)),"800",IF(ISNUMBER(SEARCH("크루즈",C941)),"810",IF(ISNUMBER(SEARCH("동물원",C941)),"830","")))))))))</f>
        <v>600</v>
      </c>
    </row>
    <row r="942" customFormat="false" ht="15" hidden="false" customHeight="false" outlineLevel="0" collapsed="false">
      <c r="A942" s="32" t="str">
        <f aca="false">IF(OR(TRIM(C942)="",SUBSTITUTE(C942," ","")="소계"),"제외",IF(ISNUMBER(SEARCH("홍콩",C942)),"HK",IF(ISNUMBER(SEARCH("상해",C942)),"CN",IF(ISNUMBER(SEARCH("대만",C942)),"TW","홀세일"))))</f>
        <v>홀세일</v>
      </c>
      <c r="B942" s="36" t="s">
        <v>1262</v>
      </c>
      <c r="C942" s="36" t="s">
        <v>1263</v>
      </c>
      <c r="D942" s="37" t="s">
        <v>123</v>
      </c>
      <c r="E942" s="36" t="n">
        <v>2026</v>
      </c>
      <c r="F942" s="37" t="s">
        <v>101</v>
      </c>
      <c r="G942" s="37" t="s">
        <v>124</v>
      </c>
      <c r="H942" s="36" t="s">
        <v>188</v>
      </c>
      <c r="I942" s="36" t="s">
        <v>199</v>
      </c>
      <c r="J942" s="36" t="s">
        <v>200</v>
      </c>
      <c r="K942" s="38" t="n">
        <v>35</v>
      </c>
      <c r="L942" s="38" t="n">
        <v>5565000</v>
      </c>
      <c r="M942" s="38" t="n">
        <v>2021530</v>
      </c>
      <c r="N942" s="39" t="n">
        <f aca="false">IF(A942="제외",0,IF(OR(N(L942)&lt;=0,N(M942)&gt;N(L942)),N(M942)/요약!$D$27,N(L942)))</f>
        <v>5565000</v>
      </c>
      <c r="O942" s="32" t="str">
        <f aca="false">IF(A942="제외","",IF(OR(N(L942)&lt;=0,N(M942)&gt;N(L942)),"택가보정(판매금액÷공급율)",""))</f>
        <v/>
      </c>
      <c r="P942" s="0" t="str">
        <f aca="false">IF(A942="HK","100",IF(A942="CN","200",IF(A942="TW","300",IF(ISNUMBER(SEARCH("태국",C942)),"500",IF(ISNUMBER(SEARCH("말레이",C942)),"600",IF(ISNUMBER(SEARCH("필리핀",C942)),"700",IF(ISNUMBER(SEARCH("인도네시아",C942)),"800",IF(ISNUMBER(SEARCH("크루즈",C942)),"810",IF(ISNUMBER(SEARCH("동물원",C942)),"830","")))))))))</f>
        <v>600</v>
      </c>
    </row>
    <row r="943" customFormat="false" ht="15" hidden="false" customHeight="false" outlineLevel="0" collapsed="false">
      <c r="A943" s="32" t="str">
        <f aca="false">IF(OR(TRIM(C943)="",SUBSTITUTE(C943," ","")="소계"),"제외",IF(ISNUMBER(SEARCH("홍콩",C943)),"HK",IF(ISNUMBER(SEARCH("상해",C943)),"CN",IF(ISNUMBER(SEARCH("대만",C943)),"TW","홀세일"))))</f>
        <v>홀세일</v>
      </c>
      <c r="B943" s="36" t="s">
        <v>1262</v>
      </c>
      <c r="C943" s="36" t="s">
        <v>1263</v>
      </c>
      <c r="D943" s="37" t="s">
        <v>123</v>
      </c>
      <c r="E943" s="36" t="n">
        <v>2026</v>
      </c>
      <c r="F943" s="37" t="s">
        <v>101</v>
      </c>
      <c r="G943" s="37" t="s">
        <v>124</v>
      </c>
      <c r="H943" s="36" t="s">
        <v>188</v>
      </c>
      <c r="I943" s="36" t="s">
        <v>203</v>
      </c>
      <c r="J943" s="36" t="s">
        <v>204</v>
      </c>
      <c r="K943" s="38" t="n">
        <v>60</v>
      </c>
      <c r="L943" s="38" t="n">
        <v>11940000</v>
      </c>
      <c r="M943" s="38" t="n">
        <v>4606080</v>
      </c>
      <c r="N943" s="39" t="n">
        <f aca="false">IF(A943="제외",0,IF(OR(N(L943)&lt;=0,N(M943)&gt;N(L943)),N(M943)/요약!$D$27,N(L943)))</f>
        <v>11940000</v>
      </c>
      <c r="O943" s="32" t="str">
        <f aca="false">IF(A943="제외","",IF(OR(N(L943)&lt;=0,N(M943)&gt;N(L943)),"택가보정(판매금액÷공급율)",""))</f>
        <v/>
      </c>
      <c r="P943" s="0" t="str">
        <f aca="false">IF(A943="HK","100",IF(A943="CN","200",IF(A943="TW","300",IF(ISNUMBER(SEARCH("태국",C943)),"500",IF(ISNUMBER(SEARCH("말레이",C943)),"600",IF(ISNUMBER(SEARCH("필리핀",C943)),"700",IF(ISNUMBER(SEARCH("인도네시아",C943)),"800",IF(ISNUMBER(SEARCH("크루즈",C943)),"810",IF(ISNUMBER(SEARCH("동물원",C943)),"830","")))))))))</f>
        <v>600</v>
      </c>
    </row>
    <row r="944" customFormat="false" ht="15" hidden="false" customHeight="false" outlineLevel="0" collapsed="false">
      <c r="A944" s="32" t="str">
        <f aca="false">IF(OR(TRIM(C944)="",SUBSTITUTE(C944," ","")="소계"),"제외",IF(ISNUMBER(SEARCH("홍콩",C944)),"HK",IF(ISNUMBER(SEARCH("상해",C944)),"CN",IF(ISNUMBER(SEARCH("대만",C944)),"TW","홀세일"))))</f>
        <v>홀세일</v>
      </c>
      <c r="B944" s="36" t="s">
        <v>1262</v>
      </c>
      <c r="C944" s="36" t="s">
        <v>1263</v>
      </c>
      <c r="D944" s="37" t="s">
        <v>123</v>
      </c>
      <c r="E944" s="36" t="n">
        <v>2026</v>
      </c>
      <c r="F944" s="37" t="s">
        <v>101</v>
      </c>
      <c r="G944" s="37" t="s">
        <v>124</v>
      </c>
      <c r="H944" s="36" t="s">
        <v>188</v>
      </c>
      <c r="I944" s="36" t="s">
        <v>209</v>
      </c>
      <c r="J944" s="36" t="s">
        <v>210</v>
      </c>
      <c r="K944" s="38" t="n">
        <v>30</v>
      </c>
      <c r="L944" s="38" t="n">
        <v>3570000</v>
      </c>
      <c r="M944" s="38" t="n">
        <v>1320900</v>
      </c>
      <c r="N944" s="39" t="n">
        <f aca="false">IF(A944="제외",0,IF(OR(N(L944)&lt;=0,N(M944)&gt;N(L944)),N(M944)/요약!$D$27,N(L944)))</f>
        <v>3570000</v>
      </c>
      <c r="O944" s="32" t="str">
        <f aca="false">IF(A944="제외","",IF(OR(N(L944)&lt;=0,N(M944)&gt;N(L944)),"택가보정(판매금액÷공급율)",""))</f>
        <v/>
      </c>
      <c r="P944" s="0" t="str">
        <f aca="false">IF(A944="HK","100",IF(A944="CN","200",IF(A944="TW","300",IF(ISNUMBER(SEARCH("태국",C944)),"500",IF(ISNUMBER(SEARCH("말레이",C944)),"600",IF(ISNUMBER(SEARCH("필리핀",C944)),"700",IF(ISNUMBER(SEARCH("인도네시아",C944)),"800",IF(ISNUMBER(SEARCH("크루즈",C944)),"810",IF(ISNUMBER(SEARCH("동물원",C944)),"830","")))))))))</f>
        <v>600</v>
      </c>
    </row>
    <row r="945" customFormat="false" ht="15" hidden="false" customHeight="false" outlineLevel="0" collapsed="false">
      <c r="A945" s="32" t="str">
        <f aca="false">IF(OR(TRIM(C945)="",SUBSTITUTE(C945," ","")="소계"),"제외",IF(ISNUMBER(SEARCH("홍콩",C945)),"HK",IF(ISNUMBER(SEARCH("상해",C945)),"CN",IF(ISNUMBER(SEARCH("대만",C945)),"TW","홀세일"))))</f>
        <v>홀세일</v>
      </c>
      <c r="B945" s="36" t="s">
        <v>1262</v>
      </c>
      <c r="C945" s="36" t="s">
        <v>1263</v>
      </c>
      <c r="D945" s="37" t="s">
        <v>123</v>
      </c>
      <c r="E945" s="36" t="n">
        <v>2026</v>
      </c>
      <c r="F945" s="37" t="s">
        <v>101</v>
      </c>
      <c r="G945" s="37" t="s">
        <v>124</v>
      </c>
      <c r="H945" s="36" t="s">
        <v>188</v>
      </c>
      <c r="I945" s="36" t="s">
        <v>211</v>
      </c>
      <c r="J945" s="36" t="s">
        <v>212</v>
      </c>
      <c r="K945" s="38" t="n">
        <v>40</v>
      </c>
      <c r="L945" s="38" t="n">
        <v>3960000</v>
      </c>
      <c r="M945" s="38" t="n">
        <v>1465680</v>
      </c>
      <c r="N945" s="39" t="n">
        <f aca="false">IF(A945="제외",0,IF(OR(N(L945)&lt;=0,N(M945)&gt;N(L945)),N(M945)/요약!$D$27,N(L945)))</f>
        <v>3960000</v>
      </c>
      <c r="O945" s="32" t="str">
        <f aca="false">IF(A945="제외","",IF(OR(N(L945)&lt;=0,N(M945)&gt;N(L945)),"택가보정(판매금액÷공급율)",""))</f>
        <v/>
      </c>
      <c r="P945" s="0" t="str">
        <f aca="false">IF(A945="HK","100",IF(A945="CN","200",IF(A945="TW","300",IF(ISNUMBER(SEARCH("태국",C945)),"500",IF(ISNUMBER(SEARCH("말레이",C945)),"600",IF(ISNUMBER(SEARCH("필리핀",C945)),"700",IF(ISNUMBER(SEARCH("인도네시아",C945)),"800",IF(ISNUMBER(SEARCH("크루즈",C945)),"810",IF(ISNUMBER(SEARCH("동물원",C945)),"830","")))))))))</f>
        <v>600</v>
      </c>
    </row>
    <row r="946" customFormat="false" ht="15" hidden="false" customHeight="false" outlineLevel="0" collapsed="false">
      <c r="A946" s="32" t="str">
        <f aca="false">IF(OR(TRIM(C946)="",SUBSTITUTE(C946," ","")="소계"),"제외",IF(ISNUMBER(SEARCH("홍콩",C946)),"HK",IF(ISNUMBER(SEARCH("상해",C946)),"CN",IF(ISNUMBER(SEARCH("대만",C946)),"TW","홀세일"))))</f>
        <v>홀세일</v>
      </c>
      <c r="B946" s="36" t="s">
        <v>1262</v>
      </c>
      <c r="C946" s="36" t="s">
        <v>1263</v>
      </c>
      <c r="D946" s="37" t="s">
        <v>123</v>
      </c>
      <c r="E946" s="36" t="n">
        <v>2026</v>
      </c>
      <c r="F946" s="37" t="s">
        <v>101</v>
      </c>
      <c r="G946" s="37" t="s">
        <v>124</v>
      </c>
      <c r="H946" s="36" t="s">
        <v>188</v>
      </c>
      <c r="I946" s="36" t="s">
        <v>215</v>
      </c>
      <c r="J946" s="36" t="s">
        <v>216</v>
      </c>
      <c r="K946" s="38" t="n">
        <v>30</v>
      </c>
      <c r="L946" s="38" t="n">
        <v>2970000</v>
      </c>
      <c r="M946" s="38" t="n">
        <v>1099260</v>
      </c>
      <c r="N946" s="39" t="n">
        <f aca="false">IF(A946="제외",0,IF(OR(N(L946)&lt;=0,N(M946)&gt;N(L946)),N(M946)/요약!$D$27,N(L946)))</f>
        <v>2970000</v>
      </c>
      <c r="O946" s="32" t="str">
        <f aca="false">IF(A946="제외","",IF(OR(N(L946)&lt;=0,N(M946)&gt;N(L946)),"택가보정(판매금액÷공급율)",""))</f>
        <v/>
      </c>
      <c r="P946" s="0" t="str">
        <f aca="false">IF(A946="HK","100",IF(A946="CN","200",IF(A946="TW","300",IF(ISNUMBER(SEARCH("태국",C946)),"500",IF(ISNUMBER(SEARCH("말레이",C946)),"600",IF(ISNUMBER(SEARCH("필리핀",C946)),"700",IF(ISNUMBER(SEARCH("인도네시아",C946)),"800",IF(ISNUMBER(SEARCH("크루즈",C946)),"810",IF(ISNUMBER(SEARCH("동물원",C946)),"830","")))))))))</f>
        <v>600</v>
      </c>
    </row>
    <row r="947" customFormat="false" ht="15" hidden="false" customHeight="false" outlineLevel="0" collapsed="false">
      <c r="A947" s="32" t="str">
        <f aca="false">IF(OR(TRIM(C947)="",SUBSTITUTE(C947," ","")="소계"),"제외",IF(ISNUMBER(SEARCH("홍콩",C947)),"HK",IF(ISNUMBER(SEARCH("상해",C947)),"CN",IF(ISNUMBER(SEARCH("대만",C947)),"TW","홀세일"))))</f>
        <v>홀세일</v>
      </c>
      <c r="B947" s="36" t="s">
        <v>1262</v>
      </c>
      <c r="C947" s="36" t="s">
        <v>1263</v>
      </c>
      <c r="D947" s="37" t="s">
        <v>123</v>
      </c>
      <c r="E947" s="36" t="n">
        <v>2026</v>
      </c>
      <c r="F947" s="37" t="s">
        <v>101</v>
      </c>
      <c r="G947" s="37" t="s">
        <v>124</v>
      </c>
      <c r="H947" s="36" t="s">
        <v>188</v>
      </c>
      <c r="I947" s="36" t="s">
        <v>1282</v>
      </c>
      <c r="J947" s="36" t="s">
        <v>1283</v>
      </c>
      <c r="K947" s="38" t="n">
        <v>30</v>
      </c>
      <c r="L947" s="38" t="n">
        <v>2070000</v>
      </c>
      <c r="M947" s="38" t="n">
        <v>766830</v>
      </c>
      <c r="N947" s="39" t="n">
        <f aca="false">IF(A947="제외",0,IF(OR(N(L947)&lt;=0,N(M947)&gt;N(L947)),N(M947)/요약!$D$27,N(L947)))</f>
        <v>2070000</v>
      </c>
      <c r="O947" s="32" t="str">
        <f aca="false">IF(A947="제외","",IF(OR(N(L947)&lt;=0,N(M947)&gt;N(L947)),"택가보정(판매금액÷공급율)",""))</f>
        <v/>
      </c>
      <c r="P947" s="0" t="str">
        <f aca="false">IF(A947="HK","100",IF(A947="CN","200",IF(A947="TW","300",IF(ISNUMBER(SEARCH("태국",C947)),"500",IF(ISNUMBER(SEARCH("말레이",C947)),"600",IF(ISNUMBER(SEARCH("필리핀",C947)),"700",IF(ISNUMBER(SEARCH("인도네시아",C947)),"800",IF(ISNUMBER(SEARCH("크루즈",C947)),"810",IF(ISNUMBER(SEARCH("동물원",C947)),"830","")))))))))</f>
        <v>600</v>
      </c>
    </row>
    <row r="948" customFormat="false" ht="15" hidden="false" customHeight="false" outlineLevel="0" collapsed="false">
      <c r="A948" s="32" t="str">
        <f aca="false">IF(OR(TRIM(C948)="",SUBSTITUTE(C948," ","")="소계"),"제외",IF(ISNUMBER(SEARCH("홍콩",C948)),"HK",IF(ISNUMBER(SEARCH("상해",C948)),"CN",IF(ISNUMBER(SEARCH("대만",C948)),"TW","홀세일"))))</f>
        <v>홀세일</v>
      </c>
      <c r="B948" s="36" t="s">
        <v>1262</v>
      </c>
      <c r="C948" s="36" t="s">
        <v>1263</v>
      </c>
      <c r="D948" s="37" t="s">
        <v>123</v>
      </c>
      <c r="E948" s="36" t="n">
        <v>2026</v>
      </c>
      <c r="F948" s="37" t="s">
        <v>219</v>
      </c>
      <c r="G948" s="37" t="s">
        <v>102</v>
      </c>
      <c r="H948" s="36" t="s">
        <v>131</v>
      </c>
      <c r="I948" s="36" t="s">
        <v>1284</v>
      </c>
      <c r="J948" s="37" t="s">
        <v>1285</v>
      </c>
      <c r="K948" s="38" t="n">
        <v>10</v>
      </c>
      <c r="L948" s="38" t="n">
        <v>450000</v>
      </c>
      <c r="M948" s="38" t="n">
        <v>177130</v>
      </c>
      <c r="N948" s="39" t="n">
        <f aca="false">IF(A948="제외",0,IF(OR(N(L948)&lt;=0,N(M948)&gt;N(L948)),N(M948)/요약!$D$27,N(L948)))</f>
        <v>450000</v>
      </c>
      <c r="O948" s="32" t="str">
        <f aca="false">IF(A948="제외","",IF(OR(N(L948)&lt;=0,N(M948)&gt;N(L948)),"택가보정(판매금액÷공급율)",""))</f>
        <v/>
      </c>
      <c r="P948" s="0" t="str">
        <f aca="false">IF(A948="HK","100",IF(A948="CN","200",IF(A948="TW","300",IF(ISNUMBER(SEARCH("태국",C948)),"500",IF(ISNUMBER(SEARCH("말레이",C948)),"600",IF(ISNUMBER(SEARCH("필리핀",C948)),"700",IF(ISNUMBER(SEARCH("인도네시아",C948)),"800",IF(ISNUMBER(SEARCH("크루즈",C948)),"810",IF(ISNUMBER(SEARCH("동물원",C948)),"830","")))))))))</f>
        <v>600</v>
      </c>
    </row>
    <row r="949" customFormat="false" ht="15" hidden="false" customHeight="false" outlineLevel="0" collapsed="false">
      <c r="A949" s="32" t="str">
        <f aca="false">IF(OR(TRIM(C949)="",SUBSTITUTE(C949," ","")="소계"),"제외",IF(ISNUMBER(SEARCH("홍콩",C949)),"HK",IF(ISNUMBER(SEARCH("상해",C949)),"CN",IF(ISNUMBER(SEARCH("대만",C949)),"TW","홀세일"))))</f>
        <v>홀세일</v>
      </c>
      <c r="B949" s="36" t="s">
        <v>1262</v>
      </c>
      <c r="C949" s="36" t="s">
        <v>1263</v>
      </c>
      <c r="D949" s="37" t="s">
        <v>123</v>
      </c>
      <c r="E949" s="36" t="n">
        <v>2026</v>
      </c>
      <c r="F949" s="37" t="s">
        <v>219</v>
      </c>
      <c r="G949" s="37" t="s">
        <v>102</v>
      </c>
      <c r="H949" s="36" t="s">
        <v>131</v>
      </c>
      <c r="I949" s="36" t="s">
        <v>1037</v>
      </c>
      <c r="J949" s="36" t="s">
        <v>1038</v>
      </c>
      <c r="K949" s="38" t="n">
        <v>10</v>
      </c>
      <c r="L949" s="38" t="n">
        <v>650000</v>
      </c>
      <c r="M949" s="38" t="n">
        <v>255370</v>
      </c>
      <c r="N949" s="39" t="n">
        <f aca="false">IF(A949="제외",0,IF(OR(N(L949)&lt;=0,N(M949)&gt;N(L949)),N(M949)/요약!$D$27,N(L949)))</f>
        <v>650000</v>
      </c>
      <c r="O949" s="32" t="str">
        <f aca="false">IF(A949="제외","",IF(OR(N(L949)&lt;=0,N(M949)&gt;N(L949)),"택가보정(판매금액÷공급율)",""))</f>
        <v/>
      </c>
      <c r="P949" s="0" t="str">
        <f aca="false">IF(A949="HK","100",IF(A949="CN","200",IF(A949="TW","300",IF(ISNUMBER(SEARCH("태국",C949)),"500",IF(ISNUMBER(SEARCH("말레이",C949)),"600",IF(ISNUMBER(SEARCH("필리핀",C949)),"700",IF(ISNUMBER(SEARCH("인도네시아",C949)),"800",IF(ISNUMBER(SEARCH("크루즈",C949)),"810",IF(ISNUMBER(SEARCH("동물원",C949)),"830","")))))))))</f>
        <v>600</v>
      </c>
    </row>
    <row r="950" customFormat="false" ht="15" hidden="false" customHeight="false" outlineLevel="0" collapsed="false">
      <c r="A950" s="32" t="str">
        <f aca="false">IF(OR(TRIM(C950)="",SUBSTITUTE(C950," ","")="소계"),"제외",IF(ISNUMBER(SEARCH("홍콩",C950)),"HK",IF(ISNUMBER(SEARCH("상해",C950)),"CN",IF(ISNUMBER(SEARCH("대만",C950)),"TW","홀세일"))))</f>
        <v>홀세일</v>
      </c>
      <c r="B950" s="36" t="s">
        <v>1262</v>
      </c>
      <c r="C950" s="36" t="s">
        <v>1263</v>
      </c>
      <c r="D950" s="37" t="s">
        <v>123</v>
      </c>
      <c r="E950" s="36" t="n">
        <v>2026</v>
      </c>
      <c r="F950" s="37" t="s">
        <v>219</v>
      </c>
      <c r="G950" s="37" t="s">
        <v>124</v>
      </c>
      <c r="H950" s="36" t="s">
        <v>131</v>
      </c>
      <c r="I950" s="36" t="s">
        <v>1286</v>
      </c>
      <c r="J950" s="36" t="s">
        <v>1287</v>
      </c>
      <c r="K950" s="38" t="n">
        <v>75</v>
      </c>
      <c r="L950" s="38" t="n">
        <v>5925000</v>
      </c>
      <c r="M950" s="38" t="n">
        <v>2187525</v>
      </c>
      <c r="N950" s="39" t="n">
        <f aca="false">IF(A950="제외",0,IF(OR(N(L950)&lt;=0,N(M950)&gt;N(L950)),N(M950)/요약!$D$27,N(L950)))</f>
        <v>5925000</v>
      </c>
      <c r="O950" s="32" t="str">
        <f aca="false">IF(A950="제외","",IF(OR(N(L950)&lt;=0,N(M950)&gt;N(L950)),"택가보정(판매금액÷공급율)",""))</f>
        <v/>
      </c>
      <c r="P950" s="0" t="str">
        <f aca="false">IF(A950="HK","100",IF(A950="CN","200",IF(A950="TW","300",IF(ISNUMBER(SEARCH("태국",C950)),"500",IF(ISNUMBER(SEARCH("말레이",C950)),"600",IF(ISNUMBER(SEARCH("필리핀",C950)),"700",IF(ISNUMBER(SEARCH("인도네시아",C950)),"800",IF(ISNUMBER(SEARCH("크루즈",C950)),"810",IF(ISNUMBER(SEARCH("동물원",C950)),"830","")))))))))</f>
        <v>600</v>
      </c>
    </row>
    <row r="951" customFormat="false" ht="15" hidden="false" customHeight="false" outlineLevel="0" collapsed="false">
      <c r="A951" s="32" t="str">
        <f aca="false">IF(OR(TRIM(C951)="",SUBSTITUTE(C951," ","")="소계"),"제외",IF(ISNUMBER(SEARCH("홍콩",C951)),"HK",IF(ISNUMBER(SEARCH("상해",C951)),"CN",IF(ISNUMBER(SEARCH("대만",C951)),"TW","홀세일"))))</f>
        <v>홀세일</v>
      </c>
      <c r="B951" s="36" t="s">
        <v>1262</v>
      </c>
      <c r="C951" s="36" t="s">
        <v>1263</v>
      </c>
      <c r="D951" s="37" t="s">
        <v>123</v>
      </c>
      <c r="E951" s="36" t="n">
        <v>2026</v>
      </c>
      <c r="F951" s="37" t="s">
        <v>219</v>
      </c>
      <c r="G951" s="37" t="s">
        <v>124</v>
      </c>
      <c r="H951" s="36" t="s">
        <v>131</v>
      </c>
      <c r="I951" s="36" t="s">
        <v>806</v>
      </c>
      <c r="J951" s="37" t="s">
        <v>807</v>
      </c>
      <c r="K951" s="38" t="n">
        <v>80</v>
      </c>
      <c r="L951" s="38" t="n">
        <v>12720000</v>
      </c>
      <c r="M951" s="38" t="n">
        <v>4595760</v>
      </c>
      <c r="N951" s="39" t="n">
        <f aca="false">IF(A951="제외",0,IF(OR(N(L951)&lt;=0,N(M951)&gt;N(L951)),N(M951)/요약!$D$27,N(L951)))</f>
        <v>12720000</v>
      </c>
      <c r="O951" s="32" t="str">
        <f aca="false">IF(A951="제외","",IF(OR(N(L951)&lt;=0,N(M951)&gt;N(L951)),"택가보정(판매금액÷공급율)",""))</f>
        <v/>
      </c>
      <c r="P951" s="0" t="str">
        <f aca="false">IF(A951="HK","100",IF(A951="CN","200",IF(A951="TW","300",IF(ISNUMBER(SEARCH("태국",C951)),"500",IF(ISNUMBER(SEARCH("말레이",C951)),"600",IF(ISNUMBER(SEARCH("필리핀",C951)),"700",IF(ISNUMBER(SEARCH("인도네시아",C951)),"800",IF(ISNUMBER(SEARCH("크루즈",C951)),"810",IF(ISNUMBER(SEARCH("동물원",C951)),"830","")))))))))</f>
        <v>600</v>
      </c>
    </row>
    <row r="952" customFormat="false" ht="15" hidden="false" customHeight="false" outlineLevel="0" collapsed="false">
      <c r="A952" s="32" t="str">
        <f aca="false">IF(OR(TRIM(C952)="",SUBSTITUTE(C952," ","")="소계"),"제외",IF(ISNUMBER(SEARCH("홍콩",C952)),"HK",IF(ISNUMBER(SEARCH("상해",C952)),"CN",IF(ISNUMBER(SEARCH("대만",C952)),"TW","홀세일"))))</f>
        <v>홀세일</v>
      </c>
      <c r="B952" s="36" t="s">
        <v>1262</v>
      </c>
      <c r="C952" s="36" t="s">
        <v>1263</v>
      </c>
      <c r="D952" s="37" t="s">
        <v>123</v>
      </c>
      <c r="E952" s="36" t="n">
        <v>2026</v>
      </c>
      <c r="F952" s="37" t="s">
        <v>219</v>
      </c>
      <c r="G952" s="37" t="s">
        <v>124</v>
      </c>
      <c r="H952" s="36" t="s">
        <v>131</v>
      </c>
      <c r="I952" s="36" t="s">
        <v>1041</v>
      </c>
      <c r="J952" s="36" t="s">
        <v>1042</v>
      </c>
      <c r="K952" s="38" t="n">
        <v>15</v>
      </c>
      <c r="L952" s="38" t="n">
        <v>3285000</v>
      </c>
      <c r="M952" s="38" t="n">
        <v>1266900</v>
      </c>
      <c r="N952" s="39" t="n">
        <f aca="false">IF(A952="제외",0,IF(OR(N(L952)&lt;=0,N(M952)&gt;N(L952)),N(M952)/요약!$D$27,N(L952)))</f>
        <v>3285000</v>
      </c>
      <c r="O952" s="32" t="str">
        <f aca="false">IF(A952="제외","",IF(OR(N(L952)&lt;=0,N(M952)&gt;N(L952)),"택가보정(판매금액÷공급율)",""))</f>
        <v/>
      </c>
      <c r="P952" s="0" t="str">
        <f aca="false">IF(A952="HK","100",IF(A952="CN","200",IF(A952="TW","300",IF(ISNUMBER(SEARCH("태국",C952)),"500",IF(ISNUMBER(SEARCH("말레이",C952)),"600",IF(ISNUMBER(SEARCH("필리핀",C952)),"700",IF(ISNUMBER(SEARCH("인도네시아",C952)),"800",IF(ISNUMBER(SEARCH("크루즈",C952)),"810",IF(ISNUMBER(SEARCH("동물원",C952)),"830","")))))))))</f>
        <v>600</v>
      </c>
    </row>
    <row r="953" customFormat="false" ht="15" hidden="false" customHeight="false" outlineLevel="0" collapsed="false">
      <c r="A953" s="32" t="str">
        <f aca="false">IF(OR(TRIM(C953)="",SUBSTITUTE(C953," ","")="소계"),"제외",IF(ISNUMBER(SEARCH("홍콩",C953)),"HK",IF(ISNUMBER(SEARCH("상해",C953)),"CN",IF(ISNUMBER(SEARCH("대만",C953)),"TW","홀세일"))))</f>
        <v>홀세일</v>
      </c>
      <c r="B953" s="36" t="s">
        <v>1262</v>
      </c>
      <c r="C953" s="36" t="s">
        <v>1263</v>
      </c>
      <c r="D953" s="37" t="s">
        <v>123</v>
      </c>
      <c r="E953" s="36" t="n">
        <v>2026</v>
      </c>
      <c r="F953" s="37" t="s">
        <v>219</v>
      </c>
      <c r="G953" s="37" t="s">
        <v>124</v>
      </c>
      <c r="H953" s="36" t="s">
        <v>131</v>
      </c>
      <c r="I953" s="36" t="s">
        <v>814</v>
      </c>
      <c r="J953" s="36" t="s">
        <v>815</v>
      </c>
      <c r="K953" s="38" t="n">
        <v>15</v>
      </c>
      <c r="L953" s="38" t="n">
        <v>2985000</v>
      </c>
      <c r="M953" s="38" t="n">
        <v>1151520</v>
      </c>
      <c r="N953" s="39" t="n">
        <f aca="false">IF(A953="제외",0,IF(OR(N(L953)&lt;=0,N(M953)&gt;N(L953)),N(M953)/요약!$D$27,N(L953)))</f>
        <v>2985000</v>
      </c>
      <c r="O953" s="32" t="str">
        <f aca="false">IF(A953="제외","",IF(OR(N(L953)&lt;=0,N(M953)&gt;N(L953)),"택가보정(판매금액÷공급율)",""))</f>
        <v/>
      </c>
      <c r="P953" s="0" t="str">
        <f aca="false">IF(A953="HK","100",IF(A953="CN","200",IF(A953="TW","300",IF(ISNUMBER(SEARCH("태국",C953)),"500",IF(ISNUMBER(SEARCH("말레이",C953)),"600",IF(ISNUMBER(SEARCH("필리핀",C953)),"700",IF(ISNUMBER(SEARCH("인도네시아",C953)),"800",IF(ISNUMBER(SEARCH("크루즈",C953)),"810",IF(ISNUMBER(SEARCH("동물원",C953)),"830","")))))))))</f>
        <v>600</v>
      </c>
    </row>
    <row r="954" customFormat="false" ht="15" hidden="false" customHeight="false" outlineLevel="0" collapsed="false">
      <c r="A954" s="32" t="str">
        <f aca="false">IF(OR(TRIM(C954)="",SUBSTITUTE(C954," ","")="소계"),"제외",IF(ISNUMBER(SEARCH("홍콩",C954)),"HK",IF(ISNUMBER(SEARCH("상해",C954)),"CN",IF(ISNUMBER(SEARCH("대만",C954)),"TW","홀세일"))))</f>
        <v>홀세일</v>
      </c>
      <c r="B954" s="36" t="s">
        <v>1262</v>
      </c>
      <c r="C954" s="36" t="s">
        <v>1263</v>
      </c>
      <c r="D954" s="37" t="s">
        <v>123</v>
      </c>
      <c r="E954" s="36" t="n">
        <v>2026</v>
      </c>
      <c r="F954" s="37" t="s">
        <v>219</v>
      </c>
      <c r="G954" s="37" t="s">
        <v>124</v>
      </c>
      <c r="H954" s="36" t="s">
        <v>125</v>
      </c>
      <c r="I954" s="36" t="s">
        <v>228</v>
      </c>
      <c r="J954" s="37" t="s">
        <v>229</v>
      </c>
      <c r="K954" s="38" t="n">
        <v>90</v>
      </c>
      <c r="L954" s="38" t="n">
        <v>8010000</v>
      </c>
      <c r="M954" s="38" t="n">
        <v>2967930</v>
      </c>
      <c r="N954" s="39" t="n">
        <f aca="false">IF(A954="제외",0,IF(OR(N(L954)&lt;=0,N(M954)&gt;N(L954)),N(M954)/요약!$D$27,N(L954)))</f>
        <v>8010000</v>
      </c>
      <c r="O954" s="32" t="str">
        <f aca="false">IF(A954="제외","",IF(OR(N(L954)&lt;=0,N(M954)&gt;N(L954)),"택가보정(판매금액÷공급율)",""))</f>
        <v/>
      </c>
      <c r="P954" s="0" t="str">
        <f aca="false">IF(A954="HK","100",IF(A954="CN","200",IF(A954="TW","300",IF(ISNUMBER(SEARCH("태국",C954)),"500",IF(ISNUMBER(SEARCH("말레이",C954)),"600",IF(ISNUMBER(SEARCH("필리핀",C954)),"700",IF(ISNUMBER(SEARCH("인도네시아",C954)),"800",IF(ISNUMBER(SEARCH("크루즈",C954)),"810",IF(ISNUMBER(SEARCH("동물원",C954)),"830","")))))))))</f>
        <v>600</v>
      </c>
    </row>
    <row r="955" customFormat="false" ht="15" hidden="false" customHeight="false" outlineLevel="0" collapsed="false">
      <c r="A955" s="32" t="str">
        <f aca="false">IF(OR(TRIM(C955)="",SUBSTITUTE(C955," ","")="소계"),"제외",IF(ISNUMBER(SEARCH("홍콩",C955)),"HK",IF(ISNUMBER(SEARCH("상해",C955)),"CN",IF(ISNUMBER(SEARCH("대만",C955)),"TW","홀세일"))))</f>
        <v>홀세일</v>
      </c>
      <c r="B955" s="36" t="s">
        <v>1262</v>
      </c>
      <c r="C955" s="36" t="s">
        <v>1263</v>
      </c>
      <c r="D955" s="37" t="s">
        <v>123</v>
      </c>
      <c r="E955" s="36" t="n">
        <v>2026</v>
      </c>
      <c r="F955" s="37" t="s">
        <v>219</v>
      </c>
      <c r="G955" s="37" t="s">
        <v>124</v>
      </c>
      <c r="H955" s="36" t="s">
        <v>125</v>
      </c>
      <c r="I955" s="36" t="s">
        <v>230</v>
      </c>
      <c r="J955" s="37" t="s">
        <v>231</v>
      </c>
      <c r="K955" s="38" t="n">
        <v>55</v>
      </c>
      <c r="L955" s="38" t="n">
        <v>5995000</v>
      </c>
      <c r="M955" s="38" t="n">
        <v>2211880</v>
      </c>
      <c r="N955" s="39" t="n">
        <f aca="false">IF(A955="제외",0,IF(OR(N(L955)&lt;=0,N(M955)&gt;N(L955)),N(M955)/요약!$D$27,N(L955)))</f>
        <v>5995000</v>
      </c>
      <c r="O955" s="32" t="str">
        <f aca="false">IF(A955="제외","",IF(OR(N(L955)&lt;=0,N(M955)&gt;N(L955)),"택가보정(판매금액÷공급율)",""))</f>
        <v/>
      </c>
      <c r="P955" s="0" t="str">
        <f aca="false">IF(A955="HK","100",IF(A955="CN","200",IF(A955="TW","300",IF(ISNUMBER(SEARCH("태국",C955)),"500",IF(ISNUMBER(SEARCH("말레이",C955)),"600",IF(ISNUMBER(SEARCH("필리핀",C955)),"700",IF(ISNUMBER(SEARCH("인도네시아",C955)),"800",IF(ISNUMBER(SEARCH("크루즈",C955)),"810",IF(ISNUMBER(SEARCH("동물원",C955)),"830","")))))))))</f>
        <v>600</v>
      </c>
    </row>
    <row r="956" customFormat="false" ht="15" hidden="false" customHeight="false" outlineLevel="0" collapsed="false">
      <c r="A956" s="32" t="str">
        <f aca="false">IF(OR(TRIM(C956)="",SUBSTITUTE(C956," ","")="소계"),"제외",IF(ISNUMBER(SEARCH("홍콩",C956)),"HK",IF(ISNUMBER(SEARCH("상해",C956)),"CN",IF(ISNUMBER(SEARCH("대만",C956)),"TW","홀세일"))))</f>
        <v>홀세일</v>
      </c>
      <c r="B956" s="36" t="s">
        <v>1262</v>
      </c>
      <c r="C956" s="36" t="s">
        <v>1263</v>
      </c>
      <c r="D956" s="37" t="s">
        <v>123</v>
      </c>
      <c r="E956" s="36" t="n">
        <v>2026</v>
      </c>
      <c r="F956" s="37" t="s">
        <v>219</v>
      </c>
      <c r="G956" s="37" t="s">
        <v>124</v>
      </c>
      <c r="H956" s="36" t="s">
        <v>131</v>
      </c>
      <c r="I956" s="36" t="s">
        <v>1288</v>
      </c>
      <c r="J956" s="37" t="s">
        <v>1289</v>
      </c>
      <c r="K956" s="38" t="n">
        <v>40</v>
      </c>
      <c r="L956" s="38" t="n">
        <v>4360000</v>
      </c>
      <c r="M956" s="38" t="n">
        <v>1608640</v>
      </c>
      <c r="N956" s="39" t="n">
        <f aca="false">IF(A956="제외",0,IF(OR(N(L956)&lt;=0,N(M956)&gt;N(L956)),N(M956)/요약!$D$27,N(L956)))</f>
        <v>4360000</v>
      </c>
      <c r="O956" s="32" t="str">
        <f aca="false">IF(A956="제외","",IF(OR(N(L956)&lt;=0,N(M956)&gt;N(L956)),"택가보정(판매금액÷공급율)",""))</f>
        <v/>
      </c>
      <c r="P956" s="0" t="str">
        <f aca="false">IF(A956="HK","100",IF(A956="CN","200",IF(A956="TW","300",IF(ISNUMBER(SEARCH("태국",C956)),"500",IF(ISNUMBER(SEARCH("말레이",C956)),"600",IF(ISNUMBER(SEARCH("필리핀",C956)),"700",IF(ISNUMBER(SEARCH("인도네시아",C956)),"800",IF(ISNUMBER(SEARCH("크루즈",C956)),"810",IF(ISNUMBER(SEARCH("동물원",C956)),"830","")))))))))</f>
        <v>600</v>
      </c>
    </row>
    <row r="957" customFormat="false" ht="15" hidden="false" customHeight="false" outlineLevel="0" collapsed="false">
      <c r="A957" s="32" t="str">
        <f aca="false">IF(OR(TRIM(C957)="",SUBSTITUTE(C957," ","")="소계"),"제외",IF(ISNUMBER(SEARCH("홍콩",C957)),"HK",IF(ISNUMBER(SEARCH("상해",C957)),"CN",IF(ISNUMBER(SEARCH("대만",C957)),"TW","홀세일"))))</f>
        <v>홀세일</v>
      </c>
      <c r="B957" s="36" t="s">
        <v>1262</v>
      </c>
      <c r="C957" s="36" t="s">
        <v>1263</v>
      </c>
      <c r="D957" s="37" t="s">
        <v>123</v>
      </c>
      <c r="E957" s="36" t="n">
        <v>2026</v>
      </c>
      <c r="F957" s="37" t="s">
        <v>219</v>
      </c>
      <c r="G957" s="37" t="s">
        <v>124</v>
      </c>
      <c r="H957" s="36" t="s">
        <v>131</v>
      </c>
      <c r="I957" s="36" t="s">
        <v>1290</v>
      </c>
      <c r="J957" s="37" t="s">
        <v>1291</v>
      </c>
      <c r="K957" s="38" t="n">
        <v>10</v>
      </c>
      <c r="L957" s="38" t="n">
        <v>1090000</v>
      </c>
      <c r="M957" s="38" t="n">
        <v>402160</v>
      </c>
      <c r="N957" s="39" t="n">
        <f aca="false">IF(A957="제외",0,IF(OR(N(L957)&lt;=0,N(M957)&gt;N(L957)),N(M957)/요약!$D$27,N(L957)))</f>
        <v>1090000</v>
      </c>
      <c r="O957" s="32" t="str">
        <f aca="false">IF(A957="제외","",IF(OR(N(L957)&lt;=0,N(M957)&gt;N(L957)),"택가보정(판매금액÷공급율)",""))</f>
        <v/>
      </c>
      <c r="P957" s="0" t="str">
        <f aca="false">IF(A957="HK","100",IF(A957="CN","200",IF(A957="TW","300",IF(ISNUMBER(SEARCH("태국",C957)),"500",IF(ISNUMBER(SEARCH("말레이",C957)),"600",IF(ISNUMBER(SEARCH("필리핀",C957)),"700",IF(ISNUMBER(SEARCH("인도네시아",C957)),"800",IF(ISNUMBER(SEARCH("크루즈",C957)),"810",IF(ISNUMBER(SEARCH("동물원",C957)),"830","")))))))))</f>
        <v>600</v>
      </c>
    </row>
    <row r="958" customFormat="false" ht="15" hidden="false" customHeight="false" outlineLevel="0" collapsed="false">
      <c r="A958" s="32" t="str">
        <f aca="false">IF(OR(TRIM(C958)="",SUBSTITUTE(C958," ","")="소계"),"제외",IF(ISNUMBER(SEARCH("홍콩",C958)),"HK",IF(ISNUMBER(SEARCH("상해",C958)),"CN",IF(ISNUMBER(SEARCH("대만",C958)),"TW","홀세일"))))</f>
        <v>홀세일</v>
      </c>
      <c r="B958" s="36" t="s">
        <v>1262</v>
      </c>
      <c r="C958" s="36" t="s">
        <v>1263</v>
      </c>
      <c r="D958" s="37" t="s">
        <v>123</v>
      </c>
      <c r="E958" s="36" t="n">
        <v>2026</v>
      </c>
      <c r="F958" s="37" t="s">
        <v>219</v>
      </c>
      <c r="G958" s="37" t="s">
        <v>124</v>
      </c>
      <c r="H958" s="36" t="s">
        <v>125</v>
      </c>
      <c r="I958" s="36" t="s">
        <v>232</v>
      </c>
      <c r="J958" s="37" t="s">
        <v>233</v>
      </c>
      <c r="K958" s="38" t="n">
        <v>35</v>
      </c>
      <c r="L958" s="38" t="n">
        <v>5215000</v>
      </c>
      <c r="M958" s="38" t="n">
        <v>1923145</v>
      </c>
      <c r="N958" s="39" t="n">
        <f aca="false">IF(A958="제외",0,IF(OR(N(L958)&lt;=0,N(M958)&gt;N(L958)),N(M958)/요약!$D$27,N(L958)))</f>
        <v>5215000</v>
      </c>
      <c r="O958" s="32" t="str">
        <f aca="false">IF(A958="제외","",IF(OR(N(L958)&lt;=0,N(M958)&gt;N(L958)),"택가보정(판매금액÷공급율)",""))</f>
        <v/>
      </c>
      <c r="P958" s="0" t="str">
        <f aca="false">IF(A958="HK","100",IF(A958="CN","200",IF(A958="TW","300",IF(ISNUMBER(SEARCH("태국",C958)),"500",IF(ISNUMBER(SEARCH("말레이",C958)),"600",IF(ISNUMBER(SEARCH("필리핀",C958)),"700",IF(ISNUMBER(SEARCH("인도네시아",C958)),"800",IF(ISNUMBER(SEARCH("크루즈",C958)),"810",IF(ISNUMBER(SEARCH("동물원",C958)),"830","")))))))))</f>
        <v>600</v>
      </c>
    </row>
    <row r="959" customFormat="false" ht="15" hidden="false" customHeight="false" outlineLevel="0" collapsed="false">
      <c r="A959" s="32" t="str">
        <f aca="false">IF(OR(TRIM(C959)="",SUBSTITUTE(C959," ","")="소계"),"제외",IF(ISNUMBER(SEARCH("홍콩",C959)),"HK",IF(ISNUMBER(SEARCH("상해",C959)),"CN",IF(ISNUMBER(SEARCH("대만",C959)),"TW","홀세일"))))</f>
        <v>홀세일</v>
      </c>
      <c r="B959" s="36" t="s">
        <v>1262</v>
      </c>
      <c r="C959" s="36" t="s">
        <v>1263</v>
      </c>
      <c r="D959" s="37" t="s">
        <v>123</v>
      </c>
      <c r="E959" s="36" t="n">
        <v>2026</v>
      </c>
      <c r="F959" s="37" t="s">
        <v>219</v>
      </c>
      <c r="G959" s="37" t="s">
        <v>124</v>
      </c>
      <c r="H959" s="36" t="s">
        <v>131</v>
      </c>
      <c r="I959" s="36" t="s">
        <v>234</v>
      </c>
      <c r="J959" s="37" t="s">
        <v>235</v>
      </c>
      <c r="K959" s="38" t="n">
        <v>60</v>
      </c>
      <c r="L959" s="38" t="n">
        <v>3540000</v>
      </c>
      <c r="M959" s="38" t="n">
        <v>1310760</v>
      </c>
      <c r="N959" s="39" t="n">
        <f aca="false">IF(A959="제외",0,IF(OR(N(L959)&lt;=0,N(M959)&gt;N(L959)),N(M959)/요약!$D$27,N(L959)))</f>
        <v>3540000</v>
      </c>
      <c r="O959" s="32" t="str">
        <f aca="false">IF(A959="제외","",IF(OR(N(L959)&lt;=0,N(M959)&gt;N(L959)),"택가보정(판매금액÷공급율)",""))</f>
        <v/>
      </c>
      <c r="P959" s="0" t="str">
        <f aca="false">IF(A959="HK","100",IF(A959="CN","200",IF(A959="TW","300",IF(ISNUMBER(SEARCH("태국",C959)),"500",IF(ISNUMBER(SEARCH("말레이",C959)),"600",IF(ISNUMBER(SEARCH("필리핀",C959)),"700",IF(ISNUMBER(SEARCH("인도네시아",C959)),"800",IF(ISNUMBER(SEARCH("크루즈",C959)),"810",IF(ISNUMBER(SEARCH("동물원",C959)),"830","")))))))))</f>
        <v>600</v>
      </c>
    </row>
    <row r="960" customFormat="false" ht="15" hidden="false" customHeight="false" outlineLevel="0" collapsed="false">
      <c r="A960" s="32" t="str">
        <f aca="false">IF(OR(TRIM(C960)="",SUBSTITUTE(C960," ","")="소계"),"제외",IF(ISNUMBER(SEARCH("홍콩",C960)),"HK",IF(ISNUMBER(SEARCH("상해",C960)),"CN",IF(ISNUMBER(SEARCH("대만",C960)),"TW","홀세일"))))</f>
        <v>홀세일</v>
      </c>
      <c r="B960" s="36" t="s">
        <v>1262</v>
      </c>
      <c r="C960" s="36" t="s">
        <v>1263</v>
      </c>
      <c r="D960" s="37" t="s">
        <v>123</v>
      </c>
      <c r="E960" s="36" t="n">
        <v>2026</v>
      </c>
      <c r="F960" s="37" t="s">
        <v>219</v>
      </c>
      <c r="G960" s="37" t="s">
        <v>124</v>
      </c>
      <c r="H960" s="36" t="s">
        <v>131</v>
      </c>
      <c r="I960" s="36" t="s">
        <v>240</v>
      </c>
      <c r="J960" s="36" t="s">
        <v>241</v>
      </c>
      <c r="K960" s="38" t="n">
        <v>120</v>
      </c>
      <c r="L960" s="38" t="n">
        <v>8280000</v>
      </c>
      <c r="M960" s="38" t="n">
        <v>3012720</v>
      </c>
      <c r="N960" s="39" t="n">
        <f aca="false">IF(A960="제외",0,IF(OR(N(L960)&lt;=0,N(M960)&gt;N(L960)),N(M960)/요약!$D$27,N(L960)))</f>
        <v>8280000</v>
      </c>
      <c r="O960" s="32" t="str">
        <f aca="false">IF(A960="제외","",IF(OR(N(L960)&lt;=0,N(M960)&gt;N(L960)),"택가보정(판매금액÷공급율)",""))</f>
        <v/>
      </c>
      <c r="P960" s="0" t="str">
        <f aca="false">IF(A960="HK","100",IF(A960="CN","200",IF(A960="TW","300",IF(ISNUMBER(SEARCH("태국",C960)),"500",IF(ISNUMBER(SEARCH("말레이",C960)),"600",IF(ISNUMBER(SEARCH("필리핀",C960)),"700",IF(ISNUMBER(SEARCH("인도네시아",C960)),"800",IF(ISNUMBER(SEARCH("크루즈",C960)),"810",IF(ISNUMBER(SEARCH("동물원",C960)),"830","")))))))))</f>
        <v>600</v>
      </c>
    </row>
    <row r="961" customFormat="false" ht="15" hidden="false" customHeight="false" outlineLevel="0" collapsed="false">
      <c r="A961" s="32" t="str">
        <f aca="false">IF(OR(TRIM(C961)="",SUBSTITUTE(C961," ","")="소계"),"제외",IF(ISNUMBER(SEARCH("홍콩",C961)),"HK",IF(ISNUMBER(SEARCH("상해",C961)),"CN",IF(ISNUMBER(SEARCH("대만",C961)),"TW","홀세일"))))</f>
        <v>홀세일</v>
      </c>
      <c r="B961" s="36" t="s">
        <v>1262</v>
      </c>
      <c r="C961" s="36" t="s">
        <v>1263</v>
      </c>
      <c r="D961" s="37" t="s">
        <v>123</v>
      </c>
      <c r="E961" s="36" t="n">
        <v>2026</v>
      </c>
      <c r="F961" s="37" t="s">
        <v>219</v>
      </c>
      <c r="G961" s="37" t="s">
        <v>124</v>
      </c>
      <c r="H961" s="36" t="s">
        <v>131</v>
      </c>
      <c r="I961" s="36" t="s">
        <v>242</v>
      </c>
      <c r="J961" s="36" t="s">
        <v>243</v>
      </c>
      <c r="K961" s="38" t="n">
        <v>100</v>
      </c>
      <c r="L961" s="38" t="n">
        <v>7900000</v>
      </c>
      <c r="M961" s="38" t="n">
        <v>2916700</v>
      </c>
      <c r="N961" s="39" t="n">
        <f aca="false">IF(A961="제외",0,IF(OR(N(L961)&lt;=0,N(M961)&gt;N(L961)),N(M961)/요약!$D$27,N(L961)))</f>
        <v>7900000</v>
      </c>
      <c r="O961" s="32" t="str">
        <f aca="false">IF(A961="제외","",IF(OR(N(L961)&lt;=0,N(M961)&gt;N(L961)),"택가보정(판매금액÷공급율)",""))</f>
        <v/>
      </c>
      <c r="P961" s="0" t="str">
        <f aca="false">IF(A961="HK","100",IF(A961="CN","200",IF(A961="TW","300",IF(ISNUMBER(SEARCH("태국",C961)),"500",IF(ISNUMBER(SEARCH("말레이",C961)),"600",IF(ISNUMBER(SEARCH("필리핀",C961)),"700",IF(ISNUMBER(SEARCH("인도네시아",C961)),"800",IF(ISNUMBER(SEARCH("크루즈",C961)),"810",IF(ISNUMBER(SEARCH("동물원",C961)),"830","")))))))))</f>
        <v>600</v>
      </c>
    </row>
    <row r="962" customFormat="false" ht="15" hidden="false" customHeight="false" outlineLevel="0" collapsed="false">
      <c r="A962" s="32" t="str">
        <f aca="false">IF(OR(TRIM(C962)="",SUBSTITUTE(C962," ","")="소계"),"제외",IF(ISNUMBER(SEARCH("홍콩",C962)),"HK",IF(ISNUMBER(SEARCH("상해",C962)),"CN",IF(ISNUMBER(SEARCH("대만",C962)),"TW","홀세일"))))</f>
        <v>홀세일</v>
      </c>
      <c r="B962" s="36" t="s">
        <v>1262</v>
      </c>
      <c r="C962" s="36" t="s">
        <v>1263</v>
      </c>
      <c r="D962" s="37" t="s">
        <v>123</v>
      </c>
      <c r="E962" s="36" t="n">
        <v>2026</v>
      </c>
      <c r="F962" s="37" t="s">
        <v>219</v>
      </c>
      <c r="G962" s="37" t="s">
        <v>124</v>
      </c>
      <c r="H962" s="36" t="s">
        <v>125</v>
      </c>
      <c r="I962" s="36" t="s">
        <v>244</v>
      </c>
      <c r="J962" s="37" t="s">
        <v>245</v>
      </c>
      <c r="K962" s="38" t="n">
        <v>40</v>
      </c>
      <c r="L962" s="38" t="n">
        <v>3160000</v>
      </c>
      <c r="M962" s="38" t="n">
        <v>1166680</v>
      </c>
      <c r="N962" s="39" t="n">
        <f aca="false">IF(A962="제외",0,IF(OR(N(L962)&lt;=0,N(M962)&gt;N(L962)),N(M962)/요약!$D$27,N(L962)))</f>
        <v>3160000</v>
      </c>
      <c r="O962" s="32" t="str">
        <f aca="false">IF(A962="제외","",IF(OR(N(L962)&lt;=0,N(M962)&gt;N(L962)),"택가보정(판매금액÷공급율)",""))</f>
        <v/>
      </c>
      <c r="P962" s="0" t="str">
        <f aca="false">IF(A962="HK","100",IF(A962="CN","200",IF(A962="TW","300",IF(ISNUMBER(SEARCH("태국",C962)),"500",IF(ISNUMBER(SEARCH("말레이",C962)),"600",IF(ISNUMBER(SEARCH("필리핀",C962)),"700",IF(ISNUMBER(SEARCH("인도네시아",C962)),"800",IF(ISNUMBER(SEARCH("크루즈",C962)),"810",IF(ISNUMBER(SEARCH("동물원",C962)),"830","")))))))))</f>
        <v>600</v>
      </c>
    </row>
    <row r="963" customFormat="false" ht="15" hidden="false" customHeight="false" outlineLevel="0" collapsed="false">
      <c r="A963" s="32" t="str">
        <f aca="false">IF(OR(TRIM(C963)="",SUBSTITUTE(C963," ","")="소계"),"제외",IF(ISNUMBER(SEARCH("홍콩",C963)),"HK",IF(ISNUMBER(SEARCH("상해",C963)),"CN",IF(ISNUMBER(SEARCH("대만",C963)),"TW","홀세일"))))</f>
        <v>홀세일</v>
      </c>
      <c r="B963" s="36" t="s">
        <v>1262</v>
      </c>
      <c r="C963" s="36" t="s">
        <v>1263</v>
      </c>
      <c r="D963" s="37" t="s">
        <v>123</v>
      </c>
      <c r="E963" s="36" t="n">
        <v>2026</v>
      </c>
      <c r="F963" s="37" t="s">
        <v>219</v>
      </c>
      <c r="G963" s="37" t="s">
        <v>124</v>
      </c>
      <c r="H963" s="36" t="s">
        <v>131</v>
      </c>
      <c r="I963" s="36" t="s">
        <v>246</v>
      </c>
      <c r="J963" s="37" t="s">
        <v>247</v>
      </c>
      <c r="K963" s="38" t="n">
        <v>70</v>
      </c>
      <c r="L963" s="38" t="n">
        <v>5530000</v>
      </c>
      <c r="M963" s="38" t="n">
        <v>1974350</v>
      </c>
      <c r="N963" s="39" t="n">
        <f aca="false">IF(A963="제외",0,IF(OR(N(L963)&lt;=0,N(M963)&gt;N(L963)),N(M963)/요약!$D$27,N(L963)))</f>
        <v>5530000</v>
      </c>
      <c r="O963" s="32" t="str">
        <f aca="false">IF(A963="제외","",IF(OR(N(L963)&lt;=0,N(M963)&gt;N(L963)),"택가보정(판매금액÷공급율)",""))</f>
        <v/>
      </c>
      <c r="P963" s="0" t="str">
        <f aca="false">IF(A963="HK","100",IF(A963="CN","200",IF(A963="TW","300",IF(ISNUMBER(SEARCH("태국",C963)),"500",IF(ISNUMBER(SEARCH("말레이",C963)),"600",IF(ISNUMBER(SEARCH("필리핀",C963)),"700",IF(ISNUMBER(SEARCH("인도네시아",C963)),"800",IF(ISNUMBER(SEARCH("크루즈",C963)),"810",IF(ISNUMBER(SEARCH("동물원",C963)),"830","")))))))))</f>
        <v>600</v>
      </c>
    </row>
    <row r="964" customFormat="false" ht="15" hidden="false" customHeight="false" outlineLevel="0" collapsed="false">
      <c r="A964" s="32" t="str">
        <f aca="false">IF(OR(TRIM(C964)="",SUBSTITUTE(C964," ","")="소계"),"제외",IF(ISNUMBER(SEARCH("홍콩",C964)),"HK",IF(ISNUMBER(SEARCH("상해",C964)),"CN",IF(ISNUMBER(SEARCH("대만",C964)),"TW","홀세일"))))</f>
        <v>홀세일</v>
      </c>
      <c r="B964" s="36" t="s">
        <v>1262</v>
      </c>
      <c r="C964" s="36" t="s">
        <v>1263</v>
      </c>
      <c r="D964" s="37" t="s">
        <v>123</v>
      </c>
      <c r="E964" s="36" t="n">
        <v>2026</v>
      </c>
      <c r="F964" s="37" t="s">
        <v>219</v>
      </c>
      <c r="G964" s="37" t="s">
        <v>124</v>
      </c>
      <c r="H964" s="36" t="s">
        <v>131</v>
      </c>
      <c r="I964" s="36" t="s">
        <v>248</v>
      </c>
      <c r="J964" s="37" t="s">
        <v>249</v>
      </c>
      <c r="K964" s="38" t="n">
        <v>70</v>
      </c>
      <c r="L964" s="38" t="n">
        <v>6930000</v>
      </c>
      <c r="M964" s="38" t="n">
        <v>2472960</v>
      </c>
      <c r="N964" s="39" t="n">
        <f aca="false">IF(A964="제외",0,IF(OR(N(L964)&lt;=0,N(M964)&gt;N(L964)),N(M964)/요약!$D$27,N(L964)))</f>
        <v>6930000</v>
      </c>
      <c r="O964" s="32" t="str">
        <f aca="false">IF(A964="제외","",IF(OR(N(L964)&lt;=0,N(M964)&gt;N(L964)),"택가보정(판매금액÷공급율)",""))</f>
        <v/>
      </c>
      <c r="P964" s="0" t="str">
        <f aca="false">IF(A964="HK","100",IF(A964="CN","200",IF(A964="TW","300",IF(ISNUMBER(SEARCH("태국",C964)),"500",IF(ISNUMBER(SEARCH("말레이",C964)),"600",IF(ISNUMBER(SEARCH("필리핀",C964)),"700",IF(ISNUMBER(SEARCH("인도네시아",C964)),"800",IF(ISNUMBER(SEARCH("크루즈",C964)),"810",IF(ISNUMBER(SEARCH("동물원",C964)),"830","")))))))))</f>
        <v>600</v>
      </c>
    </row>
    <row r="965" customFormat="false" ht="15" hidden="false" customHeight="false" outlineLevel="0" collapsed="false">
      <c r="A965" s="32" t="str">
        <f aca="false">IF(OR(TRIM(C965)="",SUBSTITUTE(C965," ","")="소계"),"제외",IF(ISNUMBER(SEARCH("홍콩",C965)),"HK",IF(ISNUMBER(SEARCH("상해",C965)),"CN",IF(ISNUMBER(SEARCH("대만",C965)),"TW","홀세일"))))</f>
        <v>홀세일</v>
      </c>
      <c r="B965" s="36" t="s">
        <v>1262</v>
      </c>
      <c r="C965" s="36" t="s">
        <v>1263</v>
      </c>
      <c r="D965" s="37" t="s">
        <v>123</v>
      </c>
      <c r="E965" s="36" t="n">
        <v>2026</v>
      </c>
      <c r="F965" s="37" t="s">
        <v>219</v>
      </c>
      <c r="G965" s="37" t="s">
        <v>124</v>
      </c>
      <c r="H965" s="36" t="s">
        <v>131</v>
      </c>
      <c r="I965" s="36" t="s">
        <v>250</v>
      </c>
      <c r="J965" s="37" t="s">
        <v>251</v>
      </c>
      <c r="K965" s="38" t="n">
        <v>85</v>
      </c>
      <c r="L965" s="38" t="n">
        <v>7565000</v>
      </c>
      <c r="M965" s="38" t="n">
        <v>2700110</v>
      </c>
      <c r="N965" s="39" t="n">
        <f aca="false">IF(A965="제외",0,IF(OR(N(L965)&lt;=0,N(M965)&gt;N(L965)),N(M965)/요약!$D$27,N(L965)))</f>
        <v>7565000</v>
      </c>
      <c r="O965" s="32" t="str">
        <f aca="false">IF(A965="제외","",IF(OR(N(L965)&lt;=0,N(M965)&gt;N(L965)),"택가보정(판매금액÷공급율)",""))</f>
        <v/>
      </c>
      <c r="P965" s="0" t="str">
        <f aca="false">IF(A965="HK","100",IF(A965="CN","200",IF(A965="TW","300",IF(ISNUMBER(SEARCH("태국",C965)),"500",IF(ISNUMBER(SEARCH("말레이",C965)),"600",IF(ISNUMBER(SEARCH("필리핀",C965)),"700",IF(ISNUMBER(SEARCH("인도네시아",C965)),"800",IF(ISNUMBER(SEARCH("크루즈",C965)),"810",IF(ISNUMBER(SEARCH("동물원",C965)),"830","")))))))))</f>
        <v>600</v>
      </c>
    </row>
    <row r="966" customFormat="false" ht="15" hidden="false" customHeight="false" outlineLevel="0" collapsed="false">
      <c r="A966" s="32" t="str">
        <f aca="false">IF(OR(TRIM(C966)="",SUBSTITUTE(C966," ","")="소계"),"제외",IF(ISNUMBER(SEARCH("홍콩",C966)),"HK",IF(ISNUMBER(SEARCH("상해",C966)),"CN",IF(ISNUMBER(SEARCH("대만",C966)),"TW","홀세일"))))</f>
        <v>홀세일</v>
      </c>
      <c r="B966" s="36" t="s">
        <v>1262</v>
      </c>
      <c r="C966" s="36" t="s">
        <v>1263</v>
      </c>
      <c r="D966" s="37" t="s">
        <v>123</v>
      </c>
      <c r="E966" s="36" t="n">
        <v>2026</v>
      </c>
      <c r="F966" s="37" t="s">
        <v>219</v>
      </c>
      <c r="G966" s="37" t="s">
        <v>124</v>
      </c>
      <c r="H966" s="36" t="s">
        <v>131</v>
      </c>
      <c r="I966" s="36" t="s">
        <v>252</v>
      </c>
      <c r="J966" s="37" t="s">
        <v>253</v>
      </c>
      <c r="K966" s="38" t="n">
        <v>45</v>
      </c>
      <c r="L966" s="38" t="n">
        <v>3555000</v>
      </c>
      <c r="M966" s="38" t="n">
        <v>1269225</v>
      </c>
      <c r="N966" s="39" t="n">
        <f aca="false">IF(A966="제외",0,IF(OR(N(L966)&lt;=0,N(M966)&gt;N(L966)),N(M966)/요약!$D$27,N(L966)))</f>
        <v>3555000</v>
      </c>
      <c r="O966" s="32" t="str">
        <f aca="false">IF(A966="제외","",IF(OR(N(L966)&lt;=0,N(M966)&gt;N(L966)),"택가보정(판매금액÷공급율)",""))</f>
        <v/>
      </c>
      <c r="P966" s="0" t="str">
        <f aca="false">IF(A966="HK","100",IF(A966="CN","200",IF(A966="TW","300",IF(ISNUMBER(SEARCH("태국",C966)),"500",IF(ISNUMBER(SEARCH("말레이",C966)),"600",IF(ISNUMBER(SEARCH("필리핀",C966)),"700",IF(ISNUMBER(SEARCH("인도네시아",C966)),"800",IF(ISNUMBER(SEARCH("크루즈",C966)),"810",IF(ISNUMBER(SEARCH("동물원",C966)),"830","")))))))))</f>
        <v>600</v>
      </c>
    </row>
    <row r="967" customFormat="false" ht="15" hidden="false" customHeight="false" outlineLevel="0" collapsed="false">
      <c r="A967" s="32" t="str">
        <f aca="false">IF(OR(TRIM(C967)="",SUBSTITUTE(C967," ","")="소계"),"제외",IF(ISNUMBER(SEARCH("홍콩",C967)),"HK",IF(ISNUMBER(SEARCH("상해",C967)),"CN",IF(ISNUMBER(SEARCH("대만",C967)),"TW","홀세일"))))</f>
        <v>홀세일</v>
      </c>
      <c r="B967" s="36" t="s">
        <v>1262</v>
      </c>
      <c r="C967" s="36" t="s">
        <v>1263</v>
      </c>
      <c r="D967" s="37" t="s">
        <v>123</v>
      </c>
      <c r="E967" s="36" t="n">
        <v>2026</v>
      </c>
      <c r="F967" s="37" t="s">
        <v>219</v>
      </c>
      <c r="G967" s="37" t="s">
        <v>124</v>
      </c>
      <c r="H967" s="36" t="s">
        <v>131</v>
      </c>
      <c r="I967" s="36" t="s">
        <v>254</v>
      </c>
      <c r="J967" s="37" t="s">
        <v>255</v>
      </c>
      <c r="K967" s="38" t="n">
        <v>105</v>
      </c>
      <c r="L967" s="38" t="n">
        <v>8295000</v>
      </c>
      <c r="M967" s="38" t="n">
        <v>3074400</v>
      </c>
      <c r="N967" s="39" t="n">
        <f aca="false">IF(A967="제외",0,IF(OR(N(L967)&lt;=0,N(M967)&gt;N(L967)),N(M967)/요약!$D$27,N(L967)))</f>
        <v>8295000</v>
      </c>
      <c r="O967" s="32" t="str">
        <f aca="false">IF(A967="제외","",IF(OR(N(L967)&lt;=0,N(M967)&gt;N(L967)),"택가보정(판매금액÷공급율)",""))</f>
        <v/>
      </c>
      <c r="P967" s="0" t="str">
        <f aca="false">IF(A967="HK","100",IF(A967="CN","200",IF(A967="TW","300",IF(ISNUMBER(SEARCH("태국",C967)),"500",IF(ISNUMBER(SEARCH("말레이",C967)),"600",IF(ISNUMBER(SEARCH("필리핀",C967)),"700",IF(ISNUMBER(SEARCH("인도네시아",C967)),"800",IF(ISNUMBER(SEARCH("크루즈",C967)),"810",IF(ISNUMBER(SEARCH("동물원",C967)),"830","")))))))))</f>
        <v>600</v>
      </c>
    </row>
    <row r="968" customFormat="false" ht="15" hidden="false" customHeight="false" outlineLevel="0" collapsed="false">
      <c r="A968" s="32" t="str">
        <f aca="false">IF(OR(TRIM(C968)="",SUBSTITUTE(C968," ","")="소계"),"제외",IF(ISNUMBER(SEARCH("홍콩",C968)),"HK",IF(ISNUMBER(SEARCH("상해",C968)),"CN",IF(ISNUMBER(SEARCH("대만",C968)),"TW","홀세일"))))</f>
        <v>홀세일</v>
      </c>
      <c r="B968" s="36" t="s">
        <v>1262</v>
      </c>
      <c r="C968" s="36" t="s">
        <v>1263</v>
      </c>
      <c r="D968" s="37" t="s">
        <v>123</v>
      </c>
      <c r="E968" s="36" t="n">
        <v>2026</v>
      </c>
      <c r="F968" s="37" t="s">
        <v>219</v>
      </c>
      <c r="G968" s="37" t="s">
        <v>124</v>
      </c>
      <c r="H968" s="36" t="s">
        <v>131</v>
      </c>
      <c r="I968" s="36" t="s">
        <v>1292</v>
      </c>
      <c r="J968" s="36" t="s">
        <v>1293</v>
      </c>
      <c r="K968" s="38" t="n">
        <v>40</v>
      </c>
      <c r="L968" s="38" t="n">
        <v>3960000</v>
      </c>
      <c r="M968" s="38" t="n">
        <v>1447040</v>
      </c>
      <c r="N968" s="39" t="n">
        <f aca="false">IF(A968="제외",0,IF(OR(N(L968)&lt;=0,N(M968)&gt;N(L968)),N(M968)/요약!$D$27,N(L968)))</f>
        <v>3960000</v>
      </c>
      <c r="O968" s="32" t="str">
        <f aca="false">IF(A968="제외","",IF(OR(N(L968)&lt;=0,N(M968)&gt;N(L968)),"택가보정(판매금액÷공급율)",""))</f>
        <v/>
      </c>
      <c r="P968" s="0" t="str">
        <f aca="false">IF(A968="HK","100",IF(A968="CN","200",IF(A968="TW","300",IF(ISNUMBER(SEARCH("태국",C968)),"500",IF(ISNUMBER(SEARCH("말레이",C968)),"600",IF(ISNUMBER(SEARCH("필리핀",C968)),"700",IF(ISNUMBER(SEARCH("인도네시아",C968)),"800",IF(ISNUMBER(SEARCH("크루즈",C968)),"810",IF(ISNUMBER(SEARCH("동물원",C968)),"830","")))))))))</f>
        <v>600</v>
      </c>
    </row>
    <row r="969" customFormat="false" ht="15" hidden="false" customHeight="false" outlineLevel="0" collapsed="false">
      <c r="A969" s="32" t="str">
        <f aca="false">IF(OR(TRIM(C969)="",SUBSTITUTE(C969," ","")="소계"),"제외",IF(ISNUMBER(SEARCH("홍콩",C969)),"HK",IF(ISNUMBER(SEARCH("상해",C969)),"CN",IF(ISNUMBER(SEARCH("대만",C969)),"TW","홀세일"))))</f>
        <v>홀세일</v>
      </c>
      <c r="B969" s="36" t="s">
        <v>1262</v>
      </c>
      <c r="C969" s="36" t="s">
        <v>1263</v>
      </c>
      <c r="D969" s="37" t="s">
        <v>123</v>
      </c>
      <c r="E969" s="36" t="n">
        <v>2026</v>
      </c>
      <c r="F969" s="37" t="s">
        <v>219</v>
      </c>
      <c r="G969" s="37" t="s">
        <v>124</v>
      </c>
      <c r="H969" s="36" t="s">
        <v>131</v>
      </c>
      <c r="I969" s="36" t="s">
        <v>258</v>
      </c>
      <c r="J969" s="37" t="s">
        <v>259</v>
      </c>
      <c r="K969" s="38" t="n">
        <v>45</v>
      </c>
      <c r="L969" s="38" t="n">
        <v>5805000</v>
      </c>
      <c r="M969" s="38" t="n">
        <v>2070495</v>
      </c>
      <c r="N969" s="39" t="n">
        <f aca="false">IF(A969="제외",0,IF(OR(N(L969)&lt;=0,N(M969)&gt;N(L969)),N(M969)/요약!$D$27,N(L969)))</f>
        <v>5805000</v>
      </c>
      <c r="O969" s="32" t="str">
        <f aca="false">IF(A969="제외","",IF(OR(N(L969)&lt;=0,N(M969)&gt;N(L969)),"택가보정(판매금액÷공급율)",""))</f>
        <v/>
      </c>
      <c r="P969" s="0" t="str">
        <f aca="false">IF(A969="HK","100",IF(A969="CN","200",IF(A969="TW","300",IF(ISNUMBER(SEARCH("태국",C969)),"500",IF(ISNUMBER(SEARCH("말레이",C969)),"600",IF(ISNUMBER(SEARCH("필리핀",C969)),"700",IF(ISNUMBER(SEARCH("인도네시아",C969)),"800",IF(ISNUMBER(SEARCH("크루즈",C969)),"810",IF(ISNUMBER(SEARCH("동물원",C969)),"830","")))))))))</f>
        <v>600</v>
      </c>
    </row>
    <row r="970" customFormat="false" ht="15" hidden="false" customHeight="false" outlineLevel="0" collapsed="false">
      <c r="A970" s="32" t="str">
        <f aca="false">IF(OR(TRIM(C970)="",SUBSTITUTE(C970," ","")="소계"),"제외",IF(ISNUMBER(SEARCH("홍콩",C970)),"HK",IF(ISNUMBER(SEARCH("상해",C970)),"CN",IF(ISNUMBER(SEARCH("대만",C970)),"TW","홀세일"))))</f>
        <v>홀세일</v>
      </c>
      <c r="B970" s="36" t="s">
        <v>1262</v>
      </c>
      <c r="C970" s="36" t="s">
        <v>1263</v>
      </c>
      <c r="D970" s="37" t="s">
        <v>123</v>
      </c>
      <c r="E970" s="36" t="n">
        <v>2026</v>
      </c>
      <c r="F970" s="37" t="s">
        <v>219</v>
      </c>
      <c r="G970" s="37" t="s">
        <v>124</v>
      </c>
      <c r="H970" s="36" t="s">
        <v>131</v>
      </c>
      <c r="I970" s="36" t="s">
        <v>262</v>
      </c>
      <c r="J970" s="37" t="s">
        <v>263</v>
      </c>
      <c r="K970" s="38" t="n">
        <v>60</v>
      </c>
      <c r="L970" s="38" t="n">
        <v>7740000</v>
      </c>
      <c r="M970" s="38" t="n">
        <v>3030120</v>
      </c>
      <c r="N970" s="39" t="n">
        <f aca="false">IF(A970="제외",0,IF(OR(N(L970)&lt;=0,N(M970)&gt;N(L970)),N(M970)/요약!$D$27,N(L970)))</f>
        <v>7740000</v>
      </c>
      <c r="O970" s="32" t="str">
        <f aca="false">IF(A970="제외","",IF(OR(N(L970)&lt;=0,N(M970)&gt;N(L970)),"택가보정(판매금액÷공급율)",""))</f>
        <v/>
      </c>
      <c r="P970" s="0" t="str">
        <f aca="false">IF(A970="HK","100",IF(A970="CN","200",IF(A970="TW","300",IF(ISNUMBER(SEARCH("태국",C970)),"500",IF(ISNUMBER(SEARCH("말레이",C970)),"600",IF(ISNUMBER(SEARCH("필리핀",C970)),"700",IF(ISNUMBER(SEARCH("인도네시아",C970)),"800",IF(ISNUMBER(SEARCH("크루즈",C970)),"810",IF(ISNUMBER(SEARCH("동물원",C970)),"830","")))))))))</f>
        <v>600</v>
      </c>
    </row>
    <row r="971" customFormat="false" ht="15" hidden="false" customHeight="false" outlineLevel="0" collapsed="false">
      <c r="A971" s="32" t="str">
        <f aca="false">IF(OR(TRIM(C971)="",SUBSTITUTE(C971," ","")="소계"),"제외",IF(ISNUMBER(SEARCH("홍콩",C971)),"HK",IF(ISNUMBER(SEARCH("상해",C971)),"CN",IF(ISNUMBER(SEARCH("대만",C971)),"TW","홀세일"))))</f>
        <v>홀세일</v>
      </c>
      <c r="B971" s="36" t="s">
        <v>1262</v>
      </c>
      <c r="C971" s="36" t="s">
        <v>1263</v>
      </c>
      <c r="D971" s="37" t="s">
        <v>123</v>
      </c>
      <c r="E971" s="36" t="n">
        <v>2026</v>
      </c>
      <c r="F971" s="37" t="s">
        <v>219</v>
      </c>
      <c r="G971" s="37" t="s">
        <v>124</v>
      </c>
      <c r="H971" s="36" t="s">
        <v>131</v>
      </c>
      <c r="I971" s="36" t="s">
        <v>266</v>
      </c>
      <c r="J971" s="37" t="s">
        <v>267</v>
      </c>
      <c r="K971" s="38" t="n">
        <v>20</v>
      </c>
      <c r="L971" s="38" t="n">
        <v>1980000</v>
      </c>
      <c r="M971" s="38" t="n">
        <v>733480</v>
      </c>
      <c r="N971" s="39" t="n">
        <f aca="false">IF(A971="제외",0,IF(OR(N(L971)&lt;=0,N(M971)&gt;N(L971)),N(M971)/요약!$D$27,N(L971)))</f>
        <v>1980000</v>
      </c>
      <c r="O971" s="32" t="str">
        <f aca="false">IF(A971="제외","",IF(OR(N(L971)&lt;=0,N(M971)&gt;N(L971)),"택가보정(판매금액÷공급율)",""))</f>
        <v/>
      </c>
      <c r="P971" s="0" t="str">
        <f aca="false">IF(A971="HK","100",IF(A971="CN","200",IF(A971="TW","300",IF(ISNUMBER(SEARCH("태국",C971)),"500",IF(ISNUMBER(SEARCH("말레이",C971)),"600",IF(ISNUMBER(SEARCH("필리핀",C971)),"700",IF(ISNUMBER(SEARCH("인도네시아",C971)),"800",IF(ISNUMBER(SEARCH("크루즈",C971)),"810",IF(ISNUMBER(SEARCH("동물원",C971)),"830","")))))))))</f>
        <v>600</v>
      </c>
    </row>
    <row r="972" customFormat="false" ht="15" hidden="false" customHeight="false" outlineLevel="0" collapsed="false">
      <c r="A972" s="32" t="str">
        <f aca="false">IF(OR(TRIM(C972)="",SUBSTITUTE(C972," ","")="소계"),"제외",IF(ISNUMBER(SEARCH("홍콩",C972)),"HK",IF(ISNUMBER(SEARCH("상해",C972)),"CN",IF(ISNUMBER(SEARCH("대만",C972)),"TW","홀세일"))))</f>
        <v>홀세일</v>
      </c>
      <c r="B972" s="36" t="s">
        <v>1262</v>
      </c>
      <c r="C972" s="36" t="s">
        <v>1263</v>
      </c>
      <c r="D972" s="37" t="s">
        <v>123</v>
      </c>
      <c r="E972" s="36" t="n">
        <v>2026</v>
      </c>
      <c r="F972" s="37" t="s">
        <v>219</v>
      </c>
      <c r="G972" s="37" t="s">
        <v>124</v>
      </c>
      <c r="H972" s="36" t="s">
        <v>131</v>
      </c>
      <c r="I972" s="36" t="s">
        <v>828</v>
      </c>
      <c r="J972" s="37" t="s">
        <v>829</v>
      </c>
      <c r="K972" s="38" t="n">
        <v>65</v>
      </c>
      <c r="L972" s="38" t="n">
        <v>9035000</v>
      </c>
      <c r="M972" s="38" t="n">
        <v>3480685</v>
      </c>
      <c r="N972" s="39" t="n">
        <f aca="false">IF(A972="제외",0,IF(OR(N(L972)&lt;=0,N(M972)&gt;N(L972)),N(M972)/요약!$D$27,N(L972)))</f>
        <v>9035000</v>
      </c>
      <c r="O972" s="32" t="str">
        <f aca="false">IF(A972="제외","",IF(OR(N(L972)&lt;=0,N(M972)&gt;N(L972)),"택가보정(판매금액÷공급율)",""))</f>
        <v/>
      </c>
      <c r="P972" s="0" t="str">
        <f aca="false">IF(A972="HK","100",IF(A972="CN","200",IF(A972="TW","300",IF(ISNUMBER(SEARCH("태국",C972)),"500",IF(ISNUMBER(SEARCH("말레이",C972)),"600",IF(ISNUMBER(SEARCH("필리핀",C972)),"700",IF(ISNUMBER(SEARCH("인도네시아",C972)),"800",IF(ISNUMBER(SEARCH("크루즈",C972)),"810",IF(ISNUMBER(SEARCH("동물원",C972)),"830","")))))))))</f>
        <v>600</v>
      </c>
    </row>
    <row r="973" customFormat="false" ht="15" hidden="false" customHeight="false" outlineLevel="0" collapsed="false">
      <c r="A973" s="32" t="str">
        <f aca="false">IF(OR(TRIM(C973)="",SUBSTITUTE(C973," ","")="소계"),"제외",IF(ISNUMBER(SEARCH("홍콩",C973)),"HK",IF(ISNUMBER(SEARCH("상해",C973)),"CN",IF(ISNUMBER(SEARCH("대만",C973)),"TW","홀세일"))))</f>
        <v>홀세일</v>
      </c>
      <c r="B973" s="36" t="s">
        <v>1262</v>
      </c>
      <c r="C973" s="36" t="s">
        <v>1263</v>
      </c>
      <c r="D973" s="37" t="s">
        <v>123</v>
      </c>
      <c r="E973" s="36" t="n">
        <v>2026</v>
      </c>
      <c r="F973" s="37" t="s">
        <v>219</v>
      </c>
      <c r="G973" s="37" t="s">
        <v>124</v>
      </c>
      <c r="H973" s="36" t="s">
        <v>131</v>
      </c>
      <c r="I973" s="36" t="s">
        <v>268</v>
      </c>
      <c r="J973" s="37" t="s">
        <v>269</v>
      </c>
      <c r="K973" s="38" t="n">
        <v>90</v>
      </c>
      <c r="L973" s="38" t="n">
        <v>15210000</v>
      </c>
      <c r="M973" s="38" t="n">
        <v>5756400</v>
      </c>
      <c r="N973" s="39" t="n">
        <f aca="false">IF(A973="제외",0,IF(OR(N(L973)&lt;=0,N(M973)&gt;N(L973)),N(M973)/요약!$D$27,N(L973)))</f>
        <v>15210000</v>
      </c>
      <c r="O973" s="32" t="str">
        <f aca="false">IF(A973="제외","",IF(OR(N(L973)&lt;=0,N(M973)&gt;N(L973)),"택가보정(판매금액÷공급율)",""))</f>
        <v/>
      </c>
      <c r="P973" s="0" t="str">
        <f aca="false">IF(A973="HK","100",IF(A973="CN","200",IF(A973="TW","300",IF(ISNUMBER(SEARCH("태국",C973)),"500",IF(ISNUMBER(SEARCH("말레이",C973)),"600",IF(ISNUMBER(SEARCH("필리핀",C973)),"700",IF(ISNUMBER(SEARCH("인도네시아",C973)),"800",IF(ISNUMBER(SEARCH("크루즈",C973)),"810",IF(ISNUMBER(SEARCH("동물원",C973)),"830","")))))))))</f>
        <v>600</v>
      </c>
    </row>
    <row r="974" customFormat="false" ht="15" hidden="false" customHeight="false" outlineLevel="0" collapsed="false">
      <c r="A974" s="32" t="str">
        <f aca="false">IF(OR(TRIM(C974)="",SUBSTITUTE(C974," ","")="소계"),"제외",IF(ISNUMBER(SEARCH("홍콩",C974)),"HK",IF(ISNUMBER(SEARCH("상해",C974)),"CN",IF(ISNUMBER(SEARCH("대만",C974)),"TW","홀세일"))))</f>
        <v>홀세일</v>
      </c>
      <c r="B974" s="36" t="s">
        <v>1262</v>
      </c>
      <c r="C974" s="36" t="s">
        <v>1263</v>
      </c>
      <c r="D974" s="37" t="s">
        <v>123</v>
      </c>
      <c r="E974" s="36" t="n">
        <v>2026</v>
      </c>
      <c r="F974" s="37" t="s">
        <v>219</v>
      </c>
      <c r="G974" s="37" t="s">
        <v>124</v>
      </c>
      <c r="H974" s="36" t="s">
        <v>131</v>
      </c>
      <c r="I974" s="36" t="s">
        <v>272</v>
      </c>
      <c r="J974" s="37" t="s">
        <v>273</v>
      </c>
      <c r="K974" s="38" t="n">
        <v>85</v>
      </c>
      <c r="L974" s="38" t="n">
        <v>16065000</v>
      </c>
      <c r="M974" s="38" t="n">
        <v>5834570</v>
      </c>
      <c r="N974" s="39" t="n">
        <f aca="false">IF(A974="제외",0,IF(OR(N(L974)&lt;=0,N(M974)&gt;N(L974)),N(M974)/요약!$D$27,N(L974)))</f>
        <v>16065000</v>
      </c>
      <c r="O974" s="32" t="str">
        <f aca="false">IF(A974="제외","",IF(OR(N(L974)&lt;=0,N(M974)&gt;N(L974)),"택가보정(판매금액÷공급율)",""))</f>
        <v/>
      </c>
      <c r="P974" s="0" t="str">
        <f aca="false">IF(A974="HK","100",IF(A974="CN","200",IF(A974="TW","300",IF(ISNUMBER(SEARCH("태국",C974)),"500",IF(ISNUMBER(SEARCH("말레이",C974)),"600",IF(ISNUMBER(SEARCH("필리핀",C974)),"700",IF(ISNUMBER(SEARCH("인도네시아",C974)),"800",IF(ISNUMBER(SEARCH("크루즈",C974)),"810",IF(ISNUMBER(SEARCH("동물원",C974)),"830","")))))))))</f>
        <v>600</v>
      </c>
    </row>
    <row r="975" customFormat="false" ht="15" hidden="false" customHeight="false" outlineLevel="0" collapsed="false">
      <c r="A975" s="32" t="str">
        <f aca="false">IF(OR(TRIM(C975)="",SUBSTITUTE(C975," ","")="소계"),"제외",IF(ISNUMBER(SEARCH("홍콩",C975)),"HK",IF(ISNUMBER(SEARCH("상해",C975)),"CN",IF(ISNUMBER(SEARCH("대만",C975)),"TW","홀세일"))))</f>
        <v>홀세일</v>
      </c>
      <c r="B975" s="36" t="s">
        <v>1262</v>
      </c>
      <c r="C975" s="36" t="s">
        <v>1263</v>
      </c>
      <c r="D975" s="37" t="s">
        <v>123</v>
      </c>
      <c r="E975" s="36" t="n">
        <v>2026</v>
      </c>
      <c r="F975" s="37" t="s">
        <v>219</v>
      </c>
      <c r="G975" s="37" t="s">
        <v>124</v>
      </c>
      <c r="H975" s="36" t="s">
        <v>131</v>
      </c>
      <c r="I975" s="36" t="s">
        <v>276</v>
      </c>
      <c r="J975" s="37" t="s">
        <v>277</v>
      </c>
      <c r="K975" s="38" t="n">
        <v>55</v>
      </c>
      <c r="L975" s="38" t="n">
        <v>8195000</v>
      </c>
      <c r="M975" s="38" t="n">
        <v>2922370</v>
      </c>
      <c r="N975" s="39" t="n">
        <f aca="false">IF(A975="제외",0,IF(OR(N(L975)&lt;=0,N(M975)&gt;N(L975)),N(M975)/요약!$D$27,N(L975)))</f>
        <v>8195000</v>
      </c>
      <c r="O975" s="32" t="str">
        <f aca="false">IF(A975="제외","",IF(OR(N(L975)&lt;=0,N(M975)&gt;N(L975)),"택가보정(판매금액÷공급율)",""))</f>
        <v/>
      </c>
      <c r="P975" s="0" t="str">
        <f aca="false">IF(A975="HK","100",IF(A975="CN","200",IF(A975="TW","300",IF(ISNUMBER(SEARCH("태국",C975)),"500",IF(ISNUMBER(SEARCH("말레이",C975)),"600",IF(ISNUMBER(SEARCH("필리핀",C975)),"700",IF(ISNUMBER(SEARCH("인도네시아",C975)),"800",IF(ISNUMBER(SEARCH("크루즈",C975)),"810",IF(ISNUMBER(SEARCH("동물원",C975)),"830","")))))))))</f>
        <v>600</v>
      </c>
    </row>
    <row r="976" customFormat="false" ht="15" hidden="false" customHeight="false" outlineLevel="0" collapsed="false">
      <c r="A976" s="32" t="str">
        <f aca="false">IF(OR(TRIM(C976)="",SUBSTITUTE(C976," ","")="소계"),"제외",IF(ISNUMBER(SEARCH("홍콩",C976)),"HK",IF(ISNUMBER(SEARCH("상해",C976)),"CN",IF(ISNUMBER(SEARCH("대만",C976)),"TW","홀세일"))))</f>
        <v>홀세일</v>
      </c>
      <c r="B976" s="36" t="s">
        <v>1262</v>
      </c>
      <c r="C976" s="36" t="s">
        <v>1263</v>
      </c>
      <c r="D976" s="37" t="s">
        <v>123</v>
      </c>
      <c r="E976" s="36" t="n">
        <v>2026</v>
      </c>
      <c r="F976" s="37" t="s">
        <v>219</v>
      </c>
      <c r="G976" s="37" t="s">
        <v>124</v>
      </c>
      <c r="H976" s="36" t="s">
        <v>131</v>
      </c>
      <c r="I976" s="36" t="s">
        <v>1294</v>
      </c>
      <c r="J976" s="37" t="s">
        <v>1295</v>
      </c>
      <c r="K976" s="38" t="n">
        <v>100</v>
      </c>
      <c r="L976" s="38" t="n">
        <v>8900000</v>
      </c>
      <c r="M976" s="38" t="n">
        <v>3176600</v>
      </c>
      <c r="N976" s="39" t="n">
        <f aca="false">IF(A976="제외",0,IF(OR(N(L976)&lt;=0,N(M976)&gt;N(L976)),N(M976)/요약!$D$27,N(L976)))</f>
        <v>8900000</v>
      </c>
      <c r="O976" s="32" t="str">
        <f aca="false">IF(A976="제외","",IF(OR(N(L976)&lt;=0,N(M976)&gt;N(L976)),"택가보정(판매금액÷공급율)",""))</f>
        <v/>
      </c>
      <c r="P976" s="0" t="str">
        <f aca="false">IF(A976="HK","100",IF(A976="CN","200",IF(A976="TW","300",IF(ISNUMBER(SEARCH("태국",C976)),"500",IF(ISNUMBER(SEARCH("말레이",C976)),"600",IF(ISNUMBER(SEARCH("필리핀",C976)),"700",IF(ISNUMBER(SEARCH("인도네시아",C976)),"800",IF(ISNUMBER(SEARCH("크루즈",C976)),"810",IF(ISNUMBER(SEARCH("동물원",C976)),"830","")))))))))</f>
        <v>600</v>
      </c>
    </row>
    <row r="977" customFormat="false" ht="15" hidden="false" customHeight="false" outlineLevel="0" collapsed="false">
      <c r="A977" s="32" t="str">
        <f aca="false">IF(OR(TRIM(C977)="",SUBSTITUTE(C977," ","")="소계"),"제외",IF(ISNUMBER(SEARCH("홍콩",C977)),"HK",IF(ISNUMBER(SEARCH("상해",C977)),"CN",IF(ISNUMBER(SEARCH("대만",C977)),"TW","홀세일"))))</f>
        <v>홀세일</v>
      </c>
      <c r="B977" s="36" t="s">
        <v>1262</v>
      </c>
      <c r="C977" s="36" t="s">
        <v>1263</v>
      </c>
      <c r="D977" s="37" t="s">
        <v>123</v>
      </c>
      <c r="E977" s="36" t="n">
        <v>2026</v>
      </c>
      <c r="F977" s="37" t="s">
        <v>219</v>
      </c>
      <c r="G977" s="37" t="s">
        <v>124</v>
      </c>
      <c r="H977" s="36" t="s">
        <v>131</v>
      </c>
      <c r="I977" s="36" t="s">
        <v>278</v>
      </c>
      <c r="J977" s="37" t="s">
        <v>279</v>
      </c>
      <c r="K977" s="38" t="n">
        <v>95</v>
      </c>
      <c r="L977" s="38" t="n">
        <v>9405000</v>
      </c>
      <c r="M977" s="38" t="n">
        <v>3356160</v>
      </c>
      <c r="N977" s="39" t="n">
        <f aca="false">IF(A977="제외",0,IF(OR(N(L977)&lt;=0,N(M977)&gt;N(L977)),N(M977)/요약!$D$27,N(L977)))</f>
        <v>9405000</v>
      </c>
      <c r="O977" s="32" t="str">
        <f aca="false">IF(A977="제외","",IF(OR(N(L977)&lt;=0,N(M977)&gt;N(L977)),"택가보정(판매금액÷공급율)",""))</f>
        <v/>
      </c>
      <c r="P977" s="0" t="str">
        <f aca="false">IF(A977="HK","100",IF(A977="CN","200",IF(A977="TW","300",IF(ISNUMBER(SEARCH("태국",C977)),"500",IF(ISNUMBER(SEARCH("말레이",C977)),"600",IF(ISNUMBER(SEARCH("필리핀",C977)),"700",IF(ISNUMBER(SEARCH("인도네시아",C977)),"800",IF(ISNUMBER(SEARCH("크루즈",C977)),"810",IF(ISNUMBER(SEARCH("동물원",C977)),"830","")))))))))</f>
        <v>600</v>
      </c>
    </row>
    <row r="978" customFormat="false" ht="15" hidden="false" customHeight="false" outlineLevel="0" collapsed="false">
      <c r="A978" s="32" t="str">
        <f aca="false">IF(OR(TRIM(C978)="",SUBSTITUTE(C978," ","")="소계"),"제외",IF(ISNUMBER(SEARCH("홍콩",C978)),"HK",IF(ISNUMBER(SEARCH("상해",C978)),"CN",IF(ISNUMBER(SEARCH("대만",C978)),"TW","홀세일"))))</f>
        <v>홀세일</v>
      </c>
      <c r="B978" s="36" t="s">
        <v>1262</v>
      </c>
      <c r="C978" s="36" t="s">
        <v>1263</v>
      </c>
      <c r="D978" s="37" t="s">
        <v>123</v>
      </c>
      <c r="E978" s="36" t="n">
        <v>2026</v>
      </c>
      <c r="F978" s="37" t="s">
        <v>219</v>
      </c>
      <c r="G978" s="37" t="s">
        <v>124</v>
      </c>
      <c r="H978" s="36" t="s">
        <v>131</v>
      </c>
      <c r="I978" s="36" t="s">
        <v>282</v>
      </c>
      <c r="J978" s="37" t="s">
        <v>283</v>
      </c>
      <c r="K978" s="38" t="n">
        <v>90</v>
      </c>
      <c r="L978" s="38" t="n">
        <v>11610000</v>
      </c>
      <c r="M978" s="38" t="n">
        <v>4140990</v>
      </c>
      <c r="N978" s="39" t="n">
        <f aca="false">IF(A978="제외",0,IF(OR(N(L978)&lt;=0,N(M978)&gt;N(L978)),N(M978)/요약!$D$27,N(L978)))</f>
        <v>11610000</v>
      </c>
      <c r="O978" s="32" t="str">
        <f aca="false">IF(A978="제외","",IF(OR(N(L978)&lt;=0,N(M978)&gt;N(L978)),"택가보정(판매금액÷공급율)",""))</f>
        <v/>
      </c>
      <c r="P978" s="0" t="str">
        <f aca="false">IF(A978="HK","100",IF(A978="CN","200",IF(A978="TW","300",IF(ISNUMBER(SEARCH("태국",C978)),"500",IF(ISNUMBER(SEARCH("말레이",C978)),"600",IF(ISNUMBER(SEARCH("필리핀",C978)),"700",IF(ISNUMBER(SEARCH("인도네시아",C978)),"800",IF(ISNUMBER(SEARCH("크루즈",C978)),"810",IF(ISNUMBER(SEARCH("동물원",C978)),"830","")))))))))</f>
        <v>600</v>
      </c>
    </row>
    <row r="979" customFormat="false" ht="15" hidden="false" customHeight="false" outlineLevel="0" collapsed="false">
      <c r="A979" s="32" t="str">
        <f aca="false">IF(OR(TRIM(C979)="",SUBSTITUTE(C979," ","")="소계"),"제외",IF(ISNUMBER(SEARCH("홍콩",C979)),"HK",IF(ISNUMBER(SEARCH("상해",C979)),"CN",IF(ISNUMBER(SEARCH("대만",C979)),"TW","홀세일"))))</f>
        <v>홀세일</v>
      </c>
      <c r="B979" s="36" t="s">
        <v>1262</v>
      </c>
      <c r="C979" s="36" t="s">
        <v>1263</v>
      </c>
      <c r="D979" s="37" t="s">
        <v>123</v>
      </c>
      <c r="E979" s="36" t="n">
        <v>2026</v>
      </c>
      <c r="F979" s="37" t="s">
        <v>219</v>
      </c>
      <c r="G979" s="37" t="s">
        <v>124</v>
      </c>
      <c r="H979" s="36" t="s">
        <v>131</v>
      </c>
      <c r="I979" s="36" t="s">
        <v>286</v>
      </c>
      <c r="J979" s="37" t="s">
        <v>287</v>
      </c>
      <c r="K979" s="38" t="n">
        <v>265</v>
      </c>
      <c r="L979" s="38" t="n">
        <v>15635000</v>
      </c>
      <c r="M979" s="38" t="n">
        <v>5660930</v>
      </c>
      <c r="N979" s="39" t="n">
        <f aca="false">IF(A979="제외",0,IF(OR(N(L979)&lt;=0,N(M979)&gt;N(L979)),N(M979)/요약!$D$27,N(L979)))</f>
        <v>15635000</v>
      </c>
      <c r="O979" s="32" t="str">
        <f aca="false">IF(A979="제외","",IF(OR(N(L979)&lt;=0,N(M979)&gt;N(L979)),"택가보정(판매금액÷공급율)",""))</f>
        <v/>
      </c>
      <c r="P979" s="0" t="str">
        <f aca="false">IF(A979="HK","100",IF(A979="CN","200",IF(A979="TW","300",IF(ISNUMBER(SEARCH("태국",C979)),"500",IF(ISNUMBER(SEARCH("말레이",C979)),"600",IF(ISNUMBER(SEARCH("필리핀",C979)),"700",IF(ISNUMBER(SEARCH("인도네시아",C979)),"800",IF(ISNUMBER(SEARCH("크루즈",C979)),"810",IF(ISNUMBER(SEARCH("동물원",C979)),"830","")))))))))</f>
        <v>600</v>
      </c>
    </row>
    <row r="980" customFormat="false" ht="15" hidden="false" customHeight="false" outlineLevel="0" collapsed="false">
      <c r="A980" s="32" t="str">
        <f aca="false">IF(OR(TRIM(C980)="",SUBSTITUTE(C980," ","")="소계"),"제외",IF(ISNUMBER(SEARCH("홍콩",C980)),"HK",IF(ISNUMBER(SEARCH("상해",C980)),"CN",IF(ISNUMBER(SEARCH("대만",C980)),"TW","홀세일"))))</f>
        <v>홀세일</v>
      </c>
      <c r="B980" s="36" t="s">
        <v>1262</v>
      </c>
      <c r="C980" s="36" t="s">
        <v>1263</v>
      </c>
      <c r="D980" s="37" t="s">
        <v>123</v>
      </c>
      <c r="E980" s="36" t="n">
        <v>2026</v>
      </c>
      <c r="F980" s="37" t="s">
        <v>219</v>
      </c>
      <c r="G980" s="37" t="s">
        <v>124</v>
      </c>
      <c r="H980" s="36" t="s">
        <v>131</v>
      </c>
      <c r="I980" s="36" t="s">
        <v>288</v>
      </c>
      <c r="J980" s="37" t="s">
        <v>289</v>
      </c>
      <c r="K980" s="38" t="n">
        <v>245</v>
      </c>
      <c r="L980" s="38" t="n">
        <v>14455000</v>
      </c>
      <c r="M980" s="38" t="n">
        <v>5233690</v>
      </c>
      <c r="N980" s="39" t="n">
        <f aca="false">IF(A980="제외",0,IF(OR(N(L980)&lt;=0,N(M980)&gt;N(L980)),N(M980)/요약!$D$27,N(L980)))</f>
        <v>14455000</v>
      </c>
      <c r="O980" s="32" t="str">
        <f aca="false">IF(A980="제외","",IF(OR(N(L980)&lt;=0,N(M980)&gt;N(L980)),"택가보정(판매금액÷공급율)",""))</f>
        <v/>
      </c>
      <c r="P980" s="0" t="str">
        <f aca="false">IF(A980="HK","100",IF(A980="CN","200",IF(A980="TW","300",IF(ISNUMBER(SEARCH("태국",C980)),"500",IF(ISNUMBER(SEARCH("말레이",C980)),"600",IF(ISNUMBER(SEARCH("필리핀",C980)),"700",IF(ISNUMBER(SEARCH("인도네시아",C980)),"800",IF(ISNUMBER(SEARCH("크루즈",C980)),"810",IF(ISNUMBER(SEARCH("동물원",C980)),"830","")))))))))</f>
        <v>600</v>
      </c>
    </row>
    <row r="981" customFormat="false" ht="15" hidden="false" customHeight="false" outlineLevel="0" collapsed="false">
      <c r="A981" s="32" t="str">
        <f aca="false">IF(OR(TRIM(C981)="",SUBSTITUTE(C981," ","")="소계"),"제외",IF(ISNUMBER(SEARCH("홍콩",C981)),"HK",IF(ISNUMBER(SEARCH("상해",C981)),"CN",IF(ISNUMBER(SEARCH("대만",C981)),"TW","홀세일"))))</f>
        <v>홀세일</v>
      </c>
      <c r="B981" s="36" t="s">
        <v>1262</v>
      </c>
      <c r="C981" s="36" t="s">
        <v>1263</v>
      </c>
      <c r="D981" s="37" t="s">
        <v>123</v>
      </c>
      <c r="E981" s="36" t="n">
        <v>2026</v>
      </c>
      <c r="F981" s="37" t="s">
        <v>219</v>
      </c>
      <c r="G981" s="37" t="s">
        <v>124</v>
      </c>
      <c r="H981" s="36" t="s">
        <v>131</v>
      </c>
      <c r="I981" s="36" t="s">
        <v>290</v>
      </c>
      <c r="J981" s="37" t="s">
        <v>291</v>
      </c>
      <c r="K981" s="38" t="n">
        <v>270</v>
      </c>
      <c r="L981" s="38" t="n">
        <v>18630000</v>
      </c>
      <c r="M981" s="38" t="n">
        <v>6742170</v>
      </c>
      <c r="N981" s="39" t="n">
        <f aca="false">IF(A981="제외",0,IF(OR(N(L981)&lt;=0,N(M981)&gt;N(L981)),N(M981)/요약!$D$27,N(L981)))</f>
        <v>18630000</v>
      </c>
      <c r="O981" s="32" t="str">
        <f aca="false">IF(A981="제외","",IF(OR(N(L981)&lt;=0,N(M981)&gt;N(L981)),"택가보정(판매금액÷공급율)",""))</f>
        <v/>
      </c>
      <c r="P981" s="0" t="str">
        <f aca="false">IF(A981="HK","100",IF(A981="CN","200",IF(A981="TW","300",IF(ISNUMBER(SEARCH("태국",C981)),"500",IF(ISNUMBER(SEARCH("말레이",C981)),"600",IF(ISNUMBER(SEARCH("필리핀",C981)),"700",IF(ISNUMBER(SEARCH("인도네시아",C981)),"800",IF(ISNUMBER(SEARCH("크루즈",C981)),"810",IF(ISNUMBER(SEARCH("동물원",C981)),"830","")))))))))</f>
        <v>600</v>
      </c>
    </row>
    <row r="982" customFormat="false" ht="15" hidden="false" customHeight="false" outlineLevel="0" collapsed="false">
      <c r="A982" s="32" t="str">
        <f aca="false">IF(OR(TRIM(C982)="",SUBSTITUTE(C982," ","")="소계"),"제외",IF(ISNUMBER(SEARCH("홍콩",C982)),"HK",IF(ISNUMBER(SEARCH("상해",C982)),"CN",IF(ISNUMBER(SEARCH("대만",C982)),"TW","홀세일"))))</f>
        <v>홀세일</v>
      </c>
      <c r="B982" s="36" t="s">
        <v>1262</v>
      </c>
      <c r="C982" s="36" t="s">
        <v>1263</v>
      </c>
      <c r="D982" s="37" t="s">
        <v>123</v>
      </c>
      <c r="E982" s="36" t="n">
        <v>2026</v>
      </c>
      <c r="F982" s="37" t="s">
        <v>219</v>
      </c>
      <c r="G982" s="37" t="s">
        <v>124</v>
      </c>
      <c r="H982" s="36" t="s">
        <v>131</v>
      </c>
      <c r="I982" s="36" t="s">
        <v>292</v>
      </c>
      <c r="J982" s="37" t="s">
        <v>293</v>
      </c>
      <c r="K982" s="38" t="n">
        <v>90</v>
      </c>
      <c r="L982" s="38" t="n">
        <v>5310000</v>
      </c>
      <c r="M982" s="38" t="n">
        <v>1913670</v>
      </c>
      <c r="N982" s="39" t="n">
        <f aca="false">IF(A982="제외",0,IF(OR(N(L982)&lt;=0,N(M982)&gt;N(L982)),N(M982)/요약!$D$27,N(L982)))</f>
        <v>5310000</v>
      </c>
      <c r="O982" s="32" t="str">
        <f aca="false">IF(A982="제외","",IF(OR(N(L982)&lt;=0,N(M982)&gt;N(L982)),"택가보정(판매금액÷공급율)",""))</f>
        <v/>
      </c>
      <c r="P982" s="0" t="str">
        <f aca="false">IF(A982="HK","100",IF(A982="CN","200",IF(A982="TW","300",IF(ISNUMBER(SEARCH("태국",C982)),"500",IF(ISNUMBER(SEARCH("말레이",C982)),"600",IF(ISNUMBER(SEARCH("필리핀",C982)),"700",IF(ISNUMBER(SEARCH("인도네시아",C982)),"800",IF(ISNUMBER(SEARCH("크루즈",C982)),"810",IF(ISNUMBER(SEARCH("동물원",C982)),"830","")))))))))</f>
        <v>600</v>
      </c>
    </row>
    <row r="983" customFormat="false" ht="15" hidden="false" customHeight="false" outlineLevel="0" collapsed="false">
      <c r="A983" s="32" t="str">
        <f aca="false">IF(OR(TRIM(C983)="",SUBSTITUTE(C983," ","")="소계"),"제외",IF(ISNUMBER(SEARCH("홍콩",C983)),"HK",IF(ISNUMBER(SEARCH("상해",C983)),"CN",IF(ISNUMBER(SEARCH("대만",C983)),"TW","홀세일"))))</f>
        <v>홀세일</v>
      </c>
      <c r="B983" s="36" t="s">
        <v>1262</v>
      </c>
      <c r="C983" s="36" t="s">
        <v>1263</v>
      </c>
      <c r="D983" s="37" t="s">
        <v>123</v>
      </c>
      <c r="E983" s="36" t="n">
        <v>2026</v>
      </c>
      <c r="F983" s="37" t="s">
        <v>219</v>
      </c>
      <c r="G983" s="37" t="s">
        <v>124</v>
      </c>
      <c r="H983" s="36" t="s">
        <v>131</v>
      </c>
      <c r="I983" s="36" t="s">
        <v>294</v>
      </c>
      <c r="J983" s="37" t="s">
        <v>295</v>
      </c>
      <c r="K983" s="38" t="n">
        <v>40</v>
      </c>
      <c r="L983" s="38" t="n">
        <v>2360000</v>
      </c>
      <c r="M983" s="38" t="n">
        <v>850520</v>
      </c>
      <c r="N983" s="39" t="n">
        <f aca="false">IF(A983="제외",0,IF(OR(N(L983)&lt;=0,N(M983)&gt;N(L983)),N(M983)/요약!$D$27,N(L983)))</f>
        <v>2360000</v>
      </c>
      <c r="O983" s="32" t="str">
        <f aca="false">IF(A983="제외","",IF(OR(N(L983)&lt;=0,N(M983)&gt;N(L983)),"택가보정(판매금액÷공급율)",""))</f>
        <v/>
      </c>
      <c r="P983" s="0" t="str">
        <f aca="false">IF(A983="HK","100",IF(A983="CN","200",IF(A983="TW","300",IF(ISNUMBER(SEARCH("태국",C983)),"500",IF(ISNUMBER(SEARCH("말레이",C983)),"600",IF(ISNUMBER(SEARCH("필리핀",C983)),"700",IF(ISNUMBER(SEARCH("인도네시아",C983)),"800",IF(ISNUMBER(SEARCH("크루즈",C983)),"810",IF(ISNUMBER(SEARCH("동물원",C983)),"830","")))))))))</f>
        <v>600</v>
      </c>
    </row>
    <row r="984" customFormat="false" ht="15" hidden="false" customHeight="false" outlineLevel="0" collapsed="false">
      <c r="A984" s="32" t="str">
        <f aca="false">IF(OR(TRIM(C984)="",SUBSTITUTE(C984," ","")="소계"),"제외",IF(ISNUMBER(SEARCH("홍콩",C984)),"HK",IF(ISNUMBER(SEARCH("상해",C984)),"CN",IF(ISNUMBER(SEARCH("대만",C984)),"TW","홀세일"))))</f>
        <v>홀세일</v>
      </c>
      <c r="B984" s="36" t="s">
        <v>1262</v>
      </c>
      <c r="C984" s="36" t="s">
        <v>1263</v>
      </c>
      <c r="D984" s="37" t="s">
        <v>123</v>
      </c>
      <c r="E984" s="36" t="n">
        <v>2026</v>
      </c>
      <c r="F984" s="37" t="s">
        <v>219</v>
      </c>
      <c r="G984" s="37" t="s">
        <v>124</v>
      </c>
      <c r="H984" s="36" t="s">
        <v>131</v>
      </c>
      <c r="I984" s="36" t="s">
        <v>296</v>
      </c>
      <c r="J984" s="37" t="s">
        <v>297</v>
      </c>
      <c r="K984" s="38" t="n">
        <v>170</v>
      </c>
      <c r="L984" s="38" t="n">
        <v>11730000</v>
      </c>
      <c r="M984" s="38" t="n">
        <v>4225350</v>
      </c>
      <c r="N984" s="39" t="n">
        <f aca="false">IF(A984="제외",0,IF(OR(N(L984)&lt;=0,N(M984)&gt;N(L984)),N(M984)/요약!$D$27,N(L984)))</f>
        <v>11730000</v>
      </c>
      <c r="O984" s="32" t="str">
        <f aca="false">IF(A984="제외","",IF(OR(N(L984)&lt;=0,N(M984)&gt;N(L984)),"택가보정(판매금액÷공급율)",""))</f>
        <v/>
      </c>
      <c r="P984" s="0" t="str">
        <f aca="false">IF(A984="HK","100",IF(A984="CN","200",IF(A984="TW","300",IF(ISNUMBER(SEARCH("태국",C984)),"500",IF(ISNUMBER(SEARCH("말레이",C984)),"600",IF(ISNUMBER(SEARCH("필리핀",C984)),"700",IF(ISNUMBER(SEARCH("인도네시아",C984)),"800",IF(ISNUMBER(SEARCH("크루즈",C984)),"810",IF(ISNUMBER(SEARCH("동물원",C984)),"830","")))))))))</f>
        <v>600</v>
      </c>
    </row>
    <row r="985" customFormat="false" ht="15" hidden="false" customHeight="false" outlineLevel="0" collapsed="false">
      <c r="A985" s="32" t="str">
        <f aca="false">IF(OR(TRIM(C985)="",SUBSTITUTE(C985," ","")="소계"),"제외",IF(ISNUMBER(SEARCH("홍콩",C985)),"HK",IF(ISNUMBER(SEARCH("상해",C985)),"CN",IF(ISNUMBER(SEARCH("대만",C985)),"TW","홀세일"))))</f>
        <v>홀세일</v>
      </c>
      <c r="B985" s="36" t="s">
        <v>1262</v>
      </c>
      <c r="C985" s="36" t="s">
        <v>1263</v>
      </c>
      <c r="D985" s="37" t="s">
        <v>123</v>
      </c>
      <c r="E985" s="36" t="n">
        <v>2026</v>
      </c>
      <c r="F985" s="37" t="s">
        <v>219</v>
      </c>
      <c r="G985" s="37" t="s">
        <v>124</v>
      </c>
      <c r="H985" s="36" t="s">
        <v>131</v>
      </c>
      <c r="I985" s="36" t="s">
        <v>298</v>
      </c>
      <c r="J985" s="37" t="s">
        <v>299</v>
      </c>
      <c r="K985" s="38" t="n">
        <v>135</v>
      </c>
      <c r="L985" s="38" t="n">
        <v>7965000</v>
      </c>
      <c r="M985" s="38" t="n">
        <v>2949210</v>
      </c>
      <c r="N985" s="39" t="n">
        <f aca="false">IF(A985="제외",0,IF(OR(N(L985)&lt;=0,N(M985)&gt;N(L985)),N(M985)/요약!$D$27,N(L985)))</f>
        <v>7965000</v>
      </c>
      <c r="O985" s="32" t="str">
        <f aca="false">IF(A985="제외","",IF(OR(N(L985)&lt;=0,N(M985)&gt;N(L985)),"택가보정(판매금액÷공급율)",""))</f>
        <v/>
      </c>
      <c r="P985" s="0" t="str">
        <f aca="false">IF(A985="HK","100",IF(A985="CN","200",IF(A985="TW","300",IF(ISNUMBER(SEARCH("태국",C985)),"500",IF(ISNUMBER(SEARCH("말레이",C985)),"600",IF(ISNUMBER(SEARCH("필리핀",C985)),"700",IF(ISNUMBER(SEARCH("인도네시아",C985)),"800",IF(ISNUMBER(SEARCH("크루즈",C985)),"810",IF(ISNUMBER(SEARCH("동물원",C985)),"830","")))))))))</f>
        <v>600</v>
      </c>
    </row>
    <row r="986" customFormat="false" ht="15" hidden="false" customHeight="false" outlineLevel="0" collapsed="false">
      <c r="A986" s="32" t="str">
        <f aca="false">IF(OR(TRIM(C986)="",SUBSTITUTE(C986," ","")="소계"),"제외",IF(ISNUMBER(SEARCH("홍콩",C986)),"HK",IF(ISNUMBER(SEARCH("상해",C986)),"CN",IF(ISNUMBER(SEARCH("대만",C986)),"TW","홀세일"))))</f>
        <v>홀세일</v>
      </c>
      <c r="B986" s="36" t="s">
        <v>1262</v>
      </c>
      <c r="C986" s="36" t="s">
        <v>1263</v>
      </c>
      <c r="D986" s="37" t="s">
        <v>123</v>
      </c>
      <c r="E986" s="36" t="n">
        <v>2026</v>
      </c>
      <c r="F986" s="37" t="s">
        <v>219</v>
      </c>
      <c r="G986" s="37" t="s">
        <v>124</v>
      </c>
      <c r="H986" s="36" t="s">
        <v>131</v>
      </c>
      <c r="I986" s="36" t="s">
        <v>300</v>
      </c>
      <c r="J986" s="37" t="s">
        <v>301</v>
      </c>
      <c r="K986" s="38" t="n">
        <v>205</v>
      </c>
      <c r="L986" s="38" t="n">
        <v>14145000</v>
      </c>
      <c r="M986" s="38" t="n">
        <v>5235085</v>
      </c>
      <c r="N986" s="39" t="n">
        <f aca="false">IF(A986="제외",0,IF(OR(N(L986)&lt;=0,N(M986)&gt;N(L986)),N(M986)/요약!$D$27,N(L986)))</f>
        <v>14145000</v>
      </c>
      <c r="O986" s="32" t="str">
        <f aca="false">IF(A986="제외","",IF(OR(N(L986)&lt;=0,N(M986)&gt;N(L986)),"택가보정(판매금액÷공급율)",""))</f>
        <v/>
      </c>
      <c r="P986" s="0" t="str">
        <f aca="false">IF(A986="HK","100",IF(A986="CN","200",IF(A986="TW","300",IF(ISNUMBER(SEARCH("태국",C986)),"500",IF(ISNUMBER(SEARCH("말레이",C986)),"600",IF(ISNUMBER(SEARCH("필리핀",C986)),"700",IF(ISNUMBER(SEARCH("인도네시아",C986)),"800",IF(ISNUMBER(SEARCH("크루즈",C986)),"810",IF(ISNUMBER(SEARCH("동물원",C986)),"830","")))))))))</f>
        <v>600</v>
      </c>
    </row>
    <row r="987" customFormat="false" ht="15" hidden="false" customHeight="false" outlineLevel="0" collapsed="false">
      <c r="A987" s="32" t="str">
        <f aca="false">IF(OR(TRIM(C987)="",SUBSTITUTE(C987," ","")="소계"),"제외",IF(ISNUMBER(SEARCH("홍콩",C987)),"HK",IF(ISNUMBER(SEARCH("상해",C987)),"CN",IF(ISNUMBER(SEARCH("대만",C987)),"TW","홀세일"))))</f>
        <v>홀세일</v>
      </c>
      <c r="B987" s="36" t="s">
        <v>1262</v>
      </c>
      <c r="C987" s="36" t="s">
        <v>1263</v>
      </c>
      <c r="D987" s="37" t="s">
        <v>123</v>
      </c>
      <c r="E987" s="36" t="n">
        <v>2026</v>
      </c>
      <c r="F987" s="37" t="s">
        <v>219</v>
      </c>
      <c r="G987" s="37" t="s">
        <v>124</v>
      </c>
      <c r="H987" s="36" t="s">
        <v>131</v>
      </c>
      <c r="I987" s="36" t="s">
        <v>302</v>
      </c>
      <c r="J987" s="37" t="s">
        <v>303</v>
      </c>
      <c r="K987" s="38" t="n">
        <v>50</v>
      </c>
      <c r="L987" s="38" t="n">
        <v>3450000</v>
      </c>
      <c r="M987" s="38" t="n">
        <v>1276850</v>
      </c>
      <c r="N987" s="39" t="n">
        <f aca="false">IF(A987="제외",0,IF(OR(N(L987)&lt;=0,N(M987)&gt;N(L987)),N(M987)/요약!$D$27,N(L987)))</f>
        <v>3450000</v>
      </c>
      <c r="O987" s="32" t="str">
        <f aca="false">IF(A987="제외","",IF(OR(N(L987)&lt;=0,N(M987)&gt;N(L987)),"택가보정(판매금액÷공급율)",""))</f>
        <v/>
      </c>
      <c r="P987" s="0" t="str">
        <f aca="false">IF(A987="HK","100",IF(A987="CN","200",IF(A987="TW","300",IF(ISNUMBER(SEARCH("태국",C987)),"500",IF(ISNUMBER(SEARCH("말레이",C987)),"600",IF(ISNUMBER(SEARCH("필리핀",C987)),"700",IF(ISNUMBER(SEARCH("인도네시아",C987)),"800",IF(ISNUMBER(SEARCH("크루즈",C987)),"810",IF(ISNUMBER(SEARCH("동물원",C987)),"830","")))))))))</f>
        <v>600</v>
      </c>
    </row>
    <row r="988" customFormat="false" ht="15" hidden="false" customHeight="false" outlineLevel="0" collapsed="false">
      <c r="A988" s="32" t="str">
        <f aca="false">IF(OR(TRIM(C988)="",SUBSTITUTE(C988," ","")="소계"),"제외",IF(ISNUMBER(SEARCH("홍콩",C988)),"HK",IF(ISNUMBER(SEARCH("상해",C988)),"CN",IF(ISNUMBER(SEARCH("대만",C988)),"TW","홀세일"))))</f>
        <v>홀세일</v>
      </c>
      <c r="B988" s="36" t="s">
        <v>1262</v>
      </c>
      <c r="C988" s="36" t="s">
        <v>1263</v>
      </c>
      <c r="D988" s="37" t="s">
        <v>123</v>
      </c>
      <c r="E988" s="36" t="n">
        <v>2026</v>
      </c>
      <c r="F988" s="37" t="s">
        <v>219</v>
      </c>
      <c r="G988" s="37" t="s">
        <v>124</v>
      </c>
      <c r="H988" s="36" t="s">
        <v>131</v>
      </c>
      <c r="I988" s="36" t="s">
        <v>304</v>
      </c>
      <c r="J988" s="37" t="s">
        <v>305</v>
      </c>
      <c r="K988" s="38" t="n">
        <v>135</v>
      </c>
      <c r="L988" s="38" t="n">
        <v>7965000</v>
      </c>
      <c r="M988" s="38" t="n">
        <v>2949210</v>
      </c>
      <c r="N988" s="39" t="n">
        <f aca="false">IF(A988="제외",0,IF(OR(N(L988)&lt;=0,N(M988)&gt;N(L988)),N(M988)/요약!$D$27,N(L988)))</f>
        <v>7965000</v>
      </c>
      <c r="O988" s="32" t="str">
        <f aca="false">IF(A988="제외","",IF(OR(N(L988)&lt;=0,N(M988)&gt;N(L988)),"택가보정(판매금액÷공급율)",""))</f>
        <v/>
      </c>
      <c r="P988" s="0" t="str">
        <f aca="false">IF(A988="HK","100",IF(A988="CN","200",IF(A988="TW","300",IF(ISNUMBER(SEARCH("태국",C988)),"500",IF(ISNUMBER(SEARCH("말레이",C988)),"600",IF(ISNUMBER(SEARCH("필리핀",C988)),"700",IF(ISNUMBER(SEARCH("인도네시아",C988)),"800",IF(ISNUMBER(SEARCH("크루즈",C988)),"810",IF(ISNUMBER(SEARCH("동물원",C988)),"830","")))))))))</f>
        <v>600</v>
      </c>
    </row>
    <row r="989" customFormat="false" ht="15" hidden="false" customHeight="false" outlineLevel="0" collapsed="false">
      <c r="A989" s="32" t="str">
        <f aca="false">IF(OR(TRIM(C989)="",SUBSTITUTE(C989," ","")="소계"),"제외",IF(ISNUMBER(SEARCH("홍콩",C989)),"HK",IF(ISNUMBER(SEARCH("상해",C989)),"CN",IF(ISNUMBER(SEARCH("대만",C989)),"TW","홀세일"))))</f>
        <v>홀세일</v>
      </c>
      <c r="B989" s="36" t="s">
        <v>1262</v>
      </c>
      <c r="C989" s="36" t="s">
        <v>1263</v>
      </c>
      <c r="D989" s="37" t="s">
        <v>123</v>
      </c>
      <c r="E989" s="36" t="n">
        <v>2026</v>
      </c>
      <c r="F989" s="37" t="s">
        <v>219</v>
      </c>
      <c r="G989" s="37" t="s">
        <v>124</v>
      </c>
      <c r="H989" s="36" t="s">
        <v>131</v>
      </c>
      <c r="I989" s="36" t="s">
        <v>308</v>
      </c>
      <c r="J989" s="37" t="s">
        <v>309</v>
      </c>
      <c r="K989" s="38" t="n">
        <v>75</v>
      </c>
      <c r="L989" s="38" t="n">
        <v>6675000</v>
      </c>
      <c r="M989" s="38" t="n">
        <v>2382450</v>
      </c>
      <c r="N989" s="39" t="n">
        <f aca="false">IF(A989="제외",0,IF(OR(N(L989)&lt;=0,N(M989)&gt;N(L989)),N(M989)/요약!$D$27,N(L989)))</f>
        <v>6675000</v>
      </c>
      <c r="O989" s="32" t="str">
        <f aca="false">IF(A989="제외","",IF(OR(N(L989)&lt;=0,N(M989)&gt;N(L989)),"택가보정(판매금액÷공급율)",""))</f>
        <v/>
      </c>
      <c r="P989" s="0" t="str">
        <f aca="false">IF(A989="HK","100",IF(A989="CN","200",IF(A989="TW","300",IF(ISNUMBER(SEARCH("태국",C989)),"500",IF(ISNUMBER(SEARCH("말레이",C989)),"600",IF(ISNUMBER(SEARCH("필리핀",C989)),"700",IF(ISNUMBER(SEARCH("인도네시아",C989)),"800",IF(ISNUMBER(SEARCH("크루즈",C989)),"810",IF(ISNUMBER(SEARCH("동물원",C989)),"830","")))))))))</f>
        <v>600</v>
      </c>
    </row>
    <row r="990" customFormat="false" ht="15" hidden="false" customHeight="false" outlineLevel="0" collapsed="false">
      <c r="A990" s="32" t="str">
        <f aca="false">IF(OR(TRIM(C990)="",SUBSTITUTE(C990," ","")="소계"),"제외",IF(ISNUMBER(SEARCH("홍콩",C990)),"HK",IF(ISNUMBER(SEARCH("상해",C990)),"CN",IF(ISNUMBER(SEARCH("대만",C990)),"TW","홀세일"))))</f>
        <v>홀세일</v>
      </c>
      <c r="B990" s="36" t="s">
        <v>1262</v>
      </c>
      <c r="C990" s="36" t="s">
        <v>1263</v>
      </c>
      <c r="D990" s="37" t="s">
        <v>123</v>
      </c>
      <c r="E990" s="36" t="n">
        <v>2026</v>
      </c>
      <c r="F990" s="37" t="s">
        <v>219</v>
      </c>
      <c r="G990" s="37" t="s">
        <v>124</v>
      </c>
      <c r="H990" s="36" t="s">
        <v>131</v>
      </c>
      <c r="I990" s="36" t="s">
        <v>310</v>
      </c>
      <c r="J990" s="37" t="s">
        <v>311</v>
      </c>
      <c r="K990" s="38" t="n">
        <v>50</v>
      </c>
      <c r="L990" s="38" t="n">
        <v>4450000</v>
      </c>
      <c r="M990" s="38" t="n">
        <v>1588300</v>
      </c>
      <c r="N990" s="39" t="n">
        <f aca="false">IF(A990="제외",0,IF(OR(N(L990)&lt;=0,N(M990)&gt;N(L990)),N(M990)/요약!$D$27,N(L990)))</f>
        <v>4450000</v>
      </c>
      <c r="O990" s="32" t="str">
        <f aca="false">IF(A990="제외","",IF(OR(N(L990)&lt;=0,N(M990)&gt;N(L990)),"택가보정(판매금액÷공급율)",""))</f>
        <v/>
      </c>
      <c r="P990" s="0" t="str">
        <f aca="false">IF(A990="HK","100",IF(A990="CN","200",IF(A990="TW","300",IF(ISNUMBER(SEARCH("태국",C990)),"500",IF(ISNUMBER(SEARCH("말레이",C990)),"600",IF(ISNUMBER(SEARCH("필리핀",C990)),"700",IF(ISNUMBER(SEARCH("인도네시아",C990)),"800",IF(ISNUMBER(SEARCH("크루즈",C990)),"810",IF(ISNUMBER(SEARCH("동물원",C990)),"830","")))))))))</f>
        <v>600</v>
      </c>
    </row>
    <row r="991" customFormat="false" ht="15" hidden="false" customHeight="false" outlineLevel="0" collapsed="false">
      <c r="A991" s="32" t="str">
        <f aca="false">IF(OR(TRIM(C991)="",SUBSTITUTE(C991," ","")="소계"),"제외",IF(ISNUMBER(SEARCH("홍콩",C991)),"HK",IF(ISNUMBER(SEARCH("상해",C991)),"CN",IF(ISNUMBER(SEARCH("대만",C991)),"TW","홀세일"))))</f>
        <v>홀세일</v>
      </c>
      <c r="B991" s="36" t="s">
        <v>1262</v>
      </c>
      <c r="C991" s="36" t="s">
        <v>1263</v>
      </c>
      <c r="D991" s="37" t="s">
        <v>123</v>
      </c>
      <c r="E991" s="36" t="n">
        <v>2026</v>
      </c>
      <c r="F991" s="37" t="s">
        <v>219</v>
      </c>
      <c r="G991" s="37" t="s">
        <v>124</v>
      </c>
      <c r="H991" s="36" t="s">
        <v>131</v>
      </c>
      <c r="I991" s="36" t="s">
        <v>312</v>
      </c>
      <c r="J991" s="37" t="s">
        <v>313</v>
      </c>
      <c r="K991" s="38" t="n">
        <v>215</v>
      </c>
      <c r="L991" s="38" t="n">
        <v>19135000</v>
      </c>
      <c r="M991" s="38" t="n">
        <v>7090055</v>
      </c>
      <c r="N991" s="39" t="n">
        <f aca="false">IF(A991="제외",0,IF(OR(N(L991)&lt;=0,N(M991)&gt;N(L991)),N(M991)/요약!$D$27,N(L991)))</f>
        <v>19135000</v>
      </c>
      <c r="O991" s="32" t="str">
        <f aca="false">IF(A991="제외","",IF(OR(N(L991)&lt;=0,N(M991)&gt;N(L991)),"택가보정(판매금액÷공급율)",""))</f>
        <v/>
      </c>
      <c r="P991" s="0" t="str">
        <f aca="false">IF(A991="HK","100",IF(A991="CN","200",IF(A991="TW","300",IF(ISNUMBER(SEARCH("태국",C991)),"500",IF(ISNUMBER(SEARCH("말레이",C991)),"600",IF(ISNUMBER(SEARCH("필리핀",C991)),"700",IF(ISNUMBER(SEARCH("인도네시아",C991)),"800",IF(ISNUMBER(SEARCH("크루즈",C991)),"810",IF(ISNUMBER(SEARCH("동물원",C991)),"830","")))))))))</f>
        <v>600</v>
      </c>
    </row>
    <row r="992" customFormat="false" ht="15" hidden="false" customHeight="false" outlineLevel="0" collapsed="false">
      <c r="A992" s="32" t="str">
        <f aca="false">IF(OR(TRIM(C992)="",SUBSTITUTE(C992," ","")="소계"),"제외",IF(ISNUMBER(SEARCH("홍콩",C992)),"HK",IF(ISNUMBER(SEARCH("상해",C992)),"CN",IF(ISNUMBER(SEARCH("대만",C992)),"TW","홀세일"))))</f>
        <v>홀세일</v>
      </c>
      <c r="B992" s="36" t="s">
        <v>1262</v>
      </c>
      <c r="C992" s="36" t="s">
        <v>1263</v>
      </c>
      <c r="D992" s="37" t="s">
        <v>123</v>
      </c>
      <c r="E992" s="36" t="n">
        <v>2026</v>
      </c>
      <c r="F992" s="37" t="s">
        <v>219</v>
      </c>
      <c r="G992" s="37" t="s">
        <v>124</v>
      </c>
      <c r="H992" s="36" t="s">
        <v>131</v>
      </c>
      <c r="I992" s="36" t="s">
        <v>1296</v>
      </c>
      <c r="J992" s="37" t="s">
        <v>1297</v>
      </c>
      <c r="K992" s="38" t="n">
        <v>30</v>
      </c>
      <c r="L992" s="38" t="n">
        <v>1770000</v>
      </c>
      <c r="M992" s="38" t="n">
        <v>655380</v>
      </c>
      <c r="N992" s="39" t="n">
        <f aca="false">IF(A992="제외",0,IF(OR(N(L992)&lt;=0,N(M992)&gt;N(L992)),N(M992)/요약!$D$27,N(L992)))</f>
        <v>1770000</v>
      </c>
      <c r="O992" s="32" t="str">
        <f aca="false">IF(A992="제외","",IF(OR(N(L992)&lt;=0,N(M992)&gt;N(L992)),"택가보정(판매금액÷공급율)",""))</f>
        <v/>
      </c>
      <c r="P992" s="0" t="str">
        <f aca="false">IF(A992="HK","100",IF(A992="CN","200",IF(A992="TW","300",IF(ISNUMBER(SEARCH("태국",C992)),"500",IF(ISNUMBER(SEARCH("말레이",C992)),"600",IF(ISNUMBER(SEARCH("필리핀",C992)),"700",IF(ISNUMBER(SEARCH("인도네시아",C992)),"800",IF(ISNUMBER(SEARCH("크루즈",C992)),"810",IF(ISNUMBER(SEARCH("동물원",C992)),"830","")))))))))</f>
        <v>600</v>
      </c>
    </row>
    <row r="993" customFormat="false" ht="15" hidden="false" customHeight="false" outlineLevel="0" collapsed="false">
      <c r="A993" s="32" t="str">
        <f aca="false">IF(OR(TRIM(C993)="",SUBSTITUTE(C993," ","")="소계"),"제외",IF(ISNUMBER(SEARCH("홍콩",C993)),"HK",IF(ISNUMBER(SEARCH("상해",C993)),"CN",IF(ISNUMBER(SEARCH("대만",C993)),"TW","홀세일"))))</f>
        <v>홀세일</v>
      </c>
      <c r="B993" s="36" t="s">
        <v>1262</v>
      </c>
      <c r="C993" s="36" t="s">
        <v>1263</v>
      </c>
      <c r="D993" s="37" t="s">
        <v>123</v>
      </c>
      <c r="E993" s="36" t="n">
        <v>2026</v>
      </c>
      <c r="F993" s="37" t="s">
        <v>219</v>
      </c>
      <c r="G993" s="37" t="s">
        <v>124</v>
      </c>
      <c r="H993" s="36" t="s">
        <v>131</v>
      </c>
      <c r="I993" s="36" t="s">
        <v>1298</v>
      </c>
      <c r="J993" s="36" t="s">
        <v>1299</v>
      </c>
      <c r="K993" s="38" t="n">
        <v>115</v>
      </c>
      <c r="L993" s="38" t="n">
        <v>7935000</v>
      </c>
      <c r="M993" s="38" t="n">
        <v>2455480</v>
      </c>
      <c r="N993" s="39" t="n">
        <f aca="false">IF(A993="제외",0,IF(OR(N(L993)&lt;=0,N(M993)&gt;N(L993)),N(M993)/요약!$D$27,N(L993)))</f>
        <v>7935000</v>
      </c>
      <c r="O993" s="32" t="str">
        <f aca="false">IF(A993="제외","",IF(OR(N(L993)&lt;=0,N(M993)&gt;N(L993)),"택가보정(판매금액÷공급율)",""))</f>
        <v/>
      </c>
      <c r="P993" s="0" t="str">
        <f aca="false">IF(A993="HK","100",IF(A993="CN","200",IF(A993="TW","300",IF(ISNUMBER(SEARCH("태국",C993)),"500",IF(ISNUMBER(SEARCH("말레이",C993)),"600",IF(ISNUMBER(SEARCH("필리핀",C993)),"700",IF(ISNUMBER(SEARCH("인도네시아",C993)),"800",IF(ISNUMBER(SEARCH("크루즈",C993)),"810",IF(ISNUMBER(SEARCH("동물원",C993)),"830","")))))))))</f>
        <v>600</v>
      </c>
    </row>
    <row r="994" customFormat="false" ht="15" hidden="false" customHeight="false" outlineLevel="0" collapsed="false">
      <c r="A994" s="32" t="str">
        <f aca="false">IF(OR(TRIM(C994)="",SUBSTITUTE(C994," ","")="소계"),"제외",IF(ISNUMBER(SEARCH("홍콩",C994)),"HK",IF(ISNUMBER(SEARCH("상해",C994)),"CN",IF(ISNUMBER(SEARCH("대만",C994)),"TW","홀세일"))))</f>
        <v>홀세일</v>
      </c>
      <c r="B994" s="36" t="s">
        <v>1262</v>
      </c>
      <c r="C994" s="36" t="s">
        <v>1263</v>
      </c>
      <c r="D994" s="37" t="s">
        <v>123</v>
      </c>
      <c r="E994" s="36" t="n">
        <v>2026</v>
      </c>
      <c r="F994" s="37" t="s">
        <v>219</v>
      </c>
      <c r="G994" s="37" t="s">
        <v>124</v>
      </c>
      <c r="H994" s="36" t="s">
        <v>131</v>
      </c>
      <c r="I994" s="36" t="s">
        <v>1300</v>
      </c>
      <c r="J994" s="36" t="s">
        <v>1301</v>
      </c>
      <c r="K994" s="38" t="n">
        <v>65</v>
      </c>
      <c r="L994" s="38" t="n">
        <v>4485000</v>
      </c>
      <c r="M994" s="38" t="n">
        <v>1387880</v>
      </c>
      <c r="N994" s="39" t="n">
        <f aca="false">IF(A994="제외",0,IF(OR(N(L994)&lt;=0,N(M994)&gt;N(L994)),N(M994)/요약!$D$27,N(L994)))</f>
        <v>4485000</v>
      </c>
      <c r="O994" s="32" t="str">
        <f aca="false">IF(A994="제외","",IF(OR(N(L994)&lt;=0,N(M994)&gt;N(L994)),"택가보정(판매금액÷공급율)",""))</f>
        <v/>
      </c>
      <c r="P994" s="0" t="str">
        <f aca="false">IF(A994="HK","100",IF(A994="CN","200",IF(A994="TW","300",IF(ISNUMBER(SEARCH("태국",C994)),"500",IF(ISNUMBER(SEARCH("말레이",C994)),"600",IF(ISNUMBER(SEARCH("필리핀",C994)),"700",IF(ISNUMBER(SEARCH("인도네시아",C994)),"800",IF(ISNUMBER(SEARCH("크루즈",C994)),"810",IF(ISNUMBER(SEARCH("동물원",C994)),"830","")))))))))</f>
        <v>600</v>
      </c>
    </row>
    <row r="995" customFormat="false" ht="15" hidden="false" customHeight="false" outlineLevel="0" collapsed="false">
      <c r="A995" s="32" t="str">
        <f aca="false">IF(OR(TRIM(C995)="",SUBSTITUTE(C995," ","")="소계"),"제외",IF(ISNUMBER(SEARCH("홍콩",C995)),"HK",IF(ISNUMBER(SEARCH("상해",C995)),"CN",IF(ISNUMBER(SEARCH("대만",C995)),"TW","홀세일"))))</f>
        <v>홀세일</v>
      </c>
      <c r="B995" s="36" t="s">
        <v>1262</v>
      </c>
      <c r="C995" s="36" t="s">
        <v>1263</v>
      </c>
      <c r="D995" s="37" t="s">
        <v>123</v>
      </c>
      <c r="E995" s="36" t="n">
        <v>2026</v>
      </c>
      <c r="F995" s="37" t="s">
        <v>219</v>
      </c>
      <c r="G995" s="37" t="s">
        <v>124</v>
      </c>
      <c r="H995" s="36" t="s">
        <v>131</v>
      </c>
      <c r="I995" s="36" t="s">
        <v>1302</v>
      </c>
      <c r="J995" s="36" t="s">
        <v>1303</v>
      </c>
      <c r="K995" s="38" t="n">
        <v>40</v>
      </c>
      <c r="L995" s="38" t="n">
        <v>2760000</v>
      </c>
      <c r="M995" s="38" t="n">
        <v>854080</v>
      </c>
      <c r="N995" s="39" t="n">
        <f aca="false">IF(A995="제외",0,IF(OR(N(L995)&lt;=0,N(M995)&gt;N(L995)),N(M995)/요약!$D$27,N(L995)))</f>
        <v>2760000</v>
      </c>
      <c r="O995" s="32" t="str">
        <f aca="false">IF(A995="제외","",IF(OR(N(L995)&lt;=0,N(M995)&gt;N(L995)),"택가보정(판매금액÷공급율)",""))</f>
        <v/>
      </c>
      <c r="P995" s="0" t="str">
        <f aca="false">IF(A995="HK","100",IF(A995="CN","200",IF(A995="TW","300",IF(ISNUMBER(SEARCH("태국",C995)),"500",IF(ISNUMBER(SEARCH("말레이",C995)),"600",IF(ISNUMBER(SEARCH("필리핀",C995)),"700",IF(ISNUMBER(SEARCH("인도네시아",C995)),"800",IF(ISNUMBER(SEARCH("크루즈",C995)),"810",IF(ISNUMBER(SEARCH("동물원",C995)),"830","")))))))))</f>
        <v>600</v>
      </c>
    </row>
    <row r="996" customFormat="false" ht="15" hidden="false" customHeight="false" outlineLevel="0" collapsed="false">
      <c r="A996" s="32" t="str">
        <f aca="false">IF(OR(TRIM(C996)="",SUBSTITUTE(C996," ","")="소계"),"제외",IF(ISNUMBER(SEARCH("홍콩",C996)),"HK",IF(ISNUMBER(SEARCH("상해",C996)),"CN",IF(ISNUMBER(SEARCH("대만",C996)),"TW","홀세일"))))</f>
        <v>홀세일</v>
      </c>
      <c r="B996" s="36" t="s">
        <v>1262</v>
      </c>
      <c r="C996" s="36" t="s">
        <v>1263</v>
      </c>
      <c r="D996" s="37" t="s">
        <v>123</v>
      </c>
      <c r="E996" s="36" t="n">
        <v>2026</v>
      </c>
      <c r="F996" s="37" t="s">
        <v>219</v>
      </c>
      <c r="G996" s="37" t="s">
        <v>124</v>
      </c>
      <c r="H996" s="36" t="s">
        <v>125</v>
      </c>
      <c r="I996" s="36" t="s">
        <v>314</v>
      </c>
      <c r="J996" s="37" t="s">
        <v>315</v>
      </c>
      <c r="K996" s="38" t="n">
        <v>100</v>
      </c>
      <c r="L996" s="38" t="n">
        <v>5900000</v>
      </c>
      <c r="M996" s="38" t="n">
        <v>2126300</v>
      </c>
      <c r="N996" s="39" t="n">
        <f aca="false">IF(A996="제외",0,IF(OR(N(L996)&lt;=0,N(M996)&gt;N(L996)),N(M996)/요약!$D$27,N(L996)))</f>
        <v>5900000</v>
      </c>
      <c r="O996" s="32" t="str">
        <f aca="false">IF(A996="제외","",IF(OR(N(L996)&lt;=0,N(M996)&gt;N(L996)),"택가보정(판매금액÷공급율)",""))</f>
        <v/>
      </c>
      <c r="P996" s="0" t="str">
        <f aca="false">IF(A996="HK","100",IF(A996="CN","200",IF(A996="TW","300",IF(ISNUMBER(SEARCH("태국",C996)),"500",IF(ISNUMBER(SEARCH("말레이",C996)),"600",IF(ISNUMBER(SEARCH("필리핀",C996)),"700",IF(ISNUMBER(SEARCH("인도네시아",C996)),"800",IF(ISNUMBER(SEARCH("크루즈",C996)),"810",IF(ISNUMBER(SEARCH("동물원",C996)),"830","")))))))))</f>
        <v>600</v>
      </c>
    </row>
    <row r="997" customFormat="false" ht="15" hidden="false" customHeight="false" outlineLevel="0" collapsed="false">
      <c r="A997" s="32" t="str">
        <f aca="false">IF(OR(TRIM(C997)="",SUBSTITUTE(C997," ","")="소계"),"제외",IF(ISNUMBER(SEARCH("홍콩",C997)),"HK",IF(ISNUMBER(SEARCH("상해",C997)),"CN",IF(ISNUMBER(SEARCH("대만",C997)),"TW","홀세일"))))</f>
        <v>홀세일</v>
      </c>
      <c r="B997" s="36" t="s">
        <v>1262</v>
      </c>
      <c r="C997" s="36" t="s">
        <v>1263</v>
      </c>
      <c r="D997" s="37" t="s">
        <v>123</v>
      </c>
      <c r="E997" s="36" t="n">
        <v>2026</v>
      </c>
      <c r="F997" s="37" t="s">
        <v>219</v>
      </c>
      <c r="G997" s="37" t="s">
        <v>124</v>
      </c>
      <c r="H997" s="36" t="s">
        <v>125</v>
      </c>
      <c r="I997" s="36" t="s">
        <v>318</v>
      </c>
      <c r="J997" s="37" t="s">
        <v>319</v>
      </c>
      <c r="K997" s="38" t="n">
        <v>75</v>
      </c>
      <c r="L997" s="38" t="n">
        <v>4425000</v>
      </c>
      <c r="M997" s="38" t="n">
        <v>1640025</v>
      </c>
      <c r="N997" s="39" t="n">
        <f aca="false">IF(A997="제외",0,IF(OR(N(L997)&lt;=0,N(M997)&gt;N(L997)),N(M997)/요약!$D$27,N(L997)))</f>
        <v>4425000</v>
      </c>
      <c r="O997" s="32" t="str">
        <f aca="false">IF(A997="제외","",IF(OR(N(L997)&lt;=0,N(M997)&gt;N(L997)),"택가보정(판매금액÷공급율)",""))</f>
        <v/>
      </c>
      <c r="P997" s="0" t="str">
        <f aca="false">IF(A997="HK","100",IF(A997="CN","200",IF(A997="TW","300",IF(ISNUMBER(SEARCH("태국",C997)),"500",IF(ISNUMBER(SEARCH("말레이",C997)),"600",IF(ISNUMBER(SEARCH("필리핀",C997)),"700",IF(ISNUMBER(SEARCH("인도네시아",C997)),"800",IF(ISNUMBER(SEARCH("크루즈",C997)),"810",IF(ISNUMBER(SEARCH("동물원",C997)),"830","")))))))))</f>
        <v>600</v>
      </c>
    </row>
    <row r="998" customFormat="false" ht="15" hidden="false" customHeight="false" outlineLevel="0" collapsed="false">
      <c r="A998" s="32" t="str">
        <f aca="false">IF(OR(TRIM(C998)="",SUBSTITUTE(C998," ","")="소계"),"제외",IF(ISNUMBER(SEARCH("홍콩",C998)),"HK",IF(ISNUMBER(SEARCH("상해",C998)),"CN",IF(ISNUMBER(SEARCH("대만",C998)),"TW","홀세일"))))</f>
        <v>홀세일</v>
      </c>
      <c r="B998" s="36" t="s">
        <v>1262</v>
      </c>
      <c r="C998" s="36" t="s">
        <v>1263</v>
      </c>
      <c r="D998" s="37" t="s">
        <v>123</v>
      </c>
      <c r="E998" s="36" t="n">
        <v>2026</v>
      </c>
      <c r="F998" s="37" t="s">
        <v>219</v>
      </c>
      <c r="G998" s="37" t="s">
        <v>124</v>
      </c>
      <c r="H998" s="36" t="s">
        <v>125</v>
      </c>
      <c r="I998" s="36" t="s">
        <v>320</v>
      </c>
      <c r="J998" s="37" t="s">
        <v>321</v>
      </c>
      <c r="K998" s="38" t="n">
        <v>45</v>
      </c>
      <c r="L998" s="38" t="n">
        <v>3105000</v>
      </c>
      <c r="M998" s="38" t="n">
        <v>1150245</v>
      </c>
      <c r="N998" s="39" t="n">
        <f aca="false">IF(A998="제외",0,IF(OR(N(L998)&lt;=0,N(M998)&gt;N(L998)),N(M998)/요약!$D$27,N(L998)))</f>
        <v>3105000</v>
      </c>
      <c r="O998" s="32" t="str">
        <f aca="false">IF(A998="제외","",IF(OR(N(L998)&lt;=0,N(M998)&gt;N(L998)),"택가보정(판매금액÷공급율)",""))</f>
        <v/>
      </c>
      <c r="P998" s="0" t="str">
        <f aca="false">IF(A998="HK","100",IF(A998="CN","200",IF(A998="TW","300",IF(ISNUMBER(SEARCH("태국",C998)),"500",IF(ISNUMBER(SEARCH("말레이",C998)),"600",IF(ISNUMBER(SEARCH("필리핀",C998)),"700",IF(ISNUMBER(SEARCH("인도네시아",C998)),"800",IF(ISNUMBER(SEARCH("크루즈",C998)),"810",IF(ISNUMBER(SEARCH("동물원",C998)),"830","")))))))))</f>
        <v>600</v>
      </c>
    </row>
    <row r="999" customFormat="false" ht="15" hidden="false" customHeight="false" outlineLevel="0" collapsed="false">
      <c r="A999" s="32" t="str">
        <f aca="false">IF(OR(TRIM(C999)="",SUBSTITUTE(C999," ","")="소계"),"제외",IF(ISNUMBER(SEARCH("홍콩",C999)),"HK",IF(ISNUMBER(SEARCH("상해",C999)),"CN",IF(ISNUMBER(SEARCH("대만",C999)),"TW","홀세일"))))</f>
        <v>홀세일</v>
      </c>
      <c r="B999" s="36" t="s">
        <v>1262</v>
      </c>
      <c r="C999" s="36" t="s">
        <v>1263</v>
      </c>
      <c r="D999" s="37" t="s">
        <v>123</v>
      </c>
      <c r="E999" s="36" t="n">
        <v>2026</v>
      </c>
      <c r="F999" s="37" t="s">
        <v>219</v>
      </c>
      <c r="G999" s="37" t="s">
        <v>360</v>
      </c>
      <c r="H999" s="36" t="s">
        <v>131</v>
      </c>
      <c r="I999" s="36" t="s">
        <v>1304</v>
      </c>
      <c r="J999" s="37" t="s">
        <v>1305</v>
      </c>
      <c r="K999" s="38" t="n">
        <v>120</v>
      </c>
      <c r="L999" s="38" t="n">
        <v>5880000</v>
      </c>
      <c r="M999" s="38" t="n">
        <v>2504400</v>
      </c>
      <c r="N999" s="39" t="n">
        <f aca="false">IF(A999="제외",0,IF(OR(N(L999)&lt;=0,N(M999)&gt;N(L999)),N(M999)/요약!$D$27,N(L999)))</f>
        <v>5880000</v>
      </c>
      <c r="O999" s="32" t="str">
        <f aca="false">IF(A999="제외","",IF(OR(N(L999)&lt;=0,N(M999)&gt;N(L999)),"택가보정(판매금액÷공급율)",""))</f>
        <v/>
      </c>
      <c r="P999" s="0" t="str">
        <f aca="false">IF(A999="HK","100",IF(A999="CN","200",IF(A999="TW","300",IF(ISNUMBER(SEARCH("태국",C999)),"500",IF(ISNUMBER(SEARCH("말레이",C999)),"600",IF(ISNUMBER(SEARCH("필리핀",C999)),"700",IF(ISNUMBER(SEARCH("인도네시아",C999)),"800",IF(ISNUMBER(SEARCH("크루즈",C999)),"810",IF(ISNUMBER(SEARCH("동물원",C999)),"830","")))))))))</f>
        <v>600</v>
      </c>
    </row>
    <row r="1000" customFormat="false" ht="15" hidden="false" customHeight="false" outlineLevel="0" collapsed="false">
      <c r="A1000" s="32" t="str">
        <f aca="false">IF(OR(TRIM(C1000)="",SUBSTITUTE(C1000," ","")="소계"),"제외",IF(ISNUMBER(SEARCH("홍콩",C1000)),"HK",IF(ISNUMBER(SEARCH("상해",C1000)),"CN",IF(ISNUMBER(SEARCH("대만",C1000)),"TW","홀세일"))))</f>
        <v>홀세일</v>
      </c>
      <c r="B1000" s="36" t="s">
        <v>1262</v>
      </c>
      <c r="C1000" s="36" t="s">
        <v>1263</v>
      </c>
      <c r="D1000" s="37" t="s">
        <v>123</v>
      </c>
      <c r="E1000" s="36" t="n">
        <v>2026</v>
      </c>
      <c r="F1000" s="37" t="s">
        <v>219</v>
      </c>
      <c r="G1000" s="37" t="s">
        <v>124</v>
      </c>
      <c r="H1000" s="36" t="s">
        <v>188</v>
      </c>
      <c r="I1000" s="36" t="s">
        <v>1306</v>
      </c>
      <c r="J1000" s="36" t="s">
        <v>1307</v>
      </c>
      <c r="K1000" s="38" t="n">
        <v>20</v>
      </c>
      <c r="L1000" s="38" t="n">
        <v>1780000</v>
      </c>
      <c r="M1000" s="38" t="n">
        <v>657000</v>
      </c>
      <c r="N1000" s="39" t="n">
        <f aca="false">IF(A1000="제외",0,IF(OR(N(L1000)&lt;=0,N(M1000)&gt;N(L1000)),N(M1000)/요약!$D$27,N(L1000)))</f>
        <v>1780000</v>
      </c>
      <c r="O1000" s="32" t="str">
        <f aca="false">IF(A1000="제외","",IF(OR(N(L1000)&lt;=0,N(M1000)&gt;N(L1000)),"택가보정(판매금액÷공급율)",""))</f>
        <v/>
      </c>
      <c r="P1000" s="0" t="str">
        <f aca="false">IF(A1000="HK","100",IF(A1000="CN","200",IF(A1000="TW","300",IF(ISNUMBER(SEARCH("태국",C1000)),"500",IF(ISNUMBER(SEARCH("말레이",C1000)),"600",IF(ISNUMBER(SEARCH("필리핀",C1000)),"700",IF(ISNUMBER(SEARCH("인도네시아",C1000)),"800",IF(ISNUMBER(SEARCH("크루즈",C1000)),"810",IF(ISNUMBER(SEARCH("동물원",C1000)),"830","")))))))))</f>
        <v>600</v>
      </c>
    </row>
    <row r="1001" customFormat="false" ht="15" hidden="false" customHeight="false" outlineLevel="0" collapsed="false">
      <c r="A1001" s="32" t="str">
        <f aca="false">IF(OR(TRIM(C1001)="",SUBSTITUTE(C1001," ","")="소계"),"제외",IF(ISNUMBER(SEARCH("홍콩",C1001)),"HK",IF(ISNUMBER(SEARCH("상해",C1001)),"CN",IF(ISNUMBER(SEARCH("대만",C1001)),"TW","홀세일"))))</f>
        <v>홀세일</v>
      </c>
      <c r="B1001" s="36" t="s">
        <v>1262</v>
      </c>
      <c r="C1001" s="36" t="s">
        <v>1263</v>
      </c>
      <c r="D1001" s="37" t="s">
        <v>123</v>
      </c>
      <c r="E1001" s="36" t="n">
        <v>2026</v>
      </c>
      <c r="F1001" s="37" t="s">
        <v>219</v>
      </c>
      <c r="G1001" s="37" t="s">
        <v>124</v>
      </c>
      <c r="H1001" s="36" t="s">
        <v>188</v>
      </c>
      <c r="I1001" s="36" t="s">
        <v>322</v>
      </c>
      <c r="J1001" s="36" t="s">
        <v>323</v>
      </c>
      <c r="K1001" s="38" t="n">
        <v>15</v>
      </c>
      <c r="L1001" s="38" t="n">
        <v>1185000</v>
      </c>
      <c r="M1001" s="38" t="n">
        <v>423075</v>
      </c>
      <c r="N1001" s="39" t="n">
        <f aca="false">IF(A1001="제외",0,IF(OR(N(L1001)&lt;=0,N(M1001)&gt;N(L1001)),N(M1001)/요약!$D$27,N(L1001)))</f>
        <v>1185000</v>
      </c>
      <c r="O1001" s="32" t="str">
        <f aca="false">IF(A1001="제외","",IF(OR(N(L1001)&lt;=0,N(M1001)&gt;N(L1001)),"택가보정(판매금액÷공급율)",""))</f>
        <v/>
      </c>
      <c r="P1001" s="0" t="str">
        <f aca="false">IF(A1001="HK","100",IF(A1001="CN","200",IF(A1001="TW","300",IF(ISNUMBER(SEARCH("태국",C1001)),"500",IF(ISNUMBER(SEARCH("말레이",C1001)),"600",IF(ISNUMBER(SEARCH("필리핀",C1001)),"700",IF(ISNUMBER(SEARCH("인도네시아",C1001)),"800",IF(ISNUMBER(SEARCH("크루즈",C1001)),"810",IF(ISNUMBER(SEARCH("동물원",C1001)),"830","")))))))))</f>
        <v>600</v>
      </c>
    </row>
    <row r="1002" customFormat="false" ht="15" hidden="false" customHeight="false" outlineLevel="0" collapsed="false">
      <c r="A1002" s="32" t="str">
        <f aca="false">IF(OR(TRIM(C1002)="",SUBSTITUTE(C1002," ","")="소계"),"제외",IF(ISNUMBER(SEARCH("홍콩",C1002)),"HK",IF(ISNUMBER(SEARCH("상해",C1002)),"CN",IF(ISNUMBER(SEARCH("대만",C1002)),"TW","홀세일"))))</f>
        <v>홀세일</v>
      </c>
      <c r="B1002" s="36" t="s">
        <v>1262</v>
      </c>
      <c r="C1002" s="36" t="s">
        <v>1263</v>
      </c>
      <c r="D1002" s="37" t="s">
        <v>123</v>
      </c>
      <c r="E1002" s="36" t="n">
        <v>2026</v>
      </c>
      <c r="F1002" s="37" t="s">
        <v>219</v>
      </c>
      <c r="G1002" s="37" t="s">
        <v>124</v>
      </c>
      <c r="H1002" s="36" t="s">
        <v>188</v>
      </c>
      <c r="I1002" s="36" t="s">
        <v>326</v>
      </c>
      <c r="J1002" s="36" t="s">
        <v>327</v>
      </c>
      <c r="K1002" s="38" t="n">
        <v>35</v>
      </c>
      <c r="L1002" s="38" t="n">
        <v>2765000</v>
      </c>
      <c r="M1002" s="38" t="n">
        <v>987175</v>
      </c>
      <c r="N1002" s="39" t="n">
        <f aca="false">IF(A1002="제외",0,IF(OR(N(L1002)&lt;=0,N(M1002)&gt;N(L1002)),N(M1002)/요약!$D$27,N(L1002)))</f>
        <v>2765000</v>
      </c>
      <c r="O1002" s="32" t="str">
        <f aca="false">IF(A1002="제외","",IF(OR(N(L1002)&lt;=0,N(M1002)&gt;N(L1002)),"택가보정(판매금액÷공급율)",""))</f>
        <v/>
      </c>
      <c r="P1002" s="0" t="str">
        <f aca="false">IF(A1002="HK","100",IF(A1002="CN","200",IF(A1002="TW","300",IF(ISNUMBER(SEARCH("태국",C1002)),"500",IF(ISNUMBER(SEARCH("말레이",C1002)),"600",IF(ISNUMBER(SEARCH("필리핀",C1002)),"700",IF(ISNUMBER(SEARCH("인도네시아",C1002)),"800",IF(ISNUMBER(SEARCH("크루즈",C1002)),"810",IF(ISNUMBER(SEARCH("동물원",C1002)),"830","")))))))))</f>
        <v>600</v>
      </c>
    </row>
    <row r="1003" customFormat="false" ht="15" hidden="false" customHeight="false" outlineLevel="0" collapsed="false">
      <c r="A1003" s="32" t="str">
        <f aca="false">IF(OR(TRIM(C1003)="",SUBSTITUTE(C1003," ","")="소계"),"제외",IF(ISNUMBER(SEARCH("홍콩",C1003)),"HK",IF(ISNUMBER(SEARCH("상해",C1003)),"CN",IF(ISNUMBER(SEARCH("대만",C1003)),"TW","홀세일"))))</f>
        <v>홀세일</v>
      </c>
      <c r="B1003" s="36" t="s">
        <v>1262</v>
      </c>
      <c r="C1003" s="36" t="s">
        <v>1263</v>
      </c>
      <c r="D1003" s="37" t="s">
        <v>123</v>
      </c>
      <c r="E1003" s="36" t="n">
        <v>2026</v>
      </c>
      <c r="F1003" s="37" t="s">
        <v>219</v>
      </c>
      <c r="G1003" s="37" t="s">
        <v>124</v>
      </c>
      <c r="H1003" s="36" t="s">
        <v>188</v>
      </c>
      <c r="I1003" s="36" t="s">
        <v>838</v>
      </c>
      <c r="J1003" s="36" t="s">
        <v>839</v>
      </c>
      <c r="K1003" s="38" t="n">
        <v>20</v>
      </c>
      <c r="L1003" s="38" t="n">
        <v>1780000</v>
      </c>
      <c r="M1003" s="38" t="n">
        <v>657000</v>
      </c>
      <c r="N1003" s="39" t="n">
        <f aca="false">IF(A1003="제외",0,IF(OR(N(L1003)&lt;=0,N(M1003)&gt;N(L1003)),N(M1003)/요약!$D$27,N(L1003)))</f>
        <v>1780000</v>
      </c>
      <c r="O1003" s="32" t="str">
        <f aca="false">IF(A1003="제외","",IF(OR(N(L1003)&lt;=0,N(M1003)&gt;N(L1003)),"택가보정(판매금액÷공급율)",""))</f>
        <v/>
      </c>
      <c r="P1003" s="0" t="str">
        <f aca="false">IF(A1003="HK","100",IF(A1003="CN","200",IF(A1003="TW","300",IF(ISNUMBER(SEARCH("태국",C1003)),"500",IF(ISNUMBER(SEARCH("말레이",C1003)),"600",IF(ISNUMBER(SEARCH("필리핀",C1003)),"700",IF(ISNUMBER(SEARCH("인도네시아",C1003)),"800",IF(ISNUMBER(SEARCH("크루즈",C1003)),"810",IF(ISNUMBER(SEARCH("동물원",C1003)),"830","")))))))))</f>
        <v>600</v>
      </c>
    </row>
    <row r="1004" customFormat="false" ht="15" hidden="false" customHeight="false" outlineLevel="0" collapsed="false">
      <c r="A1004" s="32" t="str">
        <f aca="false">IF(OR(TRIM(C1004)="",SUBSTITUTE(C1004," ","")="소계"),"제외",IF(ISNUMBER(SEARCH("홍콩",C1004)),"HK",IF(ISNUMBER(SEARCH("상해",C1004)),"CN",IF(ISNUMBER(SEARCH("대만",C1004)),"TW","홀세일"))))</f>
        <v>홀세일</v>
      </c>
      <c r="B1004" s="36" t="s">
        <v>1262</v>
      </c>
      <c r="C1004" s="36" t="s">
        <v>1263</v>
      </c>
      <c r="D1004" s="37" t="s">
        <v>123</v>
      </c>
      <c r="E1004" s="36" t="n">
        <v>2026</v>
      </c>
      <c r="F1004" s="37" t="s">
        <v>219</v>
      </c>
      <c r="G1004" s="37" t="s">
        <v>124</v>
      </c>
      <c r="H1004" s="36" t="s">
        <v>188</v>
      </c>
      <c r="I1004" s="36" t="s">
        <v>330</v>
      </c>
      <c r="J1004" s="36" t="s">
        <v>331</v>
      </c>
      <c r="K1004" s="38" t="n">
        <v>20</v>
      </c>
      <c r="L1004" s="38" t="n">
        <v>2780000</v>
      </c>
      <c r="M1004" s="38" t="n">
        <v>1010040</v>
      </c>
      <c r="N1004" s="39" t="n">
        <f aca="false">IF(A1004="제외",0,IF(OR(N(L1004)&lt;=0,N(M1004)&gt;N(L1004)),N(M1004)/요약!$D$27,N(L1004)))</f>
        <v>2780000</v>
      </c>
      <c r="O1004" s="32" t="str">
        <f aca="false">IF(A1004="제외","",IF(OR(N(L1004)&lt;=0,N(M1004)&gt;N(L1004)),"택가보정(판매금액÷공급율)",""))</f>
        <v/>
      </c>
      <c r="P1004" s="0" t="str">
        <f aca="false">IF(A1004="HK","100",IF(A1004="CN","200",IF(A1004="TW","300",IF(ISNUMBER(SEARCH("태국",C1004)),"500",IF(ISNUMBER(SEARCH("말레이",C1004)),"600",IF(ISNUMBER(SEARCH("필리핀",C1004)),"700",IF(ISNUMBER(SEARCH("인도네시아",C1004)),"800",IF(ISNUMBER(SEARCH("크루즈",C1004)),"810",IF(ISNUMBER(SEARCH("동물원",C1004)),"830","")))))))))</f>
        <v>600</v>
      </c>
    </row>
    <row r="1005" customFormat="false" ht="15" hidden="false" customHeight="false" outlineLevel="0" collapsed="false">
      <c r="A1005" s="32" t="str">
        <f aca="false">IF(OR(TRIM(C1005)="",SUBSTITUTE(C1005," ","")="소계"),"제외",IF(ISNUMBER(SEARCH("홍콩",C1005)),"HK",IF(ISNUMBER(SEARCH("상해",C1005)),"CN",IF(ISNUMBER(SEARCH("대만",C1005)),"TW","홀세일"))))</f>
        <v>홀세일</v>
      </c>
      <c r="B1005" s="36" t="s">
        <v>1262</v>
      </c>
      <c r="C1005" s="36" t="s">
        <v>1263</v>
      </c>
      <c r="D1005" s="37" t="s">
        <v>123</v>
      </c>
      <c r="E1005" s="36" t="n">
        <v>2026</v>
      </c>
      <c r="F1005" s="37" t="s">
        <v>219</v>
      </c>
      <c r="G1005" s="37" t="s">
        <v>124</v>
      </c>
      <c r="H1005" s="36" t="s">
        <v>188</v>
      </c>
      <c r="I1005" s="36" t="s">
        <v>332</v>
      </c>
      <c r="J1005" s="36" t="s">
        <v>333</v>
      </c>
      <c r="K1005" s="38" t="n">
        <v>30</v>
      </c>
      <c r="L1005" s="38" t="n">
        <v>3870000</v>
      </c>
      <c r="M1005" s="38" t="n">
        <v>1406220</v>
      </c>
      <c r="N1005" s="39" t="n">
        <f aca="false">IF(A1005="제외",0,IF(OR(N(L1005)&lt;=0,N(M1005)&gt;N(L1005)),N(M1005)/요약!$D$27,N(L1005)))</f>
        <v>3870000</v>
      </c>
      <c r="O1005" s="32" t="str">
        <f aca="false">IF(A1005="제외","",IF(OR(N(L1005)&lt;=0,N(M1005)&gt;N(L1005)),"택가보정(판매금액÷공급율)",""))</f>
        <v/>
      </c>
      <c r="P1005" s="0" t="str">
        <f aca="false">IF(A1005="HK","100",IF(A1005="CN","200",IF(A1005="TW","300",IF(ISNUMBER(SEARCH("태국",C1005)),"500",IF(ISNUMBER(SEARCH("말레이",C1005)),"600",IF(ISNUMBER(SEARCH("필리핀",C1005)),"700",IF(ISNUMBER(SEARCH("인도네시아",C1005)),"800",IF(ISNUMBER(SEARCH("크루즈",C1005)),"810",IF(ISNUMBER(SEARCH("동물원",C1005)),"830","")))))))))</f>
        <v>600</v>
      </c>
    </row>
    <row r="1006" customFormat="false" ht="15" hidden="false" customHeight="false" outlineLevel="0" collapsed="false">
      <c r="A1006" s="32" t="str">
        <f aca="false">IF(OR(TRIM(C1006)="",SUBSTITUTE(C1006," ","")="소계"),"제외",IF(ISNUMBER(SEARCH("홍콩",C1006)),"HK",IF(ISNUMBER(SEARCH("상해",C1006)),"CN",IF(ISNUMBER(SEARCH("대만",C1006)),"TW","홀세일"))))</f>
        <v>홀세일</v>
      </c>
      <c r="B1006" s="36" t="s">
        <v>1262</v>
      </c>
      <c r="C1006" s="36" t="s">
        <v>1263</v>
      </c>
      <c r="D1006" s="37" t="s">
        <v>123</v>
      </c>
      <c r="E1006" s="36" t="n">
        <v>2026</v>
      </c>
      <c r="F1006" s="37" t="s">
        <v>219</v>
      </c>
      <c r="G1006" s="37" t="s">
        <v>124</v>
      </c>
      <c r="H1006" s="36" t="s">
        <v>188</v>
      </c>
      <c r="I1006" s="36" t="s">
        <v>334</v>
      </c>
      <c r="J1006" s="36" t="s">
        <v>335</v>
      </c>
      <c r="K1006" s="38" t="n">
        <v>20</v>
      </c>
      <c r="L1006" s="38" t="n">
        <v>2980000</v>
      </c>
      <c r="M1006" s="38" t="n">
        <v>1062680</v>
      </c>
      <c r="N1006" s="39" t="n">
        <f aca="false">IF(A1006="제외",0,IF(OR(N(L1006)&lt;=0,N(M1006)&gt;N(L1006)),N(M1006)/요약!$D$27,N(L1006)))</f>
        <v>2980000</v>
      </c>
      <c r="O1006" s="32" t="str">
        <f aca="false">IF(A1006="제외","",IF(OR(N(L1006)&lt;=0,N(M1006)&gt;N(L1006)),"택가보정(판매금액÷공급율)",""))</f>
        <v/>
      </c>
      <c r="P1006" s="0" t="str">
        <f aca="false">IF(A1006="HK","100",IF(A1006="CN","200",IF(A1006="TW","300",IF(ISNUMBER(SEARCH("태국",C1006)),"500",IF(ISNUMBER(SEARCH("말레이",C1006)),"600",IF(ISNUMBER(SEARCH("필리핀",C1006)),"700",IF(ISNUMBER(SEARCH("인도네시아",C1006)),"800",IF(ISNUMBER(SEARCH("크루즈",C1006)),"810",IF(ISNUMBER(SEARCH("동물원",C1006)),"830","")))))))))</f>
        <v>600</v>
      </c>
    </row>
    <row r="1007" customFormat="false" ht="15" hidden="false" customHeight="false" outlineLevel="0" collapsed="false">
      <c r="A1007" s="32" t="str">
        <f aca="false">IF(OR(TRIM(C1007)="",SUBSTITUTE(C1007," ","")="소계"),"제외",IF(ISNUMBER(SEARCH("홍콩",C1007)),"HK",IF(ISNUMBER(SEARCH("상해",C1007)),"CN",IF(ISNUMBER(SEARCH("대만",C1007)),"TW","홀세일"))))</f>
        <v>홀세일</v>
      </c>
      <c r="B1007" s="36" t="s">
        <v>1262</v>
      </c>
      <c r="C1007" s="36" t="s">
        <v>1263</v>
      </c>
      <c r="D1007" s="37" t="s">
        <v>123</v>
      </c>
      <c r="E1007" s="36" t="n">
        <v>2026</v>
      </c>
      <c r="F1007" s="37" t="s">
        <v>219</v>
      </c>
      <c r="G1007" s="37" t="s">
        <v>124</v>
      </c>
      <c r="H1007" s="36" t="s">
        <v>188</v>
      </c>
      <c r="I1007" s="36" t="s">
        <v>338</v>
      </c>
      <c r="J1007" s="36" t="s">
        <v>339</v>
      </c>
      <c r="K1007" s="38" t="n">
        <v>45</v>
      </c>
      <c r="L1007" s="38" t="n">
        <v>5805000</v>
      </c>
      <c r="M1007" s="38" t="n">
        <v>2109330</v>
      </c>
      <c r="N1007" s="39" t="n">
        <f aca="false">IF(A1007="제외",0,IF(OR(N(L1007)&lt;=0,N(M1007)&gt;N(L1007)),N(M1007)/요약!$D$27,N(L1007)))</f>
        <v>5805000</v>
      </c>
      <c r="O1007" s="32" t="str">
        <f aca="false">IF(A1007="제외","",IF(OR(N(L1007)&lt;=0,N(M1007)&gt;N(L1007)),"택가보정(판매금액÷공급율)",""))</f>
        <v/>
      </c>
      <c r="P1007" s="0" t="str">
        <f aca="false">IF(A1007="HK","100",IF(A1007="CN","200",IF(A1007="TW","300",IF(ISNUMBER(SEARCH("태국",C1007)),"500",IF(ISNUMBER(SEARCH("말레이",C1007)),"600",IF(ISNUMBER(SEARCH("필리핀",C1007)),"700",IF(ISNUMBER(SEARCH("인도네시아",C1007)),"800",IF(ISNUMBER(SEARCH("크루즈",C1007)),"810",IF(ISNUMBER(SEARCH("동물원",C1007)),"830","")))))))))</f>
        <v>600</v>
      </c>
    </row>
    <row r="1008" customFormat="false" ht="15" hidden="false" customHeight="false" outlineLevel="0" collapsed="false">
      <c r="A1008" s="32" t="str">
        <f aca="false">IF(OR(TRIM(C1008)="",SUBSTITUTE(C1008," ","")="소계"),"제외",IF(ISNUMBER(SEARCH("홍콩",C1008)),"HK",IF(ISNUMBER(SEARCH("상해",C1008)),"CN",IF(ISNUMBER(SEARCH("대만",C1008)),"TW","홀세일"))))</f>
        <v>홀세일</v>
      </c>
      <c r="B1008" s="36" t="s">
        <v>1262</v>
      </c>
      <c r="C1008" s="36" t="s">
        <v>1263</v>
      </c>
      <c r="D1008" s="37" t="s">
        <v>123</v>
      </c>
      <c r="E1008" s="36" t="n">
        <v>2026</v>
      </c>
      <c r="F1008" s="37" t="s">
        <v>219</v>
      </c>
      <c r="G1008" s="37" t="s">
        <v>124</v>
      </c>
      <c r="H1008" s="36" t="s">
        <v>188</v>
      </c>
      <c r="I1008" s="36" t="s">
        <v>340</v>
      </c>
      <c r="J1008" s="36" t="s">
        <v>341</v>
      </c>
      <c r="K1008" s="38" t="n">
        <v>40</v>
      </c>
      <c r="L1008" s="38" t="n">
        <v>4760000</v>
      </c>
      <c r="M1008" s="38" t="n">
        <v>1698000</v>
      </c>
      <c r="N1008" s="39" t="n">
        <f aca="false">IF(A1008="제외",0,IF(OR(N(L1008)&lt;=0,N(M1008)&gt;N(L1008)),N(M1008)/요약!$D$27,N(L1008)))</f>
        <v>4760000</v>
      </c>
      <c r="O1008" s="32" t="str">
        <f aca="false">IF(A1008="제외","",IF(OR(N(L1008)&lt;=0,N(M1008)&gt;N(L1008)),"택가보정(판매금액÷공급율)",""))</f>
        <v/>
      </c>
      <c r="P1008" s="0" t="str">
        <f aca="false">IF(A1008="HK","100",IF(A1008="CN","200",IF(A1008="TW","300",IF(ISNUMBER(SEARCH("태국",C1008)),"500",IF(ISNUMBER(SEARCH("말레이",C1008)),"600",IF(ISNUMBER(SEARCH("필리핀",C1008)),"700",IF(ISNUMBER(SEARCH("인도네시아",C1008)),"800",IF(ISNUMBER(SEARCH("크루즈",C1008)),"810",IF(ISNUMBER(SEARCH("동물원",C1008)),"830","")))))))))</f>
        <v>600</v>
      </c>
    </row>
    <row r="1009" customFormat="false" ht="15" hidden="false" customHeight="false" outlineLevel="0" collapsed="false">
      <c r="A1009" s="32" t="str">
        <f aca="false">IF(OR(TRIM(C1009)="",SUBSTITUTE(C1009," ","")="소계"),"제외",IF(ISNUMBER(SEARCH("홍콩",C1009)),"HK",IF(ISNUMBER(SEARCH("상해",C1009)),"CN",IF(ISNUMBER(SEARCH("대만",C1009)),"TW","홀세일"))))</f>
        <v>홀세일</v>
      </c>
      <c r="B1009" s="36" t="s">
        <v>1262</v>
      </c>
      <c r="C1009" s="36" t="s">
        <v>1263</v>
      </c>
      <c r="D1009" s="37" t="s">
        <v>123</v>
      </c>
      <c r="E1009" s="36" t="n">
        <v>2026</v>
      </c>
      <c r="F1009" s="37" t="s">
        <v>219</v>
      </c>
      <c r="G1009" s="37" t="s">
        <v>124</v>
      </c>
      <c r="H1009" s="36" t="s">
        <v>188</v>
      </c>
      <c r="I1009" s="36" t="s">
        <v>1308</v>
      </c>
      <c r="J1009" s="36" t="s">
        <v>1309</v>
      </c>
      <c r="K1009" s="38" t="n">
        <v>40</v>
      </c>
      <c r="L1009" s="38" t="n">
        <v>6360000</v>
      </c>
      <c r="M1009" s="38" t="n">
        <v>2404560</v>
      </c>
      <c r="N1009" s="39" t="n">
        <f aca="false">IF(A1009="제외",0,IF(OR(N(L1009)&lt;=0,N(M1009)&gt;N(L1009)),N(M1009)/요약!$D$27,N(L1009)))</f>
        <v>6360000</v>
      </c>
      <c r="O1009" s="32" t="str">
        <f aca="false">IF(A1009="제외","",IF(OR(N(L1009)&lt;=0,N(M1009)&gt;N(L1009)),"택가보정(판매금액÷공급율)",""))</f>
        <v/>
      </c>
      <c r="P1009" s="0" t="str">
        <f aca="false">IF(A1009="HK","100",IF(A1009="CN","200",IF(A1009="TW","300",IF(ISNUMBER(SEARCH("태국",C1009)),"500",IF(ISNUMBER(SEARCH("말레이",C1009)),"600",IF(ISNUMBER(SEARCH("필리핀",C1009)),"700",IF(ISNUMBER(SEARCH("인도네시아",C1009)),"800",IF(ISNUMBER(SEARCH("크루즈",C1009)),"810",IF(ISNUMBER(SEARCH("동물원",C1009)),"830","")))))))))</f>
        <v>600</v>
      </c>
    </row>
    <row r="1010" customFormat="false" ht="15" hidden="false" customHeight="false" outlineLevel="0" collapsed="false">
      <c r="A1010" s="32" t="str">
        <f aca="false">IF(OR(TRIM(C1010)="",SUBSTITUTE(C1010," ","")="소계"),"제외",IF(ISNUMBER(SEARCH("홍콩",C1010)),"HK",IF(ISNUMBER(SEARCH("상해",C1010)),"CN",IF(ISNUMBER(SEARCH("대만",C1010)),"TW","홀세일"))))</f>
        <v>홀세일</v>
      </c>
      <c r="B1010" s="36" t="s">
        <v>1262</v>
      </c>
      <c r="C1010" s="36" t="s">
        <v>1263</v>
      </c>
      <c r="D1010" s="37" t="s">
        <v>123</v>
      </c>
      <c r="E1010" s="36" t="n">
        <v>2026</v>
      </c>
      <c r="F1010" s="37" t="s">
        <v>219</v>
      </c>
      <c r="G1010" s="37" t="s">
        <v>124</v>
      </c>
      <c r="H1010" s="36" t="s">
        <v>188</v>
      </c>
      <c r="I1010" s="36" t="s">
        <v>346</v>
      </c>
      <c r="J1010" s="36" t="s">
        <v>347</v>
      </c>
      <c r="K1010" s="38" t="n">
        <v>50</v>
      </c>
      <c r="L1010" s="38" t="n">
        <v>9450000</v>
      </c>
      <c r="M1010" s="38" t="n">
        <v>3432100</v>
      </c>
      <c r="N1010" s="39" t="n">
        <f aca="false">IF(A1010="제외",0,IF(OR(N(L1010)&lt;=0,N(M1010)&gt;N(L1010)),N(M1010)/요약!$D$27,N(L1010)))</f>
        <v>9450000</v>
      </c>
      <c r="O1010" s="32" t="str">
        <f aca="false">IF(A1010="제외","",IF(OR(N(L1010)&lt;=0,N(M1010)&gt;N(L1010)),"택가보정(판매금액÷공급율)",""))</f>
        <v/>
      </c>
      <c r="P1010" s="0" t="str">
        <f aca="false">IF(A1010="HK","100",IF(A1010="CN","200",IF(A1010="TW","300",IF(ISNUMBER(SEARCH("태국",C1010)),"500",IF(ISNUMBER(SEARCH("말레이",C1010)),"600",IF(ISNUMBER(SEARCH("필리핀",C1010)),"700",IF(ISNUMBER(SEARCH("인도네시아",C1010)),"800",IF(ISNUMBER(SEARCH("크루즈",C1010)),"810",IF(ISNUMBER(SEARCH("동물원",C1010)),"830","")))))))))</f>
        <v>600</v>
      </c>
    </row>
    <row r="1011" customFormat="false" ht="15" hidden="false" customHeight="false" outlineLevel="0" collapsed="false">
      <c r="A1011" s="32" t="str">
        <f aca="false">IF(OR(TRIM(C1011)="",SUBSTITUTE(C1011," ","")="소계"),"제외",IF(ISNUMBER(SEARCH("홍콩",C1011)),"HK",IF(ISNUMBER(SEARCH("상해",C1011)),"CN",IF(ISNUMBER(SEARCH("대만",C1011)),"TW","홀세일"))))</f>
        <v>홀세일</v>
      </c>
      <c r="B1011" s="36" t="s">
        <v>1262</v>
      </c>
      <c r="C1011" s="36" t="s">
        <v>1263</v>
      </c>
      <c r="D1011" s="37" t="s">
        <v>123</v>
      </c>
      <c r="E1011" s="36" t="n">
        <v>2026</v>
      </c>
      <c r="F1011" s="37" t="s">
        <v>219</v>
      </c>
      <c r="G1011" s="37" t="s">
        <v>124</v>
      </c>
      <c r="H1011" s="36" t="s">
        <v>188</v>
      </c>
      <c r="I1011" s="36" t="s">
        <v>1310</v>
      </c>
      <c r="J1011" s="36" t="s">
        <v>1311</v>
      </c>
      <c r="K1011" s="38" t="n">
        <v>20</v>
      </c>
      <c r="L1011" s="38" t="n">
        <v>2580000</v>
      </c>
      <c r="M1011" s="38" t="n">
        <v>937480</v>
      </c>
      <c r="N1011" s="39" t="n">
        <f aca="false">IF(A1011="제외",0,IF(OR(N(L1011)&lt;=0,N(M1011)&gt;N(L1011)),N(M1011)/요약!$D$27,N(L1011)))</f>
        <v>2580000</v>
      </c>
      <c r="O1011" s="32" t="str">
        <f aca="false">IF(A1011="제외","",IF(OR(N(L1011)&lt;=0,N(M1011)&gt;N(L1011)),"택가보정(판매금액÷공급율)",""))</f>
        <v/>
      </c>
      <c r="P1011" s="0" t="str">
        <f aca="false">IF(A1011="HK","100",IF(A1011="CN","200",IF(A1011="TW","300",IF(ISNUMBER(SEARCH("태국",C1011)),"500",IF(ISNUMBER(SEARCH("말레이",C1011)),"600",IF(ISNUMBER(SEARCH("필리핀",C1011)),"700",IF(ISNUMBER(SEARCH("인도네시아",C1011)),"800",IF(ISNUMBER(SEARCH("크루즈",C1011)),"810",IF(ISNUMBER(SEARCH("동물원",C1011)),"830","")))))))))</f>
        <v>600</v>
      </c>
    </row>
    <row r="1012" customFormat="false" ht="15" hidden="false" customHeight="false" outlineLevel="0" collapsed="false">
      <c r="A1012" s="32" t="str">
        <f aca="false">IF(OR(TRIM(C1012)="",SUBSTITUTE(C1012," ","")="소계"),"제외",IF(ISNUMBER(SEARCH("홍콩",C1012)),"HK",IF(ISNUMBER(SEARCH("상해",C1012)),"CN",IF(ISNUMBER(SEARCH("대만",C1012)),"TW","홀세일"))))</f>
        <v>홀세일</v>
      </c>
      <c r="B1012" s="36" t="s">
        <v>1262</v>
      </c>
      <c r="C1012" s="36" t="s">
        <v>1263</v>
      </c>
      <c r="D1012" s="37" t="s">
        <v>123</v>
      </c>
      <c r="E1012" s="36" t="n">
        <v>2026</v>
      </c>
      <c r="F1012" s="37" t="s">
        <v>219</v>
      </c>
      <c r="G1012" s="37" t="s">
        <v>124</v>
      </c>
      <c r="H1012" s="36" t="s">
        <v>188</v>
      </c>
      <c r="I1012" s="36" t="s">
        <v>846</v>
      </c>
      <c r="J1012" s="36" t="s">
        <v>847</v>
      </c>
      <c r="K1012" s="38" t="n">
        <v>40</v>
      </c>
      <c r="L1012" s="38" t="n">
        <v>7160000</v>
      </c>
      <c r="M1012" s="38" t="n">
        <v>2552720</v>
      </c>
      <c r="N1012" s="39" t="n">
        <f aca="false">IF(A1012="제외",0,IF(OR(N(L1012)&lt;=0,N(M1012)&gt;N(L1012)),N(M1012)/요약!$D$27,N(L1012)))</f>
        <v>7160000</v>
      </c>
      <c r="O1012" s="32" t="str">
        <f aca="false">IF(A1012="제외","",IF(OR(N(L1012)&lt;=0,N(M1012)&gt;N(L1012)),"택가보정(판매금액÷공급율)",""))</f>
        <v/>
      </c>
      <c r="P1012" s="0" t="str">
        <f aca="false">IF(A1012="HK","100",IF(A1012="CN","200",IF(A1012="TW","300",IF(ISNUMBER(SEARCH("태국",C1012)),"500",IF(ISNUMBER(SEARCH("말레이",C1012)),"600",IF(ISNUMBER(SEARCH("필리핀",C1012)),"700",IF(ISNUMBER(SEARCH("인도네시아",C1012)),"800",IF(ISNUMBER(SEARCH("크루즈",C1012)),"810",IF(ISNUMBER(SEARCH("동물원",C1012)),"830","")))))))))</f>
        <v>600</v>
      </c>
    </row>
    <row r="1013" customFormat="false" ht="15" hidden="false" customHeight="false" outlineLevel="0" collapsed="false">
      <c r="A1013" s="32" t="str">
        <f aca="false">IF(OR(TRIM(C1013)="",SUBSTITUTE(C1013," ","")="소계"),"제외",IF(ISNUMBER(SEARCH("홍콩",C1013)),"HK",IF(ISNUMBER(SEARCH("상해",C1013)),"CN",IF(ISNUMBER(SEARCH("대만",C1013)),"TW","홀세일"))))</f>
        <v>홀세일</v>
      </c>
      <c r="B1013" s="36" t="s">
        <v>1262</v>
      </c>
      <c r="C1013" s="36" t="s">
        <v>1263</v>
      </c>
      <c r="D1013" s="37" t="s">
        <v>123</v>
      </c>
      <c r="E1013" s="36" t="n">
        <v>2026</v>
      </c>
      <c r="F1013" s="37" t="s">
        <v>219</v>
      </c>
      <c r="G1013" s="37" t="s">
        <v>124</v>
      </c>
      <c r="H1013" s="36" t="s">
        <v>188</v>
      </c>
      <c r="I1013" s="36" t="s">
        <v>350</v>
      </c>
      <c r="J1013" s="36" t="s">
        <v>351</v>
      </c>
      <c r="K1013" s="38" t="n">
        <v>15</v>
      </c>
      <c r="L1013" s="38" t="n">
        <v>2385000</v>
      </c>
      <c r="M1013" s="38" t="n">
        <v>879435</v>
      </c>
      <c r="N1013" s="39" t="n">
        <f aca="false">IF(A1013="제외",0,IF(OR(N(L1013)&lt;=0,N(M1013)&gt;N(L1013)),N(M1013)/요약!$D$27,N(L1013)))</f>
        <v>2385000</v>
      </c>
      <c r="O1013" s="32" t="str">
        <f aca="false">IF(A1013="제외","",IF(OR(N(L1013)&lt;=0,N(M1013)&gt;N(L1013)),"택가보정(판매금액÷공급율)",""))</f>
        <v/>
      </c>
      <c r="P1013" s="0" t="str">
        <f aca="false">IF(A1013="HK","100",IF(A1013="CN","200",IF(A1013="TW","300",IF(ISNUMBER(SEARCH("태국",C1013)),"500",IF(ISNUMBER(SEARCH("말레이",C1013)),"600",IF(ISNUMBER(SEARCH("필리핀",C1013)),"700",IF(ISNUMBER(SEARCH("인도네시아",C1013)),"800",IF(ISNUMBER(SEARCH("크루즈",C1013)),"810",IF(ISNUMBER(SEARCH("동물원",C1013)),"830","")))))))))</f>
        <v>600</v>
      </c>
    </row>
    <row r="1014" customFormat="false" ht="15" hidden="false" customHeight="false" outlineLevel="0" collapsed="false">
      <c r="A1014" s="32" t="str">
        <f aca="false">IF(OR(TRIM(C1014)="",SUBSTITUTE(C1014," ","")="소계"),"제외",IF(ISNUMBER(SEARCH("홍콩",C1014)),"HK",IF(ISNUMBER(SEARCH("상해",C1014)),"CN",IF(ISNUMBER(SEARCH("대만",C1014)),"TW","홀세일"))))</f>
        <v>홀세일</v>
      </c>
      <c r="B1014" s="36" t="s">
        <v>1262</v>
      </c>
      <c r="C1014" s="36" t="s">
        <v>1263</v>
      </c>
      <c r="D1014" s="37" t="s">
        <v>123</v>
      </c>
      <c r="E1014" s="36" t="n">
        <v>2026</v>
      </c>
      <c r="F1014" s="37" t="s">
        <v>219</v>
      </c>
      <c r="G1014" s="37" t="s">
        <v>124</v>
      </c>
      <c r="H1014" s="36" t="s">
        <v>188</v>
      </c>
      <c r="I1014" s="36" t="s">
        <v>1312</v>
      </c>
      <c r="J1014" s="36" t="s">
        <v>1313</v>
      </c>
      <c r="K1014" s="38" t="n">
        <v>30</v>
      </c>
      <c r="L1014" s="38" t="n">
        <v>2670000</v>
      </c>
      <c r="M1014" s="38" t="n">
        <v>952980</v>
      </c>
      <c r="N1014" s="39" t="n">
        <f aca="false">IF(A1014="제외",0,IF(OR(N(L1014)&lt;=0,N(M1014)&gt;N(L1014)),N(M1014)/요약!$D$27,N(L1014)))</f>
        <v>2670000</v>
      </c>
      <c r="O1014" s="32" t="str">
        <f aca="false">IF(A1014="제외","",IF(OR(N(L1014)&lt;=0,N(M1014)&gt;N(L1014)),"택가보정(판매금액÷공급율)",""))</f>
        <v/>
      </c>
      <c r="P1014" s="0" t="str">
        <f aca="false">IF(A1014="HK","100",IF(A1014="CN","200",IF(A1014="TW","300",IF(ISNUMBER(SEARCH("태국",C1014)),"500",IF(ISNUMBER(SEARCH("말레이",C1014)),"600",IF(ISNUMBER(SEARCH("필리핀",C1014)),"700",IF(ISNUMBER(SEARCH("인도네시아",C1014)),"800",IF(ISNUMBER(SEARCH("크루즈",C1014)),"810",IF(ISNUMBER(SEARCH("동물원",C1014)),"830","")))))))))</f>
        <v>600</v>
      </c>
    </row>
    <row r="1015" customFormat="false" ht="15" hidden="false" customHeight="false" outlineLevel="0" collapsed="false">
      <c r="A1015" s="32" t="str">
        <f aca="false">IF(OR(TRIM(C1015)="",SUBSTITUTE(C1015," ","")="소계"),"제외",IF(ISNUMBER(SEARCH("홍콩",C1015)),"HK",IF(ISNUMBER(SEARCH("상해",C1015)),"CN",IF(ISNUMBER(SEARCH("대만",C1015)),"TW","홀세일"))))</f>
        <v>홀세일</v>
      </c>
      <c r="B1015" s="36" t="s">
        <v>1262</v>
      </c>
      <c r="C1015" s="36" t="s">
        <v>1263</v>
      </c>
      <c r="D1015" s="37" t="s">
        <v>123</v>
      </c>
      <c r="E1015" s="36" t="n">
        <v>2026</v>
      </c>
      <c r="F1015" s="37" t="s">
        <v>219</v>
      </c>
      <c r="G1015" s="37" t="s">
        <v>124</v>
      </c>
      <c r="H1015" s="36" t="s">
        <v>188</v>
      </c>
      <c r="I1015" s="36" t="s">
        <v>1314</v>
      </c>
      <c r="J1015" s="36" t="s">
        <v>1315</v>
      </c>
      <c r="K1015" s="38" t="n">
        <v>20</v>
      </c>
      <c r="L1015" s="38" t="n">
        <v>1980000</v>
      </c>
      <c r="M1015" s="38" t="n">
        <v>706560</v>
      </c>
      <c r="N1015" s="39" t="n">
        <f aca="false">IF(A1015="제외",0,IF(OR(N(L1015)&lt;=0,N(M1015)&gt;N(L1015)),N(M1015)/요약!$D$27,N(L1015)))</f>
        <v>1980000</v>
      </c>
      <c r="O1015" s="32" t="str">
        <f aca="false">IF(A1015="제외","",IF(OR(N(L1015)&lt;=0,N(M1015)&gt;N(L1015)),"택가보정(판매금액÷공급율)",""))</f>
        <v/>
      </c>
      <c r="P1015" s="0" t="str">
        <f aca="false">IF(A1015="HK","100",IF(A1015="CN","200",IF(A1015="TW","300",IF(ISNUMBER(SEARCH("태국",C1015)),"500",IF(ISNUMBER(SEARCH("말레이",C1015)),"600",IF(ISNUMBER(SEARCH("필리핀",C1015)),"700",IF(ISNUMBER(SEARCH("인도네시아",C1015)),"800",IF(ISNUMBER(SEARCH("크루즈",C1015)),"810",IF(ISNUMBER(SEARCH("동물원",C1015)),"830","")))))))))</f>
        <v>600</v>
      </c>
    </row>
    <row r="1016" customFormat="false" ht="15" hidden="false" customHeight="false" outlineLevel="0" collapsed="false">
      <c r="A1016" s="32" t="str">
        <f aca="false">IF(OR(TRIM(C1016)="",SUBSTITUTE(C1016," ","")="소계"),"제외",IF(ISNUMBER(SEARCH("홍콩",C1016)),"HK",IF(ISNUMBER(SEARCH("상해",C1016)),"CN",IF(ISNUMBER(SEARCH("대만",C1016)),"TW","홀세일"))))</f>
        <v>홀세일</v>
      </c>
      <c r="B1016" s="36" t="s">
        <v>1262</v>
      </c>
      <c r="C1016" s="36" t="s">
        <v>1263</v>
      </c>
      <c r="D1016" s="37" t="s">
        <v>123</v>
      </c>
      <c r="E1016" s="36" t="n">
        <v>2026</v>
      </c>
      <c r="F1016" s="37" t="s">
        <v>219</v>
      </c>
      <c r="G1016" s="37" t="s">
        <v>124</v>
      </c>
      <c r="H1016" s="36" t="s">
        <v>188</v>
      </c>
      <c r="I1016" s="36" t="s">
        <v>1316</v>
      </c>
      <c r="J1016" s="36" t="s">
        <v>1317</v>
      </c>
      <c r="K1016" s="38" t="n">
        <v>20</v>
      </c>
      <c r="L1016" s="38" t="n">
        <v>1980000</v>
      </c>
      <c r="M1016" s="38" t="n">
        <v>730660</v>
      </c>
      <c r="N1016" s="39" t="n">
        <f aca="false">IF(A1016="제외",0,IF(OR(N(L1016)&lt;=0,N(M1016)&gt;N(L1016)),N(M1016)/요약!$D$27,N(L1016)))</f>
        <v>1980000</v>
      </c>
      <c r="O1016" s="32" t="str">
        <f aca="false">IF(A1016="제외","",IF(OR(N(L1016)&lt;=0,N(M1016)&gt;N(L1016)),"택가보정(판매금액÷공급율)",""))</f>
        <v/>
      </c>
      <c r="P1016" s="0" t="str">
        <f aca="false">IF(A1016="HK","100",IF(A1016="CN","200",IF(A1016="TW","300",IF(ISNUMBER(SEARCH("태국",C1016)),"500",IF(ISNUMBER(SEARCH("말레이",C1016)),"600",IF(ISNUMBER(SEARCH("필리핀",C1016)),"700",IF(ISNUMBER(SEARCH("인도네시아",C1016)),"800",IF(ISNUMBER(SEARCH("크루즈",C1016)),"810",IF(ISNUMBER(SEARCH("동물원",C1016)),"830","")))))))))</f>
        <v>600</v>
      </c>
    </row>
    <row r="1017" customFormat="false" ht="15" hidden="false" customHeight="false" outlineLevel="0" collapsed="false">
      <c r="A1017" s="32" t="str">
        <f aca="false">IF(OR(TRIM(C1017)="",SUBSTITUTE(C1017," ","")="소계"),"제외",IF(ISNUMBER(SEARCH("홍콩",C1017)),"HK",IF(ISNUMBER(SEARCH("상해",C1017)),"CN",IF(ISNUMBER(SEARCH("대만",C1017)),"TW","홀세일"))))</f>
        <v>홀세일</v>
      </c>
      <c r="B1017" s="36" t="s">
        <v>1262</v>
      </c>
      <c r="C1017" s="36" t="s">
        <v>1263</v>
      </c>
      <c r="D1017" s="37" t="s">
        <v>123</v>
      </c>
      <c r="E1017" s="36" t="n">
        <v>2026</v>
      </c>
      <c r="F1017" s="37" t="s">
        <v>219</v>
      </c>
      <c r="G1017" s="37" t="s">
        <v>124</v>
      </c>
      <c r="H1017" s="36" t="s">
        <v>188</v>
      </c>
      <c r="I1017" s="36" t="s">
        <v>354</v>
      </c>
      <c r="J1017" s="36" t="s">
        <v>355</v>
      </c>
      <c r="K1017" s="38" t="n">
        <v>30</v>
      </c>
      <c r="L1017" s="38" t="n">
        <v>3270000</v>
      </c>
      <c r="M1017" s="38" t="n">
        <v>1166670</v>
      </c>
      <c r="N1017" s="39" t="n">
        <f aca="false">IF(A1017="제외",0,IF(OR(N(L1017)&lt;=0,N(M1017)&gt;N(L1017)),N(M1017)/요약!$D$27,N(L1017)))</f>
        <v>3270000</v>
      </c>
      <c r="O1017" s="32" t="str">
        <f aca="false">IF(A1017="제외","",IF(OR(N(L1017)&lt;=0,N(M1017)&gt;N(L1017)),"택가보정(판매금액÷공급율)",""))</f>
        <v/>
      </c>
      <c r="P1017" s="0" t="str">
        <f aca="false">IF(A1017="HK","100",IF(A1017="CN","200",IF(A1017="TW","300",IF(ISNUMBER(SEARCH("태국",C1017)),"500",IF(ISNUMBER(SEARCH("말레이",C1017)),"600",IF(ISNUMBER(SEARCH("필리핀",C1017)),"700",IF(ISNUMBER(SEARCH("인도네시아",C1017)),"800",IF(ISNUMBER(SEARCH("크루즈",C1017)),"810",IF(ISNUMBER(SEARCH("동물원",C1017)),"830","")))))))))</f>
        <v>600</v>
      </c>
    </row>
    <row r="1018" customFormat="false" ht="15" hidden="false" customHeight="false" outlineLevel="0" collapsed="false">
      <c r="A1018" s="32" t="str">
        <f aca="false">IF(OR(TRIM(C1018)="",SUBSTITUTE(C1018," ","")="소계"),"제외",IF(ISNUMBER(SEARCH("홍콩",C1018)),"HK",IF(ISNUMBER(SEARCH("상해",C1018)),"CN",IF(ISNUMBER(SEARCH("대만",C1018)),"TW","홀세일"))))</f>
        <v>홀세일</v>
      </c>
      <c r="B1018" s="36" t="s">
        <v>1262</v>
      </c>
      <c r="C1018" s="36" t="s">
        <v>1263</v>
      </c>
      <c r="D1018" s="37" t="s">
        <v>123</v>
      </c>
      <c r="E1018" s="36" t="n">
        <v>2026</v>
      </c>
      <c r="F1018" s="37" t="s">
        <v>219</v>
      </c>
      <c r="G1018" s="37" t="s">
        <v>124</v>
      </c>
      <c r="H1018" s="36" t="s">
        <v>188</v>
      </c>
      <c r="I1018" s="36" t="s">
        <v>1053</v>
      </c>
      <c r="J1018" s="36" t="s">
        <v>1054</v>
      </c>
      <c r="K1018" s="38" t="n">
        <v>30</v>
      </c>
      <c r="L1018" s="38" t="n">
        <v>3870000</v>
      </c>
      <c r="M1018" s="38" t="n">
        <v>1427430</v>
      </c>
      <c r="N1018" s="39" t="n">
        <f aca="false">IF(A1018="제외",0,IF(OR(N(L1018)&lt;=0,N(M1018)&gt;N(L1018)),N(M1018)/요약!$D$27,N(L1018)))</f>
        <v>3870000</v>
      </c>
      <c r="O1018" s="32" t="str">
        <f aca="false">IF(A1018="제외","",IF(OR(N(L1018)&lt;=0,N(M1018)&gt;N(L1018)),"택가보정(판매금액÷공급율)",""))</f>
        <v/>
      </c>
      <c r="P1018" s="0" t="str">
        <f aca="false">IF(A1018="HK","100",IF(A1018="CN","200",IF(A1018="TW","300",IF(ISNUMBER(SEARCH("태국",C1018)),"500",IF(ISNUMBER(SEARCH("말레이",C1018)),"600",IF(ISNUMBER(SEARCH("필리핀",C1018)),"700",IF(ISNUMBER(SEARCH("인도네시아",C1018)),"800",IF(ISNUMBER(SEARCH("크루즈",C1018)),"810",IF(ISNUMBER(SEARCH("동물원",C1018)),"830","")))))))))</f>
        <v>600</v>
      </c>
    </row>
    <row r="1019" customFormat="false" ht="15" hidden="false" customHeight="false" outlineLevel="0" collapsed="false">
      <c r="A1019" s="32" t="str">
        <f aca="false">IF(OR(TRIM(C1019)="",SUBSTITUTE(C1019," ","")="소계"),"제외",IF(ISNUMBER(SEARCH("홍콩",C1019)),"HK",IF(ISNUMBER(SEARCH("상해",C1019)),"CN",IF(ISNUMBER(SEARCH("대만",C1019)),"TW","홀세일"))))</f>
        <v>홀세일</v>
      </c>
      <c r="B1019" s="36" t="s">
        <v>1262</v>
      </c>
      <c r="C1019" s="36" t="s">
        <v>1263</v>
      </c>
      <c r="D1019" s="37" t="s">
        <v>123</v>
      </c>
      <c r="E1019" s="36" t="n">
        <v>2026</v>
      </c>
      <c r="F1019" s="37" t="s">
        <v>219</v>
      </c>
      <c r="G1019" s="37" t="s">
        <v>124</v>
      </c>
      <c r="H1019" s="36" t="s">
        <v>188</v>
      </c>
      <c r="I1019" s="36" t="s">
        <v>848</v>
      </c>
      <c r="J1019" s="36" t="s">
        <v>849</v>
      </c>
      <c r="K1019" s="38" t="n">
        <v>35</v>
      </c>
      <c r="L1019" s="38" t="n">
        <v>2065000</v>
      </c>
      <c r="M1019" s="38" t="n">
        <v>747670</v>
      </c>
      <c r="N1019" s="39" t="n">
        <f aca="false">IF(A1019="제외",0,IF(OR(N(L1019)&lt;=0,N(M1019)&gt;N(L1019)),N(M1019)/요약!$D$27,N(L1019)))</f>
        <v>2065000</v>
      </c>
      <c r="O1019" s="32" t="str">
        <f aca="false">IF(A1019="제외","",IF(OR(N(L1019)&lt;=0,N(M1019)&gt;N(L1019)),"택가보정(판매금액÷공급율)",""))</f>
        <v/>
      </c>
      <c r="P1019" s="0" t="str">
        <f aca="false">IF(A1019="HK","100",IF(A1019="CN","200",IF(A1019="TW","300",IF(ISNUMBER(SEARCH("태국",C1019)),"500",IF(ISNUMBER(SEARCH("말레이",C1019)),"600",IF(ISNUMBER(SEARCH("필리핀",C1019)),"700",IF(ISNUMBER(SEARCH("인도네시아",C1019)),"800",IF(ISNUMBER(SEARCH("크루즈",C1019)),"810",IF(ISNUMBER(SEARCH("동물원",C1019)),"830","")))))))))</f>
        <v>600</v>
      </c>
    </row>
    <row r="1020" customFormat="false" ht="15" hidden="false" customHeight="false" outlineLevel="0" collapsed="false">
      <c r="A1020" s="32" t="str">
        <f aca="false">IF(OR(TRIM(C1020)="",SUBSTITUTE(C1020," ","")="소계"),"제외",IF(ISNUMBER(SEARCH("홍콩",C1020)),"HK",IF(ISNUMBER(SEARCH("상해",C1020)),"CN",IF(ISNUMBER(SEARCH("대만",C1020)),"TW","홀세일"))))</f>
        <v>홀세일</v>
      </c>
      <c r="B1020" s="36" t="s">
        <v>1262</v>
      </c>
      <c r="C1020" s="36" t="s">
        <v>1263</v>
      </c>
      <c r="D1020" s="37" t="s">
        <v>123</v>
      </c>
      <c r="E1020" s="36" t="n">
        <v>2026</v>
      </c>
      <c r="F1020" s="37" t="s">
        <v>219</v>
      </c>
      <c r="G1020" s="37" t="s">
        <v>124</v>
      </c>
      <c r="H1020" s="36" t="s">
        <v>188</v>
      </c>
      <c r="I1020" s="36" t="s">
        <v>854</v>
      </c>
      <c r="J1020" s="36" t="s">
        <v>855</v>
      </c>
      <c r="K1020" s="38" t="n">
        <v>30</v>
      </c>
      <c r="L1020" s="38" t="n">
        <v>1770000</v>
      </c>
      <c r="M1020" s="38" t="n">
        <v>766110</v>
      </c>
      <c r="N1020" s="39" t="n">
        <f aca="false">IF(A1020="제외",0,IF(OR(N(L1020)&lt;=0,N(M1020)&gt;N(L1020)),N(M1020)/요약!$D$27,N(L1020)))</f>
        <v>1770000</v>
      </c>
      <c r="O1020" s="32" t="str">
        <f aca="false">IF(A1020="제외","",IF(OR(N(L1020)&lt;=0,N(M1020)&gt;N(L1020)),"택가보정(판매금액÷공급율)",""))</f>
        <v/>
      </c>
      <c r="P1020" s="0" t="str">
        <f aca="false">IF(A1020="HK","100",IF(A1020="CN","200",IF(A1020="TW","300",IF(ISNUMBER(SEARCH("태국",C1020)),"500",IF(ISNUMBER(SEARCH("말레이",C1020)),"600",IF(ISNUMBER(SEARCH("필리핀",C1020)),"700",IF(ISNUMBER(SEARCH("인도네시아",C1020)),"800",IF(ISNUMBER(SEARCH("크루즈",C1020)),"810",IF(ISNUMBER(SEARCH("동물원",C1020)),"830","")))))))))</f>
        <v>600</v>
      </c>
    </row>
    <row r="1021" customFormat="false" ht="15" hidden="false" customHeight="false" outlineLevel="0" collapsed="false">
      <c r="A1021" s="32" t="str">
        <f aca="false">IF(OR(TRIM(C1021)="",SUBSTITUTE(C1021," ","")="소계"),"제외",IF(ISNUMBER(SEARCH("홍콩",C1021)),"HK",IF(ISNUMBER(SEARCH("상해",C1021)),"CN",IF(ISNUMBER(SEARCH("대만",C1021)),"TW","홀세일"))))</f>
        <v>홀세일</v>
      </c>
      <c r="B1021" s="36" t="s">
        <v>1262</v>
      </c>
      <c r="C1021" s="36" t="s">
        <v>1263</v>
      </c>
      <c r="D1021" s="37" t="s">
        <v>123</v>
      </c>
      <c r="E1021" s="36" t="n">
        <v>2026</v>
      </c>
      <c r="F1021" s="37" t="s">
        <v>219</v>
      </c>
      <c r="G1021" s="37" t="s">
        <v>124</v>
      </c>
      <c r="H1021" s="36" t="s">
        <v>188</v>
      </c>
      <c r="I1021" s="36" t="s">
        <v>858</v>
      </c>
      <c r="J1021" s="36" t="s">
        <v>859</v>
      </c>
      <c r="K1021" s="38" t="n">
        <v>15</v>
      </c>
      <c r="L1021" s="38" t="n">
        <v>885000</v>
      </c>
      <c r="M1021" s="38" t="n">
        <v>327690</v>
      </c>
      <c r="N1021" s="39" t="n">
        <f aca="false">IF(A1021="제외",0,IF(OR(N(L1021)&lt;=0,N(M1021)&gt;N(L1021)),N(M1021)/요약!$D$27,N(L1021)))</f>
        <v>885000</v>
      </c>
      <c r="O1021" s="32" t="str">
        <f aca="false">IF(A1021="제외","",IF(OR(N(L1021)&lt;=0,N(M1021)&gt;N(L1021)),"택가보정(판매금액÷공급율)",""))</f>
        <v/>
      </c>
      <c r="P1021" s="0" t="str">
        <f aca="false">IF(A1021="HK","100",IF(A1021="CN","200",IF(A1021="TW","300",IF(ISNUMBER(SEARCH("태국",C1021)),"500",IF(ISNUMBER(SEARCH("말레이",C1021)),"600",IF(ISNUMBER(SEARCH("필리핀",C1021)),"700",IF(ISNUMBER(SEARCH("인도네시아",C1021)),"800",IF(ISNUMBER(SEARCH("크루즈",C1021)),"810",IF(ISNUMBER(SEARCH("동물원",C1021)),"830","")))))))))</f>
        <v>600</v>
      </c>
    </row>
    <row r="1022" customFormat="false" ht="15" hidden="false" customHeight="false" outlineLevel="0" collapsed="false">
      <c r="A1022" s="32" t="str">
        <f aca="false">IF(OR(TRIM(C1022)="",SUBSTITUTE(C1022," ","")="소계"),"제외",IF(ISNUMBER(SEARCH("홍콩",C1022)),"HK",IF(ISNUMBER(SEARCH("상해",C1022)),"CN",IF(ISNUMBER(SEARCH("대만",C1022)),"TW","홀세일"))))</f>
        <v>홀세일</v>
      </c>
      <c r="B1022" s="36" t="s">
        <v>1262</v>
      </c>
      <c r="C1022" s="36" t="s">
        <v>1263</v>
      </c>
      <c r="D1022" s="37" t="s">
        <v>123</v>
      </c>
      <c r="E1022" s="36" t="n">
        <v>2026</v>
      </c>
      <c r="F1022" s="37" t="s">
        <v>219</v>
      </c>
      <c r="G1022" s="37" t="s">
        <v>124</v>
      </c>
      <c r="H1022" s="36" t="s">
        <v>188</v>
      </c>
      <c r="I1022" s="36" t="s">
        <v>358</v>
      </c>
      <c r="J1022" s="36" t="s">
        <v>359</v>
      </c>
      <c r="K1022" s="38" t="n">
        <v>45</v>
      </c>
      <c r="L1022" s="38" t="n">
        <v>3555000</v>
      </c>
      <c r="M1022" s="38" t="n">
        <v>1269225</v>
      </c>
      <c r="N1022" s="39" t="n">
        <f aca="false">IF(A1022="제외",0,IF(OR(N(L1022)&lt;=0,N(M1022)&gt;N(L1022)),N(M1022)/요약!$D$27,N(L1022)))</f>
        <v>3555000</v>
      </c>
      <c r="O1022" s="32" t="str">
        <f aca="false">IF(A1022="제외","",IF(OR(N(L1022)&lt;=0,N(M1022)&gt;N(L1022)),"택가보정(판매금액÷공급율)",""))</f>
        <v/>
      </c>
      <c r="P1022" s="0" t="str">
        <f aca="false">IF(A1022="HK","100",IF(A1022="CN","200",IF(A1022="TW","300",IF(ISNUMBER(SEARCH("태국",C1022)),"500",IF(ISNUMBER(SEARCH("말레이",C1022)),"600",IF(ISNUMBER(SEARCH("필리핀",C1022)),"700",IF(ISNUMBER(SEARCH("인도네시아",C1022)),"800",IF(ISNUMBER(SEARCH("크루즈",C1022)),"810",IF(ISNUMBER(SEARCH("동물원",C1022)),"830","")))))))))</f>
        <v>600</v>
      </c>
    </row>
    <row r="1023" customFormat="false" ht="15" hidden="false" customHeight="false" outlineLevel="0" collapsed="false">
      <c r="A1023" s="32" t="str">
        <f aca="false">IF(OR(TRIM(C1023)="",SUBSTITUTE(C1023," ","")="소계"),"제외",IF(ISNUMBER(SEARCH("홍콩",C1023)),"HK",IF(ISNUMBER(SEARCH("상해",C1023)),"CN",IF(ISNUMBER(SEARCH("대만",C1023)),"TW","홀세일"))))</f>
        <v>홀세일</v>
      </c>
      <c r="B1023" s="36" t="s">
        <v>1262</v>
      </c>
      <c r="C1023" s="36" t="s">
        <v>1263</v>
      </c>
      <c r="D1023" s="37" t="s">
        <v>123</v>
      </c>
      <c r="E1023" s="36" t="n">
        <v>2026</v>
      </c>
      <c r="F1023" s="37" t="s">
        <v>363</v>
      </c>
      <c r="G1023" s="37" t="s">
        <v>102</v>
      </c>
      <c r="H1023" s="36" t="s">
        <v>131</v>
      </c>
      <c r="I1023" s="36" t="s">
        <v>366</v>
      </c>
      <c r="J1023" s="37" t="s">
        <v>367</v>
      </c>
      <c r="K1023" s="38" t="n">
        <v>50</v>
      </c>
      <c r="L1023" s="38" t="n">
        <v>7950000</v>
      </c>
      <c r="M1023" s="38" t="n">
        <v>2951850</v>
      </c>
      <c r="N1023" s="39" t="n">
        <f aca="false">IF(A1023="제외",0,IF(OR(N(L1023)&lt;=0,N(M1023)&gt;N(L1023)),N(M1023)/요약!$D$27,N(L1023)))</f>
        <v>7950000</v>
      </c>
      <c r="O1023" s="32" t="str">
        <f aca="false">IF(A1023="제외","",IF(OR(N(L1023)&lt;=0,N(M1023)&gt;N(L1023)),"택가보정(판매금액÷공급율)",""))</f>
        <v/>
      </c>
      <c r="P1023" s="0" t="str">
        <f aca="false">IF(A1023="HK","100",IF(A1023="CN","200",IF(A1023="TW","300",IF(ISNUMBER(SEARCH("태국",C1023)),"500",IF(ISNUMBER(SEARCH("말레이",C1023)),"600",IF(ISNUMBER(SEARCH("필리핀",C1023)),"700",IF(ISNUMBER(SEARCH("인도네시아",C1023)),"800",IF(ISNUMBER(SEARCH("크루즈",C1023)),"810",IF(ISNUMBER(SEARCH("동물원",C1023)),"830","")))))))))</f>
        <v>600</v>
      </c>
    </row>
    <row r="1024" customFormat="false" ht="15" hidden="false" customHeight="false" outlineLevel="0" collapsed="false">
      <c r="A1024" s="32" t="str">
        <f aca="false">IF(OR(TRIM(C1024)="",SUBSTITUTE(C1024," ","")="소계"),"제외",IF(ISNUMBER(SEARCH("홍콩",C1024)),"HK",IF(ISNUMBER(SEARCH("상해",C1024)),"CN",IF(ISNUMBER(SEARCH("대만",C1024)),"TW","홀세일"))))</f>
        <v>홀세일</v>
      </c>
      <c r="B1024" s="36" t="s">
        <v>1262</v>
      </c>
      <c r="C1024" s="36" t="s">
        <v>1263</v>
      </c>
      <c r="D1024" s="37" t="s">
        <v>123</v>
      </c>
      <c r="E1024" s="36" t="n">
        <v>2026</v>
      </c>
      <c r="F1024" s="37" t="s">
        <v>363</v>
      </c>
      <c r="G1024" s="37" t="s">
        <v>102</v>
      </c>
      <c r="H1024" s="36" t="s">
        <v>131</v>
      </c>
      <c r="I1024" s="36" t="s">
        <v>864</v>
      </c>
      <c r="J1024" s="36" t="s">
        <v>865</v>
      </c>
      <c r="K1024" s="38" t="n">
        <v>10</v>
      </c>
      <c r="L1024" s="38" t="n">
        <v>2590000</v>
      </c>
      <c r="M1024" s="38" t="n">
        <v>866320</v>
      </c>
      <c r="N1024" s="39" t="n">
        <f aca="false">IF(A1024="제외",0,IF(OR(N(L1024)&lt;=0,N(M1024)&gt;N(L1024)),N(M1024)/요약!$D$27,N(L1024)))</f>
        <v>2590000</v>
      </c>
      <c r="O1024" s="32" t="str">
        <f aca="false">IF(A1024="제외","",IF(OR(N(L1024)&lt;=0,N(M1024)&gt;N(L1024)),"택가보정(판매금액÷공급율)",""))</f>
        <v/>
      </c>
      <c r="P1024" s="0" t="str">
        <f aca="false">IF(A1024="HK","100",IF(A1024="CN","200",IF(A1024="TW","300",IF(ISNUMBER(SEARCH("태국",C1024)),"500",IF(ISNUMBER(SEARCH("말레이",C1024)),"600",IF(ISNUMBER(SEARCH("필리핀",C1024)),"700",IF(ISNUMBER(SEARCH("인도네시아",C1024)),"800",IF(ISNUMBER(SEARCH("크루즈",C1024)),"810",IF(ISNUMBER(SEARCH("동물원",C1024)),"830","")))))))))</f>
        <v>600</v>
      </c>
    </row>
    <row r="1025" customFormat="false" ht="15" hidden="false" customHeight="false" outlineLevel="0" collapsed="false">
      <c r="A1025" s="32" t="str">
        <f aca="false">IF(OR(TRIM(C1025)="",SUBSTITUTE(C1025," ","")="소계"),"제외",IF(ISNUMBER(SEARCH("홍콩",C1025)),"HK",IF(ISNUMBER(SEARCH("상해",C1025)),"CN",IF(ISNUMBER(SEARCH("대만",C1025)),"TW","홀세일"))))</f>
        <v>홀세일</v>
      </c>
      <c r="B1025" s="36" t="s">
        <v>1262</v>
      </c>
      <c r="C1025" s="36" t="s">
        <v>1263</v>
      </c>
      <c r="D1025" s="37" t="s">
        <v>123</v>
      </c>
      <c r="E1025" s="36" t="n">
        <v>2026</v>
      </c>
      <c r="F1025" s="37" t="s">
        <v>363</v>
      </c>
      <c r="G1025" s="37" t="s">
        <v>102</v>
      </c>
      <c r="H1025" s="36" t="s">
        <v>131</v>
      </c>
      <c r="I1025" s="36" t="s">
        <v>866</v>
      </c>
      <c r="J1025" s="36" t="s">
        <v>867</v>
      </c>
      <c r="K1025" s="38" t="n">
        <v>35</v>
      </c>
      <c r="L1025" s="38" t="n">
        <v>3815000</v>
      </c>
      <c r="M1025" s="38" t="n">
        <v>1275680</v>
      </c>
      <c r="N1025" s="39" t="n">
        <f aca="false">IF(A1025="제외",0,IF(OR(N(L1025)&lt;=0,N(M1025)&gt;N(L1025)),N(M1025)/요약!$D$27,N(L1025)))</f>
        <v>3815000</v>
      </c>
      <c r="O1025" s="32" t="str">
        <f aca="false">IF(A1025="제외","",IF(OR(N(L1025)&lt;=0,N(M1025)&gt;N(L1025)),"택가보정(판매금액÷공급율)",""))</f>
        <v/>
      </c>
      <c r="P1025" s="0" t="str">
        <f aca="false">IF(A1025="HK","100",IF(A1025="CN","200",IF(A1025="TW","300",IF(ISNUMBER(SEARCH("태국",C1025)),"500",IF(ISNUMBER(SEARCH("말레이",C1025)),"600",IF(ISNUMBER(SEARCH("필리핀",C1025)),"700",IF(ISNUMBER(SEARCH("인도네시아",C1025)),"800",IF(ISNUMBER(SEARCH("크루즈",C1025)),"810",IF(ISNUMBER(SEARCH("동물원",C1025)),"830","")))))))))</f>
        <v>600</v>
      </c>
    </row>
    <row r="1026" customFormat="false" ht="15" hidden="false" customHeight="false" outlineLevel="0" collapsed="false">
      <c r="A1026" s="32" t="str">
        <f aca="false">IF(OR(TRIM(C1026)="",SUBSTITUTE(C1026," ","")="소계"),"제외",IF(ISNUMBER(SEARCH("홍콩",C1026)),"HK",IF(ISNUMBER(SEARCH("상해",C1026)),"CN",IF(ISNUMBER(SEARCH("대만",C1026)),"TW","홀세일"))))</f>
        <v>홀세일</v>
      </c>
      <c r="B1026" s="36" t="s">
        <v>1262</v>
      </c>
      <c r="C1026" s="36" t="s">
        <v>1263</v>
      </c>
      <c r="D1026" s="37" t="s">
        <v>123</v>
      </c>
      <c r="E1026" s="36" t="n">
        <v>2026</v>
      </c>
      <c r="F1026" s="37" t="s">
        <v>363</v>
      </c>
      <c r="G1026" s="37" t="s">
        <v>102</v>
      </c>
      <c r="H1026" s="36" t="s">
        <v>131</v>
      </c>
      <c r="I1026" s="36" t="s">
        <v>368</v>
      </c>
      <c r="J1026" s="37" t="s">
        <v>369</v>
      </c>
      <c r="K1026" s="38" t="n">
        <v>50</v>
      </c>
      <c r="L1026" s="38" t="n">
        <v>4450000</v>
      </c>
      <c r="M1026" s="38" t="n">
        <v>1653350</v>
      </c>
      <c r="N1026" s="39" t="n">
        <f aca="false">IF(A1026="제외",0,IF(OR(N(L1026)&lt;=0,N(M1026)&gt;N(L1026)),N(M1026)/요약!$D$27,N(L1026)))</f>
        <v>4450000</v>
      </c>
      <c r="O1026" s="32" t="str">
        <f aca="false">IF(A1026="제외","",IF(OR(N(L1026)&lt;=0,N(M1026)&gt;N(L1026)),"택가보정(판매금액÷공급율)",""))</f>
        <v/>
      </c>
      <c r="P1026" s="0" t="str">
        <f aca="false">IF(A1026="HK","100",IF(A1026="CN","200",IF(A1026="TW","300",IF(ISNUMBER(SEARCH("태국",C1026)),"500",IF(ISNUMBER(SEARCH("말레이",C1026)),"600",IF(ISNUMBER(SEARCH("필리핀",C1026)),"700",IF(ISNUMBER(SEARCH("인도네시아",C1026)),"800",IF(ISNUMBER(SEARCH("크루즈",C1026)),"810",IF(ISNUMBER(SEARCH("동물원",C1026)),"830","")))))))))</f>
        <v>600</v>
      </c>
    </row>
    <row r="1027" customFormat="false" ht="15" hidden="false" customHeight="false" outlineLevel="0" collapsed="false">
      <c r="A1027" s="32" t="str">
        <f aca="false">IF(OR(TRIM(C1027)="",SUBSTITUTE(C1027," ","")="소계"),"제외",IF(ISNUMBER(SEARCH("홍콩",C1027)),"HK",IF(ISNUMBER(SEARCH("상해",C1027)),"CN",IF(ISNUMBER(SEARCH("대만",C1027)),"TW","홀세일"))))</f>
        <v>홀세일</v>
      </c>
      <c r="B1027" s="36" t="s">
        <v>1262</v>
      </c>
      <c r="C1027" s="36" t="s">
        <v>1263</v>
      </c>
      <c r="D1027" s="37" t="s">
        <v>123</v>
      </c>
      <c r="E1027" s="36" t="n">
        <v>2026</v>
      </c>
      <c r="F1027" s="37" t="s">
        <v>363</v>
      </c>
      <c r="G1027" s="37" t="s">
        <v>102</v>
      </c>
      <c r="H1027" s="36" t="s">
        <v>131</v>
      </c>
      <c r="I1027" s="36" t="s">
        <v>370</v>
      </c>
      <c r="J1027" s="37" t="s">
        <v>371</v>
      </c>
      <c r="K1027" s="38" t="n">
        <v>40</v>
      </c>
      <c r="L1027" s="38" t="n">
        <v>2760000</v>
      </c>
      <c r="M1027" s="38" t="n">
        <v>1026720</v>
      </c>
      <c r="N1027" s="39" t="n">
        <f aca="false">IF(A1027="제외",0,IF(OR(N(L1027)&lt;=0,N(M1027)&gt;N(L1027)),N(M1027)/요약!$D$27,N(L1027)))</f>
        <v>2760000</v>
      </c>
      <c r="O1027" s="32" t="str">
        <f aca="false">IF(A1027="제외","",IF(OR(N(L1027)&lt;=0,N(M1027)&gt;N(L1027)),"택가보정(판매금액÷공급율)",""))</f>
        <v/>
      </c>
      <c r="P1027" s="0" t="str">
        <f aca="false">IF(A1027="HK","100",IF(A1027="CN","200",IF(A1027="TW","300",IF(ISNUMBER(SEARCH("태국",C1027)),"500",IF(ISNUMBER(SEARCH("말레이",C1027)),"600",IF(ISNUMBER(SEARCH("필리핀",C1027)),"700",IF(ISNUMBER(SEARCH("인도네시아",C1027)),"800",IF(ISNUMBER(SEARCH("크루즈",C1027)),"810",IF(ISNUMBER(SEARCH("동물원",C1027)),"830","")))))))))</f>
        <v>600</v>
      </c>
    </row>
    <row r="1028" customFormat="false" ht="15" hidden="false" customHeight="false" outlineLevel="0" collapsed="false">
      <c r="A1028" s="32" t="str">
        <f aca="false">IF(OR(TRIM(C1028)="",SUBSTITUTE(C1028," ","")="소계"),"제외",IF(ISNUMBER(SEARCH("홍콩",C1028)),"HK",IF(ISNUMBER(SEARCH("상해",C1028)),"CN",IF(ISNUMBER(SEARCH("대만",C1028)),"TW","홀세일"))))</f>
        <v>홀세일</v>
      </c>
      <c r="B1028" s="36" t="s">
        <v>1262</v>
      </c>
      <c r="C1028" s="36" t="s">
        <v>1263</v>
      </c>
      <c r="D1028" s="37" t="s">
        <v>123</v>
      </c>
      <c r="E1028" s="36" t="n">
        <v>2026</v>
      </c>
      <c r="F1028" s="37" t="s">
        <v>363</v>
      </c>
      <c r="G1028" s="37" t="s">
        <v>102</v>
      </c>
      <c r="H1028" s="36" t="s">
        <v>131</v>
      </c>
      <c r="I1028" s="36" t="s">
        <v>372</v>
      </c>
      <c r="J1028" s="36" t="s">
        <v>373</v>
      </c>
      <c r="K1028" s="38" t="n">
        <v>40</v>
      </c>
      <c r="L1028" s="38" t="n">
        <v>3960000</v>
      </c>
      <c r="M1028" s="38" t="n">
        <v>1327360</v>
      </c>
      <c r="N1028" s="39" t="n">
        <f aca="false">IF(A1028="제외",0,IF(OR(N(L1028)&lt;=0,N(M1028)&gt;N(L1028)),N(M1028)/요약!$D$27,N(L1028)))</f>
        <v>3960000</v>
      </c>
      <c r="O1028" s="32" t="str">
        <f aca="false">IF(A1028="제외","",IF(OR(N(L1028)&lt;=0,N(M1028)&gt;N(L1028)),"택가보정(판매금액÷공급율)",""))</f>
        <v/>
      </c>
      <c r="P1028" s="0" t="str">
        <f aca="false">IF(A1028="HK","100",IF(A1028="CN","200",IF(A1028="TW","300",IF(ISNUMBER(SEARCH("태국",C1028)),"500",IF(ISNUMBER(SEARCH("말레이",C1028)),"600",IF(ISNUMBER(SEARCH("필리핀",C1028)),"700",IF(ISNUMBER(SEARCH("인도네시아",C1028)),"800",IF(ISNUMBER(SEARCH("크루즈",C1028)),"810",IF(ISNUMBER(SEARCH("동물원",C1028)),"830","")))))))))</f>
        <v>600</v>
      </c>
    </row>
    <row r="1029" customFormat="false" ht="15" hidden="false" customHeight="false" outlineLevel="0" collapsed="false">
      <c r="A1029" s="32" t="str">
        <f aca="false">IF(OR(TRIM(C1029)="",SUBSTITUTE(C1029," ","")="소계"),"제외",IF(ISNUMBER(SEARCH("홍콩",C1029)),"HK",IF(ISNUMBER(SEARCH("상해",C1029)),"CN",IF(ISNUMBER(SEARCH("대만",C1029)),"TW","홀세일"))))</f>
        <v>홀세일</v>
      </c>
      <c r="B1029" s="36" t="s">
        <v>1262</v>
      </c>
      <c r="C1029" s="36" t="s">
        <v>1263</v>
      </c>
      <c r="D1029" s="37" t="s">
        <v>123</v>
      </c>
      <c r="E1029" s="36" t="n">
        <v>2026</v>
      </c>
      <c r="F1029" s="37" t="s">
        <v>363</v>
      </c>
      <c r="G1029" s="37" t="s">
        <v>102</v>
      </c>
      <c r="H1029" s="36" t="s">
        <v>131</v>
      </c>
      <c r="I1029" s="36" t="s">
        <v>376</v>
      </c>
      <c r="J1029" s="36" t="s">
        <v>377</v>
      </c>
      <c r="K1029" s="38" t="n">
        <v>50</v>
      </c>
      <c r="L1029" s="38" t="n">
        <v>4450000</v>
      </c>
      <c r="M1029" s="38" t="n">
        <v>1489200</v>
      </c>
      <c r="N1029" s="39" t="n">
        <f aca="false">IF(A1029="제외",0,IF(OR(N(L1029)&lt;=0,N(M1029)&gt;N(L1029)),N(M1029)/요약!$D$27,N(L1029)))</f>
        <v>4450000</v>
      </c>
      <c r="O1029" s="32" t="str">
        <f aca="false">IF(A1029="제외","",IF(OR(N(L1029)&lt;=0,N(M1029)&gt;N(L1029)),"택가보정(판매금액÷공급율)",""))</f>
        <v/>
      </c>
      <c r="P1029" s="0" t="str">
        <f aca="false">IF(A1029="HK","100",IF(A1029="CN","200",IF(A1029="TW","300",IF(ISNUMBER(SEARCH("태국",C1029)),"500",IF(ISNUMBER(SEARCH("말레이",C1029)),"600",IF(ISNUMBER(SEARCH("필리핀",C1029)),"700",IF(ISNUMBER(SEARCH("인도네시아",C1029)),"800",IF(ISNUMBER(SEARCH("크루즈",C1029)),"810",IF(ISNUMBER(SEARCH("동물원",C1029)),"830","")))))))))</f>
        <v>600</v>
      </c>
    </row>
    <row r="1030" customFormat="false" ht="15" hidden="false" customHeight="false" outlineLevel="0" collapsed="false">
      <c r="A1030" s="32" t="str">
        <f aca="false">IF(OR(TRIM(C1030)="",SUBSTITUTE(C1030," ","")="소계"),"제외",IF(ISNUMBER(SEARCH("홍콩",C1030)),"HK",IF(ISNUMBER(SEARCH("상해",C1030)),"CN",IF(ISNUMBER(SEARCH("대만",C1030)),"TW","홀세일"))))</f>
        <v>홀세일</v>
      </c>
      <c r="B1030" s="36" t="s">
        <v>1262</v>
      </c>
      <c r="C1030" s="36" t="s">
        <v>1263</v>
      </c>
      <c r="D1030" s="37" t="s">
        <v>123</v>
      </c>
      <c r="E1030" s="36" t="n">
        <v>2026</v>
      </c>
      <c r="F1030" s="37" t="s">
        <v>363</v>
      </c>
      <c r="G1030" s="37" t="s">
        <v>102</v>
      </c>
      <c r="H1030" s="36" t="s">
        <v>131</v>
      </c>
      <c r="I1030" s="36" t="s">
        <v>380</v>
      </c>
      <c r="J1030" s="37" t="s">
        <v>381</v>
      </c>
      <c r="K1030" s="38" t="n">
        <v>25</v>
      </c>
      <c r="L1030" s="38" t="n">
        <v>1475000</v>
      </c>
      <c r="M1030" s="38" t="n">
        <v>496400</v>
      </c>
      <c r="N1030" s="39" t="n">
        <f aca="false">IF(A1030="제외",0,IF(OR(N(L1030)&lt;=0,N(M1030)&gt;N(L1030)),N(M1030)/요약!$D$27,N(L1030)))</f>
        <v>1475000</v>
      </c>
      <c r="O1030" s="32" t="str">
        <f aca="false">IF(A1030="제외","",IF(OR(N(L1030)&lt;=0,N(M1030)&gt;N(L1030)),"택가보정(판매금액÷공급율)",""))</f>
        <v/>
      </c>
      <c r="P1030" s="0" t="str">
        <f aca="false">IF(A1030="HK","100",IF(A1030="CN","200",IF(A1030="TW","300",IF(ISNUMBER(SEARCH("태국",C1030)),"500",IF(ISNUMBER(SEARCH("말레이",C1030)),"600",IF(ISNUMBER(SEARCH("필리핀",C1030)),"700",IF(ISNUMBER(SEARCH("인도네시아",C1030)),"800",IF(ISNUMBER(SEARCH("크루즈",C1030)),"810",IF(ISNUMBER(SEARCH("동물원",C1030)),"830","")))))))))</f>
        <v>600</v>
      </c>
    </row>
    <row r="1031" customFormat="false" ht="15" hidden="false" customHeight="false" outlineLevel="0" collapsed="false">
      <c r="A1031" s="32" t="str">
        <f aca="false">IF(OR(TRIM(C1031)="",SUBSTITUTE(C1031," ","")="소계"),"제외",IF(ISNUMBER(SEARCH("홍콩",C1031)),"HK",IF(ISNUMBER(SEARCH("상해",C1031)),"CN",IF(ISNUMBER(SEARCH("대만",C1031)),"TW","홀세일"))))</f>
        <v>홀세일</v>
      </c>
      <c r="B1031" s="36" t="s">
        <v>1262</v>
      </c>
      <c r="C1031" s="36" t="s">
        <v>1263</v>
      </c>
      <c r="D1031" s="37" t="s">
        <v>123</v>
      </c>
      <c r="E1031" s="36" t="n">
        <v>2026</v>
      </c>
      <c r="F1031" s="37" t="s">
        <v>363</v>
      </c>
      <c r="G1031" s="37" t="s">
        <v>102</v>
      </c>
      <c r="H1031" s="36" t="s">
        <v>131</v>
      </c>
      <c r="I1031" s="36" t="s">
        <v>1055</v>
      </c>
      <c r="J1031" s="37" t="s">
        <v>1056</v>
      </c>
      <c r="K1031" s="38" t="n">
        <v>25</v>
      </c>
      <c r="L1031" s="38" t="n">
        <v>1475000</v>
      </c>
      <c r="M1031" s="38" t="n">
        <v>496400</v>
      </c>
      <c r="N1031" s="39" t="n">
        <f aca="false">IF(A1031="제외",0,IF(OR(N(L1031)&lt;=0,N(M1031)&gt;N(L1031)),N(M1031)/요약!$D$27,N(L1031)))</f>
        <v>1475000</v>
      </c>
      <c r="O1031" s="32" t="str">
        <f aca="false">IF(A1031="제외","",IF(OR(N(L1031)&lt;=0,N(M1031)&gt;N(L1031)),"택가보정(판매금액÷공급율)",""))</f>
        <v/>
      </c>
      <c r="P1031" s="0" t="str">
        <f aca="false">IF(A1031="HK","100",IF(A1031="CN","200",IF(A1031="TW","300",IF(ISNUMBER(SEARCH("태국",C1031)),"500",IF(ISNUMBER(SEARCH("말레이",C1031)),"600",IF(ISNUMBER(SEARCH("필리핀",C1031)),"700",IF(ISNUMBER(SEARCH("인도네시아",C1031)),"800",IF(ISNUMBER(SEARCH("크루즈",C1031)),"810",IF(ISNUMBER(SEARCH("동물원",C1031)),"830","")))))))))</f>
        <v>600</v>
      </c>
    </row>
    <row r="1032" customFormat="false" ht="15" hidden="false" customHeight="false" outlineLevel="0" collapsed="false">
      <c r="A1032" s="32" t="str">
        <f aca="false">IF(OR(TRIM(C1032)="",SUBSTITUTE(C1032," ","")="소계"),"제외",IF(ISNUMBER(SEARCH("홍콩",C1032)),"HK",IF(ISNUMBER(SEARCH("상해",C1032)),"CN",IF(ISNUMBER(SEARCH("대만",C1032)),"TW","홀세일"))))</f>
        <v>홀세일</v>
      </c>
      <c r="B1032" s="36" t="s">
        <v>1262</v>
      </c>
      <c r="C1032" s="36" t="s">
        <v>1263</v>
      </c>
      <c r="D1032" s="37" t="s">
        <v>123</v>
      </c>
      <c r="E1032" s="36" t="n">
        <v>2026</v>
      </c>
      <c r="F1032" s="37" t="s">
        <v>363</v>
      </c>
      <c r="G1032" s="37" t="s">
        <v>102</v>
      </c>
      <c r="H1032" s="36" t="s">
        <v>131</v>
      </c>
      <c r="I1032" s="36" t="s">
        <v>384</v>
      </c>
      <c r="J1032" s="36" t="s">
        <v>385</v>
      </c>
      <c r="K1032" s="38" t="n">
        <v>20</v>
      </c>
      <c r="L1032" s="38" t="n">
        <v>1580000</v>
      </c>
      <c r="M1032" s="38" t="n">
        <v>530400</v>
      </c>
      <c r="N1032" s="39" t="n">
        <f aca="false">IF(A1032="제외",0,IF(OR(N(L1032)&lt;=0,N(M1032)&gt;N(L1032)),N(M1032)/요약!$D$27,N(L1032)))</f>
        <v>1580000</v>
      </c>
      <c r="O1032" s="32" t="str">
        <f aca="false">IF(A1032="제외","",IF(OR(N(L1032)&lt;=0,N(M1032)&gt;N(L1032)),"택가보정(판매금액÷공급율)",""))</f>
        <v/>
      </c>
      <c r="P1032" s="0" t="str">
        <f aca="false">IF(A1032="HK","100",IF(A1032="CN","200",IF(A1032="TW","300",IF(ISNUMBER(SEARCH("태국",C1032)),"500",IF(ISNUMBER(SEARCH("말레이",C1032)),"600",IF(ISNUMBER(SEARCH("필리핀",C1032)),"700",IF(ISNUMBER(SEARCH("인도네시아",C1032)),"800",IF(ISNUMBER(SEARCH("크루즈",C1032)),"810",IF(ISNUMBER(SEARCH("동물원",C1032)),"830","")))))))))</f>
        <v>600</v>
      </c>
    </row>
    <row r="1033" customFormat="false" ht="15" hidden="false" customHeight="false" outlineLevel="0" collapsed="false">
      <c r="A1033" s="32" t="str">
        <f aca="false">IF(OR(TRIM(C1033)="",SUBSTITUTE(C1033," ","")="소계"),"제외",IF(ISNUMBER(SEARCH("홍콩",C1033)),"HK",IF(ISNUMBER(SEARCH("상해",C1033)),"CN",IF(ISNUMBER(SEARCH("대만",C1033)),"TW","홀세일"))))</f>
        <v>홀세일</v>
      </c>
      <c r="B1033" s="36" t="s">
        <v>1262</v>
      </c>
      <c r="C1033" s="36" t="s">
        <v>1263</v>
      </c>
      <c r="D1033" s="37" t="s">
        <v>123</v>
      </c>
      <c r="E1033" s="36" t="n">
        <v>2026</v>
      </c>
      <c r="F1033" s="37" t="s">
        <v>363</v>
      </c>
      <c r="G1033" s="37" t="s">
        <v>102</v>
      </c>
      <c r="H1033" s="36" t="s">
        <v>131</v>
      </c>
      <c r="I1033" s="36" t="s">
        <v>868</v>
      </c>
      <c r="J1033" s="37" t="s">
        <v>869</v>
      </c>
      <c r="K1033" s="38" t="n">
        <v>60</v>
      </c>
      <c r="L1033" s="38" t="n">
        <v>2940000</v>
      </c>
      <c r="M1033" s="38" t="n">
        <v>987360</v>
      </c>
      <c r="N1033" s="39" t="n">
        <f aca="false">IF(A1033="제외",0,IF(OR(N(L1033)&lt;=0,N(M1033)&gt;N(L1033)),N(M1033)/요약!$D$27,N(L1033)))</f>
        <v>2940000</v>
      </c>
      <c r="O1033" s="32" t="str">
        <f aca="false">IF(A1033="제외","",IF(OR(N(L1033)&lt;=0,N(M1033)&gt;N(L1033)),"택가보정(판매금액÷공급율)",""))</f>
        <v/>
      </c>
      <c r="P1033" s="0" t="str">
        <f aca="false">IF(A1033="HK","100",IF(A1033="CN","200",IF(A1033="TW","300",IF(ISNUMBER(SEARCH("태국",C1033)),"500",IF(ISNUMBER(SEARCH("말레이",C1033)),"600",IF(ISNUMBER(SEARCH("필리핀",C1033)),"700",IF(ISNUMBER(SEARCH("인도네시아",C1033)),"800",IF(ISNUMBER(SEARCH("크루즈",C1033)),"810",IF(ISNUMBER(SEARCH("동물원",C1033)),"830","")))))))))</f>
        <v>600</v>
      </c>
    </row>
    <row r="1034" customFormat="false" ht="15" hidden="false" customHeight="false" outlineLevel="0" collapsed="false">
      <c r="A1034" s="32" t="str">
        <f aca="false">IF(OR(TRIM(C1034)="",SUBSTITUTE(C1034," ","")="소계"),"제외",IF(ISNUMBER(SEARCH("홍콩",C1034)),"HK",IF(ISNUMBER(SEARCH("상해",C1034)),"CN",IF(ISNUMBER(SEARCH("대만",C1034)),"TW","홀세일"))))</f>
        <v>홀세일</v>
      </c>
      <c r="B1034" s="36" t="s">
        <v>1262</v>
      </c>
      <c r="C1034" s="36" t="s">
        <v>1263</v>
      </c>
      <c r="D1034" s="37" t="s">
        <v>123</v>
      </c>
      <c r="E1034" s="36" t="n">
        <v>2026</v>
      </c>
      <c r="F1034" s="37" t="s">
        <v>363</v>
      </c>
      <c r="G1034" s="37" t="s">
        <v>102</v>
      </c>
      <c r="H1034" s="36" t="s">
        <v>131</v>
      </c>
      <c r="I1034" s="36" t="s">
        <v>870</v>
      </c>
      <c r="J1034" s="37" t="s">
        <v>871</v>
      </c>
      <c r="K1034" s="38" t="n">
        <v>65</v>
      </c>
      <c r="L1034" s="38" t="n">
        <v>3185000</v>
      </c>
      <c r="M1034" s="38" t="n">
        <v>1069640</v>
      </c>
      <c r="N1034" s="39" t="n">
        <f aca="false">IF(A1034="제외",0,IF(OR(N(L1034)&lt;=0,N(M1034)&gt;N(L1034)),N(M1034)/요약!$D$27,N(L1034)))</f>
        <v>3185000</v>
      </c>
      <c r="O1034" s="32" t="str">
        <f aca="false">IF(A1034="제외","",IF(OR(N(L1034)&lt;=0,N(M1034)&gt;N(L1034)),"택가보정(판매금액÷공급율)",""))</f>
        <v/>
      </c>
      <c r="P1034" s="0" t="str">
        <f aca="false">IF(A1034="HK","100",IF(A1034="CN","200",IF(A1034="TW","300",IF(ISNUMBER(SEARCH("태국",C1034)),"500",IF(ISNUMBER(SEARCH("말레이",C1034)),"600",IF(ISNUMBER(SEARCH("필리핀",C1034)),"700",IF(ISNUMBER(SEARCH("인도네시아",C1034)),"800",IF(ISNUMBER(SEARCH("크루즈",C1034)),"810",IF(ISNUMBER(SEARCH("동물원",C1034)),"830","")))))))))</f>
        <v>600</v>
      </c>
    </row>
    <row r="1035" customFormat="false" ht="15" hidden="false" customHeight="false" outlineLevel="0" collapsed="false">
      <c r="A1035" s="32" t="str">
        <f aca="false">IF(OR(TRIM(C1035)="",SUBSTITUTE(C1035," ","")="소계"),"제외",IF(ISNUMBER(SEARCH("홍콩",C1035)),"HK",IF(ISNUMBER(SEARCH("상해",C1035)),"CN",IF(ISNUMBER(SEARCH("대만",C1035)),"TW","홀세일"))))</f>
        <v>홀세일</v>
      </c>
      <c r="B1035" s="36" t="s">
        <v>1262</v>
      </c>
      <c r="C1035" s="36" t="s">
        <v>1263</v>
      </c>
      <c r="D1035" s="37" t="s">
        <v>123</v>
      </c>
      <c r="E1035" s="36" t="n">
        <v>2026</v>
      </c>
      <c r="F1035" s="37" t="s">
        <v>363</v>
      </c>
      <c r="G1035" s="37" t="s">
        <v>102</v>
      </c>
      <c r="H1035" s="36" t="s">
        <v>131</v>
      </c>
      <c r="I1035" s="36" t="s">
        <v>386</v>
      </c>
      <c r="J1035" s="37" t="s">
        <v>387</v>
      </c>
      <c r="K1035" s="38" t="n">
        <v>65</v>
      </c>
      <c r="L1035" s="38" t="n">
        <v>3185000</v>
      </c>
      <c r="M1035" s="38" t="n">
        <v>1069640</v>
      </c>
      <c r="N1035" s="39" t="n">
        <f aca="false">IF(A1035="제외",0,IF(OR(N(L1035)&lt;=0,N(M1035)&gt;N(L1035)),N(M1035)/요약!$D$27,N(L1035)))</f>
        <v>3185000</v>
      </c>
      <c r="O1035" s="32" t="str">
        <f aca="false">IF(A1035="제외","",IF(OR(N(L1035)&lt;=0,N(M1035)&gt;N(L1035)),"택가보정(판매금액÷공급율)",""))</f>
        <v/>
      </c>
      <c r="P1035" s="0" t="str">
        <f aca="false">IF(A1035="HK","100",IF(A1035="CN","200",IF(A1035="TW","300",IF(ISNUMBER(SEARCH("태국",C1035)),"500",IF(ISNUMBER(SEARCH("말레이",C1035)),"600",IF(ISNUMBER(SEARCH("필리핀",C1035)),"700",IF(ISNUMBER(SEARCH("인도네시아",C1035)),"800",IF(ISNUMBER(SEARCH("크루즈",C1035)),"810",IF(ISNUMBER(SEARCH("동물원",C1035)),"830","")))))))))</f>
        <v>600</v>
      </c>
    </row>
    <row r="1036" customFormat="false" ht="15" hidden="false" customHeight="false" outlineLevel="0" collapsed="false">
      <c r="A1036" s="32" t="str">
        <f aca="false">IF(OR(TRIM(C1036)="",SUBSTITUTE(C1036," ","")="소계"),"제외",IF(ISNUMBER(SEARCH("홍콩",C1036)),"HK",IF(ISNUMBER(SEARCH("상해",C1036)),"CN",IF(ISNUMBER(SEARCH("대만",C1036)),"TW","홀세일"))))</f>
        <v>홀세일</v>
      </c>
      <c r="B1036" s="36" t="s">
        <v>1262</v>
      </c>
      <c r="C1036" s="36" t="s">
        <v>1263</v>
      </c>
      <c r="D1036" s="37" t="s">
        <v>123</v>
      </c>
      <c r="E1036" s="36" t="n">
        <v>2026</v>
      </c>
      <c r="F1036" s="37" t="s">
        <v>363</v>
      </c>
      <c r="G1036" s="37" t="s">
        <v>102</v>
      </c>
      <c r="H1036" s="36" t="s">
        <v>131</v>
      </c>
      <c r="I1036" s="36" t="s">
        <v>1318</v>
      </c>
      <c r="J1036" s="36" t="s">
        <v>1319</v>
      </c>
      <c r="K1036" s="38" t="n">
        <v>40</v>
      </c>
      <c r="L1036" s="38" t="n">
        <v>2360000</v>
      </c>
      <c r="M1036" s="38" t="n">
        <v>794240</v>
      </c>
      <c r="N1036" s="39" t="n">
        <f aca="false">IF(A1036="제외",0,IF(OR(N(L1036)&lt;=0,N(M1036)&gt;N(L1036)),N(M1036)/요약!$D$27,N(L1036)))</f>
        <v>2360000</v>
      </c>
      <c r="O1036" s="32" t="str">
        <f aca="false">IF(A1036="제외","",IF(OR(N(L1036)&lt;=0,N(M1036)&gt;N(L1036)),"택가보정(판매금액÷공급율)",""))</f>
        <v/>
      </c>
      <c r="P1036" s="0" t="str">
        <f aca="false">IF(A1036="HK","100",IF(A1036="CN","200",IF(A1036="TW","300",IF(ISNUMBER(SEARCH("태국",C1036)),"500",IF(ISNUMBER(SEARCH("말레이",C1036)),"600",IF(ISNUMBER(SEARCH("필리핀",C1036)),"700",IF(ISNUMBER(SEARCH("인도네시아",C1036)),"800",IF(ISNUMBER(SEARCH("크루즈",C1036)),"810",IF(ISNUMBER(SEARCH("동물원",C1036)),"830","")))))))))</f>
        <v>600</v>
      </c>
    </row>
    <row r="1037" customFormat="false" ht="15" hidden="false" customHeight="false" outlineLevel="0" collapsed="false">
      <c r="A1037" s="32" t="str">
        <f aca="false">IF(OR(TRIM(C1037)="",SUBSTITUTE(C1037," ","")="소계"),"제외",IF(ISNUMBER(SEARCH("홍콩",C1037)),"HK",IF(ISNUMBER(SEARCH("상해",C1037)),"CN",IF(ISNUMBER(SEARCH("대만",C1037)),"TW","홀세일"))))</f>
        <v>홀세일</v>
      </c>
      <c r="B1037" s="36" t="s">
        <v>1262</v>
      </c>
      <c r="C1037" s="36" t="s">
        <v>1263</v>
      </c>
      <c r="D1037" s="37" t="s">
        <v>123</v>
      </c>
      <c r="E1037" s="36" t="n">
        <v>2026</v>
      </c>
      <c r="F1037" s="37" t="s">
        <v>363</v>
      </c>
      <c r="G1037" s="37" t="s">
        <v>102</v>
      </c>
      <c r="H1037" s="36" t="s">
        <v>131</v>
      </c>
      <c r="I1037" s="36" t="s">
        <v>394</v>
      </c>
      <c r="J1037" s="37" t="s">
        <v>395</v>
      </c>
      <c r="K1037" s="38" t="n">
        <v>15</v>
      </c>
      <c r="L1037" s="38" t="n">
        <v>885000</v>
      </c>
      <c r="M1037" s="38" t="n">
        <v>297840</v>
      </c>
      <c r="N1037" s="39" t="n">
        <f aca="false">IF(A1037="제외",0,IF(OR(N(L1037)&lt;=0,N(M1037)&gt;N(L1037)),N(M1037)/요약!$D$27,N(L1037)))</f>
        <v>885000</v>
      </c>
      <c r="O1037" s="32" t="str">
        <f aca="false">IF(A1037="제외","",IF(OR(N(L1037)&lt;=0,N(M1037)&gt;N(L1037)),"택가보정(판매금액÷공급율)",""))</f>
        <v/>
      </c>
      <c r="P1037" s="0" t="str">
        <f aca="false">IF(A1037="HK","100",IF(A1037="CN","200",IF(A1037="TW","300",IF(ISNUMBER(SEARCH("태국",C1037)),"500",IF(ISNUMBER(SEARCH("말레이",C1037)),"600",IF(ISNUMBER(SEARCH("필리핀",C1037)),"700",IF(ISNUMBER(SEARCH("인도네시아",C1037)),"800",IF(ISNUMBER(SEARCH("크루즈",C1037)),"810",IF(ISNUMBER(SEARCH("동물원",C1037)),"830","")))))))))</f>
        <v>600</v>
      </c>
    </row>
    <row r="1038" customFormat="false" ht="15" hidden="false" customHeight="false" outlineLevel="0" collapsed="false">
      <c r="A1038" s="32" t="str">
        <f aca="false">IF(OR(TRIM(C1038)="",SUBSTITUTE(C1038," ","")="소계"),"제외",IF(ISNUMBER(SEARCH("홍콩",C1038)),"HK",IF(ISNUMBER(SEARCH("상해",C1038)),"CN",IF(ISNUMBER(SEARCH("대만",C1038)),"TW","홀세일"))))</f>
        <v>홀세일</v>
      </c>
      <c r="B1038" s="36" t="s">
        <v>1262</v>
      </c>
      <c r="C1038" s="36" t="s">
        <v>1263</v>
      </c>
      <c r="D1038" s="37" t="s">
        <v>123</v>
      </c>
      <c r="E1038" s="36" t="n">
        <v>2026</v>
      </c>
      <c r="F1038" s="37" t="s">
        <v>363</v>
      </c>
      <c r="G1038" s="37" t="s">
        <v>102</v>
      </c>
      <c r="H1038" s="36" t="s">
        <v>131</v>
      </c>
      <c r="I1038" s="36" t="s">
        <v>396</v>
      </c>
      <c r="J1038" s="37" t="s">
        <v>397</v>
      </c>
      <c r="K1038" s="38" t="n">
        <v>20</v>
      </c>
      <c r="L1038" s="38" t="n">
        <v>2980000</v>
      </c>
      <c r="M1038" s="38" t="n">
        <v>1180740</v>
      </c>
      <c r="N1038" s="39" t="n">
        <f aca="false">IF(A1038="제외",0,IF(OR(N(L1038)&lt;=0,N(M1038)&gt;N(L1038)),N(M1038)/요약!$D$27,N(L1038)))</f>
        <v>2980000</v>
      </c>
      <c r="O1038" s="32" t="str">
        <f aca="false">IF(A1038="제외","",IF(OR(N(L1038)&lt;=0,N(M1038)&gt;N(L1038)),"택가보정(판매금액÷공급율)",""))</f>
        <v/>
      </c>
      <c r="P1038" s="0" t="str">
        <f aca="false">IF(A1038="HK","100",IF(A1038="CN","200",IF(A1038="TW","300",IF(ISNUMBER(SEARCH("태국",C1038)),"500",IF(ISNUMBER(SEARCH("말레이",C1038)),"600",IF(ISNUMBER(SEARCH("필리핀",C1038)),"700",IF(ISNUMBER(SEARCH("인도네시아",C1038)),"800",IF(ISNUMBER(SEARCH("크루즈",C1038)),"810",IF(ISNUMBER(SEARCH("동물원",C1038)),"830","")))))))))</f>
        <v>600</v>
      </c>
    </row>
    <row r="1039" customFormat="false" ht="15" hidden="false" customHeight="false" outlineLevel="0" collapsed="false">
      <c r="A1039" s="32" t="str">
        <f aca="false">IF(OR(TRIM(C1039)="",SUBSTITUTE(C1039," ","")="소계"),"제외",IF(ISNUMBER(SEARCH("홍콩",C1039)),"HK",IF(ISNUMBER(SEARCH("상해",C1039)),"CN",IF(ISNUMBER(SEARCH("대만",C1039)),"TW","홀세일"))))</f>
        <v>홀세일</v>
      </c>
      <c r="B1039" s="36" t="s">
        <v>1262</v>
      </c>
      <c r="C1039" s="36" t="s">
        <v>1263</v>
      </c>
      <c r="D1039" s="37" t="s">
        <v>123</v>
      </c>
      <c r="E1039" s="36" t="n">
        <v>2026</v>
      </c>
      <c r="F1039" s="37" t="s">
        <v>363</v>
      </c>
      <c r="G1039" s="37" t="s">
        <v>124</v>
      </c>
      <c r="H1039" s="36" t="s">
        <v>131</v>
      </c>
      <c r="I1039" s="36" t="s">
        <v>398</v>
      </c>
      <c r="J1039" s="37" t="s">
        <v>399</v>
      </c>
      <c r="K1039" s="38" t="n">
        <v>55</v>
      </c>
      <c r="L1039" s="38" t="n">
        <v>7645000</v>
      </c>
      <c r="M1039" s="38" t="n">
        <v>2498210</v>
      </c>
      <c r="N1039" s="39" t="n">
        <f aca="false">IF(A1039="제외",0,IF(OR(N(L1039)&lt;=0,N(M1039)&gt;N(L1039)),N(M1039)/요약!$D$27,N(L1039)))</f>
        <v>7645000</v>
      </c>
      <c r="O1039" s="32" t="str">
        <f aca="false">IF(A1039="제외","",IF(OR(N(L1039)&lt;=0,N(M1039)&gt;N(L1039)),"택가보정(판매금액÷공급율)",""))</f>
        <v/>
      </c>
      <c r="P1039" s="0" t="str">
        <f aca="false">IF(A1039="HK","100",IF(A1039="CN","200",IF(A1039="TW","300",IF(ISNUMBER(SEARCH("태국",C1039)),"500",IF(ISNUMBER(SEARCH("말레이",C1039)),"600",IF(ISNUMBER(SEARCH("필리핀",C1039)),"700",IF(ISNUMBER(SEARCH("인도네시아",C1039)),"800",IF(ISNUMBER(SEARCH("크루즈",C1039)),"810",IF(ISNUMBER(SEARCH("동물원",C1039)),"830","")))))))))</f>
        <v>600</v>
      </c>
    </row>
    <row r="1040" customFormat="false" ht="15" hidden="false" customHeight="false" outlineLevel="0" collapsed="false">
      <c r="A1040" s="32" t="str">
        <f aca="false">IF(OR(TRIM(C1040)="",SUBSTITUTE(C1040," ","")="소계"),"제외",IF(ISNUMBER(SEARCH("홍콩",C1040)),"HK",IF(ISNUMBER(SEARCH("상해",C1040)),"CN",IF(ISNUMBER(SEARCH("대만",C1040)),"TW","홀세일"))))</f>
        <v>홀세일</v>
      </c>
      <c r="B1040" s="36" t="s">
        <v>1262</v>
      </c>
      <c r="C1040" s="36" t="s">
        <v>1263</v>
      </c>
      <c r="D1040" s="37" t="s">
        <v>123</v>
      </c>
      <c r="E1040" s="36" t="n">
        <v>2026</v>
      </c>
      <c r="F1040" s="37" t="s">
        <v>363</v>
      </c>
      <c r="G1040" s="37" t="s">
        <v>124</v>
      </c>
      <c r="H1040" s="36" t="s">
        <v>131</v>
      </c>
      <c r="I1040" s="36" t="s">
        <v>402</v>
      </c>
      <c r="J1040" s="37" t="s">
        <v>403</v>
      </c>
      <c r="K1040" s="38" t="n">
        <v>40</v>
      </c>
      <c r="L1040" s="38" t="n">
        <v>6360000</v>
      </c>
      <c r="M1040" s="38" t="n">
        <v>2115520</v>
      </c>
      <c r="N1040" s="39" t="n">
        <f aca="false">IF(A1040="제외",0,IF(OR(N(L1040)&lt;=0,N(M1040)&gt;N(L1040)),N(M1040)/요약!$D$27,N(L1040)))</f>
        <v>6360000</v>
      </c>
      <c r="O1040" s="32" t="str">
        <f aca="false">IF(A1040="제외","",IF(OR(N(L1040)&lt;=0,N(M1040)&gt;N(L1040)),"택가보정(판매금액÷공급율)",""))</f>
        <v/>
      </c>
      <c r="P1040" s="0" t="str">
        <f aca="false">IF(A1040="HK","100",IF(A1040="CN","200",IF(A1040="TW","300",IF(ISNUMBER(SEARCH("태국",C1040)),"500",IF(ISNUMBER(SEARCH("말레이",C1040)),"600",IF(ISNUMBER(SEARCH("필리핀",C1040)),"700",IF(ISNUMBER(SEARCH("인도네시아",C1040)),"800",IF(ISNUMBER(SEARCH("크루즈",C1040)),"810",IF(ISNUMBER(SEARCH("동물원",C1040)),"830","")))))))))</f>
        <v>600</v>
      </c>
    </row>
    <row r="1041" customFormat="false" ht="15" hidden="false" customHeight="false" outlineLevel="0" collapsed="false">
      <c r="A1041" s="32" t="str">
        <f aca="false">IF(OR(TRIM(C1041)="",SUBSTITUTE(C1041," ","")="소계"),"제외",IF(ISNUMBER(SEARCH("홍콩",C1041)),"HK",IF(ISNUMBER(SEARCH("상해",C1041)),"CN",IF(ISNUMBER(SEARCH("대만",C1041)),"TW","홀세일"))))</f>
        <v>홀세일</v>
      </c>
      <c r="B1041" s="36" t="s">
        <v>1262</v>
      </c>
      <c r="C1041" s="36" t="s">
        <v>1263</v>
      </c>
      <c r="D1041" s="37" t="s">
        <v>123</v>
      </c>
      <c r="E1041" s="36" t="n">
        <v>2026</v>
      </c>
      <c r="F1041" s="37" t="s">
        <v>363</v>
      </c>
      <c r="G1041" s="37" t="s">
        <v>124</v>
      </c>
      <c r="H1041" s="36" t="s">
        <v>131</v>
      </c>
      <c r="I1041" s="36" t="s">
        <v>878</v>
      </c>
      <c r="J1041" s="36" t="s">
        <v>879</v>
      </c>
      <c r="K1041" s="38" t="n">
        <v>20</v>
      </c>
      <c r="L1041" s="38" t="n">
        <v>5180000</v>
      </c>
      <c r="M1041" s="38" t="n">
        <v>1732000</v>
      </c>
      <c r="N1041" s="39" t="n">
        <f aca="false">IF(A1041="제외",0,IF(OR(N(L1041)&lt;=0,N(M1041)&gt;N(L1041)),N(M1041)/요약!$D$27,N(L1041)))</f>
        <v>5180000</v>
      </c>
      <c r="O1041" s="32" t="str">
        <f aca="false">IF(A1041="제외","",IF(OR(N(L1041)&lt;=0,N(M1041)&gt;N(L1041)),"택가보정(판매금액÷공급율)",""))</f>
        <v/>
      </c>
      <c r="P1041" s="0" t="str">
        <f aca="false">IF(A1041="HK","100",IF(A1041="CN","200",IF(A1041="TW","300",IF(ISNUMBER(SEARCH("태국",C1041)),"500",IF(ISNUMBER(SEARCH("말레이",C1041)),"600",IF(ISNUMBER(SEARCH("필리핀",C1041)),"700",IF(ISNUMBER(SEARCH("인도네시아",C1041)),"800",IF(ISNUMBER(SEARCH("크루즈",C1041)),"810",IF(ISNUMBER(SEARCH("동물원",C1041)),"830","")))))))))</f>
        <v>600</v>
      </c>
    </row>
    <row r="1042" customFormat="false" ht="15" hidden="false" customHeight="false" outlineLevel="0" collapsed="false">
      <c r="A1042" s="32" t="str">
        <f aca="false">IF(OR(TRIM(C1042)="",SUBSTITUTE(C1042," ","")="소계"),"제외",IF(ISNUMBER(SEARCH("홍콩",C1042)),"HK",IF(ISNUMBER(SEARCH("상해",C1042)),"CN",IF(ISNUMBER(SEARCH("대만",C1042)),"TW","홀세일"))))</f>
        <v>홀세일</v>
      </c>
      <c r="B1042" s="36" t="s">
        <v>1262</v>
      </c>
      <c r="C1042" s="36" t="s">
        <v>1263</v>
      </c>
      <c r="D1042" s="37" t="s">
        <v>123</v>
      </c>
      <c r="E1042" s="36" t="n">
        <v>2026</v>
      </c>
      <c r="F1042" s="37" t="s">
        <v>363</v>
      </c>
      <c r="G1042" s="37" t="s">
        <v>124</v>
      </c>
      <c r="H1042" s="36" t="s">
        <v>131</v>
      </c>
      <c r="I1042" s="36" t="s">
        <v>408</v>
      </c>
      <c r="J1042" s="36" t="s">
        <v>409</v>
      </c>
      <c r="K1042" s="38" t="n">
        <v>20</v>
      </c>
      <c r="L1042" s="38" t="n">
        <v>11800000</v>
      </c>
      <c r="M1042" s="38" t="n">
        <v>3938560</v>
      </c>
      <c r="N1042" s="39" t="n">
        <f aca="false">IF(A1042="제외",0,IF(OR(N(L1042)&lt;=0,N(M1042)&gt;N(L1042)),N(M1042)/요약!$D$27,N(L1042)))</f>
        <v>11800000</v>
      </c>
      <c r="O1042" s="32" t="str">
        <f aca="false">IF(A1042="제외","",IF(OR(N(L1042)&lt;=0,N(M1042)&gt;N(L1042)),"택가보정(판매금액÷공급율)",""))</f>
        <v/>
      </c>
      <c r="P1042" s="0" t="str">
        <f aca="false">IF(A1042="HK","100",IF(A1042="CN","200",IF(A1042="TW","300",IF(ISNUMBER(SEARCH("태국",C1042)),"500",IF(ISNUMBER(SEARCH("말레이",C1042)),"600",IF(ISNUMBER(SEARCH("필리핀",C1042)),"700",IF(ISNUMBER(SEARCH("인도네시아",C1042)),"800",IF(ISNUMBER(SEARCH("크루즈",C1042)),"810",IF(ISNUMBER(SEARCH("동물원",C1042)),"830","")))))))))</f>
        <v>600</v>
      </c>
    </row>
    <row r="1043" customFormat="false" ht="15" hidden="false" customHeight="false" outlineLevel="0" collapsed="false">
      <c r="A1043" s="32" t="str">
        <f aca="false">IF(OR(TRIM(C1043)="",SUBSTITUTE(C1043," ","")="소계"),"제외",IF(ISNUMBER(SEARCH("홍콩",C1043)),"HK",IF(ISNUMBER(SEARCH("상해",C1043)),"CN",IF(ISNUMBER(SEARCH("대만",C1043)),"TW","홀세일"))))</f>
        <v>홀세일</v>
      </c>
      <c r="B1043" s="36" t="s">
        <v>1262</v>
      </c>
      <c r="C1043" s="36" t="s">
        <v>1263</v>
      </c>
      <c r="D1043" s="37" t="s">
        <v>123</v>
      </c>
      <c r="E1043" s="36" t="n">
        <v>2026</v>
      </c>
      <c r="F1043" s="37" t="s">
        <v>363</v>
      </c>
      <c r="G1043" s="37" t="s">
        <v>124</v>
      </c>
      <c r="H1043" s="36" t="s">
        <v>125</v>
      </c>
      <c r="I1043" s="36" t="s">
        <v>1061</v>
      </c>
      <c r="J1043" s="37" t="s">
        <v>1062</v>
      </c>
      <c r="K1043" s="38" t="n">
        <v>30</v>
      </c>
      <c r="L1043" s="38" t="n">
        <v>3870000</v>
      </c>
      <c r="M1043" s="38" t="n">
        <v>1288350</v>
      </c>
      <c r="N1043" s="39" t="n">
        <f aca="false">IF(A1043="제외",0,IF(OR(N(L1043)&lt;=0,N(M1043)&gt;N(L1043)),N(M1043)/요약!$D$27,N(L1043)))</f>
        <v>3870000</v>
      </c>
      <c r="O1043" s="32" t="str">
        <f aca="false">IF(A1043="제외","",IF(OR(N(L1043)&lt;=0,N(M1043)&gt;N(L1043)),"택가보정(판매금액÷공급율)",""))</f>
        <v/>
      </c>
      <c r="P1043" s="0" t="str">
        <f aca="false">IF(A1043="HK","100",IF(A1043="CN","200",IF(A1043="TW","300",IF(ISNUMBER(SEARCH("태국",C1043)),"500",IF(ISNUMBER(SEARCH("말레이",C1043)),"600",IF(ISNUMBER(SEARCH("필리핀",C1043)),"700",IF(ISNUMBER(SEARCH("인도네시아",C1043)),"800",IF(ISNUMBER(SEARCH("크루즈",C1043)),"810",IF(ISNUMBER(SEARCH("동물원",C1043)),"830","")))))))))</f>
        <v>600</v>
      </c>
    </row>
    <row r="1044" customFormat="false" ht="15" hidden="false" customHeight="false" outlineLevel="0" collapsed="false">
      <c r="A1044" s="32" t="str">
        <f aca="false">IF(OR(TRIM(C1044)="",SUBSTITUTE(C1044," ","")="소계"),"제외",IF(ISNUMBER(SEARCH("홍콩",C1044)),"HK",IF(ISNUMBER(SEARCH("상해",C1044)),"CN",IF(ISNUMBER(SEARCH("대만",C1044)),"TW","홀세일"))))</f>
        <v>홀세일</v>
      </c>
      <c r="B1044" s="36" t="s">
        <v>1262</v>
      </c>
      <c r="C1044" s="36" t="s">
        <v>1263</v>
      </c>
      <c r="D1044" s="37" t="s">
        <v>123</v>
      </c>
      <c r="E1044" s="36" t="n">
        <v>2026</v>
      </c>
      <c r="F1044" s="37" t="s">
        <v>363</v>
      </c>
      <c r="G1044" s="37" t="s">
        <v>124</v>
      </c>
      <c r="H1044" s="36" t="s">
        <v>131</v>
      </c>
      <c r="I1044" s="36" t="s">
        <v>412</v>
      </c>
      <c r="J1044" s="36" t="s">
        <v>413</v>
      </c>
      <c r="K1044" s="38" t="n">
        <v>45</v>
      </c>
      <c r="L1044" s="38" t="n">
        <v>4005000</v>
      </c>
      <c r="M1044" s="38" t="n">
        <v>1335915</v>
      </c>
      <c r="N1044" s="39" t="n">
        <f aca="false">IF(A1044="제외",0,IF(OR(N(L1044)&lt;=0,N(M1044)&gt;N(L1044)),N(M1044)/요약!$D$27,N(L1044)))</f>
        <v>4005000</v>
      </c>
      <c r="O1044" s="32" t="str">
        <f aca="false">IF(A1044="제외","",IF(OR(N(L1044)&lt;=0,N(M1044)&gt;N(L1044)),"택가보정(판매금액÷공급율)",""))</f>
        <v/>
      </c>
      <c r="P1044" s="0" t="str">
        <f aca="false">IF(A1044="HK","100",IF(A1044="CN","200",IF(A1044="TW","300",IF(ISNUMBER(SEARCH("태국",C1044)),"500",IF(ISNUMBER(SEARCH("말레이",C1044)),"600",IF(ISNUMBER(SEARCH("필리핀",C1044)),"700",IF(ISNUMBER(SEARCH("인도네시아",C1044)),"800",IF(ISNUMBER(SEARCH("크루즈",C1044)),"810",IF(ISNUMBER(SEARCH("동물원",C1044)),"830","")))))))))</f>
        <v>600</v>
      </c>
    </row>
    <row r="1045" customFormat="false" ht="15" hidden="false" customHeight="false" outlineLevel="0" collapsed="false">
      <c r="A1045" s="32" t="str">
        <f aca="false">IF(OR(TRIM(C1045)="",SUBSTITUTE(C1045," ","")="소계"),"제외",IF(ISNUMBER(SEARCH("홍콩",C1045)),"HK",IF(ISNUMBER(SEARCH("상해",C1045)),"CN",IF(ISNUMBER(SEARCH("대만",C1045)),"TW","홀세일"))))</f>
        <v>홀세일</v>
      </c>
      <c r="B1045" s="36" t="s">
        <v>1262</v>
      </c>
      <c r="C1045" s="36" t="s">
        <v>1263</v>
      </c>
      <c r="D1045" s="37" t="s">
        <v>123</v>
      </c>
      <c r="E1045" s="36" t="n">
        <v>2026</v>
      </c>
      <c r="F1045" s="37" t="s">
        <v>363</v>
      </c>
      <c r="G1045" s="37" t="s">
        <v>124</v>
      </c>
      <c r="H1045" s="36" t="s">
        <v>131</v>
      </c>
      <c r="I1045" s="36" t="s">
        <v>414</v>
      </c>
      <c r="J1045" s="37" t="s">
        <v>415</v>
      </c>
      <c r="K1045" s="38" t="n">
        <v>125</v>
      </c>
      <c r="L1045" s="38" t="n">
        <v>18625000</v>
      </c>
      <c r="M1045" s="38" t="n">
        <v>6367875</v>
      </c>
      <c r="N1045" s="39" t="n">
        <f aca="false">IF(A1045="제외",0,IF(OR(N(L1045)&lt;=0,N(M1045)&gt;N(L1045)),N(M1045)/요약!$D$27,N(L1045)))</f>
        <v>18625000</v>
      </c>
      <c r="O1045" s="32" t="str">
        <f aca="false">IF(A1045="제외","",IF(OR(N(L1045)&lt;=0,N(M1045)&gt;N(L1045)),"택가보정(판매금액÷공급율)",""))</f>
        <v/>
      </c>
      <c r="P1045" s="0" t="str">
        <f aca="false">IF(A1045="HK","100",IF(A1045="CN","200",IF(A1045="TW","300",IF(ISNUMBER(SEARCH("태국",C1045)),"500",IF(ISNUMBER(SEARCH("말레이",C1045)),"600",IF(ISNUMBER(SEARCH("필리핀",C1045)),"700",IF(ISNUMBER(SEARCH("인도네시아",C1045)),"800",IF(ISNUMBER(SEARCH("크루즈",C1045)),"810",IF(ISNUMBER(SEARCH("동물원",C1045)),"830","")))))))))</f>
        <v>600</v>
      </c>
    </row>
    <row r="1046" customFormat="false" ht="15" hidden="false" customHeight="false" outlineLevel="0" collapsed="false">
      <c r="A1046" s="32" t="str">
        <f aca="false">IF(OR(TRIM(C1046)="",SUBSTITUTE(C1046," ","")="소계"),"제외",IF(ISNUMBER(SEARCH("홍콩",C1046)),"HK",IF(ISNUMBER(SEARCH("상해",C1046)),"CN",IF(ISNUMBER(SEARCH("대만",C1046)),"TW","홀세일"))))</f>
        <v>홀세일</v>
      </c>
      <c r="B1046" s="36" t="s">
        <v>1262</v>
      </c>
      <c r="C1046" s="36" t="s">
        <v>1263</v>
      </c>
      <c r="D1046" s="37" t="s">
        <v>123</v>
      </c>
      <c r="E1046" s="36" t="n">
        <v>2026</v>
      </c>
      <c r="F1046" s="37" t="s">
        <v>363</v>
      </c>
      <c r="G1046" s="37" t="s">
        <v>124</v>
      </c>
      <c r="H1046" s="36" t="s">
        <v>131</v>
      </c>
      <c r="I1046" s="36" t="s">
        <v>416</v>
      </c>
      <c r="J1046" s="37" t="s">
        <v>417</v>
      </c>
      <c r="K1046" s="38" t="n">
        <v>75</v>
      </c>
      <c r="L1046" s="38" t="n">
        <v>11175000</v>
      </c>
      <c r="M1046" s="38" t="n">
        <v>3820725</v>
      </c>
      <c r="N1046" s="39" t="n">
        <f aca="false">IF(A1046="제외",0,IF(OR(N(L1046)&lt;=0,N(M1046)&gt;N(L1046)),N(M1046)/요약!$D$27,N(L1046)))</f>
        <v>11175000</v>
      </c>
      <c r="O1046" s="32" t="str">
        <f aca="false">IF(A1046="제외","",IF(OR(N(L1046)&lt;=0,N(M1046)&gt;N(L1046)),"택가보정(판매금액÷공급율)",""))</f>
        <v/>
      </c>
      <c r="P1046" s="0" t="str">
        <f aca="false">IF(A1046="HK","100",IF(A1046="CN","200",IF(A1046="TW","300",IF(ISNUMBER(SEARCH("태국",C1046)),"500",IF(ISNUMBER(SEARCH("말레이",C1046)),"600",IF(ISNUMBER(SEARCH("필리핀",C1046)),"700",IF(ISNUMBER(SEARCH("인도네시아",C1046)),"800",IF(ISNUMBER(SEARCH("크루즈",C1046)),"810",IF(ISNUMBER(SEARCH("동물원",C1046)),"830","")))))))))</f>
        <v>600</v>
      </c>
    </row>
    <row r="1047" customFormat="false" ht="15" hidden="false" customHeight="false" outlineLevel="0" collapsed="false">
      <c r="A1047" s="32" t="str">
        <f aca="false">IF(OR(TRIM(C1047)="",SUBSTITUTE(C1047," ","")="소계"),"제외",IF(ISNUMBER(SEARCH("홍콩",C1047)),"HK",IF(ISNUMBER(SEARCH("상해",C1047)),"CN",IF(ISNUMBER(SEARCH("대만",C1047)),"TW","홀세일"))))</f>
        <v>홀세일</v>
      </c>
      <c r="B1047" s="36" t="s">
        <v>1262</v>
      </c>
      <c r="C1047" s="36" t="s">
        <v>1263</v>
      </c>
      <c r="D1047" s="37" t="s">
        <v>123</v>
      </c>
      <c r="E1047" s="36" t="n">
        <v>2026</v>
      </c>
      <c r="F1047" s="37" t="s">
        <v>363</v>
      </c>
      <c r="G1047" s="37" t="s">
        <v>124</v>
      </c>
      <c r="H1047" s="36" t="s">
        <v>131</v>
      </c>
      <c r="I1047" s="36" t="s">
        <v>882</v>
      </c>
      <c r="J1047" s="37" t="s">
        <v>883</v>
      </c>
      <c r="K1047" s="38" t="n">
        <v>55</v>
      </c>
      <c r="L1047" s="38" t="n">
        <v>5995000</v>
      </c>
      <c r="M1047" s="38" t="n">
        <v>1997380</v>
      </c>
      <c r="N1047" s="39" t="n">
        <f aca="false">IF(A1047="제외",0,IF(OR(N(L1047)&lt;=0,N(M1047)&gt;N(L1047)),N(M1047)/요약!$D$27,N(L1047)))</f>
        <v>5995000</v>
      </c>
      <c r="O1047" s="32" t="str">
        <f aca="false">IF(A1047="제외","",IF(OR(N(L1047)&lt;=0,N(M1047)&gt;N(L1047)),"택가보정(판매금액÷공급율)",""))</f>
        <v/>
      </c>
      <c r="P1047" s="0" t="str">
        <f aca="false">IF(A1047="HK","100",IF(A1047="CN","200",IF(A1047="TW","300",IF(ISNUMBER(SEARCH("태국",C1047)),"500",IF(ISNUMBER(SEARCH("말레이",C1047)),"600",IF(ISNUMBER(SEARCH("필리핀",C1047)),"700",IF(ISNUMBER(SEARCH("인도네시아",C1047)),"800",IF(ISNUMBER(SEARCH("크루즈",C1047)),"810",IF(ISNUMBER(SEARCH("동물원",C1047)),"830","")))))))))</f>
        <v>600</v>
      </c>
    </row>
    <row r="1048" customFormat="false" ht="15" hidden="false" customHeight="false" outlineLevel="0" collapsed="false">
      <c r="A1048" s="32" t="str">
        <f aca="false">IF(OR(TRIM(C1048)="",SUBSTITUTE(C1048," ","")="소계"),"제외",IF(ISNUMBER(SEARCH("홍콩",C1048)),"HK",IF(ISNUMBER(SEARCH("상해",C1048)),"CN",IF(ISNUMBER(SEARCH("대만",C1048)),"TW","홀세일"))))</f>
        <v>홀세일</v>
      </c>
      <c r="B1048" s="36" t="s">
        <v>1262</v>
      </c>
      <c r="C1048" s="36" t="s">
        <v>1263</v>
      </c>
      <c r="D1048" s="37" t="s">
        <v>123</v>
      </c>
      <c r="E1048" s="36" t="n">
        <v>2026</v>
      </c>
      <c r="F1048" s="37" t="s">
        <v>363</v>
      </c>
      <c r="G1048" s="37" t="s">
        <v>124</v>
      </c>
      <c r="H1048" s="36" t="s">
        <v>131</v>
      </c>
      <c r="I1048" s="36" t="s">
        <v>1320</v>
      </c>
      <c r="J1048" s="37" t="s">
        <v>1321</v>
      </c>
      <c r="K1048" s="38" t="n">
        <v>60</v>
      </c>
      <c r="L1048" s="38" t="n">
        <v>11340000</v>
      </c>
      <c r="M1048" s="38" t="n">
        <v>4122840</v>
      </c>
      <c r="N1048" s="39" t="n">
        <f aca="false">IF(A1048="제외",0,IF(OR(N(L1048)&lt;=0,N(M1048)&gt;N(L1048)),N(M1048)/요약!$D$27,N(L1048)))</f>
        <v>11340000</v>
      </c>
      <c r="O1048" s="32" t="str">
        <f aca="false">IF(A1048="제외","",IF(OR(N(L1048)&lt;=0,N(M1048)&gt;N(L1048)),"택가보정(판매금액÷공급율)",""))</f>
        <v/>
      </c>
      <c r="P1048" s="0" t="str">
        <f aca="false">IF(A1048="HK","100",IF(A1048="CN","200",IF(A1048="TW","300",IF(ISNUMBER(SEARCH("태국",C1048)),"500",IF(ISNUMBER(SEARCH("말레이",C1048)),"600",IF(ISNUMBER(SEARCH("필리핀",C1048)),"700",IF(ISNUMBER(SEARCH("인도네시아",C1048)),"800",IF(ISNUMBER(SEARCH("크루즈",C1048)),"810",IF(ISNUMBER(SEARCH("동물원",C1048)),"830","")))))))))</f>
        <v>600</v>
      </c>
    </row>
    <row r="1049" customFormat="false" ht="15" hidden="false" customHeight="false" outlineLevel="0" collapsed="false">
      <c r="A1049" s="32" t="str">
        <f aca="false">IF(OR(TRIM(C1049)="",SUBSTITUTE(C1049," ","")="소계"),"제외",IF(ISNUMBER(SEARCH("홍콩",C1049)),"HK",IF(ISNUMBER(SEARCH("상해",C1049)),"CN",IF(ISNUMBER(SEARCH("대만",C1049)),"TW","홀세일"))))</f>
        <v>홀세일</v>
      </c>
      <c r="B1049" s="36" t="s">
        <v>1262</v>
      </c>
      <c r="C1049" s="36" t="s">
        <v>1263</v>
      </c>
      <c r="D1049" s="37" t="s">
        <v>123</v>
      </c>
      <c r="E1049" s="36" t="n">
        <v>2026</v>
      </c>
      <c r="F1049" s="37" t="s">
        <v>363</v>
      </c>
      <c r="G1049" s="37" t="s">
        <v>124</v>
      </c>
      <c r="H1049" s="36" t="s">
        <v>125</v>
      </c>
      <c r="I1049" s="36" t="s">
        <v>884</v>
      </c>
      <c r="J1049" s="36" t="s">
        <v>885</v>
      </c>
      <c r="K1049" s="38" t="n">
        <v>60</v>
      </c>
      <c r="L1049" s="38" t="n">
        <v>14340000</v>
      </c>
      <c r="M1049" s="38" t="n">
        <v>4588380</v>
      </c>
      <c r="N1049" s="39" t="n">
        <f aca="false">IF(A1049="제외",0,IF(OR(N(L1049)&lt;=0,N(M1049)&gt;N(L1049)),N(M1049)/요약!$D$27,N(L1049)))</f>
        <v>14340000</v>
      </c>
      <c r="O1049" s="32" t="str">
        <f aca="false">IF(A1049="제외","",IF(OR(N(L1049)&lt;=0,N(M1049)&gt;N(L1049)),"택가보정(판매금액÷공급율)",""))</f>
        <v/>
      </c>
      <c r="P1049" s="0" t="str">
        <f aca="false">IF(A1049="HK","100",IF(A1049="CN","200",IF(A1049="TW","300",IF(ISNUMBER(SEARCH("태국",C1049)),"500",IF(ISNUMBER(SEARCH("말레이",C1049)),"600",IF(ISNUMBER(SEARCH("필리핀",C1049)),"700",IF(ISNUMBER(SEARCH("인도네시아",C1049)),"800",IF(ISNUMBER(SEARCH("크루즈",C1049)),"810",IF(ISNUMBER(SEARCH("동물원",C1049)),"830","")))))))))</f>
        <v>600</v>
      </c>
    </row>
    <row r="1050" customFormat="false" ht="15" hidden="false" customHeight="false" outlineLevel="0" collapsed="false">
      <c r="A1050" s="32" t="str">
        <f aca="false">IF(OR(TRIM(C1050)="",SUBSTITUTE(C1050," ","")="소계"),"제외",IF(ISNUMBER(SEARCH("홍콩",C1050)),"HK",IF(ISNUMBER(SEARCH("상해",C1050)),"CN",IF(ISNUMBER(SEARCH("대만",C1050)),"TW","홀세일"))))</f>
        <v>홀세일</v>
      </c>
      <c r="B1050" s="36" t="s">
        <v>1262</v>
      </c>
      <c r="C1050" s="36" t="s">
        <v>1263</v>
      </c>
      <c r="D1050" s="37" t="s">
        <v>123</v>
      </c>
      <c r="E1050" s="36" t="n">
        <v>2026</v>
      </c>
      <c r="F1050" s="37" t="s">
        <v>363</v>
      </c>
      <c r="G1050" s="37" t="s">
        <v>124</v>
      </c>
      <c r="H1050" s="36" t="s">
        <v>125</v>
      </c>
      <c r="I1050" s="36" t="s">
        <v>422</v>
      </c>
      <c r="J1050" s="37" t="s">
        <v>423</v>
      </c>
      <c r="K1050" s="38" t="n">
        <v>50</v>
      </c>
      <c r="L1050" s="38" t="n">
        <v>17450000</v>
      </c>
      <c r="M1050" s="38" t="n">
        <v>5825450</v>
      </c>
      <c r="N1050" s="39" t="n">
        <f aca="false">IF(A1050="제외",0,IF(OR(N(L1050)&lt;=0,N(M1050)&gt;N(L1050)),N(M1050)/요약!$D$27,N(L1050)))</f>
        <v>17450000</v>
      </c>
      <c r="O1050" s="32" t="str">
        <f aca="false">IF(A1050="제외","",IF(OR(N(L1050)&lt;=0,N(M1050)&gt;N(L1050)),"택가보정(판매금액÷공급율)",""))</f>
        <v/>
      </c>
      <c r="P1050" s="0" t="str">
        <f aca="false">IF(A1050="HK","100",IF(A1050="CN","200",IF(A1050="TW","300",IF(ISNUMBER(SEARCH("태국",C1050)),"500",IF(ISNUMBER(SEARCH("말레이",C1050)),"600",IF(ISNUMBER(SEARCH("필리핀",C1050)),"700",IF(ISNUMBER(SEARCH("인도네시아",C1050)),"800",IF(ISNUMBER(SEARCH("크루즈",C1050)),"810",IF(ISNUMBER(SEARCH("동물원",C1050)),"830","")))))))))</f>
        <v>600</v>
      </c>
    </row>
    <row r="1051" customFormat="false" ht="15" hidden="false" customHeight="false" outlineLevel="0" collapsed="false">
      <c r="A1051" s="32" t="str">
        <f aca="false">IF(OR(TRIM(C1051)="",SUBSTITUTE(C1051," ","")="소계"),"제외",IF(ISNUMBER(SEARCH("홍콩",C1051)),"HK",IF(ISNUMBER(SEARCH("상해",C1051)),"CN",IF(ISNUMBER(SEARCH("대만",C1051)),"TW","홀세일"))))</f>
        <v>홀세일</v>
      </c>
      <c r="B1051" s="36" t="s">
        <v>1262</v>
      </c>
      <c r="C1051" s="36" t="s">
        <v>1263</v>
      </c>
      <c r="D1051" s="37" t="s">
        <v>123</v>
      </c>
      <c r="E1051" s="36" t="n">
        <v>2026</v>
      </c>
      <c r="F1051" s="37" t="s">
        <v>363</v>
      </c>
      <c r="G1051" s="37" t="s">
        <v>124</v>
      </c>
      <c r="H1051" s="36" t="s">
        <v>125</v>
      </c>
      <c r="I1051" s="36" t="s">
        <v>424</v>
      </c>
      <c r="J1051" s="37" t="s">
        <v>425</v>
      </c>
      <c r="K1051" s="38" t="n">
        <v>20</v>
      </c>
      <c r="L1051" s="38" t="n">
        <v>3580000</v>
      </c>
      <c r="M1051" s="38" t="n">
        <v>1245200</v>
      </c>
      <c r="N1051" s="39" t="n">
        <f aca="false">IF(A1051="제외",0,IF(OR(N(L1051)&lt;=0,N(M1051)&gt;N(L1051)),N(M1051)/요약!$D$27,N(L1051)))</f>
        <v>3580000</v>
      </c>
      <c r="O1051" s="32" t="str">
        <f aca="false">IF(A1051="제외","",IF(OR(N(L1051)&lt;=0,N(M1051)&gt;N(L1051)),"택가보정(판매금액÷공급율)",""))</f>
        <v/>
      </c>
      <c r="P1051" s="0" t="str">
        <f aca="false">IF(A1051="HK","100",IF(A1051="CN","200",IF(A1051="TW","300",IF(ISNUMBER(SEARCH("태국",C1051)),"500",IF(ISNUMBER(SEARCH("말레이",C1051)),"600",IF(ISNUMBER(SEARCH("필리핀",C1051)),"700",IF(ISNUMBER(SEARCH("인도네시아",C1051)),"800",IF(ISNUMBER(SEARCH("크루즈",C1051)),"810",IF(ISNUMBER(SEARCH("동물원",C1051)),"830","")))))))))</f>
        <v>600</v>
      </c>
    </row>
    <row r="1052" customFormat="false" ht="15" hidden="false" customHeight="false" outlineLevel="0" collapsed="false">
      <c r="A1052" s="32" t="str">
        <f aca="false">IF(OR(TRIM(C1052)="",SUBSTITUTE(C1052," ","")="소계"),"제외",IF(ISNUMBER(SEARCH("홍콩",C1052)),"HK",IF(ISNUMBER(SEARCH("상해",C1052)),"CN",IF(ISNUMBER(SEARCH("대만",C1052)),"TW","홀세일"))))</f>
        <v>홀세일</v>
      </c>
      <c r="B1052" s="36" t="s">
        <v>1262</v>
      </c>
      <c r="C1052" s="36" t="s">
        <v>1263</v>
      </c>
      <c r="D1052" s="37" t="s">
        <v>123</v>
      </c>
      <c r="E1052" s="36" t="n">
        <v>2026</v>
      </c>
      <c r="F1052" s="37" t="s">
        <v>363</v>
      </c>
      <c r="G1052" s="37" t="s">
        <v>124</v>
      </c>
      <c r="H1052" s="36" t="s">
        <v>131</v>
      </c>
      <c r="I1052" s="36" t="s">
        <v>888</v>
      </c>
      <c r="J1052" s="37" t="s">
        <v>889</v>
      </c>
      <c r="K1052" s="38" t="n">
        <v>90</v>
      </c>
      <c r="L1052" s="38" t="n">
        <v>14310000</v>
      </c>
      <c r="M1052" s="38" t="n">
        <v>4759920</v>
      </c>
      <c r="N1052" s="39" t="n">
        <f aca="false">IF(A1052="제외",0,IF(OR(N(L1052)&lt;=0,N(M1052)&gt;N(L1052)),N(M1052)/요약!$D$27,N(L1052)))</f>
        <v>14310000</v>
      </c>
      <c r="O1052" s="32" t="str">
        <f aca="false">IF(A1052="제외","",IF(OR(N(L1052)&lt;=0,N(M1052)&gt;N(L1052)),"택가보정(판매금액÷공급율)",""))</f>
        <v/>
      </c>
      <c r="P1052" s="0" t="str">
        <f aca="false">IF(A1052="HK","100",IF(A1052="CN","200",IF(A1052="TW","300",IF(ISNUMBER(SEARCH("태국",C1052)),"500",IF(ISNUMBER(SEARCH("말레이",C1052)),"600",IF(ISNUMBER(SEARCH("필리핀",C1052)),"700",IF(ISNUMBER(SEARCH("인도네시아",C1052)),"800",IF(ISNUMBER(SEARCH("크루즈",C1052)),"810",IF(ISNUMBER(SEARCH("동물원",C1052)),"830","")))))))))</f>
        <v>600</v>
      </c>
    </row>
    <row r="1053" customFormat="false" ht="15" hidden="false" customHeight="false" outlineLevel="0" collapsed="false">
      <c r="A1053" s="32" t="str">
        <f aca="false">IF(OR(TRIM(C1053)="",SUBSTITUTE(C1053," ","")="소계"),"제외",IF(ISNUMBER(SEARCH("홍콩",C1053)),"HK",IF(ISNUMBER(SEARCH("상해",C1053)),"CN",IF(ISNUMBER(SEARCH("대만",C1053)),"TW","홀세일"))))</f>
        <v>홀세일</v>
      </c>
      <c r="B1053" s="36" t="s">
        <v>1262</v>
      </c>
      <c r="C1053" s="36" t="s">
        <v>1263</v>
      </c>
      <c r="D1053" s="37" t="s">
        <v>123</v>
      </c>
      <c r="E1053" s="36" t="n">
        <v>2026</v>
      </c>
      <c r="F1053" s="37" t="s">
        <v>363</v>
      </c>
      <c r="G1053" s="37" t="s">
        <v>124</v>
      </c>
      <c r="H1053" s="36" t="s">
        <v>131</v>
      </c>
      <c r="I1053" s="36" t="s">
        <v>428</v>
      </c>
      <c r="J1053" s="37" t="s">
        <v>429</v>
      </c>
      <c r="K1053" s="38" t="n">
        <v>50</v>
      </c>
      <c r="L1053" s="38" t="n">
        <v>9450000</v>
      </c>
      <c r="M1053" s="38" t="n">
        <v>3235750</v>
      </c>
      <c r="N1053" s="39" t="n">
        <f aca="false">IF(A1053="제외",0,IF(OR(N(L1053)&lt;=0,N(M1053)&gt;N(L1053)),N(M1053)/요약!$D$27,N(L1053)))</f>
        <v>9450000</v>
      </c>
      <c r="O1053" s="32" t="str">
        <f aca="false">IF(A1053="제외","",IF(OR(N(L1053)&lt;=0,N(M1053)&gt;N(L1053)),"택가보정(판매금액÷공급율)",""))</f>
        <v/>
      </c>
      <c r="P1053" s="0" t="str">
        <f aca="false">IF(A1053="HK","100",IF(A1053="CN","200",IF(A1053="TW","300",IF(ISNUMBER(SEARCH("태국",C1053)),"500",IF(ISNUMBER(SEARCH("말레이",C1053)),"600",IF(ISNUMBER(SEARCH("필리핀",C1053)),"700",IF(ISNUMBER(SEARCH("인도네시아",C1053)),"800",IF(ISNUMBER(SEARCH("크루즈",C1053)),"810",IF(ISNUMBER(SEARCH("동물원",C1053)),"830","")))))))))</f>
        <v>600</v>
      </c>
    </row>
    <row r="1054" customFormat="false" ht="15" hidden="false" customHeight="false" outlineLevel="0" collapsed="false">
      <c r="A1054" s="32" t="str">
        <f aca="false">IF(OR(TRIM(C1054)="",SUBSTITUTE(C1054," ","")="소계"),"제외",IF(ISNUMBER(SEARCH("홍콩",C1054)),"HK",IF(ISNUMBER(SEARCH("상해",C1054)),"CN",IF(ISNUMBER(SEARCH("대만",C1054)),"TW","홀세일"))))</f>
        <v>홀세일</v>
      </c>
      <c r="B1054" s="36" t="s">
        <v>1262</v>
      </c>
      <c r="C1054" s="36" t="s">
        <v>1263</v>
      </c>
      <c r="D1054" s="37" t="s">
        <v>123</v>
      </c>
      <c r="E1054" s="36" t="n">
        <v>2026</v>
      </c>
      <c r="F1054" s="37" t="s">
        <v>363</v>
      </c>
      <c r="G1054" s="37" t="s">
        <v>124</v>
      </c>
      <c r="H1054" s="36" t="s">
        <v>131</v>
      </c>
      <c r="I1054" s="36" t="s">
        <v>1322</v>
      </c>
      <c r="J1054" s="37" t="s">
        <v>1323</v>
      </c>
      <c r="K1054" s="38" t="n">
        <v>35</v>
      </c>
      <c r="L1054" s="38" t="n">
        <v>5565000</v>
      </c>
      <c r="M1054" s="38" t="n">
        <v>1902215</v>
      </c>
      <c r="N1054" s="39" t="n">
        <f aca="false">IF(A1054="제외",0,IF(OR(N(L1054)&lt;=0,N(M1054)&gt;N(L1054)),N(M1054)/요약!$D$27,N(L1054)))</f>
        <v>5565000</v>
      </c>
      <c r="O1054" s="32" t="str">
        <f aca="false">IF(A1054="제외","",IF(OR(N(L1054)&lt;=0,N(M1054)&gt;N(L1054)),"택가보정(판매금액÷공급율)",""))</f>
        <v/>
      </c>
      <c r="P1054" s="0" t="str">
        <f aca="false">IF(A1054="HK","100",IF(A1054="CN","200",IF(A1054="TW","300",IF(ISNUMBER(SEARCH("태국",C1054)),"500",IF(ISNUMBER(SEARCH("말레이",C1054)),"600",IF(ISNUMBER(SEARCH("필리핀",C1054)),"700",IF(ISNUMBER(SEARCH("인도네시아",C1054)),"800",IF(ISNUMBER(SEARCH("크루즈",C1054)),"810",IF(ISNUMBER(SEARCH("동물원",C1054)),"830","")))))))))</f>
        <v>600</v>
      </c>
    </row>
    <row r="1055" customFormat="false" ht="15" hidden="false" customHeight="false" outlineLevel="0" collapsed="false">
      <c r="A1055" s="32" t="str">
        <f aca="false">IF(OR(TRIM(C1055)="",SUBSTITUTE(C1055," ","")="소계"),"제외",IF(ISNUMBER(SEARCH("홍콩",C1055)),"HK",IF(ISNUMBER(SEARCH("상해",C1055)),"CN",IF(ISNUMBER(SEARCH("대만",C1055)),"TW","홀세일"))))</f>
        <v>홀세일</v>
      </c>
      <c r="B1055" s="36" t="s">
        <v>1262</v>
      </c>
      <c r="C1055" s="36" t="s">
        <v>1263</v>
      </c>
      <c r="D1055" s="37" t="s">
        <v>123</v>
      </c>
      <c r="E1055" s="36" t="n">
        <v>2026</v>
      </c>
      <c r="F1055" s="37" t="s">
        <v>363</v>
      </c>
      <c r="G1055" s="37" t="s">
        <v>124</v>
      </c>
      <c r="H1055" s="36" t="s">
        <v>131</v>
      </c>
      <c r="I1055" s="36" t="s">
        <v>1324</v>
      </c>
      <c r="J1055" s="37" t="s">
        <v>1325</v>
      </c>
      <c r="K1055" s="38" t="n">
        <v>45</v>
      </c>
      <c r="L1055" s="38" t="n">
        <v>7605000</v>
      </c>
      <c r="M1055" s="38" t="n">
        <v>2605635</v>
      </c>
      <c r="N1055" s="39" t="n">
        <f aca="false">IF(A1055="제외",0,IF(OR(N(L1055)&lt;=0,N(M1055)&gt;N(L1055)),N(M1055)/요약!$D$27,N(L1055)))</f>
        <v>7605000</v>
      </c>
      <c r="O1055" s="32" t="str">
        <f aca="false">IF(A1055="제외","",IF(OR(N(L1055)&lt;=0,N(M1055)&gt;N(L1055)),"택가보정(판매금액÷공급율)",""))</f>
        <v/>
      </c>
      <c r="P1055" s="0" t="str">
        <f aca="false">IF(A1055="HK","100",IF(A1055="CN","200",IF(A1055="TW","300",IF(ISNUMBER(SEARCH("태국",C1055)),"500",IF(ISNUMBER(SEARCH("말레이",C1055)),"600",IF(ISNUMBER(SEARCH("필리핀",C1055)),"700",IF(ISNUMBER(SEARCH("인도네시아",C1055)),"800",IF(ISNUMBER(SEARCH("크루즈",C1055)),"810",IF(ISNUMBER(SEARCH("동물원",C1055)),"830","")))))))))</f>
        <v>600</v>
      </c>
    </row>
    <row r="1056" customFormat="false" ht="15" hidden="false" customHeight="false" outlineLevel="0" collapsed="false">
      <c r="A1056" s="32" t="str">
        <f aca="false">IF(OR(TRIM(C1056)="",SUBSTITUTE(C1056," ","")="소계"),"제외",IF(ISNUMBER(SEARCH("홍콩",C1056)),"HK",IF(ISNUMBER(SEARCH("상해",C1056)),"CN",IF(ISNUMBER(SEARCH("대만",C1056)),"TW","홀세일"))))</f>
        <v>홀세일</v>
      </c>
      <c r="B1056" s="36" t="s">
        <v>1262</v>
      </c>
      <c r="C1056" s="36" t="s">
        <v>1263</v>
      </c>
      <c r="D1056" s="37" t="s">
        <v>123</v>
      </c>
      <c r="E1056" s="36" t="n">
        <v>2026</v>
      </c>
      <c r="F1056" s="37" t="s">
        <v>363</v>
      </c>
      <c r="G1056" s="37" t="s">
        <v>124</v>
      </c>
      <c r="H1056" s="36" t="s">
        <v>131</v>
      </c>
      <c r="I1056" s="36" t="s">
        <v>434</v>
      </c>
      <c r="J1056" s="37" t="s">
        <v>435</v>
      </c>
      <c r="K1056" s="38" t="n">
        <v>130</v>
      </c>
      <c r="L1056" s="38" t="n">
        <v>14170000</v>
      </c>
      <c r="M1056" s="38" t="n">
        <v>4290130</v>
      </c>
      <c r="N1056" s="39" t="n">
        <f aca="false">IF(A1056="제외",0,IF(OR(N(L1056)&lt;=0,N(M1056)&gt;N(L1056)),N(M1056)/요약!$D$27,N(L1056)))</f>
        <v>14170000</v>
      </c>
      <c r="O1056" s="32" t="str">
        <f aca="false">IF(A1056="제외","",IF(OR(N(L1056)&lt;=0,N(M1056)&gt;N(L1056)),"택가보정(판매금액÷공급율)",""))</f>
        <v/>
      </c>
      <c r="P1056" s="0" t="str">
        <f aca="false">IF(A1056="HK","100",IF(A1056="CN","200",IF(A1056="TW","300",IF(ISNUMBER(SEARCH("태국",C1056)),"500",IF(ISNUMBER(SEARCH("말레이",C1056)),"600",IF(ISNUMBER(SEARCH("필리핀",C1056)),"700",IF(ISNUMBER(SEARCH("인도네시아",C1056)),"800",IF(ISNUMBER(SEARCH("크루즈",C1056)),"810",IF(ISNUMBER(SEARCH("동물원",C1056)),"830","")))))))))</f>
        <v>600</v>
      </c>
    </row>
    <row r="1057" customFormat="false" ht="15" hidden="false" customHeight="false" outlineLevel="0" collapsed="false">
      <c r="A1057" s="32" t="str">
        <f aca="false">IF(OR(TRIM(C1057)="",SUBSTITUTE(C1057," ","")="소계"),"제외",IF(ISNUMBER(SEARCH("홍콩",C1057)),"HK",IF(ISNUMBER(SEARCH("상해",C1057)),"CN",IF(ISNUMBER(SEARCH("대만",C1057)),"TW","홀세일"))))</f>
        <v>홀세일</v>
      </c>
      <c r="B1057" s="36" t="s">
        <v>1262</v>
      </c>
      <c r="C1057" s="36" t="s">
        <v>1263</v>
      </c>
      <c r="D1057" s="37" t="s">
        <v>123</v>
      </c>
      <c r="E1057" s="36" t="n">
        <v>2026</v>
      </c>
      <c r="F1057" s="37" t="s">
        <v>363</v>
      </c>
      <c r="G1057" s="37" t="s">
        <v>124</v>
      </c>
      <c r="H1057" s="36" t="s">
        <v>131</v>
      </c>
      <c r="I1057" s="36" t="s">
        <v>436</v>
      </c>
      <c r="J1057" s="37" t="s">
        <v>437</v>
      </c>
      <c r="K1057" s="38" t="n">
        <v>35</v>
      </c>
      <c r="L1057" s="38" t="n">
        <v>2065000</v>
      </c>
      <c r="M1057" s="38" t="n">
        <v>691005</v>
      </c>
      <c r="N1057" s="39" t="n">
        <f aca="false">IF(A1057="제외",0,IF(OR(N(L1057)&lt;=0,N(M1057)&gt;N(L1057)),N(M1057)/요약!$D$27,N(L1057)))</f>
        <v>2065000</v>
      </c>
      <c r="O1057" s="32" t="str">
        <f aca="false">IF(A1057="제외","",IF(OR(N(L1057)&lt;=0,N(M1057)&gt;N(L1057)),"택가보정(판매금액÷공급율)",""))</f>
        <v/>
      </c>
      <c r="P1057" s="0" t="str">
        <f aca="false">IF(A1057="HK","100",IF(A1057="CN","200",IF(A1057="TW","300",IF(ISNUMBER(SEARCH("태국",C1057)),"500",IF(ISNUMBER(SEARCH("말레이",C1057)),"600",IF(ISNUMBER(SEARCH("필리핀",C1057)),"700",IF(ISNUMBER(SEARCH("인도네시아",C1057)),"800",IF(ISNUMBER(SEARCH("크루즈",C1057)),"810",IF(ISNUMBER(SEARCH("동물원",C1057)),"830","")))))))))</f>
        <v>600</v>
      </c>
    </row>
    <row r="1058" customFormat="false" ht="15" hidden="false" customHeight="false" outlineLevel="0" collapsed="false">
      <c r="A1058" s="32" t="str">
        <f aca="false">IF(OR(TRIM(C1058)="",SUBSTITUTE(C1058," ","")="소계"),"제외",IF(ISNUMBER(SEARCH("홍콩",C1058)),"HK",IF(ISNUMBER(SEARCH("상해",C1058)),"CN",IF(ISNUMBER(SEARCH("대만",C1058)),"TW","홀세일"))))</f>
        <v>홀세일</v>
      </c>
      <c r="B1058" s="36" t="s">
        <v>1262</v>
      </c>
      <c r="C1058" s="36" t="s">
        <v>1263</v>
      </c>
      <c r="D1058" s="37" t="s">
        <v>123</v>
      </c>
      <c r="E1058" s="36" t="n">
        <v>2026</v>
      </c>
      <c r="F1058" s="37" t="s">
        <v>363</v>
      </c>
      <c r="G1058" s="37" t="s">
        <v>124</v>
      </c>
      <c r="H1058" s="36" t="s">
        <v>131</v>
      </c>
      <c r="I1058" s="36" t="s">
        <v>438</v>
      </c>
      <c r="J1058" s="37" t="s">
        <v>439</v>
      </c>
      <c r="K1058" s="38" t="n">
        <v>75</v>
      </c>
      <c r="L1058" s="38" t="n">
        <v>5925000</v>
      </c>
      <c r="M1058" s="38" t="n">
        <v>1729350</v>
      </c>
      <c r="N1058" s="39" t="n">
        <f aca="false">IF(A1058="제외",0,IF(OR(N(L1058)&lt;=0,N(M1058)&gt;N(L1058)),N(M1058)/요약!$D$27,N(L1058)))</f>
        <v>5925000</v>
      </c>
      <c r="O1058" s="32" t="str">
        <f aca="false">IF(A1058="제외","",IF(OR(N(L1058)&lt;=0,N(M1058)&gt;N(L1058)),"택가보정(판매금액÷공급율)",""))</f>
        <v/>
      </c>
      <c r="P1058" s="0" t="str">
        <f aca="false">IF(A1058="HK","100",IF(A1058="CN","200",IF(A1058="TW","300",IF(ISNUMBER(SEARCH("태국",C1058)),"500",IF(ISNUMBER(SEARCH("말레이",C1058)),"600",IF(ISNUMBER(SEARCH("필리핀",C1058)),"700",IF(ISNUMBER(SEARCH("인도네시아",C1058)),"800",IF(ISNUMBER(SEARCH("크루즈",C1058)),"810",IF(ISNUMBER(SEARCH("동물원",C1058)),"830","")))))))))</f>
        <v>600</v>
      </c>
    </row>
    <row r="1059" customFormat="false" ht="15" hidden="false" customHeight="false" outlineLevel="0" collapsed="false">
      <c r="A1059" s="32" t="str">
        <f aca="false">IF(OR(TRIM(C1059)="",SUBSTITUTE(C1059," ","")="소계"),"제외",IF(ISNUMBER(SEARCH("홍콩",C1059)),"HK",IF(ISNUMBER(SEARCH("상해",C1059)),"CN",IF(ISNUMBER(SEARCH("대만",C1059)),"TW","홀세일"))))</f>
        <v>홀세일</v>
      </c>
      <c r="B1059" s="36" t="s">
        <v>1262</v>
      </c>
      <c r="C1059" s="36" t="s">
        <v>1263</v>
      </c>
      <c r="D1059" s="37" t="s">
        <v>123</v>
      </c>
      <c r="E1059" s="36" t="n">
        <v>2026</v>
      </c>
      <c r="F1059" s="37" t="s">
        <v>363</v>
      </c>
      <c r="G1059" s="37" t="s">
        <v>124</v>
      </c>
      <c r="H1059" s="36" t="s">
        <v>131</v>
      </c>
      <c r="I1059" s="36" t="s">
        <v>440</v>
      </c>
      <c r="J1059" s="37" t="s">
        <v>441</v>
      </c>
      <c r="K1059" s="38" t="n">
        <v>285</v>
      </c>
      <c r="L1059" s="38" t="n">
        <v>19665000</v>
      </c>
      <c r="M1059" s="38" t="n">
        <v>5813145</v>
      </c>
      <c r="N1059" s="39" t="n">
        <f aca="false">IF(A1059="제외",0,IF(OR(N(L1059)&lt;=0,N(M1059)&gt;N(L1059)),N(M1059)/요약!$D$27,N(L1059)))</f>
        <v>19665000</v>
      </c>
      <c r="O1059" s="32" t="str">
        <f aca="false">IF(A1059="제외","",IF(OR(N(L1059)&lt;=0,N(M1059)&gt;N(L1059)),"택가보정(판매금액÷공급율)",""))</f>
        <v/>
      </c>
      <c r="P1059" s="0" t="str">
        <f aca="false">IF(A1059="HK","100",IF(A1059="CN","200",IF(A1059="TW","300",IF(ISNUMBER(SEARCH("태국",C1059)),"500",IF(ISNUMBER(SEARCH("말레이",C1059)),"600",IF(ISNUMBER(SEARCH("필리핀",C1059)),"700",IF(ISNUMBER(SEARCH("인도네시아",C1059)),"800",IF(ISNUMBER(SEARCH("크루즈",C1059)),"810",IF(ISNUMBER(SEARCH("동물원",C1059)),"830","")))))))))</f>
        <v>600</v>
      </c>
    </row>
    <row r="1060" customFormat="false" ht="15" hidden="false" customHeight="false" outlineLevel="0" collapsed="false">
      <c r="A1060" s="32" t="str">
        <f aca="false">IF(OR(TRIM(C1060)="",SUBSTITUTE(C1060," ","")="소계"),"제외",IF(ISNUMBER(SEARCH("홍콩",C1060)),"HK",IF(ISNUMBER(SEARCH("상해",C1060)),"CN",IF(ISNUMBER(SEARCH("대만",C1060)),"TW","홀세일"))))</f>
        <v>홀세일</v>
      </c>
      <c r="B1060" s="36" t="s">
        <v>1262</v>
      </c>
      <c r="C1060" s="36" t="s">
        <v>1263</v>
      </c>
      <c r="D1060" s="37" t="s">
        <v>123</v>
      </c>
      <c r="E1060" s="36" t="n">
        <v>2026</v>
      </c>
      <c r="F1060" s="37" t="s">
        <v>363</v>
      </c>
      <c r="G1060" s="37" t="s">
        <v>124</v>
      </c>
      <c r="H1060" s="36" t="s">
        <v>131</v>
      </c>
      <c r="I1060" s="36" t="s">
        <v>442</v>
      </c>
      <c r="J1060" s="37" t="s">
        <v>443</v>
      </c>
      <c r="K1060" s="38" t="n">
        <v>120</v>
      </c>
      <c r="L1060" s="38" t="n">
        <v>9480000</v>
      </c>
      <c r="M1060" s="38" t="n">
        <v>2724120</v>
      </c>
      <c r="N1060" s="39" t="n">
        <f aca="false">IF(A1060="제외",0,IF(OR(N(L1060)&lt;=0,N(M1060)&gt;N(L1060)),N(M1060)/요약!$D$27,N(L1060)))</f>
        <v>9480000</v>
      </c>
      <c r="O1060" s="32" t="str">
        <f aca="false">IF(A1060="제외","",IF(OR(N(L1060)&lt;=0,N(M1060)&gt;N(L1060)),"택가보정(판매금액÷공급율)",""))</f>
        <v/>
      </c>
      <c r="P1060" s="0" t="str">
        <f aca="false">IF(A1060="HK","100",IF(A1060="CN","200",IF(A1060="TW","300",IF(ISNUMBER(SEARCH("태국",C1060)),"500",IF(ISNUMBER(SEARCH("말레이",C1060)),"600",IF(ISNUMBER(SEARCH("필리핀",C1060)),"700",IF(ISNUMBER(SEARCH("인도네시아",C1060)),"800",IF(ISNUMBER(SEARCH("크루즈",C1060)),"810",IF(ISNUMBER(SEARCH("동물원",C1060)),"830","")))))))))</f>
        <v>600</v>
      </c>
    </row>
    <row r="1061" customFormat="false" ht="15" hidden="false" customHeight="false" outlineLevel="0" collapsed="false">
      <c r="A1061" s="32" t="str">
        <f aca="false">IF(OR(TRIM(C1061)="",SUBSTITUTE(C1061," ","")="소계"),"제외",IF(ISNUMBER(SEARCH("홍콩",C1061)),"HK",IF(ISNUMBER(SEARCH("상해",C1061)),"CN",IF(ISNUMBER(SEARCH("대만",C1061)),"TW","홀세일"))))</f>
        <v>홀세일</v>
      </c>
      <c r="B1061" s="36" t="s">
        <v>1262</v>
      </c>
      <c r="C1061" s="36" t="s">
        <v>1263</v>
      </c>
      <c r="D1061" s="37" t="s">
        <v>123</v>
      </c>
      <c r="E1061" s="36" t="n">
        <v>2026</v>
      </c>
      <c r="F1061" s="37" t="s">
        <v>363</v>
      </c>
      <c r="G1061" s="37" t="s">
        <v>124</v>
      </c>
      <c r="H1061" s="36" t="s">
        <v>125</v>
      </c>
      <c r="I1061" s="36" t="s">
        <v>446</v>
      </c>
      <c r="J1061" s="37" t="s">
        <v>447</v>
      </c>
      <c r="K1061" s="38" t="n">
        <v>180</v>
      </c>
      <c r="L1061" s="38" t="n">
        <v>12420000</v>
      </c>
      <c r="M1061" s="38" t="n">
        <v>4150440</v>
      </c>
      <c r="N1061" s="39" t="n">
        <f aca="false">IF(A1061="제외",0,IF(OR(N(L1061)&lt;=0,N(M1061)&gt;N(L1061)),N(M1061)/요약!$D$27,N(L1061)))</f>
        <v>12420000</v>
      </c>
      <c r="O1061" s="32" t="str">
        <f aca="false">IF(A1061="제외","",IF(OR(N(L1061)&lt;=0,N(M1061)&gt;N(L1061)),"택가보정(판매금액÷공급율)",""))</f>
        <v/>
      </c>
      <c r="P1061" s="0" t="str">
        <f aca="false">IF(A1061="HK","100",IF(A1061="CN","200",IF(A1061="TW","300",IF(ISNUMBER(SEARCH("태국",C1061)),"500",IF(ISNUMBER(SEARCH("말레이",C1061)),"600",IF(ISNUMBER(SEARCH("필리핀",C1061)),"700",IF(ISNUMBER(SEARCH("인도네시아",C1061)),"800",IF(ISNUMBER(SEARCH("크루즈",C1061)),"810",IF(ISNUMBER(SEARCH("동물원",C1061)),"830","")))))))))</f>
        <v>600</v>
      </c>
    </row>
    <row r="1062" customFormat="false" ht="15" hidden="false" customHeight="false" outlineLevel="0" collapsed="false">
      <c r="A1062" s="32" t="str">
        <f aca="false">IF(OR(TRIM(C1062)="",SUBSTITUTE(C1062," ","")="소계"),"제외",IF(ISNUMBER(SEARCH("홍콩",C1062)),"HK",IF(ISNUMBER(SEARCH("상해",C1062)),"CN",IF(ISNUMBER(SEARCH("대만",C1062)),"TW","홀세일"))))</f>
        <v>홀세일</v>
      </c>
      <c r="B1062" s="36" t="s">
        <v>1262</v>
      </c>
      <c r="C1062" s="36" t="s">
        <v>1263</v>
      </c>
      <c r="D1062" s="37" t="s">
        <v>123</v>
      </c>
      <c r="E1062" s="36" t="n">
        <v>2026</v>
      </c>
      <c r="F1062" s="37" t="s">
        <v>363</v>
      </c>
      <c r="G1062" s="37" t="s">
        <v>124</v>
      </c>
      <c r="H1062" s="36" t="s">
        <v>125</v>
      </c>
      <c r="I1062" s="36" t="s">
        <v>448</v>
      </c>
      <c r="J1062" s="37" t="s">
        <v>449</v>
      </c>
      <c r="K1062" s="38" t="n">
        <v>35</v>
      </c>
      <c r="L1062" s="38" t="n">
        <v>2765000</v>
      </c>
      <c r="M1062" s="38" t="n">
        <v>923020</v>
      </c>
      <c r="N1062" s="39" t="n">
        <f aca="false">IF(A1062="제외",0,IF(OR(N(L1062)&lt;=0,N(M1062)&gt;N(L1062)),N(M1062)/요약!$D$27,N(L1062)))</f>
        <v>2765000</v>
      </c>
      <c r="O1062" s="32" t="str">
        <f aca="false">IF(A1062="제외","",IF(OR(N(L1062)&lt;=0,N(M1062)&gt;N(L1062)),"택가보정(판매금액÷공급율)",""))</f>
        <v/>
      </c>
      <c r="P1062" s="0" t="str">
        <f aca="false">IF(A1062="HK","100",IF(A1062="CN","200",IF(A1062="TW","300",IF(ISNUMBER(SEARCH("태국",C1062)),"500",IF(ISNUMBER(SEARCH("말레이",C1062)),"600",IF(ISNUMBER(SEARCH("필리핀",C1062)),"700",IF(ISNUMBER(SEARCH("인도네시아",C1062)),"800",IF(ISNUMBER(SEARCH("크루즈",C1062)),"810",IF(ISNUMBER(SEARCH("동물원",C1062)),"830","")))))))))</f>
        <v>600</v>
      </c>
    </row>
    <row r="1063" customFormat="false" ht="15" hidden="false" customHeight="false" outlineLevel="0" collapsed="false">
      <c r="A1063" s="32" t="str">
        <f aca="false">IF(OR(TRIM(C1063)="",SUBSTITUTE(C1063," ","")="소계"),"제외",IF(ISNUMBER(SEARCH("홍콩",C1063)),"HK",IF(ISNUMBER(SEARCH("상해",C1063)),"CN",IF(ISNUMBER(SEARCH("대만",C1063)),"TW","홀세일"))))</f>
        <v>홀세일</v>
      </c>
      <c r="B1063" s="36" t="s">
        <v>1262</v>
      </c>
      <c r="C1063" s="36" t="s">
        <v>1263</v>
      </c>
      <c r="D1063" s="37" t="s">
        <v>123</v>
      </c>
      <c r="E1063" s="36" t="n">
        <v>2026</v>
      </c>
      <c r="F1063" s="37" t="s">
        <v>363</v>
      </c>
      <c r="G1063" s="37" t="s">
        <v>124</v>
      </c>
      <c r="H1063" s="36" t="s">
        <v>125</v>
      </c>
      <c r="I1063" s="36" t="s">
        <v>450</v>
      </c>
      <c r="J1063" s="37" t="s">
        <v>451</v>
      </c>
      <c r="K1063" s="38" t="n">
        <v>190</v>
      </c>
      <c r="L1063" s="38" t="n">
        <v>13110000</v>
      </c>
      <c r="M1063" s="38" t="n">
        <v>4525990</v>
      </c>
      <c r="N1063" s="39" t="n">
        <f aca="false">IF(A1063="제외",0,IF(OR(N(L1063)&lt;=0,N(M1063)&gt;N(L1063)),N(M1063)/요약!$D$27,N(L1063)))</f>
        <v>13110000</v>
      </c>
      <c r="O1063" s="32" t="str">
        <f aca="false">IF(A1063="제외","",IF(OR(N(L1063)&lt;=0,N(M1063)&gt;N(L1063)),"택가보정(판매금액÷공급율)",""))</f>
        <v/>
      </c>
      <c r="P1063" s="0" t="str">
        <f aca="false">IF(A1063="HK","100",IF(A1063="CN","200",IF(A1063="TW","300",IF(ISNUMBER(SEARCH("태국",C1063)),"500",IF(ISNUMBER(SEARCH("말레이",C1063)),"600",IF(ISNUMBER(SEARCH("필리핀",C1063)),"700",IF(ISNUMBER(SEARCH("인도네시아",C1063)),"800",IF(ISNUMBER(SEARCH("크루즈",C1063)),"810",IF(ISNUMBER(SEARCH("동물원",C1063)),"830","")))))))))</f>
        <v>600</v>
      </c>
    </row>
    <row r="1064" customFormat="false" ht="15" hidden="false" customHeight="false" outlineLevel="0" collapsed="false">
      <c r="A1064" s="32" t="str">
        <f aca="false">IF(OR(TRIM(C1064)="",SUBSTITUTE(C1064," ","")="소계"),"제외",IF(ISNUMBER(SEARCH("홍콩",C1064)),"HK",IF(ISNUMBER(SEARCH("상해",C1064)),"CN",IF(ISNUMBER(SEARCH("대만",C1064)),"TW","홀세일"))))</f>
        <v>홀세일</v>
      </c>
      <c r="B1064" s="36" t="s">
        <v>1262</v>
      </c>
      <c r="C1064" s="36" t="s">
        <v>1263</v>
      </c>
      <c r="D1064" s="37" t="s">
        <v>123</v>
      </c>
      <c r="E1064" s="36" t="n">
        <v>2026</v>
      </c>
      <c r="F1064" s="37" t="s">
        <v>363</v>
      </c>
      <c r="G1064" s="37" t="s">
        <v>124</v>
      </c>
      <c r="H1064" s="36" t="s">
        <v>188</v>
      </c>
      <c r="I1064" s="36" t="s">
        <v>892</v>
      </c>
      <c r="J1064" s="36" t="s">
        <v>893</v>
      </c>
      <c r="K1064" s="38" t="n">
        <v>50</v>
      </c>
      <c r="L1064" s="38" t="n">
        <v>5450000</v>
      </c>
      <c r="M1064" s="38" t="n">
        <v>1875900</v>
      </c>
      <c r="N1064" s="39" t="n">
        <f aca="false">IF(A1064="제외",0,IF(OR(N(L1064)&lt;=0,N(M1064)&gt;N(L1064)),N(M1064)/요약!$D$27,N(L1064)))</f>
        <v>5450000</v>
      </c>
      <c r="O1064" s="32" t="str">
        <f aca="false">IF(A1064="제외","",IF(OR(N(L1064)&lt;=0,N(M1064)&gt;N(L1064)),"택가보정(판매금액÷공급율)",""))</f>
        <v/>
      </c>
      <c r="P1064" s="0" t="str">
        <f aca="false">IF(A1064="HK","100",IF(A1064="CN","200",IF(A1064="TW","300",IF(ISNUMBER(SEARCH("태국",C1064)),"500",IF(ISNUMBER(SEARCH("말레이",C1064)),"600",IF(ISNUMBER(SEARCH("필리핀",C1064)),"700",IF(ISNUMBER(SEARCH("인도네시아",C1064)),"800",IF(ISNUMBER(SEARCH("크루즈",C1064)),"810",IF(ISNUMBER(SEARCH("동물원",C1064)),"830","")))))))))</f>
        <v>600</v>
      </c>
    </row>
    <row r="1065" customFormat="false" ht="15" hidden="false" customHeight="false" outlineLevel="0" collapsed="false">
      <c r="A1065" s="32" t="str">
        <f aca="false">IF(OR(TRIM(C1065)="",SUBSTITUTE(C1065," ","")="소계"),"제외",IF(ISNUMBER(SEARCH("홍콩",C1065)),"HK",IF(ISNUMBER(SEARCH("상해",C1065)),"CN",IF(ISNUMBER(SEARCH("대만",C1065)),"TW","홀세일"))))</f>
        <v>홀세일</v>
      </c>
      <c r="B1065" s="36" t="s">
        <v>1262</v>
      </c>
      <c r="C1065" s="36" t="s">
        <v>1263</v>
      </c>
      <c r="D1065" s="37" t="s">
        <v>123</v>
      </c>
      <c r="E1065" s="36" t="n">
        <v>2026</v>
      </c>
      <c r="F1065" s="37" t="s">
        <v>363</v>
      </c>
      <c r="G1065" s="37" t="s">
        <v>124</v>
      </c>
      <c r="H1065" s="36" t="s">
        <v>188</v>
      </c>
      <c r="I1065" s="36" t="s">
        <v>454</v>
      </c>
      <c r="J1065" s="36" t="s">
        <v>455</v>
      </c>
      <c r="K1065" s="38" t="n">
        <v>45</v>
      </c>
      <c r="L1065" s="38" t="n">
        <v>4905000</v>
      </c>
      <c r="M1065" s="38" t="n">
        <v>1679355</v>
      </c>
      <c r="N1065" s="39" t="n">
        <f aca="false">IF(A1065="제외",0,IF(OR(N(L1065)&lt;=0,N(M1065)&gt;N(L1065)),N(M1065)/요약!$D$27,N(L1065)))</f>
        <v>4905000</v>
      </c>
      <c r="O1065" s="32" t="str">
        <f aca="false">IF(A1065="제외","",IF(OR(N(L1065)&lt;=0,N(M1065)&gt;N(L1065)),"택가보정(판매금액÷공급율)",""))</f>
        <v/>
      </c>
      <c r="P1065" s="0" t="str">
        <f aca="false">IF(A1065="HK","100",IF(A1065="CN","200",IF(A1065="TW","300",IF(ISNUMBER(SEARCH("태국",C1065)),"500",IF(ISNUMBER(SEARCH("말레이",C1065)),"600",IF(ISNUMBER(SEARCH("필리핀",C1065)),"700",IF(ISNUMBER(SEARCH("인도네시아",C1065)),"800",IF(ISNUMBER(SEARCH("크루즈",C1065)),"810",IF(ISNUMBER(SEARCH("동물원",C1065)),"830","")))))))))</f>
        <v>600</v>
      </c>
    </row>
    <row r="1066" customFormat="false" ht="15" hidden="false" customHeight="false" outlineLevel="0" collapsed="false">
      <c r="A1066" s="32" t="str">
        <f aca="false">IF(OR(TRIM(C1066)="",SUBSTITUTE(C1066," ","")="소계"),"제외",IF(ISNUMBER(SEARCH("홍콩",C1066)),"HK",IF(ISNUMBER(SEARCH("상해",C1066)),"CN",IF(ISNUMBER(SEARCH("대만",C1066)),"TW","홀세일"))))</f>
        <v>홀세일</v>
      </c>
      <c r="B1066" s="36" t="s">
        <v>1262</v>
      </c>
      <c r="C1066" s="36" t="s">
        <v>1263</v>
      </c>
      <c r="D1066" s="37" t="s">
        <v>123</v>
      </c>
      <c r="E1066" s="36" t="n">
        <v>2026</v>
      </c>
      <c r="F1066" s="37" t="s">
        <v>363</v>
      </c>
      <c r="G1066" s="37" t="s">
        <v>124</v>
      </c>
      <c r="H1066" s="36" t="s">
        <v>188</v>
      </c>
      <c r="I1066" s="36" t="s">
        <v>456</v>
      </c>
      <c r="J1066" s="36" t="s">
        <v>457</v>
      </c>
      <c r="K1066" s="38" t="n">
        <v>25</v>
      </c>
      <c r="L1066" s="38" t="n">
        <v>3725000</v>
      </c>
      <c r="M1066" s="38" t="n">
        <v>1216900</v>
      </c>
      <c r="N1066" s="39" t="n">
        <f aca="false">IF(A1066="제외",0,IF(OR(N(L1066)&lt;=0,N(M1066)&gt;N(L1066)),N(M1066)/요약!$D$27,N(L1066)))</f>
        <v>3725000</v>
      </c>
      <c r="O1066" s="32" t="str">
        <f aca="false">IF(A1066="제외","",IF(OR(N(L1066)&lt;=0,N(M1066)&gt;N(L1066)),"택가보정(판매금액÷공급율)",""))</f>
        <v/>
      </c>
      <c r="P1066" s="0" t="str">
        <f aca="false">IF(A1066="HK","100",IF(A1066="CN","200",IF(A1066="TW","300",IF(ISNUMBER(SEARCH("태국",C1066)),"500",IF(ISNUMBER(SEARCH("말레이",C1066)),"600",IF(ISNUMBER(SEARCH("필리핀",C1066)),"700",IF(ISNUMBER(SEARCH("인도네시아",C1066)),"800",IF(ISNUMBER(SEARCH("크루즈",C1066)),"810",IF(ISNUMBER(SEARCH("동물원",C1066)),"830","")))))))))</f>
        <v>600</v>
      </c>
    </row>
    <row r="1067" customFormat="false" ht="15" hidden="false" customHeight="false" outlineLevel="0" collapsed="false">
      <c r="A1067" s="32" t="str">
        <f aca="false">IF(OR(TRIM(C1067)="",SUBSTITUTE(C1067," ","")="소계"),"제외",IF(ISNUMBER(SEARCH("홍콩",C1067)),"HK",IF(ISNUMBER(SEARCH("상해",C1067)),"CN",IF(ISNUMBER(SEARCH("대만",C1067)),"TW","홀세일"))))</f>
        <v>홀세일</v>
      </c>
      <c r="B1067" s="36" t="s">
        <v>1262</v>
      </c>
      <c r="C1067" s="36" t="s">
        <v>1263</v>
      </c>
      <c r="D1067" s="37" t="s">
        <v>123</v>
      </c>
      <c r="E1067" s="36" t="n">
        <v>2026</v>
      </c>
      <c r="F1067" s="37" t="s">
        <v>363</v>
      </c>
      <c r="G1067" s="37" t="s">
        <v>124</v>
      </c>
      <c r="H1067" s="36" t="s">
        <v>188</v>
      </c>
      <c r="I1067" s="36" t="s">
        <v>462</v>
      </c>
      <c r="J1067" s="36" t="s">
        <v>463</v>
      </c>
      <c r="K1067" s="38" t="n">
        <v>30</v>
      </c>
      <c r="L1067" s="38" t="n">
        <v>4770000</v>
      </c>
      <c r="M1067" s="38" t="n">
        <v>1568700</v>
      </c>
      <c r="N1067" s="39" t="n">
        <f aca="false">IF(A1067="제외",0,IF(OR(N(L1067)&lt;=0,N(M1067)&gt;N(L1067)),N(M1067)/요약!$D$27,N(L1067)))</f>
        <v>4770000</v>
      </c>
      <c r="O1067" s="32" t="str">
        <f aca="false">IF(A1067="제외","",IF(OR(N(L1067)&lt;=0,N(M1067)&gt;N(L1067)),"택가보정(판매금액÷공급율)",""))</f>
        <v/>
      </c>
      <c r="P1067" s="0" t="str">
        <f aca="false">IF(A1067="HK","100",IF(A1067="CN","200",IF(A1067="TW","300",IF(ISNUMBER(SEARCH("태국",C1067)),"500",IF(ISNUMBER(SEARCH("말레이",C1067)),"600",IF(ISNUMBER(SEARCH("필리핀",C1067)),"700",IF(ISNUMBER(SEARCH("인도네시아",C1067)),"800",IF(ISNUMBER(SEARCH("크루즈",C1067)),"810",IF(ISNUMBER(SEARCH("동물원",C1067)),"830","")))))))))</f>
        <v>600</v>
      </c>
    </row>
    <row r="1068" customFormat="false" ht="15" hidden="false" customHeight="false" outlineLevel="0" collapsed="false">
      <c r="A1068" s="32" t="str">
        <f aca="false">IF(OR(TRIM(C1068)="",SUBSTITUTE(C1068," ","")="소계"),"제외",IF(ISNUMBER(SEARCH("홍콩",C1068)),"HK",IF(ISNUMBER(SEARCH("상해",C1068)),"CN",IF(ISNUMBER(SEARCH("대만",C1068)),"TW","홀세일"))))</f>
        <v>홀세일</v>
      </c>
      <c r="B1068" s="36" t="s">
        <v>1262</v>
      </c>
      <c r="C1068" s="36" t="s">
        <v>1263</v>
      </c>
      <c r="D1068" s="37" t="s">
        <v>123</v>
      </c>
      <c r="E1068" s="36" t="n">
        <v>2026</v>
      </c>
      <c r="F1068" s="37" t="s">
        <v>363</v>
      </c>
      <c r="G1068" s="37" t="s">
        <v>124</v>
      </c>
      <c r="H1068" s="36" t="s">
        <v>188</v>
      </c>
      <c r="I1068" s="36" t="s">
        <v>464</v>
      </c>
      <c r="J1068" s="36" t="s">
        <v>465</v>
      </c>
      <c r="K1068" s="38" t="n">
        <v>30</v>
      </c>
      <c r="L1068" s="38" t="n">
        <v>7770000</v>
      </c>
      <c r="M1068" s="38" t="n">
        <v>2637750</v>
      </c>
      <c r="N1068" s="39" t="n">
        <f aca="false">IF(A1068="제외",0,IF(OR(N(L1068)&lt;=0,N(M1068)&gt;N(L1068)),N(M1068)/요약!$D$27,N(L1068)))</f>
        <v>7770000</v>
      </c>
      <c r="O1068" s="32" t="str">
        <f aca="false">IF(A1068="제외","",IF(OR(N(L1068)&lt;=0,N(M1068)&gt;N(L1068)),"택가보정(판매금액÷공급율)",""))</f>
        <v/>
      </c>
      <c r="P1068" s="0" t="str">
        <f aca="false">IF(A1068="HK","100",IF(A1068="CN","200",IF(A1068="TW","300",IF(ISNUMBER(SEARCH("태국",C1068)),"500",IF(ISNUMBER(SEARCH("말레이",C1068)),"600",IF(ISNUMBER(SEARCH("필리핀",C1068)),"700",IF(ISNUMBER(SEARCH("인도네시아",C1068)),"800",IF(ISNUMBER(SEARCH("크루즈",C1068)),"810",IF(ISNUMBER(SEARCH("동물원",C1068)),"830","")))))))))</f>
        <v>600</v>
      </c>
    </row>
    <row r="1069" customFormat="false" ht="15" hidden="false" customHeight="false" outlineLevel="0" collapsed="false">
      <c r="A1069" s="32" t="str">
        <f aca="false">IF(OR(TRIM(C1069)="",SUBSTITUTE(C1069," ","")="소계"),"제외",IF(ISNUMBER(SEARCH("홍콩",C1069)),"HK",IF(ISNUMBER(SEARCH("상해",C1069)),"CN",IF(ISNUMBER(SEARCH("대만",C1069)),"TW","홀세일"))))</f>
        <v>홀세일</v>
      </c>
      <c r="B1069" s="36" t="s">
        <v>1262</v>
      </c>
      <c r="C1069" s="36" t="s">
        <v>1263</v>
      </c>
      <c r="D1069" s="37" t="s">
        <v>123</v>
      </c>
      <c r="E1069" s="36" t="n">
        <v>2026</v>
      </c>
      <c r="F1069" s="37" t="s">
        <v>363</v>
      </c>
      <c r="G1069" s="37" t="s">
        <v>124</v>
      </c>
      <c r="H1069" s="36" t="s">
        <v>188</v>
      </c>
      <c r="I1069" s="36" t="s">
        <v>1326</v>
      </c>
      <c r="J1069" s="36" t="s">
        <v>1327</v>
      </c>
      <c r="K1069" s="38" t="n">
        <v>20</v>
      </c>
      <c r="L1069" s="38" t="n">
        <v>4380000</v>
      </c>
      <c r="M1069" s="38" t="n">
        <v>1329600</v>
      </c>
      <c r="N1069" s="39" t="n">
        <f aca="false">IF(A1069="제외",0,IF(OR(N(L1069)&lt;=0,N(M1069)&gt;N(L1069)),N(M1069)/요약!$D$27,N(L1069)))</f>
        <v>4380000</v>
      </c>
      <c r="O1069" s="32" t="str">
        <f aca="false">IF(A1069="제외","",IF(OR(N(L1069)&lt;=0,N(M1069)&gt;N(L1069)),"택가보정(판매금액÷공급율)",""))</f>
        <v/>
      </c>
      <c r="P1069" s="0" t="str">
        <f aca="false">IF(A1069="HK","100",IF(A1069="CN","200",IF(A1069="TW","300",IF(ISNUMBER(SEARCH("태국",C1069)),"500",IF(ISNUMBER(SEARCH("말레이",C1069)),"600",IF(ISNUMBER(SEARCH("필리핀",C1069)),"700",IF(ISNUMBER(SEARCH("인도네시아",C1069)),"800",IF(ISNUMBER(SEARCH("크루즈",C1069)),"810",IF(ISNUMBER(SEARCH("동물원",C1069)),"830","")))))))))</f>
        <v>600</v>
      </c>
    </row>
    <row r="1070" customFormat="false" ht="15" hidden="false" customHeight="false" outlineLevel="0" collapsed="false">
      <c r="A1070" s="32" t="str">
        <f aca="false">IF(OR(TRIM(C1070)="",SUBSTITUTE(C1070," ","")="소계"),"제외",IF(ISNUMBER(SEARCH("홍콩",C1070)),"HK",IF(ISNUMBER(SEARCH("상해",C1070)),"CN",IF(ISNUMBER(SEARCH("대만",C1070)),"TW","홀세일"))))</f>
        <v>홀세일</v>
      </c>
      <c r="B1070" s="36" t="s">
        <v>1262</v>
      </c>
      <c r="C1070" s="36" t="s">
        <v>1263</v>
      </c>
      <c r="D1070" s="37" t="s">
        <v>123</v>
      </c>
      <c r="E1070" s="36" t="n">
        <v>2026</v>
      </c>
      <c r="F1070" s="37" t="s">
        <v>363</v>
      </c>
      <c r="G1070" s="37" t="s">
        <v>124</v>
      </c>
      <c r="H1070" s="36" t="s">
        <v>188</v>
      </c>
      <c r="I1070" s="36" t="s">
        <v>466</v>
      </c>
      <c r="J1070" s="36" t="s">
        <v>467</v>
      </c>
      <c r="K1070" s="38" t="n">
        <v>40</v>
      </c>
      <c r="L1070" s="38" t="n">
        <v>6360000</v>
      </c>
      <c r="M1070" s="38" t="n">
        <v>2037720</v>
      </c>
      <c r="N1070" s="39" t="n">
        <f aca="false">IF(A1070="제외",0,IF(OR(N(L1070)&lt;=0,N(M1070)&gt;N(L1070)),N(M1070)/요약!$D$27,N(L1070)))</f>
        <v>6360000</v>
      </c>
      <c r="O1070" s="32" t="str">
        <f aca="false">IF(A1070="제외","",IF(OR(N(L1070)&lt;=0,N(M1070)&gt;N(L1070)),"택가보정(판매금액÷공급율)",""))</f>
        <v/>
      </c>
      <c r="P1070" s="0" t="str">
        <f aca="false">IF(A1070="HK","100",IF(A1070="CN","200",IF(A1070="TW","300",IF(ISNUMBER(SEARCH("태국",C1070)),"500",IF(ISNUMBER(SEARCH("말레이",C1070)),"600",IF(ISNUMBER(SEARCH("필리핀",C1070)),"700",IF(ISNUMBER(SEARCH("인도네시아",C1070)),"800",IF(ISNUMBER(SEARCH("크루즈",C1070)),"810",IF(ISNUMBER(SEARCH("동물원",C1070)),"830","")))))))))</f>
        <v>600</v>
      </c>
    </row>
    <row r="1071" customFormat="false" ht="15" hidden="false" customHeight="false" outlineLevel="0" collapsed="false">
      <c r="A1071" s="32" t="str">
        <f aca="false">IF(OR(TRIM(C1071)="",SUBSTITUTE(C1071," ","")="소계"),"제외",IF(ISNUMBER(SEARCH("홍콩",C1071)),"HK",IF(ISNUMBER(SEARCH("상해",C1071)),"CN",IF(ISNUMBER(SEARCH("대만",C1071)),"TW","홀세일"))))</f>
        <v>홀세일</v>
      </c>
      <c r="B1071" s="36" t="s">
        <v>1262</v>
      </c>
      <c r="C1071" s="36" t="s">
        <v>1263</v>
      </c>
      <c r="D1071" s="37" t="s">
        <v>123</v>
      </c>
      <c r="E1071" s="36" t="n">
        <v>2026</v>
      </c>
      <c r="F1071" s="37" t="s">
        <v>363</v>
      </c>
      <c r="G1071" s="37" t="s">
        <v>124</v>
      </c>
      <c r="H1071" s="36" t="s">
        <v>188</v>
      </c>
      <c r="I1071" s="36" t="s">
        <v>468</v>
      </c>
      <c r="J1071" s="36" t="s">
        <v>469</v>
      </c>
      <c r="K1071" s="38" t="n">
        <v>60</v>
      </c>
      <c r="L1071" s="38" t="n">
        <v>11340000</v>
      </c>
      <c r="M1071" s="38" t="n">
        <v>3882900</v>
      </c>
      <c r="N1071" s="39" t="n">
        <f aca="false">IF(A1071="제외",0,IF(OR(N(L1071)&lt;=0,N(M1071)&gt;N(L1071)),N(M1071)/요약!$D$27,N(L1071)))</f>
        <v>11340000</v>
      </c>
      <c r="O1071" s="32" t="str">
        <f aca="false">IF(A1071="제외","",IF(OR(N(L1071)&lt;=0,N(M1071)&gt;N(L1071)),"택가보정(판매금액÷공급율)",""))</f>
        <v/>
      </c>
      <c r="P1071" s="0" t="str">
        <f aca="false">IF(A1071="HK","100",IF(A1071="CN","200",IF(A1071="TW","300",IF(ISNUMBER(SEARCH("태국",C1071)),"500",IF(ISNUMBER(SEARCH("말레이",C1071)),"600",IF(ISNUMBER(SEARCH("필리핀",C1071)),"700",IF(ISNUMBER(SEARCH("인도네시아",C1071)),"800",IF(ISNUMBER(SEARCH("크루즈",C1071)),"810",IF(ISNUMBER(SEARCH("동물원",C1071)),"830","")))))))))</f>
        <v>600</v>
      </c>
    </row>
    <row r="1072" customFormat="false" ht="15" hidden="false" customHeight="false" outlineLevel="0" collapsed="false">
      <c r="A1072" s="32" t="str">
        <f aca="false">IF(OR(TRIM(C1072)="",SUBSTITUTE(C1072," ","")="소계"),"제외",IF(ISNUMBER(SEARCH("홍콩",C1072)),"HK",IF(ISNUMBER(SEARCH("상해",C1072)),"CN",IF(ISNUMBER(SEARCH("대만",C1072)),"TW","홀세일"))))</f>
        <v>홀세일</v>
      </c>
      <c r="B1072" s="36" t="s">
        <v>1262</v>
      </c>
      <c r="C1072" s="36" t="s">
        <v>1263</v>
      </c>
      <c r="D1072" s="37" t="s">
        <v>123</v>
      </c>
      <c r="E1072" s="36" t="n">
        <v>2026</v>
      </c>
      <c r="F1072" s="37" t="s">
        <v>363</v>
      </c>
      <c r="G1072" s="37" t="s">
        <v>124</v>
      </c>
      <c r="H1072" s="36" t="s">
        <v>188</v>
      </c>
      <c r="I1072" s="36" t="s">
        <v>1328</v>
      </c>
      <c r="J1072" s="36" t="s">
        <v>1329</v>
      </c>
      <c r="K1072" s="38" t="n">
        <v>20</v>
      </c>
      <c r="L1072" s="38" t="n">
        <v>4380000</v>
      </c>
      <c r="M1072" s="38" t="n">
        <v>1248020</v>
      </c>
      <c r="N1072" s="39" t="n">
        <f aca="false">IF(A1072="제외",0,IF(OR(N(L1072)&lt;=0,N(M1072)&gt;N(L1072)),N(M1072)/요약!$D$27,N(L1072)))</f>
        <v>4380000</v>
      </c>
      <c r="O1072" s="32" t="str">
        <f aca="false">IF(A1072="제외","",IF(OR(N(L1072)&lt;=0,N(M1072)&gt;N(L1072)),"택가보정(판매금액÷공급율)",""))</f>
        <v/>
      </c>
      <c r="P1072" s="0" t="str">
        <f aca="false">IF(A1072="HK","100",IF(A1072="CN","200",IF(A1072="TW","300",IF(ISNUMBER(SEARCH("태국",C1072)),"500",IF(ISNUMBER(SEARCH("말레이",C1072)),"600",IF(ISNUMBER(SEARCH("필리핀",C1072)),"700",IF(ISNUMBER(SEARCH("인도네시아",C1072)),"800",IF(ISNUMBER(SEARCH("크루즈",C1072)),"810",IF(ISNUMBER(SEARCH("동물원",C1072)),"830","")))))))))</f>
        <v>600</v>
      </c>
    </row>
    <row r="1073" customFormat="false" ht="15" hidden="false" customHeight="false" outlineLevel="0" collapsed="false">
      <c r="A1073" s="32" t="str">
        <f aca="false">IF(OR(TRIM(C1073)="",SUBSTITUTE(C1073," ","")="소계"),"제외",IF(ISNUMBER(SEARCH("홍콩",C1073)),"HK",IF(ISNUMBER(SEARCH("상해",C1073)),"CN",IF(ISNUMBER(SEARCH("대만",C1073)),"TW","홀세일"))))</f>
        <v>홀세일</v>
      </c>
      <c r="B1073" s="36" t="s">
        <v>1262</v>
      </c>
      <c r="C1073" s="36" t="s">
        <v>1263</v>
      </c>
      <c r="D1073" s="37" t="s">
        <v>123</v>
      </c>
      <c r="E1073" s="36" t="n">
        <v>2026</v>
      </c>
      <c r="F1073" s="37" t="s">
        <v>363</v>
      </c>
      <c r="G1073" s="37" t="s">
        <v>124</v>
      </c>
      <c r="H1073" s="36" t="s">
        <v>188</v>
      </c>
      <c r="I1073" s="36" t="s">
        <v>472</v>
      </c>
      <c r="J1073" s="36" t="s">
        <v>473</v>
      </c>
      <c r="K1073" s="38" t="n">
        <v>210</v>
      </c>
      <c r="L1073" s="38" t="n">
        <v>14490000</v>
      </c>
      <c r="M1073" s="38" t="n">
        <v>4283370</v>
      </c>
      <c r="N1073" s="39" t="n">
        <f aca="false">IF(A1073="제외",0,IF(OR(N(L1073)&lt;=0,N(M1073)&gt;N(L1073)),N(M1073)/요약!$D$27,N(L1073)))</f>
        <v>14490000</v>
      </c>
      <c r="O1073" s="32" t="str">
        <f aca="false">IF(A1073="제외","",IF(OR(N(L1073)&lt;=0,N(M1073)&gt;N(L1073)),"택가보정(판매금액÷공급율)",""))</f>
        <v/>
      </c>
      <c r="P1073" s="0" t="str">
        <f aca="false">IF(A1073="HK","100",IF(A1073="CN","200",IF(A1073="TW","300",IF(ISNUMBER(SEARCH("태국",C1073)),"500",IF(ISNUMBER(SEARCH("말레이",C1073)),"600",IF(ISNUMBER(SEARCH("필리핀",C1073)),"700",IF(ISNUMBER(SEARCH("인도네시아",C1073)),"800",IF(ISNUMBER(SEARCH("크루즈",C1073)),"810",IF(ISNUMBER(SEARCH("동물원",C1073)),"830","")))))))))</f>
        <v>600</v>
      </c>
    </row>
    <row r="1074" customFormat="false" ht="15" hidden="false" customHeight="false" outlineLevel="0" collapsed="false">
      <c r="A1074" s="32" t="str">
        <f aca="false">IF(OR(TRIM(C1074)="",SUBSTITUTE(C1074," ","")="소계"),"제외",IF(ISNUMBER(SEARCH("홍콩",C1074)),"HK",IF(ISNUMBER(SEARCH("상해",C1074)),"CN",IF(ISNUMBER(SEARCH("대만",C1074)),"TW","홀세일"))))</f>
        <v>홀세일</v>
      </c>
      <c r="B1074" s="36" t="s">
        <v>1262</v>
      </c>
      <c r="C1074" s="36" t="s">
        <v>1263</v>
      </c>
      <c r="D1074" s="37" t="s">
        <v>123</v>
      </c>
      <c r="E1074" s="36" t="n">
        <v>2026</v>
      </c>
      <c r="F1074" s="37" t="s">
        <v>363</v>
      </c>
      <c r="G1074" s="37" t="s">
        <v>124</v>
      </c>
      <c r="H1074" s="36" t="s">
        <v>188</v>
      </c>
      <c r="I1074" s="36" t="s">
        <v>1330</v>
      </c>
      <c r="J1074" s="36" t="s">
        <v>1331</v>
      </c>
      <c r="K1074" s="38" t="n">
        <v>50</v>
      </c>
      <c r="L1074" s="38" t="n">
        <v>3450000</v>
      </c>
      <c r="M1074" s="38" t="n">
        <v>1184700</v>
      </c>
      <c r="N1074" s="39" t="n">
        <f aca="false">IF(A1074="제외",0,IF(OR(N(L1074)&lt;=0,N(M1074)&gt;N(L1074)),N(M1074)/요약!$D$27,N(L1074)))</f>
        <v>3450000</v>
      </c>
      <c r="O1074" s="32" t="str">
        <f aca="false">IF(A1074="제외","",IF(OR(N(L1074)&lt;=0,N(M1074)&gt;N(L1074)),"택가보정(판매금액÷공급율)",""))</f>
        <v/>
      </c>
      <c r="P1074" s="0" t="str">
        <f aca="false">IF(A1074="HK","100",IF(A1074="CN","200",IF(A1074="TW","300",IF(ISNUMBER(SEARCH("태국",C1074)),"500",IF(ISNUMBER(SEARCH("말레이",C1074)),"600",IF(ISNUMBER(SEARCH("필리핀",C1074)),"700",IF(ISNUMBER(SEARCH("인도네시아",C1074)),"800",IF(ISNUMBER(SEARCH("크루즈",C1074)),"810",IF(ISNUMBER(SEARCH("동물원",C1074)),"830","")))))))))</f>
        <v>600</v>
      </c>
    </row>
    <row r="1075" customFormat="false" ht="15" hidden="false" customHeight="false" outlineLevel="0" collapsed="false">
      <c r="A1075" s="32" t="str">
        <f aca="false">IF(OR(TRIM(C1075)="",SUBSTITUTE(C1075," ","")="소계"),"제외",IF(ISNUMBER(SEARCH("홍콩",C1075)),"HK",IF(ISNUMBER(SEARCH("상해",C1075)),"CN",IF(ISNUMBER(SEARCH("대만",C1075)),"TW","홀세일"))))</f>
        <v>홀세일</v>
      </c>
      <c r="B1075" s="36" t="s">
        <v>1262</v>
      </c>
      <c r="C1075" s="36" t="s">
        <v>1263</v>
      </c>
      <c r="D1075" s="37" t="s">
        <v>123</v>
      </c>
      <c r="E1075" s="36" t="n">
        <v>2026</v>
      </c>
      <c r="F1075" s="37" t="s">
        <v>474</v>
      </c>
      <c r="G1075" s="37" t="s">
        <v>124</v>
      </c>
      <c r="H1075" s="36" t="s">
        <v>131</v>
      </c>
      <c r="I1075" s="36" t="s">
        <v>479</v>
      </c>
      <c r="J1075" s="37" t="s">
        <v>480</v>
      </c>
      <c r="K1075" s="38" t="n">
        <v>55</v>
      </c>
      <c r="L1075" s="38" t="n">
        <v>9295000</v>
      </c>
      <c r="M1075" s="38" t="n">
        <v>3042985</v>
      </c>
      <c r="N1075" s="39" t="n">
        <f aca="false">IF(A1075="제외",0,IF(OR(N(L1075)&lt;=0,N(M1075)&gt;N(L1075)),N(M1075)/요약!$D$27,N(L1075)))</f>
        <v>9295000</v>
      </c>
      <c r="O1075" s="32" t="str">
        <f aca="false">IF(A1075="제외","",IF(OR(N(L1075)&lt;=0,N(M1075)&gt;N(L1075)),"택가보정(판매금액÷공급율)",""))</f>
        <v/>
      </c>
      <c r="P1075" s="0" t="str">
        <f aca="false">IF(A1075="HK","100",IF(A1075="CN","200",IF(A1075="TW","300",IF(ISNUMBER(SEARCH("태국",C1075)),"500",IF(ISNUMBER(SEARCH("말레이",C1075)),"600",IF(ISNUMBER(SEARCH("필리핀",C1075)),"700",IF(ISNUMBER(SEARCH("인도네시아",C1075)),"800",IF(ISNUMBER(SEARCH("크루즈",C1075)),"810",IF(ISNUMBER(SEARCH("동물원",C1075)),"830","")))))))))</f>
        <v>600</v>
      </c>
    </row>
    <row r="1076" customFormat="false" ht="15" hidden="false" customHeight="false" outlineLevel="0" collapsed="false">
      <c r="A1076" s="32" t="str">
        <f aca="false">IF(OR(TRIM(C1076)="",SUBSTITUTE(C1076," ","")="소계"),"제외",IF(ISNUMBER(SEARCH("홍콩",C1076)),"HK",IF(ISNUMBER(SEARCH("상해",C1076)),"CN",IF(ISNUMBER(SEARCH("대만",C1076)),"TW","홀세일"))))</f>
        <v>홀세일</v>
      </c>
      <c r="B1076" s="36" t="s">
        <v>1262</v>
      </c>
      <c r="C1076" s="36" t="s">
        <v>1263</v>
      </c>
      <c r="D1076" s="37" t="s">
        <v>123</v>
      </c>
      <c r="E1076" s="36" t="n">
        <v>2026</v>
      </c>
      <c r="F1076" s="37" t="s">
        <v>474</v>
      </c>
      <c r="G1076" s="37" t="s">
        <v>124</v>
      </c>
      <c r="H1076" s="36" t="s">
        <v>131</v>
      </c>
      <c r="I1076" s="36" t="s">
        <v>1067</v>
      </c>
      <c r="J1076" s="36" t="s">
        <v>1068</v>
      </c>
      <c r="K1076" s="38" t="n">
        <v>10</v>
      </c>
      <c r="L1076" s="38" t="n">
        <v>1990000</v>
      </c>
      <c r="M1076" s="38" t="n">
        <v>635390</v>
      </c>
      <c r="N1076" s="39" t="n">
        <f aca="false">IF(A1076="제외",0,IF(OR(N(L1076)&lt;=0,N(M1076)&gt;N(L1076)),N(M1076)/요약!$D$27,N(L1076)))</f>
        <v>1990000</v>
      </c>
      <c r="O1076" s="32" t="str">
        <f aca="false">IF(A1076="제외","",IF(OR(N(L1076)&lt;=0,N(M1076)&gt;N(L1076)),"택가보정(판매금액÷공급율)",""))</f>
        <v/>
      </c>
      <c r="P1076" s="0" t="str">
        <f aca="false">IF(A1076="HK","100",IF(A1076="CN","200",IF(A1076="TW","300",IF(ISNUMBER(SEARCH("태국",C1076)),"500",IF(ISNUMBER(SEARCH("말레이",C1076)),"600",IF(ISNUMBER(SEARCH("필리핀",C1076)),"700",IF(ISNUMBER(SEARCH("인도네시아",C1076)),"800",IF(ISNUMBER(SEARCH("크루즈",C1076)),"810",IF(ISNUMBER(SEARCH("동물원",C1076)),"830","")))))))))</f>
        <v>600</v>
      </c>
    </row>
    <row r="1077" customFormat="false" ht="15" hidden="false" customHeight="false" outlineLevel="0" collapsed="false">
      <c r="A1077" s="32" t="str">
        <f aca="false">IF(OR(TRIM(C1077)="",SUBSTITUTE(C1077," ","")="소계"),"제외",IF(ISNUMBER(SEARCH("홍콩",C1077)),"HK",IF(ISNUMBER(SEARCH("상해",C1077)),"CN",IF(ISNUMBER(SEARCH("대만",C1077)),"TW","홀세일"))))</f>
        <v>홀세일</v>
      </c>
      <c r="B1077" s="36" t="s">
        <v>1262</v>
      </c>
      <c r="C1077" s="36" t="s">
        <v>1263</v>
      </c>
      <c r="D1077" s="37" t="s">
        <v>123</v>
      </c>
      <c r="E1077" s="36" t="n">
        <v>2026</v>
      </c>
      <c r="F1077" s="37" t="s">
        <v>474</v>
      </c>
      <c r="G1077" s="37" t="s">
        <v>124</v>
      </c>
      <c r="H1077" s="36" t="s">
        <v>125</v>
      </c>
      <c r="I1077" s="36" t="s">
        <v>1332</v>
      </c>
      <c r="J1077" s="37" t="s">
        <v>1333</v>
      </c>
      <c r="K1077" s="38" t="n">
        <v>30</v>
      </c>
      <c r="L1077" s="38" t="n">
        <v>4170000</v>
      </c>
      <c r="M1077" s="38" t="n">
        <v>1362660</v>
      </c>
      <c r="N1077" s="39" t="n">
        <f aca="false">IF(A1077="제외",0,IF(OR(N(L1077)&lt;=0,N(M1077)&gt;N(L1077)),N(M1077)/요약!$D$27,N(L1077)))</f>
        <v>4170000</v>
      </c>
      <c r="O1077" s="32" t="str">
        <f aca="false">IF(A1077="제외","",IF(OR(N(L1077)&lt;=0,N(M1077)&gt;N(L1077)),"택가보정(판매금액÷공급율)",""))</f>
        <v/>
      </c>
      <c r="P1077" s="0" t="str">
        <f aca="false">IF(A1077="HK","100",IF(A1077="CN","200",IF(A1077="TW","300",IF(ISNUMBER(SEARCH("태국",C1077)),"500",IF(ISNUMBER(SEARCH("말레이",C1077)),"600",IF(ISNUMBER(SEARCH("필리핀",C1077)),"700",IF(ISNUMBER(SEARCH("인도네시아",C1077)),"800",IF(ISNUMBER(SEARCH("크루즈",C1077)),"810",IF(ISNUMBER(SEARCH("동물원",C1077)),"830","")))))))))</f>
        <v>600</v>
      </c>
    </row>
    <row r="1078" customFormat="false" ht="15" hidden="false" customHeight="false" outlineLevel="0" collapsed="false">
      <c r="A1078" s="32" t="str">
        <f aca="false">IF(OR(TRIM(C1078)="",SUBSTITUTE(C1078," ","")="소계"),"제외",IF(ISNUMBER(SEARCH("홍콩",C1078)),"HK",IF(ISNUMBER(SEARCH("상해",C1078)),"CN",IF(ISNUMBER(SEARCH("대만",C1078)),"TW","홀세일"))))</f>
        <v>홀세일</v>
      </c>
      <c r="B1078" s="36" t="s">
        <v>1262</v>
      </c>
      <c r="C1078" s="36" t="s">
        <v>1263</v>
      </c>
      <c r="D1078" s="37" t="s">
        <v>123</v>
      </c>
      <c r="E1078" s="36" t="n">
        <v>2026</v>
      </c>
      <c r="F1078" s="37" t="s">
        <v>474</v>
      </c>
      <c r="G1078" s="37" t="s">
        <v>124</v>
      </c>
      <c r="H1078" s="36" t="s">
        <v>125</v>
      </c>
      <c r="I1078" s="36" t="s">
        <v>906</v>
      </c>
      <c r="J1078" s="36" t="s">
        <v>907</v>
      </c>
      <c r="K1078" s="38" t="n">
        <v>25</v>
      </c>
      <c r="L1078" s="38" t="n">
        <v>4975000</v>
      </c>
      <c r="M1078" s="38" t="n">
        <v>1662000</v>
      </c>
      <c r="N1078" s="39" t="n">
        <f aca="false">IF(A1078="제외",0,IF(OR(N(L1078)&lt;=0,N(M1078)&gt;N(L1078)),N(M1078)/요약!$D$27,N(L1078)))</f>
        <v>4975000</v>
      </c>
      <c r="O1078" s="32" t="str">
        <f aca="false">IF(A1078="제외","",IF(OR(N(L1078)&lt;=0,N(M1078)&gt;N(L1078)),"택가보정(판매금액÷공급율)",""))</f>
        <v/>
      </c>
      <c r="P1078" s="0" t="str">
        <f aca="false">IF(A1078="HK","100",IF(A1078="CN","200",IF(A1078="TW","300",IF(ISNUMBER(SEARCH("태국",C1078)),"500",IF(ISNUMBER(SEARCH("말레이",C1078)),"600",IF(ISNUMBER(SEARCH("필리핀",C1078)),"700",IF(ISNUMBER(SEARCH("인도네시아",C1078)),"800",IF(ISNUMBER(SEARCH("크루즈",C1078)),"810",IF(ISNUMBER(SEARCH("동물원",C1078)),"830","")))))))))</f>
        <v>600</v>
      </c>
    </row>
    <row r="1079" customFormat="false" ht="15" hidden="false" customHeight="false" outlineLevel="0" collapsed="false">
      <c r="A1079" s="32" t="str">
        <f aca="false">IF(OR(TRIM(C1079)="",SUBSTITUTE(C1079," ","")="소계"),"제외",IF(ISNUMBER(SEARCH("홍콩",C1079)),"HK",IF(ISNUMBER(SEARCH("상해",C1079)),"CN",IF(ISNUMBER(SEARCH("대만",C1079)),"TW","홀세일"))))</f>
        <v>홀세일</v>
      </c>
      <c r="B1079" s="36" t="s">
        <v>1262</v>
      </c>
      <c r="C1079" s="36" t="s">
        <v>1263</v>
      </c>
      <c r="D1079" s="37" t="s">
        <v>123</v>
      </c>
      <c r="E1079" s="36" t="n">
        <v>2026</v>
      </c>
      <c r="F1079" s="37" t="s">
        <v>474</v>
      </c>
      <c r="G1079" s="37" t="s">
        <v>124</v>
      </c>
      <c r="H1079" s="36" t="s">
        <v>125</v>
      </c>
      <c r="I1079" s="36" t="s">
        <v>908</v>
      </c>
      <c r="J1079" s="37" t="s">
        <v>909</v>
      </c>
      <c r="K1079" s="38" t="n">
        <v>30</v>
      </c>
      <c r="L1079" s="38" t="n">
        <v>13170000</v>
      </c>
      <c r="M1079" s="38" t="n">
        <v>4396620</v>
      </c>
      <c r="N1079" s="39" t="n">
        <f aca="false">IF(A1079="제외",0,IF(OR(N(L1079)&lt;=0,N(M1079)&gt;N(L1079)),N(M1079)/요약!$D$27,N(L1079)))</f>
        <v>13170000</v>
      </c>
      <c r="O1079" s="32" t="str">
        <f aca="false">IF(A1079="제외","",IF(OR(N(L1079)&lt;=0,N(M1079)&gt;N(L1079)),"택가보정(판매금액÷공급율)",""))</f>
        <v/>
      </c>
      <c r="P1079" s="0" t="str">
        <f aca="false">IF(A1079="HK","100",IF(A1079="CN","200",IF(A1079="TW","300",IF(ISNUMBER(SEARCH("태국",C1079)),"500",IF(ISNUMBER(SEARCH("말레이",C1079)),"600",IF(ISNUMBER(SEARCH("필리핀",C1079)),"700",IF(ISNUMBER(SEARCH("인도네시아",C1079)),"800",IF(ISNUMBER(SEARCH("크루즈",C1079)),"810",IF(ISNUMBER(SEARCH("동물원",C1079)),"830","")))))))))</f>
        <v>600</v>
      </c>
    </row>
    <row r="1080" customFormat="false" ht="15" hidden="false" customHeight="false" outlineLevel="0" collapsed="false">
      <c r="A1080" s="32" t="str">
        <f aca="false">IF(OR(TRIM(C1080)="",SUBSTITUTE(C1080," ","")="소계"),"제외",IF(ISNUMBER(SEARCH("홍콩",C1080)),"HK",IF(ISNUMBER(SEARCH("상해",C1080)),"CN",IF(ISNUMBER(SEARCH("대만",C1080)),"TW","홀세일"))))</f>
        <v>홀세일</v>
      </c>
      <c r="B1080" s="36" t="s">
        <v>1262</v>
      </c>
      <c r="C1080" s="36" t="s">
        <v>1263</v>
      </c>
      <c r="D1080" s="37" t="s">
        <v>123</v>
      </c>
      <c r="E1080" s="36" t="n">
        <v>2026</v>
      </c>
      <c r="F1080" s="37" t="s">
        <v>474</v>
      </c>
      <c r="G1080" s="37" t="s">
        <v>124</v>
      </c>
      <c r="H1080" s="36" t="s">
        <v>131</v>
      </c>
      <c r="I1080" s="36" t="s">
        <v>489</v>
      </c>
      <c r="J1080" s="37" t="s">
        <v>490</v>
      </c>
      <c r="K1080" s="38" t="n">
        <v>25</v>
      </c>
      <c r="L1080" s="38" t="n">
        <v>3975000</v>
      </c>
      <c r="M1080" s="38" t="n">
        <v>1247350</v>
      </c>
      <c r="N1080" s="39" t="n">
        <f aca="false">IF(A1080="제외",0,IF(OR(N(L1080)&lt;=0,N(M1080)&gt;N(L1080)),N(M1080)/요약!$D$27,N(L1080)))</f>
        <v>3975000</v>
      </c>
      <c r="O1080" s="32" t="str">
        <f aca="false">IF(A1080="제외","",IF(OR(N(L1080)&lt;=0,N(M1080)&gt;N(L1080)),"택가보정(판매금액÷공급율)",""))</f>
        <v/>
      </c>
      <c r="P1080" s="0" t="str">
        <f aca="false">IF(A1080="HK","100",IF(A1080="CN","200",IF(A1080="TW","300",IF(ISNUMBER(SEARCH("태국",C1080)),"500",IF(ISNUMBER(SEARCH("말레이",C1080)),"600",IF(ISNUMBER(SEARCH("필리핀",C1080)),"700",IF(ISNUMBER(SEARCH("인도네시아",C1080)),"800",IF(ISNUMBER(SEARCH("크루즈",C1080)),"810",IF(ISNUMBER(SEARCH("동물원",C1080)),"830","")))))))))</f>
        <v>600</v>
      </c>
    </row>
    <row r="1081" customFormat="false" ht="15" hidden="false" customHeight="false" outlineLevel="0" collapsed="false">
      <c r="A1081" s="32" t="str">
        <f aca="false">IF(OR(TRIM(C1081)="",SUBSTITUTE(C1081," ","")="소계"),"제외",IF(ISNUMBER(SEARCH("홍콩",C1081)),"HK",IF(ISNUMBER(SEARCH("상해",C1081)),"CN",IF(ISNUMBER(SEARCH("대만",C1081)),"TW","홀세일"))))</f>
        <v>홀세일</v>
      </c>
      <c r="B1081" s="36" t="s">
        <v>1262</v>
      </c>
      <c r="C1081" s="36" t="s">
        <v>1263</v>
      </c>
      <c r="D1081" s="37" t="s">
        <v>123</v>
      </c>
      <c r="E1081" s="36" t="n">
        <v>2026</v>
      </c>
      <c r="F1081" s="37" t="s">
        <v>474</v>
      </c>
      <c r="G1081" s="37" t="s">
        <v>124</v>
      </c>
      <c r="H1081" s="36" t="s">
        <v>131</v>
      </c>
      <c r="I1081" s="36" t="s">
        <v>914</v>
      </c>
      <c r="J1081" s="37" t="s">
        <v>915</v>
      </c>
      <c r="K1081" s="38" t="n">
        <v>25</v>
      </c>
      <c r="L1081" s="38" t="n">
        <v>2975000</v>
      </c>
      <c r="M1081" s="38" t="n">
        <v>907900</v>
      </c>
      <c r="N1081" s="39" t="n">
        <f aca="false">IF(A1081="제외",0,IF(OR(N(L1081)&lt;=0,N(M1081)&gt;N(L1081)),N(M1081)/요약!$D$27,N(L1081)))</f>
        <v>2975000</v>
      </c>
      <c r="O1081" s="32" t="str">
        <f aca="false">IF(A1081="제외","",IF(OR(N(L1081)&lt;=0,N(M1081)&gt;N(L1081)),"택가보정(판매금액÷공급율)",""))</f>
        <v/>
      </c>
      <c r="P1081" s="0" t="str">
        <f aca="false">IF(A1081="HK","100",IF(A1081="CN","200",IF(A1081="TW","300",IF(ISNUMBER(SEARCH("태국",C1081)),"500",IF(ISNUMBER(SEARCH("말레이",C1081)),"600",IF(ISNUMBER(SEARCH("필리핀",C1081)),"700",IF(ISNUMBER(SEARCH("인도네시아",C1081)),"800",IF(ISNUMBER(SEARCH("크루즈",C1081)),"810",IF(ISNUMBER(SEARCH("동물원",C1081)),"830","")))))))))</f>
        <v>600</v>
      </c>
    </row>
    <row r="1082" customFormat="false" ht="15" hidden="false" customHeight="false" outlineLevel="0" collapsed="false">
      <c r="A1082" s="32" t="str">
        <f aca="false">IF(OR(TRIM(C1082)="",SUBSTITUTE(C1082," ","")="소계"),"제외",IF(ISNUMBER(SEARCH("홍콩",C1082)),"HK",IF(ISNUMBER(SEARCH("상해",C1082)),"CN",IF(ISNUMBER(SEARCH("대만",C1082)),"TW","홀세일"))))</f>
        <v>홀세일</v>
      </c>
      <c r="B1082" s="36" t="s">
        <v>1262</v>
      </c>
      <c r="C1082" s="36" t="s">
        <v>1263</v>
      </c>
      <c r="D1082" s="37" t="s">
        <v>123</v>
      </c>
      <c r="E1082" s="36" t="n">
        <v>2026</v>
      </c>
      <c r="F1082" s="37" t="s">
        <v>474</v>
      </c>
      <c r="G1082" s="37" t="s">
        <v>124</v>
      </c>
      <c r="H1082" s="36" t="s">
        <v>131</v>
      </c>
      <c r="I1082" s="36" t="s">
        <v>493</v>
      </c>
      <c r="J1082" s="37" t="s">
        <v>494</v>
      </c>
      <c r="K1082" s="38" t="n">
        <v>50</v>
      </c>
      <c r="L1082" s="38" t="n">
        <v>7450000</v>
      </c>
      <c r="M1082" s="38" t="n">
        <v>2589450</v>
      </c>
      <c r="N1082" s="39" t="n">
        <f aca="false">IF(A1082="제외",0,IF(OR(N(L1082)&lt;=0,N(M1082)&gt;N(L1082)),N(M1082)/요약!$D$27,N(L1082)))</f>
        <v>7450000</v>
      </c>
      <c r="O1082" s="32" t="str">
        <f aca="false">IF(A1082="제외","",IF(OR(N(L1082)&lt;=0,N(M1082)&gt;N(L1082)),"택가보정(판매금액÷공급율)",""))</f>
        <v/>
      </c>
      <c r="P1082" s="0" t="str">
        <f aca="false">IF(A1082="HK","100",IF(A1082="CN","200",IF(A1082="TW","300",IF(ISNUMBER(SEARCH("태국",C1082)),"500",IF(ISNUMBER(SEARCH("말레이",C1082)),"600",IF(ISNUMBER(SEARCH("필리핀",C1082)),"700",IF(ISNUMBER(SEARCH("인도네시아",C1082)),"800",IF(ISNUMBER(SEARCH("크루즈",C1082)),"810",IF(ISNUMBER(SEARCH("동물원",C1082)),"830","")))))))))</f>
        <v>600</v>
      </c>
    </row>
    <row r="1083" customFormat="false" ht="15" hidden="false" customHeight="false" outlineLevel="0" collapsed="false">
      <c r="A1083" s="32" t="str">
        <f aca="false">IF(OR(TRIM(C1083)="",SUBSTITUTE(C1083," ","")="소계"),"제외",IF(ISNUMBER(SEARCH("홍콩",C1083)),"HK",IF(ISNUMBER(SEARCH("상해",C1083)),"CN",IF(ISNUMBER(SEARCH("대만",C1083)),"TW","홀세일"))))</f>
        <v>홀세일</v>
      </c>
      <c r="B1083" s="36" t="s">
        <v>1262</v>
      </c>
      <c r="C1083" s="36" t="s">
        <v>1263</v>
      </c>
      <c r="D1083" s="37" t="s">
        <v>123</v>
      </c>
      <c r="E1083" s="36" t="n">
        <v>2026</v>
      </c>
      <c r="F1083" s="37" t="s">
        <v>474</v>
      </c>
      <c r="G1083" s="37" t="s">
        <v>124</v>
      </c>
      <c r="H1083" s="36" t="s">
        <v>131</v>
      </c>
      <c r="I1083" s="36" t="s">
        <v>497</v>
      </c>
      <c r="J1083" s="37" t="s">
        <v>498</v>
      </c>
      <c r="K1083" s="38" t="n">
        <v>40</v>
      </c>
      <c r="L1083" s="38" t="n">
        <v>10360000</v>
      </c>
      <c r="M1083" s="38" t="n">
        <v>2767760</v>
      </c>
      <c r="N1083" s="39" t="n">
        <f aca="false">IF(A1083="제외",0,IF(OR(N(L1083)&lt;=0,N(M1083)&gt;N(L1083)),N(M1083)/요약!$D$27,N(L1083)))</f>
        <v>10360000</v>
      </c>
      <c r="O1083" s="32" t="str">
        <f aca="false">IF(A1083="제외","",IF(OR(N(L1083)&lt;=0,N(M1083)&gt;N(L1083)),"택가보정(판매금액÷공급율)",""))</f>
        <v/>
      </c>
      <c r="P1083" s="0" t="str">
        <f aca="false">IF(A1083="HK","100",IF(A1083="CN","200",IF(A1083="TW","300",IF(ISNUMBER(SEARCH("태국",C1083)),"500",IF(ISNUMBER(SEARCH("말레이",C1083)),"600",IF(ISNUMBER(SEARCH("필리핀",C1083)),"700",IF(ISNUMBER(SEARCH("인도네시아",C1083)),"800",IF(ISNUMBER(SEARCH("크루즈",C1083)),"810",IF(ISNUMBER(SEARCH("동물원",C1083)),"830","")))))))))</f>
        <v>600</v>
      </c>
    </row>
    <row r="1084" customFormat="false" ht="15" hidden="false" customHeight="false" outlineLevel="0" collapsed="false">
      <c r="A1084" s="32" t="str">
        <f aca="false">IF(OR(TRIM(C1084)="",SUBSTITUTE(C1084," ","")="소계"),"제외",IF(ISNUMBER(SEARCH("홍콩",C1084)),"HK",IF(ISNUMBER(SEARCH("상해",C1084)),"CN",IF(ISNUMBER(SEARCH("대만",C1084)),"TW","홀세일"))))</f>
        <v>홀세일</v>
      </c>
      <c r="B1084" s="36" t="s">
        <v>1262</v>
      </c>
      <c r="C1084" s="36" t="s">
        <v>1263</v>
      </c>
      <c r="D1084" s="37" t="s">
        <v>123</v>
      </c>
      <c r="E1084" s="36" t="n">
        <v>2026</v>
      </c>
      <c r="F1084" s="37" t="s">
        <v>474</v>
      </c>
      <c r="G1084" s="37" t="s">
        <v>124</v>
      </c>
      <c r="H1084" s="36" t="s">
        <v>131</v>
      </c>
      <c r="I1084" s="36" t="s">
        <v>499</v>
      </c>
      <c r="J1084" s="37" t="s">
        <v>500</v>
      </c>
      <c r="K1084" s="38" t="n">
        <v>110</v>
      </c>
      <c r="L1084" s="38" t="n">
        <v>18590000</v>
      </c>
      <c r="M1084" s="38" t="n">
        <v>6760270</v>
      </c>
      <c r="N1084" s="39" t="n">
        <f aca="false">IF(A1084="제외",0,IF(OR(N(L1084)&lt;=0,N(M1084)&gt;N(L1084)),N(M1084)/요약!$D$27,N(L1084)))</f>
        <v>18590000</v>
      </c>
      <c r="O1084" s="32" t="str">
        <f aca="false">IF(A1084="제외","",IF(OR(N(L1084)&lt;=0,N(M1084)&gt;N(L1084)),"택가보정(판매금액÷공급율)",""))</f>
        <v/>
      </c>
      <c r="P1084" s="0" t="str">
        <f aca="false">IF(A1084="HK","100",IF(A1084="CN","200",IF(A1084="TW","300",IF(ISNUMBER(SEARCH("태국",C1084)),"500",IF(ISNUMBER(SEARCH("말레이",C1084)),"600",IF(ISNUMBER(SEARCH("필리핀",C1084)),"700",IF(ISNUMBER(SEARCH("인도네시아",C1084)),"800",IF(ISNUMBER(SEARCH("크루즈",C1084)),"810",IF(ISNUMBER(SEARCH("동물원",C1084)),"830","")))))))))</f>
        <v>600</v>
      </c>
    </row>
    <row r="1085" customFormat="false" ht="15" hidden="false" customHeight="false" outlineLevel="0" collapsed="false">
      <c r="A1085" s="32" t="str">
        <f aca="false">IF(OR(TRIM(C1085)="",SUBSTITUTE(C1085," ","")="소계"),"제외",IF(ISNUMBER(SEARCH("홍콩",C1085)),"HK",IF(ISNUMBER(SEARCH("상해",C1085)),"CN",IF(ISNUMBER(SEARCH("대만",C1085)),"TW","홀세일"))))</f>
        <v>홀세일</v>
      </c>
      <c r="B1085" s="36" t="s">
        <v>1262</v>
      </c>
      <c r="C1085" s="36" t="s">
        <v>1263</v>
      </c>
      <c r="D1085" s="37" t="s">
        <v>123</v>
      </c>
      <c r="E1085" s="36" t="n">
        <v>2026</v>
      </c>
      <c r="F1085" s="37" t="s">
        <v>474</v>
      </c>
      <c r="G1085" s="37" t="s">
        <v>124</v>
      </c>
      <c r="H1085" s="36" t="s">
        <v>131</v>
      </c>
      <c r="I1085" s="36" t="s">
        <v>501</v>
      </c>
      <c r="J1085" s="37" t="s">
        <v>502</v>
      </c>
      <c r="K1085" s="38" t="n">
        <v>25</v>
      </c>
      <c r="L1085" s="38" t="n">
        <v>4725000</v>
      </c>
      <c r="M1085" s="38" t="n">
        <v>1717850</v>
      </c>
      <c r="N1085" s="39" t="n">
        <f aca="false">IF(A1085="제외",0,IF(OR(N(L1085)&lt;=0,N(M1085)&gt;N(L1085)),N(M1085)/요약!$D$27,N(L1085)))</f>
        <v>4725000</v>
      </c>
      <c r="O1085" s="32" t="str">
        <f aca="false">IF(A1085="제외","",IF(OR(N(L1085)&lt;=0,N(M1085)&gt;N(L1085)),"택가보정(판매금액÷공급율)",""))</f>
        <v/>
      </c>
      <c r="P1085" s="0" t="str">
        <f aca="false">IF(A1085="HK","100",IF(A1085="CN","200",IF(A1085="TW","300",IF(ISNUMBER(SEARCH("태국",C1085)),"500",IF(ISNUMBER(SEARCH("말레이",C1085)),"600",IF(ISNUMBER(SEARCH("필리핀",C1085)),"700",IF(ISNUMBER(SEARCH("인도네시아",C1085)),"800",IF(ISNUMBER(SEARCH("크루즈",C1085)),"810",IF(ISNUMBER(SEARCH("동물원",C1085)),"830","")))))))))</f>
        <v>600</v>
      </c>
    </row>
    <row r="1086" customFormat="false" ht="15" hidden="false" customHeight="false" outlineLevel="0" collapsed="false">
      <c r="A1086" s="32" t="str">
        <f aca="false">IF(OR(TRIM(C1086)="",SUBSTITUTE(C1086," ","")="소계"),"제외",IF(ISNUMBER(SEARCH("홍콩",C1086)),"HK",IF(ISNUMBER(SEARCH("상해",C1086)),"CN",IF(ISNUMBER(SEARCH("대만",C1086)),"TW","홀세일"))))</f>
        <v>홀세일</v>
      </c>
      <c r="B1086" s="36" t="s">
        <v>1262</v>
      </c>
      <c r="C1086" s="36" t="s">
        <v>1263</v>
      </c>
      <c r="D1086" s="37" t="s">
        <v>123</v>
      </c>
      <c r="E1086" s="36" t="n">
        <v>2026</v>
      </c>
      <c r="F1086" s="37" t="s">
        <v>474</v>
      </c>
      <c r="G1086" s="37" t="s">
        <v>124</v>
      </c>
      <c r="H1086" s="36" t="s">
        <v>131</v>
      </c>
      <c r="I1086" s="36" t="s">
        <v>505</v>
      </c>
      <c r="J1086" s="37" t="s">
        <v>506</v>
      </c>
      <c r="K1086" s="38" t="n">
        <v>25</v>
      </c>
      <c r="L1086" s="38" t="n">
        <v>7475000</v>
      </c>
      <c r="M1086" s="38" t="n">
        <v>2600075</v>
      </c>
      <c r="N1086" s="39" t="n">
        <f aca="false">IF(A1086="제외",0,IF(OR(N(L1086)&lt;=0,N(M1086)&gt;N(L1086)),N(M1086)/요약!$D$27,N(L1086)))</f>
        <v>7475000</v>
      </c>
      <c r="O1086" s="32" t="str">
        <f aca="false">IF(A1086="제외","",IF(OR(N(L1086)&lt;=0,N(M1086)&gt;N(L1086)),"택가보정(판매금액÷공급율)",""))</f>
        <v/>
      </c>
      <c r="P1086" s="0" t="str">
        <f aca="false">IF(A1086="HK","100",IF(A1086="CN","200",IF(A1086="TW","300",IF(ISNUMBER(SEARCH("태국",C1086)),"500",IF(ISNUMBER(SEARCH("말레이",C1086)),"600",IF(ISNUMBER(SEARCH("필리핀",C1086)),"700",IF(ISNUMBER(SEARCH("인도네시아",C1086)),"800",IF(ISNUMBER(SEARCH("크루즈",C1086)),"810",IF(ISNUMBER(SEARCH("동물원",C1086)),"830","")))))))))</f>
        <v>600</v>
      </c>
    </row>
    <row r="1087" customFormat="false" ht="15" hidden="false" customHeight="false" outlineLevel="0" collapsed="false">
      <c r="A1087" s="32" t="str">
        <f aca="false">IF(OR(TRIM(C1087)="",SUBSTITUTE(C1087," ","")="소계"),"제외",IF(ISNUMBER(SEARCH("홍콩",C1087)),"HK",IF(ISNUMBER(SEARCH("상해",C1087)),"CN",IF(ISNUMBER(SEARCH("대만",C1087)),"TW","홀세일"))))</f>
        <v>홀세일</v>
      </c>
      <c r="B1087" s="36" t="s">
        <v>1262</v>
      </c>
      <c r="C1087" s="36" t="s">
        <v>1263</v>
      </c>
      <c r="D1087" s="37" t="s">
        <v>123</v>
      </c>
      <c r="E1087" s="36" t="n">
        <v>2026</v>
      </c>
      <c r="F1087" s="37" t="s">
        <v>474</v>
      </c>
      <c r="G1087" s="37" t="s">
        <v>124</v>
      </c>
      <c r="H1087" s="36" t="s">
        <v>131</v>
      </c>
      <c r="I1087" s="36" t="s">
        <v>511</v>
      </c>
      <c r="J1087" s="37" t="s">
        <v>512</v>
      </c>
      <c r="K1087" s="38" t="n">
        <v>25</v>
      </c>
      <c r="L1087" s="38" t="n">
        <v>10975000</v>
      </c>
      <c r="M1087" s="38" t="n">
        <v>3813425</v>
      </c>
      <c r="N1087" s="39" t="n">
        <f aca="false">IF(A1087="제외",0,IF(OR(N(L1087)&lt;=0,N(M1087)&gt;N(L1087)),N(M1087)/요약!$D$27,N(L1087)))</f>
        <v>10975000</v>
      </c>
      <c r="O1087" s="32" t="str">
        <f aca="false">IF(A1087="제외","",IF(OR(N(L1087)&lt;=0,N(M1087)&gt;N(L1087)),"택가보정(판매금액÷공급율)",""))</f>
        <v/>
      </c>
      <c r="P1087" s="0" t="str">
        <f aca="false">IF(A1087="HK","100",IF(A1087="CN","200",IF(A1087="TW","300",IF(ISNUMBER(SEARCH("태국",C1087)),"500",IF(ISNUMBER(SEARCH("말레이",C1087)),"600",IF(ISNUMBER(SEARCH("필리핀",C1087)),"700",IF(ISNUMBER(SEARCH("인도네시아",C1087)),"800",IF(ISNUMBER(SEARCH("크루즈",C1087)),"810",IF(ISNUMBER(SEARCH("동물원",C1087)),"830","")))))))))</f>
        <v>600</v>
      </c>
    </row>
    <row r="1088" customFormat="false" ht="15" hidden="false" customHeight="false" outlineLevel="0" collapsed="false">
      <c r="A1088" s="32" t="str">
        <f aca="false">IF(OR(TRIM(C1088)="",SUBSTITUTE(C1088," ","")="소계"),"제외",IF(ISNUMBER(SEARCH("홍콩",C1088)),"HK",IF(ISNUMBER(SEARCH("상해",C1088)),"CN",IF(ISNUMBER(SEARCH("대만",C1088)),"TW","홀세일"))))</f>
        <v>홀세일</v>
      </c>
      <c r="B1088" s="36" t="s">
        <v>1262</v>
      </c>
      <c r="C1088" s="36" t="s">
        <v>1263</v>
      </c>
      <c r="D1088" s="37" t="s">
        <v>123</v>
      </c>
      <c r="E1088" s="36" t="n">
        <v>2026</v>
      </c>
      <c r="F1088" s="37" t="s">
        <v>474</v>
      </c>
      <c r="G1088" s="37" t="s">
        <v>124</v>
      </c>
      <c r="H1088" s="36" t="s">
        <v>131</v>
      </c>
      <c r="I1088" s="36" t="s">
        <v>515</v>
      </c>
      <c r="J1088" s="37" t="s">
        <v>516</v>
      </c>
      <c r="K1088" s="38" t="n">
        <v>15</v>
      </c>
      <c r="L1088" s="38" t="n">
        <v>2835000</v>
      </c>
      <c r="M1088" s="38" t="n">
        <v>1030710</v>
      </c>
      <c r="N1088" s="39" t="n">
        <f aca="false">IF(A1088="제외",0,IF(OR(N(L1088)&lt;=0,N(M1088)&gt;N(L1088)),N(M1088)/요약!$D$27,N(L1088)))</f>
        <v>2835000</v>
      </c>
      <c r="O1088" s="32" t="str">
        <f aca="false">IF(A1088="제외","",IF(OR(N(L1088)&lt;=0,N(M1088)&gt;N(L1088)),"택가보정(판매금액÷공급율)",""))</f>
        <v/>
      </c>
      <c r="P1088" s="0" t="str">
        <f aca="false">IF(A1088="HK","100",IF(A1088="CN","200",IF(A1088="TW","300",IF(ISNUMBER(SEARCH("태국",C1088)),"500",IF(ISNUMBER(SEARCH("말레이",C1088)),"600",IF(ISNUMBER(SEARCH("필리핀",C1088)),"700",IF(ISNUMBER(SEARCH("인도네시아",C1088)),"800",IF(ISNUMBER(SEARCH("크루즈",C1088)),"810",IF(ISNUMBER(SEARCH("동물원",C1088)),"830","")))))))))</f>
        <v>600</v>
      </c>
    </row>
    <row r="1089" customFormat="false" ht="15" hidden="false" customHeight="false" outlineLevel="0" collapsed="false">
      <c r="A1089" s="32" t="str">
        <f aca="false">IF(OR(TRIM(C1089)="",SUBSTITUTE(C1089," ","")="소계"),"제외",IF(ISNUMBER(SEARCH("홍콩",C1089)),"HK",IF(ISNUMBER(SEARCH("상해",C1089)),"CN",IF(ISNUMBER(SEARCH("대만",C1089)),"TW","홀세일"))))</f>
        <v>홀세일</v>
      </c>
      <c r="B1089" s="36" t="s">
        <v>1262</v>
      </c>
      <c r="C1089" s="36" t="s">
        <v>1263</v>
      </c>
      <c r="D1089" s="37" t="s">
        <v>123</v>
      </c>
      <c r="E1089" s="36" t="n">
        <v>2026</v>
      </c>
      <c r="F1089" s="37" t="s">
        <v>474</v>
      </c>
      <c r="G1089" s="37" t="s">
        <v>124</v>
      </c>
      <c r="H1089" s="36" t="s">
        <v>131</v>
      </c>
      <c r="I1089" s="36" t="s">
        <v>517</v>
      </c>
      <c r="J1089" s="37" t="s">
        <v>518</v>
      </c>
      <c r="K1089" s="38" t="n">
        <v>40</v>
      </c>
      <c r="L1089" s="38" t="n">
        <v>7160000</v>
      </c>
      <c r="M1089" s="38" t="n">
        <v>2490400</v>
      </c>
      <c r="N1089" s="39" t="n">
        <f aca="false">IF(A1089="제외",0,IF(OR(N(L1089)&lt;=0,N(M1089)&gt;N(L1089)),N(M1089)/요약!$D$27,N(L1089)))</f>
        <v>7160000</v>
      </c>
      <c r="O1089" s="32" t="str">
        <f aca="false">IF(A1089="제외","",IF(OR(N(L1089)&lt;=0,N(M1089)&gt;N(L1089)),"택가보정(판매금액÷공급율)",""))</f>
        <v/>
      </c>
      <c r="P1089" s="0" t="str">
        <f aca="false">IF(A1089="HK","100",IF(A1089="CN","200",IF(A1089="TW","300",IF(ISNUMBER(SEARCH("태국",C1089)),"500",IF(ISNUMBER(SEARCH("말레이",C1089)),"600",IF(ISNUMBER(SEARCH("필리핀",C1089)),"700",IF(ISNUMBER(SEARCH("인도네시아",C1089)),"800",IF(ISNUMBER(SEARCH("크루즈",C1089)),"810",IF(ISNUMBER(SEARCH("동물원",C1089)),"830","")))))))))</f>
        <v>600</v>
      </c>
    </row>
    <row r="1090" customFormat="false" ht="15" hidden="false" customHeight="false" outlineLevel="0" collapsed="false">
      <c r="A1090" s="32" t="str">
        <f aca="false">IF(OR(TRIM(C1090)="",SUBSTITUTE(C1090," ","")="소계"),"제외",IF(ISNUMBER(SEARCH("홍콩",C1090)),"HK",IF(ISNUMBER(SEARCH("상해",C1090)),"CN",IF(ISNUMBER(SEARCH("대만",C1090)),"TW","홀세일"))))</f>
        <v>홀세일</v>
      </c>
      <c r="B1090" s="36" t="s">
        <v>1262</v>
      </c>
      <c r="C1090" s="36" t="s">
        <v>1263</v>
      </c>
      <c r="D1090" s="37" t="s">
        <v>123</v>
      </c>
      <c r="E1090" s="36" t="n">
        <v>2026</v>
      </c>
      <c r="F1090" s="37" t="s">
        <v>474</v>
      </c>
      <c r="G1090" s="37" t="s">
        <v>124</v>
      </c>
      <c r="H1090" s="36" t="s">
        <v>131</v>
      </c>
      <c r="I1090" s="36" t="s">
        <v>519</v>
      </c>
      <c r="J1090" s="36" t="s">
        <v>520</v>
      </c>
      <c r="K1090" s="38" t="n">
        <v>15</v>
      </c>
      <c r="L1090" s="38" t="n">
        <v>3285000</v>
      </c>
      <c r="M1090" s="38" t="n">
        <v>1037910</v>
      </c>
      <c r="N1090" s="39" t="n">
        <f aca="false">IF(A1090="제외",0,IF(OR(N(L1090)&lt;=0,N(M1090)&gt;N(L1090)),N(M1090)/요약!$D$27,N(L1090)))</f>
        <v>3285000</v>
      </c>
      <c r="O1090" s="32" t="str">
        <f aca="false">IF(A1090="제외","",IF(OR(N(L1090)&lt;=0,N(M1090)&gt;N(L1090)),"택가보정(판매금액÷공급율)",""))</f>
        <v/>
      </c>
      <c r="P1090" s="0" t="str">
        <f aca="false">IF(A1090="HK","100",IF(A1090="CN","200",IF(A1090="TW","300",IF(ISNUMBER(SEARCH("태국",C1090)),"500",IF(ISNUMBER(SEARCH("말레이",C1090)),"600",IF(ISNUMBER(SEARCH("필리핀",C1090)),"700",IF(ISNUMBER(SEARCH("인도네시아",C1090)),"800",IF(ISNUMBER(SEARCH("크루즈",C1090)),"810",IF(ISNUMBER(SEARCH("동물원",C1090)),"830","")))))))))</f>
        <v>600</v>
      </c>
    </row>
    <row r="1091" customFormat="false" ht="15" hidden="false" customHeight="false" outlineLevel="0" collapsed="false">
      <c r="A1091" s="32" t="str">
        <f aca="false">IF(OR(TRIM(C1091)="",SUBSTITUTE(C1091," ","")="소계"),"제외",IF(ISNUMBER(SEARCH("홍콩",C1091)),"HK",IF(ISNUMBER(SEARCH("상해",C1091)),"CN",IF(ISNUMBER(SEARCH("대만",C1091)),"TW","홀세일"))))</f>
        <v>홀세일</v>
      </c>
      <c r="B1091" s="36" t="s">
        <v>1262</v>
      </c>
      <c r="C1091" s="36" t="s">
        <v>1263</v>
      </c>
      <c r="D1091" s="37" t="s">
        <v>123</v>
      </c>
      <c r="E1091" s="36" t="n">
        <v>2026</v>
      </c>
      <c r="F1091" s="37" t="s">
        <v>474</v>
      </c>
      <c r="G1091" s="37" t="s">
        <v>124</v>
      </c>
      <c r="H1091" s="36" t="s">
        <v>131</v>
      </c>
      <c r="I1091" s="36" t="s">
        <v>1334</v>
      </c>
      <c r="J1091" s="37" t="s">
        <v>1335</v>
      </c>
      <c r="K1091" s="38" t="n">
        <v>65</v>
      </c>
      <c r="L1091" s="38" t="n">
        <v>7735000</v>
      </c>
      <c r="M1091" s="38" t="n">
        <v>2510365</v>
      </c>
      <c r="N1091" s="39" t="n">
        <f aca="false">IF(A1091="제외",0,IF(OR(N(L1091)&lt;=0,N(M1091)&gt;N(L1091)),N(M1091)/요약!$D$27,N(L1091)))</f>
        <v>7735000</v>
      </c>
      <c r="O1091" s="32" t="str">
        <f aca="false">IF(A1091="제외","",IF(OR(N(L1091)&lt;=0,N(M1091)&gt;N(L1091)),"택가보정(판매금액÷공급율)",""))</f>
        <v/>
      </c>
      <c r="P1091" s="0" t="str">
        <f aca="false">IF(A1091="HK","100",IF(A1091="CN","200",IF(A1091="TW","300",IF(ISNUMBER(SEARCH("태국",C1091)),"500",IF(ISNUMBER(SEARCH("말레이",C1091)),"600",IF(ISNUMBER(SEARCH("필리핀",C1091)),"700",IF(ISNUMBER(SEARCH("인도네시아",C1091)),"800",IF(ISNUMBER(SEARCH("크루즈",C1091)),"810",IF(ISNUMBER(SEARCH("동물원",C1091)),"830","")))))))))</f>
        <v>600</v>
      </c>
    </row>
    <row r="1092" customFormat="false" ht="15" hidden="false" customHeight="false" outlineLevel="0" collapsed="false">
      <c r="A1092" s="32" t="str">
        <f aca="false">IF(OR(TRIM(C1092)="",SUBSTITUTE(C1092," ","")="소계"),"제외",IF(ISNUMBER(SEARCH("홍콩",C1092)),"HK",IF(ISNUMBER(SEARCH("상해",C1092)),"CN",IF(ISNUMBER(SEARCH("대만",C1092)),"TW","홀세일"))))</f>
        <v>홀세일</v>
      </c>
      <c r="B1092" s="36" t="s">
        <v>1262</v>
      </c>
      <c r="C1092" s="36" t="s">
        <v>1263</v>
      </c>
      <c r="D1092" s="37" t="s">
        <v>123</v>
      </c>
      <c r="E1092" s="36" t="n">
        <v>2026</v>
      </c>
      <c r="F1092" s="37" t="s">
        <v>474</v>
      </c>
      <c r="G1092" s="37" t="s">
        <v>124</v>
      </c>
      <c r="H1092" s="36" t="s">
        <v>125</v>
      </c>
      <c r="I1092" s="36" t="s">
        <v>1336</v>
      </c>
      <c r="J1092" s="36" t="s">
        <v>1337</v>
      </c>
      <c r="K1092" s="38" t="n">
        <v>25</v>
      </c>
      <c r="L1092" s="38" t="n">
        <v>4975000</v>
      </c>
      <c r="M1092" s="38" t="n">
        <v>1662600</v>
      </c>
      <c r="N1092" s="39" t="n">
        <f aca="false">IF(A1092="제외",0,IF(OR(N(L1092)&lt;=0,N(M1092)&gt;N(L1092)),N(M1092)/요약!$D$27,N(L1092)))</f>
        <v>4975000</v>
      </c>
      <c r="O1092" s="32" t="str">
        <f aca="false">IF(A1092="제외","",IF(OR(N(L1092)&lt;=0,N(M1092)&gt;N(L1092)),"택가보정(판매금액÷공급율)",""))</f>
        <v/>
      </c>
      <c r="P1092" s="0" t="str">
        <f aca="false">IF(A1092="HK","100",IF(A1092="CN","200",IF(A1092="TW","300",IF(ISNUMBER(SEARCH("태국",C1092)),"500",IF(ISNUMBER(SEARCH("말레이",C1092)),"600",IF(ISNUMBER(SEARCH("필리핀",C1092)),"700",IF(ISNUMBER(SEARCH("인도네시아",C1092)),"800",IF(ISNUMBER(SEARCH("크루즈",C1092)),"810",IF(ISNUMBER(SEARCH("동물원",C1092)),"830","")))))))))</f>
        <v>600</v>
      </c>
    </row>
    <row r="1093" customFormat="false" ht="15" hidden="false" customHeight="false" outlineLevel="0" collapsed="false">
      <c r="A1093" s="32" t="str">
        <f aca="false">IF(OR(TRIM(C1093)="",SUBSTITUTE(C1093," ","")="소계"),"제외",IF(ISNUMBER(SEARCH("홍콩",C1093)),"HK",IF(ISNUMBER(SEARCH("상해",C1093)),"CN",IF(ISNUMBER(SEARCH("대만",C1093)),"TW","홀세일"))))</f>
        <v>홀세일</v>
      </c>
      <c r="B1093" s="36" t="s">
        <v>1262</v>
      </c>
      <c r="C1093" s="36" t="s">
        <v>1263</v>
      </c>
      <c r="D1093" s="37" t="s">
        <v>123</v>
      </c>
      <c r="E1093" s="36" t="n">
        <v>2026</v>
      </c>
      <c r="F1093" s="37" t="s">
        <v>474</v>
      </c>
      <c r="G1093" s="37" t="s">
        <v>124</v>
      </c>
      <c r="H1093" s="36" t="s">
        <v>131</v>
      </c>
      <c r="I1093" s="36" t="s">
        <v>928</v>
      </c>
      <c r="J1093" s="37" t="s">
        <v>929</v>
      </c>
      <c r="K1093" s="38" t="n">
        <v>85</v>
      </c>
      <c r="L1093" s="38" t="n">
        <v>18615000</v>
      </c>
      <c r="M1093" s="38" t="n">
        <v>5580760</v>
      </c>
      <c r="N1093" s="39" t="n">
        <f aca="false">IF(A1093="제외",0,IF(OR(N(L1093)&lt;=0,N(M1093)&gt;N(L1093)),N(M1093)/요약!$D$27,N(L1093)))</f>
        <v>18615000</v>
      </c>
      <c r="O1093" s="32" t="str">
        <f aca="false">IF(A1093="제외","",IF(OR(N(L1093)&lt;=0,N(M1093)&gt;N(L1093)),"택가보정(판매금액÷공급율)",""))</f>
        <v/>
      </c>
      <c r="P1093" s="0" t="str">
        <f aca="false">IF(A1093="HK","100",IF(A1093="CN","200",IF(A1093="TW","300",IF(ISNUMBER(SEARCH("태국",C1093)),"500",IF(ISNUMBER(SEARCH("말레이",C1093)),"600",IF(ISNUMBER(SEARCH("필리핀",C1093)),"700",IF(ISNUMBER(SEARCH("인도네시아",C1093)),"800",IF(ISNUMBER(SEARCH("크루즈",C1093)),"810",IF(ISNUMBER(SEARCH("동물원",C1093)),"830","")))))))))</f>
        <v>600</v>
      </c>
    </row>
    <row r="1094" customFormat="false" ht="15" hidden="false" customHeight="false" outlineLevel="0" collapsed="false">
      <c r="A1094" s="32" t="str">
        <f aca="false">IF(OR(TRIM(C1094)="",SUBSTITUTE(C1094," ","")="소계"),"제외",IF(ISNUMBER(SEARCH("홍콩",C1094)),"HK",IF(ISNUMBER(SEARCH("상해",C1094)),"CN",IF(ISNUMBER(SEARCH("대만",C1094)),"TW","홀세일"))))</f>
        <v>홀세일</v>
      </c>
      <c r="B1094" s="36" t="s">
        <v>1262</v>
      </c>
      <c r="C1094" s="36" t="s">
        <v>1263</v>
      </c>
      <c r="D1094" s="37" t="s">
        <v>123</v>
      </c>
      <c r="E1094" s="36" t="n">
        <v>2026</v>
      </c>
      <c r="F1094" s="37" t="s">
        <v>474</v>
      </c>
      <c r="G1094" s="37" t="s">
        <v>124</v>
      </c>
      <c r="H1094" s="36" t="s">
        <v>125</v>
      </c>
      <c r="I1094" s="36" t="s">
        <v>1338</v>
      </c>
      <c r="J1094" s="36" t="s">
        <v>1339</v>
      </c>
      <c r="K1094" s="38" t="n">
        <v>25</v>
      </c>
      <c r="L1094" s="38" t="n">
        <v>5975000</v>
      </c>
      <c r="M1094" s="38" t="n">
        <v>1998475</v>
      </c>
      <c r="N1094" s="39" t="n">
        <f aca="false">IF(A1094="제외",0,IF(OR(N(L1094)&lt;=0,N(M1094)&gt;N(L1094)),N(M1094)/요약!$D$27,N(L1094)))</f>
        <v>5975000</v>
      </c>
      <c r="O1094" s="32" t="str">
        <f aca="false">IF(A1094="제외","",IF(OR(N(L1094)&lt;=0,N(M1094)&gt;N(L1094)),"택가보정(판매금액÷공급율)",""))</f>
        <v/>
      </c>
      <c r="P1094" s="0" t="str">
        <f aca="false">IF(A1094="HK","100",IF(A1094="CN","200",IF(A1094="TW","300",IF(ISNUMBER(SEARCH("태국",C1094)),"500",IF(ISNUMBER(SEARCH("말레이",C1094)),"600",IF(ISNUMBER(SEARCH("필리핀",C1094)),"700",IF(ISNUMBER(SEARCH("인도네시아",C1094)),"800",IF(ISNUMBER(SEARCH("크루즈",C1094)),"810",IF(ISNUMBER(SEARCH("동물원",C1094)),"830","")))))))))</f>
        <v>600</v>
      </c>
    </row>
    <row r="1095" customFormat="false" ht="15" hidden="false" customHeight="false" outlineLevel="0" collapsed="false">
      <c r="A1095" s="32" t="str">
        <f aca="false">IF(OR(TRIM(C1095)="",SUBSTITUTE(C1095," ","")="소계"),"제외",IF(ISNUMBER(SEARCH("홍콩",C1095)),"HK",IF(ISNUMBER(SEARCH("상해",C1095)),"CN",IF(ISNUMBER(SEARCH("대만",C1095)),"TW","홀세일"))))</f>
        <v>홀세일</v>
      </c>
      <c r="B1095" s="36" t="s">
        <v>1262</v>
      </c>
      <c r="C1095" s="36" t="s">
        <v>1263</v>
      </c>
      <c r="D1095" s="37" t="s">
        <v>123</v>
      </c>
      <c r="E1095" s="36" t="n">
        <v>2026</v>
      </c>
      <c r="F1095" s="37" t="s">
        <v>474</v>
      </c>
      <c r="G1095" s="37" t="s">
        <v>124</v>
      </c>
      <c r="H1095" s="36" t="s">
        <v>131</v>
      </c>
      <c r="I1095" s="36" t="s">
        <v>1340</v>
      </c>
      <c r="J1095" s="37" t="s">
        <v>1341</v>
      </c>
      <c r="K1095" s="38" t="n">
        <v>50</v>
      </c>
      <c r="L1095" s="38" t="n">
        <v>8950000</v>
      </c>
      <c r="M1095" s="38" t="n">
        <v>2766350</v>
      </c>
      <c r="N1095" s="39" t="n">
        <f aca="false">IF(A1095="제외",0,IF(OR(N(L1095)&lt;=0,N(M1095)&gt;N(L1095)),N(M1095)/요약!$D$27,N(L1095)))</f>
        <v>8950000</v>
      </c>
      <c r="O1095" s="32" t="str">
        <f aca="false">IF(A1095="제외","",IF(OR(N(L1095)&lt;=0,N(M1095)&gt;N(L1095)),"택가보정(판매금액÷공급율)",""))</f>
        <v/>
      </c>
      <c r="P1095" s="0" t="str">
        <f aca="false">IF(A1095="HK","100",IF(A1095="CN","200",IF(A1095="TW","300",IF(ISNUMBER(SEARCH("태국",C1095)),"500",IF(ISNUMBER(SEARCH("말레이",C1095)),"600",IF(ISNUMBER(SEARCH("필리핀",C1095)),"700",IF(ISNUMBER(SEARCH("인도네시아",C1095)),"800",IF(ISNUMBER(SEARCH("크루즈",C1095)),"810",IF(ISNUMBER(SEARCH("동물원",C1095)),"830","")))))))))</f>
        <v>600</v>
      </c>
    </row>
    <row r="1096" customFormat="false" ht="15" hidden="false" customHeight="false" outlineLevel="0" collapsed="false">
      <c r="A1096" s="32" t="str">
        <f aca="false">IF(OR(TRIM(C1096)="",SUBSTITUTE(C1096," ","")="소계"),"제외",IF(ISNUMBER(SEARCH("홍콩",C1096)),"HK",IF(ISNUMBER(SEARCH("상해",C1096)),"CN",IF(ISNUMBER(SEARCH("대만",C1096)),"TW","홀세일"))))</f>
        <v>홀세일</v>
      </c>
      <c r="B1096" s="36" t="s">
        <v>1262</v>
      </c>
      <c r="C1096" s="36" t="s">
        <v>1263</v>
      </c>
      <c r="D1096" s="37" t="s">
        <v>123</v>
      </c>
      <c r="E1096" s="36" t="n">
        <v>2026</v>
      </c>
      <c r="F1096" s="37" t="s">
        <v>474</v>
      </c>
      <c r="G1096" s="37" t="s">
        <v>124</v>
      </c>
      <c r="H1096" s="36" t="s">
        <v>131</v>
      </c>
      <c r="I1096" s="36" t="s">
        <v>930</v>
      </c>
      <c r="J1096" s="37" t="s">
        <v>931</v>
      </c>
      <c r="K1096" s="38" t="n">
        <v>40</v>
      </c>
      <c r="L1096" s="38" t="n">
        <v>5160000</v>
      </c>
      <c r="M1096" s="38" t="n">
        <v>1675040</v>
      </c>
      <c r="N1096" s="39" t="n">
        <f aca="false">IF(A1096="제외",0,IF(OR(N(L1096)&lt;=0,N(M1096)&gt;N(L1096)),N(M1096)/요약!$D$27,N(L1096)))</f>
        <v>5160000</v>
      </c>
      <c r="O1096" s="32" t="str">
        <f aca="false">IF(A1096="제외","",IF(OR(N(L1096)&lt;=0,N(M1096)&gt;N(L1096)),"택가보정(판매금액÷공급율)",""))</f>
        <v/>
      </c>
      <c r="P1096" s="0" t="str">
        <f aca="false">IF(A1096="HK","100",IF(A1096="CN","200",IF(A1096="TW","300",IF(ISNUMBER(SEARCH("태국",C1096)),"500",IF(ISNUMBER(SEARCH("말레이",C1096)),"600",IF(ISNUMBER(SEARCH("필리핀",C1096)),"700",IF(ISNUMBER(SEARCH("인도네시아",C1096)),"800",IF(ISNUMBER(SEARCH("크루즈",C1096)),"810",IF(ISNUMBER(SEARCH("동물원",C1096)),"830","")))))))))</f>
        <v>600</v>
      </c>
    </row>
    <row r="1097" customFormat="false" ht="15" hidden="false" customHeight="false" outlineLevel="0" collapsed="false">
      <c r="A1097" s="32" t="str">
        <f aca="false">IF(OR(TRIM(C1097)="",SUBSTITUTE(C1097," ","")="소계"),"제외",IF(ISNUMBER(SEARCH("홍콩",C1097)),"HK",IF(ISNUMBER(SEARCH("상해",C1097)),"CN",IF(ISNUMBER(SEARCH("대만",C1097)),"TW","홀세일"))))</f>
        <v>홀세일</v>
      </c>
      <c r="B1097" s="36" t="s">
        <v>1262</v>
      </c>
      <c r="C1097" s="36" t="s">
        <v>1263</v>
      </c>
      <c r="D1097" s="37" t="s">
        <v>123</v>
      </c>
      <c r="E1097" s="36" t="n">
        <v>2026</v>
      </c>
      <c r="F1097" s="37" t="s">
        <v>474</v>
      </c>
      <c r="G1097" s="37" t="s">
        <v>124</v>
      </c>
      <c r="H1097" s="36" t="s">
        <v>131</v>
      </c>
      <c r="I1097" s="36" t="s">
        <v>531</v>
      </c>
      <c r="J1097" s="37" t="s">
        <v>532</v>
      </c>
      <c r="K1097" s="38" t="n">
        <v>30</v>
      </c>
      <c r="L1097" s="38" t="n">
        <v>4470000</v>
      </c>
      <c r="M1097" s="38" t="n">
        <v>1460280</v>
      </c>
      <c r="N1097" s="39" t="n">
        <f aca="false">IF(A1097="제외",0,IF(OR(N(L1097)&lt;=0,N(M1097)&gt;N(L1097)),N(M1097)/요약!$D$27,N(L1097)))</f>
        <v>4470000</v>
      </c>
      <c r="O1097" s="32" t="str">
        <f aca="false">IF(A1097="제외","",IF(OR(N(L1097)&lt;=0,N(M1097)&gt;N(L1097)),"택가보정(판매금액÷공급율)",""))</f>
        <v/>
      </c>
      <c r="P1097" s="0" t="str">
        <f aca="false">IF(A1097="HK","100",IF(A1097="CN","200",IF(A1097="TW","300",IF(ISNUMBER(SEARCH("태국",C1097)),"500",IF(ISNUMBER(SEARCH("말레이",C1097)),"600",IF(ISNUMBER(SEARCH("필리핀",C1097)),"700",IF(ISNUMBER(SEARCH("인도네시아",C1097)),"800",IF(ISNUMBER(SEARCH("크루즈",C1097)),"810",IF(ISNUMBER(SEARCH("동물원",C1097)),"830","")))))))))</f>
        <v>600</v>
      </c>
    </row>
    <row r="1098" customFormat="false" ht="15" hidden="false" customHeight="false" outlineLevel="0" collapsed="false">
      <c r="A1098" s="32" t="str">
        <f aca="false">IF(OR(TRIM(C1098)="",SUBSTITUTE(C1098," ","")="소계"),"제외",IF(ISNUMBER(SEARCH("홍콩",C1098)),"HK",IF(ISNUMBER(SEARCH("상해",C1098)),"CN",IF(ISNUMBER(SEARCH("대만",C1098)),"TW","홀세일"))))</f>
        <v>홀세일</v>
      </c>
      <c r="B1098" s="36" t="s">
        <v>1262</v>
      </c>
      <c r="C1098" s="36" t="s">
        <v>1263</v>
      </c>
      <c r="D1098" s="37" t="s">
        <v>123</v>
      </c>
      <c r="E1098" s="36" t="n">
        <v>2026</v>
      </c>
      <c r="F1098" s="37" t="s">
        <v>474</v>
      </c>
      <c r="G1098" s="37" t="s">
        <v>124</v>
      </c>
      <c r="H1098" s="36" t="s">
        <v>131</v>
      </c>
      <c r="I1098" s="36" t="s">
        <v>932</v>
      </c>
      <c r="J1098" s="37" t="s">
        <v>933</v>
      </c>
      <c r="K1098" s="38" t="n">
        <v>40</v>
      </c>
      <c r="L1098" s="38" t="n">
        <v>4360000</v>
      </c>
      <c r="M1098" s="38" t="n">
        <v>1412840</v>
      </c>
      <c r="N1098" s="39" t="n">
        <f aca="false">IF(A1098="제외",0,IF(OR(N(L1098)&lt;=0,N(M1098)&gt;N(L1098)),N(M1098)/요약!$D$27,N(L1098)))</f>
        <v>4360000</v>
      </c>
      <c r="O1098" s="32" t="str">
        <f aca="false">IF(A1098="제외","",IF(OR(N(L1098)&lt;=0,N(M1098)&gt;N(L1098)),"택가보정(판매금액÷공급율)",""))</f>
        <v/>
      </c>
      <c r="P1098" s="0" t="str">
        <f aca="false">IF(A1098="HK","100",IF(A1098="CN","200",IF(A1098="TW","300",IF(ISNUMBER(SEARCH("태국",C1098)),"500",IF(ISNUMBER(SEARCH("말레이",C1098)),"600",IF(ISNUMBER(SEARCH("필리핀",C1098)),"700",IF(ISNUMBER(SEARCH("인도네시아",C1098)),"800",IF(ISNUMBER(SEARCH("크루즈",C1098)),"810",IF(ISNUMBER(SEARCH("동물원",C1098)),"830","")))))))))</f>
        <v>600</v>
      </c>
    </row>
    <row r="1099" customFormat="false" ht="15" hidden="false" customHeight="false" outlineLevel="0" collapsed="false">
      <c r="A1099" s="32" t="str">
        <f aca="false">IF(OR(TRIM(C1099)="",SUBSTITUTE(C1099," ","")="소계"),"제외",IF(ISNUMBER(SEARCH("홍콩",C1099)),"HK",IF(ISNUMBER(SEARCH("상해",C1099)),"CN",IF(ISNUMBER(SEARCH("대만",C1099)),"TW","홀세일"))))</f>
        <v>홀세일</v>
      </c>
      <c r="B1099" s="36" t="s">
        <v>1262</v>
      </c>
      <c r="C1099" s="36" t="s">
        <v>1263</v>
      </c>
      <c r="D1099" s="37" t="s">
        <v>123</v>
      </c>
      <c r="E1099" s="36" t="n">
        <v>2026</v>
      </c>
      <c r="F1099" s="37" t="s">
        <v>474</v>
      </c>
      <c r="G1099" s="37" t="s">
        <v>124</v>
      </c>
      <c r="H1099" s="36" t="s">
        <v>131</v>
      </c>
      <c r="I1099" s="36" t="s">
        <v>535</v>
      </c>
      <c r="J1099" s="37" t="s">
        <v>536</v>
      </c>
      <c r="K1099" s="38" t="n">
        <v>25</v>
      </c>
      <c r="L1099" s="38" t="n">
        <v>3725000</v>
      </c>
      <c r="M1099" s="38" t="n">
        <v>1187050</v>
      </c>
      <c r="N1099" s="39" t="n">
        <f aca="false">IF(A1099="제외",0,IF(OR(N(L1099)&lt;=0,N(M1099)&gt;N(L1099)),N(M1099)/요약!$D$27,N(L1099)))</f>
        <v>3725000</v>
      </c>
      <c r="O1099" s="32" t="str">
        <f aca="false">IF(A1099="제외","",IF(OR(N(L1099)&lt;=0,N(M1099)&gt;N(L1099)),"택가보정(판매금액÷공급율)",""))</f>
        <v/>
      </c>
      <c r="P1099" s="0" t="str">
        <f aca="false">IF(A1099="HK","100",IF(A1099="CN","200",IF(A1099="TW","300",IF(ISNUMBER(SEARCH("태국",C1099)),"500",IF(ISNUMBER(SEARCH("말레이",C1099)),"600",IF(ISNUMBER(SEARCH("필리핀",C1099)),"700",IF(ISNUMBER(SEARCH("인도네시아",C1099)),"800",IF(ISNUMBER(SEARCH("크루즈",C1099)),"810",IF(ISNUMBER(SEARCH("동물원",C1099)),"830","")))))))))</f>
        <v>600</v>
      </c>
    </row>
    <row r="1100" customFormat="false" ht="15" hidden="false" customHeight="false" outlineLevel="0" collapsed="false">
      <c r="A1100" s="32" t="str">
        <f aca="false">IF(OR(TRIM(C1100)="",SUBSTITUTE(C1100," ","")="소계"),"제외",IF(ISNUMBER(SEARCH("홍콩",C1100)),"HK",IF(ISNUMBER(SEARCH("상해",C1100)),"CN",IF(ISNUMBER(SEARCH("대만",C1100)),"TW","홀세일"))))</f>
        <v>홀세일</v>
      </c>
      <c r="B1100" s="36" t="s">
        <v>1262</v>
      </c>
      <c r="C1100" s="36" t="s">
        <v>1263</v>
      </c>
      <c r="D1100" s="37" t="s">
        <v>123</v>
      </c>
      <c r="E1100" s="36" t="n">
        <v>2026</v>
      </c>
      <c r="F1100" s="37" t="s">
        <v>474</v>
      </c>
      <c r="G1100" s="37" t="s">
        <v>124</v>
      </c>
      <c r="H1100" s="36" t="s">
        <v>131</v>
      </c>
      <c r="I1100" s="36" t="s">
        <v>1342</v>
      </c>
      <c r="J1100" s="37" t="s">
        <v>1343</v>
      </c>
      <c r="K1100" s="38" t="n">
        <v>40</v>
      </c>
      <c r="L1100" s="38" t="n">
        <v>5160000</v>
      </c>
      <c r="M1100" s="38" t="n">
        <v>1645320</v>
      </c>
      <c r="N1100" s="39" t="n">
        <f aca="false">IF(A1100="제외",0,IF(OR(N(L1100)&lt;=0,N(M1100)&gt;N(L1100)),N(M1100)/요약!$D$27,N(L1100)))</f>
        <v>5160000</v>
      </c>
      <c r="O1100" s="32" t="str">
        <f aca="false">IF(A1100="제외","",IF(OR(N(L1100)&lt;=0,N(M1100)&gt;N(L1100)),"택가보정(판매금액÷공급율)",""))</f>
        <v/>
      </c>
      <c r="P1100" s="0" t="str">
        <f aca="false">IF(A1100="HK","100",IF(A1100="CN","200",IF(A1100="TW","300",IF(ISNUMBER(SEARCH("태국",C1100)),"500",IF(ISNUMBER(SEARCH("말레이",C1100)),"600",IF(ISNUMBER(SEARCH("필리핀",C1100)),"700",IF(ISNUMBER(SEARCH("인도네시아",C1100)),"800",IF(ISNUMBER(SEARCH("크루즈",C1100)),"810",IF(ISNUMBER(SEARCH("동물원",C1100)),"830","")))))))))</f>
        <v>600</v>
      </c>
    </row>
    <row r="1101" customFormat="false" ht="15" hidden="false" customHeight="false" outlineLevel="0" collapsed="false">
      <c r="A1101" s="32" t="str">
        <f aca="false">IF(OR(TRIM(C1101)="",SUBSTITUTE(C1101," ","")="소계"),"제외",IF(ISNUMBER(SEARCH("홍콩",C1101)),"HK",IF(ISNUMBER(SEARCH("상해",C1101)),"CN",IF(ISNUMBER(SEARCH("대만",C1101)),"TW","홀세일"))))</f>
        <v>홀세일</v>
      </c>
      <c r="B1101" s="36" t="s">
        <v>1262</v>
      </c>
      <c r="C1101" s="36" t="s">
        <v>1263</v>
      </c>
      <c r="D1101" s="37" t="s">
        <v>123</v>
      </c>
      <c r="E1101" s="36" t="n">
        <v>2026</v>
      </c>
      <c r="F1101" s="37" t="s">
        <v>474</v>
      </c>
      <c r="G1101" s="37" t="s">
        <v>124</v>
      </c>
      <c r="H1101" s="36" t="s">
        <v>188</v>
      </c>
      <c r="I1101" s="36" t="s">
        <v>541</v>
      </c>
      <c r="J1101" s="36" t="s">
        <v>542</v>
      </c>
      <c r="K1101" s="38" t="n">
        <v>20</v>
      </c>
      <c r="L1101" s="38" t="n">
        <v>3180000</v>
      </c>
      <c r="M1101" s="38" t="n">
        <v>997880</v>
      </c>
      <c r="N1101" s="39" t="n">
        <f aca="false">IF(A1101="제외",0,IF(OR(N(L1101)&lt;=0,N(M1101)&gt;N(L1101)),N(M1101)/요약!$D$27,N(L1101)))</f>
        <v>3180000</v>
      </c>
      <c r="O1101" s="32" t="str">
        <f aca="false">IF(A1101="제외","",IF(OR(N(L1101)&lt;=0,N(M1101)&gt;N(L1101)),"택가보정(판매금액÷공급율)",""))</f>
        <v/>
      </c>
      <c r="P1101" s="0" t="str">
        <f aca="false">IF(A1101="HK","100",IF(A1101="CN","200",IF(A1101="TW","300",IF(ISNUMBER(SEARCH("태국",C1101)),"500",IF(ISNUMBER(SEARCH("말레이",C1101)),"600",IF(ISNUMBER(SEARCH("필리핀",C1101)),"700",IF(ISNUMBER(SEARCH("인도네시아",C1101)),"800",IF(ISNUMBER(SEARCH("크루즈",C1101)),"810",IF(ISNUMBER(SEARCH("동물원",C1101)),"830","")))))))))</f>
        <v>600</v>
      </c>
    </row>
    <row r="1102" customFormat="false" ht="15" hidden="false" customHeight="false" outlineLevel="0" collapsed="false">
      <c r="A1102" s="32" t="str">
        <f aca="false">IF(OR(TRIM(C1102)="",SUBSTITUTE(C1102," ","")="소계"),"제외",IF(ISNUMBER(SEARCH("홍콩",C1102)),"HK",IF(ISNUMBER(SEARCH("상해",C1102)),"CN",IF(ISNUMBER(SEARCH("대만",C1102)),"TW","홀세일"))))</f>
        <v>홀세일</v>
      </c>
      <c r="B1102" s="36" t="s">
        <v>1262</v>
      </c>
      <c r="C1102" s="36" t="s">
        <v>1263</v>
      </c>
      <c r="D1102" s="37" t="s">
        <v>123</v>
      </c>
      <c r="E1102" s="36" t="n">
        <v>2026</v>
      </c>
      <c r="F1102" s="37" t="s">
        <v>474</v>
      </c>
      <c r="G1102" s="37" t="s">
        <v>124</v>
      </c>
      <c r="H1102" s="36" t="s">
        <v>188</v>
      </c>
      <c r="I1102" s="36" t="s">
        <v>934</v>
      </c>
      <c r="J1102" s="36" t="s">
        <v>935</v>
      </c>
      <c r="K1102" s="38" t="n">
        <v>20</v>
      </c>
      <c r="L1102" s="38" t="n">
        <v>2580000</v>
      </c>
      <c r="M1102" s="38" t="n">
        <v>822660</v>
      </c>
      <c r="N1102" s="39" t="n">
        <f aca="false">IF(A1102="제외",0,IF(OR(N(L1102)&lt;=0,N(M1102)&gt;N(L1102)),N(M1102)/요약!$D$27,N(L1102)))</f>
        <v>2580000</v>
      </c>
      <c r="O1102" s="32" t="str">
        <f aca="false">IF(A1102="제외","",IF(OR(N(L1102)&lt;=0,N(M1102)&gt;N(L1102)),"택가보정(판매금액÷공급율)",""))</f>
        <v/>
      </c>
      <c r="P1102" s="0" t="str">
        <f aca="false">IF(A1102="HK","100",IF(A1102="CN","200",IF(A1102="TW","300",IF(ISNUMBER(SEARCH("태국",C1102)),"500",IF(ISNUMBER(SEARCH("말레이",C1102)),"600",IF(ISNUMBER(SEARCH("필리핀",C1102)),"700",IF(ISNUMBER(SEARCH("인도네시아",C1102)),"800",IF(ISNUMBER(SEARCH("크루즈",C1102)),"810",IF(ISNUMBER(SEARCH("동물원",C1102)),"830","")))))))))</f>
        <v>600</v>
      </c>
    </row>
    <row r="1103" customFormat="false" ht="15" hidden="false" customHeight="false" outlineLevel="0" collapsed="false">
      <c r="A1103" s="32" t="str">
        <f aca="false">IF(OR(TRIM(C1103)="",SUBSTITUTE(C1103," ","")="소계"),"제외",IF(ISNUMBER(SEARCH("홍콩",C1103)),"HK",IF(ISNUMBER(SEARCH("상해",C1103)),"CN",IF(ISNUMBER(SEARCH("대만",C1103)),"TW","홀세일"))))</f>
        <v>홀세일</v>
      </c>
      <c r="B1103" s="36" t="s">
        <v>1262</v>
      </c>
      <c r="C1103" s="36" t="s">
        <v>1263</v>
      </c>
      <c r="D1103" s="37" t="s">
        <v>123</v>
      </c>
      <c r="E1103" s="36" t="n">
        <v>2026</v>
      </c>
      <c r="F1103" s="37" t="s">
        <v>474</v>
      </c>
      <c r="G1103" s="37" t="s">
        <v>124</v>
      </c>
      <c r="H1103" s="36" t="s">
        <v>188</v>
      </c>
      <c r="I1103" s="36" t="s">
        <v>1344</v>
      </c>
      <c r="J1103" s="36" t="s">
        <v>1345</v>
      </c>
      <c r="K1103" s="38" t="n">
        <v>35</v>
      </c>
      <c r="L1103" s="38" t="n">
        <v>3465000</v>
      </c>
      <c r="M1103" s="38" t="n">
        <v>1141980</v>
      </c>
      <c r="N1103" s="39" t="n">
        <f aca="false">IF(A1103="제외",0,IF(OR(N(L1103)&lt;=0,N(M1103)&gt;N(L1103)),N(M1103)/요약!$D$27,N(L1103)))</f>
        <v>3465000</v>
      </c>
      <c r="O1103" s="32" t="str">
        <f aca="false">IF(A1103="제외","",IF(OR(N(L1103)&lt;=0,N(M1103)&gt;N(L1103)),"택가보정(판매금액÷공급율)",""))</f>
        <v/>
      </c>
      <c r="P1103" s="0" t="str">
        <f aca="false">IF(A1103="HK","100",IF(A1103="CN","200",IF(A1103="TW","300",IF(ISNUMBER(SEARCH("태국",C1103)),"500",IF(ISNUMBER(SEARCH("말레이",C1103)),"600",IF(ISNUMBER(SEARCH("필리핀",C1103)),"700",IF(ISNUMBER(SEARCH("인도네시아",C1103)),"800",IF(ISNUMBER(SEARCH("크루즈",C1103)),"810",IF(ISNUMBER(SEARCH("동물원",C1103)),"830","")))))))))</f>
        <v>600</v>
      </c>
    </row>
    <row r="1104" customFormat="false" ht="15" hidden="false" customHeight="false" outlineLevel="0" collapsed="false">
      <c r="A1104" s="32" t="str">
        <f aca="false">IF(OR(TRIM(C1104)="",SUBSTITUTE(C1104," ","")="소계"),"제외",IF(ISNUMBER(SEARCH("홍콩",C1104)),"HK",IF(ISNUMBER(SEARCH("상해",C1104)),"CN",IF(ISNUMBER(SEARCH("대만",C1104)),"TW","홀세일"))))</f>
        <v>홀세일</v>
      </c>
      <c r="B1104" s="36" t="s">
        <v>1262</v>
      </c>
      <c r="C1104" s="36" t="s">
        <v>1263</v>
      </c>
      <c r="D1104" s="37" t="s">
        <v>123</v>
      </c>
      <c r="E1104" s="36" t="n">
        <v>2026</v>
      </c>
      <c r="F1104" s="37" t="s">
        <v>474</v>
      </c>
      <c r="G1104" s="37" t="s">
        <v>124</v>
      </c>
      <c r="H1104" s="36" t="s">
        <v>188</v>
      </c>
      <c r="I1104" s="36" t="s">
        <v>545</v>
      </c>
      <c r="J1104" s="36" t="s">
        <v>546</v>
      </c>
      <c r="K1104" s="38" t="n">
        <v>30</v>
      </c>
      <c r="L1104" s="38" t="n">
        <v>4470000</v>
      </c>
      <c r="M1104" s="38" t="n">
        <v>1553670</v>
      </c>
      <c r="N1104" s="39" t="n">
        <f aca="false">IF(A1104="제외",0,IF(OR(N(L1104)&lt;=0,N(M1104)&gt;N(L1104)),N(M1104)/요약!$D$27,N(L1104)))</f>
        <v>4470000</v>
      </c>
      <c r="O1104" s="32" t="str">
        <f aca="false">IF(A1104="제외","",IF(OR(N(L1104)&lt;=0,N(M1104)&gt;N(L1104)),"택가보정(판매금액÷공급율)",""))</f>
        <v/>
      </c>
      <c r="P1104" s="0" t="str">
        <f aca="false">IF(A1104="HK","100",IF(A1104="CN","200",IF(A1104="TW","300",IF(ISNUMBER(SEARCH("태국",C1104)),"500",IF(ISNUMBER(SEARCH("말레이",C1104)),"600",IF(ISNUMBER(SEARCH("필리핀",C1104)),"700",IF(ISNUMBER(SEARCH("인도네시아",C1104)),"800",IF(ISNUMBER(SEARCH("크루즈",C1104)),"810",IF(ISNUMBER(SEARCH("동물원",C1104)),"830","")))))))))</f>
        <v>600</v>
      </c>
    </row>
    <row r="1105" customFormat="false" ht="15" hidden="false" customHeight="false" outlineLevel="0" collapsed="false">
      <c r="A1105" s="32" t="str">
        <f aca="false">IF(OR(TRIM(C1105)="",SUBSTITUTE(C1105," ","")="소계"),"제외",IF(ISNUMBER(SEARCH("홍콩",C1105)),"HK",IF(ISNUMBER(SEARCH("상해",C1105)),"CN",IF(ISNUMBER(SEARCH("대만",C1105)),"TW","홀세일"))))</f>
        <v>홀세일</v>
      </c>
      <c r="B1105" s="36" t="s">
        <v>1262</v>
      </c>
      <c r="C1105" s="36" t="s">
        <v>1263</v>
      </c>
      <c r="D1105" s="37" t="s">
        <v>123</v>
      </c>
      <c r="E1105" s="36" t="n">
        <v>2026</v>
      </c>
      <c r="F1105" s="37" t="s">
        <v>474</v>
      </c>
      <c r="G1105" s="37" t="s">
        <v>124</v>
      </c>
      <c r="H1105" s="36" t="s">
        <v>188</v>
      </c>
      <c r="I1105" s="36" t="s">
        <v>547</v>
      </c>
      <c r="J1105" s="36" t="s">
        <v>548</v>
      </c>
      <c r="K1105" s="38" t="n">
        <v>20</v>
      </c>
      <c r="L1105" s="38" t="n">
        <v>4780000</v>
      </c>
      <c r="M1105" s="38" t="n">
        <v>1664040</v>
      </c>
      <c r="N1105" s="39" t="n">
        <f aca="false">IF(A1105="제외",0,IF(OR(N(L1105)&lt;=0,N(M1105)&gt;N(L1105)),N(M1105)/요약!$D$27,N(L1105)))</f>
        <v>4780000</v>
      </c>
      <c r="O1105" s="32" t="str">
        <f aca="false">IF(A1105="제외","",IF(OR(N(L1105)&lt;=0,N(M1105)&gt;N(L1105)),"택가보정(판매금액÷공급율)",""))</f>
        <v/>
      </c>
      <c r="P1105" s="0" t="str">
        <f aca="false">IF(A1105="HK","100",IF(A1105="CN","200",IF(A1105="TW","300",IF(ISNUMBER(SEARCH("태국",C1105)),"500",IF(ISNUMBER(SEARCH("말레이",C1105)),"600",IF(ISNUMBER(SEARCH("필리핀",C1105)),"700",IF(ISNUMBER(SEARCH("인도네시아",C1105)),"800",IF(ISNUMBER(SEARCH("크루즈",C1105)),"810",IF(ISNUMBER(SEARCH("동물원",C1105)),"830","")))))))))</f>
        <v>600</v>
      </c>
    </row>
    <row r="1106" customFormat="false" ht="15" hidden="false" customHeight="false" outlineLevel="0" collapsed="false">
      <c r="A1106" s="32" t="str">
        <f aca="false">IF(OR(TRIM(C1106)="",SUBSTITUTE(C1106," ","")="소계"),"제외",IF(ISNUMBER(SEARCH("홍콩",C1106)),"HK",IF(ISNUMBER(SEARCH("상해",C1106)),"CN",IF(ISNUMBER(SEARCH("대만",C1106)),"TW","홀세일"))))</f>
        <v>홀세일</v>
      </c>
      <c r="B1106" s="36" t="s">
        <v>1262</v>
      </c>
      <c r="C1106" s="36" t="s">
        <v>1263</v>
      </c>
      <c r="D1106" s="37" t="s">
        <v>123</v>
      </c>
      <c r="E1106" s="36" t="n">
        <v>2026</v>
      </c>
      <c r="F1106" s="37" t="s">
        <v>474</v>
      </c>
      <c r="G1106" s="37" t="s">
        <v>124</v>
      </c>
      <c r="H1106" s="36" t="s">
        <v>188</v>
      </c>
      <c r="I1106" s="36" t="s">
        <v>551</v>
      </c>
      <c r="J1106" s="36" t="s">
        <v>552</v>
      </c>
      <c r="K1106" s="38" t="n">
        <v>50</v>
      </c>
      <c r="L1106" s="38" t="n">
        <v>8450000</v>
      </c>
      <c r="M1106" s="38" t="n">
        <v>3072850</v>
      </c>
      <c r="N1106" s="39" t="n">
        <f aca="false">IF(A1106="제외",0,IF(OR(N(L1106)&lt;=0,N(M1106)&gt;N(L1106)),N(M1106)/요약!$D$27,N(L1106)))</f>
        <v>8450000</v>
      </c>
      <c r="O1106" s="32" t="str">
        <f aca="false">IF(A1106="제외","",IF(OR(N(L1106)&lt;=0,N(M1106)&gt;N(L1106)),"택가보정(판매금액÷공급율)",""))</f>
        <v/>
      </c>
      <c r="P1106" s="0" t="str">
        <f aca="false">IF(A1106="HK","100",IF(A1106="CN","200",IF(A1106="TW","300",IF(ISNUMBER(SEARCH("태국",C1106)),"500",IF(ISNUMBER(SEARCH("말레이",C1106)),"600",IF(ISNUMBER(SEARCH("필리핀",C1106)),"700",IF(ISNUMBER(SEARCH("인도네시아",C1106)),"800",IF(ISNUMBER(SEARCH("크루즈",C1106)),"810",IF(ISNUMBER(SEARCH("동물원",C1106)),"830","")))))))))</f>
        <v>600</v>
      </c>
    </row>
    <row r="1107" customFormat="false" ht="15" hidden="false" customHeight="false" outlineLevel="0" collapsed="false">
      <c r="A1107" s="32" t="str">
        <f aca="false">IF(OR(TRIM(C1107)="",SUBSTITUTE(C1107," ","")="소계"),"제외",IF(ISNUMBER(SEARCH("홍콩",C1107)),"HK",IF(ISNUMBER(SEARCH("상해",C1107)),"CN",IF(ISNUMBER(SEARCH("대만",C1107)),"TW","홀세일"))))</f>
        <v>홀세일</v>
      </c>
      <c r="B1107" s="36" t="s">
        <v>1262</v>
      </c>
      <c r="C1107" s="36" t="s">
        <v>1263</v>
      </c>
      <c r="D1107" s="37" t="s">
        <v>123</v>
      </c>
      <c r="E1107" s="36" t="n">
        <v>2026</v>
      </c>
      <c r="F1107" s="37" t="s">
        <v>474</v>
      </c>
      <c r="G1107" s="37" t="s">
        <v>124</v>
      </c>
      <c r="H1107" s="36" t="s">
        <v>188</v>
      </c>
      <c r="I1107" s="36" t="s">
        <v>553</v>
      </c>
      <c r="J1107" s="36" t="s">
        <v>554</v>
      </c>
      <c r="K1107" s="38" t="n">
        <v>45</v>
      </c>
      <c r="L1107" s="38" t="n">
        <v>8055000</v>
      </c>
      <c r="M1107" s="38" t="n">
        <v>2932200</v>
      </c>
      <c r="N1107" s="39" t="n">
        <f aca="false">IF(A1107="제외",0,IF(OR(N(L1107)&lt;=0,N(M1107)&gt;N(L1107)),N(M1107)/요약!$D$27,N(L1107)))</f>
        <v>8055000</v>
      </c>
      <c r="O1107" s="32" t="str">
        <f aca="false">IF(A1107="제외","",IF(OR(N(L1107)&lt;=0,N(M1107)&gt;N(L1107)),"택가보정(판매금액÷공급율)",""))</f>
        <v/>
      </c>
      <c r="P1107" s="0" t="str">
        <f aca="false">IF(A1107="HK","100",IF(A1107="CN","200",IF(A1107="TW","300",IF(ISNUMBER(SEARCH("태국",C1107)),"500",IF(ISNUMBER(SEARCH("말레이",C1107)),"600",IF(ISNUMBER(SEARCH("필리핀",C1107)),"700",IF(ISNUMBER(SEARCH("인도네시아",C1107)),"800",IF(ISNUMBER(SEARCH("크루즈",C1107)),"810",IF(ISNUMBER(SEARCH("동물원",C1107)),"830","")))))))))</f>
        <v>600</v>
      </c>
    </row>
    <row r="1108" customFormat="false" ht="15" hidden="false" customHeight="false" outlineLevel="0" collapsed="false">
      <c r="A1108" s="32" t="str">
        <f aca="false">IF(OR(TRIM(C1108)="",SUBSTITUTE(C1108," ","")="소계"),"제외",IF(ISNUMBER(SEARCH("홍콩",C1108)),"HK",IF(ISNUMBER(SEARCH("상해",C1108)),"CN",IF(ISNUMBER(SEARCH("대만",C1108)),"TW","홀세일"))))</f>
        <v>홀세일</v>
      </c>
      <c r="B1108" s="36" t="s">
        <v>1262</v>
      </c>
      <c r="C1108" s="36" t="s">
        <v>1263</v>
      </c>
      <c r="D1108" s="37" t="s">
        <v>123</v>
      </c>
      <c r="E1108" s="36" t="n">
        <v>2026</v>
      </c>
      <c r="F1108" s="37" t="s">
        <v>474</v>
      </c>
      <c r="G1108" s="37" t="s">
        <v>124</v>
      </c>
      <c r="H1108" s="36" t="s">
        <v>188</v>
      </c>
      <c r="I1108" s="36" t="s">
        <v>555</v>
      </c>
      <c r="J1108" s="36" t="s">
        <v>556</v>
      </c>
      <c r="K1108" s="38" t="n">
        <v>50</v>
      </c>
      <c r="L1108" s="38" t="n">
        <v>14950000</v>
      </c>
      <c r="M1108" s="38" t="n">
        <v>5200150</v>
      </c>
      <c r="N1108" s="39" t="n">
        <f aca="false">IF(A1108="제외",0,IF(OR(N(L1108)&lt;=0,N(M1108)&gt;N(L1108)),N(M1108)/요약!$D$27,N(L1108)))</f>
        <v>14950000</v>
      </c>
      <c r="O1108" s="32" t="str">
        <f aca="false">IF(A1108="제외","",IF(OR(N(L1108)&lt;=0,N(M1108)&gt;N(L1108)),"택가보정(판매금액÷공급율)",""))</f>
        <v/>
      </c>
      <c r="P1108" s="0" t="str">
        <f aca="false">IF(A1108="HK","100",IF(A1108="CN","200",IF(A1108="TW","300",IF(ISNUMBER(SEARCH("태국",C1108)),"500",IF(ISNUMBER(SEARCH("말레이",C1108)),"600",IF(ISNUMBER(SEARCH("필리핀",C1108)),"700",IF(ISNUMBER(SEARCH("인도네시아",C1108)),"800",IF(ISNUMBER(SEARCH("크루즈",C1108)),"810",IF(ISNUMBER(SEARCH("동물원",C1108)),"830","")))))))))</f>
        <v>600</v>
      </c>
    </row>
    <row r="1109" customFormat="false" ht="15" hidden="false" customHeight="false" outlineLevel="0" collapsed="false">
      <c r="A1109" s="32" t="str">
        <f aca="false">IF(OR(TRIM(C1109)="",SUBSTITUTE(C1109," ","")="소계"),"제외",IF(ISNUMBER(SEARCH("홍콩",C1109)),"HK",IF(ISNUMBER(SEARCH("상해",C1109)),"CN",IF(ISNUMBER(SEARCH("대만",C1109)),"TW","홀세일"))))</f>
        <v>홀세일</v>
      </c>
      <c r="B1109" s="36" t="s">
        <v>1262</v>
      </c>
      <c r="C1109" s="36" t="s">
        <v>1263</v>
      </c>
      <c r="D1109" s="37" t="s">
        <v>123</v>
      </c>
      <c r="E1109" s="36" t="n">
        <v>2026</v>
      </c>
      <c r="F1109" s="37" t="s">
        <v>474</v>
      </c>
      <c r="G1109" s="37" t="s">
        <v>124</v>
      </c>
      <c r="H1109" s="36" t="s">
        <v>188</v>
      </c>
      <c r="I1109" s="36" t="s">
        <v>557</v>
      </c>
      <c r="J1109" s="36" t="s">
        <v>558</v>
      </c>
      <c r="K1109" s="38" t="n">
        <v>15</v>
      </c>
      <c r="L1109" s="38" t="n">
        <v>4935000</v>
      </c>
      <c r="M1109" s="38" t="n">
        <v>1647720</v>
      </c>
      <c r="N1109" s="39" t="n">
        <f aca="false">IF(A1109="제외",0,IF(OR(N(L1109)&lt;=0,N(M1109)&gt;N(L1109)),N(M1109)/요약!$D$27,N(L1109)))</f>
        <v>4935000</v>
      </c>
      <c r="O1109" s="32" t="str">
        <f aca="false">IF(A1109="제외","",IF(OR(N(L1109)&lt;=0,N(M1109)&gt;N(L1109)),"택가보정(판매금액÷공급율)",""))</f>
        <v/>
      </c>
      <c r="P1109" s="0" t="str">
        <f aca="false">IF(A1109="HK","100",IF(A1109="CN","200",IF(A1109="TW","300",IF(ISNUMBER(SEARCH("태국",C1109)),"500",IF(ISNUMBER(SEARCH("말레이",C1109)),"600",IF(ISNUMBER(SEARCH("필리핀",C1109)),"700",IF(ISNUMBER(SEARCH("인도네시아",C1109)),"800",IF(ISNUMBER(SEARCH("크루즈",C1109)),"810",IF(ISNUMBER(SEARCH("동물원",C1109)),"830","")))))))))</f>
        <v>600</v>
      </c>
    </row>
    <row r="1110" customFormat="false" ht="15" hidden="false" customHeight="false" outlineLevel="0" collapsed="false">
      <c r="A1110" s="32" t="str">
        <f aca="false">IF(OR(TRIM(C1110)="",SUBSTITUTE(C1110," ","")="소계"),"제외",IF(ISNUMBER(SEARCH("홍콩",C1110)),"HK",IF(ISNUMBER(SEARCH("상해",C1110)),"CN",IF(ISNUMBER(SEARCH("대만",C1110)),"TW","홀세일"))))</f>
        <v>홀세일</v>
      </c>
      <c r="B1110" s="36" t="s">
        <v>1262</v>
      </c>
      <c r="C1110" s="36" t="s">
        <v>1263</v>
      </c>
      <c r="D1110" s="37" t="s">
        <v>123</v>
      </c>
      <c r="E1110" s="36" t="n">
        <v>2026</v>
      </c>
      <c r="F1110" s="37" t="s">
        <v>474</v>
      </c>
      <c r="G1110" s="37" t="s">
        <v>124</v>
      </c>
      <c r="H1110" s="36" t="s">
        <v>188</v>
      </c>
      <c r="I1110" s="36" t="s">
        <v>559</v>
      </c>
      <c r="J1110" s="36" t="s">
        <v>560</v>
      </c>
      <c r="K1110" s="38" t="n">
        <v>15</v>
      </c>
      <c r="L1110" s="38" t="n">
        <v>5985000</v>
      </c>
      <c r="M1110" s="38" t="n">
        <v>2034915</v>
      </c>
      <c r="N1110" s="39" t="n">
        <f aca="false">IF(A1110="제외",0,IF(OR(N(L1110)&lt;=0,N(M1110)&gt;N(L1110)),N(M1110)/요약!$D$27,N(L1110)))</f>
        <v>5985000</v>
      </c>
      <c r="O1110" s="32" t="str">
        <f aca="false">IF(A1110="제외","",IF(OR(N(L1110)&lt;=0,N(M1110)&gt;N(L1110)),"택가보정(판매금액÷공급율)",""))</f>
        <v/>
      </c>
      <c r="P1110" s="0" t="str">
        <f aca="false">IF(A1110="HK","100",IF(A1110="CN","200",IF(A1110="TW","300",IF(ISNUMBER(SEARCH("태국",C1110)),"500",IF(ISNUMBER(SEARCH("말레이",C1110)),"600",IF(ISNUMBER(SEARCH("필리핀",C1110)),"700",IF(ISNUMBER(SEARCH("인도네시아",C1110)),"800",IF(ISNUMBER(SEARCH("크루즈",C1110)),"810",IF(ISNUMBER(SEARCH("동물원",C1110)),"830","")))))))))</f>
        <v>600</v>
      </c>
    </row>
    <row r="1111" customFormat="false" ht="15" hidden="false" customHeight="false" outlineLevel="0" collapsed="false">
      <c r="A1111" s="32" t="str">
        <f aca="false">IF(OR(TRIM(C1111)="",SUBSTITUTE(C1111," ","")="소계"),"제외",IF(ISNUMBER(SEARCH("홍콩",C1111)),"HK",IF(ISNUMBER(SEARCH("상해",C1111)),"CN",IF(ISNUMBER(SEARCH("대만",C1111)),"TW","홀세일"))))</f>
        <v>홀세일</v>
      </c>
      <c r="B1111" s="36" t="s">
        <v>1262</v>
      </c>
      <c r="C1111" s="36" t="s">
        <v>1263</v>
      </c>
      <c r="D1111" s="37" t="s">
        <v>123</v>
      </c>
      <c r="E1111" s="36" t="n">
        <v>2026</v>
      </c>
      <c r="F1111" s="37" t="s">
        <v>474</v>
      </c>
      <c r="G1111" s="37" t="s">
        <v>124</v>
      </c>
      <c r="H1111" s="36" t="s">
        <v>188</v>
      </c>
      <c r="I1111" s="36" t="s">
        <v>569</v>
      </c>
      <c r="J1111" s="36" t="s">
        <v>570</v>
      </c>
      <c r="K1111" s="38" t="n">
        <v>20</v>
      </c>
      <c r="L1111" s="38" t="n">
        <v>3780000</v>
      </c>
      <c r="M1111" s="38" t="n">
        <v>1313120</v>
      </c>
      <c r="N1111" s="39" t="n">
        <f aca="false">IF(A1111="제외",0,IF(OR(N(L1111)&lt;=0,N(M1111)&gt;N(L1111)),N(M1111)/요약!$D$27,N(L1111)))</f>
        <v>3780000</v>
      </c>
      <c r="O1111" s="32" t="str">
        <f aca="false">IF(A1111="제외","",IF(OR(N(L1111)&lt;=0,N(M1111)&gt;N(L1111)),"택가보정(판매금액÷공급율)",""))</f>
        <v/>
      </c>
      <c r="P1111" s="0" t="str">
        <f aca="false">IF(A1111="HK","100",IF(A1111="CN","200",IF(A1111="TW","300",IF(ISNUMBER(SEARCH("태국",C1111)),"500",IF(ISNUMBER(SEARCH("말레이",C1111)),"600",IF(ISNUMBER(SEARCH("필리핀",C1111)),"700",IF(ISNUMBER(SEARCH("인도네시아",C1111)),"800",IF(ISNUMBER(SEARCH("크루즈",C1111)),"810",IF(ISNUMBER(SEARCH("동물원",C1111)),"830","")))))))))</f>
        <v>600</v>
      </c>
    </row>
    <row r="1112" customFormat="false" ht="15" hidden="false" customHeight="false" outlineLevel="0" collapsed="false">
      <c r="A1112" s="32" t="str">
        <f aca="false">IF(OR(TRIM(C1112)="",SUBSTITUTE(C1112," ","")="소계"),"제외",IF(ISNUMBER(SEARCH("홍콩",C1112)),"HK",IF(ISNUMBER(SEARCH("상해",C1112)),"CN",IF(ISNUMBER(SEARCH("대만",C1112)),"TW","홀세일"))))</f>
        <v>홀세일</v>
      </c>
      <c r="B1112" s="36" t="s">
        <v>1262</v>
      </c>
      <c r="C1112" s="36" t="s">
        <v>1263</v>
      </c>
      <c r="D1112" s="37" t="s">
        <v>123</v>
      </c>
      <c r="E1112" s="36" t="n">
        <v>2026</v>
      </c>
      <c r="F1112" s="37" t="s">
        <v>474</v>
      </c>
      <c r="G1112" s="37" t="s">
        <v>124</v>
      </c>
      <c r="H1112" s="36" t="s">
        <v>188</v>
      </c>
      <c r="I1112" s="36" t="s">
        <v>571</v>
      </c>
      <c r="J1112" s="36" t="s">
        <v>572</v>
      </c>
      <c r="K1112" s="38" t="n">
        <v>15</v>
      </c>
      <c r="L1112" s="38" t="n">
        <v>3285000</v>
      </c>
      <c r="M1112" s="38" t="n">
        <v>1144035</v>
      </c>
      <c r="N1112" s="39" t="n">
        <f aca="false">IF(A1112="제외",0,IF(OR(N(L1112)&lt;=0,N(M1112)&gt;N(L1112)),N(M1112)/요약!$D$27,N(L1112)))</f>
        <v>3285000</v>
      </c>
      <c r="O1112" s="32" t="str">
        <f aca="false">IF(A1112="제외","",IF(OR(N(L1112)&lt;=0,N(M1112)&gt;N(L1112)),"택가보정(판매금액÷공급율)",""))</f>
        <v/>
      </c>
      <c r="P1112" s="0" t="str">
        <f aca="false">IF(A1112="HK","100",IF(A1112="CN","200",IF(A1112="TW","300",IF(ISNUMBER(SEARCH("태국",C1112)),"500",IF(ISNUMBER(SEARCH("말레이",C1112)),"600",IF(ISNUMBER(SEARCH("필리핀",C1112)),"700",IF(ISNUMBER(SEARCH("인도네시아",C1112)),"800",IF(ISNUMBER(SEARCH("크루즈",C1112)),"810",IF(ISNUMBER(SEARCH("동물원",C1112)),"830","")))))))))</f>
        <v>600</v>
      </c>
    </row>
    <row r="1113" customFormat="false" ht="15" hidden="false" customHeight="false" outlineLevel="0" collapsed="false">
      <c r="A1113" s="32" t="str">
        <f aca="false">IF(OR(TRIM(C1113)="",SUBSTITUTE(C1113," ","")="소계"),"제외",IF(ISNUMBER(SEARCH("홍콩",C1113)),"HK",IF(ISNUMBER(SEARCH("상해",C1113)),"CN",IF(ISNUMBER(SEARCH("대만",C1113)),"TW","홀세일"))))</f>
        <v>홀세일</v>
      </c>
      <c r="B1113" s="36" t="s">
        <v>1262</v>
      </c>
      <c r="C1113" s="36" t="s">
        <v>1263</v>
      </c>
      <c r="D1113" s="37" t="s">
        <v>123</v>
      </c>
      <c r="E1113" s="36" t="n">
        <v>2026</v>
      </c>
      <c r="F1113" s="37" t="s">
        <v>474</v>
      </c>
      <c r="G1113" s="37" t="s">
        <v>124</v>
      </c>
      <c r="H1113" s="36" t="s">
        <v>188</v>
      </c>
      <c r="I1113" s="36" t="s">
        <v>573</v>
      </c>
      <c r="J1113" s="36" t="s">
        <v>574</v>
      </c>
      <c r="K1113" s="38" t="n">
        <v>20</v>
      </c>
      <c r="L1113" s="38" t="n">
        <v>3980000</v>
      </c>
      <c r="M1113" s="38" t="n">
        <v>1383880</v>
      </c>
      <c r="N1113" s="39" t="n">
        <f aca="false">IF(A1113="제외",0,IF(OR(N(L1113)&lt;=0,N(M1113)&gt;N(L1113)),N(M1113)/요약!$D$27,N(L1113)))</f>
        <v>3980000</v>
      </c>
      <c r="O1113" s="32" t="str">
        <f aca="false">IF(A1113="제외","",IF(OR(N(L1113)&lt;=0,N(M1113)&gt;N(L1113)),"택가보정(판매금액÷공급율)",""))</f>
        <v/>
      </c>
      <c r="P1113" s="0" t="str">
        <f aca="false">IF(A1113="HK","100",IF(A1113="CN","200",IF(A1113="TW","300",IF(ISNUMBER(SEARCH("태국",C1113)),"500",IF(ISNUMBER(SEARCH("말레이",C1113)),"600",IF(ISNUMBER(SEARCH("필리핀",C1113)),"700",IF(ISNUMBER(SEARCH("인도네시아",C1113)),"800",IF(ISNUMBER(SEARCH("크루즈",C1113)),"810",IF(ISNUMBER(SEARCH("동물원",C1113)),"830","")))))))))</f>
        <v>600</v>
      </c>
    </row>
    <row r="1114" customFormat="false" ht="15" hidden="false" customHeight="false" outlineLevel="0" collapsed="false">
      <c r="A1114" s="32" t="str">
        <f aca="false">IF(OR(TRIM(C1114)="",SUBSTITUTE(C1114," ","")="소계"),"제외",IF(ISNUMBER(SEARCH("홍콩",C1114)),"HK",IF(ISNUMBER(SEARCH("상해",C1114)),"CN",IF(ISNUMBER(SEARCH("대만",C1114)),"TW","홀세일"))))</f>
        <v>홀세일</v>
      </c>
      <c r="B1114" s="36" t="s">
        <v>1262</v>
      </c>
      <c r="C1114" s="36" t="s">
        <v>1263</v>
      </c>
      <c r="D1114" s="37" t="s">
        <v>123</v>
      </c>
      <c r="E1114" s="36" t="n">
        <v>2026</v>
      </c>
      <c r="F1114" s="37" t="s">
        <v>474</v>
      </c>
      <c r="G1114" s="37" t="s">
        <v>124</v>
      </c>
      <c r="H1114" s="36" t="s">
        <v>188</v>
      </c>
      <c r="I1114" s="36" t="s">
        <v>575</v>
      </c>
      <c r="J1114" s="36" t="s">
        <v>576</v>
      </c>
      <c r="K1114" s="38" t="n">
        <v>20</v>
      </c>
      <c r="L1114" s="38" t="n">
        <v>2980000</v>
      </c>
      <c r="M1114" s="38" t="n">
        <v>1035780</v>
      </c>
      <c r="N1114" s="39" t="n">
        <f aca="false">IF(A1114="제외",0,IF(OR(N(L1114)&lt;=0,N(M1114)&gt;N(L1114)),N(M1114)/요약!$D$27,N(L1114)))</f>
        <v>2980000</v>
      </c>
      <c r="O1114" s="32" t="str">
        <f aca="false">IF(A1114="제외","",IF(OR(N(L1114)&lt;=0,N(M1114)&gt;N(L1114)),"택가보정(판매금액÷공급율)",""))</f>
        <v/>
      </c>
      <c r="P1114" s="0" t="str">
        <f aca="false">IF(A1114="HK","100",IF(A1114="CN","200",IF(A1114="TW","300",IF(ISNUMBER(SEARCH("태국",C1114)),"500",IF(ISNUMBER(SEARCH("말레이",C1114)),"600",IF(ISNUMBER(SEARCH("필리핀",C1114)),"700",IF(ISNUMBER(SEARCH("인도네시아",C1114)),"800",IF(ISNUMBER(SEARCH("크루즈",C1114)),"810",IF(ISNUMBER(SEARCH("동물원",C1114)),"830","")))))))))</f>
        <v>600</v>
      </c>
    </row>
    <row r="1115" customFormat="false" ht="15" hidden="false" customHeight="false" outlineLevel="0" collapsed="false">
      <c r="A1115" s="32" t="str">
        <f aca="false">IF(OR(TRIM(C1115)="",SUBSTITUTE(C1115," ","")="소계"),"제외",IF(ISNUMBER(SEARCH("홍콩",C1115)),"HK",IF(ISNUMBER(SEARCH("상해",C1115)),"CN",IF(ISNUMBER(SEARCH("대만",C1115)),"TW","홀세일"))))</f>
        <v>홀세일</v>
      </c>
      <c r="B1115" s="36" t="s">
        <v>1262</v>
      </c>
      <c r="C1115" s="36" t="s">
        <v>1263</v>
      </c>
      <c r="D1115" s="37" t="s">
        <v>123</v>
      </c>
      <c r="E1115" s="36" t="n">
        <v>2026</v>
      </c>
      <c r="F1115" s="37" t="s">
        <v>474</v>
      </c>
      <c r="G1115" s="37" t="s">
        <v>124</v>
      </c>
      <c r="H1115" s="36" t="s">
        <v>188</v>
      </c>
      <c r="I1115" s="36" t="s">
        <v>946</v>
      </c>
      <c r="J1115" s="36" t="s">
        <v>947</v>
      </c>
      <c r="K1115" s="38" t="n">
        <v>20</v>
      </c>
      <c r="L1115" s="38" t="n">
        <v>3180000</v>
      </c>
      <c r="M1115" s="38" t="n">
        <v>1013140</v>
      </c>
      <c r="N1115" s="39" t="n">
        <f aca="false">IF(A1115="제외",0,IF(OR(N(L1115)&lt;=0,N(M1115)&gt;N(L1115)),N(M1115)/요약!$D$27,N(L1115)))</f>
        <v>3180000</v>
      </c>
      <c r="O1115" s="32" t="str">
        <f aca="false">IF(A1115="제외","",IF(OR(N(L1115)&lt;=0,N(M1115)&gt;N(L1115)),"택가보정(판매금액÷공급율)",""))</f>
        <v/>
      </c>
      <c r="P1115" s="0" t="str">
        <f aca="false">IF(A1115="HK","100",IF(A1115="CN","200",IF(A1115="TW","300",IF(ISNUMBER(SEARCH("태국",C1115)),"500",IF(ISNUMBER(SEARCH("말레이",C1115)),"600",IF(ISNUMBER(SEARCH("필리핀",C1115)),"700",IF(ISNUMBER(SEARCH("인도네시아",C1115)),"800",IF(ISNUMBER(SEARCH("크루즈",C1115)),"810",IF(ISNUMBER(SEARCH("동물원",C1115)),"830","")))))))))</f>
        <v>600</v>
      </c>
    </row>
    <row r="1116" customFormat="false" ht="15" hidden="false" customHeight="false" outlineLevel="0" collapsed="false">
      <c r="A1116" s="32" t="str">
        <f aca="false">IF(OR(TRIM(C1116)="",SUBSTITUTE(C1116," ","")="소계"),"제외",IF(ISNUMBER(SEARCH("홍콩",C1116)),"HK",IF(ISNUMBER(SEARCH("상해",C1116)),"CN",IF(ISNUMBER(SEARCH("대만",C1116)),"TW","홀세일"))))</f>
        <v>홀세일</v>
      </c>
      <c r="B1116" s="36" t="s">
        <v>1262</v>
      </c>
      <c r="C1116" s="36" t="s">
        <v>1263</v>
      </c>
      <c r="D1116" s="37" t="s">
        <v>123</v>
      </c>
      <c r="E1116" s="36" t="n">
        <v>2026</v>
      </c>
      <c r="F1116" s="37" t="s">
        <v>474</v>
      </c>
      <c r="G1116" s="37" t="s">
        <v>124</v>
      </c>
      <c r="H1116" s="36" t="s">
        <v>188</v>
      </c>
      <c r="I1116" s="36" t="s">
        <v>1346</v>
      </c>
      <c r="J1116" s="36" t="s">
        <v>1347</v>
      </c>
      <c r="K1116" s="38" t="n">
        <v>40</v>
      </c>
      <c r="L1116" s="38" t="n">
        <v>5960000</v>
      </c>
      <c r="M1116" s="38" t="n">
        <v>1942600</v>
      </c>
      <c r="N1116" s="39" t="n">
        <f aca="false">IF(A1116="제외",0,IF(OR(N(L1116)&lt;=0,N(M1116)&gt;N(L1116)),N(M1116)/요약!$D$27,N(L1116)))</f>
        <v>5960000</v>
      </c>
      <c r="O1116" s="32" t="str">
        <f aca="false">IF(A1116="제외","",IF(OR(N(L1116)&lt;=0,N(M1116)&gt;N(L1116)),"택가보정(판매금액÷공급율)",""))</f>
        <v/>
      </c>
      <c r="P1116" s="0" t="str">
        <f aca="false">IF(A1116="HK","100",IF(A1116="CN","200",IF(A1116="TW","300",IF(ISNUMBER(SEARCH("태국",C1116)),"500",IF(ISNUMBER(SEARCH("말레이",C1116)),"600",IF(ISNUMBER(SEARCH("필리핀",C1116)),"700",IF(ISNUMBER(SEARCH("인도네시아",C1116)),"800",IF(ISNUMBER(SEARCH("크루즈",C1116)),"810",IF(ISNUMBER(SEARCH("동물원",C1116)),"830","")))))))))</f>
        <v>600</v>
      </c>
    </row>
    <row r="1117" customFormat="false" ht="15" hidden="false" customHeight="false" outlineLevel="0" collapsed="false">
      <c r="A1117" s="32" t="str">
        <f aca="false">IF(OR(TRIM(C1117)="",SUBSTITUTE(C1117," ","")="소계"),"제외",IF(ISNUMBER(SEARCH("홍콩",C1117)),"HK",IF(ISNUMBER(SEARCH("상해",C1117)),"CN",IF(ISNUMBER(SEARCH("대만",C1117)),"TW","홀세일"))))</f>
        <v>홀세일</v>
      </c>
      <c r="B1117" s="36" t="s">
        <v>1262</v>
      </c>
      <c r="C1117" s="36" t="s">
        <v>1263</v>
      </c>
      <c r="D1117" s="37" t="s">
        <v>123</v>
      </c>
      <c r="E1117" s="36" t="n">
        <v>2026</v>
      </c>
      <c r="F1117" s="37" t="s">
        <v>474</v>
      </c>
      <c r="G1117" s="37" t="s">
        <v>124</v>
      </c>
      <c r="H1117" s="36" t="s">
        <v>188</v>
      </c>
      <c r="I1117" s="36" t="s">
        <v>1348</v>
      </c>
      <c r="J1117" s="36" t="s">
        <v>1349</v>
      </c>
      <c r="K1117" s="38" t="n">
        <v>30</v>
      </c>
      <c r="L1117" s="38" t="n">
        <v>2970000</v>
      </c>
      <c r="M1117" s="38" t="n">
        <v>1017390</v>
      </c>
      <c r="N1117" s="39" t="n">
        <f aca="false">IF(A1117="제외",0,IF(OR(N(L1117)&lt;=0,N(M1117)&gt;N(L1117)),N(M1117)/요약!$D$27,N(L1117)))</f>
        <v>2970000</v>
      </c>
      <c r="O1117" s="32" t="str">
        <f aca="false">IF(A1117="제외","",IF(OR(N(L1117)&lt;=0,N(M1117)&gt;N(L1117)),"택가보정(판매금액÷공급율)",""))</f>
        <v/>
      </c>
      <c r="P1117" s="0" t="str">
        <f aca="false">IF(A1117="HK","100",IF(A1117="CN","200",IF(A1117="TW","300",IF(ISNUMBER(SEARCH("태국",C1117)),"500",IF(ISNUMBER(SEARCH("말레이",C1117)),"600",IF(ISNUMBER(SEARCH("필리핀",C1117)),"700",IF(ISNUMBER(SEARCH("인도네시아",C1117)),"800",IF(ISNUMBER(SEARCH("크루즈",C1117)),"810",IF(ISNUMBER(SEARCH("동물원",C1117)),"830","")))))))))</f>
        <v>600</v>
      </c>
    </row>
    <row r="1118" customFormat="false" ht="15" hidden="false" customHeight="false" outlineLevel="0" collapsed="false">
      <c r="A1118" s="32" t="str">
        <f aca="false">IF(OR(TRIM(C1118)="",SUBSTITUTE(C1118," ","")="소계"),"제외",IF(ISNUMBER(SEARCH("홍콩",C1118)),"HK",IF(ISNUMBER(SEARCH("상해",C1118)),"CN",IF(ISNUMBER(SEARCH("대만",C1118)),"TW","홀세일"))))</f>
        <v>홀세일</v>
      </c>
      <c r="B1118" s="36" t="s">
        <v>1262</v>
      </c>
      <c r="C1118" s="36" t="s">
        <v>1263</v>
      </c>
      <c r="D1118" s="37" t="s">
        <v>123</v>
      </c>
      <c r="E1118" s="36" t="n">
        <v>2026</v>
      </c>
      <c r="F1118" s="36" t="s">
        <v>110</v>
      </c>
      <c r="G1118" s="37" t="s">
        <v>102</v>
      </c>
      <c r="H1118" s="36" t="s">
        <v>131</v>
      </c>
      <c r="I1118" s="36" t="s">
        <v>1350</v>
      </c>
      <c r="J1118" s="37" t="s">
        <v>1351</v>
      </c>
      <c r="K1118" s="38" t="n">
        <v>120</v>
      </c>
      <c r="L1118" s="38" t="n">
        <v>2280000</v>
      </c>
      <c r="M1118" s="38" t="n">
        <v>849540</v>
      </c>
      <c r="N1118" s="39" t="n">
        <f aca="false">IF(A1118="제외",0,IF(OR(N(L1118)&lt;=0,N(M1118)&gt;N(L1118)),N(M1118)/요약!$D$27,N(L1118)))</f>
        <v>2280000</v>
      </c>
      <c r="O1118" s="32" t="str">
        <f aca="false">IF(A1118="제외","",IF(OR(N(L1118)&lt;=0,N(M1118)&gt;N(L1118)),"택가보정(판매금액÷공급율)",""))</f>
        <v/>
      </c>
      <c r="P1118" s="0" t="str">
        <f aca="false">IF(A1118="HK","100",IF(A1118="CN","200",IF(A1118="TW","300",IF(ISNUMBER(SEARCH("태국",C1118)),"500",IF(ISNUMBER(SEARCH("말레이",C1118)),"600",IF(ISNUMBER(SEARCH("필리핀",C1118)),"700",IF(ISNUMBER(SEARCH("인도네시아",C1118)),"800",IF(ISNUMBER(SEARCH("크루즈",C1118)),"810",IF(ISNUMBER(SEARCH("동물원",C1118)),"830","")))))))))</f>
        <v>600</v>
      </c>
    </row>
    <row r="1119" customFormat="false" ht="15" hidden="false" customHeight="false" outlineLevel="0" collapsed="false">
      <c r="A1119" s="32" t="str">
        <f aca="false">IF(OR(TRIM(C1119)="",SUBSTITUTE(C1119," ","")="소계"),"제외",IF(ISNUMBER(SEARCH("홍콩",C1119)),"HK",IF(ISNUMBER(SEARCH("상해",C1119)),"CN",IF(ISNUMBER(SEARCH("대만",C1119)),"TW","홀세일"))))</f>
        <v>홀세일</v>
      </c>
      <c r="B1119" s="36" t="s">
        <v>1262</v>
      </c>
      <c r="C1119" s="36" t="s">
        <v>1263</v>
      </c>
      <c r="D1119" s="37" t="s">
        <v>123</v>
      </c>
      <c r="E1119" s="36" t="n">
        <v>2026</v>
      </c>
      <c r="F1119" s="36" t="s">
        <v>110</v>
      </c>
      <c r="G1119" s="37" t="s">
        <v>102</v>
      </c>
      <c r="H1119" s="36" t="s">
        <v>131</v>
      </c>
      <c r="I1119" s="36" t="s">
        <v>581</v>
      </c>
      <c r="J1119" s="37" t="s">
        <v>582</v>
      </c>
      <c r="K1119" s="38" t="n">
        <v>170</v>
      </c>
      <c r="L1119" s="38" t="n">
        <v>4930000</v>
      </c>
      <c r="M1119" s="38" t="n">
        <v>1801020</v>
      </c>
      <c r="N1119" s="39" t="n">
        <f aca="false">IF(A1119="제외",0,IF(OR(N(L1119)&lt;=0,N(M1119)&gt;N(L1119)),N(M1119)/요약!$D$27,N(L1119)))</f>
        <v>4930000</v>
      </c>
      <c r="O1119" s="32" t="str">
        <f aca="false">IF(A1119="제외","",IF(OR(N(L1119)&lt;=0,N(M1119)&gt;N(L1119)),"택가보정(판매금액÷공급율)",""))</f>
        <v/>
      </c>
      <c r="P1119" s="0" t="str">
        <f aca="false">IF(A1119="HK","100",IF(A1119="CN","200",IF(A1119="TW","300",IF(ISNUMBER(SEARCH("태국",C1119)),"500",IF(ISNUMBER(SEARCH("말레이",C1119)),"600",IF(ISNUMBER(SEARCH("필리핀",C1119)),"700",IF(ISNUMBER(SEARCH("인도네시아",C1119)),"800",IF(ISNUMBER(SEARCH("크루즈",C1119)),"810",IF(ISNUMBER(SEARCH("동물원",C1119)),"830","")))))))))</f>
        <v>600</v>
      </c>
    </row>
    <row r="1120" customFormat="false" ht="15" hidden="false" customHeight="false" outlineLevel="0" collapsed="false">
      <c r="A1120" s="32" t="str">
        <f aca="false">IF(OR(TRIM(C1120)="",SUBSTITUTE(C1120," ","")="소계"),"제외",IF(ISNUMBER(SEARCH("홍콩",C1120)),"HK",IF(ISNUMBER(SEARCH("상해",C1120)),"CN",IF(ISNUMBER(SEARCH("대만",C1120)),"TW","홀세일"))))</f>
        <v>홀세일</v>
      </c>
      <c r="B1120" s="36" t="s">
        <v>1262</v>
      </c>
      <c r="C1120" s="36" t="s">
        <v>1263</v>
      </c>
      <c r="D1120" s="37" t="s">
        <v>123</v>
      </c>
      <c r="E1120" s="36" t="n">
        <v>2026</v>
      </c>
      <c r="F1120" s="36" t="s">
        <v>110</v>
      </c>
      <c r="G1120" s="37" t="s">
        <v>102</v>
      </c>
      <c r="H1120" s="36" t="s">
        <v>131</v>
      </c>
      <c r="I1120" s="36" t="s">
        <v>1101</v>
      </c>
      <c r="J1120" s="36" t="s">
        <v>1102</v>
      </c>
      <c r="K1120" s="38" t="n">
        <v>30</v>
      </c>
      <c r="L1120" s="38" t="n">
        <v>2970000</v>
      </c>
      <c r="M1120" s="38" t="n">
        <v>1164630</v>
      </c>
      <c r="N1120" s="39" t="n">
        <f aca="false">IF(A1120="제외",0,IF(OR(N(L1120)&lt;=0,N(M1120)&gt;N(L1120)),N(M1120)/요약!$D$27,N(L1120)))</f>
        <v>2970000</v>
      </c>
      <c r="O1120" s="32" t="str">
        <f aca="false">IF(A1120="제외","",IF(OR(N(L1120)&lt;=0,N(M1120)&gt;N(L1120)),"택가보정(판매금액÷공급율)",""))</f>
        <v/>
      </c>
      <c r="P1120" s="0" t="str">
        <f aca="false">IF(A1120="HK","100",IF(A1120="CN","200",IF(A1120="TW","300",IF(ISNUMBER(SEARCH("태국",C1120)),"500",IF(ISNUMBER(SEARCH("말레이",C1120)),"600",IF(ISNUMBER(SEARCH("필리핀",C1120)),"700",IF(ISNUMBER(SEARCH("인도네시아",C1120)),"800",IF(ISNUMBER(SEARCH("크루즈",C1120)),"810",IF(ISNUMBER(SEARCH("동물원",C1120)),"830","")))))))))</f>
        <v>600</v>
      </c>
    </row>
    <row r="1121" customFormat="false" ht="15" hidden="false" customHeight="false" outlineLevel="0" collapsed="false">
      <c r="A1121" s="32" t="str">
        <f aca="false">IF(OR(TRIM(C1121)="",SUBSTITUTE(C1121," ","")="소계"),"제외",IF(ISNUMBER(SEARCH("홍콩",C1121)),"HK",IF(ISNUMBER(SEARCH("상해",C1121)),"CN",IF(ISNUMBER(SEARCH("대만",C1121)),"TW","홀세일"))))</f>
        <v>홀세일</v>
      </c>
      <c r="B1121" s="36" t="s">
        <v>1262</v>
      </c>
      <c r="C1121" s="36" t="s">
        <v>1263</v>
      </c>
      <c r="D1121" s="37" t="s">
        <v>123</v>
      </c>
      <c r="E1121" s="36" t="n">
        <v>2026</v>
      </c>
      <c r="F1121" s="36" t="s">
        <v>110</v>
      </c>
      <c r="G1121" s="37" t="s">
        <v>102</v>
      </c>
      <c r="H1121" s="36" t="s">
        <v>131</v>
      </c>
      <c r="I1121" s="36" t="s">
        <v>1352</v>
      </c>
      <c r="J1121" s="37" t="s">
        <v>1353</v>
      </c>
      <c r="K1121" s="38" t="n">
        <v>5</v>
      </c>
      <c r="L1121" s="38" t="n">
        <v>1745000</v>
      </c>
      <c r="M1121" s="38" t="n">
        <v>684170</v>
      </c>
      <c r="N1121" s="39" t="n">
        <f aca="false">IF(A1121="제외",0,IF(OR(N(L1121)&lt;=0,N(M1121)&gt;N(L1121)),N(M1121)/요약!$D$27,N(L1121)))</f>
        <v>1745000</v>
      </c>
      <c r="O1121" s="32" t="str">
        <f aca="false">IF(A1121="제외","",IF(OR(N(L1121)&lt;=0,N(M1121)&gt;N(L1121)),"택가보정(판매금액÷공급율)",""))</f>
        <v/>
      </c>
      <c r="P1121" s="0" t="str">
        <f aca="false">IF(A1121="HK","100",IF(A1121="CN","200",IF(A1121="TW","300",IF(ISNUMBER(SEARCH("태국",C1121)),"500",IF(ISNUMBER(SEARCH("말레이",C1121)),"600",IF(ISNUMBER(SEARCH("필리핀",C1121)),"700",IF(ISNUMBER(SEARCH("인도네시아",C1121)),"800",IF(ISNUMBER(SEARCH("크루즈",C1121)),"810",IF(ISNUMBER(SEARCH("동물원",C1121)),"830","")))))))))</f>
        <v>600</v>
      </c>
    </row>
    <row r="1122" customFormat="false" ht="15" hidden="false" customHeight="false" outlineLevel="0" collapsed="false">
      <c r="A1122" s="32" t="str">
        <f aca="false">IF(OR(TRIM(C1122)="",SUBSTITUTE(C1122," ","")="소계"),"제외",IF(ISNUMBER(SEARCH("홍콩",C1122)),"HK",IF(ISNUMBER(SEARCH("상해",C1122)),"CN",IF(ISNUMBER(SEARCH("대만",C1122)),"TW","홀세일"))))</f>
        <v>홀세일</v>
      </c>
      <c r="B1122" s="36" t="s">
        <v>1262</v>
      </c>
      <c r="C1122" s="36" t="s">
        <v>1263</v>
      </c>
      <c r="D1122" s="37" t="s">
        <v>123</v>
      </c>
      <c r="E1122" s="36" t="n">
        <v>2026</v>
      </c>
      <c r="F1122" s="36" t="s">
        <v>110</v>
      </c>
      <c r="G1122" s="37" t="s">
        <v>102</v>
      </c>
      <c r="H1122" s="36" t="s">
        <v>125</v>
      </c>
      <c r="I1122" s="36" t="s">
        <v>587</v>
      </c>
      <c r="J1122" s="37" t="s">
        <v>588</v>
      </c>
      <c r="K1122" s="38" t="n">
        <v>10</v>
      </c>
      <c r="L1122" s="38" t="n">
        <v>1990000</v>
      </c>
      <c r="M1122" s="38" t="n">
        <v>777470</v>
      </c>
      <c r="N1122" s="39" t="n">
        <f aca="false">IF(A1122="제외",0,IF(OR(N(L1122)&lt;=0,N(M1122)&gt;N(L1122)),N(M1122)/요약!$D$27,N(L1122)))</f>
        <v>1990000</v>
      </c>
      <c r="O1122" s="32" t="str">
        <f aca="false">IF(A1122="제외","",IF(OR(N(L1122)&lt;=0,N(M1122)&gt;N(L1122)),"택가보정(판매금액÷공급율)",""))</f>
        <v/>
      </c>
      <c r="P1122" s="0" t="str">
        <f aca="false">IF(A1122="HK","100",IF(A1122="CN","200",IF(A1122="TW","300",IF(ISNUMBER(SEARCH("태국",C1122)),"500",IF(ISNUMBER(SEARCH("말레이",C1122)),"600",IF(ISNUMBER(SEARCH("필리핀",C1122)),"700",IF(ISNUMBER(SEARCH("인도네시아",C1122)),"800",IF(ISNUMBER(SEARCH("크루즈",C1122)),"810",IF(ISNUMBER(SEARCH("동물원",C1122)),"830","")))))))))</f>
        <v>600</v>
      </c>
    </row>
    <row r="1123" customFormat="false" ht="15" hidden="false" customHeight="false" outlineLevel="0" collapsed="false">
      <c r="A1123" s="32" t="str">
        <f aca="false">IF(OR(TRIM(C1123)="",SUBSTITUTE(C1123," ","")="소계"),"제외",IF(ISNUMBER(SEARCH("홍콩",C1123)),"HK",IF(ISNUMBER(SEARCH("상해",C1123)),"CN",IF(ISNUMBER(SEARCH("대만",C1123)),"TW","홀세일"))))</f>
        <v>홀세일</v>
      </c>
      <c r="B1123" s="36" t="s">
        <v>1262</v>
      </c>
      <c r="C1123" s="36" t="s">
        <v>1263</v>
      </c>
      <c r="D1123" s="37" t="s">
        <v>123</v>
      </c>
      <c r="E1123" s="36" t="n">
        <v>2026</v>
      </c>
      <c r="F1123" s="36" t="s">
        <v>110</v>
      </c>
      <c r="G1123" s="37" t="s">
        <v>102</v>
      </c>
      <c r="H1123" s="36" t="s">
        <v>125</v>
      </c>
      <c r="I1123" s="36" t="s">
        <v>1354</v>
      </c>
      <c r="J1123" s="36" t="s">
        <v>1355</v>
      </c>
      <c r="K1123" s="38" t="n">
        <v>10</v>
      </c>
      <c r="L1123" s="38" t="n">
        <v>1490000</v>
      </c>
      <c r="M1123" s="38" t="n">
        <v>582000</v>
      </c>
      <c r="N1123" s="39" t="n">
        <f aca="false">IF(A1123="제외",0,IF(OR(N(L1123)&lt;=0,N(M1123)&gt;N(L1123)),N(M1123)/요약!$D$27,N(L1123)))</f>
        <v>1490000</v>
      </c>
      <c r="O1123" s="32" t="str">
        <f aca="false">IF(A1123="제외","",IF(OR(N(L1123)&lt;=0,N(M1123)&gt;N(L1123)),"택가보정(판매금액÷공급율)",""))</f>
        <v/>
      </c>
      <c r="P1123" s="0" t="str">
        <f aca="false">IF(A1123="HK","100",IF(A1123="CN","200",IF(A1123="TW","300",IF(ISNUMBER(SEARCH("태국",C1123)),"500",IF(ISNUMBER(SEARCH("말레이",C1123)),"600",IF(ISNUMBER(SEARCH("필리핀",C1123)),"700",IF(ISNUMBER(SEARCH("인도네시아",C1123)),"800",IF(ISNUMBER(SEARCH("크루즈",C1123)),"810",IF(ISNUMBER(SEARCH("동물원",C1123)),"830","")))))))))</f>
        <v>600</v>
      </c>
    </row>
    <row r="1124" customFormat="false" ht="15" hidden="false" customHeight="false" outlineLevel="0" collapsed="false">
      <c r="A1124" s="32" t="str">
        <f aca="false">IF(OR(TRIM(C1124)="",SUBSTITUTE(C1124," ","")="소계"),"제외",IF(ISNUMBER(SEARCH("홍콩",C1124)),"HK",IF(ISNUMBER(SEARCH("상해",C1124)),"CN",IF(ISNUMBER(SEARCH("대만",C1124)),"TW","홀세일"))))</f>
        <v>홀세일</v>
      </c>
      <c r="B1124" s="36" t="s">
        <v>1262</v>
      </c>
      <c r="C1124" s="36" t="s">
        <v>1263</v>
      </c>
      <c r="D1124" s="37" t="s">
        <v>123</v>
      </c>
      <c r="E1124" s="36" t="n">
        <v>2026</v>
      </c>
      <c r="F1124" s="36" t="s">
        <v>110</v>
      </c>
      <c r="G1124" s="37" t="s">
        <v>102</v>
      </c>
      <c r="H1124" s="36" t="s">
        <v>131</v>
      </c>
      <c r="I1124" s="36" t="s">
        <v>1105</v>
      </c>
      <c r="J1124" s="37" t="s">
        <v>1106</v>
      </c>
      <c r="K1124" s="38" t="n">
        <v>35</v>
      </c>
      <c r="L1124" s="38" t="n">
        <v>3815000</v>
      </c>
      <c r="M1124" s="38" t="n">
        <v>1491735</v>
      </c>
      <c r="N1124" s="39" t="n">
        <f aca="false">IF(A1124="제외",0,IF(OR(N(L1124)&lt;=0,N(M1124)&gt;N(L1124)),N(M1124)/요약!$D$27,N(L1124)))</f>
        <v>3815000</v>
      </c>
      <c r="O1124" s="32" t="str">
        <f aca="false">IF(A1124="제외","",IF(OR(N(L1124)&lt;=0,N(M1124)&gt;N(L1124)),"택가보정(판매금액÷공급율)",""))</f>
        <v/>
      </c>
      <c r="P1124" s="0" t="str">
        <f aca="false">IF(A1124="HK","100",IF(A1124="CN","200",IF(A1124="TW","300",IF(ISNUMBER(SEARCH("태국",C1124)),"500",IF(ISNUMBER(SEARCH("말레이",C1124)),"600",IF(ISNUMBER(SEARCH("필리핀",C1124)),"700",IF(ISNUMBER(SEARCH("인도네시아",C1124)),"800",IF(ISNUMBER(SEARCH("크루즈",C1124)),"810",IF(ISNUMBER(SEARCH("동물원",C1124)),"830","")))))))))</f>
        <v>600</v>
      </c>
    </row>
    <row r="1125" customFormat="false" ht="15" hidden="false" customHeight="false" outlineLevel="0" collapsed="false">
      <c r="A1125" s="32" t="str">
        <f aca="false">IF(OR(TRIM(C1125)="",SUBSTITUTE(C1125," ","")="소계"),"제외",IF(ISNUMBER(SEARCH("홍콩",C1125)),"HK",IF(ISNUMBER(SEARCH("상해",C1125)),"CN",IF(ISNUMBER(SEARCH("대만",C1125)),"TW","홀세일"))))</f>
        <v>홀세일</v>
      </c>
      <c r="B1125" s="36" t="s">
        <v>1262</v>
      </c>
      <c r="C1125" s="36" t="s">
        <v>1263</v>
      </c>
      <c r="D1125" s="37" t="s">
        <v>123</v>
      </c>
      <c r="E1125" s="36" t="n">
        <v>2026</v>
      </c>
      <c r="F1125" s="36" t="s">
        <v>110</v>
      </c>
      <c r="G1125" s="37" t="s">
        <v>102</v>
      </c>
      <c r="H1125" s="36" t="s">
        <v>131</v>
      </c>
      <c r="I1125" s="36" t="s">
        <v>593</v>
      </c>
      <c r="J1125" s="37" t="s">
        <v>594</v>
      </c>
      <c r="K1125" s="38" t="n">
        <v>40</v>
      </c>
      <c r="L1125" s="38" t="n">
        <v>4760000</v>
      </c>
      <c r="M1125" s="38" t="n">
        <v>1857720</v>
      </c>
      <c r="N1125" s="39" t="n">
        <f aca="false">IF(A1125="제외",0,IF(OR(N(L1125)&lt;=0,N(M1125)&gt;N(L1125)),N(M1125)/요약!$D$27,N(L1125)))</f>
        <v>4760000</v>
      </c>
      <c r="O1125" s="32" t="str">
        <f aca="false">IF(A1125="제외","",IF(OR(N(L1125)&lt;=0,N(M1125)&gt;N(L1125)),"택가보정(판매금액÷공급율)",""))</f>
        <v/>
      </c>
      <c r="P1125" s="0" t="str">
        <f aca="false">IF(A1125="HK","100",IF(A1125="CN","200",IF(A1125="TW","300",IF(ISNUMBER(SEARCH("태국",C1125)),"500",IF(ISNUMBER(SEARCH("말레이",C1125)),"600",IF(ISNUMBER(SEARCH("필리핀",C1125)),"700",IF(ISNUMBER(SEARCH("인도네시아",C1125)),"800",IF(ISNUMBER(SEARCH("크루즈",C1125)),"810",IF(ISNUMBER(SEARCH("동물원",C1125)),"830","")))))))))</f>
        <v>600</v>
      </c>
    </row>
    <row r="1126" customFormat="false" ht="15" hidden="false" customHeight="false" outlineLevel="0" collapsed="false">
      <c r="A1126" s="32" t="str">
        <f aca="false">IF(OR(TRIM(C1126)="",SUBSTITUTE(C1126," ","")="소계"),"제외",IF(ISNUMBER(SEARCH("홍콩",C1126)),"HK",IF(ISNUMBER(SEARCH("상해",C1126)),"CN",IF(ISNUMBER(SEARCH("대만",C1126)),"TW","홀세일"))))</f>
        <v>홀세일</v>
      </c>
      <c r="B1126" s="36" t="s">
        <v>1262</v>
      </c>
      <c r="C1126" s="36" t="s">
        <v>1263</v>
      </c>
      <c r="D1126" s="37" t="s">
        <v>123</v>
      </c>
      <c r="E1126" s="36" t="n">
        <v>2026</v>
      </c>
      <c r="F1126" s="36" t="s">
        <v>110</v>
      </c>
      <c r="G1126" s="37" t="s">
        <v>102</v>
      </c>
      <c r="H1126" s="36" t="s">
        <v>131</v>
      </c>
      <c r="I1126" s="36" t="s">
        <v>595</v>
      </c>
      <c r="J1126" s="37" t="s">
        <v>596</v>
      </c>
      <c r="K1126" s="38" t="n">
        <v>35</v>
      </c>
      <c r="L1126" s="38" t="n">
        <v>2065000</v>
      </c>
      <c r="M1126" s="38" t="n">
        <v>807590</v>
      </c>
      <c r="N1126" s="39" t="n">
        <f aca="false">IF(A1126="제외",0,IF(OR(N(L1126)&lt;=0,N(M1126)&gt;N(L1126)),N(M1126)/요약!$D$27,N(L1126)))</f>
        <v>2065000</v>
      </c>
      <c r="O1126" s="32" t="str">
        <f aca="false">IF(A1126="제외","",IF(OR(N(L1126)&lt;=0,N(M1126)&gt;N(L1126)),"택가보정(판매금액÷공급율)",""))</f>
        <v/>
      </c>
      <c r="P1126" s="0" t="str">
        <f aca="false">IF(A1126="HK","100",IF(A1126="CN","200",IF(A1126="TW","300",IF(ISNUMBER(SEARCH("태국",C1126)),"500",IF(ISNUMBER(SEARCH("말레이",C1126)),"600",IF(ISNUMBER(SEARCH("필리핀",C1126)),"700",IF(ISNUMBER(SEARCH("인도네시아",C1126)),"800",IF(ISNUMBER(SEARCH("크루즈",C1126)),"810",IF(ISNUMBER(SEARCH("동물원",C1126)),"830","")))))))))</f>
        <v>600</v>
      </c>
    </row>
    <row r="1127" customFormat="false" ht="15" hidden="false" customHeight="false" outlineLevel="0" collapsed="false">
      <c r="A1127" s="32" t="str">
        <f aca="false">IF(OR(TRIM(C1127)="",SUBSTITUTE(C1127," ","")="소계"),"제외",IF(ISNUMBER(SEARCH("홍콩",C1127)),"HK",IF(ISNUMBER(SEARCH("상해",C1127)),"CN",IF(ISNUMBER(SEARCH("대만",C1127)),"TW","홀세일"))))</f>
        <v>홀세일</v>
      </c>
      <c r="B1127" s="36" t="s">
        <v>1262</v>
      </c>
      <c r="C1127" s="36" t="s">
        <v>1263</v>
      </c>
      <c r="D1127" s="37" t="s">
        <v>123</v>
      </c>
      <c r="E1127" s="36" t="n">
        <v>2026</v>
      </c>
      <c r="F1127" s="36" t="s">
        <v>110</v>
      </c>
      <c r="G1127" s="37" t="s">
        <v>102</v>
      </c>
      <c r="H1127" s="36" t="s">
        <v>131</v>
      </c>
      <c r="I1127" s="36" t="s">
        <v>597</v>
      </c>
      <c r="J1127" s="37" t="s">
        <v>598</v>
      </c>
      <c r="K1127" s="38" t="n">
        <v>50</v>
      </c>
      <c r="L1127" s="38" t="n">
        <v>3450000</v>
      </c>
      <c r="M1127" s="38" t="n">
        <v>1352100</v>
      </c>
      <c r="N1127" s="39" t="n">
        <f aca="false">IF(A1127="제외",0,IF(OR(N(L1127)&lt;=0,N(M1127)&gt;N(L1127)),N(M1127)/요약!$D$27,N(L1127)))</f>
        <v>3450000</v>
      </c>
      <c r="O1127" s="32" t="str">
        <f aca="false">IF(A1127="제외","",IF(OR(N(L1127)&lt;=0,N(M1127)&gt;N(L1127)),"택가보정(판매금액÷공급율)",""))</f>
        <v/>
      </c>
      <c r="P1127" s="0" t="str">
        <f aca="false">IF(A1127="HK","100",IF(A1127="CN","200",IF(A1127="TW","300",IF(ISNUMBER(SEARCH("태국",C1127)),"500",IF(ISNUMBER(SEARCH("말레이",C1127)),"600",IF(ISNUMBER(SEARCH("필리핀",C1127)),"700",IF(ISNUMBER(SEARCH("인도네시아",C1127)),"800",IF(ISNUMBER(SEARCH("크루즈",C1127)),"810",IF(ISNUMBER(SEARCH("동물원",C1127)),"830","")))))))))</f>
        <v>600</v>
      </c>
    </row>
    <row r="1128" customFormat="false" ht="15" hidden="false" customHeight="false" outlineLevel="0" collapsed="false">
      <c r="A1128" s="32" t="str">
        <f aca="false">IF(OR(TRIM(C1128)="",SUBSTITUTE(C1128," ","")="소계"),"제외",IF(ISNUMBER(SEARCH("홍콩",C1128)),"HK",IF(ISNUMBER(SEARCH("상해",C1128)),"CN",IF(ISNUMBER(SEARCH("대만",C1128)),"TW","홀세일"))))</f>
        <v>홀세일</v>
      </c>
      <c r="B1128" s="36" t="s">
        <v>1262</v>
      </c>
      <c r="C1128" s="36" t="s">
        <v>1263</v>
      </c>
      <c r="D1128" s="37" t="s">
        <v>123</v>
      </c>
      <c r="E1128" s="36" t="n">
        <v>2026</v>
      </c>
      <c r="F1128" s="36" t="s">
        <v>110</v>
      </c>
      <c r="G1128" s="37" t="s">
        <v>102</v>
      </c>
      <c r="H1128" s="36" t="s">
        <v>131</v>
      </c>
      <c r="I1128" s="36" t="s">
        <v>599</v>
      </c>
      <c r="J1128" s="37" t="s">
        <v>600</v>
      </c>
      <c r="K1128" s="38" t="n">
        <v>20</v>
      </c>
      <c r="L1128" s="38" t="n">
        <v>1580000</v>
      </c>
      <c r="M1128" s="38" t="n">
        <v>615000</v>
      </c>
      <c r="N1128" s="39" t="n">
        <f aca="false">IF(A1128="제외",0,IF(OR(N(L1128)&lt;=0,N(M1128)&gt;N(L1128)),N(M1128)/요약!$D$27,N(L1128)))</f>
        <v>1580000</v>
      </c>
      <c r="O1128" s="32" t="str">
        <f aca="false">IF(A1128="제외","",IF(OR(N(L1128)&lt;=0,N(M1128)&gt;N(L1128)),"택가보정(판매금액÷공급율)",""))</f>
        <v/>
      </c>
      <c r="P1128" s="0" t="str">
        <f aca="false">IF(A1128="HK","100",IF(A1128="CN","200",IF(A1128="TW","300",IF(ISNUMBER(SEARCH("태국",C1128)),"500",IF(ISNUMBER(SEARCH("말레이",C1128)),"600",IF(ISNUMBER(SEARCH("필리핀",C1128)),"700",IF(ISNUMBER(SEARCH("인도네시아",C1128)),"800",IF(ISNUMBER(SEARCH("크루즈",C1128)),"810",IF(ISNUMBER(SEARCH("동물원",C1128)),"830","")))))))))</f>
        <v>600</v>
      </c>
    </row>
    <row r="1129" customFormat="false" ht="15" hidden="false" customHeight="false" outlineLevel="0" collapsed="false">
      <c r="A1129" s="32" t="str">
        <f aca="false">IF(OR(TRIM(C1129)="",SUBSTITUTE(C1129," ","")="소계"),"제외",IF(ISNUMBER(SEARCH("홍콩",C1129)),"HK",IF(ISNUMBER(SEARCH("상해",C1129)),"CN",IF(ISNUMBER(SEARCH("대만",C1129)),"TW","홀세일"))))</f>
        <v>홀세일</v>
      </c>
      <c r="B1129" s="36" t="s">
        <v>1262</v>
      </c>
      <c r="C1129" s="36" t="s">
        <v>1263</v>
      </c>
      <c r="D1129" s="37" t="s">
        <v>123</v>
      </c>
      <c r="E1129" s="36" t="n">
        <v>2026</v>
      </c>
      <c r="F1129" s="36" t="s">
        <v>110</v>
      </c>
      <c r="G1129" s="37" t="s">
        <v>102</v>
      </c>
      <c r="H1129" s="36" t="s">
        <v>131</v>
      </c>
      <c r="I1129" s="36" t="s">
        <v>956</v>
      </c>
      <c r="J1129" s="37" t="s">
        <v>957</v>
      </c>
      <c r="K1129" s="38" t="n">
        <v>50</v>
      </c>
      <c r="L1129" s="38" t="n">
        <v>4450000</v>
      </c>
      <c r="M1129" s="38" t="n">
        <v>1741600</v>
      </c>
      <c r="N1129" s="39" t="n">
        <f aca="false">IF(A1129="제외",0,IF(OR(N(L1129)&lt;=0,N(M1129)&gt;N(L1129)),N(M1129)/요약!$D$27,N(L1129)))</f>
        <v>4450000</v>
      </c>
      <c r="O1129" s="32" t="str">
        <f aca="false">IF(A1129="제외","",IF(OR(N(L1129)&lt;=0,N(M1129)&gt;N(L1129)),"택가보정(판매금액÷공급율)",""))</f>
        <v/>
      </c>
      <c r="P1129" s="0" t="str">
        <f aca="false">IF(A1129="HK","100",IF(A1129="CN","200",IF(A1129="TW","300",IF(ISNUMBER(SEARCH("태국",C1129)),"500",IF(ISNUMBER(SEARCH("말레이",C1129)),"600",IF(ISNUMBER(SEARCH("필리핀",C1129)),"700",IF(ISNUMBER(SEARCH("인도네시아",C1129)),"800",IF(ISNUMBER(SEARCH("크루즈",C1129)),"810",IF(ISNUMBER(SEARCH("동물원",C1129)),"830","")))))))))</f>
        <v>600</v>
      </c>
    </row>
    <row r="1130" customFormat="false" ht="15" hidden="false" customHeight="false" outlineLevel="0" collapsed="false">
      <c r="A1130" s="32" t="str">
        <f aca="false">IF(OR(TRIM(C1130)="",SUBSTITUTE(C1130," ","")="소계"),"제외",IF(ISNUMBER(SEARCH("홍콩",C1130)),"HK",IF(ISNUMBER(SEARCH("상해",C1130)),"CN",IF(ISNUMBER(SEARCH("대만",C1130)),"TW","홀세일"))))</f>
        <v>홀세일</v>
      </c>
      <c r="B1130" s="36" t="s">
        <v>1262</v>
      </c>
      <c r="C1130" s="36" t="s">
        <v>1263</v>
      </c>
      <c r="D1130" s="37" t="s">
        <v>123</v>
      </c>
      <c r="E1130" s="36" t="n">
        <v>2026</v>
      </c>
      <c r="F1130" s="36" t="s">
        <v>110</v>
      </c>
      <c r="G1130" s="37" t="s">
        <v>102</v>
      </c>
      <c r="H1130" s="36" t="s">
        <v>131</v>
      </c>
      <c r="I1130" s="36" t="s">
        <v>601</v>
      </c>
      <c r="J1130" s="37" t="s">
        <v>602</v>
      </c>
      <c r="K1130" s="38" t="n">
        <v>10</v>
      </c>
      <c r="L1130" s="38" t="n">
        <v>790000</v>
      </c>
      <c r="M1130" s="38" t="n">
        <v>308640</v>
      </c>
      <c r="N1130" s="39" t="n">
        <f aca="false">IF(A1130="제외",0,IF(OR(N(L1130)&lt;=0,N(M1130)&gt;N(L1130)),N(M1130)/요약!$D$27,N(L1130)))</f>
        <v>790000</v>
      </c>
      <c r="O1130" s="32" t="str">
        <f aca="false">IF(A1130="제외","",IF(OR(N(L1130)&lt;=0,N(M1130)&gt;N(L1130)),"택가보정(판매금액÷공급율)",""))</f>
        <v/>
      </c>
      <c r="P1130" s="0" t="str">
        <f aca="false">IF(A1130="HK","100",IF(A1130="CN","200",IF(A1130="TW","300",IF(ISNUMBER(SEARCH("태국",C1130)),"500",IF(ISNUMBER(SEARCH("말레이",C1130)),"600",IF(ISNUMBER(SEARCH("필리핀",C1130)),"700",IF(ISNUMBER(SEARCH("인도네시아",C1130)),"800",IF(ISNUMBER(SEARCH("크루즈",C1130)),"810",IF(ISNUMBER(SEARCH("동물원",C1130)),"830","")))))))))</f>
        <v>600</v>
      </c>
    </row>
    <row r="1131" customFormat="false" ht="15" hidden="false" customHeight="false" outlineLevel="0" collapsed="false">
      <c r="A1131" s="32" t="str">
        <f aca="false">IF(OR(TRIM(C1131)="",SUBSTITUTE(C1131," ","")="소계"),"제외",IF(ISNUMBER(SEARCH("홍콩",C1131)),"HK",IF(ISNUMBER(SEARCH("상해",C1131)),"CN",IF(ISNUMBER(SEARCH("대만",C1131)),"TW","홀세일"))))</f>
        <v>홀세일</v>
      </c>
      <c r="B1131" s="36" t="s">
        <v>1262</v>
      </c>
      <c r="C1131" s="36" t="s">
        <v>1263</v>
      </c>
      <c r="D1131" s="37" t="s">
        <v>123</v>
      </c>
      <c r="E1131" s="36" t="n">
        <v>2026</v>
      </c>
      <c r="F1131" s="36" t="s">
        <v>110</v>
      </c>
      <c r="G1131" s="37" t="s">
        <v>102</v>
      </c>
      <c r="H1131" s="36" t="s">
        <v>131</v>
      </c>
      <c r="I1131" s="36" t="s">
        <v>603</v>
      </c>
      <c r="J1131" s="37" t="s">
        <v>604</v>
      </c>
      <c r="K1131" s="38" t="n">
        <v>40</v>
      </c>
      <c r="L1131" s="38" t="n">
        <v>2760000</v>
      </c>
      <c r="M1131" s="38" t="n">
        <v>1081680</v>
      </c>
      <c r="N1131" s="39" t="n">
        <f aca="false">IF(A1131="제외",0,IF(OR(N(L1131)&lt;=0,N(M1131)&gt;N(L1131)),N(M1131)/요약!$D$27,N(L1131)))</f>
        <v>2760000</v>
      </c>
      <c r="O1131" s="32" t="str">
        <f aca="false">IF(A1131="제외","",IF(OR(N(L1131)&lt;=0,N(M1131)&gt;N(L1131)),"택가보정(판매금액÷공급율)",""))</f>
        <v/>
      </c>
      <c r="P1131" s="0" t="str">
        <f aca="false">IF(A1131="HK","100",IF(A1131="CN","200",IF(A1131="TW","300",IF(ISNUMBER(SEARCH("태국",C1131)),"500",IF(ISNUMBER(SEARCH("말레이",C1131)),"600",IF(ISNUMBER(SEARCH("필리핀",C1131)),"700",IF(ISNUMBER(SEARCH("인도네시아",C1131)),"800",IF(ISNUMBER(SEARCH("크루즈",C1131)),"810",IF(ISNUMBER(SEARCH("동물원",C1131)),"830","")))))))))</f>
        <v>600</v>
      </c>
    </row>
    <row r="1132" customFormat="false" ht="15" hidden="false" customHeight="false" outlineLevel="0" collapsed="false">
      <c r="A1132" s="32" t="str">
        <f aca="false">IF(OR(TRIM(C1132)="",SUBSTITUTE(C1132," ","")="소계"),"제외",IF(ISNUMBER(SEARCH("홍콩",C1132)),"HK",IF(ISNUMBER(SEARCH("상해",C1132)),"CN",IF(ISNUMBER(SEARCH("대만",C1132)),"TW","홀세일"))))</f>
        <v>홀세일</v>
      </c>
      <c r="B1132" s="36" t="s">
        <v>1262</v>
      </c>
      <c r="C1132" s="36" t="s">
        <v>1263</v>
      </c>
      <c r="D1132" s="37" t="s">
        <v>123</v>
      </c>
      <c r="E1132" s="36" t="n">
        <v>2026</v>
      </c>
      <c r="F1132" s="36" t="s">
        <v>110</v>
      </c>
      <c r="G1132" s="37" t="s">
        <v>102</v>
      </c>
      <c r="H1132" s="36" t="s">
        <v>131</v>
      </c>
      <c r="I1132" s="36" t="s">
        <v>609</v>
      </c>
      <c r="J1132" s="36" t="s">
        <v>610</v>
      </c>
      <c r="K1132" s="38" t="n">
        <v>10</v>
      </c>
      <c r="L1132" s="38" t="n">
        <v>590000</v>
      </c>
      <c r="M1132" s="38" t="n">
        <v>231750</v>
      </c>
      <c r="N1132" s="39" t="n">
        <f aca="false">IF(A1132="제외",0,IF(OR(N(L1132)&lt;=0,N(M1132)&gt;N(L1132)),N(M1132)/요약!$D$27,N(L1132)))</f>
        <v>590000</v>
      </c>
      <c r="O1132" s="32" t="str">
        <f aca="false">IF(A1132="제외","",IF(OR(N(L1132)&lt;=0,N(M1132)&gt;N(L1132)),"택가보정(판매금액÷공급율)",""))</f>
        <v/>
      </c>
      <c r="P1132" s="0" t="str">
        <f aca="false">IF(A1132="HK","100",IF(A1132="CN","200",IF(A1132="TW","300",IF(ISNUMBER(SEARCH("태국",C1132)),"500",IF(ISNUMBER(SEARCH("말레이",C1132)),"600",IF(ISNUMBER(SEARCH("필리핀",C1132)),"700",IF(ISNUMBER(SEARCH("인도네시아",C1132)),"800",IF(ISNUMBER(SEARCH("크루즈",C1132)),"810",IF(ISNUMBER(SEARCH("동물원",C1132)),"830","")))))))))</f>
        <v>600</v>
      </c>
    </row>
    <row r="1133" customFormat="false" ht="15" hidden="false" customHeight="false" outlineLevel="0" collapsed="false">
      <c r="A1133" s="32" t="str">
        <f aca="false">IF(OR(TRIM(C1133)="",SUBSTITUTE(C1133," ","")="소계"),"제외",IF(ISNUMBER(SEARCH("홍콩",C1133)),"HK",IF(ISNUMBER(SEARCH("상해",C1133)),"CN",IF(ISNUMBER(SEARCH("대만",C1133)),"TW","홀세일"))))</f>
        <v>홀세일</v>
      </c>
      <c r="B1133" s="36" t="s">
        <v>1262</v>
      </c>
      <c r="C1133" s="36" t="s">
        <v>1263</v>
      </c>
      <c r="D1133" s="37" t="s">
        <v>123</v>
      </c>
      <c r="E1133" s="36" t="n">
        <v>2026</v>
      </c>
      <c r="F1133" s="36" t="s">
        <v>110</v>
      </c>
      <c r="G1133" s="37" t="s">
        <v>102</v>
      </c>
      <c r="H1133" s="36" t="s">
        <v>131</v>
      </c>
      <c r="I1133" s="36" t="s">
        <v>611</v>
      </c>
      <c r="J1133" s="36" t="s">
        <v>612</v>
      </c>
      <c r="K1133" s="38" t="n">
        <v>20</v>
      </c>
      <c r="L1133" s="38" t="n">
        <v>1380000</v>
      </c>
      <c r="M1133" s="38" t="n">
        <v>543200</v>
      </c>
      <c r="N1133" s="39" t="n">
        <f aca="false">IF(A1133="제외",0,IF(OR(N(L1133)&lt;=0,N(M1133)&gt;N(L1133)),N(M1133)/요약!$D$27,N(L1133)))</f>
        <v>1380000</v>
      </c>
      <c r="O1133" s="32" t="str">
        <f aca="false">IF(A1133="제외","",IF(OR(N(L1133)&lt;=0,N(M1133)&gt;N(L1133)),"택가보정(판매금액÷공급율)",""))</f>
        <v/>
      </c>
      <c r="P1133" s="0" t="str">
        <f aca="false">IF(A1133="HK","100",IF(A1133="CN","200",IF(A1133="TW","300",IF(ISNUMBER(SEARCH("태국",C1133)),"500",IF(ISNUMBER(SEARCH("말레이",C1133)),"600",IF(ISNUMBER(SEARCH("필리핀",C1133)),"700",IF(ISNUMBER(SEARCH("인도네시아",C1133)),"800",IF(ISNUMBER(SEARCH("크루즈",C1133)),"810",IF(ISNUMBER(SEARCH("동물원",C1133)),"830","")))))))))</f>
        <v>600</v>
      </c>
    </row>
    <row r="1134" customFormat="false" ht="15" hidden="false" customHeight="false" outlineLevel="0" collapsed="false">
      <c r="A1134" s="32" t="str">
        <f aca="false">IF(OR(TRIM(C1134)="",SUBSTITUTE(C1134," ","")="소계"),"제외",IF(ISNUMBER(SEARCH("홍콩",C1134)),"HK",IF(ISNUMBER(SEARCH("상해",C1134)),"CN",IF(ISNUMBER(SEARCH("대만",C1134)),"TW","홀세일"))))</f>
        <v>홀세일</v>
      </c>
      <c r="B1134" s="36" t="s">
        <v>1262</v>
      </c>
      <c r="C1134" s="36" t="s">
        <v>1263</v>
      </c>
      <c r="D1134" s="37" t="s">
        <v>123</v>
      </c>
      <c r="E1134" s="36" t="n">
        <v>2026</v>
      </c>
      <c r="F1134" s="36" t="s">
        <v>110</v>
      </c>
      <c r="G1134" s="37" t="s">
        <v>102</v>
      </c>
      <c r="H1134" s="36" t="s">
        <v>131</v>
      </c>
      <c r="I1134" s="36" t="s">
        <v>1356</v>
      </c>
      <c r="J1134" s="37" t="s">
        <v>1357</v>
      </c>
      <c r="K1134" s="38" t="n">
        <v>20</v>
      </c>
      <c r="L1134" s="38" t="n">
        <v>1380000</v>
      </c>
      <c r="M1134" s="38" t="n">
        <v>550120</v>
      </c>
      <c r="N1134" s="39" t="n">
        <f aca="false">IF(A1134="제외",0,IF(OR(N(L1134)&lt;=0,N(M1134)&gt;N(L1134)),N(M1134)/요약!$D$27,N(L1134)))</f>
        <v>1380000</v>
      </c>
      <c r="O1134" s="32" t="str">
        <f aca="false">IF(A1134="제외","",IF(OR(N(L1134)&lt;=0,N(M1134)&gt;N(L1134)),"택가보정(판매금액÷공급율)",""))</f>
        <v/>
      </c>
      <c r="P1134" s="0" t="str">
        <f aca="false">IF(A1134="HK","100",IF(A1134="CN","200",IF(A1134="TW","300",IF(ISNUMBER(SEARCH("태국",C1134)),"500",IF(ISNUMBER(SEARCH("말레이",C1134)),"600",IF(ISNUMBER(SEARCH("필리핀",C1134)),"700",IF(ISNUMBER(SEARCH("인도네시아",C1134)),"800",IF(ISNUMBER(SEARCH("크루즈",C1134)),"810",IF(ISNUMBER(SEARCH("동물원",C1134)),"830","")))))))))</f>
        <v>600</v>
      </c>
    </row>
    <row r="1135" customFormat="false" ht="15" hidden="false" customHeight="false" outlineLevel="0" collapsed="false">
      <c r="A1135" s="32" t="str">
        <f aca="false">IF(OR(TRIM(C1135)="",SUBSTITUTE(C1135," ","")="소계"),"제외",IF(ISNUMBER(SEARCH("홍콩",C1135)),"HK",IF(ISNUMBER(SEARCH("상해",C1135)),"CN",IF(ISNUMBER(SEARCH("대만",C1135)),"TW","홀세일"))))</f>
        <v>홀세일</v>
      </c>
      <c r="B1135" s="36" t="s">
        <v>1262</v>
      </c>
      <c r="C1135" s="36" t="s">
        <v>1263</v>
      </c>
      <c r="D1135" s="37" t="s">
        <v>123</v>
      </c>
      <c r="E1135" s="36" t="n">
        <v>2026</v>
      </c>
      <c r="F1135" s="36" t="s">
        <v>110</v>
      </c>
      <c r="G1135" s="37" t="s">
        <v>102</v>
      </c>
      <c r="H1135" s="36" t="s">
        <v>125</v>
      </c>
      <c r="I1135" s="36" t="s">
        <v>1358</v>
      </c>
      <c r="J1135" s="37" t="s">
        <v>1359</v>
      </c>
      <c r="K1135" s="38" t="n">
        <v>15</v>
      </c>
      <c r="L1135" s="38" t="n">
        <v>1335000</v>
      </c>
      <c r="M1135" s="38" t="n">
        <v>530805</v>
      </c>
      <c r="N1135" s="39" t="n">
        <f aca="false">IF(A1135="제외",0,IF(OR(N(L1135)&lt;=0,N(M1135)&gt;N(L1135)),N(M1135)/요약!$D$27,N(L1135)))</f>
        <v>1335000</v>
      </c>
      <c r="O1135" s="32" t="str">
        <f aca="false">IF(A1135="제외","",IF(OR(N(L1135)&lt;=0,N(M1135)&gt;N(L1135)),"택가보정(판매금액÷공급율)",""))</f>
        <v/>
      </c>
      <c r="P1135" s="0" t="str">
        <f aca="false">IF(A1135="HK","100",IF(A1135="CN","200",IF(A1135="TW","300",IF(ISNUMBER(SEARCH("태국",C1135)),"500",IF(ISNUMBER(SEARCH("말레이",C1135)),"600",IF(ISNUMBER(SEARCH("필리핀",C1135)),"700",IF(ISNUMBER(SEARCH("인도네시아",C1135)),"800",IF(ISNUMBER(SEARCH("크루즈",C1135)),"810",IF(ISNUMBER(SEARCH("동물원",C1135)),"830","")))))))))</f>
        <v>600</v>
      </c>
    </row>
    <row r="1136" customFormat="false" ht="15" hidden="false" customHeight="false" outlineLevel="0" collapsed="false">
      <c r="A1136" s="32" t="str">
        <f aca="false">IF(OR(TRIM(C1136)="",SUBSTITUTE(C1136," ","")="소계"),"제외",IF(ISNUMBER(SEARCH("홍콩",C1136)),"HK",IF(ISNUMBER(SEARCH("상해",C1136)),"CN",IF(ISNUMBER(SEARCH("대만",C1136)),"TW","홀세일"))))</f>
        <v>홀세일</v>
      </c>
      <c r="B1136" s="36" t="s">
        <v>1262</v>
      </c>
      <c r="C1136" s="36" t="s">
        <v>1263</v>
      </c>
      <c r="D1136" s="37" t="s">
        <v>123</v>
      </c>
      <c r="E1136" s="36" t="n">
        <v>2026</v>
      </c>
      <c r="F1136" s="36" t="s">
        <v>110</v>
      </c>
      <c r="G1136" s="37" t="s">
        <v>102</v>
      </c>
      <c r="H1136" s="36" t="s">
        <v>125</v>
      </c>
      <c r="I1136" s="36" t="s">
        <v>613</v>
      </c>
      <c r="J1136" s="37" t="s">
        <v>614</v>
      </c>
      <c r="K1136" s="38" t="n">
        <v>40</v>
      </c>
      <c r="L1136" s="38" t="n">
        <v>3960000</v>
      </c>
      <c r="M1136" s="38" t="n">
        <v>1546120</v>
      </c>
      <c r="N1136" s="39" t="n">
        <f aca="false">IF(A1136="제외",0,IF(OR(N(L1136)&lt;=0,N(M1136)&gt;N(L1136)),N(M1136)/요약!$D$27,N(L1136)))</f>
        <v>3960000</v>
      </c>
      <c r="O1136" s="32" t="str">
        <f aca="false">IF(A1136="제외","",IF(OR(N(L1136)&lt;=0,N(M1136)&gt;N(L1136)),"택가보정(판매금액÷공급율)",""))</f>
        <v/>
      </c>
      <c r="P1136" s="0" t="str">
        <f aca="false">IF(A1136="HK","100",IF(A1136="CN","200",IF(A1136="TW","300",IF(ISNUMBER(SEARCH("태국",C1136)),"500",IF(ISNUMBER(SEARCH("말레이",C1136)),"600",IF(ISNUMBER(SEARCH("필리핀",C1136)),"700",IF(ISNUMBER(SEARCH("인도네시아",C1136)),"800",IF(ISNUMBER(SEARCH("크루즈",C1136)),"810",IF(ISNUMBER(SEARCH("동물원",C1136)),"830","")))))))))</f>
        <v>600</v>
      </c>
    </row>
    <row r="1137" customFormat="false" ht="15" hidden="false" customHeight="false" outlineLevel="0" collapsed="false">
      <c r="A1137" s="32" t="str">
        <f aca="false">IF(OR(TRIM(C1137)="",SUBSTITUTE(C1137," ","")="소계"),"제외",IF(ISNUMBER(SEARCH("홍콩",C1137)),"HK",IF(ISNUMBER(SEARCH("상해",C1137)),"CN",IF(ISNUMBER(SEARCH("대만",C1137)),"TW","홀세일"))))</f>
        <v>홀세일</v>
      </c>
      <c r="B1137" s="36" t="s">
        <v>1262</v>
      </c>
      <c r="C1137" s="36" t="s">
        <v>1263</v>
      </c>
      <c r="D1137" s="37" t="s">
        <v>123</v>
      </c>
      <c r="E1137" s="36" t="n">
        <v>2026</v>
      </c>
      <c r="F1137" s="36" t="s">
        <v>110</v>
      </c>
      <c r="G1137" s="37" t="s">
        <v>102</v>
      </c>
      <c r="H1137" s="36" t="s">
        <v>125</v>
      </c>
      <c r="I1137" s="36" t="s">
        <v>615</v>
      </c>
      <c r="J1137" s="36" t="s">
        <v>616</v>
      </c>
      <c r="K1137" s="38" t="n">
        <v>5</v>
      </c>
      <c r="L1137" s="38" t="n">
        <v>395000</v>
      </c>
      <c r="M1137" s="38" t="n">
        <v>154320</v>
      </c>
      <c r="N1137" s="39" t="n">
        <f aca="false">IF(A1137="제외",0,IF(OR(N(L1137)&lt;=0,N(M1137)&gt;N(L1137)),N(M1137)/요약!$D$27,N(L1137)))</f>
        <v>395000</v>
      </c>
      <c r="O1137" s="32" t="str">
        <f aca="false">IF(A1137="제외","",IF(OR(N(L1137)&lt;=0,N(M1137)&gt;N(L1137)),"택가보정(판매금액÷공급율)",""))</f>
        <v/>
      </c>
      <c r="P1137" s="0" t="str">
        <f aca="false">IF(A1137="HK","100",IF(A1137="CN","200",IF(A1137="TW","300",IF(ISNUMBER(SEARCH("태국",C1137)),"500",IF(ISNUMBER(SEARCH("말레이",C1137)),"600",IF(ISNUMBER(SEARCH("필리핀",C1137)),"700",IF(ISNUMBER(SEARCH("인도네시아",C1137)),"800",IF(ISNUMBER(SEARCH("크루즈",C1137)),"810",IF(ISNUMBER(SEARCH("동물원",C1137)),"830","")))))))))</f>
        <v>600</v>
      </c>
    </row>
    <row r="1138" customFormat="false" ht="15" hidden="false" customHeight="false" outlineLevel="0" collapsed="false">
      <c r="A1138" s="32" t="str">
        <f aca="false">IF(OR(TRIM(C1138)="",SUBSTITUTE(C1138," ","")="소계"),"제외",IF(ISNUMBER(SEARCH("홍콩",C1138)),"HK",IF(ISNUMBER(SEARCH("상해",C1138)),"CN",IF(ISNUMBER(SEARCH("대만",C1138)),"TW","홀세일"))))</f>
        <v>홀세일</v>
      </c>
      <c r="B1138" s="36" t="s">
        <v>1262</v>
      </c>
      <c r="C1138" s="36" t="s">
        <v>1263</v>
      </c>
      <c r="D1138" s="37" t="s">
        <v>123</v>
      </c>
      <c r="E1138" s="36" t="n">
        <v>2026</v>
      </c>
      <c r="F1138" s="36" t="s">
        <v>110</v>
      </c>
      <c r="G1138" s="37" t="s">
        <v>102</v>
      </c>
      <c r="H1138" s="36" t="s">
        <v>131</v>
      </c>
      <c r="I1138" s="36" t="s">
        <v>619</v>
      </c>
      <c r="J1138" s="37" t="s">
        <v>620</v>
      </c>
      <c r="K1138" s="38" t="n">
        <v>180</v>
      </c>
      <c r="L1138" s="38" t="n">
        <v>7020000</v>
      </c>
      <c r="M1138" s="38" t="n">
        <v>2751300</v>
      </c>
      <c r="N1138" s="39" t="n">
        <f aca="false">IF(A1138="제외",0,IF(OR(N(L1138)&lt;=0,N(M1138)&gt;N(L1138)),N(M1138)/요약!$D$27,N(L1138)))</f>
        <v>7020000</v>
      </c>
      <c r="O1138" s="32" t="str">
        <f aca="false">IF(A1138="제외","",IF(OR(N(L1138)&lt;=0,N(M1138)&gt;N(L1138)),"택가보정(판매금액÷공급율)",""))</f>
        <v/>
      </c>
      <c r="P1138" s="0" t="str">
        <f aca="false">IF(A1138="HK","100",IF(A1138="CN","200",IF(A1138="TW","300",IF(ISNUMBER(SEARCH("태국",C1138)),"500",IF(ISNUMBER(SEARCH("말레이",C1138)),"600",IF(ISNUMBER(SEARCH("필리핀",C1138)),"700",IF(ISNUMBER(SEARCH("인도네시아",C1138)),"800",IF(ISNUMBER(SEARCH("크루즈",C1138)),"810",IF(ISNUMBER(SEARCH("동물원",C1138)),"830","")))))))))</f>
        <v>600</v>
      </c>
    </row>
    <row r="1139" customFormat="false" ht="15" hidden="false" customHeight="false" outlineLevel="0" collapsed="false">
      <c r="A1139" s="32" t="str">
        <f aca="false">IF(OR(TRIM(C1139)="",SUBSTITUTE(C1139," ","")="소계"),"제외",IF(ISNUMBER(SEARCH("홍콩",C1139)),"HK",IF(ISNUMBER(SEARCH("상해",C1139)),"CN",IF(ISNUMBER(SEARCH("대만",C1139)),"TW","홀세일"))))</f>
        <v>홀세일</v>
      </c>
      <c r="B1139" s="36" t="s">
        <v>1262</v>
      </c>
      <c r="C1139" s="36" t="s">
        <v>1263</v>
      </c>
      <c r="D1139" s="37" t="s">
        <v>123</v>
      </c>
      <c r="E1139" s="36" t="n">
        <v>2026</v>
      </c>
      <c r="F1139" s="36" t="s">
        <v>110</v>
      </c>
      <c r="G1139" s="37" t="s">
        <v>102</v>
      </c>
      <c r="H1139" s="36" t="s">
        <v>131</v>
      </c>
      <c r="I1139" s="36" t="s">
        <v>621</v>
      </c>
      <c r="J1139" s="37" t="s">
        <v>622</v>
      </c>
      <c r="K1139" s="38" t="n">
        <v>140</v>
      </c>
      <c r="L1139" s="38" t="n">
        <v>5460000</v>
      </c>
      <c r="M1139" s="38" t="n">
        <v>2139900</v>
      </c>
      <c r="N1139" s="39" t="n">
        <f aca="false">IF(A1139="제외",0,IF(OR(N(L1139)&lt;=0,N(M1139)&gt;N(L1139)),N(M1139)/요약!$D$27,N(L1139)))</f>
        <v>5460000</v>
      </c>
      <c r="O1139" s="32" t="str">
        <f aca="false">IF(A1139="제외","",IF(OR(N(L1139)&lt;=0,N(M1139)&gt;N(L1139)),"택가보정(판매금액÷공급율)",""))</f>
        <v/>
      </c>
      <c r="P1139" s="0" t="str">
        <f aca="false">IF(A1139="HK","100",IF(A1139="CN","200",IF(A1139="TW","300",IF(ISNUMBER(SEARCH("태국",C1139)),"500",IF(ISNUMBER(SEARCH("말레이",C1139)),"600",IF(ISNUMBER(SEARCH("필리핀",C1139)),"700",IF(ISNUMBER(SEARCH("인도네시아",C1139)),"800",IF(ISNUMBER(SEARCH("크루즈",C1139)),"810",IF(ISNUMBER(SEARCH("동물원",C1139)),"830","")))))))))</f>
        <v>600</v>
      </c>
    </row>
    <row r="1140" customFormat="false" ht="15" hidden="false" customHeight="false" outlineLevel="0" collapsed="false">
      <c r="A1140" s="32" t="str">
        <f aca="false">IF(OR(TRIM(C1140)="",SUBSTITUTE(C1140," ","")="소계"),"제외",IF(ISNUMBER(SEARCH("홍콩",C1140)),"HK",IF(ISNUMBER(SEARCH("상해",C1140)),"CN",IF(ISNUMBER(SEARCH("대만",C1140)),"TW","홀세일"))))</f>
        <v>홀세일</v>
      </c>
      <c r="B1140" s="36" t="s">
        <v>1262</v>
      </c>
      <c r="C1140" s="36" t="s">
        <v>1263</v>
      </c>
      <c r="D1140" s="37" t="s">
        <v>123</v>
      </c>
      <c r="E1140" s="36" t="n">
        <v>2026</v>
      </c>
      <c r="F1140" s="36" t="s">
        <v>110</v>
      </c>
      <c r="G1140" s="37" t="s">
        <v>102</v>
      </c>
      <c r="H1140" s="36" t="s">
        <v>131</v>
      </c>
      <c r="I1140" s="36" t="s">
        <v>627</v>
      </c>
      <c r="J1140" s="37" t="s">
        <v>628</v>
      </c>
      <c r="K1140" s="38" t="n">
        <v>15</v>
      </c>
      <c r="L1140" s="38" t="n">
        <v>1185000</v>
      </c>
      <c r="M1140" s="38" t="n">
        <v>464970</v>
      </c>
      <c r="N1140" s="39" t="n">
        <f aca="false">IF(A1140="제외",0,IF(OR(N(L1140)&lt;=0,N(M1140)&gt;N(L1140)),N(M1140)/요약!$D$27,N(L1140)))</f>
        <v>1185000</v>
      </c>
      <c r="O1140" s="32" t="str">
        <f aca="false">IF(A1140="제외","",IF(OR(N(L1140)&lt;=0,N(M1140)&gt;N(L1140)),"택가보정(판매금액÷공급율)",""))</f>
        <v/>
      </c>
      <c r="P1140" s="0" t="str">
        <f aca="false">IF(A1140="HK","100",IF(A1140="CN","200",IF(A1140="TW","300",IF(ISNUMBER(SEARCH("태국",C1140)),"500",IF(ISNUMBER(SEARCH("말레이",C1140)),"600",IF(ISNUMBER(SEARCH("필리핀",C1140)),"700",IF(ISNUMBER(SEARCH("인도네시아",C1140)),"800",IF(ISNUMBER(SEARCH("크루즈",C1140)),"810",IF(ISNUMBER(SEARCH("동물원",C1140)),"830","")))))))))</f>
        <v>600</v>
      </c>
    </row>
    <row r="1141" customFormat="false" ht="15" hidden="false" customHeight="false" outlineLevel="0" collapsed="false">
      <c r="A1141" s="32" t="str">
        <f aca="false">IF(OR(TRIM(C1141)="",SUBSTITUTE(C1141," ","")="소계"),"제외",IF(ISNUMBER(SEARCH("홍콩",C1141)),"HK",IF(ISNUMBER(SEARCH("상해",C1141)),"CN",IF(ISNUMBER(SEARCH("대만",C1141)),"TW","홀세일"))))</f>
        <v>홀세일</v>
      </c>
      <c r="B1141" s="36" t="s">
        <v>1262</v>
      </c>
      <c r="C1141" s="36" t="s">
        <v>1263</v>
      </c>
      <c r="D1141" s="37" t="s">
        <v>123</v>
      </c>
      <c r="E1141" s="36" t="n">
        <v>2026</v>
      </c>
      <c r="F1141" s="36" t="s">
        <v>110</v>
      </c>
      <c r="G1141" s="37" t="s">
        <v>102</v>
      </c>
      <c r="H1141" s="36" t="s">
        <v>131</v>
      </c>
      <c r="I1141" s="36" t="s">
        <v>629</v>
      </c>
      <c r="J1141" s="37" t="s">
        <v>630</v>
      </c>
      <c r="K1141" s="38" t="n">
        <v>30</v>
      </c>
      <c r="L1141" s="38" t="n">
        <v>1470000</v>
      </c>
      <c r="M1141" s="38" t="n">
        <v>580110</v>
      </c>
      <c r="N1141" s="39" t="n">
        <f aca="false">IF(A1141="제외",0,IF(OR(N(L1141)&lt;=0,N(M1141)&gt;N(L1141)),N(M1141)/요약!$D$27,N(L1141)))</f>
        <v>1470000</v>
      </c>
      <c r="O1141" s="32" t="str">
        <f aca="false">IF(A1141="제외","",IF(OR(N(L1141)&lt;=0,N(M1141)&gt;N(L1141)),"택가보정(판매금액÷공급율)",""))</f>
        <v/>
      </c>
      <c r="P1141" s="0" t="str">
        <f aca="false">IF(A1141="HK","100",IF(A1141="CN","200",IF(A1141="TW","300",IF(ISNUMBER(SEARCH("태국",C1141)),"500",IF(ISNUMBER(SEARCH("말레이",C1141)),"600",IF(ISNUMBER(SEARCH("필리핀",C1141)),"700",IF(ISNUMBER(SEARCH("인도네시아",C1141)),"800",IF(ISNUMBER(SEARCH("크루즈",C1141)),"810",IF(ISNUMBER(SEARCH("동물원",C1141)),"830","")))))))))</f>
        <v>600</v>
      </c>
    </row>
    <row r="1142" customFormat="false" ht="15" hidden="false" customHeight="false" outlineLevel="0" collapsed="false">
      <c r="A1142" s="32" t="str">
        <f aca="false">IF(OR(TRIM(C1142)="",SUBSTITUTE(C1142," ","")="소계"),"제외",IF(ISNUMBER(SEARCH("홍콩",C1142)),"HK",IF(ISNUMBER(SEARCH("상해",C1142)),"CN",IF(ISNUMBER(SEARCH("대만",C1142)),"TW","홀세일"))))</f>
        <v>홀세일</v>
      </c>
      <c r="B1142" s="36" t="s">
        <v>1262</v>
      </c>
      <c r="C1142" s="36" t="s">
        <v>1263</v>
      </c>
      <c r="D1142" s="37" t="s">
        <v>123</v>
      </c>
      <c r="E1142" s="36" t="n">
        <v>2026</v>
      </c>
      <c r="F1142" s="36" t="s">
        <v>110</v>
      </c>
      <c r="G1142" s="37" t="s">
        <v>102</v>
      </c>
      <c r="H1142" s="36" t="s">
        <v>131</v>
      </c>
      <c r="I1142" s="36" t="s">
        <v>1360</v>
      </c>
      <c r="J1142" s="37" t="s">
        <v>1361</v>
      </c>
      <c r="K1142" s="38" t="n">
        <v>20</v>
      </c>
      <c r="L1142" s="38" t="n">
        <v>1580000</v>
      </c>
      <c r="M1142" s="38" t="n">
        <v>615000</v>
      </c>
      <c r="N1142" s="39" t="n">
        <f aca="false">IF(A1142="제외",0,IF(OR(N(L1142)&lt;=0,N(M1142)&gt;N(L1142)),N(M1142)/요약!$D$27,N(L1142)))</f>
        <v>1580000</v>
      </c>
      <c r="O1142" s="32" t="str">
        <f aca="false">IF(A1142="제외","",IF(OR(N(L1142)&lt;=0,N(M1142)&gt;N(L1142)),"택가보정(판매금액÷공급율)",""))</f>
        <v/>
      </c>
      <c r="P1142" s="0" t="str">
        <f aca="false">IF(A1142="HK","100",IF(A1142="CN","200",IF(A1142="TW","300",IF(ISNUMBER(SEARCH("태국",C1142)),"500",IF(ISNUMBER(SEARCH("말레이",C1142)),"600",IF(ISNUMBER(SEARCH("필리핀",C1142)),"700",IF(ISNUMBER(SEARCH("인도네시아",C1142)),"800",IF(ISNUMBER(SEARCH("크루즈",C1142)),"810",IF(ISNUMBER(SEARCH("동물원",C1142)),"830","")))))))))</f>
        <v>600</v>
      </c>
    </row>
    <row r="1143" customFormat="false" ht="15" hidden="false" customHeight="false" outlineLevel="0" collapsed="false">
      <c r="A1143" s="32" t="str">
        <f aca="false">IF(OR(TRIM(C1143)="",SUBSTITUTE(C1143," ","")="소계"),"제외",IF(ISNUMBER(SEARCH("홍콩",C1143)),"HK",IF(ISNUMBER(SEARCH("상해",C1143)),"CN",IF(ISNUMBER(SEARCH("대만",C1143)),"TW","홀세일"))))</f>
        <v>홀세일</v>
      </c>
      <c r="B1143" s="36" t="s">
        <v>1262</v>
      </c>
      <c r="C1143" s="36" t="s">
        <v>1263</v>
      </c>
      <c r="D1143" s="37" t="s">
        <v>123</v>
      </c>
      <c r="E1143" s="36" t="n">
        <v>2026</v>
      </c>
      <c r="F1143" s="36" t="s">
        <v>110</v>
      </c>
      <c r="G1143" s="37" t="s">
        <v>102</v>
      </c>
      <c r="H1143" s="36" t="s">
        <v>131</v>
      </c>
      <c r="I1143" s="36" t="s">
        <v>1362</v>
      </c>
      <c r="J1143" s="37" t="s">
        <v>1363</v>
      </c>
      <c r="K1143" s="38" t="n">
        <v>40</v>
      </c>
      <c r="L1143" s="38" t="n">
        <v>1960000</v>
      </c>
      <c r="M1143" s="38" t="n">
        <v>770120</v>
      </c>
      <c r="N1143" s="39" t="n">
        <f aca="false">IF(A1143="제외",0,IF(OR(N(L1143)&lt;=0,N(M1143)&gt;N(L1143)),N(M1143)/요약!$D$27,N(L1143)))</f>
        <v>1960000</v>
      </c>
      <c r="O1143" s="32" t="str">
        <f aca="false">IF(A1143="제외","",IF(OR(N(L1143)&lt;=0,N(M1143)&gt;N(L1143)),"택가보정(판매금액÷공급율)",""))</f>
        <v/>
      </c>
      <c r="P1143" s="0" t="str">
        <f aca="false">IF(A1143="HK","100",IF(A1143="CN","200",IF(A1143="TW","300",IF(ISNUMBER(SEARCH("태국",C1143)),"500",IF(ISNUMBER(SEARCH("말레이",C1143)),"600",IF(ISNUMBER(SEARCH("필리핀",C1143)),"700",IF(ISNUMBER(SEARCH("인도네시아",C1143)),"800",IF(ISNUMBER(SEARCH("크루즈",C1143)),"810",IF(ISNUMBER(SEARCH("동물원",C1143)),"830","")))))))))</f>
        <v>600</v>
      </c>
    </row>
    <row r="1144" customFormat="false" ht="15" hidden="false" customHeight="false" outlineLevel="0" collapsed="false">
      <c r="A1144" s="32" t="str">
        <f aca="false">IF(OR(TRIM(C1144)="",SUBSTITUTE(C1144," ","")="소계"),"제외",IF(ISNUMBER(SEARCH("홍콩",C1144)),"HK",IF(ISNUMBER(SEARCH("상해",C1144)),"CN",IF(ISNUMBER(SEARCH("대만",C1144)),"TW","홀세일"))))</f>
        <v>홀세일</v>
      </c>
      <c r="B1144" s="36" t="s">
        <v>1262</v>
      </c>
      <c r="C1144" s="36" t="s">
        <v>1263</v>
      </c>
      <c r="D1144" s="37" t="s">
        <v>123</v>
      </c>
      <c r="E1144" s="36" t="n">
        <v>2026</v>
      </c>
      <c r="F1144" s="36" t="s">
        <v>110</v>
      </c>
      <c r="G1144" s="37" t="s">
        <v>102</v>
      </c>
      <c r="H1144" s="36" t="s">
        <v>131</v>
      </c>
      <c r="I1144" s="36" t="s">
        <v>970</v>
      </c>
      <c r="J1144" s="37" t="s">
        <v>971</v>
      </c>
      <c r="K1144" s="38" t="n">
        <v>10</v>
      </c>
      <c r="L1144" s="38" t="n">
        <v>790000</v>
      </c>
      <c r="M1144" s="38" t="n">
        <v>307500</v>
      </c>
      <c r="N1144" s="39" t="n">
        <f aca="false">IF(A1144="제외",0,IF(OR(N(L1144)&lt;=0,N(M1144)&gt;N(L1144)),N(M1144)/요약!$D$27,N(L1144)))</f>
        <v>790000</v>
      </c>
      <c r="O1144" s="32" t="str">
        <f aca="false">IF(A1144="제외","",IF(OR(N(L1144)&lt;=0,N(M1144)&gt;N(L1144)),"택가보정(판매금액÷공급율)",""))</f>
        <v/>
      </c>
      <c r="P1144" s="0" t="str">
        <f aca="false">IF(A1144="HK","100",IF(A1144="CN","200",IF(A1144="TW","300",IF(ISNUMBER(SEARCH("태국",C1144)),"500",IF(ISNUMBER(SEARCH("말레이",C1144)),"600",IF(ISNUMBER(SEARCH("필리핀",C1144)),"700",IF(ISNUMBER(SEARCH("인도네시아",C1144)),"800",IF(ISNUMBER(SEARCH("크루즈",C1144)),"810",IF(ISNUMBER(SEARCH("동물원",C1144)),"830","")))))))))</f>
        <v>600</v>
      </c>
    </row>
    <row r="1145" customFormat="false" ht="15" hidden="false" customHeight="false" outlineLevel="0" collapsed="false">
      <c r="A1145" s="32" t="str">
        <f aca="false">IF(OR(TRIM(C1145)="",SUBSTITUTE(C1145," ","")="소계"),"제외",IF(ISNUMBER(SEARCH("홍콩",C1145)),"HK",IF(ISNUMBER(SEARCH("상해",C1145)),"CN",IF(ISNUMBER(SEARCH("대만",C1145)),"TW","홀세일"))))</f>
        <v>홀세일</v>
      </c>
      <c r="B1145" s="36" t="s">
        <v>1262</v>
      </c>
      <c r="C1145" s="36" t="s">
        <v>1263</v>
      </c>
      <c r="D1145" s="37" t="s">
        <v>123</v>
      </c>
      <c r="E1145" s="36" t="n">
        <v>2026</v>
      </c>
      <c r="F1145" s="36" t="s">
        <v>110</v>
      </c>
      <c r="G1145" s="37" t="s">
        <v>102</v>
      </c>
      <c r="H1145" s="36" t="s">
        <v>131</v>
      </c>
      <c r="I1145" s="36" t="s">
        <v>1364</v>
      </c>
      <c r="J1145" s="36" t="s">
        <v>1365</v>
      </c>
      <c r="K1145" s="38" t="n">
        <v>60</v>
      </c>
      <c r="L1145" s="38" t="n">
        <v>4740000</v>
      </c>
      <c r="M1145" s="38" t="n">
        <v>1859880</v>
      </c>
      <c r="N1145" s="39" t="n">
        <f aca="false">IF(A1145="제외",0,IF(OR(N(L1145)&lt;=0,N(M1145)&gt;N(L1145)),N(M1145)/요약!$D$27,N(L1145)))</f>
        <v>4740000</v>
      </c>
      <c r="O1145" s="32" t="str">
        <f aca="false">IF(A1145="제외","",IF(OR(N(L1145)&lt;=0,N(M1145)&gt;N(L1145)),"택가보정(판매금액÷공급율)",""))</f>
        <v/>
      </c>
      <c r="P1145" s="0" t="str">
        <f aca="false">IF(A1145="HK","100",IF(A1145="CN","200",IF(A1145="TW","300",IF(ISNUMBER(SEARCH("태국",C1145)),"500",IF(ISNUMBER(SEARCH("말레이",C1145)),"600",IF(ISNUMBER(SEARCH("필리핀",C1145)),"700",IF(ISNUMBER(SEARCH("인도네시아",C1145)),"800",IF(ISNUMBER(SEARCH("크루즈",C1145)),"810",IF(ISNUMBER(SEARCH("동물원",C1145)),"830","")))))))))</f>
        <v>600</v>
      </c>
    </row>
    <row r="1146" customFormat="false" ht="15" hidden="false" customHeight="false" outlineLevel="0" collapsed="false">
      <c r="A1146" s="32" t="str">
        <f aca="false">IF(OR(TRIM(C1146)="",SUBSTITUTE(C1146," ","")="소계"),"제외",IF(ISNUMBER(SEARCH("홍콩",C1146)),"HK",IF(ISNUMBER(SEARCH("상해",C1146)),"CN",IF(ISNUMBER(SEARCH("대만",C1146)),"TW","홀세일"))))</f>
        <v>홀세일</v>
      </c>
      <c r="B1146" s="36" t="s">
        <v>1262</v>
      </c>
      <c r="C1146" s="36" t="s">
        <v>1263</v>
      </c>
      <c r="D1146" s="37" t="s">
        <v>123</v>
      </c>
      <c r="E1146" s="36" t="n">
        <v>2026</v>
      </c>
      <c r="F1146" s="36" t="s">
        <v>110</v>
      </c>
      <c r="G1146" s="37" t="s">
        <v>102</v>
      </c>
      <c r="H1146" s="36" t="s">
        <v>131</v>
      </c>
      <c r="I1146" s="36" t="s">
        <v>1366</v>
      </c>
      <c r="J1146" s="37" t="s">
        <v>1367</v>
      </c>
      <c r="K1146" s="38" t="n">
        <v>20</v>
      </c>
      <c r="L1146" s="38" t="n">
        <v>1180000</v>
      </c>
      <c r="M1146" s="38" t="n">
        <v>461480</v>
      </c>
      <c r="N1146" s="39" t="n">
        <f aca="false">IF(A1146="제외",0,IF(OR(N(L1146)&lt;=0,N(M1146)&gt;N(L1146)),N(M1146)/요약!$D$27,N(L1146)))</f>
        <v>1180000</v>
      </c>
      <c r="O1146" s="32" t="str">
        <f aca="false">IF(A1146="제외","",IF(OR(N(L1146)&lt;=0,N(M1146)&gt;N(L1146)),"택가보정(판매금액÷공급율)",""))</f>
        <v/>
      </c>
      <c r="P1146" s="0" t="str">
        <f aca="false">IF(A1146="HK","100",IF(A1146="CN","200",IF(A1146="TW","300",IF(ISNUMBER(SEARCH("태국",C1146)),"500",IF(ISNUMBER(SEARCH("말레이",C1146)),"600",IF(ISNUMBER(SEARCH("필리핀",C1146)),"700",IF(ISNUMBER(SEARCH("인도네시아",C1146)),"800",IF(ISNUMBER(SEARCH("크루즈",C1146)),"810",IF(ISNUMBER(SEARCH("동물원",C1146)),"830","")))))))))</f>
        <v>600</v>
      </c>
    </row>
    <row r="1147" customFormat="false" ht="15" hidden="false" customHeight="false" outlineLevel="0" collapsed="false">
      <c r="A1147" s="32" t="str">
        <f aca="false">IF(OR(TRIM(C1147)="",SUBSTITUTE(C1147," ","")="소계"),"제외",IF(ISNUMBER(SEARCH("홍콩",C1147)),"HK",IF(ISNUMBER(SEARCH("상해",C1147)),"CN",IF(ISNUMBER(SEARCH("대만",C1147)),"TW","홀세일"))))</f>
        <v>홀세일</v>
      </c>
      <c r="B1147" s="36" t="s">
        <v>1262</v>
      </c>
      <c r="C1147" s="36" t="s">
        <v>1263</v>
      </c>
      <c r="D1147" s="37" t="s">
        <v>123</v>
      </c>
      <c r="E1147" s="36" t="n">
        <v>2026</v>
      </c>
      <c r="F1147" s="36" t="s">
        <v>110</v>
      </c>
      <c r="G1147" s="37" t="s">
        <v>102</v>
      </c>
      <c r="H1147" s="36" t="s">
        <v>131</v>
      </c>
      <c r="I1147" s="36" t="s">
        <v>633</v>
      </c>
      <c r="J1147" s="37" t="s">
        <v>634</v>
      </c>
      <c r="K1147" s="38" t="n">
        <v>20</v>
      </c>
      <c r="L1147" s="38" t="n">
        <v>1580000</v>
      </c>
      <c r="M1147" s="38" t="n">
        <v>615000</v>
      </c>
      <c r="N1147" s="39" t="n">
        <f aca="false">IF(A1147="제외",0,IF(OR(N(L1147)&lt;=0,N(M1147)&gt;N(L1147)),N(M1147)/요약!$D$27,N(L1147)))</f>
        <v>1580000</v>
      </c>
      <c r="O1147" s="32" t="str">
        <f aca="false">IF(A1147="제외","",IF(OR(N(L1147)&lt;=0,N(M1147)&gt;N(L1147)),"택가보정(판매금액÷공급율)",""))</f>
        <v/>
      </c>
      <c r="P1147" s="0" t="str">
        <f aca="false">IF(A1147="HK","100",IF(A1147="CN","200",IF(A1147="TW","300",IF(ISNUMBER(SEARCH("태국",C1147)),"500",IF(ISNUMBER(SEARCH("말레이",C1147)),"600",IF(ISNUMBER(SEARCH("필리핀",C1147)),"700",IF(ISNUMBER(SEARCH("인도네시아",C1147)),"800",IF(ISNUMBER(SEARCH("크루즈",C1147)),"810",IF(ISNUMBER(SEARCH("동물원",C1147)),"830","")))))))))</f>
        <v>600</v>
      </c>
    </row>
    <row r="1148" customFormat="false" ht="15" hidden="false" customHeight="false" outlineLevel="0" collapsed="false">
      <c r="A1148" s="32" t="str">
        <f aca="false">IF(OR(TRIM(C1148)="",SUBSTITUTE(C1148," ","")="소계"),"제외",IF(ISNUMBER(SEARCH("홍콩",C1148)),"HK",IF(ISNUMBER(SEARCH("상해",C1148)),"CN",IF(ISNUMBER(SEARCH("대만",C1148)),"TW","홀세일"))))</f>
        <v>홀세일</v>
      </c>
      <c r="B1148" s="36" t="s">
        <v>1262</v>
      </c>
      <c r="C1148" s="36" t="s">
        <v>1263</v>
      </c>
      <c r="D1148" s="37" t="s">
        <v>123</v>
      </c>
      <c r="E1148" s="36" t="n">
        <v>2026</v>
      </c>
      <c r="F1148" s="36" t="s">
        <v>110</v>
      </c>
      <c r="G1148" s="37" t="s">
        <v>102</v>
      </c>
      <c r="H1148" s="36" t="s">
        <v>131</v>
      </c>
      <c r="I1148" s="36" t="s">
        <v>635</v>
      </c>
      <c r="J1148" s="37" t="s">
        <v>636</v>
      </c>
      <c r="K1148" s="38" t="n">
        <v>100</v>
      </c>
      <c r="L1148" s="38" t="n">
        <v>2100000</v>
      </c>
      <c r="M1148" s="38" t="n">
        <v>823000</v>
      </c>
      <c r="N1148" s="39" t="n">
        <f aca="false">IF(A1148="제외",0,IF(OR(N(L1148)&lt;=0,N(M1148)&gt;N(L1148)),N(M1148)/요약!$D$27,N(L1148)))</f>
        <v>2100000</v>
      </c>
      <c r="O1148" s="32" t="str">
        <f aca="false">IF(A1148="제외","",IF(OR(N(L1148)&lt;=0,N(M1148)&gt;N(L1148)),"택가보정(판매금액÷공급율)",""))</f>
        <v/>
      </c>
      <c r="P1148" s="0" t="str">
        <f aca="false">IF(A1148="HK","100",IF(A1148="CN","200",IF(A1148="TW","300",IF(ISNUMBER(SEARCH("태국",C1148)),"500",IF(ISNUMBER(SEARCH("말레이",C1148)),"600",IF(ISNUMBER(SEARCH("필리핀",C1148)),"700",IF(ISNUMBER(SEARCH("인도네시아",C1148)),"800",IF(ISNUMBER(SEARCH("크루즈",C1148)),"810",IF(ISNUMBER(SEARCH("동물원",C1148)),"830","")))))))))</f>
        <v>600</v>
      </c>
    </row>
    <row r="1149" customFormat="false" ht="15" hidden="false" customHeight="false" outlineLevel="0" collapsed="false">
      <c r="A1149" s="32" t="str">
        <f aca="false">IF(OR(TRIM(C1149)="",SUBSTITUTE(C1149," ","")="소계"),"제외",IF(ISNUMBER(SEARCH("홍콩",C1149)),"HK",IF(ISNUMBER(SEARCH("상해",C1149)),"CN",IF(ISNUMBER(SEARCH("대만",C1149)),"TW","홀세일"))))</f>
        <v>홀세일</v>
      </c>
      <c r="B1149" s="36" t="s">
        <v>1262</v>
      </c>
      <c r="C1149" s="36" t="s">
        <v>1263</v>
      </c>
      <c r="D1149" s="37" t="s">
        <v>123</v>
      </c>
      <c r="E1149" s="36" t="n">
        <v>2026</v>
      </c>
      <c r="F1149" s="36" t="s">
        <v>110</v>
      </c>
      <c r="G1149" s="37" t="s">
        <v>102</v>
      </c>
      <c r="H1149" s="36" t="s">
        <v>131</v>
      </c>
      <c r="I1149" s="36" t="s">
        <v>637</v>
      </c>
      <c r="J1149" s="37" t="s">
        <v>638</v>
      </c>
      <c r="K1149" s="38" t="n">
        <v>50</v>
      </c>
      <c r="L1149" s="38" t="n">
        <v>950000</v>
      </c>
      <c r="M1149" s="38" t="n">
        <v>374750</v>
      </c>
      <c r="N1149" s="39" t="n">
        <f aca="false">IF(A1149="제외",0,IF(OR(N(L1149)&lt;=0,N(M1149)&gt;N(L1149)),N(M1149)/요약!$D$27,N(L1149)))</f>
        <v>950000</v>
      </c>
      <c r="O1149" s="32" t="str">
        <f aca="false">IF(A1149="제외","",IF(OR(N(L1149)&lt;=0,N(M1149)&gt;N(L1149)),"택가보정(판매금액÷공급율)",""))</f>
        <v/>
      </c>
      <c r="P1149" s="0" t="str">
        <f aca="false">IF(A1149="HK","100",IF(A1149="CN","200",IF(A1149="TW","300",IF(ISNUMBER(SEARCH("태국",C1149)),"500",IF(ISNUMBER(SEARCH("말레이",C1149)),"600",IF(ISNUMBER(SEARCH("필리핀",C1149)),"700",IF(ISNUMBER(SEARCH("인도네시아",C1149)),"800",IF(ISNUMBER(SEARCH("크루즈",C1149)),"810",IF(ISNUMBER(SEARCH("동물원",C1149)),"830","")))))))))</f>
        <v>600</v>
      </c>
    </row>
    <row r="1150" customFormat="false" ht="15" hidden="false" customHeight="false" outlineLevel="0" collapsed="false">
      <c r="A1150" s="32" t="str">
        <f aca="false">IF(OR(TRIM(C1150)="",SUBSTITUTE(C1150," ","")="소계"),"제외",IF(ISNUMBER(SEARCH("홍콩",C1150)),"HK",IF(ISNUMBER(SEARCH("상해",C1150)),"CN",IF(ISNUMBER(SEARCH("대만",C1150)),"TW","홀세일"))))</f>
        <v>홀세일</v>
      </c>
      <c r="B1150" s="36" t="s">
        <v>1262</v>
      </c>
      <c r="C1150" s="36" t="s">
        <v>1263</v>
      </c>
      <c r="D1150" s="37" t="s">
        <v>123</v>
      </c>
      <c r="E1150" s="36" t="n">
        <v>2026</v>
      </c>
      <c r="F1150" s="36" t="s">
        <v>110</v>
      </c>
      <c r="G1150" s="37" t="s">
        <v>102</v>
      </c>
      <c r="H1150" s="36" t="s">
        <v>131</v>
      </c>
      <c r="I1150" s="36" t="s">
        <v>641</v>
      </c>
      <c r="J1150" s="37" t="s">
        <v>642</v>
      </c>
      <c r="K1150" s="38" t="n">
        <v>100</v>
      </c>
      <c r="L1150" s="38" t="n">
        <v>1090000</v>
      </c>
      <c r="M1150" s="38" t="n">
        <v>426200</v>
      </c>
      <c r="N1150" s="39" t="n">
        <f aca="false">IF(A1150="제외",0,IF(OR(N(L1150)&lt;=0,N(M1150)&gt;N(L1150)),N(M1150)/요약!$D$27,N(L1150)))</f>
        <v>1090000</v>
      </c>
      <c r="O1150" s="32" t="str">
        <f aca="false">IF(A1150="제외","",IF(OR(N(L1150)&lt;=0,N(M1150)&gt;N(L1150)),"택가보정(판매금액÷공급율)",""))</f>
        <v/>
      </c>
      <c r="P1150" s="0" t="str">
        <f aca="false">IF(A1150="HK","100",IF(A1150="CN","200",IF(A1150="TW","300",IF(ISNUMBER(SEARCH("태국",C1150)),"500",IF(ISNUMBER(SEARCH("말레이",C1150)),"600",IF(ISNUMBER(SEARCH("필리핀",C1150)),"700",IF(ISNUMBER(SEARCH("인도네시아",C1150)),"800",IF(ISNUMBER(SEARCH("크루즈",C1150)),"810",IF(ISNUMBER(SEARCH("동물원",C1150)),"830","")))))))))</f>
        <v>600</v>
      </c>
    </row>
    <row r="1151" customFormat="false" ht="15" hidden="false" customHeight="false" outlineLevel="0" collapsed="false">
      <c r="A1151" s="32" t="str">
        <f aca="false">IF(OR(TRIM(C1151)="",SUBSTITUTE(C1151," ","")="소계"),"제외",IF(ISNUMBER(SEARCH("홍콩",C1151)),"HK",IF(ISNUMBER(SEARCH("상해",C1151)),"CN",IF(ISNUMBER(SEARCH("대만",C1151)),"TW","홀세일"))))</f>
        <v>홀세일</v>
      </c>
      <c r="B1151" s="36" t="s">
        <v>1262</v>
      </c>
      <c r="C1151" s="36" t="s">
        <v>1263</v>
      </c>
      <c r="D1151" s="37" t="s">
        <v>123</v>
      </c>
      <c r="E1151" s="36" t="n">
        <v>2026</v>
      </c>
      <c r="F1151" s="36" t="s">
        <v>110</v>
      </c>
      <c r="G1151" s="37" t="s">
        <v>102</v>
      </c>
      <c r="H1151" s="36" t="s">
        <v>131</v>
      </c>
      <c r="I1151" s="36" t="s">
        <v>645</v>
      </c>
      <c r="J1151" s="37" t="s">
        <v>646</v>
      </c>
      <c r="K1151" s="38" t="n">
        <v>20</v>
      </c>
      <c r="L1151" s="38" t="n">
        <v>2580000</v>
      </c>
      <c r="M1151" s="38" t="n">
        <v>1004500</v>
      </c>
      <c r="N1151" s="39" t="n">
        <f aca="false">IF(A1151="제외",0,IF(OR(N(L1151)&lt;=0,N(M1151)&gt;N(L1151)),N(M1151)/요약!$D$27,N(L1151)))</f>
        <v>2580000</v>
      </c>
      <c r="O1151" s="32" t="str">
        <f aca="false">IF(A1151="제외","",IF(OR(N(L1151)&lt;=0,N(M1151)&gt;N(L1151)),"택가보정(판매금액÷공급율)",""))</f>
        <v/>
      </c>
      <c r="P1151" s="0" t="str">
        <f aca="false">IF(A1151="HK","100",IF(A1151="CN","200",IF(A1151="TW","300",IF(ISNUMBER(SEARCH("태국",C1151)),"500",IF(ISNUMBER(SEARCH("말레이",C1151)),"600",IF(ISNUMBER(SEARCH("필리핀",C1151)),"700",IF(ISNUMBER(SEARCH("인도네시아",C1151)),"800",IF(ISNUMBER(SEARCH("크루즈",C1151)),"810",IF(ISNUMBER(SEARCH("동물원",C1151)),"830","")))))))))</f>
        <v>600</v>
      </c>
    </row>
    <row r="1152" customFormat="false" ht="15" hidden="false" customHeight="false" outlineLevel="0" collapsed="false">
      <c r="A1152" s="32" t="str">
        <f aca="false">IF(OR(TRIM(C1152)="",SUBSTITUTE(C1152," ","")="소계"),"제외",IF(ISNUMBER(SEARCH("홍콩",C1152)),"HK",IF(ISNUMBER(SEARCH("상해",C1152)),"CN",IF(ISNUMBER(SEARCH("대만",C1152)),"TW","홀세일"))))</f>
        <v>홀세일</v>
      </c>
      <c r="B1152" s="36" t="s">
        <v>1262</v>
      </c>
      <c r="C1152" s="36" t="s">
        <v>1263</v>
      </c>
      <c r="D1152" s="37" t="s">
        <v>123</v>
      </c>
      <c r="E1152" s="36" t="n">
        <v>2026</v>
      </c>
      <c r="F1152" s="36" t="s">
        <v>110</v>
      </c>
      <c r="G1152" s="37" t="s">
        <v>102</v>
      </c>
      <c r="H1152" s="36" t="s">
        <v>131</v>
      </c>
      <c r="I1152" s="36" t="s">
        <v>647</v>
      </c>
      <c r="J1152" s="37" t="s">
        <v>648</v>
      </c>
      <c r="K1152" s="38" t="n">
        <v>40</v>
      </c>
      <c r="L1152" s="38" t="n">
        <v>5160000</v>
      </c>
      <c r="M1152" s="38" t="n">
        <v>2009000</v>
      </c>
      <c r="N1152" s="39" t="n">
        <f aca="false">IF(A1152="제외",0,IF(OR(N(L1152)&lt;=0,N(M1152)&gt;N(L1152)),N(M1152)/요약!$D$27,N(L1152)))</f>
        <v>5160000</v>
      </c>
      <c r="O1152" s="32" t="str">
        <f aca="false">IF(A1152="제외","",IF(OR(N(L1152)&lt;=0,N(M1152)&gt;N(L1152)),"택가보정(판매금액÷공급율)",""))</f>
        <v/>
      </c>
      <c r="P1152" s="0" t="str">
        <f aca="false">IF(A1152="HK","100",IF(A1152="CN","200",IF(A1152="TW","300",IF(ISNUMBER(SEARCH("태국",C1152)),"500",IF(ISNUMBER(SEARCH("말레이",C1152)),"600",IF(ISNUMBER(SEARCH("필리핀",C1152)),"700",IF(ISNUMBER(SEARCH("인도네시아",C1152)),"800",IF(ISNUMBER(SEARCH("크루즈",C1152)),"810",IF(ISNUMBER(SEARCH("동물원",C1152)),"830","")))))))))</f>
        <v>600</v>
      </c>
    </row>
    <row r="1153" customFormat="false" ht="15" hidden="false" customHeight="false" outlineLevel="0" collapsed="false">
      <c r="A1153" s="32" t="str">
        <f aca="false">IF(OR(TRIM(C1153)="",SUBSTITUTE(C1153," ","")="소계"),"제외",IF(ISNUMBER(SEARCH("홍콩",C1153)),"HK",IF(ISNUMBER(SEARCH("상해",C1153)),"CN",IF(ISNUMBER(SEARCH("대만",C1153)),"TW","홀세일"))))</f>
        <v>홀세일</v>
      </c>
      <c r="B1153" s="36" t="s">
        <v>1262</v>
      </c>
      <c r="C1153" s="36" t="s">
        <v>1263</v>
      </c>
      <c r="D1153" s="37" t="s">
        <v>123</v>
      </c>
      <c r="E1153" s="36" t="n">
        <v>2026</v>
      </c>
      <c r="F1153" s="36" t="s">
        <v>110</v>
      </c>
      <c r="G1153" s="37" t="s">
        <v>102</v>
      </c>
      <c r="H1153" s="36" t="s">
        <v>131</v>
      </c>
      <c r="I1153" s="36" t="s">
        <v>1368</v>
      </c>
      <c r="J1153" s="36" t="s">
        <v>1369</v>
      </c>
      <c r="K1153" s="38" t="n">
        <v>10</v>
      </c>
      <c r="L1153" s="38" t="n">
        <v>790000</v>
      </c>
      <c r="M1153" s="38" t="n">
        <v>309980</v>
      </c>
      <c r="N1153" s="39" t="n">
        <f aca="false">IF(A1153="제외",0,IF(OR(N(L1153)&lt;=0,N(M1153)&gt;N(L1153)),N(M1153)/요약!$D$27,N(L1153)))</f>
        <v>790000</v>
      </c>
      <c r="O1153" s="32" t="str">
        <f aca="false">IF(A1153="제외","",IF(OR(N(L1153)&lt;=0,N(M1153)&gt;N(L1153)),"택가보정(판매금액÷공급율)",""))</f>
        <v/>
      </c>
      <c r="P1153" s="0" t="str">
        <f aca="false">IF(A1153="HK","100",IF(A1153="CN","200",IF(A1153="TW","300",IF(ISNUMBER(SEARCH("태국",C1153)),"500",IF(ISNUMBER(SEARCH("말레이",C1153)),"600",IF(ISNUMBER(SEARCH("필리핀",C1153)),"700",IF(ISNUMBER(SEARCH("인도네시아",C1153)),"800",IF(ISNUMBER(SEARCH("크루즈",C1153)),"810",IF(ISNUMBER(SEARCH("동물원",C1153)),"830","")))))))))</f>
        <v>600</v>
      </c>
    </row>
    <row r="1154" customFormat="false" ht="15" hidden="false" customHeight="false" outlineLevel="0" collapsed="false">
      <c r="A1154" s="32" t="str">
        <f aca="false">IF(OR(TRIM(C1154)="",SUBSTITUTE(C1154," ","")="소계"),"제외",IF(ISNUMBER(SEARCH("홍콩",C1154)),"HK",IF(ISNUMBER(SEARCH("상해",C1154)),"CN",IF(ISNUMBER(SEARCH("대만",C1154)),"TW","홀세일"))))</f>
        <v>홀세일</v>
      </c>
      <c r="B1154" s="36" t="s">
        <v>1262</v>
      </c>
      <c r="C1154" s="36" t="s">
        <v>1263</v>
      </c>
      <c r="D1154" s="37" t="s">
        <v>123</v>
      </c>
      <c r="E1154" s="36" t="n">
        <v>2026</v>
      </c>
      <c r="F1154" s="36" t="s">
        <v>110</v>
      </c>
      <c r="G1154" s="37" t="s">
        <v>1111</v>
      </c>
      <c r="H1154" s="36" t="s">
        <v>125</v>
      </c>
      <c r="I1154" s="36" t="s">
        <v>1116</v>
      </c>
      <c r="J1154" s="37" t="s">
        <v>1117</v>
      </c>
      <c r="K1154" s="38" t="n">
        <v>40</v>
      </c>
      <c r="L1154" s="38" t="n">
        <v>1160000</v>
      </c>
      <c r="M1154" s="38" t="n">
        <v>778000</v>
      </c>
      <c r="N1154" s="39" t="n">
        <f aca="false">IF(A1154="제외",0,IF(OR(N(L1154)&lt;=0,N(M1154)&gt;N(L1154)),N(M1154)/요약!$D$27,N(L1154)))</f>
        <v>1160000</v>
      </c>
      <c r="O1154" s="32" t="str">
        <f aca="false">IF(A1154="제외","",IF(OR(N(L1154)&lt;=0,N(M1154)&gt;N(L1154)),"택가보정(판매금액÷공급율)",""))</f>
        <v/>
      </c>
      <c r="P1154" s="0" t="str">
        <f aca="false">IF(A1154="HK","100",IF(A1154="CN","200",IF(A1154="TW","300",IF(ISNUMBER(SEARCH("태국",C1154)),"500",IF(ISNUMBER(SEARCH("말레이",C1154)),"600",IF(ISNUMBER(SEARCH("필리핀",C1154)),"700",IF(ISNUMBER(SEARCH("인도네시아",C1154)),"800",IF(ISNUMBER(SEARCH("크루즈",C1154)),"810",IF(ISNUMBER(SEARCH("동물원",C1154)),"830","")))))))))</f>
        <v>600</v>
      </c>
    </row>
    <row r="1155" customFormat="false" ht="15" hidden="false" customHeight="false" outlineLevel="0" collapsed="false">
      <c r="A1155" s="32" t="str">
        <f aca="false">IF(OR(TRIM(C1155)="",SUBSTITUTE(C1155," ","")="소계"),"제외",IF(ISNUMBER(SEARCH("홍콩",C1155)),"HK",IF(ISNUMBER(SEARCH("상해",C1155)),"CN",IF(ISNUMBER(SEARCH("대만",C1155)),"TW","홀세일"))))</f>
        <v>홀세일</v>
      </c>
      <c r="B1155" s="36" t="s">
        <v>1262</v>
      </c>
      <c r="C1155" s="36" t="s">
        <v>1263</v>
      </c>
      <c r="D1155" s="37" t="s">
        <v>123</v>
      </c>
      <c r="E1155" s="36" t="n">
        <v>2026</v>
      </c>
      <c r="F1155" s="36" t="s">
        <v>110</v>
      </c>
      <c r="G1155" s="37" t="s">
        <v>770</v>
      </c>
      <c r="H1155" s="36" t="s">
        <v>131</v>
      </c>
      <c r="I1155" s="36" t="s">
        <v>1118</v>
      </c>
      <c r="J1155" s="37" t="s">
        <v>1119</v>
      </c>
      <c r="K1155" s="38" t="n">
        <v>15</v>
      </c>
      <c r="L1155" s="38" t="n">
        <v>3675000</v>
      </c>
      <c r="M1155" s="38" t="n">
        <v>1900725</v>
      </c>
      <c r="N1155" s="39" t="n">
        <f aca="false">IF(A1155="제외",0,IF(OR(N(L1155)&lt;=0,N(M1155)&gt;N(L1155)),N(M1155)/요약!$D$27,N(L1155)))</f>
        <v>3675000</v>
      </c>
      <c r="O1155" s="32" t="str">
        <f aca="false">IF(A1155="제외","",IF(OR(N(L1155)&lt;=0,N(M1155)&gt;N(L1155)),"택가보정(판매금액÷공급율)",""))</f>
        <v/>
      </c>
      <c r="P1155" s="0" t="str">
        <f aca="false">IF(A1155="HK","100",IF(A1155="CN","200",IF(A1155="TW","300",IF(ISNUMBER(SEARCH("태국",C1155)),"500",IF(ISNUMBER(SEARCH("말레이",C1155)),"600",IF(ISNUMBER(SEARCH("필리핀",C1155)),"700",IF(ISNUMBER(SEARCH("인도네시아",C1155)),"800",IF(ISNUMBER(SEARCH("크루즈",C1155)),"810",IF(ISNUMBER(SEARCH("동물원",C1155)),"830","")))))))))</f>
        <v>600</v>
      </c>
    </row>
    <row r="1156" customFormat="false" ht="15" hidden="false" customHeight="false" outlineLevel="0" collapsed="false">
      <c r="A1156" s="32" t="str">
        <f aca="false">IF(OR(TRIM(C1156)="",SUBSTITUTE(C1156," ","")="소계"),"제외",IF(ISNUMBER(SEARCH("홍콩",C1156)),"HK",IF(ISNUMBER(SEARCH("상해",C1156)),"CN",IF(ISNUMBER(SEARCH("대만",C1156)),"TW","홀세일"))))</f>
        <v>홀세일</v>
      </c>
      <c r="B1156" s="36" t="s">
        <v>1262</v>
      </c>
      <c r="C1156" s="36" t="s">
        <v>1263</v>
      </c>
      <c r="D1156" s="37" t="s">
        <v>123</v>
      </c>
      <c r="E1156" s="36" t="n">
        <v>2026</v>
      </c>
      <c r="F1156" s="36" t="s">
        <v>110</v>
      </c>
      <c r="G1156" s="37" t="s">
        <v>770</v>
      </c>
      <c r="H1156" s="36" t="s">
        <v>131</v>
      </c>
      <c r="I1156" s="36" t="s">
        <v>1120</v>
      </c>
      <c r="J1156" s="37" t="s">
        <v>1121</v>
      </c>
      <c r="K1156" s="38" t="n">
        <v>20</v>
      </c>
      <c r="L1156" s="38" t="n">
        <v>6900000</v>
      </c>
      <c r="M1156" s="38" t="n">
        <v>3523280</v>
      </c>
      <c r="N1156" s="39" t="n">
        <f aca="false">IF(A1156="제외",0,IF(OR(N(L1156)&lt;=0,N(M1156)&gt;N(L1156)),N(M1156)/요약!$D$27,N(L1156)))</f>
        <v>6900000</v>
      </c>
      <c r="O1156" s="32" t="str">
        <f aca="false">IF(A1156="제외","",IF(OR(N(L1156)&lt;=0,N(M1156)&gt;N(L1156)),"택가보정(판매금액÷공급율)",""))</f>
        <v/>
      </c>
      <c r="P1156" s="0" t="str">
        <f aca="false">IF(A1156="HK","100",IF(A1156="CN","200",IF(A1156="TW","300",IF(ISNUMBER(SEARCH("태국",C1156)),"500",IF(ISNUMBER(SEARCH("말레이",C1156)),"600",IF(ISNUMBER(SEARCH("필리핀",C1156)),"700",IF(ISNUMBER(SEARCH("인도네시아",C1156)),"800",IF(ISNUMBER(SEARCH("크루즈",C1156)),"810",IF(ISNUMBER(SEARCH("동물원",C1156)),"830","")))))))))</f>
        <v>600</v>
      </c>
    </row>
    <row r="1157" customFormat="false" ht="15" hidden="false" customHeight="false" outlineLevel="0" collapsed="false">
      <c r="A1157" s="32" t="str">
        <f aca="false">IF(OR(TRIM(C1157)="",SUBSTITUTE(C1157," ","")="소계"),"제외",IF(ISNUMBER(SEARCH("홍콩",C1157)),"HK",IF(ISNUMBER(SEARCH("상해",C1157)),"CN",IF(ISNUMBER(SEARCH("대만",C1157)),"TW","홀세일"))))</f>
        <v>홀세일</v>
      </c>
      <c r="B1157" s="36" t="s">
        <v>1262</v>
      </c>
      <c r="C1157" s="36" t="s">
        <v>1263</v>
      </c>
      <c r="D1157" s="37" t="s">
        <v>123</v>
      </c>
      <c r="E1157" s="36" t="n">
        <v>2026</v>
      </c>
      <c r="F1157" s="36" t="s">
        <v>110</v>
      </c>
      <c r="G1157" s="37" t="s">
        <v>770</v>
      </c>
      <c r="H1157" s="36" t="s">
        <v>131</v>
      </c>
      <c r="I1157" s="36" t="s">
        <v>1370</v>
      </c>
      <c r="J1157" s="37" t="s">
        <v>1371</v>
      </c>
      <c r="K1157" s="38" t="n">
        <v>10</v>
      </c>
      <c r="L1157" s="38" t="n">
        <v>2980000</v>
      </c>
      <c r="M1157" s="38" t="n">
        <v>1505370</v>
      </c>
      <c r="N1157" s="39" t="n">
        <f aca="false">IF(A1157="제외",0,IF(OR(N(L1157)&lt;=0,N(M1157)&gt;N(L1157)),N(M1157)/요약!$D$27,N(L1157)))</f>
        <v>2980000</v>
      </c>
      <c r="O1157" s="32" t="str">
        <f aca="false">IF(A1157="제외","",IF(OR(N(L1157)&lt;=0,N(M1157)&gt;N(L1157)),"택가보정(판매금액÷공급율)",""))</f>
        <v/>
      </c>
      <c r="P1157" s="0" t="str">
        <f aca="false">IF(A1157="HK","100",IF(A1157="CN","200",IF(A1157="TW","300",IF(ISNUMBER(SEARCH("태국",C1157)),"500",IF(ISNUMBER(SEARCH("말레이",C1157)),"600",IF(ISNUMBER(SEARCH("필리핀",C1157)),"700",IF(ISNUMBER(SEARCH("인도네시아",C1157)),"800",IF(ISNUMBER(SEARCH("크루즈",C1157)),"810",IF(ISNUMBER(SEARCH("동물원",C1157)),"830","")))))))))</f>
        <v>600</v>
      </c>
    </row>
    <row r="1158" customFormat="false" ht="15" hidden="false" customHeight="false" outlineLevel="0" collapsed="false">
      <c r="A1158" s="32" t="str">
        <f aca="false">IF(OR(TRIM(C1158)="",SUBSTITUTE(C1158," ","")="소계"),"제외",IF(ISNUMBER(SEARCH("홍콩",C1158)),"HK",IF(ISNUMBER(SEARCH("상해",C1158)),"CN",IF(ISNUMBER(SEARCH("대만",C1158)),"TW","홀세일"))))</f>
        <v>홀세일</v>
      </c>
      <c r="B1158" s="36" t="s">
        <v>1262</v>
      </c>
      <c r="C1158" s="36" t="s">
        <v>1263</v>
      </c>
      <c r="D1158" s="37" t="s">
        <v>123</v>
      </c>
      <c r="E1158" s="36" t="n">
        <v>2026</v>
      </c>
      <c r="F1158" s="36" t="s">
        <v>110</v>
      </c>
      <c r="G1158" s="37" t="s">
        <v>770</v>
      </c>
      <c r="H1158" s="36" t="s">
        <v>131</v>
      </c>
      <c r="I1158" s="36" t="s">
        <v>1122</v>
      </c>
      <c r="J1158" s="37" t="s">
        <v>1123</v>
      </c>
      <c r="K1158" s="38" t="n">
        <v>5</v>
      </c>
      <c r="L1158" s="38" t="n">
        <v>1545000</v>
      </c>
      <c r="M1158" s="38" t="n">
        <v>798920</v>
      </c>
      <c r="N1158" s="39" t="n">
        <f aca="false">IF(A1158="제외",0,IF(OR(N(L1158)&lt;=0,N(M1158)&gt;N(L1158)),N(M1158)/요약!$D$27,N(L1158)))</f>
        <v>1545000</v>
      </c>
      <c r="O1158" s="32" t="str">
        <f aca="false">IF(A1158="제외","",IF(OR(N(L1158)&lt;=0,N(M1158)&gt;N(L1158)),"택가보정(판매금액÷공급율)",""))</f>
        <v/>
      </c>
      <c r="P1158" s="0" t="str">
        <f aca="false">IF(A1158="HK","100",IF(A1158="CN","200",IF(A1158="TW","300",IF(ISNUMBER(SEARCH("태국",C1158)),"500",IF(ISNUMBER(SEARCH("말레이",C1158)),"600",IF(ISNUMBER(SEARCH("필리핀",C1158)),"700",IF(ISNUMBER(SEARCH("인도네시아",C1158)),"800",IF(ISNUMBER(SEARCH("크루즈",C1158)),"810",IF(ISNUMBER(SEARCH("동물원",C1158)),"830","")))))))))</f>
        <v>600</v>
      </c>
    </row>
    <row r="1159" customFormat="false" ht="15" hidden="false" customHeight="false" outlineLevel="0" collapsed="false">
      <c r="A1159" s="32" t="str">
        <f aca="false">IF(OR(TRIM(C1159)="",SUBSTITUTE(C1159," ","")="소계"),"제외",IF(ISNUMBER(SEARCH("홍콩",C1159)),"HK",IF(ISNUMBER(SEARCH("상해",C1159)),"CN",IF(ISNUMBER(SEARCH("대만",C1159)),"TW","홀세일"))))</f>
        <v>홀세일</v>
      </c>
      <c r="B1159" s="36" t="s">
        <v>1262</v>
      </c>
      <c r="C1159" s="36" t="s">
        <v>1263</v>
      </c>
      <c r="D1159" s="37" t="s">
        <v>123</v>
      </c>
      <c r="E1159" s="36" t="n">
        <v>2026</v>
      </c>
      <c r="F1159" s="36" t="s">
        <v>110</v>
      </c>
      <c r="G1159" s="37" t="s">
        <v>124</v>
      </c>
      <c r="H1159" s="36" t="s">
        <v>125</v>
      </c>
      <c r="I1159" s="36" t="s">
        <v>652</v>
      </c>
      <c r="J1159" s="37" t="s">
        <v>653</v>
      </c>
      <c r="K1159" s="38" t="n">
        <v>30</v>
      </c>
      <c r="L1159" s="38" t="n">
        <v>14970000</v>
      </c>
      <c r="M1159" s="38" t="n">
        <v>5768520</v>
      </c>
      <c r="N1159" s="39" t="n">
        <f aca="false">IF(A1159="제외",0,IF(OR(N(L1159)&lt;=0,N(M1159)&gt;N(L1159)),N(M1159)/요약!$D$27,N(L1159)))</f>
        <v>14970000</v>
      </c>
      <c r="O1159" s="32" t="str">
        <f aca="false">IF(A1159="제외","",IF(OR(N(L1159)&lt;=0,N(M1159)&gt;N(L1159)),"택가보정(판매금액÷공급율)",""))</f>
        <v/>
      </c>
      <c r="P1159" s="0" t="str">
        <f aca="false">IF(A1159="HK","100",IF(A1159="CN","200",IF(A1159="TW","300",IF(ISNUMBER(SEARCH("태국",C1159)),"500",IF(ISNUMBER(SEARCH("말레이",C1159)),"600",IF(ISNUMBER(SEARCH("필리핀",C1159)),"700",IF(ISNUMBER(SEARCH("인도네시아",C1159)),"800",IF(ISNUMBER(SEARCH("크루즈",C1159)),"810",IF(ISNUMBER(SEARCH("동물원",C1159)),"830","")))))))))</f>
        <v>600</v>
      </c>
    </row>
    <row r="1160" customFormat="false" ht="15" hidden="false" customHeight="false" outlineLevel="0" collapsed="false">
      <c r="A1160" s="32" t="str">
        <f aca="false">IF(OR(TRIM(C1160)="",SUBSTITUTE(C1160," ","")="소계"),"제외",IF(ISNUMBER(SEARCH("홍콩",C1160)),"HK",IF(ISNUMBER(SEARCH("상해",C1160)),"CN",IF(ISNUMBER(SEARCH("대만",C1160)),"TW","홀세일"))))</f>
        <v>홀세일</v>
      </c>
      <c r="B1160" s="36" t="s">
        <v>1262</v>
      </c>
      <c r="C1160" s="36" t="s">
        <v>1263</v>
      </c>
      <c r="D1160" s="37" t="s">
        <v>123</v>
      </c>
      <c r="E1160" s="36" t="n">
        <v>2026</v>
      </c>
      <c r="F1160" s="36" t="s">
        <v>110</v>
      </c>
      <c r="G1160" s="37" t="s">
        <v>124</v>
      </c>
      <c r="H1160" s="36" t="s">
        <v>131</v>
      </c>
      <c r="I1160" s="36" t="s">
        <v>654</v>
      </c>
      <c r="J1160" s="37" t="s">
        <v>655</v>
      </c>
      <c r="K1160" s="38" t="n">
        <v>305</v>
      </c>
      <c r="L1160" s="38" t="n">
        <v>14945000</v>
      </c>
      <c r="M1160" s="38" t="n">
        <v>5542765</v>
      </c>
      <c r="N1160" s="39" t="n">
        <f aca="false">IF(A1160="제외",0,IF(OR(N(L1160)&lt;=0,N(M1160)&gt;N(L1160)),N(M1160)/요약!$D$27,N(L1160)))</f>
        <v>14945000</v>
      </c>
      <c r="O1160" s="32" t="str">
        <f aca="false">IF(A1160="제외","",IF(OR(N(L1160)&lt;=0,N(M1160)&gt;N(L1160)),"택가보정(판매금액÷공급율)",""))</f>
        <v/>
      </c>
      <c r="P1160" s="0" t="str">
        <f aca="false">IF(A1160="HK","100",IF(A1160="CN","200",IF(A1160="TW","300",IF(ISNUMBER(SEARCH("태국",C1160)),"500",IF(ISNUMBER(SEARCH("말레이",C1160)),"600",IF(ISNUMBER(SEARCH("필리핀",C1160)),"700",IF(ISNUMBER(SEARCH("인도네시아",C1160)),"800",IF(ISNUMBER(SEARCH("크루즈",C1160)),"810",IF(ISNUMBER(SEARCH("동물원",C1160)),"830","")))))))))</f>
        <v>600</v>
      </c>
    </row>
    <row r="1161" customFormat="false" ht="15" hidden="false" customHeight="false" outlineLevel="0" collapsed="false">
      <c r="A1161" s="32" t="str">
        <f aca="false">IF(OR(TRIM(C1161)="",SUBSTITUTE(C1161," ","")="소계"),"제외",IF(ISNUMBER(SEARCH("홍콩",C1161)),"HK",IF(ISNUMBER(SEARCH("상해",C1161)),"CN",IF(ISNUMBER(SEARCH("대만",C1161)),"TW","홀세일"))))</f>
        <v>홀세일</v>
      </c>
      <c r="B1161" s="36" t="s">
        <v>1262</v>
      </c>
      <c r="C1161" s="36" t="s">
        <v>1263</v>
      </c>
      <c r="D1161" s="37" t="s">
        <v>123</v>
      </c>
      <c r="E1161" s="36" t="n">
        <v>2026</v>
      </c>
      <c r="F1161" s="36" t="s">
        <v>110</v>
      </c>
      <c r="G1161" s="37" t="s">
        <v>124</v>
      </c>
      <c r="H1161" s="36" t="s">
        <v>131</v>
      </c>
      <c r="I1161" s="36" t="s">
        <v>1372</v>
      </c>
      <c r="J1161" s="37" t="s">
        <v>1373</v>
      </c>
      <c r="K1161" s="38" t="n">
        <v>80</v>
      </c>
      <c r="L1161" s="38" t="n">
        <v>3920000</v>
      </c>
      <c r="M1161" s="38" t="n">
        <v>1453840</v>
      </c>
      <c r="N1161" s="39" t="n">
        <f aca="false">IF(A1161="제외",0,IF(OR(N(L1161)&lt;=0,N(M1161)&gt;N(L1161)),N(M1161)/요약!$D$27,N(L1161)))</f>
        <v>3920000</v>
      </c>
      <c r="O1161" s="32" t="str">
        <f aca="false">IF(A1161="제외","",IF(OR(N(L1161)&lt;=0,N(M1161)&gt;N(L1161)),"택가보정(판매금액÷공급율)",""))</f>
        <v/>
      </c>
      <c r="P1161" s="0" t="str">
        <f aca="false">IF(A1161="HK","100",IF(A1161="CN","200",IF(A1161="TW","300",IF(ISNUMBER(SEARCH("태국",C1161)),"500",IF(ISNUMBER(SEARCH("말레이",C1161)),"600",IF(ISNUMBER(SEARCH("필리핀",C1161)),"700",IF(ISNUMBER(SEARCH("인도네시아",C1161)),"800",IF(ISNUMBER(SEARCH("크루즈",C1161)),"810",IF(ISNUMBER(SEARCH("동물원",C1161)),"830","")))))))))</f>
        <v>600</v>
      </c>
    </row>
    <row r="1162" customFormat="false" ht="15" hidden="false" customHeight="false" outlineLevel="0" collapsed="false">
      <c r="A1162" s="32" t="str">
        <f aca="false">IF(OR(TRIM(C1162)="",SUBSTITUTE(C1162," ","")="소계"),"제외",IF(ISNUMBER(SEARCH("홍콩",C1162)),"HK",IF(ISNUMBER(SEARCH("상해",C1162)),"CN",IF(ISNUMBER(SEARCH("대만",C1162)),"TW","홀세일"))))</f>
        <v>홀세일</v>
      </c>
      <c r="B1162" s="36" t="s">
        <v>1262</v>
      </c>
      <c r="C1162" s="36" t="s">
        <v>1263</v>
      </c>
      <c r="D1162" s="37" t="s">
        <v>123</v>
      </c>
      <c r="E1162" s="36" t="n">
        <v>2026</v>
      </c>
      <c r="F1162" s="36" t="s">
        <v>110</v>
      </c>
      <c r="G1162" s="37" t="s">
        <v>124</v>
      </c>
      <c r="H1162" s="36" t="s">
        <v>188</v>
      </c>
      <c r="I1162" s="36" t="s">
        <v>662</v>
      </c>
      <c r="J1162" s="36" t="s">
        <v>663</v>
      </c>
      <c r="K1162" s="38" t="n">
        <v>15</v>
      </c>
      <c r="L1162" s="38" t="n">
        <v>5985000</v>
      </c>
      <c r="M1162" s="38" t="n">
        <v>2305230</v>
      </c>
      <c r="N1162" s="39" t="n">
        <f aca="false">IF(A1162="제외",0,IF(OR(N(L1162)&lt;=0,N(M1162)&gt;N(L1162)),N(M1162)/요약!$D$27,N(L1162)))</f>
        <v>5985000</v>
      </c>
      <c r="O1162" s="32" t="str">
        <f aca="false">IF(A1162="제외","",IF(OR(N(L1162)&lt;=0,N(M1162)&gt;N(L1162)),"택가보정(판매금액÷공급율)",""))</f>
        <v/>
      </c>
      <c r="P1162" s="0" t="str">
        <f aca="false">IF(A1162="HK","100",IF(A1162="CN","200",IF(A1162="TW","300",IF(ISNUMBER(SEARCH("태국",C1162)),"500",IF(ISNUMBER(SEARCH("말레이",C1162)),"600",IF(ISNUMBER(SEARCH("필리핀",C1162)),"700",IF(ISNUMBER(SEARCH("인도네시아",C1162)),"800",IF(ISNUMBER(SEARCH("크루즈",C1162)),"810",IF(ISNUMBER(SEARCH("동물원",C1162)),"830","")))))))))</f>
        <v>600</v>
      </c>
    </row>
    <row r="1163" customFormat="false" ht="15" hidden="false" customHeight="false" outlineLevel="0" collapsed="false">
      <c r="A1163" s="32" t="str">
        <f aca="false">IF(OR(TRIM(C1163)="",SUBSTITUTE(C1163," ","")="소계"),"제외",IF(ISNUMBER(SEARCH("홍콩",C1163)),"HK",IF(ISNUMBER(SEARCH("상해",C1163)),"CN",IF(ISNUMBER(SEARCH("대만",C1163)),"TW","홀세일"))))</f>
        <v>홀세일</v>
      </c>
      <c r="B1163" s="36" t="s">
        <v>1262</v>
      </c>
      <c r="C1163" s="36" t="s">
        <v>1263</v>
      </c>
      <c r="D1163" s="37" t="s">
        <v>664</v>
      </c>
      <c r="E1163" s="36" t="n">
        <v>2026</v>
      </c>
      <c r="F1163" s="37" t="s">
        <v>219</v>
      </c>
      <c r="G1163" s="37" t="s">
        <v>124</v>
      </c>
      <c r="H1163" s="36" t="s">
        <v>673</v>
      </c>
      <c r="I1163" s="36" t="s">
        <v>1374</v>
      </c>
      <c r="J1163" s="36" t="s">
        <v>1375</v>
      </c>
      <c r="K1163" s="38" t="n">
        <v>180</v>
      </c>
      <c r="L1163" s="38" t="n">
        <v>10620000</v>
      </c>
      <c r="M1163" s="38" t="n">
        <v>3827340</v>
      </c>
      <c r="N1163" s="39" t="n">
        <f aca="false">IF(A1163="제외",0,IF(OR(N(L1163)&lt;=0,N(M1163)&gt;N(L1163)),N(M1163)/요약!$D$27,N(L1163)))</f>
        <v>10620000</v>
      </c>
      <c r="O1163" s="32" t="str">
        <f aca="false">IF(A1163="제외","",IF(OR(N(L1163)&lt;=0,N(M1163)&gt;N(L1163)),"택가보정(판매금액÷공급율)",""))</f>
        <v/>
      </c>
      <c r="P1163" s="0" t="str">
        <f aca="false">IF(A1163="HK","100",IF(A1163="CN","200",IF(A1163="TW","300",IF(ISNUMBER(SEARCH("태국",C1163)),"500",IF(ISNUMBER(SEARCH("말레이",C1163)),"600",IF(ISNUMBER(SEARCH("필리핀",C1163)),"700",IF(ISNUMBER(SEARCH("인도네시아",C1163)),"800",IF(ISNUMBER(SEARCH("크루즈",C1163)),"810",IF(ISNUMBER(SEARCH("동물원",C1163)),"830","")))))))))</f>
        <v>600</v>
      </c>
    </row>
    <row r="1164" customFormat="false" ht="15" hidden="false" customHeight="false" outlineLevel="0" collapsed="false">
      <c r="A1164" s="32" t="str">
        <f aca="false">IF(OR(TRIM(C1164)="",SUBSTITUTE(C1164," ","")="소계"),"제외",IF(ISNUMBER(SEARCH("홍콩",C1164)),"HK",IF(ISNUMBER(SEARCH("상해",C1164)),"CN",IF(ISNUMBER(SEARCH("대만",C1164)),"TW","홀세일"))))</f>
        <v>홀세일</v>
      </c>
      <c r="B1164" s="36" t="s">
        <v>1262</v>
      </c>
      <c r="C1164" s="36" t="s">
        <v>1263</v>
      </c>
      <c r="D1164" s="37" t="s">
        <v>664</v>
      </c>
      <c r="E1164" s="36" t="n">
        <v>2026</v>
      </c>
      <c r="F1164" s="37" t="s">
        <v>219</v>
      </c>
      <c r="G1164" s="37" t="s">
        <v>124</v>
      </c>
      <c r="H1164" s="36" t="s">
        <v>673</v>
      </c>
      <c r="I1164" s="36" t="s">
        <v>1376</v>
      </c>
      <c r="J1164" s="37" t="s">
        <v>1377</v>
      </c>
      <c r="K1164" s="38" t="n">
        <v>135</v>
      </c>
      <c r="L1164" s="38" t="n">
        <v>4860000</v>
      </c>
      <c r="M1164" s="38" t="n">
        <v>1782270</v>
      </c>
      <c r="N1164" s="39" t="n">
        <f aca="false">IF(A1164="제외",0,IF(OR(N(L1164)&lt;=0,N(M1164)&gt;N(L1164)),N(M1164)/요약!$D$27,N(L1164)))</f>
        <v>4860000</v>
      </c>
      <c r="O1164" s="32" t="str">
        <f aca="false">IF(A1164="제외","",IF(OR(N(L1164)&lt;=0,N(M1164)&gt;N(L1164)),"택가보정(판매금액÷공급율)",""))</f>
        <v/>
      </c>
      <c r="P1164" s="0" t="str">
        <f aca="false">IF(A1164="HK","100",IF(A1164="CN","200",IF(A1164="TW","300",IF(ISNUMBER(SEARCH("태국",C1164)),"500",IF(ISNUMBER(SEARCH("말레이",C1164)),"600",IF(ISNUMBER(SEARCH("필리핀",C1164)),"700",IF(ISNUMBER(SEARCH("인도네시아",C1164)),"800",IF(ISNUMBER(SEARCH("크루즈",C1164)),"810",IF(ISNUMBER(SEARCH("동물원",C1164)),"830","")))))))))</f>
        <v>600</v>
      </c>
    </row>
    <row r="1165" customFormat="false" ht="15" hidden="false" customHeight="false" outlineLevel="0" collapsed="false">
      <c r="A1165" s="32" t="str">
        <f aca="false">IF(OR(TRIM(C1165)="",SUBSTITUTE(C1165," ","")="소계"),"제외",IF(ISNUMBER(SEARCH("홍콩",C1165)),"HK",IF(ISNUMBER(SEARCH("상해",C1165)),"CN",IF(ISNUMBER(SEARCH("대만",C1165)),"TW","홀세일"))))</f>
        <v>홀세일</v>
      </c>
      <c r="B1165" s="36" t="s">
        <v>1262</v>
      </c>
      <c r="C1165" s="36" t="s">
        <v>1263</v>
      </c>
      <c r="D1165" s="37" t="s">
        <v>664</v>
      </c>
      <c r="E1165" s="36" t="n">
        <v>2026</v>
      </c>
      <c r="F1165" s="37" t="s">
        <v>219</v>
      </c>
      <c r="G1165" s="37" t="s">
        <v>124</v>
      </c>
      <c r="H1165" s="36" t="s">
        <v>673</v>
      </c>
      <c r="I1165" s="36" t="s">
        <v>1378</v>
      </c>
      <c r="J1165" s="37" t="s">
        <v>1379</v>
      </c>
      <c r="K1165" s="38" t="n">
        <v>70</v>
      </c>
      <c r="L1165" s="38" t="n">
        <v>2520000</v>
      </c>
      <c r="M1165" s="38" t="n">
        <v>924140</v>
      </c>
      <c r="N1165" s="39" t="n">
        <f aca="false">IF(A1165="제외",0,IF(OR(N(L1165)&lt;=0,N(M1165)&gt;N(L1165)),N(M1165)/요약!$D$27,N(L1165)))</f>
        <v>2520000</v>
      </c>
      <c r="O1165" s="32" t="str">
        <f aca="false">IF(A1165="제외","",IF(OR(N(L1165)&lt;=0,N(M1165)&gt;N(L1165)),"택가보정(판매금액÷공급율)",""))</f>
        <v/>
      </c>
      <c r="P1165" s="0" t="str">
        <f aca="false">IF(A1165="HK","100",IF(A1165="CN","200",IF(A1165="TW","300",IF(ISNUMBER(SEARCH("태국",C1165)),"500",IF(ISNUMBER(SEARCH("말레이",C1165)),"600",IF(ISNUMBER(SEARCH("필리핀",C1165)),"700",IF(ISNUMBER(SEARCH("인도네시아",C1165)),"800",IF(ISNUMBER(SEARCH("크루즈",C1165)),"810",IF(ISNUMBER(SEARCH("동물원",C1165)),"830","")))))))))</f>
        <v>600</v>
      </c>
    </row>
    <row r="1166" customFormat="false" ht="15" hidden="false" customHeight="false" outlineLevel="0" collapsed="false">
      <c r="A1166" s="32" t="str">
        <f aca="false">IF(OR(TRIM(C1166)="",SUBSTITUTE(C1166," ","")="소계"),"제외",IF(ISNUMBER(SEARCH("홍콩",C1166)),"HK",IF(ISNUMBER(SEARCH("상해",C1166)),"CN",IF(ISNUMBER(SEARCH("대만",C1166)),"TW","홀세일"))))</f>
        <v>홀세일</v>
      </c>
      <c r="B1166" s="36" t="s">
        <v>1262</v>
      </c>
      <c r="C1166" s="36" t="s">
        <v>1263</v>
      </c>
      <c r="D1166" s="37" t="s">
        <v>664</v>
      </c>
      <c r="E1166" s="36" t="n">
        <v>2026</v>
      </c>
      <c r="F1166" s="37" t="s">
        <v>219</v>
      </c>
      <c r="G1166" s="37" t="s">
        <v>124</v>
      </c>
      <c r="H1166" s="36" t="s">
        <v>673</v>
      </c>
      <c r="I1166" s="36" t="s">
        <v>1380</v>
      </c>
      <c r="J1166" s="37" t="s">
        <v>1381</v>
      </c>
      <c r="K1166" s="38" t="n">
        <v>90</v>
      </c>
      <c r="L1166" s="38" t="n">
        <v>3240000</v>
      </c>
      <c r="M1166" s="38" t="n">
        <v>1188180</v>
      </c>
      <c r="N1166" s="39" t="n">
        <f aca="false">IF(A1166="제외",0,IF(OR(N(L1166)&lt;=0,N(M1166)&gt;N(L1166)),N(M1166)/요약!$D$27,N(L1166)))</f>
        <v>3240000</v>
      </c>
      <c r="O1166" s="32" t="str">
        <f aca="false">IF(A1166="제외","",IF(OR(N(L1166)&lt;=0,N(M1166)&gt;N(L1166)),"택가보정(판매금액÷공급율)",""))</f>
        <v/>
      </c>
      <c r="P1166" s="0" t="str">
        <f aca="false">IF(A1166="HK","100",IF(A1166="CN","200",IF(A1166="TW","300",IF(ISNUMBER(SEARCH("태국",C1166)),"500",IF(ISNUMBER(SEARCH("말레이",C1166)),"600",IF(ISNUMBER(SEARCH("필리핀",C1166)),"700",IF(ISNUMBER(SEARCH("인도네시아",C1166)),"800",IF(ISNUMBER(SEARCH("크루즈",C1166)),"810",IF(ISNUMBER(SEARCH("동물원",C1166)),"830","")))))))))</f>
        <v>600</v>
      </c>
    </row>
    <row r="1167" customFormat="false" ht="15" hidden="false" customHeight="false" outlineLevel="0" collapsed="false">
      <c r="A1167" s="32" t="str">
        <f aca="false">IF(OR(TRIM(C1167)="",SUBSTITUTE(C1167," ","")="소계"),"제외",IF(ISNUMBER(SEARCH("홍콩",C1167)),"HK",IF(ISNUMBER(SEARCH("상해",C1167)),"CN",IF(ISNUMBER(SEARCH("대만",C1167)),"TW","홀세일"))))</f>
        <v>홀세일</v>
      </c>
      <c r="B1167" s="36" t="s">
        <v>1262</v>
      </c>
      <c r="C1167" s="36" t="s">
        <v>1263</v>
      </c>
      <c r="D1167" s="37" t="s">
        <v>664</v>
      </c>
      <c r="E1167" s="36" t="n">
        <v>2026</v>
      </c>
      <c r="F1167" s="37" t="s">
        <v>219</v>
      </c>
      <c r="G1167" s="37" t="s">
        <v>124</v>
      </c>
      <c r="H1167" s="36" t="s">
        <v>188</v>
      </c>
      <c r="I1167" s="36" t="s">
        <v>688</v>
      </c>
      <c r="J1167" s="36" t="s">
        <v>689</v>
      </c>
      <c r="K1167" s="38" t="n">
        <v>20</v>
      </c>
      <c r="L1167" s="38" t="n">
        <v>3180000</v>
      </c>
      <c r="M1167" s="38" t="n">
        <v>1155160</v>
      </c>
      <c r="N1167" s="39" t="n">
        <f aca="false">IF(A1167="제외",0,IF(OR(N(L1167)&lt;=0,N(M1167)&gt;N(L1167)),N(M1167)/요약!$D$27,N(L1167)))</f>
        <v>3180000</v>
      </c>
      <c r="O1167" s="32" t="str">
        <f aca="false">IF(A1167="제외","",IF(OR(N(L1167)&lt;=0,N(M1167)&gt;N(L1167)),"택가보정(판매금액÷공급율)",""))</f>
        <v/>
      </c>
      <c r="P1167" s="0" t="str">
        <f aca="false">IF(A1167="HK","100",IF(A1167="CN","200",IF(A1167="TW","300",IF(ISNUMBER(SEARCH("태국",C1167)),"500",IF(ISNUMBER(SEARCH("말레이",C1167)),"600",IF(ISNUMBER(SEARCH("필리핀",C1167)),"700",IF(ISNUMBER(SEARCH("인도네시아",C1167)),"800",IF(ISNUMBER(SEARCH("크루즈",C1167)),"810",IF(ISNUMBER(SEARCH("동물원",C1167)),"830","")))))))))</f>
        <v>600</v>
      </c>
    </row>
    <row r="1168" customFormat="false" ht="15" hidden="false" customHeight="false" outlineLevel="0" collapsed="false">
      <c r="A1168" s="32" t="str">
        <f aca="false">IF(OR(TRIM(C1168)="",SUBSTITUTE(C1168," ","")="소계"),"제외",IF(ISNUMBER(SEARCH("홍콩",C1168)),"HK",IF(ISNUMBER(SEARCH("상해",C1168)),"CN",IF(ISNUMBER(SEARCH("대만",C1168)),"TW","홀세일"))))</f>
        <v>홀세일</v>
      </c>
      <c r="B1168" s="36" t="s">
        <v>1262</v>
      </c>
      <c r="C1168" s="36" t="s">
        <v>1263</v>
      </c>
      <c r="D1168" s="37" t="s">
        <v>664</v>
      </c>
      <c r="E1168" s="36" t="n">
        <v>2026</v>
      </c>
      <c r="F1168" s="37" t="s">
        <v>219</v>
      </c>
      <c r="G1168" s="37" t="s">
        <v>124</v>
      </c>
      <c r="H1168" s="36" t="s">
        <v>188</v>
      </c>
      <c r="I1168" s="36" t="s">
        <v>702</v>
      </c>
      <c r="J1168" s="36" t="s">
        <v>703</v>
      </c>
      <c r="K1168" s="38" t="n">
        <v>15</v>
      </c>
      <c r="L1168" s="38" t="n">
        <v>2535000</v>
      </c>
      <c r="M1168" s="38" t="n">
        <v>920790</v>
      </c>
      <c r="N1168" s="39" t="n">
        <f aca="false">IF(A1168="제외",0,IF(OR(N(L1168)&lt;=0,N(M1168)&gt;N(L1168)),N(M1168)/요약!$D$27,N(L1168)))</f>
        <v>2535000</v>
      </c>
      <c r="O1168" s="32" t="str">
        <f aca="false">IF(A1168="제외","",IF(OR(N(L1168)&lt;=0,N(M1168)&gt;N(L1168)),"택가보정(판매금액÷공급율)",""))</f>
        <v/>
      </c>
      <c r="P1168" s="0" t="str">
        <f aca="false">IF(A1168="HK","100",IF(A1168="CN","200",IF(A1168="TW","300",IF(ISNUMBER(SEARCH("태국",C1168)),"500",IF(ISNUMBER(SEARCH("말레이",C1168)),"600",IF(ISNUMBER(SEARCH("필리핀",C1168)),"700",IF(ISNUMBER(SEARCH("인도네시아",C1168)),"800",IF(ISNUMBER(SEARCH("크루즈",C1168)),"810",IF(ISNUMBER(SEARCH("동물원",C1168)),"830","")))))))))</f>
        <v>600</v>
      </c>
    </row>
    <row r="1169" customFormat="false" ht="15" hidden="false" customHeight="false" outlineLevel="0" collapsed="false">
      <c r="A1169" s="32" t="str">
        <f aca="false">IF(OR(TRIM(C1169)="",SUBSTITUTE(C1169," ","")="소계"),"제외",IF(ISNUMBER(SEARCH("홍콩",C1169)),"HK",IF(ISNUMBER(SEARCH("상해",C1169)),"CN",IF(ISNUMBER(SEARCH("대만",C1169)),"TW","홀세일"))))</f>
        <v>홀세일</v>
      </c>
      <c r="B1169" s="36" t="s">
        <v>1262</v>
      </c>
      <c r="C1169" s="36" t="s">
        <v>1263</v>
      </c>
      <c r="D1169" s="37" t="s">
        <v>664</v>
      </c>
      <c r="E1169" s="36" t="n">
        <v>2026</v>
      </c>
      <c r="F1169" s="37" t="s">
        <v>363</v>
      </c>
      <c r="G1169" s="37" t="s">
        <v>102</v>
      </c>
      <c r="H1169" s="36" t="s">
        <v>673</v>
      </c>
      <c r="I1169" s="36" t="s">
        <v>1382</v>
      </c>
      <c r="J1169" s="37" t="s">
        <v>1383</v>
      </c>
      <c r="K1169" s="38" t="n">
        <v>400</v>
      </c>
      <c r="L1169" s="38" t="n">
        <v>19600000</v>
      </c>
      <c r="M1169" s="38" t="n">
        <v>8097200</v>
      </c>
      <c r="N1169" s="39" t="n">
        <f aca="false">IF(A1169="제외",0,IF(OR(N(L1169)&lt;=0,N(M1169)&gt;N(L1169)),N(M1169)/요약!$D$27,N(L1169)))</f>
        <v>19600000</v>
      </c>
      <c r="O1169" s="32" t="str">
        <f aca="false">IF(A1169="제외","",IF(OR(N(L1169)&lt;=0,N(M1169)&gt;N(L1169)),"택가보정(판매금액÷공급율)",""))</f>
        <v/>
      </c>
      <c r="P1169" s="0" t="str">
        <f aca="false">IF(A1169="HK","100",IF(A1169="CN","200",IF(A1169="TW","300",IF(ISNUMBER(SEARCH("태국",C1169)),"500",IF(ISNUMBER(SEARCH("말레이",C1169)),"600",IF(ISNUMBER(SEARCH("필리핀",C1169)),"700",IF(ISNUMBER(SEARCH("인도네시아",C1169)),"800",IF(ISNUMBER(SEARCH("크루즈",C1169)),"810",IF(ISNUMBER(SEARCH("동물원",C1169)),"830","")))))))))</f>
        <v>600</v>
      </c>
    </row>
    <row r="1170" customFormat="false" ht="15" hidden="false" customHeight="false" outlineLevel="0" collapsed="false">
      <c r="A1170" s="32" t="str">
        <f aca="false">IF(OR(TRIM(C1170)="",SUBSTITUTE(C1170," ","")="소계"),"제외",IF(ISNUMBER(SEARCH("홍콩",C1170)),"HK",IF(ISNUMBER(SEARCH("상해",C1170)),"CN",IF(ISNUMBER(SEARCH("대만",C1170)),"TW","홀세일"))))</f>
        <v>홀세일</v>
      </c>
      <c r="B1170" s="36" t="s">
        <v>1262</v>
      </c>
      <c r="C1170" s="36" t="s">
        <v>1263</v>
      </c>
      <c r="D1170" s="37" t="s">
        <v>664</v>
      </c>
      <c r="E1170" s="36" t="n">
        <v>2026</v>
      </c>
      <c r="F1170" s="37" t="s">
        <v>363</v>
      </c>
      <c r="G1170" s="37" t="s">
        <v>102</v>
      </c>
      <c r="H1170" s="36" t="s">
        <v>673</v>
      </c>
      <c r="I1170" s="36" t="s">
        <v>1384</v>
      </c>
      <c r="J1170" s="37" t="s">
        <v>1385</v>
      </c>
      <c r="K1170" s="38" t="n">
        <v>400</v>
      </c>
      <c r="L1170" s="38" t="n">
        <v>19600000</v>
      </c>
      <c r="M1170" s="38" t="n">
        <v>8097200</v>
      </c>
      <c r="N1170" s="39" t="n">
        <f aca="false">IF(A1170="제외",0,IF(OR(N(L1170)&lt;=0,N(M1170)&gt;N(L1170)),N(M1170)/요약!$D$27,N(L1170)))</f>
        <v>19600000</v>
      </c>
      <c r="O1170" s="32" t="str">
        <f aca="false">IF(A1170="제외","",IF(OR(N(L1170)&lt;=0,N(M1170)&gt;N(L1170)),"택가보정(판매금액÷공급율)",""))</f>
        <v/>
      </c>
      <c r="P1170" s="0" t="str">
        <f aca="false">IF(A1170="HK","100",IF(A1170="CN","200",IF(A1170="TW","300",IF(ISNUMBER(SEARCH("태국",C1170)),"500",IF(ISNUMBER(SEARCH("말레이",C1170)),"600",IF(ISNUMBER(SEARCH("필리핀",C1170)),"700",IF(ISNUMBER(SEARCH("인도네시아",C1170)),"800",IF(ISNUMBER(SEARCH("크루즈",C1170)),"810",IF(ISNUMBER(SEARCH("동물원",C1170)),"830","")))))))))</f>
        <v>600</v>
      </c>
    </row>
    <row r="1171" customFormat="false" ht="15" hidden="false" customHeight="false" outlineLevel="0" collapsed="false">
      <c r="A1171" s="32" t="str">
        <f aca="false">IF(OR(TRIM(C1171)="",SUBSTITUTE(C1171," ","")="소계"),"제외",IF(ISNUMBER(SEARCH("홍콩",C1171)),"HK",IF(ISNUMBER(SEARCH("상해",C1171)),"CN",IF(ISNUMBER(SEARCH("대만",C1171)),"TW","홀세일"))))</f>
        <v>홀세일</v>
      </c>
      <c r="B1171" s="36" t="s">
        <v>1262</v>
      </c>
      <c r="C1171" s="36" t="s">
        <v>1263</v>
      </c>
      <c r="D1171" s="37" t="s">
        <v>664</v>
      </c>
      <c r="E1171" s="36" t="n">
        <v>2026</v>
      </c>
      <c r="F1171" s="37" t="s">
        <v>363</v>
      </c>
      <c r="G1171" s="37" t="s">
        <v>124</v>
      </c>
      <c r="H1171" s="36" t="s">
        <v>131</v>
      </c>
      <c r="I1171" s="36" t="s">
        <v>708</v>
      </c>
      <c r="J1171" s="36" t="s">
        <v>709</v>
      </c>
      <c r="K1171" s="38" t="n">
        <v>20</v>
      </c>
      <c r="L1171" s="38" t="n">
        <v>9380000</v>
      </c>
      <c r="M1171" s="38" t="n">
        <v>3554160</v>
      </c>
      <c r="N1171" s="39" t="n">
        <f aca="false">IF(A1171="제외",0,IF(OR(N(L1171)&lt;=0,N(M1171)&gt;N(L1171)),N(M1171)/요약!$D$27,N(L1171)))</f>
        <v>9380000</v>
      </c>
      <c r="O1171" s="32" t="str">
        <f aca="false">IF(A1171="제외","",IF(OR(N(L1171)&lt;=0,N(M1171)&gt;N(L1171)),"택가보정(판매금액÷공급율)",""))</f>
        <v/>
      </c>
      <c r="P1171" s="0" t="str">
        <f aca="false">IF(A1171="HK","100",IF(A1171="CN","200",IF(A1171="TW","300",IF(ISNUMBER(SEARCH("태국",C1171)),"500",IF(ISNUMBER(SEARCH("말레이",C1171)),"600",IF(ISNUMBER(SEARCH("필리핀",C1171)),"700",IF(ISNUMBER(SEARCH("인도네시아",C1171)),"800",IF(ISNUMBER(SEARCH("크루즈",C1171)),"810",IF(ISNUMBER(SEARCH("동물원",C1171)),"830","")))))))))</f>
        <v>600</v>
      </c>
    </row>
    <row r="1172" customFormat="false" ht="15" hidden="false" customHeight="false" outlineLevel="0" collapsed="false">
      <c r="A1172" s="32" t="str">
        <f aca="false">IF(OR(TRIM(C1172)="",SUBSTITUTE(C1172," ","")="소계"),"제외",IF(ISNUMBER(SEARCH("홍콩",C1172)),"HK",IF(ISNUMBER(SEARCH("상해",C1172)),"CN",IF(ISNUMBER(SEARCH("대만",C1172)),"TW","홀세일"))))</f>
        <v>홀세일</v>
      </c>
      <c r="B1172" s="36" t="s">
        <v>1262</v>
      </c>
      <c r="C1172" s="36" t="s">
        <v>1263</v>
      </c>
      <c r="D1172" s="37" t="s">
        <v>664</v>
      </c>
      <c r="E1172" s="36" t="n">
        <v>2026</v>
      </c>
      <c r="F1172" s="37" t="s">
        <v>363</v>
      </c>
      <c r="G1172" s="37" t="s">
        <v>124</v>
      </c>
      <c r="H1172" s="36" t="s">
        <v>131</v>
      </c>
      <c r="I1172" s="36" t="s">
        <v>1168</v>
      </c>
      <c r="J1172" s="37" t="s">
        <v>1169</v>
      </c>
      <c r="K1172" s="38" t="n">
        <v>20</v>
      </c>
      <c r="L1172" s="38" t="n">
        <v>4180000</v>
      </c>
      <c r="M1172" s="38" t="n">
        <v>1596420</v>
      </c>
      <c r="N1172" s="39" t="n">
        <f aca="false">IF(A1172="제외",0,IF(OR(N(L1172)&lt;=0,N(M1172)&gt;N(L1172)),N(M1172)/요약!$D$27,N(L1172)))</f>
        <v>4180000</v>
      </c>
      <c r="O1172" s="32" t="str">
        <f aca="false">IF(A1172="제외","",IF(OR(N(L1172)&lt;=0,N(M1172)&gt;N(L1172)),"택가보정(판매금액÷공급율)",""))</f>
        <v/>
      </c>
      <c r="P1172" s="0" t="str">
        <f aca="false">IF(A1172="HK","100",IF(A1172="CN","200",IF(A1172="TW","300",IF(ISNUMBER(SEARCH("태국",C1172)),"500",IF(ISNUMBER(SEARCH("말레이",C1172)),"600",IF(ISNUMBER(SEARCH("필리핀",C1172)),"700",IF(ISNUMBER(SEARCH("인도네시아",C1172)),"800",IF(ISNUMBER(SEARCH("크루즈",C1172)),"810",IF(ISNUMBER(SEARCH("동물원",C1172)),"830","")))))))))</f>
        <v>600</v>
      </c>
    </row>
    <row r="1173" customFormat="false" ht="15" hidden="false" customHeight="false" outlineLevel="0" collapsed="false">
      <c r="A1173" s="32" t="str">
        <f aca="false">IF(OR(TRIM(C1173)="",SUBSTITUTE(C1173," ","")="소계"),"제외",IF(ISNUMBER(SEARCH("홍콩",C1173)),"HK",IF(ISNUMBER(SEARCH("상해",C1173)),"CN",IF(ISNUMBER(SEARCH("대만",C1173)),"TW","홀세일"))))</f>
        <v>홀세일</v>
      </c>
      <c r="B1173" s="36" t="s">
        <v>1262</v>
      </c>
      <c r="C1173" s="36" t="s">
        <v>1263</v>
      </c>
      <c r="D1173" s="37" t="s">
        <v>664</v>
      </c>
      <c r="E1173" s="36" t="n">
        <v>2026</v>
      </c>
      <c r="F1173" s="37" t="s">
        <v>363</v>
      </c>
      <c r="G1173" s="37" t="s">
        <v>124</v>
      </c>
      <c r="H1173" s="36" t="s">
        <v>131</v>
      </c>
      <c r="I1173" s="36" t="s">
        <v>1172</v>
      </c>
      <c r="J1173" s="37" t="s">
        <v>1173</v>
      </c>
      <c r="K1173" s="38" t="n">
        <v>35</v>
      </c>
      <c r="L1173" s="38" t="n">
        <v>4865000</v>
      </c>
      <c r="M1173" s="38" t="n">
        <v>1783005</v>
      </c>
      <c r="N1173" s="39" t="n">
        <f aca="false">IF(A1173="제외",0,IF(OR(N(L1173)&lt;=0,N(M1173)&gt;N(L1173)),N(M1173)/요약!$D$27,N(L1173)))</f>
        <v>4865000</v>
      </c>
      <c r="O1173" s="32" t="str">
        <f aca="false">IF(A1173="제외","",IF(OR(N(L1173)&lt;=0,N(M1173)&gt;N(L1173)),"택가보정(판매금액÷공급율)",""))</f>
        <v/>
      </c>
      <c r="P1173" s="0" t="str">
        <f aca="false">IF(A1173="HK","100",IF(A1173="CN","200",IF(A1173="TW","300",IF(ISNUMBER(SEARCH("태국",C1173)),"500",IF(ISNUMBER(SEARCH("말레이",C1173)),"600",IF(ISNUMBER(SEARCH("필리핀",C1173)),"700",IF(ISNUMBER(SEARCH("인도네시아",C1173)),"800",IF(ISNUMBER(SEARCH("크루즈",C1173)),"810",IF(ISNUMBER(SEARCH("동물원",C1173)),"830","")))))))))</f>
        <v>600</v>
      </c>
    </row>
    <row r="1174" customFormat="false" ht="15" hidden="false" customHeight="false" outlineLevel="0" collapsed="false">
      <c r="A1174" s="32" t="str">
        <f aca="false">IF(OR(TRIM(C1174)="",SUBSTITUTE(C1174," ","")="소계"),"제외",IF(ISNUMBER(SEARCH("홍콩",C1174)),"HK",IF(ISNUMBER(SEARCH("상해",C1174)),"CN",IF(ISNUMBER(SEARCH("대만",C1174)),"TW","홀세일"))))</f>
        <v>홀세일</v>
      </c>
      <c r="B1174" s="36" t="s">
        <v>1262</v>
      </c>
      <c r="C1174" s="36" t="s">
        <v>1263</v>
      </c>
      <c r="D1174" s="37" t="s">
        <v>664</v>
      </c>
      <c r="E1174" s="36" t="n">
        <v>2026</v>
      </c>
      <c r="F1174" s="37" t="s">
        <v>363</v>
      </c>
      <c r="G1174" s="37" t="s">
        <v>124</v>
      </c>
      <c r="H1174" s="36" t="s">
        <v>673</v>
      </c>
      <c r="I1174" s="36" t="s">
        <v>1386</v>
      </c>
      <c r="J1174" s="37" t="s">
        <v>1387</v>
      </c>
      <c r="K1174" s="38" t="n">
        <v>401</v>
      </c>
      <c r="L1174" s="38" t="n">
        <v>27669000</v>
      </c>
      <c r="M1174" s="38" t="n">
        <v>10328900</v>
      </c>
      <c r="N1174" s="39" t="n">
        <f aca="false">IF(A1174="제외",0,IF(OR(N(L1174)&lt;=0,N(M1174)&gt;N(L1174)),N(M1174)/요약!$D$27,N(L1174)))</f>
        <v>27669000</v>
      </c>
      <c r="O1174" s="32" t="str">
        <f aca="false">IF(A1174="제외","",IF(OR(N(L1174)&lt;=0,N(M1174)&gt;N(L1174)),"택가보정(판매금액÷공급율)",""))</f>
        <v/>
      </c>
      <c r="P1174" s="0" t="str">
        <f aca="false">IF(A1174="HK","100",IF(A1174="CN","200",IF(A1174="TW","300",IF(ISNUMBER(SEARCH("태국",C1174)),"500",IF(ISNUMBER(SEARCH("말레이",C1174)),"600",IF(ISNUMBER(SEARCH("필리핀",C1174)),"700",IF(ISNUMBER(SEARCH("인도네시아",C1174)),"800",IF(ISNUMBER(SEARCH("크루즈",C1174)),"810",IF(ISNUMBER(SEARCH("동물원",C1174)),"830","")))))))))</f>
        <v>600</v>
      </c>
    </row>
    <row r="1175" customFormat="false" ht="15" hidden="false" customHeight="false" outlineLevel="0" collapsed="false">
      <c r="A1175" s="32" t="str">
        <f aca="false">IF(OR(TRIM(C1175)="",SUBSTITUTE(C1175," ","")="소계"),"제외",IF(ISNUMBER(SEARCH("홍콩",C1175)),"HK",IF(ISNUMBER(SEARCH("상해",C1175)),"CN",IF(ISNUMBER(SEARCH("대만",C1175)),"TW","홀세일"))))</f>
        <v>홀세일</v>
      </c>
      <c r="B1175" s="36" t="s">
        <v>1262</v>
      </c>
      <c r="C1175" s="36" t="s">
        <v>1263</v>
      </c>
      <c r="D1175" s="37" t="s">
        <v>664</v>
      </c>
      <c r="E1175" s="36" t="n">
        <v>2026</v>
      </c>
      <c r="F1175" s="37" t="s">
        <v>363</v>
      </c>
      <c r="G1175" s="37" t="s">
        <v>124</v>
      </c>
      <c r="H1175" s="36" t="s">
        <v>673</v>
      </c>
      <c r="I1175" s="36" t="s">
        <v>1388</v>
      </c>
      <c r="J1175" s="37" t="s">
        <v>1389</v>
      </c>
      <c r="K1175" s="38" t="n">
        <v>401</v>
      </c>
      <c r="L1175" s="38" t="n">
        <v>27669000</v>
      </c>
      <c r="M1175" s="38" t="n">
        <v>10328900</v>
      </c>
      <c r="N1175" s="39" t="n">
        <f aca="false">IF(A1175="제외",0,IF(OR(N(L1175)&lt;=0,N(M1175)&gt;N(L1175)),N(M1175)/요약!$D$27,N(L1175)))</f>
        <v>27669000</v>
      </c>
      <c r="O1175" s="32" t="str">
        <f aca="false">IF(A1175="제외","",IF(OR(N(L1175)&lt;=0,N(M1175)&gt;N(L1175)),"택가보정(판매금액÷공급율)",""))</f>
        <v/>
      </c>
      <c r="P1175" s="0" t="str">
        <f aca="false">IF(A1175="HK","100",IF(A1175="CN","200",IF(A1175="TW","300",IF(ISNUMBER(SEARCH("태국",C1175)),"500",IF(ISNUMBER(SEARCH("말레이",C1175)),"600",IF(ISNUMBER(SEARCH("필리핀",C1175)),"700",IF(ISNUMBER(SEARCH("인도네시아",C1175)),"800",IF(ISNUMBER(SEARCH("크루즈",C1175)),"810",IF(ISNUMBER(SEARCH("동물원",C1175)),"830","")))))))))</f>
        <v>600</v>
      </c>
    </row>
    <row r="1176" customFormat="false" ht="15" hidden="false" customHeight="false" outlineLevel="0" collapsed="false">
      <c r="A1176" s="32" t="str">
        <f aca="false">IF(OR(TRIM(C1176)="",SUBSTITUTE(C1176," ","")="소계"),"제외",IF(ISNUMBER(SEARCH("홍콩",C1176)),"HK",IF(ISNUMBER(SEARCH("상해",C1176)),"CN",IF(ISNUMBER(SEARCH("대만",C1176)),"TW","홀세일"))))</f>
        <v>홀세일</v>
      </c>
      <c r="B1176" s="36" t="s">
        <v>1262</v>
      </c>
      <c r="C1176" s="36" t="s">
        <v>1263</v>
      </c>
      <c r="D1176" s="37" t="s">
        <v>664</v>
      </c>
      <c r="E1176" s="36" t="n">
        <v>2026</v>
      </c>
      <c r="F1176" s="37" t="s">
        <v>363</v>
      </c>
      <c r="G1176" s="37" t="s">
        <v>124</v>
      </c>
      <c r="H1176" s="36" t="s">
        <v>673</v>
      </c>
      <c r="I1176" s="36" t="s">
        <v>1390</v>
      </c>
      <c r="J1176" s="37" t="s">
        <v>1391</v>
      </c>
      <c r="K1176" s="38" t="n">
        <v>401</v>
      </c>
      <c r="L1176" s="38" t="n">
        <v>27669000</v>
      </c>
      <c r="M1176" s="38" t="n">
        <v>10328900</v>
      </c>
      <c r="N1176" s="39" t="n">
        <f aca="false">IF(A1176="제외",0,IF(OR(N(L1176)&lt;=0,N(M1176)&gt;N(L1176)),N(M1176)/요약!$D$27,N(L1176)))</f>
        <v>27669000</v>
      </c>
      <c r="O1176" s="32" t="str">
        <f aca="false">IF(A1176="제외","",IF(OR(N(L1176)&lt;=0,N(M1176)&gt;N(L1176)),"택가보정(판매금액÷공급율)",""))</f>
        <v/>
      </c>
      <c r="P1176" s="0" t="str">
        <f aca="false">IF(A1176="HK","100",IF(A1176="CN","200",IF(A1176="TW","300",IF(ISNUMBER(SEARCH("태국",C1176)),"500",IF(ISNUMBER(SEARCH("말레이",C1176)),"600",IF(ISNUMBER(SEARCH("필리핀",C1176)),"700",IF(ISNUMBER(SEARCH("인도네시아",C1176)),"800",IF(ISNUMBER(SEARCH("크루즈",C1176)),"810",IF(ISNUMBER(SEARCH("동물원",C1176)),"830","")))))))))</f>
        <v>600</v>
      </c>
    </row>
    <row r="1177" customFormat="false" ht="15" hidden="false" customHeight="false" outlineLevel="0" collapsed="false">
      <c r="A1177" s="32" t="str">
        <f aca="false">IF(OR(TRIM(C1177)="",SUBSTITUTE(C1177," ","")="소계"),"제외",IF(ISNUMBER(SEARCH("홍콩",C1177)),"HK",IF(ISNUMBER(SEARCH("상해",C1177)),"CN",IF(ISNUMBER(SEARCH("대만",C1177)),"TW","홀세일"))))</f>
        <v>홀세일</v>
      </c>
      <c r="B1177" s="36" t="s">
        <v>1262</v>
      </c>
      <c r="C1177" s="36" t="s">
        <v>1263</v>
      </c>
      <c r="D1177" s="37" t="s">
        <v>664</v>
      </c>
      <c r="E1177" s="36" t="n">
        <v>2026</v>
      </c>
      <c r="F1177" s="37" t="s">
        <v>363</v>
      </c>
      <c r="G1177" s="37" t="s">
        <v>124</v>
      </c>
      <c r="H1177" s="36" t="s">
        <v>673</v>
      </c>
      <c r="I1177" s="36" t="s">
        <v>1392</v>
      </c>
      <c r="J1177" s="37" t="s">
        <v>1393</v>
      </c>
      <c r="K1177" s="38" t="n">
        <v>401</v>
      </c>
      <c r="L1177" s="38" t="n">
        <v>27669000</v>
      </c>
      <c r="M1177" s="38" t="n">
        <v>10328900</v>
      </c>
      <c r="N1177" s="39" t="n">
        <f aca="false">IF(A1177="제외",0,IF(OR(N(L1177)&lt;=0,N(M1177)&gt;N(L1177)),N(M1177)/요약!$D$27,N(L1177)))</f>
        <v>27669000</v>
      </c>
      <c r="O1177" s="32" t="str">
        <f aca="false">IF(A1177="제외","",IF(OR(N(L1177)&lt;=0,N(M1177)&gt;N(L1177)),"택가보정(판매금액÷공급율)",""))</f>
        <v/>
      </c>
      <c r="P1177" s="0" t="str">
        <f aca="false">IF(A1177="HK","100",IF(A1177="CN","200",IF(A1177="TW","300",IF(ISNUMBER(SEARCH("태국",C1177)),"500",IF(ISNUMBER(SEARCH("말레이",C1177)),"600",IF(ISNUMBER(SEARCH("필리핀",C1177)),"700",IF(ISNUMBER(SEARCH("인도네시아",C1177)),"800",IF(ISNUMBER(SEARCH("크루즈",C1177)),"810",IF(ISNUMBER(SEARCH("동물원",C1177)),"830","")))))))))</f>
        <v>600</v>
      </c>
    </row>
    <row r="1178" customFormat="false" ht="15" hidden="false" customHeight="false" outlineLevel="0" collapsed="false">
      <c r="A1178" s="32" t="str">
        <f aca="false">IF(OR(TRIM(C1178)="",SUBSTITUTE(C1178," ","")="소계"),"제외",IF(ISNUMBER(SEARCH("홍콩",C1178)),"HK",IF(ISNUMBER(SEARCH("상해",C1178)),"CN",IF(ISNUMBER(SEARCH("대만",C1178)),"TW","홀세일"))))</f>
        <v>홀세일</v>
      </c>
      <c r="B1178" s="36" t="s">
        <v>1262</v>
      </c>
      <c r="C1178" s="36" t="s">
        <v>1263</v>
      </c>
      <c r="D1178" s="37" t="s">
        <v>664</v>
      </c>
      <c r="E1178" s="36" t="n">
        <v>2026</v>
      </c>
      <c r="F1178" s="37" t="s">
        <v>363</v>
      </c>
      <c r="G1178" s="37" t="s">
        <v>124</v>
      </c>
      <c r="H1178" s="36" t="s">
        <v>188</v>
      </c>
      <c r="I1178" s="36" t="s">
        <v>730</v>
      </c>
      <c r="J1178" s="36" t="s">
        <v>731</v>
      </c>
      <c r="K1178" s="38" t="n">
        <v>20</v>
      </c>
      <c r="L1178" s="38" t="n">
        <v>2180000</v>
      </c>
      <c r="M1178" s="38" t="n">
        <v>746380</v>
      </c>
      <c r="N1178" s="39" t="n">
        <f aca="false">IF(A1178="제외",0,IF(OR(N(L1178)&lt;=0,N(M1178)&gt;N(L1178)),N(M1178)/요약!$D$27,N(L1178)))</f>
        <v>2180000</v>
      </c>
      <c r="O1178" s="32" t="str">
        <f aca="false">IF(A1178="제외","",IF(OR(N(L1178)&lt;=0,N(M1178)&gt;N(L1178)),"택가보정(판매금액÷공급율)",""))</f>
        <v/>
      </c>
      <c r="P1178" s="0" t="str">
        <f aca="false">IF(A1178="HK","100",IF(A1178="CN","200",IF(A1178="TW","300",IF(ISNUMBER(SEARCH("태국",C1178)),"500",IF(ISNUMBER(SEARCH("말레이",C1178)),"600",IF(ISNUMBER(SEARCH("필리핀",C1178)),"700",IF(ISNUMBER(SEARCH("인도네시아",C1178)),"800",IF(ISNUMBER(SEARCH("크루즈",C1178)),"810",IF(ISNUMBER(SEARCH("동물원",C1178)),"830","")))))))))</f>
        <v>600</v>
      </c>
    </row>
    <row r="1179" customFormat="false" ht="15" hidden="false" customHeight="false" outlineLevel="0" collapsed="false">
      <c r="A1179" s="32" t="str">
        <f aca="false">IF(OR(TRIM(C1179)="",SUBSTITUTE(C1179," ","")="소계"),"제외",IF(ISNUMBER(SEARCH("홍콩",C1179)),"HK",IF(ISNUMBER(SEARCH("상해",C1179)),"CN",IF(ISNUMBER(SEARCH("대만",C1179)),"TW","홀세일"))))</f>
        <v>홀세일</v>
      </c>
      <c r="B1179" s="36" t="s">
        <v>1262</v>
      </c>
      <c r="C1179" s="36" t="s">
        <v>1263</v>
      </c>
      <c r="D1179" s="37" t="s">
        <v>664</v>
      </c>
      <c r="E1179" s="36" t="n">
        <v>2026</v>
      </c>
      <c r="F1179" s="37" t="s">
        <v>363</v>
      </c>
      <c r="G1179" s="37" t="s">
        <v>124</v>
      </c>
      <c r="H1179" s="36" t="s">
        <v>188</v>
      </c>
      <c r="I1179" s="36" t="s">
        <v>734</v>
      </c>
      <c r="J1179" s="36" t="s">
        <v>735</v>
      </c>
      <c r="K1179" s="38" t="n">
        <v>30</v>
      </c>
      <c r="L1179" s="38" t="n">
        <v>5970000</v>
      </c>
      <c r="M1179" s="38" t="n">
        <v>1834830</v>
      </c>
      <c r="N1179" s="39" t="n">
        <f aca="false">IF(A1179="제외",0,IF(OR(N(L1179)&lt;=0,N(M1179)&gt;N(L1179)),N(M1179)/요약!$D$27,N(L1179)))</f>
        <v>5970000</v>
      </c>
      <c r="O1179" s="32" t="str">
        <f aca="false">IF(A1179="제외","",IF(OR(N(L1179)&lt;=0,N(M1179)&gt;N(L1179)),"택가보정(판매금액÷공급율)",""))</f>
        <v/>
      </c>
      <c r="P1179" s="0" t="str">
        <f aca="false">IF(A1179="HK","100",IF(A1179="CN","200",IF(A1179="TW","300",IF(ISNUMBER(SEARCH("태국",C1179)),"500",IF(ISNUMBER(SEARCH("말레이",C1179)),"600",IF(ISNUMBER(SEARCH("필리핀",C1179)),"700",IF(ISNUMBER(SEARCH("인도네시아",C1179)),"800",IF(ISNUMBER(SEARCH("크루즈",C1179)),"810",IF(ISNUMBER(SEARCH("동물원",C1179)),"830","")))))))))</f>
        <v>600</v>
      </c>
    </row>
    <row r="1180" customFormat="false" ht="15" hidden="false" customHeight="false" outlineLevel="0" collapsed="false">
      <c r="A1180" s="32" t="str">
        <f aca="false">IF(OR(TRIM(C1180)="",SUBSTITUTE(C1180," ","")="소계"),"제외",IF(ISNUMBER(SEARCH("홍콩",C1180)),"HK",IF(ISNUMBER(SEARCH("상해",C1180)),"CN",IF(ISNUMBER(SEARCH("대만",C1180)),"TW","홀세일"))))</f>
        <v>홀세일</v>
      </c>
      <c r="B1180" s="36" t="s">
        <v>1262</v>
      </c>
      <c r="C1180" s="36" t="s">
        <v>1263</v>
      </c>
      <c r="D1180" s="37" t="s">
        <v>664</v>
      </c>
      <c r="E1180" s="36" t="n">
        <v>2026</v>
      </c>
      <c r="F1180" s="37" t="s">
        <v>363</v>
      </c>
      <c r="G1180" s="37" t="s">
        <v>124</v>
      </c>
      <c r="H1180" s="36" t="s">
        <v>188</v>
      </c>
      <c r="I1180" s="36" t="s">
        <v>1180</v>
      </c>
      <c r="J1180" s="36" t="s">
        <v>1181</v>
      </c>
      <c r="K1180" s="38" t="n">
        <v>65</v>
      </c>
      <c r="L1180" s="38" t="n">
        <v>3835000</v>
      </c>
      <c r="M1180" s="38" t="n">
        <v>1325805</v>
      </c>
      <c r="N1180" s="39" t="n">
        <f aca="false">IF(A1180="제외",0,IF(OR(N(L1180)&lt;=0,N(M1180)&gt;N(L1180)),N(M1180)/요약!$D$27,N(L1180)))</f>
        <v>3835000</v>
      </c>
      <c r="O1180" s="32" t="str">
        <f aca="false">IF(A1180="제외","",IF(OR(N(L1180)&lt;=0,N(M1180)&gt;N(L1180)),"택가보정(판매금액÷공급율)",""))</f>
        <v/>
      </c>
      <c r="P1180" s="0" t="str">
        <f aca="false">IF(A1180="HK","100",IF(A1180="CN","200",IF(A1180="TW","300",IF(ISNUMBER(SEARCH("태국",C1180)),"500",IF(ISNUMBER(SEARCH("말레이",C1180)),"600",IF(ISNUMBER(SEARCH("필리핀",C1180)),"700",IF(ISNUMBER(SEARCH("인도네시아",C1180)),"800",IF(ISNUMBER(SEARCH("크루즈",C1180)),"810",IF(ISNUMBER(SEARCH("동물원",C1180)),"830","")))))))))</f>
        <v>600</v>
      </c>
    </row>
    <row r="1181" customFormat="false" ht="15" hidden="false" customHeight="false" outlineLevel="0" collapsed="false">
      <c r="A1181" s="32" t="str">
        <f aca="false">IF(OR(TRIM(C1181)="",SUBSTITUTE(C1181," ","")="소계"),"제외",IF(ISNUMBER(SEARCH("홍콩",C1181)),"HK",IF(ISNUMBER(SEARCH("상해",C1181)),"CN",IF(ISNUMBER(SEARCH("대만",C1181)),"TW","홀세일"))))</f>
        <v>홀세일</v>
      </c>
      <c r="B1181" s="36" t="s">
        <v>1262</v>
      </c>
      <c r="C1181" s="36" t="s">
        <v>1263</v>
      </c>
      <c r="D1181" s="37" t="s">
        <v>664</v>
      </c>
      <c r="E1181" s="36" t="n">
        <v>2026</v>
      </c>
      <c r="F1181" s="37" t="s">
        <v>474</v>
      </c>
      <c r="G1181" s="37" t="s">
        <v>124</v>
      </c>
      <c r="H1181" s="36" t="s">
        <v>131</v>
      </c>
      <c r="I1181" s="36" t="s">
        <v>1186</v>
      </c>
      <c r="J1181" s="37" t="s">
        <v>1187</v>
      </c>
      <c r="K1181" s="38" t="n">
        <v>30</v>
      </c>
      <c r="L1181" s="38" t="n">
        <v>5370000</v>
      </c>
      <c r="M1181" s="38" t="n">
        <v>2059650</v>
      </c>
      <c r="N1181" s="39" t="n">
        <f aca="false">IF(A1181="제외",0,IF(OR(N(L1181)&lt;=0,N(M1181)&gt;N(L1181)),N(M1181)/요약!$D$27,N(L1181)))</f>
        <v>5370000</v>
      </c>
      <c r="O1181" s="32" t="str">
        <f aca="false">IF(A1181="제외","",IF(OR(N(L1181)&lt;=0,N(M1181)&gt;N(L1181)),"택가보정(판매금액÷공급율)",""))</f>
        <v/>
      </c>
      <c r="P1181" s="0" t="str">
        <f aca="false">IF(A1181="HK","100",IF(A1181="CN","200",IF(A1181="TW","300",IF(ISNUMBER(SEARCH("태국",C1181)),"500",IF(ISNUMBER(SEARCH("말레이",C1181)),"600",IF(ISNUMBER(SEARCH("필리핀",C1181)),"700",IF(ISNUMBER(SEARCH("인도네시아",C1181)),"800",IF(ISNUMBER(SEARCH("크루즈",C1181)),"810",IF(ISNUMBER(SEARCH("동물원",C1181)),"830","")))))))))</f>
        <v>600</v>
      </c>
    </row>
    <row r="1182" customFormat="false" ht="15" hidden="false" customHeight="false" outlineLevel="0" collapsed="false">
      <c r="A1182" s="32" t="str">
        <f aca="false">IF(OR(TRIM(C1182)="",SUBSTITUTE(C1182," ","")="소계"),"제외",IF(ISNUMBER(SEARCH("홍콩",C1182)),"HK",IF(ISNUMBER(SEARCH("상해",C1182)),"CN",IF(ISNUMBER(SEARCH("대만",C1182)),"TW","홀세일"))))</f>
        <v>홀세일</v>
      </c>
      <c r="B1182" s="36" t="s">
        <v>1262</v>
      </c>
      <c r="C1182" s="36" t="s">
        <v>1263</v>
      </c>
      <c r="D1182" s="37" t="s">
        <v>664</v>
      </c>
      <c r="E1182" s="36" t="n">
        <v>2026</v>
      </c>
      <c r="F1182" s="37" t="s">
        <v>474</v>
      </c>
      <c r="G1182" s="37" t="s">
        <v>124</v>
      </c>
      <c r="H1182" s="36" t="s">
        <v>125</v>
      </c>
      <c r="I1182" s="36" t="s">
        <v>736</v>
      </c>
      <c r="J1182" s="37" t="s">
        <v>737</v>
      </c>
      <c r="K1182" s="38" t="n">
        <v>20</v>
      </c>
      <c r="L1182" s="38" t="n">
        <v>17580000</v>
      </c>
      <c r="M1182" s="38" t="n">
        <v>6102340</v>
      </c>
      <c r="N1182" s="39" t="n">
        <f aca="false">IF(A1182="제외",0,IF(OR(N(L1182)&lt;=0,N(M1182)&gt;N(L1182)),N(M1182)/요약!$D$27,N(L1182)))</f>
        <v>17580000</v>
      </c>
      <c r="O1182" s="32" t="str">
        <f aca="false">IF(A1182="제외","",IF(OR(N(L1182)&lt;=0,N(M1182)&gt;N(L1182)),"택가보정(판매금액÷공급율)",""))</f>
        <v/>
      </c>
      <c r="P1182" s="0" t="str">
        <f aca="false">IF(A1182="HK","100",IF(A1182="CN","200",IF(A1182="TW","300",IF(ISNUMBER(SEARCH("태국",C1182)),"500",IF(ISNUMBER(SEARCH("말레이",C1182)),"600",IF(ISNUMBER(SEARCH("필리핀",C1182)),"700",IF(ISNUMBER(SEARCH("인도네시아",C1182)),"800",IF(ISNUMBER(SEARCH("크루즈",C1182)),"810",IF(ISNUMBER(SEARCH("동물원",C1182)),"830","")))))))))</f>
        <v>600</v>
      </c>
    </row>
    <row r="1183" customFormat="false" ht="15" hidden="false" customHeight="false" outlineLevel="0" collapsed="false">
      <c r="A1183" s="32" t="str">
        <f aca="false">IF(OR(TRIM(C1183)="",SUBSTITUTE(C1183," ","")="소계"),"제외",IF(ISNUMBER(SEARCH("홍콩",C1183)),"HK",IF(ISNUMBER(SEARCH("상해",C1183)),"CN",IF(ISNUMBER(SEARCH("대만",C1183)),"TW","홀세일"))))</f>
        <v>홀세일</v>
      </c>
      <c r="B1183" s="36" t="s">
        <v>1262</v>
      </c>
      <c r="C1183" s="36" t="s">
        <v>1263</v>
      </c>
      <c r="D1183" s="37" t="s">
        <v>664</v>
      </c>
      <c r="E1183" s="36" t="n">
        <v>2026</v>
      </c>
      <c r="F1183" s="37" t="s">
        <v>474</v>
      </c>
      <c r="G1183" s="37" t="s">
        <v>124</v>
      </c>
      <c r="H1183" s="36" t="s">
        <v>131</v>
      </c>
      <c r="I1183" s="36" t="s">
        <v>1208</v>
      </c>
      <c r="J1183" s="37" t="s">
        <v>1209</v>
      </c>
      <c r="K1183" s="38" t="n">
        <v>20</v>
      </c>
      <c r="L1183" s="38" t="n">
        <v>2180000</v>
      </c>
      <c r="M1183" s="38" t="n">
        <v>739840</v>
      </c>
      <c r="N1183" s="39" t="n">
        <f aca="false">IF(A1183="제외",0,IF(OR(N(L1183)&lt;=0,N(M1183)&gt;N(L1183)),N(M1183)/요약!$D$27,N(L1183)))</f>
        <v>2180000</v>
      </c>
      <c r="O1183" s="32" t="str">
        <f aca="false">IF(A1183="제외","",IF(OR(N(L1183)&lt;=0,N(M1183)&gt;N(L1183)),"택가보정(판매금액÷공급율)",""))</f>
        <v/>
      </c>
      <c r="P1183" s="0" t="str">
        <f aca="false">IF(A1183="HK","100",IF(A1183="CN","200",IF(A1183="TW","300",IF(ISNUMBER(SEARCH("태국",C1183)),"500",IF(ISNUMBER(SEARCH("말레이",C1183)),"600",IF(ISNUMBER(SEARCH("필리핀",C1183)),"700",IF(ISNUMBER(SEARCH("인도네시아",C1183)),"800",IF(ISNUMBER(SEARCH("크루즈",C1183)),"810",IF(ISNUMBER(SEARCH("동물원",C1183)),"830","")))))))))</f>
        <v>600</v>
      </c>
    </row>
    <row r="1184" customFormat="false" ht="15" hidden="false" customHeight="false" outlineLevel="0" collapsed="false">
      <c r="A1184" s="32" t="str">
        <f aca="false">IF(OR(TRIM(C1184)="",SUBSTITUTE(C1184," ","")="소계"),"제외",IF(ISNUMBER(SEARCH("홍콩",C1184)),"HK",IF(ISNUMBER(SEARCH("상해",C1184)),"CN",IF(ISNUMBER(SEARCH("대만",C1184)),"TW","홀세일"))))</f>
        <v>홀세일</v>
      </c>
      <c r="B1184" s="36" t="s">
        <v>1262</v>
      </c>
      <c r="C1184" s="36" t="s">
        <v>1263</v>
      </c>
      <c r="D1184" s="37" t="s">
        <v>664</v>
      </c>
      <c r="E1184" s="36" t="n">
        <v>2026</v>
      </c>
      <c r="F1184" s="37" t="s">
        <v>474</v>
      </c>
      <c r="G1184" s="37" t="s">
        <v>124</v>
      </c>
      <c r="H1184" s="36" t="s">
        <v>188</v>
      </c>
      <c r="I1184" s="36" t="s">
        <v>738</v>
      </c>
      <c r="J1184" s="36" t="s">
        <v>739</v>
      </c>
      <c r="K1184" s="38" t="n">
        <v>20</v>
      </c>
      <c r="L1184" s="38" t="n">
        <v>15980000</v>
      </c>
      <c r="M1184" s="38" t="n">
        <v>5410780</v>
      </c>
      <c r="N1184" s="39" t="n">
        <f aca="false">IF(A1184="제외",0,IF(OR(N(L1184)&lt;=0,N(M1184)&gt;N(L1184)),N(M1184)/요약!$D$27,N(L1184)))</f>
        <v>15980000</v>
      </c>
      <c r="O1184" s="32" t="str">
        <f aca="false">IF(A1184="제외","",IF(OR(N(L1184)&lt;=0,N(M1184)&gt;N(L1184)),"택가보정(판매금액÷공급율)",""))</f>
        <v/>
      </c>
      <c r="P1184" s="0" t="str">
        <f aca="false">IF(A1184="HK","100",IF(A1184="CN","200",IF(A1184="TW","300",IF(ISNUMBER(SEARCH("태국",C1184)),"500",IF(ISNUMBER(SEARCH("말레이",C1184)),"600",IF(ISNUMBER(SEARCH("필리핀",C1184)),"700",IF(ISNUMBER(SEARCH("인도네시아",C1184)),"800",IF(ISNUMBER(SEARCH("크루즈",C1184)),"810",IF(ISNUMBER(SEARCH("동물원",C1184)),"830","")))))))))</f>
        <v>600</v>
      </c>
    </row>
    <row r="1185" customFormat="false" ht="15" hidden="false" customHeight="false" outlineLevel="0" collapsed="false">
      <c r="A1185" s="32" t="str">
        <f aca="false">IF(OR(TRIM(C1185)="",SUBSTITUTE(C1185," ","")="소계"),"제외",IF(ISNUMBER(SEARCH("홍콩",C1185)),"HK",IF(ISNUMBER(SEARCH("상해",C1185)),"CN",IF(ISNUMBER(SEARCH("대만",C1185)),"TW","홀세일"))))</f>
        <v>홀세일</v>
      </c>
      <c r="B1185" s="36" t="s">
        <v>1262</v>
      </c>
      <c r="C1185" s="36" t="s">
        <v>1263</v>
      </c>
      <c r="D1185" s="37" t="s">
        <v>664</v>
      </c>
      <c r="E1185" s="36" t="n">
        <v>2026</v>
      </c>
      <c r="F1185" s="37" t="s">
        <v>474</v>
      </c>
      <c r="G1185" s="37" t="s">
        <v>124</v>
      </c>
      <c r="H1185" s="36" t="s">
        <v>188</v>
      </c>
      <c r="I1185" s="36" t="s">
        <v>740</v>
      </c>
      <c r="J1185" s="36" t="s">
        <v>741</v>
      </c>
      <c r="K1185" s="38" t="n">
        <v>15</v>
      </c>
      <c r="L1185" s="38" t="n">
        <v>4485000</v>
      </c>
      <c r="M1185" s="38" t="n">
        <v>1498845</v>
      </c>
      <c r="N1185" s="39" t="n">
        <f aca="false">IF(A1185="제외",0,IF(OR(N(L1185)&lt;=0,N(M1185)&gt;N(L1185)),N(M1185)/요약!$D$27,N(L1185)))</f>
        <v>4485000</v>
      </c>
      <c r="O1185" s="32" t="str">
        <f aca="false">IF(A1185="제외","",IF(OR(N(L1185)&lt;=0,N(M1185)&gt;N(L1185)),"택가보정(판매금액÷공급율)",""))</f>
        <v/>
      </c>
      <c r="P1185" s="0" t="str">
        <f aca="false">IF(A1185="HK","100",IF(A1185="CN","200",IF(A1185="TW","300",IF(ISNUMBER(SEARCH("태국",C1185)),"500",IF(ISNUMBER(SEARCH("말레이",C1185)),"600",IF(ISNUMBER(SEARCH("필리핀",C1185)),"700",IF(ISNUMBER(SEARCH("인도네시아",C1185)),"800",IF(ISNUMBER(SEARCH("크루즈",C1185)),"810",IF(ISNUMBER(SEARCH("동물원",C1185)),"830","")))))))))</f>
        <v>600</v>
      </c>
    </row>
    <row r="1186" customFormat="false" ht="15" hidden="false" customHeight="false" outlineLevel="0" collapsed="false">
      <c r="A1186" s="32" t="str">
        <f aca="false">IF(OR(TRIM(C1186)="",SUBSTITUTE(C1186," ","")="소계"),"제외",IF(ISNUMBER(SEARCH("홍콩",C1186)),"HK",IF(ISNUMBER(SEARCH("상해",C1186)),"CN",IF(ISNUMBER(SEARCH("대만",C1186)),"TW","홀세일"))))</f>
        <v>홀세일</v>
      </c>
      <c r="B1186" s="36" t="s">
        <v>1262</v>
      </c>
      <c r="C1186" s="36" t="s">
        <v>1263</v>
      </c>
      <c r="D1186" s="37" t="s">
        <v>664</v>
      </c>
      <c r="E1186" s="36" t="n">
        <v>2026</v>
      </c>
      <c r="F1186" s="37" t="s">
        <v>474</v>
      </c>
      <c r="G1186" s="37" t="s">
        <v>124</v>
      </c>
      <c r="H1186" s="36" t="s">
        <v>188</v>
      </c>
      <c r="I1186" s="36" t="s">
        <v>746</v>
      </c>
      <c r="J1186" s="36" t="s">
        <v>747</v>
      </c>
      <c r="K1186" s="38" t="n">
        <v>95</v>
      </c>
      <c r="L1186" s="38" t="n">
        <v>15105000</v>
      </c>
      <c r="M1186" s="38" t="n">
        <v>4812415</v>
      </c>
      <c r="N1186" s="39" t="n">
        <f aca="false">IF(A1186="제외",0,IF(OR(N(L1186)&lt;=0,N(M1186)&gt;N(L1186)),N(M1186)/요약!$D$27,N(L1186)))</f>
        <v>15105000</v>
      </c>
      <c r="O1186" s="32" t="str">
        <f aca="false">IF(A1186="제외","",IF(OR(N(L1186)&lt;=0,N(M1186)&gt;N(L1186)),"택가보정(판매금액÷공급율)",""))</f>
        <v/>
      </c>
      <c r="P1186" s="0" t="str">
        <f aca="false">IF(A1186="HK","100",IF(A1186="CN","200",IF(A1186="TW","300",IF(ISNUMBER(SEARCH("태국",C1186)),"500",IF(ISNUMBER(SEARCH("말레이",C1186)),"600",IF(ISNUMBER(SEARCH("필리핀",C1186)),"700",IF(ISNUMBER(SEARCH("인도네시아",C1186)),"800",IF(ISNUMBER(SEARCH("크루즈",C1186)),"810",IF(ISNUMBER(SEARCH("동물원",C1186)),"830","")))))))))</f>
        <v>600</v>
      </c>
    </row>
    <row r="1187" customFormat="false" ht="15" hidden="false" customHeight="false" outlineLevel="0" collapsed="false">
      <c r="A1187" s="32" t="str">
        <f aca="false">IF(OR(TRIM(C1187)="",SUBSTITUTE(C1187," ","")="소계"),"제외",IF(ISNUMBER(SEARCH("홍콩",C1187)),"HK",IF(ISNUMBER(SEARCH("상해",C1187)),"CN",IF(ISNUMBER(SEARCH("대만",C1187)),"TW","홀세일"))))</f>
        <v>제외</v>
      </c>
      <c r="B1187" s="36" t="s">
        <v>762</v>
      </c>
      <c r="C1187" s="37" t="s">
        <v>763</v>
      </c>
      <c r="D1187" s="36"/>
      <c r="E1187" s="36"/>
      <c r="F1187" s="36"/>
      <c r="G1187" s="36"/>
      <c r="H1187" s="36"/>
      <c r="I1187" s="36"/>
      <c r="J1187" s="36"/>
      <c r="K1187" s="38" t="n">
        <v>16582</v>
      </c>
      <c r="L1187" s="38" t="n">
        <v>1658093000</v>
      </c>
      <c r="M1187" s="38" t="n">
        <v>592914207</v>
      </c>
      <c r="N1187" s="39" t="n">
        <f aca="false">IF(A1187="제외",0,IF(OR(N(L1187)&lt;=0,N(M1187)&gt;N(L1187)),N(M1187)/요약!$D$27,N(L1187)))</f>
        <v>0</v>
      </c>
      <c r="O1187" s="32" t="str">
        <f aca="false">IF(A1187="제외","",IF(OR(N(L1187)&lt;=0,N(M1187)&gt;N(L1187)),"택가보정(판매금액÷공급율)",""))</f>
        <v/>
      </c>
      <c r="P1187" s="0" t="str">
        <f aca="false">IF(A1187="HK","100",IF(A1187="CN","200",IF(A1187="TW","300",IF(ISNUMBER(SEARCH("태국",C1187)),"500",IF(ISNUMBER(SEARCH("말레이",C1187)),"600",IF(ISNUMBER(SEARCH("필리핀",C1187)),"700",IF(ISNUMBER(SEARCH("인도네시아",C1187)),"800",IF(ISNUMBER(SEARCH("크루즈",C1187)),"810",IF(ISNUMBER(SEARCH("동물원",C1187)),"830","")))))))))</f>
        <v/>
      </c>
    </row>
    <row r="1188" customFormat="false" ht="15" hidden="false" customHeight="false" outlineLevel="0" collapsed="false">
      <c r="A1188" s="32" t="str">
        <f aca="false">IF(OR(TRIM(C1188)="",SUBSTITUTE(C1188," ","")="소계"),"제외",IF(ISNUMBER(SEARCH("홍콩",C1188)),"HK",IF(ISNUMBER(SEARCH("상해",C1188)),"CN",IF(ISNUMBER(SEARCH("대만",C1188)),"TW","홀세일"))))</f>
        <v>홀세일</v>
      </c>
      <c r="B1188" s="36" t="s">
        <v>1394</v>
      </c>
      <c r="C1188" s="36" t="s">
        <v>1395</v>
      </c>
      <c r="D1188" s="37" t="s">
        <v>123</v>
      </c>
      <c r="E1188" s="36" t="n">
        <v>2026</v>
      </c>
      <c r="F1188" s="37" t="s">
        <v>101</v>
      </c>
      <c r="G1188" s="37" t="s">
        <v>102</v>
      </c>
      <c r="H1188" s="36" t="s">
        <v>131</v>
      </c>
      <c r="I1188" s="36" t="s">
        <v>136</v>
      </c>
      <c r="J1188" s="37" t="s">
        <v>137</v>
      </c>
      <c r="K1188" s="38" t="n">
        <v>41</v>
      </c>
      <c r="L1188" s="38" t="n">
        <v>6929000</v>
      </c>
      <c r="M1188" s="38" t="n">
        <v>2665955</v>
      </c>
      <c r="N1188" s="39" t="n">
        <f aca="false">IF(A1188="제외",0,IF(OR(N(L1188)&lt;=0,N(M1188)&gt;N(L1188)),N(M1188)/요약!$D$27,N(L1188)))</f>
        <v>6929000</v>
      </c>
      <c r="O1188" s="32" t="str">
        <f aca="false">IF(A1188="제외","",IF(OR(N(L1188)&lt;=0,N(M1188)&gt;N(L1188)),"택가보정(판매금액÷공급율)",""))</f>
        <v/>
      </c>
      <c r="P1188" s="0" t="str">
        <f aca="false">IF(A1188="HK","100",IF(A1188="CN","200",IF(A1188="TW","300",IF(ISNUMBER(SEARCH("태국",C1188)),"500",IF(ISNUMBER(SEARCH("말레이",C1188)),"600",IF(ISNUMBER(SEARCH("필리핀",C1188)),"700",IF(ISNUMBER(SEARCH("인도네시아",C1188)),"800",IF(ISNUMBER(SEARCH("크루즈",C1188)),"810",IF(ISNUMBER(SEARCH("동물원",C1188)),"830","")))))))))</f>
        <v>700</v>
      </c>
    </row>
    <row r="1189" customFormat="false" ht="15" hidden="false" customHeight="false" outlineLevel="0" collapsed="false">
      <c r="A1189" s="32" t="str">
        <f aca="false">IF(OR(TRIM(C1189)="",SUBSTITUTE(C1189," ","")="소계"),"제외",IF(ISNUMBER(SEARCH("홍콩",C1189)),"HK",IF(ISNUMBER(SEARCH("상해",C1189)),"CN",IF(ISNUMBER(SEARCH("대만",C1189)),"TW","홀세일"))))</f>
        <v>홀세일</v>
      </c>
      <c r="B1189" s="36" t="s">
        <v>1394</v>
      </c>
      <c r="C1189" s="36" t="s">
        <v>1395</v>
      </c>
      <c r="D1189" s="37" t="s">
        <v>123</v>
      </c>
      <c r="E1189" s="36" t="n">
        <v>2026</v>
      </c>
      <c r="F1189" s="37" t="s">
        <v>101</v>
      </c>
      <c r="G1189" s="37" t="s">
        <v>102</v>
      </c>
      <c r="H1189" s="36" t="s">
        <v>131</v>
      </c>
      <c r="I1189" s="36" t="s">
        <v>140</v>
      </c>
      <c r="J1189" s="37" t="s">
        <v>141</v>
      </c>
      <c r="K1189" s="38" t="n">
        <v>61</v>
      </c>
      <c r="L1189" s="38" t="n">
        <v>9089000</v>
      </c>
      <c r="M1189" s="38" t="n">
        <v>3498327</v>
      </c>
      <c r="N1189" s="39" t="n">
        <f aca="false">IF(A1189="제외",0,IF(OR(N(L1189)&lt;=0,N(M1189)&gt;N(L1189)),N(M1189)/요약!$D$27,N(L1189)))</f>
        <v>9089000</v>
      </c>
      <c r="O1189" s="32" t="str">
        <f aca="false">IF(A1189="제외","",IF(OR(N(L1189)&lt;=0,N(M1189)&gt;N(L1189)),"택가보정(판매금액÷공급율)",""))</f>
        <v/>
      </c>
      <c r="P1189" s="0" t="str">
        <f aca="false">IF(A1189="HK","100",IF(A1189="CN","200",IF(A1189="TW","300",IF(ISNUMBER(SEARCH("태국",C1189)),"500",IF(ISNUMBER(SEARCH("말레이",C1189)),"600",IF(ISNUMBER(SEARCH("필리핀",C1189)),"700",IF(ISNUMBER(SEARCH("인도네시아",C1189)),"800",IF(ISNUMBER(SEARCH("크루즈",C1189)),"810",IF(ISNUMBER(SEARCH("동물원",C1189)),"830","")))))))))</f>
        <v>700</v>
      </c>
    </row>
    <row r="1190" customFormat="false" ht="15" hidden="false" customHeight="false" outlineLevel="0" collapsed="false">
      <c r="A1190" s="32" t="str">
        <f aca="false">IF(OR(TRIM(C1190)="",SUBSTITUTE(C1190," ","")="소계"),"제외",IF(ISNUMBER(SEARCH("홍콩",C1190)),"HK",IF(ISNUMBER(SEARCH("상해",C1190)),"CN",IF(ISNUMBER(SEARCH("대만",C1190)),"TW","홀세일"))))</f>
        <v>홀세일</v>
      </c>
      <c r="B1190" s="36" t="s">
        <v>1394</v>
      </c>
      <c r="C1190" s="36" t="s">
        <v>1395</v>
      </c>
      <c r="D1190" s="37" t="s">
        <v>123</v>
      </c>
      <c r="E1190" s="36" t="n">
        <v>2026</v>
      </c>
      <c r="F1190" s="37" t="s">
        <v>101</v>
      </c>
      <c r="G1190" s="37" t="s">
        <v>102</v>
      </c>
      <c r="H1190" s="36" t="s">
        <v>131</v>
      </c>
      <c r="I1190" s="36" t="s">
        <v>142</v>
      </c>
      <c r="J1190" s="37" t="s">
        <v>143</v>
      </c>
      <c r="K1190" s="38" t="n">
        <v>162</v>
      </c>
      <c r="L1190" s="38" t="n">
        <v>27378000</v>
      </c>
      <c r="M1190" s="38" t="n">
        <v>10534230</v>
      </c>
      <c r="N1190" s="39" t="n">
        <f aca="false">IF(A1190="제외",0,IF(OR(N(L1190)&lt;=0,N(M1190)&gt;N(L1190)),N(M1190)/요약!$D$27,N(L1190)))</f>
        <v>27378000</v>
      </c>
      <c r="O1190" s="32" t="str">
        <f aca="false">IF(A1190="제외","",IF(OR(N(L1190)&lt;=0,N(M1190)&gt;N(L1190)),"택가보정(판매금액÷공급율)",""))</f>
        <v/>
      </c>
      <c r="P1190" s="0" t="str">
        <f aca="false">IF(A1190="HK","100",IF(A1190="CN","200",IF(A1190="TW","300",IF(ISNUMBER(SEARCH("태국",C1190)),"500",IF(ISNUMBER(SEARCH("말레이",C1190)),"600",IF(ISNUMBER(SEARCH("필리핀",C1190)),"700",IF(ISNUMBER(SEARCH("인도네시아",C1190)),"800",IF(ISNUMBER(SEARCH("크루즈",C1190)),"810",IF(ISNUMBER(SEARCH("동물원",C1190)),"830","")))))))))</f>
        <v>700</v>
      </c>
    </row>
    <row r="1191" customFormat="false" ht="15" hidden="false" customHeight="false" outlineLevel="0" collapsed="false">
      <c r="A1191" s="32" t="str">
        <f aca="false">IF(OR(TRIM(C1191)="",SUBSTITUTE(C1191," ","")="소계"),"제외",IF(ISNUMBER(SEARCH("홍콩",C1191)),"HK",IF(ISNUMBER(SEARCH("상해",C1191)),"CN",IF(ISNUMBER(SEARCH("대만",C1191)),"TW","홀세일"))))</f>
        <v>홀세일</v>
      </c>
      <c r="B1191" s="36" t="s">
        <v>1394</v>
      </c>
      <c r="C1191" s="36" t="s">
        <v>1395</v>
      </c>
      <c r="D1191" s="37" t="s">
        <v>123</v>
      </c>
      <c r="E1191" s="36" t="n">
        <v>2026</v>
      </c>
      <c r="F1191" s="37" t="s">
        <v>101</v>
      </c>
      <c r="G1191" s="37" t="s">
        <v>102</v>
      </c>
      <c r="H1191" s="36" t="s">
        <v>131</v>
      </c>
      <c r="I1191" s="36" t="s">
        <v>144</v>
      </c>
      <c r="J1191" s="37" t="s">
        <v>145</v>
      </c>
      <c r="K1191" s="38" t="n">
        <v>122</v>
      </c>
      <c r="L1191" s="38" t="n">
        <v>20618000</v>
      </c>
      <c r="M1191" s="38" t="n">
        <v>7933070</v>
      </c>
      <c r="N1191" s="39" t="n">
        <f aca="false">IF(A1191="제외",0,IF(OR(N(L1191)&lt;=0,N(M1191)&gt;N(L1191)),N(M1191)/요약!$D$27,N(L1191)))</f>
        <v>20618000</v>
      </c>
      <c r="O1191" s="32" t="str">
        <f aca="false">IF(A1191="제외","",IF(OR(N(L1191)&lt;=0,N(M1191)&gt;N(L1191)),"택가보정(판매금액÷공급율)",""))</f>
        <v/>
      </c>
      <c r="P1191" s="0" t="str">
        <f aca="false">IF(A1191="HK","100",IF(A1191="CN","200",IF(A1191="TW","300",IF(ISNUMBER(SEARCH("태국",C1191)),"500",IF(ISNUMBER(SEARCH("말레이",C1191)),"600",IF(ISNUMBER(SEARCH("필리핀",C1191)),"700",IF(ISNUMBER(SEARCH("인도네시아",C1191)),"800",IF(ISNUMBER(SEARCH("크루즈",C1191)),"810",IF(ISNUMBER(SEARCH("동물원",C1191)),"830","")))))))))</f>
        <v>700</v>
      </c>
    </row>
    <row r="1192" customFormat="false" ht="15" hidden="false" customHeight="false" outlineLevel="0" collapsed="false">
      <c r="A1192" s="32" t="str">
        <f aca="false">IF(OR(TRIM(C1192)="",SUBSTITUTE(C1192," ","")="소계"),"제외",IF(ISNUMBER(SEARCH("홍콩",C1192)),"HK",IF(ISNUMBER(SEARCH("상해",C1192)),"CN",IF(ISNUMBER(SEARCH("대만",C1192)),"TW","홀세일"))))</f>
        <v>홀세일</v>
      </c>
      <c r="B1192" s="36" t="s">
        <v>1394</v>
      </c>
      <c r="C1192" s="36" t="s">
        <v>1395</v>
      </c>
      <c r="D1192" s="37" t="s">
        <v>123</v>
      </c>
      <c r="E1192" s="36" t="n">
        <v>2026</v>
      </c>
      <c r="F1192" s="37" t="s">
        <v>101</v>
      </c>
      <c r="G1192" s="37" t="s">
        <v>102</v>
      </c>
      <c r="H1192" s="36" t="s">
        <v>131</v>
      </c>
      <c r="I1192" s="36" t="s">
        <v>146</v>
      </c>
      <c r="J1192" s="37" t="s">
        <v>147</v>
      </c>
      <c r="K1192" s="38" t="n">
        <v>102</v>
      </c>
      <c r="L1192" s="38" t="n">
        <v>19278000</v>
      </c>
      <c r="M1192" s="38" t="n">
        <v>7415388</v>
      </c>
      <c r="N1192" s="39" t="n">
        <f aca="false">IF(A1192="제외",0,IF(OR(N(L1192)&lt;=0,N(M1192)&gt;N(L1192)),N(M1192)/요약!$D$27,N(L1192)))</f>
        <v>19278000</v>
      </c>
      <c r="O1192" s="32" t="str">
        <f aca="false">IF(A1192="제외","",IF(OR(N(L1192)&lt;=0,N(M1192)&gt;N(L1192)),"택가보정(판매금액÷공급율)",""))</f>
        <v/>
      </c>
      <c r="P1192" s="0" t="str">
        <f aca="false">IF(A1192="HK","100",IF(A1192="CN","200",IF(A1192="TW","300",IF(ISNUMBER(SEARCH("태국",C1192)),"500",IF(ISNUMBER(SEARCH("말레이",C1192)),"600",IF(ISNUMBER(SEARCH("필리핀",C1192)),"700",IF(ISNUMBER(SEARCH("인도네시아",C1192)),"800",IF(ISNUMBER(SEARCH("크루즈",C1192)),"810",IF(ISNUMBER(SEARCH("동물원",C1192)),"830","")))))))))</f>
        <v>700</v>
      </c>
    </row>
    <row r="1193" customFormat="false" ht="15" hidden="false" customHeight="false" outlineLevel="0" collapsed="false">
      <c r="A1193" s="32" t="str">
        <f aca="false">IF(OR(TRIM(C1193)="",SUBSTITUTE(C1193," ","")="소계"),"제외",IF(ISNUMBER(SEARCH("홍콩",C1193)),"HK",IF(ISNUMBER(SEARCH("상해",C1193)),"CN",IF(ISNUMBER(SEARCH("대만",C1193)),"TW","홀세일"))))</f>
        <v>홀세일</v>
      </c>
      <c r="B1193" s="36" t="s">
        <v>1394</v>
      </c>
      <c r="C1193" s="36" t="s">
        <v>1395</v>
      </c>
      <c r="D1193" s="37" t="s">
        <v>123</v>
      </c>
      <c r="E1193" s="36" t="n">
        <v>2026</v>
      </c>
      <c r="F1193" s="37" t="s">
        <v>101</v>
      </c>
      <c r="G1193" s="37" t="s">
        <v>102</v>
      </c>
      <c r="H1193" s="36" t="s">
        <v>131</v>
      </c>
      <c r="I1193" s="36" t="s">
        <v>148</v>
      </c>
      <c r="J1193" s="37" t="s">
        <v>149</v>
      </c>
      <c r="K1193" s="38" t="n">
        <v>102</v>
      </c>
      <c r="L1193" s="38" t="n">
        <v>18258000</v>
      </c>
      <c r="M1193" s="38" t="n">
        <v>7031284</v>
      </c>
      <c r="N1193" s="39" t="n">
        <f aca="false">IF(A1193="제외",0,IF(OR(N(L1193)&lt;=0,N(M1193)&gt;N(L1193)),N(M1193)/요약!$D$27,N(L1193)))</f>
        <v>18258000</v>
      </c>
      <c r="O1193" s="32" t="str">
        <f aca="false">IF(A1193="제외","",IF(OR(N(L1193)&lt;=0,N(M1193)&gt;N(L1193)),"택가보정(판매금액÷공급율)",""))</f>
        <v/>
      </c>
      <c r="P1193" s="0" t="str">
        <f aca="false">IF(A1193="HK","100",IF(A1193="CN","200",IF(A1193="TW","300",IF(ISNUMBER(SEARCH("태국",C1193)),"500",IF(ISNUMBER(SEARCH("말레이",C1193)),"600",IF(ISNUMBER(SEARCH("필리핀",C1193)),"700",IF(ISNUMBER(SEARCH("인도네시아",C1193)),"800",IF(ISNUMBER(SEARCH("크루즈",C1193)),"810",IF(ISNUMBER(SEARCH("동물원",C1193)),"830","")))))))))</f>
        <v>700</v>
      </c>
    </row>
    <row r="1194" customFormat="false" ht="15" hidden="false" customHeight="false" outlineLevel="0" collapsed="false">
      <c r="A1194" s="32" t="str">
        <f aca="false">IF(OR(TRIM(C1194)="",SUBSTITUTE(C1194," ","")="소계"),"제외",IF(ISNUMBER(SEARCH("홍콩",C1194)),"HK",IF(ISNUMBER(SEARCH("상해",C1194)),"CN",IF(ISNUMBER(SEARCH("대만",C1194)),"TW","홀세일"))))</f>
        <v>홀세일</v>
      </c>
      <c r="B1194" s="36" t="s">
        <v>1394</v>
      </c>
      <c r="C1194" s="36" t="s">
        <v>1395</v>
      </c>
      <c r="D1194" s="37" t="s">
        <v>123</v>
      </c>
      <c r="E1194" s="36" t="n">
        <v>2026</v>
      </c>
      <c r="F1194" s="37" t="s">
        <v>101</v>
      </c>
      <c r="G1194" s="37" t="s">
        <v>102</v>
      </c>
      <c r="H1194" s="36" t="s">
        <v>131</v>
      </c>
      <c r="I1194" s="36" t="s">
        <v>150</v>
      </c>
      <c r="J1194" s="37" t="s">
        <v>151</v>
      </c>
      <c r="K1194" s="38" t="n">
        <v>102</v>
      </c>
      <c r="L1194" s="38" t="n">
        <v>19278000</v>
      </c>
      <c r="M1194" s="38" t="n">
        <v>7415388</v>
      </c>
      <c r="N1194" s="39" t="n">
        <f aca="false">IF(A1194="제외",0,IF(OR(N(L1194)&lt;=0,N(M1194)&gt;N(L1194)),N(M1194)/요약!$D$27,N(L1194)))</f>
        <v>19278000</v>
      </c>
      <c r="O1194" s="32" t="str">
        <f aca="false">IF(A1194="제외","",IF(OR(N(L1194)&lt;=0,N(M1194)&gt;N(L1194)),"택가보정(판매금액÷공급율)",""))</f>
        <v/>
      </c>
      <c r="P1194" s="0" t="str">
        <f aca="false">IF(A1194="HK","100",IF(A1194="CN","200",IF(A1194="TW","300",IF(ISNUMBER(SEARCH("태국",C1194)),"500",IF(ISNUMBER(SEARCH("말레이",C1194)),"600",IF(ISNUMBER(SEARCH("필리핀",C1194)),"700",IF(ISNUMBER(SEARCH("인도네시아",C1194)),"800",IF(ISNUMBER(SEARCH("크루즈",C1194)),"810",IF(ISNUMBER(SEARCH("동물원",C1194)),"830","")))))))))</f>
        <v>700</v>
      </c>
    </row>
    <row r="1195" customFormat="false" ht="15" hidden="false" customHeight="false" outlineLevel="0" collapsed="false">
      <c r="A1195" s="32" t="str">
        <f aca="false">IF(OR(TRIM(C1195)="",SUBSTITUTE(C1195," ","")="소계"),"제외",IF(ISNUMBER(SEARCH("홍콩",C1195)),"HK",IF(ISNUMBER(SEARCH("상해",C1195)),"CN",IF(ISNUMBER(SEARCH("대만",C1195)),"TW","홀세일"))))</f>
        <v>홀세일</v>
      </c>
      <c r="B1195" s="36" t="s">
        <v>1394</v>
      </c>
      <c r="C1195" s="36" t="s">
        <v>1395</v>
      </c>
      <c r="D1195" s="37" t="s">
        <v>123</v>
      </c>
      <c r="E1195" s="36" t="n">
        <v>2026</v>
      </c>
      <c r="F1195" s="37" t="s">
        <v>101</v>
      </c>
      <c r="G1195" s="37" t="s">
        <v>124</v>
      </c>
      <c r="H1195" s="36" t="s">
        <v>131</v>
      </c>
      <c r="I1195" s="36" t="s">
        <v>1396</v>
      </c>
      <c r="J1195" s="37" t="s">
        <v>1397</v>
      </c>
      <c r="K1195" s="38" t="n">
        <v>97</v>
      </c>
      <c r="L1195" s="38" t="n">
        <v>13483000</v>
      </c>
      <c r="M1195" s="38" t="n">
        <v>4971850</v>
      </c>
      <c r="N1195" s="39" t="n">
        <f aca="false">IF(A1195="제외",0,IF(OR(N(L1195)&lt;=0,N(M1195)&gt;N(L1195)),N(M1195)/요약!$D$27,N(L1195)))</f>
        <v>13483000</v>
      </c>
      <c r="O1195" s="32" t="str">
        <f aca="false">IF(A1195="제외","",IF(OR(N(L1195)&lt;=0,N(M1195)&gt;N(L1195)),"택가보정(판매금액÷공급율)",""))</f>
        <v/>
      </c>
      <c r="P1195" s="0" t="str">
        <f aca="false">IF(A1195="HK","100",IF(A1195="CN","200",IF(A1195="TW","300",IF(ISNUMBER(SEARCH("태국",C1195)),"500",IF(ISNUMBER(SEARCH("말레이",C1195)),"600",IF(ISNUMBER(SEARCH("필리핀",C1195)),"700",IF(ISNUMBER(SEARCH("인도네시아",C1195)),"800",IF(ISNUMBER(SEARCH("크루즈",C1195)),"810",IF(ISNUMBER(SEARCH("동물원",C1195)),"830","")))))))))</f>
        <v>700</v>
      </c>
    </row>
    <row r="1196" customFormat="false" ht="15" hidden="false" customHeight="false" outlineLevel="0" collapsed="false">
      <c r="A1196" s="32" t="str">
        <f aca="false">IF(OR(TRIM(C1196)="",SUBSTITUTE(C1196," ","")="소계"),"제외",IF(ISNUMBER(SEARCH("홍콩",C1196)),"HK",IF(ISNUMBER(SEARCH("상해",C1196)),"CN",IF(ISNUMBER(SEARCH("대만",C1196)),"TW","홀세일"))))</f>
        <v>홀세일</v>
      </c>
      <c r="B1196" s="36" t="s">
        <v>1394</v>
      </c>
      <c r="C1196" s="36" t="s">
        <v>1395</v>
      </c>
      <c r="D1196" s="37" t="s">
        <v>123</v>
      </c>
      <c r="E1196" s="36" t="n">
        <v>2026</v>
      </c>
      <c r="F1196" s="37" t="s">
        <v>101</v>
      </c>
      <c r="G1196" s="37" t="s">
        <v>124</v>
      </c>
      <c r="H1196" s="36" t="s">
        <v>131</v>
      </c>
      <c r="I1196" s="36" t="s">
        <v>1398</v>
      </c>
      <c r="J1196" s="36" t="s">
        <v>1058</v>
      </c>
      <c r="K1196" s="38" t="n">
        <v>41</v>
      </c>
      <c r="L1196" s="38" t="n">
        <v>8159000</v>
      </c>
      <c r="M1196" s="38" t="n">
        <v>3007066</v>
      </c>
      <c r="N1196" s="39" t="n">
        <f aca="false">IF(A1196="제외",0,IF(OR(N(L1196)&lt;=0,N(M1196)&gt;N(L1196)),N(M1196)/요약!$D$27,N(L1196)))</f>
        <v>8159000</v>
      </c>
      <c r="O1196" s="32" t="str">
        <f aca="false">IF(A1196="제외","",IF(OR(N(L1196)&lt;=0,N(M1196)&gt;N(L1196)),"택가보정(판매금액÷공급율)",""))</f>
        <v/>
      </c>
      <c r="P1196" s="0" t="str">
        <f aca="false">IF(A1196="HK","100",IF(A1196="CN","200",IF(A1196="TW","300",IF(ISNUMBER(SEARCH("태국",C1196)),"500",IF(ISNUMBER(SEARCH("말레이",C1196)),"600",IF(ISNUMBER(SEARCH("필리핀",C1196)),"700",IF(ISNUMBER(SEARCH("인도네시아",C1196)),"800",IF(ISNUMBER(SEARCH("크루즈",C1196)),"810",IF(ISNUMBER(SEARCH("동물원",C1196)),"830","")))))))))</f>
        <v>700</v>
      </c>
    </row>
    <row r="1197" customFormat="false" ht="15" hidden="false" customHeight="false" outlineLevel="0" collapsed="false">
      <c r="A1197" s="32" t="str">
        <f aca="false">IF(OR(TRIM(C1197)="",SUBSTITUTE(C1197," ","")="소계"),"제외",IF(ISNUMBER(SEARCH("홍콩",C1197)),"HK",IF(ISNUMBER(SEARCH("상해",C1197)),"CN",IF(ISNUMBER(SEARCH("대만",C1197)),"TW","홀세일"))))</f>
        <v>홀세일</v>
      </c>
      <c r="B1197" s="36" t="s">
        <v>1394</v>
      </c>
      <c r="C1197" s="36" t="s">
        <v>1395</v>
      </c>
      <c r="D1197" s="37" t="s">
        <v>123</v>
      </c>
      <c r="E1197" s="36" t="n">
        <v>2026</v>
      </c>
      <c r="F1197" s="37" t="s">
        <v>101</v>
      </c>
      <c r="G1197" s="37" t="s">
        <v>124</v>
      </c>
      <c r="H1197" s="36" t="s">
        <v>125</v>
      </c>
      <c r="I1197" s="36" t="s">
        <v>780</v>
      </c>
      <c r="J1197" s="37" t="s">
        <v>781</v>
      </c>
      <c r="K1197" s="38" t="n">
        <v>41</v>
      </c>
      <c r="L1197" s="38" t="n">
        <v>6519000</v>
      </c>
      <c r="M1197" s="38" t="n">
        <v>2403235</v>
      </c>
      <c r="N1197" s="39" t="n">
        <f aca="false">IF(A1197="제외",0,IF(OR(N(L1197)&lt;=0,N(M1197)&gt;N(L1197)),N(M1197)/요약!$D$27,N(L1197)))</f>
        <v>6519000</v>
      </c>
      <c r="O1197" s="32" t="str">
        <f aca="false">IF(A1197="제외","",IF(OR(N(L1197)&lt;=0,N(M1197)&gt;N(L1197)),"택가보정(판매금액÷공급율)",""))</f>
        <v/>
      </c>
      <c r="P1197" s="0" t="str">
        <f aca="false">IF(A1197="HK","100",IF(A1197="CN","200",IF(A1197="TW","300",IF(ISNUMBER(SEARCH("태국",C1197)),"500",IF(ISNUMBER(SEARCH("말레이",C1197)),"600",IF(ISNUMBER(SEARCH("필리핀",C1197)),"700",IF(ISNUMBER(SEARCH("인도네시아",C1197)),"800",IF(ISNUMBER(SEARCH("크루즈",C1197)),"810",IF(ISNUMBER(SEARCH("동물원",C1197)),"830","")))))))))</f>
        <v>700</v>
      </c>
    </row>
    <row r="1198" customFormat="false" ht="15" hidden="false" customHeight="false" outlineLevel="0" collapsed="false">
      <c r="A1198" s="32" t="str">
        <f aca="false">IF(OR(TRIM(C1198)="",SUBSTITUTE(C1198," ","")="소계"),"제외",IF(ISNUMBER(SEARCH("홍콩",C1198)),"HK",IF(ISNUMBER(SEARCH("상해",C1198)),"CN",IF(ISNUMBER(SEARCH("대만",C1198)),"TW","홀세일"))))</f>
        <v>홀세일</v>
      </c>
      <c r="B1198" s="36" t="s">
        <v>1394</v>
      </c>
      <c r="C1198" s="36" t="s">
        <v>1395</v>
      </c>
      <c r="D1198" s="37" t="s">
        <v>123</v>
      </c>
      <c r="E1198" s="36" t="n">
        <v>2026</v>
      </c>
      <c r="F1198" s="37" t="s">
        <v>101</v>
      </c>
      <c r="G1198" s="37" t="s">
        <v>124</v>
      </c>
      <c r="H1198" s="36" t="s">
        <v>131</v>
      </c>
      <c r="I1198" s="36" t="s">
        <v>1255</v>
      </c>
      <c r="J1198" s="36" t="s">
        <v>1256</v>
      </c>
      <c r="K1198" s="38" t="n">
        <v>41</v>
      </c>
      <c r="L1198" s="38" t="n">
        <v>12259000</v>
      </c>
      <c r="M1198" s="38" t="n">
        <v>4794422</v>
      </c>
      <c r="N1198" s="39" t="n">
        <f aca="false">IF(A1198="제외",0,IF(OR(N(L1198)&lt;=0,N(M1198)&gt;N(L1198)),N(M1198)/요약!$D$27,N(L1198)))</f>
        <v>12259000</v>
      </c>
      <c r="O1198" s="32" t="str">
        <f aca="false">IF(A1198="제외","",IF(OR(N(L1198)&lt;=0,N(M1198)&gt;N(L1198)),"택가보정(판매금액÷공급율)",""))</f>
        <v/>
      </c>
      <c r="P1198" s="0" t="str">
        <f aca="false">IF(A1198="HK","100",IF(A1198="CN","200",IF(A1198="TW","300",IF(ISNUMBER(SEARCH("태국",C1198)),"500",IF(ISNUMBER(SEARCH("말레이",C1198)),"600",IF(ISNUMBER(SEARCH("필리핀",C1198)),"700",IF(ISNUMBER(SEARCH("인도네시아",C1198)),"800",IF(ISNUMBER(SEARCH("크루즈",C1198)),"810",IF(ISNUMBER(SEARCH("동물원",C1198)),"830","")))))))))</f>
        <v>700</v>
      </c>
    </row>
    <row r="1199" customFormat="false" ht="15" hidden="false" customHeight="false" outlineLevel="0" collapsed="false">
      <c r="A1199" s="32" t="str">
        <f aca="false">IF(OR(TRIM(C1199)="",SUBSTITUTE(C1199," ","")="소계"),"제외",IF(ISNUMBER(SEARCH("홍콩",C1199)),"HK",IF(ISNUMBER(SEARCH("상해",C1199)),"CN",IF(ISNUMBER(SEARCH("대만",C1199)),"TW","홀세일"))))</f>
        <v>홀세일</v>
      </c>
      <c r="B1199" s="36" t="s">
        <v>1394</v>
      </c>
      <c r="C1199" s="36" t="s">
        <v>1395</v>
      </c>
      <c r="D1199" s="37" t="s">
        <v>123</v>
      </c>
      <c r="E1199" s="36" t="n">
        <v>2026</v>
      </c>
      <c r="F1199" s="37" t="s">
        <v>101</v>
      </c>
      <c r="G1199" s="37" t="s">
        <v>124</v>
      </c>
      <c r="H1199" s="36" t="s">
        <v>131</v>
      </c>
      <c r="I1199" s="36" t="s">
        <v>782</v>
      </c>
      <c r="J1199" s="36" t="s">
        <v>783</v>
      </c>
      <c r="K1199" s="38" t="n">
        <v>82</v>
      </c>
      <c r="L1199" s="38" t="n">
        <v>22878000</v>
      </c>
      <c r="M1199" s="38" t="n">
        <v>8948748</v>
      </c>
      <c r="N1199" s="39" t="n">
        <f aca="false">IF(A1199="제외",0,IF(OR(N(L1199)&lt;=0,N(M1199)&gt;N(L1199)),N(M1199)/요약!$D$27,N(L1199)))</f>
        <v>22878000</v>
      </c>
      <c r="O1199" s="32" t="str">
        <f aca="false">IF(A1199="제외","",IF(OR(N(L1199)&lt;=0,N(M1199)&gt;N(L1199)),"택가보정(판매금액÷공급율)",""))</f>
        <v/>
      </c>
      <c r="P1199" s="0" t="str">
        <f aca="false">IF(A1199="HK","100",IF(A1199="CN","200",IF(A1199="TW","300",IF(ISNUMBER(SEARCH("태국",C1199)),"500",IF(ISNUMBER(SEARCH("말레이",C1199)),"600",IF(ISNUMBER(SEARCH("필리핀",C1199)),"700",IF(ISNUMBER(SEARCH("인도네시아",C1199)),"800",IF(ISNUMBER(SEARCH("크루즈",C1199)),"810",IF(ISNUMBER(SEARCH("동물원",C1199)),"830","")))))))))</f>
        <v>700</v>
      </c>
    </row>
    <row r="1200" customFormat="false" ht="15" hidden="false" customHeight="false" outlineLevel="0" collapsed="false">
      <c r="A1200" s="32" t="str">
        <f aca="false">IF(OR(TRIM(C1200)="",SUBSTITUTE(C1200," ","")="소계"),"제외",IF(ISNUMBER(SEARCH("홍콩",C1200)),"HK",IF(ISNUMBER(SEARCH("상해",C1200)),"CN",IF(ISNUMBER(SEARCH("대만",C1200)),"TW","홀세일"))))</f>
        <v>홀세일</v>
      </c>
      <c r="B1200" s="36" t="s">
        <v>1394</v>
      </c>
      <c r="C1200" s="36" t="s">
        <v>1395</v>
      </c>
      <c r="D1200" s="37" t="s">
        <v>123</v>
      </c>
      <c r="E1200" s="36" t="n">
        <v>2026</v>
      </c>
      <c r="F1200" s="37" t="s">
        <v>101</v>
      </c>
      <c r="G1200" s="37" t="s">
        <v>124</v>
      </c>
      <c r="H1200" s="36" t="s">
        <v>125</v>
      </c>
      <c r="I1200" s="36" t="s">
        <v>784</v>
      </c>
      <c r="J1200" s="37" t="s">
        <v>785</v>
      </c>
      <c r="K1200" s="38" t="n">
        <v>92</v>
      </c>
      <c r="L1200" s="38" t="n">
        <v>20148000</v>
      </c>
      <c r="M1200" s="38" t="n">
        <v>7836966</v>
      </c>
      <c r="N1200" s="39" t="n">
        <f aca="false">IF(A1200="제외",0,IF(OR(N(L1200)&lt;=0,N(M1200)&gt;N(L1200)),N(M1200)/요약!$D$27,N(L1200)))</f>
        <v>20148000</v>
      </c>
      <c r="O1200" s="32" t="str">
        <f aca="false">IF(A1200="제외","",IF(OR(N(L1200)&lt;=0,N(M1200)&gt;N(L1200)),"택가보정(판매금액÷공급율)",""))</f>
        <v/>
      </c>
      <c r="P1200" s="0" t="str">
        <f aca="false">IF(A1200="HK","100",IF(A1200="CN","200",IF(A1200="TW","300",IF(ISNUMBER(SEARCH("태국",C1200)),"500",IF(ISNUMBER(SEARCH("말레이",C1200)),"600",IF(ISNUMBER(SEARCH("필리핀",C1200)),"700",IF(ISNUMBER(SEARCH("인도네시아",C1200)),"800",IF(ISNUMBER(SEARCH("크루즈",C1200)),"810",IF(ISNUMBER(SEARCH("동물원",C1200)),"830","")))))))))</f>
        <v>700</v>
      </c>
    </row>
    <row r="1201" customFormat="false" ht="15" hidden="false" customHeight="false" outlineLevel="0" collapsed="false">
      <c r="A1201" s="32" t="str">
        <f aca="false">IF(OR(TRIM(C1201)="",SUBSTITUTE(C1201," ","")="소계"),"제외",IF(ISNUMBER(SEARCH("홍콩",C1201)),"HK",IF(ISNUMBER(SEARCH("상해",C1201)),"CN",IF(ISNUMBER(SEARCH("대만",C1201)),"TW","홀세일"))))</f>
        <v>홀세일</v>
      </c>
      <c r="B1201" s="36" t="s">
        <v>1394</v>
      </c>
      <c r="C1201" s="36" t="s">
        <v>1395</v>
      </c>
      <c r="D1201" s="37" t="s">
        <v>123</v>
      </c>
      <c r="E1201" s="36" t="n">
        <v>2026</v>
      </c>
      <c r="F1201" s="37" t="s">
        <v>101</v>
      </c>
      <c r="G1201" s="37" t="s">
        <v>124</v>
      </c>
      <c r="H1201" s="36" t="s">
        <v>131</v>
      </c>
      <c r="I1201" s="36" t="s">
        <v>1399</v>
      </c>
      <c r="J1201" s="36" t="s">
        <v>1400</v>
      </c>
      <c r="K1201" s="38" t="n">
        <v>41</v>
      </c>
      <c r="L1201" s="38" t="n">
        <v>16359000</v>
      </c>
      <c r="M1201" s="38" t="n">
        <v>6394584</v>
      </c>
      <c r="N1201" s="39" t="n">
        <f aca="false">IF(A1201="제외",0,IF(OR(N(L1201)&lt;=0,N(M1201)&gt;N(L1201)),N(M1201)/요약!$D$27,N(L1201)))</f>
        <v>16359000</v>
      </c>
      <c r="O1201" s="32" t="str">
        <f aca="false">IF(A1201="제외","",IF(OR(N(L1201)&lt;=0,N(M1201)&gt;N(L1201)),"택가보정(판매금액÷공급율)",""))</f>
        <v/>
      </c>
      <c r="P1201" s="0" t="str">
        <f aca="false">IF(A1201="HK","100",IF(A1201="CN","200",IF(A1201="TW","300",IF(ISNUMBER(SEARCH("태국",C1201)),"500",IF(ISNUMBER(SEARCH("말레이",C1201)),"600",IF(ISNUMBER(SEARCH("필리핀",C1201)),"700",IF(ISNUMBER(SEARCH("인도네시아",C1201)),"800",IF(ISNUMBER(SEARCH("크루즈",C1201)),"810",IF(ISNUMBER(SEARCH("동물원",C1201)),"830","")))))))))</f>
        <v>700</v>
      </c>
    </row>
    <row r="1202" customFormat="false" ht="15" hidden="false" customHeight="false" outlineLevel="0" collapsed="false">
      <c r="A1202" s="32" t="str">
        <f aca="false">IF(OR(TRIM(C1202)="",SUBSTITUTE(C1202," ","")="소계"),"제외",IF(ISNUMBER(SEARCH("홍콩",C1202)),"HK",IF(ISNUMBER(SEARCH("상해",C1202)),"CN",IF(ISNUMBER(SEARCH("대만",C1202)),"TW","홀세일"))))</f>
        <v>홀세일</v>
      </c>
      <c r="B1202" s="36" t="s">
        <v>1394</v>
      </c>
      <c r="C1202" s="36" t="s">
        <v>1395</v>
      </c>
      <c r="D1202" s="37" t="s">
        <v>123</v>
      </c>
      <c r="E1202" s="36" t="n">
        <v>2026</v>
      </c>
      <c r="F1202" s="37" t="s">
        <v>101</v>
      </c>
      <c r="G1202" s="37" t="s">
        <v>124</v>
      </c>
      <c r="H1202" s="36" t="s">
        <v>125</v>
      </c>
      <c r="I1202" s="36" t="s">
        <v>1401</v>
      </c>
      <c r="J1202" s="37" t="s">
        <v>1402</v>
      </c>
      <c r="K1202" s="38" t="n">
        <v>41</v>
      </c>
      <c r="L1202" s="38" t="n">
        <v>5699000</v>
      </c>
      <c r="M1202" s="38" t="n">
        <v>2228130</v>
      </c>
      <c r="N1202" s="39" t="n">
        <f aca="false">IF(A1202="제외",0,IF(OR(N(L1202)&lt;=0,N(M1202)&gt;N(L1202)),N(M1202)/요약!$D$27,N(L1202)))</f>
        <v>5699000</v>
      </c>
      <c r="O1202" s="32" t="str">
        <f aca="false">IF(A1202="제외","",IF(OR(N(L1202)&lt;=0,N(M1202)&gt;N(L1202)),"택가보정(판매금액÷공급율)",""))</f>
        <v/>
      </c>
      <c r="P1202" s="0" t="str">
        <f aca="false">IF(A1202="HK","100",IF(A1202="CN","200",IF(A1202="TW","300",IF(ISNUMBER(SEARCH("태국",C1202)),"500",IF(ISNUMBER(SEARCH("말레이",C1202)),"600",IF(ISNUMBER(SEARCH("필리핀",C1202)),"700",IF(ISNUMBER(SEARCH("인도네시아",C1202)),"800",IF(ISNUMBER(SEARCH("크루즈",C1202)),"810",IF(ISNUMBER(SEARCH("동물원",C1202)),"830","")))))))))</f>
        <v>700</v>
      </c>
    </row>
    <row r="1203" customFormat="false" ht="15" hidden="false" customHeight="false" outlineLevel="0" collapsed="false">
      <c r="A1203" s="32" t="str">
        <f aca="false">IF(OR(TRIM(C1203)="",SUBSTITUTE(C1203," ","")="소계"),"제외",IF(ISNUMBER(SEARCH("홍콩",C1203)),"HK",IF(ISNUMBER(SEARCH("상해",C1203)),"CN",IF(ISNUMBER(SEARCH("대만",C1203)),"TW","홀세일"))))</f>
        <v>홀세일</v>
      </c>
      <c r="B1203" s="36" t="s">
        <v>1394</v>
      </c>
      <c r="C1203" s="36" t="s">
        <v>1395</v>
      </c>
      <c r="D1203" s="37" t="s">
        <v>123</v>
      </c>
      <c r="E1203" s="36" t="n">
        <v>2026</v>
      </c>
      <c r="F1203" s="37" t="s">
        <v>101</v>
      </c>
      <c r="G1203" s="37" t="s">
        <v>124</v>
      </c>
      <c r="H1203" s="37" t="s">
        <v>128</v>
      </c>
      <c r="I1203" s="36" t="s">
        <v>1403</v>
      </c>
      <c r="J1203" s="36" t="s">
        <v>1404</v>
      </c>
      <c r="K1203" s="38" t="n">
        <v>82</v>
      </c>
      <c r="L1203" s="38" t="n">
        <v>11398000</v>
      </c>
      <c r="M1203" s="38" t="n">
        <v>4202680</v>
      </c>
      <c r="N1203" s="39" t="n">
        <f aca="false">IF(A1203="제외",0,IF(OR(N(L1203)&lt;=0,N(M1203)&gt;N(L1203)),N(M1203)/요약!$D$27,N(L1203)))</f>
        <v>11398000</v>
      </c>
      <c r="O1203" s="32" t="str">
        <f aca="false">IF(A1203="제외","",IF(OR(N(L1203)&lt;=0,N(M1203)&gt;N(L1203)),"택가보정(판매금액÷공급율)",""))</f>
        <v/>
      </c>
      <c r="P1203" s="0" t="str">
        <f aca="false">IF(A1203="HK","100",IF(A1203="CN","200",IF(A1203="TW","300",IF(ISNUMBER(SEARCH("태국",C1203)),"500",IF(ISNUMBER(SEARCH("말레이",C1203)),"600",IF(ISNUMBER(SEARCH("필리핀",C1203)),"700",IF(ISNUMBER(SEARCH("인도네시아",C1203)),"800",IF(ISNUMBER(SEARCH("크루즈",C1203)),"810",IF(ISNUMBER(SEARCH("동물원",C1203)),"830","")))))))))</f>
        <v>700</v>
      </c>
    </row>
    <row r="1204" customFormat="false" ht="15" hidden="false" customHeight="false" outlineLevel="0" collapsed="false">
      <c r="A1204" s="32" t="str">
        <f aca="false">IF(OR(TRIM(C1204)="",SUBSTITUTE(C1204," ","")="소계"),"제외",IF(ISNUMBER(SEARCH("홍콩",C1204)),"HK",IF(ISNUMBER(SEARCH("상해",C1204)),"CN",IF(ISNUMBER(SEARCH("대만",C1204)),"TW","홀세일"))))</f>
        <v>홀세일</v>
      </c>
      <c r="B1204" s="36" t="s">
        <v>1394</v>
      </c>
      <c r="C1204" s="36" t="s">
        <v>1395</v>
      </c>
      <c r="D1204" s="37" t="s">
        <v>123</v>
      </c>
      <c r="E1204" s="36" t="n">
        <v>2026</v>
      </c>
      <c r="F1204" s="37" t="s">
        <v>101</v>
      </c>
      <c r="G1204" s="37" t="s">
        <v>124</v>
      </c>
      <c r="H1204" s="36" t="s">
        <v>131</v>
      </c>
      <c r="I1204" s="36" t="s">
        <v>1257</v>
      </c>
      <c r="J1204" s="37" t="s">
        <v>1128</v>
      </c>
      <c r="K1204" s="38" t="n">
        <v>82</v>
      </c>
      <c r="L1204" s="38" t="n">
        <v>17958000</v>
      </c>
      <c r="M1204" s="38" t="n">
        <v>7028616</v>
      </c>
      <c r="N1204" s="39" t="n">
        <f aca="false">IF(A1204="제외",0,IF(OR(N(L1204)&lt;=0,N(M1204)&gt;N(L1204)),N(M1204)/요약!$D$27,N(L1204)))</f>
        <v>17958000</v>
      </c>
      <c r="O1204" s="32" t="str">
        <f aca="false">IF(A1204="제외","",IF(OR(N(L1204)&lt;=0,N(M1204)&gt;N(L1204)),"택가보정(판매금액÷공급율)",""))</f>
        <v/>
      </c>
      <c r="P1204" s="0" t="str">
        <f aca="false">IF(A1204="HK","100",IF(A1204="CN","200",IF(A1204="TW","300",IF(ISNUMBER(SEARCH("태국",C1204)),"500",IF(ISNUMBER(SEARCH("말레이",C1204)),"600",IF(ISNUMBER(SEARCH("필리핀",C1204)),"700",IF(ISNUMBER(SEARCH("인도네시아",C1204)),"800",IF(ISNUMBER(SEARCH("크루즈",C1204)),"810",IF(ISNUMBER(SEARCH("동물원",C1204)),"830","")))))))))</f>
        <v>700</v>
      </c>
    </row>
    <row r="1205" customFormat="false" ht="15" hidden="false" customHeight="false" outlineLevel="0" collapsed="false">
      <c r="A1205" s="32" t="str">
        <f aca="false">IF(OR(TRIM(C1205)="",SUBSTITUTE(C1205," ","")="소계"),"제외",IF(ISNUMBER(SEARCH("홍콩",C1205)),"HK",IF(ISNUMBER(SEARCH("상해",C1205)),"CN",IF(ISNUMBER(SEARCH("대만",C1205)),"TW","홀세일"))))</f>
        <v>홀세일</v>
      </c>
      <c r="B1205" s="36" t="s">
        <v>1394</v>
      </c>
      <c r="C1205" s="36" t="s">
        <v>1395</v>
      </c>
      <c r="D1205" s="37" t="s">
        <v>123</v>
      </c>
      <c r="E1205" s="36" t="n">
        <v>2026</v>
      </c>
      <c r="F1205" s="37" t="s">
        <v>101</v>
      </c>
      <c r="G1205" s="37" t="s">
        <v>124</v>
      </c>
      <c r="H1205" s="36" t="s">
        <v>131</v>
      </c>
      <c r="I1205" s="36" t="s">
        <v>162</v>
      </c>
      <c r="J1205" s="37" t="s">
        <v>163</v>
      </c>
      <c r="K1205" s="38" t="n">
        <v>41</v>
      </c>
      <c r="L1205" s="38" t="n">
        <v>8159000</v>
      </c>
      <c r="M1205" s="38" t="n">
        <v>3130580</v>
      </c>
      <c r="N1205" s="39" t="n">
        <f aca="false">IF(A1205="제외",0,IF(OR(N(L1205)&lt;=0,N(M1205)&gt;N(L1205)),N(M1205)/요약!$D$27,N(L1205)))</f>
        <v>8159000</v>
      </c>
      <c r="O1205" s="32" t="str">
        <f aca="false">IF(A1205="제외","",IF(OR(N(L1205)&lt;=0,N(M1205)&gt;N(L1205)),"택가보정(판매금액÷공급율)",""))</f>
        <v/>
      </c>
      <c r="P1205" s="0" t="str">
        <f aca="false">IF(A1205="HK","100",IF(A1205="CN","200",IF(A1205="TW","300",IF(ISNUMBER(SEARCH("태국",C1205)),"500",IF(ISNUMBER(SEARCH("말레이",C1205)),"600",IF(ISNUMBER(SEARCH("필리핀",C1205)),"700",IF(ISNUMBER(SEARCH("인도네시아",C1205)),"800",IF(ISNUMBER(SEARCH("크루즈",C1205)),"810",IF(ISNUMBER(SEARCH("동물원",C1205)),"830","")))))))))</f>
        <v>700</v>
      </c>
    </row>
    <row r="1206" customFormat="false" ht="15" hidden="false" customHeight="false" outlineLevel="0" collapsed="false">
      <c r="A1206" s="32" t="str">
        <f aca="false">IF(OR(TRIM(C1206)="",SUBSTITUTE(C1206," ","")="소계"),"제외",IF(ISNUMBER(SEARCH("홍콩",C1206)),"HK",IF(ISNUMBER(SEARCH("상해",C1206)),"CN",IF(ISNUMBER(SEARCH("대만",C1206)),"TW","홀세일"))))</f>
        <v>홀세일</v>
      </c>
      <c r="B1206" s="36" t="s">
        <v>1394</v>
      </c>
      <c r="C1206" s="36" t="s">
        <v>1395</v>
      </c>
      <c r="D1206" s="37" t="s">
        <v>123</v>
      </c>
      <c r="E1206" s="36" t="n">
        <v>2026</v>
      </c>
      <c r="F1206" s="37" t="s">
        <v>101</v>
      </c>
      <c r="G1206" s="37" t="s">
        <v>124</v>
      </c>
      <c r="H1206" s="36" t="s">
        <v>131</v>
      </c>
      <c r="I1206" s="36" t="s">
        <v>164</v>
      </c>
      <c r="J1206" s="37" t="s">
        <v>165</v>
      </c>
      <c r="K1206" s="38" t="n">
        <v>46</v>
      </c>
      <c r="L1206" s="38" t="n">
        <v>8694000</v>
      </c>
      <c r="M1206" s="38" t="n">
        <v>3333099</v>
      </c>
      <c r="N1206" s="39" t="n">
        <f aca="false">IF(A1206="제외",0,IF(OR(N(L1206)&lt;=0,N(M1206)&gt;N(L1206)),N(M1206)/요약!$D$27,N(L1206)))</f>
        <v>8694000</v>
      </c>
      <c r="O1206" s="32" t="str">
        <f aca="false">IF(A1206="제외","",IF(OR(N(L1206)&lt;=0,N(M1206)&gt;N(L1206)),"택가보정(판매금액÷공급율)",""))</f>
        <v/>
      </c>
      <c r="P1206" s="0" t="str">
        <f aca="false">IF(A1206="HK","100",IF(A1206="CN","200",IF(A1206="TW","300",IF(ISNUMBER(SEARCH("태국",C1206)),"500",IF(ISNUMBER(SEARCH("말레이",C1206)),"600",IF(ISNUMBER(SEARCH("필리핀",C1206)),"700",IF(ISNUMBER(SEARCH("인도네시아",C1206)),"800",IF(ISNUMBER(SEARCH("크루즈",C1206)),"810",IF(ISNUMBER(SEARCH("동물원",C1206)),"830","")))))))))</f>
        <v>700</v>
      </c>
    </row>
    <row r="1207" customFormat="false" ht="15" hidden="false" customHeight="false" outlineLevel="0" collapsed="false">
      <c r="A1207" s="32" t="str">
        <f aca="false">IF(OR(TRIM(C1207)="",SUBSTITUTE(C1207," ","")="소계"),"제외",IF(ISNUMBER(SEARCH("홍콩",C1207)),"HK",IF(ISNUMBER(SEARCH("상해",C1207)),"CN",IF(ISNUMBER(SEARCH("대만",C1207)),"TW","홀세일"))))</f>
        <v>홀세일</v>
      </c>
      <c r="B1207" s="36" t="s">
        <v>1394</v>
      </c>
      <c r="C1207" s="36" t="s">
        <v>1395</v>
      </c>
      <c r="D1207" s="37" t="s">
        <v>123</v>
      </c>
      <c r="E1207" s="36" t="n">
        <v>2026</v>
      </c>
      <c r="F1207" s="37" t="s">
        <v>101</v>
      </c>
      <c r="G1207" s="37" t="s">
        <v>124</v>
      </c>
      <c r="H1207" s="36" t="s">
        <v>131</v>
      </c>
      <c r="I1207" s="36" t="s">
        <v>1405</v>
      </c>
      <c r="J1207" s="37" t="s">
        <v>1406</v>
      </c>
      <c r="K1207" s="38" t="n">
        <v>66</v>
      </c>
      <c r="L1207" s="38" t="n">
        <v>11814000</v>
      </c>
      <c r="M1207" s="38" t="n">
        <v>4534582</v>
      </c>
      <c r="N1207" s="39" t="n">
        <f aca="false">IF(A1207="제외",0,IF(OR(N(L1207)&lt;=0,N(M1207)&gt;N(L1207)),N(M1207)/요약!$D$27,N(L1207)))</f>
        <v>11814000</v>
      </c>
      <c r="O1207" s="32" t="str">
        <f aca="false">IF(A1207="제외","",IF(OR(N(L1207)&lt;=0,N(M1207)&gt;N(L1207)),"택가보정(판매금액÷공급율)",""))</f>
        <v/>
      </c>
      <c r="P1207" s="0" t="str">
        <f aca="false">IF(A1207="HK","100",IF(A1207="CN","200",IF(A1207="TW","300",IF(ISNUMBER(SEARCH("태국",C1207)),"500",IF(ISNUMBER(SEARCH("말레이",C1207)),"600",IF(ISNUMBER(SEARCH("필리핀",C1207)),"700",IF(ISNUMBER(SEARCH("인도네시아",C1207)),"800",IF(ISNUMBER(SEARCH("크루즈",C1207)),"810",IF(ISNUMBER(SEARCH("동물원",C1207)),"830","")))))))))</f>
        <v>700</v>
      </c>
    </row>
    <row r="1208" customFormat="false" ht="15" hidden="false" customHeight="false" outlineLevel="0" collapsed="false">
      <c r="A1208" s="32" t="str">
        <f aca="false">IF(OR(TRIM(C1208)="",SUBSTITUTE(C1208," ","")="소계"),"제외",IF(ISNUMBER(SEARCH("홍콩",C1208)),"HK",IF(ISNUMBER(SEARCH("상해",C1208)),"CN",IF(ISNUMBER(SEARCH("대만",C1208)),"TW","홀세일"))))</f>
        <v>홀세일</v>
      </c>
      <c r="B1208" s="36" t="s">
        <v>1394</v>
      </c>
      <c r="C1208" s="36" t="s">
        <v>1395</v>
      </c>
      <c r="D1208" s="37" t="s">
        <v>123</v>
      </c>
      <c r="E1208" s="36" t="n">
        <v>2026</v>
      </c>
      <c r="F1208" s="37" t="s">
        <v>101</v>
      </c>
      <c r="G1208" s="37" t="s">
        <v>124</v>
      </c>
      <c r="H1208" s="36" t="s">
        <v>131</v>
      </c>
      <c r="I1208" s="36" t="s">
        <v>1407</v>
      </c>
      <c r="J1208" s="37" t="s">
        <v>1408</v>
      </c>
      <c r="K1208" s="38" t="n">
        <v>46</v>
      </c>
      <c r="L1208" s="38" t="n">
        <v>7314000</v>
      </c>
      <c r="M1208" s="38" t="n">
        <v>2859089</v>
      </c>
      <c r="N1208" s="39" t="n">
        <f aca="false">IF(A1208="제외",0,IF(OR(N(L1208)&lt;=0,N(M1208)&gt;N(L1208)),N(M1208)/요약!$D$27,N(L1208)))</f>
        <v>7314000</v>
      </c>
      <c r="O1208" s="32" t="str">
        <f aca="false">IF(A1208="제외","",IF(OR(N(L1208)&lt;=0,N(M1208)&gt;N(L1208)),"택가보정(판매금액÷공급율)",""))</f>
        <v/>
      </c>
      <c r="P1208" s="0" t="str">
        <f aca="false">IF(A1208="HK","100",IF(A1208="CN","200",IF(A1208="TW","300",IF(ISNUMBER(SEARCH("태국",C1208)),"500",IF(ISNUMBER(SEARCH("말레이",C1208)),"600",IF(ISNUMBER(SEARCH("필리핀",C1208)),"700",IF(ISNUMBER(SEARCH("인도네시아",C1208)),"800",IF(ISNUMBER(SEARCH("크루즈",C1208)),"810",IF(ISNUMBER(SEARCH("동물원",C1208)),"830","")))))))))</f>
        <v>700</v>
      </c>
    </row>
    <row r="1209" customFormat="false" ht="15" hidden="false" customHeight="false" outlineLevel="0" collapsed="false">
      <c r="A1209" s="32" t="str">
        <f aca="false">IF(OR(TRIM(C1209)="",SUBSTITUTE(C1209," ","")="소계"),"제외",IF(ISNUMBER(SEARCH("홍콩",C1209)),"HK",IF(ISNUMBER(SEARCH("상해",C1209)),"CN",IF(ISNUMBER(SEARCH("대만",C1209)),"TW","홀세일"))))</f>
        <v>홀세일</v>
      </c>
      <c r="B1209" s="36" t="s">
        <v>1394</v>
      </c>
      <c r="C1209" s="36" t="s">
        <v>1395</v>
      </c>
      <c r="D1209" s="37" t="s">
        <v>123</v>
      </c>
      <c r="E1209" s="36" t="n">
        <v>2026</v>
      </c>
      <c r="F1209" s="37" t="s">
        <v>101</v>
      </c>
      <c r="G1209" s="37" t="s">
        <v>124</v>
      </c>
      <c r="H1209" s="36" t="s">
        <v>131</v>
      </c>
      <c r="I1209" s="36" t="s">
        <v>796</v>
      </c>
      <c r="J1209" s="37" t="s">
        <v>797</v>
      </c>
      <c r="K1209" s="38" t="n">
        <v>112</v>
      </c>
      <c r="L1209" s="38" t="n">
        <v>21168000</v>
      </c>
      <c r="M1209" s="38" t="n">
        <v>7803188</v>
      </c>
      <c r="N1209" s="39" t="n">
        <f aca="false">IF(A1209="제외",0,IF(OR(N(L1209)&lt;=0,N(M1209)&gt;N(L1209)),N(M1209)/요약!$D$27,N(L1209)))</f>
        <v>21168000</v>
      </c>
      <c r="O1209" s="32" t="str">
        <f aca="false">IF(A1209="제외","",IF(OR(N(L1209)&lt;=0,N(M1209)&gt;N(L1209)),"택가보정(판매금액÷공급율)",""))</f>
        <v/>
      </c>
      <c r="P1209" s="0" t="str">
        <f aca="false">IF(A1209="HK","100",IF(A1209="CN","200",IF(A1209="TW","300",IF(ISNUMBER(SEARCH("태국",C1209)),"500",IF(ISNUMBER(SEARCH("말레이",C1209)),"600",IF(ISNUMBER(SEARCH("필리핀",C1209)),"700",IF(ISNUMBER(SEARCH("인도네시아",C1209)),"800",IF(ISNUMBER(SEARCH("크루즈",C1209)),"810",IF(ISNUMBER(SEARCH("동물원",C1209)),"830","")))))))))</f>
        <v>700</v>
      </c>
    </row>
    <row r="1210" customFormat="false" ht="15" hidden="false" customHeight="false" outlineLevel="0" collapsed="false">
      <c r="A1210" s="32" t="str">
        <f aca="false">IF(OR(TRIM(C1210)="",SUBSTITUTE(C1210," ","")="소계"),"제외",IF(ISNUMBER(SEARCH("홍콩",C1210)),"HK",IF(ISNUMBER(SEARCH("상해",C1210)),"CN",IF(ISNUMBER(SEARCH("대만",C1210)),"TW","홀세일"))))</f>
        <v>홀세일</v>
      </c>
      <c r="B1210" s="36" t="s">
        <v>1394</v>
      </c>
      <c r="C1210" s="36" t="s">
        <v>1395</v>
      </c>
      <c r="D1210" s="37" t="s">
        <v>123</v>
      </c>
      <c r="E1210" s="36" t="n">
        <v>2026</v>
      </c>
      <c r="F1210" s="37" t="s">
        <v>101</v>
      </c>
      <c r="G1210" s="37" t="s">
        <v>124</v>
      </c>
      <c r="H1210" s="36" t="s">
        <v>125</v>
      </c>
      <c r="I1210" s="36" t="s">
        <v>798</v>
      </c>
      <c r="J1210" s="37" t="s">
        <v>799</v>
      </c>
      <c r="K1210" s="38" t="n">
        <v>66</v>
      </c>
      <c r="L1210" s="38" t="n">
        <v>11814000</v>
      </c>
      <c r="M1210" s="38" t="n">
        <v>4267811</v>
      </c>
      <c r="N1210" s="39" t="n">
        <f aca="false">IF(A1210="제외",0,IF(OR(N(L1210)&lt;=0,N(M1210)&gt;N(L1210)),N(M1210)/요약!$D$27,N(L1210)))</f>
        <v>11814000</v>
      </c>
      <c r="O1210" s="32" t="str">
        <f aca="false">IF(A1210="제외","",IF(OR(N(L1210)&lt;=0,N(M1210)&gt;N(L1210)),"택가보정(판매금액÷공급율)",""))</f>
        <v/>
      </c>
      <c r="P1210" s="0" t="str">
        <f aca="false">IF(A1210="HK","100",IF(A1210="CN","200",IF(A1210="TW","300",IF(ISNUMBER(SEARCH("태국",C1210)),"500",IF(ISNUMBER(SEARCH("말레이",C1210)),"600",IF(ISNUMBER(SEARCH("필리핀",C1210)),"700",IF(ISNUMBER(SEARCH("인도네시아",C1210)),"800",IF(ISNUMBER(SEARCH("크루즈",C1210)),"810",IF(ISNUMBER(SEARCH("동물원",C1210)),"830","")))))))))</f>
        <v>700</v>
      </c>
    </row>
    <row r="1211" customFormat="false" ht="15" hidden="false" customHeight="false" outlineLevel="0" collapsed="false">
      <c r="A1211" s="32" t="str">
        <f aca="false">IF(OR(TRIM(C1211)="",SUBSTITUTE(C1211," ","")="소계"),"제외",IF(ISNUMBER(SEARCH("홍콩",C1211)),"HK",IF(ISNUMBER(SEARCH("상해",C1211)),"CN",IF(ISNUMBER(SEARCH("대만",C1211)),"TW","홀세일"))))</f>
        <v>홀세일</v>
      </c>
      <c r="B1211" s="36" t="s">
        <v>1394</v>
      </c>
      <c r="C1211" s="36" t="s">
        <v>1395</v>
      </c>
      <c r="D1211" s="37" t="s">
        <v>123</v>
      </c>
      <c r="E1211" s="36" t="n">
        <v>2026</v>
      </c>
      <c r="F1211" s="37" t="s">
        <v>101</v>
      </c>
      <c r="G1211" s="37" t="s">
        <v>124</v>
      </c>
      <c r="H1211" s="36" t="s">
        <v>125</v>
      </c>
      <c r="I1211" s="36" t="s">
        <v>1278</v>
      </c>
      <c r="J1211" s="37" t="s">
        <v>1279</v>
      </c>
      <c r="K1211" s="38" t="n">
        <v>61</v>
      </c>
      <c r="L1211" s="38" t="n">
        <v>4209000</v>
      </c>
      <c r="M1211" s="38" t="n">
        <v>1554486</v>
      </c>
      <c r="N1211" s="39" t="n">
        <f aca="false">IF(A1211="제외",0,IF(OR(N(L1211)&lt;=0,N(M1211)&gt;N(L1211)),N(M1211)/요약!$D$27,N(L1211)))</f>
        <v>4209000</v>
      </c>
      <c r="O1211" s="32" t="str">
        <f aca="false">IF(A1211="제외","",IF(OR(N(L1211)&lt;=0,N(M1211)&gt;N(L1211)),"택가보정(판매금액÷공급율)",""))</f>
        <v/>
      </c>
      <c r="P1211" s="0" t="str">
        <f aca="false">IF(A1211="HK","100",IF(A1211="CN","200",IF(A1211="TW","300",IF(ISNUMBER(SEARCH("태국",C1211)),"500",IF(ISNUMBER(SEARCH("말레이",C1211)),"600",IF(ISNUMBER(SEARCH("필리핀",C1211)),"700",IF(ISNUMBER(SEARCH("인도네시아",C1211)),"800",IF(ISNUMBER(SEARCH("크루즈",C1211)),"810",IF(ISNUMBER(SEARCH("동물원",C1211)),"830","")))))))))</f>
        <v>700</v>
      </c>
    </row>
    <row r="1212" customFormat="false" ht="15" hidden="false" customHeight="false" outlineLevel="0" collapsed="false">
      <c r="A1212" s="32" t="str">
        <f aca="false">IF(OR(TRIM(C1212)="",SUBSTITUTE(C1212," ","")="소계"),"제외",IF(ISNUMBER(SEARCH("홍콩",C1212)),"HK",IF(ISNUMBER(SEARCH("상해",C1212)),"CN",IF(ISNUMBER(SEARCH("대만",C1212)),"TW","홀세일"))))</f>
        <v>홀세일</v>
      </c>
      <c r="B1212" s="36" t="s">
        <v>1394</v>
      </c>
      <c r="C1212" s="36" t="s">
        <v>1395</v>
      </c>
      <c r="D1212" s="37" t="s">
        <v>123</v>
      </c>
      <c r="E1212" s="36" t="n">
        <v>2026</v>
      </c>
      <c r="F1212" s="37" t="s">
        <v>101</v>
      </c>
      <c r="G1212" s="37" t="s">
        <v>124</v>
      </c>
      <c r="H1212" s="36" t="s">
        <v>188</v>
      </c>
      <c r="I1212" s="36" t="s">
        <v>191</v>
      </c>
      <c r="J1212" s="36" t="s">
        <v>192</v>
      </c>
      <c r="K1212" s="38" t="n">
        <v>92</v>
      </c>
      <c r="L1212" s="38" t="n">
        <v>11868000</v>
      </c>
      <c r="M1212" s="38" t="n">
        <v>4376684</v>
      </c>
      <c r="N1212" s="39" t="n">
        <f aca="false">IF(A1212="제외",0,IF(OR(N(L1212)&lt;=0,N(M1212)&gt;N(L1212)),N(M1212)/요약!$D$27,N(L1212)))</f>
        <v>11868000</v>
      </c>
      <c r="O1212" s="32" t="str">
        <f aca="false">IF(A1212="제외","",IF(OR(N(L1212)&lt;=0,N(M1212)&gt;N(L1212)),"택가보정(판매금액÷공급율)",""))</f>
        <v/>
      </c>
      <c r="P1212" s="0" t="str">
        <f aca="false">IF(A1212="HK","100",IF(A1212="CN","200",IF(A1212="TW","300",IF(ISNUMBER(SEARCH("태국",C1212)),"500",IF(ISNUMBER(SEARCH("말레이",C1212)),"600",IF(ISNUMBER(SEARCH("필리핀",C1212)),"700",IF(ISNUMBER(SEARCH("인도네시아",C1212)),"800",IF(ISNUMBER(SEARCH("크루즈",C1212)),"810",IF(ISNUMBER(SEARCH("동물원",C1212)),"830","")))))))))</f>
        <v>700</v>
      </c>
    </row>
    <row r="1213" customFormat="false" ht="15" hidden="false" customHeight="false" outlineLevel="0" collapsed="false">
      <c r="A1213" s="32" t="str">
        <f aca="false">IF(OR(TRIM(C1213)="",SUBSTITUTE(C1213," ","")="소계"),"제외",IF(ISNUMBER(SEARCH("홍콩",C1213)),"HK",IF(ISNUMBER(SEARCH("상해",C1213)),"CN",IF(ISNUMBER(SEARCH("대만",C1213)),"TW","홀세일"))))</f>
        <v>홀세일</v>
      </c>
      <c r="B1213" s="36" t="s">
        <v>1394</v>
      </c>
      <c r="C1213" s="36" t="s">
        <v>1395</v>
      </c>
      <c r="D1213" s="37" t="s">
        <v>123</v>
      </c>
      <c r="E1213" s="36" t="n">
        <v>2026</v>
      </c>
      <c r="F1213" s="37" t="s">
        <v>101</v>
      </c>
      <c r="G1213" s="37" t="s">
        <v>124</v>
      </c>
      <c r="H1213" s="36" t="s">
        <v>188</v>
      </c>
      <c r="I1213" s="36" t="s">
        <v>201</v>
      </c>
      <c r="J1213" s="36" t="s">
        <v>202</v>
      </c>
      <c r="K1213" s="38" t="n">
        <v>51</v>
      </c>
      <c r="L1213" s="38" t="n">
        <v>12189000</v>
      </c>
      <c r="M1213" s="38" t="n">
        <v>4769987</v>
      </c>
      <c r="N1213" s="39" t="n">
        <f aca="false">IF(A1213="제외",0,IF(OR(N(L1213)&lt;=0,N(M1213)&gt;N(L1213)),N(M1213)/요약!$D$27,N(L1213)))</f>
        <v>12189000</v>
      </c>
      <c r="O1213" s="32" t="str">
        <f aca="false">IF(A1213="제외","",IF(OR(N(L1213)&lt;=0,N(M1213)&gt;N(L1213)),"택가보정(판매금액÷공급율)",""))</f>
        <v/>
      </c>
      <c r="P1213" s="0" t="str">
        <f aca="false">IF(A1213="HK","100",IF(A1213="CN","200",IF(A1213="TW","300",IF(ISNUMBER(SEARCH("태국",C1213)),"500",IF(ISNUMBER(SEARCH("말레이",C1213)),"600",IF(ISNUMBER(SEARCH("필리핀",C1213)),"700",IF(ISNUMBER(SEARCH("인도네시아",C1213)),"800",IF(ISNUMBER(SEARCH("크루즈",C1213)),"810",IF(ISNUMBER(SEARCH("동물원",C1213)),"830","")))))))))</f>
        <v>700</v>
      </c>
    </row>
    <row r="1214" customFormat="false" ht="15" hidden="false" customHeight="false" outlineLevel="0" collapsed="false">
      <c r="A1214" s="32" t="str">
        <f aca="false">IF(OR(TRIM(C1214)="",SUBSTITUTE(C1214," ","")="소계"),"제외",IF(ISNUMBER(SEARCH("홍콩",C1214)),"HK",IF(ISNUMBER(SEARCH("상해",C1214)),"CN",IF(ISNUMBER(SEARCH("대만",C1214)),"TW","홀세일"))))</f>
        <v>홀세일</v>
      </c>
      <c r="B1214" s="36" t="s">
        <v>1394</v>
      </c>
      <c r="C1214" s="36" t="s">
        <v>1395</v>
      </c>
      <c r="D1214" s="37" t="s">
        <v>123</v>
      </c>
      <c r="E1214" s="36" t="n">
        <v>2026</v>
      </c>
      <c r="F1214" s="37" t="s">
        <v>219</v>
      </c>
      <c r="G1214" s="37" t="s">
        <v>102</v>
      </c>
      <c r="H1214" s="36" t="s">
        <v>131</v>
      </c>
      <c r="I1214" s="36" t="s">
        <v>1284</v>
      </c>
      <c r="J1214" s="37" t="s">
        <v>1285</v>
      </c>
      <c r="K1214" s="38" t="n">
        <v>62</v>
      </c>
      <c r="L1214" s="38" t="n">
        <v>2790000</v>
      </c>
      <c r="M1214" s="38" t="n">
        <v>1120094</v>
      </c>
      <c r="N1214" s="39" t="n">
        <f aca="false">IF(A1214="제외",0,IF(OR(N(L1214)&lt;=0,N(M1214)&gt;N(L1214)),N(M1214)/요약!$D$27,N(L1214)))</f>
        <v>2790000</v>
      </c>
      <c r="O1214" s="32" t="str">
        <f aca="false">IF(A1214="제외","",IF(OR(N(L1214)&lt;=0,N(M1214)&gt;N(L1214)),"택가보정(판매금액÷공급율)",""))</f>
        <v/>
      </c>
      <c r="P1214" s="0" t="str">
        <f aca="false">IF(A1214="HK","100",IF(A1214="CN","200",IF(A1214="TW","300",IF(ISNUMBER(SEARCH("태국",C1214)),"500",IF(ISNUMBER(SEARCH("말레이",C1214)),"600",IF(ISNUMBER(SEARCH("필리핀",C1214)),"700",IF(ISNUMBER(SEARCH("인도네시아",C1214)),"800",IF(ISNUMBER(SEARCH("크루즈",C1214)),"810",IF(ISNUMBER(SEARCH("동물원",C1214)),"830","")))))))))</f>
        <v>700</v>
      </c>
    </row>
    <row r="1215" customFormat="false" ht="15" hidden="false" customHeight="false" outlineLevel="0" collapsed="false">
      <c r="A1215" s="32" t="str">
        <f aca="false">IF(OR(TRIM(C1215)="",SUBSTITUTE(C1215," ","")="소계"),"제외",IF(ISNUMBER(SEARCH("홍콩",C1215)),"HK",IF(ISNUMBER(SEARCH("상해",C1215)),"CN",IF(ISNUMBER(SEARCH("대만",C1215)),"TW","홀세일"))))</f>
        <v>홀세일</v>
      </c>
      <c r="B1215" s="36" t="s">
        <v>1394</v>
      </c>
      <c r="C1215" s="36" t="s">
        <v>1395</v>
      </c>
      <c r="D1215" s="37" t="s">
        <v>123</v>
      </c>
      <c r="E1215" s="36" t="n">
        <v>2026</v>
      </c>
      <c r="F1215" s="37" t="s">
        <v>219</v>
      </c>
      <c r="G1215" s="37" t="s">
        <v>124</v>
      </c>
      <c r="H1215" s="36" t="s">
        <v>131</v>
      </c>
      <c r="I1215" s="36" t="s">
        <v>222</v>
      </c>
      <c r="J1215" s="36" t="s">
        <v>223</v>
      </c>
      <c r="K1215" s="38" t="n">
        <v>41</v>
      </c>
      <c r="L1215" s="38" t="n">
        <v>5289000</v>
      </c>
      <c r="M1215" s="38" t="n">
        <v>1911492</v>
      </c>
      <c r="N1215" s="39" t="n">
        <f aca="false">IF(A1215="제외",0,IF(OR(N(L1215)&lt;=0,N(M1215)&gt;N(L1215)),N(M1215)/요약!$D$27,N(L1215)))</f>
        <v>5289000</v>
      </c>
      <c r="O1215" s="32" t="str">
        <f aca="false">IF(A1215="제외","",IF(OR(N(L1215)&lt;=0,N(M1215)&gt;N(L1215)),"택가보정(판매금액÷공급율)",""))</f>
        <v/>
      </c>
      <c r="P1215" s="0" t="str">
        <f aca="false">IF(A1215="HK","100",IF(A1215="CN","200",IF(A1215="TW","300",IF(ISNUMBER(SEARCH("태국",C1215)),"500",IF(ISNUMBER(SEARCH("말레이",C1215)),"600",IF(ISNUMBER(SEARCH("필리핀",C1215)),"700",IF(ISNUMBER(SEARCH("인도네시아",C1215)),"800",IF(ISNUMBER(SEARCH("크루즈",C1215)),"810",IF(ISNUMBER(SEARCH("동물원",C1215)),"830","")))))))))</f>
        <v>700</v>
      </c>
    </row>
    <row r="1216" customFormat="false" ht="15" hidden="false" customHeight="false" outlineLevel="0" collapsed="false">
      <c r="A1216" s="32" t="str">
        <f aca="false">IF(OR(TRIM(C1216)="",SUBSTITUTE(C1216," ","")="소계"),"제외",IF(ISNUMBER(SEARCH("홍콩",C1216)),"HK",IF(ISNUMBER(SEARCH("상해",C1216)),"CN",IF(ISNUMBER(SEARCH("대만",C1216)),"TW","홀세일"))))</f>
        <v>홀세일</v>
      </c>
      <c r="B1216" s="36" t="s">
        <v>1394</v>
      </c>
      <c r="C1216" s="36" t="s">
        <v>1395</v>
      </c>
      <c r="D1216" s="37" t="s">
        <v>123</v>
      </c>
      <c r="E1216" s="36" t="n">
        <v>2026</v>
      </c>
      <c r="F1216" s="37" t="s">
        <v>219</v>
      </c>
      <c r="G1216" s="37" t="s">
        <v>124</v>
      </c>
      <c r="H1216" s="36" t="s">
        <v>131</v>
      </c>
      <c r="I1216" s="36" t="s">
        <v>806</v>
      </c>
      <c r="J1216" s="37" t="s">
        <v>807</v>
      </c>
      <c r="K1216" s="38" t="n">
        <v>97</v>
      </c>
      <c r="L1216" s="38" t="n">
        <v>15423000</v>
      </c>
      <c r="M1216" s="38" t="n">
        <v>5682725</v>
      </c>
      <c r="N1216" s="39" t="n">
        <f aca="false">IF(A1216="제외",0,IF(OR(N(L1216)&lt;=0,N(M1216)&gt;N(L1216)),N(M1216)/요약!$D$27,N(L1216)))</f>
        <v>15423000</v>
      </c>
      <c r="O1216" s="32" t="str">
        <f aca="false">IF(A1216="제외","",IF(OR(N(L1216)&lt;=0,N(M1216)&gt;N(L1216)),"택가보정(판매금액÷공급율)",""))</f>
        <v/>
      </c>
      <c r="P1216" s="0" t="str">
        <f aca="false">IF(A1216="HK","100",IF(A1216="CN","200",IF(A1216="TW","300",IF(ISNUMBER(SEARCH("태국",C1216)),"500",IF(ISNUMBER(SEARCH("말레이",C1216)),"600",IF(ISNUMBER(SEARCH("필리핀",C1216)),"700",IF(ISNUMBER(SEARCH("인도네시아",C1216)),"800",IF(ISNUMBER(SEARCH("크루즈",C1216)),"810",IF(ISNUMBER(SEARCH("동물원",C1216)),"830","")))))))))</f>
        <v>700</v>
      </c>
    </row>
    <row r="1217" customFormat="false" ht="15" hidden="false" customHeight="false" outlineLevel="0" collapsed="false">
      <c r="A1217" s="32" t="str">
        <f aca="false">IF(OR(TRIM(C1217)="",SUBSTITUTE(C1217," ","")="소계"),"제외",IF(ISNUMBER(SEARCH("홍콩",C1217)),"HK",IF(ISNUMBER(SEARCH("상해",C1217)),"CN",IF(ISNUMBER(SEARCH("대만",C1217)),"TW","홀세일"))))</f>
        <v>홀세일</v>
      </c>
      <c r="B1217" s="36" t="s">
        <v>1394</v>
      </c>
      <c r="C1217" s="36" t="s">
        <v>1395</v>
      </c>
      <c r="D1217" s="37" t="s">
        <v>123</v>
      </c>
      <c r="E1217" s="36" t="n">
        <v>2026</v>
      </c>
      <c r="F1217" s="37" t="s">
        <v>219</v>
      </c>
      <c r="G1217" s="37" t="s">
        <v>124</v>
      </c>
      <c r="H1217" s="36" t="s">
        <v>131</v>
      </c>
      <c r="I1217" s="36" t="s">
        <v>808</v>
      </c>
      <c r="J1217" s="36" t="s">
        <v>809</v>
      </c>
      <c r="K1217" s="38" t="n">
        <v>41</v>
      </c>
      <c r="L1217" s="38" t="n">
        <v>6929000</v>
      </c>
      <c r="M1217" s="38" t="n">
        <v>2503283</v>
      </c>
      <c r="N1217" s="39" t="n">
        <f aca="false">IF(A1217="제외",0,IF(OR(N(L1217)&lt;=0,N(M1217)&gt;N(L1217)),N(M1217)/요약!$D$27,N(L1217)))</f>
        <v>6929000</v>
      </c>
      <c r="O1217" s="32" t="str">
        <f aca="false">IF(A1217="제외","",IF(OR(N(L1217)&lt;=0,N(M1217)&gt;N(L1217)),"택가보정(판매금액÷공급율)",""))</f>
        <v/>
      </c>
      <c r="P1217" s="0" t="str">
        <f aca="false">IF(A1217="HK","100",IF(A1217="CN","200",IF(A1217="TW","300",IF(ISNUMBER(SEARCH("태국",C1217)),"500",IF(ISNUMBER(SEARCH("말레이",C1217)),"600",IF(ISNUMBER(SEARCH("필리핀",C1217)),"700",IF(ISNUMBER(SEARCH("인도네시아",C1217)),"800",IF(ISNUMBER(SEARCH("크루즈",C1217)),"810",IF(ISNUMBER(SEARCH("동물원",C1217)),"830","")))))))))</f>
        <v>700</v>
      </c>
    </row>
    <row r="1218" customFormat="false" ht="15" hidden="false" customHeight="false" outlineLevel="0" collapsed="false">
      <c r="A1218" s="32" t="str">
        <f aca="false">IF(OR(TRIM(C1218)="",SUBSTITUTE(C1218," ","")="소계"),"제외",IF(ISNUMBER(SEARCH("홍콩",C1218)),"HK",IF(ISNUMBER(SEARCH("상해",C1218)),"CN",IF(ISNUMBER(SEARCH("대만",C1218)),"TW","홀세일"))))</f>
        <v>홀세일</v>
      </c>
      <c r="B1218" s="36" t="s">
        <v>1394</v>
      </c>
      <c r="C1218" s="36" t="s">
        <v>1395</v>
      </c>
      <c r="D1218" s="37" t="s">
        <v>123</v>
      </c>
      <c r="E1218" s="36" t="n">
        <v>2026</v>
      </c>
      <c r="F1218" s="37" t="s">
        <v>219</v>
      </c>
      <c r="G1218" s="37" t="s">
        <v>124</v>
      </c>
      <c r="H1218" s="36" t="s">
        <v>125</v>
      </c>
      <c r="I1218" s="36" t="s">
        <v>810</v>
      </c>
      <c r="J1218" s="37" t="s">
        <v>811</v>
      </c>
      <c r="K1218" s="38" t="n">
        <v>112</v>
      </c>
      <c r="L1218" s="38" t="n">
        <v>15568000</v>
      </c>
      <c r="M1218" s="38" t="n">
        <v>5625740</v>
      </c>
      <c r="N1218" s="39" t="n">
        <f aca="false">IF(A1218="제외",0,IF(OR(N(L1218)&lt;=0,N(M1218)&gt;N(L1218)),N(M1218)/요약!$D$27,N(L1218)))</f>
        <v>15568000</v>
      </c>
      <c r="O1218" s="32" t="str">
        <f aca="false">IF(A1218="제외","",IF(OR(N(L1218)&lt;=0,N(M1218)&gt;N(L1218)),"택가보정(판매금액÷공급율)",""))</f>
        <v/>
      </c>
      <c r="P1218" s="0" t="str">
        <f aca="false">IF(A1218="HK","100",IF(A1218="CN","200",IF(A1218="TW","300",IF(ISNUMBER(SEARCH("태국",C1218)),"500",IF(ISNUMBER(SEARCH("말레이",C1218)),"600",IF(ISNUMBER(SEARCH("필리핀",C1218)),"700",IF(ISNUMBER(SEARCH("인도네시아",C1218)),"800",IF(ISNUMBER(SEARCH("크루즈",C1218)),"810",IF(ISNUMBER(SEARCH("동물원",C1218)),"830","")))))))))</f>
        <v>700</v>
      </c>
    </row>
    <row r="1219" customFormat="false" ht="15" hidden="false" customHeight="false" outlineLevel="0" collapsed="false">
      <c r="A1219" s="32" t="str">
        <f aca="false">IF(OR(TRIM(C1219)="",SUBSTITUTE(C1219," ","")="소계"),"제외",IF(ISNUMBER(SEARCH("홍콩",C1219)),"HK",IF(ISNUMBER(SEARCH("상해",C1219)),"CN",IF(ISNUMBER(SEARCH("대만",C1219)),"TW","홀세일"))))</f>
        <v>홀세일</v>
      </c>
      <c r="B1219" s="36" t="s">
        <v>1394</v>
      </c>
      <c r="C1219" s="36" t="s">
        <v>1395</v>
      </c>
      <c r="D1219" s="37" t="s">
        <v>123</v>
      </c>
      <c r="E1219" s="36" t="n">
        <v>2026</v>
      </c>
      <c r="F1219" s="37" t="s">
        <v>219</v>
      </c>
      <c r="G1219" s="37" t="s">
        <v>124</v>
      </c>
      <c r="H1219" s="36" t="s">
        <v>131</v>
      </c>
      <c r="I1219" s="36" t="s">
        <v>1041</v>
      </c>
      <c r="J1219" s="36" t="s">
        <v>1042</v>
      </c>
      <c r="K1219" s="38" t="n">
        <v>41</v>
      </c>
      <c r="L1219" s="38" t="n">
        <v>8979000</v>
      </c>
      <c r="M1219" s="38" t="n">
        <v>3444228</v>
      </c>
      <c r="N1219" s="39" t="n">
        <f aca="false">IF(A1219="제외",0,IF(OR(N(L1219)&lt;=0,N(M1219)&gt;N(L1219)),N(M1219)/요약!$D$27,N(L1219)))</f>
        <v>8979000</v>
      </c>
      <c r="O1219" s="32" t="str">
        <f aca="false">IF(A1219="제외","",IF(OR(N(L1219)&lt;=0,N(M1219)&gt;N(L1219)),"택가보정(판매금액÷공급율)",""))</f>
        <v/>
      </c>
      <c r="P1219" s="0" t="str">
        <f aca="false">IF(A1219="HK","100",IF(A1219="CN","200",IF(A1219="TW","300",IF(ISNUMBER(SEARCH("태국",C1219)),"500",IF(ISNUMBER(SEARCH("말레이",C1219)),"600",IF(ISNUMBER(SEARCH("필리핀",C1219)),"700",IF(ISNUMBER(SEARCH("인도네시아",C1219)),"800",IF(ISNUMBER(SEARCH("크루즈",C1219)),"810",IF(ISNUMBER(SEARCH("동물원",C1219)),"830","")))))))))</f>
        <v>700</v>
      </c>
    </row>
    <row r="1220" customFormat="false" ht="15" hidden="false" customHeight="false" outlineLevel="0" collapsed="false">
      <c r="A1220" s="32" t="str">
        <f aca="false">IF(OR(TRIM(C1220)="",SUBSTITUTE(C1220," ","")="소계"),"제외",IF(ISNUMBER(SEARCH("홍콩",C1220)),"HK",IF(ISNUMBER(SEARCH("상해",C1220)),"CN",IF(ISNUMBER(SEARCH("대만",C1220)),"TW","홀세일"))))</f>
        <v>홀세일</v>
      </c>
      <c r="B1220" s="36" t="s">
        <v>1394</v>
      </c>
      <c r="C1220" s="36" t="s">
        <v>1395</v>
      </c>
      <c r="D1220" s="37" t="s">
        <v>123</v>
      </c>
      <c r="E1220" s="36" t="n">
        <v>2026</v>
      </c>
      <c r="F1220" s="37" t="s">
        <v>219</v>
      </c>
      <c r="G1220" s="37" t="s">
        <v>124</v>
      </c>
      <c r="H1220" s="36" t="s">
        <v>131</v>
      </c>
      <c r="I1220" s="36" t="s">
        <v>814</v>
      </c>
      <c r="J1220" s="36" t="s">
        <v>815</v>
      </c>
      <c r="K1220" s="38" t="n">
        <v>51</v>
      </c>
      <c r="L1220" s="38" t="n">
        <v>10149000</v>
      </c>
      <c r="M1220" s="38" t="n">
        <v>3894140</v>
      </c>
      <c r="N1220" s="39" t="n">
        <f aca="false">IF(A1220="제외",0,IF(OR(N(L1220)&lt;=0,N(M1220)&gt;N(L1220)),N(M1220)/요약!$D$27,N(L1220)))</f>
        <v>10149000</v>
      </c>
      <c r="O1220" s="32" t="str">
        <f aca="false">IF(A1220="제외","",IF(OR(N(L1220)&lt;=0,N(M1220)&gt;N(L1220)),"택가보정(판매금액÷공급율)",""))</f>
        <v/>
      </c>
      <c r="P1220" s="0" t="str">
        <f aca="false">IF(A1220="HK","100",IF(A1220="CN","200",IF(A1220="TW","300",IF(ISNUMBER(SEARCH("태국",C1220)),"500",IF(ISNUMBER(SEARCH("말레이",C1220)),"600",IF(ISNUMBER(SEARCH("필리핀",C1220)),"700",IF(ISNUMBER(SEARCH("인도네시아",C1220)),"800",IF(ISNUMBER(SEARCH("크루즈",C1220)),"810",IF(ISNUMBER(SEARCH("동물원",C1220)),"830","")))))))))</f>
        <v>700</v>
      </c>
    </row>
    <row r="1221" customFormat="false" ht="15" hidden="false" customHeight="false" outlineLevel="0" collapsed="false">
      <c r="A1221" s="32" t="str">
        <f aca="false">IF(OR(TRIM(C1221)="",SUBSTITUTE(C1221," ","")="소계"),"제외",IF(ISNUMBER(SEARCH("홍콩",C1221)),"HK",IF(ISNUMBER(SEARCH("상해",C1221)),"CN",IF(ISNUMBER(SEARCH("대만",C1221)),"TW","홀세일"))))</f>
        <v>홀세일</v>
      </c>
      <c r="B1221" s="36" t="s">
        <v>1394</v>
      </c>
      <c r="C1221" s="36" t="s">
        <v>1395</v>
      </c>
      <c r="D1221" s="37" t="s">
        <v>123</v>
      </c>
      <c r="E1221" s="36" t="n">
        <v>2026</v>
      </c>
      <c r="F1221" s="37" t="s">
        <v>219</v>
      </c>
      <c r="G1221" s="37" t="s">
        <v>124</v>
      </c>
      <c r="H1221" s="36" t="s">
        <v>125</v>
      </c>
      <c r="I1221" s="36" t="s">
        <v>818</v>
      </c>
      <c r="J1221" s="37" t="s">
        <v>819</v>
      </c>
      <c r="K1221" s="38" t="n">
        <v>51</v>
      </c>
      <c r="L1221" s="38" t="n">
        <v>8619000</v>
      </c>
      <c r="M1221" s="38" t="n">
        <v>3175593</v>
      </c>
      <c r="N1221" s="39" t="n">
        <f aca="false">IF(A1221="제외",0,IF(OR(N(L1221)&lt;=0,N(M1221)&gt;N(L1221)),N(M1221)/요약!$D$27,N(L1221)))</f>
        <v>8619000</v>
      </c>
      <c r="O1221" s="32" t="str">
        <f aca="false">IF(A1221="제외","",IF(OR(N(L1221)&lt;=0,N(M1221)&gt;N(L1221)),"택가보정(판매금액÷공급율)",""))</f>
        <v/>
      </c>
      <c r="P1221" s="0" t="str">
        <f aca="false">IF(A1221="HK","100",IF(A1221="CN","200",IF(A1221="TW","300",IF(ISNUMBER(SEARCH("태국",C1221)),"500",IF(ISNUMBER(SEARCH("말레이",C1221)),"600",IF(ISNUMBER(SEARCH("필리핀",C1221)),"700",IF(ISNUMBER(SEARCH("인도네시아",C1221)),"800",IF(ISNUMBER(SEARCH("크루즈",C1221)),"810",IF(ISNUMBER(SEARCH("동물원",C1221)),"830","")))))))))</f>
        <v>700</v>
      </c>
    </row>
    <row r="1222" customFormat="false" ht="15" hidden="false" customHeight="false" outlineLevel="0" collapsed="false">
      <c r="A1222" s="32" t="str">
        <f aca="false">IF(OR(TRIM(C1222)="",SUBSTITUTE(C1222," ","")="소계"),"제외",IF(ISNUMBER(SEARCH("홍콩",C1222)),"HK",IF(ISNUMBER(SEARCH("상해",C1222)),"CN",IF(ISNUMBER(SEARCH("대만",C1222)),"TW","홀세일"))))</f>
        <v>홀세일</v>
      </c>
      <c r="B1222" s="36" t="s">
        <v>1394</v>
      </c>
      <c r="C1222" s="36" t="s">
        <v>1395</v>
      </c>
      <c r="D1222" s="37" t="s">
        <v>123</v>
      </c>
      <c r="E1222" s="36" t="n">
        <v>2026</v>
      </c>
      <c r="F1222" s="37" t="s">
        <v>219</v>
      </c>
      <c r="G1222" s="37" t="s">
        <v>124</v>
      </c>
      <c r="H1222" s="36" t="s">
        <v>125</v>
      </c>
      <c r="I1222" s="36" t="s">
        <v>228</v>
      </c>
      <c r="J1222" s="37" t="s">
        <v>229</v>
      </c>
      <c r="K1222" s="38" t="n">
        <v>178</v>
      </c>
      <c r="L1222" s="38" t="n">
        <v>15842000</v>
      </c>
      <c r="M1222" s="38" t="n">
        <v>5979868</v>
      </c>
      <c r="N1222" s="39" t="n">
        <f aca="false">IF(A1222="제외",0,IF(OR(N(L1222)&lt;=0,N(M1222)&gt;N(L1222)),N(M1222)/요약!$D$27,N(L1222)))</f>
        <v>15842000</v>
      </c>
      <c r="O1222" s="32" t="str">
        <f aca="false">IF(A1222="제외","",IF(OR(N(L1222)&lt;=0,N(M1222)&gt;N(L1222)),"택가보정(판매금액÷공급율)",""))</f>
        <v/>
      </c>
      <c r="P1222" s="0" t="str">
        <f aca="false">IF(A1222="HK","100",IF(A1222="CN","200",IF(A1222="TW","300",IF(ISNUMBER(SEARCH("태국",C1222)),"500",IF(ISNUMBER(SEARCH("말레이",C1222)),"600",IF(ISNUMBER(SEARCH("필리핀",C1222)),"700",IF(ISNUMBER(SEARCH("인도네시아",C1222)),"800",IF(ISNUMBER(SEARCH("크루즈",C1222)),"810",IF(ISNUMBER(SEARCH("동물원",C1222)),"830","")))))))))</f>
        <v>700</v>
      </c>
    </row>
    <row r="1223" customFormat="false" ht="15" hidden="false" customHeight="false" outlineLevel="0" collapsed="false">
      <c r="A1223" s="32" t="str">
        <f aca="false">IF(OR(TRIM(C1223)="",SUBSTITUTE(C1223," ","")="소계"),"제외",IF(ISNUMBER(SEARCH("홍콩",C1223)),"HK",IF(ISNUMBER(SEARCH("상해",C1223)),"CN",IF(ISNUMBER(SEARCH("대만",C1223)),"TW","홀세일"))))</f>
        <v>홀세일</v>
      </c>
      <c r="B1223" s="36" t="s">
        <v>1394</v>
      </c>
      <c r="C1223" s="36" t="s">
        <v>1395</v>
      </c>
      <c r="D1223" s="37" t="s">
        <v>123</v>
      </c>
      <c r="E1223" s="36" t="n">
        <v>2026</v>
      </c>
      <c r="F1223" s="37" t="s">
        <v>219</v>
      </c>
      <c r="G1223" s="37" t="s">
        <v>124</v>
      </c>
      <c r="H1223" s="36" t="s">
        <v>125</v>
      </c>
      <c r="I1223" s="36" t="s">
        <v>230</v>
      </c>
      <c r="J1223" s="37" t="s">
        <v>231</v>
      </c>
      <c r="K1223" s="38" t="n">
        <v>127</v>
      </c>
      <c r="L1223" s="38" t="n">
        <v>13843000</v>
      </c>
      <c r="M1223" s="38" t="n">
        <v>5104044</v>
      </c>
      <c r="N1223" s="39" t="n">
        <f aca="false">IF(A1223="제외",0,IF(OR(N(L1223)&lt;=0,N(M1223)&gt;N(L1223)),N(M1223)/요약!$D$27,N(L1223)))</f>
        <v>13843000</v>
      </c>
      <c r="O1223" s="32" t="str">
        <f aca="false">IF(A1223="제외","",IF(OR(N(L1223)&lt;=0,N(M1223)&gt;N(L1223)),"택가보정(판매금액÷공급율)",""))</f>
        <v/>
      </c>
      <c r="P1223" s="0" t="str">
        <f aca="false">IF(A1223="HK","100",IF(A1223="CN","200",IF(A1223="TW","300",IF(ISNUMBER(SEARCH("태국",C1223)),"500",IF(ISNUMBER(SEARCH("말레이",C1223)),"600",IF(ISNUMBER(SEARCH("필리핀",C1223)),"700",IF(ISNUMBER(SEARCH("인도네시아",C1223)),"800",IF(ISNUMBER(SEARCH("크루즈",C1223)),"810",IF(ISNUMBER(SEARCH("동물원",C1223)),"830","")))))))))</f>
        <v>700</v>
      </c>
    </row>
    <row r="1224" customFormat="false" ht="15" hidden="false" customHeight="false" outlineLevel="0" collapsed="false">
      <c r="A1224" s="32" t="str">
        <f aca="false">IF(OR(TRIM(C1224)="",SUBSTITUTE(C1224," ","")="소계"),"제외",IF(ISNUMBER(SEARCH("홍콩",C1224)),"HK",IF(ISNUMBER(SEARCH("상해",C1224)),"CN",IF(ISNUMBER(SEARCH("대만",C1224)),"TW","홀세일"))))</f>
        <v>홀세일</v>
      </c>
      <c r="B1224" s="36" t="s">
        <v>1394</v>
      </c>
      <c r="C1224" s="36" t="s">
        <v>1395</v>
      </c>
      <c r="D1224" s="37" t="s">
        <v>123</v>
      </c>
      <c r="E1224" s="36" t="n">
        <v>2026</v>
      </c>
      <c r="F1224" s="37" t="s">
        <v>219</v>
      </c>
      <c r="G1224" s="37" t="s">
        <v>124</v>
      </c>
      <c r="H1224" s="36" t="s">
        <v>131</v>
      </c>
      <c r="I1224" s="36" t="s">
        <v>1290</v>
      </c>
      <c r="J1224" s="37" t="s">
        <v>1291</v>
      </c>
      <c r="K1224" s="38" t="n">
        <v>92</v>
      </c>
      <c r="L1224" s="38" t="n">
        <v>10028000</v>
      </c>
      <c r="M1224" s="38" t="n">
        <v>3696974</v>
      </c>
      <c r="N1224" s="39" t="n">
        <f aca="false">IF(A1224="제외",0,IF(OR(N(L1224)&lt;=0,N(M1224)&gt;N(L1224)),N(M1224)/요약!$D$27,N(L1224)))</f>
        <v>10028000</v>
      </c>
      <c r="O1224" s="32" t="str">
        <f aca="false">IF(A1224="제외","",IF(OR(N(L1224)&lt;=0,N(M1224)&gt;N(L1224)),"택가보정(판매금액÷공급율)",""))</f>
        <v/>
      </c>
      <c r="P1224" s="0" t="str">
        <f aca="false">IF(A1224="HK","100",IF(A1224="CN","200",IF(A1224="TW","300",IF(ISNUMBER(SEARCH("태국",C1224)),"500",IF(ISNUMBER(SEARCH("말레이",C1224)),"600",IF(ISNUMBER(SEARCH("필리핀",C1224)),"700",IF(ISNUMBER(SEARCH("인도네시아",C1224)),"800",IF(ISNUMBER(SEARCH("크루즈",C1224)),"810",IF(ISNUMBER(SEARCH("동물원",C1224)),"830","")))))))))</f>
        <v>700</v>
      </c>
    </row>
    <row r="1225" customFormat="false" ht="15" hidden="false" customHeight="false" outlineLevel="0" collapsed="false">
      <c r="A1225" s="32" t="str">
        <f aca="false">IF(OR(TRIM(C1225)="",SUBSTITUTE(C1225," ","")="소계"),"제외",IF(ISNUMBER(SEARCH("홍콩",C1225)),"HK",IF(ISNUMBER(SEARCH("상해",C1225)),"CN",IF(ISNUMBER(SEARCH("대만",C1225)),"TW","홀세일"))))</f>
        <v>홀세일</v>
      </c>
      <c r="B1225" s="36" t="s">
        <v>1394</v>
      </c>
      <c r="C1225" s="36" t="s">
        <v>1395</v>
      </c>
      <c r="D1225" s="37" t="s">
        <v>123</v>
      </c>
      <c r="E1225" s="36" t="n">
        <v>2026</v>
      </c>
      <c r="F1225" s="37" t="s">
        <v>219</v>
      </c>
      <c r="G1225" s="37" t="s">
        <v>124</v>
      </c>
      <c r="H1225" s="36" t="s">
        <v>125</v>
      </c>
      <c r="I1225" s="36" t="s">
        <v>232</v>
      </c>
      <c r="J1225" s="37" t="s">
        <v>233</v>
      </c>
      <c r="K1225" s="38" t="n">
        <v>51</v>
      </c>
      <c r="L1225" s="38" t="n">
        <v>7599000</v>
      </c>
      <c r="M1225" s="38" t="n">
        <v>2800228</v>
      </c>
      <c r="N1225" s="39" t="n">
        <f aca="false">IF(A1225="제외",0,IF(OR(N(L1225)&lt;=0,N(M1225)&gt;N(L1225)),N(M1225)/요약!$D$27,N(L1225)))</f>
        <v>7599000</v>
      </c>
      <c r="O1225" s="32" t="str">
        <f aca="false">IF(A1225="제외","",IF(OR(N(L1225)&lt;=0,N(M1225)&gt;N(L1225)),"택가보정(판매금액÷공급율)",""))</f>
        <v/>
      </c>
      <c r="P1225" s="0" t="str">
        <f aca="false">IF(A1225="HK","100",IF(A1225="CN","200",IF(A1225="TW","300",IF(ISNUMBER(SEARCH("태국",C1225)),"500",IF(ISNUMBER(SEARCH("말레이",C1225)),"600",IF(ISNUMBER(SEARCH("필리핀",C1225)),"700",IF(ISNUMBER(SEARCH("인도네시아",C1225)),"800",IF(ISNUMBER(SEARCH("크루즈",C1225)),"810",IF(ISNUMBER(SEARCH("동물원",C1225)),"830","")))))))))</f>
        <v>700</v>
      </c>
    </row>
    <row r="1226" customFormat="false" ht="15" hidden="false" customHeight="false" outlineLevel="0" collapsed="false">
      <c r="A1226" s="32" t="str">
        <f aca="false">IF(OR(TRIM(C1226)="",SUBSTITUTE(C1226," ","")="소계"),"제외",IF(ISNUMBER(SEARCH("홍콩",C1226)),"HK",IF(ISNUMBER(SEARCH("상해",C1226)),"CN",IF(ISNUMBER(SEARCH("대만",C1226)),"TW","홀세일"))))</f>
        <v>홀세일</v>
      </c>
      <c r="B1226" s="36" t="s">
        <v>1394</v>
      </c>
      <c r="C1226" s="36" t="s">
        <v>1395</v>
      </c>
      <c r="D1226" s="37" t="s">
        <v>123</v>
      </c>
      <c r="E1226" s="36" t="n">
        <v>2026</v>
      </c>
      <c r="F1226" s="37" t="s">
        <v>219</v>
      </c>
      <c r="G1226" s="37" t="s">
        <v>124</v>
      </c>
      <c r="H1226" s="36" t="s">
        <v>131</v>
      </c>
      <c r="I1226" s="36" t="s">
        <v>242</v>
      </c>
      <c r="J1226" s="36" t="s">
        <v>243</v>
      </c>
      <c r="K1226" s="38" t="n">
        <v>76</v>
      </c>
      <c r="L1226" s="38" t="n">
        <v>6004000</v>
      </c>
      <c r="M1226" s="38" t="n">
        <v>2215348</v>
      </c>
      <c r="N1226" s="39" t="n">
        <f aca="false">IF(A1226="제외",0,IF(OR(N(L1226)&lt;=0,N(M1226)&gt;N(L1226)),N(M1226)/요약!$D$27,N(L1226)))</f>
        <v>6004000</v>
      </c>
      <c r="O1226" s="32" t="str">
        <f aca="false">IF(A1226="제외","",IF(OR(N(L1226)&lt;=0,N(M1226)&gt;N(L1226)),"택가보정(판매금액÷공급율)",""))</f>
        <v/>
      </c>
      <c r="P1226" s="0" t="str">
        <f aca="false">IF(A1226="HK","100",IF(A1226="CN","200",IF(A1226="TW","300",IF(ISNUMBER(SEARCH("태국",C1226)),"500",IF(ISNUMBER(SEARCH("말레이",C1226)),"600",IF(ISNUMBER(SEARCH("필리핀",C1226)),"700",IF(ISNUMBER(SEARCH("인도네시아",C1226)),"800",IF(ISNUMBER(SEARCH("크루즈",C1226)),"810",IF(ISNUMBER(SEARCH("동물원",C1226)),"830","")))))))))</f>
        <v>700</v>
      </c>
    </row>
    <row r="1227" customFormat="false" ht="15" hidden="false" customHeight="false" outlineLevel="0" collapsed="false">
      <c r="A1227" s="32" t="str">
        <f aca="false">IF(OR(TRIM(C1227)="",SUBSTITUTE(C1227," ","")="소계"),"제외",IF(ISNUMBER(SEARCH("홍콩",C1227)),"HK",IF(ISNUMBER(SEARCH("상해",C1227)),"CN",IF(ISNUMBER(SEARCH("대만",C1227)),"TW","홀세일"))))</f>
        <v>홀세일</v>
      </c>
      <c r="B1227" s="36" t="s">
        <v>1394</v>
      </c>
      <c r="C1227" s="36" t="s">
        <v>1395</v>
      </c>
      <c r="D1227" s="37" t="s">
        <v>123</v>
      </c>
      <c r="E1227" s="36" t="n">
        <v>2026</v>
      </c>
      <c r="F1227" s="37" t="s">
        <v>219</v>
      </c>
      <c r="G1227" s="37" t="s">
        <v>124</v>
      </c>
      <c r="H1227" s="36" t="s">
        <v>125</v>
      </c>
      <c r="I1227" s="36" t="s">
        <v>244</v>
      </c>
      <c r="J1227" s="37" t="s">
        <v>245</v>
      </c>
      <c r="K1227" s="38" t="n">
        <v>178</v>
      </c>
      <c r="L1227" s="38" t="n">
        <v>14062000</v>
      </c>
      <c r="M1227" s="38" t="n">
        <v>5188194</v>
      </c>
      <c r="N1227" s="39" t="n">
        <f aca="false">IF(A1227="제외",0,IF(OR(N(L1227)&lt;=0,N(M1227)&gt;N(L1227)),N(M1227)/요약!$D$27,N(L1227)))</f>
        <v>14062000</v>
      </c>
      <c r="O1227" s="32" t="str">
        <f aca="false">IF(A1227="제외","",IF(OR(N(L1227)&lt;=0,N(M1227)&gt;N(L1227)),"택가보정(판매금액÷공급율)",""))</f>
        <v/>
      </c>
      <c r="P1227" s="0" t="str">
        <f aca="false">IF(A1227="HK","100",IF(A1227="CN","200",IF(A1227="TW","300",IF(ISNUMBER(SEARCH("태국",C1227)),"500",IF(ISNUMBER(SEARCH("말레이",C1227)),"600",IF(ISNUMBER(SEARCH("필리핀",C1227)),"700",IF(ISNUMBER(SEARCH("인도네시아",C1227)),"800",IF(ISNUMBER(SEARCH("크루즈",C1227)),"810",IF(ISNUMBER(SEARCH("동물원",C1227)),"830","")))))))))</f>
        <v>700</v>
      </c>
    </row>
    <row r="1228" customFormat="false" ht="15" hidden="false" customHeight="false" outlineLevel="0" collapsed="false">
      <c r="A1228" s="32" t="str">
        <f aca="false">IF(OR(TRIM(C1228)="",SUBSTITUTE(C1228," ","")="소계"),"제외",IF(ISNUMBER(SEARCH("홍콩",C1228)),"HK",IF(ISNUMBER(SEARCH("상해",C1228)),"CN",IF(ISNUMBER(SEARCH("대만",C1228)),"TW","홀세일"))))</f>
        <v>홀세일</v>
      </c>
      <c r="B1228" s="36" t="s">
        <v>1394</v>
      </c>
      <c r="C1228" s="36" t="s">
        <v>1395</v>
      </c>
      <c r="D1228" s="37" t="s">
        <v>123</v>
      </c>
      <c r="E1228" s="36" t="n">
        <v>2026</v>
      </c>
      <c r="F1228" s="37" t="s">
        <v>219</v>
      </c>
      <c r="G1228" s="37" t="s">
        <v>124</v>
      </c>
      <c r="H1228" s="37" t="s">
        <v>128</v>
      </c>
      <c r="I1228" s="36" t="s">
        <v>256</v>
      </c>
      <c r="J1228" s="36" t="s">
        <v>257</v>
      </c>
      <c r="K1228" s="38" t="n">
        <v>243</v>
      </c>
      <c r="L1228" s="38" t="n">
        <v>21627000</v>
      </c>
      <c r="M1228" s="38" t="n">
        <v>7982703</v>
      </c>
      <c r="N1228" s="39" t="n">
        <f aca="false">IF(A1228="제외",0,IF(OR(N(L1228)&lt;=0,N(M1228)&gt;N(L1228)),N(M1228)/요약!$D$27,N(L1228)))</f>
        <v>21627000</v>
      </c>
      <c r="O1228" s="32" t="str">
        <f aca="false">IF(A1228="제외","",IF(OR(N(L1228)&lt;=0,N(M1228)&gt;N(L1228)),"택가보정(판매금액÷공급율)",""))</f>
        <v/>
      </c>
      <c r="P1228" s="0" t="str">
        <f aca="false">IF(A1228="HK","100",IF(A1228="CN","200",IF(A1228="TW","300",IF(ISNUMBER(SEARCH("태국",C1228)),"500",IF(ISNUMBER(SEARCH("말레이",C1228)),"600",IF(ISNUMBER(SEARCH("필리핀",C1228)),"700",IF(ISNUMBER(SEARCH("인도네시아",C1228)),"800",IF(ISNUMBER(SEARCH("크루즈",C1228)),"810",IF(ISNUMBER(SEARCH("동물원",C1228)),"830","")))))))))</f>
        <v>700</v>
      </c>
    </row>
    <row r="1229" customFormat="false" ht="15" hidden="false" customHeight="false" outlineLevel="0" collapsed="false">
      <c r="A1229" s="32" t="str">
        <f aca="false">IF(OR(TRIM(C1229)="",SUBSTITUTE(C1229," ","")="소계"),"제외",IF(ISNUMBER(SEARCH("홍콩",C1229)),"HK",IF(ISNUMBER(SEARCH("상해",C1229)),"CN",IF(ISNUMBER(SEARCH("대만",C1229)),"TW","홀세일"))))</f>
        <v>홀세일</v>
      </c>
      <c r="B1229" s="36" t="s">
        <v>1394</v>
      </c>
      <c r="C1229" s="36" t="s">
        <v>1395</v>
      </c>
      <c r="D1229" s="37" t="s">
        <v>123</v>
      </c>
      <c r="E1229" s="36" t="n">
        <v>2026</v>
      </c>
      <c r="F1229" s="37" t="s">
        <v>219</v>
      </c>
      <c r="G1229" s="37" t="s">
        <v>124</v>
      </c>
      <c r="H1229" s="36" t="s">
        <v>131</v>
      </c>
      <c r="I1229" s="36" t="s">
        <v>828</v>
      </c>
      <c r="J1229" s="37" t="s">
        <v>829</v>
      </c>
      <c r="K1229" s="38" t="n">
        <v>66</v>
      </c>
      <c r="L1229" s="38" t="n">
        <v>9174000</v>
      </c>
      <c r="M1229" s="38" t="n">
        <v>3515215</v>
      </c>
      <c r="N1229" s="39" t="n">
        <f aca="false">IF(A1229="제외",0,IF(OR(N(L1229)&lt;=0,N(M1229)&gt;N(L1229)),N(M1229)/요약!$D$27,N(L1229)))</f>
        <v>9174000</v>
      </c>
      <c r="O1229" s="32" t="str">
        <f aca="false">IF(A1229="제외","",IF(OR(N(L1229)&lt;=0,N(M1229)&gt;N(L1229)),"택가보정(판매금액÷공급율)",""))</f>
        <v/>
      </c>
      <c r="P1229" s="0" t="str">
        <f aca="false">IF(A1229="HK","100",IF(A1229="CN","200",IF(A1229="TW","300",IF(ISNUMBER(SEARCH("태국",C1229)),"500",IF(ISNUMBER(SEARCH("말레이",C1229)),"600",IF(ISNUMBER(SEARCH("필리핀",C1229)),"700",IF(ISNUMBER(SEARCH("인도네시아",C1229)),"800",IF(ISNUMBER(SEARCH("크루즈",C1229)),"810",IF(ISNUMBER(SEARCH("동물원",C1229)),"830","")))))))))</f>
        <v>700</v>
      </c>
    </row>
    <row r="1230" customFormat="false" ht="15" hidden="false" customHeight="false" outlineLevel="0" collapsed="false">
      <c r="A1230" s="32" t="str">
        <f aca="false">IF(OR(TRIM(C1230)="",SUBSTITUTE(C1230," ","")="소계"),"제외",IF(ISNUMBER(SEARCH("홍콩",C1230)),"HK",IF(ISNUMBER(SEARCH("상해",C1230)),"CN",IF(ISNUMBER(SEARCH("대만",C1230)),"TW","홀세일"))))</f>
        <v>홀세일</v>
      </c>
      <c r="B1230" s="36" t="s">
        <v>1394</v>
      </c>
      <c r="C1230" s="36" t="s">
        <v>1395</v>
      </c>
      <c r="D1230" s="37" t="s">
        <v>123</v>
      </c>
      <c r="E1230" s="36" t="n">
        <v>2026</v>
      </c>
      <c r="F1230" s="37" t="s">
        <v>219</v>
      </c>
      <c r="G1230" s="37" t="s">
        <v>124</v>
      </c>
      <c r="H1230" s="36" t="s">
        <v>131</v>
      </c>
      <c r="I1230" s="36" t="s">
        <v>1294</v>
      </c>
      <c r="J1230" s="37" t="s">
        <v>1295</v>
      </c>
      <c r="K1230" s="38" t="n">
        <v>264</v>
      </c>
      <c r="L1230" s="38" t="n">
        <v>23496000</v>
      </c>
      <c r="M1230" s="38" t="n">
        <v>8497604</v>
      </c>
      <c r="N1230" s="39" t="n">
        <f aca="false">IF(A1230="제외",0,IF(OR(N(L1230)&lt;=0,N(M1230)&gt;N(L1230)),N(M1230)/요약!$D$27,N(L1230)))</f>
        <v>23496000</v>
      </c>
      <c r="O1230" s="32" t="str">
        <f aca="false">IF(A1230="제외","",IF(OR(N(L1230)&lt;=0,N(M1230)&gt;N(L1230)),"택가보정(판매금액÷공급율)",""))</f>
        <v/>
      </c>
      <c r="P1230" s="0" t="str">
        <f aca="false">IF(A1230="HK","100",IF(A1230="CN","200",IF(A1230="TW","300",IF(ISNUMBER(SEARCH("태국",C1230)),"500",IF(ISNUMBER(SEARCH("말레이",C1230)),"600",IF(ISNUMBER(SEARCH("필리핀",C1230)),"700",IF(ISNUMBER(SEARCH("인도네시아",C1230)),"800",IF(ISNUMBER(SEARCH("크루즈",C1230)),"810",IF(ISNUMBER(SEARCH("동물원",C1230)),"830","")))))))))</f>
        <v>700</v>
      </c>
    </row>
    <row r="1231" customFormat="false" ht="15" hidden="false" customHeight="false" outlineLevel="0" collapsed="false">
      <c r="A1231" s="32" t="str">
        <f aca="false">IF(OR(TRIM(C1231)="",SUBSTITUTE(C1231," ","")="소계"),"제외",IF(ISNUMBER(SEARCH("홍콩",C1231)),"HK",IF(ISNUMBER(SEARCH("상해",C1231)),"CN",IF(ISNUMBER(SEARCH("대만",C1231)),"TW","홀세일"))))</f>
        <v>홀세일</v>
      </c>
      <c r="B1231" s="36" t="s">
        <v>1394</v>
      </c>
      <c r="C1231" s="36" t="s">
        <v>1395</v>
      </c>
      <c r="D1231" s="37" t="s">
        <v>123</v>
      </c>
      <c r="E1231" s="36" t="n">
        <v>2026</v>
      </c>
      <c r="F1231" s="37" t="s">
        <v>219</v>
      </c>
      <c r="G1231" s="37" t="s">
        <v>124</v>
      </c>
      <c r="H1231" s="36" t="s">
        <v>125</v>
      </c>
      <c r="I1231" s="36" t="s">
        <v>280</v>
      </c>
      <c r="J1231" s="37" t="s">
        <v>281</v>
      </c>
      <c r="K1231" s="38" t="n">
        <v>122</v>
      </c>
      <c r="L1231" s="38" t="n">
        <v>12078000</v>
      </c>
      <c r="M1231" s="38" t="n">
        <v>4558138</v>
      </c>
      <c r="N1231" s="39" t="n">
        <f aca="false">IF(A1231="제외",0,IF(OR(N(L1231)&lt;=0,N(M1231)&gt;N(L1231)),N(M1231)/요약!$D$27,N(L1231)))</f>
        <v>12078000</v>
      </c>
      <c r="O1231" s="32" t="str">
        <f aca="false">IF(A1231="제외","",IF(OR(N(L1231)&lt;=0,N(M1231)&gt;N(L1231)),"택가보정(판매금액÷공급율)",""))</f>
        <v/>
      </c>
      <c r="P1231" s="0" t="str">
        <f aca="false">IF(A1231="HK","100",IF(A1231="CN","200",IF(A1231="TW","300",IF(ISNUMBER(SEARCH("태국",C1231)),"500",IF(ISNUMBER(SEARCH("말레이",C1231)),"600",IF(ISNUMBER(SEARCH("필리핀",C1231)),"700",IF(ISNUMBER(SEARCH("인도네시아",C1231)),"800",IF(ISNUMBER(SEARCH("크루즈",C1231)),"810",IF(ISNUMBER(SEARCH("동물원",C1231)),"830","")))))))))</f>
        <v>700</v>
      </c>
    </row>
    <row r="1232" customFormat="false" ht="15" hidden="false" customHeight="false" outlineLevel="0" collapsed="false">
      <c r="A1232" s="32" t="str">
        <f aca="false">IF(OR(TRIM(C1232)="",SUBSTITUTE(C1232," ","")="소계"),"제외",IF(ISNUMBER(SEARCH("홍콩",C1232)),"HK",IF(ISNUMBER(SEARCH("상해",C1232)),"CN",IF(ISNUMBER(SEARCH("대만",C1232)),"TW","홀세일"))))</f>
        <v>홀세일</v>
      </c>
      <c r="B1232" s="36" t="s">
        <v>1394</v>
      </c>
      <c r="C1232" s="36" t="s">
        <v>1395</v>
      </c>
      <c r="D1232" s="37" t="s">
        <v>123</v>
      </c>
      <c r="E1232" s="36" t="n">
        <v>2026</v>
      </c>
      <c r="F1232" s="37" t="s">
        <v>219</v>
      </c>
      <c r="G1232" s="37" t="s">
        <v>124</v>
      </c>
      <c r="H1232" s="36" t="s">
        <v>131</v>
      </c>
      <c r="I1232" s="36" t="s">
        <v>290</v>
      </c>
      <c r="J1232" s="37" t="s">
        <v>291</v>
      </c>
      <c r="K1232" s="38" t="n">
        <v>183</v>
      </c>
      <c r="L1232" s="38" t="n">
        <v>12627000</v>
      </c>
      <c r="M1232" s="38" t="n">
        <v>4569678</v>
      </c>
      <c r="N1232" s="39" t="n">
        <f aca="false">IF(A1232="제외",0,IF(OR(N(L1232)&lt;=0,N(M1232)&gt;N(L1232)),N(M1232)/요약!$D$27,N(L1232)))</f>
        <v>12627000</v>
      </c>
      <c r="O1232" s="32" t="str">
        <f aca="false">IF(A1232="제외","",IF(OR(N(L1232)&lt;=0,N(M1232)&gt;N(L1232)),"택가보정(판매금액÷공급율)",""))</f>
        <v/>
      </c>
      <c r="P1232" s="0" t="str">
        <f aca="false">IF(A1232="HK","100",IF(A1232="CN","200",IF(A1232="TW","300",IF(ISNUMBER(SEARCH("태국",C1232)),"500",IF(ISNUMBER(SEARCH("말레이",C1232)),"600",IF(ISNUMBER(SEARCH("필리핀",C1232)),"700",IF(ISNUMBER(SEARCH("인도네시아",C1232)),"800",IF(ISNUMBER(SEARCH("크루즈",C1232)),"810",IF(ISNUMBER(SEARCH("동물원",C1232)),"830","")))))))))</f>
        <v>700</v>
      </c>
    </row>
    <row r="1233" customFormat="false" ht="15" hidden="false" customHeight="false" outlineLevel="0" collapsed="false">
      <c r="A1233" s="32" t="str">
        <f aca="false">IF(OR(TRIM(C1233)="",SUBSTITUTE(C1233," ","")="소계"),"제외",IF(ISNUMBER(SEARCH("홍콩",C1233)),"HK",IF(ISNUMBER(SEARCH("상해",C1233)),"CN",IF(ISNUMBER(SEARCH("대만",C1233)),"TW","홀세일"))))</f>
        <v>홀세일</v>
      </c>
      <c r="B1233" s="36" t="s">
        <v>1394</v>
      </c>
      <c r="C1233" s="36" t="s">
        <v>1395</v>
      </c>
      <c r="D1233" s="37" t="s">
        <v>123</v>
      </c>
      <c r="E1233" s="36" t="n">
        <v>2026</v>
      </c>
      <c r="F1233" s="37" t="s">
        <v>219</v>
      </c>
      <c r="G1233" s="37" t="s">
        <v>124</v>
      </c>
      <c r="H1233" s="36" t="s">
        <v>131</v>
      </c>
      <c r="I1233" s="36" t="s">
        <v>292</v>
      </c>
      <c r="J1233" s="37" t="s">
        <v>293</v>
      </c>
      <c r="K1233" s="38" t="n">
        <v>61</v>
      </c>
      <c r="L1233" s="38" t="n">
        <v>3599000</v>
      </c>
      <c r="M1233" s="38" t="n">
        <v>1321498</v>
      </c>
      <c r="N1233" s="39" t="n">
        <f aca="false">IF(A1233="제외",0,IF(OR(N(L1233)&lt;=0,N(M1233)&gt;N(L1233)),N(M1233)/요약!$D$27,N(L1233)))</f>
        <v>3599000</v>
      </c>
      <c r="O1233" s="32" t="str">
        <f aca="false">IF(A1233="제외","",IF(OR(N(L1233)&lt;=0,N(M1233)&gt;N(L1233)),"택가보정(판매금액÷공급율)",""))</f>
        <v/>
      </c>
      <c r="P1233" s="0" t="str">
        <f aca="false">IF(A1233="HK","100",IF(A1233="CN","200",IF(A1233="TW","300",IF(ISNUMBER(SEARCH("태국",C1233)),"500",IF(ISNUMBER(SEARCH("말레이",C1233)),"600",IF(ISNUMBER(SEARCH("필리핀",C1233)),"700",IF(ISNUMBER(SEARCH("인도네시아",C1233)),"800",IF(ISNUMBER(SEARCH("크루즈",C1233)),"810",IF(ISNUMBER(SEARCH("동물원",C1233)),"830","")))))))))</f>
        <v>700</v>
      </c>
    </row>
    <row r="1234" customFormat="false" ht="15" hidden="false" customHeight="false" outlineLevel="0" collapsed="false">
      <c r="A1234" s="32" t="str">
        <f aca="false">IF(OR(TRIM(C1234)="",SUBSTITUTE(C1234," ","")="소계"),"제외",IF(ISNUMBER(SEARCH("홍콩",C1234)),"HK",IF(ISNUMBER(SEARCH("상해",C1234)),"CN",IF(ISNUMBER(SEARCH("대만",C1234)),"TW","홀세일"))))</f>
        <v>홀세일</v>
      </c>
      <c r="B1234" s="36" t="s">
        <v>1394</v>
      </c>
      <c r="C1234" s="36" t="s">
        <v>1395</v>
      </c>
      <c r="D1234" s="37" t="s">
        <v>123</v>
      </c>
      <c r="E1234" s="36" t="n">
        <v>2026</v>
      </c>
      <c r="F1234" s="37" t="s">
        <v>219</v>
      </c>
      <c r="G1234" s="37" t="s">
        <v>124</v>
      </c>
      <c r="H1234" s="36" t="s">
        <v>131</v>
      </c>
      <c r="I1234" s="36" t="s">
        <v>300</v>
      </c>
      <c r="J1234" s="37" t="s">
        <v>301</v>
      </c>
      <c r="K1234" s="38" t="n">
        <v>56</v>
      </c>
      <c r="L1234" s="38" t="n">
        <v>3864000</v>
      </c>
      <c r="M1234" s="38" t="n">
        <v>1459421</v>
      </c>
      <c r="N1234" s="39" t="n">
        <f aca="false">IF(A1234="제외",0,IF(OR(N(L1234)&lt;=0,N(M1234)&gt;N(L1234)),N(M1234)/요약!$D$27,N(L1234)))</f>
        <v>3864000</v>
      </c>
      <c r="O1234" s="32" t="str">
        <f aca="false">IF(A1234="제외","",IF(OR(N(L1234)&lt;=0,N(M1234)&gt;N(L1234)),"택가보정(판매금액÷공급율)",""))</f>
        <v/>
      </c>
      <c r="P1234" s="0" t="str">
        <f aca="false">IF(A1234="HK","100",IF(A1234="CN","200",IF(A1234="TW","300",IF(ISNUMBER(SEARCH("태국",C1234)),"500",IF(ISNUMBER(SEARCH("말레이",C1234)),"600",IF(ISNUMBER(SEARCH("필리핀",C1234)),"700",IF(ISNUMBER(SEARCH("인도네시아",C1234)),"800",IF(ISNUMBER(SEARCH("크루즈",C1234)),"810",IF(ISNUMBER(SEARCH("동물원",C1234)),"830","")))))))))</f>
        <v>700</v>
      </c>
    </row>
    <row r="1235" customFormat="false" ht="15" hidden="false" customHeight="false" outlineLevel="0" collapsed="false">
      <c r="A1235" s="32" t="str">
        <f aca="false">IF(OR(TRIM(C1235)="",SUBSTITUTE(C1235," ","")="소계"),"제외",IF(ISNUMBER(SEARCH("홍콩",C1235)),"HK",IF(ISNUMBER(SEARCH("상해",C1235)),"CN",IF(ISNUMBER(SEARCH("대만",C1235)),"TW","홀세일"))))</f>
        <v>홀세일</v>
      </c>
      <c r="B1235" s="36" t="s">
        <v>1394</v>
      </c>
      <c r="C1235" s="36" t="s">
        <v>1395</v>
      </c>
      <c r="D1235" s="37" t="s">
        <v>123</v>
      </c>
      <c r="E1235" s="36" t="n">
        <v>2026</v>
      </c>
      <c r="F1235" s="37" t="s">
        <v>219</v>
      </c>
      <c r="G1235" s="37" t="s">
        <v>124</v>
      </c>
      <c r="H1235" s="36" t="s">
        <v>131</v>
      </c>
      <c r="I1235" s="36" t="s">
        <v>302</v>
      </c>
      <c r="J1235" s="37" t="s">
        <v>303</v>
      </c>
      <c r="K1235" s="38" t="n">
        <v>56</v>
      </c>
      <c r="L1235" s="38" t="n">
        <v>3864000</v>
      </c>
      <c r="M1235" s="38" t="n">
        <v>1459421</v>
      </c>
      <c r="N1235" s="39" t="n">
        <f aca="false">IF(A1235="제외",0,IF(OR(N(L1235)&lt;=0,N(M1235)&gt;N(L1235)),N(M1235)/요약!$D$27,N(L1235)))</f>
        <v>3864000</v>
      </c>
      <c r="O1235" s="32" t="str">
        <f aca="false">IF(A1235="제외","",IF(OR(N(L1235)&lt;=0,N(M1235)&gt;N(L1235)),"택가보정(판매금액÷공급율)",""))</f>
        <v/>
      </c>
      <c r="P1235" s="0" t="str">
        <f aca="false">IF(A1235="HK","100",IF(A1235="CN","200",IF(A1235="TW","300",IF(ISNUMBER(SEARCH("태국",C1235)),"500",IF(ISNUMBER(SEARCH("말레이",C1235)),"600",IF(ISNUMBER(SEARCH("필리핀",C1235)),"700",IF(ISNUMBER(SEARCH("인도네시아",C1235)),"800",IF(ISNUMBER(SEARCH("크루즈",C1235)),"810",IF(ISNUMBER(SEARCH("동물원",C1235)),"830","")))))))))</f>
        <v>700</v>
      </c>
    </row>
    <row r="1236" customFormat="false" ht="15" hidden="false" customHeight="false" outlineLevel="0" collapsed="false">
      <c r="A1236" s="32" t="str">
        <f aca="false">IF(OR(TRIM(C1236)="",SUBSTITUTE(C1236," ","")="소계"),"제외",IF(ISNUMBER(SEARCH("홍콩",C1236)),"HK",IF(ISNUMBER(SEARCH("상해",C1236)),"CN",IF(ISNUMBER(SEARCH("대만",C1236)),"TW","홀세일"))))</f>
        <v>홀세일</v>
      </c>
      <c r="B1236" s="36" t="s">
        <v>1394</v>
      </c>
      <c r="C1236" s="36" t="s">
        <v>1395</v>
      </c>
      <c r="D1236" s="37" t="s">
        <v>123</v>
      </c>
      <c r="E1236" s="36" t="n">
        <v>2026</v>
      </c>
      <c r="F1236" s="37" t="s">
        <v>219</v>
      </c>
      <c r="G1236" s="37" t="s">
        <v>124</v>
      </c>
      <c r="H1236" s="36" t="s">
        <v>131</v>
      </c>
      <c r="I1236" s="36" t="s">
        <v>304</v>
      </c>
      <c r="J1236" s="37" t="s">
        <v>305</v>
      </c>
      <c r="K1236" s="38" t="n">
        <v>141</v>
      </c>
      <c r="L1236" s="38" t="n">
        <v>8319000</v>
      </c>
      <c r="M1236" s="38" t="n">
        <v>3144084</v>
      </c>
      <c r="N1236" s="39" t="n">
        <f aca="false">IF(A1236="제외",0,IF(OR(N(L1236)&lt;=0,N(M1236)&gt;N(L1236)),N(M1236)/요약!$D$27,N(L1236)))</f>
        <v>8319000</v>
      </c>
      <c r="O1236" s="32" t="str">
        <f aca="false">IF(A1236="제외","",IF(OR(N(L1236)&lt;=0,N(M1236)&gt;N(L1236)),"택가보정(판매금액÷공급율)",""))</f>
        <v/>
      </c>
      <c r="P1236" s="0" t="str">
        <f aca="false">IF(A1236="HK","100",IF(A1236="CN","200",IF(A1236="TW","300",IF(ISNUMBER(SEARCH("태국",C1236)),"500",IF(ISNUMBER(SEARCH("말레이",C1236)),"600",IF(ISNUMBER(SEARCH("필리핀",C1236)),"700",IF(ISNUMBER(SEARCH("인도네시아",C1236)),"800",IF(ISNUMBER(SEARCH("크루즈",C1236)),"810",IF(ISNUMBER(SEARCH("동물원",C1236)),"830","")))))))))</f>
        <v>700</v>
      </c>
    </row>
    <row r="1237" customFormat="false" ht="15" hidden="false" customHeight="false" outlineLevel="0" collapsed="false">
      <c r="A1237" s="32" t="str">
        <f aca="false">IF(OR(TRIM(C1237)="",SUBSTITUTE(C1237," ","")="소계"),"제외",IF(ISNUMBER(SEARCH("홍콩",C1237)),"HK",IF(ISNUMBER(SEARCH("상해",C1237)),"CN",IF(ISNUMBER(SEARCH("대만",C1237)),"TW","홀세일"))))</f>
        <v>홀세일</v>
      </c>
      <c r="B1237" s="36" t="s">
        <v>1394</v>
      </c>
      <c r="C1237" s="36" t="s">
        <v>1395</v>
      </c>
      <c r="D1237" s="37" t="s">
        <v>123</v>
      </c>
      <c r="E1237" s="36" t="n">
        <v>2026</v>
      </c>
      <c r="F1237" s="37" t="s">
        <v>219</v>
      </c>
      <c r="G1237" s="37" t="s">
        <v>124</v>
      </c>
      <c r="H1237" s="36" t="s">
        <v>131</v>
      </c>
      <c r="I1237" s="36" t="s">
        <v>312</v>
      </c>
      <c r="J1237" s="37" t="s">
        <v>313</v>
      </c>
      <c r="K1237" s="38" t="n">
        <v>56</v>
      </c>
      <c r="L1237" s="38" t="n">
        <v>4984000</v>
      </c>
      <c r="M1237" s="38" t="n">
        <v>1881226</v>
      </c>
      <c r="N1237" s="39" t="n">
        <f aca="false">IF(A1237="제외",0,IF(OR(N(L1237)&lt;=0,N(M1237)&gt;N(L1237)),N(M1237)/요약!$D$27,N(L1237)))</f>
        <v>4984000</v>
      </c>
      <c r="O1237" s="32" t="str">
        <f aca="false">IF(A1237="제외","",IF(OR(N(L1237)&lt;=0,N(M1237)&gt;N(L1237)),"택가보정(판매금액÷공급율)",""))</f>
        <v/>
      </c>
      <c r="P1237" s="0" t="str">
        <f aca="false">IF(A1237="HK","100",IF(A1237="CN","200",IF(A1237="TW","300",IF(ISNUMBER(SEARCH("태국",C1237)),"500",IF(ISNUMBER(SEARCH("말레이",C1237)),"600",IF(ISNUMBER(SEARCH("필리핀",C1237)),"700",IF(ISNUMBER(SEARCH("인도네시아",C1237)),"800",IF(ISNUMBER(SEARCH("크루즈",C1237)),"810",IF(ISNUMBER(SEARCH("동물원",C1237)),"830","")))))))))</f>
        <v>700</v>
      </c>
    </row>
    <row r="1238" customFormat="false" ht="15" hidden="false" customHeight="false" outlineLevel="0" collapsed="false">
      <c r="A1238" s="32" t="str">
        <f aca="false">IF(OR(TRIM(C1238)="",SUBSTITUTE(C1238," ","")="소계"),"제외",IF(ISNUMBER(SEARCH("홍콩",C1238)),"HK",IF(ISNUMBER(SEARCH("상해",C1238)),"CN",IF(ISNUMBER(SEARCH("대만",C1238)),"TW","홀세일"))))</f>
        <v>홀세일</v>
      </c>
      <c r="B1238" s="36" t="s">
        <v>1394</v>
      </c>
      <c r="C1238" s="36" t="s">
        <v>1395</v>
      </c>
      <c r="D1238" s="37" t="s">
        <v>123</v>
      </c>
      <c r="E1238" s="36" t="n">
        <v>2026</v>
      </c>
      <c r="F1238" s="37" t="s">
        <v>219</v>
      </c>
      <c r="G1238" s="37" t="s">
        <v>124</v>
      </c>
      <c r="H1238" s="36" t="s">
        <v>125</v>
      </c>
      <c r="I1238" s="36" t="s">
        <v>316</v>
      </c>
      <c r="J1238" s="37" t="s">
        <v>317</v>
      </c>
      <c r="K1238" s="38" t="n">
        <v>122</v>
      </c>
      <c r="L1238" s="38" t="n">
        <v>7198000</v>
      </c>
      <c r="M1238" s="38" t="n">
        <v>2642996</v>
      </c>
      <c r="N1238" s="39" t="n">
        <f aca="false">IF(A1238="제외",0,IF(OR(N(L1238)&lt;=0,N(M1238)&gt;N(L1238)),N(M1238)/요약!$D$27,N(L1238)))</f>
        <v>7198000</v>
      </c>
      <c r="O1238" s="32" t="str">
        <f aca="false">IF(A1238="제외","",IF(OR(N(L1238)&lt;=0,N(M1238)&gt;N(L1238)),"택가보정(판매금액÷공급율)",""))</f>
        <v/>
      </c>
      <c r="P1238" s="0" t="str">
        <f aca="false">IF(A1238="HK","100",IF(A1238="CN","200",IF(A1238="TW","300",IF(ISNUMBER(SEARCH("태국",C1238)),"500",IF(ISNUMBER(SEARCH("말레이",C1238)),"600",IF(ISNUMBER(SEARCH("필리핀",C1238)),"700",IF(ISNUMBER(SEARCH("인도네시아",C1238)),"800",IF(ISNUMBER(SEARCH("크루즈",C1238)),"810",IF(ISNUMBER(SEARCH("동물원",C1238)),"830","")))))))))</f>
        <v>700</v>
      </c>
    </row>
    <row r="1239" customFormat="false" ht="15" hidden="false" customHeight="false" outlineLevel="0" collapsed="false">
      <c r="A1239" s="32" t="str">
        <f aca="false">IF(OR(TRIM(C1239)="",SUBSTITUTE(C1239," ","")="소계"),"제외",IF(ISNUMBER(SEARCH("홍콩",C1239)),"HK",IF(ISNUMBER(SEARCH("상해",C1239)),"CN",IF(ISNUMBER(SEARCH("대만",C1239)),"TW","홀세일"))))</f>
        <v>홀세일</v>
      </c>
      <c r="B1239" s="36" t="s">
        <v>1394</v>
      </c>
      <c r="C1239" s="36" t="s">
        <v>1395</v>
      </c>
      <c r="D1239" s="37" t="s">
        <v>123</v>
      </c>
      <c r="E1239" s="36" t="n">
        <v>2026</v>
      </c>
      <c r="F1239" s="37" t="s">
        <v>219</v>
      </c>
      <c r="G1239" s="37" t="s">
        <v>124</v>
      </c>
      <c r="H1239" s="36" t="s">
        <v>125</v>
      </c>
      <c r="I1239" s="36" t="s">
        <v>320</v>
      </c>
      <c r="J1239" s="37" t="s">
        <v>321</v>
      </c>
      <c r="K1239" s="38" t="n">
        <v>56</v>
      </c>
      <c r="L1239" s="38" t="n">
        <v>3864000</v>
      </c>
      <c r="M1239" s="38" t="n">
        <v>1418061</v>
      </c>
      <c r="N1239" s="39" t="n">
        <f aca="false">IF(A1239="제외",0,IF(OR(N(L1239)&lt;=0,N(M1239)&gt;N(L1239)),N(M1239)/요약!$D$27,N(L1239)))</f>
        <v>3864000</v>
      </c>
      <c r="O1239" s="32" t="str">
        <f aca="false">IF(A1239="제외","",IF(OR(N(L1239)&lt;=0,N(M1239)&gt;N(L1239)),"택가보정(판매금액÷공급율)",""))</f>
        <v/>
      </c>
      <c r="P1239" s="0" t="str">
        <f aca="false">IF(A1239="HK","100",IF(A1239="CN","200",IF(A1239="TW","300",IF(ISNUMBER(SEARCH("태국",C1239)),"500",IF(ISNUMBER(SEARCH("말레이",C1239)),"600",IF(ISNUMBER(SEARCH("필리핀",C1239)),"700",IF(ISNUMBER(SEARCH("인도네시아",C1239)),"800",IF(ISNUMBER(SEARCH("크루즈",C1239)),"810",IF(ISNUMBER(SEARCH("동물원",C1239)),"830","")))))))))</f>
        <v>700</v>
      </c>
    </row>
    <row r="1240" customFormat="false" ht="15" hidden="false" customHeight="false" outlineLevel="0" collapsed="false">
      <c r="A1240" s="32" t="str">
        <f aca="false">IF(OR(TRIM(C1240)="",SUBSTITUTE(C1240," ","")="소계"),"제외",IF(ISNUMBER(SEARCH("홍콩",C1240)),"HK",IF(ISNUMBER(SEARCH("상해",C1240)),"CN",IF(ISNUMBER(SEARCH("대만",C1240)),"TW","홀세일"))))</f>
        <v>홀세일</v>
      </c>
      <c r="B1240" s="36" t="s">
        <v>1394</v>
      </c>
      <c r="C1240" s="36" t="s">
        <v>1395</v>
      </c>
      <c r="D1240" s="37" t="s">
        <v>123</v>
      </c>
      <c r="E1240" s="36" t="n">
        <v>2026</v>
      </c>
      <c r="F1240" s="37" t="s">
        <v>219</v>
      </c>
      <c r="G1240" s="37" t="s">
        <v>124</v>
      </c>
      <c r="H1240" s="37" t="s">
        <v>128</v>
      </c>
      <c r="I1240" s="36" t="s">
        <v>1409</v>
      </c>
      <c r="J1240" s="36" t="s">
        <v>1410</v>
      </c>
      <c r="K1240" s="38" t="n">
        <v>61</v>
      </c>
      <c r="L1240" s="38" t="n">
        <v>3599000</v>
      </c>
      <c r="M1240" s="38" t="n">
        <v>1360078</v>
      </c>
      <c r="N1240" s="39" t="n">
        <f aca="false">IF(A1240="제외",0,IF(OR(N(L1240)&lt;=0,N(M1240)&gt;N(L1240)),N(M1240)/요약!$D$27,N(L1240)))</f>
        <v>3599000</v>
      </c>
      <c r="O1240" s="32" t="str">
        <f aca="false">IF(A1240="제외","",IF(OR(N(L1240)&lt;=0,N(M1240)&gt;N(L1240)),"택가보정(판매금액÷공급율)",""))</f>
        <v/>
      </c>
      <c r="P1240" s="0" t="str">
        <f aca="false">IF(A1240="HK","100",IF(A1240="CN","200",IF(A1240="TW","300",IF(ISNUMBER(SEARCH("태국",C1240)),"500",IF(ISNUMBER(SEARCH("말레이",C1240)),"600",IF(ISNUMBER(SEARCH("필리핀",C1240)),"700",IF(ISNUMBER(SEARCH("인도네시아",C1240)),"800",IF(ISNUMBER(SEARCH("크루즈",C1240)),"810",IF(ISNUMBER(SEARCH("동물원",C1240)),"830","")))))))))</f>
        <v>700</v>
      </c>
    </row>
    <row r="1241" customFormat="false" ht="15" hidden="false" customHeight="false" outlineLevel="0" collapsed="false">
      <c r="A1241" s="32" t="str">
        <f aca="false">IF(OR(TRIM(C1241)="",SUBSTITUTE(C1241," ","")="소계"),"제외",IF(ISNUMBER(SEARCH("홍콩",C1241)),"HK",IF(ISNUMBER(SEARCH("상해",C1241)),"CN",IF(ISNUMBER(SEARCH("대만",C1241)),"TW","홀세일"))))</f>
        <v>홀세일</v>
      </c>
      <c r="B1241" s="36" t="s">
        <v>1394</v>
      </c>
      <c r="C1241" s="36" t="s">
        <v>1395</v>
      </c>
      <c r="D1241" s="37" t="s">
        <v>123</v>
      </c>
      <c r="E1241" s="36" t="n">
        <v>2026</v>
      </c>
      <c r="F1241" s="37" t="s">
        <v>219</v>
      </c>
      <c r="G1241" s="37" t="s">
        <v>360</v>
      </c>
      <c r="H1241" s="36" t="s">
        <v>131</v>
      </c>
      <c r="I1241" s="36" t="s">
        <v>1411</v>
      </c>
      <c r="J1241" s="37" t="s">
        <v>1412</v>
      </c>
      <c r="K1241" s="38" t="n">
        <v>120</v>
      </c>
      <c r="L1241" s="38" t="n">
        <v>15480000</v>
      </c>
      <c r="M1241" s="38" t="n">
        <v>6823680</v>
      </c>
      <c r="N1241" s="39" t="n">
        <f aca="false">IF(A1241="제외",0,IF(OR(N(L1241)&lt;=0,N(M1241)&gt;N(L1241)),N(M1241)/요약!$D$27,N(L1241)))</f>
        <v>15480000</v>
      </c>
      <c r="O1241" s="32" t="str">
        <f aca="false">IF(A1241="제외","",IF(OR(N(L1241)&lt;=0,N(M1241)&gt;N(L1241)),"택가보정(판매금액÷공급율)",""))</f>
        <v/>
      </c>
      <c r="P1241" s="0" t="str">
        <f aca="false">IF(A1241="HK","100",IF(A1241="CN","200",IF(A1241="TW","300",IF(ISNUMBER(SEARCH("태국",C1241)),"500",IF(ISNUMBER(SEARCH("말레이",C1241)),"600",IF(ISNUMBER(SEARCH("필리핀",C1241)),"700",IF(ISNUMBER(SEARCH("인도네시아",C1241)),"800",IF(ISNUMBER(SEARCH("크루즈",C1241)),"810",IF(ISNUMBER(SEARCH("동물원",C1241)),"830","")))))))))</f>
        <v>700</v>
      </c>
    </row>
    <row r="1242" customFormat="false" ht="15" hidden="false" customHeight="false" outlineLevel="0" collapsed="false">
      <c r="A1242" s="32" t="str">
        <f aca="false">IF(OR(TRIM(C1242)="",SUBSTITUTE(C1242," ","")="소계"),"제외",IF(ISNUMBER(SEARCH("홍콩",C1242)),"HK",IF(ISNUMBER(SEARCH("상해",C1242)),"CN",IF(ISNUMBER(SEARCH("대만",C1242)),"TW","홀세일"))))</f>
        <v>홀세일</v>
      </c>
      <c r="B1242" s="36" t="s">
        <v>1394</v>
      </c>
      <c r="C1242" s="36" t="s">
        <v>1395</v>
      </c>
      <c r="D1242" s="37" t="s">
        <v>123</v>
      </c>
      <c r="E1242" s="36" t="n">
        <v>2026</v>
      </c>
      <c r="F1242" s="37" t="s">
        <v>219</v>
      </c>
      <c r="G1242" s="37" t="s">
        <v>124</v>
      </c>
      <c r="H1242" s="36" t="s">
        <v>188</v>
      </c>
      <c r="I1242" s="36" t="s">
        <v>332</v>
      </c>
      <c r="J1242" s="36" t="s">
        <v>333</v>
      </c>
      <c r="K1242" s="38" t="n">
        <v>82</v>
      </c>
      <c r="L1242" s="38" t="n">
        <v>10578000</v>
      </c>
      <c r="M1242" s="38" t="n">
        <v>3822984</v>
      </c>
      <c r="N1242" s="39" t="n">
        <f aca="false">IF(A1242="제외",0,IF(OR(N(L1242)&lt;=0,N(M1242)&gt;N(L1242)),N(M1242)/요약!$D$27,N(L1242)))</f>
        <v>10578000</v>
      </c>
      <c r="O1242" s="32" t="str">
        <f aca="false">IF(A1242="제외","",IF(OR(N(L1242)&lt;=0,N(M1242)&gt;N(L1242)),"택가보정(판매금액÷공급율)",""))</f>
        <v/>
      </c>
      <c r="P1242" s="0" t="str">
        <f aca="false">IF(A1242="HK","100",IF(A1242="CN","200",IF(A1242="TW","300",IF(ISNUMBER(SEARCH("태국",C1242)),"500",IF(ISNUMBER(SEARCH("말레이",C1242)),"600",IF(ISNUMBER(SEARCH("필리핀",C1242)),"700",IF(ISNUMBER(SEARCH("인도네시아",C1242)),"800",IF(ISNUMBER(SEARCH("크루즈",C1242)),"810",IF(ISNUMBER(SEARCH("동물원",C1242)),"830","")))))))))</f>
        <v>700</v>
      </c>
    </row>
    <row r="1243" customFormat="false" ht="15" hidden="false" customHeight="false" outlineLevel="0" collapsed="false">
      <c r="A1243" s="32" t="str">
        <f aca="false">IF(OR(TRIM(C1243)="",SUBSTITUTE(C1243," ","")="소계"),"제외",IF(ISNUMBER(SEARCH("홍콩",C1243)),"HK",IF(ISNUMBER(SEARCH("상해",C1243)),"CN",IF(ISNUMBER(SEARCH("대만",C1243)),"TW","홀세일"))))</f>
        <v>홀세일</v>
      </c>
      <c r="B1243" s="36" t="s">
        <v>1394</v>
      </c>
      <c r="C1243" s="36" t="s">
        <v>1395</v>
      </c>
      <c r="D1243" s="37" t="s">
        <v>123</v>
      </c>
      <c r="E1243" s="36" t="n">
        <v>2026</v>
      </c>
      <c r="F1243" s="37" t="s">
        <v>219</v>
      </c>
      <c r="G1243" s="37" t="s">
        <v>124</v>
      </c>
      <c r="H1243" s="36" t="s">
        <v>188</v>
      </c>
      <c r="I1243" s="36" t="s">
        <v>334</v>
      </c>
      <c r="J1243" s="36" t="s">
        <v>335</v>
      </c>
      <c r="K1243" s="38" t="n">
        <v>82</v>
      </c>
      <c r="L1243" s="38" t="n">
        <v>12218000</v>
      </c>
      <c r="M1243" s="38" t="n">
        <v>4501896</v>
      </c>
      <c r="N1243" s="39" t="n">
        <f aca="false">IF(A1243="제외",0,IF(OR(N(L1243)&lt;=0,N(M1243)&gt;N(L1243)),N(M1243)/요약!$D$27,N(L1243)))</f>
        <v>12218000</v>
      </c>
      <c r="O1243" s="32" t="str">
        <f aca="false">IF(A1243="제외","",IF(OR(N(L1243)&lt;=0,N(M1243)&gt;N(L1243)),"택가보정(판매금액÷공급율)",""))</f>
        <v/>
      </c>
      <c r="P1243" s="0" t="str">
        <f aca="false">IF(A1243="HK","100",IF(A1243="CN","200",IF(A1243="TW","300",IF(ISNUMBER(SEARCH("태국",C1243)),"500",IF(ISNUMBER(SEARCH("말레이",C1243)),"600",IF(ISNUMBER(SEARCH("필리핀",C1243)),"700",IF(ISNUMBER(SEARCH("인도네시아",C1243)),"800",IF(ISNUMBER(SEARCH("크루즈",C1243)),"810",IF(ISNUMBER(SEARCH("동물원",C1243)),"830","")))))))))</f>
        <v>700</v>
      </c>
    </row>
    <row r="1244" customFormat="false" ht="15" hidden="false" customHeight="false" outlineLevel="0" collapsed="false">
      <c r="A1244" s="32" t="str">
        <f aca="false">IF(OR(TRIM(C1244)="",SUBSTITUTE(C1244," ","")="소계"),"제외",IF(ISNUMBER(SEARCH("홍콩",C1244)),"HK",IF(ISNUMBER(SEARCH("상해",C1244)),"CN",IF(ISNUMBER(SEARCH("대만",C1244)),"TW","홀세일"))))</f>
        <v>홀세일</v>
      </c>
      <c r="B1244" s="36" t="s">
        <v>1394</v>
      </c>
      <c r="C1244" s="36" t="s">
        <v>1395</v>
      </c>
      <c r="D1244" s="37" t="s">
        <v>123</v>
      </c>
      <c r="E1244" s="36" t="n">
        <v>2026</v>
      </c>
      <c r="F1244" s="37" t="s">
        <v>219</v>
      </c>
      <c r="G1244" s="37" t="s">
        <v>124</v>
      </c>
      <c r="H1244" s="36" t="s">
        <v>188</v>
      </c>
      <c r="I1244" s="36" t="s">
        <v>1310</v>
      </c>
      <c r="J1244" s="36" t="s">
        <v>1311</v>
      </c>
      <c r="K1244" s="38" t="n">
        <v>92</v>
      </c>
      <c r="L1244" s="38" t="n">
        <v>11868000</v>
      </c>
      <c r="M1244" s="38" t="n">
        <v>4289204</v>
      </c>
      <c r="N1244" s="39" t="n">
        <f aca="false">IF(A1244="제외",0,IF(OR(N(L1244)&lt;=0,N(M1244)&gt;N(L1244)),N(M1244)/요약!$D$27,N(L1244)))</f>
        <v>11868000</v>
      </c>
      <c r="O1244" s="32" t="str">
        <f aca="false">IF(A1244="제외","",IF(OR(N(L1244)&lt;=0,N(M1244)&gt;N(L1244)),"택가보정(판매금액÷공급율)",""))</f>
        <v/>
      </c>
      <c r="P1244" s="0" t="str">
        <f aca="false">IF(A1244="HK","100",IF(A1244="CN","200",IF(A1244="TW","300",IF(ISNUMBER(SEARCH("태국",C1244)),"500",IF(ISNUMBER(SEARCH("말레이",C1244)),"600",IF(ISNUMBER(SEARCH("필리핀",C1244)),"700",IF(ISNUMBER(SEARCH("인도네시아",C1244)),"800",IF(ISNUMBER(SEARCH("크루즈",C1244)),"810",IF(ISNUMBER(SEARCH("동물원",C1244)),"830","")))))))))</f>
        <v>700</v>
      </c>
    </row>
    <row r="1245" customFormat="false" ht="15" hidden="false" customHeight="false" outlineLevel="0" collapsed="false">
      <c r="A1245" s="32" t="str">
        <f aca="false">IF(OR(TRIM(C1245)="",SUBSTITUTE(C1245," ","")="소계"),"제외",IF(ISNUMBER(SEARCH("홍콩",C1245)),"HK",IF(ISNUMBER(SEARCH("상해",C1245)),"CN",IF(ISNUMBER(SEARCH("대만",C1245)),"TW","홀세일"))))</f>
        <v>홀세일</v>
      </c>
      <c r="B1245" s="36" t="s">
        <v>1394</v>
      </c>
      <c r="C1245" s="36" t="s">
        <v>1395</v>
      </c>
      <c r="D1245" s="37" t="s">
        <v>123</v>
      </c>
      <c r="E1245" s="36" t="n">
        <v>2026</v>
      </c>
      <c r="F1245" s="37" t="s">
        <v>219</v>
      </c>
      <c r="G1245" s="37" t="s">
        <v>124</v>
      </c>
      <c r="H1245" s="36" t="s">
        <v>188</v>
      </c>
      <c r="I1245" s="36" t="s">
        <v>1312</v>
      </c>
      <c r="J1245" s="36" t="s">
        <v>1313</v>
      </c>
      <c r="K1245" s="38" t="n">
        <v>183</v>
      </c>
      <c r="L1245" s="38" t="n">
        <v>16287000</v>
      </c>
      <c r="M1245" s="38" t="n">
        <v>5890383</v>
      </c>
      <c r="N1245" s="39" t="n">
        <f aca="false">IF(A1245="제외",0,IF(OR(N(L1245)&lt;=0,N(M1245)&gt;N(L1245)),N(M1245)/요약!$D$27,N(L1245)))</f>
        <v>16287000</v>
      </c>
      <c r="O1245" s="32" t="str">
        <f aca="false">IF(A1245="제외","",IF(OR(N(L1245)&lt;=0,N(M1245)&gt;N(L1245)),"택가보정(판매금액÷공급율)",""))</f>
        <v/>
      </c>
      <c r="P1245" s="0" t="str">
        <f aca="false">IF(A1245="HK","100",IF(A1245="CN","200",IF(A1245="TW","300",IF(ISNUMBER(SEARCH("태국",C1245)),"500",IF(ISNUMBER(SEARCH("말레이",C1245)),"600",IF(ISNUMBER(SEARCH("필리핀",C1245)),"700",IF(ISNUMBER(SEARCH("인도네시아",C1245)),"800",IF(ISNUMBER(SEARCH("크루즈",C1245)),"810",IF(ISNUMBER(SEARCH("동물원",C1245)),"830","")))))))))</f>
        <v>700</v>
      </c>
    </row>
    <row r="1246" customFormat="false" ht="15" hidden="false" customHeight="false" outlineLevel="0" collapsed="false">
      <c r="A1246" s="32" t="str">
        <f aca="false">IF(OR(TRIM(C1246)="",SUBSTITUTE(C1246," ","")="소계"),"제외",IF(ISNUMBER(SEARCH("홍콩",C1246)),"HK",IF(ISNUMBER(SEARCH("상해",C1246)),"CN",IF(ISNUMBER(SEARCH("대만",C1246)),"TW","홀세일"))))</f>
        <v>홀세일</v>
      </c>
      <c r="B1246" s="36" t="s">
        <v>1394</v>
      </c>
      <c r="C1246" s="36" t="s">
        <v>1395</v>
      </c>
      <c r="D1246" s="37" t="s">
        <v>123</v>
      </c>
      <c r="E1246" s="36" t="n">
        <v>2026</v>
      </c>
      <c r="F1246" s="37" t="s">
        <v>219</v>
      </c>
      <c r="G1246" s="37" t="s">
        <v>124</v>
      </c>
      <c r="H1246" s="36" t="s">
        <v>188</v>
      </c>
      <c r="I1246" s="36" t="s">
        <v>1314</v>
      </c>
      <c r="J1246" s="36" t="s">
        <v>1315</v>
      </c>
      <c r="K1246" s="38" t="n">
        <v>107</v>
      </c>
      <c r="L1246" s="38" t="n">
        <v>10593000</v>
      </c>
      <c r="M1246" s="38" t="n">
        <v>3830158</v>
      </c>
      <c r="N1246" s="39" t="n">
        <f aca="false">IF(A1246="제외",0,IF(OR(N(L1246)&lt;=0,N(M1246)&gt;N(L1246)),N(M1246)/요약!$D$27,N(L1246)))</f>
        <v>10593000</v>
      </c>
      <c r="O1246" s="32" t="str">
        <f aca="false">IF(A1246="제외","",IF(OR(N(L1246)&lt;=0,N(M1246)&gt;N(L1246)),"택가보정(판매금액÷공급율)",""))</f>
        <v/>
      </c>
      <c r="P1246" s="0" t="str">
        <f aca="false">IF(A1246="HK","100",IF(A1246="CN","200",IF(A1246="TW","300",IF(ISNUMBER(SEARCH("태국",C1246)),"500",IF(ISNUMBER(SEARCH("말레이",C1246)),"600",IF(ISNUMBER(SEARCH("필리핀",C1246)),"700",IF(ISNUMBER(SEARCH("인도네시아",C1246)),"800",IF(ISNUMBER(SEARCH("크루즈",C1246)),"810",IF(ISNUMBER(SEARCH("동물원",C1246)),"830","")))))))))</f>
        <v>700</v>
      </c>
    </row>
    <row r="1247" customFormat="false" ht="15" hidden="false" customHeight="false" outlineLevel="0" collapsed="false">
      <c r="A1247" s="32" t="str">
        <f aca="false">IF(OR(TRIM(C1247)="",SUBSTITUTE(C1247," ","")="소계"),"제외",IF(ISNUMBER(SEARCH("홍콩",C1247)),"HK",IF(ISNUMBER(SEARCH("상해",C1247)),"CN",IF(ISNUMBER(SEARCH("대만",C1247)),"TW","홀세일"))))</f>
        <v>홀세일</v>
      </c>
      <c r="B1247" s="36" t="s">
        <v>1394</v>
      </c>
      <c r="C1247" s="36" t="s">
        <v>1395</v>
      </c>
      <c r="D1247" s="37" t="s">
        <v>123</v>
      </c>
      <c r="E1247" s="36" t="n">
        <v>2026</v>
      </c>
      <c r="F1247" s="37" t="s">
        <v>219</v>
      </c>
      <c r="G1247" s="37" t="s">
        <v>124</v>
      </c>
      <c r="H1247" s="36" t="s">
        <v>188</v>
      </c>
      <c r="I1247" s="36" t="s">
        <v>352</v>
      </c>
      <c r="J1247" s="36" t="s">
        <v>353</v>
      </c>
      <c r="K1247" s="38" t="n">
        <v>46</v>
      </c>
      <c r="L1247" s="38" t="n">
        <v>4554000</v>
      </c>
      <c r="M1247" s="38" t="n">
        <v>1718249</v>
      </c>
      <c r="N1247" s="39" t="n">
        <f aca="false">IF(A1247="제외",0,IF(OR(N(L1247)&lt;=0,N(M1247)&gt;N(L1247)),N(M1247)/요약!$D$27,N(L1247)))</f>
        <v>4554000</v>
      </c>
      <c r="O1247" s="32" t="str">
        <f aca="false">IF(A1247="제외","",IF(OR(N(L1247)&lt;=0,N(M1247)&gt;N(L1247)),"택가보정(판매금액÷공급율)",""))</f>
        <v/>
      </c>
      <c r="P1247" s="0" t="str">
        <f aca="false">IF(A1247="HK","100",IF(A1247="CN","200",IF(A1247="TW","300",IF(ISNUMBER(SEARCH("태국",C1247)),"500",IF(ISNUMBER(SEARCH("말레이",C1247)),"600",IF(ISNUMBER(SEARCH("필리핀",C1247)),"700",IF(ISNUMBER(SEARCH("인도네시아",C1247)),"800",IF(ISNUMBER(SEARCH("크루즈",C1247)),"810",IF(ISNUMBER(SEARCH("동물원",C1247)),"830","")))))))))</f>
        <v>700</v>
      </c>
    </row>
    <row r="1248" customFormat="false" ht="15" hidden="false" customHeight="false" outlineLevel="0" collapsed="false">
      <c r="A1248" s="32" t="str">
        <f aca="false">IF(OR(TRIM(C1248)="",SUBSTITUTE(C1248," ","")="소계"),"제외",IF(ISNUMBER(SEARCH("홍콩",C1248)),"HK",IF(ISNUMBER(SEARCH("상해",C1248)),"CN",IF(ISNUMBER(SEARCH("대만",C1248)),"TW","홀세일"))))</f>
        <v>홀세일</v>
      </c>
      <c r="B1248" s="36" t="s">
        <v>1394</v>
      </c>
      <c r="C1248" s="36" t="s">
        <v>1395</v>
      </c>
      <c r="D1248" s="37" t="s">
        <v>123</v>
      </c>
      <c r="E1248" s="36" t="n">
        <v>2026</v>
      </c>
      <c r="F1248" s="37" t="s">
        <v>219</v>
      </c>
      <c r="G1248" s="37" t="s">
        <v>124</v>
      </c>
      <c r="H1248" s="36" t="s">
        <v>188</v>
      </c>
      <c r="I1248" s="36" t="s">
        <v>358</v>
      </c>
      <c r="J1248" s="36" t="s">
        <v>359</v>
      </c>
      <c r="K1248" s="38" t="n">
        <v>122</v>
      </c>
      <c r="L1248" s="38" t="n">
        <v>9638000</v>
      </c>
      <c r="M1248" s="38" t="n">
        <v>3555986</v>
      </c>
      <c r="N1248" s="39" t="n">
        <f aca="false">IF(A1248="제외",0,IF(OR(N(L1248)&lt;=0,N(M1248)&gt;N(L1248)),N(M1248)/요약!$D$27,N(L1248)))</f>
        <v>9638000</v>
      </c>
      <c r="O1248" s="32" t="str">
        <f aca="false">IF(A1248="제외","",IF(OR(N(L1248)&lt;=0,N(M1248)&gt;N(L1248)),"택가보정(판매금액÷공급율)",""))</f>
        <v/>
      </c>
      <c r="P1248" s="0" t="str">
        <f aca="false">IF(A1248="HK","100",IF(A1248="CN","200",IF(A1248="TW","300",IF(ISNUMBER(SEARCH("태국",C1248)),"500",IF(ISNUMBER(SEARCH("말레이",C1248)),"600",IF(ISNUMBER(SEARCH("필리핀",C1248)),"700",IF(ISNUMBER(SEARCH("인도네시아",C1248)),"800",IF(ISNUMBER(SEARCH("크루즈",C1248)),"810",IF(ISNUMBER(SEARCH("동물원",C1248)),"830","")))))))))</f>
        <v>700</v>
      </c>
    </row>
    <row r="1249" customFormat="false" ht="15" hidden="false" customHeight="false" outlineLevel="0" collapsed="false">
      <c r="A1249" s="32" t="str">
        <f aca="false">IF(OR(TRIM(C1249)="",SUBSTITUTE(C1249," ","")="소계"),"제외",IF(ISNUMBER(SEARCH("홍콩",C1249)),"HK",IF(ISNUMBER(SEARCH("상해",C1249)),"CN",IF(ISNUMBER(SEARCH("대만",C1249)),"TW","홀세일"))))</f>
        <v>홀세일</v>
      </c>
      <c r="B1249" s="36" t="s">
        <v>1394</v>
      </c>
      <c r="C1249" s="36" t="s">
        <v>1395</v>
      </c>
      <c r="D1249" s="37" t="s">
        <v>123</v>
      </c>
      <c r="E1249" s="36" t="n">
        <v>2026</v>
      </c>
      <c r="F1249" s="37" t="s">
        <v>363</v>
      </c>
      <c r="G1249" s="37" t="s">
        <v>102</v>
      </c>
      <c r="H1249" s="36" t="s">
        <v>131</v>
      </c>
      <c r="I1249" s="36" t="s">
        <v>870</v>
      </c>
      <c r="J1249" s="37" t="s">
        <v>871</v>
      </c>
      <c r="K1249" s="38" t="n">
        <v>210</v>
      </c>
      <c r="L1249" s="38" t="n">
        <v>10290000</v>
      </c>
      <c r="M1249" s="38" t="n">
        <v>3565800</v>
      </c>
      <c r="N1249" s="39" t="n">
        <f aca="false">IF(A1249="제외",0,IF(OR(N(L1249)&lt;=0,N(M1249)&gt;N(L1249)),N(M1249)/요약!$D$27,N(L1249)))</f>
        <v>10290000</v>
      </c>
      <c r="O1249" s="32" t="str">
        <f aca="false">IF(A1249="제외","",IF(OR(N(L1249)&lt;=0,N(M1249)&gt;N(L1249)),"택가보정(판매금액÷공급율)",""))</f>
        <v/>
      </c>
      <c r="P1249" s="0" t="str">
        <f aca="false">IF(A1249="HK","100",IF(A1249="CN","200",IF(A1249="TW","300",IF(ISNUMBER(SEARCH("태국",C1249)),"500",IF(ISNUMBER(SEARCH("말레이",C1249)),"600",IF(ISNUMBER(SEARCH("필리핀",C1249)),"700",IF(ISNUMBER(SEARCH("인도네시아",C1249)),"800",IF(ISNUMBER(SEARCH("크루즈",C1249)),"810",IF(ISNUMBER(SEARCH("동물원",C1249)),"830","")))))))))</f>
        <v>700</v>
      </c>
    </row>
    <row r="1250" customFormat="false" ht="15" hidden="false" customHeight="false" outlineLevel="0" collapsed="false">
      <c r="A1250" s="32" t="str">
        <f aca="false">IF(OR(TRIM(C1250)="",SUBSTITUTE(C1250," ","")="소계"),"제외",IF(ISNUMBER(SEARCH("홍콩",C1250)),"HK",IF(ISNUMBER(SEARCH("상해",C1250)),"CN",IF(ISNUMBER(SEARCH("대만",C1250)),"TW","홀세일"))))</f>
        <v>홀세일</v>
      </c>
      <c r="B1250" s="36" t="s">
        <v>1394</v>
      </c>
      <c r="C1250" s="36" t="s">
        <v>1395</v>
      </c>
      <c r="D1250" s="37" t="s">
        <v>123</v>
      </c>
      <c r="E1250" s="36" t="n">
        <v>2026</v>
      </c>
      <c r="F1250" s="37" t="s">
        <v>363</v>
      </c>
      <c r="G1250" s="37" t="s">
        <v>124</v>
      </c>
      <c r="H1250" s="36" t="s">
        <v>131</v>
      </c>
      <c r="I1250" s="36" t="s">
        <v>398</v>
      </c>
      <c r="J1250" s="37" t="s">
        <v>399</v>
      </c>
      <c r="K1250" s="38" t="n">
        <v>220</v>
      </c>
      <c r="L1250" s="38" t="n">
        <v>30580000</v>
      </c>
      <c r="M1250" s="38" t="n">
        <v>9511040</v>
      </c>
      <c r="N1250" s="39" t="n">
        <f aca="false">IF(A1250="제외",0,IF(OR(N(L1250)&lt;=0,N(M1250)&gt;N(L1250)),N(M1250)/요약!$D$27,N(L1250)))</f>
        <v>30580000</v>
      </c>
      <c r="O1250" s="32" t="str">
        <f aca="false">IF(A1250="제외","",IF(OR(N(L1250)&lt;=0,N(M1250)&gt;N(L1250)),"택가보정(판매금액÷공급율)",""))</f>
        <v/>
      </c>
      <c r="P1250" s="0" t="str">
        <f aca="false">IF(A1250="HK","100",IF(A1250="CN","200",IF(A1250="TW","300",IF(ISNUMBER(SEARCH("태국",C1250)),"500",IF(ISNUMBER(SEARCH("말레이",C1250)),"600",IF(ISNUMBER(SEARCH("필리핀",C1250)),"700",IF(ISNUMBER(SEARCH("인도네시아",C1250)),"800",IF(ISNUMBER(SEARCH("크루즈",C1250)),"810",IF(ISNUMBER(SEARCH("동물원",C1250)),"830","")))))))))</f>
        <v>700</v>
      </c>
    </row>
    <row r="1251" customFormat="false" ht="15" hidden="false" customHeight="false" outlineLevel="0" collapsed="false">
      <c r="A1251" s="32" t="str">
        <f aca="false">IF(OR(TRIM(C1251)="",SUBSTITUTE(C1251," ","")="소계"),"제외",IF(ISNUMBER(SEARCH("홍콩",C1251)),"HK",IF(ISNUMBER(SEARCH("상해",C1251)),"CN",IF(ISNUMBER(SEARCH("대만",C1251)),"TW","홀세일"))))</f>
        <v>홀세일</v>
      </c>
      <c r="B1251" s="36" t="s">
        <v>1394</v>
      </c>
      <c r="C1251" s="36" t="s">
        <v>1395</v>
      </c>
      <c r="D1251" s="37" t="s">
        <v>123</v>
      </c>
      <c r="E1251" s="36" t="n">
        <v>2026</v>
      </c>
      <c r="F1251" s="37" t="s">
        <v>363</v>
      </c>
      <c r="G1251" s="37" t="s">
        <v>124</v>
      </c>
      <c r="H1251" s="36" t="s">
        <v>125</v>
      </c>
      <c r="I1251" s="36" t="s">
        <v>884</v>
      </c>
      <c r="J1251" s="36" t="s">
        <v>885</v>
      </c>
      <c r="K1251" s="38" t="n">
        <v>190</v>
      </c>
      <c r="L1251" s="38" t="n">
        <v>45410000</v>
      </c>
      <c r="M1251" s="38" t="n">
        <v>13767590</v>
      </c>
      <c r="N1251" s="39" t="n">
        <f aca="false">IF(A1251="제외",0,IF(OR(N(L1251)&lt;=0,N(M1251)&gt;N(L1251)),N(M1251)/요약!$D$27,N(L1251)))</f>
        <v>45410000</v>
      </c>
      <c r="O1251" s="32" t="str">
        <f aca="false">IF(A1251="제외","",IF(OR(N(L1251)&lt;=0,N(M1251)&gt;N(L1251)),"택가보정(판매금액÷공급율)",""))</f>
        <v/>
      </c>
      <c r="P1251" s="0" t="str">
        <f aca="false">IF(A1251="HK","100",IF(A1251="CN","200",IF(A1251="TW","300",IF(ISNUMBER(SEARCH("태국",C1251)),"500",IF(ISNUMBER(SEARCH("말레이",C1251)),"600",IF(ISNUMBER(SEARCH("필리핀",C1251)),"700",IF(ISNUMBER(SEARCH("인도네시아",C1251)),"800",IF(ISNUMBER(SEARCH("크루즈",C1251)),"810",IF(ISNUMBER(SEARCH("동물원",C1251)),"830","")))))))))</f>
        <v>700</v>
      </c>
    </row>
    <row r="1252" customFormat="false" ht="15" hidden="false" customHeight="false" outlineLevel="0" collapsed="false">
      <c r="A1252" s="32" t="str">
        <f aca="false">IF(OR(TRIM(C1252)="",SUBSTITUTE(C1252," ","")="소계"),"제외",IF(ISNUMBER(SEARCH("홍콩",C1252)),"HK",IF(ISNUMBER(SEARCH("상해",C1252)),"CN",IF(ISNUMBER(SEARCH("대만",C1252)),"TW","홀세일"))))</f>
        <v>홀세일</v>
      </c>
      <c r="B1252" s="36" t="s">
        <v>1394</v>
      </c>
      <c r="C1252" s="36" t="s">
        <v>1395</v>
      </c>
      <c r="D1252" s="37" t="s">
        <v>123</v>
      </c>
      <c r="E1252" s="36" t="n">
        <v>2026</v>
      </c>
      <c r="F1252" s="37" t="s">
        <v>363</v>
      </c>
      <c r="G1252" s="37" t="s">
        <v>124</v>
      </c>
      <c r="H1252" s="36" t="s">
        <v>125</v>
      </c>
      <c r="I1252" s="36" t="s">
        <v>426</v>
      </c>
      <c r="J1252" s="37" t="s">
        <v>427</v>
      </c>
      <c r="K1252" s="38" t="n">
        <v>90</v>
      </c>
      <c r="L1252" s="38" t="n">
        <v>19710000</v>
      </c>
      <c r="M1252" s="38" t="n">
        <v>6521490</v>
      </c>
      <c r="N1252" s="39" t="n">
        <f aca="false">IF(A1252="제외",0,IF(OR(N(L1252)&lt;=0,N(M1252)&gt;N(L1252)),N(M1252)/요약!$D$27,N(L1252)))</f>
        <v>19710000</v>
      </c>
      <c r="O1252" s="32" t="str">
        <f aca="false">IF(A1252="제외","",IF(OR(N(L1252)&lt;=0,N(M1252)&gt;N(L1252)),"택가보정(판매금액÷공급율)",""))</f>
        <v/>
      </c>
      <c r="P1252" s="0" t="str">
        <f aca="false">IF(A1252="HK","100",IF(A1252="CN","200",IF(A1252="TW","300",IF(ISNUMBER(SEARCH("태국",C1252)),"500",IF(ISNUMBER(SEARCH("말레이",C1252)),"600",IF(ISNUMBER(SEARCH("필리핀",C1252)),"700",IF(ISNUMBER(SEARCH("인도네시아",C1252)),"800",IF(ISNUMBER(SEARCH("크루즈",C1252)),"810",IF(ISNUMBER(SEARCH("동물원",C1252)),"830","")))))))))</f>
        <v>700</v>
      </c>
    </row>
    <row r="1253" customFormat="false" ht="15" hidden="false" customHeight="false" outlineLevel="0" collapsed="false">
      <c r="A1253" s="32" t="str">
        <f aca="false">IF(OR(TRIM(C1253)="",SUBSTITUTE(C1253," ","")="소계"),"제외",IF(ISNUMBER(SEARCH("홍콩",C1253)),"HK",IF(ISNUMBER(SEARCH("상해",C1253)),"CN",IF(ISNUMBER(SEARCH("대만",C1253)),"TW","홀세일"))))</f>
        <v>홀세일</v>
      </c>
      <c r="B1253" s="36" t="s">
        <v>1394</v>
      </c>
      <c r="C1253" s="36" t="s">
        <v>1395</v>
      </c>
      <c r="D1253" s="37" t="s">
        <v>123</v>
      </c>
      <c r="E1253" s="36" t="n">
        <v>2026</v>
      </c>
      <c r="F1253" s="37" t="s">
        <v>363</v>
      </c>
      <c r="G1253" s="37" t="s">
        <v>124</v>
      </c>
      <c r="H1253" s="36" t="s">
        <v>131</v>
      </c>
      <c r="I1253" s="36" t="s">
        <v>428</v>
      </c>
      <c r="J1253" s="37" t="s">
        <v>429</v>
      </c>
      <c r="K1253" s="38" t="n">
        <v>320</v>
      </c>
      <c r="L1253" s="38" t="n">
        <v>60480000</v>
      </c>
      <c r="M1253" s="38" t="n">
        <v>18793600</v>
      </c>
      <c r="N1253" s="39" t="n">
        <f aca="false">IF(A1253="제외",0,IF(OR(N(L1253)&lt;=0,N(M1253)&gt;N(L1253)),N(M1253)/요약!$D$27,N(L1253)))</f>
        <v>60480000</v>
      </c>
      <c r="O1253" s="32" t="str">
        <f aca="false">IF(A1253="제외","",IF(OR(N(L1253)&lt;=0,N(M1253)&gt;N(L1253)),"택가보정(판매금액÷공급율)",""))</f>
        <v/>
      </c>
      <c r="P1253" s="0" t="str">
        <f aca="false">IF(A1253="HK","100",IF(A1253="CN","200",IF(A1253="TW","300",IF(ISNUMBER(SEARCH("태국",C1253)),"500",IF(ISNUMBER(SEARCH("말레이",C1253)),"600",IF(ISNUMBER(SEARCH("필리핀",C1253)),"700",IF(ISNUMBER(SEARCH("인도네시아",C1253)),"800",IF(ISNUMBER(SEARCH("크루즈",C1253)),"810",IF(ISNUMBER(SEARCH("동물원",C1253)),"830","")))))))))</f>
        <v>700</v>
      </c>
    </row>
    <row r="1254" customFormat="false" ht="15" hidden="false" customHeight="false" outlineLevel="0" collapsed="false">
      <c r="A1254" s="32" t="str">
        <f aca="false">IF(OR(TRIM(C1254)="",SUBSTITUTE(C1254," ","")="소계"),"제외",IF(ISNUMBER(SEARCH("홍콩",C1254)),"HK",IF(ISNUMBER(SEARCH("상해",C1254)),"CN",IF(ISNUMBER(SEARCH("대만",C1254)),"TW","홀세일"))))</f>
        <v>홀세일</v>
      </c>
      <c r="B1254" s="36" t="s">
        <v>1394</v>
      </c>
      <c r="C1254" s="36" t="s">
        <v>1395</v>
      </c>
      <c r="D1254" s="37" t="s">
        <v>123</v>
      </c>
      <c r="E1254" s="36" t="n">
        <v>2026</v>
      </c>
      <c r="F1254" s="37" t="s">
        <v>363</v>
      </c>
      <c r="G1254" s="37" t="s">
        <v>124</v>
      </c>
      <c r="H1254" s="36" t="s">
        <v>131</v>
      </c>
      <c r="I1254" s="36" t="s">
        <v>890</v>
      </c>
      <c r="J1254" s="37" t="s">
        <v>891</v>
      </c>
      <c r="K1254" s="38" t="n">
        <v>115</v>
      </c>
      <c r="L1254" s="38" t="n">
        <v>12535000</v>
      </c>
      <c r="M1254" s="38" t="n">
        <v>4068125</v>
      </c>
      <c r="N1254" s="39" t="n">
        <f aca="false">IF(A1254="제외",0,IF(OR(N(L1254)&lt;=0,N(M1254)&gt;N(L1254)),N(M1254)/요약!$D$27,N(L1254)))</f>
        <v>12535000</v>
      </c>
      <c r="O1254" s="32" t="str">
        <f aca="false">IF(A1254="제외","",IF(OR(N(L1254)&lt;=0,N(M1254)&gt;N(L1254)),"택가보정(판매금액÷공급율)",""))</f>
        <v/>
      </c>
      <c r="P1254" s="0" t="str">
        <f aca="false">IF(A1254="HK","100",IF(A1254="CN","200",IF(A1254="TW","300",IF(ISNUMBER(SEARCH("태국",C1254)),"500",IF(ISNUMBER(SEARCH("말레이",C1254)),"600",IF(ISNUMBER(SEARCH("필리핀",C1254)),"700",IF(ISNUMBER(SEARCH("인도네시아",C1254)),"800",IF(ISNUMBER(SEARCH("크루즈",C1254)),"810",IF(ISNUMBER(SEARCH("동물원",C1254)),"830","")))))))))</f>
        <v>700</v>
      </c>
    </row>
    <row r="1255" customFormat="false" ht="15" hidden="false" customHeight="false" outlineLevel="0" collapsed="false">
      <c r="A1255" s="32" t="str">
        <f aca="false">IF(OR(TRIM(C1255)="",SUBSTITUTE(C1255," ","")="소계"),"제외",IF(ISNUMBER(SEARCH("홍콩",C1255)),"HK",IF(ISNUMBER(SEARCH("상해",C1255)),"CN",IF(ISNUMBER(SEARCH("대만",C1255)),"TW","홀세일"))))</f>
        <v>홀세일</v>
      </c>
      <c r="B1255" s="36" t="s">
        <v>1394</v>
      </c>
      <c r="C1255" s="36" t="s">
        <v>1395</v>
      </c>
      <c r="D1255" s="37" t="s">
        <v>123</v>
      </c>
      <c r="E1255" s="36" t="n">
        <v>2026</v>
      </c>
      <c r="F1255" s="37" t="s">
        <v>363</v>
      </c>
      <c r="G1255" s="37" t="s">
        <v>124</v>
      </c>
      <c r="H1255" s="36" t="s">
        <v>131</v>
      </c>
      <c r="I1255" s="36" t="s">
        <v>440</v>
      </c>
      <c r="J1255" s="37" t="s">
        <v>441</v>
      </c>
      <c r="K1255" s="38" t="n">
        <v>220</v>
      </c>
      <c r="L1255" s="38" t="n">
        <v>15180000</v>
      </c>
      <c r="M1255" s="38" t="n">
        <v>4202660</v>
      </c>
      <c r="N1255" s="39" t="n">
        <f aca="false">IF(A1255="제외",0,IF(OR(N(L1255)&lt;=0,N(M1255)&gt;N(L1255)),N(M1255)/요약!$D$27,N(L1255)))</f>
        <v>15180000</v>
      </c>
      <c r="O1255" s="32" t="str">
        <f aca="false">IF(A1255="제외","",IF(OR(N(L1255)&lt;=0,N(M1255)&gt;N(L1255)),"택가보정(판매금액÷공급율)",""))</f>
        <v/>
      </c>
      <c r="P1255" s="0" t="str">
        <f aca="false">IF(A1255="HK","100",IF(A1255="CN","200",IF(A1255="TW","300",IF(ISNUMBER(SEARCH("태국",C1255)),"500",IF(ISNUMBER(SEARCH("말레이",C1255)),"600",IF(ISNUMBER(SEARCH("필리핀",C1255)),"700",IF(ISNUMBER(SEARCH("인도네시아",C1255)),"800",IF(ISNUMBER(SEARCH("크루즈",C1255)),"810",IF(ISNUMBER(SEARCH("동물원",C1255)),"830","")))))))))</f>
        <v>700</v>
      </c>
    </row>
    <row r="1256" customFormat="false" ht="15" hidden="false" customHeight="false" outlineLevel="0" collapsed="false">
      <c r="A1256" s="32" t="str">
        <f aca="false">IF(OR(TRIM(C1256)="",SUBSTITUTE(C1256," ","")="소계"),"제외",IF(ISNUMBER(SEARCH("홍콩",C1256)),"HK",IF(ISNUMBER(SEARCH("상해",C1256)),"CN",IF(ISNUMBER(SEARCH("대만",C1256)),"TW","홀세일"))))</f>
        <v>홀세일</v>
      </c>
      <c r="B1256" s="36" t="s">
        <v>1394</v>
      </c>
      <c r="C1256" s="36" t="s">
        <v>1395</v>
      </c>
      <c r="D1256" s="37" t="s">
        <v>123</v>
      </c>
      <c r="E1256" s="36" t="n">
        <v>2026</v>
      </c>
      <c r="F1256" s="37" t="s">
        <v>363</v>
      </c>
      <c r="G1256" s="37" t="s">
        <v>124</v>
      </c>
      <c r="H1256" s="36" t="s">
        <v>125</v>
      </c>
      <c r="I1256" s="36" t="s">
        <v>450</v>
      </c>
      <c r="J1256" s="37" t="s">
        <v>451</v>
      </c>
      <c r="K1256" s="38" t="n">
        <v>220</v>
      </c>
      <c r="L1256" s="38" t="n">
        <v>15180000</v>
      </c>
      <c r="M1256" s="38" t="n">
        <v>4949780</v>
      </c>
      <c r="N1256" s="39" t="n">
        <f aca="false">IF(A1256="제외",0,IF(OR(N(L1256)&lt;=0,N(M1256)&gt;N(L1256)),N(M1256)/요약!$D$27,N(L1256)))</f>
        <v>15180000</v>
      </c>
      <c r="O1256" s="32" t="str">
        <f aca="false">IF(A1256="제외","",IF(OR(N(L1256)&lt;=0,N(M1256)&gt;N(L1256)),"택가보정(판매금액÷공급율)",""))</f>
        <v/>
      </c>
      <c r="P1256" s="0" t="str">
        <f aca="false">IF(A1256="HK","100",IF(A1256="CN","200",IF(A1256="TW","300",IF(ISNUMBER(SEARCH("태국",C1256)),"500",IF(ISNUMBER(SEARCH("말레이",C1256)),"600",IF(ISNUMBER(SEARCH("필리핀",C1256)),"700",IF(ISNUMBER(SEARCH("인도네시아",C1256)),"800",IF(ISNUMBER(SEARCH("크루즈",C1256)),"810",IF(ISNUMBER(SEARCH("동물원",C1256)),"830","")))))))))</f>
        <v>700</v>
      </c>
    </row>
    <row r="1257" customFormat="false" ht="15" hidden="false" customHeight="false" outlineLevel="0" collapsed="false">
      <c r="A1257" s="32" t="str">
        <f aca="false">IF(OR(TRIM(C1257)="",SUBSTITUTE(C1257," ","")="소계"),"제외",IF(ISNUMBER(SEARCH("홍콩",C1257)),"HK",IF(ISNUMBER(SEARCH("상해",C1257)),"CN",IF(ISNUMBER(SEARCH("대만",C1257)),"TW","홀세일"))))</f>
        <v>홀세일</v>
      </c>
      <c r="B1257" s="36" t="s">
        <v>1394</v>
      </c>
      <c r="C1257" s="36" t="s">
        <v>1395</v>
      </c>
      <c r="D1257" s="37" t="s">
        <v>123</v>
      </c>
      <c r="E1257" s="36" t="n">
        <v>2026</v>
      </c>
      <c r="F1257" s="37" t="s">
        <v>363</v>
      </c>
      <c r="G1257" s="37" t="s">
        <v>124</v>
      </c>
      <c r="H1257" s="36" t="s">
        <v>188</v>
      </c>
      <c r="I1257" s="36" t="s">
        <v>472</v>
      </c>
      <c r="J1257" s="36" t="s">
        <v>473</v>
      </c>
      <c r="K1257" s="38" t="n">
        <v>230</v>
      </c>
      <c r="L1257" s="38" t="n">
        <v>15870000</v>
      </c>
      <c r="M1257" s="38" t="n">
        <v>4393690</v>
      </c>
      <c r="N1257" s="39" t="n">
        <f aca="false">IF(A1257="제외",0,IF(OR(N(L1257)&lt;=0,N(M1257)&gt;N(L1257)),N(M1257)/요약!$D$27,N(L1257)))</f>
        <v>15870000</v>
      </c>
      <c r="O1257" s="32" t="str">
        <f aca="false">IF(A1257="제외","",IF(OR(N(L1257)&lt;=0,N(M1257)&gt;N(L1257)),"택가보정(판매금액÷공급율)",""))</f>
        <v/>
      </c>
      <c r="P1257" s="0" t="str">
        <f aca="false">IF(A1257="HK","100",IF(A1257="CN","200",IF(A1257="TW","300",IF(ISNUMBER(SEARCH("태국",C1257)),"500",IF(ISNUMBER(SEARCH("말레이",C1257)),"600",IF(ISNUMBER(SEARCH("필리핀",C1257)),"700",IF(ISNUMBER(SEARCH("인도네시아",C1257)),"800",IF(ISNUMBER(SEARCH("크루즈",C1257)),"810",IF(ISNUMBER(SEARCH("동물원",C1257)),"830","")))))))))</f>
        <v>700</v>
      </c>
    </row>
    <row r="1258" customFormat="false" ht="15" hidden="false" customHeight="false" outlineLevel="0" collapsed="false">
      <c r="A1258" s="32" t="str">
        <f aca="false">IF(OR(TRIM(C1258)="",SUBSTITUTE(C1258," ","")="소계"),"제외",IF(ISNUMBER(SEARCH("홍콩",C1258)),"HK",IF(ISNUMBER(SEARCH("상해",C1258)),"CN",IF(ISNUMBER(SEARCH("대만",C1258)),"TW","홀세일"))))</f>
        <v>홀세일</v>
      </c>
      <c r="B1258" s="36" t="s">
        <v>1394</v>
      </c>
      <c r="C1258" s="36" t="s">
        <v>1395</v>
      </c>
      <c r="D1258" s="37" t="s">
        <v>123</v>
      </c>
      <c r="E1258" s="36" t="n">
        <v>2026</v>
      </c>
      <c r="F1258" s="37" t="s">
        <v>474</v>
      </c>
      <c r="G1258" s="37" t="s">
        <v>124</v>
      </c>
      <c r="H1258" s="36" t="s">
        <v>131</v>
      </c>
      <c r="I1258" s="36" t="s">
        <v>902</v>
      </c>
      <c r="J1258" s="37" t="s">
        <v>903</v>
      </c>
      <c r="K1258" s="38" t="n">
        <v>220</v>
      </c>
      <c r="L1258" s="38" t="n">
        <v>32780000</v>
      </c>
      <c r="M1258" s="38" t="n">
        <v>10198980</v>
      </c>
      <c r="N1258" s="39" t="n">
        <f aca="false">IF(A1258="제외",0,IF(OR(N(L1258)&lt;=0,N(M1258)&gt;N(L1258)),N(M1258)/요약!$D$27,N(L1258)))</f>
        <v>32780000</v>
      </c>
      <c r="O1258" s="32" t="str">
        <f aca="false">IF(A1258="제외","",IF(OR(N(L1258)&lt;=0,N(M1258)&gt;N(L1258)),"택가보정(판매금액÷공급율)",""))</f>
        <v/>
      </c>
      <c r="P1258" s="0" t="str">
        <f aca="false">IF(A1258="HK","100",IF(A1258="CN","200",IF(A1258="TW","300",IF(ISNUMBER(SEARCH("태국",C1258)),"500",IF(ISNUMBER(SEARCH("말레이",C1258)),"600",IF(ISNUMBER(SEARCH("필리핀",C1258)),"700",IF(ISNUMBER(SEARCH("인도네시아",C1258)),"800",IF(ISNUMBER(SEARCH("크루즈",C1258)),"810",IF(ISNUMBER(SEARCH("동물원",C1258)),"830","")))))))))</f>
        <v>700</v>
      </c>
    </row>
    <row r="1259" customFormat="false" ht="15" hidden="false" customHeight="false" outlineLevel="0" collapsed="false">
      <c r="A1259" s="32" t="str">
        <f aca="false">IF(OR(TRIM(C1259)="",SUBSTITUTE(C1259," ","")="소계"),"제외",IF(ISNUMBER(SEARCH("홍콩",C1259)),"HK",IF(ISNUMBER(SEARCH("상해",C1259)),"CN",IF(ISNUMBER(SEARCH("대만",C1259)),"TW","홀세일"))))</f>
        <v>홀세일</v>
      </c>
      <c r="B1259" s="36" t="s">
        <v>1394</v>
      </c>
      <c r="C1259" s="36" t="s">
        <v>1395</v>
      </c>
      <c r="D1259" s="37" t="s">
        <v>123</v>
      </c>
      <c r="E1259" s="36" t="n">
        <v>2026</v>
      </c>
      <c r="F1259" s="37" t="s">
        <v>474</v>
      </c>
      <c r="G1259" s="37" t="s">
        <v>124</v>
      </c>
      <c r="H1259" s="36" t="s">
        <v>125</v>
      </c>
      <c r="I1259" s="36" t="s">
        <v>1075</v>
      </c>
      <c r="J1259" s="37" t="s">
        <v>1076</v>
      </c>
      <c r="K1259" s="38" t="n">
        <v>90</v>
      </c>
      <c r="L1259" s="38" t="n">
        <v>8910000</v>
      </c>
      <c r="M1259" s="38" t="n">
        <v>2777490</v>
      </c>
      <c r="N1259" s="39" t="n">
        <f aca="false">IF(A1259="제외",0,IF(OR(N(L1259)&lt;=0,N(M1259)&gt;N(L1259)),N(M1259)/요약!$D$27,N(L1259)))</f>
        <v>8910000</v>
      </c>
      <c r="O1259" s="32" t="str">
        <f aca="false">IF(A1259="제외","",IF(OR(N(L1259)&lt;=0,N(M1259)&gt;N(L1259)),"택가보정(판매금액÷공급율)",""))</f>
        <v/>
      </c>
      <c r="P1259" s="0" t="str">
        <f aca="false">IF(A1259="HK","100",IF(A1259="CN","200",IF(A1259="TW","300",IF(ISNUMBER(SEARCH("태국",C1259)),"500",IF(ISNUMBER(SEARCH("말레이",C1259)),"600",IF(ISNUMBER(SEARCH("필리핀",C1259)),"700",IF(ISNUMBER(SEARCH("인도네시아",C1259)),"800",IF(ISNUMBER(SEARCH("크루즈",C1259)),"810",IF(ISNUMBER(SEARCH("동물원",C1259)),"830","")))))))))</f>
        <v>700</v>
      </c>
    </row>
    <row r="1260" customFormat="false" ht="15" hidden="false" customHeight="false" outlineLevel="0" collapsed="false">
      <c r="A1260" s="32" t="str">
        <f aca="false">IF(OR(TRIM(C1260)="",SUBSTITUTE(C1260," ","")="소계"),"제외",IF(ISNUMBER(SEARCH("홍콩",C1260)),"HK",IF(ISNUMBER(SEARCH("상해",C1260)),"CN",IF(ISNUMBER(SEARCH("대만",C1260)),"TW","홀세일"))))</f>
        <v>홀세일</v>
      </c>
      <c r="B1260" s="36" t="s">
        <v>1394</v>
      </c>
      <c r="C1260" s="36" t="s">
        <v>1395</v>
      </c>
      <c r="D1260" s="37" t="s">
        <v>123</v>
      </c>
      <c r="E1260" s="36" t="n">
        <v>2026</v>
      </c>
      <c r="F1260" s="37" t="s">
        <v>474</v>
      </c>
      <c r="G1260" s="37" t="s">
        <v>124</v>
      </c>
      <c r="H1260" s="36" t="s">
        <v>131</v>
      </c>
      <c r="I1260" s="36" t="s">
        <v>489</v>
      </c>
      <c r="J1260" s="37" t="s">
        <v>490</v>
      </c>
      <c r="K1260" s="38" t="n">
        <v>110</v>
      </c>
      <c r="L1260" s="38" t="n">
        <v>17490000</v>
      </c>
      <c r="M1260" s="38" t="n">
        <v>5428500</v>
      </c>
      <c r="N1260" s="39" t="n">
        <f aca="false">IF(A1260="제외",0,IF(OR(N(L1260)&lt;=0,N(M1260)&gt;N(L1260)),N(M1260)/요약!$D$27,N(L1260)))</f>
        <v>17490000</v>
      </c>
      <c r="O1260" s="32" t="str">
        <f aca="false">IF(A1260="제외","",IF(OR(N(L1260)&lt;=0,N(M1260)&gt;N(L1260)),"택가보정(판매금액÷공급율)",""))</f>
        <v/>
      </c>
      <c r="P1260" s="0" t="str">
        <f aca="false">IF(A1260="HK","100",IF(A1260="CN","200",IF(A1260="TW","300",IF(ISNUMBER(SEARCH("태국",C1260)),"500",IF(ISNUMBER(SEARCH("말레이",C1260)),"600",IF(ISNUMBER(SEARCH("필리핀",C1260)),"700",IF(ISNUMBER(SEARCH("인도네시아",C1260)),"800",IF(ISNUMBER(SEARCH("크루즈",C1260)),"810",IF(ISNUMBER(SEARCH("동물원",C1260)),"830","")))))))))</f>
        <v>700</v>
      </c>
    </row>
    <row r="1261" customFormat="false" ht="15" hidden="false" customHeight="false" outlineLevel="0" collapsed="false">
      <c r="A1261" s="32" t="str">
        <f aca="false">IF(OR(TRIM(C1261)="",SUBSTITUTE(C1261," ","")="소계"),"제외",IF(ISNUMBER(SEARCH("홍콩",C1261)),"HK",IF(ISNUMBER(SEARCH("상해",C1261)),"CN",IF(ISNUMBER(SEARCH("대만",C1261)),"TW","홀세일"))))</f>
        <v>홀세일</v>
      </c>
      <c r="B1261" s="36" t="s">
        <v>1394</v>
      </c>
      <c r="C1261" s="36" t="s">
        <v>1395</v>
      </c>
      <c r="D1261" s="37" t="s">
        <v>123</v>
      </c>
      <c r="E1261" s="36" t="n">
        <v>2026</v>
      </c>
      <c r="F1261" s="37" t="s">
        <v>474</v>
      </c>
      <c r="G1261" s="37" t="s">
        <v>124</v>
      </c>
      <c r="H1261" s="36" t="s">
        <v>131</v>
      </c>
      <c r="I1261" s="36" t="s">
        <v>493</v>
      </c>
      <c r="J1261" s="37" t="s">
        <v>494</v>
      </c>
      <c r="K1261" s="38" t="n">
        <v>50</v>
      </c>
      <c r="L1261" s="38" t="n">
        <v>7450000</v>
      </c>
      <c r="M1261" s="38" t="n">
        <v>2588100</v>
      </c>
      <c r="N1261" s="39" t="n">
        <f aca="false">IF(A1261="제외",0,IF(OR(N(L1261)&lt;=0,N(M1261)&gt;N(L1261)),N(M1261)/요약!$D$27,N(L1261)))</f>
        <v>7450000</v>
      </c>
      <c r="O1261" s="32" t="str">
        <f aca="false">IF(A1261="제외","",IF(OR(N(L1261)&lt;=0,N(M1261)&gt;N(L1261)),"택가보정(판매금액÷공급율)",""))</f>
        <v/>
      </c>
      <c r="P1261" s="0" t="str">
        <f aca="false">IF(A1261="HK","100",IF(A1261="CN","200",IF(A1261="TW","300",IF(ISNUMBER(SEARCH("태국",C1261)),"500",IF(ISNUMBER(SEARCH("말레이",C1261)),"600",IF(ISNUMBER(SEARCH("필리핀",C1261)),"700",IF(ISNUMBER(SEARCH("인도네시아",C1261)),"800",IF(ISNUMBER(SEARCH("크루즈",C1261)),"810",IF(ISNUMBER(SEARCH("동물원",C1261)),"830","")))))))))</f>
        <v>700</v>
      </c>
    </row>
    <row r="1262" customFormat="false" ht="15" hidden="false" customHeight="false" outlineLevel="0" collapsed="false">
      <c r="A1262" s="32" t="str">
        <f aca="false">IF(OR(TRIM(C1262)="",SUBSTITUTE(C1262," ","")="소계"),"제외",IF(ISNUMBER(SEARCH("홍콩",C1262)),"HK",IF(ISNUMBER(SEARCH("상해",C1262)),"CN",IF(ISNUMBER(SEARCH("대만",C1262)),"TW","홀세일"))))</f>
        <v>홀세일</v>
      </c>
      <c r="B1262" s="36" t="s">
        <v>1394</v>
      </c>
      <c r="C1262" s="36" t="s">
        <v>1395</v>
      </c>
      <c r="D1262" s="37" t="s">
        <v>123</v>
      </c>
      <c r="E1262" s="36" t="n">
        <v>2026</v>
      </c>
      <c r="F1262" s="37" t="s">
        <v>474</v>
      </c>
      <c r="G1262" s="37" t="s">
        <v>124</v>
      </c>
      <c r="H1262" s="36" t="s">
        <v>131</v>
      </c>
      <c r="I1262" s="36" t="s">
        <v>495</v>
      </c>
      <c r="J1262" s="37" t="s">
        <v>496</v>
      </c>
      <c r="K1262" s="38" t="n">
        <v>155</v>
      </c>
      <c r="L1262" s="38" t="n">
        <v>37045000</v>
      </c>
      <c r="M1262" s="38" t="n">
        <v>12264065</v>
      </c>
      <c r="N1262" s="39" t="n">
        <f aca="false">IF(A1262="제외",0,IF(OR(N(L1262)&lt;=0,N(M1262)&gt;N(L1262)),N(M1262)/요약!$D$27,N(L1262)))</f>
        <v>37045000</v>
      </c>
      <c r="O1262" s="32" t="str">
        <f aca="false">IF(A1262="제외","",IF(OR(N(L1262)&lt;=0,N(M1262)&gt;N(L1262)),"택가보정(판매금액÷공급율)",""))</f>
        <v/>
      </c>
      <c r="P1262" s="0" t="str">
        <f aca="false">IF(A1262="HK","100",IF(A1262="CN","200",IF(A1262="TW","300",IF(ISNUMBER(SEARCH("태국",C1262)),"500",IF(ISNUMBER(SEARCH("말레이",C1262)),"600",IF(ISNUMBER(SEARCH("필리핀",C1262)),"700",IF(ISNUMBER(SEARCH("인도네시아",C1262)),"800",IF(ISNUMBER(SEARCH("크루즈",C1262)),"810",IF(ISNUMBER(SEARCH("동물원",C1262)),"830","")))))))))</f>
        <v>700</v>
      </c>
    </row>
    <row r="1263" customFormat="false" ht="15" hidden="false" customHeight="false" outlineLevel="0" collapsed="false">
      <c r="A1263" s="32" t="str">
        <f aca="false">IF(OR(TRIM(C1263)="",SUBSTITUTE(C1263," ","")="소계"),"제외",IF(ISNUMBER(SEARCH("홍콩",C1263)),"HK",IF(ISNUMBER(SEARCH("상해",C1263)),"CN",IF(ISNUMBER(SEARCH("대만",C1263)),"TW","홀세일"))))</f>
        <v>홀세일</v>
      </c>
      <c r="B1263" s="36" t="s">
        <v>1394</v>
      </c>
      <c r="C1263" s="36" t="s">
        <v>1395</v>
      </c>
      <c r="D1263" s="37" t="s">
        <v>123</v>
      </c>
      <c r="E1263" s="36" t="n">
        <v>2026</v>
      </c>
      <c r="F1263" s="37" t="s">
        <v>474</v>
      </c>
      <c r="G1263" s="37" t="s">
        <v>124</v>
      </c>
      <c r="H1263" s="36" t="s">
        <v>131</v>
      </c>
      <c r="I1263" s="36" t="s">
        <v>499</v>
      </c>
      <c r="J1263" s="37" t="s">
        <v>500</v>
      </c>
      <c r="K1263" s="38" t="n">
        <v>140</v>
      </c>
      <c r="L1263" s="38" t="n">
        <v>23660000</v>
      </c>
      <c r="M1263" s="38" t="n">
        <v>7822500</v>
      </c>
      <c r="N1263" s="39" t="n">
        <f aca="false">IF(A1263="제외",0,IF(OR(N(L1263)&lt;=0,N(M1263)&gt;N(L1263)),N(M1263)/요약!$D$27,N(L1263)))</f>
        <v>23660000</v>
      </c>
      <c r="O1263" s="32" t="str">
        <f aca="false">IF(A1263="제외","",IF(OR(N(L1263)&lt;=0,N(M1263)&gt;N(L1263)),"택가보정(판매금액÷공급율)",""))</f>
        <v/>
      </c>
      <c r="P1263" s="0" t="str">
        <f aca="false">IF(A1263="HK","100",IF(A1263="CN","200",IF(A1263="TW","300",IF(ISNUMBER(SEARCH("태국",C1263)),"500",IF(ISNUMBER(SEARCH("말레이",C1263)),"600",IF(ISNUMBER(SEARCH("필리핀",C1263)),"700",IF(ISNUMBER(SEARCH("인도네시아",C1263)),"800",IF(ISNUMBER(SEARCH("크루즈",C1263)),"810",IF(ISNUMBER(SEARCH("동물원",C1263)),"830","")))))))))</f>
        <v>700</v>
      </c>
    </row>
    <row r="1264" customFormat="false" ht="15" hidden="false" customHeight="false" outlineLevel="0" collapsed="false">
      <c r="A1264" s="32" t="str">
        <f aca="false">IF(OR(TRIM(C1264)="",SUBSTITUTE(C1264," ","")="소계"),"제외",IF(ISNUMBER(SEARCH("홍콩",C1264)),"HK",IF(ISNUMBER(SEARCH("상해",C1264)),"CN",IF(ISNUMBER(SEARCH("대만",C1264)),"TW","홀세일"))))</f>
        <v>홀세일</v>
      </c>
      <c r="B1264" s="36" t="s">
        <v>1394</v>
      </c>
      <c r="C1264" s="36" t="s">
        <v>1395</v>
      </c>
      <c r="D1264" s="37" t="s">
        <v>123</v>
      </c>
      <c r="E1264" s="36" t="n">
        <v>2026</v>
      </c>
      <c r="F1264" s="37" t="s">
        <v>474</v>
      </c>
      <c r="G1264" s="37" t="s">
        <v>124</v>
      </c>
      <c r="H1264" s="36" t="s">
        <v>131</v>
      </c>
      <c r="I1264" s="36" t="s">
        <v>501</v>
      </c>
      <c r="J1264" s="37" t="s">
        <v>502</v>
      </c>
      <c r="K1264" s="38" t="n">
        <v>75</v>
      </c>
      <c r="L1264" s="38" t="n">
        <v>14175000</v>
      </c>
      <c r="M1264" s="38" t="n">
        <v>4680075</v>
      </c>
      <c r="N1264" s="39" t="n">
        <f aca="false">IF(A1264="제외",0,IF(OR(N(L1264)&lt;=0,N(M1264)&gt;N(L1264)),N(M1264)/요약!$D$27,N(L1264)))</f>
        <v>14175000</v>
      </c>
      <c r="O1264" s="32" t="str">
        <f aca="false">IF(A1264="제외","",IF(OR(N(L1264)&lt;=0,N(M1264)&gt;N(L1264)),"택가보정(판매금액÷공급율)",""))</f>
        <v/>
      </c>
      <c r="P1264" s="0" t="str">
        <f aca="false">IF(A1264="HK","100",IF(A1264="CN","200",IF(A1264="TW","300",IF(ISNUMBER(SEARCH("태국",C1264)),"500",IF(ISNUMBER(SEARCH("말레이",C1264)),"600",IF(ISNUMBER(SEARCH("필리핀",C1264)),"700",IF(ISNUMBER(SEARCH("인도네시아",C1264)),"800",IF(ISNUMBER(SEARCH("크루즈",C1264)),"810",IF(ISNUMBER(SEARCH("동물원",C1264)),"830","")))))))))</f>
        <v>700</v>
      </c>
    </row>
    <row r="1265" customFormat="false" ht="15" hidden="false" customHeight="false" outlineLevel="0" collapsed="false">
      <c r="A1265" s="32" t="str">
        <f aca="false">IF(OR(TRIM(C1265)="",SUBSTITUTE(C1265," ","")="소계"),"제외",IF(ISNUMBER(SEARCH("홍콩",C1265)),"HK",IF(ISNUMBER(SEARCH("상해",C1265)),"CN",IF(ISNUMBER(SEARCH("대만",C1265)),"TW","홀세일"))))</f>
        <v>홀세일</v>
      </c>
      <c r="B1265" s="36" t="s">
        <v>1394</v>
      </c>
      <c r="C1265" s="36" t="s">
        <v>1395</v>
      </c>
      <c r="D1265" s="37" t="s">
        <v>123</v>
      </c>
      <c r="E1265" s="36" t="n">
        <v>2026</v>
      </c>
      <c r="F1265" s="37" t="s">
        <v>474</v>
      </c>
      <c r="G1265" s="37" t="s">
        <v>124</v>
      </c>
      <c r="H1265" s="36" t="s">
        <v>131</v>
      </c>
      <c r="I1265" s="36" t="s">
        <v>505</v>
      </c>
      <c r="J1265" s="37" t="s">
        <v>506</v>
      </c>
      <c r="K1265" s="38" t="n">
        <v>90</v>
      </c>
      <c r="L1265" s="38" t="n">
        <v>26910000</v>
      </c>
      <c r="M1265" s="38" t="n">
        <v>8895240</v>
      </c>
      <c r="N1265" s="39" t="n">
        <f aca="false">IF(A1265="제외",0,IF(OR(N(L1265)&lt;=0,N(M1265)&gt;N(L1265)),N(M1265)/요약!$D$27,N(L1265)))</f>
        <v>26910000</v>
      </c>
      <c r="O1265" s="32" t="str">
        <f aca="false">IF(A1265="제외","",IF(OR(N(L1265)&lt;=0,N(M1265)&gt;N(L1265)),"택가보정(판매금액÷공급율)",""))</f>
        <v/>
      </c>
      <c r="P1265" s="0" t="str">
        <f aca="false">IF(A1265="HK","100",IF(A1265="CN","200",IF(A1265="TW","300",IF(ISNUMBER(SEARCH("태국",C1265)),"500",IF(ISNUMBER(SEARCH("말레이",C1265)),"600",IF(ISNUMBER(SEARCH("필리핀",C1265)),"700",IF(ISNUMBER(SEARCH("인도네시아",C1265)),"800",IF(ISNUMBER(SEARCH("크루즈",C1265)),"810",IF(ISNUMBER(SEARCH("동물원",C1265)),"830","")))))))))</f>
        <v>700</v>
      </c>
    </row>
    <row r="1266" customFormat="false" ht="15" hidden="false" customHeight="false" outlineLevel="0" collapsed="false">
      <c r="A1266" s="32" t="str">
        <f aca="false">IF(OR(TRIM(C1266)="",SUBSTITUTE(C1266," ","")="소계"),"제외",IF(ISNUMBER(SEARCH("홍콩",C1266)),"HK",IF(ISNUMBER(SEARCH("상해",C1266)),"CN",IF(ISNUMBER(SEARCH("대만",C1266)),"TW","홀세일"))))</f>
        <v>홀세일</v>
      </c>
      <c r="B1266" s="36" t="s">
        <v>1394</v>
      </c>
      <c r="C1266" s="36" t="s">
        <v>1395</v>
      </c>
      <c r="D1266" s="37" t="s">
        <v>123</v>
      </c>
      <c r="E1266" s="36" t="n">
        <v>2026</v>
      </c>
      <c r="F1266" s="37" t="s">
        <v>474</v>
      </c>
      <c r="G1266" s="37" t="s">
        <v>124</v>
      </c>
      <c r="H1266" s="36" t="s">
        <v>131</v>
      </c>
      <c r="I1266" s="36" t="s">
        <v>511</v>
      </c>
      <c r="J1266" s="37" t="s">
        <v>512</v>
      </c>
      <c r="K1266" s="38" t="n">
        <v>140</v>
      </c>
      <c r="L1266" s="38" t="n">
        <v>61460000</v>
      </c>
      <c r="M1266" s="38" t="n">
        <v>20308260</v>
      </c>
      <c r="N1266" s="39" t="n">
        <f aca="false">IF(A1266="제외",0,IF(OR(N(L1266)&lt;=0,N(M1266)&gt;N(L1266)),N(M1266)/요약!$D$27,N(L1266)))</f>
        <v>61460000</v>
      </c>
      <c r="O1266" s="32" t="str">
        <f aca="false">IF(A1266="제외","",IF(OR(N(L1266)&lt;=0,N(M1266)&gt;N(L1266)),"택가보정(판매금액÷공급율)",""))</f>
        <v/>
      </c>
      <c r="P1266" s="0" t="str">
        <f aca="false">IF(A1266="HK","100",IF(A1266="CN","200",IF(A1266="TW","300",IF(ISNUMBER(SEARCH("태국",C1266)),"500",IF(ISNUMBER(SEARCH("말레이",C1266)),"600",IF(ISNUMBER(SEARCH("필리핀",C1266)),"700",IF(ISNUMBER(SEARCH("인도네시아",C1266)),"800",IF(ISNUMBER(SEARCH("크루즈",C1266)),"810",IF(ISNUMBER(SEARCH("동물원",C1266)),"830","")))))))))</f>
        <v>700</v>
      </c>
    </row>
    <row r="1267" customFormat="false" ht="15" hidden="false" customHeight="false" outlineLevel="0" collapsed="false">
      <c r="A1267" s="32" t="str">
        <f aca="false">IF(OR(TRIM(C1267)="",SUBSTITUTE(C1267," ","")="소계"),"제외",IF(ISNUMBER(SEARCH("홍콩",C1267)),"HK",IF(ISNUMBER(SEARCH("상해",C1267)),"CN",IF(ISNUMBER(SEARCH("대만",C1267)),"TW","홀세일"))))</f>
        <v>홀세일</v>
      </c>
      <c r="B1267" s="36" t="s">
        <v>1394</v>
      </c>
      <c r="C1267" s="36" t="s">
        <v>1395</v>
      </c>
      <c r="D1267" s="37" t="s">
        <v>123</v>
      </c>
      <c r="E1267" s="36" t="n">
        <v>2026</v>
      </c>
      <c r="F1267" s="37" t="s">
        <v>474</v>
      </c>
      <c r="G1267" s="37" t="s">
        <v>124</v>
      </c>
      <c r="H1267" s="36" t="s">
        <v>131</v>
      </c>
      <c r="I1267" s="36" t="s">
        <v>515</v>
      </c>
      <c r="J1267" s="37" t="s">
        <v>516</v>
      </c>
      <c r="K1267" s="38" t="n">
        <v>70</v>
      </c>
      <c r="L1267" s="38" t="n">
        <v>13230000</v>
      </c>
      <c r="M1267" s="38" t="n">
        <v>4368070</v>
      </c>
      <c r="N1267" s="39" t="n">
        <f aca="false">IF(A1267="제외",0,IF(OR(N(L1267)&lt;=0,N(M1267)&gt;N(L1267)),N(M1267)/요약!$D$27,N(L1267)))</f>
        <v>13230000</v>
      </c>
      <c r="O1267" s="32" t="str">
        <f aca="false">IF(A1267="제외","",IF(OR(N(L1267)&lt;=0,N(M1267)&gt;N(L1267)),"택가보정(판매금액÷공급율)",""))</f>
        <v/>
      </c>
      <c r="P1267" s="0" t="str">
        <f aca="false">IF(A1267="HK","100",IF(A1267="CN","200",IF(A1267="TW","300",IF(ISNUMBER(SEARCH("태국",C1267)),"500",IF(ISNUMBER(SEARCH("말레이",C1267)),"600",IF(ISNUMBER(SEARCH("필리핀",C1267)),"700",IF(ISNUMBER(SEARCH("인도네시아",C1267)),"800",IF(ISNUMBER(SEARCH("크루즈",C1267)),"810",IF(ISNUMBER(SEARCH("동물원",C1267)),"830","")))))))))</f>
        <v>700</v>
      </c>
    </row>
    <row r="1268" customFormat="false" ht="15" hidden="false" customHeight="false" outlineLevel="0" collapsed="false">
      <c r="A1268" s="32" t="str">
        <f aca="false">IF(OR(TRIM(C1268)="",SUBSTITUTE(C1268," ","")="소계"),"제외",IF(ISNUMBER(SEARCH("홍콩",C1268)),"HK",IF(ISNUMBER(SEARCH("상해",C1268)),"CN",IF(ISNUMBER(SEARCH("대만",C1268)),"TW","홀세일"))))</f>
        <v>홀세일</v>
      </c>
      <c r="B1268" s="36" t="s">
        <v>1394</v>
      </c>
      <c r="C1268" s="36" t="s">
        <v>1395</v>
      </c>
      <c r="D1268" s="37" t="s">
        <v>123</v>
      </c>
      <c r="E1268" s="36" t="n">
        <v>2026</v>
      </c>
      <c r="F1268" s="37" t="s">
        <v>474</v>
      </c>
      <c r="G1268" s="37" t="s">
        <v>124</v>
      </c>
      <c r="H1268" s="36" t="s">
        <v>131</v>
      </c>
      <c r="I1268" s="36" t="s">
        <v>517</v>
      </c>
      <c r="J1268" s="37" t="s">
        <v>518</v>
      </c>
      <c r="K1268" s="38" t="n">
        <v>80</v>
      </c>
      <c r="L1268" s="38" t="n">
        <v>14320000</v>
      </c>
      <c r="M1268" s="38" t="n">
        <v>4731040</v>
      </c>
      <c r="N1268" s="39" t="n">
        <f aca="false">IF(A1268="제외",0,IF(OR(N(L1268)&lt;=0,N(M1268)&gt;N(L1268)),N(M1268)/요약!$D$27,N(L1268)))</f>
        <v>14320000</v>
      </c>
      <c r="O1268" s="32" t="str">
        <f aca="false">IF(A1268="제외","",IF(OR(N(L1268)&lt;=0,N(M1268)&gt;N(L1268)),"택가보정(판매금액÷공급율)",""))</f>
        <v/>
      </c>
      <c r="P1268" s="0" t="str">
        <f aca="false">IF(A1268="HK","100",IF(A1268="CN","200",IF(A1268="TW","300",IF(ISNUMBER(SEARCH("태국",C1268)),"500",IF(ISNUMBER(SEARCH("말레이",C1268)),"600",IF(ISNUMBER(SEARCH("필리핀",C1268)),"700",IF(ISNUMBER(SEARCH("인도네시아",C1268)),"800",IF(ISNUMBER(SEARCH("크루즈",C1268)),"810",IF(ISNUMBER(SEARCH("동물원",C1268)),"830","")))))))))</f>
        <v>700</v>
      </c>
    </row>
    <row r="1269" customFormat="false" ht="15" hidden="false" customHeight="false" outlineLevel="0" collapsed="false">
      <c r="A1269" s="32" t="str">
        <f aca="false">IF(OR(TRIM(C1269)="",SUBSTITUTE(C1269," ","")="소계"),"제외",IF(ISNUMBER(SEARCH("홍콩",C1269)),"HK",IF(ISNUMBER(SEARCH("상해",C1269)),"CN",IF(ISNUMBER(SEARCH("대만",C1269)),"TW","홀세일"))))</f>
        <v>홀세일</v>
      </c>
      <c r="B1269" s="36" t="s">
        <v>1394</v>
      </c>
      <c r="C1269" s="36" t="s">
        <v>1395</v>
      </c>
      <c r="D1269" s="37" t="s">
        <v>123</v>
      </c>
      <c r="E1269" s="36" t="n">
        <v>2026</v>
      </c>
      <c r="F1269" s="37" t="s">
        <v>474</v>
      </c>
      <c r="G1269" s="37" t="s">
        <v>124</v>
      </c>
      <c r="H1269" s="36" t="s">
        <v>131</v>
      </c>
      <c r="I1269" s="36" t="s">
        <v>926</v>
      </c>
      <c r="J1269" s="37" t="s">
        <v>927</v>
      </c>
      <c r="K1269" s="38" t="n">
        <v>155</v>
      </c>
      <c r="L1269" s="38" t="n">
        <v>18445000</v>
      </c>
      <c r="M1269" s="38" t="n">
        <v>6360425</v>
      </c>
      <c r="N1269" s="39" t="n">
        <f aca="false">IF(A1269="제외",0,IF(OR(N(L1269)&lt;=0,N(M1269)&gt;N(L1269)),N(M1269)/요약!$D$27,N(L1269)))</f>
        <v>18445000</v>
      </c>
      <c r="O1269" s="32" t="str">
        <f aca="false">IF(A1269="제외","",IF(OR(N(L1269)&lt;=0,N(M1269)&gt;N(L1269)),"택가보정(판매금액÷공급율)",""))</f>
        <v/>
      </c>
      <c r="P1269" s="0" t="str">
        <f aca="false">IF(A1269="HK","100",IF(A1269="CN","200",IF(A1269="TW","300",IF(ISNUMBER(SEARCH("태국",C1269)),"500",IF(ISNUMBER(SEARCH("말레이",C1269)),"600",IF(ISNUMBER(SEARCH("필리핀",C1269)),"700",IF(ISNUMBER(SEARCH("인도네시아",C1269)),"800",IF(ISNUMBER(SEARCH("크루즈",C1269)),"810",IF(ISNUMBER(SEARCH("동물원",C1269)),"830","")))))))))</f>
        <v>700</v>
      </c>
    </row>
    <row r="1270" customFormat="false" ht="15" hidden="false" customHeight="false" outlineLevel="0" collapsed="false">
      <c r="A1270" s="32" t="str">
        <f aca="false">IF(OR(TRIM(C1270)="",SUBSTITUTE(C1270," ","")="소계"),"제외",IF(ISNUMBER(SEARCH("홍콩",C1270)),"HK",IF(ISNUMBER(SEARCH("상해",C1270)),"CN",IF(ISNUMBER(SEARCH("대만",C1270)),"TW","홀세일"))))</f>
        <v>홀세일</v>
      </c>
      <c r="B1270" s="36" t="s">
        <v>1394</v>
      </c>
      <c r="C1270" s="36" t="s">
        <v>1395</v>
      </c>
      <c r="D1270" s="37" t="s">
        <v>123</v>
      </c>
      <c r="E1270" s="36" t="n">
        <v>2026</v>
      </c>
      <c r="F1270" s="37" t="s">
        <v>474</v>
      </c>
      <c r="G1270" s="37" t="s">
        <v>124</v>
      </c>
      <c r="H1270" s="36" t="s">
        <v>131</v>
      </c>
      <c r="I1270" s="36" t="s">
        <v>1334</v>
      </c>
      <c r="J1270" s="37" t="s">
        <v>1335</v>
      </c>
      <c r="K1270" s="38" t="n">
        <v>160</v>
      </c>
      <c r="L1270" s="38" t="n">
        <v>19040000</v>
      </c>
      <c r="M1270" s="38" t="n">
        <v>5999680</v>
      </c>
      <c r="N1270" s="39" t="n">
        <f aca="false">IF(A1270="제외",0,IF(OR(N(L1270)&lt;=0,N(M1270)&gt;N(L1270)),N(M1270)/요약!$D$27,N(L1270)))</f>
        <v>19040000</v>
      </c>
      <c r="O1270" s="32" t="str">
        <f aca="false">IF(A1270="제외","",IF(OR(N(L1270)&lt;=0,N(M1270)&gt;N(L1270)),"택가보정(판매금액÷공급율)",""))</f>
        <v/>
      </c>
      <c r="P1270" s="0" t="str">
        <f aca="false">IF(A1270="HK","100",IF(A1270="CN","200",IF(A1270="TW","300",IF(ISNUMBER(SEARCH("태국",C1270)),"500",IF(ISNUMBER(SEARCH("말레이",C1270)),"600",IF(ISNUMBER(SEARCH("필리핀",C1270)),"700",IF(ISNUMBER(SEARCH("인도네시아",C1270)),"800",IF(ISNUMBER(SEARCH("크루즈",C1270)),"810",IF(ISNUMBER(SEARCH("동물원",C1270)),"830","")))))))))</f>
        <v>700</v>
      </c>
    </row>
    <row r="1271" customFormat="false" ht="15" hidden="false" customHeight="false" outlineLevel="0" collapsed="false">
      <c r="A1271" s="32" t="str">
        <f aca="false">IF(OR(TRIM(C1271)="",SUBSTITUTE(C1271," ","")="소계"),"제외",IF(ISNUMBER(SEARCH("홍콩",C1271)),"HK",IF(ISNUMBER(SEARCH("상해",C1271)),"CN",IF(ISNUMBER(SEARCH("대만",C1271)),"TW","홀세일"))))</f>
        <v>홀세일</v>
      </c>
      <c r="B1271" s="36" t="s">
        <v>1394</v>
      </c>
      <c r="C1271" s="36" t="s">
        <v>1395</v>
      </c>
      <c r="D1271" s="37" t="s">
        <v>123</v>
      </c>
      <c r="E1271" s="36" t="n">
        <v>2026</v>
      </c>
      <c r="F1271" s="37" t="s">
        <v>474</v>
      </c>
      <c r="G1271" s="37" t="s">
        <v>124</v>
      </c>
      <c r="H1271" s="36" t="s">
        <v>131</v>
      </c>
      <c r="I1271" s="36" t="s">
        <v>521</v>
      </c>
      <c r="J1271" s="37" t="s">
        <v>522</v>
      </c>
      <c r="K1271" s="38" t="n">
        <v>155</v>
      </c>
      <c r="L1271" s="38" t="n">
        <v>23095000</v>
      </c>
      <c r="M1271" s="38" t="n">
        <v>7628170</v>
      </c>
      <c r="N1271" s="39" t="n">
        <f aca="false">IF(A1271="제외",0,IF(OR(N(L1271)&lt;=0,N(M1271)&gt;N(L1271)),N(M1271)/요약!$D$27,N(L1271)))</f>
        <v>23095000</v>
      </c>
      <c r="O1271" s="32" t="str">
        <f aca="false">IF(A1271="제외","",IF(OR(N(L1271)&lt;=0,N(M1271)&gt;N(L1271)),"택가보정(판매금액÷공급율)",""))</f>
        <v/>
      </c>
      <c r="P1271" s="0" t="str">
        <f aca="false">IF(A1271="HK","100",IF(A1271="CN","200",IF(A1271="TW","300",IF(ISNUMBER(SEARCH("태국",C1271)),"500",IF(ISNUMBER(SEARCH("말레이",C1271)),"600",IF(ISNUMBER(SEARCH("필리핀",C1271)),"700",IF(ISNUMBER(SEARCH("인도네시아",C1271)),"800",IF(ISNUMBER(SEARCH("크루즈",C1271)),"810",IF(ISNUMBER(SEARCH("동물원",C1271)),"830","")))))))))</f>
        <v>700</v>
      </c>
    </row>
    <row r="1272" customFormat="false" ht="15" hidden="false" customHeight="false" outlineLevel="0" collapsed="false">
      <c r="A1272" s="32" t="str">
        <f aca="false">IF(OR(TRIM(C1272)="",SUBSTITUTE(C1272," ","")="소계"),"제외",IF(ISNUMBER(SEARCH("홍콩",C1272)),"HK",IF(ISNUMBER(SEARCH("상해",C1272)),"CN",IF(ISNUMBER(SEARCH("대만",C1272)),"TW","홀세일"))))</f>
        <v>홀세일</v>
      </c>
      <c r="B1272" s="36" t="s">
        <v>1394</v>
      </c>
      <c r="C1272" s="36" t="s">
        <v>1395</v>
      </c>
      <c r="D1272" s="37" t="s">
        <v>123</v>
      </c>
      <c r="E1272" s="36" t="n">
        <v>2026</v>
      </c>
      <c r="F1272" s="37" t="s">
        <v>474</v>
      </c>
      <c r="G1272" s="37" t="s">
        <v>124</v>
      </c>
      <c r="H1272" s="36" t="s">
        <v>131</v>
      </c>
      <c r="I1272" s="36" t="s">
        <v>527</v>
      </c>
      <c r="J1272" s="37" t="s">
        <v>528</v>
      </c>
      <c r="K1272" s="38" t="n">
        <v>190</v>
      </c>
      <c r="L1272" s="38" t="n">
        <v>37810000</v>
      </c>
      <c r="M1272" s="38" t="n">
        <v>11726990</v>
      </c>
      <c r="N1272" s="39" t="n">
        <f aca="false">IF(A1272="제외",0,IF(OR(N(L1272)&lt;=0,N(M1272)&gt;N(L1272)),N(M1272)/요약!$D$27,N(L1272)))</f>
        <v>37810000</v>
      </c>
      <c r="O1272" s="32" t="str">
        <f aca="false">IF(A1272="제외","",IF(OR(N(L1272)&lt;=0,N(M1272)&gt;N(L1272)),"택가보정(판매금액÷공급율)",""))</f>
        <v/>
      </c>
      <c r="P1272" s="0" t="str">
        <f aca="false">IF(A1272="HK","100",IF(A1272="CN","200",IF(A1272="TW","300",IF(ISNUMBER(SEARCH("태국",C1272)),"500",IF(ISNUMBER(SEARCH("말레이",C1272)),"600",IF(ISNUMBER(SEARCH("필리핀",C1272)),"700",IF(ISNUMBER(SEARCH("인도네시아",C1272)),"800",IF(ISNUMBER(SEARCH("크루즈",C1272)),"810",IF(ISNUMBER(SEARCH("동물원",C1272)),"830","")))))))))</f>
        <v>700</v>
      </c>
    </row>
    <row r="1273" customFormat="false" ht="15" hidden="false" customHeight="false" outlineLevel="0" collapsed="false">
      <c r="A1273" s="32" t="str">
        <f aca="false">IF(OR(TRIM(C1273)="",SUBSTITUTE(C1273," ","")="소계"),"제외",IF(ISNUMBER(SEARCH("홍콩",C1273)),"HK",IF(ISNUMBER(SEARCH("상해",C1273)),"CN",IF(ISNUMBER(SEARCH("대만",C1273)),"TW","홀세일"))))</f>
        <v>홀세일</v>
      </c>
      <c r="B1273" s="36" t="s">
        <v>1394</v>
      </c>
      <c r="C1273" s="36" t="s">
        <v>1395</v>
      </c>
      <c r="D1273" s="37" t="s">
        <v>123</v>
      </c>
      <c r="E1273" s="36" t="n">
        <v>2026</v>
      </c>
      <c r="F1273" s="37" t="s">
        <v>474</v>
      </c>
      <c r="G1273" s="37" t="s">
        <v>124</v>
      </c>
      <c r="H1273" s="36" t="s">
        <v>188</v>
      </c>
      <c r="I1273" s="36" t="s">
        <v>541</v>
      </c>
      <c r="J1273" s="36" t="s">
        <v>542</v>
      </c>
      <c r="K1273" s="38" t="n">
        <v>80</v>
      </c>
      <c r="L1273" s="38" t="n">
        <v>12720000</v>
      </c>
      <c r="M1273" s="38" t="n">
        <v>3948000</v>
      </c>
      <c r="N1273" s="39" t="n">
        <f aca="false">IF(A1273="제외",0,IF(OR(N(L1273)&lt;=0,N(M1273)&gt;N(L1273)),N(M1273)/요약!$D$27,N(L1273)))</f>
        <v>12720000</v>
      </c>
      <c r="O1273" s="32" t="str">
        <f aca="false">IF(A1273="제외","",IF(OR(N(L1273)&lt;=0,N(M1273)&gt;N(L1273)),"택가보정(판매금액÷공급율)",""))</f>
        <v/>
      </c>
      <c r="P1273" s="0" t="str">
        <f aca="false">IF(A1273="HK","100",IF(A1273="CN","200",IF(A1273="TW","300",IF(ISNUMBER(SEARCH("태국",C1273)),"500",IF(ISNUMBER(SEARCH("말레이",C1273)),"600",IF(ISNUMBER(SEARCH("필리핀",C1273)),"700",IF(ISNUMBER(SEARCH("인도네시아",C1273)),"800",IF(ISNUMBER(SEARCH("크루즈",C1273)),"810",IF(ISNUMBER(SEARCH("동물원",C1273)),"830","")))))))))</f>
        <v>700</v>
      </c>
    </row>
    <row r="1274" customFormat="false" ht="15" hidden="false" customHeight="false" outlineLevel="0" collapsed="false">
      <c r="A1274" s="32" t="str">
        <f aca="false">IF(OR(TRIM(C1274)="",SUBSTITUTE(C1274," ","")="소계"),"제외",IF(ISNUMBER(SEARCH("홍콩",C1274)),"HK",IF(ISNUMBER(SEARCH("상해",C1274)),"CN",IF(ISNUMBER(SEARCH("대만",C1274)),"TW","홀세일"))))</f>
        <v>홀세일</v>
      </c>
      <c r="B1274" s="36" t="s">
        <v>1394</v>
      </c>
      <c r="C1274" s="36" t="s">
        <v>1395</v>
      </c>
      <c r="D1274" s="37" t="s">
        <v>123</v>
      </c>
      <c r="E1274" s="36" t="n">
        <v>2026</v>
      </c>
      <c r="F1274" s="37" t="s">
        <v>474</v>
      </c>
      <c r="G1274" s="37" t="s">
        <v>124</v>
      </c>
      <c r="H1274" s="36" t="s">
        <v>188</v>
      </c>
      <c r="I1274" s="36" t="s">
        <v>936</v>
      </c>
      <c r="J1274" s="36" t="s">
        <v>937</v>
      </c>
      <c r="K1274" s="38" t="n">
        <v>80</v>
      </c>
      <c r="L1274" s="38" t="n">
        <v>13520000</v>
      </c>
      <c r="M1274" s="38" t="n">
        <v>4209040</v>
      </c>
      <c r="N1274" s="39" t="n">
        <f aca="false">IF(A1274="제외",0,IF(OR(N(L1274)&lt;=0,N(M1274)&gt;N(L1274)),N(M1274)/요약!$D$27,N(L1274)))</f>
        <v>13520000</v>
      </c>
      <c r="O1274" s="32" t="str">
        <f aca="false">IF(A1274="제외","",IF(OR(N(L1274)&lt;=0,N(M1274)&gt;N(L1274)),"택가보정(판매금액÷공급율)",""))</f>
        <v/>
      </c>
      <c r="P1274" s="0" t="str">
        <f aca="false">IF(A1274="HK","100",IF(A1274="CN","200",IF(A1274="TW","300",IF(ISNUMBER(SEARCH("태국",C1274)),"500",IF(ISNUMBER(SEARCH("말레이",C1274)),"600",IF(ISNUMBER(SEARCH("필리핀",C1274)),"700",IF(ISNUMBER(SEARCH("인도네시아",C1274)),"800",IF(ISNUMBER(SEARCH("크루즈",C1274)),"810",IF(ISNUMBER(SEARCH("동물원",C1274)),"830","")))))))))</f>
        <v>700</v>
      </c>
    </row>
    <row r="1275" customFormat="false" ht="15" hidden="false" customHeight="false" outlineLevel="0" collapsed="false">
      <c r="A1275" s="32" t="str">
        <f aca="false">IF(OR(TRIM(C1275)="",SUBSTITUTE(C1275," ","")="소계"),"제외",IF(ISNUMBER(SEARCH("홍콩",C1275)),"HK",IF(ISNUMBER(SEARCH("상해",C1275)),"CN",IF(ISNUMBER(SEARCH("대만",C1275)),"TW","홀세일"))))</f>
        <v>홀세일</v>
      </c>
      <c r="B1275" s="36" t="s">
        <v>1394</v>
      </c>
      <c r="C1275" s="36" t="s">
        <v>1395</v>
      </c>
      <c r="D1275" s="37" t="s">
        <v>123</v>
      </c>
      <c r="E1275" s="36" t="n">
        <v>2026</v>
      </c>
      <c r="F1275" s="37" t="s">
        <v>474</v>
      </c>
      <c r="G1275" s="37" t="s">
        <v>124</v>
      </c>
      <c r="H1275" s="36" t="s">
        <v>188</v>
      </c>
      <c r="I1275" s="36" t="s">
        <v>545</v>
      </c>
      <c r="J1275" s="36" t="s">
        <v>546</v>
      </c>
      <c r="K1275" s="38" t="n">
        <v>50</v>
      </c>
      <c r="L1275" s="38" t="n">
        <v>7450000</v>
      </c>
      <c r="M1275" s="38" t="n">
        <v>2588100</v>
      </c>
      <c r="N1275" s="39" t="n">
        <f aca="false">IF(A1275="제외",0,IF(OR(N(L1275)&lt;=0,N(M1275)&gt;N(L1275)),N(M1275)/요약!$D$27,N(L1275)))</f>
        <v>7450000</v>
      </c>
      <c r="O1275" s="32" t="str">
        <f aca="false">IF(A1275="제외","",IF(OR(N(L1275)&lt;=0,N(M1275)&gt;N(L1275)),"택가보정(판매금액÷공급율)",""))</f>
        <v/>
      </c>
      <c r="P1275" s="0" t="str">
        <f aca="false">IF(A1275="HK","100",IF(A1275="CN","200",IF(A1275="TW","300",IF(ISNUMBER(SEARCH("태국",C1275)),"500",IF(ISNUMBER(SEARCH("말레이",C1275)),"600",IF(ISNUMBER(SEARCH("필리핀",C1275)),"700",IF(ISNUMBER(SEARCH("인도네시아",C1275)),"800",IF(ISNUMBER(SEARCH("크루즈",C1275)),"810",IF(ISNUMBER(SEARCH("동물원",C1275)),"830","")))))))))</f>
        <v>700</v>
      </c>
    </row>
    <row r="1276" customFormat="false" ht="15" hidden="false" customHeight="false" outlineLevel="0" collapsed="false">
      <c r="A1276" s="32" t="str">
        <f aca="false">IF(OR(TRIM(C1276)="",SUBSTITUTE(C1276," ","")="소계"),"제외",IF(ISNUMBER(SEARCH("홍콩",C1276)),"HK",IF(ISNUMBER(SEARCH("상해",C1276)),"CN",IF(ISNUMBER(SEARCH("대만",C1276)),"TW","홀세일"))))</f>
        <v>홀세일</v>
      </c>
      <c r="B1276" s="36" t="s">
        <v>1394</v>
      </c>
      <c r="C1276" s="36" t="s">
        <v>1395</v>
      </c>
      <c r="D1276" s="37" t="s">
        <v>123</v>
      </c>
      <c r="E1276" s="36" t="n">
        <v>2026</v>
      </c>
      <c r="F1276" s="37" t="s">
        <v>474</v>
      </c>
      <c r="G1276" s="37" t="s">
        <v>124</v>
      </c>
      <c r="H1276" s="36" t="s">
        <v>188</v>
      </c>
      <c r="I1276" s="36" t="s">
        <v>940</v>
      </c>
      <c r="J1276" s="36" t="s">
        <v>941</v>
      </c>
      <c r="K1276" s="38" t="n">
        <v>70</v>
      </c>
      <c r="L1276" s="38" t="n">
        <v>15330000</v>
      </c>
      <c r="M1276" s="38" t="n">
        <v>5072270</v>
      </c>
      <c r="N1276" s="39" t="n">
        <f aca="false">IF(A1276="제외",0,IF(OR(N(L1276)&lt;=0,N(M1276)&gt;N(L1276)),N(M1276)/요약!$D$27,N(L1276)))</f>
        <v>15330000</v>
      </c>
      <c r="O1276" s="32" t="str">
        <f aca="false">IF(A1276="제외","",IF(OR(N(L1276)&lt;=0,N(M1276)&gt;N(L1276)),"택가보정(판매금액÷공급율)",""))</f>
        <v/>
      </c>
      <c r="P1276" s="0" t="str">
        <f aca="false">IF(A1276="HK","100",IF(A1276="CN","200",IF(A1276="TW","300",IF(ISNUMBER(SEARCH("태국",C1276)),"500",IF(ISNUMBER(SEARCH("말레이",C1276)),"600",IF(ISNUMBER(SEARCH("필리핀",C1276)),"700",IF(ISNUMBER(SEARCH("인도네시아",C1276)),"800",IF(ISNUMBER(SEARCH("크루즈",C1276)),"810",IF(ISNUMBER(SEARCH("동물원",C1276)),"830","")))))))))</f>
        <v>700</v>
      </c>
    </row>
    <row r="1277" customFormat="false" ht="15" hidden="false" customHeight="false" outlineLevel="0" collapsed="false">
      <c r="A1277" s="32" t="str">
        <f aca="false">IF(OR(TRIM(C1277)="",SUBSTITUTE(C1277," ","")="소계"),"제외",IF(ISNUMBER(SEARCH("홍콩",C1277)),"HK",IF(ISNUMBER(SEARCH("상해",C1277)),"CN",IF(ISNUMBER(SEARCH("대만",C1277)),"TW","홀세일"))))</f>
        <v>홀세일</v>
      </c>
      <c r="B1277" s="36" t="s">
        <v>1394</v>
      </c>
      <c r="C1277" s="36" t="s">
        <v>1395</v>
      </c>
      <c r="D1277" s="37" t="s">
        <v>123</v>
      </c>
      <c r="E1277" s="36" t="n">
        <v>2026</v>
      </c>
      <c r="F1277" s="37" t="s">
        <v>474</v>
      </c>
      <c r="G1277" s="37" t="s">
        <v>124</v>
      </c>
      <c r="H1277" s="36" t="s">
        <v>188</v>
      </c>
      <c r="I1277" s="36" t="s">
        <v>547</v>
      </c>
      <c r="J1277" s="36" t="s">
        <v>548</v>
      </c>
      <c r="K1277" s="38" t="n">
        <v>50</v>
      </c>
      <c r="L1277" s="38" t="n">
        <v>11950000</v>
      </c>
      <c r="M1277" s="38" t="n">
        <v>3956150</v>
      </c>
      <c r="N1277" s="39" t="n">
        <f aca="false">IF(A1277="제외",0,IF(OR(N(L1277)&lt;=0,N(M1277)&gt;N(L1277)),N(M1277)/요약!$D$27,N(L1277)))</f>
        <v>11950000</v>
      </c>
      <c r="O1277" s="32" t="str">
        <f aca="false">IF(A1277="제외","",IF(OR(N(L1277)&lt;=0,N(M1277)&gt;N(L1277)),"택가보정(판매금액÷공급율)",""))</f>
        <v/>
      </c>
      <c r="P1277" s="0" t="str">
        <f aca="false">IF(A1277="HK","100",IF(A1277="CN","200",IF(A1277="TW","300",IF(ISNUMBER(SEARCH("태국",C1277)),"500",IF(ISNUMBER(SEARCH("말레이",C1277)),"600",IF(ISNUMBER(SEARCH("필리핀",C1277)),"700",IF(ISNUMBER(SEARCH("인도네시아",C1277)),"800",IF(ISNUMBER(SEARCH("크루즈",C1277)),"810",IF(ISNUMBER(SEARCH("동물원",C1277)),"830","")))))))))</f>
        <v>700</v>
      </c>
    </row>
    <row r="1278" customFormat="false" ht="15" hidden="false" customHeight="false" outlineLevel="0" collapsed="false">
      <c r="A1278" s="32" t="str">
        <f aca="false">IF(OR(TRIM(C1278)="",SUBSTITUTE(C1278," ","")="소계"),"제외",IF(ISNUMBER(SEARCH("홍콩",C1278)),"HK",IF(ISNUMBER(SEARCH("상해",C1278)),"CN",IF(ISNUMBER(SEARCH("대만",C1278)),"TW","홀세일"))))</f>
        <v>홀세일</v>
      </c>
      <c r="B1278" s="36" t="s">
        <v>1394</v>
      </c>
      <c r="C1278" s="36" t="s">
        <v>1395</v>
      </c>
      <c r="D1278" s="37" t="s">
        <v>123</v>
      </c>
      <c r="E1278" s="36" t="n">
        <v>2026</v>
      </c>
      <c r="F1278" s="37" t="s">
        <v>474</v>
      </c>
      <c r="G1278" s="37" t="s">
        <v>124</v>
      </c>
      <c r="H1278" s="36" t="s">
        <v>188</v>
      </c>
      <c r="I1278" s="36" t="s">
        <v>551</v>
      </c>
      <c r="J1278" s="36" t="s">
        <v>552</v>
      </c>
      <c r="K1278" s="38" t="n">
        <v>140</v>
      </c>
      <c r="L1278" s="38" t="n">
        <v>23660000</v>
      </c>
      <c r="M1278" s="38" t="n">
        <v>7822500</v>
      </c>
      <c r="N1278" s="39" t="n">
        <f aca="false">IF(A1278="제외",0,IF(OR(N(L1278)&lt;=0,N(M1278)&gt;N(L1278)),N(M1278)/요약!$D$27,N(L1278)))</f>
        <v>23660000</v>
      </c>
      <c r="O1278" s="32" t="str">
        <f aca="false">IF(A1278="제외","",IF(OR(N(L1278)&lt;=0,N(M1278)&gt;N(L1278)),"택가보정(판매금액÷공급율)",""))</f>
        <v/>
      </c>
      <c r="P1278" s="0" t="str">
        <f aca="false">IF(A1278="HK","100",IF(A1278="CN","200",IF(A1278="TW","300",IF(ISNUMBER(SEARCH("태국",C1278)),"500",IF(ISNUMBER(SEARCH("말레이",C1278)),"600",IF(ISNUMBER(SEARCH("필리핀",C1278)),"700",IF(ISNUMBER(SEARCH("인도네시아",C1278)),"800",IF(ISNUMBER(SEARCH("크루즈",C1278)),"810",IF(ISNUMBER(SEARCH("동물원",C1278)),"830","")))))))))</f>
        <v>700</v>
      </c>
    </row>
    <row r="1279" customFormat="false" ht="15" hidden="false" customHeight="false" outlineLevel="0" collapsed="false">
      <c r="A1279" s="32" t="str">
        <f aca="false">IF(OR(TRIM(C1279)="",SUBSTITUTE(C1279," ","")="소계"),"제외",IF(ISNUMBER(SEARCH("홍콩",C1279)),"HK",IF(ISNUMBER(SEARCH("상해",C1279)),"CN",IF(ISNUMBER(SEARCH("대만",C1279)),"TW","홀세일"))))</f>
        <v>홀세일</v>
      </c>
      <c r="B1279" s="36" t="s">
        <v>1394</v>
      </c>
      <c r="C1279" s="36" t="s">
        <v>1395</v>
      </c>
      <c r="D1279" s="37" t="s">
        <v>123</v>
      </c>
      <c r="E1279" s="36" t="n">
        <v>2026</v>
      </c>
      <c r="F1279" s="37" t="s">
        <v>474</v>
      </c>
      <c r="G1279" s="37" t="s">
        <v>124</v>
      </c>
      <c r="H1279" s="36" t="s">
        <v>188</v>
      </c>
      <c r="I1279" s="36" t="s">
        <v>565</v>
      </c>
      <c r="J1279" s="36" t="s">
        <v>566</v>
      </c>
      <c r="K1279" s="38" t="n">
        <v>110</v>
      </c>
      <c r="L1279" s="38" t="n">
        <v>48290000</v>
      </c>
      <c r="M1279" s="38" t="n">
        <v>15956490</v>
      </c>
      <c r="N1279" s="39" t="n">
        <f aca="false">IF(A1279="제외",0,IF(OR(N(L1279)&lt;=0,N(M1279)&gt;N(L1279)),N(M1279)/요약!$D$27,N(L1279)))</f>
        <v>48290000</v>
      </c>
      <c r="O1279" s="32" t="str">
        <f aca="false">IF(A1279="제외","",IF(OR(N(L1279)&lt;=0,N(M1279)&gt;N(L1279)),"택가보정(판매금액÷공급율)",""))</f>
        <v/>
      </c>
      <c r="P1279" s="0" t="str">
        <f aca="false">IF(A1279="HK","100",IF(A1279="CN","200",IF(A1279="TW","300",IF(ISNUMBER(SEARCH("태국",C1279)),"500",IF(ISNUMBER(SEARCH("말레이",C1279)),"600",IF(ISNUMBER(SEARCH("필리핀",C1279)),"700",IF(ISNUMBER(SEARCH("인도네시아",C1279)),"800",IF(ISNUMBER(SEARCH("크루즈",C1279)),"810",IF(ISNUMBER(SEARCH("동물원",C1279)),"830","")))))))))</f>
        <v>700</v>
      </c>
    </row>
    <row r="1280" customFormat="false" ht="15" hidden="false" customHeight="false" outlineLevel="0" collapsed="false">
      <c r="A1280" s="32" t="str">
        <f aca="false">IF(OR(TRIM(C1280)="",SUBSTITUTE(C1280," ","")="소계"),"제외",IF(ISNUMBER(SEARCH("홍콩",C1280)),"HK",IF(ISNUMBER(SEARCH("상해",C1280)),"CN",IF(ISNUMBER(SEARCH("대만",C1280)),"TW","홀세일"))))</f>
        <v>홀세일</v>
      </c>
      <c r="B1280" s="36" t="s">
        <v>1394</v>
      </c>
      <c r="C1280" s="36" t="s">
        <v>1395</v>
      </c>
      <c r="D1280" s="37" t="s">
        <v>123</v>
      </c>
      <c r="E1280" s="36" t="n">
        <v>2026</v>
      </c>
      <c r="F1280" s="37" t="s">
        <v>474</v>
      </c>
      <c r="G1280" s="37" t="s">
        <v>124</v>
      </c>
      <c r="H1280" s="36" t="s">
        <v>188</v>
      </c>
      <c r="I1280" s="36" t="s">
        <v>1413</v>
      </c>
      <c r="J1280" s="36" t="s">
        <v>1414</v>
      </c>
      <c r="K1280" s="38" t="n">
        <v>50</v>
      </c>
      <c r="L1280" s="38" t="n">
        <v>9450000</v>
      </c>
      <c r="M1280" s="38" t="n">
        <v>3290000</v>
      </c>
      <c r="N1280" s="39" t="n">
        <f aca="false">IF(A1280="제외",0,IF(OR(N(L1280)&lt;=0,N(M1280)&gt;N(L1280)),N(M1280)/요약!$D$27,N(L1280)))</f>
        <v>9450000</v>
      </c>
      <c r="O1280" s="32" t="str">
        <f aca="false">IF(A1280="제외","",IF(OR(N(L1280)&lt;=0,N(M1280)&gt;N(L1280)),"택가보정(판매금액÷공급율)",""))</f>
        <v/>
      </c>
      <c r="P1280" s="0" t="str">
        <f aca="false">IF(A1280="HK","100",IF(A1280="CN","200",IF(A1280="TW","300",IF(ISNUMBER(SEARCH("태국",C1280)),"500",IF(ISNUMBER(SEARCH("말레이",C1280)),"600",IF(ISNUMBER(SEARCH("필리핀",C1280)),"700",IF(ISNUMBER(SEARCH("인도네시아",C1280)),"800",IF(ISNUMBER(SEARCH("크루즈",C1280)),"810",IF(ISNUMBER(SEARCH("동물원",C1280)),"830","")))))))))</f>
        <v>700</v>
      </c>
    </row>
    <row r="1281" customFormat="false" ht="15" hidden="false" customHeight="false" outlineLevel="0" collapsed="false">
      <c r="A1281" s="32" t="str">
        <f aca="false">IF(OR(TRIM(C1281)="",SUBSTITUTE(C1281," ","")="소계"),"제외",IF(ISNUMBER(SEARCH("홍콩",C1281)),"HK",IF(ISNUMBER(SEARCH("상해",C1281)),"CN",IF(ISNUMBER(SEARCH("대만",C1281)),"TW","홀세일"))))</f>
        <v>홀세일</v>
      </c>
      <c r="B1281" s="36" t="s">
        <v>1394</v>
      </c>
      <c r="C1281" s="36" t="s">
        <v>1395</v>
      </c>
      <c r="D1281" s="37" t="s">
        <v>123</v>
      </c>
      <c r="E1281" s="36" t="n">
        <v>2026</v>
      </c>
      <c r="F1281" s="37" t="s">
        <v>474</v>
      </c>
      <c r="G1281" s="37" t="s">
        <v>124</v>
      </c>
      <c r="H1281" s="36" t="s">
        <v>188</v>
      </c>
      <c r="I1281" s="36" t="s">
        <v>577</v>
      </c>
      <c r="J1281" s="36" t="s">
        <v>578</v>
      </c>
      <c r="K1281" s="38" t="n">
        <v>140</v>
      </c>
      <c r="L1281" s="38" t="n">
        <v>27860000</v>
      </c>
      <c r="M1281" s="38" t="n">
        <v>8640940</v>
      </c>
      <c r="N1281" s="39" t="n">
        <f aca="false">IF(A1281="제외",0,IF(OR(N(L1281)&lt;=0,N(M1281)&gt;N(L1281)),N(M1281)/요약!$D$27,N(L1281)))</f>
        <v>27860000</v>
      </c>
      <c r="O1281" s="32" t="str">
        <f aca="false">IF(A1281="제외","",IF(OR(N(L1281)&lt;=0,N(M1281)&gt;N(L1281)),"택가보정(판매금액÷공급율)",""))</f>
        <v/>
      </c>
      <c r="P1281" s="0" t="str">
        <f aca="false">IF(A1281="HK","100",IF(A1281="CN","200",IF(A1281="TW","300",IF(ISNUMBER(SEARCH("태국",C1281)),"500",IF(ISNUMBER(SEARCH("말레이",C1281)),"600",IF(ISNUMBER(SEARCH("필리핀",C1281)),"700",IF(ISNUMBER(SEARCH("인도네시아",C1281)),"800",IF(ISNUMBER(SEARCH("크루즈",C1281)),"810",IF(ISNUMBER(SEARCH("동물원",C1281)),"830","")))))))))</f>
        <v>700</v>
      </c>
    </row>
    <row r="1282" customFormat="false" ht="15" hidden="false" customHeight="false" outlineLevel="0" collapsed="false">
      <c r="A1282" s="32" t="str">
        <f aca="false">IF(OR(TRIM(C1282)="",SUBSTITUTE(C1282," ","")="소계"),"제외",IF(ISNUMBER(SEARCH("홍콩",C1282)),"HK",IF(ISNUMBER(SEARCH("상해",C1282)),"CN",IF(ISNUMBER(SEARCH("대만",C1282)),"TW","홀세일"))))</f>
        <v>홀세일</v>
      </c>
      <c r="B1282" s="36" t="s">
        <v>1394</v>
      </c>
      <c r="C1282" s="36" t="s">
        <v>1395</v>
      </c>
      <c r="D1282" s="37" t="s">
        <v>123</v>
      </c>
      <c r="E1282" s="36" t="n">
        <v>2026</v>
      </c>
      <c r="F1282" s="36" t="s">
        <v>110</v>
      </c>
      <c r="G1282" s="37" t="s">
        <v>102</v>
      </c>
      <c r="H1282" s="36" t="s">
        <v>131</v>
      </c>
      <c r="I1282" s="36" t="s">
        <v>1350</v>
      </c>
      <c r="J1282" s="37" t="s">
        <v>1351</v>
      </c>
      <c r="K1282" s="38" t="n">
        <v>303</v>
      </c>
      <c r="L1282" s="38" t="n">
        <v>5757000</v>
      </c>
      <c r="M1282" s="38" t="n">
        <v>2237880</v>
      </c>
      <c r="N1282" s="39" t="n">
        <f aca="false">IF(A1282="제외",0,IF(OR(N(L1282)&lt;=0,N(M1282)&gt;N(L1282)),N(M1282)/요약!$D$27,N(L1282)))</f>
        <v>5757000</v>
      </c>
      <c r="O1282" s="32" t="str">
        <f aca="false">IF(A1282="제외","",IF(OR(N(L1282)&lt;=0,N(M1282)&gt;N(L1282)),"택가보정(판매금액÷공급율)",""))</f>
        <v/>
      </c>
      <c r="P1282" s="0" t="str">
        <f aca="false">IF(A1282="HK","100",IF(A1282="CN","200",IF(A1282="TW","300",IF(ISNUMBER(SEARCH("태국",C1282)),"500",IF(ISNUMBER(SEARCH("말레이",C1282)),"600",IF(ISNUMBER(SEARCH("필리핀",C1282)),"700",IF(ISNUMBER(SEARCH("인도네시아",C1282)),"800",IF(ISNUMBER(SEARCH("크루즈",C1282)),"810",IF(ISNUMBER(SEARCH("동물원",C1282)),"830","")))))))))</f>
        <v>700</v>
      </c>
    </row>
    <row r="1283" customFormat="false" ht="15" hidden="false" customHeight="false" outlineLevel="0" collapsed="false">
      <c r="A1283" s="32" t="str">
        <f aca="false">IF(OR(TRIM(C1283)="",SUBSTITUTE(C1283," ","")="소계"),"제외",IF(ISNUMBER(SEARCH("홍콩",C1283)),"HK",IF(ISNUMBER(SEARCH("상해",C1283)),"CN",IF(ISNUMBER(SEARCH("대만",C1283)),"TW","홀세일"))))</f>
        <v>홀세일</v>
      </c>
      <c r="B1283" s="36" t="s">
        <v>1394</v>
      </c>
      <c r="C1283" s="36" t="s">
        <v>1395</v>
      </c>
      <c r="D1283" s="37" t="s">
        <v>123</v>
      </c>
      <c r="E1283" s="36" t="n">
        <v>2026</v>
      </c>
      <c r="F1283" s="36" t="s">
        <v>110</v>
      </c>
      <c r="G1283" s="37" t="s">
        <v>102</v>
      </c>
      <c r="H1283" s="36" t="s">
        <v>131</v>
      </c>
      <c r="I1283" s="36" t="s">
        <v>581</v>
      </c>
      <c r="J1283" s="37" t="s">
        <v>582</v>
      </c>
      <c r="K1283" s="38" t="n">
        <v>303</v>
      </c>
      <c r="L1283" s="38" t="n">
        <v>8787000</v>
      </c>
      <c r="M1283" s="38" t="n">
        <v>3378936</v>
      </c>
      <c r="N1283" s="39" t="n">
        <f aca="false">IF(A1283="제외",0,IF(OR(N(L1283)&lt;=0,N(M1283)&gt;N(L1283)),N(M1283)/요약!$D$27,N(L1283)))</f>
        <v>8787000</v>
      </c>
      <c r="O1283" s="32" t="str">
        <f aca="false">IF(A1283="제외","",IF(OR(N(L1283)&lt;=0,N(M1283)&gt;N(L1283)),"택가보정(판매금액÷공급율)",""))</f>
        <v/>
      </c>
      <c r="P1283" s="0" t="str">
        <f aca="false">IF(A1283="HK","100",IF(A1283="CN","200",IF(A1283="TW","300",IF(ISNUMBER(SEARCH("태국",C1283)),"500",IF(ISNUMBER(SEARCH("말레이",C1283)),"600",IF(ISNUMBER(SEARCH("필리핀",C1283)),"700",IF(ISNUMBER(SEARCH("인도네시아",C1283)),"800",IF(ISNUMBER(SEARCH("크루즈",C1283)),"810",IF(ISNUMBER(SEARCH("동물원",C1283)),"830","")))))))))</f>
        <v>700</v>
      </c>
    </row>
    <row r="1284" customFormat="false" ht="15" hidden="false" customHeight="false" outlineLevel="0" collapsed="false">
      <c r="A1284" s="32" t="str">
        <f aca="false">IF(OR(TRIM(C1284)="",SUBSTITUTE(C1284," ","")="소계"),"제외",IF(ISNUMBER(SEARCH("홍콩",C1284)),"HK",IF(ISNUMBER(SEARCH("상해",C1284)),"CN",IF(ISNUMBER(SEARCH("대만",C1284)),"TW","홀세일"))))</f>
        <v>홀세일</v>
      </c>
      <c r="B1284" s="36" t="s">
        <v>1394</v>
      </c>
      <c r="C1284" s="36" t="s">
        <v>1395</v>
      </c>
      <c r="D1284" s="37" t="s">
        <v>123</v>
      </c>
      <c r="E1284" s="36" t="n">
        <v>2026</v>
      </c>
      <c r="F1284" s="36" t="s">
        <v>110</v>
      </c>
      <c r="G1284" s="37" t="s">
        <v>102</v>
      </c>
      <c r="H1284" s="36" t="s">
        <v>131</v>
      </c>
      <c r="I1284" s="36" t="s">
        <v>950</v>
      </c>
      <c r="J1284" s="37" t="s">
        <v>951</v>
      </c>
      <c r="K1284" s="38" t="n">
        <v>41</v>
      </c>
      <c r="L1284" s="38" t="n">
        <v>4879000</v>
      </c>
      <c r="M1284" s="38" t="n">
        <v>1936562</v>
      </c>
      <c r="N1284" s="39" t="n">
        <f aca="false">IF(A1284="제외",0,IF(OR(N(L1284)&lt;=0,N(M1284)&gt;N(L1284)),N(M1284)/요약!$D$27,N(L1284)))</f>
        <v>4879000</v>
      </c>
      <c r="O1284" s="32" t="str">
        <f aca="false">IF(A1284="제외","",IF(OR(N(L1284)&lt;=0,N(M1284)&gt;N(L1284)),"택가보정(판매금액÷공급율)",""))</f>
        <v/>
      </c>
      <c r="P1284" s="0" t="str">
        <f aca="false">IF(A1284="HK","100",IF(A1284="CN","200",IF(A1284="TW","300",IF(ISNUMBER(SEARCH("태국",C1284)),"500",IF(ISNUMBER(SEARCH("말레이",C1284)),"600",IF(ISNUMBER(SEARCH("필리핀",C1284)),"700",IF(ISNUMBER(SEARCH("인도네시아",C1284)),"800",IF(ISNUMBER(SEARCH("크루즈",C1284)),"810",IF(ISNUMBER(SEARCH("동물원",C1284)),"830","")))))))))</f>
        <v>700</v>
      </c>
    </row>
    <row r="1285" customFormat="false" ht="15" hidden="false" customHeight="false" outlineLevel="0" collapsed="false">
      <c r="A1285" s="32" t="str">
        <f aca="false">IF(OR(TRIM(C1285)="",SUBSTITUTE(C1285," ","")="소계"),"제외",IF(ISNUMBER(SEARCH("홍콩",C1285)),"HK",IF(ISNUMBER(SEARCH("상해",C1285)),"CN",IF(ISNUMBER(SEARCH("대만",C1285)),"TW","홀세일"))))</f>
        <v>홀세일</v>
      </c>
      <c r="B1285" s="36" t="s">
        <v>1394</v>
      </c>
      <c r="C1285" s="36" t="s">
        <v>1395</v>
      </c>
      <c r="D1285" s="37" t="s">
        <v>123</v>
      </c>
      <c r="E1285" s="36" t="n">
        <v>2026</v>
      </c>
      <c r="F1285" s="36" t="s">
        <v>110</v>
      </c>
      <c r="G1285" s="37" t="s">
        <v>102</v>
      </c>
      <c r="H1285" s="36" t="s">
        <v>131</v>
      </c>
      <c r="I1285" s="36" t="s">
        <v>1352</v>
      </c>
      <c r="J1285" s="37" t="s">
        <v>1353</v>
      </c>
      <c r="K1285" s="38" t="n">
        <v>102</v>
      </c>
      <c r="L1285" s="38" t="n">
        <v>35598000</v>
      </c>
      <c r="M1285" s="38" t="n">
        <v>14135450</v>
      </c>
      <c r="N1285" s="39" t="n">
        <f aca="false">IF(A1285="제외",0,IF(OR(N(L1285)&lt;=0,N(M1285)&gt;N(L1285)),N(M1285)/요약!$D$27,N(L1285)))</f>
        <v>35598000</v>
      </c>
      <c r="O1285" s="32" t="str">
        <f aca="false">IF(A1285="제외","",IF(OR(N(L1285)&lt;=0,N(M1285)&gt;N(L1285)),"택가보정(판매금액÷공급율)",""))</f>
        <v/>
      </c>
      <c r="P1285" s="0" t="str">
        <f aca="false">IF(A1285="HK","100",IF(A1285="CN","200",IF(A1285="TW","300",IF(ISNUMBER(SEARCH("태국",C1285)),"500",IF(ISNUMBER(SEARCH("말레이",C1285)),"600",IF(ISNUMBER(SEARCH("필리핀",C1285)),"700",IF(ISNUMBER(SEARCH("인도네시아",C1285)),"800",IF(ISNUMBER(SEARCH("크루즈",C1285)),"810",IF(ISNUMBER(SEARCH("동물원",C1285)),"830","")))))))))</f>
        <v>700</v>
      </c>
    </row>
    <row r="1286" customFormat="false" ht="15" hidden="false" customHeight="false" outlineLevel="0" collapsed="false">
      <c r="A1286" s="32" t="str">
        <f aca="false">IF(OR(TRIM(C1286)="",SUBSTITUTE(C1286," ","")="소계"),"제외",IF(ISNUMBER(SEARCH("홍콩",C1286)),"HK",IF(ISNUMBER(SEARCH("상해",C1286)),"CN",IF(ISNUMBER(SEARCH("대만",C1286)),"TW","홀세일"))))</f>
        <v>홀세일</v>
      </c>
      <c r="B1286" s="36" t="s">
        <v>1394</v>
      </c>
      <c r="C1286" s="36" t="s">
        <v>1395</v>
      </c>
      <c r="D1286" s="37" t="s">
        <v>123</v>
      </c>
      <c r="E1286" s="36" t="n">
        <v>2026</v>
      </c>
      <c r="F1286" s="36" t="s">
        <v>110</v>
      </c>
      <c r="G1286" s="37" t="s">
        <v>102</v>
      </c>
      <c r="H1286" s="36" t="s">
        <v>131</v>
      </c>
      <c r="I1286" s="36" t="s">
        <v>952</v>
      </c>
      <c r="J1286" s="37" t="s">
        <v>953</v>
      </c>
      <c r="K1286" s="38" t="n">
        <v>125</v>
      </c>
      <c r="L1286" s="38" t="n">
        <v>8625000</v>
      </c>
      <c r="M1286" s="38" t="n">
        <v>3457875</v>
      </c>
      <c r="N1286" s="39" t="n">
        <f aca="false">IF(A1286="제외",0,IF(OR(N(L1286)&lt;=0,N(M1286)&gt;N(L1286)),N(M1286)/요약!$D$27,N(L1286)))</f>
        <v>8625000</v>
      </c>
      <c r="O1286" s="32" t="str">
        <f aca="false">IF(A1286="제외","",IF(OR(N(L1286)&lt;=0,N(M1286)&gt;N(L1286)),"택가보정(판매금액÷공급율)",""))</f>
        <v/>
      </c>
      <c r="P1286" s="0" t="str">
        <f aca="false">IF(A1286="HK","100",IF(A1286="CN","200",IF(A1286="TW","300",IF(ISNUMBER(SEARCH("태국",C1286)),"500",IF(ISNUMBER(SEARCH("말레이",C1286)),"600",IF(ISNUMBER(SEARCH("필리핀",C1286)),"700",IF(ISNUMBER(SEARCH("인도네시아",C1286)),"800",IF(ISNUMBER(SEARCH("크루즈",C1286)),"810",IF(ISNUMBER(SEARCH("동물원",C1286)),"830","")))))))))</f>
        <v>700</v>
      </c>
    </row>
    <row r="1287" customFormat="false" ht="15" hidden="false" customHeight="false" outlineLevel="0" collapsed="false">
      <c r="A1287" s="32" t="str">
        <f aca="false">IF(OR(TRIM(C1287)="",SUBSTITUTE(C1287," ","")="소계"),"제외",IF(ISNUMBER(SEARCH("홍콩",C1287)),"HK",IF(ISNUMBER(SEARCH("상해",C1287)),"CN",IF(ISNUMBER(SEARCH("대만",C1287)),"TW","홀세일"))))</f>
        <v>홀세일</v>
      </c>
      <c r="B1287" s="36" t="s">
        <v>1394</v>
      </c>
      <c r="C1287" s="36" t="s">
        <v>1395</v>
      </c>
      <c r="D1287" s="37" t="s">
        <v>123</v>
      </c>
      <c r="E1287" s="36" t="n">
        <v>2026</v>
      </c>
      <c r="F1287" s="36" t="s">
        <v>110</v>
      </c>
      <c r="G1287" s="37" t="s">
        <v>102</v>
      </c>
      <c r="H1287" s="36" t="s">
        <v>131</v>
      </c>
      <c r="I1287" s="36" t="s">
        <v>954</v>
      </c>
      <c r="J1287" s="37" t="s">
        <v>955</v>
      </c>
      <c r="K1287" s="38" t="n">
        <v>80</v>
      </c>
      <c r="L1287" s="38" t="n">
        <v>14320000</v>
      </c>
      <c r="M1287" s="38" t="n">
        <v>5724960</v>
      </c>
      <c r="N1287" s="39" t="n">
        <f aca="false">IF(A1287="제외",0,IF(OR(N(L1287)&lt;=0,N(M1287)&gt;N(L1287)),N(M1287)/요약!$D$27,N(L1287)))</f>
        <v>14320000</v>
      </c>
      <c r="O1287" s="32" t="str">
        <f aca="false">IF(A1287="제외","",IF(OR(N(L1287)&lt;=0,N(M1287)&gt;N(L1287)),"택가보정(판매금액÷공급율)",""))</f>
        <v/>
      </c>
      <c r="P1287" s="0" t="str">
        <f aca="false">IF(A1287="HK","100",IF(A1287="CN","200",IF(A1287="TW","300",IF(ISNUMBER(SEARCH("태국",C1287)),"500",IF(ISNUMBER(SEARCH("말레이",C1287)),"600",IF(ISNUMBER(SEARCH("필리핀",C1287)),"700",IF(ISNUMBER(SEARCH("인도네시아",C1287)),"800",IF(ISNUMBER(SEARCH("크루즈",C1287)),"810",IF(ISNUMBER(SEARCH("동물원",C1287)),"830","")))))))))</f>
        <v>700</v>
      </c>
    </row>
    <row r="1288" customFormat="false" ht="15" hidden="false" customHeight="false" outlineLevel="0" collapsed="false">
      <c r="A1288" s="32" t="str">
        <f aca="false">IF(OR(TRIM(C1288)="",SUBSTITUTE(C1288," ","")="소계"),"제외",IF(ISNUMBER(SEARCH("홍콩",C1288)),"HK",IF(ISNUMBER(SEARCH("상해",C1288)),"CN",IF(ISNUMBER(SEARCH("대만",C1288)),"TW","홀세일"))))</f>
        <v>홀세일</v>
      </c>
      <c r="B1288" s="36" t="s">
        <v>1394</v>
      </c>
      <c r="C1288" s="36" t="s">
        <v>1395</v>
      </c>
      <c r="D1288" s="37" t="s">
        <v>123</v>
      </c>
      <c r="E1288" s="36" t="n">
        <v>2026</v>
      </c>
      <c r="F1288" s="36" t="s">
        <v>110</v>
      </c>
      <c r="G1288" s="37" t="s">
        <v>102</v>
      </c>
      <c r="H1288" s="36" t="s">
        <v>125</v>
      </c>
      <c r="I1288" s="36" t="s">
        <v>1415</v>
      </c>
      <c r="J1288" s="37" t="s">
        <v>1416</v>
      </c>
      <c r="K1288" s="38" t="n">
        <v>61</v>
      </c>
      <c r="L1288" s="38" t="n">
        <v>11529000</v>
      </c>
      <c r="M1288" s="38" t="n">
        <v>4434744</v>
      </c>
      <c r="N1288" s="39" t="n">
        <f aca="false">IF(A1288="제외",0,IF(OR(N(L1288)&lt;=0,N(M1288)&gt;N(L1288)),N(M1288)/요약!$D$27,N(L1288)))</f>
        <v>11529000</v>
      </c>
      <c r="O1288" s="32" t="str">
        <f aca="false">IF(A1288="제외","",IF(OR(N(L1288)&lt;=0,N(M1288)&gt;N(L1288)),"택가보정(판매금액÷공급율)",""))</f>
        <v/>
      </c>
      <c r="P1288" s="0" t="str">
        <f aca="false">IF(A1288="HK","100",IF(A1288="CN","200",IF(A1288="TW","300",IF(ISNUMBER(SEARCH("태국",C1288)),"500",IF(ISNUMBER(SEARCH("말레이",C1288)),"600",IF(ISNUMBER(SEARCH("필리핀",C1288)),"700",IF(ISNUMBER(SEARCH("인도네시아",C1288)),"800",IF(ISNUMBER(SEARCH("크루즈",C1288)),"810",IF(ISNUMBER(SEARCH("동물원",C1288)),"830","")))))))))</f>
        <v>700</v>
      </c>
    </row>
    <row r="1289" customFormat="false" ht="15" hidden="false" customHeight="false" outlineLevel="0" collapsed="false">
      <c r="A1289" s="32" t="str">
        <f aca="false">IF(OR(TRIM(C1289)="",SUBSTITUTE(C1289," ","")="소계"),"제외",IF(ISNUMBER(SEARCH("홍콩",C1289)),"HK",IF(ISNUMBER(SEARCH("상해",C1289)),"CN",IF(ISNUMBER(SEARCH("대만",C1289)),"TW","홀세일"))))</f>
        <v>홀세일</v>
      </c>
      <c r="B1289" s="36" t="s">
        <v>1394</v>
      </c>
      <c r="C1289" s="36" t="s">
        <v>1395</v>
      </c>
      <c r="D1289" s="37" t="s">
        <v>123</v>
      </c>
      <c r="E1289" s="36" t="n">
        <v>2026</v>
      </c>
      <c r="F1289" s="36" t="s">
        <v>110</v>
      </c>
      <c r="G1289" s="37" t="s">
        <v>102</v>
      </c>
      <c r="H1289" s="36" t="s">
        <v>125</v>
      </c>
      <c r="I1289" s="36" t="s">
        <v>587</v>
      </c>
      <c r="J1289" s="37" t="s">
        <v>588</v>
      </c>
      <c r="K1289" s="38" t="n">
        <v>61</v>
      </c>
      <c r="L1289" s="38" t="n">
        <v>12139000</v>
      </c>
      <c r="M1289" s="38" t="n">
        <v>4673240</v>
      </c>
      <c r="N1289" s="39" t="n">
        <f aca="false">IF(A1289="제외",0,IF(OR(N(L1289)&lt;=0,N(M1289)&gt;N(L1289)),N(M1289)/요약!$D$27,N(L1289)))</f>
        <v>12139000</v>
      </c>
      <c r="O1289" s="32" t="str">
        <f aca="false">IF(A1289="제외","",IF(OR(N(L1289)&lt;=0,N(M1289)&gt;N(L1289)),"택가보정(판매금액÷공급율)",""))</f>
        <v/>
      </c>
      <c r="P1289" s="0" t="str">
        <f aca="false">IF(A1289="HK","100",IF(A1289="CN","200",IF(A1289="TW","300",IF(ISNUMBER(SEARCH("태국",C1289)),"500",IF(ISNUMBER(SEARCH("말레이",C1289)),"600",IF(ISNUMBER(SEARCH("필리핀",C1289)),"700",IF(ISNUMBER(SEARCH("인도네시아",C1289)),"800",IF(ISNUMBER(SEARCH("크루즈",C1289)),"810",IF(ISNUMBER(SEARCH("동물원",C1289)),"830","")))))))))</f>
        <v>700</v>
      </c>
    </row>
    <row r="1290" customFormat="false" ht="15" hidden="false" customHeight="false" outlineLevel="0" collapsed="false">
      <c r="A1290" s="32" t="str">
        <f aca="false">IF(OR(TRIM(C1290)="",SUBSTITUTE(C1290," ","")="소계"),"제외",IF(ISNUMBER(SEARCH("홍콩",C1290)),"HK",IF(ISNUMBER(SEARCH("상해",C1290)),"CN",IF(ISNUMBER(SEARCH("대만",C1290)),"TW","홀세일"))))</f>
        <v>홀세일</v>
      </c>
      <c r="B1290" s="36" t="s">
        <v>1394</v>
      </c>
      <c r="C1290" s="36" t="s">
        <v>1395</v>
      </c>
      <c r="D1290" s="37" t="s">
        <v>123</v>
      </c>
      <c r="E1290" s="36" t="n">
        <v>2026</v>
      </c>
      <c r="F1290" s="36" t="s">
        <v>110</v>
      </c>
      <c r="G1290" s="37" t="s">
        <v>102</v>
      </c>
      <c r="H1290" s="36" t="s">
        <v>125</v>
      </c>
      <c r="I1290" s="36" t="s">
        <v>589</v>
      </c>
      <c r="J1290" s="37" t="s">
        <v>590</v>
      </c>
      <c r="K1290" s="38" t="n">
        <v>102</v>
      </c>
      <c r="L1290" s="38" t="n">
        <v>15198000</v>
      </c>
      <c r="M1290" s="38" t="n">
        <v>6038494</v>
      </c>
      <c r="N1290" s="39" t="n">
        <f aca="false">IF(A1290="제외",0,IF(OR(N(L1290)&lt;=0,N(M1290)&gt;N(L1290)),N(M1290)/요약!$D$27,N(L1290)))</f>
        <v>15198000</v>
      </c>
      <c r="O1290" s="32" t="str">
        <f aca="false">IF(A1290="제외","",IF(OR(N(L1290)&lt;=0,N(M1290)&gt;N(L1290)),"택가보정(판매금액÷공급율)",""))</f>
        <v/>
      </c>
      <c r="P1290" s="0" t="str">
        <f aca="false">IF(A1290="HK","100",IF(A1290="CN","200",IF(A1290="TW","300",IF(ISNUMBER(SEARCH("태국",C1290)),"500",IF(ISNUMBER(SEARCH("말레이",C1290)),"600",IF(ISNUMBER(SEARCH("필리핀",C1290)),"700",IF(ISNUMBER(SEARCH("인도네시아",C1290)),"800",IF(ISNUMBER(SEARCH("크루즈",C1290)),"810",IF(ISNUMBER(SEARCH("동물원",C1290)),"830","")))))))))</f>
        <v>700</v>
      </c>
    </row>
    <row r="1291" customFormat="false" ht="15" hidden="false" customHeight="false" outlineLevel="0" collapsed="false">
      <c r="A1291" s="32" t="str">
        <f aca="false">IF(OR(TRIM(C1291)="",SUBSTITUTE(C1291," ","")="소계"),"제외",IF(ISNUMBER(SEARCH("홍콩",C1291)),"HK",IF(ISNUMBER(SEARCH("상해",C1291)),"CN",IF(ISNUMBER(SEARCH("대만",C1291)),"TW","홀세일"))))</f>
        <v>홀세일</v>
      </c>
      <c r="B1291" s="36" t="s">
        <v>1394</v>
      </c>
      <c r="C1291" s="36" t="s">
        <v>1395</v>
      </c>
      <c r="D1291" s="37" t="s">
        <v>123</v>
      </c>
      <c r="E1291" s="36" t="n">
        <v>2026</v>
      </c>
      <c r="F1291" s="36" t="s">
        <v>110</v>
      </c>
      <c r="G1291" s="37" t="s">
        <v>102</v>
      </c>
      <c r="H1291" s="36" t="s">
        <v>131</v>
      </c>
      <c r="I1291" s="36" t="s">
        <v>591</v>
      </c>
      <c r="J1291" s="37" t="s">
        <v>592</v>
      </c>
      <c r="K1291" s="38" t="n">
        <v>92</v>
      </c>
      <c r="L1291" s="38" t="n">
        <v>11868000</v>
      </c>
      <c r="M1291" s="38" t="n">
        <v>4569926</v>
      </c>
      <c r="N1291" s="39" t="n">
        <f aca="false">IF(A1291="제외",0,IF(OR(N(L1291)&lt;=0,N(M1291)&gt;N(L1291)),N(M1291)/요약!$D$27,N(L1291)))</f>
        <v>11868000</v>
      </c>
      <c r="O1291" s="32" t="str">
        <f aca="false">IF(A1291="제외","",IF(OR(N(L1291)&lt;=0,N(M1291)&gt;N(L1291)),"택가보정(판매금액÷공급율)",""))</f>
        <v/>
      </c>
      <c r="P1291" s="0" t="str">
        <f aca="false">IF(A1291="HK","100",IF(A1291="CN","200",IF(A1291="TW","300",IF(ISNUMBER(SEARCH("태국",C1291)),"500",IF(ISNUMBER(SEARCH("말레이",C1291)),"600",IF(ISNUMBER(SEARCH("필리핀",C1291)),"700",IF(ISNUMBER(SEARCH("인도네시아",C1291)),"800",IF(ISNUMBER(SEARCH("크루즈",C1291)),"810",IF(ISNUMBER(SEARCH("동물원",C1291)),"830","")))))))))</f>
        <v>700</v>
      </c>
    </row>
    <row r="1292" customFormat="false" ht="15" hidden="false" customHeight="false" outlineLevel="0" collapsed="false">
      <c r="A1292" s="32" t="str">
        <f aca="false">IF(OR(TRIM(C1292)="",SUBSTITUTE(C1292," ","")="소계"),"제외",IF(ISNUMBER(SEARCH("홍콩",C1292)),"HK",IF(ISNUMBER(SEARCH("상해",C1292)),"CN",IF(ISNUMBER(SEARCH("대만",C1292)),"TW","홀세일"))))</f>
        <v>홀세일</v>
      </c>
      <c r="B1292" s="36" t="s">
        <v>1394</v>
      </c>
      <c r="C1292" s="36" t="s">
        <v>1395</v>
      </c>
      <c r="D1292" s="37" t="s">
        <v>123</v>
      </c>
      <c r="E1292" s="36" t="n">
        <v>2026</v>
      </c>
      <c r="F1292" s="36" t="s">
        <v>110</v>
      </c>
      <c r="G1292" s="37" t="s">
        <v>102</v>
      </c>
      <c r="H1292" s="36" t="s">
        <v>131</v>
      </c>
      <c r="I1292" s="36" t="s">
        <v>593</v>
      </c>
      <c r="J1292" s="37" t="s">
        <v>594</v>
      </c>
      <c r="K1292" s="38" t="n">
        <v>92</v>
      </c>
      <c r="L1292" s="38" t="n">
        <v>10948000</v>
      </c>
      <c r="M1292" s="38" t="n">
        <v>4210144</v>
      </c>
      <c r="N1292" s="39" t="n">
        <f aca="false">IF(A1292="제외",0,IF(OR(N(L1292)&lt;=0,N(M1292)&gt;N(L1292)),N(M1292)/요약!$D$27,N(L1292)))</f>
        <v>10948000</v>
      </c>
      <c r="O1292" s="32" t="str">
        <f aca="false">IF(A1292="제외","",IF(OR(N(L1292)&lt;=0,N(M1292)&gt;N(L1292)),"택가보정(판매금액÷공급율)",""))</f>
        <v/>
      </c>
      <c r="P1292" s="0" t="str">
        <f aca="false">IF(A1292="HK","100",IF(A1292="CN","200",IF(A1292="TW","300",IF(ISNUMBER(SEARCH("태국",C1292)),"500",IF(ISNUMBER(SEARCH("말레이",C1292)),"600",IF(ISNUMBER(SEARCH("필리핀",C1292)),"700",IF(ISNUMBER(SEARCH("인도네시아",C1292)),"800",IF(ISNUMBER(SEARCH("크루즈",C1292)),"810",IF(ISNUMBER(SEARCH("동물원",C1292)),"830","")))))))))</f>
        <v>700</v>
      </c>
    </row>
    <row r="1293" customFormat="false" ht="15" hidden="false" customHeight="false" outlineLevel="0" collapsed="false">
      <c r="A1293" s="32" t="str">
        <f aca="false">IF(OR(TRIM(C1293)="",SUBSTITUTE(C1293," ","")="소계"),"제외",IF(ISNUMBER(SEARCH("홍콩",C1293)),"HK",IF(ISNUMBER(SEARCH("상해",C1293)),"CN",IF(ISNUMBER(SEARCH("대만",C1293)),"TW","홀세일"))))</f>
        <v>홀세일</v>
      </c>
      <c r="B1293" s="36" t="s">
        <v>1394</v>
      </c>
      <c r="C1293" s="36" t="s">
        <v>1395</v>
      </c>
      <c r="D1293" s="37" t="s">
        <v>123</v>
      </c>
      <c r="E1293" s="36" t="n">
        <v>2026</v>
      </c>
      <c r="F1293" s="36" t="s">
        <v>110</v>
      </c>
      <c r="G1293" s="37" t="s">
        <v>102</v>
      </c>
      <c r="H1293" s="36" t="s">
        <v>131</v>
      </c>
      <c r="I1293" s="36" t="s">
        <v>595</v>
      </c>
      <c r="J1293" s="37" t="s">
        <v>596</v>
      </c>
      <c r="K1293" s="38" t="n">
        <v>121</v>
      </c>
      <c r="L1293" s="38" t="n">
        <v>7139000</v>
      </c>
      <c r="M1293" s="38" t="n">
        <v>2751217</v>
      </c>
      <c r="N1293" s="39" t="n">
        <f aca="false">IF(A1293="제외",0,IF(OR(N(L1293)&lt;=0,N(M1293)&gt;N(L1293)),N(M1293)/요약!$D$27,N(L1293)))</f>
        <v>7139000</v>
      </c>
      <c r="O1293" s="32" t="str">
        <f aca="false">IF(A1293="제외","",IF(OR(N(L1293)&lt;=0,N(M1293)&gt;N(L1293)),"택가보정(판매금액÷공급율)",""))</f>
        <v/>
      </c>
      <c r="P1293" s="0" t="str">
        <f aca="false">IF(A1293="HK","100",IF(A1293="CN","200",IF(A1293="TW","300",IF(ISNUMBER(SEARCH("태국",C1293)),"500",IF(ISNUMBER(SEARCH("말레이",C1293)),"600",IF(ISNUMBER(SEARCH("필리핀",C1293)),"700",IF(ISNUMBER(SEARCH("인도네시아",C1293)),"800",IF(ISNUMBER(SEARCH("크루즈",C1293)),"810",IF(ISNUMBER(SEARCH("동물원",C1293)),"830","")))))))))</f>
        <v>700</v>
      </c>
    </row>
    <row r="1294" customFormat="false" ht="15" hidden="false" customHeight="false" outlineLevel="0" collapsed="false">
      <c r="A1294" s="32" t="str">
        <f aca="false">IF(OR(TRIM(C1294)="",SUBSTITUTE(C1294," ","")="소계"),"제외",IF(ISNUMBER(SEARCH("홍콩",C1294)),"HK",IF(ISNUMBER(SEARCH("상해",C1294)),"CN",IF(ISNUMBER(SEARCH("대만",C1294)),"TW","홀세일"))))</f>
        <v>홀세일</v>
      </c>
      <c r="B1294" s="36" t="s">
        <v>1394</v>
      </c>
      <c r="C1294" s="36" t="s">
        <v>1395</v>
      </c>
      <c r="D1294" s="37" t="s">
        <v>123</v>
      </c>
      <c r="E1294" s="36" t="n">
        <v>2026</v>
      </c>
      <c r="F1294" s="36" t="s">
        <v>110</v>
      </c>
      <c r="G1294" s="37" t="s">
        <v>102</v>
      </c>
      <c r="H1294" s="36" t="s">
        <v>131</v>
      </c>
      <c r="I1294" s="36" t="s">
        <v>597</v>
      </c>
      <c r="J1294" s="37" t="s">
        <v>598</v>
      </c>
      <c r="K1294" s="38" t="n">
        <v>61</v>
      </c>
      <c r="L1294" s="38" t="n">
        <v>4209000</v>
      </c>
      <c r="M1294" s="38" t="n">
        <v>1625493</v>
      </c>
      <c r="N1294" s="39" t="n">
        <f aca="false">IF(A1294="제외",0,IF(OR(N(L1294)&lt;=0,N(M1294)&gt;N(L1294)),N(M1294)/요약!$D$27,N(L1294)))</f>
        <v>4209000</v>
      </c>
      <c r="O1294" s="32" t="str">
        <f aca="false">IF(A1294="제외","",IF(OR(N(L1294)&lt;=0,N(M1294)&gt;N(L1294)),"택가보정(판매금액÷공급율)",""))</f>
        <v/>
      </c>
      <c r="P1294" s="0" t="str">
        <f aca="false">IF(A1294="HK","100",IF(A1294="CN","200",IF(A1294="TW","300",IF(ISNUMBER(SEARCH("태국",C1294)),"500",IF(ISNUMBER(SEARCH("말레이",C1294)),"600",IF(ISNUMBER(SEARCH("필리핀",C1294)),"700",IF(ISNUMBER(SEARCH("인도네시아",C1294)),"800",IF(ISNUMBER(SEARCH("크루즈",C1294)),"810",IF(ISNUMBER(SEARCH("동물원",C1294)),"830","")))))))))</f>
        <v>700</v>
      </c>
    </row>
    <row r="1295" customFormat="false" ht="15" hidden="false" customHeight="false" outlineLevel="0" collapsed="false">
      <c r="A1295" s="32" t="str">
        <f aca="false">IF(OR(TRIM(C1295)="",SUBSTITUTE(C1295," ","")="소계"),"제외",IF(ISNUMBER(SEARCH("홍콩",C1295)),"HK",IF(ISNUMBER(SEARCH("상해",C1295)),"CN",IF(ISNUMBER(SEARCH("대만",C1295)),"TW","홀세일"))))</f>
        <v>홀세일</v>
      </c>
      <c r="B1295" s="36" t="s">
        <v>1394</v>
      </c>
      <c r="C1295" s="36" t="s">
        <v>1395</v>
      </c>
      <c r="D1295" s="37" t="s">
        <v>123</v>
      </c>
      <c r="E1295" s="36" t="n">
        <v>2026</v>
      </c>
      <c r="F1295" s="36" t="s">
        <v>110</v>
      </c>
      <c r="G1295" s="37" t="s">
        <v>102</v>
      </c>
      <c r="H1295" s="36" t="s">
        <v>131</v>
      </c>
      <c r="I1295" s="36" t="s">
        <v>1417</v>
      </c>
      <c r="J1295" s="37" t="s">
        <v>1418</v>
      </c>
      <c r="K1295" s="38" t="n">
        <v>152</v>
      </c>
      <c r="L1295" s="38" t="n">
        <v>10488000</v>
      </c>
      <c r="M1295" s="38" t="n">
        <v>4182006</v>
      </c>
      <c r="N1295" s="39" t="n">
        <f aca="false">IF(A1295="제외",0,IF(OR(N(L1295)&lt;=0,N(M1295)&gt;N(L1295)),N(M1295)/요약!$D$27,N(L1295)))</f>
        <v>10488000</v>
      </c>
      <c r="O1295" s="32" t="str">
        <f aca="false">IF(A1295="제외","",IF(OR(N(L1295)&lt;=0,N(M1295)&gt;N(L1295)),"택가보정(판매금액÷공급율)",""))</f>
        <v/>
      </c>
      <c r="P1295" s="0" t="str">
        <f aca="false">IF(A1295="HK","100",IF(A1295="CN","200",IF(A1295="TW","300",IF(ISNUMBER(SEARCH("태국",C1295)),"500",IF(ISNUMBER(SEARCH("말레이",C1295)),"600",IF(ISNUMBER(SEARCH("필리핀",C1295)),"700",IF(ISNUMBER(SEARCH("인도네시아",C1295)),"800",IF(ISNUMBER(SEARCH("크루즈",C1295)),"810",IF(ISNUMBER(SEARCH("동물원",C1295)),"830","")))))))))</f>
        <v>700</v>
      </c>
    </row>
    <row r="1296" customFormat="false" ht="15" hidden="false" customHeight="false" outlineLevel="0" collapsed="false">
      <c r="A1296" s="32" t="str">
        <f aca="false">IF(OR(TRIM(C1296)="",SUBSTITUTE(C1296," ","")="소계"),"제외",IF(ISNUMBER(SEARCH("홍콩",C1296)),"HK",IF(ISNUMBER(SEARCH("상해",C1296)),"CN",IF(ISNUMBER(SEARCH("대만",C1296)),"TW","홀세일"))))</f>
        <v>홀세일</v>
      </c>
      <c r="B1296" s="36" t="s">
        <v>1394</v>
      </c>
      <c r="C1296" s="36" t="s">
        <v>1395</v>
      </c>
      <c r="D1296" s="37" t="s">
        <v>123</v>
      </c>
      <c r="E1296" s="36" t="n">
        <v>2026</v>
      </c>
      <c r="F1296" s="36" t="s">
        <v>110</v>
      </c>
      <c r="G1296" s="37" t="s">
        <v>102</v>
      </c>
      <c r="H1296" s="36" t="s">
        <v>131</v>
      </c>
      <c r="I1296" s="36" t="s">
        <v>956</v>
      </c>
      <c r="J1296" s="37" t="s">
        <v>957</v>
      </c>
      <c r="K1296" s="38" t="n">
        <v>92</v>
      </c>
      <c r="L1296" s="38" t="n">
        <v>8188000</v>
      </c>
      <c r="M1296" s="38" t="n">
        <v>3157652</v>
      </c>
      <c r="N1296" s="39" t="n">
        <f aca="false">IF(A1296="제외",0,IF(OR(N(L1296)&lt;=0,N(M1296)&gt;N(L1296)),N(M1296)/요약!$D$27,N(L1296)))</f>
        <v>8188000</v>
      </c>
      <c r="O1296" s="32" t="str">
        <f aca="false">IF(A1296="제외","",IF(OR(N(L1296)&lt;=0,N(M1296)&gt;N(L1296)),"택가보정(판매금액÷공급율)",""))</f>
        <v/>
      </c>
      <c r="P1296" s="0" t="str">
        <f aca="false">IF(A1296="HK","100",IF(A1296="CN","200",IF(A1296="TW","300",IF(ISNUMBER(SEARCH("태국",C1296)),"500",IF(ISNUMBER(SEARCH("말레이",C1296)),"600",IF(ISNUMBER(SEARCH("필리핀",C1296)),"700",IF(ISNUMBER(SEARCH("인도네시아",C1296)),"800",IF(ISNUMBER(SEARCH("크루즈",C1296)),"810",IF(ISNUMBER(SEARCH("동물원",C1296)),"830","")))))))))</f>
        <v>700</v>
      </c>
    </row>
    <row r="1297" customFormat="false" ht="15" hidden="false" customHeight="false" outlineLevel="0" collapsed="false">
      <c r="A1297" s="32" t="str">
        <f aca="false">IF(OR(TRIM(C1297)="",SUBSTITUTE(C1297," ","")="소계"),"제외",IF(ISNUMBER(SEARCH("홍콩",C1297)),"HK",IF(ISNUMBER(SEARCH("상해",C1297)),"CN",IF(ISNUMBER(SEARCH("대만",C1297)),"TW","홀세일"))))</f>
        <v>홀세일</v>
      </c>
      <c r="B1297" s="36" t="s">
        <v>1394</v>
      </c>
      <c r="C1297" s="36" t="s">
        <v>1395</v>
      </c>
      <c r="D1297" s="37" t="s">
        <v>123</v>
      </c>
      <c r="E1297" s="36" t="n">
        <v>2026</v>
      </c>
      <c r="F1297" s="36" t="s">
        <v>110</v>
      </c>
      <c r="G1297" s="37" t="s">
        <v>102</v>
      </c>
      <c r="H1297" s="36" t="s">
        <v>131</v>
      </c>
      <c r="I1297" s="36" t="s">
        <v>601</v>
      </c>
      <c r="J1297" s="37" t="s">
        <v>602</v>
      </c>
      <c r="K1297" s="38" t="n">
        <v>243</v>
      </c>
      <c r="L1297" s="38" t="n">
        <v>19197000</v>
      </c>
      <c r="M1297" s="38" t="n">
        <v>7390275</v>
      </c>
      <c r="N1297" s="39" t="n">
        <f aca="false">IF(A1297="제외",0,IF(OR(N(L1297)&lt;=0,N(M1297)&gt;N(L1297)),N(M1297)/요약!$D$27,N(L1297)))</f>
        <v>19197000</v>
      </c>
      <c r="O1297" s="32" t="str">
        <f aca="false">IF(A1297="제외","",IF(OR(N(L1297)&lt;=0,N(M1297)&gt;N(L1297)),"택가보정(판매금액÷공급율)",""))</f>
        <v/>
      </c>
      <c r="P1297" s="0" t="str">
        <f aca="false">IF(A1297="HK","100",IF(A1297="CN","200",IF(A1297="TW","300",IF(ISNUMBER(SEARCH("태국",C1297)),"500",IF(ISNUMBER(SEARCH("말레이",C1297)),"600",IF(ISNUMBER(SEARCH("필리핀",C1297)),"700",IF(ISNUMBER(SEARCH("인도네시아",C1297)),"800",IF(ISNUMBER(SEARCH("크루즈",C1297)),"810",IF(ISNUMBER(SEARCH("동물원",C1297)),"830","")))))))))</f>
        <v>700</v>
      </c>
    </row>
    <row r="1298" customFormat="false" ht="15" hidden="false" customHeight="false" outlineLevel="0" collapsed="false">
      <c r="A1298" s="32" t="str">
        <f aca="false">IF(OR(TRIM(C1298)="",SUBSTITUTE(C1298," ","")="소계"),"제외",IF(ISNUMBER(SEARCH("홍콩",C1298)),"HK",IF(ISNUMBER(SEARCH("상해",C1298)),"CN",IF(ISNUMBER(SEARCH("대만",C1298)),"TW","홀세일"))))</f>
        <v>홀세일</v>
      </c>
      <c r="B1298" s="36" t="s">
        <v>1394</v>
      </c>
      <c r="C1298" s="36" t="s">
        <v>1395</v>
      </c>
      <c r="D1298" s="37" t="s">
        <v>123</v>
      </c>
      <c r="E1298" s="36" t="n">
        <v>2026</v>
      </c>
      <c r="F1298" s="36" t="s">
        <v>110</v>
      </c>
      <c r="G1298" s="37" t="s">
        <v>102</v>
      </c>
      <c r="H1298" s="36" t="s">
        <v>131</v>
      </c>
      <c r="I1298" s="36" t="s">
        <v>1419</v>
      </c>
      <c r="J1298" s="37" t="s">
        <v>1420</v>
      </c>
      <c r="K1298" s="38" t="n">
        <v>92</v>
      </c>
      <c r="L1298" s="38" t="n">
        <v>7268000</v>
      </c>
      <c r="M1298" s="38" t="n">
        <v>2797870</v>
      </c>
      <c r="N1298" s="39" t="n">
        <f aca="false">IF(A1298="제외",0,IF(OR(N(L1298)&lt;=0,N(M1298)&gt;N(L1298)),N(M1298)/요약!$D$27,N(L1298)))</f>
        <v>7268000</v>
      </c>
      <c r="O1298" s="32" t="str">
        <f aca="false">IF(A1298="제외","",IF(OR(N(L1298)&lt;=0,N(M1298)&gt;N(L1298)),"택가보정(판매금액÷공급율)",""))</f>
        <v/>
      </c>
      <c r="P1298" s="0" t="str">
        <f aca="false">IF(A1298="HK","100",IF(A1298="CN","200",IF(A1298="TW","300",IF(ISNUMBER(SEARCH("태국",C1298)),"500",IF(ISNUMBER(SEARCH("말레이",C1298)),"600",IF(ISNUMBER(SEARCH("필리핀",C1298)),"700",IF(ISNUMBER(SEARCH("인도네시아",C1298)),"800",IF(ISNUMBER(SEARCH("크루즈",C1298)),"810",IF(ISNUMBER(SEARCH("동물원",C1298)),"830","")))))))))</f>
        <v>700</v>
      </c>
    </row>
    <row r="1299" customFormat="false" ht="15" hidden="false" customHeight="false" outlineLevel="0" collapsed="false">
      <c r="A1299" s="32" t="str">
        <f aca="false">IF(OR(TRIM(C1299)="",SUBSTITUTE(C1299," ","")="소계"),"제외",IF(ISNUMBER(SEARCH("홍콩",C1299)),"HK",IF(ISNUMBER(SEARCH("상해",C1299)),"CN",IF(ISNUMBER(SEARCH("대만",C1299)),"TW","홀세일"))))</f>
        <v>홀세일</v>
      </c>
      <c r="B1299" s="36" t="s">
        <v>1394</v>
      </c>
      <c r="C1299" s="36" t="s">
        <v>1395</v>
      </c>
      <c r="D1299" s="37" t="s">
        <v>123</v>
      </c>
      <c r="E1299" s="36" t="n">
        <v>2026</v>
      </c>
      <c r="F1299" s="36" t="s">
        <v>110</v>
      </c>
      <c r="G1299" s="37" t="s">
        <v>102</v>
      </c>
      <c r="H1299" s="36" t="s">
        <v>131</v>
      </c>
      <c r="I1299" s="36" t="s">
        <v>603</v>
      </c>
      <c r="J1299" s="37" t="s">
        <v>604</v>
      </c>
      <c r="K1299" s="38" t="n">
        <v>92</v>
      </c>
      <c r="L1299" s="38" t="n">
        <v>6348000</v>
      </c>
      <c r="M1299" s="38" t="n">
        <v>2451516</v>
      </c>
      <c r="N1299" s="39" t="n">
        <f aca="false">IF(A1299="제외",0,IF(OR(N(L1299)&lt;=0,N(M1299)&gt;N(L1299)),N(M1299)/요약!$D$27,N(L1299)))</f>
        <v>6348000</v>
      </c>
      <c r="O1299" s="32" t="str">
        <f aca="false">IF(A1299="제외","",IF(OR(N(L1299)&lt;=0,N(M1299)&gt;N(L1299)),"택가보정(판매금액÷공급율)",""))</f>
        <v/>
      </c>
      <c r="P1299" s="0" t="str">
        <f aca="false">IF(A1299="HK","100",IF(A1299="CN","200",IF(A1299="TW","300",IF(ISNUMBER(SEARCH("태국",C1299)),"500",IF(ISNUMBER(SEARCH("말레이",C1299)),"600",IF(ISNUMBER(SEARCH("필리핀",C1299)),"700",IF(ISNUMBER(SEARCH("인도네시아",C1299)),"800",IF(ISNUMBER(SEARCH("크루즈",C1299)),"810",IF(ISNUMBER(SEARCH("동물원",C1299)),"830","")))))))))</f>
        <v>700</v>
      </c>
    </row>
    <row r="1300" customFormat="false" ht="15" hidden="false" customHeight="false" outlineLevel="0" collapsed="false">
      <c r="A1300" s="32" t="str">
        <f aca="false">IF(OR(TRIM(C1300)="",SUBSTITUTE(C1300," ","")="소계"),"제외",IF(ISNUMBER(SEARCH("홍콩",C1300)),"HK",IF(ISNUMBER(SEARCH("상해",C1300)),"CN",IF(ISNUMBER(SEARCH("대만",C1300)),"TW","홀세일"))))</f>
        <v>홀세일</v>
      </c>
      <c r="B1300" s="36" t="s">
        <v>1394</v>
      </c>
      <c r="C1300" s="36" t="s">
        <v>1395</v>
      </c>
      <c r="D1300" s="37" t="s">
        <v>123</v>
      </c>
      <c r="E1300" s="36" t="n">
        <v>2026</v>
      </c>
      <c r="F1300" s="36" t="s">
        <v>110</v>
      </c>
      <c r="G1300" s="37" t="s">
        <v>102</v>
      </c>
      <c r="H1300" s="36" t="s">
        <v>131</v>
      </c>
      <c r="I1300" s="36" t="s">
        <v>1421</v>
      </c>
      <c r="J1300" s="37" t="s">
        <v>1422</v>
      </c>
      <c r="K1300" s="38" t="n">
        <v>122</v>
      </c>
      <c r="L1300" s="38" t="n">
        <v>24278000</v>
      </c>
      <c r="M1300" s="38" t="n">
        <v>9649240</v>
      </c>
      <c r="N1300" s="39" t="n">
        <f aca="false">IF(A1300="제외",0,IF(OR(N(L1300)&lt;=0,N(M1300)&gt;N(L1300)),N(M1300)/요약!$D$27,N(L1300)))</f>
        <v>24278000</v>
      </c>
      <c r="O1300" s="32" t="str">
        <f aca="false">IF(A1300="제외","",IF(OR(N(L1300)&lt;=0,N(M1300)&gt;N(L1300)),"택가보정(판매금액÷공급율)",""))</f>
        <v/>
      </c>
      <c r="P1300" s="0" t="str">
        <f aca="false">IF(A1300="HK","100",IF(A1300="CN","200",IF(A1300="TW","300",IF(ISNUMBER(SEARCH("태국",C1300)),"500",IF(ISNUMBER(SEARCH("말레이",C1300)),"600",IF(ISNUMBER(SEARCH("필리핀",C1300)),"700",IF(ISNUMBER(SEARCH("인도네시아",C1300)),"800",IF(ISNUMBER(SEARCH("크루즈",C1300)),"810",IF(ISNUMBER(SEARCH("동물원",C1300)),"830","")))))))))</f>
        <v>700</v>
      </c>
    </row>
    <row r="1301" customFormat="false" ht="15" hidden="false" customHeight="false" outlineLevel="0" collapsed="false">
      <c r="A1301" s="32" t="str">
        <f aca="false">IF(OR(TRIM(C1301)="",SUBSTITUTE(C1301," ","")="소계"),"제외",IF(ISNUMBER(SEARCH("홍콩",C1301)),"HK",IF(ISNUMBER(SEARCH("상해",C1301)),"CN",IF(ISNUMBER(SEARCH("대만",C1301)),"TW","홀세일"))))</f>
        <v>홀세일</v>
      </c>
      <c r="B1301" s="36" t="s">
        <v>1394</v>
      </c>
      <c r="C1301" s="36" t="s">
        <v>1395</v>
      </c>
      <c r="D1301" s="37" t="s">
        <v>123</v>
      </c>
      <c r="E1301" s="36" t="n">
        <v>2026</v>
      </c>
      <c r="F1301" s="36" t="s">
        <v>110</v>
      </c>
      <c r="G1301" s="37" t="s">
        <v>102</v>
      </c>
      <c r="H1301" s="36" t="s">
        <v>131</v>
      </c>
      <c r="I1301" s="36" t="s">
        <v>607</v>
      </c>
      <c r="J1301" s="37" t="s">
        <v>608</v>
      </c>
      <c r="K1301" s="38" t="n">
        <v>123</v>
      </c>
      <c r="L1301" s="38" t="n">
        <v>9717000</v>
      </c>
      <c r="M1301" s="38" t="n">
        <v>3860835</v>
      </c>
      <c r="N1301" s="39" t="n">
        <f aca="false">IF(A1301="제외",0,IF(OR(N(L1301)&lt;=0,N(M1301)&gt;N(L1301)),N(M1301)/요약!$D$27,N(L1301)))</f>
        <v>9717000</v>
      </c>
      <c r="O1301" s="32" t="str">
        <f aca="false">IF(A1301="제외","",IF(OR(N(L1301)&lt;=0,N(M1301)&gt;N(L1301)),"택가보정(판매금액÷공급율)",""))</f>
        <v/>
      </c>
      <c r="P1301" s="0" t="str">
        <f aca="false">IF(A1301="HK","100",IF(A1301="CN","200",IF(A1301="TW","300",IF(ISNUMBER(SEARCH("태국",C1301)),"500",IF(ISNUMBER(SEARCH("말레이",C1301)),"600",IF(ISNUMBER(SEARCH("필리핀",C1301)),"700",IF(ISNUMBER(SEARCH("인도네시아",C1301)),"800",IF(ISNUMBER(SEARCH("크루즈",C1301)),"810",IF(ISNUMBER(SEARCH("동물원",C1301)),"830","")))))))))</f>
        <v>700</v>
      </c>
    </row>
    <row r="1302" customFormat="false" ht="15" hidden="false" customHeight="false" outlineLevel="0" collapsed="false">
      <c r="A1302" s="32" t="str">
        <f aca="false">IF(OR(TRIM(C1302)="",SUBSTITUTE(C1302," ","")="소계"),"제외",IF(ISNUMBER(SEARCH("홍콩",C1302)),"HK",IF(ISNUMBER(SEARCH("상해",C1302)),"CN",IF(ISNUMBER(SEARCH("대만",C1302)),"TW","홀세일"))))</f>
        <v>홀세일</v>
      </c>
      <c r="B1302" s="36" t="s">
        <v>1394</v>
      </c>
      <c r="C1302" s="36" t="s">
        <v>1395</v>
      </c>
      <c r="D1302" s="37" t="s">
        <v>123</v>
      </c>
      <c r="E1302" s="36" t="n">
        <v>2026</v>
      </c>
      <c r="F1302" s="36" t="s">
        <v>110</v>
      </c>
      <c r="G1302" s="37" t="s">
        <v>102</v>
      </c>
      <c r="H1302" s="36" t="s">
        <v>131</v>
      </c>
      <c r="I1302" s="36" t="s">
        <v>609</v>
      </c>
      <c r="J1302" s="36" t="s">
        <v>610</v>
      </c>
      <c r="K1302" s="38" t="n">
        <v>31</v>
      </c>
      <c r="L1302" s="38" t="n">
        <v>1829000</v>
      </c>
      <c r="M1302" s="38" t="n">
        <v>727267</v>
      </c>
      <c r="N1302" s="39" t="n">
        <f aca="false">IF(A1302="제외",0,IF(OR(N(L1302)&lt;=0,N(M1302)&gt;N(L1302)),N(M1302)/요약!$D$27,N(L1302)))</f>
        <v>1829000</v>
      </c>
      <c r="O1302" s="32" t="str">
        <f aca="false">IF(A1302="제외","",IF(OR(N(L1302)&lt;=0,N(M1302)&gt;N(L1302)),"택가보정(판매금액÷공급율)",""))</f>
        <v/>
      </c>
      <c r="P1302" s="0" t="str">
        <f aca="false">IF(A1302="HK","100",IF(A1302="CN","200",IF(A1302="TW","300",IF(ISNUMBER(SEARCH("태국",C1302)),"500",IF(ISNUMBER(SEARCH("말레이",C1302)),"600",IF(ISNUMBER(SEARCH("필리핀",C1302)),"700",IF(ISNUMBER(SEARCH("인도네시아",C1302)),"800",IF(ISNUMBER(SEARCH("크루즈",C1302)),"810",IF(ISNUMBER(SEARCH("동물원",C1302)),"830","")))))))))</f>
        <v>700</v>
      </c>
    </row>
    <row r="1303" customFormat="false" ht="15" hidden="false" customHeight="false" outlineLevel="0" collapsed="false">
      <c r="A1303" s="32" t="str">
        <f aca="false">IF(OR(TRIM(C1303)="",SUBSTITUTE(C1303," ","")="소계"),"제외",IF(ISNUMBER(SEARCH("홍콩",C1303)),"HK",IF(ISNUMBER(SEARCH("상해",C1303)),"CN",IF(ISNUMBER(SEARCH("대만",C1303)),"TW","홀세일"))))</f>
        <v>홀세일</v>
      </c>
      <c r="B1303" s="36" t="s">
        <v>1394</v>
      </c>
      <c r="C1303" s="36" t="s">
        <v>1395</v>
      </c>
      <c r="D1303" s="37" t="s">
        <v>123</v>
      </c>
      <c r="E1303" s="36" t="n">
        <v>2026</v>
      </c>
      <c r="F1303" s="36" t="s">
        <v>110</v>
      </c>
      <c r="G1303" s="37" t="s">
        <v>102</v>
      </c>
      <c r="H1303" s="36" t="s">
        <v>131</v>
      </c>
      <c r="I1303" s="36" t="s">
        <v>960</v>
      </c>
      <c r="J1303" s="36" t="s">
        <v>961</v>
      </c>
      <c r="K1303" s="38" t="n">
        <v>61</v>
      </c>
      <c r="L1303" s="38" t="n">
        <v>4819000</v>
      </c>
      <c r="M1303" s="38" t="n">
        <v>1915265</v>
      </c>
      <c r="N1303" s="39" t="n">
        <f aca="false">IF(A1303="제외",0,IF(OR(N(L1303)&lt;=0,N(M1303)&gt;N(L1303)),N(M1303)/요약!$D$27,N(L1303)))</f>
        <v>4819000</v>
      </c>
      <c r="O1303" s="32" t="str">
        <f aca="false">IF(A1303="제외","",IF(OR(N(L1303)&lt;=0,N(M1303)&gt;N(L1303)),"택가보정(판매금액÷공급율)",""))</f>
        <v/>
      </c>
      <c r="P1303" s="0" t="str">
        <f aca="false">IF(A1303="HK","100",IF(A1303="CN","200",IF(A1303="TW","300",IF(ISNUMBER(SEARCH("태국",C1303)),"500",IF(ISNUMBER(SEARCH("말레이",C1303)),"600",IF(ISNUMBER(SEARCH("필리핀",C1303)),"700",IF(ISNUMBER(SEARCH("인도네시아",C1303)),"800",IF(ISNUMBER(SEARCH("크루즈",C1303)),"810",IF(ISNUMBER(SEARCH("동물원",C1303)),"830","")))))))))</f>
        <v>700</v>
      </c>
    </row>
    <row r="1304" customFormat="false" ht="15" hidden="false" customHeight="false" outlineLevel="0" collapsed="false">
      <c r="A1304" s="32" t="str">
        <f aca="false">IF(OR(TRIM(C1304)="",SUBSTITUTE(C1304," ","")="소계"),"제외",IF(ISNUMBER(SEARCH("홍콩",C1304)),"HK",IF(ISNUMBER(SEARCH("상해",C1304)),"CN",IF(ISNUMBER(SEARCH("대만",C1304)),"TW","홀세일"))))</f>
        <v>홀세일</v>
      </c>
      <c r="B1304" s="36" t="s">
        <v>1394</v>
      </c>
      <c r="C1304" s="36" t="s">
        <v>1395</v>
      </c>
      <c r="D1304" s="37" t="s">
        <v>123</v>
      </c>
      <c r="E1304" s="36" t="n">
        <v>2026</v>
      </c>
      <c r="F1304" s="36" t="s">
        <v>110</v>
      </c>
      <c r="G1304" s="37" t="s">
        <v>102</v>
      </c>
      <c r="H1304" s="36" t="s">
        <v>131</v>
      </c>
      <c r="I1304" s="36" t="s">
        <v>962</v>
      </c>
      <c r="J1304" s="37" t="s">
        <v>963</v>
      </c>
      <c r="K1304" s="38" t="n">
        <v>190</v>
      </c>
      <c r="L1304" s="38" t="n">
        <v>7410000</v>
      </c>
      <c r="M1304" s="38" t="n">
        <v>2970650</v>
      </c>
      <c r="N1304" s="39" t="n">
        <f aca="false">IF(A1304="제외",0,IF(OR(N(L1304)&lt;=0,N(M1304)&gt;N(L1304)),N(M1304)/요약!$D$27,N(L1304)))</f>
        <v>7410000</v>
      </c>
      <c r="O1304" s="32" t="str">
        <f aca="false">IF(A1304="제외","",IF(OR(N(L1304)&lt;=0,N(M1304)&gt;N(L1304)),"택가보정(판매금액÷공급율)",""))</f>
        <v/>
      </c>
      <c r="P1304" s="0" t="str">
        <f aca="false">IF(A1304="HK","100",IF(A1304="CN","200",IF(A1304="TW","300",IF(ISNUMBER(SEARCH("태국",C1304)),"500",IF(ISNUMBER(SEARCH("말레이",C1304)),"600",IF(ISNUMBER(SEARCH("필리핀",C1304)),"700",IF(ISNUMBER(SEARCH("인도네시아",C1304)),"800",IF(ISNUMBER(SEARCH("크루즈",C1304)),"810",IF(ISNUMBER(SEARCH("동물원",C1304)),"830","")))))))))</f>
        <v>700</v>
      </c>
    </row>
    <row r="1305" customFormat="false" ht="15" hidden="false" customHeight="false" outlineLevel="0" collapsed="false">
      <c r="A1305" s="32" t="str">
        <f aca="false">IF(OR(TRIM(C1305)="",SUBSTITUTE(C1305," ","")="소계"),"제외",IF(ISNUMBER(SEARCH("홍콩",C1305)),"HK",IF(ISNUMBER(SEARCH("상해",C1305)),"CN",IF(ISNUMBER(SEARCH("대만",C1305)),"TW","홀세일"))))</f>
        <v>홀세일</v>
      </c>
      <c r="B1305" s="36" t="s">
        <v>1394</v>
      </c>
      <c r="C1305" s="36" t="s">
        <v>1395</v>
      </c>
      <c r="D1305" s="37" t="s">
        <v>123</v>
      </c>
      <c r="E1305" s="36" t="n">
        <v>2026</v>
      </c>
      <c r="F1305" s="36" t="s">
        <v>110</v>
      </c>
      <c r="G1305" s="37" t="s">
        <v>102</v>
      </c>
      <c r="H1305" s="36" t="s">
        <v>131</v>
      </c>
      <c r="I1305" s="36" t="s">
        <v>964</v>
      </c>
      <c r="J1305" s="37" t="s">
        <v>965</v>
      </c>
      <c r="K1305" s="38" t="n">
        <v>190</v>
      </c>
      <c r="L1305" s="38" t="n">
        <v>9310000</v>
      </c>
      <c r="M1305" s="38" t="n">
        <v>3742050</v>
      </c>
      <c r="N1305" s="39" t="n">
        <f aca="false">IF(A1305="제외",0,IF(OR(N(L1305)&lt;=0,N(M1305)&gt;N(L1305)),N(M1305)/요약!$D$27,N(L1305)))</f>
        <v>9310000</v>
      </c>
      <c r="O1305" s="32" t="str">
        <f aca="false">IF(A1305="제외","",IF(OR(N(L1305)&lt;=0,N(M1305)&gt;N(L1305)),"택가보정(판매금액÷공급율)",""))</f>
        <v/>
      </c>
      <c r="P1305" s="0" t="str">
        <f aca="false">IF(A1305="HK","100",IF(A1305="CN","200",IF(A1305="TW","300",IF(ISNUMBER(SEARCH("태국",C1305)),"500",IF(ISNUMBER(SEARCH("말레이",C1305)),"600",IF(ISNUMBER(SEARCH("필리핀",C1305)),"700",IF(ISNUMBER(SEARCH("인도네시아",C1305)),"800",IF(ISNUMBER(SEARCH("크루즈",C1305)),"810",IF(ISNUMBER(SEARCH("동물원",C1305)),"830","")))))))))</f>
        <v>700</v>
      </c>
    </row>
    <row r="1306" customFormat="false" ht="15" hidden="false" customHeight="false" outlineLevel="0" collapsed="false">
      <c r="A1306" s="32" t="str">
        <f aca="false">IF(OR(TRIM(C1306)="",SUBSTITUTE(C1306," ","")="소계"),"제외",IF(ISNUMBER(SEARCH("홍콩",C1306)),"HK",IF(ISNUMBER(SEARCH("상해",C1306)),"CN",IF(ISNUMBER(SEARCH("대만",C1306)),"TW","홀세일"))))</f>
        <v>홀세일</v>
      </c>
      <c r="B1306" s="36" t="s">
        <v>1394</v>
      </c>
      <c r="C1306" s="36" t="s">
        <v>1395</v>
      </c>
      <c r="D1306" s="37" t="s">
        <v>123</v>
      </c>
      <c r="E1306" s="36" t="n">
        <v>2026</v>
      </c>
      <c r="F1306" s="36" t="s">
        <v>110</v>
      </c>
      <c r="G1306" s="37" t="s">
        <v>102</v>
      </c>
      <c r="H1306" s="36" t="s">
        <v>131</v>
      </c>
      <c r="I1306" s="36" t="s">
        <v>1423</v>
      </c>
      <c r="J1306" s="37" t="s">
        <v>1424</v>
      </c>
      <c r="K1306" s="38" t="n">
        <v>190</v>
      </c>
      <c r="L1306" s="38" t="n">
        <v>11210000</v>
      </c>
      <c r="M1306" s="38" t="n">
        <v>4484570</v>
      </c>
      <c r="N1306" s="39" t="n">
        <f aca="false">IF(A1306="제외",0,IF(OR(N(L1306)&lt;=0,N(M1306)&gt;N(L1306)),N(M1306)/요약!$D$27,N(L1306)))</f>
        <v>11210000</v>
      </c>
      <c r="O1306" s="32" t="str">
        <f aca="false">IF(A1306="제외","",IF(OR(N(L1306)&lt;=0,N(M1306)&gt;N(L1306)),"택가보정(판매금액÷공급율)",""))</f>
        <v/>
      </c>
      <c r="P1306" s="0" t="str">
        <f aca="false">IF(A1306="HK","100",IF(A1306="CN","200",IF(A1306="TW","300",IF(ISNUMBER(SEARCH("태국",C1306)),"500",IF(ISNUMBER(SEARCH("말레이",C1306)),"600",IF(ISNUMBER(SEARCH("필리핀",C1306)),"700",IF(ISNUMBER(SEARCH("인도네시아",C1306)),"800",IF(ISNUMBER(SEARCH("크루즈",C1306)),"810",IF(ISNUMBER(SEARCH("동물원",C1306)),"830","")))))))))</f>
        <v>700</v>
      </c>
    </row>
    <row r="1307" customFormat="false" ht="15" hidden="false" customHeight="false" outlineLevel="0" collapsed="false">
      <c r="A1307" s="32" t="str">
        <f aca="false">IF(OR(TRIM(C1307)="",SUBSTITUTE(C1307," ","")="소계"),"제외",IF(ISNUMBER(SEARCH("홍콩",C1307)),"HK",IF(ISNUMBER(SEARCH("상해",C1307)),"CN",IF(ISNUMBER(SEARCH("대만",C1307)),"TW","홀세일"))))</f>
        <v>홀세일</v>
      </c>
      <c r="B1307" s="36" t="s">
        <v>1394</v>
      </c>
      <c r="C1307" s="36" t="s">
        <v>1395</v>
      </c>
      <c r="D1307" s="37" t="s">
        <v>123</v>
      </c>
      <c r="E1307" s="36" t="n">
        <v>2026</v>
      </c>
      <c r="F1307" s="36" t="s">
        <v>110</v>
      </c>
      <c r="G1307" s="37" t="s">
        <v>102</v>
      </c>
      <c r="H1307" s="36" t="s">
        <v>131</v>
      </c>
      <c r="I1307" s="36" t="s">
        <v>966</v>
      </c>
      <c r="J1307" s="37" t="s">
        <v>967</v>
      </c>
      <c r="K1307" s="38" t="n">
        <v>90</v>
      </c>
      <c r="L1307" s="38" t="n">
        <v>5310000</v>
      </c>
      <c r="M1307" s="38" t="n">
        <v>2124270</v>
      </c>
      <c r="N1307" s="39" t="n">
        <f aca="false">IF(A1307="제외",0,IF(OR(N(L1307)&lt;=0,N(M1307)&gt;N(L1307)),N(M1307)/요약!$D$27,N(L1307)))</f>
        <v>5310000</v>
      </c>
      <c r="O1307" s="32" t="str">
        <f aca="false">IF(A1307="제외","",IF(OR(N(L1307)&lt;=0,N(M1307)&gt;N(L1307)),"택가보정(판매금액÷공급율)",""))</f>
        <v/>
      </c>
      <c r="P1307" s="0" t="str">
        <f aca="false">IF(A1307="HK","100",IF(A1307="CN","200",IF(A1307="TW","300",IF(ISNUMBER(SEARCH("태국",C1307)),"500",IF(ISNUMBER(SEARCH("말레이",C1307)),"600",IF(ISNUMBER(SEARCH("필리핀",C1307)),"700",IF(ISNUMBER(SEARCH("인도네시아",C1307)),"800",IF(ISNUMBER(SEARCH("크루즈",C1307)),"810",IF(ISNUMBER(SEARCH("동물원",C1307)),"830","")))))))))</f>
        <v>700</v>
      </c>
    </row>
    <row r="1308" customFormat="false" ht="15" hidden="false" customHeight="false" outlineLevel="0" collapsed="false">
      <c r="A1308" s="32" t="str">
        <f aca="false">IF(OR(TRIM(C1308)="",SUBSTITUTE(C1308," ","")="소계"),"제외",IF(ISNUMBER(SEARCH("홍콩",C1308)),"HK",IF(ISNUMBER(SEARCH("상해",C1308)),"CN",IF(ISNUMBER(SEARCH("대만",C1308)),"TW","홀세일"))))</f>
        <v>홀세일</v>
      </c>
      <c r="B1308" s="36" t="s">
        <v>1394</v>
      </c>
      <c r="C1308" s="36" t="s">
        <v>1395</v>
      </c>
      <c r="D1308" s="37" t="s">
        <v>123</v>
      </c>
      <c r="E1308" s="36" t="n">
        <v>2026</v>
      </c>
      <c r="F1308" s="36" t="s">
        <v>110</v>
      </c>
      <c r="G1308" s="37" t="s">
        <v>102</v>
      </c>
      <c r="H1308" s="36" t="s">
        <v>125</v>
      </c>
      <c r="I1308" s="36" t="s">
        <v>1425</v>
      </c>
      <c r="J1308" s="37" t="s">
        <v>1426</v>
      </c>
      <c r="K1308" s="38" t="n">
        <v>101</v>
      </c>
      <c r="L1308" s="38" t="n">
        <v>8989000</v>
      </c>
      <c r="M1308" s="38" t="n">
        <v>3466701</v>
      </c>
      <c r="N1308" s="39" t="n">
        <f aca="false">IF(A1308="제외",0,IF(OR(N(L1308)&lt;=0,N(M1308)&gt;N(L1308)),N(M1308)/요약!$D$27,N(L1308)))</f>
        <v>8989000</v>
      </c>
      <c r="O1308" s="32" t="str">
        <f aca="false">IF(A1308="제외","",IF(OR(N(L1308)&lt;=0,N(M1308)&gt;N(L1308)),"택가보정(판매금액÷공급율)",""))</f>
        <v/>
      </c>
      <c r="P1308" s="0" t="str">
        <f aca="false">IF(A1308="HK","100",IF(A1308="CN","200",IF(A1308="TW","300",IF(ISNUMBER(SEARCH("태국",C1308)),"500",IF(ISNUMBER(SEARCH("말레이",C1308)),"600",IF(ISNUMBER(SEARCH("필리핀",C1308)),"700",IF(ISNUMBER(SEARCH("인도네시아",C1308)),"800",IF(ISNUMBER(SEARCH("크루즈",C1308)),"810",IF(ISNUMBER(SEARCH("동물원",C1308)),"830","")))))))))</f>
        <v>700</v>
      </c>
    </row>
    <row r="1309" customFormat="false" ht="15" hidden="false" customHeight="false" outlineLevel="0" collapsed="false">
      <c r="A1309" s="32" t="str">
        <f aca="false">IF(OR(TRIM(C1309)="",SUBSTITUTE(C1309," ","")="소계"),"제외",IF(ISNUMBER(SEARCH("홍콩",C1309)),"HK",IF(ISNUMBER(SEARCH("상해",C1309)),"CN",IF(ISNUMBER(SEARCH("대만",C1309)),"TW","홀세일"))))</f>
        <v>홀세일</v>
      </c>
      <c r="B1309" s="36" t="s">
        <v>1394</v>
      </c>
      <c r="C1309" s="36" t="s">
        <v>1395</v>
      </c>
      <c r="D1309" s="37" t="s">
        <v>123</v>
      </c>
      <c r="E1309" s="36" t="n">
        <v>2026</v>
      </c>
      <c r="F1309" s="36" t="s">
        <v>110</v>
      </c>
      <c r="G1309" s="37" t="s">
        <v>102</v>
      </c>
      <c r="H1309" s="36" t="s">
        <v>125</v>
      </c>
      <c r="I1309" s="36" t="s">
        <v>1358</v>
      </c>
      <c r="J1309" s="37" t="s">
        <v>1359</v>
      </c>
      <c r="K1309" s="38" t="n">
        <v>101</v>
      </c>
      <c r="L1309" s="38" t="n">
        <v>8989000</v>
      </c>
      <c r="M1309" s="38" t="n">
        <v>3466701</v>
      </c>
      <c r="N1309" s="39" t="n">
        <f aca="false">IF(A1309="제외",0,IF(OR(N(L1309)&lt;=0,N(M1309)&gt;N(L1309)),N(M1309)/요약!$D$27,N(L1309)))</f>
        <v>8989000</v>
      </c>
      <c r="O1309" s="32" t="str">
        <f aca="false">IF(A1309="제외","",IF(OR(N(L1309)&lt;=0,N(M1309)&gt;N(L1309)),"택가보정(판매금액÷공급율)",""))</f>
        <v/>
      </c>
      <c r="P1309" s="0" t="str">
        <f aca="false">IF(A1309="HK","100",IF(A1309="CN","200",IF(A1309="TW","300",IF(ISNUMBER(SEARCH("태국",C1309)),"500",IF(ISNUMBER(SEARCH("말레이",C1309)),"600",IF(ISNUMBER(SEARCH("필리핀",C1309)),"700",IF(ISNUMBER(SEARCH("인도네시아",C1309)),"800",IF(ISNUMBER(SEARCH("크루즈",C1309)),"810",IF(ISNUMBER(SEARCH("동물원",C1309)),"830","")))))))))</f>
        <v>700</v>
      </c>
    </row>
    <row r="1310" customFormat="false" ht="15" hidden="false" customHeight="false" outlineLevel="0" collapsed="false">
      <c r="A1310" s="32" t="str">
        <f aca="false">IF(OR(TRIM(C1310)="",SUBSTITUTE(C1310," ","")="소계"),"제외",IF(ISNUMBER(SEARCH("홍콩",C1310)),"HK",IF(ISNUMBER(SEARCH("상해",C1310)),"CN",IF(ISNUMBER(SEARCH("대만",C1310)),"TW","홀세일"))))</f>
        <v>홀세일</v>
      </c>
      <c r="B1310" s="36" t="s">
        <v>1394</v>
      </c>
      <c r="C1310" s="36" t="s">
        <v>1395</v>
      </c>
      <c r="D1310" s="37" t="s">
        <v>123</v>
      </c>
      <c r="E1310" s="36" t="n">
        <v>2026</v>
      </c>
      <c r="F1310" s="36" t="s">
        <v>110</v>
      </c>
      <c r="G1310" s="37" t="s">
        <v>102</v>
      </c>
      <c r="H1310" s="36" t="s">
        <v>125</v>
      </c>
      <c r="I1310" s="36" t="s">
        <v>615</v>
      </c>
      <c r="J1310" s="36" t="s">
        <v>616</v>
      </c>
      <c r="K1310" s="38" t="n">
        <v>92</v>
      </c>
      <c r="L1310" s="38" t="n">
        <v>7268000</v>
      </c>
      <c r="M1310" s="38" t="n">
        <v>2797870</v>
      </c>
      <c r="N1310" s="39" t="n">
        <f aca="false">IF(A1310="제외",0,IF(OR(N(L1310)&lt;=0,N(M1310)&gt;N(L1310)),N(M1310)/요약!$D$27,N(L1310)))</f>
        <v>7268000</v>
      </c>
      <c r="O1310" s="32" t="str">
        <f aca="false">IF(A1310="제외","",IF(OR(N(L1310)&lt;=0,N(M1310)&gt;N(L1310)),"택가보정(판매금액÷공급율)",""))</f>
        <v/>
      </c>
      <c r="P1310" s="0" t="str">
        <f aca="false">IF(A1310="HK","100",IF(A1310="CN","200",IF(A1310="TW","300",IF(ISNUMBER(SEARCH("태국",C1310)),"500",IF(ISNUMBER(SEARCH("말레이",C1310)),"600",IF(ISNUMBER(SEARCH("필리핀",C1310)),"700",IF(ISNUMBER(SEARCH("인도네시아",C1310)),"800",IF(ISNUMBER(SEARCH("크루즈",C1310)),"810",IF(ISNUMBER(SEARCH("동물원",C1310)),"830","")))))))))</f>
        <v>700</v>
      </c>
    </row>
    <row r="1311" customFormat="false" ht="15" hidden="false" customHeight="false" outlineLevel="0" collapsed="false">
      <c r="A1311" s="32" t="str">
        <f aca="false">IF(OR(TRIM(C1311)="",SUBSTITUTE(C1311," ","")="소계"),"제외",IF(ISNUMBER(SEARCH("홍콩",C1311)),"HK",IF(ISNUMBER(SEARCH("상해",C1311)),"CN",IF(ISNUMBER(SEARCH("대만",C1311)),"TW","홀세일"))))</f>
        <v>홀세일</v>
      </c>
      <c r="B1311" s="36" t="s">
        <v>1394</v>
      </c>
      <c r="C1311" s="36" t="s">
        <v>1395</v>
      </c>
      <c r="D1311" s="37" t="s">
        <v>123</v>
      </c>
      <c r="E1311" s="36" t="n">
        <v>2026</v>
      </c>
      <c r="F1311" s="36" t="s">
        <v>110</v>
      </c>
      <c r="G1311" s="37" t="s">
        <v>102</v>
      </c>
      <c r="H1311" s="36" t="s">
        <v>125</v>
      </c>
      <c r="I1311" s="36" t="s">
        <v>1427</v>
      </c>
      <c r="J1311" s="36" t="s">
        <v>1428</v>
      </c>
      <c r="K1311" s="38" t="n">
        <v>62</v>
      </c>
      <c r="L1311" s="38" t="n">
        <v>4278000</v>
      </c>
      <c r="M1311" s="38" t="n">
        <v>1652046</v>
      </c>
      <c r="N1311" s="39" t="n">
        <f aca="false">IF(A1311="제외",0,IF(OR(N(L1311)&lt;=0,N(M1311)&gt;N(L1311)),N(M1311)/요약!$D$27,N(L1311)))</f>
        <v>4278000</v>
      </c>
      <c r="O1311" s="32" t="str">
        <f aca="false">IF(A1311="제외","",IF(OR(N(L1311)&lt;=0,N(M1311)&gt;N(L1311)),"택가보정(판매금액÷공급율)",""))</f>
        <v/>
      </c>
      <c r="P1311" s="0" t="str">
        <f aca="false">IF(A1311="HK","100",IF(A1311="CN","200",IF(A1311="TW","300",IF(ISNUMBER(SEARCH("태국",C1311)),"500",IF(ISNUMBER(SEARCH("말레이",C1311)),"600",IF(ISNUMBER(SEARCH("필리핀",C1311)),"700",IF(ISNUMBER(SEARCH("인도네시아",C1311)),"800",IF(ISNUMBER(SEARCH("크루즈",C1311)),"810",IF(ISNUMBER(SEARCH("동물원",C1311)),"830","")))))))))</f>
        <v>700</v>
      </c>
    </row>
    <row r="1312" customFormat="false" ht="15" hidden="false" customHeight="false" outlineLevel="0" collapsed="false">
      <c r="A1312" s="32" t="str">
        <f aca="false">IF(OR(TRIM(C1312)="",SUBSTITUTE(C1312," ","")="소계"),"제외",IF(ISNUMBER(SEARCH("홍콩",C1312)),"HK",IF(ISNUMBER(SEARCH("상해",C1312)),"CN",IF(ISNUMBER(SEARCH("대만",C1312)),"TW","홀세일"))))</f>
        <v>홀세일</v>
      </c>
      <c r="B1312" s="36" t="s">
        <v>1394</v>
      </c>
      <c r="C1312" s="36" t="s">
        <v>1395</v>
      </c>
      <c r="D1312" s="37" t="s">
        <v>123</v>
      </c>
      <c r="E1312" s="36" t="n">
        <v>2026</v>
      </c>
      <c r="F1312" s="36" t="s">
        <v>110</v>
      </c>
      <c r="G1312" s="37" t="s">
        <v>102</v>
      </c>
      <c r="H1312" s="36" t="s">
        <v>131</v>
      </c>
      <c r="I1312" s="36" t="s">
        <v>619</v>
      </c>
      <c r="J1312" s="37" t="s">
        <v>620</v>
      </c>
      <c r="K1312" s="38" t="n">
        <v>203</v>
      </c>
      <c r="L1312" s="38" t="n">
        <v>7917000</v>
      </c>
      <c r="M1312" s="38" t="n">
        <v>3090424</v>
      </c>
      <c r="N1312" s="39" t="n">
        <f aca="false">IF(A1312="제외",0,IF(OR(N(L1312)&lt;=0,N(M1312)&gt;N(L1312)),N(M1312)/요약!$D$27,N(L1312)))</f>
        <v>7917000</v>
      </c>
      <c r="O1312" s="32" t="str">
        <f aca="false">IF(A1312="제외","",IF(OR(N(L1312)&lt;=0,N(M1312)&gt;N(L1312)),"택가보정(판매금액÷공급율)",""))</f>
        <v/>
      </c>
      <c r="P1312" s="0" t="str">
        <f aca="false">IF(A1312="HK","100",IF(A1312="CN","200",IF(A1312="TW","300",IF(ISNUMBER(SEARCH("태국",C1312)),"500",IF(ISNUMBER(SEARCH("말레이",C1312)),"600",IF(ISNUMBER(SEARCH("필리핀",C1312)),"700",IF(ISNUMBER(SEARCH("인도네시아",C1312)),"800",IF(ISNUMBER(SEARCH("크루즈",C1312)),"810",IF(ISNUMBER(SEARCH("동물원",C1312)),"830","")))))))))</f>
        <v>700</v>
      </c>
    </row>
    <row r="1313" customFormat="false" ht="15" hidden="false" customHeight="false" outlineLevel="0" collapsed="false">
      <c r="A1313" s="32" t="str">
        <f aca="false">IF(OR(TRIM(C1313)="",SUBSTITUTE(C1313," ","")="소계"),"제외",IF(ISNUMBER(SEARCH("홍콩",C1313)),"HK",IF(ISNUMBER(SEARCH("상해",C1313)),"CN",IF(ISNUMBER(SEARCH("대만",C1313)),"TW","홀세일"))))</f>
        <v>홀세일</v>
      </c>
      <c r="B1313" s="36" t="s">
        <v>1394</v>
      </c>
      <c r="C1313" s="36" t="s">
        <v>1395</v>
      </c>
      <c r="D1313" s="37" t="s">
        <v>123</v>
      </c>
      <c r="E1313" s="36" t="n">
        <v>2026</v>
      </c>
      <c r="F1313" s="36" t="s">
        <v>110</v>
      </c>
      <c r="G1313" s="37" t="s">
        <v>102</v>
      </c>
      <c r="H1313" s="36" t="s">
        <v>131</v>
      </c>
      <c r="I1313" s="36" t="s">
        <v>621</v>
      </c>
      <c r="J1313" s="37" t="s">
        <v>622</v>
      </c>
      <c r="K1313" s="38" t="n">
        <v>642</v>
      </c>
      <c r="L1313" s="38" t="n">
        <v>25038000</v>
      </c>
      <c r="M1313" s="38" t="n">
        <v>9200176</v>
      </c>
      <c r="N1313" s="39" t="n">
        <f aca="false">IF(A1313="제외",0,IF(OR(N(L1313)&lt;=0,N(M1313)&gt;N(L1313)),N(M1313)/요약!$D$27,N(L1313)))</f>
        <v>25038000</v>
      </c>
      <c r="O1313" s="32" t="str">
        <f aca="false">IF(A1313="제외","",IF(OR(N(L1313)&lt;=0,N(M1313)&gt;N(L1313)),"택가보정(판매금액÷공급율)",""))</f>
        <v/>
      </c>
      <c r="P1313" s="0" t="str">
        <f aca="false">IF(A1313="HK","100",IF(A1313="CN","200",IF(A1313="TW","300",IF(ISNUMBER(SEARCH("태국",C1313)),"500",IF(ISNUMBER(SEARCH("말레이",C1313)),"600",IF(ISNUMBER(SEARCH("필리핀",C1313)),"700",IF(ISNUMBER(SEARCH("인도네시아",C1313)),"800",IF(ISNUMBER(SEARCH("크루즈",C1313)),"810",IF(ISNUMBER(SEARCH("동물원",C1313)),"830","")))))))))</f>
        <v>700</v>
      </c>
    </row>
    <row r="1314" customFormat="false" ht="15" hidden="false" customHeight="false" outlineLevel="0" collapsed="false">
      <c r="A1314" s="32" t="str">
        <f aca="false">IF(OR(TRIM(C1314)="",SUBSTITUTE(C1314," ","")="소계"),"제외",IF(ISNUMBER(SEARCH("홍콩",C1314)),"HK",IF(ISNUMBER(SEARCH("상해",C1314)),"CN",IF(ISNUMBER(SEARCH("대만",C1314)),"TW","홀세일"))))</f>
        <v>홀세일</v>
      </c>
      <c r="B1314" s="36" t="s">
        <v>1394</v>
      </c>
      <c r="C1314" s="36" t="s">
        <v>1395</v>
      </c>
      <c r="D1314" s="37" t="s">
        <v>123</v>
      </c>
      <c r="E1314" s="36" t="n">
        <v>2026</v>
      </c>
      <c r="F1314" s="36" t="s">
        <v>110</v>
      </c>
      <c r="G1314" s="37" t="s">
        <v>102</v>
      </c>
      <c r="H1314" s="36" t="s">
        <v>131</v>
      </c>
      <c r="I1314" s="36" t="s">
        <v>625</v>
      </c>
      <c r="J1314" s="37" t="s">
        <v>626</v>
      </c>
      <c r="K1314" s="38" t="n">
        <v>243</v>
      </c>
      <c r="L1314" s="38" t="n">
        <v>14337000</v>
      </c>
      <c r="M1314" s="38" t="n">
        <v>5584611</v>
      </c>
      <c r="N1314" s="39" t="n">
        <f aca="false">IF(A1314="제외",0,IF(OR(N(L1314)&lt;=0,N(M1314)&gt;N(L1314)),N(M1314)/요약!$D$27,N(L1314)))</f>
        <v>14337000</v>
      </c>
      <c r="O1314" s="32" t="str">
        <f aca="false">IF(A1314="제외","",IF(OR(N(L1314)&lt;=0,N(M1314)&gt;N(L1314)),"택가보정(판매금액÷공급율)",""))</f>
        <v/>
      </c>
      <c r="P1314" s="0" t="str">
        <f aca="false">IF(A1314="HK","100",IF(A1314="CN","200",IF(A1314="TW","300",IF(ISNUMBER(SEARCH("태국",C1314)),"500",IF(ISNUMBER(SEARCH("말레이",C1314)),"600",IF(ISNUMBER(SEARCH("필리핀",C1314)),"700",IF(ISNUMBER(SEARCH("인도네시아",C1314)),"800",IF(ISNUMBER(SEARCH("크루즈",C1314)),"810",IF(ISNUMBER(SEARCH("동물원",C1314)),"830","")))))))))</f>
        <v>700</v>
      </c>
    </row>
    <row r="1315" customFormat="false" ht="15" hidden="false" customHeight="false" outlineLevel="0" collapsed="false">
      <c r="A1315" s="32" t="str">
        <f aca="false">IF(OR(TRIM(C1315)="",SUBSTITUTE(C1315," ","")="소계"),"제외",IF(ISNUMBER(SEARCH("홍콩",C1315)),"HK",IF(ISNUMBER(SEARCH("상해",C1315)),"CN",IF(ISNUMBER(SEARCH("대만",C1315)),"TW","홀세일"))))</f>
        <v>홀세일</v>
      </c>
      <c r="B1315" s="36" t="s">
        <v>1394</v>
      </c>
      <c r="C1315" s="36" t="s">
        <v>1395</v>
      </c>
      <c r="D1315" s="37" t="s">
        <v>123</v>
      </c>
      <c r="E1315" s="36" t="n">
        <v>2026</v>
      </c>
      <c r="F1315" s="36" t="s">
        <v>110</v>
      </c>
      <c r="G1315" s="37" t="s">
        <v>102</v>
      </c>
      <c r="H1315" s="36" t="s">
        <v>131</v>
      </c>
      <c r="I1315" s="36" t="s">
        <v>627</v>
      </c>
      <c r="J1315" s="37" t="s">
        <v>628</v>
      </c>
      <c r="K1315" s="38" t="n">
        <v>121</v>
      </c>
      <c r="L1315" s="38" t="n">
        <v>9559000</v>
      </c>
      <c r="M1315" s="38" t="n">
        <v>3666905</v>
      </c>
      <c r="N1315" s="39" t="n">
        <f aca="false">IF(A1315="제외",0,IF(OR(N(L1315)&lt;=0,N(M1315)&gt;N(L1315)),N(M1315)/요약!$D$27,N(L1315)))</f>
        <v>9559000</v>
      </c>
      <c r="O1315" s="32" t="str">
        <f aca="false">IF(A1315="제외","",IF(OR(N(L1315)&lt;=0,N(M1315)&gt;N(L1315)),"택가보정(판매금액÷공급율)",""))</f>
        <v/>
      </c>
      <c r="P1315" s="0" t="str">
        <f aca="false">IF(A1315="HK","100",IF(A1315="CN","200",IF(A1315="TW","300",IF(ISNUMBER(SEARCH("태국",C1315)),"500",IF(ISNUMBER(SEARCH("말레이",C1315)),"600",IF(ISNUMBER(SEARCH("필리핀",C1315)),"700",IF(ISNUMBER(SEARCH("인도네시아",C1315)),"800",IF(ISNUMBER(SEARCH("크루즈",C1315)),"810",IF(ISNUMBER(SEARCH("동물원",C1315)),"830","")))))))))</f>
        <v>700</v>
      </c>
    </row>
    <row r="1316" customFormat="false" ht="15" hidden="false" customHeight="false" outlineLevel="0" collapsed="false">
      <c r="A1316" s="32" t="str">
        <f aca="false">IF(OR(TRIM(C1316)="",SUBSTITUTE(C1316," ","")="소계"),"제외",IF(ISNUMBER(SEARCH("홍콩",C1316)),"HK",IF(ISNUMBER(SEARCH("상해",C1316)),"CN",IF(ISNUMBER(SEARCH("대만",C1316)),"TW","홀세일"))))</f>
        <v>홀세일</v>
      </c>
      <c r="B1316" s="36" t="s">
        <v>1394</v>
      </c>
      <c r="C1316" s="36" t="s">
        <v>1395</v>
      </c>
      <c r="D1316" s="37" t="s">
        <v>123</v>
      </c>
      <c r="E1316" s="36" t="n">
        <v>2026</v>
      </c>
      <c r="F1316" s="36" t="s">
        <v>110</v>
      </c>
      <c r="G1316" s="37" t="s">
        <v>102</v>
      </c>
      <c r="H1316" s="36" t="s">
        <v>131</v>
      </c>
      <c r="I1316" s="36" t="s">
        <v>629</v>
      </c>
      <c r="J1316" s="37" t="s">
        <v>630</v>
      </c>
      <c r="K1316" s="38" t="n">
        <v>61</v>
      </c>
      <c r="L1316" s="38" t="n">
        <v>2989000</v>
      </c>
      <c r="M1316" s="38" t="n">
        <v>1176365</v>
      </c>
      <c r="N1316" s="39" t="n">
        <f aca="false">IF(A1316="제외",0,IF(OR(N(L1316)&lt;=0,N(M1316)&gt;N(L1316)),N(M1316)/요약!$D$27,N(L1316)))</f>
        <v>2989000</v>
      </c>
      <c r="O1316" s="32" t="str">
        <f aca="false">IF(A1316="제외","",IF(OR(N(L1316)&lt;=0,N(M1316)&gt;N(L1316)),"택가보정(판매금액÷공급율)",""))</f>
        <v/>
      </c>
      <c r="P1316" s="0" t="str">
        <f aca="false">IF(A1316="HK","100",IF(A1316="CN","200",IF(A1316="TW","300",IF(ISNUMBER(SEARCH("태국",C1316)),"500",IF(ISNUMBER(SEARCH("말레이",C1316)),"600",IF(ISNUMBER(SEARCH("필리핀",C1316)),"700",IF(ISNUMBER(SEARCH("인도네시아",C1316)),"800",IF(ISNUMBER(SEARCH("크루즈",C1316)),"810",IF(ISNUMBER(SEARCH("동물원",C1316)),"830","")))))))))</f>
        <v>700</v>
      </c>
    </row>
    <row r="1317" customFormat="false" ht="15" hidden="false" customHeight="false" outlineLevel="0" collapsed="false">
      <c r="A1317" s="32" t="str">
        <f aca="false">IF(OR(TRIM(C1317)="",SUBSTITUTE(C1317," ","")="소계"),"제외",IF(ISNUMBER(SEARCH("홍콩",C1317)),"HK",IF(ISNUMBER(SEARCH("상해",C1317)),"CN",IF(ISNUMBER(SEARCH("대만",C1317)),"TW","홀세일"))))</f>
        <v>홀세일</v>
      </c>
      <c r="B1317" s="36" t="s">
        <v>1394</v>
      </c>
      <c r="C1317" s="36" t="s">
        <v>1395</v>
      </c>
      <c r="D1317" s="37" t="s">
        <v>123</v>
      </c>
      <c r="E1317" s="36" t="n">
        <v>2026</v>
      </c>
      <c r="F1317" s="36" t="s">
        <v>110</v>
      </c>
      <c r="G1317" s="37" t="s">
        <v>102</v>
      </c>
      <c r="H1317" s="36" t="s">
        <v>131</v>
      </c>
      <c r="I1317" s="36" t="s">
        <v>631</v>
      </c>
      <c r="J1317" s="37" t="s">
        <v>632</v>
      </c>
      <c r="K1317" s="38" t="n">
        <v>122</v>
      </c>
      <c r="L1317" s="38" t="n">
        <v>7198000</v>
      </c>
      <c r="M1317" s="38" t="n">
        <v>2885594</v>
      </c>
      <c r="N1317" s="39" t="n">
        <f aca="false">IF(A1317="제외",0,IF(OR(N(L1317)&lt;=0,N(M1317)&gt;N(L1317)),N(M1317)/요약!$D$27,N(L1317)))</f>
        <v>7198000</v>
      </c>
      <c r="O1317" s="32" t="str">
        <f aca="false">IF(A1317="제외","",IF(OR(N(L1317)&lt;=0,N(M1317)&gt;N(L1317)),"택가보정(판매금액÷공급율)",""))</f>
        <v/>
      </c>
      <c r="P1317" s="0" t="str">
        <f aca="false">IF(A1317="HK","100",IF(A1317="CN","200",IF(A1317="TW","300",IF(ISNUMBER(SEARCH("태국",C1317)),"500",IF(ISNUMBER(SEARCH("말레이",C1317)),"600",IF(ISNUMBER(SEARCH("필리핀",C1317)),"700",IF(ISNUMBER(SEARCH("인도네시아",C1317)),"800",IF(ISNUMBER(SEARCH("크루즈",C1317)),"810",IF(ISNUMBER(SEARCH("동물원",C1317)),"830","")))))))))</f>
        <v>700</v>
      </c>
    </row>
    <row r="1318" customFormat="false" ht="15" hidden="false" customHeight="false" outlineLevel="0" collapsed="false">
      <c r="A1318" s="32" t="str">
        <f aca="false">IF(OR(TRIM(C1318)="",SUBSTITUTE(C1318," ","")="소계"),"제외",IF(ISNUMBER(SEARCH("홍콩",C1318)),"HK",IF(ISNUMBER(SEARCH("상해",C1318)),"CN",IF(ISNUMBER(SEARCH("대만",C1318)),"TW","홀세일"))))</f>
        <v>홀세일</v>
      </c>
      <c r="B1318" s="36" t="s">
        <v>1394</v>
      </c>
      <c r="C1318" s="36" t="s">
        <v>1395</v>
      </c>
      <c r="D1318" s="37" t="s">
        <v>123</v>
      </c>
      <c r="E1318" s="36" t="n">
        <v>2026</v>
      </c>
      <c r="F1318" s="36" t="s">
        <v>110</v>
      </c>
      <c r="G1318" s="37" t="s">
        <v>102</v>
      </c>
      <c r="H1318" s="36" t="s">
        <v>131</v>
      </c>
      <c r="I1318" s="36" t="s">
        <v>970</v>
      </c>
      <c r="J1318" s="37" t="s">
        <v>971</v>
      </c>
      <c r="K1318" s="38" t="n">
        <v>121</v>
      </c>
      <c r="L1318" s="38" t="n">
        <v>9559000</v>
      </c>
      <c r="M1318" s="38" t="n">
        <v>3719825</v>
      </c>
      <c r="N1318" s="39" t="n">
        <f aca="false">IF(A1318="제외",0,IF(OR(N(L1318)&lt;=0,N(M1318)&gt;N(L1318)),N(M1318)/요약!$D$27,N(L1318)))</f>
        <v>9559000</v>
      </c>
      <c r="O1318" s="32" t="str">
        <f aca="false">IF(A1318="제외","",IF(OR(N(L1318)&lt;=0,N(M1318)&gt;N(L1318)),"택가보정(판매금액÷공급율)",""))</f>
        <v/>
      </c>
      <c r="P1318" s="0" t="str">
        <f aca="false">IF(A1318="HK","100",IF(A1318="CN","200",IF(A1318="TW","300",IF(ISNUMBER(SEARCH("태국",C1318)),"500",IF(ISNUMBER(SEARCH("말레이",C1318)),"600",IF(ISNUMBER(SEARCH("필리핀",C1318)),"700",IF(ISNUMBER(SEARCH("인도네시아",C1318)),"800",IF(ISNUMBER(SEARCH("크루즈",C1318)),"810",IF(ISNUMBER(SEARCH("동물원",C1318)),"830","")))))))))</f>
        <v>700</v>
      </c>
    </row>
    <row r="1319" customFormat="false" ht="15" hidden="false" customHeight="false" outlineLevel="0" collapsed="false">
      <c r="A1319" s="32" t="str">
        <f aca="false">IF(OR(TRIM(C1319)="",SUBSTITUTE(C1319," ","")="소계"),"제외",IF(ISNUMBER(SEARCH("홍콩",C1319)),"HK",IF(ISNUMBER(SEARCH("상해",C1319)),"CN",IF(ISNUMBER(SEARCH("대만",C1319)),"TW","홀세일"))))</f>
        <v>홀세일</v>
      </c>
      <c r="B1319" s="36" t="s">
        <v>1394</v>
      </c>
      <c r="C1319" s="36" t="s">
        <v>1395</v>
      </c>
      <c r="D1319" s="37" t="s">
        <v>123</v>
      </c>
      <c r="E1319" s="36" t="n">
        <v>2026</v>
      </c>
      <c r="F1319" s="36" t="s">
        <v>110</v>
      </c>
      <c r="G1319" s="37" t="s">
        <v>102</v>
      </c>
      <c r="H1319" s="36" t="s">
        <v>131</v>
      </c>
      <c r="I1319" s="36" t="s">
        <v>1364</v>
      </c>
      <c r="J1319" s="36" t="s">
        <v>1365</v>
      </c>
      <c r="K1319" s="38" t="n">
        <v>122</v>
      </c>
      <c r="L1319" s="38" t="n">
        <v>9638000</v>
      </c>
      <c r="M1319" s="38" t="n">
        <v>3859810</v>
      </c>
      <c r="N1319" s="39" t="n">
        <f aca="false">IF(A1319="제외",0,IF(OR(N(L1319)&lt;=0,N(M1319)&gt;N(L1319)),N(M1319)/요약!$D$27,N(L1319)))</f>
        <v>9638000</v>
      </c>
      <c r="O1319" s="32" t="str">
        <f aca="false">IF(A1319="제외","",IF(OR(N(L1319)&lt;=0,N(M1319)&gt;N(L1319)),"택가보정(판매금액÷공급율)",""))</f>
        <v/>
      </c>
      <c r="P1319" s="0" t="str">
        <f aca="false">IF(A1319="HK","100",IF(A1319="CN","200",IF(A1319="TW","300",IF(ISNUMBER(SEARCH("태국",C1319)),"500",IF(ISNUMBER(SEARCH("말레이",C1319)),"600",IF(ISNUMBER(SEARCH("필리핀",C1319)),"700",IF(ISNUMBER(SEARCH("인도네시아",C1319)),"800",IF(ISNUMBER(SEARCH("크루즈",C1319)),"810",IF(ISNUMBER(SEARCH("동물원",C1319)),"830","")))))))))</f>
        <v>700</v>
      </c>
    </row>
    <row r="1320" customFormat="false" ht="15" hidden="false" customHeight="false" outlineLevel="0" collapsed="false">
      <c r="A1320" s="32" t="str">
        <f aca="false">IF(OR(TRIM(C1320)="",SUBSTITUTE(C1320," ","")="소계"),"제외",IF(ISNUMBER(SEARCH("홍콩",C1320)),"HK",IF(ISNUMBER(SEARCH("상해",C1320)),"CN",IF(ISNUMBER(SEARCH("대만",C1320)),"TW","홀세일"))))</f>
        <v>홀세일</v>
      </c>
      <c r="B1320" s="36" t="s">
        <v>1394</v>
      </c>
      <c r="C1320" s="36" t="s">
        <v>1395</v>
      </c>
      <c r="D1320" s="37" t="s">
        <v>123</v>
      </c>
      <c r="E1320" s="36" t="n">
        <v>2026</v>
      </c>
      <c r="F1320" s="36" t="s">
        <v>110</v>
      </c>
      <c r="G1320" s="37" t="s">
        <v>102</v>
      </c>
      <c r="H1320" s="36" t="s">
        <v>131</v>
      </c>
      <c r="I1320" s="36" t="s">
        <v>1109</v>
      </c>
      <c r="J1320" s="37" t="s">
        <v>1110</v>
      </c>
      <c r="K1320" s="38" t="n">
        <v>81</v>
      </c>
      <c r="L1320" s="38" t="n">
        <v>7209000</v>
      </c>
      <c r="M1320" s="38" t="n">
        <v>2770281</v>
      </c>
      <c r="N1320" s="39" t="n">
        <f aca="false">IF(A1320="제외",0,IF(OR(N(L1320)&lt;=0,N(M1320)&gt;N(L1320)),N(M1320)/요약!$D$27,N(L1320)))</f>
        <v>7209000</v>
      </c>
      <c r="O1320" s="32" t="str">
        <f aca="false">IF(A1320="제외","",IF(OR(N(L1320)&lt;=0,N(M1320)&gt;N(L1320)),"택가보정(판매금액÷공급율)",""))</f>
        <v/>
      </c>
      <c r="P1320" s="0" t="str">
        <f aca="false">IF(A1320="HK","100",IF(A1320="CN","200",IF(A1320="TW","300",IF(ISNUMBER(SEARCH("태국",C1320)),"500",IF(ISNUMBER(SEARCH("말레이",C1320)),"600",IF(ISNUMBER(SEARCH("필리핀",C1320)),"700",IF(ISNUMBER(SEARCH("인도네시아",C1320)),"800",IF(ISNUMBER(SEARCH("크루즈",C1320)),"810",IF(ISNUMBER(SEARCH("동물원",C1320)),"830","")))))))))</f>
        <v>700</v>
      </c>
    </row>
    <row r="1321" customFormat="false" ht="15" hidden="false" customHeight="false" outlineLevel="0" collapsed="false">
      <c r="A1321" s="32" t="str">
        <f aca="false">IF(OR(TRIM(C1321)="",SUBSTITUTE(C1321," ","")="소계"),"제외",IF(ISNUMBER(SEARCH("홍콩",C1321)),"HK",IF(ISNUMBER(SEARCH("상해",C1321)),"CN",IF(ISNUMBER(SEARCH("대만",C1321)),"TW","홀세일"))))</f>
        <v>홀세일</v>
      </c>
      <c r="B1321" s="36" t="s">
        <v>1394</v>
      </c>
      <c r="C1321" s="36" t="s">
        <v>1395</v>
      </c>
      <c r="D1321" s="37" t="s">
        <v>123</v>
      </c>
      <c r="E1321" s="36" t="n">
        <v>2026</v>
      </c>
      <c r="F1321" s="36" t="s">
        <v>110</v>
      </c>
      <c r="G1321" s="37" t="s">
        <v>102</v>
      </c>
      <c r="H1321" s="36" t="s">
        <v>131</v>
      </c>
      <c r="I1321" s="36" t="s">
        <v>633</v>
      </c>
      <c r="J1321" s="37" t="s">
        <v>634</v>
      </c>
      <c r="K1321" s="38" t="n">
        <v>122</v>
      </c>
      <c r="L1321" s="38" t="n">
        <v>9638000</v>
      </c>
      <c r="M1321" s="38" t="n">
        <v>3830530</v>
      </c>
      <c r="N1321" s="39" t="n">
        <f aca="false">IF(A1321="제외",0,IF(OR(N(L1321)&lt;=0,N(M1321)&gt;N(L1321)),N(M1321)/요약!$D$27,N(L1321)))</f>
        <v>9638000</v>
      </c>
      <c r="O1321" s="32" t="str">
        <f aca="false">IF(A1321="제외","",IF(OR(N(L1321)&lt;=0,N(M1321)&gt;N(L1321)),"택가보정(판매금액÷공급율)",""))</f>
        <v/>
      </c>
      <c r="P1321" s="0" t="str">
        <f aca="false">IF(A1321="HK","100",IF(A1321="CN","200",IF(A1321="TW","300",IF(ISNUMBER(SEARCH("태국",C1321)),"500",IF(ISNUMBER(SEARCH("말레이",C1321)),"600",IF(ISNUMBER(SEARCH("필리핀",C1321)),"700",IF(ISNUMBER(SEARCH("인도네시아",C1321)),"800",IF(ISNUMBER(SEARCH("크루즈",C1321)),"810",IF(ISNUMBER(SEARCH("동물원",C1321)),"830","")))))))))</f>
        <v>700</v>
      </c>
    </row>
    <row r="1322" customFormat="false" ht="15" hidden="false" customHeight="false" outlineLevel="0" collapsed="false">
      <c r="A1322" s="32" t="str">
        <f aca="false">IF(OR(TRIM(C1322)="",SUBSTITUTE(C1322," ","")="소계"),"제외",IF(ISNUMBER(SEARCH("홍콩",C1322)),"HK",IF(ISNUMBER(SEARCH("상해",C1322)),"CN",IF(ISNUMBER(SEARCH("대만",C1322)),"TW","홀세일"))))</f>
        <v>홀세일</v>
      </c>
      <c r="B1322" s="36" t="s">
        <v>1394</v>
      </c>
      <c r="C1322" s="36" t="s">
        <v>1395</v>
      </c>
      <c r="D1322" s="37" t="s">
        <v>123</v>
      </c>
      <c r="E1322" s="36" t="n">
        <v>2026</v>
      </c>
      <c r="F1322" s="36" t="s">
        <v>110</v>
      </c>
      <c r="G1322" s="37" t="s">
        <v>102</v>
      </c>
      <c r="H1322" s="36" t="s">
        <v>131</v>
      </c>
      <c r="I1322" s="36" t="s">
        <v>635</v>
      </c>
      <c r="J1322" s="37" t="s">
        <v>636</v>
      </c>
      <c r="K1322" s="38" t="n">
        <v>122</v>
      </c>
      <c r="L1322" s="38" t="n">
        <v>2562000</v>
      </c>
      <c r="M1322" s="38" t="n">
        <v>985882</v>
      </c>
      <c r="N1322" s="39" t="n">
        <f aca="false">IF(A1322="제외",0,IF(OR(N(L1322)&lt;=0,N(M1322)&gt;N(L1322)),N(M1322)/요약!$D$27,N(L1322)))</f>
        <v>2562000</v>
      </c>
      <c r="O1322" s="32" t="str">
        <f aca="false">IF(A1322="제외","",IF(OR(N(L1322)&lt;=0,N(M1322)&gt;N(L1322)),"택가보정(판매금액÷공급율)",""))</f>
        <v/>
      </c>
      <c r="P1322" s="0" t="str">
        <f aca="false">IF(A1322="HK","100",IF(A1322="CN","200",IF(A1322="TW","300",IF(ISNUMBER(SEARCH("태국",C1322)),"500",IF(ISNUMBER(SEARCH("말레이",C1322)),"600",IF(ISNUMBER(SEARCH("필리핀",C1322)),"700",IF(ISNUMBER(SEARCH("인도네시아",C1322)),"800",IF(ISNUMBER(SEARCH("크루즈",C1322)),"810",IF(ISNUMBER(SEARCH("동물원",C1322)),"830","")))))))))</f>
        <v>700</v>
      </c>
    </row>
    <row r="1323" customFormat="false" ht="15" hidden="false" customHeight="false" outlineLevel="0" collapsed="false">
      <c r="A1323" s="32" t="str">
        <f aca="false">IF(OR(TRIM(C1323)="",SUBSTITUTE(C1323," ","")="소계"),"제외",IF(ISNUMBER(SEARCH("홍콩",C1323)),"HK",IF(ISNUMBER(SEARCH("상해",C1323)),"CN",IF(ISNUMBER(SEARCH("대만",C1323)),"TW","홀세일"))))</f>
        <v>홀세일</v>
      </c>
      <c r="B1323" s="36" t="s">
        <v>1394</v>
      </c>
      <c r="C1323" s="36" t="s">
        <v>1395</v>
      </c>
      <c r="D1323" s="37" t="s">
        <v>123</v>
      </c>
      <c r="E1323" s="36" t="n">
        <v>2026</v>
      </c>
      <c r="F1323" s="36" t="s">
        <v>110</v>
      </c>
      <c r="G1323" s="37" t="s">
        <v>102</v>
      </c>
      <c r="H1323" s="36" t="s">
        <v>131</v>
      </c>
      <c r="I1323" s="36" t="s">
        <v>645</v>
      </c>
      <c r="J1323" s="37" t="s">
        <v>646</v>
      </c>
      <c r="K1323" s="38" t="n">
        <v>102</v>
      </c>
      <c r="L1323" s="38" t="n">
        <v>13158000</v>
      </c>
      <c r="M1323" s="38" t="n">
        <v>5230296</v>
      </c>
      <c r="N1323" s="39" t="n">
        <f aca="false">IF(A1323="제외",0,IF(OR(N(L1323)&lt;=0,N(M1323)&gt;N(L1323)),N(M1323)/요약!$D$27,N(L1323)))</f>
        <v>13158000</v>
      </c>
      <c r="O1323" s="32" t="str">
        <f aca="false">IF(A1323="제외","",IF(OR(N(L1323)&lt;=0,N(M1323)&gt;N(L1323)),"택가보정(판매금액÷공급율)",""))</f>
        <v/>
      </c>
      <c r="P1323" s="0" t="str">
        <f aca="false">IF(A1323="HK","100",IF(A1323="CN","200",IF(A1323="TW","300",IF(ISNUMBER(SEARCH("태국",C1323)),"500",IF(ISNUMBER(SEARCH("말레이",C1323)),"600",IF(ISNUMBER(SEARCH("필리핀",C1323)),"700",IF(ISNUMBER(SEARCH("인도네시아",C1323)),"800",IF(ISNUMBER(SEARCH("크루즈",C1323)),"810",IF(ISNUMBER(SEARCH("동물원",C1323)),"830","")))))))))</f>
        <v>700</v>
      </c>
    </row>
    <row r="1324" customFormat="false" ht="15" hidden="false" customHeight="false" outlineLevel="0" collapsed="false">
      <c r="A1324" s="32" t="str">
        <f aca="false">IF(OR(TRIM(C1324)="",SUBSTITUTE(C1324," ","")="소계"),"제외",IF(ISNUMBER(SEARCH("홍콩",C1324)),"HK",IF(ISNUMBER(SEARCH("상해",C1324)),"CN",IF(ISNUMBER(SEARCH("대만",C1324)),"TW","홀세일"))))</f>
        <v>홀세일</v>
      </c>
      <c r="B1324" s="36" t="s">
        <v>1394</v>
      </c>
      <c r="C1324" s="36" t="s">
        <v>1395</v>
      </c>
      <c r="D1324" s="37" t="s">
        <v>123</v>
      </c>
      <c r="E1324" s="36" t="n">
        <v>2026</v>
      </c>
      <c r="F1324" s="36" t="s">
        <v>110</v>
      </c>
      <c r="G1324" s="37" t="s">
        <v>102</v>
      </c>
      <c r="H1324" s="36" t="s">
        <v>131</v>
      </c>
      <c r="I1324" s="36" t="s">
        <v>647</v>
      </c>
      <c r="J1324" s="37" t="s">
        <v>648</v>
      </c>
      <c r="K1324" s="38" t="n">
        <v>122</v>
      </c>
      <c r="L1324" s="38" t="n">
        <v>15738000</v>
      </c>
      <c r="M1324" s="38" t="n">
        <v>6256556</v>
      </c>
      <c r="N1324" s="39" t="n">
        <f aca="false">IF(A1324="제외",0,IF(OR(N(L1324)&lt;=0,N(M1324)&gt;N(L1324)),N(M1324)/요약!$D$27,N(L1324)))</f>
        <v>15738000</v>
      </c>
      <c r="O1324" s="32" t="str">
        <f aca="false">IF(A1324="제외","",IF(OR(N(L1324)&lt;=0,N(M1324)&gt;N(L1324)),"택가보정(판매금액÷공급율)",""))</f>
        <v/>
      </c>
      <c r="P1324" s="0" t="str">
        <f aca="false">IF(A1324="HK","100",IF(A1324="CN","200",IF(A1324="TW","300",IF(ISNUMBER(SEARCH("태국",C1324)),"500",IF(ISNUMBER(SEARCH("말레이",C1324)),"600",IF(ISNUMBER(SEARCH("필리핀",C1324)),"700",IF(ISNUMBER(SEARCH("인도네시아",C1324)),"800",IF(ISNUMBER(SEARCH("크루즈",C1324)),"810",IF(ISNUMBER(SEARCH("동물원",C1324)),"830","")))))))))</f>
        <v>700</v>
      </c>
    </row>
    <row r="1325" customFormat="false" ht="15" hidden="false" customHeight="false" outlineLevel="0" collapsed="false">
      <c r="A1325" s="32" t="str">
        <f aca="false">IF(OR(TRIM(C1325)="",SUBSTITUTE(C1325," ","")="소계"),"제외",IF(ISNUMBER(SEARCH("홍콩",C1325)),"HK",IF(ISNUMBER(SEARCH("상해",C1325)),"CN",IF(ISNUMBER(SEARCH("대만",C1325)),"TW","홀세일"))))</f>
        <v>홀세일</v>
      </c>
      <c r="B1325" s="36" t="s">
        <v>1394</v>
      </c>
      <c r="C1325" s="36" t="s">
        <v>1395</v>
      </c>
      <c r="D1325" s="37" t="s">
        <v>123</v>
      </c>
      <c r="E1325" s="36" t="n">
        <v>2026</v>
      </c>
      <c r="F1325" s="36" t="s">
        <v>110</v>
      </c>
      <c r="G1325" s="37" t="s">
        <v>102</v>
      </c>
      <c r="H1325" s="36" t="s">
        <v>131</v>
      </c>
      <c r="I1325" s="36" t="s">
        <v>1429</v>
      </c>
      <c r="J1325" s="37" t="s">
        <v>1430</v>
      </c>
      <c r="K1325" s="38" t="n">
        <v>62</v>
      </c>
      <c r="L1325" s="38" t="n">
        <v>2418000</v>
      </c>
      <c r="M1325" s="38" t="n">
        <v>933736</v>
      </c>
      <c r="N1325" s="39" t="n">
        <f aca="false">IF(A1325="제외",0,IF(OR(N(L1325)&lt;=0,N(M1325)&gt;N(L1325)),N(M1325)/요약!$D$27,N(L1325)))</f>
        <v>2418000</v>
      </c>
      <c r="O1325" s="32" t="str">
        <f aca="false">IF(A1325="제외","",IF(OR(N(L1325)&lt;=0,N(M1325)&gt;N(L1325)),"택가보정(판매금액÷공급율)",""))</f>
        <v/>
      </c>
      <c r="P1325" s="0" t="str">
        <f aca="false">IF(A1325="HK","100",IF(A1325="CN","200",IF(A1325="TW","300",IF(ISNUMBER(SEARCH("태국",C1325)),"500",IF(ISNUMBER(SEARCH("말레이",C1325)),"600",IF(ISNUMBER(SEARCH("필리핀",C1325)),"700",IF(ISNUMBER(SEARCH("인도네시아",C1325)),"800",IF(ISNUMBER(SEARCH("크루즈",C1325)),"810",IF(ISNUMBER(SEARCH("동물원",C1325)),"830","")))))))))</f>
        <v>700</v>
      </c>
    </row>
    <row r="1326" customFormat="false" ht="15" hidden="false" customHeight="false" outlineLevel="0" collapsed="false">
      <c r="A1326" s="32" t="str">
        <f aca="false">IF(OR(TRIM(C1326)="",SUBSTITUTE(C1326," ","")="소계"),"제외",IF(ISNUMBER(SEARCH("홍콩",C1326)),"HK",IF(ISNUMBER(SEARCH("상해",C1326)),"CN",IF(ISNUMBER(SEARCH("대만",C1326)),"TW","홀세일"))))</f>
        <v>홀세일</v>
      </c>
      <c r="B1326" s="36" t="s">
        <v>1394</v>
      </c>
      <c r="C1326" s="36" t="s">
        <v>1395</v>
      </c>
      <c r="D1326" s="37" t="s">
        <v>123</v>
      </c>
      <c r="E1326" s="36" t="n">
        <v>2026</v>
      </c>
      <c r="F1326" s="36" t="s">
        <v>110</v>
      </c>
      <c r="G1326" s="37" t="s">
        <v>770</v>
      </c>
      <c r="H1326" s="36" t="s">
        <v>131</v>
      </c>
      <c r="I1326" s="36" t="s">
        <v>1120</v>
      </c>
      <c r="J1326" s="37" t="s">
        <v>1121</v>
      </c>
      <c r="K1326" s="38" t="n">
        <v>30</v>
      </c>
      <c r="L1326" s="38" t="n">
        <v>10350000</v>
      </c>
      <c r="M1326" s="38" t="n">
        <v>5099910</v>
      </c>
      <c r="N1326" s="39" t="n">
        <f aca="false">IF(A1326="제외",0,IF(OR(N(L1326)&lt;=0,N(M1326)&gt;N(L1326)),N(M1326)/요약!$D$27,N(L1326)))</f>
        <v>10350000</v>
      </c>
      <c r="O1326" s="32" t="str">
        <f aca="false">IF(A1326="제외","",IF(OR(N(L1326)&lt;=0,N(M1326)&gt;N(L1326)),"택가보정(판매금액÷공급율)",""))</f>
        <v/>
      </c>
      <c r="P1326" s="0" t="str">
        <f aca="false">IF(A1326="HK","100",IF(A1326="CN","200",IF(A1326="TW","300",IF(ISNUMBER(SEARCH("태국",C1326)),"500",IF(ISNUMBER(SEARCH("말레이",C1326)),"600",IF(ISNUMBER(SEARCH("필리핀",C1326)),"700",IF(ISNUMBER(SEARCH("인도네시아",C1326)),"800",IF(ISNUMBER(SEARCH("크루즈",C1326)),"810",IF(ISNUMBER(SEARCH("동물원",C1326)),"830","")))))))))</f>
        <v>700</v>
      </c>
    </row>
    <row r="1327" customFormat="false" ht="15" hidden="false" customHeight="false" outlineLevel="0" collapsed="false">
      <c r="A1327" s="32" t="str">
        <f aca="false">IF(OR(TRIM(C1327)="",SUBSTITUTE(C1327," ","")="소계"),"제외",IF(ISNUMBER(SEARCH("홍콩",C1327)),"HK",IF(ISNUMBER(SEARCH("상해",C1327)),"CN",IF(ISNUMBER(SEARCH("대만",C1327)),"TW","홀세일"))))</f>
        <v>홀세일</v>
      </c>
      <c r="B1327" s="36" t="s">
        <v>1394</v>
      </c>
      <c r="C1327" s="36" t="s">
        <v>1395</v>
      </c>
      <c r="D1327" s="37" t="s">
        <v>123</v>
      </c>
      <c r="E1327" s="36" t="n">
        <v>2026</v>
      </c>
      <c r="F1327" s="36" t="s">
        <v>110</v>
      </c>
      <c r="G1327" s="37" t="s">
        <v>124</v>
      </c>
      <c r="H1327" s="36" t="s">
        <v>125</v>
      </c>
      <c r="I1327" s="36" t="s">
        <v>1431</v>
      </c>
      <c r="J1327" s="37" t="s">
        <v>1432</v>
      </c>
      <c r="K1327" s="38" t="n">
        <v>92</v>
      </c>
      <c r="L1327" s="38" t="n">
        <v>25668000</v>
      </c>
      <c r="M1327" s="38" t="n">
        <v>10040608</v>
      </c>
      <c r="N1327" s="39" t="n">
        <f aca="false">IF(A1327="제외",0,IF(OR(N(L1327)&lt;=0,N(M1327)&gt;N(L1327)),N(M1327)/요약!$D$27,N(L1327)))</f>
        <v>25668000</v>
      </c>
      <c r="O1327" s="32" t="str">
        <f aca="false">IF(A1327="제외","",IF(OR(N(L1327)&lt;=0,N(M1327)&gt;N(L1327)),"택가보정(판매금액÷공급율)",""))</f>
        <v/>
      </c>
      <c r="P1327" s="0" t="str">
        <f aca="false">IF(A1327="HK","100",IF(A1327="CN","200",IF(A1327="TW","300",IF(ISNUMBER(SEARCH("태국",C1327)),"500",IF(ISNUMBER(SEARCH("말레이",C1327)),"600",IF(ISNUMBER(SEARCH("필리핀",C1327)),"700",IF(ISNUMBER(SEARCH("인도네시아",C1327)),"800",IF(ISNUMBER(SEARCH("크루즈",C1327)),"810",IF(ISNUMBER(SEARCH("동물원",C1327)),"830","")))))))))</f>
        <v>700</v>
      </c>
    </row>
    <row r="1328" customFormat="false" ht="15" hidden="false" customHeight="false" outlineLevel="0" collapsed="false">
      <c r="A1328" s="32" t="str">
        <f aca="false">IF(OR(TRIM(C1328)="",SUBSTITUTE(C1328," ","")="소계"),"제외",IF(ISNUMBER(SEARCH("홍콩",C1328)),"HK",IF(ISNUMBER(SEARCH("상해",C1328)),"CN",IF(ISNUMBER(SEARCH("대만",C1328)),"TW","홀세일"))))</f>
        <v>홀세일</v>
      </c>
      <c r="B1328" s="36" t="s">
        <v>1394</v>
      </c>
      <c r="C1328" s="36" t="s">
        <v>1395</v>
      </c>
      <c r="D1328" s="37" t="s">
        <v>123</v>
      </c>
      <c r="E1328" s="36" t="n">
        <v>2026</v>
      </c>
      <c r="F1328" s="36" t="s">
        <v>110</v>
      </c>
      <c r="G1328" s="37" t="s">
        <v>124</v>
      </c>
      <c r="H1328" s="36" t="s">
        <v>125</v>
      </c>
      <c r="I1328" s="36" t="s">
        <v>1433</v>
      </c>
      <c r="J1328" s="37" t="s">
        <v>1434</v>
      </c>
      <c r="K1328" s="38" t="n">
        <v>122</v>
      </c>
      <c r="L1328" s="38" t="n">
        <v>36478000</v>
      </c>
      <c r="M1328" s="38" t="n">
        <v>14268684</v>
      </c>
      <c r="N1328" s="39" t="n">
        <f aca="false">IF(A1328="제외",0,IF(OR(N(L1328)&lt;=0,N(M1328)&gt;N(L1328)),N(M1328)/요약!$D$27,N(L1328)))</f>
        <v>36478000</v>
      </c>
      <c r="O1328" s="32" t="str">
        <f aca="false">IF(A1328="제외","",IF(OR(N(L1328)&lt;=0,N(M1328)&gt;N(L1328)),"택가보정(판매금액÷공급율)",""))</f>
        <v/>
      </c>
      <c r="P1328" s="0" t="str">
        <f aca="false">IF(A1328="HK","100",IF(A1328="CN","200",IF(A1328="TW","300",IF(ISNUMBER(SEARCH("태국",C1328)),"500",IF(ISNUMBER(SEARCH("말레이",C1328)),"600",IF(ISNUMBER(SEARCH("필리핀",C1328)),"700",IF(ISNUMBER(SEARCH("인도네시아",C1328)),"800",IF(ISNUMBER(SEARCH("크루즈",C1328)),"810",IF(ISNUMBER(SEARCH("동물원",C1328)),"830","")))))))))</f>
        <v>700</v>
      </c>
    </row>
    <row r="1329" customFormat="false" ht="15" hidden="false" customHeight="false" outlineLevel="0" collapsed="false">
      <c r="A1329" s="32" t="str">
        <f aca="false">IF(OR(TRIM(C1329)="",SUBSTITUTE(C1329," ","")="소계"),"제외",IF(ISNUMBER(SEARCH("홍콩",C1329)),"HK",IF(ISNUMBER(SEARCH("상해",C1329)),"CN",IF(ISNUMBER(SEARCH("대만",C1329)),"TW","홀세일"))))</f>
        <v>홀세일</v>
      </c>
      <c r="B1329" s="36" t="s">
        <v>1394</v>
      </c>
      <c r="C1329" s="36" t="s">
        <v>1395</v>
      </c>
      <c r="D1329" s="37" t="s">
        <v>123</v>
      </c>
      <c r="E1329" s="36" t="n">
        <v>2026</v>
      </c>
      <c r="F1329" s="36" t="s">
        <v>110</v>
      </c>
      <c r="G1329" s="37" t="s">
        <v>360</v>
      </c>
      <c r="H1329" s="36" t="s">
        <v>131</v>
      </c>
      <c r="I1329" s="36" t="s">
        <v>1435</v>
      </c>
      <c r="J1329" s="37" t="s">
        <v>1436</v>
      </c>
      <c r="K1329" s="38" t="n">
        <v>120</v>
      </c>
      <c r="L1329" s="38" t="n">
        <v>15480000</v>
      </c>
      <c r="M1329" s="38" t="n">
        <v>6589320</v>
      </c>
      <c r="N1329" s="39" t="n">
        <f aca="false">IF(A1329="제외",0,IF(OR(N(L1329)&lt;=0,N(M1329)&gt;N(L1329)),N(M1329)/요약!$D$27,N(L1329)))</f>
        <v>15480000</v>
      </c>
      <c r="O1329" s="32" t="str">
        <f aca="false">IF(A1329="제외","",IF(OR(N(L1329)&lt;=0,N(M1329)&gt;N(L1329)),"택가보정(판매금액÷공급율)",""))</f>
        <v/>
      </c>
      <c r="P1329" s="0" t="str">
        <f aca="false">IF(A1329="HK","100",IF(A1329="CN","200",IF(A1329="TW","300",IF(ISNUMBER(SEARCH("태국",C1329)),"500",IF(ISNUMBER(SEARCH("말레이",C1329)),"600",IF(ISNUMBER(SEARCH("필리핀",C1329)),"700",IF(ISNUMBER(SEARCH("인도네시아",C1329)),"800",IF(ISNUMBER(SEARCH("크루즈",C1329)),"810",IF(ISNUMBER(SEARCH("동물원",C1329)),"830","")))))))))</f>
        <v>700</v>
      </c>
    </row>
    <row r="1330" customFormat="false" ht="15" hidden="false" customHeight="false" outlineLevel="0" collapsed="false">
      <c r="A1330" s="32" t="str">
        <f aca="false">IF(OR(TRIM(C1330)="",SUBSTITUTE(C1330," ","")="소계"),"제외",IF(ISNUMBER(SEARCH("홍콩",C1330)),"HK",IF(ISNUMBER(SEARCH("상해",C1330)),"CN",IF(ISNUMBER(SEARCH("대만",C1330)),"TW","홀세일"))))</f>
        <v>홀세일</v>
      </c>
      <c r="B1330" s="36" t="s">
        <v>1394</v>
      </c>
      <c r="C1330" s="36" t="s">
        <v>1395</v>
      </c>
      <c r="D1330" s="37" t="s">
        <v>123</v>
      </c>
      <c r="E1330" s="36" t="n">
        <v>2026</v>
      </c>
      <c r="F1330" s="36" t="s">
        <v>110</v>
      </c>
      <c r="G1330" s="37" t="s">
        <v>360</v>
      </c>
      <c r="H1330" s="36" t="s">
        <v>131</v>
      </c>
      <c r="I1330" s="36" t="s">
        <v>1437</v>
      </c>
      <c r="J1330" s="37" t="s">
        <v>1438</v>
      </c>
      <c r="K1330" s="38" t="n">
        <v>60</v>
      </c>
      <c r="L1330" s="38" t="n">
        <v>7140000</v>
      </c>
      <c r="M1330" s="38" t="n">
        <v>3037800</v>
      </c>
      <c r="N1330" s="39" t="n">
        <f aca="false">IF(A1330="제외",0,IF(OR(N(L1330)&lt;=0,N(M1330)&gt;N(L1330)),N(M1330)/요약!$D$27,N(L1330)))</f>
        <v>7140000</v>
      </c>
      <c r="O1330" s="32" t="str">
        <f aca="false">IF(A1330="제외","",IF(OR(N(L1330)&lt;=0,N(M1330)&gt;N(L1330)),"택가보정(판매금액÷공급율)",""))</f>
        <v/>
      </c>
      <c r="P1330" s="0" t="str">
        <f aca="false">IF(A1330="HK","100",IF(A1330="CN","200",IF(A1330="TW","300",IF(ISNUMBER(SEARCH("태국",C1330)),"500",IF(ISNUMBER(SEARCH("말레이",C1330)),"600",IF(ISNUMBER(SEARCH("필리핀",C1330)),"700",IF(ISNUMBER(SEARCH("인도네시아",C1330)),"800",IF(ISNUMBER(SEARCH("크루즈",C1330)),"810",IF(ISNUMBER(SEARCH("동물원",C1330)),"830","")))))))))</f>
        <v>700</v>
      </c>
    </row>
    <row r="1331" customFormat="false" ht="15" hidden="false" customHeight="false" outlineLevel="0" collapsed="false">
      <c r="A1331" s="32" t="str">
        <f aca="false">IF(OR(TRIM(C1331)="",SUBSTITUTE(C1331," ","")="소계"),"제외",IF(ISNUMBER(SEARCH("홍콩",C1331)),"HK",IF(ISNUMBER(SEARCH("상해",C1331)),"CN",IF(ISNUMBER(SEARCH("대만",C1331)),"TW","홀세일"))))</f>
        <v>홀세일</v>
      </c>
      <c r="B1331" s="36" t="s">
        <v>1394</v>
      </c>
      <c r="C1331" s="36" t="s">
        <v>1395</v>
      </c>
      <c r="D1331" s="37" t="s">
        <v>123</v>
      </c>
      <c r="E1331" s="36" t="n">
        <v>2026</v>
      </c>
      <c r="F1331" s="36" t="s">
        <v>110</v>
      </c>
      <c r="G1331" s="37" t="s">
        <v>360</v>
      </c>
      <c r="H1331" s="36" t="s">
        <v>131</v>
      </c>
      <c r="I1331" s="36" t="s">
        <v>1439</v>
      </c>
      <c r="J1331" s="37" t="s">
        <v>1440</v>
      </c>
      <c r="K1331" s="38" t="n">
        <v>62</v>
      </c>
      <c r="L1331" s="38" t="n">
        <v>9238000</v>
      </c>
      <c r="M1331" s="38" t="n">
        <v>3587096</v>
      </c>
      <c r="N1331" s="39" t="n">
        <f aca="false">IF(A1331="제외",0,IF(OR(N(L1331)&lt;=0,N(M1331)&gt;N(L1331)),N(M1331)/요약!$D$27,N(L1331)))</f>
        <v>9238000</v>
      </c>
      <c r="O1331" s="32" t="str">
        <f aca="false">IF(A1331="제외","",IF(OR(N(L1331)&lt;=0,N(M1331)&gt;N(L1331)),"택가보정(판매금액÷공급율)",""))</f>
        <v/>
      </c>
      <c r="P1331" s="0" t="str">
        <f aca="false">IF(A1331="HK","100",IF(A1331="CN","200",IF(A1331="TW","300",IF(ISNUMBER(SEARCH("태국",C1331)),"500",IF(ISNUMBER(SEARCH("말레이",C1331)),"600",IF(ISNUMBER(SEARCH("필리핀",C1331)),"700",IF(ISNUMBER(SEARCH("인도네시아",C1331)),"800",IF(ISNUMBER(SEARCH("크루즈",C1331)),"810",IF(ISNUMBER(SEARCH("동물원",C1331)),"830","")))))))))</f>
        <v>700</v>
      </c>
    </row>
    <row r="1332" customFormat="false" ht="15" hidden="false" customHeight="false" outlineLevel="0" collapsed="false">
      <c r="A1332" s="32" t="str">
        <f aca="false">IF(OR(TRIM(C1332)="",SUBSTITUTE(C1332," ","")="소계"),"제외",IF(ISNUMBER(SEARCH("홍콩",C1332)),"HK",IF(ISNUMBER(SEARCH("상해",C1332)),"CN",IF(ISNUMBER(SEARCH("대만",C1332)),"TW","홀세일"))))</f>
        <v>홀세일</v>
      </c>
      <c r="B1332" s="36" t="s">
        <v>1394</v>
      </c>
      <c r="C1332" s="36" t="s">
        <v>1395</v>
      </c>
      <c r="D1332" s="37" t="s">
        <v>123</v>
      </c>
      <c r="E1332" s="36" t="n">
        <v>2026</v>
      </c>
      <c r="F1332" s="36" t="s">
        <v>110</v>
      </c>
      <c r="G1332" s="37" t="s">
        <v>124</v>
      </c>
      <c r="H1332" s="36" t="s">
        <v>188</v>
      </c>
      <c r="I1332" s="36" t="s">
        <v>662</v>
      </c>
      <c r="J1332" s="36" t="s">
        <v>663</v>
      </c>
      <c r="K1332" s="38" t="n">
        <v>72</v>
      </c>
      <c r="L1332" s="38" t="n">
        <v>28728000</v>
      </c>
      <c r="M1332" s="38" t="n">
        <v>11005568</v>
      </c>
      <c r="N1332" s="39" t="n">
        <f aca="false">IF(A1332="제외",0,IF(OR(N(L1332)&lt;=0,N(M1332)&gt;N(L1332)),N(M1332)/요약!$D$27,N(L1332)))</f>
        <v>28728000</v>
      </c>
      <c r="O1332" s="32" t="str">
        <f aca="false">IF(A1332="제외","",IF(OR(N(L1332)&lt;=0,N(M1332)&gt;N(L1332)),"택가보정(판매금액÷공급율)",""))</f>
        <v/>
      </c>
      <c r="P1332" s="0" t="str">
        <f aca="false">IF(A1332="HK","100",IF(A1332="CN","200",IF(A1332="TW","300",IF(ISNUMBER(SEARCH("태국",C1332)),"500",IF(ISNUMBER(SEARCH("말레이",C1332)),"600",IF(ISNUMBER(SEARCH("필리핀",C1332)),"700",IF(ISNUMBER(SEARCH("인도네시아",C1332)),"800",IF(ISNUMBER(SEARCH("크루즈",C1332)),"810",IF(ISNUMBER(SEARCH("동물원",C1332)),"830","")))))))))</f>
        <v>700</v>
      </c>
    </row>
    <row r="1333" customFormat="false" ht="15" hidden="false" customHeight="false" outlineLevel="0" collapsed="false">
      <c r="A1333" s="32" t="str">
        <f aca="false">IF(OR(TRIM(C1333)="",SUBSTITUTE(C1333," ","")="소계"),"제외",IF(ISNUMBER(SEARCH("홍콩",C1333)),"HK",IF(ISNUMBER(SEARCH("상해",C1333)),"CN",IF(ISNUMBER(SEARCH("대만",C1333)),"TW","홀세일"))))</f>
        <v>홀세일</v>
      </c>
      <c r="B1333" s="36" t="s">
        <v>1394</v>
      </c>
      <c r="C1333" s="36" t="s">
        <v>1395</v>
      </c>
      <c r="D1333" s="37" t="s">
        <v>664</v>
      </c>
      <c r="E1333" s="36" t="n">
        <v>2026</v>
      </c>
      <c r="F1333" s="37" t="s">
        <v>219</v>
      </c>
      <c r="G1333" s="37" t="s">
        <v>124</v>
      </c>
      <c r="H1333" s="36" t="s">
        <v>673</v>
      </c>
      <c r="I1333" s="36" t="s">
        <v>1441</v>
      </c>
      <c r="J1333" s="36" t="s">
        <v>1442</v>
      </c>
      <c r="K1333" s="38" t="n">
        <v>140</v>
      </c>
      <c r="L1333" s="38" t="n">
        <v>8260000</v>
      </c>
      <c r="M1333" s="38" t="n">
        <v>3033660</v>
      </c>
      <c r="N1333" s="39" t="n">
        <f aca="false">IF(A1333="제외",0,IF(OR(N(L1333)&lt;=0,N(M1333)&gt;N(L1333)),N(M1333)/요약!$D$27,N(L1333)))</f>
        <v>8260000</v>
      </c>
      <c r="O1333" s="32" t="str">
        <f aca="false">IF(A1333="제외","",IF(OR(N(L1333)&lt;=0,N(M1333)&gt;N(L1333)),"택가보정(판매금액÷공급율)",""))</f>
        <v/>
      </c>
      <c r="P1333" s="0" t="str">
        <f aca="false">IF(A1333="HK","100",IF(A1333="CN","200",IF(A1333="TW","300",IF(ISNUMBER(SEARCH("태국",C1333)),"500",IF(ISNUMBER(SEARCH("말레이",C1333)),"600",IF(ISNUMBER(SEARCH("필리핀",C1333)),"700",IF(ISNUMBER(SEARCH("인도네시아",C1333)),"800",IF(ISNUMBER(SEARCH("크루즈",C1333)),"810",IF(ISNUMBER(SEARCH("동물원",C1333)),"830","")))))))))</f>
        <v>700</v>
      </c>
    </row>
    <row r="1334" customFormat="false" ht="15" hidden="false" customHeight="false" outlineLevel="0" collapsed="false">
      <c r="A1334" s="32" t="str">
        <f aca="false">IF(OR(TRIM(C1334)="",SUBSTITUTE(C1334," ","")="소계"),"제외",IF(ISNUMBER(SEARCH("홍콩",C1334)),"HK",IF(ISNUMBER(SEARCH("상해",C1334)),"CN",IF(ISNUMBER(SEARCH("대만",C1334)),"TW","홀세일"))))</f>
        <v>홀세일</v>
      </c>
      <c r="B1334" s="36" t="s">
        <v>1394</v>
      </c>
      <c r="C1334" s="36" t="s">
        <v>1395</v>
      </c>
      <c r="D1334" s="37" t="s">
        <v>664</v>
      </c>
      <c r="E1334" s="36" t="n">
        <v>2026</v>
      </c>
      <c r="F1334" s="37" t="s">
        <v>219</v>
      </c>
      <c r="G1334" s="37" t="s">
        <v>124</v>
      </c>
      <c r="H1334" s="36" t="s">
        <v>673</v>
      </c>
      <c r="I1334" s="36" t="s">
        <v>1443</v>
      </c>
      <c r="J1334" s="36" t="s">
        <v>1444</v>
      </c>
      <c r="K1334" s="38" t="n">
        <v>80</v>
      </c>
      <c r="L1334" s="38" t="n">
        <v>4720000</v>
      </c>
      <c r="M1334" s="38" t="n">
        <v>1733520</v>
      </c>
      <c r="N1334" s="39" t="n">
        <f aca="false">IF(A1334="제외",0,IF(OR(N(L1334)&lt;=0,N(M1334)&gt;N(L1334)),N(M1334)/요약!$D$27,N(L1334)))</f>
        <v>4720000</v>
      </c>
      <c r="O1334" s="32" t="str">
        <f aca="false">IF(A1334="제외","",IF(OR(N(L1334)&lt;=0,N(M1334)&gt;N(L1334)),"택가보정(판매금액÷공급율)",""))</f>
        <v/>
      </c>
      <c r="P1334" s="0" t="str">
        <f aca="false">IF(A1334="HK","100",IF(A1334="CN","200",IF(A1334="TW","300",IF(ISNUMBER(SEARCH("태국",C1334)),"500",IF(ISNUMBER(SEARCH("말레이",C1334)),"600",IF(ISNUMBER(SEARCH("필리핀",C1334)),"700",IF(ISNUMBER(SEARCH("인도네시아",C1334)),"800",IF(ISNUMBER(SEARCH("크루즈",C1334)),"810",IF(ISNUMBER(SEARCH("동물원",C1334)),"830","")))))))))</f>
        <v>700</v>
      </c>
    </row>
    <row r="1335" customFormat="false" ht="15" hidden="false" customHeight="false" outlineLevel="0" collapsed="false">
      <c r="A1335" s="32" t="str">
        <f aca="false">IF(OR(TRIM(C1335)="",SUBSTITUTE(C1335," ","")="소계"),"제외",IF(ISNUMBER(SEARCH("홍콩",C1335)),"HK",IF(ISNUMBER(SEARCH("상해",C1335)),"CN",IF(ISNUMBER(SEARCH("대만",C1335)),"TW","홀세일"))))</f>
        <v>제외</v>
      </c>
      <c r="B1335" s="36" t="s">
        <v>762</v>
      </c>
      <c r="C1335" s="37" t="s">
        <v>763</v>
      </c>
      <c r="D1335" s="36"/>
      <c r="E1335" s="36"/>
      <c r="F1335" s="36"/>
      <c r="G1335" s="36"/>
      <c r="H1335" s="36"/>
      <c r="I1335" s="36"/>
      <c r="J1335" s="36"/>
      <c r="K1335" s="38" t="n">
        <v>16489</v>
      </c>
      <c r="L1335" s="38" t="n">
        <v>2043747000</v>
      </c>
      <c r="M1335" s="38" t="n">
        <v>738157771</v>
      </c>
      <c r="N1335" s="39" t="n">
        <f aca="false">IF(A1335="제외",0,IF(OR(N(L1335)&lt;=0,N(M1335)&gt;N(L1335)),N(M1335)/요약!$D$27,N(L1335)))</f>
        <v>0</v>
      </c>
      <c r="O1335" s="32" t="str">
        <f aca="false">IF(A1335="제외","",IF(OR(N(L1335)&lt;=0,N(M1335)&gt;N(L1335)),"택가보정(판매금액÷공급율)",""))</f>
        <v/>
      </c>
      <c r="P1335" s="0" t="str">
        <f aca="false">IF(A1335="HK","100",IF(A1335="CN","200",IF(A1335="TW","300",IF(ISNUMBER(SEARCH("태국",C1335)),"500",IF(ISNUMBER(SEARCH("말레이",C1335)),"600",IF(ISNUMBER(SEARCH("필리핀",C1335)),"700",IF(ISNUMBER(SEARCH("인도네시아",C1335)),"800",IF(ISNUMBER(SEARCH("크루즈",C1335)),"810",IF(ISNUMBER(SEARCH("동물원",C1335)),"830","")))))))))</f>
        <v/>
      </c>
    </row>
    <row r="1336" customFormat="false" ht="15" hidden="false" customHeight="false" outlineLevel="0" collapsed="false">
      <c r="A1336" s="32" t="str">
        <f aca="false">IF(OR(TRIM(C1336)="",SUBSTITUTE(C1336," ","")="소계"),"제외",IF(ISNUMBER(SEARCH("홍콩",C1336)),"HK",IF(ISNUMBER(SEARCH("상해",C1336)),"CN",IF(ISNUMBER(SEARCH("대만",C1336)),"TW","홀세일"))))</f>
        <v>홀세일</v>
      </c>
      <c r="B1336" s="36" t="s">
        <v>1445</v>
      </c>
      <c r="C1336" s="36" t="s">
        <v>1446</v>
      </c>
      <c r="D1336" s="37" t="s">
        <v>123</v>
      </c>
      <c r="E1336" s="36" t="n">
        <v>2026</v>
      </c>
      <c r="F1336" s="37" t="s">
        <v>101</v>
      </c>
      <c r="G1336" s="37" t="s">
        <v>102</v>
      </c>
      <c r="H1336" s="36" t="s">
        <v>131</v>
      </c>
      <c r="I1336" s="36" t="s">
        <v>132</v>
      </c>
      <c r="J1336" s="37" t="s">
        <v>133</v>
      </c>
      <c r="K1336" s="38" t="n">
        <v>30</v>
      </c>
      <c r="L1336" s="38" t="n">
        <v>5070000</v>
      </c>
      <c r="M1336" s="38" t="n">
        <v>2037750</v>
      </c>
      <c r="N1336" s="39" t="n">
        <f aca="false">IF(A1336="제외",0,IF(OR(N(L1336)&lt;=0,N(M1336)&gt;N(L1336)),N(M1336)/요약!$D$27,N(L1336)))</f>
        <v>5070000</v>
      </c>
      <c r="O1336" s="32" t="str">
        <f aca="false">IF(A1336="제외","",IF(OR(N(L1336)&lt;=0,N(M1336)&gt;N(L1336)),"택가보정(판매금액÷공급율)",""))</f>
        <v/>
      </c>
      <c r="P1336" s="0" t="str">
        <f aca="false">IF(A1336="HK","100",IF(A1336="CN","200",IF(A1336="TW","300",IF(ISNUMBER(SEARCH("태국",C1336)),"500",IF(ISNUMBER(SEARCH("말레이",C1336)),"600",IF(ISNUMBER(SEARCH("필리핀",C1336)),"700",IF(ISNUMBER(SEARCH("인도네시아",C1336)),"800",IF(ISNUMBER(SEARCH("크루즈",C1336)),"810",IF(ISNUMBER(SEARCH("동물원",C1336)),"830","")))))))))</f>
        <v>800</v>
      </c>
    </row>
    <row r="1337" customFormat="false" ht="15" hidden="false" customHeight="false" outlineLevel="0" collapsed="false">
      <c r="A1337" s="32" t="str">
        <f aca="false">IF(OR(TRIM(C1337)="",SUBSTITUTE(C1337," ","")="소계"),"제외",IF(ISNUMBER(SEARCH("홍콩",C1337)),"HK",IF(ISNUMBER(SEARCH("상해",C1337)),"CN",IF(ISNUMBER(SEARCH("대만",C1337)),"TW","홀세일"))))</f>
        <v>홀세일</v>
      </c>
      <c r="B1337" s="36" t="s">
        <v>1445</v>
      </c>
      <c r="C1337" s="36" t="s">
        <v>1446</v>
      </c>
      <c r="D1337" s="37" t="s">
        <v>123</v>
      </c>
      <c r="E1337" s="36" t="n">
        <v>2026</v>
      </c>
      <c r="F1337" s="37" t="s">
        <v>101</v>
      </c>
      <c r="G1337" s="37" t="s">
        <v>102</v>
      </c>
      <c r="H1337" s="36" t="s">
        <v>131</v>
      </c>
      <c r="I1337" s="36" t="s">
        <v>134</v>
      </c>
      <c r="J1337" s="37" t="s">
        <v>135</v>
      </c>
      <c r="K1337" s="38" t="n">
        <v>40</v>
      </c>
      <c r="L1337" s="38" t="n">
        <v>7160000</v>
      </c>
      <c r="M1337" s="38" t="n">
        <v>2880360</v>
      </c>
      <c r="N1337" s="39" t="n">
        <f aca="false">IF(A1337="제외",0,IF(OR(N(L1337)&lt;=0,N(M1337)&gt;N(L1337)),N(M1337)/요약!$D$27,N(L1337)))</f>
        <v>7160000</v>
      </c>
      <c r="O1337" s="32" t="str">
        <f aca="false">IF(A1337="제외","",IF(OR(N(L1337)&lt;=0,N(M1337)&gt;N(L1337)),"택가보정(판매금액÷공급율)",""))</f>
        <v/>
      </c>
      <c r="P1337" s="0" t="str">
        <f aca="false">IF(A1337="HK","100",IF(A1337="CN","200",IF(A1337="TW","300",IF(ISNUMBER(SEARCH("태국",C1337)),"500",IF(ISNUMBER(SEARCH("말레이",C1337)),"600",IF(ISNUMBER(SEARCH("필리핀",C1337)),"700",IF(ISNUMBER(SEARCH("인도네시아",C1337)),"800",IF(ISNUMBER(SEARCH("크루즈",C1337)),"810",IF(ISNUMBER(SEARCH("동물원",C1337)),"830","")))))))))</f>
        <v>800</v>
      </c>
    </row>
    <row r="1338" customFormat="false" ht="15" hidden="false" customHeight="false" outlineLevel="0" collapsed="false">
      <c r="A1338" s="32" t="str">
        <f aca="false">IF(OR(TRIM(C1338)="",SUBSTITUTE(C1338," ","")="소계"),"제외",IF(ISNUMBER(SEARCH("홍콩",C1338)),"HK",IF(ISNUMBER(SEARCH("상해",C1338)),"CN",IF(ISNUMBER(SEARCH("대만",C1338)),"TW","홀세일"))))</f>
        <v>홀세일</v>
      </c>
      <c r="B1338" s="36" t="s">
        <v>1445</v>
      </c>
      <c r="C1338" s="36" t="s">
        <v>1446</v>
      </c>
      <c r="D1338" s="37" t="s">
        <v>123</v>
      </c>
      <c r="E1338" s="36" t="n">
        <v>2026</v>
      </c>
      <c r="F1338" s="37" t="s">
        <v>101</v>
      </c>
      <c r="G1338" s="37" t="s">
        <v>102</v>
      </c>
      <c r="H1338" s="36" t="s">
        <v>131</v>
      </c>
      <c r="I1338" s="36" t="s">
        <v>138</v>
      </c>
      <c r="J1338" s="37" t="s">
        <v>139</v>
      </c>
      <c r="K1338" s="38" t="n">
        <v>20</v>
      </c>
      <c r="L1338" s="38" t="n">
        <v>2980000</v>
      </c>
      <c r="M1338" s="38" t="n">
        <v>1198140</v>
      </c>
      <c r="N1338" s="39" t="n">
        <f aca="false">IF(A1338="제외",0,IF(OR(N(L1338)&lt;=0,N(M1338)&gt;N(L1338)),N(M1338)/요약!$D$27,N(L1338)))</f>
        <v>2980000</v>
      </c>
      <c r="O1338" s="32" t="str">
        <f aca="false">IF(A1338="제외","",IF(OR(N(L1338)&lt;=0,N(M1338)&gt;N(L1338)),"택가보정(판매금액÷공급율)",""))</f>
        <v/>
      </c>
      <c r="P1338" s="0" t="str">
        <f aca="false">IF(A1338="HK","100",IF(A1338="CN","200",IF(A1338="TW","300",IF(ISNUMBER(SEARCH("태국",C1338)),"500",IF(ISNUMBER(SEARCH("말레이",C1338)),"600",IF(ISNUMBER(SEARCH("필리핀",C1338)),"700",IF(ISNUMBER(SEARCH("인도네시아",C1338)),"800",IF(ISNUMBER(SEARCH("크루즈",C1338)),"810",IF(ISNUMBER(SEARCH("동물원",C1338)),"830","")))))))))</f>
        <v>800</v>
      </c>
    </row>
    <row r="1339" customFormat="false" ht="15" hidden="false" customHeight="false" outlineLevel="0" collapsed="false">
      <c r="A1339" s="32" t="str">
        <f aca="false">IF(OR(TRIM(C1339)="",SUBSTITUTE(C1339," ","")="소계"),"제외",IF(ISNUMBER(SEARCH("홍콩",C1339)),"HK",IF(ISNUMBER(SEARCH("상해",C1339)),"CN",IF(ISNUMBER(SEARCH("대만",C1339)),"TW","홀세일"))))</f>
        <v>홀세일</v>
      </c>
      <c r="B1339" s="36" t="s">
        <v>1445</v>
      </c>
      <c r="C1339" s="36" t="s">
        <v>1446</v>
      </c>
      <c r="D1339" s="37" t="s">
        <v>123</v>
      </c>
      <c r="E1339" s="36" t="n">
        <v>2026</v>
      </c>
      <c r="F1339" s="37" t="s">
        <v>101</v>
      </c>
      <c r="G1339" s="37" t="s">
        <v>102</v>
      </c>
      <c r="H1339" s="36" t="s">
        <v>131</v>
      </c>
      <c r="I1339" s="36" t="s">
        <v>142</v>
      </c>
      <c r="J1339" s="37" t="s">
        <v>143</v>
      </c>
      <c r="K1339" s="38" t="n">
        <v>25</v>
      </c>
      <c r="L1339" s="38" t="n">
        <v>4225000</v>
      </c>
      <c r="M1339" s="38" t="n">
        <v>1698125</v>
      </c>
      <c r="N1339" s="39" t="n">
        <f aca="false">IF(A1339="제외",0,IF(OR(N(L1339)&lt;=0,N(M1339)&gt;N(L1339)),N(M1339)/요약!$D$27,N(L1339)))</f>
        <v>4225000</v>
      </c>
      <c r="O1339" s="32" t="str">
        <f aca="false">IF(A1339="제외","",IF(OR(N(L1339)&lt;=0,N(M1339)&gt;N(L1339)),"택가보정(판매금액÷공급율)",""))</f>
        <v/>
      </c>
      <c r="P1339" s="0" t="str">
        <f aca="false">IF(A1339="HK","100",IF(A1339="CN","200",IF(A1339="TW","300",IF(ISNUMBER(SEARCH("태국",C1339)),"500",IF(ISNUMBER(SEARCH("말레이",C1339)),"600",IF(ISNUMBER(SEARCH("필리핀",C1339)),"700",IF(ISNUMBER(SEARCH("인도네시아",C1339)),"800",IF(ISNUMBER(SEARCH("크루즈",C1339)),"810",IF(ISNUMBER(SEARCH("동물원",C1339)),"830","")))))))))</f>
        <v>800</v>
      </c>
    </row>
    <row r="1340" customFormat="false" ht="15" hidden="false" customHeight="false" outlineLevel="0" collapsed="false">
      <c r="A1340" s="32" t="str">
        <f aca="false">IF(OR(TRIM(C1340)="",SUBSTITUTE(C1340," ","")="소계"),"제외",IF(ISNUMBER(SEARCH("홍콩",C1340)),"HK",IF(ISNUMBER(SEARCH("상해",C1340)),"CN",IF(ISNUMBER(SEARCH("대만",C1340)),"TW","홀세일"))))</f>
        <v>홀세일</v>
      </c>
      <c r="B1340" s="36" t="s">
        <v>1445</v>
      </c>
      <c r="C1340" s="36" t="s">
        <v>1446</v>
      </c>
      <c r="D1340" s="37" t="s">
        <v>123</v>
      </c>
      <c r="E1340" s="36" t="n">
        <v>2026</v>
      </c>
      <c r="F1340" s="37" t="s">
        <v>101</v>
      </c>
      <c r="G1340" s="37" t="s">
        <v>102</v>
      </c>
      <c r="H1340" s="36" t="s">
        <v>131</v>
      </c>
      <c r="I1340" s="36" t="s">
        <v>144</v>
      </c>
      <c r="J1340" s="37" t="s">
        <v>145</v>
      </c>
      <c r="K1340" s="38" t="n">
        <v>25</v>
      </c>
      <c r="L1340" s="38" t="n">
        <v>4225000</v>
      </c>
      <c r="M1340" s="38" t="n">
        <v>1698125</v>
      </c>
      <c r="N1340" s="39" t="n">
        <f aca="false">IF(A1340="제외",0,IF(OR(N(L1340)&lt;=0,N(M1340)&gt;N(L1340)),N(M1340)/요약!$D$27,N(L1340)))</f>
        <v>4225000</v>
      </c>
      <c r="O1340" s="32" t="str">
        <f aca="false">IF(A1340="제외","",IF(OR(N(L1340)&lt;=0,N(M1340)&gt;N(L1340)),"택가보정(판매금액÷공급율)",""))</f>
        <v/>
      </c>
      <c r="P1340" s="0" t="str">
        <f aca="false">IF(A1340="HK","100",IF(A1340="CN","200",IF(A1340="TW","300",IF(ISNUMBER(SEARCH("태국",C1340)),"500",IF(ISNUMBER(SEARCH("말레이",C1340)),"600",IF(ISNUMBER(SEARCH("필리핀",C1340)),"700",IF(ISNUMBER(SEARCH("인도네시아",C1340)),"800",IF(ISNUMBER(SEARCH("크루즈",C1340)),"810",IF(ISNUMBER(SEARCH("동물원",C1340)),"830","")))))))))</f>
        <v>800</v>
      </c>
    </row>
    <row r="1341" customFormat="false" ht="15" hidden="false" customHeight="false" outlineLevel="0" collapsed="false">
      <c r="A1341" s="32" t="str">
        <f aca="false">IF(OR(TRIM(C1341)="",SUBSTITUTE(C1341," ","")="소계"),"제외",IF(ISNUMBER(SEARCH("홍콩",C1341)),"HK",IF(ISNUMBER(SEARCH("상해",C1341)),"CN",IF(ISNUMBER(SEARCH("대만",C1341)),"TW","홀세일"))))</f>
        <v>홀세일</v>
      </c>
      <c r="B1341" s="36" t="s">
        <v>1445</v>
      </c>
      <c r="C1341" s="36" t="s">
        <v>1446</v>
      </c>
      <c r="D1341" s="37" t="s">
        <v>123</v>
      </c>
      <c r="E1341" s="36" t="n">
        <v>2026</v>
      </c>
      <c r="F1341" s="37" t="s">
        <v>101</v>
      </c>
      <c r="G1341" s="37" t="s">
        <v>102</v>
      </c>
      <c r="H1341" s="36" t="s">
        <v>131</v>
      </c>
      <c r="I1341" s="36" t="s">
        <v>146</v>
      </c>
      <c r="J1341" s="37" t="s">
        <v>147</v>
      </c>
      <c r="K1341" s="38" t="n">
        <v>25</v>
      </c>
      <c r="L1341" s="38" t="n">
        <v>4725000</v>
      </c>
      <c r="M1341" s="38" t="n">
        <v>1898575</v>
      </c>
      <c r="N1341" s="39" t="n">
        <f aca="false">IF(A1341="제외",0,IF(OR(N(L1341)&lt;=0,N(M1341)&gt;N(L1341)),N(M1341)/요약!$D$27,N(L1341)))</f>
        <v>4725000</v>
      </c>
      <c r="O1341" s="32" t="str">
        <f aca="false">IF(A1341="제외","",IF(OR(N(L1341)&lt;=0,N(M1341)&gt;N(L1341)),"택가보정(판매금액÷공급율)",""))</f>
        <v/>
      </c>
      <c r="P1341" s="0" t="str">
        <f aca="false">IF(A1341="HK","100",IF(A1341="CN","200",IF(A1341="TW","300",IF(ISNUMBER(SEARCH("태국",C1341)),"500",IF(ISNUMBER(SEARCH("말레이",C1341)),"600",IF(ISNUMBER(SEARCH("필리핀",C1341)),"700",IF(ISNUMBER(SEARCH("인도네시아",C1341)),"800",IF(ISNUMBER(SEARCH("크루즈",C1341)),"810",IF(ISNUMBER(SEARCH("동물원",C1341)),"830","")))))))))</f>
        <v>800</v>
      </c>
    </row>
    <row r="1342" customFormat="false" ht="15" hidden="false" customHeight="false" outlineLevel="0" collapsed="false">
      <c r="A1342" s="32" t="str">
        <f aca="false">IF(OR(TRIM(C1342)="",SUBSTITUTE(C1342," ","")="소계"),"제외",IF(ISNUMBER(SEARCH("홍콩",C1342)),"HK",IF(ISNUMBER(SEARCH("상해",C1342)),"CN",IF(ISNUMBER(SEARCH("대만",C1342)),"TW","홀세일"))))</f>
        <v>홀세일</v>
      </c>
      <c r="B1342" s="36" t="s">
        <v>1445</v>
      </c>
      <c r="C1342" s="36" t="s">
        <v>1446</v>
      </c>
      <c r="D1342" s="37" t="s">
        <v>123</v>
      </c>
      <c r="E1342" s="36" t="n">
        <v>2026</v>
      </c>
      <c r="F1342" s="37" t="s">
        <v>101</v>
      </c>
      <c r="G1342" s="37" t="s">
        <v>102</v>
      </c>
      <c r="H1342" s="36" t="s">
        <v>131</v>
      </c>
      <c r="I1342" s="36" t="s">
        <v>148</v>
      </c>
      <c r="J1342" s="37" t="s">
        <v>149</v>
      </c>
      <c r="K1342" s="38" t="n">
        <v>20</v>
      </c>
      <c r="L1342" s="38" t="n">
        <v>3580000</v>
      </c>
      <c r="M1342" s="38" t="n">
        <v>1440180</v>
      </c>
      <c r="N1342" s="39" t="n">
        <f aca="false">IF(A1342="제외",0,IF(OR(N(L1342)&lt;=0,N(M1342)&gt;N(L1342)),N(M1342)/요약!$D$27,N(L1342)))</f>
        <v>3580000</v>
      </c>
      <c r="O1342" s="32" t="str">
        <f aca="false">IF(A1342="제외","",IF(OR(N(L1342)&lt;=0,N(M1342)&gt;N(L1342)),"택가보정(판매금액÷공급율)",""))</f>
        <v/>
      </c>
      <c r="P1342" s="0" t="str">
        <f aca="false">IF(A1342="HK","100",IF(A1342="CN","200",IF(A1342="TW","300",IF(ISNUMBER(SEARCH("태국",C1342)),"500",IF(ISNUMBER(SEARCH("말레이",C1342)),"600",IF(ISNUMBER(SEARCH("필리핀",C1342)),"700",IF(ISNUMBER(SEARCH("인도네시아",C1342)),"800",IF(ISNUMBER(SEARCH("크루즈",C1342)),"810",IF(ISNUMBER(SEARCH("동물원",C1342)),"830","")))))))))</f>
        <v>800</v>
      </c>
    </row>
    <row r="1343" customFormat="false" ht="15" hidden="false" customHeight="false" outlineLevel="0" collapsed="false">
      <c r="A1343" s="32" t="str">
        <f aca="false">IF(OR(TRIM(C1343)="",SUBSTITUTE(C1343," ","")="소계"),"제외",IF(ISNUMBER(SEARCH("홍콩",C1343)),"HK",IF(ISNUMBER(SEARCH("상해",C1343)),"CN",IF(ISNUMBER(SEARCH("대만",C1343)),"TW","홀세일"))))</f>
        <v>홀세일</v>
      </c>
      <c r="B1343" s="36" t="s">
        <v>1445</v>
      </c>
      <c r="C1343" s="36" t="s">
        <v>1446</v>
      </c>
      <c r="D1343" s="37" t="s">
        <v>123</v>
      </c>
      <c r="E1343" s="36" t="n">
        <v>2026</v>
      </c>
      <c r="F1343" s="37" t="s">
        <v>101</v>
      </c>
      <c r="G1343" s="37" t="s">
        <v>102</v>
      </c>
      <c r="H1343" s="36" t="s">
        <v>131</v>
      </c>
      <c r="I1343" s="36" t="s">
        <v>150</v>
      </c>
      <c r="J1343" s="37" t="s">
        <v>151</v>
      </c>
      <c r="K1343" s="38" t="n">
        <v>20</v>
      </c>
      <c r="L1343" s="38" t="n">
        <v>3780000</v>
      </c>
      <c r="M1343" s="38" t="n">
        <v>1518860</v>
      </c>
      <c r="N1343" s="39" t="n">
        <f aca="false">IF(A1343="제외",0,IF(OR(N(L1343)&lt;=0,N(M1343)&gt;N(L1343)),N(M1343)/요약!$D$27,N(L1343)))</f>
        <v>3780000</v>
      </c>
      <c r="O1343" s="32" t="str">
        <f aca="false">IF(A1343="제외","",IF(OR(N(L1343)&lt;=0,N(M1343)&gt;N(L1343)),"택가보정(판매금액÷공급율)",""))</f>
        <v/>
      </c>
      <c r="P1343" s="0" t="str">
        <f aca="false">IF(A1343="HK","100",IF(A1343="CN","200",IF(A1343="TW","300",IF(ISNUMBER(SEARCH("태국",C1343)),"500",IF(ISNUMBER(SEARCH("말레이",C1343)),"600",IF(ISNUMBER(SEARCH("필리핀",C1343)),"700",IF(ISNUMBER(SEARCH("인도네시아",C1343)),"800",IF(ISNUMBER(SEARCH("크루즈",C1343)),"810",IF(ISNUMBER(SEARCH("동물원",C1343)),"830","")))))))))</f>
        <v>800</v>
      </c>
    </row>
    <row r="1344" customFormat="false" ht="15" hidden="false" customHeight="false" outlineLevel="0" collapsed="false">
      <c r="A1344" s="32" t="str">
        <f aca="false">IF(OR(TRIM(C1344)="",SUBSTITUTE(C1344," ","")="소계"),"제외",IF(ISNUMBER(SEARCH("홍콩",C1344)),"HK",IF(ISNUMBER(SEARCH("상해",C1344)),"CN",IF(ISNUMBER(SEARCH("대만",C1344)),"TW","홀세일"))))</f>
        <v>홀세일</v>
      </c>
      <c r="B1344" s="36" t="s">
        <v>1445</v>
      </c>
      <c r="C1344" s="36" t="s">
        <v>1446</v>
      </c>
      <c r="D1344" s="37" t="s">
        <v>123</v>
      </c>
      <c r="E1344" s="36" t="n">
        <v>2026</v>
      </c>
      <c r="F1344" s="37" t="s">
        <v>219</v>
      </c>
      <c r="G1344" s="37" t="s">
        <v>102</v>
      </c>
      <c r="H1344" s="36" t="s">
        <v>131</v>
      </c>
      <c r="I1344" s="36" t="s">
        <v>1284</v>
      </c>
      <c r="J1344" s="37" t="s">
        <v>1285</v>
      </c>
      <c r="K1344" s="38" t="n">
        <v>10</v>
      </c>
      <c r="L1344" s="38" t="n">
        <v>450000</v>
      </c>
      <c r="M1344" s="38" t="n">
        <v>181540</v>
      </c>
      <c r="N1344" s="39" t="n">
        <f aca="false">IF(A1344="제외",0,IF(OR(N(L1344)&lt;=0,N(M1344)&gt;N(L1344)),N(M1344)/요약!$D$27,N(L1344)))</f>
        <v>450000</v>
      </c>
      <c r="O1344" s="32" t="str">
        <f aca="false">IF(A1344="제외","",IF(OR(N(L1344)&lt;=0,N(M1344)&gt;N(L1344)),"택가보정(판매금액÷공급율)",""))</f>
        <v/>
      </c>
      <c r="P1344" s="0" t="str">
        <f aca="false">IF(A1344="HK","100",IF(A1344="CN","200",IF(A1344="TW","300",IF(ISNUMBER(SEARCH("태국",C1344)),"500",IF(ISNUMBER(SEARCH("말레이",C1344)),"600",IF(ISNUMBER(SEARCH("필리핀",C1344)),"700",IF(ISNUMBER(SEARCH("인도네시아",C1344)),"800",IF(ISNUMBER(SEARCH("크루즈",C1344)),"810",IF(ISNUMBER(SEARCH("동물원",C1344)),"830","")))))))))</f>
        <v>800</v>
      </c>
    </row>
    <row r="1345" customFormat="false" ht="15" hidden="false" customHeight="false" outlineLevel="0" collapsed="false">
      <c r="A1345" s="32" t="str">
        <f aca="false">IF(OR(TRIM(C1345)="",SUBSTITUTE(C1345," ","")="소계"),"제외",IF(ISNUMBER(SEARCH("홍콩",C1345)),"HK",IF(ISNUMBER(SEARCH("상해",C1345)),"CN",IF(ISNUMBER(SEARCH("대만",C1345)),"TW","홀세일"))))</f>
        <v>홀세일</v>
      </c>
      <c r="B1345" s="36" t="s">
        <v>1445</v>
      </c>
      <c r="C1345" s="36" t="s">
        <v>1446</v>
      </c>
      <c r="D1345" s="37" t="s">
        <v>123</v>
      </c>
      <c r="E1345" s="36" t="n">
        <v>2026</v>
      </c>
      <c r="F1345" s="36" t="s">
        <v>110</v>
      </c>
      <c r="G1345" s="37" t="s">
        <v>102</v>
      </c>
      <c r="H1345" s="36" t="s">
        <v>131</v>
      </c>
      <c r="I1345" s="36" t="s">
        <v>1350</v>
      </c>
      <c r="J1345" s="37" t="s">
        <v>1351</v>
      </c>
      <c r="K1345" s="38" t="n">
        <v>20</v>
      </c>
      <c r="L1345" s="38" t="n">
        <v>380000</v>
      </c>
      <c r="M1345" s="38" t="n">
        <v>154300</v>
      </c>
      <c r="N1345" s="39" t="n">
        <f aca="false">IF(A1345="제외",0,IF(OR(N(L1345)&lt;=0,N(M1345)&gt;N(L1345)),N(M1345)/요약!$D$27,N(L1345)))</f>
        <v>380000</v>
      </c>
      <c r="O1345" s="32" t="str">
        <f aca="false">IF(A1345="제외","",IF(OR(N(L1345)&lt;=0,N(M1345)&gt;N(L1345)),"택가보정(판매금액÷공급율)",""))</f>
        <v/>
      </c>
      <c r="P1345" s="0" t="str">
        <f aca="false">IF(A1345="HK","100",IF(A1345="CN","200",IF(A1345="TW","300",IF(ISNUMBER(SEARCH("태국",C1345)),"500",IF(ISNUMBER(SEARCH("말레이",C1345)),"600",IF(ISNUMBER(SEARCH("필리핀",C1345)),"700",IF(ISNUMBER(SEARCH("인도네시아",C1345)),"800",IF(ISNUMBER(SEARCH("크루즈",C1345)),"810",IF(ISNUMBER(SEARCH("동물원",C1345)),"830","")))))))))</f>
        <v>800</v>
      </c>
    </row>
    <row r="1346" customFormat="false" ht="15" hidden="false" customHeight="false" outlineLevel="0" collapsed="false">
      <c r="A1346" s="32" t="str">
        <f aca="false">IF(OR(TRIM(C1346)="",SUBSTITUTE(C1346," ","")="소계"),"제외",IF(ISNUMBER(SEARCH("홍콩",C1346)),"HK",IF(ISNUMBER(SEARCH("상해",C1346)),"CN",IF(ISNUMBER(SEARCH("대만",C1346)),"TW","홀세일"))))</f>
        <v>홀세일</v>
      </c>
      <c r="B1346" s="36" t="s">
        <v>1445</v>
      </c>
      <c r="C1346" s="36" t="s">
        <v>1446</v>
      </c>
      <c r="D1346" s="37" t="s">
        <v>123</v>
      </c>
      <c r="E1346" s="36" t="n">
        <v>2026</v>
      </c>
      <c r="F1346" s="36" t="s">
        <v>110</v>
      </c>
      <c r="G1346" s="37" t="s">
        <v>102</v>
      </c>
      <c r="H1346" s="36" t="s">
        <v>131</v>
      </c>
      <c r="I1346" s="36" t="s">
        <v>581</v>
      </c>
      <c r="J1346" s="37" t="s">
        <v>582</v>
      </c>
      <c r="K1346" s="38" t="n">
        <v>15</v>
      </c>
      <c r="L1346" s="38" t="n">
        <v>435000</v>
      </c>
      <c r="M1346" s="38" t="n">
        <v>174735</v>
      </c>
      <c r="N1346" s="39" t="n">
        <f aca="false">IF(A1346="제외",0,IF(OR(N(L1346)&lt;=0,N(M1346)&gt;N(L1346)),N(M1346)/요약!$D$27,N(L1346)))</f>
        <v>435000</v>
      </c>
      <c r="O1346" s="32" t="str">
        <f aca="false">IF(A1346="제외","",IF(OR(N(L1346)&lt;=0,N(M1346)&gt;N(L1346)),"택가보정(판매금액÷공급율)",""))</f>
        <v/>
      </c>
      <c r="P1346" s="0" t="str">
        <f aca="false">IF(A1346="HK","100",IF(A1346="CN","200",IF(A1346="TW","300",IF(ISNUMBER(SEARCH("태국",C1346)),"500",IF(ISNUMBER(SEARCH("말레이",C1346)),"600",IF(ISNUMBER(SEARCH("필리핀",C1346)),"700",IF(ISNUMBER(SEARCH("인도네시아",C1346)),"800",IF(ISNUMBER(SEARCH("크루즈",C1346)),"810",IF(ISNUMBER(SEARCH("동물원",C1346)),"830","")))))))))</f>
        <v>800</v>
      </c>
    </row>
    <row r="1347" customFormat="false" ht="15" hidden="false" customHeight="false" outlineLevel="0" collapsed="false">
      <c r="A1347" s="32" t="str">
        <f aca="false">IF(OR(TRIM(C1347)="",SUBSTITUTE(C1347," ","")="소계"),"제외",IF(ISNUMBER(SEARCH("홍콩",C1347)),"HK",IF(ISNUMBER(SEARCH("상해",C1347)),"CN",IF(ISNUMBER(SEARCH("대만",C1347)),"TW","홀세일"))))</f>
        <v>홀세일</v>
      </c>
      <c r="B1347" s="36" t="s">
        <v>1445</v>
      </c>
      <c r="C1347" s="36" t="s">
        <v>1446</v>
      </c>
      <c r="D1347" s="37" t="s">
        <v>123</v>
      </c>
      <c r="E1347" s="36" t="n">
        <v>2026</v>
      </c>
      <c r="F1347" s="36" t="s">
        <v>110</v>
      </c>
      <c r="G1347" s="37" t="s">
        <v>102</v>
      </c>
      <c r="H1347" s="36" t="s">
        <v>131</v>
      </c>
      <c r="I1347" s="36" t="s">
        <v>1447</v>
      </c>
      <c r="J1347" s="37" t="s">
        <v>1448</v>
      </c>
      <c r="K1347" s="38" t="n">
        <v>20</v>
      </c>
      <c r="L1347" s="38" t="n">
        <v>380000</v>
      </c>
      <c r="M1347" s="38" t="n">
        <v>154300</v>
      </c>
      <c r="N1347" s="39" t="n">
        <f aca="false">IF(A1347="제외",0,IF(OR(N(L1347)&lt;=0,N(M1347)&gt;N(L1347)),N(M1347)/요약!$D$27,N(L1347)))</f>
        <v>380000</v>
      </c>
      <c r="O1347" s="32" t="str">
        <f aca="false">IF(A1347="제외","",IF(OR(N(L1347)&lt;=0,N(M1347)&gt;N(L1347)),"택가보정(판매금액÷공급율)",""))</f>
        <v/>
      </c>
      <c r="P1347" s="0" t="str">
        <f aca="false">IF(A1347="HK","100",IF(A1347="CN","200",IF(A1347="TW","300",IF(ISNUMBER(SEARCH("태국",C1347)),"500",IF(ISNUMBER(SEARCH("말레이",C1347)),"600",IF(ISNUMBER(SEARCH("필리핀",C1347)),"700",IF(ISNUMBER(SEARCH("인도네시아",C1347)),"800",IF(ISNUMBER(SEARCH("크루즈",C1347)),"810",IF(ISNUMBER(SEARCH("동물원",C1347)),"830","")))))))))</f>
        <v>800</v>
      </c>
    </row>
    <row r="1348" customFormat="false" ht="15" hidden="false" customHeight="false" outlineLevel="0" collapsed="false">
      <c r="A1348" s="32" t="str">
        <f aca="false">IF(OR(TRIM(C1348)="",SUBSTITUTE(C1348," ","")="소계"),"제외",IF(ISNUMBER(SEARCH("홍콩",C1348)),"HK",IF(ISNUMBER(SEARCH("상해",C1348)),"CN",IF(ISNUMBER(SEARCH("대만",C1348)),"TW","홀세일"))))</f>
        <v>홀세일</v>
      </c>
      <c r="B1348" s="36" t="s">
        <v>1445</v>
      </c>
      <c r="C1348" s="36" t="s">
        <v>1446</v>
      </c>
      <c r="D1348" s="37" t="s">
        <v>123</v>
      </c>
      <c r="E1348" s="36" t="n">
        <v>2026</v>
      </c>
      <c r="F1348" s="36" t="s">
        <v>110</v>
      </c>
      <c r="G1348" s="37" t="s">
        <v>102</v>
      </c>
      <c r="H1348" s="36" t="s">
        <v>131</v>
      </c>
      <c r="I1348" s="36" t="s">
        <v>1449</v>
      </c>
      <c r="J1348" s="37" t="s">
        <v>1450</v>
      </c>
      <c r="K1348" s="38" t="n">
        <v>10</v>
      </c>
      <c r="L1348" s="38" t="n">
        <v>290000</v>
      </c>
      <c r="M1348" s="38" t="n">
        <v>116490</v>
      </c>
      <c r="N1348" s="39" t="n">
        <f aca="false">IF(A1348="제외",0,IF(OR(N(L1348)&lt;=0,N(M1348)&gt;N(L1348)),N(M1348)/요약!$D$27,N(L1348)))</f>
        <v>290000</v>
      </c>
      <c r="O1348" s="32" t="str">
        <f aca="false">IF(A1348="제외","",IF(OR(N(L1348)&lt;=0,N(M1348)&gt;N(L1348)),"택가보정(판매금액÷공급율)",""))</f>
        <v/>
      </c>
      <c r="P1348" s="0" t="str">
        <f aca="false">IF(A1348="HK","100",IF(A1348="CN","200",IF(A1348="TW","300",IF(ISNUMBER(SEARCH("태국",C1348)),"500",IF(ISNUMBER(SEARCH("말레이",C1348)),"600",IF(ISNUMBER(SEARCH("필리핀",C1348)),"700",IF(ISNUMBER(SEARCH("인도네시아",C1348)),"800",IF(ISNUMBER(SEARCH("크루즈",C1348)),"810",IF(ISNUMBER(SEARCH("동물원",C1348)),"830","")))))))))</f>
        <v>800</v>
      </c>
    </row>
    <row r="1349" customFormat="false" ht="15" hidden="false" customHeight="false" outlineLevel="0" collapsed="false">
      <c r="A1349" s="32" t="str">
        <f aca="false">IF(OR(TRIM(C1349)="",SUBSTITUTE(C1349," ","")="소계"),"제외",IF(ISNUMBER(SEARCH("홍콩",C1349)),"HK",IF(ISNUMBER(SEARCH("상해",C1349)),"CN",IF(ISNUMBER(SEARCH("대만",C1349)),"TW","홀세일"))))</f>
        <v>홀세일</v>
      </c>
      <c r="B1349" s="36" t="s">
        <v>1445</v>
      </c>
      <c r="C1349" s="36" t="s">
        <v>1446</v>
      </c>
      <c r="D1349" s="37" t="s">
        <v>123</v>
      </c>
      <c r="E1349" s="36" t="n">
        <v>2026</v>
      </c>
      <c r="F1349" s="36" t="s">
        <v>110</v>
      </c>
      <c r="G1349" s="37" t="s">
        <v>102</v>
      </c>
      <c r="H1349" s="36" t="s">
        <v>131</v>
      </c>
      <c r="I1349" s="36" t="s">
        <v>1101</v>
      </c>
      <c r="J1349" s="36" t="s">
        <v>1102</v>
      </c>
      <c r="K1349" s="38" t="n">
        <v>10</v>
      </c>
      <c r="L1349" s="38" t="n">
        <v>990000</v>
      </c>
      <c r="M1349" s="38" t="n">
        <v>397870</v>
      </c>
      <c r="N1349" s="39" t="n">
        <f aca="false">IF(A1349="제외",0,IF(OR(N(L1349)&lt;=0,N(M1349)&gt;N(L1349)),N(M1349)/요약!$D$27,N(L1349)))</f>
        <v>990000</v>
      </c>
      <c r="O1349" s="32" t="str">
        <f aca="false">IF(A1349="제외","",IF(OR(N(L1349)&lt;=0,N(M1349)&gt;N(L1349)),"택가보정(판매금액÷공급율)",""))</f>
        <v/>
      </c>
      <c r="P1349" s="0" t="str">
        <f aca="false">IF(A1349="HK","100",IF(A1349="CN","200",IF(A1349="TW","300",IF(ISNUMBER(SEARCH("태국",C1349)),"500",IF(ISNUMBER(SEARCH("말레이",C1349)),"600",IF(ISNUMBER(SEARCH("필리핀",C1349)),"700",IF(ISNUMBER(SEARCH("인도네시아",C1349)),"800",IF(ISNUMBER(SEARCH("크루즈",C1349)),"810",IF(ISNUMBER(SEARCH("동물원",C1349)),"830","")))))))))</f>
        <v>800</v>
      </c>
    </row>
    <row r="1350" customFormat="false" ht="15" hidden="false" customHeight="false" outlineLevel="0" collapsed="false">
      <c r="A1350" s="32" t="str">
        <f aca="false">IF(OR(TRIM(C1350)="",SUBSTITUTE(C1350," ","")="소계"),"제외",IF(ISNUMBER(SEARCH("홍콩",C1350)),"HK",IF(ISNUMBER(SEARCH("상해",C1350)),"CN",IF(ISNUMBER(SEARCH("대만",C1350)),"TW","홀세일"))))</f>
        <v>홀세일</v>
      </c>
      <c r="B1350" s="36" t="s">
        <v>1445</v>
      </c>
      <c r="C1350" s="36" t="s">
        <v>1446</v>
      </c>
      <c r="D1350" s="37" t="s">
        <v>123</v>
      </c>
      <c r="E1350" s="36" t="n">
        <v>2026</v>
      </c>
      <c r="F1350" s="36" t="s">
        <v>110</v>
      </c>
      <c r="G1350" s="37" t="s">
        <v>102</v>
      </c>
      <c r="H1350" s="36" t="s">
        <v>131</v>
      </c>
      <c r="I1350" s="36" t="s">
        <v>585</v>
      </c>
      <c r="J1350" s="36" t="s">
        <v>586</v>
      </c>
      <c r="K1350" s="38" t="n">
        <v>30</v>
      </c>
      <c r="L1350" s="38" t="n">
        <v>3570000</v>
      </c>
      <c r="M1350" s="38" t="n">
        <v>1434120</v>
      </c>
      <c r="N1350" s="39" t="n">
        <f aca="false">IF(A1350="제외",0,IF(OR(N(L1350)&lt;=0,N(M1350)&gt;N(L1350)),N(M1350)/요약!$D$27,N(L1350)))</f>
        <v>3570000</v>
      </c>
      <c r="O1350" s="32" t="str">
        <f aca="false">IF(A1350="제외","",IF(OR(N(L1350)&lt;=0,N(M1350)&gt;N(L1350)),"택가보정(판매금액÷공급율)",""))</f>
        <v/>
      </c>
      <c r="P1350" s="0" t="str">
        <f aca="false">IF(A1350="HK","100",IF(A1350="CN","200",IF(A1350="TW","300",IF(ISNUMBER(SEARCH("태국",C1350)),"500",IF(ISNUMBER(SEARCH("말레이",C1350)),"600",IF(ISNUMBER(SEARCH("필리핀",C1350)),"700",IF(ISNUMBER(SEARCH("인도네시아",C1350)),"800",IF(ISNUMBER(SEARCH("크루즈",C1350)),"810",IF(ISNUMBER(SEARCH("동물원",C1350)),"830","")))))))))</f>
        <v>800</v>
      </c>
    </row>
    <row r="1351" customFormat="false" ht="15" hidden="false" customHeight="false" outlineLevel="0" collapsed="false">
      <c r="A1351" s="32" t="str">
        <f aca="false">IF(OR(TRIM(C1351)="",SUBSTITUTE(C1351," ","")="소계"),"제외",IF(ISNUMBER(SEARCH("홍콩",C1351)),"HK",IF(ISNUMBER(SEARCH("상해",C1351)),"CN",IF(ISNUMBER(SEARCH("대만",C1351)),"TW","홀세일"))))</f>
        <v>홀세일</v>
      </c>
      <c r="B1351" s="36" t="s">
        <v>1445</v>
      </c>
      <c r="C1351" s="36" t="s">
        <v>1446</v>
      </c>
      <c r="D1351" s="37" t="s">
        <v>123</v>
      </c>
      <c r="E1351" s="36" t="n">
        <v>2026</v>
      </c>
      <c r="F1351" s="36" t="s">
        <v>110</v>
      </c>
      <c r="G1351" s="37" t="s">
        <v>102</v>
      </c>
      <c r="H1351" s="36" t="s">
        <v>131</v>
      </c>
      <c r="I1351" s="36" t="s">
        <v>950</v>
      </c>
      <c r="J1351" s="37" t="s">
        <v>951</v>
      </c>
      <c r="K1351" s="38" t="n">
        <v>10</v>
      </c>
      <c r="L1351" s="38" t="n">
        <v>1190000</v>
      </c>
      <c r="M1351" s="38" t="n">
        <v>478040</v>
      </c>
      <c r="N1351" s="39" t="n">
        <f aca="false">IF(A1351="제외",0,IF(OR(N(L1351)&lt;=0,N(M1351)&gt;N(L1351)),N(M1351)/요약!$D$27,N(L1351)))</f>
        <v>1190000</v>
      </c>
      <c r="O1351" s="32" t="str">
        <f aca="false">IF(A1351="제외","",IF(OR(N(L1351)&lt;=0,N(M1351)&gt;N(L1351)),"택가보정(판매금액÷공급율)",""))</f>
        <v/>
      </c>
      <c r="P1351" s="0" t="str">
        <f aca="false">IF(A1351="HK","100",IF(A1351="CN","200",IF(A1351="TW","300",IF(ISNUMBER(SEARCH("태국",C1351)),"500",IF(ISNUMBER(SEARCH("말레이",C1351)),"600",IF(ISNUMBER(SEARCH("필리핀",C1351)),"700",IF(ISNUMBER(SEARCH("인도네시아",C1351)),"800",IF(ISNUMBER(SEARCH("크루즈",C1351)),"810",IF(ISNUMBER(SEARCH("동물원",C1351)),"830","")))))))))</f>
        <v>800</v>
      </c>
    </row>
    <row r="1352" customFormat="false" ht="15" hidden="false" customHeight="false" outlineLevel="0" collapsed="false">
      <c r="A1352" s="32" t="str">
        <f aca="false">IF(OR(TRIM(C1352)="",SUBSTITUTE(C1352," ","")="소계"),"제외",IF(ISNUMBER(SEARCH("홍콩",C1352)),"HK",IF(ISNUMBER(SEARCH("상해",C1352)),"CN",IF(ISNUMBER(SEARCH("대만",C1352)),"TW","홀세일"))))</f>
        <v>홀세일</v>
      </c>
      <c r="B1352" s="36" t="s">
        <v>1445</v>
      </c>
      <c r="C1352" s="36" t="s">
        <v>1446</v>
      </c>
      <c r="D1352" s="37" t="s">
        <v>123</v>
      </c>
      <c r="E1352" s="36" t="n">
        <v>2026</v>
      </c>
      <c r="F1352" s="36" t="s">
        <v>110</v>
      </c>
      <c r="G1352" s="37" t="s">
        <v>102</v>
      </c>
      <c r="H1352" s="36" t="s">
        <v>131</v>
      </c>
      <c r="I1352" s="36" t="s">
        <v>1352</v>
      </c>
      <c r="J1352" s="37" t="s">
        <v>1353</v>
      </c>
      <c r="K1352" s="38" t="n">
        <v>10</v>
      </c>
      <c r="L1352" s="38" t="n">
        <v>3490000</v>
      </c>
      <c r="M1352" s="38" t="n">
        <v>1402370</v>
      </c>
      <c r="N1352" s="39" t="n">
        <f aca="false">IF(A1352="제외",0,IF(OR(N(L1352)&lt;=0,N(M1352)&gt;N(L1352)),N(M1352)/요약!$D$27,N(L1352)))</f>
        <v>3490000</v>
      </c>
      <c r="O1352" s="32" t="str">
        <f aca="false">IF(A1352="제외","",IF(OR(N(L1352)&lt;=0,N(M1352)&gt;N(L1352)),"택가보정(판매금액÷공급율)",""))</f>
        <v/>
      </c>
      <c r="P1352" s="0" t="str">
        <f aca="false">IF(A1352="HK","100",IF(A1352="CN","200",IF(A1352="TW","300",IF(ISNUMBER(SEARCH("태국",C1352)),"500",IF(ISNUMBER(SEARCH("말레이",C1352)),"600",IF(ISNUMBER(SEARCH("필리핀",C1352)),"700",IF(ISNUMBER(SEARCH("인도네시아",C1352)),"800",IF(ISNUMBER(SEARCH("크루즈",C1352)),"810",IF(ISNUMBER(SEARCH("동물원",C1352)),"830","")))))))))</f>
        <v>800</v>
      </c>
    </row>
    <row r="1353" customFormat="false" ht="15" hidden="false" customHeight="false" outlineLevel="0" collapsed="false">
      <c r="A1353" s="32" t="str">
        <f aca="false">IF(OR(TRIM(C1353)="",SUBSTITUTE(C1353," ","")="소계"),"제외",IF(ISNUMBER(SEARCH("홍콩",C1353)),"HK",IF(ISNUMBER(SEARCH("상해",C1353)),"CN",IF(ISNUMBER(SEARCH("대만",C1353)),"TW","홀세일"))))</f>
        <v>홀세일</v>
      </c>
      <c r="B1353" s="36" t="s">
        <v>1445</v>
      </c>
      <c r="C1353" s="36" t="s">
        <v>1446</v>
      </c>
      <c r="D1353" s="37" t="s">
        <v>123</v>
      </c>
      <c r="E1353" s="36" t="n">
        <v>2026</v>
      </c>
      <c r="F1353" s="36" t="s">
        <v>110</v>
      </c>
      <c r="G1353" s="37" t="s">
        <v>102</v>
      </c>
      <c r="H1353" s="36" t="s">
        <v>125</v>
      </c>
      <c r="I1353" s="36" t="s">
        <v>1451</v>
      </c>
      <c r="J1353" s="37" t="s">
        <v>1452</v>
      </c>
      <c r="K1353" s="38" t="n">
        <v>5</v>
      </c>
      <c r="L1353" s="38" t="n">
        <v>995000</v>
      </c>
      <c r="M1353" s="38" t="n">
        <v>400135</v>
      </c>
      <c r="N1353" s="39" t="n">
        <f aca="false">IF(A1353="제외",0,IF(OR(N(L1353)&lt;=0,N(M1353)&gt;N(L1353)),N(M1353)/요약!$D$27,N(L1353)))</f>
        <v>995000</v>
      </c>
      <c r="O1353" s="32" t="str">
        <f aca="false">IF(A1353="제외","",IF(OR(N(L1353)&lt;=0,N(M1353)&gt;N(L1353)),"택가보정(판매금액÷공급율)",""))</f>
        <v/>
      </c>
      <c r="P1353" s="0" t="str">
        <f aca="false">IF(A1353="HK","100",IF(A1353="CN","200",IF(A1353="TW","300",IF(ISNUMBER(SEARCH("태국",C1353)),"500",IF(ISNUMBER(SEARCH("말레이",C1353)),"600",IF(ISNUMBER(SEARCH("필리핀",C1353)),"700",IF(ISNUMBER(SEARCH("인도네시아",C1353)),"800",IF(ISNUMBER(SEARCH("크루즈",C1353)),"810",IF(ISNUMBER(SEARCH("동물원",C1353)),"830","")))))))))</f>
        <v>800</v>
      </c>
    </row>
    <row r="1354" customFormat="false" ht="15" hidden="false" customHeight="false" outlineLevel="0" collapsed="false">
      <c r="A1354" s="32" t="str">
        <f aca="false">IF(OR(TRIM(C1354)="",SUBSTITUTE(C1354," ","")="소계"),"제외",IF(ISNUMBER(SEARCH("홍콩",C1354)),"HK",IF(ISNUMBER(SEARCH("상해",C1354)),"CN",IF(ISNUMBER(SEARCH("대만",C1354)),"TW","홀세일"))))</f>
        <v>홀세일</v>
      </c>
      <c r="B1354" s="36" t="s">
        <v>1445</v>
      </c>
      <c r="C1354" s="36" t="s">
        <v>1446</v>
      </c>
      <c r="D1354" s="37" t="s">
        <v>123</v>
      </c>
      <c r="E1354" s="36" t="n">
        <v>2026</v>
      </c>
      <c r="F1354" s="36" t="s">
        <v>110</v>
      </c>
      <c r="G1354" s="37" t="s">
        <v>102</v>
      </c>
      <c r="H1354" s="36" t="s">
        <v>125</v>
      </c>
      <c r="I1354" s="36" t="s">
        <v>1415</v>
      </c>
      <c r="J1354" s="37" t="s">
        <v>1416</v>
      </c>
      <c r="K1354" s="38" t="n">
        <v>5</v>
      </c>
      <c r="L1354" s="38" t="n">
        <v>945000</v>
      </c>
      <c r="M1354" s="38" t="n">
        <v>379715</v>
      </c>
      <c r="N1354" s="39" t="n">
        <f aca="false">IF(A1354="제외",0,IF(OR(N(L1354)&lt;=0,N(M1354)&gt;N(L1354)),N(M1354)/요약!$D$27,N(L1354)))</f>
        <v>945000</v>
      </c>
      <c r="O1354" s="32" t="str">
        <f aca="false">IF(A1354="제외","",IF(OR(N(L1354)&lt;=0,N(M1354)&gt;N(L1354)),"택가보정(판매금액÷공급율)",""))</f>
        <v/>
      </c>
      <c r="P1354" s="0" t="str">
        <f aca="false">IF(A1354="HK","100",IF(A1354="CN","200",IF(A1354="TW","300",IF(ISNUMBER(SEARCH("태국",C1354)),"500",IF(ISNUMBER(SEARCH("말레이",C1354)),"600",IF(ISNUMBER(SEARCH("필리핀",C1354)),"700",IF(ISNUMBER(SEARCH("인도네시아",C1354)),"800",IF(ISNUMBER(SEARCH("크루즈",C1354)),"810",IF(ISNUMBER(SEARCH("동물원",C1354)),"830","")))))))))</f>
        <v>800</v>
      </c>
    </row>
    <row r="1355" customFormat="false" ht="15" hidden="false" customHeight="false" outlineLevel="0" collapsed="false">
      <c r="A1355" s="32" t="str">
        <f aca="false">IF(OR(TRIM(C1355)="",SUBSTITUTE(C1355," ","")="소계"),"제외",IF(ISNUMBER(SEARCH("홍콩",C1355)),"HK",IF(ISNUMBER(SEARCH("상해",C1355)),"CN",IF(ISNUMBER(SEARCH("대만",C1355)),"TW","홀세일"))))</f>
        <v>홀세일</v>
      </c>
      <c r="B1355" s="36" t="s">
        <v>1445</v>
      </c>
      <c r="C1355" s="36" t="s">
        <v>1446</v>
      </c>
      <c r="D1355" s="37" t="s">
        <v>123</v>
      </c>
      <c r="E1355" s="36" t="n">
        <v>2026</v>
      </c>
      <c r="F1355" s="36" t="s">
        <v>110</v>
      </c>
      <c r="G1355" s="37" t="s">
        <v>102</v>
      </c>
      <c r="H1355" s="36" t="s">
        <v>125</v>
      </c>
      <c r="I1355" s="36" t="s">
        <v>587</v>
      </c>
      <c r="J1355" s="37" t="s">
        <v>588</v>
      </c>
      <c r="K1355" s="38" t="n">
        <v>5</v>
      </c>
      <c r="L1355" s="38" t="n">
        <v>995000</v>
      </c>
      <c r="M1355" s="38" t="n">
        <v>400135</v>
      </c>
      <c r="N1355" s="39" t="n">
        <f aca="false">IF(A1355="제외",0,IF(OR(N(L1355)&lt;=0,N(M1355)&gt;N(L1355)),N(M1355)/요약!$D$27,N(L1355)))</f>
        <v>995000</v>
      </c>
      <c r="O1355" s="32" t="str">
        <f aca="false">IF(A1355="제외","",IF(OR(N(L1355)&lt;=0,N(M1355)&gt;N(L1355)),"택가보정(판매금액÷공급율)",""))</f>
        <v/>
      </c>
      <c r="P1355" s="0" t="str">
        <f aca="false">IF(A1355="HK","100",IF(A1355="CN","200",IF(A1355="TW","300",IF(ISNUMBER(SEARCH("태국",C1355)),"500",IF(ISNUMBER(SEARCH("말레이",C1355)),"600",IF(ISNUMBER(SEARCH("필리핀",C1355)),"700",IF(ISNUMBER(SEARCH("인도네시아",C1355)),"800",IF(ISNUMBER(SEARCH("크루즈",C1355)),"810",IF(ISNUMBER(SEARCH("동물원",C1355)),"830","")))))))))</f>
        <v>800</v>
      </c>
    </row>
    <row r="1356" customFormat="false" ht="15" hidden="false" customHeight="false" outlineLevel="0" collapsed="false">
      <c r="A1356" s="32" t="str">
        <f aca="false">IF(OR(TRIM(C1356)="",SUBSTITUTE(C1356," ","")="소계"),"제외",IF(ISNUMBER(SEARCH("홍콩",C1356)),"HK",IF(ISNUMBER(SEARCH("상해",C1356)),"CN",IF(ISNUMBER(SEARCH("대만",C1356)),"TW","홀세일"))))</f>
        <v>홀세일</v>
      </c>
      <c r="B1356" s="36" t="s">
        <v>1445</v>
      </c>
      <c r="C1356" s="36" t="s">
        <v>1446</v>
      </c>
      <c r="D1356" s="37" t="s">
        <v>123</v>
      </c>
      <c r="E1356" s="36" t="n">
        <v>2026</v>
      </c>
      <c r="F1356" s="36" t="s">
        <v>110</v>
      </c>
      <c r="G1356" s="37" t="s">
        <v>102</v>
      </c>
      <c r="H1356" s="37" t="s">
        <v>128</v>
      </c>
      <c r="I1356" s="36" t="s">
        <v>1453</v>
      </c>
      <c r="J1356" s="36" t="s">
        <v>1454</v>
      </c>
      <c r="K1356" s="38" t="n">
        <v>10</v>
      </c>
      <c r="L1356" s="38" t="n">
        <v>990000</v>
      </c>
      <c r="M1356" s="38" t="n">
        <v>402400</v>
      </c>
      <c r="N1356" s="39" t="n">
        <f aca="false">IF(A1356="제외",0,IF(OR(N(L1356)&lt;=0,N(M1356)&gt;N(L1356)),N(M1356)/요약!$D$27,N(L1356)))</f>
        <v>990000</v>
      </c>
      <c r="O1356" s="32" t="str">
        <f aca="false">IF(A1356="제외","",IF(OR(N(L1356)&lt;=0,N(M1356)&gt;N(L1356)),"택가보정(판매금액÷공급율)",""))</f>
        <v/>
      </c>
      <c r="P1356" s="0" t="str">
        <f aca="false">IF(A1356="HK","100",IF(A1356="CN","200",IF(A1356="TW","300",IF(ISNUMBER(SEARCH("태국",C1356)),"500",IF(ISNUMBER(SEARCH("말레이",C1356)),"600",IF(ISNUMBER(SEARCH("필리핀",C1356)),"700",IF(ISNUMBER(SEARCH("인도네시아",C1356)),"800",IF(ISNUMBER(SEARCH("크루즈",C1356)),"810",IF(ISNUMBER(SEARCH("동물원",C1356)),"830","")))))))))</f>
        <v>800</v>
      </c>
    </row>
    <row r="1357" customFormat="false" ht="15" hidden="false" customHeight="false" outlineLevel="0" collapsed="false">
      <c r="A1357" s="32" t="str">
        <f aca="false">IF(OR(TRIM(C1357)="",SUBSTITUTE(C1357," ","")="소계"),"제외",IF(ISNUMBER(SEARCH("홍콩",C1357)),"HK",IF(ISNUMBER(SEARCH("상해",C1357)),"CN",IF(ISNUMBER(SEARCH("대만",C1357)),"TW","홀세일"))))</f>
        <v>홀세일</v>
      </c>
      <c r="B1357" s="36" t="s">
        <v>1445</v>
      </c>
      <c r="C1357" s="36" t="s">
        <v>1446</v>
      </c>
      <c r="D1357" s="37" t="s">
        <v>123</v>
      </c>
      <c r="E1357" s="36" t="n">
        <v>2026</v>
      </c>
      <c r="F1357" s="36" t="s">
        <v>110</v>
      </c>
      <c r="G1357" s="37" t="s">
        <v>102</v>
      </c>
      <c r="H1357" s="36" t="s">
        <v>131</v>
      </c>
      <c r="I1357" s="36" t="s">
        <v>591</v>
      </c>
      <c r="J1357" s="37" t="s">
        <v>592</v>
      </c>
      <c r="K1357" s="38" t="n">
        <v>90</v>
      </c>
      <c r="L1357" s="38" t="n">
        <v>11610000</v>
      </c>
      <c r="M1357" s="38" t="n">
        <v>4670010</v>
      </c>
      <c r="N1357" s="39" t="n">
        <f aca="false">IF(A1357="제외",0,IF(OR(N(L1357)&lt;=0,N(M1357)&gt;N(L1357)),N(M1357)/요약!$D$27,N(L1357)))</f>
        <v>11610000</v>
      </c>
      <c r="O1357" s="32" t="str">
        <f aca="false">IF(A1357="제외","",IF(OR(N(L1357)&lt;=0,N(M1357)&gt;N(L1357)),"택가보정(판매금액÷공급율)",""))</f>
        <v/>
      </c>
      <c r="P1357" s="0" t="str">
        <f aca="false">IF(A1357="HK","100",IF(A1357="CN","200",IF(A1357="TW","300",IF(ISNUMBER(SEARCH("태국",C1357)),"500",IF(ISNUMBER(SEARCH("말레이",C1357)),"600",IF(ISNUMBER(SEARCH("필리핀",C1357)),"700",IF(ISNUMBER(SEARCH("인도네시아",C1357)),"800",IF(ISNUMBER(SEARCH("크루즈",C1357)),"810",IF(ISNUMBER(SEARCH("동물원",C1357)),"830","")))))))))</f>
        <v>800</v>
      </c>
    </row>
    <row r="1358" customFormat="false" ht="15" hidden="false" customHeight="false" outlineLevel="0" collapsed="false">
      <c r="A1358" s="32" t="str">
        <f aca="false">IF(OR(TRIM(C1358)="",SUBSTITUTE(C1358," ","")="소계"),"제외",IF(ISNUMBER(SEARCH("홍콩",C1358)),"HK",IF(ISNUMBER(SEARCH("상해",C1358)),"CN",IF(ISNUMBER(SEARCH("대만",C1358)),"TW","홀세일"))))</f>
        <v>홀세일</v>
      </c>
      <c r="B1358" s="36" t="s">
        <v>1445</v>
      </c>
      <c r="C1358" s="36" t="s">
        <v>1446</v>
      </c>
      <c r="D1358" s="37" t="s">
        <v>123</v>
      </c>
      <c r="E1358" s="36" t="n">
        <v>2026</v>
      </c>
      <c r="F1358" s="36" t="s">
        <v>110</v>
      </c>
      <c r="G1358" s="37" t="s">
        <v>102</v>
      </c>
      <c r="H1358" s="36" t="s">
        <v>131</v>
      </c>
      <c r="I1358" s="36" t="s">
        <v>1105</v>
      </c>
      <c r="J1358" s="37" t="s">
        <v>1106</v>
      </c>
      <c r="K1358" s="38" t="n">
        <v>65</v>
      </c>
      <c r="L1358" s="38" t="n">
        <v>7085000</v>
      </c>
      <c r="M1358" s="38" t="n">
        <v>2851615</v>
      </c>
      <c r="N1358" s="39" t="n">
        <f aca="false">IF(A1358="제외",0,IF(OR(N(L1358)&lt;=0,N(M1358)&gt;N(L1358)),N(M1358)/요약!$D$27,N(L1358)))</f>
        <v>7085000</v>
      </c>
      <c r="O1358" s="32" t="str">
        <f aca="false">IF(A1358="제외","",IF(OR(N(L1358)&lt;=0,N(M1358)&gt;N(L1358)),"택가보정(판매금액÷공급율)",""))</f>
        <v/>
      </c>
      <c r="P1358" s="0" t="str">
        <f aca="false">IF(A1358="HK","100",IF(A1358="CN","200",IF(A1358="TW","300",IF(ISNUMBER(SEARCH("태국",C1358)),"500",IF(ISNUMBER(SEARCH("말레이",C1358)),"600",IF(ISNUMBER(SEARCH("필리핀",C1358)),"700",IF(ISNUMBER(SEARCH("인도네시아",C1358)),"800",IF(ISNUMBER(SEARCH("크루즈",C1358)),"810",IF(ISNUMBER(SEARCH("동물원",C1358)),"830","")))))))))</f>
        <v>800</v>
      </c>
    </row>
    <row r="1359" customFormat="false" ht="15" hidden="false" customHeight="false" outlineLevel="0" collapsed="false">
      <c r="A1359" s="32" t="str">
        <f aca="false">IF(OR(TRIM(C1359)="",SUBSTITUTE(C1359," ","")="소계"),"제외",IF(ISNUMBER(SEARCH("홍콩",C1359)),"HK",IF(ISNUMBER(SEARCH("상해",C1359)),"CN",IF(ISNUMBER(SEARCH("대만",C1359)),"TW","홀세일"))))</f>
        <v>홀세일</v>
      </c>
      <c r="B1359" s="36" t="s">
        <v>1445</v>
      </c>
      <c r="C1359" s="36" t="s">
        <v>1446</v>
      </c>
      <c r="D1359" s="37" t="s">
        <v>123</v>
      </c>
      <c r="E1359" s="36" t="n">
        <v>2026</v>
      </c>
      <c r="F1359" s="36" t="s">
        <v>110</v>
      </c>
      <c r="G1359" s="37" t="s">
        <v>102</v>
      </c>
      <c r="H1359" s="36" t="s">
        <v>131</v>
      </c>
      <c r="I1359" s="36" t="s">
        <v>593</v>
      </c>
      <c r="J1359" s="37" t="s">
        <v>594</v>
      </c>
      <c r="K1359" s="38" t="n">
        <v>55</v>
      </c>
      <c r="L1359" s="38" t="n">
        <v>6545000</v>
      </c>
      <c r="M1359" s="38" t="n">
        <v>2629220</v>
      </c>
      <c r="N1359" s="39" t="n">
        <f aca="false">IF(A1359="제외",0,IF(OR(N(L1359)&lt;=0,N(M1359)&gt;N(L1359)),N(M1359)/요약!$D$27,N(L1359)))</f>
        <v>6545000</v>
      </c>
      <c r="O1359" s="32" t="str">
        <f aca="false">IF(A1359="제외","",IF(OR(N(L1359)&lt;=0,N(M1359)&gt;N(L1359)),"택가보정(판매금액÷공급율)",""))</f>
        <v/>
      </c>
      <c r="P1359" s="0" t="str">
        <f aca="false">IF(A1359="HK","100",IF(A1359="CN","200",IF(A1359="TW","300",IF(ISNUMBER(SEARCH("태국",C1359)),"500",IF(ISNUMBER(SEARCH("말레이",C1359)),"600",IF(ISNUMBER(SEARCH("필리핀",C1359)),"700",IF(ISNUMBER(SEARCH("인도네시아",C1359)),"800",IF(ISNUMBER(SEARCH("크루즈",C1359)),"810",IF(ISNUMBER(SEARCH("동물원",C1359)),"830","")))))))))</f>
        <v>800</v>
      </c>
    </row>
    <row r="1360" customFormat="false" ht="15" hidden="false" customHeight="false" outlineLevel="0" collapsed="false">
      <c r="A1360" s="32" t="str">
        <f aca="false">IF(OR(TRIM(C1360)="",SUBSTITUTE(C1360," ","")="소계"),"제외",IF(ISNUMBER(SEARCH("홍콩",C1360)),"HK",IF(ISNUMBER(SEARCH("상해",C1360)),"CN",IF(ISNUMBER(SEARCH("대만",C1360)),"TW","홀세일"))))</f>
        <v>홀세일</v>
      </c>
      <c r="B1360" s="36" t="s">
        <v>1445</v>
      </c>
      <c r="C1360" s="36" t="s">
        <v>1446</v>
      </c>
      <c r="D1360" s="37" t="s">
        <v>123</v>
      </c>
      <c r="E1360" s="36" t="n">
        <v>2026</v>
      </c>
      <c r="F1360" s="36" t="s">
        <v>110</v>
      </c>
      <c r="G1360" s="37" t="s">
        <v>102</v>
      </c>
      <c r="H1360" s="36" t="s">
        <v>131</v>
      </c>
      <c r="I1360" s="36" t="s">
        <v>599</v>
      </c>
      <c r="J1360" s="37" t="s">
        <v>600</v>
      </c>
      <c r="K1360" s="38" t="n">
        <v>20</v>
      </c>
      <c r="L1360" s="38" t="n">
        <v>1580000</v>
      </c>
      <c r="M1360" s="38" t="n">
        <v>635380</v>
      </c>
      <c r="N1360" s="39" t="n">
        <f aca="false">IF(A1360="제외",0,IF(OR(N(L1360)&lt;=0,N(M1360)&gt;N(L1360)),N(M1360)/요약!$D$27,N(L1360)))</f>
        <v>1580000</v>
      </c>
      <c r="O1360" s="32" t="str">
        <f aca="false">IF(A1360="제외","",IF(OR(N(L1360)&lt;=0,N(M1360)&gt;N(L1360)),"택가보정(판매금액÷공급율)",""))</f>
        <v/>
      </c>
      <c r="P1360" s="0" t="str">
        <f aca="false">IF(A1360="HK","100",IF(A1360="CN","200",IF(A1360="TW","300",IF(ISNUMBER(SEARCH("태국",C1360)),"500",IF(ISNUMBER(SEARCH("말레이",C1360)),"600",IF(ISNUMBER(SEARCH("필리핀",C1360)),"700",IF(ISNUMBER(SEARCH("인도네시아",C1360)),"800",IF(ISNUMBER(SEARCH("크루즈",C1360)),"810",IF(ISNUMBER(SEARCH("동물원",C1360)),"830","")))))))))</f>
        <v>800</v>
      </c>
    </row>
    <row r="1361" customFormat="false" ht="15" hidden="false" customHeight="false" outlineLevel="0" collapsed="false">
      <c r="A1361" s="32" t="str">
        <f aca="false">IF(OR(TRIM(C1361)="",SUBSTITUTE(C1361," ","")="소계"),"제외",IF(ISNUMBER(SEARCH("홍콩",C1361)),"HK",IF(ISNUMBER(SEARCH("상해",C1361)),"CN",IF(ISNUMBER(SEARCH("대만",C1361)),"TW","홀세일"))))</f>
        <v>홀세일</v>
      </c>
      <c r="B1361" s="36" t="s">
        <v>1445</v>
      </c>
      <c r="C1361" s="36" t="s">
        <v>1446</v>
      </c>
      <c r="D1361" s="37" t="s">
        <v>123</v>
      </c>
      <c r="E1361" s="36" t="n">
        <v>2026</v>
      </c>
      <c r="F1361" s="36" t="s">
        <v>110</v>
      </c>
      <c r="G1361" s="37" t="s">
        <v>102</v>
      </c>
      <c r="H1361" s="36" t="s">
        <v>131</v>
      </c>
      <c r="I1361" s="36" t="s">
        <v>609</v>
      </c>
      <c r="J1361" s="36" t="s">
        <v>610</v>
      </c>
      <c r="K1361" s="38" t="n">
        <v>30</v>
      </c>
      <c r="L1361" s="38" t="n">
        <v>1770000</v>
      </c>
      <c r="M1361" s="38" t="n">
        <v>712530</v>
      </c>
      <c r="N1361" s="39" t="n">
        <f aca="false">IF(A1361="제외",0,IF(OR(N(L1361)&lt;=0,N(M1361)&gt;N(L1361)),N(M1361)/요약!$D$27,N(L1361)))</f>
        <v>1770000</v>
      </c>
      <c r="O1361" s="32" t="str">
        <f aca="false">IF(A1361="제외","",IF(OR(N(L1361)&lt;=0,N(M1361)&gt;N(L1361)),"택가보정(판매금액÷공급율)",""))</f>
        <v/>
      </c>
      <c r="P1361" s="0" t="str">
        <f aca="false">IF(A1361="HK","100",IF(A1361="CN","200",IF(A1361="TW","300",IF(ISNUMBER(SEARCH("태국",C1361)),"500",IF(ISNUMBER(SEARCH("말레이",C1361)),"600",IF(ISNUMBER(SEARCH("필리핀",C1361)),"700",IF(ISNUMBER(SEARCH("인도네시아",C1361)),"800",IF(ISNUMBER(SEARCH("크루즈",C1361)),"810",IF(ISNUMBER(SEARCH("동물원",C1361)),"830","")))))))))</f>
        <v>800</v>
      </c>
    </row>
    <row r="1362" customFormat="false" ht="15" hidden="false" customHeight="false" outlineLevel="0" collapsed="false">
      <c r="A1362" s="32" t="str">
        <f aca="false">IF(OR(TRIM(C1362)="",SUBSTITUTE(C1362," ","")="소계"),"제외",IF(ISNUMBER(SEARCH("홍콩",C1362)),"HK",IF(ISNUMBER(SEARCH("상해",C1362)),"CN",IF(ISNUMBER(SEARCH("대만",C1362)),"TW","홀세일"))))</f>
        <v>홀세일</v>
      </c>
      <c r="B1362" s="36" t="s">
        <v>1445</v>
      </c>
      <c r="C1362" s="36" t="s">
        <v>1446</v>
      </c>
      <c r="D1362" s="37" t="s">
        <v>123</v>
      </c>
      <c r="E1362" s="36" t="n">
        <v>2026</v>
      </c>
      <c r="F1362" s="36" t="s">
        <v>110</v>
      </c>
      <c r="G1362" s="37" t="s">
        <v>102</v>
      </c>
      <c r="H1362" s="36" t="s">
        <v>131</v>
      </c>
      <c r="I1362" s="36" t="s">
        <v>960</v>
      </c>
      <c r="J1362" s="36" t="s">
        <v>961</v>
      </c>
      <c r="K1362" s="38" t="n">
        <v>20</v>
      </c>
      <c r="L1362" s="38" t="n">
        <v>1580000</v>
      </c>
      <c r="M1362" s="38" t="n">
        <v>635380</v>
      </c>
      <c r="N1362" s="39" t="n">
        <f aca="false">IF(A1362="제외",0,IF(OR(N(L1362)&lt;=0,N(M1362)&gt;N(L1362)),N(M1362)/요약!$D$27,N(L1362)))</f>
        <v>1580000</v>
      </c>
      <c r="O1362" s="32" t="str">
        <f aca="false">IF(A1362="제외","",IF(OR(N(L1362)&lt;=0,N(M1362)&gt;N(L1362)),"택가보정(판매금액÷공급율)",""))</f>
        <v/>
      </c>
      <c r="P1362" s="0" t="str">
        <f aca="false">IF(A1362="HK","100",IF(A1362="CN","200",IF(A1362="TW","300",IF(ISNUMBER(SEARCH("태국",C1362)),"500",IF(ISNUMBER(SEARCH("말레이",C1362)),"600",IF(ISNUMBER(SEARCH("필리핀",C1362)),"700",IF(ISNUMBER(SEARCH("인도네시아",C1362)),"800",IF(ISNUMBER(SEARCH("크루즈",C1362)),"810",IF(ISNUMBER(SEARCH("동물원",C1362)),"830","")))))))))</f>
        <v>800</v>
      </c>
    </row>
    <row r="1363" customFormat="false" ht="15" hidden="false" customHeight="false" outlineLevel="0" collapsed="false">
      <c r="A1363" s="32" t="str">
        <f aca="false">IF(OR(TRIM(C1363)="",SUBSTITUTE(C1363," ","")="소계"),"제외",IF(ISNUMBER(SEARCH("홍콩",C1363)),"HK",IF(ISNUMBER(SEARCH("상해",C1363)),"CN",IF(ISNUMBER(SEARCH("대만",C1363)),"TW","홀세일"))))</f>
        <v>홀세일</v>
      </c>
      <c r="B1363" s="36" t="s">
        <v>1445</v>
      </c>
      <c r="C1363" s="36" t="s">
        <v>1446</v>
      </c>
      <c r="D1363" s="37" t="s">
        <v>123</v>
      </c>
      <c r="E1363" s="36" t="n">
        <v>2026</v>
      </c>
      <c r="F1363" s="36" t="s">
        <v>110</v>
      </c>
      <c r="G1363" s="37" t="s">
        <v>102</v>
      </c>
      <c r="H1363" s="36" t="s">
        <v>131</v>
      </c>
      <c r="I1363" s="36" t="s">
        <v>611</v>
      </c>
      <c r="J1363" s="36" t="s">
        <v>612</v>
      </c>
      <c r="K1363" s="38" t="n">
        <v>20</v>
      </c>
      <c r="L1363" s="38" t="n">
        <v>1380000</v>
      </c>
      <c r="M1363" s="38" t="n">
        <v>556720</v>
      </c>
      <c r="N1363" s="39" t="n">
        <f aca="false">IF(A1363="제외",0,IF(OR(N(L1363)&lt;=0,N(M1363)&gt;N(L1363)),N(M1363)/요약!$D$27,N(L1363)))</f>
        <v>1380000</v>
      </c>
      <c r="O1363" s="32" t="str">
        <f aca="false">IF(A1363="제외","",IF(OR(N(L1363)&lt;=0,N(M1363)&gt;N(L1363)),"택가보정(판매금액÷공급율)",""))</f>
        <v/>
      </c>
      <c r="P1363" s="0" t="str">
        <f aca="false">IF(A1363="HK","100",IF(A1363="CN","200",IF(A1363="TW","300",IF(ISNUMBER(SEARCH("태국",C1363)),"500",IF(ISNUMBER(SEARCH("말레이",C1363)),"600",IF(ISNUMBER(SEARCH("필리핀",C1363)),"700",IF(ISNUMBER(SEARCH("인도네시아",C1363)),"800",IF(ISNUMBER(SEARCH("크루즈",C1363)),"810",IF(ISNUMBER(SEARCH("동물원",C1363)),"830","")))))))))</f>
        <v>800</v>
      </c>
    </row>
    <row r="1364" customFormat="false" ht="15" hidden="false" customHeight="false" outlineLevel="0" collapsed="false">
      <c r="A1364" s="32" t="str">
        <f aca="false">IF(OR(TRIM(C1364)="",SUBSTITUTE(C1364," ","")="소계"),"제외",IF(ISNUMBER(SEARCH("홍콩",C1364)),"HK",IF(ISNUMBER(SEARCH("상해",C1364)),"CN",IF(ISNUMBER(SEARCH("대만",C1364)),"TW","홀세일"))))</f>
        <v>홀세일</v>
      </c>
      <c r="B1364" s="36" t="s">
        <v>1445</v>
      </c>
      <c r="C1364" s="36" t="s">
        <v>1446</v>
      </c>
      <c r="D1364" s="37" t="s">
        <v>123</v>
      </c>
      <c r="E1364" s="36" t="n">
        <v>2026</v>
      </c>
      <c r="F1364" s="36" t="s">
        <v>110</v>
      </c>
      <c r="G1364" s="37" t="s">
        <v>102</v>
      </c>
      <c r="H1364" s="36" t="s">
        <v>131</v>
      </c>
      <c r="I1364" s="36" t="s">
        <v>619</v>
      </c>
      <c r="J1364" s="37" t="s">
        <v>620</v>
      </c>
      <c r="K1364" s="38" t="n">
        <v>90</v>
      </c>
      <c r="L1364" s="38" t="n">
        <v>3510000</v>
      </c>
      <c r="M1364" s="38" t="n">
        <v>1415970</v>
      </c>
      <c r="N1364" s="39" t="n">
        <f aca="false">IF(A1364="제외",0,IF(OR(N(L1364)&lt;=0,N(M1364)&gt;N(L1364)),N(M1364)/요약!$D$27,N(L1364)))</f>
        <v>3510000</v>
      </c>
      <c r="O1364" s="32" t="str">
        <f aca="false">IF(A1364="제외","",IF(OR(N(L1364)&lt;=0,N(M1364)&gt;N(L1364)),"택가보정(판매금액÷공급율)",""))</f>
        <v/>
      </c>
      <c r="P1364" s="0" t="str">
        <f aca="false">IF(A1364="HK","100",IF(A1364="CN","200",IF(A1364="TW","300",IF(ISNUMBER(SEARCH("태국",C1364)),"500",IF(ISNUMBER(SEARCH("말레이",C1364)),"600",IF(ISNUMBER(SEARCH("필리핀",C1364)),"700",IF(ISNUMBER(SEARCH("인도네시아",C1364)),"800",IF(ISNUMBER(SEARCH("크루즈",C1364)),"810",IF(ISNUMBER(SEARCH("동물원",C1364)),"830","")))))))))</f>
        <v>800</v>
      </c>
    </row>
    <row r="1365" customFormat="false" ht="15" hidden="false" customHeight="false" outlineLevel="0" collapsed="false">
      <c r="A1365" s="32" t="str">
        <f aca="false">IF(OR(TRIM(C1365)="",SUBSTITUTE(C1365," ","")="소계"),"제외",IF(ISNUMBER(SEARCH("홍콩",C1365)),"HK",IF(ISNUMBER(SEARCH("상해",C1365)),"CN",IF(ISNUMBER(SEARCH("대만",C1365)),"TW","홀세일"))))</f>
        <v>홀세일</v>
      </c>
      <c r="B1365" s="36" t="s">
        <v>1445</v>
      </c>
      <c r="C1365" s="36" t="s">
        <v>1446</v>
      </c>
      <c r="D1365" s="37" t="s">
        <v>123</v>
      </c>
      <c r="E1365" s="36" t="n">
        <v>2026</v>
      </c>
      <c r="F1365" s="36" t="s">
        <v>110</v>
      </c>
      <c r="G1365" s="37" t="s">
        <v>102</v>
      </c>
      <c r="H1365" s="36" t="s">
        <v>131</v>
      </c>
      <c r="I1365" s="36" t="s">
        <v>621</v>
      </c>
      <c r="J1365" s="37" t="s">
        <v>622</v>
      </c>
      <c r="K1365" s="38" t="n">
        <v>105</v>
      </c>
      <c r="L1365" s="38" t="n">
        <v>4095000</v>
      </c>
      <c r="M1365" s="38" t="n">
        <v>1651965</v>
      </c>
      <c r="N1365" s="39" t="n">
        <f aca="false">IF(A1365="제외",0,IF(OR(N(L1365)&lt;=0,N(M1365)&gt;N(L1365)),N(M1365)/요약!$D$27,N(L1365)))</f>
        <v>4095000</v>
      </c>
      <c r="O1365" s="32" t="str">
        <f aca="false">IF(A1365="제외","",IF(OR(N(L1365)&lt;=0,N(M1365)&gt;N(L1365)),"택가보정(판매금액÷공급율)",""))</f>
        <v/>
      </c>
      <c r="P1365" s="0" t="str">
        <f aca="false">IF(A1365="HK","100",IF(A1365="CN","200",IF(A1365="TW","300",IF(ISNUMBER(SEARCH("태국",C1365)),"500",IF(ISNUMBER(SEARCH("말레이",C1365)),"600",IF(ISNUMBER(SEARCH("필리핀",C1365)),"700",IF(ISNUMBER(SEARCH("인도네시아",C1365)),"800",IF(ISNUMBER(SEARCH("크루즈",C1365)),"810",IF(ISNUMBER(SEARCH("동물원",C1365)),"830","")))))))))</f>
        <v>800</v>
      </c>
    </row>
    <row r="1366" customFormat="false" ht="15" hidden="false" customHeight="false" outlineLevel="0" collapsed="false">
      <c r="A1366" s="32" t="str">
        <f aca="false">IF(OR(TRIM(C1366)="",SUBSTITUTE(C1366," ","")="소계"),"제외",IF(ISNUMBER(SEARCH("홍콩",C1366)),"HK",IF(ISNUMBER(SEARCH("상해",C1366)),"CN",IF(ISNUMBER(SEARCH("대만",C1366)),"TW","홀세일"))))</f>
        <v>홀세일</v>
      </c>
      <c r="B1366" s="36" t="s">
        <v>1445</v>
      </c>
      <c r="C1366" s="36" t="s">
        <v>1446</v>
      </c>
      <c r="D1366" s="37" t="s">
        <v>123</v>
      </c>
      <c r="E1366" s="36" t="n">
        <v>2026</v>
      </c>
      <c r="F1366" s="36" t="s">
        <v>110</v>
      </c>
      <c r="G1366" s="37" t="s">
        <v>102</v>
      </c>
      <c r="H1366" s="36" t="s">
        <v>131</v>
      </c>
      <c r="I1366" s="36" t="s">
        <v>623</v>
      </c>
      <c r="J1366" s="37" t="s">
        <v>624</v>
      </c>
      <c r="K1366" s="38" t="n">
        <v>65</v>
      </c>
      <c r="L1366" s="38" t="n">
        <v>3185000</v>
      </c>
      <c r="M1366" s="38" t="n">
        <v>1288170</v>
      </c>
      <c r="N1366" s="39" t="n">
        <f aca="false">IF(A1366="제외",0,IF(OR(N(L1366)&lt;=0,N(M1366)&gt;N(L1366)),N(M1366)/요약!$D$27,N(L1366)))</f>
        <v>3185000</v>
      </c>
      <c r="O1366" s="32" t="str">
        <f aca="false">IF(A1366="제외","",IF(OR(N(L1366)&lt;=0,N(M1366)&gt;N(L1366)),"택가보정(판매금액÷공급율)",""))</f>
        <v/>
      </c>
      <c r="P1366" s="0" t="str">
        <f aca="false">IF(A1366="HK","100",IF(A1366="CN","200",IF(A1366="TW","300",IF(ISNUMBER(SEARCH("태국",C1366)),"500",IF(ISNUMBER(SEARCH("말레이",C1366)),"600",IF(ISNUMBER(SEARCH("필리핀",C1366)),"700",IF(ISNUMBER(SEARCH("인도네시아",C1366)),"800",IF(ISNUMBER(SEARCH("크루즈",C1366)),"810",IF(ISNUMBER(SEARCH("동물원",C1366)),"830","")))))))))</f>
        <v>800</v>
      </c>
    </row>
    <row r="1367" customFormat="false" ht="15" hidden="false" customHeight="false" outlineLevel="0" collapsed="false">
      <c r="A1367" s="32" t="str">
        <f aca="false">IF(OR(TRIM(C1367)="",SUBSTITUTE(C1367," ","")="소계"),"제외",IF(ISNUMBER(SEARCH("홍콩",C1367)),"HK",IF(ISNUMBER(SEARCH("상해",C1367)),"CN",IF(ISNUMBER(SEARCH("대만",C1367)),"TW","홀세일"))))</f>
        <v>홀세일</v>
      </c>
      <c r="B1367" s="36" t="s">
        <v>1445</v>
      </c>
      <c r="C1367" s="36" t="s">
        <v>1446</v>
      </c>
      <c r="D1367" s="37" t="s">
        <v>123</v>
      </c>
      <c r="E1367" s="36" t="n">
        <v>2026</v>
      </c>
      <c r="F1367" s="36" t="s">
        <v>110</v>
      </c>
      <c r="G1367" s="37" t="s">
        <v>102</v>
      </c>
      <c r="H1367" s="36" t="s">
        <v>131</v>
      </c>
      <c r="I1367" s="36" t="s">
        <v>968</v>
      </c>
      <c r="J1367" s="37" t="s">
        <v>969</v>
      </c>
      <c r="K1367" s="38" t="n">
        <v>25</v>
      </c>
      <c r="L1367" s="38" t="n">
        <v>1225000</v>
      </c>
      <c r="M1367" s="38" t="n">
        <v>495450</v>
      </c>
      <c r="N1367" s="39" t="n">
        <f aca="false">IF(A1367="제외",0,IF(OR(N(L1367)&lt;=0,N(M1367)&gt;N(L1367)),N(M1367)/요약!$D$27,N(L1367)))</f>
        <v>1225000</v>
      </c>
      <c r="O1367" s="32" t="str">
        <f aca="false">IF(A1367="제외","",IF(OR(N(L1367)&lt;=0,N(M1367)&gt;N(L1367)),"택가보정(판매금액÷공급율)",""))</f>
        <v/>
      </c>
      <c r="P1367" s="0" t="str">
        <f aca="false">IF(A1367="HK","100",IF(A1367="CN","200",IF(A1367="TW","300",IF(ISNUMBER(SEARCH("태국",C1367)),"500",IF(ISNUMBER(SEARCH("말레이",C1367)),"600",IF(ISNUMBER(SEARCH("필리핀",C1367)),"700",IF(ISNUMBER(SEARCH("인도네시아",C1367)),"800",IF(ISNUMBER(SEARCH("크루즈",C1367)),"810",IF(ISNUMBER(SEARCH("동물원",C1367)),"830","")))))))))</f>
        <v>800</v>
      </c>
    </row>
    <row r="1368" customFormat="false" ht="15" hidden="false" customHeight="false" outlineLevel="0" collapsed="false">
      <c r="A1368" s="32" t="str">
        <f aca="false">IF(OR(TRIM(C1368)="",SUBSTITUTE(C1368," ","")="소계"),"제외",IF(ISNUMBER(SEARCH("홍콩",C1368)),"HK",IF(ISNUMBER(SEARCH("상해",C1368)),"CN",IF(ISNUMBER(SEARCH("대만",C1368)),"TW","홀세일"))))</f>
        <v>홀세일</v>
      </c>
      <c r="B1368" s="36" t="s">
        <v>1445</v>
      </c>
      <c r="C1368" s="36" t="s">
        <v>1446</v>
      </c>
      <c r="D1368" s="37" t="s">
        <v>123</v>
      </c>
      <c r="E1368" s="36" t="n">
        <v>2026</v>
      </c>
      <c r="F1368" s="36" t="s">
        <v>110</v>
      </c>
      <c r="G1368" s="37" t="s">
        <v>102</v>
      </c>
      <c r="H1368" s="36" t="s">
        <v>131</v>
      </c>
      <c r="I1368" s="36" t="s">
        <v>625</v>
      </c>
      <c r="J1368" s="37" t="s">
        <v>626</v>
      </c>
      <c r="K1368" s="38" t="n">
        <v>70</v>
      </c>
      <c r="L1368" s="38" t="n">
        <v>4130000</v>
      </c>
      <c r="M1368" s="38" t="n">
        <v>1662570</v>
      </c>
      <c r="N1368" s="39" t="n">
        <f aca="false">IF(A1368="제외",0,IF(OR(N(L1368)&lt;=0,N(M1368)&gt;N(L1368)),N(M1368)/요약!$D$27,N(L1368)))</f>
        <v>4130000</v>
      </c>
      <c r="O1368" s="32" t="str">
        <f aca="false">IF(A1368="제외","",IF(OR(N(L1368)&lt;=0,N(M1368)&gt;N(L1368)),"택가보정(판매금액÷공급율)",""))</f>
        <v/>
      </c>
      <c r="P1368" s="0" t="str">
        <f aca="false">IF(A1368="HK","100",IF(A1368="CN","200",IF(A1368="TW","300",IF(ISNUMBER(SEARCH("태국",C1368)),"500",IF(ISNUMBER(SEARCH("말레이",C1368)),"600",IF(ISNUMBER(SEARCH("필리핀",C1368)),"700",IF(ISNUMBER(SEARCH("인도네시아",C1368)),"800",IF(ISNUMBER(SEARCH("크루즈",C1368)),"810",IF(ISNUMBER(SEARCH("동물원",C1368)),"830","")))))))))</f>
        <v>800</v>
      </c>
    </row>
    <row r="1369" customFormat="false" ht="15" hidden="false" customHeight="false" outlineLevel="0" collapsed="false">
      <c r="A1369" s="32" t="str">
        <f aca="false">IF(OR(TRIM(C1369)="",SUBSTITUTE(C1369," ","")="소계"),"제외",IF(ISNUMBER(SEARCH("홍콩",C1369)),"HK",IF(ISNUMBER(SEARCH("상해",C1369)),"CN",IF(ISNUMBER(SEARCH("대만",C1369)),"TW","홀세일"))))</f>
        <v>홀세일</v>
      </c>
      <c r="B1369" s="36" t="s">
        <v>1445</v>
      </c>
      <c r="C1369" s="36" t="s">
        <v>1446</v>
      </c>
      <c r="D1369" s="37" t="s">
        <v>123</v>
      </c>
      <c r="E1369" s="36" t="n">
        <v>2026</v>
      </c>
      <c r="F1369" s="36" t="s">
        <v>110</v>
      </c>
      <c r="G1369" s="37" t="s">
        <v>102</v>
      </c>
      <c r="H1369" s="36" t="s">
        <v>131</v>
      </c>
      <c r="I1369" s="36" t="s">
        <v>627</v>
      </c>
      <c r="J1369" s="37" t="s">
        <v>628</v>
      </c>
      <c r="K1369" s="38" t="n">
        <v>15</v>
      </c>
      <c r="L1369" s="38" t="n">
        <v>1185000</v>
      </c>
      <c r="M1369" s="38" t="n">
        <v>476535</v>
      </c>
      <c r="N1369" s="39" t="n">
        <f aca="false">IF(A1369="제외",0,IF(OR(N(L1369)&lt;=0,N(M1369)&gt;N(L1369)),N(M1369)/요약!$D$27,N(L1369)))</f>
        <v>1185000</v>
      </c>
      <c r="O1369" s="32" t="str">
        <f aca="false">IF(A1369="제외","",IF(OR(N(L1369)&lt;=0,N(M1369)&gt;N(L1369)),"택가보정(판매금액÷공급율)",""))</f>
        <v/>
      </c>
      <c r="P1369" s="0" t="str">
        <f aca="false">IF(A1369="HK","100",IF(A1369="CN","200",IF(A1369="TW","300",IF(ISNUMBER(SEARCH("태국",C1369)),"500",IF(ISNUMBER(SEARCH("말레이",C1369)),"600",IF(ISNUMBER(SEARCH("필리핀",C1369)),"700",IF(ISNUMBER(SEARCH("인도네시아",C1369)),"800",IF(ISNUMBER(SEARCH("크루즈",C1369)),"810",IF(ISNUMBER(SEARCH("동물원",C1369)),"830","")))))))))</f>
        <v>800</v>
      </c>
    </row>
    <row r="1370" customFormat="false" ht="15" hidden="false" customHeight="false" outlineLevel="0" collapsed="false">
      <c r="A1370" s="32" t="str">
        <f aca="false">IF(OR(TRIM(C1370)="",SUBSTITUTE(C1370," ","")="소계"),"제외",IF(ISNUMBER(SEARCH("홍콩",C1370)),"HK",IF(ISNUMBER(SEARCH("상해",C1370)),"CN",IF(ISNUMBER(SEARCH("대만",C1370)),"TW","홀세일"))))</f>
        <v>홀세일</v>
      </c>
      <c r="B1370" s="36" t="s">
        <v>1445</v>
      </c>
      <c r="C1370" s="36" t="s">
        <v>1446</v>
      </c>
      <c r="D1370" s="37" t="s">
        <v>123</v>
      </c>
      <c r="E1370" s="36" t="n">
        <v>2026</v>
      </c>
      <c r="F1370" s="36" t="s">
        <v>110</v>
      </c>
      <c r="G1370" s="37" t="s">
        <v>102</v>
      </c>
      <c r="H1370" s="36" t="s">
        <v>131</v>
      </c>
      <c r="I1370" s="36" t="s">
        <v>1360</v>
      </c>
      <c r="J1370" s="37" t="s">
        <v>1361</v>
      </c>
      <c r="K1370" s="38" t="n">
        <v>20</v>
      </c>
      <c r="L1370" s="38" t="n">
        <v>1580000</v>
      </c>
      <c r="M1370" s="38" t="n">
        <v>635380</v>
      </c>
      <c r="N1370" s="39" t="n">
        <f aca="false">IF(A1370="제외",0,IF(OR(N(L1370)&lt;=0,N(M1370)&gt;N(L1370)),N(M1370)/요약!$D$27,N(L1370)))</f>
        <v>1580000</v>
      </c>
      <c r="O1370" s="32" t="str">
        <f aca="false">IF(A1370="제외","",IF(OR(N(L1370)&lt;=0,N(M1370)&gt;N(L1370)),"택가보정(판매금액÷공급율)",""))</f>
        <v/>
      </c>
      <c r="P1370" s="0" t="str">
        <f aca="false">IF(A1370="HK","100",IF(A1370="CN","200",IF(A1370="TW","300",IF(ISNUMBER(SEARCH("태국",C1370)),"500",IF(ISNUMBER(SEARCH("말레이",C1370)),"600",IF(ISNUMBER(SEARCH("필리핀",C1370)),"700",IF(ISNUMBER(SEARCH("인도네시아",C1370)),"800",IF(ISNUMBER(SEARCH("크루즈",C1370)),"810",IF(ISNUMBER(SEARCH("동물원",C1370)),"830","")))))))))</f>
        <v>800</v>
      </c>
    </row>
    <row r="1371" customFormat="false" ht="15" hidden="false" customHeight="false" outlineLevel="0" collapsed="false">
      <c r="A1371" s="32" t="str">
        <f aca="false">IF(OR(TRIM(C1371)="",SUBSTITUTE(C1371," ","")="소계"),"제외",IF(ISNUMBER(SEARCH("홍콩",C1371)),"HK",IF(ISNUMBER(SEARCH("상해",C1371)),"CN",IF(ISNUMBER(SEARCH("대만",C1371)),"TW","홀세일"))))</f>
        <v>홀세일</v>
      </c>
      <c r="B1371" s="36" t="s">
        <v>1445</v>
      </c>
      <c r="C1371" s="36" t="s">
        <v>1446</v>
      </c>
      <c r="D1371" s="37" t="s">
        <v>123</v>
      </c>
      <c r="E1371" s="36" t="n">
        <v>2026</v>
      </c>
      <c r="F1371" s="36" t="s">
        <v>110</v>
      </c>
      <c r="G1371" s="37" t="s">
        <v>102</v>
      </c>
      <c r="H1371" s="36" t="s">
        <v>131</v>
      </c>
      <c r="I1371" s="36" t="s">
        <v>631</v>
      </c>
      <c r="J1371" s="37" t="s">
        <v>632</v>
      </c>
      <c r="K1371" s="38" t="n">
        <v>10</v>
      </c>
      <c r="L1371" s="38" t="n">
        <v>590000</v>
      </c>
      <c r="M1371" s="38" t="n">
        <v>237510</v>
      </c>
      <c r="N1371" s="39" t="n">
        <f aca="false">IF(A1371="제외",0,IF(OR(N(L1371)&lt;=0,N(M1371)&gt;N(L1371)),N(M1371)/요약!$D$27,N(L1371)))</f>
        <v>590000</v>
      </c>
      <c r="O1371" s="32" t="str">
        <f aca="false">IF(A1371="제외","",IF(OR(N(L1371)&lt;=0,N(M1371)&gt;N(L1371)),"택가보정(판매금액÷공급율)",""))</f>
        <v/>
      </c>
      <c r="P1371" s="0" t="str">
        <f aca="false">IF(A1371="HK","100",IF(A1371="CN","200",IF(A1371="TW","300",IF(ISNUMBER(SEARCH("태국",C1371)),"500",IF(ISNUMBER(SEARCH("말레이",C1371)),"600",IF(ISNUMBER(SEARCH("필리핀",C1371)),"700",IF(ISNUMBER(SEARCH("인도네시아",C1371)),"800",IF(ISNUMBER(SEARCH("크루즈",C1371)),"810",IF(ISNUMBER(SEARCH("동물원",C1371)),"830","")))))))))</f>
        <v>800</v>
      </c>
    </row>
    <row r="1372" customFormat="false" ht="15" hidden="false" customHeight="false" outlineLevel="0" collapsed="false">
      <c r="A1372" s="32" t="str">
        <f aca="false">IF(OR(TRIM(C1372)="",SUBSTITUTE(C1372," ","")="소계"),"제외",IF(ISNUMBER(SEARCH("홍콩",C1372)),"HK",IF(ISNUMBER(SEARCH("상해",C1372)),"CN",IF(ISNUMBER(SEARCH("대만",C1372)),"TW","홀세일"))))</f>
        <v>홀세일</v>
      </c>
      <c r="B1372" s="36" t="s">
        <v>1445</v>
      </c>
      <c r="C1372" s="36" t="s">
        <v>1446</v>
      </c>
      <c r="D1372" s="37" t="s">
        <v>123</v>
      </c>
      <c r="E1372" s="36" t="n">
        <v>2026</v>
      </c>
      <c r="F1372" s="36" t="s">
        <v>110</v>
      </c>
      <c r="G1372" s="37" t="s">
        <v>102</v>
      </c>
      <c r="H1372" s="36" t="s">
        <v>131</v>
      </c>
      <c r="I1372" s="36" t="s">
        <v>970</v>
      </c>
      <c r="J1372" s="37" t="s">
        <v>971</v>
      </c>
      <c r="K1372" s="38" t="n">
        <v>10</v>
      </c>
      <c r="L1372" s="38" t="n">
        <v>790000</v>
      </c>
      <c r="M1372" s="38" t="n">
        <v>317690</v>
      </c>
      <c r="N1372" s="39" t="n">
        <f aca="false">IF(A1372="제외",0,IF(OR(N(L1372)&lt;=0,N(M1372)&gt;N(L1372)),N(M1372)/요약!$D$27,N(L1372)))</f>
        <v>790000</v>
      </c>
      <c r="O1372" s="32" t="str">
        <f aca="false">IF(A1372="제외","",IF(OR(N(L1372)&lt;=0,N(M1372)&gt;N(L1372)),"택가보정(판매금액÷공급율)",""))</f>
        <v/>
      </c>
      <c r="P1372" s="0" t="str">
        <f aca="false">IF(A1372="HK","100",IF(A1372="CN","200",IF(A1372="TW","300",IF(ISNUMBER(SEARCH("태국",C1372)),"500",IF(ISNUMBER(SEARCH("말레이",C1372)),"600",IF(ISNUMBER(SEARCH("필리핀",C1372)),"700",IF(ISNUMBER(SEARCH("인도네시아",C1372)),"800",IF(ISNUMBER(SEARCH("크루즈",C1372)),"810",IF(ISNUMBER(SEARCH("동물원",C1372)),"830","")))))))))</f>
        <v>800</v>
      </c>
    </row>
    <row r="1373" customFormat="false" ht="15" hidden="false" customHeight="false" outlineLevel="0" collapsed="false">
      <c r="A1373" s="32" t="str">
        <f aca="false">IF(OR(TRIM(C1373)="",SUBSTITUTE(C1373," ","")="소계"),"제외",IF(ISNUMBER(SEARCH("홍콩",C1373)),"HK",IF(ISNUMBER(SEARCH("상해",C1373)),"CN",IF(ISNUMBER(SEARCH("대만",C1373)),"TW","홀세일"))))</f>
        <v>홀세일</v>
      </c>
      <c r="B1373" s="36" t="s">
        <v>1445</v>
      </c>
      <c r="C1373" s="36" t="s">
        <v>1446</v>
      </c>
      <c r="D1373" s="37" t="s">
        <v>123</v>
      </c>
      <c r="E1373" s="36" t="n">
        <v>2026</v>
      </c>
      <c r="F1373" s="36" t="s">
        <v>110</v>
      </c>
      <c r="G1373" s="37" t="s">
        <v>102</v>
      </c>
      <c r="H1373" s="36" t="s">
        <v>131</v>
      </c>
      <c r="I1373" s="36" t="s">
        <v>1364</v>
      </c>
      <c r="J1373" s="36" t="s">
        <v>1365</v>
      </c>
      <c r="K1373" s="38" t="n">
        <v>10</v>
      </c>
      <c r="L1373" s="38" t="n">
        <v>790000</v>
      </c>
      <c r="M1373" s="38" t="n">
        <v>317690</v>
      </c>
      <c r="N1373" s="39" t="n">
        <f aca="false">IF(A1373="제외",0,IF(OR(N(L1373)&lt;=0,N(M1373)&gt;N(L1373)),N(M1373)/요약!$D$27,N(L1373)))</f>
        <v>790000</v>
      </c>
      <c r="O1373" s="32" t="str">
        <f aca="false">IF(A1373="제외","",IF(OR(N(L1373)&lt;=0,N(M1373)&gt;N(L1373)),"택가보정(판매금액÷공급율)",""))</f>
        <v/>
      </c>
      <c r="P1373" s="0" t="str">
        <f aca="false">IF(A1373="HK","100",IF(A1373="CN","200",IF(A1373="TW","300",IF(ISNUMBER(SEARCH("태국",C1373)),"500",IF(ISNUMBER(SEARCH("말레이",C1373)),"600",IF(ISNUMBER(SEARCH("필리핀",C1373)),"700",IF(ISNUMBER(SEARCH("인도네시아",C1373)),"800",IF(ISNUMBER(SEARCH("크루즈",C1373)),"810",IF(ISNUMBER(SEARCH("동물원",C1373)),"830","")))))))))</f>
        <v>800</v>
      </c>
    </row>
    <row r="1374" customFormat="false" ht="15" hidden="false" customHeight="false" outlineLevel="0" collapsed="false">
      <c r="A1374" s="32" t="str">
        <f aca="false">IF(OR(TRIM(C1374)="",SUBSTITUTE(C1374," ","")="소계"),"제외",IF(ISNUMBER(SEARCH("홍콩",C1374)),"HK",IF(ISNUMBER(SEARCH("상해",C1374)),"CN",IF(ISNUMBER(SEARCH("대만",C1374)),"TW","홀세일"))))</f>
        <v>홀세일</v>
      </c>
      <c r="B1374" s="36" t="s">
        <v>1445</v>
      </c>
      <c r="C1374" s="36" t="s">
        <v>1446</v>
      </c>
      <c r="D1374" s="37" t="s">
        <v>123</v>
      </c>
      <c r="E1374" s="36" t="n">
        <v>2026</v>
      </c>
      <c r="F1374" s="36" t="s">
        <v>110</v>
      </c>
      <c r="G1374" s="37" t="s">
        <v>102</v>
      </c>
      <c r="H1374" s="36" t="s">
        <v>131</v>
      </c>
      <c r="I1374" s="36" t="s">
        <v>1109</v>
      </c>
      <c r="J1374" s="37" t="s">
        <v>1110</v>
      </c>
      <c r="K1374" s="38" t="n">
        <v>10</v>
      </c>
      <c r="L1374" s="38" t="n">
        <v>890000</v>
      </c>
      <c r="M1374" s="38" t="n">
        <v>358530</v>
      </c>
      <c r="N1374" s="39" t="n">
        <f aca="false">IF(A1374="제외",0,IF(OR(N(L1374)&lt;=0,N(M1374)&gt;N(L1374)),N(M1374)/요약!$D$27,N(L1374)))</f>
        <v>890000</v>
      </c>
      <c r="O1374" s="32" t="str">
        <f aca="false">IF(A1374="제외","",IF(OR(N(L1374)&lt;=0,N(M1374)&gt;N(L1374)),"택가보정(판매금액÷공급율)",""))</f>
        <v/>
      </c>
      <c r="P1374" s="0" t="str">
        <f aca="false">IF(A1374="HK","100",IF(A1374="CN","200",IF(A1374="TW","300",IF(ISNUMBER(SEARCH("태국",C1374)),"500",IF(ISNUMBER(SEARCH("말레이",C1374)),"600",IF(ISNUMBER(SEARCH("필리핀",C1374)),"700",IF(ISNUMBER(SEARCH("인도네시아",C1374)),"800",IF(ISNUMBER(SEARCH("크루즈",C1374)),"810",IF(ISNUMBER(SEARCH("동물원",C1374)),"830","")))))))))</f>
        <v>800</v>
      </c>
    </row>
    <row r="1375" customFormat="false" ht="15" hidden="false" customHeight="false" outlineLevel="0" collapsed="false">
      <c r="A1375" s="32" t="str">
        <f aca="false">IF(OR(TRIM(C1375)="",SUBSTITUTE(C1375," ","")="소계"),"제외",IF(ISNUMBER(SEARCH("홍콩",C1375)),"HK",IF(ISNUMBER(SEARCH("상해",C1375)),"CN",IF(ISNUMBER(SEARCH("대만",C1375)),"TW","홀세일"))))</f>
        <v>홀세일</v>
      </c>
      <c r="B1375" s="36" t="s">
        <v>1445</v>
      </c>
      <c r="C1375" s="36" t="s">
        <v>1446</v>
      </c>
      <c r="D1375" s="37" t="s">
        <v>123</v>
      </c>
      <c r="E1375" s="36" t="n">
        <v>2026</v>
      </c>
      <c r="F1375" s="36" t="s">
        <v>110</v>
      </c>
      <c r="G1375" s="37" t="s">
        <v>102</v>
      </c>
      <c r="H1375" s="36" t="s">
        <v>131</v>
      </c>
      <c r="I1375" s="36" t="s">
        <v>645</v>
      </c>
      <c r="J1375" s="37" t="s">
        <v>646</v>
      </c>
      <c r="K1375" s="38" t="n">
        <v>20</v>
      </c>
      <c r="L1375" s="38" t="n">
        <v>2580000</v>
      </c>
      <c r="M1375" s="38" t="n">
        <v>1037780</v>
      </c>
      <c r="N1375" s="39" t="n">
        <f aca="false">IF(A1375="제외",0,IF(OR(N(L1375)&lt;=0,N(M1375)&gt;N(L1375)),N(M1375)/요약!$D$27,N(L1375)))</f>
        <v>2580000</v>
      </c>
      <c r="O1375" s="32" t="str">
        <f aca="false">IF(A1375="제외","",IF(OR(N(L1375)&lt;=0,N(M1375)&gt;N(L1375)),"택가보정(판매금액÷공급율)",""))</f>
        <v/>
      </c>
      <c r="P1375" s="0" t="str">
        <f aca="false">IF(A1375="HK","100",IF(A1375="CN","200",IF(A1375="TW","300",IF(ISNUMBER(SEARCH("태국",C1375)),"500",IF(ISNUMBER(SEARCH("말레이",C1375)),"600",IF(ISNUMBER(SEARCH("필리핀",C1375)),"700",IF(ISNUMBER(SEARCH("인도네시아",C1375)),"800",IF(ISNUMBER(SEARCH("크루즈",C1375)),"810",IF(ISNUMBER(SEARCH("동물원",C1375)),"830","")))))))))</f>
        <v>800</v>
      </c>
    </row>
    <row r="1376" customFormat="false" ht="15" hidden="false" customHeight="false" outlineLevel="0" collapsed="false">
      <c r="A1376" s="32" t="str">
        <f aca="false">IF(OR(TRIM(C1376)="",SUBSTITUTE(C1376," ","")="소계"),"제외",IF(ISNUMBER(SEARCH("홍콩",C1376)),"HK",IF(ISNUMBER(SEARCH("상해",C1376)),"CN",IF(ISNUMBER(SEARCH("대만",C1376)),"TW","홀세일"))))</f>
        <v>홀세일</v>
      </c>
      <c r="B1376" s="36" t="s">
        <v>1445</v>
      </c>
      <c r="C1376" s="36" t="s">
        <v>1446</v>
      </c>
      <c r="D1376" s="37" t="s">
        <v>123</v>
      </c>
      <c r="E1376" s="36" t="n">
        <v>2026</v>
      </c>
      <c r="F1376" s="36" t="s">
        <v>110</v>
      </c>
      <c r="G1376" s="37" t="s">
        <v>102</v>
      </c>
      <c r="H1376" s="36" t="s">
        <v>131</v>
      </c>
      <c r="I1376" s="36" t="s">
        <v>647</v>
      </c>
      <c r="J1376" s="37" t="s">
        <v>648</v>
      </c>
      <c r="K1376" s="38" t="n">
        <v>20</v>
      </c>
      <c r="L1376" s="38" t="n">
        <v>2580000</v>
      </c>
      <c r="M1376" s="38" t="n">
        <v>1037780</v>
      </c>
      <c r="N1376" s="39" t="n">
        <f aca="false">IF(A1376="제외",0,IF(OR(N(L1376)&lt;=0,N(M1376)&gt;N(L1376)),N(M1376)/요약!$D$27,N(L1376)))</f>
        <v>2580000</v>
      </c>
      <c r="O1376" s="32" t="str">
        <f aca="false">IF(A1376="제외","",IF(OR(N(L1376)&lt;=0,N(M1376)&gt;N(L1376)),"택가보정(판매금액÷공급율)",""))</f>
        <v/>
      </c>
      <c r="P1376" s="0" t="str">
        <f aca="false">IF(A1376="HK","100",IF(A1376="CN","200",IF(A1376="TW","300",IF(ISNUMBER(SEARCH("태국",C1376)),"500",IF(ISNUMBER(SEARCH("말레이",C1376)),"600",IF(ISNUMBER(SEARCH("필리핀",C1376)),"700",IF(ISNUMBER(SEARCH("인도네시아",C1376)),"800",IF(ISNUMBER(SEARCH("크루즈",C1376)),"810",IF(ISNUMBER(SEARCH("동물원",C1376)),"830","")))))))))</f>
        <v>800</v>
      </c>
    </row>
    <row r="1377" customFormat="false" ht="15" hidden="false" customHeight="false" outlineLevel="0" collapsed="false">
      <c r="A1377" s="32" t="str">
        <f aca="false">IF(OR(TRIM(C1377)="",SUBSTITUTE(C1377," ","")="소계"),"제외",IF(ISNUMBER(SEARCH("홍콩",C1377)),"HK",IF(ISNUMBER(SEARCH("상해",C1377)),"CN",IF(ISNUMBER(SEARCH("대만",C1377)),"TW","홀세일"))))</f>
        <v>홀세일</v>
      </c>
      <c r="B1377" s="36" t="s">
        <v>1445</v>
      </c>
      <c r="C1377" s="36" t="s">
        <v>1446</v>
      </c>
      <c r="D1377" s="37" t="s">
        <v>664</v>
      </c>
      <c r="E1377" s="36" t="n">
        <v>2026</v>
      </c>
      <c r="F1377" s="36" t="s">
        <v>110</v>
      </c>
      <c r="G1377" s="37" t="s">
        <v>102</v>
      </c>
      <c r="H1377" s="36" t="s">
        <v>131</v>
      </c>
      <c r="I1377" s="36" t="s">
        <v>1455</v>
      </c>
      <c r="J1377" s="37" t="s">
        <v>1456</v>
      </c>
      <c r="K1377" s="38" t="n">
        <v>30</v>
      </c>
      <c r="L1377" s="38" t="n">
        <v>2670000</v>
      </c>
      <c r="M1377" s="38" t="n">
        <v>1075590</v>
      </c>
      <c r="N1377" s="39" t="n">
        <f aca="false">IF(A1377="제외",0,IF(OR(N(L1377)&lt;=0,N(M1377)&gt;N(L1377)),N(M1377)/요약!$D$27,N(L1377)))</f>
        <v>2670000</v>
      </c>
      <c r="O1377" s="32" t="str">
        <f aca="false">IF(A1377="제외","",IF(OR(N(L1377)&lt;=0,N(M1377)&gt;N(L1377)),"택가보정(판매금액÷공급율)",""))</f>
        <v/>
      </c>
      <c r="P1377" s="0" t="str">
        <f aca="false">IF(A1377="HK","100",IF(A1377="CN","200",IF(A1377="TW","300",IF(ISNUMBER(SEARCH("태국",C1377)),"500",IF(ISNUMBER(SEARCH("말레이",C1377)),"600",IF(ISNUMBER(SEARCH("필리핀",C1377)),"700",IF(ISNUMBER(SEARCH("인도네시아",C1377)),"800",IF(ISNUMBER(SEARCH("크루즈",C1377)),"810",IF(ISNUMBER(SEARCH("동물원",C1377)),"830","")))))))))</f>
        <v>800</v>
      </c>
    </row>
    <row r="1378" customFormat="false" ht="15" hidden="false" customHeight="false" outlineLevel="0" collapsed="false">
      <c r="A1378" s="32" t="str">
        <f aca="false">IF(OR(TRIM(C1378)="",SUBSTITUTE(C1378," ","")="소계"),"제외",IF(ISNUMBER(SEARCH("홍콩",C1378)),"HK",IF(ISNUMBER(SEARCH("상해",C1378)),"CN",IF(ISNUMBER(SEARCH("대만",C1378)),"TW","홀세일"))))</f>
        <v>제외</v>
      </c>
      <c r="B1378" s="36" t="s">
        <v>762</v>
      </c>
      <c r="C1378" s="37" t="s">
        <v>763</v>
      </c>
      <c r="D1378" s="36"/>
      <c r="E1378" s="36"/>
      <c r="F1378" s="36"/>
      <c r="G1378" s="36"/>
      <c r="H1378" s="36"/>
      <c r="I1378" s="36"/>
      <c r="J1378" s="36"/>
      <c r="K1378" s="38" t="n">
        <v>1165</v>
      </c>
      <c r="L1378" s="38" t="n">
        <v>112195000</v>
      </c>
      <c r="M1378" s="38" t="n">
        <v>45145730</v>
      </c>
      <c r="N1378" s="39" t="n">
        <f aca="false">IF(A1378="제외",0,IF(OR(N(L1378)&lt;=0,N(M1378)&gt;N(L1378)),N(M1378)/요약!$D$27,N(L1378)))</f>
        <v>0</v>
      </c>
      <c r="O1378" s="32" t="str">
        <f aca="false">IF(A1378="제외","",IF(OR(N(L1378)&lt;=0,N(M1378)&gt;N(L1378)),"택가보정(판매금액÷공급율)",""))</f>
        <v/>
      </c>
      <c r="P1378" s="0" t="str">
        <f aca="false">IF(A1378="HK","100",IF(A1378="CN","200",IF(A1378="TW","300",IF(ISNUMBER(SEARCH("태국",C1378)),"500",IF(ISNUMBER(SEARCH("말레이",C1378)),"600",IF(ISNUMBER(SEARCH("필리핀",C1378)),"700",IF(ISNUMBER(SEARCH("인도네시아",C1378)),"800",IF(ISNUMBER(SEARCH("크루즈",C1378)),"810",IF(ISNUMBER(SEARCH("동물원",C1378)),"830","")))))))))</f>
        <v/>
      </c>
    </row>
    <row r="1379" customFormat="false" ht="15" hidden="false" customHeight="false" outlineLevel="0" collapsed="false">
      <c r="A1379" s="32" t="str">
        <f aca="false">IF(OR(TRIM(C1379)="",SUBSTITUTE(C1379," ","")="소계"),"제외",IF(ISNUMBER(SEARCH("홍콩",C1379)),"HK",IF(ISNUMBER(SEARCH("상해",C1379)),"CN",IF(ISNUMBER(SEARCH("대만",C1379)),"TW","홀세일"))))</f>
        <v>홀세일</v>
      </c>
      <c r="B1379" s="36" t="s">
        <v>1457</v>
      </c>
      <c r="C1379" s="37" t="s">
        <v>1458</v>
      </c>
      <c r="D1379" s="37" t="s">
        <v>123</v>
      </c>
      <c r="E1379" s="36" t="n">
        <v>2026</v>
      </c>
      <c r="F1379" s="36" t="s">
        <v>110</v>
      </c>
      <c r="G1379" s="37" t="s">
        <v>102</v>
      </c>
      <c r="H1379" s="37" t="s">
        <v>128</v>
      </c>
      <c r="I1379" s="36" t="s">
        <v>1459</v>
      </c>
      <c r="J1379" s="36" t="s">
        <v>1460</v>
      </c>
      <c r="K1379" s="38" t="n">
        <v>24</v>
      </c>
      <c r="L1379" s="38" t="n">
        <v>1656000</v>
      </c>
      <c r="M1379" s="38" t="n">
        <v>1311816</v>
      </c>
      <c r="N1379" s="39" t="n">
        <f aca="false">IF(A1379="제외",0,IF(OR(N(L1379)&lt;=0,N(M1379)&gt;N(L1379)),N(M1379)/요약!$D$27,N(L1379)))</f>
        <v>1656000</v>
      </c>
      <c r="O1379" s="32" t="str">
        <f aca="false">IF(A1379="제외","",IF(OR(N(L1379)&lt;=0,N(M1379)&gt;N(L1379)),"택가보정(판매금액÷공급율)",""))</f>
        <v/>
      </c>
      <c r="P1379" s="0" t="str">
        <f aca="false">IF(A1379="HK","100",IF(A1379="CN","200",IF(A1379="TW","300",IF(ISNUMBER(SEARCH("태국",C1379)),"500",IF(ISNUMBER(SEARCH("말레이",C1379)),"600",IF(ISNUMBER(SEARCH("필리핀",C1379)),"700",IF(ISNUMBER(SEARCH("인도네시아",C1379)),"800",IF(ISNUMBER(SEARCH("크루즈",C1379)),"810",IF(ISNUMBER(SEARCH("동물원",C1379)),"830","")))))))))</f>
        <v/>
      </c>
    </row>
    <row r="1380" customFormat="false" ht="15" hidden="false" customHeight="false" outlineLevel="0" collapsed="false">
      <c r="A1380" s="32" t="str">
        <f aca="false">IF(OR(TRIM(C1380)="",SUBSTITUTE(C1380," ","")="소계"),"제외",IF(ISNUMBER(SEARCH("홍콩",C1380)),"HK",IF(ISNUMBER(SEARCH("상해",C1380)),"CN",IF(ISNUMBER(SEARCH("대만",C1380)),"TW","홀세일"))))</f>
        <v>홀세일</v>
      </c>
      <c r="B1380" s="36" t="s">
        <v>1457</v>
      </c>
      <c r="C1380" s="37" t="s">
        <v>1458</v>
      </c>
      <c r="D1380" s="37" t="s">
        <v>123</v>
      </c>
      <c r="E1380" s="36" t="n">
        <v>2026</v>
      </c>
      <c r="F1380" s="36" t="s">
        <v>110</v>
      </c>
      <c r="G1380" s="37" t="s">
        <v>102</v>
      </c>
      <c r="H1380" s="37" t="s">
        <v>128</v>
      </c>
      <c r="I1380" s="36" t="s">
        <v>1461</v>
      </c>
      <c r="J1380" s="36" t="s">
        <v>1462</v>
      </c>
      <c r="K1380" s="38" t="n">
        <v>20</v>
      </c>
      <c r="L1380" s="38" t="n">
        <v>1380000</v>
      </c>
      <c r="M1380" s="38" t="n">
        <v>1093180</v>
      </c>
      <c r="N1380" s="39" t="n">
        <f aca="false">IF(A1380="제외",0,IF(OR(N(L1380)&lt;=0,N(M1380)&gt;N(L1380)),N(M1380)/요약!$D$27,N(L1380)))</f>
        <v>1380000</v>
      </c>
      <c r="O1380" s="32" t="str">
        <f aca="false">IF(A1380="제외","",IF(OR(N(L1380)&lt;=0,N(M1380)&gt;N(L1380)),"택가보정(판매금액÷공급율)",""))</f>
        <v/>
      </c>
      <c r="P1380" s="0" t="str">
        <f aca="false">IF(A1380="HK","100",IF(A1380="CN","200",IF(A1380="TW","300",IF(ISNUMBER(SEARCH("태국",C1380)),"500",IF(ISNUMBER(SEARCH("말레이",C1380)),"600",IF(ISNUMBER(SEARCH("필리핀",C1380)),"700",IF(ISNUMBER(SEARCH("인도네시아",C1380)),"800",IF(ISNUMBER(SEARCH("크루즈",C1380)),"810",IF(ISNUMBER(SEARCH("동물원",C1380)),"830","")))))))))</f>
        <v/>
      </c>
    </row>
    <row r="1381" customFormat="false" ht="15" hidden="false" customHeight="false" outlineLevel="0" collapsed="false">
      <c r="A1381" s="32" t="str">
        <f aca="false">IF(OR(TRIM(C1381)="",SUBSTITUTE(C1381," ","")="소계"),"제외",IF(ISNUMBER(SEARCH("홍콩",C1381)),"HK",IF(ISNUMBER(SEARCH("상해",C1381)),"CN",IF(ISNUMBER(SEARCH("대만",C1381)),"TW","홀세일"))))</f>
        <v>홀세일</v>
      </c>
      <c r="B1381" s="36" t="s">
        <v>1457</v>
      </c>
      <c r="C1381" s="37" t="s">
        <v>1458</v>
      </c>
      <c r="D1381" s="37" t="s">
        <v>123</v>
      </c>
      <c r="E1381" s="36" t="n">
        <v>2026</v>
      </c>
      <c r="F1381" s="36" t="s">
        <v>110</v>
      </c>
      <c r="G1381" s="37" t="s">
        <v>102</v>
      </c>
      <c r="H1381" s="37" t="s">
        <v>128</v>
      </c>
      <c r="I1381" s="36" t="s">
        <v>1463</v>
      </c>
      <c r="J1381" s="36" t="s">
        <v>1464</v>
      </c>
      <c r="K1381" s="38" t="n">
        <v>6</v>
      </c>
      <c r="L1381" s="38" t="n">
        <v>594000</v>
      </c>
      <c r="M1381" s="38" t="n">
        <v>470226</v>
      </c>
      <c r="N1381" s="39" t="n">
        <f aca="false">IF(A1381="제외",0,IF(OR(N(L1381)&lt;=0,N(M1381)&gt;N(L1381)),N(M1381)/요약!$D$27,N(L1381)))</f>
        <v>594000</v>
      </c>
      <c r="O1381" s="32" t="str">
        <f aca="false">IF(A1381="제외","",IF(OR(N(L1381)&lt;=0,N(M1381)&gt;N(L1381)),"택가보정(판매금액÷공급율)",""))</f>
        <v/>
      </c>
      <c r="P1381" s="0" t="str">
        <f aca="false">IF(A1381="HK","100",IF(A1381="CN","200",IF(A1381="TW","300",IF(ISNUMBER(SEARCH("태국",C1381)),"500",IF(ISNUMBER(SEARCH("말레이",C1381)),"600",IF(ISNUMBER(SEARCH("필리핀",C1381)),"700",IF(ISNUMBER(SEARCH("인도네시아",C1381)),"800",IF(ISNUMBER(SEARCH("크루즈",C1381)),"810",IF(ISNUMBER(SEARCH("동물원",C1381)),"830","")))))))))</f>
        <v/>
      </c>
    </row>
    <row r="1382" customFormat="false" ht="15" hidden="false" customHeight="false" outlineLevel="0" collapsed="false">
      <c r="A1382" s="32" t="str">
        <f aca="false">IF(OR(TRIM(C1382)="",SUBSTITUTE(C1382," ","")="소계"),"제외",IF(ISNUMBER(SEARCH("홍콩",C1382)),"HK",IF(ISNUMBER(SEARCH("상해",C1382)),"CN",IF(ISNUMBER(SEARCH("대만",C1382)),"TW","홀세일"))))</f>
        <v>홀세일</v>
      </c>
      <c r="B1382" s="36" t="s">
        <v>1457</v>
      </c>
      <c r="C1382" s="37" t="s">
        <v>1458</v>
      </c>
      <c r="D1382" s="37" t="s">
        <v>123</v>
      </c>
      <c r="E1382" s="36" t="n">
        <v>2026</v>
      </c>
      <c r="F1382" s="36" t="s">
        <v>110</v>
      </c>
      <c r="G1382" s="37" t="s">
        <v>102</v>
      </c>
      <c r="H1382" s="37" t="s">
        <v>128</v>
      </c>
      <c r="I1382" s="36" t="s">
        <v>1465</v>
      </c>
      <c r="J1382" s="36" t="s">
        <v>1466</v>
      </c>
      <c r="K1382" s="38" t="n">
        <v>20</v>
      </c>
      <c r="L1382" s="38" t="n">
        <v>980000</v>
      </c>
      <c r="M1382" s="38" t="n">
        <v>776000</v>
      </c>
      <c r="N1382" s="39" t="n">
        <f aca="false">IF(A1382="제외",0,IF(OR(N(L1382)&lt;=0,N(M1382)&gt;N(L1382)),N(M1382)/요약!$D$27,N(L1382)))</f>
        <v>980000</v>
      </c>
      <c r="O1382" s="32" t="str">
        <f aca="false">IF(A1382="제외","",IF(OR(N(L1382)&lt;=0,N(M1382)&gt;N(L1382)),"택가보정(판매금액÷공급율)",""))</f>
        <v/>
      </c>
      <c r="P1382" s="0" t="str">
        <f aca="false">IF(A1382="HK","100",IF(A1382="CN","200",IF(A1382="TW","300",IF(ISNUMBER(SEARCH("태국",C1382)),"500",IF(ISNUMBER(SEARCH("말레이",C1382)),"600",IF(ISNUMBER(SEARCH("필리핀",C1382)),"700",IF(ISNUMBER(SEARCH("인도네시아",C1382)),"800",IF(ISNUMBER(SEARCH("크루즈",C1382)),"810",IF(ISNUMBER(SEARCH("동물원",C1382)),"830","")))))))))</f>
        <v/>
      </c>
    </row>
    <row r="1383" customFormat="false" ht="15" hidden="false" customHeight="false" outlineLevel="0" collapsed="false">
      <c r="A1383" s="32" t="str">
        <f aca="false">IF(OR(TRIM(C1383)="",SUBSTITUTE(C1383," ","")="소계"),"제외",IF(ISNUMBER(SEARCH("홍콩",C1383)),"HK",IF(ISNUMBER(SEARCH("상해",C1383)),"CN",IF(ISNUMBER(SEARCH("대만",C1383)),"TW","홀세일"))))</f>
        <v>제외</v>
      </c>
      <c r="B1383" s="36" t="s">
        <v>762</v>
      </c>
      <c r="C1383" s="37" t="s">
        <v>763</v>
      </c>
      <c r="D1383" s="36"/>
      <c r="E1383" s="36"/>
      <c r="F1383" s="36"/>
      <c r="G1383" s="36"/>
      <c r="H1383" s="36"/>
      <c r="I1383" s="36"/>
      <c r="J1383" s="36"/>
      <c r="K1383" s="38" t="n">
        <v>70</v>
      </c>
      <c r="L1383" s="38" t="n">
        <v>4610000</v>
      </c>
      <c r="M1383" s="38" t="n">
        <v>3651222</v>
      </c>
      <c r="N1383" s="39" t="n">
        <f aca="false">IF(A1383="제외",0,IF(OR(N(L1383)&lt;=0,N(M1383)&gt;N(L1383)),N(M1383)/요약!$D$27,N(L1383)))</f>
        <v>0</v>
      </c>
      <c r="O1383" s="32" t="str">
        <f aca="false">IF(A1383="제외","",IF(OR(N(L1383)&lt;=0,N(M1383)&gt;N(L1383)),"택가보정(판매금액÷공급율)",""))</f>
        <v/>
      </c>
      <c r="P1383" s="0" t="str">
        <f aca="false">IF(A1383="HK","100",IF(A1383="CN","200",IF(A1383="TW","300",IF(ISNUMBER(SEARCH("태국",C1383)),"500",IF(ISNUMBER(SEARCH("말레이",C1383)),"600",IF(ISNUMBER(SEARCH("필리핀",C1383)),"700",IF(ISNUMBER(SEARCH("인도네시아",C1383)),"800",IF(ISNUMBER(SEARCH("크루즈",C1383)),"810",IF(ISNUMBER(SEARCH("동물원",C1383)),"830","")))))))))</f>
        <v/>
      </c>
    </row>
    <row r="1384" customFormat="false" ht="15" hidden="false" customHeight="false" outlineLevel="0" collapsed="false">
      <c r="A1384" s="32" t="str">
        <f aca="false">IF(OR(TRIM(C1384)="",SUBSTITUTE(C1384," ","")="소계"),"제외",IF(ISNUMBER(SEARCH("홍콩",C1384)),"HK",IF(ISNUMBER(SEARCH("상해",C1384)),"CN",IF(ISNUMBER(SEARCH("대만",C1384)),"TW","홀세일"))))</f>
        <v>홀세일</v>
      </c>
      <c r="B1384" s="36" t="s">
        <v>1467</v>
      </c>
      <c r="C1384" s="37" t="s">
        <v>1468</v>
      </c>
      <c r="D1384" s="36" t="s">
        <v>100</v>
      </c>
      <c r="E1384" s="36" t="n">
        <v>2026</v>
      </c>
      <c r="F1384" s="37" t="s">
        <v>219</v>
      </c>
      <c r="G1384" s="37" t="s">
        <v>124</v>
      </c>
      <c r="H1384" s="36" t="s">
        <v>673</v>
      </c>
      <c r="I1384" s="36" t="s">
        <v>1469</v>
      </c>
      <c r="J1384" s="36" t="s">
        <v>1470</v>
      </c>
      <c r="K1384" s="38" t="n">
        <v>336</v>
      </c>
      <c r="L1384" s="38" t="n">
        <v>16464000</v>
      </c>
      <c r="M1384" s="38" t="n">
        <v>6313440</v>
      </c>
      <c r="N1384" s="39" t="n">
        <f aca="false">IF(A1384="제외",0,IF(OR(N(L1384)&lt;=0,N(M1384)&gt;N(L1384)),N(M1384)/요약!$D$27,N(L1384)))</f>
        <v>16464000</v>
      </c>
      <c r="O1384" s="32" t="str">
        <f aca="false">IF(A1384="제외","",IF(OR(N(L1384)&lt;=0,N(M1384)&gt;N(L1384)),"택가보정(판매금액÷공급율)",""))</f>
        <v/>
      </c>
      <c r="P1384" s="0" t="str">
        <f aca="false">IF(A1384="HK","100",IF(A1384="CN","200",IF(A1384="TW","300",IF(ISNUMBER(SEARCH("태국",C1384)),"500",IF(ISNUMBER(SEARCH("말레이",C1384)),"600",IF(ISNUMBER(SEARCH("필리핀",C1384)),"700",IF(ISNUMBER(SEARCH("인도네시아",C1384)),"800",IF(ISNUMBER(SEARCH("크루즈",C1384)),"810",IF(ISNUMBER(SEARCH("동물원",C1384)),"830","")))))))))</f>
        <v>810</v>
      </c>
    </row>
    <row r="1385" customFormat="false" ht="15" hidden="false" customHeight="false" outlineLevel="0" collapsed="false">
      <c r="A1385" s="32" t="str">
        <f aca="false">IF(OR(TRIM(C1385)="",SUBSTITUTE(C1385," ","")="소계"),"제외",IF(ISNUMBER(SEARCH("홍콩",C1385)),"HK",IF(ISNUMBER(SEARCH("상해",C1385)),"CN",IF(ISNUMBER(SEARCH("대만",C1385)),"TW","홀세일"))))</f>
        <v>홀세일</v>
      </c>
      <c r="B1385" s="36" t="s">
        <v>1467</v>
      </c>
      <c r="C1385" s="37" t="s">
        <v>1468</v>
      </c>
      <c r="D1385" s="37" t="s">
        <v>123</v>
      </c>
      <c r="E1385" s="36" t="n">
        <v>2026</v>
      </c>
      <c r="F1385" s="37" t="s">
        <v>101</v>
      </c>
      <c r="G1385" s="37" t="s">
        <v>102</v>
      </c>
      <c r="H1385" s="36" t="s">
        <v>131</v>
      </c>
      <c r="I1385" s="36" t="s">
        <v>132</v>
      </c>
      <c r="J1385" s="37" t="s">
        <v>133</v>
      </c>
      <c r="K1385" s="38" t="n">
        <v>36</v>
      </c>
      <c r="L1385" s="38" t="n">
        <v>6084000</v>
      </c>
      <c r="M1385" s="38" t="n">
        <v>2683944</v>
      </c>
      <c r="N1385" s="39" t="n">
        <f aca="false">IF(A1385="제외",0,IF(OR(N(L1385)&lt;=0,N(M1385)&gt;N(L1385)),N(M1385)/요약!$D$27,N(L1385)))</f>
        <v>6084000</v>
      </c>
      <c r="O1385" s="32" t="str">
        <f aca="false">IF(A1385="제외","",IF(OR(N(L1385)&lt;=0,N(M1385)&gt;N(L1385)),"택가보정(판매금액÷공급율)",""))</f>
        <v/>
      </c>
      <c r="P1385" s="0" t="str">
        <f aca="false">IF(A1385="HK","100",IF(A1385="CN","200",IF(A1385="TW","300",IF(ISNUMBER(SEARCH("태국",C1385)),"500",IF(ISNUMBER(SEARCH("말레이",C1385)),"600",IF(ISNUMBER(SEARCH("필리핀",C1385)),"700",IF(ISNUMBER(SEARCH("인도네시아",C1385)),"800",IF(ISNUMBER(SEARCH("크루즈",C1385)),"810",IF(ISNUMBER(SEARCH("동물원",C1385)),"830","")))))))))</f>
        <v>810</v>
      </c>
    </row>
    <row r="1386" customFormat="false" ht="15" hidden="false" customHeight="false" outlineLevel="0" collapsed="false">
      <c r="A1386" s="32" t="str">
        <f aca="false">IF(OR(TRIM(C1386)="",SUBSTITUTE(C1386," ","")="소계"),"제외",IF(ISNUMBER(SEARCH("홍콩",C1386)),"HK",IF(ISNUMBER(SEARCH("상해",C1386)),"CN",IF(ISNUMBER(SEARCH("대만",C1386)),"TW","홀세일"))))</f>
        <v>홀세일</v>
      </c>
      <c r="B1386" s="36" t="s">
        <v>1467</v>
      </c>
      <c r="C1386" s="37" t="s">
        <v>1468</v>
      </c>
      <c r="D1386" s="37" t="s">
        <v>123</v>
      </c>
      <c r="E1386" s="36" t="n">
        <v>2026</v>
      </c>
      <c r="F1386" s="37" t="s">
        <v>101</v>
      </c>
      <c r="G1386" s="37" t="s">
        <v>102</v>
      </c>
      <c r="H1386" s="36" t="s">
        <v>131</v>
      </c>
      <c r="I1386" s="36" t="s">
        <v>142</v>
      </c>
      <c r="J1386" s="37" t="s">
        <v>143</v>
      </c>
      <c r="K1386" s="38" t="n">
        <v>36</v>
      </c>
      <c r="L1386" s="38" t="n">
        <v>6084000</v>
      </c>
      <c r="M1386" s="38" t="n">
        <v>2683944</v>
      </c>
      <c r="N1386" s="39" t="n">
        <f aca="false">IF(A1386="제외",0,IF(OR(N(L1386)&lt;=0,N(M1386)&gt;N(L1386)),N(M1386)/요약!$D$27,N(L1386)))</f>
        <v>6084000</v>
      </c>
      <c r="O1386" s="32" t="str">
        <f aca="false">IF(A1386="제외","",IF(OR(N(L1386)&lt;=0,N(M1386)&gt;N(L1386)),"택가보정(판매금액÷공급율)",""))</f>
        <v/>
      </c>
      <c r="P1386" s="0" t="str">
        <f aca="false">IF(A1386="HK","100",IF(A1386="CN","200",IF(A1386="TW","300",IF(ISNUMBER(SEARCH("태국",C1386)),"500",IF(ISNUMBER(SEARCH("말레이",C1386)),"600",IF(ISNUMBER(SEARCH("필리핀",C1386)),"700",IF(ISNUMBER(SEARCH("인도네시아",C1386)),"800",IF(ISNUMBER(SEARCH("크루즈",C1386)),"810",IF(ISNUMBER(SEARCH("동물원",C1386)),"830","")))))))))</f>
        <v>810</v>
      </c>
    </row>
    <row r="1387" customFormat="false" ht="15" hidden="false" customHeight="false" outlineLevel="0" collapsed="false">
      <c r="A1387" s="32" t="str">
        <f aca="false">IF(OR(TRIM(C1387)="",SUBSTITUTE(C1387," ","")="소계"),"제외",IF(ISNUMBER(SEARCH("홍콩",C1387)),"HK",IF(ISNUMBER(SEARCH("상해",C1387)),"CN",IF(ISNUMBER(SEARCH("대만",C1387)),"TW","홀세일"))))</f>
        <v>홀세일</v>
      </c>
      <c r="B1387" s="36" t="s">
        <v>1467</v>
      </c>
      <c r="C1387" s="37" t="s">
        <v>1468</v>
      </c>
      <c r="D1387" s="37" t="s">
        <v>123</v>
      </c>
      <c r="E1387" s="36" t="n">
        <v>2026</v>
      </c>
      <c r="F1387" s="37" t="s">
        <v>101</v>
      </c>
      <c r="G1387" s="37" t="s">
        <v>102</v>
      </c>
      <c r="H1387" s="36" t="s">
        <v>131</v>
      </c>
      <c r="I1387" s="36" t="s">
        <v>146</v>
      </c>
      <c r="J1387" s="37" t="s">
        <v>147</v>
      </c>
      <c r="K1387" s="38" t="n">
        <v>24</v>
      </c>
      <c r="L1387" s="38" t="n">
        <v>4536000</v>
      </c>
      <c r="M1387" s="38" t="n">
        <v>2003280</v>
      </c>
      <c r="N1387" s="39" t="n">
        <f aca="false">IF(A1387="제외",0,IF(OR(N(L1387)&lt;=0,N(M1387)&gt;N(L1387)),N(M1387)/요약!$D$27,N(L1387)))</f>
        <v>4536000</v>
      </c>
      <c r="O1387" s="32" t="str">
        <f aca="false">IF(A1387="제외","",IF(OR(N(L1387)&lt;=0,N(M1387)&gt;N(L1387)),"택가보정(판매금액÷공급율)",""))</f>
        <v/>
      </c>
      <c r="P1387" s="0" t="str">
        <f aca="false">IF(A1387="HK","100",IF(A1387="CN","200",IF(A1387="TW","300",IF(ISNUMBER(SEARCH("태국",C1387)),"500",IF(ISNUMBER(SEARCH("말레이",C1387)),"600",IF(ISNUMBER(SEARCH("필리핀",C1387)),"700",IF(ISNUMBER(SEARCH("인도네시아",C1387)),"800",IF(ISNUMBER(SEARCH("크루즈",C1387)),"810",IF(ISNUMBER(SEARCH("동물원",C1387)),"830","")))))))))</f>
        <v>810</v>
      </c>
    </row>
    <row r="1388" customFormat="false" ht="15" hidden="false" customHeight="false" outlineLevel="0" collapsed="false">
      <c r="A1388" s="32" t="str">
        <f aca="false">IF(OR(TRIM(C1388)="",SUBSTITUTE(C1388," ","")="소계"),"제외",IF(ISNUMBER(SEARCH("홍콩",C1388)),"HK",IF(ISNUMBER(SEARCH("상해",C1388)),"CN",IF(ISNUMBER(SEARCH("대만",C1388)),"TW","홀세일"))))</f>
        <v>홀세일</v>
      </c>
      <c r="B1388" s="36" t="s">
        <v>1467</v>
      </c>
      <c r="C1388" s="37" t="s">
        <v>1468</v>
      </c>
      <c r="D1388" s="37" t="s">
        <v>123</v>
      </c>
      <c r="E1388" s="36" t="n">
        <v>2026</v>
      </c>
      <c r="F1388" s="37" t="s">
        <v>101</v>
      </c>
      <c r="G1388" s="37" t="s">
        <v>124</v>
      </c>
      <c r="H1388" s="36" t="s">
        <v>131</v>
      </c>
      <c r="I1388" s="36" t="s">
        <v>778</v>
      </c>
      <c r="J1388" s="36" t="s">
        <v>779</v>
      </c>
      <c r="K1388" s="38" t="n">
        <v>228</v>
      </c>
      <c r="L1388" s="38" t="n">
        <v>31692000</v>
      </c>
      <c r="M1388" s="38" t="n">
        <v>12886560</v>
      </c>
      <c r="N1388" s="39" t="n">
        <f aca="false">IF(A1388="제외",0,IF(OR(N(L1388)&lt;=0,N(M1388)&gt;N(L1388)),N(M1388)/요약!$D$27,N(L1388)))</f>
        <v>31692000</v>
      </c>
      <c r="O1388" s="32" t="str">
        <f aca="false">IF(A1388="제외","",IF(OR(N(L1388)&lt;=0,N(M1388)&gt;N(L1388)),"택가보정(판매금액÷공급율)",""))</f>
        <v/>
      </c>
      <c r="P1388" s="0" t="str">
        <f aca="false">IF(A1388="HK","100",IF(A1388="CN","200",IF(A1388="TW","300",IF(ISNUMBER(SEARCH("태국",C1388)),"500",IF(ISNUMBER(SEARCH("말레이",C1388)),"600",IF(ISNUMBER(SEARCH("필리핀",C1388)),"700",IF(ISNUMBER(SEARCH("인도네시아",C1388)),"800",IF(ISNUMBER(SEARCH("크루즈",C1388)),"810",IF(ISNUMBER(SEARCH("동물원",C1388)),"830","")))))))))</f>
        <v>810</v>
      </c>
    </row>
    <row r="1389" customFormat="false" ht="15" hidden="false" customHeight="false" outlineLevel="0" collapsed="false">
      <c r="A1389" s="32" t="str">
        <f aca="false">IF(OR(TRIM(C1389)="",SUBSTITUTE(C1389," ","")="소계"),"제외",IF(ISNUMBER(SEARCH("홍콩",C1389)),"HK",IF(ISNUMBER(SEARCH("상해",C1389)),"CN",IF(ISNUMBER(SEARCH("대만",C1389)),"TW","홀세일"))))</f>
        <v>홀세일</v>
      </c>
      <c r="B1389" s="36" t="s">
        <v>1467</v>
      </c>
      <c r="C1389" s="37" t="s">
        <v>1468</v>
      </c>
      <c r="D1389" s="37" t="s">
        <v>123</v>
      </c>
      <c r="E1389" s="36" t="n">
        <v>2026</v>
      </c>
      <c r="F1389" s="37" t="s">
        <v>101</v>
      </c>
      <c r="G1389" s="37" t="s">
        <v>124</v>
      </c>
      <c r="H1389" s="36" t="s">
        <v>131</v>
      </c>
      <c r="I1389" s="36" t="s">
        <v>1471</v>
      </c>
      <c r="J1389" s="37" t="s">
        <v>1472</v>
      </c>
      <c r="K1389" s="38" t="n">
        <v>216</v>
      </c>
      <c r="L1389" s="38" t="n">
        <v>23544000</v>
      </c>
      <c r="M1389" s="38" t="n">
        <v>10480752</v>
      </c>
      <c r="N1389" s="39" t="n">
        <f aca="false">IF(A1389="제외",0,IF(OR(N(L1389)&lt;=0,N(M1389)&gt;N(L1389)),N(M1389)/요약!$D$27,N(L1389)))</f>
        <v>23544000</v>
      </c>
      <c r="O1389" s="32" t="str">
        <f aca="false">IF(A1389="제외","",IF(OR(N(L1389)&lt;=0,N(M1389)&gt;N(L1389)),"택가보정(판매금액÷공급율)",""))</f>
        <v/>
      </c>
      <c r="P1389" s="0" t="str">
        <f aca="false">IF(A1389="HK","100",IF(A1389="CN","200",IF(A1389="TW","300",IF(ISNUMBER(SEARCH("태국",C1389)),"500",IF(ISNUMBER(SEARCH("말레이",C1389)),"600",IF(ISNUMBER(SEARCH("필리핀",C1389)),"700",IF(ISNUMBER(SEARCH("인도네시아",C1389)),"800",IF(ISNUMBER(SEARCH("크루즈",C1389)),"810",IF(ISNUMBER(SEARCH("동물원",C1389)),"830","")))))))))</f>
        <v>810</v>
      </c>
    </row>
    <row r="1390" customFormat="false" ht="15" hidden="false" customHeight="false" outlineLevel="0" collapsed="false">
      <c r="A1390" s="32" t="str">
        <f aca="false">IF(OR(TRIM(C1390)="",SUBSTITUTE(C1390," ","")="소계"),"제외",IF(ISNUMBER(SEARCH("홍콩",C1390)),"HK",IF(ISNUMBER(SEARCH("상해",C1390)),"CN",IF(ISNUMBER(SEARCH("대만",C1390)),"TW","홀세일"))))</f>
        <v>홀세일</v>
      </c>
      <c r="B1390" s="36" t="s">
        <v>1467</v>
      </c>
      <c r="C1390" s="37" t="s">
        <v>1468</v>
      </c>
      <c r="D1390" s="37" t="s">
        <v>123</v>
      </c>
      <c r="E1390" s="36" t="n">
        <v>2026</v>
      </c>
      <c r="F1390" s="37" t="s">
        <v>101</v>
      </c>
      <c r="G1390" s="37" t="s">
        <v>124</v>
      </c>
      <c r="H1390" s="36" t="s">
        <v>131</v>
      </c>
      <c r="I1390" s="36" t="s">
        <v>172</v>
      </c>
      <c r="J1390" s="37" t="s">
        <v>173</v>
      </c>
      <c r="K1390" s="38" t="n">
        <v>216</v>
      </c>
      <c r="L1390" s="38" t="n">
        <v>25704000</v>
      </c>
      <c r="M1390" s="38" t="n">
        <v>10455048</v>
      </c>
      <c r="N1390" s="39" t="n">
        <f aca="false">IF(A1390="제외",0,IF(OR(N(L1390)&lt;=0,N(M1390)&gt;N(L1390)),N(M1390)/요약!$D$27,N(L1390)))</f>
        <v>25704000</v>
      </c>
      <c r="O1390" s="32" t="str">
        <f aca="false">IF(A1390="제외","",IF(OR(N(L1390)&lt;=0,N(M1390)&gt;N(L1390)),"택가보정(판매금액÷공급율)",""))</f>
        <v/>
      </c>
      <c r="P1390" s="0" t="str">
        <f aca="false">IF(A1390="HK","100",IF(A1390="CN","200",IF(A1390="TW","300",IF(ISNUMBER(SEARCH("태국",C1390)),"500",IF(ISNUMBER(SEARCH("말레이",C1390)),"600",IF(ISNUMBER(SEARCH("필리핀",C1390)),"700",IF(ISNUMBER(SEARCH("인도네시아",C1390)),"800",IF(ISNUMBER(SEARCH("크루즈",C1390)),"810",IF(ISNUMBER(SEARCH("동물원",C1390)),"830","")))))))))</f>
        <v>810</v>
      </c>
    </row>
    <row r="1391" customFormat="false" ht="15" hidden="false" customHeight="false" outlineLevel="0" collapsed="false">
      <c r="A1391" s="32" t="str">
        <f aca="false">IF(OR(TRIM(C1391)="",SUBSTITUTE(C1391," ","")="소계"),"제외",IF(ISNUMBER(SEARCH("홍콩",C1391)),"HK",IF(ISNUMBER(SEARCH("상해",C1391)),"CN",IF(ISNUMBER(SEARCH("대만",C1391)),"TW","홀세일"))))</f>
        <v>홀세일</v>
      </c>
      <c r="B1391" s="36" t="s">
        <v>1467</v>
      </c>
      <c r="C1391" s="37" t="s">
        <v>1468</v>
      </c>
      <c r="D1391" s="37" t="s">
        <v>123</v>
      </c>
      <c r="E1391" s="36" t="n">
        <v>2026</v>
      </c>
      <c r="F1391" s="37" t="s">
        <v>101</v>
      </c>
      <c r="G1391" s="37" t="s">
        <v>124</v>
      </c>
      <c r="H1391" s="36" t="s">
        <v>188</v>
      </c>
      <c r="I1391" s="36" t="s">
        <v>189</v>
      </c>
      <c r="J1391" s="36" t="s">
        <v>190</v>
      </c>
      <c r="K1391" s="38" t="n">
        <v>132</v>
      </c>
      <c r="L1391" s="38" t="n">
        <v>14388000</v>
      </c>
      <c r="M1391" s="38" t="n">
        <v>5853408</v>
      </c>
      <c r="N1391" s="39" t="n">
        <f aca="false">IF(A1391="제외",0,IF(OR(N(L1391)&lt;=0,N(M1391)&gt;N(L1391)),N(M1391)/요약!$D$27,N(L1391)))</f>
        <v>14388000</v>
      </c>
      <c r="O1391" s="32" t="str">
        <f aca="false">IF(A1391="제외","",IF(OR(N(L1391)&lt;=0,N(M1391)&gt;N(L1391)),"택가보정(판매금액÷공급율)",""))</f>
        <v/>
      </c>
      <c r="P1391" s="0" t="str">
        <f aca="false">IF(A1391="HK","100",IF(A1391="CN","200",IF(A1391="TW","300",IF(ISNUMBER(SEARCH("태국",C1391)),"500",IF(ISNUMBER(SEARCH("말레이",C1391)),"600",IF(ISNUMBER(SEARCH("필리핀",C1391)),"700",IF(ISNUMBER(SEARCH("인도네시아",C1391)),"800",IF(ISNUMBER(SEARCH("크루즈",C1391)),"810",IF(ISNUMBER(SEARCH("동물원",C1391)),"830","")))))))))</f>
        <v>810</v>
      </c>
    </row>
    <row r="1392" customFormat="false" ht="15" hidden="false" customHeight="false" outlineLevel="0" collapsed="false">
      <c r="A1392" s="32" t="str">
        <f aca="false">IF(OR(TRIM(C1392)="",SUBSTITUTE(C1392," ","")="소계"),"제외",IF(ISNUMBER(SEARCH("홍콩",C1392)),"HK",IF(ISNUMBER(SEARCH("상해",C1392)),"CN",IF(ISNUMBER(SEARCH("대만",C1392)),"TW","홀세일"))))</f>
        <v>홀세일</v>
      </c>
      <c r="B1392" s="36" t="s">
        <v>1467</v>
      </c>
      <c r="C1392" s="37" t="s">
        <v>1468</v>
      </c>
      <c r="D1392" s="37" t="s">
        <v>123</v>
      </c>
      <c r="E1392" s="36" t="n">
        <v>2026</v>
      </c>
      <c r="F1392" s="37" t="s">
        <v>219</v>
      </c>
      <c r="G1392" s="37" t="s">
        <v>102</v>
      </c>
      <c r="H1392" s="36" t="s">
        <v>131</v>
      </c>
      <c r="I1392" s="36" t="s">
        <v>1284</v>
      </c>
      <c r="J1392" s="37" t="s">
        <v>1285</v>
      </c>
      <c r="K1392" s="38" t="n">
        <v>168</v>
      </c>
      <c r="L1392" s="38" t="n">
        <v>7560000</v>
      </c>
      <c r="M1392" s="38" t="n">
        <v>3357312</v>
      </c>
      <c r="N1392" s="39" t="n">
        <f aca="false">IF(A1392="제외",0,IF(OR(N(L1392)&lt;=0,N(M1392)&gt;N(L1392)),N(M1392)/요약!$D$27,N(L1392)))</f>
        <v>7560000</v>
      </c>
      <c r="O1392" s="32" t="str">
        <f aca="false">IF(A1392="제외","",IF(OR(N(L1392)&lt;=0,N(M1392)&gt;N(L1392)),"택가보정(판매금액÷공급율)",""))</f>
        <v/>
      </c>
      <c r="P1392" s="0" t="str">
        <f aca="false">IF(A1392="HK","100",IF(A1392="CN","200",IF(A1392="TW","300",IF(ISNUMBER(SEARCH("태국",C1392)),"500",IF(ISNUMBER(SEARCH("말레이",C1392)),"600",IF(ISNUMBER(SEARCH("필리핀",C1392)),"700",IF(ISNUMBER(SEARCH("인도네시아",C1392)),"800",IF(ISNUMBER(SEARCH("크루즈",C1392)),"810",IF(ISNUMBER(SEARCH("동물원",C1392)),"830","")))))))))</f>
        <v>810</v>
      </c>
    </row>
    <row r="1393" customFormat="false" ht="15" hidden="false" customHeight="false" outlineLevel="0" collapsed="false">
      <c r="A1393" s="32" t="str">
        <f aca="false">IF(OR(TRIM(C1393)="",SUBSTITUTE(C1393," ","")="소계"),"제외",IF(ISNUMBER(SEARCH("홍콩",C1393)),"HK",IF(ISNUMBER(SEARCH("상해",C1393)),"CN",IF(ISNUMBER(SEARCH("대만",C1393)),"TW","홀세일"))))</f>
        <v>홀세일</v>
      </c>
      <c r="B1393" s="36" t="s">
        <v>1467</v>
      </c>
      <c r="C1393" s="37" t="s">
        <v>1468</v>
      </c>
      <c r="D1393" s="37" t="s">
        <v>123</v>
      </c>
      <c r="E1393" s="36" t="n">
        <v>2026</v>
      </c>
      <c r="F1393" s="37" t="s">
        <v>219</v>
      </c>
      <c r="G1393" s="37" t="s">
        <v>124</v>
      </c>
      <c r="H1393" s="36" t="s">
        <v>131</v>
      </c>
      <c r="I1393" s="36" t="s">
        <v>1286</v>
      </c>
      <c r="J1393" s="36" t="s">
        <v>1287</v>
      </c>
      <c r="K1393" s="38" t="n">
        <v>204</v>
      </c>
      <c r="L1393" s="38" t="n">
        <v>16116000</v>
      </c>
      <c r="M1393" s="38" t="n">
        <v>6746076</v>
      </c>
      <c r="N1393" s="39" t="n">
        <f aca="false">IF(A1393="제외",0,IF(OR(N(L1393)&lt;=0,N(M1393)&gt;N(L1393)),N(M1393)/요약!$D$27,N(L1393)))</f>
        <v>16116000</v>
      </c>
      <c r="O1393" s="32" t="str">
        <f aca="false">IF(A1393="제외","",IF(OR(N(L1393)&lt;=0,N(M1393)&gt;N(L1393)),"택가보정(판매금액÷공급율)",""))</f>
        <v/>
      </c>
      <c r="P1393" s="0" t="str">
        <f aca="false">IF(A1393="HK","100",IF(A1393="CN","200",IF(A1393="TW","300",IF(ISNUMBER(SEARCH("태국",C1393)),"500",IF(ISNUMBER(SEARCH("말레이",C1393)),"600",IF(ISNUMBER(SEARCH("필리핀",C1393)),"700",IF(ISNUMBER(SEARCH("인도네시아",C1393)),"800",IF(ISNUMBER(SEARCH("크루즈",C1393)),"810",IF(ISNUMBER(SEARCH("동물원",C1393)),"830","")))))))))</f>
        <v>810</v>
      </c>
    </row>
    <row r="1394" customFormat="false" ht="15" hidden="false" customHeight="false" outlineLevel="0" collapsed="false">
      <c r="A1394" s="32" t="str">
        <f aca="false">IF(OR(TRIM(C1394)="",SUBSTITUTE(C1394," ","")="소계"),"제외",IF(ISNUMBER(SEARCH("홍콩",C1394)),"HK",IF(ISNUMBER(SEARCH("상해",C1394)),"CN",IF(ISNUMBER(SEARCH("대만",C1394)),"TW","홀세일"))))</f>
        <v>홀세일</v>
      </c>
      <c r="B1394" s="36" t="s">
        <v>1467</v>
      </c>
      <c r="C1394" s="37" t="s">
        <v>1468</v>
      </c>
      <c r="D1394" s="37" t="s">
        <v>123</v>
      </c>
      <c r="E1394" s="36" t="n">
        <v>2026</v>
      </c>
      <c r="F1394" s="37" t="s">
        <v>219</v>
      </c>
      <c r="G1394" s="37" t="s">
        <v>124</v>
      </c>
      <c r="H1394" s="36" t="s">
        <v>131</v>
      </c>
      <c r="I1394" s="36" t="s">
        <v>1041</v>
      </c>
      <c r="J1394" s="36" t="s">
        <v>1042</v>
      </c>
      <c r="K1394" s="38" t="n">
        <v>216</v>
      </c>
      <c r="L1394" s="38" t="n">
        <v>47304000</v>
      </c>
      <c r="M1394" s="38" t="n">
        <v>20994984</v>
      </c>
      <c r="N1394" s="39" t="n">
        <f aca="false">IF(A1394="제외",0,IF(OR(N(L1394)&lt;=0,N(M1394)&gt;N(L1394)),N(M1394)/요약!$D$27,N(L1394)))</f>
        <v>47304000</v>
      </c>
      <c r="O1394" s="32" t="str">
        <f aca="false">IF(A1394="제외","",IF(OR(N(L1394)&lt;=0,N(M1394)&gt;N(L1394)),"택가보정(판매금액÷공급율)",""))</f>
        <v/>
      </c>
      <c r="P1394" s="0" t="str">
        <f aca="false">IF(A1394="HK","100",IF(A1394="CN","200",IF(A1394="TW","300",IF(ISNUMBER(SEARCH("태국",C1394)),"500",IF(ISNUMBER(SEARCH("말레이",C1394)),"600",IF(ISNUMBER(SEARCH("필리핀",C1394)),"700",IF(ISNUMBER(SEARCH("인도네시아",C1394)),"800",IF(ISNUMBER(SEARCH("크루즈",C1394)),"810",IF(ISNUMBER(SEARCH("동물원",C1394)),"830","")))))))))</f>
        <v>810</v>
      </c>
    </row>
    <row r="1395" customFormat="false" ht="15" hidden="false" customHeight="false" outlineLevel="0" collapsed="false">
      <c r="A1395" s="32" t="str">
        <f aca="false">IF(OR(TRIM(C1395)="",SUBSTITUTE(C1395," ","")="소계"),"제외",IF(ISNUMBER(SEARCH("홍콩",C1395)),"HK",IF(ISNUMBER(SEARCH("상해",C1395)),"CN",IF(ISNUMBER(SEARCH("대만",C1395)),"TW","홀세일"))))</f>
        <v>홀세일</v>
      </c>
      <c r="B1395" s="36" t="s">
        <v>1467</v>
      </c>
      <c r="C1395" s="37" t="s">
        <v>1468</v>
      </c>
      <c r="D1395" s="37" t="s">
        <v>123</v>
      </c>
      <c r="E1395" s="36" t="n">
        <v>2026</v>
      </c>
      <c r="F1395" s="37" t="s">
        <v>219</v>
      </c>
      <c r="G1395" s="37" t="s">
        <v>124</v>
      </c>
      <c r="H1395" s="36" t="s">
        <v>131</v>
      </c>
      <c r="I1395" s="36" t="s">
        <v>1288</v>
      </c>
      <c r="J1395" s="37" t="s">
        <v>1289</v>
      </c>
      <c r="K1395" s="38" t="n">
        <v>216</v>
      </c>
      <c r="L1395" s="38" t="n">
        <v>23544000</v>
      </c>
      <c r="M1395" s="38" t="n">
        <v>9846576</v>
      </c>
      <c r="N1395" s="39" t="n">
        <f aca="false">IF(A1395="제외",0,IF(OR(N(L1395)&lt;=0,N(M1395)&gt;N(L1395)),N(M1395)/요약!$D$27,N(L1395)))</f>
        <v>23544000</v>
      </c>
      <c r="O1395" s="32" t="str">
        <f aca="false">IF(A1395="제외","",IF(OR(N(L1395)&lt;=0,N(M1395)&gt;N(L1395)),"택가보정(판매금액÷공급율)",""))</f>
        <v/>
      </c>
      <c r="P1395" s="0" t="str">
        <f aca="false">IF(A1395="HK","100",IF(A1395="CN","200",IF(A1395="TW","300",IF(ISNUMBER(SEARCH("태국",C1395)),"500",IF(ISNUMBER(SEARCH("말레이",C1395)),"600",IF(ISNUMBER(SEARCH("필리핀",C1395)),"700",IF(ISNUMBER(SEARCH("인도네시아",C1395)),"800",IF(ISNUMBER(SEARCH("크루즈",C1395)),"810",IF(ISNUMBER(SEARCH("동물원",C1395)),"830","")))))))))</f>
        <v>810</v>
      </c>
    </row>
    <row r="1396" customFormat="false" ht="15" hidden="false" customHeight="false" outlineLevel="0" collapsed="false">
      <c r="A1396" s="32" t="str">
        <f aca="false">IF(OR(TRIM(C1396)="",SUBSTITUTE(C1396," ","")="소계"),"제외",IF(ISNUMBER(SEARCH("홍콩",C1396)),"HK",IF(ISNUMBER(SEARCH("상해",C1396)),"CN",IF(ISNUMBER(SEARCH("대만",C1396)),"TW","홀세일"))))</f>
        <v>홀세일</v>
      </c>
      <c r="B1396" s="36" t="s">
        <v>1467</v>
      </c>
      <c r="C1396" s="37" t="s">
        <v>1468</v>
      </c>
      <c r="D1396" s="37" t="s">
        <v>123</v>
      </c>
      <c r="E1396" s="36" t="n">
        <v>2026</v>
      </c>
      <c r="F1396" s="37" t="s">
        <v>219</v>
      </c>
      <c r="G1396" s="37" t="s">
        <v>124</v>
      </c>
      <c r="H1396" s="36" t="s">
        <v>131</v>
      </c>
      <c r="I1396" s="36" t="s">
        <v>240</v>
      </c>
      <c r="J1396" s="36" t="s">
        <v>241</v>
      </c>
      <c r="K1396" s="38" t="n">
        <v>432</v>
      </c>
      <c r="L1396" s="38" t="n">
        <v>29808000</v>
      </c>
      <c r="M1396" s="38" t="n">
        <v>12483504</v>
      </c>
      <c r="N1396" s="39" t="n">
        <f aca="false">IF(A1396="제외",0,IF(OR(N(L1396)&lt;=0,N(M1396)&gt;N(L1396)),N(M1396)/요약!$D$27,N(L1396)))</f>
        <v>29808000</v>
      </c>
      <c r="O1396" s="32" t="str">
        <f aca="false">IF(A1396="제외","",IF(OR(N(L1396)&lt;=0,N(M1396)&gt;N(L1396)),"택가보정(판매금액÷공급율)",""))</f>
        <v/>
      </c>
      <c r="P1396" s="0" t="str">
        <f aca="false">IF(A1396="HK","100",IF(A1396="CN","200",IF(A1396="TW","300",IF(ISNUMBER(SEARCH("태국",C1396)),"500",IF(ISNUMBER(SEARCH("말레이",C1396)),"600",IF(ISNUMBER(SEARCH("필리핀",C1396)),"700",IF(ISNUMBER(SEARCH("인도네시아",C1396)),"800",IF(ISNUMBER(SEARCH("크루즈",C1396)),"810",IF(ISNUMBER(SEARCH("동물원",C1396)),"830","")))))))))</f>
        <v>810</v>
      </c>
    </row>
    <row r="1397" customFormat="false" ht="15" hidden="false" customHeight="false" outlineLevel="0" collapsed="false">
      <c r="A1397" s="32" t="str">
        <f aca="false">IF(OR(TRIM(C1397)="",SUBSTITUTE(C1397," ","")="소계"),"제외",IF(ISNUMBER(SEARCH("홍콩",C1397)),"HK",IF(ISNUMBER(SEARCH("상해",C1397)),"CN",IF(ISNUMBER(SEARCH("대만",C1397)),"TW","홀세일"))))</f>
        <v>홀세일</v>
      </c>
      <c r="B1397" s="36" t="s">
        <v>1467</v>
      </c>
      <c r="C1397" s="37" t="s">
        <v>1468</v>
      </c>
      <c r="D1397" s="37" t="s">
        <v>123</v>
      </c>
      <c r="E1397" s="36" t="n">
        <v>2026</v>
      </c>
      <c r="F1397" s="37" t="s">
        <v>219</v>
      </c>
      <c r="G1397" s="37" t="s">
        <v>124</v>
      </c>
      <c r="H1397" s="36" t="s">
        <v>131</v>
      </c>
      <c r="I1397" s="36" t="s">
        <v>246</v>
      </c>
      <c r="J1397" s="37" t="s">
        <v>247</v>
      </c>
      <c r="K1397" s="38" t="n">
        <v>228</v>
      </c>
      <c r="L1397" s="38" t="n">
        <v>18012000</v>
      </c>
      <c r="M1397" s="38" t="n">
        <v>7539732</v>
      </c>
      <c r="N1397" s="39" t="n">
        <f aca="false">IF(A1397="제외",0,IF(OR(N(L1397)&lt;=0,N(M1397)&gt;N(L1397)),N(M1397)/요약!$D$27,N(L1397)))</f>
        <v>18012000</v>
      </c>
      <c r="O1397" s="32" t="str">
        <f aca="false">IF(A1397="제외","",IF(OR(N(L1397)&lt;=0,N(M1397)&gt;N(L1397)),"택가보정(판매금액÷공급율)",""))</f>
        <v/>
      </c>
      <c r="P1397" s="0" t="str">
        <f aca="false">IF(A1397="HK","100",IF(A1397="CN","200",IF(A1397="TW","300",IF(ISNUMBER(SEARCH("태국",C1397)),"500",IF(ISNUMBER(SEARCH("말레이",C1397)),"600",IF(ISNUMBER(SEARCH("필리핀",C1397)),"700",IF(ISNUMBER(SEARCH("인도네시아",C1397)),"800",IF(ISNUMBER(SEARCH("크루즈",C1397)),"810",IF(ISNUMBER(SEARCH("동물원",C1397)),"830","")))))))))</f>
        <v>810</v>
      </c>
    </row>
    <row r="1398" customFormat="false" ht="15" hidden="false" customHeight="false" outlineLevel="0" collapsed="false">
      <c r="A1398" s="32" t="str">
        <f aca="false">IF(OR(TRIM(C1398)="",SUBSTITUTE(C1398," ","")="소계"),"제외",IF(ISNUMBER(SEARCH("홍콩",C1398)),"HK",IF(ISNUMBER(SEARCH("상해",C1398)),"CN",IF(ISNUMBER(SEARCH("대만",C1398)),"TW","홀세일"))))</f>
        <v>홀세일</v>
      </c>
      <c r="B1398" s="36" t="s">
        <v>1467</v>
      </c>
      <c r="C1398" s="37" t="s">
        <v>1468</v>
      </c>
      <c r="D1398" s="37" t="s">
        <v>123</v>
      </c>
      <c r="E1398" s="36" t="n">
        <v>2026</v>
      </c>
      <c r="F1398" s="37" t="s">
        <v>219</v>
      </c>
      <c r="G1398" s="37" t="s">
        <v>124</v>
      </c>
      <c r="H1398" s="36" t="s">
        <v>131</v>
      </c>
      <c r="I1398" s="36" t="s">
        <v>250</v>
      </c>
      <c r="J1398" s="37" t="s">
        <v>251</v>
      </c>
      <c r="K1398" s="38" t="n">
        <v>228</v>
      </c>
      <c r="L1398" s="38" t="n">
        <v>20292000</v>
      </c>
      <c r="M1398" s="38" t="n">
        <v>8491176</v>
      </c>
      <c r="N1398" s="39" t="n">
        <f aca="false">IF(A1398="제외",0,IF(OR(N(L1398)&lt;=0,N(M1398)&gt;N(L1398)),N(M1398)/요약!$D$27,N(L1398)))</f>
        <v>20292000</v>
      </c>
      <c r="O1398" s="32" t="str">
        <f aca="false">IF(A1398="제외","",IF(OR(N(L1398)&lt;=0,N(M1398)&gt;N(L1398)),"택가보정(판매금액÷공급율)",""))</f>
        <v/>
      </c>
      <c r="P1398" s="0" t="str">
        <f aca="false">IF(A1398="HK","100",IF(A1398="CN","200",IF(A1398="TW","300",IF(ISNUMBER(SEARCH("태국",C1398)),"500",IF(ISNUMBER(SEARCH("말레이",C1398)),"600",IF(ISNUMBER(SEARCH("필리핀",C1398)),"700",IF(ISNUMBER(SEARCH("인도네시아",C1398)),"800",IF(ISNUMBER(SEARCH("크루즈",C1398)),"810",IF(ISNUMBER(SEARCH("동물원",C1398)),"830","")))))))))</f>
        <v>810</v>
      </c>
    </row>
    <row r="1399" customFormat="false" ht="15" hidden="false" customHeight="false" outlineLevel="0" collapsed="false">
      <c r="A1399" s="32" t="str">
        <f aca="false">IF(OR(TRIM(C1399)="",SUBSTITUTE(C1399," ","")="소계"),"제외",IF(ISNUMBER(SEARCH("홍콩",C1399)),"HK",IF(ISNUMBER(SEARCH("상해",C1399)),"CN",IF(ISNUMBER(SEARCH("대만",C1399)),"TW","홀세일"))))</f>
        <v>홀세일</v>
      </c>
      <c r="B1399" s="36" t="s">
        <v>1467</v>
      </c>
      <c r="C1399" s="37" t="s">
        <v>1468</v>
      </c>
      <c r="D1399" s="37" t="s">
        <v>123</v>
      </c>
      <c r="E1399" s="36" t="n">
        <v>2026</v>
      </c>
      <c r="F1399" s="37" t="s">
        <v>219</v>
      </c>
      <c r="G1399" s="37" t="s">
        <v>124</v>
      </c>
      <c r="H1399" s="36" t="s">
        <v>131</v>
      </c>
      <c r="I1399" s="36" t="s">
        <v>254</v>
      </c>
      <c r="J1399" s="37" t="s">
        <v>255</v>
      </c>
      <c r="K1399" s="38" t="n">
        <v>228</v>
      </c>
      <c r="L1399" s="38" t="n">
        <v>18012000</v>
      </c>
      <c r="M1399" s="38" t="n">
        <v>7334304</v>
      </c>
      <c r="N1399" s="39" t="n">
        <f aca="false">IF(A1399="제외",0,IF(OR(N(L1399)&lt;=0,N(M1399)&gt;N(L1399)),N(M1399)/요약!$D$27,N(L1399)))</f>
        <v>18012000</v>
      </c>
      <c r="O1399" s="32" t="str">
        <f aca="false">IF(A1399="제외","",IF(OR(N(L1399)&lt;=0,N(M1399)&gt;N(L1399)),"택가보정(판매금액÷공급율)",""))</f>
        <v/>
      </c>
      <c r="P1399" s="0" t="str">
        <f aca="false">IF(A1399="HK","100",IF(A1399="CN","200",IF(A1399="TW","300",IF(ISNUMBER(SEARCH("태국",C1399)),"500",IF(ISNUMBER(SEARCH("말레이",C1399)),"600",IF(ISNUMBER(SEARCH("필리핀",C1399)),"700",IF(ISNUMBER(SEARCH("인도네시아",C1399)),"800",IF(ISNUMBER(SEARCH("크루즈",C1399)),"810",IF(ISNUMBER(SEARCH("동물원",C1399)),"830","")))))))))</f>
        <v>810</v>
      </c>
    </row>
    <row r="1400" customFormat="false" ht="15" hidden="false" customHeight="false" outlineLevel="0" collapsed="false">
      <c r="A1400" s="32" t="str">
        <f aca="false">IF(OR(TRIM(C1400)="",SUBSTITUTE(C1400," ","")="소계"),"제외",IF(ISNUMBER(SEARCH("홍콩",C1400)),"HK",IF(ISNUMBER(SEARCH("상해",C1400)),"CN",IF(ISNUMBER(SEARCH("대만",C1400)),"TW","홀세일"))))</f>
        <v>홀세일</v>
      </c>
      <c r="B1400" s="36" t="s">
        <v>1467</v>
      </c>
      <c r="C1400" s="37" t="s">
        <v>1468</v>
      </c>
      <c r="D1400" s="37" t="s">
        <v>123</v>
      </c>
      <c r="E1400" s="36" t="n">
        <v>2026</v>
      </c>
      <c r="F1400" s="37" t="s">
        <v>219</v>
      </c>
      <c r="G1400" s="37" t="s">
        <v>124</v>
      </c>
      <c r="H1400" s="36" t="s">
        <v>131</v>
      </c>
      <c r="I1400" s="36" t="s">
        <v>264</v>
      </c>
      <c r="J1400" s="37" t="s">
        <v>265</v>
      </c>
      <c r="K1400" s="38" t="n">
        <v>228</v>
      </c>
      <c r="L1400" s="38" t="n">
        <v>24852000</v>
      </c>
      <c r="M1400" s="38" t="n">
        <v>10110432</v>
      </c>
      <c r="N1400" s="39" t="n">
        <f aca="false">IF(A1400="제외",0,IF(OR(N(L1400)&lt;=0,N(M1400)&gt;N(L1400)),N(M1400)/요약!$D$27,N(L1400)))</f>
        <v>24852000</v>
      </c>
      <c r="O1400" s="32" t="str">
        <f aca="false">IF(A1400="제외","",IF(OR(N(L1400)&lt;=0,N(M1400)&gt;N(L1400)),"택가보정(판매금액÷공급율)",""))</f>
        <v/>
      </c>
      <c r="P1400" s="0" t="str">
        <f aca="false">IF(A1400="HK","100",IF(A1400="CN","200",IF(A1400="TW","300",IF(ISNUMBER(SEARCH("태국",C1400)),"500",IF(ISNUMBER(SEARCH("말레이",C1400)),"600",IF(ISNUMBER(SEARCH("필리핀",C1400)),"700",IF(ISNUMBER(SEARCH("인도네시아",C1400)),"800",IF(ISNUMBER(SEARCH("크루즈",C1400)),"810",IF(ISNUMBER(SEARCH("동물원",C1400)),"830","")))))))))</f>
        <v>810</v>
      </c>
    </row>
    <row r="1401" customFormat="false" ht="15" hidden="false" customHeight="false" outlineLevel="0" collapsed="false">
      <c r="A1401" s="32" t="str">
        <f aca="false">IF(OR(TRIM(C1401)="",SUBSTITUTE(C1401," ","")="소계"),"제외",IF(ISNUMBER(SEARCH("홍콩",C1401)),"HK",IF(ISNUMBER(SEARCH("상해",C1401)),"CN",IF(ISNUMBER(SEARCH("대만",C1401)),"TW","홀세일"))))</f>
        <v>홀세일</v>
      </c>
      <c r="B1401" s="36" t="s">
        <v>1467</v>
      </c>
      <c r="C1401" s="37" t="s">
        <v>1468</v>
      </c>
      <c r="D1401" s="37" t="s">
        <v>123</v>
      </c>
      <c r="E1401" s="36" t="n">
        <v>2026</v>
      </c>
      <c r="F1401" s="37" t="s">
        <v>219</v>
      </c>
      <c r="G1401" s="37" t="s">
        <v>124</v>
      </c>
      <c r="H1401" s="36" t="s">
        <v>131</v>
      </c>
      <c r="I1401" s="36" t="s">
        <v>268</v>
      </c>
      <c r="J1401" s="37" t="s">
        <v>269</v>
      </c>
      <c r="K1401" s="38" t="n">
        <v>216</v>
      </c>
      <c r="L1401" s="38" t="n">
        <v>36504000</v>
      </c>
      <c r="M1401" s="38" t="n">
        <v>16188552</v>
      </c>
      <c r="N1401" s="39" t="n">
        <f aca="false">IF(A1401="제외",0,IF(OR(N(L1401)&lt;=0,N(M1401)&gt;N(L1401)),N(M1401)/요약!$D$27,N(L1401)))</f>
        <v>36504000</v>
      </c>
      <c r="O1401" s="32" t="str">
        <f aca="false">IF(A1401="제외","",IF(OR(N(L1401)&lt;=0,N(M1401)&gt;N(L1401)),"택가보정(판매금액÷공급율)",""))</f>
        <v/>
      </c>
      <c r="P1401" s="0" t="str">
        <f aca="false">IF(A1401="HK","100",IF(A1401="CN","200",IF(A1401="TW","300",IF(ISNUMBER(SEARCH("태국",C1401)),"500",IF(ISNUMBER(SEARCH("말레이",C1401)),"600",IF(ISNUMBER(SEARCH("필리핀",C1401)),"700",IF(ISNUMBER(SEARCH("인도네시아",C1401)),"800",IF(ISNUMBER(SEARCH("크루즈",C1401)),"810",IF(ISNUMBER(SEARCH("동물원",C1401)),"830","")))))))))</f>
        <v>810</v>
      </c>
    </row>
    <row r="1402" customFormat="false" ht="15" hidden="false" customHeight="false" outlineLevel="0" collapsed="false">
      <c r="A1402" s="32" t="str">
        <f aca="false">IF(OR(TRIM(C1402)="",SUBSTITUTE(C1402," ","")="소계"),"제외",IF(ISNUMBER(SEARCH("홍콩",C1402)),"HK",IF(ISNUMBER(SEARCH("상해",C1402)),"CN",IF(ISNUMBER(SEARCH("대만",C1402)),"TW","홀세일"))))</f>
        <v>홀세일</v>
      </c>
      <c r="B1402" s="36" t="s">
        <v>1467</v>
      </c>
      <c r="C1402" s="37" t="s">
        <v>1468</v>
      </c>
      <c r="D1402" s="37" t="s">
        <v>123</v>
      </c>
      <c r="E1402" s="36" t="n">
        <v>2026</v>
      </c>
      <c r="F1402" s="37" t="s">
        <v>219</v>
      </c>
      <c r="G1402" s="37" t="s">
        <v>124</v>
      </c>
      <c r="H1402" s="36" t="s">
        <v>131</v>
      </c>
      <c r="I1402" s="36" t="s">
        <v>276</v>
      </c>
      <c r="J1402" s="37" t="s">
        <v>277</v>
      </c>
      <c r="K1402" s="38" t="n">
        <v>216</v>
      </c>
      <c r="L1402" s="38" t="n">
        <v>32184000</v>
      </c>
      <c r="M1402" s="38" t="n">
        <v>13451616</v>
      </c>
      <c r="N1402" s="39" t="n">
        <f aca="false">IF(A1402="제외",0,IF(OR(N(L1402)&lt;=0,N(M1402)&gt;N(L1402)),N(M1402)/요약!$D$27,N(L1402)))</f>
        <v>32184000</v>
      </c>
      <c r="O1402" s="32" t="str">
        <f aca="false">IF(A1402="제외","",IF(OR(N(L1402)&lt;=0,N(M1402)&gt;N(L1402)),"택가보정(판매금액÷공급율)",""))</f>
        <v/>
      </c>
      <c r="P1402" s="0" t="str">
        <f aca="false">IF(A1402="HK","100",IF(A1402="CN","200",IF(A1402="TW","300",IF(ISNUMBER(SEARCH("태국",C1402)),"500",IF(ISNUMBER(SEARCH("말레이",C1402)),"600",IF(ISNUMBER(SEARCH("필리핀",C1402)),"700",IF(ISNUMBER(SEARCH("인도네시아",C1402)),"800",IF(ISNUMBER(SEARCH("크루즈",C1402)),"810",IF(ISNUMBER(SEARCH("동물원",C1402)),"830","")))))))))</f>
        <v>810</v>
      </c>
    </row>
    <row r="1403" customFormat="false" ht="15" hidden="false" customHeight="false" outlineLevel="0" collapsed="false">
      <c r="A1403" s="32" t="str">
        <f aca="false">IF(OR(TRIM(C1403)="",SUBSTITUTE(C1403," ","")="소계"),"제외",IF(ISNUMBER(SEARCH("홍콩",C1403)),"HK",IF(ISNUMBER(SEARCH("상해",C1403)),"CN",IF(ISNUMBER(SEARCH("대만",C1403)),"TW","홀세일"))))</f>
        <v>홀세일</v>
      </c>
      <c r="B1403" s="36" t="s">
        <v>1467</v>
      </c>
      <c r="C1403" s="37" t="s">
        <v>1468</v>
      </c>
      <c r="D1403" s="37" t="s">
        <v>123</v>
      </c>
      <c r="E1403" s="36" t="n">
        <v>2026</v>
      </c>
      <c r="F1403" s="37" t="s">
        <v>219</v>
      </c>
      <c r="G1403" s="37" t="s">
        <v>124</v>
      </c>
      <c r="H1403" s="36" t="s">
        <v>131</v>
      </c>
      <c r="I1403" s="36" t="s">
        <v>1473</v>
      </c>
      <c r="J1403" s="37" t="s">
        <v>1474</v>
      </c>
      <c r="K1403" s="38" t="n">
        <v>216</v>
      </c>
      <c r="L1403" s="38" t="n">
        <v>19224000</v>
      </c>
      <c r="M1403" s="38" t="n">
        <v>8044272</v>
      </c>
      <c r="N1403" s="39" t="n">
        <f aca="false">IF(A1403="제외",0,IF(OR(N(L1403)&lt;=0,N(M1403)&gt;N(L1403)),N(M1403)/요약!$D$27,N(L1403)))</f>
        <v>19224000</v>
      </c>
      <c r="O1403" s="32" t="str">
        <f aca="false">IF(A1403="제외","",IF(OR(N(L1403)&lt;=0,N(M1403)&gt;N(L1403)),"택가보정(판매금액÷공급율)",""))</f>
        <v/>
      </c>
      <c r="P1403" s="0" t="str">
        <f aca="false">IF(A1403="HK","100",IF(A1403="CN","200",IF(A1403="TW","300",IF(ISNUMBER(SEARCH("태국",C1403)),"500",IF(ISNUMBER(SEARCH("말레이",C1403)),"600",IF(ISNUMBER(SEARCH("필리핀",C1403)),"700",IF(ISNUMBER(SEARCH("인도네시아",C1403)),"800",IF(ISNUMBER(SEARCH("크루즈",C1403)),"810",IF(ISNUMBER(SEARCH("동물원",C1403)),"830","")))))))))</f>
        <v>810</v>
      </c>
    </row>
    <row r="1404" customFormat="false" ht="15" hidden="false" customHeight="false" outlineLevel="0" collapsed="false">
      <c r="A1404" s="32" t="str">
        <f aca="false">IF(OR(TRIM(C1404)="",SUBSTITUTE(C1404," ","")="소계"),"제외",IF(ISNUMBER(SEARCH("홍콩",C1404)),"HK",IF(ISNUMBER(SEARCH("상해",C1404)),"CN",IF(ISNUMBER(SEARCH("대만",C1404)),"TW","홀세일"))))</f>
        <v>홀세일</v>
      </c>
      <c r="B1404" s="36" t="s">
        <v>1467</v>
      </c>
      <c r="C1404" s="37" t="s">
        <v>1468</v>
      </c>
      <c r="D1404" s="37" t="s">
        <v>123</v>
      </c>
      <c r="E1404" s="36" t="n">
        <v>2026</v>
      </c>
      <c r="F1404" s="37" t="s">
        <v>219</v>
      </c>
      <c r="G1404" s="37" t="s">
        <v>124</v>
      </c>
      <c r="H1404" s="36" t="s">
        <v>131</v>
      </c>
      <c r="I1404" s="36" t="s">
        <v>282</v>
      </c>
      <c r="J1404" s="37" t="s">
        <v>283</v>
      </c>
      <c r="K1404" s="38" t="n">
        <v>240</v>
      </c>
      <c r="L1404" s="38" t="n">
        <v>30960000</v>
      </c>
      <c r="M1404" s="38" t="n">
        <v>12943440</v>
      </c>
      <c r="N1404" s="39" t="n">
        <f aca="false">IF(A1404="제외",0,IF(OR(N(L1404)&lt;=0,N(M1404)&gt;N(L1404)),N(M1404)/요약!$D$27,N(L1404)))</f>
        <v>30960000</v>
      </c>
      <c r="O1404" s="32" t="str">
        <f aca="false">IF(A1404="제외","",IF(OR(N(L1404)&lt;=0,N(M1404)&gt;N(L1404)),"택가보정(판매금액÷공급율)",""))</f>
        <v/>
      </c>
      <c r="P1404" s="0" t="str">
        <f aca="false">IF(A1404="HK","100",IF(A1404="CN","200",IF(A1404="TW","300",IF(ISNUMBER(SEARCH("태국",C1404)),"500",IF(ISNUMBER(SEARCH("말레이",C1404)),"600",IF(ISNUMBER(SEARCH("필리핀",C1404)),"700",IF(ISNUMBER(SEARCH("인도네시아",C1404)),"800",IF(ISNUMBER(SEARCH("크루즈",C1404)),"810",IF(ISNUMBER(SEARCH("동물원",C1404)),"830","")))))))))</f>
        <v>810</v>
      </c>
    </row>
    <row r="1405" customFormat="false" ht="15" hidden="false" customHeight="false" outlineLevel="0" collapsed="false">
      <c r="A1405" s="32" t="str">
        <f aca="false">IF(OR(TRIM(C1405)="",SUBSTITUTE(C1405," ","")="소계"),"제외",IF(ISNUMBER(SEARCH("홍콩",C1405)),"HK",IF(ISNUMBER(SEARCH("상해",C1405)),"CN",IF(ISNUMBER(SEARCH("대만",C1405)),"TW","홀세일"))))</f>
        <v>홀세일</v>
      </c>
      <c r="B1405" s="36" t="s">
        <v>1467</v>
      </c>
      <c r="C1405" s="37" t="s">
        <v>1468</v>
      </c>
      <c r="D1405" s="37" t="s">
        <v>123</v>
      </c>
      <c r="E1405" s="36" t="n">
        <v>2026</v>
      </c>
      <c r="F1405" s="37" t="s">
        <v>219</v>
      </c>
      <c r="G1405" s="37" t="s">
        <v>124</v>
      </c>
      <c r="H1405" s="36" t="s">
        <v>131</v>
      </c>
      <c r="I1405" s="36" t="s">
        <v>284</v>
      </c>
      <c r="J1405" s="37" t="s">
        <v>285</v>
      </c>
      <c r="K1405" s="38" t="n">
        <v>216</v>
      </c>
      <c r="L1405" s="38" t="n">
        <v>14904000</v>
      </c>
      <c r="M1405" s="38" t="n">
        <v>6071760</v>
      </c>
      <c r="N1405" s="39" t="n">
        <f aca="false">IF(A1405="제외",0,IF(OR(N(L1405)&lt;=0,N(M1405)&gt;N(L1405)),N(M1405)/요약!$D$27,N(L1405)))</f>
        <v>14904000</v>
      </c>
      <c r="O1405" s="32" t="str">
        <f aca="false">IF(A1405="제외","",IF(OR(N(L1405)&lt;=0,N(M1405)&gt;N(L1405)),"택가보정(판매금액÷공급율)",""))</f>
        <v/>
      </c>
      <c r="P1405" s="0" t="str">
        <f aca="false">IF(A1405="HK","100",IF(A1405="CN","200",IF(A1405="TW","300",IF(ISNUMBER(SEARCH("태국",C1405)),"500",IF(ISNUMBER(SEARCH("말레이",C1405)),"600",IF(ISNUMBER(SEARCH("필리핀",C1405)),"700",IF(ISNUMBER(SEARCH("인도네시아",C1405)),"800",IF(ISNUMBER(SEARCH("크루즈",C1405)),"810",IF(ISNUMBER(SEARCH("동물원",C1405)),"830","")))))))))</f>
        <v>810</v>
      </c>
    </row>
    <row r="1406" customFormat="false" ht="15" hidden="false" customHeight="false" outlineLevel="0" collapsed="false">
      <c r="A1406" s="32" t="str">
        <f aca="false">IF(OR(TRIM(C1406)="",SUBSTITUTE(C1406," ","")="소계"),"제외",IF(ISNUMBER(SEARCH("홍콩",C1406)),"HK",IF(ISNUMBER(SEARCH("상해",C1406)),"CN",IF(ISNUMBER(SEARCH("대만",C1406)),"TW","홀세일"))))</f>
        <v>홀세일</v>
      </c>
      <c r="B1406" s="36" t="s">
        <v>1467</v>
      </c>
      <c r="C1406" s="37" t="s">
        <v>1468</v>
      </c>
      <c r="D1406" s="37" t="s">
        <v>123</v>
      </c>
      <c r="E1406" s="36" t="n">
        <v>2026</v>
      </c>
      <c r="F1406" s="37" t="s">
        <v>219</v>
      </c>
      <c r="G1406" s="37" t="s">
        <v>124</v>
      </c>
      <c r="H1406" s="36" t="s">
        <v>131</v>
      </c>
      <c r="I1406" s="36" t="s">
        <v>306</v>
      </c>
      <c r="J1406" s="37" t="s">
        <v>307</v>
      </c>
      <c r="K1406" s="38" t="n">
        <v>216</v>
      </c>
      <c r="L1406" s="38" t="n">
        <v>14904000</v>
      </c>
      <c r="M1406" s="38" t="n">
        <v>6071760</v>
      </c>
      <c r="N1406" s="39" t="n">
        <f aca="false">IF(A1406="제외",0,IF(OR(N(L1406)&lt;=0,N(M1406)&gt;N(L1406)),N(M1406)/요약!$D$27,N(L1406)))</f>
        <v>14904000</v>
      </c>
      <c r="O1406" s="32" t="str">
        <f aca="false">IF(A1406="제외","",IF(OR(N(L1406)&lt;=0,N(M1406)&gt;N(L1406)),"택가보정(판매금액÷공급율)",""))</f>
        <v/>
      </c>
      <c r="P1406" s="0" t="str">
        <f aca="false">IF(A1406="HK","100",IF(A1406="CN","200",IF(A1406="TW","300",IF(ISNUMBER(SEARCH("태국",C1406)),"500",IF(ISNUMBER(SEARCH("말레이",C1406)),"600",IF(ISNUMBER(SEARCH("필리핀",C1406)),"700",IF(ISNUMBER(SEARCH("인도네시아",C1406)),"800",IF(ISNUMBER(SEARCH("크루즈",C1406)),"810",IF(ISNUMBER(SEARCH("동물원",C1406)),"830","")))))))))</f>
        <v>810</v>
      </c>
    </row>
    <row r="1407" customFormat="false" ht="15" hidden="false" customHeight="false" outlineLevel="0" collapsed="false">
      <c r="A1407" s="32" t="str">
        <f aca="false">IF(OR(TRIM(C1407)="",SUBSTITUTE(C1407," ","")="소계"),"제외",IF(ISNUMBER(SEARCH("홍콩",C1407)),"HK",IF(ISNUMBER(SEARCH("상해",C1407)),"CN",IF(ISNUMBER(SEARCH("대만",C1407)),"TW","홀세일"))))</f>
        <v>홀세일</v>
      </c>
      <c r="B1407" s="36" t="s">
        <v>1467</v>
      </c>
      <c r="C1407" s="37" t="s">
        <v>1468</v>
      </c>
      <c r="D1407" s="37" t="s">
        <v>123</v>
      </c>
      <c r="E1407" s="36" t="n">
        <v>2026</v>
      </c>
      <c r="F1407" s="37" t="s">
        <v>219</v>
      </c>
      <c r="G1407" s="37" t="s">
        <v>124</v>
      </c>
      <c r="H1407" s="36" t="s">
        <v>131</v>
      </c>
      <c r="I1407" s="36" t="s">
        <v>312</v>
      </c>
      <c r="J1407" s="37" t="s">
        <v>313</v>
      </c>
      <c r="K1407" s="38" t="n">
        <v>216</v>
      </c>
      <c r="L1407" s="38" t="n">
        <v>19224000</v>
      </c>
      <c r="M1407" s="38" t="n">
        <v>7825032</v>
      </c>
      <c r="N1407" s="39" t="n">
        <f aca="false">IF(A1407="제외",0,IF(OR(N(L1407)&lt;=0,N(M1407)&gt;N(L1407)),N(M1407)/요약!$D$27,N(L1407)))</f>
        <v>19224000</v>
      </c>
      <c r="O1407" s="32" t="str">
        <f aca="false">IF(A1407="제외","",IF(OR(N(L1407)&lt;=0,N(M1407)&gt;N(L1407)),"택가보정(판매금액÷공급율)",""))</f>
        <v/>
      </c>
      <c r="P1407" s="0" t="str">
        <f aca="false">IF(A1407="HK","100",IF(A1407="CN","200",IF(A1407="TW","300",IF(ISNUMBER(SEARCH("태국",C1407)),"500",IF(ISNUMBER(SEARCH("말레이",C1407)),"600",IF(ISNUMBER(SEARCH("필리핀",C1407)),"700",IF(ISNUMBER(SEARCH("인도네시아",C1407)),"800",IF(ISNUMBER(SEARCH("크루즈",C1407)),"810",IF(ISNUMBER(SEARCH("동물원",C1407)),"830","")))))))))</f>
        <v>810</v>
      </c>
    </row>
    <row r="1408" customFormat="false" ht="15" hidden="false" customHeight="false" outlineLevel="0" collapsed="false">
      <c r="A1408" s="32" t="str">
        <f aca="false">IF(OR(TRIM(C1408)="",SUBSTITUTE(C1408," ","")="소계"),"제외",IF(ISNUMBER(SEARCH("홍콩",C1408)),"HK",IF(ISNUMBER(SEARCH("상해",C1408)),"CN",IF(ISNUMBER(SEARCH("대만",C1408)),"TW","홀세일"))))</f>
        <v>홀세일</v>
      </c>
      <c r="B1408" s="36" t="s">
        <v>1467</v>
      </c>
      <c r="C1408" s="37" t="s">
        <v>1468</v>
      </c>
      <c r="D1408" s="37" t="s">
        <v>123</v>
      </c>
      <c r="E1408" s="36" t="n">
        <v>2026</v>
      </c>
      <c r="F1408" s="37" t="s">
        <v>219</v>
      </c>
      <c r="G1408" s="37" t="s">
        <v>124</v>
      </c>
      <c r="H1408" s="36" t="s">
        <v>131</v>
      </c>
      <c r="I1408" s="36" t="s">
        <v>1296</v>
      </c>
      <c r="J1408" s="37" t="s">
        <v>1297</v>
      </c>
      <c r="K1408" s="38" t="n">
        <v>216</v>
      </c>
      <c r="L1408" s="38" t="n">
        <v>12744000</v>
      </c>
      <c r="M1408" s="38" t="n">
        <v>5195016</v>
      </c>
      <c r="N1408" s="39" t="n">
        <f aca="false">IF(A1408="제외",0,IF(OR(N(L1408)&lt;=0,N(M1408)&gt;N(L1408)),N(M1408)/요약!$D$27,N(L1408)))</f>
        <v>12744000</v>
      </c>
      <c r="O1408" s="32" t="str">
        <f aca="false">IF(A1408="제외","",IF(OR(N(L1408)&lt;=0,N(M1408)&gt;N(L1408)),"택가보정(판매금액÷공급율)",""))</f>
        <v/>
      </c>
      <c r="P1408" s="0" t="str">
        <f aca="false">IF(A1408="HK","100",IF(A1408="CN","200",IF(A1408="TW","300",IF(ISNUMBER(SEARCH("태국",C1408)),"500",IF(ISNUMBER(SEARCH("말레이",C1408)),"600",IF(ISNUMBER(SEARCH("필리핀",C1408)),"700",IF(ISNUMBER(SEARCH("인도네시아",C1408)),"800",IF(ISNUMBER(SEARCH("크루즈",C1408)),"810",IF(ISNUMBER(SEARCH("동물원",C1408)),"830","")))))))))</f>
        <v>810</v>
      </c>
    </row>
    <row r="1409" customFormat="false" ht="15" hidden="false" customHeight="false" outlineLevel="0" collapsed="false">
      <c r="A1409" s="32" t="str">
        <f aca="false">IF(OR(TRIM(C1409)="",SUBSTITUTE(C1409," ","")="소계"),"제외",IF(ISNUMBER(SEARCH("홍콩",C1409)),"HK",IF(ISNUMBER(SEARCH("상해",C1409)),"CN",IF(ISNUMBER(SEARCH("대만",C1409)),"TW","홀세일"))))</f>
        <v>홀세일</v>
      </c>
      <c r="B1409" s="36" t="s">
        <v>1467</v>
      </c>
      <c r="C1409" s="37" t="s">
        <v>1468</v>
      </c>
      <c r="D1409" s="37" t="s">
        <v>123</v>
      </c>
      <c r="E1409" s="36" t="n">
        <v>2026</v>
      </c>
      <c r="F1409" s="37" t="s">
        <v>219</v>
      </c>
      <c r="G1409" s="37" t="s">
        <v>124</v>
      </c>
      <c r="H1409" s="37" t="s">
        <v>128</v>
      </c>
      <c r="I1409" s="36" t="s">
        <v>1475</v>
      </c>
      <c r="J1409" s="36" t="s">
        <v>1476</v>
      </c>
      <c r="K1409" s="38" t="n">
        <v>216</v>
      </c>
      <c r="L1409" s="38" t="n">
        <v>10584000</v>
      </c>
      <c r="M1409" s="38" t="n">
        <v>4318488</v>
      </c>
      <c r="N1409" s="39" t="n">
        <f aca="false">IF(A1409="제외",0,IF(OR(N(L1409)&lt;=0,N(M1409)&gt;N(L1409)),N(M1409)/요약!$D$27,N(L1409)))</f>
        <v>10584000</v>
      </c>
      <c r="O1409" s="32" t="str">
        <f aca="false">IF(A1409="제외","",IF(OR(N(L1409)&lt;=0,N(M1409)&gt;N(L1409)),"택가보정(판매금액÷공급율)",""))</f>
        <v/>
      </c>
      <c r="P1409" s="0" t="str">
        <f aca="false">IF(A1409="HK","100",IF(A1409="CN","200",IF(A1409="TW","300",IF(ISNUMBER(SEARCH("태국",C1409)),"500",IF(ISNUMBER(SEARCH("말레이",C1409)),"600",IF(ISNUMBER(SEARCH("필리핀",C1409)),"700",IF(ISNUMBER(SEARCH("인도네시아",C1409)),"800",IF(ISNUMBER(SEARCH("크루즈",C1409)),"810",IF(ISNUMBER(SEARCH("동물원",C1409)),"830","")))))))))</f>
        <v>810</v>
      </c>
    </row>
    <row r="1410" customFormat="false" ht="15" hidden="false" customHeight="false" outlineLevel="0" collapsed="false">
      <c r="A1410" s="32" t="str">
        <f aca="false">IF(OR(TRIM(C1410)="",SUBSTITUTE(C1410," ","")="소계"),"제외",IF(ISNUMBER(SEARCH("홍콩",C1410)),"HK",IF(ISNUMBER(SEARCH("상해",C1410)),"CN",IF(ISNUMBER(SEARCH("대만",C1410)),"TW","홀세일"))))</f>
        <v>홀세일</v>
      </c>
      <c r="B1410" s="36" t="s">
        <v>1467</v>
      </c>
      <c r="C1410" s="37" t="s">
        <v>1468</v>
      </c>
      <c r="D1410" s="37" t="s">
        <v>123</v>
      </c>
      <c r="E1410" s="36" t="n">
        <v>2026</v>
      </c>
      <c r="F1410" s="37" t="s">
        <v>219</v>
      </c>
      <c r="G1410" s="37" t="s">
        <v>124</v>
      </c>
      <c r="H1410" s="36" t="s">
        <v>188</v>
      </c>
      <c r="I1410" s="36" t="s">
        <v>1306</v>
      </c>
      <c r="J1410" s="36" t="s">
        <v>1307</v>
      </c>
      <c r="K1410" s="38" t="n">
        <v>132</v>
      </c>
      <c r="L1410" s="38" t="n">
        <v>11748000</v>
      </c>
      <c r="M1410" s="38" t="n">
        <v>4915944</v>
      </c>
      <c r="N1410" s="39" t="n">
        <f aca="false">IF(A1410="제외",0,IF(OR(N(L1410)&lt;=0,N(M1410)&gt;N(L1410)),N(M1410)/요약!$D$27,N(L1410)))</f>
        <v>11748000</v>
      </c>
      <c r="O1410" s="32" t="str">
        <f aca="false">IF(A1410="제외","",IF(OR(N(L1410)&lt;=0,N(M1410)&gt;N(L1410)),"택가보정(판매금액÷공급율)",""))</f>
        <v/>
      </c>
      <c r="P1410" s="0" t="str">
        <f aca="false">IF(A1410="HK","100",IF(A1410="CN","200",IF(A1410="TW","300",IF(ISNUMBER(SEARCH("태국",C1410)),"500",IF(ISNUMBER(SEARCH("말레이",C1410)),"600",IF(ISNUMBER(SEARCH("필리핀",C1410)),"700",IF(ISNUMBER(SEARCH("인도네시아",C1410)),"800",IF(ISNUMBER(SEARCH("크루즈",C1410)),"810",IF(ISNUMBER(SEARCH("동물원",C1410)),"830","")))))))))</f>
        <v>810</v>
      </c>
    </row>
    <row r="1411" customFormat="false" ht="15" hidden="false" customHeight="false" outlineLevel="0" collapsed="false">
      <c r="A1411" s="32" t="str">
        <f aca="false">IF(OR(TRIM(C1411)="",SUBSTITUTE(C1411," ","")="소계"),"제외",IF(ISNUMBER(SEARCH("홍콩",C1411)),"HK",IF(ISNUMBER(SEARCH("상해",C1411)),"CN",IF(ISNUMBER(SEARCH("대만",C1411)),"TW","홀세일"))))</f>
        <v>홀세일</v>
      </c>
      <c r="B1411" s="36" t="s">
        <v>1467</v>
      </c>
      <c r="C1411" s="37" t="s">
        <v>1468</v>
      </c>
      <c r="D1411" s="37" t="s">
        <v>123</v>
      </c>
      <c r="E1411" s="36" t="n">
        <v>2026</v>
      </c>
      <c r="F1411" s="37" t="s">
        <v>219</v>
      </c>
      <c r="G1411" s="37" t="s">
        <v>124</v>
      </c>
      <c r="H1411" s="36" t="s">
        <v>188</v>
      </c>
      <c r="I1411" s="36" t="s">
        <v>838</v>
      </c>
      <c r="J1411" s="36" t="s">
        <v>839</v>
      </c>
      <c r="K1411" s="38" t="n">
        <v>192</v>
      </c>
      <c r="L1411" s="38" t="n">
        <v>17088000</v>
      </c>
      <c r="M1411" s="38" t="n">
        <v>7150464</v>
      </c>
      <c r="N1411" s="39" t="n">
        <f aca="false">IF(A1411="제외",0,IF(OR(N(L1411)&lt;=0,N(M1411)&gt;N(L1411)),N(M1411)/요약!$D$27,N(L1411)))</f>
        <v>17088000</v>
      </c>
      <c r="O1411" s="32" t="str">
        <f aca="false">IF(A1411="제외","",IF(OR(N(L1411)&lt;=0,N(M1411)&gt;N(L1411)),"택가보정(판매금액÷공급율)",""))</f>
        <v/>
      </c>
      <c r="P1411" s="0" t="str">
        <f aca="false">IF(A1411="HK","100",IF(A1411="CN","200",IF(A1411="TW","300",IF(ISNUMBER(SEARCH("태국",C1411)),"500",IF(ISNUMBER(SEARCH("말레이",C1411)),"600",IF(ISNUMBER(SEARCH("필리핀",C1411)),"700",IF(ISNUMBER(SEARCH("인도네시아",C1411)),"800",IF(ISNUMBER(SEARCH("크루즈",C1411)),"810",IF(ISNUMBER(SEARCH("동물원",C1411)),"830","")))))))))</f>
        <v>810</v>
      </c>
    </row>
    <row r="1412" customFormat="false" ht="15" hidden="false" customHeight="false" outlineLevel="0" collapsed="false">
      <c r="A1412" s="32" t="str">
        <f aca="false">IF(OR(TRIM(C1412)="",SUBSTITUTE(C1412," ","")="소계"),"제외",IF(ISNUMBER(SEARCH("홍콩",C1412)),"HK",IF(ISNUMBER(SEARCH("상해",C1412)),"CN",IF(ISNUMBER(SEARCH("대만",C1412)),"TW","홀세일"))))</f>
        <v>홀세일</v>
      </c>
      <c r="B1412" s="36" t="s">
        <v>1467</v>
      </c>
      <c r="C1412" s="37" t="s">
        <v>1468</v>
      </c>
      <c r="D1412" s="37" t="s">
        <v>123</v>
      </c>
      <c r="E1412" s="36" t="n">
        <v>2026</v>
      </c>
      <c r="F1412" s="37" t="s">
        <v>219</v>
      </c>
      <c r="G1412" s="37" t="s">
        <v>124</v>
      </c>
      <c r="H1412" s="36" t="s">
        <v>188</v>
      </c>
      <c r="I1412" s="36" t="s">
        <v>342</v>
      </c>
      <c r="J1412" s="36" t="s">
        <v>343</v>
      </c>
      <c r="K1412" s="38" t="n">
        <v>204</v>
      </c>
      <c r="L1412" s="38" t="n">
        <v>34476000</v>
      </c>
      <c r="M1412" s="38" t="n">
        <v>15289188</v>
      </c>
      <c r="N1412" s="39" t="n">
        <f aca="false">IF(A1412="제외",0,IF(OR(N(L1412)&lt;=0,N(M1412)&gt;N(L1412)),N(M1412)/요약!$D$27,N(L1412)))</f>
        <v>34476000</v>
      </c>
      <c r="O1412" s="32" t="str">
        <f aca="false">IF(A1412="제외","",IF(OR(N(L1412)&lt;=0,N(M1412)&gt;N(L1412)),"택가보정(판매금액÷공급율)",""))</f>
        <v/>
      </c>
      <c r="P1412" s="0" t="str">
        <f aca="false">IF(A1412="HK","100",IF(A1412="CN","200",IF(A1412="TW","300",IF(ISNUMBER(SEARCH("태국",C1412)),"500",IF(ISNUMBER(SEARCH("말레이",C1412)),"600",IF(ISNUMBER(SEARCH("필리핀",C1412)),"700",IF(ISNUMBER(SEARCH("인도네시아",C1412)),"800",IF(ISNUMBER(SEARCH("크루즈",C1412)),"810",IF(ISNUMBER(SEARCH("동물원",C1412)),"830","")))))))))</f>
        <v>810</v>
      </c>
    </row>
    <row r="1413" customFormat="false" ht="15" hidden="false" customHeight="false" outlineLevel="0" collapsed="false">
      <c r="A1413" s="32" t="str">
        <f aca="false">IF(OR(TRIM(C1413)="",SUBSTITUTE(C1413," ","")="소계"),"제외",IF(ISNUMBER(SEARCH("홍콩",C1413)),"HK",IF(ISNUMBER(SEARCH("상해",C1413)),"CN",IF(ISNUMBER(SEARCH("대만",C1413)),"TW","홀세일"))))</f>
        <v>홀세일</v>
      </c>
      <c r="B1413" s="36" t="s">
        <v>1467</v>
      </c>
      <c r="C1413" s="37" t="s">
        <v>1468</v>
      </c>
      <c r="D1413" s="37" t="s">
        <v>123</v>
      </c>
      <c r="E1413" s="36" t="n">
        <v>2026</v>
      </c>
      <c r="F1413" s="37" t="s">
        <v>219</v>
      </c>
      <c r="G1413" s="37" t="s">
        <v>124</v>
      </c>
      <c r="H1413" s="36" t="s">
        <v>188</v>
      </c>
      <c r="I1413" s="36" t="s">
        <v>1316</v>
      </c>
      <c r="J1413" s="36" t="s">
        <v>1317</v>
      </c>
      <c r="K1413" s="38" t="n">
        <v>204</v>
      </c>
      <c r="L1413" s="38" t="n">
        <v>20196000</v>
      </c>
      <c r="M1413" s="38" t="n">
        <v>8448456</v>
      </c>
      <c r="N1413" s="39" t="n">
        <f aca="false">IF(A1413="제외",0,IF(OR(N(L1413)&lt;=0,N(M1413)&gt;N(L1413)),N(M1413)/요약!$D$27,N(L1413)))</f>
        <v>20196000</v>
      </c>
      <c r="O1413" s="32" t="str">
        <f aca="false">IF(A1413="제외","",IF(OR(N(L1413)&lt;=0,N(M1413)&gt;N(L1413)),"택가보정(판매금액÷공급율)",""))</f>
        <v/>
      </c>
      <c r="P1413" s="0" t="str">
        <f aca="false">IF(A1413="HK","100",IF(A1413="CN","200",IF(A1413="TW","300",IF(ISNUMBER(SEARCH("태국",C1413)),"500",IF(ISNUMBER(SEARCH("말레이",C1413)),"600",IF(ISNUMBER(SEARCH("필리핀",C1413)),"700",IF(ISNUMBER(SEARCH("인도네시아",C1413)),"800",IF(ISNUMBER(SEARCH("크루즈",C1413)),"810",IF(ISNUMBER(SEARCH("동물원",C1413)),"830","")))))))))</f>
        <v>810</v>
      </c>
    </row>
    <row r="1414" customFormat="false" ht="15" hidden="false" customHeight="false" outlineLevel="0" collapsed="false">
      <c r="A1414" s="32" t="str">
        <f aca="false">IF(OR(TRIM(C1414)="",SUBSTITUTE(C1414," ","")="소계"),"제외",IF(ISNUMBER(SEARCH("홍콩",C1414)),"HK",IF(ISNUMBER(SEARCH("상해",C1414)),"CN",IF(ISNUMBER(SEARCH("대만",C1414)),"TW","홀세일"))))</f>
        <v>홀세일</v>
      </c>
      <c r="B1414" s="36" t="s">
        <v>1467</v>
      </c>
      <c r="C1414" s="37" t="s">
        <v>1468</v>
      </c>
      <c r="D1414" s="37" t="s">
        <v>123</v>
      </c>
      <c r="E1414" s="36" t="n">
        <v>2026</v>
      </c>
      <c r="F1414" s="37" t="s">
        <v>219</v>
      </c>
      <c r="G1414" s="37" t="s">
        <v>124</v>
      </c>
      <c r="H1414" s="36" t="s">
        <v>188</v>
      </c>
      <c r="I1414" s="36" t="s">
        <v>354</v>
      </c>
      <c r="J1414" s="36" t="s">
        <v>355</v>
      </c>
      <c r="K1414" s="38" t="n">
        <v>204</v>
      </c>
      <c r="L1414" s="38" t="n">
        <v>22236000</v>
      </c>
      <c r="M1414" s="38" t="n">
        <v>9299544</v>
      </c>
      <c r="N1414" s="39" t="n">
        <f aca="false">IF(A1414="제외",0,IF(OR(N(L1414)&lt;=0,N(M1414)&gt;N(L1414)),N(M1414)/요약!$D$27,N(L1414)))</f>
        <v>22236000</v>
      </c>
      <c r="O1414" s="32" t="str">
        <f aca="false">IF(A1414="제외","",IF(OR(N(L1414)&lt;=0,N(M1414)&gt;N(L1414)),"택가보정(판매금액÷공급율)",""))</f>
        <v/>
      </c>
      <c r="P1414" s="0" t="str">
        <f aca="false">IF(A1414="HK","100",IF(A1414="CN","200",IF(A1414="TW","300",IF(ISNUMBER(SEARCH("태국",C1414)),"500",IF(ISNUMBER(SEARCH("말레이",C1414)),"600",IF(ISNUMBER(SEARCH("필리핀",C1414)),"700",IF(ISNUMBER(SEARCH("인도네시아",C1414)),"800",IF(ISNUMBER(SEARCH("크루즈",C1414)),"810",IF(ISNUMBER(SEARCH("동물원",C1414)),"830","")))))))))</f>
        <v>810</v>
      </c>
    </row>
    <row r="1415" customFormat="false" ht="15" hidden="false" customHeight="false" outlineLevel="0" collapsed="false">
      <c r="A1415" s="32" t="str">
        <f aca="false">IF(OR(TRIM(C1415)="",SUBSTITUTE(C1415," ","")="소계"),"제외",IF(ISNUMBER(SEARCH("홍콩",C1415)),"HK",IF(ISNUMBER(SEARCH("상해",C1415)),"CN",IF(ISNUMBER(SEARCH("대만",C1415)),"TW","홀세일"))))</f>
        <v>홀세일</v>
      </c>
      <c r="B1415" s="36" t="s">
        <v>1467</v>
      </c>
      <c r="C1415" s="37" t="s">
        <v>1468</v>
      </c>
      <c r="D1415" s="37" t="s">
        <v>123</v>
      </c>
      <c r="E1415" s="36" t="n">
        <v>2026</v>
      </c>
      <c r="F1415" s="36" t="s">
        <v>110</v>
      </c>
      <c r="G1415" s="37" t="s">
        <v>102</v>
      </c>
      <c r="H1415" s="36" t="s">
        <v>131</v>
      </c>
      <c r="I1415" s="36" t="s">
        <v>1101</v>
      </c>
      <c r="J1415" s="36" t="s">
        <v>1102</v>
      </c>
      <c r="K1415" s="38" t="n">
        <v>54</v>
      </c>
      <c r="L1415" s="38" t="n">
        <v>5346000</v>
      </c>
      <c r="M1415" s="38" t="n">
        <v>2365740</v>
      </c>
      <c r="N1415" s="39" t="n">
        <f aca="false">IF(A1415="제외",0,IF(OR(N(L1415)&lt;=0,N(M1415)&gt;N(L1415)),N(M1415)/요약!$D$27,N(L1415)))</f>
        <v>5346000</v>
      </c>
      <c r="O1415" s="32" t="str">
        <f aca="false">IF(A1415="제외","",IF(OR(N(L1415)&lt;=0,N(M1415)&gt;N(L1415)),"택가보정(판매금액÷공급율)",""))</f>
        <v/>
      </c>
      <c r="P1415" s="0" t="str">
        <f aca="false">IF(A1415="HK","100",IF(A1415="CN","200",IF(A1415="TW","300",IF(ISNUMBER(SEARCH("태국",C1415)),"500",IF(ISNUMBER(SEARCH("말레이",C1415)),"600",IF(ISNUMBER(SEARCH("필리핀",C1415)),"700",IF(ISNUMBER(SEARCH("인도네시아",C1415)),"800",IF(ISNUMBER(SEARCH("크루즈",C1415)),"810",IF(ISNUMBER(SEARCH("동물원",C1415)),"830","")))))))))</f>
        <v>810</v>
      </c>
    </row>
    <row r="1416" customFormat="false" ht="15" hidden="false" customHeight="false" outlineLevel="0" collapsed="false">
      <c r="A1416" s="32" t="str">
        <f aca="false">IF(OR(TRIM(C1416)="",SUBSTITUTE(C1416," ","")="소계"),"제외",IF(ISNUMBER(SEARCH("홍콩",C1416)),"HK",IF(ISNUMBER(SEARCH("상해",C1416)),"CN",IF(ISNUMBER(SEARCH("대만",C1416)),"TW","홀세일"))))</f>
        <v>홀세일</v>
      </c>
      <c r="B1416" s="36" t="s">
        <v>1467</v>
      </c>
      <c r="C1416" s="37" t="s">
        <v>1468</v>
      </c>
      <c r="D1416" s="37" t="s">
        <v>123</v>
      </c>
      <c r="E1416" s="36" t="n">
        <v>2026</v>
      </c>
      <c r="F1416" s="36" t="s">
        <v>110</v>
      </c>
      <c r="G1416" s="37" t="s">
        <v>102</v>
      </c>
      <c r="H1416" s="36" t="s">
        <v>131</v>
      </c>
      <c r="I1416" s="36" t="s">
        <v>591</v>
      </c>
      <c r="J1416" s="37" t="s">
        <v>592</v>
      </c>
      <c r="K1416" s="38" t="n">
        <v>48</v>
      </c>
      <c r="L1416" s="38" t="n">
        <v>6192000</v>
      </c>
      <c r="M1416" s="38" t="n">
        <v>2737440</v>
      </c>
      <c r="N1416" s="39" t="n">
        <f aca="false">IF(A1416="제외",0,IF(OR(N(L1416)&lt;=0,N(M1416)&gt;N(L1416)),N(M1416)/요약!$D$27,N(L1416)))</f>
        <v>6192000</v>
      </c>
      <c r="O1416" s="32" t="str">
        <f aca="false">IF(A1416="제외","",IF(OR(N(L1416)&lt;=0,N(M1416)&gt;N(L1416)),"택가보정(판매금액÷공급율)",""))</f>
        <v/>
      </c>
      <c r="P1416" s="0" t="str">
        <f aca="false">IF(A1416="HK","100",IF(A1416="CN","200",IF(A1416="TW","300",IF(ISNUMBER(SEARCH("태국",C1416)),"500",IF(ISNUMBER(SEARCH("말레이",C1416)),"600",IF(ISNUMBER(SEARCH("필리핀",C1416)),"700",IF(ISNUMBER(SEARCH("인도네시아",C1416)),"800",IF(ISNUMBER(SEARCH("크루즈",C1416)),"810",IF(ISNUMBER(SEARCH("동물원",C1416)),"830","")))))))))</f>
        <v>810</v>
      </c>
    </row>
    <row r="1417" customFormat="false" ht="15" hidden="false" customHeight="false" outlineLevel="0" collapsed="false">
      <c r="A1417" s="32" t="str">
        <f aca="false">IF(OR(TRIM(C1417)="",SUBSTITUTE(C1417," ","")="소계"),"제외",IF(ISNUMBER(SEARCH("홍콩",C1417)),"HK",IF(ISNUMBER(SEARCH("상해",C1417)),"CN",IF(ISNUMBER(SEARCH("대만",C1417)),"TW","홀세일"))))</f>
        <v>홀세일</v>
      </c>
      <c r="B1417" s="36" t="s">
        <v>1467</v>
      </c>
      <c r="C1417" s="37" t="s">
        <v>1468</v>
      </c>
      <c r="D1417" s="37" t="s">
        <v>123</v>
      </c>
      <c r="E1417" s="36" t="n">
        <v>2026</v>
      </c>
      <c r="F1417" s="36" t="s">
        <v>110</v>
      </c>
      <c r="G1417" s="37" t="s">
        <v>102</v>
      </c>
      <c r="H1417" s="36" t="s">
        <v>131</v>
      </c>
      <c r="I1417" s="36" t="s">
        <v>597</v>
      </c>
      <c r="J1417" s="37" t="s">
        <v>598</v>
      </c>
      <c r="K1417" s="38" t="n">
        <v>96</v>
      </c>
      <c r="L1417" s="38" t="n">
        <v>6624000</v>
      </c>
      <c r="M1417" s="38" t="n">
        <v>2936640</v>
      </c>
      <c r="N1417" s="39" t="n">
        <f aca="false">IF(A1417="제외",0,IF(OR(N(L1417)&lt;=0,N(M1417)&gt;N(L1417)),N(M1417)/요약!$D$27,N(L1417)))</f>
        <v>6624000</v>
      </c>
      <c r="O1417" s="32" t="str">
        <f aca="false">IF(A1417="제외","",IF(OR(N(L1417)&lt;=0,N(M1417)&gt;N(L1417)),"택가보정(판매금액÷공급율)",""))</f>
        <v/>
      </c>
      <c r="P1417" s="0" t="str">
        <f aca="false">IF(A1417="HK","100",IF(A1417="CN","200",IF(A1417="TW","300",IF(ISNUMBER(SEARCH("태국",C1417)),"500",IF(ISNUMBER(SEARCH("말레이",C1417)),"600",IF(ISNUMBER(SEARCH("필리핀",C1417)),"700",IF(ISNUMBER(SEARCH("인도네시아",C1417)),"800",IF(ISNUMBER(SEARCH("크루즈",C1417)),"810",IF(ISNUMBER(SEARCH("동물원",C1417)),"830","")))))))))</f>
        <v>810</v>
      </c>
    </row>
    <row r="1418" customFormat="false" ht="15" hidden="false" customHeight="false" outlineLevel="0" collapsed="false">
      <c r="A1418" s="32" t="str">
        <f aca="false">IF(OR(TRIM(C1418)="",SUBSTITUTE(C1418," ","")="소계"),"제외",IF(ISNUMBER(SEARCH("홍콩",C1418)),"HK",IF(ISNUMBER(SEARCH("상해",C1418)),"CN",IF(ISNUMBER(SEARCH("대만",C1418)),"TW","홀세일"))))</f>
        <v>홀세일</v>
      </c>
      <c r="B1418" s="36" t="s">
        <v>1467</v>
      </c>
      <c r="C1418" s="37" t="s">
        <v>1468</v>
      </c>
      <c r="D1418" s="37" t="s">
        <v>123</v>
      </c>
      <c r="E1418" s="36" t="n">
        <v>2026</v>
      </c>
      <c r="F1418" s="36" t="s">
        <v>110</v>
      </c>
      <c r="G1418" s="37" t="s">
        <v>102</v>
      </c>
      <c r="H1418" s="36" t="s">
        <v>131</v>
      </c>
      <c r="I1418" s="36" t="s">
        <v>956</v>
      </c>
      <c r="J1418" s="37" t="s">
        <v>957</v>
      </c>
      <c r="K1418" s="38" t="n">
        <v>48</v>
      </c>
      <c r="L1418" s="38" t="n">
        <v>4272000</v>
      </c>
      <c r="M1418" s="38" t="n">
        <v>1888896</v>
      </c>
      <c r="N1418" s="39" t="n">
        <f aca="false">IF(A1418="제외",0,IF(OR(N(L1418)&lt;=0,N(M1418)&gt;N(L1418)),N(M1418)/요약!$D$27,N(L1418)))</f>
        <v>4272000</v>
      </c>
      <c r="O1418" s="32" t="str">
        <f aca="false">IF(A1418="제외","",IF(OR(N(L1418)&lt;=0,N(M1418)&gt;N(L1418)),"택가보정(판매금액÷공급율)",""))</f>
        <v/>
      </c>
      <c r="P1418" s="0" t="str">
        <f aca="false">IF(A1418="HK","100",IF(A1418="CN","200",IF(A1418="TW","300",IF(ISNUMBER(SEARCH("태국",C1418)),"500",IF(ISNUMBER(SEARCH("말레이",C1418)),"600",IF(ISNUMBER(SEARCH("필리핀",C1418)),"700",IF(ISNUMBER(SEARCH("인도네시아",C1418)),"800",IF(ISNUMBER(SEARCH("크루즈",C1418)),"810",IF(ISNUMBER(SEARCH("동물원",C1418)),"830","")))))))))</f>
        <v>810</v>
      </c>
    </row>
    <row r="1419" customFormat="false" ht="15" hidden="false" customHeight="false" outlineLevel="0" collapsed="false">
      <c r="A1419" s="32" t="str">
        <f aca="false">IF(OR(TRIM(C1419)="",SUBSTITUTE(C1419," ","")="소계"),"제외",IF(ISNUMBER(SEARCH("홍콩",C1419)),"HK",IF(ISNUMBER(SEARCH("상해",C1419)),"CN",IF(ISNUMBER(SEARCH("대만",C1419)),"TW","홀세일"))))</f>
        <v>홀세일</v>
      </c>
      <c r="B1419" s="36" t="s">
        <v>1467</v>
      </c>
      <c r="C1419" s="37" t="s">
        <v>1468</v>
      </c>
      <c r="D1419" s="37" t="s">
        <v>123</v>
      </c>
      <c r="E1419" s="36" t="n">
        <v>2026</v>
      </c>
      <c r="F1419" s="36" t="s">
        <v>110</v>
      </c>
      <c r="G1419" s="37" t="s">
        <v>102</v>
      </c>
      <c r="H1419" s="36" t="s">
        <v>131</v>
      </c>
      <c r="I1419" s="36" t="s">
        <v>601</v>
      </c>
      <c r="J1419" s="37" t="s">
        <v>602</v>
      </c>
      <c r="K1419" s="38" t="n">
        <v>48</v>
      </c>
      <c r="L1419" s="38" t="n">
        <v>3792000</v>
      </c>
      <c r="M1419" s="38" t="n">
        <v>1674912</v>
      </c>
      <c r="N1419" s="39" t="n">
        <f aca="false">IF(A1419="제외",0,IF(OR(N(L1419)&lt;=0,N(M1419)&gt;N(L1419)),N(M1419)/요약!$D$27,N(L1419)))</f>
        <v>3792000</v>
      </c>
      <c r="O1419" s="32" t="str">
        <f aca="false">IF(A1419="제외","",IF(OR(N(L1419)&lt;=0,N(M1419)&gt;N(L1419)),"택가보정(판매금액÷공급율)",""))</f>
        <v/>
      </c>
      <c r="P1419" s="0" t="str">
        <f aca="false">IF(A1419="HK","100",IF(A1419="CN","200",IF(A1419="TW","300",IF(ISNUMBER(SEARCH("태국",C1419)),"500",IF(ISNUMBER(SEARCH("말레이",C1419)),"600",IF(ISNUMBER(SEARCH("필리핀",C1419)),"700",IF(ISNUMBER(SEARCH("인도네시아",C1419)),"800",IF(ISNUMBER(SEARCH("크루즈",C1419)),"810",IF(ISNUMBER(SEARCH("동물원",C1419)),"830","")))))))))</f>
        <v>810</v>
      </c>
    </row>
    <row r="1420" customFormat="false" ht="15" hidden="false" customHeight="false" outlineLevel="0" collapsed="false">
      <c r="A1420" s="32" t="str">
        <f aca="false">IF(OR(TRIM(C1420)="",SUBSTITUTE(C1420," ","")="소계"),"제외",IF(ISNUMBER(SEARCH("홍콩",C1420)),"HK",IF(ISNUMBER(SEARCH("상해",C1420)),"CN",IF(ISNUMBER(SEARCH("대만",C1420)),"TW","홀세일"))))</f>
        <v>홀세일</v>
      </c>
      <c r="B1420" s="36" t="s">
        <v>1467</v>
      </c>
      <c r="C1420" s="37" t="s">
        <v>1468</v>
      </c>
      <c r="D1420" s="37" t="s">
        <v>123</v>
      </c>
      <c r="E1420" s="36" t="n">
        <v>2026</v>
      </c>
      <c r="F1420" s="36" t="s">
        <v>110</v>
      </c>
      <c r="G1420" s="37" t="s">
        <v>102</v>
      </c>
      <c r="H1420" s="36" t="s">
        <v>131</v>
      </c>
      <c r="I1420" s="36" t="s">
        <v>611</v>
      </c>
      <c r="J1420" s="36" t="s">
        <v>612</v>
      </c>
      <c r="K1420" s="38" t="n">
        <v>48</v>
      </c>
      <c r="L1420" s="38" t="n">
        <v>3312000</v>
      </c>
      <c r="M1420" s="38" t="n">
        <v>1468320</v>
      </c>
      <c r="N1420" s="39" t="n">
        <f aca="false">IF(A1420="제외",0,IF(OR(N(L1420)&lt;=0,N(M1420)&gt;N(L1420)),N(M1420)/요약!$D$27,N(L1420)))</f>
        <v>3312000</v>
      </c>
      <c r="O1420" s="32" t="str">
        <f aca="false">IF(A1420="제외","",IF(OR(N(L1420)&lt;=0,N(M1420)&gt;N(L1420)),"택가보정(판매금액÷공급율)",""))</f>
        <v/>
      </c>
      <c r="P1420" s="0" t="str">
        <f aca="false">IF(A1420="HK","100",IF(A1420="CN","200",IF(A1420="TW","300",IF(ISNUMBER(SEARCH("태국",C1420)),"500",IF(ISNUMBER(SEARCH("말레이",C1420)),"600",IF(ISNUMBER(SEARCH("필리핀",C1420)),"700",IF(ISNUMBER(SEARCH("인도네시아",C1420)),"800",IF(ISNUMBER(SEARCH("크루즈",C1420)),"810",IF(ISNUMBER(SEARCH("동물원",C1420)),"830","")))))))))</f>
        <v>810</v>
      </c>
    </row>
    <row r="1421" customFormat="false" ht="15" hidden="false" customHeight="false" outlineLevel="0" collapsed="false">
      <c r="A1421" s="32" t="str">
        <f aca="false">IF(OR(TRIM(C1421)="",SUBSTITUTE(C1421," ","")="소계"),"제외",IF(ISNUMBER(SEARCH("홍콩",C1421)),"HK",IF(ISNUMBER(SEARCH("상해",C1421)),"CN",IF(ISNUMBER(SEARCH("대만",C1421)),"TW","홀세일"))))</f>
        <v>홀세일</v>
      </c>
      <c r="B1421" s="36" t="s">
        <v>1467</v>
      </c>
      <c r="C1421" s="37" t="s">
        <v>1468</v>
      </c>
      <c r="D1421" s="37" t="s">
        <v>123</v>
      </c>
      <c r="E1421" s="36" t="n">
        <v>2026</v>
      </c>
      <c r="F1421" s="36" t="s">
        <v>110</v>
      </c>
      <c r="G1421" s="37" t="s">
        <v>102</v>
      </c>
      <c r="H1421" s="36" t="s">
        <v>131</v>
      </c>
      <c r="I1421" s="36" t="s">
        <v>629</v>
      </c>
      <c r="J1421" s="37" t="s">
        <v>630</v>
      </c>
      <c r="K1421" s="38" t="n">
        <v>168</v>
      </c>
      <c r="L1421" s="38" t="n">
        <v>8232000</v>
      </c>
      <c r="M1421" s="38" t="n">
        <v>3667104</v>
      </c>
      <c r="N1421" s="39" t="n">
        <f aca="false">IF(A1421="제외",0,IF(OR(N(L1421)&lt;=0,N(M1421)&gt;N(L1421)),N(M1421)/요약!$D$27,N(L1421)))</f>
        <v>8232000</v>
      </c>
      <c r="O1421" s="32" t="str">
        <f aca="false">IF(A1421="제외","",IF(OR(N(L1421)&lt;=0,N(M1421)&gt;N(L1421)),"택가보정(판매금액÷공급율)",""))</f>
        <v/>
      </c>
      <c r="P1421" s="0" t="str">
        <f aca="false">IF(A1421="HK","100",IF(A1421="CN","200",IF(A1421="TW","300",IF(ISNUMBER(SEARCH("태국",C1421)),"500",IF(ISNUMBER(SEARCH("말레이",C1421)),"600",IF(ISNUMBER(SEARCH("필리핀",C1421)),"700",IF(ISNUMBER(SEARCH("인도네시아",C1421)),"800",IF(ISNUMBER(SEARCH("크루즈",C1421)),"810",IF(ISNUMBER(SEARCH("동물원",C1421)),"830","")))))))))</f>
        <v>810</v>
      </c>
    </row>
    <row r="1422" customFormat="false" ht="15" hidden="false" customHeight="false" outlineLevel="0" collapsed="false">
      <c r="A1422" s="32" t="str">
        <f aca="false">IF(OR(TRIM(C1422)="",SUBSTITUTE(C1422," ","")="소계"),"제외",IF(ISNUMBER(SEARCH("홍콩",C1422)),"HK",IF(ISNUMBER(SEARCH("상해",C1422)),"CN",IF(ISNUMBER(SEARCH("대만",C1422)),"TW","홀세일"))))</f>
        <v>홀세일</v>
      </c>
      <c r="B1422" s="36" t="s">
        <v>1467</v>
      </c>
      <c r="C1422" s="37" t="s">
        <v>1468</v>
      </c>
      <c r="D1422" s="37" t="s">
        <v>123</v>
      </c>
      <c r="E1422" s="36" t="n">
        <v>2026</v>
      </c>
      <c r="F1422" s="36" t="s">
        <v>110</v>
      </c>
      <c r="G1422" s="37" t="s">
        <v>102</v>
      </c>
      <c r="H1422" s="36" t="s">
        <v>131</v>
      </c>
      <c r="I1422" s="36" t="s">
        <v>970</v>
      </c>
      <c r="J1422" s="37" t="s">
        <v>971</v>
      </c>
      <c r="K1422" s="38" t="n">
        <v>96</v>
      </c>
      <c r="L1422" s="38" t="n">
        <v>7584000</v>
      </c>
      <c r="M1422" s="38" t="n">
        <v>3349824</v>
      </c>
      <c r="N1422" s="39" t="n">
        <f aca="false">IF(A1422="제외",0,IF(OR(N(L1422)&lt;=0,N(M1422)&gt;N(L1422)),N(M1422)/요약!$D$27,N(L1422)))</f>
        <v>7584000</v>
      </c>
      <c r="O1422" s="32" t="str">
        <f aca="false">IF(A1422="제외","",IF(OR(N(L1422)&lt;=0,N(M1422)&gt;N(L1422)),"택가보정(판매금액÷공급율)",""))</f>
        <v/>
      </c>
      <c r="P1422" s="0" t="str">
        <f aca="false">IF(A1422="HK","100",IF(A1422="CN","200",IF(A1422="TW","300",IF(ISNUMBER(SEARCH("태국",C1422)),"500",IF(ISNUMBER(SEARCH("말레이",C1422)),"600",IF(ISNUMBER(SEARCH("필리핀",C1422)),"700",IF(ISNUMBER(SEARCH("인도네시아",C1422)),"800",IF(ISNUMBER(SEARCH("크루즈",C1422)),"810",IF(ISNUMBER(SEARCH("동물원",C1422)),"830","")))))))))</f>
        <v>810</v>
      </c>
    </row>
    <row r="1423" customFormat="false" ht="15" hidden="false" customHeight="false" outlineLevel="0" collapsed="false">
      <c r="A1423" s="32" t="str">
        <f aca="false">IF(OR(TRIM(C1423)="",SUBSTITUTE(C1423," ","")="소계"),"제외",IF(ISNUMBER(SEARCH("홍콩",C1423)),"HK",IF(ISNUMBER(SEARCH("상해",C1423)),"CN",IF(ISNUMBER(SEARCH("대만",C1423)),"TW","홀세일"))))</f>
        <v>홀세일</v>
      </c>
      <c r="B1423" s="36" t="s">
        <v>1467</v>
      </c>
      <c r="C1423" s="37" t="s">
        <v>1468</v>
      </c>
      <c r="D1423" s="37" t="s">
        <v>123</v>
      </c>
      <c r="E1423" s="36" t="n">
        <v>2026</v>
      </c>
      <c r="F1423" s="36" t="s">
        <v>110</v>
      </c>
      <c r="G1423" s="37" t="s">
        <v>1111</v>
      </c>
      <c r="H1423" s="36" t="s">
        <v>125</v>
      </c>
      <c r="I1423" s="36" t="s">
        <v>1114</v>
      </c>
      <c r="J1423" s="37" t="s">
        <v>1115</v>
      </c>
      <c r="K1423" s="38" t="n">
        <v>300</v>
      </c>
      <c r="L1423" s="38" t="n">
        <v>13500000</v>
      </c>
      <c r="M1423" s="38" t="n">
        <v>10237800</v>
      </c>
      <c r="N1423" s="39" t="n">
        <f aca="false">IF(A1423="제외",0,IF(OR(N(L1423)&lt;=0,N(M1423)&gt;N(L1423)),N(M1423)/요약!$D$27,N(L1423)))</f>
        <v>13500000</v>
      </c>
      <c r="O1423" s="32" t="str">
        <f aca="false">IF(A1423="제외","",IF(OR(N(L1423)&lt;=0,N(M1423)&gt;N(L1423)),"택가보정(판매금액÷공급율)",""))</f>
        <v/>
      </c>
      <c r="P1423" s="0" t="str">
        <f aca="false">IF(A1423="HK","100",IF(A1423="CN","200",IF(A1423="TW","300",IF(ISNUMBER(SEARCH("태국",C1423)),"500",IF(ISNUMBER(SEARCH("말레이",C1423)),"600",IF(ISNUMBER(SEARCH("필리핀",C1423)),"700",IF(ISNUMBER(SEARCH("인도네시아",C1423)),"800",IF(ISNUMBER(SEARCH("크루즈",C1423)),"810",IF(ISNUMBER(SEARCH("동물원",C1423)),"830","")))))))))</f>
        <v>810</v>
      </c>
    </row>
    <row r="1424" customFormat="false" ht="15" hidden="false" customHeight="false" outlineLevel="0" collapsed="false">
      <c r="A1424" s="32" t="str">
        <f aca="false">IF(OR(TRIM(C1424)="",SUBSTITUTE(C1424," ","")="소계"),"제외",IF(ISNUMBER(SEARCH("홍콩",C1424)),"HK",IF(ISNUMBER(SEARCH("상해",C1424)),"CN",IF(ISNUMBER(SEARCH("대만",C1424)),"TW","홀세일"))))</f>
        <v>홀세일</v>
      </c>
      <c r="B1424" s="36" t="s">
        <v>1467</v>
      </c>
      <c r="C1424" s="37" t="s">
        <v>1468</v>
      </c>
      <c r="D1424" s="37" t="s">
        <v>123</v>
      </c>
      <c r="E1424" s="36" t="n">
        <v>2026</v>
      </c>
      <c r="F1424" s="36" t="s">
        <v>110</v>
      </c>
      <c r="G1424" s="37" t="s">
        <v>124</v>
      </c>
      <c r="H1424" s="36" t="s">
        <v>131</v>
      </c>
      <c r="I1424" s="36" t="s">
        <v>1372</v>
      </c>
      <c r="J1424" s="37" t="s">
        <v>1373</v>
      </c>
      <c r="K1424" s="38" t="n">
        <v>432</v>
      </c>
      <c r="L1424" s="38" t="n">
        <v>21168000</v>
      </c>
      <c r="M1424" s="38" t="n">
        <v>8636976</v>
      </c>
      <c r="N1424" s="39" t="n">
        <f aca="false">IF(A1424="제외",0,IF(OR(N(L1424)&lt;=0,N(M1424)&gt;N(L1424)),N(M1424)/요약!$D$27,N(L1424)))</f>
        <v>21168000</v>
      </c>
      <c r="O1424" s="32" t="str">
        <f aca="false">IF(A1424="제외","",IF(OR(N(L1424)&lt;=0,N(M1424)&gt;N(L1424)),"택가보정(판매금액÷공급율)",""))</f>
        <v/>
      </c>
      <c r="P1424" s="0" t="str">
        <f aca="false">IF(A1424="HK","100",IF(A1424="CN","200",IF(A1424="TW","300",IF(ISNUMBER(SEARCH("태국",C1424)),"500",IF(ISNUMBER(SEARCH("말레이",C1424)),"600",IF(ISNUMBER(SEARCH("필리핀",C1424)),"700",IF(ISNUMBER(SEARCH("인도네시아",C1424)),"800",IF(ISNUMBER(SEARCH("크루즈",C1424)),"810",IF(ISNUMBER(SEARCH("동물원",C1424)),"830","")))))))))</f>
        <v>810</v>
      </c>
    </row>
    <row r="1425" customFormat="false" ht="15" hidden="false" customHeight="false" outlineLevel="0" collapsed="false">
      <c r="A1425" s="32" t="str">
        <f aca="false">IF(OR(TRIM(C1425)="",SUBSTITUTE(C1425," ","")="소계"),"제외",IF(ISNUMBER(SEARCH("홍콩",C1425)),"HK",IF(ISNUMBER(SEARCH("상해",C1425)),"CN",IF(ISNUMBER(SEARCH("대만",C1425)),"TW","홀세일"))))</f>
        <v>홀세일</v>
      </c>
      <c r="B1425" s="36" t="s">
        <v>1467</v>
      </c>
      <c r="C1425" s="37" t="s">
        <v>1468</v>
      </c>
      <c r="D1425" s="37" t="s">
        <v>664</v>
      </c>
      <c r="E1425" s="36" t="n">
        <v>2026</v>
      </c>
      <c r="F1425" s="37" t="s">
        <v>101</v>
      </c>
      <c r="G1425" s="37" t="s">
        <v>124</v>
      </c>
      <c r="H1425" s="36" t="s">
        <v>673</v>
      </c>
      <c r="I1425" s="36" t="s">
        <v>1477</v>
      </c>
      <c r="J1425" s="36" t="s">
        <v>1478</v>
      </c>
      <c r="K1425" s="38" t="n">
        <v>744</v>
      </c>
      <c r="L1425" s="38" t="n">
        <v>118296000</v>
      </c>
      <c r="M1425" s="38" t="n">
        <v>44735232</v>
      </c>
      <c r="N1425" s="39" t="n">
        <f aca="false">IF(A1425="제외",0,IF(OR(N(L1425)&lt;=0,N(M1425)&gt;N(L1425)),N(M1425)/요약!$D$27,N(L1425)))</f>
        <v>118296000</v>
      </c>
      <c r="O1425" s="32" t="str">
        <f aca="false">IF(A1425="제외","",IF(OR(N(L1425)&lt;=0,N(M1425)&gt;N(L1425)),"택가보정(판매금액÷공급율)",""))</f>
        <v/>
      </c>
      <c r="P1425" s="0" t="str">
        <f aca="false">IF(A1425="HK","100",IF(A1425="CN","200",IF(A1425="TW","300",IF(ISNUMBER(SEARCH("태국",C1425)),"500",IF(ISNUMBER(SEARCH("말레이",C1425)),"600",IF(ISNUMBER(SEARCH("필리핀",C1425)),"700",IF(ISNUMBER(SEARCH("인도네시아",C1425)),"800",IF(ISNUMBER(SEARCH("크루즈",C1425)),"810",IF(ISNUMBER(SEARCH("동물원",C1425)),"830","")))))))))</f>
        <v>810</v>
      </c>
    </row>
    <row r="1426" customFormat="false" ht="15" hidden="false" customHeight="false" outlineLevel="0" collapsed="false">
      <c r="A1426" s="32" t="str">
        <f aca="false">IF(OR(TRIM(C1426)="",SUBSTITUTE(C1426," ","")="소계"),"제외",IF(ISNUMBER(SEARCH("홍콩",C1426)),"HK",IF(ISNUMBER(SEARCH("상해",C1426)),"CN",IF(ISNUMBER(SEARCH("대만",C1426)),"TW","홀세일"))))</f>
        <v>홀세일</v>
      </c>
      <c r="B1426" s="36" t="s">
        <v>1467</v>
      </c>
      <c r="C1426" s="37" t="s">
        <v>1468</v>
      </c>
      <c r="D1426" s="37" t="s">
        <v>664</v>
      </c>
      <c r="E1426" s="36" t="n">
        <v>2026</v>
      </c>
      <c r="F1426" s="37" t="s">
        <v>101</v>
      </c>
      <c r="G1426" s="37" t="s">
        <v>124</v>
      </c>
      <c r="H1426" s="36" t="s">
        <v>673</v>
      </c>
      <c r="I1426" s="36" t="s">
        <v>1479</v>
      </c>
      <c r="J1426" s="36" t="s">
        <v>1480</v>
      </c>
      <c r="K1426" s="38" t="n">
        <v>896</v>
      </c>
      <c r="L1426" s="38" t="n">
        <v>106624000</v>
      </c>
      <c r="M1426" s="38" t="n">
        <v>40406016</v>
      </c>
      <c r="N1426" s="39" t="n">
        <f aca="false">IF(A1426="제외",0,IF(OR(N(L1426)&lt;=0,N(M1426)&gt;N(L1426)),N(M1426)/요약!$D$27,N(L1426)))</f>
        <v>106624000</v>
      </c>
      <c r="O1426" s="32" t="str">
        <f aca="false">IF(A1426="제외","",IF(OR(N(L1426)&lt;=0,N(M1426)&gt;N(L1426)),"택가보정(판매금액÷공급율)",""))</f>
        <v/>
      </c>
      <c r="P1426" s="0" t="str">
        <f aca="false">IF(A1426="HK","100",IF(A1426="CN","200",IF(A1426="TW","300",IF(ISNUMBER(SEARCH("태국",C1426)),"500",IF(ISNUMBER(SEARCH("말레이",C1426)),"600",IF(ISNUMBER(SEARCH("필리핀",C1426)),"700",IF(ISNUMBER(SEARCH("인도네시아",C1426)),"800",IF(ISNUMBER(SEARCH("크루즈",C1426)),"810",IF(ISNUMBER(SEARCH("동물원",C1426)),"830","")))))))))</f>
        <v>810</v>
      </c>
    </row>
    <row r="1427" customFormat="false" ht="15" hidden="false" customHeight="false" outlineLevel="0" collapsed="false">
      <c r="A1427" s="32" t="str">
        <f aca="false">IF(OR(TRIM(C1427)="",SUBSTITUTE(C1427," ","")="소계"),"제외",IF(ISNUMBER(SEARCH("홍콩",C1427)),"HK",IF(ISNUMBER(SEARCH("상해",C1427)),"CN",IF(ISNUMBER(SEARCH("대만",C1427)),"TW","홀세일"))))</f>
        <v>홀세일</v>
      </c>
      <c r="B1427" s="36" t="s">
        <v>1467</v>
      </c>
      <c r="C1427" s="37" t="s">
        <v>1468</v>
      </c>
      <c r="D1427" s="37" t="s">
        <v>664</v>
      </c>
      <c r="E1427" s="36" t="n">
        <v>2026</v>
      </c>
      <c r="F1427" s="37" t="s">
        <v>219</v>
      </c>
      <c r="G1427" s="37" t="s">
        <v>124</v>
      </c>
      <c r="H1427" s="36" t="s">
        <v>673</v>
      </c>
      <c r="I1427" s="36" t="s">
        <v>1481</v>
      </c>
      <c r="J1427" s="36" t="s">
        <v>1482</v>
      </c>
      <c r="K1427" s="38" t="n">
        <v>706</v>
      </c>
      <c r="L1427" s="38" t="n">
        <v>62834000</v>
      </c>
      <c r="M1427" s="38" t="n">
        <v>24075306</v>
      </c>
      <c r="N1427" s="39" t="n">
        <f aca="false">IF(A1427="제외",0,IF(OR(N(L1427)&lt;=0,N(M1427)&gt;N(L1427)),N(M1427)/요약!$D$27,N(L1427)))</f>
        <v>62834000</v>
      </c>
      <c r="O1427" s="32" t="str">
        <f aca="false">IF(A1427="제외","",IF(OR(N(L1427)&lt;=0,N(M1427)&gt;N(L1427)),"택가보정(판매금액÷공급율)",""))</f>
        <v/>
      </c>
      <c r="P1427" s="0" t="str">
        <f aca="false">IF(A1427="HK","100",IF(A1427="CN","200",IF(A1427="TW","300",IF(ISNUMBER(SEARCH("태국",C1427)),"500",IF(ISNUMBER(SEARCH("말레이",C1427)),"600",IF(ISNUMBER(SEARCH("필리핀",C1427)),"700",IF(ISNUMBER(SEARCH("인도네시아",C1427)),"800",IF(ISNUMBER(SEARCH("크루즈",C1427)),"810",IF(ISNUMBER(SEARCH("동물원",C1427)),"830","")))))))))</f>
        <v>810</v>
      </c>
    </row>
    <row r="1428" customFormat="false" ht="15" hidden="false" customHeight="false" outlineLevel="0" collapsed="false">
      <c r="A1428" s="32" t="str">
        <f aca="false">IF(OR(TRIM(C1428)="",SUBSTITUTE(C1428," ","")="소계"),"제외",IF(ISNUMBER(SEARCH("홍콩",C1428)),"HK",IF(ISNUMBER(SEARCH("상해",C1428)),"CN",IF(ISNUMBER(SEARCH("대만",C1428)),"TW","홀세일"))))</f>
        <v>홀세일</v>
      </c>
      <c r="B1428" s="36" t="s">
        <v>1467</v>
      </c>
      <c r="C1428" s="37" t="s">
        <v>1468</v>
      </c>
      <c r="D1428" s="37" t="s">
        <v>664</v>
      </c>
      <c r="E1428" s="36" t="n">
        <v>2026</v>
      </c>
      <c r="F1428" s="37" t="s">
        <v>219</v>
      </c>
      <c r="G1428" s="37" t="s">
        <v>124</v>
      </c>
      <c r="H1428" s="36" t="s">
        <v>673</v>
      </c>
      <c r="I1428" s="36" t="s">
        <v>1483</v>
      </c>
      <c r="J1428" s="36" t="s">
        <v>1484</v>
      </c>
      <c r="K1428" s="38" t="n">
        <v>573</v>
      </c>
      <c r="L1428" s="38" t="n">
        <v>39537000</v>
      </c>
      <c r="M1428" s="38" t="n">
        <v>15073338</v>
      </c>
      <c r="N1428" s="39" t="n">
        <f aca="false">IF(A1428="제외",0,IF(OR(N(L1428)&lt;=0,N(M1428)&gt;N(L1428)),N(M1428)/요약!$D$27,N(L1428)))</f>
        <v>39537000</v>
      </c>
      <c r="O1428" s="32" t="str">
        <f aca="false">IF(A1428="제외","",IF(OR(N(L1428)&lt;=0,N(M1428)&gt;N(L1428)),"택가보정(판매금액÷공급율)",""))</f>
        <v/>
      </c>
      <c r="P1428" s="0" t="str">
        <f aca="false">IF(A1428="HK","100",IF(A1428="CN","200",IF(A1428="TW","300",IF(ISNUMBER(SEARCH("태국",C1428)),"500",IF(ISNUMBER(SEARCH("말레이",C1428)),"600",IF(ISNUMBER(SEARCH("필리핀",C1428)),"700",IF(ISNUMBER(SEARCH("인도네시아",C1428)),"800",IF(ISNUMBER(SEARCH("크루즈",C1428)),"810",IF(ISNUMBER(SEARCH("동물원",C1428)),"830","")))))))))</f>
        <v>810</v>
      </c>
    </row>
    <row r="1429" customFormat="false" ht="15" hidden="false" customHeight="false" outlineLevel="0" collapsed="false">
      <c r="A1429" s="32" t="str">
        <f aca="false">IF(OR(TRIM(C1429)="",SUBSTITUTE(C1429," ","")="소계"),"제외",IF(ISNUMBER(SEARCH("홍콩",C1429)),"HK",IF(ISNUMBER(SEARCH("상해",C1429)),"CN",IF(ISNUMBER(SEARCH("대만",C1429)),"TW","홀세일"))))</f>
        <v>홀세일</v>
      </c>
      <c r="B1429" s="36" t="s">
        <v>1467</v>
      </c>
      <c r="C1429" s="37" t="s">
        <v>1468</v>
      </c>
      <c r="D1429" s="37" t="s">
        <v>664</v>
      </c>
      <c r="E1429" s="36" t="n">
        <v>2026</v>
      </c>
      <c r="F1429" s="36" t="s">
        <v>110</v>
      </c>
      <c r="G1429" s="37" t="s">
        <v>1111</v>
      </c>
      <c r="H1429" s="37" t="s">
        <v>649</v>
      </c>
      <c r="I1429" s="36" t="s">
        <v>1485</v>
      </c>
      <c r="J1429" s="36" t="s">
        <v>1486</v>
      </c>
      <c r="K1429" s="38" t="n">
        <v>1000</v>
      </c>
      <c r="L1429" s="38" t="n">
        <v>29000000</v>
      </c>
      <c r="M1429" s="38" t="n">
        <v>22661000</v>
      </c>
      <c r="N1429" s="39" t="n">
        <f aca="false">IF(A1429="제외",0,IF(OR(N(L1429)&lt;=0,N(M1429)&gt;N(L1429)),N(M1429)/요약!$D$27,N(L1429)))</f>
        <v>29000000</v>
      </c>
      <c r="O1429" s="32" t="str">
        <f aca="false">IF(A1429="제외","",IF(OR(N(L1429)&lt;=0,N(M1429)&gt;N(L1429)),"택가보정(판매금액÷공급율)",""))</f>
        <v/>
      </c>
      <c r="P1429" s="0" t="str">
        <f aca="false">IF(A1429="HK","100",IF(A1429="CN","200",IF(A1429="TW","300",IF(ISNUMBER(SEARCH("태국",C1429)),"500",IF(ISNUMBER(SEARCH("말레이",C1429)),"600",IF(ISNUMBER(SEARCH("필리핀",C1429)),"700",IF(ISNUMBER(SEARCH("인도네시아",C1429)),"800",IF(ISNUMBER(SEARCH("크루즈",C1429)),"810",IF(ISNUMBER(SEARCH("동물원",C1429)),"830","")))))))))</f>
        <v>810</v>
      </c>
    </row>
    <row r="1430" customFormat="false" ht="15" hidden="false" customHeight="false" outlineLevel="0" collapsed="false">
      <c r="A1430" s="32" t="str">
        <f aca="false">IF(OR(TRIM(C1430)="",SUBSTITUTE(C1430," ","")="소계"),"제외",IF(ISNUMBER(SEARCH("홍콩",C1430)),"HK",IF(ISNUMBER(SEARCH("상해",C1430)),"CN",IF(ISNUMBER(SEARCH("대만",C1430)),"TW","홀세일"))))</f>
        <v>제외</v>
      </c>
      <c r="B1430" s="36" t="s">
        <v>762</v>
      </c>
      <c r="C1430" s="37" t="s">
        <v>763</v>
      </c>
      <c r="D1430" s="36"/>
      <c r="E1430" s="36"/>
      <c r="F1430" s="36"/>
      <c r="G1430" s="36"/>
      <c r="H1430" s="36"/>
      <c r="I1430" s="36"/>
      <c r="J1430" s="36"/>
      <c r="K1430" s="38" t="n">
        <v>11533</v>
      </c>
      <c r="L1430" s="38" t="n">
        <v>1067285000</v>
      </c>
      <c r="M1430" s="38" t="n">
        <v>451392548</v>
      </c>
      <c r="N1430" s="39" t="n">
        <f aca="false">IF(A1430="제외",0,IF(OR(N(L1430)&lt;=0,N(M1430)&gt;N(L1430)),N(M1430)/요약!$D$27,N(L1430)))</f>
        <v>0</v>
      </c>
      <c r="O1430" s="32" t="str">
        <f aca="false">IF(A1430="제외","",IF(OR(N(L1430)&lt;=0,N(M1430)&gt;N(L1430)),"택가보정(판매금액÷공급율)",""))</f>
        <v/>
      </c>
      <c r="P1430" s="0" t="str">
        <f aca="false">IF(A1430="HK","100",IF(A1430="CN","200",IF(A1430="TW","300",IF(ISNUMBER(SEARCH("태국",C1430)),"500",IF(ISNUMBER(SEARCH("말레이",C1430)),"600",IF(ISNUMBER(SEARCH("필리핀",C1430)),"700",IF(ISNUMBER(SEARCH("인도네시아",C1430)),"800",IF(ISNUMBER(SEARCH("크루즈",C1430)),"810",IF(ISNUMBER(SEARCH("동물원",C1430)),"830","")))))))))</f>
        <v/>
      </c>
    </row>
    <row r="1431" customFormat="false" ht="15" hidden="false" customHeight="false" outlineLevel="0" collapsed="false">
      <c r="A1431" s="32" t="str">
        <f aca="false">IF(OR(TRIM(C1431)="",SUBSTITUTE(C1431," ","")="소계"),"제외",IF(ISNUMBER(SEARCH("홍콩",C1431)),"HK",IF(ISNUMBER(SEARCH("상해",C1431)),"CN",IF(ISNUMBER(SEARCH("대만",C1431)),"TW","홀세일"))))</f>
        <v>홀세일</v>
      </c>
      <c r="B1431" s="36" t="s">
        <v>1487</v>
      </c>
      <c r="C1431" s="36" t="s">
        <v>1488</v>
      </c>
      <c r="D1431" s="37" t="s">
        <v>123</v>
      </c>
      <c r="E1431" s="36" t="n">
        <v>2025</v>
      </c>
      <c r="F1431" s="37" t="s">
        <v>101</v>
      </c>
      <c r="G1431" s="37" t="s">
        <v>102</v>
      </c>
      <c r="H1431" s="37" t="s">
        <v>128</v>
      </c>
      <c r="I1431" s="36" t="s">
        <v>1489</v>
      </c>
      <c r="J1431" s="36" t="s">
        <v>1490</v>
      </c>
      <c r="K1431" s="38" t="n">
        <v>400</v>
      </c>
      <c r="L1431" s="38" t="n">
        <v>67600000</v>
      </c>
      <c r="M1431" s="38" t="n">
        <v>28145600</v>
      </c>
      <c r="N1431" s="39" t="n">
        <f aca="false">IF(A1431="제외",0,IF(OR(N(L1431)&lt;=0,N(M1431)&gt;N(L1431)),N(M1431)/요약!$D$27,N(L1431)))</f>
        <v>67600000</v>
      </c>
      <c r="O1431" s="32" t="str">
        <f aca="false">IF(A1431="제외","",IF(OR(N(L1431)&lt;=0,N(M1431)&gt;N(L1431)),"택가보정(판매금액÷공급율)",""))</f>
        <v/>
      </c>
      <c r="P1431" s="0" t="str">
        <f aca="false">IF(A1431="HK","100",IF(A1431="CN","200",IF(A1431="TW","300",IF(ISNUMBER(SEARCH("태국",C1431)),"500",IF(ISNUMBER(SEARCH("말레이",C1431)),"600",IF(ISNUMBER(SEARCH("필리핀",C1431)),"700",IF(ISNUMBER(SEARCH("인도네시아",C1431)),"800",IF(ISNUMBER(SEARCH("크루즈",C1431)),"810",IF(ISNUMBER(SEARCH("동물원",C1431)),"830","")))))))))</f>
        <v/>
      </c>
    </row>
    <row r="1432" customFormat="false" ht="15" hidden="false" customHeight="false" outlineLevel="0" collapsed="false">
      <c r="A1432" s="32" t="str">
        <f aca="false">IF(OR(TRIM(C1432)="",SUBSTITUTE(C1432," ","")="소계"),"제외",IF(ISNUMBER(SEARCH("홍콩",C1432)),"HK",IF(ISNUMBER(SEARCH("상해",C1432)),"CN",IF(ISNUMBER(SEARCH("대만",C1432)),"TW","홀세일"))))</f>
        <v>홀세일</v>
      </c>
      <c r="B1432" s="36" t="s">
        <v>1487</v>
      </c>
      <c r="C1432" s="36" t="s">
        <v>1488</v>
      </c>
      <c r="D1432" s="37" t="s">
        <v>123</v>
      </c>
      <c r="E1432" s="36" t="n">
        <v>2025</v>
      </c>
      <c r="F1432" s="37" t="s">
        <v>101</v>
      </c>
      <c r="G1432" s="37" t="s">
        <v>102</v>
      </c>
      <c r="H1432" s="37" t="s">
        <v>128</v>
      </c>
      <c r="I1432" s="36" t="s">
        <v>1491</v>
      </c>
      <c r="J1432" s="36" t="s">
        <v>1492</v>
      </c>
      <c r="K1432" s="38" t="n">
        <v>400</v>
      </c>
      <c r="L1432" s="38" t="n">
        <v>67600000</v>
      </c>
      <c r="M1432" s="38" t="n">
        <v>28145600</v>
      </c>
      <c r="N1432" s="39" t="n">
        <f aca="false">IF(A1432="제외",0,IF(OR(N(L1432)&lt;=0,N(M1432)&gt;N(L1432)),N(M1432)/요약!$D$27,N(L1432)))</f>
        <v>67600000</v>
      </c>
      <c r="O1432" s="32" t="str">
        <f aca="false">IF(A1432="제외","",IF(OR(N(L1432)&lt;=0,N(M1432)&gt;N(L1432)),"택가보정(판매금액÷공급율)",""))</f>
        <v/>
      </c>
      <c r="P1432" s="0" t="str">
        <f aca="false">IF(A1432="HK","100",IF(A1432="CN","200",IF(A1432="TW","300",IF(ISNUMBER(SEARCH("태국",C1432)),"500",IF(ISNUMBER(SEARCH("말레이",C1432)),"600",IF(ISNUMBER(SEARCH("필리핀",C1432)),"700",IF(ISNUMBER(SEARCH("인도네시아",C1432)),"800",IF(ISNUMBER(SEARCH("크루즈",C1432)),"810",IF(ISNUMBER(SEARCH("동물원",C1432)),"830","")))))))))</f>
        <v/>
      </c>
    </row>
    <row r="1433" customFormat="false" ht="15" hidden="false" customHeight="false" outlineLevel="0" collapsed="false">
      <c r="A1433" s="32" t="str">
        <f aca="false">IF(OR(TRIM(C1433)="",SUBSTITUTE(C1433," ","")="소계"),"제외",IF(ISNUMBER(SEARCH("홍콩",C1433)),"HK",IF(ISNUMBER(SEARCH("상해",C1433)),"CN",IF(ISNUMBER(SEARCH("대만",C1433)),"TW","홀세일"))))</f>
        <v>홀세일</v>
      </c>
      <c r="B1433" s="36" t="s">
        <v>1487</v>
      </c>
      <c r="C1433" s="36" t="s">
        <v>1488</v>
      </c>
      <c r="D1433" s="37" t="s">
        <v>123</v>
      </c>
      <c r="E1433" s="36" t="n">
        <v>2025</v>
      </c>
      <c r="F1433" s="37" t="s">
        <v>101</v>
      </c>
      <c r="G1433" s="37" t="s">
        <v>124</v>
      </c>
      <c r="H1433" s="36" t="s">
        <v>131</v>
      </c>
      <c r="I1433" s="36" t="s">
        <v>1493</v>
      </c>
      <c r="J1433" s="37" t="s">
        <v>1494</v>
      </c>
      <c r="K1433" s="38" t="n">
        <v>1232</v>
      </c>
      <c r="L1433" s="38" t="n">
        <v>195888000</v>
      </c>
      <c r="M1433" s="38" t="n">
        <v>76857088</v>
      </c>
      <c r="N1433" s="39" t="n">
        <f aca="false">IF(A1433="제외",0,IF(OR(N(L1433)&lt;=0,N(M1433)&gt;N(L1433)),N(M1433)/요약!$D$27,N(L1433)))</f>
        <v>195888000</v>
      </c>
      <c r="O1433" s="32" t="str">
        <f aca="false">IF(A1433="제외","",IF(OR(N(L1433)&lt;=0,N(M1433)&gt;N(L1433)),"택가보정(판매금액÷공급율)",""))</f>
        <v/>
      </c>
      <c r="P1433" s="0" t="str">
        <f aca="false">IF(A1433="HK","100",IF(A1433="CN","200",IF(A1433="TW","300",IF(ISNUMBER(SEARCH("태국",C1433)),"500",IF(ISNUMBER(SEARCH("말레이",C1433)),"600",IF(ISNUMBER(SEARCH("필리핀",C1433)),"700",IF(ISNUMBER(SEARCH("인도네시아",C1433)),"800",IF(ISNUMBER(SEARCH("크루즈",C1433)),"810",IF(ISNUMBER(SEARCH("동물원",C1433)),"830","")))))))))</f>
        <v/>
      </c>
    </row>
    <row r="1434" customFormat="false" ht="15" hidden="false" customHeight="false" outlineLevel="0" collapsed="false">
      <c r="A1434" s="32" t="str">
        <f aca="false">IF(OR(TRIM(C1434)="",SUBSTITUTE(C1434," ","")="소계"),"제외",IF(ISNUMBER(SEARCH("홍콩",C1434)),"HK",IF(ISNUMBER(SEARCH("상해",C1434)),"CN",IF(ISNUMBER(SEARCH("대만",C1434)),"TW","홀세일"))))</f>
        <v>홀세일</v>
      </c>
      <c r="B1434" s="36" t="s">
        <v>1487</v>
      </c>
      <c r="C1434" s="36" t="s">
        <v>1488</v>
      </c>
      <c r="D1434" s="37" t="s">
        <v>123</v>
      </c>
      <c r="E1434" s="36" t="n">
        <v>2025</v>
      </c>
      <c r="F1434" s="37" t="s">
        <v>101</v>
      </c>
      <c r="G1434" s="37" t="s">
        <v>124</v>
      </c>
      <c r="H1434" s="36" t="s">
        <v>131</v>
      </c>
      <c r="I1434" s="36" t="s">
        <v>1495</v>
      </c>
      <c r="J1434" s="37" t="s">
        <v>1496</v>
      </c>
      <c r="K1434" s="38" t="n">
        <v>1324</v>
      </c>
      <c r="L1434" s="38" t="n">
        <v>104596000</v>
      </c>
      <c r="M1434" s="38" t="n">
        <v>41106228</v>
      </c>
      <c r="N1434" s="39" t="n">
        <f aca="false">IF(A1434="제외",0,IF(OR(N(L1434)&lt;=0,N(M1434)&gt;N(L1434)),N(M1434)/요약!$D$27,N(L1434)))</f>
        <v>104596000</v>
      </c>
      <c r="O1434" s="32" t="str">
        <f aca="false">IF(A1434="제외","",IF(OR(N(L1434)&lt;=0,N(M1434)&gt;N(L1434)),"택가보정(판매금액÷공급율)",""))</f>
        <v/>
      </c>
      <c r="P1434" s="0" t="str">
        <f aca="false">IF(A1434="HK","100",IF(A1434="CN","200",IF(A1434="TW","300",IF(ISNUMBER(SEARCH("태국",C1434)),"500",IF(ISNUMBER(SEARCH("말레이",C1434)),"600",IF(ISNUMBER(SEARCH("필리핀",C1434)),"700",IF(ISNUMBER(SEARCH("인도네시아",C1434)),"800",IF(ISNUMBER(SEARCH("크루즈",C1434)),"810",IF(ISNUMBER(SEARCH("동물원",C1434)),"830","")))))))))</f>
        <v/>
      </c>
    </row>
    <row r="1435" customFormat="false" ht="15" hidden="false" customHeight="false" outlineLevel="0" collapsed="false">
      <c r="A1435" s="32" t="str">
        <f aca="false">IF(OR(TRIM(C1435)="",SUBSTITUTE(C1435," ","")="소계"),"제외",IF(ISNUMBER(SEARCH("홍콩",C1435)),"HK",IF(ISNUMBER(SEARCH("상해",C1435)),"CN",IF(ISNUMBER(SEARCH("대만",C1435)),"TW","홀세일"))))</f>
        <v>홀세일</v>
      </c>
      <c r="B1435" s="36" t="s">
        <v>1487</v>
      </c>
      <c r="C1435" s="36" t="s">
        <v>1488</v>
      </c>
      <c r="D1435" s="37" t="s">
        <v>123</v>
      </c>
      <c r="E1435" s="36" t="n">
        <v>2025</v>
      </c>
      <c r="F1435" s="37" t="s">
        <v>219</v>
      </c>
      <c r="G1435" s="37" t="s">
        <v>124</v>
      </c>
      <c r="H1435" s="37" t="s">
        <v>128</v>
      </c>
      <c r="I1435" s="36" t="s">
        <v>1497</v>
      </c>
      <c r="J1435" s="36" t="s">
        <v>1498</v>
      </c>
      <c r="K1435" s="38" t="n">
        <v>144</v>
      </c>
      <c r="L1435" s="38" t="n">
        <v>12816000</v>
      </c>
      <c r="M1435" s="38" t="n">
        <v>5034816</v>
      </c>
      <c r="N1435" s="39" t="n">
        <f aca="false">IF(A1435="제외",0,IF(OR(N(L1435)&lt;=0,N(M1435)&gt;N(L1435)),N(M1435)/요약!$D$27,N(L1435)))</f>
        <v>12816000</v>
      </c>
      <c r="O1435" s="32" t="str">
        <f aca="false">IF(A1435="제외","",IF(OR(N(L1435)&lt;=0,N(M1435)&gt;N(L1435)),"택가보정(판매금액÷공급율)",""))</f>
        <v/>
      </c>
      <c r="P1435" s="0" t="str">
        <f aca="false">IF(A1435="HK","100",IF(A1435="CN","200",IF(A1435="TW","300",IF(ISNUMBER(SEARCH("태국",C1435)),"500",IF(ISNUMBER(SEARCH("말레이",C1435)),"600",IF(ISNUMBER(SEARCH("필리핀",C1435)),"700",IF(ISNUMBER(SEARCH("인도네시아",C1435)),"800",IF(ISNUMBER(SEARCH("크루즈",C1435)),"810",IF(ISNUMBER(SEARCH("동물원",C1435)),"830","")))))))))</f>
        <v/>
      </c>
    </row>
    <row r="1436" customFormat="false" ht="15" hidden="false" customHeight="false" outlineLevel="0" collapsed="false">
      <c r="A1436" s="32" t="str">
        <f aca="false">IF(OR(TRIM(C1436)="",SUBSTITUTE(C1436," ","")="소계"),"제외",IF(ISNUMBER(SEARCH("홍콩",C1436)),"HK",IF(ISNUMBER(SEARCH("상해",C1436)),"CN",IF(ISNUMBER(SEARCH("대만",C1436)),"TW","홀세일"))))</f>
        <v>홀세일</v>
      </c>
      <c r="B1436" s="36" t="s">
        <v>1487</v>
      </c>
      <c r="C1436" s="36" t="s">
        <v>1488</v>
      </c>
      <c r="D1436" s="37" t="s">
        <v>123</v>
      </c>
      <c r="E1436" s="36" t="n">
        <v>2025</v>
      </c>
      <c r="F1436" s="37" t="s">
        <v>219</v>
      </c>
      <c r="G1436" s="37" t="s">
        <v>124</v>
      </c>
      <c r="H1436" s="36" t="s">
        <v>131</v>
      </c>
      <c r="I1436" s="36" t="s">
        <v>1499</v>
      </c>
      <c r="J1436" s="37" t="s">
        <v>1500</v>
      </c>
      <c r="K1436" s="38" t="n">
        <v>50</v>
      </c>
      <c r="L1436" s="38" t="n">
        <v>9450000</v>
      </c>
      <c r="M1436" s="38" t="n">
        <v>5008600</v>
      </c>
      <c r="N1436" s="39" t="n">
        <f aca="false">IF(A1436="제외",0,IF(OR(N(L1436)&lt;=0,N(M1436)&gt;N(L1436)),N(M1436)/요약!$D$27,N(L1436)))</f>
        <v>9450000</v>
      </c>
      <c r="O1436" s="32" t="str">
        <f aca="false">IF(A1436="제외","",IF(OR(N(L1436)&lt;=0,N(M1436)&gt;N(L1436)),"택가보정(판매금액÷공급율)",""))</f>
        <v/>
      </c>
      <c r="P1436" s="0" t="str">
        <f aca="false">IF(A1436="HK","100",IF(A1436="CN","200",IF(A1436="TW","300",IF(ISNUMBER(SEARCH("태국",C1436)),"500",IF(ISNUMBER(SEARCH("말레이",C1436)),"600",IF(ISNUMBER(SEARCH("필리핀",C1436)),"700",IF(ISNUMBER(SEARCH("인도네시아",C1436)),"800",IF(ISNUMBER(SEARCH("크루즈",C1436)),"810",IF(ISNUMBER(SEARCH("동물원",C1436)),"830","")))))))))</f>
        <v/>
      </c>
    </row>
    <row r="1437" customFormat="false" ht="15" hidden="false" customHeight="false" outlineLevel="0" collapsed="false">
      <c r="A1437" s="32" t="str">
        <f aca="false">IF(OR(TRIM(C1437)="",SUBSTITUTE(C1437," ","")="소계"),"제외",IF(ISNUMBER(SEARCH("홍콩",C1437)),"HK",IF(ISNUMBER(SEARCH("상해",C1437)),"CN",IF(ISNUMBER(SEARCH("대만",C1437)),"TW","홀세일"))))</f>
        <v>홀세일</v>
      </c>
      <c r="B1437" s="36" t="s">
        <v>1487</v>
      </c>
      <c r="C1437" s="36" t="s">
        <v>1488</v>
      </c>
      <c r="D1437" s="37" t="s">
        <v>123</v>
      </c>
      <c r="E1437" s="36" t="n">
        <v>2025</v>
      </c>
      <c r="F1437" s="37" t="s">
        <v>219</v>
      </c>
      <c r="G1437" s="37" t="s">
        <v>124</v>
      </c>
      <c r="H1437" s="36" t="s">
        <v>125</v>
      </c>
      <c r="I1437" s="36" t="s">
        <v>1501</v>
      </c>
      <c r="J1437" s="37" t="s">
        <v>1502</v>
      </c>
      <c r="K1437" s="38" t="n">
        <v>1521</v>
      </c>
      <c r="L1437" s="38" t="n">
        <v>89739000</v>
      </c>
      <c r="M1437" s="38" t="n">
        <v>35306973</v>
      </c>
      <c r="N1437" s="39" t="n">
        <f aca="false">IF(A1437="제외",0,IF(OR(N(L1437)&lt;=0,N(M1437)&gt;N(L1437)),N(M1437)/요약!$D$27,N(L1437)))</f>
        <v>89739000</v>
      </c>
      <c r="O1437" s="32" t="str">
        <f aca="false">IF(A1437="제외","",IF(OR(N(L1437)&lt;=0,N(M1437)&gt;N(L1437)),"택가보정(판매금액÷공급율)",""))</f>
        <v/>
      </c>
      <c r="P1437" s="0" t="str">
        <f aca="false">IF(A1437="HK","100",IF(A1437="CN","200",IF(A1437="TW","300",IF(ISNUMBER(SEARCH("태국",C1437)),"500",IF(ISNUMBER(SEARCH("말레이",C1437)),"600",IF(ISNUMBER(SEARCH("필리핀",C1437)),"700",IF(ISNUMBER(SEARCH("인도네시아",C1437)),"800",IF(ISNUMBER(SEARCH("크루즈",C1437)),"810",IF(ISNUMBER(SEARCH("동물원",C1437)),"830","")))))))))</f>
        <v/>
      </c>
    </row>
    <row r="1438" customFormat="false" ht="15" hidden="false" customHeight="false" outlineLevel="0" collapsed="false">
      <c r="A1438" s="32" t="str">
        <f aca="false">IF(OR(TRIM(C1438)="",SUBSTITUTE(C1438," ","")="소계"),"제외",IF(ISNUMBER(SEARCH("홍콩",C1438)),"HK",IF(ISNUMBER(SEARCH("상해",C1438)),"CN",IF(ISNUMBER(SEARCH("대만",C1438)),"TW","홀세일"))))</f>
        <v>홀세일</v>
      </c>
      <c r="B1438" s="36" t="s">
        <v>1487</v>
      </c>
      <c r="C1438" s="36" t="s">
        <v>1488</v>
      </c>
      <c r="D1438" s="37" t="s">
        <v>123</v>
      </c>
      <c r="E1438" s="36" t="n">
        <v>2025</v>
      </c>
      <c r="F1438" s="37" t="s">
        <v>363</v>
      </c>
      <c r="G1438" s="37" t="s">
        <v>102</v>
      </c>
      <c r="H1438" s="37" t="s">
        <v>128</v>
      </c>
      <c r="I1438" s="36" t="s">
        <v>1503</v>
      </c>
      <c r="J1438" s="36" t="s">
        <v>1504</v>
      </c>
      <c r="K1438" s="38" t="n">
        <v>207</v>
      </c>
      <c r="L1438" s="38" t="n">
        <v>26703000</v>
      </c>
      <c r="M1438" s="38" t="n">
        <v>11141775</v>
      </c>
      <c r="N1438" s="39" t="n">
        <f aca="false">IF(A1438="제외",0,IF(OR(N(L1438)&lt;=0,N(M1438)&gt;N(L1438)),N(M1438)/요약!$D$27,N(L1438)))</f>
        <v>26703000</v>
      </c>
      <c r="O1438" s="32" t="str">
        <f aca="false">IF(A1438="제외","",IF(OR(N(L1438)&lt;=0,N(M1438)&gt;N(L1438)),"택가보정(판매금액÷공급율)",""))</f>
        <v/>
      </c>
      <c r="P1438" s="0" t="str">
        <f aca="false">IF(A1438="HK","100",IF(A1438="CN","200",IF(A1438="TW","300",IF(ISNUMBER(SEARCH("태국",C1438)),"500",IF(ISNUMBER(SEARCH("말레이",C1438)),"600",IF(ISNUMBER(SEARCH("필리핀",C1438)),"700",IF(ISNUMBER(SEARCH("인도네시아",C1438)),"800",IF(ISNUMBER(SEARCH("크루즈",C1438)),"810",IF(ISNUMBER(SEARCH("동물원",C1438)),"830","")))))))))</f>
        <v/>
      </c>
    </row>
    <row r="1439" customFormat="false" ht="15" hidden="false" customHeight="false" outlineLevel="0" collapsed="false">
      <c r="A1439" s="32" t="str">
        <f aca="false">IF(OR(TRIM(C1439)="",SUBSTITUTE(C1439," ","")="소계"),"제외",IF(ISNUMBER(SEARCH("홍콩",C1439)),"HK",IF(ISNUMBER(SEARCH("상해",C1439)),"CN",IF(ISNUMBER(SEARCH("대만",C1439)),"TW","홀세일"))))</f>
        <v>홀세일</v>
      </c>
      <c r="B1439" s="36" t="s">
        <v>1487</v>
      </c>
      <c r="C1439" s="36" t="s">
        <v>1488</v>
      </c>
      <c r="D1439" s="37" t="s">
        <v>123</v>
      </c>
      <c r="E1439" s="36" t="n">
        <v>2025</v>
      </c>
      <c r="F1439" s="37" t="s">
        <v>363</v>
      </c>
      <c r="G1439" s="37" t="s">
        <v>102</v>
      </c>
      <c r="H1439" s="37" t="s">
        <v>128</v>
      </c>
      <c r="I1439" s="36" t="s">
        <v>1505</v>
      </c>
      <c r="J1439" s="36" t="s">
        <v>1506</v>
      </c>
      <c r="K1439" s="38" t="n">
        <v>160</v>
      </c>
      <c r="L1439" s="38" t="n">
        <v>12640000</v>
      </c>
      <c r="M1439" s="38" t="n">
        <v>5269280</v>
      </c>
      <c r="N1439" s="39" t="n">
        <f aca="false">IF(A1439="제외",0,IF(OR(N(L1439)&lt;=0,N(M1439)&gt;N(L1439)),N(M1439)/요약!$D$27,N(L1439)))</f>
        <v>12640000</v>
      </c>
      <c r="O1439" s="32" t="str">
        <f aca="false">IF(A1439="제외","",IF(OR(N(L1439)&lt;=0,N(M1439)&gt;N(L1439)),"택가보정(판매금액÷공급율)",""))</f>
        <v/>
      </c>
      <c r="P1439" s="0" t="str">
        <f aca="false">IF(A1439="HK","100",IF(A1439="CN","200",IF(A1439="TW","300",IF(ISNUMBER(SEARCH("태국",C1439)),"500",IF(ISNUMBER(SEARCH("말레이",C1439)),"600",IF(ISNUMBER(SEARCH("필리핀",C1439)),"700",IF(ISNUMBER(SEARCH("인도네시아",C1439)),"800",IF(ISNUMBER(SEARCH("크루즈",C1439)),"810",IF(ISNUMBER(SEARCH("동물원",C1439)),"830","")))))))))</f>
        <v/>
      </c>
    </row>
    <row r="1440" customFormat="false" ht="15" hidden="false" customHeight="false" outlineLevel="0" collapsed="false">
      <c r="A1440" s="32" t="str">
        <f aca="false">IF(OR(TRIM(C1440)="",SUBSTITUTE(C1440," ","")="소계"),"제외",IF(ISNUMBER(SEARCH("홍콩",C1440)),"HK",IF(ISNUMBER(SEARCH("상해",C1440)),"CN",IF(ISNUMBER(SEARCH("대만",C1440)),"TW","홀세일"))))</f>
        <v>홀세일</v>
      </c>
      <c r="B1440" s="36" t="s">
        <v>1487</v>
      </c>
      <c r="C1440" s="36" t="s">
        <v>1488</v>
      </c>
      <c r="D1440" s="37" t="s">
        <v>123</v>
      </c>
      <c r="E1440" s="36" t="n">
        <v>2025</v>
      </c>
      <c r="F1440" s="36" t="s">
        <v>110</v>
      </c>
      <c r="G1440" s="37" t="s">
        <v>102</v>
      </c>
      <c r="H1440" s="36" t="s">
        <v>125</v>
      </c>
      <c r="I1440" s="36" t="s">
        <v>1507</v>
      </c>
      <c r="J1440" s="37" t="s">
        <v>1452</v>
      </c>
      <c r="K1440" s="38" t="n">
        <v>198</v>
      </c>
      <c r="L1440" s="38" t="n">
        <v>39402000</v>
      </c>
      <c r="M1440" s="38" t="n">
        <v>16431228</v>
      </c>
      <c r="N1440" s="39" t="n">
        <f aca="false">IF(A1440="제외",0,IF(OR(N(L1440)&lt;=0,N(M1440)&gt;N(L1440)),N(M1440)/요약!$D$27,N(L1440)))</f>
        <v>39402000</v>
      </c>
      <c r="O1440" s="32" t="str">
        <f aca="false">IF(A1440="제외","",IF(OR(N(L1440)&lt;=0,N(M1440)&gt;N(L1440)),"택가보정(판매금액÷공급율)",""))</f>
        <v/>
      </c>
      <c r="P1440" s="0" t="str">
        <f aca="false">IF(A1440="HK","100",IF(A1440="CN","200",IF(A1440="TW","300",IF(ISNUMBER(SEARCH("태국",C1440)),"500",IF(ISNUMBER(SEARCH("말레이",C1440)),"600",IF(ISNUMBER(SEARCH("필리핀",C1440)),"700",IF(ISNUMBER(SEARCH("인도네시아",C1440)),"800",IF(ISNUMBER(SEARCH("크루즈",C1440)),"810",IF(ISNUMBER(SEARCH("동물원",C1440)),"830","")))))))))</f>
        <v/>
      </c>
    </row>
    <row r="1441" customFormat="false" ht="15" hidden="false" customHeight="false" outlineLevel="0" collapsed="false">
      <c r="A1441" s="32" t="str">
        <f aca="false">IF(OR(TRIM(C1441)="",SUBSTITUTE(C1441," ","")="소계"),"제외",IF(ISNUMBER(SEARCH("홍콩",C1441)),"HK",IF(ISNUMBER(SEARCH("상해",C1441)),"CN",IF(ISNUMBER(SEARCH("대만",C1441)),"TW","홀세일"))))</f>
        <v>홀세일</v>
      </c>
      <c r="B1441" s="36" t="s">
        <v>1487</v>
      </c>
      <c r="C1441" s="36" t="s">
        <v>1488</v>
      </c>
      <c r="D1441" s="37" t="s">
        <v>123</v>
      </c>
      <c r="E1441" s="36" t="n">
        <v>2025</v>
      </c>
      <c r="F1441" s="36" t="s">
        <v>110</v>
      </c>
      <c r="G1441" s="37" t="s">
        <v>102</v>
      </c>
      <c r="H1441" s="37" t="s">
        <v>128</v>
      </c>
      <c r="I1441" s="36" t="s">
        <v>1508</v>
      </c>
      <c r="J1441" s="36" t="s">
        <v>1509</v>
      </c>
      <c r="K1441" s="38" t="n">
        <v>71</v>
      </c>
      <c r="L1441" s="38" t="n">
        <v>11289000</v>
      </c>
      <c r="M1441" s="38" t="n">
        <v>4697076</v>
      </c>
      <c r="N1441" s="39" t="n">
        <f aca="false">IF(A1441="제외",0,IF(OR(N(L1441)&lt;=0,N(M1441)&gt;N(L1441)),N(M1441)/요약!$D$27,N(L1441)))</f>
        <v>11289000</v>
      </c>
      <c r="O1441" s="32" t="str">
        <f aca="false">IF(A1441="제외","",IF(OR(N(L1441)&lt;=0,N(M1441)&gt;N(L1441)),"택가보정(판매금액÷공급율)",""))</f>
        <v/>
      </c>
      <c r="P1441" s="0" t="str">
        <f aca="false">IF(A1441="HK","100",IF(A1441="CN","200",IF(A1441="TW","300",IF(ISNUMBER(SEARCH("태국",C1441)),"500",IF(ISNUMBER(SEARCH("말레이",C1441)),"600",IF(ISNUMBER(SEARCH("필리핀",C1441)),"700",IF(ISNUMBER(SEARCH("인도네시아",C1441)),"800",IF(ISNUMBER(SEARCH("크루즈",C1441)),"810",IF(ISNUMBER(SEARCH("동물원",C1441)),"830","")))))))))</f>
        <v/>
      </c>
    </row>
    <row r="1442" customFormat="false" ht="15" hidden="false" customHeight="false" outlineLevel="0" collapsed="false">
      <c r="A1442" s="32" t="str">
        <f aca="false">IF(OR(TRIM(C1442)="",SUBSTITUTE(C1442," ","")="소계"),"제외",IF(ISNUMBER(SEARCH("홍콩",C1442)),"HK",IF(ISNUMBER(SEARCH("상해",C1442)),"CN",IF(ISNUMBER(SEARCH("대만",C1442)),"TW","홀세일"))))</f>
        <v>홀세일</v>
      </c>
      <c r="B1442" s="36" t="s">
        <v>1487</v>
      </c>
      <c r="C1442" s="36" t="s">
        <v>1488</v>
      </c>
      <c r="D1442" s="37" t="s">
        <v>123</v>
      </c>
      <c r="E1442" s="36" t="n">
        <v>2025</v>
      </c>
      <c r="F1442" s="36" t="s">
        <v>110</v>
      </c>
      <c r="G1442" s="37" t="s">
        <v>102</v>
      </c>
      <c r="H1442" s="37" t="s">
        <v>128</v>
      </c>
      <c r="I1442" s="36" t="s">
        <v>1510</v>
      </c>
      <c r="J1442" s="36" t="s">
        <v>1511</v>
      </c>
      <c r="K1442" s="38" t="n">
        <v>63</v>
      </c>
      <c r="L1442" s="38" t="n">
        <v>6237000</v>
      </c>
      <c r="M1442" s="38" t="n">
        <v>2604924</v>
      </c>
      <c r="N1442" s="39" t="n">
        <f aca="false">IF(A1442="제외",0,IF(OR(N(L1442)&lt;=0,N(M1442)&gt;N(L1442)),N(M1442)/요약!$D$27,N(L1442)))</f>
        <v>6237000</v>
      </c>
      <c r="O1442" s="32" t="str">
        <f aca="false">IF(A1442="제외","",IF(OR(N(L1442)&lt;=0,N(M1442)&gt;N(L1442)),"택가보정(판매금액÷공급율)",""))</f>
        <v/>
      </c>
      <c r="P1442" s="0" t="str">
        <f aca="false">IF(A1442="HK","100",IF(A1442="CN","200",IF(A1442="TW","300",IF(ISNUMBER(SEARCH("태국",C1442)),"500",IF(ISNUMBER(SEARCH("말레이",C1442)),"600",IF(ISNUMBER(SEARCH("필리핀",C1442)),"700",IF(ISNUMBER(SEARCH("인도네시아",C1442)),"800",IF(ISNUMBER(SEARCH("크루즈",C1442)),"810",IF(ISNUMBER(SEARCH("동물원",C1442)),"830","")))))))))</f>
        <v/>
      </c>
    </row>
    <row r="1443" customFormat="false" ht="15" hidden="false" customHeight="false" outlineLevel="0" collapsed="false">
      <c r="A1443" s="32" t="str">
        <f aca="false">IF(OR(TRIM(C1443)="",SUBSTITUTE(C1443," ","")="소계"),"제외",IF(ISNUMBER(SEARCH("홍콩",C1443)),"HK",IF(ISNUMBER(SEARCH("상해",C1443)),"CN",IF(ISNUMBER(SEARCH("대만",C1443)),"TW","홀세일"))))</f>
        <v>홀세일</v>
      </c>
      <c r="B1443" s="36" t="s">
        <v>1487</v>
      </c>
      <c r="C1443" s="36" t="s">
        <v>1488</v>
      </c>
      <c r="D1443" s="37" t="s">
        <v>123</v>
      </c>
      <c r="E1443" s="36" t="n">
        <v>2025</v>
      </c>
      <c r="F1443" s="36" t="s">
        <v>110</v>
      </c>
      <c r="G1443" s="37" t="s">
        <v>102</v>
      </c>
      <c r="H1443" s="36" t="s">
        <v>131</v>
      </c>
      <c r="I1443" s="36" t="s">
        <v>1512</v>
      </c>
      <c r="J1443" s="37" t="s">
        <v>620</v>
      </c>
      <c r="K1443" s="38" t="n">
        <v>916</v>
      </c>
      <c r="L1443" s="38" t="n">
        <v>41220000</v>
      </c>
      <c r="M1443" s="38" t="n">
        <v>17275760</v>
      </c>
      <c r="N1443" s="39" t="n">
        <f aca="false">IF(A1443="제외",0,IF(OR(N(L1443)&lt;=0,N(M1443)&gt;N(L1443)),N(M1443)/요약!$D$27,N(L1443)))</f>
        <v>41220000</v>
      </c>
      <c r="O1443" s="32" t="str">
        <f aca="false">IF(A1443="제외","",IF(OR(N(L1443)&lt;=0,N(M1443)&gt;N(L1443)),"택가보정(판매금액÷공급율)",""))</f>
        <v/>
      </c>
      <c r="P1443" s="0" t="str">
        <f aca="false">IF(A1443="HK","100",IF(A1443="CN","200",IF(A1443="TW","300",IF(ISNUMBER(SEARCH("태국",C1443)),"500",IF(ISNUMBER(SEARCH("말레이",C1443)),"600",IF(ISNUMBER(SEARCH("필리핀",C1443)),"700",IF(ISNUMBER(SEARCH("인도네시아",C1443)),"800",IF(ISNUMBER(SEARCH("크루즈",C1443)),"810",IF(ISNUMBER(SEARCH("동물원",C1443)),"830","")))))))))</f>
        <v/>
      </c>
    </row>
    <row r="1444" customFormat="false" ht="15" hidden="false" customHeight="false" outlineLevel="0" collapsed="false">
      <c r="A1444" s="32" t="str">
        <f aca="false">IF(OR(TRIM(C1444)="",SUBSTITUTE(C1444," ","")="소계"),"제외",IF(ISNUMBER(SEARCH("홍콩",C1444)),"HK",IF(ISNUMBER(SEARCH("상해",C1444)),"CN",IF(ISNUMBER(SEARCH("대만",C1444)),"TW","홀세일"))))</f>
        <v>홀세일</v>
      </c>
      <c r="B1444" s="36" t="s">
        <v>1487</v>
      </c>
      <c r="C1444" s="36" t="s">
        <v>1488</v>
      </c>
      <c r="D1444" s="37" t="s">
        <v>123</v>
      </c>
      <c r="E1444" s="36" t="n">
        <v>2025</v>
      </c>
      <c r="F1444" s="36" t="s">
        <v>110</v>
      </c>
      <c r="G1444" s="37" t="s">
        <v>102</v>
      </c>
      <c r="H1444" s="36" t="s">
        <v>131</v>
      </c>
      <c r="I1444" s="36" t="s">
        <v>1513</v>
      </c>
      <c r="J1444" s="37" t="s">
        <v>1514</v>
      </c>
      <c r="K1444" s="38" t="n">
        <v>362</v>
      </c>
      <c r="L1444" s="38" t="n">
        <v>17738000</v>
      </c>
      <c r="M1444" s="38" t="n">
        <v>7457562</v>
      </c>
      <c r="N1444" s="39" t="n">
        <f aca="false">IF(A1444="제외",0,IF(OR(N(L1444)&lt;=0,N(M1444)&gt;N(L1444)),N(M1444)/요약!$D$27,N(L1444)))</f>
        <v>17738000</v>
      </c>
      <c r="O1444" s="32" t="str">
        <f aca="false">IF(A1444="제외","",IF(OR(N(L1444)&lt;=0,N(M1444)&gt;N(L1444)),"택가보정(판매금액÷공급율)",""))</f>
        <v/>
      </c>
      <c r="P1444" s="0" t="str">
        <f aca="false">IF(A1444="HK","100",IF(A1444="CN","200",IF(A1444="TW","300",IF(ISNUMBER(SEARCH("태국",C1444)),"500",IF(ISNUMBER(SEARCH("말레이",C1444)),"600",IF(ISNUMBER(SEARCH("필리핀",C1444)),"700",IF(ISNUMBER(SEARCH("인도네시아",C1444)),"800",IF(ISNUMBER(SEARCH("크루즈",C1444)),"810",IF(ISNUMBER(SEARCH("동물원",C1444)),"830","")))))))))</f>
        <v/>
      </c>
    </row>
    <row r="1445" customFormat="false" ht="15" hidden="false" customHeight="false" outlineLevel="0" collapsed="false">
      <c r="A1445" s="32" t="str">
        <f aca="false">IF(OR(TRIM(C1445)="",SUBSTITUTE(C1445," ","")="소계"),"제외",IF(ISNUMBER(SEARCH("홍콩",C1445)),"HK",IF(ISNUMBER(SEARCH("상해",C1445)),"CN",IF(ISNUMBER(SEARCH("대만",C1445)),"TW","홀세일"))))</f>
        <v>홀세일</v>
      </c>
      <c r="B1445" s="36" t="s">
        <v>1487</v>
      </c>
      <c r="C1445" s="36" t="s">
        <v>1488</v>
      </c>
      <c r="D1445" s="37" t="s">
        <v>123</v>
      </c>
      <c r="E1445" s="36" t="n">
        <v>2025</v>
      </c>
      <c r="F1445" s="36" t="s">
        <v>110</v>
      </c>
      <c r="G1445" s="37" t="s">
        <v>102</v>
      </c>
      <c r="H1445" s="37" t="s">
        <v>128</v>
      </c>
      <c r="I1445" s="36" t="s">
        <v>1515</v>
      </c>
      <c r="J1445" s="36" t="s">
        <v>1516</v>
      </c>
      <c r="K1445" s="38" t="n">
        <v>23</v>
      </c>
      <c r="L1445" s="38" t="n">
        <v>1035000</v>
      </c>
      <c r="M1445" s="38" t="n">
        <v>551080</v>
      </c>
      <c r="N1445" s="39" t="n">
        <f aca="false">IF(A1445="제외",0,IF(OR(N(L1445)&lt;=0,N(M1445)&gt;N(L1445)),N(M1445)/요약!$D$27,N(L1445)))</f>
        <v>1035000</v>
      </c>
      <c r="O1445" s="32" t="str">
        <f aca="false">IF(A1445="제외","",IF(OR(N(L1445)&lt;=0,N(M1445)&gt;N(L1445)),"택가보정(판매금액÷공급율)",""))</f>
        <v/>
      </c>
      <c r="P1445" s="0" t="str">
        <f aca="false">IF(A1445="HK","100",IF(A1445="CN","200",IF(A1445="TW","300",IF(ISNUMBER(SEARCH("태국",C1445)),"500",IF(ISNUMBER(SEARCH("말레이",C1445)),"600",IF(ISNUMBER(SEARCH("필리핀",C1445)),"700",IF(ISNUMBER(SEARCH("인도네시아",C1445)),"800",IF(ISNUMBER(SEARCH("크루즈",C1445)),"810",IF(ISNUMBER(SEARCH("동물원",C1445)),"830","")))))))))</f>
        <v/>
      </c>
    </row>
    <row r="1446" customFormat="false" ht="15" hidden="false" customHeight="false" outlineLevel="0" collapsed="false">
      <c r="A1446" s="32" t="str">
        <f aca="false">IF(OR(TRIM(C1446)="",SUBSTITUTE(C1446," ","")="소계"),"제외",IF(ISNUMBER(SEARCH("홍콩",C1446)),"HK",IF(ISNUMBER(SEARCH("상해",C1446)),"CN",IF(ISNUMBER(SEARCH("대만",C1446)),"TW","홀세일"))))</f>
        <v>홀세일</v>
      </c>
      <c r="B1446" s="36" t="s">
        <v>1487</v>
      </c>
      <c r="C1446" s="36" t="s">
        <v>1488</v>
      </c>
      <c r="D1446" s="37" t="s">
        <v>123</v>
      </c>
      <c r="E1446" s="36" t="n">
        <v>2025</v>
      </c>
      <c r="F1446" s="36" t="s">
        <v>110</v>
      </c>
      <c r="G1446" s="37" t="s">
        <v>102</v>
      </c>
      <c r="H1446" s="37" t="s">
        <v>128</v>
      </c>
      <c r="I1446" s="36" t="s">
        <v>1517</v>
      </c>
      <c r="J1446" s="36" t="s">
        <v>1518</v>
      </c>
      <c r="K1446" s="38" t="n">
        <v>50</v>
      </c>
      <c r="L1446" s="38" t="n">
        <v>2450000</v>
      </c>
      <c r="M1446" s="38" t="n">
        <v>1299050</v>
      </c>
      <c r="N1446" s="39" t="n">
        <f aca="false">IF(A1446="제외",0,IF(OR(N(L1446)&lt;=0,N(M1446)&gt;N(L1446)),N(M1446)/요약!$D$27,N(L1446)))</f>
        <v>2450000</v>
      </c>
      <c r="O1446" s="32" t="str">
        <f aca="false">IF(A1446="제외","",IF(OR(N(L1446)&lt;=0,N(M1446)&gt;N(L1446)),"택가보정(판매금액÷공급율)",""))</f>
        <v/>
      </c>
      <c r="P1446" s="0" t="str">
        <f aca="false">IF(A1446="HK","100",IF(A1446="CN","200",IF(A1446="TW","300",IF(ISNUMBER(SEARCH("태국",C1446)),"500",IF(ISNUMBER(SEARCH("말레이",C1446)),"600",IF(ISNUMBER(SEARCH("필리핀",C1446)),"700",IF(ISNUMBER(SEARCH("인도네시아",C1446)),"800",IF(ISNUMBER(SEARCH("크루즈",C1446)),"810",IF(ISNUMBER(SEARCH("동물원",C1446)),"830","")))))))))</f>
        <v/>
      </c>
    </row>
    <row r="1447" customFormat="false" ht="15" hidden="false" customHeight="false" outlineLevel="0" collapsed="false">
      <c r="A1447" s="32" t="str">
        <f aca="false">IF(OR(TRIM(C1447)="",SUBSTITUTE(C1447," ","")="소계"),"제외",IF(ISNUMBER(SEARCH("홍콩",C1447)),"HK",IF(ISNUMBER(SEARCH("상해",C1447)),"CN",IF(ISNUMBER(SEARCH("대만",C1447)),"TW","홀세일"))))</f>
        <v>홀세일</v>
      </c>
      <c r="B1447" s="36" t="s">
        <v>1487</v>
      </c>
      <c r="C1447" s="36" t="s">
        <v>1488</v>
      </c>
      <c r="D1447" s="37" t="s">
        <v>123</v>
      </c>
      <c r="E1447" s="36" t="n">
        <v>2025</v>
      </c>
      <c r="F1447" s="36" t="s">
        <v>110</v>
      </c>
      <c r="G1447" s="37" t="s">
        <v>102</v>
      </c>
      <c r="H1447" s="37" t="s">
        <v>128</v>
      </c>
      <c r="I1447" s="36" t="s">
        <v>1519</v>
      </c>
      <c r="J1447" s="36" t="s">
        <v>1520</v>
      </c>
      <c r="K1447" s="38" t="n">
        <v>78</v>
      </c>
      <c r="L1447" s="38" t="n">
        <v>6162000</v>
      </c>
      <c r="M1447" s="38" t="n">
        <v>2568774</v>
      </c>
      <c r="N1447" s="39" t="n">
        <f aca="false">IF(A1447="제외",0,IF(OR(N(L1447)&lt;=0,N(M1447)&gt;N(L1447)),N(M1447)/요약!$D$27,N(L1447)))</f>
        <v>6162000</v>
      </c>
      <c r="O1447" s="32" t="str">
        <f aca="false">IF(A1447="제외","",IF(OR(N(L1447)&lt;=0,N(M1447)&gt;N(L1447)),"택가보정(판매금액÷공급율)",""))</f>
        <v/>
      </c>
      <c r="P1447" s="0" t="str">
        <f aca="false">IF(A1447="HK","100",IF(A1447="CN","200",IF(A1447="TW","300",IF(ISNUMBER(SEARCH("태국",C1447)),"500",IF(ISNUMBER(SEARCH("말레이",C1447)),"600",IF(ISNUMBER(SEARCH("필리핀",C1447)),"700",IF(ISNUMBER(SEARCH("인도네시아",C1447)),"800",IF(ISNUMBER(SEARCH("크루즈",C1447)),"810",IF(ISNUMBER(SEARCH("동물원",C1447)),"830","")))))))))</f>
        <v/>
      </c>
    </row>
    <row r="1448" customFormat="false" ht="15" hidden="false" customHeight="false" outlineLevel="0" collapsed="false">
      <c r="A1448" s="32" t="str">
        <f aca="false">IF(OR(TRIM(C1448)="",SUBSTITUTE(C1448," ","")="소계"),"제외",IF(ISNUMBER(SEARCH("홍콩",C1448)),"HK",IF(ISNUMBER(SEARCH("상해",C1448)),"CN",IF(ISNUMBER(SEARCH("대만",C1448)),"TW","홀세일"))))</f>
        <v>홀세일</v>
      </c>
      <c r="B1448" s="36" t="s">
        <v>1487</v>
      </c>
      <c r="C1448" s="36" t="s">
        <v>1488</v>
      </c>
      <c r="D1448" s="37" t="s">
        <v>123</v>
      </c>
      <c r="E1448" s="36" t="n">
        <v>2025</v>
      </c>
      <c r="F1448" s="36" t="s">
        <v>110</v>
      </c>
      <c r="G1448" s="37" t="s">
        <v>124</v>
      </c>
      <c r="H1448" s="37" t="s">
        <v>128</v>
      </c>
      <c r="I1448" s="36" t="s">
        <v>1521</v>
      </c>
      <c r="J1448" s="36" t="s">
        <v>1522</v>
      </c>
      <c r="K1448" s="38" t="n">
        <v>1146</v>
      </c>
      <c r="L1448" s="38" t="n">
        <v>56154000</v>
      </c>
      <c r="M1448" s="38" t="n">
        <v>22113216</v>
      </c>
      <c r="N1448" s="39" t="n">
        <f aca="false">IF(A1448="제외",0,IF(OR(N(L1448)&lt;=0,N(M1448)&gt;N(L1448)),N(M1448)/요약!$D$27,N(L1448)))</f>
        <v>56154000</v>
      </c>
      <c r="O1448" s="32" t="str">
        <f aca="false">IF(A1448="제외","",IF(OR(N(L1448)&lt;=0,N(M1448)&gt;N(L1448)),"택가보정(판매금액÷공급율)",""))</f>
        <v/>
      </c>
      <c r="P1448" s="0" t="str">
        <f aca="false">IF(A1448="HK","100",IF(A1448="CN","200",IF(A1448="TW","300",IF(ISNUMBER(SEARCH("태국",C1448)),"500",IF(ISNUMBER(SEARCH("말레이",C1448)),"600",IF(ISNUMBER(SEARCH("필리핀",C1448)),"700",IF(ISNUMBER(SEARCH("인도네시아",C1448)),"800",IF(ISNUMBER(SEARCH("크루즈",C1448)),"810",IF(ISNUMBER(SEARCH("동물원",C1448)),"830","")))))))))</f>
        <v/>
      </c>
    </row>
    <row r="1449" customFormat="false" ht="15" hidden="false" customHeight="false" outlineLevel="0" collapsed="false">
      <c r="A1449" s="32" t="str">
        <f aca="false">IF(OR(TRIM(C1449)="",SUBSTITUTE(C1449," ","")="소계"),"제외",IF(ISNUMBER(SEARCH("홍콩",C1449)),"HK",IF(ISNUMBER(SEARCH("상해",C1449)),"CN",IF(ISNUMBER(SEARCH("대만",C1449)),"TW","홀세일"))))</f>
        <v>홀세일</v>
      </c>
      <c r="B1449" s="36" t="s">
        <v>1487</v>
      </c>
      <c r="C1449" s="36" t="s">
        <v>1488</v>
      </c>
      <c r="D1449" s="37" t="s">
        <v>123</v>
      </c>
      <c r="E1449" s="36" t="n">
        <v>2026</v>
      </c>
      <c r="F1449" s="36" t="s">
        <v>110</v>
      </c>
      <c r="G1449" s="37" t="s">
        <v>124</v>
      </c>
      <c r="H1449" s="36" t="s">
        <v>125</v>
      </c>
      <c r="I1449" s="36" t="s">
        <v>652</v>
      </c>
      <c r="J1449" s="37" t="s">
        <v>653</v>
      </c>
      <c r="K1449" s="38" t="n">
        <v>65</v>
      </c>
      <c r="L1449" s="38" t="n">
        <v>32435000</v>
      </c>
      <c r="M1449" s="38" t="n">
        <v>13494585</v>
      </c>
      <c r="N1449" s="39" t="n">
        <f aca="false">IF(A1449="제외",0,IF(OR(N(L1449)&lt;=0,N(M1449)&gt;N(L1449)),N(M1449)/요약!$D$27,N(L1449)))</f>
        <v>32435000</v>
      </c>
      <c r="O1449" s="32" t="str">
        <f aca="false">IF(A1449="제외","",IF(OR(N(L1449)&lt;=0,N(M1449)&gt;N(L1449)),"택가보정(판매금액÷공급율)",""))</f>
        <v/>
      </c>
      <c r="P1449" s="0" t="str">
        <f aca="false">IF(A1449="HK","100",IF(A1449="CN","200",IF(A1449="TW","300",IF(ISNUMBER(SEARCH("태국",C1449)),"500",IF(ISNUMBER(SEARCH("말레이",C1449)),"600",IF(ISNUMBER(SEARCH("필리핀",C1449)),"700",IF(ISNUMBER(SEARCH("인도네시아",C1449)),"800",IF(ISNUMBER(SEARCH("크루즈",C1449)),"810",IF(ISNUMBER(SEARCH("동물원",C1449)),"830","")))))))))</f>
        <v/>
      </c>
    </row>
    <row r="1450" customFormat="false" ht="15" hidden="false" customHeight="false" outlineLevel="0" collapsed="false">
      <c r="A1450" s="32" t="str">
        <f aca="false">IF(OR(TRIM(C1450)="",SUBSTITUTE(C1450," ","")="소계"),"제외",IF(ISNUMBER(SEARCH("홍콩",C1450)),"HK",IF(ISNUMBER(SEARCH("상해",C1450)),"CN",IF(ISNUMBER(SEARCH("대만",C1450)),"TW","홀세일"))))</f>
        <v>제외</v>
      </c>
      <c r="B1450" s="36" t="s">
        <v>762</v>
      </c>
      <c r="C1450" s="37" t="s">
        <v>763</v>
      </c>
      <c r="D1450" s="36"/>
      <c r="E1450" s="36"/>
      <c r="F1450" s="36"/>
      <c r="G1450" s="36"/>
      <c r="H1450" s="36"/>
      <c r="I1450" s="36"/>
      <c r="J1450" s="36"/>
      <c r="K1450" s="38" t="n">
        <v>8410</v>
      </c>
      <c r="L1450" s="38" t="n">
        <v>801154000</v>
      </c>
      <c r="M1450" s="38" t="n">
        <v>324509215</v>
      </c>
      <c r="N1450" s="39" t="n">
        <f aca="false">IF(A1450="제외",0,IF(OR(N(L1450)&lt;=0,N(M1450)&gt;N(L1450)),N(M1450)/요약!$D$27,N(L1450)))</f>
        <v>0</v>
      </c>
      <c r="O1450" s="32" t="str">
        <f aca="false">IF(A1450="제외","",IF(OR(N(L1450)&lt;=0,N(M1450)&gt;N(L1450)),"택가보정(판매금액÷공급율)",""))</f>
        <v/>
      </c>
      <c r="P1450" s="0" t="str">
        <f aca="false">IF(A1450="HK","100",IF(A1450="CN","200",IF(A1450="TW","300",IF(ISNUMBER(SEARCH("태국",C1450)),"500",IF(ISNUMBER(SEARCH("말레이",C1450)),"600",IF(ISNUMBER(SEARCH("필리핀",C1450)),"700",IF(ISNUMBER(SEARCH("인도네시아",C1450)),"800",IF(ISNUMBER(SEARCH("크루즈",C1450)),"810",IF(ISNUMBER(SEARCH("동물원",C1450)),"830","")))))))))</f>
        <v/>
      </c>
    </row>
    <row r="1451" customFormat="false" ht="15" hidden="false" customHeight="false" outlineLevel="0" collapsed="false">
      <c r="A1451" s="32" t="str">
        <f aca="false">IF(OR(TRIM(C1451)="",SUBSTITUTE(C1451," ","")="소계"),"제외",IF(ISNUMBER(SEARCH("홍콩",C1451)),"HK",IF(ISNUMBER(SEARCH("상해",C1451)),"CN",IF(ISNUMBER(SEARCH("대만",C1451)),"TW","홀세일"))))</f>
        <v>홀세일</v>
      </c>
      <c r="B1451" s="36" t="s">
        <v>1523</v>
      </c>
      <c r="C1451" s="37" t="s">
        <v>1524</v>
      </c>
      <c r="D1451" s="36" t="s">
        <v>100</v>
      </c>
      <c r="E1451" s="36" t="n">
        <v>2025</v>
      </c>
      <c r="F1451" s="37" t="s">
        <v>219</v>
      </c>
      <c r="G1451" s="37" t="s">
        <v>124</v>
      </c>
      <c r="H1451" s="36" t="s">
        <v>131</v>
      </c>
      <c r="I1451" s="36" t="s">
        <v>1525</v>
      </c>
      <c r="J1451" s="36" t="s">
        <v>1526</v>
      </c>
      <c r="K1451" s="38" t="n">
        <v>48</v>
      </c>
      <c r="L1451" s="38" t="n">
        <v>2832000</v>
      </c>
      <c r="M1451" s="38" t="n">
        <v>1067904</v>
      </c>
      <c r="N1451" s="39" t="n">
        <f aca="false">IF(A1451="제외",0,IF(OR(N(L1451)&lt;=0,N(M1451)&gt;N(L1451)),N(M1451)/요약!$D$27,N(L1451)))</f>
        <v>2832000</v>
      </c>
      <c r="O1451" s="32" t="str">
        <f aca="false">IF(A1451="제외","",IF(OR(N(L1451)&lt;=0,N(M1451)&gt;N(L1451)),"택가보정(판매금액÷공급율)",""))</f>
        <v/>
      </c>
      <c r="P1451" s="0" t="str">
        <f aca="false">IF(A1451="HK","100",IF(A1451="CN","200",IF(A1451="TW","300",IF(ISNUMBER(SEARCH("태국",C1451)),"500",IF(ISNUMBER(SEARCH("말레이",C1451)),"600",IF(ISNUMBER(SEARCH("필리핀",C1451)),"700",IF(ISNUMBER(SEARCH("인도네시아",C1451)),"800",IF(ISNUMBER(SEARCH("크루즈",C1451)),"810",IF(ISNUMBER(SEARCH("동물원",C1451)),"830","")))))))))</f>
        <v>830</v>
      </c>
    </row>
    <row r="1452" customFormat="false" ht="15" hidden="false" customHeight="false" outlineLevel="0" collapsed="false">
      <c r="A1452" s="32" t="str">
        <f aca="false">IF(OR(TRIM(C1452)="",SUBSTITUTE(C1452," ","")="소계"),"제외",IF(ISNUMBER(SEARCH("홍콩",C1452)),"HK",IF(ISNUMBER(SEARCH("상해",C1452)),"CN",IF(ISNUMBER(SEARCH("대만",C1452)),"TW","홀세일"))))</f>
        <v>홀세일</v>
      </c>
      <c r="B1452" s="36" t="s">
        <v>1523</v>
      </c>
      <c r="C1452" s="37" t="s">
        <v>1524</v>
      </c>
      <c r="D1452" s="36" t="s">
        <v>100</v>
      </c>
      <c r="E1452" s="36" t="n">
        <v>2025</v>
      </c>
      <c r="F1452" s="37" t="s">
        <v>219</v>
      </c>
      <c r="G1452" s="37" t="s">
        <v>124</v>
      </c>
      <c r="H1452" s="36" t="s">
        <v>131</v>
      </c>
      <c r="I1452" s="36" t="s">
        <v>1527</v>
      </c>
      <c r="J1452" s="36" t="s">
        <v>1528</v>
      </c>
      <c r="K1452" s="38" t="n">
        <v>63</v>
      </c>
      <c r="L1452" s="38" t="n">
        <v>3717000</v>
      </c>
      <c r="M1452" s="38" t="n">
        <v>1401624</v>
      </c>
      <c r="N1452" s="39" t="n">
        <f aca="false">IF(A1452="제외",0,IF(OR(N(L1452)&lt;=0,N(M1452)&gt;N(L1452)),N(M1452)/요약!$D$27,N(L1452)))</f>
        <v>3717000</v>
      </c>
      <c r="O1452" s="32" t="str">
        <f aca="false">IF(A1452="제외","",IF(OR(N(L1452)&lt;=0,N(M1452)&gt;N(L1452)),"택가보정(판매금액÷공급율)",""))</f>
        <v/>
      </c>
      <c r="P1452" s="0" t="str">
        <f aca="false">IF(A1452="HK","100",IF(A1452="CN","200",IF(A1452="TW","300",IF(ISNUMBER(SEARCH("태국",C1452)),"500",IF(ISNUMBER(SEARCH("말레이",C1452)),"600",IF(ISNUMBER(SEARCH("필리핀",C1452)),"700",IF(ISNUMBER(SEARCH("인도네시아",C1452)),"800",IF(ISNUMBER(SEARCH("크루즈",C1452)),"810",IF(ISNUMBER(SEARCH("동물원",C1452)),"830","")))))))))</f>
        <v>830</v>
      </c>
    </row>
    <row r="1453" customFormat="false" ht="15" hidden="false" customHeight="false" outlineLevel="0" collapsed="false">
      <c r="A1453" s="32" t="str">
        <f aca="false">IF(OR(TRIM(C1453)="",SUBSTITUTE(C1453," ","")="소계"),"제외",IF(ISNUMBER(SEARCH("홍콩",C1453)),"HK",IF(ISNUMBER(SEARCH("상해",C1453)),"CN",IF(ISNUMBER(SEARCH("대만",C1453)),"TW","홀세일"))))</f>
        <v>홀세일</v>
      </c>
      <c r="B1453" s="36" t="s">
        <v>1523</v>
      </c>
      <c r="C1453" s="37" t="s">
        <v>1524</v>
      </c>
      <c r="D1453" s="36" t="s">
        <v>100</v>
      </c>
      <c r="E1453" s="36" t="n">
        <v>2026</v>
      </c>
      <c r="F1453" s="37" t="s">
        <v>219</v>
      </c>
      <c r="G1453" s="37" t="s">
        <v>124</v>
      </c>
      <c r="H1453" s="36" t="s">
        <v>131</v>
      </c>
      <c r="I1453" s="36" t="s">
        <v>1529</v>
      </c>
      <c r="J1453" s="36" t="s">
        <v>1530</v>
      </c>
      <c r="K1453" s="38" t="n">
        <v>101</v>
      </c>
      <c r="L1453" s="38" t="n">
        <v>4949000</v>
      </c>
      <c r="M1453" s="38" t="n">
        <v>1971924</v>
      </c>
      <c r="N1453" s="39" t="n">
        <f aca="false">IF(A1453="제외",0,IF(OR(N(L1453)&lt;=0,N(M1453)&gt;N(L1453)),N(M1453)/요약!$D$27,N(L1453)))</f>
        <v>4949000</v>
      </c>
      <c r="O1453" s="32" t="str">
        <f aca="false">IF(A1453="제외","",IF(OR(N(L1453)&lt;=0,N(M1453)&gt;N(L1453)),"택가보정(판매금액÷공급율)",""))</f>
        <v/>
      </c>
      <c r="P1453" s="0" t="str">
        <f aca="false">IF(A1453="HK","100",IF(A1453="CN","200",IF(A1453="TW","300",IF(ISNUMBER(SEARCH("태국",C1453)),"500",IF(ISNUMBER(SEARCH("말레이",C1453)),"600",IF(ISNUMBER(SEARCH("필리핀",C1453)),"700",IF(ISNUMBER(SEARCH("인도네시아",C1453)),"800",IF(ISNUMBER(SEARCH("크루즈",C1453)),"810",IF(ISNUMBER(SEARCH("동물원",C1453)),"830","")))))))))</f>
        <v>830</v>
      </c>
    </row>
    <row r="1454" customFormat="false" ht="15" hidden="false" customHeight="false" outlineLevel="0" collapsed="false">
      <c r="A1454" s="32" t="str">
        <f aca="false">IF(OR(TRIM(C1454)="",SUBSTITUTE(C1454," ","")="소계"),"제외",IF(ISNUMBER(SEARCH("홍콩",C1454)),"HK",IF(ISNUMBER(SEARCH("상해",C1454)),"CN",IF(ISNUMBER(SEARCH("대만",C1454)),"TW","홀세일"))))</f>
        <v>홀세일</v>
      </c>
      <c r="B1454" s="36" t="s">
        <v>1523</v>
      </c>
      <c r="C1454" s="37" t="s">
        <v>1524</v>
      </c>
      <c r="D1454" s="36" t="s">
        <v>100</v>
      </c>
      <c r="E1454" s="36" t="n">
        <v>2026</v>
      </c>
      <c r="F1454" s="37" t="s">
        <v>219</v>
      </c>
      <c r="G1454" s="37" t="s">
        <v>124</v>
      </c>
      <c r="H1454" s="36" t="s">
        <v>131</v>
      </c>
      <c r="I1454" s="36" t="s">
        <v>1531</v>
      </c>
      <c r="J1454" s="36" t="s">
        <v>1532</v>
      </c>
      <c r="K1454" s="38" t="n">
        <v>79</v>
      </c>
      <c r="L1454" s="38" t="n">
        <v>3871000</v>
      </c>
      <c r="M1454" s="38" t="n">
        <v>1542396</v>
      </c>
      <c r="N1454" s="39" t="n">
        <f aca="false">IF(A1454="제외",0,IF(OR(N(L1454)&lt;=0,N(M1454)&gt;N(L1454)),N(M1454)/요약!$D$27,N(L1454)))</f>
        <v>3871000</v>
      </c>
      <c r="O1454" s="32" t="str">
        <f aca="false">IF(A1454="제외","",IF(OR(N(L1454)&lt;=0,N(M1454)&gt;N(L1454)),"택가보정(판매금액÷공급율)",""))</f>
        <v/>
      </c>
      <c r="P1454" s="0" t="str">
        <f aca="false">IF(A1454="HK","100",IF(A1454="CN","200",IF(A1454="TW","300",IF(ISNUMBER(SEARCH("태국",C1454)),"500",IF(ISNUMBER(SEARCH("말레이",C1454)),"600",IF(ISNUMBER(SEARCH("필리핀",C1454)),"700",IF(ISNUMBER(SEARCH("인도네시아",C1454)),"800",IF(ISNUMBER(SEARCH("크루즈",C1454)),"810",IF(ISNUMBER(SEARCH("동물원",C1454)),"830","")))))))))</f>
        <v>830</v>
      </c>
    </row>
    <row r="1455" customFormat="false" ht="15" hidden="false" customHeight="false" outlineLevel="0" collapsed="false">
      <c r="A1455" s="32" t="str">
        <f aca="false">IF(OR(TRIM(C1455)="",SUBSTITUTE(C1455," ","")="소계"),"제외",IF(ISNUMBER(SEARCH("홍콩",C1455)),"HK",IF(ISNUMBER(SEARCH("상해",C1455)),"CN",IF(ISNUMBER(SEARCH("대만",C1455)),"TW","홀세일"))))</f>
        <v>홀세일</v>
      </c>
      <c r="B1455" s="36" t="s">
        <v>1523</v>
      </c>
      <c r="C1455" s="37" t="s">
        <v>1524</v>
      </c>
      <c r="D1455" s="36" t="s">
        <v>100</v>
      </c>
      <c r="E1455" s="36" t="n">
        <v>2026</v>
      </c>
      <c r="F1455" s="37" t="s">
        <v>219</v>
      </c>
      <c r="G1455" s="37" t="s">
        <v>124</v>
      </c>
      <c r="H1455" s="36" t="s">
        <v>131</v>
      </c>
      <c r="I1455" s="36" t="s">
        <v>1533</v>
      </c>
      <c r="J1455" s="36" t="s">
        <v>1534</v>
      </c>
      <c r="K1455" s="38" t="n">
        <v>23</v>
      </c>
      <c r="L1455" s="38" t="n">
        <v>1127000</v>
      </c>
      <c r="M1455" s="38" t="n">
        <v>449052</v>
      </c>
      <c r="N1455" s="39" t="n">
        <f aca="false">IF(A1455="제외",0,IF(OR(N(L1455)&lt;=0,N(M1455)&gt;N(L1455)),N(M1455)/요약!$D$27,N(L1455)))</f>
        <v>1127000</v>
      </c>
      <c r="O1455" s="32" t="str">
        <f aca="false">IF(A1455="제외","",IF(OR(N(L1455)&lt;=0,N(M1455)&gt;N(L1455)),"택가보정(판매금액÷공급율)",""))</f>
        <v/>
      </c>
      <c r="P1455" s="0" t="str">
        <f aca="false">IF(A1455="HK","100",IF(A1455="CN","200",IF(A1455="TW","300",IF(ISNUMBER(SEARCH("태국",C1455)),"500",IF(ISNUMBER(SEARCH("말레이",C1455)),"600",IF(ISNUMBER(SEARCH("필리핀",C1455)),"700",IF(ISNUMBER(SEARCH("인도네시아",C1455)),"800",IF(ISNUMBER(SEARCH("크루즈",C1455)),"810",IF(ISNUMBER(SEARCH("동물원",C1455)),"830","")))))))))</f>
        <v>830</v>
      </c>
    </row>
    <row r="1456" customFormat="false" ht="15" hidden="false" customHeight="false" outlineLevel="0" collapsed="false">
      <c r="A1456" s="32" t="str">
        <f aca="false">IF(OR(TRIM(C1456)="",SUBSTITUTE(C1456," ","")="소계"),"제외",IF(ISNUMBER(SEARCH("홍콩",C1456)),"HK",IF(ISNUMBER(SEARCH("상해",C1456)),"CN",IF(ISNUMBER(SEARCH("대만",C1456)),"TW","홀세일"))))</f>
        <v>홀세일</v>
      </c>
      <c r="B1456" s="36" t="s">
        <v>1523</v>
      </c>
      <c r="C1456" s="37" t="s">
        <v>1524</v>
      </c>
      <c r="D1456" s="37" t="s">
        <v>123</v>
      </c>
      <c r="E1456" s="36" t="n">
        <v>2024</v>
      </c>
      <c r="F1456" s="37" t="s">
        <v>219</v>
      </c>
      <c r="G1456" s="37" t="s">
        <v>102</v>
      </c>
      <c r="H1456" s="36" t="s">
        <v>131</v>
      </c>
      <c r="I1456" s="36" t="s">
        <v>1535</v>
      </c>
      <c r="J1456" s="37" t="s">
        <v>1536</v>
      </c>
      <c r="K1456" s="38" t="n">
        <v>100</v>
      </c>
      <c r="L1456" s="38" t="n">
        <v>4900000</v>
      </c>
      <c r="M1456" s="38" t="n">
        <v>1640300</v>
      </c>
      <c r="N1456" s="39" t="n">
        <f aca="false">IF(A1456="제외",0,IF(OR(N(L1456)&lt;=0,N(M1456)&gt;N(L1456)),N(M1456)/요약!$D$27,N(L1456)))</f>
        <v>4900000</v>
      </c>
      <c r="O1456" s="32" t="str">
        <f aca="false">IF(A1456="제외","",IF(OR(N(L1456)&lt;=0,N(M1456)&gt;N(L1456)),"택가보정(판매금액÷공급율)",""))</f>
        <v/>
      </c>
      <c r="P1456" s="0" t="str">
        <f aca="false">IF(A1456="HK","100",IF(A1456="CN","200",IF(A1456="TW","300",IF(ISNUMBER(SEARCH("태국",C1456)),"500",IF(ISNUMBER(SEARCH("말레이",C1456)),"600",IF(ISNUMBER(SEARCH("필리핀",C1456)),"700",IF(ISNUMBER(SEARCH("인도네시아",C1456)),"800",IF(ISNUMBER(SEARCH("크루즈",C1456)),"810",IF(ISNUMBER(SEARCH("동물원",C1456)),"830","")))))))))</f>
        <v>830</v>
      </c>
    </row>
    <row r="1457" customFormat="false" ht="15" hidden="false" customHeight="false" outlineLevel="0" collapsed="false">
      <c r="A1457" s="32" t="str">
        <f aca="false">IF(OR(TRIM(C1457)="",SUBSTITUTE(C1457," ","")="소계"),"제외",IF(ISNUMBER(SEARCH("홍콩",C1457)),"HK",IF(ISNUMBER(SEARCH("상해",C1457)),"CN",IF(ISNUMBER(SEARCH("대만",C1457)),"TW","홀세일"))))</f>
        <v>홀세일</v>
      </c>
      <c r="B1457" s="36" t="s">
        <v>1523</v>
      </c>
      <c r="C1457" s="37" t="s">
        <v>1524</v>
      </c>
      <c r="D1457" s="37" t="s">
        <v>123</v>
      </c>
      <c r="E1457" s="36" t="n">
        <v>2024</v>
      </c>
      <c r="F1457" s="37" t="s">
        <v>219</v>
      </c>
      <c r="G1457" s="37" t="s">
        <v>102</v>
      </c>
      <c r="H1457" s="36" t="s">
        <v>131</v>
      </c>
      <c r="I1457" s="36" t="s">
        <v>1537</v>
      </c>
      <c r="J1457" s="37" t="s">
        <v>1538</v>
      </c>
      <c r="K1457" s="38" t="n">
        <v>42</v>
      </c>
      <c r="L1457" s="38" t="n">
        <v>1890000</v>
      </c>
      <c r="M1457" s="38" t="n">
        <v>631512</v>
      </c>
      <c r="N1457" s="39" t="n">
        <f aca="false">IF(A1457="제외",0,IF(OR(N(L1457)&lt;=0,N(M1457)&gt;N(L1457)),N(M1457)/요약!$D$27,N(L1457)))</f>
        <v>1890000</v>
      </c>
      <c r="O1457" s="32" t="str">
        <f aca="false">IF(A1457="제외","",IF(OR(N(L1457)&lt;=0,N(M1457)&gt;N(L1457)),"택가보정(판매금액÷공급율)",""))</f>
        <v/>
      </c>
      <c r="P1457" s="0" t="str">
        <f aca="false">IF(A1457="HK","100",IF(A1457="CN","200",IF(A1457="TW","300",IF(ISNUMBER(SEARCH("태국",C1457)),"500",IF(ISNUMBER(SEARCH("말레이",C1457)),"600",IF(ISNUMBER(SEARCH("필리핀",C1457)),"700",IF(ISNUMBER(SEARCH("인도네시아",C1457)),"800",IF(ISNUMBER(SEARCH("크루즈",C1457)),"810",IF(ISNUMBER(SEARCH("동물원",C1457)),"830","")))))))))</f>
        <v>830</v>
      </c>
    </row>
    <row r="1458" customFormat="false" ht="15" hidden="false" customHeight="false" outlineLevel="0" collapsed="false">
      <c r="A1458" s="32" t="str">
        <f aca="false">IF(OR(TRIM(C1458)="",SUBSTITUTE(C1458," ","")="소계"),"제외",IF(ISNUMBER(SEARCH("홍콩",C1458)),"HK",IF(ISNUMBER(SEARCH("상해",C1458)),"CN",IF(ISNUMBER(SEARCH("대만",C1458)),"TW","홀세일"))))</f>
        <v>홀세일</v>
      </c>
      <c r="B1458" s="36" t="s">
        <v>1523</v>
      </c>
      <c r="C1458" s="37" t="s">
        <v>1524</v>
      </c>
      <c r="D1458" s="37" t="s">
        <v>123</v>
      </c>
      <c r="E1458" s="36" t="n">
        <v>2025</v>
      </c>
      <c r="F1458" s="37" t="s">
        <v>101</v>
      </c>
      <c r="G1458" s="37" t="s">
        <v>102</v>
      </c>
      <c r="H1458" s="36" t="s">
        <v>131</v>
      </c>
      <c r="I1458" s="36" t="s">
        <v>1539</v>
      </c>
      <c r="J1458" s="37" t="s">
        <v>1540</v>
      </c>
      <c r="K1458" s="38" t="n">
        <v>17</v>
      </c>
      <c r="L1458" s="38" t="n">
        <v>2873000</v>
      </c>
      <c r="M1458" s="38" t="n">
        <v>1068926</v>
      </c>
      <c r="N1458" s="39" t="n">
        <f aca="false">IF(A1458="제외",0,IF(OR(N(L1458)&lt;=0,N(M1458)&gt;N(L1458)),N(M1458)/요약!$D$27,N(L1458)))</f>
        <v>2873000</v>
      </c>
      <c r="O1458" s="32" t="str">
        <f aca="false">IF(A1458="제외","",IF(OR(N(L1458)&lt;=0,N(M1458)&gt;N(L1458)),"택가보정(판매금액÷공급율)",""))</f>
        <v/>
      </c>
      <c r="P1458" s="0" t="str">
        <f aca="false">IF(A1458="HK","100",IF(A1458="CN","200",IF(A1458="TW","300",IF(ISNUMBER(SEARCH("태국",C1458)),"500",IF(ISNUMBER(SEARCH("말레이",C1458)),"600",IF(ISNUMBER(SEARCH("필리핀",C1458)),"700",IF(ISNUMBER(SEARCH("인도네시아",C1458)),"800",IF(ISNUMBER(SEARCH("크루즈",C1458)),"810",IF(ISNUMBER(SEARCH("동물원",C1458)),"830","")))))))))</f>
        <v>830</v>
      </c>
    </row>
    <row r="1459" customFormat="false" ht="15" hidden="false" customHeight="false" outlineLevel="0" collapsed="false">
      <c r="A1459" s="32" t="str">
        <f aca="false">IF(OR(TRIM(C1459)="",SUBSTITUTE(C1459," ","")="소계"),"제외",IF(ISNUMBER(SEARCH("홍콩",C1459)),"HK",IF(ISNUMBER(SEARCH("상해",C1459)),"CN",IF(ISNUMBER(SEARCH("대만",C1459)),"TW","홀세일"))))</f>
        <v>홀세일</v>
      </c>
      <c r="B1459" s="36" t="s">
        <v>1523</v>
      </c>
      <c r="C1459" s="37" t="s">
        <v>1524</v>
      </c>
      <c r="D1459" s="37" t="s">
        <v>123</v>
      </c>
      <c r="E1459" s="36" t="n">
        <v>2025</v>
      </c>
      <c r="F1459" s="37" t="s">
        <v>219</v>
      </c>
      <c r="G1459" s="37" t="s">
        <v>102</v>
      </c>
      <c r="H1459" s="36" t="s">
        <v>131</v>
      </c>
      <c r="I1459" s="36" t="s">
        <v>1541</v>
      </c>
      <c r="J1459" s="37" t="s">
        <v>1538</v>
      </c>
      <c r="K1459" s="38" t="n">
        <v>110</v>
      </c>
      <c r="L1459" s="38" t="n">
        <v>7150000</v>
      </c>
      <c r="M1459" s="38" t="n">
        <v>2656390</v>
      </c>
      <c r="N1459" s="39" t="n">
        <f aca="false">IF(A1459="제외",0,IF(OR(N(L1459)&lt;=0,N(M1459)&gt;N(L1459)),N(M1459)/요약!$D$27,N(L1459)))</f>
        <v>7150000</v>
      </c>
      <c r="O1459" s="32" t="str">
        <f aca="false">IF(A1459="제외","",IF(OR(N(L1459)&lt;=0,N(M1459)&gt;N(L1459)),"택가보정(판매금액÷공급율)",""))</f>
        <v/>
      </c>
      <c r="P1459" s="0" t="str">
        <f aca="false">IF(A1459="HK","100",IF(A1459="CN","200",IF(A1459="TW","300",IF(ISNUMBER(SEARCH("태국",C1459)),"500",IF(ISNUMBER(SEARCH("말레이",C1459)),"600",IF(ISNUMBER(SEARCH("필리핀",C1459)),"700",IF(ISNUMBER(SEARCH("인도네시아",C1459)),"800",IF(ISNUMBER(SEARCH("크루즈",C1459)),"810",IF(ISNUMBER(SEARCH("동물원",C1459)),"830","")))))))))</f>
        <v>830</v>
      </c>
    </row>
    <row r="1460" customFormat="false" ht="15" hidden="false" customHeight="false" outlineLevel="0" collapsed="false">
      <c r="A1460" s="32" t="str">
        <f aca="false">IF(OR(TRIM(C1460)="",SUBSTITUTE(C1460," ","")="소계"),"제외",IF(ISNUMBER(SEARCH("홍콩",C1460)),"HK",IF(ISNUMBER(SEARCH("상해",C1460)),"CN",IF(ISNUMBER(SEARCH("대만",C1460)),"TW","홀세일"))))</f>
        <v>홀세일</v>
      </c>
      <c r="B1460" s="36" t="s">
        <v>1523</v>
      </c>
      <c r="C1460" s="37" t="s">
        <v>1524</v>
      </c>
      <c r="D1460" s="37" t="s">
        <v>123</v>
      </c>
      <c r="E1460" s="36" t="n">
        <v>2025</v>
      </c>
      <c r="F1460" s="37" t="s">
        <v>219</v>
      </c>
      <c r="G1460" s="37" t="s">
        <v>102</v>
      </c>
      <c r="H1460" s="36" t="s">
        <v>131</v>
      </c>
      <c r="I1460" s="36" t="s">
        <v>1542</v>
      </c>
      <c r="J1460" s="37" t="s">
        <v>1543</v>
      </c>
      <c r="K1460" s="38" t="n">
        <v>50</v>
      </c>
      <c r="L1460" s="38" t="n">
        <v>3450000</v>
      </c>
      <c r="M1460" s="38" t="n">
        <v>1291000</v>
      </c>
      <c r="N1460" s="39" t="n">
        <f aca="false">IF(A1460="제외",0,IF(OR(N(L1460)&lt;=0,N(M1460)&gt;N(L1460)),N(M1460)/요약!$D$27,N(L1460)))</f>
        <v>3450000</v>
      </c>
      <c r="O1460" s="32" t="str">
        <f aca="false">IF(A1460="제외","",IF(OR(N(L1460)&lt;=0,N(M1460)&gt;N(L1460)),"택가보정(판매금액÷공급율)",""))</f>
        <v/>
      </c>
      <c r="P1460" s="0" t="str">
        <f aca="false">IF(A1460="HK","100",IF(A1460="CN","200",IF(A1460="TW","300",IF(ISNUMBER(SEARCH("태국",C1460)),"500",IF(ISNUMBER(SEARCH("말레이",C1460)),"600",IF(ISNUMBER(SEARCH("필리핀",C1460)),"700",IF(ISNUMBER(SEARCH("인도네시아",C1460)),"800",IF(ISNUMBER(SEARCH("크루즈",C1460)),"810",IF(ISNUMBER(SEARCH("동물원",C1460)),"830","")))))))))</f>
        <v>830</v>
      </c>
    </row>
    <row r="1461" customFormat="false" ht="15" hidden="false" customHeight="false" outlineLevel="0" collapsed="false">
      <c r="A1461" s="32" t="str">
        <f aca="false">IF(OR(TRIM(C1461)="",SUBSTITUTE(C1461," ","")="소계"),"제외",IF(ISNUMBER(SEARCH("홍콩",C1461)),"HK",IF(ISNUMBER(SEARCH("상해",C1461)),"CN",IF(ISNUMBER(SEARCH("대만",C1461)),"TW","홀세일"))))</f>
        <v>홀세일</v>
      </c>
      <c r="B1461" s="36" t="s">
        <v>1523</v>
      </c>
      <c r="C1461" s="37" t="s">
        <v>1524</v>
      </c>
      <c r="D1461" s="37" t="s">
        <v>123</v>
      </c>
      <c r="E1461" s="36" t="n">
        <v>2025</v>
      </c>
      <c r="F1461" s="37" t="s">
        <v>219</v>
      </c>
      <c r="G1461" s="37" t="s">
        <v>102</v>
      </c>
      <c r="H1461" s="36" t="s">
        <v>131</v>
      </c>
      <c r="I1461" s="36" t="s">
        <v>1544</v>
      </c>
      <c r="J1461" s="37" t="s">
        <v>1545</v>
      </c>
      <c r="K1461" s="38" t="n">
        <v>50</v>
      </c>
      <c r="L1461" s="38" t="n">
        <v>3950000</v>
      </c>
      <c r="M1461" s="38" t="n">
        <v>1465650</v>
      </c>
      <c r="N1461" s="39" t="n">
        <f aca="false">IF(A1461="제외",0,IF(OR(N(L1461)&lt;=0,N(M1461)&gt;N(L1461)),N(M1461)/요약!$D$27,N(L1461)))</f>
        <v>3950000</v>
      </c>
      <c r="O1461" s="32" t="str">
        <f aca="false">IF(A1461="제외","",IF(OR(N(L1461)&lt;=0,N(M1461)&gt;N(L1461)),"택가보정(판매금액÷공급율)",""))</f>
        <v/>
      </c>
      <c r="P1461" s="0" t="str">
        <f aca="false">IF(A1461="HK","100",IF(A1461="CN","200",IF(A1461="TW","300",IF(ISNUMBER(SEARCH("태국",C1461)),"500",IF(ISNUMBER(SEARCH("말레이",C1461)),"600",IF(ISNUMBER(SEARCH("필리핀",C1461)),"700",IF(ISNUMBER(SEARCH("인도네시아",C1461)),"800",IF(ISNUMBER(SEARCH("크루즈",C1461)),"810",IF(ISNUMBER(SEARCH("동물원",C1461)),"830","")))))))))</f>
        <v>830</v>
      </c>
    </row>
    <row r="1462" customFormat="false" ht="15" hidden="false" customHeight="false" outlineLevel="0" collapsed="false">
      <c r="A1462" s="32" t="str">
        <f aca="false">IF(OR(TRIM(C1462)="",SUBSTITUTE(C1462," ","")="소계"),"제외",IF(ISNUMBER(SEARCH("홍콩",C1462)),"HK",IF(ISNUMBER(SEARCH("상해",C1462)),"CN",IF(ISNUMBER(SEARCH("대만",C1462)),"TW","홀세일"))))</f>
        <v>홀세일</v>
      </c>
      <c r="B1462" s="36" t="s">
        <v>1523</v>
      </c>
      <c r="C1462" s="37" t="s">
        <v>1524</v>
      </c>
      <c r="D1462" s="37" t="s">
        <v>123</v>
      </c>
      <c r="E1462" s="36" t="n">
        <v>2025</v>
      </c>
      <c r="F1462" s="37" t="s">
        <v>219</v>
      </c>
      <c r="G1462" s="37" t="s">
        <v>124</v>
      </c>
      <c r="H1462" s="36" t="s">
        <v>131</v>
      </c>
      <c r="I1462" s="36" t="s">
        <v>1546</v>
      </c>
      <c r="J1462" s="36" t="s">
        <v>1547</v>
      </c>
      <c r="K1462" s="38" t="n">
        <v>91</v>
      </c>
      <c r="L1462" s="38" t="n">
        <v>16289000</v>
      </c>
      <c r="M1462" s="38" t="n">
        <v>5598011</v>
      </c>
      <c r="N1462" s="39" t="n">
        <f aca="false">IF(A1462="제외",0,IF(OR(N(L1462)&lt;=0,N(M1462)&gt;N(L1462)),N(M1462)/요약!$D$27,N(L1462)))</f>
        <v>16289000</v>
      </c>
      <c r="O1462" s="32" t="str">
        <f aca="false">IF(A1462="제외","",IF(OR(N(L1462)&lt;=0,N(M1462)&gt;N(L1462)),"택가보정(판매금액÷공급율)",""))</f>
        <v/>
      </c>
      <c r="P1462" s="0" t="str">
        <f aca="false">IF(A1462="HK","100",IF(A1462="CN","200",IF(A1462="TW","300",IF(ISNUMBER(SEARCH("태국",C1462)),"500",IF(ISNUMBER(SEARCH("말레이",C1462)),"600",IF(ISNUMBER(SEARCH("필리핀",C1462)),"700",IF(ISNUMBER(SEARCH("인도네시아",C1462)),"800",IF(ISNUMBER(SEARCH("크루즈",C1462)),"810",IF(ISNUMBER(SEARCH("동물원",C1462)),"830","")))))))))</f>
        <v>830</v>
      </c>
    </row>
    <row r="1463" customFormat="false" ht="15" hidden="false" customHeight="false" outlineLevel="0" collapsed="false">
      <c r="A1463" s="32" t="str">
        <f aca="false">IF(OR(TRIM(C1463)="",SUBSTITUTE(C1463," ","")="소계"),"제외",IF(ISNUMBER(SEARCH("홍콩",C1463)),"HK",IF(ISNUMBER(SEARCH("상해",C1463)),"CN",IF(ISNUMBER(SEARCH("대만",C1463)),"TW","홀세일"))))</f>
        <v>홀세일</v>
      </c>
      <c r="B1463" s="36" t="s">
        <v>1523</v>
      </c>
      <c r="C1463" s="37" t="s">
        <v>1524</v>
      </c>
      <c r="D1463" s="37" t="s">
        <v>123</v>
      </c>
      <c r="E1463" s="36" t="n">
        <v>2025</v>
      </c>
      <c r="F1463" s="37" t="s">
        <v>219</v>
      </c>
      <c r="G1463" s="37" t="s">
        <v>124</v>
      </c>
      <c r="H1463" s="36" t="s">
        <v>131</v>
      </c>
      <c r="I1463" s="36" t="s">
        <v>1548</v>
      </c>
      <c r="J1463" s="37" t="s">
        <v>1549</v>
      </c>
      <c r="K1463" s="38" t="n">
        <v>30</v>
      </c>
      <c r="L1463" s="38" t="n">
        <v>3270000</v>
      </c>
      <c r="M1463" s="38" t="n">
        <v>1143660</v>
      </c>
      <c r="N1463" s="39" t="n">
        <f aca="false">IF(A1463="제외",0,IF(OR(N(L1463)&lt;=0,N(M1463)&gt;N(L1463)),N(M1463)/요약!$D$27,N(L1463)))</f>
        <v>3270000</v>
      </c>
      <c r="O1463" s="32" t="str">
        <f aca="false">IF(A1463="제외","",IF(OR(N(L1463)&lt;=0,N(M1463)&gt;N(L1463)),"택가보정(판매금액÷공급율)",""))</f>
        <v/>
      </c>
      <c r="P1463" s="0" t="str">
        <f aca="false">IF(A1463="HK","100",IF(A1463="CN","200",IF(A1463="TW","300",IF(ISNUMBER(SEARCH("태국",C1463)),"500",IF(ISNUMBER(SEARCH("말레이",C1463)),"600",IF(ISNUMBER(SEARCH("필리핀",C1463)),"700",IF(ISNUMBER(SEARCH("인도네시아",C1463)),"800",IF(ISNUMBER(SEARCH("크루즈",C1463)),"810",IF(ISNUMBER(SEARCH("동물원",C1463)),"830","")))))))))</f>
        <v>830</v>
      </c>
    </row>
    <row r="1464" customFormat="false" ht="15" hidden="false" customHeight="false" outlineLevel="0" collapsed="false">
      <c r="A1464" s="32" t="str">
        <f aca="false">IF(OR(TRIM(C1464)="",SUBSTITUTE(C1464," ","")="소계"),"제외",IF(ISNUMBER(SEARCH("홍콩",C1464)),"HK",IF(ISNUMBER(SEARCH("상해",C1464)),"CN",IF(ISNUMBER(SEARCH("대만",C1464)),"TW","홀세일"))))</f>
        <v>홀세일</v>
      </c>
      <c r="B1464" s="36" t="s">
        <v>1523</v>
      </c>
      <c r="C1464" s="37" t="s">
        <v>1524</v>
      </c>
      <c r="D1464" s="37" t="s">
        <v>123</v>
      </c>
      <c r="E1464" s="36" t="n">
        <v>2025</v>
      </c>
      <c r="F1464" s="37" t="s">
        <v>219</v>
      </c>
      <c r="G1464" s="37" t="s">
        <v>124</v>
      </c>
      <c r="H1464" s="36" t="s">
        <v>131</v>
      </c>
      <c r="I1464" s="36" t="s">
        <v>1550</v>
      </c>
      <c r="J1464" s="36" t="s">
        <v>1551</v>
      </c>
      <c r="K1464" s="38" t="n">
        <v>18</v>
      </c>
      <c r="L1464" s="38" t="n">
        <v>1422000</v>
      </c>
      <c r="M1464" s="38" t="n">
        <v>500292</v>
      </c>
      <c r="N1464" s="39" t="n">
        <f aca="false">IF(A1464="제외",0,IF(OR(N(L1464)&lt;=0,N(M1464)&gt;N(L1464)),N(M1464)/요약!$D$27,N(L1464)))</f>
        <v>1422000</v>
      </c>
      <c r="O1464" s="32" t="str">
        <f aca="false">IF(A1464="제외","",IF(OR(N(L1464)&lt;=0,N(M1464)&gt;N(L1464)),"택가보정(판매금액÷공급율)",""))</f>
        <v/>
      </c>
      <c r="P1464" s="0" t="str">
        <f aca="false">IF(A1464="HK","100",IF(A1464="CN","200",IF(A1464="TW","300",IF(ISNUMBER(SEARCH("태국",C1464)),"500",IF(ISNUMBER(SEARCH("말레이",C1464)),"600",IF(ISNUMBER(SEARCH("필리핀",C1464)),"700",IF(ISNUMBER(SEARCH("인도네시아",C1464)),"800",IF(ISNUMBER(SEARCH("크루즈",C1464)),"810",IF(ISNUMBER(SEARCH("동물원",C1464)),"830","")))))))))</f>
        <v>830</v>
      </c>
    </row>
    <row r="1465" customFormat="false" ht="15" hidden="false" customHeight="false" outlineLevel="0" collapsed="false">
      <c r="A1465" s="32" t="str">
        <f aca="false">IF(OR(TRIM(C1465)="",SUBSTITUTE(C1465," ","")="소계"),"제외",IF(ISNUMBER(SEARCH("홍콩",C1465)),"HK",IF(ISNUMBER(SEARCH("상해",C1465)),"CN",IF(ISNUMBER(SEARCH("대만",C1465)),"TW","홀세일"))))</f>
        <v>홀세일</v>
      </c>
      <c r="B1465" s="36" t="s">
        <v>1523</v>
      </c>
      <c r="C1465" s="37" t="s">
        <v>1524</v>
      </c>
      <c r="D1465" s="37" t="s">
        <v>123</v>
      </c>
      <c r="E1465" s="36" t="n">
        <v>2025</v>
      </c>
      <c r="F1465" s="37" t="s">
        <v>219</v>
      </c>
      <c r="G1465" s="37" t="s">
        <v>124</v>
      </c>
      <c r="H1465" s="36" t="s">
        <v>131</v>
      </c>
      <c r="I1465" s="36" t="s">
        <v>1552</v>
      </c>
      <c r="J1465" s="36" t="s">
        <v>1553</v>
      </c>
      <c r="K1465" s="38" t="n">
        <v>71</v>
      </c>
      <c r="L1465" s="38" t="n">
        <v>5609000</v>
      </c>
      <c r="M1465" s="38" t="n">
        <v>1952766</v>
      </c>
      <c r="N1465" s="39" t="n">
        <f aca="false">IF(A1465="제외",0,IF(OR(N(L1465)&lt;=0,N(M1465)&gt;N(L1465)),N(M1465)/요약!$D$27,N(L1465)))</f>
        <v>5609000</v>
      </c>
      <c r="O1465" s="32" t="str">
        <f aca="false">IF(A1465="제외","",IF(OR(N(L1465)&lt;=0,N(M1465)&gt;N(L1465)),"택가보정(판매금액÷공급율)",""))</f>
        <v/>
      </c>
      <c r="P1465" s="0" t="str">
        <f aca="false">IF(A1465="HK","100",IF(A1465="CN","200",IF(A1465="TW","300",IF(ISNUMBER(SEARCH("태국",C1465)),"500",IF(ISNUMBER(SEARCH("말레이",C1465)),"600",IF(ISNUMBER(SEARCH("필리핀",C1465)),"700",IF(ISNUMBER(SEARCH("인도네시아",C1465)),"800",IF(ISNUMBER(SEARCH("크루즈",C1465)),"810",IF(ISNUMBER(SEARCH("동물원",C1465)),"830","")))))))))</f>
        <v>830</v>
      </c>
    </row>
    <row r="1466" customFormat="false" ht="15" hidden="false" customHeight="false" outlineLevel="0" collapsed="false">
      <c r="A1466" s="32" t="str">
        <f aca="false">IF(OR(TRIM(C1466)="",SUBSTITUTE(C1466," ","")="소계"),"제외",IF(ISNUMBER(SEARCH("홍콩",C1466)),"HK",IF(ISNUMBER(SEARCH("상해",C1466)),"CN",IF(ISNUMBER(SEARCH("대만",C1466)),"TW","홀세일"))))</f>
        <v>홀세일</v>
      </c>
      <c r="B1466" s="36" t="s">
        <v>1523</v>
      </c>
      <c r="C1466" s="37" t="s">
        <v>1524</v>
      </c>
      <c r="D1466" s="37" t="s">
        <v>123</v>
      </c>
      <c r="E1466" s="36" t="n">
        <v>2025</v>
      </c>
      <c r="F1466" s="37" t="s">
        <v>219</v>
      </c>
      <c r="G1466" s="37" t="s">
        <v>124</v>
      </c>
      <c r="H1466" s="36" t="s">
        <v>131</v>
      </c>
      <c r="I1466" s="36" t="s">
        <v>1554</v>
      </c>
      <c r="J1466" s="36" t="s">
        <v>1555</v>
      </c>
      <c r="K1466" s="38" t="n">
        <v>30</v>
      </c>
      <c r="L1466" s="38" t="n">
        <v>3870000</v>
      </c>
      <c r="M1466" s="38" t="n">
        <v>1312320</v>
      </c>
      <c r="N1466" s="39" t="n">
        <f aca="false">IF(A1466="제외",0,IF(OR(N(L1466)&lt;=0,N(M1466)&gt;N(L1466)),N(M1466)/요약!$D$27,N(L1466)))</f>
        <v>3870000</v>
      </c>
      <c r="O1466" s="32" t="str">
        <f aca="false">IF(A1466="제외","",IF(OR(N(L1466)&lt;=0,N(M1466)&gt;N(L1466)),"택가보정(판매금액÷공급율)",""))</f>
        <v/>
      </c>
      <c r="P1466" s="0" t="str">
        <f aca="false">IF(A1466="HK","100",IF(A1466="CN","200",IF(A1466="TW","300",IF(ISNUMBER(SEARCH("태국",C1466)),"500",IF(ISNUMBER(SEARCH("말레이",C1466)),"600",IF(ISNUMBER(SEARCH("필리핀",C1466)),"700",IF(ISNUMBER(SEARCH("인도네시아",C1466)),"800",IF(ISNUMBER(SEARCH("크루즈",C1466)),"810",IF(ISNUMBER(SEARCH("동물원",C1466)),"830","")))))))))</f>
        <v>830</v>
      </c>
    </row>
    <row r="1467" customFormat="false" ht="15" hidden="false" customHeight="false" outlineLevel="0" collapsed="false">
      <c r="A1467" s="32" t="str">
        <f aca="false">IF(OR(TRIM(C1467)="",SUBSTITUTE(C1467," ","")="소계"),"제외",IF(ISNUMBER(SEARCH("홍콩",C1467)),"HK",IF(ISNUMBER(SEARCH("상해",C1467)),"CN",IF(ISNUMBER(SEARCH("대만",C1467)),"TW","홀세일"))))</f>
        <v>홀세일</v>
      </c>
      <c r="B1467" s="36" t="s">
        <v>1523</v>
      </c>
      <c r="C1467" s="37" t="s">
        <v>1524</v>
      </c>
      <c r="D1467" s="37" t="s">
        <v>123</v>
      </c>
      <c r="E1467" s="36" t="n">
        <v>2025</v>
      </c>
      <c r="F1467" s="37" t="s">
        <v>219</v>
      </c>
      <c r="G1467" s="37" t="s">
        <v>124</v>
      </c>
      <c r="H1467" s="36" t="s">
        <v>131</v>
      </c>
      <c r="I1467" s="36" t="s">
        <v>1556</v>
      </c>
      <c r="J1467" s="37" t="s">
        <v>1557</v>
      </c>
      <c r="K1467" s="38" t="n">
        <v>120</v>
      </c>
      <c r="L1467" s="38" t="n">
        <v>10680000</v>
      </c>
      <c r="M1467" s="38" t="n">
        <v>3754440</v>
      </c>
      <c r="N1467" s="39" t="n">
        <f aca="false">IF(A1467="제외",0,IF(OR(N(L1467)&lt;=0,N(M1467)&gt;N(L1467)),N(M1467)/요약!$D$27,N(L1467)))</f>
        <v>10680000</v>
      </c>
      <c r="O1467" s="32" t="str">
        <f aca="false">IF(A1467="제외","",IF(OR(N(L1467)&lt;=0,N(M1467)&gt;N(L1467)),"택가보정(판매금액÷공급율)",""))</f>
        <v/>
      </c>
      <c r="P1467" s="0" t="str">
        <f aca="false">IF(A1467="HK","100",IF(A1467="CN","200",IF(A1467="TW","300",IF(ISNUMBER(SEARCH("태국",C1467)),"500",IF(ISNUMBER(SEARCH("말레이",C1467)),"600",IF(ISNUMBER(SEARCH("필리핀",C1467)),"700",IF(ISNUMBER(SEARCH("인도네시아",C1467)),"800",IF(ISNUMBER(SEARCH("크루즈",C1467)),"810",IF(ISNUMBER(SEARCH("동물원",C1467)),"830","")))))))))</f>
        <v>830</v>
      </c>
    </row>
    <row r="1468" customFormat="false" ht="15" hidden="false" customHeight="false" outlineLevel="0" collapsed="false">
      <c r="A1468" s="32" t="str">
        <f aca="false">IF(OR(TRIM(C1468)="",SUBSTITUTE(C1468," ","")="소계"),"제외",IF(ISNUMBER(SEARCH("홍콩",C1468)),"HK",IF(ISNUMBER(SEARCH("상해",C1468)),"CN",IF(ISNUMBER(SEARCH("대만",C1468)),"TW","홀세일"))))</f>
        <v>홀세일</v>
      </c>
      <c r="B1468" s="36" t="s">
        <v>1523</v>
      </c>
      <c r="C1468" s="37" t="s">
        <v>1524</v>
      </c>
      <c r="D1468" s="37" t="s">
        <v>123</v>
      </c>
      <c r="E1468" s="36" t="n">
        <v>2025</v>
      </c>
      <c r="F1468" s="37" t="s">
        <v>219</v>
      </c>
      <c r="G1468" s="37" t="s">
        <v>124</v>
      </c>
      <c r="H1468" s="36" t="s">
        <v>125</v>
      </c>
      <c r="I1468" s="36" t="s">
        <v>1558</v>
      </c>
      <c r="J1468" s="37" t="s">
        <v>1559</v>
      </c>
      <c r="K1468" s="38" t="n">
        <v>20</v>
      </c>
      <c r="L1468" s="38" t="n">
        <v>3580000</v>
      </c>
      <c r="M1468" s="38" t="n">
        <v>1327440</v>
      </c>
      <c r="N1468" s="39" t="n">
        <f aca="false">IF(A1468="제외",0,IF(OR(N(L1468)&lt;=0,N(M1468)&gt;N(L1468)),N(M1468)/요약!$D$27,N(L1468)))</f>
        <v>3580000</v>
      </c>
      <c r="O1468" s="32" t="str">
        <f aca="false">IF(A1468="제외","",IF(OR(N(L1468)&lt;=0,N(M1468)&gt;N(L1468)),"택가보정(판매금액÷공급율)",""))</f>
        <v/>
      </c>
      <c r="P1468" s="0" t="str">
        <f aca="false">IF(A1468="HK","100",IF(A1468="CN","200",IF(A1468="TW","300",IF(ISNUMBER(SEARCH("태국",C1468)),"500",IF(ISNUMBER(SEARCH("말레이",C1468)),"600",IF(ISNUMBER(SEARCH("필리핀",C1468)),"700",IF(ISNUMBER(SEARCH("인도네시아",C1468)),"800",IF(ISNUMBER(SEARCH("크루즈",C1468)),"810",IF(ISNUMBER(SEARCH("동물원",C1468)),"830","")))))))))</f>
        <v>830</v>
      </c>
    </row>
    <row r="1469" customFormat="false" ht="15" hidden="false" customHeight="false" outlineLevel="0" collapsed="false">
      <c r="A1469" s="32" t="str">
        <f aca="false">IF(OR(TRIM(C1469)="",SUBSTITUTE(C1469," ","")="소계"),"제외",IF(ISNUMBER(SEARCH("홍콩",C1469)),"HK",IF(ISNUMBER(SEARCH("상해",C1469)),"CN",IF(ISNUMBER(SEARCH("대만",C1469)),"TW","홀세일"))))</f>
        <v>홀세일</v>
      </c>
      <c r="B1469" s="36" t="s">
        <v>1523</v>
      </c>
      <c r="C1469" s="37" t="s">
        <v>1524</v>
      </c>
      <c r="D1469" s="37" t="s">
        <v>123</v>
      </c>
      <c r="E1469" s="36" t="n">
        <v>2025</v>
      </c>
      <c r="F1469" s="37" t="s">
        <v>219</v>
      </c>
      <c r="G1469" s="37" t="s">
        <v>124</v>
      </c>
      <c r="H1469" s="36" t="s">
        <v>131</v>
      </c>
      <c r="I1469" s="36" t="s">
        <v>1560</v>
      </c>
      <c r="J1469" s="37" t="s">
        <v>1561</v>
      </c>
      <c r="K1469" s="38" t="n">
        <v>17</v>
      </c>
      <c r="L1469" s="38" t="n">
        <v>2363000</v>
      </c>
      <c r="M1469" s="38" t="n">
        <v>877863</v>
      </c>
      <c r="N1469" s="39" t="n">
        <f aca="false">IF(A1469="제외",0,IF(OR(N(L1469)&lt;=0,N(M1469)&gt;N(L1469)),N(M1469)/요약!$D$27,N(L1469)))</f>
        <v>2363000</v>
      </c>
      <c r="O1469" s="32" t="str">
        <f aca="false">IF(A1469="제외","",IF(OR(N(L1469)&lt;=0,N(M1469)&gt;N(L1469)),"택가보정(판매금액÷공급율)",""))</f>
        <v/>
      </c>
      <c r="P1469" s="0" t="str">
        <f aca="false">IF(A1469="HK","100",IF(A1469="CN","200",IF(A1469="TW","300",IF(ISNUMBER(SEARCH("태국",C1469)),"500",IF(ISNUMBER(SEARCH("말레이",C1469)),"600",IF(ISNUMBER(SEARCH("필리핀",C1469)),"700",IF(ISNUMBER(SEARCH("인도네시아",C1469)),"800",IF(ISNUMBER(SEARCH("크루즈",C1469)),"810",IF(ISNUMBER(SEARCH("동물원",C1469)),"830","")))))))))</f>
        <v>830</v>
      </c>
    </row>
    <row r="1470" customFormat="false" ht="15" hidden="false" customHeight="false" outlineLevel="0" collapsed="false">
      <c r="A1470" s="32" t="str">
        <f aca="false">IF(OR(TRIM(C1470)="",SUBSTITUTE(C1470," ","")="소계"),"제외",IF(ISNUMBER(SEARCH("홍콩",C1470)),"HK",IF(ISNUMBER(SEARCH("상해",C1470)),"CN",IF(ISNUMBER(SEARCH("대만",C1470)),"TW","홀세일"))))</f>
        <v>홀세일</v>
      </c>
      <c r="B1470" s="36" t="s">
        <v>1523</v>
      </c>
      <c r="C1470" s="37" t="s">
        <v>1524</v>
      </c>
      <c r="D1470" s="37" t="s">
        <v>123</v>
      </c>
      <c r="E1470" s="36" t="n">
        <v>2025</v>
      </c>
      <c r="F1470" s="37" t="s">
        <v>219</v>
      </c>
      <c r="G1470" s="37" t="s">
        <v>124</v>
      </c>
      <c r="H1470" s="36" t="s">
        <v>131</v>
      </c>
      <c r="I1470" s="36" t="s">
        <v>1562</v>
      </c>
      <c r="J1470" s="36" t="s">
        <v>1563</v>
      </c>
      <c r="K1470" s="38" t="n">
        <v>108</v>
      </c>
      <c r="L1470" s="38" t="n">
        <v>18252000</v>
      </c>
      <c r="M1470" s="38" t="n">
        <v>6340044</v>
      </c>
      <c r="N1470" s="39" t="n">
        <f aca="false">IF(A1470="제외",0,IF(OR(N(L1470)&lt;=0,N(M1470)&gt;N(L1470)),N(M1470)/요약!$D$27,N(L1470)))</f>
        <v>18252000</v>
      </c>
      <c r="O1470" s="32" t="str">
        <f aca="false">IF(A1470="제외","",IF(OR(N(L1470)&lt;=0,N(M1470)&gt;N(L1470)),"택가보정(판매금액÷공급율)",""))</f>
        <v/>
      </c>
      <c r="P1470" s="0" t="str">
        <f aca="false">IF(A1470="HK","100",IF(A1470="CN","200",IF(A1470="TW","300",IF(ISNUMBER(SEARCH("태국",C1470)),"500",IF(ISNUMBER(SEARCH("말레이",C1470)),"600",IF(ISNUMBER(SEARCH("필리핀",C1470)),"700",IF(ISNUMBER(SEARCH("인도네시아",C1470)),"800",IF(ISNUMBER(SEARCH("크루즈",C1470)),"810",IF(ISNUMBER(SEARCH("동물원",C1470)),"830","")))))))))</f>
        <v>830</v>
      </c>
    </row>
    <row r="1471" customFormat="false" ht="15" hidden="false" customHeight="false" outlineLevel="0" collapsed="false">
      <c r="A1471" s="32" t="str">
        <f aca="false">IF(OR(TRIM(C1471)="",SUBSTITUTE(C1471," ","")="소계"),"제외",IF(ISNUMBER(SEARCH("홍콩",C1471)),"HK",IF(ISNUMBER(SEARCH("상해",C1471)),"CN",IF(ISNUMBER(SEARCH("대만",C1471)),"TW","홀세일"))))</f>
        <v>홀세일</v>
      </c>
      <c r="B1471" s="36" t="s">
        <v>1523</v>
      </c>
      <c r="C1471" s="37" t="s">
        <v>1524</v>
      </c>
      <c r="D1471" s="37" t="s">
        <v>123</v>
      </c>
      <c r="E1471" s="36" t="n">
        <v>2025</v>
      </c>
      <c r="F1471" s="37" t="s">
        <v>219</v>
      </c>
      <c r="G1471" s="37" t="s">
        <v>124</v>
      </c>
      <c r="H1471" s="36" t="s">
        <v>131</v>
      </c>
      <c r="I1471" s="36" t="s">
        <v>1564</v>
      </c>
      <c r="J1471" s="37" t="s">
        <v>1565</v>
      </c>
      <c r="K1471" s="38" t="n">
        <v>56</v>
      </c>
      <c r="L1471" s="38" t="n">
        <v>3304000</v>
      </c>
      <c r="M1471" s="38" t="n">
        <v>1156736</v>
      </c>
      <c r="N1471" s="39" t="n">
        <f aca="false">IF(A1471="제외",0,IF(OR(N(L1471)&lt;=0,N(M1471)&gt;N(L1471)),N(M1471)/요약!$D$27,N(L1471)))</f>
        <v>3304000</v>
      </c>
      <c r="O1471" s="32" t="str">
        <f aca="false">IF(A1471="제외","",IF(OR(N(L1471)&lt;=0,N(M1471)&gt;N(L1471)),"택가보정(판매금액÷공급율)",""))</f>
        <v/>
      </c>
      <c r="P1471" s="0" t="str">
        <f aca="false">IF(A1471="HK","100",IF(A1471="CN","200",IF(A1471="TW","300",IF(ISNUMBER(SEARCH("태국",C1471)),"500",IF(ISNUMBER(SEARCH("말레이",C1471)),"600",IF(ISNUMBER(SEARCH("필리핀",C1471)),"700",IF(ISNUMBER(SEARCH("인도네시아",C1471)),"800",IF(ISNUMBER(SEARCH("크루즈",C1471)),"810",IF(ISNUMBER(SEARCH("동물원",C1471)),"830","")))))))))</f>
        <v>830</v>
      </c>
    </row>
    <row r="1472" customFormat="false" ht="15" hidden="false" customHeight="false" outlineLevel="0" collapsed="false">
      <c r="A1472" s="32" t="str">
        <f aca="false">IF(OR(TRIM(C1472)="",SUBSTITUTE(C1472," ","")="소계"),"제외",IF(ISNUMBER(SEARCH("홍콩",C1472)),"HK",IF(ISNUMBER(SEARCH("상해",C1472)),"CN",IF(ISNUMBER(SEARCH("대만",C1472)),"TW","홀세일"))))</f>
        <v>홀세일</v>
      </c>
      <c r="B1472" s="36" t="s">
        <v>1523</v>
      </c>
      <c r="C1472" s="37" t="s">
        <v>1524</v>
      </c>
      <c r="D1472" s="37" t="s">
        <v>123</v>
      </c>
      <c r="E1472" s="36" t="n">
        <v>2025</v>
      </c>
      <c r="F1472" s="37" t="s">
        <v>219</v>
      </c>
      <c r="G1472" s="37" t="s">
        <v>124</v>
      </c>
      <c r="H1472" s="36" t="s">
        <v>131</v>
      </c>
      <c r="I1472" s="36" t="s">
        <v>1566</v>
      </c>
      <c r="J1472" s="37" t="s">
        <v>1567</v>
      </c>
      <c r="K1472" s="38" t="n">
        <v>94</v>
      </c>
      <c r="L1472" s="38" t="n">
        <v>8366000</v>
      </c>
      <c r="M1472" s="38" t="n">
        <v>2940978</v>
      </c>
      <c r="N1472" s="39" t="n">
        <f aca="false">IF(A1472="제외",0,IF(OR(N(L1472)&lt;=0,N(M1472)&gt;N(L1472)),N(M1472)/요약!$D$27,N(L1472)))</f>
        <v>8366000</v>
      </c>
      <c r="O1472" s="32" t="str">
        <f aca="false">IF(A1472="제외","",IF(OR(N(L1472)&lt;=0,N(M1472)&gt;N(L1472)),"택가보정(판매금액÷공급율)",""))</f>
        <v/>
      </c>
      <c r="P1472" s="0" t="str">
        <f aca="false">IF(A1472="HK","100",IF(A1472="CN","200",IF(A1472="TW","300",IF(ISNUMBER(SEARCH("태국",C1472)),"500",IF(ISNUMBER(SEARCH("말레이",C1472)),"600",IF(ISNUMBER(SEARCH("필리핀",C1472)),"700",IF(ISNUMBER(SEARCH("인도네시아",C1472)),"800",IF(ISNUMBER(SEARCH("크루즈",C1472)),"810",IF(ISNUMBER(SEARCH("동물원",C1472)),"830","")))))))))</f>
        <v>830</v>
      </c>
    </row>
    <row r="1473" customFormat="false" ht="15" hidden="false" customHeight="false" outlineLevel="0" collapsed="false">
      <c r="A1473" s="32" t="str">
        <f aca="false">IF(OR(TRIM(C1473)="",SUBSTITUTE(C1473," ","")="소계"),"제외",IF(ISNUMBER(SEARCH("홍콩",C1473)),"HK",IF(ISNUMBER(SEARCH("상해",C1473)),"CN",IF(ISNUMBER(SEARCH("대만",C1473)),"TW","홀세일"))))</f>
        <v>홀세일</v>
      </c>
      <c r="B1473" s="36" t="s">
        <v>1523</v>
      </c>
      <c r="C1473" s="37" t="s">
        <v>1524</v>
      </c>
      <c r="D1473" s="37" t="s">
        <v>123</v>
      </c>
      <c r="E1473" s="36" t="n">
        <v>2025</v>
      </c>
      <c r="F1473" s="37" t="s">
        <v>219</v>
      </c>
      <c r="G1473" s="37" t="s">
        <v>124</v>
      </c>
      <c r="H1473" s="36" t="s">
        <v>131</v>
      </c>
      <c r="I1473" s="36" t="s">
        <v>1568</v>
      </c>
      <c r="J1473" s="37" t="s">
        <v>1569</v>
      </c>
      <c r="K1473" s="38" t="n">
        <v>198</v>
      </c>
      <c r="L1473" s="38" t="n">
        <v>17622000</v>
      </c>
      <c r="M1473" s="38" t="n">
        <v>6194826</v>
      </c>
      <c r="N1473" s="39" t="n">
        <f aca="false">IF(A1473="제외",0,IF(OR(N(L1473)&lt;=0,N(M1473)&gt;N(L1473)),N(M1473)/요약!$D$27,N(L1473)))</f>
        <v>17622000</v>
      </c>
      <c r="O1473" s="32" t="str">
        <f aca="false">IF(A1473="제외","",IF(OR(N(L1473)&lt;=0,N(M1473)&gt;N(L1473)),"택가보정(판매금액÷공급율)",""))</f>
        <v/>
      </c>
      <c r="P1473" s="0" t="str">
        <f aca="false">IF(A1473="HK","100",IF(A1473="CN","200",IF(A1473="TW","300",IF(ISNUMBER(SEARCH("태국",C1473)),"500",IF(ISNUMBER(SEARCH("말레이",C1473)),"600",IF(ISNUMBER(SEARCH("필리핀",C1473)),"700",IF(ISNUMBER(SEARCH("인도네시아",C1473)),"800",IF(ISNUMBER(SEARCH("크루즈",C1473)),"810",IF(ISNUMBER(SEARCH("동물원",C1473)),"830","")))))))))</f>
        <v>830</v>
      </c>
    </row>
    <row r="1474" customFormat="false" ht="15" hidden="false" customHeight="false" outlineLevel="0" collapsed="false">
      <c r="A1474" s="32" t="str">
        <f aca="false">IF(OR(TRIM(C1474)="",SUBSTITUTE(C1474," ","")="소계"),"제외",IF(ISNUMBER(SEARCH("홍콩",C1474)),"HK",IF(ISNUMBER(SEARCH("상해",C1474)),"CN",IF(ISNUMBER(SEARCH("대만",C1474)),"TW","홀세일"))))</f>
        <v>홀세일</v>
      </c>
      <c r="B1474" s="36" t="s">
        <v>1523</v>
      </c>
      <c r="C1474" s="37" t="s">
        <v>1524</v>
      </c>
      <c r="D1474" s="37" t="s">
        <v>123</v>
      </c>
      <c r="E1474" s="36" t="n">
        <v>2025</v>
      </c>
      <c r="F1474" s="37" t="s">
        <v>219</v>
      </c>
      <c r="G1474" s="37" t="s">
        <v>360</v>
      </c>
      <c r="H1474" s="37" t="s">
        <v>128</v>
      </c>
      <c r="I1474" s="36" t="s">
        <v>1570</v>
      </c>
      <c r="J1474" s="36" t="s">
        <v>1571</v>
      </c>
      <c r="K1474" s="38" t="n">
        <v>37</v>
      </c>
      <c r="L1474" s="38" t="n">
        <v>4403000</v>
      </c>
      <c r="M1474" s="38" t="n">
        <v>1775778</v>
      </c>
      <c r="N1474" s="39" t="n">
        <f aca="false">IF(A1474="제외",0,IF(OR(N(L1474)&lt;=0,N(M1474)&gt;N(L1474)),N(M1474)/요약!$D$27,N(L1474)))</f>
        <v>4403000</v>
      </c>
      <c r="O1474" s="32" t="str">
        <f aca="false">IF(A1474="제외","",IF(OR(N(L1474)&lt;=0,N(M1474)&gt;N(L1474)),"택가보정(판매금액÷공급율)",""))</f>
        <v/>
      </c>
      <c r="P1474" s="0" t="str">
        <f aca="false">IF(A1474="HK","100",IF(A1474="CN","200",IF(A1474="TW","300",IF(ISNUMBER(SEARCH("태국",C1474)),"500",IF(ISNUMBER(SEARCH("말레이",C1474)),"600",IF(ISNUMBER(SEARCH("필리핀",C1474)),"700",IF(ISNUMBER(SEARCH("인도네시아",C1474)),"800",IF(ISNUMBER(SEARCH("크루즈",C1474)),"810",IF(ISNUMBER(SEARCH("동물원",C1474)),"830","")))))))))</f>
        <v>830</v>
      </c>
    </row>
    <row r="1475" customFormat="false" ht="15" hidden="false" customHeight="false" outlineLevel="0" collapsed="false">
      <c r="A1475" s="32" t="str">
        <f aca="false">IF(OR(TRIM(C1475)="",SUBSTITUTE(C1475," ","")="소계"),"제외",IF(ISNUMBER(SEARCH("홍콩",C1475)),"HK",IF(ISNUMBER(SEARCH("상해",C1475)),"CN",IF(ISNUMBER(SEARCH("대만",C1475)),"TW","홀세일"))))</f>
        <v>홀세일</v>
      </c>
      <c r="B1475" s="36" t="s">
        <v>1523</v>
      </c>
      <c r="C1475" s="37" t="s">
        <v>1524</v>
      </c>
      <c r="D1475" s="37" t="s">
        <v>123</v>
      </c>
      <c r="E1475" s="36" t="n">
        <v>2025</v>
      </c>
      <c r="F1475" s="37" t="s">
        <v>219</v>
      </c>
      <c r="G1475" s="37" t="s">
        <v>360</v>
      </c>
      <c r="H1475" s="37" t="s">
        <v>128</v>
      </c>
      <c r="I1475" s="36" t="s">
        <v>1572</v>
      </c>
      <c r="J1475" s="36" t="s">
        <v>1573</v>
      </c>
      <c r="K1475" s="38" t="n">
        <v>43</v>
      </c>
      <c r="L1475" s="38" t="n">
        <v>4687000</v>
      </c>
      <c r="M1475" s="38" t="n">
        <v>1887399</v>
      </c>
      <c r="N1475" s="39" t="n">
        <f aca="false">IF(A1475="제외",0,IF(OR(N(L1475)&lt;=0,N(M1475)&gt;N(L1475)),N(M1475)/요약!$D$27,N(L1475)))</f>
        <v>4687000</v>
      </c>
      <c r="O1475" s="32" t="str">
        <f aca="false">IF(A1475="제외","",IF(OR(N(L1475)&lt;=0,N(M1475)&gt;N(L1475)),"택가보정(판매금액÷공급율)",""))</f>
        <v/>
      </c>
      <c r="P1475" s="0" t="str">
        <f aca="false">IF(A1475="HK","100",IF(A1475="CN","200",IF(A1475="TW","300",IF(ISNUMBER(SEARCH("태국",C1475)),"500",IF(ISNUMBER(SEARCH("말레이",C1475)),"600",IF(ISNUMBER(SEARCH("필리핀",C1475)),"700",IF(ISNUMBER(SEARCH("인도네시아",C1475)),"800",IF(ISNUMBER(SEARCH("크루즈",C1475)),"810",IF(ISNUMBER(SEARCH("동물원",C1475)),"830","")))))))))</f>
        <v>830</v>
      </c>
    </row>
    <row r="1476" customFormat="false" ht="15" hidden="false" customHeight="false" outlineLevel="0" collapsed="false">
      <c r="A1476" s="32" t="str">
        <f aca="false">IF(OR(TRIM(C1476)="",SUBSTITUTE(C1476," ","")="소계"),"제외",IF(ISNUMBER(SEARCH("홍콩",C1476)),"HK",IF(ISNUMBER(SEARCH("상해",C1476)),"CN",IF(ISNUMBER(SEARCH("대만",C1476)),"TW","홀세일"))))</f>
        <v>홀세일</v>
      </c>
      <c r="B1476" s="36" t="s">
        <v>1523</v>
      </c>
      <c r="C1476" s="37" t="s">
        <v>1524</v>
      </c>
      <c r="D1476" s="37" t="s">
        <v>123</v>
      </c>
      <c r="E1476" s="36" t="n">
        <v>2025</v>
      </c>
      <c r="F1476" s="37" t="s">
        <v>219</v>
      </c>
      <c r="G1476" s="37" t="s">
        <v>124</v>
      </c>
      <c r="H1476" s="36" t="s">
        <v>188</v>
      </c>
      <c r="I1476" s="36" t="s">
        <v>1574</v>
      </c>
      <c r="J1476" s="36" t="s">
        <v>1575</v>
      </c>
      <c r="K1476" s="38" t="n">
        <v>23</v>
      </c>
      <c r="L1476" s="38" t="n">
        <v>2047000</v>
      </c>
      <c r="M1476" s="38" t="n">
        <v>719601</v>
      </c>
      <c r="N1476" s="39" t="n">
        <f aca="false">IF(A1476="제외",0,IF(OR(N(L1476)&lt;=0,N(M1476)&gt;N(L1476)),N(M1476)/요약!$D$27,N(L1476)))</f>
        <v>2047000</v>
      </c>
      <c r="O1476" s="32" t="str">
        <f aca="false">IF(A1476="제외","",IF(OR(N(L1476)&lt;=0,N(M1476)&gt;N(L1476)),"택가보정(판매금액÷공급율)",""))</f>
        <v/>
      </c>
      <c r="P1476" s="0" t="str">
        <f aca="false">IF(A1476="HK","100",IF(A1476="CN","200",IF(A1476="TW","300",IF(ISNUMBER(SEARCH("태국",C1476)),"500",IF(ISNUMBER(SEARCH("말레이",C1476)),"600",IF(ISNUMBER(SEARCH("필리핀",C1476)),"700",IF(ISNUMBER(SEARCH("인도네시아",C1476)),"800",IF(ISNUMBER(SEARCH("크루즈",C1476)),"810",IF(ISNUMBER(SEARCH("동물원",C1476)),"830","")))))))))</f>
        <v>830</v>
      </c>
    </row>
    <row r="1477" customFormat="false" ht="15" hidden="false" customHeight="false" outlineLevel="0" collapsed="false">
      <c r="A1477" s="32" t="str">
        <f aca="false">IF(OR(TRIM(C1477)="",SUBSTITUTE(C1477," ","")="소계"),"제외",IF(ISNUMBER(SEARCH("홍콩",C1477)),"HK",IF(ISNUMBER(SEARCH("상해",C1477)),"CN",IF(ISNUMBER(SEARCH("대만",C1477)),"TW","홀세일"))))</f>
        <v>홀세일</v>
      </c>
      <c r="B1477" s="36" t="s">
        <v>1523</v>
      </c>
      <c r="C1477" s="37" t="s">
        <v>1524</v>
      </c>
      <c r="D1477" s="37" t="s">
        <v>123</v>
      </c>
      <c r="E1477" s="36" t="n">
        <v>2025</v>
      </c>
      <c r="F1477" s="37" t="s">
        <v>219</v>
      </c>
      <c r="G1477" s="37" t="s">
        <v>124</v>
      </c>
      <c r="H1477" s="36" t="s">
        <v>188</v>
      </c>
      <c r="I1477" s="36" t="s">
        <v>1576</v>
      </c>
      <c r="J1477" s="36" t="s">
        <v>1577</v>
      </c>
      <c r="K1477" s="38" t="n">
        <v>35</v>
      </c>
      <c r="L1477" s="38" t="n">
        <v>3815000</v>
      </c>
      <c r="M1477" s="38" t="n">
        <v>1334270</v>
      </c>
      <c r="N1477" s="39" t="n">
        <f aca="false">IF(A1477="제외",0,IF(OR(N(L1477)&lt;=0,N(M1477)&gt;N(L1477)),N(M1477)/요약!$D$27,N(L1477)))</f>
        <v>3815000</v>
      </c>
      <c r="O1477" s="32" t="str">
        <f aca="false">IF(A1477="제외","",IF(OR(N(L1477)&lt;=0,N(M1477)&gt;N(L1477)),"택가보정(판매금액÷공급율)",""))</f>
        <v/>
      </c>
      <c r="P1477" s="0" t="str">
        <f aca="false">IF(A1477="HK","100",IF(A1477="CN","200",IF(A1477="TW","300",IF(ISNUMBER(SEARCH("태국",C1477)),"500",IF(ISNUMBER(SEARCH("말레이",C1477)),"600",IF(ISNUMBER(SEARCH("필리핀",C1477)),"700",IF(ISNUMBER(SEARCH("인도네시아",C1477)),"800",IF(ISNUMBER(SEARCH("크루즈",C1477)),"810",IF(ISNUMBER(SEARCH("동물원",C1477)),"830","")))))))))</f>
        <v>830</v>
      </c>
    </row>
    <row r="1478" customFormat="false" ht="15" hidden="false" customHeight="false" outlineLevel="0" collapsed="false">
      <c r="A1478" s="32" t="str">
        <f aca="false">IF(OR(TRIM(C1478)="",SUBSTITUTE(C1478," ","")="소계"),"제외",IF(ISNUMBER(SEARCH("홍콩",C1478)),"HK",IF(ISNUMBER(SEARCH("상해",C1478)),"CN",IF(ISNUMBER(SEARCH("대만",C1478)),"TW","홀세일"))))</f>
        <v>홀세일</v>
      </c>
      <c r="B1478" s="36" t="s">
        <v>1523</v>
      </c>
      <c r="C1478" s="37" t="s">
        <v>1524</v>
      </c>
      <c r="D1478" s="37" t="s">
        <v>123</v>
      </c>
      <c r="E1478" s="36" t="n">
        <v>2025</v>
      </c>
      <c r="F1478" s="37" t="s">
        <v>219</v>
      </c>
      <c r="G1478" s="37" t="s">
        <v>124</v>
      </c>
      <c r="H1478" s="36" t="s">
        <v>188</v>
      </c>
      <c r="I1478" s="36" t="s">
        <v>1578</v>
      </c>
      <c r="J1478" s="36" t="s">
        <v>1579</v>
      </c>
      <c r="K1478" s="38" t="n">
        <v>36</v>
      </c>
      <c r="L1478" s="38" t="n">
        <v>3204000</v>
      </c>
      <c r="M1478" s="38" t="n">
        <v>1126332</v>
      </c>
      <c r="N1478" s="39" t="n">
        <f aca="false">IF(A1478="제외",0,IF(OR(N(L1478)&lt;=0,N(M1478)&gt;N(L1478)),N(M1478)/요약!$D$27,N(L1478)))</f>
        <v>3204000</v>
      </c>
      <c r="O1478" s="32" t="str">
        <f aca="false">IF(A1478="제외","",IF(OR(N(L1478)&lt;=0,N(M1478)&gt;N(L1478)),"택가보정(판매금액÷공급율)",""))</f>
        <v/>
      </c>
      <c r="P1478" s="0" t="str">
        <f aca="false">IF(A1478="HK","100",IF(A1478="CN","200",IF(A1478="TW","300",IF(ISNUMBER(SEARCH("태국",C1478)),"500",IF(ISNUMBER(SEARCH("말레이",C1478)),"600",IF(ISNUMBER(SEARCH("필리핀",C1478)),"700",IF(ISNUMBER(SEARCH("인도네시아",C1478)),"800",IF(ISNUMBER(SEARCH("크루즈",C1478)),"810",IF(ISNUMBER(SEARCH("동물원",C1478)),"830","")))))))))</f>
        <v>830</v>
      </c>
    </row>
    <row r="1479" customFormat="false" ht="15" hidden="false" customHeight="false" outlineLevel="0" collapsed="false">
      <c r="A1479" s="32" t="str">
        <f aca="false">IF(OR(TRIM(C1479)="",SUBSTITUTE(C1479," ","")="소계"),"제외",IF(ISNUMBER(SEARCH("홍콩",C1479)),"HK",IF(ISNUMBER(SEARCH("상해",C1479)),"CN",IF(ISNUMBER(SEARCH("대만",C1479)),"TW","홀세일"))))</f>
        <v>홀세일</v>
      </c>
      <c r="B1479" s="36" t="s">
        <v>1523</v>
      </c>
      <c r="C1479" s="37" t="s">
        <v>1524</v>
      </c>
      <c r="D1479" s="37" t="s">
        <v>123</v>
      </c>
      <c r="E1479" s="36" t="n">
        <v>2025</v>
      </c>
      <c r="F1479" s="37" t="s">
        <v>219</v>
      </c>
      <c r="G1479" s="37" t="s">
        <v>124</v>
      </c>
      <c r="H1479" s="36" t="s">
        <v>188</v>
      </c>
      <c r="I1479" s="36" t="s">
        <v>1580</v>
      </c>
      <c r="J1479" s="36" t="s">
        <v>1581</v>
      </c>
      <c r="K1479" s="38" t="n">
        <v>29</v>
      </c>
      <c r="L1479" s="38" t="n">
        <v>3161000</v>
      </c>
      <c r="M1479" s="38" t="n">
        <v>1105538</v>
      </c>
      <c r="N1479" s="39" t="n">
        <f aca="false">IF(A1479="제외",0,IF(OR(N(L1479)&lt;=0,N(M1479)&gt;N(L1479)),N(M1479)/요약!$D$27,N(L1479)))</f>
        <v>3161000</v>
      </c>
      <c r="O1479" s="32" t="str">
        <f aca="false">IF(A1479="제외","",IF(OR(N(L1479)&lt;=0,N(M1479)&gt;N(L1479)),"택가보정(판매금액÷공급율)",""))</f>
        <v/>
      </c>
      <c r="P1479" s="0" t="str">
        <f aca="false">IF(A1479="HK","100",IF(A1479="CN","200",IF(A1479="TW","300",IF(ISNUMBER(SEARCH("태국",C1479)),"500",IF(ISNUMBER(SEARCH("말레이",C1479)),"600",IF(ISNUMBER(SEARCH("필리핀",C1479)),"700",IF(ISNUMBER(SEARCH("인도네시아",C1479)),"800",IF(ISNUMBER(SEARCH("크루즈",C1479)),"810",IF(ISNUMBER(SEARCH("동물원",C1479)),"830","")))))))))</f>
        <v>830</v>
      </c>
    </row>
    <row r="1480" customFormat="false" ht="15" hidden="false" customHeight="false" outlineLevel="0" collapsed="false">
      <c r="A1480" s="32" t="str">
        <f aca="false">IF(OR(TRIM(C1480)="",SUBSTITUTE(C1480," ","")="소계"),"제외",IF(ISNUMBER(SEARCH("홍콩",C1480)),"HK",IF(ISNUMBER(SEARCH("상해",C1480)),"CN",IF(ISNUMBER(SEARCH("대만",C1480)),"TW","홀세일"))))</f>
        <v>홀세일</v>
      </c>
      <c r="B1480" s="36" t="s">
        <v>1523</v>
      </c>
      <c r="C1480" s="37" t="s">
        <v>1524</v>
      </c>
      <c r="D1480" s="37" t="s">
        <v>123</v>
      </c>
      <c r="E1480" s="36" t="n">
        <v>2025</v>
      </c>
      <c r="F1480" s="37" t="s">
        <v>219</v>
      </c>
      <c r="G1480" s="37" t="s">
        <v>124</v>
      </c>
      <c r="H1480" s="36" t="s">
        <v>188</v>
      </c>
      <c r="I1480" s="36" t="s">
        <v>1582</v>
      </c>
      <c r="J1480" s="36" t="s">
        <v>1583</v>
      </c>
      <c r="K1480" s="38" t="n">
        <v>48</v>
      </c>
      <c r="L1480" s="38" t="n">
        <v>3792000</v>
      </c>
      <c r="M1480" s="38" t="n">
        <v>1334112</v>
      </c>
      <c r="N1480" s="39" t="n">
        <f aca="false">IF(A1480="제외",0,IF(OR(N(L1480)&lt;=0,N(M1480)&gt;N(L1480)),N(M1480)/요약!$D$27,N(L1480)))</f>
        <v>3792000</v>
      </c>
      <c r="O1480" s="32" t="str">
        <f aca="false">IF(A1480="제외","",IF(OR(N(L1480)&lt;=0,N(M1480)&gt;N(L1480)),"택가보정(판매금액÷공급율)",""))</f>
        <v/>
      </c>
      <c r="P1480" s="0" t="str">
        <f aca="false">IF(A1480="HK","100",IF(A1480="CN","200",IF(A1480="TW","300",IF(ISNUMBER(SEARCH("태국",C1480)),"500",IF(ISNUMBER(SEARCH("말레이",C1480)),"600",IF(ISNUMBER(SEARCH("필리핀",C1480)),"700",IF(ISNUMBER(SEARCH("인도네시아",C1480)),"800",IF(ISNUMBER(SEARCH("크루즈",C1480)),"810",IF(ISNUMBER(SEARCH("동물원",C1480)),"830","")))))))))</f>
        <v>830</v>
      </c>
    </row>
    <row r="1481" customFormat="false" ht="15" hidden="false" customHeight="false" outlineLevel="0" collapsed="false">
      <c r="A1481" s="32" t="str">
        <f aca="false">IF(OR(TRIM(C1481)="",SUBSTITUTE(C1481," ","")="소계"),"제외",IF(ISNUMBER(SEARCH("홍콩",C1481)),"HK",IF(ISNUMBER(SEARCH("상해",C1481)),"CN",IF(ISNUMBER(SEARCH("대만",C1481)),"TW","홀세일"))))</f>
        <v>홀세일</v>
      </c>
      <c r="B1481" s="36" t="s">
        <v>1523</v>
      </c>
      <c r="C1481" s="37" t="s">
        <v>1524</v>
      </c>
      <c r="D1481" s="37" t="s">
        <v>123</v>
      </c>
      <c r="E1481" s="36" t="n">
        <v>2025</v>
      </c>
      <c r="F1481" s="36" t="s">
        <v>110</v>
      </c>
      <c r="G1481" s="37" t="s">
        <v>770</v>
      </c>
      <c r="H1481" s="36" t="s">
        <v>131</v>
      </c>
      <c r="I1481" s="36" t="s">
        <v>1584</v>
      </c>
      <c r="J1481" s="37" t="s">
        <v>1585</v>
      </c>
      <c r="K1481" s="38" t="n">
        <v>15</v>
      </c>
      <c r="L1481" s="38" t="n">
        <v>3885000</v>
      </c>
      <c r="M1481" s="38" t="n">
        <v>2035410</v>
      </c>
      <c r="N1481" s="39" t="n">
        <f aca="false">IF(A1481="제외",0,IF(OR(N(L1481)&lt;=0,N(M1481)&gt;N(L1481)),N(M1481)/요약!$D$27,N(L1481)))</f>
        <v>3885000</v>
      </c>
      <c r="O1481" s="32" t="str">
        <f aca="false">IF(A1481="제외","",IF(OR(N(L1481)&lt;=0,N(M1481)&gt;N(L1481)),"택가보정(판매금액÷공급율)",""))</f>
        <v/>
      </c>
      <c r="P1481" s="0" t="str">
        <f aca="false">IF(A1481="HK","100",IF(A1481="CN","200",IF(A1481="TW","300",IF(ISNUMBER(SEARCH("태국",C1481)),"500",IF(ISNUMBER(SEARCH("말레이",C1481)),"600",IF(ISNUMBER(SEARCH("필리핀",C1481)),"700",IF(ISNUMBER(SEARCH("인도네시아",C1481)),"800",IF(ISNUMBER(SEARCH("크루즈",C1481)),"810",IF(ISNUMBER(SEARCH("동물원",C1481)),"830","")))))))))</f>
        <v>830</v>
      </c>
    </row>
    <row r="1482" customFormat="false" ht="15" hidden="false" customHeight="false" outlineLevel="0" collapsed="false">
      <c r="A1482" s="32" t="str">
        <f aca="false">IF(OR(TRIM(C1482)="",SUBSTITUTE(C1482," ","")="소계"),"제외",IF(ISNUMBER(SEARCH("홍콩",C1482)),"HK",IF(ISNUMBER(SEARCH("상해",C1482)),"CN",IF(ISNUMBER(SEARCH("대만",C1482)),"TW","홀세일"))))</f>
        <v>홀세일</v>
      </c>
      <c r="B1482" s="36" t="s">
        <v>1523</v>
      </c>
      <c r="C1482" s="37" t="s">
        <v>1524</v>
      </c>
      <c r="D1482" s="37" t="s">
        <v>123</v>
      </c>
      <c r="E1482" s="36" t="n">
        <v>2025</v>
      </c>
      <c r="F1482" s="36" t="s">
        <v>110</v>
      </c>
      <c r="G1482" s="37" t="s">
        <v>770</v>
      </c>
      <c r="H1482" s="36" t="s">
        <v>131</v>
      </c>
      <c r="I1482" s="36" t="s">
        <v>1586</v>
      </c>
      <c r="J1482" s="37" t="s">
        <v>1587</v>
      </c>
      <c r="K1482" s="38" t="n">
        <v>5</v>
      </c>
      <c r="L1482" s="38" t="n">
        <v>1495000</v>
      </c>
      <c r="M1482" s="38" t="n">
        <v>783620</v>
      </c>
      <c r="N1482" s="39" t="n">
        <f aca="false">IF(A1482="제외",0,IF(OR(N(L1482)&lt;=0,N(M1482)&gt;N(L1482)),N(M1482)/요약!$D$27,N(L1482)))</f>
        <v>1495000</v>
      </c>
      <c r="O1482" s="32" t="str">
        <f aca="false">IF(A1482="제외","",IF(OR(N(L1482)&lt;=0,N(M1482)&gt;N(L1482)),"택가보정(판매금액÷공급율)",""))</f>
        <v/>
      </c>
      <c r="P1482" s="0" t="str">
        <f aca="false">IF(A1482="HK","100",IF(A1482="CN","200",IF(A1482="TW","300",IF(ISNUMBER(SEARCH("태국",C1482)),"500",IF(ISNUMBER(SEARCH("말레이",C1482)),"600",IF(ISNUMBER(SEARCH("필리핀",C1482)),"700",IF(ISNUMBER(SEARCH("인도네시아",C1482)),"800",IF(ISNUMBER(SEARCH("크루즈",C1482)),"810",IF(ISNUMBER(SEARCH("동물원",C1482)),"830","")))))))))</f>
        <v>830</v>
      </c>
    </row>
    <row r="1483" customFormat="false" ht="15" hidden="false" customHeight="false" outlineLevel="0" collapsed="false">
      <c r="A1483" s="32" t="str">
        <f aca="false">IF(OR(TRIM(C1483)="",SUBSTITUTE(C1483," ","")="소계"),"제외",IF(ISNUMBER(SEARCH("홍콩",C1483)),"HK",IF(ISNUMBER(SEARCH("상해",C1483)),"CN",IF(ISNUMBER(SEARCH("대만",C1483)),"TW","홀세일"))))</f>
        <v>홀세일</v>
      </c>
      <c r="B1483" s="36" t="s">
        <v>1523</v>
      </c>
      <c r="C1483" s="37" t="s">
        <v>1524</v>
      </c>
      <c r="D1483" s="37" t="s">
        <v>123</v>
      </c>
      <c r="E1483" s="36" t="n">
        <v>2025</v>
      </c>
      <c r="F1483" s="36" t="s">
        <v>110</v>
      </c>
      <c r="G1483" s="37" t="s">
        <v>770</v>
      </c>
      <c r="H1483" s="37" t="s">
        <v>128</v>
      </c>
      <c r="I1483" s="36" t="s">
        <v>1588</v>
      </c>
      <c r="J1483" s="36" t="s">
        <v>1589</v>
      </c>
      <c r="K1483" s="38" t="n">
        <v>5</v>
      </c>
      <c r="L1483" s="38" t="n">
        <v>1295000</v>
      </c>
      <c r="M1483" s="38" t="n">
        <v>678470</v>
      </c>
      <c r="N1483" s="39" t="n">
        <f aca="false">IF(A1483="제외",0,IF(OR(N(L1483)&lt;=0,N(M1483)&gt;N(L1483)),N(M1483)/요약!$D$27,N(L1483)))</f>
        <v>1295000</v>
      </c>
      <c r="O1483" s="32" t="str">
        <f aca="false">IF(A1483="제외","",IF(OR(N(L1483)&lt;=0,N(M1483)&gt;N(L1483)),"택가보정(판매금액÷공급율)",""))</f>
        <v/>
      </c>
      <c r="P1483" s="0" t="str">
        <f aca="false">IF(A1483="HK","100",IF(A1483="CN","200",IF(A1483="TW","300",IF(ISNUMBER(SEARCH("태국",C1483)),"500",IF(ISNUMBER(SEARCH("말레이",C1483)),"600",IF(ISNUMBER(SEARCH("필리핀",C1483)),"700",IF(ISNUMBER(SEARCH("인도네시아",C1483)),"800",IF(ISNUMBER(SEARCH("크루즈",C1483)),"810",IF(ISNUMBER(SEARCH("동물원",C1483)),"830","")))))))))</f>
        <v>830</v>
      </c>
    </row>
    <row r="1484" customFormat="false" ht="15" hidden="false" customHeight="false" outlineLevel="0" collapsed="false">
      <c r="A1484" s="32" t="str">
        <f aca="false">IF(OR(TRIM(C1484)="",SUBSTITUTE(C1484," ","")="소계"),"제외",IF(ISNUMBER(SEARCH("홍콩",C1484)),"HK",IF(ISNUMBER(SEARCH("상해",C1484)),"CN",IF(ISNUMBER(SEARCH("대만",C1484)),"TW","홀세일"))))</f>
        <v>홀세일</v>
      </c>
      <c r="B1484" s="36" t="s">
        <v>1523</v>
      </c>
      <c r="C1484" s="37" t="s">
        <v>1524</v>
      </c>
      <c r="D1484" s="37" t="s">
        <v>123</v>
      </c>
      <c r="E1484" s="36" t="n">
        <v>2025</v>
      </c>
      <c r="F1484" s="36" t="s">
        <v>110</v>
      </c>
      <c r="G1484" s="37" t="s">
        <v>360</v>
      </c>
      <c r="H1484" s="37" t="s">
        <v>128</v>
      </c>
      <c r="I1484" s="36" t="s">
        <v>1590</v>
      </c>
      <c r="J1484" s="36" t="s">
        <v>1591</v>
      </c>
      <c r="K1484" s="38" t="n">
        <v>19</v>
      </c>
      <c r="L1484" s="38" t="n">
        <v>2261000</v>
      </c>
      <c r="M1484" s="38" t="n">
        <v>911886</v>
      </c>
      <c r="N1484" s="39" t="n">
        <f aca="false">IF(A1484="제외",0,IF(OR(N(L1484)&lt;=0,N(M1484)&gt;N(L1484)),N(M1484)/요약!$D$27,N(L1484)))</f>
        <v>2261000</v>
      </c>
      <c r="O1484" s="32" t="str">
        <f aca="false">IF(A1484="제외","",IF(OR(N(L1484)&lt;=0,N(M1484)&gt;N(L1484)),"택가보정(판매금액÷공급율)",""))</f>
        <v/>
      </c>
      <c r="P1484" s="0" t="str">
        <f aca="false">IF(A1484="HK","100",IF(A1484="CN","200",IF(A1484="TW","300",IF(ISNUMBER(SEARCH("태국",C1484)),"500",IF(ISNUMBER(SEARCH("말레이",C1484)),"600",IF(ISNUMBER(SEARCH("필리핀",C1484)),"700",IF(ISNUMBER(SEARCH("인도네시아",C1484)),"800",IF(ISNUMBER(SEARCH("크루즈",C1484)),"810",IF(ISNUMBER(SEARCH("동물원",C1484)),"830","")))))))))</f>
        <v>830</v>
      </c>
    </row>
    <row r="1485" customFormat="false" ht="15" hidden="false" customHeight="false" outlineLevel="0" collapsed="false">
      <c r="A1485" s="32" t="str">
        <f aca="false">IF(OR(TRIM(C1485)="",SUBSTITUTE(C1485," ","")="소계"),"제외",IF(ISNUMBER(SEARCH("홍콩",C1485)),"HK",IF(ISNUMBER(SEARCH("상해",C1485)),"CN",IF(ISNUMBER(SEARCH("대만",C1485)),"TW","홀세일"))))</f>
        <v>홀세일</v>
      </c>
      <c r="B1485" s="36" t="s">
        <v>1523</v>
      </c>
      <c r="C1485" s="37" t="s">
        <v>1524</v>
      </c>
      <c r="D1485" s="37" t="s">
        <v>123</v>
      </c>
      <c r="E1485" s="36" t="n">
        <v>2025</v>
      </c>
      <c r="F1485" s="36" t="s">
        <v>110</v>
      </c>
      <c r="G1485" s="37" t="s">
        <v>360</v>
      </c>
      <c r="H1485" s="37" t="s">
        <v>128</v>
      </c>
      <c r="I1485" s="36" t="s">
        <v>1592</v>
      </c>
      <c r="J1485" s="36" t="s">
        <v>1593</v>
      </c>
      <c r="K1485" s="38" t="n">
        <v>36</v>
      </c>
      <c r="L1485" s="38" t="n">
        <v>5004000</v>
      </c>
      <c r="M1485" s="38" t="n">
        <v>2017584</v>
      </c>
      <c r="N1485" s="39" t="n">
        <f aca="false">IF(A1485="제외",0,IF(OR(N(L1485)&lt;=0,N(M1485)&gt;N(L1485)),N(M1485)/요약!$D$27,N(L1485)))</f>
        <v>5004000</v>
      </c>
      <c r="O1485" s="32" t="str">
        <f aca="false">IF(A1485="제외","",IF(OR(N(L1485)&lt;=0,N(M1485)&gt;N(L1485)),"택가보정(판매금액÷공급율)",""))</f>
        <v/>
      </c>
      <c r="P1485" s="0" t="str">
        <f aca="false">IF(A1485="HK","100",IF(A1485="CN","200",IF(A1485="TW","300",IF(ISNUMBER(SEARCH("태국",C1485)),"500",IF(ISNUMBER(SEARCH("말레이",C1485)),"600",IF(ISNUMBER(SEARCH("필리핀",C1485)),"700",IF(ISNUMBER(SEARCH("인도네시아",C1485)),"800",IF(ISNUMBER(SEARCH("크루즈",C1485)),"810",IF(ISNUMBER(SEARCH("동물원",C1485)),"830","")))))))))</f>
        <v>830</v>
      </c>
    </row>
    <row r="1486" customFormat="false" ht="15" hidden="false" customHeight="false" outlineLevel="0" collapsed="false">
      <c r="A1486" s="32" t="str">
        <f aca="false">IF(OR(TRIM(C1486)="",SUBSTITUTE(C1486," ","")="소계"),"제외",IF(ISNUMBER(SEARCH("홍콩",C1486)),"HK",IF(ISNUMBER(SEARCH("상해",C1486)),"CN",IF(ISNUMBER(SEARCH("대만",C1486)),"TW","홀세일"))))</f>
        <v>홀세일</v>
      </c>
      <c r="B1486" s="36" t="s">
        <v>1523</v>
      </c>
      <c r="C1486" s="37" t="s">
        <v>1524</v>
      </c>
      <c r="D1486" s="37" t="s">
        <v>123</v>
      </c>
      <c r="E1486" s="36" t="n">
        <v>2025</v>
      </c>
      <c r="F1486" s="36" t="s">
        <v>110</v>
      </c>
      <c r="G1486" s="37" t="s">
        <v>360</v>
      </c>
      <c r="H1486" s="37" t="s">
        <v>128</v>
      </c>
      <c r="I1486" s="36" t="s">
        <v>1594</v>
      </c>
      <c r="J1486" s="36" t="s">
        <v>1595</v>
      </c>
      <c r="K1486" s="38" t="n">
        <v>17</v>
      </c>
      <c r="L1486" s="38" t="n">
        <v>2193000</v>
      </c>
      <c r="M1486" s="38" t="n">
        <v>883031</v>
      </c>
      <c r="N1486" s="39" t="n">
        <f aca="false">IF(A1486="제외",0,IF(OR(N(L1486)&lt;=0,N(M1486)&gt;N(L1486)),N(M1486)/요약!$D$27,N(L1486)))</f>
        <v>2193000</v>
      </c>
      <c r="O1486" s="32" t="str">
        <f aca="false">IF(A1486="제외","",IF(OR(N(L1486)&lt;=0,N(M1486)&gt;N(L1486)),"택가보정(판매금액÷공급율)",""))</f>
        <v/>
      </c>
      <c r="P1486" s="0" t="str">
        <f aca="false">IF(A1486="HK","100",IF(A1486="CN","200",IF(A1486="TW","300",IF(ISNUMBER(SEARCH("태국",C1486)),"500",IF(ISNUMBER(SEARCH("말레이",C1486)),"600",IF(ISNUMBER(SEARCH("필리핀",C1486)),"700",IF(ISNUMBER(SEARCH("인도네시아",C1486)),"800",IF(ISNUMBER(SEARCH("크루즈",C1486)),"810",IF(ISNUMBER(SEARCH("동물원",C1486)),"830","")))))))))</f>
        <v>830</v>
      </c>
    </row>
    <row r="1487" customFormat="false" ht="15" hidden="false" customHeight="false" outlineLevel="0" collapsed="false">
      <c r="A1487" s="32" t="str">
        <f aca="false">IF(OR(TRIM(C1487)="",SUBSTITUTE(C1487," ","")="소계"),"제외",IF(ISNUMBER(SEARCH("홍콩",C1487)),"HK",IF(ISNUMBER(SEARCH("상해",C1487)),"CN",IF(ISNUMBER(SEARCH("대만",C1487)),"TW","홀세일"))))</f>
        <v>홀세일</v>
      </c>
      <c r="B1487" s="36" t="s">
        <v>1523</v>
      </c>
      <c r="C1487" s="37" t="s">
        <v>1524</v>
      </c>
      <c r="D1487" s="37" t="s">
        <v>123</v>
      </c>
      <c r="E1487" s="36" t="n">
        <v>2025</v>
      </c>
      <c r="F1487" s="36" t="s">
        <v>110</v>
      </c>
      <c r="G1487" s="37" t="s">
        <v>360</v>
      </c>
      <c r="H1487" s="37" t="s">
        <v>128</v>
      </c>
      <c r="I1487" s="36" t="s">
        <v>1596</v>
      </c>
      <c r="J1487" s="36" t="s">
        <v>1597</v>
      </c>
      <c r="K1487" s="38" t="n">
        <v>29</v>
      </c>
      <c r="L1487" s="38" t="n">
        <v>2871000</v>
      </c>
      <c r="M1487" s="38" t="n">
        <v>1162784</v>
      </c>
      <c r="N1487" s="39" t="n">
        <f aca="false">IF(A1487="제외",0,IF(OR(N(L1487)&lt;=0,N(M1487)&gt;N(L1487)),N(M1487)/요약!$D$27,N(L1487)))</f>
        <v>2871000</v>
      </c>
      <c r="O1487" s="32" t="str">
        <f aca="false">IF(A1487="제외","",IF(OR(N(L1487)&lt;=0,N(M1487)&gt;N(L1487)),"택가보정(판매금액÷공급율)",""))</f>
        <v/>
      </c>
      <c r="P1487" s="0" t="str">
        <f aca="false">IF(A1487="HK","100",IF(A1487="CN","200",IF(A1487="TW","300",IF(ISNUMBER(SEARCH("태국",C1487)),"500",IF(ISNUMBER(SEARCH("말레이",C1487)),"600",IF(ISNUMBER(SEARCH("필리핀",C1487)),"700",IF(ISNUMBER(SEARCH("인도네시아",C1487)),"800",IF(ISNUMBER(SEARCH("크루즈",C1487)),"810",IF(ISNUMBER(SEARCH("동물원",C1487)),"830","")))))))))</f>
        <v>830</v>
      </c>
    </row>
    <row r="1488" customFormat="false" ht="15" hidden="false" customHeight="false" outlineLevel="0" collapsed="false">
      <c r="A1488" s="32" t="str">
        <f aca="false">IF(OR(TRIM(C1488)="",SUBSTITUTE(C1488," ","")="소계"),"제외",IF(ISNUMBER(SEARCH("홍콩",C1488)),"HK",IF(ISNUMBER(SEARCH("상해",C1488)),"CN",IF(ISNUMBER(SEARCH("대만",C1488)),"TW","홀세일"))))</f>
        <v>홀세일</v>
      </c>
      <c r="B1488" s="36" t="s">
        <v>1523</v>
      </c>
      <c r="C1488" s="37" t="s">
        <v>1524</v>
      </c>
      <c r="D1488" s="37" t="s">
        <v>123</v>
      </c>
      <c r="E1488" s="36" t="n">
        <v>2026</v>
      </c>
      <c r="F1488" s="37" t="s">
        <v>101</v>
      </c>
      <c r="G1488" s="37" t="s">
        <v>102</v>
      </c>
      <c r="H1488" s="36" t="s">
        <v>131</v>
      </c>
      <c r="I1488" s="36" t="s">
        <v>132</v>
      </c>
      <c r="J1488" s="37" t="s">
        <v>133</v>
      </c>
      <c r="K1488" s="38" t="n">
        <v>30</v>
      </c>
      <c r="L1488" s="38" t="n">
        <v>5070000</v>
      </c>
      <c r="M1488" s="38" t="n">
        <v>2067660</v>
      </c>
      <c r="N1488" s="39" t="n">
        <f aca="false">IF(A1488="제외",0,IF(OR(N(L1488)&lt;=0,N(M1488)&gt;N(L1488)),N(M1488)/요약!$D$27,N(L1488)))</f>
        <v>5070000</v>
      </c>
      <c r="O1488" s="32" t="str">
        <f aca="false">IF(A1488="제외","",IF(OR(N(L1488)&lt;=0,N(M1488)&gt;N(L1488)),"택가보정(판매금액÷공급율)",""))</f>
        <v/>
      </c>
      <c r="P1488" s="0" t="str">
        <f aca="false">IF(A1488="HK","100",IF(A1488="CN","200",IF(A1488="TW","300",IF(ISNUMBER(SEARCH("태국",C1488)),"500",IF(ISNUMBER(SEARCH("말레이",C1488)),"600",IF(ISNUMBER(SEARCH("필리핀",C1488)),"700",IF(ISNUMBER(SEARCH("인도네시아",C1488)),"800",IF(ISNUMBER(SEARCH("크루즈",C1488)),"810",IF(ISNUMBER(SEARCH("동물원",C1488)),"830","")))))))))</f>
        <v>830</v>
      </c>
    </row>
    <row r="1489" customFormat="false" ht="15" hidden="false" customHeight="false" outlineLevel="0" collapsed="false">
      <c r="A1489" s="32" t="str">
        <f aca="false">IF(OR(TRIM(C1489)="",SUBSTITUTE(C1489," ","")="소계"),"제외",IF(ISNUMBER(SEARCH("홍콩",C1489)),"HK",IF(ISNUMBER(SEARCH("상해",C1489)),"CN",IF(ISNUMBER(SEARCH("대만",C1489)),"TW","홀세일"))))</f>
        <v>홀세일</v>
      </c>
      <c r="B1489" s="36" t="s">
        <v>1523</v>
      </c>
      <c r="C1489" s="37" t="s">
        <v>1524</v>
      </c>
      <c r="D1489" s="37" t="s">
        <v>123</v>
      </c>
      <c r="E1489" s="36" t="n">
        <v>2026</v>
      </c>
      <c r="F1489" s="37" t="s">
        <v>101</v>
      </c>
      <c r="G1489" s="37" t="s">
        <v>102</v>
      </c>
      <c r="H1489" s="36" t="s">
        <v>131</v>
      </c>
      <c r="I1489" s="36" t="s">
        <v>142</v>
      </c>
      <c r="J1489" s="37" t="s">
        <v>143</v>
      </c>
      <c r="K1489" s="38" t="n">
        <v>30</v>
      </c>
      <c r="L1489" s="38" t="n">
        <v>5070000</v>
      </c>
      <c r="M1489" s="38" t="n">
        <v>2067660</v>
      </c>
      <c r="N1489" s="39" t="n">
        <f aca="false">IF(A1489="제외",0,IF(OR(N(L1489)&lt;=0,N(M1489)&gt;N(L1489)),N(M1489)/요약!$D$27,N(L1489)))</f>
        <v>5070000</v>
      </c>
      <c r="O1489" s="32" t="str">
        <f aca="false">IF(A1489="제외","",IF(OR(N(L1489)&lt;=0,N(M1489)&gt;N(L1489)),"택가보정(판매금액÷공급율)",""))</f>
        <v/>
      </c>
      <c r="P1489" s="0" t="str">
        <f aca="false">IF(A1489="HK","100",IF(A1489="CN","200",IF(A1489="TW","300",IF(ISNUMBER(SEARCH("태국",C1489)),"500",IF(ISNUMBER(SEARCH("말레이",C1489)),"600",IF(ISNUMBER(SEARCH("필리핀",C1489)),"700",IF(ISNUMBER(SEARCH("인도네시아",C1489)),"800",IF(ISNUMBER(SEARCH("크루즈",C1489)),"810",IF(ISNUMBER(SEARCH("동물원",C1489)),"830","")))))))))</f>
        <v>830</v>
      </c>
    </row>
    <row r="1490" customFormat="false" ht="15" hidden="false" customHeight="false" outlineLevel="0" collapsed="false">
      <c r="A1490" s="32" t="str">
        <f aca="false">IF(OR(TRIM(C1490)="",SUBSTITUTE(C1490," ","")="소계"),"제외",IF(ISNUMBER(SEARCH("홍콩",C1490)),"HK",IF(ISNUMBER(SEARCH("상해",C1490)),"CN",IF(ISNUMBER(SEARCH("대만",C1490)),"TW","홀세일"))))</f>
        <v>홀세일</v>
      </c>
      <c r="B1490" s="36" t="s">
        <v>1523</v>
      </c>
      <c r="C1490" s="37" t="s">
        <v>1524</v>
      </c>
      <c r="D1490" s="37" t="s">
        <v>123</v>
      </c>
      <c r="E1490" s="36" t="n">
        <v>2026</v>
      </c>
      <c r="F1490" s="37" t="s">
        <v>101</v>
      </c>
      <c r="G1490" s="37" t="s">
        <v>124</v>
      </c>
      <c r="H1490" s="36" t="s">
        <v>125</v>
      </c>
      <c r="I1490" s="36" t="s">
        <v>1598</v>
      </c>
      <c r="J1490" s="37" t="s">
        <v>1599</v>
      </c>
      <c r="K1490" s="38" t="n">
        <v>26</v>
      </c>
      <c r="L1490" s="38" t="n">
        <v>3614000</v>
      </c>
      <c r="M1490" s="38" t="n">
        <v>1330784</v>
      </c>
      <c r="N1490" s="39" t="n">
        <f aca="false">IF(A1490="제외",0,IF(OR(N(L1490)&lt;=0,N(M1490)&gt;N(L1490)),N(M1490)/요약!$D$27,N(L1490)))</f>
        <v>3614000</v>
      </c>
      <c r="O1490" s="32" t="str">
        <f aca="false">IF(A1490="제외","",IF(OR(N(L1490)&lt;=0,N(M1490)&gt;N(L1490)),"택가보정(판매금액÷공급율)",""))</f>
        <v/>
      </c>
      <c r="P1490" s="0" t="str">
        <f aca="false">IF(A1490="HK","100",IF(A1490="CN","200",IF(A1490="TW","300",IF(ISNUMBER(SEARCH("태국",C1490)),"500",IF(ISNUMBER(SEARCH("말레이",C1490)),"600",IF(ISNUMBER(SEARCH("필리핀",C1490)),"700",IF(ISNUMBER(SEARCH("인도네시아",C1490)),"800",IF(ISNUMBER(SEARCH("크루즈",C1490)),"810",IF(ISNUMBER(SEARCH("동물원",C1490)),"830","")))))))))</f>
        <v>830</v>
      </c>
    </row>
    <row r="1491" customFormat="false" ht="15" hidden="false" customHeight="false" outlineLevel="0" collapsed="false">
      <c r="A1491" s="32" t="str">
        <f aca="false">IF(OR(TRIM(C1491)="",SUBSTITUTE(C1491," ","")="소계"),"제외",IF(ISNUMBER(SEARCH("홍콩",C1491)),"HK",IF(ISNUMBER(SEARCH("상해",C1491)),"CN",IF(ISNUMBER(SEARCH("대만",C1491)),"TW","홀세일"))))</f>
        <v>홀세일</v>
      </c>
      <c r="B1491" s="36" t="s">
        <v>1523</v>
      </c>
      <c r="C1491" s="37" t="s">
        <v>1524</v>
      </c>
      <c r="D1491" s="37" t="s">
        <v>123</v>
      </c>
      <c r="E1491" s="36" t="n">
        <v>2026</v>
      </c>
      <c r="F1491" s="37" t="s">
        <v>101</v>
      </c>
      <c r="G1491" s="37" t="s">
        <v>124</v>
      </c>
      <c r="H1491" s="36" t="s">
        <v>131</v>
      </c>
      <c r="I1491" s="36" t="s">
        <v>166</v>
      </c>
      <c r="J1491" s="37" t="s">
        <v>167</v>
      </c>
      <c r="K1491" s="38" t="n">
        <v>33</v>
      </c>
      <c r="L1491" s="38" t="n">
        <v>5907000</v>
      </c>
      <c r="M1491" s="38" t="n">
        <v>2305545</v>
      </c>
      <c r="N1491" s="39" t="n">
        <f aca="false">IF(A1491="제외",0,IF(OR(N(L1491)&lt;=0,N(M1491)&gt;N(L1491)),N(M1491)/요약!$D$27,N(L1491)))</f>
        <v>5907000</v>
      </c>
      <c r="O1491" s="32" t="str">
        <f aca="false">IF(A1491="제외","",IF(OR(N(L1491)&lt;=0,N(M1491)&gt;N(L1491)),"택가보정(판매금액÷공급율)",""))</f>
        <v/>
      </c>
      <c r="P1491" s="0" t="str">
        <f aca="false">IF(A1491="HK","100",IF(A1491="CN","200",IF(A1491="TW","300",IF(ISNUMBER(SEARCH("태국",C1491)),"500",IF(ISNUMBER(SEARCH("말레이",C1491)),"600",IF(ISNUMBER(SEARCH("필리핀",C1491)),"700",IF(ISNUMBER(SEARCH("인도네시아",C1491)),"800",IF(ISNUMBER(SEARCH("크루즈",C1491)),"810",IF(ISNUMBER(SEARCH("동물원",C1491)),"830","")))))))))</f>
        <v>830</v>
      </c>
    </row>
    <row r="1492" customFormat="false" ht="15" hidden="false" customHeight="false" outlineLevel="0" collapsed="false">
      <c r="A1492" s="32" t="str">
        <f aca="false">IF(OR(TRIM(C1492)="",SUBSTITUTE(C1492," ","")="소계"),"제외",IF(ISNUMBER(SEARCH("홍콩",C1492)),"HK",IF(ISNUMBER(SEARCH("상해",C1492)),"CN",IF(ISNUMBER(SEARCH("대만",C1492)),"TW","홀세일"))))</f>
        <v>홀세일</v>
      </c>
      <c r="B1492" s="36" t="s">
        <v>1523</v>
      </c>
      <c r="C1492" s="37" t="s">
        <v>1524</v>
      </c>
      <c r="D1492" s="37" t="s">
        <v>123</v>
      </c>
      <c r="E1492" s="36" t="n">
        <v>2026</v>
      </c>
      <c r="F1492" s="37" t="s">
        <v>101</v>
      </c>
      <c r="G1492" s="37" t="s">
        <v>124</v>
      </c>
      <c r="H1492" s="36" t="s">
        <v>131</v>
      </c>
      <c r="I1492" s="36" t="s">
        <v>1407</v>
      </c>
      <c r="J1492" s="37" t="s">
        <v>1408</v>
      </c>
      <c r="K1492" s="38" t="n">
        <v>11</v>
      </c>
      <c r="L1492" s="38" t="n">
        <v>1749000</v>
      </c>
      <c r="M1492" s="38" t="n">
        <v>683309</v>
      </c>
      <c r="N1492" s="39" t="n">
        <f aca="false">IF(A1492="제외",0,IF(OR(N(L1492)&lt;=0,N(M1492)&gt;N(L1492)),N(M1492)/요약!$D$27,N(L1492)))</f>
        <v>1749000</v>
      </c>
      <c r="O1492" s="32" t="str">
        <f aca="false">IF(A1492="제외","",IF(OR(N(L1492)&lt;=0,N(M1492)&gt;N(L1492)),"택가보정(판매금액÷공급율)",""))</f>
        <v/>
      </c>
      <c r="P1492" s="0" t="str">
        <f aca="false">IF(A1492="HK","100",IF(A1492="CN","200",IF(A1492="TW","300",IF(ISNUMBER(SEARCH("태국",C1492)),"500",IF(ISNUMBER(SEARCH("말레이",C1492)),"600",IF(ISNUMBER(SEARCH("필리핀",C1492)),"700",IF(ISNUMBER(SEARCH("인도네시아",C1492)),"800",IF(ISNUMBER(SEARCH("크루즈",C1492)),"810",IF(ISNUMBER(SEARCH("동물원",C1492)),"830","")))))))))</f>
        <v>830</v>
      </c>
    </row>
    <row r="1493" customFormat="false" ht="15" hidden="false" customHeight="false" outlineLevel="0" collapsed="false">
      <c r="A1493" s="32" t="str">
        <f aca="false">IF(OR(TRIM(C1493)="",SUBSTITUTE(C1493," ","")="소계"),"제외",IF(ISNUMBER(SEARCH("홍콩",C1493)),"HK",IF(ISNUMBER(SEARCH("상해",C1493)),"CN",IF(ISNUMBER(SEARCH("대만",C1493)),"TW","홀세일"))))</f>
        <v>홀세일</v>
      </c>
      <c r="B1493" s="36" t="s">
        <v>1523</v>
      </c>
      <c r="C1493" s="37" t="s">
        <v>1524</v>
      </c>
      <c r="D1493" s="37" t="s">
        <v>123</v>
      </c>
      <c r="E1493" s="36" t="n">
        <v>2026</v>
      </c>
      <c r="F1493" s="37" t="s">
        <v>101</v>
      </c>
      <c r="G1493" s="37" t="s">
        <v>124</v>
      </c>
      <c r="H1493" s="36" t="s">
        <v>125</v>
      </c>
      <c r="I1493" s="36" t="s">
        <v>798</v>
      </c>
      <c r="J1493" s="37" t="s">
        <v>799</v>
      </c>
      <c r="K1493" s="38" t="n">
        <v>28</v>
      </c>
      <c r="L1493" s="38" t="n">
        <v>5012000</v>
      </c>
      <c r="M1493" s="38" t="n">
        <v>1845648</v>
      </c>
      <c r="N1493" s="39" t="n">
        <f aca="false">IF(A1493="제외",0,IF(OR(N(L1493)&lt;=0,N(M1493)&gt;N(L1493)),N(M1493)/요약!$D$27,N(L1493)))</f>
        <v>5012000</v>
      </c>
      <c r="O1493" s="32" t="str">
        <f aca="false">IF(A1493="제외","",IF(OR(N(L1493)&lt;=0,N(M1493)&gt;N(L1493)),"택가보정(판매금액÷공급율)",""))</f>
        <v/>
      </c>
      <c r="P1493" s="0" t="str">
        <f aca="false">IF(A1493="HK","100",IF(A1493="CN","200",IF(A1493="TW","300",IF(ISNUMBER(SEARCH("태국",C1493)),"500",IF(ISNUMBER(SEARCH("말레이",C1493)),"600",IF(ISNUMBER(SEARCH("필리핀",C1493)),"700",IF(ISNUMBER(SEARCH("인도네시아",C1493)),"800",IF(ISNUMBER(SEARCH("크루즈",C1493)),"810",IF(ISNUMBER(SEARCH("동물원",C1493)),"830","")))))))))</f>
        <v>830</v>
      </c>
    </row>
    <row r="1494" customFormat="false" ht="15" hidden="false" customHeight="false" outlineLevel="0" collapsed="false">
      <c r="A1494" s="32" t="str">
        <f aca="false">IF(OR(TRIM(C1494)="",SUBSTITUTE(C1494," ","")="소계"),"제외",IF(ISNUMBER(SEARCH("홍콩",C1494)),"HK",IF(ISNUMBER(SEARCH("상해",C1494)),"CN",IF(ISNUMBER(SEARCH("대만",C1494)),"TW","홀세일"))))</f>
        <v>홀세일</v>
      </c>
      <c r="B1494" s="36" t="s">
        <v>1523</v>
      </c>
      <c r="C1494" s="37" t="s">
        <v>1524</v>
      </c>
      <c r="D1494" s="37" t="s">
        <v>123</v>
      </c>
      <c r="E1494" s="36" t="n">
        <v>2026</v>
      </c>
      <c r="F1494" s="37" t="s">
        <v>101</v>
      </c>
      <c r="G1494" s="37" t="s">
        <v>124</v>
      </c>
      <c r="H1494" s="36" t="s">
        <v>188</v>
      </c>
      <c r="I1494" s="36" t="s">
        <v>203</v>
      </c>
      <c r="J1494" s="36" t="s">
        <v>204</v>
      </c>
      <c r="K1494" s="38" t="n">
        <v>2</v>
      </c>
      <c r="L1494" s="38" t="n">
        <v>398000</v>
      </c>
      <c r="M1494" s="38" t="n">
        <v>155526</v>
      </c>
      <c r="N1494" s="39" t="n">
        <f aca="false">IF(A1494="제외",0,IF(OR(N(L1494)&lt;=0,N(M1494)&gt;N(L1494)),N(M1494)/요약!$D$27,N(L1494)))</f>
        <v>398000</v>
      </c>
      <c r="O1494" s="32" t="str">
        <f aca="false">IF(A1494="제외","",IF(OR(N(L1494)&lt;=0,N(M1494)&gt;N(L1494)),"택가보정(판매금액÷공급율)",""))</f>
        <v/>
      </c>
      <c r="P1494" s="0" t="str">
        <f aca="false">IF(A1494="HK","100",IF(A1494="CN","200",IF(A1494="TW","300",IF(ISNUMBER(SEARCH("태국",C1494)),"500",IF(ISNUMBER(SEARCH("말레이",C1494)),"600",IF(ISNUMBER(SEARCH("필리핀",C1494)),"700",IF(ISNUMBER(SEARCH("인도네시아",C1494)),"800",IF(ISNUMBER(SEARCH("크루즈",C1494)),"810",IF(ISNUMBER(SEARCH("동물원",C1494)),"830","")))))))))</f>
        <v>830</v>
      </c>
    </row>
    <row r="1495" customFormat="false" ht="15" hidden="false" customHeight="false" outlineLevel="0" collapsed="false">
      <c r="A1495" s="32" t="str">
        <f aca="false">IF(OR(TRIM(C1495)="",SUBSTITUTE(C1495," ","")="소계"),"제외",IF(ISNUMBER(SEARCH("홍콩",C1495)),"HK",IF(ISNUMBER(SEARCH("상해",C1495)),"CN",IF(ISNUMBER(SEARCH("대만",C1495)),"TW","홀세일"))))</f>
        <v>홀세일</v>
      </c>
      <c r="B1495" s="36" t="s">
        <v>1523</v>
      </c>
      <c r="C1495" s="37" t="s">
        <v>1524</v>
      </c>
      <c r="D1495" s="37" t="s">
        <v>123</v>
      </c>
      <c r="E1495" s="36" t="n">
        <v>2026</v>
      </c>
      <c r="F1495" s="37" t="s">
        <v>101</v>
      </c>
      <c r="G1495" s="37" t="s">
        <v>124</v>
      </c>
      <c r="H1495" s="36" t="s">
        <v>188</v>
      </c>
      <c r="I1495" s="36" t="s">
        <v>205</v>
      </c>
      <c r="J1495" s="36" t="s">
        <v>206</v>
      </c>
      <c r="K1495" s="38" t="n">
        <v>6</v>
      </c>
      <c r="L1495" s="38" t="n">
        <v>894000</v>
      </c>
      <c r="M1495" s="38" t="n">
        <v>328974</v>
      </c>
      <c r="N1495" s="39" t="n">
        <f aca="false">IF(A1495="제외",0,IF(OR(N(L1495)&lt;=0,N(M1495)&gt;N(L1495)),N(M1495)/요약!$D$27,N(L1495)))</f>
        <v>894000</v>
      </c>
      <c r="O1495" s="32" t="str">
        <f aca="false">IF(A1495="제외","",IF(OR(N(L1495)&lt;=0,N(M1495)&gt;N(L1495)),"택가보정(판매금액÷공급율)",""))</f>
        <v/>
      </c>
      <c r="P1495" s="0" t="str">
        <f aca="false">IF(A1495="HK","100",IF(A1495="CN","200",IF(A1495="TW","300",IF(ISNUMBER(SEARCH("태국",C1495)),"500",IF(ISNUMBER(SEARCH("말레이",C1495)),"600",IF(ISNUMBER(SEARCH("필리핀",C1495)),"700",IF(ISNUMBER(SEARCH("인도네시아",C1495)),"800",IF(ISNUMBER(SEARCH("크루즈",C1495)),"810",IF(ISNUMBER(SEARCH("동물원",C1495)),"830","")))))))))</f>
        <v>830</v>
      </c>
    </row>
    <row r="1496" customFormat="false" ht="15" hidden="false" customHeight="false" outlineLevel="0" collapsed="false">
      <c r="A1496" s="32" t="str">
        <f aca="false">IF(OR(TRIM(C1496)="",SUBSTITUTE(C1496," ","")="소계"),"제외",IF(ISNUMBER(SEARCH("홍콩",C1496)),"HK",IF(ISNUMBER(SEARCH("상해",C1496)),"CN",IF(ISNUMBER(SEARCH("대만",C1496)),"TW","홀세일"))))</f>
        <v>홀세일</v>
      </c>
      <c r="B1496" s="36" t="s">
        <v>1523</v>
      </c>
      <c r="C1496" s="37" t="s">
        <v>1524</v>
      </c>
      <c r="D1496" s="37" t="s">
        <v>123</v>
      </c>
      <c r="E1496" s="36" t="n">
        <v>2026</v>
      </c>
      <c r="F1496" s="37" t="s">
        <v>219</v>
      </c>
      <c r="G1496" s="37" t="s">
        <v>102</v>
      </c>
      <c r="H1496" s="36" t="s">
        <v>131</v>
      </c>
      <c r="I1496" s="36" t="s">
        <v>1284</v>
      </c>
      <c r="J1496" s="37" t="s">
        <v>1285</v>
      </c>
      <c r="K1496" s="38" t="n">
        <v>400</v>
      </c>
      <c r="L1496" s="38" t="n">
        <v>18000000</v>
      </c>
      <c r="M1496" s="38" t="n">
        <v>7368000</v>
      </c>
      <c r="N1496" s="39" t="n">
        <f aca="false">IF(A1496="제외",0,IF(OR(N(L1496)&lt;=0,N(M1496)&gt;N(L1496)),N(M1496)/요약!$D$27,N(L1496)))</f>
        <v>18000000</v>
      </c>
      <c r="O1496" s="32" t="str">
        <f aca="false">IF(A1496="제외","",IF(OR(N(L1496)&lt;=0,N(M1496)&gt;N(L1496)),"택가보정(판매금액÷공급율)",""))</f>
        <v/>
      </c>
      <c r="P1496" s="0" t="str">
        <f aca="false">IF(A1496="HK","100",IF(A1496="CN","200",IF(A1496="TW","300",IF(ISNUMBER(SEARCH("태국",C1496)),"500",IF(ISNUMBER(SEARCH("말레이",C1496)),"600",IF(ISNUMBER(SEARCH("필리핀",C1496)),"700",IF(ISNUMBER(SEARCH("인도네시아",C1496)),"800",IF(ISNUMBER(SEARCH("크루즈",C1496)),"810",IF(ISNUMBER(SEARCH("동물원",C1496)),"830","")))))))))</f>
        <v>830</v>
      </c>
    </row>
    <row r="1497" customFormat="false" ht="15" hidden="false" customHeight="false" outlineLevel="0" collapsed="false">
      <c r="A1497" s="32" t="str">
        <f aca="false">IF(OR(TRIM(C1497)="",SUBSTITUTE(C1497," ","")="소계"),"제외",IF(ISNUMBER(SEARCH("홍콩",C1497)),"HK",IF(ISNUMBER(SEARCH("상해",C1497)),"CN",IF(ISNUMBER(SEARCH("대만",C1497)),"TW","홀세일"))))</f>
        <v>홀세일</v>
      </c>
      <c r="B1497" s="36" t="s">
        <v>1523</v>
      </c>
      <c r="C1497" s="37" t="s">
        <v>1524</v>
      </c>
      <c r="D1497" s="37" t="s">
        <v>123</v>
      </c>
      <c r="E1497" s="36" t="n">
        <v>2026</v>
      </c>
      <c r="F1497" s="37" t="s">
        <v>219</v>
      </c>
      <c r="G1497" s="37" t="s">
        <v>124</v>
      </c>
      <c r="H1497" s="36" t="s">
        <v>131</v>
      </c>
      <c r="I1497" s="36" t="s">
        <v>294</v>
      </c>
      <c r="J1497" s="37" t="s">
        <v>295</v>
      </c>
      <c r="K1497" s="38" t="n">
        <v>131</v>
      </c>
      <c r="L1497" s="38" t="n">
        <v>7729000</v>
      </c>
      <c r="M1497" s="38" t="n">
        <v>2845189</v>
      </c>
      <c r="N1497" s="39" t="n">
        <f aca="false">IF(A1497="제외",0,IF(OR(N(L1497)&lt;=0,N(M1497)&gt;N(L1497)),N(M1497)/요약!$D$27,N(L1497)))</f>
        <v>7729000</v>
      </c>
      <c r="O1497" s="32" t="str">
        <f aca="false">IF(A1497="제외","",IF(OR(N(L1497)&lt;=0,N(M1497)&gt;N(L1497)),"택가보정(판매금액÷공급율)",""))</f>
        <v/>
      </c>
      <c r="P1497" s="0" t="str">
        <f aca="false">IF(A1497="HK","100",IF(A1497="CN","200",IF(A1497="TW","300",IF(ISNUMBER(SEARCH("태국",C1497)),"500",IF(ISNUMBER(SEARCH("말레이",C1497)),"600",IF(ISNUMBER(SEARCH("필리핀",C1497)),"700",IF(ISNUMBER(SEARCH("인도네시아",C1497)),"800",IF(ISNUMBER(SEARCH("크루즈",C1497)),"810",IF(ISNUMBER(SEARCH("동물원",C1497)),"830","")))))))))</f>
        <v>830</v>
      </c>
    </row>
    <row r="1498" customFormat="false" ht="15" hidden="false" customHeight="false" outlineLevel="0" collapsed="false">
      <c r="A1498" s="32" t="str">
        <f aca="false">IF(OR(TRIM(C1498)="",SUBSTITUTE(C1498," ","")="소계"),"제외",IF(ISNUMBER(SEARCH("홍콩",C1498)),"HK",IF(ISNUMBER(SEARCH("상해",C1498)),"CN",IF(ISNUMBER(SEARCH("대만",C1498)),"TW","홀세일"))))</f>
        <v>홀세일</v>
      </c>
      <c r="B1498" s="36" t="s">
        <v>1523</v>
      </c>
      <c r="C1498" s="37" t="s">
        <v>1524</v>
      </c>
      <c r="D1498" s="37" t="s">
        <v>123</v>
      </c>
      <c r="E1498" s="36" t="n">
        <v>2026</v>
      </c>
      <c r="F1498" s="37" t="s">
        <v>363</v>
      </c>
      <c r="G1498" s="37" t="s">
        <v>102</v>
      </c>
      <c r="H1498" s="36" t="s">
        <v>131</v>
      </c>
      <c r="I1498" s="36" t="s">
        <v>866</v>
      </c>
      <c r="J1498" s="36" t="s">
        <v>867</v>
      </c>
      <c r="K1498" s="38" t="n">
        <v>350</v>
      </c>
      <c r="L1498" s="38" t="n">
        <v>38150000</v>
      </c>
      <c r="M1498" s="38" t="n">
        <v>12980450</v>
      </c>
      <c r="N1498" s="39" t="n">
        <f aca="false">IF(A1498="제외",0,IF(OR(N(L1498)&lt;=0,N(M1498)&gt;N(L1498)),N(M1498)/요약!$D$27,N(L1498)))</f>
        <v>38150000</v>
      </c>
      <c r="O1498" s="32" t="str">
        <f aca="false">IF(A1498="제외","",IF(OR(N(L1498)&lt;=0,N(M1498)&gt;N(L1498)),"택가보정(판매금액÷공급율)",""))</f>
        <v/>
      </c>
      <c r="P1498" s="0" t="str">
        <f aca="false">IF(A1498="HK","100",IF(A1498="CN","200",IF(A1498="TW","300",IF(ISNUMBER(SEARCH("태국",C1498)),"500",IF(ISNUMBER(SEARCH("말레이",C1498)),"600",IF(ISNUMBER(SEARCH("필리핀",C1498)),"700",IF(ISNUMBER(SEARCH("인도네시아",C1498)),"800",IF(ISNUMBER(SEARCH("크루즈",C1498)),"810",IF(ISNUMBER(SEARCH("동물원",C1498)),"830","")))))))))</f>
        <v>830</v>
      </c>
    </row>
    <row r="1499" customFormat="false" ht="15" hidden="false" customHeight="false" outlineLevel="0" collapsed="false">
      <c r="A1499" s="32" t="str">
        <f aca="false">IF(OR(TRIM(C1499)="",SUBSTITUTE(C1499," ","")="소계"),"제외",IF(ISNUMBER(SEARCH("홍콩",C1499)),"HK",IF(ISNUMBER(SEARCH("상해",C1499)),"CN",IF(ISNUMBER(SEARCH("대만",C1499)),"TW","홀세일"))))</f>
        <v>홀세일</v>
      </c>
      <c r="B1499" s="36" t="s">
        <v>1523</v>
      </c>
      <c r="C1499" s="37" t="s">
        <v>1524</v>
      </c>
      <c r="D1499" s="37" t="s">
        <v>123</v>
      </c>
      <c r="E1499" s="36" t="n">
        <v>2026</v>
      </c>
      <c r="F1499" s="37" t="s">
        <v>363</v>
      </c>
      <c r="G1499" s="37" t="s">
        <v>102</v>
      </c>
      <c r="H1499" s="36" t="s">
        <v>131</v>
      </c>
      <c r="I1499" s="36" t="s">
        <v>372</v>
      </c>
      <c r="J1499" s="36" t="s">
        <v>373</v>
      </c>
      <c r="K1499" s="38" t="n">
        <v>500</v>
      </c>
      <c r="L1499" s="38" t="n">
        <v>49500000</v>
      </c>
      <c r="M1499" s="38" t="n">
        <v>16845500</v>
      </c>
      <c r="N1499" s="39" t="n">
        <f aca="false">IF(A1499="제외",0,IF(OR(N(L1499)&lt;=0,N(M1499)&gt;N(L1499)),N(M1499)/요약!$D$27,N(L1499)))</f>
        <v>49500000</v>
      </c>
      <c r="O1499" s="32" t="str">
        <f aca="false">IF(A1499="제외","",IF(OR(N(L1499)&lt;=0,N(M1499)&gt;N(L1499)),"택가보정(판매금액÷공급율)",""))</f>
        <v/>
      </c>
      <c r="P1499" s="0" t="str">
        <f aca="false">IF(A1499="HK","100",IF(A1499="CN","200",IF(A1499="TW","300",IF(ISNUMBER(SEARCH("태국",C1499)),"500",IF(ISNUMBER(SEARCH("말레이",C1499)),"600",IF(ISNUMBER(SEARCH("필리핀",C1499)),"700",IF(ISNUMBER(SEARCH("인도네시아",C1499)),"800",IF(ISNUMBER(SEARCH("크루즈",C1499)),"810",IF(ISNUMBER(SEARCH("동물원",C1499)),"830","")))))))))</f>
        <v>830</v>
      </c>
    </row>
    <row r="1500" customFormat="false" ht="15" hidden="false" customHeight="false" outlineLevel="0" collapsed="false">
      <c r="A1500" s="32" t="str">
        <f aca="false">IF(OR(TRIM(C1500)="",SUBSTITUTE(C1500," ","")="소계"),"제외",IF(ISNUMBER(SEARCH("홍콩",C1500)),"HK",IF(ISNUMBER(SEARCH("상해",C1500)),"CN",IF(ISNUMBER(SEARCH("대만",C1500)),"TW","홀세일"))))</f>
        <v>홀세일</v>
      </c>
      <c r="B1500" s="36" t="s">
        <v>1523</v>
      </c>
      <c r="C1500" s="37" t="s">
        <v>1524</v>
      </c>
      <c r="D1500" s="37" t="s">
        <v>123</v>
      </c>
      <c r="E1500" s="36" t="n">
        <v>2026</v>
      </c>
      <c r="F1500" s="37" t="s">
        <v>363</v>
      </c>
      <c r="G1500" s="37" t="s">
        <v>102</v>
      </c>
      <c r="H1500" s="36" t="s">
        <v>131</v>
      </c>
      <c r="I1500" s="36" t="s">
        <v>374</v>
      </c>
      <c r="J1500" s="36" t="s">
        <v>375</v>
      </c>
      <c r="K1500" s="38" t="n">
        <v>30</v>
      </c>
      <c r="L1500" s="38" t="n">
        <v>2070000</v>
      </c>
      <c r="M1500" s="38" t="n">
        <v>705060</v>
      </c>
      <c r="N1500" s="39" t="n">
        <f aca="false">IF(A1500="제외",0,IF(OR(N(L1500)&lt;=0,N(M1500)&gt;N(L1500)),N(M1500)/요약!$D$27,N(L1500)))</f>
        <v>2070000</v>
      </c>
      <c r="O1500" s="32" t="str">
        <f aca="false">IF(A1500="제외","",IF(OR(N(L1500)&lt;=0,N(M1500)&gt;N(L1500)),"택가보정(판매금액÷공급율)",""))</f>
        <v/>
      </c>
      <c r="P1500" s="0" t="str">
        <f aca="false">IF(A1500="HK","100",IF(A1500="CN","200",IF(A1500="TW","300",IF(ISNUMBER(SEARCH("태국",C1500)),"500",IF(ISNUMBER(SEARCH("말레이",C1500)),"600",IF(ISNUMBER(SEARCH("필리핀",C1500)),"700",IF(ISNUMBER(SEARCH("인도네시아",C1500)),"800",IF(ISNUMBER(SEARCH("크루즈",C1500)),"810",IF(ISNUMBER(SEARCH("동물원",C1500)),"830","")))))))))</f>
        <v>830</v>
      </c>
    </row>
    <row r="1501" customFormat="false" ht="15" hidden="false" customHeight="false" outlineLevel="0" collapsed="false">
      <c r="A1501" s="32" t="str">
        <f aca="false">IF(OR(TRIM(C1501)="",SUBSTITUTE(C1501," ","")="소계"),"제외",IF(ISNUMBER(SEARCH("홍콩",C1501)),"HK",IF(ISNUMBER(SEARCH("상해",C1501)),"CN",IF(ISNUMBER(SEARCH("대만",C1501)),"TW","홀세일"))))</f>
        <v>홀세일</v>
      </c>
      <c r="B1501" s="36" t="s">
        <v>1523</v>
      </c>
      <c r="C1501" s="37" t="s">
        <v>1524</v>
      </c>
      <c r="D1501" s="37" t="s">
        <v>123</v>
      </c>
      <c r="E1501" s="36" t="n">
        <v>2026</v>
      </c>
      <c r="F1501" s="37" t="s">
        <v>363</v>
      </c>
      <c r="G1501" s="37" t="s">
        <v>102</v>
      </c>
      <c r="H1501" s="36" t="s">
        <v>131</v>
      </c>
      <c r="I1501" s="36" t="s">
        <v>376</v>
      </c>
      <c r="J1501" s="36" t="s">
        <v>377</v>
      </c>
      <c r="K1501" s="38" t="n">
        <v>1000</v>
      </c>
      <c r="L1501" s="38" t="n">
        <v>89000000</v>
      </c>
      <c r="M1501" s="38" t="n">
        <v>30295000</v>
      </c>
      <c r="N1501" s="39" t="n">
        <f aca="false">IF(A1501="제외",0,IF(OR(N(L1501)&lt;=0,N(M1501)&gt;N(L1501)),N(M1501)/요약!$D$27,N(L1501)))</f>
        <v>89000000</v>
      </c>
      <c r="O1501" s="32" t="str">
        <f aca="false">IF(A1501="제외","",IF(OR(N(L1501)&lt;=0,N(M1501)&gt;N(L1501)),"택가보정(판매금액÷공급율)",""))</f>
        <v/>
      </c>
      <c r="P1501" s="0" t="str">
        <f aca="false">IF(A1501="HK","100",IF(A1501="CN","200",IF(A1501="TW","300",IF(ISNUMBER(SEARCH("태국",C1501)),"500",IF(ISNUMBER(SEARCH("말레이",C1501)),"600",IF(ISNUMBER(SEARCH("필리핀",C1501)),"700",IF(ISNUMBER(SEARCH("인도네시아",C1501)),"800",IF(ISNUMBER(SEARCH("크루즈",C1501)),"810",IF(ISNUMBER(SEARCH("동물원",C1501)),"830","")))))))))</f>
        <v>830</v>
      </c>
    </row>
    <row r="1502" customFormat="false" ht="15" hidden="false" customHeight="false" outlineLevel="0" collapsed="false">
      <c r="A1502" s="32" t="str">
        <f aca="false">IF(OR(TRIM(C1502)="",SUBSTITUTE(C1502," ","")="소계"),"제외",IF(ISNUMBER(SEARCH("홍콩",C1502)),"HK",IF(ISNUMBER(SEARCH("상해",C1502)),"CN",IF(ISNUMBER(SEARCH("대만",C1502)),"TW","홀세일"))))</f>
        <v>홀세일</v>
      </c>
      <c r="B1502" s="36" t="s">
        <v>1523</v>
      </c>
      <c r="C1502" s="37" t="s">
        <v>1524</v>
      </c>
      <c r="D1502" s="37" t="s">
        <v>123</v>
      </c>
      <c r="E1502" s="36" t="n">
        <v>2026</v>
      </c>
      <c r="F1502" s="37" t="s">
        <v>363</v>
      </c>
      <c r="G1502" s="37" t="s">
        <v>102</v>
      </c>
      <c r="H1502" s="36" t="s">
        <v>131</v>
      </c>
      <c r="I1502" s="36" t="s">
        <v>378</v>
      </c>
      <c r="J1502" s="36" t="s">
        <v>379</v>
      </c>
      <c r="K1502" s="38" t="n">
        <v>300</v>
      </c>
      <c r="L1502" s="38" t="n">
        <v>23700000</v>
      </c>
      <c r="M1502" s="38" t="n">
        <v>8069400</v>
      </c>
      <c r="N1502" s="39" t="n">
        <f aca="false">IF(A1502="제외",0,IF(OR(N(L1502)&lt;=0,N(M1502)&gt;N(L1502)),N(M1502)/요약!$D$27,N(L1502)))</f>
        <v>23700000</v>
      </c>
      <c r="O1502" s="32" t="str">
        <f aca="false">IF(A1502="제외","",IF(OR(N(L1502)&lt;=0,N(M1502)&gt;N(L1502)),"택가보정(판매금액÷공급율)",""))</f>
        <v/>
      </c>
      <c r="P1502" s="0" t="str">
        <f aca="false">IF(A1502="HK","100",IF(A1502="CN","200",IF(A1502="TW","300",IF(ISNUMBER(SEARCH("태국",C1502)),"500",IF(ISNUMBER(SEARCH("말레이",C1502)),"600",IF(ISNUMBER(SEARCH("필리핀",C1502)),"700",IF(ISNUMBER(SEARCH("인도네시아",C1502)),"800",IF(ISNUMBER(SEARCH("크루즈",C1502)),"810",IF(ISNUMBER(SEARCH("동물원",C1502)),"830","")))))))))</f>
        <v>830</v>
      </c>
    </row>
    <row r="1503" customFormat="false" ht="15" hidden="false" customHeight="false" outlineLevel="0" collapsed="false">
      <c r="A1503" s="32" t="str">
        <f aca="false">IF(OR(TRIM(C1503)="",SUBSTITUTE(C1503," ","")="소계"),"제외",IF(ISNUMBER(SEARCH("홍콩",C1503)),"HK",IF(ISNUMBER(SEARCH("상해",C1503)),"CN",IF(ISNUMBER(SEARCH("대만",C1503)),"TW","홀세일"))))</f>
        <v>홀세일</v>
      </c>
      <c r="B1503" s="36" t="s">
        <v>1523</v>
      </c>
      <c r="C1503" s="37" t="s">
        <v>1524</v>
      </c>
      <c r="D1503" s="37" t="s">
        <v>123</v>
      </c>
      <c r="E1503" s="36" t="n">
        <v>2026</v>
      </c>
      <c r="F1503" s="37" t="s">
        <v>363</v>
      </c>
      <c r="G1503" s="37" t="s">
        <v>102</v>
      </c>
      <c r="H1503" s="36" t="s">
        <v>131</v>
      </c>
      <c r="I1503" s="36" t="s">
        <v>874</v>
      </c>
      <c r="J1503" s="36" t="s">
        <v>875</v>
      </c>
      <c r="K1503" s="38" t="n">
        <v>110</v>
      </c>
      <c r="L1503" s="38" t="n">
        <v>8690000</v>
      </c>
      <c r="M1503" s="38" t="n">
        <v>2958780</v>
      </c>
      <c r="N1503" s="39" t="n">
        <f aca="false">IF(A1503="제외",0,IF(OR(N(L1503)&lt;=0,N(M1503)&gt;N(L1503)),N(M1503)/요약!$D$27,N(L1503)))</f>
        <v>8690000</v>
      </c>
      <c r="O1503" s="32" t="str">
        <f aca="false">IF(A1503="제외","",IF(OR(N(L1503)&lt;=0,N(M1503)&gt;N(L1503)),"택가보정(판매금액÷공급율)",""))</f>
        <v/>
      </c>
      <c r="P1503" s="0" t="str">
        <f aca="false">IF(A1503="HK","100",IF(A1503="CN","200",IF(A1503="TW","300",IF(ISNUMBER(SEARCH("태국",C1503)),"500",IF(ISNUMBER(SEARCH("말레이",C1503)),"600",IF(ISNUMBER(SEARCH("필리핀",C1503)),"700",IF(ISNUMBER(SEARCH("인도네시아",C1503)),"800",IF(ISNUMBER(SEARCH("크루즈",C1503)),"810",IF(ISNUMBER(SEARCH("동물원",C1503)),"830","")))))))))</f>
        <v>830</v>
      </c>
    </row>
    <row r="1504" customFormat="false" ht="15" hidden="false" customHeight="false" outlineLevel="0" collapsed="false">
      <c r="A1504" s="32" t="str">
        <f aca="false">IF(OR(TRIM(C1504)="",SUBSTITUTE(C1504," ","")="소계"),"제외",IF(ISNUMBER(SEARCH("홍콩",C1504)),"HK",IF(ISNUMBER(SEARCH("상해",C1504)),"CN",IF(ISNUMBER(SEARCH("대만",C1504)),"TW","홀세일"))))</f>
        <v>홀세일</v>
      </c>
      <c r="B1504" s="36" t="s">
        <v>1523</v>
      </c>
      <c r="C1504" s="37" t="s">
        <v>1524</v>
      </c>
      <c r="D1504" s="37" t="s">
        <v>123</v>
      </c>
      <c r="E1504" s="36" t="n">
        <v>2026</v>
      </c>
      <c r="F1504" s="37" t="s">
        <v>363</v>
      </c>
      <c r="G1504" s="37" t="s">
        <v>124</v>
      </c>
      <c r="H1504" s="36" t="s">
        <v>131</v>
      </c>
      <c r="I1504" s="36" t="s">
        <v>414</v>
      </c>
      <c r="J1504" s="37" t="s">
        <v>415</v>
      </c>
      <c r="K1504" s="38" t="n">
        <v>35</v>
      </c>
      <c r="L1504" s="38" t="n">
        <v>5215000</v>
      </c>
      <c r="M1504" s="38" t="n">
        <v>1699740</v>
      </c>
      <c r="N1504" s="39" t="n">
        <f aca="false">IF(A1504="제외",0,IF(OR(N(L1504)&lt;=0,N(M1504)&gt;N(L1504)),N(M1504)/요약!$D$27,N(L1504)))</f>
        <v>5215000</v>
      </c>
      <c r="O1504" s="32" t="str">
        <f aca="false">IF(A1504="제외","",IF(OR(N(L1504)&lt;=0,N(M1504)&gt;N(L1504)),"택가보정(판매금액÷공급율)",""))</f>
        <v/>
      </c>
      <c r="P1504" s="0" t="str">
        <f aca="false">IF(A1504="HK","100",IF(A1504="CN","200",IF(A1504="TW","300",IF(ISNUMBER(SEARCH("태국",C1504)),"500",IF(ISNUMBER(SEARCH("말레이",C1504)),"600",IF(ISNUMBER(SEARCH("필리핀",C1504)),"700",IF(ISNUMBER(SEARCH("인도네시아",C1504)),"800",IF(ISNUMBER(SEARCH("크루즈",C1504)),"810",IF(ISNUMBER(SEARCH("동물원",C1504)),"830","")))))))))</f>
        <v>830</v>
      </c>
    </row>
    <row r="1505" customFormat="false" ht="15" hidden="false" customHeight="false" outlineLevel="0" collapsed="false">
      <c r="A1505" s="32" t="str">
        <f aca="false">IF(OR(TRIM(C1505)="",SUBSTITUTE(C1505," ","")="소계"),"제외",IF(ISNUMBER(SEARCH("홍콩",C1505)),"HK",IF(ISNUMBER(SEARCH("상해",C1505)),"CN",IF(ISNUMBER(SEARCH("대만",C1505)),"TW","홀세일"))))</f>
        <v>홀세일</v>
      </c>
      <c r="B1505" s="36" t="s">
        <v>1523</v>
      </c>
      <c r="C1505" s="37" t="s">
        <v>1524</v>
      </c>
      <c r="D1505" s="37" t="s">
        <v>123</v>
      </c>
      <c r="E1505" s="36" t="n">
        <v>2026</v>
      </c>
      <c r="F1505" s="37" t="s">
        <v>363</v>
      </c>
      <c r="G1505" s="37" t="s">
        <v>124</v>
      </c>
      <c r="H1505" s="36" t="s">
        <v>125</v>
      </c>
      <c r="I1505" s="36" t="s">
        <v>418</v>
      </c>
      <c r="J1505" s="37" t="s">
        <v>419</v>
      </c>
      <c r="K1505" s="38" t="n">
        <v>45</v>
      </c>
      <c r="L1505" s="38" t="n">
        <v>6255000</v>
      </c>
      <c r="M1505" s="38" t="n">
        <v>2035980</v>
      </c>
      <c r="N1505" s="39" t="n">
        <f aca="false">IF(A1505="제외",0,IF(OR(N(L1505)&lt;=0,N(M1505)&gt;N(L1505)),N(M1505)/요약!$D$27,N(L1505)))</f>
        <v>6255000</v>
      </c>
      <c r="O1505" s="32" t="str">
        <f aca="false">IF(A1505="제외","",IF(OR(N(L1505)&lt;=0,N(M1505)&gt;N(L1505)),"택가보정(판매금액÷공급율)",""))</f>
        <v/>
      </c>
      <c r="P1505" s="0" t="str">
        <f aca="false">IF(A1505="HK","100",IF(A1505="CN","200",IF(A1505="TW","300",IF(ISNUMBER(SEARCH("태국",C1505)),"500",IF(ISNUMBER(SEARCH("말레이",C1505)),"600",IF(ISNUMBER(SEARCH("필리핀",C1505)),"700",IF(ISNUMBER(SEARCH("인도네시아",C1505)),"800",IF(ISNUMBER(SEARCH("크루즈",C1505)),"810",IF(ISNUMBER(SEARCH("동물원",C1505)),"830","")))))))))</f>
        <v>830</v>
      </c>
    </row>
    <row r="1506" customFormat="false" ht="15" hidden="false" customHeight="false" outlineLevel="0" collapsed="false">
      <c r="A1506" s="32" t="str">
        <f aca="false">IF(OR(TRIM(C1506)="",SUBSTITUTE(C1506," ","")="소계"),"제외",IF(ISNUMBER(SEARCH("홍콩",C1506)),"HK",IF(ISNUMBER(SEARCH("상해",C1506)),"CN",IF(ISNUMBER(SEARCH("대만",C1506)),"TW","홀세일"))))</f>
        <v>홀세일</v>
      </c>
      <c r="B1506" s="36" t="s">
        <v>1523</v>
      </c>
      <c r="C1506" s="37" t="s">
        <v>1524</v>
      </c>
      <c r="D1506" s="37" t="s">
        <v>123</v>
      </c>
      <c r="E1506" s="36" t="n">
        <v>2026</v>
      </c>
      <c r="F1506" s="37" t="s">
        <v>363</v>
      </c>
      <c r="G1506" s="37" t="s">
        <v>124</v>
      </c>
      <c r="H1506" s="36" t="s">
        <v>131</v>
      </c>
      <c r="I1506" s="36" t="s">
        <v>420</v>
      </c>
      <c r="J1506" s="37" t="s">
        <v>421</v>
      </c>
      <c r="K1506" s="38" t="n">
        <v>35</v>
      </c>
      <c r="L1506" s="38" t="n">
        <v>9065000</v>
      </c>
      <c r="M1506" s="38" t="n">
        <v>2411605</v>
      </c>
      <c r="N1506" s="39" t="n">
        <f aca="false">IF(A1506="제외",0,IF(OR(N(L1506)&lt;=0,N(M1506)&gt;N(L1506)),N(M1506)/요약!$D$27,N(L1506)))</f>
        <v>9065000</v>
      </c>
      <c r="O1506" s="32" t="str">
        <f aca="false">IF(A1506="제외","",IF(OR(N(L1506)&lt;=0,N(M1506)&gt;N(L1506)),"택가보정(판매금액÷공급율)",""))</f>
        <v/>
      </c>
      <c r="P1506" s="0" t="str">
        <f aca="false">IF(A1506="HK","100",IF(A1506="CN","200",IF(A1506="TW","300",IF(ISNUMBER(SEARCH("태국",C1506)),"500",IF(ISNUMBER(SEARCH("말레이",C1506)),"600",IF(ISNUMBER(SEARCH("필리핀",C1506)),"700",IF(ISNUMBER(SEARCH("인도네시아",C1506)),"800",IF(ISNUMBER(SEARCH("크루즈",C1506)),"810",IF(ISNUMBER(SEARCH("동물원",C1506)),"830","")))))))))</f>
        <v>830</v>
      </c>
    </row>
    <row r="1507" customFormat="false" ht="15" hidden="false" customHeight="false" outlineLevel="0" collapsed="false">
      <c r="A1507" s="32" t="str">
        <f aca="false">IF(OR(TRIM(C1507)="",SUBSTITUTE(C1507," ","")="소계"),"제외",IF(ISNUMBER(SEARCH("홍콩",C1507)),"HK",IF(ISNUMBER(SEARCH("상해",C1507)),"CN",IF(ISNUMBER(SEARCH("대만",C1507)),"TW","홀세일"))))</f>
        <v>홀세일</v>
      </c>
      <c r="B1507" s="36" t="s">
        <v>1523</v>
      </c>
      <c r="C1507" s="37" t="s">
        <v>1524</v>
      </c>
      <c r="D1507" s="37" t="s">
        <v>123</v>
      </c>
      <c r="E1507" s="36" t="n">
        <v>2026</v>
      </c>
      <c r="F1507" s="37" t="s">
        <v>363</v>
      </c>
      <c r="G1507" s="37" t="s">
        <v>124</v>
      </c>
      <c r="H1507" s="36" t="s">
        <v>131</v>
      </c>
      <c r="I1507" s="36" t="s">
        <v>1600</v>
      </c>
      <c r="J1507" s="37" t="s">
        <v>1601</v>
      </c>
      <c r="K1507" s="38" t="n">
        <v>30</v>
      </c>
      <c r="L1507" s="38" t="n">
        <v>7470000</v>
      </c>
      <c r="M1507" s="38" t="n">
        <v>2590110</v>
      </c>
      <c r="N1507" s="39" t="n">
        <f aca="false">IF(A1507="제외",0,IF(OR(N(L1507)&lt;=0,N(M1507)&gt;N(L1507)),N(M1507)/요약!$D$27,N(L1507)))</f>
        <v>7470000</v>
      </c>
      <c r="O1507" s="32" t="str">
        <f aca="false">IF(A1507="제외","",IF(OR(N(L1507)&lt;=0,N(M1507)&gt;N(L1507)),"택가보정(판매금액÷공급율)",""))</f>
        <v/>
      </c>
      <c r="P1507" s="0" t="str">
        <f aca="false">IF(A1507="HK","100",IF(A1507="CN","200",IF(A1507="TW","300",IF(ISNUMBER(SEARCH("태국",C1507)),"500",IF(ISNUMBER(SEARCH("말레이",C1507)),"600",IF(ISNUMBER(SEARCH("필리핀",C1507)),"700",IF(ISNUMBER(SEARCH("인도네시아",C1507)),"800",IF(ISNUMBER(SEARCH("크루즈",C1507)),"810",IF(ISNUMBER(SEARCH("동물원",C1507)),"830","")))))))))</f>
        <v>830</v>
      </c>
    </row>
    <row r="1508" customFormat="false" ht="15" hidden="false" customHeight="false" outlineLevel="0" collapsed="false">
      <c r="A1508" s="32" t="str">
        <f aca="false">IF(OR(TRIM(C1508)="",SUBSTITUTE(C1508," ","")="소계"),"제외",IF(ISNUMBER(SEARCH("홍콩",C1508)),"HK",IF(ISNUMBER(SEARCH("상해",C1508)),"CN",IF(ISNUMBER(SEARCH("대만",C1508)),"TW","홀세일"))))</f>
        <v>홀세일</v>
      </c>
      <c r="B1508" s="36" t="s">
        <v>1523</v>
      </c>
      <c r="C1508" s="37" t="s">
        <v>1524</v>
      </c>
      <c r="D1508" s="37" t="s">
        <v>123</v>
      </c>
      <c r="E1508" s="36" t="n">
        <v>2026</v>
      </c>
      <c r="F1508" s="37" t="s">
        <v>363</v>
      </c>
      <c r="G1508" s="37" t="s">
        <v>124</v>
      </c>
      <c r="H1508" s="36" t="s">
        <v>131</v>
      </c>
      <c r="I1508" s="36" t="s">
        <v>442</v>
      </c>
      <c r="J1508" s="37" t="s">
        <v>443</v>
      </c>
      <c r="K1508" s="38" t="n">
        <v>175</v>
      </c>
      <c r="L1508" s="38" t="n">
        <v>13825000</v>
      </c>
      <c r="M1508" s="38" t="n">
        <v>3875200</v>
      </c>
      <c r="N1508" s="39" t="n">
        <f aca="false">IF(A1508="제외",0,IF(OR(N(L1508)&lt;=0,N(M1508)&gt;N(L1508)),N(M1508)/요약!$D$27,N(L1508)))</f>
        <v>13825000</v>
      </c>
      <c r="O1508" s="32" t="str">
        <f aca="false">IF(A1508="제외","",IF(OR(N(L1508)&lt;=0,N(M1508)&gt;N(L1508)),"택가보정(판매금액÷공급율)",""))</f>
        <v/>
      </c>
      <c r="P1508" s="0" t="str">
        <f aca="false">IF(A1508="HK","100",IF(A1508="CN","200",IF(A1508="TW","300",IF(ISNUMBER(SEARCH("태국",C1508)),"500",IF(ISNUMBER(SEARCH("말레이",C1508)),"600",IF(ISNUMBER(SEARCH("필리핀",C1508)),"700",IF(ISNUMBER(SEARCH("인도네시아",C1508)),"800",IF(ISNUMBER(SEARCH("크루즈",C1508)),"810",IF(ISNUMBER(SEARCH("동물원",C1508)),"830","")))))))))</f>
        <v>830</v>
      </c>
    </row>
    <row r="1509" customFormat="false" ht="15" hidden="false" customHeight="false" outlineLevel="0" collapsed="false">
      <c r="A1509" s="32" t="str">
        <f aca="false">IF(OR(TRIM(C1509)="",SUBSTITUTE(C1509," ","")="소계"),"제외",IF(ISNUMBER(SEARCH("홍콩",C1509)),"HK",IF(ISNUMBER(SEARCH("상해",C1509)),"CN",IF(ISNUMBER(SEARCH("대만",C1509)),"TW","홀세일"))))</f>
        <v>홀세일</v>
      </c>
      <c r="B1509" s="36" t="s">
        <v>1523</v>
      </c>
      <c r="C1509" s="37" t="s">
        <v>1524</v>
      </c>
      <c r="D1509" s="37" t="s">
        <v>123</v>
      </c>
      <c r="E1509" s="36" t="n">
        <v>2026</v>
      </c>
      <c r="F1509" s="37" t="s">
        <v>363</v>
      </c>
      <c r="G1509" s="37" t="s">
        <v>124</v>
      </c>
      <c r="H1509" s="36" t="s">
        <v>125</v>
      </c>
      <c r="I1509" s="36" t="s">
        <v>450</v>
      </c>
      <c r="J1509" s="37" t="s">
        <v>451</v>
      </c>
      <c r="K1509" s="38" t="n">
        <v>220</v>
      </c>
      <c r="L1509" s="38" t="n">
        <v>15180000</v>
      </c>
      <c r="M1509" s="38" t="n">
        <v>4848360</v>
      </c>
      <c r="N1509" s="39" t="n">
        <f aca="false">IF(A1509="제외",0,IF(OR(N(L1509)&lt;=0,N(M1509)&gt;N(L1509)),N(M1509)/요약!$D$27,N(L1509)))</f>
        <v>15180000</v>
      </c>
      <c r="O1509" s="32" t="str">
        <f aca="false">IF(A1509="제외","",IF(OR(N(L1509)&lt;=0,N(M1509)&gt;N(L1509)),"택가보정(판매금액÷공급율)",""))</f>
        <v/>
      </c>
      <c r="P1509" s="0" t="str">
        <f aca="false">IF(A1509="HK","100",IF(A1509="CN","200",IF(A1509="TW","300",IF(ISNUMBER(SEARCH("태국",C1509)),"500",IF(ISNUMBER(SEARCH("말레이",C1509)),"600",IF(ISNUMBER(SEARCH("필리핀",C1509)),"700",IF(ISNUMBER(SEARCH("인도네시아",C1509)),"800",IF(ISNUMBER(SEARCH("크루즈",C1509)),"810",IF(ISNUMBER(SEARCH("동물원",C1509)),"830","")))))))))</f>
        <v>830</v>
      </c>
    </row>
    <row r="1510" customFormat="false" ht="15" hidden="false" customHeight="false" outlineLevel="0" collapsed="false">
      <c r="A1510" s="32" t="str">
        <f aca="false">IF(OR(TRIM(C1510)="",SUBSTITUTE(C1510," ","")="소계"),"제외",IF(ISNUMBER(SEARCH("홍콩",C1510)),"HK",IF(ISNUMBER(SEARCH("상해",C1510)),"CN",IF(ISNUMBER(SEARCH("대만",C1510)),"TW","홀세일"))))</f>
        <v>홀세일</v>
      </c>
      <c r="B1510" s="36" t="s">
        <v>1523</v>
      </c>
      <c r="C1510" s="37" t="s">
        <v>1524</v>
      </c>
      <c r="D1510" s="37" t="s">
        <v>123</v>
      </c>
      <c r="E1510" s="36" t="n">
        <v>2026</v>
      </c>
      <c r="F1510" s="37" t="s">
        <v>363</v>
      </c>
      <c r="G1510" s="37" t="s">
        <v>124</v>
      </c>
      <c r="H1510" s="36" t="s">
        <v>188</v>
      </c>
      <c r="I1510" s="36" t="s">
        <v>472</v>
      </c>
      <c r="J1510" s="36" t="s">
        <v>473</v>
      </c>
      <c r="K1510" s="38" t="n">
        <v>105</v>
      </c>
      <c r="L1510" s="38" t="n">
        <v>7245000</v>
      </c>
      <c r="M1510" s="38" t="n">
        <v>1973265</v>
      </c>
      <c r="N1510" s="39" t="n">
        <f aca="false">IF(A1510="제외",0,IF(OR(N(L1510)&lt;=0,N(M1510)&gt;N(L1510)),N(M1510)/요약!$D$27,N(L1510)))</f>
        <v>7245000</v>
      </c>
      <c r="O1510" s="32" t="str">
        <f aca="false">IF(A1510="제외","",IF(OR(N(L1510)&lt;=0,N(M1510)&gt;N(L1510)),"택가보정(판매금액÷공급율)",""))</f>
        <v/>
      </c>
      <c r="P1510" s="0" t="str">
        <f aca="false">IF(A1510="HK","100",IF(A1510="CN","200",IF(A1510="TW","300",IF(ISNUMBER(SEARCH("태국",C1510)),"500",IF(ISNUMBER(SEARCH("말레이",C1510)),"600",IF(ISNUMBER(SEARCH("필리핀",C1510)),"700",IF(ISNUMBER(SEARCH("인도네시아",C1510)),"800",IF(ISNUMBER(SEARCH("크루즈",C1510)),"810",IF(ISNUMBER(SEARCH("동물원",C1510)),"830","")))))))))</f>
        <v>830</v>
      </c>
    </row>
    <row r="1511" customFormat="false" ht="15" hidden="false" customHeight="false" outlineLevel="0" collapsed="false">
      <c r="A1511" s="32" t="str">
        <f aca="false">IF(OR(TRIM(C1511)="",SUBSTITUTE(C1511," ","")="소계"),"제외",IF(ISNUMBER(SEARCH("홍콩",C1511)),"HK",IF(ISNUMBER(SEARCH("상해",C1511)),"CN",IF(ISNUMBER(SEARCH("대만",C1511)),"TW","홀세일"))))</f>
        <v>홀세일</v>
      </c>
      <c r="B1511" s="36" t="s">
        <v>1523</v>
      </c>
      <c r="C1511" s="37" t="s">
        <v>1524</v>
      </c>
      <c r="D1511" s="37" t="s">
        <v>123</v>
      </c>
      <c r="E1511" s="36" t="n">
        <v>2026</v>
      </c>
      <c r="F1511" s="37" t="s">
        <v>474</v>
      </c>
      <c r="G1511" s="37" t="s">
        <v>124</v>
      </c>
      <c r="H1511" s="36" t="s">
        <v>188</v>
      </c>
      <c r="I1511" s="36" t="s">
        <v>577</v>
      </c>
      <c r="J1511" s="36" t="s">
        <v>578</v>
      </c>
      <c r="K1511" s="38" t="n">
        <v>45</v>
      </c>
      <c r="L1511" s="38" t="n">
        <v>8955000</v>
      </c>
      <c r="M1511" s="38" t="n">
        <v>2835540</v>
      </c>
      <c r="N1511" s="39" t="n">
        <f aca="false">IF(A1511="제외",0,IF(OR(N(L1511)&lt;=0,N(M1511)&gt;N(L1511)),N(M1511)/요약!$D$27,N(L1511)))</f>
        <v>8955000</v>
      </c>
      <c r="O1511" s="32" t="str">
        <f aca="false">IF(A1511="제외","",IF(OR(N(L1511)&lt;=0,N(M1511)&gt;N(L1511)),"택가보정(판매금액÷공급율)",""))</f>
        <v/>
      </c>
      <c r="P1511" s="0" t="str">
        <f aca="false">IF(A1511="HK","100",IF(A1511="CN","200",IF(A1511="TW","300",IF(ISNUMBER(SEARCH("태국",C1511)),"500",IF(ISNUMBER(SEARCH("말레이",C1511)),"600",IF(ISNUMBER(SEARCH("필리핀",C1511)),"700",IF(ISNUMBER(SEARCH("인도네시아",C1511)),"800",IF(ISNUMBER(SEARCH("크루즈",C1511)),"810",IF(ISNUMBER(SEARCH("동물원",C1511)),"830","")))))))))</f>
        <v>830</v>
      </c>
    </row>
    <row r="1512" customFormat="false" ht="15" hidden="false" customHeight="false" outlineLevel="0" collapsed="false">
      <c r="A1512" s="32" t="str">
        <f aca="false">IF(OR(TRIM(C1512)="",SUBSTITUTE(C1512," ","")="소계"),"제외",IF(ISNUMBER(SEARCH("홍콩",C1512)),"HK",IF(ISNUMBER(SEARCH("상해",C1512)),"CN",IF(ISNUMBER(SEARCH("대만",C1512)),"TW","홀세일"))))</f>
        <v>홀세일</v>
      </c>
      <c r="B1512" s="36" t="s">
        <v>1523</v>
      </c>
      <c r="C1512" s="37" t="s">
        <v>1524</v>
      </c>
      <c r="D1512" s="37" t="s">
        <v>123</v>
      </c>
      <c r="E1512" s="36" t="n">
        <v>2026</v>
      </c>
      <c r="F1512" s="36" t="s">
        <v>110</v>
      </c>
      <c r="G1512" s="37" t="s">
        <v>102</v>
      </c>
      <c r="H1512" s="36" t="s">
        <v>125</v>
      </c>
      <c r="I1512" s="36" t="s">
        <v>615</v>
      </c>
      <c r="J1512" s="36" t="s">
        <v>616</v>
      </c>
      <c r="K1512" s="38" t="n">
        <v>300</v>
      </c>
      <c r="L1512" s="38" t="n">
        <v>23700000</v>
      </c>
      <c r="M1512" s="38" t="n">
        <v>8558700</v>
      </c>
      <c r="N1512" s="39" t="n">
        <f aca="false">IF(A1512="제외",0,IF(OR(N(L1512)&lt;=0,N(M1512)&gt;N(L1512)),N(M1512)/요약!$D$27,N(L1512)))</f>
        <v>23700000</v>
      </c>
      <c r="O1512" s="32" t="str">
        <f aca="false">IF(A1512="제외","",IF(OR(N(L1512)&lt;=0,N(M1512)&gt;N(L1512)),"택가보정(판매금액÷공급율)",""))</f>
        <v/>
      </c>
      <c r="P1512" s="0" t="str">
        <f aca="false">IF(A1512="HK","100",IF(A1512="CN","200",IF(A1512="TW","300",IF(ISNUMBER(SEARCH("태국",C1512)),"500",IF(ISNUMBER(SEARCH("말레이",C1512)),"600",IF(ISNUMBER(SEARCH("필리핀",C1512)),"700",IF(ISNUMBER(SEARCH("인도네시아",C1512)),"800",IF(ISNUMBER(SEARCH("크루즈",C1512)),"810",IF(ISNUMBER(SEARCH("동물원",C1512)),"830","")))))))))</f>
        <v>830</v>
      </c>
    </row>
    <row r="1513" customFormat="false" ht="15" hidden="false" customHeight="false" outlineLevel="0" collapsed="false">
      <c r="A1513" s="32" t="str">
        <f aca="false">IF(OR(TRIM(C1513)="",SUBSTITUTE(C1513," ","")="소계"),"제외",IF(ISNUMBER(SEARCH("홍콩",C1513)),"HK",IF(ISNUMBER(SEARCH("상해",C1513)),"CN",IF(ISNUMBER(SEARCH("대만",C1513)),"TW","홀세일"))))</f>
        <v>홀세일</v>
      </c>
      <c r="B1513" s="36" t="s">
        <v>1523</v>
      </c>
      <c r="C1513" s="37" t="s">
        <v>1524</v>
      </c>
      <c r="D1513" s="37" t="s">
        <v>123</v>
      </c>
      <c r="E1513" s="36" t="n">
        <v>2026</v>
      </c>
      <c r="F1513" s="36" t="s">
        <v>110</v>
      </c>
      <c r="G1513" s="37" t="s">
        <v>102</v>
      </c>
      <c r="H1513" s="36" t="s">
        <v>131</v>
      </c>
      <c r="I1513" s="36" t="s">
        <v>619</v>
      </c>
      <c r="J1513" s="37" t="s">
        <v>620</v>
      </c>
      <c r="K1513" s="38" t="n">
        <v>350</v>
      </c>
      <c r="L1513" s="38" t="n">
        <v>13650000</v>
      </c>
      <c r="M1513" s="38" t="n">
        <v>5671400</v>
      </c>
      <c r="N1513" s="39" t="n">
        <f aca="false">IF(A1513="제외",0,IF(OR(N(L1513)&lt;=0,N(M1513)&gt;N(L1513)),N(M1513)/요약!$D$27,N(L1513)))</f>
        <v>13650000</v>
      </c>
      <c r="O1513" s="32" t="str">
        <f aca="false">IF(A1513="제외","",IF(OR(N(L1513)&lt;=0,N(M1513)&gt;N(L1513)),"택가보정(판매금액÷공급율)",""))</f>
        <v/>
      </c>
      <c r="P1513" s="0" t="str">
        <f aca="false">IF(A1513="HK","100",IF(A1513="CN","200",IF(A1513="TW","300",IF(ISNUMBER(SEARCH("태국",C1513)),"500",IF(ISNUMBER(SEARCH("말레이",C1513)),"600",IF(ISNUMBER(SEARCH("필리핀",C1513)),"700",IF(ISNUMBER(SEARCH("인도네시아",C1513)),"800",IF(ISNUMBER(SEARCH("크루즈",C1513)),"810",IF(ISNUMBER(SEARCH("동물원",C1513)),"830","")))))))))</f>
        <v>830</v>
      </c>
    </row>
    <row r="1514" customFormat="false" ht="15" hidden="false" customHeight="false" outlineLevel="0" collapsed="false">
      <c r="A1514" s="32" t="str">
        <f aca="false">IF(OR(TRIM(C1514)="",SUBSTITUTE(C1514," ","")="소계"),"제외",IF(ISNUMBER(SEARCH("홍콩",C1514)),"HK",IF(ISNUMBER(SEARCH("상해",C1514)),"CN",IF(ISNUMBER(SEARCH("대만",C1514)),"TW","홀세일"))))</f>
        <v>홀세일</v>
      </c>
      <c r="B1514" s="36" t="s">
        <v>1523</v>
      </c>
      <c r="C1514" s="37" t="s">
        <v>1524</v>
      </c>
      <c r="D1514" s="37" t="s">
        <v>123</v>
      </c>
      <c r="E1514" s="36" t="n">
        <v>2026</v>
      </c>
      <c r="F1514" s="36" t="s">
        <v>110</v>
      </c>
      <c r="G1514" s="37" t="s">
        <v>102</v>
      </c>
      <c r="H1514" s="36" t="s">
        <v>131</v>
      </c>
      <c r="I1514" s="36" t="s">
        <v>1364</v>
      </c>
      <c r="J1514" s="36" t="s">
        <v>1365</v>
      </c>
      <c r="K1514" s="38" t="n">
        <v>200</v>
      </c>
      <c r="L1514" s="38" t="n">
        <v>15800000</v>
      </c>
      <c r="M1514" s="38" t="n">
        <v>6447000</v>
      </c>
      <c r="N1514" s="39" t="n">
        <f aca="false">IF(A1514="제외",0,IF(OR(N(L1514)&lt;=0,N(M1514)&gt;N(L1514)),N(M1514)/요약!$D$27,N(L1514)))</f>
        <v>15800000</v>
      </c>
      <c r="O1514" s="32" t="str">
        <f aca="false">IF(A1514="제외","",IF(OR(N(L1514)&lt;=0,N(M1514)&gt;N(L1514)),"택가보정(판매금액÷공급율)",""))</f>
        <v/>
      </c>
      <c r="P1514" s="0" t="str">
        <f aca="false">IF(A1514="HK","100",IF(A1514="CN","200",IF(A1514="TW","300",IF(ISNUMBER(SEARCH("태국",C1514)),"500",IF(ISNUMBER(SEARCH("말레이",C1514)),"600",IF(ISNUMBER(SEARCH("필리핀",C1514)),"700",IF(ISNUMBER(SEARCH("인도네시아",C1514)),"800",IF(ISNUMBER(SEARCH("크루즈",C1514)),"810",IF(ISNUMBER(SEARCH("동물원",C1514)),"830","")))))))))</f>
        <v>830</v>
      </c>
    </row>
    <row r="1515" customFormat="false" ht="15" hidden="false" customHeight="false" outlineLevel="0" collapsed="false">
      <c r="A1515" s="32" t="str">
        <f aca="false">IF(OR(TRIM(C1515)="",SUBSTITUTE(C1515," ","")="소계"),"제외",IF(ISNUMBER(SEARCH("홍콩",C1515)),"HK",IF(ISNUMBER(SEARCH("상해",C1515)),"CN",IF(ISNUMBER(SEARCH("대만",C1515)),"TW","홀세일"))))</f>
        <v>홀세일</v>
      </c>
      <c r="B1515" s="36" t="s">
        <v>1523</v>
      </c>
      <c r="C1515" s="37" t="s">
        <v>1524</v>
      </c>
      <c r="D1515" s="37" t="s">
        <v>123</v>
      </c>
      <c r="E1515" s="36" t="n">
        <v>2026</v>
      </c>
      <c r="F1515" s="36" t="s">
        <v>110</v>
      </c>
      <c r="G1515" s="37" t="s">
        <v>102</v>
      </c>
      <c r="H1515" s="36" t="s">
        <v>131</v>
      </c>
      <c r="I1515" s="36" t="s">
        <v>635</v>
      </c>
      <c r="J1515" s="37" t="s">
        <v>636</v>
      </c>
      <c r="K1515" s="38" t="n">
        <v>200</v>
      </c>
      <c r="L1515" s="38" t="n">
        <v>4200000</v>
      </c>
      <c r="M1515" s="38" t="n">
        <v>1719200</v>
      </c>
      <c r="N1515" s="39" t="n">
        <f aca="false">IF(A1515="제외",0,IF(OR(N(L1515)&lt;=0,N(M1515)&gt;N(L1515)),N(M1515)/요약!$D$27,N(L1515)))</f>
        <v>4200000</v>
      </c>
      <c r="O1515" s="32" t="str">
        <f aca="false">IF(A1515="제외","",IF(OR(N(L1515)&lt;=0,N(M1515)&gt;N(L1515)),"택가보정(판매금액÷공급율)",""))</f>
        <v/>
      </c>
      <c r="P1515" s="0" t="str">
        <f aca="false">IF(A1515="HK","100",IF(A1515="CN","200",IF(A1515="TW","300",IF(ISNUMBER(SEARCH("태국",C1515)),"500",IF(ISNUMBER(SEARCH("말레이",C1515)),"600",IF(ISNUMBER(SEARCH("필리핀",C1515)),"700",IF(ISNUMBER(SEARCH("인도네시아",C1515)),"800",IF(ISNUMBER(SEARCH("크루즈",C1515)),"810",IF(ISNUMBER(SEARCH("동물원",C1515)),"830","")))))))))</f>
        <v>830</v>
      </c>
    </row>
    <row r="1516" customFormat="false" ht="15" hidden="false" customHeight="false" outlineLevel="0" collapsed="false">
      <c r="A1516" s="32" t="str">
        <f aca="false">IF(OR(TRIM(C1516)="",SUBSTITUTE(C1516," ","")="소계"),"제외",IF(ISNUMBER(SEARCH("홍콩",C1516)),"HK",IF(ISNUMBER(SEARCH("상해",C1516)),"CN",IF(ISNUMBER(SEARCH("대만",C1516)),"TW","홀세일"))))</f>
        <v>홀세일</v>
      </c>
      <c r="B1516" s="36" t="s">
        <v>1523</v>
      </c>
      <c r="C1516" s="37" t="s">
        <v>1524</v>
      </c>
      <c r="D1516" s="37" t="s">
        <v>123</v>
      </c>
      <c r="E1516" s="36" t="n">
        <v>2026</v>
      </c>
      <c r="F1516" s="36" t="s">
        <v>110</v>
      </c>
      <c r="G1516" s="37" t="s">
        <v>102</v>
      </c>
      <c r="H1516" s="36" t="s">
        <v>131</v>
      </c>
      <c r="I1516" s="36" t="s">
        <v>643</v>
      </c>
      <c r="J1516" s="37" t="s">
        <v>644</v>
      </c>
      <c r="K1516" s="38" t="n">
        <v>200</v>
      </c>
      <c r="L1516" s="38" t="n">
        <v>2180000</v>
      </c>
      <c r="M1516" s="38" t="n">
        <v>890400</v>
      </c>
      <c r="N1516" s="39" t="n">
        <f aca="false">IF(A1516="제외",0,IF(OR(N(L1516)&lt;=0,N(M1516)&gt;N(L1516)),N(M1516)/요약!$D$27,N(L1516)))</f>
        <v>2180000</v>
      </c>
      <c r="O1516" s="32" t="str">
        <f aca="false">IF(A1516="제외","",IF(OR(N(L1516)&lt;=0,N(M1516)&gt;N(L1516)),"택가보정(판매금액÷공급율)",""))</f>
        <v/>
      </c>
      <c r="P1516" s="0" t="str">
        <f aca="false">IF(A1516="HK","100",IF(A1516="CN","200",IF(A1516="TW","300",IF(ISNUMBER(SEARCH("태국",C1516)),"500",IF(ISNUMBER(SEARCH("말레이",C1516)),"600",IF(ISNUMBER(SEARCH("필리핀",C1516)),"700",IF(ISNUMBER(SEARCH("인도네시아",C1516)),"800",IF(ISNUMBER(SEARCH("크루즈",C1516)),"810",IF(ISNUMBER(SEARCH("동물원",C1516)),"830","")))))))))</f>
        <v>830</v>
      </c>
    </row>
    <row r="1517" customFormat="false" ht="15" hidden="false" customHeight="false" outlineLevel="0" collapsed="false">
      <c r="A1517" s="32" t="str">
        <f aca="false">IF(OR(TRIM(C1517)="",SUBSTITUTE(C1517," ","")="소계"),"제외",IF(ISNUMBER(SEARCH("홍콩",C1517)),"HK",IF(ISNUMBER(SEARCH("상해",C1517)),"CN",IF(ISNUMBER(SEARCH("대만",C1517)),"TW","홀세일"))))</f>
        <v>홀세일</v>
      </c>
      <c r="B1517" s="36" t="s">
        <v>1523</v>
      </c>
      <c r="C1517" s="37" t="s">
        <v>1524</v>
      </c>
      <c r="D1517" s="37" t="s">
        <v>123</v>
      </c>
      <c r="E1517" s="36" t="n">
        <v>2026</v>
      </c>
      <c r="F1517" s="36" t="s">
        <v>110</v>
      </c>
      <c r="G1517" s="37" t="s">
        <v>102</v>
      </c>
      <c r="H1517" s="36" t="s">
        <v>131</v>
      </c>
      <c r="I1517" s="36" t="s">
        <v>645</v>
      </c>
      <c r="J1517" s="37" t="s">
        <v>646</v>
      </c>
      <c r="K1517" s="38" t="n">
        <v>300</v>
      </c>
      <c r="L1517" s="38" t="n">
        <v>38700000</v>
      </c>
      <c r="M1517" s="38" t="n">
        <v>13979100</v>
      </c>
      <c r="N1517" s="39" t="n">
        <f aca="false">IF(A1517="제외",0,IF(OR(N(L1517)&lt;=0,N(M1517)&gt;N(L1517)),N(M1517)/요약!$D$27,N(L1517)))</f>
        <v>38700000</v>
      </c>
      <c r="O1517" s="32" t="str">
        <f aca="false">IF(A1517="제외","",IF(OR(N(L1517)&lt;=0,N(M1517)&gt;N(L1517)),"택가보정(판매금액÷공급율)",""))</f>
        <v/>
      </c>
      <c r="P1517" s="0" t="str">
        <f aca="false">IF(A1517="HK","100",IF(A1517="CN","200",IF(A1517="TW","300",IF(ISNUMBER(SEARCH("태국",C1517)),"500",IF(ISNUMBER(SEARCH("말레이",C1517)),"600",IF(ISNUMBER(SEARCH("필리핀",C1517)),"700",IF(ISNUMBER(SEARCH("인도네시아",C1517)),"800",IF(ISNUMBER(SEARCH("크루즈",C1517)),"810",IF(ISNUMBER(SEARCH("동물원",C1517)),"830","")))))))))</f>
        <v>830</v>
      </c>
    </row>
    <row r="1518" customFormat="false" ht="15" hidden="false" customHeight="false" outlineLevel="0" collapsed="false">
      <c r="A1518" s="32" t="str">
        <f aca="false">IF(OR(TRIM(C1518)="",SUBSTITUTE(C1518," ","")="소계"),"제외",IF(ISNUMBER(SEARCH("홍콩",C1518)),"HK",IF(ISNUMBER(SEARCH("상해",C1518)),"CN",IF(ISNUMBER(SEARCH("대만",C1518)),"TW","홀세일"))))</f>
        <v>홀세일</v>
      </c>
      <c r="B1518" s="36" t="s">
        <v>1523</v>
      </c>
      <c r="C1518" s="37" t="s">
        <v>1524</v>
      </c>
      <c r="D1518" s="37" t="s">
        <v>123</v>
      </c>
      <c r="E1518" s="36" t="n">
        <v>2026</v>
      </c>
      <c r="F1518" s="36" t="s">
        <v>110</v>
      </c>
      <c r="G1518" s="37" t="s">
        <v>102</v>
      </c>
      <c r="H1518" s="36" t="s">
        <v>131</v>
      </c>
      <c r="I1518" s="36" t="s">
        <v>647</v>
      </c>
      <c r="J1518" s="37" t="s">
        <v>648</v>
      </c>
      <c r="K1518" s="38" t="n">
        <v>350</v>
      </c>
      <c r="L1518" s="38" t="n">
        <v>45150000</v>
      </c>
      <c r="M1518" s="38" t="n">
        <v>16308950</v>
      </c>
      <c r="N1518" s="39" t="n">
        <f aca="false">IF(A1518="제외",0,IF(OR(N(L1518)&lt;=0,N(M1518)&gt;N(L1518)),N(M1518)/요약!$D$27,N(L1518)))</f>
        <v>45150000</v>
      </c>
      <c r="O1518" s="32" t="str">
        <f aca="false">IF(A1518="제외","",IF(OR(N(L1518)&lt;=0,N(M1518)&gt;N(L1518)),"택가보정(판매금액÷공급율)",""))</f>
        <v/>
      </c>
      <c r="P1518" s="0" t="str">
        <f aca="false">IF(A1518="HK","100",IF(A1518="CN","200",IF(A1518="TW","300",IF(ISNUMBER(SEARCH("태국",C1518)),"500",IF(ISNUMBER(SEARCH("말레이",C1518)),"600",IF(ISNUMBER(SEARCH("필리핀",C1518)),"700",IF(ISNUMBER(SEARCH("인도네시아",C1518)),"800",IF(ISNUMBER(SEARCH("크루즈",C1518)),"810",IF(ISNUMBER(SEARCH("동물원",C1518)),"830","")))))))))</f>
        <v>830</v>
      </c>
    </row>
    <row r="1519" customFormat="false" ht="15" hidden="false" customHeight="false" outlineLevel="0" collapsed="false">
      <c r="A1519" s="32" t="str">
        <f aca="false">IF(OR(TRIM(C1519)="",SUBSTITUTE(C1519," ","")="소계"),"제외",IF(ISNUMBER(SEARCH("홍콩",C1519)),"HK",IF(ISNUMBER(SEARCH("상해",C1519)),"CN",IF(ISNUMBER(SEARCH("대만",C1519)),"TW","홀세일"))))</f>
        <v>홀세일</v>
      </c>
      <c r="B1519" s="36" t="s">
        <v>1523</v>
      </c>
      <c r="C1519" s="37" t="s">
        <v>1524</v>
      </c>
      <c r="D1519" s="37" t="s">
        <v>123</v>
      </c>
      <c r="E1519" s="36" t="n">
        <v>2026</v>
      </c>
      <c r="F1519" s="36" t="s">
        <v>110</v>
      </c>
      <c r="G1519" s="37" t="s">
        <v>770</v>
      </c>
      <c r="H1519" s="36" t="s">
        <v>131</v>
      </c>
      <c r="I1519" s="36" t="s">
        <v>1118</v>
      </c>
      <c r="J1519" s="37" t="s">
        <v>1119</v>
      </c>
      <c r="K1519" s="38" t="n">
        <v>5</v>
      </c>
      <c r="L1519" s="38" t="n">
        <v>1225000</v>
      </c>
      <c r="M1519" s="38" t="n">
        <v>641630</v>
      </c>
      <c r="N1519" s="39" t="n">
        <f aca="false">IF(A1519="제외",0,IF(OR(N(L1519)&lt;=0,N(M1519)&gt;N(L1519)),N(M1519)/요약!$D$27,N(L1519)))</f>
        <v>1225000</v>
      </c>
      <c r="O1519" s="32" t="str">
        <f aca="false">IF(A1519="제외","",IF(OR(N(L1519)&lt;=0,N(M1519)&gt;N(L1519)),"택가보정(판매금액÷공급율)",""))</f>
        <v/>
      </c>
      <c r="P1519" s="0" t="str">
        <f aca="false">IF(A1519="HK","100",IF(A1519="CN","200",IF(A1519="TW","300",IF(ISNUMBER(SEARCH("태국",C1519)),"500",IF(ISNUMBER(SEARCH("말레이",C1519)),"600",IF(ISNUMBER(SEARCH("필리핀",C1519)),"700",IF(ISNUMBER(SEARCH("인도네시아",C1519)),"800",IF(ISNUMBER(SEARCH("크루즈",C1519)),"810",IF(ISNUMBER(SEARCH("동물원",C1519)),"830","")))))))))</f>
        <v>830</v>
      </c>
    </row>
    <row r="1520" customFormat="false" ht="15" hidden="false" customHeight="false" outlineLevel="0" collapsed="false">
      <c r="A1520" s="32" t="str">
        <f aca="false">IF(OR(TRIM(C1520)="",SUBSTITUTE(C1520," ","")="소계"),"제외",IF(ISNUMBER(SEARCH("홍콩",C1520)),"HK",IF(ISNUMBER(SEARCH("상해",C1520)),"CN",IF(ISNUMBER(SEARCH("대만",C1520)),"TW","홀세일"))))</f>
        <v>홀세일</v>
      </c>
      <c r="B1520" s="36" t="s">
        <v>1523</v>
      </c>
      <c r="C1520" s="37" t="s">
        <v>1524</v>
      </c>
      <c r="D1520" s="37" t="s">
        <v>664</v>
      </c>
      <c r="E1520" s="36" t="n">
        <v>2026</v>
      </c>
      <c r="F1520" s="37" t="s">
        <v>219</v>
      </c>
      <c r="G1520" s="37" t="s">
        <v>124</v>
      </c>
      <c r="H1520" s="36" t="s">
        <v>673</v>
      </c>
      <c r="I1520" s="36" t="s">
        <v>674</v>
      </c>
      <c r="J1520" s="37" t="s">
        <v>675</v>
      </c>
      <c r="K1520" s="38" t="n">
        <v>1994</v>
      </c>
      <c r="L1520" s="38" t="n">
        <v>63808000</v>
      </c>
      <c r="M1520" s="38" t="n">
        <v>24282932</v>
      </c>
      <c r="N1520" s="39" t="n">
        <f aca="false">IF(A1520="제외",0,IF(OR(N(L1520)&lt;=0,N(M1520)&gt;N(L1520)),N(M1520)/요약!$D$27,N(L1520)))</f>
        <v>63808000</v>
      </c>
      <c r="O1520" s="32" t="str">
        <f aca="false">IF(A1520="제외","",IF(OR(N(L1520)&lt;=0,N(M1520)&gt;N(L1520)),"택가보정(판매금액÷공급율)",""))</f>
        <v/>
      </c>
      <c r="P1520" s="0" t="str">
        <f aca="false">IF(A1520="HK","100",IF(A1520="CN","200",IF(A1520="TW","300",IF(ISNUMBER(SEARCH("태국",C1520)),"500",IF(ISNUMBER(SEARCH("말레이",C1520)),"600",IF(ISNUMBER(SEARCH("필리핀",C1520)),"700",IF(ISNUMBER(SEARCH("인도네시아",C1520)),"800",IF(ISNUMBER(SEARCH("크루즈",C1520)),"810",IF(ISNUMBER(SEARCH("동물원",C1520)),"830","")))))))))</f>
        <v>830</v>
      </c>
    </row>
    <row r="1521" customFormat="false" ht="15" hidden="false" customHeight="false" outlineLevel="0" collapsed="false">
      <c r="A1521" s="32" t="str">
        <f aca="false">IF(OR(TRIM(C1521)="",SUBSTITUTE(C1521," ","")="소계"),"제외",IF(ISNUMBER(SEARCH("홍콩",C1521)),"HK",IF(ISNUMBER(SEARCH("상해",C1521)),"CN",IF(ISNUMBER(SEARCH("대만",C1521)),"TW","홀세일"))))</f>
        <v>홀세일</v>
      </c>
      <c r="B1521" s="36" t="s">
        <v>1523</v>
      </c>
      <c r="C1521" s="37" t="s">
        <v>1524</v>
      </c>
      <c r="D1521" s="37" t="s">
        <v>664</v>
      </c>
      <c r="E1521" s="36" t="n">
        <v>2026</v>
      </c>
      <c r="F1521" s="37" t="s">
        <v>219</v>
      </c>
      <c r="G1521" s="37" t="s">
        <v>124</v>
      </c>
      <c r="H1521" s="36" t="s">
        <v>673</v>
      </c>
      <c r="I1521" s="36" t="s">
        <v>1602</v>
      </c>
      <c r="J1521" s="37" t="s">
        <v>1603</v>
      </c>
      <c r="K1521" s="38" t="n">
        <v>988</v>
      </c>
      <c r="L1521" s="38" t="n">
        <v>33592000</v>
      </c>
      <c r="M1521" s="38" t="n">
        <v>12774840</v>
      </c>
      <c r="N1521" s="39" t="n">
        <f aca="false">IF(A1521="제외",0,IF(OR(N(L1521)&lt;=0,N(M1521)&gt;N(L1521)),N(M1521)/요약!$D$27,N(L1521)))</f>
        <v>33592000</v>
      </c>
      <c r="O1521" s="32" t="str">
        <f aca="false">IF(A1521="제외","",IF(OR(N(L1521)&lt;=0,N(M1521)&gt;N(L1521)),"택가보정(판매금액÷공급율)",""))</f>
        <v/>
      </c>
      <c r="P1521" s="0" t="str">
        <f aca="false">IF(A1521="HK","100",IF(A1521="CN","200",IF(A1521="TW","300",IF(ISNUMBER(SEARCH("태국",C1521)),"500",IF(ISNUMBER(SEARCH("말레이",C1521)),"600",IF(ISNUMBER(SEARCH("필리핀",C1521)),"700",IF(ISNUMBER(SEARCH("인도네시아",C1521)),"800",IF(ISNUMBER(SEARCH("크루즈",C1521)),"810",IF(ISNUMBER(SEARCH("동물원",C1521)),"830","")))))))))</f>
        <v>830</v>
      </c>
    </row>
    <row r="1522" customFormat="false" ht="15" hidden="false" customHeight="false" outlineLevel="0" collapsed="false">
      <c r="A1522" s="32" t="str">
        <f aca="false">IF(OR(TRIM(C1522)="",SUBSTITUTE(C1522," ","")="소계"),"제외",IF(ISNUMBER(SEARCH("홍콩",C1522)),"HK",IF(ISNUMBER(SEARCH("상해",C1522)),"CN",IF(ISNUMBER(SEARCH("대만",C1522)),"TW","홀세일"))))</f>
        <v>홀세일</v>
      </c>
      <c r="B1522" s="36" t="s">
        <v>1523</v>
      </c>
      <c r="C1522" s="37" t="s">
        <v>1524</v>
      </c>
      <c r="D1522" s="37" t="s">
        <v>664</v>
      </c>
      <c r="E1522" s="36" t="n">
        <v>2026</v>
      </c>
      <c r="F1522" s="37" t="s">
        <v>219</v>
      </c>
      <c r="G1522" s="37" t="s">
        <v>124</v>
      </c>
      <c r="H1522" s="36" t="s">
        <v>673</v>
      </c>
      <c r="I1522" s="36" t="s">
        <v>1376</v>
      </c>
      <c r="J1522" s="37" t="s">
        <v>1377</v>
      </c>
      <c r="K1522" s="38" t="n">
        <v>2943</v>
      </c>
      <c r="L1522" s="38" t="n">
        <v>105948000</v>
      </c>
      <c r="M1522" s="38" t="n">
        <v>40266126</v>
      </c>
      <c r="N1522" s="39" t="n">
        <f aca="false">IF(A1522="제외",0,IF(OR(N(L1522)&lt;=0,N(M1522)&gt;N(L1522)),N(M1522)/요약!$D$27,N(L1522)))</f>
        <v>105948000</v>
      </c>
      <c r="O1522" s="32" t="str">
        <f aca="false">IF(A1522="제외","",IF(OR(N(L1522)&lt;=0,N(M1522)&gt;N(L1522)),"택가보정(판매금액÷공급율)",""))</f>
        <v/>
      </c>
      <c r="P1522" s="0" t="str">
        <f aca="false">IF(A1522="HK","100",IF(A1522="CN","200",IF(A1522="TW","300",IF(ISNUMBER(SEARCH("태국",C1522)),"500",IF(ISNUMBER(SEARCH("말레이",C1522)),"600",IF(ISNUMBER(SEARCH("필리핀",C1522)),"700",IF(ISNUMBER(SEARCH("인도네시아",C1522)),"800",IF(ISNUMBER(SEARCH("크루즈",C1522)),"810",IF(ISNUMBER(SEARCH("동물원",C1522)),"830","")))))))))</f>
        <v>830</v>
      </c>
    </row>
    <row r="1523" customFormat="false" ht="15" hidden="false" customHeight="false" outlineLevel="0" collapsed="false">
      <c r="A1523" s="32" t="str">
        <f aca="false">IF(OR(TRIM(C1523)="",SUBSTITUTE(C1523," ","")="소계"),"제외",IF(ISNUMBER(SEARCH("홍콩",C1523)),"HK",IF(ISNUMBER(SEARCH("상해",C1523)),"CN",IF(ISNUMBER(SEARCH("대만",C1523)),"TW","홀세일"))))</f>
        <v>홀세일</v>
      </c>
      <c r="B1523" s="36" t="s">
        <v>1523</v>
      </c>
      <c r="C1523" s="37" t="s">
        <v>1524</v>
      </c>
      <c r="D1523" s="37" t="s">
        <v>664</v>
      </c>
      <c r="E1523" s="36" t="n">
        <v>2026</v>
      </c>
      <c r="F1523" s="37" t="s">
        <v>219</v>
      </c>
      <c r="G1523" s="37" t="s">
        <v>124</v>
      </c>
      <c r="H1523" s="36" t="s">
        <v>673</v>
      </c>
      <c r="I1523" s="36" t="s">
        <v>1378</v>
      </c>
      <c r="J1523" s="37" t="s">
        <v>1379</v>
      </c>
      <c r="K1523" s="38" t="n">
        <v>2974</v>
      </c>
      <c r="L1523" s="38" t="n">
        <v>107064000</v>
      </c>
      <c r="M1523" s="38" t="n">
        <v>40690268</v>
      </c>
      <c r="N1523" s="39" t="n">
        <f aca="false">IF(A1523="제외",0,IF(OR(N(L1523)&lt;=0,N(M1523)&gt;N(L1523)),N(M1523)/요약!$D$27,N(L1523)))</f>
        <v>107064000</v>
      </c>
      <c r="O1523" s="32" t="str">
        <f aca="false">IF(A1523="제외","",IF(OR(N(L1523)&lt;=0,N(M1523)&gt;N(L1523)),"택가보정(판매금액÷공급율)",""))</f>
        <v/>
      </c>
      <c r="P1523" s="0" t="str">
        <f aca="false">IF(A1523="HK","100",IF(A1523="CN","200",IF(A1523="TW","300",IF(ISNUMBER(SEARCH("태국",C1523)),"500",IF(ISNUMBER(SEARCH("말레이",C1523)),"600",IF(ISNUMBER(SEARCH("필리핀",C1523)),"700",IF(ISNUMBER(SEARCH("인도네시아",C1523)),"800",IF(ISNUMBER(SEARCH("크루즈",C1523)),"810",IF(ISNUMBER(SEARCH("동물원",C1523)),"830","")))))))))</f>
        <v>830</v>
      </c>
    </row>
    <row r="1524" customFormat="false" ht="15" hidden="false" customHeight="false" outlineLevel="0" collapsed="false">
      <c r="A1524" s="32" t="str">
        <f aca="false">IF(OR(TRIM(C1524)="",SUBSTITUTE(C1524," ","")="소계"),"제외",IF(ISNUMBER(SEARCH("홍콩",C1524)),"HK",IF(ISNUMBER(SEARCH("상해",C1524)),"CN",IF(ISNUMBER(SEARCH("대만",C1524)),"TW","홀세일"))))</f>
        <v>홀세일</v>
      </c>
      <c r="B1524" s="36" t="s">
        <v>1523</v>
      </c>
      <c r="C1524" s="37" t="s">
        <v>1524</v>
      </c>
      <c r="D1524" s="37" t="s">
        <v>664</v>
      </c>
      <c r="E1524" s="36" t="n">
        <v>2026</v>
      </c>
      <c r="F1524" s="37" t="s">
        <v>219</v>
      </c>
      <c r="G1524" s="37" t="s">
        <v>124</v>
      </c>
      <c r="H1524" s="36" t="s">
        <v>673</v>
      </c>
      <c r="I1524" s="36" t="s">
        <v>1380</v>
      </c>
      <c r="J1524" s="37" t="s">
        <v>1381</v>
      </c>
      <c r="K1524" s="38" t="n">
        <v>2967</v>
      </c>
      <c r="L1524" s="38" t="n">
        <v>106812000</v>
      </c>
      <c r="M1524" s="38" t="n">
        <v>40594494</v>
      </c>
      <c r="N1524" s="39" t="n">
        <f aca="false">IF(A1524="제외",0,IF(OR(N(L1524)&lt;=0,N(M1524)&gt;N(L1524)),N(M1524)/요약!$D$27,N(L1524)))</f>
        <v>106812000</v>
      </c>
      <c r="O1524" s="32" t="str">
        <f aca="false">IF(A1524="제외","",IF(OR(N(L1524)&lt;=0,N(M1524)&gt;N(L1524)),"택가보정(판매금액÷공급율)",""))</f>
        <v/>
      </c>
      <c r="P1524" s="0" t="str">
        <f aca="false">IF(A1524="HK","100",IF(A1524="CN","200",IF(A1524="TW","300",IF(ISNUMBER(SEARCH("태국",C1524)),"500",IF(ISNUMBER(SEARCH("말레이",C1524)),"600",IF(ISNUMBER(SEARCH("필리핀",C1524)),"700",IF(ISNUMBER(SEARCH("인도네시아",C1524)),"800",IF(ISNUMBER(SEARCH("크루즈",C1524)),"810",IF(ISNUMBER(SEARCH("동물원",C1524)),"830","")))))))))</f>
        <v>830</v>
      </c>
    </row>
    <row r="1525" customFormat="false" ht="15" hidden="false" customHeight="false" outlineLevel="0" collapsed="false">
      <c r="A1525" s="32" t="str">
        <f aca="false">IF(OR(TRIM(C1525)="",SUBSTITUTE(C1525," ","")="소계"),"제외",IF(ISNUMBER(SEARCH("홍콩",C1525)),"HK",IF(ISNUMBER(SEARCH("상해",C1525)),"CN",IF(ISNUMBER(SEARCH("대만",C1525)),"TW","홀세일"))))</f>
        <v>홀세일</v>
      </c>
      <c r="B1525" s="36" t="s">
        <v>1523</v>
      </c>
      <c r="C1525" s="37" t="s">
        <v>1524</v>
      </c>
      <c r="D1525" s="37" t="s">
        <v>664</v>
      </c>
      <c r="E1525" s="36" t="n">
        <v>2026</v>
      </c>
      <c r="F1525" s="37" t="s">
        <v>219</v>
      </c>
      <c r="G1525" s="37" t="s">
        <v>124</v>
      </c>
      <c r="H1525" s="36" t="s">
        <v>673</v>
      </c>
      <c r="I1525" s="36" t="s">
        <v>704</v>
      </c>
      <c r="J1525" s="37" t="s">
        <v>705</v>
      </c>
      <c r="K1525" s="38" t="n">
        <v>1922</v>
      </c>
      <c r="L1525" s="38" t="n">
        <v>65348000</v>
      </c>
      <c r="M1525" s="38" t="n">
        <v>24851460</v>
      </c>
      <c r="N1525" s="39" t="n">
        <f aca="false">IF(A1525="제외",0,IF(OR(N(L1525)&lt;=0,N(M1525)&gt;N(L1525)),N(M1525)/요약!$D$27,N(L1525)))</f>
        <v>65348000</v>
      </c>
      <c r="O1525" s="32" t="str">
        <f aca="false">IF(A1525="제외","",IF(OR(N(L1525)&lt;=0,N(M1525)&gt;N(L1525)),"택가보정(판매금액÷공급율)",""))</f>
        <v/>
      </c>
      <c r="P1525" s="0" t="str">
        <f aca="false">IF(A1525="HK","100",IF(A1525="CN","200",IF(A1525="TW","300",IF(ISNUMBER(SEARCH("태국",C1525)),"500",IF(ISNUMBER(SEARCH("말레이",C1525)),"600",IF(ISNUMBER(SEARCH("필리핀",C1525)),"700",IF(ISNUMBER(SEARCH("인도네시아",C1525)),"800",IF(ISNUMBER(SEARCH("크루즈",C1525)),"810",IF(ISNUMBER(SEARCH("동물원",C1525)),"830","")))))))))</f>
        <v>830</v>
      </c>
    </row>
    <row r="1526" customFormat="false" ht="15" hidden="false" customHeight="false" outlineLevel="0" collapsed="false">
      <c r="A1526" s="32" t="str">
        <f aca="false">IF(OR(TRIM(C1526)="",SUBSTITUTE(C1526," ","")="소계"),"제외",IF(ISNUMBER(SEARCH("홍콩",C1526)),"HK",IF(ISNUMBER(SEARCH("상해",C1526)),"CN",IF(ISNUMBER(SEARCH("대만",C1526)),"TW","홀세일"))))</f>
        <v>홀세일</v>
      </c>
      <c r="B1526" s="36" t="s">
        <v>1523</v>
      </c>
      <c r="C1526" s="37" t="s">
        <v>1524</v>
      </c>
      <c r="D1526" s="37" t="s">
        <v>664</v>
      </c>
      <c r="E1526" s="36" t="n">
        <v>2027</v>
      </c>
      <c r="F1526" s="37" t="s">
        <v>219</v>
      </c>
      <c r="G1526" s="37" t="s">
        <v>124</v>
      </c>
      <c r="H1526" s="36" t="s">
        <v>131</v>
      </c>
      <c r="I1526" s="36" t="s">
        <v>1604</v>
      </c>
      <c r="J1526" s="37" t="s">
        <v>1605</v>
      </c>
      <c r="K1526" s="38" t="n">
        <v>190</v>
      </c>
      <c r="L1526" s="38" t="n">
        <v>9310000</v>
      </c>
      <c r="M1526" s="38" t="n">
        <v>3322910</v>
      </c>
      <c r="N1526" s="39" t="n">
        <f aca="false">IF(A1526="제외",0,IF(OR(N(L1526)&lt;=0,N(M1526)&gt;N(L1526)),N(M1526)/요약!$D$27,N(L1526)))</f>
        <v>9310000</v>
      </c>
      <c r="O1526" s="32" t="str">
        <f aca="false">IF(A1526="제외","",IF(OR(N(L1526)&lt;=0,N(M1526)&gt;N(L1526)),"택가보정(판매금액÷공급율)",""))</f>
        <v/>
      </c>
      <c r="P1526" s="0" t="str">
        <f aca="false">IF(A1526="HK","100",IF(A1526="CN","200",IF(A1526="TW","300",IF(ISNUMBER(SEARCH("태국",C1526)),"500",IF(ISNUMBER(SEARCH("말레이",C1526)),"600",IF(ISNUMBER(SEARCH("필리핀",C1526)),"700",IF(ISNUMBER(SEARCH("인도네시아",C1526)),"800",IF(ISNUMBER(SEARCH("크루즈",C1526)),"810",IF(ISNUMBER(SEARCH("동물원",C1526)),"830","")))))))))</f>
        <v>830</v>
      </c>
    </row>
    <row r="1527" customFormat="false" ht="15" hidden="false" customHeight="false" outlineLevel="0" collapsed="false">
      <c r="A1527" s="32" t="str">
        <f aca="false">IF(OR(TRIM(C1527)="",SUBSTITUTE(C1527," ","")="소계"),"제외",IF(ISNUMBER(SEARCH("홍콩",C1527)),"HK",IF(ISNUMBER(SEARCH("상해",C1527)),"CN",IF(ISNUMBER(SEARCH("대만",C1527)),"TW","홀세일"))))</f>
        <v>홀세일</v>
      </c>
      <c r="B1527" s="36" t="s">
        <v>1523</v>
      </c>
      <c r="C1527" s="37" t="s">
        <v>1524</v>
      </c>
      <c r="D1527" s="37" t="s">
        <v>664</v>
      </c>
      <c r="E1527" s="36" t="n">
        <v>2027</v>
      </c>
      <c r="F1527" s="37" t="s">
        <v>219</v>
      </c>
      <c r="G1527" s="37" t="s">
        <v>124</v>
      </c>
      <c r="H1527" s="36" t="s">
        <v>131</v>
      </c>
      <c r="I1527" s="36" t="s">
        <v>1606</v>
      </c>
      <c r="J1527" s="37" t="s">
        <v>1607</v>
      </c>
      <c r="K1527" s="38" t="n">
        <v>380</v>
      </c>
      <c r="L1527" s="38" t="n">
        <v>18620000</v>
      </c>
      <c r="M1527" s="38" t="n">
        <v>6645820</v>
      </c>
      <c r="N1527" s="39" t="n">
        <f aca="false">IF(A1527="제외",0,IF(OR(N(L1527)&lt;=0,N(M1527)&gt;N(L1527)),N(M1527)/요약!$D$27,N(L1527)))</f>
        <v>18620000</v>
      </c>
      <c r="O1527" s="32" t="str">
        <f aca="false">IF(A1527="제외","",IF(OR(N(L1527)&lt;=0,N(M1527)&gt;N(L1527)),"택가보정(판매금액÷공급율)",""))</f>
        <v/>
      </c>
      <c r="P1527" s="0" t="str">
        <f aca="false">IF(A1527="HK","100",IF(A1527="CN","200",IF(A1527="TW","300",IF(ISNUMBER(SEARCH("태국",C1527)),"500",IF(ISNUMBER(SEARCH("말레이",C1527)),"600",IF(ISNUMBER(SEARCH("필리핀",C1527)),"700",IF(ISNUMBER(SEARCH("인도네시아",C1527)),"800",IF(ISNUMBER(SEARCH("크루즈",C1527)),"810",IF(ISNUMBER(SEARCH("동물원",C1527)),"830","")))))))))</f>
        <v>830</v>
      </c>
    </row>
    <row r="1528" customFormat="false" ht="15" hidden="false" customHeight="false" outlineLevel="0" collapsed="false">
      <c r="A1528" s="32" t="str">
        <f aca="false">IF(OR(TRIM(C1528)="",SUBSTITUTE(C1528," ","")="소계"),"제외",IF(ISNUMBER(SEARCH("홍콩",C1528)),"HK",IF(ISNUMBER(SEARCH("상해",C1528)),"CN",IF(ISNUMBER(SEARCH("대만",C1528)),"TW","홀세일"))))</f>
        <v>홀세일</v>
      </c>
      <c r="B1528" s="36" t="s">
        <v>1523</v>
      </c>
      <c r="C1528" s="37" t="s">
        <v>1524</v>
      </c>
      <c r="D1528" s="37" t="s">
        <v>664</v>
      </c>
      <c r="E1528" s="36" t="n">
        <v>2027</v>
      </c>
      <c r="F1528" s="37" t="s">
        <v>219</v>
      </c>
      <c r="G1528" s="37" t="s">
        <v>124</v>
      </c>
      <c r="H1528" s="36" t="s">
        <v>131</v>
      </c>
      <c r="I1528" s="36" t="s">
        <v>1608</v>
      </c>
      <c r="J1528" s="37" t="s">
        <v>1609</v>
      </c>
      <c r="K1528" s="38" t="n">
        <v>190</v>
      </c>
      <c r="L1528" s="38" t="n">
        <v>9310000</v>
      </c>
      <c r="M1528" s="38" t="n">
        <v>3322910</v>
      </c>
      <c r="N1528" s="39" t="n">
        <f aca="false">IF(A1528="제외",0,IF(OR(N(L1528)&lt;=0,N(M1528)&gt;N(L1528)),N(M1528)/요약!$D$27,N(L1528)))</f>
        <v>9310000</v>
      </c>
      <c r="O1528" s="32" t="str">
        <f aca="false">IF(A1528="제외","",IF(OR(N(L1528)&lt;=0,N(M1528)&gt;N(L1528)),"택가보정(판매금액÷공급율)",""))</f>
        <v/>
      </c>
      <c r="P1528" s="0" t="str">
        <f aca="false">IF(A1528="HK","100",IF(A1528="CN","200",IF(A1528="TW","300",IF(ISNUMBER(SEARCH("태국",C1528)),"500",IF(ISNUMBER(SEARCH("말레이",C1528)),"600",IF(ISNUMBER(SEARCH("필리핀",C1528)),"700",IF(ISNUMBER(SEARCH("인도네시아",C1528)),"800",IF(ISNUMBER(SEARCH("크루즈",C1528)),"810",IF(ISNUMBER(SEARCH("동물원",C1528)),"830","")))))))))</f>
        <v>830</v>
      </c>
    </row>
    <row r="1529" customFormat="false" ht="15" hidden="false" customHeight="false" outlineLevel="0" collapsed="false">
      <c r="A1529" s="32" t="str">
        <f aca="false">IF(OR(TRIM(C1529)="",SUBSTITUTE(C1529," ","")="소계"),"제외",IF(ISNUMBER(SEARCH("홍콩",C1529)),"HK",IF(ISNUMBER(SEARCH("상해",C1529)),"CN",IF(ISNUMBER(SEARCH("대만",C1529)),"TW","홀세일"))))</f>
        <v>홀세일</v>
      </c>
      <c r="B1529" s="36" t="s">
        <v>1523</v>
      </c>
      <c r="C1529" s="37" t="s">
        <v>1524</v>
      </c>
      <c r="D1529" s="37" t="s">
        <v>664</v>
      </c>
      <c r="E1529" s="36" t="n">
        <v>2027</v>
      </c>
      <c r="F1529" s="37" t="s">
        <v>219</v>
      </c>
      <c r="G1529" s="37" t="s">
        <v>124</v>
      </c>
      <c r="H1529" s="36" t="s">
        <v>131</v>
      </c>
      <c r="I1529" s="36" t="s">
        <v>1610</v>
      </c>
      <c r="J1529" s="37" t="s">
        <v>1611</v>
      </c>
      <c r="K1529" s="38" t="n">
        <v>190</v>
      </c>
      <c r="L1529" s="38" t="n">
        <v>9310000</v>
      </c>
      <c r="M1529" s="38" t="n">
        <v>3322910</v>
      </c>
      <c r="N1529" s="39" t="n">
        <f aca="false">IF(A1529="제외",0,IF(OR(N(L1529)&lt;=0,N(M1529)&gt;N(L1529)),N(M1529)/요약!$D$27,N(L1529)))</f>
        <v>9310000</v>
      </c>
      <c r="O1529" s="32" t="str">
        <f aca="false">IF(A1529="제외","",IF(OR(N(L1529)&lt;=0,N(M1529)&gt;N(L1529)),"택가보정(판매금액÷공급율)",""))</f>
        <v/>
      </c>
      <c r="P1529" s="0" t="str">
        <f aca="false">IF(A1529="HK","100",IF(A1529="CN","200",IF(A1529="TW","300",IF(ISNUMBER(SEARCH("태국",C1529)),"500",IF(ISNUMBER(SEARCH("말레이",C1529)),"600",IF(ISNUMBER(SEARCH("필리핀",C1529)),"700",IF(ISNUMBER(SEARCH("인도네시아",C1529)),"800",IF(ISNUMBER(SEARCH("크루즈",C1529)),"810",IF(ISNUMBER(SEARCH("동물원",C1529)),"830","")))))))))</f>
        <v>830</v>
      </c>
    </row>
    <row r="1530" customFormat="false" ht="15" hidden="false" customHeight="false" outlineLevel="0" collapsed="false">
      <c r="A1530" s="32" t="str">
        <f aca="false">IF(OR(TRIM(C1530)="",SUBSTITUTE(C1530," ","")="소계"),"제외",IF(ISNUMBER(SEARCH("홍콩",C1530)),"HK",IF(ISNUMBER(SEARCH("상해",C1530)),"CN",IF(ISNUMBER(SEARCH("대만",C1530)),"TW","홀세일"))))</f>
        <v>홀세일</v>
      </c>
      <c r="B1530" s="36" t="s">
        <v>1523</v>
      </c>
      <c r="C1530" s="37" t="s">
        <v>1524</v>
      </c>
      <c r="D1530" s="37" t="s">
        <v>664</v>
      </c>
      <c r="E1530" s="36" t="n">
        <v>2027</v>
      </c>
      <c r="F1530" s="37" t="s">
        <v>219</v>
      </c>
      <c r="G1530" s="37" t="s">
        <v>124</v>
      </c>
      <c r="H1530" s="36" t="s">
        <v>131</v>
      </c>
      <c r="I1530" s="36" t="s">
        <v>1612</v>
      </c>
      <c r="J1530" s="37" t="s">
        <v>1613</v>
      </c>
      <c r="K1530" s="38" t="n">
        <v>190</v>
      </c>
      <c r="L1530" s="38" t="n">
        <v>9310000</v>
      </c>
      <c r="M1530" s="38" t="n">
        <v>3322910</v>
      </c>
      <c r="N1530" s="39" t="n">
        <f aca="false">IF(A1530="제외",0,IF(OR(N(L1530)&lt;=0,N(M1530)&gt;N(L1530)),N(M1530)/요약!$D$27,N(L1530)))</f>
        <v>9310000</v>
      </c>
      <c r="O1530" s="32" t="str">
        <f aca="false">IF(A1530="제외","",IF(OR(N(L1530)&lt;=0,N(M1530)&gt;N(L1530)),"택가보정(판매금액÷공급율)",""))</f>
        <v/>
      </c>
      <c r="P1530" s="0" t="str">
        <f aca="false">IF(A1530="HK","100",IF(A1530="CN","200",IF(A1530="TW","300",IF(ISNUMBER(SEARCH("태국",C1530)),"500",IF(ISNUMBER(SEARCH("말레이",C1530)),"600",IF(ISNUMBER(SEARCH("필리핀",C1530)),"700",IF(ISNUMBER(SEARCH("인도네시아",C1530)),"800",IF(ISNUMBER(SEARCH("크루즈",C1530)),"810",IF(ISNUMBER(SEARCH("동물원",C1530)),"830","")))))))))</f>
        <v>830</v>
      </c>
    </row>
    <row r="1531" customFormat="false" ht="15" hidden="false" customHeight="false" outlineLevel="0" collapsed="false">
      <c r="A1531" s="32" t="str">
        <f aca="false">IF(OR(TRIM(C1531)="",SUBSTITUTE(C1531," ","")="소계"),"제외",IF(ISNUMBER(SEARCH("홍콩",C1531)),"HK",IF(ISNUMBER(SEARCH("상해",C1531)),"CN",IF(ISNUMBER(SEARCH("대만",C1531)),"TW","홀세일"))))</f>
        <v>홀세일</v>
      </c>
      <c r="B1531" s="36" t="s">
        <v>1523</v>
      </c>
      <c r="C1531" s="37" t="s">
        <v>1524</v>
      </c>
      <c r="D1531" s="37" t="s">
        <v>664</v>
      </c>
      <c r="E1531" s="36" t="n">
        <v>2027</v>
      </c>
      <c r="F1531" s="36" t="s">
        <v>110</v>
      </c>
      <c r="G1531" s="37" t="s">
        <v>1111</v>
      </c>
      <c r="H1531" s="37" t="s">
        <v>649</v>
      </c>
      <c r="I1531" s="36" t="s">
        <v>1614</v>
      </c>
      <c r="J1531" s="37" t="s">
        <v>1615</v>
      </c>
      <c r="K1531" s="38" t="n">
        <v>500</v>
      </c>
      <c r="L1531" s="38" t="n">
        <v>19500000</v>
      </c>
      <c r="M1531" s="38" t="n">
        <v>12648000</v>
      </c>
      <c r="N1531" s="39" t="n">
        <f aca="false">IF(A1531="제외",0,IF(OR(N(L1531)&lt;=0,N(M1531)&gt;N(L1531)),N(M1531)/요약!$D$27,N(L1531)))</f>
        <v>19500000</v>
      </c>
      <c r="O1531" s="32" t="str">
        <f aca="false">IF(A1531="제외","",IF(OR(N(L1531)&lt;=0,N(M1531)&gt;N(L1531)),"택가보정(판매금액÷공급율)",""))</f>
        <v/>
      </c>
      <c r="P1531" s="0" t="str">
        <f aca="false">IF(A1531="HK","100",IF(A1531="CN","200",IF(A1531="TW","300",IF(ISNUMBER(SEARCH("태국",C1531)),"500",IF(ISNUMBER(SEARCH("말레이",C1531)),"600",IF(ISNUMBER(SEARCH("필리핀",C1531)),"700",IF(ISNUMBER(SEARCH("인도네시아",C1531)),"800",IF(ISNUMBER(SEARCH("크루즈",C1531)),"810",IF(ISNUMBER(SEARCH("동물원",C1531)),"830","")))))))))</f>
        <v>830</v>
      </c>
    </row>
    <row r="1532" customFormat="false" ht="15" hidden="false" customHeight="false" outlineLevel="0" collapsed="false">
      <c r="A1532" s="32" t="str">
        <f aca="false">IF(OR(TRIM(C1532)="",SUBSTITUTE(C1532," ","")="소계"),"제외",IF(ISNUMBER(SEARCH("홍콩",C1532)),"HK",IF(ISNUMBER(SEARCH("상해",C1532)),"CN",IF(ISNUMBER(SEARCH("대만",C1532)),"TW","홀세일"))))</f>
        <v>홀세일</v>
      </c>
      <c r="B1532" s="36" t="s">
        <v>1523</v>
      </c>
      <c r="C1532" s="37" t="s">
        <v>1524</v>
      </c>
      <c r="D1532" s="37" t="s">
        <v>664</v>
      </c>
      <c r="E1532" s="36" t="n">
        <v>2027</v>
      </c>
      <c r="F1532" s="36" t="s">
        <v>110</v>
      </c>
      <c r="G1532" s="37" t="s">
        <v>1111</v>
      </c>
      <c r="H1532" s="37" t="s">
        <v>649</v>
      </c>
      <c r="I1532" s="36" t="s">
        <v>1616</v>
      </c>
      <c r="J1532" s="37" t="s">
        <v>1617</v>
      </c>
      <c r="K1532" s="38" t="n">
        <v>250</v>
      </c>
      <c r="L1532" s="38" t="n">
        <v>9750000</v>
      </c>
      <c r="M1532" s="38" t="n">
        <v>6324000</v>
      </c>
      <c r="N1532" s="39" t="n">
        <f aca="false">IF(A1532="제외",0,IF(OR(N(L1532)&lt;=0,N(M1532)&gt;N(L1532)),N(M1532)/요약!$D$27,N(L1532)))</f>
        <v>9750000</v>
      </c>
      <c r="O1532" s="32" t="str">
        <f aca="false">IF(A1532="제외","",IF(OR(N(L1532)&lt;=0,N(M1532)&gt;N(L1532)),"택가보정(판매금액÷공급율)",""))</f>
        <v/>
      </c>
      <c r="P1532" s="0" t="str">
        <f aca="false">IF(A1532="HK","100",IF(A1532="CN","200",IF(A1532="TW","300",IF(ISNUMBER(SEARCH("태국",C1532)),"500",IF(ISNUMBER(SEARCH("말레이",C1532)),"600",IF(ISNUMBER(SEARCH("필리핀",C1532)),"700",IF(ISNUMBER(SEARCH("인도네시아",C1532)),"800",IF(ISNUMBER(SEARCH("크루즈",C1532)),"810",IF(ISNUMBER(SEARCH("동물원",C1532)),"830","")))))))))</f>
        <v>830</v>
      </c>
    </row>
    <row r="1533" customFormat="false" ht="15" hidden="false" customHeight="false" outlineLevel="0" collapsed="false">
      <c r="A1533" s="32" t="str">
        <f aca="false">IF(OR(TRIM(C1533)="",SUBSTITUTE(C1533," ","")="소계"),"제외",IF(ISNUMBER(SEARCH("홍콩",C1533)),"HK",IF(ISNUMBER(SEARCH("상해",C1533)),"CN",IF(ISNUMBER(SEARCH("대만",C1533)),"TW","홀세일"))))</f>
        <v>제외</v>
      </c>
      <c r="B1533" s="36" t="s">
        <v>762</v>
      </c>
      <c r="C1533" s="37" t="s">
        <v>763</v>
      </c>
      <c r="D1533" s="36"/>
      <c r="E1533" s="36"/>
      <c r="F1533" s="36"/>
      <c r="G1533" s="36"/>
      <c r="H1533" s="36"/>
      <c r="I1533" s="36"/>
      <c r="J1533" s="36"/>
      <c r="K1533" s="38" t="n">
        <v>23173</v>
      </c>
      <c r="L1533" s="38" t="n">
        <v>1229499000</v>
      </c>
      <c r="M1533" s="38" t="n">
        <v>457750114</v>
      </c>
      <c r="N1533" s="39" t="n">
        <f aca="false">IF(A1533="제외",0,IF(OR(N(L1533)&lt;=0,N(M1533)&gt;N(L1533)),N(M1533)/요약!$D$27,N(L1533)))</f>
        <v>0</v>
      </c>
      <c r="O1533" s="32" t="str">
        <f aca="false">IF(A1533="제외","",IF(OR(N(L1533)&lt;=0,N(M1533)&gt;N(L1533)),"택가보정(판매금액÷공급율)",""))</f>
        <v/>
      </c>
      <c r="P1533" s="0" t="str">
        <f aca="false">IF(A1533="HK","100",IF(A1533="CN","200",IF(A1533="TW","300",IF(ISNUMBER(SEARCH("태국",C1533)),"500",IF(ISNUMBER(SEARCH("말레이",C1533)),"600",IF(ISNUMBER(SEARCH("필리핀",C1533)),"700",IF(ISNUMBER(SEARCH("인도네시아",C1533)),"800",IF(ISNUMBER(SEARCH("크루즈",C1533)),"810",IF(ISNUMBER(SEARCH("동물원",C1533)),"830","")))))))))</f>
        <v/>
      </c>
    </row>
    <row r="1534" customFormat="false" ht="15" hidden="false" customHeight="false" outlineLevel="0" collapsed="false">
      <c r="A1534" s="32" t="str">
        <f aca="false">IF(OR(TRIM(C1534)="",SUBSTITUTE(C1534," ","")="소계"),"제외",IF(ISNUMBER(SEARCH("홍콩",C1534)),"HK",IF(ISNUMBER(SEARCH("상해",C1534)),"CN",IF(ISNUMBER(SEARCH("대만",C1534)),"TW","홀세일"))))</f>
        <v>홀세일</v>
      </c>
      <c r="B1534" s="36" t="s">
        <v>1618</v>
      </c>
      <c r="C1534" s="37" t="s">
        <v>123</v>
      </c>
      <c r="D1534" s="37" t="s">
        <v>123</v>
      </c>
      <c r="E1534" s="36" t="n">
        <v>2025</v>
      </c>
      <c r="F1534" s="37" t="s">
        <v>101</v>
      </c>
      <c r="G1534" s="37" t="s">
        <v>102</v>
      </c>
      <c r="H1534" s="37" t="s">
        <v>128</v>
      </c>
      <c r="I1534" s="36" t="s">
        <v>1489</v>
      </c>
      <c r="J1534" s="36" t="s">
        <v>1490</v>
      </c>
      <c r="K1534" s="38" t="n">
        <v>50</v>
      </c>
      <c r="L1534" s="38" t="n">
        <v>8450000</v>
      </c>
      <c r="M1534" s="38" t="n">
        <v>4222800</v>
      </c>
      <c r="N1534" s="39" t="n">
        <f aca="false">IF(A1534="제외",0,IF(OR(N(L1534)&lt;=0,N(M1534)&gt;N(L1534)),N(M1534)/요약!$D$27,N(L1534)))</f>
        <v>8450000</v>
      </c>
      <c r="O1534" s="32" t="str">
        <f aca="false">IF(A1534="제외","",IF(OR(N(L1534)&lt;=0,N(M1534)&gt;N(L1534)),"택가보정(판매금액÷공급율)",""))</f>
        <v/>
      </c>
      <c r="P1534" s="0" t="str">
        <f aca="false">IF(A1534="HK","100",IF(A1534="CN","200",IF(A1534="TW","300",IF(ISNUMBER(SEARCH("태국",C1534)),"500",IF(ISNUMBER(SEARCH("말레이",C1534)),"600",IF(ISNUMBER(SEARCH("필리핀",C1534)),"700",IF(ISNUMBER(SEARCH("인도네시아",C1534)),"800",IF(ISNUMBER(SEARCH("크루즈",C1534)),"810",IF(ISNUMBER(SEARCH("동물원",C1534)),"830","")))))))))</f>
        <v/>
      </c>
    </row>
    <row r="1535" customFormat="false" ht="15" hidden="false" customHeight="false" outlineLevel="0" collapsed="false">
      <c r="A1535" s="32" t="str">
        <f aca="false">IF(OR(TRIM(C1535)="",SUBSTITUTE(C1535," ","")="소계"),"제외",IF(ISNUMBER(SEARCH("홍콩",C1535)),"HK",IF(ISNUMBER(SEARCH("상해",C1535)),"CN",IF(ISNUMBER(SEARCH("대만",C1535)),"TW","홀세일"))))</f>
        <v>홀세일</v>
      </c>
      <c r="B1535" s="36" t="s">
        <v>1618</v>
      </c>
      <c r="C1535" s="37" t="s">
        <v>123</v>
      </c>
      <c r="D1535" s="37" t="s">
        <v>123</v>
      </c>
      <c r="E1535" s="36" t="n">
        <v>2025</v>
      </c>
      <c r="F1535" s="37" t="s">
        <v>101</v>
      </c>
      <c r="G1535" s="37" t="s">
        <v>102</v>
      </c>
      <c r="H1535" s="37" t="s">
        <v>128</v>
      </c>
      <c r="I1535" s="36" t="s">
        <v>1239</v>
      </c>
      <c r="J1535" s="36" t="s">
        <v>1240</v>
      </c>
      <c r="K1535" s="38" t="n">
        <v>90</v>
      </c>
      <c r="L1535" s="38" t="n">
        <v>15210000</v>
      </c>
      <c r="M1535" s="38" t="n">
        <v>7601040</v>
      </c>
      <c r="N1535" s="39" t="n">
        <f aca="false">IF(A1535="제외",0,IF(OR(N(L1535)&lt;=0,N(M1535)&gt;N(L1535)),N(M1535)/요약!$D$27,N(L1535)))</f>
        <v>15210000</v>
      </c>
      <c r="O1535" s="32" t="str">
        <f aca="false">IF(A1535="제외","",IF(OR(N(L1535)&lt;=0,N(M1535)&gt;N(L1535)),"택가보정(판매금액÷공급율)",""))</f>
        <v/>
      </c>
      <c r="P1535" s="0" t="str">
        <f aca="false">IF(A1535="HK","100",IF(A1535="CN","200",IF(A1535="TW","300",IF(ISNUMBER(SEARCH("태국",C1535)),"500",IF(ISNUMBER(SEARCH("말레이",C1535)),"600",IF(ISNUMBER(SEARCH("필리핀",C1535)),"700",IF(ISNUMBER(SEARCH("인도네시아",C1535)),"800",IF(ISNUMBER(SEARCH("크루즈",C1535)),"810",IF(ISNUMBER(SEARCH("동물원",C1535)),"830","")))))))))</f>
        <v/>
      </c>
    </row>
    <row r="1536" customFormat="false" ht="15" hidden="false" customHeight="false" outlineLevel="0" collapsed="false">
      <c r="A1536" s="32" t="str">
        <f aca="false">IF(OR(TRIM(C1536)="",SUBSTITUTE(C1536," ","")="소계"),"제외",IF(ISNUMBER(SEARCH("홍콩",C1536)),"HK",IF(ISNUMBER(SEARCH("상해",C1536)),"CN",IF(ISNUMBER(SEARCH("대만",C1536)),"TW","홀세일"))))</f>
        <v>홀세일</v>
      </c>
      <c r="B1536" s="36" t="s">
        <v>1618</v>
      </c>
      <c r="C1536" s="37" t="s">
        <v>123</v>
      </c>
      <c r="D1536" s="37" t="s">
        <v>123</v>
      </c>
      <c r="E1536" s="36" t="n">
        <v>2025</v>
      </c>
      <c r="F1536" s="37" t="s">
        <v>101</v>
      </c>
      <c r="G1536" s="37" t="s">
        <v>102</v>
      </c>
      <c r="H1536" s="37" t="s">
        <v>128</v>
      </c>
      <c r="I1536" s="36" t="s">
        <v>1619</v>
      </c>
      <c r="J1536" s="36" t="s">
        <v>1620</v>
      </c>
      <c r="K1536" s="38" t="n">
        <v>50</v>
      </c>
      <c r="L1536" s="38" t="n">
        <v>8450000</v>
      </c>
      <c r="M1536" s="38" t="n">
        <v>4222800</v>
      </c>
      <c r="N1536" s="39" t="n">
        <f aca="false">IF(A1536="제외",0,IF(OR(N(L1536)&lt;=0,N(M1536)&gt;N(L1536)),N(M1536)/요약!$D$27,N(L1536)))</f>
        <v>8450000</v>
      </c>
      <c r="O1536" s="32" t="str">
        <f aca="false">IF(A1536="제외","",IF(OR(N(L1536)&lt;=0,N(M1536)&gt;N(L1536)),"택가보정(판매금액÷공급율)",""))</f>
        <v/>
      </c>
      <c r="P1536" s="0" t="str">
        <f aca="false">IF(A1536="HK","100",IF(A1536="CN","200",IF(A1536="TW","300",IF(ISNUMBER(SEARCH("태국",C1536)),"500",IF(ISNUMBER(SEARCH("말레이",C1536)),"600",IF(ISNUMBER(SEARCH("필리핀",C1536)),"700",IF(ISNUMBER(SEARCH("인도네시아",C1536)),"800",IF(ISNUMBER(SEARCH("크루즈",C1536)),"810",IF(ISNUMBER(SEARCH("동물원",C1536)),"830","")))))))))</f>
        <v/>
      </c>
    </row>
    <row r="1537" customFormat="false" ht="15" hidden="false" customHeight="false" outlineLevel="0" collapsed="false">
      <c r="A1537" s="32" t="str">
        <f aca="false">IF(OR(TRIM(C1537)="",SUBSTITUTE(C1537," ","")="소계"),"제외",IF(ISNUMBER(SEARCH("홍콩",C1537)),"HK",IF(ISNUMBER(SEARCH("상해",C1537)),"CN",IF(ISNUMBER(SEARCH("대만",C1537)),"TW","홀세일"))))</f>
        <v>홀세일</v>
      </c>
      <c r="B1537" s="36" t="s">
        <v>1618</v>
      </c>
      <c r="C1537" s="37" t="s">
        <v>123</v>
      </c>
      <c r="D1537" s="37" t="s">
        <v>123</v>
      </c>
      <c r="E1537" s="36" t="n">
        <v>2025</v>
      </c>
      <c r="F1537" s="37" t="s">
        <v>363</v>
      </c>
      <c r="G1537" s="37" t="s">
        <v>124</v>
      </c>
      <c r="H1537" s="36" t="s">
        <v>131</v>
      </c>
      <c r="I1537" s="36" t="s">
        <v>1621</v>
      </c>
      <c r="J1537" s="36" t="s">
        <v>1622</v>
      </c>
      <c r="K1537" s="38" t="n">
        <v>32</v>
      </c>
      <c r="L1537" s="38" t="n">
        <v>7648000</v>
      </c>
      <c r="M1537" s="38" t="n">
        <v>4227008</v>
      </c>
      <c r="N1537" s="39" t="n">
        <f aca="false">IF(A1537="제외",0,IF(OR(N(L1537)&lt;=0,N(M1537)&gt;N(L1537)),N(M1537)/요약!$D$27,N(L1537)))</f>
        <v>7648000</v>
      </c>
      <c r="O1537" s="32" t="str">
        <f aca="false">IF(A1537="제외","",IF(OR(N(L1537)&lt;=0,N(M1537)&gt;N(L1537)),"택가보정(판매금액÷공급율)",""))</f>
        <v/>
      </c>
      <c r="P1537" s="0" t="str">
        <f aca="false">IF(A1537="HK","100",IF(A1537="CN","200",IF(A1537="TW","300",IF(ISNUMBER(SEARCH("태국",C1537)),"500",IF(ISNUMBER(SEARCH("말레이",C1537)),"600",IF(ISNUMBER(SEARCH("필리핀",C1537)),"700",IF(ISNUMBER(SEARCH("인도네시아",C1537)),"800",IF(ISNUMBER(SEARCH("크루즈",C1537)),"810",IF(ISNUMBER(SEARCH("동물원",C1537)),"830","")))))))))</f>
        <v/>
      </c>
    </row>
    <row r="1538" customFormat="false" ht="15" hidden="false" customHeight="false" outlineLevel="0" collapsed="false">
      <c r="A1538" s="32" t="str">
        <f aca="false">IF(OR(TRIM(C1538)="",SUBSTITUTE(C1538," ","")="소계"),"제외",IF(ISNUMBER(SEARCH("홍콩",C1538)),"HK",IF(ISNUMBER(SEARCH("상해",C1538)),"CN",IF(ISNUMBER(SEARCH("대만",C1538)),"TW","홀세일"))))</f>
        <v>홀세일</v>
      </c>
      <c r="B1538" s="36" t="s">
        <v>1618</v>
      </c>
      <c r="C1538" s="37" t="s">
        <v>123</v>
      </c>
      <c r="D1538" s="37" t="s">
        <v>123</v>
      </c>
      <c r="E1538" s="36" t="n">
        <v>2025</v>
      </c>
      <c r="F1538" s="37" t="s">
        <v>363</v>
      </c>
      <c r="G1538" s="37" t="s">
        <v>124</v>
      </c>
      <c r="H1538" s="36" t="s">
        <v>131</v>
      </c>
      <c r="I1538" s="36" t="s">
        <v>1623</v>
      </c>
      <c r="J1538" s="37" t="s">
        <v>1624</v>
      </c>
      <c r="K1538" s="38" t="n">
        <v>30</v>
      </c>
      <c r="L1538" s="38" t="n">
        <v>5970000</v>
      </c>
      <c r="M1538" s="38" t="n">
        <v>3303090</v>
      </c>
      <c r="N1538" s="39" t="n">
        <f aca="false">IF(A1538="제외",0,IF(OR(N(L1538)&lt;=0,N(M1538)&gt;N(L1538)),N(M1538)/요약!$D$27,N(L1538)))</f>
        <v>5970000</v>
      </c>
      <c r="O1538" s="32" t="str">
        <f aca="false">IF(A1538="제외","",IF(OR(N(L1538)&lt;=0,N(M1538)&gt;N(L1538)),"택가보정(판매금액÷공급율)",""))</f>
        <v/>
      </c>
      <c r="P1538" s="0" t="str">
        <f aca="false">IF(A1538="HK","100",IF(A1538="CN","200",IF(A1538="TW","300",IF(ISNUMBER(SEARCH("태국",C1538)),"500",IF(ISNUMBER(SEARCH("말레이",C1538)),"600",IF(ISNUMBER(SEARCH("필리핀",C1538)),"700",IF(ISNUMBER(SEARCH("인도네시아",C1538)),"800",IF(ISNUMBER(SEARCH("크루즈",C1538)),"810",IF(ISNUMBER(SEARCH("동물원",C1538)),"830","")))))))))</f>
        <v/>
      </c>
    </row>
    <row r="1539" customFormat="false" ht="15" hidden="false" customHeight="false" outlineLevel="0" collapsed="false">
      <c r="A1539" s="32" t="str">
        <f aca="false">IF(OR(TRIM(C1539)="",SUBSTITUTE(C1539," ","")="소계"),"제외",IF(ISNUMBER(SEARCH("홍콩",C1539)),"HK",IF(ISNUMBER(SEARCH("상해",C1539)),"CN",IF(ISNUMBER(SEARCH("대만",C1539)),"TW","홀세일"))))</f>
        <v>홀세일</v>
      </c>
      <c r="B1539" s="36" t="s">
        <v>1618</v>
      </c>
      <c r="C1539" s="37" t="s">
        <v>123</v>
      </c>
      <c r="D1539" s="37" t="s">
        <v>123</v>
      </c>
      <c r="E1539" s="36" t="n">
        <v>2025</v>
      </c>
      <c r="F1539" s="36" t="s">
        <v>110</v>
      </c>
      <c r="G1539" s="37" t="s">
        <v>102</v>
      </c>
      <c r="H1539" s="37" t="s">
        <v>128</v>
      </c>
      <c r="I1539" s="36" t="s">
        <v>1625</v>
      </c>
      <c r="J1539" s="36" t="s">
        <v>1626</v>
      </c>
      <c r="K1539" s="38" t="n">
        <v>50</v>
      </c>
      <c r="L1539" s="38" t="n">
        <v>5450000</v>
      </c>
      <c r="M1539" s="38" t="n">
        <v>2720000</v>
      </c>
      <c r="N1539" s="39" t="n">
        <f aca="false">IF(A1539="제외",0,IF(OR(N(L1539)&lt;=0,N(M1539)&gt;N(L1539)),N(M1539)/요약!$D$27,N(L1539)))</f>
        <v>5450000</v>
      </c>
      <c r="O1539" s="32" t="str">
        <f aca="false">IF(A1539="제외","",IF(OR(N(L1539)&lt;=0,N(M1539)&gt;N(L1539)),"택가보정(판매금액÷공급율)",""))</f>
        <v/>
      </c>
      <c r="P1539" s="0" t="str">
        <f aca="false">IF(A1539="HK","100",IF(A1539="CN","200",IF(A1539="TW","300",IF(ISNUMBER(SEARCH("태국",C1539)),"500",IF(ISNUMBER(SEARCH("말레이",C1539)),"600",IF(ISNUMBER(SEARCH("필리핀",C1539)),"700",IF(ISNUMBER(SEARCH("인도네시아",C1539)),"800",IF(ISNUMBER(SEARCH("크루즈",C1539)),"810",IF(ISNUMBER(SEARCH("동물원",C1539)),"830","")))))))))</f>
        <v/>
      </c>
    </row>
    <row r="1540" customFormat="false" ht="15" hidden="false" customHeight="false" outlineLevel="0" collapsed="false">
      <c r="A1540" s="32" t="str">
        <f aca="false">IF(OR(TRIM(C1540)="",SUBSTITUTE(C1540," ","")="소계"),"제외",IF(ISNUMBER(SEARCH("홍콩",C1540)),"HK",IF(ISNUMBER(SEARCH("상해",C1540)),"CN",IF(ISNUMBER(SEARCH("대만",C1540)),"TW","홀세일"))))</f>
        <v>홀세일</v>
      </c>
      <c r="B1540" s="36" t="s">
        <v>1618</v>
      </c>
      <c r="C1540" s="37" t="s">
        <v>123</v>
      </c>
      <c r="D1540" s="37" t="s">
        <v>123</v>
      </c>
      <c r="E1540" s="36" t="n">
        <v>2025</v>
      </c>
      <c r="F1540" s="36" t="s">
        <v>110</v>
      </c>
      <c r="G1540" s="37" t="s">
        <v>102</v>
      </c>
      <c r="H1540" s="37" t="s">
        <v>128</v>
      </c>
      <c r="I1540" s="36" t="s">
        <v>1627</v>
      </c>
      <c r="J1540" s="36" t="s">
        <v>1628</v>
      </c>
      <c r="K1540" s="38" t="n">
        <v>50</v>
      </c>
      <c r="L1540" s="38" t="n">
        <v>3950000</v>
      </c>
      <c r="M1540" s="38" t="n">
        <v>1972000</v>
      </c>
      <c r="N1540" s="39" t="n">
        <f aca="false">IF(A1540="제외",0,IF(OR(N(L1540)&lt;=0,N(M1540)&gt;N(L1540)),N(M1540)/요약!$D$27,N(L1540)))</f>
        <v>3950000</v>
      </c>
      <c r="O1540" s="32" t="str">
        <f aca="false">IF(A1540="제외","",IF(OR(N(L1540)&lt;=0,N(M1540)&gt;N(L1540)),"택가보정(판매금액÷공급율)",""))</f>
        <v/>
      </c>
      <c r="P1540" s="0" t="str">
        <f aca="false">IF(A1540="HK","100",IF(A1540="CN","200",IF(A1540="TW","300",IF(ISNUMBER(SEARCH("태국",C1540)),"500",IF(ISNUMBER(SEARCH("말레이",C1540)),"600",IF(ISNUMBER(SEARCH("필리핀",C1540)),"700",IF(ISNUMBER(SEARCH("인도네시아",C1540)),"800",IF(ISNUMBER(SEARCH("크루즈",C1540)),"810",IF(ISNUMBER(SEARCH("동물원",C1540)),"830","")))))))))</f>
        <v/>
      </c>
    </row>
    <row r="1541" customFormat="false" ht="15" hidden="false" customHeight="false" outlineLevel="0" collapsed="false">
      <c r="A1541" s="32" t="str">
        <f aca="false">IF(OR(TRIM(C1541)="",SUBSTITUTE(C1541," ","")="소계"),"제외",IF(ISNUMBER(SEARCH("홍콩",C1541)),"HK",IF(ISNUMBER(SEARCH("상해",C1541)),"CN",IF(ISNUMBER(SEARCH("대만",C1541)),"TW","홀세일"))))</f>
        <v>홀세일</v>
      </c>
      <c r="B1541" s="36" t="s">
        <v>1618</v>
      </c>
      <c r="C1541" s="37" t="s">
        <v>123</v>
      </c>
      <c r="D1541" s="37" t="s">
        <v>123</v>
      </c>
      <c r="E1541" s="36" t="n">
        <v>2025</v>
      </c>
      <c r="F1541" s="36" t="s">
        <v>110</v>
      </c>
      <c r="G1541" s="37" t="s">
        <v>770</v>
      </c>
      <c r="H1541" s="37" t="s">
        <v>128</v>
      </c>
      <c r="I1541" s="36" t="s">
        <v>1629</v>
      </c>
      <c r="J1541" s="36" t="s">
        <v>1630</v>
      </c>
      <c r="K1541" s="38" t="n">
        <v>8</v>
      </c>
      <c r="L1541" s="38" t="n">
        <v>1752000</v>
      </c>
      <c r="M1541" s="38" t="n">
        <v>848120</v>
      </c>
      <c r="N1541" s="39" t="n">
        <f aca="false">IF(A1541="제외",0,IF(OR(N(L1541)&lt;=0,N(M1541)&gt;N(L1541)),N(M1541)/요약!$D$27,N(L1541)))</f>
        <v>1752000</v>
      </c>
      <c r="O1541" s="32" t="str">
        <f aca="false">IF(A1541="제외","",IF(OR(N(L1541)&lt;=0,N(M1541)&gt;N(L1541)),"택가보정(판매금액÷공급율)",""))</f>
        <v/>
      </c>
      <c r="P1541" s="0" t="str">
        <f aca="false">IF(A1541="HK","100",IF(A1541="CN","200",IF(A1541="TW","300",IF(ISNUMBER(SEARCH("태국",C1541)),"500",IF(ISNUMBER(SEARCH("말레이",C1541)),"600",IF(ISNUMBER(SEARCH("필리핀",C1541)),"700",IF(ISNUMBER(SEARCH("인도네시아",C1541)),"800",IF(ISNUMBER(SEARCH("크루즈",C1541)),"810",IF(ISNUMBER(SEARCH("동물원",C1541)),"830","")))))))))</f>
        <v/>
      </c>
    </row>
    <row r="1542" customFormat="false" ht="15" hidden="false" customHeight="false" outlineLevel="0" collapsed="false">
      <c r="A1542" s="32" t="str">
        <f aca="false">IF(OR(TRIM(C1542)="",SUBSTITUTE(C1542," ","")="소계"),"제외",IF(ISNUMBER(SEARCH("홍콩",C1542)),"HK",IF(ISNUMBER(SEARCH("상해",C1542)),"CN",IF(ISNUMBER(SEARCH("대만",C1542)),"TW","홀세일"))))</f>
        <v>홀세일</v>
      </c>
      <c r="B1542" s="36" t="s">
        <v>1618</v>
      </c>
      <c r="C1542" s="37" t="s">
        <v>123</v>
      </c>
      <c r="D1542" s="37" t="s">
        <v>123</v>
      </c>
      <c r="E1542" s="36" t="n">
        <v>2026</v>
      </c>
      <c r="F1542" s="37" t="s">
        <v>101</v>
      </c>
      <c r="G1542" s="37" t="s">
        <v>102</v>
      </c>
      <c r="H1542" s="36" t="s">
        <v>131</v>
      </c>
      <c r="I1542" s="36" t="s">
        <v>132</v>
      </c>
      <c r="J1542" s="37" t="s">
        <v>133</v>
      </c>
      <c r="K1542" s="38" t="n">
        <v>40</v>
      </c>
      <c r="L1542" s="38" t="n">
        <v>6760000</v>
      </c>
      <c r="M1542" s="38" t="n">
        <v>3378240</v>
      </c>
      <c r="N1542" s="39" t="n">
        <f aca="false">IF(A1542="제외",0,IF(OR(N(L1542)&lt;=0,N(M1542)&gt;N(L1542)),N(M1542)/요약!$D$27,N(L1542)))</f>
        <v>6760000</v>
      </c>
      <c r="O1542" s="32" t="str">
        <f aca="false">IF(A1542="제외","",IF(OR(N(L1542)&lt;=0,N(M1542)&gt;N(L1542)),"택가보정(판매금액÷공급율)",""))</f>
        <v/>
      </c>
      <c r="P1542" s="0" t="str">
        <f aca="false">IF(A1542="HK","100",IF(A1542="CN","200",IF(A1542="TW","300",IF(ISNUMBER(SEARCH("태국",C1542)),"500",IF(ISNUMBER(SEARCH("말레이",C1542)),"600",IF(ISNUMBER(SEARCH("필리핀",C1542)),"700",IF(ISNUMBER(SEARCH("인도네시아",C1542)),"800",IF(ISNUMBER(SEARCH("크루즈",C1542)),"810",IF(ISNUMBER(SEARCH("동물원",C1542)),"830","")))))))))</f>
        <v/>
      </c>
    </row>
    <row r="1543" customFormat="false" ht="15" hidden="false" customHeight="false" outlineLevel="0" collapsed="false">
      <c r="A1543" s="32" t="str">
        <f aca="false">IF(OR(TRIM(C1543)="",SUBSTITUTE(C1543," ","")="소계"),"제외",IF(ISNUMBER(SEARCH("홍콩",C1543)),"HK",IF(ISNUMBER(SEARCH("상해",C1543)),"CN",IF(ISNUMBER(SEARCH("대만",C1543)),"TW","홀세일"))))</f>
        <v>홀세일</v>
      </c>
      <c r="B1543" s="36" t="s">
        <v>1618</v>
      </c>
      <c r="C1543" s="37" t="s">
        <v>123</v>
      </c>
      <c r="D1543" s="37" t="s">
        <v>123</v>
      </c>
      <c r="E1543" s="36" t="n">
        <v>2026</v>
      </c>
      <c r="F1543" s="37" t="s">
        <v>101</v>
      </c>
      <c r="G1543" s="37" t="s">
        <v>102</v>
      </c>
      <c r="H1543" s="36" t="s">
        <v>131</v>
      </c>
      <c r="I1543" s="36" t="s">
        <v>146</v>
      </c>
      <c r="J1543" s="37" t="s">
        <v>147</v>
      </c>
      <c r="K1543" s="38" t="n">
        <v>24</v>
      </c>
      <c r="L1543" s="38" t="n">
        <v>4536000</v>
      </c>
      <c r="M1543" s="38" t="n">
        <v>2508720</v>
      </c>
      <c r="N1543" s="39" t="n">
        <f aca="false">IF(A1543="제외",0,IF(OR(N(L1543)&lt;=0,N(M1543)&gt;N(L1543)),N(M1543)/요약!$D$27,N(L1543)))</f>
        <v>4536000</v>
      </c>
      <c r="O1543" s="32" t="str">
        <f aca="false">IF(A1543="제외","",IF(OR(N(L1543)&lt;=0,N(M1543)&gt;N(L1543)),"택가보정(판매금액÷공급율)",""))</f>
        <v/>
      </c>
      <c r="P1543" s="0" t="str">
        <f aca="false">IF(A1543="HK","100",IF(A1543="CN","200",IF(A1543="TW","300",IF(ISNUMBER(SEARCH("태국",C1543)),"500",IF(ISNUMBER(SEARCH("말레이",C1543)),"600",IF(ISNUMBER(SEARCH("필리핀",C1543)),"700",IF(ISNUMBER(SEARCH("인도네시아",C1543)),"800",IF(ISNUMBER(SEARCH("크루즈",C1543)),"810",IF(ISNUMBER(SEARCH("동물원",C1543)),"830","")))))))))</f>
        <v/>
      </c>
    </row>
    <row r="1544" customFormat="false" ht="15" hidden="false" customHeight="false" outlineLevel="0" collapsed="false">
      <c r="A1544" s="32" t="str">
        <f aca="false">IF(OR(TRIM(C1544)="",SUBSTITUTE(C1544," ","")="소계"),"제외",IF(ISNUMBER(SEARCH("홍콩",C1544)),"HK",IF(ISNUMBER(SEARCH("상해",C1544)),"CN",IF(ISNUMBER(SEARCH("대만",C1544)),"TW","홀세일"))))</f>
        <v>홀세일</v>
      </c>
      <c r="B1544" s="36" t="s">
        <v>1618</v>
      </c>
      <c r="C1544" s="37" t="s">
        <v>123</v>
      </c>
      <c r="D1544" s="37" t="s">
        <v>123</v>
      </c>
      <c r="E1544" s="36" t="n">
        <v>2026</v>
      </c>
      <c r="F1544" s="37" t="s">
        <v>101</v>
      </c>
      <c r="G1544" s="37" t="s">
        <v>124</v>
      </c>
      <c r="H1544" s="36" t="s">
        <v>131</v>
      </c>
      <c r="I1544" s="36" t="s">
        <v>1255</v>
      </c>
      <c r="J1544" s="36" t="s">
        <v>1256</v>
      </c>
      <c r="K1544" s="38" t="n">
        <v>18</v>
      </c>
      <c r="L1544" s="38" t="n">
        <v>5382000</v>
      </c>
      <c r="M1544" s="38" t="n">
        <v>2974140</v>
      </c>
      <c r="N1544" s="39" t="n">
        <f aca="false">IF(A1544="제외",0,IF(OR(N(L1544)&lt;=0,N(M1544)&gt;N(L1544)),N(M1544)/요약!$D$27,N(L1544)))</f>
        <v>5382000</v>
      </c>
      <c r="O1544" s="32" t="str">
        <f aca="false">IF(A1544="제외","",IF(OR(N(L1544)&lt;=0,N(M1544)&gt;N(L1544)),"택가보정(판매금액÷공급율)",""))</f>
        <v/>
      </c>
      <c r="P1544" s="0" t="str">
        <f aca="false">IF(A1544="HK","100",IF(A1544="CN","200",IF(A1544="TW","300",IF(ISNUMBER(SEARCH("태국",C1544)),"500",IF(ISNUMBER(SEARCH("말레이",C1544)),"600",IF(ISNUMBER(SEARCH("필리핀",C1544)),"700",IF(ISNUMBER(SEARCH("인도네시아",C1544)),"800",IF(ISNUMBER(SEARCH("크루즈",C1544)),"810",IF(ISNUMBER(SEARCH("동물원",C1544)),"830","")))))))))</f>
        <v/>
      </c>
    </row>
    <row r="1545" customFormat="false" ht="15" hidden="false" customHeight="false" outlineLevel="0" collapsed="false">
      <c r="A1545" s="32" t="str">
        <f aca="false">IF(OR(TRIM(C1545)="",SUBSTITUTE(C1545," ","")="소계"),"제외",IF(ISNUMBER(SEARCH("홍콩",C1545)),"HK",IF(ISNUMBER(SEARCH("상해",C1545)),"CN",IF(ISNUMBER(SEARCH("대만",C1545)),"TW","홀세일"))))</f>
        <v>홀세일</v>
      </c>
      <c r="B1545" s="36" t="s">
        <v>1618</v>
      </c>
      <c r="C1545" s="37" t="s">
        <v>123</v>
      </c>
      <c r="D1545" s="37" t="s">
        <v>123</v>
      </c>
      <c r="E1545" s="36" t="n">
        <v>2026</v>
      </c>
      <c r="F1545" s="37" t="s">
        <v>101</v>
      </c>
      <c r="G1545" s="37" t="s">
        <v>124</v>
      </c>
      <c r="H1545" s="36" t="s">
        <v>125</v>
      </c>
      <c r="I1545" s="36" t="s">
        <v>1035</v>
      </c>
      <c r="J1545" s="37" t="s">
        <v>1036</v>
      </c>
      <c r="K1545" s="38" t="n">
        <v>21</v>
      </c>
      <c r="L1545" s="38" t="n">
        <v>1659000</v>
      </c>
      <c r="M1545" s="38" t="n">
        <v>917280</v>
      </c>
      <c r="N1545" s="39" t="n">
        <f aca="false">IF(A1545="제외",0,IF(OR(N(L1545)&lt;=0,N(M1545)&gt;N(L1545)),N(M1545)/요약!$D$27,N(L1545)))</f>
        <v>1659000</v>
      </c>
      <c r="O1545" s="32" t="str">
        <f aca="false">IF(A1545="제외","",IF(OR(N(L1545)&lt;=0,N(M1545)&gt;N(L1545)),"택가보정(판매금액÷공급율)",""))</f>
        <v/>
      </c>
      <c r="P1545" s="0" t="str">
        <f aca="false">IF(A1545="HK","100",IF(A1545="CN","200",IF(A1545="TW","300",IF(ISNUMBER(SEARCH("태국",C1545)),"500",IF(ISNUMBER(SEARCH("말레이",C1545)),"600",IF(ISNUMBER(SEARCH("필리핀",C1545)),"700",IF(ISNUMBER(SEARCH("인도네시아",C1545)),"800",IF(ISNUMBER(SEARCH("크루즈",C1545)),"810",IF(ISNUMBER(SEARCH("동물원",C1545)),"830","")))))))))</f>
        <v/>
      </c>
    </row>
    <row r="1546" customFormat="false" ht="15" hidden="false" customHeight="false" outlineLevel="0" collapsed="false">
      <c r="A1546" s="32" t="str">
        <f aca="false">IF(OR(TRIM(C1546)="",SUBSTITUTE(C1546," ","")="소계"),"제외",IF(ISNUMBER(SEARCH("홍콩",C1546)),"HK",IF(ISNUMBER(SEARCH("상해",C1546)),"CN",IF(ISNUMBER(SEARCH("대만",C1546)),"TW","홀세일"))))</f>
        <v>홀세일</v>
      </c>
      <c r="B1546" s="36" t="s">
        <v>1618</v>
      </c>
      <c r="C1546" s="37" t="s">
        <v>123</v>
      </c>
      <c r="D1546" s="37" t="s">
        <v>123</v>
      </c>
      <c r="E1546" s="36" t="n">
        <v>2026</v>
      </c>
      <c r="F1546" s="37" t="s">
        <v>101</v>
      </c>
      <c r="G1546" s="37" t="s">
        <v>124</v>
      </c>
      <c r="H1546" s="36" t="s">
        <v>131</v>
      </c>
      <c r="I1546" s="36" t="s">
        <v>186</v>
      </c>
      <c r="J1546" s="37" t="s">
        <v>187</v>
      </c>
      <c r="K1546" s="38" t="n">
        <v>10</v>
      </c>
      <c r="L1546" s="38" t="n">
        <v>590000</v>
      </c>
      <c r="M1546" s="38" t="n">
        <v>326850</v>
      </c>
      <c r="N1546" s="39" t="n">
        <f aca="false">IF(A1546="제외",0,IF(OR(N(L1546)&lt;=0,N(M1546)&gt;N(L1546)),N(M1546)/요약!$D$27,N(L1546)))</f>
        <v>590000</v>
      </c>
      <c r="O1546" s="32" t="str">
        <f aca="false">IF(A1546="제외","",IF(OR(N(L1546)&lt;=0,N(M1546)&gt;N(L1546)),"택가보정(판매금액÷공급율)",""))</f>
        <v/>
      </c>
      <c r="P1546" s="0" t="str">
        <f aca="false">IF(A1546="HK","100",IF(A1546="CN","200",IF(A1546="TW","300",IF(ISNUMBER(SEARCH("태국",C1546)),"500",IF(ISNUMBER(SEARCH("말레이",C1546)),"600",IF(ISNUMBER(SEARCH("필리핀",C1546)),"700",IF(ISNUMBER(SEARCH("인도네시아",C1546)),"800",IF(ISNUMBER(SEARCH("크루즈",C1546)),"810",IF(ISNUMBER(SEARCH("동물원",C1546)),"830","")))))))))</f>
        <v/>
      </c>
    </row>
    <row r="1547" customFormat="false" ht="15" hidden="false" customHeight="false" outlineLevel="0" collapsed="false">
      <c r="A1547" s="32" t="str">
        <f aca="false">IF(OR(TRIM(C1547)="",SUBSTITUTE(C1547," ","")="소계"),"제외",IF(ISNUMBER(SEARCH("홍콩",C1547)),"HK",IF(ISNUMBER(SEARCH("상해",C1547)),"CN",IF(ISNUMBER(SEARCH("대만",C1547)),"TW","홀세일"))))</f>
        <v>홀세일</v>
      </c>
      <c r="B1547" s="36" t="s">
        <v>1618</v>
      </c>
      <c r="C1547" s="37" t="s">
        <v>123</v>
      </c>
      <c r="D1547" s="37" t="s">
        <v>123</v>
      </c>
      <c r="E1547" s="36" t="n">
        <v>2026</v>
      </c>
      <c r="F1547" s="37" t="s">
        <v>101</v>
      </c>
      <c r="G1547" s="37" t="s">
        <v>124</v>
      </c>
      <c r="H1547" s="36" t="s">
        <v>125</v>
      </c>
      <c r="I1547" s="36" t="s">
        <v>1278</v>
      </c>
      <c r="J1547" s="37" t="s">
        <v>1279</v>
      </c>
      <c r="K1547" s="38" t="n">
        <v>12</v>
      </c>
      <c r="L1547" s="38" t="n">
        <v>828000</v>
      </c>
      <c r="M1547" s="38" t="n">
        <v>459084</v>
      </c>
      <c r="N1547" s="39" t="n">
        <f aca="false">IF(A1547="제외",0,IF(OR(N(L1547)&lt;=0,N(M1547)&gt;N(L1547)),N(M1547)/요약!$D$27,N(L1547)))</f>
        <v>828000</v>
      </c>
      <c r="O1547" s="32" t="str">
        <f aca="false">IF(A1547="제외","",IF(OR(N(L1547)&lt;=0,N(M1547)&gt;N(L1547)),"택가보정(판매금액÷공급율)",""))</f>
        <v/>
      </c>
      <c r="P1547" s="0" t="str">
        <f aca="false">IF(A1547="HK","100",IF(A1547="CN","200",IF(A1547="TW","300",IF(ISNUMBER(SEARCH("태국",C1547)),"500",IF(ISNUMBER(SEARCH("말레이",C1547)),"600",IF(ISNUMBER(SEARCH("필리핀",C1547)),"700",IF(ISNUMBER(SEARCH("인도네시아",C1547)),"800",IF(ISNUMBER(SEARCH("크루즈",C1547)),"810",IF(ISNUMBER(SEARCH("동물원",C1547)),"830","")))))))))</f>
        <v/>
      </c>
    </row>
    <row r="1548" customFormat="false" ht="15" hidden="false" customHeight="false" outlineLevel="0" collapsed="false">
      <c r="A1548" s="32" t="str">
        <f aca="false">IF(OR(TRIM(C1548)="",SUBSTITUTE(C1548," ","")="소계"),"제외",IF(ISNUMBER(SEARCH("홍콩",C1548)),"HK",IF(ISNUMBER(SEARCH("상해",C1548)),"CN",IF(ISNUMBER(SEARCH("대만",C1548)),"TW","홀세일"))))</f>
        <v>홀세일</v>
      </c>
      <c r="B1548" s="36" t="s">
        <v>1618</v>
      </c>
      <c r="C1548" s="37" t="s">
        <v>123</v>
      </c>
      <c r="D1548" s="37" t="s">
        <v>123</v>
      </c>
      <c r="E1548" s="36" t="n">
        <v>2026</v>
      </c>
      <c r="F1548" s="37" t="s">
        <v>101</v>
      </c>
      <c r="G1548" s="37" t="s">
        <v>124</v>
      </c>
      <c r="H1548" s="36" t="s">
        <v>125</v>
      </c>
      <c r="I1548" s="36" t="s">
        <v>1280</v>
      </c>
      <c r="J1548" s="37" t="s">
        <v>1281</v>
      </c>
      <c r="K1548" s="38" t="n">
        <v>56</v>
      </c>
      <c r="L1548" s="38" t="n">
        <v>2744000</v>
      </c>
      <c r="M1548" s="38" t="n">
        <v>1518272</v>
      </c>
      <c r="N1548" s="39" t="n">
        <f aca="false">IF(A1548="제외",0,IF(OR(N(L1548)&lt;=0,N(M1548)&gt;N(L1548)),N(M1548)/요약!$D$27,N(L1548)))</f>
        <v>2744000</v>
      </c>
      <c r="O1548" s="32" t="str">
        <f aca="false">IF(A1548="제외","",IF(OR(N(L1548)&lt;=0,N(M1548)&gt;N(L1548)),"택가보정(판매금액÷공급율)",""))</f>
        <v/>
      </c>
      <c r="P1548" s="0" t="str">
        <f aca="false">IF(A1548="HK","100",IF(A1548="CN","200",IF(A1548="TW","300",IF(ISNUMBER(SEARCH("태국",C1548)),"500",IF(ISNUMBER(SEARCH("말레이",C1548)),"600",IF(ISNUMBER(SEARCH("필리핀",C1548)),"700",IF(ISNUMBER(SEARCH("인도네시아",C1548)),"800",IF(ISNUMBER(SEARCH("크루즈",C1548)),"810",IF(ISNUMBER(SEARCH("동물원",C1548)),"830","")))))))))</f>
        <v/>
      </c>
    </row>
    <row r="1549" customFormat="false" ht="15" hidden="false" customHeight="false" outlineLevel="0" collapsed="false">
      <c r="A1549" s="32" t="str">
        <f aca="false">IF(OR(TRIM(C1549)="",SUBSTITUTE(C1549," ","")="소계"),"제외",IF(ISNUMBER(SEARCH("홍콩",C1549)),"HK",IF(ISNUMBER(SEARCH("상해",C1549)),"CN",IF(ISNUMBER(SEARCH("대만",C1549)),"TW","홀세일"))))</f>
        <v>홀세일</v>
      </c>
      <c r="B1549" s="36" t="s">
        <v>1618</v>
      </c>
      <c r="C1549" s="37" t="s">
        <v>123</v>
      </c>
      <c r="D1549" s="37" t="s">
        <v>123</v>
      </c>
      <c r="E1549" s="36" t="n">
        <v>2026</v>
      </c>
      <c r="F1549" s="37" t="s">
        <v>219</v>
      </c>
      <c r="G1549" s="37" t="s">
        <v>124</v>
      </c>
      <c r="H1549" s="36" t="s">
        <v>131</v>
      </c>
      <c r="I1549" s="36" t="s">
        <v>1631</v>
      </c>
      <c r="J1549" s="37" t="s">
        <v>1632</v>
      </c>
      <c r="K1549" s="38" t="n">
        <v>50</v>
      </c>
      <c r="L1549" s="38" t="n">
        <v>8950000</v>
      </c>
      <c r="M1549" s="38" t="n">
        <v>4947850</v>
      </c>
      <c r="N1549" s="39" t="n">
        <f aca="false">IF(A1549="제외",0,IF(OR(N(L1549)&lt;=0,N(M1549)&gt;N(L1549)),N(M1549)/요약!$D$27,N(L1549)))</f>
        <v>8950000</v>
      </c>
      <c r="O1549" s="32" t="str">
        <f aca="false">IF(A1549="제외","",IF(OR(N(L1549)&lt;=0,N(M1549)&gt;N(L1549)),"택가보정(판매금액÷공급율)",""))</f>
        <v/>
      </c>
      <c r="P1549" s="0" t="str">
        <f aca="false">IF(A1549="HK","100",IF(A1549="CN","200",IF(A1549="TW","300",IF(ISNUMBER(SEARCH("태국",C1549)),"500",IF(ISNUMBER(SEARCH("말레이",C1549)),"600",IF(ISNUMBER(SEARCH("필리핀",C1549)),"700",IF(ISNUMBER(SEARCH("인도네시아",C1549)),"800",IF(ISNUMBER(SEARCH("크루즈",C1549)),"810",IF(ISNUMBER(SEARCH("동물원",C1549)),"830","")))))))))</f>
        <v/>
      </c>
    </row>
    <row r="1550" customFormat="false" ht="15" hidden="false" customHeight="false" outlineLevel="0" collapsed="false">
      <c r="A1550" s="32" t="str">
        <f aca="false">IF(OR(TRIM(C1550)="",SUBSTITUTE(C1550," ","")="소계"),"제외",IF(ISNUMBER(SEARCH("홍콩",C1550)),"HK",IF(ISNUMBER(SEARCH("상해",C1550)),"CN",IF(ISNUMBER(SEARCH("대만",C1550)),"TW","홀세일"))))</f>
        <v>홀세일</v>
      </c>
      <c r="B1550" s="36" t="s">
        <v>1618</v>
      </c>
      <c r="C1550" s="37" t="s">
        <v>123</v>
      </c>
      <c r="D1550" s="37" t="s">
        <v>123</v>
      </c>
      <c r="E1550" s="36" t="n">
        <v>2026</v>
      </c>
      <c r="F1550" s="37" t="s">
        <v>219</v>
      </c>
      <c r="G1550" s="37" t="s">
        <v>124</v>
      </c>
      <c r="H1550" s="36" t="s">
        <v>131</v>
      </c>
      <c r="I1550" s="36" t="s">
        <v>240</v>
      </c>
      <c r="J1550" s="36" t="s">
        <v>241</v>
      </c>
      <c r="K1550" s="38" t="n">
        <v>108</v>
      </c>
      <c r="L1550" s="38" t="n">
        <v>7452000</v>
      </c>
      <c r="M1550" s="38" t="n">
        <v>4131756</v>
      </c>
      <c r="N1550" s="39" t="n">
        <f aca="false">IF(A1550="제외",0,IF(OR(N(L1550)&lt;=0,N(M1550)&gt;N(L1550)),N(M1550)/요약!$D$27,N(L1550)))</f>
        <v>7452000</v>
      </c>
      <c r="O1550" s="32" t="str">
        <f aca="false">IF(A1550="제외","",IF(OR(N(L1550)&lt;=0,N(M1550)&gt;N(L1550)),"택가보정(판매금액÷공급율)",""))</f>
        <v/>
      </c>
      <c r="P1550" s="0" t="str">
        <f aca="false">IF(A1550="HK","100",IF(A1550="CN","200",IF(A1550="TW","300",IF(ISNUMBER(SEARCH("태국",C1550)),"500",IF(ISNUMBER(SEARCH("말레이",C1550)),"600",IF(ISNUMBER(SEARCH("필리핀",C1550)),"700",IF(ISNUMBER(SEARCH("인도네시아",C1550)),"800",IF(ISNUMBER(SEARCH("크루즈",C1550)),"810",IF(ISNUMBER(SEARCH("동물원",C1550)),"830","")))))))))</f>
        <v/>
      </c>
    </row>
    <row r="1551" customFormat="false" ht="15" hidden="false" customHeight="false" outlineLevel="0" collapsed="false">
      <c r="A1551" s="32" t="str">
        <f aca="false">IF(OR(TRIM(C1551)="",SUBSTITUTE(C1551," ","")="소계"),"제외",IF(ISNUMBER(SEARCH("홍콩",C1551)),"HK",IF(ISNUMBER(SEARCH("상해",C1551)),"CN",IF(ISNUMBER(SEARCH("대만",C1551)),"TW","홀세일"))))</f>
        <v>홀세일</v>
      </c>
      <c r="B1551" s="36" t="s">
        <v>1618</v>
      </c>
      <c r="C1551" s="37" t="s">
        <v>123</v>
      </c>
      <c r="D1551" s="37" t="s">
        <v>123</v>
      </c>
      <c r="E1551" s="36" t="n">
        <v>2026</v>
      </c>
      <c r="F1551" s="37" t="s">
        <v>219</v>
      </c>
      <c r="G1551" s="37" t="s">
        <v>124</v>
      </c>
      <c r="H1551" s="36" t="s">
        <v>131</v>
      </c>
      <c r="I1551" s="36" t="s">
        <v>268</v>
      </c>
      <c r="J1551" s="37" t="s">
        <v>269</v>
      </c>
      <c r="K1551" s="38" t="n">
        <v>6</v>
      </c>
      <c r="L1551" s="38" t="n">
        <v>1014000</v>
      </c>
      <c r="M1551" s="38" t="n">
        <v>561210</v>
      </c>
      <c r="N1551" s="39" t="n">
        <f aca="false">IF(A1551="제외",0,IF(OR(N(L1551)&lt;=0,N(M1551)&gt;N(L1551)),N(M1551)/요약!$D$27,N(L1551)))</f>
        <v>1014000</v>
      </c>
      <c r="O1551" s="32" t="str">
        <f aca="false">IF(A1551="제외","",IF(OR(N(L1551)&lt;=0,N(M1551)&gt;N(L1551)),"택가보정(판매금액÷공급율)",""))</f>
        <v/>
      </c>
      <c r="P1551" s="0" t="str">
        <f aca="false">IF(A1551="HK","100",IF(A1551="CN","200",IF(A1551="TW","300",IF(ISNUMBER(SEARCH("태국",C1551)),"500",IF(ISNUMBER(SEARCH("말레이",C1551)),"600",IF(ISNUMBER(SEARCH("필리핀",C1551)),"700",IF(ISNUMBER(SEARCH("인도네시아",C1551)),"800",IF(ISNUMBER(SEARCH("크루즈",C1551)),"810",IF(ISNUMBER(SEARCH("동물원",C1551)),"830","")))))))))</f>
        <v/>
      </c>
    </row>
    <row r="1552" customFormat="false" ht="15" hidden="false" customHeight="false" outlineLevel="0" collapsed="false">
      <c r="A1552" s="32" t="str">
        <f aca="false">IF(OR(TRIM(C1552)="",SUBSTITUTE(C1552," ","")="소계"),"제외",IF(ISNUMBER(SEARCH("홍콩",C1552)),"HK",IF(ISNUMBER(SEARCH("상해",C1552)),"CN",IF(ISNUMBER(SEARCH("대만",C1552)),"TW","홀세일"))))</f>
        <v>홀세일</v>
      </c>
      <c r="B1552" s="36" t="s">
        <v>1618</v>
      </c>
      <c r="C1552" s="37" t="s">
        <v>123</v>
      </c>
      <c r="D1552" s="37" t="s">
        <v>123</v>
      </c>
      <c r="E1552" s="36" t="n">
        <v>2026</v>
      </c>
      <c r="F1552" s="37" t="s">
        <v>219</v>
      </c>
      <c r="G1552" s="37" t="s">
        <v>124</v>
      </c>
      <c r="H1552" s="36" t="s">
        <v>131</v>
      </c>
      <c r="I1552" s="36" t="s">
        <v>270</v>
      </c>
      <c r="J1552" s="37" t="s">
        <v>271</v>
      </c>
      <c r="K1552" s="38" t="n">
        <v>6</v>
      </c>
      <c r="L1552" s="38" t="n">
        <v>954000</v>
      </c>
      <c r="M1552" s="38" t="n">
        <v>527772</v>
      </c>
      <c r="N1552" s="39" t="n">
        <f aca="false">IF(A1552="제외",0,IF(OR(N(L1552)&lt;=0,N(M1552)&gt;N(L1552)),N(M1552)/요약!$D$27,N(L1552)))</f>
        <v>954000</v>
      </c>
      <c r="O1552" s="32" t="str">
        <f aca="false">IF(A1552="제외","",IF(OR(N(L1552)&lt;=0,N(M1552)&gt;N(L1552)),"택가보정(판매금액÷공급율)",""))</f>
        <v/>
      </c>
      <c r="P1552" s="0" t="str">
        <f aca="false">IF(A1552="HK","100",IF(A1552="CN","200",IF(A1552="TW","300",IF(ISNUMBER(SEARCH("태국",C1552)),"500",IF(ISNUMBER(SEARCH("말레이",C1552)),"600",IF(ISNUMBER(SEARCH("필리핀",C1552)),"700",IF(ISNUMBER(SEARCH("인도네시아",C1552)),"800",IF(ISNUMBER(SEARCH("크루즈",C1552)),"810",IF(ISNUMBER(SEARCH("동물원",C1552)),"830","")))))))))</f>
        <v/>
      </c>
    </row>
    <row r="1553" customFormat="false" ht="15" hidden="false" customHeight="false" outlineLevel="0" collapsed="false">
      <c r="A1553" s="32" t="str">
        <f aca="false">IF(OR(TRIM(C1553)="",SUBSTITUTE(C1553," ","")="소계"),"제외",IF(ISNUMBER(SEARCH("홍콩",C1553)),"HK",IF(ISNUMBER(SEARCH("상해",C1553)),"CN",IF(ISNUMBER(SEARCH("대만",C1553)),"TW","홀세일"))))</f>
        <v>홀세일</v>
      </c>
      <c r="B1553" s="36" t="s">
        <v>1618</v>
      </c>
      <c r="C1553" s="37" t="s">
        <v>123</v>
      </c>
      <c r="D1553" s="37" t="s">
        <v>123</v>
      </c>
      <c r="E1553" s="36" t="n">
        <v>2026</v>
      </c>
      <c r="F1553" s="36" t="s">
        <v>110</v>
      </c>
      <c r="G1553" s="37" t="s">
        <v>102</v>
      </c>
      <c r="H1553" s="36" t="s">
        <v>125</v>
      </c>
      <c r="I1553" s="36" t="s">
        <v>1451</v>
      </c>
      <c r="J1553" s="37" t="s">
        <v>1452</v>
      </c>
      <c r="K1553" s="38" t="n">
        <v>55</v>
      </c>
      <c r="L1553" s="38" t="n">
        <v>10945000</v>
      </c>
      <c r="M1553" s="38" t="n">
        <v>5223440</v>
      </c>
      <c r="N1553" s="39" t="n">
        <f aca="false">IF(A1553="제외",0,IF(OR(N(L1553)&lt;=0,N(M1553)&gt;N(L1553)),N(M1553)/요약!$D$27,N(L1553)))</f>
        <v>10945000</v>
      </c>
      <c r="O1553" s="32" t="str">
        <f aca="false">IF(A1553="제외","",IF(OR(N(L1553)&lt;=0,N(M1553)&gt;N(L1553)),"택가보정(판매금액÷공급율)",""))</f>
        <v/>
      </c>
      <c r="P1553" s="0" t="str">
        <f aca="false">IF(A1553="HK","100",IF(A1553="CN","200",IF(A1553="TW","300",IF(ISNUMBER(SEARCH("태국",C1553)),"500",IF(ISNUMBER(SEARCH("말레이",C1553)),"600",IF(ISNUMBER(SEARCH("필리핀",C1553)),"700",IF(ISNUMBER(SEARCH("인도네시아",C1553)),"800",IF(ISNUMBER(SEARCH("크루즈",C1553)),"810",IF(ISNUMBER(SEARCH("동물원",C1553)),"830","")))))))))</f>
        <v/>
      </c>
    </row>
    <row r="1554" customFormat="false" ht="15" hidden="false" customHeight="false" outlineLevel="0" collapsed="false">
      <c r="A1554" s="32" t="str">
        <f aca="false">IF(OR(TRIM(C1554)="",SUBSTITUTE(C1554," ","")="소계"),"제외",IF(ISNUMBER(SEARCH("홍콩",C1554)),"HK",IF(ISNUMBER(SEARCH("상해",C1554)),"CN",IF(ISNUMBER(SEARCH("대만",C1554)),"TW","홀세일"))))</f>
        <v>홀세일</v>
      </c>
      <c r="B1554" s="36" t="s">
        <v>1618</v>
      </c>
      <c r="C1554" s="37" t="s">
        <v>123</v>
      </c>
      <c r="D1554" s="37" t="s">
        <v>123</v>
      </c>
      <c r="E1554" s="36" t="n">
        <v>2026</v>
      </c>
      <c r="F1554" s="36" t="s">
        <v>110</v>
      </c>
      <c r="G1554" s="37" t="s">
        <v>102</v>
      </c>
      <c r="H1554" s="36" t="s">
        <v>125</v>
      </c>
      <c r="I1554" s="36" t="s">
        <v>589</v>
      </c>
      <c r="J1554" s="37" t="s">
        <v>590</v>
      </c>
      <c r="K1554" s="38" t="n">
        <v>17</v>
      </c>
      <c r="L1554" s="38" t="n">
        <v>2533000</v>
      </c>
      <c r="M1554" s="38" t="n">
        <v>1400613</v>
      </c>
      <c r="N1554" s="39" t="n">
        <f aca="false">IF(A1554="제외",0,IF(OR(N(L1554)&lt;=0,N(M1554)&gt;N(L1554)),N(M1554)/요약!$D$27,N(L1554)))</f>
        <v>2533000</v>
      </c>
      <c r="O1554" s="32" t="str">
        <f aca="false">IF(A1554="제외","",IF(OR(N(L1554)&lt;=0,N(M1554)&gt;N(L1554)),"택가보정(판매금액÷공급율)",""))</f>
        <v/>
      </c>
      <c r="P1554" s="0" t="str">
        <f aca="false">IF(A1554="HK","100",IF(A1554="CN","200",IF(A1554="TW","300",IF(ISNUMBER(SEARCH("태국",C1554)),"500",IF(ISNUMBER(SEARCH("말레이",C1554)),"600",IF(ISNUMBER(SEARCH("필리핀",C1554)),"700",IF(ISNUMBER(SEARCH("인도네시아",C1554)),"800",IF(ISNUMBER(SEARCH("크루즈",C1554)),"810",IF(ISNUMBER(SEARCH("동물원",C1554)),"830","")))))))))</f>
        <v/>
      </c>
    </row>
    <row r="1555" customFormat="false" ht="15" hidden="false" customHeight="false" outlineLevel="0" collapsed="false">
      <c r="A1555" s="32" t="str">
        <f aca="false">IF(OR(TRIM(C1555)="",SUBSTITUTE(C1555," ","")="소계"),"제외",IF(ISNUMBER(SEARCH("홍콩",C1555)),"HK",IF(ISNUMBER(SEARCH("상해",C1555)),"CN",IF(ISNUMBER(SEARCH("대만",C1555)),"TW","홀세일"))))</f>
        <v>홀세일</v>
      </c>
      <c r="B1555" s="36" t="s">
        <v>1618</v>
      </c>
      <c r="C1555" s="37" t="s">
        <v>123</v>
      </c>
      <c r="D1555" s="37" t="s">
        <v>123</v>
      </c>
      <c r="E1555" s="36" t="n">
        <v>2026</v>
      </c>
      <c r="F1555" s="36" t="s">
        <v>110</v>
      </c>
      <c r="G1555" s="37" t="s">
        <v>102</v>
      </c>
      <c r="H1555" s="36" t="s">
        <v>131</v>
      </c>
      <c r="I1555" s="36" t="s">
        <v>595</v>
      </c>
      <c r="J1555" s="37" t="s">
        <v>596</v>
      </c>
      <c r="K1555" s="38" t="n">
        <v>90</v>
      </c>
      <c r="L1555" s="38" t="n">
        <v>5310000</v>
      </c>
      <c r="M1555" s="38" t="n">
        <v>2656080</v>
      </c>
      <c r="N1555" s="39" t="n">
        <f aca="false">IF(A1555="제외",0,IF(OR(N(L1555)&lt;=0,N(M1555)&gt;N(L1555)),N(M1555)/요약!$D$27,N(L1555)))</f>
        <v>5310000</v>
      </c>
      <c r="O1555" s="32" t="str">
        <f aca="false">IF(A1555="제외","",IF(OR(N(L1555)&lt;=0,N(M1555)&gt;N(L1555)),"택가보정(판매금액÷공급율)",""))</f>
        <v/>
      </c>
      <c r="P1555" s="0" t="str">
        <f aca="false">IF(A1555="HK","100",IF(A1555="CN","200",IF(A1555="TW","300",IF(ISNUMBER(SEARCH("태국",C1555)),"500",IF(ISNUMBER(SEARCH("말레이",C1555)),"600",IF(ISNUMBER(SEARCH("필리핀",C1555)),"700",IF(ISNUMBER(SEARCH("인도네시아",C1555)),"800",IF(ISNUMBER(SEARCH("크루즈",C1555)),"810",IF(ISNUMBER(SEARCH("동물원",C1555)),"830","")))))))))</f>
        <v/>
      </c>
    </row>
    <row r="1556" customFormat="false" ht="15" hidden="false" customHeight="false" outlineLevel="0" collapsed="false">
      <c r="A1556" s="32" t="str">
        <f aca="false">IF(OR(TRIM(C1556)="",SUBSTITUTE(C1556," ","")="소계"),"제외",IF(ISNUMBER(SEARCH("홍콩",C1556)),"HK",IF(ISNUMBER(SEARCH("상해",C1556)),"CN",IF(ISNUMBER(SEARCH("대만",C1556)),"TW","홀세일"))))</f>
        <v>홀세일</v>
      </c>
      <c r="B1556" s="36" t="s">
        <v>1618</v>
      </c>
      <c r="C1556" s="37" t="s">
        <v>123</v>
      </c>
      <c r="D1556" s="37" t="s">
        <v>123</v>
      </c>
      <c r="E1556" s="36" t="n">
        <v>2026</v>
      </c>
      <c r="F1556" s="36" t="s">
        <v>110</v>
      </c>
      <c r="G1556" s="37" t="s">
        <v>102</v>
      </c>
      <c r="H1556" s="36" t="s">
        <v>131</v>
      </c>
      <c r="I1556" s="36" t="s">
        <v>956</v>
      </c>
      <c r="J1556" s="37" t="s">
        <v>957</v>
      </c>
      <c r="K1556" s="38" t="n">
        <v>16</v>
      </c>
      <c r="L1556" s="38" t="n">
        <v>1424000</v>
      </c>
      <c r="M1556" s="38" t="n">
        <v>788048</v>
      </c>
      <c r="N1556" s="39" t="n">
        <f aca="false">IF(A1556="제외",0,IF(OR(N(L1556)&lt;=0,N(M1556)&gt;N(L1556)),N(M1556)/요약!$D$27,N(L1556)))</f>
        <v>1424000</v>
      </c>
      <c r="O1556" s="32" t="str">
        <f aca="false">IF(A1556="제외","",IF(OR(N(L1556)&lt;=0,N(M1556)&gt;N(L1556)),"택가보정(판매금액÷공급율)",""))</f>
        <v/>
      </c>
      <c r="P1556" s="0" t="str">
        <f aca="false">IF(A1556="HK","100",IF(A1556="CN","200",IF(A1556="TW","300",IF(ISNUMBER(SEARCH("태국",C1556)),"500",IF(ISNUMBER(SEARCH("말레이",C1556)),"600",IF(ISNUMBER(SEARCH("필리핀",C1556)),"700",IF(ISNUMBER(SEARCH("인도네시아",C1556)),"800",IF(ISNUMBER(SEARCH("크루즈",C1556)),"810",IF(ISNUMBER(SEARCH("동물원",C1556)),"830","")))))))))</f>
        <v/>
      </c>
    </row>
    <row r="1557" customFormat="false" ht="15" hidden="false" customHeight="false" outlineLevel="0" collapsed="false">
      <c r="A1557" s="32" t="str">
        <f aca="false">IF(OR(TRIM(C1557)="",SUBSTITUTE(C1557," ","")="소계"),"제외",IF(ISNUMBER(SEARCH("홍콩",C1557)),"HK",IF(ISNUMBER(SEARCH("상해",C1557)),"CN",IF(ISNUMBER(SEARCH("대만",C1557)),"TW","홀세일"))))</f>
        <v>홀세일</v>
      </c>
      <c r="B1557" s="36" t="s">
        <v>1618</v>
      </c>
      <c r="C1557" s="37" t="s">
        <v>123</v>
      </c>
      <c r="D1557" s="37" t="s">
        <v>123</v>
      </c>
      <c r="E1557" s="36" t="n">
        <v>2026</v>
      </c>
      <c r="F1557" s="36" t="s">
        <v>110</v>
      </c>
      <c r="G1557" s="37" t="s">
        <v>102</v>
      </c>
      <c r="H1557" s="36" t="s">
        <v>131</v>
      </c>
      <c r="I1557" s="36" t="s">
        <v>607</v>
      </c>
      <c r="J1557" s="37" t="s">
        <v>608</v>
      </c>
      <c r="K1557" s="38" t="n">
        <v>30</v>
      </c>
      <c r="L1557" s="38" t="n">
        <v>2370000</v>
      </c>
      <c r="M1557" s="38" t="n">
        <v>1310400</v>
      </c>
      <c r="N1557" s="39" t="n">
        <f aca="false">IF(A1557="제외",0,IF(OR(N(L1557)&lt;=0,N(M1557)&gt;N(L1557)),N(M1557)/요약!$D$27,N(L1557)))</f>
        <v>2370000</v>
      </c>
      <c r="O1557" s="32" t="str">
        <f aca="false">IF(A1557="제외","",IF(OR(N(L1557)&lt;=0,N(M1557)&gt;N(L1557)),"택가보정(판매금액÷공급율)",""))</f>
        <v/>
      </c>
      <c r="P1557" s="0" t="str">
        <f aca="false">IF(A1557="HK","100",IF(A1557="CN","200",IF(A1557="TW","300",IF(ISNUMBER(SEARCH("태국",C1557)),"500",IF(ISNUMBER(SEARCH("말레이",C1557)),"600",IF(ISNUMBER(SEARCH("필리핀",C1557)),"700",IF(ISNUMBER(SEARCH("인도네시아",C1557)),"800",IF(ISNUMBER(SEARCH("크루즈",C1557)),"810",IF(ISNUMBER(SEARCH("동물원",C1557)),"830","")))))))))</f>
        <v/>
      </c>
    </row>
    <row r="1558" customFormat="false" ht="15" hidden="false" customHeight="false" outlineLevel="0" collapsed="false">
      <c r="A1558" s="32" t="str">
        <f aca="false">IF(OR(TRIM(C1558)="",SUBSTITUTE(C1558," ","")="소계"),"제외",IF(ISNUMBER(SEARCH("홍콩",C1558)),"HK",IF(ISNUMBER(SEARCH("상해",C1558)),"CN",IF(ISNUMBER(SEARCH("대만",C1558)),"TW","홀세일"))))</f>
        <v>홀세일</v>
      </c>
      <c r="B1558" s="36" t="s">
        <v>1618</v>
      </c>
      <c r="C1558" s="37" t="s">
        <v>123</v>
      </c>
      <c r="D1558" s="37" t="s">
        <v>123</v>
      </c>
      <c r="E1558" s="36" t="n">
        <v>2026</v>
      </c>
      <c r="F1558" s="36" t="s">
        <v>110</v>
      </c>
      <c r="G1558" s="37" t="s">
        <v>102</v>
      </c>
      <c r="H1558" s="36" t="s">
        <v>125</v>
      </c>
      <c r="I1558" s="36" t="s">
        <v>1358</v>
      </c>
      <c r="J1558" s="37" t="s">
        <v>1359</v>
      </c>
      <c r="K1558" s="38" t="n">
        <v>10</v>
      </c>
      <c r="L1558" s="38" t="n">
        <v>890000</v>
      </c>
      <c r="M1558" s="38" t="n">
        <v>335320</v>
      </c>
      <c r="N1558" s="39" t="n">
        <f aca="false">IF(A1558="제외",0,IF(OR(N(L1558)&lt;=0,N(M1558)&gt;N(L1558)),N(M1558)/요약!$D$27,N(L1558)))</f>
        <v>890000</v>
      </c>
      <c r="O1558" s="32" t="str">
        <f aca="false">IF(A1558="제외","",IF(OR(N(L1558)&lt;=0,N(M1558)&gt;N(L1558)),"택가보정(판매금액÷공급율)",""))</f>
        <v/>
      </c>
      <c r="P1558" s="0" t="str">
        <f aca="false">IF(A1558="HK","100",IF(A1558="CN","200",IF(A1558="TW","300",IF(ISNUMBER(SEARCH("태국",C1558)),"500",IF(ISNUMBER(SEARCH("말레이",C1558)),"600",IF(ISNUMBER(SEARCH("필리핀",C1558)),"700",IF(ISNUMBER(SEARCH("인도네시아",C1558)),"800",IF(ISNUMBER(SEARCH("크루즈",C1558)),"810",IF(ISNUMBER(SEARCH("동물원",C1558)),"830","")))))))))</f>
        <v/>
      </c>
    </row>
    <row r="1559" customFormat="false" ht="15" hidden="false" customHeight="false" outlineLevel="0" collapsed="false">
      <c r="A1559" s="32" t="str">
        <f aca="false">IF(OR(TRIM(C1559)="",SUBSTITUTE(C1559," ","")="소계"),"제외",IF(ISNUMBER(SEARCH("홍콩",C1559)),"HK",IF(ISNUMBER(SEARCH("상해",C1559)),"CN",IF(ISNUMBER(SEARCH("대만",C1559)),"TW","홀세일"))))</f>
        <v>홀세일</v>
      </c>
      <c r="B1559" s="36" t="s">
        <v>1618</v>
      </c>
      <c r="C1559" s="37" t="s">
        <v>123</v>
      </c>
      <c r="D1559" s="37" t="s">
        <v>123</v>
      </c>
      <c r="E1559" s="36" t="n">
        <v>2026</v>
      </c>
      <c r="F1559" s="36" t="s">
        <v>110</v>
      </c>
      <c r="G1559" s="37" t="s">
        <v>102</v>
      </c>
      <c r="H1559" s="36" t="s">
        <v>131</v>
      </c>
      <c r="I1559" s="36" t="s">
        <v>619</v>
      </c>
      <c r="J1559" s="37" t="s">
        <v>620</v>
      </c>
      <c r="K1559" s="38" t="n">
        <v>150</v>
      </c>
      <c r="L1559" s="38" t="n">
        <v>5850000</v>
      </c>
      <c r="M1559" s="38" t="n">
        <v>3019050</v>
      </c>
      <c r="N1559" s="39" t="n">
        <f aca="false">IF(A1559="제외",0,IF(OR(N(L1559)&lt;=0,N(M1559)&gt;N(L1559)),N(M1559)/요약!$D$27,N(L1559)))</f>
        <v>5850000</v>
      </c>
      <c r="O1559" s="32" t="str">
        <f aca="false">IF(A1559="제외","",IF(OR(N(L1559)&lt;=0,N(M1559)&gt;N(L1559)),"택가보정(판매금액÷공급율)",""))</f>
        <v/>
      </c>
      <c r="P1559" s="0" t="str">
        <f aca="false">IF(A1559="HK","100",IF(A1559="CN","200",IF(A1559="TW","300",IF(ISNUMBER(SEARCH("태국",C1559)),"500",IF(ISNUMBER(SEARCH("말레이",C1559)),"600",IF(ISNUMBER(SEARCH("필리핀",C1559)),"700",IF(ISNUMBER(SEARCH("인도네시아",C1559)),"800",IF(ISNUMBER(SEARCH("크루즈",C1559)),"810",IF(ISNUMBER(SEARCH("동물원",C1559)),"830","")))))))))</f>
        <v/>
      </c>
    </row>
    <row r="1560" customFormat="false" ht="15" hidden="false" customHeight="false" outlineLevel="0" collapsed="false">
      <c r="A1560" s="32" t="str">
        <f aca="false">IF(OR(TRIM(C1560)="",SUBSTITUTE(C1560," ","")="소계"),"제외",IF(ISNUMBER(SEARCH("홍콩",C1560)),"HK",IF(ISNUMBER(SEARCH("상해",C1560)),"CN",IF(ISNUMBER(SEARCH("대만",C1560)),"TW","홀세일"))))</f>
        <v>홀세일</v>
      </c>
      <c r="B1560" s="36" t="s">
        <v>1618</v>
      </c>
      <c r="C1560" s="37" t="s">
        <v>123</v>
      </c>
      <c r="D1560" s="37" t="s">
        <v>123</v>
      </c>
      <c r="E1560" s="36" t="n">
        <v>2026</v>
      </c>
      <c r="F1560" s="36" t="s">
        <v>110</v>
      </c>
      <c r="G1560" s="37" t="s">
        <v>102</v>
      </c>
      <c r="H1560" s="36" t="s">
        <v>131</v>
      </c>
      <c r="I1560" s="36" t="s">
        <v>621</v>
      </c>
      <c r="J1560" s="37" t="s">
        <v>622</v>
      </c>
      <c r="K1560" s="38" t="n">
        <v>138</v>
      </c>
      <c r="L1560" s="38" t="n">
        <v>5382000</v>
      </c>
      <c r="M1560" s="38" t="n">
        <v>2661882</v>
      </c>
      <c r="N1560" s="39" t="n">
        <f aca="false">IF(A1560="제외",0,IF(OR(N(L1560)&lt;=0,N(M1560)&gt;N(L1560)),N(M1560)/요약!$D$27,N(L1560)))</f>
        <v>5382000</v>
      </c>
      <c r="O1560" s="32" t="str">
        <f aca="false">IF(A1560="제외","",IF(OR(N(L1560)&lt;=0,N(M1560)&gt;N(L1560)),"택가보정(판매금액÷공급율)",""))</f>
        <v/>
      </c>
      <c r="P1560" s="0" t="str">
        <f aca="false">IF(A1560="HK","100",IF(A1560="CN","200",IF(A1560="TW","300",IF(ISNUMBER(SEARCH("태국",C1560)),"500",IF(ISNUMBER(SEARCH("말레이",C1560)),"600",IF(ISNUMBER(SEARCH("필리핀",C1560)),"700",IF(ISNUMBER(SEARCH("인도네시아",C1560)),"800",IF(ISNUMBER(SEARCH("크루즈",C1560)),"810",IF(ISNUMBER(SEARCH("동물원",C1560)),"830","")))))))))</f>
        <v/>
      </c>
    </row>
    <row r="1561" customFormat="false" ht="15" hidden="false" customHeight="false" outlineLevel="0" collapsed="false">
      <c r="A1561" s="32" t="str">
        <f aca="false">IF(OR(TRIM(C1561)="",SUBSTITUTE(C1561," ","")="소계"),"제외",IF(ISNUMBER(SEARCH("홍콩",C1561)),"HK",IF(ISNUMBER(SEARCH("상해",C1561)),"CN",IF(ISNUMBER(SEARCH("대만",C1561)),"TW","홀세일"))))</f>
        <v>홀세일</v>
      </c>
      <c r="B1561" s="36" t="s">
        <v>1618</v>
      </c>
      <c r="C1561" s="37" t="s">
        <v>123</v>
      </c>
      <c r="D1561" s="37" t="s">
        <v>123</v>
      </c>
      <c r="E1561" s="36" t="n">
        <v>2026</v>
      </c>
      <c r="F1561" s="36" t="s">
        <v>110</v>
      </c>
      <c r="G1561" s="37" t="s">
        <v>102</v>
      </c>
      <c r="H1561" s="36" t="s">
        <v>131</v>
      </c>
      <c r="I1561" s="36" t="s">
        <v>623</v>
      </c>
      <c r="J1561" s="37" t="s">
        <v>624</v>
      </c>
      <c r="K1561" s="38" t="n">
        <v>90</v>
      </c>
      <c r="L1561" s="38" t="n">
        <v>4410000</v>
      </c>
      <c r="M1561" s="38" t="n">
        <v>2142900</v>
      </c>
      <c r="N1561" s="39" t="n">
        <f aca="false">IF(A1561="제외",0,IF(OR(N(L1561)&lt;=0,N(M1561)&gt;N(L1561)),N(M1561)/요약!$D$27,N(L1561)))</f>
        <v>4410000</v>
      </c>
      <c r="O1561" s="32" t="str">
        <f aca="false">IF(A1561="제외","",IF(OR(N(L1561)&lt;=0,N(M1561)&gt;N(L1561)),"택가보정(판매금액÷공급율)",""))</f>
        <v/>
      </c>
      <c r="P1561" s="0" t="str">
        <f aca="false">IF(A1561="HK","100",IF(A1561="CN","200",IF(A1561="TW","300",IF(ISNUMBER(SEARCH("태국",C1561)),"500",IF(ISNUMBER(SEARCH("말레이",C1561)),"600",IF(ISNUMBER(SEARCH("필리핀",C1561)),"700",IF(ISNUMBER(SEARCH("인도네시아",C1561)),"800",IF(ISNUMBER(SEARCH("크루즈",C1561)),"810",IF(ISNUMBER(SEARCH("동물원",C1561)),"830","")))))))))</f>
        <v/>
      </c>
    </row>
    <row r="1562" customFormat="false" ht="15" hidden="false" customHeight="false" outlineLevel="0" collapsed="false">
      <c r="A1562" s="32" t="str">
        <f aca="false">IF(OR(TRIM(C1562)="",SUBSTITUTE(C1562," ","")="소계"),"제외",IF(ISNUMBER(SEARCH("홍콩",C1562)),"HK",IF(ISNUMBER(SEARCH("상해",C1562)),"CN",IF(ISNUMBER(SEARCH("대만",C1562)),"TW","홀세일"))))</f>
        <v>홀세일</v>
      </c>
      <c r="B1562" s="36" t="s">
        <v>1618</v>
      </c>
      <c r="C1562" s="37" t="s">
        <v>123</v>
      </c>
      <c r="D1562" s="37" t="s">
        <v>123</v>
      </c>
      <c r="E1562" s="36" t="n">
        <v>2026</v>
      </c>
      <c r="F1562" s="36" t="s">
        <v>110</v>
      </c>
      <c r="G1562" s="37" t="s">
        <v>102</v>
      </c>
      <c r="H1562" s="36" t="s">
        <v>131</v>
      </c>
      <c r="I1562" s="36" t="s">
        <v>968</v>
      </c>
      <c r="J1562" s="37" t="s">
        <v>969</v>
      </c>
      <c r="K1562" s="38" t="n">
        <v>10</v>
      </c>
      <c r="L1562" s="38" t="n">
        <v>490000</v>
      </c>
      <c r="M1562" s="38" t="n">
        <v>184500</v>
      </c>
      <c r="N1562" s="39" t="n">
        <f aca="false">IF(A1562="제외",0,IF(OR(N(L1562)&lt;=0,N(M1562)&gt;N(L1562)),N(M1562)/요약!$D$27,N(L1562)))</f>
        <v>490000</v>
      </c>
      <c r="O1562" s="32" t="str">
        <f aca="false">IF(A1562="제외","",IF(OR(N(L1562)&lt;=0,N(M1562)&gt;N(L1562)),"택가보정(판매금액÷공급율)",""))</f>
        <v/>
      </c>
      <c r="P1562" s="0" t="str">
        <f aca="false">IF(A1562="HK","100",IF(A1562="CN","200",IF(A1562="TW","300",IF(ISNUMBER(SEARCH("태국",C1562)),"500",IF(ISNUMBER(SEARCH("말레이",C1562)),"600",IF(ISNUMBER(SEARCH("필리핀",C1562)),"700",IF(ISNUMBER(SEARCH("인도네시아",C1562)),"800",IF(ISNUMBER(SEARCH("크루즈",C1562)),"810",IF(ISNUMBER(SEARCH("동물원",C1562)),"830","")))))))))</f>
        <v/>
      </c>
    </row>
    <row r="1563" customFormat="false" ht="15" hidden="false" customHeight="false" outlineLevel="0" collapsed="false">
      <c r="A1563" s="32" t="str">
        <f aca="false">IF(OR(TRIM(C1563)="",SUBSTITUTE(C1563," ","")="소계"),"제외",IF(ISNUMBER(SEARCH("홍콩",C1563)),"HK",IF(ISNUMBER(SEARCH("상해",C1563)),"CN",IF(ISNUMBER(SEARCH("대만",C1563)),"TW","홀세일"))))</f>
        <v>홀세일</v>
      </c>
      <c r="B1563" s="36" t="s">
        <v>1618</v>
      </c>
      <c r="C1563" s="37" t="s">
        <v>123</v>
      </c>
      <c r="D1563" s="37" t="s">
        <v>123</v>
      </c>
      <c r="E1563" s="36" t="n">
        <v>2026</v>
      </c>
      <c r="F1563" s="36" t="s">
        <v>110</v>
      </c>
      <c r="G1563" s="37" t="s">
        <v>102</v>
      </c>
      <c r="H1563" s="36" t="s">
        <v>131</v>
      </c>
      <c r="I1563" s="36" t="s">
        <v>625</v>
      </c>
      <c r="J1563" s="37" t="s">
        <v>626</v>
      </c>
      <c r="K1563" s="38" t="n">
        <v>95</v>
      </c>
      <c r="L1563" s="38" t="n">
        <v>5605000</v>
      </c>
      <c r="M1563" s="38" t="n">
        <v>2803640</v>
      </c>
      <c r="N1563" s="39" t="n">
        <f aca="false">IF(A1563="제외",0,IF(OR(N(L1563)&lt;=0,N(M1563)&gt;N(L1563)),N(M1563)/요약!$D$27,N(L1563)))</f>
        <v>5605000</v>
      </c>
      <c r="O1563" s="32" t="str">
        <f aca="false">IF(A1563="제외","",IF(OR(N(L1563)&lt;=0,N(M1563)&gt;N(L1563)),"택가보정(판매금액÷공급율)",""))</f>
        <v/>
      </c>
      <c r="P1563" s="0" t="str">
        <f aca="false">IF(A1563="HK","100",IF(A1563="CN","200",IF(A1563="TW","300",IF(ISNUMBER(SEARCH("태국",C1563)),"500",IF(ISNUMBER(SEARCH("말레이",C1563)),"600",IF(ISNUMBER(SEARCH("필리핀",C1563)),"700",IF(ISNUMBER(SEARCH("인도네시아",C1563)),"800",IF(ISNUMBER(SEARCH("크루즈",C1563)),"810",IF(ISNUMBER(SEARCH("동물원",C1563)),"830","")))))))))</f>
        <v/>
      </c>
    </row>
    <row r="1564" customFormat="false" ht="15" hidden="false" customHeight="false" outlineLevel="0" collapsed="false">
      <c r="A1564" s="32" t="str">
        <f aca="false">IF(OR(TRIM(C1564)="",SUBSTITUTE(C1564," ","")="소계"),"제외",IF(ISNUMBER(SEARCH("홍콩",C1564)),"HK",IF(ISNUMBER(SEARCH("상해",C1564)),"CN",IF(ISNUMBER(SEARCH("대만",C1564)),"TW","홀세일"))))</f>
        <v>홀세일</v>
      </c>
      <c r="B1564" s="36" t="s">
        <v>1618</v>
      </c>
      <c r="C1564" s="37" t="s">
        <v>123</v>
      </c>
      <c r="D1564" s="37" t="s">
        <v>123</v>
      </c>
      <c r="E1564" s="36" t="n">
        <v>2026</v>
      </c>
      <c r="F1564" s="36" t="s">
        <v>110</v>
      </c>
      <c r="G1564" s="37" t="s">
        <v>102</v>
      </c>
      <c r="H1564" s="36" t="s">
        <v>131</v>
      </c>
      <c r="I1564" s="36" t="s">
        <v>627</v>
      </c>
      <c r="J1564" s="37" t="s">
        <v>628</v>
      </c>
      <c r="K1564" s="38" t="n">
        <v>109</v>
      </c>
      <c r="L1564" s="38" t="n">
        <v>8611000</v>
      </c>
      <c r="M1564" s="38" t="n">
        <v>4761120</v>
      </c>
      <c r="N1564" s="39" t="n">
        <f aca="false">IF(A1564="제외",0,IF(OR(N(L1564)&lt;=0,N(M1564)&gt;N(L1564)),N(M1564)/요약!$D$27,N(L1564)))</f>
        <v>8611000</v>
      </c>
      <c r="O1564" s="32" t="str">
        <f aca="false">IF(A1564="제외","",IF(OR(N(L1564)&lt;=0,N(M1564)&gt;N(L1564)),"택가보정(판매금액÷공급율)",""))</f>
        <v/>
      </c>
      <c r="P1564" s="0" t="str">
        <f aca="false">IF(A1564="HK","100",IF(A1564="CN","200",IF(A1564="TW","300",IF(ISNUMBER(SEARCH("태국",C1564)),"500",IF(ISNUMBER(SEARCH("말레이",C1564)),"600",IF(ISNUMBER(SEARCH("필리핀",C1564)),"700",IF(ISNUMBER(SEARCH("인도네시아",C1564)),"800",IF(ISNUMBER(SEARCH("크루즈",C1564)),"810",IF(ISNUMBER(SEARCH("동물원",C1564)),"830","")))))))))</f>
        <v/>
      </c>
    </row>
    <row r="1565" customFormat="false" ht="15" hidden="false" customHeight="false" outlineLevel="0" collapsed="false">
      <c r="A1565" s="32" t="str">
        <f aca="false">IF(OR(TRIM(C1565)="",SUBSTITUTE(C1565," ","")="소계"),"제외",IF(ISNUMBER(SEARCH("홍콩",C1565)),"HK",IF(ISNUMBER(SEARCH("상해",C1565)),"CN",IF(ISNUMBER(SEARCH("대만",C1565)),"TW","홀세일"))))</f>
        <v>홀세일</v>
      </c>
      <c r="B1565" s="36" t="s">
        <v>1618</v>
      </c>
      <c r="C1565" s="37" t="s">
        <v>123</v>
      </c>
      <c r="D1565" s="37" t="s">
        <v>123</v>
      </c>
      <c r="E1565" s="36" t="n">
        <v>2026</v>
      </c>
      <c r="F1565" s="36" t="s">
        <v>110</v>
      </c>
      <c r="G1565" s="37" t="s">
        <v>102</v>
      </c>
      <c r="H1565" s="36" t="s">
        <v>131</v>
      </c>
      <c r="I1565" s="36" t="s">
        <v>629</v>
      </c>
      <c r="J1565" s="37" t="s">
        <v>630</v>
      </c>
      <c r="K1565" s="38" t="n">
        <v>130</v>
      </c>
      <c r="L1565" s="38" t="n">
        <v>6370000</v>
      </c>
      <c r="M1565" s="38" t="n">
        <v>3182400</v>
      </c>
      <c r="N1565" s="39" t="n">
        <f aca="false">IF(A1565="제외",0,IF(OR(N(L1565)&lt;=0,N(M1565)&gt;N(L1565)),N(M1565)/요약!$D$27,N(L1565)))</f>
        <v>6370000</v>
      </c>
      <c r="O1565" s="32" t="str">
        <f aca="false">IF(A1565="제외","",IF(OR(N(L1565)&lt;=0,N(M1565)&gt;N(L1565)),"택가보정(판매금액÷공급율)",""))</f>
        <v/>
      </c>
      <c r="P1565" s="0" t="str">
        <f aca="false">IF(A1565="HK","100",IF(A1565="CN","200",IF(A1565="TW","300",IF(ISNUMBER(SEARCH("태국",C1565)),"500",IF(ISNUMBER(SEARCH("말레이",C1565)),"600",IF(ISNUMBER(SEARCH("필리핀",C1565)),"700",IF(ISNUMBER(SEARCH("인도네시아",C1565)),"800",IF(ISNUMBER(SEARCH("크루즈",C1565)),"810",IF(ISNUMBER(SEARCH("동물원",C1565)),"830","")))))))))</f>
        <v/>
      </c>
    </row>
    <row r="1566" customFormat="false" ht="15" hidden="false" customHeight="false" outlineLevel="0" collapsed="false">
      <c r="A1566" s="32" t="str">
        <f aca="false">IF(OR(TRIM(C1566)="",SUBSTITUTE(C1566," ","")="소계"),"제외",IF(ISNUMBER(SEARCH("홍콩",C1566)),"HK",IF(ISNUMBER(SEARCH("상해",C1566)),"CN",IF(ISNUMBER(SEARCH("대만",C1566)),"TW","홀세일"))))</f>
        <v>홀세일</v>
      </c>
      <c r="B1566" s="36" t="s">
        <v>1618</v>
      </c>
      <c r="C1566" s="37" t="s">
        <v>123</v>
      </c>
      <c r="D1566" s="37" t="s">
        <v>123</v>
      </c>
      <c r="E1566" s="36" t="n">
        <v>2026</v>
      </c>
      <c r="F1566" s="36" t="s">
        <v>110</v>
      </c>
      <c r="G1566" s="37" t="s">
        <v>102</v>
      </c>
      <c r="H1566" s="36" t="s">
        <v>131</v>
      </c>
      <c r="I1566" s="36" t="s">
        <v>1109</v>
      </c>
      <c r="J1566" s="37" t="s">
        <v>1110</v>
      </c>
      <c r="K1566" s="38" t="n">
        <v>89</v>
      </c>
      <c r="L1566" s="38" t="n">
        <v>7921000</v>
      </c>
      <c r="M1566" s="38" t="n">
        <v>4383517</v>
      </c>
      <c r="N1566" s="39" t="n">
        <f aca="false">IF(A1566="제외",0,IF(OR(N(L1566)&lt;=0,N(M1566)&gt;N(L1566)),N(M1566)/요약!$D$27,N(L1566)))</f>
        <v>7921000</v>
      </c>
      <c r="O1566" s="32" t="str">
        <f aca="false">IF(A1566="제외","",IF(OR(N(L1566)&lt;=0,N(M1566)&gt;N(L1566)),"택가보정(판매금액÷공급율)",""))</f>
        <v/>
      </c>
      <c r="P1566" s="0" t="str">
        <f aca="false">IF(A1566="HK","100",IF(A1566="CN","200",IF(A1566="TW","300",IF(ISNUMBER(SEARCH("태국",C1566)),"500",IF(ISNUMBER(SEARCH("말레이",C1566)),"600",IF(ISNUMBER(SEARCH("필리핀",C1566)),"700",IF(ISNUMBER(SEARCH("인도네시아",C1566)),"800",IF(ISNUMBER(SEARCH("크루즈",C1566)),"810",IF(ISNUMBER(SEARCH("동물원",C1566)),"830","")))))))))</f>
        <v/>
      </c>
    </row>
    <row r="1567" customFormat="false" ht="15" hidden="false" customHeight="false" outlineLevel="0" collapsed="false">
      <c r="A1567" s="32" t="str">
        <f aca="false">IF(OR(TRIM(C1567)="",SUBSTITUTE(C1567," ","")="소계"),"제외",IF(ISNUMBER(SEARCH("홍콩",C1567)),"HK",IF(ISNUMBER(SEARCH("상해",C1567)),"CN",IF(ISNUMBER(SEARCH("대만",C1567)),"TW","홀세일"))))</f>
        <v>홀세일</v>
      </c>
      <c r="B1567" s="36" t="s">
        <v>1618</v>
      </c>
      <c r="C1567" s="37" t="s">
        <v>123</v>
      </c>
      <c r="D1567" s="37" t="s">
        <v>123</v>
      </c>
      <c r="E1567" s="36" t="n">
        <v>2026</v>
      </c>
      <c r="F1567" s="36" t="s">
        <v>110</v>
      </c>
      <c r="G1567" s="37" t="s">
        <v>102</v>
      </c>
      <c r="H1567" s="36" t="s">
        <v>131</v>
      </c>
      <c r="I1567" s="36" t="s">
        <v>1633</v>
      </c>
      <c r="J1567" s="37" t="s">
        <v>1634</v>
      </c>
      <c r="K1567" s="38" t="n">
        <v>100</v>
      </c>
      <c r="L1567" s="38" t="n">
        <v>4900000</v>
      </c>
      <c r="M1567" s="38" t="n">
        <v>2448000</v>
      </c>
      <c r="N1567" s="39" t="n">
        <f aca="false">IF(A1567="제외",0,IF(OR(N(L1567)&lt;=0,N(M1567)&gt;N(L1567)),N(M1567)/요약!$D$27,N(L1567)))</f>
        <v>4900000</v>
      </c>
      <c r="O1567" s="32" t="str">
        <f aca="false">IF(A1567="제외","",IF(OR(N(L1567)&lt;=0,N(M1567)&gt;N(L1567)),"택가보정(판매금액÷공급율)",""))</f>
        <v/>
      </c>
      <c r="P1567" s="0" t="str">
        <f aca="false">IF(A1567="HK","100",IF(A1567="CN","200",IF(A1567="TW","300",IF(ISNUMBER(SEARCH("태국",C1567)),"500",IF(ISNUMBER(SEARCH("말레이",C1567)),"600",IF(ISNUMBER(SEARCH("필리핀",C1567)),"700",IF(ISNUMBER(SEARCH("인도네시아",C1567)),"800",IF(ISNUMBER(SEARCH("크루즈",C1567)),"810",IF(ISNUMBER(SEARCH("동물원",C1567)),"830","")))))))))</f>
        <v/>
      </c>
    </row>
    <row r="1568" customFormat="false" ht="15" hidden="false" customHeight="false" outlineLevel="0" collapsed="false">
      <c r="A1568" s="32" t="str">
        <f aca="false">IF(OR(TRIM(C1568)="",SUBSTITUTE(C1568," ","")="소계"),"제외",IF(ISNUMBER(SEARCH("홍콩",C1568)),"HK",IF(ISNUMBER(SEARCH("상해",C1568)),"CN",IF(ISNUMBER(SEARCH("대만",C1568)),"TW","홀세일"))))</f>
        <v>홀세일</v>
      </c>
      <c r="B1568" s="36" t="s">
        <v>1618</v>
      </c>
      <c r="C1568" s="37" t="s">
        <v>123</v>
      </c>
      <c r="D1568" s="37" t="s">
        <v>123</v>
      </c>
      <c r="E1568" s="36" t="n">
        <v>2026</v>
      </c>
      <c r="F1568" s="36" t="s">
        <v>110</v>
      </c>
      <c r="G1568" s="37" t="s">
        <v>102</v>
      </c>
      <c r="H1568" s="36" t="s">
        <v>131</v>
      </c>
      <c r="I1568" s="36" t="s">
        <v>1366</v>
      </c>
      <c r="J1568" s="37" t="s">
        <v>1367</v>
      </c>
      <c r="K1568" s="38" t="n">
        <v>60</v>
      </c>
      <c r="L1568" s="38" t="n">
        <v>3540000</v>
      </c>
      <c r="M1568" s="38" t="n">
        <v>1961100</v>
      </c>
      <c r="N1568" s="39" t="n">
        <f aca="false">IF(A1568="제외",0,IF(OR(N(L1568)&lt;=0,N(M1568)&gt;N(L1568)),N(M1568)/요약!$D$27,N(L1568)))</f>
        <v>3540000</v>
      </c>
      <c r="O1568" s="32" t="str">
        <f aca="false">IF(A1568="제외","",IF(OR(N(L1568)&lt;=0,N(M1568)&gt;N(L1568)),"택가보정(판매금액÷공급율)",""))</f>
        <v/>
      </c>
      <c r="P1568" s="0" t="str">
        <f aca="false">IF(A1568="HK","100",IF(A1568="CN","200",IF(A1568="TW","300",IF(ISNUMBER(SEARCH("태국",C1568)),"500",IF(ISNUMBER(SEARCH("말레이",C1568)),"600",IF(ISNUMBER(SEARCH("필리핀",C1568)),"700",IF(ISNUMBER(SEARCH("인도네시아",C1568)),"800",IF(ISNUMBER(SEARCH("크루즈",C1568)),"810",IF(ISNUMBER(SEARCH("동물원",C1568)),"830","")))))))))</f>
        <v/>
      </c>
    </row>
    <row r="1569" customFormat="false" ht="15" hidden="false" customHeight="false" outlineLevel="0" collapsed="false">
      <c r="A1569" s="32" t="str">
        <f aca="false">IF(OR(TRIM(C1569)="",SUBSTITUTE(C1569," ","")="소계"),"제외",IF(ISNUMBER(SEARCH("홍콩",C1569)),"HK",IF(ISNUMBER(SEARCH("상해",C1569)),"CN",IF(ISNUMBER(SEARCH("대만",C1569)),"TW","홀세일"))))</f>
        <v>홀세일</v>
      </c>
      <c r="B1569" s="36" t="s">
        <v>1618</v>
      </c>
      <c r="C1569" s="37" t="s">
        <v>123</v>
      </c>
      <c r="D1569" s="37" t="s">
        <v>123</v>
      </c>
      <c r="E1569" s="36" t="n">
        <v>2026</v>
      </c>
      <c r="F1569" s="36" t="s">
        <v>110</v>
      </c>
      <c r="G1569" s="37" t="s">
        <v>102</v>
      </c>
      <c r="H1569" s="36" t="s">
        <v>131</v>
      </c>
      <c r="I1569" s="36" t="s">
        <v>633</v>
      </c>
      <c r="J1569" s="37" t="s">
        <v>634</v>
      </c>
      <c r="K1569" s="38" t="n">
        <v>12</v>
      </c>
      <c r="L1569" s="38" t="n">
        <v>948000</v>
      </c>
      <c r="M1569" s="38" t="n">
        <v>524160</v>
      </c>
      <c r="N1569" s="39" t="n">
        <f aca="false">IF(A1569="제외",0,IF(OR(N(L1569)&lt;=0,N(M1569)&gt;N(L1569)),N(M1569)/요약!$D$27,N(L1569)))</f>
        <v>948000</v>
      </c>
      <c r="O1569" s="32" t="str">
        <f aca="false">IF(A1569="제외","",IF(OR(N(L1569)&lt;=0,N(M1569)&gt;N(L1569)),"택가보정(판매금액÷공급율)",""))</f>
        <v/>
      </c>
      <c r="P1569" s="0" t="str">
        <f aca="false">IF(A1569="HK","100",IF(A1569="CN","200",IF(A1569="TW","300",IF(ISNUMBER(SEARCH("태국",C1569)),"500",IF(ISNUMBER(SEARCH("말레이",C1569)),"600",IF(ISNUMBER(SEARCH("필리핀",C1569)),"700",IF(ISNUMBER(SEARCH("인도네시아",C1569)),"800",IF(ISNUMBER(SEARCH("크루즈",C1569)),"810",IF(ISNUMBER(SEARCH("동물원",C1569)),"830","")))))))))</f>
        <v/>
      </c>
    </row>
    <row r="1570" customFormat="false" ht="15" hidden="false" customHeight="false" outlineLevel="0" collapsed="false">
      <c r="A1570" s="32" t="str">
        <f aca="false">IF(OR(TRIM(C1570)="",SUBSTITUTE(C1570," ","")="소계"),"제외",IF(ISNUMBER(SEARCH("홍콩",C1570)),"HK",IF(ISNUMBER(SEARCH("상해",C1570)),"CN",IF(ISNUMBER(SEARCH("대만",C1570)),"TW","홀세일"))))</f>
        <v>홀세일</v>
      </c>
      <c r="B1570" s="36" t="s">
        <v>1618</v>
      </c>
      <c r="C1570" s="37" t="s">
        <v>123</v>
      </c>
      <c r="D1570" s="37" t="s">
        <v>123</v>
      </c>
      <c r="E1570" s="36" t="n">
        <v>2026</v>
      </c>
      <c r="F1570" s="36" t="s">
        <v>110</v>
      </c>
      <c r="G1570" s="37" t="s">
        <v>102</v>
      </c>
      <c r="H1570" s="36" t="s">
        <v>131</v>
      </c>
      <c r="I1570" s="36" t="s">
        <v>1635</v>
      </c>
      <c r="J1570" s="37" t="s">
        <v>1636</v>
      </c>
      <c r="K1570" s="38" t="n">
        <v>50</v>
      </c>
      <c r="L1570" s="38" t="n">
        <v>3450000</v>
      </c>
      <c r="M1570" s="38" t="n">
        <v>1727200</v>
      </c>
      <c r="N1570" s="39" t="n">
        <f aca="false">IF(A1570="제외",0,IF(OR(N(L1570)&lt;=0,N(M1570)&gt;N(L1570)),N(M1570)/요약!$D$27,N(L1570)))</f>
        <v>3450000</v>
      </c>
      <c r="O1570" s="32" t="str">
        <f aca="false">IF(A1570="제외","",IF(OR(N(L1570)&lt;=0,N(M1570)&gt;N(L1570)),"택가보정(판매금액÷공급율)",""))</f>
        <v/>
      </c>
      <c r="P1570" s="0" t="str">
        <f aca="false">IF(A1570="HK","100",IF(A1570="CN","200",IF(A1570="TW","300",IF(ISNUMBER(SEARCH("태국",C1570)),"500",IF(ISNUMBER(SEARCH("말레이",C1570)),"600",IF(ISNUMBER(SEARCH("필리핀",C1570)),"700",IF(ISNUMBER(SEARCH("인도네시아",C1570)),"800",IF(ISNUMBER(SEARCH("크루즈",C1570)),"810",IF(ISNUMBER(SEARCH("동물원",C1570)),"830","")))))))))</f>
        <v/>
      </c>
    </row>
    <row r="1571" customFormat="false" ht="15" hidden="false" customHeight="false" outlineLevel="0" collapsed="false">
      <c r="A1571" s="32" t="str">
        <f aca="false">IF(OR(TRIM(C1571)="",SUBSTITUTE(C1571," ","")="소계"),"제외",IF(ISNUMBER(SEARCH("홍콩",C1571)),"HK",IF(ISNUMBER(SEARCH("상해",C1571)),"CN",IF(ISNUMBER(SEARCH("대만",C1571)),"TW","홀세일"))))</f>
        <v>홀세일</v>
      </c>
      <c r="B1571" s="36" t="s">
        <v>1618</v>
      </c>
      <c r="C1571" s="37" t="s">
        <v>123</v>
      </c>
      <c r="D1571" s="37" t="s">
        <v>123</v>
      </c>
      <c r="E1571" s="36" t="n">
        <v>2026</v>
      </c>
      <c r="F1571" s="36" t="s">
        <v>110</v>
      </c>
      <c r="G1571" s="37" t="s">
        <v>124</v>
      </c>
      <c r="H1571" s="36" t="s">
        <v>125</v>
      </c>
      <c r="I1571" s="36" t="s">
        <v>652</v>
      </c>
      <c r="J1571" s="37" t="s">
        <v>653</v>
      </c>
      <c r="K1571" s="38" t="n">
        <v>21</v>
      </c>
      <c r="L1571" s="38" t="n">
        <v>10479000</v>
      </c>
      <c r="M1571" s="38" t="n">
        <v>4612545</v>
      </c>
      <c r="N1571" s="39" t="n">
        <f aca="false">IF(A1571="제외",0,IF(OR(N(L1571)&lt;=0,N(M1571)&gt;N(L1571)),N(M1571)/요약!$D$27,N(L1571)))</f>
        <v>10479000</v>
      </c>
      <c r="O1571" s="32" t="str">
        <f aca="false">IF(A1571="제외","",IF(OR(N(L1571)&lt;=0,N(M1571)&gt;N(L1571)),"택가보정(판매금액÷공급율)",""))</f>
        <v/>
      </c>
      <c r="P1571" s="0" t="str">
        <f aca="false">IF(A1571="HK","100",IF(A1571="CN","200",IF(A1571="TW","300",IF(ISNUMBER(SEARCH("태국",C1571)),"500",IF(ISNUMBER(SEARCH("말레이",C1571)),"600",IF(ISNUMBER(SEARCH("필리핀",C1571)),"700",IF(ISNUMBER(SEARCH("인도네시아",C1571)),"800",IF(ISNUMBER(SEARCH("크루즈",C1571)),"810",IF(ISNUMBER(SEARCH("동물원",C1571)),"830","")))))))))</f>
        <v/>
      </c>
    </row>
    <row r="1572" customFormat="false" ht="15" hidden="false" customHeight="false" outlineLevel="0" collapsed="false">
      <c r="A1572" s="32" t="str">
        <f aca="false">IF(OR(TRIM(C1572)="",SUBSTITUTE(C1572," ","")="소계"),"제외",IF(ISNUMBER(SEARCH("홍콩",C1572)),"HK",IF(ISNUMBER(SEARCH("상해",C1572)),"CN",IF(ISNUMBER(SEARCH("대만",C1572)),"TW","홀세일"))))</f>
        <v>홀세일</v>
      </c>
      <c r="B1572" s="36" t="s">
        <v>1618</v>
      </c>
      <c r="C1572" s="37" t="s">
        <v>123</v>
      </c>
      <c r="D1572" s="37" t="s">
        <v>123</v>
      </c>
      <c r="E1572" s="36" t="n">
        <v>2026</v>
      </c>
      <c r="F1572" s="36" t="s">
        <v>110</v>
      </c>
      <c r="G1572" s="37" t="s">
        <v>124</v>
      </c>
      <c r="H1572" s="36" t="s">
        <v>188</v>
      </c>
      <c r="I1572" s="36" t="s">
        <v>662</v>
      </c>
      <c r="J1572" s="36" t="s">
        <v>663</v>
      </c>
      <c r="K1572" s="38" t="n">
        <v>14</v>
      </c>
      <c r="L1572" s="38" t="n">
        <v>5586000</v>
      </c>
      <c r="M1572" s="38" t="n">
        <v>3075030</v>
      </c>
      <c r="N1572" s="39" t="n">
        <f aca="false">IF(A1572="제외",0,IF(OR(N(L1572)&lt;=0,N(M1572)&gt;N(L1572)),N(M1572)/요약!$D$27,N(L1572)))</f>
        <v>5586000</v>
      </c>
      <c r="O1572" s="32" t="str">
        <f aca="false">IF(A1572="제외","",IF(OR(N(L1572)&lt;=0,N(M1572)&gt;N(L1572)),"택가보정(판매금액÷공급율)",""))</f>
        <v/>
      </c>
      <c r="P1572" s="0" t="str">
        <f aca="false">IF(A1572="HK","100",IF(A1572="CN","200",IF(A1572="TW","300",IF(ISNUMBER(SEARCH("태국",C1572)),"500",IF(ISNUMBER(SEARCH("말레이",C1572)),"600",IF(ISNUMBER(SEARCH("필리핀",C1572)),"700",IF(ISNUMBER(SEARCH("인도네시아",C1572)),"800",IF(ISNUMBER(SEARCH("크루즈",C1572)),"810",IF(ISNUMBER(SEARCH("동물원",C1572)),"830","")))))))))</f>
        <v/>
      </c>
    </row>
    <row r="1573" customFormat="false" ht="15" hidden="false" customHeight="false" outlineLevel="0" collapsed="false">
      <c r="A1573" s="32" t="str">
        <f aca="false">IF(OR(TRIM(C1573)="",SUBSTITUTE(C1573," ","")="소계"),"제외",IF(ISNUMBER(SEARCH("홍콩",C1573)),"HK",IF(ISNUMBER(SEARCH("상해",C1573)),"CN",IF(ISNUMBER(SEARCH("대만",C1573)),"TW","홀세일"))))</f>
        <v>제외</v>
      </c>
      <c r="B1573" s="36" t="s">
        <v>762</v>
      </c>
      <c r="C1573" s="37" t="s">
        <v>763</v>
      </c>
      <c r="D1573" s="36"/>
      <c r="E1573" s="36"/>
      <c r="F1573" s="36"/>
      <c r="G1573" s="36"/>
      <c r="H1573" s="36"/>
      <c r="I1573" s="36"/>
      <c r="J1573" s="36"/>
      <c r="K1573" s="38" t="n">
        <v>1997</v>
      </c>
      <c r="L1573" s="38" t="n">
        <v>194763000</v>
      </c>
      <c r="M1573" s="38" t="n">
        <v>100568977</v>
      </c>
      <c r="N1573" s="39" t="n">
        <f aca="false">IF(A1573="제외",0,IF(OR(N(L1573)&lt;=0,N(M1573)&gt;N(L1573)),N(M1573)/요약!$D$27,N(L1573)))</f>
        <v>0</v>
      </c>
      <c r="O1573" s="32" t="str">
        <f aca="false">IF(A1573="제외","",IF(OR(N(L1573)&lt;=0,N(M1573)&gt;N(L1573)),"택가보정(판매금액÷공급율)",""))</f>
        <v/>
      </c>
      <c r="P1573" s="0" t="str">
        <f aca="false">IF(A1573="HK","100",IF(A1573="CN","200",IF(A1573="TW","300",IF(ISNUMBER(SEARCH("태국",C1573)),"500",IF(ISNUMBER(SEARCH("말레이",C1573)),"600",IF(ISNUMBER(SEARCH("필리핀",C1573)),"700",IF(ISNUMBER(SEARCH("인도네시아",C1573)),"800",IF(ISNUMBER(SEARCH("크루즈",C1573)),"810",IF(ISNUMBER(SEARCH("동물원",C1573)),"830","")))))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9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7.9609375" defaultRowHeight="15" zeroHeight="false" outlineLevelRow="0" outlineLevelCol="0"/>
  <cols>
    <col collapsed="false" customWidth="true" hidden="false" outlineLevel="0" max="2" min="1" style="42" width="7.34"/>
    <col collapsed="false" customWidth="true" hidden="false" outlineLevel="0" max="3" min="3" style="42" width="14.68"/>
    <col collapsed="false" customWidth="true" hidden="false" outlineLevel="0" max="4" min="4" style="42" width="9.17"/>
    <col collapsed="false" customWidth="true" hidden="false" outlineLevel="0" max="5" min="5" style="42" width="11.92"/>
    <col collapsed="false" customWidth="true" hidden="false" outlineLevel="0" max="6" min="6" style="42" width="12.84"/>
    <col collapsed="false" customWidth="true" hidden="false" outlineLevel="0" max="7" min="7" style="42" width="7.34"/>
    <col collapsed="false" customWidth="true" hidden="false" outlineLevel="0" max="8" min="8" style="42" width="12.84"/>
    <col collapsed="false" customWidth="true" hidden="false" outlineLevel="0" max="9" min="9" style="42" width="11.01"/>
    <col collapsed="false" customWidth="true" hidden="false" outlineLevel="0" max="12" min="10" style="42" width="11.92"/>
    <col collapsed="false" customWidth="true" hidden="false" outlineLevel="0" max="15" min="13" style="42" width="14.68"/>
    <col collapsed="false" customWidth="true" hidden="false" outlineLevel="0" max="16" min="16" style="42" width="27.52"/>
    <col collapsed="false" customWidth="true" hidden="false" outlineLevel="0" max="23" min="17" style="0" width="16"/>
    <col collapsed="false" customWidth="true" hidden="false" outlineLevel="0" max="24" min="24" style="0" width="18"/>
  </cols>
  <sheetData>
    <row r="1" customFormat="false" ht="31.5" hidden="false" customHeight="true" outlineLevel="0" collapsed="false">
      <c r="A1" s="43" t="s">
        <v>1637</v>
      </c>
      <c r="B1" s="43" t="s">
        <v>3</v>
      </c>
      <c r="C1" s="43" t="s">
        <v>1638</v>
      </c>
      <c r="D1" s="43" t="s">
        <v>1639</v>
      </c>
      <c r="E1" s="43" t="s">
        <v>1640</v>
      </c>
      <c r="F1" s="43" t="s">
        <v>1641</v>
      </c>
      <c r="G1" s="43" t="s">
        <v>1642</v>
      </c>
      <c r="H1" s="43" t="s">
        <v>1643</v>
      </c>
      <c r="I1" s="43" t="s">
        <v>1644</v>
      </c>
      <c r="J1" s="43" t="s">
        <v>1645</v>
      </c>
      <c r="K1" s="43" t="s">
        <v>1646</v>
      </c>
      <c r="L1" s="43" t="s">
        <v>1647</v>
      </c>
      <c r="M1" s="43" t="s">
        <v>1648</v>
      </c>
      <c r="N1" s="43" t="s">
        <v>1649</v>
      </c>
      <c r="O1" s="44" t="s">
        <v>1650</v>
      </c>
      <c r="P1" s="43" t="s">
        <v>95</v>
      </c>
      <c r="Q1" s="43" t="s">
        <v>1651</v>
      </c>
      <c r="R1" s="43" t="s">
        <v>1652</v>
      </c>
      <c r="S1" s="43" t="s">
        <v>1653</v>
      </c>
      <c r="T1" s="43" t="s">
        <v>1654</v>
      </c>
      <c r="U1" s="43" t="s">
        <v>1655</v>
      </c>
      <c r="V1" s="43" t="s">
        <v>1656</v>
      </c>
      <c r="W1" s="43" t="s">
        <v>1657</v>
      </c>
      <c r="X1" s="43" t="s">
        <v>1658</v>
      </c>
    </row>
    <row r="2" customFormat="false" ht="15" hidden="false" customHeight="true" outlineLevel="0" collapsed="false">
      <c r="A2" s="45" t="s">
        <v>1659</v>
      </c>
      <c r="B2" s="42" t="str">
        <f aca="false">IF(A2="100","HK",IF(A2="200","CN",IF(A2="300","TW","홀세일")))</f>
        <v>HK</v>
      </c>
      <c r="C2" s="45" t="s">
        <v>132</v>
      </c>
      <c r="D2" s="46" t="n">
        <v>240</v>
      </c>
      <c r="E2" s="46" t="n">
        <v>169000</v>
      </c>
      <c r="F2" s="46" t="n">
        <v>39504</v>
      </c>
      <c r="G2" s="42" t="n">
        <v>3.64</v>
      </c>
      <c r="H2" s="42" t="n">
        <v>44.9</v>
      </c>
      <c r="J2" s="46" t="n">
        <f aca="false">IF(N(E2)&gt;0,E2,IF(N(F2)&gt;0,F2*요약!$F$27,0))</f>
        <v>169000</v>
      </c>
      <c r="K2" s="46" t="n">
        <f aca="false">IF(N(F2)&gt;0,F2,IF(N(E2)&gt;0,E2/요약!$F$27,0))</f>
        <v>39504</v>
      </c>
      <c r="L2" s="46" t="n">
        <f aca="false">IF(B2="CN",IF(N(I2)&gt;0,I2*요약!$G$27,K2*(1+요약!$E$27)),IF(N(H2)&gt;0,H2*요약!$G$27,J2*요약!$D$27))</f>
        <v>59268</v>
      </c>
      <c r="M2" s="46" t="n">
        <f aca="false">D2*J2</f>
        <v>40560000</v>
      </c>
      <c r="N2" s="46" t="n">
        <f aca="false">D2*K2</f>
        <v>9480960</v>
      </c>
      <c r="O2" s="46" t="n">
        <f aca="false">D2*L2</f>
        <v>14224320</v>
      </c>
      <c r="P2" s="42" t="str">
        <f aca="false">TRIM(IF(N(E2)&lt;=0,"택가보정 ","")&amp;IF(N(F2)&lt;=0,"원가보정 ","")&amp;IF(AND(B2&lt;&gt;"CN",N(H2)&lt;=0),"공급가보정 ","")&amp;IF(AND(B2="CN",N(I2)&lt;=0),"중국공급가=원가+마진 ",""))</f>
        <v/>
      </c>
      <c r="Q2" s="47" t="n">
        <f aca="false">IF(SUMIFS($W:$W,$A:$A,A2,$C:$C,C2)=0,0,SUMIFS(RAW_판매펀칭!$K:$K,RAW_판매펀칭!$P:$P,A2,RAW_판매펀칭!$I:$I,C2)*W2/SUMIFS($W:$W,$A:$A,A2,$C:$C,C2))</f>
        <v>0</v>
      </c>
      <c r="R2" s="47" t="n">
        <f aca="false">IF(OR(A2="500",A2="800",A2="810"),0,MAX(W2-Q2,0))</f>
        <v>240</v>
      </c>
      <c r="S2" s="47" t="n">
        <f aca="false">R2*L2</f>
        <v>14224320</v>
      </c>
      <c r="T2" s="47" t="n">
        <f aca="false">R2*J2</f>
        <v>40560000</v>
      </c>
      <c r="U2" s="47" t="n">
        <f aca="false">R2*K2</f>
        <v>9480960</v>
      </c>
      <c r="V2" s="0" t="str">
        <f aca="false">IF(COUNTIFS($A$2:A2,A2,$C$2:C2,C2,$D$2:D2,D2)&gt;1,"중복","")</f>
        <v/>
      </c>
      <c r="W2" s="0" t="n">
        <f aca="false">IF(V2="중복",0,N(D2))</f>
        <v>240</v>
      </c>
      <c r="X2" s="0" t="n">
        <f aca="false">IF(COUNTIFS($A$2:A2,A2,$C$2:C2,C2)=1,ABS(SUMIFS(RAW_발주!$D:$D,RAW_발주!$C:$C,A2,RAW_발주!$A:$A,C2)-SUMIFS($W:$W,$A:$A,A2,$C:$C,C2)),0)</f>
        <v>0</v>
      </c>
    </row>
    <row r="3" customFormat="false" ht="15.75" hidden="false" customHeight="true" outlineLevel="0" collapsed="false">
      <c r="A3" s="45" t="s">
        <v>1660</v>
      </c>
      <c r="B3" s="42" t="str">
        <f aca="false">IF(A3="100","HK",IF(A3="200","CN",IF(A3="300","TW","홀세일")))</f>
        <v>CN</v>
      </c>
      <c r="C3" s="45" t="s">
        <v>132</v>
      </c>
      <c r="D3" s="46" t="n">
        <v>1336</v>
      </c>
      <c r="E3" s="46" t="n">
        <v>169000</v>
      </c>
      <c r="F3" s="46" t="n">
        <v>39504</v>
      </c>
      <c r="G3" s="42" t="n">
        <v>3.64</v>
      </c>
      <c r="H3" s="42" t="n">
        <v>44.9</v>
      </c>
      <c r="J3" s="46" t="n">
        <f aca="false">IF(N(E3)&gt;0,E3,IF(N(F3)&gt;0,F3*요약!$F$27,0))</f>
        <v>169000</v>
      </c>
      <c r="K3" s="46" t="n">
        <f aca="false">IF(N(F3)&gt;0,F3,IF(N(E3)&gt;0,E3/요약!$F$27,0))</f>
        <v>39504</v>
      </c>
      <c r="L3" s="46" t="n">
        <f aca="false">IF(B3="CN",IF(N(I3)&gt;0,I3*요약!$G$27,K3*(1+요약!$E$27)),IF(N(H3)&gt;0,H3*요약!$G$27,J3*요약!$D$27))</f>
        <v>41479.2</v>
      </c>
      <c r="M3" s="46" t="n">
        <f aca="false">D3*J3</f>
        <v>225784000</v>
      </c>
      <c r="N3" s="46" t="n">
        <f aca="false">D3*K3</f>
        <v>52777344</v>
      </c>
      <c r="O3" s="46" t="n">
        <f aca="false">D3*L3</f>
        <v>55416211.2</v>
      </c>
      <c r="P3" s="42" t="str">
        <f aca="false">TRIM(IF(N(E3)&lt;=0,"택가보정 ","")&amp;IF(N(F3)&lt;=0,"원가보정 ","")&amp;IF(AND(B3&lt;&gt;"CN",N(H3)&lt;=0),"공급가보정 ","")&amp;IF(AND(B3="CN",N(I3)&lt;=0),"중국공급가=원가+마진 ",""))</f>
        <v>중국공급가=원가+마진</v>
      </c>
      <c r="Q3" s="47" t="n">
        <f aca="false">IF(SUMIFS($W:$W,$A:$A,A3,$C:$C,C3)=0,0,SUMIFS(RAW_판매펀칭!$K:$K,RAW_판매펀칭!$P:$P,A3,RAW_판매펀칭!$I:$I,C3)*W3/SUMIFS($W:$W,$A:$A,A3,$C:$C,C3))</f>
        <v>0</v>
      </c>
      <c r="R3" s="47" t="n">
        <f aca="false">IF(OR(A3="500",A3="800",A3="810"),0,MAX(W3-Q3,0))</f>
        <v>1336</v>
      </c>
      <c r="S3" s="47" t="n">
        <f aca="false">R3*L3</f>
        <v>55416211.2</v>
      </c>
      <c r="T3" s="47" t="n">
        <f aca="false">R3*J3</f>
        <v>225784000</v>
      </c>
      <c r="U3" s="47" t="n">
        <f aca="false">R3*K3</f>
        <v>52777344</v>
      </c>
      <c r="V3" s="0" t="str">
        <f aca="false">IF(COUNTIFS($A$2:A3,A3,$C$2:C3,C3,$D$2:D3,D3)&gt;1,"중복","")</f>
        <v/>
      </c>
      <c r="W3" s="0" t="n">
        <f aca="false">IF(V3="중복",0,N(D3))</f>
        <v>1336</v>
      </c>
      <c r="X3" s="0" t="n">
        <f aca="false">IF(COUNTIFS($A$2:A3,A3,$C$2:C3,C3)=1,ABS(SUMIFS(RAW_발주!$D:$D,RAW_발주!$C:$C,A3,RAW_발주!$A:$A,C3)-SUMIFS($W:$W,$A:$A,A3,$C:$C,C3)),0)</f>
        <v>0</v>
      </c>
    </row>
    <row r="4" customFormat="false" ht="15" hidden="false" customHeight="true" outlineLevel="0" collapsed="false">
      <c r="A4" s="45" t="s">
        <v>1661</v>
      </c>
      <c r="B4" s="42" t="str">
        <f aca="false">IF(A4="100","HK",IF(A4="200","CN",IF(A4="300","TW","홀세일")))</f>
        <v>TW</v>
      </c>
      <c r="C4" s="45" t="s">
        <v>132</v>
      </c>
      <c r="D4" s="46" t="n">
        <v>150</v>
      </c>
      <c r="E4" s="46" t="n">
        <v>169000</v>
      </c>
      <c r="F4" s="46" t="n">
        <v>39504</v>
      </c>
      <c r="G4" s="42" t="n">
        <v>3.64</v>
      </c>
      <c r="H4" s="42" t="n">
        <v>44.9</v>
      </c>
      <c r="J4" s="46" t="n">
        <f aca="false">IF(N(E4)&gt;0,E4,IF(N(F4)&gt;0,F4*요약!$F$27,0))</f>
        <v>169000</v>
      </c>
      <c r="K4" s="46" t="n">
        <f aca="false">IF(N(F4)&gt;0,F4,IF(N(E4)&gt;0,E4/요약!$F$27,0))</f>
        <v>39504</v>
      </c>
      <c r="L4" s="46" t="n">
        <f aca="false">IF(B4="CN",IF(N(I4)&gt;0,I4*요약!$G$27,K4*(1+요약!$E$27)),IF(N(H4)&gt;0,H4*요약!$G$27,J4*요약!$D$27))</f>
        <v>59268</v>
      </c>
      <c r="M4" s="46" t="n">
        <f aca="false">D4*J4</f>
        <v>25350000</v>
      </c>
      <c r="N4" s="46" t="n">
        <f aca="false">D4*K4</f>
        <v>5925600</v>
      </c>
      <c r="O4" s="46" t="n">
        <f aca="false">D4*L4</f>
        <v>8890200</v>
      </c>
      <c r="P4" s="42" t="str">
        <f aca="false">TRIM(IF(N(E4)&lt;=0,"택가보정 ","")&amp;IF(N(F4)&lt;=0,"원가보정 ","")&amp;IF(AND(B4&lt;&gt;"CN",N(H4)&lt;=0),"공급가보정 ","")&amp;IF(AND(B4="CN",N(I4)&lt;=0),"중국공급가=원가+마진 ",""))</f>
        <v/>
      </c>
      <c r="Q4" s="47" t="n">
        <f aca="false">IF(SUMIFS($W:$W,$A:$A,A4,$C:$C,C4)=0,0,SUMIFS(RAW_판매펀칭!$K:$K,RAW_판매펀칭!$P:$P,A4,RAW_판매펀칭!$I:$I,C4)*W4/SUMIFS($W:$W,$A:$A,A4,$C:$C,C4))</f>
        <v>150</v>
      </c>
      <c r="R4" s="47" t="n">
        <f aca="false">IF(OR(A4="500",A4="800",A4="810"),0,MAX(W4-Q4,0))</f>
        <v>0</v>
      </c>
      <c r="S4" s="47" t="n">
        <f aca="false">R4*L4</f>
        <v>0</v>
      </c>
      <c r="T4" s="47" t="n">
        <f aca="false">R4*J4</f>
        <v>0</v>
      </c>
      <c r="U4" s="47" t="n">
        <f aca="false">R4*K4</f>
        <v>0</v>
      </c>
      <c r="V4" s="0" t="str">
        <f aca="false">IF(COUNTIFS($A$2:A4,A4,$C$2:C4,C4,$D$2:D4,D4)&gt;1,"중복","")</f>
        <v/>
      </c>
      <c r="W4" s="0" t="n">
        <f aca="false">IF(V4="중복",0,N(D4))</f>
        <v>150</v>
      </c>
      <c r="X4" s="0" t="n">
        <f aca="false">IF(COUNTIFS($A$2:A4,A4,$C$2:C4,C4)=1,ABS(SUMIFS(RAW_발주!$D:$D,RAW_발주!$C:$C,A4,RAW_발주!$A:$A,C4)-SUMIFS($W:$W,$A:$A,A4,$C:$C,C4)),0)</f>
        <v>0</v>
      </c>
    </row>
    <row r="5" customFormat="false" ht="15" hidden="false" customHeight="true" outlineLevel="0" collapsed="false">
      <c r="A5" s="45" t="s">
        <v>1662</v>
      </c>
      <c r="B5" s="42" t="str">
        <f aca="false">IF(A5="100","HK",IF(A5="200","CN",IF(A5="300","TW","홀세일")))</f>
        <v>홀세일</v>
      </c>
      <c r="C5" s="45" t="s">
        <v>132</v>
      </c>
      <c r="D5" s="46" t="n">
        <v>25</v>
      </c>
      <c r="E5" s="46" t="n">
        <v>169000</v>
      </c>
      <c r="F5" s="46" t="n">
        <v>39504</v>
      </c>
      <c r="G5" s="42" t="n">
        <v>3.64</v>
      </c>
      <c r="H5" s="42" t="n">
        <v>44.9</v>
      </c>
      <c r="J5" s="46" t="n">
        <f aca="false">IF(N(E5)&gt;0,E5,IF(N(F5)&gt;0,F5*요약!$F$27,0))</f>
        <v>169000</v>
      </c>
      <c r="K5" s="46" t="n">
        <f aca="false">IF(N(F5)&gt;0,F5,IF(N(E5)&gt;0,E5/요약!$F$27,0))</f>
        <v>39504</v>
      </c>
      <c r="L5" s="46" t="n">
        <f aca="false">IF(B5="CN",IF(N(I5)&gt;0,I5*요약!$G$27,K5*(1+요약!$E$27)),IF(N(H5)&gt;0,H5*요약!$G$27,J5*요약!$D$27))</f>
        <v>59268</v>
      </c>
      <c r="M5" s="46" t="n">
        <f aca="false">D5*J5</f>
        <v>4225000</v>
      </c>
      <c r="N5" s="46" t="n">
        <f aca="false">D5*K5</f>
        <v>987600</v>
      </c>
      <c r="O5" s="46" t="n">
        <f aca="false">D5*L5</f>
        <v>1481700</v>
      </c>
      <c r="P5" s="42" t="str">
        <f aca="false">TRIM(IF(N(E5)&lt;=0,"택가보정 ","")&amp;IF(N(F5)&lt;=0,"원가보정 ","")&amp;IF(AND(B5&lt;&gt;"CN",N(H5)&lt;=0),"공급가보정 ","")&amp;IF(AND(B5="CN",N(I5)&lt;=0),"중국공급가=원가+마진 ",""))</f>
        <v/>
      </c>
      <c r="Q5" s="47" t="n">
        <f aca="false">IF(SUMIFS($W:$W,$A:$A,A5,$C:$C,C5)=0,0,SUMIFS(RAW_판매펀칭!$K:$K,RAW_판매펀칭!$P:$P,A5,RAW_판매펀칭!$I:$I,C5)*W5/SUMIFS($W:$W,$A:$A,A5,$C:$C,C5))</f>
        <v>0</v>
      </c>
      <c r="R5" s="47" t="n">
        <f aca="false">IF(OR(A5="500",A5="800",A5="810"),0,MAX(W5-Q5,0))</f>
        <v>0</v>
      </c>
      <c r="S5" s="47" t="n">
        <f aca="false">R5*L5</f>
        <v>0</v>
      </c>
      <c r="T5" s="47" t="n">
        <f aca="false">R5*J5</f>
        <v>0</v>
      </c>
      <c r="U5" s="47" t="n">
        <f aca="false">R5*K5</f>
        <v>0</v>
      </c>
      <c r="V5" s="0" t="str">
        <f aca="false">IF(COUNTIFS($A$2:A5,A5,$C$2:C5,C5,$D$2:D5,D5)&gt;1,"중복","")</f>
        <v/>
      </c>
      <c r="W5" s="0" t="n">
        <f aca="false">IF(V5="중복",0,N(D5))</f>
        <v>25</v>
      </c>
      <c r="X5" s="0" t="n">
        <f aca="false">IF(COUNTIFS($A$2:A5,A5,$C$2:C5,C5)=1,ABS(SUMIFS(RAW_발주!$D:$D,RAW_발주!$C:$C,A5,RAW_발주!$A:$A,C5)-SUMIFS($W:$W,$A:$A,A5,$C:$C,C5)),0)</f>
        <v>0</v>
      </c>
    </row>
    <row r="6" customFormat="false" ht="15" hidden="false" customHeight="true" outlineLevel="0" collapsed="false">
      <c r="A6" s="45" t="s">
        <v>1663</v>
      </c>
      <c r="B6" s="42" t="str">
        <f aca="false">IF(A6="100","HK",IF(A6="200","CN",IF(A6="300","TW","홀세일")))</f>
        <v>홀세일</v>
      </c>
      <c r="C6" s="45" t="s">
        <v>132</v>
      </c>
      <c r="D6" s="46" t="n">
        <v>50</v>
      </c>
      <c r="E6" s="46" t="n">
        <v>169000</v>
      </c>
      <c r="F6" s="46" t="n">
        <v>39504</v>
      </c>
      <c r="G6" s="42" t="n">
        <v>3.64</v>
      </c>
      <c r="H6" s="42" t="n">
        <v>44.9</v>
      </c>
      <c r="J6" s="46" t="n">
        <f aca="false">IF(N(E6)&gt;0,E6,IF(N(F6)&gt;0,F6*요약!$F$27,0))</f>
        <v>169000</v>
      </c>
      <c r="K6" s="46" t="n">
        <f aca="false">IF(N(F6)&gt;0,F6,IF(N(E6)&gt;0,E6/요약!$F$27,0))</f>
        <v>39504</v>
      </c>
      <c r="L6" s="46" t="n">
        <f aca="false">IF(B6="CN",IF(N(I6)&gt;0,I6*요약!$G$27,K6*(1+요약!$E$27)),IF(N(H6)&gt;0,H6*요약!$G$27,J6*요약!$D$27))</f>
        <v>59268</v>
      </c>
      <c r="M6" s="46" t="n">
        <f aca="false">D6*J6</f>
        <v>8450000</v>
      </c>
      <c r="N6" s="46" t="n">
        <f aca="false">D6*K6</f>
        <v>1975200</v>
      </c>
      <c r="O6" s="46" t="n">
        <f aca="false">D6*L6</f>
        <v>2963400</v>
      </c>
      <c r="P6" s="42" t="str">
        <f aca="false">TRIM(IF(N(E6)&lt;=0,"택가보정 ","")&amp;IF(N(F6)&lt;=0,"원가보정 ","")&amp;IF(AND(B6&lt;&gt;"CN",N(H6)&lt;=0),"공급가보정 ","")&amp;IF(AND(B6="CN",N(I6)&lt;=0),"중국공급가=원가+마진 ",""))</f>
        <v/>
      </c>
      <c r="Q6" s="47" t="n">
        <f aca="false">IF(SUMIFS($W:$W,$A:$A,A6,$C:$C,C6)=0,0,SUMIFS(RAW_판매펀칭!$K:$K,RAW_판매펀칭!$P:$P,A6,RAW_판매펀칭!$I:$I,C6)*W6/SUMIFS($W:$W,$A:$A,A6,$C:$C,C6))</f>
        <v>50</v>
      </c>
      <c r="R6" s="47" t="n">
        <f aca="false">IF(OR(A6="500",A6="800",A6="810"),0,MAX(W6-Q6,0))</f>
        <v>0</v>
      </c>
      <c r="S6" s="47" t="n">
        <f aca="false">R6*L6</f>
        <v>0</v>
      </c>
      <c r="T6" s="47" t="n">
        <f aca="false">R6*J6</f>
        <v>0</v>
      </c>
      <c r="U6" s="47" t="n">
        <f aca="false">R6*K6</f>
        <v>0</v>
      </c>
      <c r="V6" s="0" t="str">
        <f aca="false">IF(COUNTIFS($A$2:A6,A6,$C$2:C6,C6,$D$2:D6,D6)&gt;1,"중복","")</f>
        <v/>
      </c>
      <c r="W6" s="0" t="n">
        <f aca="false">IF(V6="중복",0,N(D6))</f>
        <v>50</v>
      </c>
      <c r="X6" s="0" t="n">
        <f aca="false">IF(COUNTIFS($A$2:A6,A6,$C$2:C6,C6)=1,ABS(SUMIFS(RAW_발주!$D:$D,RAW_발주!$C:$C,A6,RAW_발주!$A:$A,C6)-SUMIFS($W:$W,$A:$A,A6,$C:$C,C6)),0)</f>
        <v>0</v>
      </c>
    </row>
    <row r="7" customFormat="false" ht="15" hidden="false" customHeight="true" outlineLevel="0" collapsed="false">
      <c r="A7" s="45" t="s">
        <v>1664</v>
      </c>
      <c r="B7" s="42" t="str">
        <f aca="false">IF(A7="100","HK",IF(A7="200","CN",IF(A7="300","TW","홀세일")))</f>
        <v>홀세일</v>
      </c>
      <c r="C7" s="45" t="s">
        <v>132</v>
      </c>
      <c r="D7" s="46" t="n">
        <v>30</v>
      </c>
      <c r="E7" s="46" t="n">
        <v>169000</v>
      </c>
      <c r="F7" s="46" t="n">
        <v>39504</v>
      </c>
      <c r="G7" s="42" t="n">
        <v>3.64</v>
      </c>
      <c r="H7" s="42" t="n">
        <v>44.9</v>
      </c>
      <c r="J7" s="46" t="n">
        <f aca="false">IF(N(E7)&gt;0,E7,IF(N(F7)&gt;0,F7*요약!$F$27,0))</f>
        <v>169000</v>
      </c>
      <c r="K7" s="46" t="n">
        <f aca="false">IF(N(F7)&gt;0,F7,IF(N(E7)&gt;0,E7/요약!$F$27,0))</f>
        <v>39504</v>
      </c>
      <c r="L7" s="46" t="n">
        <f aca="false">IF(B7="CN",IF(N(I7)&gt;0,I7*요약!$G$27,K7*(1+요약!$E$27)),IF(N(H7)&gt;0,H7*요약!$G$27,J7*요약!$D$27))</f>
        <v>59268</v>
      </c>
      <c r="M7" s="46" t="n">
        <f aca="false">D7*J7</f>
        <v>5070000</v>
      </c>
      <c r="N7" s="46" t="n">
        <f aca="false">D7*K7</f>
        <v>1185120</v>
      </c>
      <c r="O7" s="46" t="n">
        <f aca="false">D7*L7</f>
        <v>1778040</v>
      </c>
      <c r="P7" s="42" t="str">
        <f aca="false">TRIM(IF(N(E7)&lt;=0,"택가보정 ","")&amp;IF(N(F7)&lt;=0,"원가보정 ","")&amp;IF(AND(B7&lt;&gt;"CN",N(H7)&lt;=0),"공급가보정 ","")&amp;IF(AND(B7="CN",N(I7)&lt;=0),"중국공급가=원가+마진 ",""))</f>
        <v/>
      </c>
      <c r="Q7" s="47" t="n">
        <f aca="false">IF(SUMIFS($W:$W,$A:$A,A7,$C:$C,C7)=0,0,SUMIFS(RAW_판매펀칭!$K:$K,RAW_판매펀칭!$P:$P,A7,RAW_판매펀칭!$I:$I,C7)*W7/SUMIFS($W:$W,$A:$A,A7,$C:$C,C7))</f>
        <v>30</v>
      </c>
      <c r="R7" s="47" t="n">
        <f aca="false">IF(OR(A7="500",A7="800",A7="810"),0,MAX(W7-Q7,0))</f>
        <v>0</v>
      </c>
      <c r="S7" s="47" t="n">
        <f aca="false">R7*L7</f>
        <v>0</v>
      </c>
      <c r="T7" s="47" t="n">
        <f aca="false">R7*J7</f>
        <v>0</v>
      </c>
      <c r="U7" s="47" t="n">
        <f aca="false">R7*K7</f>
        <v>0</v>
      </c>
      <c r="V7" s="0" t="str">
        <f aca="false">IF(COUNTIFS($A$2:A7,A7,$C$2:C7,C7,$D$2:D7,D7)&gt;1,"중복","")</f>
        <v/>
      </c>
      <c r="W7" s="0" t="n">
        <f aca="false">IF(V7="중복",0,N(D7))</f>
        <v>30</v>
      </c>
      <c r="X7" s="0" t="n">
        <f aca="false">IF(COUNTIFS($A$2:A7,A7,$C$2:C7,C7)=1,ABS(SUMIFS(RAW_발주!$D:$D,RAW_발주!$C:$C,A7,RAW_발주!$A:$A,C7)-SUMIFS($W:$W,$A:$A,A7,$C:$C,C7)),0)</f>
        <v>0</v>
      </c>
    </row>
    <row r="8" customFormat="false" ht="15" hidden="false" customHeight="true" outlineLevel="0" collapsed="false">
      <c r="A8" s="45" t="s">
        <v>1665</v>
      </c>
      <c r="B8" s="42" t="str">
        <f aca="false">IF(A8="100","HK",IF(A8="200","CN",IF(A8="300","TW","홀세일")))</f>
        <v>홀세일</v>
      </c>
      <c r="C8" s="45" t="s">
        <v>132</v>
      </c>
      <c r="D8" s="46" t="n">
        <v>36</v>
      </c>
      <c r="E8" s="46" t="n">
        <v>169000</v>
      </c>
      <c r="F8" s="46" t="n">
        <v>39504</v>
      </c>
      <c r="G8" s="42" t="n">
        <v>3.64</v>
      </c>
      <c r="H8" s="42" t="n">
        <v>44.9</v>
      </c>
      <c r="J8" s="46" t="n">
        <f aca="false">IF(N(E8)&gt;0,E8,IF(N(F8)&gt;0,F8*요약!$F$27,0))</f>
        <v>169000</v>
      </c>
      <c r="K8" s="46" t="n">
        <f aca="false">IF(N(F8)&gt;0,F8,IF(N(E8)&gt;0,E8/요약!$F$27,0))</f>
        <v>39504</v>
      </c>
      <c r="L8" s="46" t="n">
        <f aca="false">IF(B8="CN",IF(N(I8)&gt;0,I8*요약!$G$27,K8*(1+요약!$E$27)),IF(N(H8)&gt;0,H8*요약!$G$27,J8*요약!$D$27))</f>
        <v>59268</v>
      </c>
      <c r="M8" s="46" t="n">
        <f aca="false">D8*J8</f>
        <v>6084000</v>
      </c>
      <c r="N8" s="46" t="n">
        <f aca="false">D8*K8</f>
        <v>1422144</v>
      </c>
      <c r="O8" s="46" t="n">
        <f aca="false">D8*L8</f>
        <v>2133648</v>
      </c>
      <c r="P8" s="42" t="str">
        <f aca="false">TRIM(IF(N(E8)&lt;=0,"택가보정 ","")&amp;IF(N(F8)&lt;=0,"원가보정 ","")&amp;IF(AND(B8&lt;&gt;"CN",N(H8)&lt;=0),"공급가보정 ","")&amp;IF(AND(B8="CN",N(I8)&lt;=0),"중국공급가=원가+마진 ",""))</f>
        <v/>
      </c>
      <c r="Q8" s="47" t="n">
        <f aca="false">IF(SUMIFS($W:$W,$A:$A,A8,$C:$C,C8)=0,0,SUMIFS(RAW_판매펀칭!$K:$K,RAW_판매펀칭!$P:$P,A8,RAW_판매펀칭!$I:$I,C8)*W8/SUMIFS($W:$W,$A:$A,A8,$C:$C,C8))</f>
        <v>36</v>
      </c>
      <c r="R8" s="47" t="n">
        <f aca="false">IF(OR(A8="500",A8="800",A8="810"),0,MAX(W8-Q8,0))</f>
        <v>0</v>
      </c>
      <c r="S8" s="47" t="n">
        <f aca="false">R8*L8</f>
        <v>0</v>
      </c>
      <c r="T8" s="47" t="n">
        <f aca="false">R8*J8</f>
        <v>0</v>
      </c>
      <c r="U8" s="47" t="n">
        <f aca="false">R8*K8</f>
        <v>0</v>
      </c>
      <c r="V8" s="0" t="str">
        <f aca="false">IF(COUNTIFS($A$2:A8,A8,$C$2:C8,C8,$D$2:D8,D8)&gt;1,"중복","")</f>
        <v/>
      </c>
      <c r="W8" s="0" t="n">
        <f aca="false">IF(V8="중복",0,N(D8))</f>
        <v>36</v>
      </c>
      <c r="X8" s="0" t="n">
        <f aca="false">IF(COUNTIFS($A$2:A8,A8,$C$2:C8,C8)=1,ABS(SUMIFS(RAW_발주!$D:$D,RAW_발주!$C:$C,A8,RAW_발주!$A:$A,C8)-SUMIFS($W:$W,$A:$A,A8,$C:$C,C8)),0)</f>
        <v>0</v>
      </c>
    </row>
    <row r="9" customFormat="false" ht="15" hidden="false" customHeight="true" outlineLevel="0" collapsed="false">
      <c r="A9" s="45" t="s">
        <v>1666</v>
      </c>
      <c r="B9" s="42" t="str">
        <f aca="false">IF(A9="100","HK",IF(A9="200","CN",IF(A9="300","TW","홀세일")))</f>
        <v>홀세일</v>
      </c>
      <c r="C9" s="45" t="s">
        <v>132</v>
      </c>
      <c r="D9" s="46" t="n">
        <v>30</v>
      </c>
      <c r="E9" s="46" t="n">
        <v>169000</v>
      </c>
      <c r="F9" s="46" t="n">
        <v>39504</v>
      </c>
      <c r="G9" s="42" t="n">
        <v>3.64</v>
      </c>
      <c r="H9" s="42" t="n">
        <v>44.9</v>
      </c>
      <c r="J9" s="46" t="n">
        <f aca="false">IF(N(E9)&gt;0,E9,IF(N(F9)&gt;0,F9*요약!$F$27,0))</f>
        <v>169000</v>
      </c>
      <c r="K9" s="46" t="n">
        <f aca="false">IF(N(F9)&gt;0,F9,IF(N(E9)&gt;0,E9/요약!$F$27,0))</f>
        <v>39504</v>
      </c>
      <c r="L9" s="46" t="n">
        <f aca="false">IF(B9="CN",IF(N(I9)&gt;0,I9*요약!$G$27,K9*(1+요약!$E$27)),IF(N(H9)&gt;0,H9*요약!$G$27,J9*요약!$D$27))</f>
        <v>59268</v>
      </c>
      <c r="M9" s="46" t="n">
        <f aca="false">D9*J9</f>
        <v>5070000</v>
      </c>
      <c r="N9" s="46" t="n">
        <f aca="false">D9*K9</f>
        <v>1185120</v>
      </c>
      <c r="O9" s="46" t="n">
        <f aca="false">D9*L9</f>
        <v>1778040</v>
      </c>
      <c r="P9" s="42" t="str">
        <f aca="false">TRIM(IF(N(E9)&lt;=0,"택가보정 ","")&amp;IF(N(F9)&lt;=0,"원가보정 ","")&amp;IF(AND(B9&lt;&gt;"CN",N(H9)&lt;=0),"공급가보정 ","")&amp;IF(AND(B9="CN",N(I9)&lt;=0),"중국공급가=원가+마진 ",""))</f>
        <v/>
      </c>
      <c r="Q9" s="47" t="n">
        <f aca="false">IF(SUMIFS($W:$W,$A:$A,A9,$C:$C,C9)=0,0,SUMIFS(RAW_판매펀칭!$K:$K,RAW_판매펀칭!$P:$P,A9,RAW_판매펀칭!$I:$I,C9)*W9/SUMIFS($W:$W,$A:$A,A9,$C:$C,C9))</f>
        <v>30</v>
      </c>
      <c r="R9" s="47" t="n">
        <f aca="false">IF(OR(A9="500",A9="800",A9="810"),0,MAX(W9-Q9,0))</f>
        <v>0</v>
      </c>
      <c r="S9" s="47" t="n">
        <f aca="false">R9*L9</f>
        <v>0</v>
      </c>
      <c r="T9" s="47" t="n">
        <f aca="false">R9*J9</f>
        <v>0</v>
      </c>
      <c r="U9" s="47" t="n">
        <f aca="false">R9*K9</f>
        <v>0</v>
      </c>
      <c r="V9" s="0" t="str">
        <f aca="false">IF(COUNTIFS($A$2:A9,A9,$C$2:C9,C9,$D$2:D9,D9)&gt;1,"중복","")</f>
        <v/>
      </c>
      <c r="W9" s="0" t="n">
        <f aca="false">IF(V9="중복",0,N(D9))</f>
        <v>30</v>
      </c>
      <c r="X9" s="0" t="n">
        <f aca="false">IF(COUNTIFS($A$2:A9,A9,$C$2:C9,C9)=1,ABS(SUMIFS(RAW_발주!$D:$D,RAW_발주!$C:$C,A9,RAW_발주!$A:$A,C9)-SUMIFS($W:$W,$A:$A,A9,$C:$C,C9)),0)</f>
        <v>0</v>
      </c>
    </row>
    <row r="10" customFormat="false" ht="15" hidden="false" customHeight="true" outlineLevel="0" collapsed="false">
      <c r="A10" s="45" t="s">
        <v>1659</v>
      </c>
      <c r="B10" s="42" t="str">
        <f aca="false">IF(A10="100","HK",IF(A10="200","CN",IF(A10="300","TW","홀세일")))</f>
        <v>HK</v>
      </c>
      <c r="C10" s="45" t="s">
        <v>134</v>
      </c>
      <c r="D10" s="46" t="n">
        <v>160</v>
      </c>
      <c r="E10" s="46" t="n">
        <v>179000</v>
      </c>
      <c r="F10" s="46" t="n">
        <v>42278</v>
      </c>
      <c r="G10" s="42" t="n">
        <v>3.6</v>
      </c>
      <c r="H10" s="42" t="n">
        <v>47.6</v>
      </c>
      <c r="J10" s="46" t="n">
        <f aca="false">IF(N(E10)&gt;0,E10,IF(N(F10)&gt;0,F10*요약!$F$27,0))</f>
        <v>179000</v>
      </c>
      <c r="K10" s="46" t="n">
        <f aca="false">IF(N(F10)&gt;0,F10,IF(N(E10)&gt;0,E10/요약!$F$27,0))</f>
        <v>42278</v>
      </c>
      <c r="L10" s="46" t="n">
        <f aca="false">IF(B10="CN",IF(N(I10)&gt;0,I10*요약!$G$27,K10*(1+요약!$E$27)),IF(N(H10)&gt;0,H10*요약!$G$27,J10*요약!$D$27))</f>
        <v>62832</v>
      </c>
      <c r="M10" s="46" t="n">
        <f aca="false">D10*J10</f>
        <v>28640000</v>
      </c>
      <c r="N10" s="46" t="n">
        <f aca="false">D10*K10</f>
        <v>6764480</v>
      </c>
      <c r="O10" s="46" t="n">
        <f aca="false">D10*L10</f>
        <v>10053120</v>
      </c>
      <c r="P10" s="42" t="str">
        <f aca="false">TRIM(IF(N(E10)&lt;=0,"택가보정 ","")&amp;IF(N(F10)&lt;=0,"원가보정 ","")&amp;IF(AND(B10&lt;&gt;"CN",N(H10)&lt;=0),"공급가보정 ","")&amp;IF(AND(B10="CN",N(I10)&lt;=0),"중국공급가=원가+마진 ",""))</f>
        <v/>
      </c>
      <c r="Q10" s="47" t="n">
        <f aca="false">IF(SUMIFS($W:$W,$A:$A,A10,$C:$C,C10)=0,0,SUMIFS(RAW_판매펀칭!$K:$K,RAW_판매펀칭!$P:$P,A10,RAW_판매펀칭!$I:$I,C10)*W10/SUMIFS($W:$W,$A:$A,A10,$C:$C,C10))</f>
        <v>0</v>
      </c>
      <c r="R10" s="47" t="n">
        <f aca="false">IF(OR(A10="500",A10="800",A10="810"),0,MAX(W10-Q10,0))</f>
        <v>160</v>
      </c>
      <c r="S10" s="47" t="n">
        <f aca="false">R10*L10</f>
        <v>10053120</v>
      </c>
      <c r="T10" s="47" t="n">
        <f aca="false">R10*J10</f>
        <v>28640000</v>
      </c>
      <c r="U10" s="47" t="n">
        <f aca="false">R10*K10</f>
        <v>6764480</v>
      </c>
      <c r="V10" s="0" t="str">
        <f aca="false">IF(COUNTIFS($A$2:A10,A10,$C$2:C10,C10,$D$2:D10,D10)&gt;1,"중복","")</f>
        <v/>
      </c>
      <c r="W10" s="0" t="n">
        <f aca="false">IF(V10="중복",0,N(D10))</f>
        <v>160</v>
      </c>
      <c r="X10" s="0" t="n">
        <f aca="false">IF(COUNTIFS($A$2:A10,A10,$C$2:C10,C10)=1,ABS(SUMIFS(RAW_발주!$D:$D,RAW_발주!$C:$C,A10,RAW_발주!$A:$A,C10)-SUMIFS($W:$W,$A:$A,A10,$C:$C,C10)),0)</f>
        <v>0</v>
      </c>
    </row>
    <row r="11" customFormat="false" ht="15" hidden="false" customHeight="true" outlineLevel="0" collapsed="false">
      <c r="A11" s="45" t="s">
        <v>1661</v>
      </c>
      <c r="B11" s="42" t="str">
        <f aca="false">IF(A11="100","HK",IF(A11="200","CN",IF(A11="300","TW","홀세일")))</f>
        <v>TW</v>
      </c>
      <c r="C11" s="45" t="s">
        <v>134</v>
      </c>
      <c r="D11" s="46" t="n">
        <v>250</v>
      </c>
      <c r="E11" s="46" t="n">
        <v>179000</v>
      </c>
      <c r="F11" s="46" t="n">
        <v>42278</v>
      </c>
      <c r="G11" s="42" t="n">
        <v>3.6</v>
      </c>
      <c r="H11" s="42" t="n">
        <v>47.6</v>
      </c>
      <c r="J11" s="46" t="n">
        <f aca="false">IF(N(E11)&gt;0,E11,IF(N(F11)&gt;0,F11*요약!$F$27,0))</f>
        <v>179000</v>
      </c>
      <c r="K11" s="46" t="n">
        <f aca="false">IF(N(F11)&gt;0,F11,IF(N(E11)&gt;0,E11/요약!$F$27,0))</f>
        <v>42278</v>
      </c>
      <c r="L11" s="46" t="n">
        <f aca="false">IF(B11="CN",IF(N(I11)&gt;0,I11*요약!$G$27,K11*(1+요약!$E$27)),IF(N(H11)&gt;0,H11*요약!$G$27,J11*요약!$D$27))</f>
        <v>62832</v>
      </c>
      <c r="M11" s="46" t="n">
        <f aca="false">D11*J11</f>
        <v>44750000</v>
      </c>
      <c r="N11" s="46" t="n">
        <f aca="false">D11*K11</f>
        <v>10569500</v>
      </c>
      <c r="O11" s="46" t="n">
        <f aca="false">D11*L11</f>
        <v>15708000</v>
      </c>
      <c r="P11" s="42" t="str">
        <f aca="false">TRIM(IF(N(E11)&lt;=0,"택가보정 ","")&amp;IF(N(F11)&lt;=0,"원가보정 ","")&amp;IF(AND(B11&lt;&gt;"CN",N(H11)&lt;=0),"공급가보정 ","")&amp;IF(AND(B11="CN",N(I11)&lt;=0),"중국공급가=원가+마진 ",""))</f>
        <v/>
      </c>
      <c r="Q11" s="47" t="n">
        <f aca="false">IF(SUMIFS($W:$W,$A:$A,A11,$C:$C,C11)=0,0,SUMIFS(RAW_판매펀칭!$K:$K,RAW_판매펀칭!$P:$P,A11,RAW_판매펀칭!$I:$I,C11)*W11/SUMIFS($W:$W,$A:$A,A11,$C:$C,C11))</f>
        <v>250</v>
      </c>
      <c r="R11" s="47" t="n">
        <f aca="false">IF(OR(A11="500",A11="800",A11="810"),0,MAX(W11-Q11,0))</f>
        <v>0</v>
      </c>
      <c r="S11" s="47" t="n">
        <f aca="false">R11*L11</f>
        <v>0</v>
      </c>
      <c r="T11" s="47" t="n">
        <f aca="false">R11*J11</f>
        <v>0</v>
      </c>
      <c r="U11" s="47" t="n">
        <f aca="false">R11*K11</f>
        <v>0</v>
      </c>
      <c r="V11" s="0" t="str">
        <f aca="false">IF(COUNTIFS($A$2:A11,A11,$C$2:C11,C11,$D$2:D11,D11)&gt;1,"중복","")</f>
        <v/>
      </c>
      <c r="W11" s="0" t="n">
        <f aca="false">IF(V11="중복",0,N(D11))</f>
        <v>250</v>
      </c>
      <c r="X11" s="0" t="n">
        <f aca="false">IF(COUNTIFS($A$2:A11,A11,$C$2:C11,C11)=1,ABS(SUMIFS(RAW_발주!$D:$D,RAW_발주!$C:$C,A11,RAW_발주!$A:$A,C11)-SUMIFS($W:$W,$A:$A,A11,$C:$C,C11)),0)</f>
        <v>0</v>
      </c>
    </row>
    <row r="12" customFormat="false" ht="15" hidden="false" customHeight="true" outlineLevel="0" collapsed="false">
      <c r="A12" s="45" t="s">
        <v>1663</v>
      </c>
      <c r="B12" s="42" t="str">
        <f aca="false">IF(A12="100","HK",IF(A12="200","CN",IF(A12="300","TW","홀세일")))</f>
        <v>홀세일</v>
      </c>
      <c r="C12" s="45" t="s">
        <v>134</v>
      </c>
      <c r="D12" s="46" t="n">
        <v>50</v>
      </c>
      <c r="E12" s="46" t="n">
        <v>179000</v>
      </c>
      <c r="F12" s="46" t="n">
        <v>42278</v>
      </c>
      <c r="G12" s="42" t="n">
        <v>3.6</v>
      </c>
      <c r="H12" s="42" t="n">
        <v>47.6</v>
      </c>
      <c r="J12" s="46" t="n">
        <f aca="false">IF(N(E12)&gt;0,E12,IF(N(F12)&gt;0,F12*요약!$F$27,0))</f>
        <v>179000</v>
      </c>
      <c r="K12" s="46" t="n">
        <f aca="false">IF(N(F12)&gt;0,F12,IF(N(E12)&gt;0,E12/요약!$F$27,0))</f>
        <v>42278</v>
      </c>
      <c r="L12" s="46" t="n">
        <f aca="false">IF(B12="CN",IF(N(I12)&gt;0,I12*요약!$G$27,K12*(1+요약!$E$27)),IF(N(H12)&gt;0,H12*요약!$G$27,J12*요약!$D$27))</f>
        <v>62832</v>
      </c>
      <c r="M12" s="46" t="n">
        <f aca="false">D12*J12</f>
        <v>8950000</v>
      </c>
      <c r="N12" s="46" t="n">
        <f aca="false">D12*K12</f>
        <v>2113900</v>
      </c>
      <c r="O12" s="46" t="n">
        <f aca="false">D12*L12</f>
        <v>3141600</v>
      </c>
      <c r="P12" s="42" t="str">
        <f aca="false">TRIM(IF(N(E12)&lt;=0,"택가보정 ","")&amp;IF(N(F12)&lt;=0,"원가보정 ","")&amp;IF(AND(B12&lt;&gt;"CN",N(H12)&lt;=0),"공급가보정 ","")&amp;IF(AND(B12="CN",N(I12)&lt;=0),"중국공급가=원가+마진 ",""))</f>
        <v/>
      </c>
      <c r="Q12" s="47" t="n">
        <f aca="false">IF(SUMIFS($W:$W,$A:$A,A12,$C:$C,C12)=0,0,SUMIFS(RAW_판매펀칭!$K:$K,RAW_판매펀칭!$P:$P,A12,RAW_판매펀칭!$I:$I,C12)*W12/SUMIFS($W:$W,$A:$A,A12,$C:$C,C12))</f>
        <v>50</v>
      </c>
      <c r="R12" s="47" t="n">
        <f aca="false">IF(OR(A12="500",A12="800",A12="810"),0,MAX(W12-Q12,0))</f>
        <v>0</v>
      </c>
      <c r="S12" s="47" t="n">
        <f aca="false">R12*L12</f>
        <v>0</v>
      </c>
      <c r="T12" s="47" t="n">
        <f aca="false">R12*J12</f>
        <v>0</v>
      </c>
      <c r="U12" s="47" t="n">
        <f aca="false">R12*K12</f>
        <v>0</v>
      </c>
      <c r="V12" s="0" t="str">
        <f aca="false">IF(COUNTIFS($A$2:A12,A12,$C$2:C12,C12,$D$2:D12,D12)&gt;1,"중복","")</f>
        <v/>
      </c>
      <c r="W12" s="0" t="n">
        <f aca="false">IF(V12="중복",0,N(D12))</f>
        <v>50</v>
      </c>
      <c r="X12" s="0" t="n">
        <f aca="false">IF(COUNTIFS($A$2:A12,A12,$C$2:C12,C12)=1,ABS(SUMIFS(RAW_발주!$D:$D,RAW_발주!$C:$C,A12,RAW_발주!$A:$A,C12)-SUMIFS($W:$W,$A:$A,A12,$C:$C,C12)),0)</f>
        <v>0</v>
      </c>
    </row>
    <row r="13" customFormat="false" ht="15" hidden="false" customHeight="true" outlineLevel="0" collapsed="false">
      <c r="A13" s="45" t="s">
        <v>1664</v>
      </c>
      <c r="B13" s="42" t="str">
        <f aca="false">IF(A13="100","HK",IF(A13="200","CN",IF(A13="300","TW","홀세일")))</f>
        <v>홀세일</v>
      </c>
      <c r="C13" s="45" t="s">
        <v>134</v>
      </c>
      <c r="D13" s="46" t="n">
        <v>40</v>
      </c>
      <c r="E13" s="46" t="n">
        <v>179000</v>
      </c>
      <c r="F13" s="46" t="n">
        <v>42278</v>
      </c>
      <c r="G13" s="42" t="n">
        <v>3.6</v>
      </c>
      <c r="H13" s="42" t="n">
        <v>47.6</v>
      </c>
      <c r="J13" s="46" t="n">
        <f aca="false">IF(N(E13)&gt;0,E13,IF(N(F13)&gt;0,F13*요약!$F$27,0))</f>
        <v>179000</v>
      </c>
      <c r="K13" s="46" t="n">
        <f aca="false">IF(N(F13)&gt;0,F13,IF(N(E13)&gt;0,E13/요약!$F$27,0))</f>
        <v>42278</v>
      </c>
      <c r="L13" s="46" t="n">
        <f aca="false">IF(B13="CN",IF(N(I13)&gt;0,I13*요약!$G$27,K13*(1+요약!$E$27)),IF(N(H13)&gt;0,H13*요약!$G$27,J13*요약!$D$27))</f>
        <v>62832</v>
      </c>
      <c r="M13" s="46" t="n">
        <f aca="false">D13*J13</f>
        <v>7160000</v>
      </c>
      <c r="N13" s="46" t="n">
        <f aca="false">D13*K13</f>
        <v>1691120</v>
      </c>
      <c r="O13" s="46" t="n">
        <f aca="false">D13*L13</f>
        <v>2513280</v>
      </c>
      <c r="P13" s="42" t="str">
        <f aca="false">TRIM(IF(N(E13)&lt;=0,"택가보정 ","")&amp;IF(N(F13)&lt;=0,"원가보정 ","")&amp;IF(AND(B13&lt;&gt;"CN",N(H13)&lt;=0),"공급가보정 ","")&amp;IF(AND(B13="CN",N(I13)&lt;=0),"중국공급가=원가+마진 ",""))</f>
        <v/>
      </c>
      <c r="Q13" s="47" t="n">
        <f aca="false">IF(SUMIFS($W:$W,$A:$A,A13,$C:$C,C13)=0,0,SUMIFS(RAW_판매펀칭!$K:$K,RAW_판매펀칭!$P:$P,A13,RAW_판매펀칭!$I:$I,C13)*W13/SUMIFS($W:$W,$A:$A,A13,$C:$C,C13))</f>
        <v>40</v>
      </c>
      <c r="R13" s="47" t="n">
        <f aca="false">IF(OR(A13="500",A13="800",A13="810"),0,MAX(W13-Q13,0))</f>
        <v>0</v>
      </c>
      <c r="S13" s="47" t="n">
        <f aca="false">R13*L13</f>
        <v>0</v>
      </c>
      <c r="T13" s="47" t="n">
        <f aca="false">R13*J13</f>
        <v>0</v>
      </c>
      <c r="U13" s="47" t="n">
        <f aca="false">R13*K13</f>
        <v>0</v>
      </c>
      <c r="V13" s="0" t="str">
        <f aca="false">IF(COUNTIFS($A$2:A13,A13,$C$2:C13,C13,$D$2:D13,D13)&gt;1,"중복","")</f>
        <v/>
      </c>
      <c r="W13" s="0" t="n">
        <f aca="false">IF(V13="중복",0,N(D13))</f>
        <v>40</v>
      </c>
      <c r="X13" s="0" t="n">
        <f aca="false">IF(COUNTIFS($A$2:A13,A13,$C$2:C13,C13)=1,ABS(SUMIFS(RAW_발주!$D:$D,RAW_발주!$C:$C,A13,RAW_발주!$A:$A,C13)-SUMIFS($W:$W,$A:$A,A13,$C:$C,C13)),0)</f>
        <v>0</v>
      </c>
    </row>
    <row r="14" customFormat="false" ht="15" hidden="false" customHeight="true" outlineLevel="0" collapsed="false">
      <c r="A14" s="45" t="s">
        <v>1659</v>
      </c>
      <c r="B14" s="42" t="str">
        <f aca="false">IF(A14="100","HK",IF(A14="200","CN",IF(A14="300","TW","홀세일")))</f>
        <v>HK</v>
      </c>
      <c r="C14" s="45" t="s">
        <v>136</v>
      </c>
      <c r="D14" s="46" t="n">
        <v>140</v>
      </c>
      <c r="E14" s="46" t="n">
        <v>169000</v>
      </c>
      <c r="F14" s="46" t="n">
        <v>40300</v>
      </c>
      <c r="G14" s="42" t="n">
        <v>3.61</v>
      </c>
      <c r="H14" s="42" t="n">
        <v>44.9</v>
      </c>
      <c r="J14" s="46" t="n">
        <f aca="false">IF(N(E14)&gt;0,E14,IF(N(F14)&gt;0,F14*요약!$F$27,0))</f>
        <v>169000</v>
      </c>
      <c r="K14" s="46" t="n">
        <f aca="false">IF(N(F14)&gt;0,F14,IF(N(E14)&gt;0,E14/요약!$F$27,0))</f>
        <v>40300</v>
      </c>
      <c r="L14" s="46" t="n">
        <f aca="false">IF(B14="CN",IF(N(I14)&gt;0,I14*요약!$G$27,K14*(1+요약!$E$27)),IF(N(H14)&gt;0,H14*요약!$G$27,J14*요약!$D$27))</f>
        <v>59268</v>
      </c>
      <c r="M14" s="46" t="n">
        <f aca="false">D14*J14</f>
        <v>23660000</v>
      </c>
      <c r="N14" s="46" t="n">
        <f aca="false">D14*K14</f>
        <v>5642000</v>
      </c>
      <c r="O14" s="46" t="n">
        <f aca="false">D14*L14</f>
        <v>8297520</v>
      </c>
      <c r="P14" s="42" t="str">
        <f aca="false">TRIM(IF(N(E14)&lt;=0,"택가보정 ","")&amp;IF(N(F14)&lt;=0,"원가보정 ","")&amp;IF(AND(B14&lt;&gt;"CN",N(H14)&lt;=0),"공급가보정 ","")&amp;IF(AND(B14="CN",N(I14)&lt;=0),"중국공급가=원가+마진 ",""))</f>
        <v/>
      </c>
      <c r="Q14" s="47" t="n">
        <f aca="false">IF(SUMIFS($W:$W,$A:$A,A14,$C:$C,C14)=0,0,SUMIFS(RAW_판매펀칭!$K:$K,RAW_판매펀칭!$P:$P,A14,RAW_판매펀칭!$I:$I,C14)*W14/SUMIFS($W:$W,$A:$A,A14,$C:$C,C14))</f>
        <v>0</v>
      </c>
      <c r="R14" s="47" t="n">
        <f aca="false">IF(OR(A14="500",A14="800",A14="810"),0,MAX(W14-Q14,0))</f>
        <v>140</v>
      </c>
      <c r="S14" s="47" t="n">
        <f aca="false">R14*L14</f>
        <v>8297520</v>
      </c>
      <c r="T14" s="47" t="n">
        <f aca="false">R14*J14</f>
        <v>23660000</v>
      </c>
      <c r="U14" s="47" t="n">
        <f aca="false">R14*K14</f>
        <v>5642000</v>
      </c>
      <c r="V14" s="0" t="str">
        <f aca="false">IF(COUNTIFS($A$2:A14,A14,$C$2:C14,C14,$D$2:D14,D14)&gt;1,"중복","")</f>
        <v/>
      </c>
      <c r="W14" s="0" t="n">
        <f aca="false">IF(V14="중복",0,N(D14))</f>
        <v>140</v>
      </c>
      <c r="X14" s="0" t="n">
        <f aca="false">IF(COUNTIFS($A$2:A14,A14,$C$2:C14,C14)=1,ABS(SUMIFS(RAW_발주!$D:$D,RAW_발주!$C:$C,A14,RAW_발주!$A:$A,C14)-SUMIFS($W:$W,$A:$A,A14,$C:$C,C14)),0)</f>
        <v>0</v>
      </c>
    </row>
    <row r="15" customFormat="false" ht="15" hidden="false" customHeight="true" outlineLevel="0" collapsed="false">
      <c r="A15" s="45" t="s">
        <v>1661</v>
      </c>
      <c r="B15" s="42" t="str">
        <f aca="false">IF(A15="100","HK",IF(A15="200","CN",IF(A15="300","TW","홀세일")))</f>
        <v>TW</v>
      </c>
      <c r="C15" s="45" t="s">
        <v>136</v>
      </c>
      <c r="D15" s="46" t="n">
        <v>130</v>
      </c>
      <c r="E15" s="46" t="n">
        <v>169000</v>
      </c>
      <c r="F15" s="46" t="n">
        <v>40300</v>
      </c>
      <c r="G15" s="42" t="n">
        <v>3.61</v>
      </c>
      <c r="H15" s="42" t="n">
        <v>44.9</v>
      </c>
      <c r="J15" s="46" t="n">
        <f aca="false">IF(N(E15)&gt;0,E15,IF(N(F15)&gt;0,F15*요약!$F$27,0))</f>
        <v>169000</v>
      </c>
      <c r="K15" s="46" t="n">
        <f aca="false">IF(N(F15)&gt;0,F15,IF(N(E15)&gt;0,E15/요약!$F$27,0))</f>
        <v>40300</v>
      </c>
      <c r="L15" s="46" t="n">
        <f aca="false">IF(B15="CN",IF(N(I15)&gt;0,I15*요약!$G$27,K15*(1+요약!$E$27)),IF(N(H15)&gt;0,H15*요약!$G$27,J15*요약!$D$27))</f>
        <v>59268</v>
      </c>
      <c r="M15" s="46" t="n">
        <f aca="false">D15*J15</f>
        <v>21970000</v>
      </c>
      <c r="N15" s="46" t="n">
        <f aca="false">D15*K15</f>
        <v>5239000</v>
      </c>
      <c r="O15" s="46" t="n">
        <f aca="false">D15*L15</f>
        <v>7704840</v>
      </c>
      <c r="P15" s="42" t="str">
        <f aca="false">TRIM(IF(N(E15)&lt;=0,"택가보정 ","")&amp;IF(N(F15)&lt;=0,"원가보정 ","")&amp;IF(AND(B15&lt;&gt;"CN",N(H15)&lt;=0),"공급가보정 ","")&amp;IF(AND(B15="CN",N(I15)&lt;=0),"중국공급가=원가+마진 ",""))</f>
        <v/>
      </c>
      <c r="Q15" s="47" t="n">
        <f aca="false">IF(SUMIFS($W:$W,$A:$A,A15,$C:$C,C15)=0,0,SUMIFS(RAW_판매펀칭!$K:$K,RAW_판매펀칭!$P:$P,A15,RAW_판매펀칭!$I:$I,C15)*W15/SUMIFS($W:$W,$A:$A,A15,$C:$C,C15))</f>
        <v>130</v>
      </c>
      <c r="R15" s="47" t="n">
        <f aca="false">IF(OR(A15="500",A15="800",A15="810"),0,MAX(W15-Q15,0))</f>
        <v>0</v>
      </c>
      <c r="S15" s="47" t="n">
        <f aca="false">R15*L15</f>
        <v>0</v>
      </c>
      <c r="T15" s="47" t="n">
        <f aca="false">R15*J15</f>
        <v>0</v>
      </c>
      <c r="U15" s="47" t="n">
        <f aca="false">R15*K15</f>
        <v>0</v>
      </c>
      <c r="V15" s="0" t="str">
        <f aca="false">IF(COUNTIFS($A$2:A15,A15,$C$2:C15,C15,$D$2:D15,D15)&gt;1,"중복","")</f>
        <v/>
      </c>
      <c r="W15" s="0" t="n">
        <f aca="false">IF(V15="중복",0,N(D15))</f>
        <v>130</v>
      </c>
      <c r="X15" s="0" t="n">
        <f aca="false">IF(COUNTIFS($A$2:A15,A15,$C$2:C15,C15)=1,ABS(SUMIFS(RAW_발주!$D:$D,RAW_발주!$C:$C,A15,RAW_발주!$A:$A,C15)-SUMIFS($W:$W,$A:$A,A15,$C:$C,C15)),0)</f>
        <v>0</v>
      </c>
    </row>
    <row r="16" customFormat="false" ht="15" hidden="false" customHeight="true" outlineLevel="0" collapsed="false">
      <c r="A16" s="45" t="s">
        <v>1663</v>
      </c>
      <c r="B16" s="42" t="str">
        <f aca="false">IF(A16="100","HK",IF(A16="200","CN",IF(A16="300","TW","홀세일")))</f>
        <v>홀세일</v>
      </c>
      <c r="C16" s="45" t="s">
        <v>136</v>
      </c>
      <c r="D16" s="46" t="n">
        <v>30</v>
      </c>
      <c r="E16" s="46" t="n">
        <v>169000</v>
      </c>
      <c r="F16" s="46" t="n">
        <v>40300</v>
      </c>
      <c r="G16" s="42" t="n">
        <v>3.61</v>
      </c>
      <c r="H16" s="42" t="n">
        <v>44.9</v>
      </c>
      <c r="J16" s="46" t="n">
        <f aca="false">IF(N(E16)&gt;0,E16,IF(N(F16)&gt;0,F16*요약!$F$27,0))</f>
        <v>169000</v>
      </c>
      <c r="K16" s="46" t="n">
        <f aca="false">IF(N(F16)&gt;0,F16,IF(N(E16)&gt;0,E16/요약!$F$27,0))</f>
        <v>40300</v>
      </c>
      <c r="L16" s="46" t="n">
        <f aca="false">IF(B16="CN",IF(N(I16)&gt;0,I16*요약!$G$27,K16*(1+요약!$E$27)),IF(N(H16)&gt;0,H16*요약!$G$27,J16*요약!$D$27))</f>
        <v>59268</v>
      </c>
      <c r="M16" s="46" t="n">
        <f aca="false">D16*J16</f>
        <v>5070000</v>
      </c>
      <c r="N16" s="46" t="n">
        <f aca="false">D16*K16</f>
        <v>1209000</v>
      </c>
      <c r="O16" s="46" t="n">
        <f aca="false">D16*L16</f>
        <v>1778040</v>
      </c>
      <c r="P16" s="42" t="str">
        <f aca="false">TRIM(IF(N(E16)&lt;=0,"택가보정 ","")&amp;IF(N(F16)&lt;=0,"원가보정 ","")&amp;IF(AND(B16&lt;&gt;"CN",N(H16)&lt;=0),"공급가보정 ","")&amp;IF(AND(B16="CN",N(I16)&lt;=0),"중국공급가=원가+마진 ",""))</f>
        <v/>
      </c>
      <c r="Q16" s="47" t="n">
        <f aca="false">IF(SUMIFS($W:$W,$A:$A,A16,$C:$C,C16)=0,0,SUMIFS(RAW_판매펀칭!$K:$K,RAW_판매펀칭!$P:$P,A16,RAW_판매펀칭!$I:$I,C16)*W16/SUMIFS($W:$W,$A:$A,A16,$C:$C,C16))</f>
        <v>30</v>
      </c>
      <c r="R16" s="47" t="n">
        <f aca="false">IF(OR(A16="500",A16="800",A16="810"),0,MAX(W16-Q16,0))</f>
        <v>0</v>
      </c>
      <c r="S16" s="47" t="n">
        <f aca="false">R16*L16</f>
        <v>0</v>
      </c>
      <c r="T16" s="47" t="n">
        <f aca="false">R16*J16</f>
        <v>0</v>
      </c>
      <c r="U16" s="47" t="n">
        <f aca="false">R16*K16</f>
        <v>0</v>
      </c>
      <c r="V16" s="0" t="str">
        <f aca="false">IF(COUNTIFS($A$2:A16,A16,$C$2:C16,C16,$D$2:D16,D16)&gt;1,"중복","")</f>
        <v/>
      </c>
      <c r="W16" s="0" t="n">
        <f aca="false">IF(V16="중복",0,N(D16))</f>
        <v>30</v>
      </c>
      <c r="X16" s="0" t="n">
        <f aca="false">IF(COUNTIFS($A$2:A16,A16,$C$2:C16,C16)=1,ABS(SUMIFS(RAW_발주!$D:$D,RAW_발주!$C:$C,A16,RAW_발주!$A:$A,C16)-SUMIFS($W:$W,$A:$A,A16,$C:$C,C16)),0)</f>
        <v>0</v>
      </c>
    </row>
    <row r="17" customFormat="false" ht="15" hidden="false" customHeight="true" outlineLevel="0" collapsed="false">
      <c r="A17" s="45" t="s">
        <v>1667</v>
      </c>
      <c r="B17" s="42" t="str">
        <f aca="false">IF(A17="100","HK",IF(A17="200","CN",IF(A17="300","TW","홀세일")))</f>
        <v>홀세일</v>
      </c>
      <c r="C17" s="45" t="s">
        <v>136</v>
      </c>
      <c r="D17" s="46" t="n">
        <v>41</v>
      </c>
      <c r="E17" s="46" t="n">
        <v>169000</v>
      </c>
      <c r="F17" s="46" t="n">
        <v>40300</v>
      </c>
      <c r="G17" s="42" t="n">
        <v>3.61</v>
      </c>
      <c r="H17" s="42" t="n">
        <v>44.9</v>
      </c>
      <c r="J17" s="46" t="n">
        <f aca="false">IF(N(E17)&gt;0,E17,IF(N(F17)&gt;0,F17*요약!$F$27,0))</f>
        <v>169000</v>
      </c>
      <c r="K17" s="46" t="n">
        <f aca="false">IF(N(F17)&gt;0,F17,IF(N(E17)&gt;0,E17/요약!$F$27,0))</f>
        <v>40300</v>
      </c>
      <c r="L17" s="46" t="n">
        <f aca="false">IF(B17="CN",IF(N(I17)&gt;0,I17*요약!$G$27,K17*(1+요약!$E$27)),IF(N(H17)&gt;0,H17*요약!$G$27,J17*요약!$D$27))</f>
        <v>59268</v>
      </c>
      <c r="M17" s="46" t="n">
        <f aca="false">D17*J17</f>
        <v>6929000</v>
      </c>
      <c r="N17" s="46" t="n">
        <f aca="false">D17*K17</f>
        <v>1652300</v>
      </c>
      <c r="O17" s="46" t="n">
        <f aca="false">D17*L17</f>
        <v>2429988</v>
      </c>
      <c r="P17" s="42" t="str">
        <f aca="false">TRIM(IF(N(E17)&lt;=0,"택가보정 ","")&amp;IF(N(F17)&lt;=0,"원가보정 ","")&amp;IF(AND(B17&lt;&gt;"CN",N(H17)&lt;=0),"공급가보정 ","")&amp;IF(AND(B17="CN",N(I17)&lt;=0),"중국공급가=원가+마진 ",""))</f>
        <v/>
      </c>
      <c r="Q17" s="47" t="n">
        <f aca="false">IF(SUMIFS($W:$W,$A:$A,A17,$C:$C,C17)=0,0,SUMIFS(RAW_판매펀칭!$K:$K,RAW_판매펀칭!$P:$P,A17,RAW_판매펀칭!$I:$I,C17)*W17/SUMIFS($W:$W,$A:$A,A17,$C:$C,C17))</f>
        <v>41</v>
      </c>
      <c r="R17" s="47" t="n">
        <f aca="false">IF(OR(A17="500",A17="800",A17="810"),0,MAX(W17-Q17,0))</f>
        <v>0</v>
      </c>
      <c r="S17" s="47" t="n">
        <f aca="false">R17*L17</f>
        <v>0</v>
      </c>
      <c r="T17" s="47" t="n">
        <f aca="false">R17*J17</f>
        <v>0</v>
      </c>
      <c r="U17" s="47" t="n">
        <f aca="false">R17*K17</f>
        <v>0</v>
      </c>
      <c r="V17" s="0" t="str">
        <f aca="false">IF(COUNTIFS($A$2:A17,A17,$C$2:C17,C17,$D$2:D17,D17)&gt;1,"중복","")</f>
        <v/>
      </c>
      <c r="W17" s="0" t="n">
        <f aca="false">IF(V17="중복",0,N(D17))</f>
        <v>41</v>
      </c>
      <c r="X17" s="0" t="n">
        <f aca="false">IF(COUNTIFS($A$2:A17,A17,$C$2:C17,C17)=1,ABS(SUMIFS(RAW_발주!$D:$D,RAW_발주!$C:$C,A17,RAW_발주!$A:$A,C17)-SUMIFS($W:$W,$A:$A,A17,$C:$C,C17)),0)</f>
        <v>0</v>
      </c>
    </row>
    <row r="18" customFormat="false" ht="15.75" hidden="false" customHeight="true" outlineLevel="0" collapsed="false">
      <c r="A18" s="45" t="s">
        <v>1660</v>
      </c>
      <c r="B18" s="42" t="str">
        <f aca="false">IF(A18="100","HK",IF(A18="200","CN",IF(A18="300","TW","홀세일")))</f>
        <v>CN</v>
      </c>
      <c r="C18" s="45" t="s">
        <v>138</v>
      </c>
      <c r="D18" s="46" t="n">
        <v>232</v>
      </c>
      <c r="E18" s="46" t="n">
        <v>149000</v>
      </c>
      <c r="F18" s="46" t="n">
        <v>37107</v>
      </c>
      <c r="G18" s="42" t="n">
        <v>3.42</v>
      </c>
      <c r="H18" s="42" t="n">
        <v>39.6</v>
      </c>
      <c r="J18" s="46" t="n">
        <f aca="false">IF(N(E18)&gt;0,E18,IF(N(F18)&gt;0,F18*요약!$F$27,0))</f>
        <v>149000</v>
      </c>
      <c r="K18" s="46" t="n">
        <f aca="false">IF(N(F18)&gt;0,F18,IF(N(E18)&gt;0,E18/요약!$F$27,0))</f>
        <v>37107</v>
      </c>
      <c r="L18" s="46" t="n">
        <f aca="false">IF(B18="CN",IF(N(I18)&gt;0,I18*요약!$G$27,K18*(1+요약!$E$27)),IF(N(H18)&gt;0,H18*요약!$G$27,J18*요약!$D$27))</f>
        <v>38962.35</v>
      </c>
      <c r="M18" s="46" t="n">
        <f aca="false">D18*J18</f>
        <v>34568000</v>
      </c>
      <c r="N18" s="46" t="n">
        <f aca="false">D18*K18</f>
        <v>8608824</v>
      </c>
      <c r="O18" s="46" t="n">
        <f aca="false">D18*L18</f>
        <v>9039265.2</v>
      </c>
      <c r="P18" s="42" t="str">
        <f aca="false">TRIM(IF(N(E18)&lt;=0,"택가보정 ","")&amp;IF(N(F18)&lt;=0,"원가보정 ","")&amp;IF(AND(B18&lt;&gt;"CN",N(H18)&lt;=0),"공급가보정 ","")&amp;IF(AND(B18="CN",N(I18)&lt;=0),"중국공급가=원가+마진 ",""))</f>
        <v>중국공급가=원가+마진</v>
      </c>
      <c r="Q18" s="47" t="n">
        <f aca="false">IF(SUMIFS($W:$W,$A:$A,A18,$C:$C,C18)=0,0,SUMIFS(RAW_판매펀칭!$K:$K,RAW_판매펀칭!$P:$P,A18,RAW_판매펀칭!$I:$I,C18)*W18/SUMIFS($W:$W,$A:$A,A18,$C:$C,C18))</f>
        <v>0</v>
      </c>
      <c r="R18" s="47" t="n">
        <f aca="false">IF(OR(A18="500",A18="800",A18="810"),0,MAX(W18-Q18,0))</f>
        <v>232</v>
      </c>
      <c r="S18" s="47" t="n">
        <f aca="false">R18*L18</f>
        <v>9039265.2</v>
      </c>
      <c r="T18" s="47" t="n">
        <f aca="false">R18*J18</f>
        <v>34568000</v>
      </c>
      <c r="U18" s="47" t="n">
        <f aca="false">R18*K18</f>
        <v>8608824</v>
      </c>
      <c r="V18" s="0" t="str">
        <f aca="false">IF(COUNTIFS($A$2:A18,A18,$C$2:C18,C18,$D$2:D18,D18)&gt;1,"중복","")</f>
        <v/>
      </c>
      <c r="W18" s="0" t="n">
        <f aca="false">IF(V18="중복",0,N(D18))</f>
        <v>232</v>
      </c>
      <c r="X18" s="0" t="n">
        <f aca="false">IF(COUNTIFS($A$2:A18,A18,$C$2:C18,C18)=1,ABS(SUMIFS(RAW_발주!$D:$D,RAW_발주!$C:$C,A18,RAW_발주!$A:$A,C18)-SUMIFS($W:$W,$A:$A,A18,$C:$C,C18)),0)</f>
        <v>0</v>
      </c>
    </row>
    <row r="19" customFormat="false" ht="15" hidden="false" customHeight="true" outlineLevel="0" collapsed="false">
      <c r="A19" s="45" t="s">
        <v>1661</v>
      </c>
      <c r="B19" s="42" t="str">
        <f aca="false">IF(A19="100","HK",IF(A19="200","CN",IF(A19="300","TW","홀세일")))</f>
        <v>TW</v>
      </c>
      <c r="C19" s="45" t="s">
        <v>138</v>
      </c>
      <c r="D19" s="46" t="n">
        <v>180</v>
      </c>
      <c r="E19" s="46" t="n">
        <v>149000</v>
      </c>
      <c r="F19" s="46" t="n">
        <v>37107</v>
      </c>
      <c r="G19" s="42" t="n">
        <v>3.42</v>
      </c>
      <c r="H19" s="42" t="n">
        <v>39.6</v>
      </c>
      <c r="J19" s="46" t="n">
        <f aca="false">IF(N(E19)&gt;0,E19,IF(N(F19)&gt;0,F19*요약!$F$27,0))</f>
        <v>149000</v>
      </c>
      <c r="K19" s="46" t="n">
        <f aca="false">IF(N(F19)&gt;0,F19,IF(N(E19)&gt;0,E19/요약!$F$27,0))</f>
        <v>37107</v>
      </c>
      <c r="L19" s="46" t="n">
        <f aca="false">IF(B19="CN",IF(N(I19)&gt;0,I19*요약!$G$27,K19*(1+요약!$E$27)),IF(N(H19)&gt;0,H19*요약!$G$27,J19*요약!$D$27))</f>
        <v>52272</v>
      </c>
      <c r="M19" s="46" t="n">
        <f aca="false">D19*J19</f>
        <v>26820000</v>
      </c>
      <c r="N19" s="46" t="n">
        <f aca="false">D19*K19</f>
        <v>6679260</v>
      </c>
      <c r="O19" s="46" t="n">
        <f aca="false">D19*L19</f>
        <v>9408960</v>
      </c>
      <c r="P19" s="42" t="str">
        <f aca="false">TRIM(IF(N(E19)&lt;=0,"택가보정 ","")&amp;IF(N(F19)&lt;=0,"원가보정 ","")&amp;IF(AND(B19&lt;&gt;"CN",N(H19)&lt;=0),"공급가보정 ","")&amp;IF(AND(B19="CN",N(I19)&lt;=0),"중국공급가=원가+마진 ",""))</f>
        <v/>
      </c>
      <c r="Q19" s="47" t="n">
        <f aca="false">IF(SUMIFS($W:$W,$A:$A,A19,$C:$C,C19)=0,0,SUMIFS(RAW_판매펀칭!$K:$K,RAW_판매펀칭!$P:$P,A19,RAW_판매펀칭!$I:$I,C19)*W19/SUMIFS($W:$W,$A:$A,A19,$C:$C,C19))</f>
        <v>180</v>
      </c>
      <c r="R19" s="47" t="n">
        <f aca="false">IF(OR(A19="500",A19="800",A19="810"),0,MAX(W19-Q19,0))</f>
        <v>0</v>
      </c>
      <c r="S19" s="47" t="n">
        <f aca="false">R19*L19</f>
        <v>0</v>
      </c>
      <c r="T19" s="47" t="n">
        <f aca="false">R19*J19</f>
        <v>0</v>
      </c>
      <c r="U19" s="47" t="n">
        <f aca="false">R19*K19</f>
        <v>0</v>
      </c>
      <c r="V19" s="0" t="str">
        <f aca="false">IF(COUNTIFS($A$2:A19,A19,$C$2:C19,C19,$D$2:D19,D19)&gt;1,"중복","")</f>
        <v/>
      </c>
      <c r="W19" s="0" t="n">
        <f aca="false">IF(V19="중복",0,N(D19))</f>
        <v>180</v>
      </c>
      <c r="X19" s="0" t="n">
        <f aca="false">IF(COUNTIFS($A$2:A19,A19,$C$2:C19,C19)=1,ABS(SUMIFS(RAW_발주!$D:$D,RAW_발주!$C:$C,A19,RAW_발주!$A:$A,C19)-SUMIFS($W:$W,$A:$A,A19,$C:$C,C19)),0)</f>
        <v>0</v>
      </c>
    </row>
    <row r="20" customFormat="false" ht="15" hidden="false" customHeight="true" outlineLevel="0" collapsed="false">
      <c r="A20" s="45" t="s">
        <v>1663</v>
      </c>
      <c r="B20" s="42" t="str">
        <f aca="false">IF(A20="100","HK",IF(A20="200","CN",IF(A20="300","TW","홀세일")))</f>
        <v>홀세일</v>
      </c>
      <c r="C20" s="45" t="s">
        <v>138</v>
      </c>
      <c r="D20" s="46" t="n">
        <v>15</v>
      </c>
      <c r="E20" s="46" t="n">
        <v>149000</v>
      </c>
      <c r="F20" s="46" t="n">
        <v>37107</v>
      </c>
      <c r="G20" s="42" t="n">
        <v>3.42</v>
      </c>
      <c r="H20" s="42" t="n">
        <v>39.6</v>
      </c>
      <c r="J20" s="46" t="n">
        <f aca="false">IF(N(E20)&gt;0,E20,IF(N(F20)&gt;0,F20*요약!$F$27,0))</f>
        <v>149000</v>
      </c>
      <c r="K20" s="46" t="n">
        <f aca="false">IF(N(F20)&gt;0,F20,IF(N(E20)&gt;0,E20/요약!$F$27,0))</f>
        <v>37107</v>
      </c>
      <c r="L20" s="46" t="n">
        <f aca="false">IF(B20="CN",IF(N(I20)&gt;0,I20*요약!$G$27,K20*(1+요약!$E$27)),IF(N(H20)&gt;0,H20*요약!$G$27,J20*요약!$D$27))</f>
        <v>52272</v>
      </c>
      <c r="M20" s="46" t="n">
        <f aca="false">D20*J20</f>
        <v>2235000</v>
      </c>
      <c r="N20" s="46" t="n">
        <f aca="false">D20*K20</f>
        <v>556605</v>
      </c>
      <c r="O20" s="46" t="n">
        <f aca="false">D20*L20</f>
        <v>784080</v>
      </c>
      <c r="P20" s="42" t="str">
        <f aca="false">TRIM(IF(N(E20)&lt;=0,"택가보정 ","")&amp;IF(N(F20)&lt;=0,"원가보정 ","")&amp;IF(AND(B20&lt;&gt;"CN",N(H20)&lt;=0),"공급가보정 ","")&amp;IF(AND(B20="CN",N(I20)&lt;=0),"중국공급가=원가+마진 ",""))</f>
        <v/>
      </c>
      <c r="Q20" s="47" t="n">
        <f aca="false">IF(SUMIFS($W:$W,$A:$A,A20,$C:$C,C20)=0,0,SUMIFS(RAW_판매펀칭!$K:$K,RAW_판매펀칭!$P:$P,A20,RAW_판매펀칭!$I:$I,C20)*W20/SUMIFS($W:$W,$A:$A,A20,$C:$C,C20))</f>
        <v>15</v>
      </c>
      <c r="R20" s="47" t="n">
        <f aca="false">IF(OR(A20="500",A20="800",A20="810"),0,MAX(W20-Q20,0))</f>
        <v>0</v>
      </c>
      <c r="S20" s="47" t="n">
        <f aca="false">R20*L20</f>
        <v>0</v>
      </c>
      <c r="T20" s="47" t="n">
        <f aca="false">R20*J20</f>
        <v>0</v>
      </c>
      <c r="U20" s="47" t="n">
        <f aca="false">R20*K20</f>
        <v>0</v>
      </c>
      <c r="V20" s="0" t="str">
        <f aca="false">IF(COUNTIFS($A$2:A20,A20,$C$2:C20,C20,$D$2:D20,D20)&gt;1,"중복","")</f>
        <v/>
      </c>
      <c r="W20" s="0" t="n">
        <f aca="false">IF(V20="중복",0,N(D20))</f>
        <v>15</v>
      </c>
      <c r="X20" s="0" t="n">
        <f aca="false">IF(COUNTIFS($A$2:A20,A20,$C$2:C20,C20)=1,ABS(SUMIFS(RAW_발주!$D:$D,RAW_발주!$C:$C,A20,RAW_발주!$A:$A,C20)-SUMIFS($W:$W,$A:$A,A20,$C:$C,C20)),0)</f>
        <v>0</v>
      </c>
    </row>
    <row r="21" customFormat="false" ht="15" hidden="false" customHeight="true" outlineLevel="0" collapsed="false">
      <c r="A21" s="45" t="s">
        <v>1664</v>
      </c>
      <c r="B21" s="42" t="str">
        <f aca="false">IF(A21="100","HK",IF(A21="200","CN",IF(A21="300","TW","홀세일")))</f>
        <v>홀세일</v>
      </c>
      <c r="C21" s="45" t="s">
        <v>138</v>
      </c>
      <c r="D21" s="46" t="n">
        <v>20</v>
      </c>
      <c r="E21" s="46" t="n">
        <v>149000</v>
      </c>
      <c r="F21" s="46" t="n">
        <v>37107</v>
      </c>
      <c r="G21" s="42" t="n">
        <v>3.42</v>
      </c>
      <c r="H21" s="42" t="n">
        <v>39.6</v>
      </c>
      <c r="J21" s="46" t="n">
        <f aca="false">IF(N(E21)&gt;0,E21,IF(N(F21)&gt;0,F21*요약!$F$27,0))</f>
        <v>149000</v>
      </c>
      <c r="K21" s="46" t="n">
        <f aca="false">IF(N(F21)&gt;0,F21,IF(N(E21)&gt;0,E21/요약!$F$27,0))</f>
        <v>37107</v>
      </c>
      <c r="L21" s="46" t="n">
        <f aca="false">IF(B21="CN",IF(N(I21)&gt;0,I21*요약!$G$27,K21*(1+요약!$E$27)),IF(N(H21)&gt;0,H21*요약!$G$27,J21*요약!$D$27))</f>
        <v>52272</v>
      </c>
      <c r="M21" s="46" t="n">
        <f aca="false">D21*J21</f>
        <v>2980000</v>
      </c>
      <c r="N21" s="46" t="n">
        <f aca="false">D21*K21</f>
        <v>742140</v>
      </c>
      <c r="O21" s="46" t="n">
        <f aca="false">D21*L21</f>
        <v>1045440</v>
      </c>
      <c r="P21" s="42" t="str">
        <f aca="false">TRIM(IF(N(E21)&lt;=0,"택가보정 ","")&amp;IF(N(F21)&lt;=0,"원가보정 ","")&amp;IF(AND(B21&lt;&gt;"CN",N(H21)&lt;=0),"공급가보정 ","")&amp;IF(AND(B21="CN",N(I21)&lt;=0),"중국공급가=원가+마진 ",""))</f>
        <v/>
      </c>
      <c r="Q21" s="47" t="n">
        <f aca="false">IF(SUMIFS($W:$W,$A:$A,A21,$C:$C,C21)=0,0,SUMIFS(RAW_판매펀칭!$K:$K,RAW_판매펀칭!$P:$P,A21,RAW_판매펀칭!$I:$I,C21)*W21/SUMIFS($W:$W,$A:$A,A21,$C:$C,C21))</f>
        <v>20</v>
      </c>
      <c r="R21" s="47" t="n">
        <f aca="false">IF(OR(A21="500",A21="800",A21="810"),0,MAX(W21-Q21,0))</f>
        <v>0</v>
      </c>
      <c r="S21" s="47" t="n">
        <f aca="false">R21*L21</f>
        <v>0</v>
      </c>
      <c r="T21" s="47" t="n">
        <f aca="false">R21*J21</f>
        <v>0</v>
      </c>
      <c r="U21" s="47" t="n">
        <f aca="false">R21*K21</f>
        <v>0</v>
      </c>
      <c r="V21" s="0" t="str">
        <f aca="false">IF(COUNTIFS($A$2:A21,A21,$C$2:C21,C21,$D$2:D21,D21)&gt;1,"중복","")</f>
        <v/>
      </c>
      <c r="W21" s="0" t="n">
        <f aca="false">IF(V21="중복",0,N(D21))</f>
        <v>20</v>
      </c>
      <c r="X21" s="0" t="n">
        <f aca="false">IF(COUNTIFS($A$2:A21,A21,$C$2:C21,C21)=1,ABS(SUMIFS(RAW_발주!$D:$D,RAW_발주!$C:$C,A21,RAW_발주!$A:$A,C21)-SUMIFS($W:$W,$A:$A,A21,$C:$C,C21)),0)</f>
        <v>0</v>
      </c>
    </row>
    <row r="22" customFormat="false" ht="15" hidden="false" customHeight="true" outlineLevel="0" collapsed="false">
      <c r="A22" s="45" t="s">
        <v>1659</v>
      </c>
      <c r="B22" s="42" t="str">
        <f aca="false">IF(A22="100","HK",IF(A22="200","CN",IF(A22="300","TW","홀세일")))</f>
        <v>HK</v>
      </c>
      <c r="C22" s="45" t="s">
        <v>140</v>
      </c>
      <c r="D22" s="46" t="n">
        <v>180</v>
      </c>
      <c r="E22" s="46" t="n">
        <v>149000</v>
      </c>
      <c r="F22" s="46" t="n">
        <v>35201</v>
      </c>
      <c r="G22" s="42" t="n">
        <v>3.61</v>
      </c>
      <c r="H22" s="42" t="n">
        <v>39.6</v>
      </c>
      <c r="J22" s="46" t="n">
        <f aca="false">IF(N(E22)&gt;0,E22,IF(N(F22)&gt;0,F22*요약!$F$27,0))</f>
        <v>149000</v>
      </c>
      <c r="K22" s="46" t="n">
        <f aca="false">IF(N(F22)&gt;0,F22,IF(N(E22)&gt;0,E22/요약!$F$27,0))</f>
        <v>35201</v>
      </c>
      <c r="L22" s="46" t="n">
        <f aca="false">IF(B22="CN",IF(N(I22)&gt;0,I22*요약!$G$27,K22*(1+요약!$E$27)),IF(N(H22)&gt;0,H22*요약!$G$27,J22*요약!$D$27))</f>
        <v>52272</v>
      </c>
      <c r="M22" s="46" t="n">
        <f aca="false">D22*J22</f>
        <v>26820000</v>
      </c>
      <c r="N22" s="46" t="n">
        <f aca="false">D22*K22</f>
        <v>6336180</v>
      </c>
      <c r="O22" s="46" t="n">
        <f aca="false">D22*L22</f>
        <v>9408960</v>
      </c>
      <c r="P22" s="42" t="str">
        <f aca="false">TRIM(IF(N(E22)&lt;=0,"택가보정 ","")&amp;IF(N(F22)&lt;=0,"원가보정 ","")&amp;IF(AND(B22&lt;&gt;"CN",N(H22)&lt;=0),"공급가보정 ","")&amp;IF(AND(B22="CN",N(I22)&lt;=0),"중국공급가=원가+마진 ",""))</f>
        <v/>
      </c>
      <c r="Q22" s="47" t="n">
        <f aca="false">IF(SUMIFS($W:$W,$A:$A,A22,$C:$C,C22)=0,0,SUMIFS(RAW_판매펀칭!$K:$K,RAW_판매펀칭!$P:$P,A22,RAW_판매펀칭!$I:$I,C22)*W22/SUMIFS($W:$W,$A:$A,A22,$C:$C,C22))</f>
        <v>0</v>
      </c>
      <c r="R22" s="47" t="n">
        <f aca="false">IF(OR(A22="500",A22="800",A22="810"),0,MAX(W22-Q22,0))</f>
        <v>180</v>
      </c>
      <c r="S22" s="47" t="n">
        <f aca="false">R22*L22</f>
        <v>9408960</v>
      </c>
      <c r="T22" s="47" t="n">
        <f aca="false">R22*J22</f>
        <v>26820000</v>
      </c>
      <c r="U22" s="47" t="n">
        <f aca="false">R22*K22</f>
        <v>6336180</v>
      </c>
      <c r="V22" s="0" t="str">
        <f aca="false">IF(COUNTIFS($A$2:A22,A22,$C$2:C22,C22,$D$2:D22,D22)&gt;1,"중복","")</f>
        <v/>
      </c>
      <c r="W22" s="0" t="n">
        <f aca="false">IF(V22="중복",0,N(D22))</f>
        <v>180</v>
      </c>
      <c r="X22" s="0" t="n">
        <f aca="false">IF(COUNTIFS($A$2:A22,A22,$C$2:C22,C22)=1,ABS(SUMIFS(RAW_발주!$D:$D,RAW_발주!$C:$C,A22,RAW_발주!$A:$A,C22)-SUMIFS($W:$W,$A:$A,A22,$C:$C,C22)),0)</f>
        <v>0</v>
      </c>
    </row>
    <row r="23" customFormat="false" ht="15.75" hidden="false" customHeight="true" outlineLevel="0" collapsed="false">
      <c r="A23" s="45" t="s">
        <v>1660</v>
      </c>
      <c r="B23" s="42" t="str">
        <f aca="false">IF(A23="100","HK",IF(A23="200","CN",IF(A23="300","TW","홀세일")))</f>
        <v>CN</v>
      </c>
      <c r="C23" s="45" t="s">
        <v>140</v>
      </c>
      <c r="D23" s="46" t="n">
        <v>112</v>
      </c>
      <c r="E23" s="46" t="n">
        <v>149000</v>
      </c>
      <c r="F23" s="46" t="n">
        <v>35201</v>
      </c>
      <c r="G23" s="42" t="n">
        <v>3.61</v>
      </c>
      <c r="H23" s="42" t="n">
        <v>39.6</v>
      </c>
      <c r="J23" s="46" t="n">
        <f aca="false">IF(N(E23)&gt;0,E23,IF(N(F23)&gt;0,F23*요약!$F$27,0))</f>
        <v>149000</v>
      </c>
      <c r="K23" s="46" t="n">
        <f aca="false">IF(N(F23)&gt;0,F23,IF(N(E23)&gt;0,E23/요약!$F$27,0))</f>
        <v>35201</v>
      </c>
      <c r="L23" s="46" t="n">
        <f aca="false">IF(B23="CN",IF(N(I23)&gt;0,I23*요약!$G$27,K23*(1+요약!$E$27)),IF(N(H23)&gt;0,H23*요약!$G$27,J23*요약!$D$27))</f>
        <v>36961.05</v>
      </c>
      <c r="M23" s="46" t="n">
        <f aca="false">D23*J23</f>
        <v>16688000</v>
      </c>
      <c r="N23" s="46" t="n">
        <f aca="false">D23*K23</f>
        <v>3942512</v>
      </c>
      <c r="O23" s="46" t="n">
        <f aca="false">D23*L23</f>
        <v>4139637.6</v>
      </c>
      <c r="P23" s="42" t="str">
        <f aca="false">TRIM(IF(N(E23)&lt;=0,"택가보정 ","")&amp;IF(N(F23)&lt;=0,"원가보정 ","")&amp;IF(AND(B23&lt;&gt;"CN",N(H23)&lt;=0),"공급가보정 ","")&amp;IF(AND(B23="CN",N(I23)&lt;=0),"중국공급가=원가+마진 ",""))</f>
        <v>중국공급가=원가+마진</v>
      </c>
      <c r="Q23" s="47" t="n">
        <f aca="false">IF(SUMIFS($W:$W,$A:$A,A23,$C:$C,C23)=0,0,SUMIFS(RAW_판매펀칭!$K:$K,RAW_판매펀칭!$P:$P,A23,RAW_판매펀칭!$I:$I,C23)*W23/SUMIFS($W:$W,$A:$A,A23,$C:$C,C23))</f>
        <v>0</v>
      </c>
      <c r="R23" s="47" t="n">
        <f aca="false">IF(OR(A23="500",A23="800",A23="810"),0,MAX(W23-Q23,0))</f>
        <v>112</v>
      </c>
      <c r="S23" s="47" t="n">
        <f aca="false">R23*L23</f>
        <v>4139637.6</v>
      </c>
      <c r="T23" s="47" t="n">
        <f aca="false">R23*J23</f>
        <v>16688000</v>
      </c>
      <c r="U23" s="47" t="n">
        <f aca="false">R23*K23</f>
        <v>3942512</v>
      </c>
      <c r="V23" s="0" t="str">
        <f aca="false">IF(COUNTIFS($A$2:A23,A23,$C$2:C23,C23,$D$2:D23,D23)&gt;1,"중복","")</f>
        <v/>
      </c>
      <c r="W23" s="0" t="n">
        <f aca="false">IF(V23="중복",0,N(D23))</f>
        <v>112</v>
      </c>
      <c r="X23" s="0" t="n">
        <f aca="false">IF(COUNTIFS($A$2:A23,A23,$C$2:C23,C23)=1,ABS(SUMIFS(RAW_발주!$D:$D,RAW_발주!$C:$C,A23,RAW_발주!$A:$A,C23)-SUMIFS($W:$W,$A:$A,A23,$C:$C,C23)),0)</f>
        <v>0</v>
      </c>
    </row>
    <row r="24" customFormat="false" ht="15" hidden="false" customHeight="true" outlineLevel="0" collapsed="false">
      <c r="A24" s="45" t="s">
        <v>1661</v>
      </c>
      <c r="B24" s="42" t="str">
        <f aca="false">IF(A24="100","HK",IF(A24="200","CN",IF(A24="300","TW","홀세일")))</f>
        <v>TW</v>
      </c>
      <c r="C24" s="45" t="s">
        <v>140</v>
      </c>
      <c r="D24" s="46" t="n">
        <v>80</v>
      </c>
      <c r="E24" s="46" t="n">
        <v>149000</v>
      </c>
      <c r="F24" s="46" t="n">
        <v>35201</v>
      </c>
      <c r="G24" s="42" t="n">
        <v>3.61</v>
      </c>
      <c r="H24" s="42" t="n">
        <v>39.6</v>
      </c>
      <c r="J24" s="46" t="n">
        <f aca="false">IF(N(E24)&gt;0,E24,IF(N(F24)&gt;0,F24*요약!$F$27,0))</f>
        <v>149000</v>
      </c>
      <c r="K24" s="46" t="n">
        <f aca="false">IF(N(F24)&gt;0,F24,IF(N(E24)&gt;0,E24/요약!$F$27,0))</f>
        <v>35201</v>
      </c>
      <c r="L24" s="46" t="n">
        <f aca="false">IF(B24="CN",IF(N(I24)&gt;0,I24*요약!$G$27,K24*(1+요약!$E$27)),IF(N(H24)&gt;0,H24*요약!$G$27,J24*요약!$D$27))</f>
        <v>52272</v>
      </c>
      <c r="M24" s="46" t="n">
        <f aca="false">D24*J24</f>
        <v>11920000</v>
      </c>
      <c r="N24" s="46" t="n">
        <f aca="false">D24*K24</f>
        <v>2816080</v>
      </c>
      <c r="O24" s="46" t="n">
        <f aca="false">D24*L24</f>
        <v>4181760</v>
      </c>
      <c r="P24" s="42" t="str">
        <f aca="false">TRIM(IF(N(E24)&lt;=0,"택가보정 ","")&amp;IF(N(F24)&lt;=0,"원가보정 ","")&amp;IF(AND(B24&lt;&gt;"CN",N(H24)&lt;=0),"공급가보정 ","")&amp;IF(AND(B24="CN",N(I24)&lt;=0),"중국공급가=원가+마진 ",""))</f>
        <v/>
      </c>
      <c r="Q24" s="47" t="n">
        <f aca="false">IF(SUMIFS($W:$W,$A:$A,A24,$C:$C,C24)=0,0,SUMIFS(RAW_판매펀칭!$K:$K,RAW_판매펀칭!$P:$P,A24,RAW_판매펀칭!$I:$I,C24)*W24/SUMIFS($W:$W,$A:$A,A24,$C:$C,C24))</f>
        <v>280</v>
      </c>
      <c r="R24" s="47" t="n">
        <f aca="false">IF(OR(A24="500",A24="800",A24="810"),0,MAX(W24-Q24,0))</f>
        <v>0</v>
      </c>
      <c r="S24" s="47" t="n">
        <f aca="false">R24*L24</f>
        <v>0</v>
      </c>
      <c r="T24" s="47" t="n">
        <f aca="false">R24*J24</f>
        <v>0</v>
      </c>
      <c r="U24" s="47" t="n">
        <f aca="false">R24*K24</f>
        <v>0</v>
      </c>
      <c r="V24" s="0" t="str">
        <f aca="false">IF(COUNTIFS($A$2:A24,A24,$C$2:C24,C24,$D$2:D24,D24)&gt;1,"중복","")</f>
        <v/>
      </c>
      <c r="W24" s="0" t="n">
        <f aca="false">IF(V24="중복",0,N(D24))</f>
        <v>80</v>
      </c>
      <c r="X24" s="0" t="n">
        <f aca="false">IF(COUNTIFS($A$2:A24,A24,$C$2:C24,C24)=1,ABS(SUMIFS(RAW_발주!$D:$D,RAW_발주!$C:$C,A24,RAW_발주!$A:$A,C24)-SUMIFS($W:$W,$A:$A,A24,$C:$C,C24)),0)</f>
        <v>0</v>
      </c>
    </row>
    <row r="25" customFormat="false" ht="15" hidden="false" customHeight="true" outlineLevel="0" collapsed="false">
      <c r="A25" s="45" t="s">
        <v>1662</v>
      </c>
      <c r="B25" s="42" t="str">
        <f aca="false">IF(A25="100","HK",IF(A25="200","CN",IF(A25="300","TW","홀세일")))</f>
        <v>홀세일</v>
      </c>
      <c r="C25" s="45" t="s">
        <v>140</v>
      </c>
      <c r="D25" s="46" t="n">
        <v>25</v>
      </c>
      <c r="E25" s="46" t="n">
        <v>149000</v>
      </c>
      <c r="F25" s="46" t="n">
        <v>35201</v>
      </c>
      <c r="G25" s="42" t="n">
        <v>3.61</v>
      </c>
      <c r="H25" s="42" t="n">
        <v>39.6</v>
      </c>
      <c r="J25" s="46" t="n">
        <f aca="false">IF(N(E25)&gt;0,E25,IF(N(F25)&gt;0,F25*요약!$F$27,0))</f>
        <v>149000</v>
      </c>
      <c r="K25" s="46" t="n">
        <f aca="false">IF(N(F25)&gt;0,F25,IF(N(E25)&gt;0,E25/요약!$F$27,0))</f>
        <v>35201</v>
      </c>
      <c r="L25" s="46" t="n">
        <f aca="false">IF(B25="CN",IF(N(I25)&gt;0,I25*요약!$G$27,K25*(1+요약!$E$27)),IF(N(H25)&gt;0,H25*요약!$G$27,J25*요약!$D$27))</f>
        <v>52272</v>
      </c>
      <c r="M25" s="46" t="n">
        <f aca="false">D25*J25</f>
        <v>3725000</v>
      </c>
      <c r="N25" s="46" t="n">
        <f aca="false">D25*K25</f>
        <v>880025</v>
      </c>
      <c r="O25" s="46" t="n">
        <f aca="false">D25*L25</f>
        <v>1306800</v>
      </c>
      <c r="P25" s="42" t="str">
        <f aca="false">TRIM(IF(N(E25)&lt;=0,"택가보정 ","")&amp;IF(N(F25)&lt;=0,"원가보정 ","")&amp;IF(AND(B25&lt;&gt;"CN",N(H25)&lt;=0),"공급가보정 ","")&amp;IF(AND(B25="CN",N(I25)&lt;=0),"중국공급가=원가+마진 ",""))</f>
        <v/>
      </c>
      <c r="Q25" s="47" t="n">
        <f aca="false">IF(SUMIFS($W:$W,$A:$A,A25,$C:$C,C25)=0,0,SUMIFS(RAW_판매펀칭!$K:$K,RAW_판매펀칭!$P:$P,A25,RAW_판매펀칭!$I:$I,C25)*W25/SUMIFS($W:$W,$A:$A,A25,$C:$C,C25))</f>
        <v>0</v>
      </c>
      <c r="R25" s="47" t="n">
        <f aca="false">IF(OR(A25="500",A25="800",A25="810"),0,MAX(W25-Q25,0))</f>
        <v>0</v>
      </c>
      <c r="S25" s="47" t="n">
        <f aca="false">R25*L25</f>
        <v>0</v>
      </c>
      <c r="T25" s="47" t="n">
        <f aca="false">R25*J25</f>
        <v>0</v>
      </c>
      <c r="U25" s="47" t="n">
        <f aca="false">R25*K25</f>
        <v>0</v>
      </c>
      <c r="V25" s="0" t="str">
        <f aca="false">IF(COUNTIFS($A$2:A25,A25,$C$2:C25,C25,$D$2:D25,D25)&gt;1,"중복","")</f>
        <v/>
      </c>
      <c r="W25" s="0" t="n">
        <f aca="false">IF(V25="중복",0,N(D25))</f>
        <v>25</v>
      </c>
      <c r="X25" s="0" t="n">
        <f aca="false">IF(COUNTIFS($A$2:A25,A25,$C$2:C25,C25)=1,ABS(SUMIFS(RAW_발주!$D:$D,RAW_발주!$C:$C,A25,RAW_발주!$A:$A,C25)-SUMIFS($W:$W,$A:$A,A25,$C:$C,C25)),0)</f>
        <v>0</v>
      </c>
    </row>
    <row r="26" customFormat="false" ht="15" hidden="false" customHeight="true" outlineLevel="0" collapsed="false">
      <c r="A26" s="45" t="s">
        <v>1663</v>
      </c>
      <c r="B26" s="42" t="str">
        <f aca="false">IF(A26="100","HK",IF(A26="200","CN",IF(A26="300","TW","홀세일")))</f>
        <v>홀세일</v>
      </c>
      <c r="C26" s="45" t="s">
        <v>140</v>
      </c>
      <c r="D26" s="46" t="n">
        <v>20</v>
      </c>
      <c r="E26" s="46" t="n">
        <v>149000</v>
      </c>
      <c r="F26" s="46" t="n">
        <v>35201</v>
      </c>
      <c r="G26" s="42" t="n">
        <v>3.61</v>
      </c>
      <c r="H26" s="42" t="n">
        <v>39.6</v>
      </c>
      <c r="J26" s="46" t="n">
        <f aca="false">IF(N(E26)&gt;0,E26,IF(N(F26)&gt;0,F26*요약!$F$27,0))</f>
        <v>149000</v>
      </c>
      <c r="K26" s="46" t="n">
        <f aca="false">IF(N(F26)&gt;0,F26,IF(N(E26)&gt;0,E26/요약!$F$27,0))</f>
        <v>35201</v>
      </c>
      <c r="L26" s="46" t="n">
        <f aca="false">IF(B26="CN",IF(N(I26)&gt;0,I26*요약!$G$27,K26*(1+요약!$E$27)),IF(N(H26)&gt;0,H26*요약!$G$27,J26*요약!$D$27))</f>
        <v>52272</v>
      </c>
      <c r="M26" s="46" t="n">
        <f aca="false">D26*J26</f>
        <v>2980000</v>
      </c>
      <c r="N26" s="46" t="n">
        <f aca="false">D26*K26</f>
        <v>704020</v>
      </c>
      <c r="O26" s="46" t="n">
        <f aca="false">D26*L26</f>
        <v>1045440</v>
      </c>
      <c r="P26" s="42" t="str">
        <f aca="false">TRIM(IF(N(E26)&lt;=0,"택가보정 ","")&amp;IF(N(F26)&lt;=0,"원가보정 ","")&amp;IF(AND(B26&lt;&gt;"CN",N(H26)&lt;=0),"공급가보정 ","")&amp;IF(AND(B26="CN",N(I26)&lt;=0),"중국공급가=원가+마진 ",""))</f>
        <v/>
      </c>
      <c r="Q26" s="47" t="n">
        <f aca="false">IF(SUMIFS($W:$W,$A:$A,A26,$C:$C,C26)=0,0,SUMIFS(RAW_판매펀칭!$K:$K,RAW_판매펀칭!$P:$P,A26,RAW_판매펀칭!$I:$I,C26)*W26/SUMIFS($W:$W,$A:$A,A26,$C:$C,C26))</f>
        <v>20</v>
      </c>
      <c r="R26" s="47" t="n">
        <f aca="false">IF(OR(A26="500",A26="800",A26="810"),0,MAX(W26-Q26,0))</f>
        <v>0</v>
      </c>
      <c r="S26" s="47" t="n">
        <f aca="false">R26*L26</f>
        <v>0</v>
      </c>
      <c r="T26" s="47" t="n">
        <f aca="false">R26*J26</f>
        <v>0</v>
      </c>
      <c r="U26" s="47" t="n">
        <f aca="false">R26*K26</f>
        <v>0</v>
      </c>
      <c r="V26" s="0" t="str">
        <f aca="false">IF(COUNTIFS($A$2:A26,A26,$C$2:C26,C26,$D$2:D26,D26)&gt;1,"중복","")</f>
        <v/>
      </c>
      <c r="W26" s="0" t="n">
        <f aca="false">IF(V26="중복",0,N(D26))</f>
        <v>20</v>
      </c>
      <c r="X26" s="0" t="n">
        <f aca="false">IF(COUNTIFS($A$2:A26,A26,$C$2:C26,C26)=1,ABS(SUMIFS(RAW_발주!$D:$D,RAW_발주!$C:$C,A26,RAW_발주!$A:$A,C26)-SUMIFS($W:$W,$A:$A,A26,$C:$C,C26)),0)</f>
        <v>0</v>
      </c>
    </row>
    <row r="27" customFormat="false" ht="15" hidden="false" customHeight="true" outlineLevel="0" collapsed="false">
      <c r="A27" s="45" t="s">
        <v>1667</v>
      </c>
      <c r="B27" s="42" t="str">
        <f aca="false">IF(A27="100","HK",IF(A27="200","CN",IF(A27="300","TW","홀세일")))</f>
        <v>홀세일</v>
      </c>
      <c r="C27" s="45" t="s">
        <v>140</v>
      </c>
      <c r="D27" s="46" t="n">
        <v>61</v>
      </c>
      <c r="E27" s="46" t="n">
        <v>149000</v>
      </c>
      <c r="F27" s="46" t="n">
        <v>35201</v>
      </c>
      <c r="G27" s="42" t="n">
        <v>3.61</v>
      </c>
      <c r="H27" s="42" t="n">
        <v>39.6</v>
      </c>
      <c r="J27" s="46" t="n">
        <f aca="false">IF(N(E27)&gt;0,E27,IF(N(F27)&gt;0,F27*요약!$F$27,0))</f>
        <v>149000</v>
      </c>
      <c r="K27" s="46" t="n">
        <f aca="false">IF(N(F27)&gt;0,F27,IF(N(E27)&gt;0,E27/요약!$F$27,0))</f>
        <v>35201</v>
      </c>
      <c r="L27" s="46" t="n">
        <f aca="false">IF(B27="CN",IF(N(I27)&gt;0,I27*요약!$G$27,K27*(1+요약!$E$27)),IF(N(H27)&gt;0,H27*요약!$G$27,J27*요약!$D$27))</f>
        <v>52272</v>
      </c>
      <c r="M27" s="46" t="n">
        <f aca="false">D27*J27</f>
        <v>9089000</v>
      </c>
      <c r="N27" s="46" t="n">
        <f aca="false">D27*K27</f>
        <v>2147261</v>
      </c>
      <c r="O27" s="46" t="n">
        <f aca="false">D27*L27</f>
        <v>3188592</v>
      </c>
      <c r="P27" s="42" t="str">
        <f aca="false">TRIM(IF(N(E27)&lt;=0,"택가보정 ","")&amp;IF(N(F27)&lt;=0,"원가보정 ","")&amp;IF(AND(B27&lt;&gt;"CN",N(H27)&lt;=0),"공급가보정 ","")&amp;IF(AND(B27="CN",N(I27)&lt;=0),"중국공급가=원가+마진 ",""))</f>
        <v/>
      </c>
      <c r="Q27" s="47" t="n">
        <f aca="false">IF(SUMIFS($W:$W,$A:$A,A27,$C:$C,C27)=0,0,SUMIFS(RAW_판매펀칭!$K:$K,RAW_판매펀칭!$P:$P,A27,RAW_판매펀칭!$I:$I,C27)*W27/SUMIFS($W:$W,$A:$A,A27,$C:$C,C27))</f>
        <v>61</v>
      </c>
      <c r="R27" s="47" t="n">
        <f aca="false">IF(OR(A27="500",A27="800",A27="810"),0,MAX(W27-Q27,0))</f>
        <v>0</v>
      </c>
      <c r="S27" s="47" t="n">
        <f aca="false">R27*L27</f>
        <v>0</v>
      </c>
      <c r="T27" s="47" t="n">
        <f aca="false">R27*J27</f>
        <v>0</v>
      </c>
      <c r="U27" s="47" t="n">
        <f aca="false">R27*K27</f>
        <v>0</v>
      </c>
      <c r="V27" s="0" t="str">
        <f aca="false">IF(COUNTIFS($A$2:A27,A27,$C$2:C27,C27,$D$2:D27,D27)&gt;1,"중복","")</f>
        <v/>
      </c>
      <c r="W27" s="0" t="n">
        <f aca="false">IF(V27="중복",0,N(D27))</f>
        <v>61</v>
      </c>
      <c r="X27" s="0" t="n">
        <f aca="false">IF(COUNTIFS($A$2:A27,A27,$C$2:C27,C27)=1,ABS(SUMIFS(RAW_발주!$D:$D,RAW_발주!$C:$C,A27,RAW_발주!$A:$A,C27)-SUMIFS($W:$W,$A:$A,A27,$C:$C,C27)),0)</f>
        <v>0</v>
      </c>
    </row>
    <row r="28" customFormat="false" ht="15" hidden="false" customHeight="true" outlineLevel="0" collapsed="false">
      <c r="A28" s="45" t="s">
        <v>1659</v>
      </c>
      <c r="B28" s="42" t="str">
        <f aca="false">IF(A28="100","HK",IF(A28="200","CN",IF(A28="300","TW","홀세일")))</f>
        <v>HK</v>
      </c>
      <c r="C28" s="45" t="s">
        <v>142</v>
      </c>
      <c r="D28" s="46" t="n">
        <v>200</v>
      </c>
      <c r="E28" s="46" t="n">
        <v>169000</v>
      </c>
      <c r="F28" s="46" t="n">
        <v>41159</v>
      </c>
      <c r="G28" s="42" t="n">
        <v>3.5</v>
      </c>
      <c r="H28" s="42" t="n">
        <v>44.9</v>
      </c>
      <c r="J28" s="46" t="n">
        <f aca="false">IF(N(E28)&gt;0,E28,IF(N(F28)&gt;0,F28*요약!$F$27,0))</f>
        <v>169000</v>
      </c>
      <c r="K28" s="46" t="n">
        <f aca="false">IF(N(F28)&gt;0,F28,IF(N(E28)&gt;0,E28/요약!$F$27,0))</f>
        <v>41159</v>
      </c>
      <c r="L28" s="46" t="n">
        <f aca="false">IF(B28="CN",IF(N(I28)&gt;0,I28*요약!$G$27,K28*(1+요약!$E$27)),IF(N(H28)&gt;0,H28*요약!$G$27,J28*요약!$D$27))</f>
        <v>59268</v>
      </c>
      <c r="M28" s="46" t="n">
        <f aca="false">D28*J28</f>
        <v>33800000</v>
      </c>
      <c r="N28" s="46" t="n">
        <f aca="false">D28*K28</f>
        <v>8231800</v>
      </c>
      <c r="O28" s="46" t="n">
        <f aca="false">D28*L28</f>
        <v>11853600</v>
      </c>
      <c r="P28" s="42" t="str">
        <f aca="false">TRIM(IF(N(E28)&lt;=0,"택가보정 ","")&amp;IF(N(F28)&lt;=0,"원가보정 ","")&amp;IF(AND(B28&lt;&gt;"CN",N(H28)&lt;=0),"공급가보정 ","")&amp;IF(AND(B28="CN",N(I28)&lt;=0),"중국공급가=원가+마진 ",""))</f>
        <v/>
      </c>
      <c r="Q28" s="47" t="n">
        <f aca="false">IF(SUMIFS($W:$W,$A:$A,A28,$C:$C,C28)=0,0,SUMIFS(RAW_판매펀칭!$K:$K,RAW_판매펀칭!$P:$P,A28,RAW_판매펀칭!$I:$I,C28)*W28/SUMIFS($W:$W,$A:$A,A28,$C:$C,C28))</f>
        <v>0</v>
      </c>
      <c r="R28" s="47" t="n">
        <f aca="false">IF(OR(A28="500",A28="800",A28="810"),0,MAX(W28-Q28,0))</f>
        <v>200</v>
      </c>
      <c r="S28" s="47" t="n">
        <f aca="false">R28*L28</f>
        <v>11853600</v>
      </c>
      <c r="T28" s="47" t="n">
        <f aca="false">R28*J28</f>
        <v>33800000</v>
      </c>
      <c r="U28" s="47" t="n">
        <f aca="false">R28*K28</f>
        <v>8231800</v>
      </c>
      <c r="V28" s="0" t="str">
        <f aca="false">IF(COUNTIFS($A$2:A28,A28,$C$2:C28,C28,$D$2:D28,D28)&gt;1,"중복","")</f>
        <v/>
      </c>
      <c r="W28" s="0" t="n">
        <f aca="false">IF(V28="중복",0,N(D28))</f>
        <v>200</v>
      </c>
      <c r="X28" s="0" t="n">
        <f aca="false">IF(COUNTIFS($A$2:A28,A28,$C$2:C28,C28)=1,ABS(SUMIFS(RAW_발주!$D:$D,RAW_발주!$C:$C,A28,RAW_발주!$A:$A,C28)-SUMIFS($W:$W,$A:$A,A28,$C:$C,C28)),0)</f>
        <v>0</v>
      </c>
    </row>
    <row r="29" customFormat="false" ht="15" hidden="false" customHeight="true" outlineLevel="0" collapsed="false">
      <c r="A29" s="45" t="s">
        <v>1661</v>
      </c>
      <c r="B29" s="42" t="str">
        <f aca="false">IF(A29="100","HK",IF(A29="200","CN",IF(A29="300","TW","홀세일")))</f>
        <v>TW</v>
      </c>
      <c r="C29" s="45" t="s">
        <v>142</v>
      </c>
      <c r="D29" s="46" t="n">
        <v>150</v>
      </c>
      <c r="E29" s="46" t="n">
        <v>169000</v>
      </c>
      <c r="F29" s="46" t="n">
        <v>41159</v>
      </c>
      <c r="G29" s="42" t="n">
        <v>3.5</v>
      </c>
      <c r="H29" s="42" t="n">
        <v>44.9</v>
      </c>
      <c r="J29" s="46" t="n">
        <f aca="false">IF(N(E29)&gt;0,E29,IF(N(F29)&gt;0,F29*요약!$F$27,0))</f>
        <v>169000</v>
      </c>
      <c r="K29" s="46" t="n">
        <f aca="false">IF(N(F29)&gt;0,F29,IF(N(E29)&gt;0,E29/요약!$F$27,0))</f>
        <v>41159</v>
      </c>
      <c r="L29" s="46" t="n">
        <f aca="false">IF(B29="CN",IF(N(I29)&gt;0,I29*요약!$G$27,K29*(1+요약!$E$27)),IF(N(H29)&gt;0,H29*요약!$G$27,J29*요약!$D$27))</f>
        <v>59268</v>
      </c>
      <c r="M29" s="46" t="n">
        <f aca="false">D29*J29</f>
        <v>25350000</v>
      </c>
      <c r="N29" s="46" t="n">
        <f aca="false">D29*K29</f>
        <v>6173850</v>
      </c>
      <c r="O29" s="46" t="n">
        <f aca="false">D29*L29</f>
        <v>8890200</v>
      </c>
      <c r="P29" s="42" t="str">
        <f aca="false">TRIM(IF(N(E29)&lt;=0,"택가보정 ","")&amp;IF(N(F29)&lt;=0,"원가보정 ","")&amp;IF(AND(B29&lt;&gt;"CN",N(H29)&lt;=0),"공급가보정 ","")&amp;IF(AND(B29="CN",N(I29)&lt;=0),"중국공급가=원가+마진 ",""))</f>
        <v/>
      </c>
      <c r="Q29" s="47" t="n">
        <f aca="false">IF(SUMIFS($W:$W,$A:$A,A29,$C:$C,C29)=0,0,SUMIFS(RAW_판매펀칭!$K:$K,RAW_판매펀칭!$P:$P,A29,RAW_판매펀칭!$I:$I,C29)*W29/SUMIFS($W:$W,$A:$A,A29,$C:$C,C29))</f>
        <v>150</v>
      </c>
      <c r="R29" s="47" t="n">
        <f aca="false">IF(OR(A29="500",A29="800",A29="810"),0,MAX(W29-Q29,0))</f>
        <v>0</v>
      </c>
      <c r="S29" s="47" t="n">
        <f aca="false">R29*L29</f>
        <v>0</v>
      </c>
      <c r="T29" s="47" t="n">
        <f aca="false">R29*J29</f>
        <v>0</v>
      </c>
      <c r="U29" s="47" t="n">
        <f aca="false">R29*K29</f>
        <v>0</v>
      </c>
      <c r="V29" s="0" t="str">
        <f aca="false">IF(COUNTIFS($A$2:A29,A29,$C$2:C29,C29,$D$2:D29,D29)&gt;1,"중복","")</f>
        <v/>
      </c>
      <c r="W29" s="0" t="n">
        <f aca="false">IF(V29="중복",0,N(D29))</f>
        <v>150</v>
      </c>
      <c r="X29" s="0" t="n">
        <f aca="false">IF(COUNTIFS($A$2:A29,A29,$C$2:C29,C29)=1,ABS(SUMIFS(RAW_발주!$D:$D,RAW_발주!$C:$C,A29,RAW_발주!$A:$A,C29)-SUMIFS($W:$W,$A:$A,A29,$C:$C,C29)),0)</f>
        <v>0</v>
      </c>
    </row>
    <row r="30" customFormat="false" ht="15" hidden="false" customHeight="true" outlineLevel="0" collapsed="false">
      <c r="A30" s="45" t="s">
        <v>1663</v>
      </c>
      <c r="B30" s="42" t="str">
        <f aca="false">IF(A30="100","HK",IF(A30="200","CN",IF(A30="300","TW","홀세일")))</f>
        <v>홀세일</v>
      </c>
      <c r="C30" s="45" t="s">
        <v>142</v>
      </c>
      <c r="D30" s="46" t="n">
        <v>30</v>
      </c>
      <c r="E30" s="46" t="n">
        <v>169000</v>
      </c>
      <c r="F30" s="46" t="n">
        <v>41159</v>
      </c>
      <c r="G30" s="42" t="n">
        <v>3.5</v>
      </c>
      <c r="H30" s="42" t="n">
        <v>44.9</v>
      </c>
      <c r="J30" s="46" t="n">
        <f aca="false">IF(N(E30)&gt;0,E30,IF(N(F30)&gt;0,F30*요약!$F$27,0))</f>
        <v>169000</v>
      </c>
      <c r="K30" s="46" t="n">
        <f aca="false">IF(N(F30)&gt;0,F30,IF(N(E30)&gt;0,E30/요약!$F$27,0))</f>
        <v>41159</v>
      </c>
      <c r="L30" s="46" t="n">
        <f aca="false">IF(B30="CN",IF(N(I30)&gt;0,I30*요약!$G$27,K30*(1+요약!$E$27)),IF(N(H30)&gt;0,H30*요약!$G$27,J30*요약!$D$27))</f>
        <v>59268</v>
      </c>
      <c r="M30" s="46" t="n">
        <f aca="false">D30*J30</f>
        <v>5070000</v>
      </c>
      <c r="N30" s="46" t="n">
        <f aca="false">D30*K30</f>
        <v>1234770</v>
      </c>
      <c r="O30" s="46" t="n">
        <f aca="false">D30*L30</f>
        <v>1778040</v>
      </c>
      <c r="P30" s="42" t="str">
        <f aca="false">TRIM(IF(N(E30)&lt;=0,"택가보정 ","")&amp;IF(N(F30)&lt;=0,"원가보정 ","")&amp;IF(AND(B30&lt;&gt;"CN",N(H30)&lt;=0),"공급가보정 ","")&amp;IF(AND(B30="CN",N(I30)&lt;=0),"중국공급가=원가+마진 ",""))</f>
        <v/>
      </c>
      <c r="Q30" s="47" t="n">
        <f aca="false">IF(SUMIFS($W:$W,$A:$A,A30,$C:$C,C30)=0,0,SUMIFS(RAW_판매펀칭!$K:$K,RAW_판매펀칭!$P:$P,A30,RAW_판매펀칭!$I:$I,C30)*W30/SUMIFS($W:$W,$A:$A,A30,$C:$C,C30))</f>
        <v>30</v>
      </c>
      <c r="R30" s="47" t="n">
        <f aca="false">IF(OR(A30="500",A30="800",A30="810"),0,MAX(W30-Q30,0))</f>
        <v>0</v>
      </c>
      <c r="S30" s="47" t="n">
        <f aca="false">R30*L30</f>
        <v>0</v>
      </c>
      <c r="T30" s="47" t="n">
        <f aca="false">R30*J30</f>
        <v>0</v>
      </c>
      <c r="U30" s="47" t="n">
        <f aca="false">R30*K30</f>
        <v>0</v>
      </c>
      <c r="V30" s="0" t="str">
        <f aca="false">IF(COUNTIFS($A$2:A30,A30,$C$2:C30,C30,$D$2:D30,D30)&gt;1,"중복","")</f>
        <v/>
      </c>
      <c r="W30" s="0" t="n">
        <f aca="false">IF(V30="중복",0,N(D30))</f>
        <v>30</v>
      </c>
      <c r="X30" s="0" t="n">
        <f aca="false">IF(COUNTIFS($A$2:A30,A30,$C$2:C30,C30)=1,ABS(SUMIFS(RAW_발주!$D:$D,RAW_발주!$C:$C,A30,RAW_발주!$A:$A,C30)-SUMIFS($W:$W,$A:$A,A30,$C:$C,C30)),0)</f>
        <v>0</v>
      </c>
    </row>
    <row r="31" customFormat="false" ht="15" hidden="false" customHeight="true" outlineLevel="0" collapsed="false">
      <c r="A31" s="45" t="s">
        <v>1667</v>
      </c>
      <c r="B31" s="42" t="str">
        <f aca="false">IF(A31="100","HK",IF(A31="200","CN",IF(A31="300","TW","홀세일")))</f>
        <v>홀세일</v>
      </c>
      <c r="C31" s="45" t="s">
        <v>142</v>
      </c>
      <c r="D31" s="46" t="n">
        <v>162</v>
      </c>
      <c r="E31" s="46" t="n">
        <v>169000</v>
      </c>
      <c r="F31" s="46" t="n">
        <v>41159</v>
      </c>
      <c r="G31" s="42" t="n">
        <v>3.5</v>
      </c>
      <c r="H31" s="42" t="n">
        <v>44.9</v>
      </c>
      <c r="J31" s="46" t="n">
        <f aca="false">IF(N(E31)&gt;0,E31,IF(N(F31)&gt;0,F31*요약!$F$27,0))</f>
        <v>169000</v>
      </c>
      <c r="K31" s="46" t="n">
        <f aca="false">IF(N(F31)&gt;0,F31,IF(N(E31)&gt;0,E31/요약!$F$27,0))</f>
        <v>41159</v>
      </c>
      <c r="L31" s="46" t="n">
        <f aca="false">IF(B31="CN",IF(N(I31)&gt;0,I31*요약!$G$27,K31*(1+요약!$E$27)),IF(N(H31)&gt;0,H31*요약!$G$27,J31*요약!$D$27))</f>
        <v>59268</v>
      </c>
      <c r="M31" s="46" t="n">
        <f aca="false">D31*J31</f>
        <v>27378000</v>
      </c>
      <c r="N31" s="46" t="n">
        <f aca="false">D31*K31</f>
        <v>6667758</v>
      </c>
      <c r="O31" s="46" t="n">
        <f aca="false">D31*L31</f>
        <v>9601416</v>
      </c>
      <c r="P31" s="42" t="str">
        <f aca="false">TRIM(IF(N(E31)&lt;=0,"택가보정 ","")&amp;IF(N(F31)&lt;=0,"원가보정 ","")&amp;IF(AND(B31&lt;&gt;"CN",N(H31)&lt;=0),"공급가보정 ","")&amp;IF(AND(B31="CN",N(I31)&lt;=0),"중국공급가=원가+마진 ",""))</f>
        <v/>
      </c>
      <c r="Q31" s="47" t="n">
        <f aca="false">IF(SUMIFS($W:$W,$A:$A,A31,$C:$C,C31)=0,0,SUMIFS(RAW_판매펀칭!$K:$K,RAW_판매펀칭!$P:$P,A31,RAW_판매펀칭!$I:$I,C31)*W31/SUMIFS($W:$W,$A:$A,A31,$C:$C,C31))</f>
        <v>162</v>
      </c>
      <c r="R31" s="47" t="n">
        <f aca="false">IF(OR(A31="500",A31="800",A31="810"),0,MAX(W31-Q31,0))</f>
        <v>0</v>
      </c>
      <c r="S31" s="47" t="n">
        <f aca="false">R31*L31</f>
        <v>0</v>
      </c>
      <c r="T31" s="47" t="n">
        <f aca="false">R31*J31</f>
        <v>0</v>
      </c>
      <c r="U31" s="47" t="n">
        <f aca="false">R31*K31</f>
        <v>0</v>
      </c>
      <c r="V31" s="0" t="str">
        <f aca="false">IF(COUNTIFS($A$2:A31,A31,$C$2:C31,C31,$D$2:D31,D31)&gt;1,"중복","")</f>
        <v/>
      </c>
      <c r="W31" s="0" t="n">
        <f aca="false">IF(V31="중복",0,N(D31))</f>
        <v>162</v>
      </c>
      <c r="X31" s="0" t="n">
        <f aca="false">IF(COUNTIFS($A$2:A31,A31,$C$2:C31,C31)=1,ABS(SUMIFS(RAW_발주!$D:$D,RAW_발주!$C:$C,A31,RAW_발주!$A:$A,C31)-SUMIFS($W:$W,$A:$A,A31,$C:$C,C31)),0)</f>
        <v>0</v>
      </c>
    </row>
    <row r="32" customFormat="false" ht="15" hidden="false" customHeight="true" outlineLevel="0" collapsed="false">
      <c r="A32" s="45" t="s">
        <v>1664</v>
      </c>
      <c r="B32" s="42" t="str">
        <f aca="false">IF(A32="100","HK",IF(A32="200","CN",IF(A32="300","TW","홀세일")))</f>
        <v>홀세일</v>
      </c>
      <c r="C32" s="45" t="s">
        <v>142</v>
      </c>
      <c r="D32" s="46" t="n">
        <v>25</v>
      </c>
      <c r="E32" s="46" t="n">
        <v>169000</v>
      </c>
      <c r="F32" s="46" t="n">
        <v>41159</v>
      </c>
      <c r="G32" s="42" t="n">
        <v>3.5</v>
      </c>
      <c r="H32" s="42" t="n">
        <v>44.9</v>
      </c>
      <c r="J32" s="46" t="n">
        <f aca="false">IF(N(E32)&gt;0,E32,IF(N(F32)&gt;0,F32*요약!$F$27,0))</f>
        <v>169000</v>
      </c>
      <c r="K32" s="46" t="n">
        <f aca="false">IF(N(F32)&gt;0,F32,IF(N(E32)&gt;0,E32/요약!$F$27,0))</f>
        <v>41159</v>
      </c>
      <c r="L32" s="46" t="n">
        <f aca="false">IF(B32="CN",IF(N(I32)&gt;0,I32*요약!$G$27,K32*(1+요약!$E$27)),IF(N(H32)&gt;0,H32*요약!$G$27,J32*요약!$D$27))</f>
        <v>59268</v>
      </c>
      <c r="M32" s="46" t="n">
        <f aca="false">D32*J32</f>
        <v>4225000</v>
      </c>
      <c r="N32" s="46" t="n">
        <f aca="false">D32*K32</f>
        <v>1028975</v>
      </c>
      <c r="O32" s="46" t="n">
        <f aca="false">D32*L32</f>
        <v>1481700</v>
      </c>
      <c r="P32" s="42" t="str">
        <f aca="false">TRIM(IF(N(E32)&lt;=0,"택가보정 ","")&amp;IF(N(F32)&lt;=0,"원가보정 ","")&amp;IF(AND(B32&lt;&gt;"CN",N(H32)&lt;=0),"공급가보정 ","")&amp;IF(AND(B32="CN",N(I32)&lt;=0),"중국공급가=원가+마진 ",""))</f>
        <v/>
      </c>
      <c r="Q32" s="47" t="n">
        <f aca="false">IF(SUMIFS($W:$W,$A:$A,A32,$C:$C,C32)=0,0,SUMIFS(RAW_판매펀칭!$K:$K,RAW_판매펀칭!$P:$P,A32,RAW_판매펀칭!$I:$I,C32)*W32/SUMIFS($W:$W,$A:$A,A32,$C:$C,C32))</f>
        <v>25</v>
      </c>
      <c r="R32" s="47" t="n">
        <f aca="false">IF(OR(A32="500",A32="800",A32="810"),0,MAX(W32-Q32,0))</f>
        <v>0</v>
      </c>
      <c r="S32" s="47" t="n">
        <f aca="false">R32*L32</f>
        <v>0</v>
      </c>
      <c r="T32" s="47" t="n">
        <f aca="false">R32*J32</f>
        <v>0</v>
      </c>
      <c r="U32" s="47" t="n">
        <f aca="false">R32*K32</f>
        <v>0</v>
      </c>
      <c r="V32" s="0" t="str">
        <f aca="false">IF(COUNTIFS($A$2:A32,A32,$C$2:C32,C32,$D$2:D32,D32)&gt;1,"중복","")</f>
        <v/>
      </c>
      <c r="W32" s="0" t="n">
        <f aca="false">IF(V32="중복",0,N(D32))</f>
        <v>25</v>
      </c>
      <c r="X32" s="0" t="n">
        <f aca="false">IF(COUNTIFS($A$2:A32,A32,$C$2:C32,C32)=1,ABS(SUMIFS(RAW_발주!$D:$D,RAW_발주!$C:$C,A32,RAW_발주!$A:$A,C32)-SUMIFS($W:$W,$A:$A,A32,$C:$C,C32)),0)</f>
        <v>0</v>
      </c>
    </row>
    <row r="33" customFormat="false" ht="15" hidden="false" customHeight="true" outlineLevel="0" collapsed="false">
      <c r="A33" s="45" t="s">
        <v>1665</v>
      </c>
      <c r="B33" s="42" t="str">
        <f aca="false">IF(A33="100","HK",IF(A33="200","CN",IF(A33="300","TW","홀세일")))</f>
        <v>홀세일</v>
      </c>
      <c r="C33" s="45" t="s">
        <v>142</v>
      </c>
      <c r="D33" s="46" t="n">
        <v>36</v>
      </c>
      <c r="E33" s="46" t="n">
        <v>169000</v>
      </c>
      <c r="F33" s="46" t="n">
        <v>41159</v>
      </c>
      <c r="G33" s="42" t="n">
        <v>3.5</v>
      </c>
      <c r="H33" s="42" t="n">
        <v>44.9</v>
      </c>
      <c r="J33" s="46" t="n">
        <f aca="false">IF(N(E33)&gt;0,E33,IF(N(F33)&gt;0,F33*요약!$F$27,0))</f>
        <v>169000</v>
      </c>
      <c r="K33" s="46" t="n">
        <f aca="false">IF(N(F33)&gt;0,F33,IF(N(E33)&gt;0,E33/요약!$F$27,0))</f>
        <v>41159</v>
      </c>
      <c r="L33" s="46" t="n">
        <f aca="false">IF(B33="CN",IF(N(I33)&gt;0,I33*요약!$G$27,K33*(1+요약!$E$27)),IF(N(H33)&gt;0,H33*요약!$G$27,J33*요약!$D$27))</f>
        <v>59268</v>
      </c>
      <c r="M33" s="46" t="n">
        <f aca="false">D33*J33</f>
        <v>6084000</v>
      </c>
      <c r="N33" s="46" t="n">
        <f aca="false">D33*K33</f>
        <v>1481724</v>
      </c>
      <c r="O33" s="46" t="n">
        <f aca="false">D33*L33</f>
        <v>2133648</v>
      </c>
      <c r="P33" s="42" t="str">
        <f aca="false">TRIM(IF(N(E33)&lt;=0,"택가보정 ","")&amp;IF(N(F33)&lt;=0,"원가보정 ","")&amp;IF(AND(B33&lt;&gt;"CN",N(H33)&lt;=0),"공급가보정 ","")&amp;IF(AND(B33="CN",N(I33)&lt;=0),"중국공급가=원가+마진 ",""))</f>
        <v/>
      </c>
      <c r="Q33" s="47" t="n">
        <f aca="false">IF(SUMIFS($W:$W,$A:$A,A33,$C:$C,C33)=0,0,SUMIFS(RAW_판매펀칭!$K:$K,RAW_판매펀칭!$P:$P,A33,RAW_판매펀칭!$I:$I,C33)*W33/SUMIFS($W:$W,$A:$A,A33,$C:$C,C33))</f>
        <v>36</v>
      </c>
      <c r="R33" s="47" t="n">
        <f aca="false">IF(OR(A33="500",A33="800",A33="810"),0,MAX(W33-Q33,0))</f>
        <v>0</v>
      </c>
      <c r="S33" s="47" t="n">
        <f aca="false">R33*L33</f>
        <v>0</v>
      </c>
      <c r="T33" s="47" t="n">
        <f aca="false">R33*J33</f>
        <v>0</v>
      </c>
      <c r="U33" s="47" t="n">
        <f aca="false">R33*K33</f>
        <v>0</v>
      </c>
      <c r="V33" s="0" t="str">
        <f aca="false">IF(COUNTIFS($A$2:A33,A33,$C$2:C33,C33,$D$2:D33,D33)&gt;1,"중복","")</f>
        <v/>
      </c>
      <c r="W33" s="0" t="n">
        <f aca="false">IF(V33="중복",0,N(D33))</f>
        <v>36</v>
      </c>
      <c r="X33" s="0" t="n">
        <f aca="false">IF(COUNTIFS($A$2:A33,A33,$C$2:C33,C33)=1,ABS(SUMIFS(RAW_발주!$D:$D,RAW_발주!$C:$C,A33,RAW_발주!$A:$A,C33)-SUMIFS($W:$W,$A:$A,A33,$C:$C,C33)),0)</f>
        <v>0</v>
      </c>
    </row>
    <row r="34" customFormat="false" ht="15" hidden="false" customHeight="true" outlineLevel="0" collapsed="false">
      <c r="A34" s="45" t="s">
        <v>1666</v>
      </c>
      <c r="B34" s="42" t="str">
        <f aca="false">IF(A34="100","HK",IF(A34="200","CN",IF(A34="300","TW","홀세일")))</f>
        <v>홀세일</v>
      </c>
      <c r="C34" s="45" t="s">
        <v>142</v>
      </c>
      <c r="D34" s="46" t="n">
        <v>30</v>
      </c>
      <c r="E34" s="46" t="n">
        <v>169000</v>
      </c>
      <c r="F34" s="46" t="n">
        <v>41159</v>
      </c>
      <c r="G34" s="42" t="n">
        <v>3.5</v>
      </c>
      <c r="H34" s="42" t="n">
        <v>44.9</v>
      </c>
      <c r="J34" s="46" t="n">
        <f aca="false">IF(N(E34)&gt;0,E34,IF(N(F34)&gt;0,F34*요약!$F$27,0))</f>
        <v>169000</v>
      </c>
      <c r="K34" s="46" t="n">
        <f aca="false">IF(N(F34)&gt;0,F34,IF(N(E34)&gt;0,E34/요약!$F$27,0))</f>
        <v>41159</v>
      </c>
      <c r="L34" s="46" t="n">
        <f aca="false">IF(B34="CN",IF(N(I34)&gt;0,I34*요약!$G$27,K34*(1+요약!$E$27)),IF(N(H34)&gt;0,H34*요약!$G$27,J34*요약!$D$27))</f>
        <v>59268</v>
      </c>
      <c r="M34" s="46" t="n">
        <f aca="false">D34*J34</f>
        <v>5070000</v>
      </c>
      <c r="N34" s="46" t="n">
        <f aca="false">D34*K34</f>
        <v>1234770</v>
      </c>
      <c r="O34" s="46" t="n">
        <f aca="false">D34*L34</f>
        <v>1778040</v>
      </c>
      <c r="P34" s="42" t="str">
        <f aca="false">TRIM(IF(N(E34)&lt;=0,"택가보정 ","")&amp;IF(N(F34)&lt;=0,"원가보정 ","")&amp;IF(AND(B34&lt;&gt;"CN",N(H34)&lt;=0),"공급가보정 ","")&amp;IF(AND(B34="CN",N(I34)&lt;=0),"중국공급가=원가+마진 ",""))</f>
        <v/>
      </c>
      <c r="Q34" s="47" t="n">
        <f aca="false">IF(SUMIFS($W:$W,$A:$A,A34,$C:$C,C34)=0,0,SUMIFS(RAW_판매펀칭!$K:$K,RAW_판매펀칭!$P:$P,A34,RAW_판매펀칭!$I:$I,C34)*W34/SUMIFS($W:$W,$A:$A,A34,$C:$C,C34))</f>
        <v>30</v>
      </c>
      <c r="R34" s="47" t="n">
        <f aca="false">IF(OR(A34="500",A34="800",A34="810"),0,MAX(W34-Q34,0))</f>
        <v>0</v>
      </c>
      <c r="S34" s="47" t="n">
        <f aca="false">R34*L34</f>
        <v>0</v>
      </c>
      <c r="T34" s="47" t="n">
        <f aca="false">R34*J34</f>
        <v>0</v>
      </c>
      <c r="U34" s="47" t="n">
        <f aca="false">R34*K34</f>
        <v>0</v>
      </c>
      <c r="V34" s="0" t="str">
        <f aca="false">IF(COUNTIFS($A$2:A34,A34,$C$2:C34,C34,$D$2:D34,D34)&gt;1,"중복","")</f>
        <v/>
      </c>
      <c r="W34" s="0" t="n">
        <f aca="false">IF(V34="중복",0,N(D34))</f>
        <v>30</v>
      </c>
      <c r="X34" s="0" t="n">
        <f aca="false">IF(COUNTIFS($A$2:A34,A34,$C$2:C34,C34)=1,ABS(SUMIFS(RAW_발주!$D:$D,RAW_발주!$C:$C,A34,RAW_발주!$A:$A,C34)-SUMIFS($W:$W,$A:$A,A34,$C:$C,C34)),0)</f>
        <v>0</v>
      </c>
    </row>
    <row r="35" customFormat="false" ht="15" hidden="false" customHeight="true" outlineLevel="0" collapsed="false">
      <c r="A35" s="45" t="s">
        <v>1659</v>
      </c>
      <c r="B35" s="42" t="str">
        <f aca="false">IF(A35="100","HK",IF(A35="200","CN",IF(A35="300","TW","홀세일")))</f>
        <v>HK</v>
      </c>
      <c r="C35" s="45" t="s">
        <v>144</v>
      </c>
      <c r="D35" s="46" t="n">
        <v>180</v>
      </c>
      <c r="E35" s="46" t="n">
        <v>169000</v>
      </c>
      <c r="F35" s="46" t="n">
        <v>39058</v>
      </c>
      <c r="G35" s="42" t="n">
        <v>3.68</v>
      </c>
      <c r="H35" s="42" t="n">
        <v>44.9</v>
      </c>
      <c r="J35" s="46" t="n">
        <f aca="false">IF(N(E35)&gt;0,E35,IF(N(F35)&gt;0,F35*요약!$F$27,0))</f>
        <v>169000</v>
      </c>
      <c r="K35" s="46" t="n">
        <f aca="false">IF(N(F35)&gt;0,F35,IF(N(E35)&gt;0,E35/요약!$F$27,0))</f>
        <v>39058</v>
      </c>
      <c r="L35" s="46" t="n">
        <f aca="false">IF(B35="CN",IF(N(I35)&gt;0,I35*요약!$G$27,K35*(1+요약!$E$27)),IF(N(H35)&gt;0,H35*요약!$G$27,J35*요약!$D$27))</f>
        <v>59268</v>
      </c>
      <c r="M35" s="46" t="n">
        <f aca="false">D35*J35</f>
        <v>30420000</v>
      </c>
      <c r="N35" s="46" t="n">
        <f aca="false">D35*K35</f>
        <v>7030440</v>
      </c>
      <c r="O35" s="46" t="n">
        <f aca="false">D35*L35</f>
        <v>10668240</v>
      </c>
      <c r="P35" s="42" t="str">
        <f aca="false">TRIM(IF(N(E35)&lt;=0,"택가보정 ","")&amp;IF(N(F35)&lt;=0,"원가보정 ","")&amp;IF(AND(B35&lt;&gt;"CN",N(H35)&lt;=0),"공급가보정 ","")&amp;IF(AND(B35="CN",N(I35)&lt;=0),"중국공급가=원가+마진 ",""))</f>
        <v/>
      </c>
      <c r="Q35" s="47" t="n">
        <f aca="false">IF(SUMIFS($W:$W,$A:$A,A35,$C:$C,C35)=0,0,SUMIFS(RAW_판매펀칭!$K:$K,RAW_판매펀칭!$P:$P,A35,RAW_판매펀칭!$I:$I,C35)*W35/SUMIFS($W:$W,$A:$A,A35,$C:$C,C35))</f>
        <v>0</v>
      </c>
      <c r="R35" s="47" t="n">
        <f aca="false">IF(OR(A35="500",A35="800",A35="810"),0,MAX(W35-Q35,0))</f>
        <v>180</v>
      </c>
      <c r="S35" s="47" t="n">
        <f aca="false">R35*L35</f>
        <v>10668240</v>
      </c>
      <c r="T35" s="47" t="n">
        <f aca="false">R35*J35</f>
        <v>30420000</v>
      </c>
      <c r="U35" s="47" t="n">
        <f aca="false">R35*K35</f>
        <v>7030440</v>
      </c>
      <c r="V35" s="0" t="str">
        <f aca="false">IF(COUNTIFS($A$2:A35,A35,$C$2:C35,C35,$D$2:D35,D35)&gt;1,"중복","")</f>
        <v/>
      </c>
      <c r="W35" s="0" t="n">
        <f aca="false">IF(V35="중복",0,N(D35))</f>
        <v>180</v>
      </c>
      <c r="X35" s="0" t="n">
        <f aca="false">IF(COUNTIFS($A$2:A35,A35,$C$2:C35,C35)=1,ABS(SUMIFS(RAW_발주!$D:$D,RAW_발주!$C:$C,A35,RAW_발주!$A:$A,C35)-SUMIFS($W:$W,$A:$A,A35,$C:$C,C35)),0)</f>
        <v>0</v>
      </c>
    </row>
    <row r="36" customFormat="false" ht="15" hidden="false" customHeight="true" outlineLevel="0" collapsed="false">
      <c r="A36" s="45" t="s">
        <v>1661</v>
      </c>
      <c r="B36" s="42" t="str">
        <f aca="false">IF(A36="100","HK",IF(A36="200","CN",IF(A36="300","TW","홀세일")))</f>
        <v>TW</v>
      </c>
      <c r="C36" s="45" t="s">
        <v>144</v>
      </c>
      <c r="D36" s="46" t="n">
        <v>80</v>
      </c>
      <c r="E36" s="46" t="n">
        <v>169000</v>
      </c>
      <c r="F36" s="46" t="n">
        <v>39058</v>
      </c>
      <c r="G36" s="42" t="n">
        <v>3.68</v>
      </c>
      <c r="H36" s="42" t="n">
        <v>44.9</v>
      </c>
      <c r="J36" s="46" t="n">
        <f aca="false">IF(N(E36)&gt;0,E36,IF(N(F36)&gt;0,F36*요약!$F$27,0))</f>
        <v>169000</v>
      </c>
      <c r="K36" s="46" t="n">
        <f aca="false">IF(N(F36)&gt;0,F36,IF(N(E36)&gt;0,E36/요약!$F$27,0))</f>
        <v>39058</v>
      </c>
      <c r="L36" s="46" t="n">
        <f aca="false">IF(B36="CN",IF(N(I36)&gt;0,I36*요약!$G$27,K36*(1+요약!$E$27)),IF(N(H36)&gt;0,H36*요약!$G$27,J36*요약!$D$27))</f>
        <v>59268</v>
      </c>
      <c r="M36" s="46" t="n">
        <f aca="false">D36*J36</f>
        <v>13520000</v>
      </c>
      <c r="N36" s="46" t="n">
        <f aca="false">D36*K36</f>
        <v>3124640</v>
      </c>
      <c r="O36" s="46" t="n">
        <f aca="false">D36*L36</f>
        <v>4741440</v>
      </c>
      <c r="P36" s="42" t="str">
        <f aca="false">TRIM(IF(N(E36)&lt;=0,"택가보정 ","")&amp;IF(N(F36)&lt;=0,"원가보정 ","")&amp;IF(AND(B36&lt;&gt;"CN",N(H36)&lt;=0),"공급가보정 ","")&amp;IF(AND(B36="CN",N(I36)&lt;=0),"중국공급가=원가+마진 ",""))</f>
        <v/>
      </c>
      <c r="Q36" s="47" t="n">
        <f aca="false">IF(SUMIFS($W:$W,$A:$A,A36,$C:$C,C36)=0,0,SUMIFS(RAW_판매펀칭!$K:$K,RAW_판매펀칭!$P:$P,A36,RAW_판매펀칭!$I:$I,C36)*W36/SUMIFS($W:$W,$A:$A,A36,$C:$C,C36))</f>
        <v>230</v>
      </c>
      <c r="R36" s="47" t="n">
        <f aca="false">IF(OR(A36="500",A36="800",A36="810"),0,MAX(W36-Q36,0))</f>
        <v>0</v>
      </c>
      <c r="S36" s="47" t="n">
        <f aca="false">R36*L36</f>
        <v>0</v>
      </c>
      <c r="T36" s="47" t="n">
        <f aca="false">R36*J36</f>
        <v>0</v>
      </c>
      <c r="U36" s="47" t="n">
        <f aca="false">R36*K36</f>
        <v>0</v>
      </c>
      <c r="V36" s="0" t="str">
        <f aca="false">IF(COUNTIFS($A$2:A36,A36,$C$2:C36,C36,$D$2:D36,D36)&gt;1,"중복","")</f>
        <v/>
      </c>
      <c r="W36" s="0" t="n">
        <f aca="false">IF(V36="중복",0,N(D36))</f>
        <v>80</v>
      </c>
      <c r="X36" s="0" t="n">
        <f aca="false">IF(COUNTIFS($A$2:A36,A36,$C$2:C36,C36)=1,ABS(SUMIFS(RAW_발주!$D:$D,RAW_발주!$C:$C,A36,RAW_발주!$A:$A,C36)-SUMIFS($W:$W,$A:$A,A36,$C:$C,C36)),0)</f>
        <v>0</v>
      </c>
    </row>
    <row r="37" customFormat="false" ht="15" hidden="false" customHeight="true" outlineLevel="0" collapsed="false">
      <c r="A37" s="45" t="s">
        <v>1662</v>
      </c>
      <c r="B37" s="42" t="str">
        <f aca="false">IF(A37="100","HK",IF(A37="200","CN",IF(A37="300","TW","홀세일")))</f>
        <v>홀세일</v>
      </c>
      <c r="C37" s="45" t="s">
        <v>144</v>
      </c>
      <c r="D37" s="46" t="n">
        <v>30</v>
      </c>
      <c r="E37" s="46" t="n">
        <v>169000</v>
      </c>
      <c r="F37" s="46" t="n">
        <v>39058</v>
      </c>
      <c r="G37" s="42" t="n">
        <v>3.68</v>
      </c>
      <c r="H37" s="42" t="n">
        <v>44.9</v>
      </c>
      <c r="J37" s="46" t="n">
        <f aca="false">IF(N(E37)&gt;0,E37,IF(N(F37)&gt;0,F37*요약!$F$27,0))</f>
        <v>169000</v>
      </c>
      <c r="K37" s="46" t="n">
        <f aca="false">IF(N(F37)&gt;0,F37,IF(N(E37)&gt;0,E37/요약!$F$27,0))</f>
        <v>39058</v>
      </c>
      <c r="L37" s="46" t="n">
        <f aca="false">IF(B37="CN",IF(N(I37)&gt;0,I37*요약!$G$27,K37*(1+요약!$E$27)),IF(N(H37)&gt;0,H37*요약!$G$27,J37*요약!$D$27))</f>
        <v>59268</v>
      </c>
      <c r="M37" s="46" t="n">
        <f aca="false">D37*J37</f>
        <v>5070000</v>
      </c>
      <c r="N37" s="46" t="n">
        <f aca="false">D37*K37</f>
        <v>1171740</v>
      </c>
      <c r="O37" s="46" t="n">
        <f aca="false">D37*L37</f>
        <v>1778040</v>
      </c>
      <c r="P37" s="42" t="str">
        <f aca="false">TRIM(IF(N(E37)&lt;=0,"택가보정 ","")&amp;IF(N(F37)&lt;=0,"원가보정 ","")&amp;IF(AND(B37&lt;&gt;"CN",N(H37)&lt;=0),"공급가보정 ","")&amp;IF(AND(B37="CN",N(I37)&lt;=0),"중국공급가=원가+마진 ",""))</f>
        <v/>
      </c>
      <c r="Q37" s="47" t="n">
        <f aca="false">IF(SUMIFS($W:$W,$A:$A,A37,$C:$C,C37)=0,0,SUMIFS(RAW_판매펀칭!$K:$K,RAW_판매펀칭!$P:$P,A37,RAW_판매펀칭!$I:$I,C37)*W37/SUMIFS($W:$W,$A:$A,A37,$C:$C,C37))</f>
        <v>0</v>
      </c>
      <c r="R37" s="47" t="n">
        <f aca="false">IF(OR(A37="500",A37="800",A37="810"),0,MAX(W37-Q37,0))</f>
        <v>0</v>
      </c>
      <c r="S37" s="47" t="n">
        <f aca="false">R37*L37</f>
        <v>0</v>
      </c>
      <c r="T37" s="47" t="n">
        <f aca="false">R37*J37</f>
        <v>0</v>
      </c>
      <c r="U37" s="47" t="n">
        <f aca="false">R37*K37</f>
        <v>0</v>
      </c>
      <c r="V37" s="0" t="str">
        <f aca="false">IF(COUNTIFS($A$2:A37,A37,$C$2:C37,C37,$D$2:D37,D37)&gt;1,"중복","")</f>
        <v/>
      </c>
      <c r="W37" s="0" t="n">
        <f aca="false">IF(V37="중복",0,N(D37))</f>
        <v>30</v>
      </c>
      <c r="X37" s="0" t="n">
        <f aca="false">IF(COUNTIFS($A$2:A37,A37,$C$2:C37,C37)=1,ABS(SUMIFS(RAW_발주!$D:$D,RAW_발주!$C:$C,A37,RAW_발주!$A:$A,C37)-SUMIFS($W:$W,$A:$A,A37,$C:$C,C37)),0)</f>
        <v>0</v>
      </c>
    </row>
    <row r="38" customFormat="false" ht="15" hidden="false" customHeight="true" outlineLevel="0" collapsed="false">
      <c r="A38" s="45" t="s">
        <v>1663</v>
      </c>
      <c r="B38" s="42" t="str">
        <f aca="false">IF(A38="100","HK",IF(A38="200","CN",IF(A38="300","TW","홀세일")))</f>
        <v>홀세일</v>
      </c>
      <c r="C38" s="45" t="s">
        <v>144</v>
      </c>
      <c r="D38" s="46" t="n">
        <v>15</v>
      </c>
      <c r="E38" s="46" t="n">
        <v>169000</v>
      </c>
      <c r="F38" s="46" t="n">
        <v>39058</v>
      </c>
      <c r="G38" s="42" t="n">
        <v>3.68</v>
      </c>
      <c r="H38" s="42" t="n">
        <v>44.9</v>
      </c>
      <c r="J38" s="46" t="n">
        <f aca="false">IF(N(E38)&gt;0,E38,IF(N(F38)&gt;0,F38*요약!$F$27,0))</f>
        <v>169000</v>
      </c>
      <c r="K38" s="46" t="n">
        <f aca="false">IF(N(F38)&gt;0,F38,IF(N(E38)&gt;0,E38/요약!$F$27,0))</f>
        <v>39058</v>
      </c>
      <c r="L38" s="46" t="n">
        <f aca="false">IF(B38="CN",IF(N(I38)&gt;0,I38*요약!$G$27,K38*(1+요약!$E$27)),IF(N(H38)&gt;0,H38*요약!$G$27,J38*요약!$D$27))</f>
        <v>59268</v>
      </c>
      <c r="M38" s="46" t="n">
        <f aca="false">D38*J38</f>
        <v>2535000</v>
      </c>
      <c r="N38" s="46" t="n">
        <f aca="false">D38*K38</f>
        <v>585870</v>
      </c>
      <c r="O38" s="46" t="n">
        <f aca="false">D38*L38</f>
        <v>889020</v>
      </c>
      <c r="P38" s="42" t="str">
        <f aca="false">TRIM(IF(N(E38)&lt;=0,"택가보정 ","")&amp;IF(N(F38)&lt;=0,"원가보정 ","")&amp;IF(AND(B38&lt;&gt;"CN",N(H38)&lt;=0),"공급가보정 ","")&amp;IF(AND(B38="CN",N(I38)&lt;=0),"중국공급가=원가+마진 ",""))</f>
        <v/>
      </c>
      <c r="Q38" s="47" t="n">
        <f aca="false">IF(SUMIFS($W:$W,$A:$A,A38,$C:$C,C38)=0,0,SUMIFS(RAW_판매펀칭!$K:$K,RAW_판매펀칭!$P:$P,A38,RAW_판매펀칭!$I:$I,C38)*W38/SUMIFS($W:$W,$A:$A,A38,$C:$C,C38))</f>
        <v>15</v>
      </c>
      <c r="R38" s="47" t="n">
        <f aca="false">IF(OR(A38="500",A38="800",A38="810"),0,MAX(W38-Q38,0))</f>
        <v>0</v>
      </c>
      <c r="S38" s="47" t="n">
        <f aca="false">R38*L38</f>
        <v>0</v>
      </c>
      <c r="T38" s="47" t="n">
        <f aca="false">R38*J38</f>
        <v>0</v>
      </c>
      <c r="U38" s="47" t="n">
        <f aca="false">R38*K38</f>
        <v>0</v>
      </c>
      <c r="V38" s="0" t="str">
        <f aca="false">IF(COUNTIFS($A$2:A38,A38,$C$2:C38,C38,$D$2:D38,D38)&gt;1,"중복","")</f>
        <v/>
      </c>
      <c r="W38" s="0" t="n">
        <f aca="false">IF(V38="중복",0,N(D38))</f>
        <v>15</v>
      </c>
      <c r="X38" s="0" t="n">
        <f aca="false">IF(COUNTIFS($A$2:A38,A38,$C$2:C38,C38)=1,ABS(SUMIFS(RAW_발주!$D:$D,RAW_발주!$C:$C,A38,RAW_발주!$A:$A,C38)-SUMIFS($W:$W,$A:$A,A38,$C:$C,C38)),0)</f>
        <v>0</v>
      </c>
    </row>
    <row r="39" customFormat="false" ht="15" hidden="false" customHeight="true" outlineLevel="0" collapsed="false">
      <c r="A39" s="45" t="s">
        <v>1667</v>
      </c>
      <c r="B39" s="42" t="str">
        <f aca="false">IF(A39="100","HK",IF(A39="200","CN",IF(A39="300","TW","홀세일")))</f>
        <v>홀세일</v>
      </c>
      <c r="C39" s="45" t="s">
        <v>144</v>
      </c>
      <c r="D39" s="46" t="n">
        <v>122</v>
      </c>
      <c r="E39" s="46" t="n">
        <v>169000</v>
      </c>
      <c r="F39" s="46" t="n">
        <v>39058</v>
      </c>
      <c r="G39" s="42" t="n">
        <v>3.68</v>
      </c>
      <c r="H39" s="42" t="n">
        <v>44.9</v>
      </c>
      <c r="J39" s="46" t="n">
        <f aca="false">IF(N(E39)&gt;0,E39,IF(N(F39)&gt;0,F39*요약!$F$27,0))</f>
        <v>169000</v>
      </c>
      <c r="K39" s="46" t="n">
        <f aca="false">IF(N(F39)&gt;0,F39,IF(N(E39)&gt;0,E39/요약!$F$27,0))</f>
        <v>39058</v>
      </c>
      <c r="L39" s="46" t="n">
        <f aca="false">IF(B39="CN",IF(N(I39)&gt;0,I39*요약!$G$27,K39*(1+요약!$E$27)),IF(N(H39)&gt;0,H39*요약!$G$27,J39*요약!$D$27))</f>
        <v>59268</v>
      </c>
      <c r="M39" s="46" t="n">
        <f aca="false">D39*J39</f>
        <v>20618000</v>
      </c>
      <c r="N39" s="46" t="n">
        <f aca="false">D39*K39</f>
        <v>4765076</v>
      </c>
      <c r="O39" s="46" t="n">
        <f aca="false">D39*L39</f>
        <v>7230696</v>
      </c>
      <c r="P39" s="42" t="str">
        <f aca="false">TRIM(IF(N(E39)&lt;=0,"택가보정 ","")&amp;IF(N(F39)&lt;=0,"원가보정 ","")&amp;IF(AND(B39&lt;&gt;"CN",N(H39)&lt;=0),"공급가보정 ","")&amp;IF(AND(B39="CN",N(I39)&lt;=0),"중국공급가=원가+마진 ",""))</f>
        <v/>
      </c>
      <c r="Q39" s="47" t="n">
        <f aca="false">IF(SUMIFS($W:$W,$A:$A,A39,$C:$C,C39)=0,0,SUMIFS(RAW_판매펀칭!$K:$K,RAW_판매펀칭!$P:$P,A39,RAW_판매펀칭!$I:$I,C39)*W39/SUMIFS($W:$W,$A:$A,A39,$C:$C,C39))</f>
        <v>122</v>
      </c>
      <c r="R39" s="47" t="n">
        <f aca="false">IF(OR(A39="500",A39="800",A39="810"),0,MAX(W39-Q39,0))</f>
        <v>0</v>
      </c>
      <c r="S39" s="47" t="n">
        <f aca="false">R39*L39</f>
        <v>0</v>
      </c>
      <c r="T39" s="47" t="n">
        <f aca="false">R39*J39</f>
        <v>0</v>
      </c>
      <c r="U39" s="47" t="n">
        <f aca="false">R39*K39</f>
        <v>0</v>
      </c>
      <c r="V39" s="0" t="str">
        <f aca="false">IF(COUNTIFS($A$2:A39,A39,$C$2:C39,C39,$D$2:D39,D39)&gt;1,"중복","")</f>
        <v/>
      </c>
      <c r="W39" s="0" t="n">
        <f aca="false">IF(V39="중복",0,N(D39))</f>
        <v>122</v>
      </c>
      <c r="X39" s="0" t="n">
        <f aca="false">IF(COUNTIFS($A$2:A39,A39,$C$2:C39,C39)=1,ABS(SUMIFS(RAW_발주!$D:$D,RAW_발주!$C:$C,A39,RAW_발주!$A:$A,C39)-SUMIFS($W:$W,$A:$A,A39,$C:$C,C39)),0)</f>
        <v>0</v>
      </c>
    </row>
    <row r="40" customFormat="false" ht="15" hidden="false" customHeight="true" outlineLevel="0" collapsed="false">
      <c r="A40" s="45" t="s">
        <v>1664</v>
      </c>
      <c r="B40" s="42" t="str">
        <f aca="false">IF(A40="100","HK",IF(A40="200","CN",IF(A40="300","TW","홀세일")))</f>
        <v>홀세일</v>
      </c>
      <c r="C40" s="45" t="s">
        <v>144</v>
      </c>
      <c r="D40" s="46" t="n">
        <v>25</v>
      </c>
      <c r="E40" s="46" t="n">
        <v>169000</v>
      </c>
      <c r="F40" s="46" t="n">
        <v>39058</v>
      </c>
      <c r="G40" s="42" t="n">
        <v>3.68</v>
      </c>
      <c r="H40" s="42" t="n">
        <v>44.9</v>
      </c>
      <c r="J40" s="46" t="n">
        <f aca="false">IF(N(E40)&gt;0,E40,IF(N(F40)&gt;0,F40*요약!$F$27,0))</f>
        <v>169000</v>
      </c>
      <c r="K40" s="46" t="n">
        <f aca="false">IF(N(F40)&gt;0,F40,IF(N(E40)&gt;0,E40/요약!$F$27,0))</f>
        <v>39058</v>
      </c>
      <c r="L40" s="46" t="n">
        <f aca="false">IF(B40="CN",IF(N(I40)&gt;0,I40*요약!$G$27,K40*(1+요약!$E$27)),IF(N(H40)&gt;0,H40*요약!$G$27,J40*요약!$D$27))</f>
        <v>59268</v>
      </c>
      <c r="M40" s="46" t="n">
        <f aca="false">D40*J40</f>
        <v>4225000</v>
      </c>
      <c r="N40" s="46" t="n">
        <f aca="false">D40*K40</f>
        <v>976450</v>
      </c>
      <c r="O40" s="46" t="n">
        <f aca="false">D40*L40</f>
        <v>1481700</v>
      </c>
      <c r="P40" s="42" t="str">
        <f aca="false">TRIM(IF(N(E40)&lt;=0,"택가보정 ","")&amp;IF(N(F40)&lt;=0,"원가보정 ","")&amp;IF(AND(B40&lt;&gt;"CN",N(H40)&lt;=0),"공급가보정 ","")&amp;IF(AND(B40="CN",N(I40)&lt;=0),"중국공급가=원가+마진 ",""))</f>
        <v/>
      </c>
      <c r="Q40" s="47" t="n">
        <f aca="false">IF(SUMIFS($W:$W,$A:$A,A40,$C:$C,C40)=0,0,SUMIFS(RAW_판매펀칭!$K:$K,RAW_판매펀칭!$P:$P,A40,RAW_판매펀칭!$I:$I,C40)*W40/SUMIFS($W:$W,$A:$A,A40,$C:$C,C40))</f>
        <v>25</v>
      </c>
      <c r="R40" s="47" t="n">
        <f aca="false">IF(OR(A40="500",A40="800",A40="810"),0,MAX(W40-Q40,0))</f>
        <v>0</v>
      </c>
      <c r="S40" s="47" t="n">
        <f aca="false">R40*L40</f>
        <v>0</v>
      </c>
      <c r="T40" s="47" t="n">
        <f aca="false">R40*J40</f>
        <v>0</v>
      </c>
      <c r="U40" s="47" t="n">
        <f aca="false">R40*K40</f>
        <v>0</v>
      </c>
      <c r="V40" s="0" t="str">
        <f aca="false">IF(COUNTIFS($A$2:A40,A40,$C$2:C40,C40,$D$2:D40,D40)&gt;1,"중복","")</f>
        <v/>
      </c>
      <c r="W40" s="0" t="n">
        <f aca="false">IF(V40="중복",0,N(D40))</f>
        <v>25</v>
      </c>
      <c r="X40" s="0" t="n">
        <f aca="false">IF(COUNTIFS($A$2:A40,A40,$C$2:C40,C40)=1,ABS(SUMIFS(RAW_발주!$D:$D,RAW_발주!$C:$C,A40,RAW_발주!$A:$A,C40)-SUMIFS($W:$W,$A:$A,A40,$C:$C,C40)),0)</f>
        <v>0</v>
      </c>
    </row>
    <row r="41" customFormat="false" ht="15" hidden="false" customHeight="true" outlineLevel="0" collapsed="false">
      <c r="A41" s="45" t="s">
        <v>1659</v>
      </c>
      <c r="B41" s="42" t="str">
        <f aca="false">IF(A41="100","HK",IF(A41="200","CN",IF(A41="300","TW","홀세일")))</f>
        <v>HK</v>
      </c>
      <c r="C41" s="45" t="s">
        <v>146</v>
      </c>
      <c r="D41" s="46" t="n">
        <v>180</v>
      </c>
      <c r="E41" s="46" t="n">
        <v>189000</v>
      </c>
      <c r="F41" s="46" t="n">
        <v>45172</v>
      </c>
      <c r="G41" s="42" t="n">
        <v>3.58</v>
      </c>
      <c r="H41" s="42" t="n">
        <v>50.2</v>
      </c>
      <c r="J41" s="46" t="n">
        <f aca="false">IF(N(E41)&gt;0,E41,IF(N(F41)&gt;0,F41*요약!$F$27,0))</f>
        <v>189000</v>
      </c>
      <c r="K41" s="46" t="n">
        <f aca="false">IF(N(F41)&gt;0,F41,IF(N(E41)&gt;0,E41/요약!$F$27,0))</f>
        <v>45172</v>
      </c>
      <c r="L41" s="46" t="n">
        <f aca="false">IF(B41="CN",IF(N(I41)&gt;0,I41*요약!$G$27,K41*(1+요약!$E$27)),IF(N(H41)&gt;0,H41*요약!$G$27,J41*요약!$D$27))</f>
        <v>66264</v>
      </c>
      <c r="M41" s="46" t="n">
        <f aca="false">D41*J41</f>
        <v>34020000</v>
      </c>
      <c r="N41" s="46" t="n">
        <f aca="false">D41*K41</f>
        <v>8130960</v>
      </c>
      <c r="O41" s="46" t="n">
        <f aca="false">D41*L41</f>
        <v>11927520</v>
      </c>
      <c r="P41" s="42" t="str">
        <f aca="false">TRIM(IF(N(E41)&lt;=0,"택가보정 ","")&amp;IF(N(F41)&lt;=0,"원가보정 ","")&amp;IF(AND(B41&lt;&gt;"CN",N(H41)&lt;=0),"공급가보정 ","")&amp;IF(AND(B41="CN",N(I41)&lt;=0),"중국공급가=원가+마진 ",""))</f>
        <v/>
      </c>
      <c r="Q41" s="47" t="n">
        <f aca="false">IF(SUMIFS($W:$W,$A:$A,A41,$C:$C,C41)=0,0,SUMIFS(RAW_판매펀칭!$K:$K,RAW_판매펀칭!$P:$P,A41,RAW_판매펀칭!$I:$I,C41)*W41/SUMIFS($W:$W,$A:$A,A41,$C:$C,C41))</f>
        <v>0</v>
      </c>
      <c r="R41" s="47" t="n">
        <f aca="false">IF(OR(A41="500",A41="800",A41="810"),0,MAX(W41-Q41,0))</f>
        <v>180</v>
      </c>
      <c r="S41" s="47" t="n">
        <f aca="false">R41*L41</f>
        <v>11927520</v>
      </c>
      <c r="T41" s="47" t="n">
        <f aca="false">R41*J41</f>
        <v>34020000</v>
      </c>
      <c r="U41" s="47" t="n">
        <f aca="false">R41*K41</f>
        <v>8130960</v>
      </c>
      <c r="V41" s="0" t="str">
        <f aca="false">IF(COUNTIFS($A$2:A41,A41,$C$2:C41,C41,$D$2:D41,D41)&gt;1,"중복","")</f>
        <v/>
      </c>
      <c r="W41" s="0" t="n">
        <f aca="false">IF(V41="중복",0,N(D41))</f>
        <v>180</v>
      </c>
      <c r="X41" s="0" t="n">
        <f aca="false">IF(COUNTIFS($A$2:A41,A41,$C$2:C41,C41)=1,ABS(SUMIFS(RAW_발주!$D:$D,RAW_발주!$C:$C,A41,RAW_발주!$A:$A,C41)-SUMIFS($W:$W,$A:$A,A41,$C:$C,C41)),0)</f>
        <v>0</v>
      </c>
    </row>
    <row r="42" customFormat="false" ht="15" hidden="false" customHeight="true" outlineLevel="0" collapsed="false">
      <c r="A42" s="45" t="s">
        <v>1661</v>
      </c>
      <c r="B42" s="42" t="str">
        <f aca="false">IF(A42="100","HK",IF(A42="200","CN",IF(A42="300","TW","홀세일")))</f>
        <v>TW</v>
      </c>
      <c r="C42" s="45" t="s">
        <v>146</v>
      </c>
      <c r="D42" s="46" t="n">
        <v>80</v>
      </c>
      <c r="E42" s="46" t="n">
        <v>189000</v>
      </c>
      <c r="F42" s="46" t="n">
        <v>45172</v>
      </c>
      <c r="G42" s="42" t="n">
        <v>3.58</v>
      </c>
      <c r="H42" s="42" t="n">
        <v>50.2</v>
      </c>
      <c r="J42" s="46" t="n">
        <f aca="false">IF(N(E42)&gt;0,E42,IF(N(F42)&gt;0,F42*요약!$F$27,0))</f>
        <v>189000</v>
      </c>
      <c r="K42" s="46" t="n">
        <f aca="false">IF(N(F42)&gt;0,F42,IF(N(E42)&gt;0,E42/요약!$F$27,0))</f>
        <v>45172</v>
      </c>
      <c r="L42" s="46" t="n">
        <f aca="false">IF(B42="CN",IF(N(I42)&gt;0,I42*요약!$G$27,K42*(1+요약!$E$27)),IF(N(H42)&gt;0,H42*요약!$G$27,J42*요약!$D$27))</f>
        <v>66264</v>
      </c>
      <c r="M42" s="46" t="n">
        <f aca="false">D42*J42</f>
        <v>15120000</v>
      </c>
      <c r="N42" s="46" t="n">
        <f aca="false">D42*K42</f>
        <v>3613760</v>
      </c>
      <c r="O42" s="46" t="n">
        <f aca="false">D42*L42</f>
        <v>5301120</v>
      </c>
      <c r="P42" s="42" t="str">
        <f aca="false">TRIM(IF(N(E42)&lt;=0,"택가보정 ","")&amp;IF(N(F42)&lt;=0,"원가보정 ","")&amp;IF(AND(B42&lt;&gt;"CN",N(H42)&lt;=0),"공급가보정 ","")&amp;IF(AND(B42="CN",N(I42)&lt;=0),"중국공급가=원가+마진 ",""))</f>
        <v/>
      </c>
      <c r="Q42" s="47" t="n">
        <f aca="false">IF(SUMIFS($W:$W,$A:$A,A42,$C:$C,C42)=0,0,SUMIFS(RAW_판매펀칭!$K:$K,RAW_판매펀칭!$P:$P,A42,RAW_판매펀칭!$I:$I,C42)*W42/SUMIFS($W:$W,$A:$A,A42,$C:$C,C42))</f>
        <v>80</v>
      </c>
      <c r="R42" s="47" t="n">
        <f aca="false">IF(OR(A42="500",A42="800",A42="810"),0,MAX(W42-Q42,0))</f>
        <v>0</v>
      </c>
      <c r="S42" s="47" t="n">
        <f aca="false">R42*L42</f>
        <v>0</v>
      </c>
      <c r="T42" s="47" t="n">
        <f aca="false">R42*J42</f>
        <v>0</v>
      </c>
      <c r="U42" s="47" t="n">
        <f aca="false">R42*K42</f>
        <v>0</v>
      </c>
      <c r="V42" s="0" t="str">
        <f aca="false">IF(COUNTIFS($A$2:A42,A42,$C$2:C42,C42,$D$2:D42,D42)&gt;1,"중복","")</f>
        <v/>
      </c>
      <c r="W42" s="0" t="n">
        <f aca="false">IF(V42="중복",0,N(D42))</f>
        <v>80</v>
      </c>
      <c r="X42" s="0" t="n">
        <f aca="false">IF(COUNTIFS($A$2:A42,A42,$C$2:C42,C42)=1,ABS(SUMIFS(RAW_발주!$D:$D,RAW_발주!$C:$C,A42,RAW_발주!$A:$A,C42)-SUMIFS($W:$W,$A:$A,A42,$C:$C,C42)),0)</f>
        <v>0</v>
      </c>
    </row>
    <row r="43" customFormat="false" ht="15" hidden="false" customHeight="true" outlineLevel="0" collapsed="false">
      <c r="A43" s="45" t="s">
        <v>1662</v>
      </c>
      <c r="B43" s="42" t="str">
        <f aca="false">IF(A43="100","HK",IF(A43="200","CN",IF(A43="300","TW","홀세일")))</f>
        <v>홀세일</v>
      </c>
      <c r="C43" s="45" t="s">
        <v>146</v>
      </c>
      <c r="D43" s="46" t="n">
        <v>30</v>
      </c>
      <c r="E43" s="46" t="n">
        <v>189000</v>
      </c>
      <c r="F43" s="46" t="n">
        <v>45172</v>
      </c>
      <c r="G43" s="42" t="n">
        <v>3.58</v>
      </c>
      <c r="H43" s="42" t="n">
        <v>50.2</v>
      </c>
      <c r="J43" s="46" t="n">
        <f aca="false">IF(N(E43)&gt;0,E43,IF(N(F43)&gt;0,F43*요약!$F$27,0))</f>
        <v>189000</v>
      </c>
      <c r="K43" s="46" t="n">
        <f aca="false">IF(N(F43)&gt;0,F43,IF(N(E43)&gt;0,E43/요약!$F$27,0))</f>
        <v>45172</v>
      </c>
      <c r="L43" s="46" t="n">
        <f aca="false">IF(B43="CN",IF(N(I43)&gt;0,I43*요약!$G$27,K43*(1+요약!$E$27)),IF(N(H43)&gt;0,H43*요약!$G$27,J43*요약!$D$27))</f>
        <v>66264</v>
      </c>
      <c r="M43" s="46" t="n">
        <f aca="false">D43*J43</f>
        <v>5670000</v>
      </c>
      <c r="N43" s="46" t="n">
        <f aca="false">D43*K43</f>
        <v>1355160</v>
      </c>
      <c r="O43" s="46" t="n">
        <f aca="false">D43*L43</f>
        <v>1987920</v>
      </c>
      <c r="P43" s="42" t="str">
        <f aca="false">TRIM(IF(N(E43)&lt;=0,"택가보정 ","")&amp;IF(N(F43)&lt;=0,"원가보정 ","")&amp;IF(AND(B43&lt;&gt;"CN",N(H43)&lt;=0),"공급가보정 ","")&amp;IF(AND(B43="CN",N(I43)&lt;=0),"중국공급가=원가+마진 ",""))</f>
        <v/>
      </c>
      <c r="Q43" s="47" t="n">
        <f aca="false">IF(SUMIFS($W:$W,$A:$A,A43,$C:$C,C43)=0,0,SUMIFS(RAW_판매펀칭!$K:$K,RAW_판매펀칭!$P:$P,A43,RAW_판매펀칭!$I:$I,C43)*W43/SUMIFS($W:$W,$A:$A,A43,$C:$C,C43))</f>
        <v>0</v>
      </c>
      <c r="R43" s="47" t="n">
        <f aca="false">IF(OR(A43="500",A43="800",A43="810"),0,MAX(W43-Q43,0))</f>
        <v>0</v>
      </c>
      <c r="S43" s="47" t="n">
        <f aca="false">R43*L43</f>
        <v>0</v>
      </c>
      <c r="T43" s="47" t="n">
        <f aca="false">R43*J43</f>
        <v>0</v>
      </c>
      <c r="U43" s="47" t="n">
        <f aca="false">R43*K43</f>
        <v>0</v>
      </c>
      <c r="V43" s="0" t="str">
        <f aca="false">IF(COUNTIFS($A$2:A43,A43,$C$2:C43,C43,$D$2:D43,D43)&gt;1,"중복","")</f>
        <v/>
      </c>
      <c r="W43" s="0" t="n">
        <f aca="false">IF(V43="중복",0,N(D43))</f>
        <v>30</v>
      </c>
      <c r="X43" s="0" t="n">
        <f aca="false">IF(COUNTIFS($A$2:A43,A43,$C$2:C43,C43)=1,ABS(SUMIFS(RAW_발주!$D:$D,RAW_발주!$C:$C,A43,RAW_발주!$A:$A,C43)-SUMIFS($W:$W,$A:$A,A43,$C:$C,C43)),0)</f>
        <v>0</v>
      </c>
    </row>
    <row r="44" customFormat="false" ht="15" hidden="false" customHeight="true" outlineLevel="0" collapsed="false">
      <c r="A44" s="45" t="s">
        <v>1663</v>
      </c>
      <c r="B44" s="42" t="str">
        <f aca="false">IF(A44="100","HK",IF(A44="200","CN",IF(A44="300","TW","홀세일")))</f>
        <v>홀세일</v>
      </c>
      <c r="C44" s="45" t="s">
        <v>146</v>
      </c>
      <c r="D44" s="46" t="n">
        <v>15</v>
      </c>
      <c r="E44" s="46" t="n">
        <v>189000</v>
      </c>
      <c r="F44" s="46" t="n">
        <v>45172</v>
      </c>
      <c r="G44" s="42" t="n">
        <v>3.58</v>
      </c>
      <c r="H44" s="42" t="n">
        <v>50.2</v>
      </c>
      <c r="J44" s="46" t="n">
        <f aca="false">IF(N(E44)&gt;0,E44,IF(N(F44)&gt;0,F44*요약!$F$27,0))</f>
        <v>189000</v>
      </c>
      <c r="K44" s="46" t="n">
        <f aca="false">IF(N(F44)&gt;0,F44,IF(N(E44)&gt;0,E44/요약!$F$27,0))</f>
        <v>45172</v>
      </c>
      <c r="L44" s="46" t="n">
        <f aca="false">IF(B44="CN",IF(N(I44)&gt;0,I44*요약!$G$27,K44*(1+요약!$E$27)),IF(N(H44)&gt;0,H44*요약!$G$27,J44*요약!$D$27))</f>
        <v>66264</v>
      </c>
      <c r="M44" s="46" t="n">
        <f aca="false">D44*J44</f>
        <v>2835000</v>
      </c>
      <c r="N44" s="46" t="n">
        <f aca="false">D44*K44</f>
        <v>677580</v>
      </c>
      <c r="O44" s="46" t="n">
        <f aca="false">D44*L44</f>
        <v>993960</v>
      </c>
      <c r="P44" s="42" t="str">
        <f aca="false">TRIM(IF(N(E44)&lt;=0,"택가보정 ","")&amp;IF(N(F44)&lt;=0,"원가보정 ","")&amp;IF(AND(B44&lt;&gt;"CN",N(H44)&lt;=0),"공급가보정 ","")&amp;IF(AND(B44="CN",N(I44)&lt;=0),"중국공급가=원가+마진 ",""))</f>
        <v/>
      </c>
      <c r="Q44" s="47" t="n">
        <f aca="false">IF(SUMIFS($W:$W,$A:$A,A44,$C:$C,C44)=0,0,SUMIFS(RAW_판매펀칭!$K:$K,RAW_판매펀칭!$P:$P,A44,RAW_판매펀칭!$I:$I,C44)*W44/SUMIFS($W:$W,$A:$A,A44,$C:$C,C44))</f>
        <v>15</v>
      </c>
      <c r="R44" s="47" t="n">
        <f aca="false">IF(OR(A44="500",A44="800",A44="810"),0,MAX(W44-Q44,0))</f>
        <v>0</v>
      </c>
      <c r="S44" s="47" t="n">
        <f aca="false">R44*L44</f>
        <v>0</v>
      </c>
      <c r="T44" s="47" t="n">
        <f aca="false">R44*J44</f>
        <v>0</v>
      </c>
      <c r="U44" s="47" t="n">
        <f aca="false">R44*K44</f>
        <v>0</v>
      </c>
      <c r="V44" s="0" t="str">
        <f aca="false">IF(COUNTIFS($A$2:A44,A44,$C$2:C44,C44,$D$2:D44,D44)&gt;1,"중복","")</f>
        <v/>
      </c>
      <c r="W44" s="0" t="n">
        <f aca="false">IF(V44="중복",0,N(D44))</f>
        <v>15</v>
      </c>
      <c r="X44" s="0" t="n">
        <f aca="false">IF(COUNTIFS($A$2:A44,A44,$C$2:C44,C44)=1,ABS(SUMIFS(RAW_발주!$D:$D,RAW_발주!$C:$C,A44,RAW_발주!$A:$A,C44)-SUMIFS($W:$W,$A:$A,A44,$C:$C,C44)),0)</f>
        <v>0</v>
      </c>
    </row>
    <row r="45" customFormat="false" ht="15" hidden="false" customHeight="true" outlineLevel="0" collapsed="false">
      <c r="A45" s="45" t="s">
        <v>1667</v>
      </c>
      <c r="B45" s="42" t="str">
        <f aca="false">IF(A45="100","HK",IF(A45="200","CN",IF(A45="300","TW","홀세일")))</f>
        <v>홀세일</v>
      </c>
      <c r="C45" s="45" t="s">
        <v>146</v>
      </c>
      <c r="D45" s="46" t="n">
        <v>302</v>
      </c>
      <c r="E45" s="46" t="n">
        <v>189000</v>
      </c>
      <c r="F45" s="46" t="n">
        <v>45172</v>
      </c>
      <c r="G45" s="42" t="n">
        <v>3.58</v>
      </c>
      <c r="H45" s="42" t="n">
        <v>50.2</v>
      </c>
      <c r="J45" s="46" t="n">
        <f aca="false">IF(N(E45)&gt;0,E45,IF(N(F45)&gt;0,F45*요약!$F$27,0))</f>
        <v>189000</v>
      </c>
      <c r="K45" s="46" t="n">
        <f aca="false">IF(N(F45)&gt;0,F45,IF(N(E45)&gt;0,E45/요약!$F$27,0))</f>
        <v>45172</v>
      </c>
      <c r="L45" s="46" t="n">
        <f aca="false">IF(B45="CN",IF(N(I45)&gt;0,I45*요약!$G$27,K45*(1+요약!$E$27)),IF(N(H45)&gt;0,H45*요약!$G$27,J45*요약!$D$27))</f>
        <v>66264</v>
      </c>
      <c r="M45" s="46" t="n">
        <f aca="false">D45*J45</f>
        <v>57078000</v>
      </c>
      <c r="N45" s="46" t="n">
        <f aca="false">D45*K45</f>
        <v>13641944</v>
      </c>
      <c r="O45" s="46" t="n">
        <f aca="false">D45*L45</f>
        <v>20011728</v>
      </c>
      <c r="P45" s="42" t="str">
        <f aca="false">TRIM(IF(N(E45)&lt;=0,"택가보정 ","")&amp;IF(N(F45)&lt;=0,"원가보정 ","")&amp;IF(AND(B45&lt;&gt;"CN",N(H45)&lt;=0),"공급가보정 ","")&amp;IF(AND(B45="CN",N(I45)&lt;=0),"중국공급가=원가+마진 ",""))</f>
        <v/>
      </c>
      <c r="Q45" s="47" t="n">
        <f aca="false">IF(SUMIFS($W:$W,$A:$A,A45,$C:$C,C45)=0,0,SUMIFS(RAW_판매펀칭!$K:$K,RAW_판매펀칭!$P:$P,A45,RAW_판매펀칭!$I:$I,C45)*W45/SUMIFS($W:$W,$A:$A,A45,$C:$C,C45))</f>
        <v>102</v>
      </c>
      <c r="R45" s="47" t="n">
        <f aca="false">IF(OR(A45="500",A45="800",A45="810"),0,MAX(W45-Q45,0))</f>
        <v>200</v>
      </c>
      <c r="S45" s="47" t="n">
        <f aca="false">R45*L45</f>
        <v>13252800</v>
      </c>
      <c r="T45" s="47" t="n">
        <f aca="false">R45*J45</f>
        <v>37800000</v>
      </c>
      <c r="U45" s="47" t="n">
        <f aca="false">R45*K45</f>
        <v>9034400</v>
      </c>
      <c r="V45" s="0" t="str">
        <f aca="false">IF(COUNTIFS($A$2:A45,A45,$C$2:C45,C45,$D$2:D45,D45)&gt;1,"중복","")</f>
        <v/>
      </c>
      <c r="W45" s="0" t="n">
        <f aca="false">IF(V45="중복",0,N(D45))</f>
        <v>302</v>
      </c>
      <c r="X45" s="0" t="n">
        <f aca="false">IF(COUNTIFS($A$2:A45,A45,$C$2:C45,C45)=1,ABS(SUMIFS(RAW_발주!$D:$D,RAW_발주!$C:$C,A45,RAW_발주!$A:$A,C45)-SUMIFS($W:$W,$A:$A,A45,$C:$C,C45)),0)</f>
        <v>0</v>
      </c>
    </row>
    <row r="46" customFormat="false" ht="15" hidden="false" customHeight="true" outlineLevel="0" collapsed="false">
      <c r="A46" s="45" t="s">
        <v>1664</v>
      </c>
      <c r="B46" s="42" t="str">
        <f aca="false">IF(A46="100","HK",IF(A46="200","CN",IF(A46="300","TW","홀세일")))</f>
        <v>홀세일</v>
      </c>
      <c r="C46" s="45" t="s">
        <v>146</v>
      </c>
      <c r="D46" s="46" t="n">
        <v>25</v>
      </c>
      <c r="E46" s="46" t="n">
        <v>189000</v>
      </c>
      <c r="F46" s="46" t="n">
        <v>45172</v>
      </c>
      <c r="G46" s="42" t="n">
        <v>3.58</v>
      </c>
      <c r="H46" s="42" t="n">
        <v>50.2</v>
      </c>
      <c r="J46" s="46" t="n">
        <f aca="false">IF(N(E46)&gt;0,E46,IF(N(F46)&gt;0,F46*요약!$F$27,0))</f>
        <v>189000</v>
      </c>
      <c r="K46" s="46" t="n">
        <f aca="false">IF(N(F46)&gt;0,F46,IF(N(E46)&gt;0,E46/요약!$F$27,0))</f>
        <v>45172</v>
      </c>
      <c r="L46" s="46" t="n">
        <f aca="false">IF(B46="CN",IF(N(I46)&gt;0,I46*요약!$G$27,K46*(1+요약!$E$27)),IF(N(H46)&gt;0,H46*요약!$G$27,J46*요약!$D$27))</f>
        <v>66264</v>
      </c>
      <c r="M46" s="46" t="n">
        <f aca="false">D46*J46</f>
        <v>4725000</v>
      </c>
      <c r="N46" s="46" t="n">
        <f aca="false">D46*K46</f>
        <v>1129300</v>
      </c>
      <c r="O46" s="46" t="n">
        <f aca="false">D46*L46</f>
        <v>1656600</v>
      </c>
      <c r="P46" s="42" t="str">
        <f aca="false">TRIM(IF(N(E46)&lt;=0,"택가보정 ","")&amp;IF(N(F46)&lt;=0,"원가보정 ","")&amp;IF(AND(B46&lt;&gt;"CN",N(H46)&lt;=0),"공급가보정 ","")&amp;IF(AND(B46="CN",N(I46)&lt;=0),"중국공급가=원가+마진 ",""))</f>
        <v/>
      </c>
      <c r="Q46" s="47" t="n">
        <f aca="false">IF(SUMIFS($W:$W,$A:$A,A46,$C:$C,C46)=0,0,SUMIFS(RAW_판매펀칭!$K:$K,RAW_판매펀칭!$P:$P,A46,RAW_판매펀칭!$I:$I,C46)*W46/SUMIFS($W:$W,$A:$A,A46,$C:$C,C46))</f>
        <v>25</v>
      </c>
      <c r="R46" s="47" t="n">
        <f aca="false">IF(OR(A46="500",A46="800",A46="810"),0,MAX(W46-Q46,0))</f>
        <v>0</v>
      </c>
      <c r="S46" s="47" t="n">
        <f aca="false">R46*L46</f>
        <v>0</v>
      </c>
      <c r="T46" s="47" t="n">
        <f aca="false">R46*J46</f>
        <v>0</v>
      </c>
      <c r="U46" s="47" t="n">
        <f aca="false">R46*K46</f>
        <v>0</v>
      </c>
      <c r="V46" s="0" t="str">
        <f aca="false">IF(COUNTIFS($A$2:A46,A46,$C$2:C46,C46,$D$2:D46,D46)&gt;1,"중복","")</f>
        <v/>
      </c>
      <c r="W46" s="0" t="n">
        <f aca="false">IF(V46="중복",0,N(D46))</f>
        <v>25</v>
      </c>
      <c r="X46" s="0" t="n">
        <f aca="false">IF(COUNTIFS($A$2:A46,A46,$C$2:C46,C46)=1,ABS(SUMIFS(RAW_발주!$D:$D,RAW_발주!$C:$C,A46,RAW_발주!$A:$A,C46)-SUMIFS($W:$W,$A:$A,A46,$C:$C,C46)),0)</f>
        <v>0</v>
      </c>
    </row>
    <row r="47" customFormat="false" ht="15" hidden="false" customHeight="true" outlineLevel="0" collapsed="false">
      <c r="A47" s="45" t="s">
        <v>1665</v>
      </c>
      <c r="B47" s="42" t="str">
        <f aca="false">IF(A47="100","HK",IF(A47="200","CN",IF(A47="300","TW","홀세일")))</f>
        <v>홀세일</v>
      </c>
      <c r="C47" s="45" t="s">
        <v>146</v>
      </c>
      <c r="D47" s="46" t="n">
        <v>24</v>
      </c>
      <c r="E47" s="46" t="n">
        <v>189000</v>
      </c>
      <c r="F47" s="46" t="n">
        <v>45172</v>
      </c>
      <c r="G47" s="42" t="n">
        <v>3.58</v>
      </c>
      <c r="H47" s="42" t="n">
        <v>50.2</v>
      </c>
      <c r="J47" s="46" t="n">
        <f aca="false">IF(N(E47)&gt;0,E47,IF(N(F47)&gt;0,F47*요약!$F$27,0))</f>
        <v>189000</v>
      </c>
      <c r="K47" s="46" t="n">
        <f aca="false">IF(N(F47)&gt;0,F47,IF(N(E47)&gt;0,E47/요약!$F$27,0))</f>
        <v>45172</v>
      </c>
      <c r="L47" s="46" t="n">
        <f aca="false">IF(B47="CN",IF(N(I47)&gt;0,I47*요약!$G$27,K47*(1+요약!$E$27)),IF(N(H47)&gt;0,H47*요약!$G$27,J47*요약!$D$27))</f>
        <v>66264</v>
      </c>
      <c r="M47" s="46" t="n">
        <f aca="false">D47*J47</f>
        <v>4536000</v>
      </c>
      <c r="N47" s="46" t="n">
        <f aca="false">D47*K47</f>
        <v>1084128</v>
      </c>
      <c r="O47" s="46" t="n">
        <f aca="false">D47*L47</f>
        <v>1590336</v>
      </c>
      <c r="P47" s="42" t="str">
        <f aca="false">TRIM(IF(N(E47)&lt;=0,"택가보정 ","")&amp;IF(N(F47)&lt;=0,"원가보정 ","")&amp;IF(AND(B47&lt;&gt;"CN",N(H47)&lt;=0),"공급가보정 ","")&amp;IF(AND(B47="CN",N(I47)&lt;=0),"중국공급가=원가+마진 ",""))</f>
        <v/>
      </c>
      <c r="Q47" s="47" t="n">
        <f aca="false">IF(SUMIFS($W:$W,$A:$A,A47,$C:$C,C47)=0,0,SUMIFS(RAW_판매펀칭!$K:$K,RAW_판매펀칭!$P:$P,A47,RAW_판매펀칭!$I:$I,C47)*W47/SUMIFS($W:$W,$A:$A,A47,$C:$C,C47))</f>
        <v>24</v>
      </c>
      <c r="R47" s="47" t="n">
        <f aca="false">IF(OR(A47="500",A47="800",A47="810"),0,MAX(W47-Q47,0))</f>
        <v>0</v>
      </c>
      <c r="S47" s="47" t="n">
        <f aca="false">R47*L47</f>
        <v>0</v>
      </c>
      <c r="T47" s="47" t="n">
        <f aca="false">R47*J47</f>
        <v>0</v>
      </c>
      <c r="U47" s="47" t="n">
        <f aca="false">R47*K47</f>
        <v>0</v>
      </c>
      <c r="V47" s="0" t="str">
        <f aca="false">IF(COUNTIFS($A$2:A47,A47,$C$2:C47,C47,$D$2:D47,D47)&gt;1,"중복","")</f>
        <v/>
      </c>
      <c r="W47" s="0" t="n">
        <f aca="false">IF(V47="중복",0,N(D47))</f>
        <v>24</v>
      </c>
      <c r="X47" s="0" t="n">
        <f aca="false">IF(COUNTIFS($A$2:A47,A47,$C$2:C47,C47)=1,ABS(SUMIFS(RAW_발주!$D:$D,RAW_발주!$C:$C,A47,RAW_발주!$A:$A,C47)-SUMIFS($W:$W,$A:$A,A47,$C:$C,C47)),0)</f>
        <v>0</v>
      </c>
    </row>
    <row r="48" customFormat="false" ht="15" hidden="false" customHeight="true" outlineLevel="0" collapsed="false">
      <c r="A48" s="45" t="s">
        <v>1659</v>
      </c>
      <c r="B48" s="42" t="str">
        <f aca="false">IF(A48="100","HK",IF(A48="200","CN",IF(A48="300","TW","홀세일")))</f>
        <v>HK</v>
      </c>
      <c r="C48" s="45" t="s">
        <v>148</v>
      </c>
      <c r="D48" s="46" t="n">
        <v>200</v>
      </c>
      <c r="E48" s="46" t="n">
        <v>179000</v>
      </c>
      <c r="F48" s="46" t="n">
        <v>42192</v>
      </c>
      <c r="G48" s="42" t="n">
        <v>3.62</v>
      </c>
      <c r="H48" s="42" t="n">
        <v>47.6</v>
      </c>
      <c r="J48" s="46" t="n">
        <f aca="false">IF(N(E48)&gt;0,E48,IF(N(F48)&gt;0,F48*요약!$F$27,0))</f>
        <v>179000</v>
      </c>
      <c r="K48" s="46" t="n">
        <f aca="false">IF(N(F48)&gt;0,F48,IF(N(E48)&gt;0,E48/요약!$F$27,0))</f>
        <v>42192</v>
      </c>
      <c r="L48" s="46" t="n">
        <f aca="false">IF(B48="CN",IF(N(I48)&gt;0,I48*요약!$G$27,K48*(1+요약!$E$27)),IF(N(H48)&gt;0,H48*요약!$G$27,J48*요약!$D$27))</f>
        <v>62832</v>
      </c>
      <c r="M48" s="46" t="n">
        <f aca="false">D48*J48</f>
        <v>35800000</v>
      </c>
      <c r="N48" s="46" t="n">
        <f aca="false">D48*K48</f>
        <v>8438400</v>
      </c>
      <c r="O48" s="46" t="n">
        <f aca="false">D48*L48</f>
        <v>12566400</v>
      </c>
      <c r="P48" s="42" t="str">
        <f aca="false">TRIM(IF(N(E48)&lt;=0,"택가보정 ","")&amp;IF(N(F48)&lt;=0,"원가보정 ","")&amp;IF(AND(B48&lt;&gt;"CN",N(H48)&lt;=0),"공급가보정 ","")&amp;IF(AND(B48="CN",N(I48)&lt;=0),"중국공급가=원가+마진 ",""))</f>
        <v/>
      </c>
      <c r="Q48" s="47" t="n">
        <f aca="false">IF(SUMIFS($W:$W,$A:$A,A48,$C:$C,C48)=0,0,SUMIFS(RAW_판매펀칭!$K:$K,RAW_판매펀칭!$P:$P,A48,RAW_판매펀칭!$I:$I,C48)*W48/SUMIFS($W:$W,$A:$A,A48,$C:$C,C48))</f>
        <v>0</v>
      </c>
      <c r="R48" s="47" t="n">
        <f aca="false">IF(OR(A48="500",A48="800",A48="810"),0,MAX(W48-Q48,0))</f>
        <v>200</v>
      </c>
      <c r="S48" s="47" t="n">
        <f aca="false">R48*L48</f>
        <v>12566400</v>
      </c>
      <c r="T48" s="47" t="n">
        <f aca="false">R48*J48</f>
        <v>35800000</v>
      </c>
      <c r="U48" s="47" t="n">
        <f aca="false">R48*K48</f>
        <v>8438400</v>
      </c>
      <c r="V48" s="0" t="str">
        <f aca="false">IF(COUNTIFS($A$2:A48,A48,$C$2:C48,C48,$D$2:D48,D48)&gt;1,"중복","")</f>
        <v/>
      </c>
      <c r="W48" s="0" t="n">
        <f aca="false">IF(V48="중복",0,N(D48))</f>
        <v>200</v>
      </c>
      <c r="X48" s="0" t="n">
        <f aca="false">IF(COUNTIFS($A$2:A48,A48,$C$2:C48,C48)=1,ABS(SUMIFS(RAW_발주!$D:$D,RAW_발주!$C:$C,A48,RAW_발주!$A:$A,C48)-SUMIFS($W:$W,$A:$A,A48,$C:$C,C48)),0)</f>
        <v>0</v>
      </c>
    </row>
    <row r="49" customFormat="false" ht="15.75" hidden="false" customHeight="true" outlineLevel="0" collapsed="false">
      <c r="A49" s="45" t="s">
        <v>1660</v>
      </c>
      <c r="B49" s="42" t="str">
        <f aca="false">IF(A49="100","HK",IF(A49="200","CN",IF(A49="300","TW","홀세일")))</f>
        <v>CN</v>
      </c>
      <c r="C49" s="45" t="s">
        <v>148</v>
      </c>
      <c r="D49" s="46" t="n">
        <v>282</v>
      </c>
      <c r="E49" s="46" t="n">
        <v>179000</v>
      </c>
      <c r="F49" s="46" t="n">
        <v>42192</v>
      </c>
      <c r="G49" s="42" t="n">
        <v>3.62</v>
      </c>
      <c r="H49" s="42" t="n">
        <v>47.6</v>
      </c>
      <c r="J49" s="46" t="n">
        <f aca="false">IF(N(E49)&gt;0,E49,IF(N(F49)&gt;0,F49*요약!$F$27,0))</f>
        <v>179000</v>
      </c>
      <c r="K49" s="46" t="n">
        <f aca="false">IF(N(F49)&gt;0,F49,IF(N(E49)&gt;0,E49/요약!$F$27,0))</f>
        <v>42192</v>
      </c>
      <c r="L49" s="46" t="n">
        <f aca="false">IF(B49="CN",IF(N(I49)&gt;0,I49*요약!$G$27,K49*(1+요약!$E$27)),IF(N(H49)&gt;0,H49*요약!$G$27,J49*요약!$D$27))</f>
        <v>44301.6</v>
      </c>
      <c r="M49" s="46" t="n">
        <f aca="false">D49*J49</f>
        <v>50478000</v>
      </c>
      <c r="N49" s="46" t="n">
        <f aca="false">D49*K49</f>
        <v>11898144</v>
      </c>
      <c r="O49" s="46" t="n">
        <f aca="false">D49*L49</f>
        <v>12493051.2</v>
      </c>
      <c r="P49" s="42" t="str">
        <f aca="false">TRIM(IF(N(E49)&lt;=0,"택가보정 ","")&amp;IF(N(F49)&lt;=0,"원가보정 ","")&amp;IF(AND(B49&lt;&gt;"CN",N(H49)&lt;=0),"공급가보정 ","")&amp;IF(AND(B49="CN",N(I49)&lt;=0),"중국공급가=원가+마진 ",""))</f>
        <v>중국공급가=원가+마진</v>
      </c>
      <c r="Q49" s="47" t="n">
        <f aca="false">IF(SUMIFS($W:$W,$A:$A,A49,$C:$C,C49)=0,0,SUMIFS(RAW_판매펀칭!$K:$K,RAW_판매펀칭!$P:$P,A49,RAW_판매펀칭!$I:$I,C49)*W49/SUMIFS($W:$W,$A:$A,A49,$C:$C,C49))</f>
        <v>280</v>
      </c>
      <c r="R49" s="47" t="n">
        <f aca="false">IF(OR(A49="500",A49="800",A49="810"),0,MAX(W49-Q49,0))</f>
        <v>2</v>
      </c>
      <c r="S49" s="47" t="n">
        <f aca="false">R49*L49</f>
        <v>88603.2</v>
      </c>
      <c r="T49" s="47" t="n">
        <f aca="false">R49*J49</f>
        <v>358000</v>
      </c>
      <c r="U49" s="47" t="n">
        <f aca="false">R49*K49</f>
        <v>84384</v>
      </c>
      <c r="V49" s="0" t="str">
        <f aca="false">IF(COUNTIFS($A$2:A49,A49,$C$2:C49,C49,$D$2:D49,D49)&gt;1,"중복","")</f>
        <v/>
      </c>
      <c r="W49" s="0" t="n">
        <f aca="false">IF(V49="중복",0,N(D49))</f>
        <v>282</v>
      </c>
      <c r="X49" s="0" t="n">
        <f aca="false">IF(COUNTIFS($A$2:A49,A49,$C$2:C49,C49)=1,ABS(SUMIFS(RAW_발주!$D:$D,RAW_발주!$C:$C,A49,RAW_발주!$A:$A,C49)-SUMIFS($W:$W,$A:$A,A49,$C:$C,C49)),0)</f>
        <v>0</v>
      </c>
    </row>
    <row r="50" customFormat="false" ht="15" hidden="false" customHeight="true" outlineLevel="0" collapsed="false">
      <c r="A50" s="45" t="s">
        <v>1661</v>
      </c>
      <c r="B50" s="42" t="str">
        <f aca="false">IF(A50="100","HK",IF(A50="200","CN",IF(A50="300","TW","홀세일")))</f>
        <v>TW</v>
      </c>
      <c r="C50" s="45" t="s">
        <v>148</v>
      </c>
      <c r="D50" s="46" t="n">
        <v>80</v>
      </c>
      <c r="E50" s="46" t="n">
        <v>179000</v>
      </c>
      <c r="F50" s="46" t="n">
        <v>42192</v>
      </c>
      <c r="G50" s="42" t="n">
        <v>3.62</v>
      </c>
      <c r="H50" s="42" t="n">
        <v>47.6</v>
      </c>
      <c r="J50" s="46" t="n">
        <f aca="false">IF(N(E50)&gt;0,E50,IF(N(F50)&gt;0,F50*요약!$F$27,0))</f>
        <v>179000</v>
      </c>
      <c r="K50" s="46" t="n">
        <f aca="false">IF(N(F50)&gt;0,F50,IF(N(E50)&gt;0,E50/요약!$F$27,0))</f>
        <v>42192</v>
      </c>
      <c r="L50" s="46" t="n">
        <f aca="false">IF(B50="CN",IF(N(I50)&gt;0,I50*요약!$G$27,K50*(1+요약!$E$27)),IF(N(H50)&gt;0,H50*요약!$G$27,J50*요약!$D$27))</f>
        <v>62832</v>
      </c>
      <c r="M50" s="46" t="n">
        <f aca="false">D50*J50</f>
        <v>14320000</v>
      </c>
      <c r="N50" s="46" t="n">
        <f aca="false">D50*K50</f>
        <v>3375360</v>
      </c>
      <c r="O50" s="46" t="n">
        <f aca="false">D50*L50</f>
        <v>5026560</v>
      </c>
      <c r="P50" s="42" t="str">
        <f aca="false">TRIM(IF(N(E50)&lt;=0,"택가보정 ","")&amp;IF(N(F50)&lt;=0,"원가보정 ","")&amp;IF(AND(B50&lt;&gt;"CN",N(H50)&lt;=0),"공급가보정 ","")&amp;IF(AND(B50="CN",N(I50)&lt;=0),"중국공급가=원가+마진 ",""))</f>
        <v/>
      </c>
      <c r="Q50" s="47" t="n">
        <f aca="false">IF(SUMIFS($W:$W,$A:$A,A50,$C:$C,C50)=0,0,SUMIFS(RAW_판매펀칭!$K:$K,RAW_판매펀칭!$P:$P,A50,RAW_판매펀칭!$I:$I,C50)*W50/SUMIFS($W:$W,$A:$A,A50,$C:$C,C50))</f>
        <v>80</v>
      </c>
      <c r="R50" s="47" t="n">
        <f aca="false">IF(OR(A50="500",A50="800",A50="810"),0,MAX(W50-Q50,0))</f>
        <v>0</v>
      </c>
      <c r="S50" s="47" t="n">
        <f aca="false">R50*L50</f>
        <v>0</v>
      </c>
      <c r="T50" s="47" t="n">
        <f aca="false">R50*J50</f>
        <v>0</v>
      </c>
      <c r="U50" s="47" t="n">
        <f aca="false">R50*K50</f>
        <v>0</v>
      </c>
      <c r="V50" s="0" t="str">
        <f aca="false">IF(COUNTIFS($A$2:A50,A50,$C$2:C50,C50,$D$2:D50,D50)&gt;1,"중복","")</f>
        <v/>
      </c>
      <c r="W50" s="0" t="n">
        <f aca="false">IF(V50="중복",0,N(D50))</f>
        <v>80</v>
      </c>
      <c r="X50" s="0" t="n">
        <f aca="false">IF(COUNTIFS($A$2:A50,A50,$C$2:C50,C50)=1,ABS(SUMIFS(RAW_발주!$D:$D,RAW_발주!$C:$C,A50,RAW_발주!$A:$A,C50)-SUMIFS($W:$W,$A:$A,A50,$C:$C,C50)),0)</f>
        <v>0</v>
      </c>
    </row>
    <row r="51" customFormat="false" ht="15" hidden="false" customHeight="true" outlineLevel="0" collapsed="false">
      <c r="A51" s="45" t="s">
        <v>1663</v>
      </c>
      <c r="B51" s="42" t="str">
        <f aca="false">IF(A51="100","HK",IF(A51="200","CN",IF(A51="300","TW","홀세일")))</f>
        <v>홀세일</v>
      </c>
      <c r="C51" s="45" t="s">
        <v>148</v>
      </c>
      <c r="D51" s="46" t="n">
        <v>30</v>
      </c>
      <c r="E51" s="46" t="n">
        <v>179000</v>
      </c>
      <c r="F51" s="46" t="n">
        <v>42192</v>
      </c>
      <c r="G51" s="42" t="n">
        <v>3.62</v>
      </c>
      <c r="H51" s="42" t="n">
        <v>47.6</v>
      </c>
      <c r="J51" s="46" t="n">
        <f aca="false">IF(N(E51)&gt;0,E51,IF(N(F51)&gt;0,F51*요약!$F$27,0))</f>
        <v>179000</v>
      </c>
      <c r="K51" s="46" t="n">
        <f aca="false">IF(N(F51)&gt;0,F51,IF(N(E51)&gt;0,E51/요약!$F$27,0))</f>
        <v>42192</v>
      </c>
      <c r="L51" s="46" t="n">
        <f aca="false">IF(B51="CN",IF(N(I51)&gt;0,I51*요약!$G$27,K51*(1+요약!$E$27)),IF(N(H51)&gt;0,H51*요약!$G$27,J51*요약!$D$27))</f>
        <v>62832</v>
      </c>
      <c r="M51" s="46" t="n">
        <f aca="false">D51*J51</f>
        <v>5370000</v>
      </c>
      <c r="N51" s="46" t="n">
        <f aca="false">D51*K51</f>
        <v>1265760</v>
      </c>
      <c r="O51" s="46" t="n">
        <f aca="false">D51*L51</f>
        <v>1884960</v>
      </c>
      <c r="P51" s="42" t="str">
        <f aca="false">TRIM(IF(N(E51)&lt;=0,"택가보정 ","")&amp;IF(N(F51)&lt;=0,"원가보정 ","")&amp;IF(AND(B51&lt;&gt;"CN",N(H51)&lt;=0),"공급가보정 ","")&amp;IF(AND(B51="CN",N(I51)&lt;=0),"중국공급가=원가+마진 ",""))</f>
        <v/>
      </c>
      <c r="Q51" s="47" t="n">
        <f aca="false">IF(SUMIFS($W:$W,$A:$A,A51,$C:$C,C51)=0,0,SUMIFS(RAW_판매펀칭!$K:$K,RAW_판매펀칭!$P:$P,A51,RAW_판매펀칭!$I:$I,C51)*W51/SUMIFS($W:$W,$A:$A,A51,$C:$C,C51))</f>
        <v>30</v>
      </c>
      <c r="R51" s="47" t="n">
        <f aca="false">IF(OR(A51="500",A51="800",A51="810"),0,MAX(W51-Q51,0))</f>
        <v>0</v>
      </c>
      <c r="S51" s="47" t="n">
        <f aca="false">R51*L51</f>
        <v>0</v>
      </c>
      <c r="T51" s="47" t="n">
        <f aca="false">R51*J51</f>
        <v>0</v>
      </c>
      <c r="U51" s="47" t="n">
        <f aca="false">R51*K51</f>
        <v>0</v>
      </c>
      <c r="V51" s="0" t="str">
        <f aca="false">IF(COUNTIFS($A$2:A51,A51,$C$2:C51,C51,$D$2:D51,D51)&gt;1,"중복","")</f>
        <v/>
      </c>
      <c r="W51" s="0" t="n">
        <f aca="false">IF(V51="중복",0,N(D51))</f>
        <v>30</v>
      </c>
      <c r="X51" s="0" t="n">
        <f aca="false">IF(COUNTIFS($A$2:A51,A51,$C$2:C51,C51)=1,ABS(SUMIFS(RAW_발주!$D:$D,RAW_발주!$C:$C,A51,RAW_발주!$A:$A,C51)-SUMIFS($W:$W,$A:$A,A51,$C:$C,C51)),0)</f>
        <v>0</v>
      </c>
    </row>
    <row r="52" customFormat="false" ht="15" hidden="false" customHeight="true" outlineLevel="0" collapsed="false">
      <c r="A52" s="45" t="s">
        <v>1667</v>
      </c>
      <c r="B52" s="42" t="str">
        <f aca="false">IF(A52="100","HK",IF(A52="200","CN",IF(A52="300","TW","홀세일")))</f>
        <v>홀세일</v>
      </c>
      <c r="C52" s="45" t="s">
        <v>148</v>
      </c>
      <c r="D52" s="46" t="n">
        <v>102</v>
      </c>
      <c r="E52" s="46" t="n">
        <v>179000</v>
      </c>
      <c r="F52" s="46" t="n">
        <v>42192</v>
      </c>
      <c r="G52" s="42" t="n">
        <v>3.62</v>
      </c>
      <c r="H52" s="42" t="n">
        <v>47.6</v>
      </c>
      <c r="J52" s="46" t="n">
        <f aca="false">IF(N(E52)&gt;0,E52,IF(N(F52)&gt;0,F52*요약!$F$27,0))</f>
        <v>179000</v>
      </c>
      <c r="K52" s="46" t="n">
        <f aca="false">IF(N(F52)&gt;0,F52,IF(N(E52)&gt;0,E52/요약!$F$27,0))</f>
        <v>42192</v>
      </c>
      <c r="L52" s="46" t="n">
        <f aca="false">IF(B52="CN",IF(N(I52)&gt;0,I52*요약!$G$27,K52*(1+요약!$E$27)),IF(N(H52)&gt;0,H52*요약!$G$27,J52*요약!$D$27))</f>
        <v>62832</v>
      </c>
      <c r="M52" s="46" t="n">
        <f aca="false">D52*J52</f>
        <v>18258000</v>
      </c>
      <c r="N52" s="46" t="n">
        <f aca="false">D52*K52</f>
        <v>4303584</v>
      </c>
      <c r="O52" s="46" t="n">
        <f aca="false">D52*L52</f>
        <v>6408864</v>
      </c>
      <c r="P52" s="42" t="str">
        <f aca="false">TRIM(IF(N(E52)&lt;=0,"택가보정 ","")&amp;IF(N(F52)&lt;=0,"원가보정 ","")&amp;IF(AND(B52&lt;&gt;"CN",N(H52)&lt;=0),"공급가보정 ","")&amp;IF(AND(B52="CN",N(I52)&lt;=0),"중국공급가=원가+마진 ",""))</f>
        <v/>
      </c>
      <c r="Q52" s="47" t="n">
        <f aca="false">IF(SUMIFS($W:$W,$A:$A,A52,$C:$C,C52)=0,0,SUMIFS(RAW_판매펀칭!$K:$K,RAW_판매펀칭!$P:$P,A52,RAW_판매펀칭!$I:$I,C52)*W52/SUMIFS($W:$W,$A:$A,A52,$C:$C,C52))</f>
        <v>102</v>
      </c>
      <c r="R52" s="47" t="n">
        <f aca="false">IF(OR(A52="500",A52="800",A52="810"),0,MAX(W52-Q52,0))</f>
        <v>0</v>
      </c>
      <c r="S52" s="47" t="n">
        <f aca="false">R52*L52</f>
        <v>0</v>
      </c>
      <c r="T52" s="47" t="n">
        <f aca="false">R52*J52</f>
        <v>0</v>
      </c>
      <c r="U52" s="47" t="n">
        <f aca="false">R52*K52</f>
        <v>0</v>
      </c>
      <c r="V52" s="0" t="str">
        <f aca="false">IF(COUNTIFS($A$2:A52,A52,$C$2:C52,C52,$D$2:D52,D52)&gt;1,"중복","")</f>
        <v/>
      </c>
      <c r="W52" s="0" t="n">
        <f aca="false">IF(V52="중복",0,N(D52))</f>
        <v>102</v>
      </c>
      <c r="X52" s="0" t="n">
        <f aca="false">IF(COUNTIFS($A$2:A52,A52,$C$2:C52,C52)=1,ABS(SUMIFS(RAW_발주!$D:$D,RAW_발주!$C:$C,A52,RAW_발주!$A:$A,C52)-SUMIFS($W:$W,$A:$A,A52,$C:$C,C52)),0)</f>
        <v>0</v>
      </c>
    </row>
    <row r="53" customFormat="false" ht="15" hidden="false" customHeight="true" outlineLevel="0" collapsed="false">
      <c r="A53" s="45" t="s">
        <v>1664</v>
      </c>
      <c r="B53" s="42" t="str">
        <f aca="false">IF(A53="100","HK",IF(A53="200","CN",IF(A53="300","TW","홀세일")))</f>
        <v>홀세일</v>
      </c>
      <c r="C53" s="45" t="s">
        <v>148</v>
      </c>
      <c r="D53" s="46" t="n">
        <v>20</v>
      </c>
      <c r="E53" s="46" t="n">
        <v>179000</v>
      </c>
      <c r="F53" s="46" t="n">
        <v>42192</v>
      </c>
      <c r="G53" s="42" t="n">
        <v>3.62</v>
      </c>
      <c r="H53" s="42" t="n">
        <v>47.6</v>
      </c>
      <c r="J53" s="46" t="n">
        <f aca="false">IF(N(E53)&gt;0,E53,IF(N(F53)&gt;0,F53*요약!$F$27,0))</f>
        <v>179000</v>
      </c>
      <c r="K53" s="46" t="n">
        <f aca="false">IF(N(F53)&gt;0,F53,IF(N(E53)&gt;0,E53/요약!$F$27,0))</f>
        <v>42192</v>
      </c>
      <c r="L53" s="46" t="n">
        <f aca="false">IF(B53="CN",IF(N(I53)&gt;0,I53*요약!$G$27,K53*(1+요약!$E$27)),IF(N(H53)&gt;0,H53*요약!$G$27,J53*요약!$D$27))</f>
        <v>62832</v>
      </c>
      <c r="M53" s="46" t="n">
        <f aca="false">D53*J53</f>
        <v>3580000</v>
      </c>
      <c r="N53" s="46" t="n">
        <f aca="false">D53*K53</f>
        <v>843840</v>
      </c>
      <c r="O53" s="46" t="n">
        <f aca="false">D53*L53</f>
        <v>1256640</v>
      </c>
      <c r="P53" s="42" t="str">
        <f aca="false">TRIM(IF(N(E53)&lt;=0,"택가보정 ","")&amp;IF(N(F53)&lt;=0,"원가보정 ","")&amp;IF(AND(B53&lt;&gt;"CN",N(H53)&lt;=0),"공급가보정 ","")&amp;IF(AND(B53="CN",N(I53)&lt;=0),"중국공급가=원가+마진 ",""))</f>
        <v/>
      </c>
      <c r="Q53" s="47" t="n">
        <f aca="false">IF(SUMIFS($W:$W,$A:$A,A53,$C:$C,C53)=0,0,SUMIFS(RAW_판매펀칭!$K:$K,RAW_판매펀칭!$P:$P,A53,RAW_판매펀칭!$I:$I,C53)*W53/SUMIFS($W:$W,$A:$A,A53,$C:$C,C53))</f>
        <v>20</v>
      </c>
      <c r="R53" s="47" t="n">
        <f aca="false">IF(OR(A53="500",A53="800",A53="810"),0,MAX(W53-Q53,0))</f>
        <v>0</v>
      </c>
      <c r="S53" s="47" t="n">
        <f aca="false">R53*L53</f>
        <v>0</v>
      </c>
      <c r="T53" s="47" t="n">
        <f aca="false">R53*J53</f>
        <v>0</v>
      </c>
      <c r="U53" s="47" t="n">
        <f aca="false">R53*K53</f>
        <v>0</v>
      </c>
      <c r="V53" s="0" t="str">
        <f aca="false">IF(COUNTIFS($A$2:A53,A53,$C$2:C53,C53,$D$2:D53,D53)&gt;1,"중복","")</f>
        <v/>
      </c>
      <c r="W53" s="0" t="n">
        <f aca="false">IF(V53="중복",0,N(D53))</f>
        <v>20</v>
      </c>
      <c r="X53" s="0" t="n">
        <f aca="false">IF(COUNTIFS($A$2:A53,A53,$C$2:C53,C53)=1,ABS(SUMIFS(RAW_발주!$D:$D,RAW_발주!$C:$C,A53,RAW_발주!$A:$A,C53)-SUMIFS($W:$W,$A:$A,A53,$C:$C,C53)),0)</f>
        <v>0</v>
      </c>
    </row>
    <row r="54" customFormat="false" ht="15" hidden="false" customHeight="true" outlineLevel="0" collapsed="false">
      <c r="A54" s="45" t="s">
        <v>1659</v>
      </c>
      <c r="B54" s="42" t="str">
        <f aca="false">IF(A54="100","HK",IF(A54="200","CN",IF(A54="300","TW","홀세일")))</f>
        <v>HK</v>
      </c>
      <c r="C54" s="45" t="s">
        <v>150</v>
      </c>
      <c r="D54" s="46" t="n">
        <v>140</v>
      </c>
      <c r="E54" s="46" t="n">
        <v>189000</v>
      </c>
      <c r="F54" s="46" t="n">
        <v>44131</v>
      </c>
      <c r="G54" s="42" t="n">
        <v>3.67</v>
      </c>
      <c r="H54" s="42" t="n">
        <v>50.2</v>
      </c>
      <c r="J54" s="46" t="n">
        <f aca="false">IF(N(E54)&gt;0,E54,IF(N(F54)&gt;0,F54*요약!$F$27,0))</f>
        <v>189000</v>
      </c>
      <c r="K54" s="46" t="n">
        <f aca="false">IF(N(F54)&gt;0,F54,IF(N(E54)&gt;0,E54/요약!$F$27,0))</f>
        <v>44131</v>
      </c>
      <c r="L54" s="46" t="n">
        <f aca="false">IF(B54="CN",IF(N(I54)&gt;0,I54*요약!$G$27,K54*(1+요약!$E$27)),IF(N(H54)&gt;0,H54*요약!$G$27,J54*요약!$D$27))</f>
        <v>66264</v>
      </c>
      <c r="M54" s="46" t="n">
        <f aca="false">D54*J54</f>
        <v>26460000</v>
      </c>
      <c r="N54" s="46" t="n">
        <f aca="false">D54*K54</f>
        <v>6178340</v>
      </c>
      <c r="O54" s="46" t="n">
        <f aca="false">D54*L54</f>
        <v>9276960</v>
      </c>
      <c r="P54" s="42" t="str">
        <f aca="false">TRIM(IF(N(E54)&lt;=0,"택가보정 ","")&amp;IF(N(F54)&lt;=0,"원가보정 ","")&amp;IF(AND(B54&lt;&gt;"CN",N(H54)&lt;=0),"공급가보정 ","")&amp;IF(AND(B54="CN",N(I54)&lt;=0),"중국공급가=원가+마진 ",""))</f>
        <v/>
      </c>
      <c r="Q54" s="47" t="n">
        <f aca="false">IF(SUMIFS($W:$W,$A:$A,A54,$C:$C,C54)=0,0,SUMIFS(RAW_판매펀칭!$K:$K,RAW_판매펀칭!$P:$P,A54,RAW_판매펀칭!$I:$I,C54)*W54/SUMIFS($W:$W,$A:$A,A54,$C:$C,C54))</f>
        <v>0</v>
      </c>
      <c r="R54" s="47" t="n">
        <f aca="false">IF(OR(A54="500",A54="800",A54="810"),0,MAX(W54-Q54,0))</f>
        <v>140</v>
      </c>
      <c r="S54" s="47" t="n">
        <f aca="false">R54*L54</f>
        <v>9276960</v>
      </c>
      <c r="T54" s="47" t="n">
        <f aca="false">R54*J54</f>
        <v>26460000</v>
      </c>
      <c r="U54" s="47" t="n">
        <f aca="false">R54*K54</f>
        <v>6178340</v>
      </c>
      <c r="V54" s="0" t="str">
        <f aca="false">IF(COUNTIFS($A$2:A54,A54,$C$2:C54,C54,$D$2:D54,D54)&gt;1,"중복","")</f>
        <v/>
      </c>
      <c r="W54" s="0" t="n">
        <f aca="false">IF(V54="중복",0,N(D54))</f>
        <v>140</v>
      </c>
      <c r="X54" s="0" t="n">
        <f aca="false">IF(COUNTIFS($A$2:A54,A54,$C$2:C54,C54)=1,ABS(SUMIFS(RAW_발주!$D:$D,RAW_발주!$C:$C,A54,RAW_발주!$A:$A,C54)-SUMIFS($W:$W,$A:$A,A54,$C:$C,C54)),0)</f>
        <v>0</v>
      </c>
    </row>
    <row r="55" customFormat="false" ht="15.75" hidden="false" customHeight="true" outlineLevel="0" collapsed="false">
      <c r="A55" s="45" t="s">
        <v>1660</v>
      </c>
      <c r="B55" s="42" t="str">
        <f aca="false">IF(A55="100","HK",IF(A55="200","CN",IF(A55="300","TW","홀세일")))</f>
        <v>CN</v>
      </c>
      <c r="C55" s="45" t="s">
        <v>150</v>
      </c>
      <c r="D55" s="46" t="n">
        <v>101</v>
      </c>
      <c r="E55" s="46" t="n">
        <v>189000</v>
      </c>
      <c r="F55" s="46" t="n">
        <v>44131</v>
      </c>
      <c r="G55" s="42" t="n">
        <v>3.67</v>
      </c>
      <c r="H55" s="42" t="n">
        <v>50.2</v>
      </c>
      <c r="J55" s="46" t="n">
        <f aca="false">IF(N(E55)&gt;0,E55,IF(N(F55)&gt;0,F55*요약!$F$27,0))</f>
        <v>189000</v>
      </c>
      <c r="K55" s="46" t="n">
        <f aca="false">IF(N(F55)&gt;0,F55,IF(N(E55)&gt;0,E55/요약!$F$27,0))</f>
        <v>44131</v>
      </c>
      <c r="L55" s="46" t="n">
        <f aca="false">IF(B55="CN",IF(N(I55)&gt;0,I55*요약!$G$27,K55*(1+요약!$E$27)),IF(N(H55)&gt;0,H55*요약!$G$27,J55*요약!$D$27))</f>
        <v>46337.55</v>
      </c>
      <c r="M55" s="46" t="n">
        <f aca="false">D55*J55</f>
        <v>19089000</v>
      </c>
      <c r="N55" s="46" t="n">
        <f aca="false">D55*K55</f>
        <v>4457231</v>
      </c>
      <c r="O55" s="46" t="n">
        <f aca="false">D55*L55</f>
        <v>4680092.55</v>
      </c>
      <c r="P55" s="42" t="str">
        <f aca="false">TRIM(IF(N(E55)&lt;=0,"택가보정 ","")&amp;IF(N(F55)&lt;=0,"원가보정 ","")&amp;IF(AND(B55&lt;&gt;"CN",N(H55)&lt;=0),"공급가보정 ","")&amp;IF(AND(B55="CN",N(I55)&lt;=0),"중국공급가=원가+마진 ",""))</f>
        <v>중국공급가=원가+마진</v>
      </c>
      <c r="Q55" s="47" t="n">
        <f aca="false">IF(SUMIFS($W:$W,$A:$A,A55,$C:$C,C55)=0,0,SUMIFS(RAW_판매펀칭!$K:$K,RAW_판매펀칭!$P:$P,A55,RAW_판매펀칭!$I:$I,C55)*W55/SUMIFS($W:$W,$A:$A,A55,$C:$C,C55))</f>
        <v>0</v>
      </c>
      <c r="R55" s="47" t="n">
        <f aca="false">IF(OR(A55="500",A55="800",A55="810"),0,MAX(W55-Q55,0))</f>
        <v>101</v>
      </c>
      <c r="S55" s="47" t="n">
        <f aca="false">R55*L55</f>
        <v>4680092.55</v>
      </c>
      <c r="T55" s="47" t="n">
        <f aca="false">R55*J55</f>
        <v>19089000</v>
      </c>
      <c r="U55" s="47" t="n">
        <f aca="false">R55*K55</f>
        <v>4457231</v>
      </c>
      <c r="V55" s="0" t="str">
        <f aca="false">IF(COUNTIFS($A$2:A55,A55,$C$2:C55,C55,$D$2:D55,D55)&gt;1,"중복","")</f>
        <v/>
      </c>
      <c r="W55" s="0" t="n">
        <f aca="false">IF(V55="중복",0,N(D55))</f>
        <v>101</v>
      </c>
      <c r="X55" s="0" t="n">
        <f aca="false">IF(COUNTIFS($A$2:A55,A55,$C$2:C55,C55)=1,ABS(SUMIFS(RAW_발주!$D:$D,RAW_발주!$C:$C,A55,RAW_발주!$A:$A,C55)-SUMIFS($W:$W,$A:$A,A55,$C:$C,C55)),0)</f>
        <v>0</v>
      </c>
    </row>
    <row r="56" customFormat="false" ht="15" hidden="false" customHeight="true" outlineLevel="0" collapsed="false">
      <c r="A56" s="45" t="s">
        <v>1661</v>
      </c>
      <c r="B56" s="42" t="str">
        <f aca="false">IF(A56="100","HK",IF(A56="200","CN",IF(A56="300","TW","홀세일")))</f>
        <v>TW</v>
      </c>
      <c r="C56" s="45" t="s">
        <v>150</v>
      </c>
      <c r="D56" s="46" t="n">
        <v>80</v>
      </c>
      <c r="E56" s="46" t="n">
        <v>189000</v>
      </c>
      <c r="F56" s="46" t="n">
        <v>44131</v>
      </c>
      <c r="G56" s="42" t="n">
        <v>3.67</v>
      </c>
      <c r="H56" s="42" t="n">
        <v>50.2</v>
      </c>
      <c r="J56" s="46" t="n">
        <f aca="false">IF(N(E56)&gt;0,E56,IF(N(F56)&gt;0,F56*요약!$F$27,0))</f>
        <v>189000</v>
      </c>
      <c r="K56" s="46" t="n">
        <f aca="false">IF(N(F56)&gt;0,F56,IF(N(E56)&gt;0,E56/요약!$F$27,0))</f>
        <v>44131</v>
      </c>
      <c r="L56" s="46" t="n">
        <f aca="false">IF(B56="CN",IF(N(I56)&gt;0,I56*요약!$G$27,K56*(1+요약!$E$27)),IF(N(H56)&gt;0,H56*요약!$G$27,J56*요약!$D$27))</f>
        <v>66264</v>
      </c>
      <c r="M56" s="46" t="n">
        <f aca="false">D56*J56</f>
        <v>15120000</v>
      </c>
      <c r="N56" s="46" t="n">
        <f aca="false">D56*K56</f>
        <v>3530480</v>
      </c>
      <c r="O56" s="46" t="n">
        <f aca="false">D56*L56</f>
        <v>5301120</v>
      </c>
      <c r="P56" s="42" t="str">
        <f aca="false">TRIM(IF(N(E56)&lt;=0,"택가보정 ","")&amp;IF(N(F56)&lt;=0,"원가보정 ","")&amp;IF(AND(B56&lt;&gt;"CN",N(H56)&lt;=0),"공급가보정 ","")&amp;IF(AND(B56="CN",N(I56)&lt;=0),"중국공급가=원가+마진 ",""))</f>
        <v/>
      </c>
      <c r="Q56" s="47" t="n">
        <f aca="false">IF(SUMIFS($W:$W,$A:$A,A56,$C:$C,C56)=0,0,SUMIFS(RAW_판매펀칭!$K:$K,RAW_판매펀칭!$P:$P,A56,RAW_판매펀칭!$I:$I,C56)*W56/SUMIFS($W:$W,$A:$A,A56,$C:$C,C56))</f>
        <v>80</v>
      </c>
      <c r="R56" s="47" t="n">
        <f aca="false">IF(OR(A56="500",A56="800",A56="810"),0,MAX(W56-Q56,0))</f>
        <v>0</v>
      </c>
      <c r="S56" s="47" t="n">
        <f aca="false">R56*L56</f>
        <v>0</v>
      </c>
      <c r="T56" s="47" t="n">
        <f aca="false">R56*J56</f>
        <v>0</v>
      </c>
      <c r="U56" s="47" t="n">
        <f aca="false">R56*K56</f>
        <v>0</v>
      </c>
      <c r="V56" s="0" t="str">
        <f aca="false">IF(COUNTIFS($A$2:A56,A56,$C$2:C56,C56,$D$2:D56,D56)&gt;1,"중복","")</f>
        <v/>
      </c>
      <c r="W56" s="0" t="n">
        <f aca="false">IF(V56="중복",0,N(D56))</f>
        <v>80</v>
      </c>
      <c r="X56" s="0" t="n">
        <f aca="false">IF(COUNTIFS($A$2:A56,A56,$C$2:C56,C56)=1,ABS(SUMIFS(RAW_발주!$D:$D,RAW_발주!$C:$C,A56,RAW_발주!$A:$A,C56)-SUMIFS($W:$W,$A:$A,A56,$C:$C,C56)),0)</f>
        <v>0</v>
      </c>
    </row>
    <row r="57" customFormat="false" ht="15" hidden="false" customHeight="true" outlineLevel="0" collapsed="false">
      <c r="A57" s="45" t="s">
        <v>1662</v>
      </c>
      <c r="B57" s="42" t="str">
        <f aca="false">IF(A57="100","HK",IF(A57="200","CN",IF(A57="300","TW","홀세일")))</f>
        <v>홀세일</v>
      </c>
      <c r="C57" s="45" t="s">
        <v>150</v>
      </c>
      <c r="D57" s="46" t="n">
        <v>30</v>
      </c>
      <c r="E57" s="46" t="n">
        <v>189000</v>
      </c>
      <c r="F57" s="46" t="n">
        <v>44131</v>
      </c>
      <c r="G57" s="42" t="n">
        <v>3.67</v>
      </c>
      <c r="H57" s="42" t="n">
        <v>50.2</v>
      </c>
      <c r="J57" s="46" t="n">
        <f aca="false">IF(N(E57)&gt;0,E57,IF(N(F57)&gt;0,F57*요약!$F$27,0))</f>
        <v>189000</v>
      </c>
      <c r="K57" s="46" t="n">
        <f aca="false">IF(N(F57)&gt;0,F57,IF(N(E57)&gt;0,E57/요약!$F$27,0))</f>
        <v>44131</v>
      </c>
      <c r="L57" s="46" t="n">
        <f aca="false">IF(B57="CN",IF(N(I57)&gt;0,I57*요약!$G$27,K57*(1+요약!$E$27)),IF(N(H57)&gt;0,H57*요약!$G$27,J57*요약!$D$27))</f>
        <v>66264</v>
      </c>
      <c r="M57" s="46" t="n">
        <f aca="false">D57*J57</f>
        <v>5670000</v>
      </c>
      <c r="N57" s="46" t="n">
        <f aca="false">D57*K57</f>
        <v>1323930</v>
      </c>
      <c r="O57" s="46" t="n">
        <f aca="false">D57*L57</f>
        <v>1987920</v>
      </c>
      <c r="P57" s="42" t="str">
        <f aca="false">TRIM(IF(N(E57)&lt;=0,"택가보정 ","")&amp;IF(N(F57)&lt;=0,"원가보정 ","")&amp;IF(AND(B57&lt;&gt;"CN",N(H57)&lt;=0),"공급가보정 ","")&amp;IF(AND(B57="CN",N(I57)&lt;=0),"중국공급가=원가+마진 ",""))</f>
        <v/>
      </c>
      <c r="Q57" s="47" t="n">
        <f aca="false">IF(SUMIFS($W:$W,$A:$A,A57,$C:$C,C57)=0,0,SUMIFS(RAW_판매펀칭!$K:$K,RAW_판매펀칭!$P:$P,A57,RAW_판매펀칭!$I:$I,C57)*W57/SUMIFS($W:$W,$A:$A,A57,$C:$C,C57))</f>
        <v>0</v>
      </c>
      <c r="R57" s="47" t="n">
        <f aca="false">IF(OR(A57="500",A57="800",A57="810"),0,MAX(W57-Q57,0))</f>
        <v>0</v>
      </c>
      <c r="S57" s="47" t="n">
        <f aca="false">R57*L57</f>
        <v>0</v>
      </c>
      <c r="T57" s="47" t="n">
        <f aca="false">R57*J57</f>
        <v>0</v>
      </c>
      <c r="U57" s="47" t="n">
        <f aca="false">R57*K57</f>
        <v>0</v>
      </c>
      <c r="V57" s="0" t="str">
        <f aca="false">IF(COUNTIFS($A$2:A57,A57,$C$2:C57,C57,$D$2:D57,D57)&gt;1,"중복","")</f>
        <v/>
      </c>
      <c r="W57" s="0" t="n">
        <f aca="false">IF(V57="중복",0,N(D57))</f>
        <v>30</v>
      </c>
      <c r="X57" s="0" t="n">
        <f aca="false">IF(COUNTIFS($A$2:A57,A57,$C$2:C57,C57)=1,ABS(SUMIFS(RAW_발주!$D:$D,RAW_발주!$C:$C,A57,RAW_발주!$A:$A,C57)-SUMIFS($W:$W,$A:$A,A57,$C:$C,C57)),0)</f>
        <v>0</v>
      </c>
    </row>
    <row r="58" customFormat="false" ht="15" hidden="false" customHeight="true" outlineLevel="0" collapsed="false">
      <c r="A58" s="45" t="s">
        <v>1663</v>
      </c>
      <c r="B58" s="42" t="str">
        <f aca="false">IF(A58="100","HK",IF(A58="200","CN",IF(A58="300","TW","홀세일")))</f>
        <v>홀세일</v>
      </c>
      <c r="C58" s="45" t="s">
        <v>150</v>
      </c>
      <c r="D58" s="46" t="n">
        <v>20</v>
      </c>
      <c r="E58" s="46" t="n">
        <v>189000</v>
      </c>
      <c r="F58" s="46" t="n">
        <v>44131</v>
      </c>
      <c r="G58" s="42" t="n">
        <v>3.67</v>
      </c>
      <c r="H58" s="42" t="n">
        <v>50.2</v>
      </c>
      <c r="J58" s="46" t="n">
        <f aca="false">IF(N(E58)&gt;0,E58,IF(N(F58)&gt;0,F58*요약!$F$27,0))</f>
        <v>189000</v>
      </c>
      <c r="K58" s="46" t="n">
        <f aca="false">IF(N(F58)&gt;0,F58,IF(N(E58)&gt;0,E58/요약!$F$27,0))</f>
        <v>44131</v>
      </c>
      <c r="L58" s="46" t="n">
        <f aca="false">IF(B58="CN",IF(N(I58)&gt;0,I58*요약!$G$27,K58*(1+요약!$E$27)),IF(N(H58)&gt;0,H58*요약!$G$27,J58*요약!$D$27))</f>
        <v>66264</v>
      </c>
      <c r="M58" s="46" t="n">
        <f aca="false">D58*J58</f>
        <v>3780000</v>
      </c>
      <c r="N58" s="46" t="n">
        <f aca="false">D58*K58</f>
        <v>882620</v>
      </c>
      <c r="O58" s="46" t="n">
        <f aca="false">D58*L58</f>
        <v>1325280</v>
      </c>
      <c r="P58" s="42" t="str">
        <f aca="false">TRIM(IF(N(E58)&lt;=0,"택가보정 ","")&amp;IF(N(F58)&lt;=0,"원가보정 ","")&amp;IF(AND(B58&lt;&gt;"CN",N(H58)&lt;=0),"공급가보정 ","")&amp;IF(AND(B58="CN",N(I58)&lt;=0),"중국공급가=원가+마진 ",""))</f>
        <v/>
      </c>
      <c r="Q58" s="47" t="n">
        <f aca="false">IF(SUMIFS($W:$W,$A:$A,A58,$C:$C,C58)=0,0,SUMIFS(RAW_판매펀칭!$K:$K,RAW_판매펀칭!$P:$P,A58,RAW_판매펀칭!$I:$I,C58)*W58/SUMIFS($W:$W,$A:$A,A58,$C:$C,C58))</f>
        <v>20</v>
      </c>
      <c r="R58" s="47" t="n">
        <f aca="false">IF(OR(A58="500",A58="800",A58="810"),0,MAX(W58-Q58,0))</f>
        <v>0</v>
      </c>
      <c r="S58" s="47" t="n">
        <f aca="false">R58*L58</f>
        <v>0</v>
      </c>
      <c r="T58" s="47" t="n">
        <f aca="false">R58*J58</f>
        <v>0</v>
      </c>
      <c r="U58" s="47" t="n">
        <f aca="false">R58*K58</f>
        <v>0</v>
      </c>
      <c r="V58" s="0" t="str">
        <f aca="false">IF(COUNTIFS($A$2:A58,A58,$C$2:C58,C58,$D$2:D58,D58)&gt;1,"중복","")</f>
        <v/>
      </c>
      <c r="W58" s="0" t="n">
        <f aca="false">IF(V58="중복",0,N(D58))</f>
        <v>20</v>
      </c>
      <c r="X58" s="0" t="n">
        <f aca="false">IF(COUNTIFS($A$2:A58,A58,$C$2:C58,C58)=1,ABS(SUMIFS(RAW_발주!$D:$D,RAW_발주!$C:$C,A58,RAW_발주!$A:$A,C58)-SUMIFS($W:$W,$A:$A,A58,$C:$C,C58)),0)</f>
        <v>0</v>
      </c>
    </row>
    <row r="59" customFormat="false" ht="15" hidden="false" customHeight="true" outlineLevel="0" collapsed="false">
      <c r="A59" s="45" t="s">
        <v>1667</v>
      </c>
      <c r="B59" s="42" t="str">
        <f aca="false">IF(A59="100","HK",IF(A59="200","CN",IF(A59="300","TW","홀세일")))</f>
        <v>홀세일</v>
      </c>
      <c r="C59" s="45" t="s">
        <v>150</v>
      </c>
      <c r="D59" s="46" t="n">
        <v>102</v>
      </c>
      <c r="E59" s="46" t="n">
        <v>189000</v>
      </c>
      <c r="F59" s="46" t="n">
        <v>44131</v>
      </c>
      <c r="G59" s="42" t="n">
        <v>3.67</v>
      </c>
      <c r="H59" s="42" t="n">
        <v>50.2</v>
      </c>
      <c r="J59" s="46" t="n">
        <f aca="false">IF(N(E59)&gt;0,E59,IF(N(F59)&gt;0,F59*요약!$F$27,0))</f>
        <v>189000</v>
      </c>
      <c r="K59" s="46" t="n">
        <f aca="false">IF(N(F59)&gt;0,F59,IF(N(E59)&gt;0,E59/요약!$F$27,0))</f>
        <v>44131</v>
      </c>
      <c r="L59" s="46" t="n">
        <f aca="false">IF(B59="CN",IF(N(I59)&gt;0,I59*요약!$G$27,K59*(1+요약!$E$27)),IF(N(H59)&gt;0,H59*요약!$G$27,J59*요약!$D$27))</f>
        <v>66264</v>
      </c>
      <c r="M59" s="46" t="n">
        <f aca="false">D59*J59</f>
        <v>19278000</v>
      </c>
      <c r="N59" s="46" t="n">
        <f aca="false">D59*K59</f>
        <v>4501362</v>
      </c>
      <c r="O59" s="46" t="n">
        <f aca="false">D59*L59</f>
        <v>6758928</v>
      </c>
      <c r="P59" s="42" t="str">
        <f aca="false">TRIM(IF(N(E59)&lt;=0,"택가보정 ","")&amp;IF(N(F59)&lt;=0,"원가보정 ","")&amp;IF(AND(B59&lt;&gt;"CN",N(H59)&lt;=0),"공급가보정 ","")&amp;IF(AND(B59="CN",N(I59)&lt;=0),"중국공급가=원가+마진 ",""))</f>
        <v/>
      </c>
      <c r="Q59" s="47" t="n">
        <f aca="false">IF(SUMIFS($W:$W,$A:$A,A59,$C:$C,C59)=0,0,SUMIFS(RAW_판매펀칭!$K:$K,RAW_판매펀칭!$P:$P,A59,RAW_판매펀칭!$I:$I,C59)*W59/SUMIFS($W:$W,$A:$A,A59,$C:$C,C59))</f>
        <v>102</v>
      </c>
      <c r="R59" s="47" t="n">
        <f aca="false">IF(OR(A59="500",A59="800",A59="810"),0,MAX(W59-Q59,0))</f>
        <v>0</v>
      </c>
      <c r="S59" s="47" t="n">
        <f aca="false">R59*L59</f>
        <v>0</v>
      </c>
      <c r="T59" s="47" t="n">
        <f aca="false">R59*J59</f>
        <v>0</v>
      </c>
      <c r="U59" s="47" t="n">
        <f aca="false">R59*K59</f>
        <v>0</v>
      </c>
      <c r="V59" s="0" t="str">
        <f aca="false">IF(COUNTIFS($A$2:A59,A59,$C$2:C59,C59,$D$2:D59,D59)&gt;1,"중복","")</f>
        <v/>
      </c>
      <c r="W59" s="0" t="n">
        <f aca="false">IF(V59="중복",0,N(D59))</f>
        <v>102</v>
      </c>
      <c r="X59" s="0" t="n">
        <f aca="false">IF(COUNTIFS($A$2:A59,A59,$C$2:C59,C59)=1,ABS(SUMIFS(RAW_발주!$D:$D,RAW_발주!$C:$C,A59,RAW_발주!$A:$A,C59)-SUMIFS($W:$W,$A:$A,A59,$C:$C,C59)),0)</f>
        <v>0</v>
      </c>
    </row>
    <row r="60" customFormat="false" ht="15" hidden="false" customHeight="true" outlineLevel="0" collapsed="false">
      <c r="A60" s="45" t="s">
        <v>1664</v>
      </c>
      <c r="B60" s="42" t="str">
        <f aca="false">IF(A60="100","HK",IF(A60="200","CN",IF(A60="300","TW","홀세일")))</f>
        <v>홀세일</v>
      </c>
      <c r="C60" s="45" t="s">
        <v>150</v>
      </c>
      <c r="D60" s="46" t="n">
        <v>20</v>
      </c>
      <c r="E60" s="46" t="n">
        <v>189000</v>
      </c>
      <c r="F60" s="46" t="n">
        <v>44131</v>
      </c>
      <c r="G60" s="42" t="n">
        <v>3.67</v>
      </c>
      <c r="H60" s="42" t="n">
        <v>50.2</v>
      </c>
      <c r="J60" s="46" t="n">
        <f aca="false">IF(N(E60)&gt;0,E60,IF(N(F60)&gt;0,F60*요약!$F$27,0))</f>
        <v>189000</v>
      </c>
      <c r="K60" s="46" t="n">
        <f aca="false">IF(N(F60)&gt;0,F60,IF(N(E60)&gt;0,E60/요약!$F$27,0))</f>
        <v>44131</v>
      </c>
      <c r="L60" s="46" t="n">
        <f aca="false">IF(B60="CN",IF(N(I60)&gt;0,I60*요약!$G$27,K60*(1+요약!$E$27)),IF(N(H60)&gt;0,H60*요약!$G$27,J60*요약!$D$27))</f>
        <v>66264</v>
      </c>
      <c r="M60" s="46" t="n">
        <f aca="false">D60*J60</f>
        <v>3780000</v>
      </c>
      <c r="N60" s="46" t="n">
        <f aca="false">D60*K60</f>
        <v>882620</v>
      </c>
      <c r="O60" s="46" t="n">
        <f aca="false">D60*L60</f>
        <v>1325280</v>
      </c>
      <c r="P60" s="42" t="str">
        <f aca="false">TRIM(IF(N(E60)&lt;=0,"택가보정 ","")&amp;IF(N(F60)&lt;=0,"원가보정 ","")&amp;IF(AND(B60&lt;&gt;"CN",N(H60)&lt;=0),"공급가보정 ","")&amp;IF(AND(B60="CN",N(I60)&lt;=0),"중국공급가=원가+마진 ",""))</f>
        <v/>
      </c>
      <c r="Q60" s="47" t="n">
        <f aca="false">IF(SUMIFS($W:$W,$A:$A,A60,$C:$C,C60)=0,0,SUMIFS(RAW_판매펀칭!$K:$K,RAW_판매펀칭!$P:$P,A60,RAW_판매펀칭!$I:$I,C60)*W60/SUMIFS($W:$W,$A:$A,A60,$C:$C,C60))</f>
        <v>20</v>
      </c>
      <c r="R60" s="47" t="n">
        <f aca="false">IF(OR(A60="500",A60="800",A60="810"),0,MAX(W60-Q60,0))</f>
        <v>0</v>
      </c>
      <c r="S60" s="47" t="n">
        <f aca="false">R60*L60</f>
        <v>0</v>
      </c>
      <c r="T60" s="47" t="n">
        <f aca="false">R60*J60</f>
        <v>0</v>
      </c>
      <c r="U60" s="47" t="n">
        <f aca="false">R60*K60</f>
        <v>0</v>
      </c>
      <c r="V60" s="0" t="str">
        <f aca="false">IF(COUNTIFS($A$2:A60,A60,$C$2:C60,C60,$D$2:D60,D60)&gt;1,"중복","")</f>
        <v/>
      </c>
      <c r="W60" s="0" t="n">
        <f aca="false">IF(V60="중복",0,N(D60))</f>
        <v>20</v>
      </c>
      <c r="X60" s="0" t="n">
        <f aca="false">IF(COUNTIFS($A$2:A60,A60,$C$2:C60,C60)=1,ABS(SUMIFS(RAW_발주!$D:$D,RAW_발주!$C:$C,A60,RAW_발주!$A:$A,C60)-SUMIFS($W:$W,$A:$A,A60,$C:$C,C60)),0)</f>
        <v>0</v>
      </c>
    </row>
    <row r="61" customFormat="false" ht="15" hidden="false" customHeight="true" outlineLevel="0" collapsed="false">
      <c r="A61" s="45" t="s">
        <v>1661</v>
      </c>
      <c r="B61" s="42" t="str">
        <f aca="false">IF(A61="100","HK",IF(A61="200","CN",IF(A61="300","TW","홀세일")))</f>
        <v>TW</v>
      </c>
      <c r="C61" s="45" t="s">
        <v>1396</v>
      </c>
      <c r="D61" s="46" t="n">
        <v>30</v>
      </c>
      <c r="E61" s="46" t="n">
        <v>139000</v>
      </c>
      <c r="F61" s="46" t="n">
        <v>30502</v>
      </c>
      <c r="G61" s="42" t="n">
        <v>4.05</v>
      </c>
      <c r="H61" s="42" t="n">
        <v>34.8</v>
      </c>
      <c r="J61" s="46" t="n">
        <f aca="false">IF(N(E61)&gt;0,E61,IF(N(F61)&gt;0,F61*요약!$F$27,0))</f>
        <v>139000</v>
      </c>
      <c r="K61" s="46" t="n">
        <f aca="false">IF(N(F61)&gt;0,F61,IF(N(E61)&gt;0,E61/요약!$F$27,0))</f>
        <v>30502</v>
      </c>
      <c r="L61" s="46" t="n">
        <f aca="false">IF(B61="CN",IF(N(I61)&gt;0,I61*요약!$G$27,K61*(1+요약!$E$27)),IF(N(H61)&gt;0,H61*요약!$G$27,J61*요약!$D$27))</f>
        <v>45936</v>
      </c>
      <c r="M61" s="46" t="n">
        <f aca="false">D61*J61</f>
        <v>4170000</v>
      </c>
      <c r="N61" s="46" t="n">
        <f aca="false">D61*K61</f>
        <v>915060</v>
      </c>
      <c r="O61" s="46" t="n">
        <f aca="false">D61*L61</f>
        <v>1378080</v>
      </c>
      <c r="P61" s="42" t="str">
        <f aca="false">TRIM(IF(N(E61)&lt;=0,"택가보정 ","")&amp;IF(N(F61)&lt;=0,"원가보정 ","")&amp;IF(AND(B61&lt;&gt;"CN",N(H61)&lt;=0),"공급가보정 ","")&amp;IF(AND(B61="CN",N(I61)&lt;=0),"중국공급가=원가+마진 ",""))</f>
        <v/>
      </c>
      <c r="Q61" s="47" t="n">
        <f aca="false">IF(SUMIFS($W:$W,$A:$A,A61,$C:$C,C61)=0,0,SUMIFS(RAW_판매펀칭!$K:$K,RAW_판매펀칭!$P:$P,A61,RAW_판매펀칭!$I:$I,C61)*W61/SUMIFS($W:$W,$A:$A,A61,$C:$C,C61))</f>
        <v>0</v>
      </c>
      <c r="R61" s="47" t="n">
        <f aca="false">IF(OR(A61="500",A61="800",A61="810"),0,MAX(W61-Q61,0))</f>
        <v>30</v>
      </c>
      <c r="S61" s="47" t="n">
        <f aca="false">R61*L61</f>
        <v>1378080</v>
      </c>
      <c r="T61" s="47" t="n">
        <f aca="false">R61*J61</f>
        <v>4170000</v>
      </c>
      <c r="U61" s="47" t="n">
        <f aca="false">R61*K61</f>
        <v>915060</v>
      </c>
      <c r="V61" s="0" t="str">
        <f aca="false">IF(COUNTIFS($A$2:A61,A61,$C$2:C61,C61,$D$2:D61,D61)&gt;1,"중복","")</f>
        <v/>
      </c>
      <c r="W61" s="0" t="n">
        <f aca="false">IF(V61="중복",0,N(D61))</f>
        <v>30</v>
      </c>
      <c r="X61" s="0" t="n">
        <f aca="false">IF(COUNTIFS($A$2:A61,A61,$C$2:C61,C61)=1,ABS(SUMIFS(RAW_발주!$D:$D,RAW_발주!$C:$C,A61,RAW_발주!$A:$A,C61)-SUMIFS($W:$W,$A:$A,A61,$C:$C,C61)),0)</f>
        <v>0</v>
      </c>
    </row>
    <row r="62" customFormat="false" ht="15" hidden="false" customHeight="true" outlineLevel="0" collapsed="false">
      <c r="A62" s="45" t="s">
        <v>1663</v>
      </c>
      <c r="B62" s="42" t="str">
        <f aca="false">IF(A62="100","HK",IF(A62="200","CN",IF(A62="300","TW","홀세일")))</f>
        <v>홀세일</v>
      </c>
      <c r="C62" s="45" t="s">
        <v>1396</v>
      </c>
      <c r="D62" s="46" t="n">
        <v>45</v>
      </c>
      <c r="E62" s="46" t="n">
        <v>139000</v>
      </c>
      <c r="F62" s="46" t="n">
        <v>30502</v>
      </c>
      <c r="G62" s="42" t="n">
        <v>4.05</v>
      </c>
      <c r="H62" s="42" t="n">
        <v>34.8</v>
      </c>
      <c r="J62" s="46" t="n">
        <f aca="false">IF(N(E62)&gt;0,E62,IF(N(F62)&gt;0,F62*요약!$F$27,0))</f>
        <v>139000</v>
      </c>
      <c r="K62" s="46" t="n">
        <f aca="false">IF(N(F62)&gt;0,F62,IF(N(E62)&gt;0,E62/요약!$F$27,0))</f>
        <v>30502</v>
      </c>
      <c r="L62" s="46" t="n">
        <f aca="false">IF(B62="CN",IF(N(I62)&gt;0,I62*요약!$G$27,K62*(1+요약!$E$27)),IF(N(H62)&gt;0,H62*요약!$G$27,J62*요약!$D$27))</f>
        <v>45936</v>
      </c>
      <c r="M62" s="46" t="n">
        <f aca="false">D62*J62</f>
        <v>6255000</v>
      </c>
      <c r="N62" s="46" t="n">
        <f aca="false">D62*K62</f>
        <v>1372590</v>
      </c>
      <c r="O62" s="46" t="n">
        <f aca="false">D62*L62</f>
        <v>2067120</v>
      </c>
      <c r="P62" s="42" t="str">
        <f aca="false">TRIM(IF(N(E62)&lt;=0,"택가보정 ","")&amp;IF(N(F62)&lt;=0,"원가보정 ","")&amp;IF(AND(B62&lt;&gt;"CN",N(H62)&lt;=0),"공급가보정 ","")&amp;IF(AND(B62="CN",N(I62)&lt;=0),"중국공급가=원가+마진 ",""))</f>
        <v/>
      </c>
      <c r="Q62" s="47" t="n">
        <f aca="false">IF(SUMIFS($W:$W,$A:$A,A62,$C:$C,C62)=0,0,SUMIFS(RAW_판매펀칭!$K:$K,RAW_판매펀칭!$P:$P,A62,RAW_판매펀칭!$I:$I,C62)*W62/SUMIFS($W:$W,$A:$A,A62,$C:$C,C62))</f>
        <v>0</v>
      </c>
      <c r="R62" s="47" t="n">
        <f aca="false">IF(OR(A62="500",A62="800",A62="810"),0,MAX(W62-Q62,0))</f>
        <v>45</v>
      </c>
      <c r="S62" s="47" t="n">
        <f aca="false">R62*L62</f>
        <v>2067120</v>
      </c>
      <c r="T62" s="47" t="n">
        <f aca="false">R62*J62</f>
        <v>6255000</v>
      </c>
      <c r="U62" s="47" t="n">
        <f aca="false">R62*K62</f>
        <v>1372590</v>
      </c>
      <c r="V62" s="0" t="str">
        <f aca="false">IF(COUNTIFS($A$2:A62,A62,$C$2:C62,C62,$D$2:D62,D62)&gt;1,"중복","")</f>
        <v/>
      </c>
      <c r="W62" s="0" t="n">
        <f aca="false">IF(V62="중복",0,N(D62))</f>
        <v>45</v>
      </c>
      <c r="X62" s="0" t="n">
        <f aca="false">IF(COUNTIFS($A$2:A62,A62,$C$2:C62,C62)=1,ABS(SUMIFS(RAW_발주!$D:$D,RAW_발주!$C:$C,A62,RAW_발주!$A:$A,C62)-SUMIFS($W:$W,$A:$A,A62,$C:$C,C62)),0)</f>
        <v>0</v>
      </c>
    </row>
    <row r="63" customFormat="false" ht="15" hidden="false" customHeight="true" outlineLevel="0" collapsed="false">
      <c r="A63" s="45" t="s">
        <v>1667</v>
      </c>
      <c r="B63" s="42" t="str">
        <f aca="false">IF(A63="100","HK",IF(A63="200","CN",IF(A63="300","TW","홀세일")))</f>
        <v>홀세일</v>
      </c>
      <c r="C63" s="45" t="s">
        <v>1396</v>
      </c>
      <c r="D63" s="46" t="n">
        <v>97</v>
      </c>
      <c r="E63" s="46" t="n">
        <v>139000</v>
      </c>
      <c r="F63" s="46" t="n">
        <v>30502</v>
      </c>
      <c r="G63" s="42" t="n">
        <v>4.05</v>
      </c>
      <c r="H63" s="42" t="n">
        <v>34.8</v>
      </c>
      <c r="J63" s="46" t="n">
        <f aca="false">IF(N(E63)&gt;0,E63,IF(N(F63)&gt;0,F63*요약!$F$27,0))</f>
        <v>139000</v>
      </c>
      <c r="K63" s="46" t="n">
        <f aca="false">IF(N(F63)&gt;0,F63,IF(N(E63)&gt;0,E63/요약!$F$27,0))</f>
        <v>30502</v>
      </c>
      <c r="L63" s="46" t="n">
        <f aca="false">IF(B63="CN",IF(N(I63)&gt;0,I63*요약!$G$27,K63*(1+요약!$E$27)),IF(N(H63)&gt;0,H63*요약!$G$27,J63*요약!$D$27))</f>
        <v>45936</v>
      </c>
      <c r="M63" s="46" t="n">
        <f aca="false">D63*J63</f>
        <v>13483000</v>
      </c>
      <c r="N63" s="46" t="n">
        <f aca="false">D63*K63</f>
        <v>2958694</v>
      </c>
      <c r="O63" s="46" t="n">
        <f aca="false">D63*L63</f>
        <v>4455792</v>
      </c>
      <c r="P63" s="42" t="str">
        <f aca="false">TRIM(IF(N(E63)&lt;=0,"택가보정 ","")&amp;IF(N(F63)&lt;=0,"원가보정 ","")&amp;IF(AND(B63&lt;&gt;"CN",N(H63)&lt;=0),"공급가보정 ","")&amp;IF(AND(B63="CN",N(I63)&lt;=0),"중국공급가=원가+마진 ",""))</f>
        <v/>
      </c>
      <c r="Q63" s="47" t="n">
        <f aca="false">IF(SUMIFS($W:$W,$A:$A,A63,$C:$C,C63)=0,0,SUMIFS(RAW_판매펀칭!$K:$K,RAW_판매펀칭!$P:$P,A63,RAW_판매펀칭!$I:$I,C63)*W63/SUMIFS($W:$W,$A:$A,A63,$C:$C,C63))</f>
        <v>97</v>
      </c>
      <c r="R63" s="47" t="n">
        <f aca="false">IF(OR(A63="500",A63="800",A63="810"),0,MAX(W63-Q63,0))</f>
        <v>0</v>
      </c>
      <c r="S63" s="47" t="n">
        <f aca="false">R63*L63</f>
        <v>0</v>
      </c>
      <c r="T63" s="47" t="n">
        <f aca="false">R63*J63</f>
        <v>0</v>
      </c>
      <c r="U63" s="47" t="n">
        <f aca="false">R63*K63</f>
        <v>0</v>
      </c>
      <c r="V63" s="0" t="str">
        <f aca="false">IF(COUNTIFS($A$2:A63,A63,$C$2:C63,C63,$D$2:D63,D63)&gt;1,"중복","")</f>
        <v/>
      </c>
      <c r="W63" s="0" t="n">
        <f aca="false">IF(V63="중복",0,N(D63))</f>
        <v>97</v>
      </c>
      <c r="X63" s="0" t="n">
        <f aca="false">IF(COUNTIFS($A$2:A63,A63,$C$2:C63,C63)=1,ABS(SUMIFS(RAW_발주!$D:$D,RAW_발주!$C:$C,A63,RAW_발주!$A:$A,C63)-SUMIFS($W:$W,$A:$A,A63,$C:$C,C63)),0)</f>
        <v>0</v>
      </c>
    </row>
    <row r="64" customFormat="false" ht="15" hidden="false" customHeight="true" outlineLevel="0" collapsed="false">
      <c r="A64" s="45" t="s">
        <v>1659</v>
      </c>
      <c r="B64" s="42" t="str">
        <f aca="false">IF(A64="100","HK",IF(A64="200","CN",IF(A64="300","TW","홀세일")))</f>
        <v>HK</v>
      </c>
      <c r="C64" s="45" t="s">
        <v>1668</v>
      </c>
      <c r="D64" s="46" t="n">
        <v>350</v>
      </c>
      <c r="E64" s="46" t="n">
        <v>129000</v>
      </c>
      <c r="F64" s="46" t="n">
        <v>24419</v>
      </c>
      <c r="G64" s="42" t="n">
        <v>4.6</v>
      </c>
      <c r="H64" s="42" t="n">
        <v>32.3</v>
      </c>
      <c r="J64" s="46" t="n">
        <f aca="false">IF(N(E64)&gt;0,E64,IF(N(F64)&gt;0,F64*요약!$F$27,0))</f>
        <v>129000</v>
      </c>
      <c r="K64" s="46" t="n">
        <f aca="false">IF(N(F64)&gt;0,F64,IF(N(E64)&gt;0,E64/요약!$F$27,0))</f>
        <v>24419</v>
      </c>
      <c r="L64" s="46" t="n">
        <f aca="false">IF(B64="CN",IF(N(I64)&gt;0,I64*요약!$G$27,K64*(1+요약!$E$27)),IF(N(H64)&gt;0,H64*요약!$G$27,J64*요약!$D$27))</f>
        <v>42636</v>
      </c>
      <c r="M64" s="46" t="n">
        <f aca="false">D64*J64</f>
        <v>45150000</v>
      </c>
      <c r="N64" s="46" t="n">
        <f aca="false">D64*K64</f>
        <v>8546650</v>
      </c>
      <c r="O64" s="46" t="n">
        <f aca="false">D64*L64</f>
        <v>14922600</v>
      </c>
      <c r="P64" s="42" t="str">
        <f aca="false">TRIM(IF(N(E64)&lt;=0,"택가보정 ","")&amp;IF(N(F64)&lt;=0,"원가보정 ","")&amp;IF(AND(B64&lt;&gt;"CN",N(H64)&lt;=0),"공급가보정 ","")&amp;IF(AND(B64="CN",N(I64)&lt;=0),"중국공급가=원가+마진 ",""))</f>
        <v/>
      </c>
      <c r="Q64" s="47" t="n">
        <f aca="false">IF(SUMIFS($W:$W,$A:$A,A64,$C:$C,C64)=0,0,SUMIFS(RAW_판매펀칭!$K:$K,RAW_판매펀칭!$P:$P,A64,RAW_판매펀칭!$I:$I,C64)*W64/SUMIFS($W:$W,$A:$A,A64,$C:$C,C64))</f>
        <v>0</v>
      </c>
      <c r="R64" s="47" t="n">
        <f aca="false">IF(OR(A64="500",A64="800",A64="810"),0,MAX(W64-Q64,0))</f>
        <v>350</v>
      </c>
      <c r="S64" s="47" t="n">
        <f aca="false">R64*L64</f>
        <v>14922600</v>
      </c>
      <c r="T64" s="47" t="n">
        <f aca="false">R64*J64</f>
        <v>45150000</v>
      </c>
      <c r="U64" s="47" t="n">
        <f aca="false">R64*K64</f>
        <v>8546650</v>
      </c>
      <c r="V64" s="0" t="str">
        <f aca="false">IF(COUNTIFS($A$2:A64,A64,$C$2:C64,C64,$D$2:D64,D64)&gt;1,"중복","")</f>
        <v/>
      </c>
      <c r="W64" s="0" t="n">
        <f aca="false">IF(V64="중복",0,N(D64))</f>
        <v>350</v>
      </c>
      <c r="X64" s="0" t="n">
        <f aca="false">IF(COUNTIFS($A$2:A64,A64,$C$2:C64,C64)=1,ABS(SUMIFS(RAW_발주!$D:$D,RAW_발주!$C:$C,A64,RAW_발주!$A:$A,C64)-SUMIFS($W:$W,$A:$A,A64,$C:$C,C64)),0)</f>
        <v>0</v>
      </c>
    </row>
    <row r="65" customFormat="false" ht="15.75" hidden="false" customHeight="true" outlineLevel="0" collapsed="false">
      <c r="A65" s="45" t="s">
        <v>1660</v>
      </c>
      <c r="B65" s="42" t="str">
        <f aca="false">IF(A65="100","HK",IF(A65="200","CN",IF(A65="300","TW","홀세일")))</f>
        <v>CN</v>
      </c>
      <c r="C65" s="45" t="s">
        <v>1668</v>
      </c>
      <c r="D65" s="46" t="n">
        <v>357</v>
      </c>
      <c r="E65" s="46" t="n">
        <v>129000</v>
      </c>
      <c r="F65" s="46" t="n">
        <v>24419</v>
      </c>
      <c r="G65" s="42" t="n">
        <v>4.6</v>
      </c>
      <c r="H65" s="42" t="n">
        <v>32.3</v>
      </c>
      <c r="J65" s="46" t="n">
        <f aca="false">IF(N(E65)&gt;0,E65,IF(N(F65)&gt;0,F65*요약!$F$27,0))</f>
        <v>129000</v>
      </c>
      <c r="K65" s="46" t="n">
        <f aca="false">IF(N(F65)&gt;0,F65,IF(N(E65)&gt;0,E65/요약!$F$27,0))</f>
        <v>24419</v>
      </c>
      <c r="L65" s="46" t="n">
        <f aca="false">IF(B65="CN",IF(N(I65)&gt;0,I65*요약!$G$27,K65*(1+요약!$E$27)),IF(N(H65)&gt;0,H65*요약!$G$27,J65*요약!$D$27))</f>
        <v>25639.95</v>
      </c>
      <c r="M65" s="46" t="n">
        <f aca="false">D65*J65</f>
        <v>46053000</v>
      </c>
      <c r="N65" s="46" t="n">
        <f aca="false">D65*K65</f>
        <v>8717583</v>
      </c>
      <c r="O65" s="46" t="n">
        <f aca="false">D65*L65</f>
        <v>9153462.15</v>
      </c>
      <c r="P65" s="42" t="str">
        <f aca="false">TRIM(IF(N(E65)&lt;=0,"택가보정 ","")&amp;IF(N(F65)&lt;=0,"원가보정 ","")&amp;IF(AND(B65&lt;&gt;"CN",N(H65)&lt;=0),"공급가보정 ","")&amp;IF(AND(B65="CN",N(I65)&lt;=0),"중국공급가=원가+마진 ",""))</f>
        <v>중국공급가=원가+마진</v>
      </c>
      <c r="Q65" s="47" t="n">
        <f aca="false">IF(SUMIFS($W:$W,$A:$A,A65,$C:$C,C65)=0,0,SUMIFS(RAW_판매펀칭!$K:$K,RAW_판매펀칭!$P:$P,A65,RAW_판매펀칭!$I:$I,C65)*W65/SUMIFS($W:$W,$A:$A,A65,$C:$C,C65))</f>
        <v>0</v>
      </c>
      <c r="R65" s="47" t="n">
        <f aca="false">IF(OR(A65="500",A65="800",A65="810"),0,MAX(W65-Q65,0))</f>
        <v>357</v>
      </c>
      <c r="S65" s="47" t="n">
        <f aca="false">R65*L65</f>
        <v>9153462.15</v>
      </c>
      <c r="T65" s="47" t="n">
        <f aca="false">R65*J65</f>
        <v>46053000</v>
      </c>
      <c r="U65" s="47" t="n">
        <f aca="false">R65*K65</f>
        <v>8717583</v>
      </c>
      <c r="V65" s="0" t="str">
        <f aca="false">IF(COUNTIFS($A$2:A65,A65,$C$2:C65,C65,$D$2:D65,D65)&gt;1,"중복","")</f>
        <v/>
      </c>
      <c r="W65" s="0" t="n">
        <f aca="false">IF(V65="중복",0,N(D65))</f>
        <v>357</v>
      </c>
      <c r="X65" s="0" t="n">
        <f aca="false">IF(COUNTIFS($A$2:A65,A65,$C$2:C65,C65)=1,ABS(SUMIFS(RAW_발주!$D:$D,RAW_발주!$C:$C,A65,RAW_발주!$A:$A,C65)-SUMIFS($W:$W,$A:$A,A65,$C:$C,C65)),0)</f>
        <v>0</v>
      </c>
    </row>
    <row r="66" customFormat="false" ht="15" hidden="false" customHeight="true" outlineLevel="0" collapsed="false">
      <c r="A66" s="45" t="s">
        <v>1663</v>
      </c>
      <c r="B66" s="42" t="str">
        <f aca="false">IF(A66="100","HK",IF(A66="200","CN",IF(A66="300","TW","홀세일")))</f>
        <v>홀세일</v>
      </c>
      <c r="C66" s="45" t="s">
        <v>1668</v>
      </c>
      <c r="D66" s="46" t="n">
        <v>70</v>
      </c>
      <c r="E66" s="46" t="n">
        <v>129000</v>
      </c>
      <c r="F66" s="46" t="n">
        <v>24419</v>
      </c>
      <c r="G66" s="42" t="n">
        <v>4.6</v>
      </c>
      <c r="H66" s="42" t="n">
        <v>32.3</v>
      </c>
      <c r="J66" s="46" t="n">
        <f aca="false">IF(N(E66)&gt;0,E66,IF(N(F66)&gt;0,F66*요약!$F$27,0))</f>
        <v>129000</v>
      </c>
      <c r="K66" s="46" t="n">
        <f aca="false">IF(N(F66)&gt;0,F66,IF(N(E66)&gt;0,E66/요약!$F$27,0))</f>
        <v>24419</v>
      </c>
      <c r="L66" s="46" t="n">
        <f aca="false">IF(B66="CN",IF(N(I66)&gt;0,I66*요약!$G$27,K66*(1+요약!$E$27)),IF(N(H66)&gt;0,H66*요약!$G$27,J66*요약!$D$27))</f>
        <v>42636</v>
      </c>
      <c r="M66" s="46" t="n">
        <f aca="false">D66*J66</f>
        <v>9030000</v>
      </c>
      <c r="N66" s="46" t="n">
        <f aca="false">D66*K66</f>
        <v>1709330</v>
      </c>
      <c r="O66" s="46" t="n">
        <f aca="false">D66*L66</f>
        <v>2984520</v>
      </c>
      <c r="P66" s="42" t="str">
        <f aca="false">TRIM(IF(N(E66)&lt;=0,"택가보정 ","")&amp;IF(N(F66)&lt;=0,"원가보정 ","")&amp;IF(AND(B66&lt;&gt;"CN",N(H66)&lt;=0),"공급가보정 ","")&amp;IF(AND(B66="CN",N(I66)&lt;=0),"중국공급가=원가+마진 ",""))</f>
        <v/>
      </c>
      <c r="Q66" s="47" t="n">
        <f aca="false">IF(SUMIFS($W:$W,$A:$A,A66,$C:$C,C66)=0,0,SUMIFS(RAW_판매펀칭!$K:$K,RAW_판매펀칭!$P:$P,A66,RAW_판매펀칭!$I:$I,C66)*W66/SUMIFS($W:$W,$A:$A,A66,$C:$C,C66))</f>
        <v>0</v>
      </c>
      <c r="R66" s="47" t="n">
        <f aca="false">IF(OR(A66="500",A66="800",A66="810"),0,MAX(W66-Q66,0))</f>
        <v>70</v>
      </c>
      <c r="S66" s="47" t="n">
        <f aca="false">R66*L66</f>
        <v>2984520</v>
      </c>
      <c r="T66" s="47" t="n">
        <f aca="false">R66*J66</f>
        <v>9030000</v>
      </c>
      <c r="U66" s="47" t="n">
        <f aca="false">R66*K66</f>
        <v>1709330</v>
      </c>
      <c r="V66" s="0" t="str">
        <f aca="false">IF(COUNTIFS($A$2:A66,A66,$C$2:C66,C66,$D$2:D66,D66)&gt;1,"중복","")</f>
        <v/>
      </c>
      <c r="W66" s="0" t="n">
        <f aca="false">IF(V66="중복",0,N(D66))</f>
        <v>70</v>
      </c>
      <c r="X66" s="0" t="n">
        <f aca="false">IF(COUNTIFS($A$2:A66,A66,$C$2:C66,C66)=1,ABS(SUMIFS(RAW_발주!$D:$D,RAW_발주!$C:$C,A66,RAW_발주!$A:$A,C66)-SUMIFS($W:$W,$A:$A,A66,$C:$C,C66)),0)</f>
        <v>0</v>
      </c>
    </row>
    <row r="67" customFormat="false" ht="15" hidden="false" customHeight="true" outlineLevel="0" collapsed="false">
      <c r="A67" s="45" t="s">
        <v>1661</v>
      </c>
      <c r="B67" s="42" t="str">
        <f aca="false">IF(A67="100","HK",IF(A67="200","CN",IF(A67="300","TW","홀세일")))</f>
        <v>TW</v>
      </c>
      <c r="C67" s="45" t="s">
        <v>156</v>
      </c>
      <c r="D67" s="46" t="n">
        <v>150</v>
      </c>
      <c r="E67" s="46" t="n">
        <v>169000</v>
      </c>
      <c r="F67" s="46" t="n">
        <v>34000</v>
      </c>
      <c r="G67" s="42" t="n">
        <v>3.91</v>
      </c>
      <c r="H67" s="42" t="n">
        <v>42.3</v>
      </c>
      <c r="J67" s="46" t="n">
        <f aca="false">IF(N(E67)&gt;0,E67,IF(N(F67)&gt;0,F67*요약!$F$27,0))</f>
        <v>169000</v>
      </c>
      <c r="K67" s="46" t="n">
        <f aca="false">IF(N(F67)&gt;0,F67,IF(N(E67)&gt;0,E67/요약!$F$27,0))</f>
        <v>34000</v>
      </c>
      <c r="L67" s="46" t="n">
        <f aca="false">IF(B67="CN",IF(N(I67)&gt;0,I67*요약!$G$27,K67*(1+요약!$E$27)),IF(N(H67)&gt;0,H67*요약!$G$27,J67*요약!$D$27))</f>
        <v>55836</v>
      </c>
      <c r="M67" s="46" t="n">
        <f aca="false">D67*J67</f>
        <v>25350000</v>
      </c>
      <c r="N67" s="46" t="n">
        <f aca="false">D67*K67</f>
        <v>5100000</v>
      </c>
      <c r="O67" s="46" t="n">
        <f aca="false">D67*L67</f>
        <v>8375400</v>
      </c>
      <c r="P67" s="42" t="str">
        <f aca="false">TRIM(IF(N(E67)&lt;=0,"택가보정 ","")&amp;IF(N(F67)&lt;=0,"원가보정 ","")&amp;IF(AND(B67&lt;&gt;"CN",N(H67)&lt;=0),"공급가보정 ","")&amp;IF(AND(B67="CN",N(I67)&lt;=0),"중국공급가=원가+마진 ",""))</f>
        <v/>
      </c>
      <c r="Q67" s="47" t="n">
        <f aca="false">IF(SUMIFS($W:$W,$A:$A,A67,$C:$C,C67)=0,0,SUMIFS(RAW_판매펀칭!$K:$K,RAW_판매펀칭!$P:$P,A67,RAW_판매펀칭!$I:$I,C67)*W67/SUMIFS($W:$W,$A:$A,A67,$C:$C,C67))</f>
        <v>150</v>
      </c>
      <c r="R67" s="47" t="n">
        <f aca="false">IF(OR(A67="500",A67="800",A67="810"),0,MAX(W67-Q67,0))</f>
        <v>0</v>
      </c>
      <c r="S67" s="47" t="n">
        <f aca="false">R67*L67</f>
        <v>0</v>
      </c>
      <c r="T67" s="47" t="n">
        <f aca="false">R67*J67</f>
        <v>0</v>
      </c>
      <c r="U67" s="47" t="n">
        <f aca="false">R67*K67</f>
        <v>0</v>
      </c>
      <c r="V67" s="0" t="str">
        <f aca="false">IF(COUNTIFS($A$2:A67,A67,$C$2:C67,C67,$D$2:D67,D67)&gt;1,"중복","")</f>
        <v/>
      </c>
      <c r="W67" s="0" t="n">
        <f aca="false">IF(V67="중복",0,N(D67))</f>
        <v>150</v>
      </c>
      <c r="X67" s="0" t="n">
        <f aca="false">IF(COUNTIFS($A$2:A67,A67,$C$2:C67,C67)=1,ABS(SUMIFS(RAW_발주!$D:$D,RAW_발주!$C:$C,A67,RAW_발주!$A:$A,C67)-SUMIFS($W:$W,$A:$A,A67,$C:$C,C67)),0)</f>
        <v>0</v>
      </c>
    </row>
    <row r="68" customFormat="false" ht="15" hidden="false" customHeight="true" outlineLevel="0" collapsed="false">
      <c r="A68" s="45" t="s">
        <v>1663</v>
      </c>
      <c r="B68" s="42" t="str">
        <f aca="false">IF(A68="100","HK",IF(A68="200","CN",IF(A68="300","TW","홀세일")))</f>
        <v>홀세일</v>
      </c>
      <c r="C68" s="45" t="s">
        <v>156</v>
      </c>
      <c r="D68" s="46" t="n">
        <v>25</v>
      </c>
      <c r="E68" s="46" t="n">
        <v>169000</v>
      </c>
      <c r="F68" s="46" t="n">
        <v>34000</v>
      </c>
      <c r="G68" s="42" t="n">
        <v>3.91</v>
      </c>
      <c r="H68" s="42" t="n">
        <v>42.3</v>
      </c>
      <c r="J68" s="46" t="n">
        <f aca="false">IF(N(E68)&gt;0,E68,IF(N(F68)&gt;0,F68*요약!$F$27,0))</f>
        <v>169000</v>
      </c>
      <c r="K68" s="46" t="n">
        <f aca="false">IF(N(F68)&gt;0,F68,IF(N(E68)&gt;0,E68/요약!$F$27,0))</f>
        <v>34000</v>
      </c>
      <c r="L68" s="46" t="n">
        <f aca="false">IF(B68="CN",IF(N(I68)&gt;0,I68*요약!$G$27,K68*(1+요약!$E$27)),IF(N(H68)&gt;0,H68*요약!$G$27,J68*요약!$D$27))</f>
        <v>55836</v>
      </c>
      <c r="M68" s="46" t="n">
        <f aca="false">D68*J68</f>
        <v>4225000</v>
      </c>
      <c r="N68" s="46" t="n">
        <f aca="false">D68*K68</f>
        <v>850000</v>
      </c>
      <c r="O68" s="46" t="n">
        <f aca="false">D68*L68</f>
        <v>1395900</v>
      </c>
      <c r="P68" s="42" t="str">
        <f aca="false">TRIM(IF(N(E68)&lt;=0,"택가보정 ","")&amp;IF(N(F68)&lt;=0,"원가보정 ","")&amp;IF(AND(B68&lt;&gt;"CN",N(H68)&lt;=0),"공급가보정 ","")&amp;IF(AND(B68="CN",N(I68)&lt;=0),"중국공급가=원가+마진 ",""))</f>
        <v/>
      </c>
      <c r="Q68" s="47" t="n">
        <f aca="false">IF(SUMIFS($W:$W,$A:$A,A68,$C:$C,C68)=0,0,SUMIFS(RAW_판매펀칭!$K:$K,RAW_판매펀칭!$P:$P,A68,RAW_판매펀칭!$I:$I,C68)*W68/SUMIFS($W:$W,$A:$A,A68,$C:$C,C68))</f>
        <v>25</v>
      </c>
      <c r="R68" s="47" t="n">
        <f aca="false">IF(OR(A68="500",A68="800",A68="810"),0,MAX(W68-Q68,0))</f>
        <v>0</v>
      </c>
      <c r="S68" s="47" t="n">
        <f aca="false">R68*L68</f>
        <v>0</v>
      </c>
      <c r="T68" s="47" t="n">
        <f aca="false">R68*J68</f>
        <v>0</v>
      </c>
      <c r="U68" s="47" t="n">
        <f aca="false">R68*K68</f>
        <v>0</v>
      </c>
      <c r="V68" s="0" t="str">
        <f aca="false">IF(COUNTIFS($A$2:A68,A68,$C$2:C68,C68,$D$2:D68,D68)&gt;1,"중복","")</f>
        <v/>
      </c>
      <c r="W68" s="0" t="n">
        <f aca="false">IF(V68="중복",0,N(D68))</f>
        <v>25</v>
      </c>
      <c r="X68" s="0" t="n">
        <f aca="false">IF(COUNTIFS($A$2:A68,A68,$C$2:C68,C68)=1,ABS(SUMIFS(RAW_발주!$D:$D,RAW_발주!$C:$C,A68,RAW_발주!$A:$A,C68)-SUMIFS($W:$W,$A:$A,A68,$C:$C,C68)),0)</f>
        <v>0</v>
      </c>
    </row>
    <row r="69" customFormat="false" ht="15" hidden="false" customHeight="true" outlineLevel="0" collapsed="false">
      <c r="A69" s="45" t="s">
        <v>1659</v>
      </c>
      <c r="B69" s="42" t="str">
        <f aca="false">IF(A69="100","HK",IF(A69="200","CN",IF(A69="300","TW","홀세일")))</f>
        <v>HK</v>
      </c>
      <c r="C69" s="45" t="s">
        <v>780</v>
      </c>
      <c r="D69" s="46" t="n">
        <v>110</v>
      </c>
      <c r="E69" s="46" t="n">
        <v>159000</v>
      </c>
      <c r="F69" s="46" t="n">
        <v>33901</v>
      </c>
      <c r="G69" s="42" t="n">
        <v>3.98</v>
      </c>
      <c r="H69" s="42" t="n">
        <v>39.8</v>
      </c>
      <c r="J69" s="46" t="n">
        <f aca="false">IF(N(E69)&gt;0,E69,IF(N(F69)&gt;0,F69*요약!$F$27,0))</f>
        <v>159000</v>
      </c>
      <c r="K69" s="46" t="n">
        <f aca="false">IF(N(F69)&gt;0,F69,IF(N(E69)&gt;0,E69/요약!$F$27,0))</f>
        <v>33901</v>
      </c>
      <c r="L69" s="46" t="n">
        <f aca="false">IF(B69="CN",IF(N(I69)&gt;0,I69*요약!$G$27,K69*(1+요약!$E$27)),IF(N(H69)&gt;0,H69*요약!$G$27,J69*요약!$D$27))</f>
        <v>52536</v>
      </c>
      <c r="M69" s="46" t="n">
        <f aca="false">D69*J69</f>
        <v>17490000</v>
      </c>
      <c r="N69" s="46" t="n">
        <f aca="false">D69*K69</f>
        <v>3729110</v>
      </c>
      <c r="O69" s="46" t="n">
        <f aca="false">D69*L69</f>
        <v>5778960</v>
      </c>
      <c r="P69" s="42" t="str">
        <f aca="false">TRIM(IF(N(E69)&lt;=0,"택가보정 ","")&amp;IF(N(F69)&lt;=0,"원가보정 ","")&amp;IF(AND(B69&lt;&gt;"CN",N(H69)&lt;=0),"공급가보정 ","")&amp;IF(AND(B69="CN",N(I69)&lt;=0),"중국공급가=원가+마진 ",""))</f>
        <v/>
      </c>
      <c r="Q69" s="47" t="n">
        <f aca="false">IF(SUMIFS($W:$W,$A:$A,A69,$C:$C,C69)=0,0,SUMIFS(RAW_판매펀칭!$K:$K,RAW_판매펀칭!$P:$P,A69,RAW_판매펀칭!$I:$I,C69)*W69/SUMIFS($W:$W,$A:$A,A69,$C:$C,C69))</f>
        <v>110</v>
      </c>
      <c r="R69" s="47" t="n">
        <f aca="false">IF(OR(A69="500",A69="800",A69="810"),0,MAX(W69-Q69,0))</f>
        <v>0</v>
      </c>
      <c r="S69" s="47" t="n">
        <f aca="false">R69*L69</f>
        <v>0</v>
      </c>
      <c r="T69" s="47" t="n">
        <f aca="false">R69*J69</f>
        <v>0</v>
      </c>
      <c r="U69" s="47" t="n">
        <f aca="false">R69*K69</f>
        <v>0</v>
      </c>
      <c r="V69" s="0" t="str">
        <f aca="false">IF(COUNTIFS($A$2:A69,A69,$C$2:C69,C69,$D$2:D69,D69)&gt;1,"중복","")</f>
        <v/>
      </c>
      <c r="W69" s="0" t="n">
        <f aca="false">IF(V69="중복",0,N(D69))</f>
        <v>110</v>
      </c>
      <c r="X69" s="0" t="n">
        <f aca="false">IF(COUNTIFS($A$2:A69,A69,$C$2:C69,C69)=1,ABS(SUMIFS(RAW_발주!$D:$D,RAW_발주!$C:$C,A69,RAW_발주!$A:$A,C69)-SUMIFS($W:$W,$A:$A,A69,$C:$C,C69)),0)</f>
        <v>0</v>
      </c>
    </row>
    <row r="70" customFormat="false" ht="15" hidden="false" customHeight="true" outlineLevel="0" collapsed="false">
      <c r="A70" s="45" t="s">
        <v>1667</v>
      </c>
      <c r="B70" s="42" t="str">
        <f aca="false">IF(A70="100","HK",IF(A70="200","CN",IF(A70="300","TW","홀세일")))</f>
        <v>홀세일</v>
      </c>
      <c r="C70" s="45" t="s">
        <v>780</v>
      </c>
      <c r="D70" s="46" t="n">
        <v>41</v>
      </c>
      <c r="E70" s="46" t="n">
        <v>159000</v>
      </c>
      <c r="F70" s="46" t="n">
        <v>33901</v>
      </c>
      <c r="G70" s="42" t="n">
        <v>3.98</v>
      </c>
      <c r="H70" s="42" t="n">
        <v>39.8</v>
      </c>
      <c r="J70" s="46" t="n">
        <f aca="false">IF(N(E70)&gt;0,E70,IF(N(F70)&gt;0,F70*요약!$F$27,0))</f>
        <v>159000</v>
      </c>
      <c r="K70" s="46" t="n">
        <f aca="false">IF(N(F70)&gt;0,F70,IF(N(E70)&gt;0,E70/요약!$F$27,0))</f>
        <v>33901</v>
      </c>
      <c r="L70" s="46" t="n">
        <f aca="false">IF(B70="CN",IF(N(I70)&gt;0,I70*요약!$G$27,K70*(1+요약!$E$27)),IF(N(H70)&gt;0,H70*요약!$G$27,J70*요약!$D$27))</f>
        <v>52536</v>
      </c>
      <c r="M70" s="46" t="n">
        <f aca="false">D70*J70</f>
        <v>6519000</v>
      </c>
      <c r="N70" s="46" t="n">
        <f aca="false">D70*K70</f>
        <v>1389941</v>
      </c>
      <c r="O70" s="46" t="n">
        <f aca="false">D70*L70</f>
        <v>2153976</v>
      </c>
      <c r="P70" s="42" t="str">
        <f aca="false">TRIM(IF(N(E70)&lt;=0,"택가보정 ","")&amp;IF(N(F70)&lt;=0,"원가보정 ","")&amp;IF(AND(B70&lt;&gt;"CN",N(H70)&lt;=0),"공급가보정 ","")&amp;IF(AND(B70="CN",N(I70)&lt;=0),"중국공급가=원가+마진 ",""))</f>
        <v/>
      </c>
      <c r="Q70" s="47" t="n">
        <f aca="false">IF(SUMIFS($W:$W,$A:$A,A70,$C:$C,C70)=0,0,SUMIFS(RAW_판매펀칭!$K:$K,RAW_판매펀칭!$P:$P,A70,RAW_판매펀칭!$I:$I,C70)*W70/SUMIFS($W:$W,$A:$A,A70,$C:$C,C70))</f>
        <v>41</v>
      </c>
      <c r="R70" s="47" t="n">
        <f aca="false">IF(OR(A70="500",A70="800",A70="810"),0,MAX(W70-Q70,0))</f>
        <v>0</v>
      </c>
      <c r="S70" s="47" t="n">
        <f aca="false">R70*L70</f>
        <v>0</v>
      </c>
      <c r="T70" s="47" t="n">
        <f aca="false">R70*J70</f>
        <v>0</v>
      </c>
      <c r="U70" s="47" t="n">
        <f aca="false">R70*K70</f>
        <v>0</v>
      </c>
      <c r="V70" s="0" t="str">
        <f aca="false">IF(COUNTIFS($A$2:A70,A70,$C$2:C70,C70,$D$2:D70,D70)&gt;1,"중복","")</f>
        <v/>
      </c>
      <c r="W70" s="0" t="n">
        <f aca="false">IF(V70="중복",0,N(D70))</f>
        <v>41</v>
      </c>
      <c r="X70" s="0" t="n">
        <f aca="false">IF(COUNTIFS($A$2:A70,A70,$C$2:C70,C70)=1,ABS(SUMIFS(RAW_발주!$D:$D,RAW_발주!$C:$C,A70,RAW_발주!$A:$A,C70)-SUMIFS($W:$W,$A:$A,A70,$C:$C,C70)),0)</f>
        <v>0</v>
      </c>
    </row>
    <row r="71" customFormat="false" ht="15" hidden="false" customHeight="true" outlineLevel="0" collapsed="false">
      <c r="A71" s="45" t="s">
        <v>1663</v>
      </c>
      <c r="B71" s="42" t="str">
        <f aca="false">IF(A71="100","HK",IF(A71="200","CN",IF(A71="300","TW","홀세일")))</f>
        <v>홀세일</v>
      </c>
      <c r="C71" s="45" t="s">
        <v>1669</v>
      </c>
      <c r="D71" s="46" t="n">
        <v>40</v>
      </c>
      <c r="E71" s="46" t="n">
        <v>139000</v>
      </c>
      <c r="F71" s="46" t="n">
        <v>28300</v>
      </c>
      <c r="G71" s="42" t="n">
        <v>4.23</v>
      </c>
      <c r="H71" s="42" t="n">
        <v>34.8</v>
      </c>
      <c r="J71" s="46" t="n">
        <f aca="false">IF(N(E71)&gt;0,E71,IF(N(F71)&gt;0,F71*요약!$F$27,0))</f>
        <v>139000</v>
      </c>
      <c r="K71" s="46" t="n">
        <f aca="false">IF(N(F71)&gt;0,F71,IF(N(E71)&gt;0,E71/요약!$F$27,0))</f>
        <v>28300</v>
      </c>
      <c r="L71" s="46" t="n">
        <f aca="false">IF(B71="CN",IF(N(I71)&gt;0,I71*요약!$G$27,K71*(1+요약!$E$27)),IF(N(H71)&gt;0,H71*요약!$G$27,J71*요약!$D$27))</f>
        <v>45936</v>
      </c>
      <c r="M71" s="46" t="n">
        <f aca="false">D71*J71</f>
        <v>5560000</v>
      </c>
      <c r="N71" s="46" t="n">
        <f aca="false">D71*K71</f>
        <v>1132000</v>
      </c>
      <c r="O71" s="46" t="n">
        <f aca="false">D71*L71</f>
        <v>1837440</v>
      </c>
      <c r="P71" s="42" t="str">
        <f aca="false">TRIM(IF(N(E71)&lt;=0,"택가보정 ","")&amp;IF(N(F71)&lt;=0,"원가보정 ","")&amp;IF(AND(B71&lt;&gt;"CN",N(H71)&lt;=0),"공급가보정 ","")&amp;IF(AND(B71="CN",N(I71)&lt;=0),"중국공급가=원가+마진 ",""))</f>
        <v/>
      </c>
      <c r="Q71" s="47" t="n">
        <f aca="false">IF(SUMIFS($W:$W,$A:$A,A71,$C:$C,C71)=0,0,SUMIFS(RAW_판매펀칭!$K:$K,RAW_판매펀칭!$P:$P,A71,RAW_판매펀칭!$I:$I,C71)*W71/SUMIFS($W:$W,$A:$A,A71,$C:$C,C71))</f>
        <v>0</v>
      </c>
      <c r="R71" s="47" t="n">
        <f aca="false">IF(OR(A71="500",A71="800",A71="810"),0,MAX(W71-Q71,0))</f>
        <v>40</v>
      </c>
      <c r="S71" s="47" t="n">
        <f aca="false">R71*L71</f>
        <v>1837440</v>
      </c>
      <c r="T71" s="47" t="n">
        <f aca="false">R71*J71</f>
        <v>5560000</v>
      </c>
      <c r="U71" s="47" t="n">
        <f aca="false">R71*K71</f>
        <v>1132000</v>
      </c>
      <c r="V71" s="0" t="str">
        <f aca="false">IF(COUNTIFS($A$2:A71,A71,$C$2:C71,C71,$D$2:D71,D71)&gt;1,"중복","")</f>
        <v/>
      </c>
      <c r="W71" s="0" t="n">
        <f aca="false">IF(V71="중복",0,N(D71))</f>
        <v>40</v>
      </c>
      <c r="X71" s="0" t="n">
        <f aca="false">IF(COUNTIFS($A$2:A71,A71,$C$2:C71,C71)=1,ABS(SUMIFS(RAW_발주!$D:$D,RAW_발주!$C:$C,A71,RAW_발주!$A:$A,C71)-SUMIFS($W:$W,$A:$A,A71,$C:$C,C71)),0)</f>
        <v>0</v>
      </c>
    </row>
    <row r="72" customFormat="false" ht="15.75" hidden="false" customHeight="true" outlineLevel="0" collapsed="false">
      <c r="A72" s="45" t="s">
        <v>1660</v>
      </c>
      <c r="B72" s="42" t="str">
        <f aca="false">IF(A72="100","HK",IF(A72="200","CN",IF(A72="300","TW","홀세일")))</f>
        <v>CN</v>
      </c>
      <c r="C72" s="45" t="s">
        <v>1398</v>
      </c>
      <c r="D72" s="46" t="n">
        <v>141</v>
      </c>
      <c r="E72" s="46" t="n">
        <v>199000</v>
      </c>
      <c r="F72" s="46" t="n">
        <v>55830</v>
      </c>
      <c r="G72" s="42" t="n">
        <v>3.24</v>
      </c>
      <c r="H72" s="42" t="n">
        <v>49.8</v>
      </c>
      <c r="J72" s="46" t="n">
        <f aca="false">IF(N(E72)&gt;0,E72,IF(N(F72)&gt;0,F72*요약!$F$27,0))</f>
        <v>199000</v>
      </c>
      <c r="K72" s="46" t="n">
        <f aca="false">IF(N(F72)&gt;0,F72,IF(N(E72)&gt;0,E72/요약!$F$27,0))</f>
        <v>55830</v>
      </c>
      <c r="L72" s="46" t="n">
        <f aca="false">IF(B72="CN",IF(N(I72)&gt;0,I72*요약!$G$27,K72*(1+요약!$E$27)),IF(N(H72)&gt;0,H72*요약!$G$27,J72*요약!$D$27))</f>
        <v>58621.5</v>
      </c>
      <c r="M72" s="46" t="n">
        <f aca="false">D72*J72</f>
        <v>28059000</v>
      </c>
      <c r="N72" s="46" t="n">
        <f aca="false">D72*K72</f>
        <v>7872030</v>
      </c>
      <c r="O72" s="46" t="n">
        <f aca="false">D72*L72</f>
        <v>8265631.5</v>
      </c>
      <c r="P72" s="42" t="str">
        <f aca="false">TRIM(IF(N(E72)&lt;=0,"택가보정 ","")&amp;IF(N(F72)&lt;=0,"원가보정 ","")&amp;IF(AND(B72&lt;&gt;"CN",N(H72)&lt;=0),"공급가보정 ","")&amp;IF(AND(B72="CN",N(I72)&lt;=0),"중국공급가=원가+마진 ",""))</f>
        <v>중국공급가=원가+마진</v>
      </c>
      <c r="Q72" s="47" t="n">
        <f aca="false">IF(SUMIFS($W:$W,$A:$A,A72,$C:$C,C72)=0,0,SUMIFS(RAW_판매펀칭!$K:$K,RAW_판매펀칭!$P:$P,A72,RAW_판매펀칭!$I:$I,C72)*W72/SUMIFS($W:$W,$A:$A,A72,$C:$C,C72))</f>
        <v>0</v>
      </c>
      <c r="R72" s="47" t="n">
        <f aca="false">IF(OR(A72="500",A72="800",A72="810"),0,MAX(W72-Q72,0))</f>
        <v>141</v>
      </c>
      <c r="S72" s="47" t="n">
        <f aca="false">R72*L72</f>
        <v>8265631.5</v>
      </c>
      <c r="T72" s="47" t="n">
        <f aca="false">R72*J72</f>
        <v>28059000</v>
      </c>
      <c r="U72" s="47" t="n">
        <f aca="false">R72*K72</f>
        <v>7872030</v>
      </c>
      <c r="V72" s="0" t="str">
        <f aca="false">IF(COUNTIFS($A$2:A72,A72,$C$2:C72,C72,$D$2:D72,D72)&gt;1,"중복","")</f>
        <v/>
      </c>
      <c r="W72" s="0" t="n">
        <f aca="false">IF(V72="중복",0,N(D72))</f>
        <v>141</v>
      </c>
      <c r="X72" s="0" t="n">
        <f aca="false">IF(COUNTIFS($A$2:A72,A72,$C$2:C72,C72)=1,ABS(SUMIFS(RAW_발주!$D:$D,RAW_발주!$C:$C,A72,RAW_발주!$A:$A,C72)-SUMIFS($W:$W,$A:$A,A72,$C:$C,C72)),0)</f>
        <v>0</v>
      </c>
    </row>
    <row r="73" customFormat="false" ht="15" hidden="false" customHeight="true" outlineLevel="0" collapsed="false">
      <c r="A73" s="45" t="s">
        <v>1663</v>
      </c>
      <c r="B73" s="42" t="str">
        <f aca="false">IF(A73="100","HK",IF(A73="200","CN",IF(A73="300","TW","홀세일")))</f>
        <v>홀세일</v>
      </c>
      <c r="C73" s="45" t="s">
        <v>1398</v>
      </c>
      <c r="D73" s="46" t="n">
        <v>15</v>
      </c>
      <c r="E73" s="46" t="n">
        <v>199000</v>
      </c>
      <c r="F73" s="46" t="n">
        <v>55830</v>
      </c>
      <c r="G73" s="42" t="n">
        <v>3.24</v>
      </c>
      <c r="H73" s="42" t="n">
        <v>49.8</v>
      </c>
      <c r="J73" s="46" t="n">
        <f aca="false">IF(N(E73)&gt;0,E73,IF(N(F73)&gt;0,F73*요약!$F$27,0))</f>
        <v>199000</v>
      </c>
      <c r="K73" s="46" t="n">
        <f aca="false">IF(N(F73)&gt;0,F73,IF(N(E73)&gt;0,E73/요약!$F$27,0))</f>
        <v>55830</v>
      </c>
      <c r="L73" s="46" t="n">
        <f aca="false">IF(B73="CN",IF(N(I73)&gt;0,I73*요약!$G$27,K73*(1+요약!$E$27)),IF(N(H73)&gt;0,H73*요약!$G$27,J73*요약!$D$27))</f>
        <v>65736</v>
      </c>
      <c r="M73" s="46" t="n">
        <f aca="false">D73*J73</f>
        <v>2985000</v>
      </c>
      <c r="N73" s="46" t="n">
        <f aca="false">D73*K73</f>
        <v>837450</v>
      </c>
      <c r="O73" s="46" t="n">
        <f aca="false">D73*L73</f>
        <v>986040</v>
      </c>
      <c r="P73" s="42" t="str">
        <f aca="false">TRIM(IF(N(E73)&lt;=0,"택가보정 ","")&amp;IF(N(F73)&lt;=0,"원가보정 ","")&amp;IF(AND(B73&lt;&gt;"CN",N(H73)&lt;=0),"공급가보정 ","")&amp;IF(AND(B73="CN",N(I73)&lt;=0),"중국공급가=원가+마진 ",""))</f>
        <v/>
      </c>
      <c r="Q73" s="47" t="n">
        <f aca="false">IF(SUMIFS($W:$W,$A:$A,A73,$C:$C,C73)=0,0,SUMIFS(RAW_판매펀칭!$K:$K,RAW_판매펀칭!$P:$P,A73,RAW_판매펀칭!$I:$I,C73)*W73/SUMIFS($W:$W,$A:$A,A73,$C:$C,C73))</f>
        <v>0</v>
      </c>
      <c r="R73" s="47" t="n">
        <f aca="false">IF(OR(A73="500",A73="800",A73="810"),0,MAX(W73-Q73,0))</f>
        <v>15</v>
      </c>
      <c r="S73" s="47" t="n">
        <f aca="false">R73*L73</f>
        <v>986040</v>
      </c>
      <c r="T73" s="47" t="n">
        <f aca="false">R73*J73</f>
        <v>2985000</v>
      </c>
      <c r="U73" s="47" t="n">
        <f aca="false">R73*K73</f>
        <v>837450</v>
      </c>
      <c r="V73" s="0" t="str">
        <f aca="false">IF(COUNTIFS($A$2:A73,A73,$C$2:C73,C73,$D$2:D73,D73)&gt;1,"중복","")</f>
        <v/>
      </c>
      <c r="W73" s="0" t="n">
        <f aca="false">IF(V73="중복",0,N(D73))</f>
        <v>15</v>
      </c>
      <c r="X73" s="0" t="n">
        <f aca="false">IF(COUNTIFS($A$2:A73,A73,$C$2:C73,C73)=1,ABS(SUMIFS(RAW_발주!$D:$D,RAW_발주!$C:$C,A73,RAW_발주!$A:$A,C73)-SUMIFS($W:$W,$A:$A,A73,$C:$C,C73)),0)</f>
        <v>0</v>
      </c>
    </row>
    <row r="74" customFormat="false" ht="15" hidden="false" customHeight="true" outlineLevel="0" collapsed="false">
      <c r="A74" s="45" t="s">
        <v>1667</v>
      </c>
      <c r="B74" s="42" t="str">
        <f aca="false">IF(A74="100","HK",IF(A74="200","CN",IF(A74="300","TW","홀세일")))</f>
        <v>홀세일</v>
      </c>
      <c r="C74" s="45" t="s">
        <v>1398</v>
      </c>
      <c r="D74" s="46" t="n">
        <v>41</v>
      </c>
      <c r="E74" s="46" t="n">
        <v>199000</v>
      </c>
      <c r="F74" s="46" t="n">
        <v>55830</v>
      </c>
      <c r="G74" s="42" t="n">
        <v>3.24</v>
      </c>
      <c r="H74" s="42" t="n">
        <v>49.8</v>
      </c>
      <c r="J74" s="46" t="n">
        <f aca="false">IF(N(E74)&gt;0,E74,IF(N(F74)&gt;0,F74*요약!$F$27,0))</f>
        <v>199000</v>
      </c>
      <c r="K74" s="46" t="n">
        <f aca="false">IF(N(F74)&gt;0,F74,IF(N(E74)&gt;0,E74/요약!$F$27,0))</f>
        <v>55830</v>
      </c>
      <c r="L74" s="46" t="n">
        <f aca="false">IF(B74="CN",IF(N(I74)&gt;0,I74*요약!$G$27,K74*(1+요약!$E$27)),IF(N(H74)&gt;0,H74*요약!$G$27,J74*요약!$D$27))</f>
        <v>65736</v>
      </c>
      <c r="M74" s="46" t="n">
        <f aca="false">D74*J74</f>
        <v>8159000</v>
      </c>
      <c r="N74" s="46" t="n">
        <f aca="false">D74*K74</f>
        <v>2289030</v>
      </c>
      <c r="O74" s="46" t="n">
        <f aca="false">D74*L74</f>
        <v>2695176</v>
      </c>
      <c r="P74" s="42" t="str">
        <f aca="false">TRIM(IF(N(E74)&lt;=0,"택가보정 ","")&amp;IF(N(F74)&lt;=0,"원가보정 ","")&amp;IF(AND(B74&lt;&gt;"CN",N(H74)&lt;=0),"공급가보정 ","")&amp;IF(AND(B74="CN",N(I74)&lt;=0),"중국공급가=원가+마진 ",""))</f>
        <v/>
      </c>
      <c r="Q74" s="47" t="n">
        <f aca="false">IF(SUMIFS($W:$W,$A:$A,A74,$C:$C,C74)=0,0,SUMIFS(RAW_판매펀칭!$K:$K,RAW_판매펀칭!$P:$P,A74,RAW_판매펀칭!$I:$I,C74)*W74/SUMIFS($W:$W,$A:$A,A74,$C:$C,C74))</f>
        <v>41</v>
      </c>
      <c r="R74" s="47" t="n">
        <f aca="false">IF(OR(A74="500",A74="800",A74="810"),0,MAX(W74-Q74,0))</f>
        <v>0</v>
      </c>
      <c r="S74" s="47" t="n">
        <f aca="false">R74*L74</f>
        <v>0</v>
      </c>
      <c r="T74" s="47" t="n">
        <f aca="false">R74*J74</f>
        <v>0</v>
      </c>
      <c r="U74" s="47" t="n">
        <f aca="false">R74*K74</f>
        <v>0</v>
      </c>
      <c r="V74" s="0" t="str">
        <f aca="false">IF(COUNTIFS($A$2:A74,A74,$C$2:C74,C74,$D$2:D74,D74)&gt;1,"중복","")</f>
        <v/>
      </c>
      <c r="W74" s="0" t="n">
        <f aca="false">IF(V74="중복",0,N(D74))</f>
        <v>41</v>
      </c>
      <c r="X74" s="0" t="n">
        <f aca="false">IF(COUNTIFS($A$2:A74,A74,$C$2:C74,C74)=1,ABS(SUMIFS(RAW_발주!$D:$D,RAW_발주!$C:$C,A74,RAW_발주!$A:$A,C74)-SUMIFS($W:$W,$A:$A,A74,$C:$C,C74)),0)</f>
        <v>0</v>
      </c>
    </row>
    <row r="75" customFormat="false" ht="15" hidden="false" customHeight="true" outlineLevel="0" collapsed="false">
      <c r="A75" s="45" t="s">
        <v>1659</v>
      </c>
      <c r="B75" s="42" t="str">
        <f aca="false">IF(A75="100","HK",IF(A75="200","CN",IF(A75="300","TW","홀세일")))</f>
        <v>HK</v>
      </c>
      <c r="C75" s="45" t="s">
        <v>778</v>
      </c>
      <c r="D75" s="46" t="n">
        <v>90</v>
      </c>
      <c r="E75" s="46" t="n">
        <v>139000</v>
      </c>
      <c r="F75" s="46" t="n">
        <v>34700</v>
      </c>
      <c r="G75" s="42" t="n">
        <v>3.78</v>
      </c>
      <c r="H75" s="42" t="n">
        <v>34.8</v>
      </c>
      <c r="J75" s="46" t="n">
        <f aca="false">IF(N(E75)&gt;0,E75,IF(N(F75)&gt;0,F75*요약!$F$27,0))</f>
        <v>139000</v>
      </c>
      <c r="K75" s="46" t="n">
        <f aca="false">IF(N(F75)&gt;0,F75,IF(N(E75)&gt;0,E75/요약!$F$27,0))</f>
        <v>34700</v>
      </c>
      <c r="L75" s="46" t="n">
        <f aca="false">IF(B75="CN",IF(N(I75)&gt;0,I75*요약!$G$27,K75*(1+요약!$E$27)),IF(N(H75)&gt;0,H75*요약!$G$27,J75*요약!$D$27))</f>
        <v>45936</v>
      </c>
      <c r="M75" s="46" t="n">
        <f aca="false">D75*J75</f>
        <v>12510000</v>
      </c>
      <c r="N75" s="46" t="n">
        <f aca="false">D75*K75</f>
        <v>3123000</v>
      </c>
      <c r="O75" s="46" t="n">
        <f aca="false">D75*L75</f>
        <v>4134240</v>
      </c>
      <c r="P75" s="42" t="str">
        <f aca="false">TRIM(IF(N(E75)&lt;=0,"택가보정 ","")&amp;IF(N(F75)&lt;=0,"원가보정 ","")&amp;IF(AND(B75&lt;&gt;"CN",N(H75)&lt;=0),"공급가보정 ","")&amp;IF(AND(B75="CN",N(I75)&lt;=0),"중국공급가=원가+마진 ",""))</f>
        <v/>
      </c>
      <c r="Q75" s="47" t="n">
        <f aca="false">IF(SUMIFS($W:$W,$A:$A,A75,$C:$C,C75)=0,0,SUMIFS(RAW_판매펀칭!$K:$K,RAW_판매펀칭!$P:$P,A75,RAW_판매펀칭!$I:$I,C75)*W75/SUMIFS($W:$W,$A:$A,A75,$C:$C,C75))</f>
        <v>90</v>
      </c>
      <c r="R75" s="47" t="n">
        <f aca="false">IF(OR(A75="500",A75="800",A75="810"),0,MAX(W75-Q75,0))</f>
        <v>0</v>
      </c>
      <c r="S75" s="47" t="n">
        <f aca="false">R75*L75</f>
        <v>0</v>
      </c>
      <c r="T75" s="47" t="n">
        <f aca="false">R75*J75</f>
        <v>0</v>
      </c>
      <c r="U75" s="47" t="n">
        <f aca="false">R75*K75</f>
        <v>0</v>
      </c>
      <c r="V75" s="0" t="str">
        <f aca="false">IF(COUNTIFS($A$2:A75,A75,$C$2:C75,C75,$D$2:D75,D75)&gt;1,"중복","")</f>
        <v/>
      </c>
      <c r="W75" s="0" t="n">
        <f aca="false">IF(V75="중복",0,N(D75))</f>
        <v>90</v>
      </c>
      <c r="X75" s="0" t="n">
        <f aca="false">IF(COUNTIFS($A$2:A75,A75,$C$2:C75,C75)=1,ABS(SUMIFS(RAW_발주!$D:$D,RAW_발주!$C:$C,A75,RAW_발주!$A:$A,C75)-SUMIFS($W:$W,$A:$A,A75,$C:$C,C75)),0)</f>
        <v>0</v>
      </c>
    </row>
    <row r="76" customFormat="false" ht="15" hidden="false" customHeight="true" outlineLevel="0" collapsed="false">
      <c r="A76" s="45" t="s">
        <v>1665</v>
      </c>
      <c r="B76" s="42" t="str">
        <f aca="false">IF(A76="100","HK",IF(A76="200","CN",IF(A76="300","TW","홀세일")))</f>
        <v>홀세일</v>
      </c>
      <c r="C76" s="45" t="s">
        <v>778</v>
      </c>
      <c r="D76" s="46" t="n">
        <v>228</v>
      </c>
      <c r="E76" s="46" t="n">
        <v>139000</v>
      </c>
      <c r="F76" s="46" t="n">
        <v>34700</v>
      </c>
      <c r="G76" s="42" t="n">
        <v>3.78</v>
      </c>
      <c r="H76" s="42" t="n">
        <v>34.8</v>
      </c>
      <c r="J76" s="46" t="n">
        <f aca="false">IF(N(E76)&gt;0,E76,IF(N(F76)&gt;0,F76*요약!$F$27,0))</f>
        <v>139000</v>
      </c>
      <c r="K76" s="46" t="n">
        <f aca="false">IF(N(F76)&gt;0,F76,IF(N(E76)&gt;0,E76/요약!$F$27,0))</f>
        <v>34700</v>
      </c>
      <c r="L76" s="46" t="n">
        <f aca="false">IF(B76="CN",IF(N(I76)&gt;0,I76*요약!$G$27,K76*(1+요약!$E$27)),IF(N(H76)&gt;0,H76*요약!$G$27,J76*요약!$D$27))</f>
        <v>45936</v>
      </c>
      <c r="M76" s="46" t="n">
        <f aca="false">D76*J76</f>
        <v>31692000</v>
      </c>
      <c r="N76" s="46" t="n">
        <f aca="false">D76*K76</f>
        <v>7911600</v>
      </c>
      <c r="O76" s="46" t="n">
        <f aca="false">D76*L76</f>
        <v>10473408</v>
      </c>
      <c r="P76" s="42" t="str">
        <f aca="false">TRIM(IF(N(E76)&lt;=0,"택가보정 ","")&amp;IF(N(F76)&lt;=0,"원가보정 ","")&amp;IF(AND(B76&lt;&gt;"CN",N(H76)&lt;=0),"공급가보정 ","")&amp;IF(AND(B76="CN",N(I76)&lt;=0),"중국공급가=원가+마진 ",""))</f>
        <v/>
      </c>
      <c r="Q76" s="47" t="n">
        <f aca="false">IF(SUMIFS($W:$W,$A:$A,A76,$C:$C,C76)=0,0,SUMIFS(RAW_판매펀칭!$K:$K,RAW_판매펀칭!$P:$P,A76,RAW_판매펀칭!$I:$I,C76)*W76/SUMIFS($W:$W,$A:$A,A76,$C:$C,C76))</f>
        <v>228</v>
      </c>
      <c r="R76" s="47" t="n">
        <f aca="false">IF(OR(A76="500",A76="800",A76="810"),0,MAX(W76-Q76,0))</f>
        <v>0</v>
      </c>
      <c r="S76" s="47" t="n">
        <f aca="false">R76*L76</f>
        <v>0</v>
      </c>
      <c r="T76" s="47" t="n">
        <f aca="false">R76*J76</f>
        <v>0</v>
      </c>
      <c r="U76" s="47" t="n">
        <f aca="false">R76*K76</f>
        <v>0</v>
      </c>
      <c r="V76" s="0" t="str">
        <f aca="false">IF(COUNTIFS($A$2:A76,A76,$C$2:C76,C76,$D$2:D76,D76)&gt;1,"중복","")</f>
        <v/>
      </c>
      <c r="W76" s="0" t="n">
        <f aca="false">IF(V76="중복",0,N(D76))</f>
        <v>228</v>
      </c>
      <c r="X76" s="0" t="n">
        <f aca="false">IF(COUNTIFS($A$2:A76,A76,$C$2:C76,C76)=1,ABS(SUMIFS(RAW_발주!$D:$D,RAW_발주!$C:$C,A76,RAW_발주!$A:$A,C76)-SUMIFS($W:$W,$A:$A,A76,$C:$C,C76)),0)</f>
        <v>0</v>
      </c>
    </row>
    <row r="77" customFormat="false" ht="15" hidden="false" customHeight="true" outlineLevel="0" collapsed="false">
      <c r="A77" s="45" t="s">
        <v>1659</v>
      </c>
      <c r="B77" s="42" t="str">
        <f aca="false">IF(A77="100","HK",IF(A77="200","CN",IF(A77="300","TW","홀세일")))</f>
        <v>HK</v>
      </c>
      <c r="C77" s="45" t="s">
        <v>1251</v>
      </c>
      <c r="D77" s="46" t="n">
        <v>90</v>
      </c>
      <c r="E77" s="46" t="n">
        <v>179000</v>
      </c>
      <c r="F77" s="46" t="n">
        <v>44333</v>
      </c>
      <c r="G77" s="42" t="n">
        <v>3.25</v>
      </c>
      <c r="H77" s="42" t="n">
        <v>44.8</v>
      </c>
      <c r="J77" s="46" t="n">
        <f aca="false">IF(N(E77)&gt;0,E77,IF(N(F77)&gt;0,F77*요약!$F$27,0))</f>
        <v>179000</v>
      </c>
      <c r="K77" s="46" t="n">
        <f aca="false">IF(N(F77)&gt;0,F77,IF(N(E77)&gt;0,E77/요약!$F$27,0))</f>
        <v>44333</v>
      </c>
      <c r="L77" s="46" t="n">
        <f aca="false">IF(B77="CN",IF(N(I77)&gt;0,I77*요약!$G$27,K77*(1+요약!$E$27)),IF(N(H77)&gt;0,H77*요약!$G$27,J77*요약!$D$27))</f>
        <v>59136</v>
      </c>
      <c r="M77" s="46" t="n">
        <f aca="false">D77*J77</f>
        <v>16110000</v>
      </c>
      <c r="N77" s="46" t="n">
        <f aca="false">D77*K77</f>
        <v>3989970</v>
      </c>
      <c r="O77" s="46" t="n">
        <f aca="false">D77*L77</f>
        <v>5322240</v>
      </c>
      <c r="P77" s="42" t="str">
        <f aca="false">TRIM(IF(N(E77)&lt;=0,"택가보정 ","")&amp;IF(N(F77)&lt;=0,"원가보정 ","")&amp;IF(AND(B77&lt;&gt;"CN",N(H77)&lt;=0),"공급가보정 ","")&amp;IF(AND(B77="CN",N(I77)&lt;=0),"중국공급가=원가+마진 ",""))</f>
        <v/>
      </c>
      <c r="Q77" s="47" t="n">
        <f aca="false">IF(SUMIFS($W:$W,$A:$A,A77,$C:$C,C77)=0,0,SUMIFS(RAW_판매펀칭!$K:$K,RAW_판매펀칭!$P:$P,A77,RAW_판매펀칭!$I:$I,C77)*W77/SUMIFS($W:$W,$A:$A,A77,$C:$C,C77))</f>
        <v>0</v>
      </c>
      <c r="R77" s="47" t="n">
        <f aca="false">IF(OR(A77="500",A77="800",A77="810"),0,MAX(W77-Q77,0))</f>
        <v>90</v>
      </c>
      <c r="S77" s="47" t="n">
        <f aca="false">R77*L77</f>
        <v>5322240</v>
      </c>
      <c r="T77" s="47" t="n">
        <f aca="false">R77*J77</f>
        <v>16110000</v>
      </c>
      <c r="U77" s="47" t="n">
        <f aca="false">R77*K77</f>
        <v>3989970</v>
      </c>
      <c r="V77" s="0" t="str">
        <f aca="false">IF(COUNTIFS($A$2:A77,A77,$C$2:C77,C77,$D$2:D77,D77)&gt;1,"중복","")</f>
        <v/>
      </c>
      <c r="W77" s="0" t="n">
        <f aca="false">IF(V77="중복",0,N(D77))</f>
        <v>90</v>
      </c>
      <c r="X77" s="0" t="n">
        <f aca="false">IF(COUNTIFS($A$2:A77,A77,$C$2:C77,C77)=1,ABS(SUMIFS(RAW_발주!$D:$D,RAW_발주!$C:$C,A77,RAW_발주!$A:$A,C77)-SUMIFS($W:$W,$A:$A,A77,$C:$C,C77)),0)</f>
        <v>0</v>
      </c>
    </row>
    <row r="78" customFormat="false" ht="15.75" hidden="false" customHeight="true" outlineLevel="0" collapsed="false">
      <c r="A78" s="45" t="s">
        <v>1660</v>
      </c>
      <c r="B78" s="42" t="str">
        <f aca="false">IF(A78="100","HK",IF(A78="200","CN",IF(A78="300","TW","홀세일")))</f>
        <v>CN</v>
      </c>
      <c r="C78" s="45" t="s">
        <v>1251</v>
      </c>
      <c r="D78" s="46" t="n">
        <v>312</v>
      </c>
      <c r="E78" s="46" t="n">
        <v>179000</v>
      </c>
      <c r="F78" s="46" t="n">
        <v>44333</v>
      </c>
      <c r="G78" s="42" t="n">
        <v>3.25</v>
      </c>
      <c r="H78" s="42" t="n">
        <v>44.8</v>
      </c>
      <c r="J78" s="46" t="n">
        <f aca="false">IF(N(E78)&gt;0,E78,IF(N(F78)&gt;0,F78*요약!$F$27,0))</f>
        <v>179000</v>
      </c>
      <c r="K78" s="46" t="n">
        <f aca="false">IF(N(F78)&gt;0,F78,IF(N(E78)&gt;0,E78/요약!$F$27,0))</f>
        <v>44333</v>
      </c>
      <c r="L78" s="46" t="n">
        <f aca="false">IF(B78="CN",IF(N(I78)&gt;0,I78*요약!$G$27,K78*(1+요약!$E$27)),IF(N(H78)&gt;0,H78*요약!$G$27,J78*요약!$D$27))</f>
        <v>46549.65</v>
      </c>
      <c r="M78" s="46" t="n">
        <f aca="false">D78*J78</f>
        <v>55848000</v>
      </c>
      <c r="N78" s="46" t="n">
        <f aca="false">D78*K78</f>
        <v>13831896</v>
      </c>
      <c r="O78" s="46" t="n">
        <f aca="false">D78*L78</f>
        <v>14523490.8</v>
      </c>
      <c r="P78" s="42" t="str">
        <f aca="false">TRIM(IF(N(E78)&lt;=0,"택가보정 ","")&amp;IF(N(F78)&lt;=0,"원가보정 ","")&amp;IF(AND(B78&lt;&gt;"CN",N(H78)&lt;=0),"공급가보정 ","")&amp;IF(AND(B78="CN",N(I78)&lt;=0),"중국공급가=원가+마진 ",""))</f>
        <v>중국공급가=원가+마진</v>
      </c>
      <c r="Q78" s="47" t="n">
        <f aca="false">IF(SUMIFS($W:$W,$A:$A,A78,$C:$C,C78)=0,0,SUMIFS(RAW_판매펀칭!$K:$K,RAW_판매펀칭!$P:$P,A78,RAW_판매펀칭!$I:$I,C78)*W78/SUMIFS($W:$W,$A:$A,A78,$C:$C,C78))</f>
        <v>0</v>
      </c>
      <c r="R78" s="47" t="n">
        <f aca="false">IF(OR(A78="500",A78="800",A78="810"),0,MAX(W78-Q78,0))</f>
        <v>312</v>
      </c>
      <c r="S78" s="47" t="n">
        <f aca="false">R78*L78</f>
        <v>14523490.8</v>
      </c>
      <c r="T78" s="47" t="n">
        <f aca="false">R78*J78</f>
        <v>55848000</v>
      </c>
      <c r="U78" s="47" t="n">
        <f aca="false">R78*K78</f>
        <v>13831896</v>
      </c>
      <c r="V78" s="0" t="str">
        <f aca="false">IF(COUNTIFS($A$2:A78,A78,$C$2:C78,C78,$D$2:D78,D78)&gt;1,"중복","")</f>
        <v/>
      </c>
      <c r="W78" s="0" t="n">
        <f aca="false">IF(V78="중복",0,N(D78))</f>
        <v>312</v>
      </c>
      <c r="X78" s="0" t="n">
        <f aca="false">IF(COUNTIFS($A$2:A78,A78,$C$2:C78,C78)=1,ABS(SUMIFS(RAW_발주!$D:$D,RAW_발주!$C:$C,A78,RAW_발주!$A:$A,C78)-SUMIFS($W:$W,$A:$A,A78,$C:$C,C78)),0)</f>
        <v>0</v>
      </c>
    </row>
    <row r="79" customFormat="false" ht="15" hidden="false" customHeight="true" outlineLevel="0" collapsed="false">
      <c r="A79" s="45" t="s">
        <v>1661</v>
      </c>
      <c r="B79" s="42" t="str">
        <f aca="false">IF(A79="100","HK",IF(A79="200","CN",IF(A79="300","TW","홀세일")))</f>
        <v>TW</v>
      </c>
      <c r="C79" s="45" t="s">
        <v>1251</v>
      </c>
      <c r="D79" s="46" t="n">
        <v>120</v>
      </c>
      <c r="E79" s="46" t="n">
        <v>179000</v>
      </c>
      <c r="F79" s="46" t="n">
        <v>44333</v>
      </c>
      <c r="G79" s="42" t="n">
        <v>3.25</v>
      </c>
      <c r="H79" s="42" t="n">
        <v>44.8</v>
      </c>
      <c r="J79" s="46" t="n">
        <f aca="false">IF(N(E79)&gt;0,E79,IF(N(F79)&gt;0,F79*요약!$F$27,0))</f>
        <v>179000</v>
      </c>
      <c r="K79" s="46" t="n">
        <f aca="false">IF(N(F79)&gt;0,F79,IF(N(E79)&gt;0,E79/요약!$F$27,0))</f>
        <v>44333</v>
      </c>
      <c r="L79" s="46" t="n">
        <f aca="false">IF(B79="CN",IF(N(I79)&gt;0,I79*요약!$G$27,K79*(1+요약!$E$27)),IF(N(H79)&gt;0,H79*요약!$G$27,J79*요약!$D$27))</f>
        <v>59136</v>
      </c>
      <c r="M79" s="46" t="n">
        <f aca="false">D79*J79</f>
        <v>21480000</v>
      </c>
      <c r="N79" s="46" t="n">
        <f aca="false">D79*K79</f>
        <v>5319960</v>
      </c>
      <c r="O79" s="46" t="n">
        <f aca="false">D79*L79</f>
        <v>7096320</v>
      </c>
      <c r="P79" s="42" t="str">
        <f aca="false">TRIM(IF(N(E79)&lt;=0,"택가보정 ","")&amp;IF(N(F79)&lt;=0,"원가보정 ","")&amp;IF(AND(B79&lt;&gt;"CN",N(H79)&lt;=0),"공급가보정 ","")&amp;IF(AND(B79="CN",N(I79)&lt;=0),"중국공급가=원가+마진 ",""))</f>
        <v/>
      </c>
      <c r="Q79" s="47" t="n">
        <f aca="false">IF(SUMIFS($W:$W,$A:$A,A79,$C:$C,C79)=0,0,SUMIFS(RAW_판매펀칭!$K:$K,RAW_판매펀칭!$P:$P,A79,RAW_판매펀칭!$I:$I,C79)*W79/SUMIFS($W:$W,$A:$A,A79,$C:$C,C79))</f>
        <v>0</v>
      </c>
      <c r="R79" s="47" t="n">
        <f aca="false">IF(OR(A79="500",A79="800",A79="810"),0,MAX(W79-Q79,0))</f>
        <v>120</v>
      </c>
      <c r="S79" s="47" t="n">
        <f aca="false">R79*L79</f>
        <v>7096320</v>
      </c>
      <c r="T79" s="47" t="n">
        <f aca="false">R79*J79</f>
        <v>21480000</v>
      </c>
      <c r="U79" s="47" t="n">
        <f aca="false">R79*K79</f>
        <v>5319960</v>
      </c>
      <c r="V79" s="0" t="str">
        <f aca="false">IF(COUNTIFS($A$2:A79,A79,$C$2:C79,C79,$D$2:D79,D79)&gt;1,"중복","")</f>
        <v/>
      </c>
      <c r="W79" s="0" t="n">
        <f aca="false">IF(V79="중복",0,N(D79))</f>
        <v>120</v>
      </c>
      <c r="X79" s="0" t="n">
        <f aca="false">IF(COUNTIFS($A$2:A79,A79,$C$2:C79,C79)=1,ABS(SUMIFS(RAW_발주!$D:$D,RAW_발주!$C:$C,A79,RAW_발주!$A:$A,C79)-SUMIFS($W:$W,$A:$A,A79,$C:$C,C79)),0)</f>
        <v>0</v>
      </c>
    </row>
    <row r="80" customFormat="false" ht="15" hidden="false" customHeight="true" outlineLevel="0" collapsed="false">
      <c r="A80" s="45" t="s">
        <v>1662</v>
      </c>
      <c r="B80" s="42" t="str">
        <f aca="false">IF(A80="100","HK",IF(A80="200","CN",IF(A80="300","TW","홀세일")))</f>
        <v>홀세일</v>
      </c>
      <c r="C80" s="45" t="s">
        <v>1251</v>
      </c>
      <c r="D80" s="46" t="n">
        <v>25</v>
      </c>
      <c r="E80" s="46" t="n">
        <v>179000</v>
      </c>
      <c r="F80" s="46" t="n">
        <v>44333</v>
      </c>
      <c r="G80" s="42" t="n">
        <v>3.25</v>
      </c>
      <c r="H80" s="42" t="n">
        <v>44.8</v>
      </c>
      <c r="J80" s="46" t="n">
        <f aca="false">IF(N(E80)&gt;0,E80,IF(N(F80)&gt;0,F80*요약!$F$27,0))</f>
        <v>179000</v>
      </c>
      <c r="K80" s="46" t="n">
        <f aca="false">IF(N(F80)&gt;0,F80,IF(N(E80)&gt;0,E80/요약!$F$27,0))</f>
        <v>44333</v>
      </c>
      <c r="L80" s="46" t="n">
        <f aca="false">IF(B80="CN",IF(N(I80)&gt;0,I80*요약!$G$27,K80*(1+요약!$E$27)),IF(N(H80)&gt;0,H80*요약!$G$27,J80*요약!$D$27))</f>
        <v>59136</v>
      </c>
      <c r="M80" s="46" t="n">
        <f aca="false">D80*J80</f>
        <v>4475000</v>
      </c>
      <c r="N80" s="46" t="n">
        <f aca="false">D80*K80</f>
        <v>1108325</v>
      </c>
      <c r="O80" s="46" t="n">
        <f aca="false">D80*L80</f>
        <v>1478400</v>
      </c>
      <c r="P80" s="42" t="str">
        <f aca="false">TRIM(IF(N(E80)&lt;=0,"택가보정 ","")&amp;IF(N(F80)&lt;=0,"원가보정 ","")&amp;IF(AND(B80&lt;&gt;"CN",N(H80)&lt;=0),"공급가보정 ","")&amp;IF(AND(B80="CN",N(I80)&lt;=0),"중국공급가=원가+마진 ",""))</f>
        <v/>
      </c>
      <c r="Q80" s="47" t="n">
        <f aca="false">IF(SUMIFS($W:$W,$A:$A,A80,$C:$C,C80)=0,0,SUMIFS(RAW_판매펀칭!$K:$K,RAW_판매펀칭!$P:$P,A80,RAW_판매펀칭!$I:$I,C80)*W80/SUMIFS($W:$W,$A:$A,A80,$C:$C,C80))</f>
        <v>25</v>
      </c>
      <c r="R80" s="47" t="n">
        <f aca="false">IF(OR(A80="500",A80="800",A80="810"),0,MAX(W80-Q80,0))</f>
        <v>0</v>
      </c>
      <c r="S80" s="47" t="n">
        <f aca="false">R80*L80</f>
        <v>0</v>
      </c>
      <c r="T80" s="47" t="n">
        <f aca="false">R80*J80</f>
        <v>0</v>
      </c>
      <c r="U80" s="47" t="n">
        <f aca="false">R80*K80</f>
        <v>0</v>
      </c>
      <c r="V80" s="0" t="str">
        <f aca="false">IF(COUNTIFS($A$2:A80,A80,$C$2:C80,C80,$D$2:D80,D80)&gt;1,"중복","")</f>
        <v/>
      </c>
      <c r="W80" s="0" t="n">
        <f aca="false">IF(V80="중복",0,N(D80))</f>
        <v>25</v>
      </c>
      <c r="X80" s="0" t="n">
        <f aca="false">IF(COUNTIFS($A$2:A80,A80,$C$2:C80,C80)=1,ABS(SUMIFS(RAW_발주!$D:$D,RAW_발주!$C:$C,A80,RAW_발주!$A:$A,C80)-SUMIFS($W:$W,$A:$A,A80,$C:$C,C80)),0)</f>
        <v>0</v>
      </c>
    </row>
    <row r="81" customFormat="false" ht="15" hidden="false" customHeight="true" outlineLevel="0" collapsed="false">
      <c r="A81" s="45" t="s">
        <v>1661</v>
      </c>
      <c r="B81" s="42" t="str">
        <f aca="false">IF(A81="100","HK",IF(A81="200","CN",IF(A81="300","TW","홀세일")))</f>
        <v>TW</v>
      </c>
      <c r="C81" s="45" t="s">
        <v>158</v>
      </c>
      <c r="D81" s="46" t="n">
        <v>200</v>
      </c>
      <c r="E81" s="46" t="n">
        <v>239000</v>
      </c>
      <c r="F81" s="46" t="n">
        <v>62300</v>
      </c>
      <c r="G81" s="42" t="n">
        <v>3.24</v>
      </c>
      <c r="H81" s="42" t="n">
        <v>63.5</v>
      </c>
      <c r="J81" s="46" t="n">
        <f aca="false">IF(N(E81)&gt;0,E81,IF(N(F81)&gt;0,F81*요약!$F$27,0))</f>
        <v>239000</v>
      </c>
      <c r="K81" s="46" t="n">
        <f aca="false">IF(N(F81)&gt;0,F81,IF(N(E81)&gt;0,E81/요약!$F$27,0))</f>
        <v>62300</v>
      </c>
      <c r="L81" s="46" t="n">
        <f aca="false">IF(B81="CN",IF(N(I81)&gt;0,I81*요약!$G$27,K81*(1+요약!$E$27)),IF(N(H81)&gt;0,H81*요약!$G$27,J81*요약!$D$27))</f>
        <v>83820</v>
      </c>
      <c r="M81" s="46" t="n">
        <f aca="false">D81*J81</f>
        <v>47800000</v>
      </c>
      <c r="N81" s="46" t="n">
        <f aca="false">D81*K81</f>
        <v>12460000</v>
      </c>
      <c r="O81" s="46" t="n">
        <f aca="false">D81*L81</f>
        <v>16764000</v>
      </c>
      <c r="P81" s="42" t="str">
        <f aca="false">TRIM(IF(N(E81)&lt;=0,"택가보정 ","")&amp;IF(N(F81)&lt;=0,"원가보정 ","")&amp;IF(AND(B81&lt;&gt;"CN",N(H81)&lt;=0),"공급가보정 ","")&amp;IF(AND(B81="CN",N(I81)&lt;=0),"중국공급가=원가+마진 ",""))</f>
        <v/>
      </c>
      <c r="Q81" s="47" t="n">
        <f aca="false">IF(SUMIFS($W:$W,$A:$A,A81,$C:$C,C81)=0,0,SUMIFS(RAW_판매펀칭!$K:$K,RAW_판매펀칭!$P:$P,A81,RAW_판매펀칭!$I:$I,C81)*W81/SUMIFS($W:$W,$A:$A,A81,$C:$C,C81))</f>
        <v>200</v>
      </c>
      <c r="R81" s="47" t="n">
        <f aca="false">IF(OR(A81="500",A81="800",A81="810"),0,MAX(W81-Q81,0))</f>
        <v>0</v>
      </c>
      <c r="S81" s="47" t="n">
        <f aca="false">R81*L81</f>
        <v>0</v>
      </c>
      <c r="T81" s="47" t="n">
        <f aca="false">R81*J81</f>
        <v>0</v>
      </c>
      <c r="U81" s="47" t="n">
        <f aca="false">R81*K81</f>
        <v>0</v>
      </c>
      <c r="V81" s="0" t="str">
        <f aca="false">IF(COUNTIFS($A$2:A81,A81,$C$2:C81,C81,$D$2:D81,D81)&gt;1,"중복","")</f>
        <v/>
      </c>
      <c r="W81" s="0" t="n">
        <f aca="false">IF(V81="중복",0,N(D81))</f>
        <v>200</v>
      </c>
      <c r="X81" s="0" t="n">
        <f aca="false">IF(COUNTIFS($A$2:A81,A81,$C$2:C81,C81)=1,ABS(SUMIFS(RAW_발주!$D:$D,RAW_발주!$C:$C,A81,RAW_발주!$A:$A,C81)-SUMIFS($W:$W,$A:$A,A81,$C:$C,C81)),0)</f>
        <v>0</v>
      </c>
    </row>
    <row r="82" customFormat="false" ht="15" hidden="false" customHeight="true" outlineLevel="0" collapsed="false">
      <c r="A82" s="45" t="s">
        <v>1663</v>
      </c>
      <c r="B82" s="42" t="str">
        <f aca="false">IF(A82="100","HK",IF(A82="200","CN",IF(A82="300","TW","홀세일")))</f>
        <v>홀세일</v>
      </c>
      <c r="C82" s="45" t="s">
        <v>158</v>
      </c>
      <c r="D82" s="46" t="n">
        <v>20</v>
      </c>
      <c r="E82" s="46" t="n">
        <v>239000</v>
      </c>
      <c r="F82" s="46" t="n">
        <v>62300</v>
      </c>
      <c r="G82" s="42" t="n">
        <v>3.24</v>
      </c>
      <c r="H82" s="42" t="n">
        <v>63.5</v>
      </c>
      <c r="J82" s="46" t="n">
        <f aca="false">IF(N(E82)&gt;0,E82,IF(N(F82)&gt;0,F82*요약!$F$27,0))</f>
        <v>239000</v>
      </c>
      <c r="K82" s="46" t="n">
        <f aca="false">IF(N(F82)&gt;0,F82,IF(N(E82)&gt;0,E82/요약!$F$27,0))</f>
        <v>62300</v>
      </c>
      <c r="L82" s="46" t="n">
        <f aca="false">IF(B82="CN",IF(N(I82)&gt;0,I82*요약!$G$27,K82*(1+요약!$E$27)),IF(N(H82)&gt;0,H82*요약!$G$27,J82*요약!$D$27))</f>
        <v>83820</v>
      </c>
      <c r="M82" s="46" t="n">
        <f aca="false">D82*J82</f>
        <v>4780000</v>
      </c>
      <c r="N82" s="46" t="n">
        <f aca="false">D82*K82</f>
        <v>1246000</v>
      </c>
      <c r="O82" s="46" t="n">
        <f aca="false">D82*L82</f>
        <v>1676400</v>
      </c>
      <c r="P82" s="42" t="str">
        <f aca="false">TRIM(IF(N(E82)&lt;=0,"택가보정 ","")&amp;IF(N(F82)&lt;=0,"원가보정 ","")&amp;IF(AND(B82&lt;&gt;"CN",N(H82)&lt;=0),"공급가보정 ","")&amp;IF(AND(B82="CN",N(I82)&lt;=0),"중국공급가=원가+마진 ",""))</f>
        <v/>
      </c>
      <c r="Q82" s="47" t="n">
        <f aca="false">IF(SUMIFS($W:$W,$A:$A,A82,$C:$C,C82)=0,0,SUMIFS(RAW_판매펀칭!$K:$K,RAW_판매펀칭!$P:$P,A82,RAW_판매펀칭!$I:$I,C82)*W82/SUMIFS($W:$W,$A:$A,A82,$C:$C,C82))</f>
        <v>0</v>
      </c>
      <c r="R82" s="47" t="n">
        <f aca="false">IF(OR(A82="500",A82="800",A82="810"),0,MAX(W82-Q82,0))</f>
        <v>20</v>
      </c>
      <c r="S82" s="47" t="n">
        <f aca="false">R82*L82</f>
        <v>1676400</v>
      </c>
      <c r="T82" s="47" t="n">
        <f aca="false">R82*J82</f>
        <v>4780000</v>
      </c>
      <c r="U82" s="47" t="n">
        <f aca="false">R82*K82</f>
        <v>1246000</v>
      </c>
      <c r="V82" s="0" t="str">
        <f aca="false">IF(COUNTIFS($A$2:A82,A82,$C$2:C82,C82,$D$2:D82,D82)&gt;1,"중복","")</f>
        <v/>
      </c>
      <c r="W82" s="0" t="n">
        <f aca="false">IF(V82="중복",0,N(D82))</f>
        <v>20</v>
      </c>
      <c r="X82" s="0" t="n">
        <f aca="false">IF(COUNTIFS($A$2:A82,A82,$C$2:C82,C82)=1,ABS(SUMIFS(RAW_발주!$D:$D,RAW_발주!$C:$C,A82,RAW_발주!$A:$A,C82)-SUMIFS($W:$W,$A:$A,A82,$C:$C,C82)),0)</f>
        <v>0</v>
      </c>
    </row>
    <row r="83" customFormat="false" ht="15" hidden="false" customHeight="true" outlineLevel="0" collapsed="false">
      <c r="A83" s="45" t="s">
        <v>1659</v>
      </c>
      <c r="B83" s="42" t="str">
        <f aca="false">IF(A83="100","HK",IF(A83="200","CN",IF(A83="300","TW","홀세일")))</f>
        <v>HK</v>
      </c>
      <c r="C83" s="45" t="s">
        <v>784</v>
      </c>
      <c r="D83" s="46" t="n">
        <v>100</v>
      </c>
      <c r="E83" s="46" t="n">
        <v>219000</v>
      </c>
      <c r="F83" s="46" t="n">
        <v>47503</v>
      </c>
      <c r="G83" s="42" t="n">
        <v>3.81</v>
      </c>
      <c r="H83" s="42" t="n">
        <v>58.2</v>
      </c>
      <c r="J83" s="46" t="n">
        <f aca="false">IF(N(E83)&gt;0,E83,IF(N(F83)&gt;0,F83*요약!$F$27,0))</f>
        <v>219000</v>
      </c>
      <c r="K83" s="46" t="n">
        <f aca="false">IF(N(F83)&gt;0,F83,IF(N(E83)&gt;0,E83/요약!$F$27,0))</f>
        <v>47503</v>
      </c>
      <c r="L83" s="46" t="n">
        <f aca="false">IF(B83="CN",IF(N(I83)&gt;0,I83*요약!$G$27,K83*(1+요약!$E$27)),IF(N(H83)&gt;0,H83*요약!$G$27,J83*요약!$D$27))</f>
        <v>76824</v>
      </c>
      <c r="M83" s="46" t="n">
        <f aca="false">D83*J83</f>
        <v>21900000</v>
      </c>
      <c r="N83" s="46" t="n">
        <f aca="false">D83*K83</f>
        <v>4750300</v>
      </c>
      <c r="O83" s="46" t="n">
        <f aca="false">D83*L83</f>
        <v>7682400</v>
      </c>
      <c r="P83" s="42" t="str">
        <f aca="false">TRIM(IF(N(E83)&lt;=0,"택가보정 ","")&amp;IF(N(F83)&lt;=0,"원가보정 ","")&amp;IF(AND(B83&lt;&gt;"CN",N(H83)&lt;=0),"공급가보정 ","")&amp;IF(AND(B83="CN",N(I83)&lt;=0),"중국공급가=원가+마진 ",""))</f>
        <v/>
      </c>
      <c r="Q83" s="47" t="n">
        <f aca="false">IF(SUMIFS($W:$W,$A:$A,A83,$C:$C,C83)=0,0,SUMIFS(RAW_판매펀칭!$K:$K,RAW_판매펀칭!$P:$P,A83,RAW_판매펀칭!$I:$I,C83)*W83/SUMIFS($W:$W,$A:$A,A83,$C:$C,C83))</f>
        <v>100</v>
      </c>
      <c r="R83" s="47" t="n">
        <f aca="false">IF(OR(A83="500",A83="800",A83="810"),0,MAX(W83-Q83,0))</f>
        <v>0</v>
      </c>
      <c r="S83" s="47" t="n">
        <f aca="false">R83*L83</f>
        <v>0</v>
      </c>
      <c r="T83" s="47" t="n">
        <f aca="false">R83*J83</f>
        <v>0</v>
      </c>
      <c r="U83" s="47" t="n">
        <f aca="false">R83*K83</f>
        <v>0</v>
      </c>
      <c r="V83" s="0" t="str">
        <f aca="false">IF(COUNTIFS($A$2:A83,A83,$C$2:C83,C83,$D$2:D83,D83)&gt;1,"중복","")</f>
        <v/>
      </c>
      <c r="W83" s="0" t="n">
        <f aca="false">IF(V83="중복",0,N(D83))</f>
        <v>100</v>
      </c>
      <c r="X83" s="0" t="n">
        <f aca="false">IF(COUNTIFS($A$2:A83,A83,$C$2:C83,C83)=1,ABS(SUMIFS(RAW_발주!$D:$D,RAW_발주!$C:$C,A83,RAW_발주!$A:$A,C83)-SUMIFS($W:$W,$A:$A,A83,$C:$C,C83)),0)</f>
        <v>0</v>
      </c>
    </row>
    <row r="84" customFormat="false" ht="15" hidden="false" customHeight="true" outlineLevel="0" collapsed="false">
      <c r="A84" s="45" t="s">
        <v>1667</v>
      </c>
      <c r="B84" s="42" t="str">
        <f aca="false">IF(A84="100","HK",IF(A84="200","CN",IF(A84="300","TW","홀세일")))</f>
        <v>홀세일</v>
      </c>
      <c r="C84" s="45" t="s">
        <v>784</v>
      </c>
      <c r="D84" s="46" t="n">
        <v>92</v>
      </c>
      <c r="E84" s="46" t="n">
        <v>219000</v>
      </c>
      <c r="F84" s="46" t="n">
        <v>47503</v>
      </c>
      <c r="G84" s="42" t="n">
        <v>3.81</v>
      </c>
      <c r="H84" s="42" t="n">
        <v>58.2</v>
      </c>
      <c r="J84" s="46" t="n">
        <f aca="false">IF(N(E84)&gt;0,E84,IF(N(F84)&gt;0,F84*요약!$F$27,0))</f>
        <v>219000</v>
      </c>
      <c r="K84" s="46" t="n">
        <f aca="false">IF(N(F84)&gt;0,F84,IF(N(E84)&gt;0,E84/요약!$F$27,0))</f>
        <v>47503</v>
      </c>
      <c r="L84" s="46" t="n">
        <f aca="false">IF(B84="CN",IF(N(I84)&gt;0,I84*요약!$G$27,K84*(1+요약!$E$27)),IF(N(H84)&gt;0,H84*요약!$G$27,J84*요약!$D$27))</f>
        <v>76824</v>
      </c>
      <c r="M84" s="46" t="n">
        <f aca="false">D84*J84</f>
        <v>20148000</v>
      </c>
      <c r="N84" s="46" t="n">
        <f aca="false">D84*K84</f>
        <v>4370276</v>
      </c>
      <c r="O84" s="46" t="n">
        <f aca="false">D84*L84</f>
        <v>7067808</v>
      </c>
      <c r="P84" s="42" t="str">
        <f aca="false">TRIM(IF(N(E84)&lt;=0,"택가보정 ","")&amp;IF(N(F84)&lt;=0,"원가보정 ","")&amp;IF(AND(B84&lt;&gt;"CN",N(H84)&lt;=0),"공급가보정 ","")&amp;IF(AND(B84="CN",N(I84)&lt;=0),"중국공급가=원가+마진 ",""))</f>
        <v/>
      </c>
      <c r="Q84" s="47" t="n">
        <f aca="false">IF(SUMIFS($W:$W,$A:$A,A84,$C:$C,C84)=0,0,SUMIFS(RAW_판매펀칭!$K:$K,RAW_판매펀칭!$P:$P,A84,RAW_판매펀칭!$I:$I,C84)*W84/SUMIFS($W:$W,$A:$A,A84,$C:$C,C84))</f>
        <v>92</v>
      </c>
      <c r="R84" s="47" t="n">
        <f aca="false">IF(OR(A84="500",A84="800",A84="810"),0,MAX(W84-Q84,0))</f>
        <v>0</v>
      </c>
      <c r="S84" s="47" t="n">
        <f aca="false">R84*L84</f>
        <v>0</v>
      </c>
      <c r="T84" s="47" t="n">
        <f aca="false">R84*J84</f>
        <v>0</v>
      </c>
      <c r="U84" s="47" t="n">
        <f aca="false">R84*K84</f>
        <v>0</v>
      </c>
      <c r="V84" s="0" t="str">
        <f aca="false">IF(COUNTIFS($A$2:A84,A84,$C$2:C84,C84,$D$2:D84,D84)&gt;1,"중복","")</f>
        <v/>
      </c>
      <c r="W84" s="0" t="n">
        <f aca="false">IF(V84="중복",0,N(D84))</f>
        <v>92</v>
      </c>
      <c r="X84" s="0" t="n">
        <f aca="false">IF(COUNTIFS($A$2:A84,A84,$C$2:C84,C84)=1,ABS(SUMIFS(RAW_발주!$D:$D,RAW_발주!$C:$C,A84,RAW_발주!$A:$A,C84)-SUMIFS($W:$W,$A:$A,A84,$C:$C,C84)),0)</f>
        <v>0</v>
      </c>
    </row>
    <row r="85" customFormat="false" ht="15" hidden="false" customHeight="true" outlineLevel="0" collapsed="false">
      <c r="A85" s="45" t="s">
        <v>1659</v>
      </c>
      <c r="B85" s="42" t="str">
        <f aca="false">IF(A85="100","HK",IF(A85="200","CN",IF(A85="300","TW","홀세일")))</f>
        <v>HK</v>
      </c>
      <c r="C85" s="45" t="s">
        <v>1670</v>
      </c>
      <c r="D85" s="46" t="n">
        <v>240</v>
      </c>
      <c r="E85" s="46" t="n">
        <v>199000</v>
      </c>
      <c r="F85" s="46" t="n">
        <v>45100</v>
      </c>
      <c r="G85" s="42" t="n">
        <v>3.74</v>
      </c>
      <c r="H85" s="42" t="n">
        <v>52.9</v>
      </c>
      <c r="J85" s="46" t="n">
        <f aca="false">IF(N(E85)&gt;0,E85,IF(N(F85)&gt;0,F85*요약!$F$27,0))</f>
        <v>199000</v>
      </c>
      <c r="K85" s="46" t="n">
        <f aca="false">IF(N(F85)&gt;0,F85,IF(N(E85)&gt;0,E85/요약!$F$27,0))</f>
        <v>45100</v>
      </c>
      <c r="L85" s="46" t="n">
        <f aca="false">IF(B85="CN",IF(N(I85)&gt;0,I85*요약!$G$27,K85*(1+요약!$E$27)),IF(N(H85)&gt;0,H85*요약!$G$27,J85*요약!$D$27))</f>
        <v>69828</v>
      </c>
      <c r="M85" s="46" t="n">
        <f aca="false">D85*J85</f>
        <v>47760000</v>
      </c>
      <c r="N85" s="46" t="n">
        <f aca="false">D85*K85</f>
        <v>10824000</v>
      </c>
      <c r="O85" s="46" t="n">
        <f aca="false">D85*L85</f>
        <v>16758720</v>
      </c>
      <c r="P85" s="42" t="str">
        <f aca="false">TRIM(IF(N(E85)&lt;=0,"택가보정 ","")&amp;IF(N(F85)&lt;=0,"원가보정 ","")&amp;IF(AND(B85&lt;&gt;"CN",N(H85)&lt;=0),"공급가보정 ","")&amp;IF(AND(B85="CN",N(I85)&lt;=0),"중국공급가=원가+마진 ",""))</f>
        <v/>
      </c>
      <c r="Q85" s="47" t="n">
        <f aca="false">IF(SUMIFS($W:$W,$A:$A,A85,$C:$C,C85)=0,0,SUMIFS(RAW_판매펀칭!$K:$K,RAW_판매펀칭!$P:$P,A85,RAW_판매펀칭!$I:$I,C85)*W85/SUMIFS($W:$W,$A:$A,A85,$C:$C,C85))</f>
        <v>0</v>
      </c>
      <c r="R85" s="47" t="n">
        <f aca="false">IF(OR(A85="500",A85="800",A85="810"),0,MAX(W85-Q85,0))</f>
        <v>240</v>
      </c>
      <c r="S85" s="47" t="n">
        <f aca="false">R85*L85</f>
        <v>16758720</v>
      </c>
      <c r="T85" s="47" t="n">
        <f aca="false">R85*J85</f>
        <v>47760000</v>
      </c>
      <c r="U85" s="47" t="n">
        <f aca="false">R85*K85</f>
        <v>10824000</v>
      </c>
      <c r="V85" s="0" t="str">
        <f aca="false">IF(COUNTIFS($A$2:A85,A85,$C$2:C85,C85,$D$2:D85,D85)&gt;1,"중복","")</f>
        <v/>
      </c>
      <c r="W85" s="0" t="n">
        <f aca="false">IF(V85="중복",0,N(D85))</f>
        <v>240</v>
      </c>
      <c r="X85" s="0" t="n">
        <f aca="false">IF(COUNTIFS($A$2:A85,A85,$C$2:C85,C85)=1,ABS(SUMIFS(RAW_발주!$D:$D,RAW_발주!$C:$C,A85,RAW_발주!$A:$A,C85)-SUMIFS($W:$W,$A:$A,A85,$C:$C,C85)),0)</f>
        <v>0</v>
      </c>
    </row>
    <row r="86" customFormat="false" ht="15" hidden="false" customHeight="true" outlineLevel="0" collapsed="false">
      <c r="A86" s="45" t="s">
        <v>1659</v>
      </c>
      <c r="B86" s="42" t="str">
        <f aca="false">IF(A86="100","HK",IF(A86="200","CN",IF(A86="300","TW","홀세일")))</f>
        <v>HK</v>
      </c>
      <c r="C86" s="45" t="s">
        <v>786</v>
      </c>
      <c r="D86" s="46" t="n">
        <v>220</v>
      </c>
      <c r="E86" s="46" t="n">
        <v>259000</v>
      </c>
      <c r="F86" s="46" t="n">
        <v>77300</v>
      </c>
      <c r="G86" s="42" t="n">
        <v>3</v>
      </c>
      <c r="H86" s="42" t="n">
        <v>68.8</v>
      </c>
      <c r="J86" s="46" t="n">
        <f aca="false">IF(N(E86)&gt;0,E86,IF(N(F86)&gt;0,F86*요약!$F$27,0))</f>
        <v>259000</v>
      </c>
      <c r="K86" s="46" t="n">
        <f aca="false">IF(N(F86)&gt;0,F86,IF(N(E86)&gt;0,E86/요약!$F$27,0))</f>
        <v>77300</v>
      </c>
      <c r="L86" s="46" t="n">
        <f aca="false">IF(B86="CN",IF(N(I86)&gt;0,I86*요약!$G$27,K86*(1+요약!$E$27)),IF(N(H86)&gt;0,H86*요약!$G$27,J86*요약!$D$27))</f>
        <v>90816</v>
      </c>
      <c r="M86" s="46" t="n">
        <f aca="false">D86*J86</f>
        <v>56980000</v>
      </c>
      <c r="N86" s="46" t="n">
        <f aca="false">D86*K86</f>
        <v>17006000</v>
      </c>
      <c r="O86" s="46" t="n">
        <f aca="false">D86*L86</f>
        <v>19979520</v>
      </c>
      <c r="P86" s="42" t="str">
        <f aca="false">TRIM(IF(N(E86)&lt;=0,"택가보정 ","")&amp;IF(N(F86)&lt;=0,"원가보정 ","")&amp;IF(AND(B86&lt;&gt;"CN",N(H86)&lt;=0),"공급가보정 ","")&amp;IF(AND(B86="CN",N(I86)&lt;=0),"중국공급가=원가+마진 ",""))</f>
        <v/>
      </c>
      <c r="Q86" s="47" t="n">
        <f aca="false">IF(SUMIFS($W:$W,$A:$A,A86,$C:$C,C86)=0,0,SUMIFS(RAW_판매펀칭!$K:$K,RAW_판매펀칭!$P:$P,A86,RAW_판매펀칭!$I:$I,C86)*W86/SUMIFS($W:$W,$A:$A,A86,$C:$C,C86))</f>
        <v>220</v>
      </c>
      <c r="R86" s="47" t="n">
        <f aca="false">IF(OR(A86="500",A86="800",A86="810"),0,MAX(W86-Q86,0))</f>
        <v>0</v>
      </c>
      <c r="S86" s="47" t="n">
        <f aca="false">R86*L86</f>
        <v>0</v>
      </c>
      <c r="T86" s="47" t="n">
        <f aca="false">R86*J86</f>
        <v>0</v>
      </c>
      <c r="U86" s="47" t="n">
        <f aca="false">R86*K86</f>
        <v>0</v>
      </c>
      <c r="V86" s="0" t="str">
        <f aca="false">IF(COUNTIFS($A$2:A86,A86,$C$2:C86,C86,$D$2:D86,D86)&gt;1,"중복","")</f>
        <v/>
      </c>
      <c r="W86" s="0" t="n">
        <f aca="false">IF(V86="중복",0,N(D86))</f>
        <v>220</v>
      </c>
      <c r="X86" s="0" t="n">
        <f aca="false">IF(COUNTIFS($A$2:A86,A86,$C$2:C86,C86)=1,ABS(SUMIFS(RAW_발주!$D:$D,RAW_발주!$C:$C,A86,RAW_발주!$A:$A,C86)-SUMIFS($W:$W,$A:$A,A86,$C:$C,C86)),0)</f>
        <v>0</v>
      </c>
    </row>
    <row r="87" customFormat="false" ht="15.75" hidden="false" customHeight="true" outlineLevel="0" collapsed="false">
      <c r="A87" s="45" t="s">
        <v>1660</v>
      </c>
      <c r="B87" s="42" t="str">
        <f aca="false">IF(A87="100","HK",IF(A87="200","CN",IF(A87="300","TW","홀세일")))</f>
        <v>CN</v>
      </c>
      <c r="C87" s="45" t="s">
        <v>1253</v>
      </c>
      <c r="D87" s="46" t="n">
        <v>83</v>
      </c>
      <c r="E87" s="46" t="n">
        <v>590000</v>
      </c>
      <c r="F87" s="46" t="n">
        <v>148107</v>
      </c>
      <c r="G87" s="42" t="n">
        <v>3.41</v>
      </c>
      <c r="H87" s="42" t="n">
        <v>156.6</v>
      </c>
      <c r="J87" s="46" t="n">
        <f aca="false">IF(N(E87)&gt;0,E87,IF(N(F87)&gt;0,F87*요약!$F$27,0))</f>
        <v>590000</v>
      </c>
      <c r="K87" s="46" t="n">
        <f aca="false">IF(N(F87)&gt;0,F87,IF(N(E87)&gt;0,E87/요약!$F$27,0))</f>
        <v>148107</v>
      </c>
      <c r="L87" s="46" t="n">
        <f aca="false">IF(B87="CN",IF(N(I87)&gt;0,I87*요약!$G$27,K87*(1+요약!$E$27)),IF(N(H87)&gt;0,H87*요약!$G$27,J87*요약!$D$27))</f>
        <v>155512.35</v>
      </c>
      <c r="M87" s="46" t="n">
        <f aca="false">D87*J87</f>
        <v>48970000</v>
      </c>
      <c r="N87" s="46" t="n">
        <f aca="false">D87*K87</f>
        <v>12292881</v>
      </c>
      <c r="O87" s="46" t="n">
        <f aca="false">D87*L87</f>
        <v>12907525.05</v>
      </c>
      <c r="P87" s="42" t="str">
        <f aca="false">TRIM(IF(N(E87)&lt;=0,"택가보정 ","")&amp;IF(N(F87)&lt;=0,"원가보정 ","")&amp;IF(AND(B87&lt;&gt;"CN",N(H87)&lt;=0),"공급가보정 ","")&amp;IF(AND(B87="CN",N(I87)&lt;=0),"중국공급가=원가+마진 ",""))</f>
        <v>중국공급가=원가+마진</v>
      </c>
      <c r="Q87" s="47" t="n">
        <f aca="false">IF(SUMIFS($W:$W,$A:$A,A87,$C:$C,C87)=0,0,SUMIFS(RAW_판매펀칭!$K:$K,RAW_판매펀칭!$P:$P,A87,RAW_판매펀칭!$I:$I,C87)*W87/SUMIFS($W:$W,$A:$A,A87,$C:$C,C87))</f>
        <v>0</v>
      </c>
      <c r="R87" s="47" t="n">
        <f aca="false">IF(OR(A87="500",A87="800",A87="810"),0,MAX(W87-Q87,0))</f>
        <v>83</v>
      </c>
      <c r="S87" s="47" t="n">
        <f aca="false">R87*L87</f>
        <v>12907525.05</v>
      </c>
      <c r="T87" s="47" t="n">
        <f aca="false">R87*J87</f>
        <v>48970000</v>
      </c>
      <c r="U87" s="47" t="n">
        <f aca="false">R87*K87</f>
        <v>12292881</v>
      </c>
      <c r="V87" s="0" t="str">
        <f aca="false">IF(COUNTIFS($A$2:A87,A87,$C$2:C87,C87,$D$2:D87,D87)&gt;1,"중복","")</f>
        <v/>
      </c>
      <c r="W87" s="0" t="n">
        <f aca="false">IF(V87="중복",0,N(D87))</f>
        <v>83</v>
      </c>
      <c r="X87" s="0" t="n">
        <f aca="false">IF(COUNTIFS($A$2:A87,A87,$C$2:C87,C87)=1,ABS(SUMIFS(RAW_발주!$D:$D,RAW_발주!$C:$C,A87,RAW_발주!$A:$A,C87)-SUMIFS($W:$W,$A:$A,A87,$C:$C,C87)),0)</f>
        <v>0</v>
      </c>
    </row>
    <row r="88" customFormat="false" ht="15" hidden="false" customHeight="true" outlineLevel="0" collapsed="false">
      <c r="A88" s="45" t="s">
        <v>1661</v>
      </c>
      <c r="B88" s="42" t="str">
        <f aca="false">IF(A88="100","HK",IF(A88="200","CN",IF(A88="300","TW","홀세일")))</f>
        <v>TW</v>
      </c>
      <c r="C88" s="45" t="s">
        <v>1253</v>
      </c>
      <c r="D88" s="46" t="n">
        <v>320</v>
      </c>
      <c r="E88" s="46" t="n">
        <v>590000</v>
      </c>
      <c r="F88" s="46" t="n">
        <v>148107</v>
      </c>
      <c r="G88" s="42" t="n">
        <v>3.41</v>
      </c>
      <c r="H88" s="42" t="n">
        <v>156.6</v>
      </c>
      <c r="J88" s="46" t="n">
        <f aca="false">IF(N(E88)&gt;0,E88,IF(N(F88)&gt;0,F88*요약!$F$27,0))</f>
        <v>590000</v>
      </c>
      <c r="K88" s="46" t="n">
        <f aca="false">IF(N(F88)&gt;0,F88,IF(N(E88)&gt;0,E88/요약!$F$27,0))</f>
        <v>148107</v>
      </c>
      <c r="L88" s="46" t="n">
        <f aca="false">IF(B88="CN",IF(N(I88)&gt;0,I88*요약!$G$27,K88*(1+요약!$E$27)),IF(N(H88)&gt;0,H88*요약!$G$27,J88*요약!$D$27))</f>
        <v>206712</v>
      </c>
      <c r="M88" s="46" t="n">
        <f aca="false">D88*J88</f>
        <v>188800000</v>
      </c>
      <c r="N88" s="46" t="n">
        <f aca="false">D88*K88</f>
        <v>47394240</v>
      </c>
      <c r="O88" s="46" t="n">
        <f aca="false">D88*L88</f>
        <v>66147840</v>
      </c>
      <c r="P88" s="42" t="str">
        <f aca="false">TRIM(IF(N(E88)&lt;=0,"택가보정 ","")&amp;IF(N(F88)&lt;=0,"원가보정 ","")&amp;IF(AND(B88&lt;&gt;"CN",N(H88)&lt;=0),"공급가보정 ","")&amp;IF(AND(B88="CN",N(I88)&lt;=0),"중국공급가=원가+마진 ",""))</f>
        <v/>
      </c>
      <c r="Q88" s="47" t="n">
        <f aca="false">IF(SUMIFS($W:$W,$A:$A,A88,$C:$C,C88)=0,0,SUMIFS(RAW_판매펀칭!$K:$K,RAW_판매펀칭!$P:$P,A88,RAW_판매펀칭!$I:$I,C88)*W88/SUMIFS($W:$W,$A:$A,A88,$C:$C,C88))</f>
        <v>0</v>
      </c>
      <c r="R88" s="47" t="n">
        <f aca="false">IF(OR(A88="500",A88="800",A88="810"),0,MAX(W88-Q88,0))</f>
        <v>320</v>
      </c>
      <c r="S88" s="47" t="n">
        <f aca="false">R88*L88</f>
        <v>66147840</v>
      </c>
      <c r="T88" s="47" t="n">
        <f aca="false">R88*J88</f>
        <v>188800000</v>
      </c>
      <c r="U88" s="47" t="n">
        <f aca="false">R88*K88</f>
        <v>47394240</v>
      </c>
      <c r="V88" s="0" t="str">
        <f aca="false">IF(COUNTIFS($A$2:A88,A88,$C$2:C88,C88,$D$2:D88,D88)&gt;1,"중복","")</f>
        <v/>
      </c>
      <c r="W88" s="0" t="n">
        <f aca="false">IF(V88="중복",0,N(D88))</f>
        <v>320</v>
      </c>
      <c r="X88" s="0" t="n">
        <f aca="false">IF(COUNTIFS($A$2:A88,A88,$C$2:C88,C88)=1,ABS(SUMIFS(RAW_발주!$D:$D,RAW_발주!$C:$C,A88,RAW_발주!$A:$A,C88)-SUMIFS($W:$W,$A:$A,A88,$C:$C,C88)),0)</f>
        <v>0</v>
      </c>
    </row>
    <row r="89" customFormat="false" ht="15" hidden="false" customHeight="true" outlineLevel="0" collapsed="false">
      <c r="A89" s="45" t="s">
        <v>1662</v>
      </c>
      <c r="B89" s="42" t="str">
        <f aca="false">IF(A89="100","HK",IF(A89="200","CN",IF(A89="300","TW","홀세일")))</f>
        <v>홀세일</v>
      </c>
      <c r="C89" s="45" t="s">
        <v>1253</v>
      </c>
      <c r="D89" s="46" t="n">
        <v>25</v>
      </c>
      <c r="E89" s="46" t="n">
        <v>590000</v>
      </c>
      <c r="F89" s="46" t="n">
        <v>148107</v>
      </c>
      <c r="G89" s="42" t="n">
        <v>3.41</v>
      </c>
      <c r="H89" s="42" t="n">
        <v>156.6</v>
      </c>
      <c r="J89" s="46" t="n">
        <f aca="false">IF(N(E89)&gt;0,E89,IF(N(F89)&gt;0,F89*요약!$F$27,0))</f>
        <v>590000</v>
      </c>
      <c r="K89" s="46" t="n">
        <f aca="false">IF(N(F89)&gt;0,F89,IF(N(E89)&gt;0,E89/요약!$F$27,0))</f>
        <v>148107</v>
      </c>
      <c r="L89" s="46" t="n">
        <f aca="false">IF(B89="CN",IF(N(I89)&gt;0,I89*요약!$G$27,K89*(1+요약!$E$27)),IF(N(H89)&gt;0,H89*요약!$G$27,J89*요약!$D$27))</f>
        <v>206712</v>
      </c>
      <c r="M89" s="46" t="n">
        <f aca="false">D89*J89</f>
        <v>14750000</v>
      </c>
      <c r="N89" s="46" t="n">
        <f aca="false">D89*K89</f>
        <v>3702675</v>
      </c>
      <c r="O89" s="46" t="n">
        <f aca="false">D89*L89</f>
        <v>5167800</v>
      </c>
      <c r="P89" s="42" t="str">
        <f aca="false">TRIM(IF(N(E89)&lt;=0,"택가보정 ","")&amp;IF(N(F89)&lt;=0,"원가보정 ","")&amp;IF(AND(B89&lt;&gt;"CN",N(H89)&lt;=0),"공급가보정 ","")&amp;IF(AND(B89="CN",N(I89)&lt;=0),"중국공급가=원가+마진 ",""))</f>
        <v/>
      </c>
      <c r="Q89" s="47" t="n">
        <f aca="false">IF(SUMIFS($W:$W,$A:$A,A89,$C:$C,C89)=0,0,SUMIFS(RAW_판매펀칭!$K:$K,RAW_판매펀칭!$P:$P,A89,RAW_판매펀칭!$I:$I,C89)*W89/SUMIFS($W:$W,$A:$A,A89,$C:$C,C89))</f>
        <v>25</v>
      </c>
      <c r="R89" s="47" t="n">
        <f aca="false">IF(OR(A89="500",A89="800",A89="810"),0,MAX(W89-Q89,0))</f>
        <v>0</v>
      </c>
      <c r="S89" s="47" t="n">
        <f aca="false">R89*L89</f>
        <v>0</v>
      </c>
      <c r="T89" s="47" t="n">
        <f aca="false">R89*J89</f>
        <v>0</v>
      </c>
      <c r="U89" s="47" t="n">
        <f aca="false">R89*K89</f>
        <v>0</v>
      </c>
      <c r="V89" s="0" t="str">
        <f aca="false">IF(COUNTIFS($A$2:A89,A89,$C$2:C89,C89,$D$2:D89,D89)&gt;1,"중복","")</f>
        <v/>
      </c>
      <c r="W89" s="0" t="n">
        <f aca="false">IF(V89="중복",0,N(D89))</f>
        <v>25</v>
      </c>
      <c r="X89" s="0" t="n">
        <f aca="false">IF(COUNTIFS($A$2:A89,A89,$C$2:C89,C89)=1,ABS(SUMIFS(RAW_발주!$D:$D,RAW_발주!$C:$C,A89,RAW_발주!$A:$A,C89)-SUMIFS($W:$W,$A:$A,A89,$C:$C,C89)),0)</f>
        <v>0</v>
      </c>
    </row>
    <row r="90" customFormat="false" ht="15" hidden="false" customHeight="true" outlineLevel="0" collapsed="false">
      <c r="A90" s="45" t="s">
        <v>1664</v>
      </c>
      <c r="B90" s="42" t="str">
        <f aca="false">IF(A90="100","HK",IF(A90="200","CN",IF(A90="300","TW","홀세일")))</f>
        <v>홀세일</v>
      </c>
      <c r="C90" s="45" t="s">
        <v>1253</v>
      </c>
      <c r="D90" s="46" t="n">
        <v>15</v>
      </c>
      <c r="E90" s="46" t="n">
        <v>590000</v>
      </c>
      <c r="F90" s="46" t="n">
        <v>148107</v>
      </c>
      <c r="G90" s="42" t="n">
        <v>3.41</v>
      </c>
      <c r="H90" s="42" t="n">
        <v>156.6</v>
      </c>
      <c r="J90" s="46" t="n">
        <f aca="false">IF(N(E90)&gt;0,E90,IF(N(F90)&gt;0,F90*요약!$F$27,0))</f>
        <v>590000</v>
      </c>
      <c r="K90" s="46" t="n">
        <f aca="false">IF(N(F90)&gt;0,F90,IF(N(E90)&gt;0,E90/요약!$F$27,0))</f>
        <v>148107</v>
      </c>
      <c r="L90" s="46" t="n">
        <f aca="false">IF(B90="CN",IF(N(I90)&gt;0,I90*요약!$G$27,K90*(1+요약!$E$27)),IF(N(H90)&gt;0,H90*요약!$G$27,J90*요약!$D$27))</f>
        <v>206712</v>
      </c>
      <c r="M90" s="46" t="n">
        <f aca="false">D90*J90</f>
        <v>8850000</v>
      </c>
      <c r="N90" s="46" t="n">
        <f aca="false">D90*K90</f>
        <v>2221605</v>
      </c>
      <c r="O90" s="46" t="n">
        <f aca="false">D90*L90</f>
        <v>3100680</v>
      </c>
      <c r="P90" s="42" t="str">
        <f aca="false">TRIM(IF(N(E90)&lt;=0,"택가보정 ","")&amp;IF(N(F90)&lt;=0,"원가보정 ","")&amp;IF(AND(B90&lt;&gt;"CN",N(H90)&lt;=0),"공급가보정 ","")&amp;IF(AND(B90="CN",N(I90)&lt;=0),"중국공급가=원가+마진 ",""))</f>
        <v/>
      </c>
      <c r="Q90" s="47" t="n">
        <f aca="false">IF(SUMIFS($W:$W,$A:$A,A90,$C:$C,C90)=0,0,SUMIFS(RAW_판매펀칭!$K:$K,RAW_판매펀칭!$P:$P,A90,RAW_판매펀칭!$I:$I,C90)*W90/SUMIFS($W:$W,$A:$A,A90,$C:$C,C90))</f>
        <v>0</v>
      </c>
      <c r="R90" s="47" t="n">
        <f aca="false">IF(OR(A90="500",A90="800",A90="810"),0,MAX(W90-Q90,0))</f>
        <v>0</v>
      </c>
      <c r="S90" s="47" t="n">
        <f aca="false">R90*L90</f>
        <v>0</v>
      </c>
      <c r="T90" s="47" t="n">
        <f aca="false">R90*J90</f>
        <v>0</v>
      </c>
      <c r="U90" s="47" t="n">
        <f aca="false">R90*K90</f>
        <v>0</v>
      </c>
      <c r="V90" s="0" t="str">
        <f aca="false">IF(COUNTIFS($A$2:A90,A90,$C$2:C90,C90,$D$2:D90,D90)&gt;1,"중복","")</f>
        <v/>
      </c>
      <c r="W90" s="0" t="n">
        <f aca="false">IF(V90="중복",0,N(D90))</f>
        <v>15</v>
      </c>
      <c r="X90" s="0" t="n">
        <f aca="false">IF(COUNTIFS($A$2:A90,A90,$C$2:C90,C90)=1,ABS(SUMIFS(RAW_발주!$D:$D,RAW_발주!$C:$C,A90,RAW_발주!$A:$A,C90)-SUMIFS($W:$W,$A:$A,A90,$C:$C,C90)),0)</f>
        <v>0</v>
      </c>
    </row>
    <row r="91" customFormat="false" ht="15" hidden="false" customHeight="true" outlineLevel="0" collapsed="false">
      <c r="A91" s="45" t="s">
        <v>1659</v>
      </c>
      <c r="B91" s="42" t="str">
        <f aca="false">IF(A91="100","HK",IF(A91="200","CN",IF(A91="300","TW","홀세일")))</f>
        <v>HK</v>
      </c>
      <c r="C91" s="45" t="s">
        <v>1255</v>
      </c>
      <c r="D91" s="46" t="n">
        <v>160</v>
      </c>
      <c r="E91" s="46" t="n">
        <v>299000</v>
      </c>
      <c r="F91" s="46" t="n">
        <v>61899</v>
      </c>
      <c r="G91" s="42" t="n">
        <v>4.27</v>
      </c>
      <c r="H91" s="42" t="n">
        <v>79.4</v>
      </c>
      <c r="J91" s="46" t="n">
        <f aca="false">IF(N(E91)&gt;0,E91,IF(N(F91)&gt;0,F91*요약!$F$27,0))</f>
        <v>299000</v>
      </c>
      <c r="K91" s="46" t="n">
        <f aca="false">IF(N(F91)&gt;0,F91,IF(N(E91)&gt;0,E91/요약!$F$27,0))</f>
        <v>61899</v>
      </c>
      <c r="L91" s="46" t="n">
        <f aca="false">IF(B91="CN",IF(N(I91)&gt;0,I91*요약!$G$27,K91*(1+요약!$E$27)),IF(N(H91)&gt;0,H91*요약!$G$27,J91*요약!$D$27))</f>
        <v>104808</v>
      </c>
      <c r="M91" s="46" t="n">
        <f aca="false">D91*J91</f>
        <v>47840000</v>
      </c>
      <c r="N91" s="46" t="n">
        <f aca="false">D91*K91</f>
        <v>9903840</v>
      </c>
      <c r="O91" s="46" t="n">
        <f aca="false">D91*L91</f>
        <v>16769280</v>
      </c>
      <c r="P91" s="42" t="str">
        <f aca="false">TRIM(IF(N(E91)&lt;=0,"택가보정 ","")&amp;IF(N(F91)&lt;=0,"원가보정 ","")&amp;IF(AND(B91&lt;&gt;"CN",N(H91)&lt;=0),"공급가보정 ","")&amp;IF(AND(B91="CN",N(I91)&lt;=0),"중국공급가=원가+마진 ",""))</f>
        <v/>
      </c>
      <c r="Q91" s="47" t="n">
        <f aca="false">IF(SUMIFS($W:$W,$A:$A,A91,$C:$C,C91)=0,0,SUMIFS(RAW_판매펀칭!$K:$K,RAW_판매펀칭!$P:$P,A91,RAW_판매펀칭!$I:$I,C91)*W91/SUMIFS($W:$W,$A:$A,A91,$C:$C,C91))</f>
        <v>0</v>
      </c>
      <c r="R91" s="47" t="n">
        <f aca="false">IF(OR(A91="500",A91="800",A91="810"),0,MAX(W91-Q91,0))</f>
        <v>160</v>
      </c>
      <c r="S91" s="47" t="n">
        <f aca="false">R91*L91</f>
        <v>16769280</v>
      </c>
      <c r="T91" s="47" t="n">
        <f aca="false">R91*J91</f>
        <v>47840000</v>
      </c>
      <c r="U91" s="47" t="n">
        <f aca="false">R91*K91</f>
        <v>9903840</v>
      </c>
      <c r="V91" s="0" t="str">
        <f aca="false">IF(COUNTIFS($A$2:A91,A91,$C$2:C91,C91,$D$2:D91,D91)&gt;1,"중복","")</f>
        <v/>
      </c>
      <c r="W91" s="0" t="n">
        <f aca="false">IF(V91="중복",0,N(D91))</f>
        <v>160</v>
      </c>
      <c r="X91" s="0" t="n">
        <f aca="false">IF(COUNTIFS($A$2:A91,A91,$C$2:C91,C91)=1,ABS(SUMIFS(RAW_발주!$D:$D,RAW_발주!$C:$C,A91,RAW_발주!$A:$A,C91)-SUMIFS($W:$W,$A:$A,A91,$C:$C,C91)),0)</f>
        <v>0</v>
      </c>
    </row>
    <row r="92" customFormat="false" ht="15.75" hidden="false" customHeight="true" outlineLevel="0" collapsed="false">
      <c r="A92" s="45" t="s">
        <v>1660</v>
      </c>
      <c r="B92" s="42" t="str">
        <f aca="false">IF(A92="100","HK",IF(A92="200","CN",IF(A92="300","TW","홀세일")))</f>
        <v>CN</v>
      </c>
      <c r="C92" s="45" t="s">
        <v>1255</v>
      </c>
      <c r="D92" s="46" t="n">
        <v>194</v>
      </c>
      <c r="E92" s="46" t="n">
        <v>299000</v>
      </c>
      <c r="F92" s="46" t="n">
        <v>61899</v>
      </c>
      <c r="G92" s="42" t="n">
        <v>4.27</v>
      </c>
      <c r="H92" s="42" t="n">
        <v>79.4</v>
      </c>
      <c r="J92" s="46" t="n">
        <f aca="false">IF(N(E92)&gt;0,E92,IF(N(F92)&gt;0,F92*요약!$F$27,0))</f>
        <v>299000</v>
      </c>
      <c r="K92" s="46" t="n">
        <f aca="false">IF(N(F92)&gt;0,F92,IF(N(E92)&gt;0,E92/요약!$F$27,0))</f>
        <v>61899</v>
      </c>
      <c r="L92" s="46" t="n">
        <f aca="false">IF(B92="CN",IF(N(I92)&gt;0,I92*요약!$G$27,K92*(1+요약!$E$27)),IF(N(H92)&gt;0,H92*요약!$G$27,J92*요약!$D$27))</f>
        <v>64993.95</v>
      </c>
      <c r="M92" s="46" t="n">
        <f aca="false">D92*J92</f>
        <v>58006000</v>
      </c>
      <c r="N92" s="46" t="n">
        <f aca="false">D92*K92</f>
        <v>12008406</v>
      </c>
      <c r="O92" s="46" t="n">
        <f aca="false">D92*L92</f>
        <v>12608826.3</v>
      </c>
      <c r="P92" s="42" t="str">
        <f aca="false">TRIM(IF(N(E92)&lt;=0,"택가보정 ","")&amp;IF(N(F92)&lt;=0,"원가보정 ","")&amp;IF(AND(B92&lt;&gt;"CN",N(H92)&lt;=0),"공급가보정 ","")&amp;IF(AND(B92="CN",N(I92)&lt;=0),"중국공급가=원가+마진 ",""))</f>
        <v>중국공급가=원가+마진</v>
      </c>
      <c r="Q92" s="47" t="n">
        <f aca="false">IF(SUMIFS($W:$W,$A:$A,A92,$C:$C,C92)=0,0,SUMIFS(RAW_판매펀칭!$K:$K,RAW_판매펀칭!$P:$P,A92,RAW_판매펀칭!$I:$I,C92)*W92/SUMIFS($W:$W,$A:$A,A92,$C:$C,C92))</f>
        <v>0</v>
      </c>
      <c r="R92" s="47" t="n">
        <f aca="false">IF(OR(A92="500",A92="800",A92="810"),0,MAX(W92-Q92,0))</f>
        <v>194</v>
      </c>
      <c r="S92" s="47" t="n">
        <f aca="false">R92*L92</f>
        <v>12608826.3</v>
      </c>
      <c r="T92" s="47" t="n">
        <f aca="false">R92*J92</f>
        <v>58006000</v>
      </c>
      <c r="U92" s="47" t="n">
        <f aca="false">R92*K92</f>
        <v>12008406</v>
      </c>
      <c r="V92" s="0" t="str">
        <f aca="false">IF(COUNTIFS($A$2:A92,A92,$C$2:C92,C92,$D$2:D92,D92)&gt;1,"중복","")</f>
        <v/>
      </c>
      <c r="W92" s="0" t="n">
        <f aca="false">IF(V92="중복",0,N(D92))</f>
        <v>194</v>
      </c>
      <c r="X92" s="0" t="n">
        <f aca="false">IF(COUNTIFS($A$2:A92,A92,$C$2:C92,C92)=1,ABS(SUMIFS(RAW_발주!$D:$D,RAW_발주!$C:$C,A92,RAW_발주!$A:$A,C92)-SUMIFS($W:$W,$A:$A,A92,$C:$C,C92)),0)</f>
        <v>0</v>
      </c>
    </row>
    <row r="93" customFormat="false" ht="15" hidden="false" customHeight="true" outlineLevel="0" collapsed="false">
      <c r="A93" s="45" t="s">
        <v>1661</v>
      </c>
      <c r="B93" s="42" t="str">
        <f aca="false">IF(A93="100","HK",IF(A93="200","CN",IF(A93="300","TW","홀세일")))</f>
        <v>TW</v>
      </c>
      <c r="C93" s="45" t="s">
        <v>1255</v>
      </c>
      <c r="D93" s="46" t="n">
        <v>120</v>
      </c>
      <c r="E93" s="46" t="n">
        <v>299000</v>
      </c>
      <c r="F93" s="46" t="n">
        <v>61899</v>
      </c>
      <c r="G93" s="42" t="n">
        <v>4.27</v>
      </c>
      <c r="H93" s="42" t="n">
        <v>79.4</v>
      </c>
      <c r="J93" s="46" t="n">
        <f aca="false">IF(N(E93)&gt;0,E93,IF(N(F93)&gt;0,F93*요약!$F$27,0))</f>
        <v>299000</v>
      </c>
      <c r="K93" s="46" t="n">
        <f aca="false">IF(N(F93)&gt;0,F93,IF(N(E93)&gt;0,E93/요약!$F$27,0))</f>
        <v>61899</v>
      </c>
      <c r="L93" s="46" t="n">
        <f aca="false">IF(B93="CN",IF(N(I93)&gt;0,I93*요약!$G$27,K93*(1+요약!$E$27)),IF(N(H93)&gt;0,H93*요약!$G$27,J93*요약!$D$27))</f>
        <v>104808</v>
      </c>
      <c r="M93" s="46" t="n">
        <f aca="false">D93*J93</f>
        <v>35880000</v>
      </c>
      <c r="N93" s="46" t="n">
        <f aca="false">D93*K93</f>
        <v>7427880</v>
      </c>
      <c r="O93" s="46" t="n">
        <f aca="false">D93*L93</f>
        <v>12576960</v>
      </c>
      <c r="P93" s="42" t="str">
        <f aca="false">TRIM(IF(N(E93)&lt;=0,"택가보정 ","")&amp;IF(N(F93)&lt;=0,"원가보정 ","")&amp;IF(AND(B93&lt;&gt;"CN",N(H93)&lt;=0),"공급가보정 ","")&amp;IF(AND(B93="CN",N(I93)&lt;=0),"중국공급가=원가+마진 ",""))</f>
        <v/>
      </c>
      <c r="Q93" s="47" t="n">
        <f aca="false">IF(SUMIFS($W:$W,$A:$A,A93,$C:$C,C93)=0,0,SUMIFS(RAW_판매펀칭!$K:$K,RAW_판매펀칭!$P:$P,A93,RAW_판매펀칭!$I:$I,C93)*W93/SUMIFS($W:$W,$A:$A,A93,$C:$C,C93))</f>
        <v>0</v>
      </c>
      <c r="R93" s="47" t="n">
        <f aca="false">IF(OR(A93="500",A93="800",A93="810"),0,MAX(W93-Q93,0))</f>
        <v>120</v>
      </c>
      <c r="S93" s="47" t="n">
        <f aca="false">R93*L93</f>
        <v>12576960</v>
      </c>
      <c r="T93" s="47" t="n">
        <f aca="false">R93*J93</f>
        <v>35880000</v>
      </c>
      <c r="U93" s="47" t="n">
        <f aca="false">R93*K93</f>
        <v>7427880</v>
      </c>
      <c r="V93" s="0" t="str">
        <f aca="false">IF(COUNTIFS($A$2:A93,A93,$C$2:C93,C93,$D$2:D93,D93)&gt;1,"중복","")</f>
        <v/>
      </c>
      <c r="W93" s="0" t="n">
        <f aca="false">IF(V93="중복",0,N(D93))</f>
        <v>120</v>
      </c>
      <c r="X93" s="0" t="n">
        <f aca="false">IF(COUNTIFS($A$2:A93,A93,$C$2:C93,C93)=1,ABS(SUMIFS(RAW_발주!$D:$D,RAW_발주!$C:$C,A93,RAW_발주!$A:$A,C93)-SUMIFS($W:$W,$A:$A,A93,$C:$C,C93)),0)</f>
        <v>0</v>
      </c>
    </row>
    <row r="94" customFormat="false" ht="15" hidden="false" customHeight="true" outlineLevel="0" collapsed="false">
      <c r="A94" s="45" t="s">
        <v>1662</v>
      </c>
      <c r="B94" s="42" t="str">
        <f aca="false">IF(A94="100","HK",IF(A94="200","CN",IF(A94="300","TW","홀세일")))</f>
        <v>홀세일</v>
      </c>
      <c r="C94" s="45" t="s">
        <v>1255</v>
      </c>
      <c r="D94" s="46" t="n">
        <v>35</v>
      </c>
      <c r="E94" s="46" t="n">
        <v>299000</v>
      </c>
      <c r="F94" s="46" t="n">
        <v>61899</v>
      </c>
      <c r="G94" s="42" t="n">
        <v>4.27</v>
      </c>
      <c r="H94" s="42" t="n">
        <v>79.4</v>
      </c>
      <c r="J94" s="46" t="n">
        <f aca="false">IF(N(E94)&gt;0,E94,IF(N(F94)&gt;0,F94*요약!$F$27,0))</f>
        <v>299000</v>
      </c>
      <c r="K94" s="46" t="n">
        <f aca="false">IF(N(F94)&gt;0,F94,IF(N(E94)&gt;0,E94/요약!$F$27,0))</f>
        <v>61899</v>
      </c>
      <c r="L94" s="46" t="n">
        <f aca="false">IF(B94="CN",IF(N(I94)&gt;0,I94*요약!$G$27,K94*(1+요약!$E$27)),IF(N(H94)&gt;0,H94*요약!$G$27,J94*요약!$D$27))</f>
        <v>104808</v>
      </c>
      <c r="M94" s="46" t="n">
        <f aca="false">D94*J94</f>
        <v>10465000</v>
      </c>
      <c r="N94" s="46" t="n">
        <f aca="false">D94*K94</f>
        <v>2166465</v>
      </c>
      <c r="O94" s="46" t="n">
        <f aca="false">D94*L94</f>
        <v>3668280</v>
      </c>
      <c r="P94" s="42" t="str">
        <f aca="false">TRIM(IF(N(E94)&lt;=0,"택가보정 ","")&amp;IF(N(F94)&lt;=0,"원가보정 ","")&amp;IF(AND(B94&lt;&gt;"CN",N(H94)&lt;=0),"공급가보정 ","")&amp;IF(AND(B94="CN",N(I94)&lt;=0),"중국공급가=원가+마진 ",""))</f>
        <v/>
      </c>
      <c r="Q94" s="47" t="n">
        <f aca="false">IF(SUMIFS($W:$W,$A:$A,A94,$C:$C,C94)=0,0,SUMIFS(RAW_판매펀칭!$K:$K,RAW_판매펀칭!$P:$P,A94,RAW_판매펀칭!$I:$I,C94)*W94/SUMIFS($W:$W,$A:$A,A94,$C:$C,C94))</f>
        <v>35</v>
      </c>
      <c r="R94" s="47" t="n">
        <f aca="false">IF(OR(A94="500",A94="800",A94="810"),0,MAX(W94-Q94,0))</f>
        <v>0</v>
      </c>
      <c r="S94" s="47" t="n">
        <f aca="false">R94*L94</f>
        <v>0</v>
      </c>
      <c r="T94" s="47" t="n">
        <f aca="false">R94*J94</f>
        <v>0</v>
      </c>
      <c r="U94" s="47" t="n">
        <f aca="false">R94*K94</f>
        <v>0</v>
      </c>
      <c r="V94" s="0" t="str">
        <f aca="false">IF(COUNTIFS($A$2:A94,A94,$C$2:C94,C94,$D$2:D94,D94)&gt;1,"중복","")</f>
        <v/>
      </c>
      <c r="W94" s="0" t="n">
        <f aca="false">IF(V94="중복",0,N(D94))</f>
        <v>35</v>
      </c>
      <c r="X94" s="0" t="n">
        <f aca="false">IF(COUNTIFS($A$2:A94,A94,$C$2:C94,C94)=1,ABS(SUMIFS(RAW_발주!$D:$D,RAW_발주!$C:$C,A94,RAW_발주!$A:$A,C94)-SUMIFS($W:$W,$A:$A,A94,$C:$C,C94)),0)</f>
        <v>0</v>
      </c>
    </row>
    <row r="95" customFormat="false" ht="15" hidden="false" customHeight="true" outlineLevel="0" collapsed="false">
      <c r="A95" s="45" t="s">
        <v>1667</v>
      </c>
      <c r="B95" s="42" t="str">
        <f aca="false">IF(A95="100","HK",IF(A95="200","CN",IF(A95="300","TW","홀세일")))</f>
        <v>홀세일</v>
      </c>
      <c r="C95" s="45" t="s">
        <v>1255</v>
      </c>
      <c r="D95" s="46" t="n">
        <v>41</v>
      </c>
      <c r="E95" s="46" t="n">
        <v>299000</v>
      </c>
      <c r="F95" s="46" t="n">
        <v>61899</v>
      </c>
      <c r="G95" s="42" t="n">
        <v>4.27</v>
      </c>
      <c r="H95" s="42" t="n">
        <v>79.4</v>
      </c>
      <c r="J95" s="46" t="n">
        <f aca="false">IF(N(E95)&gt;0,E95,IF(N(F95)&gt;0,F95*요약!$F$27,0))</f>
        <v>299000</v>
      </c>
      <c r="K95" s="46" t="n">
        <f aca="false">IF(N(F95)&gt;0,F95,IF(N(E95)&gt;0,E95/요약!$F$27,0))</f>
        <v>61899</v>
      </c>
      <c r="L95" s="46" t="n">
        <f aca="false">IF(B95="CN",IF(N(I95)&gt;0,I95*요약!$G$27,K95*(1+요약!$E$27)),IF(N(H95)&gt;0,H95*요약!$G$27,J95*요약!$D$27))</f>
        <v>104808</v>
      </c>
      <c r="M95" s="46" t="n">
        <f aca="false">D95*J95</f>
        <v>12259000</v>
      </c>
      <c r="N95" s="46" t="n">
        <f aca="false">D95*K95</f>
        <v>2537859</v>
      </c>
      <c r="O95" s="46" t="n">
        <f aca="false">D95*L95</f>
        <v>4297128</v>
      </c>
      <c r="P95" s="42" t="str">
        <f aca="false">TRIM(IF(N(E95)&lt;=0,"택가보정 ","")&amp;IF(N(F95)&lt;=0,"원가보정 ","")&amp;IF(AND(B95&lt;&gt;"CN",N(H95)&lt;=0),"공급가보정 ","")&amp;IF(AND(B95="CN",N(I95)&lt;=0),"중국공급가=원가+마진 ",""))</f>
        <v/>
      </c>
      <c r="Q95" s="47" t="n">
        <f aca="false">IF(SUMIFS($W:$W,$A:$A,A95,$C:$C,C95)=0,0,SUMIFS(RAW_판매펀칭!$K:$K,RAW_판매펀칭!$P:$P,A95,RAW_판매펀칭!$I:$I,C95)*W95/SUMIFS($W:$W,$A:$A,A95,$C:$C,C95))</f>
        <v>41</v>
      </c>
      <c r="R95" s="47" t="n">
        <f aca="false">IF(OR(A95="500",A95="800",A95="810"),0,MAX(W95-Q95,0))</f>
        <v>0</v>
      </c>
      <c r="S95" s="47" t="n">
        <f aca="false">R95*L95</f>
        <v>0</v>
      </c>
      <c r="T95" s="47" t="n">
        <f aca="false">R95*J95</f>
        <v>0</v>
      </c>
      <c r="U95" s="47" t="n">
        <f aca="false">R95*K95</f>
        <v>0</v>
      </c>
      <c r="V95" s="0" t="str">
        <f aca="false">IF(COUNTIFS($A$2:A95,A95,$C$2:C95,C95,$D$2:D95,D95)&gt;1,"중복","")</f>
        <v/>
      </c>
      <c r="W95" s="0" t="n">
        <f aca="false">IF(V95="중복",0,N(D95))</f>
        <v>41</v>
      </c>
      <c r="X95" s="0" t="n">
        <f aca="false">IF(COUNTIFS($A$2:A95,A95,$C$2:C95,C95)=1,ABS(SUMIFS(RAW_발주!$D:$D,RAW_발주!$C:$C,A95,RAW_발주!$A:$A,C95)-SUMIFS($W:$W,$A:$A,A95,$C:$C,C95)),0)</f>
        <v>0</v>
      </c>
    </row>
    <row r="96" customFormat="false" ht="15" hidden="false" customHeight="true" outlineLevel="0" collapsed="false">
      <c r="A96" s="45" t="s">
        <v>1659</v>
      </c>
      <c r="B96" s="42" t="str">
        <f aca="false">IF(A96="100","HK",IF(A96="200","CN",IF(A96="300","TW","홀세일")))</f>
        <v>HK</v>
      </c>
      <c r="C96" s="45" t="s">
        <v>782</v>
      </c>
      <c r="D96" s="46" t="n">
        <v>80</v>
      </c>
      <c r="E96" s="46" t="n">
        <v>279000</v>
      </c>
      <c r="F96" s="46" t="n">
        <v>53346</v>
      </c>
      <c r="G96" s="42" t="n">
        <v>4.12</v>
      </c>
      <c r="H96" s="42" t="n">
        <v>74.1</v>
      </c>
      <c r="J96" s="46" t="n">
        <f aca="false">IF(N(E96)&gt;0,E96,IF(N(F96)&gt;0,F96*요약!$F$27,0))</f>
        <v>279000</v>
      </c>
      <c r="K96" s="46" t="n">
        <f aca="false">IF(N(F96)&gt;0,F96,IF(N(E96)&gt;0,E96/요약!$F$27,0))</f>
        <v>53346</v>
      </c>
      <c r="L96" s="46" t="n">
        <f aca="false">IF(B96="CN",IF(N(I96)&gt;0,I96*요약!$G$27,K96*(1+요약!$E$27)),IF(N(H96)&gt;0,H96*요약!$G$27,J96*요약!$D$27))</f>
        <v>97812</v>
      </c>
      <c r="M96" s="46" t="n">
        <f aca="false">D96*J96</f>
        <v>22320000</v>
      </c>
      <c r="N96" s="46" t="n">
        <f aca="false">D96*K96</f>
        <v>4267680</v>
      </c>
      <c r="O96" s="46" t="n">
        <f aca="false">D96*L96</f>
        <v>7824960</v>
      </c>
      <c r="P96" s="42" t="str">
        <f aca="false">TRIM(IF(N(E96)&lt;=0,"택가보정 ","")&amp;IF(N(F96)&lt;=0,"원가보정 ","")&amp;IF(AND(B96&lt;&gt;"CN",N(H96)&lt;=0),"공급가보정 ","")&amp;IF(AND(B96="CN",N(I96)&lt;=0),"중국공급가=원가+마진 ",""))</f>
        <v/>
      </c>
      <c r="Q96" s="47" t="n">
        <f aca="false">IF(SUMIFS($W:$W,$A:$A,A96,$C:$C,C96)=0,0,SUMIFS(RAW_판매펀칭!$K:$K,RAW_판매펀칭!$P:$P,A96,RAW_판매펀칭!$I:$I,C96)*W96/SUMIFS($W:$W,$A:$A,A96,$C:$C,C96))</f>
        <v>80</v>
      </c>
      <c r="R96" s="47" t="n">
        <f aca="false">IF(OR(A96="500",A96="800",A96="810"),0,MAX(W96-Q96,0))</f>
        <v>0</v>
      </c>
      <c r="S96" s="47" t="n">
        <f aca="false">R96*L96</f>
        <v>0</v>
      </c>
      <c r="T96" s="47" t="n">
        <f aca="false">R96*J96</f>
        <v>0</v>
      </c>
      <c r="U96" s="47" t="n">
        <f aca="false">R96*K96</f>
        <v>0</v>
      </c>
      <c r="V96" s="0" t="str">
        <f aca="false">IF(COUNTIFS($A$2:A96,A96,$C$2:C96,C96,$D$2:D96,D96)&gt;1,"중복","")</f>
        <v/>
      </c>
      <c r="W96" s="0" t="n">
        <f aca="false">IF(V96="중복",0,N(D96))</f>
        <v>80</v>
      </c>
      <c r="X96" s="0" t="n">
        <f aca="false">IF(COUNTIFS($A$2:A96,A96,$C$2:C96,C96)=1,ABS(SUMIFS(RAW_발주!$D:$D,RAW_발주!$C:$C,A96,RAW_발주!$A:$A,C96)-SUMIFS($W:$W,$A:$A,A96,$C:$C,C96)),0)</f>
        <v>0</v>
      </c>
    </row>
    <row r="97" customFormat="false" ht="15.75" hidden="false" customHeight="true" outlineLevel="0" collapsed="false">
      <c r="A97" s="45" t="s">
        <v>1660</v>
      </c>
      <c r="B97" s="42" t="str">
        <f aca="false">IF(A97="100","HK",IF(A97="200","CN",IF(A97="300","TW","홀세일")))</f>
        <v>CN</v>
      </c>
      <c r="C97" s="45" t="s">
        <v>782</v>
      </c>
      <c r="D97" s="46" t="n">
        <v>286</v>
      </c>
      <c r="E97" s="46" t="n">
        <v>279000</v>
      </c>
      <c r="F97" s="46" t="n">
        <v>53346</v>
      </c>
      <c r="G97" s="42" t="n">
        <v>4.12</v>
      </c>
      <c r="H97" s="42" t="n">
        <v>74.1</v>
      </c>
      <c r="J97" s="46" t="n">
        <f aca="false">IF(N(E97)&gt;0,E97,IF(N(F97)&gt;0,F97*요약!$F$27,0))</f>
        <v>279000</v>
      </c>
      <c r="K97" s="46" t="n">
        <f aca="false">IF(N(F97)&gt;0,F97,IF(N(E97)&gt;0,E97/요약!$F$27,0))</f>
        <v>53346</v>
      </c>
      <c r="L97" s="46" t="n">
        <f aca="false">IF(B97="CN",IF(N(I97)&gt;0,I97*요약!$G$27,K97*(1+요약!$E$27)),IF(N(H97)&gt;0,H97*요약!$G$27,J97*요약!$D$27))</f>
        <v>56013.3</v>
      </c>
      <c r="M97" s="46" t="n">
        <f aca="false">D97*J97</f>
        <v>79794000</v>
      </c>
      <c r="N97" s="46" t="n">
        <f aca="false">D97*K97</f>
        <v>15256956</v>
      </c>
      <c r="O97" s="46" t="n">
        <f aca="false">D97*L97</f>
        <v>16019803.8</v>
      </c>
      <c r="P97" s="42" t="str">
        <f aca="false">TRIM(IF(N(E97)&lt;=0,"택가보정 ","")&amp;IF(N(F97)&lt;=0,"원가보정 ","")&amp;IF(AND(B97&lt;&gt;"CN",N(H97)&lt;=0),"공급가보정 ","")&amp;IF(AND(B97="CN",N(I97)&lt;=0),"중국공급가=원가+마진 ",""))</f>
        <v>중국공급가=원가+마진</v>
      </c>
      <c r="Q97" s="47" t="n">
        <f aca="false">IF(SUMIFS($W:$W,$A:$A,A97,$C:$C,C97)=0,0,SUMIFS(RAW_판매펀칭!$K:$K,RAW_판매펀칭!$P:$P,A97,RAW_판매펀칭!$I:$I,C97)*W97/SUMIFS($W:$W,$A:$A,A97,$C:$C,C97))</f>
        <v>0</v>
      </c>
      <c r="R97" s="47" t="n">
        <f aca="false">IF(OR(A97="500",A97="800",A97="810"),0,MAX(W97-Q97,0))</f>
        <v>286</v>
      </c>
      <c r="S97" s="47" t="n">
        <f aca="false">R97*L97</f>
        <v>16019803.8</v>
      </c>
      <c r="T97" s="47" t="n">
        <f aca="false">R97*J97</f>
        <v>79794000</v>
      </c>
      <c r="U97" s="47" t="n">
        <f aca="false">R97*K97</f>
        <v>15256956</v>
      </c>
      <c r="V97" s="0" t="str">
        <f aca="false">IF(COUNTIFS($A$2:A97,A97,$C$2:C97,C97,$D$2:D97,D97)&gt;1,"중복","")</f>
        <v/>
      </c>
      <c r="W97" s="0" t="n">
        <f aca="false">IF(V97="중복",0,N(D97))</f>
        <v>286</v>
      </c>
      <c r="X97" s="0" t="n">
        <f aca="false">IF(COUNTIFS($A$2:A97,A97,$C$2:C97,C97)=1,ABS(SUMIFS(RAW_발주!$D:$D,RAW_발주!$C:$C,A97,RAW_발주!$A:$A,C97)-SUMIFS($W:$W,$A:$A,A97,$C:$C,C97)),0)</f>
        <v>0</v>
      </c>
    </row>
    <row r="98" customFormat="false" ht="15" hidden="false" customHeight="true" outlineLevel="0" collapsed="false">
      <c r="A98" s="45" t="s">
        <v>1662</v>
      </c>
      <c r="B98" s="42" t="str">
        <f aca="false">IF(A98="100","HK",IF(A98="200","CN",IF(A98="300","TW","홀세일")))</f>
        <v>홀세일</v>
      </c>
      <c r="C98" s="45" t="s">
        <v>782</v>
      </c>
      <c r="D98" s="46" t="n">
        <v>25</v>
      </c>
      <c r="E98" s="46" t="n">
        <v>279000</v>
      </c>
      <c r="F98" s="46" t="n">
        <v>53346</v>
      </c>
      <c r="G98" s="42" t="n">
        <v>4.12</v>
      </c>
      <c r="H98" s="42" t="n">
        <v>74.1</v>
      </c>
      <c r="J98" s="46" t="n">
        <f aca="false">IF(N(E98)&gt;0,E98,IF(N(F98)&gt;0,F98*요약!$F$27,0))</f>
        <v>279000</v>
      </c>
      <c r="K98" s="46" t="n">
        <f aca="false">IF(N(F98)&gt;0,F98,IF(N(E98)&gt;0,E98/요약!$F$27,0))</f>
        <v>53346</v>
      </c>
      <c r="L98" s="46" t="n">
        <f aca="false">IF(B98="CN",IF(N(I98)&gt;0,I98*요약!$G$27,K98*(1+요약!$E$27)),IF(N(H98)&gt;0,H98*요약!$G$27,J98*요약!$D$27))</f>
        <v>97812</v>
      </c>
      <c r="M98" s="46" t="n">
        <f aca="false">D98*J98</f>
        <v>6975000</v>
      </c>
      <c r="N98" s="46" t="n">
        <f aca="false">D98*K98</f>
        <v>1333650</v>
      </c>
      <c r="O98" s="46" t="n">
        <f aca="false">D98*L98</f>
        <v>2445300</v>
      </c>
      <c r="P98" s="42" t="str">
        <f aca="false">TRIM(IF(N(E98)&lt;=0,"택가보정 ","")&amp;IF(N(F98)&lt;=0,"원가보정 ","")&amp;IF(AND(B98&lt;&gt;"CN",N(H98)&lt;=0),"공급가보정 ","")&amp;IF(AND(B98="CN",N(I98)&lt;=0),"중국공급가=원가+마진 ",""))</f>
        <v/>
      </c>
      <c r="Q98" s="47" t="n">
        <f aca="false">IF(SUMIFS($W:$W,$A:$A,A98,$C:$C,C98)=0,0,SUMIFS(RAW_판매펀칭!$K:$K,RAW_판매펀칭!$P:$P,A98,RAW_판매펀칭!$I:$I,C98)*W98/SUMIFS($W:$W,$A:$A,A98,$C:$C,C98))</f>
        <v>25</v>
      </c>
      <c r="R98" s="47" t="n">
        <f aca="false">IF(OR(A98="500",A98="800",A98="810"),0,MAX(W98-Q98,0))</f>
        <v>0</v>
      </c>
      <c r="S98" s="47" t="n">
        <f aca="false">R98*L98</f>
        <v>0</v>
      </c>
      <c r="T98" s="47" t="n">
        <f aca="false">R98*J98</f>
        <v>0</v>
      </c>
      <c r="U98" s="47" t="n">
        <f aca="false">R98*K98</f>
        <v>0</v>
      </c>
      <c r="V98" s="0" t="str">
        <f aca="false">IF(COUNTIFS($A$2:A98,A98,$C$2:C98,C98,$D$2:D98,D98)&gt;1,"중복","")</f>
        <v/>
      </c>
      <c r="W98" s="0" t="n">
        <f aca="false">IF(V98="중복",0,N(D98))</f>
        <v>25</v>
      </c>
      <c r="X98" s="0" t="n">
        <f aca="false">IF(COUNTIFS($A$2:A98,A98,$C$2:C98,C98)=1,ABS(SUMIFS(RAW_발주!$D:$D,RAW_발주!$C:$C,A98,RAW_발주!$A:$A,C98)-SUMIFS($W:$W,$A:$A,A98,$C:$C,C98)),0)</f>
        <v>0</v>
      </c>
    </row>
    <row r="99" customFormat="false" ht="15" hidden="false" customHeight="true" outlineLevel="0" collapsed="false">
      <c r="A99" s="45" t="s">
        <v>1667</v>
      </c>
      <c r="B99" s="42" t="str">
        <f aca="false">IF(A99="100","HK",IF(A99="200","CN",IF(A99="300","TW","홀세일")))</f>
        <v>홀세일</v>
      </c>
      <c r="C99" s="45" t="s">
        <v>782</v>
      </c>
      <c r="D99" s="46" t="n">
        <v>82</v>
      </c>
      <c r="E99" s="46" t="n">
        <v>279000</v>
      </c>
      <c r="F99" s="46" t="n">
        <v>53346</v>
      </c>
      <c r="G99" s="42" t="n">
        <v>4.12</v>
      </c>
      <c r="H99" s="42" t="n">
        <v>74.1</v>
      </c>
      <c r="J99" s="46" t="n">
        <f aca="false">IF(N(E99)&gt;0,E99,IF(N(F99)&gt;0,F99*요약!$F$27,0))</f>
        <v>279000</v>
      </c>
      <c r="K99" s="46" t="n">
        <f aca="false">IF(N(F99)&gt;0,F99,IF(N(E99)&gt;0,E99/요약!$F$27,0))</f>
        <v>53346</v>
      </c>
      <c r="L99" s="46" t="n">
        <f aca="false">IF(B99="CN",IF(N(I99)&gt;0,I99*요약!$G$27,K99*(1+요약!$E$27)),IF(N(H99)&gt;0,H99*요약!$G$27,J99*요약!$D$27))</f>
        <v>97812</v>
      </c>
      <c r="M99" s="46" t="n">
        <f aca="false">D99*J99</f>
        <v>22878000</v>
      </c>
      <c r="N99" s="46" t="n">
        <f aca="false">D99*K99</f>
        <v>4374372</v>
      </c>
      <c r="O99" s="46" t="n">
        <f aca="false">D99*L99</f>
        <v>8020584</v>
      </c>
      <c r="P99" s="42" t="str">
        <f aca="false">TRIM(IF(N(E99)&lt;=0,"택가보정 ","")&amp;IF(N(F99)&lt;=0,"원가보정 ","")&amp;IF(AND(B99&lt;&gt;"CN",N(H99)&lt;=0),"공급가보정 ","")&amp;IF(AND(B99="CN",N(I99)&lt;=0),"중국공급가=원가+마진 ",""))</f>
        <v/>
      </c>
      <c r="Q99" s="47" t="n">
        <f aca="false">IF(SUMIFS($W:$W,$A:$A,A99,$C:$C,C99)=0,0,SUMIFS(RAW_판매펀칭!$K:$K,RAW_판매펀칭!$P:$P,A99,RAW_판매펀칭!$I:$I,C99)*W99/SUMIFS($W:$W,$A:$A,A99,$C:$C,C99))</f>
        <v>82</v>
      </c>
      <c r="R99" s="47" t="n">
        <f aca="false">IF(OR(A99="500",A99="800",A99="810"),0,MAX(W99-Q99,0))</f>
        <v>0</v>
      </c>
      <c r="S99" s="47" t="n">
        <f aca="false">R99*L99</f>
        <v>0</v>
      </c>
      <c r="T99" s="47" t="n">
        <f aca="false">R99*J99</f>
        <v>0</v>
      </c>
      <c r="U99" s="47" t="n">
        <f aca="false">R99*K99</f>
        <v>0</v>
      </c>
      <c r="V99" s="0" t="str">
        <f aca="false">IF(COUNTIFS($A$2:A99,A99,$C$2:C99,C99,$D$2:D99,D99)&gt;1,"중복","")</f>
        <v/>
      </c>
      <c r="W99" s="0" t="n">
        <f aca="false">IF(V99="중복",0,N(D99))</f>
        <v>82</v>
      </c>
      <c r="X99" s="0" t="n">
        <f aca="false">IF(COUNTIFS($A$2:A99,A99,$C$2:C99,C99)=1,ABS(SUMIFS(RAW_발주!$D:$D,RAW_발주!$C:$C,A99,RAW_발주!$A:$A,C99)-SUMIFS($W:$W,$A:$A,A99,$C:$C,C99)),0)</f>
        <v>0</v>
      </c>
    </row>
    <row r="100" customFormat="false" ht="15" hidden="false" customHeight="true" outlineLevel="0" collapsed="false">
      <c r="A100" s="45" t="s">
        <v>1659</v>
      </c>
      <c r="B100" s="42" t="str">
        <f aca="false">IF(A100="100","HK",IF(A100="200","CN",IF(A100="300","TW","홀세일")))</f>
        <v>HK</v>
      </c>
      <c r="C100" s="45" t="s">
        <v>1399</v>
      </c>
      <c r="D100" s="46" t="n">
        <v>80</v>
      </c>
      <c r="E100" s="46" t="n">
        <v>399000</v>
      </c>
      <c r="F100" s="46" t="n">
        <v>102515</v>
      </c>
      <c r="G100" s="42" t="n">
        <v>3.34</v>
      </c>
      <c r="H100" s="42" t="n">
        <v>105.9</v>
      </c>
      <c r="J100" s="46" t="n">
        <f aca="false">IF(N(E100)&gt;0,E100,IF(N(F100)&gt;0,F100*요약!$F$27,0))</f>
        <v>399000</v>
      </c>
      <c r="K100" s="46" t="n">
        <f aca="false">IF(N(F100)&gt;0,F100,IF(N(E100)&gt;0,E100/요약!$F$27,0))</f>
        <v>102515</v>
      </c>
      <c r="L100" s="46" t="n">
        <f aca="false">IF(B100="CN",IF(N(I100)&gt;0,I100*요약!$G$27,K100*(1+요약!$E$27)),IF(N(H100)&gt;0,H100*요약!$G$27,J100*요약!$D$27))</f>
        <v>139788</v>
      </c>
      <c r="M100" s="46" t="n">
        <f aca="false">D100*J100</f>
        <v>31920000</v>
      </c>
      <c r="N100" s="46" t="n">
        <f aca="false">D100*K100</f>
        <v>8201200</v>
      </c>
      <c r="O100" s="46" t="n">
        <f aca="false">D100*L100</f>
        <v>11183040</v>
      </c>
      <c r="P100" s="42" t="str">
        <f aca="false">TRIM(IF(N(E100)&lt;=0,"택가보정 ","")&amp;IF(N(F100)&lt;=0,"원가보정 ","")&amp;IF(AND(B100&lt;&gt;"CN",N(H100)&lt;=0),"공급가보정 ","")&amp;IF(AND(B100="CN",N(I100)&lt;=0),"중국공급가=원가+마진 ",""))</f>
        <v/>
      </c>
      <c r="Q100" s="47" t="n">
        <f aca="false">IF(SUMIFS($W:$W,$A:$A,A100,$C:$C,C100)=0,0,SUMIFS(RAW_판매펀칭!$K:$K,RAW_판매펀칭!$P:$P,A100,RAW_판매펀칭!$I:$I,C100)*W100/SUMIFS($W:$W,$A:$A,A100,$C:$C,C100))</f>
        <v>0</v>
      </c>
      <c r="R100" s="47" t="n">
        <f aca="false">IF(OR(A100="500",A100="800",A100="810"),0,MAX(W100-Q100,0))</f>
        <v>80</v>
      </c>
      <c r="S100" s="47" t="n">
        <f aca="false">R100*L100</f>
        <v>11183040</v>
      </c>
      <c r="T100" s="47" t="n">
        <f aca="false">R100*J100</f>
        <v>31920000</v>
      </c>
      <c r="U100" s="47" t="n">
        <f aca="false">R100*K100</f>
        <v>8201200</v>
      </c>
      <c r="V100" s="0" t="str">
        <f aca="false">IF(COUNTIFS($A$2:A100,A100,$C$2:C100,C100,$D$2:D100,D100)&gt;1,"중복","")</f>
        <v/>
      </c>
      <c r="W100" s="0" t="n">
        <f aca="false">IF(V100="중복",0,N(D100))</f>
        <v>80</v>
      </c>
      <c r="X100" s="0" t="n">
        <f aca="false">IF(COUNTIFS($A$2:A100,A100,$C$2:C100,C100)=1,ABS(SUMIFS(RAW_발주!$D:$D,RAW_발주!$C:$C,A100,RAW_발주!$A:$A,C100)-SUMIFS($W:$W,$A:$A,A100,$C:$C,C100)),0)</f>
        <v>0</v>
      </c>
    </row>
    <row r="101" customFormat="false" ht="15" hidden="false" customHeight="true" outlineLevel="0" collapsed="false">
      <c r="A101" s="45" t="s">
        <v>1667</v>
      </c>
      <c r="B101" s="42" t="str">
        <f aca="false">IF(A101="100","HK",IF(A101="200","CN",IF(A101="300","TW","홀세일")))</f>
        <v>홀세일</v>
      </c>
      <c r="C101" s="45" t="s">
        <v>1399</v>
      </c>
      <c r="D101" s="46" t="n">
        <v>41</v>
      </c>
      <c r="E101" s="46" t="n">
        <v>399000</v>
      </c>
      <c r="F101" s="46" t="n">
        <v>102515</v>
      </c>
      <c r="G101" s="42" t="n">
        <v>3.34</v>
      </c>
      <c r="H101" s="42" t="n">
        <v>105.9</v>
      </c>
      <c r="J101" s="46" t="n">
        <f aca="false">IF(N(E101)&gt;0,E101,IF(N(F101)&gt;0,F101*요약!$F$27,0))</f>
        <v>399000</v>
      </c>
      <c r="K101" s="46" t="n">
        <f aca="false">IF(N(F101)&gt;0,F101,IF(N(E101)&gt;0,E101/요약!$F$27,0))</f>
        <v>102515</v>
      </c>
      <c r="L101" s="46" t="n">
        <f aca="false">IF(B101="CN",IF(N(I101)&gt;0,I101*요약!$G$27,K101*(1+요약!$E$27)),IF(N(H101)&gt;0,H101*요약!$G$27,J101*요약!$D$27))</f>
        <v>139788</v>
      </c>
      <c r="M101" s="46" t="n">
        <f aca="false">D101*J101</f>
        <v>16359000</v>
      </c>
      <c r="N101" s="46" t="n">
        <f aca="false">D101*K101</f>
        <v>4203115</v>
      </c>
      <c r="O101" s="46" t="n">
        <f aca="false">D101*L101</f>
        <v>5731308</v>
      </c>
      <c r="P101" s="42" t="str">
        <f aca="false">TRIM(IF(N(E101)&lt;=0,"택가보정 ","")&amp;IF(N(F101)&lt;=0,"원가보정 ","")&amp;IF(AND(B101&lt;&gt;"CN",N(H101)&lt;=0),"공급가보정 ","")&amp;IF(AND(B101="CN",N(I101)&lt;=0),"중국공급가=원가+마진 ",""))</f>
        <v/>
      </c>
      <c r="Q101" s="47" t="n">
        <f aca="false">IF(SUMIFS($W:$W,$A:$A,A101,$C:$C,C101)=0,0,SUMIFS(RAW_판매펀칭!$K:$K,RAW_판매펀칭!$P:$P,A101,RAW_판매펀칭!$I:$I,C101)*W101/SUMIFS($W:$W,$A:$A,A101,$C:$C,C101))</f>
        <v>41</v>
      </c>
      <c r="R101" s="47" t="n">
        <f aca="false">IF(OR(A101="500",A101="800",A101="810"),0,MAX(W101-Q101,0))</f>
        <v>0</v>
      </c>
      <c r="S101" s="47" t="n">
        <f aca="false">R101*L101</f>
        <v>0</v>
      </c>
      <c r="T101" s="47" t="n">
        <f aca="false">R101*J101</f>
        <v>0</v>
      </c>
      <c r="U101" s="47" t="n">
        <f aca="false">R101*K101</f>
        <v>0</v>
      </c>
      <c r="V101" s="0" t="str">
        <f aca="false">IF(COUNTIFS($A$2:A101,A101,$C$2:C101,C101,$D$2:D101,D101)&gt;1,"중복","")</f>
        <v/>
      </c>
      <c r="W101" s="0" t="n">
        <f aca="false">IF(V101="중복",0,N(D101))</f>
        <v>41</v>
      </c>
      <c r="X101" s="0" t="n">
        <f aca="false">IF(COUNTIFS($A$2:A101,A101,$C$2:C101,C101)=1,ABS(SUMIFS(RAW_발주!$D:$D,RAW_발주!$C:$C,A101,RAW_발주!$A:$A,C101)-SUMIFS($W:$W,$A:$A,A101,$C:$C,C101)),0)</f>
        <v>0</v>
      </c>
    </row>
    <row r="102" customFormat="false" ht="15" hidden="false" customHeight="true" outlineLevel="0" collapsed="false">
      <c r="A102" s="45" t="s">
        <v>1659</v>
      </c>
      <c r="B102" s="42" t="str">
        <f aca="false">IF(A102="100","HK",IF(A102="200","CN",IF(A102="300","TW","홀세일")))</f>
        <v>HK</v>
      </c>
      <c r="C102" s="45" t="s">
        <v>1401</v>
      </c>
      <c r="D102" s="46" t="n">
        <v>200</v>
      </c>
      <c r="E102" s="46" t="n">
        <v>139000</v>
      </c>
      <c r="F102" s="46" t="n">
        <v>31323</v>
      </c>
      <c r="G102" s="42" t="n">
        <v>3.69</v>
      </c>
      <c r="H102" s="42" t="n">
        <v>36.9</v>
      </c>
      <c r="J102" s="46" t="n">
        <f aca="false">IF(N(E102)&gt;0,E102,IF(N(F102)&gt;0,F102*요약!$F$27,0))</f>
        <v>139000</v>
      </c>
      <c r="K102" s="46" t="n">
        <f aca="false">IF(N(F102)&gt;0,F102,IF(N(E102)&gt;0,E102/요약!$F$27,0))</f>
        <v>31323</v>
      </c>
      <c r="L102" s="46" t="n">
        <f aca="false">IF(B102="CN",IF(N(I102)&gt;0,I102*요약!$G$27,K102*(1+요약!$E$27)),IF(N(H102)&gt;0,H102*요약!$G$27,J102*요약!$D$27))</f>
        <v>48708</v>
      </c>
      <c r="M102" s="46" t="n">
        <f aca="false">D102*J102</f>
        <v>27800000</v>
      </c>
      <c r="N102" s="46" t="n">
        <f aca="false">D102*K102</f>
        <v>6264600</v>
      </c>
      <c r="O102" s="46" t="n">
        <f aca="false">D102*L102</f>
        <v>9741600</v>
      </c>
      <c r="P102" s="42" t="str">
        <f aca="false">TRIM(IF(N(E102)&lt;=0,"택가보정 ","")&amp;IF(N(F102)&lt;=0,"원가보정 ","")&amp;IF(AND(B102&lt;&gt;"CN",N(H102)&lt;=0),"공급가보정 ","")&amp;IF(AND(B102="CN",N(I102)&lt;=0),"중국공급가=원가+마진 ",""))</f>
        <v/>
      </c>
      <c r="Q102" s="47" t="n">
        <f aca="false">IF(SUMIFS($W:$W,$A:$A,A102,$C:$C,C102)=0,0,SUMIFS(RAW_판매펀칭!$K:$K,RAW_판매펀칭!$P:$P,A102,RAW_판매펀칭!$I:$I,C102)*W102/SUMIFS($W:$W,$A:$A,A102,$C:$C,C102))</f>
        <v>0</v>
      </c>
      <c r="R102" s="47" t="n">
        <f aca="false">IF(OR(A102="500",A102="800",A102="810"),0,MAX(W102-Q102,0))</f>
        <v>200</v>
      </c>
      <c r="S102" s="47" t="n">
        <f aca="false">R102*L102</f>
        <v>9741600</v>
      </c>
      <c r="T102" s="47" t="n">
        <f aca="false">R102*J102</f>
        <v>27800000</v>
      </c>
      <c r="U102" s="47" t="n">
        <f aca="false">R102*K102</f>
        <v>6264600</v>
      </c>
      <c r="V102" s="0" t="str">
        <f aca="false">IF(COUNTIFS($A$2:A102,A102,$C$2:C102,C102,$D$2:D102,D102)&gt;1,"중복","")</f>
        <v/>
      </c>
      <c r="W102" s="0" t="n">
        <f aca="false">IF(V102="중복",0,N(D102))</f>
        <v>200</v>
      </c>
      <c r="X102" s="0" t="n">
        <f aca="false">IF(COUNTIFS($A$2:A102,A102,$C$2:C102,C102)=1,ABS(SUMIFS(RAW_발주!$D:$D,RAW_발주!$C:$C,A102,RAW_발주!$A:$A,C102)-SUMIFS($W:$W,$A:$A,A102,$C:$C,C102)),0)</f>
        <v>0</v>
      </c>
    </row>
    <row r="103" customFormat="false" ht="15.75" hidden="false" customHeight="true" outlineLevel="0" collapsed="false">
      <c r="A103" s="45" t="s">
        <v>1660</v>
      </c>
      <c r="B103" s="42" t="str">
        <f aca="false">IF(A103="100","HK",IF(A103="200","CN",IF(A103="300","TW","홀세일")))</f>
        <v>CN</v>
      </c>
      <c r="C103" s="45" t="s">
        <v>1401</v>
      </c>
      <c r="D103" s="46" t="n">
        <v>111</v>
      </c>
      <c r="E103" s="46" t="n">
        <v>139000</v>
      </c>
      <c r="F103" s="46" t="n">
        <v>31323</v>
      </c>
      <c r="G103" s="42" t="n">
        <v>3.69</v>
      </c>
      <c r="H103" s="42" t="n">
        <v>36.9</v>
      </c>
      <c r="J103" s="46" t="n">
        <f aca="false">IF(N(E103)&gt;0,E103,IF(N(F103)&gt;0,F103*요약!$F$27,0))</f>
        <v>139000</v>
      </c>
      <c r="K103" s="46" t="n">
        <f aca="false">IF(N(F103)&gt;0,F103,IF(N(E103)&gt;0,E103/요약!$F$27,0))</f>
        <v>31323</v>
      </c>
      <c r="L103" s="46" t="n">
        <f aca="false">IF(B103="CN",IF(N(I103)&gt;0,I103*요약!$G$27,K103*(1+요약!$E$27)),IF(N(H103)&gt;0,H103*요약!$G$27,J103*요약!$D$27))</f>
        <v>32889.15</v>
      </c>
      <c r="M103" s="46" t="n">
        <f aca="false">D103*J103</f>
        <v>15429000</v>
      </c>
      <c r="N103" s="46" t="n">
        <f aca="false">D103*K103</f>
        <v>3476853</v>
      </c>
      <c r="O103" s="46" t="n">
        <f aca="false">D103*L103</f>
        <v>3650695.65</v>
      </c>
      <c r="P103" s="42" t="str">
        <f aca="false">TRIM(IF(N(E103)&lt;=0,"택가보정 ","")&amp;IF(N(F103)&lt;=0,"원가보정 ","")&amp;IF(AND(B103&lt;&gt;"CN",N(H103)&lt;=0),"공급가보정 ","")&amp;IF(AND(B103="CN",N(I103)&lt;=0),"중국공급가=원가+마진 ",""))</f>
        <v>중국공급가=원가+마진</v>
      </c>
      <c r="Q103" s="47" t="n">
        <f aca="false">IF(SUMIFS($W:$W,$A:$A,A103,$C:$C,C103)=0,0,SUMIFS(RAW_판매펀칭!$K:$K,RAW_판매펀칭!$P:$P,A103,RAW_판매펀칭!$I:$I,C103)*W103/SUMIFS($W:$W,$A:$A,A103,$C:$C,C103))</f>
        <v>0</v>
      </c>
      <c r="R103" s="47" t="n">
        <f aca="false">IF(OR(A103="500",A103="800",A103="810"),0,MAX(W103-Q103,0))</f>
        <v>111</v>
      </c>
      <c r="S103" s="47" t="n">
        <f aca="false">R103*L103</f>
        <v>3650695.65</v>
      </c>
      <c r="T103" s="47" t="n">
        <f aca="false">R103*J103</f>
        <v>15429000</v>
      </c>
      <c r="U103" s="47" t="n">
        <f aca="false">R103*K103</f>
        <v>3476853</v>
      </c>
      <c r="V103" s="0" t="str">
        <f aca="false">IF(COUNTIFS($A$2:A103,A103,$C$2:C103,C103,$D$2:D103,D103)&gt;1,"중복","")</f>
        <v/>
      </c>
      <c r="W103" s="0" t="n">
        <f aca="false">IF(V103="중복",0,N(D103))</f>
        <v>111</v>
      </c>
      <c r="X103" s="0" t="n">
        <f aca="false">IF(COUNTIFS($A$2:A103,A103,$C$2:C103,C103)=1,ABS(SUMIFS(RAW_발주!$D:$D,RAW_발주!$C:$C,A103,RAW_발주!$A:$A,C103)-SUMIFS($W:$W,$A:$A,A103,$C:$C,C103)),0)</f>
        <v>0</v>
      </c>
    </row>
    <row r="104" customFormat="false" ht="15" hidden="false" customHeight="true" outlineLevel="0" collapsed="false">
      <c r="A104" s="45" t="s">
        <v>1667</v>
      </c>
      <c r="B104" s="42" t="str">
        <f aca="false">IF(A104="100","HK",IF(A104="200","CN",IF(A104="300","TW","홀세일")))</f>
        <v>홀세일</v>
      </c>
      <c r="C104" s="45" t="s">
        <v>1401</v>
      </c>
      <c r="D104" s="46" t="n">
        <v>41</v>
      </c>
      <c r="E104" s="46" t="n">
        <v>139000</v>
      </c>
      <c r="F104" s="46" t="n">
        <v>31323</v>
      </c>
      <c r="G104" s="42" t="n">
        <v>3.69</v>
      </c>
      <c r="H104" s="42" t="n">
        <v>36.9</v>
      </c>
      <c r="J104" s="46" t="n">
        <f aca="false">IF(N(E104)&gt;0,E104,IF(N(F104)&gt;0,F104*요약!$F$27,0))</f>
        <v>139000</v>
      </c>
      <c r="K104" s="46" t="n">
        <f aca="false">IF(N(F104)&gt;0,F104,IF(N(E104)&gt;0,E104/요약!$F$27,0))</f>
        <v>31323</v>
      </c>
      <c r="L104" s="46" t="n">
        <f aca="false">IF(B104="CN",IF(N(I104)&gt;0,I104*요약!$G$27,K104*(1+요약!$E$27)),IF(N(H104)&gt;0,H104*요약!$G$27,J104*요약!$D$27))</f>
        <v>48708</v>
      </c>
      <c r="M104" s="46" t="n">
        <f aca="false">D104*J104</f>
        <v>5699000</v>
      </c>
      <c r="N104" s="46" t="n">
        <f aca="false">D104*K104</f>
        <v>1284243</v>
      </c>
      <c r="O104" s="46" t="n">
        <f aca="false">D104*L104</f>
        <v>1997028</v>
      </c>
      <c r="P104" s="42" t="str">
        <f aca="false">TRIM(IF(N(E104)&lt;=0,"택가보정 ","")&amp;IF(N(F104)&lt;=0,"원가보정 ","")&amp;IF(AND(B104&lt;&gt;"CN",N(H104)&lt;=0),"공급가보정 ","")&amp;IF(AND(B104="CN",N(I104)&lt;=0),"중국공급가=원가+마진 ",""))</f>
        <v/>
      </c>
      <c r="Q104" s="47" t="n">
        <f aca="false">IF(SUMIFS($W:$W,$A:$A,A104,$C:$C,C104)=0,0,SUMIFS(RAW_판매펀칭!$K:$K,RAW_판매펀칭!$P:$P,A104,RAW_판매펀칭!$I:$I,C104)*W104/SUMIFS($W:$W,$A:$A,A104,$C:$C,C104))</f>
        <v>41</v>
      </c>
      <c r="R104" s="47" t="n">
        <f aca="false">IF(OR(A104="500",A104="800",A104="810"),0,MAX(W104-Q104,0))</f>
        <v>0</v>
      </c>
      <c r="S104" s="47" t="n">
        <f aca="false">R104*L104</f>
        <v>0</v>
      </c>
      <c r="T104" s="47" t="n">
        <f aca="false">R104*J104</f>
        <v>0</v>
      </c>
      <c r="U104" s="47" t="n">
        <f aca="false">R104*K104</f>
        <v>0</v>
      </c>
      <c r="V104" s="0" t="str">
        <f aca="false">IF(COUNTIFS($A$2:A104,A104,$C$2:C104,C104,$D$2:D104,D104)&gt;1,"중복","")</f>
        <v/>
      </c>
      <c r="W104" s="0" t="n">
        <f aca="false">IF(V104="중복",0,N(D104))</f>
        <v>41</v>
      </c>
      <c r="X104" s="0" t="n">
        <f aca="false">IF(COUNTIFS($A$2:A104,A104,$C$2:C104,C104)=1,ABS(SUMIFS(RAW_발주!$D:$D,RAW_발주!$C:$C,A104,RAW_발주!$A:$A,C104)-SUMIFS($W:$W,$A:$A,A104,$C:$C,C104)),0)</f>
        <v>0</v>
      </c>
    </row>
    <row r="105" customFormat="false" ht="15" hidden="false" customHeight="true" outlineLevel="0" collapsed="false">
      <c r="A105" s="45" t="s">
        <v>1664</v>
      </c>
      <c r="B105" s="42" t="str">
        <f aca="false">IF(A105="100","HK",IF(A105="200","CN",IF(A105="300","TW","홀세일")))</f>
        <v>홀세일</v>
      </c>
      <c r="C105" s="45" t="s">
        <v>1401</v>
      </c>
      <c r="D105" s="46" t="n">
        <v>30</v>
      </c>
      <c r="E105" s="46" t="n">
        <v>139000</v>
      </c>
      <c r="F105" s="46" t="n">
        <v>31323</v>
      </c>
      <c r="G105" s="42" t="n">
        <v>3.69</v>
      </c>
      <c r="H105" s="42" t="n">
        <v>36.9</v>
      </c>
      <c r="J105" s="46" t="n">
        <f aca="false">IF(N(E105)&gt;0,E105,IF(N(F105)&gt;0,F105*요약!$F$27,0))</f>
        <v>139000</v>
      </c>
      <c r="K105" s="46" t="n">
        <f aca="false">IF(N(F105)&gt;0,F105,IF(N(E105)&gt;0,E105/요약!$F$27,0))</f>
        <v>31323</v>
      </c>
      <c r="L105" s="46" t="n">
        <f aca="false">IF(B105="CN",IF(N(I105)&gt;0,I105*요약!$G$27,K105*(1+요약!$E$27)),IF(N(H105)&gt;0,H105*요약!$G$27,J105*요약!$D$27))</f>
        <v>48708</v>
      </c>
      <c r="M105" s="46" t="n">
        <f aca="false">D105*J105</f>
        <v>4170000</v>
      </c>
      <c r="N105" s="46" t="n">
        <f aca="false">D105*K105</f>
        <v>939690</v>
      </c>
      <c r="O105" s="46" t="n">
        <f aca="false">D105*L105</f>
        <v>1461240</v>
      </c>
      <c r="P105" s="42" t="str">
        <f aca="false">TRIM(IF(N(E105)&lt;=0,"택가보정 ","")&amp;IF(N(F105)&lt;=0,"원가보정 ","")&amp;IF(AND(B105&lt;&gt;"CN",N(H105)&lt;=0),"공급가보정 ","")&amp;IF(AND(B105="CN",N(I105)&lt;=0),"중국공급가=원가+마진 ",""))</f>
        <v/>
      </c>
      <c r="Q105" s="47" t="n">
        <f aca="false">IF(SUMIFS($W:$W,$A:$A,A105,$C:$C,C105)=0,0,SUMIFS(RAW_판매펀칭!$K:$K,RAW_판매펀칭!$P:$P,A105,RAW_판매펀칭!$I:$I,C105)*W105/SUMIFS($W:$W,$A:$A,A105,$C:$C,C105))</f>
        <v>0</v>
      </c>
      <c r="R105" s="47" t="n">
        <f aca="false">IF(OR(A105="500",A105="800",A105="810"),0,MAX(W105-Q105,0))</f>
        <v>0</v>
      </c>
      <c r="S105" s="47" t="n">
        <f aca="false">R105*L105</f>
        <v>0</v>
      </c>
      <c r="T105" s="47" t="n">
        <f aca="false">R105*J105</f>
        <v>0</v>
      </c>
      <c r="U105" s="47" t="n">
        <f aca="false">R105*K105</f>
        <v>0</v>
      </c>
      <c r="V105" s="0" t="str">
        <f aca="false">IF(COUNTIFS($A$2:A105,A105,$C$2:C105,C105,$D$2:D105,D105)&gt;1,"중복","")</f>
        <v/>
      </c>
      <c r="W105" s="0" t="n">
        <f aca="false">IF(V105="중복",0,N(D105))</f>
        <v>30</v>
      </c>
      <c r="X105" s="0" t="n">
        <f aca="false">IF(COUNTIFS($A$2:A105,A105,$C$2:C105,C105)=1,ABS(SUMIFS(RAW_발주!$D:$D,RAW_발주!$C:$C,A105,RAW_발주!$A:$A,C105)-SUMIFS($W:$W,$A:$A,A105,$C:$C,C105)),0)</f>
        <v>0</v>
      </c>
    </row>
    <row r="106" customFormat="false" ht="15" hidden="false" customHeight="true" outlineLevel="0" collapsed="false">
      <c r="A106" s="45" t="s">
        <v>1659</v>
      </c>
      <c r="B106" s="42" t="str">
        <f aca="false">IF(A106="100","HK",IF(A106="200","CN",IF(A106="300","TW","홀세일")))</f>
        <v>HK</v>
      </c>
      <c r="C106" s="45" t="s">
        <v>788</v>
      </c>
      <c r="D106" s="46" t="n">
        <v>70</v>
      </c>
      <c r="E106" s="46" t="n">
        <v>199000</v>
      </c>
      <c r="F106" s="46" t="n">
        <v>47000</v>
      </c>
      <c r="G106" s="42" t="n">
        <v>3.22</v>
      </c>
      <c r="H106" s="42" t="n">
        <v>49.8</v>
      </c>
      <c r="J106" s="46" t="n">
        <f aca="false">IF(N(E106)&gt;0,E106,IF(N(F106)&gt;0,F106*요약!$F$27,0))</f>
        <v>199000</v>
      </c>
      <c r="K106" s="46" t="n">
        <f aca="false">IF(N(F106)&gt;0,F106,IF(N(E106)&gt;0,E106/요약!$F$27,0))</f>
        <v>47000</v>
      </c>
      <c r="L106" s="46" t="n">
        <f aca="false">IF(B106="CN",IF(N(I106)&gt;0,I106*요약!$G$27,K106*(1+요약!$E$27)),IF(N(H106)&gt;0,H106*요약!$G$27,J106*요약!$D$27))</f>
        <v>65736</v>
      </c>
      <c r="M106" s="46" t="n">
        <f aca="false">D106*J106</f>
        <v>13930000</v>
      </c>
      <c r="N106" s="46" t="n">
        <f aca="false">D106*K106</f>
        <v>3290000</v>
      </c>
      <c r="O106" s="46" t="n">
        <f aca="false">D106*L106</f>
        <v>4601520</v>
      </c>
      <c r="P106" s="42" t="str">
        <f aca="false">TRIM(IF(N(E106)&lt;=0,"택가보정 ","")&amp;IF(N(F106)&lt;=0,"원가보정 ","")&amp;IF(AND(B106&lt;&gt;"CN",N(H106)&lt;=0),"공급가보정 ","")&amp;IF(AND(B106="CN",N(I106)&lt;=0),"중국공급가=원가+마진 ",""))</f>
        <v/>
      </c>
      <c r="Q106" s="47" t="n">
        <f aca="false">IF(SUMIFS($W:$W,$A:$A,A106,$C:$C,C106)=0,0,SUMIFS(RAW_판매펀칭!$K:$K,RAW_판매펀칭!$P:$P,A106,RAW_판매펀칭!$I:$I,C106)*W106/SUMIFS($W:$W,$A:$A,A106,$C:$C,C106))</f>
        <v>70</v>
      </c>
      <c r="R106" s="47" t="n">
        <f aca="false">IF(OR(A106="500",A106="800",A106="810"),0,MAX(W106-Q106,0))</f>
        <v>0</v>
      </c>
      <c r="S106" s="47" t="n">
        <f aca="false">R106*L106</f>
        <v>0</v>
      </c>
      <c r="T106" s="47" t="n">
        <f aca="false">R106*J106</f>
        <v>0</v>
      </c>
      <c r="U106" s="47" t="n">
        <f aca="false">R106*K106</f>
        <v>0</v>
      </c>
      <c r="V106" s="0" t="str">
        <f aca="false">IF(COUNTIFS($A$2:A106,A106,$C$2:C106,C106,$D$2:D106,D106)&gt;1,"중복","")</f>
        <v/>
      </c>
      <c r="W106" s="0" t="n">
        <f aca="false">IF(V106="중복",0,N(D106))</f>
        <v>70</v>
      </c>
      <c r="X106" s="0" t="n">
        <f aca="false">IF(COUNTIFS($A$2:A106,A106,$C$2:C106,C106)=1,ABS(SUMIFS(RAW_발주!$D:$D,RAW_발주!$C:$C,A106,RAW_발주!$A:$A,C106)-SUMIFS($W:$W,$A:$A,A106,$C:$C,C106)),0)</f>
        <v>0</v>
      </c>
    </row>
    <row r="107" customFormat="false" ht="15.75" hidden="false" customHeight="true" outlineLevel="0" collapsed="false">
      <c r="A107" s="45" t="s">
        <v>1660</v>
      </c>
      <c r="B107" s="42" t="str">
        <f aca="false">IF(A107="100","HK",IF(A107="200","CN",IF(A107="300","TW","홀세일")))</f>
        <v>CN</v>
      </c>
      <c r="C107" s="45" t="s">
        <v>1029</v>
      </c>
      <c r="D107" s="46" t="n">
        <v>62</v>
      </c>
      <c r="E107" s="46" t="n">
        <v>159000</v>
      </c>
      <c r="F107" s="46" t="n">
        <v>37532</v>
      </c>
      <c r="G107" s="42" t="n">
        <v>3.16</v>
      </c>
      <c r="H107" s="42" t="n">
        <v>39.8</v>
      </c>
      <c r="J107" s="46" t="n">
        <f aca="false">IF(N(E107)&gt;0,E107,IF(N(F107)&gt;0,F107*요약!$F$27,0))</f>
        <v>159000</v>
      </c>
      <c r="K107" s="46" t="n">
        <f aca="false">IF(N(F107)&gt;0,F107,IF(N(E107)&gt;0,E107/요약!$F$27,0))</f>
        <v>37532</v>
      </c>
      <c r="L107" s="46" t="n">
        <f aca="false">IF(B107="CN",IF(N(I107)&gt;0,I107*요약!$G$27,K107*(1+요약!$E$27)),IF(N(H107)&gt;0,H107*요약!$G$27,J107*요약!$D$27))</f>
        <v>39408.6</v>
      </c>
      <c r="M107" s="46" t="n">
        <f aca="false">D107*J107</f>
        <v>9858000</v>
      </c>
      <c r="N107" s="46" t="n">
        <f aca="false">D107*K107</f>
        <v>2326984</v>
      </c>
      <c r="O107" s="46" t="n">
        <f aca="false">D107*L107</f>
        <v>2443333.2</v>
      </c>
      <c r="P107" s="42" t="str">
        <f aca="false">TRIM(IF(N(E107)&lt;=0,"택가보정 ","")&amp;IF(N(F107)&lt;=0,"원가보정 ","")&amp;IF(AND(B107&lt;&gt;"CN",N(H107)&lt;=0),"공급가보정 ","")&amp;IF(AND(B107="CN",N(I107)&lt;=0),"중국공급가=원가+마진 ",""))</f>
        <v>중국공급가=원가+마진</v>
      </c>
      <c r="Q107" s="47" t="n">
        <f aca="false">IF(SUMIFS($W:$W,$A:$A,A107,$C:$C,C107)=0,0,SUMIFS(RAW_판매펀칭!$K:$K,RAW_판매펀칭!$P:$P,A107,RAW_판매펀칭!$I:$I,C107)*W107/SUMIFS($W:$W,$A:$A,A107,$C:$C,C107))</f>
        <v>2</v>
      </c>
      <c r="R107" s="47" t="n">
        <f aca="false">IF(OR(A107="500",A107="800",A107="810"),0,MAX(W107-Q107,0))</f>
        <v>60</v>
      </c>
      <c r="S107" s="47" t="n">
        <f aca="false">R107*L107</f>
        <v>2364516</v>
      </c>
      <c r="T107" s="47" t="n">
        <f aca="false">R107*J107</f>
        <v>9540000</v>
      </c>
      <c r="U107" s="47" t="n">
        <f aca="false">R107*K107</f>
        <v>2251920</v>
      </c>
      <c r="V107" s="0" t="str">
        <f aca="false">IF(COUNTIFS($A$2:A107,A107,$C$2:C107,C107,$D$2:D107,D107)&gt;1,"중복","")</f>
        <v/>
      </c>
      <c r="W107" s="0" t="n">
        <f aca="false">IF(V107="중복",0,N(D107))</f>
        <v>62</v>
      </c>
      <c r="X107" s="0" t="n">
        <f aca="false">IF(COUNTIFS($A$2:A107,A107,$C$2:C107,C107)=1,ABS(SUMIFS(RAW_발주!$D:$D,RAW_발주!$C:$C,A107,RAW_발주!$A:$A,C107)-SUMIFS($W:$W,$A:$A,A107,$C:$C,C107)),0)</f>
        <v>0</v>
      </c>
    </row>
    <row r="108" customFormat="false" ht="15" hidden="false" customHeight="true" outlineLevel="0" collapsed="false">
      <c r="A108" s="45" t="s">
        <v>1663</v>
      </c>
      <c r="B108" s="42" t="str">
        <f aca="false">IF(A108="100","HK",IF(A108="200","CN",IF(A108="300","TW","홀세일")))</f>
        <v>홀세일</v>
      </c>
      <c r="C108" s="45" t="s">
        <v>1029</v>
      </c>
      <c r="D108" s="46" t="n">
        <v>30</v>
      </c>
      <c r="E108" s="46" t="n">
        <v>159000</v>
      </c>
      <c r="F108" s="46" t="n">
        <v>37532</v>
      </c>
      <c r="G108" s="42" t="n">
        <v>3.16</v>
      </c>
      <c r="H108" s="42" t="n">
        <v>39.8</v>
      </c>
      <c r="J108" s="46" t="n">
        <f aca="false">IF(N(E108)&gt;0,E108,IF(N(F108)&gt;0,F108*요약!$F$27,0))</f>
        <v>159000</v>
      </c>
      <c r="K108" s="46" t="n">
        <f aca="false">IF(N(F108)&gt;0,F108,IF(N(E108)&gt;0,E108/요약!$F$27,0))</f>
        <v>37532</v>
      </c>
      <c r="L108" s="46" t="n">
        <f aca="false">IF(B108="CN",IF(N(I108)&gt;0,I108*요약!$G$27,K108*(1+요약!$E$27)),IF(N(H108)&gt;0,H108*요약!$G$27,J108*요약!$D$27))</f>
        <v>52536</v>
      </c>
      <c r="M108" s="46" t="n">
        <f aca="false">D108*J108</f>
        <v>4770000</v>
      </c>
      <c r="N108" s="46" t="n">
        <f aca="false">D108*K108</f>
        <v>1125960</v>
      </c>
      <c r="O108" s="46" t="n">
        <f aca="false">D108*L108</f>
        <v>1576080</v>
      </c>
      <c r="P108" s="42" t="str">
        <f aca="false">TRIM(IF(N(E108)&lt;=0,"택가보정 ","")&amp;IF(N(F108)&lt;=0,"원가보정 ","")&amp;IF(AND(B108&lt;&gt;"CN",N(H108)&lt;=0),"공급가보정 ","")&amp;IF(AND(B108="CN",N(I108)&lt;=0),"중국공급가=원가+마진 ",""))</f>
        <v/>
      </c>
      <c r="Q108" s="47" t="n">
        <f aca="false">IF(SUMIFS($W:$W,$A:$A,A108,$C:$C,C108)=0,0,SUMIFS(RAW_판매펀칭!$K:$K,RAW_판매펀칭!$P:$P,A108,RAW_판매펀칭!$I:$I,C108)*W108/SUMIFS($W:$W,$A:$A,A108,$C:$C,C108))</f>
        <v>30</v>
      </c>
      <c r="R108" s="47" t="n">
        <f aca="false">IF(OR(A108="500",A108="800",A108="810"),0,MAX(W108-Q108,0))</f>
        <v>0</v>
      </c>
      <c r="S108" s="47" t="n">
        <f aca="false">R108*L108</f>
        <v>0</v>
      </c>
      <c r="T108" s="47" t="n">
        <f aca="false">R108*J108</f>
        <v>0</v>
      </c>
      <c r="U108" s="47" t="n">
        <f aca="false">R108*K108</f>
        <v>0</v>
      </c>
      <c r="V108" s="0" t="str">
        <f aca="false">IF(COUNTIFS($A$2:A108,A108,$C$2:C108,C108,$D$2:D108,D108)&gt;1,"중복","")</f>
        <v/>
      </c>
      <c r="W108" s="0" t="n">
        <f aca="false">IF(V108="중복",0,N(D108))</f>
        <v>30</v>
      </c>
      <c r="X108" s="0" t="n">
        <f aca="false">IF(COUNTIFS($A$2:A108,A108,$C$2:C108,C108)=1,ABS(SUMIFS(RAW_발주!$D:$D,RAW_발주!$C:$C,A108,RAW_발주!$A:$A,C108)-SUMIFS($W:$W,$A:$A,A108,$C:$C,C108)),0)</f>
        <v>0</v>
      </c>
    </row>
    <row r="109" customFormat="false" ht="15.75" hidden="false" customHeight="true" outlineLevel="0" collapsed="false">
      <c r="A109" s="45" t="s">
        <v>1660</v>
      </c>
      <c r="B109" s="42" t="str">
        <f aca="false">IF(A109="100","HK",IF(A109="200","CN",IF(A109="300","TW","홀세일")))</f>
        <v>CN</v>
      </c>
      <c r="C109" s="45" t="s">
        <v>1031</v>
      </c>
      <c r="D109" s="46" t="n">
        <v>204</v>
      </c>
      <c r="E109" s="46" t="n">
        <v>119000</v>
      </c>
      <c r="F109" s="46" t="n">
        <v>26122</v>
      </c>
      <c r="G109" s="42" t="n">
        <v>3.5</v>
      </c>
      <c r="H109" s="42" t="n">
        <v>29.8</v>
      </c>
      <c r="J109" s="46" t="n">
        <f aca="false">IF(N(E109)&gt;0,E109,IF(N(F109)&gt;0,F109*요약!$F$27,0))</f>
        <v>119000</v>
      </c>
      <c r="K109" s="46" t="n">
        <f aca="false">IF(N(F109)&gt;0,F109,IF(N(E109)&gt;0,E109/요약!$F$27,0))</f>
        <v>26122</v>
      </c>
      <c r="L109" s="46" t="n">
        <f aca="false">IF(B109="CN",IF(N(I109)&gt;0,I109*요약!$G$27,K109*(1+요약!$E$27)),IF(N(H109)&gt;0,H109*요약!$G$27,J109*요약!$D$27))</f>
        <v>27428.1</v>
      </c>
      <c r="M109" s="46" t="n">
        <f aca="false">D109*J109</f>
        <v>24276000</v>
      </c>
      <c r="N109" s="46" t="n">
        <f aca="false">D109*K109</f>
        <v>5328888</v>
      </c>
      <c r="O109" s="46" t="n">
        <f aca="false">D109*L109</f>
        <v>5595332.4</v>
      </c>
      <c r="P109" s="42" t="str">
        <f aca="false">TRIM(IF(N(E109)&lt;=0,"택가보정 ","")&amp;IF(N(F109)&lt;=0,"원가보정 ","")&amp;IF(AND(B109&lt;&gt;"CN",N(H109)&lt;=0),"공급가보정 ","")&amp;IF(AND(B109="CN",N(I109)&lt;=0),"중국공급가=원가+마진 ",""))</f>
        <v>중국공급가=원가+마진</v>
      </c>
      <c r="Q109" s="47" t="n">
        <f aca="false">IF(SUMIFS($W:$W,$A:$A,A109,$C:$C,C109)=0,0,SUMIFS(RAW_판매펀칭!$K:$K,RAW_판매펀칭!$P:$P,A109,RAW_판매펀칭!$I:$I,C109)*W109/SUMIFS($W:$W,$A:$A,A109,$C:$C,C109))</f>
        <v>4</v>
      </c>
      <c r="R109" s="47" t="n">
        <f aca="false">IF(OR(A109="500",A109="800",A109="810"),0,MAX(W109-Q109,0))</f>
        <v>200</v>
      </c>
      <c r="S109" s="47" t="n">
        <f aca="false">R109*L109</f>
        <v>5485620</v>
      </c>
      <c r="T109" s="47" t="n">
        <f aca="false">R109*J109</f>
        <v>23800000</v>
      </c>
      <c r="U109" s="47" t="n">
        <f aca="false">R109*K109</f>
        <v>5224400</v>
      </c>
      <c r="V109" s="0" t="str">
        <f aca="false">IF(COUNTIFS($A$2:A109,A109,$C$2:C109,C109,$D$2:D109,D109)&gt;1,"중복","")</f>
        <v/>
      </c>
      <c r="W109" s="0" t="n">
        <f aca="false">IF(V109="중복",0,N(D109))</f>
        <v>204</v>
      </c>
      <c r="X109" s="0" t="n">
        <f aca="false">IF(COUNTIFS($A$2:A109,A109,$C$2:C109,C109)=1,ABS(SUMIFS(RAW_발주!$D:$D,RAW_발주!$C:$C,A109,RAW_발주!$A:$A,C109)-SUMIFS($W:$W,$A:$A,A109,$C:$C,C109)),0)</f>
        <v>0</v>
      </c>
    </row>
    <row r="110" customFormat="false" ht="15" hidden="false" customHeight="true" outlineLevel="0" collapsed="false">
      <c r="A110" s="45" t="s">
        <v>1663</v>
      </c>
      <c r="B110" s="42" t="str">
        <f aca="false">IF(A110="100","HK",IF(A110="200","CN",IF(A110="300","TW","홀세일")))</f>
        <v>홀세일</v>
      </c>
      <c r="C110" s="45" t="s">
        <v>1031</v>
      </c>
      <c r="D110" s="46" t="n">
        <v>40</v>
      </c>
      <c r="E110" s="46" t="n">
        <v>119000</v>
      </c>
      <c r="F110" s="46" t="n">
        <v>26122</v>
      </c>
      <c r="G110" s="42" t="n">
        <v>3.5</v>
      </c>
      <c r="H110" s="42" t="n">
        <v>29.8</v>
      </c>
      <c r="J110" s="46" t="n">
        <f aca="false">IF(N(E110)&gt;0,E110,IF(N(F110)&gt;0,F110*요약!$F$27,0))</f>
        <v>119000</v>
      </c>
      <c r="K110" s="46" t="n">
        <f aca="false">IF(N(F110)&gt;0,F110,IF(N(E110)&gt;0,E110/요약!$F$27,0))</f>
        <v>26122</v>
      </c>
      <c r="L110" s="46" t="n">
        <f aca="false">IF(B110="CN",IF(N(I110)&gt;0,I110*요약!$G$27,K110*(1+요약!$E$27)),IF(N(H110)&gt;0,H110*요약!$G$27,J110*요약!$D$27))</f>
        <v>39336</v>
      </c>
      <c r="M110" s="46" t="n">
        <f aca="false">D110*J110</f>
        <v>4760000</v>
      </c>
      <c r="N110" s="46" t="n">
        <f aca="false">D110*K110</f>
        <v>1044880</v>
      </c>
      <c r="O110" s="46" t="n">
        <f aca="false">D110*L110</f>
        <v>1573440</v>
      </c>
      <c r="P110" s="42" t="str">
        <f aca="false">TRIM(IF(N(E110)&lt;=0,"택가보정 ","")&amp;IF(N(F110)&lt;=0,"원가보정 ","")&amp;IF(AND(B110&lt;&gt;"CN",N(H110)&lt;=0),"공급가보정 ","")&amp;IF(AND(B110="CN",N(I110)&lt;=0),"중국공급가=원가+마진 ",""))</f>
        <v/>
      </c>
      <c r="Q110" s="47" t="n">
        <f aca="false">IF(SUMIFS($W:$W,$A:$A,A110,$C:$C,C110)=0,0,SUMIFS(RAW_판매펀칭!$K:$K,RAW_판매펀칭!$P:$P,A110,RAW_판매펀칭!$I:$I,C110)*W110/SUMIFS($W:$W,$A:$A,A110,$C:$C,C110))</f>
        <v>40</v>
      </c>
      <c r="R110" s="47" t="n">
        <f aca="false">IF(OR(A110="500",A110="800",A110="810"),0,MAX(W110-Q110,0))</f>
        <v>0</v>
      </c>
      <c r="S110" s="47" t="n">
        <f aca="false">R110*L110</f>
        <v>0</v>
      </c>
      <c r="T110" s="47" t="n">
        <f aca="false">R110*J110</f>
        <v>0</v>
      </c>
      <c r="U110" s="47" t="n">
        <f aca="false">R110*K110</f>
        <v>0</v>
      </c>
      <c r="V110" s="0" t="str">
        <f aca="false">IF(COUNTIFS($A$2:A110,A110,$C$2:C110,C110,$D$2:D110,D110)&gt;1,"중복","")</f>
        <v/>
      </c>
      <c r="W110" s="0" t="n">
        <f aca="false">IF(V110="중복",0,N(D110))</f>
        <v>40</v>
      </c>
      <c r="X110" s="0" t="n">
        <f aca="false">IF(COUNTIFS($A$2:A110,A110,$C$2:C110,C110)=1,ABS(SUMIFS(RAW_발주!$D:$D,RAW_발주!$C:$C,A110,RAW_발주!$A:$A,C110)-SUMIFS($W:$W,$A:$A,A110,$C:$C,C110)),0)</f>
        <v>0</v>
      </c>
    </row>
    <row r="111" customFormat="false" ht="15.75" hidden="false" customHeight="true" outlineLevel="0" collapsed="false">
      <c r="A111" s="45" t="s">
        <v>1660</v>
      </c>
      <c r="B111" s="42" t="str">
        <f aca="false">IF(A111="100","HK",IF(A111="200","CN",IF(A111="300","TW","홀세일")))</f>
        <v>CN</v>
      </c>
      <c r="C111" s="45" t="s">
        <v>1033</v>
      </c>
      <c r="D111" s="46" t="n">
        <v>102</v>
      </c>
      <c r="E111" s="46" t="n">
        <v>129000</v>
      </c>
      <c r="F111" s="46" t="n">
        <v>30321</v>
      </c>
      <c r="G111" s="42" t="n">
        <v>3.17</v>
      </c>
      <c r="H111" s="42" t="n">
        <v>32.3</v>
      </c>
      <c r="J111" s="46" t="n">
        <f aca="false">IF(N(E111)&gt;0,E111,IF(N(F111)&gt;0,F111*요약!$F$27,0))</f>
        <v>129000</v>
      </c>
      <c r="K111" s="46" t="n">
        <f aca="false">IF(N(F111)&gt;0,F111,IF(N(E111)&gt;0,E111/요약!$F$27,0))</f>
        <v>30321</v>
      </c>
      <c r="L111" s="46" t="n">
        <f aca="false">IF(B111="CN",IF(N(I111)&gt;0,I111*요약!$G$27,K111*(1+요약!$E$27)),IF(N(H111)&gt;0,H111*요약!$G$27,J111*요약!$D$27))</f>
        <v>31837.05</v>
      </c>
      <c r="M111" s="46" t="n">
        <f aca="false">D111*J111</f>
        <v>13158000</v>
      </c>
      <c r="N111" s="46" t="n">
        <f aca="false">D111*K111</f>
        <v>3092742</v>
      </c>
      <c r="O111" s="46" t="n">
        <f aca="false">D111*L111</f>
        <v>3247379.1</v>
      </c>
      <c r="P111" s="42" t="str">
        <f aca="false">TRIM(IF(N(E111)&lt;=0,"택가보정 ","")&amp;IF(N(F111)&lt;=0,"원가보정 ","")&amp;IF(AND(B111&lt;&gt;"CN",N(H111)&lt;=0),"공급가보정 ","")&amp;IF(AND(B111="CN",N(I111)&lt;=0),"중국공급가=원가+마진 ",""))</f>
        <v>중국공급가=원가+마진</v>
      </c>
      <c r="Q111" s="47" t="n">
        <f aca="false">IF(SUMIFS($W:$W,$A:$A,A111,$C:$C,C111)=0,0,SUMIFS(RAW_판매펀칭!$K:$K,RAW_판매펀칭!$P:$P,A111,RAW_판매펀칭!$I:$I,C111)*W111/SUMIFS($W:$W,$A:$A,A111,$C:$C,C111))</f>
        <v>100</v>
      </c>
      <c r="R111" s="47" t="n">
        <f aca="false">IF(OR(A111="500",A111="800",A111="810"),0,MAX(W111-Q111,0))</f>
        <v>2</v>
      </c>
      <c r="S111" s="47" t="n">
        <f aca="false">R111*L111</f>
        <v>63674.1</v>
      </c>
      <c r="T111" s="47" t="n">
        <f aca="false">R111*J111</f>
        <v>258000</v>
      </c>
      <c r="U111" s="47" t="n">
        <f aca="false">R111*K111</f>
        <v>60642</v>
      </c>
      <c r="V111" s="0" t="str">
        <f aca="false">IF(COUNTIFS($A$2:A111,A111,$C$2:C111,C111,$D$2:D111,D111)&gt;1,"중복","")</f>
        <v/>
      </c>
      <c r="W111" s="0" t="n">
        <f aca="false">IF(V111="중복",0,N(D111))</f>
        <v>102</v>
      </c>
      <c r="X111" s="0" t="n">
        <f aca="false">IF(COUNTIFS($A$2:A111,A111,$C$2:C111,C111)=1,ABS(SUMIFS(RAW_발주!$D:$D,RAW_발주!$C:$C,A111,RAW_발주!$A:$A,C111)-SUMIFS($W:$W,$A:$A,A111,$C:$C,C111)),0)</f>
        <v>0</v>
      </c>
    </row>
    <row r="112" customFormat="false" ht="15.75" hidden="false" customHeight="true" outlineLevel="0" collapsed="false">
      <c r="A112" s="45" t="s">
        <v>1660</v>
      </c>
      <c r="B112" s="42" t="str">
        <f aca="false">IF(A112="100","HK",IF(A112="200","CN",IF(A112="300","TW","홀세일")))</f>
        <v>CN</v>
      </c>
      <c r="C112" s="45" t="s">
        <v>1035</v>
      </c>
      <c r="D112" s="46" t="n">
        <v>333</v>
      </c>
      <c r="E112" s="46" t="n">
        <v>79000</v>
      </c>
      <c r="F112" s="46" t="n">
        <v>12738</v>
      </c>
      <c r="G112" s="42" t="n">
        <v>5.02</v>
      </c>
      <c r="H112" s="42" t="n">
        <v>19.8</v>
      </c>
      <c r="J112" s="46" t="n">
        <f aca="false">IF(N(E112)&gt;0,E112,IF(N(F112)&gt;0,F112*요약!$F$27,0))</f>
        <v>79000</v>
      </c>
      <c r="K112" s="46" t="n">
        <f aca="false">IF(N(F112)&gt;0,F112,IF(N(E112)&gt;0,E112/요약!$F$27,0))</f>
        <v>12738</v>
      </c>
      <c r="L112" s="46" t="n">
        <f aca="false">IF(B112="CN",IF(N(I112)&gt;0,I112*요약!$G$27,K112*(1+요약!$E$27)),IF(N(H112)&gt;0,H112*요약!$G$27,J112*요약!$D$27))</f>
        <v>13374.9</v>
      </c>
      <c r="M112" s="46" t="n">
        <f aca="false">D112*J112</f>
        <v>26307000</v>
      </c>
      <c r="N112" s="46" t="n">
        <f aca="false">D112*K112</f>
        <v>4241754</v>
      </c>
      <c r="O112" s="46" t="n">
        <f aca="false">D112*L112</f>
        <v>4453841.7</v>
      </c>
      <c r="P112" s="42" t="str">
        <f aca="false">TRIM(IF(N(E112)&lt;=0,"택가보정 ","")&amp;IF(N(F112)&lt;=0,"원가보정 ","")&amp;IF(AND(B112&lt;&gt;"CN",N(H112)&lt;=0),"공급가보정 ","")&amp;IF(AND(B112="CN",N(I112)&lt;=0),"중국공급가=원가+마진 ",""))</f>
        <v>중국공급가=원가+마진</v>
      </c>
      <c r="Q112" s="47" t="n">
        <f aca="false">IF(SUMIFS($W:$W,$A:$A,A112,$C:$C,C112)=0,0,SUMIFS(RAW_판매펀칭!$K:$K,RAW_판매펀칭!$P:$P,A112,RAW_판매펀칭!$I:$I,C112)*W112/SUMIFS($W:$W,$A:$A,A112,$C:$C,C112))</f>
        <v>306</v>
      </c>
      <c r="R112" s="47" t="n">
        <f aca="false">IF(OR(A112="500",A112="800",A112="810"),0,MAX(W112-Q112,0))</f>
        <v>27</v>
      </c>
      <c r="S112" s="47" t="n">
        <f aca="false">R112*L112</f>
        <v>361122.3</v>
      </c>
      <c r="T112" s="47" t="n">
        <f aca="false">R112*J112</f>
        <v>2133000</v>
      </c>
      <c r="U112" s="47" t="n">
        <f aca="false">R112*K112</f>
        <v>343926</v>
      </c>
      <c r="V112" s="0" t="str">
        <f aca="false">IF(COUNTIFS($A$2:A112,A112,$C$2:C112,C112,$D$2:D112,D112)&gt;1,"중복","")</f>
        <v/>
      </c>
      <c r="W112" s="0" t="n">
        <f aca="false">IF(V112="중복",0,N(D112))</f>
        <v>333</v>
      </c>
      <c r="X112" s="0" t="n">
        <f aca="false">IF(COUNTIFS($A$2:A112,A112,$C$2:C112,C112)=1,ABS(SUMIFS(RAW_발주!$D:$D,RAW_발주!$C:$C,A112,RAW_발주!$A:$A,C112)-SUMIFS($W:$W,$A:$A,A112,$C:$C,C112)),0)</f>
        <v>0</v>
      </c>
    </row>
    <row r="113" customFormat="false" ht="15" hidden="false" customHeight="true" outlineLevel="0" collapsed="false">
      <c r="A113" s="45" t="s">
        <v>1661</v>
      </c>
      <c r="B113" s="42" t="str">
        <f aca="false">IF(A113="100","HK",IF(A113="200","CN",IF(A113="300","TW","홀세일")))</f>
        <v>TW</v>
      </c>
      <c r="C113" s="45" t="s">
        <v>160</v>
      </c>
      <c r="D113" s="46" t="n">
        <v>30</v>
      </c>
      <c r="E113" s="46" t="n">
        <v>109000</v>
      </c>
      <c r="F113" s="46" t="n">
        <v>21900</v>
      </c>
      <c r="G113" s="42" t="n">
        <v>3.9</v>
      </c>
      <c r="H113" s="42" t="n">
        <v>27.3</v>
      </c>
      <c r="J113" s="46" t="n">
        <f aca="false">IF(N(E113)&gt;0,E113,IF(N(F113)&gt;0,F113*요약!$F$27,0))</f>
        <v>109000</v>
      </c>
      <c r="K113" s="46" t="n">
        <f aca="false">IF(N(F113)&gt;0,F113,IF(N(E113)&gt;0,E113/요약!$F$27,0))</f>
        <v>21900</v>
      </c>
      <c r="L113" s="46" t="n">
        <f aca="false">IF(B113="CN",IF(N(I113)&gt;0,I113*요약!$G$27,K113*(1+요약!$E$27)),IF(N(H113)&gt;0,H113*요약!$G$27,J113*요약!$D$27))</f>
        <v>36036</v>
      </c>
      <c r="M113" s="46" t="n">
        <f aca="false">D113*J113</f>
        <v>3270000</v>
      </c>
      <c r="N113" s="46" t="n">
        <f aca="false">D113*K113</f>
        <v>657000</v>
      </c>
      <c r="O113" s="46" t="n">
        <f aca="false">D113*L113</f>
        <v>1081080</v>
      </c>
      <c r="P113" s="42" t="str">
        <f aca="false">TRIM(IF(N(E113)&lt;=0,"택가보정 ","")&amp;IF(N(F113)&lt;=0,"원가보정 ","")&amp;IF(AND(B113&lt;&gt;"CN",N(H113)&lt;=0),"공급가보정 ","")&amp;IF(AND(B113="CN",N(I113)&lt;=0),"중국공급가=원가+마진 ",""))</f>
        <v/>
      </c>
      <c r="Q113" s="47" t="n">
        <f aca="false">IF(SUMIFS($W:$W,$A:$A,A113,$C:$C,C113)=0,0,SUMIFS(RAW_판매펀칭!$K:$K,RAW_판매펀칭!$P:$P,A113,RAW_판매펀칭!$I:$I,C113)*W113/SUMIFS($W:$W,$A:$A,A113,$C:$C,C113))</f>
        <v>30</v>
      </c>
      <c r="R113" s="47" t="n">
        <f aca="false">IF(OR(A113="500",A113="800",A113="810"),0,MAX(W113-Q113,0))</f>
        <v>0</v>
      </c>
      <c r="S113" s="47" t="n">
        <f aca="false">R113*L113</f>
        <v>0</v>
      </c>
      <c r="T113" s="47" t="n">
        <f aca="false">R113*J113</f>
        <v>0</v>
      </c>
      <c r="U113" s="47" t="n">
        <f aca="false">R113*K113</f>
        <v>0</v>
      </c>
      <c r="V113" s="0" t="str">
        <f aca="false">IF(COUNTIFS($A$2:A113,A113,$C$2:C113,C113,$D$2:D113,D113)&gt;1,"중복","")</f>
        <v/>
      </c>
      <c r="W113" s="0" t="n">
        <f aca="false">IF(V113="중복",0,N(D113))</f>
        <v>30</v>
      </c>
      <c r="X113" s="0" t="n">
        <f aca="false">IF(COUNTIFS($A$2:A113,A113,$C$2:C113,C113)=1,ABS(SUMIFS(RAW_발주!$D:$D,RAW_발주!$C:$C,A113,RAW_발주!$A:$A,C113)-SUMIFS($W:$W,$A:$A,A113,$C:$C,C113)),0)</f>
        <v>0</v>
      </c>
    </row>
    <row r="114" customFormat="false" ht="15" hidden="false" customHeight="true" outlineLevel="0" collapsed="false">
      <c r="A114" s="45" t="s">
        <v>1663</v>
      </c>
      <c r="B114" s="42" t="str">
        <f aca="false">IF(A114="100","HK",IF(A114="200","CN",IF(A114="300","TW","홀세일")))</f>
        <v>홀세일</v>
      </c>
      <c r="C114" s="45" t="s">
        <v>160</v>
      </c>
      <c r="D114" s="46" t="n">
        <v>45</v>
      </c>
      <c r="E114" s="46" t="n">
        <v>109000</v>
      </c>
      <c r="F114" s="46" t="n">
        <v>21900</v>
      </c>
      <c r="G114" s="42" t="n">
        <v>3.9</v>
      </c>
      <c r="H114" s="42" t="n">
        <v>27.3</v>
      </c>
      <c r="J114" s="46" t="n">
        <f aca="false">IF(N(E114)&gt;0,E114,IF(N(F114)&gt;0,F114*요약!$F$27,0))</f>
        <v>109000</v>
      </c>
      <c r="K114" s="46" t="n">
        <f aca="false">IF(N(F114)&gt;0,F114,IF(N(E114)&gt;0,E114/요약!$F$27,0))</f>
        <v>21900</v>
      </c>
      <c r="L114" s="46" t="n">
        <f aca="false">IF(B114="CN",IF(N(I114)&gt;0,I114*요약!$G$27,K114*(1+요약!$E$27)),IF(N(H114)&gt;0,H114*요약!$G$27,J114*요약!$D$27))</f>
        <v>36036</v>
      </c>
      <c r="M114" s="46" t="n">
        <f aca="false">D114*J114</f>
        <v>4905000</v>
      </c>
      <c r="N114" s="46" t="n">
        <f aca="false">D114*K114</f>
        <v>985500</v>
      </c>
      <c r="O114" s="46" t="n">
        <f aca="false">D114*L114</f>
        <v>1621620</v>
      </c>
      <c r="P114" s="42" t="str">
        <f aca="false">TRIM(IF(N(E114)&lt;=0,"택가보정 ","")&amp;IF(N(F114)&lt;=0,"원가보정 ","")&amp;IF(AND(B114&lt;&gt;"CN",N(H114)&lt;=0),"공급가보정 ","")&amp;IF(AND(B114="CN",N(I114)&lt;=0),"중국공급가=원가+마진 ",""))</f>
        <v/>
      </c>
      <c r="Q114" s="47" t="n">
        <f aca="false">IF(SUMIFS($W:$W,$A:$A,A114,$C:$C,C114)=0,0,SUMIFS(RAW_판매펀칭!$K:$K,RAW_판매펀칭!$P:$P,A114,RAW_판매펀칭!$I:$I,C114)*W114/SUMIFS($W:$W,$A:$A,A114,$C:$C,C114))</f>
        <v>45</v>
      </c>
      <c r="R114" s="47" t="n">
        <f aca="false">IF(OR(A114="500",A114="800",A114="810"),0,MAX(W114-Q114,0))</f>
        <v>0</v>
      </c>
      <c r="S114" s="47" t="n">
        <f aca="false">R114*L114</f>
        <v>0</v>
      </c>
      <c r="T114" s="47" t="n">
        <f aca="false">R114*J114</f>
        <v>0</v>
      </c>
      <c r="U114" s="47" t="n">
        <f aca="false">R114*K114</f>
        <v>0</v>
      </c>
      <c r="V114" s="0" t="str">
        <f aca="false">IF(COUNTIFS($A$2:A114,A114,$C$2:C114,C114,$D$2:D114,D114)&gt;1,"중복","")</f>
        <v/>
      </c>
      <c r="W114" s="0" t="n">
        <f aca="false">IF(V114="중복",0,N(D114))</f>
        <v>45</v>
      </c>
      <c r="X114" s="0" t="n">
        <f aca="false">IF(COUNTIFS($A$2:A114,A114,$C$2:C114,C114)=1,ABS(SUMIFS(RAW_발주!$D:$D,RAW_발주!$C:$C,A114,RAW_발주!$A:$A,C114)-SUMIFS($W:$W,$A:$A,A114,$C:$C,C114)),0)</f>
        <v>0</v>
      </c>
    </row>
    <row r="115" customFormat="false" ht="15" hidden="false" customHeight="true" outlineLevel="0" collapsed="false">
      <c r="A115" s="45" t="s">
        <v>1665</v>
      </c>
      <c r="B115" s="42" t="str">
        <f aca="false">IF(A115="100","HK",IF(A115="200","CN",IF(A115="300","TW","홀세일")))</f>
        <v>홀세일</v>
      </c>
      <c r="C115" s="45" t="s">
        <v>160</v>
      </c>
      <c r="D115" s="46" t="n">
        <v>228</v>
      </c>
      <c r="E115" s="46" t="n">
        <v>109000</v>
      </c>
      <c r="F115" s="46" t="n">
        <v>21900</v>
      </c>
      <c r="G115" s="42" t="n">
        <v>3.9</v>
      </c>
      <c r="H115" s="42" t="n">
        <v>27.3</v>
      </c>
      <c r="J115" s="46" t="n">
        <f aca="false">IF(N(E115)&gt;0,E115,IF(N(F115)&gt;0,F115*요약!$F$27,0))</f>
        <v>109000</v>
      </c>
      <c r="K115" s="46" t="n">
        <f aca="false">IF(N(F115)&gt;0,F115,IF(N(E115)&gt;0,E115/요약!$F$27,0))</f>
        <v>21900</v>
      </c>
      <c r="L115" s="46" t="n">
        <f aca="false">IF(B115="CN",IF(N(I115)&gt;0,I115*요약!$G$27,K115*(1+요약!$E$27)),IF(N(H115)&gt;0,H115*요약!$G$27,J115*요약!$D$27))</f>
        <v>36036</v>
      </c>
      <c r="M115" s="46" t="n">
        <f aca="false">D115*J115</f>
        <v>24852000</v>
      </c>
      <c r="N115" s="46" t="n">
        <f aca="false">D115*K115</f>
        <v>4993200</v>
      </c>
      <c r="O115" s="46" t="n">
        <f aca="false">D115*L115</f>
        <v>8216208</v>
      </c>
      <c r="P115" s="42" t="str">
        <f aca="false">TRIM(IF(N(E115)&lt;=0,"택가보정 ","")&amp;IF(N(F115)&lt;=0,"원가보정 ","")&amp;IF(AND(B115&lt;&gt;"CN",N(H115)&lt;=0),"공급가보정 ","")&amp;IF(AND(B115="CN",N(I115)&lt;=0),"중국공급가=원가+마진 ",""))</f>
        <v/>
      </c>
      <c r="Q115" s="47" t="n">
        <f aca="false">IF(SUMIFS($W:$W,$A:$A,A115,$C:$C,C115)=0,0,SUMIFS(RAW_판매펀칭!$K:$K,RAW_판매펀칭!$P:$P,A115,RAW_판매펀칭!$I:$I,C115)*W115/SUMIFS($W:$W,$A:$A,A115,$C:$C,C115))</f>
        <v>0</v>
      </c>
      <c r="R115" s="47" t="n">
        <f aca="false">IF(OR(A115="500",A115="800",A115="810"),0,MAX(W115-Q115,0))</f>
        <v>0</v>
      </c>
      <c r="S115" s="47" t="n">
        <f aca="false">R115*L115</f>
        <v>0</v>
      </c>
      <c r="T115" s="47" t="n">
        <f aca="false">R115*J115</f>
        <v>0</v>
      </c>
      <c r="U115" s="47" t="n">
        <f aca="false">R115*K115</f>
        <v>0</v>
      </c>
      <c r="V115" s="0" t="str">
        <f aca="false">IF(COUNTIFS($A$2:A115,A115,$C$2:C115,C115,$D$2:D115,D115)&gt;1,"중복","")</f>
        <v/>
      </c>
      <c r="W115" s="0" t="n">
        <f aca="false">IF(V115="중복",0,N(D115))</f>
        <v>228</v>
      </c>
      <c r="X115" s="0" t="n">
        <f aca="false">IF(COUNTIFS($A$2:A115,A115,$C$2:C115,C115)=1,ABS(SUMIFS(RAW_발주!$D:$D,RAW_발주!$C:$C,A115,RAW_발주!$A:$A,C115)-SUMIFS($W:$W,$A:$A,A115,$C:$C,C115)),0)</f>
        <v>0</v>
      </c>
    </row>
    <row r="116" customFormat="false" ht="15" hidden="false" customHeight="true" outlineLevel="0" collapsed="false">
      <c r="A116" s="45" t="s">
        <v>1659</v>
      </c>
      <c r="B116" s="42" t="str">
        <f aca="false">IF(A116="100","HK",IF(A116="200","CN",IF(A116="300","TW","홀세일")))</f>
        <v>HK</v>
      </c>
      <c r="C116" s="45" t="s">
        <v>790</v>
      </c>
      <c r="D116" s="46" t="n">
        <v>210</v>
      </c>
      <c r="E116" s="46" t="n">
        <v>129000</v>
      </c>
      <c r="F116" s="46" t="n">
        <v>28200</v>
      </c>
      <c r="G116" s="42" t="n">
        <v>3.81</v>
      </c>
      <c r="H116" s="42" t="n">
        <v>32.3</v>
      </c>
      <c r="J116" s="46" t="n">
        <f aca="false">IF(N(E116)&gt;0,E116,IF(N(F116)&gt;0,F116*요약!$F$27,0))</f>
        <v>129000</v>
      </c>
      <c r="K116" s="46" t="n">
        <f aca="false">IF(N(F116)&gt;0,F116,IF(N(E116)&gt;0,E116/요약!$F$27,0))</f>
        <v>28200</v>
      </c>
      <c r="L116" s="46" t="n">
        <f aca="false">IF(B116="CN",IF(N(I116)&gt;0,I116*요약!$G$27,K116*(1+요약!$E$27)),IF(N(H116)&gt;0,H116*요약!$G$27,J116*요약!$D$27))</f>
        <v>42636</v>
      </c>
      <c r="M116" s="46" t="n">
        <f aca="false">D116*J116</f>
        <v>27090000</v>
      </c>
      <c r="N116" s="46" t="n">
        <f aca="false">D116*K116</f>
        <v>5922000</v>
      </c>
      <c r="O116" s="46" t="n">
        <f aca="false">D116*L116</f>
        <v>8953560</v>
      </c>
      <c r="P116" s="42" t="str">
        <f aca="false">TRIM(IF(N(E116)&lt;=0,"택가보정 ","")&amp;IF(N(F116)&lt;=0,"원가보정 ","")&amp;IF(AND(B116&lt;&gt;"CN",N(H116)&lt;=0),"공급가보정 ","")&amp;IF(AND(B116="CN",N(I116)&lt;=0),"중국공급가=원가+마진 ",""))</f>
        <v/>
      </c>
      <c r="Q116" s="47" t="n">
        <f aca="false">IF(SUMIFS($W:$W,$A:$A,A116,$C:$C,C116)=0,0,SUMIFS(RAW_판매펀칭!$K:$K,RAW_판매펀칭!$P:$P,A116,RAW_판매펀칭!$I:$I,C116)*W116/SUMIFS($W:$W,$A:$A,A116,$C:$C,C116))</f>
        <v>210</v>
      </c>
      <c r="R116" s="47" t="n">
        <f aca="false">IF(OR(A116="500",A116="800",A116="810"),0,MAX(W116-Q116,0))</f>
        <v>0</v>
      </c>
      <c r="S116" s="47" t="n">
        <f aca="false">R116*L116</f>
        <v>0</v>
      </c>
      <c r="T116" s="47" t="n">
        <f aca="false">R116*J116</f>
        <v>0</v>
      </c>
      <c r="U116" s="47" t="n">
        <f aca="false">R116*K116</f>
        <v>0</v>
      </c>
      <c r="V116" s="0" t="str">
        <f aca="false">IF(COUNTIFS($A$2:A116,A116,$C$2:C116,C116,$D$2:D116,D116)&gt;1,"중복","")</f>
        <v/>
      </c>
      <c r="W116" s="0" t="n">
        <f aca="false">IF(V116="중복",0,N(D116))</f>
        <v>210</v>
      </c>
      <c r="X116" s="0" t="n">
        <f aca="false">IF(COUNTIFS($A$2:A116,A116,$C$2:C116,C116)=1,ABS(SUMIFS(RAW_발주!$D:$D,RAW_발주!$C:$C,A116,RAW_발주!$A:$A,C116)-SUMIFS($W:$W,$A:$A,A116,$C:$C,C116)),0)</f>
        <v>0</v>
      </c>
    </row>
    <row r="117" customFormat="false" ht="15" hidden="false" customHeight="true" outlineLevel="0" collapsed="false">
      <c r="A117" s="45" t="s">
        <v>1663</v>
      </c>
      <c r="B117" s="42" t="str">
        <f aca="false">IF(A117="100","HK",IF(A117="200","CN",IF(A117="300","TW","홀세일")))</f>
        <v>홀세일</v>
      </c>
      <c r="C117" s="45" t="s">
        <v>790</v>
      </c>
      <c r="D117" s="46" t="n">
        <v>20</v>
      </c>
      <c r="E117" s="46" t="n">
        <v>129000</v>
      </c>
      <c r="F117" s="46" t="n">
        <v>28200</v>
      </c>
      <c r="G117" s="42" t="n">
        <v>3.81</v>
      </c>
      <c r="H117" s="42" t="n">
        <v>32.3</v>
      </c>
      <c r="J117" s="46" t="n">
        <f aca="false">IF(N(E117)&gt;0,E117,IF(N(F117)&gt;0,F117*요약!$F$27,0))</f>
        <v>129000</v>
      </c>
      <c r="K117" s="46" t="n">
        <f aca="false">IF(N(F117)&gt;0,F117,IF(N(E117)&gt;0,E117/요약!$F$27,0))</f>
        <v>28200</v>
      </c>
      <c r="L117" s="46" t="n">
        <f aca="false">IF(B117="CN",IF(N(I117)&gt;0,I117*요약!$G$27,K117*(1+요약!$E$27)),IF(N(H117)&gt;0,H117*요약!$G$27,J117*요약!$D$27))</f>
        <v>42636</v>
      </c>
      <c r="M117" s="46" t="n">
        <f aca="false">D117*J117</f>
        <v>2580000</v>
      </c>
      <c r="N117" s="46" t="n">
        <f aca="false">D117*K117</f>
        <v>564000</v>
      </c>
      <c r="O117" s="46" t="n">
        <f aca="false">D117*L117</f>
        <v>852720</v>
      </c>
      <c r="P117" s="42" t="str">
        <f aca="false">TRIM(IF(N(E117)&lt;=0,"택가보정 ","")&amp;IF(N(F117)&lt;=0,"원가보정 ","")&amp;IF(AND(B117&lt;&gt;"CN",N(H117)&lt;=0),"공급가보정 ","")&amp;IF(AND(B117="CN",N(I117)&lt;=0),"중국공급가=원가+마진 ",""))</f>
        <v/>
      </c>
      <c r="Q117" s="47" t="n">
        <f aca="false">IF(SUMIFS($W:$W,$A:$A,A117,$C:$C,C117)=0,0,SUMIFS(RAW_판매펀칭!$K:$K,RAW_판매펀칭!$P:$P,A117,RAW_판매펀칭!$I:$I,C117)*W117/SUMIFS($W:$W,$A:$A,A117,$C:$C,C117))</f>
        <v>20</v>
      </c>
      <c r="R117" s="47" t="n">
        <f aca="false">IF(OR(A117="500",A117="800",A117="810"),0,MAX(W117-Q117,0))</f>
        <v>0</v>
      </c>
      <c r="S117" s="47" t="n">
        <f aca="false">R117*L117</f>
        <v>0</v>
      </c>
      <c r="T117" s="47" t="n">
        <f aca="false">R117*J117</f>
        <v>0</v>
      </c>
      <c r="U117" s="47" t="n">
        <f aca="false">R117*K117</f>
        <v>0</v>
      </c>
      <c r="V117" s="0" t="str">
        <f aca="false">IF(COUNTIFS($A$2:A117,A117,$C$2:C117,C117,$D$2:D117,D117)&gt;1,"중복","")</f>
        <v/>
      </c>
      <c r="W117" s="0" t="n">
        <f aca="false">IF(V117="중복",0,N(D117))</f>
        <v>20</v>
      </c>
      <c r="X117" s="0" t="n">
        <f aca="false">IF(COUNTIFS($A$2:A117,A117,$C$2:C117,C117)=1,ABS(SUMIFS(RAW_발주!$D:$D,RAW_발주!$C:$C,A117,RAW_발주!$A:$A,C117)-SUMIFS($W:$W,$A:$A,A117,$C:$C,C117)),0)</f>
        <v>0</v>
      </c>
    </row>
    <row r="118" customFormat="false" ht="15" hidden="false" customHeight="true" outlineLevel="0" collapsed="false">
      <c r="A118" s="45" t="s">
        <v>1663</v>
      </c>
      <c r="B118" s="42" t="str">
        <f aca="false">IF(A118="100","HK",IF(A118="200","CN",IF(A118="300","TW","홀세일")))</f>
        <v>홀세일</v>
      </c>
      <c r="C118" s="45" t="s">
        <v>1671</v>
      </c>
      <c r="D118" s="46" t="n">
        <v>35</v>
      </c>
      <c r="E118" s="46" t="n">
        <v>139000</v>
      </c>
      <c r="F118" s="46" t="n">
        <v>24900</v>
      </c>
      <c r="G118" s="42" t="n">
        <v>4.01</v>
      </c>
      <c r="H118" s="42" t="n">
        <v>34.8</v>
      </c>
      <c r="J118" s="46" t="n">
        <f aca="false">IF(N(E118)&gt;0,E118,IF(N(F118)&gt;0,F118*요약!$F$27,0))</f>
        <v>139000</v>
      </c>
      <c r="K118" s="46" t="n">
        <f aca="false">IF(N(F118)&gt;0,F118,IF(N(E118)&gt;0,E118/요약!$F$27,0))</f>
        <v>24900</v>
      </c>
      <c r="L118" s="46" t="n">
        <f aca="false">IF(B118="CN",IF(N(I118)&gt;0,I118*요약!$G$27,K118*(1+요약!$E$27)),IF(N(H118)&gt;0,H118*요약!$G$27,J118*요약!$D$27))</f>
        <v>45936</v>
      </c>
      <c r="M118" s="46" t="n">
        <f aca="false">D118*J118</f>
        <v>4865000</v>
      </c>
      <c r="N118" s="46" t="n">
        <f aca="false">D118*K118</f>
        <v>871500</v>
      </c>
      <c r="O118" s="46" t="n">
        <f aca="false">D118*L118</f>
        <v>1607760</v>
      </c>
      <c r="P118" s="42" t="str">
        <f aca="false">TRIM(IF(N(E118)&lt;=0,"택가보정 ","")&amp;IF(N(F118)&lt;=0,"원가보정 ","")&amp;IF(AND(B118&lt;&gt;"CN",N(H118)&lt;=0),"공급가보정 ","")&amp;IF(AND(B118="CN",N(I118)&lt;=0),"중국공급가=원가+마진 ",""))</f>
        <v/>
      </c>
      <c r="Q118" s="47" t="n">
        <f aca="false">IF(SUMIFS($W:$W,$A:$A,A118,$C:$C,C118)=0,0,SUMIFS(RAW_판매펀칭!$K:$K,RAW_판매펀칭!$P:$P,A118,RAW_판매펀칭!$I:$I,C118)*W118/SUMIFS($W:$W,$A:$A,A118,$C:$C,C118))</f>
        <v>0</v>
      </c>
      <c r="R118" s="47" t="n">
        <f aca="false">IF(OR(A118="500",A118="800",A118="810"),0,MAX(W118-Q118,0))</f>
        <v>35</v>
      </c>
      <c r="S118" s="47" t="n">
        <f aca="false">R118*L118</f>
        <v>1607760</v>
      </c>
      <c r="T118" s="47" t="n">
        <f aca="false">R118*J118</f>
        <v>4865000</v>
      </c>
      <c r="U118" s="47" t="n">
        <f aca="false">R118*K118</f>
        <v>871500</v>
      </c>
      <c r="V118" s="0" t="str">
        <f aca="false">IF(COUNTIFS($A$2:A118,A118,$C$2:C118,C118,$D$2:D118,D118)&gt;1,"중복","")</f>
        <v/>
      </c>
      <c r="W118" s="0" t="n">
        <f aca="false">IF(V118="중복",0,N(D118))</f>
        <v>35</v>
      </c>
      <c r="X118" s="0" t="n">
        <f aca="false">IF(COUNTIFS($A$2:A118,A118,$C$2:C118,C118)=1,ABS(SUMIFS(RAW_발주!$D:$D,RAW_발주!$C:$C,A118,RAW_발주!$A:$A,C118)-SUMIFS($W:$W,$A:$A,A118,$C:$C,C118)),0)</f>
        <v>0</v>
      </c>
    </row>
    <row r="119" customFormat="false" ht="15" hidden="false" customHeight="true" outlineLevel="0" collapsed="false">
      <c r="A119" s="45" t="s">
        <v>1659</v>
      </c>
      <c r="B119" s="42" t="str">
        <f aca="false">IF(A119="100","HK",IF(A119="200","CN",IF(A119="300","TW","홀세일")))</f>
        <v>HK</v>
      </c>
      <c r="C119" s="45" t="s">
        <v>792</v>
      </c>
      <c r="D119" s="46" t="n">
        <v>300</v>
      </c>
      <c r="E119" s="46" t="n">
        <v>149000</v>
      </c>
      <c r="F119" s="46" t="n">
        <v>26700</v>
      </c>
      <c r="G119" s="42" t="n">
        <v>4.65</v>
      </c>
      <c r="H119" s="42" t="n">
        <v>37.3</v>
      </c>
      <c r="J119" s="46" t="n">
        <f aca="false">IF(N(E119)&gt;0,E119,IF(N(F119)&gt;0,F119*요약!$F$27,0))</f>
        <v>149000</v>
      </c>
      <c r="K119" s="46" t="n">
        <f aca="false">IF(N(F119)&gt;0,F119,IF(N(E119)&gt;0,E119/요약!$F$27,0))</f>
        <v>26700</v>
      </c>
      <c r="L119" s="46" t="n">
        <f aca="false">IF(B119="CN",IF(N(I119)&gt;0,I119*요약!$G$27,K119*(1+요약!$E$27)),IF(N(H119)&gt;0,H119*요약!$G$27,J119*요약!$D$27))</f>
        <v>49236</v>
      </c>
      <c r="M119" s="46" t="n">
        <f aca="false">D119*J119</f>
        <v>44700000</v>
      </c>
      <c r="N119" s="46" t="n">
        <f aca="false">D119*K119</f>
        <v>8010000</v>
      </c>
      <c r="O119" s="46" t="n">
        <f aca="false">D119*L119</f>
        <v>14770800</v>
      </c>
      <c r="P119" s="42" t="str">
        <f aca="false">TRIM(IF(N(E119)&lt;=0,"택가보정 ","")&amp;IF(N(F119)&lt;=0,"원가보정 ","")&amp;IF(AND(B119&lt;&gt;"CN",N(H119)&lt;=0),"공급가보정 ","")&amp;IF(AND(B119="CN",N(I119)&lt;=0),"중국공급가=원가+마진 ",""))</f>
        <v/>
      </c>
      <c r="Q119" s="47" t="n">
        <f aca="false">IF(SUMIFS($W:$W,$A:$A,A119,$C:$C,C119)=0,0,SUMIFS(RAW_판매펀칭!$K:$K,RAW_판매펀칭!$P:$P,A119,RAW_판매펀칭!$I:$I,C119)*W119/SUMIFS($W:$W,$A:$A,A119,$C:$C,C119))</f>
        <v>300</v>
      </c>
      <c r="R119" s="47" t="n">
        <f aca="false">IF(OR(A119="500",A119="800",A119="810"),0,MAX(W119-Q119,0))</f>
        <v>0</v>
      </c>
      <c r="S119" s="47" t="n">
        <f aca="false">R119*L119</f>
        <v>0</v>
      </c>
      <c r="T119" s="47" t="n">
        <f aca="false">R119*J119</f>
        <v>0</v>
      </c>
      <c r="U119" s="47" t="n">
        <f aca="false">R119*K119</f>
        <v>0</v>
      </c>
      <c r="V119" s="0" t="str">
        <f aca="false">IF(COUNTIFS($A$2:A119,A119,$C$2:C119,C119,$D$2:D119,D119)&gt;1,"중복","")</f>
        <v/>
      </c>
      <c r="W119" s="0" t="n">
        <f aca="false">IF(V119="중복",0,N(D119))</f>
        <v>300</v>
      </c>
      <c r="X119" s="0" t="n">
        <f aca="false">IF(COUNTIFS($A$2:A119,A119,$C$2:C119,C119)=1,ABS(SUMIFS(RAW_발주!$D:$D,RAW_발주!$C:$C,A119,RAW_발주!$A:$A,C119)-SUMIFS($W:$W,$A:$A,A119,$C:$C,C119)),0)</f>
        <v>0</v>
      </c>
    </row>
    <row r="120" customFormat="false" ht="15" hidden="false" customHeight="true" outlineLevel="0" collapsed="false">
      <c r="A120" s="45" t="s">
        <v>1667</v>
      </c>
      <c r="B120" s="42" t="str">
        <f aca="false">IF(A120="100","HK",IF(A120="200","CN",IF(A120="300","TW","홀세일")))</f>
        <v>홀세일</v>
      </c>
      <c r="C120" s="45" t="s">
        <v>1403</v>
      </c>
      <c r="D120" s="46" t="n">
        <v>82</v>
      </c>
      <c r="E120" s="46" t="n">
        <v>139000</v>
      </c>
      <c r="F120" s="46" t="n">
        <v>30385</v>
      </c>
      <c r="G120" s="42" t="n">
        <v>4.2</v>
      </c>
      <c r="H120" s="42" t="n">
        <v>34.8</v>
      </c>
      <c r="J120" s="46" t="n">
        <f aca="false">IF(N(E120)&gt;0,E120,IF(N(F120)&gt;0,F120*요약!$F$27,0))</f>
        <v>139000</v>
      </c>
      <c r="K120" s="46" t="n">
        <f aca="false">IF(N(F120)&gt;0,F120,IF(N(E120)&gt;0,E120/요약!$F$27,0))</f>
        <v>30385</v>
      </c>
      <c r="L120" s="46" t="n">
        <f aca="false">IF(B120="CN",IF(N(I120)&gt;0,I120*요약!$G$27,K120*(1+요약!$E$27)),IF(N(H120)&gt;0,H120*요약!$G$27,J120*요약!$D$27))</f>
        <v>45936</v>
      </c>
      <c r="M120" s="46" t="n">
        <f aca="false">D120*J120</f>
        <v>11398000</v>
      </c>
      <c r="N120" s="46" t="n">
        <f aca="false">D120*K120</f>
        <v>2491570</v>
      </c>
      <c r="O120" s="46" t="n">
        <f aca="false">D120*L120</f>
        <v>3766752</v>
      </c>
      <c r="P120" s="42" t="str">
        <f aca="false">TRIM(IF(N(E120)&lt;=0,"택가보정 ","")&amp;IF(N(F120)&lt;=0,"원가보정 ","")&amp;IF(AND(B120&lt;&gt;"CN",N(H120)&lt;=0),"공급가보정 ","")&amp;IF(AND(B120="CN",N(I120)&lt;=0),"중국공급가=원가+마진 ",""))</f>
        <v/>
      </c>
      <c r="Q120" s="47" t="n">
        <f aca="false">IF(SUMIFS($W:$W,$A:$A,A120,$C:$C,C120)=0,0,SUMIFS(RAW_판매펀칭!$K:$K,RAW_판매펀칭!$P:$P,A120,RAW_판매펀칭!$I:$I,C120)*W120/SUMIFS($W:$W,$A:$A,A120,$C:$C,C120))</f>
        <v>82</v>
      </c>
      <c r="R120" s="47" t="n">
        <f aca="false">IF(OR(A120="500",A120="800",A120="810"),0,MAX(W120-Q120,0))</f>
        <v>0</v>
      </c>
      <c r="S120" s="47" t="n">
        <f aca="false">R120*L120</f>
        <v>0</v>
      </c>
      <c r="T120" s="47" t="n">
        <f aca="false">R120*J120</f>
        <v>0</v>
      </c>
      <c r="U120" s="47" t="n">
        <f aca="false">R120*K120</f>
        <v>0</v>
      </c>
      <c r="V120" s="0" t="str">
        <f aca="false">IF(COUNTIFS($A$2:A120,A120,$C$2:C120,C120,$D$2:D120,D120)&gt;1,"중복","")</f>
        <v/>
      </c>
      <c r="W120" s="0" t="n">
        <f aca="false">IF(V120="중복",0,N(D120))</f>
        <v>82</v>
      </c>
      <c r="X120" s="0" t="n">
        <f aca="false">IF(COUNTIFS($A$2:A120,A120,$C$2:C120,C120)=1,ABS(SUMIFS(RAW_발주!$D:$D,RAW_발주!$C:$C,A120,RAW_발주!$A:$A,C120)-SUMIFS($W:$W,$A:$A,A120,$C:$C,C120)),0)</f>
        <v>0</v>
      </c>
    </row>
    <row r="121" customFormat="false" ht="15" hidden="false" customHeight="true" outlineLevel="0" collapsed="false">
      <c r="A121" s="45" t="s">
        <v>1665</v>
      </c>
      <c r="B121" s="42" t="str">
        <f aca="false">IF(A121="100","HK",IF(A121="200","CN",IF(A121="300","TW","홀세일")))</f>
        <v>홀세일</v>
      </c>
      <c r="C121" s="45" t="s">
        <v>1471</v>
      </c>
      <c r="D121" s="46" t="n">
        <v>216</v>
      </c>
      <c r="E121" s="46" t="n">
        <v>109000</v>
      </c>
      <c r="F121" s="46" t="n">
        <v>27888</v>
      </c>
      <c r="G121" s="42" t="n">
        <v>3.27</v>
      </c>
      <c r="H121" s="42" t="n">
        <v>29</v>
      </c>
      <c r="J121" s="46" t="n">
        <f aca="false">IF(N(E121)&gt;0,E121,IF(N(F121)&gt;0,F121*요약!$F$27,0))</f>
        <v>109000</v>
      </c>
      <c r="K121" s="46" t="n">
        <f aca="false">IF(N(F121)&gt;0,F121,IF(N(E121)&gt;0,E121/요약!$F$27,0))</f>
        <v>27888</v>
      </c>
      <c r="L121" s="46" t="n">
        <f aca="false">IF(B121="CN",IF(N(I121)&gt;0,I121*요약!$G$27,K121*(1+요약!$E$27)),IF(N(H121)&gt;0,H121*요약!$G$27,J121*요약!$D$27))</f>
        <v>38280</v>
      </c>
      <c r="M121" s="46" t="n">
        <f aca="false">D121*J121</f>
        <v>23544000</v>
      </c>
      <c r="N121" s="46" t="n">
        <f aca="false">D121*K121</f>
        <v>6023808</v>
      </c>
      <c r="O121" s="46" t="n">
        <f aca="false">D121*L121</f>
        <v>8268480</v>
      </c>
      <c r="P121" s="42" t="str">
        <f aca="false">TRIM(IF(N(E121)&lt;=0,"택가보정 ","")&amp;IF(N(F121)&lt;=0,"원가보정 ","")&amp;IF(AND(B121&lt;&gt;"CN",N(H121)&lt;=0),"공급가보정 ","")&amp;IF(AND(B121="CN",N(I121)&lt;=0),"중국공급가=원가+마진 ",""))</f>
        <v/>
      </c>
      <c r="Q121" s="47" t="n">
        <f aca="false">IF(SUMIFS($W:$W,$A:$A,A121,$C:$C,C121)=0,0,SUMIFS(RAW_판매펀칭!$K:$K,RAW_판매펀칭!$P:$P,A121,RAW_판매펀칭!$I:$I,C121)*W121/SUMIFS($W:$W,$A:$A,A121,$C:$C,C121))</f>
        <v>216</v>
      </c>
      <c r="R121" s="47" t="n">
        <f aca="false">IF(OR(A121="500",A121="800",A121="810"),0,MAX(W121-Q121,0))</f>
        <v>0</v>
      </c>
      <c r="S121" s="47" t="n">
        <f aca="false">R121*L121</f>
        <v>0</v>
      </c>
      <c r="T121" s="47" t="n">
        <f aca="false">R121*J121</f>
        <v>0</v>
      </c>
      <c r="U121" s="47" t="n">
        <f aca="false">R121*K121</f>
        <v>0</v>
      </c>
      <c r="V121" s="0" t="str">
        <f aca="false">IF(COUNTIFS($A$2:A121,A121,$C$2:C121,C121,$D$2:D121,D121)&gt;1,"중복","")</f>
        <v/>
      </c>
      <c r="W121" s="0" t="n">
        <f aca="false">IF(V121="중복",0,N(D121))</f>
        <v>216</v>
      </c>
      <c r="X121" s="0" t="n">
        <f aca="false">IF(COUNTIFS($A$2:A121,A121,$C$2:C121,C121)=1,ABS(SUMIFS(RAW_발주!$D:$D,RAW_발주!$C:$C,A121,RAW_발주!$A:$A,C121)-SUMIFS($W:$W,$A:$A,A121,$C:$C,C121)),0)</f>
        <v>0</v>
      </c>
    </row>
    <row r="122" customFormat="false" ht="15" hidden="false" customHeight="true" outlineLevel="0" collapsed="false">
      <c r="A122" s="45" t="s">
        <v>1659</v>
      </c>
      <c r="B122" s="42" t="str">
        <f aca="false">IF(A122="100","HK",IF(A122="200","CN",IF(A122="300","TW","홀세일")))</f>
        <v>HK</v>
      </c>
      <c r="C122" s="45" t="s">
        <v>1257</v>
      </c>
      <c r="D122" s="46" t="n">
        <v>600</v>
      </c>
      <c r="E122" s="46" t="n">
        <v>219000</v>
      </c>
      <c r="F122" s="46" t="n">
        <v>49100</v>
      </c>
      <c r="G122" s="42" t="n">
        <v>4.12</v>
      </c>
      <c r="H122" s="42" t="n">
        <v>58.2</v>
      </c>
      <c r="J122" s="46" t="n">
        <f aca="false">IF(N(E122)&gt;0,E122,IF(N(F122)&gt;0,F122*요약!$F$27,0))</f>
        <v>219000</v>
      </c>
      <c r="K122" s="46" t="n">
        <f aca="false">IF(N(F122)&gt;0,F122,IF(N(E122)&gt;0,E122/요약!$F$27,0))</f>
        <v>49100</v>
      </c>
      <c r="L122" s="46" t="n">
        <f aca="false">IF(B122="CN",IF(N(I122)&gt;0,I122*요약!$G$27,K122*(1+요약!$E$27)),IF(N(H122)&gt;0,H122*요약!$G$27,J122*요약!$D$27))</f>
        <v>76824</v>
      </c>
      <c r="M122" s="46" t="n">
        <f aca="false">D122*J122</f>
        <v>131400000</v>
      </c>
      <c r="N122" s="46" t="n">
        <f aca="false">D122*K122</f>
        <v>29460000</v>
      </c>
      <c r="O122" s="46" t="n">
        <f aca="false">D122*L122</f>
        <v>46094400</v>
      </c>
      <c r="P122" s="42" t="str">
        <f aca="false">TRIM(IF(N(E122)&lt;=0,"택가보정 ","")&amp;IF(N(F122)&lt;=0,"원가보정 ","")&amp;IF(AND(B122&lt;&gt;"CN",N(H122)&lt;=0),"공급가보정 ","")&amp;IF(AND(B122="CN",N(I122)&lt;=0),"중국공급가=원가+마진 ",""))</f>
        <v/>
      </c>
      <c r="Q122" s="47" t="n">
        <f aca="false">IF(SUMIFS($W:$W,$A:$A,A122,$C:$C,C122)=0,0,SUMIFS(RAW_판매펀칭!$K:$K,RAW_판매펀칭!$P:$P,A122,RAW_판매펀칭!$I:$I,C122)*W122/SUMIFS($W:$W,$A:$A,A122,$C:$C,C122))</f>
        <v>0</v>
      </c>
      <c r="R122" s="47" t="n">
        <f aca="false">IF(OR(A122="500",A122="800",A122="810"),0,MAX(W122-Q122,0))</f>
        <v>600</v>
      </c>
      <c r="S122" s="47" t="n">
        <f aca="false">R122*L122</f>
        <v>46094400</v>
      </c>
      <c r="T122" s="47" t="n">
        <f aca="false">R122*J122</f>
        <v>131400000</v>
      </c>
      <c r="U122" s="47" t="n">
        <f aca="false">R122*K122</f>
        <v>29460000</v>
      </c>
      <c r="V122" s="0" t="str">
        <f aca="false">IF(COUNTIFS($A$2:A122,A122,$C$2:C122,C122,$D$2:D122,D122)&gt;1,"중복","")</f>
        <v/>
      </c>
      <c r="W122" s="0" t="n">
        <f aca="false">IF(V122="중복",0,N(D122))</f>
        <v>600</v>
      </c>
      <c r="X122" s="0" t="n">
        <f aca="false">IF(COUNTIFS($A$2:A122,A122,$C$2:C122,C122)=1,ABS(SUMIFS(RAW_발주!$D:$D,RAW_발주!$C:$C,A122,RAW_발주!$A:$A,C122)-SUMIFS($W:$W,$A:$A,A122,$C:$C,C122)),0)</f>
        <v>0</v>
      </c>
    </row>
    <row r="123" customFormat="false" ht="15" hidden="false" customHeight="true" outlineLevel="0" collapsed="false">
      <c r="A123" s="45" t="s">
        <v>1659</v>
      </c>
      <c r="B123" s="42" t="str">
        <f aca="false">IF(A123="100","HK",IF(A123="200","CN",IF(A123="300","TW","홀세일")))</f>
        <v>HK</v>
      </c>
      <c r="C123" s="45" t="s">
        <v>1257</v>
      </c>
      <c r="D123" s="46" t="n">
        <v>600</v>
      </c>
      <c r="E123" s="46" t="n">
        <v>219000</v>
      </c>
      <c r="F123" s="46" t="n">
        <v>49100</v>
      </c>
      <c r="G123" s="42" t="n">
        <v>4.12</v>
      </c>
      <c r="H123" s="42" t="n">
        <v>58.2</v>
      </c>
      <c r="J123" s="46" t="n">
        <f aca="false">IF(N(E123)&gt;0,E123,IF(N(F123)&gt;0,F123*요약!$F$27,0))</f>
        <v>219000</v>
      </c>
      <c r="K123" s="46" t="n">
        <f aca="false">IF(N(F123)&gt;0,F123,IF(N(E123)&gt;0,E123/요약!$F$27,0))</f>
        <v>49100</v>
      </c>
      <c r="L123" s="46" t="n">
        <f aca="false">IF(B123="CN",IF(N(I123)&gt;0,I123*요약!$G$27,K123*(1+요약!$E$27)),IF(N(H123)&gt;0,H123*요약!$G$27,J123*요약!$D$27))</f>
        <v>76824</v>
      </c>
      <c r="M123" s="46" t="n">
        <f aca="false">D123*J123</f>
        <v>131400000</v>
      </c>
      <c r="N123" s="46" t="n">
        <f aca="false">D123*K123</f>
        <v>29460000</v>
      </c>
      <c r="O123" s="46" t="n">
        <f aca="false">D123*L123</f>
        <v>46094400</v>
      </c>
      <c r="P123" s="42" t="str">
        <f aca="false">TRIM(IF(N(E123)&lt;=0,"택가보정 ","")&amp;IF(N(F123)&lt;=0,"원가보정 ","")&amp;IF(AND(B123&lt;&gt;"CN",N(H123)&lt;=0),"공급가보정 ","")&amp;IF(AND(B123="CN",N(I123)&lt;=0),"중국공급가=원가+마진 ",""))</f>
        <v/>
      </c>
      <c r="Q123" s="47" t="n">
        <f aca="false">IF(SUMIFS($W:$W,$A:$A,A123,$C:$C,C123)=0,0,SUMIFS(RAW_판매펀칭!$K:$K,RAW_판매펀칭!$P:$P,A123,RAW_판매펀칭!$I:$I,C123)*W123/SUMIFS($W:$W,$A:$A,A123,$C:$C,C123))</f>
        <v>0</v>
      </c>
      <c r="R123" s="47" t="n">
        <f aca="false">IF(OR(A123="500",A123="800",A123="810"),0,MAX(W123-Q123,0))</f>
        <v>0</v>
      </c>
      <c r="S123" s="47" t="n">
        <f aca="false">R123*L123</f>
        <v>0</v>
      </c>
      <c r="T123" s="47" t="n">
        <f aca="false">R123*J123</f>
        <v>0</v>
      </c>
      <c r="U123" s="47" t="n">
        <f aca="false">R123*K123</f>
        <v>0</v>
      </c>
      <c r="V123" s="0" t="str">
        <f aca="false">IF(COUNTIFS($A$2:A123,A123,$C$2:C123,C123,$D$2:D123,D123)&gt;1,"중복","")</f>
        <v>중복</v>
      </c>
      <c r="W123" s="0" t="n">
        <f aca="false">IF(V123="중복",0,N(D123))</f>
        <v>0</v>
      </c>
      <c r="X123" s="0" t="n">
        <f aca="false">IF(COUNTIFS($A$2:A123,A123,$C$2:C123,C123)=1,ABS(SUMIFS(RAW_발주!$D:$D,RAW_발주!$C:$C,A123,RAW_발주!$A:$A,C123)-SUMIFS($W:$W,$A:$A,A123,$C:$C,C123)),0)</f>
        <v>0</v>
      </c>
    </row>
    <row r="124" customFormat="false" ht="15" hidden="false" customHeight="true" outlineLevel="0" collapsed="false">
      <c r="A124" s="45" t="s">
        <v>1662</v>
      </c>
      <c r="B124" s="42" t="str">
        <f aca="false">IF(A124="100","HK",IF(A124="200","CN",IF(A124="300","TW","홀세일")))</f>
        <v>홀세일</v>
      </c>
      <c r="C124" s="45" t="s">
        <v>1257</v>
      </c>
      <c r="D124" s="46" t="n">
        <v>40</v>
      </c>
      <c r="E124" s="46" t="n">
        <v>219000</v>
      </c>
      <c r="F124" s="46" t="n">
        <v>49100</v>
      </c>
      <c r="G124" s="42" t="n">
        <v>4.12</v>
      </c>
      <c r="H124" s="42" t="n">
        <v>58.2</v>
      </c>
      <c r="J124" s="46" t="n">
        <f aca="false">IF(N(E124)&gt;0,E124,IF(N(F124)&gt;0,F124*요약!$F$27,0))</f>
        <v>219000</v>
      </c>
      <c r="K124" s="46" t="n">
        <f aca="false">IF(N(F124)&gt;0,F124,IF(N(E124)&gt;0,E124/요약!$F$27,0))</f>
        <v>49100</v>
      </c>
      <c r="L124" s="46" t="n">
        <f aca="false">IF(B124="CN",IF(N(I124)&gt;0,I124*요약!$G$27,K124*(1+요약!$E$27)),IF(N(H124)&gt;0,H124*요약!$G$27,J124*요약!$D$27))</f>
        <v>76824</v>
      </c>
      <c r="M124" s="46" t="n">
        <f aca="false">D124*J124</f>
        <v>8760000</v>
      </c>
      <c r="N124" s="46" t="n">
        <f aca="false">D124*K124</f>
        <v>1964000</v>
      </c>
      <c r="O124" s="46" t="n">
        <f aca="false">D124*L124</f>
        <v>3072960</v>
      </c>
      <c r="P124" s="42" t="str">
        <f aca="false">TRIM(IF(N(E124)&lt;=0,"택가보정 ","")&amp;IF(N(F124)&lt;=0,"원가보정 ","")&amp;IF(AND(B124&lt;&gt;"CN",N(H124)&lt;=0),"공급가보정 ","")&amp;IF(AND(B124="CN",N(I124)&lt;=0),"중국공급가=원가+마진 ",""))</f>
        <v/>
      </c>
      <c r="Q124" s="47" t="n">
        <f aca="false">IF(SUMIFS($W:$W,$A:$A,A124,$C:$C,C124)=0,0,SUMIFS(RAW_판매펀칭!$K:$K,RAW_판매펀칭!$P:$P,A124,RAW_판매펀칭!$I:$I,C124)*W124/SUMIFS($W:$W,$A:$A,A124,$C:$C,C124))</f>
        <v>40</v>
      </c>
      <c r="R124" s="47" t="n">
        <f aca="false">IF(OR(A124="500",A124="800",A124="810"),0,MAX(W124-Q124,0))</f>
        <v>0</v>
      </c>
      <c r="S124" s="47" t="n">
        <f aca="false">R124*L124</f>
        <v>0</v>
      </c>
      <c r="T124" s="47" t="n">
        <f aca="false">R124*J124</f>
        <v>0</v>
      </c>
      <c r="U124" s="47" t="n">
        <f aca="false">R124*K124</f>
        <v>0</v>
      </c>
      <c r="V124" s="0" t="str">
        <f aca="false">IF(COUNTIFS($A$2:A124,A124,$C$2:C124,C124,$D$2:D124,D124)&gt;1,"중복","")</f>
        <v/>
      </c>
      <c r="W124" s="0" t="n">
        <f aca="false">IF(V124="중복",0,N(D124))</f>
        <v>40</v>
      </c>
      <c r="X124" s="0" t="n">
        <f aca="false">IF(COUNTIFS($A$2:A124,A124,$C$2:C124,C124)=1,ABS(SUMIFS(RAW_발주!$D:$D,RAW_발주!$C:$C,A124,RAW_발주!$A:$A,C124)-SUMIFS($W:$W,$A:$A,A124,$C:$C,C124)),0)</f>
        <v>0</v>
      </c>
    </row>
    <row r="125" customFormat="false" ht="15" hidden="false" customHeight="true" outlineLevel="0" collapsed="false">
      <c r="A125" s="45" t="s">
        <v>1667</v>
      </c>
      <c r="B125" s="42" t="str">
        <f aca="false">IF(A125="100","HK",IF(A125="200","CN",IF(A125="300","TW","홀세일")))</f>
        <v>홀세일</v>
      </c>
      <c r="C125" s="45" t="s">
        <v>1257</v>
      </c>
      <c r="D125" s="46" t="n">
        <v>82</v>
      </c>
      <c r="E125" s="46" t="n">
        <v>219000</v>
      </c>
      <c r="F125" s="46" t="n">
        <v>49100</v>
      </c>
      <c r="G125" s="42" t="n">
        <v>4.12</v>
      </c>
      <c r="H125" s="42" t="n">
        <v>58.2</v>
      </c>
      <c r="J125" s="46" t="n">
        <f aca="false">IF(N(E125)&gt;0,E125,IF(N(F125)&gt;0,F125*요약!$F$27,0))</f>
        <v>219000</v>
      </c>
      <c r="K125" s="46" t="n">
        <f aca="false">IF(N(F125)&gt;0,F125,IF(N(E125)&gt;0,E125/요약!$F$27,0))</f>
        <v>49100</v>
      </c>
      <c r="L125" s="46" t="n">
        <f aca="false">IF(B125="CN",IF(N(I125)&gt;0,I125*요약!$G$27,K125*(1+요약!$E$27)),IF(N(H125)&gt;0,H125*요약!$G$27,J125*요약!$D$27))</f>
        <v>76824</v>
      </c>
      <c r="M125" s="46" t="n">
        <f aca="false">D125*J125</f>
        <v>17958000</v>
      </c>
      <c r="N125" s="46" t="n">
        <f aca="false">D125*K125</f>
        <v>4026200</v>
      </c>
      <c r="O125" s="46" t="n">
        <f aca="false">D125*L125</f>
        <v>6299568</v>
      </c>
      <c r="P125" s="42" t="str">
        <f aca="false">TRIM(IF(N(E125)&lt;=0,"택가보정 ","")&amp;IF(N(F125)&lt;=0,"원가보정 ","")&amp;IF(AND(B125&lt;&gt;"CN",N(H125)&lt;=0),"공급가보정 ","")&amp;IF(AND(B125="CN",N(I125)&lt;=0),"중국공급가=원가+마진 ",""))</f>
        <v/>
      </c>
      <c r="Q125" s="47" t="n">
        <f aca="false">IF(SUMIFS($W:$W,$A:$A,A125,$C:$C,C125)=0,0,SUMIFS(RAW_판매펀칭!$K:$K,RAW_판매펀칭!$P:$P,A125,RAW_판매펀칭!$I:$I,C125)*W125/SUMIFS($W:$W,$A:$A,A125,$C:$C,C125))</f>
        <v>82</v>
      </c>
      <c r="R125" s="47" t="n">
        <f aca="false">IF(OR(A125="500",A125="800",A125="810"),0,MAX(W125-Q125,0))</f>
        <v>0</v>
      </c>
      <c r="S125" s="47" t="n">
        <f aca="false">R125*L125</f>
        <v>0</v>
      </c>
      <c r="T125" s="47" t="n">
        <f aca="false">R125*J125</f>
        <v>0</v>
      </c>
      <c r="U125" s="47" t="n">
        <f aca="false">R125*K125</f>
        <v>0</v>
      </c>
      <c r="V125" s="0" t="str">
        <f aca="false">IF(COUNTIFS($A$2:A125,A125,$C$2:C125,C125,$D$2:D125,D125)&gt;1,"중복","")</f>
        <v/>
      </c>
      <c r="W125" s="0" t="n">
        <f aca="false">IF(V125="중복",0,N(D125))</f>
        <v>82</v>
      </c>
      <c r="X125" s="0" t="n">
        <f aca="false">IF(COUNTIFS($A$2:A125,A125,$C$2:C125,C125)=1,ABS(SUMIFS(RAW_발주!$D:$D,RAW_발주!$C:$C,A125,RAW_발주!$A:$A,C125)-SUMIFS($W:$W,$A:$A,A125,$C:$C,C125)),0)</f>
        <v>0</v>
      </c>
    </row>
    <row r="126" customFormat="false" ht="15" hidden="false" customHeight="true" outlineLevel="0" collapsed="false">
      <c r="A126" s="45" t="s">
        <v>1664</v>
      </c>
      <c r="B126" s="42" t="str">
        <f aca="false">IF(A126="100","HK",IF(A126="200","CN",IF(A126="300","TW","홀세일")))</f>
        <v>홀세일</v>
      </c>
      <c r="C126" s="45" t="s">
        <v>1257</v>
      </c>
      <c r="D126" s="46" t="n">
        <v>30</v>
      </c>
      <c r="E126" s="46" t="n">
        <v>219000</v>
      </c>
      <c r="F126" s="46" t="n">
        <v>49100</v>
      </c>
      <c r="G126" s="42" t="n">
        <v>4.12</v>
      </c>
      <c r="H126" s="42" t="n">
        <v>58.2</v>
      </c>
      <c r="J126" s="46" t="n">
        <f aca="false">IF(N(E126)&gt;0,E126,IF(N(F126)&gt;0,F126*요약!$F$27,0))</f>
        <v>219000</v>
      </c>
      <c r="K126" s="46" t="n">
        <f aca="false">IF(N(F126)&gt;0,F126,IF(N(E126)&gt;0,E126/요약!$F$27,0))</f>
        <v>49100</v>
      </c>
      <c r="L126" s="46" t="n">
        <f aca="false">IF(B126="CN",IF(N(I126)&gt;0,I126*요약!$G$27,K126*(1+요약!$E$27)),IF(N(H126)&gt;0,H126*요약!$G$27,J126*요약!$D$27))</f>
        <v>76824</v>
      </c>
      <c r="M126" s="46" t="n">
        <f aca="false">D126*J126</f>
        <v>6570000</v>
      </c>
      <c r="N126" s="46" t="n">
        <f aca="false">D126*K126</f>
        <v>1473000</v>
      </c>
      <c r="O126" s="46" t="n">
        <f aca="false">D126*L126</f>
        <v>2304720</v>
      </c>
      <c r="P126" s="42" t="str">
        <f aca="false">TRIM(IF(N(E126)&lt;=0,"택가보정 ","")&amp;IF(N(F126)&lt;=0,"원가보정 ","")&amp;IF(AND(B126&lt;&gt;"CN",N(H126)&lt;=0),"공급가보정 ","")&amp;IF(AND(B126="CN",N(I126)&lt;=0),"중국공급가=원가+마진 ",""))</f>
        <v/>
      </c>
      <c r="Q126" s="47" t="n">
        <f aca="false">IF(SUMIFS($W:$W,$A:$A,A126,$C:$C,C126)=0,0,SUMIFS(RAW_판매펀칭!$K:$K,RAW_판매펀칭!$P:$P,A126,RAW_판매펀칭!$I:$I,C126)*W126/SUMIFS($W:$W,$A:$A,A126,$C:$C,C126))</f>
        <v>0</v>
      </c>
      <c r="R126" s="47" t="n">
        <f aca="false">IF(OR(A126="500",A126="800",A126="810"),0,MAX(W126-Q126,0))</f>
        <v>0</v>
      </c>
      <c r="S126" s="47" t="n">
        <f aca="false">R126*L126</f>
        <v>0</v>
      </c>
      <c r="T126" s="47" t="n">
        <f aca="false">R126*J126</f>
        <v>0</v>
      </c>
      <c r="U126" s="47" t="n">
        <f aca="false">R126*K126</f>
        <v>0</v>
      </c>
      <c r="V126" s="0" t="str">
        <f aca="false">IF(COUNTIFS($A$2:A126,A126,$C$2:C126,C126,$D$2:D126,D126)&gt;1,"중복","")</f>
        <v/>
      </c>
      <c r="W126" s="0" t="n">
        <f aca="false">IF(V126="중복",0,N(D126))</f>
        <v>30</v>
      </c>
      <c r="X126" s="0" t="n">
        <f aca="false">IF(COUNTIFS($A$2:A126,A126,$C$2:C126,C126)=1,ABS(SUMIFS(RAW_발주!$D:$D,RAW_발주!$C:$C,A126,RAW_발주!$A:$A,C126)-SUMIFS($W:$W,$A:$A,A126,$C:$C,C126)),0)</f>
        <v>0</v>
      </c>
    </row>
    <row r="127" customFormat="false" ht="15" hidden="false" customHeight="true" outlineLevel="0" collapsed="false">
      <c r="A127" s="45" t="s">
        <v>1664</v>
      </c>
      <c r="B127" s="42" t="str">
        <f aca="false">IF(A127="100","HK",IF(A127="200","CN",IF(A127="300","TW","홀세일")))</f>
        <v>홀세일</v>
      </c>
      <c r="C127" s="45" t="s">
        <v>1672</v>
      </c>
      <c r="D127" s="46" t="n">
        <v>65</v>
      </c>
      <c r="E127" s="46" t="n">
        <v>249000</v>
      </c>
      <c r="F127" s="46" t="n">
        <v>53280</v>
      </c>
      <c r="G127" s="42" t="n">
        <v>3.78</v>
      </c>
      <c r="H127" s="42" t="n">
        <v>66.1</v>
      </c>
      <c r="J127" s="46" t="n">
        <f aca="false">IF(N(E127)&gt;0,E127,IF(N(F127)&gt;0,F127*요약!$F$27,0))</f>
        <v>249000</v>
      </c>
      <c r="K127" s="46" t="n">
        <f aca="false">IF(N(F127)&gt;0,F127,IF(N(E127)&gt;0,E127/요약!$F$27,0))</f>
        <v>53280</v>
      </c>
      <c r="L127" s="46" t="n">
        <f aca="false">IF(B127="CN",IF(N(I127)&gt;0,I127*요약!$G$27,K127*(1+요약!$E$27)),IF(N(H127)&gt;0,H127*요약!$G$27,J127*요약!$D$27))</f>
        <v>87252</v>
      </c>
      <c r="M127" s="46" t="n">
        <f aca="false">D127*J127</f>
        <v>16185000</v>
      </c>
      <c r="N127" s="46" t="n">
        <f aca="false">D127*K127</f>
        <v>3463200</v>
      </c>
      <c r="O127" s="46" t="n">
        <f aca="false">D127*L127</f>
        <v>5671380</v>
      </c>
      <c r="P127" s="42" t="str">
        <f aca="false">TRIM(IF(N(E127)&lt;=0,"택가보정 ","")&amp;IF(N(F127)&lt;=0,"원가보정 ","")&amp;IF(AND(B127&lt;&gt;"CN",N(H127)&lt;=0),"공급가보정 ","")&amp;IF(AND(B127="CN",N(I127)&lt;=0),"중국공급가=원가+마진 ",""))</f>
        <v/>
      </c>
      <c r="Q127" s="47" t="n">
        <f aca="false">IF(SUMIFS($W:$W,$A:$A,A127,$C:$C,C127)=0,0,SUMIFS(RAW_판매펀칭!$K:$K,RAW_판매펀칭!$P:$P,A127,RAW_판매펀칭!$I:$I,C127)*W127/SUMIFS($W:$W,$A:$A,A127,$C:$C,C127))</f>
        <v>0</v>
      </c>
      <c r="R127" s="47" t="n">
        <f aca="false">IF(OR(A127="500",A127="800",A127="810"),0,MAX(W127-Q127,0))</f>
        <v>0</v>
      </c>
      <c r="S127" s="47" t="n">
        <f aca="false">R127*L127</f>
        <v>0</v>
      </c>
      <c r="T127" s="47" t="n">
        <f aca="false">R127*J127</f>
        <v>0</v>
      </c>
      <c r="U127" s="47" t="n">
        <f aca="false">R127*K127</f>
        <v>0</v>
      </c>
      <c r="V127" s="0" t="str">
        <f aca="false">IF(COUNTIFS($A$2:A127,A127,$C$2:C127,C127,$D$2:D127,D127)&gt;1,"중복","")</f>
        <v/>
      </c>
      <c r="W127" s="0" t="n">
        <f aca="false">IF(V127="중복",0,N(D127))</f>
        <v>65</v>
      </c>
      <c r="X127" s="0" t="n">
        <f aca="false">IF(COUNTIFS($A$2:A127,A127,$C$2:C127,C127)=1,ABS(SUMIFS(RAW_발주!$D:$D,RAW_발주!$C:$C,A127,RAW_발주!$A:$A,C127)-SUMIFS($W:$W,$A:$A,A127,$C:$C,C127)),0)</f>
        <v>0</v>
      </c>
    </row>
    <row r="128" customFormat="false" ht="15" hidden="false" customHeight="true" outlineLevel="0" collapsed="false">
      <c r="A128" s="45" t="s">
        <v>1659</v>
      </c>
      <c r="B128" s="42" t="str">
        <f aca="false">IF(A128="100","HK",IF(A128="200","CN",IF(A128="300","TW","홀세일")))</f>
        <v>HK</v>
      </c>
      <c r="C128" s="45" t="s">
        <v>162</v>
      </c>
      <c r="D128" s="46" t="n">
        <v>550</v>
      </c>
      <c r="E128" s="46" t="n">
        <v>199000</v>
      </c>
      <c r="F128" s="46" t="n">
        <v>38120</v>
      </c>
      <c r="G128" s="42" t="n">
        <v>4.28</v>
      </c>
      <c r="H128" s="42" t="n">
        <v>52.9</v>
      </c>
      <c r="J128" s="46" t="n">
        <f aca="false">IF(N(E128)&gt;0,E128,IF(N(F128)&gt;0,F128*요약!$F$27,0))</f>
        <v>199000</v>
      </c>
      <c r="K128" s="46" t="n">
        <f aca="false">IF(N(F128)&gt;0,F128,IF(N(E128)&gt;0,E128/요약!$F$27,0))</f>
        <v>38120</v>
      </c>
      <c r="L128" s="46" t="n">
        <f aca="false">IF(B128="CN",IF(N(I128)&gt;0,I128*요약!$G$27,K128*(1+요약!$E$27)),IF(N(H128)&gt;0,H128*요약!$G$27,J128*요약!$D$27))</f>
        <v>69828</v>
      </c>
      <c r="M128" s="46" t="n">
        <f aca="false">D128*J128</f>
        <v>109450000</v>
      </c>
      <c r="N128" s="46" t="n">
        <f aca="false">D128*K128</f>
        <v>20966000</v>
      </c>
      <c r="O128" s="46" t="n">
        <f aca="false">D128*L128</f>
        <v>38405400</v>
      </c>
      <c r="P128" s="42" t="str">
        <f aca="false">TRIM(IF(N(E128)&lt;=0,"택가보정 ","")&amp;IF(N(F128)&lt;=0,"원가보정 ","")&amp;IF(AND(B128&lt;&gt;"CN",N(H128)&lt;=0),"공급가보정 ","")&amp;IF(AND(B128="CN",N(I128)&lt;=0),"중국공급가=원가+마진 ",""))</f>
        <v/>
      </c>
      <c r="Q128" s="47" t="n">
        <f aca="false">IF(SUMIFS($W:$W,$A:$A,A128,$C:$C,C128)=0,0,SUMIFS(RAW_판매펀칭!$K:$K,RAW_판매펀칭!$P:$P,A128,RAW_판매펀칭!$I:$I,C128)*W128/SUMIFS($W:$W,$A:$A,A128,$C:$C,C128))</f>
        <v>550</v>
      </c>
      <c r="R128" s="47" t="n">
        <f aca="false">IF(OR(A128="500",A128="800",A128="810"),0,MAX(W128-Q128,0))</f>
        <v>0</v>
      </c>
      <c r="S128" s="47" t="n">
        <f aca="false">R128*L128</f>
        <v>0</v>
      </c>
      <c r="T128" s="47" t="n">
        <f aca="false">R128*J128</f>
        <v>0</v>
      </c>
      <c r="U128" s="47" t="n">
        <f aca="false">R128*K128</f>
        <v>0</v>
      </c>
      <c r="V128" s="0" t="str">
        <f aca="false">IF(COUNTIFS($A$2:A128,A128,$C$2:C128,C128,$D$2:D128,D128)&gt;1,"중복","")</f>
        <v/>
      </c>
      <c r="W128" s="0" t="n">
        <f aca="false">IF(V128="중복",0,N(D128))</f>
        <v>550</v>
      </c>
      <c r="X128" s="0" t="n">
        <f aca="false">IF(COUNTIFS($A$2:A128,A128,$C$2:C128,C128)=1,ABS(SUMIFS(RAW_발주!$D:$D,RAW_발주!$C:$C,A128,RAW_발주!$A:$A,C128)-SUMIFS($W:$W,$A:$A,A128,$C:$C,C128)),0)</f>
        <v>0</v>
      </c>
    </row>
    <row r="129" customFormat="false" ht="15.75" hidden="false" customHeight="true" outlineLevel="0" collapsed="false">
      <c r="A129" s="45" t="s">
        <v>1660</v>
      </c>
      <c r="B129" s="42" t="str">
        <f aca="false">IF(A129="100","HK",IF(A129="200","CN",IF(A129="300","TW","홀세일")))</f>
        <v>CN</v>
      </c>
      <c r="C129" s="45" t="s">
        <v>162</v>
      </c>
      <c r="D129" s="46" t="n">
        <v>262</v>
      </c>
      <c r="E129" s="46" t="n">
        <v>199000</v>
      </c>
      <c r="F129" s="46" t="n">
        <v>38120</v>
      </c>
      <c r="G129" s="42" t="n">
        <v>4.28</v>
      </c>
      <c r="H129" s="42" t="n">
        <v>52.9</v>
      </c>
      <c r="J129" s="46" t="n">
        <f aca="false">IF(N(E129)&gt;0,E129,IF(N(F129)&gt;0,F129*요약!$F$27,0))</f>
        <v>199000</v>
      </c>
      <c r="K129" s="46" t="n">
        <f aca="false">IF(N(F129)&gt;0,F129,IF(N(E129)&gt;0,E129/요약!$F$27,0))</f>
        <v>38120</v>
      </c>
      <c r="L129" s="46" t="n">
        <f aca="false">IF(B129="CN",IF(N(I129)&gt;0,I129*요약!$G$27,K129*(1+요약!$E$27)),IF(N(H129)&gt;0,H129*요약!$G$27,J129*요약!$D$27))</f>
        <v>40026</v>
      </c>
      <c r="M129" s="46" t="n">
        <f aca="false">D129*J129</f>
        <v>52138000</v>
      </c>
      <c r="N129" s="46" t="n">
        <f aca="false">D129*K129</f>
        <v>9987440</v>
      </c>
      <c r="O129" s="46" t="n">
        <f aca="false">D129*L129</f>
        <v>10486812</v>
      </c>
      <c r="P129" s="42" t="str">
        <f aca="false">TRIM(IF(N(E129)&lt;=0,"택가보정 ","")&amp;IF(N(F129)&lt;=0,"원가보정 ","")&amp;IF(AND(B129&lt;&gt;"CN",N(H129)&lt;=0),"공급가보정 ","")&amp;IF(AND(B129="CN",N(I129)&lt;=0),"중국공급가=원가+마진 ",""))</f>
        <v>중국공급가=원가+마진</v>
      </c>
      <c r="Q129" s="47" t="n">
        <f aca="false">IF(SUMIFS($W:$W,$A:$A,A129,$C:$C,C129)=0,0,SUMIFS(RAW_판매펀칭!$K:$K,RAW_판매펀칭!$P:$P,A129,RAW_판매펀칭!$I:$I,C129)*W129/SUMIFS($W:$W,$A:$A,A129,$C:$C,C129))</f>
        <v>260</v>
      </c>
      <c r="R129" s="47" t="n">
        <f aca="false">IF(OR(A129="500",A129="800",A129="810"),0,MAX(W129-Q129,0))</f>
        <v>2</v>
      </c>
      <c r="S129" s="47" t="n">
        <f aca="false">R129*L129</f>
        <v>80052</v>
      </c>
      <c r="T129" s="47" t="n">
        <f aca="false">R129*J129</f>
        <v>398000</v>
      </c>
      <c r="U129" s="47" t="n">
        <f aca="false">R129*K129</f>
        <v>76240</v>
      </c>
      <c r="V129" s="0" t="str">
        <f aca="false">IF(COUNTIFS($A$2:A129,A129,$C$2:C129,C129,$D$2:D129,D129)&gt;1,"중복","")</f>
        <v/>
      </c>
      <c r="W129" s="0" t="n">
        <f aca="false">IF(V129="중복",0,N(D129))</f>
        <v>262</v>
      </c>
      <c r="X129" s="0" t="n">
        <f aca="false">IF(COUNTIFS($A$2:A129,A129,$C$2:C129,C129)=1,ABS(SUMIFS(RAW_발주!$D:$D,RAW_발주!$C:$C,A129,RAW_발주!$A:$A,C129)-SUMIFS($W:$W,$A:$A,A129,$C:$C,C129)),0)</f>
        <v>0</v>
      </c>
    </row>
    <row r="130" customFormat="false" ht="15" hidden="false" customHeight="true" outlineLevel="0" collapsed="false">
      <c r="A130" s="45" t="s">
        <v>1661</v>
      </c>
      <c r="B130" s="42" t="str">
        <f aca="false">IF(A130="100","HK",IF(A130="200","CN",IF(A130="300","TW","홀세일")))</f>
        <v>TW</v>
      </c>
      <c r="C130" s="45" t="s">
        <v>162</v>
      </c>
      <c r="D130" s="46" t="n">
        <v>80</v>
      </c>
      <c r="E130" s="46" t="n">
        <v>199000</v>
      </c>
      <c r="F130" s="46" t="n">
        <v>38120</v>
      </c>
      <c r="G130" s="42" t="n">
        <v>4.28</v>
      </c>
      <c r="H130" s="42" t="n">
        <v>52.9</v>
      </c>
      <c r="J130" s="46" t="n">
        <f aca="false">IF(N(E130)&gt;0,E130,IF(N(F130)&gt;0,F130*요약!$F$27,0))</f>
        <v>199000</v>
      </c>
      <c r="K130" s="46" t="n">
        <f aca="false">IF(N(F130)&gt;0,F130,IF(N(E130)&gt;0,E130/요약!$F$27,0))</f>
        <v>38120</v>
      </c>
      <c r="L130" s="46" t="n">
        <f aca="false">IF(B130="CN",IF(N(I130)&gt;0,I130*요약!$G$27,K130*(1+요약!$E$27)),IF(N(H130)&gt;0,H130*요약!$G$27,J130*요약!$D$27))</f>
        <v>69828</v>
      </c>
      <c r="M130" s="46" t="n">
        <f aca="false">D130*J130</f>
        <v>15920000</v>
      </c>
      <c r="N130" s="46" t="n">
        <f aca="false">D130*K130</f>
        <v>3049600</v>
      </c>
      <c r="O130" s="46" t="n">
        <f aca="false">D130*L130</f>
        <v>5586240</v>
      </c>
      <c r="P130" s="42" t="str">
        <f aca="false">TRIM(IF(N(E130)&lt;=0,"택가보정 ","")&amp;IF(N(F130)&lt;=0,"원가보정 ","")&amp;IF(AND(B130&lt;&gt;"CN",N(H130)&lt;=0),"공급가보정 ","")&amp;IF(AND(B130="CN",N(I130)&lt;=0),"중국공급가=원가+마진 ",""))</f>
        <v/>
      </c>
      <c r="Q130" s="47" t="n">
        <f aca="false">IF(SUMIFS($W:$W,$A:$A,A130,$C:$C,C130)=0,0,SUMIFS(RAW_판매펀칭!$K:$K,RAW_판매펀칭!$P:$P,A130,RAW_판매펀칭!$I:$I,C130)*W130/SUMIFS($W:$W,$A:$A,A130,$C:$C,C130))</f>
        <v>80</v>
      </c>
      <c r="R130" s="47" t="n">
        <f aca="false">IF(OR(A130="500",A130="800",A130="810"),0,MAX(W130-Q130,0))</f>
        <v>0</v>
      </c>
      <c r="S130" s="47" t="n">
        <f aca="false">R130*L130</f>
        <v>0</v>
      </c>
      <c r="T130" s="47" t="n">
        <f aca="false">R130*J130</f>
        <v>0</v>
      </c>
      <c r="U130" s="47" t="n">
        <f aca="false">R130*K130</f>
        <v>0</v>
      </c>
      <c r="V130" s="0" t="str">
        <f aca="false">IF(COUNTIFS($A$2:A130,A130,$C$2:C130,C130,$D$2:D130,D130)&gt;1,"중복","")</f>
        <v/>
      </c>
      <c r="W130" s="0" t="n">
        <f aca="false">IF(V130="중복",0,N(D130))</f>
        <v>80</v>
      </c>
      <c r="X130" s="0" t="n">
        <f aca="false">IF(COUNTIFS($A$2:A130,A130,$C$2:C130,C130)=1,ABS(SUMIFS(RAW_발주!$D:$D,RAW_발주!$C:$C,A130,RAW_발주!$A:$A,C130)-SUMIFS($W:$W,$A:$A,A130,$C:$C,C130)),0)</f>
        <v>0</v>
      </c>
    </row>
    <row r="131" customFormat="false" ht="15" hidden="false" customHeight="true" outlineLevel="0" collapsed="false">
      <c r="A131" s="45" t="s">
        <v>1663</v>
      </c>
      <c r="B131" s="42" t="str">
        <f aca="false">IF(A131="100","HK",IF(A131="200","CN",IF(A131="300","TW","홀세일")))</f>
        <v>홀세일</v>
      </c>
      <c r="C131" s="45" t="s">
        <v>162</v>
      </c>
      <c r="D131" s="46" t="n">
        <v>25</v>
      </c>
      <c r="E131" s="46" t="n">
        <v>199000</v>
      </c>
      <c r="F131" s="46" t="n">
        <v>38120</v>
      </c>
      <c r="G131" s="42" t="n">
        <v>4.28</v>
      </c>
      <c r="H131" s="42" t="n">
        <v>52.9</v>
      </c>
      <c r="J131" s="46" t="n">
        <f aca="false">IF(N(E131)&gt;0,E131,IF(N(F131)&gt;0,F131*요약!$F$27,0))</f>
        <v>199000</v>
      </c>
      <c r="K131" s="46" t="n">
        <f aca="false">IF(N(F131)&gt;0,F131,IF(N(E131)&gt;0,E131/요약!$F$27,0))</f>
        <v>38120</v>
      </c>
      <c r="L131" s="46" t="n">
        <f aca="false">IF(B131="CN",IF(N(I131)&gt;0,I131*요약!$G$27,K131*(1+요약!$E$27)),IF(N(H131)&gt;0,H131*요약!$G$27,J131*요약!$D$27))</f>
        <v>69828</v>
      </c>
      <c r="M131" s="46" t="n">
        <f aca="false">D131*J131</f>
        <v>4975000</v>
      </c>
      <c r="N131" s="46" t="n">
        <f aca="false">D131*K131</f>
        <v>953000</v>
      </c>
      <c r="O131" s="46" t="n">
        <f aca="false">D131*L131</f>
        <v>1745700</v>
      </c>
      <c r="P131" s="42" t="str">
        <f aca="false">TRIM(IF(N(E131)&lt;=0,"택가보정 ","")&amp;IF(N(F131)&lt;=0,"원가보정 ","")&amp;IF(AND(B131&lt;&gt;"CN",N(H131)&lt;=0),"공급가보정 ","")&amp;IF(AND(B131="CN",N(I131)&lt;=0),"중국공급가=원가+마진 ",""))</f>
        <v/>
      </c>
      <c r="Q131" s="47" t="n">
        <f aca="false">IF(SUMIFS($W:$W,$A:$A,A131,$C:$C,C131)=0,0,SUMIFS(RAW_판매펀칭!$K:$K,RAW_판매펀칭!$P:$P,A131,RAW_판매펀칭!$I:$I,C131)*W131/SUMIFS($W:$W,$A:$A,A131,$C:$C,C131))</f>
        <v>25</v>
      </c>
      <c r="R131" s="47" t="n">
        <f aca="false">IF(OR(A131="500",A131="800",A131="810"),0,MAX(W131-Q131,0))</f>
        <v>0</v>
      </c>
      <c r="S131" s="47" t="n">
        <f aca="false">R131*L131</f>
        <v>0</v>
      </c>
      <c r="T131" s="47" t="n">
        <f aca="false">R131*J131</f>
        <v>0</v>
      </c>
      <c r="U131" s="47" t="n">
        <f aca="false">R131*K131</f>
        <v>0</v>
      </c>
      <c r="V131" s="0" t="str">
        <f aca="false">IF(COUNTIFS($A$2:A131,A131,$C$2:C131,C131,$D$2:D131,D131)&gt;1,"중복","")</f>
        <v/>
      </c>
      <c r="W131" s="0" t="n">
        <f aca="false">IF(V131="중복",0,N(D131))</f>
        <v>25</v>
      </c>
      <c r="X131" s="0" t="n">
        <f aca="false">IF(COUNTIFS($A$2:A131,A131,$C$2:C131,C131)=1,ABS(SUMIFS(RAW_발주!$D:$D,RAW_발주!$C:$C,A131,RAW_발주!$A:$A,C131)-SUMIFS($W:$W,$A:$A,A131,$C:$C,C131)),0)</f>
        <v>0</v>
      </c>
    </row>
    <row r="132" customFormat="false" ht="15" hidden="false" customHeight="true" outlineLevel="0" collapsed="false">
      <c r="A132" s="45" t="s">
        <v>1667</v>
      </c>
      <c r="B132" s="42" t="str">
        <f aca="false">IF(A132="100","HK",IF(A132="200","CN",IF(A132="300","TW","홀세일")))</f>
        <v>홀세일</v>
      </c>
      <c r="C132" s="45" t="s">
        <v>162</v>
      </c>
      <c r="D132" s="46" t="n">
        <v>41</v>
      </c>
      <c r="E132" s="46" t="n">
        <v>199000</v>
      </c>
      <c r="F132" s="46" t="n">
        <v>38120</v>
      </c>
      <c r="G132" s="42" t="n">
        <v>4.28</v>
      </c>
      <c r="H132" s="42" t="n">
        <v>52.9</v>
      </c>
      <c r="J132" s="46" t="n">
        <f aca="false">IF(N(E132)&gt;0,E132,IF(N(F132)&gt;0,F132*요약!$F$27,0))</f>
        <v>199000</v>
      </c>
      <c r="K132" s="46" t="n">
        <f aca="false">IF(N(F132)&gt;0,F132,IF(N(E132)&gt;0,E132/요약!$F$27,0))</f>
        <v>38120</v>
      </c>
      <c r="L132" s="46" t="n">
        <f aca="false">IF(B132="CN",IF(N(I132)&gt;0,I132*요약!$G$27,K132*(1+요약!$E$27)),IF(N(H132)&gt;0,H132*요약!$G$27,J132*요약!$D$27))</f>
        <v>69828</v>
      </c>
      <c r="M132" s="46" t="n">
        <f aca="false">D132*J132</f>
        <v>8159000</v>
      </c>
      <c r="N132" s="46" t="n">
        <f aca="false">D132*K132</f>
        <v>1562920</v>
      </c>
      <c r="O132" s="46" t="n">
        <f aca="false">D132*L132</f>
        <v>2862948</v>
      </c>
      <c r="P132" s="42" t="str">
        <f aca="false">TRIM(IF(N(E132)&lt;=0,"택가보정 ","")&amp;IF(N(F132)&lt;=0,"원가보정 ","")&amp;IF(AND(B132&lt;&gt;"CN",N(H132)&lt;=0),"공급가보정 ","")&amp;IF(AND(B132="CN",N(I132)&lt;=0),"중국공급가=원가+마진 ",""))</f>
        <v/>
      </c>
      <c r="Q132" s="47" t="n">
        <f aca="false">IF(SUMIFS($W:$W,$A:$A,A132,$C:$C,C132)=0,0,SUMIFS(RAW_판매펀칭!$K:$K,RAW_판매펀칭!$P:$P,A132,RAW_판매펀칭!$I:$I,C132)*W132/SUMIFS($W:$W,$A:$A,A132,$C:$C,C132))</f>
        <v>41</v>
      </c>
      <c r="R132" s="47" t="n">
        <f aca="false">IF(OR(A132="500",A132="800",A132="810"),0,MAX(W132-Q132,0))</f>
        <v>0</v>
      </c>
      <c r="S132" s="47" t="n">
        <f aca="false">R132*L132</f>
        <v>0</v>
      </c>
      <c r="T132" s="47" t="n">
        <f aca="false">R132*J132</f>
        <v>0</v>
      </c>
      <c r="U132" s="47" t="n">
        <f aca="false">R132*K132</f>
        <v>0</v>
      </c>
      <c r="V132" s="0" t="str">
        <f aca="false">IF(COUNTIFS($A$2:A132,A132,$C$2:C132,C132,$D$2:D132,D132)&gt;1,"중복","")</f>
        <v/>
      </c>
      <c r="W132" s="0" t="n">
        <f aca="false">IF(V132="중복",0,N(D132))</f>
        <v>41</v>
      </c>
      <c r="X132" s="0" t="n">
        <f aca="false">IF(COUNTIFS($A$2:A132,A132,$C$2:C132,C132)=1,ABS(SUMIFS(RAW_발주!$D:$D,RAW_발주!$C:$C,A132,RAW_발주!$A:$A,C132)-SUMIFS($W:$W,$A:$A,A132,$C:$C,C132)),0)</f>
        <v>0</v>
      </c>
    </row>
    <row r="133" customFormat="false" ht="15" hidden="false" customHeight="true" outlineLevel="0" collapsed="false">
      <c r="A133" s="45" t="s">
        <v>1659</v>
      </c>
      <c r="B133" s="42" t="str">
        <f aca="false">IF(A133="100","HK",IF(A133="200","CN",IF(A133="300","TW","홀세일")))</f>
        <v>HK</v>
      </c>
      <c r="C133" s="45" t="s">
        <v>164</v>
      </c>
      <c r="D133" s="46" t="n">
        <v>300</v>
      </c>
      <c r="E133" s="46" t="n">
        <v>189000</v>
      </c>
      <c r="F133" s="46" t="n">
        <v>39100</v>
      </c>
      <c r="G133" s="42" t="n">
        <v>4.24</v>
      </c>
      <c r="H133" s="42" t="n">
        <v>50.2</v>
      </c>
      <c r="J133" s="46" t="n">
        <f aca="false">IF(N(E133)&gt;0,E133,IF(N(F133)&gt;0,F133*요약!$F$27,0))</f>
        <v>189000</v>
      </c>
      <c r="K133" s="46" t="n">
        <f aca="false">IF(N(F133)&gt;0,F133,IF(N(E133)&gt;0,E133/요약!$F$27,0))</f>
        <v>39100</v>
      </c>
      <c r="L133" s="46" t="n">
        <f aca="false">IF(B133="CN",IF(N(I133)&gt;0,I133*요약!$G$27,K133*(1+요약!$E$27)),IF(N(H133)&gt;0,H133*요약!$G$27,J133*요약!$D$27))</f>
        <v>66264</v>
      </c>
      <c r="M133" s="46" t="n">
        <f aca="false">D133*J133</f>
        <v>56700000</v>
      </c>
      <c r="N133" s="46" t="n">
        <f aca="false">D133*K133</f>
        <v>11730000</v>
      </c>
      <c r="O133" s="46" t="n">
        <f aca="false">D133*L133</f>
        <v>19879200</v>
      </c>
      <c r="P133" s="42" t="str">
        <f aca="false">TRIM(IF(N(E133)&lt;=0,"택가보정 ","")&amp;IF(N(F133)&lt;=0,"원가보정 ","")&amp;IF(AND(B133&lt;&gt;"CN",N(H133)&lt;=0),"공급가보정 ","")&amp;IF(AND(B133="CN",N(I133)&lt;=0),"중국공급가=원가+마진 ",""))</f>
        <v/>
      </c>
      <c r="Q133" s="47" t="n">
        <f aca="false">IF(SUMIFS($W:$W,$A:$A,A133,$C:$C,C133)=0,0,SUMIFS(RAW_판매펀칭!$K:$K,RAW_판매펀칭!$P:$P,A133,RAW_판매펀칭!$I:$I,C133)*W133/SUMIFS($W:$W,$A:$A,A133,$C:$C,C133))</f>
        <v>300</v>
      </c>
      <c r="R133" s="47" t="n">
        <f aca="false">IF(OR(A133="500",A133="800",A133="810"),0,MAX(W133-Q133,0))</f>
        <v>0</v>
      </c>
      <c r="S133" s="47" t="n">
        <f aca="false">R133*L133</f>
        <v>0</v>
      </c>
      <c r="T133" s="47" t="n">
        <f aca="false">R133*J133</f>
        <v>0</v>
      </c>
      <c r="U133" s="47" t="n">
        <f aca="false">R133*K133</f>
        <v>0</v>
      </c>
      <c r="V133" s="0" t="str">
        <f aca="false">IF(COUNTIFS($A$2:A133,A133,$C$2:C133,C133,$D$2:D133,D133)&gt;1,"중복","")</f>
        <v/>
      </c>
      <c r="W133" s="0" t="n">
        <f aca="false">IF(V133="중복",0,N(D133))</f>
        <v>300</v>
      </c>
      <c r="X133" s="0" t="n">
        <f aca="false">IF(COUNTIFS($A$2:A133,A133,$C$2:C133,C133)=1,ABS(SUMIFS(RAW_발주!$D:$D,RAW_발주!$C:$C,A133,RAW_발주!$A:$A,C133)-SUMIFS($W:$W,$A:$A,A133,$C:$C,C133)),0)</f>
        <v>0</v>
      </c>
    </row>
    <row r="134" customFormat="false" ht="15" hidden="false" customHeight="true" outlineLevel="0" collapsed="false">
      <c r="A134" s="45" t="s">
        <v>1661</v>
      </c>
      <c r="B134" s="42" t="str">
        <f aca="false">IF(A134="100","HK",IF(A134="200","CN",IF(A134="300","TW","홀세일")))</f>
        <v>TW</v>
      </c>
      <c r="C134" s="45" t="s">
        <v>164</v>
      </c>
      <c r="D134" s="46" t="n">
        <v>60</v>
      </c>
      <c r="E134" s="46" t="n">
        <v>189000</v>
      </c>
      <c r="F134" s="46" t="n">
        <v>39100</v>
      </c>
      <c r="G134" s="42" t="n">
        <v>4.24</v>
      </c>
      <c r="H134" s="42" t="n">
        <v>50.2</v>
      </c>
      <c r="J134" s="46" t="n">
        <f aca="false">IF(N(E134)&gt;0,E134,IF(N(F134)&gt;0,F134*요약!$F$27,0))</f>
        <v>189000</v>
      </c>
      <c r="K134" s="46" t="n">
        <f aca="false">IF(N(F134)&gt;0,F134,IF(N(E134)&gt;0,E134/요약!$F$27,0))</f>
        <v>39100</v>
      </c>
      <c r="L134" s="46" t="n">
        <f aca="false">IF(B134="CN",IF(N(I134)&gt;0,I134*요약!$G$27,K134*(1+요약!$E$27)),IF(N(H134)&gt;0,H134*요약!$G$27,J134*요약!$D$27))</f>
        <v>66264</v>
      </c>
      <c r="M134" s="46" t="n">
        <f aca="false">D134*J134</f>
        <v>11340000</v>
      </c>
      <c r="N134" s="46" t="n">
        <f aca="false">D134*K134</f>
        <v>2346000</v>
      </c>
      <c r="O134" s="46" t="n">
        <f aca="false">D134*L134</f>
        <v>3975840</v>
      </c>
      <c r="P134" s="42" t="str">
        <f aca="false">TRIM(IF(N(E134)&lt;=0,"택가보정 ","")&amp;IF(N(F134)&lt;=0,"원가보정 ","")&amp;IF(AND(B134&lt;&gt;"CN",N(H134)&lt;=0),"공급가보정 ","")&amp;IF(AND(B134="CN",N(I134)&lt;=0),"중국공급가=원가+마진 ",""))</f>
        <v/>
      </c>
      <c r="Q134" s="47" t="n">
        <f aca="false">IF(SUMIFS($W:$W,$A:$A,A134,$C:$C,C134)=0,0,SUMIFS(RAW_판매펀칭!$K:$K,RAW_판매펀칭!$P:$P,A134,RAW_판매펀칭!$I:$I,C134)*W134/SUMIFS($W:$W,$A:$A,A134,$C:$C,C134))</f>
        <v>60</v>
      </c>
      <c r="R134" s="47" t="n">
        <f aca="false">IF(OR(A134="500",A134="800",A134="810"),0,MAX(W134-Q134,0))</f>
        <v>0</v>
      </c>
      <c r="S134" s="47" t="n">
        <f aca="false">R134*L134</f>
        <v>0</v>
      </c>
      <c r="T134" s="47" t="n">
        <f aca="false">R134*J134</f>
        <v>0</v>
      </c>
      <c r="U134" s="47" t="n">
        <f aca="false">R134*K134</f>
        <v>0</v>
      </c>
      <c r="V134" s="0" t="str">
        <f aca="false">IF(COUNTIFS($A$2:A134,A134,$C$2:C134,C134,$D$2:D134,D134)&gt;1,"중복","")</f>
        <v/>
      </c>
      <c r="W134" s="0" t="n">
        <f aca="false">IF(V134="중복",0,N(D134))</f>
        <v>60</v>
      </c>
      <c r="X134" s="0" t="n">
        <f aca="false">IF(COUNTIFS($A$2:A134,A134,$C$2:C134,C134)=1,ABS(SUMIFS(RAW_발주!$D:$D,RAW_발주!$C:$C,A134,RAW_발주!$A:$A,C134)-SUMIFS($W:$W,$A:$A,A134,$C:$C,C134)),0)</f>
        <v>0</v>
      </c>
    </row>
    <row r="135" customFormat="false" ht="15" hidden="false" customHeight="true" outlineLevel="0" collapsed="false">
      <c r="A135" s="45" t="s">
        <v>1667</v>
      </c>
      <c r="B135" s="42" t="str">
        <f aca="false">IF(A135="100","HK",IF(A135="200","CN",IF(A135="300","TW","홀세일")))</f>
        <v>홀세일</v>
      </c>
      <c r="C135" s="45" t="s">
        <v>164</v>
      </c>
      <c r="D135" s="46" t="n">
        <v>46</v>
      </c>
      <c r="E135" s="46" t="n">
        <v>189000</v>
      </c>
      <c r="F135" s="46" t="n">
        <v>39100</v>
      </c>
      <c r="G135" s="42" t="n">
        <v>4.24</v>
      </c>
      <c r="H135" s="42" t="n">
        <v>50.2</v>
      </c>
      <c r="J135" s="46" t="n">
        <f aca="false">IF(N(E135)&gt;0,E135,IF(N(F135)&gt;0,F135*요약!$F$27,0))</f>
        <v>189000</v>
      </c>
      <c r="K135" s="46" t="n">
        <f aca="false">IF(N(F135)&gt;0,F135,IF(N(E135)&gt;0,E135/요약!$F$27,0))</f>
        <v>39100</v>
      </c>
      <c r="L135" s="46" t="n">
        <f aca="false">IF(B135="CN",IF(N(I135)&gt;0,I135*요약!$G$27,K135*(1+요약!$E$27)),IF(N(H135)&gt;0,H135*요약!$G$27,J135*요약!$D$27))</f>
        <v>66264</v>
      </c>
      <c r="M135" s="46" t="n">
        <f aca="false">D135*J135</f>
        <v>8694000</v>
      </c>
      <c r="N135" s="46" t="n">
        <f aca="false">D135*K135</f>
        <v>1798600</v>
      </c>
      <c r="O135" s="46" t="n">
        <f aca="false">D135*L135</f>
        <v>3048144</v>
      </c>
      <c r="P135" s="42" t="str">
        <f aca="false">TRIM(IF(N(E135)&lt;=0,"택가보정 ","")&amp;IF(N(F135)&lt;=0,"원가보정 ","")&amp;IF(AND(B135&lt;&gt;"CN",N(H135)&lt;=0),"공급가보정 ","")&amp;IF(AND(B135="CN",N(I135)&lt;=0),"중국공급가=원가+마진 ",""))</f>
        <v/>
      </c>
      <c r="Q135" s="47" t="n">
        <f aca="false">IF(SUMIFS($W:$W,$A:$A,A135,$C:$C,C135)=0,0,SUMIFS(RAW_판매펀칭!$K:$K,RAW_판매펀칭!$P:$P,A135,RAW_판매펀칭!$I:$I,C135)*W135/SUMIFS($W:$W,$A:$A,A135,$C:$C,C135))</f>
        <v>46</v>
      </c>
      <c r="R135" s="47" t="n">
        <f aca="false">IF(OR(A135="500",A135="800",A135="810"),0,MAX(W135-Q135,0))</f>
        <v>0</v>
      </c>
      <c r="S135" s="47" t="n">
        <f aca="false">R135*L135</f>
        <v>0</v>
      </c>
      <c r="T135" s="47" t="n">
        <f aca="false">R135*J135</f>
        <v>0</v>
      </c>
      <c r="U135" s="47" t="n">
        <f aca="false">R135*K135</f>
        <v>0</v>
      </c>
      <c r="V135" s="0" t="str">
        <f aca="false">IF(COUNTIFS($A$2:A135,A135,$C$2:C135,C135,$D$2:D135,D135)&gt;1,"중복","")</f>
        <v/>
      </c>
      <c r="W135" s="0" t="n">
        <f aca="false">IF(V135="중복",0,N(D135))</f>
        <v>46</v>
      </c>
      <c r="X135" s="0" t="n">
        <f aca="false">IF(COUNTIFS($A$2:A135,A135,$C$2:C135,C135)=1,ABS(SUMIFS(RAW_발주!$D:$D,RAW_발주!$C:$C,A135,RAW_발주!$A:$A,C135)-SUMIFS($W:$W,$A:$A,A135,$C:$C,C135)),0)</f>
        <v>0</v>
      </c>
    </row>
    <row r="136" customFormat="false" ht="15" hidden="false" customHeight="true" outlineLevel="0" collapsed="false">
      <c r="A136" s="45" t="s">
        <v>1661</v>
      </c>
      <c r="B136" s="42" t="str">
        <f aca="false">IF(A136="100","HK",IF(A136="200","CN",IF(A136="300","TW","홀세일")))</f>
        <v>TW</v>
      </c>
      <c r="C136" s="45" t="s">
        <v>166</v>
      </c>
      <c r="D136" s="46" t="n">
        <v>80</v>
      </c>
      <c r="E136" s="46" t="n">
        <v>179000</v>
      </c>
      <c r="F136" s="46" t="n">
        <v>37700</v>
      </c>
      <c r="G136" s="42" t="n">
        <v>3.89</v>
      </c>
      <c r="H136" s="42" t="n">
        <v>47.6</v>
      </c>
      <c r="J136" s="46" t="n">
        <f aca="false">IF(N(E136)&gt;0,E136,IF(N(F136)&gt;0,F136*요약!$F$27,0))</f>
        <v>179000</v>
      </c>
      <c r="K136" s="46" t="n">
        <f aca="false">IF(N(F136)&gt;0,F136,IF(N(E136)&gt;0,E136/요약!$F$27,0))</f>
        <v>37700</v>
      </c>
      <c r="L136" s="46" t="n">
        <f aca="false">IF(B136="CN",IF(N(I136)&gt;0,I136*요약!$G$27,K136*(1+요약!$E$27)),IF(N(H136)&gt;0,H136*요약!$G$27,J136*요약!$D$27))</f>
        <v>62832</v>
      </c>
      <c r="M136" s="46" t="n">
        <f aca="false">D136*J136</f>
        <v>14320000</v>
      </c>
      <c r="N136" s="46" t="n">
        <f aca="false">D136*K136</f>
        <v>3016000</v>
      </c>
      <c r="O136" s="46" t="n">
        <f aca="false">D136*L136</f>
        <v>5026560</v>
      </c>
      <c r="P136" s="42" t="str">
        <f aca="false">TRIM(IF(N(E136)&lt;=0,"택가보정 ","")&amp;IF(N(F136)&lt;=0,"원가보정 ","")&amp;IF(AND(B136&lt;&gt;"CN",N(H136)&lt;=0),"공급가보정 ","")&amp;IF(AND(B136="CN",N(I136)&lt;=0),"중국공급가=원가+마진 ",""))</f>
        <v/>
      </c>
      <c r="Q136" s="47" t="n">
        <f aca="false">IF(SUMIFS($W:$W,$A:$A,A136,$C:$C,C136)=0,0,SUMIFS(RAW_판매펀칭!$K:$K,RAW_판매펀칭!$P:$P,A136,RAW_판매펀칭!$I:$I,C136)*W136/SUMIFS($W:$W,$A:$A,A136,$C:$C,C136))</f>
        <v>80</v>
      </c>
      <c r="R136" s="47" t="n">
        <f aca="false">IF(OR(A136="500",A136="800",A136="810"),0,MAX(W136-Q136,0))</f>
        <v>0</v>
      </c>
      <c r="S136" s="47" t="n">
        <f aca="false">R136*L136</f>
        <v>0</v>
      </c>
      <c r="T136" s="47" t="n">
        <f aca="false">R136*J136</f>
        <v>0</v>
      </c>
      <c r="U136" s="47" t="n">
        <f aca="false">R136*K136</f>
        <v>0</v>
      </c>
      <c r="V136" s="0" t="str">
        <f aca="false">IF(COUNTIFS($A$2:A136,A136,$C$2:C136,C136,$D$2:D136,D136)&gt;1,"중복","")</f>
        <v/>
      </c>
      <c r="W136" s="0" t="n">
        <f aca="false">IF(V136="중복",0,N(D136))</f>
        <v>80</v>
      </c>
      <c r="X136" s="0" t="n">
        <f aca="false">IF(COUNTIFS($A$2:A136,A136,$C$2:C136,C136)=1,ABS(SUMIFS(RAW_발주!$D:$D,RAW_발주!$C:$C,A136,RAW_발주!$A:$A,C136)-SUMIFS($W:$W,$A:$A,A136,$C:$C,C136)),0)</f>
        <v>0</v>
      </c>
    </row>
    <row r="137" customFormat="false" ht="15" hidden="false" customHeight="true" outlineLevel="0" collapsed="false">
      <c r="A137" s="45" t="s">
        <v>1667</v>
      </c>
      <c r="B137" s="42" t="str">
        <f aca="false">IF(A137="100","HK",IF(A137="200","CN",IF(A137="300","TW","홀세일")))</f>
        <v>홀세일</v>
      </c>
      <c r="C137" s="45" t="s">
        <v>1405</v>
      </c>
      <c r="D137" s="46" t="n">
        <v>66</v>
      </c>
      <c r="E137" s="46" t="n">
        <v>179000</v>
      </c>
      <c r="F137" s="46" t="n">
        <v>47200</v>
      </c>
      <c r="G137" s="42" t="n">
        <v>3.12</v>
      </c>
      <c r="H137" s="42" t="n">
        <v>47.6</v>
      </c>
      <c r="J137" s="46" t="n">
        <f aca="false">IF(N(E137)&gt;0,E137,IF(N(F137)&gt;0,F137*요약!$F$27,0))</f>
        <v>179000</v>
      </c>
      <c r="K137" s="46" t="n">
        <f aca="false">IF(N(F137)&gt;0,F137,IF(N(E137)&gt;0,E137/요약!$F$27,0))</f>
        <v>47200</v>
      </c>
      <c r="L137" s="46" t="n">
        <f aca="false">IF(B137="CN",IF(N(I137)&gt;0,I137*요약!$G$27,K137*(1+요약!$E$27)),IF(N(H137)&gt;0,H137*요약!$G$27,J137*요약!$D$27))</f>
        <v>62832</v>
      </c>
      <c r="M137" s="46" t="n">
        <f aca="false">D137*J137</f>
        <v>11814000</v>
      </c>
      <c r="N137" s="46" t="n">
        <f aca="false">D137*K137</f>
        <v>3115200</v>
      </c>
      <c r="O137" s="46" t="n">
        <f aca="false">D137*L137</f>
        <v>4146912</v>
      </c>
      <c r="P137" s="42" t="str">
        <f aca="false">TRIM(IF(N(E137)&lt;=0,"택가보정 ","")&amp;IF(N(F137)&lt;=0,"원가보정 ","")&amp;IF(AND(B137&lt;&gt;"CN",N(H137)&lt;=0),"공급가보정 ","")&amp;IF(AND(B137="CN",N(I137)&lt;=0),"중국공급가=원가+마진 ",""))</f>
        <v/>
      </c>
      <c r="Q137" s="47" t="n">
        <f aca="false">IF(SUMIFS($W:$W,$A:$A,A137,$C:$C,C137)=0,0,SUMIFS(RAW_판매펀칭!$K:$K,RAW_판매펀칭!$P:$P,A137,RAW_판매펀칭!$I:$I,C137)*W137/SUMIFS($W:$W,$A:$A,A137,$C:$C,C137))</f>
        <v>66</v>
      </c>
      <c r="R137" s="47" t="n">
        <f aca="false">IF(OR(A137="500",A137="800",A137="810"),0,MAX(W137-Q137,0))</f>
        <v>0</v>
      </c>
      <c r="S137" s="47" t="n">
        <f aca="false">R137*L137</f>
        <v>0</v>
      </c>
      <c r="T137" s="47" t="n">
        <f aca="false">R137*J137</f>
        <v>0</v>
      </c>
      <c r="U137" s="47" t="n">
        <f aca="false">R137*K137</f>
        <v>0</v>
      </c>
      <c r="V137" s="0" t="str">
        <f aca="false">IF(COUNTIFS($A$2:A137,A137,$C$2:C137,C137,$D$2:D137,D137)&gt;1,"중복","")</f>
        <v/>
      </c>
      <c r="W137" s="0" t="n">
        <f aca="false">IF(V137="중복",0,N(D137))</f>
        <v>66</v>
      </c>
      <c r="X137" s="0" t="n">
        <f aca="false">IF(COUNTIFS($A$2:A137,A137,$C$2:C137,C137)=1,ABS(SUMIFS(RAW_발주!$D:$D,RAW_발주!$C:$C,A137,RAW_발주!$A:$A,C137)-SUMIFS($W:$W,$A:$A,A137,$C:$C,C137)),0)</f>
        <v>0</v>
      </c>
    </row>
    <row r="138" customFormat="false" ht="15" hidden="false" customHeight="true" outlineLevel="0" collapsed="false">
      <c r="A138" s="45" t="s">
        <v>1661</v>
      </c>
      <c r="B138" s="42" t="str">
        <f aca="false">IF(A138="100","HK",IF(A138="200","CN",IF(A138="300","TW","홀세일")))</f>
        <v>TW</v>
      </c>
      <c r="C138" s="45" t="s">
        <v>168</v>
      </c>
      <c r="D138" s="46" t="n">
        <v>160</v>
      </c>
      <c r="E138" s="46" t="n">
        <v>149000</v>
      </c>
      <c r="F138" s="46" t="n">
        <v>41700</v>
      </c>
      <c r="G138" s="42" t="n">
        <v>3.31</v>
      </c>
      <c r="H138" s="42" t="n">
        <v>39.6</v>
      </c>
      <c r="J138" s="46" t="n">
        <f aca="false">IF(N(E138)&gt;0,E138,IF(N(F138)&gt;0,F138*요약!$F$27,0))</f>
        <v>149000</v>
      </c>
      <c r="K138" s="46" t="n">
        <f aca="false">IF(N(F138)&gt;0,F138,IF(N(E138)&gt;0,E138/요약!$F$27,0))</f>
        <v>41700</v>
      </c>
      <c r="L138" s="46" t="n">
        <f aca="false">IF(B138="CN",IF(N(I138)&gt;0,I138*요약!$G$27,K138*(1+요약!$E$27)),IF(N(H138)&gt;0,H138*요약!$G$27,J138*요약!$D$27))</f>
        <v>52272</v>
      </c>
      <c r="M138" s="46" t="n">
        <f aca="false">D138*J138</f>
        <v>23840000</v>
      </c>
      <c r="N138" s="46" t="n">
        <f aca="false">D138*K138</f>
        <v>6672000</v>
      </c>
      <c r="O138" s="46" t="n">
        <f aca="false">D138*L138</f>
        <v>8363520</v>
      </c>
      <c r="P138" s="42" t="str">
        <f aca="false">TRIM(IF(N(E138)&lt;=0,"택가보정 ","")&amp;IF(N(F138)&lt;=0,"원가보정 ","")&amp;IF(AND(B138&lt;&gt;"CN",N(H138)&lt;=0),"공급가보정 ","")&amp;IF(AND(B138="CN",N(I138)&lt;=0),"중국공급가=원가+마진 ",""))</f>
        <v/>
      </c>
      <c r="Q138" s="47" t="n">
        <f aca="false">IF(SUMIFS($W:$W,$A:$A,A138,$C:$C,C138)=0,0,SUMIFS(RAW_판매펀칭!$K:$K,RAW_판매펀칭!$P:$P,A138,RAW_판매펀칭!$I:$I,C138)*W138/SUMIFS($W:$W,$A:$A,A138,$C:$C,C138))</f>
        <v>160</v>
      </c>
      <c r="R138" s="47" t="n">
        <f aca="false">IF(OR(A138="500",A138="800",A138="810"),0,MAX(W138-Q138,0))</f>
        <v>0</v>
      </c>
      <c r="S138" s="47" t="n">
        <f aca="false">R138*L138</f>
        <v>0</v>
      </c>
      <c r="T138" s="47" t="n">
        <f aca="false">R138*J138</f>
        <v>0</v>
      </c>
      <c r="U138" s="47" t="n">
        <f aca="false">R138*K138</f>
        <v>0</v>
      </c>
      <c r="V138" s="0" t="str">
        <f aca="false">IF(COUNTIFS($A$2:A138,A138,$C$2:C138,C138,$D$2:D138,D138)&gt;1,"중복","")</f>
        <v/>
      </c>
      <c r="W138" s="0" t="n">
        <f aca="false">IF(V138="중복",0,N(D138))</f>
        <v>160</v>
      </c>
      <c r="X138" s="0" t="n">
        <f aca="false">IF(COUNTIFS($A$2:A138,A138,$C$2:C138,C138)=1,ABS(SUMIFS(RAW_발주!$D:$D,RAW_발주!$C:$C,A138,RAW_발주!$A:$A,C138)-SUMIFS($W:$W,$A:$A,A138,$C:$C,C138)),0)</f>
        <v>0</v>
      </c>
    </row>
    <row r="139" customFormat="false" ht="15" hidden="false" customHeight="true" outlineLevel="0" collapsed="false">
      <c r="A139" s="45" t="s">
        <v>1659</v>
      </c>
      <c r="B139" s="42" t="str">
        <f aca="false">IF(A139="100","HK",IF(A139="200","CN",IF(A139="300","TW","홀세일")))</f>
        <v>HK</v>
      </c>
      <c r="C139" s="45" t="s">
        <v>1407</v>
      </c>
      <c r="D139" s="46" t="n">
        <v>200</v>
      </c>
      <c r="E139" s="46" t="n">
        <v>159000</v>
      </c>
      <c r="F139" s="46" t="n">
        <v>45358</v>
      </c>
      <c r="G139" s="42" t="n">
        <v>3.96</v>
      </c>
      <c r="H139" s="42" t="n">
        <v>42.2</v>
      </c>
      <c r="J139" s="46" t="n">
        <f aca="false">IF(N(E139)&gt;0,E139,IF(N(F139)&gt;0,F139*요약!$F$27,0))</f>
        <v>159000</v>
      </c>
      <c r="K139" s="46" t="n">
        <f aca="false">IF(N(F139)&gt;0,F139,IF(N(E139)&gt;0,E139/요약!$F$27,0))</f>
        <v>45358</v>
      </c>
      <c r="L139" s="46" t="n">
        <f aca="false">IF(B139="CN",IF(N(I139)&gt;0,I139*요약!$G$27,K139*(1+요약!$E$27)),IF(N(H139)&gt;0,H139*요약!$G$27,J139*요약!$D$27))</f>
        <v>55704</v>
      </c>
      <c r="M139" s="46" t="n">
        <f aca="false">D139*J139</f>
        <v>31800000</v>
      </c>
      <c r="N139" s="46" t="n">
        <f aca="false">D139*K139</f>
        <v>9071600</v>
      </c>
      <c r="O139" s="46" t="n">
        <f aca="false">D139*L139</f>
        <v>11140800</v>
      </c>
      <c r="P139" s="42" t="str">
        <f aca="false">TRIM(IF(N(E139)&lt;=0,"택가보정 ","")&amp;IF(N(F139)&lt;=0,"원가보정 ","")&amp;IF(AND(B139&lt;&gt;"CN",N(H139)&lt;=0),"공급가보정 ","")&amp;IF(AND(B139="CN",N(I139)&lt;=0),"중국공급가=원가+마진 ",""))</f>
        <v/>
      </c>
      <c r="Q139" s="47" t="n">
        <f aca="false">IF(SUMIFS($W:$W,$A:$A,A139,$C:$C,C139)=0,0,SUMIFS(RAW_판매펀칭!$K:$K,RAW_판매펀칭!$P:$P,A139,RAW_판매펀칭!$I:$I,C139)*W139/SUMIFS($W:$W,$A:$A,A139,$C:$C,C139))</f>
        <v>0</v>
      </c>
      <c r="R139" s="47" t="n">
        <f aca="false">IF(OR(A139="500",A139="800",A139="810"),0,MAX(W139-Q139,0))</f>
        <v>200</v>
      </c>
      <c r="S139" s="47" t="n">
        <f aca="false">R139*L139</f>
        <v>11140800</v>
      </c>
      <c r="T139" s="47" t="n">
        <f aca="false">R139*J139</f>
        <v>31800000</v>
      </c>
      <c r="U139" s="47" t="n">
        <f aca="false">R139*K139</f>
        <v>9071600</v>
      </c>
      <c r="V139" s="0" t="str">
        <f aca="false">IF(COUNTIFS($A$2:A139,A139,$C$2:C139,C139,$D$2:D139,D139)&gt;1,"중복","")</f>
        <v/>
      </c>
      <c r="W139" s="0" t="n">
        <f aca="false">IF(V139="중복",0,N(D139))</f>
        <v>200</v>
      </c>
      <c r="X139" s="0" t="n">
        <f aca="false">IF(COUNTIFS($A$2:A139,A139,$C$2:C139,C139)=1,ABS(SUMIFS(RAW_발주!$D:$D,RAW_발주!$C:$C,A139,RAW_발주!$A:$A,C139)-SUMIFS($W:$W,$A:$A,A139,$C:$C,C139)),0)</f>
        <v>0</v>
      </c>
    </row>
    <row r="140" customFormat="false" ht="15.75" hidden="false" customHeight="true" outlineLevel="0" collapsed="false">
      <c r="A140" s="45" t="s">
        <v>1660</v>
      </c>
      <c r="B140" s="42" t="str">
        <f aca="false">IF(A140="100","HK",IF(A140="200","CN",IF(A140="300","TW","홀세일")))</f>
        <v>CN</v>
      </c>
      <c r="C140" s="45" t="s">
        <v>1407</v>
      </c>
      <c r="D140" s="46" t="n">
        <v>358</v>
      </c>
      <c r="E140" s="46" t="n">
        <v>159000</v>
      </c>
      <c r="F140" s="46" t="n">
        <v>45358</v>
      </c>
      <c r="G140" s="42" t="n">
        <v>3.96</v>
      </c>
      <c r="H140" s="42" t="n">
        <v>42.2</v>
      </c>
      <c r="J140" s="46" t="n">
        <f aca="false">IF(N(E140)&gt;0,E140,IF(N(F140)&gt;0,F140*요약!$F$27,0))</f>
        <v>159000</v>
      </c>
      <c r="K140" s="46" t="n">
        <f aca="false">IF(N(F140)&gt;0,F140,IF(N(E140)&gt;0,E140/요약!$F$27,0))</f>
        <v>45358</v>
      </c>
      <c r="L140" s="46" t="n">
        <f aca="false">IF(B140="CN",IF(N(I140)&gt;0,I140*요약!$G$27,K140*(1+요약!$E$27)),IF(N(H140)&gt;0,H140*요약!$G$27,J140*요약!$D$27))</f>
        <v>47625.9</v>
      </c>
      <c r="M140" s="46" t="n">
        <f aca="false">D140*J140</f>
        <v>56922000</v>
      </c>
      <c r="N140" s="46" t="n">
        <f aca="false">D140*K140</f>
        <v>16238164</v>
      </c>
      <c r="O140" s="46" t="n">
        <f aca="false">D140*L140</f>
        <v>17050072.2</v>
      </c>
      <c r="P140" s="42" t="str">
        <f aca="false">TRIM(IF(N(E140)&lt;=0,"택가보정 ","")&amp;IF(N(F140)&lt;=0,"원가보정 ","")&amp;IF(AND(B140&lt;&gt;"CN",N(H140)&lt;=0),"공급가보정 ","")&amp;IF(AND(B140="CN",N(I140)&lt;=0),"중국공급가=원가+마진 ",""))</f>
        <v>중국공급가=원가+마진</v>
      </c>
      <c r="Q140" s="47" t="n">
        <f aca="false">IF(SUMIFS($W:$W,$A:$A,A140,$C:$C,C140)=0,0,SUMIFS(RAW_판매펀칭!$K:$K,RAW_판매펀칭!$P:$P,A140,RAW_판매펀칭!$I:$I,C140)*W140/SUMIFS($W:$W,$A:$A,A140,$C:$C,C140))</f>
        <v>0</v>
      </c>
      <c r="R140" s="47" t="n">
        <f aca="false">IF(OR(A140="500",A140="800",A140="810"),0,MAX(W140-Q140,0))</f>
        <v>358</v>
      </c>
      <c r="S140" s="47" t="n">
        <f aca="false">R140*L140</f>
        <v>17050072.2</v>
      </c>
      <c r="T140" s="47" t="n">
        <f aca="false">R140*J140</f>
        <v>56922000</v>
      </c>
      <c r="U140" s="47" t="n">
        <f aca="false">R140*K140</f>
        <v>16238164</v>
      </c>
      <c r="V140" s="0" t="str">
        <f aca="false">IF(COUNTIFS($A$2:A140,A140,$C$2:C140,C140,$D$2:D140,D140)&gt;1,"중복","")</f>
        <v/>
      </c>
      <c r="W140" s="0" t="n">
        <f aca="false">IF(V140="중복",0,N(D140))</f>
        <v>358</v>
      </c>
      <c r="X140" s="0" t="n">
        <f aca="false">IF(COUNTIFS($A$2:A140,A140,$C$2:C140,C140)=1,ABS(SUMIFS(RAW_발주!$D:$D,RAW_발주!$C:$C,A140,RAW_발주!$A:$A,C140)-SUMIFS($W:$W,$A:$A,A140,$C:$C,C140)),0)</f>
        <v>0</v>
      </c>
    </row>
    <row r="141" customFormat="false" ht="15" hidden="false" customHeight="true" outlineLevel="0" collapsed="false">
      <c r="A141" s="45" t="s">
        <v>1667</v>
      </c>
      <c r="B141" s="42" t="str">
        <f aca="false">IF(A141="100","HK",IF(A141="200","CN",IF(A141="300","TW","홀세일")))</f>
        <v>홀세일</v>
      </c>
      <c r="C141" s="45" t="s">
        <v>1407</v>
      </c>
      <c r="D141" s="46" t="n">
        <v>46</v>
      </c>
      <c r="E141" s="46" t="n">
        <v>159000</v>
      </c>
      <c r="F141" s="46" t="n">
        <v>45358</v>
      </c>
      <c r="G141" s="42" t="n">
        <v>3.96</v>
      </c>
      <c r="H141" s="42" t="n">
        <v>42.2</v>
      </c>
      <c r="J141" s="46" t="n">
        <f aca="false">IF(N(E141)&gt;0,E141,IF(N(F141)&gt;0,F141*요약!$F$27,0))</f>
        <v>159000</v>
      </c>
      <c r="K141" s="46" t="n">
        <f aca="false">IF(N(F141)&gt;0,F141,IF(N(E141)&gt;0,E141/요약!$F$27,0))</f>
        <v>45358</v>
      </c>
      <c r="L141" s="46" t="n">
        <f aca="false">IF(B141="CN",IF(N(I141)&gt;0,I141*요약!$G$27,K141*(1+요약!$E$27)),IF(N(H141)&gt;0,H141*요약!$G$27,J141*요약!$D$27))</f>
        <v>55704</v>
      </c>
      <c r="M141" s="46" t="n">
        <f aca="false">D141*J141</f>
        <v>7314000</v>
      </c>
      <c r="N141" s="46" t="n">
        <f aca="false">D141*K141</f>
        <v>2086468</v>
      </c>
      <c r="O141" s="46" t="n">
        <f aca="false">D141*L141</f>
        <v>2562384</v>
      </c>
      <c r="P141" s="42" t="str">
        <f aca="false">TRIM(IF(N(E141)&lt;=0,"택가보정 ","")&amp;IF(N(F141)&lt;=0,"원가보정 ","")&amp;IF(AND(B141&lt;&gt;"CN",N(H141)&lt;=0),"공급가보정 ","")&amp;IF(AND(B141="CN",N(I141)&lt;=0),"중국공급가=원가+마진 ",""))</f>
        <v/>
      </c>
      <c r="Q141" s="47" t="n">
        <f aca="false">IF(SUMIFS($W:$W,$A:$A,A141,$C:$C,C141)=0,0,SUMIFS(RAW_판매펀칭!$K:$K,RAW_판매펀칭!$P:$P,A141,RAW_판매펀칭!$I:$I,C141)*W141/SUMIFS($W:$W,$A:$A,A141,$C:$C,C141))</f>
        <v>46</v>
      </c>
      <c r="R141" s="47" t="n">
        <f aca="false">IF(OR(A141="500",A141="800",A141="810"),0,MAX(W141-Q141,0))</f>
        <v>0</v>
      </c>
      <c r="S141" s="47" t="n">
        <f aca="false">R141*L141</f>
        <v>0</v>
      </c>
      <c r="T141" s="47" t="n">
        <f aca="false">R141*J141</f>
        <v>0</v>
      </c>
      <c r="U141" s="47" t="n">
        <f aca="false">R141*K141</f>
        <v>0</v>
      </c>
      <c r="V141" s="0" t="str">
        <f aca="false">IF(COUNTIFS($A$2:A141,A141,$C$2:C141,C141,$D$2:D141,D141)&gt;1,"중복","")</f>
        <v/>
      </c>
      <c r="W141" s="0" t="n">
        <f aca="false">IF(V141="중복",0,N(D141))</f>
        <v>46</v>
      </c>
      <c r="X141" s="0" t="n">
        <f aca="false">IF(COUNTIFS($A$2:A141,A141,$C$2:C141,C141)=1,ABS(SUMIFS(RAW_발주!$D:$D,RAW_발주!$C:$C,A141,RAW_발주!$A:$A,C141)-SUMIFS($W:$W,$A:$A,A141,$C:$C,C141)),0)</f>
        <v>0</v>
      </c>
    </row>
    <row r="142" customFormat="false" ht="15" hidden="false" customHeight="true" outlineLevel="0" collapsed="false">
      <c r="A142" s="45" t="s">
        <v>1659</v>
      </c>
      <c r="B142" s="42" t="str">
        <f aca="false">IF(A142="100","HK",IF(A142="200","CN",IF(A142="300","TW","홀세일")))</f>
        <v>HK</v>
      </c>
      <c r="C142" s="45" t="s">
        <v>794</v>
      </c>
      <c r="D142" s="46" t="n">
        <v>180</v>
      </c>
      <c r="E142" s="46" t="n">
        <v>159000</v>
      </c>
      <c r="F142" s="46" t="n">
        <v>34000</v>
      </c>
      <c r="G142" s="42" t="n">
        <v>3.89</v>
      </c>
      <c r="H142" s="42" t="n">
        <v>39.8</v>
      </c>
      <c r="J142" s="46" t="n">
        <f aca="false">IF(N(E142)&gt;0,E142,IF(N(F142)&gt;0,F142*요약!$F$27,0))</f>
        <v>159000</v>
      </c>
      <c r="K142" s="46" t="n">
        <f aca="false">IF(N(F142)&gt;0,F142,IF(N(E142)&gt;0,E142/요약!$F$27,0))</f>
        <v>34000</v>
      </c>
      <c r="L142" s="46" t="n">
        <f aca="false">IF(B142="CN",IF(N(I142)&gt;0,I142*요약!$G$27,K142*(1+요약!$E$27)),IF(N(H142)&gt;0,H142*요약!$G$27,J142*요약!$D$27))</f>
        <v>52536</v>
      </c>
      <c r="M142" s="46" t="n">
        <f aca="false">D142*J142</f>
        <v>28620000</v>
      </c>
      <c r="N142" s="46" t="n">
        <f aca="false">D142*K142</f>
        <v>6120000</v>
      </c>
      <c r="O142" s="46" t="n">
        <f aca="false">D142*L142</f>
        <v>9456480</v>
      </c>
      <c r="P142" s="42" t="str">
        <f aca="false">TRIM(IF(N(E142)&lt;=0,"택가보정 ","")&amp;IF(N(F142)&lt;=0,"원가보정 ","")&amp;IF(AND(B142&lt;&gt;"CN",N(H142)&lt;=0),"공급가보정 ","")&amp;IF(AND(B142="CN",N(I142)&lt;=0),"중국공급가=원가+마진 ",""))</f>
        <v/>
      </c>
      <c r="Q142" s="47" t="n">
        <f aca="false">IF(SUMIFS($W:$W,$A:$A,A142,$C:$C,C142)=0,0,SUMIFS(RAW_판매펀칭!$K:$K,RAW_판매펀칭!$P:$P,A142,RAW_판매펀칭!$I:$I,C142)*W142/SUMIFS($W:$W,$A:$A,A142,$C:$C,C142))</f>
        <v>180</v>
      </c>
      <c r="R142" s="47" t="n">
        <f aca="false">IF(OR(A142="500",A142="800",A142="810"),0,MAX(W142-Q142,0))</f>
        <v>0</v>
      </c>
      <c r="S142" s="47" t="n">
        <f aca="false">R142*L142</f>
        <v>0</v>
      </c>
      <c r="T142" s="47" t="n">
        <f aca="false">R142*J142</f>
        <v>0</v>
      </c>
      <c r="U142" s="47" t="n">
        <f aca="false">R142*K142</f>
        <v>0</v>
      </c>
      <c r="V142" s="0" t="str">
        <f aca="false">IF(COUNTIFS($A$2:A142,A142,$C$2:C142,C142,$D$2:D142,D142)&gt;1,"중복","")</f>
        <v/>
      </c>
      <c r="W142" s="0" t="n">
        <f aca="false">IF(V142="중복",0,N(D142))</f>
        <v>180</v>
      </c>
      <c r="X142" s="0" t="n">
        <f aca="false">IF(COUNTIFS($A$2:A142,A142,$C$2:C142,C142)=1,ABS(SUMIFS(RAW_발주!$D:$D,RAW_발주!$C:$C,A142,RAW_발주!$A:$A,C142)-SUMIFS($W:$W,$A:$A,A142,$C:$C,C142)),0)</f>
        <v>0</v>
      </c>
    </row>
    <row r="143" customFormat="false" ht="15" hidden="false" customHeight="true" outlineLevel="0" collapsed="false">
      <c r="A143" s="45" t="s">
        <v>1663</v>
      </c>
      <c r="B143" s="42" t="str">
        <f aca="false">IF(A143="100","HK",IF(A143="200","CN",IF(A143="300","TW","홀세일")))</f>
        <v>홀세일</v>
      </c>
      <c r="C143" s="45" t="s">
        <v>794</v>
      </c>
      <c r="D143" s="46" t="n">
        <v>20</v>
      </c>
      <c r="E143" s="46" t="n">
        <v>159000</v>
      </c>
      <c r="F143" s="46" t="n">
        <v>34000</v>
      </c>
      <c r="G143" s="42" t="n">
        <v>3.89</v>
      </c>
      <c r="H143" s="42" t="n">
        <v>39.8</v>
      </c>
      <c r="J143" s="46" t="n">
        <f aca="false">IF(N(E143)&gt;0,E143,IF(N(F143)&gt;0,F143*요약!$F$27,0))</f>
        <v>159000</v>
      </c>
      <c r="K143" s="46" t="n">
        <f aca="false">IF(N(F143)&gt;0,F143,IF(N(E143)&gt;0,E143/요약!$F$27,0))</f>
        <v>34000</v>
      </c>
      <c r="L143" s="46" t="n">
        <f aca="false">IF(B143="CN",IF(N(I143)&gt;0,I143*요약!$G$27,K143*(1+요약!$E$27)),IF(N(H143)&gt;0,H143*요약!$G$27,J143*요약!$D$27))</f>
        <v>52536</v>
      </c>
      <c r="M143" s="46" t="n">
        <f aca="false">D143*J143</f>
        <v>3180000</v>
      </c>
      <c r="N143" s="46" t="n">
        <f aca="false">D143*K143</f>
        <v>680000</v>
      </c>
      <c r="O143" s="46" t="n">
        <f aca="false">D143*L143</f>
        <v>1050720</v>
      </c>
      <c r="P143" s="42" t="str">
        <f aca="false">TRIM(IF(N(E143)&lt;=0,"택가보정 ","")&amp;IF(N(F143)&lt;=0,"원가보정 ","")&amp;IF(AND(B143&lt;&gt;"CN",N(H143)&lt;=0),"공급가보정 ","")&amp;IF(AND(B143="CN",N(I143)&lt;=0),"중국공급가=원가+마진 ",""))</f>
        <v/>
      </c>
      <c r="Q143" s="47" t="n">
        <f aca="false">IF(SUMIFS($W:$W,$A:$A,A143,$C:$C,C143)=0,0,SUMIFS(RAW_판매펀칭!$K:$K,RAW_판매펀칭!$P:$P,A143,RAW_판매펀칭!$I:$I,C143)*W143/SUMIFS($W:$W,$A:$A,A143,$C:$C,C143))</f>
        <v>20</v>
      </c>
      <c r="R143" s="47" t="n">
        <f aca="false">IF(OR(A143="500",A143="800",A143="810"),0,MAX(W143-Q143,0))</f>
        <v>0</v>
      </c>
      <c r="S143" s="47" t="n">
        <f aca="false">R143*L143</f>
        <v>0</v>
      </c>
      <c r="T143" s="47" t="n">
        <f aca="false">R143*J143</f>
        <v>0</v>
      </c>
      <c r="U143" s="47" t="n">
        <f aca="false">R143*K143</f>
        <v>0</v>
      </c>
      <c r="V143" s="0" t="str">
        <f aca="false">IF(COUNTIFS($A$2:A143,A143,$C$2:C143,C143,$D$2:D143,D143)&gt;1,"중복","")</f>
        <v/>
      </c>
      <c r="W143" s="0" t="n">
        <f aca="false">IF(V143="중복",0,N(D143))</f>
        <v>20</v>
      </c>
      <c r="X143" s="0" t="n">
        <f aca="false">IF(COUNTIFS($A$2:A143,A143,$C$2:C143,C143)=1,ABS(SUMIFS(RAW_발주!$D:$D,RAW_발주!$C:$C,A143,RAW_발주!$A:$A,C143)-SUMIFS($W:$W,$A:$A,A143,$C:$C,C143)),0)</f>
        <v>0</v>
      </c>
    </row>
    <row r="144" customFormat="false" ht="15" hidden="false" customHeight="true" outlineLevel="0" collapsed="false">
      <c r="A144" s="45" t="s">
        <v>1659</v>
      </c>
      <c r="B144" s="42" t="str">
        <f aca="false">IF(A144="100","HK",IF(A144="200","CN",IF(A144="300","TW","홀세일")))</f>
        <v>HK</v>
      </c>
      <c r="C144" s="45" t="s">
        <v>796</v>
      </c>
      <c r="D144" s="46" t="n">
        <v>290</v>
      </c>
      <c r="E144" s="46" t="n">
        <v>189000</v>
      </c>
      <c r="F144" s="46" t="n">
        <v>39601</v>
      </c>
      <c r="G144" s="42" t="n">
        <v>3.75</v>
      </c>
      <c r="H144" s="42" t="n">
        <v>47.3</v>
      </c>
      <c r="J144" s="46" t="n">
        <f aca="false">IF(N(E144)&gt;0,E144,IF(N(F144)&gt;0,F144*요약!$F$27,0))</f>
        <v>189000</v>
      </c>
      <c r="K144" s="46" t="n">
        <f aca="false">IF(N(F144)&gt;0,F144,IF(N(E144)&gt;0,E144/요약!$F$27,0))</f>
        <v>39601</v>
      </c>
      <c r="L144" s="46" t="n">
        <f aca="false">IF(B144="CN",IF(N(I144)&gt;0,I144*요약!$G$27,K144*(1+요약!$E$27)),IF(N(H144)&gt;0,H144*요약!$G$27,J144*요약!$D$27))</f>
        <v>62436</v>
      </c>
      <c r="M144" s="46" t="n">
        <f aca="false">D144*J144</f>
        <v>54810000</v>
      </c>
      <c r="N144" s="46" t="n">
        <f aca="false">D144*K144</f>
        <v>11484290</v>
      </c>
      <c r="O144" s="46" t="n">
        <f aca="false">D144*L144</f>
        <v>18106440</v>
      </c>
      <c r="P144" s="42" t="str">
        <f aca="false">TRIM(IF(N(E144)&lt;=0,"택가보정 ","")&amp;IF(N(F144)&lt;=0,"원가보정 ","")&amp;IF(AND(B144&lt;&gt;"CN",N(H144)&lt;=0),"공급가보정 ","")&amp;IF(AND(B144="CN",N(I144)&lt;=0),"중국공급가=원가+마진 ",""))</f>
        <v/>
      </c>
      <c r="Q144" s="47" t="n">
        <f aca="false">IF(SUMIFS($W:$W,$A:$A,A144,$C:$C,C144)=0,0,SUMIFS(RAW_판매펀칭!$K:$K,RAW_판매펀칭!$P:$P,A144,RAW_판매펀칭!$I:$I,C144)*W144/SUMIFS($W:$W,$A:$A,A144,$C:$C,C144))</f>
        <v>290</v>
      </c>
      <c r="R144" s="47" t="n">
        <f aca="false">IF(OR(A144="500",A144="800",A144="810"),0,MAX(W144-Q144,0))</f>
        <v>0</v>
      </c>
      <c r="S144" s="47" t="n">
        <f aca="false">R144*L144</f>
        <v>0</v>
      </c>
      <c r="T144" s="47" t="n">
        <f aca="false">R144*J144</f>
        <v>0</v>
      </c>
      <c r="U144" s="47" t="n">
        <f aca="false">R144*K144</f>
        <v>0</v>
      </c>
      <c r="V144" s="0" t="str">
        <f aca="false">IF(COUNTIFS($A$2:A144,A144,$C$2:C144,C144,$D$2:D144,D144)&gt;1,"중복","")</f>
        <v/>
      </c>
      <c r="W144" s="0" t="n">
        <f aca="false">IF(V144="중복",0,N(D144))</f>
        <v>290</v>
      </c>
      <c r="X144" s="0" t="n">
        <f aca="false">IF(COUNTIFS($A$2:A144,A144,$C$2:C144,C144)=1,ABS(SUMIFS(RAW_발주!$D:$D,RAW_발주!$C:$C,A144,RAW_발주!$A:$A,C144)-SUMIFS($W:$W,$A:$A,A144,$C:$C,C144)),0)</f>
        <v>0</v>
      </c>
    </row>
    <row r="145" customFormat="false" ht="15" hidden="false" customHeight="true" outlineLevel="0" collapsed="false">
      <c r="A145" s="45" t="s">
        <v>1659</v>
      </c>
      <c r="B145" s="42" t="str">
        <f aca="false">IF(A145="100","HK",IF(A145="200","CN",IF(A145="300","TW","홀세일")))</f>
        <v>HK</v>
      </c>
      <c r="C145" s="45" t="s">
        <v>796</v>
      </c>
      <c r="D145" s="46" t="n">
        <v>290</v>
      </c>
      <c r="E145" s="46" t="n">
        <v>189000</v>
      </c>
      <c r="F145" s="46" t="n">
        <v>39601</v>
      </c>
      <c r="G145" s="42" t="n">
        <v>3.75</v>
      </c>
      <c r="H145" s="42" t="n">
        <v>47.3</v>
      </c>
      <c r="J145" s="46" t="n">
        <f aca="false">IF(N(E145)&gt;0,E145,IF(N(F145)&gt;0,F145*요약!$F$27,0))</f>
        <v>189000</v>
      </c>
      <c r="K145" s="46" t="n">
        <f aca="false">IF(N(F145)&gt;0,F145,IF(N(E145)&gt;0,E145/요약!$F$27,0))</f>
        <v>39601</v>
      </c>
      <c r="L145" s="46" t="n">
        <f aca="false">IF(B145="CN",IF(N(I145)&gt;0,I145*요약!$G$27,K145*(1+요약!$E$27)),IF(N(H145)&gt;0,H145*요약!$G$27,J145*요약!$D$27))</f>
        <v>62436</v>
      </c>
      <c r="M145" s="46" t="n">
        <f aca="false">D145*J145</f>
        <v>54810000</v>
      </c>
      <c r="N145" s="46" t="n">
        <f aca="false">D145*K145</f>
        <v>11484290</v>
      </c>
      <c r="O145" s="46" t="n">
        <f aca="false">D145*L145</f>
        <v>18106440</v>
      </c>
      <c r="P145" s="42" t="str">
        <f aca="false">TRIM(IF(N(E145)&lt;=0,"택가보정 ","")&amp;IF(N(F145)&lt;=0,"원가보정 ","")&amp;IF(AND(B145&lt;&gt;"CN",N(H145)&lt;=0),"공급가보정 ","")&amp;IF(AND(B145="CN",N(I145)&lt;=0),"중국공급가=원가+마진 ",""))</f>
        <v/>
      </c>
      <c r="Q145" s="47" t="n">
        <f aca="false">IF(SUMIFS($W:$W,$A:$A,A145,$C:$C,C145)=0,0,SUMIFS(RAW_판매펀칭!$K:$K,RAW_판매펀칭!$P:$P,A145,RAW_판매펀칭!$I:$I,C145)*W145/SUMIFS($W:$W,$A:$A,A145,$C:$C,C145))</f>
        <v>0</v>
      </c>
      <c r="R145" s="47" t="n">
        <f aca="false">IF(OR(A145="500",A145="800",A145="810"),0,MAX(W145-Q145,0))</f>
        <v>0</v>
      </c>
      <c r="S145" s="47" t="n">
        <f aca="false">R145*L145</f>
        <v>0</v>
      </c>
      <c r="T145" s="47" t="n">
        <f aca="false">R145*J145</f>
        <v>0</v>
      </c>
      <c r="U145" s="47" t="n">
        <f aca="false">R145*K145</f>
        <v>0</v>
      </c>
      <c r="V145" s="0" t="str">
        <f aca="false">IF(COUNTIFS($A$2:A145,A145,$C$2:C145,C145,$D$2:D145,D145)&gt;1,"중복","")</f>
        <v>중복</v>
      </c>
      <c r="W145" s="0" t="n">
        <f aca="false">IF(V145="중복",0,N(D145))</f>
        <v>0</v>
      </c>
      <c r="X145" s="0" t="n">
        <f aca="false">IF(COUNTIFS($A$2:A145,A145,$C$2:C145,C145)=1,ABS(SUMIFS(RAW_발주!$D:$D,RAW_발주!$C:$C,A145,RAW_발주!$A:$A,C145)-SUMIFS($W:$W,$A:$A,A145,$C:$C,C145)),0)</f>
        <v>0</v>
      </c>
    </row>
    <row r="146" customFormat="false" ht="15" hidden="false" customHeight="true" outlineLevel="0" collapsed="false">
      <c r="A146" s="45" t="s">
        <v>1667</v>
      </c>
      <c r="B146" s="42" t="str">
        <f aca="false">IF(A146="100","HK",IF(A146="200","CN",IF(A146="300","TW","홀세일")))</f>
        <v>홀세일</v>
      </c>
      <c r="C146" s="45" t="s">
        <v>796</v>
      </c>
      <c r="D146" s="46" t="n">
        <v>112</v>
      </c>
      <c r="E146" s="46" t="n">
        <v>189000</v>
      </c>
      <c r="F146" s="46" t="n">
        <v>39601</v>
      </c>
      <c r="G146" s="42" t="n">
        <v>3.75</v>
      </c>
      <c r="H146" s="42" t="n">
        <v>47.3</v>
      </c>
      <c r="J146" s="46" t="n">
        <f aca="false">IF(N(E146)&gt;0,E146,IF(N(F146)&gt;0,F146*요약!$F$27,0))</f>
        <v>189000</v>
      </c>
      <c r="K146" s="46" t="n">
        <f aca="false">IF(N(F146)&gt;0,F146,IF(N(E146)&gt;0,E146/요약!$F$27,0))</f>
        <v>39601</v>
      </c>
      <c r="L146" s="46" t="n">
        <f aca="false">IF(B146="CN",IF(N(I146)&gt;0,I146*요약!$G$27,K146*(1+요약!$E$27)),IF(N(H146)&gt;0,H146*요약!$G$27,J146*요약!$D$27))</f>
        <v>62436</v>
      </c>
      <c r="M146" s="46" t="n">
        <f aca="false">D146*J146</f>
        <v>21168000</v>
      </c>
      <c r="N146" s="46" t="n">
        <f aca="false">D146*K146</f>
        <v>4435312</v>
      </c>
      <c r="O146" s="46" t="n">
        <f aca="false">D146*L146</f>
        <v>6992832</v>
      </c>
      <c r="P146" s="42" t="str">
        <f aca="false">TRIM(IF(N(E146)&lt;=0,"택가보정 ","")&amp;IF(N(F146)&lt;=0,"원가보정 ","")&amp;IF(AND(B146&lt;&gt;"CN",N(H146)&lt;=0),"공급가보정 ","")&amp;IF(AND(B146="CN",N(I146)&lt;=0),"중국공급가=원가+마진 ",""))</f>
        <v/>
      </c>
      <c r="Q146" s="47" t="n">
        <f aca="false">IF(SUMIFS($W:$W,$A:$A,A146,$C:$C,C146)=0,0,SUMIFS(RAW_판매펀칭!$K:$K,RAW_판매펀칭!$P:$P,A146,RAW_판매펀칭!$I:$I,C146)*W146/SUMIFS($W:$W,$A:$A,A146,$C:$C,C146))</f>
        <v>112</v>
      </c>
      <c r="R146" s="47" t="n">
        <f aca="false">IF(OR(A146="500",A146="800",A146="810"),0,MAX(W146-Q146,0))</f>
        <v>0</v>
      </c>
      <c r="S146" s="47" t="n">
        <f aca="false">R146*L146</f>
        <v>0</v>
      </c>
      <c r="T146" s="47" t="n">
        <f aca="false">R146*J146</f>
        <v>0</v>
      </c>
      <c r="U146" s="47" t="n">
        <f aca="false">R146*K146</f>
        <v>0</v>
      </c>
      <c r="V146" s="0" t="str">
        <f aca="false">IF(COUNTIFS($A$2:A146,A146,$C$2:C146,C146,$D$2:D146,D146)&gt;1,"중복","")</f>
        <v/>
      </c>
      <c r="W146" s="0" t="n">
        <f aca="false">IF(V146="중복",0,N(D146))</f>
        <v>112</v>
      </c>
      <c r="X146" s="0" t="n">
        <f aca="false">IF(COUNTIFS($A$2:A146,A146,$C$2:C146,C146)=1,ABS(SUMIFS(RAW_발주!$D:$D,RAW_발주!$C:$C,A146,RAW_발주!$A:$A,C146)-SUMIFS($W:$W,$A:$A,A146,$C:$C,C146)),0)</f>
        <v>0</v>
      </c>
    </row>
    <row r="147" customFormat="false" ht="15" hidden="false" customHeight="true" outlineLevel="0" collapsed="false">
      <c r="A147" s="45" t="s">
        <v>1659</v>
      </c>
      <c r="B147" s="42" t="str">
        <f aca="false">IF(A147="100","HK",IF(A147="200","CN",IF(A147="300","TW","홀세일")))</f>
        <v>HK</v>
      </c>
      <c r="C147" s="45" t="s">
        <v>798</v>
      </c>
      <c r="D147" s="46" t="n">
        <v>90</v>
      </c>
      <c r="E147" s="46" t="n">
        <v>179000</v>
      </c>
      <c r="F147" s="46" t="n">
        <v>44802</v>
      </c>
      <c r="G147" s="42" t="n">
        <v>4.16</v>
      </c>
      <c r="H147" s="42" t="n">
        <v>44.8</v>
      </c>
      <c r="J147" s="46" t="n">
        <f aca="false">IF(N(E147)&gt;0,E147,IF(N(F147)&gt;0,F147*요약!$F$27,0))</f>
        <v>179000</v>
      </c>
      <c r="K147" s="46" t="n">
        <f aca="false">IF(N(F147)&gt;0,F147,IF(N(E147)&gt;0,E147/요약!$F$27,0))</f>
        <v>44802</v>
      </c>
      <c r="L147" s="46" t="n">
        <f aca="false">IF(B147="CN",IF(N(I147)&gt;0,I147*요약!$G$27,K147*(1+요약!$E$27)),IF(N(H147)&gt;0,H147*요약!$G$27,J147*요약!$D$27))</f>
        <v>59136</v>
      </c>
      <c r="M147" s="46" t="n">
        <f aca="false">D147*J147</f>
        <v>16110000</v>
      </c>
      <c r="N147" s="46" t="n">
        <f aca="false">D147*K147</f>
        <v>4032180</v>
      </c>
      <c r="O147" s="46" t="n">
        <f aca="false">D147*L147</f>
        <v>5322240</v>
      </c>
      <c r="P147" s="42" t="str">
        <f aca="false">TRIM(IF(N(E147)&lt;=0,"택가보정 ","")&amp;IF(N(F147)&lt;=0,"원가보정 ","")&amp;IF(AND(B147&lt;&gt;"CN",N(H147)&lt;=0),"공급가보정 ","")&amp;IF(AND(B147="CN",N(I147)&lt;=0),"중국공급가=원가+마진 ",""))</f>
        <v/>
      </c>
      <c r="Q147" s="47" t="n">
        <f aca="false">IF(SUMIFS($W:$W,$A:$A,A147,$C:$C,C147)=0,0,SUMIFS(RAW_판매펀칭!$K:$K,RAW_판매펀칭!$P:$P,A147,RAW_판매펀칭!$I:$I,C147)*W147/SUMIFS($W:$W,$A:$A,A147,$C:$C,C147))</f>
        <v>90</v>
      </c>
      <c r="R147" s="47" t="n">
        <f aca="false">IF(OR(A147="500",A147="800",A147="810"),0,MAX(W147-Q147,0))</f>
        <v>0</v>
      </c>
      <c r="S147" s="47" t="n">
        <f aca="false">R147*L147</f>
        <v>0</v>
      </c>
      <c r="T147" s="47" t="n">
        <f aca="false">R147*J147</f>
        <v>0</v>
      </c>
      <c r="U147" s="47" t="n">
        <f aca="false">R147*K147</f>
        <v>0</v>
      </c>
      <c r="V147" s="0" t="str">
        <f aca="false">IF(COUNTIFS($A$2:A147,A147,$C$2:C147,C147,$D$2:D147,D147)&gt;1,"중복","")</f>
        <v/>
      </c>
      <c r="W147" s="0" t="n">
        <f aca="false">IF(V147="중복",0,N(D147))</f>
        <v>90</v>
      </c>
      <c r="X147" s="0" t="n">
        <f aca="false">IF(COUNTIFS($A$2:A147,A147,$C$2:C147,C147)=1,ABS(SUMIFS(RAW_발주!$D:$D,RAW_발주!$C:$C,A147,RAW_발주!$A:$A,C147)-SUMIFS($W:$W,$A:$A,A147,$C:$C,C147)),0)</f>
        <v>0</v>
      </c>
    </row>
    <row r="148" customFormat="false" ht="15" hidden="false" customHeight="true" outlineLevel="0" collapsed="false">
      <c r="A148" s="45" t="s">
        <v>1667</v>
      </c>
      <c r="B148" s="42" t="str">
        <f aca="false">IF(A148="100","HK",IF(A148="200","CN",IF(A148="300","TW","홀세일")))</f>
        <v>홀세일</v>
      </c>
      <c r="C148" s="45" t="s">
        <v>798</v>
      </c>
      <c r="D148" s="46" t="n">
        <v>66</v>
      </c>
      <c r="E148" s="46" t="n">
        <v>179000</v>
      </c>
      <c r="F148" s="46" t="n">
        <v>44802</v>
      </c>
      <c r="G148" s="42" t="n">
        <v>4.16</v>
      </c>
      <c r="H148" s="42" t="n">
        <v>44.8</v>
      </c>
      <c r="J148" s="46" t="n">
        <f aca="false">IF(N(E148)&gt;0,E148,IF(N(F148)&gt;0,F148*요약!$F$27,0))</f>
        <v>179000</v>
      </c>
      <c r="K148" s="46" t="n">
        <f aca="false">IF(N(F148)&gt;0,F148,IF(N(E148)&gt;0,E148/요약!$F$27,0))</f>
        <v>44802</v>
      </c>
      <c r="L148" s="46" t="n">
        <f aca="false">IF(B148="CN",IF(N(I148)&gt;0,I148*요약!$G$27,K148*(1+요약!$E$27)),IF(N(H148)&gt;0,H148*요약!$G$27,J148*요약!$D$27))</f>
        <v>59136</v>
      </c>
      <c r="M148" s="46" t="n">
        <f aca="false">D148*J148</f>
        <v>11814000</v>
      </c>
      <c r="N148" s="46" t="n">
        <f aca="false">D148*K148</f>
        <v>2956932</v>
      </c>
      <c r="O148" s="46" t="n">
        <f aca="false">D148*L148</f>
        <v>3902976</v>
      </c>
      <c r="P148" s="42" t="str">
        <f aca="false">TRIM(IF(N(E148)&lt;=0,"택가보정 ","")&amp;IF(N(F148)&lt;=0,"원가보정 ","")&amp;IF(AND(B148&lt;&gt;"CN",N(H148)&lt;=0),"공급가보정 ","")&amp;IF(AND(B148="CN",N(I148)&lt;=0),"중국공급가=원가+마진 ",""))</f>
        <v/>
      </c>
      <c r="Q148" s="47" t="n">
        <f aca="false">IF(SUMIFS($W:$W,$A:$A,A148,$C:$C,C148)=0,0,SUMIFS(RAW_판매펀칭!$K:$K,RAW_판매펀칭!$P:$P,A148,RAW_판매펀칭!$I:$I,C148)*W148/SUMIFS($W:$W,$A:$A,A148,$C:$C,C148))</f>
        <v>66</v>
      </c>
      <c r="R148" s="47" t="n">
        <f aca="false">IF(OR(A148="500",A148="800",A148="810"),0,MAX(W148-Q148,0))</f>
        <v>0</v>
      </c>
      <c r="S148" s="47" t="n">
        <f aca="false">R148*L148</f>
        <v>0</v>
      </c>
      <c r="T148" s="47" t="n">
        <f aca="false">R148*J148</f>
        <v>0</v>
      </c>
      <c r="U148" s="47" t="n">
        <f aca="false">R148*K148</f>
        <v>0</v>
      </c>
      <c r="V148" s="0" t="str">
        <f aca="false">IF(COUNTIFS($A$2:A148,A148,$C$2:C148,C148,$D$2:D148,D148)&gt;1,"중복","")</f>
        <v/>
      </c>
      <c r="W148" s="0" t="n">
        <f aca="false">IF(V148="중복",0,N(D148))</f>
        <v>66</v>
      </c>
      <c r="X148" s="0" t="n">
        <f aca="false">IF(COUNTIFS($A$2:A148,A148,$C$2:C148,C148)=1,ABS(SUMIFS(RAW_발주!$D:$D,RAW_발주!$C:$C,A148,RAW_발주!$A:$A,C148)-SUMIFS($W:$W,$A:$A,A148,$C:$C,C148)),0)</f>
        <v>0</v>
      </c>
    </row>
    <row r="149" customFormat="false" ht="15" hidden="false" customHeight="true" outlineLevel="0" collapsed="false">
      <c r="A149" s="45" t="s">
        <v>1661</v>
      </c>
      <c r="B149" s="42" t="str">
        <f aca="false">IF(A149="100","HK",IF(A149="200","CN",IF(A149="300","TW","홀세일")))</f>
        <v>TW</v>
      </c>
      <c r="C149" s="45" t="s">
        <v>170</v>
      </c>
      <c r="D149" s="46" t="n">
        <v>350</v>
      </c>
      <c r="E149" s="46" t="n">
        <v>109000</v>
      </c>
      <c r="F149" s="46" t="n">
        <v>21000</v>
      </c>
      <c r="G149" s="42" t="n">
        <v>3.73</v>
      </c>
      <c r="H149" s="42" t="n">
        <v>27.3</v>
      </c>
      <c r="J149" s="46" t="n">
        <f aca="false">IF(N(E149)&gt;0,E149,IF(N(F149)&gt;0,F149*요약!$F$27,0))</f>
        <v>109000</v>
      </c>
      <c r="K149" s="46" t="n">
        <f aca="false">IF(N(F149)&gt;0,F149,IF(N(E149)&gt;0,E149/요약!$F$27,0))</f>
        <v>21000</v>
      </c>
      <c r="L149" s="46" t="n">
        <f aca="false">IF(B149="CN",IF(N(I149)&gt;0,I149*요약!$G$27,K149*(1+요약!$E$27)),IF(N(H149)&gt;0,H149*요약!$G$27,J149*요약!$D$27))</f>
        <v>36036</v>
      </c>
      <c r="M149" s="46" t="n">
        <f aca="false">D149*J149</f>
        <v>38150000</v>
      </c>
      <c r="N149" s="46" t="n">
        <f aca="false">D149*K149</f>
        <v>7350000</v>
      </c>
      <c r="O149" s="46" t="n">
        <f aca="false">D149*L149</f>
        <v>12612600</v>
      </c>
      <c r="P149" s="42" t="str">
        <f aca="false">TRIM(IF(N(E149)&lt;=0,"택가보정 ","")&amp;IF(N(F149)&lt;=0,"원가보정 ","")&amp;IF(AND(B149&lt;&gt;"CN",N(H149)&lt;=0),"공급가보정 ","")&amp;IF(AND(B149="CN",N(I149)&lt;=0),"중국공급가=원가+마진 ",""))</f>
        <v/>
      </c>
      <c r="Q149" s="47" t="n">
        <f aca="false">IF(SUMIFS($W:$W,$A:$A,A149,$C:$C,C149)=0,0,SUMIFS(RAW_판매펀칭!$K:$K,RAW_판매펀칭!$P:$P,A149,RAW_판매펀칭!$I:$I,C149)*W149/SUMIFS($W:$W,$A:$A,A149,$C:$C,C149))</f>
        <v>350</v>
      </c>
      <c r="R149" s="47" t="n">
        <f aca="false">IF(OR(A149="500",A149="800",A149="810"),0,MAX(W149-Q149,0))</f>
        <v>0</v>
      </c>
      <c r="S149" s="47" t="n">
        <f aca="false">R149*L149</f>
        <v>0</v>
      </c>
      <c r="T149" s="47" t="n">
        <f aca="false">R149*J149</f>
        <v>0</v>
      </c>
      <c r="U149" s="47" t="n">
        <f aca="false">R149*K149</f>
        <v>0</v>
      </c>
      <c r="V149" s="0" t="str">
        <f aca="false">IF(COUNTIFS($A$2:A149,A149,$C$2:C149,C149,$D$2:D149,D149)&gt;1,"중복","")</f>
        <v/>
      </c>
      <c r="W149" s="0" t="n">
        <f aca="false">IF(V149="중복",0,N(D149))</f>
        <v>350</v>
      </c>
      <c r="X149" s="0" t="n">
        <f aca="false">IF(COUNTIFS($A$2:A149,A149,$C$2:C149,C149)=1,ABS(SUMIFS(RAW_발주!$D:$D,RAW_발주!$C:$C,A149,RAW_발주!$A:$A,C149)-SUMIFS($W:$W,$A:$A,A149,$C:$C,C149)),0)</f>
        <v>0</v>
      </c>
    </row>
    <row r="150" customFormat="false" ht="15" hidden="false" customHeight="true" outlineLevel="0" collapsed="false">
      <c r="A150" s="45" t="s">
        <v>1659</v>
      </c>
      <c r="B150" s="42" t="str">
        <f aca="false">IF(A150="100","HK",IF(A150="200","CN",IF(A150="300","TW","홀세일")))</f>
        <v>HK</v>
      </c>
      <c r="C150" s="45" t="s">
        <v>172</v>
      </c>
      <c r="D150" s="46" t="n">
        <v>240</v>
      </c>
      <c r="E150" s="46" t="n">
        <v>119000</v>
      </c>
      <c r="F150" s="46" t="n">
        <v>24100</v>
      </c>
      <c r="G150" s="42" t="n">
        <v>4.02</v>
      </c>
      <c r="H150" s="42" t="n">
        <v>29.8</v>
      </c>
      <c r="J150" s="46" t="n">
        <f aca="false">IF(N(E150)&gt;0,E150,IF(N(F150)&gt;0,F150*요약!$F$27,0))</f>
        <v>119000</v>
      </c>
      <c r="K150" s="46" t="n">
        <f aca="false">IF(N(F150)&gt;0,F150,IF(N(E150)&gt;0,E150/요약!$F$27,0))</f>
        <v>24100</v>
      </c>
      <c r="L150" s="46" t="n">
        <f aca="false">IF(B150="CN",IF(N(I150)&gt;0,I150*요약!$G$27,K150*(1+요약!$E$27)),IF(N(H150)&gt;0,H150*요약!$G$27,J150*요약!$D$27))</f>
        <v>39336</v>
      </c>
      <c r="M150" s="46" t="n">
        <f aca="false">D150*J150</f>
        <v>28560000</v>
      </c>
      <c r="N150" s="46" t="n">
        <f aca="false">D150*K150</f>
        <v>5784000</v>
      </c>
      <c r="O150" s="46" t="n">
        <f aca="false">D150*L150</f>
        <v>9440640</v>
      </c>
      <c r="P150" s="42" t="str">
        <f aca="false">TRIM(IF(N(E150)&lt;=0,"택가보정 ","")&amp;IF(N(F150)&lt;=0,"원가보정 ","")&amp;IF(AND(B150&lt;&gt;"CN",N(H150)&lt;=0),"공급가보정 ","")&amp;IF(AND(B150="CN",N(I150)&lt;=0),"중국공급가=원가+마진 ",""))</f>
        <v/>
      </c>
      <c r="Q150" s="47" t="n">
        <f aca="false">IF(SUMIFS($W:$W,$A:$A,A150,$C:$C,C150)=0,0,SUMIFS(RAW_판매펀칭!$K:$K,RAW_판매펀칭!$P:$P,A150,RAW_판매펀칭!$I:$I,C150)*W150/SUMIFS($W:$W,$A:$A,A150,$C:$C,C150))</f>
        <v>240</v>
      </c>
      <c r="R150" s="47" t="n">
        <f aca="false">IF(OR(A150="500",A150="800",A150="810"),0,MAX(W150-Q150,0))</f>
        <v>0</v>
      </c>
      <c r="S150" s="47" t="n">
        <f aca="false">R150*L150</f>
        <v>0</v>
      </c>
      <c r="T150" s="47" t="n">
        <f aca="false">R150*J150</f>
        <v>0</v>
      </c>
      <c r="U150" s="47" t="n">
        <f aca="false">R150*K150</f>
        <v>0</v>
      </c>
      <c r="V150" s="0" t="str">
        <f aca="false">IF(COUNTIFS($A$2:A150,A150,$C$2:C150,C150,$D$2:D150,D150)&gt;1,"중복","")</f>
        <v/>
      </c>
      <c r="W150" s="0" t="n">
        <f aca="false">IF(V150="중복",0,N(D150))</f>
        <v>240</v>
      </c>
      <c r="X150" s="0" t="n">
        <f aca="false">IF(COUNTIFS($A$2:A150,A150,$C$2:C150,C150)=1,ABS(SUMIFS(RAW_발주!$D:$D,RAW_발주!$C:$C,A150,RAW_발주!$A:$A,C150)-SUMIFS($W:$W,$A:$A,A150,$C:$C,C150)),0)</f>
        <v>0</v>
      </c>
    </row>
    <row r="151" customFormat="false" ht="15" hidden="false" customHeight="true" outlineLevel="0" collapsed="false">
      <c r="A151" s="45" t="s">
        <v>1661</v>
      </c>
      <c r="B151" s="42" t="str">
        <f aca="false">IF(A151="100","HK",IF(A151="200","CN",IF(A151="300","TW","홀세일")))</f>
        <v>TW</v>
      </c>
      <c r="C151" s="45" t="s">
        <v>172</v>
      </c>
      <c r="D151" s="46" t="n">
        <v>165</v>
      </c>
      <c r="E151" s="46" t="n">
        <v>119000</v>
      </c>
      <c r="F151" s="46" t="n">
        <v>24100</v>
      </c>
      <c r="G151" s="42" t="n">
        <v>4.02</v>
      </c>
      <c r="H151" s="42" t="n">
        <v>29.8</v>
      </c>
      <c r="J151" s="46" t="n">
        <f aca="false">IF(N(E151)&gt;0,E151,IF(N(F151)&gt;0,F151*요약!$F$27,0))</f>
        <v>119000</v>
      </c>
      <c r="K151" s="46" t="n">
        <f aca="false">IF(N(F151)&gt;0,F151,IF(N(E151)&gt;0,E151/요약!$F$27,0))</f>
        <v>24100</v>
      </c>
      <c r="L151" s="46" t="n">
        <f aca="false">IF(B151="CN",IF(N(I151)&gt;0,I151*요약!$G$27,K151*(1+요약!$E$27)),IF(N(H151)&gt;0,H151*요약!$G$27,J151*요약!$D$27))</f>
        <v>39336</v>
      </c>
      <c r="M151" s="46" t="n">
        <f aca="false">D151*J151</f>
        <v>19635000</v>
      </c>
      <c r="N151" s="46" t="n">
        <f aca="false">D151*K151</f>
        <v>3976500</v>
      </c>
      <c r="O151" s="46" t="n">
        <f aca="false">D151*L151</f>
        <v>6490440</v>
      </c>
      <c r="P151" s="42" t="str">
        <f aca="false">TRIM(IF(N(E151)&lt;=0,"택가보정 ","")&amp;IF(N(F151)&lt;=0,"원가보정 ","")&amp;IF(AND(B151&lt;&gt;"CN",N(H151)&lt;=0),"공급가보정 ","")&amp;IF(AND(B151="CN",N(I151)&lt;=0),"중국공급가=원가+마진 ",""))</f>
        <v/>
      </c>
      <c r="Q151" s="47" t="n">
        <f aca="false">IF(SUMIFS($W:$W,$A:$A,A151,$C:$C,C151)=0,0,SUMIFS(RAW_판매펀칭!$K:$K,RAW_판매펀칭!$P:$P,A151,RAW_판매펀칭!$I:$I,C151)*W151/SUMIFS($W:$W,$A:$A,A151,$C:$C,C151))</f>
        <v>165</v>
      </c>
      <c r="R151" s="47" t="n">
        <f aca="false">IF(OR(A151="500",A151="800",A151="810"),0,MAX(W151-Q151,0))</f>
        <v>0</v>
      </c>
      <c r="S151" s="47" t="n">
        <f aca="false">R151*L151</f>
        <v>0</v>
      </c>
      <c r="T151" s="47" t="n">
        <f aca="false">R151*J151</f>
        <v>0</v>
      </c>
      <c r="U151" s="47" t="n">
        <f aca="false">R151*K151</f>
        <v>0</v>
      </c>
      <c r="V151" s="0" t="str">
        <f aca="false">IF(COUNTIFS($A$2:A151,A151,$C$2:C151,C151,$D$2:D151,D151)&gt;1,"중복","")</f>
        <v/>
      </c>
      <c r="W151" s="0" t="n">
        <f aca="false">IF(V151="중복",0,N(D151))</f>
        <v>165</v>
      </c>
      <c r="X151" s="0" t="n">
        <f aca="false">IF(COUNTIFS($A$2:A151,A151,$C$2:C151,C151)=1,ABS(SUMIFS(RAW_발주!$D:$D,RAW_발주!$C:$C,A151,RAW_발주!$A:$A,C151)-SUMIFS($W:$W,$A:$A,A151,$C:$C,C151)),0)</f>
        <v>0</v>
      </c>
    </row>
    <row r="152" customFormat="false" ht="15" hidden="false" customHeight="true" outlineLevel="0" collapsed="false">
      <c r="A152" s="45" t="s">
        <v>1664</v>
      </c>
      <c r="B152" s="42" t="str">
        <f aca="false">IF(A152="100","HK",IF(A152="200","CN",IF(A152="300","TW","홀세일")))</f>
        <v>홀세일</v>
      </c>
      <c r="C152" s="45" t="s">
        <v>172</v>
      </c>
      <c r="D152" s="46" t="n">
        <v>105</v>
      </c>
      <c r="E152" s="46" t="n">
        <v>119000</v>
      </c>
      <c r="F152" s="46" t="n">
        <v>24100</v>
      </c>
      <c r="G152" s="42" t="n">
        <v>4.02</v>
      </c>
      <c r="H152" s="42" t="n">
        <v>29.8</v>
      </c>
      <c r="J152" s="46" t="n">
        <f aca="false">IF(N(E152)&gt;0,E152,IF(N(F152)&gt;0,F152*요약!$F$27,0))</f>
        <v>119000</v>
      </c>
      <c r="K152" s="46" t="n">
        <f aca="false">IF(N(F152)&gt;0,F152,IF(N(E152)&gt;0,E152/요약!$F$27,0))</f>
        <v>24100</v>
      </c>
      <c r="L152" s="46" t="n">
        <f aca="false">IF(B152="CN",IF(N(I152)&gt;0,I152*요약!$G$27,K152*(1+요약!$E$27)),IF(N(H152)&gt;0,H152*요약!$G$27,J152*요약!$D$27))</f>
        <v>39336</v>
      </c>
      <c r="M152" s="46" t="n">
        <f aca="false">D152*J152</f>
        <v>12495000</v>
      </c>
      <c r="N152" s="46" t="n">
        <f aca="false">D152*K152</f>
        <v>2530500</v>
      </c>
      <c r="O152" s="46" t="n">
        <f aca="false">D152*L152</f>
        <v>4130280</v>
      </c>
      <c r="P152" s="42" t="str">
        <f aca="false">TRIM(IF(N(E152)&lt;=0,"택가보정 ","")&amp;IF(N(F152)&lt;=0,"원가보정 ","")&amp;IF(AND(B152&lt;&gt;"CN",N(H152)&lt;=0),"공급가보정 ","")&amp;IF(AND(B152="CN",N(I152)&lt;=0),"중국공급가=원가+마진 ",""))</f>
        <v/>
      </c>
      <c r="Q152" s="47" t="n">
        <f aca="false">IF(SUMIFS($W:$W,$A:$A,A152,$C:$C,C152)=0,0,SUMIFS(RAW_판매펀칭!$K:$K,RAW_판매펀칭!$P:$P,A152,RAW_판매펀칭!$I:$I,C152)*W152/SUMIFS($W:$W,$A:$A,A152,$C:$C,C152))</f>
        <v>0</v>
      </c>
      <c r="R152" s="47" t="n">
        <f aca="false">IF(OR(A152="500",A152="800",A152="810"),0,MAX(W152-Q152,0))</f>
        <v>0</v>
      </c>
      <c r="S152" s="47" t="n">
        <f aca="false">R152*L152</f>
        <v>0</v>
      </c>
      <c r="T152" s="47" t="n">
        <f aca="false">R152*J152</f>
        <v>0</v>
      </c>
      <c r="U152" s="47" t="n">
        <f aca="false">R152*K152</f>
        <v>0</v>
      </c>
      <c r="V152" s="0" t="str">
        <f aca="false">IF(COUNTIFS($A$2:A152,A152,$C$2:C152,C152,$D$2:D152,D152)&gt;1,"중복","")</f>
        <v/>
      </c>
      <c r="W152" s="0" t="n">
        <f aca="false">IF(V152="중복",0,N(D152))</f>
        <v>105</v>
      </c>
      <c r="X152" s="0" t="n">
        <f aca="false">IF(COUNTIFS($A$2:A152,A152,$C$2:C152,C152)=1,ABS(SUMIFS(RAW_발주!$D:$D,RAW_발주!$C:$C,A152,RAW_발주!$A:$A,C152)-SUMIFS($W:$W,$A:$A,A152,$C:$C,C152)),0)</f>
        <v>0</v>
      </c>
    </row>
    <row r="153" customFormat="false" ht="15" hidden="false" customHeight="true" outlineLevel="0" collapsed="false">
      <c r="A153" s="45" t="s">
        <v>1665</v>
      </c>
      <c r="B153" s="42" t="str">
        <f aca="false">IF(A153="100","HK",IF(A153="200","CN",IF(A153="300","TW","홀세일")))</f>
        <v>홀세일</v>
      </c>
      <c r="C153" s="45" t="s">
        <v>172</v>
      </c>
      <c r="D153" s="46" t="n">
        <v>216</v>
      </c>
      <c r="E153" s="46" t="n">
        <v>119000</v>
      </c>
      <c r="F153" s="46" t="n">
        <v>24100</v>
      </c>
      <c r="G153" s="42" t="n">
        <v>4.02</v>
      </c>
      <c r="H153" s="42" t="n">
        <v>29.8</v>
      </c>
      <c r="J153" s="46" t="n">
        <f aca="false">IF(N(E153)&gt;0,E153,IF(N(F153)&gt;0,F153*요약!$F$27,0))</f>
        <v>119000</v>
      </c>
      <c r="K153" s="46" t="n">
        <f aca="false">IF(N(F153)&gt;0,F153,IF(N(E153)&gt;0,E153/요약!$F$27,0))</f>
        <v>24100</v>
      </c>
      <c r="L153" s="46" t="n">
        <f aca="false">IF(B153="CN",IF(N(I153)&gt;0,I153*요약!$G$27,K153*(1+요약!$E$27)),IF(N(H153)&gt;0,H153*요약!$G$27,J153*요약!$D$27))</f>
        <v>39336</v>
      </c>
      <c r="M153" s="46" t="n">
        <f aca="false">D153*J153</f>
        <v>25704000</v>
      </c>
      <c r="N153" s="46" t="n">
        <f aca="false">D153*K153</f>
        <v>5205600</v>
      </c>
      <c r="O153" s="46" t="n">
        <f aca="false">D153*L153</f>
        <v>8496576</v>
      </c>
      <c r="P153" s="42" t="str">
        <f aca="false">TRIM(IF(N(E153)&lt;=0,"택가보정 ","")&amp;IF(N(F153)&lt;=0,"원가보정 ","")&amp;IF(AND(B153&lt;&gt;"CN",N(H153)&lt;=0),"공급가보정 ","")&amp;IF(AND(B153="CN",N(I153)&lt;=0),"중국공급가=원가+마진 ",""))</f>
        <v/>
      </c>
      <c r="Q153" s="47" t="n">
        <f aca="false">IF(SUMIFS($W:$W,$A:$A,A153,$C:$C,C153)=0,0,SUMIFS(RAW_판매펀칭!$K:$K,RAW_판매펀칭!$P:$P,A153,RAW_판매펀칭!$I:$I,C153)*W153/SUMIFS($W:$W,$A:$A,A153,$C:$C,C153))</f>
        <v>216</v>
      </c>
      <c r="R153" s="47" t="n">
        <f aca="false">IF(OR(A153="500",A153="800",A153="810"),0,MAX(W153-Q153,0))</f>
        <v>0</v>
      </c>
      <c r="S153" s="47" t="n">
        <f aca="false">R153*L153</f>
        <v>0</v>
      </c>
      <c r="T153" s="47" t="n">
        <f aca="false">R153*J153</f>
        <v>0</v>
      </c>
      <c r="U153" s="47" t="n">
        <f aca="false">R153*K153</f>
        <v>0</v>
      </c>
      <c r="V153" s="0" t="str">
        <f aca="false">IF(COUNTIFS($A$2:A153,A153,$C$2:C153,C153,$D$2:D153,D153)&gt;1,"중복","")</f>
        <v/>
      </c>
      <c r="W153" s="0" t="n">
        <f aca="false">IF(V153="중복",0,N(D153))</f>
        <v>216</v>
      </c>
      <c r="X153" s="0" t="n">
        <f aca="false">IF(COUNTIFS($A$2:A153,A153,$C$2:C153,C153)=1,ABS(SUMIFS(RAW_발주!$D:$D,RAW_발주!$C:$C,A153,RAW_발주!$A:$A,C153)-SUMIFS($W:$W,$A:$A,A153,$C:$C,C153)),0)</f>
        <v>0</v>
      </c>
    </row>
    <row r="154" customFormat="false" ht="15" hidden="false" customHeight="true" outlineLevel="0" collapsed="false">
      <c r="A154" s="45" t="s">
        <v>1661</v>
      </c>
      <c r="B154" s="42" t="str">
        <f aca="false">IF(A154="100","HK",IF(A154="200","CN",IF(A154="300","TW","홀세일")))</f>
        <v>TW</v>
      </c>
      <c r="C154" s="45" t="s">
        <v>174</v>
      </c>
      <c r="D154" s="46" t="n">
        <v>180</v>
      </c>
      <c r="E154" s="46" t="n">
        <v>109000</v>
      </c>
      <c r="F154" s="46" t="n">
        <v>23400</v>
      </c>
      <c r="G154" s="42" t="n">
        <v>3.74</v>
      </c>
      <c r="H154" s="42" t="n">
        <v>27.3</v>
      </c>
      <c r="J154" s="46" t="n">
        <f aca="false">IF(N(E154)&gt;0,E154,IF(N(F154)&gt;0,F154*요약!$F$27,0))</f>
        <v>109000</v>
      </c>
      <c r="K154" s="46" t="n">
        <f aca="false">IF(N(F154)&gt;0,F154,IF(N(E154)&gt;0,E154/요약!$F$27,0))</f>
        <v>23400</v>
      </c>
      <c r="L154" s="46" t="n">
        <f aca="false">IF(B154="CN",IF(N(I154)&gt;0,I154*요약!$G$27,K154*(1+요약!$E$27)),IF(N(H154)&gt;0,H154*요약!$G$27,J154*요약!$D$27))</f>
        <v>36036</v>
      </c>
      <c r="M154" s="46" t="n">
        <f aca="false">D154*J154</f>
        <v>19620000</v>
      </c>
      <c r="N154" s="46" t="n">
        <f aca="false">D154*K154</f>
        <v>4212000</v>
      </c>
      <c r="O154" s="46" t="n">
        <f aca="false">D154*L154</f>
        <v>6486480</v>
      </c>
      <c r="P154" s="42" t="str">
        <f aca="false">TRIM(IF(N(E154)&lt;=0,"택가보정 ","")&amp;IF(N(F154)&lt;=0,"원가보정 ","")&amp;IF(AND(B154&lt;&gt;"CN",N(H154)&lt;=0),"공급가보정 ","")&amp;IF(AND(B154="CN",N(I154)&lt;=0),"중국공급가=원가+마진 ",""))</f>
        <v/>
      </c>
      <c r="Q154" s="47" t="n">
        <f aca="false">IF(SUMIFS($W:$W,$A:$A,A154,$C:$C,C154)=0,0,SUMIFS(RAW_판매펀칭!$K:$K,RAW_판매펀칭!$P:$P,A154,RAW_판매펀칭!$I:$I,C154)*W154/SUMIFS($W:$W,$A:$A,A154,$C:$C,C154))</f>
        <v>180</v>
      </c>
      <c r="R154" s="47" t="n">
        <f aca="false">IF(OR(A154="500",A154="800",A154="810"),0,MAX(W154-Q154,0))</f>
        <v>0</v>
      </c>
      <c r="S154" s="47" t="n">
        <f aca="false">R154*L154</f>
        <v>0</v>
      </c>
      <c r="T154" s="47" t="n">
        <f aca="false">R154*J154</f>
        <v>0</v>
      </c>
      <c r="U154" s="47" t="n">
        <f aca="false">R154*K154</f>
        <v>0</v>
      </c>
      <c r="V154" s="0" t="str">
        <f aca="false">IF(COUNTIFS($A$2:A154,A154,$C$2:C154,C154,$D$2:D154,D154)&gt;1,"중복","")</f>
        <v/>
      </c>
      <c r="W154" s="0" t="n">
        <f aca="false">IF(V154="중복",0,N(D154))</f>
        <v>180</v>
      </c>
      <c r="X154" s="0" t="n">
        <f aca="false">IF(COUNTIFS($A$2:A154,A154,$C$2:C154,C154)=1,ABS(SUMIFS(RAW_발주!$D:$D,RAW_발주!$C:$C,A154,RAW_발주!$A:$A,C154)-SUMIFS($W:$W,$A:$A,A154,$C:$C,C154)),0)</f>
        <v>0</v>
      </c>
    </row>
    <row r="155" customFormat="false" ht="15" hidden="false" customHeight="true" outlineLevel="0" collapsed="false">
      <c r="A155" s="45" t="s">
        <v>1659</v>
      </c>
      <c r="B155" s="42" t="str">
        <f aca="false">IF(A155="100","HK",IF(A155="200","CN",IF(A155="300","TW","홀세일")))</f>
        <v>HK</v>
      </c>
      <c r="C155" s="45" t="s">
        <v>176</v>
      </c>
      <c r="D155" s="46" t="n">
        <v>420</v>
      </c>
      <c r="E155" s="46" t="n">
        <v>79000</v>
      </c>
      <c r="F155" s="46" t="n">
        <v>15900</v>
      </c>
      <c r="G155" s="42" t="n">
        <v>4.03</v>
      </c>
      <c r="H155" s="42" t="n">
        <v>19.8</v>
      </c>
      <c r="J155" s="46" t="n">
        <f aca="false">IF(N(E155)&gt;0,E155,IF(N(F155)&gt;0,F155*요약!$F$27,0))</f>
        <v>79000</v>
      </c>
      <c r="K155" s="46" t="n">
        <f aca="false">IF(N(F155)&gt;0,F155,IF(N(E155)&gt;0,E155/요약!$F$27,0))</f>
        <v>15900</v>
      </c>
      <c r="L155" s="46" t="n">
        <f aca="false">IF(B155="CN",IF(N(I155)&gt;0,I155*요약!$G$27,K155*(1+요약!$E$27)),IF(N(H155)&gt;0,H155*요약!$G$27,J155*요약!$D$27))</f>
        <v>26136</v>
      </c>
      <c r="M155" s="46" t="n">
        <f aca="false">D155*J155</f>
        <v>33180000</v>
      </c>
      <c r="N155" s="46" t="n">
        <f aca="false">D155*K155</f>
        <v>6678000</v>
      </c>
      <c r="O155" s="46" t="n">
        <f aca="false">D155*L155</f>
        <v>10977120</v>
      </c>
      <c r="P155" s="42" t="str">
        <f aca="false">TRIM(IF(N(E155)&lt;=0,"택가보정 ","")&amp;IF(N(F155)&lt;=0,"원가보정 ","")&amp;IF(AND(B155&lt;&gt;"CN",N(H155)&lt;=0),"공급가보정 ","")&amp;IF(AND(B155="CN",N(I155)&lt;=0),"중국공급가=원가+마진 ",""))</f>
        <v/>
      </c>
      <c r="Q155" s="47" t="n">
        <f aca="false">IF(SUMIFS($W:$W,$A:$A,A155,$C:$C,C155)=0,0,SUMIFS(RAW_판매펀칭!$K:$K,RAW_판매펀칭!$P:$P,A155,RAW_판매펀칭!$I:$I,C155)*W155/SUMIFS($W:$W,$A:$A,A155,$C:$C,C155))</f>
        <v>420</v>
      </c>
      <c r="R155" s="47" t="n">
        <f aca="false">IF(OR(A155="500",A155="800",A155="810"),0,MAX(W155-Q155,0))</f>
        <v>0</v>
      </c>
      <c r="S155" s="47" t="n">
        <f aca="false">R155*L155</f>
        <v>0</v>
      </c>
      <c r="T155" s="47" t="n">
        <f aca="false">R155*J155</f>
        <v>0</v>
      </c>
      <c r="U155" s="47" t="n">
        <f aca="false">R155*K155</f>
        <v>0</v>
      </c>
      <c r="V155" s="0" t="str">
        <f aca="false">IF(COUNTIFS($A$2:A155,A155,$C$2:C155,C155,$D$2:D155,D155)&gt;1,"중복","")</f>
        <v/>
      </c>
      <c r="W155" s="0" t="n">
        <f aca="false">IF(V155="중복",0,N(D155))</f>
        <v>420</v>
      </c>
      <c r="X155" s="0" t="n">
        <f aca="false">IF(COUNTIFS($A$2:A155,A155,$C$2:C155,C155)=1,ABS(SUMIFS(RAW_발주!$D:$D,RAW_발주!$C:$C,A155,RAW_발주!$A:$A,C155)-SUMIFS($W:$W,$A:$A,A155,$C:$C,C155)),0)</f>
        <v>0</v>
      </c>
    </row>
    <row r="156" customFormat="false" ht="15" hidden="false" customHeight="true" outlineLevel="0" collapsed="false">
      <c r="A156" s="45" t="s">
        <v>1661</v>
      </c>
      <c r="B156" s="42" t="str">
        <f aca="false">IF(A156="100","HK",IF(A156="200","CN",IF(A156="300","TW","홀세일")))</f>
        <v>TW</v>
      </c>
      <c r="C156" s="45" t="s">
        <v>176</v>
      </c>
      <c r="D156" s="46" t="n">
        <v>280</v>
      </c>
      <c r="E156" s="46" t="n">
        <v>79000</v>
      </c>
      <c r="F156" s="46" t="n">
        <v>15900</v>
      </c>
      <c r="G156" s="42" t="n">
        <v>4.03</v>
      </c>
      <c r="H156" s="42" t="n">
        <v>19.8</v>
      </c>
      <c r="J156" s="46" t="n">
        <f aca="false">IF(N(E156)&gt;0,E156,IF(N(F156)&gt;0,F156*요약!$F$27,0))</f>
        <v>79000</v>
      </c>
      <c r="K156" s="46" t="n">
        <f aca="false">IF(N(F156)&gt;0,F156,IF(N(E156)&gt;0,E156/요약!$F$27,0))</f>
        <v>15900</v>
      </c>
      <c r="L156" s="46" t="n">
        <f aca="false">IF(B156="CN",IF(N(I156)&gt;0,I156*요약!$G$27,K156*(1+요약!$E$27)),IF(N(H156)&gt;0,H156*요약!$G$27,J156*요약!$D$27))</f>
        <v>26136</v>
      </c>
      <c r="M156" s="46" t="n">
        <f aca="false">D156*J156</f>
        <v>22120000</v>
      </c>
      <c r="N156" s="46" t="n">
        <f aca="false">D156*K156</f>
        <v>4452000</v>
      </c>
      <c r="O156" s="46" t="n">
        <f aca="false">D156*L156</f>
        <v>7318080</v>
      </c>
      <c r="P156" s="42" t="str">
        <f aca="false">TRIM(IF(N(E156)&lt;=0,"택가보정 ","")&amp;IF(N(F156)&lt;=0,"원가보정 ","")&amp;IF(AND(B156&lt;&gt;"CN",N(H156)&lt;=0),"공급가보정 ","")&amp;IF(AND(B156="CN",N(I156)&lt;=0),"중국공급가=원가+마진 ",""))</f>
        <v/>
      </c>
      <c r="Q156" s="47" t="n">
        <f aca="false">IF(SUMIFS($W:$W,$A:$A,A156,$C:$C,C156)=0,0,SUMIFS(RAW_판매펀칭!$K:$K,RAW_판매펀칭!$P:$P,A156,RAW_판매펀칭!$I:$I,C156)*W156/SUMIFS($W:$W,$A:$A,A156,$C:$C,C156))</f>
        <v>280</v>
      </c>
      <c r="R156" s="47" t="n">
        <f aca="false">IF(OR(A156="500",A156="800",A156="810"),0,MAX(W156-Q156,0))</f>
        <v>0</v>
      </c>
      <c r="S156" s="47" t="n">
        <f aca="false">R156*L156</f>
        <v>0</v>
      </c>
      <c r="T156" s="47" t="n">
        <f aca="false">R156*J156</f>
        <v>0</v>
      </c>
      <c r="U156" s="47" t="n">
        <f aca="false">R156*K156</f>
        <v>0</v>
      </c>
      <c r="V156" s="0" t="str">
        <f aca="false">IF(COUNTIFS($A$2:A156,A156,$C$2:C156,C156,$D$2:D156,D156)&gt;1,"중복","")</f>
        <v/>
      </c>
      <c r="W156" s="0" t="n">
        <f aca="false">IF(V156="중복",0,N(D156))</f>
        <v>280</v>
      </c>
      <c r="X156" s="0" t="n">
        <f aca="false">IF(COUNTIFS($A$2:A156,A156,$C$2:C156,C156)=1,ABS(SUMIFS(RAW_발주!$D:$D,RAW_발주!$C:$C,A156,RAW_발주!$A:$A,C156)-SUMIFS($W:$W,$A:$A,A156,$C:$C,C156)),0)</f>
        <v>0</v>
      </c>
    </row>
    <row r="157" customFormat="false" ht="15" hidden="false" customHeight="true" outlineLevel="0" collapsed="false">
      <c r="A157" s="45" t="s">
        <v>1663</v>
      </c>
      <c r="B157" s="42" t="str">
        <f aca="false">IF(A157="100","HK",IF(A157="200","CN",IF(A157="300","TW","홀세일")))</f>
        <v>홀세일</v>
      </c>
      <c r="C157" s="45" t="s">
        <v>176</v>
      </c>
      <c r="D157" s="46" t="n">
        <v>60</v>
      </c>
      <c r="E157" s="46" t="n">
        <v>79000</v>
      </c>
      <c r="F157" s="46" t="n">
        <v>15900</v>
      </c>
      <c r="G157" s="42" t="n">
        <v>4.03</v>
      </c>
      <c r="H157" s="42" t="n">
        <v>19.8</v>
      </c>
      <c r="J157" s="46" t="n">
        <f aca="false">IF(N(E157)&gt;0,E157,IF(N(F157)&gt;0,F157*요약!$F$27,0))</f>
        <v>79000</v>
      </c>
      <c r="K157" s="46" t="n">
        <f aca="false">IF(N(F157)&gt;0,F157,IF(N(E157)&gt;0,E157/요약!$F$27,0))</f>
        <v>15900</v>
      </c>
      <c r="L157" s="46" t="n">
        <f aca="false">IF(B157="CN",IF(N(I157)&gt;0,I157*요약!$G$27,K157*(1+요약!$E$27)),IF(N(H157)&gt;0,H157*요약!$G$27,J157*요약!$D$27))</f>
        <v>26136</v>
      </c>
      <c r="M157" s="46" t="n">
        <f aca="false">D157*J157</f>
        <v>4740000</v>
      </c>
      <c r="N157" s="46" t="n">
        <f aca="false">D157*K157</f>
        <v>954000</v>
      </c>
      <c r="O157" s="46" t="n">
        <f aca="false">D157*L157</f>
        <v>1568160</v>
      </c>
      <c r="P157" s="42" t="str">
        <f aca="false">TRIM(IF(N(E157)&lt;=0,"택가보정 ","")&amp;IF(N(F157)&lt;=0,"원가보정 ","")&amp;IF(AND(B157&lt;&gt;"CN",N(H157)&lt;=0),"공급가보정 ","")&amp;IF(AND(B157="CN",N(I157)&lt;=0),"중국공급가=원가+마진 ",""))</f>
        <v/>
      </c>
      <c r="Q157" s="47" t="n">
        <f aca="false">IF(SUMIFS($W:$W,$A:$A,A157,$C:$C,C157)=0,0,SUMIFS(RAW_판매펀칭!$K:$K,RAW_판매펀칭!$P:$P,A157,RAW_판매펀칭!$I:$I,C157)*W157/SUMIFS($W:$W,$A:$A,A157,$C:$C,C157))</f>
        <v>60</v>
      </c>
      <c r="R157" s="47" t="n">
        <f aca="false">IF(OR(A157="500",A157="800",A157="810"),0,MAX(W157-Q157,0))</f>
        <v>0</v>
      </c>
      <c r="S157" s="47" t="n">
        <f aca="false">R157*L157</f>
        <v>0</v>
      </c>
      <c r="T157" s="47" t="n">
        <f aca="false">R157*J157</f>
        <v>0</v>
      </c>
      <c r="U157" s="47" t="n">
        <f aca="false">R157*K157</f>
        <v>0</v>
      </c>
      <c r="V157" s="0" t="str">
        <f aca="false">IF(COUNTIFS($A$2:A157,A157,$C$2:C157,C157,$D$2:D157,D157)&gt;1,"중복","")</f>
        <v/>
      </c>
      <c r="W157" s="0" t="n">
        <f aca="false">IF(V157="중복",0,N(D157))</f>
        <v>60</v>
      </c>
      <c r="X157" s="0" t="n">
        <f aca="false">IF(COUNTIFS($A$2:A157,A157,$C$2:C157,C157)=1,ABS(SUMIFS(RAW_발주!$D:$D,RAW_발주!$C:$C,A157,RAW_발주!$A:$A,C157)-SUMIFS($W:$W,$A:$A,A157,$C:$C,C157)),0)</f>
        <v>0</v>
      </c>
    </row>
    <row r="158" customFormat="false" ht="15" hidden="false" customHeight="true" outlineLevel="0" collapsed="false">
      <c r="A158" s="45" t="s">
        <v>1659</v>
      </c>
      <c r="B158" s="42" t="str">
        <f aca="false">IF(A158="100","HK",IF(A158="200","CN",IF(A158="300","TW","홀세일")))</f>
        <v>HK</v>
      </c>
      <c r="C158" s="45" t="s">
        <v>178</v>
      </c>
      <c r="D158" s="46" t="n">
        <v>340</v>
      </c>
      <c r="E158" s="46" t="n">
        <v>89000</v>
      </c>
      <c r="F158" s="46" t="n">
        <v>20714</v>
      </c>
      <c r="G158" s="42" t="n">
        <v>3.85</v>
      </c>
      <c r="H158" s="42" t="n">
        <v>22.3</v>
      </c>
      <c r="J158" s="46" t="n">
        <f aca="false">IF(N(E158)&gt;0,E158,IF(N(F158)&gt;0,F158*요약!$F$27,0))</f>
        <v>89000</v>
      </c>
      <c r="K158" s="46" t="n">
        <f aca="false">IF(N(F158)&gt;0,F158,IF(N(E158)&gt;0,E158/요약!$F$27,0))</f>
        <v>20714</v>
      </c>
      <c r="L158" s="46" t="n">
        <f aca="false">IF(B158="CN",IF(N(I158)&gt;0,I158*요약!$G$27,K158*(1+요약!$E$27)),IF(N(H158)&gt;0,H158*요약!$G$27,J158*요약!$D$27))</f>
        <v>29436</v>
      </c>
      <c r="M158" s="46" t="n">
        <f aca="false">D158*J158</f>
        <v>30260000</v>
      </c>
      <c r="N158" s="46" t="n">
        <f aca="false">D158*K158</f>
        <v>7042760</v>
      </c>
      <c r="O158" s="46" t="n">
        <f aca="false">D158*L158</f>
        <v>10008240</v>
      </c>
      <c r="P158" s="42" t="str">
        <f aca="false">TRIM(IF(N(E158)&lt;=0,"택가보정 ","")&amp;IF(N(F158)&lt;=0,"원가보정 ","")&amp;IF(AND(B158&lt;&gt;"CN",N(H158)&lt;=0),"공급가보정 ","")&amp;IF(AND(B158="CN",N(I158)&lt;=0),"중국공급가=원가+마진 ",""))</f>
        <v/>
      </c>
      <c r="Q158" s="47" t="n">
        <f aca="false">IF(SUMIFS($W:$W,$A:$A,A158,$C:$C,C158)=0,0,SUMIFS(RAW_판매펀칭!$K:$K,RAW_판매펀칭!$P:$P,A158,RAW_판매펀칭!$I:$I,C158)*W158/SUMIFS($W:$W,$A:$A,A158,$C:$C,C158))</f>
        <v>340</v>
      </c>
      <c r="R158" s="47" t="n">
        <f aca="false">IF(OR(A158="500",A158="800",A158="810"),0,MAX(W158-Q158,0))</f>
        <v>0</v>
      </c>
      <c r="S158" s="47" t="n">
        <f aca="false">R158*L158</f>
        <v>0</v>
      </c>
      <c r="T158" s="47" t="n">
        <f aca="false">R158*J158</f>
        <v>0</v>
      </c>
      <c r="U158" s="47" t="n">
        <f aca="false">R158*K158</f>
        <v>0</v>
      </c>
      <c r="V158" s="0" t="str">
        <f aca="false">IF(COUNTIFS($A$2:A158,A158,$C$2:C158,C158,$D$2:D158,D158)&gt;1,"중복","")</f>
        <v/>
      </c>
      <c r="W158" s="0" t="n">
        <f aca="false">IF(V158="중복",0,N(D158))</f>
        <v>340</v>
      </c>
      <c r="X158" s="0" t="n">
        <f aca="false">IF(COUNTIFS($A$2:A158,A158,$C$2:C158,C158)=1,ABS(SUMIFS(RAW_발주!$D:$D,RAW_발주!$C:$C,A158,RAW_발주!$A:$A,C158)-SUMIFS($W:$W,$A:$A,A158,$C:$C,C158)),0)</f>
        <v>0</v>
      </c>
    </row>
    <row r="159" customFormat="false" ht="15.75" hidden="false" customHeight="true" outlineLevel="0" collapsed="false">
      <c r="A159" s="45" t="s">
        <v>1660</v>
      </c>
      <c r="B159" s="42" t="str">
        <f aca="false">IF(A159="100","HK",IF(A159="200","CN",IF(A159="300","TW","홀세일")))</f>
        <v>CN</v>
      </c>
      <c r="C159" s="45" t="s">
        <v>178</v>
      </c>
      <c r="D159" s="46" t="n">
        <v>302</v>
      </c>
      <c r="E159" s="46" t="n">
        <v>89000</v>
      </c>
      <c r="F159" s="46" t="n">
        <v>20714</v>
      </c>
      <c r="G159" s="42" t="n">
        <v>3.85</v>
      </c>
      <c r="H159" s="42" t="n">
        <v>22.3</v>
      </c>
      <c r="J159" s="46" t="n">
        <f aca="false">IF(N(E159)&gt;0,E159,IF(N(F159)&gt;0,F159*요약!$F$27,0))</f>
        <v>89000</v>
      </c>
      <c r="K159" s="46" t="n">
        <f aca="false">IF(N(F159)&gt;0,F159,IF(N(E159)&gt;0,E159/요약!$F$27,0))</f>
        <v>20714</v>
      </c>
      <c r="L159" s="46" t="n">
        <f aca="false">IF(B159="CN",IF(N(I159)&gt;0,I159*요약!$G$27,K159*(1+요약!$E$27)),IF(N(H159)&gt;0,H159*요약!$G$27,J159*요약!$D$27))</f>
        <v>21749.7</v>
      </c>
      <c r="M159" s="46" t="n">
        <f aca="false">D159*J159</f>
        <v>26878000</v>
      </c>
      <c r="N159" s="46" t="n">
        <f aca="false">D159*K159</f>
        <v>6255628</v>
      </c>
      <c r="O159" s="46" t="n">
        <f aca="false">D159*L159</f>
        <v>6568409.4</v>
      </c>
      <c r="P159" s="42" t="str">
        <f aca="false">TRIM(IF(N(E159)&lt;=0,"택가보정 ","")&amp;IF(N(F159)&lt;=0,"원가보정 ","")&amp;IF(AND(B159&lt;&gt;"CN",N(H159)&lt;=0),"공급가보정 ","")&amp;IF(AND(B159="CN",N(I159)&lt;=0),"중국공급가=원가+마진 ",""))</f>
        <v>중국공급가=원가+마진</v>
      </c>
      <c r="Q159" s="47" t="n">
        <f aca="false">IF(SUMIFS($W:$W,$A:$A,A159,$C:$C,C159)=0,0,SUMIFS(RAW_판매펀칭!$K:$K,RAW_판매펀칭!$P:$P,A159,RAW_판매펀칭!$I:$I,C159)*W159/SUMIFS($W:$W,$A:$A,A159,$C:$C,C159))</f>
        <v>0</v>
      </c>
      <c r="R159" s="47" t="n">
        <f aca="false">IF(OR(A159="500",A159="800",A159="810"),0,MAX(W159-Q159,0))</f>
        <v>302</v>
      </c>
      <c r="S159" s="47" t="n">
        <f aca="false">R159*L159</f>
        <v>6568409.4</v>
      </c>
      <c r="T159" s="47" t="n">
        <f aca="false">R159*J159</f>
        <v>26878000</v>
      </c>
      <c r="U159" s="47" t="n">
        <f aca="false">R159*K159</f>
        <v>6255628</v>
      </c>
      <c r="V159" s="0" t="str">
        <f aca="false">IF(COUNTIFS($A$2:A159,A159,$C$2:C159,C159,$D$2:D159,D159)&gt;1,"중복","")</f>
        <v/>
      </c>
      <c r="W159" s="0" t="n">
        <f aca="false">IF(V159="중복",0,N(D159))</f>
        <v>302</v>
      </c>
      <c r="X159" s="0" t="n">
        <f aca="false">IF(COUNTIFS($A$2:A159,A159,$C$2:C159,C159)=1,ABS(SUMIFS(RAW_발주!$D:$D,RAW_발주!$C:$C,A159,RAW_발주!$A:$A,C159)-SUMIFS($W:$W,$A:$A,A159,$C:$C,C159)),0)</f>
        <v>0</v>
      </c>
    </row>
    <row r="160" customFormat="false" ht="15" hidden="false" customHeight="true" outlineLevel="0" collapsed="false">
      <c r="A160" s="45" t="s">
        <v>1661</v>
      </c>
      <c r="B160" s="42" t="str">
        <f aca="false">IF(A160="100","HK",IF(A160="200","CN",IF(A160="300","TW","홀세일")))</f>
        <v>TW</v>
      </c>
      <c r="C160" s="45" t="s">
        <v>178</v>
      </c>
      <c r="D160" s="46" t="n">
        <v>330</v>
      </c>
      <c r="E160" s="46" t="n">
        <v>89000</v>
      </c>
      <c r="F160" s="46" t="n">
        <v>20714</v>
      </c>
      <c r="G160" s="42" t="n">
        <v>3.85</v>
      </c>
      <c r="H160" s="42" t="n">
        <v>22.3</v>
      </c>
      <c r="J160" s="46" t="n">
        <f aca="false">IF(N(E160)&gt;0,E160,IF(N(F160)&gt;0,F160*요약!$F$27,0))</f>
        <v>89000</v>
      </c>
      <c r="K160" s="46" t="n">
        <f aca="false">IF(N(F160)&gt;0,F160,IF(N(E160)&gt;0,E160/요약!$F$27,0))</f>
        <v>20714</v>
      </c>
      <c r="L160" s="46" t="n">
        <f aca="false">IF(B160="CN",IF(N(I160)&gt;0,I160*요약!$G$27,K160*(1+요약!$E$27)),IF(N(H160)&gt;0,H160*요약!$G$27,J160*요약!$D$27))</f>
        <v>29436</v>
      </c>
      <c r="M160" s="46" t="n">
        <f aca="false">D160*J160</f>
        <v>29370000</v>
      </c>
      <c r="N160" s="46" t="n">
        <f aca="false">D160*K160</f>
        <v>6835620</v>
      </c>
      <c r="O160" s="46" t="n">
        <f aca="false">D160*L160</f>
        <v>9713880</v>
      </c>
      <c r="P160" s="42" t="str">
        <f aca="false">TRIM(IF(N(E160)&lt;=0,"택가보정 ","")&amp;IF(N(F160)&lt;=0,"원가보정 ","")&amp;IF(AND(B160&lt;&gt;"CN",N(H160)&lt;=0),"공급가보정 ","")&amp;IF(AND(B160="CN",N(I160)&lt;=0),"중국공급가=원가+마진 ",""))</f>
        <v/>
      </c>
      <c r="Q160" s="47" t="n">
        <f aca="false">IF(SUMIFS($W:$W,$A:$A,A160,$C:$C,C160)=0,0,SUMIFS(RAW_판매펀칭!$K:$K,RAW_판매펀칭!$P:$P,A160,RAW_판매펀칭!$I:$I,C160)*W160/SUMIFS($W:$W,$A:$A,A160,$C:$C,C160))</f>
        <v>330</v>
      </c>
      <c r="R160" s="47" t="n">
        <f aca="false">IF(OR(A160="500",A160="800",A160="810"),0,MAX(W160-Q160,0))</f>
        <v>0</v>
      </c>
      <c r="S160" s="47" t="n">
        <f aca="false">R160*L160</f>
        <v>0</v>
      </c>
      <c r="T160" s="47" t="n">
        <f aca="false">R160*J160</f>
        <v>0</v>
      </c>
      <c r="U160" s="47" t="n">
        <f aca="false">R160*K160</f>
        <v>0</v>
      </c>
      <c r="V160" s="0" t="str">
        <f aca="false">IF(COUNTIFS($A$2:A160,A160,$C$2:C160,C160,$D$2:D160,D160)&gt;1,"중복","")</f>
        <v/>
      </c>
      <c r="W160" s="0" t="n">
        <f aca="false">IF(V160="중복",0,N(D160))</f>
        <v>330</v>
      </c>
      <c r="X160" s="0" t="n">
        <f aca="false">IF(COUNTIFS($A$2:A160,A160,$C$2:C160,C160)=1,ABS(SUMIFS(RAW_발주!$D:$D,RAW_발주!$C:$C,A160,RAW_발주!$A:$A,C160)-SUMIFS($W:$W,$A:$A,A160,$C:$C,C160)),0)</f>
        <v>0</v>
      </c>
    </row>
    <row r="161" customFormat="false" ht="15" hidden="false" customHeight="true" outlineLevel="0" collapsed="false">
      <c r="A161" s="45" t="s">
        <v>1663</v>
      </c>
      <c r="B161" s="42" t="str">
        <f aca="false">IF(A161="100","HK",IF(A161="200","CN",IF(A161="300","TW","홀세일")))</f>
        <v>홀세일</v>
      </c>
      <c r="C161" s="45" t="s">
        <v>178</v>
      </c>
      <c r="D161" s="46" t="n">
        <v>40</v>
      </c>
      <c r="E161" s="46" t="n">
        <v>89000</v>
      </c>
      <c r="F161" s="46" t="n">
        <v>20714</v>
      </c>
      <c r="G161" s="42" t="n">
        <v>3.85</v>
      </c>
      <c r="H161" s="42" t="n">
        <v>22.3</v>
      </c>
      <c r="J161" s="46" t="n">
        <f aca="false">IF(N(E161)&gt;0,E161,IF(N(F161)&gt;0,F161*요약!$F$27,0))</f>
        <v>89000</v>
      </c>
      <c r="K161" s="46" t="n">
        <f aca="false">IF(N(F161)&gt;0,F161,IF(N(E161)&gt;0,E161/요약!$F$27,0))</f>
        <v>20714</v>
      </c>
      <c r="L161" s="46" t="n">
        <f aca="false">IF(B161="CN",IF(N(I161)&gt;0,I161*요약!$G$27,K161*(1+요약!$E$27)),IF(N(H161)&gt;0,H161*요약!$G$27,J161*요약!$D$27))</f>
        <v>29436</v>
      </c>
      <c r="M161" s="46" t="n">
        <f aca="false">D161*J161</f>
        <v>3560000</v>
      </c>
      <c r="N161" s="46" t="n">
        <f aca="false">D161*K161</f>
        <v>828560</v>
      </c>
      <c r="O161" s="46" t="n">
        <f aca="false">D161*L161</f>
        <v>1177440</v>
      </c>
      <c r="P161" s="42" t="str">
        <f aca="false">TRIM(IF(N(E161)&lt;=0,"택가보정 ","")&amp;IF(N(F161)&lt;=0,"원가보정 ","")&amp;IF(AND(B161&lt;&gt;"CN",N(H161)&lt;=0),"공급가보정 ","")&amp;IF(AND(B161="CN",N(I161)&lt;=0),"중국공급가=원가+마진 ",""))</f>
        <v/>
      </c>
      <c r="Q161" s="47" t="n">
        <f aca="false">IF(SUMIFS($W:$W,$A:$A,A161,$C:$C,C161)=0,0,SUMIFS(RAW_판매펀칭!$K:$K,RAW_판매펀칭!$P:$P,A161,RAW_판매펀칭!$I:$I,C161)*W161/SUMIFS($W:$W,$A:$A,A161,$C:$C,C161))</f>
        <v>40</v>
      </c>
      <c r="R161" s="47" t="n">
        <f aca="false">IF(OR(A161="500",A161="800",A161="810"),0,MAX(W161-Q161,0))</f>
        <v>0</v>
      </c>
      <c r="S161" s="47" t="n">
        <f aca="false">R161*L161</f>
        <v>0</v>
      </c>
      <c r="T161" s="47" t="n">
        <f aca="false">R161*J161</f>
        <v>0</v>
      </c>
      <c r="U161" s="47" t="n">
        <f aca="false">R161*K161</f>
        <v>0</v>
      </c>
      <c r="V161" s="0" t="str">
        <f aca="false">IF(COUNTIFS($A$2:A161,A161,$C$2:C161,C161,$D$2:D161,D161)&gt;1,"중복","")</f>
        <v/>
      </c>
      <c r="W161" s="0" t="n">
        <f aca="false">IF(V161="중복",0,N(D161))</f>
        <v>40</v>
      </c>
      <c r="X161" s="0" t="n">
        <f aca="false">IF(COUNTIFS($A$2:A161,A161,$C$2:C161,C161)=1,ABS(SUMIFS(RAW_발주!$D:$D,RAW_발주!$C:$C,A161,RAW_발주!$A:$A,C161)-SUMIFS($W:$W,$A:$A,A161,$C:$C,C161)),0)</f>
        <v>0</v>
      </c>
    </row>
    <row r="162" customFormat="false" ht="15" hidden="false" customHeight="true" outlineLevel="0" collapsed="false">
      <c r="A162" s="45" t="s">
        <v>1664</v>
      </c>
      <c r="B162" s="42" t="str">
        <f aca="false">IF(A162="100","HK",IF(A162="200","CN",IF(A162="300","TW","홀세일")))</f>
        <v>홀세일</v>
      </c>
      <c r="C162" s="45" t="s">
        <v>178</v>
      </c>
      <c r="D162" s="46" t="n">
        <v>160</v>
      </c>
      <c r="E162" s="46" t="n">
        <v>89000</v>
      </c>
      <c r="F162" s="46" t="n">
        <v>20714</v>
      </c>
      <c r="G162" s="42" t="n">
        <v>3.85</v>
      </c>
      <c r="H162" s="42" t="n">
        <v>22.3</v>
      </c>
      <c r="J162" s="46" t="n">
        <f aca="false">IF(N(E162)&gt;0,E162,IF(N(F162)&gt;0,F162*요약!$F$27,0))</f>
        <v>89000</v>
      </c>
      <c r="K162" s="46" t="n">
        <f aca="false">IF(N(F162)&gt;0,F162,IF(N(E162)&gt;0,E162/요약!$F$27,0))</f>
        <v>20714</v>
      </c>
      <c r="L162" s="46" t="n">
        <f aca="false">IF(B162="CN",IF(N(I162)&gt;0,I162*요약!$G$27,K162*(1+요약!$E$27)),IF(N(H162)&gt;0,H162*요약!$G$27,J162*요약!$D$27))</f>
        <v>29436</v>
      </c>
      <c r="M162" s="46" t="n">
        <f aca="false">D162*J162</f>
        <v>14240000</v>
      </c>
      <c r="N162" s="46" t="n">
        <f aca="false">D162*K162</f>
        <v>3314240</v>
      </c>
      <c r="O162" s="46" t="n">
        <f aca="false">D162*L162</f>
        <v>4709760</v>
      </c>
      <c r="P162" s="42" t="str">
        <f aca="false">TRIM(IF(N(E162)&lt;=0,"택가보정 ","")&amp;IF(N(F162)&lt;=0,"원가보정 ","")&amp;IF(AND(B162&lt;&gt;"CN",N(H162)&lt;=0),"공급가보정 ","")&amp;IF(AND(B162="CN",N(I162)&lt;=0),"중국공급가=원가+마진 ",""))</f>
        <v/>
      </c>
      <c r="Q162" s="47" t="n">
        <f aca="false">IF(SUMIFS($W:$W,$A:$A,A162,$C:$C,C162)=0,0,SUMIFS(RAW_판매펀칭!$K:$K,RAW_판매펀칭!$P:$P,A162,RAW_판매펀칭!$I:$I,C162)*W162/SUMIFS($W:$W,$A:$A,A162,$C:$C,C162))</f>
        <v>0</v>
      </c>
      <c r="R162" s="47" t="n">
        <f aca="false">IF(OR(A162="500",A162="800",A162="810"),0,MAX(W162-Q162,0))</f>
        <v>0</v>
      </c>
      <c r="S162" s="47" t="n">
        <f aca="false">R162*L162</f>
        <v>0</v>
      </c>
      <c r="T162" s="47" t="n">
        <f aca="false">R162*J162</f>
        <v>0</v>
      </c>
      <c r="U162" s="47" t="n">
        <f aca="false">R162*K162</f>
        <v>0</v>
      </c>
      <c r="V162" s="0" t="str">
        <f aca="false">IF(COUNTIFS($A$2:A162,A162,$C$2:C162,C162,$D$2:D162,D162)&gt;1,"중복","")</f>
        <v/>
      </c>
      <c r="W162" s="0" t="n">
        <f aca="false">IF(V162="중복",0,N(D162))</f>
        <v>160</v>
      </c>
      <c r="X162" s="0" t="n">
        <f aca="false">IF(COUNTIFS($A$2:A162,A162,$C$2:C162,C162)=1,ABS(SUMIFS(RAW_발주!$D:$D,RAW_발주!$C:$C,A162,RAW_발주!$A:$A,C162)-SUMIFS($W:$W,$A:$A,A162,$C:$C,C162)),0)</f>
        <v>0</v>
      </c>
    </row>
    <row r="163" customFormat="false" ht="15" hidden="false" customHeight="true" outlineLevel="0" collapsed="false">
      <c r="A163" s="45" t="s">
        <v>1659</v>
      </c>
      <c r="B163" s="42" t="str">
        <f aca="false">IF(A163="100","HK",IF(A163="200","CN",IF(A163="300","TW","홀세일")))</f>
        <v>HK</v>
      </c>
      <c r="C163" s="45" t="s">
        <v>180</v>
      </c>
      <c r="D163" s="46" t="n">
        <v>200</v>
      </c>
      <c r="E163" s="46" t="n">
        <v>89000</v>
      </c>
      <c r="F163" s="46" t="n">
        <v>19400</v>
      </c>
      <c r="G163" s="42" t="n">
        <v>3.78</v>
      </c>
      <c r="H163" s="42" t="n">
        <v>22.3</v>
      </c>
      <c r="J163" s="46" t="n">
        <f aca="false">IF(N(E163)&gt;0,E163,IF(N(F163)&gt;0,F163*요약!$F$27,0))</f>
        <v>89000</v>
      </c>
      <c r="K163" s="46" t="n">
        <f aca="false">IF(N(F163)&gt;0,F163,IF(N(E163)&gt;0,E163/요약!$F$27,0))</f>
        <v>19400</v>
      </c>
      <c r="L163" s="46" t="n">
        <f aca="false">IF(B163="CN",IF(N(I163)&gt;0,I163*요약!$G$27,K163*(1+요약!$E$27)),IF(N(H163)&gt;0,H163*요약!$G$27,J163*요약!$D$27))</f>
        <v>29436</v>
      </c>
      <c r="M163" s="46" t="n">
        <f aca="false">D163*J163</f>
        <v>17800000</v>
      </c>
      <c r="N163" s="46" t="n">
        <f aca="false">D163*K163</f>
        <v>3880000</v>
      </c>
      <c r="O163" s="46" t="n">
        <f aca="false">D163*L163</f>
        <v>5887200</v>
      </c>
      <c r="P163" s="42" t="str">
        <f aca="false">TRIM(IF(N(E163)&lt;=0,"택가보정 ","")&amp;IF(N(F163)&lt;=0,"원가보정 ","")&amp;IF(AND(B163&lt;&gt;"CN",N(H163)&lt;=0),"공급가보정 ","")&amp;IF(AND(B163="CN",N(I163)&lt;=0),"중국공급가=원가+마진 ",""))</f>
        <v/>
      </c>
      <c r="Q163" s="47" t="n">
        <f aca="false">IF(SUMIFS($W:$W,$A:$A,A163,$C:$C,C163)=0,0,SUMIFS(RAW_판매펀칭!$K:$K,RAW_판매펀칭!$P:$P,A163,RAW_판매펀칭!$I:$I,C163)*W163/SUMIFS($W:$W,$A:$A,A163,$C:$C,C163))</f>
        <v>200</v>
      </c>
      <c r="R163" s="47" t="n">
        <f aca="false">IF(OR(A163="500",A163="800",A163="810"),0,MAX(W163-Q163,0))</f>
        <v>0</v>
      </c>
      <c r="S163" s="47" t="n">
        <f aca="false">R163*L163</f>
        <v>0</v>
      </c>
      <c r="T163" s="47" t="n">
        <f aca="false">R163*J163</f>
        <v>0</v>
      </c>
      <c r="U163" s="47" t="n">
        <f aca="false">R163*K163</f>
        <v>0</v>
      </c>
      <c r="V163" s="0" t="str">
        <f aca="false">IF(COUNTIFS($A$2:A163,A163,$C$2:C163,C163,$D$2:D163,D163)&gt;1,"중복","")</f>
        <v/>
      </c>
      <c r="W163" s="0" t="n">
        <f aca="false">IF(V163="중복",0,N(D163))</f>
        <v>200</v>
      </c>
      <c r="X163" s="0" t="n">
        <f aca="false">IF(COUNTIFS($A$2:A163,A163,$C$2:C163,C163)=1,ABS(SUMIFS(RAW_발주!$D:$D,RAW_발주!$C:$C,A163,RAW_발주!$A:$A,C163)-SUMIFS($W:$W,$A:$A,A163,$C:$C,C163)),0)</f>
        <v>0</v>
      </c>
    </row>
    <row r="164" customFormat="false" ht="15" hidden="false" customHeight="true" outlineLevel="0" collapsed="false">
      <c r="A164" s="45" t="s">
        <v>1661</v>
      </c>
      <c r="B164" s="42" t="str">
        <f aca="false">IF(A164="100","HK",IF(A164="200","CN",IF(A164="300","TW","홀세일")))</f>
        <v>TW</v>
      </c>
      <c r="C164" s="45" t="s">
        <v>180</v>
      </c>
      <c r="D164" s="46" t="n">
        <v>150</v>
      </c>
      <c r="E164" s="46" t="n">
        <v>89000</v>
      </c>
      <c r="F164" s="46" t="n">
        <v>19400</v>
      </c>
      <c r="G164" s="42" t="n">
        <v>3.78</v>
      </c>
      <c r="H164" s="42" t="n">
        <v>22.3</v>
      </c>
      <c r="J164" s="46" t="n">
        <f aca="false">IF(N(E164)&gt;0,E164,IF(N(F164)&gt;0,F164*요약!$F$27,0))</f>
        <v>89000</v>
      </c>
      <c r="K164" s="46" t="n">
        <f aca="false">IF(N(F164)&gt;0,F164,IF(N(E164)&gt;0,E164/요약!$F$27,0))</f>
        <v>19400</v>
      </c>
      <c r="L164" s="46" t="n">
        <f aca="false">IF(B164="CN",IF(N(I164)&gt;0,I164*요약!$G$27,K164*(1+요약!$E$27)),IF(N(H164)&gt;0,H164*요약!$G$27,J164*요약!$D$27))</f>
        <v>29436</v>
      </c>
      <c r="M164" s="46" t="n">
        <f aca="false">D164*J164</f>
        <v>13350000</v>
      </c>
      <c r="N164" s="46" t="n">
        <f aca="false">D164*K164</f>
        <v>2910000</v>
      </c>
      <c r="O164" s="46" t="n">
        <f aca="false">D164*L164</f>
        <v>4415400</v>
      </c>
      <c r="P164" s="42" t="str">
        <f aca="false">TRIM(IF(N(E164)&lt;=0,"택가보정 ","")&amp;IF(N(F164)&lt;=0,"원가보정 ","")&amp;IF(AND(B164&lt;&gt;"CN",N(H164)&lt;=0),"공급가보정 ","")&amp;IF(AND(B164="CN",N(I164)&lt;=0),"중국공급가=원가+마진 ",""))</f>
        <v/>
      </c>
      <c r="Q164" s="47" t="n">
        <f aca="false">IF(SUMIFS($W:$W,$A:$A,A164,$C:$C,C164)=0,0,SUMIFS(RAW_판매펀칭!$K:$K,RAW_판매펀칭!$P:$P,A164,RAW_판매펀칭!$I:$I,C164)*W164/SUMIFS($W:$W,$A:$A,A164,$C:$C,C164))</f>
        <v>150</v>
      </c>
      <c r="R164" s="47" t="n">
        <f aca="false">IF(OR(A164="500",A164="800",A164="810"),0,MAX(W164-Q164,0))</f>
        <v>0</v>
      </c>
      <c r="S164" s="47" t="n">
        <f aca="false">R164*L164</f>
        <v>0</v>
      </c>
      <c r="T164" s="47" t="n">
        <f aca="false">R164*J164</f>
        <v>0</v>
      </c>
      <c r="U164" s="47" t="n">
        <f aca="false">R164*K164</f>
        <v>0</v>
      </c>
      <c r="V164" s="0" t="str">
        <f aca="false">IF(COUNTIFS($A$2:A164,A164,$C$2:C164,C164,$D$2:D164,D164)&gt;1,"중복","")</f>
        <v/>
      </c>
      <c r="W164" s="0" t="n">
        <f aca="false">IF(V164="중복",0,N(D164))</f>
        <v>150</v>
      </c>
      <c r="X164" s="0" t="n">
        <f aca="false">IF(COUNTIFS($A$2:A164,A164,$C$2:C164,C164)=1,ABS(SUMIFS(RAW_발주!$D:$D,RAW_발주!$C:$C,A164,RAW_발주!$A:$A,C164)-SUMIFS($W:$W,$A:$A,A164,$C:$C,C164)),0)</f>
        <v>0</v>
      </c>
    </row>
    <row r="165" customFormat="false" ht="15" hidden="false" customHeight="true" outlineLevel="0" collapsed="false">
      <c r="A165" s="45" t="s">
        <v>1663</v>
      </c>
      <c r="B165" s="42" t="str">
        <f aca="false">IF(A165="100","HK",IF(A165="200","CN",IF(A165="300","TW","홀세일")))</f>
        <v>홀세일</v>
      </c>
      <c r="C165" s="45" t="s">
        <v>180</v>
      </c>
      <c r="D165" s="46" t="n">
        <v>40</v>
      </c>
      <c r="E165" s="46" t="n">
        <v>89000</v>
      </c>
      <c r="F165" s="46" t="n">
        <v>19400</v>
      </c>
      <c r="G165" s="42" t="n">
        <v>3.78</v>
      </c>
      <c r="H165" s="42" t="n">
        <v>22.3</v>
      </c>
      <c r="J165" s="46" t="n">
        <f aca="false">IF(N(E165)&gt;0,E165,IF(N(F165)&gt;0,F165*요약!$F$27,0))</f>
        <v>89000</v>
      </c>
      <c r="K165" s="46" t="n">
        <f aca="false">IF(N(F165)&gt;0,F165,IF(N(E165)&gt;0,E165/요약!$F$27,0))</f>
        <v>19400</v>
      </c>
      <c r="L165" s="46" t="n">
        <f aca="false">IF(B165="CN",IF(N(I165)&gt;0,I165*요약!$G$27,K165*(1+요약!$E$27)),IF(N(H165)&gt;0,H165*요약!$G$27,J165*요약!$D$27))</f>
        <v>29436</v>
      </c>
      <c r="M165" s="46" t="n">
        <f aca="false">D165*J165</f>
        <v>3560000</v>
      </c>
      <c r="N165" s="46" t="n">
        <f aca="false">D165*K165</f>
        <v>776000</v>
      </c>
      <c r="O165" s="46" t="n">
        <f aca="false">D165*L165</f>
        <v>1177440</v>
      </c>
      <c r="P165" s="42" t="str">
        <f aca="false">TRIM(IF(N(E165)&lt;=0,"택가보정 ","")&amp;IF(N(F165)&lt;=0,"원가보정 ","")&amp;IF(AND(B165&lt;&gt;"CN",N(H165)&lt;=0),"공급가보정 ","")&amp;IF(AND(B165="CN",N(I165)&lt;=0),"중국공급가=원가+마진 ",""))</f>
        <v/>
      </c>
      <c r="Q165" s="47" t="n">
        <f aca="false">IF(SUMIFS($W:$W,$A:$A,A165,$C:$C,C165)=0,0,SUMIFS(RAW_판매펀칭!$K:$K,RAW_판매펀칭!$P:$P,A165,RAW_판매펀칭!$I:$I,C165)*W165/SUMIFS($W:$W,$A:$A,A165,$C:$C,C165))</f>
        <v>40</v>
      </c>
      <c r="R165" s="47" t="n">
        <f aca="false">IF(OR(A165="500",A165="800",A165="810"),0,MAX(W165-Q165,0))</f>
        <v>0</v>
      </c>
      <c r="S165" s="47" t="n">
        <f aca="false">R165*L165</f>
        <v>0</v>
      </c>
      <c r="T165" s="47" t="n">
        <f aca="false">R165*J165</f>
        <v>0</v>
      </c>
      <c r="U165" s="47" t="n">
        <f aca="false">R165*K165</f>
        <v>0</v>
      </c>
      <c r="V165" s="0" t="str">
        <f aca="false">IF(COUNTIFS($A$2:A165,A165,$C$2:C165,C165,$D$2:D165,D165)&gt;1,"중복","")</f>
        <v/>
      </c>
      <c r="W165" s="0" t="n">
        <f aca="false">IF(V165="중복",0,N(D165))</f>
        <v>40</v>
      </c>
      <c r="X165" s="0" t="n">
        <f aca="false">IF(COUNTIFS($A$2:A165,A165,$C$2:C165,C165)=1,ABS(SUMIFS(RAW_발주!$D:$D,RAW_발주!$C:$C,A165,RAW_발주!$A:$A,C165)-SUMIFS($W:$W,$A:$A,A165,$C:$C,C165)),0)</f>
        <v>0</v>
      </c>
    </row>
    <row r="166" customFormat="false" ht="15" hidden="false" customHeight="true" outlineLevel="0" collapsed="false">
      <c r="A166" s="45" t="s">
        <v>1664</v>
      </c>
      <c r="B166" s="42" t="str">
        <f aca="false">IF(A166="100","HK",IF(A166="200","CN",IF(A166="300","TW","홀세일")))</f>
        <v>홀세일</v>
      </c>
      <c r="C166" s="45" t="s">
        <v>180</v>
      </c>
      <c r="D166" s="46" t="n">
        <v>70</v>
      </c>
      <c r="E166" s="46" t="n">
        <v>89000</v>
      </c>
      <c r="F166" s="46" t="n">
        <v>19400</v>
      </c>
      <c r="G166" s="42" t="n">
        <v>3.78</v>
      </c>
      <c r="H166" s="42" t="n">
        <v>22.3</v>
      </c>
      <c r="J166" s="46" t="n">
        <f aca="false">IF(N(E166)&gt;0,E166,IF(N(F166)&gt;0,F166*요약!$F$27,0))</f>
        <v>89000</v>
      </c>
      <c r="K166" s="46" t="n">
        <f aca="false">IF(N(F166)&gt;0,F166,IF(N(E166)&gt;0,E166/요약!$F$27,0))</f>
        <v>19400</v>
      </c>
      <c r="L166" s="46" t="n">
        <f aca="false">IF(B166="CN",IF(N(I166)&gt;0,I166*요약!$G$27,K166*(1+요약!$E$27)),IF(N(H166)&gt;0,H166*요약!$G$27,J166*요약!$D$27))</f>
        <v>29436</v>
      </c>
      <c r="M166" s="46" t="n">
        <f aca="false">D166*J166</f>
        <v>6230000</v>
      </c>
      <c r="N166" s="46" t="n">
        <f aca="false">D166*K166</f>
        <v>1358000</v>
      </c>
      <c r="O166" s="46" t="n">
        <f aca="false">D166*L166</f>
        <v>2060520</v>
      </c>
      <c r="P166" s="42" t="str">
        <f aca="false">TRIM(IF(N(E166)&lt;=0,"택가보정 ","")&amp;IF(N(F166)&lt;=0,"원가보정 ","")&amp;IF(AND(B166&lt;&gt;"CN",N(H166)&lt;=0),"공급가보정 ","")&amp;IF(AND(B166="CN",N(I166)&lt;=0),"중국공급가=원가+마진 ",""))</f>
        <v/>
      </c>
      <c r="Q166" s="47" t="n">
        <f aca="false">IF(SUMIFS($W:$W,$A:$A,A166,$C:$C,C166)=0,0,SUMIFS(RAW_판매펀칭!$K:$K,RAW_판매펀칭!$P:$P,A166,RAW_판매펀칭!$I:$I,C166)*W166/SUMIFS($W:$W,$A:$A,A166,$C:$C,C166))</f>
        <v>0</v>
      </c>
      <c r="R166" s="47" t="n">
        <f aca="false">IF(OR(A166="500",A166="800",A166="810"),0,MAX(W166-Q166,0))</f>
        <v>0</v>
      </c>
      <c r="S166" s="47" t="n">
        <f aca="false">R166*L166</f>
        <v>0</v>
      </c>
      <c r="T166" s="47" t="n">
        <f aca="false">R166*J166</f>
        <v>0</v>
      </c>
      <c r="U166" s="47" t="n">
        <f aca="false">R166*K166</f>
        <v>0</v>
      </c>
      <c r="V166" s="0" t="str">
        <f aca="false">IF(COUNTIFS($A$2:A166,A166,$C$2:C166,C166,$D$2:D166,D166)&gt;1,"중복","")</f>
        <v/>
      </c>
      <c r="W166" s="0" t="n">
        <f aca="false">IF(V166="중복",0,N(D166))</f>
        <v>70</v>
      </c>
      <c r="X166" s="0" t="n">
        <f aca="false">IF(COUNTIFS($A$2:A166,A166,$C$2:C166,C166)=1,ABS(SUMIFS(RAW_발주!$D:$D,RAW_발주!$C:$C,A166,RAW_발주!$A:$A,C166)-SUMIFS($W:$W,$A:$A,A166,$C:$C,C166)),0)</f>
        <v>0</v>
      </c>
    </row>
    <row r="167" customFormat="false" ht="15" hidden="false" customHeight="true" outlineLevel="0" collapsed="false">
      <c r="A167" s="45" t="s">
        <v>1659</v>
      </c>
      <c r="B167" s="42" t="str">
        <f aca="false">IF(A167="100","HK",IF(A167="200","CN",IF(A167="300","TW","홀세일")))</f>
        <v>HK</v>
      </c>
      <c r="C167" s="45" t="s">
        <v>182</v>
      </c>
      <c r="D167" s="46" t="n">
        <v>200</v>
      </c>
      <c r="E167" s="46" t="n">
        <v>119000</v>
      </c>
      <c r="F167" s="46" t="n">
        <v>27700</v>
      </c>
      <c r="G167" s="42" t="n">
        <v>3.72</v>
      </c>
      <c r="H167" s="42" t="n">
        <v>29.8</v>
      </c>
      <c r="J167" s="46" t="n">
        <f aca="false">IF(N(E167)&gt;0,E167,IF(N(F167)&gt;0,F167*요약!$F$27,0))</f>
        <v>119000</v>
      </c>
      <c r="K167" s="46" t="n">
        <f aca="false">IF(N(F167)&gt;0,F167,IF(N(E167)&gt;0,E167/요약!$F$27,0))</f>
        <v>27700</v>
      </c>
      <c r="L167" s="46" t="n">
        <f aca="false">IF(B167="CN",IF(N(I167)&gt;0,I167*요약!$G$27,K167*(1+요약!$E$27)),IF(N(H167)&gt;0,H167*요약!$G$27,J167*요약!$D$27))</f>
        <v>39336</v>
      </c>
      <c r="M167" s="46" t="n">
        <f aca="false">D167*J167</f>
        <v>23800000</v>
      </c>
      <c r="N167" s="46" t="n">
        <f aca="false">D167*K167</f>
        <v>5540000</v>
      </c>
      <c r="O167" s="46" t="n">
        <f aca="false">D167*L167</f>
        <v>7867200</v>
      </c>
      <c r="P167" s="42" t="str">
        <f aca="false">TRIM(IF(N(E167)&lt;=0,"택가보정 ","")&amp;IF(N(F167)&lt;=0,"원가보정 ","")&amp;IF(AND(B167&lt;&gt;"CN",N(H167)&lt;=0),"공급가보정 ","")&amp;IF(AND(B167="CN",N(I167)&lt;=0),"중국공급가=원가+마진 ",""))</f>
        <v/>
      </c>
      <c r="Q167" s="47" t="n">
        <f aca="false">IF(SUMIFS($W:$W,$A:$A,A167,$C:$C,C167)=0,0,SUMIFS(RAW_판매펀칭!$K:$K,RAW_판매펀칭!$P:$P,A167,RAW_판매펀칭!$I:$I,C167)*W167/SUMIFS($W:$W,$A:$A,A167,$C:$C,C167))</f>
        <v>200</v>
      </c>
      <c r="R167" s="47" t="n">
        <f aca="false">IF(OR(A167="500",A167="800",A167="810"),0,MAX(W167-Q167,0))</f>
        <v>0</v>
      </c>
      <c r="S167" s="47" t="n">
        <f aca="false">R167*L167</f>
        <v>0</v>
      </c>
      <c r="T167" s="47" t="n">
        <f aca="false">R167*J167</f>
        <v>0</v>
      </c>
      <c r="U167" s="47" t="n">
        <f aca="false">R167*K167</f>
        <v>0</v>
      </c>
      <c r="V167" s="0" t="str">
        <f aca="false">IF(COUNTIFS($A$2:A167,A167,$C$2:C167,C167,$D$2:D167,D167)&gt;1,"중복","")</f>
        <v/>
      </c>
      <c r="W167" s="0" t="n">
        <f aca="false">IF(V167="중복",0,N(D167))</f>
        <v>200</v>
      </c>
      <c r="X167" s="0" t="n">
        <f aca="false">IF(COUNTIFS($A$2:A167,A167,$C$2:C167,C167)=1,ABS(SUMIFS(RAW_발주!$D:$D,RAW_발주!$C:$C,A167,RAW_발주!$A:$A,C167)-SUMIFS($W:$W,$A:$A,A167,$C:$C,C167)),0)</f>
        <v>0</v>
      </c>
    </row>
    <row r="168" customFormat="false" ht="15" hidden="false" customHeight="true" outlineLevel="0" collapsed="false">
      <c r="A168" s="45" t="s">
        <v>1661</v>
      </c>
      <c r="B168" s="42" t="str">
        <f aca="false">IF(A168="100","HK",IF(A168="200","CN",IF(A168="300","TW","홀세일")))</f>
        <v>TW</v>
      </c>
      <c r="C168" s="45" t="s">
        <v>182</v>
      </c>
      <c r="D168" s="46" t="n">
        <v>125</v>
      </c>
      <c r="E168" s="46" t="n">
        <v>119000</v>
      </c>
      <c r="F168" s="46" t="n">
        <v>27700</v>
      </c>
      <c r="G168" s="42" t="n">
        <v>3.72</v>
      </c>
      <c r="H168" s="42" t="n">
        <v>29.8</v>
      </c>
      <c r="J168" s="46" t="n">
        <f aca="false">IF(N(E168)&gt;0,E168,IF(N(F168)&gt;0,F168*요약!$F$27,0))</f>
        <v>119000</v>
      </c>
      <c r="K168" s="46" t="n">
        <f aca="false">IF(N(F168)&gt;0,F168,IF(N(E168)&gt;0,E168/요약!$F$27,0))</f>
        <v>27700</v>
      </c>
      <c r="L168" s="46" t="n">
        <f aca="false">IF(B168="CN",IF(N(I168)&gt;0,I168*요약!$G$27,K168*(1+요약!$E$27)),IF(N(H168)&gt;0,H168*요약!$G$27,J168*요약!$D$27))</f>
        <v>39336</v>
      </c>
      <c r="M168" s="46" t="n">
        <f aca="false">D168*J168</f>
        <v>14875000</v>
      </c>
      <c r="N168" s="46" t="n">
        <f aca="false">D168*K168</f>
        <v>3462500</v>
      </c>
      <c r="O168" s="46" t="n">
        <f aca="false">D168*L168</f>
        <v>4917000</v>
      </c>
      <c r="P168" s="42" t="str">
        <f aca="false">TRIM(IF(N(E168)&lt;=0,"택가보정 ","")&amp;IF(N(F168)&lt;=0,"원가보정 ","")&amp;IF(AND(B168&lt;&gt;"CN",N(H168)&lt;=0),"공급가보정 ","")&amp;IF(AND(B168="CN",N(I168)&lt;=0),"중국공급가=원가+마진 ",""))</f>
        <v/>
      </c>
      <c r="Q168" s="47" t="n">
        <f aca="false">IF(SUMIFS($W:$W,$A:$A,A168,$C:$C,C168)=0,0,SUMIFS(RAW_판매펀칭!$K:$K,RAW_판매펀칭!$P:$P,A168,RAW_판매펀칭!$I:$I,C168)*W168/SUMIFS($W:$W,$A:$A,A168,$C:$C,C168))</f>
        <v>125</v>
      </c>
      <c r="R168" s="47" t="n">
        <f aca="false">IF(OR(A168="500",A168="800",A168="810"),0,MAX(W168-Q168,0))</f>
        <v>0</v>
      </c>
      <c r="S168" s="47" t="n">
        <f aca="false">R168*L168</f>
        <v>0</v>
      </c>
      <c r="T168" s="47" t="n">
        <f aca="false">R168*J168</f>
        <v>0</v>
      </c>
      <c r="U168" s="47" t="n">
        <f aca="false">R168*K168</f>
        <v>0</v>
      </c>
      <c r="V168" s="0" t="str">
        <f aca="false">IF(COUNTIFS($A$2:A168,A168,$C$2:C168,C168,$D$2:D168,D168)&gt;1,"중복","")</f>
        <v/>
      </c>
      <c r="W168" s="0" t="n">
        <f aca="false">IF(V168="중복",0,N(D168))</f>
        <v>125</v>
      </c>
      <c r="X168" s="0" t="n">
        <f aca="false">IF(COUNTIFS($A$2:A168,A168,$C$2:C168,C168)=1,ABS(SUMIFS(RAW_발주!$D:$D,RAW_발주!$C:$C,A168,RAW_발주!$A:$A,C168)-SUMIFS($W:$W,$A:$A,A168,$C:$C,C168)),0)</f>
        <v>0</v>
      </c>
    </row>
    <row r="169" customFormat="false" ht="15" hidden="false" customHeight="true" outlineLevel="0" collapsed="false">
      <c r="A169" s="45" t="s">
        <v>1663</v>
      </c>
      <c r="B169" s="42" t="str">
        <f aca="false">IF(A169="100","HK",IF(A169="200","CN",IF(A169="300","TW","홀세일")))</f>
        <v>홀세일</v>
      </c>
      <c r="C169" s="45" t="s">
        <v>182</v>
      </c>
      <c r="D169" s="46" t="n">
        <v>20</v>
      </c>
      <c r="E169" s="46" t="n">
        <v>119000</v>
      </c>
      <c r="F169" s="46" t="n">
        <v>27700</v>
      </c>
      <c r="G169" s="42" t="n">
        <v>3.72</v>
      </c>
      <c r="H169" s="42" t="n">
        <v>29.8</v>
      </c>
      <c r="J169" s="46" t="n">
        <f aca="false">IF(N(E169)&gt;0,E169,IF(N(F169)&gt;0,F169*요약!$F$27,0))</f>
        <v>119000</v>
      </c>
      <c r="K169" s="46" t="n">
        <f aca="false">IF(N(F169)&gt;0,F169,IF(N(E169)&gt;0,E169/요약!$F$27,0))</f>
        <v>27700</v>
      </c>
      <c r="L169" s="46" t="n">
        <f aca="false">IF(B169="CN",IF(N(I169)&gt;0,I169*요약!$G$27,K169*(1+요약!$E$27)),IF(N(H169)&gt;0,H169*요약!$G$27,J169*요약!$D$27))</f>
        <v>39336</v>
      </c>
      <c r="M169" s="46" t="n">
        <f aca="false">D169*J169</f>
        <v>2380000</v>
      </c>
      <c r="N169" s="46" t="n">
        <f aca="false">D169*K169</f>
        <v>554000</v>
      </c>
      <c r="O169" s="46" t="n">
        <f aca="false">D169*L169</f>
        <v>786720</v>
      </c>
      <c r="P169" s="42" t="str">
        <f aca="false">TRIM(IF(N(E169)&lt;=0,"택가보정 ","")&amp;IF(N(F169)&lt;=0,"원가보정 ","")&amp;IF(AND(B169&lt;&gt;"CN",N(H169)&lt;=0),"공급가보정 ","")&amp;IF(AND(B169="CN",N(I169)&lt;=0),"중국공급가=원가+마진 ",""))</f>
        <v/>
      </c>
      <c r="Q169" s="47" t="n">
        <f aca="false">IF(SUMIFS($W:$W,$A:$A,A169,$C:$C,C169)=0,0,SUMIFS(RAW_판매펀칭!$K:$K,RAW_판매펀칭!$P:$P,A169,RAW_판매펀칭!$I:$I,C169)*W169/SUMIFS($W:$W,$A:$A,A169,$C:$C,C169))</f>
        <v>20</v>
      </c>
      <c r="R169" s="47" t="n">
        <f aca="false">IF(OR(A169="500",A169="800",A169="810"),0,MAX(W169-Q169,0))</f>
        <v>0</v>
      </c>
      <c r="S169" s="47" t="n">
        <f aca="false">R169*L169</f>
        <v>0</v>
      </c>
      <c r="T169" s="47" t="n">
        <f aca="false">R169*J169</f>
        <v>0</v>
      </c>
      <c r="U169" s="47" t="n">
        <f aca="false">R169*K169</f>
        <v>0</v>
      </c>
      <c r="V169" s="0" t="str">
        <f aca="false">IF(COUNTIFS($A$2:A169,A169,$C$2:C169,C169,$D$2:D169,D169)&gt;1,"중복","")</f>
        <v/>
      </c>
      <c r="W169" s="0" t="n">
        <f aca="false">IF(V169="중복",0,N(D169))</f>
        <v>20</v>
      </c>
      <c r="X169" s="0" t="n">
        <f aca="false">IF(COUNTIFS($A$2:A169,A169,$C$2:C169,C169)=1,ABS(SUMIFS(RAW_발주!$D:$D,RAW_발주!$C:$C,A169,RAW_발주!$A:$A,C169)-SUMIFS($W:$W,$A:$A,A169,$C:$C,C169)),0)</f>
        <v>0</v>
      </c>
    </row>
    <row r="170" customFormat="false" ht="15" hidden="false" customHeight="true" outlineLevel="0" collapsed="false">
      <c r="A170" s="45" t="s">
        <v>1659</v>
      </c>
      <c r="B170" s="42" t="str">
        <f aca="false">IF(A170="100","HK",IF(A170="200","CN",IF(A170="300","TW","홀세일")))</f>
        <v>HK</v>
      </c>
      <c r="C170" s="45" t="s">
        <v>800</v>
      </c>
      <c r="D170" s="46" t="n">
        <v>200</v>
      </c>
      <c r="E170" s="46" t="n">
        <v>109000</v>
      </c>
      <c r="F170" s="46" t="n">
        <v>20100</v>
      </c>
      <c r="G170" s="42" t="n">
        <v>3.92</v>
      </c>
      <c r="H170" s="42" t="n">
        <v>27.3</v>
      </c>
      <c r="J170" s="46" t="n">
        <f aca="false">IF(N(E170)&gt;0,E170,IF(N(F170)&gt;0,F170*요약!$F$27,0))</f>
        <v>109000</v>
      </c>
      <c r="K170" s="46" t="n">
        <f aca="false">IF(N(F170)&gt;0,F170,IF(N(E170)&gt;0,E170/요약!$F$27,0))</f>
        <v>20100</v>
      </c>
      <c r="L170" s="46" t="n">
        <f aca="false">IF(B170="CN",IF(N(I170)&gt;0,I170*요약!$G$27,K170*(1+요약!$E$27)),IF(N(H170)&gt;0,H170*요약!$G$27,J170*요약!$D$27))</f>
        <v>36036</v>
      </c>
      <c r="M170" s="46" t="n">
        <f aca="false">D170*J170</f>
        <v>21800000</v>
      </c>
      <c r="N170" s="46" t="n">
        <f aca="false">D170*K170</f>
        <v>4020000</v>
      </c>
      <c r="O170" s="46" t="n">
        <f aca="false">D170*L170</f>
        <v>7207200</v>
      </c>
      <c r="P170" s="42" t="str">
        <f aca="false">TRIM(IF(N(E170)&lt;=0,"택가보정 ","")&amp;IF(N(F170)&lt;=0,"원가보정 ","")&amp;IF(AND(B170&lt;&gt;"CN",N(H170)&lt;=0),"공급가보정 ","")&amp;IF(AND(B170="CN",N(I170)&lt;=0),"중국공급가=원가+마진 ",""))</f>
        <v/>
      </c>
      <c r="Q170" s="47" t="n">
        <f aca="false">IF(SUMIFS($W:$W,$A:$A,A170,$C:$C,C170)=0,0,SUMIFS(RAW_판매펀칭!$K:$K,RAW_판매펀칭!$P:$P,A170,RAW_판매펀칭!$I:$I,C170)*W170/SUMIFS($W:$W,$A:$A,A170,$C:$C,C170))</f>
        <v>200</v>
      </c>
      <c r="R170" s="47" t="n">
        <f aca="false">IF(OR(A170="500",A170="800",A170="810"),0,MAX(W170-Q170,0))</f>
        <v>0</v>
      </c>
      <c r="S170" s="47" t="n">
        <f aca="false">R170*L170</f>
        <v>0</v>
      </c>
      <c r="T170" s="47" t="n">
        <f aca="false">R170*J170</f>
        <v>0</v>
      </c>
      <c r="U170" s="47" t="n">
        <f aca="false">R170*K170</f>
        <v>0</v>
      </c>
      <c r="V170" s="0" t="str">
        <f aca="false">IF(COUNTIFS($A$2:A170,A170,$C$2:C170,C170,$D$2:D170,D170)&gt;1,"중복","")</f>
        <v/>
      </c>
      <c r="W170" s="0" t="n">
        <f aca="false">IF(V170="중복",0,N(D170))</f>
        <v>200</v>
      </c>
      <c r="X170" s="0" t="n">
        <f aca="false">IF(COUNTIFS($A$2:A170,A170,$C$2:C170,C170)=1,ABS(SUMIFS(RAW_발주!$D:$D,RAW_발주!$C:$C,A170,RAW_발주!$A:$A,C170)-SUMIFS($W:$W,$A:$A,A170,$C:$C,C170)),0)</f>
        <v>0</v>
      </c>
    </row>
    <row r="171" customFormat="false" ht="15" hidden="false" customHeight="true" outlineLevel="0" collapsed="false">
      <c r="A171" s="45" t="s">
        <v>1659</v>
      </c>
      <c r="B171" s="42" t="str">
        <f aca="false">IF(A171="100","HK",IF(A171="200","CN",IF(A171="300","TW","홀세일")))</f>
        <v>HK</v>
      </c>
      <c r="C171" s="45" t="s">
        <v>802</v>
      </c>
      <c r="D171" s="46" t="n">
        <v>480</v>
      </c>
      <c r="E171" s="46" t="n">
        <v>89000</v>
      </c>
      <c r="F171" s="46" t="n">
        <v>21600</v>
      </c>
      <c r="G171" s="42" t="n">
        <v>3.56</v>
      </c>
      <c r="H171" s="42" t="n">
        <v>22.3</v>
      </c>
      <c r="J171" s="46" t="n">
        <f aca="false">IF(N(E171)&gt;0,E171,IF(N(F171)&gt;0,F171*요약!$F$27,0))</f>
        <v>89000</v>
      </c>
      <c r="K171" s="46" t="n">
        <f aca="false">IF(N(F171)&gt;0,F171,IF(N(E171)&gt;0,E171/요약!$F$27,0))</f>
        <v>21600</v>
      </c>
      <c r="L171" s="46" t="n">
        <f aca="false">IF(B171="CN",IF(N(I171)&gt;0,I171*요약!$G$27,K171*(1+요약!$E$27)),IF(N(H171)&gt;0,H171*요약!$G$27,J171*요약!$D$27))</f>
        <v>29436</v>
      </c>
      <c r="M171" s="46" t="n">
        <f aca="false">D171*J171</f>
        <v>42720000</v>
      </c>
      <c r="N171" s="46" t="n">
        <f aca="false">D171*K171</f>
        <v>10368000</v>
      </c>
      <c r="O171" s="46" t="n">
        <f aca="false">D171*L171</f>
        <v>14129280</v>
      </c>
      <c r="P171" s="42" t="str">
        <f aca="false">TRIM(IF(N(E171)&lt;=0,"택가보정 ","")&amp;IF(N(F171)&lt;=0,"원가보정 ","")&amp;IF(AND(B171&lt;&gt;"CN",N(H171)&lt;=0),"공급가보정 ","")&amp;IF(AND(B171="CN",N(I171)&lt;=0),"중국공급가=원가+마진 ",""))</f>
        <v/>
      </c>
      <c r="Q171" s="47" t="n">
        <f aca="false">IF(SUMIFS($W:$W,$A:$A,A171,$C:$C,C171)=0,0,SUMIFS(RAW_판매펀칭!$K:$K,RAW_판매펀칭!$P:$P,A171,RAW_판매펀칭!$I:$I,C171)*W171/SUMIFS($W:$W,$A:$A,A171,$C:$C,C171))</f>
        <v>480</v>
      </c>
      <c r="R171" s="47" t="n">
        <f aca="false">IF(OR(A171="500",A171="800",A171="810"),0,MAX(W171-Q171,0))</f>
        <v>0</v>
      </c>
      <c r="S171" s="47" t="n">
        <f aca="false">R171*L171</f>
        <v>0</v>
      </c>
      <c r="T171" s="47" t="n">
        <f aca="false">R171*J171</f>
        <v>0</v>
      </c>
      <c r="U171" s="47" t="n">
        <f aca="false">R171*K171</f>
        <v>0</v>
      </c>
      <c r="V171" s="0" t="str">
        <f aca="false">IF(COUNTIFS($A$2:A171,A171,$C$2:C171,C171,$D$2:D171,D171)&gt;1,"중복","")</f>
        <v/>
      </c>
      <c r="W171" s="0" t="n">
        <f aca="false">IF(V171="중복",0,N(D171))</f>
        <v>480</v>
      </c>
      <c r="X171" s="0" t="n">
        <f aca="false">IF(COUNTIFS($A$2:A171,A171,$C$2:C171,C171)=1,ABS(SUMIFS(RAW_발주!$D:$D,RAW_발주!$C:$C,A171,RAW_발주!$A:$A,C171)-SUMIFS($W:$W,$A:$A,A171,$C:$C,C171)),0)</f>
        <v>0</v>
      </c>
    </row>
    <row r="172" customFormat="false" ht="15" hidden="false" customHeight="true" outlineLevel="0" collapsed="false">
      <c r="A172" s="45" t="s">
        <v>1659</v>
      </c>
      <c r="B172" s="42" t="str">
        <f aca="false">IF(A172="100","HK",IF(A172="200","CN",IF(A172="300","TW","홀세일")))</f>
        <v>HK</v>
      </c>
      <c r="C172" s="45" t="s">
        <v>802</v>
      </c>
      <c r="D172" s="46" t="n">
        <v>480</v>
      </c>
      <c r="E172" s="46" t="n">
        <v>89000</v>
      </c>
      <c r="F172" s="46" t="n">
        <v>21600</v>
      </c>
      <c r="G172" s="42" t="n">
        <v>3.56</v>
      </c>
      <c r="H172" s="42" t="n">
        <v>22.3</v>
      </c>
      <c r="J172" s="46" t="n">
        <f aca="false">IF(N(E172)&gt;0,E172,IF(N(F172)&gt;0,F172*요약!$F$27,0))</f>
        <v>89000</v>
      </c>
      <c r="K172" s="46" t="n">
        <f aca="false">IF(N(F172)&gt;0,F172,IF(N(E172)&gt;0,E172/요약!$F$27,0))</f>
        <v>21600</v>
      </c>
      <c r="L172" s="46" t="n">
        <f aca="false">IF(B172="CN",IF(N(I172)&gt;0,I172*요약!$G$27,K172*(1+요약!$E$27)),IF(N(H172)&gt;0,H172*요약!$G$27,J172*요약!$D$27))</f>
        <v>29436</v>
      </c>
      <c r="M172" s="46" t="n">
        <f aca="false">D172*J172</f>
        <v>42720000</v>
      </c>
      <c r="N172" s="46" t="n">
        <f aca="false">D172*K172</f>
        <v>10368000</v>
      </c>
      <c r="O172" s="46" t="n">
        <f aca="false">D172*L172</f>
        <v>14129280</v>
      </c>
      <c r="P172" s="42" t="str">
        <f aca="false">TRIM(IF(N(E172)&lt;=0,"택가보정 ","")&amp;IF(N(F172)&lt;=0,"원가보정 ","")&amp;IF(AND(B172&lt;&gt;"CN",N(H172)&lt;=0),"공급가보정 ","")&amp;IF(AND(B172="CN",N(I172)&lt;=0),"중국공급가=원가+마진 ",""))</f>
        <v/>
      </c>
      <c r="Q172" s="47" t="n">
        <f aca="false">IF(SUMIFS($W:$W,$A:$A,A172,$C:$C,C172)=0,0,SUMIFS(RAW_판매펀칭!$K:$K,RAW_판매펀칭!$P:$P,A172,RAW_판매펀칭!$I:$I,C172)*W172/SUMIFS($W:$W,$A:$A,A172,$C:$C,C172))</f>
        <v>0</v>
      </c>
      <c r="R172" s="47" t="n">
        <f aca="false">IF(OR(A172="500",A172="800",A172="810"),0,MAX(W172-Q172,0))</f>
        <v>0</v>
      </c>
      <c r="S172" s="47" t="n">
        <f aca="false">R172*L172</f>
        <v>0</v>
      </c>
      <c r="T172" s="47" t="n">
        <f aca="false">R172*J172</f>
        <v>0</v>
      </c>
      <c r="U172" s="47" t="n">
        <f aca="false">R172*K172</f>
        <v>0</v>
      </c>
      <c r="V172" s="0" t="str">
        <f aca="false">IF(COUNTIFS($A$2:A172,A172,$C$2:C172,C172,$D$2:D172,D172)&gt;1,"중복","")</f>
        <v>중복</v>
      </c>
      <c r="W172" s="0" t="n">
        <f aca="false">IF(V172="중복",0,N(D172))</f>
        <v>0</v>
      </c>
      <c r="X172" s="0" t="n">
        <f aca="false">IF(COUNTIFS($A$2:A172,A172,$C$2:C172,C172)=1,ABS(SUMIFS(RAW_발주!$D:$D,RAW_발주!$C:$C,A172,RAW_발주!$A:$A,C172)-SUMIFS($W:$W,$A:$A,A172,$C:$C,C172)),0)</f>
        <v>0</v>
      </c>
    </row>
    <row r="173" customFormat="false" ht="15.75" hidden="false" customHeight="true" outlineLevel="0" collapsed="false">
      <c r="A173" s="45" t="s">
        <v>1660</v>
      </c>
      <c r="B173" s="42" t="str">
        <f aca="false">IF(A173="100","HK",IF(A173="200","CN",IF(A173="300","TW","홀세일")))</f>
        <v>CN</v>
      </c>
      <c r="C173" s="45" t="s">
        <v>184</v>
      </c>
      <c r="D173" s="46" t="n">
        <v>81</v>
      </c>
      <c r="E173" s="46" t="n">
        <v>79000</v>
      </c>
      <c r="F173" s="46" t="n">
        <v>15808</v>
      </c>
      <c r="G173" s="42" t="n">
        <v>4.22</v>
      </c>
      <c r="H173" s="42" t="n">
        <v>19.8</v>
      </c>
      <c r="J173" s="46" t="n">
        <f aca="false">IF(N(E173)&gt;0,E173,IF(N(F173)&gt;0,F173*요약!$F$27,0))</f>
        <v>79000</v>
      </c>
      <c r="K173" s="46" t="n">
        <f aca="false">IF(N(F173)&gt;0,F173,IF(N(E173)&gt;0,E173/요약!$F$27,0))</f>
        <v>15808</v>
      </c>
      <c r="L173" s="46" t="n">
        <f aca="false">IF(B173="CN",IF(N(I173)&gt;0,I173*요약!$G$27,K173*(1+요약!$E$27)),IF(N(H173)&gt;0,H173*요약!$G$27,J173*요약!$D$27))</f>
        <v>16598.4</v>
      </c>
      <c r="M173" s="46" t="n">
        <f aca="false">D173*J173</f>
        <v>6399000</v>
      </c>
      <c r="N173" s="46" t="n">
        <f aca="false">D173*K173</f>
        <v>1280448</v>
      </c>
      <c r="O173" s="46" t="n">
        <f aca="false">D173*L173</f>
        <v>1344470.4</v>
      </c>
      <c r="P173" s="42" t="str">
        <f aca="false">TRIM(IF(N(E173)&lt;=0,"택가보정 ","")&amp;IF(N(F173)&lt;=0,"원가보정 ","")&amp;IF(AND(B173&lt;&gt;"CN",N(H173)&lt;=0),"공급가보정 ","")&amp;IF(AND(B173="CN",N(I173)&lt;=0),"중국공급가=원가+마진 ",""))</f>
        <v>중국공급가=원가+마진</v>
      </c>
      <c r="Q173" s="47" t="n">
        <f aca="false">IF(SUMIFS($W:$W,$A:$A,A173,$C:$C,C173)=0,0,SUMIFS(RAW_판매펀칭!$K:$K,RAW_판매펀칭!$P:$P,A173,RAW_판매펀칭!$I:$I,C173)*W173/SUMIFS($W:$W,$A:$A,A173,$C:$C,C173))</f>
        <v>80</v>
      </c>
      <c r="R173" s="47" t="n">
        <f aca="false">IF(OR(A173="500",A173="800",A173="810"),0,MAX(W173-Q173,0))</f>
        <v>1</v>
      </c>
      <c r="S173" s="47" t="n">
        <f aca="false">R173*L173</f>
        <v>16598.4</v>
      </c>
      <c r="T173" s="47" t="n">
        <f aca="false">R173*J173</f>
        <v>79000</v>
      </c>
      <c r="U173" s="47" t="n">
        <f aca="false">R173*K173</f>
        <v>15808</v>
      </c>
      <c r="V173" s="0" t="str">
        <f aca="false">IF(COUNTIFS($A$2:A173,A173,$C$2:C173,C173,$D$2:D173,D173)&gt;1,"중복","")</f>
        <v/>
      </c>
      <c r="W173" s="0" t="n">
        <f aca="false">IF(V173="중복",0,N(D173))</f>
        <v>81</v>
      </c>
      <c r="X173" s="0" t="n">
        <f aca="false">IF(COUNTIFS($A$2:A173,A173,$C$2:C173,C173)=1,ABS(SUMIFS(RAW_발주!$D:$D,RAW_발주!$C:$C,A173,RAW_발주!$A:$A,C173)-SUMIFS($W:$W,$A:$A,A173,$C:$C,C173)),0)</f>
        <v>0</v>
      </c>
    </row>
    <row r="174" customFormat="false" ht="15" hidden="false" customHeight="true" outlineLevel="0" collapsed="false">
      <c r="A174" s="45" t="s">
        <v>1661</v>
      </c>
      <c r="B174" s="42" t="str">
        <f aca="false">IF(A174="100","HK",IF(A174="200","CN",IF(A174="300","TW","홀세일")))</f>
        <v>TW</v>
      </c>
      <c r="C174" s="45" t="s">
        <v>184</v>
      </c>
      <c r="D174" s="46" t="n">
        <v>150</v>
      </c>
      <c r="E174" s="46" t="n">
        <v>79000</v>
      </c>
      <c r="F174" s="46" t="n">
        <v>15808</v>
      </c>
      <c r="G174" s="42" t="n">
        <v>4.22</v>
      </c>
      <c r="H174" s="42" t="n">
        <v>19.8</v>
      </c>
      <c r="J174" s="46" t="n">
        <f aca="false">IF(N(E174)&gt;0,E174,IF(N(F174)&gt;0,F174*요약!$F$27,0))</f>
        <v>79000</v>
      </c>
      <c r="K174" s="46" t="n">
        <f aca="false">IF(N(F174)&gt;0,F174,IF(N(E174)&gt;0,E174/요약!$F$27,0))</f>
        <v>15808</v>
      </c>
      <c r="L174" s="46" t="n">
        <f aca="false">IF(B174="CN",IF(N(I174)&gt;0,I174*요약!$G$27,K174*(1+요약!$E$27)),IF(N(H174)&gt;0,H174*요약!$G$27,J174*요약!$D$27))</f>
        <v>26136</v>
      </c>
      <c r="M174" s="46" t="n">
        <f aca="false">D174*J174</f>
        <v>11850000</v>
      </c>
      <c r="N174" s="46" t="n">
        <f aca="false">D174*K174</f>
        <v>2371200</v>
      </c>
      <c r="O174" s="46" t="n">
        <f aca="false">D174*L174</f>
        <v>3920400</v>
      </c>
      <c r="P174" s="42" t="str">
        <f aca="false">TRIM(IF(N(E174)&lt;=0,"택가보정 ","")&amp;IF(N(F174)&lt;=0,"원가보정 ","")&amp;IF(AND(B174&lt;&gt;"CN",N(H174)&lt;=0),"공급가보정 ","")&amp;IF(AND(B174="CN",N(I174)&lt;=0),"중국공급가=원가+마진 ",""))</f>
        <v/>
      </c>
      <c r="Q174" s="47" t="n">
        <f aca="false">IF(SUMIFS($W:$W,$A:$A,A174,$C:$C,C174)=0,0,SUMIFS(RAW_판매펀칭!$K:$K,RAW_판매펀칭!$P:$P,A174,RAW_판매펀칭!$I:$I,C174)*W174/SUMIFS($W:$W,$A:$A,A174,$C:$C,C174))</f>
        <v>150</v>
      </c>
      <c r="R174" s="47" t="n">
        <f aca="false">IF(OR(A174="500",A174="800",A174="810"),0,MAX(W174-Q174,0))</f>
        <v>0</v>
      </c>
      <c r="S174" s="47" t="n">
        <f aca="false">R174*L174</f>
        <v>0</v>
      </c>
      <c r="T174" s="47" t="n">
        <f aca="false">R174*J174</f>
        <v>0</v>
      </c>
      <c r="U174" s="47" t="n">
        <f aca="false">R174*K174</f>
        <v>0</v>
      </c>
      <c r="V174" s="0" t="str">
        <f aca="false">IF(COUNTIFS($A$2:A174,A174,$C$2:C174,C174,$D$2:D174,D174)&gt;1,"중복","")</f>
        <v/>
      </c>
      <c r="W174" s="0" t="n">
        <f aca="false">IF(V174="중복",0,N(D174))</f>
        <v>150</v>
      </c>
      <c r="X174" s="0" t="n">
        <f aca="false">IF(COUNTIFS($A$2:A174,A174,$C$2:C174,C174)=1,ABS(SUMIFS(RAW_발주!$D:$D,RAW_발주!$C:$C,A174,RAW_발주!$A:$A,C174)-SUMIFS($W:$W,$A:$A,A174,$C:$C,C174)),0)</f>
        <v>0</v>
      </c>
    </row>
    <row r="175" customFormat="false" ht="15" hidden="false" customHeight="true" outlineLevel="0" collapsed="false">
      <c r="A175" s="45" t="s">
        <v>1663</v>
      </c>
      <c r="B175" s="42" t="str">
        <f aca="false">IF(A175="100","HK",IF(A175="200","CN",IF(A175="300","TW","홀세일")))</f>
        <v>홀세일</v>
      </c>
      <c r="C175" s="45" t="s">
        <v>184</v>
      </c>
      <c r="D175" s="46" t="n">
        <v>30</v>
      </c>
      <c r="E175" s="46" t="n">
        <v>79000</v>
      </c>
      <c r="F175" s="46" t="n">
        <v>15808</v>
      </c>
      <c r="G175" s="42" t="n">
        <v>4.22</v>
      </c>
      <c r="H175" s="42" t="n">
        <v>19.8</v>
      </c>
      <c r="J175" s="46" t="n">
        <f aca="false">IF(N(E175)&gt;0,E175,IF(N(F175)&gt;0,F175*요약!$F$27,0))</f>
        <v>79000</v>
      </c>
      <c r="K175" s="46" t="n">
        <f aca="false">IF(N(F175)&gt;0,F175,IF(N(E175)&gt;0,E175/요약!$F$27,0))</f>
        <v>15808</v>
      </c>
      <c r="L175" s="46" t="n">
        <f aca="false">IF(B175="CN",IF(N(I175)&gt;0,I175*요약!$G$27,K175*(1+요약!$E$27)),IF(N(H175)&gt;0,H175*요약!$G$27,J175*요약!$D$27))</f>
        <v>26136</v>
      </c>
      <c r="M175" s="46" t="n">
        <f aca="false">D175*J175</f>
        <v>2370000</v>
      </c>
      <c r="N175" s="46" t="n">
        <f aca="false">D175*K175</f>
        <v>474240</v>
      </c>
      <c r="O175" s="46" t="n">
        <f aca="false">D175*L175</f>
        <v>784080</v>
      </c>
      <c r="P175" s="42" t="str">
        <f aca="false">TRIM(IF(N(E175)&lt;=0,"택가보정 ","")&amp;IF(N(F175)&lt;=0,"원가보정 ","")&amp;IF(AND(B175&lt;&gt;"CN",N(H175)&lt;=0),"공급가보정 ","")&amp;IF(AND(B175="CN",N(I175)&lt;=0),"중국공급가=원가+마진 ",""))</f>
        <v/>
      </c>
      <c r="Q175" s="47" t="n">
        <f aca="false">IF(SUMIFS($W:$W,$A:$A,A175,$C:$C,C175)=0,0,SUMIFS(RAW_판매펀칭!$K:$K,RAW_판매펀칭!$P:$P,A175,RAW_판매펀칭!$I:$I,C175)*W175/SUMIFS($W:$W,$A:$A,A175,$C:$C,C175))</f>
        <v>30</v>
      </c>
      <c r="R175" s="47" t="n">
        <f aca="false">IF(OR(A175="500",A175="800",A175="810"),0,MAX(W175-Q175,0))</f>
        <v>0</v>
      </c>
      <c r="S175" s="47" t="n">
        <f aca="false">R175*L175</f>
        <v>0</v>
      </c>
      <c r="T175" s="47" t="n">
        <f aca="false">R175*J175</f>
        <v>0</v>
      </c>
      <c r="U175" s="47" t="n">
        <f aca="false">R175*K175</f>
        <v>0</v>
      </c>
      <c r="V175" s="0" t="str">
        <f aca="false">IF(COUNTIFS($A$2:A175,A175,$C$2:C175,C175,$D$2:D175,D175)&gt;1,"중복","")</f>
        <v/>
      </c>
      <c r="W175" s="0" t="n">
        <f aca="false">IF(V175="중복",0,N(D175))</f>
        <v>30</v>
      </c>
      <c r="X175" s="0" t="n">
        <f aca="false">IF(COUNTIFS($A$2:A175,A175,$C$2:C175,C175)=1,ABS(SUMIFS(RAW_발주!$D:$D,RAW_발주!$C:$C,A175,RAW_발주!$A:$A,C175)-SUMIFS($W:$W,$A:$A,A175,$C:$C,C175)),0)</f>
        <v>0</v>
      </c>
    </row>
    <row r="176" customFormat="false" ht="15" hidden="false" customHeight="true" outlineLevel="0" collapsed="false">
      <c r="A176" s="45" t="s">
        <v>1661</v>
      </c>
      <c r="B176" s="42" t="str">
        <f aca="false">IF(A176="100","HK",IF(A176="200","CN",IF(A176="300","TW","홀세일")))</f>
        <v>TW</v>
      </c>
      <c r="C176" s="45" t="s">
        <v>186</v>
      </c>
      <c r="D176" s="46" t="n">
        <v>300</v>
      </c>
      <c r="E176" s="46" t="n">
        <v>59000</v>
      </c>
      <c r="F176" s="46" t="n">
        <v>9700</v>
      </c>
      <c r="G176" s="42" t="n">
        <v>4.47</v>
      </c>
      <c r="H176" s="42" t="n">
        <v>14.8</v>
      </c>
      <c r="J176" s="46" t="n">
        <f aca="false">IF(N(E176)&gt;0,E176,IF(N(F176)&gt;0,F176*요약!$F$27,0))</f>
        <v>59000</v>
      </c>
      <c r="K176" s="46" t="n">
        <f aca="false">IF(N(F176)&gt;0,F176,IF(N(E176)&gt;0,E176/요약!$F$27,0))</f>
        <v>9700</v>
      </c>
      <c r="L176" s="46" t="n">
        <f aca="false">IF(B176="CN",IF(N(I176)&gt;0,I176*요약!$G$27,K176*(1+요약!$E$27)),IF(N(H176)&gt;0,H176*요약!$G$27,J176*요약!$D$27))</f>
        <v>19536</v>
      </c>
      <c r="M176" s="46" t="n">
        <f aca="false">D176*J176</f>
        <v>17700000</v>
      </c>
      <c r="N176" s="46" t="n">
        <f aca="false">D176*K176</f>
        <v>2910000</v>
      </c>
      <c r="O176" s="46" t="n">
        <f aca="false">D176*L176</f>
        <v>5860800</v>
      </c>
      <c r="P176" s="42" t="str">
        <f aca="false">TRIM(IF(N(E176)&lt;=0,"택가보정 ","")&amp;IF(N(F176)&lt;=0,"원가보정 ","")&amp;IF(AND(B176&lt;&gt;"CN",N(H176)&lt;=0),"공급가보정 ","")&amp;IF(AND(B176="CN",N(I176)&lt;=0),"중국공급가=원가+마진 ",""))</f>
        <v/>
      </c>
      <c r="Q176" s="47" t="n">
        <f aca="false">IF(SUMIFS($W:$W,$A:$A,A176,$C:$C,C176)=0,0,SUMIFS(RAW_판매펀칭!$K:$K,RAW_판매펀칭!$P:$P,A176,RAW_판매펀칭!$I:$I,C176)*W176/SUMIFS($W:$W,$A:$A,A176,$C:$C,C176))</f>
        <v>300</v>
      </c>
      <c r="R176" s="47" t="n">
        <f aca="false">IF(OR(A176="500",A176="800",A176="810"),0,MAX(W176-Q176,0))</f>
        <v>0</v>
      </c>
      <c r="S176" s="47" t="n">
        <f aca="false">R176*L176</f>
        <v>0</v>
      </c>
      <c r="T176" s="47" t="n">
        <f aca="false">R176*J176</f>
        <v>0</v>
      </c>
      <c r="U176" s="47" t="n">
        <f aca="false">R176*K176</f>
        <v>0</v>
      </c>
      <c r="V176" s="0" t="str">
        <f aca="false">IF(COUNTIFS($A$2:A176,A176,$C$2:C176,C176,$D$2:D176,D176)&gt;1,"중복","")</f>
        <v/>
      </c>
      <c r="W176" s="0" t="n">
        <f aca="false">IF(V176="중복",0,N(D176))</f>
        <v>300</v>
      </c>
      <c r="X176" s="0" t="n">
        <f aca="false">IF(COUNTIFS($A$2:A176,A176,$C$2:C176,C176)=1,ABS(SUMIFS(RAW_발주!$D:$D,RAW_발주!$C:$C,A176,RAW_발주!$A:$A,C176)-SUMIFS($W:$W,$A:$A,A176,$C:$C,C176)),0)</f>
        <v>0</v>
      </c>
    </row>
    <row r="177" customFormat="false" ht="15" hidden="false" customHeight="true" outlineLevel="0" collapsed="false">
      <c r="A177" s="45" t="s">
        <v>1663</v>
      </c>
      <c r="B177" s="42" t="str">
        <f aca="false">IF(A177="100","HK",IF(A177="200","CN",IF(A177="300","TW","홀세일")))</f>
        <v>홀세일</v>
      </c>
      <c r="C177" s="45" t="s">
        <v>186</v>
      </c>
      <c r="D177" s="46" t="n">
        <v>105</v>
      </c>
      <c r="E177" s="46" t="n">
        <v>59000</v>
      </c>
      <c r="F177" s="46" t="n">
        <v>9700</v>
      </c>
      <c r="G177" s="42" t="n">
        <v>4.47</v>
      </c>
      <c r="H177" s="42" t="n">
        <v>14.8</v>
      </c>
      <c r="J177" s="46" t="n">
        <f aca="false">IF(N(E177)&gt;0,E177,IF(N(F177)&gt;0,F177*요약!$F$27,0))</f>
        <v>59000</v>
      </c>
      <c r="K177" s="46" t="n">
        <f aca="false">IF(N(F177)&gt;0,F177,IF(N(E177)&gt;0,E177/요약!$F$27,0))</f>
        <v>9700</v>
      </c>
      <c r="L177" s="46" t="n">
        <f aca="false">IF(B177="CN",IF(N(I177)&gt;0,I177*요약!$G$27,K177*(1+요약!$E$27)),IF(N(H177)&gt;0,H177*요약!$G$27,J177*요약!$D$27))</f>
        <v>19536</v>
      </c>
      <c r="M177" s="46" t="n">
        <f aca="false">D177*J177</f>
        <v>6195000</v>
      </c>
      <c r="N177" s="46" t="n">
        <f aca="false">D177*K177</f>
        <v>1018500</v>
      </c>
      <c r="O177" s="46" t="n">
        <f aca="false">D177*L177</f>
        <v>2051280</v>
      </c>
      <c r="P177" s="42" t="str">
        <f aca="false">TRIM(IF(N(E177)&lt;=0,"택가보정 ","")&amp;IF(N(F177)&lt;=0,"원가보정 ","")&amp;IF(AND(B177&lt;&gt;"CN",N(H177)&lt;=0),"공급가보정 ","")&amp;IF(AND(B177="CN",N(I177)&lt;=0),"중국공급가=원가+마진 ",""))</f>
        <v/>
      </c>
      <c r="Q177" s="47" t="n">
        <f aca="false">IF(SUMIFS($W:$W,$A:$A,A177,$C:$C,C177)=0,0,SUMIFS(RAW_판매펀칭!$K:$K,RAW_판매펀칭!$P:$P,A177,RAW_판매펀칭!$I:$I,C177)*W177/SUMIFS($W:$W,$A:$A,A177,$C:$C,C177))</f>
        <v>105</v>
      </c>
      <c r="R177" s="47" t="n">
        <f aca="false">IF(OR(A177="500",A177="800",A177="810"),0,MAX(W177-Q177,0))</f>
        <v>0</v>
      </c>
      <c r="S177" s="47" t="n">
        <f aca="false">R177*L177</f>
        <v>0</v>
      </c>
      <c r="T177" s="47" t="n">
        <f aca="false">R177*J177</f>
        <v>0</v>
      </c>
      <c r="U177" s="47" t="n">
        <f aca="false">R177*K177</f>
        <v>0</v>
      </c>
      <c r="V177" s="0" t="str">
        <f aca="false">IF(COUNTIFS($A$2:A177,A177,$C$2:C177,C177,$D$2:D177,D177)&gt;1,"중복","")</f>
        <v/>
      </c>
      <c r="W177" s="0" t="n">
        <f aca="false">IF(V177="중복",0,N(D177))</f>
        <v>105</v>
      </c>
      <c r="X177" s="0" t="n">
        <f aca="false">IF(COUNTIFS($A$2:A177,A177,$C$2:C177,C177)=1,ABS(SUMIFS(RAW_발주!$D:$D,RAW_발주!$C:$C,A177,RAW_발주!$A:$A,C177)-SUMIFS($W:$W,$A:$A,A177,$C:$C,C177)),0)</f>
        <v>0</v>
      </c>
    </row>
    <row r="178" customFormat="false" ht="15" hidden="false" customHeight="true" outlineLevel="0" collapsed="false">
      <c r="A178" s="45" t="s">
        <v>1663</v>
      </c>
      <c r="B178" s="42" t="str">
        <f aca="false">IF(A178="100","HK",IF(A178="200","CN",IF(A178="300","TW","홀세일")))</f>
        <v>홀세일</v>
      </c>
      <c r="C178" s="45" t="s">
        <v>1278</v>
      </c>
      <c r="D178" s="46" t="n">
        <v>40</v>
      </c>
      <c r="E178" s="46" t="n">
        <v>69000</v>
      </c>
      <c r="F178" s="46" t="n">
        <v>17100</v>
      </c>
      <c r="G178" s="42" t="n">
        <v>4.24</v>
      </c>
      <c r="H178" s="42" t="n">
        <v>17.3</v>
      </c>
      <c r="J178" s="46" t="n">
        <f aca="false">IF(N(E178)&gt;0,E178,IF(N(F178)&gt;0,F178*요약!$F$27,0))</f>
        <v>69000</v>
      </c>
      <c r="K178" s="46" t="n">
        <f aca="false">IF(N(F178)&gt;0,F178,IF(N(E178)&gt;0,E178/요약!$F$27,0))</f>
        <v>17100</v>
      </c>
      <c r="L178" s="46" t="n">
        <f aca="false">IF(B178="CN",IF(N(I178)&gt;0,I178*요약!$G$27,K178*(1+요약!$E$27)),IF(N(H178)&gt;0,H178*요약!$G$27,J178*요약!$D$27))</f>
        <v>22836</v>
      </c>
      <c r="M178" s="46" t="n">
        <f aca="false">D178*J178</f>
        <v>2760000</v>
      </c>
      <c r="N178" s="46" t="n">
        <f aca="false">D178*K178</f>
        <v>684000</v>
      </c>
      <c r="O178" s="46" t="n">
        <f aca="false">D178*L178</f>
        <v>913440</v>
      </c>
      <c r="P178" s="42" t="str">
        <f aca="false">TRIM(IF(N(E178)&lt;=0,"택가보정 ","")&amp;IF(N(F178)&lt;=0,"원가보정 ","")&amp;IF(AND(B178&lt;&gt;"CN",N(H178)&lt;=0),"공급가보정 ","")&amp;IF(AND(B178="CN",N(I178)&lt;=0),"중국공급가=원가+마진 ",""))</f>
        <v/>
      </c>
      <c r="Q178" s="47" t="n">
        <f aca="false">IF(SUMIFS($W:$W,$A:$A,A178,$C:$C,C178)=0,0,SUMIFS(RAW_판매펀칭!$K:$K,RAW_판매펀칭!$P:$P,A178,RAW_판매펀칭!$I:$I,C178)*W178/SUMIFS($W:$W,$A:$A,A178,$C:$C,C178))</f>
        <v>40</v>
      </c>
      <c r="R178" s="47" t="n">
        <f aca="false">IF(OR(A178="500",A178="800",A178="810"),0,MAX(W178-Q178,0))</f>
        <v>0</v>
      </c>
      <c r="S178" s="47" t="n">
        <f aca="false">R178*L178</f>
        <v>0</v>
      </c>
      <c r="T178" s="47" t="n">
        <f aca="false">R178*J178</f>
        <v>0</v>
      </c>
      <c r="U178" s="47" t="n">
        <f aca="false">R178*K178</f>
        <v>0</v>
      </c>
      <c r="V178" s="0" t="str">
        <f aca="false">IF(COUNTIFS($A$2:A178,A178,$C$2:C178,C178,$D$2:D178,D178)&gt;1,"중복","")</f>
        <v/>
      </c>
      <c r="W178" s="0" t="n">
        <f aca="false">IF(V178="중복",0,N(D178))</f>
        <v>40</v>
      </c>
      <c r="X178" s="0" t="n">
        <f aca="false">IF(COUNTIFS($A$2:A178,A178,$C$2:C178,C178)=1,ABS(SUMIFS(RAW_발주!$D:$D,RAW_발주!$C:$C,A178,RAW_발주!$A:$A,C178)-SUMIFS($W:$W,$A:$A,A178,$C:$C,C178)),0)</f>
        <v>0</v>
      </c>
    </row>
    <row r="179" customFormat="false" ht="15" hidden="false" customHeight="true" outlineLevel="0" collapsed="false">
      <c r="A179" s="45" t="s">
        <v>1667</v>
      </c>
      <c r="B179" s="42" t="str">
        <f aca="false">IF(A179="100","HK",IF(A179="200","CN",IF(A179="300","TW","홀세일")))</f>
        <v>홀세일</v>
      </c>
      <c r="C179" s="45" t="s">
        <v>1278</v>
      </c>
      <c r="D179" s="46" t="n">
        <v>61</v>
      </c>
      <c r="E179" s="46" t="n">
        <v>69000</v>
      </c>
      <c r="F179" s="46" t="n">
        <v>17100</v>
      </c>
      <c r="G179" s="42" t="n">
        <v>4.24</v>
      </c>
      <c r="H179" s="42" t="n">
        <v>17.3</v>
      </c>
      <c r="J179" s="46" t="n">
        <f aca="false">IF(N(E179)&gt;0,E179,IF(N(F179)&gt;0,F179*요약!$F$27,0))</f>
        <v>69000</v>
      </c>
      <c r="K179" s="46" t="n">
        <f aca="false">IF(N(F179)&gt;0,F179,IF(N(E179)&gt;0,E179/요약!$F$27,0))</f>
        <v>17100</v>
      </c>
      <c r="L179" s="46" t="n">
        <f aca="false">IF(B179="CN",IF(N(I179)&gt;0,I179*요약!$G$27,K179*(1+요약!$E$27)),IF(N(H179)&gt;0,H179*요약!$G$27,J179*요약!$D$27))</f>
        <v>22836</v>
      </c>
      <c r="M179" s="46" t="n">
        <f aca="false">D179*J179</f>
        <v>4209000</v>
      </c>
      <c r="N179" s="46" t="n">
        <f aca="false">D179*K179</f>
        <v>1043100</v>
      </c>
      <c r="O179" s="46" t="n">
        <f aca="false">D179*L179</f>
        <v>1392996</v>
      </c>
      <c r="P179" s="42" t="str">
        <f aca="false">TRIM(IF(N(E179)&lt;=0,"택가보정 ","")&amp;IF(N(F179)&lt;=0,"원가보정 ","")&amp;IF(AND(B179&lt;&gt;"CN",N(H179)&lt;=0),"공급가보정 ","")&amp;IF(AND(B179="CN",N(I179)&lt;=0),"중국공급가=원가+마진 ",""))</f>
        <v/>
      </c>
      <c r="Q179" s="47" t="n">
        <f aca="false">IF(SUMIFS($W:$W,$A:$A,A179,$C:$C,C179)=0,0,SUMIFS(RAW_판매펀칭!$K:$K,RAW_판매펀칭!$P:$P,A179,RAW_판매펀칭!$I:$I,C179)*W179/SUMIFS($W:$W,$A:$A,A179,$C:$C,C179))</f>
        <v>61</v>
      </c>
      <c r="R179" s="47" t="n">
        <f aca="false">IF(OR(A179="500",A179="800",A179="810"),0,MAX(W179-Q179,0))</f>
        <v>0</v>
      </c>
      <c r="S179" s="47" t="n">
        <f aca="false">R179*L179</f>
        <v>0</v>
      </c>
      <c r="T179" s="47" t="n">
        <f aca="false">R179*J179</f>
        <v>0</v>
      </c>
      <c r="U179" s="47" t="n">
        <f aca="false">R179*K179</f>
        <v>0</v>
      </c>
      <c r="V179" s="0" t="str">
        <f aca="false">IF(COUNTIFS($A$2:A179,A179,$C$2:C179,C179,$D$2:D179,D179)&gt;1,"중복","")</f>
        <v/>
      </c>
      <c r="W179" s="0" t="n">
        <f aca="false">IF(V179="중복",0,N(D179))</f>
        <v>61</v>
      </c>
      <c r="X179" s="0" t="n">
        <f aca="false">IF(COUNTIFS($A$2:A179,A179,$C$2:C179,C179)=1,ABS(SUMIFS(RAW_발주!$D:$D,RAW_발주!$C:$C,A179,RAW_발주!$A:$A,C179)-SUMIFS($W:$W,$A:$A,A179,$C:$C,C179)),0)</f>
        <v>0</v>
      </c>
    </row>
    <row r="180" customFormat="false" ht="15" hidden="false" customHeight="true" outlineLevel="0" collapsed="false">
      <c r="A180" s="45" t="s">
        <v>1663</v>
      </c>
      <c r="B180" s="42" t="str">
        <f aca="false">IF(A180="100","HK",IF(A180="200","CN",IF(A180="300","TW","홀세일")))</f>
        <v>홀세일</v>
      </c>
      <c r="C180" s="45" t="s">
        <v>1280</v>
      </c>
      <c r="D180" s="46" t="n">
        <v>75</v>
      </c>
      <c r="E180" s="46" t="n">
        <v>49000</v>
      </c>
      <c r="F180" s="46" t="n">
        <v>9600</v>
      </c>
      <c r="G180" s="42" t="n">
        <v>4.12</v>
      </c>
      <c r="H180" s="42" t="n">
        <v>12.3</v>
      </c>
      <c r="J180" s="46" t="n">
        <f aca="false">IF(N(E180)&gt;0,E180,IF(N(F180)&gt;0,F180*요약!$F$27,0))</f>
        <v>49000</v>
      </c>
      <c r="K180" s="46" t="n">
        <f aca="false">IF(N(F180)&gt;0,F180,IF(N(E180)&gt;0,E180/요약!$F$27,0))</f>
        <v>9600</v>
      </c>
      <c r="L180" s="46" t="n">
        <f aca="false">IF(B180="CN",IF(N(I180)&gt;0,I180*요약!$G$27,K180*(1+요약!$E$27)),IF(N(H180)&gt;0,H180*요약!$G$27,J180*요약!$D$27))</f>
        <v>16236</v>
      </c>
      <c r="M180" s="46" t="n">
        <f aca="false">D180*J180</f>
        <v>3675000</v>
      </c>
      <c r="N180" s="46" t="n">
        <f aca="false">D180*K180</f>
        <v>720000</v>
      </c>
      <c r="O180" s="46" t="n">
        <f aca="false">D180*L180</f>
        <v>1217700</v>
      </c>
      <c r="P180" s="42" t="str">
        <f aca="false">TRIM(IF(N(E180)&lt;=0,"택가보정 ","")&amp;IF(N(F180)&lt;=0,"원가보정 ","")&amp;IF(AND(B180&lt;&gt;"CN",N(H180)&lt;=0),"공급가보정 ","")&amp;IF(AND(B180="CN",N(I180)&lt;=0),"중국공급가=원가+마진 ",""))</f>
        <v/>
      </c>
      <c r="Q180" s="47" t="n">
        <f aca="false">IF(SUMIFS($W:$W,$A:$A,A180,$C:$C,C180)=0,0,SUMIFS(RAW_판매펀칭!$K:$K,RAW_판매펀칭!$P:$P,A180,RAW_판매펀칭!$I:$I,C180)*W180/SUMIFS($W:$W,$A:$A,A180,$C:$C,C180))</f>
        <v>75</v>
      </c>
      <c r="R180" s="47" t="n">
        <f aca="false">IF(OR(A180="500",A180="800",A180="810"),0,MAX(W180-Q180,0))</f>
        <v>0</v>
      </c>
      <c r="S180" s="47" t="n">
        <f aca="false">R180*L180</f>
        <v>0</v>
      </c>
      <c r="T180" s="47" t="n">
        <f aca="false">R180*J180</f>
        <v>0</v>
      </c>
      <c r="U180" s="47" t="n">
        <f aca="false">R180*K180</f>
        <v>0</v>
      </c>
      <c r="V180" s="0" t="str">
        <f aca="false">IF(COUNTIFS($A$2:A180,A180,$C$2:C180,C180,$D$2:D180,D180)&gt;1,"중복","")</f>
        <v/>
      </c>
      <c r="W180" s="0" t="n">
        <f aca="false">IF(V180="중복",0,N(D180))</f>
        <v>75</v>
      </c>
      <c r="X180" s="0" t="n">
        <f aca="false">IF(COUNTIFS($A$2:A180,A180,$C$2:C180,C180)=1,ABS(SUMIFS(RAW_발주!$D:$D,RAW_발주!$C:$C,A180,RAW_발주!$A:$A,C180)-SUMIFS($W:$W,$A:$A,A180,$C:$C,C180)),0)</f>
        <v>0</v>
      </c>
    </row>
    <row r="181" customFormat="false" ht="15" hidden="false" customHeight="true" outlineLevel="0" collapsed="false">
      <c r="A181" s="45" t="s">
        <v>1661</v>
      </c>
      <c r="B181" s="42" t="str">
        <f aca="false">IF(A181="100","HK",IF(A181="200","CN",IF(A181="300","TW","홀세일")))</f>
        <v>TW</v>
      </c>
      <c r="C181" s="45" t="s">
        <v>189</v>
      </c>
      <c r="D181" s="46" t="n">
        <v>150</v>
      </c>
      <c r="E181" s="46" t="n">
        <v>109000</v>
      </c>
      <c r="F181" s="46" t="n">
        <v>22500</v>
      </c>
      <c r="G181" s="42" t="n">
        <v>4.13</v>
      </c>
      <c r="H181" s="42" t="n">
        <v>27.3</v>
      </c>
      <c r="J181" s="46" t="n">
        <f aca="false">IF(N(E181)&gt;0,E181,IF(N(F181)&gt;0,F181*요약!$F$27,0))</f>
        <v>109000</v>
      </c>
      <c r="K181" s="46" t="n">
        <f aca="false">IF(N(F181)&gt;0,F181,IF(N(E181)&gt;0,E181/요약!$F$27,0))</f>
        <v>22500</v>
      </c>
      <c r="L181" s="46" t="n">
        <f aca="false">IF(B181="CN",IF(N(I181)&gt;0,I181*요약!$G$27,K181*(1+요약!$E$27)),IF(N(H181)&gt;0,H181*요약!$G$27,J181*요약!$D$27))</f>
        <v>36036</v>
      </c>
      <c r="M181" s="46" t="n">
        <f aca="false">D181*J181</f>
        <v>16350000</v>
      </c>
      <c r="N181" s="46" t="n">
        <f aca="false">D181*K181</f>
        <v>3375000</v>
      </c>
      <c r="O181" s="46" t="n">
        <f aca="false">D181*L181</f>
        <v>5405400</v>
      </c>
      <c r="P181" s="42" t="str">
        <f aca="false">TRIM(IF(N(E181)&lt;=0,"택가보정 ","")&amp;IF(N(F181)&lt;=0,"원가보정 ","")&amp;IF(AND(B181&lt;&gt;"CN",N(H181)&lt;=0),"공급가보정 ","")&amp;IF(AND(B181="CN",N(I181)&lt;=0),"중국공급가=원가+마진 ",""))</f>
        <v/>
      </c>
      <c r="Q181" s="47" t="n">
        <f aca="false">IF(SUMIFS($W:$W,$A:$A,A181,$C:$C,C181)=0,0,SUMIFS(RAW_판매펀칭!$K:$K,RAW_판매펀칭!$P:$P,A181,RAW_판매펀칭!$I:$I,C181)*W181/SUMIFS($W:$W,$A:$A,A181,$C:$C,C181))</f>
        <v>150</v>
      </c>
      <c r="R181" s="47" t="n">
        <f aca="false">IF(OR(A181="500",A181="800",A181="810"),0,MAX(W181-Q181,0))</f>
        <v>0</v>
      </c>
      <c r="S181" s="47" t="n">
        <f aca="false">R181*L181</f>
        <v>0</v>
      </c>
      <c r="T181" s="47" t="n">
        <f aca="false">R181*J181</f>
        <v>0</v>
      </c>
      <c r="U181" s="47" t="n">
        <f aca="false">R181*K181</f>
        <v>0</v>
      </c>
      <c r="V181" s="0" t="str">
        <f aca="false">IF(COUNTIFS($A$2:A181,A181,$C$2:C181,C181,$D$2:D181,D181)&gt;1,"중복","")</f>
        <v/>
      </c>
      <c r="W181" s="0" t="n">
        <f aca="false">IF(V181="중복",0,N(D181))</f>
        <v>150</v>
      </c>
      <c r="X181" s="0" t="n">
        <f aca="false">IF(COUNTIFS($A$2:A181,A181,$C$2:C181,C181)=1,ABS(SUMIFS(RAW_발주!$D:$D,RAW_발주!$C:$C,A181,RAW_발주!$A:$A,C181)-SUMIFS($W:$W,$A:$A,A181,$C:$C,C181)),0)</f>
        <v>0</v>
      </c>
    </row>
    <row r="182" customFormat="false" ht="15" hidden="false" customHeight="true" outlineLevel="0" collapsed="false">
      <c r="A182" s="45" t="s">
        <v>1665</v>
      </c>
      <c r="B182" s="42" t="str">
        <f aca="false">IF(A182="100","HK",IF(A182="200","CN",IF(A182="300","TW","홀세일")))</f>
        <v>홀세일</v>
      </c>
      <c r="C182" s="45" t="s">
        <v>189</v>
      </c>
      <c r="D182" s="46" t="n">
        <v>132</v>
      </c>
      <c r="E182" s="46" t="n">
        <v>109000</v>
      </c>
      <c r="F182" s="46" t="n">
        <v>22500</v>
      </c>
      <c r="G182" s="42" t="n">
        <v>4.13</v>
      </c>
      <c r="H182" s="42" t="n">
        <v>27.3</v>
      </c>
      <c r="J182" s="46" t="n">
        <f aca="false">IF(N(E182)&gt;0,E182,IF(N(F182)&gt;0,F182*요약!$F$27,0))</f>
        <v>109000</v>
      </c>
      <c r="K182" s="46" t="n">
        <f aca="false">IF(N(F182)&gt;0,F182,IF(N(E182)&gt;0,E182/요약!$F$27,0))</f>
        <v>22500</v>
      </c>
      <c r="L182" s="46" t="n">
        <f aca="false">IF(B182="CN",IF(N(I182)&gt;0,I182*요약!$G$27,K182*(1+요약!$E$27)),IF(N(H182)&gt;0,H182*요약!$G$27,J182*요약!$D$27))</f>
        <v>36036</v>
      </c>
      <c r="M182" s="46" t="n">
        <f aca="false">D182*J182</f>
        <v>14388000</v>
      </c>
      <c r="N182" s="46" t="n">
        <f aca="false">D182*K182</f>
        <v>2970000</v>
      </c>
      <c r="O182" s="46" t="n">
        <f aca="false">D182*L182</f>
        <v>4756752</v>
      </c>
      <c r="P182" s="42" t="str">
        <f aca="false">TRIM(IF(N(E182)&lt;=0,"택가보정 ","")&amp;IF(N(F182)&lt;=0,"원가보정 ","")&amp;IF(AND(B182&lt;&gt;"CN",N(H182)&lt;=0),"공급가보정 ","")&amp;IF(AND(B182="CN",N(I182)&lt;=0),"중국공급가=원가+마진 ",""))</f>
        <v/>
      </c>
      <c r="Q182" s="47" t="n">
        <f aca="false">IF(SUMIFS($W:$W,$A:$A,A182,$C:$C,C182)=0,0,SUMIFS(RAW_판매펀칭!$K:$K,RAW_판매펀칭!$P:$P,A182,RAW_판매펀칭!$I:$I,C182)*W182/SUMIFS($W:$W,$A:$A,A182,$C:$C,C182))</f>
        <v>132</v>
      </c>
      <c r="R182" s="47" t="n">
        <f aca="false">IF(OR(A182="500",A182="800",A182="810"),0,MAX(W182-Q182,0))</f>
        <v>0</v>
      </c>
      <c r="S182" s="47" t="n">
        <f aca="false">R182*L182</f>
        <v>0</v>
      </c>
      <c r="T182" s="47" t="n">
        <f aca="false">R182*J182</f>
        <v>0</v>
      </c>
      <c r="U182" s="47" t="n">
        <f aca="false">R182*K182</f>
        <v>0</v>
      </c>
      <c r="V182" s="0" t="str">
        <f aca="false">IF(COUNTIFS($A$2:A182,A182,$C$2:C182,C182,$D$2:D182,D182)&gt;1,"중복","")</f>
        <v/>
      </c>
      <c r="W182" s="0" t="n">
        <f aca="false">IF(V182="중복",0,N(D182))</f>
        <v>132</v>
      </c>
      <c r="X182" s="0" t="n">
        <f aca="false">IF(COUNTIFS($A$2:A182,A182,$C$2:C182,C182)=1,ABS(SUMIFS(RAW_발주!$D:$D,RAW_발주!$C:$C,A182,RAW_발주!$A:$A,C182)-SUMIFS($W:$W,$A:$A,A182,$C:$C,C182)),0)</f>
        <v>0</v>
      </c>
    </row>
    <row r="183" customFormat="false" ht="15" hidden="false" customHeight="true" outlineLevel="0" collapsed="false">
      <c r="A183" s="45" t="s">
        <v>1659</v>
      </c>
      <c r="B183" s="42" t="str">
        <f aca="false">IF(A183="100","HK",IF(A183="200","CN",IF(A183="300","TW","홀세일")))</f>
        <v>HK</v>
      </c>
      <c r="C183" s="45" t="s">
        <v>191</v>
      </c>
      <c r="D183" s="46" t="n">
        <v>180</v>
      </c>
      <c r="E183" s="46" t="n">
        <v>129000</v>
      </c>
      <c r="F183" s="46" t="n">
        <v>22302</v>
      </c>
      <c r="G183" s="42" t="n">
        <v>4.64</v>
      </c>
      <c r="H183" s="42" t="n">
        <v>32.3</v>
      </c>
      <c r="J183" s="46" t="n">
        <f aca="false">IF(N(E183)&gt;0,E183,IF(N(F183)&gt;0,F183*요약!$F$27,0))</f>
        <v>129000</v>
      </c>
      <c r="K183" s="46" t="n">
        <f aca="false">IF(N(F183)&gt;0,F183,IF(N(E183)&gt;0,E183/요약!$F$27,0))</f>
        <v>22302</v>
      </c>
      <c r="L183" s="46" t="n">
        <f aca="false">IF(B183="CN",IF(N(I183)&gt;0,I183*요약!$G$27,K183*(1+요약!$E$27)),IF(N(H183)&gt;0,H183*요약!$G$27,J183*요약!$D$27))</f>
        <v>42636</v>
      </c>
      <c r="M183" s="46" t="n">
        <f aca="false">D183*J183</f>
        <v>23220000</v>
      </c>
      <c r="N183" s="46" t="n">
        <f aca="false">D183*K183</f>
        <v>4014360</v>
      </c>
      <c r="O183" s="46" t="n">
        <f aca="false">D183*L183</f>
        <v>7674480</v>
      </c>
      <c r="P183" s="42" t="str">
        <f aca="false">TRIM(IF(N(E183)&lt;=0,"택가보정 ","")&amp;IF(N(F183)&lt;=0,"원가보정 ","")&amp;IF(AND(B183&lt;&gt;"CN",N(H183)&lt;=0),"공급가보정 ","")&amp;IF(AND(B183="CN",N(I183)&lt;=0),"중국공급가=원가+마진 ",""))</f>
        <v/>
      </c>
      <c r="Q183" s="47" t="n">
        <f aca="false">IF(SUMIFS($W:$W,$A:$A,A183,$C:$C,C183)=0,0,SUMIFS(RAW_판매펀칭!$K:$K,RAW_판매펀칭!$P:$P,A183,RAW_판매펀칭!$I:$I,C183)*W183/SUMIFS($W:$W,$A:$A,A183,$C:$C,C183))</f>
        <v>180</v>
      </c>
      <c r="R183" s="47" t="n">
        <f aca="false">IF(OR(A183="500",A183="800",A183="810"),0,MAX(W183-Q183,0))</f>
        <v>0</v>
      </c>
      <c r="S183" s="47" t="n">
        <f aca="false">R183*L183</f>
        <v>0</v>
      </c>
      <c r="T183" s="47" t="n">
        <f aca="false">R183*J183</f>
        <v>0</v>
      </c>
      <c r="U183" s="47" t="n">
        <f aca="false">R183*K183</f>
        <v>0</v>
      </c>
      <c r="V183" s="0" t="str">
        <f aca="false">IF(COUNTIFS($A$2:A183,A183,$C$2:C183,C183,$D$2:D183,D183)&gt;1,"중복","")</f>
        <v/>
      </c>
      <c r="W183" s="0" t="n">
        <f aca="false">IF(V183="중복",0,N(D183))</f>
        <v>180</v>
      </c>
      <c r="X183" s="0" t="n">
        <f aca="false">IF(COUNTIFS($A$2:A183,A183,$C$2:C183,C183)=1,ABS(SUMIFS(RAW_발주!$D:$D,RAW_발주!$C:$C,A183,RAW_발주!$A:$A,C183)-SUMIFS($W:$W,$A:$A,A183,$C:$C,C183)),0)</f>
        <v>0</v>
      </c>
    </row>
    <row r="184" customFormat="false" ht="15" hidden="false" customHeight="true" outlineLevel="0" collapsed="false">
      <c r="A184" s="45" t="s">
        <v>1661</v>
      </c>
      <c r="B184" s="42" t="str">
        <f aca="false">IF(A184="100","HK",IF(A184="200","CN",IF(A184="300","TW","홀세일")))</f>
        <v>TW</v>
      </c>
      <c r="C184" s="45" t="s">
        <v>191</v>
      </c>
      <c r="D184" s="46" t="n">
        <v>230</v>
      </c>
      <c r="E184" s="46" t="n">
        <v>129000</v>
      </c>
      <c r="F184" s="46" t="n">
        <v>22302</v>
      </c>
      <c r="G184" s="42" t="n">
        <v>4.64</v>
      </c>
      <c r="H184" s="42" t="n">
        <v>32.3</v>
      </c>
      <c r="J184" s="46" t="n">
        <f aca="false">IF(N(E184)&gt;0,E184,IF(N(F184)&gt;0,F184*요약!$F$27,0))</f>
        <v>129000</v>
      </c>
      <c r="K184" s="46" t="n">
        <f aca="false">IF(N(F184)&gt;0,F184,IF(N(E184)&gt;0,E184/요약!$F$27,0))</f>
        <v>22302</v>
      </c>
      <c r="L184" s="46" t="n">
        <f aca="false">IF(B184="CN",IF(N(I184)&gt;0,I184*요약!$G$27,K184*(1+요약!$E$27)),IF(N(H184)&gt;0,H184*요약!$G$27,J184*요약!$D$27))</f>
        <v>42636</v>
      </c>
      <c r="M184" s="46" t="n">
        <f aca="false">D184*J184</f>
        <v>29670000</v>
      </c>
      <c r="N184" s="46" t="n">
        <f aca="false">D184*K184</f>
        <v>5129460</v>
      </c>
      <c r="O184" s="46" t="n">
        <f aca="false">D184*L184</f>
        <v>9806280</v>
      </c>
      <c r="P184" s="42" t="str">
        <f aca="false">TRIM(IF(N(E184)&lt;=0,"택가보정 ","")&amp;IF(N(F184)&lt;=0,"원가보정 ","")&amp;IF(AND(B184&lt;&gt;"CN",N(H184)&lt;=0),"공급가보정 ","")&amp;IF(AND(B184="CN",N(I184)&lt;=0),"중국공급가=원가+마진 ",""))</f>
        <v/>
      </c>
      <c r="Q184" s="47" t="n">
        <f aca="false">IF(SUMIFS($W:$W,$A:$A,A184,$C:$C,C184)=0,0,SUMIFS(RAW_판매펀칭!$K:$K,RAW_판매펀칭!$P:$P,A184,RAW_판매펀칭!$I:$I,C184)*W184/SUMIFS($W:$W,$A:$A,A184,$C:$C,C184))</f>
        <v>230</v>
      </c>
      <c r="R184" s="47" t="n">
        <f aca="false">IF(OR(A184="500",A184="800",A184="810"),0,MAX(W184-Q184,0))</f>
        <v>0</v>
      </c>
      <c r="S184" s="47" t="n">
        <f aca="false">R184*L184</f>
        <v>0</v>
      </c>
      <c r="T184" s="47" t="n">
        <f aca="false">R184*J184</f>
        <v>0</v>
      </c>
      <c r="U184" s="47" t="n">
        <f aca="false">R184*K184</f>
        <v>0</v>
      </c>
      <c r="V184" s="0" t="str">
        <f aca="false">IF(COUNTIFS($A$2:A184,A184,$C$2:C184,C184,$D$2:D184,D184)&gt;1,"중복","")</f>
        <v/>
      </c>
      <c r="W184" s="0" t="n">
        <f aca="false">IF(V184="중복",0,N(D184))</f>
        <v>230</v>
      </c>
      <c r="X184" s="0" t="n">
        <f aca="false">IF(COUNTIFS($A$2:A184,A184,$C$2:C184,C184)=1,ABS(SUMIFS(RAW_발주!$D:$D,RAW_발주!$C:$C,A184,RAW_발주!$A:$A,C184)-SUMIFS($W:$W,$A:$A,A184,$C:$C,C184)),0)</f>
        <v>0</v>
      </c>
    </row>
    <row r="185" customFormat="false" ht="15" hidden="false" customHeight="true" outlineLevel="0" collapsed="false">
      <c r="A185" s="45" t="s">
        <v>1663</v>
      </c>
      <c r="B185" s="42" t="str">
        <f aca="false">IF(A185="100","HK",IF(A185="200","CN",IF(A185="300","TW","홀세일")))</f>
        <v>홀세일</v>
      </c>
      <c r="C185" s="45" t="s">
        <v>191</v>
      </c>
      <c r="D185" s="46" t="n">
        <v>60</v>
      </c>
      <c r="E185" s="46" t="n">
        <v>129000</v>
      </c>
      <c r="F185" s="46" t="n">
        <v>22302</v>
      </c>
      <c r="G185" s="42" t="n">
        <v>4.64</v>
      </c>
      <c r="H185" s="42" t="n">
        <v>32.3</v>
      </c>
      <c r="J185" s="46" t="n">
        <f aca="false">IF(N(E185)&gt;0,E185,IF(N(F185)&gt;0,F185*요약!$F$27,0))</f>
        <v>129000</v>
      </c>
      <c r="K185" s="46" t="n">
        <f aca="false">IF(N(F185)&gt;0,F185,IF(N(E185)&gt;0,E185/요약!$F$27,0))</f>
        <v>22302</v>
      </c>
      <c r="L185" s="46" t="n">
        <f aca="false">IF(B185="CN",IF(N(I185)&gt;0,I185*요약!$G$27,K185*(1+요약!$E$27)),IF(N(H185)&gt;0,H185*요약!$G$27,J185*요약!$D$27))</f>
        <v>42636</v>
      </c>
      <c r="M185" s="46" t="n">
        <f aca="false">D185*J185</f>
        <v>7740000</v>
      </c>
      <c r="N185" s="46" t="n">
        <f aca="false">D185*K185</f>
        <v>1338120</v>
      </c>
      <c r="O185" s="46" t="n">
        <f aca="false">D185*L185</f>
        <v>2558160</v>
      </c>
      <c r="P185" s="42" t="str">
        <f aca="false">TRIM(IF(N(E185)&lt;=0,"택가보정 ","")&amp;IF(N(F185)&lt;=0,"원가보정 ","")&amp;IF(AND(B185&lt;&gt;"CN",N(H185)&lt;=0),"공급가보정 ","")&amp;IF(AND(B185="CN",N(I185)&lt;=0),"중국공급가=원가+마진 ",""))</f>
        <v/>
      </c>
      <c r="Q185" s="47" t="n">
        <f aca="false">IF(SUMIFS($W:$W,$A:$A,A185,$C:$C,C185)=0,0,SUMIFS(RAW_판매펀칭!$K:$K,RAW_판매펀칭!$P:$P,A185,RAW_판매펀칭!$I:$I,C185)*W185/SUMIFS($W:$W,$A:$A,A185,$C:$C,C185))</f>
        <v>0</v>
      </c>
      <c r="R185" s="47" t="n">
        <f aca="false">IF(OR(A185="500",A185="800",A185="810"),0,MAX(W185-Q185,0))</f>
        <v>60</v>
      </c>
      <c r="S185" s="47" t="n">
        <f aca="false">R185*L185</f>
        <v>2558160</v>
      </c>
      <c r="T185" s="47" t="n">
        <f aca="false">R185*J185</f>
        <v>7740000</v>
      </c>
      <c r="U185" s="47" t="n">
        <f aca="false">R185*K185</f>
        <v>1338120</v>
      </c>
      <c r="V185" s="0" t="str">
        <f aca="false">IF(COUNTIFS($A$2:A185,A185,$C$2:C185,C185,$D$2:D185,D185)&gt;1,"중복","")</f>
        <v/>
      </c>
      <c r="W185" s="0" t="n">
        <f aca="false">IF(V185="중복",0,N(D185))</f>
        <v>60</v>
      </c>
      <c r="X185" s="0" t="n">
        <f aca="false">IF(COUNTIFS($A$2:A185,A185,$C$2:C185,C185)=1,ABS(SUMIFS(RAW_발주!$D:$D,RAW_발주!$C:$C,A185,RAW_발주!$A:$A,C185)-SUMIFS($W:$W,$A:$A,A185,$C:$C,C185)),0)</f>
        <v>0</v>
      </c>
    </row>
    <row r="186" customFormat="false" ht="15" hidden="false" customHeight="true" outlineLevel="0" collapsed="false">
      <c r="A186" s="45" t="s">
        <v>1667</v>
      </c>
      <c r="B186" s="42" t="str">
        <f aca="false">IF(A186="100","HK",IF(A186="200","CN",IF(A186="300","TW","홀세일")))</f>
        <v>홀세일</v>
      </c>
      <c r="C186" s="45" t="s">
        <v>191</v>
      </c>
      <c r="D186" s="46" t="n">
        <v>92</v>
      </c>
      <c r="E186" s="46" t="n">
        <v>129000</v>
      </c>
      <c r="F186" s="46" t="n">
        <v>22302</v>
      </c>
      <c r="G186" s="42" t="n">
        <v>4.64</v>
      </c>
      <c r="H186" s="42" t="n">
        <v>32.3</v>
      </c>
      <c r="J186" s="46" t="n">
        <f aca="false">IF(N(E186)&gt;0,E186,IF(N(F186)&gt;0,F186*요약!$F$27,0))</f>
        <v>129000</v>
      </c>
      <c r="K186" s="46" t="n">
        <f aca="false">IF(N(F186)&gt;0,F186,IF(N(E186)&gt;0,E186/요약!$F$27,0))</f>
        <v>22302</v>
      </c>
      <c r="L186" s="46" t="n">
        <f aca="false">IF(B186="CN",IF(N(I186)&gt;0,I186*요약!$G$27,K186*(1+요약!$E$27)),IF(N(H186)&gt;0,H186*요약!$G$27,J186*요약!$D$27))</f>
        <v>42636</v>
      </c>
      <c r="M186" s="46" t="n">
        <f aca="false">D186*J186</f>
        <v>11868000</v>
      </c>
      <c r="N186" s="46" t="n">
        <f aca="false">D186*K186</f>
        <v>2051784</v>
      </c>
      <c r="O186" s="46" t="n">
        <f aca="false">D186*L186</f>
        <v>3922512</v>
      </c>
      <c r="P186" s="42" t="str">
        <f aca="false">TRIM(IF(N(E186)&lt;=0,"택가보정 ","")&amp;IF(N(F186)&lt;=0,"원가보정 ","")&amp;IF(AND(B186&lt;&gt;"CN",N(H186)&lt;=0),"공급가보정 ","")&amp;IF(AND(B186="CN",N(I186)&lt;=0),"중국공급가=원가+마진 ",""))</f>
        <v/>
      </c>
      <c r="Q186" s="47" t="n">
        <f aca="false">IF(SUMIFS($W:$W,$A:$A,A186,$C:$C,C186)=0,0,SUMIFS(RAW_판매펀칭!$K:$K,RAW_판매펀칭!$P:$P,A186,RAW_판매펀칭!$I:$I,C186)*W186/SUMIFS($W:$W,$A:$A,A186,$C:$C,C186))</f>
        <v>92</v>
      </c>
      <c r="R186" s="47" t="n">
        <f aca="false">IF(OR(A186="500",A186="800",A186="810"),0,MAX(W186-Q186,0))</f>
        <v>0</v>
      </c>
      <c r="S186" s="47" t="n">
        <f aca="false">R186*L186</f>
        <v>0</v>
      </c>
      <c r="T186" s="47" t="n">
        <f aca="false">R186*J186</f>
        <v>0</v>
      </c>
      <c r="U186" s="47" t="n">
        <f aca="false">R186*K186</f>
        <v>0</v>
      </c>
      <c r="V186" s="0" t="str">
        <f aca="false">IF(COUNTIFS($A$2:A186,A186,$C$2:C186,C186,$D$2:D186,D186)&gt;1,"중복","")</f>
        <v/>
      </c>
      <c r="W186" s="0" t="n">
        <f aca="false">IF(V186="중복",0,N(D186))</f>
        <v>92</v>
      </c>
      <c r="X186" s="0" t="n">
        <f aca="false">IF(COUNTIFS($A$2:A186,A186,$C$2:C186,C186)=1,ABS(SUMIFS(RAW_발주!$D:$D,RAW_발주!$C:$C,A186,RAW_발주!$A:$A,C186)-SUMIFS($W:$W,$A:$A,A186,$C:$C,C186)),0)</f>
        <v>0</v>
      </c>
    </row>
    <row r="187" customFormat="false" ht="15" hidden="false" customHeight="true" outlineLevel="0" collapsed="false">
      <c r="A187" s="45" t="s">
        <v>1659</v>
      </c>
      <c r="B187" s="42" t="str">
        <f aca="false">IF(A187="100","HK",IF(A187="200","CN",IF(A187="300","TW","홀세일")))</f>
        <v>HK</v>
      </c>
      <c r="C187" s="45" t="s">
        <v>193</v>
      </c>
      <c r="D187" s="46" t="n">
        <v>160</v>
      </c>
      <c r="E187" s="46" t="n">
        <v>109000</v>
      </c>
      <c r="F187" s="46" t="n">
        <v>21600</v>
      </c>
      <c r="G187" s="42" t="n">
        <v>4.48</v>
      </c>
      <c r="H187" s="42" t="n">
        <v>27.3</v>
      </c>
      <c r="J187" s="46" t="n">
        <f aca="false">IF(N(E187)&gt;0,E187,IF(N(F187)&gt;0,F187*요약!$F$27,0))</f>
        <v>109000</v>
      </c>
      <c r="K187" s="46" t="n">
        <f aca="false">IF(N(F187)&gt;0,F187,IF(N(E187)&gt;0,E187/요약!$F$27,0))</f>
        <v>21600</v>
      </c>
      <c r="L187" s="46" t="n">
        <f aca="false">IF(B187="CN",IF(N(I187)&gt;0,I187*요약!$G$27,K187*(1+요약!$E$27)),IF(N(H187)&gt;0,H187*요약!$G$27,J187*요약!$D$27))</f>
        <v>36036</v>
      </c>
      <c r="M187" s="46" t="n">
        <f aca="false">D187*J187</f>
        <v>17440000</v>
      </c>
      <c r="N187" s="46" t="n">
        <f aca="false">D187*K187</f>
        <v>3456000</v>
      </c>
      <c r="O187" s="46" t="n">
        <f aca="false">D187*L187</f>
        <v>5765760</v>
      </c>
      <c r="P187" s="42" t="str">
        <f aca="false">TRIM(IF(N(E187)&lt;=0,"택가보정 ","")&amp;IF(N(F187)&lt;=0,"원가보정 ","")&amp;IF(AND(B187&lt;&gt;"CN",N(H187)&lt;=0),"공급가보정 ","")&amp;IF(AND(B187="CN",N(I187)&lt;=0),"중국공급가=원가+마진 ",""))</f>
        <v/>
      </c>
      <c r="Q187" s="47" t="n">
        <f aca="false">IF(SUMIFS($W:$W,$A:$A,A187,$C:$C,C187)=0,0,SUMIFS(RAW_판매펀칭!$K:$K,RAW_판매펀칭!$P:$P,A187,RAW_판매펀칭!$I:$I,C187)*W187/SUMIFS($W:$W,$A:$A,A187,$C:$C,C187))</f>
        <v>160</v>
      </c>
      <c r="R187" s="47" t="n">
        <f aca="false">IF(OR(A187="500",A187="800",A187="810"),0,MAX(W187-Q187,0))</f>
        <v>0</v>
      </c>
      <c r="S187" s="47" t="n">
        <f aca="false">R187*L187</f>
        <v>0</v>
      </c>
      <c r="T187" s="47" t="n">
        <f aca="false">R187*J187</f>
        <v>0</v>
      </c>
      <c r="U187" s="47" t="n">
        <f aca="false">R187*K187</f>
        <v>0</v>
      </c>
      <c r="V187" s="0" t="str">
        <f aca="false">IF(COUNTIFS($A$2:A187,A187,$C$2:C187,C187,$D$2:D187,D187)&gt;1,"중복","")</f>
        <v/>
      </c>
      <c r="W187" s="0" t="n">
        <f aca="false">IF(V187="중복",0,N(D187))</f>
        <v>160</v>
      </c>
      <c r="X187" s="0" t="n">
        <f aca="false">IF(COUNTIFS($A$2:A187,A187,$C$2:C187,C187)=1,ABS(SUMIFS(RAW_발주!$D:$D,RAW_발주!$C:$C,A187,RAW_발주!$A:$A,C187)-SUMIFS($W:$W,$A:$A,A187,$C:$C,C187)),0)</f>
        <v>0</v>
      </c>
    </row>
    <row r="188" customFormat="false" ht="15" hidden="false" customHeight="true" outlineLevel="0" collapsed="false">
      <c r="A188" s="45" t="s">
        <v>1661</v>
      </c>
      <c r="B188" s="42" t="str">
        <f aca="false">IF(A188="100","HK",IF(A188="200","CN",IF(A188="300","TW","홀세일")))</f>
        <v>TW</v>
      </c>
      <c r="C188" s="45" t="s">
        <v>193</v>
      </c>
      <c r="D188" s="46" t="n">
        <v>80</v>
      </c>
      <c r="E188" s="46" t="n">
        <v>109000</v>
      </c>
      <c r="F188" s="46" t="n">
        <v>21600</v>
      </c>
      <c r="G188" s="42" t="n">
        <v>4.48</v>
      </c>
      <c r="H188" s="42" t="n">
        <v>27.3</v>
      </c>
      <c r="J188" s="46" t="n">
        <f aca="false">IF(N(E188)&gt;0,E188,IF(N(F188)&gt;0,F188*요약!$F$27,0))</f>
        <v>109000</v>
      </c>
      <c r="K188" s="46" t="n">
        <f aca="false">IF(N(F188)&gt;0,F188,IF(N(E188)&gt;0,E188/요약!$F$27,0))</f>
        <v>21600</v>
      </c>
      <c r="L188" s="46" t="n">
        <f aca="false">IF(B188="CN",IF(N(I188)&gt;0,I188*요약!$G$27,K188*(1+요약!$E$27)),IF(N(H188)&gt;0,H188*요약!$G$27,J188*요약!$D$27))</f>
        <v>36036</v>
      </c>
      <c r="M188" s="46" t="n">
        <f aca="false">D188*J188</f>
        <v>8720000</v>
      </c>
      <c r="N188" s="46" t="n">
        <f aca="false">D188*K188</f>
        <v>1728000</v>
      </c>
      <c r="O188" s="46" t="n">
        <f aca="false">D188*L188</f>
        <v>2882880</v>
      </c>
      <c r="P188" s="42" t="str">
        <f aca="false">TRIM(IF(N(E188)&lt;=0,"택가보정 ","")&amp;IF(N(F188)&lt;=0,"원가보정 ","")&amp;IF(AND(B188&lt;&gt;"CN",N(H188)&lt;=0),"공급가보정 ","")&amp;IF(AND(B188="CN",N(I188)&lt;=0),"중국공급가=원가+마진 ",""))</f>
        <v/>
      </c>
      <c r="Q188" s="47" t="n">
        <f aca="false">IF(SUMIFS($W:$W,$A:$A,A188,$C:$C,C188)=0,0,SUMIFS(RAW_판매펀칭!$K:$K,RAW_판매펀칭!$P:$P,A188,RAW_판매펀칭!$I:$I,C188)*W188/SUMIFS($W:$W,$A:$A,A188,$C:$C,C188))</f>
        <v>80</v>
      </c>
      <c r="R188" s="47" t="n">
        <f aca="false">IF(OR(A188="500",A188="800",A188="810"),0,MAX(W188-Q188,0))</f>
        <v>0</v>
      </c>
      <c r="S188" s="47" t="n">
        <f aca="false">R188*L188</f>
        <v>0</v>
      </c>
      <c r="T188" s="47" t="n">
        <f aca="false">R188*J188</f>
        <v>0</v>
      </c>
      <c r="U188" s="47" t="n">
        <f aca="false">R188*K188</f>
        <v>0</v>
      </c>
      <c r="V188" s="0" t="str">
        <f aca="false">IF(COUNTIFS($A$2:A188,A188,$C$2:C188,C188,$D$2:D188,D188)&gt;1,"중복","")</f>
        <v/>
      </c>
      <c r="W188" s="0" t="n">
        <f aca="false">IF(V188="중복",0,N(D188))</f>
        <v>80</v>
      </c>
      <c r="X188" s="0" t="n">
        <f aca="false">IF(COUNTIFS($A$2:A188,A188,$C$2:C188,C188)=1,ABS(SUMIFS(RAW_발주!$D:$D,RAW_발주!$C:$C,A188,RAW_발주!$A:$A,C188)-SUMIFS($W:$W,$A:$A,A188,$C:$C,C188)),0)</f>
        <v>0</v>
      </c>
    </row>
    <row r="189" customFormat="false" ht="15" hidden="false" customHeight="true" outlineLevel="0" collapsed="false">
      <c r="A189" s="45" t="s">
        <v>1659</v>
      </c>
      <c r="B189" s="42" t="str">
        <f aca="false">IF(A189="100","HK",IF(A189="200","CN",IF(A189="300","TW","홀세일")))</f>
        <v>HK</v>
      </c>
      <c r="C189" s="45" t="s">
        <v>195</v>
      </c>
      <c r="D189" s="46" t="n">
        <v>90</v>
      </c>
      <c r="E189" s="46" t="n">
        <v>139000</v>
      </c>
      <c r="F189" s="46" t="n">
        <v>23800</v>
      </c>
      <c r="G189" s="42" t="n">
        <v>4.4</v>
      </c>
      <c r="H189" s="42" t="n">
        <v>34.8</v>
      </c>
      <c r="J189" s="46" t="n">
        <f aca="false">IF(N(E189)&gt;0,E189,IF(N(F189)&gt;0,F189*요약!$F$27,0))</f>
        <v>139000</v>
      </c>
      <c r="K189" s="46" t="n">
        <f aca="false">IF(N(F189)&gt;0,F189,IF(N(E189)&gt;0,E189/요약!$F$27,0))</f>
        <v>23800</v>
      </c>
      <c r="L189" s="46" t="n">
        <f aca="false">IF(B189="CN",IF(N(I189)&gt;0,I189*요약!$G$27,K189*(1+요약!$E$27)),IF(N(H189)&gt;0,H189*요약!$G$27,J189*요약!$D$27))</f>
        <v>45936</v>
      </c>
      <c r="M189" s="46" t="n">
        <f aca="false">D189*J189</f>
        <v>12510000</v>
      </c>
      <c r="N189" s="46" t="n">
        <f aca="false">D189*K189</f>
        <v>2142000</v>
      </c>
      <c r="O189" s="46" t="n">
        <f aca="false">D189*L189</f>
        <v>4134240</v>
      </c>
      <c r="P189" s="42" t="str">
        <f aca="false">TRIM(IF(N(E189)&lt;=0,"택가보정 ","")&amp;IF(N(F189)&lt;=0,"원가보정 ","")&amp;IF(AND(B189&lt;&gt;"CN",N(H189)&lt;=0),"공급가보정 ","")&amp;IF(AND(B189="CN",N(I189)&lt;=0),"중국공급가=원가+마진 ",""))</f>
        <v/>
      </c>
      <c r="Q189" s="47" t="n">
        <f aca="false">IF(SUMIFS($W:$W,$A:$A,A189,$C:$C,C189)=0,0,SUMIFS(RAW_판매펀칭!$K:$K,RAW_판매펀칭!$P:$P,A189,RAW_판매펀칭!$I:$I,C189)*W189/SUMIFS($W:$W,$A:$A,A189,$C:$C,C189))</f>
        <v>90</v>
      </c>
      <c r="R189" s="47" t="n">
        <f aca="false">IF(OR(A189="500",A189="800",A189="810"),0,MAX(W189-Q189,0))</f>
        <v>0</v>
      </c>
      <c r="S189" s="47" t="n">
        <f aca="false">R189*L189</f>
        <v>0</v>
      </c>
      <c r="T189" s="47" t="n">
        <f aca="false">R189*J189</f>
        <v>0</v>
      </c>
      <c r="U189" s="47" t="n">
        <f aca="false">R189*K189</f>
        <v>0</v>
      </c>
      <c r="V189" s="0" t="str">
        <f aca="false">IF(COUNTIFS($A$2:A189,A189,$C$2:C189,C189,$D$2:D189,D189)&gt;1,"중복","")</f>
        <v/>
      </c>
      <c r="W189" s="0" t="n">
        <f aca="false">IF(V189="중복",0,N(D189))</f>
        <v>90</v>
      </c>
      <c r="X189" s="0" t="n">
        <f aca="false">IF(COUNTIFS($A$2:A189,A189,$C$2:C189,C189)=1,ABS(SUMIFS(RAW_발주!$D:$D,RAW_발주!$C:$C,A189,RAW_발주!$A:$A,C189)-SUMIFS($W:$W,$A:$A,A189,$C:$C,C189)),0)</f>
        <v>0</v>
      </c>
    </row>
    <row r="190" customFormat="false" ht="15" hidden="false" customHeight="true" outlineLevel="0" collapsed="false">
      <c r="A190" s="45" t="s">
        <v>1661</v>
      </c>
      <c r="B190" s="42" t="str">
        <f aca="false">IF(A190="100","HK",IF(A190="200","CN",IF(A190="300","TW","홀세일")))</f>
        <v>TW</v>
      </c>
      <c r="C190" s="45" t="s">
        <v>195</v>
      </c>
      <c r="D190" s="46" t="n">
        <v>230</v>
      </c>
      <c r="E190" s="46" t="n">
        <v>139000</v>
      </c>
      <c r="F190" s="46" t="n">
        <v>23800</v>
      </c>
      <c r="G190" s="42" t="n">
        <v>4.4</v>
      </c>
      <c r="H190" s="42" t="n">
        <v>34.8</v>
      </c>
      <c r="J190" s="46" t="n">
        <f aca="false">IF(N(E190)&gt;0,E190,IF(N(F190)&gt;0,F190*요약!$F$27,0))</f>
        <v>139000</v>
      </c>
      <c r="K190" s="46" t="n">
        <f aca="false">IF(N(F190)&gt;0,F190,IF(N(E190)&gt;0,E190/요약!$F$27,0))</f>
        <v>23800</v>
      </c>
      <c r="L190" s="46" t="n">
        <f aca="false">IF(B190="CN",IF(N(I190)&gt;0,I190*요약!$G$27,K190*(1+요약!$E$27)),IF(N(H190)&gt;0,H190*요약!$G$27,J190*요약!$D$27))</f>
        <v>45936</v>
      </c>
      <c r="M190" s="46" t="n">
        <f aca="false">D190*J190</f>
        <v>31970000</v>
      </c>
      <c r="N190" s="46" t="n">
        <f aca="false">D190*K190</f>
        <v>5474000</v>
      </c>
      <c r="O190" s="46" t="n">
        <f aca="false">D190*L190</f>
        <v>10565280</v>
      </c>
      <c r="P190" s="42" t="str">
        <f aca="false">TRIM(IF(N(E190)&lt;=0,"택가보정 ","")&amp;IF(N(F190)&lt;=0,"원가보정 ","")&amp;IF(AND(B190&lt;&gt;"CN",N(H190)&lt;=0),"공급가보정 ","")&amp;IF(AND(B190="CN",N(I190)&lt;=0),"중국공급가=원가+마진 ",""))</f>
        <v/>
      </c>
      <c r="Q190" s="47" t="n">
        <f aca="false">IF(SUMIFS($W:$W,$A:$A,A190,$C:$C,C190)=0,0,SUMIFS(RAW_판매펀칭!$K:$K,RAW_판매펀칭!$P:$P,A190,RAW_판매펀칭!$I:$I,C190)*W190/SUMIFS($W:$W,$A:$A,A190,$C:$C,C190))</f>
        <v>230</v>
      </c>
      <c r="R190" s="47" t="n">
        <f aca="false">IF(OR(A190="500",A190="800",A190="810"),0,MAX(W190-Q190,0))</f>
        <v>0</v>
      </c>
      <c r="S190" s="47" t="n">
        <f aca="false">R190*L190</f>
        <v>0</v>
      </c>
      <c r="T190" s="47" t="n">
        <f aca="false">R190*J190</f>
        <v>0</v>
      </c>
      <c r="U190" s="47" t="n">
        <f aca="false">R190*K190</f>
        <v>0</v>
      </c>
      <c r="V190" s="0" t="str">
        <f aca="false">IF(COUNTIFS($A$2:A190,A190,$C$2:C190,C190,$D$2:D190,D190)&gt;1,"중복","")</f>
        <v/>
      </c>
      <c r="W190" s="0" t="n">
        <f aca="false">IF(V190="중복",0,N(D190))</f>
        <v>230</v>
      </c>
      <c r="X190" s="0" t="n">
        <f aca="false">IF(COUNTIFS($A$2:A190,A190,$C$2:C190,C190)=1,ABS(SUMIFS(RAW_발주!$D:$D,RAW_발주!$C:$C,A190,RAW_발주!$A:$A,C190)-SUMIFS($W:$W,$A:$A,A190,$C:$C,C190)),0)</f>
        <v>0</v>
      </c>
    </row>
    <row r="191" customFormat="false" ht="15" hidden="false" customHeight="true" outlineLevel="0" collapsed="false">
      <c r="A191" s="45" t="s">
        <v>1659</v>
      </c>
      <c r="B191" s="42" t="str">
        <f aca="false">IF(A191="100","HK",IF(A191="200","CN",IF(A191="300","TW","홀세일")))</f>
        <v>HK</v>
      </c>
      <c r="C191" s="45" t="s">
        <v>197</v>
      </c>
      <c r="D191" s="46" t="n">
        <v>200</v>
      </c>
      <c r="E191" s="46" t="n">
        <v>149000</v>
      </c>
      <c r="F191" s="46" t="n">
        <v>20600</v>
      </c>
      <c r="G191" s="42" t="n">
        <v>5.67</v>
      </c>
      <c r="H191" s="42" t="n">
        <v>37.3</v>
      </c>
      <c r="J191" s="46" t="n">
        <f aca="false">IF(N(E191)&gt;0,E191,IF(N(F191)&gt;0,F191*요약!$F$27,0))</f>
        <v>149000</v>
      </c>
      <c r="K191" s="46" t="n">
        <f aca="false">IF(N(F191)&gt;0,F191,IF(N(E191)&gt;0,E191/요약!$F$27,0))</f>
        <v>20600</v>
      </c>
      <c r="L191" s="46" t="n">
        <f aca="false">IF(B191="CN",IF(N(I191)&gt;0,I191*요약!$G$27,K191*(1+요약!$E$27)),IF(N(H191)&gt;0,H191*요약!$G$27,J191*요약!$D$27))</f>
        <v>49236</v>
      </c>
      <c r="M191" s="46" t="n">
        <f aca="false">D191*J191</f>
        <v>29800000</v>
      </c>
      <c r="N191" s="46" t="n">
        <f aca="false">D191*K191</f>
        <v>4120000</v>
      </c>
      <c r="O191" s="46" t="n">
        <f aca="false">D191*L191</f>
        <v>9847200</v>
      </c>
      <c r="P191" s="42" t="str">
        <f aca="false">TRIM(IF(N(E191)&lt;=0,"택가보정 ","")&amp;IF(N(F191)&lt;=0,"원가보정 ","")&amp;IF(AND(B191&lt;&gt;"CN",N(H191)&lt;=0),"공급가보정 ","")&amp;IF(AND(B191="CN",N(I191)&lt;=0),"중국공급가=원가+마진 ",""))</f>
        <v/>
      </c>
      <c r="Q191" s="47" t="n">
        <f aca="false">IF(SUMIFS($W:$W,$A:$A,A191,$C:$C,C191)=0,0,SUMIFS(RAW_판매펀칭!$K:$K,RAW_판매펀칭!$P:$P,A191,RAW_판매펀칭!$I:$I,C191)*W191/SUMIFS($W:$W,$A:$A,A191,$C:$C,C191))</f>
        <v>200</v>
      </c>
      <c r="R191" s="47" t="n">
        <f aca="false">IF(OR(A191="500",A191="800",A191="810"),0,MAX(W191-Q191,0))</f>
        <v>0</v>
      </c>
      <c r="S191" s="47" t="n">
        <f aca="false">R191*L191</f>
        <v>0</v>
      </c>
      <c r="T191" s="47" t="n">
        <f aca="false">R191*J191</f>
        <v>0</v>
      </c>
      <c r="U191" s="47" t="n">
        <f aca="false">R191*K191</f>
        <v>0</v>
      </c>
      <c r="V191" s="0" t="str">
        <f aca="false">IF(COUNTIFS($A$2:A191,A191,$C$2:C191,C191,$D$2:D191,D191)&gt;1,"중복","")</f>
        <v/>
      </c>
      <c r="W191" s="0" t="n">
        <f aca="false">IF(V191="중복",0,N(D191))</f>
        <v>200</v>
      </c>
      <c r="X191" s="0" t="n">
        <f aca="false">IF(COUNTIFS($A$2:A191,A191,$C$2:C191,C191)=1,ABS(SUMIFS(RAW_발주!$D:$D,RAW_발주!$C:$C,A191,RAW_발주!$A:$A,C191)-SUMIFS($W:$W,$A:$A,A191,$C:$C,C191)),0)</f>
        <v>0</v>
      </c>
    </row>
    <row r="192" customFormat="false" ht="15" hidden="false" customHeight="true" outlineLevel="0" collapsed="false">
      <c r="A192" s="45" t="s">
        <v>1661</v>
      </c>
      <c r="B192" s="42" t="str">
        <f aca="false">IF(A192="100","HK",IF(A192="200","CN",IF(A192="300","TW","홀세일")))</f>
        <v>TW</v>
      </c>
      <c r="C192" s="45" t="s">
        <v>197</v>
      </c>
      <c r="D192" s="46" t="n">
        <v>280</v>
      </c>
      <c r="E192" s="46" t="n">
        <v>149000</v>
      </c>
      <c r="F192" s="46" t="n">
        <v>20600</v>
      </c>
      <c r="G192" s="42" t="n">
        <v>5.67</v>
      </c>
      <c r="H192" s="42" t="n">
        <v>37.3</v>
      </c>
      <c r="J192" s="46" t="n">
        <f aca="false">IF(N(E192)&gt;0,E192,IF(N(F192)&gt;0,F192*요약!$F$27,0))</f>
        <v>149000</v>
      </c>
      <c r="K192" s="46" t="n">
        <f aca="false">IF(N(F192)&gt;0,F192,IF(N(E192)&gt;0,E192/요약!$F$27,0))</f>
        <v>20600</v>
      </c>
      <c r="L192" s="46" t="n">
        <f aca="false">IF(B192="CN",IF(N(I192)&gt;0,I192*요약!$G$27,K192*(1+요약!$E$27)),IF(N(H192)&gt;0,H192*요약!$G$27,J192*요약!$D$27))</f>
        <v>49236</v>
      </c>
      <c r="M192" s="46" t="n">
        <f aca="false">D192*J192</f>
        <v>41720000</v>
      </c>
      <c r="N192" s="46" t="n">
        <f aca="false">D192*K192</f>
        <v>5768000</v>
      </c>
      <c r="O192" s="46" t="n">
        <f aca="false">D192*L192</f>
        <v>13786080</v>
      </c>
      <c r="P192" s="42" t="str">
        <f aca="false">TRIM(IF(N(E192)&lt;=0,"택가보정 ","")&amp;IF(N(F192)&lt;=0,"원가보정 ","")&amp;IF(AND(B192&lt;&gt;"CN",N(H192)&lt;=0),"공급가보정 ","")&amp;IF(AND(B192="CN",N(I192)&lt;=0),"중국공급가=원가+마진 ",""))</f>
        <v/>
      </c>
      <c r="Q192" s="47" t="n">
        <f aca="false">IF(SUMIFS($W:$W,$A:$A,A192,$C:$C,C192)=0,0,SUMIFS(RAW_판매펀칭!$K:$K,RAW_판매펀칭!$P:$P,A192,RAW_판매펀칭!$I:$I,C192)*W192/SUMIFS($W:$W,$A:$A,A192,$C:$C,C192))</f>
        <v>280</v>
      </c>
      <c r="R192" s="47" t="n">
        <f aca="false">IF(OR(A192="500",A192="800",A192="810"),0,MAX(W192-Q192,0))</f>
        <v>0</v>
      </c>
      <c r="S192" s="47" t="n">
        <f aca="false">R192*L192</f>
        <v>0</v>
      </c>
      <c r="T192" s="47" t="n">
        <f aca="false">R192*J192</f>
        <v>0</v>
      </c>
      <c r="U192" s="47" t="n">
        <f aca="false">R192*K192</f>
        <v>0</v>
      </c>
      <c r="V192" s="0" t="str">
        <f aca="false">IF(COUNTIFS($A$2:A192,A192,$C$2:C192,C192,$D$2:D192,D192)&gt;1,"중복","")</f>
        <v/>
      </c>
      <c r="W192" s="0" t="n">
        <f aca="false">IF(V192="중복",0,N(D192))</f>
        <v>280</v>
      </c>
      <c r="X192" s="0" t="n">
        <f aca="false">IF(COUNTIFS($A$2:A192,A192,$C$2:C192,C192)=1,ABS(SUMIFS(RAW_발주!$D:$D,RAW_발주!$C:$C,A192,RAW_발주!$A:$A,C192)-SUMIFS($W:$W,$A:$A,A192,$C:$C,C192)),0)</f>
        <v>0</v>
      </c>
    </row>
    <row r="193" customFormat="false" ht="15" hidden="false" customHeight="true" outlineLevel="0" collapsed="false">
      <c r="A193" s="45" t="s">
        <v>1663</v>
      </c>
      <c r="B193" s="42" t="str">
        <f aca="false">IF(A193="100","HK",IF(A193="200","CN",IF(A193="300","TW","홀세일")))</f>
        <v>홀세일</v>
      </c>
      <c r="C193" s="45" t="s">
        <v>197</v>
      </c>
      <c r="D193" s="46" t="n">
        <v>45</v>
      </c>
      <c r="E193" s="46" t="n">
        <v>149000</v>
      </c>
      <c r="F193" s="46" t="n">
        <v>20600</v>
      </c>
      <c r="G193" s="42" t="n">
        <v>5.67</v>
      </c>
      <c r="H193" s="42" t="n">
        <v>37.3</v>
      </c>
      <c r="J193" s="46" t="n">
        <f aca="false">IF(N(E193)&gt;0,E193,IF(N(F193)&gt;0,F193*요약!$F$27,0))</f>
        <v>149000</v>
      </c>
      <c r="K193" s="46" t="n">
        <f aca="false">IF(N(F193)&gt;0,F193,IF(N(E193)&gt;0,E193/요약!$F$27,0))</f>
        <v>20600</v>
      </c>
      <c r="L193" s="46" t="n">
        <f aca="false">IF(B193="CN",IF(N(I193)&gt;0,I193*요약!$G$27,K193*(1+요약!$E$27)),IF(N(H193)&gt;0,H193*요약!$G$27,J193*요약!$D$27))</f>
        <v>49236</v>
      </c>
      <c r="M193" s="46" t="n">
        <f aca="false">D193*J193</f>
        <v>6705000</v>
      </c>
      <c r="N193" s="46" t="n">
        <f aca="false">D193*K193</f>
        <v>927000</v>
      </c>
      <c r="O193" s="46" t="n">
        <f aca="false">D193*L193</f>
        <v>2215620</v>
      </c>
      <c r="P193" s="42" t="str">
        <f aca="false">TRIM(IF(N(E193)&lt;=0,"택가보정 ","")&amp;IF(N(F193)&lt;=0,"원가보정 ","")&amp;IF(AND(B193&lt;&gt;"CN",N(H193)&lt;=0),"공급가보정 ","")&amp;IF(AND(B193="CN",N(I193)&lt;=0),"중국공급가=원가+마진 ",""))</f>
        <v/>
      </c>
      <c r="Q193" s="47" t="n">
        <f aca="false">IF(SUMIFS($W:$W,$A:$A,A193,$C:$C,C193)=0,0,SUMIFS(RAW_판매펀칭!$K:$K,RAW_판매펀칭!$P:$P,A193,RAW_판매펀칭!$I:$I,C193)*W193/SUMIFS($W:$W,$A:$A,A193,$C:$C,C193))</f>
        <v>45</v>
      </c>
      <c r="R193" s="47" t="n">
        <f aca="false">IF(OR(A193="500",A193="800",A193="810"),0,MAX(W193-Q193,0))</f>
        <v>0</v>
      </c>
      <c r="S193" s="47" t="n">
        <f aca="false">R193*L193</f>
        <v>0</v>
      </c>
      <c r="T193" s="47" t="n">
        <f aca="false">R193*J193</f>
        <v>0</v>
      </c>
      <c r="U193" s="47" t="n">
        <f aca="false">R193*K193</f>
        <v>0</v>
      </c>
      <c r="V193" s="0" t="str">
        <f aca="false">IF(COUNTIFS($A$2:A193,A193,$C$2:C193,C193,$D$2:D193,D193)&gt;1,"중복","")</f>
        <v/>
      </c>
      <c r="W193" s="0" t="n">
        <f aca="false">IF(V193="중복",0,N(D193))</f>
        <v>45</v>
      </c>
      <c r="X193" s="0" t="n">
        <f aca="false">IF(COUNTIFS($A$2:A193,A193,$C$2:C193,C193)=1,ABS(SUMIFS(RAW_발주!$D:$D,RAW_발주!$C:$C,A193,RAW_발주!$A:$A,C193)-SUMIFS($W:$W,$A:$A,A193,$C:$C,C193)),0)</f>
        <v>0</v>
      </c>
    </row>
    <row r="194" customFormat="false" ht="15.75" hidden="false" customHeight="true" outlineLevel="0" collapsed="false">
      <c r="A194" s="45" t="s">
        <v>1660</v>
      </c>
      <c r="B194" s="42" t="str">
        <f aca="false">IF(A194="100","HK",IF(A194="200","CN",IF(A194="300","TW","홀세일")))</f>
        <v>CN</v>
      </c>
      <c r="C194" s="45" t="s">
        <v>199</v>
      </c>
      <c r="D194" s="46" t="n">
        <v>132</v>
      </c>
      <c r="E194" s="46" t="n">
        <v>159000</v>
      </c>
      <c r="F194" s="46" t="n">
        <v>35618</v>
      </c>
      <c r="G194" s="42" t="n">
        <v>3.83</v>
      </c>
      <c r="H194" s="42" t="n">
        <v>39.8</v>
      </c>
      <c r="J194" s="46" t="n">
        <f aca="false">IF(N(E194)&gt;0,E194,IF(N(F194)&gt;0,F194*요약!$F$27,0))</f>
        <v>159000</v>
      </c>
      <c r="K194" s="46" t="n">
        <f aca="false">IF(N(F194)&gt;0,F194,IF(N(E194)&gt;0,E194/요약!$F$27,0))</f>
        <v>35618</v>
      </c>
      <c r="L194" s="46" t="n">
        <f aca="false">IF(B194="CN",IF(N(I194)&gt;0,I194*요약!$G$27,K194*(1+요약!$E$27)),IF(N(H194)&gt;0,H194*요약!$G$27,J194*요약!$D$27))</f>
        <v>37398.9</v>
      </c>
      <c r="M194" s="46" t="n">
        <f aca="false">D194*J194</f>
        <v>20988000</v>
      </c>
      <c r="N194" s="46" t="n">
        <f aca="false">D194*K194</f>
        <v>4701576</v>
      </c>
      <c r="O194" s="46" t="n">
        <f aca="false">D194*L194</f>
        <v>4936654.8</v>
      </c>
      <c r="P194" s="42" t="str">
        <f aca="false">TRIM(IF(N(E194)&lt;=0,"택가보정 ","")&amp;IF(N(F194)&lt;=0,"원가보정 ","")&amp;IF(AND(B194&lt;&gt;"CN",N(H194)&lt;=0),"공급가보정 ","")&amp;IF(AND(B194="CN",N(I194)&lt;=0),"중국공급가=원가+마진 ",""))</f>
        <v>중국공급가=원가+마진</v>
      </c>
      <c r="Q194" s="47" t="n">
        <f aca="false">IF(SUMIFS($W:$W,$A:$A,A194,$C:$C,C194)=0,0,SUMIFS(RAW_판매펀칭!$K:$K,RAW_판매펀칭!$P:$P,A194,RAW_판매펀칭!$I:$I,C194)*W194/SUMIFS($W:$W,$A:$A,A194,$C:$C,C194))</f>
        <v>130</v>
      </c>
      <c r="R194" s="47" t="n">
        <f aca="false">IF(OR(A194="500",A194="800",A194="810"),0,MAX(W194-Q194,0))</f>
        <v>2</v>
      </c>
      <c r="S194" s="47" t="n">
        <f aca="false">R194*L194</f>
        <v>74797.8</v>
      </c>
      <c r="T194" s="47" t="n">
        <f aca="false">R194*J194</f>
        <v>318000</v>
      </c>
      <c r="U194" s="47" t="n">
        <f aca="false">R194*K194</f>
        <v>71236</v>
      </c>
      <c r="V194" s="0" t="str">
        <f aca="false">IF(COUNTIFS($A$2:A194,A194,$C$2:C194,C194,$D$2:D194,D194)&gt;1,"중복","")</f>
        <v/>
      </c>
      <c r="W194" s="0" t="n">
        <f aca="false">IF(V194="중복",0,N(D194))</f>
        <v>132</v>
      </c>
      <c r="X194" s="0" t="n">
        <f aca="false">IF(COUNTIFS($A$2:A194,A194,$C$2:C194,C194)=1,ABS(SUMIFS(RAW_발주!$D:$D,RAW_발주!$C:$C,A194,RAW_발주!$A:$A,C194)-SUMIFS($W:$W,$A:$A,A194,$C:$C,C194)),0)</f>
        <v>0</v>
      </c>
    </row>
    <row r="195" customFormat="false" ht="15" hidden="false" customHeight="true" outlineLevel="0" collapsed="false">
      <c r="A195" s="45" t="s">
        <v>1661</v>
      </c>
      <c r="B195" s="42" t="str">
        <f aca="false">IF(A195="100","HK",IF(A195="200","CN",IF(A195="300","TW","홀세일")))</f>
        <v>TW</v>
      </c>
      <c r="C195" s="45" t="s">
        <v>199</v>
      </c>
      <c r="D195" s="46" t="n">
        <v>280</v>
      </c>
      <c r="E195" s="46" t="n">
        <v>159000</v>
      </c>
      <c r="F195" s="46" t="n">
        <v>35618</v>
      </c>
      <c r="G195" s="42" t="n">
        <v>3.83</v>
      </c>
      <c r="H195" s="42" t="n">
        <v>39.8</v>
      </c>
      <c r="J195" s="46" t="n">
        <f aca="false">IF(N(E195)&gt;0,E195,IF(N(F195)&gt;0,F195*요약!$F$27,0))</f>
        <v>159000</v>
      </c>
      <c r="K195" s="46" t="n">
        <f aca="false">IF(N(F195)&gt;0,F195,IF(N(E195)&gt;0,E195/요약!$F$27,0))</f>
        <v>35618</v>
      </c>
      <c r="L195" s="46" t="n">
        <f aca="false">IF(B195="CN",IF(N(I195)&gt;0,I195*요약!$G$27,K195*(1+요약!$E$27)),IF(N(H195)&gt;0,H195*요약!$G$27,J195*요약!$D$27))</f>
        <v>52536</v>
      </c>
      <c r="M195" s="46" t="n">
        <f aca="false">D195*J195</f>
        <v>44520000</v>
      </c>
      <c r="N195" s="46" t="n">
        <f aca="false">D195*K195</f>
        <v>9973040</v>
      </c>
      <c r="O195" s="46" t="n">
        <f aca="false">D195*L195</f>
        <v>14710080</v>
      </c>
      <c r="P195" s="42" t="str">
        <f aca="false">TRIM(IF(N(E195)&lt;=0,"택가보정 ","")&amp;IF(N(F195)&lt;=0,"원가보정 ","")&amp;IF(AND(B195&lt;&gt;"CN",N(H195)&lt;=0),"공급가보정 ","")&amp;IF(AND(B195="CN",N(I195)&lt;=0),"중국공급가=원가+마진 ",""))</f>
        <v/>
      </c>
      <c r="Q195" s="47" t="n">
        <f aca="false">IF(SUMIFS($W:$W,$A:$A,A195,$C:$C,C195)=0,0,SUMIFS(RAW_판매펀칭!$K:$K,RAW_판매펀칭!$P:$P,A195,RAW_판매펀칭!$I:$I,C195)*W195/SUMIFS($W:$W,$A:$A,A195,$C:$C,C195))</f>
        <v>280</v>
      </c>
      <c r="R195" s="47" t="n">
        <f aca="false">IF(OR(A195="500",A195="800",A195="810"),0,MAX(W195-Q195,0))</f>
        <v>0</v>
      </c>
      <c r="S195" s="47" t="n">
        <f aca="false">R195*L195</f>
        <v>0</v>
      </c>
      <c r="T195" s="47" t="n">
        <f aca="false">R195*J195</f>
        <v>0</v>
      </c>
      <c r="U195" s="47" t="n">
        <f aca="false">R195*K195</f>
        <v>0</v>
      </c>
      <c r="V195" s="0" t="str">
        <f aca="false">IF(COUNTIFS($A$2:A195,A195,$C$2:C195,C195,$D$2:D195,D195)&gt;1,"중복","")</f>
        <v/>
      </c>
      <c r="W195" s="0" t="n">
        <f aca="false">IF(V195="중복",0,N(D195))</f>
        <v>280</v>
      </c>
      <c r="X195" s="0" t="n">
        <f aca="false">IF(COUNTIFS($A$2:A195,A195,$C$2:C195,C195)=1,ABS(SUMIFS(RAW_발주!$D:$D,RAW_발주!$C:$C,A195,RAW_발주!$A:$A,C195)-SUMIFS($W:$W,$A:$A,A195,$C:$C,C195)),0)</f>
        <v>0</v>
      </c>
    </row>
    <row r="196" customFormat="false" ht="15" hidden="false" customHeight="true" outlineLevel="0" collapsed="false">
      <c r="A196" s="45" t="s">
        <v>1663</v>
      </c>
      <c r="B196" s="42" t="str">
        <f aca="false">IF(A196="100","HK",IF(A196="200","CN",IF(A196="300","TW","홀세일")))</f>
        <v>홀세일</v>
      </c>
      <c r="C196" s="45" t="s">
        <v>199</v>
      </c>
      <c r="D196" s="46" t="n">
        <v>35</v>
      </c>
      <c r="E196" s="46" t="n">
        <v>159000</v>
      </c>
      <c r="F196" s="46" t="n">
        <v>35618</v>
      </c>
      <c r="G196" s="42" t="n">
        <v>3.83</v>
      </c>
      <c r="H196" s="42" t="n">
        <v>39.8</v>
      </c>
      <c r="J196" s="46" t="n">
        <f aca="false">IF(N(E196)&gt;0,E196,IF(N(F196)&gt;0,F196*요약!$F$27,0))</f>
        <v>159000</v>
      </c>
      <c r="K196" s="46" t="n">
        <f aca="false">IF(N(F196)&gt;0,F196,IF(N(E196)&gt;0,E196/요약!$F$27,0))</f>
        <v>35618</v>
      </c>
      <c r="L196" s="46" t="n">
        <f aca="false">IF(B196="CN",IF(N(I196)&gt;0,I196*요약!$G$27,K196*(1+요약!$E$27)),IF(N(H196)&gt;0,H196*요약!$G$27,J196*요약!$D$27))</f>
        <v>52536</v>
      </c>
      <c r="M196" s="46" t="n">
        <f aca="false">D196*J196</f>
        <v>5565000</v>
      </c>
      <c r="N196" s="46" t="n">
        <f aca="false">D196*K196</f>
        <v>1246630</v>
      </c>
      <c r="O196" s="46" t="n">
        <f aca="false">D196*L196</f>
        <v>1838760</v>
      </c>
      <c r="P196" s="42" t="str">
        <f aca="false">TRIM(IF(N(E196)&lt;=0,"택가보정 ","")&amp;IF(N(F196)&lt;=0,"원가보정 ","")&amp;IF(AND(B196&lt;&gt;"CN",N(H196)&lt;=0),"공급가보정 ","")&amp;IF(AND(B196="CN",N(I196)&lt;=0),"중국공급가=원가+마진 ",""))</f>
        <v/>
      </c>
      <c r="Q196" s="47" t="n">
        <f aca="false">IF(SUMIFS($W:$W,$A:$A,A196,$C:$C,C196)=0,0,SUMIFS(RAW_판매펀칭!$K:$K,RAW_판매펀칭!$P:$P,A196,RAW_판매펀칭!$I:$I,C196)*W196/SUMIFS($W:$W,$A:$A,A196,$C:$C,C196))</f>
        <v>35</v>
      </c>
      <c r="R196" s="47" t="n">
        <f aca="false">IF(OR(A196="500",A196="800",A196="810"),0,MAX(W196-Q196,0))</f>
        <v>0</v>
      </c>
      <c r="S196" s="47" t="n">
        <f aca="false">R196*L196</f>
        <v>0</v>
      </c>
      <c r="T196" s="47" t="n">
        <f aca="false">R196*J196</f>
        <v>0</v>
      </c>
      <c r="U196" s="47" t="n">
        <f aca="false">R196*K196</f>
        <v>0</v>
      </c>
      <c r="V196" s="0" t="str">
        <f aca="false">IF(COUNTIFS($A$2:A196,A196,$C$2:C196,C196,$D$2:D196,D196)&gt;1,"중복","")</f>
        <v/>
      </c>
      <c r="W196" s="0" t="n">
        <f aca="false">IF(V196="중복",0,N(D196))</f>
        <v>35</v>
      </c>
      <c r="X196" s="0" t="n">
        <f aca="false">IF(COUNTIFS($A$2:A196,A196,$C$2:C196,C196)=1,ABS(SUMIFS(RAW_발주!$D:$D,RAW_발주!$C:$C,A196,RAW_발주!$A:$A,C196)-SUMIFS($W:$W,$A:$A,A196,$C:$C,C196)),0)</f>
        <v>0</v>
      </c>
    </row>
    <row r="197" customFormat="false" ht="15" hidden="false" customHeight="true" outlineLevel="0" collapsed="false">
      <c r="A197" s="45" t="s">
        <v>1661</v>
      </c>
      <c r="B197" s="42" t="str">
        <f aca="false">IF(A197="100","HK",IF(A197="200","CN",IF(A197="300","TW","홀세일")))</f>
        <v>TW</v>
      </c>
      <c r="C197" s="45" t="s">
        <v>201</v>
      </c>
      <c r="D197" s="46" t="n">
        <v>80</v>
      </c>
      <c r="E197" s="46" t="n">
        <v>239000</v>
      </c>
      <c r="F197" s="46" t="n">
        <v>54294</v>
      </c>
      <c r="G197" s="42" t="n">
        <v>4.24</v>
      </c>
      <c r="H197" s="42" t="n">
        <v>63.5</v>
      </c>
      <c r="J197" s="46" t="n">
        <f aca="false">IF(N(E197)&gt;0,E197,IF(N(F197)&gt;0,F197*요약!$F$27,0))</f>
        <v>239000</v>
      </c>
      <c r="K197" s="46" t="n">
        <f aca="false">IF(N(F197)&gt;0,F197,IF(N(E197)&gt;0,E197/요약!$F$27,0))</f>
        <v>54294</v>
      </c>
      <c r="L197" s="46" t="n">
        <f aca="false">IF(B197="CN",IF(N(I197)&gt;0,I197*요약!$G$27,K197*(1+요약!$E$27)),IF(N(H197)&gt;0,H197*요약!$G$27,J197*요약!$D$27))</f>
        <v>83820</v>
      </c>
      <c r="M197" s="46" t="n">
        <f aca="false">D197*J197</f>
        <v>19120000</v>
      </c>
      <c r="N197" s="46" t="n">
        <f aca="false">D197*K197</f>
        <v>4343520</v>
      </c>
      <c r="O197" s="46" t="n">
        <f aca="false">D197*L197</f>
        <v>6705600</v>
      </c>
      <c r="P197" s="42" t="str">
        <f aca="false">TRIM(IF(N(E197)&lt;=0,"택가보정 ","")&amp;IF(N(F197)&lt;=0,"원가보정 ","")&amp;IF(AND(B197&lt;&gt;"CN",N(H197)&lt;=0),"공급가보정 ","")&amp;IF(AND(B197="CN",N(I197)&lt;=0),"중국공급가=원가+마진 ",""))</f>
        <v/>
      </c>
      <c r="Q197" s="47" t="n">
        <f aca="false">IF(SUMIFS($W:$W,$A:$A,A197,$C:$C,C197)=0,0,SUMIFS(RAW_판매펀칭!$K:$K,RAW_판매펀칭!$P:$P,A197,RAW_판매펀칭!$I:$I,C197)*W197/SUMIFS($W:$W,$A:$A,A197,$C:$C,C197))</f>
        <v>80</v>
      </c>
      <c r="R197" s="47" t="n">
        <f aca="false">IF(OR(A197="500",A197="800",A197="810"),0,MAX(W197-Q197,0))</f>
        <v>0</v>
      </c>
      <c r="S197" s="47" t="n">
        <f aca="false">R197*L197</f>
        <v>0</v>
      </c>
      <c r="T197" s="47" t="n">
        <f aca="false">R197*J197</f>
        <v>0</v>
      </c>
      <c r="U197" s="47" t="n">
        <f aca="false">R197*K197</f>
        <v>0</v>
      </c>
      <c r="V197" s="0" t="str">
        <f aca="false">IF(COUNTIFS($A$2:A197,A197,$C$2:C197,C197,$D$2:D197,D197)&gt;1,"중복","")</f>
        <v/>
      </c>
      <c r="W197" s="0" t="n">
        <f aca="false">IF(V197="중복",0,N(D197))</f>
        <v>80</v>
      </c>
      <c r="X197" s="0" t="n">
        <f aca="false">IF(COUNTIFS($A$2:A197,A197,$C$2:C197,C197)=1,ABS(SUMIFS(RAW_발주!$D:$D,RAW_발주!$C:$C,A197,RAW_발주!$A:$A,C197)-SUMIFS($W:$W,$A:$A,A197,$C:$C,C197)),0)</f>
        <v>0</v>
      </c>
    </row>
    <row r="198" customFormat="false" ht="15" hidden="false" customHeight="true" outlineLevel="0" collapsed="false">
      <c r="A198" s="45" t="s">
        <v>1667</v>
      </c>
      <c r="B198" s="42" t="str">
        <f aca="false">IF(A198="100","HK",IF(A198="200","CN",IF(A198="300","TW","홀세일")))</f>
        <v>홀세일</v>
      </c>
      <c r="C198" s="45" t="s">
        <v>201</v>
      </c>
      <c r="D198" s="46" t="n">
        <v>51</v>
      </c>
      <c r="E198" s="46" t="n">
        <v>239000</v>
      </c>
      <c r="F198" s="46" t="n">
        <v>54294</v>
      </c>
      <c r="G198" s="42" t="n">
        <v>4.24</v>
      </c>
      <c r="H198" s="42" t="n">
        <v>63.5</v>
      </c>
      <c r="J198" s="46" t="n">
        <f aca="false">IF(N(E198)&gt;0,E198,IF(N(F198)&gt;0,F198*요약!$F$27,0))</f>
        <v>239000</v>
      </c>
      <c r="K198" s="46" t="n">
        <f aca="false">IF(N(F198)&gt;0,F198,IF(N(E198)&gt;0,E198/요약!$F$27,0))</f>
        <v>54294</v>
      </c>
      <c r="L198" s="46" t="n">
        <f aca="false">IF(B198="CN",IF(N(I198)&gt;0,I198*요약!$G$27,K198*(1+요약!$E$27)),IF(N(H198)&gt;0,H198*요약!$G$27,J198*요약!$D$27))</f>
        <v>83820</v>
      </c>
      <c r="M198" s="46" t="n">
        <f aca="false">D198*J198</f>
        <v>12189000</v>
      </c>
      <c r="N198" s="46" t="n">
        <f aca="false">D198*K198</f>
        <v>2768994</v>
      </c>
      <c r="O198" s="46" t="n">
        <f aca="false">D198*L198</f>
        <v>4274820</v>
      </c>
      <c r="P198" s="42" t="str">
        <f aca="false">TRIM(IF(N(E198)&lt;=0,"택가보정 ","")&amp;IF(N(F198)&lt;=0,"원가보정 ","")&amp;IF(AND(B198&lt;&gt;"CN",N(H198)&lt;=0),"공급가보정 ","")&amp;IF(AND(B198="CN",N(I198)&lt;=0),"중국공급가=원가+마진 ",""))</f>
        <v/>
      </c>
      <c r="Q198" s="47" t="n">
        <f aca="false">IF(SUMIFS($W:$W,$A:$A,A198,$C:$C,C198)=0,0,SUMIFS(RAW_판매펀칭!$K:$K,RAW_판매펀칭!$P:$P,A198,RAW_판매펀칭!$I:$I,C198)*W198/SUMIFS($W:$W,$A:$A,A198,$C:$C,C198))</f>
        <v>51</v>
      </c>
      <c r="R198" s="47" t="n">
        <f aca="false">IF(OR(A198="500",A198="800",A198="810"),0,MAX(W198-Q198,0))</f>
        <v>0</v>
      </c>
      <c r="S198" s="47" t="n">
        <f aca="false">R198*L198</f>
        <v>0</v>
      </c>
      <c r="T198" s="47" t="n">
        <f aca="false">R198*J198</f>
        <v>0</v>
      </c>
      <c r="U198" s="47" t="n">
        <f aca="false">R198*K198</f>
        <v>0</v>
      </c>
      <c r="V198" s="0" t="str">
        <f aca="false">IF(COUNTIFS($A$2:A198,A198,$C$2:C198,C198,$D$2:D198,D198)&gt;1,"중복","")</f>
        <v/>
      </c>
      <c r="W198" s="0" t="n">
        <f aca="false">IF(V198="중복",0,N(D198))</f>
        <v>51</v>
      </c>
      <c r="X198" s="0" t="n">
        <f aca="false">IF(COUNTIFS($A$2:A198,A198,$C$2:C198,C198)=1,ABS(SUMIFS(RAW_발주!$D:$D,RAW_발주!$C:$C,A198,RAW_발주!$A:$A,C198)-SUMIFS($W:$W,$A:$A,A198,$C:$C,C198)),0)</f>
        <v>0</v>
      </c>
    </row>
    <row r="199" customFormat="false" ht="15" hidden="false" customHeight="true" outlineLevel="0" collapsed="false">
      <c r="A199" s="45" t="s">
        <v>1659</v>
      </c>
      <c r="B199" s="42" t="str">
        <f aca="false">IF(A199="100","HK",IF(A199="200","CN",IF(A199="300","TW","홀세일")))</f>
        <v>HK</v>
      </c>
      <c r="C199" s="45" t="s">
        <v>203</v>
      </c>
      <c r="D199" s="46" t="n">
        <v>490</v>
      </c>
      <c r="E199" s="46" t="n">
        <v>199000</v>
      </c>
      <c r="F199" s="46" t="n">
        <v>36700</v>
      </c>
      <c r="G199" s="42" t="n">
        <v>4.09</v>
      </c>
      <c r="H199" s="42" t="n">
        <v>52.9</v>
      </c>
      <c r="J199" s="46" t="n">
        <f aca="false">IF(N(E199)&gt;0,E199,IF(N(F199)&gt;0,F199*요약!$F$27,0))</f>
        <v>199000</v>
      </c>
      <c r="K199" s="46" t="n">
        <f aca="false">IF(N(F199)&gt;0,F199,IF(N(E199)&gt;0,E199/요약!$F$27,0))</f>
        <v>36700</v>
      </c>
      <c r="L199" s="46" t="n">
        <f aca="false">IF(B199="CN",IF(N(I199)&gt;0,I199*요약!$G$27,K199*(1+요약!$E$27)),IF(N(H199)&gt;0,H199*요약!$G$27,J199*요약!$D$27))</f>
        <v>69828</v>
      </c>
      <c r="M199" s="46" t="n">
        <f aca="false">D199*J199</f>
        <v>97510000</v>
      </c>
      <c r="N199" s="46" t="n">
        <f aca="false">D199*K199</f>
        <v>17983000</v>
      </c>
      <c r="O199" s="46" t="n">
        <f aca="false">D199*L199</f>
        <v>34215720</v>
      </c>
      <c r="P199" s="42" t="str">
        <f aca="false">TRIM(IF(N(E199)&lt;=0,"택가보정 ","")&amp;IF(N(F199)&lt;=0,"원가보정 ","")&amp;IF(AND(B199&lt;&gt;"CN",N(H199)&lt;=0),"공급가보정 ","")&amp;IF(AND(B199="CN",N(I199)&lt;=0),"중국공급가=원가+마진 ",""))</f>
        <v/>
      </c>
      <c r="Q199" s="47" t="n">
        <f aca="false">IF(SUMIFS($W:$W,$A:$A,A199,$C:$C,C199)=0,0,SUMIFS(RAW_판매펀칭!$K:$K,RAW_판매펀칭!$P:$P,A199,RAW_판매펀칭!$I:$I,C199)*W199/SUMIFS($W:$W,$A:$A,A199,$C:$C,C199))</f>
        <v>490</v>
      </c>
      <c r="R199" s="47" t="n">
        <f aca="false">IF(OR(A199="500",A199="800",A199="810"),0,MAX(W199-Q199,0))</f>
        <v>0</v>
      </c>
      <c r="S199" s="47" t="n">
        <f aca="false">R199*L199</f>
        <v>0</v>
      </c>
      <c r="T199" s="47" t="n">
        <f aca="false">R199*J199</f>
        <v>0</v>
      </c>
      <c r="U199" s="47" t="n">
        <f aca="false">R199*K199</f>
        <v>0</v>
      </c>
      <c r="V199" s="0" t="str">
        <f aca="false">IF(COUNTIFS($A$2:A199,A199,$C$2:C199,C199,$D$2:D199,D199)&gt;1,"중복","")</f>
        <v/>
      </c>
      <c r="W199" s="0" t="n">
        <f aca="false">IF(V199="중복",0,N(D199))</f>
        <v>490</v>
      </c>
      <c r="X199" s="0" t="n">
        <f aca="false">IF(COUNTIFS($A$2:A199,A199,$C$2:C199,C199)=1,ABS(SUMIFS(RAW_발주!$D:$D,RAW_발주!$C:$C,A199,RAW_발주!$A:$A,C199)-SUMIFS($W:$W,$A:$A,A199,$C:$C,C199)),0)</f>
        <v>0</v>
      </c>
    </row>
    <row r="200" customFormat="false" ht="15" hidden="false" customHeight="true" outlineLevel="0" collapsed="false">
      <c r="A200" s="45" t="s">
        <v>1661</v>
      </c>
      <c r="B200" s="42" t="str">
        <f aca="false">IF(A200="100","HK",IF(A200="200","CN",IF(A200="300","TW","홀세일")))</f>
        <v>TW</v>
      </c>
      <c r="C200" s="45" t="s">
        <v>203</v>
      </c>
      <c r="D200" s="46" t="n">
        <v>120</v>
      </c>
      <c r="E200" s="46" t="n">
        <v>199000</v>
      </c>
      <c r="F200" s="46" t="n">
        <v>36700</v>
      </c>
      <c r="G200" s="42" t="n">
        <v>4.09</v>
      </c>
      <c r="H200" s="42" t="n">
        <v>52.9</v>
      </c>
      <c r="J200" s="46" t="n">
        <f aca="false">IF(N(E200)&gt;0,E200,IF(N(F200)&gt;0,F200*요약!$F$27,0))</f>
        <v>199000</v>
      </c>
      <c r="K200" s="46" t="n">
        <f aca="false">IF(N(F200)&gt;0,F200,IF(N(E200)&gt;0,E200/요약!$F$27,0))</f>
        <v>36700</v>
      </c>
      <c r="L200" s="46" t="n">
        <f aca="false">IF(B200="CN",IF(N(I200)&gt;0,I200*요약!$G$27,K200*(1+요약!$E$27)),IF(N(H200)&gt;0,H200*요약!$G$27,J200*요약!$D$27))</f>
        <v>69828</v>
      </c>
      <c r="M200" s="46" t="n">
        <f aca="false">D200*J200</f>
        <v>23880000</v>
      </c>
      <c r="N200" s="46" t="n">
        <f aca="false">D200*K200</f>
        <v>4404000</v>
      </c>
      <c r="O200" s="46" t="n">
        <f aca="false">D200*L200</f>
        <v>8379360</v>
      </c>
      <c r="P200" s="42" t="str">
        <f aca="false">TRIM(IF(N(E200)&lt;=0,"택가보정 ","")&amp;IF(N(F200)&lt;=0,"원가보정 ","")&amp;IF(AND(B200&lt;&gt;"CN",N(H200)&lt;=0),"공급가보정 ","")&amp;IF(AND(B200="CN",N(I200)&lt;=0),"중국공급가=원가+마진 ",""))</f>
        <v/>
      </c>
      <c r="Q200" s="47" t="n">
        <f aca="false">IF(SUMIFS($W:$W,$A:$A,A200,$C:$C,C200)=0,0,SUMIFS(RAW_판매펀칭!$K:$K,RAW_판매펀칭!$P:$P,A200,RAW_판매펀칭!$I:$I,C200)*W200/SUMIFS($W:$W,$A:$A,A200,$C:$C,C200))</f>
        <v>120</v>
      </c>
      <c r="R200" s="47" t="n">
        <f aca="false">IF(OR(A200="500",A200="800",A200="810"),0,MAX(W200-Q200,0))</f>
        <v>0</v>
      </c>
      <c r="S200" s="47" t="n">
        <f aca="false">R200*L200</f>
        <v>0</v>
      </c>
      <c r="T200" s="47" t="n">
        <f aca="false">R200*J200</f>
        <v>0</v>
      </c>
      <c r="U200" s="47" t="n">
        <f aca="false">R200*K200</f>
        <v>0</v>
      </c>
      <c r="V200" s="0" t="str">
        <f aca="false">IF(COUNTIFS($A$2:A200,A200,$C$2:C200,C200,$D$2:D200,D200)&gt;1,"중복","")</f>
        <v/>
      </c>
      <c r="W200" s="0" t="n">
        <f aca="false">IF(V200="중복",0,N(D200))</f>
        <v>120</v>
      </c>
      <c r="X200" s="0" t="n">
        <f aca="false">IF(COUNTIFS($A$2:A200,A200,$C$2:C200,C200)=1,ABS(SUMIFS(RAW_발주!$D:$D,RAW_발주!$C:$C,A200,RAW_발주!$A:$A,C200)-SUMIFS($W:$W,$A:$A,A200,$C:$C,C200)),0)</f>
        <v>0</v>
      </c>
    </row>
    <row r="201" customFormat="false" ht="15" hidden="false" customHeight="true" outlineLevel="0" collapsed="false">
      <c r="A201" s="45" t="s">
        <v>1663</v>
      </c>
      <c r="B201" s="42" t="str">
        <f aca="false">IF(A201="100","HK",IF(A201="200","CN",IF(A201="300","TW","홀세일")))</f>
        <v>홀세일</v>
      </c>
      <c r="C201" s="45" t="s">
        <v>203</v>
      </c>
      <c r="D201" s="46" t="n">
        <v>60</v>
      </c>
      <c r="E201" s="46" t="n">
        <v>199000</v>
      </c>
      <c r="F201" s="46" t="n">
        <v>36700</v>
      </c>
      <c r="G201" s="42" t="n">
        <v>4.09</v>
      </c>
      <c r="H201" s="42" t="n">
        <v>52.9</v>
      </c>
      <c r="J201" s="46" t="n">
        <f aca="false">IF(N(E201)&gt;0,E201,IF(N(F201)&gt;0,F201*요약!$F$27,0))</f>
        <v>199000</v>
      </c>
      <c r="K201" s="46" t="n">
        <f aca="false">IF(N(F201)&gt;0,F201,IF(N(E201)&gt;0,E201/요약!$F$27,0))</f>
        <v>36700</v>
      </c>
      <c r="L201" s="46" t="n">
        <f aca="false">IF(B201="CN",IF(N(I201)&gt;0,I201*요약!$G$27,K201*(1+요약!$E$27)),IF(N(H201)&gt;0,H201*요약!$G$27,J201*요약!$D$27))</f>
        <v>69828</v>
      </c>
      <c r="M201" s="46" t="n">
        <f aca="false">D201*J201</f>
        <v>11940000</v>
      </c>
      <c r="N201" s="46" t="n">
        <f aca="false">D201*K201</f>
        <v>2202000</v>
      </c>
      <c r="O201" s="46" t="n">
        <f aca="false">D201*L201</f>
        <v>4189680</v>
      </c>
      <c r="P201" s="42" t="str">
        <f aca="false">TRIM(IF(N(E201)&lt;=0,"택가보정 ","")&amp;IF(N(F201)&lt;=0,"원가보정 ","")&amp;IF(AND(B201&lt;&gt;"CN",N(H201)&lt;=0),"공급가보정 ","")&amp;IF(AND(B201="CN",N(I201)&lt;=0),"중국공급가=원가+마진 ",""))</f>
        <v/>
      </c>
      <c r="Q201" s="47" t="n">
        <f aca="false">IF(SUMIFS($W:$W,$A:$A,A201,$C:$C,C201)=0,0,SUMIFS(RAW_판매펀칭!$K:$K,RAW_판매펀칭!$P:$P,A201,RAW_판매펀칭!$I:$I,C201)*W201/SUMIFS($W:$W,$A:$A,A201,$C:$C,C201))</f>
        <v>60</v>
      </c>
      <c r="R201" s="47" t="n">
        <f aca="false">IF(OR(A201="500",A201="800",A201="810"),0,MAX(W201-Q201,0))</f>
        <v>0</v>
      </c>
      <c r="S201" s="47" t="n">
        <f aca="false">R201*L201</f>
        <v>0</v>
      </c>
      <c r="T201" s="47" t="n">
        <f aca="false">R201*J201</f>
        <v>0</v>
      </c>
      <c r="U201" s="47" t="n">
        <f aca="false">R201*K201</f>
        <v>0</v>
      </c>
      <c r="V201" s="0" t="str">
        <f aca="false">IF(COUNTIFS($A$2:A201,A201,$C$2:C201,C201,$D$2:D201,D201)&gt;1,"중복","")</f>
        <v/>
      </c>
      <c r="W201" s="0" t="n">
        <f aca="false">IF(V201="중복",0,N(D201))</f>
        <v>60</v>
      </c>
      <c r="X201" s="0" t="n">
        <f aca="false">IF(COUNTIFS($A$2:A201,A201,$C$2:C201,C201)=1,ABS(SUMIFS(RAW_발주!$D:$D,RAW_발주!$C:$C,A201,RAW_발주!$A:$A,C201)-SUMIFS($W:$W,$A:$A,A201,$C:$C,C201)),0)</f>
        <v>0</v>
      </c>
    </row>
    <row r="202" customFormat="false" ht="15" hidden="false" customHeight="true" outlineLevel="0" collapsed="false">
      <c r="A202" s="45" t="s">
        <v>1659</v>
      </c>
      <c r="B202" s="42" t="str">
        <f aca="false">IF(A202="100","HK",IF(A202="200","CN",IF(A202="300","TW","홀세일")))</f>
        <v>HK</v>
      </c>
      <c r="C202" s="45" t="s">
        <v>804</v>
      </c>
      <c r="D202" s="46" t="n">
        <v>110</v>
      </c>
      <c r="E202" s="46" t="n">
        <v>219000</v>
      </c>
      <c r="F202" s="46" t="n">
        <v>42100</v>
      </c>
      <c r="G202" s="42" t="n">
        <v>4.14</v>
      </c>
      <c r="H202" s="42" t="n">
        <v>58.2</v>
      </c>
      <c r="J202" s="46" t="n">
        <f aca="false">IF(N(E202)&gt;0,E202,IF(N(F202)&gt;0,F202*요약!$F$27,0))</f>
        <v>219000</v>
      </c>
      <c r="K202" s="46" t="n">
        <f aca="false">IF(N(F202)&gt;0,F202,IF(N(E202)&gt;0,E202/요약!$F$27,0))</f>
        <v>42100</v>
      </c>
      <c r="L202" s="46" t="n">
        <f aca="false">IF(B202="CN",IF(N(I202)&gt;0,I202*요약!$G$27,K202*(1+요약!$E$27)),IF(N(H202)&gt;0,H202*요약!$G$27,J202*요약!$D$27))</f>
        <v>76824</v>
      </c>
      <c r="M202" s="46" t="n">
        <f aca="false">D202*J202</f>
        <v>24090000</v>
      </c>
      <c r="N202" s="46" t="n">
        <f aca="false">D202*K202</f>
        <v>4631000</v>
      </c>
      <c r="O202" s="46" t="n">
        <f aca="false">D202*L202</f>
        <v>8450640</v>
      </c>
      <c r="P202" s="42" t="str">
        <f aca="false">TRIM(IF(N(E202)&lt;=0,"택가보정 ","")&amp;IF(N(F202)&lt;=0,"원가보정 ","")&amp;IF(AND(B202&lt;&gt;"CN",N(H202)&lt;=0),"공급가보정 ","")&amp;IF(AND(B202="CN",N(I202)&lt;=0),"중국공급가=원가+마진 ",""))</f>
        <v/>
      </c>
      <c r="Q202" s="47" t="n">
        <f aca="false">IF(SUMIFS($W:$W,$A:$A,A202,$C:$C,C202)=0,0,SUMIFS(RAW_판매펀칭!$K:$K,RAW_판매펀칭!$P:$P,A202,RAW_판매펀칭!$I:$I,C202)*W202/SUMIFS($W:$W,$A:$A,A202,$C:$C,C202))</f>
        <v>110</v>
      </c>
      <c r="R202" s="47" t="n">
        <f aca="false">IF(OR(A202="500",A202="800",A202="810"),0,MAX(W202-Q202,0))</f>
        <v>0</v>
      </c>
      <c r="S202" s="47" t="n">
        <f aca="false">R202*L202</f>
        <v>0</v>
      </c>
      <c r="T202" s="47" t="n">
        <f aca="false">R202*J202</f>
        <v>0</v>
      </c>
      <c r="U202" s="47" t="n">
        <f aca="false">R202*K202</f>
        <v>0</v>
      </c>
      <c r="V202" s="0" t="str">
        <f aca="false">IF(COUNTIFS($A$2:A202,A202,$C$2:C202,C202,$D$2:D202,D202)&gt;1,"중복","")</f>
        <v/>
      </c>
      <c r="W202" s="0" t="n">
        <f aca="false">IF(V202="중복",0,N(D202))</f>
        <v>110</v>
      </c>
      <c r="X202" s="0" t="n">
        <f aca="false">IF(COUNTIFS($A$2:A202,A202,$C$2:C202,C202)=1,ABS(SUMIFS(RAW_발주!$D:$D,RAW_발주!$C:$C,A202,RAW_발주!$A:$A,C202)-SUMIFS($W:$W,$A:$A,A202,$C:$C,C202)),0)</f>
        <v>0</v>
      </c>
    </row>
    <row r="203" customFormat="false" ht="15" hidden="false" customHeight="true" outlineLevel="0" collapsed="false">
      <c r="A203" s="45" t="s">
        <v>1659</v>
      </c>
      <c r="B203" s="42" t="str">
        <f aca="false">IF(A203="100","HK",IF(A203="200","CN",IF(A203="300","TW","홀세일")))</f>
        <v>HK</v>
      </c>
      <c r="C203" s="45" t="s">
        <v>205</v>
      </c>
      <c r="D203" s="46" t="n">
        <v>70</v>
      </c>
      <c r="E203" s="46" t="n">
        <v>149000</v>
      </c>
      <c r="F203" s="46" t="n">
        <v>26600</v>
      </c>
      <c r="G203" s="42" t="n">
        <v>4.37</v>
      </c>
      <c r="H203" s="42" t="n">
        <v>37.3</v>
      </c>
      <c r="J203" s="46" t="n">
        <f aca="false">IF(N(E203)&gt;0,E203,IF(N(F203)&gt;0,F203*요약!$F$27,0))</f>
        <v>149000</v>
      </c>
      <c r="K203" s="46" t="n">
        <f aca="false">IF(N(F203)&gt;0,F203,IF(N(E203)&gt;0,E203/요약!$F$27,0))</f>
        <v>26600</v>
      </c>
      <c r="L203" s="46" t="n">
        <f aca="false">IF(B203="CN",IF(N(I203)&gt;0,I203*요약!$G$27,K203*(1+요약!$E$27)),IF(N(H203)&gt;0,H203*요약!$G$27,J203*요약!$D$27))</f>
        <v>49236</v>
      </c>
      <c r="M203" s="46" t="n">
        <f aca="false">D203*J203</f>
        <v>10430000</v>
      </c>
      <c r="N203" s="46" t="n">
        <f aca="false">D203*K203</f>
        <v>1862000</v>
      </c>
      <c r="O203" s="46" t="n">
        <f aca="false">D203*L203</f>
        <v>3446520</v>
      </c>
      <c r="P203" s="42" t="str">
        <f aca="false">TRIM(IF(N(E203)&lt;=0,"택가보정 ","")&amp;IF(N(F203)&lt;=0,"원가보정 ","")&amp;IF(AND(B203&lt;&gt;"CN",N(H203)&lt;=0),"공급가보정 ","")&amp;IF(AND(B203="CN",N(I203)&lt;=0),"중국공급가=원가+마진 ",""))</f>
        <v/>
      </c>
      <c r="Q203" s="47" t="n">
        <f aca="false">IF(SUMIFS($W:$W,$A:$A,A203,$C:$C,C203)=0,0,SUMIFS(RAW_판매펀칭!$K:$K,RAW_판매펀칭!$P:$P,A203,RAW_판매펀칭!$I:$I,C203)*W203/SUMIFS($W:$W,$A:$A,A203,$C:$C,C203))</f>
        <v>70</v>
      </c>
      <c r="R203" s="47" t="n">
        <f aca="false">IF(OR(A203="500",A203="800",A203="810"),0,MAX(W203-Q203,0))</f>
        <v>0</v>
      </c>
      <c r="S203" s="47" t="n">
        <f aca="false">R203*L203</f>
        <v>0</v>
      </c>
      <c r="T203" s="47" t="n">
        <f aca="false">R203*J203</f>
        <v>0</v>
      </c>
      <c r="U203" s="47" t="n">
        <f aca="false">R203*K203</f>
        <v>0</v>
      </c>
      <c r="V203" s="0" t="str">
        <f aca="false">IF(COUNTIFS($A$2:A203,A203,$C$2:C203,C203,$D$2:D203,D203)&gt;1,"중복","")</f>
        <v/>
      </c>
      <c r="W203" s="0" t="n">
        <f aca="false">IF(V203="중복",0,N(D203))</f>
        <v>70</v>
      </c>
      <c r="X203" s="0" t="n">
        <f aca="false">IF(COUNTIFS($A$2:A203,A203,$C$2:C203,C203)=1,ABS(SUMIFS(RAW_발주!$D:$D,RAW_발주!$C:$C,A203,RAW_발주!$A:$A,C203)-SUMIFS($W:$W,$A:$A,A203,$C:$C,C203)),0)</f>
        <v>0</v>
      </c>
    </row>
    <row r="204" customFormat="false" ht="15" hidden="false" customHeight="true" outlineLevel="0" collapsed="false">
      <c r="A204" s="45" t="s">
        <v>1661</v>
      </c>
      <c r="B204" s="42" t="str">
        <f aca="false">IF(A204="100","HK",IF(A204="200","CN",IF(A204="300","TW","홀세일")))</f>
        <v>TW</v>
      </c>
      <c r="C204" s="45" t="s">
        <v>205</v>
      </c>
      <c r="D204" s="46" t="n">
        <v>80</v>
      </c>
      <c r="E204" s="46" t="n">
        <v>149000</v>
      </c>
      <c r="F204" s="46" t="n">
        <v>26600</v>
      </c>
      <c r="G204" s="42" t="n">
        <v>4.37</v>
      </c>
      <c r="H204" s="42" t="n">
        <v>37.3</v>
      </c>
      <c r="J204" s="46" t="n">
        <f aca="false">IF(N(E204)&gt;0,E204,IF(N(F204)&gt;0,F204*요약!$F$27,0))</f>
        <v>149000</v>
      </c>
      <c r="K204" s="46" t="n">
        <f aca="false">IF(N(F204)&gt;0,F204,IF(N(E204)&gt;0,E204/요약!$F$27,0))</f>
        <v>26600</v>
      </c>
      <c r="L204" s="46" t="n">
        <f aca="false">IF(B204="CN",IF(N(I204)&gt;0,I204*요약!$G$27,K204*(1+요약!$E$27)),IF(N(H204)&gt;0,H204*요약!$G$27,J204*요약!$D$27))</f>
        <v>49236</v>
      </c>
      <c r="M204" s="46" t="n">
        <f aca="false">D204*J204</f>
        <v>11920000</v>
      </c>
      <c r="N204" s="46" t="n">
        <f aca="false">D204*K204</f>
        <v>2128000</v>
      </c>
      <c r="O204" s="46" t="n">
        <f aca="false">D204*L204</f>
        <v>3938880</v>
      </c>
      <c r="P204" s="42" t="str">
        <f aca="false">TRIM(IF(N(E204)&lt;=0,"택가보정 ","")&amp;IF(N(F204)&lt;=0,"원가보정 ","")&amp;IF(AND(B204&lt;&gt;"CN",N(H204)&lt;=0),"공급가보정 ","")&amp;IF(AND(B204="CN",N(I204)&lt;=0),"중국공급가=원가+마진 ",""))</f>
        <v/>
      </c>
      <c r="Q204" s="47" t="n">
        <f aca="false">IF(SUMIFS($W:$W,$A:$A,A204,$C:$C,C204)=0,0,SUMIFS(RAW_판매펀칭!$K:$K,RAW_판매펀칭!$P:$P,A204,RAW_판매펀칭!$I:$I,C204)*W204/SUMIFS($W:$W,$A:$A,A204,$C:$C,C204))</f>
        <v>80</v>
      </c>
      <c r="R204" s="47" t="n">
        <f aca="false">IF(OR(A204="500",A204="800",A204="810"),0,MAX(W204-Q204,0))</f>
        <v>0</v>
      </c>
      <c r="S204" s="47" t="n">
        <f aca="false">R204*L204</f>
        <v>0</v>
      </c>
      <c r="T204" s="47" t="n">
        <f aca="false">R204*J204</f>
        <v>0</v>
      </c>
      <c r="U204" s="47" t="n">
        <f aca="false">R204*K204</f>
        <v>0</v>
      </c>
      <c r="V204" s="0" t="str">
        <f aca="false">IF(COUNTIFS($A$2:A204,A204,$C$2:C204,C204,$D$2:D204,D204)&gt;1,"중복","")</f>
        <v/>
      </c>
      <c r="W204" s="0" t="n">
        <f aca="false">IF(V204="중복",0,N(D204))</f>
        <v>80</v>
      </c>
      <c r="X204" s="0" t="n">
        <f aca="false">IF(COUNTIFS($A$2:A204,A204,$C$2:C204,C204)=1,ABS(SUMIFS(RAW_발주!$D:$D,RAW_발주!$C:$C,A204,RAW_발주!$A:$A,C204)-SUMIFS($W:$W,$A:$A,A204,$C:$C,C204)),0)</f>
        <v>0</v>
      </c>
    </row>
    <row r="205" customFormat="false" ht="15" hidden="false" customHeight="true" outlineLevel="0" collapsed="false">
      <c r="A205" s="45" t="s">
        <v>1659</v>
      </c>
      <c r="B205" s="42" t="str">
        <f aca="false">IF(A205="100","HK",IF(A205="200","CN",IF(A205="300","TW","홀세일")))</f>
        <v>HK</v>
      </c>
      <c r="C205" s="45" t="s">
        <v>207</v>
      </c>
      <c r="D205" s="46" t="n">
        <v>300</v>
      </c>
      <c r="E205" s="46" t="n">
        <v>189000</v>
      </c>
      <c r="F205" s="46" t="n">
        <v>34635</v>
      </c>
      <c r="G205" s="42" t="n">
        <v>3.87</v>
      </c>
      <c r="H205" s="42" t="n">
        <v>47.3</v>
      </c>
      <c r="J205" s="46" t="n">
        <f aca="false">IF(N(E205)&gt;0,E205,IF(N(F205)&gt;0,F205*요약!$F$27,0))</f>
        <v>189000</v>
      </c>
      <c r="K205" s="46" t="n">
        <f aca="false">IF(N(F205)&gt;0,F205,IF(N(E205)&gt;0,E205/요약!$F$27,0))</f>
        <v>34635</v>
      </c>
      <c r="L205" s="46" t="n">
        <f aca="false">IF(B205="CN",IF(N(I205)&gt;0,I205*요약!$G$27,K205*(1+요약!$E$27)),IF(N(H205)&gt;0,H205*요약!$G$27,J205*요약!$D$27))</f>
        <v>62436</v>
      </c>
      <c r="M205" s="46" t="n">
        <f aca="false">D205*J205</f>
        <v>56700000</v>
      </c>
      <c r="N205" s="46" t="n">
        <f aca="false">D205*K205</f>
        <v>10390500</v>
      </c>
      <c r="O205" s="46" t="n">
        <f aca="false">D205*L205</f>
        <v>18730800</v>
      </c>
      <c r="P205" s="42" t="str">
        <f aca="false">TRIM(IF(N(E205)&lt;=0,"택가보정 ","")&amp;IF(N(F205)&lt;=0,"원가보정 ","")&amp;IF(AND(B205&lt;&gt;"CN",N(H205)&lt;=0),"공급가보정 ","")&amp;IF(AND(B205="CN",N(I205)&lt;=0),"중국공급가=원가+마진 ",""))</f>
        <v/>
      </c>
      <c r="Q205" s="47" t="n">
        <f aca="false">IF(SUMIFS($W:$W,$A:$A,A205,$C:$C,C205)=0,0,SUMIFS(RAW_판매펀칭!$K:$K,RAW_판매펀칭!$P:$P,A205,RAW_판매펀칭!$I:$I,C205)*W205/SUMIFS($W:$W,$A:$A,A205,$C:$C,C205))</f>
        <v>300</v>
      </c>
      <c r="R205" s="47" t="n">
        <f aca="false">IF(OR(A205="500",A205="800",A205="810"),0,MAX(W205-Q205,0))</f>
        <v>0</v>
      </c>
      <c r="S205" s="47" t="n">
        <f aca="false">R205*L205</f>
        <v>0</v>
      </c>
      <c r="T205" s="47" t="n">
        <f aca="false">R205*J205</f>
        <v>0</v>
      </c>
      <c r="U205" s="47" t="n">
        <f aca="false">R205*K205</f>
        <v>0</v>
      </c>
      <c r="V205" s="0" t="str">
        <f aca="false">IF(COUNTIFS($A$2:A205,A205,$C$2:C205,C205,$D$2:D205,D205)&gt;1,"중복","")</f>
        <v/>
      </c>
      <c r="W205" s="0" t="n">
        <f aca="false">IF(V205="중복",0,N(D205))</f>
        <v>300</v>
      </c>
      <c r="X205" s="0" t="n">
        <f aca="false">IF(COUNTIFS($A$2:A205,A205,$C$2:C205,C205)=1,ABS(SUMIFS(RAW_발주!$D:$D,RAW_발주!$C:$C,A205,RAW_발주!$A:$A,C205)-SUMIFS($W:$W,$A:$A,A205,$C:$C,C205)),0)</f>
        <v>0</v>
      </c>
    </row>
    <row r="206" customFormat="false" ht="15.75" hidden="false" customHeight="true" outlineLevel="0" collapsed="false">
      <c r="A206" s="45" t="s">
        <v>1660</v>
      </c>
      <c r="B206" s="42" t="str">
        <f aca="false">IF(A206="100","HK",IF(A206="200","CN",IF(A206="300","TW","홀세일")))</f>
        <v>CN</v>
      </c>
      <c r="C206" s="45" t="s">
        <v>207</v>
      </c>
      <c r="D206" s="46" t="n">
        <v>277</v>
      </c>
      <c r="E206" s="46" t="n">
        <v>189000</v>
      </c>
      <c r="F206" s="46" t="n">
        <v>34635</v>
      </c>
      <c r="G206" s="42" t="n">
        <v>3.87</v>
      </c>
      <c r="H206" s="42" t="n">
        <v>47.3</v>
      </c>
      <c r="J206" s="46" t="n">
        <f aca="false">IF(N(E206)&gt;0,E206,IF(N(F206)&gt;0,F206*요약!$F$27,0))</f>
        <v>189000</v>
      </c>
      <c r="K206" s="46" t="n">
        <f aca="false">IF(N(F206)&gt;0,F206,IF(N(E206)&gt;0,E206/요약!$F$27,0))</f>
        <v>34635</v>
      </c>
      <c r="L206" s="46" t="n">
        <f aca="false">IF(B206="CN",IF(N(I206)&gt;0,I206*요약!$G$27,K206*(1+요약!$E$27)),IF(N(H206)&gt;0,H206*요약!$G$27,J206*요약!$D$27))</f>
        <v>36366.75</v>
      </c>
      <c r="M206" s="46" t="n">
        <f aca="false">D206*J206</f>
        <v>52353000</v>
      </c>
      <c r="N206" s="46" t="n">
        <f aca="false">D206*K206</f>
        <v>9593895</v>
      </c>
      <c r="O206" s="46" t="n">
        <f aca="false">D206*L206</f>
        <v>10073589.75</v>
      </c>
      <c r="P206" s="42" t="str">
        <f aca="false">TRIM(IF(N(E206)&lt;=0,"택가보정 ","")&amp;IF(N(F206)&lt;=0,"원가보정 ","")&amp;IF(AND(B206&lt;&gt;"CN",N(H206)&lt;=0),"공급가보정 ","")&amp;IF(AND(B206="CN",N(I206)&lt;=0),"중국공급가=원가+마진 ",""))</f>
        <v>중국공급가=원가+마진</v>
      </c>
      <c r="Q206" s="47" t="n">
        <f aca="false">IF(SUMIFS($W:$W,$A:$A,A206,$C:$C,C206)=0,0,SUMIFS(RAW_판매펀칭!$K:$K,RAW_판매펀칭!$P:$P,A206,RAW_판매펀칭!$I:$I,C206)*W206/SUMIFS($W:$W,$A:$A,A206,$C:$C,C206))</f>
        <v>0</v>
      </c>
      <c r="R206" s="47" t="n">
        <f aca="false">IF(OR(A206="500",A206="800",A206="810"),0,MAX(W206-Q206,0))</f>
        <v>277</v>
      </c>
      <c r="S206" s="47" t="n">
        <f aca="false">R206*L206</f>
        <v>10073589.75</v>
      </c>
      <c r="T206" s="47" t="n">
        <f aca="false">R206*J206</f>
        <v>52353000</v>
      </c>
      <c r="U206" s="47" t="n">
        <f aca="false">R206*K206</f>
        <v>9593895</v>
      </c>
      <c r="V206" s="0" t="str">
        <f aca="false">IF(COUNTIFS($A$2:A206,A206,$C$2:C206,C206,$D$2:D206,D206)&gt;1,"중복","")</f>
        <v/>
      </c>
      <c r="W206" s="0" t="n">
        <f aca="false">IF(V206="중복",0,N(D206))</f>
        <v>277</v>
      </c>
      <c r="X206" s="0" t="n">
        <f aca="false">IF(COUNTIFS($A$2:A206,A206,$C$2:C206,C206)=1,ABS(SUMIFS(RAW_발주!$D:$D,RAW_발주!$C:$C,A206,RAW_발주!$A:$A,C206)-SUMIFS($W:$W,$A:$A,A206,$C:$C,C206)),0)</f>
        <v>0</v>
      </c>
    </row>
    <row r="207" customFormat="false" ht="15" hidden="false" customHeight="true" outlineLevel="0" collapsed="false">
      <c r="A207" s="45" t="s">
        <v>1661</v>
      </c>
      <c r="B207" s="42" t="str">
        <f aca="false">IF(A207="100","HK",IF(A207="200","CN",IF(A207="300","TW","홀세일")))</f>
        <v>TW</v>
      </c>
      <c r="C207" s="45" t="s">
        <v>207</v>
      </c>
      <c r="D207" s="46" t="n">
        <v>150</v>
      </c>
      <c r="E207" s="46" t="n">
        <v>189000</v>
      </c>
      <c r="F207" s="46" t="n">
        <v>34635</v>
      </c>
      <c r="G207" s="42" t="n">
        <v>3.87</v>
      </c>
      <c r="H207" s="42" t="n">
        <v>47.3</v>
      </c>
      <c r="J207" s="46" t="n">
        <f aca="false">IF(N(E207)&gt;0,E207,IF(N(F207)&gt;0,F207*요약!$F$27,0))</f>
        <v>189000</v>
      </c>
      <c r="K207" s="46" t="n">
        <f aca="false">IF(N(F207)&gt;0,F207,IF(N(E207)&gt;0,E207/요약!$F$27,0))</f>
        <v>34635</v>
      </c>
      <c r="L207" s="46" t="n">
        <f aca="false">IF(B207="CN",IF(N(I207)&gt;0,I207*요약!$G$27,K207*(1+요약!$E$27)),IF(N(H207)&gt;0,H207*요약!$G$27,J207*요약!$D$27))</f>
        <v>62436</v>
      </c>
      <c r="M207" s="46" t="n">
        <f aca="false">D207*J207</f>
        <v>28350000</v>
      </c>
      <c r="N207" s="46" t="n">
        <f aca="false">D207*K207</f>
        <v>5195250</v>
      </c>
      <c r="O207" s="46" t="n">
        <f aca="false">D207*L207</f>
        <v>9365400</v>
      </c>
      <c r="P207" s="42" t="str">
        <f aca="false">TRIM(IF(N(E207)&lt;=0,"택가보정 ","")&amp;IF(N(F207)&lt;=0,"원가보정 ","")&amp;IF(AND(B207&lt;&gt;"CN",N(H207)&lt;=0),"공급가보정 ","")&amp;IF(AND(B207="CN",N(I207)&lt;=0),"중국공급가=원가+마진 ",""))</f>
        <v/>
      </c>
      <c r="Q207" s="47" t="n">
        <f aca="false">IF(SUMIFS($W:$W,$A:$A,A207,$C:$C,C207)=0,0,SUMIFS(RAW_판매펀칭!$K:$K,RAW_판매펀칭!$P:$P,A207,RAW_판매펀칭!$I:$I,C207)*W207/SUMIFS($W:$W,$A:$A,A207,$C:$C,C207))</f>
        <v>150</v>
      </c>
      <c r="R207" s="47" t="n">
        <f aca="false">IF(OR(A207="500",A207="800",A207="810"),0,MAX(W207-Q207,0))</f>
        <v>0</v>
      </c>
      <c r="S207" s="47" t="n">
        <f aca="false">R207*L207</f>
        <v>0</v>
      </c>
      <c r="T207" s="47" t="n">
        <f aca="false">R207*J207</f>
        <v>0</v>
      </c>
      <c r="U207" s="47" t="n">
        <f aca="false">R207*K207</f>
        <v>0</v>
      </c>
      <c r="V207" s="0" t="str">
        <f aca="false">IF(COUNTIFS($A$2:A207,A207,$C$2:C207,C207,$D$2:D207,D207)&gt;1,"중복","")</f>
        <v/>
      </c>
      <c r="W207" s="0" t="n">
        <f aca="false">IF(V207="중복",0,N(D207))</f>
        <v>150</v>
      </c>
      <c r="X207" s="0" t="n">
        <f aca="false">IF(COUNTIFS($A$2:A207,A207,$C$2:C207,C207)=1,ABS(SUMIFS(RAW_발주!$D:$D,RAW_발주!$C:$C,A207,RAW_발주!$A:$A,C207)-SUMIFS($W:$W,$A:$A,A207,$C:$C,C207)),0)</f>
        <v>0</v>
      </c>
    </row>
    <row r="208" customFormat="false" ht="15" hidden="false" customHeight="true" outlineLevel="0" collapsed="false">
      <c r="A208" s="45" t="s">
        <v>1663</v>
      </c>
      <c r="B208" s="42" t="str">
        <f aca="false">IF(A208="100","HK",IF(A208="200","CN",IF(A208="300","TW","홀세일")))</f>
        <v>홀세일</v>
      </c>
      <c r="C208" s="45" t="s">
        <v>207</v>
      </c>
      <c r="D208" s="46" t="n">
        <v>50</v>
      </c>
      <c r="E208" s="46" t="n">
        <v>189000</v>
      </c>
      <c r="F208" s="46" t="n">
        <v>34635</v>
      </c>
      <c r="G208" s="42" t="n">
        <v>3.87</v>
      </c>
      <c r="H208" s="42" t="n">
        <v>47.3</v>
      </c>
      <c r="J208" s="46" t="n">
        <f aca="false">IF(N(E208)&gt;0,E208,IF(N(F208)&gt;0,F208*요약!$F$27,0))</f>
        <v>189000</v>
      </c>
      <c r="K208" s="46" t="n">
        <f aca="false">IF(N(F208)&gt;0,F208,IF(N(E208)&gt;0,E208/요약!$F$27,0))</f>
        <v>34635</v>
      </c>
      <c r="L208" s="46" t="n">
        <f aca="false">IF(B208="CN",IF(N(I208)&gt;0,I208*요약!$G$27,K208*(1+요약!$E$27)),IF(N(H208)&gt;0,H208*요약!$G$27,J208*요약!$D$27))</f>
        <v>62436</v>
      </c>
      <c r="M208" s="46" t="n">
        <f aca="false">D208*J208</f>
        <v>9450000</v>
      </c>
      <c r="N208" s="46" t="n">
        <f aca="false">D208*K208</f>
        <v>1731750</v>
      </c>
      <c r="O208" s="46" t="n">
        <f aca="false">D208*L208</f>
        <v>3121800</v>
      </c>
      <c r="P208" s="42" t="str">
        <f aca="false">TRIM(IF(N(E208)&lt;=0,"택가보정 ","")&amp;IF(N(F208)&lt;=0,"원가보정 ","")&amp;IF(AND(B208&lt;&gt;"CN",N(H208)&lt;=0),"공급가보정 ","")&amp;IF(AND(B208="CN",N(I208)&lt;=0),"중국공급가=원가+마진 ",""))</f>
        <v/>
      </c>
      <c r="Q208" s="47" t="n">
        <f aca="false">IF(SUMIFS($W:$W,$A:$A,A208,$C:$C,C208)=0,0,SUMIFS(RAW_판매펀칭!$K:$K,RAW_판매펀칭!$P:$P,A208,RAW_판매펀칭!$I:$I,C208)*W208/SUMIFS($W:$W,$A:$A,A208,$C:$C,C208))</f>
        <v>0</v>
      </c>
      <c r="R208" s="47" t="n">
        <f aca="false">IF(OR(A208="500",A208="800",A208="810"),0,MAX(W208-Q208,0))</f>
        <v>50</v>
      </c>
      <c r="S208" s="47" t="n">
        <f aca="false">R208*L208</f>
        <v>3121800</v>
      </c>
      <c r="T208" s="47" t="n">
        <f aca="false">R208*J208</f>
        <v>9450000</v>
      </c>
      <c r="U208" s="47" t="n">
        <f aca="false">R208*K208</f>
        <v>1731750</v>
      </c>
      <c r="V208" s="0" t="str">
        <f aca="false">IF(COUNTIFS($A$2:A208,A208,$C$2:C208,C208,$D$2:D208,D208)&gt;1,"중복","")</f>
        <v/>
      </c>
      <c r="W208" s="0" t="n">
        <f aca="false">IF(V208="중복",0,N(D208))</f>
        <v>50</v>
      </c>
      <c r="X208" s="0" t="n">
        <f aca="false">IF(COUNTIFS($A$2:A208,A208,$C$2:C208,C208)=1,ABS(SUMIFS(RAW_발주!$D:$D,RAW_발주!$C:$C,A208,RAW_발주!$A:$A,C208)-SUMIFS($W:$W,$A:$A,A208,$C:$C,C208)),0)</f>
        <v>0</v>
      </c>
    </row>
    <row r="209" customFormat="false" ht="15" hidden="false" customHeight="true" outlineLevel="0" collapsed="false">
      <c r="A209" s="45" t="s">
        <v>1659</v>
      </c>
      <c r="B209" s="42" t="str">
        <f aca="false">IF(A209="100","HK",IF(A209="200","CN",IF(A209="300","TW","홀세일")))</f>
        <v>HK</v>
      </c>
      <c r="C209" s="45" t="s">
        <v>209</v>
      </c>
      <c r="D209" s="46" t="n">
        <v>160</v>
      </c>
      <c r="E209" s="46" t="n">
        <v>119000</v>
      </c>
      <c r="F209" s="46" t="n">
        <v>27300</v>
      </c>
      <c r="G209" s="42" t="n">
        <v>3.92</v>
      </c>
      <c r="H209" s="42" t="n">
        <v>29.8</v>
      </c>
      <c r="J209" s="46" t="n">
        <f aca="false">IF(N(E209)&gt;0,E209,IF(N(F209)&gt;0,F209*요약!$F$27,0))</f>
        <v>119000</v>
      </c>
      <c r="K209" s="46" t="n">
        <f aca="false">IF(N(F209)&gt;0,F209,IF(N(E209)&gt;0,E209/요약!$F$27,0))</f>
        <v>27300</v>
      </c>
      <c r="L209" s="46" t="n">
        <f aca="false">IF(B209="CN",IF(N(I209)&gt;0,I209*요약!$G$27,K209*(1+요약!$E$27)),IF(N(H209)&gt;0,H209*요약!$G$27,J209*요약!$D$27))</f>
        <v>39336</v>
      </c>
      <c r="M209" s="46" t="n">
        <f aca="false">D209*J209</f>
        <v>19040000</v>
      </c>
      <c r="N209" s="46" t="n">
        <f aca="false">D209*K209</f>
        <v>4368000</v>
      </c>
      <c r="O209" s="46" t="n">
        <f aca="false">D209*L209</f>
        <v>6293760</v>
      </c>
      <c r="P209" s="42" t="str">
        <f aca="false">TRIM(IF(N(E209)&lt;=0,"택가보정 ","")&amp;IF(N(F209)&lt;=0,"원가보정 ","")&amp;IF(AND(B209&lt;&gt;"CN",N(H209)&lt;=0),"공급가보정 ","")&amp;IF(AND(B209="CN",N(I209)&lt;=0),"중국공급가=원가+마진 ",""))</f>
        <v/>
      </c>
      <c r="Q209" s="47" t="n">
        <f aca="false">IF(SUMIFS($W:$W,$A:$A,A209,$C:$C,C209)=0,0,SUMIFS(RAW_판매펀칭!$K:$K,RAW_판매펀칭!$P:$P,A209,RAW_판매펀칭!$I:$I,C209)*W209/SUMIFS($W:$W,$A:$A,A209,$C:$C,C209))</f>
        <v>160</v>
      </c>
      <c r="R209" s="47" t="n">
        <f aca="false">IF(OR(A209="500",A209="800",A209="810"),0,MAX(W209-Q209,0))</f>
        <v>0</v>
      </c>
      <c r="S209" s="47" t="n">
        <f aca="false">R209*L209</f>
        <v>0</v>
      </c>
      <c r="T209" s="47" t="n">
        <f aca="false">R209*J209</f>
        <v>0</v>
      </c>
      <c r="U209" s="47" t="n">
        <f aca="false">R209*K209</f>
        <v>0</v>
      </c>
      <c r="V209" s="0" t="str">
        <f aca="false">IF(COUNTIFS($A$2:A209,A209,$C$2:C209,C209,$D$2:D209,D209)&gt;1,"중복","")</f>
        <v/>
      </c>
      <c r="W209" s="0" t="n">
        <f aca="false">IF(V209="중복",0,N(D209))</f>
        <v>160</v>
      </c>
      <c r="X209" s="0" t="n">
        <f aca="false">IF(COUNTIFS($A$2:A209,A209,$C$2:C209,C209)=1,ABS(SUMIFS(RAW_발주!$D:$D,RAW_발주!$C:$C,A209,RAW_발주!$A:$A,C209)-SUMIFS($W:$W,$A:$A,A209,$C:$C,C209)),0)</f>
        <v>0</v>
      </c>
    </row>
    <row r="210" customFormat="false" ht="15" hidden="false" customHeight="true" outlineLevel="0" collapsed="false">
      <c r="A210" s="45" t="s">
        <v>1661</v>
      </c>
      <c r="B210" s="42" t="str">
        <f aca="false">IF(A210="100","HK",IF(A210="200","CN",IF(A210="300","TW","홀세일")))</f>
        <v>TW</v>
      </c>
      <c r="C210" s="45" t="s">
        <v>209</v>
      </c>
      <c r="D210" s="46" t="n">
        <v>80</v>
      </c>
      <c r="E210" s="46" t="n">
        <v>119000</v>
      </c>
      <c r="F210" s="46" t="n">
        <v>27300</v>
      </c>
      <c r="G210" s="42" t="n">
        <v>3.92</v>
      </c>
      <c r="H210" s="42" t="n">
        <v>29.8</v>
      </c>
      <c r="J210" s="46" t="n">
        <f aca="false">IF(N(E210)&gt;0,E210,IF(N(F210)&gt;0,F210*요약!$F$27,0))</f>
        <v>119000</v>
      </c>
      <c r="K210" s="46" t="n">
        <f aca="false">IF(N(F210)&gt;0,F210,IF(N(E210)&gt;0,E210/요약!$F$27,0))</f>
        <v>27300</v>
      </c>
      <c r="L210" s="46" t="n">
        <f aca="false">IF(B210="CN",IF(N(I210)&gt;0,I210*요약!$G$27,K210*(1+요약!$E$27)),IF(N(H210)&gt;0,H210*요약!$G$27,J210*요약!$D$27))</f>
        <v>39336</v>
      </c>
      <c r="M210" s="46" t="n">
        <f aca="false">D210*J210</f>
        <v>9520000</v>
      </c>
      <c r="N210" s="46" t="n">
        <f aca="false">D210*K210</f>
        <v>2184000</v>
      </c>
      <c r="O210" s="46" t="n">
        <f aca="false">D210*L210</f>
        <v>3146880</v>
      </c>
      <c r="P210" s="42" t="str">
        <f aca="false">TRIM(IF(N(E210)&lt;=0,"택가보정 ","")&amp;IF(N(F210)&lt;=0,"원가보정 ","")&amp;IF(AND(B210&lt;&gt;"CN",N(H210)&lt;=0),"공급가보정 ","")&amp;IF(AND(B210="CN",N(I210)&lt;=0),"중국공급가=원가+마진 ",""))</f>
        <v/>
      </c>
      <c r="Q210" s="47" t="n">
        <f aca="false">IF(SUMIFS($W:$W,$A:$A,A210,$C:$C,C210)=0,0,SUMIFS(RAW_판매펀칭!$K:$K,RAW_판매펀칭!$P:$P,A210,RAW_판매펀칭!$I:$I,C210)*W210/SUMIFS($W:$W,$A:$A,A210,$C:$C,C210))</f>
        <v>80</v>
      </c>
      <c r="R210" s="47" t="n">
        <f aca="false">IF(OR(A210="500",A210="800",A210="810"),0,MAX(W210-Q210,0))</f>
        <v>0</v>
      </c>
      <c r="S210" s="47" t="n">
        <f aca="false">R210*L210</f>
        <v>0</v>
      </c>
      <c r="T210" s="47" t="n">
        <f aca="false">R210*J210</f>
        <v>0</v>
      </c>
      <c r="U210" s="47" t="n">
        <f aca="false">R210*K210</f>
        <v>0</v>
      </c>
      <c r="V210" s="0" t="str">
        <f aca="false">IF(COUNTIFS($A$2:A210,A210,$C$2:C210,C210,$D$2:D210,D210)&gt;1,"중복","")</f>
        <v/>
      </c>
      <c r="W210" s="0" t="n">
        <f aca="false">IF(V210="중복",0,N(D210))</f>
        <v>80</v>
      </c>
      <c r="X210" s="0" t="n">
        <f aca="false">IF(COUNTIFS($A$2:A210,A210,$C$2:C210,C210)=1,ABS(SUMIFS(RAW_발주!$D:$D,RAW_발주!$C:$C,A210,RAW_발주!$A:$A,C210)-SUMIFS($W:$W,$A:$A,A210,$C:$C,C210)),0)</f>
        <v>0</v>
      </c>
    </row>
    <row r="211" customFormat="false" ht="15" hidden="false" customHeight="true" outlineLevel="0" collapsed="false">
      <c r="A211" s="45" t="s">
        <v>1663</v>
      </c>
      <c r="B211" s="42" t="str">
        <f aca="false">IF(A211="100","HK",IF(A211="200","CN",IF(A211="300","TW","홀세일")))</f>
        <v>홀세일</v>
      </c>
      <c r="C211" s="45" t="s">
        <v>209</v>
      </c>
      <c r="D211" s="46" t="n">
        <v>30</v>
      </c>
      <c r="E211" s="46" t="n">
        <v>119000</v>
      </c>
      <c r="F211" s="46" t="n">
        <v>27300</v>
      </c>
      <c r="G211" s="42" t="n">
        <v>3.92</v>
      </c>
      <c r="H211" s="42" t="n">
        <v>29.8</v>
      </c>
      <c r="J211" s="46" t="n">
        <f aca="false">IF(N(E211)&gt;0,E211,IF(N(F211)&gt;0,F211*요약!$F$27,0))</f>
        <v>119000</v>
      </c>
      <c r="K211" s="46" t="n">
        <f aca="false">IF(N(F211)&gt;0,F211,IF(N(E211)&gt;0,E211/요약!$F$27,0))</f>
        <v>27300</v>
      </c>
      <c r="L211" s="46" t="n">
        <f aca="false">IF(B211="CN",IF(N(I211)&gt;0,I211*요약!$G$27,K211*(1+요약!$E$27)),IF(N(H211)&gt;0,H211*요약!$G$27,J211*요약!$D$27))</f>
        <v>39336</v>
      </c>
      <c r="M211" s="46" t="n">
        <f aca="false">D211*J211</f>
        <v>3570000</v>
      </c>
      <c r="N211" s="46" t="n">
        <f aca="false">D211*K211</f>
        <v>819000</v>
      </c>
      <c r="O211" s="46" t="n">
        <f aca="false">D211*L211</f>
        <v>1180080</v>
      </c>
      <c r="P211" s="42" t="str">
        <f aca="false">TRIM(IF(N(E211)&lt;=0,"택가보정 ","")&amp;IF(N(F211)&lt;=0,"원가보정 ","")&amp;IF(AND(B211&lt;&gt;"CN",N(H211)&lt;=0),"공급가보정 ","")&amp;IF(AND(B211="CN",N(I211)&lt;=0),"중국공급가=원가+마진 ",""))</f>
        <v/>
      </c>
      <c r="Q211" s="47" t="n">
        <f aca="false">IF(SUMIFS($W:$W,$A:$A,A211,$C:$C,C211)=0,0,SUMIFS(RAW_판매펀칭!$K:$K,RAW_판매펀칭!$P:$P,A211,RAW_판매펀칭!$I:$I,C211)*W211/SUMIFS($W:$W,$A:$A,A211,$C:$C,C211))</f>
        <v>30</v>
      </c>
      <c r="R211" s="47" t="n">
        <f aca="false">IF(OR(A211="500",A211="800",A211="810"),0,MAX(W211-Q211,0))</f>
        <v>0</v>
      </c>
      <c r="S211" s="47" t="n">
        <f aca="false">R211*L211</f>
        <v>0</v>
      </c>
      <c r="T211" s="47" t="n">
        <f aca="false">R211*J211</f>
        <v>0</v>
      </c>
      <c r="U211" s="47" t="n">
        <f aca="false">R211*K211</f>
        <v>0</v>
      </c>
      <c r="V211" s="0" t="str">
        <f aca="false">IF(COUNTIFS($A$2:A211,A211,$C$2:C211,C211,$D$2:D211,D211)&gt;1,"중복","")</f>
        <v/>
      </c>
      <c r="W211" s="0" t="n">
        <f aca="false">IF(V211="중복",0,N(D211))</f>
        <v>30</v>
      </c>
      <c r="X211" s="0" t="n">
        <f aca="false">IF(COUNTIFS($A$2:A211,A211,$C$2:C211,C211)=1,ABS(SUMIFS(RAW_발주!$D:$D,RAW_발주!$C:$C,A211,RAW_발주!$A:$A,C211)-SUMIFS($W:$W,$A:$A,A211,$C:$C,C211)),0)</f>
        <v>0</v>
      </c>
    </row>
    <row r="212" customFormat="false" ht="15" hidden="false" customHeight="true" outlineLevel="0" collapsed="false">
      <c r="A212" s="45" t="s">
        <v>1659</v>
      </c>
      <c r="B212" s="42" t="str">
        <f aca="false">IF(A212="100","HK",IF(A212="200","CN",IF(A212="300","TW","홀세일")))</f>
        <v>HK</v>
      </c>
      <c r="C212" s="45" t="s">
        <v>211</v>
      </c>
      <c r="D212" s="46" t="n">
        <v>180</v>
      </c>
      <c r="E212" s="46" t="n">
        <v>99000</v>
      </c>
      <c r="F212" s="46" t="n">
        <v>19845</v>
      </c>
      <c r="G212" s="42" t="n">
        <v>4.64</v>
      </c>
      <c r="H212" s="42" t="n">
        <v>24.8</v>
      </c>
      <c r="J212" s="46" t="n">
        <f aca="false">IF(N(E212)&gt;0,E212,IF(N(F212)&gt;0,F212*요약!$F$27,0))</f>
        <v>99000</v>
      </c>
      <c r="K212" s="46" t="n">
        <f aca="false">IF(N(F212)&gt;0,F212,IF(N(E212)&gt;0,E212/요약!$F$27,0))</f>
        <v>19845</v>
      </c>
      <c r="L212" s="46" t="n">
        <f aca="false">IF(B212="CN",IF(N(I212)&gt;0,I212*요약!$G$27,K212*(1+요약!$E$27)),IF(N(H212)&gt;0,H212*요약!$G$27,J212*요약!$D$27))</f>
        <v>32736</v>
      </c>
      <c r="M212" s="46" t="n">
        <f aca="false">D212*J212</f>
        <v>17820000</v>
      </c>
      <c r="N212" s="46" t="n">
        <f aca="false">D212*K212</f>
        <v>3572100</v>
      </c>
      <c r="O212" s="46" t="n">
        <f aca="false">D212*L212</f>
        <v>5892480</v>
      </c>
      <c r="P212" s="42" t="str">
        <f aca="false">TRIM(IF(N(E212)&lt;=0,"택가보정 ","")&amp;IF(N(F212)&lt;=0,"원가보정 ","")&amp;IF(AND(B212&lt;&gt;"CN",N(H212)&lt;=0),"공급가보정 ","")&amp;IF(AND(B212="CN",N(I212)&lt;=0),"중국공급가=원가+마진 ",""))</f>
        <v/>
      </c>
      <c r="Q212" s="47" t="n">
        <f aca="false">IF(SUMIFS($W:$W,$A:$A,A212,$C:$C,C212)=0,0,SUMIFS(RAW_판매펀칭!$K:$K,RAW_판매펀칭!$P:$P,A212,RAW_판매펀칭!$I:$I,C212)*W212/SUMIFS($W:$W,$A:$A,A212,$C:$C,C212))</f>
        <v>180</v>
      </c>
      <c r="R212" s="47" t="n">
        <f aca="false">IF(OR(A212="500",A212="800",A212="810"),0,MAX(W212-Q212,0))</f>
        <v>0</v>
      </c>
      <c r="S212" s="47" t="n">
        <f aca="false">R212*L212</f>
        <v>0</v>
      </c>
      <c r="T212" s="47" t="n">
        <f aca="false">R212*J212</f>
        <v>0</v>
      </c>
      <c r="U212" s="47" t="n">
        <f aca="false">R212*K212</f>
        <v>0</v>
      </c>
      <c r="V212" s="0" t="str">
        <f aca="false">IF(COUNTIFS($A$2:A212,A212,$C$2:C212,C212,$D$2:D212,D212)&gt;1,"중복","")</f>
        <v/>
      </c>
      <c r="W212" s="0" t="n">
        <f aca="false">IF(V212="중복",0,N(D212))</f>
        <v>180</v>
      </c>
      <c r="X212" s="0" t="n">
        <f aca="false">IF(COUNTIFS($A$2:A212,A212,$C$2:C212,C212)=1,ABS(SUMIFS(RAW_발주!$D:$D,RAW_발주!$C:$C,A212,RAW_발주!$A:$A,C212)-SUMIFS($W:$W,$A:$A,A212,$C:$C,C212)),0)</f>
        <v>0</v>
      </c>
    </row>
    <row r="213" customFormat="false" ht="15.75" hidden="false" customHeight="true" outlineLevel="0" collapsed="false">
      <c r="A213" s="45" t="s">
        <v>1660</v>
      </c>
      <c r="B213" s="42" t="str">
        <f aca="false">IF(A213="100","HK",IF(A213="200","CN",IF(A213="300","TW","홀세일")))</f>
        <v>CN</v>
      </c>
      <c r="C213" s="45" t="s">
        <v>211</v>
      </c>
      <c r="D213" s="46" t="n">
        <v>302</v>
      </c>
      <c r="E213" s="46" t="n">
        <v>99000</v>
      </c>
      <c r="F213" s="46" t="n">
        <v>19845</v>
      </c>
      <c r="G213" s="42" t="n">
        <v>4.64</v>
      </c>
      <c r="H213" s="42" t="n">
        <v>24.8</v>
      </c>
      <c r="J213" s="46" t="n">
        <f aca="false">IF(N(E213)&gt;0,E213,IF(N(F213)&gt;0,F213*요약!$F$27,0))</f>
        <v>99000</v>
      </c>
      <c r="K213" s="46" t="n">
        <f aca="false">IF(N(F213)&gt;0,F213,IF(N(E213)&gt;0,E213/요약!$F$27,0))</f>
        <v>19845</v>
      </c>
      <c r="L213" s="46" t="n">
        <f aca="false">IF(B213="CN",IF(N(I213)&gt;0,I213*요약!$G$27,K213*(1+요약!$E$27)),IF(N(H213)&gt;0,H213*요약!$G$27,J213*요약!$D$27))</f>
        <v>20837.25</v>
      </c>
      <c r="M213" s="46" t="n">
        <f aca="false">D213*J213</f>
        <v>29898000</v>
      </c>
      <c r="N213" s="46" t="n">
        <f aca="false">D213*K213</f>
        <v>5993190</v>
      </c>
      <c r="O213" s="46" t="n">
        <f aca="false">D213*L213</f>
        <v>6292849.5</v>
      </c>
      <c r="P213" s="42" t="str">
        <f aca="false">TRIM(IF(N(E213)&lt;=0,"택가보정 ","")&amp;IF(N(F213)&lt;=0,"원가보정 ","")&amp;IF(AND(B213&lt;&gt;"CN",N(H213)&lt;=0),"공급가보정 ","")&amp;IF(AND(B213="CN",N(I213)&lt;=0),"중국공급가=원가+마진 ",""))</f>
        <v>중국공급가=원가+마진</v>
      </c>
      <c r="Q213" s="47" t="n">
        <f aca="false">IF(SUMIFS($W:$W,$A:$A,A213,$C:$C,C213)=0,0,SUMIFS(RAW_판매펀칭!$K:$K,RAW_판매펀칭!$P:$P,A213,RAW_판매펀칭!$I:$I,C213)*W213/SUMIFS($W:$W,$A:$A,A213,$C:$C,C213))</f>
        <v>0</v>
      </c>
      <c r="R213" s="47" t="n">
        <f aca="false">IF(OR(A213="500",A213="800",A213="810"),0,MAX(W213-Q213,0))</f>
        <v>302</v>
      </c>
      <c r="S213" s="47" t="n">
        <f aca="false">R213*L213</f>
        <v>6292849.5</v>
      </c>
      <c r="T213" s="47" t="n">
        <f aca="false">R213*J213</f>
        <v>29898000</v>
      </c>
      <c r="U213" s="47" t="n">
        <f aca="false">R213*K213</f>
        <v>5993190</v>
      </c>
      <c r="V213" s="0" t="str">
        <f aca="false">IF(COUNTIFS($A$2:A213,A213,$C$2:C213,C213,$D$2:D213,D213)&gt;1,"중복","")</f>
        <v/>
      </c>
      <c r="W213" s="0" t="n">
        <f aca="false">IF(V213="중복",0,N(D213))</f>
        <v>302</v>
      </c>
      <c r="X213" s="0" t="n">
        <f aca="false">IF(COUNTIFS($A$2:A213,A213,$C$2:C213,C213)=1,ABS(SUMIFS(RAW_발주!$D:$D,RAW_발주!$C:$C,A213,RAW_발주!$A:$A,C213)-SUMIFS($W:$W,$A:$A,A213,$C:$C,C213)),0)</f>
        <v>0</v>
      </c>
    </row>
    <row r="214" customFormat="false" ht="15" hidden="false" customHeight="true" outlineLevel="0" collapsed="false">
      <c r="A214" s="45" t="s">
        <v>1661</v>
      </c>
      <c r="B214" s="42" t="str">
        <f aca="false">IF(A214="100","HK",IF(A214="200","CN",IF(A214="300","TW","홀세일")))</f>
        <v>TW</v>
      </c>
      <c r="C214" s="45" t="s">
        <v>211</v>
      </c>
      <c r="D214" s="46" t="n">
        <v>100</v>
      </c>
      <c r="E214" s="46" t="n">
        <v>99000</v>
      </c>
      <c r="F214" s="46" t="n">
        <v>19845</v>
      </c>
      <c r="G214" s="42" t="n">
        <v>4.64</v>
      </c>
      <c r="H214" s="42" t="n">
        <v>24.8</v>
      </c>
      <c r="J214" s="46" t="n">
        <f aca="false">IF(N(E214)&gt;0,E214,IF(N(F214)&gt;0,F214*요약!$F$27,0))</f>
        <v>99000</v>
      </c>
      <c r="K214" s="46" t="n">
        <f aca="false">IF(N(F214)&gt;0,F214,IF(N(E214)&gt;0,E214/요약!$F$27,0))</f>
        <v>19845</v>
      </c>
      <c r="L214" s="46" t="n">
        <f aca="false">IF(B214="CN",IF(N(I214)&gt;0,I214*요약!$G$27,K214*(1+요약!$E$27)),IF(N(H214)&gt;0,H214*요약!$G$27,J214*요약!$D$27))</f>
        <v>32736</v>
      </c>
      <c r="M214" s="46" t="n">
        <f aca="false">D214*J214</f>
        <v>9900000</v>
      </c>
      <c r="N214" s="46" t="n">
        <f aca="false">D214*K214</f>
        <v>1984500</v>
      </c>
      <c r="O214" s="46" t="n">
        <f aca="false">D214*L214</f>
        <v>3273600</v>
      </c>
      <c r="P214" s="42" t="str">
        <f aca="false">TRIM(IF(N(E214)&lt;=0,"택가보정 ","")&amp;IF(N(F214)&lt;=0,"원가보정 ","")&amp;IF(AND(B214&lt;&gt;"CN",N(H214)&lt;=0),"공급가보정 ","")&amp;IF(AND(B214="CN",N(I214)&lt;=0),"중국공급가=원가+마진 ",""))</f>
        <v/>
      </c>
      <c r="Q214" s="47" t="n">
        <f aca="false">IF(SUMIFS($W:$W,$A:$A,A214,$C:$C,C214)=0,0,SUMIFS(RAW_판매펀칭!$K:$K,RAW_판매펀칭!$P:$P,A214,RAW_판매펀칭!$I:$I,C214)*W214/SUMIFS($W:$W,$A:$A,A214,$C:$C,C214))</f>
        <v>100</v>
      </c>
      <c r="R214" s="47" t="n">
        <f aca="false">IF(OR(A214="500",A214="800",A214="810"),0,MAX(W214-Q214,0))</f>
        <v>0</v>
      </c>
      <c r="S214" s="47" t="n">
        <f aca="false">R214*L214</f>
        <v>0</v>
      </c>
      <c r="T214" s="47" t="n">
        <f aca="false">R214*J214</f>
        <v>0</v>
      </c>
      <c r="U214" s="47" t="n">
        <f aca="false">R214*K214</f>
        <v>0</v>
      </c>
      <c r="V214" s="0" t="str">
        <f aca="false">IF(COUNTIFS($A$2:A214,A214,$C$2:C214,C214,$D$2:D214,D214)&gt;1,"중복","")</f>
        <v/>
      </c>
      <c r="W214" s="0" t="n">
        <f aca="false">IF(V214="중복",0,N(D214))</f>
        <v>100</v>
      </c>
      <c r="X214" s="0" t="n">
        <f aca="false">IF(COUNTIFS($A$2:A214,A214,$C$2:C214,C214)=1,ABS(SUMIFS(RAW_발주!$D:$D,RAW_발주!$C:$C,A214,RAW_발주!$A:$A,C214)-SUMIFS($W:$W,$A:$A,A214,$C:$C,C214)),0)</f>
        <v>0</v>
      </c>
    </row>
    <row r="215" customFormat="false" ht="15" hidden="false" customHeight="true" outlineLevel="0" collapsed="false">
      <c r="A215" s="45" t="s">
        <v>1663</v>
      </c>
      <c r="B215" s="42" t="str">
        <f aca="false">IF(A215="100","HK",IF(A215="200","CN",IF(A215="300","TW","홀세일")))</f>
        <v>홀세일</v>
      </c>
      <c r="C215" s="45" t="s">
        <v>211</v>
      </c>
      <c r="D215" s="46" t="n">
        <v>40</v>
      </c>
      <c r="E215" s="46" t="n">
        <v>99000</v>
      </c>
      <c r="F215" s="46" t="n">
        <v>19845</v>
      </c>
      <c r="G215" s="42" t="n">
        <v>4.64</v>
      </c>
      <c r="H215" s="42" t="n">
        <v>24.8</v>
      </c>
      <c r="J215" s="46" t="n">
        <f aca="false">IF(N(E215)&gt;0,E215,IF(N(F215)&gt;0,F215*요약!$F$27,0))</f>
        <v>99000</v>
      </c>
      <c r="K215" s="46" t="n">
        <f aca="false">IF(N(F215)&gt;0,F215,IF(N(E215)&gt;0,E215/요약!$F$27,0))</f>
        <v>19845</v>
      </c>
      <c r="L215" s="46" t="n">
        <f aca="false">IF(B215="CN",IF(N(I215)&gt;0,I215*요약!$G$27,K215*(1+요약!$E$27)),IF(N(H215)&gt;0,H215*요약!$G$27,J215*요약!$D$27))</f>
        <v>32736</v>
      </c>
      <c r="M215" s="46" t="n">
        <f aca="false">D215*J215</f>
        <v>3960000</v>
      </c>
      <c r="N215" s="46" t="n">
        <f aca="false">D215*K215</f>
        <v>793800</v>
      </c>
      <c r="O215" s="46" t="n">
        <f aca="false">D215*L215</f>
        <v>1309440</v>
      </c>
      <c r="P215" s="42" t="str">
        <f aca="false">TRIM(IF(N(E215)&lt;=0,"택가보정 ","")&amp;IF(N(F215)&lt;=0,"원가보정 ","")&amp;IF(AND(B215&lt;&gt;"CN",N(H215)&lt;=0),"공급가보정 ","")&amp;IF(AND(B215="CN",N(I215)&lt;=0),"중국공급가=원가+마진 ",""))</f>
        <v/>
      </c>
      <c r="Q215" s="47" t="n">
        <f aca="false">IF(SUMIFS($W:$W,$A:$A,A215,$C:$C,C215)=0,0,SUMIFS(RAW_판매펀칭!$K:$K,RAW_판매펀칭!$P:$P,A215,RAW_판매펀칭!$I:$I,C215)*W215/SUMIFS($W:$W,$A:$A,A215,$C:$C,C215))</f>
        <v>40</v>
      </c>
      <c r="R215" s="47" t="n">
        <f aca="false">IF(OR(A215="500",A215="800",A215="810"),0,MAX(W215-Q215,0))</f>
        <v>0</v>
      </c>
      <c r="S215" s="47" t="n">
        <f aca="false">R215*L215</f>
        <v>0</v>
      </c>
      <c r="T215" s="47" t="n">
        <f aca="false">R215*J215</f>
        <v>0</v>
      </c>
      <c r="U215" s="47" t="n">
        <f aca="false">R215*K215</f>
        <v>0</v>
      </c>
      <c r="V215" s="0" t="str">
        <f aca="false">IF(COUNTIFS($A$2:A215,A215,$C$2:C215,C215,$D$2:D215,D215)&gt;1,"중복","")</f>
        <v/>
      </c>
      <c r="W215" s="0" t="n">
        <f aca="false">IF(V215="중복",0,N(D215))</f>
        <v>40</v>
      </c>
      <c r="X215" s="0" t="n">
        <f aca="false">IF(COUNTIFS($A$2:A215,A215,$C$2:C215,C215)=1,ABS(SUMIFS(RAW_발주!$D:$D,RAW_발주!$C:$C,A215,RAW_발주!$A:$A,C215)-SUMIFS($W:$W,$A:$A,A215,$C:$C,C215)),0)</f>
        <v>0</v>
      </c>
    </row>
    <row r="216" customFormat="false" ht="15" hidden="false" customHeight="true" outlineLevel="0" collapsed="false">
      <c r="A216" s="45" t="s">
        <v>1659</v>
      </c>
      <c r="B216" s="42" t="str">
        <f aca="false">IF(A216="100","HK",IF(A216="200","CN",IF(A216="300","TW","홀세일")))</f>
        <v>HK</v>
      </c>
      <c r="C216" s="45" t="s">
        <v>213</v>
      </c>
      <c r="D216" s="46" t="n">
        <v>180</v>
      </c>
      <c r="E216" s="46" t="n">
        <v>89000</v>
      </c>
      <c r="F216" s="46" t="n">
        <v>14000</v>
      </c>
      <c r="G216" s="42" t="n">
        <v>4.76</v>
      </c>
      <c r="H216" s="42" t="n">
        <v>22.3</v>
      </c>
      <c r="J216" s="46" t="n">
        <f aca="false">IF(N(E216)&gt;0,E216,IF(N(F216)&gt;0,F216*요약!$F$27,0))</f>
        <v>89000</v>
      </c>
      <c r="K216" s="46" t="n">
        <f aca="false">IF(N(F216)&gt;0,F216,IF(N(E216)&gt;0,E216/요약!$F$27,0))</f>
        <v>14000</v>
      </c>
      <c r="L216" s="46" t="n">
        <f aca="false">IF(B216="CN",IF(N(I216)&gt;0,I216*요약!$G$27,K216*(1+요약!$E$27)),IF(N(H216)&gt;0,H216*요약!$G$27,J216*요약!$D$27))</f>
        <v>29436</v>
      </c>
      <c r="M216" s="46" t="n">
        <f aca="false">D216*J216</f>
        <v>16020000</v>
      </c>
      <c r="N216" s="46" t="n">
        <f aca="false">D216*K216</f>
        <v>2520000</v>
      </c>
      <c r="O216" s="46" t="n">
        <f aca="false">D216*L216</f>
        <v>5298480</v>
      </c>
      <c r="P216" s="42" t="str">
        <f aca="false">TRIM(IF(N(E216)&lt;=0,"택가보정 ","")&amp;IF(N(F216)&lt;=0,"원가보정 ","")&amp;IF(AND(B216&lt;&gt;"CN",N(H216)&lt;=0),"공급가보정 ","")&amp;IF(AND(B216="CN",N(I216)&lt;=0),"중국공급가=원가+마진 ",""))</f>
        <v/>
      </c>
      <c r="Q216" s="47" t="n">
        <f aca="false">IF(SUMIFS($W:$W,$A:$A,A216,$C:$C,C216)=0,0,SUMIFS(RAW_판매펀칭!$K:$K,RAW_판매펀칭!$P:$P,A216,RAW_판매펀칭!$I:$I,C216)*W216/SUMIFS($W:$W,$A:$A,A216,$C:$C,C216))</f>
        <v>180</v>
      </c>
      <c r="R216" s="47" t="n">
        <f aca="false">IF(OR(A216="500",A216="800",A216="810"),0,MAX(W216-Q216,0))</f>
        <v>0</v>
      </c>
      <c r="S216" s="47" t="n">
        <f aca="false">R216*L216</f>
        <v>0</v>
      </c>
      <c r="T216" s="47" t="n">
        <f aca="false">R216*J216</f>
        <v>0</v>
      </c>
      <c r="U216" s="47" t="n">
        <f aca="false">R216*K216</f>
        <v>0</v>
      </c>
      <c r="V216" s="0" t="str">
        <f aca="false">IF(COUNTIFS($A$2:A216,A216,$C$2:C216,C216,$D$2:D216,D216)&gt;1,"중복","")</f>
        <v/>
      </c>
      <c r="W216" s="0" t="n">
        <f aca="false">IF(V216="중복",0,N(D216))</f>
        <v>180</v>
      </c>
      <c r="X216" s="0" t="n">
        <f aca="false">IF(COUNTIFS($A$2:A216,A216,$C$2:C216,C216)=1,ABS(SUMIFS(RAW_발주!$D:$D,RAW_발주!$C:$C,A216,RAW_발주!$A:$A,C216)-SUMIFS($W:$W,$A:$A,A216,$C:$C,C216)),0)</f>
        <v>0</v>
      </c>
    </row>
    <row r="217" customFormat="false" ht="15" hidden="false" customHeight="true" outlineLevel="0" collapsed="false">
      <c r="A217" s="45" t="s">
        <v>1661</v>
      </c>
      <c r="B217" s="42" t="str">
        <f aca="false">IF(A217="100","HK",IF(A217="200","CN",IF(A217="300","TW","홀세일")))</f>
        <v>TW</v>
      </c>
      <c r="C217" s="45" t="s">
        <v>213</v>
      </c>
      <c r="D217" s="46" t="n">
        <v>100</v>
      </c>
      <c r="E217" s="46" t="n">
        <v>89000</v>
      </c>
      <c r="F217" s="46" t="n">
        <v>14000</v>
      </c>
      <c r="G217" s="42" t="n">
        <v>4.76</v>
      </c>
      <c r="H217" s="42" t="n">
        <v>22.3</v>
      </c>
      <c r="J217" s="46" t="n">
        <f aca="false">IF(N(E217)&gt;0,E217,IF(N(F217)&gt;0,F217*요약!$F$27,0))</f>
        <v>89000</v>
      </c>
      <c r="K217" s="46" t="n">
        <f aca="false">IF(N(F217)&gt;0,F217,IF(N(E217)&gt;0,E217/요약!$F$27,0))</f>
        <v>14000</v>
      </c>
      <c r="L217" s="46" t="n">
        <f aca="false">IF(B217="CN",IF(N(I217)&gt;0,I217*요약!$G$27,K217*(1+요약!$E$27)),IF(N(H217)&gt;0,H217*요약!$G$27,J217*요약!$D$27))</f>
        <v>29436</v>
      </c>
      <c r="M217" s="46" t="n">
        <f aca="false">D217*J217</f>
        <v>8900000</v>
      </c>
      <c r="N217" s="46" t="n">
        <f aca="false">D217*K217</f>
        <v>1400000</v>
      </c>
      <c r="O217" s="46" t="n">
        <f aca="false">D217*L217</f>
        <v>2943600</v>
      </c>
      <c r="P217" s="42" t="str">
        <f aca="false">TRIM(IF(N(E217)&lt;=0,"택가보정 ","")&amp;IF(N(F217)&lt;=0,"원가보정 ","")&amp;IF(AND(B217&lt;&gt;"CN",N(H217)&lt;=0),"공급가보정 ","")&amp;IF(AND(B217="CN",N(I217)&lt;=0),"중국공급가=원가+마진 ",""))</f>
        <v/>
      </c>
      <c r="Q217" s="47" t="n">
        <f aca="false">IF(SUMIFS($W:$W,$A:$A,A217,$C:$C,C217)=0,0,SUMIFS(RAW_판매펀칭!$K:$K,RAW_판매펀칭!$P:$P,A217,RAW_판매펀칭!$I:$I,C217)*W217/SUMIFS($W:$W,$A:$A,A217,$C:$C,C217))</f>
        <v>100</v>
      </c>
      <c r="R217" s="47" t="n">
        <f aca="false">IF(OR(A217="500",A217="800",A217="810"),0,MAX(W217-Q217,0))</f>
        <v>0</v>
      </c>
      <c r="S217" s="47" t="n">
        <f aca="false">R217*L217</f>
        <v>0</v>
      </c>
      <c r="T217" s="47" t="n">
        <f aca="false">R217*J217</f>
        <v>0</v>
      </c>
      <c r="U217" s="47" t="n">
        <f aca="false">R217*K217</f>
        <v>0</v>
      </c>
      <c r="V217" s="0" t="str">
        <f aca="false">IF(COUNTIFS($A$2:A217,A217,$C$2:C217,C217,$D$2:D217,D217)&gt;1,"중복","")</f>
        <v/>
      </c>
      <c r="W217" s="0" t="n">
        <f aca="false">IF(V217="중복",0,N(D217))</f>
        <v>100</v>
      </c>
      <c r="X217" s="0" t="n">
        <f aca="false">IF(COUNTIFS($A$2:A217,A217,$C$2:C217,C217)=1,ABS(SUMIFS(RAW_발주!$D:$D,RAW_발주!$C:$C,A217,RAW_발주!$A:$A,C217)-SUMIFS($W:$W,$A:$A,A217,$C:$C,C217)),0)</f>
        <v>0</v>
      </c>
    </row>
    <row r="218" customFormat="false" ht="15" hidden="false" customHeight="true" outlineLevel="0" collapsed="false">
      <c r="A218" s="45" t="s">
        <v>1659</v>
      </c>
      <c r="B218" s="42" t="str">
        <f aca="false">IF(A218="100","HK",IF(A218="200","CN",IF(A218="300","TW","홀세일")))</f>
        <v>HK</v>
      </c>
      <c r="C218" s="45" t="s">
        <v>215</v>
      </c>
      <c r="D218" s="46" t="n">
        <v>90</v>
      </c>
      <c r="E218" s="46" t="n">
        <v>99000</v>
      </c>
      <c r="F218" s="46" t="n">
        <v>17124</v>
      </c>
      <c r="G218" s="42" t="n">
        <v>4.89</v>
      </c>
      <c r="H218" s="42" t="n">
        <v>24.8</v>
      </c>
      <c r="J218" s="46" t="n">
        <f aca="false">IF(N(E218)&gt;0,E218,IF(N(F218)&gt;0,F218*요약!$F$27,0))</f>
        <v>99000</v>
      </c>
      <c r="K218" s="46" t="n">
        <f aca="false">IF(N(F218)&gt;0,F218,IF(N(E218)&gt;0,E218/요약!$F$27,0))</f>
        <v>17124</v>
      </c>
      <c r="L218" s="46" t="n">
        <f aca="false">IF(B218="CN",IF(N(I218)&gt;0,I218*요약!$G$27,K218*(1+요약!$E$27)),IF(N(H218)&gt;0,H218*요약!$G$27,J218*요약!$D$27))</f>
        <v>32736</v>
      </c>
      <c r="M218" s="46" t="n">
        <f aca="false">D218*J218</f>
        <v>8910000</v>
      </c>
      <c r="N218" s="46" t="n">
        <f aca="false">D218*K218</f>
        <v>1541160</v>
      </c>
      <c r="O218" s="46" t="n">
        <f aca="false">D218*L218</f>
        <v>2946240</v>
      </c>
      <c r="P218" s="42" t="str">
        <f aca="false">TRIM(IF(N(E218)&lt;=0,"택가보정 ","")&amp;IF(N(F218)&lt;=0,"원가보정 ","")&amp;IF(AND(B218&lt;&gt;"CN",N(H218)&lt;=0),"공급가보정 ","")&amp;IF(AND(B218="CN",N(I218)&lt;=0),"중국공급가=원가+마진 ",""))</f>
        <v/>
      </c>
      <c r="Q218" s="47" t="n">
        <f aca="false">IF(SUMIFS($W:$W,$A:$A,A218,$C:$C,C218)=0,0,SUMIFS(RAW_판매펀칭!$K:$K,RAW_판매펀칭!$P:$P,A218,RAW_판매펀칭!$I:$I,C218)*W218/SUMIFS($W:$W,$A:$A,A218,$C:$C,C218))</f>
        <v>90</v>
      </c>
      <c r="R218" s="47" t="n">
        <f aca="false">IF(OR(A218="500",A218="800",A218="810"),0,MAX(W218-Q218,0))</f>
        <v>0</v>
      </c>
      <c r="S218" s="47" t="n">
        <f aca="false">R218*L218</f>
        <v>0</v>
      </c>
      <c r="T218" s="47" t="n">
        <f aca="false">R218*J218</f>
        <v>0</v>
      </c>
      <c r="U218" s="47" t="n">
        <f aca="false">R218*K218</f>
        <v>0</v>
      </c>
      <c r="V218" s="0" t="str">
        <f aca="false">IF(COUNTIFS($A$2:A218,A218,$C$2:C218,C218,$D$2:D218,D218)&gt;1,"중복","")</f>
        <v/>
      </c>
      <c r="W218" s="0" t="n">
        <f aca="false">IF(V218="중복",0,N(D218))</f>
        <v>90</v>
      </c>
      <c r="X218" s="0" t="n">
        <f aca="false">IF(COUNTIFS($A$2:A218,A218,$C$2:C218,C218)=1,ABS(SUMIFS(RAW_발주!$D:$D,RAW_발주!$C:$C,A218,RAW_발주!$A:$A,C218)-SUMIFS($W:$W,$A:$A,A218,$C:$C,C218)),0)</f>
        <v>0</v>
      </c>
    </row>
    <row r="219" customFormat="false" ht="15.75" hidden="false" customHeight="true" outlineLevel="0" collapsed="false">
      <c r="A219" s="45" t="s">
        <v>1660</v>
      </c>
      <c r="B219" s="42" t="str">
        <f aca="false">IF(A219="100","HK",IF(A219="200","CN",IF(A219="300","TW","홀세일")))</f>
        <v>CN</v>
      </c>
      <c r="C219" s="45" t="s">
        <v>215</v>
      </c>
      <c r="D219" s="46" t="n">
        <v>182</v>
      </c>
      <c r="E219" s="46" t="n">
        <v>99000</v>
      </c>
      <c r="F219" s="46" t="n">
        <v>17124</v>
      </c>
      <c r="G219" s="42" t="n">
        <v>4.89</v>
      </c>
      <c r="H219" s="42" t="n">
        <v>24.8</v>
      </c>
      <c r="J219" s="46" t="n">
        <f aca="false">IF(N(E219)&gt;0,E219,IF(N(F219)&gt;0,F219*요약!$F$27,0))</f>
        <v>99000</v>
      </c>
      <c r="K219" s="46" t="n">
        <f aca="false">IF(N(F219)&gt;0,F219,IF(N(E219)&gt;0,E219/요약!$F$27,0))</f>
        <v>17124</v>
      </c>
      <c r="L219" s="46" t="n">
        <f aca="false">IF(B219="CN",IF(N(I219)&gt;0,I219*요약!$G$27,K219*(1+요약!$E$27)),IF(N(H219)&gt;0,H219*요약!$G$27,J219*요약!$D$27))</f>
        <v>17980.2</v>
      </c>
      <c r="M219" s="46" t="n">
        <f aca="false">D219*J219</f>
        <v>18018000</v>
      </c>
      <c r="N219" s="46" t="n">
        <f aca="false">D219*K219</f>
        <v>3116568</v>
      </c>
      <c r="O219" s="46" t="n">
        <f aca="false">D219*L219</f>
        <v>3272396.4</v>
      </c>
      <c r="P219" s="42" t="str">
        <f aca="false">TRIM(IF(N(E219)&lt;=0,"택가보정 ","")&amp;IF(N(F219)&lt;=0,"원가보정 ","")&amp;IF(AND(B219&lt;&gt;"CN",N(H219)&lt;=0),"공급가보정 ","")&amp;IF(AND(B219="CN",N(I219)&lt;=0),"중국공급가=원가+마진 ",""))</f>
        <v>중국공급가=원가+마진</v>
      </c>
      <c r="Q219" s="47" t="n">
        <f aca="false">IF(SUMIFS($W:$W,$A:$A,A219,$C:$C,C219)=0,0,SUMIFS(RAW_판매펀칭!$K:$K,RAW_판매펀칭!$P:$P,A219,RAW_판매펀칭!$I:$I,C219)*W219/SUMIFS($W:$W,$A:$A,A219,$C:$C,C219))</f>
        <v>0</v>
      </c>
      <c r="R219" s="47" t="n">
        <f aca="false">IF(OR(A219="500",A219="800",A219="810"),0,MAX(W219-Q219,0))</f>
        <v>182</v>
      </c>
      <c r="S219" s="47" t="n">
        <f aca="false">R219*L219</f>
        <v>3272396.4</v>
      </c>
      <c r="T219" s="47" t="n">
        <f aca="false">R219*J219</f>
        <v>18018000</v>
      </c>
      <c r="U219" s="47" t="n">
        <f aca="false">R219*K219</f>
        <v>3116568</v>
      </c>
      <c r="V219" s="0" t="str">
        <f aca="false">IF(COUNTIFS($A$2:A219,A219,$C$2:C219,C219,$D$2:D219,D219)&gt;1,"중복","")</f>
        <v/>
      </c>
      <c r="W219" s="0" t="n">
        <f aca="false">IF(V219="중복",0,N(D219))</f>
        <v>182</v>
      </c>
      <c r="X219" s="0" t="n">
        <f aca="false">IF(COUNTIFS($A$2:A219,A219,$C$2:C219,C219)=1,ABS(SUMIFS(RAW_발주!$D:$D,RAW_발주!$C:$C,A219,RAW_발주!$A:$A,C219)-SUMIFS($W:$W,$A:$A,A219,$C:$C,C219)),0)</f>
        <v>0</v>
      </c>
    </row>
    <row r="220" customFormat="false" ht="15" hidden="false" customHeight="true" outlineLevel="0" collapsed="false">
      <c r="A220" s="45" t="s">
        <v>1661</v>
      </c>
      <c r="B220" s="42" t="str">
        <f aca="false">IF(A220="100","HK",IF(A220="200","CN",IF(A220="300","TW","홀세일")))</f>
        <v>TW</v>
      </c>
      <c r="C220" s="45" t="s">
        <v>215</v>
      </c>
      <c r="D220" s="46" t="n">
        <v>80</v>
      </c>
      <c r="E220" s="46" t="n">
        <v>99000</v>
      </c>
      <c r="F220" s="46" t="n">
        <v>17124</v>
      </c>
      <c r="G220" s="42" t="n">
        <v>4.89</v>
      </c>
      <c r="H220" s="42" t="n">
        <v>24.8</v>
      </c>
      <c r="J220" s="46" t="n">
        <f aca="false">IF(N(E220)&gt;0,E220,IF(N(F220)&gt;0,F220*요약!$F$27,0))</f>
        <v>99000</v>
      </c>
      <c r="K220" s="46" t="n">
        <f aca="false">IF(N(F220)&gt;0,F220,IF(N(E220)&gt;0,E220/요약!$F$27,0))</f>
        <v>17124</v>
      </c>
      <c r="L220" s="46" t="n">
        <f aca="false">IF(B220="CN",IF(N(I220)&gt;0,I220*요약!$G$27,K220*(1+요약!$E$27)),IF(N(H220)&gt;0,H220*요약!$G$27,J220*요약!$D$27))</f>
        <v>32736</v>
      </c>
      <c r="M220" s="46" t="n">
        <f aca="false">D220*J220</f>
        <v>7920000</v>
      </c>
      <c r="N220" s="46" t="n">
        <f aca="false">D220*K220</f>
        <v>1369920</v>
      </c>
      <c r="O220" s="46" t="n">
        <f aca="false">D220*L220</f>
        <v>2618880</v>
      </c>
      <c r="P220" s="42" t="str">
        <f aca="false">TRIM(IF(N(E220)&lt;=0,"택가보정 ","")&amp;IF(N(F220)&lt;=0,"원가보정 ","")&amp;IF(AND(B220&lt;&gt;"CN",N(H220)&lt;=0),"공급가보정 ","")&amp;IF(AND(B220="CN",N(I220)&lt;=0),"중국공급가=원가+마진 ",""))</f>
        <v/>
      </c>
      <c r="Q220" s="47" t="n">
        <f aca="false">IF(SUMIFS($W:$W,$A:$A,A220,$C:$C,C220)=0,0,SUMIFS(RAW_판매펀칭!$K:$K,RAW_판매펀칭!$P:$P,A220,RAW_판매펀칭!$I:$I,C220)*W220/SUMIFS($W:$W,$A:$A,A220,$C:$C,C220))</f>
        <v>80</v>
      </c>
      <c r="R220" s="47" t="n">
        <f aca="false">IF(OR(A220="500",A220="800",A220="810"),0,MAX(W220-Q220,0))</f>
        <v>0</v>
      </c>
      <c r="S220" s="47" t="n">
        <f aca="false">R220*L220</f>
        <v>0</v>
      </c>
      <c r="T220" s="47" t="n">
        <f aca="false">R220*J220</f>
        <v>0</v>
      </c>
      <c r="U220" s="47" t="n">
        <f aca="false">R220*K220</f>
        <v>0</v>
      </c>
      <c r="V220" s="0" t="str">
        <f aca="false">IF(COUNTIFS($A$2:A220,A220,$C$2:C220,C220,$D$2:D220,D220)&gt;1,"중복","")</f>
        <v/>
      </c>
      <c r="W220" s="0" t="n">
        <f aca="false">IF(V220="중복",0,N(D220))</f>
        <v>80</v>
      </c>
      <c r="X220" s="0" t="n">
        <f aca="false">IF(COUNTIFS($A$2:A220,A220,$C$2:C220,C220)=1,ABS(SUMIFS(RAW_발주!$D:$D,RAW_발주!$C:$C,A220,RAW_발주!$A:$A,C220)-SUMIFS($W:$W,$A:$A,A220,$C:$C,C220)),0)</f>
        <v>0</v>
      </c>
    </row>
    <row r="221" customFormat="false" ht="15" hidden="false" customHeight="true" outlineLevel="0" collapsed="false">
      <c r="A221" s="45" t="s">
        <v>1663</v>
      </c>
      <c r="B221" s="42" t="str">
        <f aca="false">IF(A221="100","HK",IF(A221="200","CN",IF(A221="300","TW","홀세일")))</f>
        <v>홀세일</v>
      </c>
      <c r="C221" s="45" t="s">
        <v>215</v>
      </c>
      <c r="D221" s="46" t="n">
        <v>30</v>
      </c>
      <c r="E221" s="46" t="n">
        <v>99000</v>
      </c>
      <c r="F221" s="46" t="n">
        <v>17124</v>
      </c>
      <c r="G221" s="42" t="n">
        <v>4.89</v>
      </c>
      <c r="H221" s="42" t="n">
        <v>24.8</v>
      </c>
      <c r="J221" s="46" t="n">
        <f aca="false">IF(N(E221)&gt;0,E221,IF(N(F221)&gt;0,F221*요약!$F$27,0))</f>
        <v>99000</v>
      </c>
      <c r="K221" s="46" t="n">
        <f aca="false">IF(N(F221)&gt;0,F221,IF(N(E221)&gt;0,E221/요약!$F$27,0))</f>
        <v>17124</v>
      </c>
      <c r="L221" s="46" t="n">
        <f aca="false">IF(B221="CN",IF(N(I221)&gt;0,I221*요약!$G$27,K221*(1+요약!$E$27)),IF(N(H221)&gt;0,H221*요약!$G$27,J221*요약!$D$27))</f>
        <v>32736</v>
      </c>
      <c r="M221" s="46" t="n">
        <f aca="false">D221*J221</f>
        <v>2970000</v>
      </c>
      <c r="N221" s="46" t="n">
        <f aca="false">D221*K221</f>
        <v>513720</v>
      </c>
      <c r="O221" s="46" t="n">
        <f aca="false">D221*L221</f>
        <v>982080</v>
      </c>
      <c r="P221" s="42" t="str">
        <f aca="false">TRIM(IF(N(E221)&lt;=0,"택가보정 ","")&amp;IF(N(F221)&lt;=0,"원가보정 ","")&amp;IF(AND(B221&lt;&gt;"CN",N(H221)&lt;=0),"공급가보정 ","")&amp;IF(AND(B221="CN",N(I221)&lt;=0),"중국공급가=원가+마진 ",""))</f>
        <v/>
      </c>
      <c r="Q221" s="47" t="n">
        <f aca="false">IF(SUMIFS($W:$W,$A:$A,A221,$C:$C,C221)=0,0,SUMIFS(RAW_판매펀칭!$K:$K,RAW_판매펀칭!$P:$P,A221,RAW_판매펀칭!$I:$I,C221)*W221/SUMIFS($W:$W,$A:$A,A221,$C:$C,C221))</f>
        <v>30</v>
      </c>
      <c r="R221" s="47" t="n">
        <f aca="false">IF(OR(A221="500",A221="800",A221="810"),0,MAX(W221-Q221,0))</f>
        <v>0</v>
      </c>
      <c r="S221" s="47" t="n">
        <f aca="false">R221*L221</f>
        <v>0</v>
      </c>
      <c r="T221" s="47" t="n">
        <f aca="false">R221*J221</f>
        <v>0</v>
      </c>
      <c r="U221" s="47" t="n">
        <f aca="false">R221*K221</f>
        <v>0</v>
      </c>
      <c r="V221" s="0" t="str">
        <f aca="false">IF(COUNTIFS($A$2:A221,A221,$C$2:C221,C221,$D$2:D221,D221)&gt;1,"중복","")</f>
        <v/>
      </c>
      <c r="W221" s="0" t="n">
        <f aca="false">IF(V221="중복",0,N(D221))</f>
        <v>30</v>
      </c>
      <c r="X221" s="0" t="n">
        <f aca="false">IF(COUNTIFS($A$2:A221,A221,$C$2:C221,C221)=1,ABS(SUMIFS(RAW_발주!$D:$D,RAW_발주!$C:$C,A221,RAW_발주!$A:$A,C221)-SUMIFS($W:$W,$A:$A,A221,$C:$C,C221)),0)</f>
        <v>0</v>
      </c>
    </row>
    <row r="222" customFormat="false" ht="15" hidden="false" customHeight="true" outlineLevel="0" collapsed="false">
      <c r="A222" s="45" t="s">
        <v>1661</v>
      </c>
      <c r="B222" s="42" t="str">
        <f aca="false">IF(A222="100","HK",IF(A222="200","CN",IF(A222="300","TW","홀세일")))</f>
        <v>TW</v>
      </c>
      <c r="C222" s="45" t="s">
        <v>217</v>
      </c>
      <c r="D222" s="46" t="n">
        <v>80</v>
      </c>
      <c r="E222" s="46" t="n">
        <v>69000</v>
      </c>
      <c r="F222" s="46" t="n">
        <v>13500</v>
      </c>
      <c r="G222" s="42" t="n">
        <v>3.8</v>
      </c>
      <c r="H222" s="42" t="n">
        <v>17.3</v>
      </c>
      <c r="J222" s="46" t="n">
        <f aca="false">IF(N(E222)&gt;0,E222,IF(N(F222)&gt;0,F222*요약!$F$27,0))</f>
        <v>69000</v>
      </c>
      <c r="K222" s="46" t="n">
        <f aca="false">IF(N(F222)&gt;0,F222,IF(N(E222)&gt;0,E222/요약!$F$27,0))</f>
        <v>13500</v>
      </c>
      <c r="L222" s="46" t="n">
        <f aca="false">IF(B222="CN",IF(N(I222)&gt;0,I222*요약!$G$27,K222*(1+요약!$E$27)),IF(N(H222)&gt;0,H222*요약!$G$27,J222*요약!$D$27))</f>
        <v>22836</v>
      </c>
      <c r="M222" s="46" t="n">
        <f aca="false">D222*J222</f>
        <v>5520000</v>
      </c>
      <c r="N222" s="46" t="n">
        <f aca="false">D222*K222</f>
        <v>1080000</v>
      </c>
      <c r="O222" s="46" t="n">
        <f aca="false">D222*L222</f>
        <v>1826880</v>
      </c>
      <c r="P222" s="42" t="str">
        <f aca="false">TRIM(IF(N(E222)&lt;=0,"택가보정 ","")&amp;IF(N(F222)&lt;=0,"원가보정 ","")&amp;IF(AND(B222&lt;&gt;"CN",N(H222)&lt;=0),"공급가보정 ","")&amp;IF(AND(B222="CN",N(I222)&lt;=0),"중국공급가=원가+마진 ",""))</f>
        <v/>
      </c>
      <c r="Q222" s="47" t="n">
        <f aca="false">IF(SUMIFS($W:$W,$A:$A,A222,$C:$C,C222)=0,0,SUMIFS(RAW_판매펀칭!$K:$K,RAW_판매펀칭!$P:$P,A222,RAW_판매펀칭!$I:$I,C222)*W222/SUMIFS($W:$W,$A:$A,A222,$C:$C,C222))</f>
        <v>80</v>
      </c>
      <c r="R222" s="47" t="n">
        <f aca="false">IF(OR(A222="500",A222="800",A222="810"),0,MAX(W222-Q222,0))</f>
        <v>0</v>
      </c>
      <c r="S222" s="47" t="n">
        <f aca="false">R222*L222</f>
        <v>0</v>
      </c>
      <c r="T222" s="47" t="n">
        <f aca="false">R222*J222</f>
        <v>0</v>
      </c>
      <c r="U222" s="47" t="n">
        <f aca="false">R222*K222</f>
        <v>0</v>
      </c>
      <c r="V222" s="0" t="str">
        <f aca="false">IF(COUNTIFS($A$2:A222,A222,$C$2:C222,C222,$D$2:D222,D222)&gt;1,"중복","")</f>
        <v/>
      </c>
      <c r="W222" s="0" t="n">
        <f aca="false">IF(V222="중복",0,N(D222))</f>
        <v>80</v>
      </c>
      <c r="X222" s="0" t="n">
        <f aca="false">IF(COUNTIFS($A$2:A222,A222,$C$2:C222,C222)=1,ABS(SUMIFS(RAW_발주!$D:$D,RAW_발주!$C:$C,A222,RAW_발주!$A:$A,C222)-SUMIFS($W:$W,$A:$A,A222,$C:$C,C222)),0)</f>
        <v>0</v>
      </c>
    </row>
    <row r="223" customFormat="false" ht="15.75" hidden="false" customHeight="true" outlineLevel="0" collapsed="false">
      <c r="A223" s="45" t="s">
        <v>1660</v>
      </c>
      <c r="B223" s="42" t="str">
        <f aca="false">IF(A223="100","HK",IF(A223="200","CN",IF(A223="300","TW","홀세일")))</f>
        <v>CN</v>
      </c>
      <c r="C223" s="45" t="s">
        <v>1282</v>
      </c>
      <c r="D223" s="46" t="n">
        <v>232</v>
      </c>
      <c r="E223" s="46" t="n">
        <v>69000</v>
      </c>
      <c r="F223" s="46" t="n">
        <v>12951</v>
      </c>
      <c r="G223" s="42" t="n">
        <v>5.36</v>
      </c>
      <c r="H223" s="42" t="n">
        <v>17.3</v>
      </c>
      <c r="J223" s="46" t="n">
        <f aca="false">IF(N(E223)&gt;0,E223,IF(N(F223)&gt;0,F223*요약!$F$27,0))</f>
        <v>69000</v>
      </c>
      <c r="K223" s="46" t="n">
        <f aca="false">IF(N(F223)&gt;0,F223,IF(N(E223)&gt;0,E223/요약!$F$27,0))</f>
        <v>12951</v>
      </c>
      <c r="L223" s="46" t="n">
        <f aca="false">IF(B223="CN",IF(N(I223)&gt;0,I223*요약!$G$27,K223*(1+요약!$E$27)),IF(N(H223)&gt;0,H223*요약!$G$27,J223*요약!$D$27))</f>
        <v>13598.55</v>
      </c>
      <c r="M223" s="46" t="n">
        <f aca="false">D223*J223</f>
        <v>16008000</v>
      </c>
      <c r="N223" s="46" t="n">
        <f aca="false">D223*K223</f>
        <v>3004632</v>
      </c>
      <c r="O223" s="46" t="n">
        <f aca="false">D223*L223</f>
        <v>3154863.6</v>
      </c>
      <c r="P223" s="42" t="str">
        <f aca="false">TRIM(IF(N(E223)&lt;=0,"택가보정 ","")&amp;IF(N(F223)&lt;=0,"원가보정 ","")&amp;IF(AND(B223&lt;&gt;"CN",N(H223)&lt;=0),"공급가보정 ","")&amp;IF(AND(B223="CN",N(I223)&lt;=0),"중국공급가=원가+마진 ",""))</f>
        <v>중국공급가=원가+마진</v>
      </c>
      <c r="Q223" s="47" t="n">
        <f aca="false">IF(SUMIFS($W:$W,$A:$A,A223,$C:$C,C223)=0,0,SUMIFS(RAW_판매펀칭!$K:$K,RAW_판매펀칭!$P:$P,A223,RAW_판매펀칭!$I:$I,C223)*W223/SUMIFS($W:$W,$A:$A,A223,$C:$C,C223))</f>
        <v>0</v>
      </c>
      <c r="R223" s="47" t="n">
        <f aca="false">IF(OR(A223="500",A223="800",A223="810"),0,MAX(W223-Q223,0))</f>
        <v>232</v>
      </c>
      <c r="S223" s="47" t="n">
        <f aca="false">R223*L223</f>
        <v>3154863.6</v>
      </c>
      <c r="T223" s="47" t="n">
        <f aca="false">R223*J223</f>
        <v>16008000</v>
      </c>
      <c r="U223" s="47" t="n">
        <f aca="false">R223*K223</f>
        <v>3004632</v>
      </c>
      <c r="V223" s="0" t="str">
        <f aca="false">IF(COUNTIFS($A$2:A223,A223,$C$2:C223,C223,$D$2:D223,D223)&gt;1,"중복","")</f>
        <v/>
      </c>
      <c r="W223" s="0" t="n">
        <f aca="false">IF(V223="중복",0,N(D223))</f>
        <v>232</v>
      </c>
      <c r="X223" s="0" t="n">
        <f aca="false">IF(COUNTIFS($A$2:A223,A223,$C$2:C223,C223)=1,ABS(SUMIFS(RAW_발주!$D:$D,RAW_발주!$C:$C,A223,RAW_발주!$A:$A,C223)-SUMIFS($W:$W,$A:$A,A223,$C:$C,C223)),0)</f>
        <v>0</v>
      </c>
    </row>
    <row r="224" customFormat="false" ht="15" hidden="false" customHeight="true" outlineLevel="0" collapsed="false">
      <c r="A224" s="45" t="s">
        <v>1663</v>
      </c>
      <c r="B224" s="42" t="str">
        <f aca="false">IF(A224="100","HK",IF(A224="200","CN",IF(A224="300","TW","홀세일")))</f>
        <v>홀세일</v>
      </c>
      <c r="C224" s="45" t="s">
        <v>1282</v>
      </c>
      <c r="D224" s="46" t="n">
        <v>30</v>
      </c>
      <c r="E224" s="46" t="n">
        <v>69000</v>
      </c>
      <c r="F224" s="46" t="n">
        <v>12951</v>
      </c>
      <c r="G224" s="42" t="n">
        <v>5.36</v>
      </c>
      <c r="H224" s="42" t="n">
        <v>17.3</v>
      </c>
      <c r="J224" s="46" t="n">
        <f aca="false">IF(N(E224)&gt;0,E224,IF(N(F224)&gt;0,F224*요약!$F$27,0))</f>
        <v>69000</v>
      </c>
      <c r="K224" s="46" t="n">
        <f aca="false">IF(N(F224)&gt;0,F224,IF(N(E224)&gt;0,E224/요약!$F$27,0))</f>
        <v>12951</v>
      </c>
      <c r="L224" s="46" t="n">
        <f aca="false">IF(B224="CN",IF(N(I224)&gt;0,I224*요약!$G$27,K224*(1+요약!$E$27)),IF(N(H224)&gt;0,H224*요약!$G$27,J224*요약!$D$27))</f>
        <v>22836</v>
      </c>
      <c r="M224" s="46" t="n">
        <f aca="false">D224*J224</f>
        <v>2070000</v>
      </c>
      <c r="N224" s="46" t="n">
        <f aca="false">D224*K224</f>
        <v>388530</v>
      </c>
      <c r="O224" s="46" t="n">
        <f aca="false">D224*L224</f>
        <v>685080</v>
      </c>
      <c r="P224" s="42" t="str">
        <f aca="false">TRIM(IF(N(E224)&lt;=0,"택가보정 ","")&amp;IF(N(F224)&lt;=0,"원가보정 ","")&amp;IF(AND(B224&lt;&gt;"CN",N(H224)&lt;=0),"공급가보정 ","")&amp;IF(AND(B224="CN",N(I224)&lt;=0),"중국공급가=원가+마진 ",""))</f>
        <v/>
      </c>
      <c r="Q224" s="47" t="n">
        <f aca="false">IF(SUMIFS($W:$W,$A:$A,A224,$C:$C,C224)=0,0,SUMIFS(RAW_판매펀칭!$K:$K,RAW_판매펀칭!$P:$P,A224,RAW_판매펀칭!$I:$I,C224)*W224/SUMIFS($W:$W,$A:$A,A224,$C:$C,C224))</f>
        <v>30</v>
      </c>
      <c r="R224" s="47" t="n">
        <f aca="false">IF(OR(A224="500",A224="800",A224="810"),0,MAX(W224-Q224,0))</f>
        <v>0</v>
      </c>
      <c r="S224" s="47" t="n">
        <f aca="false">R224*L224</f>
        <v>0</v>
      </c>
      <c r="T224" s="47" t="n">
        <f aca="false">R224*J224</f>
        <v>0</v>
      </c>
      <c r="U224" s="47" t="n">
        <f aca="false">R224*K224</f>
        <v>0</v>
      </c>
      <c r="V224" s="0" t="str">
        <f aca="false">IF(COUNTIFS($A$2:A224,A224,$C$2:C224,C224,$D$2:D224,D224)&gt;1,"중복","")</f>
        <v/>
      </c>
      <c r="W224" s="0" t="n">
        <f aca="false">IF(V224="중복",0,N(D224))</f>
        <v>30</v>
      </c>
      <c r="X224" s="0" t="n">
        <f aca="false">IF(COUNTIFS($A$2:A224,A224,$C$2:C224,C224)=1,ABS(SUMIFS(RAW_발주!$D:$D,RAW_발주!$C:$C,A224,RAW_발주!$A:$A,C224)-SUMIFS($W:$W,$A:$A,A224,$C:$C,C224)),0)</f>
        <v>0</v>
      </c>
    </row>
    <row r="225" customFormat="false" ht="15" hidden="false" customHeight="true" outlineLevel="0" collapsed="false">
      <c r="A225" s="45" t="s">
        <v>1663</v>
      </c>
      <c r="B225" s="42" t="str">
        <f aca="false">IF(A225="100","HK",IF(A225="200","CN",IF(A225="300","TW","홀세일")))</f>
        <v>홀세일</v>
      </c>
      <c r="C225" s="45" t="s">
        <v>1284</v>
      </c>
      <c r="D225" s="46" t="n">
        <v>10</v>
      </c>
      <c r="E225" s="46" t="n">
        <v>45000</v>
      </c>
      <c r="F225" s="46" t="n">
        <v>10248</v>
      </c>
      <c r="G225" s="42" t="n">
        <v>3.65</v>
      </c>
      <c r="H225" s="42" t="n">
        <v>12</v>
      </c>
      <c r="J225" s="46" t="n">
        <f aca="false">IF(N(E225)&gt;0,E225,IF(N(F225)&gt;0,F225*요약!$F$27,0))</f>
        <v>45000</v>
      </c>
      <c r="K225" s="46" t="n">
        <f aca="false">IF(N(F225)&gt;0,F225,IF(N(E225)&gt;0,E225/요약!$F$27,0))</f>
        <v>10248</v>
      </c>
      <c r="L225" s="46" t="n">
        <f aca="false">IF(B225="CN",IF(N(I225)&gt;0,I225*요약!$G$27,K225*(1+요약!$E$27)),IF(N(H225)&gt;0,H225*요약!$G$27,J225*요약!$D$27))</f>
        <v>15840</v>
      </c>
      <c r="M225" s="46" t="n">
        <f aca="false">D225*J225</f>
        <v>450000</v>
      </c>
      <c r="N225" s="46" t="n">
        <f aca="false">D225*K225</f>
        <v>102480</v>
      </c>
      <c r="O225" s="46" t="n">
        <f aca="false">D225*L225</f>
        <v>158400</v>
      </c>
      <c r="P225" s="42" t="str">
        <f aca="false">TRIM(IF(N(E225)&lt;=0,"택가보정 ","")&amp;IF(N(F225)&lt;=0,"원가보정 ","")&amp;IF(AND(B225&lt;&gt;"CN",N(H225)&lt;=0),"공급가보정 ","")&amp;IF(AND(B225="CN",N(I225)&lt;=0),"중국공급가=원가+마진 ",""))</f>
        <v/>
      </c>
      <c r="Q225" s="47" t="n">
        <f aca="false">IF(SUMIFS($W:$W,$A:$A,A225,$C:$C,C225)=0,0,SUMIFS(RAW_판매펀칭!$K:$K,RAW_판매펀칭!$P:$P,A225,RAW_판매펀칭!$I:$I,C225)*W225/SUMIFS($W:$W,$A:$A,A225,$C:$C,C225))</f>
        <v>10</v>
      </c>
      <c r="R225" s="47" t="n">
        <f aca="false">IF(OR(A225="500",A225="800",A225="810"),0,MAX(W225-Q225,0))</f>
        <v>0</v>
      </c>
      <c r="S225" s="47" t="n">
        <f aca="false">R225*L225</f>
        <v>0</v>
      </c>
      <c r="T225" s="47" t="n">
        <f aca="false">R225*J225</f>
        <v>0</v>
      </c>
      <c r="U225" s="47" t="n">
        <f aca="false">R225*K225</f>
        <v>0</v>
      </c>
      <c r="V225" s="0" t="str">
        <f aca="false">IF(COUNTIFS($A$2:A225,A225,$C$2:C225,C225,$D$2:D225,D225)&gt;1,"중복","")</f>
        <v/>
      </c>
      <c r="W225" s="0" t="n">
        <f aca="false">IF(V225="중복",0,N(D225))</f>
        <v>10</v>
      </c>
      <c r="X225" s="0" t="n">
        <f aca="false">IF(COUNTIFS($A$2:A225,A225,$C$2:C225,C225)=1,ABS(SUMIFS(RAW_발주!$D:$D,RAW_발주!$C:$C,A225,RAW_발주!$A:$A,C225)-SUMIFS($W:$W,$A:$A,A225,$C:$C,C225)),0)</f>
        <v>0</v>
      </c>
    </row>
    <row r="226" customFormat="false" ht="15" hidden="false" customHeight="true" outlineLevel="0" collapsed="false">
      <c r="A226" s="45" t="s">
        <v>1667</v>
      </c>
      <c r="B226" s="42" t="str">
        <f aca="false">IF(A226="100","HK",IF(A226="200","CN",IF(A226="300","TW","홀세일")))</f>
        <v>홀세일</v>
      </c>
      <c r="C226" s="45" t="s">
        <v>1284</v>
      </c>
      <c r="D226" s="46" t="n">
        <v>62</v>
      </c>
      <c r="E226" s="46" t="n">
        <v>45000</v>
      </c>
      <c r="F226" s="46" t="n">
        <v>10248</v>
      </c>
      <c r="G226" s="42" t="n">
        <v>3.65</v>
      </c>
      <c r="H226" s="42" t="n">
        <v>12</v>
      </c>
      <c r="J226" s="46" t="n">
        <f aca="false">IF(N(E226)&gt;0,E226,IF(N(F226)&gt;0,F226*요약!$F$27,0))</f>
        <v>45000</v>
      </c>
      <c r="K226" s="46" t="n">
        <f aca="false">IF(N(F226)&gt;0,F226,IF(N(E226)&gt;0,E226/요약!$F$27,0))</f>
        <v>10248</v>
      </c>
      <c r="L226" s="46" t="n">
        <f aca="false">IF(B226="CN",IF(N(I226)&gt;0,I226*요약!$G$27,K226*(1+요약!$E$27)),IF(N(H226)&gt;0,H226*요약!$G$27,J226*요약!$D$27))</f>
        <v>15840</v>
      </c>
      <c r="M226" s="46" t="n">
        <f aca="false">D226*J226</f>
        <v>2790000</v>
      </c>
      <c r="N226" s="46" t="n">
        <f aca="false">D226*K226</f>
        <v>635376</v>
      </c>
      <c r="O226" s="46" t="n">
        <f aca="false">D226*L226</f>
        <v>982080</v>
      </c>
      <c r="P226" s="42" t="str">
        <f aca="false">TRIM(IF(N(E226)&lt;=0,"택가보정 ","")&amp;IF(N(F226)&lt;=0,"원가보정 ","")&amp;IF(AND(B226&lt;&gt;"CN",N(H226)&lt;=0),"공급가보정 ","")&amp;IF(AND(B226="CN",N(I226)&lt;=0),"중국공급가=원가+마진 ",""))</f>
        <v/>
      </c>
      <c r="Q226" s="47" t="n">
        <f aca="false">IF(SUMIFS($W:$W,$A:$A,A226,$C:$C,C226)=0,0,SUMIFS(RAW_판매펀칭!$K:$K,RAW_판매펀칭!$P:$P,A226,RAW_판매펀칭!$I:$I,C226)*W226/SUMIFS($W:$W,$A:$A,A226,$C:$C,C226))</f>
        <v>62</v>
      </c>
      <c r="R226" s="47" t="n">
        <f aca="false">IF(OR(A226="500",A226="800",A226="810"),0,MAX(W226-Q226,0))</f>
        <v>0</v>
      </c>
      <c r="S226" s="47" t="n">
        <f aca="false">R226*L226</f>
        <v>0</v>
      </c>
      <c r="T226" s="47" t="n">
        <f aca="false">R226*J226</f>
        <v>0</v>
      </c>
      <c r="U226" s="47" t="n">
        <f aca="false">R226*K226</f>
        <v>0</v>
      </c>
      <c r="V226" s="0" t="str">
        <f aca="false">IF(COUNTIFS($A$2:A226,A226,$C$2:C226,C226,$D$2:D226,D226)&gt;1,"중복","")</f>
        <v/>
      </c>
      <c r="W226" s="0" t="n">
        <f aca="false">IF(V226="중복",0,N(D226))</f>
        <v>62</v>
      </c>
      <c r="X226" s="0" t="n">
        <f aca="false">IF(COUNTIFS($A$2:A226,A226,$C$2:C226,C226)=1,ABS(SUMIFS(RAW_발주!$D:$D,RAW_발주!$C:$C,A226,RAW_발주!$A:$A,C226)-SUMIFS($W:$W,$A:$A,A226,$C:$C,C226)),0)</f>
        <v>0</v>
      </c>
    </row>
    <row r="227" customFormat="false" ht="15" hidden="false" customHeight="true" outlineLevel="0" collapsed="false">
      <c r="A227" s="45" t="s">
        <v>1664</v>
      </c>
      <c r="B227" s="42" t="str">
        <f aca="false">IF(A227="100","HK",IF(A227="200","CN",IF(A227="300","TW","홀세일")))</f>
        <v>홀세일</v>
      </c>
      <c r="C227" s="45" t="s">
        <v>1284</v>
      </c>
      <c r="D227" s="46" t="n">
        <v>10</v>
      </c>
      <c r="E227" s="46" t="n">
        <v>45000</v>
      </c>
      <c r="F227" s="46" t="n">
        <v>10248</v>
      </c>
      <c r="G227" s="42" t="n">
        <v>3.65</v>
      </c>
      <c r="H227" s="42" t="n">
        <v>12</v>
      </c>
      <c r="J227" s="46" t="n">
        <f aca="false">IF(N(E227)&gt;0,E227,IF(N(F227)&gt;0,F227*요약!$F$27,0))</f>
        <v>45000</v>
      </c>
      <c r="K227" s="46" t="n">
        <f aca="false">IF(N(F227)&gt;0,F227,IF(N(E227)&gt;0,E227/요약!$F$27,0))</f>
        <v>10248</v>
      </c>
      <c r="L227" s="46" t="n">
        <f aca="false">IF(B227="CN",IF(N(I227)&gt;0,I227*요약!$G$27,K227*(1+요약!$E$27)),IF(N(H227)&gt;0,H227*요약!$G$27,J227*요약!$D$27))</f>
        <v>15840</v>
      </c>
      <c r="M227" s="46" t="n">
        <f aca="false">D227*J227</f>
        <v>450000</v>
      </c>
      <c r="N227" s="46" t="n">
        <f aca="false">D227*K227</f>
        <v>102480</v>
      </c>
      <c r="O227" s="46" t="n">
        <f aca="false">D227*L227</f>
        <v>158400</v>
      </c>
      <c r="P227" s="42" t="str">
        <f aca="false">TRIM(IF(N(E227)&lt;=0,"택가보정 ","")&amp;IF(N(F227)&lt;=0,"원가보정 ","")&amp;IF(AND(B227&lt;&gt;"CN",N(H227)&lt;=0),"공급가보정 ","")&amp;IF(AND(B227="CN",N(I227)&lt;=0),"중국공급가=원가+마진 ",""))</f>
        <v/>
      </c>
      <c r="Q227" s="47" t="n">
        <f aca="false">IF(SUMIFS($W:$W,$A:$A,A227,$C:$C,C227)=0,0,SUMIFS(RAW_판매펀칭!$K:$K,RAW_판매펀칭!$P:$P,A227,RAW_판매펀칭!$I:$I,C227)*W227/SUMIFS($W:$W,$A:$A,A227,$C:$C,C227))</f>
        <v>10</v>
      </c>
      <c r="R227" s="47" t="n">
        <f aca="false">IF(OR(A227="500",A227="800",A227="810"),0,MAX(W227-Q227,0))</f>
        <v>0</v>
      </c>
      <c r="S227" s="47" t="n">
        <f aca="false">R227*L227</f>
        <v>0</v>
      </c>
      <c r="T227" s="47" t="n">
        <f aca="false">R227*J227</f>
        <v>0</v>
      </c>
      <c r="U227" s="47" t="n">
        <f aca="false">R227*K227</f>
        <v>0</v>
      </c>
      <c r="V227" s="0" t="str">
        <f aca="false">IF(COUNTIFS($A$2:A227,A227,$C$2:C227,C227,$D$2:D227,D227)&gt;1,"중복","")</f>
        <v/>
      </c>
      <c r="W227" s="0" t="n">
        <f aca="false">IF(V227="중복",0,N(D227))</f>
        <v>10</v>
      </c>
      <c r="X227" s="0" t="n">
        <f aca="false">IF(COUNTIFS($A$2:A227,A227,$C$2:C227,C227)=1,ABS(SUMIFS(RAW_발주!$D:$D,RAW_발주!$C:$C,A227,RAW_발주!$A:$A,C227)-SUMIFS($W:$W,$A:$A,A227,$C:$C,C227)),0)</f>
        <v>0</v>
      </c>
    </row>
    <row r="228" customFormat="false" ht="15" hidden="false" customHeight="true" outlineLevel="0" collapsed="false">
      <c r="A228" s="45" t="s">
        <v>1664</v>
      </c>
      <c r="B228" s="42" t="str">
        <f aca="false">IF(A228="100","HK",IF(A228="200","CN",IF(A228="300","TW","홀세일")))</f>
        <v>홀세일</v>
      </c>
      <c r="C228" s="45" t="s">
        <v>1284</v>
      </c>
      <c r="D228" s="46" t="n">
        <v>10</v>
      </c>
      <c r="E228" s="46" t="n">
        <v>45000</v>
      </c>
      <c r="F228" s="46" t="n">
        <v>10248</v>
      </c>
      <c r="G228" s="42" t="n">
        <v>3.65</v>
      </c>
      <c r="H228" s="42" t="n">
        <v>12</v>
      </c>
      <c r="J228" s="46" t="n">
        <f aca="false">IF(N(E228)&gt;0,E228,IF(N(F228)&gt;0,F228*요약!$F$27,0))</f>
        <v>45000</v>
      </c>
      <c r="K228" s="46" t="n">
        <f aca="false">IF(N(F228)&gt;0,F228,IF(N(E228)&gt;0,E228/요약!$F$27,0))</f>
        <v>10248</v>
      </c>
      <c r="L228" s="46" t="n">
        <f aca="false">IF(B228="CN",IF(N(I228)&gt;0,I228*요약!$G$27,K228*(1+요약!$E$27)),IF(N(H228)&gt;0,H228*요약!$G$27,J228*요약!$D$27))</f>
        <v>15840</v>
      </c>
      <c r="M228" s="46" t="n">
        <f aca="false">D228*J228</f>
        <v>450000</v>
      </c>
      <c r="N228" s="46" t="n">
        <f aca="false">D228*K228</f>
        <v>102480</v>
      </c>
      <c r="O228" s="46" t="n">
        <f aca="false">D228*L228</f>
        <v>158400</v>
      </c>
      <c r="P228" s="42" t="str">
        <f aca="false">TRIM(IF(N(E228)&lt;=0,"택가보정 ","")&amp;IF(N(F228)&lt;=0,"원가보정 ","")&amp;IF(AND(B228&lt;&gt;"CN",N(H228)&lt;=0),"공급가보정 ","")&amp;IF(AND(B228="CN",N(I228)&lt;=0),"중국공급가=원가+마진 ",""))</f>
        <v/>
      </c>
      <c r="Q228" s="47" t="n">
        <f aca="false">IF(SUMIFS($W:$W,$A:$A,A228,$C:$C,C228)=0,0,SUMIFS(RAW_판매펀칭!$K:$K,RAW_판매펀칭!$P:$P,A228,RAW_판매펀칭!$I:$I,C228)*W228/SUMIFS($W:$W,$A:$A,A228,$C:$C,C228))</f>
        <v>0</v>
      </c>
      <c r="R228" s="47" t="n">
        <f aca="false">IF(OR(A228="500",A228="800",A228="810"),0,MAX(W228-Q228,0))</f>
        <v>0</v>
      </c>
      <c r="S228" s="47" t="n">
        <f aca="false">R228*L228</f>
        <v>0</v>
      </c>
      <c r="T228" s="47" t="n">
        <f aca="false">R228*J228</f>
        <v>0</v>
      </c>
      <c r="U228" s="47" t="n">
        <f aca="false">R228*K228</f>
        <v>0</v>
      </c>
      <c r="V228" s="0" t="str">
        <f aca="false">IF(COUNTIFS($A$2:A228,A228,$C$2:C228,C228,$D$2:D228,D228)&gt;1,"중복","")</f>
        <v>중복</v>
      </c>
      <c r="W228" s="0" t="n">
        <f aca="false">IF(V228="중복",0,N(D228))</f>
        <v>0</v>
      </c>
      <c r="X228" s="0" t="n">
        <f aca="false">IF(COUNTIFS($A$2:A228,A228,$C$2:C228,C228)=1,ABS(SUMIFS(RAW_발주!$D:$D,RAW_발주!$C:$C,A228,RAW_발주!$A:$A,C228)-SUMIFS($W:$W,$A:$A,A228,$C:$C,C228)),0)</f>
        <v>0</v>
      </c>
    </row>
    <row r="229" customFormat="false" ht="15" hidden="false" customHeight="true" outlineLevel="0" collapsed="false">
      <c r="A229" s="45" t="s">
        <v>1665</v>
      </c>
      <c r="B229" s="42" t="str">
        <f aca="false">IF(A229="100","HK",IF(A229="200","CN",IF(A229="300","TW","홀세일")))</f>
        <v>홀세일</v>
      </c>
      <c r="C229" s="45" t="s">
        <v>1284</v>
      </c>
      <c r="D229" s="46" t="n">
        <v>168</v>
      </c>
      <c r="E229" s="46" t="n">
        <v>45000</v>
      </c>
      <c r="F229" s="46" t="n">
        <v>10248</v>
      </c>
      <c r="G229" s="42" t="n">
        <v>3.65</v>
      </c>
      <c r="H229" s="42" t="n">
        <v>12</v>
      </c>
      <c r="J229" s="46" t="n">
        <f aca="false">IF(N(E229)&gt;0,E229,IF(N(F229)&gt;0,F229*요약!$F$27,0))</f>
        <v>45000</v>
      </c>
      <c r="K229" s="46" t="n">
        <f aca="false">IF(N(F229)&gt;0,F229,IF(N(E229)&gt;0,E229/요약!$F$27,0))</f>
        <v>10248</v>
      </c>
      <c r="L229" s="46" t="n">
        <f aca="false">IF(B229="CN",IF(N(I229)&gt;0,I229*요약!$G$27,K229*(1+요약!$E$27)),IF(N(H229)&gt;0,H229*요약!$G$27,J229*요약!$D$27))</f>
        <v>15840</v>
      </c>
      <c r="M229" s="46" t="n">
        <f aca="false">D229*J229</f>
        <v>7560000</v>
      </c>
      <c r="N229" s="46" t="n">
        <f aca="false">D229*K229</f>
        <v>1721664</v>
      </c>
      <c r="O229" s="46" t="n">
        <f aca="false">D229*L229</f>
        <v>2661120</v>
      </c>
      <c r="P229" s="42" t="str">
        <f aca="false">TRIM(IF(N(E229)&lt;=0,"택가보정 ","")&amp;IF(N(F229)&lt;=0,"원가보정 ","")&amp;IF(AND(B229&lt;&gt;"CN",N(H229)&lt;=0),"공급가보정 ","")&amp;IF(AND(B229="CN",N(I229)&lt;=0),"중국공급가=원가+마진 ",""))</f>
        <v/>
      </c>
      <c r="Q229" s="47" t="n">
        <f aca="false">IF(SUMIFS($W:$W,$A:$A,A229,$C:$C,C229)=0,0,SUMIFS(RAW_판매펀칭!$K:$K,RAW_판매펀칭!$P:$P,A229,RAW_판매펀칭!$I:$I,C229)*W229/SUMIFS($W:$W,$A:$A,A229,$C:$C,C229))</f>
        <v>168</v>
      </c>
      <c r="R229" s="47" t="n">
        <f aca="false">IF(OR(A229="500",A229="800",A229="810"),0,MAX(W229-Q229,0))</f>
        <v>0</v>
      </c>
      <c r="S229" s="47" t="n">
        <f aca="false">R229*L229</f>
        <v>0</v>
      </c>
      <c r="T229" s="47" t="n">
        <f aca="false">R229*J229</f>
        <v>0</v>
      </c>
      <c r="U229" s="47" t="n">
        <f aca="false">R229*K229</f>
        <v>0</v>
      </c>
      <c r="V229" s="0" t="str">
        <f aca="false">IF(COUNTIFS($A$2:A229,A229,$C$2:C229,C229,$D$2:D229,D229)&gt;1,"중복","")</f>
        <v/>
      </c>
      <c r="W229" s="0" t="n">
        <f aca="false">IF(V229="중복",0,N(D229))</f>
        <v>168</v>
      </c>
      <c r="X229" s="0" t="n">
        <f aca="false">IF(COUNTIFS($A$2:A229,A229,$C$2:C229,C229)=1,ABS(SUMIFS(RAW_발주!$D:$D,RAW_발주!$C:$C,A229,RAW_발주!$A:$A,C229)-SUMIFS($W:$W,$A:$A,A229,$C:$C,C229)),0)</f>
        <v>0</v>
      </c>
    </row>
    <row r="230" customFormat="false" ht="15" hidden="false" customHeight="true" outlineLevel="0" collapsed="false">
      <c r="A230" s="45" t="s">
        <v>1666</v>
      </c>
      <c r="B230" s="42" t="str">
        <f aca="false">IF(A230="100","HK",IF(A230="200","CN",IF(A230="300","TW","홀세일")))</f>
        <v>홀세일</v>
      </c>
      <c r="C230" s="45" t="s">
        <v>1284</v>
      </c>
      <c r="D230" s="46" t="n">
        <v>400</v>
      </c>
      <c r="E230" s="46" t="n">
        <v>45000</v>
      </c>
      <c r="F230" s="46" t="n">
        <v>10248</v>
      </c>
      <c r="G230" s="42" t="n">
        <v>3.65</v>
      </c>
      <c r="H230" s="42" t="n">
        <v>12</v>
      </c>
      <c r="J230" s="46" t="n">
        <f aca="false">IF(N(E230)&gt;0,E230,IF(N(F230)&gt;0,F230*요약!$F$27,0))</f>
        <v>45000</v>
      </c>
      <c r="K230" s="46" t="n">
        <f aca="false">IF(N(F230)&gt;0,F230,IF(N(E230)&gt;0,E230/요약!$F$27,0))</f>
        <v>10248</v>
      </c>
      <c r="L230" s="46" t="n">
        <f aca="false">IF(B230="CN",IF(N(I230)&gt;0,I230*요약!$G$27,K230*(1+요약!$E$27)),IF(N(H230)&gt;0,H230*요약!$G$27,J230*요약!$D$27))</f>
        <v>15840</v>
      </c>
      <c r="M230" s="46" t="n">
        <f aca="false">D230*J230</f>
        <v>18000000</v>
      </c>
      <c r="N230" s="46" t="n">
        <f aca="false">D230*K230</f>
        <v>4099200</v>
      </c>
      <c r="O230" s="46" t="n">
        <f aca="false">D230*L230</f>
        <v>6336000</v>
      </c>
      <c r="P230" s="42" t="str">
        <f aca="false">TRIM(IF(N(E230)&lt;=0,"택가보정 ","")&amp;IF(N(F230)&lt;=0,"원가보정 ","")&amp;IF(AND(B230&lt;&gt;"CN",N(H230)&lt;=0),"공급가보정 ","")&amp;IF(AND(B230="CN",N(I230)&lt;=0),"중국공급가=원가+마진 ",""))</f>
        <v/>
      </c>
      <c r="Q230" s="47" t="n">
        <f aca="false">IF(SUMIFS($W:$W,$A:$A,A230,$C:$C,C230)=0,0,SUMIFS(RAW_판매펀칭!$K:$K,RAW_판매펀칭!$P:$P,A230,RAW_판매펀칭!$I:$I,C230)*W230/SUMIFS($W:$W,$A:$A,A230,$C:$C,C230))</f>
        <v>400</v>
      </c>
      <c r="R230" s="47" t="n">
        <f aca="false">IF(OR(A230="500",A230="800",A230="810"),0,MAX(W230-Q230,0))</f>
        <v>0</v>
      </c>
      <c r="S230" s="47" t="n">
        <f aca="false">R230*L230</f>
        <v>0</v>
      </c>
      <c r="T230" s="47" t="n">
        <f aca="false">R230*J230</f>
        <v>0</v>
      </c>
      <c r="U230" s="47" t="n">
        <f aca="false">R230*K230</f>
        <v>0</v>
      </c>
      <c r="V230" s="0" t="str">
        <f aca="false">IF(COUNTIFS($A$2:A230,A230,$C$2:C230,C230,$D$2:D230,D230)&gt;1,"중복","")</f>
        <v/>
      </c>
      <c r="W230" s="0" t="n">
        <f aca="false">IF(V230="중복",0,N(D230))</f>
        <v>400</v>
      </c>
      <c r="X230" s="0" t="n">
        <f aca="false">IF(COUNTIFS($A$2:A230,A230,$C$2:C230,C230)=1,ABS(SUMIFS(RAW_발주!$D:$D,RAW_발주!$C:$C,A230,RAW_발주!$A:$A,C230)-SUMIFS($W:$W,$A:$A,A230,$C:$C,C230)),0)</f>
        <v>0</v>
      </c>
    </row>
    <row r="231" customFormat="false" ht="15.75" hidden="false" customHeight="true" outlineLevel="0" collapsed="false">
      <c r="A231" s="45" t="s">
        <v>1660</v>
      </c>
      <c r="B231" s="42" t="str">
        <f aca="false">IF(A231="100","HK",IF(A231="200","CN",IF(A231="300","TW","홀세일")))</f>
        <v>CN</v>
      </c>
      <c r="C231" s="45" t="s">
        <v>1037</v>
      </c>
      <c r="D231" s="46" t="n">
        <v>61</v>
      </c>
      <c r="E231" s="46" t="n">
        <v>65000</v>
      </c>
      <c r="F231" s="46" t="n">
        <v>16127</v>
      </c>
      <c r="G231" s="42" t="n">
        <v>3.76</v>
      </c>
      <c r="H231" s="42" t="n">
        <v>17.3</v>
      </c>
      <c r="J231" s="46" t="n">
        <f aca="false">IF(N(E231)&gt;0,E231,IF(N(F231)&gt;0,F231*요약!$F$27,0))</f>
        <v>65000</v>
      </c>
      <c r="K231" s="46" t="n">
        <f aca="false">IF(N(F231)&gt;0,F231,IF(N(E231)&gt;0,E231/요약!$F$27,0))</f>
        <v>16127</v>
      </c>
      <c r="L231" s="46" t="n">
        <f aca="false">IF(B231="CN",IF(N(I231)&gt;0,I231*요약!$G$27,K231*(1+요약!$E$27)),IF(N(H231)&gt;0,H231*요약!$G$27,J231*요약!$D$27))</f>
        <v>16933.35</v>
      </c>
      <c r="M231" s="46" t="n">
        <f aca="false">D231*J231</f>
        <v>3965000</v>
      </c>
      <c r="N231" s="46" t="n">
        <f aca="false">D231*K231</f>
        <v>983747</v>
      </c>
      <c r="O231" s="46" t="n">
        <f aca="false">D231*L231</f>
        <v>1032934.35</v>
      </c>
      <c r="P231" s="42" t="str">
        <f aca="false">TRIM(IF(N(E231)&lt;=0,"택가보정 ","")&amp;IF(N(F231)&lt;=0,"원가보정 ","")&amp;IF(AND(B231&lt;&gt;"CN",N(H231)&lt;=0),"공급가보정 ","")&amp;IF(AND(B231="CN",N(I231)&lt;=0),"중국공급가=원가+마진 ",""))</f>
        <v>중국공급가=원가+마진</v>
      </c>
      <c r="Q231" s="47" t="n">
        <f aca="false">IF(SUMIFS($W:$W,$A:$A,A231,$C:$C,C231)=0,0,SUMIFS(RAW_판매펀칭!$K:$K,RAW_판매펀칭!$P:$P,A231,RAW_판매펀칭!$I:$I,C231)*W231/SUMIFS($W:$W,$A:$A,A231,$C:$C,C231))</f>
        <v>60</v>
      </c>
      <c r="R231" s="47" t="n">
        <f aca="false">IF(OR(A231="500",A231="800",A231="810"),0,MAX(W231-Q231,0))</f>
        <v>1</v>
      </c>
      <c r="S231" s="47" t="n">
        <f aca="false">R231*L231</f>
        <v>16933.35</v>
      </c>
      <c r="T231" s="47" t="n">
        <f aca="false">R231*J231</f>
        <v>65000</v>
      </c>
      <c r="U231" s="47" t="n">
        <f aca="false">R231*K231</f>
        <v>16127</v>
      </c>
      <c r="V231" s="0" t="str">
        <f aca="false">IF(COUNTIFS($A$2:A231,A231,$C$2:C231,C231,$D$2:D231,D231)&gt;1,"중복","")</f>
        <v/>
      </c>
      <c r="W231" s="0" t="n">
        <f aca="false">IF(V231="중복",0,N(D231))</f>
        <v>61</v>
      </c>
      <c r="X231" s="0" t="n">
        <f aca="false">IF(COUNTIFS($A$2:A231,A231,$C$2:C231,C231)=1,ABS(SUMIFS(RAW_발주!$D:$D,RAW_발주!$C:$C,A231,RAW_발주!$A:$A,C231)-SUMIFS($W:$W,$A:$A,A231,$C:$C,C231)),0)</f>
        <v>0</v>
      </c>
    </row>
    <row r="232" customFormat="false" ht="15" hidden="false" customHeight="true" outlineLevel="0" collapsed="false">
      <c r="A232" s="45" t="s">
        <v>1663</v>
      </c>
      <c r="B232" s="42" t="str">
        <f aca="false">IF(A232="100","HK",IF(A232="200","CN",IF(A232="300","TW","홀세일")))</f>
        <v>홀세일</v>
      </c>
      <c r="C232" s="45" t="s">
        <v>1037</v>
      </c>
      <c r="D232" s="46" t="n">
        <v>10</v>
      </c>
      <c r="E232" s="46" t="n">
        <v>65000</v>
      </c>
      <c r="F232" s="46" t="n">
        <v>16127</v>
      </c>
      <c r="G232" s="42" t="n">
        <v>3.76</v>
      </c>
      <c r="H232" s="42" t="n">
        <v>17.3</v>
      </c>
      <c r="J232" s="46" t="n">
        <f aca="false">IF(N(E232)&gt;0,E232,IF(N(F232)&gt;0,F232*요약!$F$27,0))</f>
        <v>65000</v>
      </c>
      <c r="K232" s="46" t="n">
        <f aca="false">IF(N(F232)&gt;0,F232,IF(N(E232)&gt;0,E232/요약!$F$27,0))</f>
        <v>16127</v>
      </c>
      <c r="L232" s="46" t="n">
        <f aca="false">IF(B232="CN",IF(N(I232)&gt;0,I232*요약!$G$27,K232*(1+요약!$E$27)),IF(N(H232)&gt;0,H232*요약!$G$27,J232*요약!$D$27))</f>
        <v>22836</v>
      </c>
      <c r="M232" s="46" t="n">
        <f aca="false">D232*J232</f>
        <v>650000</v>
      </c>
      <c r="N232" s="46" t="n">
        <f aca="false">D232*K232</f>
        <v>161270</v>
      </c>
      <c r="O232" s="46" t="n">
        <f aca="false">D232*L232</f>
        <v>228360</v>
      </c>
      <c r="P232" s="42" t="str">
        <f aca="false">TRIM(IF(N(E232)&lt;=0,"택가보정 ","")&amp;IF(N(F232)&lt;=0,"원가보정 ","")&amp;IF(AND(B232&lt;&gt;"CN",N(H232)&lt;=0),"공급가보정 ","")&amp;IF(AND(B232="CN",N(I232)&lt;=0),"중국공급가=원가+마진 ",""))</f>
        <v/>
      </c>
      <c r="Q232" s="47" t="n">
        <f aca="false">IF(SUMIFS($W:$W,$A:$A,A232,$C:$C,C232)=0,0,SUMIFS(RAW_판매펀칭!$K:$K,RAW_판매펀칭!$P:$P,A232,RAW_판매펀칭!$I:$I,C232)*W232/SUMIFS($W:$W,$A:$A,A232,$C:$C,C232))</f>
        <v>10</v>
      </c>
      <c r="R232" s="47" t="n">
        <f aca="false">IF(OR(A232="500",A232="800",A232="810"),0,MAX(W232-Q232,0))</f>
        <v>0</v>
      </c>
      <c r="S232" s="47" t="n">
        <f aca="false">R232*L232</f>
        <v>0</v>
      </c>
      <c r="T232" s="47" t="n">
        <f aca="false">R232*J232</f>
        <v>0</v>
      </c>
      <c r="U232" s="47" t="n">
        <f aca="false">R232*K232</f>
        <v>0</v>
      </c>
      <c r="V232" s="0" t="str">
        <f aca="false">IF(COUNTIFS($A$2:A232,A232,$C$2:C232,C232,$D$2:D232,D232)&gt;1,"중복","")</f>
        <v/>
      </c>
      <c r="W232" s="0" t="n">
        <f aca="false">IF(V232="중복",0,N(D232))</f>
        <v>10</v>
      </c>
      <c r="X232" s="0" t="n">
        <f aca="false">IF(COUNTIFS($A$2:A232,A232,$C$2:C232,C232)=1,ABS(SUMIFS(RAW_발주!$D:$D,RAW_발주!$C:$C,A232,RAW_발주!$A:$A,C232)-SUMIFS($W:$W,$A:$A,A232,$C:$C,C232)),0)</f>
        <v>0</v>
      </c>
    </row>
    <row r="233" customFormat="false" ht="15" hidden="false" customHeight="true" outlineLevel="0" collapsed="false">
      <c r="A233" s="45" t="s">
        <v>1663</v>
      </c>
      <c r="B233" s="42" t="str">
        <f aca="false">IF(A233="100","HK",IF(A233="200","CN",IF(A233="300","TW","홀세일")))</f>
        <v>홀세일</v>
      </c>
      <c r="C233" s="45" t="s">
        <v>1286</v>
      </c>
      <c r="D233" s="46" t="n">
        <v>75</v>
      </c>
      <c r="E233" s="46" t="n">
        <v>79000</v>
      </c>
      <c r="F233" s="46" t="n">
        <v>20400</v>
      </c>
      <c r="G233" s="42" t="n">
        <v>3.95</v>
      </c>
      <c r="H233" s="42" t="n">
        <v>19.8</v>
      </c>
      <c r="J233" s="46" t="n">
        <f aca="false">IF(N(E233)&gt;0,E233,IF(N(F233)&gt;0,F233*요약!$F$27,0))</f>
        <v>79000</v>
      </c>
      <c r="K233" s="46" t="n">
        <f aca="false">IF(N(F233)&gt;0,F233,IF(N(E233)&gt;0,E233/요약!$F$27,0))</f>
        <v>20400</v>
      </c>
      <c r="L233" s="46" t="n">
        <f aca="false">IF(B233="CN",IF(N(I233)&gt;0,I233*요약!$G$27,K233*(1+요약!$E$27)),IF(N(H233)&gt;0,H233*요약!$G$27,J233*요약!$D$27))</f>
        <v>26136</v>
      </c>
      <c r="M233" s="46" t="n">
        <f aca="false">D233*J233</f>
        <v>5925000</v>
      </c>
      <c r="N233" s="46" t="n">
        <f aca="false">D233*K233</f>
        <v>1530000</v>
      </c>
      <c r="O233" s="46" t="n">
        <f aca="false">D233*L233</f>
        <v>1960200</v>
      </c>
      <c r="P233" s="42" t="str">
        <f aca="false">TRIM(IF(N(E233)&lt;=0,"택가보정 ","")&amp;IF(N(F233)&lt;=0,"원가보정 ","")&amp;IF(AND(B233&lt;&gt;"CN",N(H233)&lt;=0),"공급가보정 ","")&amp;IF(AND(B233="CN",N(I233)&lt;=0),"중국공급가=원가+마진 ",""))</f>
        <v/>
      </c>
      <c r="Q233" s="47" t="n">
        <f aca="false">IF(SUMIFS($W:$W,$A:$A,A233,$C:$C,C233)=0,0,SUMIFS(RAW_판매펀칭!$K:$K,RAW_판매펀칭!$P:$P,A233,RAW_판매펀칭!$I:$I,C233)*W233/SUMIFS($W:$W,$A:$A,A233,$C:$C,C233))</f>
        <v>75</v>
      </c>
      <c r="R233" s="47" t="n">
        <f aca="false">IF(OR(A233="500",A233="800",A233="810"),0,MAX(W233-Q233,0))</f>
        <v>0</v>
      </c>
      <c r="S233" s="47" t="n">
        <f aca="false">R233*L233</f>
        <v>0</v>
      </c>
      <c r="T233" s="47" t="n">
        <f aca="false">R233*J233</f>
        <v>0</v>
      </c>
      <c r="U233" s="47" t="n">
        <f aca="false">R233*K233</f>
        <v>0</v>
      </c>
      <c r="V233" s="0" t="str">
        <f aca="false">IF(COUNTIFS($A$2:A233,A233,$C$2:C233,C233,$D$2:D233,D233)&gt;1,"중복","")</f>
        <v/>
      </c>
      <c r="W233" s="0" t="n">
        <f aca="false">IF(V233="중복",0,N(D233))</f>
        <v>75</v>
      </c>
      <c r="X233" s="0" t="n">
        <f aca="false">IF(COUNTIFS($A$2:A233,A233,$C$2:C233,C233)=1,ABS(SUMIFS(RAW_발주!$D:$D,RAW_발주!$C:$C,A233,RAW_발주!$A:$A,C233)-SUMIFS($W:$W,$A:$A,A233,$C:$C,C233)),0)</f>
        <v>0</v>
      </c>
    </row>
    <row r="234" customFormat="false" ht="15" hidden="false" customHeight="true" outlineLevel="0" collapsed="false">
      <c r="A234" s="45" t="s">
        <v>1665</v>
      </c>
      <c r="B234" s="42" t="str">
        <f aca="false">IF(A234="100","HK",IF(A234="200","CN",IF(A234="300","TW","홀세일")))</f>
        <v>홀세일</v>
      </c>
      <c r="C234" s="45" t="s">
        <v>1286</v>
      </c>
      <c r="D234" s="46" t="n">
        <v>204</v>
      </c>
      <c r="E234" s="46" t="n">
        <v>79000</v>
      </c>
      <c r="F234" s="46" t="n">
        <v>20400</v>
      </c>
      <c r="G234" s="42" t="n">
        <v>3.95</v>
      </c>
      <c r="H234" s="42" t="n">
        <v>19.8</v>
      </c>
      <c r="J234" s="46" t="n">
        <f aca="false">IF(N(E234)&gt;0,E234,IF(N(F234)&gt;0,F234*요약!$F$27,0))</f>
        <v>79000</v>
      </c>
      <c r="K234" s="46" t="n">
        <f aca="false">IF(N(F234)&gt;0,F234,IF(N(E234)&gt;0,E234/요약!$F$27,0))</f>
        <v>20400</v>
      </c>
      <c r="L234" s="46" t="n">
        <f aca="false">IF(B234="CN",IF(N(I234)&gt;0,I234*요약!$G$27,K234*(1+요약!$E$27)),IF(N(H234)&gt;0,H234*요약!$G$27,J234*요약!$D$27))</f>
        <v>26136</v>
      </c>
      <c r="M234" s="46" t="n">
        <f aca="false">D234*J234</f>
        <v>16116000</v>
      </c>
      <c r="N234" s="46" t="n">
        <f aca="false">D234*K234</f>
        <v>4161600</v>
      </c>
      <c r="O234" s="46" t="n">
        <f aca="false">D234*L234</f>
        <v>5331744</v>
      </c>
      <c r="P234" s="42" t="str">
        <f aca="false">TRIM(IF(N(E234)&lt;=0,"택가보정 ","")&amp;IF(N(F234)&lt;=0,"원가보정 ","")&amp;IF(AND(B234&lt;&gt;"CN",N(H234)&lt;=0),"공급가보정 ","")&amp;IF(AND(B234="CN",N(I234)&lt;=0),"중국공급가=원가+마진 ",""))</f>
        <v/>
      </c>
      <c r="Q234" s="47" t="n">
        <f aca="false">IF(SUMIFS($W:$W,$A:$A,A234,$C:$C,C234)=0,0,SUMIFS(RAW_판매펀칭!$K:$K,RAW_판매펀칭!$P:$P,A234,RAW_판매펀칭!$I:$I,C234)*W234/SUMIFS($W:$W,$A:$A,A234,$C:$C,C234))</f>
        <v>204</v>
      </c>
      <c r="R234" s="47" t="n">
        <f aca="false">IF(OR(A234="500",A234="800",A234="810"),0,MAX(W234-Q234,0))</f>
        <v>0</v>
      </c>
      <c r="S234" s="47" t="n">
        <f aca="false">R234*L234</f>
        <v>0</v>
      </c>
      <c r="T234" s="47" t="n">
        <f aca="false">R234*J234</f>
        <v>0</v>
      </c>
      <c r="U234" s="47" t="n">
        <f aca="false">R234*K234</f>
        <v>0</v>
      </c>
      <c r="V234" s="0" t="str">
        <f aca="false">IF(COUNTIFS($A$2:A234,A234,$C$2:C234,C234,$D$2:D234,D234)&gt;1,"중복","")</f>
        <v/>
      </c>
      <c r="W234" s="0" t="n">
        <f aca="false">IF(V234="중복",0,N(D234))</f>
        <v>204</v>
      </c>
      <c r="X234" s="0" t="n">
        <f aca="false">IF(COUNTIFS($A$2:A234,A234,$C$2:C234,C234)=1,ABS(SUMIFS(RAW_발주!$D:$D,RAW_발주!$C:$C,A234,RAW_발주!$A:$A,C234)-SUMIFS($W:$W,$A:$A,A234,$C:$C,C234)),0)</f>
        <v>0</v>
      </c>
    </row>
    <row r="235" customFormat="false" ht="15" hidden="false" customHeight="true" outlineLevel="0" collapsed="false">
      <c r="A235" s="45" t="s">
        <v>1661</v>
      </c>
      <c r="B235" s="42" t="str">
        <f aca="false">IF(A235="100","HK",IF(A235="200","CN",IF(A235="300","TW","홀세일")))</f>
        <v>TW</v>
      </c>
      <c r="C235" s="45" t="s">
        <v>226</v>
      </c>
      <c r="D235" s="46" t="n">
        <v>350</v>
      </c>
      <c r="E235" s="46" t="n">
        <v>89000</v>
      </c>
      <c r="F235" s="46" t="n">
        <v>15800</v>
      </c>
      <c r="G235" s="42" t="n">
        <v>4.33</v>
      </c>
      <c r="H235" s="42" t="n">
        <v>22.3</v>
      </c>
      <c r="J235" s="46" t="n">
        <f aca="false">IF(N(E235)&gt;0,E235,IF(N(F235)&gt;0,F235*요약!$F$27,0))</f>
        <v>89000</v>
      </c>
      <c r="K235" s="46" t="n">
        <f aca="false">IF(N(F235)&gt;0,F235,IF(N(E235)&gt;0,E235/요약!$F$27,0))</f>
        <v>15800</v>
      </c>
      <c r="L235" s="46" t="n">
        <f aca="false">IF(B235="CN",IF(N(I235)&gt;0,I235*요약!$G$27,K235*(1+요약!$E$27)),IF(N(H235)&gt;0,H235*요약!$G$27,J235*요약!$D$27))</f>
        <v>29436</v>
      </c>
      <c r="M235" s="46" t="n">
        <f aca="false">D235*J235</f>
        <v>31150000</v>
      </c>
      <c r="N235" s="46" t="n">
        <f aca="false">D235*K235</f>
        <v>5530000</v>
      </c>
      <c r="O235" s="46" t="n">
        <f aca="false">D235*L235</f>
        <v>10302600</v>
      </c>
      <c r="P235" s="42" t="str">
        <f aca="false">TRIM(IF(N(E235)&lt;=0,"택가보정 ","")&amp;IF(N(F235)&lt;=0,"원가보정 ","")&amp;IF(AND(B235&lt;&gt;"CN",N(H235)&lt;=0),"공급가보정 ","")&amp;IF(AND(B235="CN",N(I235)&lt;=0),"중국공급가=원가+마진 ",""))</f>
        <v/>
      </c>
      <c r="Q235" s="47" t="n">
        <f aca="false">IF(SUMIFS($W:$W,$A:$A,A235,$C:$C,C235)=0,0,SUMIFS(RAW_판매펀칭!$K:$K,RAW_판매펀칭!$P:$P,A235,RAW_판매펀칭!$I:$I,C235)*W235/SUMIFS($W:$W,$A:$A,A235,$C:$C,C235))</f>
        <v>350</v>
      </c>
      <c r="R235" s="47" t="n">
        <f aca="false">IF(OR(A235="500",A235="800",A235="810"),0,MAX(W235-Q235,0))</f>
        <v>0</v>
      </c>
      <c r="S235" s="47" t="n">
        <f aca="false">R235*L235</f>
        <v>0</v>
      </c>
      <c r="T235" s="47" t="n">
        <f aca="false">R235*J235</f>
        <v>0</v>
      </c>
      <c r="U235" s="47" t="n">
        <f aca="false">R235*K235</f>
        <v>0</v>
      </c>
      <c r="V235" s="0" t="str">
        <f aca="false">IF(COUNTIFS($A$2:A235,A235,$C$2:C235,C235,$D$2:D235,D235)&gt;1,"중복","")</f>
        <v/>
      </c>
      <c r="W235" s="0" t="n">
        <f aca="false">IF(V235="중복",0,N(D235))</f>
        <v>350</v>
      </c>
      <c r="X235" s="0" t="n">
        <f aca="false">IF(COUNTIFS($A$2:A235,A235,$C$2:C235,C235)=1,ABS(SUMIFS(RAW_발주!$D:$D,RAW_발주!$C:$C,A235,RAW_발주!$A:$A,C235)-SUMIFS($W:$W,$A:$A,A235,$C:$C,C235)),0)</f>
        <v>0</v>
      </c>
    </row>
    <row r="236" customFormat="false" ht="15" hidden="false" customHeight="true" outlineLevel="0" collapsed="false">
      <c r="A236" s="45" t="s">
        <v>1664</v>
      </c>
      <c r="B236" s="42" t="str">
        <f aca="false">IF(A236="100","HK",IF(A236="200","CN",IF(A236="300","TW","홀세일")))</f>
        <v>홀세일</v>
      </c>
      <c r="C236" s="45" t="s">
        <v>226</v>
      </c>
      <c r="D236" s="46" t="n">
        <v>60</v>
      </c>
      <c r="E236" s="46" t="n">
        <v>89000</v>
      </c>
      <c r="F236" s="46" t="n">
        <v>15800</v>
      </c>
      <c r="G236" s="42" t="n">
        <v>4.33</v>
      </c>
      <c r="H236" s="42" t="n">
        <v>22.3</v>
      </c>
      <c r="J236" s="46" t="n">
        <f aca="false">IF(N(E236)&gt;0,E236,IF(N(F236)&gt;0,F236*요약!$F$27,0))</f>
        <v>89000</v>
      </c>
      <c r="K236" s="46" t="n">
        <f aca="false">IF(N(F236)&gt;0,F236,IF(N(E236)&gt;0,E236/요약!$F$27,0))</f>
        <v>15800</v>
      </c>
      <c r="L236" s="46" t="n">
        <f aca="false">IF(B236="CN",IF(N(I236)&gt;0,I236*요약!$G$27,K236*(1+요약!$E$27)),IF(N(H236)&gt;0,H236*요약!$G$27,J236*요약!$D$27))</f>
        <v>29436</v>
      </c>
      <c r="M236" s="46" t="n">
        <f aca="false">D236*J236</f>
        <v>5340000</v>
      </c>
      <c r="N236" s="46" t="n">
        <f aca="false">D236*K236</f>
        <v>948000</v>
      </c>
      <c r="O236" s="46" t="n">
        <f aca="false">D236*L236</f>
        <v>1766160</v>
      </c>
      <c r="P236" s="42" t="str">
        <f aca="false">TRIM(IF(N(E236)&lt;=0,"택가보정 ","")&amp;IF(N(F236)&lt;=0,"원가보정 ","")&amp;IF(AND(B236&lt;&gt;"CN",N(H236)&lt;=0),"공급가보정 ","")&amp;IF(AND(B236="CN",N(I236)&lt;=0),"중국공급가=원가+마진 ",""))</f>
        <v/>
      </c>
      <c r="Q236" s="47" t="n">
        <f aca="false">IF(SUMIFS($W:$W,$A:$A,A236,$C:$C,C236)=0,0,SUMIFS(RAW_판매펀칭!$K:$K,RAW_판매펀칭!$P:$P,A236,RAW_판매펀칭!$I:$I,C236)*W236/SUMIFS($W:$W,$A:$A,A236,$C:$C,C236))</f>
        <v>0</v>
      </c>
      <c r="R236" s="47" t="n">
        <f aca="false">IF(OR(A236="500",A236="800",A236="810"),0,MAX(W236-Q236,0))</f>
        <v>0</v>
      </c>
      <c r="S236" s="47" t="n">
        <f aca="false">R236*L236</f>
        <v>0</v>
      </c>
      <c r="T236" s="47" t="n">
        <f aca="false">R236*J236</f>
        <v>0</v>
      </c>
      <c r="U236" s="47" t="n">
        <f aca="false">R236*K236</f>
        <v>0</v>
      </c>
      <c r="V236" s="0" t="str">
        <f aca="false">IF(COUNTIFS($A$2:A236,A236,$C$2:C236,C236,$D$2:D236,D236)&gt;1,"중복","")</f>
        <v/>
      </c>
      <c r="W236" s="0" t="n">
        <f aca="false">IF(V236="중복",0,N(D236))</f>
        <v>60</v>
      </c>
      <c r="X236" s="0" t="n">
        <f aca="false">IF(COUNTIFS($A$2:A236,A236,$C$2:C236,C236)=1,ABS(SUMIFS(RAW_발주!$D:$D,RAW_발주!$C:$C,A236,RAW_발주!$A:$A,C236)-SUMIFS($W:$W,$A:$A,A236,$C:$C,C236)),0)</f>
        <v>0</v>
      </c>
    </row>
    <row r="237" customFormat="false" ht="15" hidden="false" customHeight="true" outlineLevel="0" collapsed="false">
      <c r="A237" s="45" t="s">
        <v>1661</v>
      </c>
      <c r="B237" s="42" t="str">
        <f aca="false">IF(A237="100","HK",IF(A237="200","CN",IF(A237="300","TW","홀세일")))</f>
        <v>TW</v>
      </c>
      <c r="C237" s="45" t="s">
        <v>220</v>
      </c>
      <c r="D237" s="46" t="n">
        <v>300</v>
      </c>
      <c r="E237" s="46" t="n">
        <v>89000</v>
      </c>
      <c r="F237" s="46" t="n">
        <v>16700</v>
      </c>
      <c r="G237" s="42" t="n">
        <v>4.33</v>
      </c>
      <c r="H237" s="42" t="n">
        <v>22.3</v>
      </c>
      <c r="J237" s="46" t="n">
        <f aca="false">IF(N(E237)&gt;0,E237,IF(N(F237)&gt;0,F237*요약!$F$27,0))</f>
        <v>89000</v>
      </c>
      <c r="K237" s="46" t="n">
        <f aca="false">IF(N(F237)&gt;0,F237,IF(N(E237)&gt;0,E237/요약!$F$27,0))</f>
        <v>16700</v>
      </c>
      <c r="L237" s="46" t="n">
        <f aca="false">IF(B237="CN",IF(N(I237)&gt;0,I237*요약!$G$27,K237*(1+요약!$E$27)),IF(N(H237)&gt;0,H237*요약!$G$27,J237*요약!$D$27))</f>
        <v>29436</v>
      </c>
      <c r="M237" s="46" t="n">
        <f aca="false">D237*J237</f>
        <v>26700000</v>
      </c>
      <c r="N237" s="46" t="n">
        <f aca="false">D237*K237</f>
        <v>5010000</v>
      </c>
      <c r="O237" s="46" t="n">
        <f aca="false">D237*L237</f>
        <v>8830800</v>
      </c>
      <c r="P237" s="42" t="str">
        <f aca="false">TRIM(IF(N(E237)&lt;=0,"택가보정 ","")&amp;IF(N(F237)&lt;=0,"원가보정 ","")&amp;IF(AND(B237&lt;&gt;"CN",N(H237)&lt;=0),"공급가보정 ","")&amp;IF(AND(B237="CN",N(I237)&lt;=0),"중국공급가=원가+마진 ",""))</f>
        <v/>
      </c>
      <c r="Q237" s="47" t="n">
        <f aca="false">IF(SUMIFS($W:$W,$A:$A,A237,$C:$C,C237)=0,0,SUMIFS(RAW_판매펀칭!$K:$K,RAW_판매펀칭!$P:$P,A237,RAW_판매펀칭!$I:$I,C237)*W237/SUMIFS($W:$W,$A:$A,A237,$C:$C,C237))</f>
        <v>300</v>
      </c>
      <c r="R237" s="47" t="n">
        <f aca="false">IF(OR(A237="500",A237="800",A237="810"),0,MAX(W237-Q237,0))</f>
        <v>0</v>
      </c>
      <c r="S237" s="47" t="n">
        <f aca="false">R237*L237</f>
        <v>0</v>
      </c>
      <c r="T237" s="47" t="n">
        <f aca="false">R237*J237</f>
        <v>0</v>
      </c>
      <c r="U237" s="47" t="n">
        <f aca="false">R237*K237</f>
        <v>0</v>
      </c>
      <c r="V237" s="0" t="str">
        <f aca="false">IF(COUNTIFS($A$2:A237,A237,$C$2:C237,C237,$D$2:D237,D237)&gt;1,"중복","")</f>
        <v/>
      </c>
      <c r="W237" s="0" t="n">
        <f aca="false">IF(V237="중복",0,N(D237))</f>
        <v>300</v>
      </c>
      <c r="X237" s="0" t="n">
        <f aca="false">IF(COUNTIFS($A$2:A237,A237,$C$2:C237,C237)=1,ABS(SUMIFS(RAW_발주!$D:$D,RAW_발주!$C:$C,A237,RAW_발주!$A:$A,C237)-SUMIFS($W:$W,$A:$A,A237,$C:$C,C237)),0)</f>
        <v>0</v>
      </c>
    </row>
    <row r="238" customFormat="false" ht="15.75" hidden="false" customHeight="true" outlineLevel="0" collapsed="false">
      <c r="A238" s="45" t="s">
        <v>1660</v>
      </c>
      <c r="B238" s="42" t="str">
        <f aca="false">IF(A238="100","HK",IF(A238="200","CN",IF(A238="300","TW","홀세일")))</f>
        <v>CN</v>
      </c>
      <c r="C238" s="45" t="s">
        <v>1039</v>
      </c>
      <c r="D238" s="46" t="n">
        <v>101</v>
      </c>
      <c r="E238" s="46" t="n">
        <v>89000</v>
      </c>
      <c r="F238" s="46" t="n">
        <v>24517</v>
      </c>
      <c r="G238" s="42" t="n">
        <v>3.16</v>
      </c>
      <c r="H238" s="42" t="n">
        <v>22.3</v>
      </c>
      <c r="J238" s="46" t="n">
        <f aca="false">IF(N(E238)&gt;0,E238,IF(N(F238)&gt;0,F238*요약!$F$27,0))</f>
        <v>89000</v>
      </c>
      <c r="K238" s="46" t="n">
        <f aca="false">IF(N(F238)&gt;0,F238,IF(N(E238)&gt;0,E238/요약!$F$27,0))</f>
        <v>24517</v>
      </c>
      <c r="L238" s="46" t="n">
        <f aca="false">IF(B238="CN",IF(N(I238)&gt;0,I238*요약!$G$27,K238*(1+요약!$E$27)),IF(N(H238)&gt;0,H238*요약!$G$27,J238*요약!$D$27))</f>
        <v>25742.85</v>
      </c>
      <c r="M238" s="46" t="n">
        <f aca="false">D238*J238</f>
        <v>8989000</v>
      </c>
      <c r="N238" s="46" t="n">
        <f aca="false">D238*K238</f>
        <v>2476217</v>
      </c>
      <c r="O238" s="46" t="n">
        <f aca="false">D238*L238</f>
        <v>2600027.85</v>
      </c>
      <c r="P238" s="42" t="str">
        <f aca="false">TRIM(IF(N(E238)&lt;=0,"택가보정 ","")&amp;IF(N(F238)&lt;=0,"원가보정 ","")&amp;IF(AND(B238&lt;&gt;"CN",N(H238)&lt;=0),"공급가보정 ","")&amp;IF(AND(B238="CN",N(I238)&lt;=0),"중국공급가=원가+마진 ",""))</f>
        <v>중국공급가=원가+마진</v>
      </c>
      <c r="Q238" s="47" t="n">
        <f aca="false">IF(SUMIFS($W:$W,$A:$A,A238,$C:$C,C238)=0,0,SUMIFS(RAW_판매펀칭!$K:$K,RAW_판매펀칭!$P:$P,A238,RAW_판매펀칭!$I:$I,C238)*W238/SUMIFS($W:$W,$A:$A,A238,$C:$C,C238))</f>
        <v>100</v>
      </c>
      <c r="R238" s="47" t="n">
        <f aca="false">IF(OR(A238="500",A238="800",A238="810"),0,MAX(W238-Q238,0))</f>
        <v>1</v>
      </c>
      <c r="S238" s="47" t="n">
        <f aca="false">R238*L238</f>
        <v>25742.85</v>
      </c>
      <c r="T238" s="47" t="n">
        <f aca="false">R238*J238</f>
        <v>89000</v>
      </c>
      <c r="U238" s="47" t="n">
        <f aca="false">R238*K238</f>
        <v>24517</v>
      </c>
      <c r="V238" s="0" t="str">
        <f aca="false">IF(COUNTIFS($A$2:A238,A238,$C$2:C238,C238,$D$2:D238,D238)&gt;1,"중복","")</f>
        <v/>
      </c>
      <c r="W238" s="0" t="n">
        <f aca="false">IF(V238="중복",0,N(D238))</f>
        <v>101</v>
      </c>
      <c r="X238" s="0" t="n">
        <f aca="false">IF(COUNTIFS($A$2:A238,A238,$C$2:C238,C238)=1,ABS(SUMIFS(RAW_발주!$D:$D,RAW_발주!$C:$C,A238,RAW_발주!$A:$A,C238)-SUMIFS($W:$W,$A:$A,A238,$C:$C,C238)),0)</f>
        <v>0</v>
      </c>
    </row>
    <row r="239" customFormat="false" ht="15.75" hidden="false" customHeight="true" outlineLevel="0" collapsed="false">
      <c r="A239" s="45" t="s">
        <v>1660</v>
      </c>
      <c r="B239" s="42" t="str">
        <f aca="false">IF(A239="100","HK",IF(A239="200","CN",IF(A239="300","TW","홀세일")))</f>
        <v>CN</v>
      </c>
      <c r="C239" s="45" t="s">
        <v>222</v>
      </c>
      <c r="D239" s="46" t="n">
        <v>202</v>
      </c>
      <c r="E239" s="46" t="n">
        <v>129000</v>
      </c>
      <c r="F239" s="46" t="n">
        <v>31225</v>
      </c>
      <c r="G239" s="42" t="n">
        <v>3.43</v>
      </c>
      <c r="H239" s="42" t="n">
        <v>32.3</v>
      </c>
      <c r="J239" s="46" t="n">
        <f aca="false">IF(N(E239)&gt;0,E239,IF(N(F239)&gt;0,F239*요약!$F$27,0))</f>
        <v>129000</v>
      </c>
      <c r="K239" s="46" t="n">
        <f aca="false">IF(N(F239)&gt;0,F239,IF(N(E239)&gt;0,E239/요약!$F$27,0))</f>
        <v>31225</v>
      </c>
      <c r="L239" s="46" t="n">
        <f aca="false">IF(B239="CN",IF(N(I239)&gt;0,I239*요약!$G$27,K239*(1+요약!$E$27)),IF(N(H239)&gt;0,H239*요약!$G$27,J239*요약!$D$27))</f>
        <v>32786.25</v>
      </c>
      <c r="M239" s="46" t="n">
        <f aca="false">D239*J239</f>
        <v>26058000</v>
      </c>
      <c r="N239" s="46" t="n">
        <f aca="false">D239*K239</f>
        <v>6307450</v>
      </c>
      <c r="O239" s="46" t="n">
        <f aca="false">D239*L239</f>
        <v>6622822.5</v>
      </c>
      <c r="P239" s="42" t="str">
        <f aca="false">TRIM(IF(N(E239)&lt;=0,"택가보정 ","")&amp;IF(N(F239)&lt;=0,"원가보정 ","")&amp;IF(AND(B239&lt;&gt;"CN",N(H239)&lt;=0),"공급가보정 ","")&amp;IF(AND(B239="CN",N(I239)&lt;=0),"중국공급가=원가+마진 ",""))</f>
        <v>중국공급가=원가+마진</v>
      </c>
      <c r="Q239" s="47" t="n">
        <f aca="false">IF(SUMIFS($W:$W,$A:$A,A239,$C:$C,C239)=0,0,SUMIFS(RAW_판매펀칭!$K:$K,RAW_판매펀칭!$P:$P,A239,RAW_판매펀칭!$I:$I,C239)*W239/SUMIFS($W:$W,$A:$A,A239,$C:$C,C239))</f>
        <v>200</v>
      </c>
      <c r="R239" s="47" t="n">
        <f aca="false">IF(OR(A239="500",A239="800",A239="810"),0,MAX(W239-Q239,0))</f>
        <v>2</v>
      </c>
      <c r="S239" s="47" t="n">
        <f aca="false">R239*L239</f>
        <v>65572.5</v>
      </c>
      <c r="T239" s="47" t="n">
        <f aca="false">R239*J239</f>
        <v>258000</v>
      </c>
      <c r="U239" s="47" t="n">
        <f aca="false">R239*K239</f>
        <v>62450</v>
      </c>
      <c r="V239" s="0" t="str">
        <f aca="false">IF(COUNTIFS($A$2:A239,A239,$C$2:C239,C239,$D$2:D239,D239)&gt;1,"중복","")</f>
        <v/>
      </c>
      <c r="W239" s="0" t="n">
        <f aca="false">IF(V239="중복",0,N(D239))</f>
        <v>202</v>
      </c>
      <c r="X239" s="0" t="n">
        <f aca="false">IF(COUNTIFS($A$2:A239,A239,$C$2:C239,C239)=1,ABS(SUMIFS(RAW_발주!$D:$D,RAW_발주!$C:$C,A239,RAW_발주!$A:$A,C239)-SUMIFS($W:$W,$A:$A,A239,$C:$C,C239)),0)</f>
        <v>0</v>
      </c>
    </row>
    <row r="240" customFormat="false" ht="15" hidden="false" customHeight="true" outlineLevel="0" collapsed="false">
      <c r="A240" s="45" t="s">
        <v>1661</v>
      </c>
      <c r="B240" s="42" t="str">
        <f aca="false">IF(A240="100","HK",IF(A240="200","CN",IF(A240="300","TW","홀세일")))</f>
        <v>TW</v>
      </c>
      <c r="C240" s="45" t="s">
        <v>222</v>
      </c>
      <c r="D240" s="46" t="n">
        <v>200</v>
      </c>
      <c r="E240" s="46" t="n">
        <v>129000</v>
      </c>
      <c r="F240" s="46" t="n">
        <v>31225</v>
      </c>
      <c r="G240" s="42" t="n">
        <v>3.43</v>
      </c>
      <c r="H240" s="42" t="n">
        <v>32.3</v>
      </c>
      <c r="J240" s="46" t="n">
        <f aca="false">IF(N(E240)&gt;0,E240,IF(N(F240)&gt;0,F240*요약!$F$27,0))</f>
        <v>129000</v>
      </c>
      <c r="K240" s="46" t="n">
        <f aca="false">IF(N(F240)&gt;0,F240,IF(N(E240)&gt;0,E240/요약!$F$27,0))</f>
        <v>31225</v>
      </c>
      <c r="L240" s="46" t="n">
        <f aca="false">IF(B240="CN",IF(N(I240)&gt;0,I240*요약!$G$27,K240*(1+요약!$E$27)),IF(N(H240)&gt;0,H240*요약!$G$27,J240*요약!$D$27))</f>
        <v>42636</v>
      </c>
      <c r="M240" s="46" t="n">
        <f aca="false">D240*J240</f>
        <v>25800000</v>
      </c>
      <c r="N240" s="46" t="n">
        <f aca="false">D240*K240</f>
        <v>6245000</v>
      </c>
      <c r="O240" s="46" t="n">
        <f aca="false">D240*L240</f>
        <v>8527200</v>
      </c>
      <c r="P240" s="42" t="str">
        <f aca="false">TRIM(IF(N(E240)&lt;=0,"택가보정 ","")&amp;IF(N(F240)&lt;=0,"원가보정 ","")&amp;IF(AND(B240&lt;&gt;"CN",N(H240)&lt;=0),"공급가보정 ","")&amp;IF(AND(B240="CN",N(I240)&lt;=0),"중국공급가=원가+마진 ",""))</f>
        <v/>
      </c>
      <c r="Q240" s="47" t="n">
        <f aca="false">IF(SUMIFS($W:$W,$A:$A,A240,$C:$C,C240)=0,0,SUMIFS(RAW_판매펀칭!$K:$K,RAW_판매펀칭!$P:$P,A240,RAW_판매펀칭!$I:$I,C240)*W240/SUMIFS($W:$W,$A:$A,A240,$C:$C,C240))</f>
        <v>200</v>
      </c>
      <c r="R240" s="47" t="n">
        <f aca="false">IF(OR(A240="500",A240="800",A240="810"),0,MAX(W240-Q240,0))</f>
        <v>0</v>
      </c>
      <c r="S240" s="47" t="n">
        <f aca="false">R240*L240</f>
        <v>0</v>
      </c>
      <c r="T240" s="47" t="n">
        <f aca="false">R240*J240</f>
        <v>0</v>
      </c>
      <c r="U240" s="47" t="n">
        <f aca="false">R240*K240</f>
        <v>0</v>
      </c>
      <c r="V240" s="0" t="str">
        <f aca="false">IF(COUNTIFS($A$2:A240,A240,$C$2:C240,C240,$D$2:D240,D240)&gt;1,"중복","")</f>
        <v/>
      </c>
      <c r="W240" s="0" t="n">
        <f aca="false">IF(V240="중복",0,N(D240))</f>
        <v>200</v>
      </c>
      <c r="X240" s="0" t="n">
        <f aca="false">IF(COUNTIFS($A$2:A240,A240,$C$2:C240,C240)=1,ABS(SUMIFS(RAW_발주!$D:$D,RAW_발주!$C:$C,A240,RAW_발주!$A:$A,C240)-SUMIFS($W:$W,$A:$A,A240,$C:$C,C240)),0)</f>
        <v>0</v>
      </c>
    </row>
    <row r="241" customFormat="false" ht="15" hidden="false" customHeight="true" outlineLevel="0" collapsed="false">
      <c r="A241" s="45" t="s">
        <v>1667</v>
      </c>
      <c r="B241" s="42" t="str">
        <f aca="false">IF(A241="100","HK",IF(A241="200","CN",IF(A241="300","TW","홀세일")))</f>
        <v>홀세일</v>
      </c>
      <c r="C241" s="45" t="s">
        <v>222</v>
      </c>
      <c r="D241" s="46" t="n">
        <v>41</v>
      </c>
      <c r="E241" s="46" t="n">
        <v>129000</v>
      </c>
      <c r="F241" s="46" t="n">
        <v>31225</v>
      </c>
      <c r="G241" s="42" t="n">
        <v>3.43</v>
      </c>
      <c r="H241" s="42" t="n">
        <v>32.3</v>
      </c>
      <c r="J241" s="46" t="n">
        <f aca="false">IF(N(E241)&gt;0,E241,IF(N(F241)&gt;0,F241*요약!$F$27,0))</f>
        <v>129000</v>
      </c>
      <c r="K241" s="46" t="n">
        <f aca="false">IF(N(F241)&gt;0,F241,IF(N(E241)&gt;0,E241/요약!$F$27,0))</f>
        <v>31225</v>
      </c>
      <c r="L241" s="46" t="n">
        <f aca="false">IF(B241="CN",IF(N(I241)&gt;0,I241*요약!$G$27,K241*(1+요약!$E$27)),IF(N(H241)&gt;0,H241*요약!$G$27,J241*요약!$D$27))</f>
        <v>42636</v>
      </c>
      <c r="M241" s="46" t="n">
        <f aca="false">D241*J241</f>
        <v>5289000</v>
      </c>
      <c r="N241" s="46" t="n">
        <f aca="false">D241*K241</f>
        <v>1280225</v>
      </c>
      <c r="O241" s="46" t="n">
        <f aca="false">D241*L241</f>
        <v>1748076</v>
      </c>
      <c r="P241" s="42" t="str">
        <f aca="false">TRIM(IF(N(E241)&lt;=0,"택가보정 ","")&amp;IF(N(F241)&lt;=0,"원가보정 ","")&amp;IF(AND(B241&lt;&gt;"CN",N(H241)&lt;=0),"공급가보정 ","")&amp;IF(AND(B241="CN",N(I241)&lt;=0),"중국공급가=원가+마진 ",""))</f>
        <v/>
      </c>
      <c r="Q241" s="47" t="n">
        <f aca="false">IF(SUMIFS($W:$W,$A:$A,A241,$C:$C,C241)=0,0,SUMIFS(RAW_판매펀칭!$K:$K,RAW_판매펀칭!$P:$P,A241,RAW_판매펀칭!$I:$I,C241)*W241/SUMIFS($W:$W,$A:$A,A241,$C:$C,C241))</f>
        <v>41</v>
      </c>
      <c r="R241" s="47" t="n">
        <f aca="false">IF(OR(A241="500",A241="800",A241="810"),0,MAX(W241-Q241,0))</f>
        <v>0</v>
      </c>
      <c r="S241" s="47" t="n">
        <f aca="false">R241*L241</f>
        <v>0</v>
      </c>
      <c r="T241" s="47" t="n">
        <f aca="false">R241*J241</f>
        <v>0</v>
      </c>
      <c r="U241" s="47" t="n">
        <f aca="false">R241*K241</f>
        <v>0</v>
      </c>
      <c r="V241" s="0" t="str">
        <f aca="false">IF(COUNTIFS($A$2:A241,A241,$C$2:C241,C241,$D$2:D241,D241)&gt;1,"중복","")</f>
        <v/>
      </c>
      <c r="W241" s="0" t="n">
        <f aca="false">IF(V241="중복",0,N(D241))</f>
        <v>41</v>
      </c>
      <c r="X241" s="0" t="n">
        <f aca="false">IF(COUNTIFS($A$2:A241,A241,$C$2:C241,C241)=1,ABS(SUMIFS(RAW_발주!$D:$D,RAW_발주!$C:$C,A241,RAW_발주!$A:$A,C241)-SUMIFS($W:$W,$A:$A,A241,$C:$C,C241)),0)</f>
        <v>0</v>
      </c>
    </row>
    <row r="242" customFormat="false" ht="15" hidden="false" customHeight="true" outlineLevel="0" collapsed="false">
      <c r="A242" s="45" t="s">
        <v>1664</v>
      </c>
      <c r="B242" s="42" t="str">
        <f aca="false">IF(A242="100","HK",IF(A242="200","CN",IF(A242="300","TW","홀세일")))</f>
        <v>홀세일</v>
      </c>
      <c r="C242" s="45" t="s">
        <v>222</v>
      </c>
      <c r="D242" s="46" t="n">
        <v>40</v>
      </c>
      <c r="E242" s="46" t="n">
        <v>129000</v>
      </c>
      <c r="F242" s="46" t="n">
        <v>31225</v>
      </c>
      <c r="G242" s="42" t="n">
        <v>3.43</v>
      </c>
      <c r="H242" s="42" t="n">
        <v>32.3</v>
      </c>
      <c r="J242" s="46" t="n">
        <f aca="false">IF(N(E242)&gt;0,E242,IF(N(F242)&gt;0,F242*요약!$F$27,0))</f>
        <v>129000</v>
      </c>
      <c r="K242" s="46" t="n">
        <f aca="false">IF(N(F242)&gt;0,F242,IF(N(E242)&gt;0,E242/요약!$F$27,0))</f>
        <v>31225</v>
      </c>
      <c r="L242" s="46" t="n">
        <f aca="false">IF(B242="CN",IF(N(I242)&gt;0,I242*요약!$G$27,K242*(1+요약!$E$27)),IF(N(H242)&gt;0,H242*요약!$G$27,J242*요약!$D$27))</f>
        <v>42636</v>
      </c>
      <c r="M242" s="46" t="n">
        <f aca="false">D242*J242</f>
        <v>5160000</v>
      </c>
      <c r="N242" s="46" t="n">
        <f aca="false">D242*K242</f>
        <v>1249000</v>
      </c>
      <c r="O242" s="46" t="n">
        <f aca="false">D242*L242</f>
        <v>1705440</v>
      </c>
      <c r="P242" s="42" t="str">
        <f aca="false">TRIM(IF(N(E242)&lt;=0,"택가보정 ","")&amp;IF(N(F242)&lt;=0,"원가보정 ","")&amp;IF(AND(B242&lt;&gt;"CN",N(H242)&lt;=0),"공급가보정 ","")&amp;IF(AND(B242="CN",N(I242)&lt;=0),"중국공급가=원가+마진 ",""))</f>
        <v/>
      </c>
      <c r="Q242" s="47" t="n">
        <f aca="false">IF(SUMIFS($W:$W,$A:$A,A242,$C:$C,C242)=0,0,SUMIFS(RAW_판매펀칭!$K:$K,RAW_판매펀칭!$P:$P,A242,RAW_판매펀칭!$I:$I,C242)*W242/SUMIFS($W:$W,$A:$A,A242,$C:$C,C242))</f>
        <v>0</v>
      </c>
      <c r="R242" s="47" t="n">
        <f aca="false">IF(OR(A242="500",A242="800",A242="810"),0,MAX(W242-Q242,0))</f>
        <v>0</v>
      </c>
      <c r="S242" s="47" t="n">
        <f aca="false">R242*L242</f>
        <v>0</v>
      </c>
      <c r="T242" s="47" t="n">
        <f aca="false">R242*J242</f>
        <v>0</v>
      </c>
      <c r="U242" s="47" t="n">
        <f aca="false">R242*K242</f>
        <v>0</v>
      </c>
      <c r="V242" s="0" t="str">
        <f aca="false">IF(COUNTIFS($A$2:A242,A242,$C$2:C242,C242,$D$2:D242,D242)&gt;1,"중복","")</f>
        <v/>
      </c>
      <c r="W242" s="0" t="n">
        <f aca="false">IF(V242="중복",0,N(D242))</f>
        <v>40</v>
      </c>
      <c r="X242" s="0" t="n">
        <f aca="false">IF(COUNTIFS($A$2:A242,A242,$C$2:C242,C242)=1,ABS(SUMIFS(RAW_발주!$D:$D,RAW_발주!$C:$C,A242,RAW_발주!$A:$A,C242)-SUMIFS($W:$W,$A:$A,A242,$C:$C,C242)),0)</f>
        <v>0</v>
      </c>
    </row>
    <row r="243" customFormat="false" ht="15" hidden="false" customHeight="true" outlineLevel="0" collapsed="false">
      <c r="A243" s="45" t="s">
        <v>1659</v>
      </c>
      <c r="B243" s="42" t="str">
        <f aca="false">IF(A243="100","HK",IF(A243="200","CN",IF(A243="300","TW","홀세일")))</f>
        <v>HK</v>
      </c>
      <c r="C243" s="45" t="s">
        <v>224</v>
      </c>
      <c r="D243" s="46" t="n">
        <v>170</v>
      </c>
      <c r="E243" s="46" t="n">
        <v>109000</v>
      </c>
      <c r="F243" s="46" t="n">
        <v>25612</v>
      </c>
      <c r="G243" s="42" t="n">
        <v>3.27</v>
      </c>
      <c r="H243" s="42" t="n">
        <v>27.3</v>
      </c>
      <c r="J243" s="46" t="n">
        <f aca="false">IF(N(E243)&gt;0,E243,IF(N(F243)&gt;0,F243*요약!$F$27,0))</f>
        <v>109000</v>
      </c>
      <c r="K243" s="46" t="n">
        <f aca="false">IF(N(F243)&gt;0,F243,IF(N(E243)&gt;0,E243/요약!$F$27,0))</f>
        <v>25612</v>
      </c>
      <c r="L243" s="46" t="n">
        <f aca="false">IF(B243="CN",IF(N(I243)&gt;0,I243*요약!$G$27,K243*(1+요약!$E$27)),IF(N(H243)&gt;0,H243*요약!$G$27,J243*요약!$D$27))</f>
        <v>36036</v>
      </c>
      <c r="M243" s="46" t="n">
        <f aca="false">D243*J243</f>
        <v>18530000</v>
      </c>
      <c r="N243" s="46" t="n">
        <f aca="false">D243*K243</f>
        <v>4354040</v>
      </c>
      <c r="O243" s="46" t="n">
        <f aca="false">D243*L243</f>
        <v>6126120</v>
      </c>
      <c r="P243" s="42" t="str">
        <f aca="false">TRIM(IF(N(E243)&lt;=0,"택가보정 ","")&amp;IF(N(F243)&lt;=0,"원가보정 ","")&amp;IF(AND(B243&lt;&gt;"CN",N(H243)&lt;=0),"공급가보정 ","")&amp;IF(AND(B243="CN",N(I243)&lt;=0),"중국공급가=원가+마진 ",""))</f>
        <v/>
      </c>
      <c r="Q243" s="47" t="n">
        <f aca="false">IF(SUMIFS($W:$W,$A:$A,A243,$C:$C,C243)=0,0,SUMIFS(RAW_판매펀칭!$K:$K,RAW_판매펀칭!$P:$P,A243,RAW_판매펀칭!$I:$I,C243)*W243/SUMIFS($W:$W,$A:$A,A243,$C:$C,C243))</f>
        <v>170</v>
      </c>
      <c r="R243" s="47" t="n">
        <f aca="false">IF(OR(A243="500",A243="800",A243="810"),0,MAX(W243-Q243,0))</f>
        <v>0</v>
      </c>
      <c r="S243" s="47" t="n">
        <f aca="false">R243*L243</f>
        <v>0</v>
      </c>
      <c r="T243" s="47" t="n">
        <f aca="false">R243*J243</f>
        <v>0</v>
      </c>
      <c r="U243" s="47" t="n">
        <f aca="false">R243*K243</f>
        <v>0</v>
      </c>
      <c r="V243" s="0" t="str">
        <f aca="false">IF(COUNTIFS($A$2:A243,A243,$C$2:C243,C243,$D$2:D243,D243)&gt;1,"중복","")</f>
        <v/>
      </c>
      <c r="W243" s="0" t="n">
        <f aca="false">IF(V243="중복",0,N(D243))</f>
        <v>170</v>
      </c>
      <c r="X243" s="0" t="n">
        <f aca="false">IF(COUNTIFS($A$2:A243,A243,$C$2:C243,C243)=1,ABS(SUMIFS(RAW_발주!$D:$D,RAW_발주!$C:$C,A243,RAW_발주!$A:$A,C243)-SUMIFS($W:$W,$A:$A,A243,$C:$C,C243)),0)</f>
        <v>0</v>
      </c>
    </row>
    <row r="244" customFormat="false" ht="15.75" hidden="false" customHeight="true" outlineLevel="0" collapsed="false">
      <c r="A244" s="45" t="s">
        <v>1660</v>
      </c>
      <c r="B244" s="42" t="str">
        <f aca="false">IF(A244="100","HK",IF(A244="200","CN",IF(A244="300","TW","홀세일")))</f>
        <v>CN</v>
      </c>
      <c r="C244" s="45" t="s">
        <v>224</v>
      </c>
      <c r="D244" s="46" t="n">
        <v>106</v>
      </c>
      <c r="E244" s="46" t="n">
        <v>109000</v>
      </c>
      <c r="F244" s="46" t="n">
        <v>25612</v>
      </c>
      <c r="G244" s="42" t="n">
        <v>3.27</v>
      </c>
      <c r="H244" s="42" t="n">
        <v>27.3</v>
      </c>
      <c r="J244" s="46" t="n">
        <f aca="false">IF(N(E244)&gt;0,E244,IF(N(F244)&gt;0,F244*요약!$F$27,0))</f>
        <v>109000</v>
      </c>
      <c r="K244" s="46" t="n">
        <f aca="false">IF(N(F244)&gt;0,F244,IF(N(E244)&gt;0,E244/요약!$F$27,0))</f>
        <v>25612</v>
      </c>
      <c r="L244" s="46" t="n">
        <f aca="false">IF(B244="CN",IF(N(I244)&gt;0,I244*요약!$G$27,K244*(1+요약!$E$27)),IF(N(H244)&gt;0,H244*요약!$G$27,J244*요약!$D$27))</f>
        <v>26892.6</v>
      </c>
      <c r="M244" s="46" t="n">
        <f aca="false">D244*J244</f>
        <v>11554000</v>
      </c>
      <c r="N244" s="46" t="n">
        <f aca="false">D244*K244</f>
        <v>2714872</v>
      </c>
      <c r="O244" s="46" t="n">
        <f aca="false">D244*L244</f>
        <v>2850615.6</v>
      </c>
      <c r="P244" s="42" t="str">
        <f aca="false">TRIM(IF(N(E244)&lt;=0,"택가보정 ","")&amp;IF(N(F244)&lt;=0,"원가보정 ","")&amp;IF(AND(B244&lt;&gt;"CN",N(H244)&lt;=0),"공급가보정 ","")&amp;IF(AND(B244="CN",N(I244)&lt;=0),"중국공급가=원가+마진 ",""))</f>
        <v>중국공급가=원가+마진</v>
      </c>
      <c r="Q244" s="47" t="n">
        <f aca="false">IF(SUMIFS($W:$W,$A:$A,A244,$C:$C,C244)=0,0,SUMIFS(RAW_판매펀칭!$K:$K,RAW_판매펀칭!$P:$P,A244,RAW_판매펀칭!$I:$I,C244)*W244/SUMIFS($W:$W,$A:$A,A244,$C:$C,C244))</f>
        <v>106</v>
      </c>
      <c r="R244" s="47" t="n">
        <f aca="false">IF(OR(A244="500",A244="800",A244="810"),0,MAX(W244-Q244,0))</f>
        <v>0</v>
      </c>
      <c r="S244" s="47" t="n">
        <f aca="false">R244*L244</f>
        <v>0</v>
      </c>
      <c r="T244" s="47" t="n">
        <f aca="false">R244*J244</f>
        <v>0</v>
      </c>
      <c r="U244" s="47" t="n">
        <f aca="false">R244*K244</f>
        <v>0</v>
      </c>
      <c r="V244" s="0" t="str">
        <f aca="false">IF(COUNTIFS($A$2:A244,A244,$C$2:C244,C244,$D$2:D244,D244)&gt;1,"중복","")</f>
        <v/>
      </c>
      <c r="W244" s="0" t="n">
        <f aca="false">IF(V244="중복",0,N(D244))</f>
        <v>106</v>
      </c>
      <c r="X244" s="0" t="n">
        <f aca="false">IF(COUNTIFS($A$2:A244,A244,$C$2:C244,C244)=1,ABS(SUMIFS(RAW_발주!$D:$D,RAW_발주!$C:$C,A244,RAW_발주!$A:$A,C244)-SUMIFS($W:$W,$A:$A,A244,$C:$C,C244)),0)</f>
        <v>0</v>
      </c>
    </row>
    <row r="245" customFormat="false" ht="15" hidden="false" customHeight="true" outlineLevel="0" collapsed="false">
      <c r="A245" s="45" t="s">
        <v>1661</v>
      </c>
      <c r="B245" s="42" t="str">
        <f aca="false">IF(A245="100","HK",IF(A245="200","CN",IF(A245="300","TW","홀세일")))</f>
        <v>TW</v>
      </c>
      <c r="C245" s="45" t="s">
        <v>224</v>
      </c>
      <c r="D245" s="46" t="n">
        <v>400</v>
      </c>
      <c r="E245" s="46" t="n">
        <v>109000</v>
      </c>
      <c r="F245" s="46" t="n">
        <v>25612</v>
      </c>
      <c r="G245" s="42" t="n">
        <v>3.27</v>
      </c>
      <c r="H245" s="42" t="n">
        <v>27.3</v>
      </c>
      <c r="J245" s="46" t="n">
        <f aca="false">IF(N(E245)&gt;0,E245,IF(N(F245)&gt;0,F245*요약!$F$27,0))</f>
        <v>109000</v>
      </c>
      <c r="K245" s="46" t="n">
        <f aca="false">IF(N(F245)&gt;0,F245,IF(N(E245)&gt;0,E245/요약!$F$27,0))</f>
        <v>25612</v>
      </c>
      <c r="L245" s="46" t="n">
        <f aca="false">IF(B245="CN",IF(N(I245)&gt;0,I245*요약!$G$27,K245*(1+요약!$E$27)),IF(N(H245)&gt;0,H245*요약!$G$27,J245*요약!$D$27))</f>
        <v>36036</v>
      </c>
      <c r="M245" s="46" t="n">
        <f aca="false">D245*J245</f>
        <v>43600000</v>
      </c>
      <c r="N245" s="46" t="n">
        <f aca="false">D245*K245</f>
        <v>10244800</v>
      </c>
      <c r="O245" s="46" t="n">
        <f aca="false">D245*L245</f>
        <v>14414400</v>
      </c>
      <c r="P245" s="42" t="str">
        <f aca="false">TRIM(IF(N(E245)&lt;=0,"택가보정 ","")&amp;IF(N(F245)&lt;=0,"원가보정 ","")&amp;IF(AND(B245&lt;&gt;"CN",N(H245)&lt;=0),"공급가보정 ","")&amp;IF(AND(B245="CN",N(I245)&lt;=0),"중국공급가=원가+마진 ",""))</f>
        <v/>
      </c>
      <c r="Q245" s="47" t="n">
        <f aca="false">IF(SUMIFS($W:$W,$A:$A,A245,$C:$C,C245)=0,0,SUMIFS(RAW_판매펀칭!$K:$K,RAW_판매펀칭!$P:$P,A245,RAW_판매펀칭!$I:$I,C245)*W245/SUMIFS($W:$W,$A:$A,A245,$C:$C,C245))</f>
        <v>400</v>
      </c>
      <c r="R245" s="47" t="n">
        <f aca="false">IF(OR(A245="500",A245="800",A245="810"),0,MAX(W245-Q245,0))</f>
        <v>0</v>
      </c>
      <c r="S245" s="47" t="n">
        <f aca="false">R245*L245</f>
        <v>0</v>
      </c>
      <c r="T245" s="47" t="n">
        <f aca="false">R245*J245</f>
        <v>0</v>
      </c>
      <c r="U245" s="47" t="n">
        <f aca="false">R245*K245</f>
        <v>0</v>
      </c>
      <c r="V245" s="0" t="str">
        <f aca="false">IF(COUNTIFS($A$2:A245,A245,$C$2:C245,C245,$D$2:D245,D245)&gt;1,"중복","")</f>
        <v/>
      </c>
      <c r="W245" s="0" t="n">
        <f aca="false">IF(V245="중복",0,N(D245))</f>
        <v>400</v>
      </c>
      <c r="X245" s="0" t="n">
        <f aca="false">IF(COUNTIFS($A$2:A245,A245,$C$2:C245,C245)=1,ABS(SUMIFS(RAW_발주!$D:$D,RAW_발주!$C:$C,A245,RAW_발주!$A:$A,C245)-SUMIFS($W:$W,$A:$A,A245,$C:$C,C245)),0)</f>
        <v>0</v>
      </c>
    </row>
    <row r="246" customFormat="false" ht="15" hidden="false" customHeight="true" outlineLevel="0" collapsed="false">
      <c r="A246" s="45" t="s">
        <v>1662</v>
      </c>
      <c r="B246" s="42" t="str">
        <f aca="false">IF(A246="100","HK",IF(A246="200","CN",IF(A246="300","TW","홀세일")))</f>
        <v>홀세일</v>
      </c>
      <c r="C246" s="45" t="s">
        <v>224</v>
      </c>
      <c r="D246" s="46" t="n">
        <v>50</v>
      </c>
      <c r="E246" s="46" t="n">
        <v>109000</v>
      </c>
      <c r="F246" s="46" t="n">
        <v>25612</v>
      </c>
      <c r="G246" s="42" t="n">
        <v>3.27</v>
      </c>
      <c r="H246" s="42" t="n">
        <v>27.3</v>
      </c>
      <c r="J246" s="46" t="n">
        <f aca="false">IF(N(E246)&gt;0,E246,IF(N(F246)&gt;0,F246*요약!$F$27,0))</f>
        <v>109000</v>
      </c>
      <c r="K246" s="46" t="n">
        <f aca="false">IF(N(F246)&gt;0,F246,IF(N(E246)&gt;0,E246/요약!$F$27,0))</f>
        <v>25612</v>
      </c>
      <c r="L246" s="46" t="n">
        <f aca="false">IF(B246="CN",IF(N(I246)&gt;0,I246*요약!$G$27,K246*(1+요약!$E$27)),IF(N(H246)&gt;0,H246*요약!$G$27,J246*요약!$D$27))</f>
        <v>36036</v>
      </c>
      <c r="M246" s="46" t="n">
        <f aca="false">D246*J246</f>
        <v>5450000</v>
      </c>
      <c r="N246" s="46" t="n">
        <f aca="false">D246*K246</f>
        <v>1280600</v>
      </c>
      <c r="O246" s="46" t="n">
        <f aca="false">D246*L246</f>
        <v>1801800</v>
      </c>
      <c r="P246" s="42" t="str">
        <f aca="false">TRIM(IF(N(E246)&lt;=0,"택가보정 ","")&amp;IF(N(F246)&lt;=0,"원가보정 ","")&amp;IF(AND(B246&lt;&gt;"CN",N(H246)&lt;=0),"공급가보정 ","")&amp;IF(AND(B246="CN",N(I246)&lt;=0),"중국공급가=원가+마진 ",""))</f>
        <v/>
      </c>
      <c r="Q246" s="47" t="n">
        <f aca="false">IF(SUMIFS($W:$W,$A:$A,A246,$C:$C,C246)=0,0,SUMIFS(RAW_판매펀칭!$K:$K,RAW_판매펀칭!$P:$P,A246,RAW_판매펀칭!$I:$I,C246)*W246/SUMIFS($W:$W,$A:$A,A246,$C:$C,C246))</f>
        <v>50</v>
      </c>
      <c r="R246" s="47" t="n">
        <f aca="false">IF(OR(A246="500",A246="800",A246="810"),0,MAX(W246-Q246,0))</f>
        <v>0</v>
      </c>
      <c r="S246" s="47" t="n">
        <f aca="false">R246*L246</f>
        <v>0</v>
      </c>
      <c r="T246" s="47" t="n">
        <f aca="false">R246*J246</f>
        <v>0</v>
      </c>
      <c r="U246" s="47" t="n">
        <f aca="false">R246*K246</f>
        <v>0</v>
      </c>
      <c r="V246" s="0" t="str">
        <f aca="false">IF(COUNTIFS($A$2:A246,A246,$C$2:C246,C246,$D$2:D246,D246)&gt;1,"중복","")</f>
        <v/>
      </c>
      <c r="W246" s="0" t="n">
        <f aca="false">IF(V246="중복",0,N(D246))</f>
        <v>50</v>
      </c>
      <c r="X246" s="0" t="n">
        <f aca="false">IF(COUNTIFS($A$2:A246,A246,$C$2:C246,C246)=1,ABS(SUMIFS(RAW_발주!$D:$D,RAW_발주!$C:$C,A246,RAW_발주!$A:$A,C246)-SUMIFS($W:$W,$A:$A,A246,$C:$C,C246)),0)</f>
        <v>0</v>
      </c>
    </row>
    <row r="247" customFormat="false" ht="15" hidden="false" customHeight="true" outlineLevel="0" collapsed="false">
      <c r="A247" s="45" t="s">
        <v>1659</v>
      </c>
      <c r="B247" s="42" t="str">
        <f aca="false">IF(A247="100","HK",IF(A247="200","CN",IF(A247="300","TW","홀세일")))</f>
        <v>HK</v>
      </c>
      <c r="C247" s="45" t="s">
        <v>806</v>
      </c>
      <c r="D247" s="46" t="n">
        <v>400</v>
      </c>
      <c r="E247" s="46" t="n">
        <v>159000</v>
      </c>
      <c r="F247" s="46" t="n">
        <v>31531</v>
      </c>
      <c r="G247" s="42" t="n">
        <v>4.07</v>
      </c>
      <c r="H247" s="42" t="n">
        <v>39.8</v>
      </c>
      <c r="J247" s="46" t="n">
        <f aca="false">IF(N(E247)&gt;0,E247,IF(N(F247)&gt;0,F247*요약!$F$27,0))</f>
        <v>159000</v>
      </c>
      <c r="K247" s="46" t="n">
        <f aca="false">IF(N(F247)&gt;0,F247,IF(N(E247)&gt;0,E247/요약!$F$27,0))</f>
        <v>31531</v>
      </c>
      <c r="L247" s="46" t="n">
        <f aca="false">IF(B247="CN",IF(N(I247)&gt;0,I247*요약!$G$27,K247*(1+요약!$E$27)),IF(N(H247)&gt;0,H247*요약!$G$27,J247*요약!$D$27))</f>
        <v>52536</v>
      </c>
      <c r="M247" s="46" t="n">
        <f aca="false">D247*J247</f>
        <v>63600000</v>
      </c>
      <c r="N247" s="46" t="n">
        <f aca="false">D247*K247</f>
        <v>12612400</v>
      </c>
      <c r="O247" s="46" t="n">
        <f aca="false">D247*L247</f>
        <v>21014400</v>
      </c>
      <c r="P247" s="42" t="str">
        <f aca="false">TRIM(IF(N(E247)&lt;=0,"택가보정 ","")&amp;IF(N(F247)&lt;=0,"원가보정 ","")&amp;IF(AND(B247&lt;&gt;"CN",N(H247)&lt;=0),"공급가보정 ","")&amp;IF(AND(B247="CN",N(I247)&lt;=0),"중국공급가=원가+마진 ",""))</f>
        <v/>
      </c>
      <c r="Q247" s="47" t="n">
        <f aca="false">IF(SUMIFS($W:$W,$A:$A,A247,$C:$C,C247)=0,0,SUMIFS(RAW_판매펀칭!$K:$K,RAW_판매펀칭!$P:$P,A247,RAW_판매펀칭!$I:$I,C247)*W247/SUMIFS($W:$W,$A:$A,A247,$C:$C,C247))</f>
        <v>400</v>
      </c>
      <c r="R247" s="47" t="n">
        <f aca="false">IF(OR(A247="500",A247="800",A247="810"),0,MAX(W247-Q247,0))</f>
        <v>0</v>
      </c>
      <c r="S247" s="47" t="n">
        <f aca="false">R247*L247</f>
        <v>0</v>
      </c>
      <c r="T247" s="47" t="n">
        <f aca="false">R247*J247</f>
        <v>0</v>
      </c>
      <c r="U247" s="47" t="n">
        <f aca="false">R247*K247</f>
        <v>0</v>
      </c>
      <c r="V247" s="0" t="str">
        <f aca="false">IF(COUNTIFS($A$2:A247,A247,$C$2:C247,C247,$D$2:D247,D247)&gt;1,"중복","")</f>
        <v/>
      </c>
      <c r="W247" s="0" t="n">
        <f aca="false">IF(V247="중복",0,N(D247))</f>
        <v>400</v>
      </c>
      <c r="X247" s="0" t="n">
        <f aca="false">IF(COUNTIFS($A$2:A247,A247,$C$2:C247,C247)=1,ABS(SUMIFS(RAW_발주!$D:$D,RAW_발주!$C:$C,A247,RAW_발주!$A:$A,C247)-SUMIFS($W:$W,$A:$A,A247,$C:$C,C247)),0)</f>
        <v>0</v>
      </c>
    </row>
    <row r="248" customFormat="false" ht="15.75" hidden="false" customHeight="true" outlineLevel="0" collapsed="false">
      <c r="A248" s="45" t="s">
        <v>1660</v>
      </c>
      <c r="B248" s="42" t="str">
        <f aca="false">IF(A248="100","HK",IF(A248="200","CN",IF(A248="300","TW","홀세일")))</f>
        <v>CN</v>
      </c>
      <c r="C248" s="45" t="s">
        <v>806</v>
      </c>
      <c r="D248" s="46" t="n">
        <v>768</v>
      </c>
      <c r="E248" s="46" t="n">
        <v>159000</v>
      </c>
      <c r="F248" s="46" t="n">
        <v>31531</v>
      </c>
      <c r="G248" s="42" t="n">
        <v>4.07</v>
      </c>
      <c r="H248" s="42" t="n">
        <v>39.8</v>
      </c>
      <c r="J248" s="46" t="n">
        <f aca="false">IF(N(E248)&gt;0,E248,IF(N(F248)&gt;0,F248*요약!$F$27,0))</f>
        <v>159000</v>
      </c>
      <c r="K248" s="46" t="n">
        <f aca="false">IF(N(F248)&gt;0,F248,IF(N(E248)&gt;0,E248/요약!$F$27,0))</f>
        <v>31531</v>
      </c>
      <c r="L248" s="46" t="n">
        <f aca="false">IF(B248="CN",IF(N(I248)&gt;0,I248*요약!$G$27,K248*(1+요약!$E$27)),IF(N(H248)&gt;0,H248*요약!$G$27,J248*요약!$D$27))</f>
        <v>33107.55</v>
      </c>
      <c r="M248" s="46" t="n">
        <f aca="false">D248*J248</f>
        <v>122112000</v>
      </c>
      <c r="N248" s="46" t="n">
        <f aca="false">D248*K248</f>
        <v>24215808</v>
      </c>
      <c r="O248" s="46" t="n">
        <f aca="false">D248*L248</f>
        <v>25426598.4</v>
      </c>
      <c r="P248" s="42" t="str">
        <f aca="false">TRIM(IF(N(E248)&lt;=0,"택가보정 ","")&amp;IF(N(F248)&lt;=0,"원가보정 ","")&amp;IF(AND(B248&lt;&gt;"CN",N(H248)&lt;=0),"공급가보정 ","")&amp;IF(AND(B248="CN",N(I248)&lt;=0),"중국공급가=원가+마진 ",""))</f>
        <v>중국공급가=원가+마진</v>
      </c>
      <c r="Q248" s="47" t="n">
        <f aca="false">IF(SUMIFS($W:$W,$A:$A,A248,$C:$C,C248)=0,0,SUMIFS(RAW_판매펀칭!$K:$K,RAW_판매펀칭!$P:$P,A248,RAW_판매펀칭!$I:$I,C248)*W248/SUMIFS($W:$W,$A:$A,A248,$C:$C,C248))</f>
        <v>765</v>
      </c>
      <c r="R248" s="47" t="n">
        <f aca="false">IF(OR(A248="500",A248="800",A248="810"),0,MAX(W248-Q248,0))</f>
        <v>3</v>
      </c>
      <c r="S248" s="47" t="n">
        <f aca="false">R248*L248</f>
        <v>99322.65</v>
      </c>
      <c r="T248" s="47" t="n">
        <f aca="false">R248*J248</f>
        <v>477000</v>
      </c>
      <c r="U248" s="47" t="n">
        <f aca="false">R248*K248</f>
        <v>94593</v>
      </c>
      <c r="V248" s="0" t="str">
        <f aca="false">IF(COUNTIFS($A$2:A248,A248,$C$2:C248,C248,$D$2:D248,D248)&gt;1,"중복","")</f>
        <v/>
      </c>
      <c r="W248" s="0" t="n">
        <f aca="false">IF(V248="중복",0,N(D248))</f>
        <v>768</v>
      </c>
      <c r="X248" s="0" t="n">
        <f aca="false">IF(COUNTIFS($A$2:A248,A248,$C$2:C248,C248)=1,ABS(SUMIFS(RAW_발주!$D:$D,RAW_발주!$C:$C,A248,RAW_발주!$A:$A,C248)-SUMIFS($W:$W,$A:$A,A248,$C:$C,C248)),0)</f>
        <v>0</v>
      </c>
    </row>
    <row r="249" customFormat="false" ht="15" hidden="false" customHeight="true" outlineLevel="0" collapsed="false">
      <c r="A249" s="45" t="s">
        <v>1662</v>
      </c>
      <c r="B249" s="42" t="str">
        <f aca="false">IF(A249="100","HK",IF(A249="200","CN",IF(A249="300","TW","홀세일")))</f>
        <v>홀세일</v>
      </c>
      <c r="C249" s="45" t="s">
        <v>806</v>
      </c>
      <c r="D249" s="46" t="n">
        <v>40</v>
      </c>
      <c r="E249" s="46" t="n">
        <v>159000</v>
      </c>
      <c r="F249" s="46" t="n">
        <v>31531</v>
      </c>
      <c r="G249" s="42" t="n">
        <v>4.07</v>
      </c>
      <c r="H249" s="42" t="n">
        <v>39.8</v>
      </c>
      <c r="J249" s="46" t="n">
        <f aca="false">IF(N(E249)&gt;0,E249,IF(N(F249)&gt;0,F249*요약!$F$27,0))</f>
        <v>159000</v>
      </c>
      <c r="K249" s="46" t="n">
        <f aca="false">IF(N(F249)&gt;0,F249,IF(N(E249)&gt;0,E249/요약!$F$27,0))</f>
        <v>31531</v>
      </c>
      <c r="L249" s="46" t="n">
        <f aca="false">IF(B249="CN",IF(N(I249)&gt;0,I249*요약!$G$27,K249*(1+요약!$E$27)),IF(N(H249)&gt;0,H249*요약!$G$27,J249*요약!$D$27))</f>
        <v>52536</v>
      </c>
      <c r="M249" s="46" t="n">
        <f aca="false">D249*J249</f>
        <v>6360000</v>
      </c>
      <c r="N249" s="46" t="n">
        <f aca="false">D249*K249</f>
        <v>1261240</v>
      </c>
      <c r="O249" s="46" t="n">
        <f aca="false">D249*L249</f>
        <v>2101440</v>
      </c>
      <c r="P249" s="42" t="str">
        <f aca="false">TRIM(IF(N(E249)&lt;=0,"택가보정 ","")&amp;IF(N(F249)&lt;=0,"원가보정 ","")&amp;IF(AND(B249&lt;&gt;"CN",N(H249)&lt;=0),"공급가보정 ","")&amp;IF(AND(B249="CN",N(I249)&lt;=0),"중국공급가=원가+마진 ",""))</f>
        <v/>
      </c>
      <c r="Q249" s="47" t="n">
        <f aca="false">IF(SUMIFS($W:$W,$A:$A,A249,$C:$C,C249)=0,0,SUMIFS(RAW_판매펀칭!$K:$K,RAW_판매펀칭!$P:$P,A249,RAW_판매펀칭!$I:$I,C249)*W249/SUMIFS($W:$W,$A:$A,A249,$C:$C,C249))</f>
        <v>40</v>
      </c>
      <c r="R249" s="47" t="n">
        <f aca="false">IF(OR(A249="500",A249="800",A249="810"),0,MAX(W249-Q249,0))</f>
        <v>0</v>
      </c>
      <c r="S249" s="47" t="n">
        <f aca="false">R249*L249</f>
        <v>0</v>
      </c>
      <c r="T249" s="47" t="n">
        <f aca="false">R249*J249</f>
        <v>0</v>
      </c>
      <c r="U249" s="47" t="n">
        <f aca="false">R249*K249</f>
        <v>0</v>
      </c>
      <c r="V249" s="0" t="str">
        <f aca="false">IF(COUNTIFS($A$2:A249,A249,$C$2:C249,C249,$D$2:D249,D249)&gt;1,"중복","")</f>
        <v/>
      </c>
      <c r="W249" s="0" t="n">
        <f aca="false">IF(V249="중복",0,N(D249))</f>
        <v>40</v>
      </c>
      <c r="X249" s="0" t="n">
        <f aca="false">IF(COUNTIFS($A$2:A249,A249,$C$2:C249,C249)=1,ABS(SUMIFS(RAW_발주!$D:$D,RAW_발주!$C:$C,A249,RAW_발주!$A:$A,C249)-SUMIFS($W:$W,$A:$A,A249,$C:$C,C249)),0)</f>
        <v>0</v>
      </c>
    </row>
    <row r="250" customFormat="false" ht="15" hidden="false" customHeight="true" outlineLevel="0" collapsed="false">
      <c r="A250" s="45" t="s">
        <v>1663</v>
      </c>
      <c r="B250" s="42" t="str">
        <f aca="false">IF(A250="100","HK",IF(A250="200","CN",IF(A250="300","TW","홀세일")))</f>
        <v>홀세일</v>
      </c>
      <c r="C250" s="45" t="s">
        <v>806</v>
      </c>
      <c r="D250" s="46" t="n">
        <v>80</v>
      </c>
      <c r="E250" s="46" t="n">
        <v>159000</v>
      </c>
      <c r="F250" s="46" t="n">
        <v>31531</v>
      </c>
      <c r="G250" s="42" t="n">
        <v>4.07</v>
      </c>
      <c r="H250" s="42" t="n">
        <v>39.8</v>
      </c>
      <c r="J250" s="46" t="n">
        <f aca="false">IF(N(E250)&gt;0,E250,IF(N(F250)&gt;0,F250*요약!$F$27,0))</f>
        <v>159000</v>
      </c>
      <c r="K250" s="46" t="n">
        <f aca="false">IF(N(F250)&gt;0,F250,IF(N(E250)&gt;0,E250/요약!$F$27,0))</f>
        <v>31531</v>
      </c>
      <c r="L250" s="46" t="n">
        <f aca="false">IF(B250="CN",IF(N(I250)&gt;0,I250*요약!$G$27,K250*(1+요약!$E$27)),IF(N(H250)&gt;0,H250*요약!$G$27,J250*요약!$D$27))</f>
        <v>52536</v>
      </c>
      <c r="M250" s="46" t="n">
        <f aca="false">D250*J250</f>
        <v>12720000</v>
      </c>
      <c r="N250" s="46" t="n">
        <f aca="false">D250*K250</f>
        <v>2522480</v>
      </c>
      <c r="O250" s="46" t="n">
        <f aca="false">D250*L250</f>
        <v>4202880</v>
      </c>
      <c r="P250" s="42" t="str">
        <f aca="false">TRIM(IF(N(E250)&lt;=0,"택가보정 ","")&amp;IF(N(F250)&lt;=0,"원가보정 ","")&amp;IF(AND(B250&lt;&gt;"CN",N(H250)&lt;=0),"공급가보정 ","")&amp;IF(AND(B250="CN",N(I250)&lt;=0),"중국공급가=원가+마진 ",""))</f>
        <v/>
      </c>
      <c r="Q250" s="47" t="n">
        <f aca="false">IF(SUMIFS($W:$W,$A:$A,A250,$C:$C,C250)=0,0,SUMIFS(RAW_판매펀칭!$K:$K,RAW_판매펀칭!$P:$P,A250,RAW_판매펀칭!$I:$I,C250)*W250/SUMIFS($W:$W,$A:$A,A250,$C:$C,C250))</f>
        <v>80</v>
      </c>
      <c r="R250" s="47" t="n">
        <f aca="false">IF(OR(A250="500",A250="800",A250="810"),0,MAX(W250-Q250,0))</f>
        <v>0</v>
      </c>
      <c r="S250" s="47" t="n">
        <f aca="false">R250*L250</f>
        <v>0</v>
      </c>
      <c r="T250" s="47" t="n">
        <f aca="false">R250*J250</f>
        <v>0</v>
      </c>
      <c r="U250" s="47" t="n">
        <f aca="false">R250*K250</f>
        <v>0</v>
      </c>
      <c r="V250" s="0" t="str">
        <f aca="false">IF(COUNTIFS($A$2:A250,A250,$C$2:C250,C250,$D$2:D250,D250)&gt;1,"중복","")</f>
        <v/>
      </c>
      <c r="W250" s="0" t="n">
        <f aca="false">IF(V250="중복",0,N(D250))</f>
        <v>80</v>
      </c>
      <c r="X250" s="0" t="n">
        <f aca="false">IF(COUNTIFS($A$2:A250,A250,$C$2:C250,C250)=1,ABS(SUMIFS(RAW_발주!$D:$D,RAW_발주!$C:$C,A250,RAW_발주!$A:$A,C250)-SUMIFS($W:$W,$A:$A,A250,$C:$C,C250)),0)</f>
        <v>0</v>
      </c>
    </row>
    <row r="251" customFormat="false" ht="15" hidden="false" customHeight="true" outlineLevel="0" collapsed="false">
      <c r="A251" s="45" t="s">
        <v>1667</v>
      </c>
      <c r="B251" s="42" t="str">
        <f aca="false">IF(A251="100","HK",IF(A251="200","CN",IF(A251="300","TW","홀세일")))</f>
        <v>홀세일</v>
      </c>
      <c r="C251" s="45" t="s">
        <v>806</v>
      </c>
      <c r="D251" s="46" t="n">
        <v>97</v>
      </c>
      <c r="E251" s="46" t="n">
        <v>159000</v>
      </c>
      <c r="F251" s="46" t="n">
        <v>31531</v>
      </c>
      <c r="G251" s="42" t="n">
        <v>4.07</v>
      </c>
      <c r="H251" s="42" t="n">
        <v>39.8</v>
      </c>
      <c r="J251" s="46" t="n">
        <f aca="false">IF(N(E251)&gt;0,E251,IF(N(F251)&gt;0,F251*요약!$F$27,0))</f>
        <v>159000</v>
      </c>
      <c r="K251" s="46" t="n">
        <f aca="false">IF(N(F251)&gt;0,F251,IF(N(E251)&gt;0,E251/요약!$F$27,0))</f>
        <v>31531</v>
      </c>
      <c r="L251" s="46" t="n">
        <f aca="false">IF(B251="CN",IF(N(I251)&gt;0,I251*요약!$G$27,K251*(1+요약!$E$27)),IF(N(H251)&gt;0,H251*요약!$G$27,J251*요약!$D$27))</f>
        <v>52536</v>
      </c>
      <c r="M251" s="46" t="n">
        <f aca="false">D251*J251</f>
        <v>15423000</v>
      </c>
      <c r="N251" s="46" t="n">
        <f aca="false">D251*K251</f>
        <v>3058507</v>
      </c>
      <c r="O251" s="46" t="n">
        <f aca="false">D251*L251</f>
        <v>5095992</v>
      </c>
      <c r="P251" s="42" t="str">
        <f aca="false">TRIM(IF(N(E251)&lt;=0,"택가보정 ","")&amp;IF(N(F251)&lt;=0,"원가보정 ","")&amp;IF(AND(B251&lt;&gt;"CN",N(H251)&lt;=0),"공급가보정 ","")&amp;IF(AND(B251="CN",N(I251)&lt;=0),"중국공급가=원가+마진 ",""))</f>
        <v/>
      </c>
      <c r="Q251" s="47" t="n">
        <f aca="false">IF(SUMIFS($W:$W,$A:$A,A251,$C:$C,C251)=0,0,SUMIFS(RAW_판매펀칭!$K:$K,RAW_판매펀칭!$P:$P,A251,RAW_판매펀칭!$I:$I,C251)*W251/SUMIFS($W:$W,$A:$A,A251,$C:$C,C251))</f>
        <v>97</v>
      </c>
      <c r="R251" s="47" t="n">
        <f aca="false">IF(OR(A251="500",A251="800",A251="810"),0,MAX(W251-Q251,0))</f>
        <v>0</v>
      </c>
      <c r="S251" s="47" t="n">
        <f aca="false">R251*L251</f>
        <v>0</v>
      </c>
      <c r="T251" s="47" t="n">
        <f aca="false">R251*J251</f>
        <v>0</v>
      </c>
      <c r="U251" s="47" t="n">
        <f aca="false">R251*K251</f>
        <v>0</v>
      </c>
      <c r="V251" s="0" t="str">
        <f aca="false">IF(COUNTIFS($A$2:A251,A251,$C$2:C251,C251,$D$2:D251,D251)&gt;1,"중복","")</f>
        <v/>
      </c>
      <c r="W251" s="0" t="n">
        <f aca="false">IF(V251="중복",0,N(D251))</f>
        <v>97</v>
      </c>
      <c r="X251" s="0" t="n">
        <f aca="false">IF(COUNTIFS($A$2:A251,A251,$C$2:C251,C251)=1,ABS(SUMIFS(RAW_발주!$D:$D,RAW_발주!$C:$C,A251,RAW_발주!$A:$A,C251)-SUMIFS($W:$W,$A:$A,A251,$C:$C,C251)),0)</f>
        <v>0</v>
      </c>
    </row>
    <row r="252" customFormat="false" ht="15" hidden="false" customHeight="true" outlineLevel="0" collapsed="false">
      <c r="A252" s="45" t="s">
        <v>1659</v>
      </c>
      <c r="B252" s="42" t="str">
        <f aca="false">IF(A252="100","HK",IF(A252="200","CN",IF(A252="300","TW","홀세일")))</f>
        <v>HK</v>
      </c>
      <c r="C252" s="45" t="s">
        <v>810</v>
      </c>
      <c r="D252" s="46" t="n">
        <v>330</v>
      </c>
      <c r="E252" s="46" t="n">
        <v>139000</v>
      </c>
      <c r="F252" s="46" t="n">
        <v>27703</v>
      </c>
      <c r="G252" s="42" t="n">
        <v>4.36</v>
      </c>
      <c r="H252" s="42" t="n">
        <v>34.8</v>
      </c>
      <c r="J252" s="46" t="n">
        <f aca="false">IF(N(E252)&gt;0,E252,IF(N(F252)&gt;0,F252*요약!$F$27,0))</f>
        <v>139000</v>
      </c>
      <c r="K252" s="46" t="n">
        <f aca="false">IF(N(F252)&gt;0,F252,IF(N(E252)&gt;0,E252/요약!$F$27,0))</f>
        <v>27703</v>
      </c>
      <c r="L252" s="46" t="n">
        <f aca="false">IF(B252="CN",IF(N(I252)&gt;0,I252*요약!$G$27,K252*(1+요약!$E$27)),IF(N(H252)&gt;0,H252*요약!$G$27,J252*요약!$D$27))</f>
        <v>45936</v>
      </c>
      <c r="M252" s="46" t="n">
        <f aca="false">D252*J252</f>
        <v>45870000</v>
      </c>
      <c r="N252" s="46" t="n">
        <f aca="false">D252*K252</f>
        <v>9141990</v>
      </c>
      <c r="O252" s="46" t="n">
        <f aca="false">D252*L252</f>
        <v>15158880</v>
      </c>
      <c r="P252" s="42" t="str">
        <f aca="false">TRIM(IF(N(E252)&lt;=0,"택가보정 ","")&amp;IF(N(F252)&lt;=0,"원가보정 ","")&amp;IF(AND(B252&lt;&gt;"CN",N(H252)&lt;=0),"공급가보정 ","")&amp;IF(AND(B252="CN",N(I252)&lt;=0),"중국공급가=원가+마진 ",""))</f>
        <v/>
      </c>
      <c r="Q252" s="47" t="n">
        <f aca="false">IF(SUMIFS($W:$W,$A:$A,A252,$C:$C,C252)=0,0,SUMIFS(RAW_판매펀칭!$K:$K,RAW_판매펀칭!$P:$P,A252,RAW_판매펀칭!$I:$I,C252)*W252/SUMIFS($W:$W,$A:$A,A252,$C:$C,C252))</f>
        <v>330</v>
      </c>
      <c r="R252" s="47" t="n">
        <f aca="false">IF(OR(A252="500",A252="800",A252="810"),0,MAX(W252-Q252,0))</f>
        <v>0</v>
      </c>
      <c r="S252" s="47" t="n">
        <f aca="false">R252*L252</f>
        <v>0</v>
      </c>
      <c r="T252" s="47" t="n">
        <f aca="false">R252*J252</f>
        <v>0</v>
      </c>
      <c r="U252" s="47" t="n">
        <f aca="false">R252*K252</f>
        <v>0</v>
      </c>
      <c r="V252" s="0" t="str">
        <f aca="false">IF(COUNTIFS($A$2:A252,A252,$C$2:C252,C252,$D$2:D252,D252)&gt;1,"중복","")</f>
        <v/>
      </c>
      <c r="W252" s="0" t="n">
        <f aca="false">IF(V252="중복",0,N(D252))</f>
        <v>330</v>
      </c>
      <c r="X252" s="0" t="n">
        <f aca="false">IF(COUNTIFS($A$2:A252,A252,$C$2:C252,C252)=1,ABS(SUMIFS(RAW_발주!$D:$D,RAW_발주!$C:$C,A252,RAW_발주!$A:$A,C252)-SUMIFS($W:$W,$A:$A,A252,$C:$C,C252)),0)</f>
        <v>0</v>
      </c>
    </row>
    <row r="253" customFormat="false" ht="15" hidden="false" customHeight="true" outlineLevel="0" collapsed="false">
      <c r="A253" s="45" t="s">
        <v>1667</v>
      </c>
      <c r="B253" s="42" t="str">
        <f aca="false">IF(A253="100","HK",IF(A253="200","CN",IF(A253="300","TW","홀세일")))</f>
        <v>홀세일</v>
      </c>
      <c r="C253" s="45" t="s">
        <v>810</v>
      </c>
      <c r="D253" s="46" t="n">
        <v>112</v>
      </c>
      <c r="E253" s="46" t="n">
        <v>139000</v>
      </c>
      <c r="F253" s="46" t="n">
        <v>27703</v>
      </c>
      <c r="G253" s="42" t="n">
        <v>4.36</v>
      </c>
      <c r="H253" s="42" t="n">
        <v>34.8</v>
      </c>
      <c r="J253" s="46" t="n">
        <f aca="false">IF(N(E253)&gt;0,E253,IF(N(F253)&gt;0,F253*요약!$F$27,0))</f>
        <v>139000</v>
      </c>
      <c r="K253" s="46" t="n">
        <f aca="false">IF(N(F253)&gt;0,F253,IF(N(E253)&gt;0,E253/요약!$F$27,0))</f>
        <v>27703</v>
      </c>
      <c r="L253" s="46" t="n">
        <f aca="false">IF(B253="CN",IF(N(I253)&gt;0,I253*요약!$G$27,K253*(1+요약!$E$27)),IF(N(H253)&gt;0,H253*요약!$G$27,J253*요약!$D$27))</f>
        <v>45936</v>
      </c>
      <c r="M253" s="46" t="n">
        <f aca="false">D253*J253</f>
        <v>15568000</v>
      </c>
      <c r="N253" s="46" t="n">
        <f aca="false">D253*K253</f>
        <v>3102736</v>
      </c>
      <c r="O253" s="46" t="n">
        <f aca="false">D253*L253</f>
        <v>5144832</v>
      </c>
      <c r="P253" s="42" t="str">
        <f aca="false">TRIM(IF(N(E253)&lt;=0,"택가보정 ","")&amp;IF(N(F253)&lt;=0,"원가보정 ","")&amp;IF(AND(B253&lt;&gt;"CN",N(H253)&lt;=0),"공급가보정 ","")&amp;IF(AND(B253="CN",N(I253)&lt;=0),"중국공급가=원가+마진 ",""))</f>
        <v/>
      </c>
      <c r="Q253" s="47" t="n">
        <f aca="false">IF(SUMIFS($W:$W,$A:$A,A253,$C:$C,C253)=0,0,SUMIFS(RAW_판매펀칭!$K:$K,RAW_판매펀칭!$P:$P,A253,RAW_판매펀칭!$I:$I,C253)*W253/SUMIFS($W:$W,$A:$A,A253,$C:$C,C253))</f>
        <v>112</v>
      </c>
      <c r="R253" s="47" t="n">
        <f aca="false">IF(OR(A253="500",A253="800",A253="810"),0,MAX(W253-Q253,0))</f>
        <v>0</v>
      </c>
      <c r="S253" s="47" t="n">
        <f aca="false">R253*L253</f>
        <v>0</v>
      </c>
      <c r="T253" s="47" t="n">
        <f aca="false">R253*J253</f>
        <v>0</v>
      </c>
      <c r="U253" s="47" t="n">
        <f aca="false">R253*K253</f>
        <v>0</v>
      </c>
      <c r="V253" s="0" t="str">
        <f aca="false">IF(COUNTIFS($A$2:A253,A253,$C$2:C253,C253,$D$2:D253,D253)&gt;1,"중복","")</f>
        <v/>
      </c>
      <c r="W253" s="0" t="n">
        <f aca="false">IF(V253="중복",0,N(D253))</f>
        <v>112</v>
      </c>
      <c r="X253" s="0" t="n">
        <f aca="false">IF(COUNTIFS($A$2:A253,A253,$C$2:C253,C253)=1,ABS(SUMIFS(RAW_발주!$D:$D,RAW_발주!$C:$C,A253,RAW_발주!$A:$A,C253)-SUMIFS($W:$W,$A:$A,A253,$C:$C,C253)),0)</f>
        <v>0</v>
      </c>
    </row>
    <row r="254" customFormat="false" ht="15" hidden="false" customHeight="true" outlineLevel="0" collapsed="false">
      <c r="A254" s="45" t="s">
        <v>1659</v>
      </c>
      <c r="B254" s="42" t="str">
        <f aca="false">IF(A254="100","HK",IF(A254="200","CN",IF(A254="300","TW","홀세일")))</f>
        <v>HK</v>
      </c>
      <c r="C254" s="45" t="s">
        <v>812</v>
      </c>
      <c r="D254" s="46" t="n">
        <v>260</v>
      </c>
      <c r="E254" s="46" t="n">
        <v>139000</v>
      </c>
      <c r="F254" s="46" t="n">
        <v>30200</v>
      </c>
      <c r="G254" s="42" t="n">
        <v>4.06</v>
      </c>
      <c r="H254" s="42" t="n">
        <v>34.8</v>
      </c>
      <c r="J254" s="46" t="n">
        <f aca="false">IF(N(E254)&gt;0,E254,IF(N(F254)&gt;0,F254*요약!$F$27,0))</f>
        <v>139000</v>
      </c>
      <c r="K254" s="46" t="n">
        <f aca="false">IF(N(F254)&gt;0,F254,IF(N(E254)&gt;0,E254/요약!$F$27,0))</f>
        <v>30200</v>
      </c>
      <c r="L254" s="46" t="n">
        <f aca="false">IF(B254="CN",IF(N(I254)&gt;0,I254*요약!$G$27,K254*(1+요약!$E$27)),IF(N(H254)&gt;0,H254*요약!$G$27,J254*요약!$D$27))</f>
        <v>45936</v>
      </c>
      <c r="M254" s="46" t="n">
        <f aca="false">D254*J254</f>
        <v>36140000</v>
      </c>
      <c r="N254" s="46" t="n">
        <f aca="false">D254*K254</f>
        <v>7852000</v>
      </c>
      <c r="O254" s="46" t="n">
        <f aca="false">D254*L254</f>
        <v>11943360</v>
      </c>
      <c r="P254" s="42" t="str">
        <f aca="false">TRIM(IF(N(E254)&lt;=0,"택가보정 ","")&amp;IF(N(F254)&lt;=0,"원가보정 ","")&amp;IF(AND(B254&lt;&gt;"CN",N(H254)&lt;=0),"공급가보정 ","")&amp;IF(AND(B254="CN",N(I254)&lt;=0),"중국공급가=원가+마진 ",""))</f>
        <v/>
      </c>
      <c r="Q254" s="47" t="n">
        <f aca="false">IF(SUMIFS($W:$W,$A:$A,A254,$C:$C,C254)=0,0,SUMIFS(RAW_판매펀칭!$K:$K,RAW_판매펀칭!$P:$P,A254,RAW_판매펀칭!$I:$I,C254)*W254/SUMIFS($W:$W,$A:$A,A254,$C:$C,C254))</f>
        <v>260</v>
      </c>
      <c r="R254" s="47" t="n">
        <f aca="false">IF(OR(A254="500",A254="800",A254="810"),0,MAX(W254-Q254,0))</f>
        <v>0</v>
      </c>
      <c r="S254" s="47" t="n">
        <f aca="false">R254*L254</f>
        <v>0</v>
      </c>
      <c r="T254" s="47" t="n">
        <f aca="false">R254*J254</f>
        <v>0</v>
      </c>
      <c r="U254" s="47" t="n">
        <f aca="false">R254*K254</f>
        <v>0</v>
      </c>
      <c r="V254" s="0" t="str">
        <f aca="false">IF(COUNTIFS($A$2:A254,A254,$C$2:C254,C254,$D$2:D254,D254)&gt;1,"중복","")</f>
        <v/>
      </c>
      <c r="W254" s="0" t="n">
        <f aca="false">IF(V254="중복",0,N(D254))</f>
        <v>260</v>
      </c>
      <c r="X254" s="0" t="n">
        <f aca="false">IF(COUNTIFS($A$2:A254,A254,$C$2:C254,C254)=1,ABS(SUMIFS(RAW_발주!$D:$D,RAW_발주!$C:$C,A254,RAW_발주!$A:$A,C254)-SUMIFS($W:$W,$A:$A,A254,$C:$C,C254)),0)</f>
        <v>0</v>
      </c>
    </row>
    <row r="255" customFormat="false" ht="15" hidden="false" customHeight="true" outlineLevel="0" collapsed="false">
      <c r="A255" s="45" t="s">
        <v>1659</v>
      </c>
      <c r="B255" s="42" t="str">
        <f aca="false">IF(A255="100","HK",IF(A255="200","CN",IF(A255="300","TW","홀세일")))</f>
        <v>HK</v>
      </c>
      <c r="C255" s="45" t="s">
        <v>808</v>
      </c>
      <c r="D255" s="46" t="n">
        <v>360</v>
      </c>
      <c r="E255" s="46" t="n">
        <v>169000</v>
      </c>
      <c r="F255" s="46" t="n">
        <v>34900</v>
      </c>
      <c r="G255" s="42" t="n">
        <v>4.28</v>
      </c>
      <c r="H255" s="42" t="n">
        <v>42.3</v>
      </c>
      <c r="J255" s="46" t="n">
        <f aca="false">IF(N(E255)&gt;0,E255,IF(N(F255)&gt;0,F255*요약!$F$27,0))</f>
        <v>169000</v>
      </c>
      <c r="K255" s="46" t="n">
        <f aca="false">IF(N(F255)&gt;0,F255,IF(N(E255)&gt;0,E255/요약!$F$27,0))</f>
        <v>34900</v>
      </c>
      <c r="L255" s="46" t="n">
        <f aca="false">IF(B255="CN",IF(N(I255)&gt;0,I255*요약!$G$27,K255*(1+요약!$E$27)),IF(N(H255)&gt;0,H255*요약!$G$27,J255*요약!$D$27))</f>
        <v>55836</v>
      </c>
      <c r="M255" s="46" t="n">
        <f aca="false">D255*J255</f>
        <v>60840000</v>
      </c>
      <c r="N255" s="46" t="n">
        <f aca="false">D255*K255</f>
        <v>12564000</v>
      </c>
      <c r="O255" s="46" t="n">
        <f aca="false">D255*L255</f>
        <v>20100960</v>
      </c>
      <c r="P255" s="42" t="str">
        <f aca="false">TRIM(IF(N(E255)&lt;=0,"택가보정 ","")&amp;IF(N(F255)&lt;=0,"원가보정 ","")&amp;IF(AND(B255&lt;&gt;"CN",N(H255)&lt;=0),"공급가보정 ","")&amp;IF(AND(B255="CN",N(I255)&lt;=0),"중국공급가=원가+마진 ",""))</f>
        <v/>
      </c>
      <c r="Q255" s="47" t="n">
        <f aca="false">IF(SUMIFS($W:$W,$A:$A,A255,$C:$C,C255)=0,0,SUMIFS(RAW_판매펀칭!$K:$K,RAW_판매펀칭!$P:$P,A255,RAW_판매펀칭!$I:$I,C255)*W255/SUMIFS($W:$W,$A:$A,A255,$C:$C,C255))</f>
        <v>360</v>
      </c>
      <c r="R255" s="47" t="n">
        <f aca="false">IF(OR(A255="500",A255="800",A255="810"),0,MAX(W255-Q255,0))</f>
        <v>0</v>
      </c>
      <c r="S255" s="47" t="n">
        <f aca="false">R255*L255</f>
        <v>0</v>
      </c>
      <c r="T255" s="47" t="n">
        <f aca="false">R255*J255</f>
        <v>0</v>
      </c>
      <c r="U255" s="47" t="n">
        <f aca="false">R255*K255</f>
        <v>0</v>
      </c>
      <c r="V255" s="0" t="str">
        <f aca="false">IF(COUNTIFS($A$2:A255,A255,$C$2:C255,C255,$D$2:D255,D255)&gt;1,"중복","")</f>
        <v/>
      </c>
      <c r="W255" s="0" t="n">
        <f aca="false">IF(V255="중복",0,N(D255))</f>
        <v>360</v>
      </c>
      <c r="X255" s="0" t="n">
        <f aca="false">IF(COUNTIFS($A$2:A255,A255,$C$2:C255,C255)=1,ABS(SUMIFS(RAW_발주!$D:$D,RAW_발주!$C:$C,A255,RAW_발주!$A:$A,C255)-SUMIFS($W:$W,$A:$A,A255,$C:$C,C255)),0)</f>
        <v>0</v>
      </c>
    </row>
    <row r="256" customFormat="false" ht="15" hidden="false" customHeight="true" outlineLevel="0" collapsed="false">
      <c r="A256" s="45" t="s">
        <v>1667</v>
      </c>
      <c r="B256" s="42" t="str">
        <f aca="false">IF(A256="100","HK",IF(A256="200","CN",IF(A256="300","TW","홀세일")))</f>
        <v>홀세일</v>
      </c>
      <c r="C256" s="45" t="s">
        <v>808</v>
      </c>
      <c r="D256" s="46" t="n">
        <v>41</v>
      </c>
      <c r="E256" s="46" t="n">
        <v>169000</v>
      </c>
      <c r="F256" s="46" t="n">
        <v>34900</v>
      </c>
      <c r="G256" s="42" t="n">
        <v>4.28</v>
      </c>
      <c r="H256" s="42" t="n">
        <v>42.3</v>
      </c>
      <c r="J256" s="46" t="n">
        <f aca="false">IF(N(E256)&gt;0,E256,IF(N(F256)&gt;0,F256*요약!$F$27,0))</f>
        <v>169000</v>
      </c>
      <c r="K256" s="46" t="n">
        <f aca="false">IF(N(F256)&gt;0,F256,IF(N(E256)&gt;0,E256/요약!$F$27,0))</f>
        <v>34900</v>
      </c>
      <c r="L256" s="46" t="n">
        <f aca="false">IF(B256="CN",IF(N(I256)&gt;0,I256*요약!$G$27,K256*(1+요약!$E$27)),IF(N(H256)&gt;0,H256*요약!$G$27,J256*요약!$D$27))</f>
        <v>55836</v>
      </c>
      <c r="M256" s="46" t="n">
        <f aca="false">D256*J256</f>
        <v>6929000</v>
      </c>
      <c r="N256" s="46" t="n">
        <f aca="false">D256*K256</f>
        <v>1430900</v>
      </c>
      <c r="O256" s="46" t="n">
        <f aca="false">D256*L256</f>
        <v>2289276</v>
      </c>
      <c r="P256" s="42" t="str">
        <f aca="false">TRIM(IF(N(E256)&lt;=0,"택가보정 ","")&amp;IF(N(F256)&lt;=0,"원가보정 ","")&amp;IF(AND(B256&lt;&gt;"CN",N(H256)&lt;=0),"공급가보정 ","")&amp;IF(AND(B256="CN",N(I256)&lt;=0),"중국공급가=원가+마진 ",""))</f>
        <v/>
      </c>
      <c r="Q256" s="47" t="n">
        <f aca="false">IF(SUMIFS($W:$W,$A:$A,A256,$C:$C,C256)=0,0,SUMIFS(RAW_판매펀칭!$K:$K,RAW_판매펀칭!$P:$P,A256,RAW_판매펀칭!$I:$I,C256)*W256/SUMIFS($W:$W,$A:$A,A256,$C:$C,C256))</f>
        <v>41</v>
      </c>
      <c r="R256" s="47" t="n">
        <f aca="false">IF(OR(A256="500",A256="800",A256="810"),0,MAX(W256-Q256,0))</f>
        <v>0</v>
      </c>
      <c r="S256" s="47" t="n">
        <f aca="false">R256*L256</f>
        <v>0</v>
      </c>
      <c r="T256" s="47" t="n">
        <f aca="false">R256*J256</f>
        <v>0</v>
      </c>
      <c r="U256" s="47" t="n">
        <f aca="false">R256*K256</f>
        <v>0</v>
      </c>
      <c r="V256" s="0" t="str">
        <f aca="false">IF(COUNTIFS($A$2:A256,A256,$C$2:C256,C256,$D$2:D256,D256)&gt;1,"중복","")</f>
        <v/>
      </c>
      <c r="W256" s="0" t="n">
        <f aca="false">IF(V256="중복",0,N(D256))</f>
        <v>41</v>
      </c>
      <c r="X256" s="0" t="n">
        <f aca="false">IF(COUNTIFS($A$2:A256,A256,$C$2:C256,C256)=1,ABS(SUMIFS(RAW_발주!$D:$D,RAW_발주!$C:$C,A256,RAW_발주!$A:$A,C256)-SUMIFS($W:$W,$A:$A,A256,$C:$C,C256)),0)</f>
        <v>0</v>
      </c>
    </row>
    <row r="257" customFormat="false" ht="15.75" hidden="false" customHeight="true" outlineLevel="0" collapsed="false">
      <c r="A257" s="45" t="s">
        <v>1660</v>
      </c>
      <c r="B257" s="42" t="str">
        <f aca="false">IF(A257="100","HK",IF(A257="200","CN",IF(A257="300","TW","홀세일")))</f>
        <v>CN</v>
      </c>
      <c r="C257" s="45" t="s">
        <v>1041</v>
      </c>
      <c r="D257" s="46" t="n">
        <v>112</v>
      </c>
      <c r="E257" s="46" t="n">
        <v>219000</v>
      </c>
      <c r="F257" s="46" t="n">
        <v>43226</v>
      </c>
      <c r="G257" s="42" t="n">
        <v>4</v>
      </c>
      <c r="H257" s="42" t="n">
        <v>58.2</v>
      </c>
      <c r="J257" s="46" t="n">
        <f aca="false">IF(N(E257)&gt;0,E257,IF(N(F257)&gt;0,F257*요약!$F$27,0))</f>
        <v>219000</v>
      </c>
      <c r="K257" s="46" t="n">
        <f aca="false">IF(N(F257)&gt;0,F257,IF(N(E257)&gt;0,E257/요약!$F$27,0))</f>
        <v>43226</v>
      </c>
      <c r="L257" s="46" t="n">
        <f aca="false">IF(B257="CN",IF(N(I257)&gt;0,I257*요약!$G$27,K257*(1+요약!$E$27)),IF(N(H257)&gt;0,H257*요약!$G$27,J257*요약!$D$27))</f>
        <v>45387.3</v>
      </c>
      <c r="M257" s="46" t="n">
        <f aca="false">D257*J257</f>
        <v>24528000</v>
      </c>
      <c r="N257" s="46" t="n">
        <f aca="false">D257*K257</f>
        <v>4841312</v>
      </c>
      <c r="O257" s="46" t="n">
        <f aca="false">D257*L257</f>
        <v>5083377.6</v>
      </c>
      <c r="P257" s="42" t="str">
        <f aca="false">TRIM(IF(N(E257)&lt;=0,"택가보정 ","")&amp;IF(N(F257)&lt;=0,"원가보정 ","")&amp;IF(AND(B257&lt;&gt;"CN",N(H257)&lt;=0),"공급가보정 ","")&amp;IF(AND(B257="CN",N(I257)&lt;=0),"중국공급가=원가+마진 ",""))</f>
        <v>중국공급가=원가+마진</v>
      </c>
      <c r="Q257" s="47" t="n">
        <f aca="false">IF(SUMIFS($W:$W,$A:$A,A257,$C:$C,C257)=0,0,SUMIFS(RAW_판매펀칭!$K:$K,RAW_판매펀칭!$P:$P,A257,RAW_판매펀칭!$I:$I,C257)*W257/SUMIFS($W:$W,$A:$A,A257,$C:$C,C257))</f>
        <v>110</v>
      </c>
      <c r="R257" s="47" t="n">
        <f aca="false">IF(OR(A257="500",A257="800",A257="810"),0,MAX(W257-Q257,0))</f>
        <v>2</v>
      </c>
      <c r="S257" s="47" t="n">
        <f aca="false">R257*L257</f>
        <v>90774.6</v>
      </c>
      <c r="T257" s="47" t="n">
        <f aca="false">R257*J257</f>
        <v>438000</v>
      </c>
      <c r="U257" s="47" t="n">
        <f aca="false">R257*K257</f>
        <v>86452</v>
      </c>
      <c r="V257" s="0" t="str">
        <f aca="false">IF(COUNTIFS($A$2:A257,A257,$C$2:C257,C257,$D$2:D257,D257)&gt;1,"중복","")</f>
        <v/>
      </c>
      <c r="W257" s="0" t="n">
        <f aca="false">IF(V257="중복",0,N(D257))</f>
        <v>112</v>
      </c>
      <c r="X257" s="0" t="n">
        <f aca="false">IF(COUNTIFS($A$2:A257,A257,$C$2:C257,C257)=1,ABS(SUMIFS(RAW_발주!$D:$D,RAW_발주!$C:$C,A257,RAW_발주!$A:$A,C257)-SUMIFS($W:$W,$A:$A,A257,$C:$C,C257)),0)</f>
        <v>0</v>
      </c>
    </row>
    <row r="258" customFormat="false" ht="15" hidden="false" customHeight="true" outlineLevel="0" collapsed="false">
      <c r="A258" s="45" t="s">
        <v>1663</v>
      </c>
      <c r="B258" s="42" t="str">
        <f aca="false">IF(A258="100","HK",IF(A258="200","CN",IF(A258="300","TW","홀세일")))</f>
        <v>홀세일</v>
      </c>
      <c r="C258" s="45" t="s">
        <v>1041</v>
      </c>
      <c r="D258" s="46" t="n">
        <v>15</v>
      </c>
      <c r="E258" s="46" t="n">
        <v>219000</v>
      </c>
      <c r="F258" s="46" t="n">
        <v>43226</v>
      </c>
      <c r="G258" s="42" t="n">
        <v>4</v>
      </c>
      <c r="H258" s="42" t="n">
        <v>58.2</v>
      </c>
      <c r="J258" s="46" t="n">
        <f aca="false">IF(N(E258)&gt;0,E258,IF(N(F258)&gt;0,F258*요약!$F$27,0))</f>
        <v>219000</v>
      </c>
      <c r="K258" s="46" t="n">
        <f aca="false">IF(N(F258)&gt;0,F258,IF(N(E258)&gt;0,E258/요약!$F$27,0))</f>
        <v>43226</v>
      </c>
      <c r="L258" s="46" t="n">
        <f aca="false">IF(B258="CN",IF(N(I258)&gt;0,I258*요약!$G$27,K258*(1+요약!$E$27)),IF(N(H258)&gt;0,H258*요약!$G$27,J258*요약!$D$27))</f>
        <v>76824</v>
      </c>
      <c r="M258" s="46" t="n">
        <f aca="false">D258*J258</f>
        <v>3285000</v>
      </c>
      <c r="N258" s="46" t="n">
        <f aca="false">D258*K258</f>
        <v>648390</v>
      </c>
      <c r="O258" s="46" t="n">
        <f aca="false">D258*L258</f>
        <v>1152360</v>
      </c>
      <c r="P258" s="42" t="str">
        <f aca="false">TRIM(IF(N(E258)&lt;=0,"택가보정 ","")&amp;IF(N(F258)&lt;=0,"원가보정 ","")&amp;IF(AND(B258&lt;&gt;"CN",N(H258)&lt;=0),"공급가보정 ","")&amp;IF(AND(B258="CN",N(I258)&lt;=0),"중국공급가=원가+마진 ",""))</f>
        <v/>
      </c>
      <c r="Q258" s="47" t="n">
        <f aca="false">IF(SUMIFS($W:$W,$A:$A,A258,$C:$C,C258)=0,0,SUMIFS(RAW_판매펀칭!$K:$K,RAW_판매펀칭!$P:$P,A258,RAW_판매펀칭!$I:$I,C258)*W258/SUMIFS($W:$W,$A:$A,A258,$C:$C,C258))</f>
        <v>15</v>
      </c>
      <c r="R258" s="47" t="n">
        <f aca="false">IF(OR(A258="500",A258="800",A258="810"),0,MAX(W258-Q258,0))</f>
        <v>0</v>
      </c>
      <c r="S258" s="47" t="n">
        <f aca="false">R258*L258</f>
        <v>0</v>
      </c>
      <c r="T258" s="47" t="n">
        <f aca="false">R258*J258</f>
        <v>0</v>
      </c>
      <c r="U258" s="47" t="n">
        <f aca="false">R258*K258</f>
        <v>0</v>
      </c>
      <c r="V258" s="0" t="str">
        <f aca="false">IF(COUNTIFS($A$2:A258,A258,$C$2:C258,C258,$D$2:D258,D258)&gt;1,"중복","")</f>
        <v/>
      </c>
      <c r="W258" s="0" t="n">
        <f aca="false">IF(V258="중복",0,N(D258))</f>
        <v>15</v>
      </c>
      <c r="X258" s="0" t="n">
        <f aca="false">IF(COUNTIFS($A$2:A258,A258,$C$2:C258,C258)=1,ABS(SUMIFS(RAW_발주!$D:$D,RAW_발주!$C:$C,A258,RAW_발주!$A:$A,C258)-SUMIFS($W:$W,$A:$A,A258,$C:$C,C258)),0)</f>
        <v>0</v>
      </c>
    </row>
    <row r="259" customFormat="false" ht="15" hidden="false" customHeight="true" outlineLevel="0" collapsed="false">
      <c r="A259" s="45" t="s">
        <v>1667</v>
      </c>
      <c r="B259" s="42" t="str">
        <f aca="false">IF(A259="100","HK",IF(A259="200","CN",IF(A259="300","TW","홀세일")))</f>
        <v>홀세일</v>
      </c>
      <c r="C259" s="45" t="s">
        <v>1041</v>
      </c>
      <c r="D259" s="46" t="n">
        <v>41</v>
      </c>
      <c r="E259" s="46" t="n">
        <v>219000</v>
      </c>
      <c r="F259" s="46" t="n">
        <v>43226</v>
      </c>
      <c r="G259" s="42" t="n">
        <v>4</v>
      </c>
      <c r="H259" s="42" t="n">
        <v>58.2</v>
      </c>
      <c r="J259" s="46" t="n">
        <f aca="false">IF(N(E259)&gt;0,E259,IF(N(F259)&gt;0,F259*요약!$F$27,0))</f>
        <v>219000</v>
      </c>
      <c r="K259" s="46" t="n">
        <f aca="false">IF(N(F259)&gt;0,F259,IF(N(E259)&gt;0,E259/요약!$F$27,0))</f>
        <v>43226</v>
      </c>
      <c r="L259" s="46" t="n">
        <f aca="false">IF(B259="CN",IF(N(I259)&gt;0,I259*요약!$G$27,K259*(1+요약!$E$27)),IF(N(H259)&gt;0,H259*요약!$G$27,J259*요약!$D$27))</f>
        <v>76824</v>
      </c>
      <c r="M259" s="46" t="n">
        <f aca="false">D259*J259</f>
        <v>8979000</v>
      </c>
      <c r="N259" s="46" t="n">
        <f aca="false">D259*K259</f>
        <v>1772266</v>
      </c>
      <c r="O259" s="46" t="n">
        <f aca="false">D259*L259</f>
        <v>3149784</v>
      </c>
      <c r="P259" s="42" t="str">
        <f aca="false">TRIM(IF(N(E259)&lt;=0,"택가보정 ","")&amp;IF(N(F259)&lt;=0,"원가보정 ","")&amp;IF(AND(B259&lt;&gt;"CN",N(H259)&lt;=0),"공급가보정 ","")&amp;IF(AND(B259="CN",N(I259)&lt;=0),"중국공급가=원가+마진 ",""))</f>
        <v/>
      </c>
      <c r="Q259" s="47" t="n">
        <f aca="false">IF(SUMIFS($W:$W,$A:$A,A259,$C:$C,C259)=0,0,SUMIFS(RAW_판매펀칭!$K:$K,RAW_판매펀칭!$P:$P,A259,RAW_판매펀칭!$I:$I,C259)*W259/SUMIFS($W:$W,$A:$A,A259,$C:$C,C259))</f>
        <v>41</v>
      </c>
      <c r="R259" s="47" t="n">
        <f aca="false">IF(OR(A259="500",A259="800",A259="810"),0,MAX(W259-Q259,0))</f>
        <v>0</v>
      </c>
      <c r="S259" s="47" t="n">
        <f aca="false">R259*L259</f>
        <v>0</v>
      </c>
      <c r="T259" s="47" t="n">
        <f aca="false">R259*J259</f>
        <v>0</v>
      </c>
      <c r="U259" s="47" t="n">
        <f aca="false">R259*K259</f>
        <v>0</v>
      </c>
      <c r="V259" s="0" t="str">
        <f aca="false">IF(COUNTIFS($A$2:A259,A259,$C$2:C259,C259,$D$2:D259,D259)&gt;1,"중복","")</f>
        <v/>
      </c>
      <c r="W259" s="0" t="n">
        <f aca="false">IF(V259="중복",0,N(D259))</f>
        <v>41</v>
      </c>
      <c r="X259" s="0" t="n">
        <f aca="false">IF(COUNTIFS($A$2:A259,A259,$C$2:C259,C259)=1,ABS(SUMIFS(RAW_발주!$D:$D,RAW_발주!$C:$C,A259,RAW_발주!$A:$A,C259)-SUMIFS($W:$W,$A:$A,A259,$C:$C,C259)),0)</f>
        <v>0</v>
      </c>
    </row>
    <row r="260" customFormat="false" ht="15" hidden="false" customHeight="true" outlineLevel="0" collapsed="false">
      <c r="A260" s="45" t="s">
        <v>1665</v>
      </c>
      <c r="B260" s="42" t="str">
        <f aca="false">IF(A260="100","HK",IF(A260="200","CN",IF(A260="300","TW","홀세일")))</f>
        <v>홀세일</v>
      </c>
      <c r="C260" s="45" t="s">
        <v>1041</v>
      </c>
      <c r="D260" s="46" t="n">
        <v>216</v>
      </c>
      <c r="E260" s="46" t="n">
        <v>219000</v>
      </c>
      <c r="F260" s="46" t="n">
        <v>43226</v>
      </c>
      <c r="G260" s="42" t="n">
        <v>4</v>
      </c>
      <c r="H260" s="42" t="n">
        <v>58.2</v>
      </c>
      <c r="J260" s="46" t="n">
        <f aca="false">IF(N(E260)&gt;0,E260,IF(N(F260)&gt;0,F260*요약!$F$27,0))</f>
        <v>219000</v>
      </c>
      <c r="K260" s="46" t="n">
        <f aca="false">IF(N(F260)&gt;0,F260,IF(N(E260)&gt;0,E260/요약!$F$27,0))</f>
        <v>43226</v>
      </c>
      <c r="L260" s="46" t="n">
        <f aca="false">IF(B260="CN",IF(N(I260)&gt;0,I260*요약!$G$27,K260*(1+요약!$E$27)),IF(N(H260)&gt;0,H260*요약!$G$27,J260*요약!$D$27))</f>
        <v>76824</v>
      </c>
      <c r="M260" s="46" t="n">
        <f aca="false">D260*J260</f>
        <v>47304000</v>
      </c>
      <c r="N260" s="46" t="n">
        <f aca="false">D260*K260</f>
        <v>9336816</v>
      </c>
      <c r="O260" s="46" t="n">
        <f aca="false">D260*L260</f>
        <v>16593984</v>
      </c>
      <c r="P260" s="42" t="str">
        <f aca="false">TRIM(IF(N(E260)&lt;=0,"택가보정 ","")&amp;IF(N(F260)&lt;=0,"원가보정 ","")&amp;IF(AND(B260&lt;&gt;"CN",N(H260)&lt;=0),"공급가보정 ","")&amp;IF(AND(B260="CN",N(I260)&lt;=0),"중국공급가=원가+마진 ",""))</f>
        <v/>
      </c>
      <c r="Q260" s="47" t="n">
        <f aca="false">IF(SUMIFS($W:$W,$A:$A,A260,$C:$C,C260)=0,0,SUMIFS(RAW_판매펀칭!$K:$K,RAW_판매펀칭!$P:$P,A260,RAW_판매펀칭!$I:$I,C260)*W260/SUMIFS($W:$W,$A:$A,A260,$C:$C,C260))</f>
        <v>216</v>
      </c>
      <c r="R260" s="47" t="n">
        <f aca="false">IF(OR(A260="500",A260="800",A260="810"),0,MAX(W260-Q260,0))</f>
        <v>0</v>
      </c>
      <c r="S260" s="47" t="n">
        <f aca="false">R260*L260</f>
        <v>0</v>
      </c>
      <c r="T260" s="47" t="n">
        <f aca="false">R260*J260</f>
        <v>0</v>
      </c>
      <c r="U260" s="47" t="n">
        <f aca="false">R260*K260</f>
        <v>0</v>
      </c>
      <c r="V260" s="0" t="str">
        <f aca="false">IF(COUNTIFS($A$2:A260,A260,$C$2:C260,C260,$D$2:D260,D260)&gt;1,"중복","")</f>
        <v/>
      </c>
      <c r="W260" s="0" t="n">
        <f aca="false">IF(V260="중복",0,N(D260))</f>
        <v>216</v>
      </c>
      <c r="X260" s="0" t="n">
        <f aca="false">IF(COUNTIFS($A$2:A260,A260,$C$2:C260,C260)=1,ABS(SUMIFS(RAW_발주!$D:$D,RAW_발주!$C:$C,A260,RAW_발주!$A:$A,C260)-SUMIFS($W:$W,$A:$A,A260,$C:$C,C260)),0)</f>
        <v>0</v>
      </c>
    </row>
    <row r="261" customFormat="false" ht="15" hidden="false" customHeight="true" outlineLevel="0" collapsed="false">
      <c r="A261" s="45" t="s">
        <v>1659</v>
      </c>
      <c r="B261" s="42" t="str">
        <f aca="false">IF(A261="100","HK",IF(A261="200","CN",IF(A261="300","TW","홀세일")))</f>
        <v>HK</v>
      </c>
      <c r="C261" s="45" t="s">
        <v>816</v>
      </c>
      <c r="D261" s="46" t="n">
        <v>250</v>
      </c>
      <c r="E261" s="46" t="n">
        <v>129000</v>
      </c>
      <c r="F261" s="46" t="n">
        <v>31400</v>
      </c>
      <c r="G261" s="42" t="n">
        <v>4.16</v>
      </c>
      <c r="H261" s="42" t="n">
        <v>34.3</v>
      </c>
      <c r="J261" s="46" t="n">
        <f aca="false">IF(N(E261)&gt;0,E261,IF(N(F261)&gt;0,F261*요약!$F$27,0))</f>
        <v>129000</v>
      </c>
      <c r="K261" s="46" t="n">
        <f aca="false">IF(N(F261)&gt;0,F261,IF(N(E261)&gt;0,E261/요약!$F$27,0))</f>
        <v>31400</v>
      </c>
      <c r="L261" s="46" t="n">
        <f aca="false">IF(B261="CN",IF(N(I261)&gt;0,I261*요약!$G$27,K261*(1+요약!$E$27)),IF(N(H261)&gt;0,H261*요약!$G$27,J261*요약!$D$27))</f>
        <v>45276</v>
      </c>
      <c r="M261" s="46" t="n">
        <f aca="false">D261*J261</f>
        <v>32250000</v>
      </c>
      <c r="N261" s="46" t="n">
        <f aca="false">D261*K261</f>
        <v>7850000</v>
      </c>
      <c r="O261" s="46" t="n">
        <f aca="false">D261*L261</f>
        <v>11319000</v>
      </c>
      <c r="P261" s="42" t="str">
        <f aca="false">TRIM(IF(N(E261)&lt;=0,"택가보정 ","")&amp;IF(N(F261)&lt;=0,"원가보정 ","")&amp;IF(AND(B261&lt;&gt;"CN",N(H261)&lt;=0),"공급가보정 ","")&amp;IF(AND(B261="CN",N(I261)&lt;=0),"중국공급가=원가+마진 ",""))</f>
        <v/>
      </c>
      <c r="Q261" s="47" t="n">
        <f aca="false">IF(SUMIFS($W:$W,$A:$A,A261,$C:$C,C261)=0,0,SUMIFS(RAW_판매펀칭!$K:$K,RAW_판매펀칭!$P:$P,A261,RAW_판매펀칭!$I:$I,C261)*W261/SUMIFS($W:$W,$A:$A,A261,$C:$C,C261))</f>
        <v>250</v>
      </c>
      <c r="R261" s="47" t="n">
        <f aca="false">IF(OR(A261="500",A261="800",A261="810"),0,MAX(W261-Q261,0))</f>
        <v>0</v>
      </c>
      <c r="S261" s="47" t="n">
        <f aca="false">R261*L261</f>
        <v>0</v>
      </c>
      <c r="T261" s="47" t="n">
        <f aca="false">R261*J261</f>
        <v>0</v>
      </c>
      <c r="U261" s="47" t="n">
        <f aca="false">R261*K261</f>
        <v>0</v>
      </c>
      <c r="V261" s="0" t="str">
        <f aca="false">IF(COUNTIFS($A$2:A261,A261,$C$2:C261,C261,$D$2:D261,D261)&gt;1,"중복","")</f>
        <v/>
      </c>
      <c r="W261" s="0" t="n">
        <f aca="false">IF(V261="중복",0,N(D261))</f>
        <v>250</v>
      </c>
      <c r="X261" s="0" t="n">
        <f aca="false">IF(COUNTIFS($A$2:A261,A261,$C$2:C261,C261)=1,ABS(SUMIFS(RAW_발주!$D:$D,RAW_발주!$C:$C,A261,RAW_발주!$A:$A,C261)-SUMIFS($W:$W,$A:$A,A261,$C:$C,C261)),0)</f>
        <v>0</v>
      </c>
    </row>
    <row r="262" customFormat="false" ht="15" hidden="false" customHeight="true" outlineLevel="0" collapsed="false">
      <c r="A262" s="45" t="s">
        <v>1664</v>
      </c>
      <c r="B262" s="42" t="str">
        <f aca="false">IF(A262="100","HK",IF(A262="200","CN",IF(A262="300","TW","홀세일")))</f>
        <v>홀세일</v>
      </c>
      <c r="C262" s="45" t="s">
        <v>816</v>
      </c>
      <c r="D262" s="46" t="n">
        <v>30</v>
      </c>
      <c r="E262" s="46" t="n">
        <v>129000</v>
      </c>
      <c r="F262" s="46" t="n">
        <v>31400</v>
      </c>
      <c r="G262" s="42" t="n">
        <v>4.16</v>
      </c>
      <c r="H262" s="42" t="n">
        <v>34.3</v>
      </c>
      <c r="J262" s="46" t="n">
        <f aca="false">IF(N(E262)&gt;0,E262,IF(N(F262)&gt;0,F262*요약!$F$27,0))</f>
        <v>129000</v>
      </c>
      <c r="K262" s="46" t="n">
        <f aca="false">IF(N(F262)&gt;0,F262,IF(N(E262)&gt;0,E262/요약!$F$27,0))</f>
        <v>31400</v>
      </c>
      <c r="L262" s="46" t="n">
        <f aca="false">IF(B262="CN",IF(N(I262)&gt;0,I262*요약!$G$27,K262*(1+요약!$E$27)),IF(N(H262)&gt;0,H262*요약!$G$27,J262*요약!$D$27))</f>
        <v>45276</v>
      </c>
      <c r="M262" s="46" t="n">
        <f aca="false">D262*J262</f>
        <v>3870000</v>
      </c>
      <c r="N262" s="46" t="n">
        <f aca="false">D262*K262</f>
        <v>942000</v>
      </c>
      <c r="O262" s="46" t="n">
        <f aca="false">D262*L262</f>
        <v>1358280</v>
      </c>
      <c r="P262" s="42" t="str">
        <f aca="false">TRIM(IF(N(E262)&lt;=0,"택가보정 ","")&amp;IF(N(F262)&lt;=0,"원가보정 ","")&amp;IF(AND(B262&lt;&gt;"CN",N(H262)&lt;=0),"공급가보정 ","")&amp;IF(AND(B262="CN",N(I262)&lt;=0),"중국공급가=원가+마진 ",""))</f>
        <v/>
      </c>
      <c r="Q262" s="47" t="n">
        <f aca="false">IF(SUMIFS($W:$W,$A:$A,A262,$C:$C,C262)=0,0,SUMIFS(RAW_판매펀칭!$K:$K,RAW_판매펀칭!$P:$P,A262,RAW_판매펀칭!$I:$I,C262)*W262/SUMIFS($W:$W,$A:$A,A262,$C:$C,C262))</f>
        <v>0</v>
      </c>
      <c r="R262" s="47" t="n">
        <f aca="false">IF(OR(A262="500",A262="800",A262="810"),0,MAX(W262-Q262,0))</f>
        <v>0</v>
      </c>
      <c r="S262" s="47" t="n">
        <f aca="false">R262*L262</f>
        <v>0</v>
      </c>
      <c r="T262" s="47" t="n">
        <f aca="false">R262*J262</f>
        <v>0</v>
      </c>
      <c r="U262" s="47" t="n">
        <f aca="false">R262*K262</f>
        <v>0</v>
      </c>
      <c r="V262" s="0" t="str">
        <f aca="false">IF(COUNTIFS($A$2:A262,A262,$C$2:C262,C262,$D$2:D262,D262)&gt;1,"중복","")</f>
        <v/>
      </c>
      <c r="W262" s="0" t="n">
        <f aca="false">IF(V262="중복",0,N(D262))</f>
        <v>30</v>
      </c>
      <c r="X262" s="0" t="n">
        <f aca="false">IF(COUNTIFS($A$2:A262,A262,$C$2:C262,C262)=1,ABS(SUMIFS(RAW_발주!$D:$D,RAW_발주!$C:$C,A262,RAW_발주!$A:$A,C262)-SUMIFS($W:$W,$A:$A,A262,$C:$C,C262)),0)</f>
        <v>0</v>
      </c>
    </row>
    <row r="263" customFormat="false" ht="15" hidden="false" customHeight="true" outlineLevel="0" collapsed="false">
      <c r="A263" s="45" t="s">
        <v>1659</v>
      </c>
      <c r="B263" s="42" t="str">
        <f aca="false">IF(A263="100","HK",IF(A263="200","CN",IF(A263="300","TW","홀세일")))</f>
        <v>HK</v>
      </c>
      <c r="C263" s="45" t="s">
        <v>814</v>
      </c>
      <c r="D263" s="46" t="n">
        <v>300</v>
      </c>
      <c r="E263" s="46" t="n">
        <v>199000</v>
      </c>
      <c r="F263" s="46" t="n">
        <v>50641</v>
      </c>
      <c r="G263" s="42" t="n">
        <v>3.45</v>
      </c>
      <c r="H263" s="42" t="n">
        <v>52.9</v>
      </c>
      <c r="J263" s="46" t="n">
        <f aca="false">IF(N(E263)&gt;0,E263,IF(N(F263)&gt;0,F263*요약!$F$27,0))</f>
        <v>199000</v>
      </c>
      <c r="K263" s="46" t="n">
        <f aca="false">IF(N(F263)&gt;0,F263,IF(N(E263)&gt;0,E263/요약!$F$27,0))</f>
        <v>50641</v>
      </c>
      <c r="L263" s="46" t="n">
        <f aca="false">IF(B263="CN",IF(N(I263)&gt;0,I263*요약!$G$27,K263*(1+요약!$E$27)),IF(N(H263)&gt;0,H263*요약!$G$27,J263*요약!$D$27))</f>
        <v>69828</v>
      </c>
      <c r="M263" s="46" t="n">
        <f aca="false">D263*J263</f>
        <v>59700000</v>
      </c>
      <c r="N263" s="46" t="n">
        <f aca="false">D263*K263</f>
        <v>15192300</v>
      </c>
      <c r="O263" s="46" t="n">
        <f aca="false">D263*L263</f>
        <v>20948400</v>
      </c>
      <c r="P263" s="42" t="str">
        <f aca="false">TRIM(IF(N(E263)&lt;=0,"택가보정 ","")&amp;IF(N(F263)&lt;=0,"원가보정 ","")&amp;IF(AND(B263&lt;&gt;"CN",N(H263)&lt;=0),"공급가보정 ","")&amp;IF(AND(B263="CN",N(I263)&lt;=0),"중국공급가=원가+마진 ",""))</f>
        <v/>
      </c>
      <c r="Q263" s="47" t="n">
        <f aca="false">IF(SUMIFS($W:$W,$A:$A,A263,$C:$C,C263)=0,0,SUMIFS(RAW_판매펀칭!$K:$K,RAW_판매펀칭!$P:$P,A263,RAW_판매펀칭!$I:$I,C263)*W263/SUMIFS($W:$W,$A:$A,A263,$C:$C,C263))</f>
        <v>300</v>
      </c>
      <c r="R263" s="47" t="n">
        <f aca="false">IF(OR(A263="500",A263="800",A263="810"),0,MAX(W263-Q263,0))</f>
        <v>0</v>
      </c>
      <c r="S263" s="47" t="n">
        <f aca="false">R263*L263</f>
        <v>0</v>
      </c>
      <c r="T263" s="47" t="n">
        <f aca="false">R263*J263</f>
        <v>0</v>
      </c>
      <c r="U263" s="47" t="n">
        <f aca="false">R263*K263</f>
        <v>0</v>
      </c>
      <c r="V263" s="0" t="str">
        <f aca="false">IF(COUNTIFS($A$2:A263,A263,$C$2:C263,C263,$D$2:D263,D263)&gt;1,"중복","")</f>
        <v/>
      </c>
      <c r="W263" s="0" t="n">
        <f aca="false">IF(V263="중복",0,N(D263))</f>
        <v>300</v>
      </c>
      <c r="X263" s="0" t="n">
        <f aca="false">IF(COUNTIFS($A$2:A263,A263,$C$2:C263,C263)=1,ABS(SUMIFS(RAW_발주!$D:$D,RAW_발주!$C:$C,A263,RAW_발주!$A:$A,C263)-SUMIFS($W:$W,$A:$A,A263,$C:$C,C263)),0)</f>
        <v>0</v>
      </c>
    </row>
    <row r="264" customFormat="false" ht="15.75" hidden="false" customHeight="true" outlineLevel="0" collapsed="false">
      <c r="A264" s="45" t="s">
        <v>1660</v>
      </c>
      <c r="B264" s="42" t="str">
        <f aca="false">IF(A264="100","HK",IF(A264="200","CN",IF(A264="300","TW","홀세일")))</f>
        <v>CN</v>
      </c>
      <c r="C264" s="45" t="s">
        <v>814</v>
      </c>
      <c r="D264" s="46" t="n">
        <v>196</v>
      </c>
      <c r="E264" s="46" t="n">
        <v>199000</v>
      </c>
      <c r="F264" s="46" t="n">
        <v>50641</v>
      </c>
      <c r="G264" s="42" t="n">
        <v>3.45</v>
      </c>
      <c r="H264" s="42" t="n">
        <v>52.9</v>
      </c>
      <c r="J264" s="46" t="n">
        <f aca="false">IF(N(E264)&gt;0,E264,IF(N(F264)&gt;0,F264*요약!$F$27,0))</f>
        <v>199000</v>
      </c>
      <c r="K264" s="46" t="n">
        <f aca="false">IF(N(F264)&gt;0,F264,IF(N(E264)&gt;0,E264/요약!$F$27,0))</f>
        <v>50641</v>
      </c>
      <c r="L264" s="46" t="n">
        <f aca="false">IF(B264="CN",IF(N(I264)&gt;0,I264*요약!$G$27,K264*(1+요약!$E$27)),IF(N(H264)&gt;0,H264*요약!$G$27,J264*요약!$D$27))</f>
        <v>53173.05</v>
      </c>
      <c r="M264" s="46" t="n">
        <f aca="false">D264*J264</f>
        <v>39004000</v>
      </c>
      <c r="N264" s="46" t="n">
        <f aca="false">D264*K264</f>
        <v>9925636</v>
      </c>
      <c r="O264" s="46" t="n">
        <f aca="false">D264*L264</f>
        <v>10421917.8</v>
      </c>
      <c r="P264" s="42" t="str">
        <f aca="false">TRIM(IF(N(E264)&lt;=0,"택가보정 ","")&amp;IF(N(F264)&lt;=0,"원가보정 ","")&amp;IF(AND(B264&lt;&gt;"CN",N(H264)&lt;=0),"공급가보정 ","")&amp;IF(AND(B264="CN",N(I264)&lt;=0),"중국공급가=원가+마진 ",""))</f>
        <v>중국공급가=원가+마진</v>
      </c>
      <c r="Q264" s="47" t="n">
        <f aca="false">IF(SUMIFS($W:$W,$A:$A,A264,$C:$C,C264)=0,0,SUMIFS(RAW_판매펀칭!$K:$K,RAW_판매펀칭!$P:$P,A264,RAW_판매펀칭!$I:$I,C264)*W264/SUMIFS($W:$W,$A:$A,A264,$C:$C,C264))</f>
        <v>190</v>
      </c>
      <c r="R264" s="47" t="n">
        <f aca="false">IF(OR(A264="500",A264="800",A264="810"),0,MAX(W264-Q264,0))</f>
        <v>6</v>
      </c>
      <c r="S264" s="47" t="n">
        <f aca="false">R264*L264</f>
        <v>319038.3</v>
      </c>
      <c r="T264" s="47" t="n">
        <f aca="false">R264*J264</f>
        <v>1194000</v>
      </c>
      <c r="U264" s="47" t="n">
        <f aca="false">R264*K264</f>
        <v>303846</v>
      </c>
      <c r="V264" s="0" t="str">
        <f aca="false">IF(COUNTIFS($A$2:A264,A264,$C$2:C264,C264,$D$2:D264,D264)&gt;1,"중복","")</f>
        <v/>
      </c>
      <c r="W264" s="0" t="n">
        <f aca="false">IF(V264="중복",0,N(D264))</f>
        <v>196</v>
      </c>
      <c r="X264" s="0" t="n">
        <f aca="false">IF(COUNTIFS($A$2:A264,A264,$C$2:C264,C264)=1,ABS(SUMIFS(RAW_발주!$D:$D,RAW_발주!$C:$C,A264,RAW_발주!$A:$A,C264)-SUMIFS($W:$W,$A:$A,A264,$C:$C,C264)),0)</f>
        <v>0</v>
      </c>
    </row>
    <row r="265" customFormat="false" ht="15" hidden="false" customHeight="true" outlineLevel="0" collapsed="false">
      <c r="A265" s="45" t="s">
        <v>1663</v>
      </c>
      <c r="B265" s="42" t="str">
        <f aca="false">IF(A265="100","HK",IF(A265="200","CN",IF(A265="300","TW","홀세일")))</f>
        <v>홀세일</v>
      </c>
      <c r="C265" s="45" t="s">
        <v>814</v>
      </c>
      <c r="D265" s="46" t="n">
        <v>15</v>
      </c>
      <c r="E265" s="46" t="n">
        <v>199000</v>
      </c>
      <c r="F265" s="46" t="n">
        <v>50641</v>
      </c>
      <c r="G265" s="42" t="n">
        <v>3.45</v>
      </c>
      <c r="H265" s="42" t="n">
        <v>52.9</v>
      </c>
      <c r="J265" s="46" t="n">
        <f aca="false">IF(N(E265)&gt;0,E265,IF(N(F265)&gt;0,F265*요약!$F$27,0))</f>
        <v>199000</v>
      </c>
      <c r="K265" s="46" t="n">
        <f aca="false">IF(N(F265)&gt;0,F265,IF(N(E265)&gt;0,E265/요약!$F$27,0))</f>
        <v>50641</v>
      </c>
      <c r="L265" s="46" t="n">
        <f aca="false">IF(B265="CN",IF(N(I265)&gt;0,I265*요약!$G$27,K265*(1+요약!$E$27)),IF(N(H265)&gt;0,H265*요약!$G$27,J265*요약!$D$27))</f>
        <v>69828</v>
      </c>
      <c r="M265" s="46" t="n">
        <f aca="false">D265*J265</f>
        <v>2985000</v>
      </c>
      <c r="N265" s="46" t="n">
        <f aca="false">D265*K265</f>
        <v>759615</v>
      </c>
      <c r="O265" s="46" t="n">
        <f aca="false">D265*L265</f>
        <v>1047420</v>
      </c>
      <c r="P265" s="42" t="str">
        <f aca="false">TRIM(IF(N(E265)&lt;=0,"택가보정 ","")&amp;IF(N(F265)&lt;=0,"원가보정 ","")&amp;IF(AND(B265&lt;&gt;"CN",N(H265)&lt;=0),"공급가보정 ","")&amp;IF(AND(B265="CN",N(I265)&lt;=0),"중국공급가=원가+마진 ",""))</f>
        <v/>
      </c>
      <c r="Q265" s="47" t="n">
        <f aca="false">IF(SUMIFS($W:$W,$A:$A,A265,$C:$C,C265)=0,0,SUMIFS(RAW_판매펀칭!$K:$K,RAW_판매펀칭!$P:$P,A265,RAW_판매펀칭!$I:$I,C265)*W265/SUMIFS($W:$W,$A:$A,A265,$C:$C,C265))</f>
        <v>15</v>
      </c>
      <c r="R265" s="47" t="n">
        <f aca="false">IF(OR(A265="500",A265="800",A265="810"),0,MAX(W265-Q265,0))</f>
        <v>0</v>
      </c>
      <c r="S265" s="47" t="n">
        <f aca="false">R265*L265</f>
        <v>0</v>
      </c>
      <c r="T265" s="47" t="n">
        <f aca="false">R265*J265</f>
        <v>0</v>
      </c>
      <c r="U265" s="47" t="n">
        <f aca="false">R265*K265</f>
        <v>0</v>
      </c>
      <c r="V265" s="0" t="str">
        <f aca="false">IF(COUNTIFS($A$2:A265,A265,$C$2:C265,C265,$D$2:D265,D265)&gt;1,"중복","")</f>
        <v/>
      </c>
      <c r="W265" s="0" t="n">
        <f aca="false">IF(V265="중복",0,N(D265))</f>
        <v>15</v>
      </c>
      <c r="X265" s="0" t="n">
        <f aca="false">IF(COUNTIFS($A$2:A265,A265,$C$2:C265,C265)=1,ABS(SUMIFS(RAW_발주!$D:$D,RAW_발주!$C:$C,A265,RAW_발주!$A:$A,C265)-SUMIFS($W:$W,$A:$A,A265,$C:$C,C265)),0)</f>
        <v>0</v>
      </c>
    </row>
    <row r="266" customFormat="false" ht="15" hidden="false" customHeight="true" outlineLevel="0" collapsed="false">
      <c r="A266" s="45" t="s">
        <v>1667</v>
      </c>
      <c r="B266" s="42" t="str">
        <f aca="false">IF(A266="100","HK",IF(A266="200","CN",IF(A266="300","TW","홀세일")))</f>
        <v>홀세일</v>
      </c>
      <c r="C266" s="45" t="s">
        <v>814</v>
      </c>
      <c r="D266" s="46" t="n">
        <v>51</v>
      </c>
      <c r="E266" s="46" t="n">
        <v>199000</v>
      </c>
      <c r="F266" s="46" t="n">
        <v>50641</v>
      </c>
      <c r="G266" s="42" t="n">
        <v>3.45</v>
      </c>
      <c r="H266" s="42" t="n">
        <v>52.9</v>
      </c>
      <c r="J266" s="46" t="n">
        <f aca="false">IF(N(E266)&gt;0,E266,IF(N(F266)&gt;0,F266*요약!$F$27,0))</f>
        <v>199000</v>
      </c>
      <c r="K266" s="46" t="n">
        <f aca="false">IF(N(F266)&gt;0,F266,IF(N(E266)&gt;0,E266/요약!$F$27,0))</f>
        <v>50641</v>
      </c>
      <c r="L266" s="46" t="n">
        <f aca="false">IF(B266="CN",IF(N(I266)&gt;0,I266*요약!$G$27,K266*(1+요약!$E$27)),IF(N(H266)&gt;0,H266*요약!$G$27,J266*요약!$D$27))</f>
        <v>69828</v>
      </c>
      <c r="M266" s="46" t="n">
        <f aca="false">D266*J266</f>
        <v>10149000</v>
      </c>
      <c r="N266" s="46" t="n">
        <f aca="false">D266*K266</f>
        <v>2582691</v>
      </c>
      <c r="O266" s="46" t="n">
        <f aca="false">D266*L266</f>
        <v>3561228</v>
      </c>
      <c r="P266" s="42" t="str">
        <f aca="false">TRIM(IF(N(E266)&lt;=0,"택가보정 ","")&amp;IF(N(F266)&lt;=0,"원가보정 ","")&amp;IF(AND(B266&lt;&gt;"CN",N(H266)&lt;=0),"공급가보정 ","")&amp;IF(AND(B266="CN",N(I266)&lt;=0),"중국공급가=원가+마진 ",""))</f>
        <v/>
      </c>
      <c r="Q266" s="47" t="n">
        <f aca="false">IF(SUMIFS($W:$W,$A:$A,A266,$C:$C,C266)=0,0,SUMIFS(RAW_판매펀칭!$K:$K,RAW_판매펀칭!$P:$P,A266,RAW_판매펀칭!$I:$I,C266)*W266/SUMIFS($W:$W,$A:$A,A266,$C:$C,C266))</f>
        <v>51</v>
      </c>
      <c r="R266" s="47" t="n">
        <f aca="false">IF(OR(A266="500",A266="800",A266="810"),0,MAX(W266-Q266,0))</f>
        <v>0</v>
      </c>
      <c r="S266" s="47" t="n">
        <f aca="false">R266*L266</f>
        <v>0</v>
      </c>
      <c r="T266" s="47" t="n">
        <f aca="false">R266*J266</f>
        <v>0</v>
      </c>
      <c r="U266" s="47" t="n">
        <f aca="false">R266*K266</f>
        <v>0</v>
      </c>
      <c r="V266" s="0" t="str">
        <f aca="false">IF(COUNTIFS($A$2:A266,A266,$C$2:C266,C266,$D$2:D266,D266)&gt;1,"중복","")</f>
        <v/>
      </c>
      <c r="W266" s="0" t="n">
        <f aca="false">IF(V266="중복",0,N(D266))</f>
        <v>51</v>
      </c>
      <c r="X266" s="0" t="n">
        <f aca="false">IF(COUNTIFS($A$2:A266,A266,$C$2:C266,C266)=1,ABS(SUMIFS(RAW_발주!$D:$D,RAW_발주!$C:$C,A266,RAW_발주!$A:$A,C266)-SUMIFS($W:$W,$A:$A,A266,$C:$C,C266)),0)</f>
        <v>0</v>
      </c>
    </row>
    <row r="267" customFormat="false" ht="15" hidden="false" customHeight="true" outlineLevel="0" collapsed="false">
      <c r="A267" s="45" t="s">
        <v>1664</v>
      </c>
      <c r="B267" s="42" t="str">
        <f aca="false">IF(A267="100","HK",IF(A267="200","CN",IF(A267="300","TW","홀세일")))</f>
        <v>홀세일</v>
      </c>
      <c r="C267" s="45" t="s">
        <v>814</v>
      </c>
      <c r="D267" s="46" t="n">
        <v>30</v>
      </c>
      <c r="E267" s="46" t="n">
        <v>199000</v>
      </c>
      <c r="F267" s="46" t="n">
        <v>50641</v>
      </c>
      <c r="G267" s="42" t="n">
        <v>3.45</v>
      </c>
      <c r="H267" s="42" t="n">
        <v>52.9</v>
      </c>
      <c r="J267" s="46" t="n">
        <f aca="false">IF(N(E267)&gt;0,E267,IF(N(F267)&gt;0,F267*요약!$F$27,0))</f>
        <v>199000</v>
      </c>
      <c r="K267" s="46" t="n">
        <f aca="false">IF(N(F267)&gt;0,F267,IF(N(E267)&gt;0,E267/요약!$F$27,0))</f>
        <v>50641</v>
      </c>
      <c r="L267" s="46" t="n">
        <f aca="false">IF(B267="CN",IF(N(I267)&gt;0,I267*요약!$G$27,K267*(1+요약!$E$27)),IF(N(H267)&gt;0,H267*요약!$G$27,J267*요약!$D$27))</f>
        <v>69828</v>
      </c>
      <c r="M267" s="46" t="n">
        <f aca="false">D267*J267</f>
        <v>5970000</v>
      </c>
      <c r="N267" s="46" t="n">
        <f aca="false">D267*K267</f>
        <v>1519230</v>
      </c>
      <c r="O267" s="46" t="n">
        <f aca="false">D267*L267</f>
        <v>2094840</v>
      </c>
      <c r="P267" s="42" t="str">
        <f aca="false">TRIM(IF(N(E267)&lt;=0,"택가보정 ","")&amp;IF(N(F267)&lt;=0,"원가보정 ","")&amp;IF(AND(B267&lt;&gt;"CN",N(H267)&lt;=0),"공급가보정 ","")&amp;IF(AND(B267="CN",N(I267)&lt;=0),"중국공급가=원가+마진 ",""))</f>
        <v/>
      </c>
      <c r="Q267" s="47" t="n">
        <f aca="false">IF(SUMIFS($W:$W,$A:$A,A267,$C:$C,C267)=0,0,SUMIFS(RAW_판매펀칭!$K:$K,RAW_판매펀칭!$P:$P,A267,RAW_판매펀칭!$I:$I,C267)*W267/SUMIFS($W:$W,$A:$A,A267,$C:$C,C267))</f>
        <v>0</v>
      </c>
      <c r="R267" s="47" t="n">
        <f aca="false">IF(OR(A267="500",A267="800",A267="810"),0,MAX(W267-Q267,0))</f>
        <v>0</v>
      </c>
      <c r="S267" s="47" t="n">
        <f aca="false">R267*L267</f>
        <v>0</v>
      </c>
      <c r="T267" s="47" t="n">
        <f aca="false">R267*J267</f>
        <v>0</v>
      </c>
      <c r="U267" s="47" t="n">
        <f aca="false">R267*K267</f>
        <v>0</v>
      </c>
      <c r="V267" s="0" t="str">
        <f aca="false">IF(COUNTIFS($A$2:A267,A267,$C$2:C267,C267,$D$2:D267,D267)&gt;1,"중복","")</f>
        <v/>
      </c>
      <c r="W267" s="0" t="n">
        <f aca="false">IF(V267="중복",0,N(D267))</f>
        <v>30</v>
      </c>
      <c r="X267" s="0" t="n">
        <f aca="false">IF(COUNTIFS($A$2:A267,A267,$C$2:C267,C267)=1,ABS(SUMIFS(RAW_발주!$D:$D,RAW_발주!$C:$C,A267,RAW_발주!$A:$A,C267)-SUMIFS($W:$W,$A:$A,A267,$C:$C,C267)),0)</f>
        <v>0</v>
      </c>
    </row>
    <row r="268" customFormat="false" ht="15" hidden="false" customHeight="true" outlineLevel="0" collapsed="false">
      <c r="A268" s="45" t="s">
        <v>1659</v>
      </c>
      <c r="B268" s="42" t="str">
        <f aca="false">IF(A268="100","HK",IF(A268="200","CN",IF(A268="300","TW","홀세일")))</f>
        <v>HK</v>
      </c>
      <c r="C268" s="45" t="s">
        <v>818</v>
      </c>
      <c r="D268" s="46" t="n">
        <v>180</v>
      </c>
      <c r="E268" s="46" t="n">
        <v>169000</v>
      </c>
      <c r="F268" s="46" t="n">
        <v>37600</v>
      </c>
      <c r="G268" s="42" t="n">
        <v>4.09</v>
      </c>
      <c r="H268" s="42" t="n">
        <v>42.3</v>
      </c>
      <c r="J268" s="46" t="n">
        <f aca="false">IF(N(E268)&gt;0,E268,IF(N(F268)&gt;0,F268*요약!$F$27,0))</f>
        <v>169000</v>
      </c>
      <c r="K268" s="46" t="n">
        <f aca="false">IF(N(F268)&gt;0,F268,IF(N(E268)&gt;0,E268/요약!$F$27,0))</f>
        <v>37600</v>
      </c>
      <c r="L268" s="46" t="n">
        <f aca="false">IF(B268="CN",IF(N(I268)&gt;0,I268*요약!$G$27,K268*(1+요약!$E$27)),IF(N(H268)&gt;0,H268*요약!$G$27,J268*요약!$D$27))</f>
        <v>55836</v>
      </c>
      <c r="M268" s="46" t="n">
        <f aca="false">D268*J268</f>
        <v>30420000</v>
      </c>
      <c r="N268" s="46" t="n">
        <f aca="false">D268*K268</f>
        <v>6768000</v>
      </c>
      <c r="O268" s="46" t="n">
        <f aca="false">D268*L268</f>
        <v>10050480</v>
      </c>
      <c r="P268" s="42" t="str">
        <f aca="false">TRIM(IF(N(E268)&lt;=0,"택가보정 ","")&amp;IF(N(F268)&lt;=0,"원가보정 ","")&amp;IF(AND(B268&lt;&gt;"CN",N(H268)&lt;=0),"공급가보정 ","")&amp;IF(AND(B268="CN",N(I268)&lt;=0),"중국공급가=원가+마진 ",""))</f>
        <v/>
      </c>
      <c r="Q268" s="47" t="n">
        <f aca="false">IF(SUMIFS($W:$W,$A:$A,A268,$C:$C,C268)=0,0,SUMIFS(RAW_판매펀칭!$K:$K,RAW_판매펀칭!$P:$P,A268,RAW_판매펀칭!$I:$I,C268)*W268/SUMIFS($W:$W,$A:$A,A268,$C:$C,C268))</f>
        <v>180</v>
      </c>
      <c r="R268" s="47" t="n">
        <f aca="false">IF(OR(A268="500",A268="800",A268="810"),0,MAX(W268-Q268,0))</f>
        <v>0</v>
      </c>
      <c r="S268" s="47" t="n">
        <f aca="false">R268*L268</f>
        <v>0</v>
      </c>
      <c r="T268" s="47" t="n">
        <f aca="false">R268*J268</f>
        <v>0</v>
      </c>
      <c r="U268" s="47" t="n">
        <f aca="false">R268*K268</f>
        <v>0</v>
      </c>
      <c r="V268" s="0" t="str">
        <f aca="false">IF(COUNTIFS($A$2:A268,A268,$C$2:C268,C268,$D$2:D268,D268)&gt;1,"중복","")</f>
        <v/>
      </c>
      <c r="W268" s="0" t="n">
        <f aca="false">IF(V268="중복",0,N(D268))</f>
        <v>180</v>
      </c>
      <c r="X268" s="0" t="n">
        <f aca="false">IF(COUNTIFS($A$2:A268,A268,$C$2:C268,C268)=1,ABS(SUMIFS(RAW_발주!$D:$D,RAW_발주!$C:$C,A268,RAW_발주!$A:$A,C268)-SUMIFS($W:$W,$A:$A,A268,$C:$C,C268)),0)</f>
        <v>0</v>
      </c>
    </row>
    <row r="269" customFormat="false" ht="15" hidden="false" customHeight="true" outlineLevel="0" collapsed="false">
      <c r="A269" s="45" t="s">
        <v>1667</v>
      </c>
      <c r="B269" s="42" t="str">
        <f aca="false">IF(A269="100","HK",IF(A269="200","CN",IF(A269="300","TW","홀세일")))</f>
        <v>홀세일</v>
      </c>
      <c r="C269" s="45" t="s">
        <v>818</v>
      </c>
      <c r="D269" s="46" t="n">
        <v>51</v>
      </c>
      <c r="E269" s="46" t="n">
        <v>169000</v>
      </c>
      <c r="F269" s="46" t="n">
        <v>37600</v>
      </c>
      <c r="G269" s="42" t="n">
        <v>4.09</v>
      </c>
      <c r="H269" s="42" t="n">
        <v>42.3</v>
      </c>
      <c r="J269" s="46" t="n">
        <f aca="false">IF(N(E269)&gt;0,E269,IF(N(F269)&gt;0,F269*요약!$F$27,0))</f>
        <v>169000</v>
      </c>
      <c r="K269" s="46" t="n">
        <f aca="false">IF(N(F269)&gt;0,F269,IF(N(E269)&gt;0,E269/요약!$F$27,0))</f>
        <v>37600</v>
      </c>
      <c r="L269" s="46" t="n">
        <f aca="false">IF(B269="CN",IF(N(I269)&gt;0,I269*요약!$G$27,K269*(1+요약!$E$27)),IF(N(H269)&gt;0,H269*요약!$G$27,J269*요약!$D$27))</f>
        <v>55836</v>
      </c>
      <c r="M269" s="46" t="n">
        <f aca="false">D269*J269</f>
        <v>8619000</v>
      </c>
      <c r="N269" s="46" t="n">
        <f aca="false">D269*K269</f>
        <v>1917600</v>
      </c>
      <c r="O269" s="46" t="n">
        <f aca="false">D269*L269</f>
        <v>2847636</v>
      </c>
      <c r="P269" s="42" t="str">
        <f aca="false">TRIM(IF(N(E269)&lt;=0,"택가보정 ","")&amp;IF(N(F269)&lt;=0,"원가보정 ","")&amp;IF(AND(B269&lt;&gt;"CN",N(H269)&lt;=0),"공급가보정 ","")&amp;IF(AND(B269="CN",N(I269)&lt;=0),"중국공급가=원가+마진 ",""))</f>
        <v/>
      </c>
      <c r="Q269" s="47" t="n">
        <f aca="false">IF(SUMIFS($W:$W,$A:$A,A269,$C:$C,C269)=0,0,SUMIFS(RAW_판매펀칭!$K:$K,RAW_판매펀칭!$P:$P,A269,RAW_판매펀칭!$I:$I,C269)*W269/SUMIFS($W:$W,$A:$A,A269,$C:$C,C269))</f>
        <v>51</v>
      </c>
      <c r="R269" s="47" t="n">
        <f aca="false">IF(OR(A269="500",A269="800",A269="810"),0,MAX(W269-Q269,0))</f>
        <v>0</v>
      </c>
      <c r="S269" s="47" t="n">
        <f aca="false">R269*L269</f>
        <v>0</v>
      </c>
      <c r="T269" s="47" t="n">
        <f aca="false">R269*J269</f>
        <v>0</v>
      </c>
      <c r="U269" s="47" t="n">
        <f aca="false">R269*K269</f>
        <v>0</v>
      </c>
      <c r="V269" s="0" t="str">
        <f aca="false">IF(COUNTIFS($A$2:A269,A269,$C$2:C269,C269,$D$2:D269,D269)&gt;1,"중복","")</f>
        <v/>
      </c>
      <c r="W269" s="0" t="n">
        <f aca="false">IF(V269="중복",0,N(D269))</f>
        <v>51</v>
      </c>
      <c r="X269" s="0" t="n">
        <f aca="false">IF(COUNTIFS($A$2:A269,A269,$C$2:C269,C269)=1,ABS(SUMIFS(RAW_발주!$D:$D,RAW_발주!$C:$C,A269,RAW_발주!$A:$A,C269)-SUMIFS($W:$W,$A:$A,A269,$C:$C,C269)),0)</f>
        <v>0</v>
      </c>
    </row>
    <row r="270" customFormat="false" ht="15" hidden="false" customHeight="true" outlineLevel="0" collapsed="false">
      <c r="A270" s="45" t="s">
        <v>1659</v>
      </c>
      <c r="B270" s="42" t="str">
        <f aca="false">IF(A270="100","HK",IF(A270="200","CN",IF(A270="300","TW","홀세일")))</f>
        <v>HK</v>
      </c>
      <c r="C270" s="45" t="s">
        <v>228</v>
      </c>
      <c r="D270" s="46" t="n">
        <v>430</v>
      </c>
      <c r="E270" s="46" t="n">
        <v>89000</v>
      </c>
      <c r="F270" s="46" t="n">
        <v>20680</v>
      </c>
      <c r="G270" s="42" t="n">
        <v>3.69</v>
      </c>
      <c r="H270" s="42" t="n">
        <v>22.3</v>
      </c>
      <c r="J270" s="46" t="n">
        <f aca="false">IF(N(E270)&gt;0,E270,IF(N(F270)&gt;0,F270*요약!$F$27,0))</f>
        <v>89000</v>
      </c>
      <c r="K270" s="46" t="n">
        <f aca="false">IF(N(F270)&gt;0,F270,IF(N(E270)&gt;0,E270/요약!$F$27,0))</f>
        <v>20680</v>
      </c>
      <c r="L270" s="46" t="n">
        <f aca="false">IF(B270="CN",IF(N(I270)&gt;0,I270*요약!$G$27,K270*(1+요약!$E$27)),IF(N(H270)&gt;0,H270*요약!$G$27,J270*요약!$D$27))</f>
        <v>29436</v>
      </c>
      <c r="M270" s="46" t="n">
        <f aca="false">D270*J270</f>
        <v>38270000</v>
      </c>
      <c r="N270" s="46" t="n">
        <f aca="false">D270*K270</f>
        <v>8892400</v>
      </c>
      <c r="O270" s="46" t="n">
        <f aca="false">D270*L270</f>
        <v>12657480</v>
      </c>
      <c r="P270" s="42" t="str">
        <f aca="false">TRIM(IF(N(E270)&lt;=0,"택가보정 ","")&amp;IF(N(F270)&lt;=0,"원가보정 ","")&amp;IF(AND(B270&lt;&gt;"CN",N(H270)&lt;=0),"공급가보정 ","")&amp;IF(AND(B270="CN",N(I270)&lt;=0),"중국공급가=원가+마진 ",""))</f>
        <v/>
      </c>
      <c r="Q270" s="47" t="n">
        <f aca="false">IF(SUMIFS($W:$W,$A:$A,A270,$C:$C,C270)=0,0,SUMIFS(RAW_판매펀칭!$K:$K,RAW_판매펀칭!$P:$P,A270,RAW_판매펀칭!$I:$I,C270)*W270/SUMIFS($W:$W,$A:$A,A270,$C:$C,C270))</f>
        <v>430</v>
      </c>
      <c r="R270" s="47" t="n">
        <f aca="false">IF(OR(A270="500",A270="800",A270="810"),0,MAX(W270-Q270,0))</f>
        <v>0</v>
      </c>
      <c r="S270" s="47" t="n">
        <f aca="false">R270*L270</f>
        <v>0</v>
      </c>
      <c r="T270" s="47" t="n">
        <f aca="false">R270*J270</f>
        <v>0</v>
      </c>
      <c r="U270" s="47" t="n">
        <f aca="false">R270*K270</f>
        <v>0</v>
      </c>
      <c r="V270" s="0" t="str">
        <f aca="false">IF(COUNTIFS($A$2:A270,A270,$C$2:C270,C270,$D$2:D270,D270)&gt;1,"중복","")</f>
        <v/>
      </c>
      <c r="W270" s="0" t="n">
        <f aca="false">IF(V270="중복",0,N(D270))</f>
        <v>430</v>
      </c>
      <c r="X270" s="0" t="n">
        <f aca="false">IF(COUNTIFS($A$2:A270,A270,$C$2:C270,C270)=1,ABS(SUMIFS(RAW_발주!$D:$D,RAW_발주!$C:$C,A270,RAW_발주!$A:$A,C270)-SUMIFS($W:$W,$A:$A,A270,$C:$C,C270)),0)</f>
        <v>0</v>
      </c>
    </row>
    <row r="271" customFormat="false" ht="15.75" hidden="false" customHeight="true" outlineLevel="0" collapsed="false">
      <c r="A271" s="45" t="s">
        <v>1660</v>
      </c>
      <c r="B271" s="42" t="str">
        <f aca="false">IF(A271="100","HK",IF(A271="200","CN",IF(A271="300","TW","홀세일")))</f>
        <v>CN</v>
      </c>
      <c r="C271" s="45" t="s">
        <v>228</v>
      </c>
      <c r="D271" s="46" t="n">
        <v>764</v>
      </c>
      <c r="E271" s="46" t="n">
        <v>89000</v>
      </c>
      <c r="F271" s="46" t="n">
        <v>20680</v>
      </c>
      <c r="G271" s="42" t="n">
        <v>3.69</v>
      </c>
      <c r="H271" s="42" t="n">
        <v>22.3</v>
      </c>
      <c r="J271" s="46" t="n">
        <f aca="false">IF(N(E271)&gt;0,E271,IF(N(F271)&gt;0,F271*요약!$F$27,0))</f>
        <v>89000</v>
      </c>
      <c r="K271" s="46" t="n">
        <f aca="false">IF(N(F271)&gt;0,F271,IF(N(E271)&gt;0,E271/요약!$F$27,0))</f>
        <v>20680</v>
      </c>
      <c r="L271" s="46" t="n">
        <f aca="false">IF(B271="CN",IF(N(I271)&gt;0,I271*요약!$G$27,K271*(1+요약!$E$27)),IF(N(H271)&gt;0,H271*요약!$G$27,J271*요약!$D$27))</f>
        <v>21714</v>
      </c>
      <c r="M271" s="46" t="n">
        <f aca="false">D271*J271</f>
        <v>67996000</v>
      </c>
      <c r="N271" s="46" t="n">
        <f aca="false">D271*K271</f>
        <v>15799520</v>
      </c>
      <c r="O271" s="46" t="n">
        <f aca="false">D271*L271</f>
        <v>16589496</v>
      </c>
      <c r="P271" s="42" t="str">
        <f aca="false">TRIM(IF(N(E271)&lt;=0,"택가보정 ","")&amp;IF(N(F271)&lt;=0,"원가보정 ","")&amp;IF(AND(B271&lt;&gt;"CN",N(H271)&lt;=0),"공급가보정 ","")&amp;IF(AND(B271="CN",N(I271)&lt;=0),"중국공급가=원가+마진 ",""))</f>
        <v>중국공급가=원가+마진</v>
      </c>
      <c r="Q271" s="47" t="n">
        <f aca="false">IF(SUMIFS($W:$W,$A:$A,A271,$C:$C,C271)=0,0,SUMIFS(RAW_판매펀칭!$K:$K,RAW_판매펀칭!$P:$P,A271,RAW_판매펀칭!$I:$I,C271)*W271/SUMIFS($W:$W,$A:$A,A271,$C:$C,C271))</f>
        <v>754</v>
      </c>
      <c r="R271" s="47" t="n">
        <f aca="false">IF(OR(A271="500",A271="800",A271="810"),0,MAX(W271-Q271,0))</f>
        <v>10</v>
      </c>
      <c r="S271" s="47" t="n">
        <f aca="false">R271*L271</f>
        <v>217140</v>
      </c>
      <c r="T271" s="47" t="n">
        <f aca="false">R271*J271</f>
        <v>890000</v>
      </c>
      <c r="U271" s="47" t="n">
        <f aca="false">R271*K271</f>
        <v>206800</v>
      </c>
      <c r="V271" s="0" t="str">
        <f aca="false">IF(COUNTIFS($A$2:A271,A271,$C$2:C271,C271,$D$2:D271,D271)&gt;1,"중복","")</f>
        <v/>
      </c>
      <c r="W271" s="0" t="n">
        <f aca="false">IF(V271="중복",0,N(D271))</f>
        <v>764</v>
      </c>
      <c r="X271" s="0" t="n">
        <f aca="false">IF(COUNTIFS($A$2:A271,A271,$C$2:C271,C271)=1,ABS(SUMIFS(RAW_발주!$D:$D,RAW_발주!$C:$C,A271,RAW_발주!$A:$A,C271)-SUMIFS($W:$W,$A:$A,A271,$C:$C,C271)),0)</f>
        <v>0</v>
      </c>
    </row>
    <row r="272" customFormat="false" ht="15" hidden="false" customHeight="true" outlineLevel="0" collapsed="false">
      <c r="A272" s="45" t="s">
        <v>1661</v>
      </c>
      <c r="B272" s="42" t="str">
        <f aca="false">IF(A272="100","HK",IF(A272="200","CN",IF(A272="300","TW","홀세일")))</f>
        <v>TW</v>
      </c>
      <c r="C272" s="45" t="s">
        <v>228</v>
      </c>
      <c r="D272" s="46" t="n">
        <v>230</v>
      </c>
      <c r="E272" s="46" t="n">
        <v>89000</v>
      </c>
      <c r="F272" s="46" t="n">
        <v>20680</v>
      </c>
      <c r="G272" s="42" t="n">
        <v>3.69</v>
      </c>
      <c r="H272" s="42" t="n">
        <v>22.3</v>
      </c>
      <c r="J272" s="46" t="n">
        <f aca="false">IF(N(E272)&gt;0,E272,IF(N(F272)&gt;0,F272*요약!$F$27,0))</f>
        <v>89000</v>
      </c>
      <c r="K272" s="46" t="n">
        <f aca="false">IF(N(F272)&gt;0,F272,IF(N(E272)&gt;0,E272/요약!$F$27,0))</f>
        <v>20680</v>
      </c>
      <c r="L272" s="46" t="n">
        <f aca="false">IF(B272="CN",IF(N(I272)&gt;0,I272*요약!$G$27,K272*(1+요약!$E$27)),IF(N(H272)&gt;0,H272*요약!$G$27,J272*요약!$D$27))</f>
        <v>29436</v>
      </c>
      <c r="M272" s="46" t="n">
        <f aca="false">D272*J272</f>
        <v>20470000</v>
      </c>
      <c r="N272" s="46" t="n">
        <f aca="false">D272*K272</f>
        <v>4756400</v>
      </c>
      <c r="O272" s="46" t="n">
        <f aca="false">D272*L272</f>
        <v>6770280</v>
      </c>
      <c r="P272" s="42" t="str">
        <f aca="false">TRIM(IF(N(E272)&lt;=0,"택가보정 ","")&amp;IF(N(F272)&lt;=0,"원가보정 ","")&amp;IF(AND(B272&lt;&gt;"CN",N(H272)&lt;=0),"공급가보정 ","")&amp;IF(AND(B272="CN",N(I272)&lt;=0),"중국공급가=원가+마진 ",""))</f>
        <v/>
      </c>
      <c r="Q272" s="47" t="n">
        <f aca="false">IF(SUMIFS($W:$W,$A:$A,A272,$C:$C,C272)=0,0,SUMIFS(RAW_판매펀칭!$K:$K,RAW_판매펀칭!$P:$P,A272,RAW_판매펀칭!$I:$I,C272)*W272/SUMIFS($W:$W,$A:$A,A272,$C:$C,C272))</f>
        <v>230</v>
      </c>
      <c r="R272" s="47" t="n">
        <f aca="false">IF(OR(A272="500",A272="800",A272="810"),0,MAX(W272-Q272,0))</f>
        <v>0</v>
      </c>
      <c r="S272" s="47" t="n">
        <f aca="false">R272*L272</f>
        <v>0</v>
      </c>
      <c r="T272" s="47" t="n">
        <f aca="false">R272*J272</f>
        <v>0</v>
      </c>
      <c r="U272" s="47" t="n">
        <f aca="false">R272*K272</f>
        <v>0</v>
      </c>
      <c r="V272" s="0" t="str">
        <f aca="false">IF(COUNTIFS($A$2:A272,A272,$C$2:C272,C272,$D$2:D272,D272)&gt;1,"중복","")</f>
        <v/>
      </c>
      <c r="W272" s="0" t="n">
        <f aca="false">IF(V272="중복",0,N(D272))</f>
        <v>230</v>
      </c>
      <c r="X272" s="0" t="n">
        <f aca="false">IF(COUNTIFS($A$2:A272,A272,$C$2:C272,C272)=1,ABS(SUMIFS(RAW_발주!$D:$D,RAW_발주!$C:$C,A272,RAW_발주!$A:$A,C272)-SUMIFS($W:$W,$A:$A,A272,$C:$C,C272)),0)</f>
        <v>0</v>
      </c>
    </row>
    <row r="273" customFormat="false" ht="15" hidden="false" customHeight="true" outlineLevel="0" collapsed="false">
      <c r="A273" s="45" t="s">
        <v>1663</v>
      </c>
      <c r="B273" s="42" t="str">
        <f aca="false">IF(A273="100","HK",IF(A273="200","CN",IF(A273="300","TW","홀세일")))</f>
        <v>홀세일</v>
      </c>
      <c r="C273" s="45" t="s">
        <v>228</v>
      </c>
      <c r="D273" s="46" t="n">
        <v>90</v>
      </c>
      <c r="E273" s="46" t="n">
        <v>89000</v>
      </c>
      <c r="F273" s="46" t="n">
        <v>20680</v>
      </c>
      <c r="G273" s="42" t="n">
        <v>3.69</v>
      </c>
      <c r="H273" s="42" t="n">
        <v>22.3</v>
      </c>
      <c r="J273" s="46" t="n">
        <f aca="false">IF(N(E273)&gt;0,E273,IF(N(F273)&gt;0,F273*요약!$F$27,0))</f>
        <v>89000</v>
      </c>
      <c r="K273" s="46" t="n">
        <f aca="false">IF(N(F273)&gt;0,F273,IF(N(E273)&gt;0,E273/요약!$F$27,0))</f>
        <v>20680</v>
      </c>
      <c r="L273" s="46" t="n">
        <f aca="false">IF(B273="CN",IF(N(I273)&gt;0,I273*요약!$G$27,K273*(1+요약!$E$27)),IF(N(H273)&gt;0,H273*요약!$G$27,J273*요약!$D$27))</f>
        <v>29436</v>
      </c>
      <c r="M273" s="46" t="n">
        <f aca="false">D273*J273</f>
        <v>8010000</v>
      </c>
      <c r="N273" s="46" t="n">
        <f aca="false">D273*K273</f>
        <v>1861200</v>
      </c>
      <c r="O273" s="46" t="n">
        <f aca="false">D273*L273</f>
        <v>2649240</v>
      </c>
      <c r="P273" s="42" t="str">
        <f aca="false">TRIM(IF(N(E273)&lt;=0,"택가보정 ","")&amp;IF(N(F273)&lt;=0,"원가보정 ","")&amp;IF(AND(B273&lt;&gt;"CN",N(H273)&lt;=0),"공급가보정 ","")&amp;IF(AND(B273="CN",N(I273)&lt;=0),"중국공급가=원가+마진 ",""))</f>
        <v/>
      </c>
      <c r="Q273" s="47" t="n">
        <f aca="false">IF(SUMIFS($W:$W,$A:$A,A273,$C:$C,C273)=0,0,SUMIFS(RAW_판매펀칭!$K:$K,RAW_판매펀칭!$P:$P,A273,RAW_판매펀칭!$I:$I,C273)*W273/SUMIFS($W:$W,$A:$A,A273,$C:$C,C273))</f>
        <v>90</v>
      </c>
      <c r="R273" s="47" t="n">
        <f aca="false">IF(OR(A273="500",A273="800",A273="810"),0,MAX(W273-Q273,0))</f>
        <v>0</v>
      </c>
      <c r="S273" s="47" t="n">
        <f aca="false">R273*L273</f>
        <v>0</v>
      </c>
      <c r="T273" s="47" t="n">
        <f aca="false">R273*J273</f>
        <v>0</v>
      </c>
      <c r="U273" s="47" t="n">
        <f aca="false">R273*K273</f>
        <v>0</v>
      </c>
      <c r="V273" s="0" t="str">
        <f aca="false">IF(COUNTIFS($A$2:A273,A273,$C$2:C273,C273,$D$2:D273,D273)&gt;1,"중복","")</f>
        <v/>
      </c>
      <c r="W273" s="0" t="n">
        <f aca="false">IF(V273="중복",0,N(D273))</f>
        <v>90</v>
      </c>
      <c r="X273" s="0" t="n">
        <f aca="false">IF(COUNTIFS($A$2:A273,A273,$C$2:C273,C273)=1,ABS(SUMIFS(RAW_발주!$D:$D,RAW_발주!$C:$C,A273,RAW_발주!$A:$A,C273)-SUMIFS($W:$W,$A:$A,A273,$C:$C,C273)),0)</f>
        <v>0</v>
      </c>
    </row>
    <row r="274" customFormat="false" ht="15" hidden="false" customHeight="true" outlineLevel="0" collapsed="false">
      <c r="A274" s="45" t="s">
        <v>1667</v>
      </c>
      <c r="B274" s="42" t="str">
        <f aca="false">IF(A274="100","HK",IF(A274="200","CN",IF(A274="300","TW","홀세일")))</f>
        <v>홀세일</v>
      </c>
      <c r="C274" s="45" t="s">
        <v>228</v>
      </c>
      <c r="D274" s="46" t="n">
        <v>288</v>
      </c>
      <c r="E274" s="46" t="n">
        <v>89000</v>
      </c>
      <c r="F274" s="46" t="n">
        <v>20680</v>
      </c>
      <c r="G274" s="42" t="n">
        <v>3.69</v>
      </c>
      <c r="H274" s="42" t="n">
        <v>22.3</v>
      </c>
      <c r="J274" s="46" t="n">
        <f aca="false">IF(N(E274)&gt;0,E274,IF(N(F274)&gt;0,F274*요약!$F$27,0))</f>
        <v>89000</v>
      </c>
      <c r="K274" s="46" t="n">
        <f aca="false">IF(N(F274)&gt;0,F274,IF(N(E274)&gt;0,E274/요약!$F$27,0))</f>
        <v>20680</v>
      </c>
      <c r="L274" s="46" t="n">
        <f aca="false">IF(B274="CN",IF(N(I274)&gt;0,I274*요약!$G$27,K274*(1+요약!$E$27)),IF(N(H274)&gt;0,H274*요약!$G$27,J274*요약!$D$27))</f>
        <v>29436</v>
      </c>
      <c r="M274" s="46" t="n">
        <f aca="false">D274*J274</f>
        <v>25632000</v>
      </c>
      <c r="N274" s="46" t="n">
        <f aca="false">D274*K274</f>
        <v>5955840</v>
      </c>
      <c r="O274" s="46" t="n">
        <f aca="false">D274*L274</f>
        <v>8477568</v>
      </c>
      <c r="P274" s="42" t="str">
        <f aca="false">TRIM(IF(N(E274)&lt;=0,"택가보정 ","")&amp;IF(N(F274)&lt;=0,"원가보정 ","")&amp;IF(AND(B274&lt;&gt;"CN",N(H274)&lt;=0),"공급가보정 ","")&amp;IF(AND(B274="CN",N(I274)&lt;=0),"중국공급가=원가+마진 ",""))</f>
        <v/>
      </c>
      <c r="Q274" s="47" t="n">
        <f aca="false">IF(SUMIFS($W:$W,$A:$A,A274,$C:$C,C274)=0,0,SUMIFS(RAW_판매펀칭!$K:$K,RAW_판매펀칭!$P:$P,A274,RAW_판매펀칭!$I:$I,C274)*W274/SUMIFS($W:$W,$A:$A,A274,$C:$C,C274))</f>
        <v>178</v>
      </c>
      <c r="R274" s="47" t="n">
        <f aca="false">IF(OR(A274="500",A274="800",A274="810"),0,MAX(W274-Q274,0))</f>
        <v>110</v>
      </c>
      <c r="S274" s="47" t="n">
        <f aca="false">R274*L274</f>
        <v>3237960</v>
      </c>
      <c r="T274" s="47" t="n">
        <f aca="false">R274*J274</f>
        <v>9790000</v>
      </c>
      <c r="U274" s="47" t="n">
        <f aca="false">R274*K274</f>
        <v>2274800</v>
      </c>
      <c r="V274" s="0" t="str">
        <f aca="false">IF(COUNTIFS($A$2:A274,A274,$C$2:C274,C274,$D$2:D274,D274)&gt;1,"중복","")</f>
        <v/>
      </c>
      <c r="W274" s="0" t="n">
        <f aca="false">IF(V274="중복",0,N(D274))</f>
        <v>288</v>
      </c>
      <c r="X274" s="0" t="n">
        <f aca="false">IF(COUNTIFS($A$2:A274,A274,$C$2:C274,C274)=1,ABS(SUMIFS(RAW_발주!$D:$D,RAW_발주!$C:$C,A274,RAW_발주!$A:$A,C274)-SUMIFS($W:$W,$A:$A,A274,$C:$C,C274)),0)</f>
        <v>0</v>
      </c>
    </row>
    <row r="275" customFormat="false" ht="15" hidden="false" customHeight="true" outlineLevel="0" collapsed="false">
      <c r="A275" s="45" t="s">
        <v>1664</v>
      </c>
      <c r="B275" s="42" t="str">
        <f aca="false">IF(A275="100","HK",IF(A275="200","CN",IF(A275="300","TW","홀세일")))</f>
        <v>홀세일</v>
      </c>
      <c r="C275" s="45" t="s">
        <v>228</v>
      </c>
      <c r="D275" s="46" t="n">
        <v>85</v>
      </c>
      <c r="E275" s="46" t="n">
        <v>89000</v>
      </c>
      <c r="F275" s="46" t="n">
        <v>20680</v>
      </c>
      <c r="G275" s="42" t="n">
        <v>3.69</v>
      </c>
      <c r="H275" s="42" t="n">
        <v>22.3</v>
      </c>
      <c r="J275" s="46" t="n">
        <f aca="false">IF(N(E275)&gt;0,E275,IF(N(F275)&gt;0,F275*요약!$F$27,0))</f>
        <v>89000</v>
      </c>
      <c r="K275" s="46" t="n">
        <f aca="false">IF(N(F275)&gt;0,F275,IF(N(E275)&gt;0,E275/요약!$F$27,0))</f>
        <v>20680</v>
      </c>
      <c r="L275" s="46" t="n">
        <f aca="false">IF(B275="CN",IF(N(I275)&gt;0,I275*요약!$G$27,K275*(1+요약!$E$27)),IF(N(H275)&gt;0,H275*요약!$G$27,J275*요약!$D$27))</f>
        <v>29436</v>
      </c>
      <c r="M275" s="46" t="n">
        <f aca="false">D275*J275</f>
        <v>7565000</v>
      </c>
      <c r="N275" s="46" t="n">
        <f aca="false">D275*K275</f>
        <v>1757800</v>
      </c>
      <c r="O275" s="46" t="n">
        <f aca="false">D275*L275</f>
        <v>2502060</v>
      </c>
      <c r="P275" s="42" t="str">
        <f aca="false">TRIM(IF(N(E275)&lt;=0,"택가보정 ","")&amp;IF(N(F275)&lt;=0,"원가보정 ","")&amp;IF(AND(B275&lt;&gt;"CN",N(H275)&lt;=0),"공급가보정 ","")&amp;IF(AND(B275="CN",N(I275)&lt;=0),"중국공급가=원가+마진 ",""))</f>
        <v/>
      </c>
      <c r="Q275" s="47" t="n">
        <f aca="false">IF(SUMIFS($W:$W,$A:$A,A275,$C:$C,C275)=0,0,SUMIFS(RAW_판매펀칭!$K:$K,RAW_판매펀칭!$P:$P,A275,RAW_판매펀칭!$I:$I,C275)*W275/SUMIFS($W:$W,$A:$A,A275,$C:$C,C275))</f>
        <v>0</v>
      </c>
      <c r="R275" s="47" t="n">
        <f aca="false">IF(OR(A275="500",A275="800",A275="810"),0,MAX(W275-Q275,0))</f>
        <v>0</v>
      </c>
      <c r="S275" s="47" t="n">
        <f aca="false">R275*L275</f>
        <v>0</v>
      </c>
      <c r="T275" s="47" t="n">
        <f aca="false">R275*J275</f>
        <v>0</v>
      </c>
      <c r="U275" s="47" t="n">
        <f aca="false">R275*K275</f>
        <v>0</v>
      </c>
      <c r="V275" s="0" t="str">
        <f aca="false">IF(COUNTIFS($A$2:A275,A275,$C$2:C275,C275,$D$2:D275,D275)&gt;1,"중복","")</f>
        <v/>
      </c>
      <c r="W275" s="0" t="n">
        <f aca="false">IF(V275="중복",0,N(D275))</f>
        <v>85</v>
      </c>
      <c r="X275" s="0" t="n">
        <f aca="false">IF(COUNTIFS($A$2:A275,A275,$C$2:C275,C275)=1,ABS(SUMIFS(RAW_발주!$D:$D,RAW_발주!$C:$C,A275,RAW_발주!$A:$A,C275)-SUMIFS($W:$W,$A:$A,A275,$C:$C,C275)),0)</f>
        <v>0</v>
      </c>
    </row>
    <row r="276" customFormat="false" ht="15" hidden="false" customHeight="true" outlineLevel="0" collapsed="false">
      <c r="A276" s="45" t="s">
        <v>1659</v>
      </c>
      <c r="B276" s="42" t="str">
        <f aca="false">IF(A276="100","HK",IF(A276="200","CN",IF(A276="300","TW","홀세일")))</f>
        <v>HK</v>
      </c>
      <c r="C276" s="45" t="s">
        <v>230</v>
      </c>
      <c r="D276" s="46" t="n">
        <v>390</v>
      </c>
      <c r="E276" s="46" t="n">
        <v>109000</v>
      </c>
      <c r="F276" s="46" t="n">
        <v>24226</v>
      </c>
      <c r="G276" s="42" t="n">
        <v>3.89</v>
      </c>
      <c r="H276" s="42" t="n">
        <v>27.3</v>
      </c>
      <c r="J276" s="46" t="n">
        <f aca="false">IF(N(E276)&gt;0,E276,IF(N(F276)&gt;0,F276*요약!$F$27,0))</f>
        <v>109000</v>
      </c>
      <c r="K276" s="46" t="n">
        <f aca="false">IF(N(F276)&gt;0,F276,IF(N(E276)&gt;0,E276/요약!$F$27,0))</f>
        <v>24226</v>
      </c>
      <c r="L276" s="46" t="n">
        <f aca="false">IF(B276="CN",IF(N(I276)&gt;0,I276*요약!$G$27,K276*(1+요약!$E$27)),IF(N(H276)&gt;0,H276*요약!$G$27,J276*요약!$D$27))</f>
        <v>36036</v>
      </c>
      <c r="M276" s="46" t="n">
        <f aca="false">D276*J276</f>
        <v>42510000</v>
      </c>
      <c r="N276" s="46" t="n">
        <f aca="false">D276*K276</f>
        <v>9448140</v>
      </c>
      <c r="O276" s="46" t="n">
        <f aca="false">D276*L276</f>
        <v>14054040</v>
      </c>
      <c r="P276" s="42" t="str">
        <f aca="false">TRIM(IF(N(E276)&lt;=0,"택가보정 ","")&amp;IF(N(F276)&lt;=0,"원가보정 ","")&amp;IF(AND(B276&lt;&gt;"CN",N(H276)&lt;=0),"공급가보정 ","")&amp;IF(AND(B276="CN",N(I276)&lt;=0),"중국공급가=원가+마진 ",""))</f>
        <v/>
      </c>
      <c r="Q276" s="47" t="n">
        <f aca="false">IF(SUMIFS($W:$W,$A:$A,A276,$C:$C,C276)=0,0,SUMIFS(RAW_판매펀칭!$K:$K,RAW_판매펀칭!$P:$P,A276,RAW_판매펀칭!$I:$I,C276)*W276/SUMIFS($W:$W,$A:$A,A276,$C:$C,C276))</f>
        <v>390</v>
      </c>
      <c r="R276" s="47" t="n">
        <f aca="false">IF(OR(A276="500",A276="800",A276="810"),0,MAX(W276-Q276,0))</f>
        <v>0</v>
      </c>
      <c r="S276" s="47" t="n">
        <f aca="false">R276*L276</f>
        <v>0</v>
      </c>
      <c r="T276" s="47" t="n">
        <f aca="false">R276*J276</f>
        <v>0</v>
      </c>
      <c r="U276" s="47" t="n">
        <f aca="false">R276*K276</f>
        <v>0</v>
      </c>
      <c r="V276" s="0" t="str">
        <f aca="false">IF(COUNTIFS($A$2:A276,A276,$C$2:C276,C276,$D$2:D276,D276)&gt;1,"중복","")</f>
        <v/>
      </c>
      <c r="W276" s="0" t="n">
        <f aca="false">IF(V276="중복",0,N(D276))</f>
        <v>390</v>
      </c>
      <c r="X276" s="0" t="n">
        <f aca="false">IF(COUNTIFS($A$2:A276,A276,$C$2:C276,C276)=1,ABS(SUMIFS(RAW_발주!$D:$D,RAW_발주!$C:$C,A276,RAW_발주!$A:$A,C276)-SUMIFS($W:$W,$A:$A,A276,$C:$C,C276)),0)</f>
        <v>0</v>
      </c>
    </row>
    <row r="277" customFormat="false" ht="15.75" hidden="false" customHeight="true" outlineLevel="0" collapsed="false">
      <c r="A277" s="45" t="s">
        <v>1660</v>
      </c>
      <c r="B277" s="42" t="str">
        <f aca="false">IF(A277="100","HK",IF(A277="200","CN",IF(A277="300","TW","홀세일")))</f>
        <v>CN</v>
      </c>
      <c r="C277" s="45" t="s">
        <v>230</v>
      </c>
      <c r="D277" s="46" t="n">
        <v>1199</v>
      </c>
      <c r="E277" s="46" t="n">
        <v>109000</v>
      </c>
      <c r="F277" s="46" t="n">
        <v>24226</v>
      </c>
      <c r="G277" s="42" t="n">
        <v>3.89</v>
      </c>
      <c r="H277" s="42" t="n">
        <v>27.3</v>
      </c>
      <c r="J277" s="46" t="n">
        <f aca="false">IF(N(E277)&gt;0,E277,IF(N(F277)&gt;0,F277*요약!$F$27,0))</f>
        <v>109000</v>
      </c>
      <c r="K277" s="46" t="n">
        <f aca="false">IF(N(F277)&gt;0,F277,IF(N(E277)&gt;0,E277/요약!$F$27,0))</f>
        <v>24226</v>
      </c>
      <c r="L277" s="46" t="n">
        <f aca="false">IF(B277="CN",IF(N(I277)&gt;0,I277*요약!$G$27,K277*(1+요약!$E$27)),IF(N(H277)&gt;0,H277*요약!$G$27,J277*요약!$D$27))</f>
        <v>25437.3</v>
      </c>
      <c r="M277" s="46" t="n">
        <f aca="false">D277*J277</f>
        <v>130691000</v>
      </c>
      <c r="N277" s="46" t="n">
        <f aca="false">D277*K277</f>
        <v>29046974</v>
      </c>
      <c r="O277" s="46" t="n">
        <f aca="false">D277*L277</f>
        <v>30499322.7</v>
      </c>
      <c r="P277" s="42" t="str">
        <f aca="false">TRIM(IF(N(E277)&lt;=0,"택가보정 ","")&amp;IF(N(F277)&lt;=0,"원가보정 ","")&amp;IF(AND(B277&lt;&gt;"CN",N(H277)&lt;=0),"공급가보정 ","")&amp;IF(AND(B277="CN",N(I277)&lt;=0),"중국공급가=원가+마진 ",""))</f>
        <v>중국공급가=원가+마진</v>
      </c>
      <c r="Q277" s="47" t="n">
        <f aca="false">IF(SUMIFS($W:$W,$A:$A,A277,$C:$C,C277)=0,0,SUMIFS(RAW_판매펀칭!$K:$K,RAW_판매펀칭!$P:$P,A277,RAW_판매펀칭!$I:$I,C277)*W277/SUMIFS($W:$W,$A:$A,A277,$C:$C,C277))</f>
        <v>1195</v>
      </c>
      <c r="R277" s="47" t="n">
        <f aca="false">IF(OR(A277="500",A277="800",A277="810"),0,MAX(W277-Q277,0))</f>
        <v>4</v>
      </c>
      <c r="S277" s="47" t="n">
        <f aca="false">R277*L277</f>
        <v>101749.2</v>
      </c>
      <c r="T277" s="47" t="n">
        <f aca="false">R277*J277</f>
        <v>436000</v>
      </c>
      <c r="U277" s="47" t="n">
        <f aca="false">R277*K277</f>
        <v>96904</v>
      </c>
      <c r="V277" s="0" t="str">
        <f aca="false">IF(COUNTIFS($A$2:A277,A277,$C$2:C277,C277,$D$2:D277,D277)&gt;1,"중복","")</f>
        <v/>
      </c>
      <c r="W277" s="0" t="n">
        <f aca="false">IF(V277="중복",0,N(D277))</f>
        <v>1199</v>
      </c>
      <c r="X277" s="0" t="n">
        <f aca="false">IF(COUNTIFS($A$2:A277,A277,$C$2:C277,C277)=1,ABS(SUMIFS(RAW_발주!$D:$D,RAW_발주!$C:$C,A277,RAW_발주!$A:$A,C277)-SUMIFS($W:$W,$A:$A,A277,$C:$C,C277)),0)</f>
        <v>0</v>
      </c>
    </row>
    <row r="278" customFormat="false" ht="15" hidden="false" customHeight="true" outlineLevel="0" collapsed="false">
      <c r="A278" s="45" t="s">
        <v>1661</v>
      </c>
      <c r="B278" s="42" t="str">
        <f aca="false">IF(A278="100","HK",IF(A278="200","CN",IF(A278="300","TW","홀세일")))</f>
        <v>TW</v>
      </c>
      <c r="C278" s="45" t="s">
        <v>230</v>
      </c>
      <c r="D278" s="46" t="n">
        <v>300</v>
      </c>
      <c r="E278" s="46" t="n">
        <v>109000</v>
      </c>
      <c r="F278" s="46" t="n">
        <v>24226</v>
      </c>
      <c r="G278" s="42" t="n">
        <v>3.89</v>
      </c>
      <c r="H278" s="42" t="n">
        <v>27.3</v>
      </c>
      <c r="J278" s="46" t="n">
        <f aca="false">IF(N(E278)&gt;0,E278,IF(N(F278)&gt;0,F278*요약!$F$27,0))</f>
        <v>109000</v>
      </c>
      <c r="K278" s="46" t="n">
        <f aca="false">IF(N(F278)&gt;0,F278,IF(N(E278)&gt;0,E278/요약!$F$27,0))</f>
        <v>24226</v>
      </c>
      <c r="L278" s="46" t="n">
        <f aca="false">IF(B278="CN",IF(N(I278)&gt;0,I278*요약!$G$27,K278*(1+요약!$E$27)),IF(N(H278)&gt;0,H278*요약!$G$27,J278*요약!$D$27))</f>
        <v>36036</v>
      </c>
      <c r="M278" s="46" t="n">
        <f aca="false">D278*J278</f>
        <v>32700000</v>
      </c>
      <c r="N278" s="46" t="n">
        <f aca="false">D278*K278</f>
        <v>7267800</v>
      </c>
      <c r="O278" s="46" t="n">
        <f aca="false">D278*L278</f>
        <v>10810800</v>
      </c>
      <c r="P278" s="42" t="str">
        <f aca="false">TRIM(IF(N(E278)&lt;=0,"택가보정 ","")&amp;IF(N(F278)&lt;=0,"원가보정 ","")&amp;IF(AND(B278&lt;&gt;"CN",N(H278)&lt;=0),"공급가보정 ","")&amp;IF(AND(B278="CN",N(I278)&lt;=0),"중국공급가=원가+마진 ",""))</f>
        <v/>
      </c>
      <c r="Q278" s="47" t="n">
        <f aca="false">IF(SUMIFS($W:$W,$A:$A,A278,$C:$C,C278)=0,0,SUMIFS(RAW_판매펀칭!$K:$K,RAW_판매펀칭!$P:$P,A278,RAW_판매펀칭!$I:$I,C278)*W278/SUMIFS($W:$W,$A:$A,A278,$C:$C,C278))</f>
        <v>300</v>
      </c>
      <c r="R278" s="47" t="n">
        <f aca="false">IF(OR(A278="500",A278="800",A278="810"),0,MAX(W278-Q278,0))</f>
        <v>0</v>
      </c>
      <c r="S278" s="47" t="n">
        <f aca="false">R278*L278</f>
        <v>0</v>
      </c>
      <c r="T278" s="47" t="n">
        <f aca="false">R278*J278</f>
        <v>0</v>
      </c>
      <c r="U278" s="47" t="n">
        <f aca="false">R278*K278</f>
        <v>0</v>
      </c>
      <c r="V278" s="0" t="str">
        <f aca="false">IF(COUNTIFS($A$2:A278,A278,$C$2:C278,C278,$D$2:D278,D278)&gt;1,"중복","")</f>
        <v/>
      </c>
      <c r="W278" s="0" t="n">
        <f aca="false">IF(V278="중복",0,N(D278))</f>
        <v>300</v>
      </c>
      <c r="X278" s="0" t="n">
        <f aca="false">IF(COUNTIFS($A$2:A278,A278,$C$2:C278,C278)=1,ABS(SUMIFS(RAW_발주!$D:$D,RAW_발주!$C:$C,A278,RAW_발주!$A:$A,C278)-SUMIFS($W:$W,$A:$A,A278,$C:$C,C278)),0)</f>
        <v>0</v>
      </c>
    </row>
    <row r="279" customFormat="false" ht="15" hidden="false" customHeight="true" outlineLevel="0" collapsed="false">
      <c r="A279" s="45" t="s">
        <v>1663</v>
      </c>
      <c r="B279" s="42" t="str">
        <f aca="false">IF(A279="100","HK",IF(A279="200","CN",IF(A279="300","TW","홀세일")))</f>
        <v>홀세일</v>
      </c>
      <c r="C279" s="45" t="s">
        <v>230</v>
      </c>
      <c r="D279" s="46" t="n">
        <v>115</v>
      </c>
      <c r="E279" s="46" t="n">
        <v>109000</v>
      </c>
      <c r="F279" s="46" t="n">
        <v>24226</v>
      </c>
      <c r="G279" s="42" t="n">
        <v>3.89</v>
      </c>
      <c r="H279" s="42" t="n">
        <v>27.3</v>
      </c>
      <c r="J279" s="46" t="n">
        <f aca="false">IF(N(E279)&gt;0,E279,IF(N(F279)&gt;0,F279*요약!$F$27,0))</f>
        <v>109000</v>
      </c>
      <c r="K279" s="46" t="n">
        <f aca="false">IF(N(F279)&gt;0,F279,IF(N(E279)&gt;0,E279/요약!$F$27,0))</f>
        <v>24226</v>
      </c>
      <c r="L279" s="46" t="n">
        <f aca="false">IF(B279="CN",IF(N(I279)&gt;0,I279*요약!$G$27,K279*(1+요약!$E$27)),IF(N(H279)&gt;0,H279*요약!$G$27,J279*요약!$D$27))</f>
        <v>36036</v>
      </c>
      <c r="M279" s="46" t="n">
        <f aca="false">D279*J279</f>
        <v>12535000</v>
      </c>
      <c r="N279" s="46" t="n">
        <f aca="false">D279*K279</f>
        <v>2785990</v>
      </c>
      <c r="O279" s="46" t="n">
        <f aca="false">D279*L279</f>
        <v>4144140</v>
      </c>
      <c r="P279" s="42" t="str">
        <f aca="false">TRIM(IF(N(E279)&lt;=0,"택가보정 ","")&amp;IF(N(F279)&lt;=0,"원가보정 ","")&amp;IF(AND(B279&lt;&gt;"CN",N(H279)&lt;=0),"공급가보정 ","")&amp;IF(AND(B279="CN",N(I279)&lt;=0),"중국공급가=원가+마진 ",""))</f>
        <v/>
      </c>
      <c r="Q279" s="47" t="n">
        <f aca="false">IF(SUMIFS($W:$W,$A:$A,A279,$C:$C,C279)=0,0,SUMIFS(RAW_판매펀칭!$K:$K,RAW_판매펀칭!$P:$P,A279,RAW_판매펀칭!$I:$I,C279)*W279/SUMIFS($W:$W,$A:$A,A279,$C:$C,C279))</f>
        <v>55</v>
      </c>
      <c r="R279" s="47" t="n">
        <f aca="false">IF(OR(A279="500",A279="800",A279="810"),0,MAX(W279-Q279,0))</f>
        <v>60</v>
      </c>
      <c r="S279" s="47" t="n">
        <f aca="false">R279*L279</f>
        <v>2162160</v>
      </c>
      <c r="T279" s="47" t="n">
        <f aca="false">R279*J279</f>
        <v>6540000</v>
      </c>
      <c r="U279" s="47" t="n">
        <f aca="false">R279*K279</f>
        <v>1453560</v>
      </c>
      <c r="V279" s="0" t="str">
        <f aca="false">IF(COUNTIFS($A$2:A279,A279,$C$2:C279,C279,$D$2:D279,D279)&gt;1,"중복","")</f>
        <v/>
      </c>
      <c r="W279" s="0" t="n">
        <f aca="false">IF(V279="중복",0,N(D279))</f>
        <v>115</v>
      </c>
      <c r="X279" s="0" t="n">
        <f aca="false">IF(COUNTIFS($A$2:A279,A279,$C$2:C279,C279)=1,ABS(SUMIFS(RAW_발주!$D:$D,RAW_발주!$C:$C,A279,RAW_발주!$A:$A,C279)-SUMIFS($W:$W,$A:$A,A279,$C:$C,C279)),0)</f>
        <v>0</v>
      </c>
    </row>
    <row r="280" customFormat="false" ht="15" hidden="false" customHeight="true" outlineLevel="0" collapsed="false">
      <c r="A280" s="45" t="s">
        <v>1667</v>
      </c>
      <c r="B280" s="42" t="str">
        <f aca="false">IF(A280="100","HK",IF(A280="200","CN",IF(A280="300","TW","홀세일")))</f>
        <v>홀세일</v>
      </c>
      <c r="C280" s="45" t="s">
        <v>230</v>
      </c>
      <c r="D280" s="46" t="n">
        <v>237</v>
      </c>
      <c r="E280" s="46" t="n">
        <v>109000</v>
      </c>
      <c r="F280" s="46" t="n">
        <v>24226</v>
      </c>
      <c r="G280" s="42" t="n">
        <v>3.89</v>
      </c>
      <c r="H280" s="42" t="n">
        <v>27.3</v>
      </c>
      <c r="J280" s="46" t="n">
        <f aca="false">IF(N(E280)&gt;0,E280,IF(N(F280)&gt;0,F280*요약!$F$27,0))</f>
        <v>109000</v>
      </c>
      <c r="K280" s="46" t="n">
        <f aca="false">IF(N(F280)&gt;0,F280,IF(N(E280)&gt;0,E280/요약!$F$27,0))</f>
        <v>24226</v>
      </c>
      <c r="L280" s="46" t="n">
        <f aca="false">IF(B280="CN",IF(N(I280)&gt;0,I280*요약!$G$27,K280*(1+요약!$E$27)),IF(N(H280)&gt;0,H280*요약!$G$27,J280*요약!$D$27))</f>
        <v>36036</v>
      </c>
      <c r="M280" s="46" t="n">
        <f aca="false">D280*J280</f>
        <v>25833000</v>
      </c>
      <c r="N280" s="46" t="n">
        <f aca="false">D280*K280</f>
        <v>5741562</v>
      </c>
      <c r="O280" s="46" t="n">
        <f aca="false">D280*L280</f>
        <v>8540532</v>
      </c>
      <c r="P280" s="42" t="str">
        <f aca="false">TRIM(IF(N(E280)&lt;=0,"택가보정 ","")&amp;IF(N(F280)&lt;=0,"원가보정 ","")&amp;IF(AND(B280&lt;&gt;"CN",N(H280)&lt;=0),"공급가보정 ","")&amp;IF(AND(B280="CN",N(I280)&lt;=0),"중국공급가=원가+마진 ",""))</f>
        <v/>
      </c>
      <c r="Q280" s="47" t="n">
        <f aca="false">IF(SUMIFS($W:$W,$A:$A,A280,$C:$C,C280)=0,0,SUMIFS(RAW_판매펀칭!$K:$K,RAW_판매펀칭!$P:$P,A280,RAW_판매펀칭!$I:$I,C280)*W280/SUMIFS($W:$W,$A:$A,A280,$C:$C,C280))</f>
        <v>127</v>
      </c>
      <c r="R280" s="47" t="n">
        <f aca="false">IF(OR(A280="500",A280="800",A280="810"),0,MAX(W280-Q280,0))</f>
        <v>110</v>
      </c>
      <c r="S280" s="47" t="n">
        <f aca="false">R280*L280</f>
        <v>3963960</v>
      </c>
      <c r="T280" s="47" t="n">
        <f aca="false">R280*J280</f>
        <v>11990000</v>
      </c>
      <c r="U280" s="47" t="n">
        <f aca="false">R280*K280</f>
        <v>2664860</v>
      </c>
      <c r="V280" s="0" t="str">
        <f aca="false">IF(COUNTIFS($A$2:A280,A280,$C$2:C280,C280,$D$2:D280,D280)&gt;1,"중복","")</f>
        <v/>
      </c>
      <c r="W280" s="0" t="n">
        <f aca="false">IF(V280="중복",0,N(D280))</f>
        <v>237</v>
      </c>
      <c r="X280" s="0" t="n">
        <f aca="false">IF(COUNTIFS($A$2:A280,A280,$C$2:C280,C280)=1,ABS(SUMIFS(RAW_발주!$D:$D,RAW_발주!$C:$C,A280,RAW_발주!$A:$A,C280)-SUMIFS($W:$W,$A:$A,A280,$C:$C,C280)),0)</f>
        <v>0</v>
      </c>
    </row>
    <row r="281" customFormat="false" ht="15" hidden="false" customHeight="true" outlineLevel="0" collapsed="false">
      <c r="A281" s="45" t="s">
        <v>1663</v>
      </c>
      <c r="B281" s="42" t="str">
        <f aca="false">IF(A281="100","HK",IF(A281="200","CN",IF(A281="300","TW","홀세일")))</f>
        <v>홀세일</v>
      </c>
      <c r="C281" s="45" t="s">
        <v>1288</v>
      </c>
      <c r="D281" s="46" t="n">
        <v>40</v>
      </c>
      <c r="E281" s="46" t="n">
        <v>109000</v>
      </c>
      <c r="F281" s="46" t="n">
        <v>17900</v>
      </c>
      <c r="G281" s="42" t="n">
        <v>5.22</v>
      </c>
      <c r="H281" s="42" t="n">
        <v>27.3</v>
      </c>
      <c r="J281" s="46" t="n">
        <f aca="false">IF(N(E281)&gt;0,E281,IF(N(F281)&gt;0,F281*요약!$F$27,0))</f>
        <v>109000</v>
      </c>
      <c r="K281" s="46" t="n">
        <f aca="false">IF(N(F281)&gt;0,F281,IF(N(E281)&gt;0,E281/요약!$F$27,0))</f>
        <v>17900</v>
      </c>
      <c r="L281" s="46" t="n">
        <f aca="false">IF(B281="CN",IF(N(I281)&gt;0,I281*요약!$G$27,K281*(1+요약!$E$27)),IF(N(H281)&gt;0,H281*요약!$G$27,J281*요약!$D$27))</f>
        <v>36036</v>
      </c>
      <c r="M281" s="46" t="n">
        <f aca="false">D281*J281</f>
        <v>4360000</v>
      </c>
      <c r="N281" s="46" t="n">
        <f aca="false">D281*K281</f>
        <v>716000</v>
      </c>
      <c r="O281" s="46" t="n">
        <f aca="false">D281*L281</f>
        <v>1441440</v>
      </c>
      <c r="P281" s="42" t="str">
        <f aca="false">TRIM(IF(N(E281)&lt;=0,"택가보정 ","")&amp;IF(N(F281)&lt;=0,"원가보정 ","")&amp;IF(AND(B281&lt;&gt;"CN",N(H281)&lt;=0),"공급가보정 ","")&amp;IF(AND(B281="CN",N(I281)&lt;=0),"중국공급가=원가+마진 ",""))</f>
        <v/>
      </c>
      <c r="Q281" s="47" t="n">
        <f aca="false">IF(SUMIFS($W:$W,$A:$A,A281,$C:$C,C281)=0,0,SUMIFS(RAW_판매펀칭!$K:$K,RAW_판매펀칭!$P:$P,A281,RAW_판매펀칭!$I:$I,C281)*W281/SUMIFS($W:$W,$A:$A,A281,$C:$C,C281))</f>
        <v>40</v>
      </c>
      <c r="R281" s="47" t="n">
        <f aca="false">IF(OR(A281="500",A281="800",A281="810"),0,MAX(W281-Q281,0))</f>
        <v>0</v>
      </c>
      <c r="S281" s="47" t="n">
        <f aca="false">R281*L281</f>
        <v>0</v>
      </c>
      <c r="T281" s="47" t="n">
        <f aca="false">R281*J281</f>
        <v>0</v>
      </c>
      <c r="U281" s="47" t="n">
        <f aca="false">R281*K281</f>
        <v>0</v>
      </c>
      <c r="V281" s="0" t="str">
        <f aca="false">IF(COUNTIFS($A$2:A281,A281,$C$2:C281,C281,$D$2:D281,D281)&gt;1,"중복","")</f>
        <v/>
      </c>
      <c r="W281" s="0" t="n">
        <f aca="false">IF(V281="중복",0,N(D281))</f>
        <v>40</v>
      </c>
      <c r="X281" s="0" t="n">
        <f aca="false">IF(COUNTIFS($A$2:A281,A281,$C$2:C281,C281)=1,ABS(SUMIFS(RAW_발주!$D:$D,RAW_발주!$C:$C,A281,RAW_발주!$A:$A,C281)-SUMIFS($W:$W,$A:$A,A281,$C:$C,C281)),0)</f>
        <v>0</v>
      </c>
    </row>
    <row r="282" customFormat="false" ht="15" hidden="false" customHeight="true" outlineLevel="0" collapsed="false">
      <c r="A282" s="45" t="s">
        <v>1665</v>
      </c>
      <c r="B282" s="42" t="str">
        <f aca="false">IF(A282="100","HK",IF(A282="200","CN",IF(A282="300","TW","홀세일")))</f>
        <v>홀세일</v>
      </c>
      <c r="C282" s="45" t="s">
        <v>1288</v>
      </c>
      <c r="D282" s="46" t="n">
        <v>216</v>
      </c>
      <c r="E282" s="46" t="n">
        <v>109000</v>
      </c>
      <c r="F282" s="46" t="n">
        <v>17900</v>
      </c>
      <c r="G282" s="42" t="n">
        <v>5.22</v>
      </c>
      <c r="H282" s="42" t="n">
        <v>27.3</v>
      </c>
      <c r="J282" s="46" t="n">
        <f aca="false">IF(N(E282)&gt;0,E282,IF(N(F282)&gt;0,F282*요약!$F$27,0))</f>
        <v>109000</v>
      </c>
      <c r="K282" s="46" t="n">
        <f aca="false">IF(N(F282)&gt;0,F282,IF(N(E282)&gt;0,E282/요약!$F$27,0))</f>
        <v>17900</v>
      </c>
      <c r="L282" s="46" t="n">
        <f aca="false">IF(B282="CN",IF(N(I282)&gt;0,I282*요약!$G$27,K282*(1+요약!$E$27)),IF(N(H282)&gt;0,H282*요약!$G$27,J282*요약!$D$27))</f>
        <v>36036</v>
      </c>
      <c r="M282" s="46" t="n">
        <f aca="false">D282*J282</f>
        <v>23544000</v>
      </c>
      <c r="N282" s="46" t="n">
        <f aca="false">D282*K282</f>
        <v>3866400</v>
      </c>
      <c r="O282" s="46" t="n">
        <f aca="false">D282*L282</f>
        <v>7783776</v>
      </c>
      <c r="P282" s="42" t="str">
        <f aca="false">TRIM(IF(N(E282)&lt;=0,"택가보정 ","")&amp;IF(N(F282)&lt;=0,"원가보정 ","")&amp;IF(AND(B282&lt;&gt;"CN",N(H282)&lt;=0),"공급가보정 ","")&amp;IF(AND(B282="CN",N(I282)&lt;=0),"중국공급가=원가+마진 ",""))</f>
        <v/>
      </c>
      <c r="Q282" s="47" t="n">
        <f aca="false">IF(SUMIFS($W:$W,$A:$A,A282,$C:$C,C282)=0,0,SUMIFS(RAW_판매펀칭!$K:$K,RAW_판매펀칭!$P:$P,A282,RAW_판매펀칭!$I:$I,C282)*W282/SUMIFS($W:$W,$A:$A,A282,$C:$C,C282))</f>
        <v>216</v>
      </c>
      <c r="R282" s="47" t="n">
        <f aca="false">IF(OR(A282="500",A282="800",A282="810"),0,MAX(W282-Q282,0))</f>
        <v>0</v>
      </c>
      <c r="S282" s="47" t="n">
        <f aca="false">R282*L282</f>
        <v>0</v>
      </c>
      <c r="T282" s="47" t="n">
        <f aca="false">R282*J282</f>
        <v>0</v>
      </c>
      <c r="U282" s="47" t="n">
        <f aca="false">R282*K282</f>
        <v>0</v>
      </c>
      <c r="V282" s="0" t="str">
        <f aca="false">IF(COUNTIFS($A$2:A282,A282,$C$2:C282,C282,$D$2:D282,D282)&gt;1,"중복","")</f>
        <v/>
      </c>
      <c r="W282" s="0" t="n">
        <f aca="false">IF(V282="중복",0,N(D282))</f>
        <v>216</v>
      </c>
      <c r="X282" s="0" t="n">
        <f aca="false">IF(COUNTIFS($A$2:A282,A282,$C$2:C282,C282)=1,ABS(SUMIFS(RAW_발주!$D:$D,RAW_발주!$C:$C,A282,RAW_발주!$A:$A,C282)-SUMIFS($W:$W,$A:$A,A282,$C:$C,C282)),0)</f>
        <v>0</v>
      </c>
    </row>
    <row r="283" customFormat="false" ht="15" hidden="false" customHeight="true" outlineLevel="0" collapsed="false">
      <c r="A283" s="45" t="s">
        <v>1664</v>
      </c>
      <c r="B283" s="42" t="str">
        <f aca="false">IF(A283="100","HK",IF(A283="200","CN",IF(A283="300","TW","홀세일")))</f>
        <v>홀세일</v>
      </c>
      <c r="C283" s="45" t="s">
        <v>1673</v>
      </c>
      <c r="D283" s="46" t="n">
        <v>40</v>
      </c>
      <c r="E283" s="46" t="n">
        <v>139000</v>
      </c>
      <c r="F283" s="46" t="n">
        <v>27900</v>
      </c>
      <c r="G283" s="42" t="n">
        <v>4.04</v>
      </c>
      <c r="H283" s="42" t="n">
        <v>34.8</v>
      </c>
      <c r="J283" s="46" t="n">
        <f aca="false">IF(N(E283)&gt;0,E283,IF(N(F283)&gt;0,F283*요약!$F$27,0))</f>
        <v>139000</v>
      </c>
      <c r="K283" s="46" t="n">
        <f aca="false">IF(N(F283)&gt;0,F283,IF(N(E283)&gt;0,E283/요약!$F$27,0))</f>
        <v>27900</v>
      </c>
      <c r="L283" s="46" t="n">
        <f aca="false">IF(B283="CN",IF(N(I283)&gt;0,I283*요약!$G$27,K283*(1+요약!$E$27)),IF(N(H283)&gt;0,H283*요약!$G$27,J283*요약!$D$27))</f>
        <v>45936</v>
      </c>
      <c r="M283" s="46" t="n">
        <f aca="false">D283*J283</f>
        <v>5560000</v>
      </c>
      <c r="N283" s="46" t="n">
        <f aca="false">D283*K283</f>
        <v>1116000</v>
      </c>
      <c r="O283" s="46" t="n">
        <f aca="false">D283*L283</f>
        <v>1837440</v>
      </c>
      <c r="P283" s="42" t="str">
        <f aca="false">TRIM(IF(N(E283)&lt;=0,"택가보정 ","")&amp;IF(N(F283)&lt;=0,"원가보정 ","")&amp;IF(AND(B283&lt;&gt;"CN",N(H283)&lt;=0),"공급가보정 ","")&amp;IF(AND(B283="CN",N(I283)&lt;=0),"중국공급가=원가+마진 ",""))</f>
        <v/>
      </c>
      <c r="Q283" s="47" t="n">
        <f aca="false">IF(SUMIFS($W:$W,$A:$A,A283,$C:$C,C283)=0,0,SUMIFS(RAW_판매펀칭!$K:$K,RAW_판매펀칭!$P:$P,A283,RAW_판매펀칭!$I:$I,C283)*W283/SUMIFS($W:$W,$A:$A,A283,$C:$C,C283))</f>
        <v>0</v>
      </c>
      <c r="R283" s="47" t="n">
        <f aca="false">IF(OR(A283="500",A283="800",A283="810"),0,MAX(W283-Q283,0))</f>
        <v>0</v>
      </c>
      <c r="S283" s="47" t="n">
        <f aca="false">R283*L283</f>
        <v>0</v>
      </c>
      <c r="T283" s="47" t="n">
        <f aca="false">R283*J283</f>
        <v>0</v>
      </c>
      <c r="U283" s="47" t="n">
        <f aca="false">R283*K283</f>
        <v>0</v>
      </c>
      <c r="V283" s="0" t="str">
        <f aca="false">IF(COUNTIFS($A$2:A283,A283,$C$2:C283,C283,$D$2:D283,D283)&gt;1,"중복","")</f>
        <v/>
      </c>
      <c r="W283" s="0" t="n">
        <f aca="false">IF(V283="중복",0,N(D283))</f>
        <v>40</v>
      </c>
      <c r="X283" s="0" t="n">
        <f aca="false">IF(COUNTIFS($A$2:A283,A283,$C$2:C283,C283)=1,ABS(SUMIFS(RAW_발주!$D:$D,RAW_발주!$C:$C,A283,RAW_발주!$A:$A,C283)-SUMIFS($W:$W,$A:$A,A283,$C:$C,C283)),0)</f>
        <v>0</v>
      </c>
    </row>
    <row r="284" customFormat="false" ht="15" hidden="false" customHeight="true" outlineLevel="0" collapsed="false">
      <c r="A284" s="45" t="s">
        <v>1659</v>
      </c>
      <c r="B284" s="42" t="str">
        <f aca="false">IF(A284="100","HK",IF(A284="200","CN",IF(A284="300","TW","홀세일")))</f>
        <v>HK</v>
      </c>
      <c r="C284" s="45" t="s">
        <v>232</v>
      </c>
      <c r="D284" s="46" t="n">
        <v>180</v>
      </c>
      <c r="E284" s="46" t="n">
        <v>149000</v>
      </c>
      <c r="F284" s="46" t="n">
        <v>28214</v>
      </c>
      <c r="G284" s="42" t="n">
        <v>4.17</v>
      </c>
      <c r="H284" s="42" t="n">
        <v>37.3</v>
      </c>
      <c r="J284" s="46" t="n">
        <f aca="false">IF(N(E284)&gt;0,E284,IF(N(F284)&gt;0,F284*요약!$F$27,0))</f>
        <v>149000</v>
      </c>
      <c r="K284" s="46" t="n">
        <f aca="false">IF(N(F284)&gt;0,F284,IF(N(E284)&gt;0,E284/요약!$F$27,0))</f>
        <v>28214</v>
      </c>
      <c r="L284" s="46" t="n">
        <f aca="false">IF(B284="CN",IF(N(I284)&gt;0,I284*요약!$G$27,K284*(1+요약!$E$27)),IF(N(H284)&gt;0,H284*요약!$G$27,J284*요약!$D$27))</f>
        <v>49236</v>
      </c>
      <c r="M284" s="46" t="n">
        <f aca="false">D284*J284</f>
        <v>26820000</v>
      </c>
      <c r="N284" s="46" t="n">
        <f aca="false">D284*K284</f>
        <v>5078520</v>
      </c>
      <c r="O284" s="46" t="n">
        <f aca="false">D284*L284</f>
        <v>8862480</v>
      </c>
      <c r="P284" s="42" t="str">
        <f aca="false">TRIM(IF(N(E284)&lt;=0,"택가보정 ","")&amp;IF(N(F284)&lt;=0,"원가보정 ","")&amp;IF(AND(B284&lt;&gt;"CN",N(H284)&lt;=0),"공급가보정 ","")&amp;IF(AND(B284="CN",N(I284)&lt;=0),"중국공급가=원가+마진 ",""))</f>
        <v/>
      </c>
      <c r="Q284" s="47" t="n">
        <f aca="false">IF(SUMIFS($W:$W,$A:$A,A284,$C:$C,C284)=0,0,SUMIFS(RAW_판매펀칭!$K:$K,RAW_판매펀칭!$P:$P,A284,RAW_판매펀칭!$I:$I,C284)*W284/SUMIFS($W:$W,$A:$A,A284,$C:$C,C284))</f>
        <v>180</v>
      </c>
      <c r="R284" s="47" t="n">
        <f aca="false">IF(OR(A284="500",A284="800",A284="810"),0,MAX(W284-Q284,0))</f>
        <v>0</v>
      </c>
      <c r="S284" s="47" t="n">
        <f aca="false">R284*L284</f>
        <v>0</v>
      </c>
      <c r="T284" s="47" t="n">
        <f aca="false">R284*J284</f>
        <v>0</v>
      </c>
      <c r="U284" s="47" t="n">
        <f aca="false">R284*K284</f>
        <v>0</v>
      </c>
      <c r="V284" s="0" t="str">
        <f aca="false">IF(COUNTIFS($A$2:A284,A284,$C$2:C284,C284,$D$2:D284,D284)&gt;1,"중복","")</f>
        <v/>
      </c>
      <c r="W284" s="0" t="n">
        <f aca="false">IF(V284="중복",0,N(D284))</f>
        <v>180</v>
      </c>
      <c r="X284" s="0" t="n">
        <f aca="false">IF(COUNTIFS($A$2:A284,A284,$C$2:C284,C284)=1,ABS(SUMIFS(RAW_발주!$D:$D,RAW_발주!$C:$C,A284,RAW_발주!$A:$A,C284)-SUMIFS($W:$W,$A:$A,A284,$C:$C,C284)),0)</f>
        <v>0</v>
      </c>
    </row>
    <row r="285" customFormat="false" ht="15.75" hidden="false" customHeight="true" outlineLevel="0" collapsed="false">
      <c r="A285" s="45" t="s">
        <v>1660</v>
      </c>
      <c r="B285" s="42" t="str">
        <f aca="false">IF(A285="100","HK",IF(A285="200","CN",IF(A285="300","TW","홀세일")))</f>
        <v>CN</v>
      </c>
      <c r="C285" s="45" t="s">
        <v>232</v>
      </c>
      <c r="D285" s="46" t="n">
        <v>101</v>
      </c>
      <c r="E285" s="46" t="n">
        <v>149000</v>
      </c>
      <c r="F285" s="46" t="n">
        <v>28214</v>
      </c>
      <c r="G285" s="42" t="n">
        <v>4.17</v>
      </c>
      <c r="H285" s="42" t="n">
        <v>37.3</v>
      </c>
      <c r="J285" s="46" t="n">
        <f aca="false">IF(N(E285)&gt;0,E285,IF(N(F285)&gt;0,F285*요약!$F$27,0))</f>
        <v>149000</v>
      </c>
      <c r="K285" s="46" t="n">
        <f aca="false">IF(N(F285)&gt;0,F285,IF(N(E285)&gt;0,E285/요약!$F$27,0))</f>
        <v>28214</v>
      </c>
      <c r="L285" s="46" t="n">
        <f aca="false">IF(B285="CN",IF(N(I285)&gt;0,I285*요약!$G$27,K285*(1+요약!$E$27)),IF(N(H285)&gt;0,H285*요약!$G$27,J285*요약!$D$27))</f>
        <v>29624.7</v>
      </c>
      <c r="M285" s="46" t="n">
        <f aca="false">D285*J285</f>
        <v>15049000</v>
      </c>
      <c r="N285" s="46" t="n">
        <f aca="false">D285*K285</f>
        <v>2849614</v>
      </c>
      <c r="O285" s="46" t="n">
        <f aca="false">D285*L285</f>
        <v>2992094.7</v>
      </c>
      <c r="P285" s="42" t="str">
        <f aca="false">TRIM(IF(N(E285)&lt;=0,"택가보정 ","")&amp;IF(N(F285)&lt;=0,"원가보정 ","")&amp;IF(AND(B285&lt;&gt;"CN",N(H285)&lt;=0),"공급가보정 ","")&amp;IF(AND(B285="CN",N(I285)&lt;=0),"중국공급가=원가+마진 ",""))</f>
        <v>중국공급가=원가+마진</v>
      </c>
      <c r="Q285" s="47" t="n">
        <f aca="false">IF(SUMIFS($W:$W,$A:$A,A285,$C:$C,C285)=0,0,SUMIFS(RAW_판매펀칭!$K:$K,RAW_판매펀칭!$P:$P,A285,RAW_판매펀칭!$I:$I,C285)*W285/SUMIFS($W:$W,$A:$A,A285,$C:$C,C285))</f>
        <v>100</v>
      </c>
      <c r="R285" s="47" t="n">
        <f aca="false">IF(OR(A285="500",A285="800",A285="810"),0,MAX(W285-Q285,0))</f>
        <v>1</v>
      </c>
      <c r="S285" s="47" t="n">
        <f aca="false">R285*L285</f>
        <v>29624.7</v>
      </c>
      <c r="T285" s="47" t="n">
        <f aca="false">R285*J285</f>
        <v>149000</v>
      </c>
      <c r="U285" s="47" t="n">
        <f aca="false">R285*K285</f>
        <v>28214</v>
      </c>
      <c r="V285" s="0" t="str">
        <f aca="false">IF(COUNTIFS($A$2:A285,A285,$C$2:C285,C285,$D$2:D285,D285)&gt;1,"중복","")</f>
        <v/>
      </c>
      <c r="W285" s="0" t="n">
        <f aca="false">IF(V285="중복",0,N(D285))</f>
        <v>101</v>
      </c>
      <c r="X285" s="0" t="n">
        <f aca="false">IF(COUNTIFS($A$2:A285,A285,$C$2:C285,C285)=1,ABS(SUMIFS(RAW_발주!$D:$D,RAW_발주!$C:$C,A285,RAW_발주!$A:$A,C285)-SUMIFS($W:$W,$A:$A,A285,$C:$C,C285)),0)</f>
        <v>0</v>
      </c>
    </row>
    <row r="286" customFormat="false" ht="15" hidden="false" customHeight="true" outlineLevel="0" collapsed="false">
      <c r="A286" s="45" t="s">
        <v>1661</v>
      </c>
      <c r="B286" s="42" t="str">
        <f aca="false">IF(A286="100","HK",IF(A286="200","CN",IF(A286="300","TW","홀세일")))</f>
        <v>TW</v>
      </c>
      <c r="C286" s="45" t="s">
        <v>232</v>
      </c>
      <c r="D286" s="46" t="n">
        <v>200</v>
      </c>
      <c r="E286" s="46" t="n">
        <v>149000</v>
      </c>
      <c r="F286" s="46" t="n">
        <v>28214</v>
      </c>
      <c r="G286" s="42" t="n">
        <v>4.17</v>
      </c>
      <c r="H286" s="42" t="n">
        <v>37.3</v>
      </c>
      <c r="J286" s="46" t="n">
        <f aca="false">IF(N(E286)&gt;0,E286,IF(N(F286)&gt;0,F286*요약!$F$27,0))</f>
        <v>149000</v>
      </c>
      <c r="K286" s="46" t="n">
        <f aca="false">IF(N(F286)&gt;0,F286,IF(N(E286)&gt;0,E286/요약!$F$27,0))</f>
        <v>28214</v>
      </c>
      <c r="L286" s="46" t="n">
        <f aca="false">IF(B286="CN",IF(N(I286)&gt;0,I286*요약!$G$27,K286*(1+요약!$E$27)),IF(N(H286)&gt;0,H286*요약!$G$27,J286*요약!$D$27))</f>
        <v>49236</v>
      </c>
      <c r="M286" s="46" t="n">
        <f aca="false">D286*J286</f>
        <v>29800000</v>
      </c>
      <c r="N286" s="46" t="n">
        <f aca="false">D286*K286</f>
        <v>5642800</v>
      </c>
      <c r="O286" s="46" t="n">
        <f aca="false">D286*L286</f>
        <v>9847200</v>
      </c>
      <c r="P286" s="42" t="str">
        <f aca="false">TRIM(IF(N(E286)&lt;=0,"택가보정 ","")&amp;IF(N(F286)&lt;=0,"원가보정 ","")&amp;IF(AND(B286&lt;&gt;"CN",N(H286)&lt;=0),"공급가보정 ","")&amp;IF(AND(B286="CN",N(I286)&lt;=0),"중국공급가=원가+마진 ",""))</f>
        <v/>
      </c>
      <c r="Q286" s="47" t="n">
        <f aca="false">IF(SUMIFS($W:$W,$A:$A,A286,$C:$C,C286)=0,0,SUMIFS(RAW_판매펀칭!$K:$K,RAW_판매펀칭!$P:$P,A286,RAW_판매펀칭!$I:$I,C286)*W286/SUMIFS($W:$W,$A:$A,A286,$C:$C,C286))</f>
        <v>200</v>
      </c>
      <c r="R286" s="47" t="n">
        <f aca="false">IF(OR(A286="500",A286="800",A286="810"),0,MAX(W286-Q286,0))</f>
        <v>0</v>
      </c>
      <c r="S286" s="47" t="n">
        <f aca="false">R286*L286</f>
        <v>0</v>
      </c>
      <c r="T286" s="47" t="n">
        <f aca="false">R286*J286</f>
        <v>0</v>
      </c>
      <c r="U286" s="47" t="n">
        <f aca="false">R286*K286</f>
        <v>0</v>
      </c>
      <c r="V286" s="0" t="str">
        <f aca="false">IF(COUNTIFS($A$2:A286,A286,$C$2:C286,C286,$D$2:D286,D286)&gt;1,"중복","")</f>
        <v/>
      </c>
      <c r="W286" s="0" t="n">
        <f aca="false">IF(V286="중복",0,N(D286))</f>
        <v>200</v>
      </c>
      <c r="X286" s="0" t="n">
        <f aca="false">IF(COUNTIFS($A$2:A286,A286,$C$2:C286,C286)=1,ABS(SUMIFS(RAW_발주!$D:$D,RAW_발주!$C:$C,A286,RAW_발주!$A:$A,C286)-SUMIFS($W:$W,$A:$A,A286,$C:$C,C286)),0)</f>
        <v>0</v>
      </c>
    </row>
    <row r="287" customFormat="false" ht="15" hidden="false" customHeight="true" outlineLevel="0" collapsed="false">
      <c r="A287" s="45" t="s">
        <v>1663</v>
      </c>
      <c r="B287" s="42" t="str">
        <f aca="false">IF(A287="100","HK",IF(A287="200","CN",IF(A287="300","TW","홀세일")))</f>
        <v>홀세일</v>
      </c>
      <c r="C287" s="45" t="s">
        <v>232</v>
      </c>
      <c r="D287" s="46" t="n">
        <v>35</v>
      </c>
      <c r="E287" s="46" t="n">
        <v>149000</v>
      </c>
      <c r="F287" s="46" t="n">
        <v>28214</v>
      </c>
      <c r="G287" s="42" t="n">
        <v>4.17</v>
      </c>
      <c r="H287" s="42" t="n">
        <v>37.3</v>
      </c>
      <c r="J287" s="46" t="n">
        <f aca="false">IF(N(E287)&gt;0,E287,IF(N(F287)&gt;0,F287*요약!$F$27,0))</f>
        <v>149000</v>
      </c>
      <c r="K287" s="46" t="n">
        <f aca="false">IF(N(F287)&gt;0,F287,IF(N(E287)&gt;0,E287/요약!$F$27,0))</f>
        <v>28214</v>
      </c>
      <c r="L287" s="46" t="n">
        <f aca="false">IF(B287="CN",IF(N(I287)&gt;0,I287*요약!$G$27,K287*(1+요약!$E$27)),IF(N(H287)&gt;0,H287*요약!$G$27,J287*요약!$D$27))</f>
        <v>49236</v>
      </c>
      <c r="M287" s="46" t="n">
        <f aca="false">D287*J287</f>
        <v>5215000</v>
      </c>
      <c r="N287" s="46" t="n">
        <f aca="false">D287*K287</f>
        <v>987490</v>
      </c>
      <c r="O287" s="46" t="n">
        <f aca="false">D287*L287</f>
        <v>1723260</v>
      </c>
      <c r="P287" s="42" t="str">
        <f aca="false">TRIM(IF(N(E287)&lt;=0,"택가보정 ","")&amp;IF(N(F287)&lt;=0,"원가보정 ","")&amp;IF(AND(B287&lt;&gt;"CN",N(H287)&lt;=0),"공급가보정 ","")&amp;IF(AND(B287="CN",N(I287)&lt;=0),"중국공급가=원가+마진 ",""))</f>
        <v/>
      </c>
      <c r="Q287" s="47" t="n">
        <f aca="false">IF(SUMIFS($W:$W,$A:$A,A287,$C:$C,C287)=0,0,SUMIFS(RAW_판매펀칭!$K:$K,RAW_판매펀칭!$P:$P,A287,RAW_판매펀칭!$I:$I,C287)*W287/SUMIFS($W:$W,$A:$A,A287,$C:$C,C287))</f>
        <v>35</v>
      </c>
      <c r="R287" s="47" t="n">
        <f aca="false">IF(OR(A287="500",A287="800",A287="810"),0,MAX(W287-Q287,0))</f>
        <v>0</v>
      </c>
      <c r="S287" s="47" t="n">
        <f aca="false">R287*L287</f>
        <v>0</v>
      </c>
      <c r="T287" s="47" t="n">
        <f aca="false">R287*J287</f>
        <v>0</v>
      </c>
      <c r="U287" s="47" t="n">
        <f aca="false">R287*K287</f>
        <v>0</v>
      </c>
      <c r="V287" s="0" t="str">
        <f aca="false">IF(COUNTIFS($A$2:A287,A287,$C$2:C287,C287,$D$2:D287,D287)&gt;1,"중복","")</f>
        <v/>
      </c>
      <c r="W287" s="0" t="n">
        <f aca="false">IF(V287="중복",0,N(D287))</f>
        <v>35</v>
      </c>
      <c r="X287" s="0" t="n">
        <f aca="false">IF(COUNTIFS($A$2:A287,A287,$C$2:C287,C287)=1,ABS(SUMIFS(RAW_발주!$D:$D,RAW_발주!$C:$C,A287,RAW_발주!$A:$A,C287)-SUMIFS($W:$W,$A:$A,A287,$C:$C,C287)),0)</f>
        <v>0</v>
      </c>
    </row>
    <row r="288" customFormat="false" ht="15" hidden="false" customHeight="true" outlineLevel="0" collapsed="false">
      <c r="A288" s="45" t="s">
        <v>1667</v>
      </c>
      <c r="B288" s="42" t="str">
        <f aca="false">IF(A288="100","HK",IF(A288="200","CN",IF(A288="300","TW","홀세일")))</f>
        <v>홀세일</v>
      </c>
      <c r="C288" s="45" t="s">
        <v>232</v>
      </c>
      <c r="D288" s="46" t="n">
        <v>51</v>
      </c>
      <c r="E288" s="46" t="n">
        <v>149000</v>
      </c>
      <c r="F288" s="46" t="n">
        <v>28214</v>
      </c>
      <c r="G288" s="42" t="n">
        <v>4.17</v>
      </c>
      <c r="H288" s="42" t="n">
        <v>37.3</v>
      </c>
      <c r="J288" s="46" t="n">
        <f aca="false">IF(N(E288)&gt;0,E288,IF(N(F288)&gt;0,F288*요약!$F$27,0))</f>
        <v>149000</v>
      </c>
      <c r="K288" s="46" t="n">
        <f aca="false">IF(N(F288)&gt;0,F288,IF(N(E288)&gt;0,E288/요약!$F$27,0))</f>
        <v>28214</v>
      </c>
      <c r="L288" s="46" t="n">
        <f aca="false">IF(B288="CN",IF(N(I288)&gt;0,I288*요약!$G$27,K288*(1+요약!$E$27)),IF(N(H288)&gt;0,H288*요약!$G$27,J288*요약!$D$27))</f>
        <v>49236</v>
      </c>
      <c r="M288" s="46" t="n">
        <f aca="false">D288*J288</f>
        <v>7599000</v>
      </c>
      <c r="N288" s="46" t="n">
        <f aca="false">D288*K288</f>
        <v>1438914</v>
      </c>
      <c r="O288" s="46" t="n">
        <f aca="false">D288*L288</f>
        <v>2511036</v>
      </c>
      <c r="P288" s="42" t="str">
        <f aca="false">TRIM(IF(N(E288)&lt;=0,"택가보정 ","")&amp;IF(N(F288)&lt;=0,"원가보정 ","")&amp;IF(AND(B288&lt;&gt;"CN",N(H288)&lt;=0),"공급가보정 ","")&amp;IF(AND(B288="CN",N(I288)&lt;=0),"중국공급가=원가+마진 ",""))</f>
        <v/>
      </c>
      <c r="Q288" s="47" t="n">
        <f aca="false">IF(SUMIFS($W:$W,$A:$A,A288,$C:$C,C288)=0,0,SUMIFS(RAW_판매펀칭!$K:$K,RAW_판매펀칭!$P:$P,A288,RAW_판매펀칭!$I:$I,C288)*W288/SUMIFS($W:$W,$A:$A,A288,$C:$C,C288))</f>
        <v>51</v>
      </c>
      <c r="R288" s="47" t="n">
        <f aca="false">IF(OR(A288="500",A288="800",A288="810"),0,MAX(W288-Q288,0))</f>
        <v>0</v>
      </c>
      <c r="S288" s="47" t="n">
        <f aca="false">R288*L288</f>
        <v>0</v>
      </c>
      <c r="T288" s="47" t="n">
        <f aca="false">R288*J288</f>
        <v>0</v>
      </c>
      <c r="U288" s="47" t="n">
        <f aca="false">R288*K288</f>
        <v>0</v>
      </c>
      <c r="V288" s="0" t="str">
        <f aca="false">IF(COUNTIFS($A$2:A288,A288,$C$2:C288,C288,$D$2:D288,D288)&gt;1,"중복","")</f>
        <v/>
      </c>
      <c r="W288" s="0" t="n">
        <f aca="false">IF(V288="중복",0,N(D288))</f>
        <v>51</v>
      </c>
      <c r="X288" s="0" t="n">
        <f aca="false">IF(COUNTIFS($A$2:A288,A288,$C$2:C288,C288)=1,ABS(SUMIFS(RAW_발주!$D:$D,RAW_발주!$C:$C,A288,RAW_발주!$A:$A,C288)-SUMIFS($W:$W,$A:$A,A288,$C:$C,C288)),0)</f>
        <v>0</v>
      </c>
    </row>
    <row r="289" customFormat="false" ht="15" hidden="false" customHeight="true" outlineLevel="0" collapsed="false">
      <c r="A289" s="45" t="s">
        <v>1663</v>
      </c>
      <c r="B289" s="42" t="str">
        <f aca="false">IF(A289="100","HK",IF(A289="200","CN",IF(A289="300","TW","홀세일")))</f>
        <v>홀세일</v>
      </c>
      <c r="C289" s="45" t="s">
        <v>1290</v>
      </c>
      <c r="D289" s="46" t="n">
        <v>10</v>
      </c>
      <c r="E289" s="46" t="n">
        <v>109000</v>
      </c>
      <c r="F289" s="46" t="n">
        <v>24800</v>
      </c>
      <c r="G289" s="42" t="n">
        <v>4.55</v>
      </c>
      <c r="H289" s="42" t="n">
        <v>27.3</v>
      </c>
      <c r="J289" s="46" t="n">
        <f aca="false">IF(N(E289)&gt;0,E289,IF(N(F289)&gt;0,F289*요약!$F$27,0))</f>
        <v>109000</v>
      </c>
      <c r="K289" s="46" t="n">
        <f aca="false">IF(N(F289)&gt;0,F289,IF(N(E289)&gt;0,E289/요약!$F$27,0))</f>
        <v>24800</v>
      </c>
      <c r="L289" s="46" t="n">
        <f aca="false">IF(B289="CN",IF(N(I289)&gt;0,I289*요약!$G$27,K289*(1+요약!$E$27)),IF(N(H289)&gt;0,H289*요약!$G$27,J289*요약!$D$27))</f>
        <v>36036</v>
      </c>
      <c r="M289" s="46" t="n">
        <f aca="false">D289*J289</f>
        <v>1090000</v>
      </c>
      <c r="N289" s="46" t="n">
        <f aca="false">D289*K289</f>
        <v>248000</v>
      </c>
      <c r="O289" s="46" t="n">
        <f aca="false">D289*L289</f>
        <v>360360</v>
      </c>
      <c r="P289" s="42" t="str">
        <f aca="false">TRIM(IF(N(E289)&lt;=0,"택가보정 ","")&amp;IF(N(F289)&lt;=0,"원가보정 ","")&amp;IF(AND(B289&lt;&gt;"CN",N(H289)&lt;=0),"공급가보정 ","")&amp;IF(AND(B289="CN",N(I289)&lt;=0),"중국공급가=원가+마진 ",""))</f>
        <v/>
      </c>
      <c r="Q289" s="47" t="n">
        <f aca="false">IF(SUMIFS($W:$W,$A:$A,A289,$C:$C,C289)=0,0,SUMIFS(RAW_판매펀칭!$K:$K,RAW_판매펀칭!$P:$P,A289,RAW_판매펀칭!$I:$I,C289)*W289/SUMIFS($W:$W,$A:$A,A289,$C:$C,C289))</f>
        <v>10</v>
      </c>
      <c r="R289" s="47" t="n">
        <f aca="false">IF(OR(A289="500",A289="800",A289="810"),0,MAX(W289-Q289,0))</f>
        <v>0</v>
      </c>
      <c r="S289" s="47" t="n">
        <f aca="false">R289*L289</f>
        <v>0</v>
      </c>
      <c r="T289" s="47" t="n">
        <f aca="false">R289*J289</f>
        <v>0</v>
      </c>
      <c r="U289" s="47" t="n">
        <f aca="false">R289*K289</f>
        <v>0</v>
      </c>
      <c r="V289" s="0" t="str">
        <f aca="false">IF(COUNTIFS($A$2:A289,A289,$C$2:C289,C289,$D$2:D289,D289)&gt;1,"중복","")</f>
        <v/>
      </c>
      <c r="W289" s="0" t="n">
        <f aca="false">IF(V289="중복",0,N(D289))</f>
        <v>10</v>
      </c>
      <c r="X289" s="0" t="n">
        <f aca="false">IF(COUNTIFS($A$2:A289,A289,$C$2:C289,C289)=1,ABS(SUMIFS(RAW_발주!$D:$D,RAW_발주!$C:$C,A289,RAW_발주!$A:$A,C289)-SUMIFS($W:$W,$A:$A,A289,$C:$C,C289)),0)</f>
        <v>0</v>
      </c>
    </row>
    <row r="290" customFormat="false" ht="15" hidden="false" customHeight="true" outlineLevel="0" collapsed="false">
      <c r="A290" s="45" t="s">
        <v>1667</v>
      </c>
      <c r="B290" s="42" t="str">
        <f aca="false">IF(A290="100","HK",IF(A290="200","CN",IF(A290="300","TW","홀세일")))</f>
        <v>홀세일</v>
      </c>
      <c r="C290" s="45" t="s">
        <v>1290</v>
      </c>
      <c r="D290" s="46" t="n">
        <v>92</v>
      </c>
      <c r="E290" s="46" t="n">
        <v>109000</v>
      </c>
      <c r="F290" s="46" t="n">
        <v>24800</v>
      </c>
      <c r="G290" s="42" t="n">
        <v>4.55</v>
      </c>
      <c r="H290" s="42" t="n">
        <v>27.3</v>
      </c>
      <c r="J290" s="46" t="n">
        <f aca="false">IF(N(E290)&gt;0,E290,IF(N(F290)&gt;0,F290*요약!$F$27,0))</f>
        <v>109000</v>
      </c>
      <c r="K290" s="46" t="n">
        <f aca="false">IF(N(F290)&gt;0,F290,IF(N(E290)&gt;0,E290/요약!$F$27,0))</f>
        <v>24800</v>
      </c>
      <c r="L290" s="46" t="n">
        <f aca="false">IF(B290="CN",IF(N(I290)&gt;0,I290*요약!$G$27,K290*(1+요약!$E$27)),IF(N(H290)&gt;0,H290*요약!$G$27,J290*요약!$D$27))</f>
        <v>36036</v>
      </c>
      <c r="M290" s="46" t="n">
        <f aca="false">D290*J290</f>
        <v>10028000</v>
      </c>
      <c r="N290" s="46" t="n">
        <f aca="false">D290*K290</f>
        <v>2281600</v>
      </c>
      <c r="O290" s="46" t="n">
        <f aca="false">D290*L290</f>
        <v>3315312</v>
      </c>
      <c r="P290" s="42" t="str">
        <f aca="false">TRIM(IF(N(E290)&lt;=0,"택가보정 ","")&amp;IF(N(F290)&lt;=0,"원가보정 ","")&amp;IF(AND(B290&lt;&gt;"CN",N(H290)&lt;=0),"공급가보정 ","")&amp;IF(AND(B290="CN",N(I290)&lt;=0),"중국공급가=원가+마진 ",""))</f>
        <v/>
      </c>
      <c r="Q290" s="47" t="n">
        <f aca="false">IF(SUMIFS($W:$W,$A:$A,A290,$C:$C,C290)=0,0,SUMIFS(RAW_판매펀칭!$K:$K,RAW_판매펀칭!$P:$P,A290,RAW_판매펀칭!$I:$I,C290)*W290/SUMIFS($W:$W,$A:$A,A290,$C:$C,C290))</f>
        <v>92</v>
      </c>
      <c r="R290" s="47" t="n">
        <f aca="false">IF(OR(A290="500",A290="800",A290="810"),0,MAX(W290-Q290,0))</f>
        <v>0</v>
      </c>
      <c r="S290" s="47" t="n">
        <f aca="false">R290*L290</f>
        <v>0</v>
      </c>
      <c r="T290" s="47" t="n">
        <f aca="false">R290*J290</f>
        <v>0</v>
      </c>
      <c r="U290" s="47" t="n">
        <f aca="false">R290*K290</f>
        <v>0</v>
      </c>
      <c r="V290" s="0" t="str">
        <f aca="false">IF(COUNTIFS($A$2:A290,A290,$C$2:C290,C290,$D$2:D290,D290)&gt;1,"중복","")</f>
        <v/>
      </c>
      <c r="W290" s="0" t="n">
        <f aca="false">IF(V290="중복",0,N(D290))</f>
        <v>92</v>
      </c>
      <c r="X290" s="0" t="n">
        <f aca="false">IF(COUNTIFS($A$2:A290,A290,$C$2:C290,C290)=1,ABS(SUMIFS(RAW_발주!$D:$D,RAW_발주!$C:$C,A290,RAW_발주!$A:$A,C290)-SUMIFS($W:$W,$A:$A,A290,$C:$C,C290)),0)</f>
        <v>0</v>
      </c>
    </row>
    <row r="291" customFormat="false" ht="15" hidden="false" customHeight="true" outlineLevel="0" collapsed="false">
      <c r="A291" s="45" t="s">
        <v>1659</v>
      </c>
      <c r="B291" s="42" t="str">
        <f aca="false">IF(A291="100","HK",IF(A291="200","CN",IF(A291="300","TW","홀세일")))</f>
        <v>HK</v>
      </c>
      <c r="C291" s="45" t="s">
        <v>820</v>
      </c>
      <c r="D291" s="46" t="n">
        <v>100</v>
      </c>
      <c r="E291" s="46" t="n">
        <v>159000</v>
      </c>
      <c r="F291" s="46" t="n">
        <v>35223</v>
      </c>
      <c r="G291" s="42" t="n">
        <v>3.83</v>
      </c>
      <c r="H291" s="42" t="n">
        <v>39.8</v>
      </c>
      <c r="J291" s="46" t="n">
        <f aca="false">IF(N(E291)&gt;0,E291,IF(N(F291)&gt;0,F291*요약!$F$27,0))</f>
        <v>159000</v>
      </c>
      <c r="K291" s="46" t="n">
        <f aca="false">IF(N(F291)&gt;0,F291,IF(N(E291)&gt;0,E291/요약!$F$27,0))</f>
        <v>35223</v>
      </c>
      <c r="L291" s="46" t="n">
        <f aca="false">IF(B291="CN",IF(N(I291)&gt;0,I291*요약!$G$27,K291*(1+요약!$E$27)),IF(N(H291)&gt;0,H291*요약!$G$27,J291*요약!$D$27))</f>
        <v>52536</v>
      </c>
      <c r="M291" s="46" t="n">
        <f aca="false">D291*J291</f>
        <v>15900000</v>
      </c>
      <c r="N291" s="46" t="n">
        <f aca="false">D291*K291</f>
        <v>3522300</v>
      </c>
      <c r="O291" s="46" t="n">
        <f aca="false">D291*L291</f>
        <v>5253600</v>
      </c>
      <c r="P291" s="42" t="str">
        <f aca="false">TRIM(IF(N(E291)&lt;=0,"택가보정 ","")&amp;IF(N(F291)&lt;=0,"원가보정 ","")&amp;IF(AND(B291&lt;&gt;"CN",N(H291)&lt;=0),"공급가보정 ","")&amp;IF(AND(B291="CN",N(I291)&lt;=0),"중국공급가=원가+마진 ",""))</f>
        <v/>
      </c>
      <c r="Q291" s="47" t="n">
        <f aca="false">IF(SUMIFS($W:$W,$A:$A,A291,$C:$C,C291)=0,0,SUMIFS(RAW_판매펀칭!$K:$K,RAW_판매펀칭!$P:$P,A291,RAW_판매펀칭!$I:$I,C291)*W291/SUMIFS($W:$W,$A:$A,A291,$C:$C,C291))</f>
        <v>100</v>
      </c>
      <c r="R291" s="47" t="n">
        <f aca="false">IF(OR(A291="500",A291="800",A291="810"),0,MAX(W291-Q291,0))</f>
        <v>0</v>
      </c>
      <c r="S291" s="47" t="n">
        <f aca="false">R291*L291</f>
        <v>0</v>
      </c>
      <c r="T291" s="47" t="n">
        <f aca="false">R291*J291</f>
        <v>0</v>
      </c>
      <c r="U291" s="47" t="n">
        <f aca="false">R291*K291</f>
        <v>0</v>
      </c>
      <c r="V291" s="0" t="str">
        <f aca="false">IF(COUNTIFS($A$2:A291,A291,$C$2:C291,C291,$D$2:D291,D291)&gt;1,"중복","")</f>
        <v/>
      </c>
      <c r="W291" s="0" t="n">
        <f aca="false">IF(V291="중복",0,N(D291))</f>
        <v>100</v>
      </c>
      <c r="X291" s="0" t="n">
        <f aca="false">IF(COUNTIFS($A$2:A291,A291,$C$2:C291,C291)=1,ABS(SUMIFS(RAW_발주!$D:$D,RAW_발주!$C:$C,A291,RAW_발주!$A:$A,C291)-SUMIFS($W:$W,$A:$A,A291,$C:$C,C291)),0)</f>
        <v>0</v>
      </c>
    </row>
    <row r="292" customFormat="false" ht="15.75" hidden="false" customHeight="true" outlineLevel="0" collapsed="false">
      <c r="A292" s="45" t="s">
        <v>1660</v>
      </c>
      <c r="B292" s="42" t="str">
        <f aca="false">IF(A292="100","HK",IF(A292="200","CN",IF(A292="300","TW","홀세일")))</f>
        <v>CN</v>
      </c>
      <c r="C292" s="45" t="s">
        <v>820</v>
      </c>
      <c r="D292" s="46" t="n">
        <v>142</v>
      </c>
      <c r="E292" s="46" t="n">
        <v>159000</v>
      </c>
      <c r="F292" s="46" t="n">
        <v>35223</v>
      </c>
      <c r="G292" s="42" t="n">
        <v>3.83</v>
      </c>
      <c r="H292" s="42" t="n">
        <v>39.8</v>
      </c>
      <c r="J292" s="46" t="n">
        <f aca="false">IF(N(E292)&gt;0,E292,IF(N(F292)&gt;0,F292*요약!$F$27,0))</f>
        <v>159000</v>
      </c>
      <c r="K292" s="46" t="n">
        <f aca="false">IF(N(F292)&gt;0,F292,IF(N(E292)&gt;0,E292/요약!$F$27,0))</f>
        <v>35223</v>
      </c>
      <c r="L292" s="46" t="n">
        <f aca="false">IF(B292="CN",IF(N(I292)&gt;0,I292*요약!$G$27,K292*(1+요약!$E$27)),IF(N(H292)&gt;0,H292*요약!$G$27,J292*요약!$D$27))</f>
        <v>36984.15</v>
      </c>
      <c r="M292" s="46" t="n">
        <f aca="false">D292*J292</f>
        <v>22578000</v>
      </c>
      <c r="N292" s="46" t="n">
        <f aca="false">D292*K292</f>
        <v>5001666</v>
      </c>
      <c r="O292" s="46" t="n">
        <f aca="false">D292*L292</f>
        <v>5251749.3</v>
      </c>
      <c r="P292" s="42" t="str">
        <f aca="false">TRIM(IF(N(E292)&lt;=0,"택가보정 ","")&amp;IF(N(F292)&lt;=0,"원가보정 ","")&amp;IF(AND(B292&lt;&gt;"CN",N(H292)&lt;=0),"공급가보정 ","")&amp;IF(AND(B292="CN",N(I292)&lt;=0),"중국공급가=원가+마진 ",""))</f>
        <v>중국공급가=원가+마진</v>
      </c>
      <c r="Q292" s="47" t="n">
        <f aca="false">IF(SUMIFS($W:$W,$A:$A,A292,$C:$C,C292)=0,0,SUMIFS(RAW_판매펀칭!$K:$K,RAW_판매펀칭!$P:$P,A292,RAW_판매펀칭!$I:$I,C292)*W292/SUMIFS($W:$W,$A:$A,A292,$C:$C,C292))</f>
        <v>140</v>
      </c>
      <c r="R292" s="47" t="n">
        <f aca="false">IF(OR(A292="500",A292="800",A292="810"),0,MAX(W292-Q292,0))</f>
        <v>2</v>
      </c>
      <c r="S292" s="47" t="n">
        <f aca="false">R292*L292</f>
        <v>73968.3</v>
      </c>
      <c r="T292" s="47" t="n">
        <f aca="false">R292*J292</f>
        <v>318000</v>
      </c>
      <c r="U292" s="47" t="n">
        <f aca="false">R292*K292</f>
        <v>70446</v>
      </c>
      <c r="V292" s="0" t="str">
        <f aca="false">IF(COUNTIFS($A$2:A292,A292,$C$2:C292,C292,$D$2:D292,D292)&gt;1,"중복","")</f>
        <v/>
      </c>
      <c r="W292" s="0" t="n">
        <f aca="false">IF(V292="중복",0,N(D292))</f>
        <v>142</v>
      </c>
      <c r="X292" s="0" t="n">
        <f aca="false">IF(COUNTIFS($A$2:A292,A292,$C$2:C292,C292)=1,ABS(SUMIFS(RAW_발주!$D:$D,RAW_발주!$C:$C,A292,RAW_발주!$A:$A,C292)-SUMIFS($W:$W,$A:$A,A292,$C:$C,C292)),0)</f>
        <v>0</v>
      </c>
    </row>
    <row r="293" customFormat="false" ht="15" hidden="false" customHeight="true" outlineLevel="0" collapsed="false">
      <c r="A293" s="45" t="s">
        <v>1659</v>
      </c>
      <c r="B293" s="42" t="str">
        <f aca="false">IF(A293="100","HK",IF(A293="200","CN",IF(A293="300","TW","홀세일")))</f>
        <v>HK</v>
      </c>
      <c r="C293" s="45" t="s">
        <v>234</v>
      </c>
      <c r="D293" s="46" t="n">
        <v>750</v>
      </c>
      <c r="E293" s="46" t="n">
        <v>59000</v>
      </c>
      <c r="F293" s="46" t="n">
        <v>14700</v>
      </c>
      <c r="G293" s="42" t="n">
        <v>3.94</v>
      </c>
      <c r="H293" s="42" t="n">
        <v>14.8</v>
      </c>
      <c r="J293" s="46" t="n">
        <f aca="false">IF(N(E293)&gt;0,E293,IF(N(F293)&gt;0,F293*요약!$F$27,0))</f>
        <v>59000</v>
      </c>
      <c r="K293" s="46" t="n">
        <f aca="false">IF(N(F293)&gt;0,F293,IF(N(E293)&gt;0,E293/요약!$F$27,0))</f>
        <v>14700</v>
      </c>
      <c r="L293" s="46" t="n">
        <f aca="false">IF(B293="CN",IF(N(I293)&gt;0,I293*요약!$G$27,K293*(1+요약!$E$27)),IF(N(H293)&gt;0,H293*요약!$G$27,J293*요약!$D$27))</f>
        <v>19536</v>
      </c>
      <c r="M293" s="46" t="n">
        <f aca="false">D293*J293</f>
        <v>44250000</v>
      </c>
      <c r="N293" s="46" t="n">
        <f aca="false">D293*K293</f>
        <v>11025000</v>
      </c>
      <c r="O293" s="46" t="n">
        <f aca="false">D293*L293</f>
        <v>14652000</v>
      </c>
      <c r="P293" s="42" t="str">
        <f aca="false">TRIM(IF(N(E293)&lt;=0,"택가보정 ","")&amp;IF(N(F293)&lt;=0,"원가보정 ","")&amp;IF(AND(B293&lt;&gt;"CN",N(H293)&lt;=0),"공급가보정 ","")&amp;IF(AND(B293="CN",N(I293)&lt;=0),"중국공급가=원가+마진 ",""))</f>
        <v/>
      </c>
      <c r="Q293" s="47" t="n">
        <f aca="false">IF(SUMIFS($W:$W,$A:$A,A293,$C:$C,C293)=0,0,SUMIFS(RAW_판매펀칭!$K:$K,RAW_판매펀칭!$P:$P,A293,RAW_판매펀칭!$I:$I,C293)*W293/SUMIFS($W:$W,$A:$A,A293,$C:$C,C293))</f>
        <v>750</v>
      </c>
      <c r="R293" s="47" t="n">
        <f aca="false">IF(OR(A293="500",A293="800",A293="810"),0,MAX(W293-Q293,0))</f>
        <v>0</v>
      </c>
      <c r="S293" s="47" t="n">
        <f aca="false">R293*L293</f>
        <v>0</v>
      </c>
      <c r="T293" s="47" t="n">
        <f aca="false">R293*J293</f>
        <v>0</v>
      </c>
      <c r="U293" s="47" t="n">
        <f aca="false">R293*K293</f>
        <v>0</v>
      </c>
      <c r="V293" s="0" t="str">
        <f aca="false">IF(COUNTIFS($A$2:A293,A293,$C$2:C293,C293,$D$2:D293,D293)&gt;1,"중복","")</f>
        <v/>
      </c>
      <c r="W293" s="0" t="n">
        <f aca="false">IF(V293="중복",0,N(D293))</f>
        <v>750</v>
      </c>
      <c r="X293" s="0" t="n">
        <f aca="false">IF(COUNTIFS($A$2:A293,A293,$C$2:C293,C293)=1,ABS(SUMIFS(RAW_발주!$D:$D,RAW_발주!$C:$C,A293,RAW_발주!$A:$A,C293)-SUMIFS($W:$W,$A:$A,A293,$C:$C,C293)),0)</f>
        <v>0</v>
      </c>
    </row>
    <row r="294" customFormat="false" ht="15" hidden="false" customHeight="true" outlineLevel="0" collapsed="false">
      <c r="A294" s="45" t="s">
        <v>1661</v>
      </c>
      <c r="B294" s="42" t="str">
        <f aca="false">IF(A294="100","HK",IF(A294="200","CN",IF(A294="300","TW","홀세일")))</f>
        <v>TW</v>
      </c>
      <c r="C294" s="45" t="s">
        <v>234</v>
      </c>
      <c r="D294" s="46" t="n">
        <v>370</v>
      </c>
      <c r="E294" s="46" t="n">
        <v>59000</v>
      </c>
      <c r="F294" s="46" t="n">
        <v>14700</v>
      </c>
      <c r="G294" s="42" t="n">
        <v>3.94</v>
      </c>
      <c r="H294" s="42" t="n">
        <v>14.8</v>
      </c>
      <c r="J294" s="46" t="n">
        <f aca="false">IF(N(E294)&gt;0,E294,IF(N(F294)&gt;0,F294*요약!$F$27,0))</f>
        <v>59000</v>
      </c>
      <c r="K294" s="46" t="n">
        <f aca="false">IF(N(F294)&gt;0,F294,IF(N(E294)&gt;0,E294/요약!$F$27,0))</f>
        <v>14700</v>
      </c>
      <c r="L294" s="46" t="n">
        <f aca="false">IF(B294="CN",IF(N(I294)&gt;0,I294*요약!$G$27,K294*(1+요약!$E$27)),IF(N(H294)&gt;0,H294*요약!$G$27,J294*요약!$D$27))</f>
        <v>19536</v>
      </c>
      <c r="M294" s="46" t="n">
        <f aca="false">D294*J294</f>
        <v>21830000</v>
      </c>
      <c r="N294" s="46" t="n">
        <f aca="false">D294*K294</f>
        <v>5439000</v>
      </c>
      <c r="O294" s="46" t="n">
        <f aca="false">D294*L294</f>
        <v>7228320</v>
      </c>
      <c r="P294" s="42" t="str">
        <f aca="false">TRIM(IF(N(E294)&lt;=0,"택가보정 ","")&amp;IF(N(F294)&lt;=0,"원가보정 ","")&amp;IF(AND(B294&lt;&gt;"CN",N(H294)&lt;=0),"공급가보정 ","")&amp;IF(AND(B294="CN",N(I294)&lt;=0),"중국공급가=원가+마진 ",""))</f>
        <v/>
      </c>
      <c r="Q294" s="47" t="n">
        <f aca="false">IF(SUMIFS($W:$W,$A:$A,A294,$C:$C,C294)=0,0,SUMIFS(RAW_판매펀칭!$K:$K,RAW_판매펀칭!$P:$P,A294,RAW_판매펀칭!$I:$I,C294)*W294/SUMIFS($W:$W,$A:$A,A294,$C:$C,C294))</f>
        <v>370</v>
      </c>
      <c r="R294" s="47" t="n">
        <f aca="false">IF(OR(A294="500",A294="800",A294="810"),0,MAX(W294-Q294,0))</f>
        <v>0</v>
      </c>
      <c r="S294" s="47" t="n">
        <f aca="false">R294*L294</f>
        <v>0</v>
      </c>
      <c r="T294" s="47" t="n">
        <f aca="false">R294*J294</f>
        <v>0</v>
      </c>
      <c r="U294" s="47" t="n">
        <f aca="false">R294*K294</f>
        <v>0</v>
      </c>
      <c r="V294" s="0" t="str">
        <f aca="false">IF(COUNTIFS($A$2:A294,A294,$C$2:C294,C294,$D$2:D294,D294)&gt;1,"중복","")</f>
        <v/>
      </c>
      <c r="W294" s="0" t="n">
        <f aca="false">IF(V294="중복",0,N(D294))</f>
        <v>370</v>
      </c>
      <c r="X294" s="0" t="n">
        <f aca="false">IF(COUNTIFS($A$2:A294,A294,$C$2:C294,C294)=1,ABS(SUMIFS(RAW_발주!$D:$D,RAW_발주!$C:$C,A294,RAW_발주!$A:$A,C294)-SUMIFS($W:$W,$A:$A,A294,$C:$C,C294)),0)</f>
        <v>0</v>
      </c>
    </row>
    <row r="295" customFormat="false" ht="15" hidden="false" customHeight="true" outlineLevel="0" collapsed="false">
      <c r="A295" s="45" t="s">
        <v>1663</v>
      </c>
      <c r="B295" s="42" t="str">
        <f aca="false">IF(A295="100","HK",IF(A295="200","CN",IF(A295="300","TW","홀세일")))</f>
        <v>홀세일</v>
      </c>
      <c r="C295" s="45" t="s">
        <v>234</v>
      </c>
      <c r="D295" s="46" t="n">
        <v>60</v>
      </c>
      <c r="E295" s="46" t="n">
        <v>59000</v>
      </c>
      <c r="F295" s="46" t="n">
        <v>14700</v>
      </c>
      <c r="G295" s="42" t="n">
        <v>3.94</v>
      </c>
      <c r="H295" s="42" t="n">
        <v>14.8</v>
      </c>
      <c r="J295" s="46" t="n">
        <f aca="false">IF(N(E295)&gt;0,E295,IF(N(F295)&gt;0,F295*요약!$F$27,0))</f>
        <v>59000</v>
      </c>
      <c r="K295" s="46" t="n">
        <f aca="false">IF(N(F295)&gt;0,F295,IF(N(E295)&gt;0,E295/요약!$F$27,0))</f>
        <v>14700</v>
      </c>
      <c r="L295" s="46" t="n">
        <f aca="false">IF(B295="CN",IF(N(I295)&gt;0,I295*요약!$G$27,K295*(1+요약!$E$27)),IF(N(H295)&gt;0,H295*요약!$G$27,J295*요약!$D$27))</f>
        <v>19536</v>
      </c>
      <c r="M295" s="46" t="n">
        <f aca="false">D295*J295</f>
        <v>3540000</v>
      </c>
      <c r="N295" s="46" t="n">
        <f aca="false">D295*K295</f>
        <v>882000</v>
      </c>
      <c r="O295" s="46" t="n">
        <f aca="false">D295*L295</f>
        <v>1172160</v>
      </c>
      <c r="P295" s="42" t="str">
        <f aca="false">TRIM(IF(N(E295)&lt;=0,"택가보정 ","")&amp;IF(N(F295)&lt;=0,"원가보정 ","")&amp;IF(AND(B295&lt;&gt;"CN",N(H295)&lt;=0),"공급가보정 ","")&amp;IF(AND(B295="CN",N(I295)&lt;=0),"중국공급가=원가+마진 ",""))</f>
        <v/>
      </c>
      <c r="Q295" s="47" t="n">
        <f aca="false">IF(SUMIFS($W:$W,$A:$A,A295,$C:$C,C295)=0,0,SUMIFS(RAW_판매펀칭!$K:$K,RAW_판매펀칭!$P:$P,A295,RAW_판매펀칭!$I:$I,C295)*W295/SUMIFS($W:$W,$A:$A,A295,$C:$C,C295))</f>
        <v>60</v>
      </c>
      <c r="R295" s="47" t="n">
        <f aca="false">IF(OR(A295="500",A295="800",A295="810"),0,MAX(W295-Q295,0))</f>
        <v>0</v>
      </c>
      <c r="S295" s="47" t="n">
        <f aca="false">R295*L295</f>
        <v>0</v>
      </c>
      <c r="T295" s="47" t="n">
        <f aca="false">R295*J295</f>
        <v>0</v>
      </c>
      <c r="U295" s="47" t="n">
        <f aca="false">R295*K295</f>
        <v>0</v>
      </c>
      <c r="V295" s="0" t="str">
        <f aca="false">IF(COUNTIFS($A$2:A295,A295,$C$2:C295,C295,$D$2:D295,D295)&gt;1,"중복","")</f>
        <v/>
      </c>
      <c r="W295" s="0" t="n">
        <f aca="false">IF(V295="중복",0,N(D295))</f>
        <v>60</v>
      </c>
      <c r="X295" s="0" t="n">
        <f aca="false">IF(COUNTIFS($A$2:A295,A295,$C$2:C295,C295)=1,ABS(SUMIFS(RAW_발주!$D:$D,RAW_발주!$C:$C,A295,RAW_발주!$A:$A,C295)-SUMIFS($W:$W,$A:$A,A295,$C:$C,C295)),0)</f>
        <v>0</v>
      </c>
    </row>
    <row r="296" customFormat="false" ht="15" hidden="false" customHeight="true" outlineLevel="0" collapsed="false">
      <c r="A296" s="45" t="s">
        <v>1659</v>
      </c>
      <c r="B296" s="42" t="str">
        <f aca="false">IF(A296="100","HK",IF(A296="200","CN",IF(A296="300","TW","홀세일")))</f>
        <v>HK</v>
      </c>
      <c r="C296" s="45" t="s">
        <v>824</v>
      </c>
      <c r="D296" s="46" t="n">
        <v>340</v>
      </c>
      <c r="E296" s="46" t="n">
        <v>69000</v>
      </c>
      <c r="F296" s="46" t="n">
        <v>15109</v>
      </c>
      <c r="G296" s="42" t="n">
        <v>4.02</v>
      </c>
      <c r="H296" s="42" t="n">
        <v>17.3</v>
      </c>
      <c r="J296" s="46" t="n">
        <f aca="false">IF(N(E296)&gt;0,E296,IF(N(F296)&gt;0,F296*요약!$F$27,0))</f>
        <v>69000</v>
      </c>
      <c r="K296" s="46" t="n">
        <f aca="false">IF(N(F296)&gt;0,F296,IF(N(E296)&gt;0,E296/요약!$F$27,0))</f>
        <v>15109</v>
      </c>
      <c r="L296" s="46" t="n">
        <f aca="false">IF(B296="CN",IF(N(I296)&gt;0,I296*요약!$G$27,K296*(1+요약!$E$27)),IF(N(H296)&gt;0,H296*요약!$G$27,J296*요약!$D$27))</f>
        <v>22836</v>
      </c>
      <c r="M296" s="46" t="n">
        <f aca="false">D296*J296</f>
        <v>23460000</v>
      </c>
      <c r="N296" s="46" t="n">
        <f aca="false">D296*K296</f>
        <v>5137060</v>
      </c>
      <c r="O296" s="46" t="n">
        <f aca="false">D296*L296</f>
        <v>7764240</v>
      </c>
      <c r="P296" s="42" t="str">
        <f aca="false">TRIM(IF(N(E296)&lt;=0,"택가보정 ","")&amp;IF(N(F296)&lt;=0,"원가보정 ","")&amp;IF(AND(B296&lt;&gt;"CN",N(H296)&lt;=0),"공급가보정 ","")&amp;IF(AND(B296="CN",N(I296)&lt;=0),"중국공급가=원가+마진 ",""))</f>
        <v/>
      </c>
      <c r="Q296" s="47" t="n">
        <f aca="false">IF(SUMIFS($W:$W,$A:$A,A296,$C:$C,C296)=0,0,SUMIFS(RAW_판매펀칭!$K:$K,RAW_판매펀칭!$P:$P,A296,RAW_판매펀칭!$I:$I,C296)*W296/SUMIFS($W:$W,$A:$A,A296,$C:$C,C296))</f>
        <v>340</v>
      </c>
      <c r="R296" s="47" t="n">
        <f aca="false">IF(OR(A296="500",A296="800",A296="810"),0,MAX(W296-Q296,0))</f>
        <v>0</v>
      </c>
      <c r="S296" s="47" t="n">
        <f aca="false">R296*L296</f>
        <v>0</v>
      </c>
      <c r="T296" s="47" t="n">
        <f aca="false">R296*J296</f>
        <v>0</v>
      </c>
      <c r="U296" s="47" t="n">
        <f aca="false">R296*K296</f>
        <v>0</v>
      </c>
      <c r="V296" s="0" t="str">
        <f aca="false">IF(COUNTIFS($A$2:A296,A296,$C$2:C296,C296,$D$2:D296,D296)&gt;1,"중복","")</f>
        <v/>
      </c>
      <c r="W296" s="0" t="n">
        <f aca="false">IF(V296="중복",0,N(D296))</f>
        <v>340</v>
      </c>
      <c r="X296" s="0" t="n">
        <f aca="false">IF(COUNTIFS($A$2:A296,A296,$C$2:C296,C296)=1,ABS(SUMIFS(RAW_발주!$D:$D,RAW_발주!$C:$C,A296,RAW_발주!$A:$A,C296)-SUMIFS($W:$W,$A:$A,A296,$C:$C,C296)),0)</f>
        <v>0</v>
      </c>
    </row>
    <row r="297" customFormat="false" ht="15" hidden="false" customHeight="true" outlineLevel="0" collapsed="false">
      <c r="A297" s="45" t="s">
        <v>1664</v>
      </c>
      <c r="B297" s="42" t="str">
        <f aca="false">IF(A297="100","HK",IF(A297="200","CN",IF(A297="300","TW","홀세일")))</f>
        <v>홀세일</v>
      </c>
      <c r="C297" s="45" t="s">
        <v>824</v>
      </c>
      <c r="D297" s="46" t="n">
        <v>45</v>
      </c>
      <c r="E297" s="46" t="n">
        <v>69000</v>
      </c>
      <c r="F297" s="46" t="n">
        <v>15109</v>
      </c>
      <c r="G297" s="42" t="n">
        <v>4.02</v>
      </c>
      <c r="H297" s="42" t="n">
        <v>17.3</v>
      </c>
      <c r="J297" s="46" t="n">
        <f aca="false">IF(N(E297)&gt;0,E297,IF(N(F297)&gt;0,F297*요약!$F$27,0))</f>
        <v>69000</v>
      </c>
      <c r="K297" s="46" t="n">
        <f aca="false">IF(N(F297)&gt;0,F297,IF(N(E297)&gt;0,E297/요약!$F$27,0))</f>
        <v>15109</v>
      </c>
      <c r="L297" s="46" t="n">
        <f aca="false">IF(B297="CN",IF(N(I297)&gt;0,I297*요약!$G$27,K297*(1+요약!$E$27)),IF(N(H297)&gt;0,H297*요약!$G$27,J297*요약!$D$27))</f>
        <v>22836</v>
      </c>
      <c r="M297" s="46" t="n">
        <f aca="false">D297*J297</f>
        <v>3105000</v>
      </c>
      <c r="N297" s="46" t="n">
        <f aca="false">D297*K297</f>
        <v>679905</v>
      </c>
      <c r="O297" s="46" t="n">
        <f aca="false">D297*L297</f>
        <v>1027620</v>
      </c>
      <c r="P297" s="42" t="str">
        <f aca="false">TRIM(IF(N(E297)&lt;=0,"택가보정 ","")&amp;IF(N(F297)&lt;=0,"원가보정 ","")&amp;IF(AND(B297&lt;&gt;"CN",N(H297)&lt;=0),"공급가보정 ","")&amp;IF(AND(B297="CN",N(I297)&lt;=0),"중국공급가=원가+마진 ",""))</f>
        <v/>
      </c>
      <c r="Q297" s="47" t="n">
        <f aca="false">IF(SUMIFS($W:$W,$A:$A,A297,$C:$C,C297)=0,0,SUMIFS(RAW_판매펀칭!$K:$K,RAW_판매펀칭!$P:$P,A297,RAW_판매펀칭!$I:$I,C297)*W297/SUMIFS($W:$W,$A:$A,A297,$C:$C,C297))</f>
        <v>0</v>
      </c>
      <c r="R297" s="47" t="n">
        <f aca="false">IF(OR(A297="500",A297="800",A297="810"),0,MAX(W297-Q297,0))</f>
        <v>0</v>
      </c>
      <c r="S297" s="47" t="n">
        <f aca="false">R297*L297</f>
        <v>0</v>
      </c>
      <c r="T297" s="47" t="n">
        <f aca="false">R297*J297</f>
        <v>0</v>
      </c>
      <c r="U297" s="47" t="n">
        <f aca="false">R297*K297</f>
        <v>0</v>
      </c>
      <c r="V297" s="0" t="str">
        <f aca="false">IF(COUNTIFS($A$2:A297,A297,$C$2:C297,C297,$D$2:D297,D297)&gt;1,"중복","")</f>
        <v/>
      </c>
      <c r="W297" s="0" t="n">
        <f aca="false">IF(V297="중복",0,N(D297))</f>
        <v>45</v>
      </c>
      <c r="X297" s="0" t="n">
        <f aca="false">IF(COUNTIFS($A$2:A297,A297,$C$2:C297,C297)=1,ABS(SUMIFS(RAW_발주!$D:$D,RAW_발주!$C:$C,A297,RAW_발주!$A:$A,C297)-SUMIFS($W:$W,$A:$A,A297,$C:$C,C297)),0)</f>
        <v>0</v>
      </c>
    </row>
    <row r="298" customFormat="false" ht="15" hidden="false" customHeight="true" outlineLevel="0" collapsed="false">
      <c r="A298" s="45" t="s">
        <v>1659</v>
      </c>
      <c r="B298" s="42" t="str">
        <f aca="false">IF(A298="100","HK",IF(A298="200","CN",IF(A298="300","TW","홀세일")))</f>
        <v>HK</v>
      </c>
      <c r="C298" s="45" t="s">
        <v>244</v>
      </c>
      <c r="D298" s="46" t="n">
        <v>660</v>
      </c>
      <c r="E298" s="46" t="n">
        <v>79000</v>
      </c>
      <c r="F298" s="46" t="n">
        <v>18726</v>
      </c>
      <c r="G298" s="42" t="n">
        <v>3.49</v>
      </c>
      <c r="H298" s="42" t="n">
        <v>19.8</v>
      </c>
      <c r="J298" s="46" t="n">
        <f aca="false">IF(N(E298)&gt;0,E298,IF(N(F298)&gt;0,F298*요약!$F$27,0))</f>
        <v>79000</v>
      </c>
      <c r="K298" s="46" t="n">
        <f aca="false">IF(N(F298)&gt;0,F298,IF(N(E298)&gt;0,E298/요약!$F$27,0))</f>
        <v>18726</v>
      </c>
      <c r="L298" s="46" t="n">
        <f aca="false">IF(B298="CN",IF(N(I298)&gt;0,I298*요약!$G$27,K298*(1+요약!$E$27)),IF(N(H298)&gt;0,H298*요약!$G$27,J298*요약!$D$27))</f>
        <v>26136</v>
      </c>
      <c r="M298" s="46" t="n">
        <f aca="false">D298*J298</f>
        <v>52140000</v>
      </c>
      <c r="N298" s="46" t="n">
        <f aca="false">D298*K298</f>
        <v>12359160</v>
      </c>
      <c r="O298" s="46" t="n">
        <f aca="false">D298*L298</f>
        <v>17249760</v>
      </c>
      <c r="P298" s="42" t="str">
        <f aca="false">TRIM(IF(N(E298)&lt;=0,"택가보정 ","")&amp;IF(N(F298)&lt;=0,"원가보정 ","")&amp;IF(AND(B298&lt;&gt;"CN",N(H298)&lt;=0),"공급가보정 ","")&amp;IF(AND(B298="CN",N(I298)&lt;=0),"중국공급가=원가+마진 ",""))</f>
        <v/>
      </c>
      <c r="Q298" s="47" t="n">
        <f aca="false">IF(SUMIFS($W:$W,$A:$A,A298,$C:$C,C298)=0,0,SUMIFS(RAW_판매펀칭!$K:$K,RAW_판매펀칭!$P:$P,A298,RAW_판매펀칭!$I:$I,C298)*W298/SUMIFS($W:$W,$A:$A,A298,$C:$C,C298))</f>
        <v>660</v>
      </c>
      <c r="R298" s="47" t="n">
        <f aca="false">IF(OR(A298="500",A298="800",A298="810"),0,MAX(W298-Q298,0))</f>
        <v>0</v>
      </c>
      <c r="S298" s="47" t="n">
        <f aca="false">R298*L298</f>
        <v>0</v>
      </c>
      <c r="T298" s="47" t="n">
        <f aca="false">R298*J298</f>
        <v>0</v>
      </c>
      <c r="U298" s="47" t="n">
        <f aca="false">R298*K298</f>
        <v>0</v>
      </c>
      <c r="V298" s="0" t="str">
        <f aca="false">IF(COUNTIFS($A$2:A298,A298,$C$2:C298,C298,$D$2:D298,D298)&gt;1,"중복","")</f>
        <v/>
      </c>
      <c r="W298" s="0" t="n">
        <f aca="false">IF(V298="중복",0,N(D298))</f>
        <v>660</v>
      </c>
      <c r="X298" s="0" t="n">
        <f aca="false">IF(COUNTIFS($A$2:A298,A298,$C$2:C298,C298)=1,ABS(SUMIFS(RAW_발주!$D:$D,RAW_발주!$C:$C,A298,RAW_발주!$A:$A,C298)-SUMIFS($W:$W,$A:$A,A298,$C:$C,C298)),0)</f>
        <v>0</v>
      </c>
    </row>
    <row r="299" customFormat="false" ht="15.75" hidden="false" customHeight="true" outlineLevel="0" collapsed="false">
      <c r="A299" s="45" t="s">
        <v>1660</v>
      </c>
      <c r="B299" s="42" t="str">
        <f aca="false">IF(A299="100","HK",IF(A299="200","CN",IF(A299="300","TW","홀세일")))</f>
        <v>CN</v>
      </c>
      <c r="C299" s="45" t="s">
        <v>244</v>
      </c>
      <c r="D299" s="46" t="n">
        <v>1184</v>
      </c>
      <c r="E299" s="46" t="n">
        <v>79000</v>
      </c>
      <c r="F299" s="46" t="n">
        <v>18726</v>
      </c>
      <c r="G299" s="42" t="n">
        <v>3.49</v>
      </c>
      <c r="H299" s="42" t="n">
        <v>19.8</v>
      </c>
      <c r="J299" s="46" t="n">
        <f aca="false">IF(N(E299)&gt;0,E299,IF(N(F299)&gt;0,F299*요약!$F$27,0))</f>
        <v>79000</v>
      </c>
      <c r="K299" s="46" t="n">
        <f aca="false">IF(N(F299)&gt;0,F299,IF(N(E299)&gt;0,E299/요약!$F$27,0))</f>
        <v>18726</v>
      </c>
      <c r="L299" s="46" t="n">
        <f aca="false">IF(B299="CN",IF(N(I299)&gt;0,I299*요약!$G$27,K299*(1+요약!$E$27)),IF(N(H299)&gt;0,H299*요약!$G$27,J299*요약!$D$27))</f>
        <v>19662.3</v>
      </c>
      <c r="M299" s="46" t="n">
        <f aca="false">D299*J299</f>
        <v>93536000</v>
      </c>
      <c r="N299" s="46" t="n">
        <f aca="false">D299*K299</f>
        <v>22171584</v>
      </c>
      <c r="O299" s="46" t="n">
        <f aca="false">D299*L299</f>
        <v>23280163.2</v>
      </c>
      <c r="P299" s="42" t="str">
        <f aca="false">TRIM(IF(N(E299)&lt;=0,"택가보정 ","")&amp;IF(N(F299)&lt;=0,"원가보정 ","")&amp;IF(AND(B299&lt;&gt;"CN",N(H299)&lt;=0),"공급가보정 ","")&amp;IF(AND(B299="CN",N(I299)&lt;=0),"중국공급가=원가+마진 ",""))</f>
        <v>중국공급가=원가+마진</v>
      </c>
      <c r="Q299" s="47" t="n">
        <f aca="false">IF(SUMIFS($W:$W,$A:$A,A299,$C:$C,C299)=0,0,SUMIFS(RAW_판매펀칭!$K:$K,RAW_판매펀칭!$P:$P,A299,RAW_판매펀칭!$I:$I,C299)*W299/SUMIFS($W:$W,$A:$A,A299,$C:$C,C299))</f>
        <v>1173</v>
      </c>
      <c r="R299" s="47" t="n">
        <f aca="false">IF(OR(A299="500",A299="800",A299="810"),0,MAX(W299-Q299,0))</f>
        <v>11</v>
      </c>
      <c r="S299" s="47" t="n">
        <f aca="false">R299*L299</f>
        <v>216285.3</v>
      </c>
      <c r="T299" s="47" t="n">
        <f aca="false">R299*J299</f>
        <v>869000</v>
      </c>
      <c r="U299" s="47" t="n">
        <f aca="false">R299*K299</f>
        <v>205986</v>
      </c>
      <c r="V299" s="0" t="str">
        <f aca="false">IF(COUNTIFS($A$2:A299,A299,$C$2:C299,C299,$D$2:D299,D299)&gt;1,"중복","")</f>
        <v/>
      </c>
      <c r="W299" s="0" t="n">
        <f aca="false">IF(V299="중복",0,N(D299))</f>
        <v>1184</v>
      </c>
      <c r="X299" s="0" t="n">
        <f aca="false">IF(COUNTIFS($A$2:A299,A299,$C$2:C299,C299)=1,ABS(SUMIFS(RAW_발주!$D:$D,RAW_발주!$C:$C,A299,RAW_발주!$A:$A,C299)-SUMIFS($W:$W,$A:$A,A299,$C:$C,C299)),0)</f>
        <v>0</v>
      </c>
    </row>
    <row r="300" customFormat="false" ht="15.75" hidden="false" customHeight="true" outlineLevel="0" collapsed="false">
      <c r="A300" s="45" t="s">
        <v>1660</v>
      </c>
      <c r="B300" s="42" t="str">
        <f aca="false">IF(A300="100","HK",IF(A300="200","CN",IF(A300="300","TW","홀세일")))</f>
        <v>CN</v>
      </c>
      <c r="C300" s="45" t="s">
        <v>244</v>
      </c>
      <c r="D300" s="46" t="n">
        <v>1184</v>
      </c>
      <c r="E300" s="46" t="n">
        <v>79000</v>
      </c>
      <c r="F300" s="46" t="n">
        <v>18726</v>
      </c>
      <c r="G300" s="42" t="n">
        <v>3.49</v>
      </c>
      <c r="H300" s="42" t="n">
        <v>19.8</v>
      </c>
      <c r="J300" s="46" t="n">
        <f aca="false">IF(N(E300)&gt;0,E300,IF(N(F300)&gt;0,F300*요약!$F$27,0))</f>
        <v>79000</v>
      </c>
      <c r="K300" s="46" t="n">
        <f aca="false">IF(N(F300)&gt;0,F300,IF(N(E300)&gt;0,E300/요약!$F$27,0))</f>
        <v>18726</v>
      </c>
      <c r="L300" s="46" t="n">
        <f aca="false">IF(B300="CN",IF(N(I300)&gt;0,I300*요약!$G$27,K300*(1+요약!$E$27)),IF(N(H300)&gt;0,H300*요약!$G$27,J300*요약!$D$27))</f>
        <v>19662.3</v>
      </c>
      <c r="M300" s="46" t="n">
        <f aca="false">D300*J300</f>
        <v>93536000</v>
      </c>
      <c r="N300" s="46" t="n">
        <f aca="false">D300*K300</f>
        <v>22171584</v>
      </c>
      <c r="O300" s="46" t="n">
        <f aca="false">D300*L300</f>
        <v>23280163.2</v>
      </c>
      <c r="P300" s="42" t="str">
        <f aca="false">TRIM(IF(N(E300)&lt;=0,"택가보정 ","")&amp;IF(N(F300)&lt;=0,"원가보정 ","")&amp;IF(AND(B300&lt;&gt;"CN",N(H300)&lt;=0),"공급가보정 ","")&amp;IF(AND(B300="CN",N(I300)&lt;=0),"중국공급가=원가+마진 ",""))</f>
        <v>중국공급가=원가+마진</v>
      </c>
      <c r="Q300" s="47" t="n">
        <f aca="false">IF(SUMIFS($W:$W,$A:$A,A300,$C:$C,C300)=0,0,SUMIFS(RAW_판매펀칭!$K:$K,RAW_판매펀칭!$P:$P,A300,RAW_판매펀칭!$I:$I,C300)*W300/SUMIFS($W:$W,$A:$A,A300,$C:$C,C300))</f>
        <v>0</v>
      </c>
      <c r="R300" s="47" t="n">
        <f aca="false">IF(OR(A300="500",A300="800",A300="810"),0,MAX(W300-Q300,0))</f>
        <v>0</v>
      </c>
      <c r="S300" s="47" t="n">
        <f aca="false">R300*L300</f>
        <v>0</v>
      </c>
      <c r="T300" s="47" t="n">
        <f aca="false">R300*J300</f>
        <v>0</v>
      </c>
      <c r="U300" s="47" t="n">
        <f aca="false">R300*K300</f>
        <v>0</v>
      </c>
      <c r="V300" s="0" t="str">
        <f aca="false">IF(COUNTIFS($A$2:A300,A300,$C$2:C300,C300,$D$2:D300,D300)&gt;1,"중복","")</f>
        <v>중복</v>
      </c>
      <c r="W300" s="0" t="n">
        <f aca="false">IF(V300="중복",0,N(D300))</f>
        <v>0</v>
      </c>
      <c r="X300" s="0" t="n">
        <f aca="false">IF(COUNTIFS($A$2:A300,A300,$C$2:C300,C300)=1,ABS(SUMIFS(RAW_발주!$D:$D,RAW_발주!$C:$C,A300,RAW_발주!$A:$A,C300)-SUMIFS($W:$W,$A:$A,A300,$C:$C,C300)),0)</f>
        <v>0</v>
      </c>
    </row>
    <row r="301" customFormat="false" ht="15" hidden="false" customHeight="true" outlineLevel="0" collapsed="false">
      <c r="A301" s="45" t="s">
        <v>1661</v>
      </c>
      <c r="B301" s="42" t="str">
        <f aca="false">IF(A301="100","HK",IF(A301="200","CN",IF(A301="300","TW","홀세일")))</f>
        <v>TW</v>
      </c>
      <c r="C301" s="45" t="s">
        <v>244</v>
      </c>
      <c r="D301" s="46" t="n">
        <v>450</v>
      </c>
      <c r="E301" s="46" t="n">
        <v>79000</v>
      </c>
      <c r="F301" s="46" t="n">
        <v>18726</v>
      </c>
      <c r="G301" s="42" t="n">
        <v>3.49</v>
      </c>
      <c r="H301" s="42" t="n">
        <v>19.8</v>
      </c>
      <c r="J301" s="46" t="n">
        <f aca="false">IF(N(E301)&gt;0,E301,IF(N(F301)&gt;0,F301*요약!$F$27,0))</f>
        <v>79000</v>
      </c>
      <c r="K301" s="46" t="n">
        <f aca="false">IF(N(F301)&gt;0,F301,IF(N(E301)&gt;0,E301/요약!$F$27,0))</f>
        <v>18726</v>
      </c>
      <c r="L301" s="46" t="n">
        <f aca="false">IF(B301="CN",IF(N(I301)&gt;0,I301*요약!$G$27,K301*(1+요약!$E$27)),IF(N(H301)&gt;0,H301*요약!$G$27,J301*요약!$D$27))</f>
        <v>26136</v>
      </c>
      <c r="M301" s="46" t="n">
        <f aca="false">D301*J301</f>
        <v>35550000</v>
      </c>
      <c r="N301" s="46" t="n">
        <f aca="false">D301*K301</f>
        <v>8426700</v>
      </c>
      <c r="O301" s="46" t="n">
        <f aca="false">D301*L301</f>
        <v>11761200</v>
      </c>
      <c r="P301" s="42" t="str">
        <f aca="false">TRIM(IF(N(E301)&lt;=0,"택가보정 ","")&amp;IF(N(F301)&lt;=0,"원가보정 ","")&amp;IF(AND(B301&lt;&gt;"CN",N(H301)&lt;=0),"공급가보정 ","")&amp;IF(AND(B301="CN",N(I301)&lt;=0),"중국공급가=원가+마진 ",""))</f>
        <v/>
      </c>
      <c r="Q301" s="47" t="n">
        <f aca="false">IF(SUMIFS($W:$W,$A:$A,A301,$C:$C,C301)=0,0,SUMIFS(RAW_판매펀칭!$K:$K,RAW_판매펀칭!$P:$P,A301,RAW_판매펀칭!$I:$I,C301)*W301/SUMIFS($W:$W,$A:$A,A301,$C:$C,C301))</f>
        <v>450</v>
      </c>
      <c r="R301" s="47" t="n">
        <f aca="false">IF(OR(A301="500",A301="800",A301="810"),0,MAX(W301-Q301,0))</f>
        <v>0</v>
      </c>
      <c r="S301" s="47" t="n">
        <f aca="false">R301*L301</f>
        <v>0</v>
      </c>
      <c r="T301" s="47" t="n">
        <f aca="false">R301*J301</f>
        <v>0</v>
      </c>
      <c r="U301" s="47" t="n">
        <f aca="false">R301*K301</f>
        <v>0</v>
      </c>
      <c r="V301" s="0" t="str">
        <f aca="false">IF(COUNTIFS($A$2:A301,A301,$C$2:C301,C301,$D$2:D301,D301)&gt;1,"중복","")</f>
        <v/>
      </c>
      <c r="W301" s="0" t="n">
        <f aca="false">IF(V301="중복",0,N(D301))</f>
        <v>450</v>
      </c>
      <c r="X301" s="0" t="n">
        <f aca="false">IF(COUNTIFS($A$2:A301,A301,$C$2:C301,C301)=1,ABS(SUMIFS(RAW_발주!$D:$D,RAW_발주!$C:$C,A301,RAW_발주!$A:$A,C301)-SUMIFS($W:$W,$A:$A,A301,$C:$C,C301)),0)</f>
        <v>0</v>
      </c>
    </row>
    <row r="302" customFormat="false" ht="15" hidden="false" customHeight="true" outlineLevel="0" collapsed="false">
      <c r="A302" s="45" t="s">
        <v>1663</v>
      </c>
      <c r="B302" s="42" t="str">
        <f aca="false">IF(A302="100","HK",IF(A302="200","CN",IF(A302="300","TW","홀세일")))</f>
        <v>홀세일</v>
      </c>
      <c r="C302" s="45" t="s">
        <v>244</v>
      </c>
      <c r="D302" s="46" t="n">
        <v>40</v>
      </c>
      <c r="E302" s="46" t="n">
        <v>79000</v>
      </c>
      <c r="F302" s="46" t="n">
        <v>18726</v>
      </c>
      <c r="G302" s="42" t="n">
        <v>3.49</v>
      </c>
      <c r="H302" s="42" t="n">
        <v>19.8</v>
      </c>
      <c r="J302" s="46" t="n">
        <f aca="false">IF(N(E302)&gt;0,E302,IF(N(F302)&gt;0,F302*요약!$F$27,0))</f>
        <v>79000</v>
      </c>
      <c r="K302" s="46" t="n">
        <f aca="false">IF(N(F302)&gt;0,F302,IF(N(E302)&gt;0,E302/요약!$F$27,0))</f>
        <v>18726</v>
      </c>
      <c r="L302" s="46" t="n">
        <f aca="false">IF(B302="CN",IF(N(I302)&gt;0,I302*요약!$G$27,K302*(1+요약!$E$27)),IF(N(H302)&gt;0,H302*요약!$G$27,J302*요약!$D$27))</f>
        <v>26136</v>
      </c>
      <c r="M302" s="46" t="n">
        <f aca="false">D302*J302</f>
        <v>3160000</v>
      </c>
      <c r="N302" s="46" t="n">
        <f aca="false">D302*K302</f>
        <v>749040</v>
      </c>
      <c r="O302" s="46" t="n">
        <f aca="false">D302*L302</f>
        <v>1045440</v>
      </c>
      <c r="P302" s="42" t="str">
        <f aca="false">TRIM(IF(N(E302)&lt;=0,"택가보정 ","")&amp;IF(N(F302)&lt;=0,"원가보정 ","")&amp;IF(AND(B302&lt;&gt;"CN",N(H302)&lt;=0),"공급가보정 ","")&amp;IF(AND(B302="CN",N(I302)&lt;=0),"중국공급가=원가+마진 ",""))</f>
        <v/>
      </c>
      <c r="Q302" s="47" t="n">
        <f aca="false">IF(SUMIFS($W:$W,$A:$A,A302,$C:$C,C302)=0,0,SUMIFS(RAW_판매펀칭!$K:$K,RAW_판매펀칭!$P:$P,A302,RAW_판매펀칭!$I:$I,C302)*W302/SUMIFS($W:$W,$A:$A,A302,$C:$C,C302))</f>
        <v>40</v>
      </c>
      <c r="R302" s="47" t="n">
        <f aca="false">IF(OR(A302="500",A302="800",A302="810"),0,MAX(W302-Q302,0))</f>
        <v>0</v>
      </c>
      <c r="S302" s="47" t="n">
        <f aca="false">R302*L302</f>
        <v>0</v>
      </c>
      <c r="T302" s="47" t="n">
        <f aca="false">R302*J302</f>
        <v>0</v>
      </c>
      <c r="U302" s="47" t="n">
        <f aca="false">R302*K302</f>
        <v>0</v>
      </c>
      <c r="V302" s="0" t="str">
        <f aca="false">IF(COUNTIFS($A$2:A302,A302,$C$2:C302,C302,$D$2:D302,D302)&gt;1,"중복","")</f>
        <v/>
      </c>
      <c r="W302" s="0" t="n">
        <f aca="false">IF(V302="중복",0,N(D302))</f>
        <v>40</v>
      </c>
      <c r="X302" s="0" t="n">
        <f aca="false">IF(COUNTIFS($A$2:A302,A302,$C$2:C302,C302)=1,ABS(SUMIFS(RAW_발주!$D:$D,RAW_발주!$C:$C,A302,RAW_발주!$A:$A,C302)-SUMIFS($W:$W,$A:$A,A302,$C:$C,C302)),0)</f>
        <v>0</v>
      </c>
    </row>
    <row r="303" customFormat="false" ht="15" hidden="false" customHeight="true" outlineLevel="0" collapsed="false">
      <c r="A303" s="45" t="s">
        <v>1667</v>
      </c>
      <c r="B303" s="42" t="str">
        <f aca="false">IF(A303="100","HK",IF(A303="200","CN",IF(A303="300","TW","홀세일")))</f>
        <v>홀세일</v>
      </c>
      <c r="C303" s="45" t="s">
        <v>244</v>
      </c>
      <c r="D303" s="46" t="n">
        <v>178</v>
      </c>
      <c r="E303" s="46" t="n">
        <v>79000</v>
      </c>
      <c r="F303" s="46" t="n">
        <v>18726</v>
      </c>
      <c r="G303" s="42" t="n">
        <v>3.49</v>
      </c>
      <c r="H303" s="42" t="n">
        <v>19.8</v>
      </c>
      <c r="J303" s="46" t="n">
        <f aca="false">IF(N(E303)&gt;0,E303,IF(N(F303)&gt;0,F303*요약!$F$27,0))</f>
        <v>79000</v>
      </c>
      <c r="K303" s="46" t="n">
        <f aca="false">IF(N(F303)&gt;0,F303,IF(N(E303)&gt;0,E303/요약!$F$27,0))</f>
        <v>18726</v>
      </c>
      <c r="L303" s="46" t="n">
        <f aca="false">IF(B303="CN",IF(N(I303)&gt;0,I303*요약!$G$27,K303*(1+요약!$E$27)),IF(N(H303)&gt;0,H303*요약!$G$27,J303*요약!$D$27))</f>
        <v>26136</v>
      </c>
      <c r="M303" s="46" t="n">
        <f aca="false">D303*J303</f>
        <v>14062000</v>
      </c>
      <c r="N303" s="46" t="n">
        <f aca="false">D303*K303</f>
        <v>3333228</v>
      </c>
      <c r="O303" s="46" t="n">
        <f aca="false">D303*L303</f>
        <v>4652208</v>
      </c>
      <c r="P303" s="42" t="str">
        <f aca="false">TRIM(IF(N(E303)&lt;=0,"택가보정 ","")&amp;IF(N(F303)&lt;=0,"원가보정 ","")&amp;IF(AND(B303&lt;&gt;"CN",N(H303)&lt;=0),"공급가보정 ","")&amp;IF(AND(B303="CN",N(I303)&lt;=0),"중국공급가=원가+마진 ",""))</f>
        <v/>
      </c>
      <c r="Q303" s="47" t="n">
        <f aca="false">IF(SUMIFS($W:$W,$A:$A,A303,$C:$C,C303)=0,0,SUMIFS(RAW_판매펀칭!$K:$K,RAW_판매펀칭!$P:$P,A303,RAW_판매펀칭!$I:$I,C303)*W303/SUMIFS($W:$W,$A:$A,A303,$C:$C,C303))</f>
        <v>178</v>
      </c>
      <c r="R303" s="47" t="n">
        <f aca="false">IF(OR(A303="500",A303="800",A303="810"),0,MAX(W303-Q303,0))</f>
        <v>0</v>
      </c>
      <c r="S303" s="47" t="n">
        <f aca="false">R303*L303</f>
        <v>0</v>
      </c>
      <c r="T303" s="47" t="n">
        <f aca="false">R303*J303</f>
        <v>0</v>
      </c>
      <c r="U303" s="47" t="n">
        <f aca="false">R303*K303</f>
        <v>0</v>
      </c>
      <c r="V303" s="0" t="str">
        <f aca="false">IF(COUNTIFS($A$2:A303,A303,$C$2:C303,C303,$D$2:D303,D303)&gt;1,"중복","")</f>
        <v/>
      </c>
      <c r="W303" s="0" t="n">
        <f aca="false">IF(V303="중복",0,N(D303))</f>
        <v>178</v>
      </c>
      <c r="X303" s="0" t="n">
        <f aca="false">IF(COUNTIFS($A$2:A303,A303,$C$2:C303,C303)=1,ABS(SUMIFS(RAW_발주!$D:$D,RAW_발주!$C:$C,A303,RAW_발주!$A:$A,C303)-SUMIFS($W:$W,$A:$A,A303,$C:$C,C303)),0)</f>
        <v>0</v>
      </c>
    </row>
    <row r="304" customFormat="false" ht="15" hidden="false" customHeight="true" outlineLevel="0" collapsed="false">
      <c r="A304" s="45" t="s">
        <v>1664</v>
      </c>
      <c r="B304" s="42" t="str">
        <f aca="false">IF(A304="100","HK",IF(A304="200","CN",IF(A304="300","TW","홀세일")))</f>
        <v>홀세일</v>
      </c>
      <c r="C304" s="45" t="s">
        <v>244</v>
      </c>
      <c r="D304" s="46" t="n">
        <v>95</v>
      </c>
      <c r="E304" s="46" t="n">
        <v>79000</v>
      </c>
      <c r="F304" s="46" t="n">
        <v>18726</v>
      </c>
      <c r="G304" s="42" t="n">
        <v>3.49</v>
      </c>
      <c r="H304" s="42" t="n">
        <v>19.8</v>
      </c>
      <c r="J304" s="46" t="n">
        <f aca="false">IF(N(E304)&gt;0,E304,IF(N(F304)&gt;0,F304*요약!$F$27,0))</f>
        <v>79000</v>
      </c>
      <c r="K304" s="46" t="n">
        <f aca="false">IF(N(F304)&gt;0,F304,IF(N(E304)&gt;0,E304/요약!$F$27,0))</f>
        <v>18726</v>
      </c>
      <c r="L304" s="46" t="n">
        <f aca="false">IF(B304="CN",IF(N(I304)&gt;0,I304*요약!$G$27,K304*(1+요약!$E$27)),IF(N(H304)&gt;0,H304*요약!$G$27,J304*요약!$D$27))</f>
        <v>26136</v>
      </c>
      <c r="M304" s="46" t="n">
        <f aca="false">D304*J304</f>
        <v>7505000</v>
      </c>
      <c r="N304" s="46" t="n">
        <f aca="false">D304*K304</f>
        <v>1778970</v>
      </c>
      <c r="O304" s="46" t="n">
        <f aca="false">D304*L304</f>
        <v>2482920</v>
      </c>
      <c r="P304" s="42" t="str">
        <f aca="false">TRIM(IF(N(E304)&lt;=0,"택가보정 ","")&amp;IF(N(F304)&lt;=0,"원가보정 ","")&amp;IF(AND(B304&lt;&gt;"CN",N(H304)&lt;=0),"공급가보정 ","")&amp;IF(AND(B304="CN",N(I304)&lt;=0),"중국공급가=원가+마진 ",""))</f>
        <v/>
      </c>
      <c r="Q304" s="47" t="n">
        <f aca="false">IF(SUMIFS($W:$W,$A:$A,A304,$C:$C,C304)=0,0,SUMIFS(RAW_판매펀칭!$K:$K,RAW_판매펀칭!$P:$P,A304,RAW_판매펀칭!$I:$I,C304)*W304/SUMIFS($W:$W,$A:$A,A304,$C:$C,C304))</f>
        <v>0</v>
      </c>
      <c r="R304" s="47" t="n">
        <f aca="false">IF(OR(A304="500",A304="800",A304="810"),0,MAX(W304-Q304,0))</f>
        <v>0</v>
      </c>
      <c r="S304" s="47" t="n">
        <f aca="false">R304*L304</f>
        <v>0</v>
      </c>
      <c r="T304" s="47" t="n">
        <f aca="false">R304*J304</f>
        <v>0</v>
      </c>
      <c r="U304" s="47" t="n">
        <f aca="false">R304*K304</f>
        <v>0</v>
      </c>
      <c r="V304" s="0" t="str">
        <f aca="false">IF(COUNTIFS($A$2:A304,A304,$C$2:C304,C304,$D$2:D304,D304)&gt;1,"중복","")</f>
        <v/>
      </c>
      <c r="W304" s="0" t="n">
        <f aca="false">IF(V304="중복",0,N(D304))</f>
        <v>95</v>
      </c>
      <c r="X304" s="0" t="n">
        <f aca="false">IF(COUNTIFS($A$2:A304,A304,$C$2:C304,C304)=1,ABS(SUMIFS(RAW_발주!$D:$D,RAW_발주!$C:$C,A304,RAW_발주!$A:$A,C304)-SUMIFS($W:$W,$A:$A,A304,$C:$C,C304)),0)</f>
        <v>0</v>
      </c>
    </row>
    <row r="305" customFormat="false" ht="15" hidden="false" customHeight="true" outlineLevel="0" collapsed="false">
      <c r="A305" s="45" t="s">
        <v>1664</v>
      </c>
      <c r="B305" s="42" t="str">
        <f aca="false">IF(A305="100","HK",IF(A305="200","CN",IF(A305="300","TW","홀세일")))</f>
        <v>홀세일</v>
      </c>
      <c r="C305" s="45" t="s">
        <v>1674</v>
      </c>
      <c r="D305" s="46" t="n">
        <v>60</v>
      </c>
      <c r="E305" s="46" t="n">
        <v>69000</v>
      </c>
      <c r="F305" s="46" t="n">
        <v>16700</v>
      </c>
      <c r="G305" s="42" t="n">
        <v>3.56</v>
      </c>
      <c r="H305" s="42" t="n">
        <v>17.3</v>
      </c>
      <c r="J305" s="46" t="n">
        <f aca="false">IF(N(E305)&gt;0,E305,IF(N(F305)&gt;0,F305*요약!$F$27,0))</f>
        <v>69000</v>
      </c>
      <c r="K305" s="46" t="n">
        <f aca="false">IF(N(F305)&gt;0,F305,IF(N(E305)&gt;0,E305/요약!$F$27,0))</f>
        <v>16700</v>
      </c>
      <c r="L305" s="46" t="n">
        <f aca="false">IF(B305="CN",IF(N(I305)&gt;0,I305*요약!$G$27,K305*(1+요약!$E$27)),IF(N(H305)&gt;0,H305*요약!$G$27,J305*요약!$D$27))</f>
        <v>22836</v>
      </c>
      <c r="M305" s="46" t="n">
        <f aca="false">D305*J305</f>
        <v>4140000</v>
      </c>
      <c r="N305" s="46" t="n">
        <f aca="false">D305*K305</f>
        <v>1002000</v>
      </c>
      <c r="O305" s="46" t="n">
        <f aca="false">D305*L305</f>
        <v>1370160</v>
      </c>
      <c r="P305" s="42" t="str">
        <f aca="false">TRIM(IF(N(E305)&lt;=0,"택가보정 ","")&amp;IF(N(F305)&lt;=0,"원가보정 ","")&amp;IF(AND(B305&lt;&gt;"CN",N(H305)&lt;=0),"공급가보정 ","")&amp;IF(AND(B305="CN",N(I305)&lt;=0),"중국공급가=원가+마진 ",""))</f>
        <v/>
      </c>
      <c r="Q305" s="47" t="n">
        <f aca="false">IF(SUMIFS($W:$W,$A:$A,A305,$C:$C,C305)=0,0,SUMIFS(RAW_판매펀칭!$K:$K,RAW_판매펀칭!$P:$P,A305,RAW_판매펀칭!$I:$I,C305)*W305/SUMIFS($W:$W,$A:$A,A305,$C:$C,C305))</f>
        <v>0</v>
      </c>
      <c r="R305" s="47" t="n">
        <f aca="false">IF(OR(A305="500",A305="800",A305="810"),0,MAX(W305-Q305,0))</f>
        <v>0</v>
      </c>
      <c r="S305" s="47" t="n">
        <f aca="false">R305*L305</f>
        <v>0</v>
      </c>
      <c r="T305" s="47" t="n">
        <f aca="false">R305*J305</f>
        <v>0</v>
      </c>
      <c r="U305" s="47" t="n">
        <f aca="false">R305*K305</f>
        <v>0</v>
      </c>
      <c r="V305" s="0" t="str">
        <f aca="false">IF(COUNTIFS($A$2:A305,A305,$C$2:C305,C305,$D$2:D305,D305)&gt;1,"중복","")</f>
        <v/>
      </c>
      <c r="W305" s="0" t="n">
        <f aca="false">IF(V305="중복",0,N(D305))</f>
        <v>60</v>
      </c>
      <c r="X305" s="0" t="n">
        <f aca="false">IF(COUNTIFS($A$2:A305,A305,$C$2:C305,C305)=1,ABS(SUMIFS(RAW_발주!$D:$D,RAW_발주!$C:$C,A305,RAW_발주!$A:$A,C305)-SUMIFS($W:$W,$A:$A,A305,$C:$C,C305)),0)</f>
        <v>0</v>
      </c>
    </row>
    <row r="306" customFormat="false" ht="15" hidden="false" customHeight="true" outlineLevel="0" collapsed="false">
      <c r="A306" s="45" t="s">
        <v>1659</v>
      </c>
      <c r="B306" s="42" t="str">
        <f aca="false">IF(A306="100","HK",IF(A306="200","CN",IF(A306="300","TW","홀세일")))</f>
        <v>HK</v>
      </c>
      <c r="C306" s="45" t="s">
        <v>236</v>
      </c>
      <c r="D306" s="46" t="n">
        <v>80</v>
      </c>
      <c r="E306" s="46" t="n">
        <v>79000</v>
      </c>
      <c r="F306" s="46" t="n">
        <v>22234</v>
      </c>
      <c r="G306" s="42" t="n">
        <v>3.29</v>
      </c>
      <c r="H306" s="42" t="n">
        <v>19.8</v>
      </c>
      <c r="J306" s="46" t="n">
        <f aca="false">IF(N(E306)&gt;0,E306,IF(N(F306)&gt;0,F306*요약!$F$27,0))</f>
        <v>79000</v>
      </c>
      <c r="K306" s="46" t="n">
        <f aca="false">IF(N(F306)&gt;0,F306,IF(N(E306)&gt;0,E306/요약!$F$27,0))</f>
        <v>22234</v>
      </c>
      <c r="L306" s="46" t="n">
        <f aca="false">IF(B306="CN",IF(N(I306)&gt;0,I306*요약!$G$27,K306*(1+요약!$E$27)),IF(N(H306)&gt;0,H306*요약!$G$27,J306*요약!$D$27))</f>
        <v>26136</v>
      </c>
      <c r="M306" s="46" t="n">
        <f aca="false">D306*J306</f>
        <v>6320000</v>
      </c>
      <c r="N306" s="46" t="n">
        <f aca="false">D306*K306</f>
        <v>1778720</v>
      </c>
      <c r="O306" s="46" t="n">
        <f aca="false">D306*L306</f>
        <v>2090880</v>
      </c>
      <c r="P306" s="42" t="str">
        <f aca="false">TRIM(IF(N(E306)&lt;=0,"택가보정 ","")&amp;IF(N(F306)&lt;=0,"원가보정 ","")&amp;IF(AND(B306&lt;&gt;"CN",N(H306)&lt;=0),"공급가보정 ","")&amp;IF(AND(B306="CN",N(I306)&lt;=0),"중국공급가=원가+마진 ",""))</f>
        <v/>
      </c>
      <c r="Q306" s="47" t="n">
        <f aca="false">IF(SUMIFS($W:$W,$A:$A,A306,$C:$C,C306)=0,0,SUMIFS(RAW_판매펀칭!$K:$K,RAW_판매펀칭!$P:$P,A306,RAW_판매펀칭!$I:$I,C306)*W306/SUMIFS($W:$W,$A:$A,A306,$C:$C,C306))</f>
        <v>80</v>
      </c>
      <c r="R306" s="47" t="n">
        <f aca="false">IF(OR(A306="500",A306="800",A306="810"),0,MAX(W306-Q306,0))</f>
        <v>0</v>
      </c>
      <c r="S306" s="47" t="n">
        <f aca="false">R306*L306</f>
        <v>0</v>
      </c>
      <c r="T306" s="47" t="n">
        <f aca="false">R306*J306</f>
        <v>0</v>
      </c>
      <c r="U306" s="47" t="n">
        <f aca="false">R306*K306</f>
        <v>0</v>
      </c>
      <c r="V306" s="0" t="str">
        <f aca="false">IF(COUNTIFS($A$2:A306,A306,$C$2:C306,C306,$D$2:D306,D306)&gt;1,"중복","")</f>
        <v/>
      </c>
      <c r="W306" s="0" t="n">
        <f aca="false">IF(V306="중복",0,N(D306))</f>
        <v>80</v>
      </c>
      <c r="X306" s="0" t="n">
        <f aca="false">IF(COUNTIFS($A$2:A306,A306,$C$2:C306,C306)=1,ABS(SUMIFS(RAW_발주!$D:$D,RAW_발주!$C:$C,A306,RAW_발주!$A:$A,C306)-SUMIFS($W:$W,$A:$A,A306,$C:$C,C306)),0)</f>
        <v>0</v>
      </c>
    </row>
    <row r="307" customFormat="false" ht="15.75" hidden="false" customHeight="true" outlineLevel="0" collapsed="false">
      <c r="A307" s="45" t="s">
        <v>1660</v>
      </c>
      <c r="B307" s="42" t="str">
        <f aca="false">IF(A307="100","HK",IF(A307="200","CN",IF(A307="300","TW","홀세일")))</f>
        <v>CN</v>
      </c>
      <c r="C307" s="45" t="s">
        <v>236</v>
      </c>
      <c r="D307" s="46" t="n">
        <v>202</v>
      </c>
      <c r="E307" s="46" t="n">
        <v>79000</v>
      </c>
      <c r="F307" s="46" t="n">
        <v>22234</v>
      </c>
      <c r="G307" s="42" t="n">
        <v>3.29</v>
      </c>
      <c r="H307" s="42" t="n">
        <v>19.8</v>
      </c>
      <c r="J307" s="46" t="n">
        <f aca="false">IF(N(E307)&gt;0,E307,IF(N(F307)&gt;0,F307*요약!$F$27,0))</f>
        <v>79000</v>
      </c>
      <c r="K307" s="46" t="n">
        <f aca="false">IF(N(F307)&gt;0,F307,IF(N(E307)&gt;0,E307/요약!$F$27,0))</f>
        <v>22234</v>
      </c>
      <c r="L307" s="46" t="n">
        <f aca="false">IF(B307="CN",IF(N(I307)&gt;0,I307*요약!$G$27,K307*(1+요약!$E$27)),IF(N(H307)&gt;0,H307*요약!$G$27,J307*요약!$D$27))</f>
        <v>23345.7</v>
      </c>
      <c r="M307" s="46" t="n">
        <f aca="false">D307*J307</f>
        <v>15958000</v>
      </c>
      <c r="N307" s="46" t="n">
        <f aca="false">D307*K307</f>
        <v>4491268</v>
      </c>
      <c r="O307" s="46" t="n">
        <f aca="false">D307*L307</f>
        <v>4715831.4</v>
      </c>
      <c r="P307" s="42" t="str">
        <f aca="false">TRIM(IF(N(E307)&lt;=0,"택가보정 ","")&amp;IF(N(F307)&lt;=0,"원가보정 ","")&amp;IF(AND(B307&lt;&gt;"CN",N(H307)&lt;=0),"공급가보정 ","")&amp;IF(AND(B307="CN",N(I307)&lt;=0),"중국공급가=원가+마진 ",""))</f>
        <v>중국공급가=원가+마진</v>
      </c>
      <c r="Q307" s="47" t="n">
        <f aca="false">IF(SUMIFS($W:$W,$A:$A,A307,$C:$C,C307)=0,0,SUMIFS(RAW_판매펀칭!$K:$K,RAW_판매펀칭!$P:$P,A307,RAW_판매펀칭!$I:$I,C307)*W307/SUMIFS($W:$W,$A:$A,A307,$C:$C,C307))</f>
        <v>200</v>
      </c>
      <c r="R307" s="47" t="n">
        <f aca="false">IF(OR(A307="500",A307="800",A307="810"),0,MAX(W307-Q307,0))</f>
        <v>2</v>
      </c>
      <c r="S307" s="47" t="n">
        <f aca="false">R307*L307</f>
        <v>46691.4</v>
      </c>
      <c r="T307" s="47" t="n">
        <f aca="false">R307*J307</f>
        <v>158000</v>
      </c>
      <c r="U307" s="47" t="n">
        <f aca="false">R307*K307</f>
        <v>44468</v>
      </c>
      <c r="V307" s="0" t="str">
        <f aca="false">IF(COUNTIFS($A$2:A307,A307,$C$2:C307,C307,$D$2:D307,D307)&gt;1,"중복","")</f>
        <v/>
      </c>
      <c r="W307" s="0" t="n">
        <f aca="false">IF(V307="중복",0,N(D307))</f>
        <v>202</v>
      </c>
      <c r="X307" s="0" t="n">
        <f aca="false">IF(COUNTIFS($A$2:A307,A307,$C$2:C307,C307)=1,ABS(SUMIFS(RAW_발주!$D:$D,RAW_발주!$C:$C,A307,RAW_발주!$A:$A,C307)-SUMIFS($W:$W,$A:$A,A307,$C:$C,C307)),0)</f>
        <v>0</v>
      </c>
    </row>
    <row r="308" customFormat="false" ht="15" hidden="false" customHeight="true" outlineLevel="0" collapsed="false">
      <c r="A308" s="45" t="s">
        <v>1661</v>
      </c>
      <c r="B308" s="42" t="str">
        <f aca="false">IF(A308="100","HK",IF(A308="200","CN",IF(A308="300","TW","홀세일")))</f>
        <v>TW</v>
      </c>
      <c r="C308" s="45" t="s">
        <v>236</v>
      </c>
      <c r="D308" s="46" t="n">
        <v>350</v>
      </c>
      <c r="E308" s="46" t="n">
        <v>79000</v>
      </c>
      <c r="F308" s="46" t="n">
        <v>22234</v>
      </c>
      <c r="G308" s="42" t="n">
        <v>3.29</v>
      </c>
      <c r="H308" s="42" t="n">
        <v>19.8</v>
      </c>
      <c r="J308" s="46" t="n">
        <f aca="false">IF(N(E308)&gt;0,E308,IF(N(F308)&gt;0,F308*요약!$F$27,0))</f>
        <v>79000</v>
      </c>
      <c r="K308" s="46" t="n">
        <f aca="false">IF(N(F308)&gt;0,F308,IF(N(E308)&gt;0,E308/요약!$F$27,0))</f>
        <v>22234</v>
      </c>
      <c r="L308" s="46" t="n">
        <f aca="false">IF(B308="CN",IF(N(I308)&gt;0,I308*요약!$G$27,K308*(1+요약!$E$27)),IF(N(H308)&gt;0,H308*요약!$G$27,J308*요약!$D$27))</f>
        <v>26136</v>
      </c>
      <c r="M308" s="46" t="n">
        <f aca="false">D308*J308</f>
        <v>27650000</v>
      </c>
      <c r="N308" s="46" t="n">
        <f aca="false">D308*K308</f>
        <v>7781900</v>
      </c>
      <c r="O308" s="46" t="n">
        <f aca="false">D308*L308</f>
        <v>9147600</v>
      </c>
      <c r="P308" s="42" t="str">
        <f aca="false">TRIM(IF(N(E308)&lt;=0,"택가보정 ","")&amp;IF(N(F308)&lt;=0,"원가보정 ","")&amp;IF(AND(B308&lt;&gt;"CN",N(H308)&lt;=0),"공급가보정 ","")&amp;IF(AND(B308="CN",N(I308)&lt;=0),"중국공급가=원가+마진 ",""))</f>
        <v/>
      </c>
      <c r="Q308" s="47" t="n">
        <f aca="false">IF(SUMIFS($W:$W,$A:$A,A308,$C:$C,C308)=0,0,SUMIFS(RAW_판매펀칭!$K:$K,RAW_판매펀칭!$P:$P,A308,RAW_판매펀칭!$I:$I,C308)*W308/SUMIFS($W:$W,$A:$A,A308,$C:$C,C308))</f>
        <v>350</v>
      </c>
      <c r="R308" s="47" t="n">
        <f aca="false">IF(OR(A308="500",A308="800",A308="810"),0,MAX(W308-Q308,0))</f>
        <v>0</v>
      </c>
      <c r="S308" s="47" t="n">
        <f aca="false">R308*L308</f>
        <v>0</v>
      </c>
      <c r="T308" s="47" t="n">
        <f aca="false">R308*J308</f>
        <v>0</v>
      </c>
      <c r="U308" s="47" t="n">
        <f aca="false">R308*K308</f>
        <v>0</v>
      </c>
      <c r="V308" s="0" t="str">
        <f aca="false">IF(COUNTIFS($A$2:A308,A308,$C$2:C308,C308,$D$2:D308,D308)&gt;1,"중복","")</f>
        <v/>
      </c>
      <c r="W308" s="0" t="n">
        <f aca="false">IF(V308="중복",0,N(D308))</f>
        <v>350</v>
      </c>
      <c r="X308" s="0" t="n">
        <f aca="false">IF(COUNTIFS($A$2:A308,A308,$C$2:C308,C308)=1,ABS(SUMIFS(RAW_발주!$D:$D,RAW_발주!$C:$C,A308,RAW_발주!$A:$A,C308)-SUMIFS($W:$W,$A:$A,A308,$C:$C,C308)),0)</f>
        <v>0</v>
      </c>
    </row>
    <row r="309" customFormat="false" ht="15" hidden="false" customHeight="true" outlineLevel="0" collapsed="false">
      <c r="A309" s="45" t="s">
        <v>1659</v>
      </c>
      <c r="B309" s="42" t="str">
        <f aca="false">IF(A309="100","HK",IF(A309="200","CN",IF(A309="300","TW","홀세일")))</f>
        <v>HK</v>
      </c>
      <c r="C309" s="45" t="s">
        <v>238</v>
      </c>
      <c r="D309" s="46" t="n">
        <v>80</v>
      </c>
      <c r="E309" s="46" t="n">
        <v>79000</v>
      </c>
      <c r="F309" s="46" t="n">
        <v>17322</v>
      </c>
      <c r="G309" s="42" t="n">
        <v>3.76</v>
      </c>
      <c r="H309" s="42" t="n">
        <v>19.8</v>
      </c>
      <c r="J309" s="46" t="n">
        <f aca="false">IF(N(E309)&gt;0,E309,IF(N(F309)&gt;0,F309*요약!$F$27,0))</f>
        <v>79000</v>
      </c>
      <c r="K309" s="46" t="n">
        <f aca="false">IF(N(F309)&gt;0,F309,IF(N(E309)&gt;0,E309/요약!$F$27,0))</f>
        <v>17322</v>
      </c>
      <c r="L309" s="46" t="n">
        <f aca="false">IF(B309="CN",IF(N(I309)&gt;0,I309*요약!$G$27,K309*(1+요약!$E$27)),IF(N(H309)&gt;0,H309*요약!$G$27,J309*요약!$D$27))</f>
        <v>26136</v>
      </c>
      <c r="M309" s="46" t="n">
        <f aca="false">D309*J309</f>
        <v>6320000</v>
      </c>
      <c r="N309" s="46" t="n">
        <f aca="false">D309*K309</f>
        <v>1385760</v>
      </c>
      <c r="O309" s="46" t="n">
        <f aca="false">D309*L309</f>
        <v>2090880</v>
      </c>
      <c r="P309" s="42" t="str">
        <f aca="false">TRIM(IF(N(E309)&lt;=0,"택가보정 ","")&amp;IF(N(F309)&lt;=0,"원가보정 ","")&amp;IF(AND(B309&lt;&gt;"CN",N(H309)&lt;=0),"공급가보정 ","")&amp;IF(AND(B309="CN",N(I309)&lt;=0),"중국공급가=원가+마진 ",""))</f>
        <v/>
      </c>
      <c r="Q309" s="47" t="n">
        <f aca="false">IF(SUMIFS($W:$W,$A:$A,A309,$C:$C,C309)=0,0,SUMIFS(RAW_판매펀칭!$K:$K,RAW_판매펀칭!$P:$P,A309,RAW_판매펀칭!$I:$I,C309)*W309/SUMIFS($W:$W,$A:$A,A309,$C:$C,C309))</f>
        <v>80</v>
      </c>
      <c r="R309" s="47" t="n">
        <f aca="false">IF(OR(A309="500",A309="800",A309="810"),0,MAX(W309-Q309,0))</f>
        <v>0</v>
      </c>
      <c r="S309" s="47" t="n">
        <f aca="false">R309*L309</f>
        <v>0</v>
      </c>
      <c r="T309" s="47" t="n">
        <f aca="false">R309*J309</f>
        <v>0</v>
      </c>
      <c r="U309" s="47" t="n">
        <f aca="false">R309*K309</f>
        <v>0</v>
      </c>
      <c r="V309" s="0" t="str">
        <f aca="false">IF(COUNTIFS($A$2:A309,A309,$C$2:C309,C309,$D$2:D309,D309)&gt;1,"중복","")</f>
        <v/>
      </c>
      <c r="W309" s="0" t="n">
        <f aca="false">IF(V309="중복",0,N(D309))</f>
        <v>80</v>
      </c>
      <c r="X309" s="0" t="n">
        <f aca="false">IF(COUNTIFS($A$2:A309,A309,$C$2:C309,C309)=1,ABS(SUMIFS(RAW_발주!$D:$D,RAW_발주!$C:$C,A309,RAW_발주!$A:$A,C309)-SUMIFS($W:$W,$A:$A,A309,$C:$C,C309)),0)</f>
        <v>0</v>
      </c>
    </row>
    <row r="310" customFormat="false" ht="15.75" hidden="false" customHeight="true" outlineLevel="0" collapsed="false">
      <c r="A310" s="45" t="s">
        <v>1660</v>
      </c>
      <c r="B310" s="42" t="str">
        <f aca="false">IF(A310="100","HK",IF(A310="200","CN",IF(A310="300","TW","홀세일")))</f>
        <v>CN</v>
      </c>
      <c r="C310" s="45" t="s">
        <v>238</v>
      </c>
      <c r="D310" s="46" t="n">
        <v>242</v>
      </c>
      <c r="E310" s="46" t="n">
        <v>79000</v>
      </c>
      <c r="F310" s="46" t="n">
        <v>17322</v>
      </c>
      <c r="G310" s="42" t="n">
        <v>3.76</v>
      </c>
      <c r="H310" s="42" t="n">
        <v>19.8</v>
      </c>
      <c r="J310" s="46" t="n">
        <f aca="false">IF(N(E310)&gt;0,E310,IF(N(F310)&gt;0,F310*요약!$F$27,0))</f>
        <v>79000</v>
      </c>
      <c r="K310" s="46" t="n">
        <f aca="false">IF(N(F310)&gt;0,F310,IF(N(E310)&gt;0,E310/요약!$F$27,0))</f>
        <v>17322</v>
      </c>
      <c r="L310" s="46" t="n">
        <f aca="false">IF(B310="CN",IF(N(I310)&gt;0,I310*요약!$G$27,K310*(1+요약!$E$27)),IF(N(H310)&gt;0,H310*요약!$G$27,J310*요약!$D$27))</f>
        <v>18188.1</v>
      </c>
      <c r="M310" s="46" t="n">
        <f aca="false">D310*J310</f>
        <v>19118000</v>
      </c>
      <c r="N310" s="46" t="n">
        <f aca="false">D310*K310</f>
        <v>4191924</v>
      </c>
      <c r="O310" s="46" t="n">
        <f aca="false">D310*L310</f>
        <v>4401520.2</v>
      </c>
      <c r="P310" s="42" t="str">
        <f aca="false">TRIM(IF(N(E310)&lt;=0,"택가보정 ","")&amp;IF(N(F310)&lt;=0,"원가보정 ","")&amp;IF(AND(B310&lt;&gt;"CN",N(H310)&lt;=0),"공급가보정 ","")&amp;IF(AND(B310="CN",N(I310)&lt;=0),"중국공급가=원가+마진 ",""))</f>
        <v>중국공급가=원가+마진</v>
      </c>
      <c r="Q310" s="47" t="n">
        <f aca="false">IF(SUMIFS($W:$W,$A:$A,A310,$C:$C,C310)=0,0,SUMIFS(RAW_판매펀칭!$K:$K,RAW_판매펀칭!$P:$P,A310,RAW_판매펀칭!$I:$I,C310)*W310/SUMIFS($W:$W,$A:$A,A310,$C:$C,C310))</f>
        <v>240</v>
      </c>
      <c r="R310" s="47" t="n">
        <f aca="false">IF(OR(A310="500",A310="800",A310="810"),0,MAX(W310-Q310,0))</f>
        <v>2</v>
      </c>
      <c r="S310" s="47" t="n">
        <f aca="false">R310*L310</f>
        <v>36376.2</v>
      </c>
      <c r="T310" s="47" t="n">
        <f aca="false">R310*J310</f>
        <v>158000</v>
      </c>
      <c r="U310" s="47" t="n">
        <f aca="false">R310*K310</f>
        <v>34644</v>
      </c>
      <c r="V310" s="0" t="str">
        <f aca="false">IF(COUNTIFS($A$2:A310,A310,$C$2:C310,C310,$D$2:D310,D310)&gt;1,"중복","")</f>
        <v/>
      </c>
      <c r="W310" s="0" t="n">
        <f aca="false">IF(V310="중복",0,N(D310))</f>
        <v>242</v>
      </c>
      <c r="X310" s="0" t="n">
        <f aca="false">IF(COUNTIFS($A$2:A310,A310,$C$2:C310,C310)=1,ABS(SUMIFS(RAW_발주!$D:$D,RAW_발주!$C:$C,A310,RAW_발주!$A:$A,C310)-SUMIFS($W:$W,$A:$A,A310,$C:$C,C310)),0)</f>
        <v>0</v>
      </c>
    </row>
    <row r="311" customFormat="false" ht="15" hidden="false" customHeight="true" outlineLevel="0" collapsed="false">
      <c r="A311" s="45" t="s">
        <v>1661</v>
      </c>
      <c r="B311" s="42" t="str">
        <f aca="false">IF(A311="100","HK",IF(A311="200","CN",IF(A311="300","TW","홀세일")))</f>
        <v>TW</v>
      </c>
      <c r="C311" s="45" t="s">
        <v>238</v>
      </c>
      <c r="D311" s="46" t="n">
        <v>150</v>
      </c>
      <c r="E311" s="46" t="n">
        <v>79000</v>
      </c>
      <c r="F311" s="46" t="n">
        <v>17322</v>
      </c>
      <c r="G311" s="42" t="n">
        <v>3.76</v>
      </c>
      <c r="H311" s="42" t="n">
        <v>19.8</v>
      </c>
      <c r="J311" s="46" t="n">
        <f aca="false">IF(N(E311)&gt;0,E311,IF(N(F311)&gt;0,F311*요약!$F$27,0))</f>
        <v>79000</v>
      </c>
      <c r="K311" s="46" t="n">
        <f aca="false">IF(N(F311)&gt;0,F311,IF(N(E311)&gt;0,E311/요약!$F$27,0))</f>
        <v>17322</v>
      </c>
      <c r="L311" s="46" t="n">
        <f aca="false">IF(B311="CN",IF(N(I311)&gt;0,I311*요약!$G$27,K311*(1+요약!$E$27)),IF(N(H311)&gt;0,H311*요약!$G$27,J311*요약!$D$27))</f>
        <v>26136</v>
      </c>
      <c r="M311" s="46" t="n">
        <f aca="false">D311*J311</f>
        <v>11850000</v>
      </c>
      <c r="N311" s="46" t="n">
        <f aca="false">D311*K311</f>
        <v>2598300</v>
      </c>
      <c r="O311" s="46" t="n">
        <f aca="false">D311*L311</f>
        <v>3920400</v>
      </c>
      <c r="P311" s="42" t="str">
        <f aca="false">TRIM(IF(N(E311)&lt;=0,"택가보정 ","")&amp;IF(N(F311)&lt;=0,"원가보정 ","")&amp;IF(AND(B311&lt;&gt;"CN",N(H311)&lt;=0),"공급가보정 ","")&amp;IF(AND(B311="CN",N(I311)&lt;=0),"중국공급가=원가+마진 ",""))</f>
        <v/>
      </c>
      <c r="Q311" s="47" t="n">
        <f aca="false">IF(SUMIFS($W:$W,$A:$A,A311,$C:$C,C311)=0,0,SUMIFS(RAW_판매펀칭!$K:$K,RAW_판매펀칭!$P:$P,A311,RAW_판매펀칭!$I:$I,C311)*W311/SUMIFS($W:$W,$A:$A,A311,$C:$C,C311))</f>
        <v>150</v>
      </c>
      <c r="R311" s="47" t="n">
        <f aca="false">IF(OR(A311="500",A311="800",A311="810"),0,MAX(W311-Q311,0))</f>
        <v>0</v>
      </c>
      <c r="S311" s="47" t="n">
        <f aca="false">R311*L311</f>
        <v>0</v>
      </c>
      <c r="T311" s="47" t="n">
        <f aca="false">R311*J311</f>
        <v>0</v>
      </c>
      <c r="U311" s="47" t="n">
        <f aca="false">R311*K311</f>
        <v>0</v>
      </c>
      <c r="V311" s="0" t="str">
        <f aca="false">IF(COUNTIFS($A$2:A311,A311,$C$2:C311,C311,$D$2:D311,D311)&gt;1,"중복","")</f>
        <v/>
      </c>
      <c r="W311" s="0" t="n">
        <f aca="false">IF(V311="중복",0,N(D311))</f>
        <v>150</v>
      </c>
      <c r="X311" s="0" t="n">
        <f aca="false">IF(COUNTIFS($A$2:A311,A311,$C$2:C311,C311)=1,ABS(SUMIFS(RAW_발주!$D:$D,RAW_발주!$C:$C,A311,RAW_발주!$A:$A,C311)-SUMIFS($W:$W,$A:$A,A311,$C:$C,C311)),0)</f>
        <v>0</v>
      </c>
    </row>
    <row r="312" customFormat="false" ht="15" hidden="false" customHeight="true" outlineLevel="0" collapsed="false">
      <c r="A312" s="45" t="s">
        <v>1659</v>
      </c>
      <c r="B312" s="42" t="str">
        <f aca="false">IF(A312="100","HK",IF(A312="200","CN",IF(A312="300","TW","홀세일")))</f>
        <v>HK</v>
      </c>
      <c r="C312" s="45" t="s">
        <v>240</v>
      </c>
      <c r="D312" s="46" t="n">
        <v>210</v>
      </c>
      <c r="E312" s="46" t="n">
        <v>69000</v>
      </c>
      <c r="F312" s="46" t="n">
        <v>16584</v>
      </c>
      <c r="G312" s="42" t="n">
        <v>3.58</v>
      </c>
      <c r="H312" s="42" t="n">
        <v>17.3</v>
      </c>
      <c r="J312" s="46" t="n">
        <f aca="false">IF(N(E312)&gt;0,E312,IF(N(F312)&gt;0,F312*요약!$F$27,0))</f>
        <v>69000</v>
      </c>
      <c r="K312" s="46" t="n">
        <f aca="false">IF(N(F312)&gt;0,F312,IF(N(E312)&gt;0,E312/요약!$F$27,0))</f>
        <v>16584</v>
      </c>
      <c r="L312" s="46" t="n">
        <f aca="false">IF(B312="CN",IF(N(I312)&gt;0,I312*요약!$G$27,K312*(1+요약!$E$27)),IF(N(H312)&gt;0,H312*요약!$G$27,J312*요약!$D$27))</f>
        <v>22836</v>
      </c>
      <c r="M312" s="46" t="n">
        <f aca="false">D312*J312</f>
        <v>14490000</v>
      </c>
      <c r="N312" s="46" t="n">
        <f aca="false">D312*K312</f>
        <v>3482640</v>
      </c>
      <c r="O312" s="46" t="n">
        <f aca="false">D312*L312</f>
        <v>4795560</v>
      </c>
      <c r="P312" s="42" t="str">
        <f aca="false">TRIM(IF(N(E312)&lt;=0,"택가보정 ","")&amp;IF(N(F312)&lt;=0,"원가보정 ","")&amp;IF(AND(B312&lt;&gt;"CN",N(H312)&lt;=0),"공급가보정 ","")&amp;IF(AND(B312="CN",N(I312)&lt;=0),"중국공급가=원가+마진 ",""))</f>
        <v/>
      </c>
      <c r="Q312" s="47" t="n">
        <f aca="false">IF(SUMIFS($W:$W,$A:$A,A312,$C:$C,C312)=0,0,SUMIFS(RAW_판매펀칭!$K:$K,RAW_판매펀칭!$P:$P,A312,RAW_판매펀칭!$I:$I,C312)*W312/SUMIFS($W:$W,$A:$A,A312,$C:$C,C312))</f>
        <v>210</v>
      </c>
      <c r="R312" s="47" t="n">
        <f aca="false">IF(OR(A312="500",A312="800",A312="810"),0,MAX(W312-Q312,0))</f>
        <v>0</v>
      </c>
      <c r="S312" s="47" t="n">
        <f aca="false">R312*L312</f>
        <v>0</v>
      </c>
      <c r="T312" s="47" t="n">
        <f aca="false">R312*J312</f>
        <v>0</v>
      </c>
      <c r="U312" s="47" t="n">
        <f aca="false">R312*K312</f>
        <v>0</v>
      </c>
      <c r="V312" s="0" t="str">
        <f aca="false">IF(COUNTIFS($A$2:A312,A312,$C$2:C312,C312,$D$2:D312,D312)&gt;1,"중복","")</f>
        <v/>
      </c>
      <c r="W312" s="0" t="n">
        <f aca="false">IF(V312="중복",0,N(D312))</f>
        <v>210</v>
      </c>
      <c r="X312" s="0" t="n">
        <f aca="false">IF(COUNTIFS($A$2:A312,A312,$C$2:C312,C312)=1,ABS(SUMIFS(RAW_발주!$D:$D,RAW_발주!$C:$C,A312,RAW_발주!$A:$A,C312)-SUMIFS($W:$W,$A:$A,A312,$C:$C,C312)),0)</f>
        <v>0</v>
      </c>
    </row>
    <row r="313" customFormat="false" ht="15.75" hidden="false" customHeight="true" outlineLevel="0" collapsed="false">
      <c r="A313" s="45" t="s">
        <v>1660</v>
      </c>
      <c r="B313" s="42" t="str">
        <f aca="false">IF(A313="100","HK",IF(A313="200","CN",IF(A313="300","TW","홀세일")))</f>
        <v>CN</v>
      </c>
      <c r="C313" s="45" t="s">
        <v>240</v>
      </c>
      <c r="D313" s="46" t="n">
        <v>202</v>
      </c>
      <c r="E313" s="46" t="n">
        <v>69000</v>
      </c>
      <c r="F313" s="46" t="n">
        <v>16584</v>
      </c>
      <c r="G313" s="42" t="n">
        <v>3.58</v>
      </c>
      <c r="H313" s="42" t="n">
        <v>17.3</v>
      </c>
      <c r="J313" s="46" t="n">
        <f aca="false">IF(N(E313)&gt;0,E313,IF(N(F313)&gt;0,F313*요약!$F$27,0))</f>
        <v>69000</v>
      </c>
      <c r="K313" s="46" t="n">
        <f aca="false">IF(N(F313)&gt;0,F313,IF(N(E313)&gt;0,E313/요약!$F$27,0))</f>
        <v>16584</v>
      </c>
      <c r="L313" s="46" t="n">
        <f aca="false">IF(B313="CN",IF(N(I313)&gt;0,I313*요약!$G$27,K313*(1+요약!$E$27)),IF(N(H313)&gt;0,H313*요약!$G$27,J313*요약!$D$27))</f>
        <v>17413.2</v>
      </c>
      <c r="M313" s="46" t="n">
        <f aca="false">D313*J313</f>
        <v>13938000</v>
      </c>
      <c r="N313" s="46" t="n">
        <f aca="false">D313*K313</f>
        <v>3349968</v>
      </c>
      <c r="O313" s="46" t="n">
        <f aca="false">D313*L313</f>
        <v>3517466.4</v>
      </c>
      <c r="P313" s="42" t="str">
        <f aca="false">TRIM(IF(N(E313)&lt;=0,"택가보정 ","")&amp;IF(N(F313)&lt;=0,"원가보정 ","")&amp;IF(AND(B313&lt;&gt;"CN",N(H313)&lt;=0),"공급가보정 ","")&amp;IF(AND(B313="CN",N(I313)&lt;=0),"중국공급가=원가+마진 ",""))</f>
        <v>중국공급가=원가+마진</v>
      </c>
      <c r="Q313" s="47" t="n">
        <f aca="false">IF(SUMIFS($W:$W,$A:$A,A313,$C:$C,C313)=0,0,SUMIFS(RAW_판매펀칭!$K:$K,RAW_판매펀칭!$P:$P,A313,RAW_판매펀칭!$I:$I,C313)*W313/SUMIFS($W:$W,$A:$A,A313,$C:$C,C313))</f>
        <v>200</v>
      </c>
      <c r="R313" s="47" t="n">
        <f aca="false">IF(OR(A313="500",A313="800",A313="810"),0,MAX(W313-Q313,0))</f>
        <v>2</v>
      </c>
      <c r="S313" s="47" t="n">
        <f aca="false">R313*L313</f>
        <v>34826.4</v>
      </c>
      <c r="T313" s="47" t="n">
        <f aca="false">R313*J313</f>
        <v>138000</v>
      </c>
      <c r="U313" s="47" t="n">
        <f aca="false">R313*K313</f>
        <v>33168</v>
      </c>
      <c r="V313" s="0" t="str">
        <f aca="false">IF(COUNTIFS($A$2:A313,A313,$C$2:C313,C313,$D$2:D313,D313)&gt;1,"중복","")</f>
        <v/>
      </c>
      <c r="W313" s="0" t="n">
        <f aca="false">IF(V313="중복",0,N(D313))</f>
        <v>202</v>
      </c>
      <c r="X313" s="0" t="n">
        <f aca="false">IF(COUNTIFS($A$2:A313,A313,$C$2:C313,C313)=1,ABS(SUMIFS(RAW_발주!$D:$D,RAW_발주!$C:$C,A313,RAW_발주!$A:$A,C313)-SUMIFS($W:$W,$A:$A,A313,$C:$C,C313)),0)</f>
        <v>0</v>
      </c>
    </row>
    <row r="314" customFormat="false" ht="15" hidden="false" customHeight="true" outlineLevel="0" collapsed="false">
      <c r="A314" s="45" t="s">
        <v>1661</v>
      </c>
      <c r="B314" s="42" t="str">
        <f aca="false">IF(A314="100","HK",IF(A314="200","CN",IF(A314="300","TW","홀세일")))</f>
        <v>TW</v>
      </c>
      <c r="C314" s="45" t="s">
        <v>240</v>
      </c>
      <c r="D314" s="46" t="n">
        <v>400</v>
      </c>
      <c r="E314" s="46" t="n">
        <v>69000</v>
      </c>
      <c r="F314" s="46" t="n">
        <v>16584</v>
      </c>
      <c r="G314" s="42" t="n">
        <v>3.58</v>
      </c>
      <c r="H314" s="42" t="n">
        <v>17.3</v>
      </c>
      <c r="J314" s="46" t="n">
        <f aca="false">IF(N(E314)&gt;0,E314,IF(N(F314)&gt;0,F314*요약!$F$27,0))</f>
        <v>69000</v>
      </c>
      <c r="K314" s="46" t="n">
        <f aca="false">IF(N(F314)&gt;0,F314,IF(N(E314)&gt;0,E314/요약!$F$27,0))</f>
        <v>16584</v>
      </c>
      <c r="L314" s="46" t="n">
        <f aca="false">IF(B314="CN",IF(N(I314)&gt;0,I314*요약!$G$27,K314*(1+요약!$E$27)),IF(N(H314)&gt;0,H314*요약!$G$27,J314*요약!$D$27))</f>
        <v>22836</v>
      </c>
      <c r="M314" s="46" t="n">
        <f aca="false">D314*J314</f>
        <v>27600000</v>
      </c>
      <c r="N314" s="46" t="n">
        <f aca="false">D314*K314</f>
        <v>6633600</v>
      </c>
      <c r="O314" s="46" t="n">
        <f aca="false">D314*L314</f>
        <v>9134400</v>
      </c>
      <c r="P314" s="42" t="str">
        <f aca="false">TRIM(IF(N(E314)&lt;=0,"택가보정 ","")&amp;IF(N(F314)&lt;=0,"원가보정 ","")&amp;IF(AND(B314&lt;&gt;"CN",N(H314)&lt;=0),"공급가보정 ","")&amp;IF(AND(B314="CN",N(I314)&lt;=0),"중국공급가=원가+마진 ",""))</f>
        <v/>
      </c>
      <c r="Q314" s="47" t="n">
        <f aca="false">IF(SUMIFS($W:$W,$A:$A,A314,$C:$C,C314)=0,0,SUMIFS(RAW_판매펀칭!$K:$K,RAW_판매펀칭!$P:$P,A314,RAW_판매펀칭!$I:$I,C314)*W314/SUMIFS($W:$W,$A:$A,A314,$C:$C,C314))</f>
        <v>400</v>
      </c>
      <c r="R314" s="47" t="n">
        <f aca="false">IF(OR(A314="500",A314="800",A314="810"),0,MAX(W314-Q314,0))</f>
        <v>0</v>
      </c>
      <c r="S314" s="47" t="n">
        <f aca="false">R314*L314</f>
        <v>0</v>
      </c>
      <c r="T314" s="47" t="n">
        <f aca="false">R314*J314</f>
        <v>0</v>
      </c>
      <c r="U314" s="47" t="n">
        <f aca="false">R314*K314</f>
        <v>0</v>
      </c>
      <c r="V314" s="0" t="str">
        <f aca="false">IF(COUNTIFS($A$2:A314,A314,$C$2:C314,C314,$D$2:D314,D314)&gt;1,"중복","")</f>
        <v/>
      </c>
      <c r="W314" s="0" t="n">
        <f aca="false">IF(V314="중복",0,N(D314))</f>
        <v>400</v>
      </c>
      <c r="X314" s="0" t="n">
        <f aca="false">IF(COUNTIFS($A$2:A314,A314,$C$2:C314,C314)=1,ABS(SUMIFS(RAW_발주!$D:$D,RAW_발주!$C:$C,A314,RAW_발주!$A:$A,C314)-SUMIFS($W:$W,$A:$A,A314,$C:$C,C314)),0)</f>
        <v>0</v>
      </c>
    </row>
    <row r="315" customFormat="false" ht="15" hidden="false" customHeight="true" outlineLevel="0" collapsed="false">
      <c r="A315" s="45" t="s">
        <v>1662</v>
      </c>
      <c r="B315" s="42" t="str">
        <f aca="false">IF(A315="100","HK",IF(A315="200","CN",IF(A315="300","TW","홀세일")))</f>
        <v>홀세일</v>
      </c>
      <c r="C315" s="45" t="s">
        <v>240</v>
      </c>
      <c r="D315" s="46" t="n">
        <v>75</v>
      </c>
      <c r="E315" s="46" t="n">
        <v>69000</v>
      </c>
      <c r="F315" s="46" t="n">
        <v>16584</v>
      </c>
      <c r="G315" s="42" t="n">
        <v>3.58</v>
      </c>
      <c r="H315" s="42" t="n">
        <v>17.3</v>
      </c>
      <c r="J315" s="46" t="n">
        <f aca="false">IF(N(E315)&gt;0,E315,IF(N(F315)&gt;0,F315*요약!$F$27,0))</f>
        <v>69000</v>
      </c>
      <c r="K315" s="46" t="n">
        <f aca="false">IF(N(F315)&gt;0,F315,IF(N(E315)&gt;0,E315/요약!$F$27,0))</f>
        <v>16584</v>
      </c>
      <c r="L315" s="46" t="n">
        <f aca="false">IF(B315="CN",IF(N(I315)&gt;0,I315*요약!$G$27,K315*(1+요약!$E$27)),IF(N(H315)&gt;0,H315*요약!$G$27,J315*요약!$D$27))</f>
        <v>22836</v>
      </c>
      <c r="M315" s="46" t="n">
        <f aca="false">D315*J315</f>
        <v>5175000</v>
      </c>
      <c r="N315" s="46" t="n">
        <f aca="false">D315*K315</f>
        <v>1243800</v>
      </c>
      <c r="O315" s="46" t="n">
        <f aca="false">D315*L315</f>
        <v>1712700</v>
      </c>
      <c r="P315" s="42" t="str">
        <f aca="false">TRIM(IF(N(E315)&lt;=0,"택가보정 ","")&amp;IF(N(F315)&lt;=0,"원가보정 ","")&amp;IF(AND(B315&lt;&gt;"CN",N(H315)&lt;=0),"공급가보정 ","")&amp;IF(AND(B315="CN",N(I315)&lt;=0),"중국공급가=원가+마진 ",""))</f>
        <v/>
      </c>
      <c r="Q315" s="47" t="n">
        <f aca="false">IF(SUMIFS($W:$W,$A:$A,A315,$C:$C,C315)=0,0,SUMIFS(RAW_판매펀칭!$K:$K,RAW_판매펀칭!$P:$P,A315,RAW_판매펀칭!$I:$I,C315)*W315/SUMIFS($W:$W,$A:$A,A315,$C:$C,C315))</f>
        <v>75</v>
      </c>
      <c r="R315" s="47" t="n">
        <f aca="false">IF(OR(A315="500",A315="800",A315="810"),0,MAX(W315-Q315,0))</f>
        <v>0</v>
      </c>
      <c r="S315" s="47" t="n">
        <f aca="false">R315*L315</f>
        <v>0</v>
      </c>
      <c r="T315" s="47" t="n">
        <f aca="false">R315*J315</f>
        <v>0</v>
      </c>
      <c r="U315" s="47" t="n">
        <f aca="false">R315*K315</f>
        <v>0</v>
      </c>
      <c r="V315" s="0" t="str">
        <f aca="false">IF(COUNTIFS($A$2:A315,A315,$C$2:C315,C315,$D$2:D315,D315)&gt;1,"중복","")</f>
        <v/>
      </c>
      <c r="W315" s="0" t="n">
        <f aca="false">IF(V315="중복",0,N(D315))</f>
        <v>75</v>
      </c>
      <c r="X315" s="0" t="n">
        <f aca="false">IF(COUNTIFS($A$2:A315,A315,$C$2:C315,C315)=1,ABS(SUMIFS(RAW_발주!$D:$D,RAW_발주!$C:$C,A315,RAW_발주!$A:$A,C315)-SUMIFS($W:$W,$A:$A,A315,$C:$C,C315)),0)</f>
        <v>0</v>
      </c>
    </row>
    <row r="316" customFormat="false" ht="15" hidden="false" customHeight="true" outlineLevel="0" collapsed="false">
      <c r="A316" s="45" t="s">
        <v>1663</v>
      </c>
      <c r="B316" s="42" t="str">
        <f aca="false">IF(A316="100","HK",IF(A316="200","CN",IF(A316="300","TW","홀세일")))</f>
        <v>홀세일</v>
      </c>
      <c r="C316" s="45" t="s">
        <v>240</v>
      </c>
      <c r="D316" s="46" t="n">
        <v>120</v>
      </c>
      <c r="E316" s="46" t="n">
        <v>69000</v>
      </c>
      <c r="F316" s="46" t="n">
        <v>16584</v>
      </c>
      <c r="G316" s="42" t="n">
        <v>3.58</v>
      </c>
      <c r="H316" s="42" t="n">
        <v>17.3</v>
      </c>
      <c r="J316" s="46" t="n">
        <f aca="false">IF(N(E316)&gt;0,E316,IF(N(F316)&gt;0,F316*요약!$F$27,0))</f>
        <v>69000</v>
      </c>
      <c r="K316" s="46" t="n">
        <f aca="false">IF(N(F316)&gt;0,F316,IF(N(E316)&gt;0,E316/요약!$F$27,0))</f>
        <v>16584</v>
      </c>
      <c r="L316" s="46" t="n">
        <f aca="false">IF(B316="CN",IF(N(I316)&gt;0,I316*요약!$G$27,K316*(1+요약!$E$27)),IF(N(H316)&gt;0,H316*요약!$G$27,J316*요약!$D$27))</f>
        <v>22836</v>
      </c>
      <c r="M316" s="46" t="n">
        <f aca="false">D316*J316</f>
        <v>8280000</v>
      </c>
      <c r="N316" s="46" t="n">
        <f aca="false">D316*K316</f>
        <v>1990080</v>
      </c>
      <c r="O316" s="46" t="n">
        <f aca="false">D316*L316</f>
        <v>2740320</v>
      </c>
      <c r="P316" s="42" t="str">
        <f aca="false">TRIM(IF(N(E316)&lt;=0,"택가보정 ","")&amp;IF(N(F316)&lt;=0,"원가보정 ","")&amp;IF(AND(B316&lt;&gt;"CN",N(H316)&lt;=0),"공급가보정 ","")&amp;IF(AND(B316="CN",N(I316)&lt;=0),"중국공급가=원가+마진 ",""))</f>
        <v/>
      </c>
      <c r="Q316" s="47" t="n">
        <f aca="false">IF(SUMIFS($W:$W,$A:$A,A316,$C:$C,C316)=0,0,SUMIFS(RAW_판매펀칭!$K:$K,RAW_판매펀칭!$P:$P,A316,RAW_판매펀칭!$I:$I,C316)*W316/SUMIFS($W:$W,$A:$A,A316,$C:$C,C316))</f>
        <v>120</v>
      </c>
      <c r="R316" s="47" t="n">
        <f aca="false">IF(OR(A316="500",A316="800",A316="810"),0,MAX(W316-Q316,0))</f>
        <v>0</v>
      </c>
      <c r="S316" s="47" t="n">
        <f aca="false">R316*L316</f>
        <v>0</v>
      </c>
      <c r="T316" s="47" t="n">
        <f aca="false">R316*J316</f>
        <v>0</v>
      </c>
      <c r="U316" s="47" t="n">
        <f aca="false">R316*K316</f>
        <v>0</v>
      </c>
      <c r="V316" s="0" t="str">
        <f aca="false">IF(COUNTIFS($A$2:A316,A316,$C$2:C316,C316,$D$2:D316,D316)&gt;1,"중복","")</f>
        <v/>
      </c>
      <c r="W316" s="0" t="n">
        <f aca="false">IF(V316="중복",0,N(D316))</f>
        <v>120</v>
      </c>
      <c r="X316" s="0" t="n">
        <f aca="false">IF(COUNTIFS($A$2:A316,A316,$C$2:C316,C316)=1,ABS(SUMIFS(RAW_발주!$D:$D,RAW_발주!$C:$C,A316,RAW_발주!$A:$A,C316)-SUMIFS($W:$W,$A:$A,A316,$C:$C,C316)),0)</f>
        <v>0</v>
      </c>
    </row>
    <row r="317" customFormat="false" ht="15" hidden="false" customHeight="true" outlineLevel="0" collapsed="false">
      <c r="A317" s="45" t="s">
        <v>1665</v>
      </c>
      <c r="B317" s="42" t="str">
        <f aca="false">IF(A317="100","HK",IF(A317="200","CN",IF(A317="300","TW","홀세일")))</f>
        <v>홀세일</v>
      </c>
      <c r="C317" s="45" t="s">
        <v>240</v>
      </c>
      <c r="D317" s="46" t="n">
        <v>432</v>
      </c>
      <c r="E317" s="46" t="n">
        <v>69000</v>
      </c>
      <c r="F317" s="46" t="n">
        <v>16584</v>
      </c>
      <c r="G317" s="42" t="n">
        <v>3.58</v>
      </c>
      <c r="H317" s="42" t="n">
        <v>17.3</v>
      </c>
      <c r="J317" s="46" t="n">
        <f aca="false">IF(N(E317)&gt;0,E317,IF(N(F317)&gt;0,F317*요약!$F$27,0))</f>
        <v>69000</v>
      </c>
      <c r="K317" s="46" t="n">
        <f aca="false">IF(N(F317)&gt;0,F317,IF(N(E317)&gt;0,E317/요약!$F$27,0))</f>
        <v>16584</v>
      </c>
      <c r="L317" s="46" t="n">
        <f aca="false">IF(B317="CN",IF(N(I317)&gt;0,I317*요약!$G$27,K317*(1+요약!$E$27)),IF(N(H317)&gt;0,H317*요약!$G$27,J317*요약!$D$27))</f>
        <v>22836</v>
      </c>
      <c r="M317" s="46" t="n">
        <f aca="false">D317*J317</f>
        <v>29808000</v>
      </c>
      <c r="N317" s="46" t="n">
        <f aca="false">D317*K317</f>
        <v>7164288</v>
      </c>
      <c r="O317" s="46" t="n">
        <f aca="false">D317*L317</f>
        <v>9865152</v>
      </c>
      <c r="P317" s="42" t="str">
        <f aca="false">TRIM(IF(N(E317)&lt;=0,"택가보정 ","")&amp;IF(N(F317)&lt;=0,"원가보정 ","")&amp;IF(AND(B317&lt;&gt;"CN",N(H317)&lt;=0),"공급가보정 ","")&amp;IF(AND(B317="CN",N(I317)&lt;=0),"중국공급가=원가+마진 ",""))</f>
        <v/>
      </c>
      <c r="Q317" s="47" t="n">
        <f aca="false">IF(SUMIFS($W:$W,$A:$A,A317,$C:$C,C317)=0,0,SUMIFS(RAW_판매펀칭!$K:$K,RAW_판매펀칭!$P:$P,A317,RAW_판매펀칭!$I:$I,C317)*W317/SUMIFS($W:$W,$A:$A,A317,$C:$C,C317))</f>
        <v>432</v>
      </c>
      <c r="R317" s="47" t="n">
        <f aca="false">IF(OR(A317="500",A317="800",A317="810"),0,MAX(W317-Q317,0))</f>
        <v>0</v>
      </c>
      <c r="S317" s="47" t="n">
        <f aca="false">R317*L317</f>
        <v>0</v>
      </c>
      <c r="T317" s="47" t="n">
        <f aca="false">R317*J317</f>
        <v>0</v>
      </c>
      <c r="U317" s="47" t="n">
        <f aca="false">R317*K317</f>
        <v>0</v>
      </c>
      <c r="V317" s="0" t="str">
        <f aca="false">IF(COUNTIFS($A$2:A317,A317,$C$2:C317,C317,$D$2:D317,D317)&gt;1,"중복","")</f>
        <v/>
      </c>
      <c r="W317" s="0" t="n">
        <f aca="false">IF(V317="중복",0,N(D317))</f>
        <v>432</v>
      </c>
      <c r="X317" s="0" t="n">
        <f aca="false">IF(COUNTIFS($A$2:A317,A317,$C$2:C317,C317)=1,ABS(SUMIFS(RAW_발주!$D:$D,RAW_발주!$C:$C,A317,RAW_발주!$A:$A,C317)-SUMIFS($W:$W,$A:$A,A317,$C:$C,C317)),0)</f>
        <v>0</v>
      </c>
    </row>
    <row r="318" customFormat="false" ht="15" hidden="false" customHeight="true" outlineLevel="0" collapsed="false">
      <c r="A318" s="45" t="s">
        <v>1665</v>
      </c>
      <c r="B318" s="42" t="str">
        <f aca="false">IF(A318="100","HK",IF(A318="200","CN",IF(A318="300","TW","홀세일")))</f>
        <v>홀세일</v>
      </c>
      <c r="C318" s="45" t="s">
        <v>240</v>
      </c>
      <c r="D318" s="46" t="n">
        <v>432</v>
      </c>
      <c r="E318" s="46" t="n">
        <v>69000</v>
      </c>
      <c r="F318" s="46" t="n">
        <v>16584</v>
      </c>
      <c r="G318" s="42" t="n">
        <v>3.58</v>
      </c>
      <c r="H318" s="42" t="n">
        <v>17.3</v>
      </c>
      <c r="J318" s="46" t="n">
        <f aca="false">IF(N(E318)&gt;0,E318,IF(N(F318)&gt;0,F318*요약!$F$27,0))</f>
        <v>69000</v>
      </c>
      <c r="K318" s="46" t="n">
        <f aca="false">IF(N(F318)&gt;0,F318,IF(N(E318)&gt;0,E318/요약!$F$27,0))</f>
        <v>16584</v>
      </c>
      <c r="L318" s="46" t="n">
        <f aca="false">IF(B318="CN",IF(N(I318)&gt;0,I318*요약!$G$27,K318*(1+요약!$E$27)),IF(N(H318)&gt;0,H318*요약!$G$27,J318*요약!$D$27))</f>
        <v>22836</v>
      </c>
      <c r="M318" s="46" t="n">
        <f aca="false">D318*J318</f>
        <v>29808000</v>
      </c>
      <c r="N318" s="46" t="n">
        <f aca="false">D318*K318</f>
        <v>7164288</v>
      </c>
      <c r="O318" s="46" t="n">
        <f aca="false">D318*L318</f>
        <v>9865152</v>
      </c>
      <c r="P318" s="42" t="str">
        <f aca="false">TRIM(IF(N(E318)&lt;=0,"택가보정 ","")&amp;IF(N(F318)&lt;=0,"원가보정 ","")&amp;IF(AND(B318&lt;&gt;"CN",N(H318)&lt;=0),"공급가보정 ","")&amp;IF(AND(B318="CN",N(I318)&lt;=0),"중국공급가=원가+마진 ",""))</f>
        <v/>
      </c>
      <c r="Q318" s="47" t="n">
        <f aca="false">IF(SUMIFS($W:$W,$A:$A,A318,$C:$C,C318)=0,0,SUMIFS(RAW_판매펀칭!$K:$K,RAW_판매펀칭!$P:$P,A318,RAW_판매펀칭!$I:$I,C318)*W318/SUMIFS($W:$W,$A:$A,A318,$C:$C,C318))</f>
        <v>0</v>
      </c>
      <c r="R318" s="47" t="n">
        <f aca="false">IF(OR(A318="500",A318="800",A318="810"),0,MAX(W318-Q318,0))</f>
        <v>0</v>
      </c>
      <c r="S318" s="47" t="n">
        <f aca="false">R318*L318</f>
        <v>0</v>
      </c>
      <c r="T318" s="47" t="n">
        <f aca="false">R318*J318</f>
        <v>0</v>
      </c>
      <c r="U318" s="47" t="n">
        <f aca="false">R318*K318</f>
        <v>0</v>
      </c>
      <c r="V318" s="0" t="str">
        <f aca="false">IF(COUNTIFS($A$2:A318,A318,$C$2:C318,C318,$D$2:D318,D318)&gt;1,"중복","")</f>
        <v>중복</v>
      </c>
      <c r="W318" s="0" t="n">
        <f aca="false">IF(V318="중복",0,N(D318))</f>
        <v>0</v>
      </c>
      <c r="X318" s="0" t="n">
        <f aca="false">IF(COUNTIFS($A$2:A318,A318,$C$2:C318,C318)=1,ABS(SUMIFS(RAW_발주!$D:$D,RAW_발주!$C:$C,A318,RAW_발주!$A:$A,C318)-SUMIFS($W:$W,$A:$A,A318,$C:$C,C318)),0)</f>
        <v>0</v>
      </c>
    </row>
    <row r="319" customFormat="false" ht="15" hidden="false" customHeight="true" outlineLevel="0" collapsed="false">
      <c r="A319" s="45" t="s">
        <v>1659</v>
      </c>
      <c r="B319" s="42" t="str">
        <f aca="false">IF(A319="100","HK",IF(A319="200","CN",IF(A319="300","TW","홀세일")))</f>
        <v>HK</v>
      </c>
      <c r="C319" s="45" t="s">
        <v>822</v>
      </c>
      <c r="D319" s="46" t="n">
        <v>340</v>
      </c>
      <c r="E319" s="46" t="n">
        <v>59000</v>
      </c>
      <c r="F319" s="46" t="n">
        <v>14700</v>
      </c>
      <c r="G319" s="42" t="n">
        <v>3.89</v>
      </c>
      <c r="H319" s="42" t="n">
        <v>14.8</v>
      </c>
      <c r="J319" s="46" t="n">
        <f aca="false">IF(N(E319)&gt;0,E319,IF(N(F319)&gt;0,F319*요약!$F$27,0))</f>
        <v>59000</v>
      </c>
      <c r="K319" s="46" t="n">
        <f aca="false">IF(N(F319)&gt;0,F319,IF(N(E319)&gt;0,E319/요약!$F$27,0))</f>
        <v>14700</v>
      </c>
      <c r="L319" s="46" t="n">
        <f aca="false">IF(B319="CN",IF(N(I319)&gt;0,I319*요약!$G$27,K319*(1+요약!$E$27)),IF(N(H319)&gt;0,H319*요약!$G$27,J319*요약!$D$27))</f>
        <v>19536</v>
      </c>
      <c r="M319" s="46" t="n">
        <f aca="false">D319*J319</f>
        <v>20060000</v>
      </c>
      <c r="N319" s="46" t="n">
        <f aca="false">D319*K319</f>
        <v>4998000</v>
      </c>
      <c r="O319" s="46" t="n">
        <f aca="false">D319*L319</f>
        <v>6642240</v>
      </c>
      <c r="P319" s="42" t="str">
        <f aca="false">TRIM(IF(N(E319)&lt;=0,"택가보정 ","")&amp;IF(N(F319)&lt;=0,"원가보정 ","")&amp;IF(AND(B319&lt;&gt;"CN",N(H319)&lt;=0),"공급가보정 ","")&amp;IF(AND(B319="CN",N(I319)&lt;=0),"중국공급가=원가+마진 ",""))</f>
        <v/>
      </c>
      <c r="Q319" s="47" t="n">
        <f aca="false">IF(SUMIFS($W:$W,$A:$A,A319,$C:$C,C319)=0,0,SUMIFS(RAW_판매펀칭!$K:$K,RAW_판매펀칭!$P:$P,A319,RAW_판매펀칭!$I:$I,C319)*W319/SUMIFS($W:$W,$A:$A,A319,$C:$C,C319))</f>
        <v>339</v>
      </c>
      <c r="R319" s="47" t="n">
        <f aca="false">IF(OR(A319="500",A319="800",A319="810"),0,MAX(W319-Q319,0))</f>
        <v>1</v>
      </c>
      <c r="S319" s="47" t="n">
        <f aca="false">R319*L319</f>
        <v>19536</v>
      </c>
      <c r="T319" s="47" t="n">
        <f aca="false">R319*J319</f>
        <v>59000</v>
      </c>
      <c r="U319" s="47" t="n">
        <f aca="false">R319*K319</f>
        <v>14700</v>
      </c>
      <c r="V319" s="0" t="str">
        <f aca="false">IF(COUNTIFS($A$2:A319,A319,$C$2:C319,C319,$D$2:D319,D319)&gt;1,"중복","")</f>
        <v/>
      </c>
      <c r="W319" s="0" t="n">
        <f aca="false">IF(V319="중복",0,N(D319))</f>
        <v>340</v>
      </c>
      <c r="X319" s="0" t="n">
        <f aca="false">IF(COUNTIFS($A$2:A319,A319,$C$2:C319,C319)=1,ABS(SUMIFS(RAW_발주!$D:$D,RAW_발주!$C:$C,A319,RAW_발주!$A:$A,C319)-SUMIFS($W:$W,$A:$A,A319,$C:$C,C319)),0)</f>
        <v>0</v>
      </c>
    </row>
    <row r="320" customFormat="false" ht="15" hidden="false" customHeight="true" outlineLevel="0" collapsed="false">
      <c r="A320" s="45" t="s">
        <v>1664</v>
      </c>
      <c r="B320" s="42" t="str">
        <f aca="false">IF(A320="100","HK",IF(A320="200","CN",IF(A320="300","TW","홀세일")))</f>
        <v>홀세일</v>
      </c>
      <c r="C320" s="45" t="s">
        <v>822</v>
      </c>
      <c r="D320" s="46" t="n">
        <v>90</v>
      </c>
      <c r="E320" s="46" t="n">
        <v>59000</v>
      </c>
      <c r="F320" s="46" t="n">
        <v>14700</v>
      </c>
      <c r="G320" s="42" t="n">
        <v>3.89</v>
      </c>
      <c r="H320" s="42" t="n">
        <v>14.8</v>
      </c>
      <c r="J320" s="46" t="n">
        <f aca="false">IF(N(E320)&gt;0,E320,IF(N(F320)&gt;0,F320*요약!$F$27,0))</f>
        <v>59000</v>
      </c>
      <c r="K320" s="46" t="n">
        <f aca="false">IF(N(F320)&gt;0,F320,IF(N(E320)&gt;0,E320/요약!$F$27,0))</f>
        <v>14700</v>
      </c>
      <c r="L320" s="46" t="n">
        <f aca="false">IF(B320="CN",IF(N(I320)&gt;0,I320*요약!$G$27,K320*(1+요약!$E$27)),IF(N(H320)&gt;0,H320*요약!$G$27,J320*요약!$D$27))</f>
        <v>19536</v>
      </c>
      <c r="M320" s="46" t="n">
        <f aca="false">D320*J320</f>
        <v>5310000</v>
      </c>
      <c r="N320" s="46" t="n">
        <f aca="false">D320*K320</f>
        <v>1323000</v>
      </c>
      <c r="O320" s="46" t="n">
        <f aca="false">D320*L320</f>
        <v>1758240</v>
      </c>
      <c r="P320" s="42" t="str">
        <f aca="false">TRIM(IF(N(E320)&lt;=0,"택가보정 ","")&amp;IF(N(F320)&lt;=0,"원가보정 ","")&amp;IF(AND(B320&lt;&gt;"CN",N(H320)&lt;=0),"공급가보정 ","")&amp;IF(AND(B320="CN",N(I320)&lt;=0),"중국공급가=원가+마진 ",""))</f>
        <v/>
      </c>
      <c r="Q320" s="47" t="n">
        <f aca="false">IF(SUMIFS($W:$W,$A:$A,A320,$C:$C,C320)=0,0,SUMIFS(RAW_판매펀칭!$K:$K,RAW_판매펀칭!$P:$P,A320,RAW_판매펀칭!$I:$I,C320)*W320/SUMIFS($W:$W,$A:$A,A320,$C:$C,C320))</f>
        <v>0</v>
      </c>
      <c r="R320" s="47" t="n">
        <f aca="false">IF(OR(A320="500",A320="800",A320="810"),0,MAX(W320-Q320,0))</f>
        <v>0</v>
      </c>
      <c r="S320" s="47" t="n">
        <f aca="false">R320*L320</f>
        <v>0</v>
      </c>
      <c r="T320" s="47" t="n">
        <f aca="false">R320*J320</f>
        <v>0</v>
      </c>
      <c r="U320" s="47" t="n">
        <f aca="false">R320*K320</f>
        <v>0</v>
      </c>
      <c r="V320" s="0" t="str">
        <f aca="false">IF(COUNTIFS($A$2:A320,A320,$C$2:C320,C320,$D$2:D320,D320)&gt;1,"중복","")</f>
        <v/>
      </c>
      <c r="W320" s="0" t="n">
        <f aca="false">IF(V320="중복",0,N(D320))</f>
        <v>90</v>
      </c>
      <c r="X320" s="0" t="n">
        <f aca="false">IF(COUNTIFS($A$2:A320,A320,$C$2:C320,C320)=1,ABS(SUMIFS(RAW_발주!$D:$D,RAW_발주!$C:$C,A320,RAW_발주!$A:$A,C320)-SUMIFS($W:$W,$A:$A,A320,$C:$C,C320)),0)</f>
        <v>0</v>
      </c>
    </row>
    <row r="321" customFormat="false" ht="15" hidden="false" customHeight="true" outlineLevel="0" collapsed="false">
      <c r="A321" s="45" t="s">
        <v>1659</v>
      </c>
      <c r="B321" s="42" t="str">
        <f aca="false">IF(A321="100","HK",IF(A321="200","CN",IF(A321="300","TW","홀세일")))</f>
        <v>HK</v>
      </c>
      <c r="C321" s="45" t="s">
        <v>242</v>
      </c>
      <c r="D321" s="46" t="n">
        <v>80</v>
      </c>
      <c r="E321" s="46" t="n">
        <v>79000</v>
      </c>
      <c r="F321" s="46" t="n">
        <v>18500</v>
      </c>
      <c r="G321" s="42" t="n">
        <v>3.78</v>
      </c>
      <c r="H321" s="42" t="n">
        <v>19.8</v>
      </c>
      <c r="J321" s="46" t="n">
        <f aca="false">IF(N(E321)&gt;0,E321,IF(N(F321)&gt;0,F321*요약!$F$27,0))</f>
        <v>79000</v>
      </c>
      <c r="K321" s="46" t="n">
        <f aca="false">IF(N(F321)&gt;0,F321,IF(N(E321)&gt;0,E321/요약!$F$27,0))</f>
        <v>18500</v>
      </c>
      <c r="L321" s="46" t="n">
        <f aca="false">IF(B321="CN",IF(N(I321)&gt;0,I321*요약!$G$27,K321*(1+요약!$E$27)),IF(N(H321)&gt;0,H321*요약!$G$27,J321*요약!$D$27))</f>
        <v>26136</v>
      </c>
      <c r="M321" s="46" t="n">
        <f aca="false">D321*J321</f>
        <v>6320000</v>
      </c>
      <c r="N321" s="46" t="n">
        <f aca="false">D321*K321</f>
        <v>1480000</v>
      </c>
      <c r="O321" s="46" t="n">
        <f aca="false">D321*L321</f>
        <v>2090880</v>
      </c>
      <c r="P321" s="42" t="str">
        <f aca="false">TRIM(IF(N(E321)&lt;=0,"택가보정 ","")&amp;IF(N(F321)&lt;=0,"원가보정 ","")&amp;IF(AND(B321&lt;&gt;"CN",N(H321)&lt;=0),"공급가보정 ","")&amp;IF(AND(B321="CN",N(I321)&lt;=0),"중국공급가=원가+마진 ",""))</f>
        <v/>
      </c>
      <c r="Q321" s="47" t="n">
        <f aca="false">IF(SUMIFS($W:$W,$A:$A,A321,$C:$C,C321)=0,0,SUMIFS(RAW_판매펀칭!$K:$K,RAW_판매펀칭!$P:$P,A321,RAW_판매펀칭!$I:$I,C321)*W321/SUMIFS($W:$W,$A:$A,A321,$C:$C,C321))</f>
        <v>80</v>
      </c>
      <c r="R321" s="47" t="n">
        <f aca="false">IF(OR(A321="500",A321="800",A321="810"),0,MAX(W321-Q321,0))</f>
        <v>0</v>
      </c>
      <c r="S321" s="47" t="n">
        <f aca="false">R321*L321</f>
        <v>0</v>
      </c>
      <c r="T321" s="47" t="n">
        <f aca="false">R321*J321</f>
        <v>0</v>
      </c>
      <c r="U321" s="47" t="n">
        <f aca="false">R321*K321</f>
        <v>0</v>
      </c>
      <c r="V321" s="0" t="str">
        <f aca="false">IF(COUNTIFS($A$2:A321,A321,$C$2:C321,C321,$D$2:D321,D321)&gt;1,"중복","")</f>
        <v/>
      </c>
      <c r="W321" s="0" t="n">
        <f aca="false">IF(V321="중복",0,N(D321))</f>
        <v>80</v>
      </c>
      <c r="X321" s="0" t="n">
        <f aca="false">IF(COUNTIFS($A$2:A321,A321,$C$2:C321,C321)=1,ABS(SUMIFS(RAW_발주!$D:$D,RAW_발주!$C:$C,A321,RAW_발주!$A:$A,C321)-SUMIFS($W:$W,$A:$A,A321,$C:$C,C321)),0)</f>
        <v>0</v>
      </c>
    </row>
    <row r="322" customFormat="false" ht="15" hidden="false" customHeight="true" outlineLevel="0" collapsed="false">
      <c r="A322" s="45" t="s">
        <v>1661</v>
      </c>
      <c r="B322" s="42" t="str">
        <f aca="false">IF(A322="100","HK",IF(A322="200","CN",IF(A322="300","TW","홀세일")))</f>
        <v>TW</v>
      </c>
      <c r="C322" s="45" t="s">
        <v>242</v>
      </c>
      <c r="D322" s="46" t="n">
        <v>350</v>
      </c>
      <c r="E322" s="46" t="n">
        <v>79000</v>
      </c>
      <c r="F322" s="46" t="n">
        <v>18500</v>
      </c>
      <c r="G322" s="42" t="n">
        <v>3.78</v>
      </c>
      <c r="H322" s="42" t="n">
        <v>19.8</v>
      </c>
      <c r="J322" s="46" t="n">
        <f aca="false">IF(N(E322)&gt;0,E322,IF(N(F322)&gt;0,F322*요약!$F$27,0))</f>
        <v>79000</v>
      </c>
      <c r="K322" s="46" t="n">
        <f aca="false">IF(N(F322)&gt;0,F322,IF(N(E322)&gt;0,E322/요약!$F$27,0))</f>
        <v>18500</v>
      </c>
      <c r="L322" s="46" t="n">
        <f aca="false">IF(B322="CN",IF(N(I322)&gt;0,I322*요약!$G$27,K322*(1+요약!$E$27)),IF(N(H322)&gt;0,H322*요약!$G$27,J322*요약!$D$27))</f>
        <v>26136</v>
      </c>
      <c r="M322" s="46" t="n">
        <f aca="false">D322*J322</f>
        <v>27650000</v>
      </c>
      <c r="N322" s="46" t="n">
        <f aca="false">D322*K322</f>
        <v>6475000</v>
      </c>
      <c r="O322" s="46" t="n">
        <f aca="false">D322*L322</f>
        <v>9147600</v>
      </c>
      <c r="P322" s="42" t="str">
        <f aca="false">TRIM(IF(N(E322)&lt;=0,"택가보정 ","")&amp;IF(N(F322)&lt;=0,"원가보정 ","")&amp;IF(AND(B322&lt;&gt;"CN",N(H322)&lt;=0),"공급가보정 ","")&amp;IF(AND(B322="CN",N(I322)&lt;=0),"중국공급가=원가+마진 ",""))</f>
        <v/>
      </c>
      <c r="Q322" s="47" t="n">
        <f aca="false">IF(SUMIFS($W:$W,$A:$A,A322,$C:$C,C322)=0,0,SUMIFS(RAW_판매펀칭!$K:$K,RAW_판매펀칭!$P:$P,A322,RAW_판매펀칭!$I:$I,C322)*W322/SUMIFS($W:$W,$A:$A,A322,$C:$C,C322))</f>
        <v>350</v>
      </c>
      <c r="R322" s="47" t="n">
        <f aca="false">IF(OR(A322="500",A322="800",A322="810"),0,MAX(W322-Q322,0))</f>
        <v>0</v>
      </c>
      <c r="S322" s="47" t="n">
        <f aca="false">R322*L322</f>
        <v>0</v>
      </c>
      <c r="T322" s="47" t="n">
        <f aca="false">R322*J322</f>
        <v>0</v>
      </c>
      <c r="U322" s="47" t="n">
        <f aca="false">R322*K322</f>
        <v>0</v>
      </c>
      <c r="V322" s="0" t="str">
        <f aca="false">IF(COUNTIFS($A$2:A322,A322,$C$2:C322,C322,$D$2:D322,D322)&gt;1,"중복","")</f>
        <v/>
      </c>
      <c r="W322" s="0" t="n">
        <f aca="false">IF(V322="중복",0,N(D322))</f>
        <v>350</v>
      </c>
      <c r="X322" s="0" t="n">
        <f aca="false">IF(COUNTIFS($A$2:A322,A322,$C$2:C322,C322)=1,ABS(SUMIFS(RAW_발주!$D:$D,RAW_발주!$C:$C,A322,RAW_발주!$A:$A,C322)-SUMIFS($W:$W,$A:$A,A322,$C:$C,C322)),0)</f>
        <v>0</v>
      </c>
    </row>
    <row r="323" customFormat="false" ht="15" hidden="false" customHeight="true" outlineLevel="0" collapsed="false">
      <c r="A323" s="45" t="s">
        <v>1662</v>
      </c>
      <c r="B323" s="42" t="str">
        <f aca="false">IF(A323="100","HK",IF(A323="200","CN",IF(A323="300","TW","홀세일")))</f>
        <v>홀세일</v>
      </c>
      <c r="C323" s="45" t="s">
        <v>242</v>
      </c>
      <c r="D323" s="46" t="n">
        <v>50</v>
      </c>
      <c r="E323" s="46" t="n">
        <v>79000</v>
      </c>
      <c r="F323" s="46" t="n">
        <v>18500</v>
      </c>
      <c r="G323" s="42" t="n">
        <v>3.78</v>
      </c>
      <c r="H323" s="42" t="n">
        <v>19.8</v>
      </c>
      <c r="J323" s="46" t="n">
        <f aca="false">IF(N(E323)&gt;0,E323,IF(N(F323)&gt;0,F323*요약!$F$27,0))</f>
        <v>79000</v>
      </c>
      <c r="K323" s="46" t="n">
        <f aca="false">IF(N(F323)&gt;0,F323,IF(N(E323)&gt;0,E323/요약!$F$27,0))</f>
        <v>18500</v>
      </c>
      <c r="L323" s="46" t="n">
        <f aca="false">IF(B323="CN",IF(N(I323)&gt;0,I323*요약!$G$27,K323*(1+요약!$E$27)),IF(N(H323)&gt;0,H323*요약!$G$27,J323*요약!$D$27))</f>
        <v>26136</v>
      </c>
      <c r="M323" s="46" t="n">
        <f aca="false">D323*J323</f>
        <v>3950000</v>
      </c>
      <c r="N323" s="46" t="n">
        <f aca="false">D323*K323</f>
        <v>925000</v>
      </c>
      <c r="O323" s="46" t="n">
        <f aca="false">D323*L323</f>
        <v>1306800</v>
      </c>
      <c r="P323" s="42" t="str">
        <f aca="false">TRIM(IF(N(E323)&lt;=0,"택가보정 ","")&amp;IF(N(F323)&lt;=0,"원가보정 ","")&amp;IF(AND(B323&lt;&gt;"CN",N(H323)&lt;=0),"공급가보정 ","")&amp;IF(AND(B323="CN",N(I323)&lt;=0),"중국공급가=원가+마진 ",""))</f>
        <v/>
      </c>
      <c r="Q323" s="47" t="n">
        <f aca="false">IF(SUMIFS($W:$W,$A:$A,A323,$C:$C,C323)=0,0,SUMIFS(RAW_판매펀칭!$K:$K,RAW_판매펀칭!$P:$P,A323,RAW_판매펀칭!$I:$I,C323)*W323/SUMIFS($W:$W,$A:$A,A323,$C:$C,C323))</f>
        <v>50</v>
      </c>
      <c r="R323" s="47" t="n">
        <f aca="false">IF(OR(A323="500",A323="800",A323="810"),0,MAX(W323-Q323,0))</f>
        <v>0</v>
      </c>
      <c r="S323" s="47" t="n">
        <f aca="false">R323*L323</f>
        <v>0</v>
      </c>
      <c r="T323" s="47" t="n">
        <f aca="false">R323*J323</f>
        <v>0</v>
      </c>
      <c r="U323" s="47" t="n">
        <f aca="false">R323*K323</f>
        <v>0</v>
      </c>
      <c r="V323" s="0" t="str">
        <f aca="false">IF(COUNTIFS($A$2:A323,A323,$C$2:C323,C323,$D$2:D323,D323)&gt;1,"중복","")</f>
        <v/>
      </c>
      <c r="W323" s="0" t="n">
        <f aca="false">IF(V323="중복",0,N(D323))</f>
        <v>50</v>
      </c>
      <c r="X323" s="0" t="n">
        <f aca="false">IF(COUNTIFS($A$2:A323,A323,$C$2:C323,C323)=1,ABS(SUMIFS(RAW_발주!$D:$D,RAW_발주!$C:$C,A323,RAW_발주!$A:$A,C323)-SUMIFS($W:$W,$A:$A,A323,$C:$C,C323)),0)</f>
        <v>0</v>
      </c>
    </row>
    <row r="324" customFormat="false" ht="15" hidden="false" customHeight="true" outlineLevel="0" collapsed="false">
      <c r="A324" s="45" t="s">
        <v>1663</v>
      </c>
      <c r="B324" s="42" t="str">
        <f aca="false">IF(A324="100","HK",IF(A324="200","CN",IF(A324="300","TW","홀세일")))</f>
        <v>홀세일</v>
      </c>
      <c r="C324" s="45" t="s">
        <v>242</v>
      </c>
      <c r="D324" s="46" t="n">
        <v>100</v>
      </c>
      <c r="E324" s="46" t="n">
        <v>79000</v>
      </c>
      <c r="F324" s="46" t="n">
        <v>18500</v>
      </c>
      <c r="G324" s="42" t="n">
        <v>3.78</v>
      </c>
      <c r="H324" s="42" t="n">
        <v>19.8</v>
      </c>
      <c r="J324" s="46" t="n">
        <f aca="false">IF(N(E324)&gt;0,E324,IF(N(F324)&gt;0,F324*요약!$F$27,0))</f>
        <v>79000</v>
      </c>
      <c r="K324" s="46" t="n">
        <f aca="false">IF(N(F324)&gt;0,F324,IF(N(E324)&gt;0,E324/요약!$F$27,0))</f>
        <v>18500</v>
      </c>
      <c r="L324" s="46" t="n">
        <f aca="false">IF(B324="CN",IF(N(I324)&gt;0,I324*요약!$G$27,K324*(1+요약!$E$27)),IF(N(H324)&gt;0,H324*요약!$G$27,J324*요약!$D$27))</f>
        <v>26136</v>
      </c>
      <c r="M324" s="46" t="n">
        <f aca="false">D324*J324</f>
        <v>7900000</v>
      </c>
      <c r="N324" s="46" t="n">
        <f aca="false">D324*K324</f>
        <v>1850000</v>
      </c>
      <c r="O324" s="46" t="n">
        <f aca="false">D324*L324</f>
        <v>2613600</v>
      </c>
      <c r="P324" s="42" t="str">
        <f aca="false">TRIM(IF(N(E324)&lt;=0,"택가보정 ","")&amp;IF(N(F324)&lt;=0,"원가보정 ","")&amp;IF(AND(B324&lt;&gt;"CN",N(H324)&lt;=0),"공급가보정 ","")&amp;IF(AND(B324="CN",N(I324)&lt;=0),"중국공급가=원가+마진 ",""))</f>
        <v/>
      </c>
      <c r="Q324" s="47" t="n">
        <f aca="false">IF(SUMIFS($W:$W,$A:$A,A324,$C:$C,C324)=0,0,SUMIFS(RAW_판매펀칭!$K:$K,RAW_판매펀칭!$P:$P,A324,RAW_판매펀칭!$I:$I,C324)*W324/SUMIFS($W:$W,$A:$A,A324,$C:$C,C324))</f>
        <v>100</v>
      </c>
      <c r="R324" s="47" t="n">
        <f aca="false">IF(OR(A324="500",A324="800",A324="810"),0,MAX(W324-Q324,0))</f>
        <v>0</v>
      </c>
      <c r="S324" s="47" t="n">
        <f aca="false">R324*L324</f>
        <v>0</v>
      </c>
      <c r="T324" s="47" t="n">
        <f aca="false">R324*J324</f>
        <v>0</v>
      </c>
      <c r="U324" s="47" t="n">
        <f aca="false">R324*K324</f>
        <v>0</v>
      </c>
      <c r="V324" s="0" t="str">
        <f aca="false">IF(COUNTIFS($A$2:A324,A324,$C$2:C324,C324,$D$2:D324,D324)&gt;1,"중복","")</f>
        <v/>
      </c>
      <c r="W324" s="0" t="n">
        <f aca="false">IF(V324="중복",0,N(D324))</f>
        <v>100</v>
      </c>
      <c r="X324" s="0" t="n">
        <f aca="false">IF(COUNTIFS($A$2:A324,A324,$C$2:C324,C324)=1,ABS(SUMIFS(RAW_발주!$D:$D,RAW_발주!$C:$C,A324,RAW_발주!$A:$A,C324)-SUMIFS($W:$W,$A:$A,A324,$C:$C,C324)),0)</f>
        <v>0</v>
      </c>
    </row>
    <row r="325" customFormat="false" ht="15" hidden="false" customHeight="true" outlineLevel="0" collapsed="false">
      <c r="A325" s="45" t="s">
        <v>1667</v>
      </c>
      <c r="B325" s="42" t="str">
        <f aca="false">IF(A325="100","HK",IF(A325="200","CN",IF(A325="300","TW","홀세일")))</f>
        <v>홀세일</v>
      </c>
      <c r="C325" s="45" t="s">
        <v>242</v>
      </c>
      <c r="D325" s="46" t="n">
        <v>76</v>
      </c>
      <c r="E325" s="46" t="n">
        <v>79000</v>
      </c>
      <c r="F325" s="46" t="n">
        <v>18500</v>
      </c>
      <c r="G325" s="42" t="n">
        <v>3.78</v>
      </c>
      <c r="H325" s="42" t="n">
        <v>19.8</v>
      </c>
      <c r="J325" s="46" t="n">
        <f aca="false">IF(N(E325)&gt;0,E325,IF(N(F325)&gt;0,F325*요약!$F$27,0))</f>
        <v>79000</v>
      </c>
      <c r="K325" s="46" t="n">
        <f aca="false">IF(N(F325)&gt;0,F325,IF(N(E325)&gt;0,E325/요약!$F$27,0))</f>
        <v>18500</v>
      </c>
      <c r="L325" s="46" t="n">
        <f aca="false">IF(B325="CN",IF(N(I325)&gt;0,I325*요약!$G$27,K325*(1+요약!$E$27)),IF(N(H325)&gt;0,H325*요약!$G$27,J325*요약!$D$27))</f>
        <v>26136</v>
      </c>
      <c r="M325" s="46" t="n">
        <f aca="false">D325*J325</f>
        <v>6004000</v>
      </c>
      <c r="N325" s="46" t="n">
        <f aca="false">D325*K325</f>
        <v>1406000</v>
      </c>
      <c r="O325" s="46" t="n">
        <f aca="false">D325*L325</f>
        <v>1986336</v>
      </c>
      <c r="P325" s="42" t="str">
        <f aca="false">TRIM(IF(N(E325)&lt;=0,"택가보정 ","")&amp;IF(N(F325)&lt;=0,"원가보정 ","")&amp;IF(AND(B325&lt;&gt;"CN",N(H325)&lt;=0),"공급가보정 ","")&amp;IF(AND(B325="CN",N(I325)&lt;=0),"중국공급가=원가+마진 ",""))</f>
        <v/>
      </c>
      <c r="Q325" s="47" t="n">
        <f aca="false">IF(SUMIFS($W:$W,$A:$A,A325,$C:$C,C325)=0,0,SUMIFS(RAW_판매펀칭!$K:$K,RAW_판매펀칭!$P:$P,A325,RAW_판매펀칭!$I:$I,C325)*W325/SUMIFS($W:$W,$A:$A,A325,$C:$C,C325))</f>
        <v>76</v>
      </c>
      <c r="R325" s="47" t="n">
        <f aca="false">IF(OR(A325="500",A325="800",A325="810"),0,MAX(W325-Q325,0))</f>
        <v>0</v>
      </c>
      <c r="S325" s="47" t="n">
        <f aca="false">R325*L325</f>
        <v>0</v>
      </c>
      <c r="T325" s="47" t="n">
        <f aca="false">R325*J325</f>
        <v>0</v>
      </c>
      <c r="U325" s="47" t="n">
        <f aca="false">R325*K325</f>
        <v>0</v>
      </c>
      <c r="V325" s="0" t="str">
        <f aca="false">IF(COUNTIFS($A$2:A325,A325,$C$2:C325,C325,$D$2:D325,D325)&gt;1,"중복","")</f>
        <v/>
      </c>
      <c r="W325" s="0" t="n">
        <f aca="false">IF(V325="중복",0,N(D325))</f>
        <v>76</v>
      </c>
      <c r="X325" s="0" t="n">
        <f aca="false">IF(COUNTIFS($A$2:A325,A325,$C$2:C325,C325)=1,ABS(SUMIFS(RAW_발주!$D:$D,RAW_발주!$C:$C,A325,RAW_발주!$A:$A,C325)-SUMIFS($W:$W,$A:$A,A325,$C:$C,C325)),0)</f>
        <v>0</v>
      </c>
    </row>
    <row r="326" customFormat="false" ht="15" hidden="false" customHeight="true" outlineLevel="0" collapsed="false">
      <c r="A326" s="45" t="s">
        <v>1664</v>
      </c>
      <c r="B326" s="42" t="str">
        <f aca="false">IF(A326="100","HK",IF(A326="200","CN",IF(A326="300","TW","홀세일")))</f>
        <v>홀세일</v>
      </c>
      <c r="C326" s="45" t="s">
        <v>242</v>
      </c>
      <c r="D326" s="46" t="n">
        <v>60</v>
      </c>
      <c r="E326" s="46" t="n">
        <v>79000</v>
      </c>
      <c r="F326" s="46" t="n">
        <v>18500</v>
      </c>
      <c r="G326" s="42" t="n">
        <v>3.78</v>
      </c>
      <c r="H326" s="42" t="n">
        <v>19.8</v>
      </c>
      <c r="J326" s="46" t="n">
        <f aca="false">IF(N(E326)&gt;0,E326,IF(N(F326)&gt;0,F326*요약!$F$27,0))</f>
        <v>79000</v>
      </c>
      <c r="K326" s="46" t="n">
        <f aca="false">IF(N(F326)&gt;0,F326,IF(N(E326)&gt;0,E326/요약!$F$27,0))</f>
        <v>18500</v>
      </c>
      <c r="L326" s="46" t="n">
        <f aca="false">IF(B326="CN",IF(N(I326)&gt;0,I326*요약!$G$27,K326*(1+요약!$E$27)),IF(N(H326)&gt;0,H326*요약!$G$27,J326*요약!$D$27))</f>
        <v>26136</v>
      </c>
      <c r="M326" s="46" t="n">
        <f aca="false">D326*J326</f>
        <v>4740000</v>
      </c>
      <c r="N326" s="46" t="n">
        <f aca="false">D326*K326</f>
        <v>1110000</v>
      </c>
      <c r="O326" s="46" t="n">
        <f aca="false">D326*L326</f>
        <v>1568160</v>
      </c>
      <c r="P326" s="42" t="str">
        <f aca="false">TRIM(IF(N(E326)&lt;=0,"택가보정 ","")&amp;IF(N(F326)&lt;=0,"원가보정 ","")&amp;IF(AND(B326&lt;&gt;"CN",N(H326)&lt;=0),"공급가보정 ","")&amp;IF(AND(B326="CN",N(I326)&lt;=0),"중국공급가=원가+마진 ",""))</f>
        <v/>
      </c>
      <c r="Q326" s="47" t="n">
        <f aca="false">IF(SUMIFS($W:$W,$A:$A,A326,$C:$C,C326)=0,0,SUMIFS(RAW_판매펀칭!$K:$K,RAW_판매펀칭!$P:$P,A326,RAW_판매펀칭!$I:$I,C326)*W326/SUMIFS($W:$W,$A:$A,A326,$C:$C,C326))</f>
        <v>0</v>
      </c>
      <c r="R326" s="47" t="n">
        <f aca="false">IF(OR(A326="500",A326="800",A326="810"),0,MAX(W326-Q326,0))</f>
        <v>0</v>
      </c>
      <c r="S326" s="47" t="n">
        <f aca="false">R326*L326</f>
        <v>0</v>
      </c>
      <c r="T326" s="47" t="n">
        <f aca="false">R326*J326</f>
        <v>0</v>
      </c>
      <c r="U326" s="47" t="n">
        <f aca="false">R326*K326</f>
        <v>0</v>
      </c>
      <c r="V326" s="0" t="str">
        <f aca="false">IF(COUNTIFS($A$2:A326,A326,$C$2:C326,C326,$D$2:D326,D326)&gt;1,"중복","")</f>
        <v/>
      </c>
      <c r="W326" s="0" t="n">
        <f aca="false">IF(V326="중복",0,N(D326))</f>
        <v>60</v>
      </c>
      <c r="X326" s="0" t="n">
        <f aca="false">IF(COUNTIFS($A$2:A326,A326,$C$2:C326,C326)=1,ABS(SUMIFS(RAW_발주!$D:$D,RAW_발주!$C:$C,A326,RAW_발주!$A:$A,C326)-SUMIFS($W:$W,$A:$A,A326,$C:$C,C326)),0)</f>
        <v>0</v>
      </c>
    </row>
    <row r="327" customFormat="false" ht="15" hidden="false" customHeight="true" outlineLevel="0" collapsed="false">
      <c r="A327" s="45" t="s">
        <v>1659</v>
      </c>
      <c r="B327" s="42" t="str">
        <f aca="false">IF(A327="100","HK",IF(A327="200","CN",IF(A327="300","TW","홀세일")))</f>
        <v>HK</v>
      </c>
      <c r="C327" s="45" t="s">
        <v>246</v>
      </c>
      <c r="D327" s="46" t="n">
        <v>260</v>
      </c>
      <c r="E327" s="46" t="n">
        <v>79000</v>
      </c>
      <c r="F327" s="46" t="n">
        <v>18000</v>
      </c>
      <c r="G327" s="42" t="n">
        <v>4.18</v>
      </c>
      <c r="H327" s="42" t="n">
        <v>19.8</v>
      </c>
      <c r="J327" s="46" t="n">
        <f aca="false">IF(N(E327)&gt;0,E327,IF(N(F327)&gt;0,F327*요약!$F$27,0))</f>
        <v>79000</v>
      </c>
      <c r="K327" s="46" t="n">
        <f aca="false">IF(N(F327)&gt;0,F327,IF(N(E327)&gt;0,E327/요약!$F$27,0))</f>
        <v>18000</v>
      </c>
      <c r="L327" s="46" t="n">
        <f aca="false">IF(B327="CN",IF(N(I327)&gt;0,I327*요약!$G$27,K327*(1+요약!$E$27)),IF(N(H327)&gt;0,H327*요약!$G$27,J327*요약!$D$27))</f>
        <v>26136</v>
      </c>
      <c r="M327" s="46" t="n">
        <f aca="false">D327*J327</f>
        <v>20540000</v>
      </c>
      <c r="N327" s="46" t="n">
        <f aca="false">D327*K327</f>
        <v>4680000</v>
      </c>
      <c r="O327" s="46" t="n">
        <f aca="false">D327*L327</f>
        <v>6795360</v>
      </c>
      <c r="P327" s="42" t="str">
        <f aca="false">TRIM(IF(N(E327)&lt;=0,"택가보정 ","")&amp;IF(N(F327)&lt;=0,"원가보정 ","")&amp;IF(AND(B327&lt;&gt;"CN",N(H327)&lt;=0),"공급가보정 ","")&amp;IF(AND(B327="CN",N(I327)&lt;=0),"중국공급가=원가+마진 ",""))</f>
        <v/>
      </c>
      <c r="Q327" s="47" t="n">
        <f aca="false">IF(SUMIFS($W:$W,$A:$A,A327,$C:$C,C327)=0,0,SUMIFS(RAW_판매펀칭!$K:$K,RAW_판매펀칭!$P:$P,A327,RAW_판매펀칭!$I:$I,C327)*W327/SUMIFS($W:$W,$A:$A,A327,$C:$C,C327))</f>
        <v>260</v>
      </c>
      <c r="R327" s="47" t="n">
        <f aca="false">IF(OR(A327="500",A327="800",A327="810"),0,MAX(W327-Q327,0))</f>
        <v>0</v>
      </c>
      <c r="S327" s="47" t="n">
        <f aca="false">R327*L327</f>
        <v>0</v>
      </c>
      <c r="T327" s="47" t="n">
        <f aca="false">R327*J327</f>
        <v>0</v>
      </c>
      <c r="U327" s="47" t="n">
        <f aca="false">R327*K327</f>
        <v>0</v>
      </c>
      <c r="V327" s="0" t="str">
        <f aca="false">IF(COUNTIFS($A$2:A327,A327,$C$2:C327,C327,$D$2:D327,D327)&gt;1,"중복","")</f>
        <v/>
      </c>
      <c r="W327" s="0" t="n">
        <f aca="false">IF(V327="중복",0,N(D327))</f>
        <v>260</v>
      </c>
      <c r="X327" s="0" t="n">
        <f aca="false">IF(COUNTIFS($A$2:A327,A327,$C$2:C327,C327)=1,ABS(SUMIFS(RAW_발주!$D:$D,RAW_발주!$C:$C,A327,RAW_발주!$A:$A,C327)-SUMIFS($W:$W,$A:$A,A327,$C:$C,C327)),0)</f>
        <v>0</v>
      </c>
    </row>
    <row r="328" customFormat="false" ht="15" hidden="false" customHeight="true" outlineLevel="0" collapsed="false">
      <c r="A328" s="45" t="s">
        <v>1661</v>
      </c>
      <c r="B328" s="42" t="str">
        <f aca="false">IF(A328="100","HK",IF(A328="200","CN",IF(A328="300","TW","홀세일")))</f>
        <v>TW</v>
      </c>
      <c r="C328" s="45" t="s">
        <v>246</v>
      </c>
      <c r="D328" s="46" t="n">
        <v>350</v>
      </c>
      <c r="E328" s="46" t="n">
        <v>79000</v>
      </c>
      <c r="F328" s="46" t="n">
        <v>18000</v>
      </c>
      <c r="G328" s="42" t="n">
        <v>4.18</v>
      </c>
      <c r="H328" s="42" t="n">
        <v>19.8</v>
      </c>
      <c r="J328" s="46" t="n">
        <f aca="false">IF(N(E328)&gt;0,E328,IF(N(F328)&gt;0,F328*요약!$F$27,0))</f>
        <v>79000</v>
      </c>
      <c r="K328" s="46" t="n">
        <f aca="false">IF(N(F328)&gt;0,F328,IF(N(E328)&gt;0,E328/요약!$F$27,0))</f>
        <v>18000</v>
      </c>
      <c r="L328" s="46" t="n">
        <f aca="false">IF(B328="CN",IF(N(I328)&gt;0,I328*요약!$G$27,K328*(1+요약!$E$27)),IF(N(H328)&gt;0,H328*요약!$G$27,J328*요약!$D$27))</f>
        <v>26136</v>
      </c>
      <c r="M328" s="46" t="n">
        <f aca="false">D328*J328</f>
        <v>27650000</v>
      </c>
      <c r="N328" s="46" t="n">
        <f aca="false">D328*K328</f>
        <v>6300000</v>
      </c>
      <c r="O328" s="46" t="n">
        <f aca="false">D328*L328</f>
        <v>9147600</v>
      </c>
      <c r="P328" s="42" t="str">
        <f aca="false">TRIM(IF(N(E328)&lt;=0,"택가보정 ","")&amp;IF(N(F328)&lt;=0,"원가보정 ","")&amp;IF(AND(B328&lt;&gt;"CN",N(H328)&lt;=0),"공급가보정 ","")&amp;IF(AND(B328="CN",N(I328)&lt;=0),"중국공급가=원가+마진 ",""))</f>
        <v/>
      </c>
      <c r="Q328" s="47" t="n">
        <f aca="false">IF(SUMIFS($W:$W,$A:$A,A328,$C:$C,C328)=0,0,SUMIFS(RAW_판매펀칭!$K:$K,RAW_판매펀칭!$P:$P,A328,RAW_판매펀칭!$I:$I,C328)*W328/SUMIFS($W:$W,$A:$A,A328,$C:$C,C328))</f>
        <v>350</v>
      </c>
      <c r="R328" s="47" t="n">
        <f aca="false">IF(OR(A328="500",A328="800",A328="810"),0,MAX(W328-Q328,0))</f>
        <v>0</v>
      </c>
      <c r="S328" s="47" t="n">
        <f aca="false">R328*L328</f>
        <v>0</v>
      </c>
      <c r="T328" s="47" t="n">
        <f aca="false">R328*J328</f>
        <v>0</v>
      </c>
      <c r="U328" s="47" t="n">
        <f aca="false">R328*K328</f>
        <v>0</v>
      </c>
      <c r="V328" s="0" t="str">
        <f aca="false">IF(COUNTIFS($A$2:A328,A328,$C$2:C328,C328,$D$2:D328,D328)&gt;1,"중복","")</f>
        <v/>
      </c>
      <c r="W328" s="0" t="n">
        <f aca="false">IF(V328="중복",0,N(D328))</f>
        <v>350</v>
      </c>
      <c r="X328" s="0" t="n">
        <f aca="false">IF(COUNTIFS($A$2:A328,A328,$C$2:C328,C328)=1,ABS(SUMIFS(RAW_발주!$D:$D,RAW_발주!$C:$C,A328,RAW_발주!$A:$A,C328)-SUMIFS($W:$W,$A:$A,A328,$C:$C,C328)),0)</f>
        <v>0</v>
      </c>
    </row>
    <row r="329" customFormat="false" ht="15" hidden="false" customHeight="true" outlineLevel="0" collapsed="false">
      <c r="A329" s="45" t="s">
        <v>1663</v>
      </c>
      <c r="B329" s="42" t="str">
        <f aca="false">IF(A329="100","HK",IF(A329="200","CN",IF(A329="300","TW","홀세일")))</f>
        <v>홀세일</v>
      </c>
      <c r="C329" s="45" t="s">
        <v>246</v>
      </c>
      <c r="D329" s="46" t="n">
        <v>70</v>
      </c>
      <c r="E329" s="46" t="n">
        <v>79000</v>
      </c>
      <c r="F329" s="46" t="n">
        <v>18000</v>
      </c>
      <c r="G329" s="42" t="n">
        <v>4.18</v>
      </c>
      <c r="H329" s="42" t="n">
        <v>19.8</v>
      </c>
      <c r="J329" s="46" t="n">
        <f aca="false">IF(N(E329)&gt;0,E329,IF(N(F329)&gt;0,F329*요약!$F$27,0))</f>
        <v>79000</v>
      </c>
      <c r="K329" s="46" t="n">
        <f aca="false">IF(N(F329)&gt;0,F329,IF(N(E329)&gt;0,E329/요약!$F$27,0))</f>
        <v>18000</v>
      </c>
      <c r="L329" s="46" t="n">
        <f aca="false">IF(B329="CN",IF(N(I329)&gt;0,I329*요약!$G$27,K329*(1+요약!$E$27)),IF(N(H329)&gt;0,H329*요약!$G$27,J329*요약!$D$27))</f>
        <v>26136</v>
      </c>
      <c r="M329" s="46" t="n">
        <f aca="false">D329*J329</f>
        <v>5530000</v>
      </c>
      <c r="N329" s="46" t="n">
        <f aca="false">D329*K329</f>
        <v>1260000</v>
      </c>
      <c r="O329" s="46" t="n">
        <f aca="false">D329*L329</f>
        <v>1829520</v>
      </c>
      <c r="P329" s="42" t="str">
        <f aca="false">TRIM(IF(N(E329)&lt;=0,"택가보정 ","")&amp;IF(N(F329)&lt;=0,"원가보정 ","")&amp;IF(AND(B329&lt;&gt;"CN",N(H329)&lt;=0),"공급가보정 ","")&amp;IF(AND(B329="CN",N(I329)&lt;=0),"중국공급가=원가+마진 ",""))</f>
        <v/>
      </c>
      <c r="Q329" s="47" t="n">
        <f aca="false">IF(SUMIFS($W:$W,$A:$A,A329,$C:$C,C329)=0,0,SUMIFS(RAW_판매펀칭!$K:$K,RAW_판매펀칭!$P:$P,A329,RAW_판매펀칭!$I:$I,C329)*W329/SUMIFS($W:$W,$A:$A,A329,$C:$C,C329))</f>
        <v>70</v>
      </c>
      <c r="R329" s="47" t="n">
        <f aca="false">IF(OR(A329="500",A329="800",A329="810"),0,MAX(W329-Q329,0))</f>
        <v>0</v>
      </c>
      <c r="S329" s="47" t="n">
        <f aca="false">R329*L329</f>
        <v>0</v>
      </c>
      <c r="T329" s="47" t="n">
        <f aca="false">R329*J329</f>
        <v>0</v>
      </c>
      <c r="U329" s="47" t="n">
        <f aca="false">R329*K329</f>
        <v>0</v>
      </c>
      <c r="V329" s="0" t="str">
        <f aca="false">IF(COUNTIFS($A$2:A329,A329,$C$2:C329,C329,$D$2:D329,D329)&gt;1,"중복","")</f>
        <v/>
      </c>
      <c r="W329" s="0" t="n">
        <f aca="false">IF(V329="중복",0,N(D329))</f>
        <v>70</v>
      </c>
      <c r="X329" s="0" t="n">
        <f aca="false">IF(COUNTIFS($A$2:A329,A329,$C$2:C329,C329)=1,ABS(SUMIFS(RAW_발주!$D:$D,RAW_발주!$C:$C,A329,RAW_발주!$A:$A,C329)-SUMIFS($W:$W,$A:$A,A329,$C:$C,C329)),0)</f>
        <v>0</v>
      </c>
    </row>
    <row r="330" customFormat="false" ht="15" hidden="false" customHeight="true" outlineLevel="0" collapsed="false">
      <c r="A330" s="45" t="s">
        <v>1665</v>
      </c>
      <c r="B330" s="42" t="str">
        <f aca="false">IF(A330="100","HK",IF(A330="200","CN",IF(A330="300","TW","홀세일")))</f>
        <v>홀세일</v>
      </c>
      <c r="C330" s="45" t="s">
        <v>246</v>
      </c>
      <c r="D330" s="46" t="n">
        <v>228</v>
      </c>
      <c r="E330" s="46" t="n">
        <v>79000</v>
      </c>
      <c r="F330" s="46" t="n">
        <v>18000</v>
      </c>
      <c r="G330" s="42" t="n">
        <v>4.18</v>
      </c>
      <c r="H330" s="42" t="n">
        <v>19.8</v>
      </c>
      <c r="J330" s="46" t="n">
        <f aca="false">IF(N(E330)&gt;0,E330,IF(N(F330)&gt;0,F330*요약!$F$27,0))</f>
        <v>79000</v>
      </c>
      <c r="K330" s="46" t="n">
        <f aca="false">IF(N(F330)&gt;0,F330,IF(N(E330)&gt;0,E330/요약!$F$27,0))</f>
        <v>18000</v>
      </c>
      <c r="L330" s="46" t="n">
        <f aca="false">IF(B330="CN",IF(N(I330)&gt;0,I330*요약!$G$27,K330*(1+요약!$E$27)),IF(N(H330)&gt;0,H330*요약!$G$27,J330*요약!$D$27))</f>
        <v>26136</v>
      </c>
      <c r="M330" s="46" t="n">
        <f aca="false">D330*J330</f>
        <v>18012000</v>
      </c>
      <c r="N330" s="46" t="n">
        <f aca="false">D330*K330</f>
        <v>4104000</v>
      </c>
      <c r="O330" s="46" t="n">
        <f aca="false">D330*L330</f>
        <v>5959008</v>
      </c>
      <c r="P330" s="42" t="str">
        <f aca="false">TRIM(IF(N(E330)&lt;=0,"택가보정 ","")&amp;IF(N(F330)&lt;=0,"원가보정 ","")&amp;IF(AND(B330&lt;&gt;"CN",N(H330)&lt;=0),"공급가보정 ","")&amp;IF(AND(B330="CN",N(I330)&lt;=0),"중국공급가=원가+마진 ",""))</f>
        <v/>
      </c>
      <c r="Q330" s="47" t="n">
        <f aca="false">IF(SUMIFS($W:$W,$A:$A,A330,$C:$C,C330)=0,0,SUMIFS(RAW_판매펀칭!$K:$K,RAW_판매펀칭!$P:$P,A330,RAW_판매펀칭!$I:$I,C330)*W330/SUMIFS($W:$W,$A:$A,A330,$C:$C,C330))</f>
        <v>228</v>
      </c>
      <c r="R330" s="47" t="n">
        <f aca="false">IF(OR(A330="500",A330="800",A330="810"),0,MAX(W330-Q330,0))</f>
        <v>0</v>
      </c>
      <c r="S330" s="47" t="n">
        <f aca="false">R330*L330</f>
        <v>0</v>
      </c>
      <c r="T330" s="47" t="n">
        <f aca="false">R330*J330</f>
        <v>0</v>
      </c>
      <c r="U330" s="47" t="n">
        <f aca="false">R330*K330</f>
        <v>0</v>
      </c>
      <c r="V330" s="0" t="str">
        <f aca="false">IF(COUNTIFS($A$2:A330,A330,$C$2:C330,C330,$D$2:D330,D330)&gt;1,"중복","")</f>
        <v/>
      </c>
      <c r="W330" s="0" t="n">
        <f aca="false">IF(V330="중복",0,N(D330))</f>
        <v>228</v>
      </c>
      <c r="X330" s="0" t="n">
        <f aca="false">IF(COUNTIFS($A$2:A330,A330,$C$2:C330,C330)=1,ABS(SUMIFS(RAW_발주!$D:$D,RAW_발주!$C:$C,A330,RAW_발주!$A:$A,C330)-SUMIFS($W:$W,$A:$A,A330,$C:$C,C330)),0)</f>
        <v>0</v>
      </c>
    </row>
    <row r="331" customFormat="false" ht="15" hidden="false" customHeight="true" outlineLevel="0" collapsed="false">
      <c r="A331" s="45" t="s">
        <v>1659</v>
      </c>
      <c r="B331" s="42" t="str">
        <f aca="false">IF(A331="100","HK",IF(A331="200","CN",IF(A331="300","TW","홀세일")))</f>
        <v>HK</v>
      </c>
      <c r="C331" s="45" t="s">
        <v>248</v>
      </c>
      <c r="D331" s="46" t="n">
        <v>380</v>
      </c>
      <c r="E331" s="46" t="n">
        <v>99000</v>
      </c>
      <c r="F331" s="46" t="n">
        <v>28600</v>
      </c>
      <c r="G331" s="42" t="n">
        <v>3.21</v>
      </c>
      <c r="H331" s="42" t="n">
        <v>24.8</v>
      </c>
      <c r="J331" s="46" t="n">
        <f aca="false">IF(N(E331)&gt;0,E331,IF(N(F331)&gt;0,F331*요약!$F$27,0))</f>
        <v>99000</v>
      </c>
      <c r="K331" s="46" t="n">
        <f aca="false">IF(N(F331)&gt;0,F331,IF(N(E331)&gt;0,E331/요약!$F$27,0))</f>
        <v>28600</v>
      </c>
      <c r="L331" s="46" t="n">
        <f aca="false">IF(B331="CN",IF(N(I331)&gt;0,I331*요약!$G$27,K331*(1+요약!$E$27)),IF(N(H331)&gt;0,H331*요약!$G$27,J331*요약!$D$27))</f>
        <v>32736</v>
      </c>
      <c r="M331" s="46" t="n">
        <f aca="false">D331*J331</f>
        <v>37620000</v>
      </c>
      <c r="N331" s="46" t="n">
        <f aca="false">D331*K331</f>
        <v>10868000</v>
      </c>
      <c r="O331" s="46" t="n">
        <f aca="false">D331*L331</f>
        <v>12439680</v>
      </c>
      <c r="P331" s="42" t="str">
        <f aca="false">TRIM(IF(N(E331)&lt;=0,"택가보정 ","")&amp;IF(N(F331)&lt;=0,"원가보정 ","")&amp;IF(AND(B331&lt;&gt;"CN",N(H331)&lt;=0),"공급가보정 ","")&amp;IF(AND(B331="CN",N(I331)&lt;=0),"중국공급가=원가+마진 ",""))</f>
        <v/>
      </c>
      <c r="Q331" s="47" t="n">
        <f aca="false">IF(SUMIFS($W:$W,$A:$A,A331,$C:$C,C331)=0,0,SUMIFS(RAW_판매펀칭!$K:$K,RAW_판매펀칭!$P:$P,A331,RAW_판매펀칭!$I:$I,C331)*W331/SUMIFS($W:$W,$A:$A,A331,$C:$C,C331))</f>
        <v>380</v>
      </c>
      <c r="R331" s="47" t="n">
        <f aca="false">IF(OR(A331="500",A331="800",A331="810"),0,MAX(W331-Q331,0))</f>
        <v>0</v>
      </c>
      <c r="S331" s="47" t="n">
        <f aca="false">R331*L331</f>
        <v>0</v>
      </c>
      <c r="T331" s="47" t="n">
        <f aca="false">R331*J331</f>
        <v>0</v>
      </c>
      <c r="U331" s="47" t="n">
        <f aca="false">R331*K331</f>
        <v>0</v>
      </c>
      <c r="V331" s="0" t="str">
        <f aca="false">IF(COUNTIFS($A$2:A331,A331,$C$2:C331,C331,$D$2:D331,D331)&gt;1,"중복","")</f>
        <v/>
      </c>
      <c r="W331" s="0" t="n">
        <f aca="false">IF(V331="중복",0,N(D331))</f>
        <v>380</v>
      </c>
      <c r="X331" s="0" t="n">
        <f aca="false">IF(COUNTIFS($A$2:A331,A331,$C$2:C331,C331)=1,ABS(SUMIFS(RAW_발주!$D:$D,RAW_발주!$C:$C,A331,RAW_발주!$A:$A,C331)-SUMIFS($W:$W,$A:$A,A331,$C:$C,C331)),0)</f>
        <v>0</v>
      </c>
    </row>
    <row r="332" customFormat="false" ht="15" hidden="false" customHeight="true" outlineLevel="0" collapsed="false">
      <c r="A332" s="45" t="s">
        <v>1661</v>
      </c>
      <c r="B332" s="42" t="str">
        <f aca="false">IF(A332="100","HK",IF(A332="200","CN",IF(A332="300","TW","홀세일")))</f>
        <v>TW</v>
      </c>
      <c r="C332" s="45" t="s">
        <v>248</v>
      </c>
      <c r="D332" s="46" t="n">
        <v>320</v>
      </c>
      <c r="E332" s="46" t="n">
        <v>99000</v>
      </c>
      <c r="F332" s="46" t="n">
        <v>28600</v>
      </c>
      <c r="G332" s="42" t="n">
        <v>3.21</v>
      </c>
      <c r="H332" s="42" t="n">
        <v>24.8</v>
      </c>
      <c r="J332" s="46" t="n">
        <f aca="false">IF(N(E332)&gt;0,E332,IF(N(F332)&gt;0,F332*요약!$F$27,0))</f>
        <v>99000</v>
      </c>
      <c r="K332" s="46" t="n">
        <f aca="false">IF(N(F332)&gt;0,F332,IF(N(E332)&gt;0,E332/요약!$F$27,0))</f>
        <v>28600</v>
      </c>
      <c r="L332" s="46" t="n">
        <f aca="false">IF(B332="CN",IF(N(I332)&gt;0,I332*요약!$G$27,K332*(1+요약!$E$27)),IF(N(H332)&gt;0,H332*요약!$G$27,J332*요약!$D$27))</f>
        <v>32736</v>
      </c>
      <c r="M332" s="46" t="n">
        <f aca="false">D332*J332</f>
        <v>31680000</v>
      </c>
      <c r="N332" s="46" t="n">
        <f aca="false">D332*K332</f>
        <v>9152000</v>
      </c>
      <c r="O332" s="46" t="n">
        <f aca="false">D332*L332</f>
        <v>10475520</v>
      </c>
      <c r="P332" s="42" t="str">
        <f aca="false">TRIM(IF(N(E332)&lt;=0,"택가보정 ","")&amp;IF(N(F332)&lt;=0,"원가보정 ","")&amp;IF(AND(B332&lt;&gt;"CN",N(H332)&lt;=0),"공급가보정 ","")&amp;IF(AND(B332="CN",N(I332)&lt;=0),"중국공급가=원가+마진 ",""))</f>
        <v/>
      </c>
      <c r="Q332" s="47" t="n">
        <f aca="false">IF(SUMIFS($W:$W,$A:$A,A332,$C:$C,C332)=0,0,SUMIFS(RAW_판매펀칭!$K:$K,RAW_판매펀칭!$P:$P,A332,RAW_판매펀칭!$I:$I,C332)*W332/SUMIFS($W:$W,$A:$A,A332,$C:$C,C332))</f>
        <v>320</v>
      </c>
      <c r="R332" s="47" t="n">
        <f aca="false">IF(OR(A332="500",A332="800",A332="810"),0,MAX(W332-Q332,0))</f>
        <v>0</v>
      </c>
      <c r="S332" s="47" t="n">
        <f aca="false">R332*L332</f>
        <v>0</v>
      </c>
      <c r="T332" s="47" t="n">
        <f aca="false">R332*J332</f>
        <v>0</v>
      </c>
      <c r="U332" s="47" t="n">
        <f aca="false">R332*K332</f>
        <v>0</v>
      </c>
      <c r="V332" s="0" t="str">
        <f aca="false">IF(COUNTIFS($A$2:A332,A332,$C$2:C332,C332,$D$2:D332,D332)&gt;1,"중복","")</f>
        <v/>
      </c>
      <c r="W332" s="0" t="n">
        <f aca="false">IF(V332="중복",0,N(D332))</f>
        <v>320</v>
      </c>
      <c r="X332" s="0" t="n">
        <f aca="false">IF(COUNTIFS($A$2:A332,A332,$C$2:C332,C332)=1,ABS(SUMIFS(RAW_발주!$D:$D,RAW_발주!$C:$C,A332,RAW_발주!$A:$A,C332)-SUMIFS($W:$W,$A:$A,A332,$C:$C,C332)),0)</f>
        <v>0</v>
      </c>
    </row>
    <row r="333" customFormat="false" ht="15" hidden="false" customHeight="true" outlineLevel="0" collapsed="false">
      <c r="A333" s="45" t="s">
        <v>1662</v>
      </c>
      <c r="B333" s="42" t="str">
        <f aca="false">IF(A333="100","HK",IF(A333="200","CN",IF(A333="300","TW","홀세일")))</f>
        <v>홀세일</v>
      </c>
      <c r="C333" s="45" t="s">
        <v>248</v>
      </c>
      <c r="D333" s="46" t="n">
        <v>50</v>
      </c>
      <c r="E333" s="46" t="n">
        <v>99000</v>
      </c>
      <c r="F333" s="46" t="n">
        <v>28600</v>
      </c>
      <c r="G333" s="42" t="n">
        <v>3.21</v>
      </c>
      <c r="H333" s="42" t="n">
        <v>24.8</v>
      </c>
      <c r="J333" s="46" t="n">
        <f aca="false">IF(N(E333)&gt;0,E333,IF(N(F333)&gt;0,F333*요약!$F$27,0))</f>
        <v>99000</v>
      </c>
      <c r="K333" s="46" t="n">
        <f aca="false">IF(N(F333)&gt;0,F333,IF(N(E333)&gt;0,E333/요약!$F$27,0))</f>
        <v>28600</v>
      </c>
      <c r="L333" s="46" t="n">
        <f aca="false">IF(B333="CN",IF(N(I333)&gt;0,I333*요약!$G$27,K333*(1+요약!$E$27)),IF(N(H333)&gt;0,H333*요약!$G$27,J333*요약!$D$27))</f>
        <v>32736</v>
      </c>
      <c r="M333" s="46" t="n">
        <f aca="false">D333*J333</f>
        <v>4950000</v>
      </c>
      <c r="N333" s="46" t="n">
        <f aca="false">D333*K333</f>
        <v>1430000</v>
      </c>
      <c r="O333" s="46" t="n">
        <f aca="false">D333*L333</f>
        <v>1636800</v>
      </c>
      <c r="P333" s="42" t="str">
        <f aca="false">TRIM(IF(N(E333)&lt;=0,"택가보정 ","")&amp;IF(N(F333)&lt;=0,"원가보정 ","")&amp;IF(AND(B333&lt;&gt;"CN",N(H333)&lt;=0),"공급가보정 ","")&amp;IF(AND(B333="CN",N(I333)&lt;=0),"중국공급가=원가+마진 ",""))</f>
        <v/>
      </c>
      <c r="Q333" s="47" t="n">
        <f aca="false">IF(SUMIFS($W:$W,$A:$A,A333,$C:$C,C333)=0,0,SUMIFS(RAW_판매펀칭!$K:$K,RAW_판매펀칭!$P:$P,A333,RAW_판매펀칭!$I:$I,C333)*W333/SUMIFS($W:$W,$A:$A,A333,$C:$C,C333))</f>
        <v>50</v>
      </c>
      <c r="R333" s="47" t="n">
        <f aca="false">IF(OR(A333="500",A333="800",A333="810"),0,MAX(W333-Q333,0))</f>
        <v>0</v>
      </c>
      <c r="S333" s="47" t="n">
        <f aca="false">R333*L333</f>
        <v>0</v>
      </c>
      <c r="T333" s="47" t="n">
        <f aca="false">R333*J333</f>
        <v>0</v>
      </c>
      <c r="U333" s="47" t="n">
        <f aca="false">R333*K333</f>
        <v>0</v>
      </c>
      <c r="V333" s="0" t="str">
        <f aca="false">IF(COUNTIFS($A$2:A333,A333,$C$2:C333,C333,$D$2:D333,D333)&gt;1,"중복","")</f>
        <v/>
      </c>
      <c r="W333" s="0" t="n">
        <f aca="false">IF(V333="중복",0,N(D333))</f>
        <v>50</v>
      </c>
      <c r="X333" s="0" t="n">
        <f aca="false">IF(COUNTIFS($A$2:A333,A333,$C$2:C333,C333)=1,ABS(SUMIFS(RAW_발주!$D:$D,RAW_발주!$C:$C,A333,RAW_발주!$A:$A,C333)-SUMIFS($W:$W,$A:$A,A333,$C:$C,C333)),0)</f>
        <v>0</v>
      </c>
    </row>
    <row r="334" customFormat="false" ht="15" hidden="false" customHeight="true" outlineLevel="0" collapsed="false">
      <c r="A334" s="45" t="s">
        <v>1663</v>
      </c>
      <c r="B334" s="42" t="str">
        <f aca="false">IF(A334="100","HK",IF(A334="200","CN",IF(A334="300","TW","홀세일")))</f>
        <v>홀세일</v>
      </c>
      <c r="C334" s="45" t="s">
        <v>248</v>
      </c>
      <c r="D334" s="46" t="n">
        <v>70</v>
      </c>
      <c r="E334" s="46" t="n">
        <v>99000</v>
      </c>
      <c r="F334" s="46" t="n">
        <v>28600</v>
      </c>
      <c r="G334" s="42" t="n">
        <v>3.21</v>
      </c>
      <c r="H334" s="42" t="n">
        <v>24.8</v>
      </c>
      <c r="J334" s="46" t="n">
        <f aca="false">IF(N(E334)&gt;0,E334,IF(N(F334)&gt;0,F334*요약!$F$27,0))</f>
        <v>99000</v>
      </c>
      <c r="K334" s="46" t="n">
        <f aca="false">IF(N(F334)&gt;0,F334,IF(N(E334)&gt;0,E334/요약!$F$27,0))</f>
        <v>28600</v>
      </c>
      <c r="L334" s="46" t="n">
        <f aca="false">IF(B334="CN",IF(N(I334)&gt;0,I334*요약!$G$27,K334*(1+요약!$E$27)),IF(N(H334)&gt;0,H334*요약!$G$27,J334*요약!$D$27))</f>
        <v>32736</v>
      </c>
      <c r="M334" s="46" t="n">
        <f aca="false">D334*J334</f>
        <v>6930000</v>
      </c>
      <c r="N334" s="46" t="n">
        <f aca="false">D334*K334</f>
        <v>2002000</v>
      </c>
      <c r="O334" s="46" t="n">
        <f aca="false">D334*L334</f>
        <v>2291520</v>
      </c>
      <c r="P334" s="42" t="str">
        <f aca="false">TRIM(IF(N(E334)&lt;=0,"택가보정 ","")&amp;IF(N(F334)&lt;=0,"원가보정 ","")&amp;IF(AND(B334&lt;&gt;"CN",N(H334)&lt;=0),"공급가보정 ","")&amp;IF(AND(B334="CN",N(I334)&lt;=0),"중국공급가=원가+마진 ",""))</f>
        <v/>
      </c>
      <c r="Q334" s="47" t="n">
        <f aca="false">IF(SUMIFS($W:$W,$A:$A,A334,$C:$C,C334)=0,0,SUMIFS(RAW_판매펀칭!$K:$K,RAW_판매펀칭!$P:$P,A334,RAW_판매펀칭!$I:$I,C334)*W334/SUMIFS($W:$W,$A:$A,A334,$C:$C,C334))</f>
        <v>70</v>
      </c>
      <c r="R334" s="47" t="n">
        <f aca="false">IF(OR(A334="500",A334="800",A334="810"),0,MAX(W334-Q334,0))</f>
        <v>0</v>
      </c>
      <c r="S334" s="47" t="n">
        <f aca="false">R334*L334</f>
        <v>0</v>
      </c>
      <c r="T334" s="47" t="n">
        <f aca="false">R334*J334</f>
        <v>0</v>
      </c>
      <c r="U334" s="47" t="n">
        <f aca="false">R334*K334</f>
        <v>0</v>
      </c>
      <c r="V334" s="0" t="str">
        <f aca="false">IF(COUNTIFS($A$2:A334,A334,$C$2:C334,C334,$D$2:D334,D334)&gt;1,"중복","")</f>
        <v/>
      </c>
      <c r="W334" s="0" t="n">
        <f aca="false">IF(V334="중복",0,N(D334))</f>
        <v>70</v>
      </c>
      <c r="X334" s="0" t="n">
        <f aca="false">IF(COUNTIFS($A$2:A334,A334,$C$2:C334,C334)=1,ABS(SUMIFS(RAW_발주!$D:$D,RAW_발주!$C:$C,A334,RAW_발주!$A:$A,C334)-SUMIFS($W:$W,$A:$A,A334,$C:$C,C334)),0)</f>
        <v>0</v>
      </c>
    </row>
    <row r="335" customFormat="false" ht="15" hidden="false" customHeight="true" outlineLevel="0" collapsed="false">
      <c r="A335" s="45" t="s">
        <v>1664</v>
      </c>
      <c r="B335" s="42" t="str">
        <f aca="false">IF(A335="100","HK",IF(A335="200","CN",IF(A335="300","TW","홀세일")))</f>
        <v>홀세일</v>
      </c>
      <c r="C335" s="45" t="s">
        <v>248</v>
      </c>
      <c r="D335" s="46" t="n">
        <v>70</v>
      </c>
      <c r="E335" s="46" t="n">
        <v>99000</v>
      </c>
      <c r="F335" s="46" t="n">
        <v>28600</v>
      </c>
      <c r="G335" s="42" t="n">
        <v>3.21</v>
      </c>
      <c r="H335" s="42" t="n">
        <v>24.8</v>
      </c>
      <c r="J335" s="46" t="n">
        <f aca="false">IF(N(E335)&gt;0,E335,IF(N(F335)&gt;0,F335*요약!$F$27,0))</f>
        <v>99000</v>
      </c>
      <c r="K335" s="46" t="n">
        <f aca="false">IF(N(F335)&gt;0,F335,IF(N(E335)&gt;0,E335/요약!$F$27,0))</f>
        <v>28600</v>
      </c>
      <c r="L335" s="46" t="n">
        <f aca="false">IF(B335="CN",IF(N(I335)&gt;0,I335*요약!$G$27,K335*(1+요약!$E$27)),IF(N(H335)&gt;0,H335*요약!$G$27,J335*요약!$D$27))</f>
        <v>32736</v>
      </c>
      <c r="M335" s="46" t="n">
        <f aca="false">D335*J335</f>
        <v>6930000</v>
      </c>
      <c r="N335" s="46" t="n">
        <f aca="false">D335*K335</f>
        <v>2002000</v>
      </c>
      <c r="O335" s="46" t="n">
        <f aca="false">D335*L335</f>
        <v>2291520</v>
      </c>
      <c r="P335" s="42" t="str">
        <f aca="false">TRIM(IF(N(E335)&lt;=0,"택가보정 ","")&amp;IF(N(F335)&lt;=0,"원가보정 ","")&amp;IF(AND(B335&lt;&gt;"CN",N(H335)&lt;=0),"공급가보정 ","")&amp;IF(AND(B335="CN",N(I335)&lt;=0),"중국공급가=원가+마진 ",""))</f>
        <v/>
      </c>
      <c r="Q335" s="47" t="n">
        <f aca="false">IF(SUMIFS($W:$W,$A:$A,A335,$C:$C,C335)=0,0,SUMIFS(RAW_판매펀칭!$K:$K,RAW_판매펀칭!$P:$P,A335,RAW_판매펀칭!$I:$I,C335)*W335/SUMIFS($W:$W,$A:$A,A335,$C:$C,C335))</f>
        <v>0</v>
      </c>
      <c r="R335" s="47" t="n">
        <f aca="false">IF(OR(A335="500",A335="800",A335="810"),0,MAX(W335-Q335,0))</f>
        <v>0</v>
      </c>
      <c r="S335" s="47" t="n">
        <f aca="false">R335*L335</f>
        <v>0</v>
      </c>
      <c r="T335" s="47" t="n">
        <f aca="false">R335*J335</f>
        <v>0</v>
      </c>
      <c r="U335" s="47" t="n">
        <f aca="false">R335*K335</f>
        <v>0</v>
      </c>
      <c r="V335" s="0" t="str">
        <f aca="false">IF(COUNTIFS($A$2:A335,A335,$C$2:C335,C335,$D$2:D335,D335)&gt;1,"중복","")</f>
        <v/>
      </c>
      <c r="W335" s="0" t="n">
        <f aca="false">IF(V335="중복",0,N(D335))</f>
        <v>70</v>
      </c>
      <c r="X335" s="0" t="n">
        <f aca="false">IF(COUNTIFS($A$2:A335,A335,$C$2:C335,C335)=1,ABS(SUMIFS(RAW_발주!$D:$D,RAW_발주!$C:$C,A335,RAW_발주!$A:$A,C335)-SUMIFS($W:$W,$A:$A,A335,$C:$C,C335)),0)</f>
        <v>0</v>
      </c>
    </row>
    <row r="336" customFormat="false" ht="15.75" hidden="false" customHeight="true" outlineLevel="0" collapsed="false">
      <c r="A336" s="45" t="s">
        <v>1660</v>
      </c>
      <c r="B336" s="42" t="str">
        <f aca="false">IF(A336="100","HK",IF(A336="200","CN",IF(A336="300","TW","홀세일")))</f>
        <v>CN</v>
      </c>
      <c r="C336" s="45" t="s">
        <v>1043</v>
      </c>
      <c r="D336" s="46" t="n">
        <v>332</v>
      </c>
      <c r="E336" s="46" t="n">
        <v>79000</v>
      </c>
      <c r="F336" s="46" t="n">
        <v>16814</v>
      </c>
      <c r="G336" s="42" t="n">
        <v>3.92</v>
      </c>
      <c r="H336" s="42" t="n">
        <v>19.8</v>
      </c>
      <c r="J336" s="46" t="n">
        <f aca="false">IF(N(E336)&gt;0,E336,IF(N(F336)&gt;0,F336*요약!$F$27,0))</f>
        <v>79000</v>
      </c>
      <c r="K336" s="46" t="n">
        <f aca="false">IF(N(F336)&gt;0,F336,IF(N(E336)&gt;0,E336/요약!$F$27,0))</f>
        <v>16814</v>
      </c>
      <c r="L336" s="46" t="n">
        <f aca="false">IF(B336="CN",IF(N(I336)&gt;0,I336*요약!$G$27,K336*(1+요약!$E$27)),IF(N(H336)&gt;0,H336*요약!$G$27,J336*요약!$D$27))</f>
        <v>17654.7</v>
      </c>
      <c r="M336" s="46" t="n">
        <f aca="false">D336*J336</f>
        <v>26228000</v>
      </c>
      <c r="N336" s="46" t="n">
        <f aca="false">D336*K336</f>
        <v>5582248</v>
      </c>
      <c r="O336" s="46" t="n">
        <f aca="false">D336*L336</f>
        <v>5861360.4</v>
      </c>
      <c r="P336" s="42" t="str">
        <f aca="false">TRIM(IF(N(E336)&lt;=0,"택가보정 ","")&amp;IF(N(F336)&lt;=0,"원가보정 ","")&amp;IF(AND(B336&lt;&gt;"CN",N(H336)&lt;=0),"공급가보정 ","")&amp;IF(AND(B336="CN",N(I336)&lt;=0),"중국공급가=원가+마진 ",""))</f>
        <v>중국공급가=원가+마진</v>
      </c>
      <c r="Q336" s="47" t="n">
        <f aca="false">IF(SUMIFS($W:$W,$A:$A,A336,$C:$C,C336)=0,0,SUMIFS(RAW_판매펀칭!$K:$K,RAW_판매펀칭!$P:$P,A336,RAW_판매펀칭!$I:$I,C336)*W336/SUMIFS($W:$W,$A:$A,A336,$C:$C,C336))</f>
        <v>330</v>
      </c>
      <c r="R336" s="47" t="n">
        <f aca="false">IF(OR(A336="500",A336="800",A336="810"),0,MAX(W336-Q336,0))</f>
        <v>2</v>
      </c>
      <c r="S336" s="47" t="n">
        <f aca="false">R336*L336</f>
        <v>35309.4</v>
      </c>
      <c r="T336" s="47" t="n">
        <f aca="false">R336*J336</f>
        <v>158000</v>
      </c>
      <c r="U336" s="47" t="n">
        <f aca="false">R336*K336</f>
        <v>33628</v>
      </c>
      <c r="V336" s="0" t="str">
        <f aca="false">IF(COUNTIFS($A$2:A336,A336,$C$2:C336,C336,$D$2:D336,D336)&gt;1,"중복","")</f>
        <v/>
      </c>
      <c r="W336" s="0" t="n">
        <f aca="false">IF(V336="중복",0,N(D336))</f>
        <v>332</v>
      </c>
      <c r="X336" s="0" t="n">
        <f aca="false">IF(COUNTIFS($A$2:A336,A336,$C$2:C336,C336)=1,ABS(SUMIFS(RAW_발주!$D:$D,RAW_발주!$C:$C,A336,RAW_발주!$A:$A,C336)-SUMIFS($W:$W,$A:$A,A336,$C:$C,C336)),0)</f>
        <v>0</v>
      </c>
    </row>
    <row r="337" customFormat="false" ht="15" hidden="false" customHeight="true" outlineLevel="0" collapsed="false">
      <c r="A337" s="45" t="s">
        <v>1659</v>
      </c>
      <c r="B337" s="42" t="str">
        <f aca="false">IF(A337="100","HK",IF(A337="200","CN",IF(A337="300","TW","홀세일")))</f>
        <v>HK</v>
      </c>
      <c r="C337" s="45" t="s">
        <v>250</v>
      </c>
      <c r="D337" s="46" t="n">
        <v>550</v>
      </c>
      <c r="E337" s="46" t="n">
        <v>89000</v>
      </c>
      <c r="F337" s="46" t="n">
        <v>22400</v>
      </c>
      <c r="G337" s="42" t="n">
        <v>3.63</v>
      </c>
      <c r="H337" s="42" t="n">
        <v>22.3</v>
      </c>
      <c r="J337" s="46" t="n">
        <f aca="false">IF(N(E337)&gt;0,E337,IF(N(F337)&gt;0,F337*요약!$F$27,0))</f>
        <v>89000</v>
      </c>
      <c r="K337" s="46" t="n">
        <f aca="false">IF(N(F337)&gt;0,F337,IF(N(E337)&gt;0,E337/요약!$F$27,0))</f>
        <v>22400</v>
      </c>
      <c r="L337" s="46" t="n">
        <f aca="false">IF(B337="CN",IF(N(I337)&gt;0,I337*요약!$G$27,K337*(1+요약!$E$27)),IF(N(H337)&gt;0,H337*요약!$G$27,J337*요약!$D$27))</f>
        <v>29436</v>
      </c>
      <c r="M337" s="46" t="n">
        <f aca="false">D337*J337</f>
        <v>48950000</v>
      </c>
      <c r="N337" s="46" t="n">
        <f aca="false">D337*K337</f>
        <v>12320000</v>
      </c>
      <c r="O337" s="46" t="n">
        <f aca="false">D337*L337</f>
        <v>16189800</v>
      </c>
      <c r="P337" s="42" t="str">
        <f aca="false">TRIM(IF(N(E337)&lt;=0,"택가보정 ","")&amp;IF(N(F337)&lt;=0,"원가보정 ","")&amp;IF(AND(B337&lt;&gt;"CN",N(H337)&lt;=0),"공급가보정 ","")&amp;IF(AND(B337="CN",N(I337)&lt;=0),"중국공급가=원가+마진 ",""))</f>
        <v/>
      </c>
      <c r="Q337" s="47" t="n">
        <f aca="false">IF(SUMIFS($W:$W,$A:$A,A337,$C:$C,C337)=0,0,SUMIFS(RAW_판매펀칭!$K:$K,RAW_판매펀칭!$P:$P,A337,RAW_판매펀칭!$I:$I,C337)*W337/SUMIFS($W:$W,$A:$A,A337,$C:$C,C337))</f>
        <v>550</v>
      </c>
      <c r="R337" s="47" t="n">
        <f aca="false">IF(OR(A337="500",A337="800",A337="810"),0,MAX(W337-Q337,0))</f>
        <v>0</v>
      </c>
      <c r="S337" s="47" t="n">
        <f aca="false">R337*L337</f>
        <v>0</v>
      </c>
      <c r="T337" s="47" t="n">
        <f aca="false">R337*J337</f>
        <v>0</v>
      </c>
      <c r="U337" s="47" t="n">
        <f aca="false">R337*K337</f>
        <v>0</v>
      </c>
      <c r="V337" s="0" t="str">
        <f aca="false">IF(COUNTIFS($A$2:A337,A337,$C$2:C337,C337,$D$2:D337,D337)&gt;1,"중복","")</f>
        <v/>
      </c>
      <c r="W337" s="0" t="n">
        <f aca="false">IF(V337="중복",0,N(D337))</f>
        <v>550</v>
      </c>
      <c r="X337" s="0" t="n">
        <f aca="false">IF(COUNTIFS($A$2:A337,A337,$C$2:C337,C337)=1,ABS(SUMIFS(RAW_발주!$D:$D,RAW_발주!$C:$C,A337,RAW_발주!$A:$A,C337)-SUMIFS($W:$W,$A:$A,A337,$C:$C,C337)),0)</f>
        <v>0</v>
      </c>
    </row>
    <row r="338" customFormat="false" ht="15" hidden="false" customHeight="true" outlineLevel="0" collapsed="false">
      <c r="A338" s="45" t="s">
        <v>1661</v>
      </c>
      <c r="B338" s="42" t="str">
        <f aca="false">IF(A338="100","HK",IF(A338="200","CN",IF(A338="300","TW","홀세일")))</f>
        <v>TW</v>
      </c>
      <c r="C338" s="45" t="s">
        <v>250</v>
      </c>
      <c r="D338" s="46" t="n">
        <v>1390</v>
      </c>
      <c r="E338" s="46" t="n">
        <v>89000</v>
      </c>
      <c r="F338" s="46" t="n">
        <v>22400</v>
      </c>
      <c r="G338" s="42" t="n">
        <v>3.63</v>
      </c>
      <c r="H338" s="42" t="n">
        <v>22.3</v>
      </c>
      <c r="J338" s="46" t="n">
        <f aca="false">IF(N(E338)&gt;0,E338,IF(N(F338)&gt;0,F338*요약!$F$27,0))</f>
        <v>89000</v>
      </c>
      <c r="K338" s="46" t="n">
        <f aca="false">IF(N(F338)&gt;0,F338,IF(N(E338)&gt;0,E338/요약!$F$27,0))</f>
        <v>22400</v>
      </c>
      <c r="L338" s="46" t="n">
        <f aca="false">IF(B338="CN",IF(N(I338)&gt;0,I338*요약!$G$27,K338*(1+요약!$E$27)),IF(N(H338)&gt;0,H338*요약!$G$27,J338*요약!$D$27))</f>
        <v>29436</v>
      </c>
      <c r="M338" s="46" t="n">
        <f aca="false">D338*J338</f>
        <v>123710000</v>
      </c>
      <c r="N338" s="46" t="n">
        <f aca="false">D338*K338</f>
        <v>31136000</v>
      </c>
      <c r="O338" s="46" t="n">
        <f aca="false">D338*L338</f>
        <v>40916040</v>
      </c>
      <c r="P338" s="42" t="str">
        <f aca="false">TRIM(IF(N(E338)&lt;=0,"택가보정 ","")&amp;IF(N(F338)&lt;=0,"원가보정 ","")&amp;IF(AND(B338&lt;&gt;"CN",N(H338)&lt;=0),"공급가보정 ","")&amp;IF(AND(B338="CN",N(I338)&lt;=0),"중국공급가=원가+마진 ",""))</f>
        <v/>
      </c>
      <c r="Q338" s="47" t="n">
        <f aca="false">IF(SUMIFS($W:$W,$A:$A,A338,$C:$C,C338)=0,0,SUMIFS(RAW_판매펀칭!$K:$K,RAW_판매펀칭!$P:$P,A338,RAW_판매펀칭!$I:$I,C338)*W338/SUMIFS($W:$W,$A:$A,A338,$C:$C,C338))</f>
        <v>1540</v>
      </c>
      <c r="R338" s="47" t="n">
        <f aca="false">IF(OR(A338="500",A338="800",A338="810"),0,MAX(W338-Q338,0))</f>
        <v>0</v>
      </c>
      <c r="S338" s="47" t="n">
        <f aca="false">R338*L338</f>
        <v>0</v>
      </c>
      <c r="T338" s="47" t="n">
        <f aca="false">R338*J338</f>
        <v>0</v>
      </c>
      <c r="U338" s="47" t="n">
        <f aca="false">R338*K338</f>
        <v>0</v>
      </c>
      <c r="V338" s="0" t="str">
        <f aca="false">IF(COUNTIFS($A$2:A338,A338,$C$2:C338,C338,$D$2:D338,D338)&gt;1,"중복","")</f>
        <v/>
      </c>
      <c r="W338" s="0" t="n">
        <f aca="false">IF(V338="중복",0,N(D338))</f>
        <v>1390</v>
      </c>
      <c r="X338" s="0" t="n">
        <f aca="false">IF(COUNTIFS($A$2:A338,A338,$C$2:C338,C338)=1,ABS(SUMIFS(RAW_발주!$D:$D,RAW_발주!$C:$C,A338,RAW_발주!$A:$A,C338)-SUMIFS($W:$W,$A:$A,A338,$C:$C,C338)),0)</f>
        <v>0</v>
      </c>
    </row>
    <row r="339" customFormat="false" ht="15" hidden="false" customHeight="true" outlineLevel="0" collapsed="false">
      <c r="A339" s="45" t="s">
        <v>1663</v>
      </c>
      <c r="B339" s="42" t="str">
        <f aca="false">IF(A339="100","HK",IF(A339="200","CN",IF(A339="300","TW","홀세일")))</f>
        <v>홀세일</v>
      </c>
      <c r="C339" s="45" t="s">
        <v>250</v>
      </c>
      <c r="D339" s="46" t="n">
        <v>85</v>
      </c>
      <c r="E339" s="46" t="n">
        <v>89000</v>
      </c>
      <c r="F339" s="46" t="n">
        <v>22400</v>
      </c>
      <c r="G339" s="42" t="n">
        <v>3.63</v>
      </c>
      <c r="H339" s="42" t="n">
        <v>22.3</v>
      </c>
      <c r="J339" s="46" t="n">
        <f aca="false">IF(N(E339)&gt;0,E339,IF(N(F339)&gt;0,F339*요약!$F$27,0))</f>
        <v>89000</v>
      </c>
      <c r="K339" s="46" t="n">
        <f aca="false">IF(N(F339)&gt;0,F339,IF(N(E339)&gt;0,E339/요약!$F$27,0))</f>
        <v>22400</v>
      </c>
      <c r="L339" s="46" t="n">
        <f aca="false">IF(B339="CN",IF(N(I339)&gt;0,I339*요약!$G$27,K339*(1+요약!$E$27)),IF(N(H339)&gt;0,H339*요약!$G$27,J339*요약!$D$27))</f>
        <v>29436</v>
      </c>
      <c r="M339" s="46" t="n">
        <f aca="false">D339*J339</f>
        <v>7565000</v>
      </c>
      <c r="N339" s="46" t="n">
        <f aca="false">D339*K339</f>
        <v>1904000</v>
      </c>
      <c r="O339" s="46" t="n">
        <f aca="false">D339*L339</f>
        <v>2502060</v>
      </c>
      <c r="P339" s="42" t="str">
        <f aca="false">TRIM(IF(N(E339)&lt;=0,"택가보정 ","")&amp;IF(N(F339)&lt;=0,"원가보정 ","")&amp;IF(AND(B339&lt;&gt;"CN",N(H339)&lt;=0),"공급가보정 ","")&amp;IF(AND(B339="CN",N(I339)&lt;=0),"중국공급가=원가+마진 ",""))</f>
        <v/>
      </c>
      <c r="Q339" s="47" t="n">
        <f aca="false">IF(SUMIFS($W:$W,$A:$A,A339,$C:$C,C339)=0,0,SUMIFS(RAW_판매펀칭!$K:$K,RAW_판매펀칭!$P:$P,A339,RAW_판매펀칭!$I:$I,C339)*W339/SUMIFS($W:$W,$A:$A,A339,$C:$C,C339))</f>
        <v>85</v>
      </c>
      <c r="R339" s="47" t="n">
        <f aca="false">IF(OR(A339="500",A339="800",A339="810"),0,MAX(W339-Q339,0))</f>
        <v>0</v>
      </c>
      <c r="S339" s="47" t="n">
        <f aca="false">R339*L339</f>
        <v>0</v>
      </c>
      <c r="T339" s="47" t="n">
        <f aca="false">R339*J339</f>
        <v>0</v>
      </c>
      <c r="U339" s="47" t="n">
        <f aca="false">R339*K339</f>
        <v>0</v>
      </c>
      <c r="V339" s="0" t="str">
        <f aca="false">IF(COUNTIFS($A$2:A339,A339,$C$2:C339,C339,$D$2:D339,D339)&gt;1,"중복","")</f>
        <v/>
      </c>
      <c r="W339" s="0" t="n">
        <f aca="false">IF(V339="중복",0,N(D339))</f>
        <v>85</v>
      </c>
      <c r="X339" s="0" t="n">
        <f aca="false">IF(COUNTIFS($A$2:A339,A339,$C$2:C339,C339)=1,ABS(SUMIFS(RAW_발주!$D:$D,RAW_발주!$C:$C,A339,RAW_발주!$A:$A,C339)-SUMIFS($W:$W,$A:$A,A339,$C:$C,C339)),0)</f>
        <v>0</v>
      </c>
    </row>
    <row r="340" customFormat="false" ht="15" hidden="false" customHeight="true" outlineLevel="0" collapsed="false">
      <c r="A340" s="45" t="s">
        <v>1664</v>
      </c>
      <c r="B340" s="42" t="str">
        <f aca="false">IF(A340="100","HK",IF(A340="200","CN",IF(A340="300","TW","홀세일")))</f>
        <v>홀세일</v>
      </c>
      <c r="C340" s="45" t="s">
        <v>250</v>
      </c>
      <c r="D340" s="46" t="n">
        <v>115</v>
      </c>
      <c r="E340" s="46" t="n">
        <v>89000</v>
      </c>
      <c r="F340" s="46" t="n">
        <v>22400</v>
      </c>
      <c r="G340" s="42" t="n">
        <v>3.63</v>
      </c>
      <c r="H340" s="42" t="n">
        <v>22.3</v>
      </c>
      <c r="J340" s="46" t="n">
        <f aca="false">IF(N(E340)&gt;0,E340,IF(N(F340)&gt;0,F340*요약!$F$27,0))</f>
        <v>89000</v>
      </c>
      <c r="K340" s="46" t="n">
        <f aca="false">IF(N(F340)&gt;0,F340,IF(N(E340)&gt;0,E340/요약!$F$27,0))</f>
        <v>22400</v>
      </c>
      <c r="L340" s="46" t="n">
        <f aca="false">IF(B340="CN",IF(N(I340)&gt;0,I340*요약!$G$27,K340*(1+요약!$E$27)),IF(N(H340)&gt;0,H340*요약!$G$27,J340*요약!$D$27))</f>
        <v>29436</v>
      </c>
      <c r="M340" s="46" t="n">
        <f aca="false">D340*J340</f>
        <v>10235000</v>
      </c>
      <c r="N340" s="46" t="n">
        <f aca="false">D340*K340</f>
        <v>2576000</v>
      </c>
      <c r="O340" s="46" t="n">
        <f aca="false">D340*L340</f>
        <v>3385140</v>
      </c>
      <c r="P340" s="42" t="str">
        <f aca="false">TRIM(IF(N(E340)&lt;=0,"택가보정 ","")&amp;IF(N(F340)&lt;=0,"원가보정 ","")&amp;IF(AND(B340&lt;&gt;"CN",N(H340)&lt;=0),"공급가보정 ","")&amp;IF(AND(B340="CN",N(I340)&lt;=0),"중국공급가=원가+마진 ",""))</f>
        <v/>
      </c>
      <c r="Q340" s="47" t="n">
        <f aca="false">IF(SUMIFS($W:$W,$A:$A,A340,$C:$C,C340)=0,0,SUMIFS(RAW_판매펀칭!$K:$K,RAW_판매펀칭!$P:$P,A340,RAW_판매펀칭!$I:$I,C340)*W340/SUMIFS($W:$W,$A:$A,A340,$C:$C,C340))</f>
        <v>0</v>
      </c>
      <c r="R340" s="47" t="n">
        <f aca="false">IF(OR(A340="500",A340="800",A340="810"),0,MAX(W340-Q340,0))</f>
        <v>0</v>
      </c>
      <c r="S340" s="47" t="n">
        <f aca="false">R340*L340</f>
        <v>0</v>
      </c>
      <c r="T340" s="47" t="n">
        <f aca="false">R340*J340</f>
        <v>0</v>
      </c>
      <c r="U340" s="47" t="n">
        <f aca="false">R340*K340</f>
        <v>0</v>
      </c>
      <c r="V340" s="0" t="str">
        <f aca="false">IF(COUNTIFS($A$2:A340,A340,$C$2:C340,C340,$D$2:D340,D340)&gt;1,"중복","")</f>
        <v/>
      </c>
      <c r="W340" s="0" t="n">
        <f aca="false">IF(V340="중복",0,N(D340))</f>
        <v>115</v>
      </c>
      <c r="X340" s="0" t="n">
        <f aca="false">IF(COUNTIFS($A$2:A340,A340,$C$2:C340,C340)=1,ABS(SUMIFS(RAW_발주!$D:$D,RAW_발주!$C:$C,A340,RAW_발주!$A:$A,C340)-SUMIFS($W:$W,$A:$A,A340,$C:$C,C340)),0)</f>
        <v>0</v>
      </c>
    </row>
    <row r="341" customFormat="false" ht="15" hidden="false" customHeight="true" outlineLevel="0" collapsed="false">
      <c r="A341" s="45" t="s">
        <v>1665</v>
      </c>
      <c r="B341" s="42" t="str">
        <f aca="false">IF(A341="100","HK",IF(A341="200","CN",IF(A341="300","TW","홀세일")))</f>
        <v>홀세일</v>
      </c>
      <c r="C341" s="45" t="s">
        <v>250</v>
      </c>
      <c r="D341" s="46" t="n">
        <v>228</v>
      </c>
      <c r="E341" s="46" t="n">
        <v>89000</v>
      </c>
      <c r="F341" s="46" t="n">
        <v>22400</v>
      </c>
      <c r="G341" s="42" t="n">
        <v>3.63</v>
      </c>
      <c r="H341" s="42" t="n">
        <v>22.3</v>
      </c>
      <c r="J341" s="46" t="n">
        <f aca="false">IF(N(E341)&gt;0,E341,IF(N(F341)&gt;0,F341*요약!$F$27,0))</f>
        <v>89000</v>
      </c>
      <c r="K341" s="46" t="n">
        <f aca="false">IF(N(F341)&gt;0,F341,IF(N(E341)&gt;0,E341/요약!$F$27,0))</f>
        <v>22400</v>
      </c>
      <c r="L341" s="46" t="n">
        <f aca="false">IF(B341="CN",IF(N(I341)&gt;0,I341*요약!$G$27,K341*(1+요약!$E$27)),IF(N(H341)&gt;0,H341*요약!$G$27,J341*요약!$D$27))</f>
        <v>29436</v>
      </c>
      <c r="M341" s="46" t="n">
        <f aca="false">D341*J341</f>
        <v>20292000</v>
      </c>
      <c r="N341" s="46" t="n">
        <f aca="false">D341*K341</f>
        <v>5107200</v>
      </c>
      <c r="O341" s="46" t="n">
        <f aca="false">D341*L341</f>
        <v>6711408</v>
      </c>
      <c r="P341" s="42" t="str">
        <f aca="false">TRIM(IF(N(E341)&lt;=0,"택가보정 ","")&amp;IF(N(F341)&lt;=0,"원가보정 ","")&amp;IF(AND(B341&lt;&gt;"CN",N(H341)&lt;=0),"공급가보정 ","")&amp;IF(AND(B341="CN",N(I341)&lt;=0),"중국공급가=원가+마진 ",""))</f>
        <v/>
      </c>
      <c r="Q341" s="47" t="n">
        <f aca="false">IF(SUMIFS($W:$W,$A:$A,A341,$C:$C,C341)=0,0,SUMIFS(RAW_판매펀칭!$K:$K,RAW_판매펀칭!$P:$P,A341,RAW_판매펀칭!$I:$I,C341)*W341/SUMIFS($W:$W,$A:$A,A341,$C:$C,C341))</f>
        <v>228</v>
      </c>
      <c r="R341" s="47" t="n">
        <f aca="false">IF(OR(A341="500",A341="800",A341="810"),0,MAX(W341-Q341,0))</f>
        <v>0</v>
      </c>
      <c r="S341" s="47" t="n">
        <f aca="false">R341*L341</f>
        <v>0</v>
      </c>
      <c r="T341" s="47" t="n">
        <f aca="false">R341*J341</f>
        <v>0</v>
      </c>
      <c r="U341" s="47" t="n">
        <f aca="false">R341*K341</f>
        <v>0</v>
      </c>
      <c r="V341" s="0" t="str">
        <f aca="false">IF(COUNTIFS($A$2:A341,A341,$C$2:C341,C341,$D$2:D341,D341)&gt;1,"중복","")</f>
        <v/>
      </c>
      <c r="W341" s="0" t="n">
        <f aca="false">IF(V341="중복",0,N(D341))</f>
        <v>228</v>
      </c>
      <c r="X341" s="0" t="n">
        <f aca="false">IF(COUNTIFS($A$2:A341,A341,$C$2:C341,C341)=1,ABS(SUMIFS(RAW_발주!$D:$D,RAW_발주!$C:$C,A341,RAW_발주!$A:$A,C341)-SUMIFS($W:$W,$A:$A,A341,$C:$C,C341)),0)</f>
        <v>0</v>
      </c>
    </row>
    <row r="342" customFormat="false" ht="15" hidden="false" customHeight="true" outlineLevel="0" collapsed="false">
      <c r="A342" s="45" t="s">
        <v>1659</v>
      </c>
      <c r="B342" s="42" t="str">
        <f aca="false">IF(A342="100","HK",IF(A342="200","CN",IF(A342="300","TW","홀세일")))</f>
        <v>HK</v>
      </c>
      <c r="C342" s="45" t="s">
        <v>252</v>
      </c>
      <c r="D342" s="46" t="n">
        <v>340</v>
      </c>
      <c r="E342" s="46" t="n">
        <v>79000</v>
      </c>
      <c r="F342" s="46" t="n">
        <v>16600</v>
      </c>
      <c r="G342" s="42" t="n">
        <v>3.72</v>
      </c>
      <c r="H342" s="42" t="n">
        <v>19.8</v>
      </c>
      <c r="J342" s="46" t="n">
        <f aca="false">IF(N(E342)&gt;0,E342,IF(N(F342)&gt;0,F342*요약!$F$27,0))</f>
        <v>79000</v>
      </c>
      <c r="K342" s="46" t="n">
        <f aca="false">IF(N(F342)&gt;0,F342,IF(N(E342)&gt;0,E342/요약!$F$27,0))</f>
        <v>16600</v>
      </c>
      <c r="L342" s="46" t="n">
        <f aca="false">IF(B342="CN",IF(N(I342)&gt;0,I342*요약!$G$27,K342*(1+요약!$E$27)),IF(N(H342)&gt;0,H342*요약!$G$27,J342*요약!$D$27))</f>
        <v>26136</v>
      </c>
      <c r="M342" s="46" t="n">
        <f aca="false">D342*J342</f>
        <v>26860000</v>
      </c>
      <c r="N342" s="46" t="n">
        <f aca="false">D342*K342</f>
        <v>5644000</v>
      </c>
      <c r="O342" s="46" t="n">
        <f aca="false">D342*L342</f>
        <v>8886240</v>
      </c>
      <c r="P342" s="42" t="str">
        <f aca="false">TRIM(IF(N(E342)&lt;=0,"택가보정 ","")&amp;IF(N(F342)&lt;=0,"원가보정 ","")&amp;IF(AND(B342&lt;&gt;"CN",N(H342)&lt;=0),"공급가보정 ","")&amp;IF(AND(B342="CN",N(I342)&lt;=0),"중국공급가=원가+마진 ",""))</f>
        <v/>
      </c>
      <c r="Q342" s="47" t="n">
        <f aca="false">IF(SUMIFS($W:$W,$A:$A,A342,$C:$C,C342)=0,0,SUMIFS(RAW_판매펀칭!$K:$K,RAW_판매펀칭!$P:$P,A342,RAW_판매펀칭!$I:$I,C342)*W342/SUMIFS($W:$W,$A:$A,A342,$C:$C,C342))</f>
        <v>340</v>
      </c>
      <c r="R342" s="47" t="n">
        <f aca="false">IF(OR(A342="500",A342="800",A342="810"),0,MAX(W342-Q342,0))</f>
        <v>0</v>
      </c>
      <c r="S342" s="47" t="n">
        <f aca="false">R342*L342</f>
        <v>0</v>
      </c>
      <c r="T342" s="47" t="n">
        <f aca="false">R342*J342</f>
        <v>0</v>
      </c>
      <c r="U342" s="47" t="n">
        <f aca="false">R342*K342</f>
        <v>0</v>
      </c>
      <c r="V342" s="0" t="str">
        <f aca="false">IF(COUNTIFS($A$2:A342,A342,$C$2:C342,C342,$D$2:D342,D342)&gt;1,"중복","")</f>
        <v/>
      </c>
      <c r="W342" s="0" t="n">
        <f aca="false">IF(V342="중복",0,N(D342))</f>
        <v>340</v>
      </c>
      <c r="X342" s="0" t="n">
        <f aca="false">IF(COUNTIFS($A$2:A342,A342,$C$2:C342,C342)=1,ABS(SUMIFS(RAW_발주!$D:$D,RAW_발주!$C:$C,A342,RAW_발주!$A:$A,C342)-SUMIFS($W:$W,$A:$A,A342,$C:$C,C342)),0)</f>
        <v>0</v>
      </c>
    </row>
    <row r="343" customFormat="false" ht="15" hidden="false" customHeight="true" outlineLevel="0" collapsed="false">
      <c r="A343" s="45" t="s">
        <v>1661</v>
      </c>
      <c r="B343" s="42" t="str">
        <f aca="false">IF(A343="100","HK",IF(A343="200","CN",IF(A343="300","TW","홀세일")))</f>
        <v>TW</v>
      </c>
      <c r="C343" s="45" t="s">
        <v>252</v>
      </c>
      <c r="D343" s="46" t="n">
        <v>350</v>
      </c>
      <c r="E343" s="46" t="n">
        <v>79000</v>
      </c>
      <c r="F343" s="46" t="n">
        <v>16600</v>
      </c>
      <c r="G343" s="42" t="n">
        <v>3.72</v>
      </c>
      <c r="H343" s="42" t="n">
        <v>19.8</v>
      </c>
      <c r="J343" s="46" t="n">
        <f aca="false">IF(N(E343)&gt;0,E343,IF(N(F343)&gt;0,F343*요약!$F$27,0))</f>
        <v>79000</v>
      </c>
      <c r="K343" s="46" t="n">
        <f aca="false">IF(N(F343)&gt;0,F343,IF(N(E343)&gt;0,E343/요약!$F$27,0))</f>
        <v>16600</v>
      </c>
      <c r="L343" s="46" t="n">
        <f aca="false">IF(B343="CN",IF(N(I343)&gt;0,I343*요약!$G$27,K343*(1+요약!$E$27)),IF(N(H343)&gt;0,H343*요약!$G$27,J343*요약!$D$27))</f>
        <v>26136</v>
      </c>
      <c r="M343" s="46" t="n">
        <f aca="false">D343*J343</f>
        <v>27650000</v>
      </c>
      <c r="N343" s="46" t="n">
        <f aca="false">D343*K343</f>
        <v>5810000</v>
      </c>
      <c r="O343" s="46" t="n">
        <f aca="false">D343*L343</f>
        <v>9147600</v>
      </c>
      <c r="P343" s="42" t="str">
        <f aca="false">TRIM(IF(N(E343)&lt;=0,"택가보정 ","")&amp;IF(N(F343)&lt;=0,"원가보정 ","")&amp;IF(AND(B343&lt;&gt;"CN",N(H343)&lt;=0),"공급가보정 ","")&amp;IF(AND(B343="CN",N(I343)&lt;=0),"중국공급가=원가+마진 ",""))</f>
        <v/>
      </c>
      <c r="Q343" s="47" t="n">
        <f aca="false">IF(SUMIFS($W:$W,$A:$A,A343,$C:$C,C343)=0,0,SUMIFS(RAW_판매펀칭!$K:$K,RAW_판매펀칭!$P:$P,A343,RAW_판매펀칭!$I:$I,C343)*W343/SUMIFS($W:$W,$A:$A,A343,$C:$C,C343))</f>
        <v>350</v>
      </c>
      <c r="R343" s="47" t="n">
        <f aca="false">IF(OR(A343="500",A343="800",A343="810"),0,MAX(W343-Q343,0))</f>
        <v>0</v>
      </c>
      <c r="S343" s="47" t="n">
        <f aca="false">R343*L343</f>
        <v>0</v>
      </c>
      <c r="T343" s="47" t="n">
        <f aca="false">R343*J343</f>
        <v>0</v>
      </c>
      <c r="U343" s="47" t="n">
        <f aca="false">R343*K343</f>
        <v>0</v>
      </c>
      <c r="V343" s="0" t="str">
        <f aca="false">IF(COUNTIFS($A$2:A343,A343,$C$2:C343,C343,$D$2:D343,D343)&gt;1,"중복","")</f>
        <v/>
      </c>
      <c r="W343" s="0" t="n">
        <f aca="false">IF(V343="중복",0,N(D343))</f>
        <v>350</v>
      </c>
      <c r="X343" s="0" t="n">
        <f aca="false">IF(COUNTIFS($A$2:A343,A343,$C$2:C343,C343)=1,ABS(SUMIFS(RAW_발주!$D:$D,RAW_발주!$C:$C,A343,RAW_발주!$A:$A,C343)-SUMIFS($W:$W,$A:$A,A343,$C:$C,C343)),0)</f>
        <v>0</v>
      </c>
    </row>
    <row r="344" customFormat="false" ht="15" hidden="false" customHeight="true" outlineLevel="0" collapsed="false">
      <c r="A344" s="45" t="s">
        <v>1663</v>
      </c>
      <c r="B344" s="42" t="str">
        <f aca="false">IF(A344="100","HK",IF(A344="200","CN",IF(A344="300","TW","홀세일")))</f>
        <v>홀세일</v>
      </c>
      <c r="C344" s="45" t="s">
        <v>252</v>
      </c>
      <c r="D344" s="46" t="n">
        <v>45</v>
      </c>
      <c r="E344" s="46" t="n">
        <v>79000</v>
      </c>
      <c r="F344" s="46" t="n">
        <v>16600</v>
      </c>
      <c r="G344" s="42" t="n">
        <v>3.72</v>
      </c>
      <c r="H344" s="42" t="n">
        <v>19.8</v>
      </c>
      <c r="J344" s="46" t="n">
        <f aca="false">IF(N(E344)&gt;0,E344,IF(N(F344)&gt;0,F344*요약!$F$27,0))</f>
        <v>79000</v>
      </c>
      <c r="K344" s="46" t="n">
        <f aca="false">IF(N(F344)&gt;0,F344,IF(N(E344)&gt;0,E344/요약!$F$27,0))</f>
        <v>16600</v>
      </c>
      <c r="L344" s="46" t="n">
        <f aca="false">IF(B344="CN",IF(N(I344)&gt;0,I344*요약!$G$27,K344*(1+요약!$E$27)),IF(N(H344)&gt;0,H344*요약!$G$27,J344*요약!$D$27))</f>
        <v>26136</v>
      </c>
      <c r="M344" s="46" t="n">
        <f aca="false">D344*J344</f>
        <v>3555000</v>
      </c>
      <c r="N344" s="46" t="n">
        <f aca="false">D344*K344</f>
        <v>747000</v>
      </c>
      <c r="O344" s="46" t="n">
        <f aca="false">D344*L344</f>
        <v>1176120</v>
      </c>
      <c r="P344" s="42" t="str">
        <f aca="false">TRIM(IF(N(E344)&lt;=0,"택가보정 ","")&amp;IF(N(F344)&lt;=0,"원가보정 ","")&amp;IF(AND(B344&lt;&gt;"CN",N(H344)&lt;=0),"공급가보정 ","")&amp;IF(AND(B344="CN",N(I344)&lt;=0),"중국공급가=원가+마진 ",""))</f>
        <v/>
      </c>
      <c r="Q344" s="47" t="n">
        <f aca="false">IF(SUMIFS($W:$W,$A:$A,A344,$C:$C,C344)=0,0,SUMIFS(RAW_판매펀칭!$K:$K,RAW_판매펀칭!$P:$P,A344,RAW_판매펀칭!$I:$I,C344)*W344/SUMIFS($W:$W,$A:$A,A344,$C:$C,C344))</f>
        <v>45</v>
      </c>
      <c r="R344" s="47" t="n">
        <f aca="false">IF(OR(A344="500",A344="800",A344="810"),0,MAX(W344-Q344,0))</f>
        <v>0</v>
      </c>
      <c r="S344" s="47" t="n">
        <f aca="false">R344*L344</f>
        <v>0</v>
      </c>
      <c r="T344" s="47" t="n">
        <f aca="false">R344*J344</f>
        <v>0</v>
      </c>
      <c r="U344" s="47" t="n">
        <f aca="false">R344*K344</f>
        <v>0</v>
      </c>
      <c r="V344" s="0" t="str">
        <f aca="false">IF(COUNTIFS($A$2:A344,A344,$C$2:C344,C344,$D$2:D344,D344)&gt;1,"중복","")</f>
        <v/>
      </c>
      <c r="W344" s="0" t="n">
        <f aca="false">IF(V344="중복",0,N(D344))</f>
        <v>45</v>
      </c>
      <c r="X344" s="0" t="n">
        <f aca="false">IF(COUNTIFS($A$2:A344,A344,$C$2:C344,C344)=1,ABS(SUMIFS(RAW_발주!$D:$D,RAW_발주!$C:$C,A344,RAW_발주!$A:$A,C344)-SUMIFS($W:$W,$A:$A,A344,$C:$C,C344)),0)</f>
        <v>0</v>
      </c>
    </row>
    <row r="345" customFormat="false" ht="15" hidden="false" customHeight="true" outlineLevel="0" collapsed="false">
      <c r="A345" s="45" t="s">
        <v>1659</v>
      </c>
      <c r="B345" s="42" t="str">
        <f aca="false">IF(A345="100","HK",IF(A345="200","CN",IF(A345="300","TW","홀세일")))</f>
        <v>HK</v>
      </c>
      <c r="C345" s="45" t="s">
        <v>254</v>
      </c>
      <c r="D345" s="46" t="n">
        <v>510</v>
      </c>
      <c r="E345" s="46" t="n">
        <v>79000</v>
      </c>
      <c r="F345" s="46" t="n">
        <v>17400</v>
      </c>
      <c r="G345" s="42" t="n">
        <v>3.72</v>
      </c>
      <c r="H345" s="42" t="n">
        <v>19.8</v>
      </c>
      <c r="J345" s="46" t="n">
        <f aca="false">IF(N(E345)&gt;0,E345,IF(N(F345)&gt;0,F345*요약!$F$27,0))</f>
        <v>79000</v>
      </c>
      <c r="K345" s="46" t="n">
        <f aca="false">IF(N(F345)&gt;0,F345,IF(N(E345)&gt;0,E345/요약!$F$27,0))</f>
        <v>17400</v>
      </c>
      <c r="L345" s="46" t="n">
        <f aca="false">IF(B345="CN",IF(N(I345)&gt;0,I345*요약!$G$27,K345*(1+요약!$E$27)),IF(N(H345)&gt;0,H345*요약!$G$27,J345*요약!$D$27))</f>
        <v>26136</v>
      </c>
      <c r="M345" s="46" t="n">
        <f aca="false">D345*J345</f>
        <v>40290000</v>
      </c>
      <c r="N345" s="46" t="n">
        <f aca="false">D345*K345</f>
        <v>8874000</v>
      </c>
      <c r="O345" s="46" t="n">
        <f aca="false">D345*L345</f>
        <v>13329360</v>
      </c>
      <c r="P345" s="42" t="str">
        <f aca="false">TRIM(IF(N(E345)&lt;=0,"택가보정 ","")&amp;IF(N(F345)&lt;=0,"원가보정 ","")&amp;IF(AND(B345&lt;&gt;"CN",N(H345)&lt;=0),"공급가보정 ","")&amp;IF(AND(B345="CN",N(I345)&lt;=0),"중국공급가=원가+마진 ",""))</f>
        <v/>
      </c>
      <c r="Q345" s="47" t="n">
        <f aca="false">IF(SUMIFS($W:$W,$A:$A,A345,$C:$C,C345)=0,0,SUMIFS(RAW_판매펀칭!$K:$K,RAW_판매펀칭!$P:$P,A345,RAW_판매펀칭!$I:$I,C345)*W345/SUMIFS($W:$W,$A:$A,A345,$C:$C,C345))</f>
        <v>510</v>
      </c>
      <c r="R345" s="47" t="n">
        <f aca="false">IF(OR(A345="500",A345="800",A345="810"),0,MAX(W345-Q345,0))</f>
        <v>0</v>
      </c>
      <c r="S345" s="47" t="n">
        <f aca="false">R345*L345</f>
        <v>0</v>
      </c>
      <c r="T345" s="47" t="n">
        <f aca="false">R345*J345</f>
        <v>0</v>
      </c>
      <c r="U345" s="47" t="n">
        <f aca="false">R345*K345</f>
        <v>0</v>
      </c>
      <c r="V345" s="0" t="str">
        <f aca="false">IF(COUNTIFS($A$2:A345,A345,$C$2:C345,C345,$D$2:D345,D345)&gt;1,"중복","")</f>
        <v/>
      </c>
      <c r="W345" s="0" t="n">
        <f aca="false">IF(V345="중복",0,N(D345))</f>
        <v>510</v>
      </c>
      <c r="X345" s="0" t="n">
        <f aca="false">IF(COUNTIFS($A$2:A345,A345,$C$2:C345,C345)=1,ABS(SUMIFS(RAW_발주!$D:$D,RAW_발주!$C:$C,A345,RAW_발주!$A:$A,C345)-SUMIFS($W:$W,$A:$A,A345,$C:$C,C345)),0)</f>
        <v>0</v>
      </c>
    </row>
    <row r="346" customFormat="false" ht="15" hidden="false" customHeight="true" outlineLevel="0" collapsed="false">
      <c r="A346" s="45" t="s">
        <v>1661</v>
      </c>
      <c r="B346" s="42" t="str">
        <f aca="false">IF(A346="100","HK",IF(A346="200","CN",IF(A346="300","TW","홀세일")))</f>
        <v>TW</v>
      </c>
      <c r="C346" s="45" t="s">
        <v>254</v>
      </c>
      <c r="D346" s="46" t="n">
        <v>400</v>
      </c>
      <c r="E346" s="46" t="n">
        <v>79000</v>
      </c>
      <c r="F346" s="46" t="n">
        <v>17400</v>
      </c>
      <c r="G346" s="42" t="n">
        <v>3.72</v>
      </c>
      <c r="H346" s="42" t="n">
        <v>19.8</v>
      </c>
      <c r="J346" s="46" t="n">
        <f aca="false">IF(N(E346)&gt;0,E346,IF(N(F346)&gt;0,F346*요약!$F$27,0))</f>
        <v>79000</v>
      </c>
      <c r="K346" s="46" t="n">
        <f aca="false">IF(N(F346)&gt;0,F346,IF(N(E346)&gt;0,E346/요약!$F$27,0))</f>
        <v>17400</v>
      </c>
      <c r="L346" s="46" t="n">
        <f aca="false">IF(B346="CN",IF(N(I346)&gt;0,I346*요약!$G$27,K346*(1+요약!$E$27)),IF(N(H346)&gt;0,H346*요약!$G$27,J346*요약!$D$27))</f>
        <v>26136</v>
      </c>
      <c r="M346" s="46" t="n">
        <f aca="false">D346*J346</f>
        <v>31600000</v>
      </c>
      <c r="N346" s="46" t="n">
        <f aca="false">D346*K346</f>
        <v>6960000</v>
      </c>
      <c r="O346" s="46" t="n">
        <f aca="false">D346*L346</f>
        <v>10454400</v>
      </c>
      <c r="P346" s="42" t="str">
        <f aca="false">TRIM(IF(N(E346)&lt;=0,"택가보정 ","")&amp;IF(N(F346)&lt;=0,"원가보정 ","")&amp;IF(AND(B346&lt;&gt;"CN",N(H346)&lt;=0),"공급가보정 ","")&amp;IF(AND(B346="CN",N(I346)&lt;=0),"중국공급가=원가+마진 ",""))</f>
        <v/>
      </c>
      <c r="Q346" s="47" t="n">
        <f aca="false">IF(SUMIFS($W:$W,$A:$A,A346,$C:$C,C346)=0,0,SUMIFS(RAW_판매펀칭!$K:$K,RAW_판매펀칭!$P:$P,A346,RAW_판매펀칭!$I:$I,C346)*W346/SUMIFS($W:$W,$A:$A,A346,$C:$C,C346))</f>
        <v>400</v>
      </c>
      <c r="R346" s="47" t="n">
        <f aca="false">IF(OR(A346="500",A346="800",A346="810"),0,MAX(W346-Q346,0))</f>
        <v>0</v>
      </c>
      <c r="S346" s="47" t="n">
        <f aca="false">R346*L346</f>
        <v>0</v>
      </c>
      <c r="T346" s="47" t="n">
        <f aca="false">R346*J346</f>
        <v>0</v>
      </c>
      <c r="U346" s="47" t="n">
        <f aca="false">R346*K346</f>
        <v>0</v>
      </c>
      <c r="V346" s="0" t="str">
        <f aca="false">IF(COUNTIFS($A$2:A346,A346,$C$2:C346,C346,$D$2:D346,D346)&gt;1,"중복","")</f>
        <v/>
      </c>
      <c r="W346" s="0" t="n">
        <f aca="false">IF(V346="중복",0,N(D346))</f>
        <v>400</v>
      </c>
      <c r="X346" s="0" t="n">
        <f aca="false">IF(COUNTIFS($A$2:A346,A346,$C$2:C346,C346)=1,ABS(SUMIFS(RAW_발주!$D:$D,RAW_발주!$C:$C,A346,RAW_발주!$A:$A,C346)-SUMIFS($W:$W,$A:$A,A346,$C:$C,C346)),0)</f>
        <v>0</v>
      </c>
    </row>
    <row r="347" customFormat="false" ht="15" hidden="false" customHeight="true" outlineLevel="0" collapsed="false">
      <c r="A347" s="45" t="s">
        <v>1663</v>
      </c>
      <c r="B347" s="42" t="str">
        <f aca="false">IF(A347="100","HK",IF(A347="200","CN",IF(A347="300","TW","홀세일")))</f>
        <v>홀세일</v>
      </c>
      <c r="C347" s="45" t="s">
        <v>254</v>
      </c>
      <c r="D347" s="46" t="n">
        <v>105</v>
      </c>
      <c r="E347" s="46" t="n">
        <v>79000</v>
      </c>
      <c r="F347" s="46" t="n">
        <v>17400</v>
      </c>
      <c r="G347" s="42" t="n">
        <v>3.72</v>
      </c>
      <c r="H347" s="42" t="n">
        <v>19.8</v>
      </c>
      <c r="J347" s="46" t="n">
        <f aca="false">IF(N(E347)&gt;0,E347,IF(N(F347)&gt;0,F347*요약!$F$27,0))</f>
        <v>79000</v>
      </c>
      <c r="K347" s="46" t="n">
        <f aca="false">IF(N(F347)&gt;0,F347,IF(N(E347)&gt;0,E347/요약!$F$27,0))</f>
        <v>17400</v>
      </c>
      <c r="L347" s="46" t="n">
        <f aca="false">IF(B347="CN",IF(N(I347)&gt;0,I347*요약!$G$27,K347*(1+요약!$E$27)),IF(N(H347)&gt;0,H347*요약!$G$27,J347*요약!$D$27))</f>
        <v>26136</v>
      </c>
      <c r="M347" s="46" t="n">
        <f aca="false">D347*J347</f>
        <v>8295000</v>
      </c>
      <c r="N347" s="46" t="n">
        <f aca="false">D347*K347</f>
        <v>1827000</v>
      </c>
      <c r="O347" s="46" t="n">
        <f aca="false">D347*L347</f>
        <v>2744280</v>
      </c>
      <c r="P347" s="42" t="str">
        <f aca="false">TRIM(IF(N(E347)&lt;=0,"택가보정 ","")&amp;IF(N(F347)&lt;=0,"원가보정 ","")&amp;IF(AND(B347&lt;&gt;"CN",N(H347)&lt;=0),"공급가보정 ","")&amp;IF(AND(B347="CN",N(I347)&lt;=0),"중국공급가=원가+마진 ",""))</f>
        <v/>
      </c>
      <c r="Q347" s="47" t="n">
        <f aca="false">IF(SUMIFS($W:$W,$A:$A,A347,$C:$C,C347)=0,0,SUMIFS(RAW_판매펀칭!$K:$K,RAW_판매펀칭!$P:$P,A347,RAW_판매펀칭!$I:$I,C347)*W347/SUMIFS($W:$W,$A:$A,A347,$C:$C,C347))</f>
        <v>105</v>
      </c>
      <c r="R347" s="47" t="n">
        <f aca="false">IF(OR(A347="500",A347="800",A347="810"),0,MAX(W347-Q347,0))</f>
        <v>0</v>
      </c>
      <c r="S347" s="47" t="n">
        <f aca="false">R347*L347</f>
        <v>0</v>
      </c>
      <c r="T347" s="47" t="n">
        <f aca="false">R347*J347</f>
        <v>0</v>
      </c>
      <c r="U347" s="47" t="n">
        <f aca="false">R347*K347</f>
        <v>0</v>
      </c>
      <c r="V347" s="0" t="str">
        <f aca="false">IF(COUNTIFS($A$2:A347,A347,$C$2:C347,C347,$D$2:D347,D347)&gt;1,"중복","")</f>
        <v/>
      </c>
      <c r="W347" s="0" t="n">
        <f aca="false">IF(V347="중복",0,N(D347))</f>
        <v>105</v>
      </c>
      <c r="X347" s="0" t="n">
        <f aca="false">IF(COUNTIFS($A$2:A347,A347,$C$2:C347,C347)=1,ABS(SUMIFS(RAW_발주!$D:$D,RAW_발주!$C:$C,A347,RAW_발주!$A:$A,C347)-SUMIFS($W:$W,$A:$A,A347,$C:$C,C347)),0)</f>
        <v>0</v>
      </c>
    </row>
    <row r="348" customFormat="false" ht="15" hidden="false" customHeight="true" outlineLevel="0" collapsed="false">
      <c r="A348" s="45" t="s">
        <v>1665</v>
      </c>
      <c r="B348" s="42" t="str">
        <f aca="false">IF(A348="100","HK",IF(A348="200","CN",IF(A348="300","TW","홀세일")))</f>
        <v>홀세일</v>
      </c>
      <c r="C348" s="45" t="s">
        <v>254</v>
      </c>
      <c r="D348" s="46" t="n">
        <v>228</v>
      </c>
      <c r="E348" s="46" t="n">
        <v>79000</v>
      </c>
      <c r="F348" s="46" t="n">
        <v>17400</v>
      </c>
      <c r="G348" s="42" t="n">
        <v>3.72</v>
      </c>
      <c r="H348" s="42" t="n">
        <v>19.8</v>
      </c>
      <c r="J348" s="46" t="n">
        <f aca="false">IF(N(E348)&gt;0,E348,IF(N(F348)&gt;0,F348*요약!$F$27,0))</f>
        <v>79000</v>
      </c>
      <c r="K348" s="46" t="n">
        <f aca="false">IF(N(F348)&gt;0,F348,IF(N(E348)&gt;0,E348/요약!$F$27,0))</f>
        <v>17400</v>
      </c>
      <c r="L348" s="46" t="n">
        <f aca="false">IF(B348="CN",IF(N(I348)&gt;0,I348*요약!$G$27,K348*(1+요약!$E$27)),IF(N(H348)&gt;0,H348*요약!$G$27,J348*요약!$D$27))</f>
        <v>26136</v>
      </c>
      <c r="M348" s="46" t="n">
        <f aca="false">D348*J348</f>
        <v>18012000</v>
      </c>
      <c r="N348" s="46" t="n">
        <f aca="false">D348*K348</f>
        <v>3967200</v>
      </c>
      <c r="O348" s="46" t="n">
        <f aca="false">D348*L348</f>
        <v>5959008</v>
      </c>
      <c r="P348" s="42" t="str">
        <f aca="false">TRIM(IF(N(E348)&lt;=0,"택가보정 ","")&amp;IF(N(F348)&lt;=0,"원가보정 ","")&amp;IF(AND(B348&lt;&gt;"CN",N(H348)&lt;=0),"공급가보정 ","")&amp;IF(AND(B348="CN",N(I348)&lt;=0),"중국공급가=원가+마진 ",""))</f>
        <v/>
      </c>
      <c r="Q348" s="47" t="n">
        <f aca="false">IF(SUMIFS($W:$W,$A:$A,A348,$C:$C,C348)=0,0,SUMIFS(RAW_판매펀칭!$K:$K,RAW_판매펀칭!$P:$P,A348,RAW_판매펀칭!$I:$I,C348)*W348/SUMIFS($W:$W,$A:$A,A348,$C:$C,C348))</f>
        <v>228</v>
      </c>
      <c r="R348" s="47" t="n">
        <f aca="false">IF(OR(A348="500",A348="800",A348="810"),0,MAX(W348-Q348,0))</f>
        <v>0</v>
      </c>
      <c r="S348" s="47" t="n">
        <f aca="false">R348*L348</f>
        <v>0</v>
      </c>
      <c r="T348" s="47" t="n">
        <f aca="false">R348*J348</f>
        <v>0</v>
      </c>
      <c r="U348" s="47" t="n">
        <f aca="false">R348*K348</f>
        <v>0</v>
      </c>
      <c r="V348" s="0" t="str">
        <f aca="false">IF(COUNTIFS($A$2:A348,A348,$C$2:C348,C348,$D$2:D348,D348)&gt;1,"중복","")</f>
        <v/>
      </c>
      <c r="W348" s="0" t="n">
        <f aca="false">IF(V348="중복",0,N(D348))</f>
        <v>228</v>
      </c>
      <c r="X348" s="0" t="n">
        <f aca="false">IF(COUNTIFS($A$2:A348,A348,$C$2:C348,C348)=1,ABS(SUMIFS(RAW_발주!$D:$D,RAW_발주!$C:$C,A348,RAW_발주!$A:$A,C348)-SUMIFS($W:$W,$A:$A,A348,$C:$C,C348)),0)</f>
        <v>0</v>
      </c>
    </row>
    <row r="349" customFormat="false" ht="15" hidden="false" customHeight="true" outlineLevel="0" collapsed="false">
      <c r="A349" s="45" t="s">
        <v>1659</v>
      </c>
      <c r="B349" s="42" t="str">
        <f aca="false">IF(A349="100","HK",IF(A349="200","CN",IF(A349="300","TW","홀세일")))</f>
        <v>HK</v>
      </c>
      <c r="C349" s="45" t="s">
        <v>826</v>
      </c>
      <c r="D349" s="46" t="n">
        <v>380</v>
      </c>
      <c r="E349" s="46" t="n">
        <v>69000</v>
      </c>
      <c r="F349" s="46" t="n">
        <v>21521</v>
      </c>
      <c r="G349" s="42" t="n">
        <v>4.47</v>
      </c>
      <c r="H349" s="42" t="n">
        <v>17.3</v>
      </c>
      <c r="J349" s="46" t="n">
        <f aca="false">IF(N(E349)&gt;0,E349,IF(N(F349)&gt;0,F349*요약!$F$27,0))</f>
        <v>69000</v>
      </c>
      <c r="K349" s="46" t="n">
        <f aca="false">IF(N(F349)&gt;0,F349,IF(N(E349)&gt;0,E349/요약!$F$27,0))</f>
        <v>21521</v>
      </c>
      <c r="L349" s="46" t="n">
        <f aca="false">IF(B349="CN",IF(N(I349)&gt;0,I349*요약!$G$27,K349*(1+요약!$E$27)),IF(N(H349)&gt;0,H349*요약!$G$27,J349*요약!$D$27))</f>
        <v>22836</v>
      </c>
      <c r="M349" s="46" t="n">
        <f aca="false">D349*J349</f>
        <v>26220000</v>
      </c>
      <c r="N349" s="46" t="n">
        <f aca="false">D349*K349</f>
        <v>8177980</v>
      </c>
      <c r="O349" s="46" t="n">
        <f aca="false">D349*L349</f>
        <v>8677680</v>
      </c>
      <c r="P349" s="42" t="str">
        <f aca="false">TRIM(IF(N(E349)&lt;=0,"택가보정 ","")&amp;IF(N(F349)&lt;=0,"원가보정 ","")&amp;IF(AND(B349&lt;&gt;"CN",N(H349)&lt;=0),"공급가보정 ","")&amp;IF(AND(B349="CN",N(I349)&lt;=0),"중국공급가=원가+마진 ",""))</f>
        <v/>
      </c>
      <c r="Q349" s="47" t="n">
        <f aca="false">IF(SUMIFS($W:$W,$A:$A,A349,$C:$C,C349)=0,0,SUMIFS(RAW_판매펀칭!$K:$K,RAW_판매펀칭!$P:$P,A349,RAW_판매펀칭!$I:$I,C349)*W349/SUMIFS($W:$W,$A:$A,A349,$C:$C,C349))</f>
        <v>380</v>
      </c>
      <c r="R349" s="47" t="n">
        <f aca="false">IF(OR(A349="500",A349="800",A349="810"),0,MAX(W349-Q349,0))</f>
        <v>0</v>
      </c>
      <c r="S349" s="47" t="n">
        <f aca="false">R349*L349</f>
        <v>0</v>
      </c>
      <c r="T349" s="47" t="n">
        <f aca="false">R349*J349</f>
        <v>0</v>
      </c>
      <c r="U349" s="47" t="n">
        <f aca="false">R349*K349</f>
        <v>0</v>
      </c>
      <c r="V349" s="0" t="str">
        <f aca="false">IF(COUNTIFS($A$2:A349,A349,$C$2:C349,C349,$D$2:D349,D349)&gt;1,"중복","")</f>
        <v/>
      </c>
      <c r="W349" s="0" t="n">
        <f aca="false">IF(V349="중복",0,N(D349))</f>
        <v>380</v>
      </c>
      <c r="X349" s="0" t="n">
        <f aca="false">IF(COUNTIFS($A$2:A349,A349,$C$2:C349,C349)=1,ABS(SUMIFS(RAW_발주!$D:$D,RAW_발주!$C:$C,A349,RAW_발주!$A:$A,C349)-SUMIFS($W:$W,$A:$A,A349,$C:$C,C349)),0)</f>
        <v>0</v>
      </c>
    </row>
    <row r="350" customFormat="false" ht="15.75" hidden="false" customHeight="true" outlineLevel="0" collapsed="false">
      <c r="A350" s="45" t="s">
        <v>1660</v>
      </c>
      <c r="B350" s="42" t="str">
        <f aca="false">IF(A350="100","HK",IF(A350="200","CN",IF(A350="300","TW","홀세일")))</f>
        <v>CN</v>
      </c>
      <c r="C350" s="45" t="s">
        <v>826</v>
      </c>
      <c r="D350" s="46" t="n">
        <v>483</v>
      </c>
      <c r="E350" s="46" t="n">
        <v>69000</v>
      </c>
      <c r="F350" s="46" t="n">
        <v>21521</v>
      </c>
      <c r="G350" s="42" t="n">
        <v>4.47</v>
      </c>
      <c r="H350" s="42" t="n">
        <v>17.3</v>
      </c>
      <c r="J350" s="46" t="n">
        <f aca="false">IF(N(E350)&gt;0,E350,IF(N(F350)&gt;0,F350*요약!$F$27,0))</f>
        <v>69000</v>
      </c>
      <c r="K350" s="46" t="n">
        <f aca="false">IF(N(F350)&gt;0,F350,IF(N(E350)&gt;0,E350/요약!$F$27,0))</f>
        <v>21521</v>
      </c>
      <c r="L350" s="46" t="n">
        <f aca="false">IF(B350="CN",IF(N(I350)&gt;0,I350*요약!$G$27,K350*(1+요약!$E$27)),IF(N(H350)&gt;0,H350*요약!$G$27,J350*요약!$D$27))</f>
        <v>22597.05</v>
      </c>
      <c r="M350" s="46" t="n">
        <f aca="false">D350*J350</f>
        <v>33327000</v>
      </c>
      <c r="N350" s="46" t="n">
        <f aca="false">D350*K350</f>
        <v>10394643</v>
      </c>
      <c r="O350" s="46" t="n">
        <f aca="false">D350*L350</f>
        <v>10914375.15</v>
      </c>
      <c r="P350" s="42" t="str">
        <f aca="false">TRIM(IF(N(E350)&lt;=0,"택가보정 ","")&amp;IF(N(F350)&lt;=0,"원가보정 ","")&amp;IF(AND(B350&lt;&gt;"CN",N(H350)&lt;=0),"공급가보정 ","")&amp;IF(AND(B350="CN",N(I350)&lt;=0),"중국공급가=원가+마진 ",""))</f>
        <v>중국공급가=원가+마진</v>
      </c>
      <c r="Q350" s="47" t="n">
        <f aca="false">IF(SUMIFS($W:$W,$A:$A,A350,$C:$C,C350)=0,0,SUMIFS(RAW_판매펀칭!$K:$K,RAW_판매펀칭!$P:$P,A350,RAW_판매펀칭!$I:$I,C350)*W350/SUMIFS($W:$W,$A:$A,A350,$C:$C,C350))</f>
        <v>480</v>
      </c>
      <c r="R350" s="47" t="n">
        <f aca="false">IF(OR(A350="500",A350="800",A350="810"),0,MAX(W350-Q350,0))</f>
        <v>3</v>
      </c>
      <c r="S350" s="47" t="n">
        <f aca="false">R350*L350</f>
        <v>67791.15</v>
      </c>
      <c r="T350" s="47" t="n">
        <f aca="false">R350*J350</f>
        <v>207000</v>
      </c>
      <c r="U350" s="47" t="n">
        <f aca="false">R350*K350</f>
        <v>64563</v>
      </c>
      <c r="V350" s="0" t="str">
        <f aca="false">IF(COUNTIFS($A$2:A350,A350,$C$2:C350,C350,$D$2:D350,D350)&gt;1,"중복","")</f>
        <v/>
      </c>
      <c r="W350" s="0" t="n">
        <f aca="false">IF(V350="중복",0,N(D350))</f>
        <v>483</v>
      </c>
      <c r="X350" s="0" t="n">
        <f aca="false">IF(COUNTIFS($A$2:A350,A350,$C$2:C350,C350)=1,ABS(SUMIFS(RAW_발주!$D:$D,RAW_발주!$C:$C,A350,RAW_발주!$A:$A,C350)-SUMIFS($W:$W,$A:$A,A350,$C:$C,C350)),0)</f>
        <v>0</v>
      </c>
    </row>
    <row r="351" customFormat="false" ht="15" hidden="false" customHeight="true" outlineLevel="0" collapsed="false">
      <c r="A351" s="45" t="s">
        <v>1659</v>
      </c>
      <c r="B351" s="42" t="str">
        <f aca="false">IF(A351="100","HK",IF(A351="200","CN",IF(A351="300","TW","홀세일")))</f>
        <v>HK</v>
      </c>
      <c r="C351" s="45" t="s">
        <v>256</v>
      </c>
      <c r="D351" s="46" t="n">
        <v>50</v>
      </c>
      <c r="E351" s="46" t="n">
        <v>89000</v>
      </c>
      <c r="F351" s="46" t="n">
        <v>23900</v>
      </c>
      <c r="G351" s="42" t="n">
        <v>3.12</v>
      </c>
      <c r="H351" s="42" t="n">
        <v>22.3</v>
      </c>
      <c r="J351" s="46" t="n">
        <f aca="false">IF(N(E351)&gt;0,E351,IF(N(F351)&gt;0,F351*요약!$F$27,0))</f>
        <v>89000</v>
      </c>
      <c r="K351" s="46" t="n">
        <f aca="false">IF(N(F351)&gt;0,F351,IF(N(E351)&gt;0,E351/요약!$F$27,0))</f>
        <v>23900</v>
      </c>
      <c r="L351" s="46" t="n">
        <f aca="false">IF(B351="CN",IF(N(I351)&gt;0,I351*요약!$G$27,K351*(1+요약!$E$27)),IF(N(H351)&gt;0,H351*요약!$G$27,J351*요약!$D$27))</f>
        <v>29436</v>
      </c>
      <c r="M351" s="46" t="n">
        <f aca="false">D351*J351</f>
        <v>4450000</v>
      </c>
      <c r="N351" s="46" t="n">
        <f aca="false">D351*K351</f>
        <v>1195000</v>
      </c>
      <c r="O351" s="46" t="n">
        <f aca="false">D351*L351</f>
        <v>1471800</v>
      </c>
      <c r="P351" s="42" t="str">
        <f aca="false">TRIM(IF(N(E351)&lt;=0,"택가보정 ","")&amp;IF(N(F351)&lt;=0,"원가보정 ","")&amp;IF(AND(B351&lt;&gt;"CN",N(H351)&lt;=0),"공급가보정 ","")&amp;IF(AND(B351="CN",N(I351)&lt;=0),"중국공급가=원가+마진 ",""))</f>
        <v/>
      </c>
      <c r="Q351" s="47" t="n">
        <f aca="false">IF(SUMIFS($W:$W,$A:$A,A351,$C:$C,C351)=0,0,SUMIFS(RAW_판매펀칭!$K:$K,RAW_판매펀칭!$P:$P,A351,RAW_판매펀칭!$I:$I,C351)*W351/SUMIFS($W:$W,$A:$A,A351,$C:$C,C351))</f>
        <v>50</v>
      </c>
      <c r="R351" s="47" t="n">
        <f aca="false">IF(OR(A351="500",A351="800",A351="810"),0,MAX(W351-Q351,0))</f>
        <v>0</v>
      </c>
      <c r="S351" s="47" t="n">
        <f aca="false">R351*L351</f>
        <v>0</v>
      </c>
      <c r="T351" s="47" t="n">
        <f aca="false">R351*J351</f>
        <v>0</v>
      </c>
      <c r="U351" s="47" t="n">
        <f aca="false">R351*K351</f>
        <v>0</v>
      </c>
      <c r="V351" s="0" t="str">
        <f aca="false">IF(COUNTIFS($A$2:A351,A351,$C$2:C351,C351,$D$2:D351,D351)&gt;1,"중복","")</f>
        <v/>
      </c>
      <c r="W351" s="0" t="n">
        <f aca="false">IF(V351="중복",0,N(D351))</f>
        <v>50</v>
      </c>
      <c r="X351" s="0" t="n">
        <f aca="false">IF(COUNTIFS($A$2:A351,A351,$C$2:C351,C351)=1,ABS(SUMIFS(RAW_발주!$D:$D,RAW_발주!$C:$C,A351,RAW_발주!$A:$A,C351)-SUMIFS($W:$W,$A:$A,A351,$C:$C,C351)),0)</f>
        <v>0</v>
      </c>
    </row>
    <row r="352" customFormat="false" ht="15" hidden="false" customHeight="true" outlineLevel="0" collapsed="false">
      <c r="A352" s="45" t="s">
        <v>1661</v>
      </c>
      <c r="B352" s="42" t="str">
        <f aca="false">IF(A352="100","HK",IF(A352="200","CN",IF(A352="300","TW","홀세일")))</f>
        <v>TW</v>
      </c>
      <c r="C352" s="45" t="s">
        <v>256</v>
      </c>
      <c r="D352" s="46" t="n">
        <v>400</v>
      </c>
      <c r="E352" s="46" t="n">
        <v>89000</v>
      </c>
      <c r="F352" s="46" t="n">
        <v>23900</v>
      </c>
      <c r="G352" s="42" t="n">
        <v>3.12</v>
      </c>
      <c r="H352" s="42" t="n">
        <v>22.3</v>
      </c>
      <c r="J352" s="46" t="n">
        <f aca="false">IF(N(E352)&gt;0,E352,IF(N(F352)&gt;0,F352*요약!$F$27,0))</f>
        <v>89000</v>
      </c>
      <c r="K352" s="46" t="n">
        <f aca="false">IF(N(F352)&gt;0,F352,IF(N(E352)&gt;0,E352/요약!$F$27,0))</f>
        <v>23900</v>
      </c>
      <c r="L352" s="46" t="n">
        <f aca="false">IF(B352="CN",IF(N(I352)&gt;0,I352*요약!$G$27,K352*(1+요약!$E$27)),IF(N(H352)&gt;0,H352*요약!$G$27,J352*요약!$D$27))</f>
        <v>29436</v>
      </c>
      <c r="M352" s="46" t="n">
        <f aca="false">D352*J352</f>
        <v>35600000</v>
      </c>
      <c r="N352" s="46" t="n">
        <f aca="false">D352*K352</f>
        <v>9560000</v>
      </c>
      <c r="O352" s="46" t="n">
        <f aca="false">D352*L352</f>
        <v>11774400</v>
      </c>
      <c r="P352" s="42" t="str">
        <f aca="false">TRIM(IF(N(E352)&lt;=0,"택가보정 ","")&amp;IF(N(F352)&lt;=0,"원가보정 ","")&amp;IF(AND(B352&lt;&gt;"CN",N(H352)&lt;=0),"공급가보정 ","")&amp;IF(AND(B352="CN",N(I352)&lt;=0),"중국공급가=원가+마진 ",""))</f>
        <v/>
      </c>
      <c r="Q352" s="47" t="n">
        <f aca="false">IF(SUMIFS($W:$W,$A:$A,A352,$C:$C,C352)=0,0,SUMIFS(RAW_판매펀칭!$K:$K,RAW_판매펀칭!$P:$P,A352,RAW_판매펀칭!$I:$I,C352)*W352/SUMIFS($W:$W,$A:$A,A352,$C:$C,C352))</f>
        <v>400</v>
      </c>
      <c r="R352" s="47" t="n">
        <f aca="false">IF(OR(A352="500",A352="800",A352="810"),0,MAX(W352-Q352,0))</f>
        <v>0</v>
      </c>
      <c r="S352" s="47" t="n">
        <f aca="false">R352*L352</f>
        <v>0</v>
      </c>
      <c r="T352" s="47" t="n">
        <f aca="false">R352*J352</f>
        <v>0</v>
      </c>
      <c r="U352" s="47" t="n">
        <f aca="false">R352*K352</f>
        <v>0</v>
      </c>
      <c r="V352" s="0" t="str">
        <f aca="false">IF(COUNTIFS($A$2:A352,A352,$C$2:C352,C352,$D$2:D352,D352)&gt;1,"중복","")</f>
        <v/>
      </c>
      <c r="W352" s="0" t="n">
        <f aca="false">IF(V352="중복",0,N(D352))</f>
        <v>400</v>
      </c>
      <c r="X352" s="0" t="n">
        <f aca="false">IF(COUNTIFS($A$2:A352,A352,$C$2:C352,C352)=1,ABS(SUMIFS(RAW_발주!$D:$D,RAW_발주!$C:$C,A352,RAW_발주!$A:$A,C352)-SUMIFS($W:$W,$A:$A,A352,$C:$C,C352)),0)</f>
        <v>0</v>
      </c>
    </row>
    <row r="353" customFormat="false" ht="15" hidden="false" customHeight="true" outlineLevel="0" collapsed="false">
      <c r="A353" s="45" t="s">
        <v>1667</v>
      </c>
      <c r="B353" s="42" t="str">
        <f aca="false">IF(A353="100","HK",IF(A353="200","CN",IF(A353="300","TW","홀세일")))</f>
        <v>홀세일</v>
      </c>
      <c r="C353" s="45" t="s">
        <v>256</v>
      </c>
      <c r="D353" s="46" t="n">
        <v>243</v>
      </c>
      <c r="E353" s="46" t="n">
        <v>89000</v>
      </c>
      <c r="F353" s="46" t="n">
        <v>23900</v>
      </c>
      <c r="G353" s="42" t="n">
        <v>3.12</v>
      </c>
      <c r="H353" s="42" t="n">
        <v>22.3</v>
      </c>
      <c r="J353" s="46" t="n">
        <f aca="false">IF(N(E353)&gt;0,E353,IF(N(F353)&gt;0,F353*요약!$F$27,0))</f>
        <v>89000</v>
      </c>
      <c r="K353" s="46" t="n">
        <f aca="false">IF(N(F353)&gt;0,F353,IF(N(E353)&gt;0,E353/요약!$F$27,0))</f>
        <v>23900</v>
      </c>
      <c r="L353" s="46" t="n">
        <f aca="false">IF(B353="CN",IF(N(I353)&gt;0,I353*요약!$G$27,K353*(1+요약!$E$27)),IF(N(H353)&gt;0,H353*요약!$G$27,J353*요약!$D$27))</f>
        <v>29436</v>
      </c>
      <c r="M353" s="46" t="n">
        <f aca="false">D353*J353</f>
        <v>21627000</v>
      </c>
      <c r="N353" s="46" t="n">
        <f aca="false">D353*K353</f>
        <v>5807700</v>
      </c>
      <c r="O353" s="46" t="n">
        <f aca="false">D353*L353</f>
        <v>7152948</v>
      </c>
      <c r="P353" s="42" t="str">
        <f aca="false">TRIM(IF(N(E353)&lt;=0,"택가보정 ","")&amp;IF(N(F353)&lt;=0,"원가보정 ","")&amp;IF(AND(B353&lt;&gt;"CN",N(H353)&lt;=0),"공급가보정 ","")&amp;IF(AND(B353="CN",N(I353)&lt;=0),"중국공급가=원가+마진 ",""))</f>
        <v/>
      </c>
      <c r="Q353" s="47" t="n">
        <f aca="false">IF(SUMIFS($W:$W,$A:$A,A353,$C:$C,C353)=0,0,SUMIFS(RAW_판매펀칭!$K:$K,RAW_판매펀칭!$P:$P,A353,RAW_판매펀칭!$I:$I,C353)*W353/SUMIFS($W:$W,$A:$A,A353,$C:$C,C353))</f>
        <v>243</v>
      </c>
      <c r="R353" s="47" t="n">
        <f aca="false">IF(OR(A353="500",A353="800",A353="810"),0,MAX(W353-Q353,0))</f>
        <v>0</v>
      </c>
      <c r="S353" s="47" t="n">
        <f aca="false">R353*L353</f>
        <v>0</v>
      </c>
      <c r="T353" s="47" t="n">
        <f aca="false">R353*J353</f>
        <v>0</v>
      </c>
      <c r="U353" s="47" t="n">
        <f aca="false">R353*K353</f>
        <v>0</v>
      </c>
      <c r="V353" s="0" t="str">
        <f aca="false">IF(COUNTIFS($A$2:A353,A353,$C$2:C353,C353,$D$2:D353,D353)&gt;1,"중복","")</f>
        <v/>
      </c>
      <c r="W353" s="0" t="n">
        <f aca="false">IF(V353="중복",0,N(D353))</f>
        <v>243</v>
      </c>
      <c r="X353" s="0" t="n">
        <f aca="false">IF(COUNTIFS($A$2:A353,A353,$C$2:C353,C353)=1,ABS(SUMIFS(RAW_발주!$D:$D,RAW_발주!$C:$C,A353,RAW_발주!$A:$A,C353)-SUMIFS($W:$W,$A:$A,A353,$C:$C,C353)),0)</f>
        <v>0</v>
      </c>
    </row>
    <row r="354" customFormat="false" ht="15" hidden="false" customHeight="true" outlineLevel="0" collapsed="false">
      <c r="A354" s="45" t="s">
        <v>1664</v>
      </c>
      <c r="B354" s="42" t="str">
        <f aca="false">IF(A354="100","HK",IF(A354="200","CN",IF(A354="300","TW","홀세일")))</f>
        <v>홀세일</v>
      </c>
      <c r="C354" s="45" t="s">
        <v>256</v>
      </c>
      <c r="D354" s="46" t="n">
        <v>80</v>
      </c>
      <c r="E354" s="46" t="n">
        <v>89000</v>
      </c>
      <c r="F354" s="46" t="n">
        <v>23900</v>
      </c>
      <c r="G354" s="42" t="n">
        <v>3.12</v>
      </c>
      <c r="H354" s="42" t="n">
        <v>22.3</v>
      </c>
      <c r="J354" s="46" t="n">
        <f aca="false">IF(N(E354)&gt;0,E354,IF(N(F354)&gt;0,F354*요약!$F$27,0))</f>
        <v>89000</v>
      </c>
      <c r="K354" s="46" t="n">
        <f aca="false">IF(N(F354)&gt;0,F354,IF(N(E354)&gt;0,E354/요약!$F$27,0))</f>
        <v>23900</v>
      </c>
      <c r="L354" s="46" t="n">
        <f aca="false">IF(B354="CN",IF(N(I354)&gt;0,I354*요약!$G$27,K354*(1+요약!$E$27)),IF(N(H354)&gt;0,H354*요약!$G$27,J354*요약!$D$27))</f>
        <v>29436</v>
      </c>
      <c r="M354" s="46" t="n">
        <f aca="false">D354*J354</f>
        <v>7120000</v>
      </c>
      <c r="N354" s="46" t="n">
        <f aca="false">D354*K354</f>
        <v>1912000</v>
      </c>
      <c r="O354" s="46" t="n">
        <f aca="false">D354*L354</f>
        <v>2354880</v>
      </c>
      <c r="P354" s="42" t="str">
        <f aca="false">TRIM(IF(N(E354)&lt;=0,"택가보정 ","")&amp;IF(N(F354)&lt;=0,"원가보정 ","")&amp;IF(AND(B354&lt;&gt;"CN",N(H354)&lt;=0),"공급가보정 ","")&amp;IF(AND(B354="CN",N(I354)&lt;=0),"중국공급가=원가+마진 ",""))</f>
        <v/>
      </c>
      <c r="Q354" s="47" t="n">
        <f aca="false">IF(SUMIFS($W:$W,$A:$A,A354,$C:$C,C354)=0,0,SUMIFS(RAW_판매펀칭!$K:$K,RAW_판매펀칭!$P:$P,A354,RAW_판매펀칭!$I:$I,C354)*W354/SUMIFS($W:$W,$A:$A,A354,$C:$C,C354))</f>
        <v>0</v>
      </c>
      <c r="R354" s="47" t="n">
        <f aca="false">IF(OR(A354="500",A354="800",A354="810"),0,MAX(W354-Q354,0))</f>
        <v>0</v>
      </c>
      <c r="S354" s="47" t="n">
        <f aca="false">R354*L354</f>
        <v>0</v>
      </c>
      <c r="T354" s="47" t="n">
        <f aca="false">R354*J354</f>
        <v>0</v>
      </c>
      <c r="U354" s="47" t="n">
        <f aca="false">R354*K354</f>
        <v>0</v>
      </c>
      <c r="V354" s="0" t="str">
        <f aca="false">IF(COUNTIFS($A$2:A354,A354,$C$2:C354,C354,$D$2:D354,D354)&gt;1,"중복","")</f>
        <v/>
      </c>
      <c r="W354" s="0" t="n">
        <f aca="false">IF(V354="중복",0,N(D354))</f>
        <v>80</v>
      </c>
      <c r="X354" s="0" t="n">
        <f aca="false">IF(COUNTIFS($A$2:A354,A354,$C$2:C354,C354)=1,ABS(SUMIFS(RAW_발주!$D:$D,RAW_발주!$C:$C,A354,RAW_발주!$A:$A,C354)-SUMIFS($W:$W,$A:$A,A354,$C:$C,C354)),0)</f>
        <v>0</v>
      </c>
    </row>
    <row r="355" customFormat="false" ht="15" hidden="false" customHeight="true" outlineLevel="0" collapsed="false">
      <c r="A355" s="45" t="s">
        <v>1659</v>
      </c>
      <c r="B355" s="42" t="str">
        <f aca="false">IF(A355="100","HK",IF(A355="200","CN",IF(A355="300","TW","홀세일")))</f>
        <v>HK</v>
      </c>
      <c r="C355" s="45" t="s">
        <v>258</v>
      </c>
      <c r="D355" s="46" t="n">
        <v>300</v>
      </c>
      <c r="E355" s="46" t="n">
        <v>129000</v>
      </c>
      <c r="F355" s="46" t="n">
        <v>23400</v>
      </c>
      <c r="G355" s="42" t="n">
        <v>4.28</v>
      </c>
      <c r="H355" s="42" t="n">
        <v>32.3</v>
      </c>
      <c r="J355" s="46" t="n">
        <f aca="false">IF(N(E355)&gt;0,E355,IF(N(F355)&gt;0,F355*요약!$F$27,0))</f>
        <v>129000</v>
      </c>
      <c r="K355" s="46" t="n">
        <f aca="false">IF(N(F355)&gt;0,F355,IF(N(E355)&gt;0,E355/요약!$F$27,0))</f>
        <v>23400</v>
      </c>
      <c r="L355" s="46" t="n">
        <f aca="false">IF(B355="CN",IF(N(I355)&gt;0,I355*요약!$G$27,K355*(1+요약!$E$27)),IF(N(H355)&gt;0,H355*요약!$G$27,J355*요약!$D$27))</f>
        <v>42636</v>
      </c>
      <c r="M355" s="46" t="n">
        <f aca="false">D355*J355</f>
        <v>38700000</v>
      </c>
      <c r="N355" s="46" t="n">
        <f aca="false">D355*K355</f>
        <v>7020000</v>
      </c>
      <c r="O355" s="46" t="n">
        <f aca="false">D355*L355</f>
        <v>12790800</v>
      </c>
      <c r="P355" s="42" t="str">
        <f aca="false">TRIM(IF(N(E355)&lt;=0,"택가보정 ","")&amp;IF(N(F355)&lt;=0,"원가보정 ","")&amp;IF(AND(B355&lt;&gt;"CN",N(H355)&lt;=0),"공급가보정 ","")&amp;IF(AND(B355="CN",N(I355)&lt;=0),"중국공급가=원가+마진 ",""))</f>
        <v/>
      </c>
      <c r="Q355" s="47" t="n">
        <f aca="false">IF(SUMIFS($W:$W,$A:$A,A355,$C:$C,C355)=0,0,SUMIFS(RAW_판매펀칭!$K:$K,RAW_판매펀칭!$P:$P,A355,RAW_판매펀칭!$I:$I,C355)*W355/SUMIFS($W:$W,$A:$A,A355,$C:$C,C355))</f>
        <v>300</v>
      </c>
      <c r="R355" s="47" t="n">
        <f aca="false">IF(OR(A355="500",A355="800",A355="810"),0,MAX(W355-Q355,0))</f>
        <v>0</v>
      </c>
      <c r="S355" s="47" t="n">
        <f aca="false">R355*L355</f>
        <v>0</v>
      </c>
      <c r="T355" s="47" t="n">
        <f aca="false">R355*J355</f>
        <v>0</v>
      </c>
      <c r="U355" s="47" t="n">
        <f aca="false">R355*K355</f>
        <v>0</v>
      </c>
      <c r="V355" s="0" t="str">
        <f aca="false">IF(COUNTIFS($A$2:A355,A355,$C$2:C355,C355,$D$2:D355,D355)&gt;1,"중복","")</f>
        <v/>
      </c>
      <c r="W355" s="0" t="n">
        <f aca="false">IF(V355="중복",0,N(D355))</f>
        <v>300</v>
      </c>
      <c r="X355" s="0" t="n">
        <f aca="false">IF(COUNTIFS($A$2:A355,A355,$C$2:C355,C355)=1,ABS(SUMIFS(RAW_발주!$D:$D,RAW_발주!$C:$C,A355,RAW_발주!$A:$A,C355)-SUMIFS($W:$W,$A:$A,A355,$C:$C,C355)),0)</f>
        <v>0</v>
      </c>
    </row>
    <row r="356" customFormat="false" ht="15" hidden="false" customHeight="true" outlineLevel="0" collapsed="false">
      <c r="A356" s="45" t="s">
        <v>1661</v>
      </c>
      <c r="B356" s="42" t="str">
        <f aca="false">IF(A356="100","HK",IF(A356="200","CN",IF(A356="300","TW","홀세일")))</f>
        <v>TW</v>
      </c>
      <c r="C356" s="45" t="s">
        <v>258</v>
      </c>
      <c r="D356" s="46" t="n">
        <v>300</v>
      </c>
      <c r="E356" s="46" t="n">
        <v>129000</v>
      </c>
      <c r="F356" s="46" t="n">
        <v>23400</v>
      </c>
      <c r="G356" s="42" t="n">
        <v>4.28</v>
      </c>
      <c r="H356" s="42" t="n">
        <v>32.3</v>
      </c>
      <c r="J356" s="46" t="n">
        <f aca="false">IF(N(E356)&gt;0,E356,IF(N(F356)&gt;0,F356*요약!$F$27,0))</f>
        <v>129000</v>
      </c>
      <c r="K356" s="46" t="n">
        <f aca="false">IF(N(F356)&gt;0,F356,IF(N(E356)&gt;0,E356/요약!$F$27,0))</f>
        <v>23400</v>
      </c>
      <c r="L356" s="46" t="n">
        <f aca="false">IF(B356="CN",IF(N(I356)&gt;0,I356*요약!$G$27,K356*(1+요약!$E$27)),IF(N(H356)&gt;0,H356*요약!$G$27,J356*요약!$D$27))</f>
        <v>42636</v>
      </c>
      <c r="M356" s="46" t="n">
        <f aca="false">D356*J356</f>
        <v>38700000</v>
      </c>
      <c r="N356" s="46" t="n">
        <f aca="false">D356*K356</f>
        <v>7020000</v>
      </c>
      <c r="O356" s="46" t="n">
        <f aca="false">D356*L356</f>
        <v>12790800</v>
      </c>
      <c r="P356" s="42" t="str">
        <f aca="false">TRIM(IF(N(E356)&lt;=0,"택가보정 ","")&amp;IF(N(F356)&lt;=0,"원가보정 ","")&amp;IF(AND(B356&lt;&gt;"CN",N(H356)&lt;=0),"공급가보정 ","")&amp;IF(AND(B356="CN",N(I356)&lt;=0),"중국공급가=원가+마진 ",""))</f>
        <v/>
      </c>
      <c r="Q356" s="47" t="n">
        <f aca="false">IF(SUMIFS($W:$W,$A:$A,A356,$C:$C,C356)=0,0,SUMIFS(RAW_판매펀칭!$K:$K,RAW_판매펀칭!$P:$P,A356,RAW_판매펀칭!$I:$I,C356)*W356/SUMIFS($W:$W,$A:$A,A356,$C:$C,C356))</f>
        <v>300</v>
      </c>
      <c r="R356" s="47" t="n">
        <f aca="false">IF(OR(A356="500",A356="800",A356="810"),0,MAX(W356-Q356,0))</f>
        <v>0</v>
      </c>
      <c r="S356" s="47" t="n">
        <f aca="false">R356*L356</f>
        <v>0</v>
      </c>
      <c r="T356" s="47" t="n">
        <f aca="false">R356*J356</f>
        <v>0</v>
      </c>
      <c r="U356" s="47" t="n">
        <f aca="false">R356*K356</f>
        <v>0</v>
      </c>
      <c r="V356" s="0" t="str">
        <f aca="false">IF(COUNTIFS($A$2:A356,A356,$C$2:C356,C356,$D$2:D356,D356)&gt;1,"중복","")</f>
        <v/>
      </c>
      <c r="W356" s="0" t="n">
        <f aca="false">IF(V356="중복",0,N(D356))</f>
        <v>300</v>
      </c>
      <c r="X356" s="0" t="n">
        <f aca="false">IF(COUNTIFS($A$2:A356,A356,$C$2:C356,C356)=1,ABS(SUMIFS(RAW_발주!$D:$D,RAW_발주!$C:$C,A356,RAW_발주!$A:$A,C356)-SUMIFS($W:$W,$A:$A,A356,$C:$C,C356)),0)</f>
        <v>0</v>
      </c>
    </row>
    <row r="357" customFormat="false" ht="15" hidden="false" customHeight="true" outlineLevel="0" collapsed="false">
      <c r="A357" s="45" t="s">
        <v>1663</v>
      </c>
      <c r="B357" s="42" t="str">
        <f aca="false">IF(A357="100","HK",IF(A357="200","CN",IF(A357="300","TW","홀세일")))</f>
        <v>홀세일</v>
      </c>
      <c r="C357" s="45" t="s">
        <v>258</v>
      </c>
      <c r="D357" s="46" t="n">
        <v>45</v>
      </c>
      <c r="E357" s="46" t="n">
        <v>129000</v>
      </c>
      <c r="F357" s="46" t="n">
        <v>23400</v>
      </c>
      <c r="G357" s="42" t="n">
        <v>4.28</v>
      </c>
      <c r="H357" s="42" t="n">
        <v>32.3</v>
      </c>
      <c r="J357" s="46" t="n">
        <f aca="false">IF(N(E357)&gt;0,E357,IF(N(F357)&gt;0,F357*요약!$F$27,0))</f>
        <v>129000</v>
      </c>
      <c r="K357" s="46" t="n">
        <f aca="false">IF(N(F357)&gt;0,F357,IF(N(E357)&gt;0,E357/요약!$F$27,0))</f>
        <v>23400</v>
      </c>
      <c r="L357" s="46" t="n">
        <f aca="false">IF(B357="CN",IF(N(I357)&gt;0,I357*요약!$G$27,K357*(1+요약!$E$27)),IF(N(H357)&gt;0,H357*요약!$G$27,J357*요약!$D$27))</f>
        <v>42636</v>
      </c>
      <c r="M357" s="46" t="n">
        <f aca="false">D357*J357</f>
        <v>5805000</v>
      </c>
      <c r="N357" s="46" t="n">
        <f aca="false">D357*K357</f>
        <v>1053000</v>
      </c>
      <c r="O357" s="46" t="n">
        <f aca="false">D357*L357</f>
        <v>1918620</v>
      </c>
      <c r="P357" s="42" t="str">
        <f aca="false">TRIM(IF(N(E357)&lt;=0,"택가보정 ","")&amp;IF(N(F357)&lt;=0,"원가보정 ","")&amp;IF(AND(B357&lt;&gt;"CN",N(H357)&lt;=0),"공급가보정 ","")&amp;IF(AND(B357="CN",N(I357)&lt;=0),"중국공급가=원가+마진 ",""))</f>
        <v/>
      </c>
      <c r="Q357" s="47" t="n">
        <f aca="false">IF(SUMIFS($W:$W,$A:$A,A357,$C:$C,C357)=0,0,SUMIFS(RAW_판매펀칭!$K:$K,RAW_판매펀칭!$P:$P,A357,RAW_판매펀칭!$I:$I,C357)*W357/SUMIFS($W:$W,$A:$A,A357,$C:$C,C357))</f>
        <v>45</v>
      </c>
      <c r="R357" s="47" t="n">
        <f aca="false">IF(OR(A357="500",A357="800",A357="810"),0,MAX(W357-Q357,0))</f>
        <v>0</v>
      </c>
      <c r="S357" s="47" t="n">
        <f aca="false">R357*L357</f>
        <v>0</v>
      </c>
      <c r="T357" s="47" t="n">
        <f aca="false">R357*J357</f>
        <v>0</v>
      </c>
      <c r="U357" s="47" t="n">
        <f aca="false">R357*K357</f>
        <v>0</v>
      </c>
      <c r="V357" s="0" t="str">
        <f aca="false">IF(COUNTIFS($A$2:A357,A357,$C$2:C357,C357,$D$2:D357,D357)&gt;1,"중복","")</f>
        <v/>
      </c>
      <c r="W357" s="0" t="n">
        <f aca="false">IF(V357="중복",0,N(D357))</f>
        <v>45</v>
      </c>
      <c r="X357" s="0" t="n">
        <f aca="false">IF(COUNTIFS($A$2:A357,A357,$C$2:C357,C357)=1,ABS(SUMIFS(RAW_발주!$D:$D,RAW_발주!$C:$C,A357,RAW_발주!$A:$A,C357)-SUMIFS($W:$W,$A:$A,A357,$C:$C,C357)),0)</f>
        <v>0</v>
      </c>
    </row>
    <row r="358" customFormat="false" ht="15" hidden="false" customHeight="true" outlineLevel="0" collapsed="false">
      <c r="A358" s="45" t="s">
        <v>1659</v>
      </c>
      <c r="B358" s="42" t="str">
        <f aca="false">IF(A358="100","HK",IF(A358="200","CN",IF(A358="300","TW","홀세일")))</f>
        <v>HK</v>
      </c>
      <c r="C358" s="45" t="s">
        <v>260</v>
      </c>
      <c r="D358" s="46" t="n">
        <v>520</v>
      </c>
      <c r="E358" s="46" t="n">
        <v>139000</v>
      </c>
      <c r="F358" s="46" t="n">
        <v>28377</v>
      </c>
      <c r="G358" s="42" t="n">
        <v>4.92</v>
      </c>
      <c r="H358" s="42" t="n">
        <v>34.8</v>
      </c>
      <c r="J358" s="46" t="n">
        <f aca="false">IF(N(E358)&gt;0,E358,IF(N(F358)&gt;0,F358*요약!$F$27,0))</f>
        <v>139000</v>
      </c>
      <c r="K358" s="46" t="n">
        <f aca="false">IF(N(F358)&gt;0,F358,IF(N(E358)&gt;0,E358/요약!$F$27,0))</f>
        <v>28377</v>
      </c>
      <c r="L358" s="46" t="n">
        <f aca="false">IF(B358="CN",IF(N(I358)&gt;0,I358*요약!$G$27,K358*(1+요약!$E$27)),IF(N(H358)&gt;0,H358*요약!$G$27,J358*요약!$D$27))</f>
        <v>45936</v>
      </c>
      <c r="M358" s="46" t="n">
        <f aca="false">D358*J358</f>
        <v>72280000</v>
      </c>
      <c r="N358" s="46" t="n">
        <f aca="false">D358*K358</f>
        <v>14756040</v>
      </c>
      <c r="O358" s="46" t="n">
        <f aca="false">D358*L358</f>
        <v>23886720</v>
      </c>
      <c r="P358" s="42" t="str">
        <f aca="false">TRIM(IF(N(E358)&lt;=0,"택가보정 ","")&amp;IF(N(F358)&lt;=0,"원가보정 ","")&amp;IF(AND(B358&lt;&gt;"CN",N(H358)&lt;=0),"공급가보정 ","")&amp;IF(AND(B358="CN",N(I358)&lt;=0),"중국공급가=원가+마진 ",""))</f>
        <v/>
      </c>
      <c r="Q358" s="47" t="n">
        <f aca="false">IF(SUMIFS($W:$W,$A:$A,A358,$C:$C,C358)=0,0,SUMIFS(RAW_판매펀칭!$K:$K,RAW_판매펀칭!$P:$P,A358,RAW_판매펀칭!$I:$I,C358)*W358/SUMIFS($W:$W,$A:$A,A358,$C:$C,C358))</f>
        <v>520</v>
      </c>
      <c r="R358" s="47" t="n">
        <f aca="false">IF(OR(A358="500",A358="800",A358="810"),0,MAX(W358-Q358,0))</f>
        <v>0</v>
      </c>
      <c r="S358" s="47" t="n">
        <f aca="false">R358*L358</f>
        <v>0</v>
      </c>
      <c r="T358" s="47" t="n">
        <f aca="false">R358*J358</f>
        <v>0</v>
      </c>
      <c r="U358" s="47" t="n">
        <f aca="false">R358*K358</f>
        <v>0</v>
      </c>
      <c r="V358" s="0" t="str">
        <f aca="false">IF(COUNTIFS($A$2:A358,A358,$C$2:C358,C358,$D$2:D358,D358)&gt;1,"중복","")</f>
        <v/>
      </c>
      <c r="W358" s="0" t="n">
        <f aca="false">IF(V358="중복",0,N(D358))</f>
        <v>520</v>
      </c>
      <c r="X358" s="0" t="n">
        <f aca="false">IF(COUNTIFS($A$2:A358,A358,$C$2:C358,C358)=1,ABS(SUMIFS(RAW_발주!$D:$D,RAW_발주!$C:$C,A358,RAW_발주!$A:$A,C358)-SUMIFS($W:$W,$A:$A,A358,$C:$C,C358)),0)</f>
        <v>0</v>
      </c>
    </row>
    <row r="359" customFormat="false" ht="15" hidden="false" customHeight="true" outlineLevel="0" collapsed="false">
      <c r="A359" s="45" t="s">
        <v>1661</v>
      </c>
      <c r="B359" s="42" t="str">
        <f aca="false">IF(A359="100","HK",IF(A359="200","CN",IF(A359="300","TW","홀세일")))</f>
        <v>TW</v>
      </c>
      <c r="C359" s="45" t="s">
        <v>260</v>
      </c>
      <c r="D359" s="46" t="n">
        <v>650</v>
      </c>
      <c r="E359" s="46" t="n">
        <v>139000</v>
      </c>
      <c r="F359" s="46" t="n">
        <v>28377</v>
      </c>
      <c r="G359" s="42" t="n">
        <v>4.92</v>
      </c>
      <c r="H359" s="42" t="n">
        <v>34.8</v>
      </c>
      <c r="J359" s="46" t="n">
        <f aca="false">IF(N(E359)&gt;0,E359,IF(N(F359)&gt;0,F359*요약!$F$27,0))</f>
        <v>139000</v>
      </c>
      <c r="K359" s="46" t="n">
        <f aca="false">IF(N(F359)&gt;0,F359,IF(N(E359)&gt;0,E359/요약!$F$27,0))</f>
        <v>28377</v>
      </c>
      <c r="L359" s="46" t="n">
        <f aca="false">IF(B359="CN",IF(N(I359)&gt;0,I359*요약!$G$27,K359*(1+요약!$E$27)),IF(N(H359)&gt;0,H359*요약!$G$27,J359*요약!$D$27))</f>
        <v>45936</v>
      </c>
      <c r="M359" s="46" t="n">
        <f aca="false">D359*J359</f>
        <v>90350000</v>
      </c>
      <c r="N359" s="46" t="n">
        <f aca="false">D359*K359</f>
        <v>18445050</v>
      </c>
      <c r="O359" s="46" t="n">
        <f aca="false">D359*L359</f>
        <v>29858400</v>
      </c>
      <c r="P359" s="42" t="str">
        <f aca="false">TRIM(IF(N(E359)&lt;=0,"택가보정 ","")&amp;IF(N(F359)&lt;=0,"원가보정 ","")&amp;IF(AND(B359&lt;&gt;"CN",N(H359)&lt;=0),"공급가보정 ","")&amp;IF(AND(B359="CN",N(I359)&lt;=0),"중국공급가=원가+마진 ",""))</f>
        <v/>
      </c>
      <c r="Q359" s="47" t="n">
        <f aca="false">IF(SUMIFS($W:$W,$A:$A,A359,$C:$C,C359)=0,0,SUMIFS(RAW_판매펀칭!$K:$K,RAW_판매펀칭!$P:$P,A359,RAW_판매펀칭!$I:$I,C359)*W359/SUMIFS($W:$W,$A:$A,A359,$C:$C,C359))</f>
        <v>650</v>
      </c>
      <c r="R359" s="47" t="n">
        <f aca="false">IF(OR(A359="500",A359="800",A359="810"),0,MAX(W359-Q359,0))</f>
        <v>0</v>
      </c>
      <c r="S359" s="47" t="n">
        <f aca="false">R359*L359</f>
        <v>0</v>
      </c>
      <c r="T359" s="47" t="n">
        <f aca="false">R359*J359</f>
        <v>0</v>
      </c>
      <c r="U359" s="47" t="n">
        <f aca="false">R359*K359</f>
        <v>0</v>
      </c>
      <c r="V359" s="0" t="str">
        <f aca="false">IF(COUNTIFS($A$2:A359,A359,$C$2:C359,C359,$D$2:D359,D359)&gt;1,"중복","")</f>
        <v/>
      </c>
      <c r="W359" s="0" t="n">
        <f aca="false">IF(V359="중복",0,N(D359))</f>
        <v>650</v>
      </c>
      <c r="X359" s="0" t="n">
        <f aca="false">IF(COUNTIFS($A$2:A359,A359,$C$2:C359,C359)=1,ABS(SUMIFS(RAW_발주!$D:$D,RAW_발주!$C:$C,A359,RAW_발주!$A:$A,C359)-SUMIFS($W:$W,$A:$A,A359,$C:$C,C359)),0)</f>
        <v>0</v>
      </c>
    </row>
    <row r="360" customFormat="false" ht="15" hidden="false" customHeight="true" outlineLevel="0" collapsed="false">
      <c r="A360" s="45" t="s">
        <v>1664</v>
      </c>
      <c r="B360" s="42" t="str">
        <f aca="false">IF(A360="100","HK",IF(A360="200","CN",IF(A360="300","TW","홀세일")))</f>
        <v>홀세일</v>
      </c>
      <c r="C360" s="45" t="s">
        <v>260</v>
      </c>
      <c r="D360" s="46" t="n">
        <v>120</v>
      </c>
      <c r="E360" s="46" t="n">
        <v>139000</v>
      </c>
      <c r="F360" s="46" t="n">
        <v>28377</v>
      </c>
      <c r="G360" s="42" t="n">
        <v>4.92</v>
      </c>
      <c r="H360" s="42" t="n">
        <v>34.8</v>
      </c>
      <c r="J360" s="46" t="n">
        <f aca="false">IF(N(E360)&gt;0,E360,IF(N(F360)&gt;0,F360*요약!$F$27,0))</f>
        <v>139000</v>
      </c>
      <c r="K360" s="46" t="n">
        <f aca="false">IF(N(F360)&gt;0,F360,IF(N(E360)&gt;0,E360/요약!$F$27,0))</f>
        <v>28377</v>
      </c>
      <c r="L360" s="46" t="n">
        <f aca="false">IF(B360="CN",IF(N(I360)&gt;0,I360*요약!$G$27,K360*(1+요약!$E$27)),IF(N(H360)&gt;0,H360*요약!$G$27,J360*요약!$D$27))</f>
        <v>45936</v>
      </c>
      <c r="M360" s="46" t="n">
        <f aca="false">D360*J360</f>
        <v>16680000</v>
      </c>
      <c r="N360" s="46" t="n">
        <f aca="false">D360*K360</f>
        <v>3405240</v>
      </c>
      <c r="O360" s="46" t="n">
        <f aca="false">D360*L360</f>
        <v>5512320</v>
      </c>
      <c r="P360" s="42" t="str">
        <f aca="false">TRIM(IF(N(E360)&lt;=0,"택가보정 ","")&amp;IF(N(F360)&lt;=0,"원가보정 ","")&amp;IF(AND(B360&lt;&gt;"CN",N(H360)&lt;=0),"공급가보정 ","")&amp;IF(AND(B360="CN",N(I360)&lt;=0),"중국공급가=원가+마진 ",""))</f>
        <v/>
      </c>
      <c r="Q360" s="47" t="n">
        <f aca="false">IF(SUMIFS($W:$W,$A:$A,A360,$C:$C,C360)=0,0,SUMIFS(RAW_판매펀칭!$K:$K,RAW_판매펀칭!$P:$P,A360,RAW_판매펀칭!$I:$I,C360)*W360/SUMIFS($W:$W,$A:$A,A360,$C:$C,C360))</f>
        <v>0</v>
      </c>
      <c r="R360" s="47" t="n">
        <f aca="false">IF(OR(A360="500",A360="800",A360="810"),0,MAX(W360-Q360,0))</f>
        <v>0</v>
      </c>
      <c r="S360" s="47" t="n">
        <f aca="false">R360*L360</f>
        <v>0</v>
      </c>
      <c r="T360" s="47" t="n">
        <f aca="false">R360*J360</f>
        <v>0</v>
      </c>
      <c r="U360" s="47" t="n">
        <f aca="false">R360*K360</f>
        <v>0</v>
      </c>
      <c r="V360" s="0" t="str">
        <f aca="false">IF(COUNTIFS($A$2:A360,A360,$C$2:C360,C360,$D$2:D360,D360)&gt;1,"중복","")</f>
        <v/>
      </c>
      <c r="W360" s="0" t="n">
        <f aca="false">IF(V360="중복",0,N(D360))</f>
        <v>120</v>
      </c>
      <c r="X360" s="0" t="n">
        <f aca="false">IF(COUNTIFS($A$2:A360,A360,$C$2:C360,C360)=1,ABS(SUMIFS(RAW_발주!$D:$D,RAW_발주!$C:$C,A360,RAW_발주!$A:$A,C360)-SUMIFS($W:$W,$A:$A,A360,$C:$C,C360)),0)</f>
        <v>0</v>
      </c>
    </row>
    <row r="361" customFormat="false" ht="15" hidden="false" customHeight="true" outlineLevel="0" collapsed="false">
      <c r="A361" s="45" t="s">
        <v>1661</v>
      </c>
      <c r="B361" s="42" t="str">
        <f aca="false">IF(A361="100","HK",IF(A361="200","CN",IF(A361="300","TW","홀세일")))</f>
        <v>TW</v>
      </c>
      <c r="C361" s="45" t="s">
        <v>262</v>
      </c>
      <c r="D361" s="46" t="n">
        <v>650</v>
      </c>
      <c r="E361" s="46" t="n">
        <v>139000</v>
      </c>
      <c r="F361" s="46" t="n">
        <v>26700</v>
      </c>
      <c r="G361" s="42" t="n">
        <v>4.67</v>
      </c>
      <c r="H361" s="42" t="n">
        <v>34.8</v>
      </c>
      <c r="J361" s="46" t="n">
        <f aca="false">IF(N(E361)&gt;0,E361,IF(N(F361)&gt;0,F361*요약!$F$27,0))</f>
        <v>139000</v>
      </c>
      <c r="K361" s="46" t="n">
        <f aca="false">IF(N(F361)&gt;0,F361,IF(N(E361)&gt;0,E361/요약!$F$27,0))</f>
        <v>26700</v>
      </c>
      <c r="L361" s="46" t="n">
        <f aca="false">IF(B361="CN",IF(N(I361)&gt;0,I361*요약!$G$27,K361*(1+요약!$E$27)),IF(N(H361)&gt;0,H361*요약!$G$27,J361*요약!$D$27))</f>
        <v>45936</v>
      </c>
      <c r="M361" s="46" t="n">
        <f aca="false">D361*J361</f>
        <v>90350000</v>
      </c>
      <c r="N361" s="46" t="n">
        <f aca="false">D361*K361</f>
        <v>17355000</v>
      </c>
      <c r="O361" s="46" t="n">
        <f aca="false">D361*L361</f>
        <v>29858400</v>
      </c>
      <c r="P361" s="42" t="str">
        <f aca="false">TRIM(IF(N(E361)&lt;=0,"택가보정 ","")&amp;IF(N(F361)&lt;=0,"원가보정 ","")&amp;IF(AND(B361&lt;&gt;"CN",N(H361)&lt;=0),"공급가보정 ","")&amp;IF(AND(B361="CN",N(I361)&lt;=0),"중국공급가=원가+마진 ",""))</f>
        <v/>
      </c>
      <c r="Q361" s="47" t="n">
        <f aca="false">IF(SUMIFS($W:$W,$A:$A,A361,$C:$C,C361)=0,0,SUMIFS(RAW_판매펀칭!$K:$K,RAW_판매펀칭!$P:$P,A361,RAW_판매펀칭!$I:$I,C361)*W361/SUMIFS($W:$W,$A:$A,A361,$C:$C,C361))</f>
        <v>650</v>
      </c>
      <c r="R361" s="47" t="n">
        <f aca="false">IF(OR(A361="500",A361="800",A361="810"),0,MAX(W361-Q361,0))</f>
        <v>0</v>
      </c>
      <c r="S361" s="47" t="n">
        <f aca="false">R361*L361</f>
        <v>0</v>
      </c>
      <c r="T361" s="47" t="n">
        <f aca="false">R361*J361</f>
        <v>0</v>
      </c>
      <c r="U361" s="47" t="n">
        <f aca="false">R361*K361</f>
        <v>0</v>
      </c>
      <c r="V361" s="0" t="str">
        <f aca="false">IF(COUNTIFS($A$2:A361,A361,$C$2:C361,C361,$D$2:D361,D361)&gt;1,"중복","")</f>
        <v/>
      </c>
      <c r="W361" s="0" t="n">
        <f aca="false">IF(V361="중복",0,N(D361))</f>
        <v>650</v>
      </c>
      <c r="X361" s="0" t="n">
        <f aca="false">IF(COUNTIFS($A$2:A361,A361,$C$2:C361,C361)=1,ABS(SUMIFS(RAW_발주!$D:$D,RAW_발주!$C:$C,A361,RAW_발주!$A:$A,C361)-SUMIFS($W:$W,$A:$A,A361,$C:$C,C361)),0)</f>
        <v>0</v>
      </c>
    </row>
    <row r="362" customFormat="false" ht="15" hidden="false" customHeight="true" outlineLevel="0" collapsed="false">
      <c r="A362" s="45" t="s">
        <v>1663</v>
      </c>
      <c r="B362" s="42" t="str">
        <f aca="false">IF(A362="100","HK",IF(A362="200","CN",IF(A362="300","TW","홀세일")))</f>
        <v>홀세일</v>
      </c>
      <c r="C362" s="45" t="s">
        <v>262</v>
      </c>
      <c r="D362" s="46" t="n">
        <v>60</v>
      </c>
      <c r="E362" s="46" t="n">
        <v>139000</v>
      </c>
      <c r="F362" s="46" t="n">
        <v>26700</v>
      </c>
      <c r="G362" s="42" t="n">
        <v>4.67</v>
      </c>
      <c r="H362" s="42" t="n">
        <v>34.8</v>
      </c>
      <c r="J362" s="46" t="n">
        <f aca="false">IF(N(E362)&gt;0,E362,IF(N(F362)&gt;0,F362*요약!$F$27,0))</f>
        <v>139000</v>
      </c>
      <c r="K362" s="46" t="n">
        <f aca="false">IF(N(F362)&gt;0,F362,IF(N(E362)&gt;0,E362/요약!$F$27,0))</f>
        <v>26700</v>
      </c>
      <c r="L362" s="46" t="n">
        <f aca="false">IF(B362="CN",IF(N(I362)&gt;0,I362*요약!$G$27,K362*(1+요약!$E$27)),IF(N(H362)&gt;0,H362*요약!$G$27,J362*요약!$D$27))</f>
        <v>45936</v>
      </c>
      <c r="M362" s="46" t="n">
        <f aca="false">D362*J362</f>
        <v>8340000</v>
      </c>
      <c r="N362" s="46" t="n">
        <f aca="false">D362*K362</f>
        <v>1602000</v>
      </c>
      <c r="O362" s="46" t="n">
        <f aca="false">D362*L362</f>
        <v>2756160</v>
      </c>
      <c r="P362" s="42" t="str">
        <f aca="false">TRIM(IF(N(E362)&lt;=0,"택가보정 ","")&amp;IF(N(F362)&lt;=0,"원가보정 ","")&amp;IF(AND(B362&lt;&gt;"CN",N(H362)&lt;=0),"공급가보정 ","")&amp;IF(AND(B362="CN",N(I362)&lt;=0),"중국공급가=원가+마진 ",""))</f>
        <v/>
      </c>
      <c r="Q362" s="47" t="n">
        <f aca="false">IF(SUMIFS($W:$W,$A:$A,A362,$C:$C,C362)=0,0,SUMIFS(RAW_판매펀칭!$K:$K,RAW_판매펀칭!$P:$P,A362,RAW_판매펀칭!$I:$I,C362)*W362/SUMIFS($W:$W,$A:$A,A362,$C:$C,C362))</f>
        <v>60</v>
      </c>
      <c r="R362" s="47" t="n">
        <f aca="false">IF(OR(A362="500",A362="800",A362="810"),0,MAX(W362-Q362,0))</f>
        <v>0</v>
      </c>
      <c r="S362" s="47" t="n">
        <f aca="false">R362*L362</f>
        <v>0</v>
      </c>
      <c r="T362" s="47" t="n">
        <f aca="false">R362*J362</f>
        <v>0</v>
      </c>
      <c r="U362" s="47" t="n">
        <f aca="false">R362*K362</f>
        <v>0</v>
      </c>
      <c r="V362" s="0" t="str">
        <f aca="false">IF(COUNTIFS($A$2:A362,A362,$C$2:C362,C362,$D$2:D362,D362)&gt;1,"중복","")</f>
        <v/>
      </c>
      <c r="W362" s="0" t="n">
        <f aca="false">IF(V362="중복",0,N(D362))</f>
        <v>60</v>
      </c>
      <c r="X362" s="0" t="n">
        <f aca="false">IF(COUNTIFS($A$2:A362,A362,$C$2:C362,C362)=1,ABS(SUMIFS(RAW_발주!$D:$D,RAW_발주!$C:$C,A362,RAW_발주!$A:$A,C362)-SUMIFS($W:$W,$A:$A,A362,$C:$C,C362)),0)</f>
        <v>0</v>
      </c>
    </row>
    <row r="363" customFormat="false" ht="15" hidden="false" customHeight="true" outlineLevel="0" collapsed="false">
      <c r="A363" s="45" t="s">
        <v>1659</v>
      </c>
      <c r="B363" s="42" t="str">
        <f aca="false">IF(A363="100","HK",IF(A363="200","CN",IF(A363="300","TW","홀세일")))</f>
        <v>HK</v>
      </c>
      <c r="C363" s="45" t="s">
        <v>264</v>
      </c>
      <c r="D363" s="46" t="n">
        <v>180</v>
      </c>
      <c r="E363" s="46" t="n">
        <v>109000</v>
      </c>
      <c r="F363" s="46" t="n">
        <v>25411</v>
      </c>
      <c r="G363" s="42" t="n">
        <v>3.74</v>
      </c>
      <c r="H363" s="42" t="n">
        <v>27.3</v>
      </c>
      <c r="J363" s="46" t="n">
        <f aca="false">IF(N(E363)&gt;0,E363,IF(N(F363)&gt;0,F363*요약!$F$27,0))</f>
        <v>109000</v>
      </c>
      <c r="K363" s="46" t="n">
        <f aca="false">IF(N(F363)&gt;0,F363,IF(N(E363)&gt;0,E363/요약!$F$27,0))</f>
        <v>25411</v>
      </c>
      <c r="L363" s="46" t="n">
        <f aca="false">IF(B363="CN",IF(N(I363)&gt;0,I363*요약!$G$27,K363*(1+요약!$E$27)),IF(N(H363)&gt;0,H363*요약!$G$27,J363*요약!$D$27))</f>
        <v>36036</v>
      </c>
      <c r="M363" s="46" t="n">
        <f aca="false">D363*J363</f>
        <v>19620000</v>
      </c>
      <c r="N363" s="46" t="n">
        <f aca="false">D363*K363</f>
        <v>4573980</v>
      </c>
      <c r="O363" s="46" t="n">
        <f aca="false">D363*L363</f>
        <v>6486480</v>
      </c>
      <c r="P363" s="42" t="str">
        <f aca="false">TRIM(IF(N(E363)&lt;=0,"택가보정 ","")&amp;IF(N(F363)&lt;=0,"원가보정 ","")&amp;IF(AND(B363&lt;&gt;"CN",N(H363)&lt;=0),"공급가보정 ","")&amp;IF(AND(B363="CN",N(I363)&lt;=0),"중국공급가=원가+마진 ",""))</f>
        <v/>
      </c>
      <c r="Q363" s="47" t="n">
        <f aca="false">IF(SUMIFS($W:$W,$A:$A,A363,$C:$C,C363)=0,0,SUMIFS(RAW_판매펀칭!$K:$K,RAW_판매펀칭!$P:$P,A363,RAW_판매펀칭!$I:$I,C363)*W363/SUMIFS($W:$W,$A:$A,A363,$C:$C,C363))</f>
        <v>180</v>
      </c>
      <c r="R363" s="47" t="n">
        <f aca="false">IF(OR(A363="500",A363="800",A363="810"),0,MAX(W363-Q363,0))</f>
        <v>0</v>
      </c>
      <c r="S363" s="47" t="n">
        <f aca="false">R363*L363</f>
        <v>0</v>
      </c>
      <c r="T363" s="47" t="n">
        <f aca="false">R363*J363</f>
        <v>0</v>
      </c>
      <c r="U363" s="47" t="n">
        <f aca="false">R363*K363</f>
        <v>0</v>
      </c>
      <c r="V363" s="0" t="str">
        <f aca="false">IF(COUNTIFS($A$2:A363,A363,$C$2:C363,C363,$D$2:D363,D363)&gt;1,"중복","")</f>
        <v/>
      </c>
      <c r="W363" s="0" t="n">
        <f aca="false">IF(V363="중복",0,N(D363))</f>
        <v>180</v>
      </c>
      <c r="X363" s="0" t="n">
        <f aca="false">IF(COUNTIFS($A$2:A363,A363,$C$2:C363,C363)=1,ABS(SUMIFS(RAW_발주!$D:$D,RAW_발주!$C:$C,A363,RAW_발주!$A:$A,C363)-SUMIFS($W:$W,$A:$A,A363,$C:$C,C363)),0)</f>
        <v>0</v>
      </c>
    </row>
    <row r="364" customFormat="false" ht="15.75" hidden="false" customHeight="true" outlineLevel="0" collapsed="false">
      <c r="A364" s="45" t="s">
        <v>1660</v>
      </c>
      <c r="B364" s="42" t="str">
        <f aca="false">IF(A364="100","HK",IF(A364="200","CN",IF(A364="300","TW","홀세일")))</f>
        <v>CN</v>
      </c>
      <c r="C364" s="45" t="s">
        <v>264</v>
      </c>
      <c r="D364" s="46" t="n">
        <v>367</v>
      </c>
      <c r="E364" s="46" t="n">
        <v>109000</v>
      </c>
      <c r="F364" s="46" t="n">
        <v>25411</v>
      </c>
      <c r="G364" s="42" t="n">
        <v>3.74</v>
      </c>
      <c r="H364" s="42" t="n">
        <v>27.3</v>
      </c>
      <c r="J364" s="46" t="n">
        <f aca="false">IF(N(E364)&gt;0,E364,IF(N(F364)&gt;0,F364*요약!$F$27,0))</f>
        <v>109000</v>
      </c>
      <c r="K364" s="46" t="n">
        <f aca="false">IF(N(F364)&gt;0,F364,IF(N(E364)&gt;0,E364/요약!$F$27,0))</f>
        <v>25411</v>
      </c>
      <c r="L364" s="46" t="n">
        <f aca="false">IF(B364="CN",IF(N(I364)&gt;0,I364*요약!$G$27,K364*(1+요약!$E$27)),IF(N(H364)&gt;0,H364*요약!$G$27,J364*요약!$D$27))</f>
        <v>26681.55</v>
      </c>
      <c r="M364" s="46" t="n">
        <f aca="false">D364*J364</f>
        <v>40003000</v>
      </c>
      <c r="N364" s="46" t="n">
        <f aca="false">D364*K364</f>
        <v>9325837</v>
      </c>
      <c r="O364" s="46" t="n">
        <f aca="false">D364*L364</f>
        <v>9792128.85</v>
      </c>
      <c r="P364" s="42" t="str">
        <f aca="false">TRIM(IF(N(E364)&lt;=0,"택가보정 ","")&amp;IF(N(F364)&lt;=0,"원가보정 ","")&amp;IF(AND(B364&lt;&gt;"CN",N(H364)&lt;=0),"공급가보정 ","")&amp;IF(AND(B364="CN",N(I364)&lt;=0),"중국공급가=원가+마진 ",""))</f>
        <v>중국공급가=원가+마진</v>
      </c>
      <c r="Q364" s="47" t="n">
        <f aca="false">IF(SUMIFS($W:$W,$A:$A,A364,$C:$C,C364)=0,0,SUMIFS(RAW_판매펀칭!$K:$K,RAW_판매펀칭!$P:$P,A364,RAW_판매펀칭!$I:$I,C364)*W364/SUMIFS($W:$W,$A:$A,A364,$C:$C,C364))</f>
        <v>365</v>
      </c>
      <c r="R364" s="47" t="n">
        <f aca="false">IF(OR(A364="500",A364="800",A364="810"),0,MAX(W364-Q364,0))</f>
        <v>2</v>
      </c>
      <c r="S364" s="47" t="n">
        <f aca="false">R364*L364</f>
        <v>53363.1</v>
      </c>
      <c r="T364" s="47" t="n">
        <f aca="false">R364*J364</f>
        <v>218000</v>
      </c>
      <c r="U364" s="47" t="n">
        <f aca="false">R364*K364</f>
        <v>50822</v>
      </c>
      <c r="V364" s="0" t="str">
        <f aca="false">IF(COUNTIFS($A$2:A364,A364,$C$2:C364,C364,$D$2:D364,D364)&gt;1,"중복","")</f>
        <v/>
      </c>
      <c r="W364" s="0" t="n">
        <f aca="false">IF(V364="중복",0,N(D364))</f>
        <v>367</v>
      </c>
      <c r="X364" s="0" t="n">
        <f aca="false">IF(COUNTIFS($A$2:A364,A364,$C$2:C364,C364)=1,ABS(SUMIFS(RAW_발주!$D:$D,RAW_발주!$C:$C,A364,RAW_발주!$A:$A,C364)-SUMIFS($W:$W,$A:$A,A364,$C:$C,C364)),0)</f>
        <v>0</v>
      </c>
    </row>
    <row r="365" customFormat="false" ht="15" hidden="false" customHeight="true" outlineLevel="0" collapsed="false">
      <c r="A365" s="45" t="s">
        <v>1661</v>
      </c>
      <c r="B365" s="42" t="str">
        <f aca="false">IF(A365="100","HK",IF(A365="200","CN",IF(A365="300","TW","홀세일")))</f>
        <v>TW</v>
      </c>
      <c r="C365" s="45" t="s">
        <v>264</v>
      </c>
      <c r="D365" s="46" t="n">
        <v>80</v>
      </c>
      <c r="E365" s="46" t="n">
        <v>109000</v>
      </c>
      <c r="F365" s="46" t="n">
        <v>25411</v>
      </c>
      <c r="G365" s="42" t="n">
        <v>3.74</v>
      </c>
      <c r="H365" s="42" t="n">
        <v>27.3</v>
      </c>
      <c r="J365" s="46" t="n">
        <f aca="false">IF(N(E365)&gt;0,E365,IF(N(F365)&gt;0,F365*요약!$F$27,0))</f>
        <v>109000</v>
      </c>
      <c r="K365" s="46" t="n">
        <f aca="false">IF(N(F365)&gt;0,F365,IF(N(E365)&gt;0,E365/요약!$F$27,0))</f>
        <v>25411</v>
      </c>
      <c r="L365" s="46" t="n">
        <f aca="false">IF(B365="CN",IF(N(I365)&gt;0,I365*요약!$G$27,K365*(1+요약!$E$27)),IF(N(H365)&gt;0,H365*요약!$G$27,J365*요약!$D$27))</f>
        <v>36036</v>
      </c>
      <c r="M365" s="46" t="n">
        <f aca="false">D365*J365</f>
        <v>8720000</v>
      </c>
      <c r="N365" s="46" t="n">
        <f aca="false">D365*K365</f>
        <v>2032880</v>
      </c>
      <c r="O365" s="46" t="n">
        <f aca="false">D365*L365</f>
        <v>2882880</v>
      </c>
      <c r="P365" s="42" t="str">
        <f aca="false">TRIM(IF(N(E365)&lt;=0,"택가보정 ","")&amp;IF(N(F365)&lt;=0,"원가보정 ","")&amp;IF(AND(B365&lt;&gt;"CN",N(H365)&lt;=0),"공급가보정 ","")&amp;IF(AND(B365="CN",N(I365)&lt;=0),"중국공급가=원가+마진 ",""))</f>
        <v/>
      </c>
      <c r="Q365" s="47" t="n">
        <f aca="false">IF(SUMIFS($W:$W,$A:$A,A365,$C:$C,C365)=0,0,SUMIFS(RAW_판매펀칭!$K:$K,RAW_판매펀칭!$P:$P,A365,RAW_판매펀칭!$I:$I,C365)*W365/SUMIFS($W:$W,$A:$A,A365,$C:$C,C365))</f>
        <v>80</v>
      </c>
      <c r="R365" s="47" t="n">
        <f aca="false">IF(OR(A365="500",A365="800",A365="810"),0,MAX(W365-Q365,0))</f>
        <v>0</v>
      </c>
      <c r="S365" s="47" t="n">
        <f aca="false">R365*L365</f>
        <v>0</v>
      </c>
      <c r="T365" s="47" t="n">
        <f aca="false">R365*J365</f>
        <v>0</v>
      </c>
      <c r="U365" s="47" t="n">
        <f aca="false">R365*K365</f>
        <v>0</v>
      </c>
      <c r="V365" s="0" t="str">
        <f aca="false">IF(COUNTIFS($A$2:A365,A365,$C$2:C365,C365,$D$2:D365,D365)&gt;1,"중복","")</f>
        <v/>
      </c>
      <c r="W365" s="0" t="n">
        <f aca="false">IF(V365="중복",0,N(D365))</f>
        <v>80</v>
      </c>
      <c r="X365" s="0" t="n">
        <f aca="false">IF(COUNTIFS($A$2:A365,A365,$C$2:C365,C365)=1,ABS(SUMIFS(RAW_발주!$D:$D,RAW_발주!$C:$C,A365,RAW_발주!$A:$A,C365)-SUMIFS($W:$W,$A:$A,A365,$C:$C,C365)),0)</f>
        <v>0</v>
      </c>
    </row>
    <row r="366" customFormat="false" ht="15" hidden="false" customHeight="true" outlineLevel="0" collapsed="false">
      <c r="A366" s="45" t="s">
        <v>1665</v>
      </c>
      <c r="B366" s="42" t="str">
        <f aca="false">IF(A366="100","HK",IF(A366="200","CN",IF(A366="300","TW","홀세일")))</f>
        <v>홀세일</v>
      </c>
      <c r="C366" s="45" t="s">
        <v>264</v>
      </c>
      <c r="D366" s="46" t="n">
        <v>228</v>
      </c>
      <c r="E366" s="46" t="n">
        <v>109000</v>
      </c>
      <c r="F366" s="46" t="n">
        <v>25411</v>
      </c>
      <c r="G366" s="42" t="n">
        <v>3.74</v>
      </c>
      <c r="H366" s="42" t="n">
        <v>27.3</v>
      </c>
      <c r="J366" s="46" t="n">
        <f aca="false">IF(N(E366)&gt;0,E366,IF(N(F366)&gt;0,F366*요약!$F$27,0))</f>
        <v>109000</v>
      </c>
      <c r="K366" s="46" t="n">
        <f aca="false">IF(N(F366)&gt;0,F366,IF(N(E366)&gt;0,E366/요약!$F$27,0))</f>
        <v>25411</v>
      </c>
      <c r="L366" s="46" t="n">
        <f aca="false">IF(B366="CN",IF(N(I366)&gt;0,I366*요약!$G$27,K366*(1+요약!$E$27)),IF(N(H366)&gt;0,H366*요약!$G$27,J366*요약!$D$27))</f>
        <v>36036</v>
      </c>
      <c r="M366" s="46" t="n">
        <f aca="false">D366*J366</f>
        <v>24852000</v>
      </c>
      <c r="N366" s="46" t="n">
        <f aca="false">D366*K366</f>
        <v>5793708</v>
      </c>
      <c r="O366" s="46" t="n">
        <f aca="false">D366*L366</f>
        <v>8216208</v>
      </c>
      <c r="P366" s="42" t="str">
        <f aca="false">TRIM(IF(N(E366)&lt;=0,"택가보정 ","")&amp;IF(N(F366)&lt;=0,"원가보정 ","")&amp;IF(AND(B366&lt;&gt;"CN",N(H366)&lt;=0),"공급가보정 ","")&amp;IF(AND(B366="CN",N(I366)&lt;=0),"중국공급가=원가+마진 ",""))</f>
        <v/>
      </c>
      <c r="Q366" s="47" t="n">
        <f aca="false">IF(SUMIFS($W:$W,$A:$A,A366,$C:$C,C366)=0,0,SUMIFS(RAW_판매펀칭!$K:$K,RAW_판매펀칭!$P:$P,A366,RAW_판매펀칭!$I:$I,C366)*W366/SUMIFS($W:$W,$A:$A,A366,$C:$C,C366))</f>
        <v>228</v>
      </c>
      <c r="R366" s="47" t="n">
        <f aca="false">IF(OR(A366="500",A366="800",A366="810"),0,MAX(W366-Q366,0))</f>
        <v>0</v>
      </c>
      <c r="S366" s="47" t="n">
        <f aca="false">R366*L366</f>
        <v>0</v>
      </c>
      <c r="T366" s="47" t="n">
        <f aca="false">R366*J366</f>
        <v>0</v>
      </c>
      <c r="U366" s="47" t="n">
        <f aca="false">R366*K366</f>
        <v>0</v>
      </c>
      <c r="V366" s="0" t="str">
        <f aca="false">IF(COUNTIFS($A$2:A366,A366,$C$2:C366,C366,$D$2:D366,D366)&gt;1,"중복","")</f>
        <v/>
      </c>
      <c r="W366" s="0" t="n">
        <f aca="false">IF(V366="중복",0,N(D366))</f>
        <v>228</v>
      </c>
      <c r="X366" s="0" t="n">
        <f aca="false">IF(COUNTIFS($A$2:A366,A366,$C$2:C366,C366)=1,ABS(SUMIFS(RAW_발주!$D:$D,RAW_발주!$C:$C,A366,RAW_발주!$A:$A,C366)-SUMIFS($W:$W,$A:$A,A366,$C:$C,C366)),0)</f>
        <v>0</v>
      </c>
    </row>
    <row r="367" customFormat="false" ht="15" hidden="false" customHeight="true" outlineLevel="0" collapsed="false">
      <c r="A367" s="45" t="s">
        <v>1661</v>
      </c>
      <c r="B367" s="42" t="str">
        <f aca="false">IF(A367="100","HK",IF(A367="200","CN",IF(A367="300","TW","홀세일")))</f>
        <v>TW</v>
      </c>
      <c r="C367" s="45" t="s">
        <v>266</v>
      </c>
      <c r="D367" s="46" t="n">
        <v>120</v>
      </c>
      <c r="E367" s="46" t="n">
        <v>99000</v>
      </c>
      <c r="F367" s="46" t="n">
        <v>21900</v>
      </c>
      <c r="G367" s="42" t="n">
        <v>3.6</v>
      </c>
      <c r="H367" s="42" t="n">
        <v>24.8</v>
      </c>
      <c r="J367" s="46" t="n">
        <f aca="false">IF(N(E367)&gt;0,E367,IF(N(F367)&gt;0,F367*요약!$F$27,0))</f>
        <v>99000</v>
      </c>
      <c r="K367" s="46" t="n">
        <f aca="false">IF(N(F367)&gt;0,F367,IF(N(E367)&gt;0,E367/요약!$F$27,0))</f>
        <v>21900</v>
      </c>
      <c r="L367" s="46" t="n">
        <f aca="false">IF(B367="CN",IF(N(I367)&gt;0,I367*요약!$G$27,K367*(1+요약!$E$27)),IF(N(H367)&gt;0,H367*요약!$G$27,J367*요약!$D$27))</f>
        <v>32736</v>
      </c>
      <c r="M367" s="46" t="n">
        <f aca="false">D367*J367</f>
        <v>11880000</v>
      </c>
      <c r="N367" s="46" t="n">
        <f aca="false">D367*K367</f>
        <v>2628000</v>
      </c>
      <c r="O367" s="46" t="n">
        <f aca="false">D367*L367</f>
        <v>3928320</v>
      </c>
      <c r="P367" s="42" t="str">
        <f aca="false">TRIM(IF(N(E367)&lt;=0,"택가보정 ","")&amp;IF(N(F367)&lt;=0,"원가보정 ","")&amp;IF(AND(B367&lt;&gt;"CN",N(H367)&lt;=0),"공급가보정 ","")&amp;IF(AND(B367="CN",N(I367)&lt;=0),"중국공급가=원가+마진 ",""))</f>
        <v/>
      </c>
      <c r="Q367" s="47" t="n">
        <f aca="false">IF(SUMIFS($W:$W,$A:$A,A367,$C:$C,C367)=0,0,SUMIFS(RAW_판매펀칭!$K:$K,RAW_판매펀칭!$P:$P,A367,RAW_판매펀칭!$I:$I,C367)*W367/SUMIFS($W:$W,$A:$A,A367,$C:$C,C367))</f>
        <v>120</v>
      </c>
      <c r="R367" s="47" t="n">
        <f aca="false">IF(OR(A367="500",A367="800",A367="810"),0,MAX(W367-Q367,0))</f>
        <v>0</v>
      </c>
      <c r="S367" s="47" t="n">
        <f aca="false">R367*L367</f>
        <v>0</v>
      </c>
      <c r="T367" s="47" t="n">
        <f aca="false">R367*J367</f>
        <v>0</v>
      </c>
      <c r="U367" s="47" t="n">
        <f aca="false">R367*K367</f>
        <v>0</v>
      </c>
      <c r="V367" s="0" t="str">
        <f aca="false">IF(COUNTIFS($A$2:A367,A367,$C$2:C367,C367,$D$2:D367,D367)&gt;1,"중복","")</f>
        <v/>
      </c>
      <c r="W367" s="0" t="n">
        <f aca="false">IF(V367="중복",0,N(D367))</f>
        <v>120</v>
      </c>
      <c r="X367" s="0" t="n">
        <f aca="false">IF(COUNTIFS($A$2:A367,A367,$C$2:C367,C367)=1,ABS(SUMIFS(RAW_발주!$D:$D,RAW_발주!$C:$C,A367,RAW_발주!$A:$A,C367)-SUMIFS($W:$W,$A:$A,A367,$C:$C,C367)),0)</f>
        <v>0</v>
      </c>
    </row>
    <row r="368" customFormat="false" ht="15" hidden="false" customHeight="true" outlineLevel="0" collapsed="false">
      <c r="A368" s="45" t="s">
        <v>1663</v>
      </c>
      <c r="B368" s="42" t="str">
        <f aca="false">IF(A368="100","HK",IF(A368="200","CN",IF(A368="300","TW","홀세일")))</f>
        <v>홀세일</v>
      </c>
      <c r="C368" s="45" t="s">
        <v>266</v>
      </c>
      <c r="D368" s="46" t="n">
        <v>20</v>
      </c>
      <c r="E368" s="46" t="n">
        <v>99000</v>
      </c>
      <c r="F368" s="46" t="n">
        <v>21900</v>
      </c>
      <c r="G368" s="42" t="n">
        <v>3.6</v>
      </c>
      <c r="H368" s="42" t="n">
        <v>24.8</v>
      </c>
      <c r="J368" s="46" t="n">
        <f aca="false">IF(N(E368)&gt;0,E368,IF(N(F368)&gt;0,F368*요약!$F$27,0))</f>
        <v>99000</v>
      </c>
      <c r="K368" s="46" t="n">
        <f aca="false">IF(N(F368)&gt;0,F368,IF(N(E368)&gt;0,E368/요약!$F$27,0))</f>
        <v>21900</v>
      </c>
      <c r="L368" s="46" t="n">
        <f aca="false">IF(B368="CN",IF(N(I368)&gt;0,I368*요약!$G$27,K368*(1+요약!$E$27)),IF(N(H368)&gt;0,H368*요약!$G$27,J368*요약!$D$27))</f>
        <v>32736</v>
      </c>
      <c r="M368" s="46" t="n">
        <f aca="false">D368*J368</f>
        <v>1980000</v>
      </c>
      <c r="N368" s="46" t="n">
        <f aca="false">D368*K368</f>
        <v>438000</v>
      </c>
      <c r="O368" s="46" t="n">
        <f aca="false">D368*L368</f>
        <v>654720</v>
      </c>
      <c r="P368" s="42" t="str">
        <f aca="false">TRIM(IF(N(E368)&lt;=0,"택가보정 ","")&amp;IF(N(F368)&lt;=0,"원가보정 ","")&amp;IF(AND(B368&lt;&gt;"CN",N(H368)&lt;=0),"공급가보정 ","")&amp;IF(AND(B368="CN",N(I368)&lt;=0),"중국공급가=원가+마진 ",""))</f>
        <v/>
      </c>
      <c r="Q368" s="47" t="n">
        <f aca="false">IF(SUMIFS($W:$W,$A:$A,A368,$C:$C,C368)=0,0,SUMIFS(RAW_판매펀칭!$K:$K,RAW_판매펀칭!$P:$P,A368,RAW_판매펀칭!$I:$I,C368)*W368/SUMIFS($W:$W,$A:$A,A368,$C:$C,C368))</f>
        <v>20</v>
      </c>
      <c r="R368" s="47" t="n">
        <f aca="false">IF(OR(A368="500",A368="800",A368="810"),0,MAX(W368-Q368,0))</f>
        <v>0</v>
      </c>
      <c r="S368" s="47" t="n">
        <f aca="false">R368*L368</f>
        <v>0</v>
      </c>
      <c r="T368" s="47" t="n">
        <f aca="false">R368*J368</f>
        <v>0</v>
      </c>
      <c r="U368" s="47" t="n">
        <f aca="false">R368*K368</f>
        <v>0</v>
      </c>
      <c r="V368" s="0" t="str">
        <f aca="false">IF(COUNTIFS($A$2:A368,A368,$C$2:C368,C368,$D$2:D368,D368)&gt;1,"중복","")</f>
        <v/>
      </c>
      <c r="W368" s="0" t="n">
        <f aca="false">IF(V368="중복",0,N(D368))</f>
        <v>20</v>
      </c>
      <c r="X368" s="0" t="n">
        <f aca="false">IF(COUNTIFS($A$2:A368,A368,$C$2:C368,C368)=1,ABS(SUMIFS(RAW_발주!$D:$D,RAW_발주!$C:$C,A368,RAW_발주!$A:$A,C368)-SUMIFS($W:$W,$A:$A,A368,$C:$C,C368)),0)</f>
        <v>0</v>
      </c>
    </row>
    <row r="369" customFormat="false" ht="15" hidden="false" customHeight="true" outlineLevel="0" collapsed="false">
      <c r="A369" s="45" t="s">
        <v>1659</v>
      </c>
      <c r="B369" s="42" t="str">
        <f aca="false">IF(A369="100","HK",IF(A369="200","CN",IF(A369="300","TW","홀세일")))</f>
        <v>HK</v>
      </c>
      <c r="C369" s="45" t="s">
        <v>828</v>
      </c>
      <c r="D369" s="46" t="n">
        <v>330</v>
      </c>
      <c r="E369" s="46" t="n">
        <v>139000</v>
      </c>
      <c r="F369" s="46" t="n">
        <v>29900</v>
      </c>
      <c r="G369" s="42" t="n">
        <v>4.01</v>
      </c>
      <c r="H369" s="42" t="n">
        <v>36.9</v>
      </c>
      <c r="J369" s="46" t="n">
        <f aca="false">IF(N(E369)&gt;0,E369,IF(N(F369)&gt;0,F369*요약!$F$27,0))</f>
        <v>139000</v>
      </c>
      <c r="K369" s="46" t="n">
        <f aca="false">IF(N(F369)&gt;0,F369,IF(N(E369)&gt;0,E369/요약!$F$27,0))</f>
        <v>29900</v>
      </c>
      <c r="L369" s="46" t="n">
        <f aca="false">IF(B369="CN",IF(N(I369)&gt;0,I369*요약!$G$27,K369*(1+요약!$E$27)),IF(N(H369)&gt;0,H369*요약!$G$27,J369*요약!$D$27))</f>
        <v>48708</v>
      </c>
      <c r="M369" s="46" t="n">
        <f aca="false">D369*J369</f>
        <v>45870000</v>
      </c>
      <c r="N369" s="46" t="n">
        <f aca="false">D369*K369</f>
        <v>9867000</v>
      </c>
      <c r="O369" s="46" t="n">
        <f aca="false">D369*L369</f>
        <v>16073640</v>
      </c>
      <c r="P369" s="42" t="str">
        <f aca="false">TRIM(IF(N(E369)&lt;=0,"택가보정 ","")&amp;IF(N(F369)&lt;=0,"원가보정 ","")&amp;IF(AND(B369&lt;&gt;"CN",N(H369)&lt;=0),"공급가보정 ","")&amp;IF(AND(B369="CN",N(I369)&lt;=0),"중국공급가=원가+마진 ",""))</f>
        <v/>
      </c>
      <c r="Q369" s="47" t="n">
        <f aca="false">IF(SUMIFS($W:$W,$A:$A,A369,$C:$C,C369)=0,0,SUMIFS(RAW_판매펀칭!$K:$K,RAW_판매펀칭!$P:$P,A369,RAW_판매펀칭!$I:$I,C369)*W369/SUMIFS($W:$W,$A:$A,A369,$C:$C,C369))</f>
        <v>330</v>
      </c>
      <c r="R369" s="47" t="n">
        <f aca="false">IF(OR(A369="500",A369="800",A369="810"),0,MAX(W369-Q369,0))</f>
        <v>0</v>
      </c>
      <c r="S369" s="47" t="n">
        <f aca="false">R369*L369</f>
        <v>0</v>
      </c>
      <c r="T369" s="47" t="n">
        <f aca="false">R369*J369</f>
        <v>0</v>
      </c>
      <c r="U369" s="47" t="n">
        <f aca="false">R369*K369</f>
        <v>0</v>
      </c>
      <c r="V369" s="0" t="str">
        <f aca="false">IF(COUNTIFS($A$2:A369,A369,$C$2:C369,C369,$D$2:D369,D369)&gt;1,"중복","")</f>
        <v/>
      </c>
      <c r="W369" s="0" t="n">
        <f aca="false">IF(V369="중복",0,N(D369))</f>
        <v>330</v>
      </c>
      <c r="X369" s="0" t="n">
        <f aca="false">IF(COUNTIFS($A$2:A369,A369,$C$2:C369,C369)=1,ABS(SUMIFS(RAW_발주!$D:$D,RAW_발주!$C:$C,A369,RAW_발주!$A:$A,C369)-SUMIFS($W:$W,$A:$A,A369,$C:$C,C369)),0)</f>
        <v>0</v>
      </c>
    </row>
    <row r="370" customFormat="false" ht="15" hidden="false" customHeight="true" outlineLevel="0" collapsed="false">
      <c r="A370" s="45" t="s">
        <v>1663</v>
      </c>
      <c r="B370" s="42" t="str">
        <f aca="false">IF(A370="100","HK",IF(A370="200","CN",IF(A370="300","TW","홀세일")))</f>
        <v>홀세일</v>
      </c>
      <c r="C370" s="45" t="s">
        <v>828</v>
      </c>
      <c r="D370" s="46" t="n">
        <v>65</v>
      </c>
      <c r="E370" s="46" t="n">
        <v>139000</v>
      </c>
      <c r="F370" s="46" t="n">
        <v>29900</v>
      </c>
      <c r="G370" s="42" t="n">
        <v>4.01</v>
      </c>
      <c r="H370" s="42" t="n">
        <v>36.9</v>
      </c>
      <c r="J370" s="46" t="n">
        <f aca="false">IF(N(E370)&gt;0,E370,IF(N(F370)&gt;0,F370*요약!$F$27,0))</f>
        <v>139000</v>
      </c>
      <c r="K370" s="46" t="n">
        <f aca="false">IF(N(F370)&gt;0,F370,IF(N(E370)&gt;0,E370/요약!$F$27,0))</f>
        <v>29900</v>
      </c>
      <c r="L370" s="46" t="n">
        <f aca="false">IF(B370="CN",IF(N(I370)&gt;0,I370*요약!$G$27,K370*(1+요약!$E$27)),IF(N(H370)&gt;0,H370*요약!$G$27,J370*요약!$D$27))</f>
        <v>48708</v>
      </c>
      <c r="M370" s="46" t="n">
        <f aca="false">D370*J370</f>
        <v>9035000</v>
      </c>
      <c r="N370" s="46" t="n">
        <f aca="false">D370*K370</f>
        <v>1943500</v>
      </c>
      <c r="O370" s="46" t="n">
        <f aca="false">D370*L370</f>
        <v>3166020</v>
      </c>
      <c r="P370" s="42" t="str">
        <f aca="false">TRIM(IF(N(E370)&lt;=0,"택가보정 ","")&amp;IF(N(F370)&lt;=0,"원가보정 ","")&amp;IF(AND(B370&lt;&gt;"CN",N(H370)&lt;=0),"공급가보정 ","")&amp;IF(AND(B370="CN",N(I370)&lt;=0),"중국공급가=원가+마진 ",""))</f>
        <v/>
      </c>
      <c r="Q370" s="47" t="n">
        <f aca="false">IF(SUMIFS($W:$W,$A:$A,A370,$C:$C,C370)=0,0,SUMIFS(RAW_판매펀칭!$K:$K,RAW_판매펀칭!$P:$P,A370,RAW_판매펀칭!$I:$I,C370)*W370/SUMIFS($W:$W,$A:$A,A370,$C:$C,C370))</f>
        <v>65</v>
      </c>
      <c r="R370" s="47" t="n">
        <f aca="false">IF(OR(A370="500",A370="800",A370="810"),0,MAX(W370-Q370,0))</f>
        <v>0</v>
      </c>
      <c r="S370" s="47" t="n">
        <f aca="false">R370*L370</f>
        <v>0</v>
      </c>
      <c r="T370" s="47" t="n">
        <f aca="false">R370*J370</f>
        <v>0</v>
      </c>
      <c r="U370" s="47" t="n">
        <f aca="false">R370*K370</f>
        <v>0</v>
      </c>
      <c r="V370" s="0" t="str">
        <f aca="false">IF(COUNTIFS($A$2:A370,A370,$C$2:C370,C370,$D$2:D370,D370)&gt;1,"중복","")</f>
        <v/>
      </c>
      <c r="W370" s="0" t="n">
        <f aca="false">IF(V370="중복",0,N(D370))</f>
        <v>65</v>
      </c>
      <c r="X370" s="0" t="n">
        <f aca="false">IF(COUNTIFS($A$2:A370,A370,$C$2:C370,C370)=1,ABS(SUMIFS(RAW_발주!$D:$D,RAW_발주!$C:$C,A370,RAW_발주!$A:$A,C370)-SUMIFS($W:$W,$A:$A,A370,$C:$C,C370)),0)</f>
        <v>0</v>
      </c>
    </row>
    <row r="371" customFormat="false" ht="15" hidden="false" customHeight="true" outlineLevel="0" collapsed="false">
      <c r="A371" s="45" t="s">
        <v>1667</v>
      </c>
      <c r="B371" s="42" t="str">
        <f aca="false">IF(A371="100","HK",IF(A371="200","CN",IF(A371="300","TW","홀세일")))</f>
        <v>홀세일</v>
      </c>
      <c r="C371" s="45" t="s">
        <v>828</v>
      </c>
      <c r="D371" s="46" t="n">
        <v>66</v>
      </c>
      <c r="E371" s="46" t="n">
        <v>139000</v>
      </c>
      <c r="F371" s="46" t="n">
        <v>29900</v>
      </c>
      <c r="G371" s="42" t="n">
        <v>4.01</v>
      </c>
      <c r="H371" s="42" t="n">
        <v>36.9</v>
      </c>
      <c r="J371" s="46" t="n">
        <f aca="false">IF(N(E371)&gt;0,E371,IF(N(F371)&gt;0,F371*요약!$F$27,0))</f>
        <v>139000</v>
      </c>
      <c r="K371" s="46" t="n">
        <f aca="false">IF(N(F371)&gt;0,F371,IF(N(E371)&gt;0,E371/요약!$F$27,0))</f>
        <v>29900</v>
      </c>
      <c r="L371" s="46" t="n">
        <f aca="false">IF(B371="CN",IF(N(I371)&gt;0,I371*요약!$G$27,K371*(1+요약!$E$27)),IF(N(H371)&gt;0,H371*요약!$G$27,J371*요약!$D$27))</f>
        <v>48708</v>
      </c>
      <c r="M371" s="46" t="n">
        <f aca="false">D371*J371</f>
        <v>9174000</v>
      </c>
      <c r="N371" s="46" t="n">
        <f aca="false">D371*K371</f>
        <v>1973400</v>
      </c>
      <c r="O371" s="46" t="n">
        <f aca="false">D371*L371</f>
        <v>3214728</v>
      </c>
      <c r="P371" s="42" t="str">
        <f aca="false">TRIM(IF(N(E371)&lt;=0,"택가보정 ","")&amp;IF(N(F371)&lt;=0,"원가보정 ","")&amp;IF(AND(B371&lt;&gt;"CN",N(H371)&lt;=0),"공급가보정 ","")&amp;IF(AND(B371="CN",N(I371)&lt;=0),"중국공급가=원가+마진 ",""))</f>
        <v/>
      </c>
      <c r="Q371" s="47" t="n">
        <f aca="false">IF(SUMIFS($W:$W,$A:$A,A371,$C:$C,C371)=0,0,SUMIFS(RAW_판매펀칭!$K:$K,RAW_판매펀칭!$P:$P,A371,RAW_판매펀칭!$I:$I,C371)*W371/SUMIFS($W:$W,$A:$A,A371,$C:$C,C371))</f>
        <v>66</v>
      </c>
      <c r="R371" s="47" t="n">
        <f aca="false">IF(OR(A371="500",A371="800",A371="810"),0,MAX(W371-Q371,0))</f>
        <v>0</v>
      </c>
      <c r="S371" s="47" t="n">
        <f aca="false">R371*L371</f>
        <v>0</v>
      </c>
      <c r="T371" s="47" t="n">
        <f aca="false">R371*J371</f>
        <v>0</v>
      </c>
      <c r="U371" s="47" t="n">
        <f aca="false">R371*K371</f>
        <v>0</v>
      </c>
      <c r="V371" s="0" t="str">
        <f aca="false">IF(COUNTIFS($A$2:A371,A371,$C$2:C371,C371,$D$2:D371,D371)&gt;1,"중복","")</f>
        <v/>
      </c>
      <c r="W371" s="0" t="n">
        <f aca="false">IF(V371="중복",0,N(D371))</f>
        <v>66</v>
      </c>
      <c r="X371" s="0" t="n">
        <f aca="false">IF(COUNTIFS($A$2:A371,A371,$C$2:C371,C371)=1,ABS(SUMIFS(RAW_발주!$D:$D,RAW_발주!$C:$C,A371,RAW_발주!$A:$A,C371)-SUMIFS($W:$W,$A:$A,A371,$C:$C,C371)),0)</f>
        <v>0</v>
      </c>
    </row>
    <row r="372" customFormat="false" ht="15" hidden="false" customHeight="true" outlineLevel="0" collapsed="false">
      <c r="A372" s="45" t="s">
        <v>1659</v>
      </c>
      <c r="B372" s="42" t="str">
        <f aca="false">IF(A372="100","HK",IF(A372="200","CN",IF(A372="300","TW","홀세일")))</f>
        <v>HK</v>
      </c>
      <c r="C372" s="45" t="s">
        <v>268</v>
      </c>
      <c r="D372" s="46" t="n">
        <v>470</v>
      </c>
      <c r="E372" s="46" t="n">
        <v>169000</v>
      </c>
      <c r="F372" s="46" t="n">
        <v>29482</v>
      </c>
      <c r="G372" s="42" t="n">
        <v>4.06</v>
      </c>
      <c r="H372" s="42" t="n">
        <v>44.9</v>
      </c>
      <c r="J372" s="46" t="n">
        <f aca="false">IF(N(E372)&gt;0,E372,IF(N(F372)&gt;0,F372*요약!$F$27,0))</f>
        <v>169000</v>
      </c>
      <c r="K372" s="46" t="n">
        <f aca="false">IF(N(F372)&gt;0,F372,IF(N(E372)&gt;0,E372/요약!$F$27,0))</f>
        <v>29482</v>
      </c>
      <c r="L372" s="46" t="n">
        <f aca="false">IF(B372="CN",IF(N(I372)&gt;0,I372*요약!$G$27,K372*(1+요약!$E$27)),IF(N(H372)&gt;0,H372*요약!$G$27,J372*요약!$D$27))</f>
        <v>59268</v>
      </c>
      <c r="M372" s="46" t="n">
        <f aca="false">D372*J372</f>
        <v>79430000</v>
      </c>
      <c r="N372" s="46" t="n">
        <f aca="false">D372*K372</f>
        <v>13856540</v>
      </c>
      <c r="O372" s="46" t="n">
        <f aca="false">D372*L372</f>
        <v>27855960</v>
      </c>
      <c r="P372" s="42" t="str">
        <f aca="false">TRIM(IF(N(E372)&lt;=0,"택가보정 ","")&amp;IF(N(F372)&lt;=0,"원가보정 ","")&amp;IF(AND(B372&lt;&gt;"CN",N(H372)&lt;=0),"공급가보정 ","")&amp;IF(AND(B372="CN",N(I372)&lt;=0),"중국공급가=원가+마진 ",""))</f>
        <v/>
      </c>
      <c r="Q372" s="47" t="n">
        <f aca="false">IF(SUMIFS($W:$W,$A:$A,A372,$C:$C,C372)=0,0,SUMIFS(RAW_판매펀칭!$K:$K,RAW_판매펀칭!$P:$P,A372,RAW_판매펀칭!$I:$I,C372)*W372/SUMIFS($W:$W,$A:$A,A372,$C:$C,C372))</f>
        <v>470</v>
      </c>
      <c r="R372" s="47" t="n">
        <f aca="false">IF(OR(A372="500",A372="800",A372="810"),0,MAX(W372-Q372,0))</f>
        <v>0</v>
      </c>
      <c r="S372" s="47" t="n">
        <f aca="false">R372*L372</f>
        <v>0</v>
      </c>
      <c r="T372" s="47" t="n">
        <f aca="false">R372*J372</f>
        <v>0</v>
      </c>
      <c r="U372" s="47" t="n">
        <f aca="false">R372*K372</f>
        <v>0</v>
      </c>
      <c r="V372" s="0" t="str">
        <f aca="false">IF(COUNTIFS($A$2:A372,A372,$C$2:C372,C372,$D$2:D372,D372)&gt;1,"중복","")</f>
        <v/>
      </c>
      <c r="W372" s="0" t="n">
        <f aca="false">IF(V372="중복",0,N(D372))</f>
        <v>470</v>
      </c>
      <c r="X372" s="0" t="n">
        <f aca="false">IF(COUNTIFS($A$2:A372,A372,$C$2:C372,C372)=1,ABS(SUMIFS(RAW_발주!$D:$D,RAW_발주!$C:$C,A372,RAW_발주!$A:$A,C372)-SUMIFS($W:$W,$A:$A,A372,$C:$C,C372)),0)</f>
        <v>0</v>
      </c>
    </row>
    <row r="373" customFormat="false" ht="15" hidden="false" customHeight="true" outlineLevel="0" collapsed="false">
      <c r="A373" s="45" t="s">
        <v>1661</v>
      </c>
      <c r="B373" s="42" t="str">
        <f aca="false">IF(A373="100","HK",IF(A373="200","CN",IF(A373="300","TW","홀세일")))</f>
        <v>TW</v>
      </c>
      <c r="C373" s="45" t="s">
        <v>268</v>
      </c>
      <c r="D373" s="46" t="n">
        <v>400</v>
      </c>
      <c r="E373" s="46" t="n">
        <v>169000</v>
      </c>
      <c r="F373" s="46" t="n">
        <v>29482</v>
      </c>
      <c r="G373" s="42" t="n">
        <v>4.06</v>
      </c>
      <c r="H373" s="42" t="n">
        <v>44.9</v>
      </c>
      <c r="J373" s="46" t="n">
        <f aca="false">IF(N(E373)&gt;0,E373,IF(N(F373)&gt;0,F373*요약!$F$27,0))</f>
        <v>169000</v>
      </c>
      <c r="K373" s="46" t="n">
        <f aca="false">IF(N(F373)&gt;0,F373,IF(N(E373)&gt;0,E373/요약!$F$27,0))</f>
        <v>29482</v>
      </c>
      <c r="L373" s="46" t="n">
        <f aca="false">IF(B373="CN",IF(N(I373)&gt;0,I373*요약!$G$27,K373*(1+요약!$E$27)),IF(N(H373)&gt;0,H373*요약!$G$27,J373*요약!$D$27))</f>
        <v>59268</v>
      </c>
      <c r="M373" s="46" t="n">
        <f aca="false">D373*J373</f>
        <v>67600000</v>
      </c>
      <c r="N373" s="46" t="n">
        <f aca="false">D373*K373</f>
        <v>11792800</v>
      </c>
      <c r="O373" s="46" t="n">
        <f aca="false">D373*L373</f>
        <v>23707200</v>
      </c>
      <c r="P373" s="42" t="str">
        <f aca="false">TRIM(IF(N(E373)&lt;=0,"택가보정 ","")&amp;IF(N(F373)&lt;=0,"원가보정 ","")&amp;IF(AND(B373&lt;&gt;"CN",N(H373)&lt;=0),"공급가보정 ","")&amp;IF(AND(B373="CN",N(I373)&lt;=0),"중국공급가=원가+마진 ",""))</f>
        <v/>
      </c>
      <c r="Q373" s="47" t="n">
        <f aca="false">IF(SUMIFS($W:$W,$A:$A,A373,$C:$C,C373)=0,0,SUMIFS(RAW_판매펀칭!$K:$K,RAW_판매펀칭!$P:$P,A373,RAW_판매펀칭!$I:$I,C373)*W373/SUMIFS($W:$W,$A:$A,A373,$C:$C,C373))</f>
        <v>400</v>
      </c>
      <c r="R373" s="47" t="n">
        <f aca="false">IF(OR(A373="500",A373="800",A373="810"),0,MAX(W373-Q373,0))</f>
        <v>0</v>
      </c>
      <c r="S373" s="47" t="n">
        <f aca="false">R373*L373</f>
        <v>0</v>
      </c>
      <c r="T373" s="47" t="n">
        <f aca="false">R373*J373</f>
        <v>0</v>
      </c>
      <c r="U373" s="47" t="n">
        <f aca="false">R373*K373</f>
        <v>0</v>
      </c>
      <c r="V373" s="0" t="str">
        <f aca="false">IF(COUNTIFS($A$2:A373,A373,$C$2:C373,C373,$D$2:D373,D373)&gt;1,"중복","")</f>
        <v/>
      </c>
      <c r="W373" s="0" t="n">
        <f aca="false">IF(V373="중복",0,N(D373))</f>
        <v>400</v>
      </c>
      <c r="X373" s="0" t="n">
        <f aca="false">IF(COUNTIFS($A$2:A373,A373,$C$2:C373,C373)=1,ABS(SUMIFS(RAW_발주!$D:$D,RAW_발주!$C:$C,A373,RAW_발주!$A:$A,C373)-SUMIFS($W:$W,$A:$A,A373,$C:$C,C373)),0)</f>
        <v>0</v>
      </c>
    </row>
    <row r="374" customFormat="false" ht="15" hidden="false" customHeight="true" outlineLevel="0" collapsed="false">
      <c r="A374" s="45" t="s">
        <v>1663</v>
      </c>
      <c r="B374" s="42" t="str">
        <f aca="false">IF(A374="100","HK",IF(A374="200","CN",IF(A374="300","TW","홀세일")))</f>
        <v>홀세일</v>
      </c>
      <c r="C374" s="45" t="s">
        <v>268</v>
      </c>
      <c r="D374" s="46" t="n">
        <v>90</v>
      </c>
      <c r="E374" s="46" t="n">
        <v>169000</v>
      </c>
      <c r="F374" s="46" t="n">
        <v>29482</v>
      </c>
      <c r="G374" s="42" t="n">
        <v>4.06</v>
      </c>
      <c r="H374" s="42" t="n">
        <v>44.9</v>
      </c>
      <c r="J374" s="46" t="n">
        <f aca="false">IF(N(E374)&gt;0,E374,IF(N(F374)&gt;0,F374*요약!$F$27,0))</f>
        <v>169000</v>
      </c>
      <c r="K374" s="46" t="n">
        <f aca="false">IF(N(F374)&gt;0,F374,IF(N(E374)&gt;0,E374/요약!$F$27,0))</f>
        <v>29482</v>
      </c>
      <c r="L374" s="46" t="n">
        <f aca="false">IF(B374="CN",IF(N(I374)&gt;0,I374*요약!$G$27,K374*(1+요약!$E$27)),IF(N(H374)&gt;0,H374*요약!$G$27,J374*요약!$D$27))</f>
        <v>59268</v>
      </c>
      <c r="M374" s="46" t="n">
        <f aca="false">D374*J374</f>
        <v>15210000</v>
      </c>
      <c r="N374" s="46" t="n">
        <f aca="false">D374*K374</f>
        <v>2653380</v>
      </c>
      <c r="O374" s="46" t="n">
        <f aca="false">D374*L374</f>
        <v>5334120</v>
      </c>
      <c r="P374" s="42" t="str">
        <f aca="false">TRIM(IF(N(E374)&lt;=0,"택가보정 ","")&amp;IF(N(F374)&lt;=0,"원가보정 ","")&amp;IF(AND(B374&lt;&gt;"CN",N(H374)&lt;=0),"공급가보정 ","")&amp;IF(AND(B374="CN",N(I374)&lt;=0),"중국공급가=원가+마진 ",""))</f>
        <v/>
      </c>
      <c r="Q374" s="47" t="n">
        <f aca="false">IF(SUMIFS($W:$W,$A:$A,A374,$C:$C,C374)=0,0,SUMIFS(RAW_판매펀칭!$K:$K,RAW_판매펀칭!$P:$P,A374,RAW_판매펀칭!$I:$I,C374)*W374/SUMIFS($W:$W,$A:$A,A374,$C:$C,C374))</f>
        <v>90</v>
      </c>
      <c r="R374" s="47" t="n">
        <f aca="false">IF(OR(A374="500",A374="800",A374="810"),0,MAX(W374-Q374,0))</f>
        <v>0</v>
      </c>
      <c r="S374" s="47" t="n">
        <f aca="false">R374*L374</f>
        <v>0</v>
      </c>
      <c r="T374" s="47" t="n">
        <f aca="false">R374*J374</f>
        <v>0</v>
      </c>
      <c r="U374" s="47" t="n">
        <f aca="false">R374*K374</f>
        <v>0</v>
      </c>
      <c r="V374" s="0" t="str">
        <f aca="false">IF(COUNTIFS($A$2:A374,A374,$C$2:C374,C374,$D$2:D374,D374)&gt;1,"중복","")</f>
        <v/>
      </c>
      <c r="W374" s="0" t="n">
        <f aca="false">IF(V374="중복",0,N(D374))</f>
        <v>90</v>
      </c>
      <c r="X374" s="0" t="n">
        <f aca="false">IF(COUNTIFS($A$2:A374,A374,$C$2:C374,C374)=1,ABS(SUMIFS(RAW_발주!$D:$D,RAW_발주!$C:$C,A374,RAW_발주!$A:$A,C374)-SUMIFS($W:$W,$A:$A,A374,$C:$C,C374)),0)</f>
        <v>0</v>
      </c>
    </row>
    <row r="375" customFormat="false" ht="15" hidden="false" customHeight="true" outlineLevel="0" collapsed="false">
      <c r="A375" s="45" t="s">
        <v>1664</v>
      </c>
      <c r="B375" s="42" t="str">
        <f aca="false">IF(A375="100","HK",IF(A375="200","CN",IF(A375="300","TW","홀세일")))</f>
        <v>홀세일</v>
      </c>
      <c r="C375" s="45" t="s">
        <v>268</v>
      </c>
      <c r="D375" s="46" t="n">
        <v>65</v>
      </c>
      <c r="E375" s="46" t="n">
        <v>169000</v>
      </c>
      <c r="F375" s="46" t="n">
        <v>29482</v>
      </c>
      <c r="G375" s="42" t="n">
        <v>4.06</v>
      </c>
      <c r="H375" s="42" t="n">
        <v>44.9</v>
      </c>
      <c r="J375" s="46" t="n">
        <f aca="false">IF(N(E375)&gt;0,E375,IF(N(F375)&gt;0,F375*요약!$F$27,0))</f>
        <v>169000</v>
      </c>
      <c r="K375" s="46" t="n">
        <f aca="false">IF(N(F375)&gt;0,F375,IF(N(E375)&gt;0,E375/요약!$F$27,0))</f>
        <v>29482</v>
      </c>
      <c r="L375" s="46" t="n">
        <f aca="false">IF(B375="CN",IF(N(I375)&gt;0,I375*요약!$G$27,K375*(1+요약!$E$27)),IF(N(H375)&gt;0,H375*요약!$G$27,J375*요약!$D$27))</f>
        <v>59268</v>
      </c>
      <c r="M375" s="46" t="n">
        <f aca="false">D375*J375</f>
        <v>10985000</v>
      </c>
      <c r="N375" s="46" t="n">
        <f aca="false">D375*K375</f>
        <v>1916330</v>
      </c>
      <c r="O375" s="46" t="n">
        <f aca="false">D375*L375</f>
        <v>3852420</v>
      </c>
      <c r="P375" s="42" t="str">
        <f aca="false">TRIM(IF(N(E375)&lt;=0,"택가보정 ","")&amp;IF(N(F375)&lt;=0,"원가보정 ","")&amp;IF(AND(B375&lt;&gt;"CN",N(H375)&lt;=0),"공급가보정 ","")&amp;IF(AND(B375="CN",N(I375)&lt;=0),"중국공급가=원가+마진 ",""))</f>
        <v/>
      </c>
      <c r="Q375" s="47" t="n">
        <f aca="false">IF(SUMIFS($W:$W,$A:$A,A375,$C:$C,C375)=0,0,SUMIFS(RAW_판매펀칭!$K:$K,RAW_판매펀칭!$P:$P,A375,RAW_판매펀칭!$I:$I,C375)*W375/SUMIFS($W:$W,$A:$A,A375,$C:$C,C375))</f>
        <v>0</v>
      </c>
      <c r="R375" s="47" t="n">
        <f aca="false">IF(OR(A375="500",A375="800",A375="810"),0,MAX(W375-Q375,0))</f>
        <v>0</v>
      </c>
      <c r="S375" s="47" t="n">
        <f aca="false">R375*L375</f>
        <v>0</v>
      </c>
      <c r="T375" s="47" t="n">
        <f aca="false">R375*J375</f>
        <v>0</v>
      </c>
      <c r="U375" s="47" t="n">
        <f aca="false">R375*K375</f>
        <v>0</v>
      </c>
      <c r="V375" s="0" t="str">
        <f aca="false">IF(COUNTIFS($A$2:A375,A375,$C$2:C375,C375,$D$2:D375,D375)&gt;1,"중복","")</f>
        <v/>
      </c>
      <c r="W375" s="0" t="n">
        <f aca="false">IF(V375="중복",0,N(D375))</f>
        <v>65</v>
      </c>
      <c r="X375" s="0" t="n">
        <f aca="false">IF(COUNTIFS($A$2:A375,A375,$C$2:C375,C375)=1,ABS(SUMIFS(RAW_발주!$D:$D,RAW_발주!$C:$C,A375,RAW_발주!$A:$A,C375)-SUMIFS($W:$W,$A:$A,A375,$C:$C,C375)),0)</f>
        <v>0</v>
      </c>
    </row>
    <row r="376" customFormat="false" ht="15" hidden="false" customHeight="true" outlineLevel="0" collapsed="false">
      <c r="A376" s="45" t="s">
        <v>1665</v>
      </c>
      <c r="B376" s="42" t="str">
        <f aca="false">IF(A376="100","HK",IF(A376="200","CN",IF(A376="300","TW","홀세일")))</f>
        <v>홀세일</v>
      </c>
      <c r="C376" s="45" t="s">
        <v>268</v>
      </c>
      <c r="D376" s="46" t="n">
        <v>216</v>
      </c>
      <c r="E376" s="46" t="n">
        <v>169000</v>
      </c>
      <c r="F376" s="46" t="n">
        <v>29482</v>
      </c>
      <c r="G376" s="42" t="n">
        <v>4.06</v>
      </c>
      <c r="H376" s="42" t="n">
        <v>44.9</v>
      </c>
      <c r="J376" s="46" t="n">
        <f aca="false">IF(N(E376)&gt;0,E376,IF(N(F376)&gt;0,F376*요약!$F$27,0))</f>
        <v>169000</v>
      </c>
      <c r="K376" s="46" t="n">
        <f aca="false">IF(N(F376)&gt;0,F376,IF(N(E376)&gt;0,E376/요약!$F$27,0))</f>
        <v>29482</v>
      </c>
      <c r="L376" s="46" t="n">
        <f aca="false">IF(B376="CN",IF(N(I376)&gt;0,I376*요약!$G$27,K376*(1+요약!$E$27)),IF(N(H376)&gt;0,H376*요약!$G$27,J376*요약!$D$27))</f>
        <v>59268</v>
      </c>
      <c r="M376" s="46" t="n">
        <f aca="false">D376*J376</f>
        <v>36504000</v>
      </c>
      <c r="N376" s="46" t="n">
        <f aca="false">D376*K376</f>
        <v>6368112</v>
      </c>
      <c r="O376" s="46" t="n">
        <f aca="false">D376*L376</f>
        <v>12801888</v>
      </c>
      <c r="P376" s="42" t="str">
        <f aca="false">TRIM(IF(N(E376)&lt;=0,"택가보정 ","")&amp;IF(N(F376)&lt;=0,"원가보정 ","")&amp;IF(AND(B376&lt;&gt;"CN",N(H376)&lt;=0),"공급가보정 ","")&amp;IF(AND(B376="CN",N(I376)&lt;=0),"중국공급가=원가+마진 ",""))</f>
        <v/>
      </c>
      <c r="Q376" s="47" t="n">
        <f aca="false">IF(SUMIFS($W:$W,$A:$A,A376,$C:$C,C376)=0,0,SUMIFS(RAW_판매펀칭!$K:$K,RAW_판매펀칭!$P:$P,A376,RAW_판매펀칭!$I:$I,C376)*W376/SUMIFS($W:$W,$A:$A,A376,$C:$C,C376))</f>
        <v>216</v>
      </c>
      <c r="R376" s="47" t="n">
        <f aca="false">IF(OR(A376="500",A376="800",A376="810"),0,MAX(W376-Q376,0))</f>
        <v>0</v>
      </c>
      <c r="S376" s="47" t="n">
        <f aca="false">R376*L376</f>
        <v>0</v>
      </c>
      <c r="T376" s="47" t="n">
        <f aca="false">R376*J376</f>
        <v>0</v>
      </c>
      <c r="U376" s="47" t="n">
        <f aca="false">R376*K376</f>
        <v>0</v>
      </c>
      <c r="V376" s="0" t="str">
        <f aca="false">IF(COUNTIFS($A$2:A376,A376,$C$2:C376,C376,$D$2:D376,D376)&gt;1,"중복","")</f>
        <v/>
      </c>
      <c r="W376" s="0" t="n">
        <f aca="false">IF(V376="중복",0,N(D376))</f>
        <v>216</v>
      </c>
      <c r="X376" s="0" t="n">
        <f aca="false">IF(COUNTIFS($A$2:A376,A376,$C$2:C376,C376)=1,ABS(SUMIFS(RAW_발주!$D:$D,RAW_발주!$C:$C,A376,RAW_발주!$A:$A,C376)-SUMIFS($W:$W,$A:$A,A376,$C:$C,C376)),0)</f>
        <v>0</v>
      </c>
    </row>
    <row r="377" customFormat="false" ht="15" hidden="false" customHeight="true" outlineLevel="0" collapsed="false">
      <c r="A377" s="45" t="s">
        <v>1659</v>
      </c>
      <c r="B377" s="42" t="str">
        <f aca="false">IF(A377="100","HK",IF(A377="200","CN",IF(A377="300","TW","홀세일")))</f>
        <v>HK</v>
      </c>
      <c r="C377" s="45" t="s">
        <v>270</v>
      </c>
      <c r="D377" s="46" t="n">
        <v>130</v>
      </c>
      <c r="E377" s="46" t="n">
        <v>159000</v>
      </c>
      <c r="F377" s="46" t="n">
        <v>27000</v>
      </c>
      <c r="G377" s="42" t="n">
        <v>3.92</v>
      </c>
      <c r="H377" s="42" t="n">
        <v>42.2</v>
      </c>
      <c r="J377" s="46" t="n">
        <f aca="false">IF(N(E377)&gt;0,E377,IF(N(F377)&gt;0,F377*요약!$F$27,0))</f>
        <v>159000</v>
      </c>
      <c r="K377" s="46" t="n">
        <f aca="false">IF(N(F377)&gt;0,F377,IF(N(E377)&gt;0,E377/요약!$F$27,0))</f>
        <v>27000</v>
      </c>
      <c r="L377" s="46" t="n">
        <f aca="false">IF(B377="CN",IF(N(I377)&gt;0,I377*요약!$G$27,K377*(1+요약!$E$27)),IF(N(H377)&gt;0,H377*요약!$G$27,J377*요약!$D$27))</f>
        <v>55704</v>
      </c>
      <c r="M377" s="46" t="n">
        <f aca="false">D377*J377</f>
        <v>20670000</v>
      </c>
      <c r="N377" s="46" t="n">
        <f aca="false">D377*K377</f>
        <v>3510000</v>
      </c>
      <c r="O377" s="46" t="n">
        <f aca="false">D377*L377</f>
        <v>7241520</v>
      </c>
      <c r="P377" s="42" t="str">
        <f aca="false">TRIM(IF(N(E377)&lt;=0,"택가보정 ","")&amp;IF(N(F377)&lt;=0,"원가보정 ","")&amp;IF(AND(B377&lt;&gt;"CN",N(H377)&lt;=0),"공급가보정 ","")&amp;IF(AND(B377="CN",N(I377)&lt;=0),"중국공급가=원가+마진 ",""))</f>
        <v/>
      </c>
      <c r="Q377" s="47" t="n">
        <f aca="false">IF(SUMIFS($W:$W,$A:$A,A377,$C:$C,C377)=0,0,SUMIFS(RAW_판매펀칭!$K:$K,RAW_판매펀칭!$P:$P,A377,RAW_판매펀칭!$I:$I,C377)*W377/SUMIFS($W:$W,$A:$A,A377,$C:$C,C377))</f>
        <v>130</v>
      </c>
      <c r="R377" s="47" t="n">
        <f aca="false">IF(OR(A377="500",A377="800",A377="810"),0,MAX(W377-Q377,0))</f>
        <v>0</v>
      </c>
      <c r="S377" s="47" t="n">
        <f aca="false">R377*L377</f>
        <v>0</v>
      </c>
      <c r="T377" s="47" t="n">
        <f aca="false">R377*J377</f>
        <v>0</v>
      </c>
      <c r="U377" s="47" t="n">
        <f aca="false">R377*K377</f>
        <v>0</v>
      </c>
      <c r="V377" s="0" t="str">
        <f aca="false">IF(COUNTIFS($A$2:A377,A377,$C$2:C377,C377,$D$2:D377,D377)&gt;1,"중복","")</f>
        <v/>
      </c>
      <c r="W377" s="0" t="n">
        <f aca="false">IF(V377="중복",0,N(D377))</f>
        <v>130</v>
      </c>
      <c r="X377" s="0" t="n">
        <f aca="false">IF(COUNTIFS($A$2:A377,A377,$C$2:C377,C377)=1,ABS(SUMIFS(RAW_발주!$D:$D,RAW_발주!$C:$C,A377,RAW_발주!$A:$A,C377)-SUMIFS($W:$W,$A:$A,A377,$C:$C,C377)),0)</f>
        <v>0</v>
      </c>
    </row>
    <row r="378" customFormat="false" ht="15" hidden="false" customHeight="true" outlineLevel="0" collapsed="false">
      <c r="A378" s="45" t="s">
        <v>1661</v>
      </c>
      <c r="B378" s="42" t="str">
        <f aca="false">IF(A378="100","HK",IF(A378="200","CN",IF(A378="300","TW","홀세일")))</f>
        <v>TW</v>
      </c>
      <c r="C378" s="45" t="s">
        <v>270</v>
      </c>
      <c r="D378" s="46" t="n">
        <v>80</v>
      </c>
      <c r="E378" s="46" t="n">
        <v>159000</v>
      </c>
      <c r="F378" s="46" t="n">
        <v>27000</v>
      </c>
      <c r="G378" s="42" t="n">
        <v>3.92</v>
      </c>
      <c r="H378" s="42" t="n">
        <v>42.2</v>
      </c>
      <c r="J378" s="46" t="n">
        <f aca="false">IF(N(E378)&gt;0,E378,IF(N(F378)&gt;0,F378*요약!$F$27,0))</f>
        <v>159000</v>
      </c>
      <c r="K378" s="46" t="n">
        <f aca="false">IF(N(F378)&gt;0,F378,IF(N(E378)&gt;0,E378/요약!$F$27,0))</f>
        <v>27000</v>
      </c>
      <c r="L378" s="46" t="n">
        <f aca="false">IF(B378="CN",IF(N(I378)&gt;0,I378*요약!$G$27,K378*(1+요약!$E$27)),IF(N(H378)&gt;0,H378*요약!$G$27,J378*요약!$D$27))</f>
        <v>55704</v>
      </c>
      <c r="M378" s="46" t="n">
        <f aca="false">D378*J378</f>
        <v>12720000</v>
      </c>
      <c r="N378" s="46" t="n">
        <f aca="false">D378*K378</f>
        <v>2160000</v>
      </c>
      <c r="O378" s="46" t="n">
        <f aca="false">D378*L378</f>
        <v>4456320</v>
      </c>
      <c r="P378" s="42" t="str">
        <f aca="false">TRIM(IF(N(E378)&lt;=0,"택가보정 ","")&amp;IF(N(F378)&lt;=0,"원가보정 ","")&amp;IF(AND(B378&lt;&gt;"CN",N(H378)&lt;=0),"공급가보정 ","")&amp;IF(AND(B378="CN",N(I378)&lt;=0),"중국공급가=원가+마진 ",""))</f>
        <v/>
      </c>
      <c r="Q378" s="47" t="n">
        <f aca="false">IF(SUMIFS($W:$W,$A:$A,A378,$C:$C,C378)=0,0,SUMIFS(RAW_판매펀칭!$K:$K,RAW_판매펀칭!$P:$P,A378,RAW_판매펀칭!$I:$I,C378)*W378/SUMIFS($W:$W,$A:$A,A378,$C:$C,C378))</f>
        <v>80</v>
      </c>
      <c r="R378" s="47" t="n">
        <f aca="false">IF(OR(A378="500",A378="800",A378="810"),0,MAX(W378-Q378,0))</f>
        <v>0</v>
      </c>
      <c r="S378" s="47" t="n">
        <f aca="false">R378*L378</f>
        <v>0</v>
      </c>
      <c r="T378" s="47" t="n">
        <f aca="false">R378*J378</f>
        <v>0</v>
      </c>
      <c r="U378" s="47" t="n">
        <f aca="false">R378*K378</f>
        <v>0</v>
      </c>
      <c r="V378" s="0" t="str">
        <f aca="false">IF(COUNTIFS($A$2:A378,A378,$C$2:C378,C378,$D$2:D378,D378)&gt;1,"중복","")</f>
        <v/>
      </c>
      <c r="W378" s="0" t="n">
        <f aca="false">IF(V378="중복",0,N(D378))</f>
        <v>80</v>
      </c>
      <c r="X378" s="0" t="n">
        <f aca="false">IF(COUNTIFS($A$2:A378,A378,$C$2:C378,C378)=1,ABS(SUMIFS(RAW_발주!$D:$D,RAW_발주!$C:$C,A378,RAW_발주!$A:$A,C378)-SUMIFS($W:$W,$A:$A,A378,$C:$C,C378)),0)</f>
        <v>0</v>
      </c>
    </row>
    <row r="379" customFormat="false" ht="15" hidden="false" customHeight="true" outlineLevel="0" collapsed="false">
      <c r="A379" s="45" t="s">
        <v>1664</v>
      </c>
      <c r="B379" s="42" t="str">
        <f aca="false">IF(A379="100","HK",IF(A379="200","CN",IF(A379="300","TW","홀세일")))</f>
        <v>홀세일</v>
      </c>
      <c r="C379" s="45" t="s">
        <v>270</v>
      </c>
      <c r="D379" s="46" t="n">
        <v>90</v>
      </c>
      <c r="E379" s="46" t="n">
        <v>159000</v>
      </c>
      <c r="F379" s="46" t="n">
        <v>27000</v>
      </c>
      <c r="G379" s="42" t="n">
        <v>3.92</v>
      </c>
      <c r="H379" s="42" t="n">
        <v>42.2</v>
      </c>
      <c r="J379" s="46" t="n">
        <f aca="false">IF(N(E379)&gt;0,E379,IF(N(F379)&gt;0,F379*요약!$F$27,0))</f>
        <v>159000</v>
      </c>
      <c r="K379" s="46" t="n">
        <f aca="false">IF(N(F379)&gt;0,F379,IF(N(E379)&gt;0,E379/요약!$F$27,0))</f>
        <v>27000</v>
      </c>
      <c r="L379" s="46" t="n">
        <f aca="false">IF(B379="CN",IF(N(I379)&gt;0,I379*요약!$G$27,K379*(1+요약!$E$27)),IF(N(H379)&gt;0,H379*요약!$G$27,J379*요약!$D$27))</f>
        <v>55704</v>
      </c>
      <c r="M379" s="46" t="n">
        <f aca="false">D379*J379</f>
        <v>14310000</v>
      </c>
      <c r="N379" s="46" t="n">
        <f aca="false">D379*K379</f>
        <v>2430000</v>
      </c>
      <c r="O379" s="46" t="n">
        <f aca="false">D379*L379</f>
        <v>5013360</v>
      </c>
      <c r="P379" s="42" t="str">
        <f aca="false">TRIM(IF(N(E379)&lt;=0,"택가보정 ","")&amp;IF(N(F379)&lt;=0,"원가보정 ","")&amp;IF(AND(B379&lt;&gt;"CN",N(H379)&lt;=0),"공급가보정 ","")&amp;IF(AND(B379="CN",N(I379)&lt;=0),"중국공급가=원가+마진 ",""))</f>
        <v/>
      </c>
      <c r="Q379" s="47" t="n">
        <f aca="false">IF(SUMIFS($W:$W,$A:$A,A379,$C:$C,C379)=0,0,SUMIFS(RAW_판매펀칭!$K:$K,RAW_판매펀칭!$P:$P,A379,RAW_판매펀칭!$I:$I,C379)*W379/SUMIFS($W:$W,$A:$A,A379,$C:$C,C379))</f>
        <v>0</v>
      </c>
      <c r="R379" s="47" t="n">
        <f aca="false">IF(OR(A379="500",A379="800",A379="810"),0,MAX(W379-Q379,0))</f>
        <v>0</v>
      </c>
      <c r="S379" s="47" t="n">
        <f aca="false">R379*L379</f>
        <v>0</v>
      </c>
      <c r="T379" s="47" t="n">
        <f aca="false">R379*J379</f>
        <v>0</v>
      </c>
      <c r="U379" s="47" t="n">
        <f aca="false">R379*K379</f>
        <v>0</v>
      </c>
      <c r="V379" s="0" t="str">
        <f aca="false">IF(COUNTIFS($A$2:A379,A379,$C$2:C379,C379,$D$2:D379,D379)&gt;1,"중복","")</f>
        <v/>
      </c>
      <c r="W379" s="0" t="n">
        <f aca="false">IF(V379="중복",0,N(D379))</f>
        <v>90</v>
      </c>
      <c r="X379" s="0" t="n">
        <f aca="false">IF(COUNTIFS($A$2:A379,A379,$C$2:C379,C379)=1,ABS(SUMIFS(RAW_발주!$D:$D,RAW_발주!$C:$C,A379,RAW_발주!$A:$A,C379)-SUMIFS($W:$W,$A:$A,A379,$C:$C,C379)),0)</f>
        <v>0</v>
      </c>
    </row>
    <row r="380" customFormat="false" ht="15" hidden="false" customHeight="true" outlineLevel="0" collapsed="false">
      <c r="A380" s="45" t="s">
        <v>1659</v>
      </c>
      <c r="B380" s="42" t="str">
        <f aca="false">IF(A380="100","HK",IF(A380="200","CN",IF(A380="300","TW","홀세일")))</f>
        <v>HK</v>
      </c>
      <c r="C380" s="45" t="s">
        <v>1675</v>
      </c>
      <c r="D380" s="46" t="n">
        <v>130</v>
      </c>
      <c r="E380" s="46" t="n">
        <v>159000</v>
      </c>
      <c r="F380" s="46" t="n">
        <v>29900</v>
      </c>
      <c r="G380" s="42" t="n">
        <v>4.8</v>
      </c>
      <c r="H380" s="42" t="n">
        <v>42.2</v>
      </c>
      <c r="J380" s="46" t="n">
        <f aca="false">IF(N(E380)&gt;0,E380,IF(N(F380)&gt;0,F380*요약!$F$27,0))</f>
        <v>159000</v>
      </c>
      <c r="K380" s="46" t="n">
        <f aca="false">IF(N(F380)&gt;0,F380,IF(N(E380)&gt;0,E380/요약!$F$27,0))</f>
        <v>29900</v>
      </c>
      <c r="L380" s="46" t="n">
        <f aca="false">IF(B380="CN",IF(N(I380)&gt;0,I380*요약!$G$27,K380*(1+요약!$E$27)),IF(N(H380)&gt;0,H380*요약!$G$27,J380*요약!$D$27))</f>
        <v>55704</v>
      </c>
      <c r="M380" s="46" t="n">
        <f aca="false">D380*J380</f>
        <v>20670000</v>
      </c>
      <c r="N380" s="46" t="n">
        <f aca="false">D380*K380</f>
        <v>3887000</v>
      </c>
      <c r="O380" s="46" t="n">
        <f aca="false">D380*L380</f>
        <v>7241520</v>
      </c>
      <c r="P380" s="42" t="str">
        <f aca="false">TRIM(IF(N(E380)&lt;=0,"택가보정 ","")&amp;IF(N(F380)&lt;=0,"원가보정 ","")&amp;IF(AND(B380&lt;&gt;"CN",N(H380)&lt;=0),"공급가보정 ","")&amp;IF(AND(B380="CN",N(I380)&lt;=0),"중국공급가=원가+마진 ",""))</f>
        <v/>
      </c>
      <c r="Q380" s="47" t="n">
        <f aca="false">IF(SUMIFS($W:$W,$A:$A,A380,$C:$C,C380)=0,0,SUMIFS(RAW_판매펀칭!$K:$K,RAW_판매펀칭!$P:$P,A380,RAW_판매펀칭!$I:$I,C380)*W380/SUMIFS($W:$W,$A:$A,A380,$C:$C,C380))</f>
        <v>0</v>
      </c>
      <c r="R380" s="47" t="n">
        <f aca="false">IF(OR(A380="500",A380="800",A380="810"),0,MAX(W380-Q380,0))</f>
        <v>130</v>
      </c>
      <c r="S380" s="47" t="n">
        <f aca="false">R380*L380</f>
        <v>7241520</v>
      </c>
      <c r="T380" s="47" t="n">
        <f aca="false">R380*J380</f>
        <v>20670000</v>
      </c>
      <c r="U380" s="47" t="n">
        <f aca="false">R380*K380</f>
        <v>3887000</v>
      </c>
      <c r="V380" s="0" t="str">
        <f aca="false">IF(COUNTIFS($A$2:A380,A380,$C$2:C380,C380,$D$2:D380,D380)&gt;1,"중복","")</f>
        <v/>
      </c>
      <c r="W380" s="0" t="n">
        <f aca="false">IF(V380="중복",0,N(D380))</f>
        <v>130</v>
      </c>
      <c r="X380" s="0" t="n">
        <f aca="false">IF(COUNTIFS($A$2:A380,A380,$C$2:C380,C380)=1,ABS(SUMIFS(RAW_발주!$D:$D,RAW_발주!$C:$C,A380,RAW_발주!$A:$A,C380)-SUMIFS($W:$W,$A:$A,A380,$C:$C,C380)),0)</f>
        <v>0</v>
      </c>
    </row>
    <row r="381" customFormat="false" ht="15" hidden="false" customHeight="true" outlineLevel="0" collapsed="false">
      <c r="A381" s="45" t="s">
        <v>1659</v>
      </c>
      <c r="B381" s="42" t="str">
        <f aca="false">IF(A381="100","HK",IF(A381="200","CN",IF(A381="300","TW","홀세일")))</f>
        <v>HK</v>
      </c>
      <c r="C381" s="45" t="s">
        <v>830</v>
      </c>
      <c r="D381" s="46" t="n">
        <v>230</v>
      </c>
      <c r="E381" s="46" t="n">
        <v>179000</v>
      </c>
      <c r="F381" s="46" t="n">
        <v>39600</v>
      </c>
      <c r="G381" s="42" t="n">
        <v>4.08</v>
      </c>
      <c r="H381" s="42" t="n">
        <v>47.6</v>
      </c>
      <c r="J381" s="46" t="n">
        <f aca="false">IF(N(E381)&gt;0,E381,IF(N(F381)&gt;0,F381*요약!$F$27,0))</f>
        <v>179000</v>
      </c>
      <c r="K381" s="46" t="n">
        <f aca="false">IF(N(F381)&gt;0,F381,IF(N(E381)&gt;0,E381/요약!$F$27,0))</f>
        <v>39600</v>
      </c>
      <c r="L381" s="46" t="n">
        <f aca="false">IF(B381="CN",IF(N(I381)&gt;0,I381*요약!$G$27,K381*(1+요약!$E$27)),IF(N(H381)&gt;0,H381*요약!$G$27,J381*요약!$D$27))</f>
        <v>62832</v>
      </c>
      <c r="M381" s="46" t="n">
        <f aca="false">D381*J381</f>
        <v>41170000</v>
      </c>
      <c r="N381" s="46" t="n">
        <f aca="false">D381*K381</f>
        <v>9108000</v>
      </c>
      <c r="O381" s="46" t="n">
        <f aca="false">D381*L381</f>
        <v>14451360</v>
      </c>
      <c r="P381" s="42" t="str">
        <f aca="false">TRIM(IF(N(E381)&lt;=0,"택가보정 ","")&amp;IF(N(F381)&lt;=0,"원가보정 ","")&amp;IF(AND(B381&lt;&gt;"CN",N(H381)&lt;=0),"공급가보정 ","")&amp;IF(AND(B381="CN",N(I381)&lt;=0),"중국공급가=원가+마진 ",""))</f>
        <v/>
      </c>
      <c r="Q381" s="47" t="n">
        <f aca="false">IF(SUMIFS($W:$W,$A:$A,A381,$C:$C,C381)=0,0,SUMIFS(RAW_판매펀칭!$K:$K,RAW_판매펀칭!$P:$P,A381,RAW_판매펀칭!$I:$I,C381)*W381/SUMIFS($W:$W,$A:$A,A381,$C:$C,C381))</f>
        <v>230</v>
      </c>
      <c r="R381" s="47" t="n">
        <f aca="false">IF(OR(A381="500",A381="800",A381="810"),0,MAX(W381-Q381,0))</f>
        <v>0</v>
      </c>
      <c r="S381" s="47" t="n">
        <f aca="false">R381*L381</f>
        <v>0</v>
      </c>
      <c r="T381" s="47" t="n">
        <f aca="false">R381*J381</f>
        <v>0</v>
      </c>
      <c r="U381" s="47" t="n">
        <f aca="false">R381*K381</f>
        <v>0</v>
      </c>
      <c r="V381" s="0" t="str">
        <f aca="false">IF(COUNTIFS($A$2:A381,A381,$C$2:C381,C381,$D$2:D381,D381)&gt;1,"중복","")</f>
        <v/>
      </c>
      <c r="W381" s="0" t="n">
        <f aca="false">IF(V381="중복",0,N(D381))</f>
        <v>230</v>
      </c>
      <c r="X381" s="0" t="n">
        <f aca="false">IF(COUNTIFS($A$2:A381,A381,$C$2:C381,C381)=1,ABS(SUMIFS(RAW_발주!$D:$D,RAW_발주!$C:$C,A381,RAW_발주!$A:$A,C381)-SUMIFS($W:$W,$A:$A,A381,$C:$C,C381)),0)</f>
        <v>0</v>
      </c>
    </row>
    <row r="382" customFormat="false" ht="15" hidden="false" customHeight="true" outlineLevel="0" collapsed="false">
      <c r="A382" s="45" t="s">
        <v>1664</v>
      </c>
      <c r="B382" s="42" t="str">
        <f aca="false">IF(A382="100","HK",IF(A382="200","CN",IF(A382="300","TW","홀세일")))</f>
        <v>홀세일</v>
      </c>
      <c r="C382" s="45" t="s">
        <v>830</v>
      </c>
      <c r="D382" s="46" t="n">
        <v>65</v>
      </c>
      <c r="E382" s="46" t="n">
        <v>179000</v>
      </c>
      <c r="F382" s="46" t="n">
        <v>39600</v>
      </c>
      <c r="G382" s="42" t="n">
        <v>4.08</v>
      </c>
      <c r="H382" s="42" t="n">
        <v>47.6</v>
      </c>
      <c r="J382" s="46" t="n">
        <f aca="false">IF(N(E382)&gt;0,E382,IF(N(F382)&gt;0,F382*요약!$F$27,0))</f>
        <v>179000</v>
      </c>
      <c r="K382" s="46" t="n">
        <f aca="false">IF(N(F382)&gt;0,F382,IF(N(E382)&gt;0,E382/요약!$F$27,0))</f>
        <v>39600</v>
      </c>
      <c r="L382" s="46" t="n">
        <f aca="false">IF(B382="CN",IF(N(I382)&gt;0,I382*요약!$G$27,K382*(1+요약!$E$27)),IF(N(H382)&gt;0,H382*요약!$G$27,J382*요약!$D$27))</f>
        <v>62832</v>
      </c>
      <c r="M382" s="46" t="n">
        <f aca="false">D382*J382</f>
        <v>11635000</v>
      </c>
      <c r="N382" s="46" t="n">
        <f aca="false">D382*K382</f>
        <v>2574000</v>
      </c>
      <c r="O382" s="46" t="n">
        <f aca="false">D382*L382</f>
        <v>4084080</v>
      </c>
      <c r="P382" s="42" t="str">
        <f aca="false">TRIM(IF(N(E382)&lt;=0,"택가보정 ","")&amp;IF(N(F382)&lt;=0,"원가보정 ","")&amp;IF(AND(B382&lt;&gt;"CN",N(H382)&lt;=0),"공급가보정 ","")&amp;IF(AND(B382="CN",N(I382)&lt;=0),"중국공급가=원가+마진 ",""))</f>
        <v/>
      </c>
      <c r="Q382" s="47" t="n">
        <f aca="false">IF(SUMIFS($W:$W,$A:$A,A382,$C:$C,C382)=0,0,SUMIFS(RAW_판매펀칭!$K:$K,RAW_판매펀칭!$P:$P,A382,RAW_판매펀칭!$I:$I,C382)*W382/SUMIFS($W:$W,$A:$A,A382,$C:$C,C382))</f>
        <v>0</v>
      </c>
      <c r="R382" s="47" t="n">
        <f aca="false">IF(OR(A382="500",A382="800",A382="810"),0,MAX(W382-Q382,0))</f>
        <v>0</v>
      </c>
      <c r="S382" s="47" t="n">
        <f aca="false">R382*L382</f>
        <v>0</v>
      </c>
      <c r="T382" s="47" t="n">
        <f aca="false">R382*J382</f>
        <v>0</v>
      </c>
      <c r="U382" s="47" t="n">
        <f aca="false">R382*K382</f>
        <v>0</v>
      </c>
      <c r="V382" s="0" t="str">
        <f aca="false">IF(COUNTIFS($A$2:A382,A382,$C$2:C382,C382,$D$2:D382,D382)&gt;1,"중복","")</f>
        <v/>
      </c>
      <c r="W382" s="0" t="n">
        <f aca="false">IF(V382="중복",0,N(D382))</f>
        <v>65</v>
      </c>
      <c r="X382" s="0" t="n">
        <f aca="false">IF(COUNTIFS($A$2:A382,A382,$C$2:C382,C382)=1,ABS(SUMIFS(RAW_발주!$D:$D,RAW_발주!$C:$C,A382,RAW_발주!$A:$A,C382)-SUMIFS($W:$W,$A:$A,A382,$C:$C,C382)),0)</f>
        <v>0</v>
      </c>
    </row>
    <row r="383" customFormat="false" ht="15" hidden="false" customHeight="true" outlineLevel="0" collapsed="false">
      <c r="A383" s="45" t="s">
        <v>1659</v>
      </c>
      <c r="B383" s="42" t="str">
        <f aca="false">IF(A383="100","HK",IF(A383="200","CN",IF(A383="300","TW","홀세일")))</f>
        <v>HK</v>
      </c>
      <c r="C383" s="45" t="s">
        <v>272</v>
      </c>
      <c r="D383" s="46" t="n">
        <v>550</v>
      </c>
      <c r="E383" s="46" t="n">
        <v>189000</v>
      </c>
      <c r="F383" s="46" t="n">
        <v>38644</v>
      </c>
      <c r="G383" s="42" t="n">
        <v>4.5</v>
      </c>
      <c r="H383" s="42" t="n">
        <v>47.3</v>
      </c>
      <c r="J383" s="46" t="n">
        <f aca="false">IF(N(E383)&gt;0,E383,IF(N(F383)&gt;0,F383*요약!$F$27,0))</f>
        <v>189000</v>
      </c>
      <c r="K383" s="46" t="n">
        <f aca="false">IF(N(F383)&gt;0,F383,IF(N(E383)&gt;0,E383/요약!$F$27,0))</f>
        <v>38644</v>
      </c>
      <c r="L383" s="46" t="n">
        <f aca="false">IF(B383="CN",IF(N(I383)&gt;0,I383*요약!$G$27,K383*(1+요약!$E$27)),IF(N(H383)&gt;0,H383*요약!$G$27,J383*요약!$D$27))</f>
        <v>62436</v>
      </c>
      <c r="M383" s="46" t="n">
        <f aca="false">D383*J383</f>
        <v>103950000</v>
      </c>
      <c r="N383" s="46" t="n">
        <f aca="false">D383*K383</f>
        <v>21254200</v>
      </c>
      <c r="O383" s="46" t="n">
        <f aca="false">D383*L383</f>
        <v>34339800</v>
      </c>
      <c r="P383" s="42" t="str">
        <f aca="false">TRIM(IF(N(E383)&lt;=0,"택가보정 ","")&amp;IF(N(F383)&lt;=0,"원가보정 ","")&amp;IF(AND(B383&lt;&gt;"CN",N(H383)&lt;=0),"공급가보정 ","")&amp;IF(AND(B383="CN",N(I383)&lt;=0),"중국공급가=원가+마진 ",""))</f>
        <v/>
      </c>
      <c r="Q383" s="47" t="n">
        <f aca="false">IF(SUMIFS($W:$W,$A:$A,A383,$C:$C,C383)=0,0,SUMIFS(RAW_판매펀칭!$K:$K,RAW_판매펀칭!$P:$P,A383,RAW_판매펀칭!$I:$I,C383)*W383/SUMIFS($W:$W,$A:$A,A383,$C:$C,C383))</f>
        <v>550</v>
      </c>
      <c r="R383" s="47" t="n">
        <f aca="false">IF(OR(A383="500",A383="800",A383="810"),0,MAX(W383-Q383,0))</f>
        <v>0</v>
      </c>
      <c r="S383" s="47" t="n">
        <f aca="false">R383*L383</f>
        <v>0</v>
      </c>
      <c r="T383" s="47" t="n">
        <f aca="false">R383*J383</f>
        <v>0</v>
      </c>
      <c r="U383" s="47" t="n">
        <f aca="false">R383*K383</f>
        <v>0</v>
      </c>
      <c r="V383" s="0" t="str">
        <f aca="false">IF(COUNTIFS($A$2:A383,A383,$C$2:C383,C383,$D$2:D383,D383)&gt;1,"중복","")</f>
        <v/>
      </c>
      <c r="W383" s="0" t="n">
        <f aca="false">IF(V383="중복",0,N(D383))</f>
        <v>550</v>
      </c>
      <c r="X383" s="0" t="n">
        <f aca="false">IF(COUNTIFS($A$2:A383,A383,$C$2:C383,C383)=1,ABS(SUMIFS(RAW_발주!$D:$D,RAW_발주!$C:$C,A383,RAW_발주!$A:$A,C383)-SUMIFS($W:$W,$A:$A,A383,$C:$C,C383)),0)</f>
        <v>0</v>
      </c>
    </row>
    <row r="384" customFormat="false" ht="15" hidden="false" customHeight="true" outlineLevel="0" collapsed="false">
      <c r="A384" s="45" t="s">
        <v>1661</v>
      </c>
      <c r="B384" s="42" t="str">
        <f aca="false">IF(A384="100","HK",IF(A384="200","CN",IF(A384="300","TW","홀세일")))</f>
        <v>TW</v>
      </c>
      <c r="C384" s="45" t="s">
        <v>272</v>
      </c>
      <c r="D384" s="46" t="n">
        <v>930</v>
      </c>
      <c r="E384" s="46" t="n">
        <v>189000</v>
      </c>
      <c r="F384" s="46" t="n">
        <v>38644</v>
      </c>
      <c r="G384" s="42" t="n">
        <v>4.5</v>
      </c>
      <c r="H384" s="42" t="n">
        <v>47.3</v>
      </c>
      <c r="J384" s="46" t="n">
        <f aca="false">IF(N(E384)&gt;0,E384,IF(N(F384)&gt;0,F384*요약!$F$27,0))</f>
        <v>189000</v>
      </c>
      <c r="K384" s="46" t="n">
        <f aca="false">IF(N(F384)&gt;0,F384,IF(N(E384)&gt;0,E384/요약!$F$27,0))</f>
        <v>38644</v>
      </c>
      <c r="L384" s="46" t="n">
        <f aca="false">IF(B384="CN",IF(N(I384)&gt;0,I384*요약!$G$27,K384*(1+요약!$E$27)),IF(N(H384)&gt;0,H384*요약!$G$27,J384*요약!$D$27))</f>
        <v>62436</v>
      </c>
      <c r="M384" s="46" t="n">
        <f aca="false">D384*J384</f>
        <v>175770000</v>
      </c>
      <c r="N384" s="46" t="n">
        <f aca="false">D384*K384</f>
        <v>35938920</v>
      </c>
      <c r="O384" s="46" t="n">
        <f aca="false">D384*L384</f>
        <v>58065480</v>
      </c>
      <c r="P384" s="42" t="str">
        <f aca="false">TRIM(IF(N(E384)&lt;=0,"택가보정 ","")&amp;IF(N(F384)&lt;=0,"원가보정 ","")&amp;IF(AND(B384&lt;&gt;"CN",N(H384)&lt;=0),"공급가보정 ","")&amp;IF(AND(B384="CN",N(I384)&lt;=0),"중국공급가=원가+마진 ",""))</f>
        <v/>
      </c>
      <c r="Q384" s="47" t="n">
        <f aca="false">IF(SUMIFS($W:$W,$A:$A,A384,$C:$C,C384)=0,0,SUMIFS(RAW_판매펀칭!$K:$K,RAW_판매펀칭!$P:$P,A384,RAW_판매펀칭!$I:$I,C384)*W384/SUMIFS($W:$W,$A:$A,A384,$C:$C,C384))</f>
        <v>930</v>
      </c>
      <c r="R384" s="47" t="n">
        <f aca="false">IF(OR(A384="500",A384="800",A384="810"),0,MAX(W384-Q384,0))</f>
        <v>0</v>
      </c>
      <c r="S384" s="47" t="n">
        <f aca="false">R384*L384</f>
        <v>0</v>
      </c>
      <c r="T384" s="47" t="n">
        <f aca="false">R384*J384</f>
        <v>0</v>
      </c>
      <c r="U384" s="47" t="n">
        <f aca="false">R384*K384</f>
        <v>0</v>
      </c>
      <c r="V384" s="0" t="str">
        <f aca="false">IF(COUNTIFS($A$2:A384,A384,$C$2:C384,C384,$D$2:D384,D384)&gt;1,"중복","")</f>
        <v/>
      </c>
      <c r="W384" s="0" t="n">
        <f aca="false">IF(V384="중복",0,N(D384))</f>
        <v>930</v>
      </c>
      <c r="X384" s="0" t="n">
        <f aca="false">IF(COUNTIFS($A$2:A384,A384,$C$2:C384,C384)=1,ABS(SUMIFS(RAW_발주!$D:$D,RAW_발주!$C:$C,A384,RAW_발주!$A:$A,C384)-SUMIFS($W:$W,$A:$A,A384,$C:$C,C384)),0)</f>
        <v>0</v>
      </c>
    </row>
    <row r="385" customFormat="false" ht="15" hidden="false" customHeight="true" outlineLevel="0" collapsed="false">
      <c r="A385" s="45" t="s">
        <v>1663</v>
      </c>
      <c r="B385" s="42" t="str">
        <f aca="false">IF(A385="100","HK",IF(A385="200","CN",IF(A385="300","TW","홀세일")))</f>
        <v>홀세일</v>
      </c>
      <c r="C385" s="45" t="s">
        <v>272</v>
      </c>
      <c r="D385" s="46" t="n">
        <v>85</v>
      </c>
      <c r="E385" s="46" t="n">
        <v>189000</v>
      </c>
      <c r="F385" s="46" t="n">
        <v>38644</v>
      </c>
      <c r="G385" s="42" t="n">
        <v>4.5</v>
      </c>
      <c r="H385" s="42" t="n">
        <v>47.3</v>
      </c>
      <c r="J385" s="46" t="n">
        <f aca="false">IF(N(E385)&gt;0,E385,IF(N(F385)&gt;0,F385*요약!$F$27,0))</f>
        <v>189000</v>
      </c>
      <c r="K385" s="46" t="n">
        <f aca="false">IF(N(F385)&gt;0,F385,IF(N(E385)&gt;0,E385/요약!$F$27,0))</f>
        <v>38644</v>
      </c>
      <c r="L385" s="46" t="n">
        <f aca="false">IF(B385="CN",IF(N(I385)&gt;0,I385*요약!$G$27,K385*(1+요약!$E$27)),IF(N(H385)&gt;0,H385*요약!$G$27,J385*요약!$D$27))</f>
        <v>62436</v>
      </c>
      <c r="M385" s="46" t="n">
        <f aca="false">D385*J385</f>
        <v>16065000</v>
      </c>
      <c r="N385" s="46" t="n">
        <f aca="false">D385*K385</f>
        <v>3284740</v>
      </c>
      <c r="O385" s="46" t="n">
        <f aca="false">D385*L385</f>
        <v>5307060</v>
      </c>
      <c r="P385" s="42" t="str">
        <f aca="false">TRIM(IF(N(E385)&lt;=0,"택가보정 ","")&amp;IF(N(F385)&lt;=0,"원가보정 ","")&amp;IF(AND(B385&lt;&gt;"CN",N(H385)&lt;=0),"공급가보정 ","")&amp;IF(AND(B385="CN",N(I385)&lt;=0),"중국공급가=원가+마진 ",""))</f>
        <v/>
      </c>
      <c r="Q385" s="47" t="n">
        <f aca="false">IF(SUMIFS($W:$W,$A:$A,A385,$C:$C,C385)=0,0,SUMIFS(RAW_판매펀칭!$K:$K,RAW_판매펀칭!$P:$P,A385,RAW_판매펀칭!$I:$I,C385)*W385/SUMIFS($W:$W,$A:$A,A385,$C:$C,C385))</f>
        <v>85</v>
      </c>
      <c r="R385" s="47" t="n">
        <f aca="false">IF(OR(A385="500",A385="800",A385="810"),0,MAX(W385-Q385,0))</f>
        <v>0</v>
      </c>
      <c r="S385" s="47" t="n">
        <f aca="false">R385*L385</f>
        <v>0</v>
      </c>
      <c r="T385" s="47" t="n">
        <f aca="false">R385*J385</f>
        <v>0</v>
      </c>
      <c r="U385" s="47" t="n">
        <f aca="false">R385*K385</f>
        <v>0</v>
      </c>
      <c r="V385" s="0" t="str">
        <f aca="false">IF(COUNTIFS($A$2:A385,A385,$C$2:C385,C385,$D$2:D385,D385)&gt;1,"중복","")</f>
        <v/>
      </c>
      <c r="W385" s="0" t="n">
        <f aca="false">IF(V385="중복",0,N(D385))</f>
        <v>85</v>
      </c>
      <c r="X385" s="0" t="n">
        <f aca="false">IF(COUNTIFS($A$2:A385,A385,$C$2:C385,C385)=1,ABS(SUMIFS(RAW_발주!$D:$D,RAW_발주!$C:$C,A385,RAW_발주!$A:$A,C385)-SUMIFS($W:$W,$A:$A,A385,$C:$C,C385)),0)</f>
        <v>0</v>
      </c>
    </row>
    <row r="386" customFormat="false" ht="15" hidden="false" customHeight="true" outlineLevel="0" collapsed="false">
      <c r="A386" s="45" t="s">
        <v>1664</v>
      </c>
      <c r="B386" s="42" t="str">
        <f aca="false">IF(A386="100","HK",IF(A386="200","CN",IF(A386="300","TW","홀세일")))</f>
        <v>홀세일</v>
      </c>
      <c r="C386" s="45" t="s">
        <v>272</v>
      </c>
      <c r="D386" s="46" t="n">
        <v>85</v>
      </c>
      <c r="E386" s="46" t="n">
        <v>189000</v>
      </c>
      <c r="F386" s="46" t="n">
        <v>38644</v>
      </c>
      <c r="G386" s="42" t="n">
        <v>4.5</v>
      </c>
      <c r="H386" s="42" t="n">
        <v>47.3</v>
      </c>
      <c r="J386" s="46" t="n">
        <f aca="false">IF(N(E386)&gt;0,E386,IF(N(F386)&gt;0,F386*요약!$F$27,0))</f>
        <v>189000</v>
      </c>
      <c r="K386" s="46" t="n">
        <f aca="false">IF(N(F386)&gt;0,F386,IF(N(E386)&gt;0,E386/요약!$F$27,0))</f>
        <v>38644</v>
      </c>
      <c r="L386" s="46" t="n">
        <f aca="false">IF(B386="CN",IF(N(I386)&gt;0,I386*요약!$G$27,K386*(1+요약!$E$27)),IF(N(H386)&gt;0,H386*요약!$G$27,J386*요약!$D$27))</f>
        <v>62436</v>
      </c>
      <c r="M386" s="46" t="n">
        <f aca="false">D386*J386</f>
        <v>16065000</v>
      </c>
      <c r="N386" s="46" t="n">
        <f aca="false">D386*K386</f>
        <v>3284740</v>
      </c>
      <c r="O386" s="46" t="n">
        <f aca="false">D386*L386</f>
        <v>5307060</v>
      </c>
      <c r="P386" s="42" t="str">
        <f aca="false">TRIM(IF(N(E386)&lt;=0,"택가보정 ","")&amp;IF(N(F386)&lt;=0,"원가보정 ","")&amp;IF(AND(B386&lt;&gt;"CN",N(H386)&lt;=0),"공급가보정 ","")&amp;IF(AND(B386="CN",N(I386)&lt;=0),"중국공급가=원가+마진 ",""))</f>
        <v/>
      </c>
      <c r="Q386" s="47" t="n">
        <f aca="false">IF(SUMIFS($W:$W,$A:$A,A386,$C:$C,C386)=0,0,SUMIFS(RAW_판매펀칭!$K:$K,RAW_판매펀칭!$P:$P,A386,RAW_판매펀칭!$I:$I,C386)*W386/SUMIFS($W:$W,$A:$A,A386,$C:$C,C386))</f>
        <v>0</v>
      </c>
      <c r="R386" s="47" t="n">
        <f aca="false">IF(OR(A386="500",A386="800",A386="810"),0,MAX(W386-Q386,0))</f>
        <v>0</v>
      </c>
      <c r="S386" s="47" t="n">
        <f aca="false">R386*L386</f>
        <v>0</v>
      </c>
      <c r="T386" s="47" t="n">
        <f aca="false">R386*J386</f>
        <v>0</v>
      </c>
      <c r="U386" s="47" t="n">
        <f aca="false">R386*K386</f>
        <v>0</v>
      </c>
      <c r="V386" s="0" t="str">
        <f aca="false">IF(COUNTIFS($A$2:A386,A386,$C$2:C386,C386,$D$2:D386,D386)&gt;1,"중복","")</f>
        <v/>
      </c>
      <c r="W386" s="0" t="n">
        <f aca="false">IF(V386="중복",0,N(D386))</f>
        <v>85</v>
      </c>
      <c r="X386" s="0" t="n">
        <f aca="false">IF(COUNTIFS($A$2:A386,A386,$C$2:C386,C386)=1,ABS(SUMIFS(RAW_발주!$D:$D,RAW_발주!$C:$C,A386,RAW_발주!$A:$A,C386)-SUMIFS($W:$W,$A:$A,A386,$C:$C,C386)),0)</f>
        <v>0</v>
      </c>
    </row>
    <row r="387" customFormat="false" ht="15" hidden="false" customHeight="true" outlineLevel="0" collapsed="false">
      <c r="A387" s="45" t="s">
        <v>1661</v>
      </c>
      <c r="B387" s="42" t="str">
        <f aca="false">IF(A387="100","HK",IF(A387="200","CN",IF(A387="300","TW","홀세일")))</f>
        <v>TW</v>
      </c>
      <c r="C387" s="45" t="s">
        <v>274</v>
      </c>
      <c r="D387" s="46" t="n">
        <v>420</v>
      </c>
      <c r="E387" s="46" t="n">
        <v>179000</v>
      </c>
      <c r="F387" s="46" t="n">
        <v>35119</v>
      </c>
      <c r="G387" s="42" t="n">
        <v>4.72</v>
      </c>
      <c r="H387" s="42" t="n">
        <v>44.8</v>
      </c>
      <c r="J387" s="46" t="n">
        <f aca="false">IF(N(E387)&gt;0,E387,IF(N(F387)&gt;0,F387*요약!$F$27,0))</f>
        <v>179000</v>
      </c>
      <c r="K387" s="46" t="n">
        <f aca="false">IF(N(F387)&gt;0,F387,IF(N(E387)&gt;0,E387/요약!$F$27,0))</f>
        <v>35119</v>
      </c>
      <c r="L387" s="46" t="n">
        <f aca="false">IF(B387="CN",IF(N(I387)&gt;0,I387*요약!$G$27,K387*(1+요약!$E$27)),IF(N(H387)&gt;0,H387*요약!$G$27,J387*요약!$D$27))</f>
        <v>59136</v>
      </c>
      <c r="M387" s="46" t="n">
        <f aca="false">D387*J387</f>
        <v>75180000</v>
      </c>
      <c r="N387" s="46" t="n">
        <f aca="false">D387*K387</f>
        <v>14749980</v>
      </c>
      <c r="O387" s="46" t="n">
        <f aca="false">D387*L387</f>
        <v>24837120</v>
      </c>
      <c r="P387" s="42" t="str">
        <f aca="false">TRIM(IF(N(E387)&lt;=0,"택가보정 ","")&amp;IF(N(F387)&lt;=0,"원가보정 ","")&amp;IF(AND(B387&lt;&gt;"CN",N(H387)&lt;=0),"공급가보정 ","")&amp;IF(AND(B387="CN",N(I387)&lt;=0),"중국공급가=원가+마진 ",""))</f>
        <v/>
      </c>
      <c r="Q387" s="47" t="n">
        <f aca="false">IF(SUMIFS($W:$W,$A:$A,A387,$C:$C,C387)=0,0,SUMIFS(RAW_판매펀칭!$K:$K,RAW_판매펀칭!$P:$P,A387,RAW_판매펀칭!$I:$I,C387)*W387/SUMIFS($W:$W,$A:$A,A387,$C:$C,C387))</f>
        <v>420</v>
      </c>
      <c r="R387" s="47" t="n">
        <f aca="false">IF(OR(A387="500",A387="800",A387="810"),0,MAX(W387-Q387,0))</f>
        <v>0</v>
      </c>
      <c r="S387" s="47" t="n">
        <f aca="false">R387*L387</f>
        <v>0</v>
      </c>
      <c r="T387" s="47" t="n">
        <f aca="false">R387*J387</f>
        <v>0</v>
      </c>
      <c r="U387" s="47" t="n">
        <f aca="false">R387*K387</f>
        <v>0</v>
      </c>
      <c r="V387" s="0" t="str">
        <f aca="false">IF(COUNTIFS($A$2:A387,A387,$C$2:C387,C387,$D$2:D387,D387)&gt;1,"중복","")</f>
        <v/>
      </c>
      <c r="W387" s="0" t="n">
        <f aca="false">IF(V387="중복",0,N(D387))</f>
        <v>420</v>
      </c>
      <c r="X387" s="0" t="n">
        <f aca="false">IF(COUNTIFS($A$2:A387,A387,$C$2:C387,C387)=1,ABS(SUMIFS(RAW_발주!$D:$D,RAW_발주!$C:$C,A387,RAW_발주!$A:$A,C387)-SUMIFS($W:$W,$A:$A,A387,$C:$C,C387)),0)</f>
        <v>0</v>
      </c>
    </row>
    <row r="388" customFormat="false" ht="15" hidden="false" customHeight="true" outlineLevel="0" collapsed="false">
      <c r="A388" s="45" t="s">
        <v>1661</v>
      </c>
      <c r="B388" s="42" t="str">
        <f aca="false">IF(A388="100","HK",IF(A388="200","CN",IF(A388="300","TW","홀세일")))</f>
        <v>TW</v>
      </c>
      <c r="C388" s="45" t="s">
        <v>276</v>
      </c>
      <c r="D388" s="46" t="n">
        <v>470</v>
      </c>
      <c r="E388" s="46" t="n">
        <v>149000</v>
      </c>
      <c r="F388" s="46" t="n">
        <v>32300</v>
      </c>
      <c r="G388" s="42" t="n">
        <v>4.47</v>
      </c>
      <c r="H388" s="42" t="n">
        <v>37.3</v>
      </c>
      <c r="J388" s="46" t="n">
        <f aca="false">IF(N(E388)&gt;0,E388,IF(N(F388)&gt;0,F388*요약!$F$27,0))</f>
        <v>149000</v>
      </c>
      <c r="K388" s="46" t="n">
        <f aca="false">IF(N(F388)&gt;0,F388,IF(N(E388)&gt;0,E388/요약!$F$27,0))</f>
        <v>32300</v>
      </c>
      <c r="L388" s="46" t="n">
        <f aca="false">IF(B388="CN",IF(N(I388)&gt;0,I388*요약!$G$27,K388*(1+요약!$E$27)),IF(N(H388)&gt;0,H388*요약!$G$27,J388*요약!$D$27))</f>
        <v>49236</v>
      </c>
      <c r="M388" s="46" t="n">
        <f aca="false">D388*J388</f>
        <v>70030000</v>
      </c>
      <c r="N388" s="46" t="n">
        <f aca="false">D388*K388</f>
        <v>15181000</v>
      </c>
      <c r="O388" s="46" t="n">
        <f aca="false">D388*L388</f>
        <v>23140920</v>
      </c>
      <c r="P388" s="42" t="str">
        <f aca="false">TRIM(IF(N(E388)&lt;=0,"택가보정 ","")&amp;IF(N(F388)&lt;=0,"원가보정 ","")&amp;IF(AND(B388&lt;&gt;"CN",N(H388)&lt;=0),"공급가보정 ","")&amp;IF(AND(B388="CN",N(I388)&lt;=0),"중국공급가=원가+마진 ",""))</f>
        <v/>
      </c>
      <c r="Q388" s="47" t="n">
        <f aca="false">IF(SUMIFS($W:$W,$A:$A,A388,$C:$C,C388)=0,0,SUMIFS(RAW_판매펀칭!$K:$K,RAW_판매펀칭!$P:$P,A388,RAW_판매펀칭!$I:$I,C388)*W388/SUMIFS($W:$W,$A:$A,A388,$C:$C,C388))</f>
        <v>470</v>
      </c>
      <c r="R388" s="47" t="n">
        <f aca="false">IF(OR(A388="500",A388="800",A388="810"),0,MAX(W388-Q388,0))</f>
        <v>0</v>
      </c>
      <c r="S388" s="47" t="n">
        <f aca="false">R388*L388</f>
        <v>0</v>
      </c>
      <c r="T388" s="47" t="n">
        <f aca="false">R388*J388</f>
        <v>0</v>
      </c>
      <c r="U388" s="47" t="n">
        <f aca="false">R388*K388</f>
        <v>0</v>
      </c>
      <c r="V388" s="0" t="str">
        <f aca="false">IF(COUNTIFS($A$2:A388,A388,$C$2:C388,C388,$D$2:D388,D388)&gt;1,"중복","")</f>
        <v/>
      </c>
      <c r="W388" s="0" t="n">
        <f aca="false">IF(V388="중복",0,N(D388))</f>
        <v>470</v>
      </c>
      <c r="X388" s="0" t="n">
        <f aca="false">IF(COUNTIFS($A$2:A388,A388,$C$2:C388,C388)=1,ABS(SUMIFS(RAW_발주!$D:$D,RAW_발주!$C:$C,A388,RAW_발주!$A:$A,C388)-SUMIFS($W:$W,$A:$A,A388,$C:$C,C388)),0)</f>
        <v>0</v>
      </c>
    </row>
    <row r="389" customFormat="false" ht="15" hidden="false" customHeight="true" outlineLevel="0" collapsed="false">
      <c r="A389" s="45" t="s">
        <v>1663</v>
      </c>
      <c r="B389" s="42" t="str">
        <f aca="false">IF(A389="100","HK",IF(A389="200","CN",IF(A389="300","TW","홀세일")))</f>
        <v>홀세일</v>
      </c>
      <c r="C389" s="45" t="s">
        <v>276</v>
      </c>
      <c r="D389" s="46" t="n">
        <v>55</v>
      </c>
      <c r="E389" s="46" t="n">
        <v>149000</v>
      </c>
      <c r="F389" s="46" t="n">
        <v>32300</v>
      </c>
      <c r="G389" s="42" t="n">
        <v>4.47</v>
      </c>
      <c r="H389" s="42" t="n">
        <v>37.3</v>
      </c>
      <c r="J389" s="46" t="n">
        <f aca="false">IF(N(E389)&gt;0,E389,IF(N(F389)&gt;0,F389*요약!$F$27,0))</f>
        <v>149000</v>
      </c>
      <c r="K389" s="46" t="n">
        <f aca="false">IF(N(F389)&gt;0,F389,IF(N(E389)&gt;0,E389/요약!$F$27,0))</f>
        <v>32300</v>
      </c>
      <c r="L389" s="46" t="n">
        <f aca="false">IF(B389="CN",IF(N(I389)&gt;0,I389*요약!$G$27,K389*(1+요약!$E$27)),IF(N(H389)&gt;0,H389*요약!$G$27,J389*요약!$D$27))</f>
        <v>49236</v>
      </c>
      <c r="M389" s="46" t="n">
        <f aca="false">D389*J389</f>
        <v>8195000</v>
      </c>
      <c r="N389" s="46" t="n">
        <f aca="false">D389*K389</f>
        <v>1776500</v>
      </c>
      <c r="O389" s="46" t="n">
        <f aca="false">D389*L389</f>
        <v>2707980</v>
      </c>
      <c r="P389" s="42" t="str">
        <f aca="false">TRIM(IF(N(E389)&lt;=0,"택가보정 ","")&amp;IF(N(F389)&lt;=0,"원가보정 ","")&amp;IF(AND(B389&lt;&gt;"CN",N(H389)&lt;=0),"공급가보정 ","")&amp;IF(AND(B389="CN",N(I389)&lt;=0),"중국공급가=원가+마진 ",""))</f>
        <v/>
      </c>
      <c r="Q389" s="47" t="n">
        <f aca="false">IF(SUMIFS($W:$W,$A:$A,A389,$C:$C,C389)=0,0,SUMIFS(RAW_판매펀칭!$K:$K,RAW_판매펀칭!$P:$P,A389,RAW_판매펀칭!$I:$I,C389)*W389/SUMIFS($W:$W,$A:$A,A389,$C:$C,C389))</f>
        <v>55</v>
      </c>
      <c r="R389" s="47" t="n">
        <f aca="false">IF(OR(A389="500",A389="800",A389="810"),0,MAX(W389-Q389,0))</f>
        <v>0</v>
      </c>
      <c r="S389" s="47" t="n">
        <f aca="false">R389*L389</f>
        <v>0</v>
      </c>
      <c r="T389" s="47" t="n">
        <f aca="false">R389*J389</f>
        <v>0</v>
      </c>
      <c r="U389" s="47" t="n">
        <f aca="false">R389*K389</f>
        <v>0</v>
      </c>
      <c r="V389" s="0" t="str">
        <f aca="false">IF(COUNTIFS($A$2:A389,A389,$C$2:C389,C389,$D$2:D389,D389)&gt;1,"중복","")</f>
        <v/>
      </c>
      <c r="W389" s="0" t="n">
        <f aca="false">IF(V389="중복",0,N(D389))</f>
        <v>55</v>
      </c>
      <c r="X389" s="0" t="n">
        <f aca="false">IF(COUNTIFS($A$2:A389,A389,$C$2:C389,C389)=1,ABS(SUMIFS(RAW_발주!$D:$D,RAW_발주!$C:$C,A389,RAW_발주!$A:$A,C389)-SUMIFS($W:$W,$A:$A,A389,$C:$C,C389)),0)</f>
        <v>0</v>
      </c>
    </row>
    <row r="390" customFormat="false" ht="15" hidden="false" customHeight="true" outlineLevel="0" collapsed="false">
      <c r="A390" s="45" t="s">
        <v>1664</v>
      </c>
      <c r="B390" s="42" t="str">
        <f aca="false">IF(A390="100","HK",IF(A390="200","CN",IF(A390="300","TW","홀세일")))</f>
        <v>홀세일</v>
      </c>
      <c r="C390" s="45" t="s">
        <v>276</v>
      </c>
      <c r="D390" s="46" t="n">
        <v>65</v>
      </c>
      <c r="E390" s="46" t="n">
        <v>149000</v>
      </c>
      <c r="F390" s="46" t="n">
        <v>32300</v>
      </c>
      <c r="G390" s="42" t="n">
        <v>4.47</v>
      </c>
      <c r="H390" s="42" t="n">
        <v>37.3</v>
      </c>
      <c r="J390" s="46" t="n">
        <f aca="false">IF(N(E390)&gt;0,E390,IF(N(F390)&gt;0,F390*요약!$F$27,0))</f>
        <v>149000</v>
      </c>
      <c r="K390" s="46" t="n">
        <f aca="false">IF(N(F390)&gt;0,F390,IF(N(E390)&gt;0,E390/요약!$F$27,0))</f>
        <v>32300</v>
      </c>
      <c r="L390" s="46" t="n">
        <f aca="false">IF(B390="CN",IF(N(I390)&gt;0,I390*요약!$G$27,K390*(1+요약!$E$27)),IF(N(H390)&gt;0,H390*요약!$G$27,J390*요약!$D$27))</f>
        <v>49236</v>
      </c>
      <c r="M390" s="46" t="n">
        <f aca="false">D390*J390</f>
        <v>9685000</v>
      </c>
      <c r="N390" s="46" t="n">
        <f aca="false">D390*K390</f>
        <v>2099500</v>
      </c>
      <c r="O390" s="46" t="n">
        <f aca="false">D390*L390</f>
        <v>3200340</v>
      </c>
      <c r="P390" s="42" t="str">
        <f aca="false">TRIM(IF(N(E390)&lt;=0,"택가보정 ","")&amp;IF(N(F390)&lt;=0,"원가보정 ","")&amp;IF(AND(B390&lt;&gt;"CN",N(H390)&lt;=0),"공급가보정 ","")&amp;IF(AND(B390="CN",N(I390)&lt;=0),"중국공급가=원가+마진 ",""))</f>
        <v/>
      </c>
      <c r="Q390" s="47" t="n">
        <f aca="false">IF(SUMIFS($W:$W,$A:$A,A390,$C:$C,C390)=0,0,SUMIFS(RAW_판매펀칭!$K:$K,RAW_판매펀칭!$P:$P,A390,RAW_판매펀칭!$I:$I,C390)*W390/SUMIFS($W:$W,$A:$A,A390,$C:$C,C390))</f>
        <v>0</v>
      </c>
      <c r="R390" s="47" t="n">
        <f aca="false">IF(OR(A390="500",A390="800",A390="810"),0,MAX(W390-Q390,0))</f>
        <v>0</v>
      </c>
      <c r="S390" s="47" t="n">
        <f aca="false">R390*L390</f>
        <v>0</v>
      </c>
      <c r="T390" s="47" t="n">
        <f aca="false">R390*J390</f>
        <v>0</v>
      </c>
      <c r="U390" s="47" t="n">
        <f aca="false">R390*K390</f>
        <v>0</v>
      </c>
      <c r="V390" s="0" t="str">
        <f aca="false">IF(COUNTIFS($A$2:A390,A390,$C$2:C390,C390,$D$2:D390,D390)&gt;1,"중복","")</f>
        <v/>
      </c>
      <c r="W390" s="0" t="n">
        <f aca="false">IF(V390="중복",0,N(D390))</f>
        <v>65</v>
      </c>
      <c r="X390" s="0" t="n">
        <f aca="false">IF(COUNTIFS($A$2:A390,A390,$C$2:C390,C390)=1,ABS(SUMIFS(RAW_발주!$D:$D,RAW_발주!$C:$C,A390,RAW_발주!$A:$A,C390)-SUMIFS($W:$W,$A:$A,A390,$C:$C,C390)),0)</f>
        <v>0</v>
      </c>
    </row>
    <row r="391" customFormat="false" ht="15" hidden="false" customHeight="true" outlineLevel="0" collapsed="false">
      <c r="A391" s="45" t="s">
        <v>1665</v>
      </c>
      <c r="B391" s="42" t="str">
        <f aca="false">IF(A391="100","HK",IF(A391="200","CN",IF(A391="300","TW","홀세일")))</f>
        <v>홀세일</v>
      </c>
      <c r="C391" s="45" t="s">
        <v>276</v>
      </c>
      <c r="D391" s="46" t="n">
        <v>216</v>
      </c>
      <c r="E391" s="46" t="n">
        <v>149000</v>
      </c>
      <c r="F391" s="46" t="n">
        <v>32300</v>
      </c>
      <c r="G391" s="42" t="n">
        <v>4.47</v>
      </c>
      <c r="H391" s="42" t="n">
        <v>37.3</v>
      </c>
      <c r="J391" s="46" t="n">
        <f aca="false">IF(N(E391)&gt;0,E391,IF(N(F391)&gt;0,F391*요약!$F$27,0))</f>
        <v>149000</v>
      </c>
      <c r="K391" s="46" t="n">
        <f aca="false">IF(N(F391)&gt;0,F391,IF(N(E391)&gt;0,E391/요약!$F$27,0))</f>
        <v>32300</v>
      </c>
      <c r="L391" s="46" t="n">
        <f aca="false">IF(B391="CN",IF(N(I391)&gt;0,I391*요약!$G$27,K391*(1+요약!$E$27)),IF(N(H391)&gt;0,H391*요약!$G$27,J391*요약!$D$27))</f>
        <v>49236</v>
      </c>
      <c r="M391" s="46" t="n">
        <f aca="false">D391*J391</f>
        <v>32184000</v>
      </c>
      <c r="N391" s="46" t="n">
        <f aca="false">D391*K391</f>
        <v>6976800</v>
      </c>
      <c r="O391" s="46" t="n">
        <f aca="false">D391*L391</f>
        <v>10634976</v>
      </c>
      <c r="P391" s="42" t="str">
        <f aca="false">TRIM(IF(N(E391)&lt;=0,"택가보정 ","")&amp;IF(N(F391)&lt;=0,"원가보정 ","")&amp;IF(AND(B391&lt;&gt;"CN",N(H391)&lt;=0),"공급가보정 ","")&amp;IF(AND(B391="CN",N(I391)&lt;=0),"중국공급가=원가+마진 ",""))</f>
        <v/>
      </c>
      <c r="Q391" s="47" t="n">
        <f aca="false">IF(SUMIFS($W:$W,$A:$A,A391,$C:$C,C391)=0,0,SUMIFS(RAW_판매펀칭!$K:$K,RAW_판매펀칭!$P:$P,A391,RAW_판매펀칭!$I:$I,C391)*W391/SUMIFS($W:$W,$A:$A,A391,$C:$C,C391))</f>
        <v>216</v>
      </c>
      <c r="R391" s="47" t="n">
        <f aca="false">IF(OR(A391="500",A391="800",A391="810"),0,MAX(W391-Q391,0))</f>
        <v>0</v>
      </c>
      <c r="S391" s="47" t="n">
        <f aca="false">R391*L391</f>
        <v>0</v>
      </c>
      <c r="T391" s="47" t="n">
        <f aca="false">R391*J391</f>
        <v>0</v>
      </c>
      <c r="U391" s="47" t="n">
        <f aca="false">R391*K391</f>
        <v>0</v>
      </c>
      <c r="V391" s="0" t="str">
        <f aca="false">IF(COUNTIFS($A$2:A391,A391,$C$2:C391,C391,$D$2:D391,D391)&gt;1,"중복","")</f>
        <v/>
      </c>
      <c r="W391" s="0" t="n">
        <f aca="false">IF(V391="중복",0,N(D391))</f>
        <v>216</v>
      </c>
      <c r="X391" s="0" t="n">
        <f aca="false">IF(COUNTIFS($A$2:A391,A391,$C$2:C391,C391)=1,ABS(SUMIFS(RAW_발주!$D:$D,RAW_발주!$C:$C,A391,RAW_발주!$A:$A,C391)-SUMIFS($W:$W,$A:$A,A391,$C:$C,C391)),0)</f>
        <v>0</v>
      </c>
    </row>
    <row r="392" customFormat="false" ht="15" hidden="false" customHeight="true" outlineLevel="0" collapsed="false">
      <c r="A392" s="45" t="s">
        <v>1663</v>
      </c>
      <c r="B392" s="42" t="str">
        <f aca="false">IF(A392="100","HK",IF(A392="200","CN",IF(A392="300","TW","홀세일")))</f>
        <v>홀세일</v>
      </c>
      <c r="C392" s="45" t="s">
        <v>1294</v>
      </c>
      <c r="D392" s="46" t="n">
        <v>100</v>
      </c>
      <c r="E392" s="46" t="n">
        <v>89000</v>
      </c>
      <c r="F392" s="46" t="n">
        <v>14100</v>
      </c>
      <c r="G392" s="42" t="n">
        <v>5.06</v>
      </c>
      <c r="H392" s="42" t="n">
        <v>22.3</v>
      </c>
      <c r="J392" s="46" t="n">
        <f aca="false">IF(N(E392)&gt;0,E392,IF(N(F392)&gt;0,F392*요약!$F$27,0))</f>
        <v>89000</v>
      </c>
      <c r="K392" s="46" t="n">
        <f aca="false">IF(N(F392)&gt;0,F392,IF(N(E392)&gt;0,E392/요약!$F$27,0))</f>
        <v>14100</v>
      </c>
      <c r="L392" s="46" t="n">
        <f aca="false">IF(B392="CN",IF(N(I392)&gt;0,I392*요약!$G$27,K392*(1+요약!$E$27)),IF(N(H392)&gt;0,H392*요약!$G$27,J392*요약!$D$27))</f>
        <v>29436</v>
      </c>
      <c r="M392" s="46" t="n">
        <f aca="false">D392*J392</f>
        <v>8900000</v>
      </c>
      <c r="N392" s="46" t="n">
        <f aca="false">D392*K392</f>
        <v>1410000</v>
      </c>
      <c r="O392" s="46" t="n">
        <f aca="false">D392*L392</f>
        <v>2943600</v>
      </c>
      <c r="P392" s="42" t="str">
        <f aca="false">TRIM(IF(N(E392)&lt;=0,"택가보정 ","")&amp;IF(N(F392)&lt;=0,"원가보정 ","")&amp;IF(AND(B392&lt;&gt;"CN",N(H392)&lt;=0),"공급가보정 ","")&amp;IF(AND(B392="CN",N(I392)&lt;=0),"중국공급가=원가+마진 ",""))</f>
        <v/>
      </c>
      <c r="Q392" s="47" t="n">
        <f aca="false">IF(SUMIFS($W:$W,$A:$A,A392,$C:$C,C392)=0,0,SUMIFS(RAW_판매펀칭!$K:$K,RAW_판매펀칭!$P:$P,A392,RAW_판매펀칭!$I:$I,C392)*W392/SUMIFS($W:$W,$A:$A,A392,$C:$C,C392))</f>
        <v>100</v>
      </c>
      <c r="R392" s="47" t="n">
        <f aca="false">IF(OR(A392="500",A392="800",A392="810"),0,MAX(W392-Q392,0))</f>
        <v>0</v>
      </c>
      <c r="S392" s="47" t="n">
        <f aca="false">R392*L392</f>
        <v>0</v>
      </c>
      <c r="T392" s="47" t="n">
        <f aca="false">R392*J392</f>
        <v>0</v>
      </c>
      <c r="U392" s="47" t="n">
        <f aca="false">R392*K392</f>
        <v>0</v>
      </c>
      <c r="V392" s="0" t="str">
        <f aca="false">IF(COUNTIFS($A$2:A392,A392,$C$2:C392,C392,$D$2:D392,D392)&gt;1,"중복","")</f>
        <v/>
      </c>
      <c r="W392" s="0" t="n">
        <f aca="false">IF(V392="중복",0,N(D392))</f>
        <v>100</v>
      </c>
      <c r="X392" s="0" t="n">
        <f aca="false">IF(COUNTIFS($A$2:A392,A392,$C$2:C392,C392)=1,ABS(SUMIFS(RAW_발주!$D:$D,RAW_발주!$C:$C,A392,RAW_발주!$A:$A,C392)-SUMIFS($W:$W,$A:$A,A392,$C:$C,C392)),0)</f>
        <v>0</v>
      </c>
    </row>
    <row r="393" customFormat="false" ht="15" hidden="false" customHeight="true" outlineLevel="0" collapsed="false">
      <c r="A393" s="45" t="s">
        <v>1667</v>
      </c>
      <c r="B393" s="42" t="str">
        <f aca="false">IF(A393="100","HK",IF(A393="200","CN",IF(A393="300","TW","홀세일")))</f>
        <v>홀세일</v>
      </c>
      <c r="C393" s="45" t="s">
        <v>1294</v>
      </c>
      <c r="D393" s="46" t="n">
        <v>264</v>
      </c>
      <c r="E393" s="46" t="n">
        <v>89000</v>
      </c>
      <c r="F393" s="46" t="n">
        <v>14100</v>
      </c>
      <c r="G393" s="42" t="n">
        <v>5.06</v>
      </c>
      <c r="H393" s="42" t="n">
        <v>22.3</v>
      </c>
      <c r="J393" s="46" t="n">
        <f aca="false">IF(N(E393)&gt;0,E393,IF(N(F393)&gt;0,F393*요약!$F$27,0))</f>
        <v>89000</v>
      </c>
      <c r="K393" s="46" t="n">
        <f aca="false">IF(N(F393)&gt;0,F393,IF(N(E393)&gt;0,E393/요약!$F$27,0))</f>
        <v>14100</v>
      </c>
      <c r="L393" s="46" t="n">
        <f aca="false">IF(B393="CN",IF(N(I393)&gt;0,I393*요약!$G$27,K393*(1+요약!$E$27)),IF(N(H393)&gt;0,H393*요약!$G$27,J393*요약!$D$27))</f>
        <v>29436</v>
      </c>
      <c r="M393" s="46" t="n">
        <f aca="false">D393*J393</f>
        <v>23496000</v>
      </c>
      <c r="N393" s="46" t="n">
        <f aca="false">D393*K393</f>
        <v>3722400</v>
      </c>
      <c r="O393" s="46" t="n">
        <f aca="false">D393*L393</f>
        <v>7771104</v>
      </c>
      <c r="P393" s="42" t="str">
        <f aca="false">TRIM(IF(N(E393)&lt;=0,"택가보정 ","")&amp;IF(N(F393)&lt;=0,"원가보정 ","")&amp;IF(AND(B393&lt;&gt;"CN",N(H393)&lt;=0),"공급가보정 ","")&amp;IF(AND(B393="CN",N(I393)&lt;=0),"중국공급가=원가+마진 ",""))</f>
        <v/>
      </c>
      <c r="Q393" s="47" t="n">
        <f aca="false">IF(SUMIFS($W:$W,$A:$A,A393,$C:$C,C393)=0,0,SUMIFS(RAW_판매펀칭!$K:$K,RAW_판매펀칭!$P:$P,A393,RAW_판매펀칭!$I:$I,C393)*W393/SUMIFS($W:$W,$A:$A,A393,$C:$C,C393))</f>
        <v>264</v>
      </c>
      <c r="R393" s="47" t="n">
        <f aca="false">IF(OR(A393="500",A393="800",A393="810"),0,MAX(W393-Q393,0))</f>
        <v>0</v>
      </c>
      <c r="S393" s="47" t="n">
        <f aca="false">R393*L393</f>
        <v>0</v>
      </c>
      <c r="T393" s="47" t="n">
        <f aca="false">R393*J393</f>
        <v>0</v>
      </c>
      <c r="U393" s="47" t="n">
        <f aca="false">R393*K393</f>
        <v>0</v>
      </c>
      <c r="V393" s="0" t="str">
        <f aca="false">IF(COUNTIFS($A$2:A393,A393,$C$2:C393,C393,$D$2:D393,D393)&gt;1,"중복","")</f>
        <v/>
      </c>
      <c r="W393" s="0" t="n">
        <f aca="false">IF(V393="중복",0,N(D393))</f>
        <v>264</v>
      </c>
      <c r="X393" s="0" t="n">
        <f aca="false">IF(COUNTIFS($A$2:A393,A393,$C$2:C393,C393)=1,ABS(SUMIFS(RAW_발주!$D:$D,RAW_발주!$C:$C,A393,RAW_발주!$A:$A,C393)-SUMIFS($W:$W,$A:$A,A393,$C:$C,C393)),0)</f>
        <v>0</v>
      </c>
    </row>
    <row r="394" customFormat="false" ht="15" hidden="false" customHeight="true" outlineLevel="0" collapsed="false">
      <c r="A394" s="45" t="s">
        <v>1664</v>
      </c>
      <c r="B394" s="42" t="str">
        <f aca="false">IF(A394="100","HK",IF(A394="200","CN",IF(A394="300","TW","홀세일")))</f>
        <v>홀세일</v>
      </c>
      <c r="C394" s="45" t="s">
        <v>1294</v>
      </c>
      <c r="D394" s="46" t="n">
        <v>100</v>
      </c>
      <c r="E394" s="46" t="n">
        <v>89000</v>
      </c>
      <c r="F394" s="46" t="n">
        <v>14100</v>
      </c>
      <c r="G394" s="42" t="n">
        <v>5.06</v>
      </c>
      <c r="H394" s="42" t="n">
        <v>22.3</v>
      </c>
      <c r="J394" s="46" t="n">
        <f aca="false">IF(N(E394)&gt;0,E394,IF(N(F394)&gt;0,F394*요약!$F$27,0))</f>
        <v>89000</v>
      </c>
      <c r="K394" s="46" t="n">
        <f aca="false">IF(N(F394)&gt;0,F394,IF(N(E394)&gt;0,E394/요약!$F$27,0))</f>
        <v>14100</v>
      </c>
      <c r="L394" s="46" t="n">
        <f aca="false">IF(B394="CN",IF(N(I394)&gt;0,I394*요약!$G$27,K394*(1+요약!$E$27)),IF(N(H394)&gt;0,H394*요약!$G$27,J394*요약!$D$27))</f>
        <v>29436</v>
      </c>
      <c r="M394" s="46" t="n">
        <f aca="false">D394*J394</f>
        <v>8900000</v>
      </c>
      <c r="N394" s="46" t="n">
        <f aca="false">D394*K394</f>
        <v>1410000</v>
      </c>
      <c r="O394" s="46" t="n">
        <f aca="false">D394*L394</f>
        <v>2943600</v>
      </c>
      <c r="P394" s="42" t="str">
        <f aca="false">TRIM(IF(N(E394)&lt;=0,"택가보정 ","")&amp;IF(N(F394)&lt;=0,"원가보정 ","")&amp;IF(AND(B394&lt;&gt;"CN",N(H394)&lt;=0),"공급가보정 ","")&amp;IF(AND(B394="CN",N(I394)&lt;=0),"중국공급가=원가+마진 ",""))</f>
        <v/>
      </c>
      <c r="Q394" s="47" t="n">
        <f aca="false">IF(SUMIFS($W:$W,$A:$A,A394,$C:$C,C394)=0,0,SUMIFS(RAW_판매펀칭!$K:$K,RAW_판매펀칭!$P:$P,A394,RAW_판매펀칭!$I:$I,C394)*W394/SUMIFS($W:$W,$A:$A,A394,$C:$C,C394))</f>
        <v>0</v>
      </c>
      <c r="R394" s="47" t="n">
        <f aca="false">IF(OR(A394="500",A394="800",A394="810"),0,MAX(W394-Q394,0))</f>
        <v>0</v>
      </c>
      <c r="S394" s="47" t="n">
        <f aca="false">R394*L394</f>
        <v>0</v>
      </c>
      <c r="T394" s="47" t="n">
        <f aca="false">R394*J394</f>
        <v>0</v>
      </c>
      <c r="U394" s="47" t="n">
        <f aca="false">R394*K394</f>
        <v>0</v>
      </c>
      <c r="V394" s="0" t="str">
        <f aca="false">IF(COUNTIFS($A$2:A394,A394,$C$2:C394,C394,$D$2:D394,D394)&gt;1,"중복","")</f>
        <v/>
      </c>
      <c r="W394" s="0" t="n">
        <f aca="false">IF(V394="중복",0,N(D394))</f>
        <v>100</v>
      </c>
      <c r="X394" s="0" t="n">
        <f aca="false">IF(COUNTIFS($A$2:A394,A394,$C$2:C394,C394)=1,ABS(SUMIFS(RAW_발주!$D:$D,RAW_발주!$C:$C,A394,RAW_발주!$A:$A,C394)-SUMIFS($W:$W,$A:$A,A394,$C:$C,C394)),0)</f>
        <v>0</v>
      </c>
    </row>
    <row r="395" customFormat="false" ht="15" hidden="false" customHeight="true" outlineLevel="0" collapsed="false">
      <c r="A395" s="45" t="s">
        <v>1659</v>
      </c>
      <c r="B395" s="42" t="str">
        <f aca="false">IF(A395="100","HK",IF(A395="200","CN",IF(A395="300","TW","홀세일")))</f>
        <v>HK</v>
      </c>
      <c r="C395" s="45" t="s">
        <v>278</v>
      </c>
      <c r="D395" s="46" t="n">
        <v>260</v>
      </c>
      <c r="E395" s="46" t="n">
        <v>99000</v>
      </c>
      <c r="F395" s="46" t="n">
        <v>20113</v>
      </c>
      <c r="G395" s="42" t="n">
        <v>4.84</v>
      </c>
      <c r="H395" s="42" t="n">
        <v>24.8</v>
      </c>
      <c r="J395" s="46" t="n">
        <f aca="false">IF(N(E395)&gt;0,E395,IF(N(F395)&gt;0,F395*요약!$F$27,0))</f>
        <v>99000</v>
      </c>
      <c r="K395" s="46" t="n">
        <f aca="false">IF(N(F395)&gt;0,F395,IF(N(E395)&gt;0,E395/요약!$F$27,0))</f>
        <v>20113</v>
      </c>
      <c r="L395" s="46" t="n">
        <f aca="false">IF(B395="CN",IF(N(I395)&gt;0,I395*요약!$G$27,K395*(1+요약!$E$27)),IF(N(H395)&gt;0,H395*요약!$G$27,J395*요약!$D$27))</f>
        <v>32736</v>
      </c>
      <c r="M395" s="46" t="n">
        <f aca="false">D395*J395</f>
        <v>25740000</v>
      </c>
      <c r="N395" s="46" t="n">
        <f aca="false">D395*K395</f>
        <v>5229380</v>
      </c>
      <c r="O395" s="46" t="n">
        <f aca="false">D395*L395</f>
        <v>8511360</v>
      </c>
      <c r="P395" s="42" t="str">
        <f aca="false">TRIM(IF(N(E395)&lt;=0,"택가보정 ","")&amp;IF(N(F395)&lt;=0,"원가보정 ","")&amp;IF(AND(B395&lt;&gt;"CN",N(H395)&lt;=0),"공급가보정 ","")&amp;IF(AND(B395="CN",N(I395)&lt;=0),"중국공급가=원가+마진 ",""))</f>
        <v/>
      </c>
      <c r="Q395" s="47" t="n">
        <f aca="false">IF(SUMIFS($W:$W,$A:$A,A395,$C:$C,C395)=0,0,SUMIFS(RAW_판매펀칭!$K:$K,RAW_판매펀칭!$P:$P,A395,RAW_판매펀칭!$I:$I,C395)*W395/SUMIFS($W:$W,$A:$A,A395,$C:$C,C395))</f>
        <v>260</v>
      </c>
      <c r="R395" s="47" t="n">
        <f aca="false">IF(OR(A395="500",A395="800",A395="810"),0,MAX(W395-Q395,0))</f>
        <v>0</v>
      </c>
      <c r="S395" s="47" t="n">
        <f aca="false">R395*L395</f>
        <v>0</v>
      </c>
      <c r="T395" s="47" t="n">
        <f aca="false">R395*J395</f>
        <v>0</v>
      </c>
      <c r="U395" s="47" t="n">
        <f aca="false">R395*K395</f>
        <v>0</v>
      </c>
      <c r="V395" s="0" t="str">
        <f aca="false">IF(COUNTIFS($A$2:A395,A395,$C$2:C395,C395,$D$2:D395,D395)&gt;1,"중복","")</f>
        <v/>
      </c>
      <c r="W395" s="0" t="n">
        <f aca="false">IF(V395="중복",0,N(D395))</f>
        <v>260</v>
      </c>
      <c r="X395" s="0" t="n">
        <f aca="false">IF(COUNTIFS($A$2:A395,A395,$C$2:C395,C395)=1,ABS(SUMIFS(RAW_발주!$D:$D,RAW_발주!$C:$C,A395,RAW_발주!$A:$A,C395)-SUMIFS($W:$W,$A:$A,A395,$C:$C,C395)),0)</f>
        <v>0</v>
      </c>
    </row>
    <row r="396" customFormat="false" ht="15.75" hidden="false" customHeight="true" outlineLevel="0" collapsed="false">
      <c r="A396" s="45" t="s">
        <v>1660</v>
      </c>
      <c r="B396" s="42" t="str">
        <f aca="false">IF(A396="100","HK",IF(A396="200","CN",IF(A396="300","TW","홀세일")))</f>
        <v>CN</v>
      </c>
      <c r="C396" s="45" t="s">
        <v>278</v>
      </c>
      <c r="D396" s="46" t="n">
        <v>513</v>
      </c>
      <c r="E396" s="46" t="n">
        <v>99000</v>
      </c>
      <c r="F396" s="46" t="n">
        <v>20113</v>
      </c>
      <c r="G396" s="42" t="n">
        <v>4.84</v>
      </c>
      <c r="H396" s="42" t="n">
        <v>24.8</v>
      </c>
      <c r="J396" s="46" t="n">
        <f aca="false">IF(N(E396)&gt;0,E396,IF(N(F396)&gt;0,F396*요약!$F$27,0))</f>
        <v>99000</v>
      </c>
      <c r="K396" s="46" t="n">
        <f aca="false">IF(N(F396)&gt;0,F396,IF(N(E396)&gt;0,E396/요약!$F$27,0))</f>
        <v>20113</v>
      </c>
      <c r="L396" s="46" t="n">
        <f aca="false">IF(B396="CN",IF(N(I396)&gt;0,I396*요약!$G$27,K396*(1+요약!$E$27)),IF(N(H396)&gt;0,H396*요약!$G$27,J396*요약!$D$27))</f>
        <v>21118.65</v>
      </c>
      <c r="M396" s="46" t="n">
        <f aca="false">D396*J396</f>
        <v>50787000</v>
      </c>
      <c r="N396" s="46" t="n">
        <f aca="false">D396*K396</f>
        <v>10317969</v>
      </c>
      <c r="O396" s="46" t="n">
        <f aca="false">D396*L396</f>
        <v>10833867.45</v>
      </c>
      <c r="P396" s="42" t="str">
        <f aca="false">TRIM(IF(N(E396)&lt;=0,"택가보정 ","")&amp;IF(N(F396)&lt;=0,"원가보정 ","")&amp;IF(AND(B396&lt;&gt;"CN",N(H396)&lt;=0),"공급가보정 ","")&amp;IF(AND(B396="CN",N(I396)&lt;=0),"중국공급가=원가+마진 ",""))</f>
        <v>중국공급가=원가+마진</v>
      </c>
      <c r="Q396" s="47" t="n">
        <f aca="false">IF(SUMIFS($W:$W,$A:$A,A396,$C:$C,C396)=0,0,SUMIFS(RAW_판매펀칭!$K:$K,RAW_판매펀칭!$P:$P,A396,RAW_판매펀칭!$I:$I,C396)*W396/SUMIFS($W:$W,$A:$A,A396,$C:$C,C396))</f>
        <v>513</v>
      </c>
      <c r="R396" s="47" t="n">
        <f aca="false">IF(OR(A396="500",A396="800",A396="810"),0,MAX(W396-Q396,0))</f>
        <v>0</v>
      </c>
      <c r="S396" s="47" t="n">
        <f aca="false">R396*L396</f>
        <v>0</v>
      </c>
      <c r="T396" s="47" t="n">
        <f aca="false">R396*J396</f>
        <v>0</v>
      </c>
      <c r="U396" s="47" t="n">
        <f aca="false">R396*K396</f>
        <v>0</v>
      </c>
      <c r="V396" s="0" t="str">
        <f aca="false">IF(COUNTIFS($A$2:A396,A396,$C$2:C396,C396,$D$2:D396,D396)&gt;1,"중복","")</f>
        <v/>
      </c>
      <c r="W396" s="0" t="n">
        <f aca="false">IF(V396="중복",0,N(D396))</f>
        <v>513</v>
      </c>
      <c r="X396" s="0" t="n">
        <f aca="false">IF(COUNTIFS($A$2:A396,A396,$C$2:C396,C396)=1,ABS(SUMIFS(RAW_발주!$D:$D,RAW_발주!$C:$C,A396,RAW_발주!$A:$A,C396)-SUMIFS($W:$W,$A:$A,A396,$C:$C,C396)),0)</f>
        <v>0</v>
      </c>
    </row>
    <row r="397" customFormat="false" ht="15" hidden="false" customHeight="true" outlineLevel="0" collapsed="false">
      <c r="A397" s="45" t="s">
        <v>1661</v>
      </c>
      <c r="B397" s="42" t="str">
        <f aca="false">IF(A397="100","HK",IF(A397="200","CN",IF(A397="300","TW","홀세일")))</f>
        <v>TW</v>
      </c>
      <c r="C397" s="45" t="s">
        <v>278</v>
      </c>
      <c r="D397" s="46" t="n">
        <v>880</v>
      </c>
      <c r="E397" s="46" t="n">
        <v>99000</v>
      </c>
      <c r="F397" s="46" t="n">
        <v>20113</v>
      </c>
      <c r="G397" s="42" t="n">
        <v>4.84</v>
      </c>
      <c r="H397" s="42" t="n">
        <v>24.8</v>
      </c>
      <c r="J397" s="46" t="n">
        <f aca="false">IF(N(E397)&gt;0,E397,IF(N(F397)&gt;0,F397*요약!$F$27,0))</f>
        <v>99000</v>
      </c>
      <c r="K397" s="46" t="n">
        <f aca="false">IF(N(F397)&gt;0,F397,IF(N(E397)&gt;0,E397/요약!$F$27,0))</f>
        <v>20113</v>
      </c>
      <c r="L397" s="46" t="n">
        <f aca="false">IF(B397="CN",IF(N(I397)&gt;0,I397*요약!$G$27,K397*(1+요약!$E$27)),IF(N(H397)&gt;0,H397*요약!$G$27,J397*요약!$D$27))</f>
        <v>32736</v>
      </c>
      <c r="M397" s="46" t="n">
        <f aca="false">D397*J397</f>
        <v>87120000</v>
      </c>
      <c r="N397" s="46" t="n">
        <f aca="false">D397*K397</f>
        <v>17699440</v>
      </c>
      <c r="O397" s="46" t="n">
        <f aca="false">D397*L397</f>
        <v>28807680</v>
      </c>
      <c r="P397" s="42" t="str">
        <f aca="false">TRIM(IF(N(E397)&lt;=0,"택가보정 ","")&amp;IF(N(F397)&lt;=0,"원가보정 ","")&amp;IF(AND(B397&lt;&gt;"CN",N(H397)&lt;=0),"공급가보정 ","")&amp;IF(AND(B397="CN",N(I397)&lt;=0),"중국공급가=원가+마진 ",""))</f>
        <v/>
      </c>
      <c r="Q397" s="47" t="n">
        <f aca="false">IF(SUMIFS($W:$W,$A:$A,A397,$C:$C,C397)=0,0,SUMIFS(RAW_판매펀칭!$K:$K,RAW_판매펀칭!$P:$P,A397,RAW_판매펀칭!$I:$I,C397)*W397/SUMIFS($W:$W,$A:$A,A397,$C:$C,C397))</f>
        <v>880</v>
      </c>
      <c r="R397" s="47" t="n">
        <f aca="false">IF(OR(A397="500",A397="800",A397="810"),0,MAX(W397-Q397,0))</f>
        <v>0</v>
      </c>
      <c r="S397" s="47" t="n">
        <f aca="false">R397*L397</f>
        <v>0</v>
      </c>
      <c r="T397" s="47" t="n">
        <f aca="false">R397*J397</f>
        <v>0</v>
      </c>
      <c r="U397" s="47" t="n">
        <f aca="false">R397*K397</f>
        <v>0</v>
      </c>
      <c r="V397" s="0" t="str">
        <f aca="false">IF(COUNTIFS($A$2:A397,A397,$C$2:C397,C397,$D$2:D397,D397)&gt;1,"중복","")</f>
        <v/>
      </c>
      <c r="W397" s="0" t="n">
        <f aca="false">IF(V397="중복",0,N(D397))</f>
        <v>880</v>
      </c>
      <c r="X397" s="0" t="n">
        <f aca="false">IF(COUNTIFS($A$2:A397,A397,$C$2:C397,C397)=1,ABS(SUMIFS(RAW_발주!$D:$D,RAW_발주!$C:$C,A397,RAW_발주!$A:$A,C397)-SUMIFS($W:$W,$A:$A,A397,$C:$C,C397)),0)</f>
        <v>0</v>
      </c>
    </row>
    <row r="398" customFormat="false" ht="15" hidden="false" customHeight="true" outlineLevel="0" collapsed="false">
      <c r="A398" s="45" t="s">
        <v>1663</v>
      </c>
      <c r="B398" s="42" t="str">
        <f aca="false">IF(A398="100","HK",IF(A398="200","CN",IF(A398="300","TW","홀세일")))</f>
        <v>홀세일</v>
      </c>
      <c r="C398" s="45" t="s">
        <v>278</v>
      </c>
      <c r="D398" s="46" t="n">
        <v>95</v>
      </c>
      <c r="E398" s="46" t="n">
        <v>99000</v>
      </c>
      <c r="F398" s="46" t="n">
        <v>20113</v>
      </c>
      <c r="G398" s="42" t="n">
        <v>4.84</v>
      </c>
      <c r="H398" s="42" t="n">
        <v>24.8</v>
      </c>
      <c r="J398" s="46" t="n">
        <f aca="false">IF(N(E398)&gt;0,E398,IF(N(F398)&gt;0,F398*요약!$F$27,0))</f>
        <v>99000</v>
      </c>
      <c r="K398" s="46" t="n">
        <f aca="false">IF(N(F398)&gt;0,F398,IF(N(E398)&gt;0,E398/요약!$F$27,0))</f>
        <v>20113</v>
      </c>
      <c r="L398" s="46" t="n">
        <f aca="false">IF(B398="CN",IF(N(I398)&gt;0,I398*요약!$G$27,K398*(1+요약!$E$27)),IF(N(H398)&gt;0,H398*요약!$G$27,J398*요약!$D$27))</f>
        <v>32736</v>
      </c>
      <c r="M398" s="46" t="n">
        <f aca="false">D398*J398</f>
        <v>9405000</v>
      </c>
      <c r="N398" s="46" t="n">
        <f aca="false">D398*K398</f>
        <v>1910735</v>
      </c>
      <c r="O398" s="46" t="n">
        <f aca="false">D398*L398</f>
        <v>3109920</v>
      </c>
      <c r="P398" s="42" t="str">
        <f aca="false">TRIM(IF(N(E398)&lt;=0,"택가보정 ","")&amp;IF(N(F398)&lt;=0,"원가보정 ","")&amp;IF(AND(B398&lt;&gt;"CN",N(H398)&lt;=0),"공급가보정 ","")&amp;IF(AND(B398="CN",N(I398)&lt;=0),"중국공급가=원가+마진 ",""))</f>
        <v/>
      </c>
      <c r="Q398" s="47" t="n">
        <f aca="false">IF(SUMIFS($W:$W,$A:$A,A398,$C:$C,C398)=0,0,SUMIFS(RAW_판매펀칭!$K:$K,RAW_판매펀칭!$P:$P,A398,RAW_판매펀칭!$I:$I,C398)*W398/SUMIFS($W:$W,$A:$A,A398,$C:$C,C398))</f>
        <v>95</v>
      </c>
      <c r="R398" s="47" t="n">
        <f aca="false">IF(OR(A398="500",A398="800",A398="810"),0,MAX(W398-Q398,0))</f>
        <v>0</v>
      </c>
      <c r="S398" s="47" t="n">
        <f aca="false">R398*L398</f>
        <v>0</v>
      </c>
      <c r="T398" s="47" t="n">
        <f aca="false">R398*J398</f>
        <v>0</v>
      </c>
      <c r="U398" s="47" t="n">
        <f aca="false">R398*K398</f>
        <v>0</v>
      </c>
      <c r="V398" s="0" t="str">
        <f aca="false">IF(COUNTIFS($A$2:A398,A398,$C$2:C398,C398,$D$2:D398,D398)&gt;1,"중복","")</f>
        <v/>
      </c>
      <c r="W398" s="0" t="n">
        <f aca="false">IF(V398="중복",0,N(D398))</f>
        <v>95</v>
      </c>
      <c r="X398" s="0" t="n">
        <f aca="false">IF(COUNTIFS($A$2:A398,A398,$C$2:C398,C398)=1,ABS(SUMIFS(RAW_발주!$D:$D,RAW_발주!$C:$C,A398,RAW_발주!$A:$A,C398)-SUMIFS($W:$W,$A:$A,A398,$C:$C,C398)),0)</f>
        <v>0</v>
      </c>
    </row>
    <row r="399" customFormat="false" ht="15" hidden="false" customHeight="true" outlineLevel="0" collapsed="false">
      <c r="A399" s="45" t="s">
        <v>1659</v>
      </c>
      <c r="B399" s="42" t="str">
        <f aca="false">IF(A399="100","HK",IF(A399="200","CN",IF(A399="300","TW","홀세일")))</f>
        <v>HK</v>
      </c>
      <c r="C399" s="45" t="s">
        <v>280</v>
      </c>
      <c r="D399" s="46" t="n">
        <v>130</v>
      </c>
      <c r="E399" s="46" t="n">
        <v>99000</v>
      </c>
      <c r="F399" s="46" t="n">
        <v>19392</v>
      </c>
      <c r="G399" s="42" t="n">
        <v>4.07</v>
      </c>
      <c r="H399" s="42" t="n">
        <v>24.8</v>
      </c>
      <c r="J399" s="46" t="n">
        <f aca="false">IF(N(E399)&gt;0,E399,IF(N(F399)&gt;0,F399*요약!$F$27,0))</f>
        <v>99000</v>
      </c>
      <c r="K399" s="46" t="n">
        <f aca="false">IF(N(F399)&gt;0,F399,IF(N(E399)&gt;0,E399/요약!$F$27,0))</f>
        <v>19392</v>
      </c>
      <c r="L399" s="46" t="n">
        <f aca="false">IF(B399="CN",IF(N(I399)&gt;0,I399*요약!$G$27,K399*(1+요약!$E$27)),IF(N(H399)&gt;0,H399*요약!$G$27,J399*요약!$D$27))</f>
        <v>32736</v>
      </c>
      <c r="M399" s="46" t="n">
        <f aca="false">D399*J399</f>
        <v>12870000</v>
      </c>
      <c r="N399" s="46" t="n">
        <f aca="false">D399*K399</f>
        <v>2520960</v>
      </c>
      <c r="O399" s="46" t="n">
        <f aca="false">D399*L399</f>
        <v>4255680</v>
      </c>
      <c r="P399" s="42" t="str">
        <f aca="false">TRIM(IF(N(E399)&lt;=0,"택가보정 ","")&amp;IF(N(F399)&lt;=0,"원가보정 ","")&amp;IF(AND(B399&lt;&gt;"CN",N(H399)&lt;=0),"공급가보정 ","")&amp;IF(AND(B399="CN",N(I399)&lt;=0),"중국공급가=원가+마진 ",""))</f>
        <v/>
      </c>
      <c r="Q399" s="47" t="n">
        <f aca="false">IF(SUMIFS($W:$W,$A:$A,A399,$C:$C,C399)=0,0,SUMIFS(RAW_판매펀칭!$K:$K,RAW_판매펀칭!$P:$P,A399,RAW_판매펀칭!$I:$I,C399)*W399/SUMIFS($W:$W,$A:$A,A399,$C:$C,C399))</f>
        <v>130</v>
      </c>
      <c r="R399" s="47" t="n">
        <f aca="false">IF(OR(A399="500",A399="800",A399="810"),0,MAX(W399-Q399,0))</f>
        <v>0</v>
      </c>
      <c r="S399" s="47" t="n">
        <f aca="false">R399*L399</f>
        <v>0</v>
      </c>
      <c r="T399" s="47" t="n">
        <f aca="false">R399*J399</f>
        <v>0</v>
      </c>
      <c r="U399" s="47" t="n">
        <f aca="false">R399*K399</f>
        <v>0</v>
      </c>
      <c r="V399" s="0" t="str">
        <f aca="false">IF(COUNTIFS($A$2:A399,A399,$C$2:C399,C399,$D$2:D399,D399)&gt;1,"중복","")</f>
        <v/>
      </c>
      <c r="W399" s="0" t="n">
        <f aca="false">IF(V399="중복",0,N(D399))</f>
        <v>130</v>
      </c>
      <c r="X399" s="0" t="n">
        <f aca="false">IF(COUNTIFS($A$2:A399,A399,$C$2:C399,C399)=1,ABS(SUMIFS(RAW_발주!$D:$D,RAW_발주!$C:$C,A399,RAW_발주!$A:$A,C399)-SUMIFS($W:$W,$A:$A,A399,$C:$C,C399)),0)</f>
        <v>0</v>
      </c>
    </row>
    <row r="400" customFormat="false" ht="15.75" hidden="false" customHeight="true" outlineLevel="0" collapsed="false">
      <c r="A400" s="45" t="s">
        <v>1660</v>
      </c>
      <c r="B400" s="42" t="str">
        <f aca="false">IF(A400="100","HK",IF(A400="200","CN",IF(A400="300","TW","홀세일")))</f>
        <v>CN</v>
      </c>
      <c r="C400" s="45" t="s">
        <v>280</v>
      </c>
      <c r="D400" s="46" t="n">
        <v>50</v>
      </c>
      <c r="E400" s="46" t="n">
        <v>99000</v>
      </c>
      <c r="F400" s="46" t="n">
        <v>19392</v>
      </c>
      <c r="G400" s="42" t="n">
        <v>4.07</v>
      </c>
      <c r="H400" s="42" t="n">
        <v>24.8</v>
      </c>
      <c r="J400" s="46" t="n">
        <f aca="false">IF(N(E400)&gt;0,E400,IF(N(F400)&gt;0,F400*요약!$F$27,0))</f>
        <v>99000</v>
      </c>
      <c r="K400" s="46" t="n">
        <f aca="false">IF(N(F400)&gt;0,F400,IF(N(E400)&gt;0,E400/요약!$F$27,0))</f>
        <v>19392</v>
      </c>
      <c r="L400" s="46" t="n">
        <f aca="false">IF(B400="CN",IF(N(I400)&gt;0,I400*요약!$G$27,K400*(1+요약!$E$27)),IF(N(H400)&gt;0,H400*요약!$G$27,J400*요약!$D$27))</f>
        <v>20361.6</v>
      </c>
      <c r="M400" s="46" t="n">
        <f aca="false">D400*J400</f>
        <v>4950000</v>
      </c>
      <c r="N400" s="46" t="n">
        <f aca="false">D400*K400</f>
        <v>969600</v>
      </c>
      <c r="O400" s="46" t="n">
        <f aca="false">D400*L400</f>
        <v>1018080</v>
      </c>
      <c r="P400" s="42" t="str">
        <f aca="false">TRIM(IF(N(E400)&lt;=0,"택가보정 ","")&amp;IF(N(F400)&lt;=0,"원가보정 ","")&amp;IF(AND(B400&lt;&gt;"CN",N(H400)&lt;=0),"공급가보정 ","")&amp;IF(AND(B400="CN",N(I400)&lt;=0),"중국공급가=원가+마진 ",""))</f>
        <v>중국공급가=원가+마진</v>
      </c>
      <c r="Q400" s="47" t="n">
        <f aca="false">IF(SUMIFS($W:$W,$A:$A,A400,$C:$C,C400)=0,0,SUMIFS(RAW_판매펀칭!$K:$K,RAW_판매펀칭!$P:$P,A400,RAW_판매펀칭!$I:$I,C400)*W400/SUMIFS($W:$W,$A:$A,A400,$C:$C,C400))</f>
        <v>50</v>
      </c>
      <c r="R400" s="47" t="n">
        <f aca="false">IF(OR(A400="500",A400="800",A400="810"),0,MAX(W400-Q400,0))</f>
        <v>0</v>
      </c>
      <c r="S400" s="47" t="n">
        <f aca="false">R400*L400</f>
        <v>0</v>
      </c>
      <c r="T400" s="47" t="n">
        <f aca="false">R400*J400</f>
        <v>0</v>
      </c>
      <c r="U400" s="47" t="n">
        <f aca="false">R400*K400</f>
        <v>0</v>
      </c>
      <c r="V400" s="0" t="str">
        <f aca="false">IF(COUNTIFS($A$2:A400,A400,$C$2:C400,C400,$D$2:D400,D400)&gt;1,"중복","")</f>
        <v/>
      </c>
      <c r="W400" s="0" t="n">
        <f aca="false">IF(V400="중복",0,N(D400))</f>
        <v>50</v>
      </c>
      <c r="X400" s="0" t="n">
        <f aca="false">IF(COUNTIFS($A$2:A400,A400,$C$2:C400,C400)=1,ABS(SUMIFS(RAW_발주!$D:$D,RAW_발주!$C:$C,A400,RAW_발주!$A:$A,C400)-SUMIFS($W:$W,$A:$A,A400,$C:$C,C400)),0)</f>
        <v>0</v>
      </c>
    </row>
    <row r="401" customFormat="false" ht="15" hidden="false" customHeight="true" outlineLevel="0" collapsed="false">
      <c r="A401" s="45" t="s">
        <v>1661</v>
      </c>
      <c r="B401" s="42" t="str">
        <f aca="false">IF(A401="100","HK",IF(A401="200","CN",IF(A401="300","TW","홀세일")))</f>
        <v>TW</v>
      </c>
      <c r="C401" s="45" t="s">
        <v>280</v>
      </c>
      <c r="D401" s="46" t="n">
        <v>150</v>
      </c>
      <c r="E401" s="46" t="n">
        <v>99000</v>
      </c>
      <c r="F401" s="46" t="n">
        <v>19392</v>
      </c>
      <c r="G401" s="42" t="n">
        <v>4.07</v>
      </c>
      <c r="H401" s="42" t="n">
        <v>24.8</v>
      </c>
      <c r="J401" s="46" t="n">
        <f aca="false">IF(N(E401)&gt;0,E401,IF(N(F401)&gt;0,F401*요약!$F$27,0))</f>
        <v>99000</v>
      </c>
      <c r="K401" s="46" t="n">
        <f aca="false">IF(N(F401)&gt;0,F401,IF(N(E401)&gt;0,E401/요약!$F$27,0))</f>
        <v>19392</v>
      </c>
      <c r="L401" s="46" t="n">
        <f aca="false">IF(B401="CN",IF(N(I401)&gt;0,I401*요약!$G$27,K401*(1+요약!$E$27)),IF(N(H401)&gt;0,H401*요약!$G$27,J401*요약!$D$27))</f>
        <v>32736</v>
      </c>
      <c r="M401" s="46" t="n">
        <f aca="false">D401*J401</f>
        <v>14850000</v>
      </c>
      <c r="N401" s="46" t="n">
        <f aca="false">D401*K401</f>
        <v>2908800</v>
      </c>
      <c r="O401" s="46" t="n">
        <f aca="false">D401*L401</f>
        <v>4910400</v>
      </c>
      <c r="P401" s="42" t="str">
        <f aca="false">TRIM(IF(N(E401)&lt;=0,"택가보정 ","")&amp;IF(N(F401)&lt;=0,"원가보정 ","")&amp;IF(AND(B401&lt;&gt;"CN",N(H401)&lt;=0),"공급가보정 ","")&amp;IF(AND(B401="CN",N(I401)&lt;=0),"중국공급가=원가+마진 ",""))</f>
        <v/>
      </c>
      <c r="Q401" s="47" t="n">
        <f aca="false">IF(SUMIFS($W:$W,$A:$A,A401,$C:$C,C401)=0,0,SUMIFS(RAW_판매펀칭!$K:$K,RAW_판매펀칭!$P:$P,A401,RAW_판매펀칭!$I:$I,C401)*W401/SUMIFS($W:$W,$A:$A,A401,$C:$C,C401))</f>
        <v>150</v>
      </c>
      <c r="R401" s="47" t="n">
        <f aca="false">IF(OR(A401="500",A401="800",A401="810"),0,MAX(W401-Q401,0))</f>
        <v>0</v>
      </c>
      <c r="S401" s="47" t="n">
        <f aca="false">R401*L401</f>
        <v>0</v>
      </c>
      <c r="T401" s="47" t="n">
        <f aca="false">R401*J401</f>
        <v>0</v>
      </c>
      <c r="U401" s="47" t="n">
        <f aca="false">R401*K401</f>
        <v>0</v>
      </c>
      <c r="V401" s="0" t="str">
        <f aca="false">IF(COUNTIFS($A$2:A401,A401,$C$2:C401,C401,$D$2:D401,D401)&gt;1,"중복","")</f>
        <v/>
      </c>
      <c r="W401" s="0" t="n">
        <f aca="false">IF(V401="중복",0,N(D401))</f>
        <v>150</v>
      </c>
      <c r="X401" s="0" t="n">
        <f aca="false">IF(COUNTIFS($A$2:A401,A401,$C$2:C401,C401)=1,ABS(SUMIFS(RAW_발주!$D:$D,RAW_발주!$C:$C,A401,RAW_발주!$A:$A,C401)-SUMIFS($W:$W,$A:$A,A401,$C:$C,C401)),0)</f>
        <v>0</v>
      </c>
    </row>
    <row r="402" customFormat="false" ht="15" hidden="false" customHeight="true" outlineLevel="0" collapsed="false">
      <c r="A402" s="45" t="s">
        <v>1667</v>
      </c>
      <c r="B402" s="42" t="str">
        <f aca="false">IF(A402="100","HK",IF(A402="200","CN",IF(A402="300","TW","홀세일")))</f>
        <v>홀세일</v>
      </c>
      <c r="C402" s="45" t="s">
        <v>280</v>
      </c>
      <c r="D402" s="46" t="n">
        <v>122</v>
      </c>
      <c r="E402" s="46" t="n">
        <v>99000</v>
      </c>
      <c r="F402" s="46" t="n">
        <v>19392</v>
      </c>
      <c r="G402" s="42" t="n">
        <v>4.07</v>
      </c>
      <c r="H402" s="42" t="n">
        <v>24.8</v>
      </c>
      <c r="J402" s="46" t="n">
        <f aca="false">IF(N(E402)&gt;0,E402,IF(N(F402)&gt;0,F402*요약!$F$27,0))</f>
        <v>99000</v>
      </c>
      <c r="K402" s="46" t="n">
        <f aca="false">IF(N(F402)&gt;0,F402,IF(N(E402)&gt;0,E402/요약!$F$27,0))</f>
        <v>19392</v>
      </c>
      <c r="L402" s="46" t="n">
        <f aca="false">IF(B402="CN",IF(N(I402)&gt;0,I402*요약!$G$27,K402*(1+요약!$E$27)),IF(N(H402)&gt;0,H402*요약!$G$27,J402*요약!$D$27))</f>
        <v>32736</v>
      </c>
      <c r="M402" s="46" t="n">
        <f aca="false">D402*J402</f>
        <v>12078000</v>
      </c>
      <c r="N402" s="46" t="n">
        <f aca="false">D402*K402</f>
        <v>2365824</v>
      </c>
      <c r="O402" s="46" t="n">
        <f aca="false">D402*L402</f>
        <v>3993792</v>
      </c>
      <c r="P402" s="42" t="str">
        <f aca="false">TRIM(IF(N(E402)&lt;=0,"택가보정 ","")&amp;IF(N(F402)&lt;=0,"원가보정 ","")&amp;IF(AND(B402&lt;&gt;"CN",N(H402)&lt;=0),"공급가보정 ","")&amp;IF(AND(B402="CN",N(I402)&lt;=0),"중국공급가=원가+마진 ",""))</f>
        <v/>
      </c>
      <c r="Q402" s="47" t="n">
        <f aca="false">IF(SUMIFS($W:$W,$A:$A,A402,$C:$C,C402)=0,0,SUMIFS(RAW_판매펀칭!$K:$K,RAW_판매펀칭!$P:$P,A402,RAW_판매펀칭!$I:$I,C402)*W402/SUMIFS($W:$W,$A:$A,A402,$C:$C,C402))</f>
        <v>122</v>
      </c>
      <c r="R402" s="47" t="n">
        <f aca="false">IF(OR(A402="500",A402="800",A402="810"),0,MAX(W402-Q402,0))</f>
        <v>0</v>
      </c>
      <c r="S402" s="47" t="n">
        <f aca="false">R402*L402</f>
        <v>0</v>
      </c>
      <c r="T402" s="47" t="n">
        <f aca="false">R402*J402</f>
        <v>0</v>
      </c>
      <c r="U402" s="47" t="n">
        <f aca="false">R402*K402</f>
        <v>0</v>
      </c>
      <c r="V402" s="0" t="str">
        <f aca="false">IF(COUNTIFS($A$2:A402,A402,$C$2:C402,C402,$D$2:D402,D402)&gt;1,"중복","")</f>
        <v/>
      </c>
      <c r="W402" s="0" t="n">
        <f aca="false">IF(V402="중복",0,N(D402))</f>
        <v>122</v>
      </c>
      <c r="X402" s="0" t="n">
        <f aca="false">IF(COUNTIFS($A$2:A402,A402,$C$2:C402,C402)=1,ABS(SUMIFS(RAW_발주!$D:$D,RAW_발주!$C:$C,A402,RAW_발주!$A:$A,C402)-SUMIFS($W:$W,$A:$A,A402,$C:$C,C402)),0)</f>
        <v>0</v>
      </c>
    </row>
    <row r="403" customFormat="false" ht="15" hidden="false" customHeight="true" outlineLevel="0" collapsed="false">
      <c r="A403" s="45" t="s">
        <v>1664</v>
      </c>
      <c r="B403" s="42" t="str">
        <f aca="false">IF(A403="100","HK",IF(A403="200","CN",IF(A403="300","TW","홀세일")))</f>
        <v>홀세일</v>
      </c>
      <c r="C403" s="45" t="s">
        <v>280</v>
      </c>
      <c r="D403" s="46" t="n">
        <v>70</v>
      </c>
      <c r="E403" s="46" t="n">
        <v>99000</v>
      </c>
      <c r="F403" s="46" t="n">
        <v>19392</v>
      </c>
      <c r="G403" s="42" t="n">
        <v>4.07</v>
      </c>
      <c r="H403" s="42" t="n">
        <v>24.8</v>
      </c>
      <c r="J403" s="46" t="n">
        <f aca="false">IF(N(E403)&gt;0,E403,IF(N(F403)&gt;0,F403*요약!$F$27,0))</f>
        <v>99000</v>
      </c>
      <c r="K403" s="46" t="n">
        <f aca="false">IF(N(F403)&gt;0,F403,IF(N(E403)&gt;0,E403/요약!$F$27,0))</f>
        <v>19392</v>
      </c>
      <c r="L403" s="46" t="n">
        <f aca="false">IF(B403="CN",IF(N(I403)&gt;0,I403*요약!$G$27,K403*(1+요약!$E$27)),IF(N(H403)&gt;0,H403*요약!$G$27,J403*요약!$D$27))</f>
        <v>32736</v>
      </c>
      <c r="M403" s="46" t="n">
        <f aca="false">D403*J403</f>
        <v>6930000</v>
      </c>
      <c r="N403" s="46" t="n">
        <f aca="false">D403*K403</f>
        <v>1357440</v>
      </c>
      <c r="O403" s="46" t="n">
        <f aca="false">D403*L403</f>
        <v>2291520</v>
      </c>
      <c r="P403" s="42" t="str">
        <f aca="false">TRIM(IF(N(E403)&lt;=0,"택가보정 ","")&amp;IF(N(F403)&lt;=0,"원가보정 ","")&amp;IF(AND(B403&lt;&gt;"CN",N(H403)&lt;=0),"공급가보정 ","")&amp;IF(AND(B403="CN",N(I403)&lt;=0),"중국공급가=원가+마진 ",""))</f>
        <v/>
      </c>
      <c r="Q403" s="47" t="n">
        <f aca="false">IF(SUMIFS($W:$W,$A:$A,A403,$C:$C,C403)=0,0,SUMIFS(RAW_판매펀칭!$K:$K,RAW_판매펀칭!$P:$P,A403,RAW_판매펀칭!$I:$I,C403)*W403/SUMIFS($W:$W,$A:$A,A403,$C:$C,C403))</f>
        <v>0</v>
      </c>
      <c r="R403" s="47" t="n">
        <f aca="false">IF(OR(A403="500",A403="800",A403="810"),0,MAX(W403-Q403,0))</f>
        <v>0</v>
      </c>
      <c r="S403" s="47" t="n">
        <f aca="false">R403*L403</f>
        <v>0</v>
      </c>
      <c r="T403" s="47" t="n">
        <f aca="false">R403*J403</f>
        <v>0</v>
      </c>
      <c r="U403" s="47" t="n">
        <f aca="false">R403*K403</f>
        <v>0</v>
      </c>
      <c r="V403" s="0" t="str">
        <f aca="false">IF(COUNTIFS($A$2:A403,A403,$C$2:C403,C403,$D$2:D403,D403)&gt;1,"중복","")</f>
        <v/>
      </c>
      <c r="W403" s="0" t="n">
        <f aca="false">IF(V403="중복",0,N(D403))</f>
        <v>70</v>
      </c>
      <c r="X403" s="0" t="n">
        <f aca="false">IF(COUNTIFS($A$2:A403,A403,$C$2:C403,C403)=1,ABS(SUMIFS(RAW_발주!$D:$D,RAW_발주!$C:$C,A403,RAW_발주!$A:$A,C403)-SUMIFS($W:$W,$A:$A,A403,$C:$C,C403)),0)</f>
        <v>0</v>
      </c>
    </row>
    <row r="404" customFormat="false" ht="15" hidden="false" customHeight="true" outlineLevel="0" collapsed="false">
      <c r="A404" s="45" t="s">
        <v>1665</v>
      </c>
      <c r="B404" s="42" t="str">
        <f aca="false">IF(A404="100","HK",IF(A404="200","CN",IF(A404="300","TW","홀세일")))</f>
        <v>홀세일</v>
      </c>
      <c r="C404" s="45" t="s">
        <v>1473</v>
      </c>
      <c r="D404" s="46" t="n">
        <v>216</v>
      </c>
      <c r="E404" s="46" t="n">
        <v>89000</v>
      </c>
      <c r="F404" s="46" t="n">
        <v>15700</v>
      </c>
      <c r="G404" s="42" t="n">
        <v>4.47</v>
      </c>
      <c r="H404" s="42" t="n">
        <v>22.3</v>
      </c>
      <c r="J404" s="46" t="n">
        <f aca="false">IF(N(E404)&gt;0,E404,IF(N(F404)&gt;0,F404*요약!$F$27,0))</f>
        <v>89000</v>
      </c>
      <c r="K404" s="46" t="n">
        <f aca="false">IF(N(F404)&gt;0,F404,IF(N(E404)&gt;0,E404/요약!$F$27,0))</f>
        <v>15700</v>
      </c>
      <c r="L404" s="46" t="n">
        <f aca="false">IF(B404="CN",IF(N(I404)&gt;0,I404*요약!$G$27,K404*(1+요약!$E$27)),IF(N(H404)&gt;0,H404*요약!$G$27,J404*요약!$D$27))</f>
        <v>29436</v>
      </c>
      <c r="M404" s="46" t="n">
        <f aca="false">D404*J404</f>
        <v>19224000</v>
      </c>
      <c r="N404" s="46" t="n">
        <f aca="false">D404*K404</f>
        <v>3391200</v>
      </c>
      <c r="O404" s="46" t="n">
        <f aca="false">D404*L404</f>
        <v>6358176</v>
      </c>
      <c r="P404" s="42" t="str">
        <f aca="false">TRIM(IF(N(E404)&lt;=0,"택가보정 ","")&amp;IF(N(F404)&lt;=0,"원가보정 ","")&amp;IF(AND(B404&lt;&gt;"CN",N(H404)&lt;=0),"공급가보정 ","")&amp;IF(AND(B404="CN",N(I404)&lt;=0),"중국공급가=원가+마진 ",""))</f>
        <v/>
      </c>
      <c r="Q404" s="47" t="n">
        <f aca="false">IF(SUMIFS($W:$W,$A:$A,A404,$C:$C,C404)=0,0,SUMIFS(RAW_판매펀칭!$K:$K,RAW_판매펀칭!$P:$P,A404,RAW_판매펀칭!$I:$I,C404)*W404/SUMIFS($W:$W,$A:$A,A404,$C:$C,C404))</f>
        <v>216</v>
      </c>
      <c r="R404" s="47" t="n">
        <f aca="false">IF(OR(A404="500",A404="800",A404="810"),0,MAX(W404-Q404,0))</f>
        <v>0</v>
      </c>
      <c r="S404" s="47" t="n">
        <f aca="false">R404*L404</f>
        <v>0</v>
      </c>
      <c r="T404" s="47" t="n">
        <f aca="false">R404*J404</f>
        <v>0</v>
      </c>
      <c r="U404" s="47" t="n">
        <f aca="false">R404*K404</f>
        <v>0</v>
      </c>
      <c r="V404" s="0" t="str">
        <f aca="false">IF(COUNTIFS($A$2:A404,A404,$C$2:C404,C404,$D$2:D404,D404)&gt;1,"중복","")</f>
        <v/>
      </c>
      <c r="W404" s="0" t="n">
        <f aca="false">IF(V404="중복",0,N(D404))</f>
        <v>216</v>
      </c>
      <c r="X404" s="0" t="n">
        <f aca="false">IF(COUNTIFS($A$2:A404,A404,$C$2:C404,C404)=1,ABS(SUMIFS(RAW_발주!$D:$D,RAW_발주!$C:$C,A404,RAW_발주!$A:$A,C404)-SUMIFS($W:$W,$A:$A,A404,$C:$C,C404)),0)</f>
        <v>0</v>
      </c>
    </row>
    <row r="405" customFormat="false" ht="15" hidden="false" customHeight="true" outlineLevel="0" collapsed="false">
      <c r="A405" s="45" t="s">
        <v>1659</v>
      </c>
      <c r="B405" s="42" t="str">
        <f aca="false">IF(A405="100","HK",IF(A405="200","CN",IF(A405="300","TW","홀세일")))</f>
        <v>HK</v>
      </c>
      <c r="C405" s="45" t="s">
        <v>282</v>
      </c>
      <c r="D405" s="46" t="n">
        <v>300</v>
      </c>
      <c r="E405" s="46" t="n">
        <v>129000</v>
      </c>
      <c r="F405" s="46" t="n">
        <v>22308</v>
      </c>
      <c r="G405" s="42" t="n">
        <v>5.64</v>
      </c>
      <c r="H405" s="42" t="n">
        <v>32.3</v>
      </c>
      <c r="J405" s="46" t="n">
        <f aca="false">IF(N(E405)&gt;0,E405,IF(N(F405)&gt;0,F405*요약!$F$27,0))</f>
        <v>129000</v>
      </c>
      <c r="K405" s="46" t="n">
        <f aca="false">IF(N(F405)&gt;0,F405,IF(N(E405)&gt;0,E405/요약!$F$27,0))</f>
        <v>22308</v>
      </c>
      <c r="L405" s="46" t="n">
        <f aca="false">IF(B405="CN",IF(N(I405)&gt;0,I405*요약!$G$27,K405*(1+요약!$E$27)),IF(N(H405)&gt;0,H405*요약!$G$27,J405*요약!$D$27))</f>
        <v>42636</v>
      </c>
      <c r="M405" s="46" t="n">
        <f aca="false">D405*J405</f>
        <v>38700000</v>
      </c>
      <c r="N405" s="46" t="n">
        <f aca="false">D405*K405</f>
        <v>6692400</v>
      </c>
      <c r="O405" s="46" t="n">
        <f aca="false">D405*L405</f>
        <v>12790800</v>
      </c>
      <c r="P405" s="42" t="str">
        <f aca="false">TRIM(IF(N(E405)&lt;=0,"택가보정 ","")&amp;IF(N(F405)&lt;=0,"원가보정 ","")&amp;IF(AND(B405&lt;&gt;"CN",N(H405)&lt;=0),"공급가보정 ","")&amp;IF(AND(B405="CN",N(I405)&lt;=0),"중국공급가=원가+마진 ",""))</f>
        <v/>
      </c>
      <c r="Q405" s="47" t="n">
        <f aca="false">IF(SUMIFS($W:$W,$A:$A,A405,$C:$C,C405)=0,0,SUMIFS(RAW_판매펀칭!$K:$K,RAW_판매펀칭!$P:$P,A405,RAW_판매펀칭!$I:$I,C405)*W405/SUMIFS($W:$W,$A:$A,A405,$C:$C,C405))</f>
        <v>300</v>
      </c>
      <c r="R405" s="47" t="n">
        <f aca="false">IF(OR(A405="500",A405="800",A405="810"),0,MAX(W405-Q405,0))</f>
        <v>0</v>
      </c>
      <c r="S405" s="47" t="n">
        <f aca="false">R405*L405</f>
        <v>0</v>
      </c>
      <c r="T405" s="47" t="n">
        <f aca="false">R405*J405</f>
        <v>0</v>
      </c>
      <c r="U405" s="47" t="n">
        <f aca="false">R405*K405</f>
        <v>0</v>
      </c>
      <c r="V405" s="0" t="str">
        <f aca="false">IF(COUNTIFS($A$2:A405,A405,$C$2:C405,C405,$D$2:D405,D405)&gt;1,"중복","")</f>
        <v/>
      </c>
      <c r="W405" s="0" t="n">
        <f aca="false">IF(V405="중복",0,N(D405))</f>
        <v>300</v>
      </c>
      <c r="X405" s="0" t="n">
        <f aca="false">IF(COUNTIFS($A$2:A405,A405,$C$2:C405,C405)=1,ABS(SUMIFS(RAW_발주!$D:$D,RAW_발주!$C:$C,A405,RAW_발주!$A:$A,C405)-SUMIFS($W:$W,$A:$A,A405,$C:$C,C405)),0)</f>
        <v>0</v>
      </c>
    </row>
    <row r="406" customFormat="false" ht="15.75" hidden="false" customHeight="true" outlineLevel="0" collapsed="false">
      <c r="A406" s="45" t="s">
        <v>1660</v>
      </c>
      <c r="B406" s="42" t="str">
        <f aca="false">IF(A406="100","HK",IF(A406="200","CN",IF(A406="300","TW","홀세일")))</f>
        <v>CN</v>
      </c>
      <c r="C406" s="45" t="s">
        <v>282</v>
      </c>
      <c r="D406" s="46" t="n">
        <v>212</v>
      </c>
      <c r="E406" s="46" t="n">
        <v>129000</v>
      </c>
      <c r="F406" s="46" t="n">
        <v>22308</v>
      </c>
      <c r="G406" s="42" t="n">
        <v>5.64</v>
      </c>
      <c r="H406" s="42" t="n">
        <v>32.3</v>
      </c>
      <c r="J406" s="46" t="n">
        <f aca="false">IF(N(E406)&gt;0,E406,IF(N(F406)&gt;0,F406*요약!$F$27,0))</f>
        <v>129000</v>
      </c>
      <c r="K406" s="46" t="n">
        <f aca="false">IF(N(F406)&gt;0,F406,IF(N(E406)&gt;0,E406/요약!$F$27,0))</f>
        <v>22308</v>
      </c>
      <c r="L406" s="46" t="n">
        <f aca="false">IF(B406="CN",IF(N(I406)&gt;0,I406*요약!$G$27,K406*(1+요약!$E$27)),IF(N(H406)&gt;0,H406*요약!$G$27,J406*요약!$D$27))</f>
        <v>23423.4</v>
      </c>
      <c r="M406" s="46" t="n">
        <f aca="false">D406*J406</f>
        <v>27348000</v>
      </c>
      <c r="N406" s="46" t="n">
        <f aca="false">D406*K406</f>
        <v>4729296</v>
      </c>
      <c r="O406" s="46" t="n">
        <f aca="false">D406*L406</f>
        <v>4965760.8</v>
      </c>
      <c r="P406" s="42" t="str">
        <f aca="false">TRIM(IF(N(E406)&lt;=0,"택가보정 ","")&amp;IF(N(F406)&lt;=0,"원가보정 ","")&amp;IF(AND(B406&lt;&gt;"CN",N(H406)&lt;=0),"공급가보정 ","")&amp;IF(AND(B406="CN",N(I406)&lt;=0),"중국공급가=원가+마진 ",""))</f>
        <v>중국공급가=원가+마진</v>
      </c>
      <c r="Q406" s="47" t="n">
        <f aca="false">IF(SUMIFS($W:$W,$A:$A,A406,$C:$C,C406)=0,0,SUMIFS(RAW_판매펀칭!$K:$K,RAW_판매펀칭!$P:$P,A406,RAW_판매펀칭!$I:$I,C406)*W406/SUMIFS($W:$W,$A:$A,A406,$C:$C,C406))</f>
        <v>212</v>
      </c>
      <c r="R406" s="47" t="n">
        <f aca="false">IF(OR(A406="500",A406="800",A406="810"),0,MAX(W406-Q406,0))</f>
        <v>0</v>
      </c>
      <c r="S406" s="47" t="n">
        <f aca="false">R406*L406</f>
        <v>0</v>
      </c>
      <c r="T406" s="47" t="n">
        <f aca="false">R406*J406</f>
        <v>0</v>
      </c>
      <c r="U406" s="47" t="n">
        <f aca="false">R406*K406</f>
        <v>0</v>
      </c>
      <c r="V406" s="0" t="str">
        <f aca="false">IF(COUNTIFS($A$2:A406,A406,$C$2:C406,C406,$D$2:D406,D406)&gt;1,"중복","")</f>
        <v/>
      </c>
      <c r="W406" s="0" t="n">
        <f aca="false">IF(V406="중복",0,N(D406))</f>
        <v>212</v>
      </c>
      <c r="X406" s="0" t="n">
        <f aca="false">IF(COUNTIFS($A$2:A406,A406,$C$2:C406,C406)=1,ABS(SUMIFS(RAW_발주!$D:$D,RAW_발주!$C:$C,A406,RAW_발주!$A:$A,C406)-SUMIFS($W:$W,$A:$A,A406,$C:$C,C406)),0)</f>
        <v>0</v>
      </c>
    </row>
    <row r="407" customFormat="false" ht="15" hidden="false" customHeight="true" outlineLevel="0" collapsed="false">
      <c r="A407" s="45" t="s">
        <v>1661</v>
      </c>
      <c r="B407" s="42" t="str">
        <f aca="false">IF(A407="100","HK",IF(A407="200","CN",IF(A407="300","TW","홀세일")))</f>
        <v>TW</v>
      </c>
      <c r="C407" s="45" t="s">
        <v>282</v>
      </c>
      <c r="D407" s="46" t="n">
        <v>550</v>
      </c>
      <c r="E407" s="46" t="n">
        <v>129000</v>
      </c>
      <c r="F407" s="46" t="n">
        <v>22308</v>
      </c>
      <c r="G407" s="42" t="n">
        <v>5.64</v>
      </c>
      <c r="H407" s="42" t="n">
        <v>32.3</v>
      </c>
      <c r="J407" s="46" t="n">
        <f aca="false">IF(N(E407)&gt;0,E407,IF(N(F407)&gt;0,F407*요약!$F$27,0))</f>
        <v>129000</v>
      </c>
      <c r="K407" s="46" t="n">
        <f aca="false">IF(N(F407)&gt;0,F407,IF(N(E407)&gt;0,E407/요약!$F$27,0))</f>
        <v>22308</v>
      </c>
      <c r="L407" s="46" t="n">
        <f aca="false">IF(B407="CN",IF(N(I407)&gt;0,I407*요약!$G$27,K407*(1+요약!$E$27)),IF(N(H407)&gt;0,H407*요약!$G$27,J407*요약!$D$27))</f>
        <v>42636</v>
      </c>
      <c r="M407" s="46" t="n">
        <f aca="false">D407*J407</f>
        <v>70950000</v>
      </c>
      <c r="N407" s="46" t="n">
        <f aca="false">D407*K407</f>
        <v>12269400</v>
      </c>
      <c r="O407" s="46" t="n">
        <f aca="false">D407*L407</f>
        <v>23449800</v>
      </c>
      <c r="P407" s="42" t="str">
        <f aca="false">TRIM(IF(N(E407)&lt;=0,"택가보정 ","")&amp;IF(N(F407)&lt;=0,"원가보정 ","")&amp;IF(AND(B407&lt;&gt;"CN",N(H407)&lt;=0),"공급가보정 ","")&amp;IF(AND(B407="CN",N(I407)&lt;=0),"중국공급가=원가+마진 ",""))</f>
        <v/>
      </c>
      <c r="Q407" s="47" t="n">
        <f aca="false">IF(SUMIFS($W:$W,$A:$A,A407,$C:$C,C407)=0,0,SUMIFS(RAW_판매펀칭!$K:$K,RAW_판매펀칭!$P:$P,A407,RAW_판매펀칭!$I:$I,C407)*W407/SUMIFS($W:$W,$A:$A,A407,$C:$C,C407))</f>
        <v>550</v>
      </c>
      <c r="R407" s="47" t="n">
        <f aca="false">IF(OR(A407="500",A407="800",A407="810"),0,MAX(W407-Q407,0))</f>
        <v>0</v>
      </c>
      <c r="S407" s="47" t="n">
        <f aca="false">R407*L407</f>
        <v>0</v>
      </c>
      <c r="T407" s="47" t="n">
        <f aca="false">R407*J407</f>
        <v>0</v>
      </c>
      <c r="U407" s="47" t="n">
        <f aca="false">R407*K407</f>
        <v>0</v>
      </c>
      <c r="V407" s="0" t="str">
        <f aca="false">IF(COUNTIFS($A$2:A407,A407,$C$2:C407,C407,$D$2:D407,D407)&gt;1,"중복","")</f>
        <v/>
      </c>
      <c r="W407" s="0" t="n">
        <f aca="false">IF(V407="중복",0,N(D407))</f>
        <v>550</v>
      </c>
      <c r="X407" s="0" t="n">
        <f aca="false">IF(COUNTIFS($A$2:A407,A407,$C$2:C407,C407)=1,ABS(SUMIFS(RAW_발주!$D:$D,RAW_발주!$C:$C,A407,RAW_발주!$A:$A,C407)-SUMIFS($W:$W,$A:$A,A407,$C:$C,C407)),0)</f>
        <v>0</v>
      </c>
    </row>
    <row r="408" customFormat="false" ht="15" hidden="false" customHeight="true" outlineLevel="0" collapsed="false">
      <c r="A408" s="45" t="s">
        <v>1663</v>
      </c>
      <c r="B408" s="42" t="str">
        <f aca="false">IF(A408="100","HK",IF(A408="200","CN",IF(A408="300","TW","홀세일")))</f>
        <v>홀세일</v>
      </c>
      <c r="C408" s="45" t="s">
        <v>282</v>
      </c>
      <c r="D408" s="46" t="n">
        <v>90</v>
      </c>
      <c r="E408" s="46" t="n">
        <v>129000</v>
      </c>
      <c r="F408" s="46" t="n">
        <v>22308</v>
      </c>
      <c r="G408" s="42" t="n">
        <v>5.64</v>
      </c>
      <c r="H408" s="42" t="n">
        <v>32.3</v>
      </c>
      <c r="J408" s="46" t="n">
        <f aca="false">IF(N(E408)&gt;0,E408,IF(N(F408)&gt;0,F408*요약!$F$27,0))</f>
        <v>129000</v>
      </c>
      <c r="K408" s="46" t="n">
        <f aca="false">IF(N(F408)&gt;0,F408,IF(N(E408)&gt;0,E408/요약!$F$27,0))</f>
        <v>22308</v>
      </c>
      <c r="L408" s="46" t="n">
        <f aca="false">IF(B408="CN",IF(N(I408)&gt;0,I408*요약!$G$27,K408*(1+요약!$E$27)),IF(N(H408)&gt;0,H408*요약!$G$27,J408*요약!$D$27))</f>
        <v>42636</v>
      </c>
      <c r="M408" s="46" t="n">
        <f aca="false">D408*J408</f>
        <v>11610000</v>
      </c>
      <c r="N408" s="46" t="n">
        <f aca="false">D408*K408</f>
        <v>2007720</v>
      </c>
      <c r="O408" s="46" t="n">
        <f aca="false">D408*L408</f>
        <v>3837240</v>
      </c>
      <c r="P408" s="42" t="str">
        <f aca="false">TRIM(IF(N(E408)&lt;=0,"택가보정 ","")&amp;IF(N(F408)&lt;=0,"원가보정 ","")&amp;IF(AND(B408&lt;&gt;"CN",N(H408)&lt;=0),"공급가보정 ","")&amp;IF(AND(B408="CN",N(I408)&lt;=0),"중국공급가=원가+마진 ",""))</f>
        <v/>
      </c>
      <c r="Q408" s="47" t="n">
        <f aca="false">IF(SUMIFS($W:$W,$A:$A,A408,$C:$C,C408)=0,0,SUMIFS(RAW_판매펀칭!$K:$K,RAW_판매펀칭!$P:$P,A408,RAW_판매펀칭!$I:$I,C408)*W408/SUMIFS($W:$W,$A:$A,A408,$C:$C,C408))</f>
        <v>90</v>
      </c>
      <c r="R408" s="47" t="n">
        <f aca="false">IF(OR(A408="500",A408="800",A408="810"),0,MAX(W408-Q408,0))</f>
        <v>0</v>
      </c>
      <c r="S408" s="47" t="n">
        <f aca="false">R408*L408</f>
        <v>0</v>
      </c>
      <c r="T408" s="47" t="n">
        <f aca="false">R408*J408</f>
        <v>0</v>
      </c>
      <c r="U408" s="47" t="n">
        <f aca="false">R408*K408</f>
        <v>0</v>
      </c>
      <c r="V408" s="0" t="str">
        <f aca="false">IF(COUNTIFS($A$2:A408,A408,$C$2:C408,C408,$D$2:D408,D408)&gt;1,"중복","")</f>
        <v/>
      </c>
      <c r="W408" s="0" t="n">
        <f aca="false">IF(V408="중복",0,N(D408))</f>
        <v>90</v>
      </c>
      <c r="X408" s="0" t="n">
        <f aca="false">IF(COUNTIFS($A$2:A408,A408,$C$2:C408,C408)=1,ABS(SUMIFS(RAW_발주!$D:$D,RAW_발주!$C:$C,A408,RAW_발주!$A:$A,C408)-SUMIFS($W:$W,$A:$A,A408,$C:$C,C408)),0)</f>
        <v>0</v>
      </c>
    </row>
    <row r="409" customFormat="false" ht="15" hidden="false" customHeight="true" outlineLevel="0" collapsed="false">
      <c r="A409" s="45" t="s">
        <v>1665</v>
      </c>
      <c r="B409" s="42" t="str">
        <f aca="false">IF(A409="100","HK",IF(A409="200","CN",IF(A409="300","TW","홀세일")))</f>
        <v>홀세일</v>
      </c>
      <c r="C409" s="45" t="s">
        <v>282</v>
      </c>
      <c r="D409" s="46" t="n">
        <v>240</v>
      </c>
      <c r="E409" s="46" t="n">
        <v>129000</v>
      </c>
      <c r="F409" s="46" t="n">
        <v>22308</v>
      </c>
      <c r="G409" s="42" t="n">
        <v>5.64</v>
      </c>
      <c r="H409" s="42" t="n">
        <v>32.3</v>
      </c>
      <c r="J409" s="46" t="n">
        <f aca="false">IF(N(E409)&gt;0,E409,IF(N(F409)&gt;0,F409*요약!$F$27,0))</f>
        <v>129000</v>
      </c>
      <c r="K409" s="46" t="n">
        <f aca="false">IF(N(F409)&gt;0,F409,IF(N(E409)&gt;0,E409/요약!$F$27,0))</f>
        <v>22308</v>
      </c>
      <c r="L409" s="46" t="n">
        <f aca="false">IF(B409="CN",IF(N(I409)&gt;0,I409*요약!$G$27,K409*(1+요약!$E$27)),IF(N(H409)&gt;0,H409*요약!$G$27,J409*요약!$D$27))</f>
        <v>42636</v>
      </c>
      <c r="M409" s="46" t="n">
        <f aca="false">D409*J409</f>
        <v>30960000</v>
      </c>
      <c r="N409" s="46" t="n">
        <f aca="false">D409*K409</f>
        <v>5353920</v>
      </c>
      <c r="O409" s="46" t="n">
        <f aca="false">D409*L409</f>
        <v>10232640</v>
      </c>
      <c r="P409" s="42" t="str">
        <f aca="false">TRIM(IF(N(E409)&lt;=0,"택가보정 ","")&amp;IF(N(F409)&lt;=0,"원가보정 ","")&amp;IF(AND(B409&lt;&gt;"CN",N(H409)&lt;=0),"공급가보정 ","")&amp;IF(AND(B409="CN",N(I409)&lt;=0),"중국공급가=원가+마진 ",""))</f>
        <v/>
      </c>
      <c r="Q409" s="47" t="n">
        <f aca="false">IF(SUMIFS($W:$W,$A:$A,A409,$C:$C,C409)=0,0,SUMIFS(RAW_판매펀칭!$K:$K,RAW_판매펀칭!$P:$P,A409,RAW_판매펀칭!$I:$I,C409)*W409/SUMIFS($W:$W,$A:$A,A409,$C:$C,C409))</f>
        <v>240</v>
      </c>
      <c r="R409" s="47" t="n">
        <f aca="false">IF(OR(A409="500",A409="800",A409="810"),0,MAX(W409-Q409,0))</f>
        <v>0</v>
      </c>
      <c r="S409" s="47" t="n">
        <f aca="false">R409*L409</f>
        <v>0</v>
      </c>
      <c r="T409" s="47" t="n">
        <f aca="false">R409*J409</f>
        <v>0</v>
      </c>
      <c r="U409" s="47" t="n">
        <f aca="false">R409*K409</f>
        <v>0</v>
      </c>
      <c r="V409" s="0" t="str">
        <f aca="false">IF(COUNTIFS($A$2:A409,A409,$C$2:C409,C409,$D$2:D409,D409)&gt;1,"중복","")</f>
        <v/>
      </c>
      <c r="W409" s="0" t="n">
        <f aca="false">IF(V409="중복",0,N(D409))</f>
        <v>240</v>
      </c>
      <c r="X409" s="0" t="n">
        <f aca="false">IF(COUNTIFS($A$2:A409,A409,$C$2:C409,C409)=1,ABS(SUMIFS(RAW_발주!$D:$D,RAW_발주!$C:$C,A409,RAW_발주!$A:$A,C409)-SUMIFS($W:$W,$A:$A,A409,$C:$C,C409)),0)</f>
        <v>0</v>
      </c>
    </row>
    <row r="410" customFormat="false" ht="15" hidden="false" customHeight="true" outlineLevel="0" collapsed="false">
      <c r="A410" s="45" t="s">
        <v>1661</v>
      </c>
      <c r="B410" s="42" t="str">
        <f aca="false">IF(A410="100","HK",IF(A410="200","CN",IF(A410="300","TW","홀세일")))</f>
        <v>TW</v>
      </c>
      <c r="C410" s="45" t="s">
        <v>284</v>
      </c>
      <c r="D410" s="46" t="n">
        <v>330</v>
      </c>
      <c r="E410" s="46" t="n">
        <v>69000</v>
      </c>
      <c r="F410" s="46" t="n">
        <v>14600</v>
      </c>
      <c r="G410" s="42" t="n">
        <v>3.95</v>
      </c>
      <c r="H410" s="42" t="n">
        <v>17.3</v>
      </c>
      <c r="J410" s="46" t="n">
        <f aca="false">IF(N(E410)&gt;0,E410,IF(N(F410)&gt;0,F410*요약!$F$27,0))</f>
        <v>69000</v>
      </c>
      <c r="K410" s="46" t="n">
        <f aca="false">IF(N(F410)&gt;0,F410,IF(N(E410)&gt;0,E410/요약!$F$27,0))</f>
        <v>14600</v>
      </c>
      <c r="L410" s="46" t="n">
        <f aca="false">IF(B410="CN",IF(N(I410)&gt;0,I410*요약!$G$27,K410*(1+요약!$E$27)),IF(N(H410)&gt;0,H410*요약!$G$27,J410*요약!$D$27))</f>
        <v>22836</v>
      </c>
      <c r="M410" s="46" t="n">
        <f aca="false">D410*J410</f>
        <v>22770000</v>
      </c>
      <c r="N410" s="46" t="n">
        <f aca="false">D410*K410</f>
        <v>4818000</v>
      </c>
      <c r="O410" s="46" t="n">
        <f aca="false">D410*L410</f>
        <v>7535880</v>
      </c>
      <c r="P410" s="42" t="str">
        <f aca="false">TRIM(IF(N(E410)&lt;=0,"택가보정 ","")&amp;IF(N(F410)&lt;=0,"원가보정 ","")&amp;IF(AND(B410&lt;&gt;"CN",N(H410)&lt;=0),"공급가보정 ","")&amp;IF(AND(B410="CN",N(I410)&lt;=0),"중국공급가=원가+마진 ",""))</f>
        <v/>
      </c>
      <c r="Q410" s="47" t="n">
        <f aca="false">IF(SUMIFS($W:$W,$A:$A,A410,$C:$C,C410)=0,0,SUMIFS(RAW_판매펀칭!$K:$K,RAW_판매펀칭!$P:$P,A410,RAW_판매펀칭!$I:$I,C410)*W410/SUMIFS($W:$W,$A:$A,A410,$C:$C,C410))</f>
        <v>330</v>
      </c>
      <c r="R410" s="47" t="n">
        <f aca="false">IF(OR(A410="500",A410="800",A410="810"),0,MAX(W410-Q410,0))</f>
        <v>0</v>
      </c>
      <c r="S410" s="47" t="n">
        <f aca="false">R410*L410</f>
        <v>0</v>
      </c>
      <c r="T410" s="47" t="n">
        <f aca="false">R410*J410</f>
        <v>0</v>
      </c>
      <c r="U410" s="47" t="n">
        <f aca="false">R410*K410</f>
        <v>0</v>
      </c>
      <c r="V410" s="0" t="str">
        <f aca="false">IF(COUNTIFS($A$2:A410,A410,$C$2:C410,C410,$D$2:D410,D410)&gt;1,"중복","")</f>
        <v/>
      </c>
      <c r="W410" s="0" t="n">
        <f aca="false">IF(V410="중복",0,N(D410))</f>
        <v>330</v>
      </c>
      <c r="X410" s="0" t="n">
        <f aca="false">IF(COUNTIFS($A$2:A410,A410,$C$2:C410,C410)=1,ABS(SUMIFS(RAW_발주!$D:$D,RAW_발주!$C:$C,A410,RAW_발주!$A:$A,C410)-SUMIFS($W:$W,$A:$A,A410,$C:$C,C410)),0)</f>
        <v>0</v>
      </c>
    </row>
    <row r="411" customFormat="false" ht="15" hidden="false" customHeight="true" outlineLevel="0" collapsed="false">
      <c r="A411" s="45" t="s">
        <v>1665</v>
      </c>
      <c r="B411" s="42" t="str">
        <f aca="false">IF(A411="100","HK",IF(A411="200","CN",IF(A411="300","TW","홀세일")))</f>
        <v>홀세일</v>
      </c>
      <c r="C411" s="45" t="s">
        <v>284</v>
      </c>
      <c r="D411" s="46" t="n">
        <v>216</v>
      </c>
      <c r="E411" s="46" t="n">
        <v>69000</v>
      </c>
      <c r="F411" s="46" t="n">
        <v>14600</v>
      </c>
      <c r="G411" s="42" t="n">
        <v>3.95</v>
      </c>
      <c r="H411" s="42" t="n">
        <v>17.3</v>
      </c>
      <c r="J411" s="46" t="n">
        <f aca="false">IF(N(E411)&gt;0,E411,IF(N(F411)&gt;0,F411*요약!$F$27,0))</f>
        <v>69000</v>
      </c>
      <c r="K411" s="46" t="n">
        <f aca="false">IF(N(F411)&gt;0,F411,IF(N(E411)&gt;0,E411/요약!$F$27,0))</f>
        <v>14600</v>
      </c>
      <c r="L411" s="46" t="n">
        <f aca="false">IF(B411="CN",IF(N(I411)&gt;0,I411*요약!$G$27,K411*(1+요약!$E$27)),IF(N(H411)&gt;0,H411*요약!$G$27,J411*요약!$D$27))</f>
        <v>22836</v>
      </c>
      <c r="M411" s="46" t="n">
        <f aca="false">D411*J411</f>
        <v>14904000</v>
      </c>
      <c r="N411" s="46" t="n">
        <f aca="false">D411*K411</f>
        <v>3153600</v>
      </c>
      <c r="O411" s="46" t="n">
        <f aca="false">D411*L411</f>
        <v>4932576</v>
      </c>
      <c r="P411" s="42" t="str">
        <f aca="false">TRIM(IF(N(E411)&lt;=0,"택가보정 ","")&amp;IF(N(F411)&lt;=0,"원가보정 ","")&amp;IF(AND(B411&lt;&gt;"CN",N(H411)&lt;=0),"공급가보정 ","")&amp;IF(AND(B411="CN",N(I411)&lt;=0),"중국공급가=원가+마진 ",""))</f>
        <v/>
      </c>
      <c r="Q411" s="47" t="n">
        <f aca="false">IF(SUMIFS($W:$W,$A:$A,A411,$C:$C,C411)=0,0,SUMIFS(RAW_판매펀칭!$K:$K,RAW_판매펀칭!$P:$P,A411,RAW_판매펀칭!$I:$I,C411)*W411/SUMIFS($W:$W,$A:$A,A411,$C:$C,C411))</f>
        <v>216</v>
      </c>
      <c r="R411" s="47" t="n">
        <f aca="false">IF(OR(A411="500",A411="800",A411="810"),0,MAX(W411-Q411,0))</f>
        <v>0</v>
      </c>
      <c r="S411" s="47" t="n">
        <f aca="false">R411*L411</f>
        <v>0</v>
      </c>
      <c r="T411" s="47" t="n">
        <f aca="false">R411*J411</f>
        <v>0</v>
      </c>
      <c r="U411" s="47" t="n">
        <f aca="false">R411*K411</f>
        <v>0</v>
      </c>
      <c r="V411" s="0" t="str">
        <f aca="false">IF(COUNTIFS($A$2:A411,A411,$C$2:C411,C411,$D$2:D411,D411)&gt;1,"중복","")</f>
        <v/>
      </c>
      <c r="W411" s="0" t="n">
        <f aca="false">IF(V411="중복",0,N(D411))</f>
        <v>216</v>
      </c>
      <c r="X411" s="0" t="n">
        <f aca="false">IF(COUNTIFS($A$2:A411,A411,$C$2:C411,C411)=1,ABS(SUMIFS(RAW_발주!$D:$D,RAW_발주!$C:$C,A411,RAW_발주!$A:$A,C411)-SUMIFS($W:$W,$A:$A,A411,$C:$C,C411)),0)</f>
        <v>0</v>
      </c>
    </row>
    <row r="412" customFormat="false" ht="15" hidden="false" customHeight="true" outlineLevel="0" collapsed="false">
      <c r="A412" s="45" t="s">
        <v>1659</v>
      </c>
      <c r="B412" s="42" t="str">
        <f aca="false">IF(A412="100","HK",IF(A412="200","CN",IF(A412="300","TW","홀세일")))</f>
        <v>HK</v>
      </c>
      <c r="C412" s="45" t="s">
        <v>286</v>
      </c>
      <c r="D412" s="46" t="n">
        <v>660</v>
      </c>
      <c r="E412" s="46" t="n">
        <v>59000</v>
      </c>
      <c r="F412" s="46" t="n">
        <v>11105</v>
      </c>
      <c r="G412" s="42" t="n">
        <v>4.79</v>
      </c>
      <c r="H412" s="42" t="n">
        <v>14.8</v>
      </c>
      <c r="J412" s="46" t="n">
        <f aca="false">IF(N(E412)&gt;0,E412,IF(N(F412)&gt;0,F412*요약!$F$27,0))</f>
        <v>59000</v>
      </c>
      <c r="K412" s="46" t="n">
        <f aca="false">IF(N(F412)&gt;0,F412,IF(N(E412)&gt;0,E412/요약!$F$27,0))</f>
        <v>11105</v>
      </c>
      <c r="L412" s="46" t="n">
        <f aca="false">IF(B412="CN",IF(N(I412)&gt;0,I412*요약!$G$27,K412*(1+요약!$E$27)),IF(N(H412)&gt;0,H412*요약!$G$27,J412*요약!$D$27))</f>
        <v>19536</v>
      </c>
      <c r="M412" s="46" t="n">
        <f aca="false">D412*J412</f>
        <v>38940000</v>
      </c>
      <c r="N412" s="46" t="n">
        <f aca="false">D412*K412</f>
        <v>7329300</v>
      </c>
      <c r="O412" s="46" t="n">
        <f aca="false">D412*L412</f>
        <v>12893760</v>
      </c>
      <c r="P412" s="42" t="str">
        <f aca="false">TRIM(IF(N(E412)&lt;=0,"택가보정 ","")&amp;IF(N(F412)&lt;=0,"원가보정 ","")&amp;IF(AND(B412&lt;&gt;"CN",N(H412)&lt;=0),"공급가보정 ","")&amp;IF(AND(B412="CN",N(I412)&lt;=0),"중국공급가=원가+마진 ",""))</f>
        <v/>
      </c>
      <c r="Q412" s="47" t="n">
        <f aca="false">IF(SUMIFS($W:$W,$A:$A,A412,$C:$C,C412)=0,0,SUMIFS(RAW_판매펀칭!$K:$K,RAW_판매펀칭!$P:$P,A412,RAW_판매펀칭!$I:$I,C412)*W412/SUMIFS($W:$W,$A:$A,A412,$C:$C,C412))</f>
        <v>660</v>
      </c>
      <c r="R412" s="47" t="n">
        <f aca="false">IF(OR(A412="500",A412="800",A412="810"),0,MAX(W412-Q412,0))</f>
        <v>0</v>
      </c>
      <c r="S412" s="47" t="n">
        <f aca="false">R412*L412</f>
        <v>0</v>
      </c>
      <c r="T412" s="47" t="n">
        <f aca="false">R412*J412</f>
        <v>0</v>
      </c>
      <c r="U412" s="47" t="n">
        <f aca="false">R412*K412</f>
        <v>0</v>
      </c>
      <c r="V412" s="0" t="str">
        <f aca="false">IF(COUNTIFS($A$2:A412,A412,$C$2:C412,C412,$D$2:D412,D412)&gt;1,"중복","")</f>
        <v/>
      </c>
      <c r="W412" s="0" t="n">
        <f aca="false">IF(V412="중복",0,N(D412))</f>
        <v>660</v>
      </c>
      <c r="X412" s="0" t="n">
        <f aca="false">IF(COUNTIFS($A$2:A412,A412,$C$2:C412,C412)=1,ABS(SUMIFS(RAW_발주!$D:$D,RAW_발주!$C:$C,A412,RAW_발주!$A:$A,C412)-SUMIFS($W:$W,$A:$A,A412,$C:$C,C412)),0)</f>
        <v>0</v>
      </c>
    </row>
    <row r="413" customFormat="false" ht="15.75" hidden="false" customHeight="true" outlineLevel="0" collapsed="false">
      <c r="A413" s="45" t="s">
        <v>1660</v>
      </c>
      <c r="B413" s="42" t="str">
        <f aca="false">IF(A413="100","HK",IF(A413="200","CN",IF(A413="300","TW","홀세일")))</f>
        <v>CN</v>
      </c>
      <c r="C413" s="45" t="s">
        <v>286</v>
      </c>
      <c r="D413" s="46" t="n">
        <v>338</v>
      </c>
      <c r="E413" s="46" t="n">
        <v>59000</v>
      </c>
      <c r="F413" s="46" t="n">
        <v>11105</v>
      </c>
      <c r="G413" s="42" t="n">
        <v>4.79</v>
      </c>
      <c r="H413" s="42" t="n">
        <v>14.8</v>
      </c>
      <c r="J413" s="46" t="n">
        <f aca="false">IF(N(E413)&gt;0,E413,IF(N(F413)&gt;0,F413*요약!$F$27,0))</f>
        <v>59000</v>
      </c>
      <c r="K413" s="46" t="n">
        <f aca="false">IF(N(F413)&gt;0,F413,IF(N(E413)&gt;0,E413/요약!$F$27,0))</f>
        <v>11105</v>
      </c>
      <c r="L413" s="46" t="n">
        <f aca="false">IF(B413="CN",IF(N(I413)&gt;0,I413*요약!$G$27,K413*(1+요약!$E$27)),IF(N(H413)&gt;0,H413*요약!$G$27,J413*요약!$D$27))</f>
        <v>11660.25</v>
      </c>
      <c r="M413" s="46" t="n">
        <f aca="false">D413*J413</f>
        <v>19942000</v>
      </c>
      <c r="N413" s="46" t="n">
        <f aca="false">D413*K413</f>
        <v>3753490</v>
      </c>
      <c r="O413" s="46" t="n">
        <f aca="false">D413*L413</f>
        <v>3941164.5</v>
      </c>
      <c r="P413" s="42" t="str">
        <f aca="false">TRIM(IF(N(E413)&lt;=0,"택가보정 ","")&amp;IF(N(F413)&lt;=0,"원가보정 ","")&amp;IF(AND(B413&lt;&gt;"CN",N(H413)&lt;=0),"공급가보정 ","")&amp;IF(AND(B413="CN",N(I413)&lt;=0),"중국공급가=원가+마진 ",""))</f>
        <v>중국공급가=원가+마진</v>
      </c>
      <c r="Q413" s="47" t="n">
        <f aca="false">IF(SUMIFS($W:$W,$A:$A,A413,$C:$C,C413)=0,0,SUMIFS(RAW_판매펀칭!$K:$K,RAW_판매펀칭!$P:$P,A413,RAW_판매펀칭!$I:$I,C413)*W413/SUMIFS($W:$W,$A:$A,A413,$C:$C,C413))</f>
        <v>330</v>
      </c>
      <c r="R413" s="47" t="n">
        <f aca="false">IF(OR(A413="500",A413="800",A413="810"),0,MAX(W413-Q413,0))</f>
        <v>8</v>
      </c>
      <c r="S413" s="47" t="n">
        <f aca="false">R413*L413</f>
        <v>93282</v>
      </c>
      <c r="T413" s="47" t="n">
        <f aca="false">R413*J413</f>
        <v>472000</v>
      </c>
      <c r="U413" s="47" t="n">
        <f aca="false">R413*K413</f>
        <v>88840</v>
      </c>
      <c r="V413" s="0" t="str">
        <f aca="false">IF(COUNTIFS($A$2:A413,A413,$C$2:C413,C413,$D$2:D413,D413)&gt;1,"중복","")</f>
        <v/>
      </c>
      <c r="W413" s="0" t="n">
        <f aca="false">IF(V413="중복",0,N(D413))</f>
        <v>338</v>
      </c>
      <c r="X413" s="0" t="n">
        <f aca="false">IF(COUNTIFS($A$2:A413,A413,$C$2:C413,C413)=1,ABS(SUMIFS(RAW_발주!$D:$D,RAW_발주!$C:$C,A413,RAW_발주!$A:$A,C413)-SUMIFS($W:$W,$A:$A,A413,$C:$C,C413)),0)</f>
        <v>0</v>
      </c>
    </row>
    <row r="414" customFormat="false" ht="15" hidden="false" customHeight="true" outlineLevel="0" collapsed="false">
      <c r="A414" s="45" t="s">
        <v>1661</v>
      </c>
      <c r="B414" s="42" t="str">
        <f aca="false">IF(A414="100","HK",IF(A414="200","CN",IF(A414="300","TW","홀세일")))</f>
        <v>TW</v>
      </c>
      <c r="C414" s="45" t="s">
        <v>286</v>
      </c>
      <c r="D414" s="46" t="n">
        <v>680</v>
      </c>
      <c r="E414" s="46" t="n">
        <v>59000</v>
      </c>
      <c r="F414" s="46" t="n">
        <v>11105</v>
      </c>
      <c r="G414" s="42" t="n">
        <v>4.79</v>
      </c>
      <c r="H414" s="42" t="n">
        <v>14.8</v>
      </c>
      <c r="J414" s="46" t="n">
        <f aca="false">IF(N(E414)&gt;0,E414,IF(N(F414)&gt;0,F414*요약!$F$27,0))</f>
        <v>59000</v>
      </c>
      <c r="K414" s="46" t="n">
        <f aca="false">IF(N(F414)&gt;0,F414,IF(N(E414)&gt;0,E414/요약!$F$27,0))</f>
        <v>11105</v>
      </c>
      <c r="L414" s="46" t="n">
        <f aca="false">IF(B414="CN",IF(N(I414)&gt;0,I414*요약!$G$27,K414*(1+요약!$E$27)),IF(N(H414)&gt;0,H414*요약!$G$27,J414*요약!$D$27))</f>
        <v>19536</v>
      </c>
      <c r="M414" s="46" t="n">
        <f aca="false">D414*J414</f>
        <v>40120000</v>
      </c>
      <c r="N414" s="46" t="n">
        <f aca="false">D414*K414</f>
        <v>7551400</v>
      </c>
      <c r="O414" s="46" t="n">
        <f aca="false">D414*L414</f>
        <v>13284480</v>
      </c>
      <c r="P414" s="42" t="str">
        <f aca="false">TRIM(IF(N(E414)&lt;=0,"택가보정 ","")&amp;IF(N(F414)&lt;=0,"원가보정 ","")&amp;IF(AND(B414&lt;&gt;"CN",N(H414)&lt;=0),"공급가보정 ","")&amp;IF(AND(B414="CN",N(I414)&lt;=0),"중국공급가=원가+마진 ",""))</f>
        <v/>
      </c>
      <c r="Q414" s="47" t="n">
        <f aca="false">IF(SUMIFS($W:$W,$A:$A,A414,$C:$C,C414)=0,0,SUMIFS(RAW_판매펀칭!$K:$K,RAW_판매펀칭!$P:$P,A414,RAW_판매펀칭!$I:$I,C414)*W414/SUMIFS($W:$W,$A:$A,A414,$C:$C,C414))</f>
        <v>680</v>
      </c>
      <c r="R414" s="47" t="n">
        <f aca="false">IF(OR(A414="500",A414="800",A414="810"),0,MAX(W414-Q414,0))</f>
        <v>0</v>
      </c>
      <c r="S414" s="47" t="n">
        <f aca="false">R414*L414</f>
        <v>0</v>
      </c>
      <c r="T414" s="47" t="n">
        <f aca="false">R414*J414</f>
        <v>0</v>
      </c>
      <c r="U414" s="47" t="n">
        <f aca="false">R414*K414</f>
        <v>0</v>
      </c>
      <c r="V414" s="0" t="str">
        <f aca="false">IF(COUNTIFS($A$2:A414,A414,$C$2:C414,C414,$D$2:D414,D414)&gt;1,"중복","")</f>
        <v/>
      </c>
      <c r="W414" s="0" t="n">
        <f aca="false">IF(V414="중복",0,N(D414))</f>
        <v>680</v>
      </c>
      <c r="X414" s="0" t="n">
        <f aca="false">IF(COUNTIFS($A$2:A414,A414,$C$2:C414,C414)=1,ABS(SUMIFS(RAW_발주!$D:$D,RAW_발주!$C:$C,A414,RAW_발주!$A:$A,C414)-SUMIFS($W:$W,$A:$A,A414,$C:$C,C414)),0)</f>
        <v>0</v>
      </c>
    </row>
    <row r="415" customFormat="false" ht="15" hidden="false" customHeight="true" outlineLevel="0" collapsed="false">
      <c r="A415" s="45" t="s">
        <v>1663</v>
      </c>
      <c r="B415" s="42" t="str">
        <f aca="false">IF(A415="100","HK",IF(A415="200","CN",IF(A415="300","TW","홀세일")))</f>
        <v>홀세일</v>
      </c>
      <c r="C415" s="45" t="s">
        <v>286</v>
      </c>
      <c r="D415" s="46" t="n">
        <v>265</v>
      </c>
      <c r="E415" s="46" t="n">
        <v>59000</v>
      </c>
      <c r="F415" s="46" t="n">
        <v>11105</v>
      </c>
      <c r="G415" s="42" t="n">
        <v>4.79</v>
      </c>
      <c r="H415" s="42" t="n">
        <v>14.8</v>
      </c>
      <c r="J415" s="46" t="n">
        <f aca="false">IF(N(E415)&gt;0,E415,IF(N(F415)&gt;0,F415*요약!$F$27,0))</f>
        <v>59000</v>
      </c>
      <c r="K415" s="46" t="n">
        <f aca="false">IF(N(F415)&gt;0,F415,IF(N(E415)&gt;0,E415/요약!$F$27,0))</f>
        <v>11105</v>
      </c>
      <c r="L415" s="46" t="n">
        <f aca="false">IF(B415="CN",IF(N(I415)&gt;0,I415*요약!$G$27,K415*(1+요약!$E$27)),IF(N(H415)&gt;0,H415*요약!$G$27,J415*요약!$D$27))</f>
        <v>19536</v>
      </c>
      <c r="M415" s="46" t="n">
        <f aca="false">D415*J415</f>
        <v>15635000</v>
      </c>
      <c r="N415" s="46" t="n">
        <f aca="false">D415*K415</f>
        <v>2942825</v>
      </c>
      <c r="O415" s="46" t="n">
        <f aca="false">D415*L415</f>
        <v>5177040</v>
      </c>
      <c r="P415" s="42" t="str">
        <f aca="false">TRIM(IF(N(E415)&lt;=0,"택가보정 ","")&amp;IF(N(F415)&lt;=0,"원가보정 ","")&amp;IF(AND(B415&lt;&gt;"CN",N(H415)&lt;=0),"공급가보정 ","")&amp;IF(AND(B415="CN",N(I415)&lt;=0),"중국공급가=원가+마진 ",""))</f>
        <v/>
      </c>
      <c r="Q415" s="47" t="n">
        <f aca="false">IF(SUMIFS($W:$W,$A:$A,A415,$C:$C,C415)=0,0,SUMIFS(RAW_판매펀칭!$K:$K,RAW_판매펀칭!$P:$P,A415,RAW_판매펀칭!$I:$I,C415)*W415/SUMIFS($W:$W,$A:$A,A415,$C:$C,C415))</f>
        <v>265</v>
      </c>
      <c r="R415" s="47" t="n">
        <f aca="false">IF(OR(A415="500",A415="800",A415="810"),0,MAX(W415-Q415,0))</f>
        <v>0</v>
      </c>
      <c r="S415" s="47" t="n">
        <f aca="false">R415*L415</f>
        <v>0</v>
      </c>
      <c r="T415" s="47" t="n">
        <f aca="false">R415*J415</f>
        <v>0</v>
      </c>
      <c r="U415" s="47" t="n">
        <f aca="false">R415*K415</f>
        <v>0</v>
      </c>
      <c r="V415" s="0" t="str">
        <f aca="false">IF(COUNTIFS($A$2:A415,A415,$C$2:C415,C415,$D$2:D415,D415)&gt;1,"중복","")</f>
        <v/>
      </c>
      <c r="W415" s="0" t="n">
        <f aca="false">IF(V415="중복",0,N(D415))</f>
        <v>265</v>
      </c>
      <c r="X415" s="0" t="n">
        <f aca="false">IF(COUNTIFS($A$2:A415,A415,$C$2:C415,C415)=1,ABS(SUMIFS(RAW_발주!$D:$D,RAW_발주!$C:$C,A415,RAW_발주!$A:$A,C415)-SUMIFS($W:$W,$A:$A,A415,$C:$C,C415)),0)</f>
        <v>0</v>
      </c>
    </row>
    <row r="416" customFormat="false" ht="15" hidden="false" customHeight="true" outlineLevel="0" collapsed="false">
      <c r="A416" s="45" t="s">
        <v>1659</v>
      </c>
      <c r="B416" s="42" t="str">
        <f aca="false">IF(A416="100","HK",IF(A416="200","CN",IF(A416="300","TW","홀세일")))</f>
        <v>HK</v>
      </c>
      <c r="C416" s="45" t="s">
        <v>288</v>
      </c>
      <c r="D416" s="46" t="n">
        <v>960</v>
      </c>
      <c r="E416" s="46" t="n">
        <v>59000</v>
      </c>
      <c r="F416" s="46" t="n">
        <v>11383</v>
      </c>
      <c r="G416" s="42" t="n">
        <v>4.51</v>
      </c>
      <c r="H416" s="42" t="n">
        <v>14.8</v>
      </c>
      <c r="J416" s="46" t="n">
        <f aca="false">IF(N(E416)&gt;0,E416,IF(N(F416)&gt;0,F416*요약!$F$27,0))</f>
        <v>59000</v>
      </c>
      <c r="K416" s="46" t="n">
        <f aca="false">IF(N(F416)&gt;0,F416,IF(N(E416)&gt;0,E416/요약!$F$27,0))</f>
        <v>11383</v>
      </c>
      <c r="L416" s="46" t="n">
        <f aca="false">IF(B416="CN",IF(N(I416)&gt;0,I416*요약!$G$27,K416*(1+요약!$E$27)),IF(N(H416)&gt;0,H416*요약!$G$27,J416*요약!$D$27))</f>
        <v>19536</v>
      </c>
      <c r="M416" s="46" t="n">
        <f aca="false">D416*J416</f>
        <v>56640000</v>
      </c>
      <c r="N416" s="46" t="n">
        <f aca="false">D416*K416</f>
        <v>10927680</v>
      </c>
      <c r="O416" s="46" t="n">
        <f aca="false">D416*L416</f>
        <v>18754560</v>
      </c>
      <c r="P416" s="42" t="str">
        <f aca="false">TRIM(IF(N(E416)&lt;=0,"택가보정 ","")&amp;IF(N(F416)&lt;=0,"원가보정 ","")&amp;IF(AND(B416&lt;&gt;"CN",N(H416)&lt;=0),"공급가보정 ","")&amp;IF(AND(B416="CN",N(I416)&lt;=0),"중국공급가=원가+마진 ",""))</f>
        <v/>
      </c>
      <c r="Q416" s="47" t="n">
        <f aca="false">IF(SUMIFS($W:$W,$A:$A,A416,$C:$C,C416)=0,0,SUMIFS(RAW_판매펀칭!$K:$K,RAW_판매펀칭!$P:$P,A416,RAW_판매펀칭!$I:$I,C416)*W416/SUMIFS($W:$W,$A:$A,A416,$C:$C,C416))</f>
        <v>960</v>
      </c>
      <c r="R416" s="47" t="n">
        <f aca="false">IF(OR(A416="500",A416="800",A416="810"),0,MAX(W416-Q416,0))</f>
        <v>0</v>
      </c>
      <c r="S416" s="47" t="n">
        <f aca="false">R416*L416</f>
        <v>0</v>
      </c>
      <c r="T416" s="47" t="n">
        <f aca="false">R416*J416</f>
        <v>0</v>
      </c>
      <c r="U416" s="47" t="n">
        <f aca="false">R416*K416</f>
        <v>0</v>
      </c>
      <c r="V416" s="0" t="str">
        <f aca="false">IF(COUNTIFS($A$2:A416,A416,$C$2:C416,C416,$D$2:D416,D416)&gt;1,"중복","")</f>
        <v/>
      </c>
      <c r="W416" s="0" t="n">
        <f aca="false">IF(V416="중복",0,N(D416))</f>
        <v>960</v>
      </c>
      <c r="X416" s="0" t="n">
        <f aca="false">IF(COUNTIFS($A$2:A416,A416,$C$2:C416,C416)=1,ABS(SUMIFS(RAW_발주!$D:$D,RAW_발주!$C:$C,A416,RAW_발주!$A:$A,C416)-SUMIFS($W:$W,$A:$A,A416,$C:$C,C416)),0)</f>
        <v>0</v>
      </c>
    </row>
    <row r="417" customFormat="false" ht="15" hidden="false" customHeight="true" outlineLevel="0" collapsed="false">
      <c r="A417" s="45" t="s">
        <v>1661</v>
      </c>
      <c r="B417" s="42" t="str">
        <f aca="false">IF(A417="100","HK",IF(A417="200","CN",IF(A417="300","TW","홀세일")))</f>
        <v>TW</v>
      </c>
      <c r="C417" s="45" t="s">
        <v>288</v>
      </c>
      <c r="D417" s="46" t="n">
        <v>850</v>
      </c>
      <c r="E417" s="46" t="n">
        <v>59000</v>
      </c>
      <c r="F417" s="46" t="n">
        <v>11383</v>
      </c>
      <c r="G417" s="42" t="n">
        <v>4.51</v>
      </c>
      <c r="H417" s="42" t="n">
        <v>14.8</v>
      </c>
      <c r="J417" s="46" t="n">
        <f aca="false">IF(N(E417)&gt;0,E417,IF(N(F417)&gt;0,F417*요약!$F$27,0))</f>
        <v>59000</v>
      </c>
      <c r="K417" s="46" t="n">
        <f aca="false">IF(N(F417)&gt;0,F417,IF(N(E417)&gt;0,E417/요약!$F$27,0))</f>
        <v>11383</v>
      </c>
      <c r="L417" s="46" t="n">
        <f aca="false">IF(B417="CN",IF(N(I417)&gt;0,I417*요약!$G$27,K417*(1+요약!$E$27)),IF(N(H417)&gt;0,H417*요약!$G$27,J417*요약!$D$27))</f>
        <v>19536</v>
      </c>
      <c r="M417" s="46" t="n">
        <f aca="false">D417*J417</f>
        <v>50150000</v>
      </c>
      <c r="N417" s="46" t="n">
        <f aca="false">D417*K417</f>
        <v>9675550</v>
      </c>
      <c r="O417" s="46" t="n">
        <f aca="false">D417*L417</f>
        <v>16605600</v>
      </c>
      <c r="P417" s="42" t="str">
        <f aca="false">TRIM(IF(N(E417)&lt;=0,"택가보정 ","")&amp;IF(N(F417)&lt;=0,"원가보정 ","")&amp;IF(AND(B417&lt;&gt;"CN",N(H417)&lt;=0),"공급가보정 ","")&amp;IF(AND(B417="CN",N(I417)&lt;=0),"중국공급가=원가+마진 ",""))</f>
        <v/>
      </c>
      <c r="Q417" s="47" t="n">
        <f aca="false">IF(SUMIFS($W:$W,$A:$A,A417,$C:$C,C417)=0,0,SUMIFS(RAW_판매펀칭!$K:$K,RAW_판매펀칭!$P:$P,A417,RAW_판매펀칭!$I:$I,C417)*W417/SUMIFS($W:$W,$A:$A,A417,$C:$C,C417))</f>
        <v>850</v>
      </c>
      <c r="R417" s="47" t="n">
        <f aca="false">IF(OR(A417="500",A417="800",A417="810"),0,MAX(W417-Q417,0))</f>
        <v>0</v>
      </c>
      <c r="S417" s="47" t="n">
        <f aca="false">R417*L417</f>
        <v>0</v>
      </c>
      <c r="T417" s="47" t="n">
        <f aca="false">R417*J417</f>
        <v>0</v>
      </c>
      <c r="U417" s="47" t="n">
        <f aca="false">R417*K417</f>
        <v>0</v>
      </c>
      <c r="V417" s="0" t="str">
        <f aca="false">IF(COUNTIFS($A$2:A417,A417,$C$2:C417,C417,$D$2:D417,D417)&gt;1,"중복","")</f>
        <v/>
      </c>
      <c r="W417" s="0" t="n">
        <f aca="false">IF(V417="중복",0,N(D417))</f>
        <v>850</v>
      </c>
      <c r="X417" s="0" t="n">
        <f aca="false">IF(COUNTIFS($A$2:A417,A417,$C$2:C417,C417)=1,ABS(SUMIFS(RAW_발주!$D:$D,RAW_발주!$C:$C,A417,RAW_발주!$A:$A,C417)-SUMIFS($W:$W,$A:$A,A417,$C:$C,C417)),0)</f>
        <v>0</v>
      </c>
    </row>
    <row r="418" customFormat="false" ht="15" hidden="false" customHeight="true" outlineLevel="0" collapsed="false">
      <c r="A418" s="45" t="s">
        <v>1663</v>
      </c>
      <c r="B418" s="42" t="str">
        <f aca="false">IF(A418="100","HK",IF(A418="200","CN",IF(A418="300","TW","홀세일")))</f>
        <v>홀세일</v>
      </c>
      <c r="C418" s="45" t="s">
        <v>288</v>
      </c>
      <c r="D418" s="46" t="n">
        <v>245</v>
      </c>
      <c r="E418" s="46" t="n">
        <v>59000</v>
      </c>
      <c r="F418" s="46" t="n">
        <v>11383</v>
      </c>
      <c r="G418" s="42" t="n">
        <v>4.51</v>
      </c>
      <c r="H418" s="42" t="n">
        <v>14.8</v>
      </c>
      <c r="J418" s="46" t="n">
        <f aca="false">IF(N(E418)&gt;0,E418,IF(N(F418)&gt;0,F418*요약!$F$27,0))</f>
        <v>59000</v>
      </c>
      <c r="K418" s="46" t="n">
        <f aca="false">IF(N(F418)&gt;0,F418,IF(N(E418)&gt;0,E418/요약!$F$27,0))</f>
        <v>11383</v>
      </c>
      <c r="L418" s="46" t="n">
        <f aca="false">IF(B418="CN",IF(N(I418)&gt;0,I418*요약!$G$27,K418*(1+요약!$E$27)),IF(N(H418)&gt;0,H418*요약!$G$27,J418*요약!$D$27))</f>
        <v>19536</v>
      </c>
      <c r="M418" s="46" t="n">
        <f aca="false">D418*J418</f>
        <v>14455000</v>
      </c>
      <c r="N418" s="46" t="n">
        <f aca="false">D418*K418</f>
        <v>2788835</v>
      </c>
      <c r="O418" s="46" t="n">
        <f aca="false">D418*L418</f>
        <v>4786320</v>
      </c>
      <c r="P418" s="42" t="str">
        <f aca="false">TRIM(IF(N(E418)&lt;=0,"택가보정 ","")&amp;IF(N(F418)&lt;=0,"원가보정 ","")&amp;IF(AND(B418&lt;&gt;"CN",N(H418)&lt;=0),"공급가보정 ","")&amp;IF(AND(B418="CN",N(I418)&lt;=0),"중국공급가=원가+마진 ",""))</f>
        <v/>
      </c>
      <c r="Q418" s="47" t="n">
        <f aca="false">IF(SUMIFS($W:$W,$A:$A,A418,$C:$C,C418)=0,0,SUMIFS(RAW_판매펀칭!$K:$K,RAW_판매펀칭!$P:$P,A418,RAW_판매펀칭!$I:$I,C418)*W418/SUMIFS($W:$W,$A:$A,A418,$C:$C,C418))</f>
        <v>245</v>
      </c>
      <c r="R418" s="47" t="n">
        <f aca="false">IF(OR(A418="500",A418="800",A418="810"),0,MAX(W418-Q418,0))</f>
        <v>0</v>
      </c>
      <c r="S418" s="47" t="n">
        <f aca="false">R418*L418</f>
        <v>0</v>
      </c>
      <c r="T418" s="47" t="n">
        <f aca="false">R418*J418</f>
        <v>0</v>
      </c>
      <c r="U418" s="47" t="n">
        <f aca="false">R418*K418</f>
        <v>0</v>
      </c>
      <c r="V418" s="0" t="str">
        <f aca="false">IF(COUNTIFS($A$2:A418,A418,$C$2:C418,C418,$D$2:D418,D418)&gt;1,"중복","")</f>
        <v/>
      </c>
      <c r="W418" s="0" t="n">
        <f aca="false">IF(V418="중복",0,N(D418))</f>
        <v>245</v>
      </c>
      <c r="X418" s="0" t="n">
        <f aca="false">IF(COUNTIFS($A$2:A418,A418,$C$2:C418,C418)=1,ABS(SUMIFS(RAW_발주!$D:$D,RAW_발주!$C:$C,A418,RAW_발주!$A:$A,C418)-SUMIFS($W:$W,$A:$A,A418,$C:$C,C418)),0)</f>
        <v>0</v>
      </c>
    </row>
    <row r="419" customFormat="false" ht="15" hidden="false" customHeight="true" outlineLevel="0" collapsed="false">
      <c r="A419" s="45" t="s">
        <v>1659</v>
      </c>
      <c r="B419" s="42" t="str">
        <f aca="false">IF(A419="100","HK",IF(A419="200","CN",IF(A419="300","TW","홀세일")))</f>
        <v>HK</v>
      </c>
      <c r="C419" s="45" t="s">
        <v>290</v>
      </c>
      <c r="D419" s="46" t="n">
        <v>1140</v>
      </c>
      <c r="E419" s="46" t="n">
        <v>69000</v>
      </c>
      <c r="F419" s="46" t="n">
        <v>13405</v>
      </c>
      <c r="G419" s="42" t="n">
        <v>4.18</v>
      </c>
      <c r="H419" s="42" t="n">
        <v>17.3</v>
      </c>
      <c r="J419" s="46" t="n">
        <f aca="false">IF(N(E419)&gt;0,E419,IF(N(F419)&gt;0,F419*요약!$F$27,0))</f>
        <v>69000</v>
      </c>
      <c r="K419" s="46" t="n">
        <f aca="false">IF(N(F419)&gt;0,F419,IF(N(E419)&gt;0,E419/요약!$F$27,0))</f>
        <v>13405</v>
      </c>
      <c r="L419" s="46" t="n">
        <f aca="false">IF(B419="CN",IF(N(I419)&gt;0,I419*요약!$G$27,K419*(1+요약!$E$27)),IF(N(H419)&gt;0,H419*요약!$G$27,J419*요약!$D$27))</f>
        <v>22836</v>
      </c>
      <c r="M419" s="46" t="n">
        <f aca="false">D419*J419</f>
        <v>78660000</v>
      </c>
      <c r="N419" s="46" t="n">
        <f aca="false">D419*K419</f>
        <v>15281700</v>
      </c>
      <c r="O419" s="46" t="n">
        <f aca="false">D419*L419</f>
        <v>26033040</v>
      </c>
      <c r="P419" s="42" t="str">
        <f aca="false">TRIM(IF(N(E419)&lt;=0,"택가보정 ","")&amp;IF(N(F419)&lt;=0,"원가보정 ","")&amp;IF(AND(B419&lt;&gt;"CN",N(H419)&lt;=0),"공급가보정 ","")&amp;IF(AND(B419="CN",N(I419)&lt;=0),"중국공급가=원가+마진 ",""))</f>
        <v/>
      </c>
      <c r="Q419" s="47" t="n">
        <f aca="false">IF(SUMIFS($W:$W,$A:$A,A419,$C:$C,C419)=0,0,SUMIFS(RAW_판매펀칭!$K:$K,RAW_판매펀칭!$P:$P,A419,RAW_판매펀칭!$I:$I,C419)*W419/SUMIFS($W:$W,$A:$A,A419,$C:$C,C419))</f>
        <v>1140</v>
      </c>
      <c r="R419" s="47" t="n">
        <f aca="false">IF(OR(A419="500",A419="800",A419="810"),0,MAX(W419-Q419,0))</f>
        <v>0</v>
      </c>
      <c r="S419" s="47" t="n">
        <f aca="false">R419*L419</f>
        <v>0</v>
      </c>
      <c r="T419" s="47" t="n">
        <f aca="false">R419*J419</f>
        <v>0</v>
      </c>
      <c r="U419" s="47" t="n">
        <f aca="false">R419*K419</f>
        <v>0</v>
      </c>
      <c r="V419" s="0" t="str">
        <f aca="false">IF(COUNTIFS($A$2:A419,A419,$C$2:C419,C419,$D$2:D419,D419)&gt;1,"중복","")</f>
        <v/>
      </c>
      <c r="W419" s="0" t="n">
        <f aca="false">IF(V419="중복",0,N(D419))</f>
        <v>1140</v>
      </c>
      <c r="X419" s="0" t="n">
        <f aca="false">IF(COUNTIFS($A$2:A419,A419,$C$2:C419,C419)=1,ABS(SUMIFS(RAW_발주!$D:$D,RAW_발주!$C:$C,A419,RAW_발주!$A:$A,C419)-SUMIFS($W:$W,$A:$A,A419,$C:$C,C419)),0)</f>
        <v>0</v>
      </c>
    </row>
    <row r="420" customFormat="false" ht="15.75" hidden="false" customHeight="true" outlineLevel="0" collapsed="false">
      <c r="A420" s="45" t="s">
        <v>1660</v>
      </c>
      <c r="B420" s="42" t="str">
        <f aca="false">IF(A420="100","HK",IF(A420="200","CN",IF(A420="300","TW","홀세일")))</f>
        <v>CN</v>
      </c>
      <c r="C420" s="45" t="s">
        <v>290</v>
      </c>
      <c r="D420" s="46" t="n">
        <v>413</v>
      </c>
      <c r="E420" s="46" t="n">
        <v>69000</v>
      </c>
      <c r="F420" s="46" t="n">
        <v>13405</v>
      </c>
      <c r="G420" s="42" t="n">
        <v>4.18</v>
      </c>
      <c r="H420" s="42" t="n">
        <v>17.3</v>
      </c>
      <c r="J420" s="46" t="n">
        <f aca="false">IF(N(E420)&gt;0,E420,IF(N(F420)&gt;0,F420*요약!$F$27,0))</f>
        <v>69000</v>
      </c>
      <c r="K420" s="46" t="n">
        <f aca="false">IF(N(F420)&gt;0,F420,IF(N(E420)&gt;0,E420/요약!$F$27,0))</f>
        <v>13405</v>
      </c>
      <c r="L420" s="46" t="n">
        <f aca="false">IF(B420="CN",IF(N(I420)&gt;0,I420*요약!$G$27,K420*(1+요약!$E$27)),IF(N(H420)&gt;0,H420*요약!$G$27,J420*요약!$D$27))</f>
        <v>14075.25</v>
      </c>
      <c r="M420" s="46" t="n">
        <f aca="false">D420*J420</f>
        <v>28497000</v>
      </c>
      <c r="N420" s="46" t="n">
        <f aca="false">D420*K420</f>
        <v>5536265</v>
      </c>
      <c r="O420" s="46" t="n">
        <f aca="false">D420*L420</f>
        <v>5813078.25</v>
      </c>
      <c r="P420" s="42" t="str">
        <f aca="false">TRIM(IF(N(E420)&lt;=0,"택가보정 ","")&amp;IF(N(F420)&lt;=0,"원가보정 ","")&amp;IF(AND(B420&lt;&gt;"CN",N(H420)&lt;=0),"공급가보정 ","")&amp;IF(AND(B420="CN",N(I420)&lt;=0),"중국공급가=원가+마진 ",""))</f>
        <v>중국공급가=원가+마진</v>
      </c>
      <c r="Q420" s="47" t="n">
        <f aca="false">IF(SUMIFS($W:$W,$A:$A,A420,$C:$C,C420)=0,0,SUMIFS(RAW_판매펀칭!$K:$K,RAW_판매펀칭!$P:$P,A420,RAW_판매펀칭!$I:$I,C420)*W420/SUMIFS($W:$W,$A:$A,A420,$C:$C,C420))</f>
        <v>410</v>
      </c>
      <c r="R420" s="47" t="n">
        <f aca="false">IF(OR(A420="500",A420="800",A420="810"),0,MAX(W420-Q420,0))</f>
        <v>3</v>
      </c>
      <c r="S420" s="47" t="n">
        <f aca="false">R420*L420</f>
        <v>42225.75</v>
      </c>
      <c r="T420" s="47" t="n">
        <f aca="false">R420*J420</f>
        <v>207000</v>
      </c>
      <c r="U420" s="47" t="n">
        <f aca="false">R420*K420</f>
        <v>40215</v>
      </c>
      <c r="V420" s="0" t="str">
        <f aca="false">IF(COUNTIFS($A$2:A420,A420,$C$2:C420,C420,$D$2:D420,D420)&gt;1,"중복","")</f>
        <v/>
      </c>
      <c r="W420" s="0" t="n">
        <f aca="false">IF(V420="중복",0,N(D420))</f>
        <v>413</v>
      </c>
      <c r="X420" s="0" t="n">
        <f aca="false">IF(COUNTIFS($A$2:A420,A420,$C$2:C420,C420)=1,ABS(SUMIFS(RAW_발주!$D:$D,RAW_발주!$C:$C,A420,RAW_발주!$A:$A,C420)-SUMIFS($W:$W,$A:$A,A420,$C:$C,C420)),0)</f>
        <v>0</v>
      </c>
    </row>
    <row r="421" customFormat="false" ht="15" hidden="false" customHeight="true" outlineLevel="0" collapsed="false">
      <c r="A421" s="45" t="s">
        <v>1661</v>
      </c>
      <c r="B421" s="42" t="str">
        <f aca="false">IF(A421="100","HK",IF(A421="200","CN",IF(A421="300","TW","홀세일")))</f>
        <v>TW</v>
      </c>
      <c r="C421" s="45" t="s">
        <v>290</v>
      </c>
      <c r="D421" s="46" t="n">
        <v>900</v>
      </c>
      <c r="E421" s="46" t="n">
        <v>69000</v>
      </c>
      <c r="F421" s="46" t="n">
        <v>13405</v>
      </c>
      <c r="G421" s="42" t="n">
        <v>4.18</v>
      </c>
      <c r="H421" s="42" t="n">
        <v>17.3</v>
      </c>
      <c r="J421" s="46" t="n">
        <f aca="false">IF(N(E421)&gt;0,E421,IF(N(F421)&gt;0,F421*요약!$F$27,0))</f>
        <v>69000</v>
      </c>
      <c r="K421" s="46" t="n">
        <f aca="false">IF(N(F421)&gt;0,F421,IF(N(E421)&gt;0,E421/요약!$F$27,0))</f>
        <v>13405</v>
      </c>
      <c r="L421" s="46" t="n">
        <f aca="false">IF(B421="CN",IF(N(I421)&gt;0,I421*요약!$G$27,K421*(1+요약!$E$27)),IF(N(H421)&gt;0,H421*요약!$G$27,J421*요약!$D$27))</f>
        <v>22836</v>
      </c>
      <c r="M421" s="46" t="n">
        <f aca="false">D421*J421</f>
        <v>62100000</v>
      </c>
      <c r="N421" s="46" t="n">
        <f aca="false">D421*K421</f>
        <v>12064500</v>
      </c>
      <c r="O421" s="46" t="n">
        <f aca="false">D421*L421</f>
        <v>20552400</v>
      </c>
      <c r="P421" s="42" t="str">
        <f aca="false">TRIM(IF(N(E421)&lt;=0,"택가보정 ","")&amp;IF(N(F421)&lt;=0,"원가보정 ","")&amp;IF(AND(B421&lt;&gt;"CN",N(H421)&lt;=0),"공급가보정 ","")&amp;IF(AND(B421="CN",N(I421)&lt;=0),"중국공급가=원가+마진 ",""))</f>
        <v/>
      </c>
      <c r="Q421" s="47" t="n">
        <f aca="false">IF(SUMIFS($W:$W,$A:$A,A421,$C:$C,C421)=0,0,SUMIFS(RAW_판매펀칭!$K:$K,RAW_판매펀칭!$P:$P,A421,RAW_판매펀칭!$I:$I,C421)*W421/SUMIFS($W:$W,$A:$A,A421,$C:$C,C421))</f>
        <v>900</v>
      </c>
      <c r="R421" s="47" t="n">
        <f aca="false">IF(OR(A421="500",A421="800",A421="810"),0,MAX(W421-Q421,0))</f>
        <v>0</v>
      </c>
      <c r="S421" s="47" t="n">
        <f aca="false">R421*L421</f>
        <v>0</v>
      </c>
      <c r="T421" s="47" t="n">
        <f aca="false">R421*J421</f>
        <v>0</v>
      </c>
      <c r="U421" s="47" t="n">
        <f aca="false">R421*K421</f>
        <v>0</v>
      </c>
      <c r="V421" s="0" t="str">
        <f aca="false">IF(COUNTIFS($A$2:A421,A421,$C$2:C421,C421,$D$2:D421,D421)&gt;1,"중복","")</f>
        <v/>
      </c>
      <c r="W421" s="0" t="n">
        <f aca="false">IF(V421="중복",0,N(D421))</f>
        <v>900</v>
      </c>
      <c r="X421" s="0" t="n">
        <f aca="false">IF(COUNTIFS($A$2:A421,A421,$C$2:C421,C421)=1,ABS(SUMIFS(RAW_발주!$D:$D,RAW_발주!$C:$C,A421,RAW_발주!$A:$A,C421)-SUMIFS($W:$W,$A:$A,A421,$C:$C,C421)),0)</f>
        <v>0</v>
      </c>
    </row>
    <row r="422" customFormat="false" ht="15" hidden="false" customHeight="true" outlineLevel="0" collapsed="false">
      <c r="A422" s="45" t="s">
        <v>1662</v>
      </c>
      <c r="B422" s="42" t="str">
        <f aca="false">IF(A422="100","HK",IF(A422="200","CN",IF(A422="300","TW","홀세일")))</f>
        <v>홀세일</v>
      </c>
      <c r="C422" s="45" t="s">
        <v>290</v>
      </c>
      <c r="D422" s="46" t="n">
        <v>50</v>
      </c>
      <c r="E422" s="46" t="n">
        <v>69000</v>
      </c>
      <c r="F422" s="46" t="n">
        <v>13405</v>
      </c>
      <c r="G422" s="42" t="n">
        <v>4.18</v>
      </c>
      <c r="H422" s="42" t="n">
        <v>17.3</v>
      </c>
      <c r="J422" s="46" t="n">
        <f aca="false">IF(N(E422)&gt;0,E422,IF(N(F422)&gt;0,F422*요약!$F$27,0))</f>
        <v>69000</v>
      </c>
      <c r="K422" s="46" t="n">
        <f aca="false">IF(N(F422)&gt;0,F422,IF(N(E422)&gt;0,E422/요약!$F$27,0))</f>
        <v>13405</v>
      </c>
      <c r="L422" s="46" t="n">
        <f aca="false">IF(B422="CN",IF(N(I422)&gt;0,I422*요약!$G$27,K422*(1+요약!$E$27)),IF(N(H422)&gt;0,H422*요약!$G$27,J422*요약!$D$27))</f>
        <v>22836</v>
      </c>
      <c r="M422" s="46" t="n">
        <f aca="false">D422*J422</f>
        <v>3450000</v>
      </c>
      <c r="N422" s="46" t="n">
        <f aca="false">D422*K422</f>
        <v>670250</v>
      </c>
      <c r="O422" s="46" t="n">
        <f aca="false">D422*L422</f>
        <v>1141800</v>
      </c>
      <c r="P422" s="42" t="str">
        <f aca="false">TRIM(IF(N(E422)&lt;=0,"택가보정 ","")&amp;IF(N(F422)&lt;=0,"원가보정 ","")&amp;IF(AND(B422&lt;&gt;"CN",N(H422)&lt;=0),"공급가보정 ","")&amp;IF(AND(B422="CN",N(I422)&lt;=0),"중국공급가=원가+마진 ",""))</f>
        <v/>
      </c>
      <c r="Q422" s="47" t="n">
        <f aca="false">IF(SUMIFS($W:$W,$A:$A,A422,$C:$C,C422)=0,0,SUMIFS(RAW_판매펀칭!$K:$K,RAW_판매펀칭!$P:$P,A422,RAW_판매펀칭!$I:$I,C422)*W422/SUMIFS($W:$W,$A:$A,A422,$C:$C,C422))</f>
        <v>50</v>
      </c>
      <c r="R422" s="47" t="n">
        <f aca="false">IF(OR(A422="500",A422="800",A422="810"),0,MAX(W422-Q422,0))</f>
        <v>0</v>
      </c>
      <c r="S422" s="47" t="n">
        <f aca="false">R422*L422</f>
        <v>0</v>
      </c>
      <c r="T422" s="47" t="n">
        <f aca="false">R422*J422</f>
        <v>0</v>
      </c>
      <c r="U422" s="47" t="n">
        <f aca="false">R422*K422</f>
        <v>0</v>
      </c>
      <c r="V422" s="0" t="str">
        <f aca="false">IF(COUNTIFS($A$2:A422,A422,$C$2:C422,C422,$D$2:D422,D422)&gt;1,"중복","")</f>
        <v/>
      </c>
      <c r="W422" s="0" t="n">
        <f aca="false">IF(V422="중복",0,N(D422))</f>
        <v>50</v>
      </c>
      <c r="X422" s="0" t="n">
        <f aca="false">IF(COUNTIFS($A$2:A422,A422,$C$2:C422,C422)=1,ABS(SUMIFS(RAW_발주!$D:$D,RAW_발주!$C:$C,A422,RAW_발주!$A:$A,C422)-SUMIFS($W:$W,$A:$A,A422,$C:$C,C422)),0)</f>
        <v>0</v>
      </c>
    </row>
    <row r="423" customFormat="false" ht="15" hidden="false" customHeight="true" outlineLevel="0" collapsed="false">
      <c r="A423" s="45" t="s">
        <v>1663</v>
      </c>
      <c r="B423" s="42" t="str">
        <f aca="false">IF(A423="100","HK",IF(A423="200","CN",IF(A423="300","TW","홀세일")))</f>
        <v>홀세일</v>
      </c>
      <c r="C423" s="45" t="s">
        <v>290</v>
      </c>
      <c r="D423" s="46" t="n">
        <v>270</v>
      </c>
      <c r="E423" s="46" t="n">
        <v>69000</v>
      </c>
      <c r="F423" s="46" t="n">
        <v>13405</v>
      </c>
      <c r="G423" s="42" t="n">
        <v>4.18</v>
      </c>
      <c r="H423" s="42" t="n">
        <v>17.3</v>
      </c>
      <c r="J423" s="46" t="n">
        <f aca="false">IF(N(E423)&gt;0,E423,IF(N(F423)&gt;0,F423*요약!$F$27,0))</f>
        <v>69000</v>
      </c>
      <c r="K423" s="46" t="n">
        <f aca="false">IF(N(F423)&gt;0,F423,IF(N(E423)&gt;0,E423/요약!$F$27,0))</f>
        <v>13405</v>
      </c>
      <c r="L423" s="46" t="n">
        <f aca="false">IF(B423="CN",IF(N(I423)&gt;0,I423*요약!$G$27,K423*(1+요약!$E$27)),IF(N(H423)&gt;0,H423*요약!$G$27,J423*요약!$D$27))</f>
        <v>22836</v>
      </c>
      <c r="M423" s="46" t="n">
        <f aca="false">D423*J423</f>
        <v>18630000</v>
      </c>
      <c r="N423" s="46" t="n">
        <f aca="false">D423*K423</f>
        <v>3619350</v>
      </c>
      <c r="O423" s="46" t="n">
        <f aca="false">D423*L423</f>
        <v>6165720</v>
      </c>
      <c r="P423" s="42" t="str">
        <f aca="false">TRIM(IF(N(E423)&lt;=0,"택가보정 ","")&amp;IF(N(F423)&lt;=0,"원가보정 ","")&amp;IF(AND(B423&lt;&gt;"CN",N(H423)&lt;=0),"공급가보정 ","")&amp;IF(AND(B423="CN",N(I423)&lt;=0),"중국공급가=원가+마진 ",""))</f>
        <v/>
      </c>
      <c r="Q423" s="47" t="n">
        <f aca="false">IF(SUMIFS($W:$W,$A:$A,A423,$C:$C,C423)=0,0,SUMIFS(RAW_판매펀칭!$K:$K,RAW_판매펀칭!$P:$P,A423,RAW_판매펀칭!$I:$I,C423)*W423/SUMIFS($W:$W,$A:$A,A423,$C:$C,C423))</f>
        <v>270</v>
      </c>
      <c r="R423" s="47" t="n">
        <f aca="false">IF(OR(A423="500",A423="800",A423="810"),0,MAX(W423-Q423,0))</f>
        <v>0</v>
      </c>
      <c r="S423" s="47" t="n">
        <f aca="false">R423*L423</f>
        <v>0</v>
      </c>
      <c r="T423" s="47" t="n">
        <f aca="false">R423*J423</f>
        <v>0</v>
      </c>
      <c r="U423" s="47" t="n">
        <f aca="false">R423*K423</f>
        <v>0</v>
      </c>
      <c r="V423" s="0" t="str">
        <f aca="false">IF(COUNTIFS($A$2:A423,A423,$C$2:C423,C423,$D$2:D423,D423)&gt;1,"중복","")</f>
        <v/>
      </c>
      <c r="W423" s="0" t="n">
        <f aca="false">IF(V423="중복",0,N(D423))</f>
        <v>270</v>
      </c>
      <c r="X423" s="0" t="n">
        <f aca="false">IF(COUNTIFS($A$2:A423,A423,$C$2:C423,C423)=1,ABS(SUMIFS(RAW_발주!$D:$D,RAW_발주!$C:$C,A423,RAW_발주!$A:$A,C423)-SUMIFS($W:$W,$A:$A,A423,$C:$C,C423)),0)</f>
        <v>0</v>
      </c>
    </row>
    <row r="424" customFormat="false" ht="15" hidden="false" customHeight="true" outlineLevel="0" collapsed="false">
      <c r="A424" s="45" t="s">
        <v>1667</v>
      </c>
      <c r="B424" s="42" t="str">
        <f aca="false">IF(A424="100","HK",IF(A424="200","CN",IF(A424="300","TW","홀세일")))</f>
        <v>홀세일</v>
      </c>
      <c r="C424" s="45" t="s">
        <v>290</v>
      </c>
      <c r="D424" s="46" t="n">
        <v>183</v>
      </c>
      <c r="E424" s="46" t="n">
        <v>69000</v>
      </c>
      <c r="F424" s="46" t="n">
        <v>13405</v>
      </c>
      <c r="G424" s="42" t="n">
        <v>4.18</v>
      </c>
      <c r="H424" s="42" t="n">
        <v>17.3</v>
      </c>
      <c r="J424" s="46" t="n">
        <f aca="false">IF(N(E424)&gt;0,E424,IF(N(F424)&gt;0,F424*요약!$F$27,0))</f>
        <v>69000</v>
      </c>
      <c r="K424" s="46" t="n">
        <f aca="false">IF(N(F424)&gt;0,F424,IF(N(E424)&gt;0,E424/요약!$F$27,0))</f>
        <v>13405</v>
      </c>
      <c r="L424" s="46" t="n">
        <f aca="false">IF(B424="CN",IF(N(I424)&gt;0,I424*요약!$G$27,K424*(1+요약!$E$27)),IF(N(H424)&gt;0,H424*요약!$G$27,J424*요약!$D$27))</f>
        <v>22836</v>
      </c>
      <c r="M424" s="46" t="n">
        <f aca="false">D424*J424</f>
        <v>12627000</v>
      </c>
      <c r="N424" s="46" t="n">
        <f aca="false">D424*K424</f>
        <v>2453115</v>
      </c>
      <c r="O424" s="46" t="n">
        <f aca="false">D424*L424</f>
        <v>4178988</v>
      </c>
      <c r="P424" s="42" t="str">
        <f aca="false">TRIM(IF(N(E424)&lt;=0,"택가보정 ","")&amp;IF(N(F424)&lt;=0,"원가보정 ","")&amp;IF(AND(B424&lt;&gt;"CN",N(H424)&lt;=0),"공급가보정 ","")&amp;IF(AND(B424="CN",N(I424)&lt;=0),"중국공급가=원가+마진 ",""))</f>
        <v/>
      </c>
      <c r="Q424" s="47" t="n">
        <f aca="false">IF(SUMIFS($W:$W,$A:$A,A424,$C:$C,C424)=0,0,SUMIFS(RAW_판매펀칭!$K:$K,RAW_판매펀칭!$P:$P,A424,RAW_판매펀칭!$I:$I,C424)*W424/SUMIFS($W:$W,$A:$A,A424,$C:$C,C424))</f>
        <v>183</v>
      </c>
      <c r="R424" s="47" t="n">
        <f aca="false">IF(OR(A424="500",A424="800",A424="810"),0,MAX(W424-Q424,0))</f>
        <v>0</v>
      </c>
      <c r="S424" s="47" t="n">
        <f aca="false">R424*L424</f>
        <v>0</v>
      </c>
      <c r="T424" s="47" t="n">
        <f aca="false">R424*J424</f>
        <v>0</v>
      </c>
      <c r="U424" s="47" t="n">
        <f aca="false">R424*K424</f>
        <v>0</v>
      </c>
      <c r="V424" s="0" t="str">
        <f aca="false">IF(COUNTIFS($A$2:A424,A424,$C$2:C424,C424,$D$2:D424,D424)&gt;1,"중복","")</f>
        <v/>
      </c>
      <c r="W424" s="0" t="n">
        <f aca="false">IF(V424="중복",0,N(D424))</f>
        <v>183</v>
      </c>
      <c r="X424" s="0" t="n">
        <f aca="false">IF(COUNTIFS($A$2:A424,A424,$C$2:C424,C424)=1,ABS(SUMIFS(RAW_발주!$D:$D,RAW_발주!$C:$C,A424,RAW_발주!$A:$A,C424)-SUMIFS($W:$W,$A:$A,A424,$C:$C,C424)),0)</f>
        <v>0</v>
      </c>
    </row>
    <row r="425" customFormat="false" ht="15" hidden="false" customHeight="true" outlineLevel="0" collapsed="false">
      <c r="A425" s="45" t="s">
        <v>1664</v>
      </c>
      <c r="B425" s="42" t="str">
        <f aca="false">IF(A425="100","HK",IF(A425="200","CN",IF(A425="300","TW","홀세일")))</f>
        <v>홀세일</v>
      </c>
      <c r="C425" s="45" t="s">
        <v>290</v>
      </c>
      <c r="D425" s="46" t="n">
        <v>100</v>
      </c>
      <c r="E425" s="46" t="n">
        <v>69000</v>
      </c>
      <c r="F425" s="46" t="n">
        <v>13405</v>
      </c>
      <c r="G425" s="42" t="n">
        <v>4.18</v>
      </c>
      <c r="H425" s="42" t="n">
        <v>17.3</v>
      </c>
      <c r="J425" s="46" t="n">
        <f aca="false">IF(N(E425)&gt;0,E425,IF(N(F425)&gt;0,F425*요약!$F$27,0))</f>
        <v>69000</v>
      </c>
      <c r="K425" s="46" t="n">
        <f aca="false">IF(N(F425)&gt;0,F425,IF(N(E425)&gt;0,E425/요약!$F$27,0))</f>
        <v>13405</v>
      </c>
      <c r="L425" s="46" t="n">
        <f aca="false">IF(B425="CN",IF(N(I425)&gt;0,I425*요약!$G$27,K425*(1+요약!$E$27)),IF(N(H425)&gt;0,H425*요약!$G$27,J425*요약!$D$27))</f>
        <v>22836</v>
      </c>
      <c r="M425" s="46" t="n">
        <f aca="false">D425*J425</f>
        <v>6900000</v>
      </c>
      <c r="N425" s="46" t="n">
        <f aca="false">D425*K425</f>
        <v>1340500</v>
      </c>
      <c r="O425" s="46" t="n">
        <f aca="false">D425*L425</f>
        <v>2283600</v>
      </c>
      <c r="P425" s="42" t="str">
        <f aca="false">TRIM(IF(N(E425)&lt;=0,"택가보정 ","")&amp;IF(N(F425)&lt;=0,"원가보정 ","")&amp;IF(AND(B425&lt;&gt;"CN",N(H425)&lt;=0),"공급가보정 ","")&amp;IF(AND(B425="CN",N(I425)&lt;=0),"중국공급가=원가+마진 ",""))</f>
        <v/>
      </c>
      <c r="Q425" s="47" t="n">
        <f aca="false">IF(SUMIFS($W:$W,$A:$A,A425,$C:$C,C425)=0,0,SUMIFS(RAW_판매펀칭!$K:$K,RAW_판매펀칭!$P:$P,A425,RAW_판매펀칭!$I:$I,C425)*W425/SUMIFS($W:$W,$A:$A,A425,$C:$C,C425))</f>
        <v>0</v>
      </c>
      <c r="R425" s="47" t="n">
        <f aca="false">IF(OR(A425="500",A425="800",A425="810"),0,MAX(W425-Q425,0))</f>
        <v>0</v>
      </c>
      <c r="S425" s="47" t="n">
        <f aca="false">R425*L425</f>
        <v>0</v>
      </c>
      <c r="T425" s="47" t="n">
        <f aca="false">R425*J425</f>
        <v>0</v>
      </c>
      <c r="U425" s="47" t="n">
        <f aca="false">R425*K425</f>
        <v>0</v>
      </c>
      <c r="V425" s="0" t="str">
        <f aca="false">IF(COUNTIFS($A$2:A425,A425,$C$2:C425,C425,$D$2:D425,D425)&gt;1,"중복","")</f>
        <v/>
      </c>
      <c r="W425" s="0" t="n">
        <f aca="false">IF(V425="중복",0,N(D425))</f>
        <v>100</v>
      </c>
      <c r="X425" s="0" t="n">
        <f aca="false">IF(COUNTIFS($A$2:A425,A425,$C$2:C425,C425)=1,ABS(SUMIFS(RAW_발주!$D:$D,RAW_발주!$C:$C,A425,RAW_발주!$A:$A,C425)-SUMIFS($W:$W,$A:$A,A425,$C:$C,C425)),0)</f>
        <v>0</v>
      </c>
    </row>
    <row r="426" customFormat="false" ht="15" hidden="false" customHeight="true" outlineLevel="0" collapsed="false">
      <c r="A426" s="45" t="s">
        <v>1659</v>
      </c>
      <c r="B426" s="42" t="str">
        <f aca="false">IF(A426="100","HK",IF(A426="200","CN",IF(A426="300","TW","홀세일")))</f>
        <v>HK</v>
      </c>
      <c r="C426" s="45" t="s">
        <v>292</v>
      </c>
      <c r="D426" s="46" t="n">
        <v>420</v>
      </c>
      <c r="E426" s="46" t="n">
        <v>59000</v>
      </c>
      <c r="F426" s="46" t="n">
        <v>13500</v>
      </c>
      <c r="G426" s="42" t="n">
        <v>3.75</v>
      </c>
      <c r="H426" s="42" t="n">
        <v>14.8</v>
      </c>
      <c r="J426" s="46" t="n">
        <f aca="false">IF(N(E426)&gt;0,E426,IF(N(F426)&gt;0,F426*요약!$F$27,0))</f>
        <v>59000</v>
      </c>
      <c r="K426" s="46" t="n">
        <f aca="false">IF(N(F426)&gt;0,F426,IF(N(E426)&gt;0,E426/요약!$F$27,0))</f>
        <v>13500</v>
      </c>
      <c r="L426" s="46" t="n">
        <f aca="false">IF(B426="CN",IF(N(I426)&gt;0,I426*요약!$G$27,K426*(1+요약!$E$27)),IF(N(H426)&gt;0,H426*요약!$G$27,J426*요약!$D$27))</f>
        <v>19536</v>
      </c>
      <c r="M426" s="46" t="n">
        <f aca="false">D426*J426</f>
        <v>24780000</v>
      </c>
      <c r="N426" s="46" t="n">
        <f aca="false">D426*K426</f>
        <v>5670000</v>
      </c>
      <c r="O426" s="46" t="n">
        <f aca="false">D426*L426</f>
        <v>8205120</v>
      </c>
      <c r="P426" s="42" t="str">
        <f aca="false">TRIM(IF(N(E426)&lt;=0,"택가보정 ","")&amp;IF(N(F426)&lt;=0,"원가보정 ","")&amp;IF(AND(B426&lt;&gt;"CN",N(H426)&lt;=0),"공급가보정 ","")&amp;IF(AND(B426="CN",N(I426)&lt;=0),"중국공급가=원가+마진 ",""))</f>
        <v/>
      </c>
      <c r="Q426" s="47" t="n">
        <f aca="false">IF(SUMIFS($W:$W,$A:$A,A426,$C:$C,C426)=0,0,SUMIFS(RAW_판매펀칭!$K:$K,RAW_판매펀칭!$P:$P,A426,RAW_판매펀칭!$I:$I,C426)*W426/SUMIFS($W:$W,$A:$A,A426,$C:$C,C426))</f>
        <v>420</v>
      </c>
      <c r="R426" s="47" t="n">
        <f aca="false">IF(OR(A426="500",A426="800",A426="810"),0,MAX(W426-Q426,0))</f>
        <v>0</v>
      </c>
      <c r="S426" s="47" t="n">
        <f aca="false">R426*L426</f>
        <v>0</v>
      </c>
      <c r="T426" s="47" t="n">
        <f aca="false">R426*J426</f>
        <v>0</v>
      </c>
      <c r="U426" s="47" t="n">
        <f aca="false">R426*K426</f>
        <v>0</v>
      </c>
      <c r="V426" s="0" t="str">
        <f aca="false">IF(COUNTIFS($A$2:A426,A426,$C$2:C426,C426,$D$2:D426,D426)&gt;1,"중복","")</f>
        <v/>
      </c>
      <c r="W426" s="0" t="n">
        <f aca="false">IF(V426="중복",0,N(D426))</f>
        <v>420</v>
      </c>
      <c r="X426" s="0" t="n">
        <f aca="false">IF(COUNTIFS($A$2:A426,A426,$C$2:C426,C426)=1,ABS(SUMIFS(RAW_발주!$D:$D,RAW_발주!$C:$C,A426,RAW_발주!$A:$A,C426)-SUMIFS($W:$W,$A:$A,A426,$C:$C,C426)),0)</f>
        <v>0</v>
      </c>
    </row>
    <row r="427" customFormat="false" ht="15" hidden="false" customHeight="true" outlineLevel="0" collapsed="false">
      <c r="A427" s="45" t="s">
        <v>1661</v>
      </c>
      <c r="B427" s="42" t="str">
        <f aca="false">IF(A427="100","HK",IF(A427="200","CN",IF(A427="300","TW","홀세일")))</f>
        <v>TW</v>
      </c>
      <c r="C427" s="45" t="s">
        <v>292</v>
      </c>
      <c r="D427" s="46" t="n">
        <v>550</v>
      </c>
      <c r="E427" s="46" t="n">
        <v>59000</v>
      </c>
      <c r="F427" s="46" t="n">
        <v>13500</v>
      </c>
      <c r="G427" s="42" t="n">
        <v>3.75</v>
      </c>
      <c r="H427" s="42" t="n">
        <v>14.8</v>
      </c>
      <c r="J427" s="46" t="n">
        <f aca="false">IF(N(E427)&gt;0,E427,IF(N(F427)&gt;0,F427*요약!$F$27,0))</f>
        <v>59000</v>
      </c>
      <c r="K427" s="46" t="n">
        <f aca="false">IF(N(F427)&gt;0,F427,IF(N(E427)&gt;0,E427/요약!$F$27,0))</f>
        <v>13500</v>
      </c>
      <c r="L427" s="46" t="n">
        <f aca="false">IF(B427="CN",IF(N(I427)&gt;0,I427*요약!$G$27,K427*(1+요약!$E$27)),IF(N(H427)&gt;0,H427*요약!$G$27,J427*요약!$D$27))</f>
        <v>19536</v>
      </c>
      <c r="M427" s="46" t="n">
        <f aca="false">D427*J427</f>
        <v>32450000</v>
      </c>
      <c r="N427" s="46" t="n">
        <f aca="false">D427*K427</f>
        <v>7425000</v>
      </c>
      <c r="O427" s="46" t="n">
        <f aca="false">D427*L427</f>
        <v>10744800</v>
      </c>
      <c r="P427" s="42" t="str">
        <f aca="false">TRIM(IF(N(E427)&lt;=0,"택가보정 ","")&amp;IF(N(F427)&lt;=0,"원가보정 ","")&amp;IF(AND(B427&lt;&gt;"CN",N(H427)&lt;=0),"공급가보정 ","")&amp;IF(AND(B427="CN",N(I427)&lt;=0),"중국공급가=원가+마진 ",""))</f>
        <v/>
      </c>
      <c r="Q427" s="47" t="n">
        <f aca="false">IF(SUMIFS($W:$W,$A:$A,A427,$C:$C,C427)=0,0,SUMIFS(RAW_판매펀칭!$K:$K,RAW_판매펀칭!$P:$P,A427,RAW_판매펀칭!$I:$I,C427)*W427/SUMIFS($W:$W,$A:$A,A427,$C:$C,C427))</f>
        <v>550</v>
      </c>
      <c r="R427" s="47" t="n">
        <f aca="false">IF(OR(A427="500",A427="800",A427="810"),0,MAX(W427-Q427,0))</f>
        <v>0</v>
      </c>
      <c r="S427" s="47" t="n">
        <f aca="false">R427*L427</f>
        <v>0</v>
      </c>
      <c r="T427" s="47" t="n">
        <f aca="false">R427*J427</f>
        <v>0</v>
      </c>
      <c r="U427" s="47" t="n">
        <f aca="false">R427*K427</f>
        <v>0</v>
      </c>
      <c r="V427" s="0" t="str">
        <f aca="false">IF(COUNTIFS($A$2:A427,A427,$C$2:C427,C427,$D$2:D427,D427)&gt;1,"중복","")</f>
        <v/>
      </c>
      <c r="W427" s="0" t="n">
        <f aca="false">IF(V427="중복",0,N(D427))</f>
        <v>550</v>
      </c>
      <c r="X427" s="0" t="n">
        <f aca="false">IF(COUNTIFS($A$2:A427,A427,$C$2:C427,C427)=1,ABS(SUMIFS(RAW_발주!$D:$D,RAW_발주!$C:$C,A427,RAW_발주!$A:$A,C427)-SUMIFS($W:$W,$A:$A,A427,$C:$C,C427)),0)</f>
        <v>0</v>
      </c>
    </row>
    <row r="428" customFormat="false" ht="15" hidden="false" customHeight="true" outlineLevel="0" collapsed="false">
      <c r="A428" s="45" t="s">
        <v>1663</v>
      </c>
      <c r="B428" s="42" t="str">
        <f aca="false">IF(A428="100","HK",IF(A428="200","CN",IF(A428="300","TW","홀세일")))</f>
        <v>홀세일</v>
      </c>
      <c r="C428" s="45" t="s">
        <v>292</v>
      </c>
      <c r="D428" s="46" t="n">
        <v>90</v>
      </c>
      <c r="E428" s="46" t="n">
        <v>59000</v>
      </c>
      <c r="F428" s="46" t="n">
        <v>13500</v>
      </c>
      <c r="G428" s="42" t="n">
        <v>3.75</v>
      </c>
      <c r="H428" s="42" t="n">
        <v>14.8</v>
      </c>
      <c r="J428" s="46" t="n">
        <f aca="false">IF(N(E428)&gt;0,E428,IF(N(F428)&gt;0,F428*요약!$F$27,0))</f>
        <v>59000</v>
      </c>
      <c r="K428" s="46" t="n">
        <f aca="false">IF(N(F428)&gt;0,F428,IF(N(E428)&gt;0,E428/요약!$F$27,0))</f>
        <v>13500</v>
      </c>
      <c r="L428" s="46" t="n">
        <f aca="false">IF(B428="CN",IF(N(I428)&gt;0,I428*요약!$G$27,K428*(1+요약!$E$27)),IF(N(H428)&gt;0,H428*요약!$G$27,J428*요약!$D$27))</f>
        <v>19536</v>
      </c>
      <c r="M428" s="46" t="n">
        <f aca="false">D428*J428</f>
        <v>5310000</v>
      </c>
      <c r="N428" s="46" t="n">
        <f aca="false">D428*K428</f>
        <v>1215000</v>
      </c>
      <c r="O428" s="46" t="n">
        <f aca="false">D428*L428</f>
        <v>1758240</v>
      </c>
      <c r="P428" s="42" t="str">
        <f aca="false">TRIM(IF(N(E428)&lt;=0,"택가보정 ","")&amp;IF(N(F428)&lt;=0,"원가보정 ","")&amp;IF(AND(B428&lt;&gt;"CN",N(H428)&lt;=0),"공급가보정 ","")&amp;IF(AND(B428="CN",N(I428)&lt;=0),"중국공급가=원가+마진 ",""))</f>
        <v/>
      </c>
      <c r="Q428" s="47" t="n">
        <f aca="false">IF(SUMIFS($W:$W,$A:$A,A428,$C:$C,C428)=0,0,SUMIFS(RAW_판매펀칭!$K:$K,RAW_판매펀칭!$P:$P,A428,RAW_판매펀칭!$I:$I,C428)*W428/SUMIFS($W:$W,$A:$A,A428,$C:$C,C428))</f>
        <v>90</v>
      </c>
      <c r="R428" s="47" t="n">
        <f aca="false">IF(OR(A428="500",A428="800",A428="810"),0,MAX(W428-Q428,0))</f>
        <v>0</v>
      </c>
      <c r="S428" s="47" t="n">
        <f aca="false">R428*L428</f>
        <v>0</v>
      </c>
      <c r="T428" s="47" t="n">
        <f aca="false">R428*J428</f>
        <v>0</v>
      </c>
      <c r="U428" s="47" t="n">
        <f aca="false">R428*K428</f>
        <v>0</v>
      </c>
      <c r="V428" s="0" t="str">
        <f aca="false">IF(COUNTIFS($A$2:A428,A428,$C$2:C428,C428,$D$2:D428,D428)&gt;1,"중복","")</f>
        <v/>
      </c>
      <c r="W428" s="0" t="n">
        <f aca="false">IF(V428="중복",0,N(D428))</f>
        <v>90</v>
      </c>
      <c r="X428" s="0" t="n">
        <f aca="false">IF(COUNTIFS($A$2:A428,A428,$C$2:C428,C428)=1,ABS(SUMIFS(RAW_발주!$D:$D,RAW_발주!$C:$C,A428,RAW_발주!$A:$A,C428)-SUMIFS($W:$W,$A:$A,A428,$C:$C,C428)),0)</f>
        <v>0</v>
      </c>
    </row>
    <row r="429" customFormat="false" ht="15" hidden="false" customHeight="true" outlineLevel="0" collapsed="false">
      <c r="A429" s="45" t="s">
        <v>1667</v>
      </c>
      <c r="B429" s="42" t="str">
        <f aca="false">IF(A429="100","HK",IF(A429="200","CN",IF(A429="300","TW","홀세일")))</f>
        <v>홀세일</v>
      </c>
      <c r="C429" s="45" t="s">
        <v>292</v>
      </c>
      <c r="D429" s="46" t="n">
        <v>61</v>
      </c>
      <c r="E429" s="46" t="n">
        <v>59000</v>
      </c>
      <c r="F429" s="46" t="n">
        <v>13500</v>
      </c>
      <c r="G429" s="42" t="n">
        <v>3.75</v>
      </c>
      <c r="H429" s="42" t="n">
        <v>14.8</v>
      </c>
      <c r="J429" s="46" t="n">
        <f aca="false">IF(N(E429)&gt;0,E429,IF(N(F429)&gt;0,F429*요약!$F$27,0))</f>
        <v>59000</v>
      </c>
      <c r="K429" s="46" t="n">
        <f aca="false">IF(N(F429)&gt;0,F429,IF(N(E429)&gt;0,E429/요약!$F$27,0))</f>
        <v>13500</v>
      </c>
      <c r="L429" s="46" t="n">
        <f aca="false">IF(B429="CN",IF(N(I429)&gt;0,I429*요약!$G$27,K429*(1+요약!$E$27)),IF(N(H429)&gt;0,H429*요약!$G$27,J429*요약!$D$27))</f>
        <v>19536</v>
      </c>
      <c r="M429" s="46" t="n">
        <f aca="false">D429*J429</f>
        <v>3599000</v>
      </c>
      <c r="N429" s="46" t="n">
        <f aca="false">D429*K429</f>
        <v>823500</v>
      </c>
      <c r="O429" s="46" t="n">
        <f aca="false">D429*L429</f>
        <v>1191696</v>
      </c>
      <c r="P429" s="42" t="str">
        <f aca="false">TRIM(IF(N(E429)&lt;=0,"택가보정 ","")&amp;IF(N(F429)&lt;=0,"원가보정 ","")&amp;IF(AND(B429&lt;&gt;"CN",N(H429)&lt;=0),"공급가보정 ","")&amp;IF(AND(B429="CN",N(I429)&lt;=0),"중국공급가=원가+마진 ",""))</f>
        <v/>
      </c>
      <c r="Q429" s="47" t="n">
        <f aca="false">IF(SUMIFS($W:$W,$A:$A,A429,$C:$C,C429)=0,0,SUMIFS(RAW_판매펀칭!$K:$K,RAW_판매펀칭!$P:$P,A429,RAW_판매펀칭!$I:$I,C429)*W429/SUMIFS($W:$W,$A:$A,A429,$C:$C,C429))</f>
        <v>61</v>
      </c>
      <c r="R429" s="47" t="n">
        <f aca="false">IF(OR(A429="500",A429="800",A429="810"),0,MAX(W429-Q429,0))</f>
        <v>0</v>
      </c>
      <c r="S429" s="47" t="n">
        <f aca="false">R429*L429</f>
        <v>0</v>
      </c>
      <c r="T429" s="47" t="n">
        <f aca="false">R429*J429</f>
        <v>0</v>
      </c>
      <c r="U429" s="47" t="n">
        <f aca="false">R429*K429</f>
        <v>0</v>
      </c>
      <c r="V429" s="0" t="str">
        <f aca="false">IF(COUNTIFS($A$2:A429,A429,$C$2:C429,C429,$D$2:D429,D429)&gt;1,"중복","")</f>
        <v/>
      </c>
      <c r="W429" s="0" t="n">
        <f aca="false">IF(V429="중복",0,N(D429))</f>
        <v>61</v>
      </c>
      <c r="X429" s="0" t="n">
        <f aca="false">IF(COUNTIFS($A$2:A429,A429,$C$2:C429,C429)=1,ABS(SUMIFS(RAW_발주!$D:$D,RAW_발주!$C:$C,A429,RAW_발주!$A:$A,C429)-SUMIFS($W:$W,$A:$A,A429,$C:$C,C429)),0)</f>
        <v>0</v>
      </c>
    </row>
    <row r="430" customFormat="false" ht="15" hidden="false" customHeight="true" outlineLevel="0" collapsed="false">
      <c r="A430" s="45" t="s">
        <v>1664</v>
      </c>
      <c r="B430" s="42" t="str">
        <f aca="false">IF(A430="100","HK",IF(A430="200","CN",IF(A430="300","TW","홀세일")))</f>
        <v>홀세일</v>
      </c>
      <c r="C430" s="45" t="s">
        <v>292</v>
      </c>
      <c r="D430" s="46" t="n">
        <v>65</v>
      </c>
      <c r="E430" s="46" t="n">
        <v>59000</v>
      </c>
      <c r="F430" s="46" t="n">
        <v>13500</v>
      </c>
      <c r="G430" s="42" t="n">
        <v>3.75</v>
      </c>
      <c r="H430" s="42" t="n">
        <v>14.8</v>
      </c>
      <c r="J430" s="46" t="n">
        <f aca="false">IF(N(E430)&gt;0,E430,IF(N(F430)&gt;0,F430*요약!$F$27,0))</f>
        <v>59000</v>
      </c>
      <c r="K430" s="46" t="n">
        <f aca="false">IF(N(F430)&gt;0,F430,IF(N(E430)&gt;0,E430/요약!$F$27,0))</f>
        <v>13500</v>
      </c>
      <c r="L430" s="46" t="n">
        <f aca="false">IF(B430="CN",IF(N(I430)&gt;0,I430*요약!$G$27,K430*(1+요약!$E$27)),IF(N(H430)&gt;0,H430*요약!$G$27,J430*요약!$D$27))</f>
        <v>19536</v>
      </c>
      <c r="M430" s="46" t="n">
        <f aca="false">D430*J430</f>
        <v>3835000</v>
      </c>
      <c r="N430" s="46" t="n">
        <f aca="false">D430*K430</f>
        <v>877500</v>
      </c>
      <c r="O430" s="46" t="n">
        <f aca="false">D430*L430</f>
        <v>1269840</v>
      </c>
      <c r="P430" s="42" t="str">
        <f aca="false">TRIM(IF(N(E430)&lt;=0,"택가보정 ","")&amp;IF(N(F430)&lt;=0,"원가보정 ","")&amp;IF(AND(B430&lt;&gt;"CN",N(H430)&lt;=0),"공급가보정 ","")&amp;IF(AND(B430="CN",N(I430)&lt;=0),"중국공급가=원가+마진 ",""))</f>
        <v/>
      </c>
      <c r="Q430" s="47" t="n">
        <f aca="false">IF(SUMIFS($W:$W,$A:$A,A430,$C:$C,C430)=0,0,SUMIFS(RAW_판매펀칭!$K:$K,RAW_판매펀칭!$P:$P,A430,RAW_판매펀칭!$I:$I,C430)*W430/SUMIFS($W:$W,$A:$A,A430,$C:$C,C430))</f>
        <v>0</v>
      </c>
      <c r="R430" s="47" t="n">
        <f aca="false">IF(OR(A430="500",A430="800",A430="810"),0,MAX(W430-Q430,0))</f>
        <v>0</v>
      </c>
      <c r="S430" s="47" t="n">
        <f aca="false">R430*L430</f>
        <v>0</v>
      </c>
      <c r="T430" s="47" t="n">
        <f aca="false">R430*J430</f>
        <v>0</v>
      </c>
      <c r="U430" s="47" t="n">
        <f aca="false">R430*K430</f>
        <v>0</v>
      </c>
      <c r="V430" s="0" t="str">
        <f aca="false">IF(COUNTIFS($A$2:A430,A430,$C$2:C430,C430,$D$2:D430,D430)&gt;1,"중복","")</f>
        <v/>
      </c>
      <c r="W430" s="0" t="n">
        <f aca="false">IF(V430="중복",0,N(D430))</f>
        <v>65</v>
      </c>
      <c r="X430" s="0" t="n">
        <f aca="false">IF(COUNTIFS($A$2:A430,A430,$C$2:C430,C430)=1,ABS(SUMIFS(RAW_발주!$D:$D,RAW_발주!$C:$C,A430,RAW_발주!$A:$A,C430)-SUMIFS($W:$W,$A:$A,A430,$C:$C,C430)),0)</f>
        <v>0</v>
      </c>
    </row>
    <row r="431" customFormat="false" ht="15" hidden="false" customHeight="true" outlineLevel="0" collapsed="false">
      <c r="A431" s="45" t="s">
        <v>1659</v>
      </c>
      <c r="B431" s="42" t="str">
        <f aca="false">IF(A431="100","HK",IF(A431="200","CN",IF(A431="300","TW","홀세일")))</f>
        <v>HK</v>
      </c>
      <c r="C431" s="45" t="s">
        <v>294</v>
      </c>
      <c r="D431" s="46" t="n">
        <v>360</v>
      </c>
      <c r="E431" s="46" t="n">
        <v>59000</v>
      </c>
      <c r="F431" s="46" t="n">
        <v>12913</v>
      </c>
      <c r="G431" s="42" t="n">
        <v>3.94</v>
      </c>
      <c r="H431" s="42" t="n">
        <v>14.8</v>
      </c>
      <c r="J431" s="46" t="n">
        <f aca="false">IF(N(E431)&gt;0,E431,IF(N(F431)&gt;0,F431*요약!$F$27,0))</f>
        <v>59000</v>
      </c>
      <c r="K431" s="46" t="n">
        <f aca="false">IF(N(F431)&gt;0,F431,IF(N(E431)&gt;0,E431/요약!$F$27,0))</f>
        <v>12913</v>
      </c>
      <c r="L431" s="46" t="n">
        <f aca="false">IF(B431="CN",IF(N(I431)&gt;0,I431*요약!$G$27,K431*(1+요약!$E$27)),IF(N(H431)&gt;0,H431*요약!$G$27,J431*요약!$D$27))</f>
        <v>19536</v>
      </c>
      <c r="M431" s="46" t="n">
        <f aca="false">D431*J431</f>
        <v>21240000</v>
      </c>
      <c r="N431" s="46" t="n">
        <f aca="false">D431*K431</f>
        <v>4648680</v>
      </c>
      <c r="O431" s="46" t="n">
        <f aca="false">D431*L431</f>
        <v>7032960</v>
      </c>
      <c r="P431" s="42" t="str">
        <f aca="false">TRIM(IF(N(E431)&lt;=0,"택가보정 ","")&amp;IF(N(F431)&lt;=0,"원가보정 ","")&amp;IF(AND(B431&lt;&gt;"CN",N(H431)&lt;=0),"공급가보정 ","")&amp;IF(AND(B431="CN",N(I431)&lt;=0),"중국공급가=원가+마진 ",""))</f>
        <v/>
      </c>
      <c r="Q431" s="47" t="n">
        <f aca="false">IF(SUMIFS($W:$W,$A:$A,A431,$C:$C,C431)=0,0,SUMIFS(RAW_판매펀칭!$K:$K,RAW_판매펀칭!$P:$P,A431,RAW_판매펀칭!$I:$I,C431)*W431/SUMIFS($W:$W,$A:$A,A431,$C:$C,C431))</f>
        <v>360</v>
      </c>
      <c r="R431" s="47" t="n">
        <f aca="false">IF(OR(A431="500",A431="800",A431="810"),0,MAX(W431-Q431,0))</f>
        <v>0</v>
      </c>
      <c r="S431" s="47" t="n">
        <f aca="false">R431*L431</f>
        <v>0</v>
      </c>
      <c r="T431" s="47" t="n">
        <f aca="false">R431*J431</f>
        <v>0</v>
      </c>
      <c r="U431" s="47" t="n">
        <f aca="false">R431*K431</f>
        <v>0</v>
      </c>
      <c r="V431" s="0" t="str">
        <f aca="false">IF(COUNTIFS($A$2:A431,A431,$C$2:C431,C431,$D$2:D431,D431)&gt;1,"중복","")</f>
        <v/>
      </c>
      <c r="W431" s="0" t="n">
        <f aca="false">IF(V431="중복",0,N(D431))</f>
        <v>360</v>
      </c>
      <c r="X431" s="0" t="n">
        <f aca="false">IF(COUNTIFS($A$2:A431,A431,$C$2:C431,C431)=1,ABS(SUMIFS(RAW_발주!$D:$D,RAW_발주!$C:$C,A431,RAW_발주!$A:$A,C431)-SUMIFS($W:$W,$A:$A,A431,$C:$C,C431)),0)</f>
        <v>0</v>
      </c>
    </row>
    <row r="432" customFormat="false" ht="15.75" hidden="false" customHeight="true" outlineLevel="0" collapsed="false">
      <c r="A432" s="45" t="s">
        <v>1660</v>
      </c>
      <c r="B432" s="42" t="str">
        <f aca="false">IF(A432="100","HK",IF(A432="200","CN",IF(A432="300","TW","홀세일")))</f>
        <v>CN</v>
      </c>
      <c r="C432" s="45" t="s">
        <v>294</v>
      </c>
      <c r="D432" s="46" t="n">
        <v>463</v>
      </c>
      <c r="E432" s="46" t="n">
        <v>59000</v>
      </c>
      <c r="F432" s="46" t="n">
        <v>12913</v>
      </c>
      <c r="G432" s="42" t="n">
        <v>3.94</v>
      </c>
      <c r="H432" s="42" t="n">
        <v>14.8</v>
      </c>
      <c r="J432" s="46" t="n">
        <f aca="false">IF(N(E432)&gt;0,E432,IF(N(F432)&gt;0,F432*요약!$F$27,0))</f>
        <v>59000</v>
      </c>
      <c r="K432" s="46" t="n">
        <f aca="false">IF(N(F432)&gt;0,F432,IF(N(E432)&gt;0,E432/요약!$F$27,0))</f>
        <v>12913</v>
      </c>
      <c r="L432" s="46" t="n">
        <f aca="false">IF(B432="CN",IF(N(I432)&gt;0,I432*요약!$G$27,K432*(1+요약!$E$27)),IF(N(H432)&gt;0,H432*요약!$G$27,J432*요약!$D$27))</f>
        <v>13558.65</v>
      </c>
      <c r="M432" s="46" t="n">
        <f aca="false">D432*J432</f>
        <v>27317000</v>
      </c>
      <c r="N432" s="46" t="n">
        <f aca="false">D432*K432</f>
        <v>5978719</v>
      </c>
      <c r="O432" s="46" t="n">
        <f aca="false">D432*L432</f>
        <v>6277654.95</v>
      </c>
      <c r="P432" s="42" t="str">
        <f aca="false">TRIM(IF(N(E432)&lt;=0,"택가보정 ","")&amp;IF(N(F432)&lt;=0,"원가보정 ","")&amp;IF(AND(B432&lt;&gt;"CN",N(H432)&lt;=0),"공급가보정 ","")&amp;IF(AND(B432="CN",N(I432)&lt;=0),"중국공급가=원가+마진 ",""))</f>
        <v>중국공급가=원가+마진</v>
      </c>
      <c r="Q432" s="47" t="n">
        <f aca="false">IF(SUMIFS($W:$W,$A:$A,A432,$C:$C,C432)=0,0,SUMIFS(RAW_판매펀칭!$K:$K,RAW_판매펀칭!$P:$P,A432,RAW_판매펀칭!$I:$I,C432)*W432/SUMIFS($W:$W,$A:$A,A432,$C:$C,C432))</f>
        <v>460</v>
      </c>
      <c r="R432" s="47" t="n">
        <f aca="false">IF(OR(A432="500",A432="800",A432="810"),0,MAX(W432-Q432,0))</f>
        <v>3</v>
      </c>
      <c r="S432" s="47" t="n">
        <f aca="false">R432*L432</f>
        <v>40675.95</v>
      </c>
      <c r="T432" s="47" t="n">
        <f aca="false">R432*J432</f>
        <v>177000</v>
      </c>
      <c r="U432" s="47" t="n">
        <f aca="false">R432*K432</f>
        <v>38739</v>
      </c>
      <c r="V432" s="0" t="str">
        <f aca="false">IF(COUNTIFS($A$2:A432,A432,$C$2:C432,C432,$D$2:D432,D432)&gt;1,"중복","")</f>
        <v/>
      </c>
      <c r="W432" s="0" t="n">
        <f aca="false">IF(V432="중복",0,N(D432))</f>
        <v>463</v>
      </c>
      <c r="X432" s="0" t="n">
        <f aca="false">IF(COUNTIFS($A$2:A432,A432,$C$2:C432,C432)=1,ABS(SUMIFS(RAW_발주!$D:$D,RAW_발주!$C:$C,A432,RAW_발주!$A:$A,C432)-SUMIFS($W:$W,$A:$A,A432,$C:$C,C432)),0)</f>
        <v>0</v>
      </c>
    </row>
    <row r="433" customFormat="false" ht="15" hidden="false" customHeight="true" outlineLevel="0" collapsed="false">
      <c r="A433" s="45" t="s">
        <v>1661</v>
      </c>
      <c r="B433" s="42" t="str">
        <f aca="false">IF(A433="100","HK",IF(A433="200","CN",IF(A433="300","TW","홀세일")))</f>
        <v>TW</v>
      </c>
      <c r="C433" s="45" t="s">
        <v>294</v>
      </c>
      <c r="D433" s="46" t="n">
        <v>400</v>
      </c>
      <c r="E433" s="46" t="n">
        <v>59000</v>
      </c>
      <c r="F433" s="46" t="n">
        <v>12913</v>
      </c>
      <c r="G433" s="42" t="n">
        <v>3.94</v>
      </c>
      <c r="H433" s="42" t="n">
        <v>14.8</v>
      </c>
      <c r="J433" s="46" t="n">
        <f aca="false">IF(N(E433)&gt;0,E433,IF(N(F433)&gt;0,F433*요약!$F$27,0))</f>
        <v>59000</v>
      </c>
      <c r="K433" s="46" t="n">
        <f aca="false">IF(N(F433)&gt;0,F433,IF(N(E433)&gt;0,E433/요약!$F$27,0))</f>
        <v>12913</v>
      </c>
      <c r="L433" s="46" t="n">
        <f aca="false">IF(B433="CN",IF(N(I433)&gt;0,I433*요약!$G$27,K433*(1+요약!$E$27)),IF(N(H433)&gt;0,H433*요약!$G$27,J433*요약!$D$27))</f>
        <v>19536</v>
      </c>
      <c r="M433" s="46" t="n">
        <f aca="false">D433*J433</f>
        <v>23600000</v>
      </c>
      <c r="N433" s="46" t="n">
        <f aca="false">D433*K433</f>
        <v>5165200</v>
      </c>
      <c r="O433" s="46" t="n">
        <f aca="false">D433*L433</f>
        <v>7814400</v>
      </c>
      <c r="P433" s="42" t="str">
        <f aca="false">TRIM(IF(N(E433)&lt;=0,"택가보정 ","")&amp;IF(N(F433)&lt;=0,"원가보정 ","")&amp;IF(AND(B433&lt;&gt;"CN",N(H433)&lt;=0),"공급가보정 ","")&amp;IF(AND(B433="CN",N(I433)&lt;=0),"중국공급가=원가+마진 ",""))</f>
        <v/>
      </c>
      <c r="Q433" s="47" t="n">
        <f aca="false">IF(SUMIFS($W:$W,$A:$A,A433,$C:$C,C433)=0,0,SUMIFS(RAW_판매펀칭!$K:$K,RAW_판매펀칭!$P:$P,A433,RAW_판매펀칭!$I:$I,C433)*W433/SUMIFS($W:$W,$A:$A,A433,$C:$C,C433))</f>
        <v>400</v>
      </c>
      <c r="R433" s="47" t="n">
        <f aca="false">IF(OR(A433="500",A433="800",A433="810"),0,MAX(W433-Q433,0))</f>
        <v>0</v>
      </c>
      <c r="S433" s="47" t="n">
        <f aca="false">R433*L433</f>
        <v>0</v>
      </c>
      <c r="T433" s="47" t="n">
        <f aca="false">R433*J433</f>
        <v>0</v>
      </c>
      <c r="U433" s="47" t="n">
        <f aca="false">R433*K433</f>
        <v>0</v>
      </c>
      <c r="V433" s="0" t="str">
        <f aca="false">IF(COUNTIFS($A$2:A433,A433,$C$2:C433,C433,$D$2:D433,D433)&gt;1,"중복","")</f>
        <v/>
      </c>
      <c r="W433" s="0" t="n">
        <f aca="false">IF(V433="중복",0,N(D433))</f>
        <v>400</v>
      </c>
      <c r="X433" s="0" t="n">
        <f aca="false">IF(COUNTIFS($A$2:A433,A433,$C$2:C433,C433)=1,ABS(SUMIFS(RAW_발주!$D:$D,RAW_발주!$C:$C,A433,RAW_발주!$A:$A,C433)-SUMIFS($W:$W,$A:$A,A433,$C:$C,C433)),0)</f>
        <v>0</v>
      </c>
    </row>
    <row r="434" customFormat="false" ht="15" hidden="false" customHeight="true" outlineLevel="0" collapsed="false">
      <c r="A434" s="45" t="s">
        <v>1663</v>
      </c>
      <c r="B434" s="42" t="str">
        <f aca="false">IF(A434="100","HK",IF(A434="200","CN",IF(A434="300","TW","홀세일")))</f>
        <v>홀세일</v>
      </c>
      <c r="C434" s="45" t="s">
        <v>294</v>
      </c>
      <c r="D434" s="46" t="n">
        <v>40</v>
      </c>
      <c r="E434" s="46" t="n">
        <v>59000</v>
      </c>
      <c r="F434" s="46" t="n">
        <v>12913</v>
      </c>
      <c r="G434" s="42" t="n">
        <v>3.94</v>
      </c>
      <c r="H434" s="42" t="n">
        <v>14.8</v>
      </c>
      <c r="J434" s="46" t="n">
        <f aca="false">IF(N(E434)&gt;0,E434,IF(N(F434)&gt;0,F434*요약!$F$27,0))</f>
        <v>59000</v>
      </c>
      <c r="K434" s="46" t="n">
        <f aca="false">IF(N(F434)&gt;0,F434,IF(N(E434)&gt;0,E434/요약!$F$27,0))</f>
        <v>12913</v>
      </c>
      <c r="L434" s="46" t="n">
        <f aca="false">IF(B434="CN",IF(N(I434)&gt;0,I434*요약!$G$27,K434*(1+요약!$E$27)),IF(N(H434)&gt;0,H434*요약!$G$27,J434*요약!$D$27))</f>
        <v>19536</v>
      </c>
      <c r="M434" s="46" t="n">
        <f aca="false">D434*J434</f>
        <v>2360000</v>
      </c>
      <c r="N434" s="46" t="n">
        <f aca="false">D434*K434</f>
        <v>516520</v>
      </c>
      <c r="O434" s="46" t="n">
        <f aca="false">D434*L434</f>
        <v>781440</v>
      </c>
      <c r="P434" s="42" t="str">
        <f aca="false">TRIM(IF(N(E434)&lt;=0,"택가보정 ","")&amp;IF(N(F434)&lt;=0,"원가보정 ","")&amp;IF(AND(B434&lt;&gt;"CN",N(H434)&lt;=0),"공급가보정 ","")&amp;IF(AND(B434="CN",N(I434)&lt;=0),"중국공급가=원가+마진 ",""))</f>
        <v/>
      </c>
      <c r="Q434" s="47" t="n">
        <f aca="false">IF(SUMIFS($W:$W,$A:$A,A434,$C:$C,C434)=0,0,SUMIFS(RAW_판매펀칭!$K:$K,RAW_판매펀칭!$P:$P,A434,RAW_판매펀칭!$I:$I,C434)*W434/SUMIFS($W:$W,$A:$A,A434,$C:$C,C434))</f>
        <v>40</v>
      </c>
      <c r="R434" s="47" t="n">
        <f aca="false">IF(OR(A434="500",A434="800",A434="810"),0,MAX(W434-Q434,0))</f>
        <v>0</v>
      </c>
      <c r="S434" s="47" t="n">
        <f aca="false">R434*L434</f>
        <v>0</v>
      </c>
      <c r="T434" s="47" t="n">
        <f aca="false">R434*J434</f>
        <v>0</v>
      </c>
      <c r="U434" s="47" t="n">
        <f aca="false">R434*K434</f>
        <v>0</v>
      </c>
      <c r="V434" s="0" t="str">
        <f aca="false">IF(COUNTIFS($A$2:A434,A434,$C$2:C434,C434,$D$2:D434,D434)&gt;1,"중복","")</f>
        <v/>
      </c>
      <c r="W434" s="0" t="n">
        <f aca="false">IF(V434="중복",0,N(D434))</f>
        <v>40</v>
      </c>
      <c r="X434" s="0" t="n">
        <f aca="false">IF(COUNTIFS($A$2:A434,A434,$C$2:C434,C434)=1,ABS(SUMIFS(RAW_발주!$D:$D,RAW_발주!$C:$C,A434,RAW_발주!$A:$A,C434)-SUMIFS($W:$W,$A:$A,A434,$C:$C,C434)),0)</f>
        <v>0</v>
      </c>
    </row>
    <row r="435" customFormat="false" ht="15" hidden="false" customHeight="true" outlineLevel="0" collapsed="false">
      <c r="A435" s="45" t="s">
        <v>1664</v>
      </c>
      <c r="B435" s="42" t="str">
        <f aca="false">IF(A435="100","HK",IF(A435="200","CN",IF(A435="300","TW","홀세일")))</f>
        <v>홀세일</v>
      </c>
      <c r="C435" s="45" t="s">
        <v>294</v>
      </c>
      <c r="D435" s="46" t="n">
        <v>40</v>
      </c>
      <c r="E435" s="46" t="n">
        <v>59000</v>
      </c>
      <c r="F435" s="46" t="n">
        <v>12913</v>
      </c>
      <c r="G435" s="42" t="n">
        <v>3.94</v>
      </c>
      <c r="H435" s="42" t="n">
        <v>14.8</v>
      </c>
      <c r="J435" s="46" t="n">
        <f aca="false">IF(N(E435)&gt;0,E435,IF(N(F435)&gt;0,F435*요약!$F$27,0))</f>
        <v>59000</v>
      </c>
      <c r="K435" s="46" t="n">
        <f aca="false">IF(N(F435)&gt;0,F435,IF(N(E435)&gt;0,E435/요약!$F$27,0))</f>
        <v>12913</v>
      </c>
      <c r="L435" s="46" t="n">
        <f aca="false">IF(B435="CN",IF(N(I435)&gt;0,I435*요약!$G$27,K435*(1+요약!$E$27)),IF(N(H435)&gt;0,H435*요약!$G$27,J435*요약!$D$27))</f>
        <v>19536</v>
      </c>
      <c r="M435" s="46" t="n">
        <f aca="false">D435*J435</f>
        <v>2360000</v>
      </c>
      <c r="N435" s="46" t="n">
        <f aca="false">D435*K435</f>
        <v>516520</v>
      </c>
      <c r="O435" s="46" t="n">
        <f aca="false">D435*L435</f>
        <v>781440</v>
      </c>
      <c r="P435" s="42" t="str">
        <f aca="false">TRIM(IF(N(E435)&lt;=0,"택가보정 ","")&amp;IF(N(F435)&lt;=0,"원가보정 ","")&amp;IF(AND(B435&lt;&gt;"CN",N(H435)&lt;=0),"공급가보정 ","")&amp;IF(AND(B435="CN",N(I435)&lt;=0),"중국공급가=원가+마진 ",""))</f>
        <v/>
      </c>
      <c r="Q435" s="47" t="n">
        <f aca="false">IF(SUMIFS($W:$W,$A:$A,A435,$C:$C,C435)=0,0,SUMIFS(RAW_판매펀칭!$K:$K,RAW_판매펀칭!$P:$P,A435,RAW_판매펀칭!$I:$I,C435)*W435/SUMIFS($W:$W,$A:$A,A435,$C:$C,C435))</f>
        <v>0</v>
      </c>
      <c r="R435" s="47" t="n">
        <f aca="false">IF(OR(A435="500",A435="800",A435="810"),0,MAX(W435-Q435,0))</f>
        <v>0</v>
      </c>
      <c r="S435" s="47" t="n">
        <f aca="false">R435*L435</f>
        <v>0</v>
      </c>
      <c r="T435" s="47" t="n">
        <f aca="false">R435*J435</f>
        <v>0</v>
      </c>
      <c r="U435" s="47" t="n">
        <f aca="false">R435*K435</f>
        <v>0</v>
      </c>
      <c r="V435" s="0" t="str">
        <f aca="false">IF(COUNTIFS($A$2:A435,A435,$C$2:C435,C435,$D$2:D435,D435)&gt;1,"중복","")</f>
        <v/>
      </c>
      <c r="W435" s="0" t="n">
        <f aca="false">IF(V435="중복",0,N(D435))</f>
        <v>40</v>
      </c>
      <c r="X435" s="0" t="n">
        <f aca="false">IF(COUNTIFS($A$2:A435,A435,$C$2:C435,C435)=1,ABS(SUMIFS(RAW_발주!$D:$D,RAW_발주!$C:$C,A435,RAW_발주!$A:$A,C435)-SUMIFS($W:$W,$A:$A,A435,$C:$C,C435)),0)</f>
        <v>0</v>
      </c>
    </row>
    <row r="436" customFormat="false" ht="15" hidden="false" customHeight="true" outlineLevel="0" collapsed="false">
      <c r="A436" s="45" t="s">
        <v>1661</v>
      </c>
      <c r="B436" s="42" t="str">
        <f aca="false">IF(A436="100","HK",IF(A436="200","CN",IF(A436="300","TW","홀세일")))</f>
        <v>TW</v>
      </c>
      <c r="C436" s="45" t="s">
        <v>296</v>
      </c>
      <c r="D436" s="46" t="n">
        <v>450</v>
      </c>
      <c r="E436" s="46" t="n">
        <v>69000</v>
      </c>
      <c r="F436" s="46" t="n">
        <v>14300</v>
      </c>
      <c r="G436" s="42" t="n">
        <v>4.61</v>
      </c>
      <c r="H436" s="42" t="n">
        <v>17.3</v>
      </c>
      <c r="J436" s="46" t="n">
        <f aca="false">IF(N(E436)&gt;0,E436,IF(N(F436)&gt;0,F436*요약!$F$27,0))</f>
        <v>69000</v>
      </c>
      <c r="K436" s="46" t="n">
        <f aca="false">IF(N(F436)&gt;0,F436,IF(N(E436)&gt;0,E436/요약!$F$27,0))</f>
        <v>14300</v>
      </c>
      <c r="L436" s="46" t="n">
        <f aca="false">IF(B436="CN",IF(N(I436)&gt;0,I436*요약!$G$27,K436*(1+요약!$E$27)),IF(N(H436)&gt;0,H436*요약!$G$27,J436*요약!$D$27))</f>
        <v>22836</v>
      </c>
      <c r="M436" s="46" t="n">
        <f aca="false">D436*J436</f>
        <v>31050000</v>
      </c>
      <c r="N436" s="46" t="n">
        <f aca="false">D436*K436</f>
        <v>6435000</v>
      </c>
      <c r="O436" s="46" t="n">
        <f aca="false">D436*L436</f>
        <v>10276200</v>
      </c>
      <c r="P436" s="42" t="str">
        <f aca="false">TRIM(IF(N(E436)&lt;=0,"택가보정 ","")&amp;IF(N(F436)&lt;=0,"원가보정 ","")&amp;IF(AND(B436&lt;&gt;"CN",N(H436)&lt;=0),"공급가보정 ","")&amp;IF(AND(B436="CN",N(I436)&lt;=0),"중국공급가=원가+마진 ",""))</f>
        <v/>
      </c>
      <c r="Q436" s="47" t="n">
        <f aca="false">IF(SUMIFS($W:$W,$A:$A,A436,$C:$C,C436)=0,0,SUMIFS(RAW_판매펀칭!$K:$K,RAW_판매펀칭!$P:$P,A436,RAW_판매펀칭!$I:$I,C436)*W436/SUMIFS($W:$W,$A:$A,A436,$C:$C,C436))</f>
        <v>450</v>
      </c>
      <c r="R436" s="47" t="n">
        <f aca="false">IF(OR(A436="500",A436="800",A436="810"),0,MAX(W436-Q436,0))</f>
        <v>0</v>
      </c>
      <c r="S436" s="47" t="n">
        <f aca="false">R436*L436</f>
        <v>0</v>
      </c>
      <c r="T436" s="47" t="n">
        <f aca="false">R436*J436</f>
        <v>0</v>
      </c>
      <c r="U436" s="47" t="n">
        <f aca="false">R436*K436</f>
        <v>0</v>
      </c>
      <c r="V436" s="0" t="str">
        <f aca="false">IF(COUNTIFS($A$2:A436,A436,$C$2:C436,C436,$D$2:D436,D436)&gt;1,"중복","")</f>
        <v/>
      </c>
      <c r="W436" s="0" t="n">
        <f aca="false">IF(V436="중복",0,N(D436))</f>
        <v>450</v>
      </c>
      <c r="X436" s="0" t="n">
        <f aca="false">IF(COUNTIFS($A$2:A436,A436,$C$2:C436,C436)=1,ABS(SUMIFS(RAW_발주!$D:$D,RAW_발주!$C:$C,A436,RAW_발주!$A:$A,C436)-SUMIFS($W:$W,$A:$A,A436,$C:$C,C436)),0)</f>
        <v>0</v>
      </c>
    </row>
    <row r="437" customFormat="false" ht="15" hidden="false" customHeight="true" outlineLevel="0" collapsed="false">
      <c r="A437" s="45" t="s">
        <v>1663</v>
      </c>
      <c r="B437" s="42" t="str">
        <f aca="false">IF(A437="100","HK",IF(A437="200","CN",IF(A437="300","TW","홀세일")))</f>
        <v>홀세일</v>
      </c>
      <c r="C437" s="45" t="s">
        <v>296</v>
      </c>
      <c r="D437" s="46" t="n">
        <v>170</v>
      </c>
      <c r="E437" s="46" t="n">
        <v>69000</v>
      </c>
      <c r="F437" s="46" t="n">
        <v>14300</v>
      </c>
      <c r="G437" s="42" t="n">
        <v>4.61</v>
      </c>
      <c r="H437" s="42" t="n">
        <v>17.3</v>
      </c>
      <c r="J437" s="46" t="n">
        <f aca="false">IF(N(E437)&gt;0,E437,IF(N(F437)&gt;0,F437*요약!$F$27,0))</f>
        <v>69000</v>
      </c>
      <c r="K437" s="46" t="n">
        <f aca="false">IF(N(F437)&gt;0,F437,IF(N(E437)&gt;0,E437/요약!$F$27,0))</f>
        <v>14300</v>
      </c>
      <c r="L437" s="46" t="n">
        <f aca="false">IF(B437="CN",IF(N(I437)&gt;0,I437*요약!$G$27,K437*(1+요약!$E$27)),IF(N(H437)&gt;0,H437*요약!$G$27,J437*요약!$D$27))</f>
        <v>22836</v>
      </c>
      <c r="M437" s="46" t="n">
        <f aca="false">D437*J437</f>
        <v>11730000</v>
      </c>
      <c r="N437" s="46" t="n">
        <f aca="false">D437*K437</f>
        <v>2431000</v>
      </c>
      <c r="O437" s="46" t="n">
        <f aca="false">D437*L437</f>
        <v>3882120</v>
      </c>
      <c r="P437" s="42" t="str">
        <f aca="false">TRIM(IF(N(E437)&lt;=0,"택가보정 ","")&amp;IF(N(F437)&lt;=0,"원가보정 ","")&amp;IF(AND(B437&lt;&gt;"CN",N(H437)&lt;=0),"공급가보정 ","")&amp;IF(AND(B437="CN",N(I437)&lt;=0),"중국공급가=원가+마진 ",""))</f>
        <v/>
      </c>
      <c r="Q437" s="47" t="n">
        <f aca="false">IF(SUMIFS($W:$W,$A:$A,A437,$C:$C,C437)=0,0,SUMIFS(RAW_판매펀칭!$K:$K,RAW_판매펀칭!$P:$P,A437,RAW_판매펀칭!$I:$I,C437)*W437/SUMIFS($W:$W,$A:$A,A437,$C:$C,C437))</f>
        <v>170</v>
      </c>
      <c r="R437" s="47" t="n">
        <f aca="false">IF(OR(A437="500",A437="800",A437="810"),0,MAX(W437-Q437,0))</f>
        <v>0</v>
      </c>
      <c r="S437" s="47" t="n">
        <f aca="false">R437*L437</f>
        <v>0</v>
      </c>
      <c r="T437" s="47" t="n">
        <f aca="false">R437*J437</f>
        <v>0</v>
      </c>
      <c r="U437" s="47" t="n">
        <f aca="false">R437*K437</f>
        <v>0</v>
      </c>
      <c r="V437" s="0" t="str">
        <f aca="false">IF(COUNTIFS($A$2:A437,A437,$C$2:C437,C437,$D$2:D437,D437)&gt;1,"중복","")</f>
        <v/>
      </c>
      <c r="W437" s="0" t="n">
        <f aca="false">IF(V437="중복",0,N(D437))</f>
        <v>170</v>
      </c>
      <c r="X437" s="0" t="n">
        <f aca="false">IF(COUNTIFS($A$2:A437,A437,$C$2:C437,C437)=1,ABS(SUMIFS(RAW_발주!$D:$D,RAW_발주!$C:$C,A437,RAW_발주!$A:$A,C437)-SUMIFS($W:$W,$A:$A,A437,$C:$C,C437)),0)</f>
        <v>0</v>
      </c>
    </row>
    <row r="438" customFormat="false" ht="15" hidden="false" customHeight="true" outlineLevel="0" collapsed="false">
      <c r="A438" s="45" t="s">
        <v>1664</v>
      </c>
      <c r="B438" s="42" t="str">
        <f aca="false">IF(A438="100","HK",IF(A438="200","CN",IF(A438="300","TW","홀세일")))</f>
        <v>홀세일</v>
      </c>
      <c r="C438" s="45" t="s">
        <v>296</v>
      </c>
      <c r="D438" s="46" t="n">
        <v>65</v>
      </c>
      <c r="E438" s="46" t="n">
        <v>69000</v>
      </c>
      <c r="F438" s="46" t="n">
        <v>14300</v>
      </c>
      <c r="G438" s="42" t="n">
        <v>4.61</v>
      </c>
      <c r="H438" s="42" t="n">
        <v>17.3</v>
      </c>
      <c r="J438" s="46" t="n">
        <f aca="false">IF(N(E438)&gt;0,E438,IF(N(F438)&gt;0,F438*요약!$F$27,0))</f>
        <v>69000</v>
      </c>
      <c r="K438" s="46" t="n">
        <f aca="false">IF(N(F438)&gt;0,F438,IF(N(E438)&gt;0,E438/요약!$F$27,0))</f>
        <v>14300</v>
      </c>
      <c r="L438" s="46" t="n">
        <f aca="false">IF(B438="CN",IF(N(I438)&gt;0,I438*요약!$G$27,K438*(1+요약!$E$27)),IF(N(H438)&gt;0,H438*요약!$G$27,J438*요약!$D$27))</f>
        <v>22836</v>
      </c>
      <c r="M438" s="46" t="n">
        <f aca="false">D438*J438</f>
        <v>4485000</v>
      </c>
      <c r="N438" s="46" t="n">
        <f aca="false">D438*K438</f>
        <v>929500</v>
      </c>
      <c r="O438" s="46" t="n">
        <f aca="false">D438*L438</f>
        <v>1484340</v>
      </c>
      <c r="P438" s="42" t="str">
        <f aca="false">TRIM(IF(N(E438)&lt;=0,"택가보정 ","")&amp;IF(N(F438)&lt;=0,"원가보정 ","")&amp;IF(AND(B438&lt;&gt;"CN",N(H438)&lt;=0),"공급가보정 ","")&amp;IF(AND(B438="CN",N(I438)&lt;=0),"중국공급가=원가+마진 ",""))</f>
        <v/>
      </c>
      <c r="Q438" s="47" t="n">
        <f aca="false">IF(SUMIFS($W:$W,$A:$A,A438,$C:$C,C438)=0,0,SUMIFS(RAW_판매펀칭!$K:$K,RAW_판매펀칭!$P:$P,A438,RAW_판매펀칭!$I:$I,C438)*W438/SUMIFS($W:$W,$A:$A,A438,$C:$C,C438))</f>
        <v>0</v>
      </c>
      <c r="R438" s="47" t="n">
        <f aca="false">IF(OR(A438="500",A438="800",A438="810"),0,MAX(W438-Q438,0))</f>
        <v>0</v>
      </c>
      <c r="S438" s="47" t="n">
        <f aca="false">R438*L438</f>
        <v>0</v>
      </c>
      <c r="T438" s="47" t="n">
        <f aca="false">R438*J438</f>
        <v>0</v>
      </c>
      <c r="U438" s="47" t="n">
        <f aca="false">R438*K438</f>
        <v>0</v>
      </c>
      <c r="V438" s="0" t="str">
        <f aca="false">IF(COUNTIFS($A$2:A438,A438,$C$2:C438,C438,$D$2:D438,D438)&gt;1,"중복","")</f>
        <v/>
      </c>
      <c r="W438" s="0" t="n">
        <f aca="false">IF(V438="중복",0,N(D438))</f>
        <v>65</v>
      </c>
      <c r="X438" s="0" t="n">
        <f aca="false">IF(COUNTIFS($A$2:A438,A438,$C$2:C438,C438)=1,ABS(SUMIFS(RAW_발주!$D:$D,RAW_발주!$C:$C,A438,RAW_발주!$A:$A,C438)-SUMIFS($W:$W,$A:$A,A438,$C:$C,C438)),0)</f>
        <v>0</v>
      </c>
    </row>
    <row r="439" customFormat="false" ht="15" hidden="false" customHeight="true" outlineLevel="0" collapsed="false">
      <c r="A439" s="45" t="s">
        <v>1659</v>
      </c>
      <c r="B439" s="42" t="str">
        <f aca="false">IF(A439="100","HK",IF(A439="200","CN",IF(A439="300","TW","홀세일")))</f>
        <v>HK</v>
      </c>
      <c r="C439" s="45" t="s">
        <v>298</v>
      </c>
      <c r="D439" s="46" t="n">
        <v>480</v>
      </c>
      <c r="E439" s="46" t="n">
        <v>59000</v>
      </c>
      <c r="F439" s="46" t="n">
        <v>12100</v>
      </c>
      <c r="G439" s="42" t="n">
        <v>4.06</v>
      </c>
      <c r="H439" s="42" t="n">
        <v>14.8</v>
      </c>
      <c r="J439" s="46" t="n">
        <f aca="false">IF(N(E439)&gt;0,E439,IF(N(F439)&gt;0,F439*요약!$F$27,0))</f>
        <v>59000</v>
      </c>
      <c r="K439" s="46" t="n">
        <f aca="false">IF(N(F439)&gt;0,F439,IF(N(E439)&gt;0,E439/요약!$F$27,0))</f>
        <v>12100</v>
      </c>
      <c r="L439" s="46" t="n">
        <f aca="false">IF(B439="CN",IF(N(I439)&gt;0,I439*요약!$G$27,K439*(1+요약!$E$27)),IF(N(H439)&gt;0,H439*요약!$G$27,J439*요약!$D$27))</f>
        <v>19536</v>
      </c>
      <c r="M439" s="46" t="n">
        <f aca="false">D439*J439</f>
        <v>28320000</v>
      </c>
      <c r="N439" s="46" t="n">
        <f aca="false">D439*K439</f>
        <v>5808000</v>
      </c>
      <c r="O439" s="46" t="n">
        <f aca="false">D439*L439</f>
        <v>9377280</v>
      </c>
      <c r="P439" s="42" t="str">
        <f aca="false">TRIM(IF(N(E439)&lt;=0,"택가보정 ","")&amp;IF(N(F439)&lt;=0,"원가보정 ","")&amp;IF(AND(B439&lt;&gt;"CN",N(H439)&lt;=0),"공급가보정 ","")&amp;IF(AND(B439="CN",N(I439)&lt;=0),"중국공급가=원가+마진 ",""))</f>
        <v/>
      </c>
      <c r="Q439" s="47" t="n">
        <f aca="false">IF(SUMIFS($W:$W,$A:$A,A439,$C:$C,C439)=0,0,SUMIFS(RAW_판매펀칭!$K:$K,RAW_판매펀칭!$P:$P,A439,RAW_판매펀칭!$I:$I,C439)*W439/SUMIFS($W:$W,$A:$A,A439,$C:$C,C439))</f>
        <v>480</v>
      </c>
      <c r="R439" s="47" t="n">
        <f aca="false">IF(OR(A439="500",A439="800",A439="810"),0,MAX(W439-Q439,0))</f>
        <v>0</v>
      </c>
      <c r="S439" s="47" t="n">
        <f aca="false">R439*L439</f>
        <v>0</v>
      </c>
      <c r="T439" s="47" t="n">
        <f aca="false">R439*J439</f>
        <v>0</v>
      </c>
      <c r="U439" s="47" t="n">
        <f aca="false">R439*K439</f>
        <v>0</v>
      </c>
      <c r="V439" s="0" t="str">
        <f aca="false">IF(COUNTIFS($A$2:A439,A439,$C$2:C439,C439,$D$2:D439,D439)&gt;1,"중복","")</f>
        <v/>
      </c>
      <c r="W439" s="0" t="n">
        <f aca="false">IF(V439="중복",0,N(D439))</f>
        <v>480</v>
      </c>
      <c r="X439" s="0" t="n">
        <f aca="false">IF(COUNTIFS($A$2:A439,A439,$C$2:C439,C439)=1,ABS(SUMIFS(RAW_발주!$D:$D,RAW_발주!$C:$C,A439,RAW_발주!$A:$A,C439)-SUMIFS($W:$W,$A:$A,A439,$C:$C,C439)),0)</f>
        <v>0</v>
      </c>
    </row>
    <row r="440" customFormat="false" ht="15" hidden="false" customHeight="true" outlineLevel="0" collapsed="false">
      <c r="A440" s="45" t="s">
        <v>1661</v>
      </c>
      <c r="B440" s="42" t="str">
        <f aca="false">IF(A440="100","HK",IF(A440="200","CN",IF(A440="300","TW","홀세일")))</f>
        <v>TW</v>
      </c>
      <c r="C440" s="45" t="s">
        <v>298</v>
      </c>
      <c r="D440" s="46" t="n">
        <v>580</v>
      </c>
      <c r="E440" s="46" t="n">
        <v>59000</v>
      </c>
      <c r="F440" s="46" t="n">
        <v>12100</v>
      </c>
      <c r="G440" s="42" t="n">
        <v>4.06</v>
      </c>
      <c r="H440" s="42" t="n">
        <v>14.8</v>
      </c>
      <c r="J440" s="46" t="n">
        <f aca="false">IF(N(E440)&gt;0,E440,IF(N(F440)&gt;0,F440*요약!$F$27,0))</f>
        <v>59000</v>
      </c>
      <c r="K440" s="46" t="n">
        <f aca="false">IF(N(F440)&gt;0,F440,IF(N(E440)&gt;0,E440/요약!$F$27,0))</f>
        <v>12100</v>
      </c>
      <c r="L440" s="46" t="n">
        <f aca="false">IF(B440="CN",IF(N(I440)&gt;0,I440*요약!$G$27,K440*(1+요약!$E$27)),IF(N(H440)&gt;0,H440*요약!$G$27,J440*요약!$D$27))</f>
        <v>19536</v>
      </c>
      <c r="M440" s="46" t="n">
        <f aca="false">D440*J440</f>
        <v>34220000</v>
      </c>
      <c r="N440" s="46" t="n">
        <f aca="false">D440*K440</f>
        <v>7018000</v>
      </c>
      <c r="O440" s="46" t="n">
        <f aca="false">D440*L440</f>
        <v>11330880</v>
      </c>
      <c r="P440" s="42" t="str">
        <f aca="false">TRIM(IF(N(E440)&lt;=0,"택가보정 ","")&amp;IF(N(F440)&lt;=0,"원가보정 ","")&amp;IF(AND(B440&lt;&gt;"CN",N(H440)&lt;=0),"공급가보정 ","")&amp;IF(AND(B440="CN",N(I440)&lt;=0),"중국공급가=원가+마진 ",""))</f>
        <v/>
      </c>
      <c r="Q440" s="47" t="n">
        <f aca="false">IF(SUMIFS($W:$W,$A:$A,A440,$C:$C,C440)=0,0,SUMIFS(RAW_판매펀칭!$K:$K,RAW_판매펀칭!$P:$P,A440,RAW_판매펀칭!$I:$I,C440)*W440/SUMIFS($W:$W,$A:$A,A440,$C:$C,C440))</f>
        <v>580</v>
      </c>
      <c r="R440" s="47" t="n">
        <f aca="false">IF(OR(A440="500",A440="800",A440="810"),0,MAX(W440-Q440,0))</f>
        <v>0</v>
      </c>
      <c r="S440" s="47" t="n">
        <f aca="false">R440*L440</f>
        <v>0</v>
      </c>
      <c r="T440" s="47" t="n">
        <f aca="false">R440*J440</f>
        <v>0</v>
      </c>
      <c r="U440" s="47" t="n">
        <f aca="false">R440*K440</f>
        <v>0</v>
      </c>
      <c r="V440" s="0" t="str">
        <f aca="false">IF(COUNTIFS($A$2:A440,A440,$C$2:C440,C440,$D$2:D440,D440)&gt;1,"중복","")</f>
        <v/>
      </c>
      <c r="W440" s="0" t="n">
        <f aca="false">IF(V440="중복",0,N(D440))</f>
        <v>580</v>
      </c>
      <c r="X440" s="0" t="n">
        <f aca="false">IF(COUNTIFS($A$2:A440,A440,$C$2:C440,C440)=1,ABS(SUMIFS(RAW_발주!$D:$D,RAW_발주!$C:$C,A440,RAW_발주!$A:$A,C440)-SUMIFS($W:$W,$A:$A,A440,$C:$C,C440)),0)</f>
        <v>0</v>
      </c>
    </row>
    <row r="441" customFormat="false" ht="15" hidden="false" customHeight="true" outlineLevel="0" collapsed="false">
      <c r="A441" s="45" t="s">
        <v>1663</v>
      </c>
      <c r="B441" s="42" t="str">
        <f aca="false">IF(A441="100","HK",IF(A441="200","CN",IF(A441="300","TW","홀세일")))</f>
        <v>홀세일</v>
      </c>
      <c r="C441" s="45" t="s">
        <v>298</v>
      </c>
      <c r="D441" s="46" t="n">
        <v>135</v>
      </c>
      <c r="E441" s="46" t="n">
        <v>59000</v>
      </c>
      <c r="F441" s="46" t="n">
        <v>12100</v>
      </c>
      <c r="G441" s="42" t="n">
        <v>4.06</v>
      </c>
      <c r="H441" s="42" t="n">
        <v>14.8</v>
      </c>
      <c r="J441" s="46" t="n">
        <f aca="false">IF(N(E441)&gt;0,E441,IF(N(F441)&gt;0,F441*요약!$F$27,0))</f>
        <v>59000</v>
      </c>
      <c r="K441" s="46" t="n">
        <f aca="false">IF(N(F441)&gt;0,F441,IF(N(E441)&gt;0,E441/요약!$F$27,0))</f>
        <v>12100</v>
      </c>
      <c r="L441" s="46" t="n">
        <f aca="false">IF(B441="CN",IF(N(I441)&gt;0,I441*요약!$G$27,K441*(1+요약!$E$27)),IF(N(H441)&gt;0,H441*요약!$G$27,J441*요약!$D$27))</f>
        <v>19536</v>
      </c>
      <c r="M441" s="46" t="n">
        <f aca="false">D441*J441</f>
        <v>7965000</v>
      </c>
      <c r="N441" s="46" t="n">
        <f aca="false">D441*K441</f>
        <v>1633500</v>
      </c>
      <c r="O441" s="46" t="n">
        <f aca="false">D441*L441</f>
        <v>2637360</v>
      </c>
      <c r="P441" s="42" t="str">
        <f aca="false">TRIM(IF(N(E441)&lt;=0,"택가보정 ","")&amp;IF(N(F441)&lt;=0,"원가보정 ","")&amp;IF(AND(B441&lt;&gt;"CN",N(H441)&lt;=0),"공급가보정 ","")&amp;IF(AND(B441="CN",N(I441)&lt;=0),"중국공급가=원가+마진 ",""))</f>
        <v/>
      </c>
      <c r="Q441" s="47" t="n">
        <f aca="false">IF(SUMIFS($W:$W,$A:$A,A441,$C:$C,C441)=0,0,SUMIFS(RAW_판매펀칭!$K:$K,RAW_판매펀칭!$P:$P,A441,RAW_판매펀칭!$I:$I,C441)*W441/SUMIFS($W:$W,$A:$A,A441,$C:$C,C441))</f>
        <v>135</v>
      </c>
      <c r="R441" s="47" t="n">
        <f aca="false">IF(OR(A441="500",A441="800",A441="810"),0,MAX(W441-Q441,0))</f>
        <v>0</v>
      </c>
      <c r="S441" s="47" t="n">
        <f aca="false">R441*L441</f>
        <v>0</v>
      </c>
      <c r="T441" s="47" t="n">
        <f aca="false">R441*J441</f>
        <v>0</v>
      </c>
      <c r="U441" s="47" t="n">
        <f aca="false">R441*K441</f>
        <v>0</v>
      </c>
      <c r="V441" s="0" t="str">
        <f aca="false">IF(COUNTIFS($A$2:A441,A441,$C$2:C441,C441,$D$2:D441,D441)&gt;1,"중복","")</f>
        <v/>
      </c>
      <c r="W441" s="0" t="n">
        <f aca="false">IF(V441="중복",0,N(D441))</f>
        <v>135</v>
      </c>
      <c r="X441" s="0" t="n">
        <f aca="false">IF(COUNTIFS($A$2:A441,A441,$C$2:C441,C441)=1,ABS(SUMIFS(RAW_발주!$D:$D,RAW_발주!$C:$C,A441,RAW_발주!$A:$A,C441)-SUMIFS($W:$W,$A:$A,A441,$C:$C,C441)),0)</f>
        <v>0</v>
      </c>
    </row>
    <row r="442" customFormat="false" ht="15" hidden="false" customHeight="true" outlineLevel="0" collapsed="false">
      <c r="A442" s="45" t="s">
        <v>1659</v>
      </c>
      <c r="B442" s="42" t="str">
        <f aca="false">IF(A442="100","HK",IF(A442="200","CN",IF(A442="300","TW","홀세일")))</f>
        <v>HK</v>
      </c>
      <c r="C442" s="45" t="s">
        <v>300</v>
      </c>
      <c r="D442" s="46" t="n">
        <v>720</v>
      </c>
      <c r="E442" s="46" t="n">
        <v>69000</v>
      </c>
      <c r="F442" s="46" t="n">
        <v>13700</v>
      </c>
      <c r="G442" s="42" t="n">
        <v>4.39</v>
      </c>
      <c r="H442" s="42" t="n">
        <v>17.3</v>
      </c>
      <c r="J442" s="46" t="n">
        <f aca="false">IF(N(E442)&gt;0,E442,IF(N(F442)&gt;0,F442*요약!$F$27,0))</f>
        <v>69000</v>
      </c>
      <c r="K442" s="46" t="n">
        <f aca="false">IF(N(F442)&gt;0,F442,IF(N(E442)&gt;0,E442/요약!$F$27,0))</f>
        <v>13700</v>
      </c>
      <c r="L442" s="46" t="n">
        <f aca="false">IF(B442="CN",IF(N(I442)&gt;0,I442*요약!$G$27,K442*(1+요약!$E$27)),IF(N(H442)&gt;0,H442*요약!$G$27,J442*요약!$D$27))</f>
        <v>22836</v>
      </c>
      <c r="M442" s="46" t="n">
        <f aca="false">D442*J442</f>
        <v>49680000</v>
      </c>
      <c r="N442" s="46" t="n">
        <f aca="false">D442*K442</f>
        <v>9864000</v>
      </c>
      <c r="O442" s="46" t="n">
        <f aca="false">D442*L442</f>
        <v>16441920</v>
      </c>
      <c r="P442" s="42" t="str">
        <f aca="false">TRIM(IF(N(E442)&lt;=0,"택가보정 ","")&amp;IF(N(F442)&lt;=0,"원가보정 ","")&amp;IF(AND(B442&lt;&gt;"CN",N(H442)&lt;=0),"공급가보정 ","")&amp;IF(AND(B442="CN",N(I442)&lt;=0),"중국공급가=원가+마진 ",""))</f>
        <v/>
      </c>
      <c r="Q442" s="47" t="n">
        <f aca="false">IF(SUMIFS($W:$W,$A:$A,A442,$C:$C,C442)=0,0,SUMIFS(RAW_판매펀칭!$K:$K,RAW_판매펀칭!$P:$P,A442,RAW_판매펀칭!$I:$I,C442)*W442/SUMIFS($W:$W,$A:$A,A442,$C:$C,C442))</f>
        <v>720</v>
      </c>
      <c r="R442" s="47" t="n">
        <f aca="false">IF(OR(A442="500",A442="800",A442="810"),0,MAX(W442-Q442,0))</f>
        <v>0</v>
      </c>
      <c r="S442" s="47" t="n">
        <f aca="false">R442*L442</f>
        <v>0</v>
      </c>
      <c r="T442" s="47" t="n">
        <f aca="false">R442*J442</f>
        <v>0</v>
      </c>
      <c r="U442" s="47" t="n">
        <f aca="false">R442*K442</f>
        <v>0</v>
      </c>
      <c r="V442" s="0" t="str">
        <f aca="false">IF(COUNTIFS($A$2:A442,A442,$C$2:C442,C442,$D$2:D442,D442)&gt;1,"중복","")</f>
        <v/>
      </c>
      <c r="W442" s="0" t="n">
        <f aca="false">IF(V442="중복",0,N(D442))</f>
        <v>720</v>
      </c>
      <c r="X442" s="0" t="n">
        <f aca="false">IF(COUNTIFS($A$2:A442,A442,$C$2:C442,C442)=1,ABS(SUMIFS(RAW_발주!$D:$D,RAW_발주!$C:$C,A442,RAW_발주!$A:$A,C442)-SUMIFS($W:$W,$A:$A,A442,$C:$C,C442)),0)</f>
        <v>0</v>
      </c>
    </row>
    <row r="443" customFormat="false" ht="15" hidden="false" customHeight="true" outlineLevel="0" collapsed="false">
      <c r="A443" s="45" t="s">
        <v>1661</v>
      </c>
      <c r="B443" s="42" t="str">
        <f aca="false">IF(A443="100","HK",IF(A443="200","CN",IF(A443="300","TW","홀세일")))</f>
        <v>TW</v>
      </c>
      <c r="C443" s="45" t="s">
        <v>300</v>
      </c>
      <c r="D443" s="46" t="n">
        <v>700</v>
      </c>
      <c r="E443" s="46" t="n">
        <v>69000</v>
      </c>
      <c r="F443" s="46" t="n">
        <v>13700</v>
      </c>
      <c r="G443" s="42" t="n">
        <v>4.39</v>
      </c>
      <c r="H443" s="42" t="n">
        <v>17.3</v>
      </c>
      <c r="J443" s="46" t="n">
        <f aca="false">IF(N(E443)&gt;0,E443,IF(N(F443)&gt;0,F443*요약!$F$27,0))</f>
        <v>69000</v>
      </c>
      <c r="K443" s="46" t="n">
        <f aca="false">IF(N(F443)&gt;0,F443,IF(N(E443)&gt;0,E443/요약!$F$27,0))</f>
        <v>13700</v>
      </c>
      <c r="L443" s="46" t="n">
        <f aca="false">IF(B443="CN",IF(N(I443)&gt;0,I443*요약!$G$27,K443*(1+요약!$E$27)),IF(N(H443)&gt;0,H443*요약!$G$27,J443*요약!$D$27))</f>
        <v>22836</v>
      </c>
      <c r="M443" s="46" t="n">
        <f aca="false">D443*J443</f>
        <v>48300000</v>
      </c>
      <c r="N443" s="46" t="n">
        <f aca="false">D443*K443</f>
        <v>9590000</v>
      </c>
      <c r="O443" s="46" t="n">
        <f aca="false">D443*L443</f>
        <v>15985200</v>
      </c>
      <c r="P443" s="42" t="str">
        <f aca="false">TRIM(IF(N(E443)&lt;=0,"택가보정 ","")&amp;IF(N(F443)&lt;=0,"원가보정 ","")&amp;IF(AND(B443&lt;&gt;"CN",N(H443)&lt;=0),"공급가보정 ","")&amp;IF(AND(B443="CN",N(I443)&lt;=0),"중국공급가=원가+마진 ",""))</f>
        <v/>
      </c>
      <c r="Q443" s="47" t="n">
        <f aca="false">IF(SUMIFS($W:$W,$A:$A,A443,$C:$C,C443)=0,0,SUMIFS(RAW_판매펀칭!$K:$K,RAW_판매펀칭!$P:$P,A443,RAW_판매펀칭!$I:$I,C443)*W443/SUMIFS($W:$W,$A:$A,A443,$C:$C,C443))</f>
        <v>700</v>
      </c>
      <c r="R443" s="47" t="n">
        <f aca="false">IF(OR(A443="500",A443="800",A443="810"),0,MAX(W443-Q443,0))</f>
        <v>0</v>
      </c>
      <c r="S443" s="47" t="n">
        <f aca="false">R443*L443</f>
        <v>0</v>
      </c>
      <c r="T443" s="47" t="n">
        <f aca="false">R443*J443</f>
        <v>0</v>
      </c>
      <c r="U443" s="47" t="n">
        <f aca="false">R443*K443</f>
        <v>0</v>
      </c>
      <c r="V443" s="0" t="str">
        <f aca="false">IF(COUNTIFS($A$2:A443,A443,$C$2:C443,C443,$D$2:D443,D443)&gt;1,"중복","")</f>
        <v/>
      </c>
      <c r="W443" s="0" t="n">
        <f aca="false">IF(V443="중복",0,N(D443))</f>
        <v>700</v>
      </c>
      <c r="X443" s="0" t="n">
        <f aca="false">IF(COUNTIFS($A$2:A443,A443,$C$2:C443,C443)=1,ABS(SUMIFS(RAW_발주!$D:$D,RAW_발주!$C:$C,A443,RAW_발주!$A:$A,C443)-SUMIFS($W:$W,$A:$A,A443,$C:$C,C443)),0)</f>
        <v>0</v>
      </c>
    </row>
    <row r="444" customFormat="false" ht="15" hidden="false" customHeight="true" outlineLevel="0" collapsed="false">
      <c r="A444" s="45" t="s">
        <v>1663</v>
      </c>
      <c r="B444" s="42" t="str">
        <f aca="false">IF(A444="100","HK",IF(A444="200","CN",IF(A444="300","TW","홀세일")))</f>
        <v>홀세일</v>
      </c>
      <c r="C444" s="45" t="s">
        <v>300</v>
      </c>
      <c r="D444" s="46" t="n">
        <v>205</v>
      </c>
      <c r="E444" s="46" t="n">
        <v>69000</v>
      </c>
      <c r="F444" s="46" t="n">
        <v>13700</v>
      </c>
      <c r="G444" s="42" t="n">
        <v>4.39</v>
      </c>
      <c r="H444" s="42" t="n">
        <v>17.3</v>
      </c>
      <c r="J444" s="46" t="n">
        <f aca="false">IF(N(E444)&gt;0,E444,IF(N(F444)&gt;0,F444*요약!$F$27,0))</f>
        <v>69000</v>
      </c>
      <c r="K444" s="46" t="n">
        <f aca="false">IF(N(F444)&gt;0,F444,IF(N(E444)&gt;0,E444/요약!$F$27,0))</f>
        <v>13700</v>
      </c>
      <c r="L444" s="46" t="n">
        <f aca="false">IF(B444="CN",IF(N(I444)&gt;0,I444*요약!$G$27,K444*(1+요약!$E$27)),IF(N(H444)&gt;0,H444*요약!$G$27,J444*요약!$D$27))</f>
        <v>22836</v>
      </c>
      <c r="M444" s="46" t="n">
        <f aca="false">D444*J444</f>
        <v>14145000</v>
      </c>
      <c r="N444" s="46" t="n">
        <f aca="false">D444*K444</f>
        <v>2808500</v>
      </c>
      <c r="O444" s="46" t="n">
        <f aca="false">D444*L444</f>
        <v>4681380</v>
      </c>
      <c r="P444" s="42" t="str">
        <f aca="false">TRIM(IF(N(E444)&lt;=0,"택가보정 ","")&amp;IF(N(F444)&lt;=0,"원가보정 ","")&amp;IF(AND(B444&lt;&gt;"CN",N(H444)&lt;=0),"공급가보정 ","")&amp;IF(AND(B444="CN",N(I444)&lt;=0),"중국공급가=원가+마진 ",""))</f>
        <v/>
      </c>
      <c r="Q444" s="47" t="n">
        <f aca="false">IF(SUMIFS($W:$W,$A:$A,A444,$C:$C,C444)=0,0,SUMIFS(RAW_판매펀칭!$K:$K,RAW_판매펀칭!$P:$P,A444,RAW_판매펀칭!$I:$I,C444)*W444/SUMIFS($W:$W,$A:$A,A444,$C:$C,C444))</f>
        <v>205</v>
      </c>
      <c r="R444" s="47" t="n">
        <f aca="false">IF(OR(A444="500",A444="800",A444="810"),0,MAX(W444-Q444,0))</f>
        <v>0</v>
      </c>
      <c r="S444" s="47" t="n">
        <f aca="false">R444*L444</f>
        <v>0</v>
      </c>
      <c r="T444" s="47" t="n">
        <f aca="false">R444*J444</f>
        <v>0</v>
      </c>
      <c r="U444" s="47" t="n">
        <f aca="false">R444*K444</f>
        <v>0</v>
      </c>
      <c r="V444" s="0" t="str">
        <f aca="false">IF(COUNTIFS($A$2:A444,A444,$C$2:C444,C444,$D$2:D444,D444)&gt;1,"중복","")</f>
        <v/>
      </c>
      <c r="W444" s="0" t="n">
        <f aca="false">IF(V444="중복",0,N(D444))</f>
        <v>205</v>
      </c>
      <c r="X444" s="0" t="n">
        <f aca="false">IF(COUNTIFS($A$2:A444,A444,$C$2:C444,C444)=1,ABS(SUMIFS(RAW_발주!$D:$D,RAW_발주!$C:$C,A444,RAW_발주!$A:$A,C444)-SUMIFS($W:$W,$A:$A,A444,$C:$C,C444)),0)</f>
        <v>0</v>
      </c>
    </row>
    <row r="445" customFormat="false" ht="15" hidden="false" customHeight="true" outlineLevel="0" collapsed="false">
      <c r="A445" s="45" t="s">
        <v>1667</v>
      </c>
      <c r="B445" s="42" t="str">
        <f aca="false">IF(A445="100","HK",IF(A445="200","CN",IF(A445="300","TW","홀세일")))</f>
        <v>홀세일</v>
      </c>
      <c r="C445" s="45" t="s">
        <v>300</v>
      </c>
      <c r="D445" s="46" t="n">
        <v>56</v>
      </c>
      <c r="E445" s="46" t="n">
        <v>69000</v>
      </c>
      <c r="F445" s="46" t="n">
        <v>13700</v>
      </c>
      <c r="G445" s="42" t="n">
        <v>4.39</v>
      </c>
      <c r="H445" s="42" t="n">
        <v>17.3</v>
      </c>
      <c r="J445" s="46" t="n">
        <f aca="false">IF(N(E445)&gt;0,E445,IF(N(F445)&gt;0,F445*요약!$F$27,0))</f>
        <v>69000</v>
      </c>
      <c r="K445" s="46" t="n">
        <f aca="false">IF(N(F445)&gt;0,F445,IF(N(E445)&gt;0,E445/요약!$F$27,0))</f>
        <v>13700</v>
      </c>
      <c r="L445" s="46" t="n">
        <f aca="false">IF(B445="CN",IF(N(I445)&gt;0,I445*요약!$G$27,K445*(1+요약!$E$27)),IF(N(H445)&gt;0,H445*요약!$G$27,J445*요약!$D$27))</f>
        <v>22836</v>
      </c>
      <c r="M445" s="46" t="n">
        <f aca="false">D445*J445</f>
        <v>3864000</v>
      </c>
      <c r="N445" s="46" t="n">
        <f aca="false">D445*K445</f>
        <v>767200</v>
      </c>
      <c r="O445" s="46" t="n">
        <f aca="false">D445*L445</f>
        <v>1278816</v>
      </c>
      <c r="P445" s="42" t="str">
        <f aca="false">TRIM(IF(N(E445)&lt;=0,"택가보정 ","")&amp;IF(N(F445)&lt;=0,"원가보정 ","")&amp;IF(AND(B445&lt;&gt;"CN",N(H445)&lt;=0),"공급가보정 ","")&amp;IF(AND(B445="CN",N(I445)&lt;=0),"중국공급가=원가+마진 ",""))</f>
        <v/>
      </c>
      <c r="Q445" s="47" t="n">
        <f aca="false">IF(SUMIFS($W:$W,$A:$A,A445,$C:$C,C445)=0,0,SUMIFS(RAW_판매펀칭!$K:$K,RAW_판매펀칭!$P:$P,A445,RAW_판매펀칭!$I:$I,C445)*W445/SUMIFS($W:$W,$A:$A,A445,$C:$C,C445))</f>
        <v>56</v>
      </c>
      <c r="R445" s="47" t="n">
        <f aca="false">IF(OR(A445="500",A445="800",A445="810"),0,MAX(W445-Q445,0))</f>
        <v>0</v>
      </c>
      <c r="S445" s="47" t="n">
        <f aca="false">R445*L445</f>
        <v>0</v>
      </c>
      <c r="T445" s="47" t="n">
        <f aca="false">R445*J445</f>
        <v>0</v>
      </c>
      <c r="U445" s="47" t="n">
        <f aca="false">R445*K445</f>
        <v>0</v>
      </c>
      <c r="V445" s="0" t="str">
        <f aca="false">IF(COUNTIFS($A$2:A445,A445,$C$2:C445,C445,$D$2:D445,D445)&gt;1,"중복","")</f>
        <v/>
      </c>
      <c r="W445" s="0" t="n">
        <f aca="false">IF(V445="중복",0,N(D445))</f>
        <v>56</v>
      </c>
      <c r="X445" s="0" t="n">
        <f aca="false">IF(COUNTIFS($A$2:A445,A445,$C$2:C445,C445)=1,ABS(SUMIFS(RAW_발주!$D:$D,RAW_발주!$C:$C,A445,RAW_발주!$A:$A,C445)-SUMIFS($W:$W,$A:$A,A445,$C:$C,C445)),0)</f>
        <v>0</v>
      </c>
    </row>
    <row r="446" customFormat="false" ht="15" hidden="false" customHeight="true" outlineLevel="0" collapsed="false">
      <c r="A446" s="45" t="s">
        <v>1664</v>
      </c>
      <c r="B446" s="42" t="str">
        <f aca="false">IF(A446="100","HK",IF(A446="200","CN",IF(A446="300","TW","홀세일")))</f>
        <v>홀세일</v>
      </c>
      <c r="C446" s="45" t="s">
        <v>300</v>
      </c>
      <c r="D446" s="46" t="n">
        <v>65</v>
      </c>
      <c r="E446" s="46" t="n">
        <v>69000</v>
      </c>
      <c r="F446" s="46" t="n">
        <v>13700</v>
      </c>
      <c r="G446" s="42" t="n">
        <v>4.39</v>
      </c>
      <c r="H446" s="42" t="n">
        <v>17.3</v>
      </c>
      <c r="J446" s="46" t="n">
        <f aca="false">IF(N(E446)&gt;0,E446,IF(N(F446)&gt;0,F446*요약!$F$27,0))</f>
        <v>69000</v>
      </c>
      <c r="K446" s="46" t="n">
        <f aca="false">IF(N(F446)&gt;0,F446,IF(N(E446)&gt;0,E446/요약!$F$27,0))</f>
        <v>13700</v>
      </c>
      <c r="L446" s="46" t="n">
        <f aca="false">IF(B446="CN",IF(N(I446)&gt;0,I446*요약!$G$27,K446*(1+요약!$E$27)),IF(N(H446)&gt;0,H446*요약!$G$27,J446*요약!$D$27))</f>
        <v>22836</v>
      </c>
      <c r="M446" s="46" t="n">
        <f aca="false">D446*J446</f>
        <v>4485000</v>
      </c>
      <c r="N446" s="46" t="n">
        <f aca="false">D446*K446</f>
        <v>890500</v>
      </c>
      <c r="O446" s="46" t="n">
        <f aca="false">D446*L446</f>
        <v>1484340</v>
      </c>
      <c r="P446" s="42" t="str">
        <f aca="false">TRIM(IF(N(E446)&lt;=0,"택가보정 ","")&amp;IF(N(F446)&lt;=0,"원가보정 ","")&amp;IF(AND(B446&lt;&gt;"CN",N(H446)&lt;=0),"공급가보정 ","")&amp;IF(AND(B446="CN",N(I446)&lt;=0),"중국공급가=원가+마진 ",""))</f>
        <v/>
      </c>
      <c r="Q446" s="47" t="n">
        <f aca="false">IF(SUMIFS($W:$W,$A:$A,A446,$C:$C,C446)=0,0,SUMIFS(RAW_판매펀칭!$K:$K,RAW_판매펀칭!$P:$P,A446,RAW_판매펀칭!$I:$I,C446)*W446/SUMIFS($W:$W,$A:$A,A446,$C:$C,C446))</f>
        <v>0</v>
      </c>
      <c r="R446" s="47" t="n">
        <f aca="false">IF(OR(A446="500",A446="800",A446="810"),0,MAX(W446-Q446,0))</f>
        <v>0</v>
      </c>
      <c r="S446" s="47" t="n">
        <f aca="false">R446*L446</f>
        <v>0</v>
      </c>
      <c r="T446" s="47" t="n">
        <f aca="false">R446*J446</f>
        <v>0</v>
      </c>
      <c r="U446" s="47" t="n">
        <f aca="false">R446*K446</f>
        <v>0</v>
      </c>
      <c r="V446" s="0" t="str">
        <f aca="false">IF(COUNTIFS($A$2:A446,A446,$C$2:C446,C446,$D$2:D446,D446)&gt;1,"중복","")</f>
        <v/>
      </c>
      <c r="W446" s="0" t="n">
        <f aca="false">IF(V446="중복",0,N(D446))</f>
        <v>65</v>
      </c>
      <c r="X446" s="0" t="n">
        <f aca="false">IF(COUNTIFS($A$2:A446,A446,$C$2:C446,C446)=1,ABS(SUMIFS(RAW_발주!$D:$D,RAW_발주!$C:$C,A446,RAW_발주!$A:$A,C446)-SUMIFS($W:$W,$A:$A,A446,$C:$C,C446)),0)</f>
        <v>0</v>
      </c>
    </row>
    <row r="447" customFormat="false" ht="15" hidden="false" customHeight="true" outlineLevel="0" collapsed="false">
      <c r="A447" s="45" t="s">
        <v>1659</v>
      </c>
      <c r="B447" s="42" t="str">
        <f aca="false">IF(A447="100","HK",IF(A447="200","CN",IF(A447="300","TW","홀세일")))</f>
        <v>HK</v>
      </c>
      <c r="C447" s="45" t="s">
        <v>302</v>
      </c>
      <c r="D447" s="46" t="n">
        <v>720</v>
      </c>
      <c r="E447" s="46" t="n">
        <v>69000</v>
      </c>
      <c r="F447" s="46" t="n">
        <v>14115</v>
      </c>
      <c r="G447" s="42" t="n">
        <v>4.48</v>
      </c>
      <c r="H447" s="42" t="n">
        <v>17.3</v>
      </c>
      <c r="J447" s="46" t="n">
        <f aca="false">IF(N(E447)&gt;0,E447,IF(N(F447)&gt;0,F447*요약!$F$27,0))</f>
        <v>69000</v>
      </c>
      <c r="K447" s="46" t="n">
        <f aca="false">IF(N(F447)&gt;0,F447,IF(N(E447)&gt;0,E447/요약!$F$27,0))</f>
        <v>14115</v>
      </c>
      <c r="L447" s="46" t="n">
        <f aca="false">IF(B447="CN",IF(N(I447)&gt;0,I447*요약!$G$27,K447*(1+요약!$E$27)),IF(N(H447)&gt;0,H447*요약!$G$27,J447*요약!$D$27))</f>
        <v>22836</v>
      </c>
      <c r="M447" s="46" t="n">
        <f aca="false">D447*J447</f>
        <v>49680000</v>
      </c>
      <c r="N447" s="46" t="n">
        <f aca="false">D447*K447</f>
        <v>10162800</v>
      </c>
      <c r="O447" s="46" t="n">
        <f aca="false">D447*L447</f>
        <v>16441920</v>
      </c>
      <c r="P447" s="42" t="str">
        <f aca="false">TRIM(IF(N(E447)&lt;=0,"택가보정 ","")&amp;IF(N(F447)&lt;=0,"원가보정 ","")&amp;IF(AND(B447&lt;&gt;"CN",N(H447)&lt;=0),"공급가보정 ","")&amp;IF(AND(B447="CN",N(I447)&lt;=0),"중국공급가=원가+마진 ",""))</f>
        <v/>
      </c>
      <c r="Q447" s="47" t="n">
        <f aca="false">IF(SUMIFS($W:$W,$A:$A,A447,$C:$C,C447)=0,0,SUMIFS(RAW_판매펀칭!$K:$K,RAW_판매펀칭!$P:$P,A447,RAW_판매펀칭!$I:$I,C447)*W447/SUMIFS($W:$W,$A:$A,A447,$C:$C,C447))</f>
        <v>720</v>
      </c>
      <c r="R447" s="47" t="n">
        <f aca="false">IF(OR(A447="500",A447="800",A447="810"),0,MAX(W447-Q447,0))</f>
        <v>0</v>
      </c>
      <c r="S447" s="47" t="n">
        <f aca="false">R447*L447</f>
        <v>0</v>
      </c>
      <c r="T447" s="47" t="n">
        <f aca="false">R447*J447</f>
        <v>0</v>
      </c>
      <c r="U447" s="47" t="n">
        <f aca="false">R447*K447</f>
        <v>0</v>
      </c>
      <c r="V447" s="0" t="str">
        <f aca="false">IF(COUNTIFS($A$2:A447,A447,$C$2:C447,C447,$D$2:D447,D447)&gt;1,"중복","")</f>
        <v/>
      </c>
      <c r="W447" s="0" t="n">
        <f aca="false">IF(V447="중복",0,N(D447))</f>
        <v>720</v>
      </c>
      <c r="X447" s="0" t="n">
        <f aca="false">IF(COUNTIFS($A$2:A447,A447,$C$2:C447,C447)=1,ABS(SUMIFS(RAW_발주!$D:$D,RAW_발주!$C:$C,A447,RAW_발주!$A:$A,C447)-SUMIFS($W:$W,$A:$A,A447,$C:$C,C447)),0)</f>
        <v>0</v>
      </c>
    </row>
    <row r="448" customFormat="false" ht="15.75" hidden="false" customHeight="true" outlineLevel="0" collapsed="false">
      <c r="A448" s="45" t="s">
        <v>1660</v>
      </c>
      <c r="B448" s="42" t="str">
        <f aca="false">IF(A448="100","HK",IF(A448="200","CN",IF(A448="300","TW","홀세일")))</f>
        <v>CN</v>
      </c>
      <c r="C448" s="45" t="s">
        <v>302</v>
      </c>
      <c r="D448" s="46" t="n">
        <v>242</v>
      </c>
      <c r="E448" s="46" t="n">
        <v>69000</v>
      </c>
      <c r="F448" s="46" t="n">
        <v>14115</v>
      </c>
      <c r="G448" s="42" t="n">
        <v>4.48</v>
      </c>
      <c r="H448" s="42" t="n">
        <v>17.3</v>
      </c>
      <c r="J448" s="46" t="n">
        <f aca="false">IF(N(E448)&gt;0,E448,IF(N(F448)&gt;0,F448*요약!$F$27,0))</f>
        <v>69000</v>
      </c>
      <c r="K448" s="46" t="n">
        <f aca="false">IF(N(F448)&gt;0,F448,IF(N(E448)&gt;0,E448/요약!$F$27,0))</f>
        <v>14115</v>
      </c>
      <c r="L448" s="46" t="n">
        <f aca="false">IF(B448="CN",IF(N(I448)&gt;0,I448*요약!$G$27,K448*(1+요약!$E$27)),IF(N(H448)&gt;0,H448*요약!$G$27,J448*요약!$D$27))</f>
        <v>14820.75</v>
      </c>
      <c r="M448" s="46" t="n">
        <f aca="false">D448*J448</f>
        <v>16698000</v>
      </c>
      <c r="N448" s="46" t="n">
        <f aca="false">D448*K448</f>
        <v>3415830</v>
      </c>
      <c r="O448" s="46" t="n">
        <f aca="false">D448*L448</f>
        <v>3586621.5</v>
      </c>
      <c r="P448" s="42" t="str">
        <f aca="false">TRIM(IF(N(E448)&lt;=0,"택가보정 ","")&amp;IF(N(F448)&lt;=0,"원가보정 ","")&amp;IF(AND(B448&lt;&gt;"CN",N(H448)&lt;=0),"공급가보정 ","")&amp;IF(AND(B448="CN",N(I448)&lt;=0),"중국공급가=원가+마진 ",""))</f>
        <v>중국공급가=원가+마진</v>
      </c>
      <c r="Q448" s="47" t="n">
        <f aca="false">IF(SUMIFS($W:$W,$A:$A,A448,$C:$C,C448)=0,0,SUMIFS(RAW_판매펀칭!$K:$K,RAW_판매펀칭!$P:$P,A448,RAW_판매펀칭!$I:$I,C448)*W448/SUMIFS($W:$W,$A:$A,A448,$C:$C,C448))</f>
        <v>242</v>
      </c>
      <c r="R448" s="47" t="n">
        <f aca="false">IF(OR(A448="500",A448="800",A448="810"),0,MAX(W448-Q448,0))</f>
        <v>0</v>
      </c>
      <c r="S448" s="47" t="n">
        <f aca="false">R448*L448</f>
        <v>0</v>
      </c>
      <c r="T448" s="47" t="n">
        <f aca="false">R448*J448</f>
        <v>0</v>
      </c>
      <c r="U448" s="47" t="n">
        <f aca="false">R448*K448</f>
        <v>0</v>
      </c>
      <c r="V448" s="0" t="str">
        <f aca="false">IF(COUNTIFS($A$2:A448,A448,$C$2:C448,C448,$D$2:D448,D448)&gt;1,"중복","")</f>
        <v/>
      </c>
      <c r="W448" s="0" t="n">
        <f aca="false">IF(V448="중복",0,N(D448))</f>
        <v>242</v>
      </c>
      <c r="X448" s="0" t="n">
        <f aca="false">IF(COUNTIFS($A$2:A448,A448,$C$2:C448,C448)=1,ABS(SUMIFS(RAW_발주!$D:$D,RAW_발주!$C:$C,A448,RAW_발주!$A:$A,C448)-SUMIFS($W:$W,$A:$A,A448,$C:$C,C448)),0)</f>
        <v>0</v>
      </c>
    </row>
    <row r="449" customFormat="false" ht="15" hidden="false" customHeight="true" outlineLevel="0" collapsed="false">
      <c r="A449" s="45" t="s">
        <v>1661</v>
      </c>
      <c r="B449" s="42" t="str">
        <f aca="false">IF(A449="100","HK",IF(A449="200","CN",IF(A449="300","TW","홀세일")))</f>
        <v>TW</v>
      </c>
      <c r="C449" s="45" t="s">
        <v>302</v>
      </c>
      <c r="D449" s="46" t="n">
        <v>600</v>
      </c>
      <c r="E449" s="46" t="n">
        <v>69000</v>
      </c>
      <c r="F449" s="46" t="n">
        <v>14115</v>
      </c>
      <c r="G449" s="42" t="n">
        <v>4.48</v>
      </c>
      <c r="H449" s="42" t="n">
        <v>17.3</v>
      </c>
      <c r="J449" s="46" t="n">
        <f aca="false">IF(N(E449)&gt;0,E449,IF(N(F449)&gt;0,F449*요약!$F$27,0))</f>
        <v>69000</v>
      </c>
      <c r="K449" s="46" t="n">
        <f aca="false">IF(N(F449)&gt;0,F449,IF(N(E449)&gt;0,E449/요약!$F$27,0))</f>
        <v>14115</v>
      </c>
      <c r="L449" s="46" t="n">
        <f aca="false">IF(B449="CN",IF(N(I449)&gt;0,I449*요약!$G$27,K449*(1+요약!$E$27)),IF(N(H449)&gt;0,H449*요약!$G$27,J449*요약!$D$27))</f>
        <v>22836</v>
      </c>
      <c r="M449" s="46" t="n">
        <f aca="false">D449*J449</f>
        <v>41400000</v>
      </c>
      <c r="N449" s="46" t="n">
        <f aca="false">D449*K449</f>
        <v>8469000</v>
      </c>
      <c r="O449" s="46" t="n">
        <f aca="false">D449*L449</f>
        <v>13701600</v>
      </c>
      <c r="P449" s="42" t="str">
        <f aca="false">TRIM(IF(N(E449)&lt;=0,"택가보정 ","")&amp;IF(N(F449)&lt;=0,"원가보정 ","")&amp;IF(AND(B449&lt;&gt;"CN",N(H449)&lt;=0),"공급가보정 ","")&amp;IF(AND(B449="CN",N(I449)&lt;=0),"중국공급가=원가+마진 ",""))</f>
        <v/>
      </c>
      <c r="Q449" s="47" t="n">
        <f aca="false">IF(SUMIFS($W:$W,$A:$A,A449,$C:$C,C449)=0,0,SUMIFS(RAW_판매펀칭!$K:$K,RAW_판매펀칭!$P:$P,A449,RAW_판매펀칭!$I:$I,C449)*W449/SUMIFS($W:$W,$A:$A,A449,$C:$C,C449))</f>
        <v>600</v>
      </c>
      <c r="R449" s="47" t="n">
        <f aca="false">IF(OR(A449="500",A449="800",A449="810"),0,MAX(W449-Q449,0))</f>
        <v>0</v>
      </c>
      <c r="S449" s="47" t="n">
        <f aca="false">R449*L449</f>
        <v>0</v>
      </c>
      <c r="T449" s="47" t="n">
        <f aca="false">R449*J449</f>
        <v>0</v>
      </c>
      <c r="U449" s="47" t="n">
        <f aca="false">R449*K449</f>
        <v>0</v>
      </c>
      <c r="V449" s="0" t="str">
        <f aca="false">IF(COUNTIFS($A$2:A449,A449,$C$2:C449,C449,$D$2:D449,D449)&gt;1,"중복","")</f>
        <v/>
      </c>
      <c r="W449" s="0" t="n">
        <f aca="false">IF(V449="중복",0,N(D449))</f>
        <v>600</v>
      </c>
      <c r="X449" s="0" t="n">
        <f aca="false">IF(COUNTIFS($A$2:A449,A449,$C$2:C449,C449)=1,ABS(SUMIFS(RAW_발주!$D:$D,RAW_발주!$C:$C,A449,RAW_발주!$A:$A,C449)-SUMIFS($W:$W,$A:$A,A449,$C:$C,C449)),0)</f>
        <v>0</v>
      </c>
    </row>
    <row r="450" customFormat="false" ht="15" hidden="false" customHeight="true" outlineLevel="0" collapsed="false">
      <c r="A450" s="45" t="s">
        <v>1663</v>
      </c>
      <c r="B450" s="42" t="str">
        <f aca="false">IF(A450="100","HK",IF(A450="200","CN",IF(A450="300","TW","홀세일")))</f>
        <v>홀세일</v>
      </c>
      <c r="C450" s="45" t="s">
        <v>302</v>
      </c>
      <c r="D450" s="46" t="n">
        <v>50</v>
      </c>
      <c r="E450" s="46" t="n">
        <v>69000</v>
      </c>
      <c r="F450" s="46" t="n">
        <v>14115</v>
      </c>
      <c r="G450" s="42" t="n">
        <v>4.48</v>
      </c>
      <c r="H450" s="42" t="n">
        <v>17.3</v>
      </c>
      <c r="J450" s="46" t="n">
        <f aca="false">IF(N(E450)&gt;0,E450,IF(N(F450)&gt;0,F450*요약!$F$27,0))</f>
        <v>69000</v>
      </c>
      <c r="K450" s="46" t="n">
        <f aca="false">IF(N(F450)&gt;0,F450,IF(N(E450)&gt;0,E450/요약!$F$27,0))</f>
        <v>14115</v>
      </c>
      <c r="L450" s="46" t="n">
        <f aca="false">IF(B450="CN",IF(N(I450)&gt;0,I450*요약!$G$27,K450*(1+요약!$E$27)),IF(N(H450)&gt;0,H450*요약!$G$27,J450*요약!$D$27))</f>
        <v>22836</v>
      </c>
      <c r="M450" s="46" t="n">
        <f aca="false">D450*J450</f>
        <v>3450000</v>
      </c>
      <c r="N450" s="46" t="n">
        <f aca="false">D450*K450</f>
        <v>705750</v>
      </c>
      <c r="O450" s="46" t="n">
        <f aca="false">D450*L450</f>
        <v>1141800</v>
      </c>
      <c r="P450" s="42" t="str">
        <f aca="false">TRIM(IF(N(E450)&lt;=0,"택가보정 ","")&amp;IF(N(F450)&lt;=0,"원가보정 ","")&amp;IF(AND(B450&lt;&gt;"CN",N(H450)&lt;=0),"공급가보정 ","")&amp;IF(AND(B450="CN",N(I450)&lt;=0),"중국공급가=원가+마진 ",""))</f>
        <v/>
      </c>
      <c r="Q450" s="47" t="n">
        <f aca="false">IF(SUMIFS($W:$W,$A:$A,A450,$C:$C,C450)=0,0,SUMIFS(RAW_판매펀칭!$K:$K,RAW_판매펀칭!$P:$P,A450,RAW_판매펀칭!$I:$I,C450)*W450/SUMIFS($W:$W,$A:$A,A450,$C:$C,C450))</f>
        <v>50</v>
      </c>
      <c r="R450" s="47" t="n">
        <f aca="false">IF(OR(A450="500",A450="800",A450="810"),0,MAX(W450-Q450,0))</f>
        <v>0</v>
      </c>
      <c r="S450" s="47" t="n">
        <f aca="false">R450*L450</f>
        <v>0</v>
      </c>
      <c r="T450" s="47" t="n">
        <f aca="false">R450*J450</f>
        <v>0</v>
      </c>
      <c r="U450" s="47" t="n">
        <f aca="false">R450*K450</f>
        <v>0</v>
      </c>
      <c r="V450" s="0" t="str">
        <f aca="false">IF(COUNTIFS($A$2:A450,A450,$C$2:C450,C450,$D$2:D450,D450)&gt;1,"중복","")</f>
        <v/>
      </c>
      <c r="W450" s="0" t="n">
        <f aca="false">IF(V450="중복",0,N(D450))</f>
        <v>50</v>
      </c>
      <c r="X450" s="0" t="n">
        <f aca="false">IF(COUNTIFS($A$2:A450,A450,$C$2:C450,C450)=1,ABS(SUMIFS(RAW_발주!$D:$D,RAW_발주!$C:$C,A450,RAW_발주!$A:$A,C450)-SUMIFS($W:$W,$A:$A,A450,$C:$C,C450)),0)</f>
        <v>0</v>
      </c>
    </row>
    <row r="451" customFormat="false" ht="15" hidden="false" customHeight="true" outlineLevel="0" collapsed="false">
      <c r="A451" s="45" t="s">
        <v>1667</v>
      </c>
      <c r="B451" s="42" t="str">
        <f aca="false">IF(A451="100","HK",IF(A451="200","CN",IF(A451="300","TW","홀세일")))</f>
        <v>홀세일</v>
      </c>
      <c r="C451" s="45" t="s">
        <v>302</v>
      </c>
      <c r="D451" s="46" t="n">
        <v>56</v>
      </c>
      <c r="E451" s="46" t="n">
        <v>69000</v>
      </c>
      <c r="F451" s="46" t="n">
        <v>14115</v>
      </c>
      <c r="G451" s="42" t="n">
        <v>4.48</v>
      </c>
      <c r="H451" s="42" t="n">
        <v>17.3</v>
      </c>
      <c r="J451" s="46" t="n">
        <f aca="false">IF(N(E451)&gt;0,E451,IF(N(F451)&gt;0,F451*요약!$F$27,0))</f>
        <v>69000</v>
      </c>
      <c r="K451" s="46" t="n">
        <f aca="false">IF(N(F451)&gt;0,F451,IF(N(E451)&gt;0,E451/요약!$F$27,0))</f>
        <v>14115</v>
      </c>
      <c r="L451" s="46" t="n">
        <f aca="false">IF(B451="CN",IF(N(I451)&gt;0,I451*요약!$G$27,K451*(1+요약!$E$27)),IF(N(H451)&gt;0,H451*요약!$G$27,J451*요약!$D$27))</f>
        <v>22836</v>
      </c>
      <c r="M451" s="46" t="n">
        <f aca="false">D451*J451</f>
        <v>3864000</v>
      </c>
      <c r="N451" s="46" t="n">
        <f aca="false">D451*K451</f>
        <v>790440</v>
      </c>
      <c r="O451" s="46" t="n">
        <f aca="false">D451*L451</f>
        <v>1278816</v>
      </c>
      <c r="P451" s="42" t="str">
        <f aca="false">TRIM(IF(N(E451)&lt;=0,"택가보정 ","")&amp;IF(N(F451)&lt;=0,"원가보정 ","")&amp;IF(AND(B451&lt;&gt;"CN",N(H451)&lt;=0),"공급가보정 ","")&amp;IF(AND(B451="CN",N(I451)&lt;=0),"중국공급가=원가+마진 ",""))</f>
        <v/>
      </c>
      <c r="Q451" s="47" t="n">
        <f aca="false">IF(SUMIFS($W:$W,$A:$A,A451,$C:$C,C451)=0,0,SUMIFS(RAW_판매펀칭!$K:$K,RAW_판매펀칭!$P:$P,A451,RAW_판매펀칭!$I:$I,C451)*W451/SUMIFS($W:$W,$A:$A,A451,$C:$C,C451))</f>
        <v>56</v>
      </c>
      <c r="R451" s="47" t="n">
        <f aca="false">IF(OR(A451="500",A451="800",A451="810"),0,MAX(W451-Q451,0))</f>
        <v>0</v>
      </c>
      <c r="S451" s="47" t="n">
        <f aca="false">R451*L451</f>
        <v>0</v>
      </c>
      <c r="T451" s="47" t="n">
        <f aca="false">R451*J451</f>
        <v>0</v>
      </c>
      <c r="U451" s="47" t="n">
        <f aca="false">R451*K451</f>
        <v>0</v>
      </c>
      <c r="V451" s="0" t="str">
        <f aca="false">IF(COUNTIFS($A$2:A451,A451,$C$2:C451,C451,$D$2:D451,D451)&gt;1,"중복","")</f>
        <v/>
      </c>
      <c r="W451" s="0" t="n">
        <f aca="false">IF(V451="중복",0,N(D451))</f>
        <v>56</v>
      </c>
      <c r="X451" s="0" t="n">
        <f aca="false">IF(COUNTIFS($A$2:A451,A451,$C$2:C451,C451)=1,ABS(SUMIFS(RAW_발주!$D:$D,RAW_발주!$C:$C,A451,RAW_발주!$A:$A,C451)-SUMIFS($W:$W,$A:$A,A451,$C:$C,C451)),0)</f>
        <v>0</v>
      </c>
    </row>
    <row r="452" customFormat="false" ht="15" hidden="false" customHeight="true" outlineLevel="0" collapsed="false">
      <c r="A452" s="45" t="s">
        <v>1664</v>
      </c>
      <c r="B452" s="42" t="str">
        <f aca="false">IF(A452="100","HK",IF(A452="200","CN",IF(A452="300","TW","홀세일")))</f>
        <v>홀세일</v>
      </c>
      <c r="C452" s="45" t="s">
        <v>302</v>
      </c>
      <c r="D452" s="46" t="n">
        <v>60</v>
      </c>
      <c r="E452" s="46" t="n">
        <v>69000</v>
      </c>
      <c r="F452" s="46" t="n">
        <v>14115</v>
      </c>
      <c r="G452" s="42" t="n">
        <v>4.48</v>
      </c>
      <c r="H452" s="42" t="n">
        <v>17.3</v>
      </c>
      <c r="J452" s="46" t="n">
        <f aca="false">IF(N(E452)&gt;0,E452,IF(N(F452)&gt;0,F452*요약!$F$27,0))</f>
        <v>69000</v>
      </c>
      <c r="K452" s="46" t="n">
        <f aca="false">IF(N(F452)&gt;0,F452,IF(N(E452)&gt;0,E452/요약!$F$27,0))</f>
        <v>14115</v>
      </c>
      <c r="L452" s="46" t="n">
        <f aca="false">IF(B452="CN",IF(N(I452)&gt;0,I452*요약!$G$27,K452*(1+요약!$E$27)),IF(N(H452)&gt;0,H452*요약!$G$27,J452*요약!$D$27))</f>
        <v>22836</v>
      </c>
      <c r="M452" s="46" t="n">
        <f aca="false">D452*J452</f>
        <v>4140000</v>
      </c>
      <c r="N452" s="46" t="n">
        <f aca="false">D452*K452</f>
        <v>846900</v>
      </c>
      <c r="O452" s="46" t="n">
        <f aca="false">D452*L452</f>
        <v>1370160</v>
      </c>
      <c r="P452" s="42" t="str">
        <f aca="false">TRIM(IF(N(E452)&lt;=0,"택가보정 ","")&amp;IF(N(F452)&lt;=0,"원가보정 ","")&amp;IF(AND(B452&lt;&gt;"CN",N(H452)&lt;=0),"공급가보정 ","")&amp;IF(AND(B452="CN",N(I452)&lt;=0),"중국공급가=원가+마진 ",""))</f>
        <v/>
      </c>
      <c r="Q452" s="47" t="n">
        <f aca="false">IF(SUMIFS($W:$W,$A:$A,A452,$C:$C,C452)=0,0,SUMIFS(RAW_판매펀칭!$K:$K,RAW_판매펀칭!$P:$P,A452,RAW_판매펀칭!$I:$I,C452)*W452/SUMIFS($W:$W,$A:$A,A452,$C:$C,C452))</f>
        <v>0</v>
      </c>
      <c r="R452" s="47" t="n">
        <f aca="false">IF(OR(A452="500",A452="800",A452="810"),0,MAX(W452-Q452,0))</f>
        <v>0</v>
      </c>
      <c r="S452" s="47" t="n">
        <f aca="false">R452*L452</f>
        <v>0</v>
      </c>
      <c r="T452" s="47" t="n">
        <f aca="false">R452*J452</f>
        <v>0</v>
      </c>
      <c r="U452" s="47" t="n">
        <f aca="false">R452*K452</f>
        <v>0</v>
      </c>
      <c r="V452" s="0" t="str">
        <f aca="false">IF(COUNTIFS($A$2:A452,A452,$C$2:C452,C452,$D$2:D452,D452)&gt;1,"중복","")</f>
        <v/>
      </c>
      <c r="W452" s="0" t="n">
        <f aca="false">IF(V452="중복",0,N(D452))</f>
        <v>60</v>
      </c>
      <c r="X452" s="0" t="n">
        <f aca="false">IF(COUNTIFS($A$2:A452,A452,$C$2:C452,C452)=1,ABS(SUMIFS(RAW_발주!$D:$D,RAW_발주!$C:$C,A452,RAW_발주!$A:$A,C452)-SUMIFS($W:$W,$A:$A,A452,$C:$C,C452)),0)</f>
        <v>0</v>
      </c>
    </row>
    <row r="453" customFormat="false" ht="15" hidden="false" customHeight="true" outlineLevel="0" collapsed="false">
      <c r="A453" s="45" t="s">
        <v>1659</v>
      </c>
      <c r="B453" s="42" t="str">
        <f aca="false">IF(A453="100","HK",IF(A453="200","CN",IF(A453="300","TW","홀세일")))</f>
        <v>HK</v>
      </c>
      <c r="C453" s="45" t="s">
        <v>832</v>
      </c>
      <c r="D453" s="46" t="n">
        <v>660</v>
      </c>
      <c r="E453" s="46" t="n">
        <v>59000</v>
      </c>
      <c r="F453" s="46" t="n">
        <v>11117</v>
      </c>
      <c r="G453" s="42" t="n">
        <v>4.51</v>
      </c>
      <c r="H453" s="42" t="n">
        <v>14.8</v>
      </c>
      <c r="J453" s="46" t="n">
        <f aca="false">IF(N(E453)&gt;0,E453,IF(N(F453)&gt;0,F453*요약!$F$27,0))</f>
        <v>59000</v>
      </c>
      <c r="K453" s="46" t="n">
        <f aca="false">IF(N(F453)&gt;0,F453,IF(N(E453)&gt;0,E453/요약!$F$27,0))</f>
        <v>11117</v>
      </c>
      <c r="L453" s="46" t="n">
        <f aca="false">IF(B453="CN",IF(N(I453)&gt;0,I453*요약!$G$27,K453*(1+요약!$E$27)),IF(N(H453)&gt;0,H453*요약!$G$27,J453*요약!$D$27))</f>
        <v>19536</v>
      </c>
      <c r="M453" s="46" t="n">
        <f aca="false">D453*J453</f>
        <v>38940000</v>
      </c>
      <c r="N453" s="46" t="n">
        <f aca="false">D453*K453</f>
        <v>7337220</v>
      </c>
      <c r="O453" s="46" t="n">
        <f aca="false">D453*L453</f>
        <v>12893760</v>
      </c>
      <c r="P453" s="42" t="str">
        <f aca="false">TRIM(IF(N(E453)&lt;=0,"택가보정 ","")&amp;IF(N(F453)&lt;=0,"원가보정 ","")&amp;IF(AND(B453&lt;&gt;"CN",N(H453)&lt;=0),"공급가보정 ","")&amp;IF(AND(B453="CN",N(I453)&lt;=0),"중국공급가=원가+마진 ",""))</f>
        <v/>
      </c>
      <c r="Q453" s="47" t="n">
        <f aca="false">IF(SUMIFS($W:$W,$A:$A,A453,$C:$C,C453)=0,0,SUMIFS(RAW_판매펀칭!$K:$K,RAW_판매펀칭!$P:$P,A453,RAW_판매펀칭!$I:$I,C453)*W453/SUMIFS($W:$W,$A:$A,A453,$C:$C,C453))</f>
        <v>660</v>
      </c>
      <c r="R453" s="47" t="n">
        <f aca="false">IF(OR(A453="500",A453="800",A453="810"),0,MAX(W453-Q453,0))</f>
        <v>0</v>
      </c>
      <c r="S453" s="47" t="n">
        <f aca="false">R453*L453</f>
        <v>0</v>
      </c>
      <c r="T453" s="47" t="n">
        <f aca="false">R453*J453</f>
        <v>0</v>
      </c>
      <c r="U453" s="47" t="n">
        <f aca="false">R453*K453</f>
        <v>0</v>
      </c>
      <c r="V453" s="0" t="str">
        <f aca="false">IF(COUNTIFS($A$2:A453,A453,$C$2:C453,C453,$D$2:D453,D453)&gt;1,"중복","")</f>
        <v/>
      </c>
      <c r="W453" s="0" t="n">
        <f aca="false">IF(V453="중복",0,N(D453))</f>
        <v>660</v>
      </c>
      <c r="X453" s="0" t="n">
        <f aca="false">IF(COUNTIFS($A$2:A453,A453,$C$2:C453,C453)=1,ABS(SUMIFS(RAW_발주!$D:$D,RAW_발주!$C:$C,A453,RAW_발주!$A:$A,C453)-SUMIFS($W:$W,$A:$A,A453,$C:$C,C453)),0)</f>
        <v>0</v>
      </c>
    </row>
    <row r="454" customFormat="false" ht="15" hidden="false" customHeight="true" outlineLevel="0" collapsed="false">
      <c r="A454" s="45" t="s">
        <v>1659</v>
      </c>
      <c r="B454" s="42" t="str">
        <f aca="false">IF(A454="100","HK",IF(A454="200","CN",IF(A454="300","TW","홀세일")))</f>
        <v>HK</v>
      </c>
      <c r="C454" s="45" t="s">
        <v>304</v>
      </c>
      <c r="D454" s="46" t="n">
        <v>660</v>
      </c>
      <c r="E454" s="46" t="n">
        <v>59000</v>
      </c>
      <c r="F454" s="46" t="n">
        <v>9900</v>
      </c>
      <c r="G454" s="42" t="n">
        <v>4.75</v>
      </c>
      <c r="H454" s="42" t="n">
        <v>14.8</v>
      </c>
      <c r="J454" s="46" t="n">
        <f aca="false">IF(N(E454)&gt;0,E454,IF(N(F454)&gt;0,F454*요약!$F$27,0))</f>
        <v>59000</v>
      </c>
      <c r="K454" s="46" t="n">
        <f aca="false">IF(N(F454)&gt;0,F454,IF(N(E454)&gt;0,E454/요약!$F$27,0))</f>
        <v>9900</v>
      </c>
      <c r="L454" s="46" t="n">
        <f aca="false">IF(B454="CN",IF(N(I454)&gt;0,I454*요약!$G$27,K454*(1+요약!$E$27)),IF(N(H454)&gt;0,H454*요약!$G$27,J454*요약!$D$27))</f>
        <v>19536</v>
      </c>
      <c r="M454" s="46" t="n">
        <f aca="false">D454*J454</f>
        <v>38940000</v>
      </c>
      <c r="N454" s="46" t="n">
        <f aca="false">D454*K454</f>
        <v>6534000</v>
      </c>
      <c r="O454" s="46" t="n">
        <f aca="false">D454*L454</f>
        <v>12893760</v>
      </c>
      <c r="P454" s="42" t="str">
        <f aca="false">TRIM(IF(N(E454)&lt;=0,"택가보정 ","")&amp;IF(N(F454)&lt;=0,"원가보정 ","")&amp;IF(AND(B454&lt;&gt;"CN",N(H454)&lt;=0),"공급가보정 ","")&amp;IF(AND(B454="CN",N(I454)&lt;=0),"중국공급가=원가+마진 ",""))</f>
        <v/>
      </c>
      <c r="Q454" s="47" t="n">
        <f aca="false">IF(SUMIFS($W:$W,$A:$A,A454,$C:$C,C454)=0,0,SUMIFS(RAW_판매펀칭!$K:$K,RAW_판매펀칭!$P:$P,A454,RAW_판매펀칭!$I:$I,C454)*W454/SUMIFS($W:$W,$A:$A,A454,$C:$C,C454))</f>
        <v>658</v>
      </c>
      <c r="R454" s="47" t="n">
        <f aca="false">IF(OR(A454="500",A454="800",A454="810"),0,MAX(W454-Q454,0))</f>
        <v>2</v>
      </c>
      <c r="S454" s="47" t="n">
        <f aca="false">R454*L454</f>
        <v>39072</v>
      </c>
      <c r="T454" s="47" t="n">
        <f aca="false">R454*J454</f>
        <v>118000</v>
      </c>
      <c r="U454" s="47" t="n">
        <f aca="false">R454*K454</f>
        <v>19800</v>
      </c>
      <c r="V454" s="0" t="str">
        <f aca="false">IF(COUNTIFS($A$2:A454,A454,$C$2:C454,C454,$D$2:D454,D454)&gt;1,"중복","")</f>
        <v/>
      </c>
      <c r="W454" s="0" t="n">
        <f aca="false">IF(V454="중복",0,N(D454))</f>
        <v>660</v>
      </c>
      <c r="X454" s="0" t="n">
        <f aca="false">IF(COUNTIFS($A$2:A454,A454,$C$2:C454,C454)=1,ABS(SUMIFS(RAW_발주!$D:$D,RAW_발주!$C:$C,A454,RAW_발주!$A:$A,C454)-SUMIFS($W:$W,$A:$A,A454,$C:$C,C454)),0)</f>
        <v>0</v>
      </c>
    </row>
    <row r="455" customFormat="false" ht="15" hidden="false" customHeight="true" outlineLevel="0" collapsed="false">
      <c r="A455" s="45" t="s">
        <v>1659</v>
      </c>
      <c r="B455" s="42" t="str">
        <f aca="false">IF(A455="100","HK",IF(A455="200","CN",IF(A455="300","TW","홀세일")))</f>
        <v>HK</v>
      </c>
      <c r="C455" s="45" t="s">
        <v>304</v>
      </c>
      <c r="D455" s="46" t="n">
        <v>660</v>
      </c>
      <c r="E455" s="46" t="n">
        <v>59000</v>
      </c>
      <c r="F455" s="46" t="n">
        <v>9900</v>
      </c>
      <c r="G455" s="42" t="n">
        <v>4.75</v>
      </c>
      <c r="H455" s="42" t="n">
        <v>14.8</v>
      </c>
      <c r="J455" s="46" t="n">
        <f aca="false">IF(N(E455)&gt;0,E455,IF(N(F455)&gt;0,F455*요약!$F$27,0))</f>
        <v>59000</v>
      </c>
      <c r="K455" s="46" t="n">
        <f aca="false">IF(N(F455)&gt;0,F455,IF(N(E455)&gt;0,E455/요약!$F$27,0))</f>
        <v>9900</v>
      </c>
      <c r="L455" s="46" t="n">
        <f aca="false">IF(B455="CN",IF(N(I455)&gt;0,I455*요약!$G$27,K455*(1+요약!$E$27)),IF(N(H455)&gt;0,H455*요약!$G$27,J455*요약!$D$27))</f>
        <v>19536</v>
      </c>
      <c r="M455" s="46" t="n">
        <f aca="false">D455*J455</f>
        <v>38940000</v>
      </c>
      <c r="N455" s="46" t="n">
        <f aca="false">D455*K455</f>
        <v>6534000</v>
      </c>
      <c r="O455" s="46" t="n">
        <f aca="false">D455*L455</f>
        <v>12893760</v>
      </c>
      <c r="P455" s="42" t="str">
        <f aca="false">TRIM(IF(N(E455)&lt;=0,"택가보정 ","")&amp;IF(N(F455)&lt;=0,"원가보정 ","")&amp;IF(AND(B455&lt;&gt;"CN",N(H455)&lt;=0),"공급가보정 ","")&amp;IF(AND(B455="CN",N(I455)&lt;=0),"중국공급가=원가+마진 ",""))</f>
        <v/>
      </c>
      <c r="Q455" s="47" t="n">
        <f aca="false">IF(SUMIFS($W:$W,$A:$A,A455,$C:$C,C455)=0,0,SUMIFS(RAW_판매펀칭!$K:$K,RAW_판매펀칭!$P:$P,A455,RAW_판매펀칭!$I:$I,C455)*W455/SUMIFS($W:$W,$A:$A,A455,$C:$C,C455))</f>
        <v>0</v>
      </c>
      <c r="R455" s="47" t="n">
        <f aca="false">IF(OR(A455="500",A455="800",A455="810"),0,MAX(W455-Q455,0))</f>
        <v>0</v>
      </c>
      <c r="S455" s="47" t="n">
        <f aca="false">R455*L455</f>
        <v>0</v>
      </c>
      <c r="T455" s="47" t="n">
        <f aca="false">R455*J455</f>
        <v>0</v>
      </c>
      <c r="U455" s="47" t="n">
        <f aca="false">R455*K455</f>
        <v>0</v>
      </c>
      <c r="V455" s="0" t="str">
        <f aca="false">IF(COUNTIFS($A$2:A455,A455,$C$2:C455,C455,$D$2:D455,D455)&gt;1,"중복","")</f>
        <v>중복</v>
      </c>
      <c r="W455" s="0" t="n">
        <f aca="false">IF(V455="중복",0,N(D455))</f>
        <v>0</v>
      </c>
      <c r="X455" s="0" t="n">
        <f aca="false">IF(COUNTIFS($A$2:A455,A455,$C$2:C455,C455)=1,ABS(SUMIFS(RAW_발주!$D:$D,RAW_발주!$C:$C,A455,RAW_발주!$A:$A,C455)-SUMIFS($W:$W,$A:$A,A455,$C:$C,C455)),0)</f>
        <v>0</v>
      </c>
    </row>
    <row r="456" customFormat="false" ht="15" hidden="false" customHeight="true" outlineLevel="0" collapsed="false">
      <c r="A456" s="45" t="s">
        <v>1661</v>
      </c>
      <c r="B456" s="42" t="str">
        <f aca="false">IF(A456="100","HK",IF(A456="200","CN",IF(A456="300","TW","홀세일")))</f>
        <v>TW</v>
      </c>
      <c r="C456" s="45" t="s">
        <v>304</v>
      </c>
      <c r="D456" s="46" t="n">
        <v>400</v>
      </c>
      <c r="E456" s="46" t="n">
        <v>59000</v>
      </c>
      <c r="F456" s="46" t="n">
        <v>9900</v>
      </c>
      <c r="G456" s="42" t="n">
        <v>4.75</v>
      </c>
      <c r="H456" s="42" t="n">
        <v>14.8</v>
      </c>
      <c r="J456" s="46" t="n">
        <f aca="false">IF(N(E456)&gt;0,E456,IF(N(F456)&gt;0,F456*요약!$F$27,0))</f>
        <v>59000</v>
      </c>
      <c r="K456" s="46" t="n">
        <f aca="false">IF(N(F456)&gt;0,F456,IF(N(E456)&gt;0,E456/요약!$F$27,0))</f>
        <v>9900</v>
      </c>
      <c r="L456" s="46" t="n">
        <f aca="false">IF(B456="CN",IF(N(I456)&gt;0,I456*요약!$G$27,K456*(1+요약!$E$27)),IF(N(H456)&gt;0,H456*요약!$G$27,J456*요약!$D$27))</f>
        <v>19536</v>
      </c>
      <c r="M456" s="46" t="n">
        <f aca="false">D456*J456</f>
        <v>23600000</v>
      </c>
      <c r="N456" s="46" t="n">
        <f aca="false">D456*K456</f>
        <v>3960000</v>
      </c>
      <c r="O456" s="46" t="n">
        <f aca="false">D456*L456</f>
        <v>7814400</v>
      </c>
      <c r="P456" s="42" t="str">
        <f aca="false">TRIM(IF(N(E456)&lt;=0,"택가보정 ","")&amp;IF(N(F456)&lt;=0,"원가보정 ","")&amp;IF(AND(B456&lt;&gt;"CN",N(H456)&lt;=0),"공급가보정 ","")&amp;IF(AND(B456="CN",N(I456)&lt;=0),"중국공급가=원가+마진 ",""))</f>
        <v/>
      </c>
      <c r="Q456" s="47" t="n">
        <f aca="false">IF(SUMIFS($W:$W,$A:$A,A456,$C:$C,C456)=0,0,SUMIFS(RAW_판매펀칭!$K:$K,RAW_판매펀칭!$P:$P,A456,RAW_판매펀칭!$I:$I,C456)*W456/SUMIFS($W:$W,$A:$A,A456,$C:$C,C456))</f>
        <v>400</v>
      </c>
      <c r="R456" s="47" t="n">
        <f aca="false">IF(OR(A456="500",A456="800",A456="810"),0,MAX(W456-Q456,0))</f>
        <v>0</v>
      </c>
      <c r="S456" s="47" t="n">
        <f aca="false">R456*L456</f>
        <v>0</v>
      </c>
      <c r="T456" s="47" t="n">
        <f aca="false">R456*J456</f>
        <v>0</v>
      </c>
      <c r="U456" s="47" t="n">
        <f aca="false">R456*K456</f>
        <v>0</v>
      </c>
      <c r="V456" s="0" t="str">
        <f aca="false">IF(COUNTIFS($A$2:A456,A456,$C$2:C456,C456,$D$2:D456,D456)&gt;1,"중복","")</f>
        <v/>
      </c>
      <c r="W456" s="0" t="n">
        <f aca="false">IF(V456="중복",0,N(D456))</f>
        <v>400</v>
      </c>
      <c r="X456" s="0" t="n">
        <f aca="false">IF(COUNTIFS($A$2:A456,A456,$C$2:C456,C456)=1,ABS(SUMIFS(RAW_발주!$D:$D,RAW_발주!$C:$C,A456,RAW_발주!$A:$A,C456)-SUMIFS($W:$W,$A:$A,A456,$C:$C,C456)),0)</f>
        <v>0</v>
      </c>
    </row>
    <row r="457" customFormat="false" ht="15" hidden="false" customHeight="true" outlineLevel="0" collapsed="false">
      <c r="A457" s="45" t="s">
        <v>1663</v>
      </c>
      <c r="B457" s="42" t="str">
        <f aca="false">IF(A457="100","HK",IF(A457="200","CN",IF(A457="300","TW","홀세일")))</f>
        <v>홀세일</v>
      </c>
      <c r="C457" s="45" t="s">
        <v>304</v>
      </c>
      <c r="D457" s="46" t="n">
        <v>135</v>
      </c>
      <c r="E457" s="46" t="n">
        <v>59000</v>
      </c>
      <c r="F457" s="46" t="n">
        <v>9900</v>
      </c>
      <c r="G457" s="42" t="n">
        <v>4.75</v>
      </c>
      <c r="H457" s="42" t="n">
        <v>14.8</v>
      </c>
      <c r="J457" s="46" t="n">
        <f aca="false">IF(N(E457)&gt;0,E457,IF(N(F457)&gt;0,F457*요약!$F$27,0))</f>
        <v>59000</v>
      </c>
      <c r="K457" s="46" t="n">
        <f aca="false">IF(N(F457)&gt;0,F457,IF(N(E457)&gt;0,E457/요약!$F$27,0))</f>
        <v>9900</v>
      </c>
      <c r="L457" s="46" t="n">
        <f aca="false">IF(B457="CN",IF(N(I457)&gt;0,I457*요약!$G$27,K457*(1+요약!$E$27)),IF(N(H457)&gt;0,H457*요약!$G$27,J457*요약!$D$27))</f>
        <v>19536</v>
      </c>
      <c r="M457" s="46" t="n">
        <f aca="false">D457*J457</f>
        <v>7965000</v>
      </c>
      <c r="N457" s="46" t="n">
        <f aca="false">D457*K457</f>
        <v>1336500</v>
      </c>
      <c r="O457" s="46" t="n">
        <f aca="false">D457*L457</f>
        <v>2637360</v>
      </c>
      <c r="P457" s="42" t="str">
        <f aca="false">TRIM(IF(N(E457)&lt;=0,"택가보정 ","")&amp;IF(N(F457)&lt;=0,"원가보정 ","")&amp;IF(AND(B457&lt;&gt;"CN",N(H457)&lt;=0),"공급가보정 ","")&amp;IF(AND(B457="CN",N(I457)&lt;=0),"중국공급가=원가+마진 ",""))</f>
        <v/>
      </c>
      <c r="Q457" s="47" t="n">
        <f aca="false">IF(SUMIFS($W:$W,$A:$A,A457,$C:$C,C457)=0,0,SUMIFS(RAW_판매펀칭!$K:$K,RAW_판매펀칭!$P:$P,A457,RAW_판매펀칭!$I:$I,C457)*W457/SUMIFS($W:$W,$A:$A,A457,$C:$C,C457))</f>
        <v>135</v>
      </c>
      <c r="R457" s="47" t="n">
        <f aca="false">IF(OR(A457="500",A457="800",A457="810"),0,MAX(W457-Q457,0))</f>
        <v>0</v>
      </c>
      <c r="S457" s="47" t="n">
        <f aca="false">R457*L457</f>
        <v>0</v>
      </c>
      <c r="T457" s="47" t="n">
        <f aca="false">R457*J457</f>
        <v>0</v>
      </c>
      <c r="U457" s="47" t="n">
        <f aca="false">R457*K457</f>
        <v>0</v>
      </c>
      <c r="V457" s="0" t="str">
        <f aca="false">IF(COUNTIFS($A$2:A457,A457,$C$2:C457,C457,$D$2:D457,D457)&gt;1,"중복","")</f>
        <v/>
      </c>
      <c r="W457" s="0" t="n">
        <f aca="false">IF(V457="중복",0,N(D457))</f>
        <v>135</v>
      </c>
      <c r="X457" s="0" t="n">
        <f aca="false">IF(COUNTIFS($A$2:A457,A457,$C$2:C457,C457)=1,ABS(SUMIFS(RAW_발주!$D:$D,RAW_발주!$C:$C,A457,RAW_발주!$A:$A,C457)-SUMIFS($W:$W,$A:$A,A457,$C:$C,C457)),0)</f>
        <v>0</v>
      </c>
    </row>
    <row r="458" customFormat="false" ht="15" hidden="false" customHeight="true" outlineLevel="0" collapsed="false">
      <c r="A458" s="45" t="s">
        <v>1667</v>
      </c>
      <c r="B458" s="42" t="str">
        <f aca="false">IF(A458="100","HK",IF(A458="200","CN",IF(A458="300","TW","홀세일")))</f>
        <v>홀세일</v>
      </c>
      <c r="C458" s="45" t="s">
        <v>304</v>
      </c>
      <c r="D458" s="46" t="n">
        <v>142</v>
      </c>
      <c r="E458" s="46" t="n">
        <v>59000</v>
      </c>
      <c r="F458" s="46" t="n">
        <v>9900</v>
      </c>
      <c r="G458" s="42" t="n">
        <v>4.75</v>
      </c>
      <c r="H458" s="42" t="n">
        <v>14.8</v>
      </c>
      <c r="J458" s="46" t="n">
        <f aca="false">IF(N(E458)&gt;0,E458,IF(N(F458)&gt;0,F458*요약!$F$27,0))</f>
        <v>59000</v>
      </c>
      <c r="K458" s="46" t="n">
        <f aca="false">IF(N(F458)&gt;0,F458,IF(N(E458)&gt;0,E458/요약!$F$27,0))</f>
        <v>9900</v>
      </c>
      <c r="L458" s="46" t="n">
        <f aca="false">IF(B458="CN",IF(N(I458)&gt;0,I458*요약!$G$27,K458*(1+요약!$E$27)),IF(N(H458)&gt;0,H458*요약!$G$27,J458*요약!$D$27))</f>
        <v>19536</v>
      </c>
      <c r="M458" s="46" t="n">
        <f aca="false">D458*J458</f>
        <v>8378000</v>
      </c>
      <c r="N458" s="46" t="n">
        <f aca="false">D458*K458</f>
        <v>1405800</v>
      </c>
      <c r="O458" s="46" t="n">
        <f aca="false">D458*L458</f>
        <v>2774112</v>
      </c>
      <c r="P458" s="42" t="str">
        <f aca="false">TRIM(IF(N(E458)&lt;=0,"택가보정 ","")&amp;IF(N(F458)&lt;=0,"원가보정 ","")&amp;IF(AND(B458&lt;&gt;"CN",N(H458)&lt;=0),"공급가보정 ","")&amp;IF(AND(B458="CN",N(I458)&lt;=0),"중국공급가=원가+마진 ",""))</f>
        <v/>
      </c>
      <c r="Q458" s="47" t="n">
        <f aca="false">IF(SUMIFS($W:$W,$A:$A,A458,$C:$C,C458)=0,0,SUMIFS(RAW_판매펀칭!$K:$K,RAW_판매펀칭!$P:$P,A458,RAW_판매펀칭!$I:$I,C458)*W458/SUMIFS($W:$W,$A:$A,A458,$C:$C,C458))</f>
        <v>141</v>
      </c>
      <c r="R458" s="47" t="n">
        <f aca="false">IF(OR(A458="500",A458="800",A458="810"),0,MAX(W458-Q458,0))</f>
        <v>1</v>
      </c>
      <c r="S458" s="47" t="n">
        <f aca="false">R458*L458</f>
        <v>19536</v>
      </c>
      <c r="T458" s="47" t="n">
        <f aca="false">R458*J458</f>
        <v>59000</v>
      </c>
      <c r="U458" s="47" t="n">
        <f aca="false">R458*K458</f>
        <v>9900</v>
      </c>
      <c r="V458" s="0" t="str">
        <f aca="false">IF(COUNTIFS($A$2:A458,A458,$C$2:C458,C458,$D$2:D458,D458)&gt;1,"중복","")</f>
        <v/>
      </c>
      <c r="W458" s="0" t="n">
        <f aca="false">IF(V458="중복",0,N(D458))</f>
        <v>142</v>
      </c>
      <c r="X458" s="0" t="n">
        <f aca="false">IF(COUNTIFS($A$2:A458,A458,$C$2:C458,C458)=1,ABS(SUMIFS(RAW_발주!$D:$D,RAW_발주!$C:$C,A458,RAW_발주!$A:$A,C458)-SUMIFS($W:$W,$A:$A,A458,$C:$C,C458)),0)</f>
        <v>0</v>
      </c>
    </row>
    <row r="459" customFormat="false" ht="15" hidden="false" customHeight="true" outlineLevel="0" collapsed="false">
      <c r="A459" s="45" t="s">
        <v>1659</v>
      </c>
      <c r="B459" s="42" t="str">
        <f aca="false">IF(A459="100","HK",IF(A459="200","CN",IF(A459="300","TW","홀세일")))</f>
        <v>HK</v>
      </c>
      <c r="C459" s="45" t="s">
        <v>306</v>
      </c>
      <c r="D459" s="46" t="n">
        <v>480</v>
      </c>
      <c r="E459" s="46" t="n">
        <v>69000</v>
      </c>
      <c r="F459" s="46" t="n">
        <v>13100</v>
      </c>
      <c r="G459" s="42" t="n">
        <v>4.79</v>
      </c>
      <c r="H459" s="42" t="n">
        <v>17.3</v>
      </c>
      <c r="J459" s="46" t="n">
        <f aca="false">IF(N(E459)&gt;0,E459,IF(N(F459)&gt;0,F459*요약!$F$27,0))</f>
        <v>69000</v>
      </c>
      <c r="K459" s="46" t="n">
        <f aca="false">IF(N(F459)&gt;0,F459,IF(N(E459)&gt;0,E459/요약!$F$27,0))</f>
        <v>13100</v>
      </c>
      <c r="L459" s="46" t="n">
        <f aca="false">IF(B459="CN",IF(N(I459)&gt;0,I459*요약!$G$27,K459*(1+요약!$E$27)),IF(N(H459)&gt;0,H459*요약!$G$27,J459*요약!$D$27))</f>
        <v>22836</v>
      </c>
      <c r="M459" s="46" t="n">
        <f aca="false">D459*J459</f>
        <v>33120000</v>
      </c>
      <c r="N459" s="46" t="n">
        <f aca="false">D459*K459</f>
        <v>6288000</v>
      </c>
      <c r="O459" s="46" t="n">
        <f aca="false">D459*L459</f>
        <v>10961280</v>
      </c>
      <c r="P459" s="42" t="str">
        <f aca="false">TRIM(IF(N(E459)&lt;=0,"택가보정 ","")&amp;IF(N(F459)&lt;=0,"원가보정 ","")&amp;IF(AND(B459&lt;&gt;"CN",N(H459)&lt;=0),"공급가보정 ","")&amp;IF(AND(B459="CN",N(I459)&lt;=0),"중국공급가=원가+마진 ",""))</f>
        <v/>
      </c>
      <c r="Q459" s="47" t="n">
        <f aca="false">IF(SUMIFS($W:$W,$A:$A,A459,$C:$C,C459)=0,0,SUMIFS(RAW_판매펀칭!$K:$K,RAW_판매펀칭!$P:$P,A459,RAW_판매펀칭!$I:$I,C459)*W459/SUMIFS($W:$W,$A:$A,A459,$C:$C,C459))</f>
        <v>479</v>
      </c>
      <c r="R459" s="47" t="n">
        <f aca="false">IF(OR(A459="500",A459="800",A459="810"),0,MAX(W459-Q459,0))</f>
        <v>1</v>
      </c>
      <c r="S459" s="47" t="n">
        <f aca="false">R459*L459</f>
        <v>22836</v>
      </c>
      <c r="T459" s="47" t="n">
        <f aca="false">R459*J459</f>
        <v>69000</v>
      </c>
      <c r="U459" s="47" t="n">
        <f aca="false">R459*K459</f>
        <v>13100</v>
      </c>
      <c r="V459" s="0" t="str">
        <f aca="false">IF(COUNTIFS($A$2:A459,A459,$C$2:C459,C459,$D$2:D459,D459)&gt;1,"중복","")</f>
        <v/>
      </c>
      <c r="W459" s="0" t="n">
        <f aca="false">IF(V459="중복",0,N(D459))</f>
        <v>480</v>
      </c>
      <c r="X459" s="0" t="n">
        <f aca="false">IF(COUNTIFS($A$2:A459,A459,$C$2:C459,C459)=1,ABS(SUMIFS(RAW_발주!$D:$D,RAW_발주!$C:$C,A459,RAW_발주!$A:$A,C459)-SUMIFS($W:$W,$A:$A,A459,$C:$C,C459)),0)</f>
        <v>0</v>
      </c>
    </row>
    <row r="460" customFormat="false" ht="15" hidden="false" customHeight="true" outlineLevel="0" collapsed="false">
      <c r="A460" s="45" t="s">
        <v>1659</v>
      </c>
      <c r="B460" s="42" t="str">
        <f aca="false">IF(A460="100","HK",IF(A460="200","CN",IF(A460="300","TW","홀세일")))</f>
        <v>HK</v>
      </c>
      <c r="C460" s="45" t="s">
        <v>306</v>
      </c>
      <c r="D460" s="46" t="n">
        <v>480</v>
      </c>
      <c r="E460" s="46" t="n">
        <v>69000</v>
      </c>
      <c r="F460" s="46" t="n">
        <v>13100</v>
      </c>
      <c r="G460" s="42" t="n">
        <v>4.79</v>
      </c>
      <c r="H460" s="42" t="n">
        <v>17.3</v>
      </c>
      <c r="J460" s="46" t="n">
        <f aca="false">IF(N(E460)&gt;0,E460,IF(N(F460)&gt;0,F460*요약!$F$27,0))</f>
        <v>69000</v>
      </c>
      <c r="K460" s="46" t="n">
        <f aca="false">IF(N(F460)&gt;0,F460,IF(N(E460)&gt;0,E460/요약!$F$27,0))</f>
        <v>13100</v>
      </c>
      <c r="L460" s="46" t="n">
        <f aca="false">IF(B460="CN",IF(N(I460)&gt;0,I460*요약!$G$27,K460*(1+요약!$E$27)),IF(N(H460)&gt;0,H460*요약!$G$27,J460*요약!$D$27))</f>
        <v>22836</v>
      </c>
      <c r="M460" s="46" t="n">
        <f aca="false">D460*J460</f>
        <v>33120000</v>
      </c>
      <c r="N460" s="46" t="n">
        <f aca="false">D460*K460</f>
        <v>6288000</v>
      </c>
      <c r="O460" s="46" t="n">
        <f aca="false">D460*L460</f>
        <v>10961280</v>
      </c>
      <c r="P460" s="42" t="str">
        <f aca="false">TRIM(IF(N(E460)&lt;=0,"택가보정 ","")&amp;IF(N(F460)&lt;=0,"원가보정 ","")&amp;IF(AND(B460&lt;&gt;"CN",N(H460)&lt;=0),"공급가보정 ","")&amp;IF(AND(B460="CN",N(I460)&lt;=0),"중국공급가=원가+마진 ",""))</f>
        <v/>
      </c>
      <c r="Q460" s="47" t="n">
        <f aca="false">IF(SUMIFS($W:$W,$A:$A,A460,$C:$C,C460)=0,0,SUMIFS(RAW_판매펀칭!$K:$K,RAW_판매펀칭!$P:$P,A460,RAW_판매펀칭!$I:$I,C460)*W460/SUMIFS($W:$W,$A:$A,A460,$C:$C,C460))</f>
        <v>0</v>
      </c>
      <c r="R460" s="47" t="n">
        <f aca="false">IF(OR(A460="500",A460="800",A460="810"),0,MAX(W460-Q460,0))</f>
        <v>0</v>
      </c>
      <c r="S460" s="47" t="n">
        <f aca="false">R460*L460</f>
        <v>0</v>
      </c>
      <c r="T460" s="47" t="n">
        <f aca="false">R460*J460</f>
        <v>0</v>
      </c>
      <c r="U460" s="47" t="n">
        <f aca="false">R460*K460</f>
        <v>0</v>
      </c>
      <c r="V460" s="0" t="str">
        <f aca="false">IF(COUNTIFS($A$2:A460,A460,$C$2:C460,C460,$D$2:D460,D460)&gt;1,"중복","")</f>
        <v>중복</v>
      </c>
      <c r="W460" s="0" t="n">
        <f aca="false">IF(V460="중복",0,N(D460))</f>
        <v>0</v>
      </c>
      <c r="X460" s="0" t="n">
        <f aca="false">IF(COUNTIFS($A$2:A460,A460,$C$2:C460,C460)=1,ABS(SUMIFS(RAW_발주!$D:$D,RAW_발주!$C:$C,A460,RAW_발주!$A:$A,C460)-SUMIFS($W:$W,$A:$A,A460,$C:$C,C460)),0)</f>
        <v>0</v>
      </c>
    </row>
    <row r="461" customFormat="false" ht="15" hidden="false" customHeight="true" outlineLevel="0" collapsed="false">
      <c r="A461" s="45" t="s">
        <v>1661</v>
      </c>
      <c r="B461" s="42" t="str">
        <f aca="false">IF(A461="100","HK",IF(A461="200","CN",IF(A461="300","TW","홀세일")))</f>
        <v>TW</v>
      </c>
      <c r="C461" s="45" t="s">
        <v>306</v>
      </c>
      <c r="D461" s="46" t="n">
        <v>240</v>
      </c>
      <c r="E461" s="46" t="n">
        <v>69000</v>
      </c>
      <c r="F461" s="46" t="n">
        <v>13100</v>
      </c>
      <c r="G461" s="42" t="n">
        <v>4.79</v>
      </c>
      <c r="H461" s="42" t="n">
        <v>17.3</v>
      </c>
      <c r="J461" s="46" t="n">
        <f aca="false">IF(N(E461)&gt;0,E461,IF(N(F461)&gt;0,F461*요약!$F$27,0))</f>
        <v>69000</v>
      </c>
      <c r="K461" s="46" t="n">
        <f aca="false">IF(N(F461)&gt;0,F461,IF(N(E461)&gt;0,E461/요약!$F$27,0))</f>
        <v>13100</v>
      </c>
      <c r="L461" s="46" t="n">
        <f aca="false">IF(B461="CN",IF(N(I461)&gt;0,I461*요약!$G$27,K461*(1+요약!$E$27)),IF(N(H461)&gt;0,H461*요약!$G$27,J461*요약!$D$27))</f>
        <v>22836</v>
      </c>
      <c r="M461" s="46" t="n">
        <f aca="false">D461*J461</f>
        <v>16560000</v>
      </c>
      <c r="N461" s="46" t="n">
        <f aca="false">D461*K461</f>
        <v>3144000</v>
      </c>
      <c r="O461" s="46" t="n">
        <f aca="false">D461*L461</f>
        <v>5480640</v>
      </c>
      <c r="P461" s="42" t="str">
        <f aca="false">TRIM(IF(N(E461)&lt;=0,"택가보정 ","")&amp;IF(N(F461)&lt;=0,"원가보정 ","")&amp;IF(AND(B461&lt;&gt;"CN",N(H461)&lt;=0),"공급가보정 ","")&amp;IF(AND(B461="CN",N(I461)&lt;=0),"중국공급가=원가+마진 ",""))</f>
        <v/>
      </c>
      <c r="Q461" s="47" t="n">
        <f aca="false">IF(SUMIFS($W:$W,$A:$A,A461,$C:$C,C461)=0,0,SUMIFS(RAW_판매펀칭!$K:$K,RAW_판매펀칭!$P:$P,A461,RAW_판매펀칭!$I:$I,C461)*W461/SUMIFS($W:$W,$A:$A,A461,$C:$C,C461))</f>
        <v>240</v>
      </c>
      <c r="R461" s="47" t="n">
        <f aca="false">IF(OR(A461="500",A461="800",A461="810"),0,MAX(W461-Q461,0))</f>
        <v>0</v>
      </c>
      <c r="S461" s="47" t="n">
        <f aca="false">R461*L461</f>
        <v>0</v>
      </c>
      <c r="T461" s="47" t="n">
        <f aca="false">R461*J461</f>
        <v>0</v>
      </c>
      <c r="U461" s="47" t="n">
        <f aca="false">R461*K461</f>
        <v>0</v>
      </c>
      <c r="V461" s="0" t="str">
        <f aca="false">IF(COUNTIFS($A$2:A461,A461,$C$2:C461,C461,$D$2:D461,D461)&gt;1,"중복","")</f>
        <v/>
      </c>
      <c r="W461" s="0" t="n">
        <f aca="false">IF(V461="중복",0,N(D461))</f>
        <v>240</v>
      </c>
      <c r="X461" s="0" t="n">
        <f aca="false">IF(COUNTIFS($A$2:A461,A461,$C$2:C461,C461)=1,ABS(SUMIFS(RAW_발주!$D:$D,RAW_발주!$C:$C,A461,RAW_발주!$A:$A,C461)-SUMIFS($W:$W,$A:$A,A461,$C:$C,C461)),0)</f>
        <v>0</v>
      </c>
    </row>
    <row r="462" customFormat="false" ht="15" hidden="false" customHeight="true" outlineLevel="0" collapsed="false">
      <c r="A462" s="45" t="s">
        <v>1664</v>
      </c>
      <c r="B462" s="42" t="str">
        <f aca="false">IF(A462="100","HK",IF(A462="200","CN",IF(A462="300","TW","홀세일")))</f>
        <v>홀세일</v>
      </c>
      <c r="C462" s="45" t="s">
        <v>306</v>
      </c>
      <c r="D462" s="46" t="n">
        <v>90</v>
      </c>
      <c r="E462" s="46" t="n">
        <v>69000</v>
      </c>
      <c r="F462" s="46" t="n">
        <v>13100</v>
      </c>
      <c r="G462" s="42" t="n">
        <v>4.79</v>
      </c>
      <c r="H462" s="42" t="n">
        <v>17.3</v>
      </c>
      <c r="J462" s="46" t="n">
        <f aca="false">IF(N(E462)&gt;0,E462,IF(N(F462)&gt;0,F462*요약!$F$27,0))</f>
        <v>69000</v>
      </c>
      <c r="K462" s="46" t="n">
        <f aca="false">IF(N(F462)&gt;0,F462,IF(N(E462)&gt;0,E462/요약!$F$27,0))</f>
        <v>13100</v>
      </c>
      <c r="L462" s="46" t="n">
        <f aca="false">IF(B462="CN",IF(N(I462)&gt;0,I462*요약!$G$27,K462*(1+요약!$E$27)),IF(N(H462)&gt;0,H462*요약!$G$27,J462*요약!$D$27))</f>
        <v>22836</v>
      </c>
      <c r="M462" s="46" t="n">
        <f aca="false">D462*J462</f>
        <v>6210000</v>
      </c>
      <c r="N462" s="46" t="n">
        <f aca="false">D462*K462</f>
        <v>1179000</v>
      </c>
      <c r="O462" s="46" t="n">
        <f aca="false">D462*L462</f>
        <v>2055240</v>
      </c>
      <c r="P462" s="42" t="str">
        <f aca="false">TRIM(IF(N(E462)&lt;=0,"택가보정 ","")&amp;IF(N(F462)&lt;=0,"원가보정 ","")&amp;IF(AND(B462&lt;&gt;"CN",N(H462)&lt;=0),"공급가보정 ","")&amp;IF(AND(B462="CN",N(I462)&lt;=0),"중국공급가=원가+마진 ",""))</f>
        <v/>
      </c>
      <c r="Q462" s="47" t="n">
        <f aca="false">IF(SUMIFS($W:$W,$A:$A,A462,$C:$C,C462)=0,0,SUMIFS(RAW_판매펀칭!$K:$K,RAW_판매펀칭!$P:$P,A462,RAW_판매펀칭!$I:$I,C462)*W462/SUMIFS($W:$W,$A:$A,A462,$C:$C,C462))</f>
        <v>0</v>
      </c>
      <c r="R462" s="47" t="n">
        <f aca="false">IF(OR(A462="500",A462="800",A462="810"),0,MAX(W462-Q462,0))</f>
        <v>0</v>
      </c>
      <c r="S462" s="47" t="n">
        <f aca="false">R462*L462</f>
        <v>0</v>
      </c>
      <c r="T462" s="47" t="n">
        <f aca="false">R462*J462</f>
        <v>0</v>
      </c>
      <c r="U462" s="47" t="n">
        <f aca="false">R462*K462</f>
        <v>0</v>
      </c>
      <c r="V462" s="0" t="str">
        <f aca="false">IF(COUNTIFS($A$2:A462,A462,$C$2:C462,C462,$D$2:D462,D462)&gt;1,"중복","")</f>
        <v/>
      </c>
      <c r="W462" s="0" t="n">
        <f aca="false">IF(V462="중복",0,N(D462))</f>
        <v>90</v>
      </c>
      <c r="X462" s="0" t="n">
        <f aca="false">IF(COUNTIFS($A$2:A462,A462,$C$2:C462,C462)=1,ABS(SUMIFS(RAW_발주!$D:$D,RAW_발주!$C:$C,A462,RAW_발주!$A:$A,C462)-SUMIFS($W:$W,$A:$A,A462,$C:$C,C462)),0)</f>
        <v>0</v>
      </c>
    </row>
    <row r="463" customFormat="false" ht="15" hidden="false" customHeight="true" outlineLevel="0" collapsed="false">
      <c r="A463" s="45" t="s">
        <v>1665</v>
      </c>
      <c r="B463" s="42" t="str">
        <f aca="false">IF(A463="100","HK",IF(A463="200","CN",IF(A463="300","TW","홀세일")))</f>
        <v>홀세일</v>
      </c>
      <c r="C463" s="45" t="s">
        <v>306</v>
      </c>
      <c r="D463" s="46" t="n">
        <v>216</v>
      </c>
      <c r="E463" s="46" t="n">
        <v>69000</v>
      </c>
      <c r="F463" s="46" t="n">
        <v>13100</v>
      </c>
      <c r="G463" s="42" t="n">
        <v>4.79</v>
      </c>
      <c r="H463" s="42" t="n">
        <v>17.3</v>
      </c>
      <c r="J463" s="46" t="n">
        <f aca="false">IF(N(E463)&gt;0,E463,IF(N(F463)&gt;0,F463*요약!$F$27,0))</f>
        <v>69000</v>
      </c>
      <c r="K463" s="46" t="n">
        <f aca="false">IF(N(F463)&gt;0,F463,IF(N(E463)&gt;0,E463/요약!$F$27,0))</f>
        <v>13100</v>
      </c>
      <c r="L463" s="46" t="n">
        <f aca="false">IF(B463="CN",IF(N(I463)&gt;0,I463*요약!$G$27,K463*(1+요약!$E$27)),IF(N(H463)&gt;0,H463*요약!$G$27,J463*요약!$D$27))</f>
        <v>22836</v>
      </c>
      <c r="M463" s="46" t="n">
        <f aca="false">D463*J463</f>
        <v>14904000</v>
      </c>
      <c r="N463" s="46" t="n">
        <f aca="false">D463*K463</f>
        <v>2829600</v>
      </c>
      <c r="O463" s="46" t="n">
        <f aca="false">D463*L463</f>
        <v>4932576</v>
      </c>
      <c r="P463" s="42" t="str">
        <f aca="false">TRIM(IF(N(E463)&lt;=0,"택가보정 ","")&amp;IF(N(F463)&lt;=0,"원가보정 ","")&amp;IF(AND(B463&lt;&gt;"CN",N(H463)&lt;=0),"공급가보정 ","")&amp;IF(AND(B463="CN",N(I463)&lt;=0),"중국공급가=원가+마진 ",""))</f>
        <v/>
      </c>
      <c r="Q463" s="47" t="n">
        <f aca="false">IF(SUMIFS($W:$W,$A:$A,A463,$C:$C,C463)=0,0,SUMIFS(RAW_판매펀칭!$K:$K,RAW_판매펀칭!$P:$P,A463,RAW_판매펀칭!$I:$I,C463)*W463/SUMIFS($W:$W,$A:$A,A463,$C:$C,C463))</f>
        <v>216</v>
      </c>
      <c r="R463" s="47" t="n">
        <f aca="false">IF(OR(A463="500",A463="800",A463="810"),0,MAX(W463-Q463,0))</f>
        <v>0</v>
      </c>
      <c r="S463" s="47" t="n">
        <f aca="false">R463*L463</f>
        <v>0</v>
      </c>
      <c r="T463" s="47" t="n">
        <f aca="false">R463*J463</f>
        <v>0</v>
      </c>
      <c r="U463" s="47" t="n">
        <f aca="false">R463*K463</f>
        <v>0</v>
      </c>
      <c r="V463" s="0" t="str">
        <f aca="false">IF(COUNTIFS($A$2:A463,A463,$C$2:C463,C463,$D$2:D463,D463)&gt;1,"중복","")</f>
        <v/>
      </c>
      <c r="W463" s="0" t="n">
        <f aca="false">IF(V463="중복",0,N(D463))</f>
        <v>216</v>
      </c>
      <c r="X463" s="0" t="n">
        <f aca="false">IF(COUNTIFS($A$2:A463,A463,$C$2:C463,C463)=1,ABS(SUMIFS(RAW_발주!$D:$D,RAW_발주!$C:$C,A463,RAW_발주!$A:$A,C463)-SUMIFS($W:$W,$A:$A,A463,$C:$C,C463)),0)</f>
        <v>0</v>
      </c>
    </row>
    <row r="464" customFormat="false" ht="15" hidden="false" customHeight="true" outlineLevel="0" collapsed="false">
      <c r="A464" s="45" t="s">
        <v>1659</v>
      </c>
      <c r="B464" s="42" t="str">
        <f aca="false">IF(A464="100","HK",IF(A464="200","CN",IF(A464="300","TW","홀세일")))</f>
        <v>HK</v>
      </c>
      <c r="C464" s="45" t="s">
        <v>308</v>
      </c>
      <c r="D464" s="46" t="n">
        <v>600</v>
      </c>
      <c r="E464" s="46" t="n">
        <v>89000</v>
      </c>
      <c r="F464" s="46" t="n">
        <v>17700</v>
      </c>
      <c r="G464" s="42" t="n">
        <v>4.9</v>
      </c>
      <c r="H464" s="42" t="n">
        <v>22.3</v>
      </c>
      <c r="J464" s="46" t="n">
        <f aca="false">IF(N(E464)&gt;0,E464,IF(N(F464)&gt;0,F464*요약!$F$27,0))</f>
        <v>89000</v>
      </c>
      <c r="K464" s="46" t="n">
        <f aca="false">IF(N(F464)&gt;0,F464,IF(N(E464)&gt;0,E464/요약!$F$27,0))</f>
        <v>17700</v>
      </c>
      <c r="L464" s="46" t="n">
        <f aca="false">IF(B464="CN",IF(N(I464)&gt;0,I464*요약!$G$27,K464*(1+요약!$E$27)),IF(N(H464)&gt;0,H464*요약!$G$27,J464*요약!$D$27))</f>
        <v>29436</v>
      </c>
      <c r="M464" s="46" t="n">
        <f aca="false">D464*J464</f>
        <v>53400000</v>
      </c>
      <c r="N464" s="46" t="n">
        <f aca="false">D464*K464</f>
        <v>10620000</v>
      </c>
      <c r="O464" s="46" t="n">
        <f aca="false">D464*L464</f>
        <v>17661600</v>
      </c>
      <c r="P464" s="42" t="str">
        <f aca="false">TRIM(IF(N(E464)&lt;=0,"택가보정 ","")&amp;IF(N(F464)&lt;=0,"원가보정 ","")&amp;IF(AND(B464&lt;&gt;"CN",N(H464)&lt;=0),"공급가보정 ","")&amp;IF(AND(B464="CN",N(I464)&lt;=0),"중국공급가=원가+마진 ",""))</f>
        <v/>
      </c>
      <c r="Q464" s="47" t="n">
        <f aca="false">IF(SUMIFS($W:$W,$A:$A,A464,$C:$C,C464)=0,0,SUMIFS(RAW_판매펀칭!$K:$K,RAW_판매펀칭!$P:$P,A464,RAW_판매펀칭!$I:$I,C464)*W464/SUMIFS($W:$W,$A:$A,A464,$C:$C,C464))</f>
        <v>600</v>
      </c>
      <c r="R464" s="47" t="n">
        <f aca="false">IF(OR(A464="500",A464="800",A464="810"),0,MAX(W464-Q464,0))</f>
        <v>0</v>
      </c>
      <c r="S464" s="47" t="n">
        <f aca="false">R464*L464</f>
        <v>0</v>
      </c>
      <c r="T464" s="47" t="n">
        <f aca="false">R464*J464</f>
        <v>0</v>
      </c>
      <c r="U464" s="47" t="n">
        <f aca="false">R464*K464</f>
        <v>0</v>
      </c>
      <c r="V464" s="0" t="str">
        <f aca="false">IF(COUNTIFS($A$2:A464,A464,$C$2:C464,C464,$D$2:D464,D464)&gt;1,"중복","")</f>
        <v/>
      </c>
      <c r="W464" s="0" t="n">
        <f aca="false">IF(V464="중복",0,N(D464))</f>
        <v>600</v>
      </c>
      <c r="X464" s="0" t="n">
        <f aca="false">IF(COUNTIFS($A$2:A464,A464,$C$2:C464,C464)=1,ABS(SUMIFS(RAW_발주!$D:$D,RAW_발주!$C:$C,A464,RAW_발주!$A:$A,C464)-SUMIFS($W:$W,$A:$A,A464,$C:$C,C464)),0)</f>
        <v>0</v>
      </c>
    </row>
    <row r="465" customFormat="false" ht="15" hidden="false" customHeight="true" outlineLevel="0" collapsed="false">
      <c r="A465" s="45" t="s">
        <v>1661</v>
      </c>
      <c r="B465" s="42" t="str">
        <f aca="false">IF(A465="100","HK",IF(A465="200","CN",IF(A465="300","TW","홀세일")))</f>
        <v>TW</v>
      </c>
      <c r="C465" s="45" t="s">
        <v>308</v>
      </c>
      <c r="D465" s="46" t="n">
        <v>1100</v>
      </c>
      <c r="E465" s="46" t="n">
        <v>89000</v>
      </c>
      <c r="F465" s="46" t="n">
        <v>17700</v>
      </c>
      <c r="G465" s="42" t="n">
        <v>4.9</v>
      </c>
      <c r="H465" s="42" t="n">
        <v>22.3</v>
      </c>
      <c r="J465" s="46" t="n">
        <f aca="false">IF(N(E465)&gt;0,E465,IF(N(F465)&gt;0,F465*요약!$F$27,0))</f>
        <v>89000</v>
      </c>
      <c r="K465" s="46" t="n">
        <f aca="false">IF(N(F465)&gt;0,F465,IF(N(E465)&gt;0,E465/요약!$F$27,0))</f>
        <v>17700</v>
      </c>
      <c r="L465" s="46" t="n">
        <f aca="false">IF(B465="CN",IF(N(I465)&gt;0,I465*요약!$G$27,K465*(1+요약!$E$27)),IF(N(H465)&gt;0,H465*요약!$G$27,J465*요약!$D$27))</f>
        <v>29436</v>
      </c>
      <c r="M465" s="46" t="n">
        <f aca="false">D465*J465</f>
        <v>97900000</v>
      </c>
      <c r="N465" s="46" t="n">
        <f aca="false">D465*K465</f>
        <v>19470000</v>
      </c>
      <c r="O465" s="46" t="n">
        <f aca="false">D465*L465</f>
        <v>32379600</v>
      </c>
      <c r="P465" s="42" t="str">
        <f aca="false">TRIM(IF(N(E465)&lt;=0,"택가보정 ","")&amp;IF(N(F465)&lt;=0,"원가보정 ","")&amp;IF(AND(B465&lt;&gt;"CN",N(H465)&lt;=0),"공급가보정 ","")&amp;IF(AND(B465="CN",N(I465)&lt;=0),"중국공급가=원가+마진 ",""))</f>
        <v/>
      </c>
      <c r="Q465" s="47" t="n">
        <f aca="false">IF(SUMIFS($W:$W,$A:$A,A465,$C:$C,C465)=0,0,SUMIFS(RAW_판매펀칭!$K:$K,RAW_판매펀칭!$P:$P,A465,RAW_판매펀칭!$I:$I,C465)*W465/SUMIFS($W:$W,$A:$A,A465,$C:$C,C465))</f>
        <v>1100</v>
      </c>
      <c r="R465" s="47" t="n">
        <f aca="false">IF(OR(A465="500",A465="800",A465="810"),0,MAX(W465-Q465,0))</f>
        <v>0</v>
      </c>
      <c r="S465" s="47" t="n">
        <f aca="false">R465*L465</f>
        <v>0</v>
      </c>
      <c r="T465" s="47" t="n">
        <f aca="false">R465*J465</f>
        <v>0</v>
      </c>
      <c r="U465" s="47" t="n">
        <f aca="false">R465*K465</f>
        <v>0</v>
      </c>
      <c r="V465" s="0" t="str">
        <f aca="false">IF(COUNTIFS($A$2:A465,A465,$C$2:C465,C465,$D$2:D465,D465)&gt;1,"중복","")</f>
        <v/>
      </c>
      <c r="W465" s="0" t="n">
        <f aca="false">IF(V465="중복",0,N(D465))</f>
        <v>1100</v>
      </c>
      <c r="X465" s="0" t="n">
        <f aca="false">IF(COUNTIFS($A$2:A465,A465,$C$2:C465,C465)=1,ABS(SUMIFS(RAW_발주!$D:$D,RAW_발주!$C:$C,A465,RAW_발주!$A:$A,C465)-SUMIFS($W:$W,$A:$A,A465,$C:$C,C465)),0)</f>
        <v>0</v>
      </c>
    </row>
    <row r="466" customFormat="false" ht="15" hidden="false" customHeight="true" outlineLevel="0" collapsed="false">
      <c r="A466" s="45" t="s">
        <v>1663</v>
      </c>
      <c r="B466" s="42" t="str">
        <f aca="false">IF(A466="100","HK",IF(A466="200","CN",IF(A466="300","TW","홀세일")))</f>
        <v>홀세일</v>
      </c>
      <c r="C466" s="45" t="s">
        <v>308</v>
      </c>
      <c r="D466" s="46" t="n">
        <v>75</v>
      </c>
      <c r="E466" s="46" t="n">
        <v>89000</v>
      </c>
      <c r="F466" s="46" t="n">
        <v>17700</v>
      </c>
      <c r="G466" s="42" t="n">
        <v>4.9</v>
      </c>
      <c r="H466" s="42" t="n">
        <v>22.3</v>
      </c>
      <c r="J466" s="46" t="n">
        <f aca="false">IF(N(E466)&gt;0,E466,IF(N(F466)&gt;0,F466*요약!$F$27,0))</f>
        <v>89000</v>
      </c>
      <c r="K466" s="46" t="n">
        <f aca="false">IF(N(F466)&gt;0,F466,IF(N(E466)&gt;0,E466/요약!$F$27,0))</f>
        <v>17700</v>
      </c>
      <c r="L466" s="46" t="n">
        <f aca="false">IF(B466="CN",IF(N(I466)&gt;0,I466*요약!$G$27,K466*(1+요약!$E$27)),IF(N(H466)&gt;0,H466*요약!$G$27,J466*요약!$D$27))</f>
        <v>29436</v>
      </c>
      <c r="M466" s="46" t="n">
        <f aca="false">D466*J466</f>
        <v>6675000</v>
      </c>
      <c r="N466" s="46" t="n">
        <f aca="false">D466*K466</f>
        <v>1327500</v>
      </c>
      <c r="O466" s="46" t="n">
        <f aca="false">D466*L466</f>
        <v>2207700</v>
      </c>
      <c r="P466" s="42" t="str">
        <f aca="false">TRIM(IF(N(E466)&lt;=0,"택가보정 ","")&amp;IF(N(F466)&lt;=0,"원가보정 ","")&amp;IF(AND(B466&lt;&gt;"CN",N(H466)&lt;=0),"공급가보정 ","")&amp;IF(AND(B466="CN",N(I466)&lt;=0),"중국공급가=원가+마진 ",""))</f>
        <v/>
      </c>
      <c r="Q466" s="47" t="n">
        <f aca="false">IF(SUMIFS($W:$W,$A:$A,A466,$C:$C,C466)=0,0,SUMIFS(RAW_판매펀칭!$K:$K,RAW_판매펀칭!$P:$P,A466,RAW_판매펀칭!$I:$I,C466)*W466/SUMIFS($W:$W,$A:$A,A466,$C:$C,C466))</f>
        <v>75</v>
      </c>
      <c r="R466" s="47" t="n">
        <f aca="false">IF(OR(A466="500",A466="800",A466="810"),0,MAX(W466-Q466,0))</f>
        <v>0</v>
      </c>
      <c r="S466" s="47" t="n">
        <f aca="false">R466*L466</f>
        <v>0</v>
      </c>
      <c r="T466" s="47" t="n">
        <f aca="false">R466*J466</f>
        <v>0</v>
      </c>
      <c r="U466" s="47" t="n">
        <f aca="false">R466*K466</f>
        <v>0</v>
      </c>
      <c r="V466" s="0" t="str">
        <f aca="false">IF(COUNTIFS($A$2:A466,A466,$C$2:C466,C466,$D$2:D466,D466)&gt;1,"중복","")</f>
        <v/>
      </c>
      <c r="W466" s="0" t="n">
        <f aca="false">IF(V466="중복",0,N(D466))</f>
        <v>75</v>
      </c>
      <c r="X466" s="0" t="n">
        <f aca="false">IF(COUNTIFS($A$2:A466,A466,$C$2:C466,C466)=1,ABS(SUMIFS(RAW_발주!$D:$D,RAW_발주!$C:$C,A466,RAW_발주!$A:$A,C466)-SUMIFS($W:$W,$A:$A,A466,$C:$C,C466)),0)</f>
        <v>0</v>
      </c>
    </row>
    <row r="467" customFormat="false" ht="15" hidden="false" customHeight="true" outlineLevel="0" collapsed="false">
      <c r="A467" s="45" t="s">
        <v>1661</v>
      </c>
      <c r="B467" s="42" t="str">
        <f aca="false">IF(A467="100","HK",IF(A467="200","CN",IF(A467="300","TW","홀세일")))</f>
        <v>TW</v>
      </c>
      <c r="C467" s="45" t="s">
        <v>310</v>
      </c>
      <c r="D467" s="46" t="n">
        <v>480</v>
      </c>
      <c r="E467" s="46" t="n">
        <v>89000</v>
      </c>
      <c r="F467" s="46" t="n">
        <v>19622</v>
      </c>
      <c r="G467" s="42" t="n">
        <v>4.21</v>
      </c>
      <c r="H467" s="42" t="n">
        <v>22.3</v>
      </c>
      <c r="J467" s="46" t="n">
        <f aca="false">IF(N(E467)&gt;0,E467,IF(N(F467)&gt;0,F467*요약!$F$27,0))</f>
        <v>89000</v>
      </c>
      <c r="K467" s="46" t="n">
        <f aca="false">IF(N(F467)&gt;0,F467,IF(N(E467)&gt;0,E467/요약!$F$27,0))</f>
        <v>19622</v>
      </c>
      <c r="L467" s="46" t="n">
        <f aca="false">IF(B467="CN",IF(N(I467)&gt;0,I467*요약!$G$27,K467*(1+요약!$E$27)),IF(N(H467)&gt;0,H467*요약!$G$27,J467*요약!$D$27))</f>
        <v>29436</v>
      </c>
      <c r="M467" s="46" t="n">
        <f aca="false">D467*J467</f>
        <v>42720000</v>
      </c>
      <c r="N467" s="46" t="n">
        <f aca="false">D467*K467</f>
        <v>9418560</v>
      </c>
      <c r="O467" s="46" t="n">
        <f aca="false">D467*L467</f>
        <v>14129280</v>
      </c>
      <c r="P467" s="42" t="str">
        <f aca="false">TRIM(IF(N(E467)&lt;=0,"택가보정 ","")&amp;IF(N(F467)&lt;=0,"원가보정 ","")&amp;IF(AND(B467&lt;&gt;"CN",N(H467)&lt;=0),"공급가보정 ","")&amp;IF(AND(B467="CN",N(I467)&lt;=0),"중국공급가=원가+마진 ",""))</f>
        <v/>
      </c>
      <c r="Q467" s="47" t="n">
        <f aca="false">IF(SUMIFS($W:$W,$A:$A,A467,$C:$C,C467)=0,0,SUMIFS(RAW_판매펀칭!$K:$K,RAW_판매펀칭!$P:$P,A467,RAW_판매펀칭!$I:$I,C467)*W467/SUMIFS($W:$W,$A:$A,A467,$C:$C,C467))</f>
        <v>555</v>
      </c>
      <c r="R467" s="47" t="n">
        <f aca="false">IF(OR(A467="500",A467="800",A467="810"),0,MAX(W467-Q467,0))</f>
        <v>0</v>
      </c>
      <c r="S467" s="47" t="n">
        <f aca="false">R467*L467</f>
        <v>0</v>
      </c>
      <c r="T467" s="47" t="n">
        <f aca="false">R467*J467</f>
        <v>0</v>
      </c>
      <c r="U467" s="47" t="n">
        <f aca="false">R467*K467</f>
        <v>0</v>
      </c>
      <c r="V467" s="0" t="str">
        <f aca="false">IF(COUNTIFS($A$2:A467,A467,$C$2:C467,C467,$D$2:D467,D467)&gt;1,"중복","")</f>
        <v/>
      </c>
      <c r="W467" s="0" t="n">
        <f aca="false">IF(V467="중복",0,N(D467))</f>
        <v>480</v>
      </c>
      <c r="X467" s="0" t="n">
        <f aca="false">IF(COUNTIFS($A$2:A467,A467,$C$2:C467,C467)=1,ABS(SUMIFS(RAW_발주!$D:$D,RAW_발주!$C:$C,A467,RAW_발주!$A:$A,C467)-SUMIFS($W:$W,$A:$A,A467,$C:$C,C467)),0)</f>
        <v>0</v>
      </c>
    </row>
    <row r="468" customFormat="false" ht="15" hidden="false" customHeight="true" outlineLevel="0" collapsed="false">
      <c r="A468" s="45" t="s">
        <v>1663</v>
      </c>
      <c r="B468" s="42" t="str">
        <f aca="false">IF(A468="100","HK",IF(A468="200","CN",IF(A468="300","TW","홀세일")))</f>
        <v>홀세일</v>
      </c>
      <c r="C468" s="45" t="s">
        <v>310</v>
      </c>
      <c r="D468" s="46" t="n">
        <v>50</v>
      </c>
      <c r="E468" s="46" t="n">
        <v>89000</v>
      </c>
      <c r="F468" s="46" t="n">
        <v>19622</v>
      </c>
      <c r="G468" s="42" t="n">
        <v>4.21</v>
      </c>
      <c r="H468" s="42" t="n">
        <v>22.3</v>
      </c>
      <c r="J468" s="46" t="n">
        <f aca="false">IF(N(E468)&gt;0,E468,IF(N(F468)&gt;0,F468*요약!$F$27,0))</f>
        <v>89000</v>
      </c>
      <c r="K468" s="46" t="n">
        <f aca="false">IF(N(F468)&gt;0,F468,IF(N(E468)&gt;0,E468/요약!$F$27,0))</f>
        <v>19622</v>
      </c>
      <c r="L468" s="46" t="n">
        <f aca="false">IF(B468="CN",IF(N(I468)&gt;0,I468*요약!$G$27,K468*(1+요약!$E$27)),IF(N(H468)&gt;0,H468*요약!$G$27,J468*요약!$D$27))</f>
        <v>29436</v>
      </c>
      <c r="M468" s="46" t="n">
        <f aca="false">D468*J468</f>
        <v>4450000</v>
      </c>
      <c r="N468" s="46" t="n">
        <f aca="false">D468*K468</f>
        <v>981100</v>
      </c>
      <c r="O468" s="46" t="n">
        <f aca="false">D468*L468</f>
        <v>1471800</v>
      </c>
      <c r="P468" s="42" t="str">
        <f aca="false">TRIM(IF(N(E468)&lt;=0,"택가보정 ","")&amp;IF(N(F468)&lt;=0,"원가보정 ","")&amp;IF(AND(B468&lt;&gt;"CN",N(H468)&lt;=0),"공급가보정 ","")&amp;IF(AND(B468="CN",N(I468)&lt;=0),"중국공급가=원가+마진 ",""))</f>
        <v/>
      </c>
      <c r="Q468" s="47" t="n">
        <f aca="false">IF(SUMIFS($W:$W,$A:$A,A468,$C:$C,C468)=0,0,SUMIFS(RAW_판매펀칭!$K:$K,RAW_판매펀칭!$P:$P,A468,RAW_판매펀칭!$I:$I,C468)*W468/SUMIFS($W:$W,$A:$A,A468,$C:$C,C468))</f>
        <v>50</v>
      </c>
      <c r="R468" s="47" t="n">
        <f aca="false">IF(OR(A468="500",A468="800",A468="810"),0,MAX(W468-Q468,0))</f>
        <v>0</v>
      </c>
      <c r="S468" s="47" t="n">
        <f aca="false">R468*L468</f>
        <v>0</v>
      </c>
      <c r="T468" s="47" t="n">
        <f aca="false">R468*J468</f>
        <v>0</v>
      </c>
      <c r="U468" s="47" t="n">
        <f aca="false">R468*K468</f>
        <v>0</v>
      </c>
      <c r="V468" s="0" t="str">
        <f aca="false">IF(COUNTIFS($A$2:A468,A468,$C$2:C468,C468,$D$2:D468,D468)&gt;1,"중복","")</f>
        <v/>
      </c>
      <c r="W468" s="0" t="n">
        <f aca="false">IF(V468="중복",0,N(D468))</f>
        <v>50</v>
      </c>
      <c r="X468" s="0" t="n">
        <f aca="false">IF(COUNTIFS($A$2:A468,A468,$C$2:C468,C468)=1,ABS(SUMIFS(RAW_발주!$D:$D,RAW_발주!$C:$C,A468,RAW_발주!$A:$A,C468)-SUMIFS($W:$W,$A:$A,A468,$C:$C,C468)),0)</f>
        <v>0</v>
      </c>
    </row>
    <row r="469" customFormat="false" ht="15" hidden="false" customHeight="true" outlineLevel="0" collapsed="false">
      <c r="A469" s="45" t="s">
        <v>1659</v>
      </c>
      <c r="B469" s="42" t="str">
        <f aca="false">IF(A469="100","HK",IF(A469="200","CN",IF(A469="300","TW","홀세일")))</f>
        <v>HK</v>
      </c>
      <c r="C469" s="45" t="s">
        <v>312</v>
      </c>
      <c r="D469" s="46" t="n">
        <v>780</v>
      </c>
      <c r="E469" s="46" t="n">
        <v>89000</v>
      </c>
      <c r="F469" s="46" t="n">
        <v>14704</v>
      </c>
      <c r="G469" s="42" t="n">
        <v>4.52</v>
      </c>
      <c r="H469" s="42" t="n">
        <v>22.3</v>
      </c>
      <c r="J469" s="46" t="n">
        <f aca="false">IF(N(E469)&gt;0,E469,IF(N(F469)&gt;0,F469*요약!$F$27,0))</f>
        <v>89000</v>
      </c>
      <c r="K469" s="46" t="n">
        <f aca="false">IF(N(F469)&gt;0,F469,IF(N(E469)&gt;0,E469/요약!$F$27,0))</f>
        <v>14704</v>
      </c>
      <c r="L469" s="46" t="n">
        <f aca="false">IF(B469="CN",IF(N(I469)&gt;0,I469*요약!$G$27,K469*(1+요약!$E$27)),IF(N(H469)&gt;0,H469*요약!$G$27,J469*요약!$D$27))</f>
        <v>29436</v>
      </c>
      <c r="M469" s="46" t="n">
        <f aca="false">D469*J469</f>
        <v>69420000</v>
      </c>
      <c r="N469" s="46" t="n">
        <f aca="false">D469*K469</f>
        <v>11469120</v>
      </c>
      <c r="O469" s="46" t="n">
        <f aca="false">D469*L469</f>
        <v>22960080</v>
      </c>
      <c r="P469" s="42" t="str">
        <f aca="false">TRIM(IF(N(E469)&lt;=0,"택가보정 ","")&amp;IF(N(F469)&lt;=0,"원가보정 ","")&amp;IF(AND(B469&lt;&gt;"CN",N(H469)&lt;=0),"공급가보정 ","")&amp;IF(AND(B469="CN",N(I469)&lt;=0),"중국공급가=원가+마진 ",""))</f>
        <v/>
      </c>
      <c r="Q469" s="47" t="n">
        <f aca="false">IF(SUMIFS($W:$W,$A:$A,A469,$C:$C,C469)=0,0,SUMIFS(RAW_판매펀칭!$K:$K,RAW_판매펀칭!$P:$P,A469,RAW_판매펀칭!$I:$I,C469)*W469/SUMIFS($W:$W,$A:$A,A469,$C:$C,C469))</f>
        <v>780</v>
      </c>
      <c r="R469" s="47" t="n">
        <f aca="false">IF(OR(A469="500",A469="800",A469="810"),0,MAX(W469-Q469,0))</f>
        <v>0</v>
      </c>
      <c r="S469" s="47" t="n">
        <f aca="false">R469*L469</f>
        <v>0</v>
      </c>
      <c r="T469" s="47" t="n">
        <f aca="false">R469*J469</f>
        <v>0</v>
      </c>
      <c r="U469" s="47" t="n">
        <f aca="false">R469*K469</f>
        <v>0</v>
      </c>
      <c r="V469" s="0" t="str">
        <f aca="false">IF(COUNTIFS($A$2:A469,A469,$C$2:C469,C469,$D$2:D469,D469)&gt;1,"중복","")</f>
        <v/>
      </c>
      <c r="W469" s="0" t="n">
        <f aca="false">IF(V469="중복",0,N(D469))</f>
        <v>780</v>
      </c>
      <c r="X469" s="0" t="n">
        <f aca="false">IF(COUNTIFS($A$2:A469,A469,$C$2:C469,C469)=1,ABS(SUMIFS(RAW_발주!$D:$D,RAW_발주!$C:$C,A469,RAW_발주!$A:$A,C469)-SUMIFS($W:$W,$A:$A,A469,$C:$C,C469)),0)</f>
        <v>0</v>
      </c>
    </row>
    <row r="470" customFormat="false" ht="15.75" hidden="false" customHeight="true" outlineLevel="0" collapsed="false">
      <c r="A470" s="45" t="s">
        <v>1660</v>
      </c>
      <c r="B470" s="42" t="str">
        <f aca="false">IF(A470="100","HK",IF(A470="200","CN",IF(A470="300","TW","홀세일")))</f>
        <v>CN</v>
      </c>
      <c r="C470" s="45" t="s">
        <v>312</v>
      </c>
      <c r="D470" s="46" t="n">
        <v>523</v>
      </c>
      <c r="E470" s="46" t="n">
        <v>89000</v>
      </c>
      <c r="F470" s="46" t="n">
        <v>14704</v>
      </c>
      <c r="G470" s="42" t="n">
        <v>4.52</v>
      </c>
      <c r="H470" s="42" t="n">
        <v>22.3</v>
      </c>
      <c r="J470" s="46" t="n">
        <f aca="false">IF(N(E470)&gt;0,E470,IF(N(F470)&gt;0,F470*요약!$F$27,0))</f>
        <v>89000</v>
      </c>
      <c r="K470" s="46" t="n">
        <f aca="false">IF(N(F470)&gt;0,F470,IF(N(E470)&gt;0,E470/요약!$F$27,0))</f>
        <v>14704</v>
      </c>
      <c r="L470" s="46" t="n">
        <f aca="false">IF(B470="CN",IF(N(I470)&gt;0,I470*요약!$G$27,K470*(1+요약!$E$27)),IF(N(H470)&gt;0,H470*요약!$G$27,J470*요약!$D$27))</f>
        <v>15439.2</v>
      </c>
      <c r="M470" s="46" t="n">
        <f aca="false">D470*J470</f>
        <v>46547000</v>
      </c>
      <c r="N470" s="46" t="n">
        <f aca="false">D470*K470</f>
        <v>7690192</v>
      </c>
      <c r="O470" s="46" t="n">
        <f aca="false">D470*L470</f>
        <v>8074701.6</v>
      </c>
      <c r="P470" s="42" t="str">
        <f aca="false">TRIM(IF(N(E470)&lt;=0,"택가보정 ","")&amp;IF(N(F470)&lt;=0,"원가보정 ","")&amp;IF(AND(B470&lt;&gt;"CN",N(H470)&lt;=0),"공급가보정 ","")&amp;IF(AND(B470="CN",N(I470)&lt;=0),"중국공급가=원가+마진 ",""))</f>
        <v>중국공급가=원가+마진</v>
      </c>
      <c r="Q470" s="47" t="n">
        <f aca="false">IF(SUMIFS($W:$W,$A:$A,A470,$C:$C,C470)=0,0,SUMIFS(RAW_판매펀칭!$K:$K,RAW_판매펀칭!$P:$P,A470,RAW_판매펀칭!$I:$I,C470)*W470/SUMIFS($W:$W,$A:$A,A470,$C:$C,C470))</f>
        <v>520</v>
      </c>
      <c r="R470" s="47" t="n">
        <f aca="false">IF(OR(A470="500",A470="800",A470="810"),0,MAX(W470-Q470,0))</f>
        <v>3</v>
      </c>
      <c r="S470" s="47" t="n">
        <f aca="false">R470*L470</f>
        <v>46317.6</v>
      </c>
      <c r="T470" s="47" t="n">
        <f aca="false">R470*J470</f>
        <v>267000</v>
      </c>
      <c r="U470" s="47" t="n">
        <f aca="false">R470*K470</f>
        <v>44112</v>
      </c>
      <c r="V470" s="0" t="str">
        <f aca="false">IF(COUNTIFS($A$2:A470,A470,$C$2:C470,C470,$D$2:D470,D470)&gt;1,"중복","")</f>
        <v/>
      </c>
      <c r="W470" s="0" t="n">
        <f aca="false">IF(V470="중복",0,N(D470))</f>
        <v>523</v>
      </c>
      <c r="X470" s="0" t="n">
        <f aca="false">IF(COUNTIFS($A$2:A470,A470,$C$2:C470,C470)=1,ABS(SUMIFS(RAW_발주!$D:$D,RAW_발주!$C:$C,A470,RAW_발주!$A:$A,C470)-SUMIFS($W:$W,$A:$A,A470,$C:$C,C470)),0)</f>
        <v>0</v>
      </c>
    </row>
    <row r="471" customFormat="false" ht="15" hidden="false" customHeight="true" outlineLevel="0" collapsed="false">
      <c r="A471" s="45" t="s">
        <v>1661</v>
      </c>
      <c r="B471" s="42" t="str">
        <f aca="false">IF(A471="100","HK",IF(A471="200","CN",IF(A471="300","TW","홀세일")))</f>
        <v>TW</v>
      </c>
      <c r="C471" s="45" t="s">
        <v>312</v>
      </c>
      <c r="D471" s="46" t="n">
        <v>900</v>
      </c>
      <c r="E471" s="46" t="n">
        <v>89000</v>
      </c>
      <c r="F471" s="46" t="n">
        <v>14704</v>
      </c>
      <c r="G471" s="42" t="n">
        <v>4.52</v>
      </c>
      <c r="H471" s="42" t="n">
        <v>22.3</v>
      </c>
      <c r="J471" s="46" t="n">
        <f aca="false">IF(N(E471)&gt;0,E471,IF(N(F471)&gt;0,F471*요약!$F$27,0))</f>
        <v>89000</v>
      </c>
      <c r="K471" s="46" t="n">
        <f aca="false">IF(N(F471)&gt;0,F471,IF(N(E471)&gt;0,E471/요약!$F$27,0))</f>
        <v>14704</v>
      </c>
      <c r="L471" s="46" t="n">
        <f aca="false">IF(B471="CN",IF(N(I471)&gt;0,I471*요약!$G$27,K471*(1+요약!$E$27)),IF(N(H471)&gt;0,H471*요약!$G$27,J471*요약!$D$27))</f>
        <v>29436</v>
      </c>
      <c r="M471" s="46" t="n">
        <f aca="false">D471*J471</f>
        <v>80100000</v>
      </c>
      <c r="N471" s="46" t="n">
        <f aca="false">D471*K471</f>
        <v>13233600</v>
      </c>
      <c r="O471" s="46" t="n">
        <f aca="false">D471*L471</f>
        <v>26492400</v>
      </c>
      <c r="P471" s="42" t="str">
        <f aca="false">TRIM(IF(N(E471)&lt;=0,"택가보정 ","")&amp;IF(N(F471)&lt;=0,"원가보정 ","")&amp;IF(AND(B471&lt;&gt;"CN",N(H471)&lt;=0),"공급가보정 ","")&amp;IF(AND(B471="CN",N(I471)&lt;=0),"중국공급가=원가+마진 ",""))</f>
        <v/>
      </c>
      <c r="Q471" s="47" t="n">
        <f aca="false">IF(SUMIFS($W:$W,$A:$A,A471,$C:$C,C471)=0,0,SUMIFS(RAW_판매펀칭!$K:$K,RAW_판매펀칭!$P:$P,A471,RAW_판매펀칭!$I:$I,C471)*W471/SUMIFS($W:$W,$A:$A,A471,$C:$C,C471))</f>
        <v>900</v>
      </c>
      <c r="R471" s="47" t="n">
        <f aca="false">IF(OR(A471="500",A471="800",A471="810"),0,MAX(W471-Q471,0))</f>
        <v>0</v>
      </c>
      <c r="S471" s="47" t="n">
        <f aca="false">R471*L471</f>
        <v>0</v>
      </c>
      <c r="T471" s="47" t="n">
        <f aca="false">R471*J471</f>
        <v>0</v>
      </c>
      <c r="U471" s="47" t="n">
        <f aca="false">R471*K471</f>
        <v>0</v>
      </c>
      <c r="V471" s="0" t="str">
        <f aca="false">IF(COUNTIFS($A$2:A471,A471,$C$2:C471,C471,$D$2:D471,D471)&gt;1,"중복","")</f>
        <v/>
      </c>
      <c r="W471" s="0" t="n">
        <f aca="false">IF(V471="중복",0,N(D471))</f>
        <v>900</v>
      </c>
      <c r="X471" s="0" t="n">
        <f aca="false">IF(COUNTIFS($A$2:A471,A471,$C$2:C471,C471)=1,ABS(SUMIFS(RAW_발주!$D:$D,RAW_발주!$C:$C,A471,RAW_발주!$A:$A,C471)-SUMIFS($W:$W,$A:$A,A471,$C:$C,C471)),0)</f>
        <v>0</v>
      </c>
    </row>
    <row r="472" customFormat="false" ht="15" hidden="false" customHeight="true" outlineLevel="0" collapsed="false">
      <c r="A472" s="45" t="s">
        <v>1663</v>
      </c>
      <c r="B472" s="42" t="str">
        <f aca="false">IF(A472="100","HK",IF(A472="200","CN",IF(A472="300","TW","홀세일")))</f>
        <v>홀세일</v>
      </c>
      <c r="C472" s="45" t="s">
        <v>312</v>
      </c>
      <c r="D472" s="46" t="n">
        <v>215</v>
      </c>
      <c r="E472" s="46" t="n">
        <v>89000</v>
      </c>
      <c r="F472" s="46" t="n">
        <v>14704</v>
      </c>
      <c r="G472" s="42" t="n">
        <v>4.52</v>
      </c>
      <c r="H472" s="42" t="n">
        <v>22.3</v>
      </c>
      <c r="J472" s="46" t="n">
        <f aca="false">IF(N(E472)&gt;0,E472,IF(N(F472)&gt;0,F472*요약!$F$27,0))</f>
        <v>89000</v>
      </c>
      <c r="K472" s="46" t="n">
        <f aca="false">IF(N(F472)&gt;0,F472,IF(N(E472)&gt;0,E472/요약!$F$27,0))</f>
        <v>14704</v>
      </c>
      <c r="L472" s="46" t="n">
        <f aca="false">IF(B472="CN",IF(N(I472)&gt;0,I472*요약!$G$27,K472*(1+요약!$E$27)),IF(N(H472)&gt;0,H472*요약!$G$27,J472*요약!$D$27))</f>
        <v>29436</v>
      </c>
      <c r="M472" s="46" t="n">
        <f aca="false">D472*J472</f>
        <v>19135000</v>
      </c>
      <c r="N472" s="46" t="n">
        <f aca="false">D472*K472</f>
        <v>3161360</v>
      </c>
      <c r="O472" s="46" t="n">
        <f aca="false">D472*L472</f>
        <v>6328740</v>
      </c>
      <c r="P472" s="42" t="str">
        <f aca="false">TRIM(IF(N(E472)&lt;=0,"택가보정 ","")&amp;IF(N(F472)&lt;=0,"원가보정 ","")&amp;IF(AND(B472&lt;&gt;"CN",N(H472)&lt;=0),"공급가보정 ","")&amp;IF(AND(B472="CN",N(I472)&lt;=0),"중국공급가=원가+마진 ",""))</f>
        <v/>
      </c>
      <c r="Q472" s="47" t="n">
        <f aca="false">IF(SUMIFS($W:$W,$A:$A,A472,$C:$C,C472)=0,0,SUMIFS(RAW_판매펀칭!$K:$K,RAW_판매펀칭!$P:$P,A472,RAW_판매펀칭!$I:$I,C472)*W472/SUMIFS($W:$W,$A:$A,A472,$C:$C,C472))</f>
        <v>215</v>
      </c>
      <c r="R472" s="47" t="n">
        <f aca="false">IF(OR(A472="500",A472="800",A472="810"),0,MAX(W472-Q472,0))</f>
        <v>0</v>
      </c>
      <c r="S472" s="47" t="n">
        <f aca="false">R472*L472</f>
        <v>0</v>
      </c>
      <c r="T472" s="47" t="n">
        <f aca="false">R472*J472</f>
        <v>0</v>
      </c>
      <c r="U472" s="47" t="n">
        <f aca="false">R472*K472</f>
        <v>0</v>
      </c>
      <c r="V472" s="0" t="str">
        <f aca="false">IF(COUNTIFS($A$2:A472,A472,$C$2:C472,C472,$D$2:D472,D472)&gt;1,"중복","")</f>
        <v/>
      </c>
      <c r="W472" s="0" t="n">
        <f aca="false">IF(V472="중복",0,N(D472))</f>
        <v>215</v>
      </c>
      <c r="X472" s="0" t="n">
        <f aca="false">IF(COUNTIFS($A$2:A472,A472,$C$2:C472,C472)=1,ABS(SUMIFS(RAW_발주!$D:$D,RAW_발주!$C:$C,A472,RAW_발주!$A:$A,C472)-SUMIFS($W:$W,$A:$A,A472,$C:$C,C472)),0)</f>
        <v>0</v>
      </c>
    </row>
    <row r="473" customFormat="false" ht="15" hidden="false" customHeight="true" outlineLevel="0" collapsed="false">
      <c r="A473" s="45" t="s">
        <v>1667</v>
      </c>
      <c r="B473" s="42" t="str">
        <f aca="false">IF(A473="100","HK",IF(A473="200","CN",IF(A473="300","TW","홀세일")))</f>
        <v>홀세일</v>
      </c>
      <c r="C473" s="45" t="s">
        <v>312</v>
      </c>
      <c r="D473" s="46" t="n">
        <v>56</v>
      </c>
      <c r="E473" s="46" t="n">
        <v>89000</v>
      </c>
      <c r="F473" s="46" t="n">
        <v>14704</v>
      </c>
      <c r="G473" s="42" t="n">
        <v>4.52</v>
      </c>
      <c r="H473" s="42" t="n">
        <v>22.3</v>
      </c>
      <c r="J473" s="46" t="n">
        <f aca="false">IF(N(E473)&gt;0,E473,IF(N(F473)&gt;0,F473*요약!$F$27,0))</f>
        <v>89000</v>
      </c>
      <c r="K473" s="46" t="n">
        <f aca="false">IF(N(F473)&gt;0,F473,IF(N(E473)&gt;0,E473/요약!$F$27,0))</f>
        <v>14704</v>
      </c>
      <c r="L473" s="46" t="n">
        <f aca="false">IF(B473="CN",IF(N(I473)&gt;0,I473*요약!$G$27,K473*(1+요약!$E$27)),IF(N(H473)&gt;0,H473*요약!$G$27,J473*요약!$D$27))</f>
        <v>29436</v>
      </c>
      <c r="M473" s="46" t="n">
        <f aca="false">D473*J473</f>
        <v>4984000</v>
      </c>
      <c r="N473" s="46" t="n">
        <f aca="false">D473*K473</f>
        <v>823424</v>
      </c>
      <c r="O473" s="46" t="n">
        <f aca="false">D473*L473</f>
        <v>1648416</v>
      </c>
      <c r="P473" s="42" t="str">
        <f aca="false">TRIM(IF(N(E473)&lt;=0,"택가보정 ","")&amp;IF(N(F473)&lt;=0,"원가보정 ","")&amp;IF(AND(B473&lt;&gt;"CN",N(H473)&lt;=0),"공급가보정 ","")&amp;IF(AND(B473="CN",N(I473)&lt;=0),"중국공급가=원가+마진 ",""))</f>
        <v/>
      </c>
      <c r="Q473" s="47" t="n">
        <f aca="false">IF(SUMIFS($W:$W,$A:$A,A473,$C:$C,C473)=0,0,SUMIFS(RAW_판매펀칭!$K:$K,RAW_판매펀칭!$P:$P,A473,RAW_판매펀칭!$I:$I,C473)*W473/SUMIFS($W:$W,$A:$A,A473,$C:$C,C473))</f>
        <v>56</v>
      </c>
      <c r="R473" s="47" t="n">
        <f aca="false">IF(OR(A473="500",A473="800",A473="810"),0,MAX(W473-Q473,0))</f>
        <v>0</v>
      </c>
      <c r="S473" s="47" t="n">
        <f aca="false">R473*L473</f>
        <v>0</v>
      </c>
      <c r="T473" s="47" t="n">
        <f aca="false">R473*J473</f>
        <v>0</v>
      </c>
      <c r="U473" s="47" t="n">
        <f aca="false">R473*K473</f>
        <v>0</v>
      </c>
      <c r="V473" s="0" t="str">
        <f aca="false">IF(COUNTIFS($A$2:A473,A473,$C$2:C473,C473,$D$2:D473,D473)&gt;1,"중복","")</f>
        <v/>
      </c>
      <c r="W473" s="0" t="n">
        <f aca="false">IF(V473="중복",0,N(D473))</f>
        <v>56</v>
      </c>
      <c r="X473" s="0" t="n">
        <f aca="false">IF(COUNTIFS($A$2:A473,A473,$C$2:C473,C473)=1,ABS(SUMIFS(RAW_발주!$D:$D,RAW_발주!$C:$C,A473,RAW_발주!$A:$A,C473)-SUMIFS($W:$W,$A:$A,A473,$C:$C,C473)),0)</f>
        <v>0</v>
      </c>
    </row>
    <row r="474" customFormat="false" ht="15" hidden="false" customHeight="true" outlineLevel="0" collapsed="false">
      <c r="A474" s="45" t="s">
        <v>1665</v>
      </c>
      <c r="B474" s="42" t="str">
        <f aca="false">IF(A474="100","HK",IF(A474="200","CN",IF(A474="300","TW","홀세일")))</f>
        <v>홀세일</v>
      </c>
      <c r="C474" s="45" t="s">
        <v>312</v>
      </c>
      <c r="D474" s="46" t="n">
        <v>216</v>
      </c>
      <c r="E474" s="46" t="n">
        <v>89000</v>
      </c>
      <c r="F474" s="46" t="n">
        <v>14704</v>
      </c>
      <c r="G474" s="42" t="n">
        <v>4.52</v>
      </c>
      <c r="H474" s="42" t="n">
        <v>22.3</v>
      </c>
      <c r="J474" s="46" t="n">
        <f aca="false">IF(N(E474)&gt;0,E474,IF(N(F474)&gt;0,F474*요약!$F$27,0))</f>
        <v>89000</v>
      </c>
      <c r="K474" s="46" t="n">
        <f aca="false">IF(N(F474)&gt;0,F474,IF(N(E474)&gt;0,E474/요약!$F$27,0))</f>
        <v>14704</v>
      </c>
      <c r="L474" s="46" t="n">
        <f aca="false">IF(B474="CN",IF(N(I474)&gt;0,I474*요약!$G$27,K474*(1+요약!$E$27)),IF(N(H474)&gt;0,H474*요약!$G$27,J474*요약!$D$27))</f>
        <v>29436</v>
      </c>
      <c r="M474" s="46" t="n">
        <f aca="false">D474*J474</f>
        <v>19224000</v>
      </c>
      <c r="N474" s="46" t="n">
        <f aca="false">D474*K474</f>
        <v>3176064</v>
      </c>
      <c r="O474" s="46" t="n">
        <f aca="false">D474*L474</f>
        <v>6358176</v>
      </c>
      <c r="P474" s="42" t="str">
        <f aca="false">TRIM(IF(N(E474)&lt;=0,"택가보정 ","")&amp;IF(N(F474)&lt;=0,"원가보정 ","")&amp;IF(AND(B474&lt;&gt;"CN",N(H474)&lt;=0),"공급가보정 ","")&amp;IF(AND(B474="CN",N(I474)&lt;=0),"중국공급가=원가+마진 ",""))</f>
        <v/>
      </c>
      <c r="Q474" s="47" t="n">
        <f aca="false">IF(SUMIFS($W:$W,$A:$A,A474,$C:$C,C474)=0,0,SUMIFS(RAW_판매펀칭!$K:$K,RAW_판매펀칭!$P:$P,A474,RAW_판매펀칭!$I:$I,C474)*W474/SUMIFS($W:$W,$A:$A,A474,$C:$C,C474))</f>
        <v>216</v>
      </c>
      <c r="R474" s="47" t="n">
        <f aca="false">IF(OR(A474="500",A474="800",A474="810"),0,MAX(W474-Q474,0))</f>
        <v>0</v>
      </c>
      <c r="S474" s="47" t="n">
        <f aca="false">R474*L474</f>
        <v>0</v>
      </c>
      <c r="T474" s="47" t="n">
        <f aca="false">R474*J474</f>
        <v>0</v>
      </c>
      <c r="U474" s="47" t="n">
        <f aca="false">R474*K474</f>
        <v>0</v>
      </c>
      <c r="V474" s="0" t="str">
        <f aca="false">IF(COUNTIFS($A$2:A474,A474,$C$2:C474,C474,$D$2:D474,D474)&gt;1,"중복","")</f>
        <v/>
      </c>
      <c r="W474" s="0" t="n">
        <f aca="false">IF(V474="중복",0,N(D474))</f>
        <v>216</v>
      </c>
      <c r="X474" s="0" t="n">
        <f aca="false">IF(COUNTIFS($A$2:A474,A474,$C$2:C474,C474)=1,ABS(SUMIFS(RAW_발주!$D:$D,RAW_발주!$C:$C,A474,RAW_발주!$A:$A,C474)-SUMIFS($W:$W,$A:$A,A474,$C:$C,C474)),0)</f>
        <v>0</v>
      </c>
    </row>
    <row r="475" customFormat="false" ht="15" hidden="false" customHeight="true" outlineLevel="0" collapsed="false">
      <c r="A475" s="45" t="s">
        <v>1663</v>
      </c>
      <c r="B475" s="42" t="str">
        <f aca="false">IF(A475="100","HK",IF(A475="200","CN",IF(A475="300","TW","홀세일")))</f>
        <v>홀세일</v>
      </c>
      <c r="C475" s="45" t="s">
        <v>1676</v>
      </c>
      <c r="D475" s="46" t="n">
        <v>80</v>
      </c>
      <c r="E475" s="46" t="n">
        <v>89000</v>
      </c>
      <c r="F475" s="46" t="n">
        <v>20486</v>
      </c>
      <c r="G475" s="42" t="n">
        <v>4.99</v>
      </c>
      <c r="H475" s="42" t="n">
        <v>0</v>
      </c>
      <c r="J475" s="46" t="n">
        <f aca="false">IF(N(E475)&gt;0,E475,IF(N(F475)&gt;0,F475*요약!$F$27,0))</f>
        <v>89000</v>
      </c>
      <c r="K475" s="46" t="n">
        <f aca="false">IF(N(F475)&gt;0,F475,IF(N(E475)&gt;0,E475/요약!$F$27,0))</f>
        <v>20486</v>
      </c>
      <c r="L475" s="46" t="n">
        <f aca="false">IF(B475="CN",IF(N(I475)&gt;0,I475*요약!$G$27,K475*(1+요약!$E$27)),IF(N(H475)&gt;0,H475*요약!$G$27,J475*요약!$D$27))</f>
        <v>29370</v>
      </c>
      <c r="M475" s="46" t="n">
        <f aca="false">D475*J475</f>
        <v>7120000</v>
      </c>
      <c r="N475" s="46" t="n">
        <f aca="false">D475*K475</f>
        <v>1638880</v>
      </c>
      <c r="O475" s="46" t="n">
        <f aca="false">D475*L475</f>
        <v>2349600</v>
      </c>
      <c r="P475" s="42" t="str">
        <f aca="false">TRIM(IF(N(E475)&lt;=0,"택가보정 ","")&amp;IF(N(F475)&lt;=0,"원가보정 ","")&amp;IF(AND(B475&lt;&gt;"CN",N(H475)&lt;=0),"공급가보정 ","")&amp;IF(AND(B475="CN",N(I475)&lt;=0),"중국공급가=원가+마진 ",""))</f>
        <v>공급가보정</v>
      </c>
      <c r="Q475" s="47" t="n">
        <f aca="false">IF(SUMIFS($W:$W,$A:$A,A475,$C:$C,C475)=0,0,SUMIFS(RAW_판매펀칭!$K:$K,RAW_판매펀칭!$P:$P,A475,RAW_판매펀칭!$I:$I,C475)*W475/SUMIFS($W:$W,$A:$A,A475,$C:$C,C475))</f>
        <v>0</v>
      </c>
      <c r="R475" s="47" t="n">
        <f aca="false">IF(OR(A475="500",A475="800",A475="810"),0,MAX(W475-Q475,0))</f>
        <v>80</v>
      </c>
      <c r="S475" s="47" t="n">
        <f aca="false">R475*L475</f>
        <v>2349600</v>
      </c>
      <c r="T475" s="47" t="n">
        <f aca="false">R475*J475</f>
        <v>7120000</v>
      </c>
      <c r="U475" s="47" t="n">
        <f aca="false">R475*K475</f>
        <v>1638880</v>
      </c>
      <c r="V475" s="0" t="str">
        <f aca="false">IF(COUNTIFS($A$2:A475,A475,$C$2:C475,C475,$D$2:D475,D475)&gt;1,"중복","")</f>
        <v/>
      </c>
      <c r="W475" s="0" t="n">
        <f aca="false">IF(V475="중복",0,N(D475))</f>
        <v>80</v>
      </c>
      <c r="X475" s="0" t="n">
        <f aca="false">IF(COUNTIFS($A$2:A475,A475,$C$2:C475,C475)=1,ABS(SUMIFS(RAW_발주!$D:$D,RAW_발주!$C:$C,A475,RAW_발주!$A:$A,C475)-SUMIFS($W:$W,$A:$A,A475,$C:$C,C475)),0)</f>
        <v>0</v>
      </c>
    </row>
    <row r="476" customFormat="false" ht="15" hidden="false" customHeight="true" outlineLevel="0" collapsed="false">
      <c r="A476" s="45" t="s">
        <v>1659</v>
      </c>
      <c r="B476" s="42" t="str">
        <f aca="false">IF(A476="100","HK",IF(A476="200","CN",IF(A476="300","TW","홀세일")))</f>
        <v>HK</v>
      </c>
      <c r="C476" s="45" t="s">
        <v>314</v>
      </c>
      <c r="D476" s="46" t="n">
        <v>960</v>
      </c>
      <c r="E476" s="46" t="n">
        <v>59000</v>
      </c>
      <c r="F476" s="46" t="n">
        <v>14418</v>
      </c>
      <c r="G476" s="42" t="n">
        <v>3.86</v>
      </c>
      <c r="H476" s="42" t="n">
        <v>14.8</v>
      </c>
      <c r="J476" s="46" t="n">
        <f aca="false">IF(N(E476)&gt;0,E476,IF(N(F476)&gt;0,F476*요약!$F$27,0))</f>
        <v>59000</v>
      </c>
      <c r="K476" s="46" t="n">
        <f aca="false">IF(N(F476)&gt;0,F476,IF(N(E476)&gt;0,E476/요약!$F$27,0))</f>
        <v>14418</v>
      </c>
      <c r="L476" s="46" t="n">
        <f aca="false">IF(B476="CN",IF(N(I476)&gt;0,I476*요약!$G$27,K476*(1+요약!$E$27)),IF(N(H476)&gt;0,H476*요약!$G$27,J476*요약!$D$27))</f>
        <v>19536</v>
      </c>
      <c r="M476" s="46" t="n">
        <f aca="false">D476*J476</f>
        <v>56640000</v>
      </c>
      <c r="N476" s="46" t="n">
        <f aca="false">D476*K476</f>
        <v>13841280</v>
      </c>
      <c r="O476" s="46" t="n">
        <f aca="false">D476*L476</f>
        <v>18754560</v>
      </c>
      <c r="P476" s="42" t="str">
        <f aca="false">TRIM(IF(N(E476)&lt;=0,"택가보정 ","")&amp;IF(N(F476)&lt;=0,"원가보정 ","")&amp;IF(AND(B476&lt;&gt;"CN",N(H476)&lt;=0),"공급가보정 ","")&amp;IF(AND(B476="CN",N(I476)&lt;=0),"중국공급가=원가+마진 ",""))</f>
        <v/>
      </c>
      <c r="Q476" s="47" t="n">
        <f aca="false">IF(SUMIFS($W:$W,$A:$A,A476,$C:$C,C476)=0,0,SUMIFS(RAW_판매펀칭!$K:$K,RAW_판매펀칭!$P:$P,A476,RAW_판매펀칭!$I:$I,C476)*W476/SUMIFS($W:$W,$A:$A,A476,$C:$C,C476))</f>
        <v>956</v>
      </c>
      <c r="R476" s="47" t="n">
        <f aca="false">IF(OR(A476="500",A476="800",A476="810"),0,MAX(W476-Q476,0))</f>
        <v>4</v>
      </c>
      <c r="S476" s="47" t="n">
        <f aca="false">R476*L476</f>
        <v>78144</v>
      </c>
      <c r="T476" s="47" t="n">
        <f aca="false">R476*J476</f>
        <v>236000</v>
      </c>
      <c r="U476" s="47" t="n">
        <f aca="false">R476*K476</f>
        <v>57672</v>
      </c>
      <c r="V476" s="0" t="str">
        <f aca="false">IF(COUNTIFS($A$2:A476,A476,$C$2:C476,C476,$D$2:D476,D476)&gt;1,"중복","")</f>
        <v/>
      </c>
      <c r="W476" s="0" t="n">
        <f aca="false">IF(V476="중복",0,N(D476))</f>
        <v>960</v>
      </c>
      <c r="X476" s="0" t="n">
        <f aca="false">IF(COUNTIFS($A$2:A476,A476,$C$2:C476,C476)=1,ABS(SUMIFS(RAW_발주!$D:$D,RAW_발주!$C:$C,A476,RAW_발주!$A:$A,C476)-SUMIFS($W:$W,$A:$A,A476,$C:$C,C476)),0)</f>
        <v>0</v>
      </c>
    </row>
    <row r="477" customFormat="false" ht="15.75" hidden="false" customHeight="true" outlineLevel="0" collapsed="false">
      <c r="A477" s="45" t="s">
        <v>1660</v>
      </c>
      <c r="B477" s="42" t="str">
        <f aca="false">IF(A477="100","HK",IF(A477="200","CN",IF(A477="300","TW","홀세일")))</f>
        <v>CN</v>
      </c>
      <c r="C477" s="45" t="s">
        <v>314</v>
      </c>
      <c r="D477" s="46" t="n">
        <v>954</v>
      </c>
      <c r="E477" s="46" t="n">
        <v>59000</v>
      </c>
      <c r="F477" s="46" t="n">
        <v>14418</v>
      </c>
      <c r="G477" s="42" t="n">
        <v>3.86</v>
      </c>
      <c r="H477" s="42" t="n">
        <v>14.8</v>
      </c>
      <c r="J477" s="46" t="n">
        <f aca="false">IF(N(E477)&gt;0,E477,IF(N(F477)&gt;0,F477*요약!$F$27,0))</f>
        <v>59000</v>
      </c>
      <c r="K477" s="46" t="n">
        <f aca="false">IF(N(F477)&gt;0,F477,IF(N(E477)&gt;0,E477/요약!$F$27,0))</f>
        <v>14418</v>
      </c>
      <c r="L477" s="46" t="n">
        <f aca="false">IF(B477="CN",IF(N(I477)&gt;0,I477*요약!$G$27,K477*(1+요약!$E$27)),IF(N(H477)&gt;0,H477*요약!$G$27,J477*요약!$D$27))</f>
        <v>15138.9</v>
      </c>
      <c r="M477" s="46" t="n">
        <f aca="false">D477*J477</f>
        <v>56286000</v>
      </c>
      <c r="N477" s="46" t="n">
        <f aca="false">D477*K477</f>
        <v>13754772</v>
      </c>
      <c r="O477" s="46" t="n">
        <f aca="false">D477*L477</f>
        <v>14442510.6</v>
      </c>
      <c r="P477" s="42" t="str">
        <f aca="false">TRIM(IF(N(E477)&lt;=0,"택가보정 ","")&amp;IF(N(F477)&lt;=0,"원가보정 ","")&amp;IF(AND(B477&lt;&gt;"CN",N(H477)&lt;=0),"공급가보정 ","")&amp;IF(AND(B477="CN",N(I477)&lt;=0),"중국공급가=원가+마진 ",""))</f>
        <v>중국공급가=원가+마진</v>
      </c>
      <c r="Q477" s="47" t="n">
        <f aca="false">IF(SUMIFS($W:$W,$A:$A,A477,$C:$C,C477)=0,0,SUMIFS(RAW_판매펀칭!$K:$K,RAW_판매펀칭!$P:$P,A477,RAW_판매펀칭!$I:$I,C477)*W477/SUMIFS($W:$W,$A:$A,A477,$C:$C,C477))</f>
        <v>954</v>
      </c>
      <c r="R477" s="47" t="n">
        <f aca="false">IF(OR(A477="500",A477="800",A477="810"),0,MAX(W477-Q477,0))</f>
        <v>0</v>
      </c>
      <c r="S477" s="47" t="n">
        <f aca="false">R477*L477</f>
        <v>0</v>
      </c>
      <c r="T477" s="47" t="n">
        <f aca="false">R477*J477</f>
        <v>0</v>
      </c>
      <c r="U477" s="47" t="n">
        <f aca="false">R477*K477</f>
        <v>0</v>
      </c>
      <c r="V477" s="0" t="str">
        <f aca="false">IF(COUNTIFS($A$2:A477,A477,$C$2:C477,C477,$D$2:D477,D477)&gt;1,"중복","")</f>
        <v/>
      </c>
      <c r="W477" s="0" t="n">
        <f aca="false">IF(V477="중복",0,N(D477))</f>
        <v>954</v>
      </c>
      <c r="X477" s="0" t="n">
        <f aca="false">IF(COUNTIFS($A$2:A477,A477,$C$2:C477,C477)=1,ABS(SUMIFS(RAW_발주!$D:$D,RAW_발주!$C:$C,A477,RAW_발주!$A:$A,C477)-SUMIFS($W:$W,$A:$A,A477,$C:$C,C477)),0)</f>
        <v>0</v>
      </c>
    </row>
    <row r="478" customFormat="false" ht="15" hidden="false" customHeight="true" outlineLevel="0" collapsed="false">
      <c r="A478" s="45" t="s">
        <v>1661</v>
      </c>
      <c r="B478" s="42" t="str">
        <f aca="false">IF(A478="100","HK",IF(A478="200","CN",IF(A478="300","TW","홀세일")))</f>
        <v>TW</v>
      </c>
      <c r="C478" s="45" t="s">
        <v>314</v>
      </c>
      <c r="D478" s="46" t="n">
        <v>300</v>
      </c>
      <c r="E478" s="46" t="n">
        <v>59000</v>
      </c>
      <c r="F478" s="46" t="n">
        <v>14418</v>
      </c>
      <c r="G478" s="42" t="n">
        <v>3.86</v>
      </c>
      <c r="H478" s="42" t="n">
        <v>14.8</v>
      </c>
      <c r="J478" s="46" t="n">
        <f aca="false">IF(N(E478)&gt;0,E478,IF(N(F478)&gt;0,F478*요약!$F$27,0))</f>
        <v>59000</v>
      </c>
      <c r="K478" s="46" t="n">
        <f aca="false">IF(N(F478)&gt;0,F478,IF(N(E478)&gt;0,E478/요약!$F$27,0))</f>
        <v>14418</v>
      </c>
      <c r="L478" s="46" t="n">
        <f aca="false">IF(B478="CN",IF(N(I478)&gt;0,I478*요약!$G$27,K478*(1+요약!$E$27)),IF(N(H478)&gt;0,H478*요약!$G$27,J478*요약!$D$27))</f>
        <v>19536</v>
      </c>
      <c r="M478" s="46" t="n">
        <f aca="false">D478*J478</f>
        <v>17700000</v>
      </c>
      <c r="N478" s="46" t="n">
        <f aca="false">D478*K478</f>
        <v>4325400</v>
      </c>
      <c r="O478" s="46" t="n">
        <f aca="false">D478*L478</f>
        <v>5860800</v>
      </c>
      <c r="P478" s="42" t="str">
        <f aca="false">TRIM(IF(N(E478)&lt;=0,"택가보정 ","")&amp;IF(N(F478)&lt;=0,"원가보정 ","")&amp;IF(AND(B478&lt;&gt;"CN",N(H478)&lt;=0),"공급가보정 ","")&amp;IF(AND(B478="CN",N(I478)&lt;=0),"중국공급가=원가+마진 ",""))</f>
        <v/>
      </c>
      <c r="Q478" s="47" t="n">
        <f aca="false">IF(SUMIFS($W:$W,$A:$A,A478,$C:$C,C478)=0,0,SUMIFS(RAW_판매펀칭!$K:$K,RAW_판매펀칭!$P:$P,A478,RAW_판매펀칭!$I:$I,C478)*W478/SUMIFS($W:$W,$A:$A,A478,$C:$C,C478))</f>
        <v>400</v>
      </c>
      <c r="R478" s="47" t="n">
        <f aca="false">IF(OR(A478="500",A478="800",A478="810"),0,MAX(W478-Q478,0))</f>
        <v>0</v>
      </c>
      <c r="S478" s="47" t="n">
        <f aca="false">R478*L478</f>
        <v>0</v>
      </c>
      <c r="T478" s="47" t="n">
        <f aca="false">R478*J478</f>
        <v>0</v>
      </c>
      <c r="U478" s="47" t="n">
        <f aca="false">R478*K478</f>
        <v>0</v>
      </c>
      <c r="V478" s="0" t="str">
        <f aca="false">IF(COUNTIFS($A$2:A478,A478,$C$2:C478,C478,$D$2:D478,D478)&gt;1,"중복","")</f>
        <v/>
      </c>
      <c r="W478" s="0" t="n">
        <f aca="false">IF(V478="중복",0,N(D478))</f>
        <v>300</v>
      </c>
      <c r="X478" s="0" t="n">
        <f aca="false">IF(COUNTIFS($A$2:A478,A478,$C$2:C478,C478)=1,ABS(SUMIFS(RAW_발주!$D:$D,RAW_발주!$C:$C,A478,RAW_발주!$A:$A,C478)-SUMIFS($W:$W,$A:$A,A478,$C:$C,C478)),0)</f>
        <v>0</v>
      </c>
    </row>
    <row r="479" customFormat="false" ht="15" hidden="false" customHeight="true" outlineLevel="0" collapsed="false">
      <c r="A479" s="45" t="s">
        <v>1663</v>
      </c>
      <c r="B479" s="42" t="str">
        <f aca="false">IF(A479="100","HK",IF(A479="200","CN",IF(A479="300","TW","홀세일")))</f>
        <v>홀세일</v>
      </c>
      <c r="C479" s="45" t="s">
        <v>314</v>
      </c>
      <c r="D479" s="46" t="n">
        <v>100</v>
      </c>
      <c r="E479" s="46" t="n">
        <v>59000</v>
      </c>
      <c r="F479" s="46" t="n">
        <v>14418</v>
      </c>
      <c r="G479" s="42" t="n">
        <v>3.86</v>
      </c>
      <c r="H479" s="42" t="n">
        <v>14.8</v>
      </c>
      <c r="J479" s="46" t="n">
        <f aca="false">IF(N(E479)&gt;0,E479,IF(N(F479)&gt;0,F479*요약!$F$27,0))</f>
        <v>59000</v>
      </c>
      <c r="K479" s="46" t="n">
        <f aca="false">IF(N(F479)&gt;0,F479,IF(N(E479)&gt;0,E479/요약!$F$27,0))</f>
        <v>14418</v>
      </c>
      <c r="L479" s="46" t="n">
        <f aca="false">IF(B479="CN",IF(N(I479)&gt;0,I479*요약!$G$27,K479*(1+요약!$E$27)),IF(N(H479)&gt;0,H479*요약!$G$27,J479*요약!$D$27))</f>
        <v>19536</v>
      </c>
      <c r="M479" s="46" t="n">
        <f aca="false">D479*J479</f>
        <v>5900000</v>
      </c>
      <c r="N479" s="46" t="n">
        <f aca="false">D479*K479</f>
        <v>1441800</v>
      </c>
      <c r="O479" s="46" t="n">
        <f aca="false">D479*L479</f>
        <v>1953600</v>
      </c>
      <c r="P479" s="42" t="str">
        <f aca="false">TRIM(IF(N(E479)&lt;=0,"택가보정 ","")&amp;IF(N(F479)&lt;=0,"원가보정 ","")&amp;IF(AND(B479&lt;&gt;"CN",N(H479)&lt;=0),"공급가보정 ","")&amp;IF(AND(B479="CN",N(I479)&lt;=0),"중국공급가=원가+마진 ",""))</f>
        <v/>
      </c>
      <c r="Q479" s="47" t="n">
        <f aca="false">IF(SUMIFS($W:$W,$A:$A,A479,$C:$C,C479)=0,0,SUMIFS(RAW_판매펀칭!$K:$K,RAW_판매펀칭!$P:$P,A479,RAW_판매펀칭!$I:$I,C479)*W479/SUMIFS($W:$W,$A:$A,A479,$C:$C,C479))</f>
        <v>100</v>
      </c>
      <c r="R479" s="47" t="n">
        <f aca="false">IF(OR(A479="500",A479="800",A479="810"),0,MAX(W479-Q479,0))</f>
        <v>0</v>
      </c>
      <c r="S479" s="47" t="n">
        <f aca="false">R479*L479</f>
        <v>0</v>
      </c>
      <c r="T479" s="47" t="n">
        <f aca="false">R479*J479</f>
        <v>0</v>
      </c>
      <c r="U479" s="47" t="n">
        <f aca="false">R479*K479</f>
        <v>0</v>
      </c>
      <c r="V479" s="0" t="str">
        <f aca="false">IF(COUNTIFS($A$2:A479,A479,$C$2:C479,C479,$D$2:D479,D479)&gt;1,"중복","")</f>
        <v/>
      </c>
      <c r="W479" s="0" t="n">
        <f aca="false">IF(V479="중복",0,N(D479))</f>
        <v>100</v>
      </c>
      <c r="X479" s="0" t="n">
        <f aca="false">IF(COUNTIFS($A$2:A479,A479,$C$2:C479,C479)=1,ABS(SUMIFS(RAW_발주!$D:$D,RAW_발주!$C:$C,A479,RAW_발주!$A:$A,C479)-SUMIFS($W:$W,$A:$A,A479,$C:$C,C479)),0)</f>
        <v>0</v>
      </c>
    </row>
    <row r="480" customFormat="false" ht="15" hidden="false" customHeight="true" outlineLevel="0" collapsed="false">
      <c r="A480" s="45" t="s">
        <v>1664</v>
      </c>
      <c r="B480" s="42" t="str">
        <f aca="false">IF(A480="100","HK",IF(A480="200","CN",IF(A480="300","TW","홀세일")))</f>
        <v>홀세일</v>
      </c>
      <c r="C480" s="45" t="s">
        <v>314</v>
      </c>
      <c r="D480" s="46" t="n">
        <v>85</v>
      </c>
      <c r="E480" s="46" t="n">
        <v>59000</v>
      </c>
      <c r="F480" s="46" t="n">
        <v>14418</v>
      </c>
      <c r="G480" s="42" t="n">
        <v>3.86</v>
      </c>
      <c r="H480" s="42" t="n">
        <v>14.8</v>
      </c>
      <c r="J480" s="46" t="n">
        <f aca="false">IF(N(E480)&gt;0,E480,IF(N(F480)&gt;0,F480*요약!$F$27,0))</f>
        <v>59000</v>
      </c>
      <c r="K480" s="46" t="n">
        <f aca="false">IF(N(F480)&gt;0,F480,IF(N(E480)&gt;0,E480/요약!$F$27,0))</f>
        <v>14418</v>
      </c>
      <c r="L480" s="46" t="n">
        <f aca="false">IF(B480="CN",IF(N(I480)&gt;0,I480*요약!$G$27,K480*(1+요약!$E$27)),IF(N(H480)&gt;0,H480*요약!$G$27,J480*요약!$D$27))</f>
        <v>19536</v>
      </c>
      <c r="M480" s="46" t="n">
        <f aca="false">D480*J480</f>
        <v>5015000</v>
      </c>
      <c r="N480" s="46" t="n">
        <f aca="false">D480*K480</f>
        <v>1225530</v>
      </c>
      <c r="O480" s="46" t="n">
        <f aca="false">D480*L480</f>
        <v>1660560</v>
      </c>
      <c r="P480" s="42" t="str">
        <f aca="false">TRIM(IF(N(E480)&lt;=0,"택가보정 ","")&amp;IF(N(F480)&lt;=0,"원가보정 ","")&amp;IF(AND(B480&lt;&gt;"CN",N(H480)&lt;=0),"공급가보정 ","")&amp;IF(AND(B480="CN",N(I480)&lt;=0),"중국공급가=원가+마진 ",""))</f>
        <v/>
      </c>
      <c r="Q480" s="47" t="n">
        <f aca="false">IF(SUMIFS($W:$W,$A:$A,A480,$C:$C,C480)=0,0,SUMIFS(RAW_판매펀칭!$K:$K,RAW_판매펀칭!$P:$P,A480,RAW_판매펀칭!$I:$I,C480)*W480/SUMIFS($W:$W,$A:$A,A480,$C:$C,C480))</f>
        <v>0</v>
      </c>
      <c r="R480" s="47" t="n">
        <f aca="false">IF(OR(A480="500",A480="800",A480="810"),0,MAX(W480-Q480,0))</f>
        <v>0</v>
      </c>
      <c r="S480" s="47" t="n">
        <f aca="false">R480*L480</f>
        <v>0</v>
      </c>
      <c r="T480" s="47" t="n">
        <f aca="false">R480*J480</f>
        <v>0</v>
      </c>
      <c r="U480" s="47" t="n">
        <f aca="false">R480*K480</f>
        <v>0</v>
      </c>
      <c r="V480" s="0" t="str">
        <f aca="false">IF(COUNTIFS($A$2:A480,A480,$C$2:C480,C480,$D$2:D480,D480)&gt;1,"중복","")</f>
        <v/>
      </c>
      <c r="W480" s="0" t="n">
        <f aca="false">IF(V480="중복",0,N(D480))</f>
        <v>85</v>
      </c>
      <c r="X480" s="0" t="n">
        <f aca="false">IF(COUNTIFS($A$2:A480,A480,$C$2:C480,C480)=1,ABS(SUMIFS(RAW_발주!$D:$D,RAW_발주!$C:$C,A480,RAW_발주!$A:$A,C480)-SUMIFS($W:$W,$A:$A,A480,$C:$C,C480)),0)</f>
        <v>0</v>
      </c>
    </row>
    <row r="481" customFormat="false" ht="15" hidden="false" customHeight="true" outlineLevel="0" collapsed="false">
      <c r="A481" s="45" t="s">
        <v>1659</v>
      </c>
      <c r="B481" s="42" t="str">
        <f aca="false">IF(A481="100","HK",IF(A481="200","CN",IF(A481="300","TW","홀세일")))</f>
        <v>HK</v>
      </c>
      <c r="C481" s="45" t="s">
        <v>316</v>
      </c>
      <c r="D481" s="46" t="n">
        <v>780</v>
      </c>
      <c r="E481" s="46" t="n">
        <v>59000</v>
      </c>
      <c r="F481" s="46" t="n">
        <v>13800</v>
      </c>
      <c r="G481" s="42" t="n">
        <v>4.03</v>
      </c>
      <c r="H481" s="42" t="n">
        <v>14.8</v>
      </c>
      <c r="J481" s="46" t="n">
        <f aca="false">IF(N(E481)&gt;0,E481,IF(N(F481)&gt;0,F481*요약!$F$27,0))</f>
        <v>59000</v>
      </c>
      <c r="K481" s="46" t="n">
        <f aca="false">IF(N(F481)&gt;0,F481,IF(N(E481)&gt;0,E481/요약!$F$27,0))</f>
        <v>13800</v>
      </c>
      <c r="L481" s="46" t="n">
        <f aca="false">IF(B481="CN",IF(N(I481)&gt;0,I481*요약!$G$27,K481*(1+요약!$E$27)),IF(N(H481)&gt;0,H481*요약!$G$27,J481*요약!$D$27))</f>
        <v>19536</v>
      </c>
      <c r="M481" s="46" t="n">
        <f aca="false">D481*J481</f>
        <v>46020000</v>
      </c>
      <c r="N481" s="46" t="n">
        <f aca="false">D481*K481</f>
        <v>10764000</v>
      </c>
      <c r="O481" s="46" t="n">
        <f aca="false">D481*L481</f>
        <v>15238080</v>
      </c>
      <c r="P481" s="42" t="str">
        <f aca="false">TRIM(IF(N(E481)&lt;=0,"택가보정 ","")&amp;IF(N(F481)&lt;=0,"원가보정 ","")&amp;IF(AND(B481&lt;&gt;"CN",N(H481)&lt;=0),"공급가보정 ","")&amp;IF(AND(B481="CN",N(I481)&lt;=0),"중국공급가=원가+마진 ",""))</f>
        <v/>
      </c>
      <c r="Q481" s="47" t="n">
        <f aca="false">IF(SUMIFS($W:$W,$A:$A,A481,$C:$C,C481)=0,0,SUMIFS(RAW_판매펀칭!$K:$K,RAW_판매펀칭!$P:$P,A481,RAW_판매펀칭!$I:$I,C481)*W481/SUMIFS($W:$W,$A:$A,A481,$C:$C,C481))</f>
        <v>775</v>
      </c>
      <c r="R481" s="47" t="n">
        <f aca="false">IF(OR(A481="500",A481="800",A481="810"),0,MAX(W481-Q481,0))</f>
        <v>5</v>
      </c>
      <c r="S481" s="47" t="n">
        <f aca="false">R481*L481</f>
        <v>97680</v>
      </c>
      <c r="T481" s="47" t="n">
        <f aca="false">R481*J481</f>
        <v>295000</v>
      </c>
      <c r="U481" s="47" t="n">
        <f aca="false">R481*K481</f>
        <v>69000</v>
      </c>
      <c r="V481" s="0" t="str">
        <f aca="false">IF(COUNTIFS($A$2:A481,A481,$C$2:C481,C481,$D$2:D481,D481)&gt;1,"중복","")</f>
        <v/>
      </c>
      <c r="W481" s="0" t="n">
        <f aca="false">IF(V481="중복",0,N(D481))</f>
        <v>780</v>
      </c>
      <c r="X481" s="0" t="n">
        <f aca="false">IF(COUNTIFS($A$2:A481,A481,$C$2:C481,C481)=1,ABS(SUMIFS(RAW_발주!$D:$D,RAW_발주!$C:$C,A481,RAW_발주!$A:$A,C481)-SUMIFS($W:$W,$A:$A,A481,$C:$C,C481)),0)</f>
        <v>0</v>
      </c>
    </row>
    <row r="482" customFormat="false" ht="15" hidden="false" customHeight="true" outlineLevel="0" collapsed="false">
      <c r="A482" s="45" t="s">
        <v>1661</v>
      </c>
      <c r="B482" s="42" t="str">
        <f aca="false">IF(A482="100","HK",IF(A482="200","CN",IF(A482="300","TW","홀세일")))</f>
        <v>TW</v>
      </c>
      <c r="C482" s="45" t="s">
        <v>316</v>
      </c>
      <c r="D482" s="46" t="n">
        <v>150</v>
      </c>
      <c r="E482" s="46" t="n">
        <v>59000</v>
      </c>
      <c r="F482" s="46" t="n">
        <v>13800</v>
      </c>
      <c r="G482" s="42" t="n">
        <v>4.03</v>
      </c>
      <c r="H482" s="42" t="n">
        <v>14.8</v>
      </c>
      <c r="J482" s="46" t="n">
        <f aca="false">IF(N(E482)&gt;0,E482,IF(N(F482)&gt;0,F482*요약!$F$27,0))</f>
        <v>59000</v>
      </c>
      <c r="K482" s="46" t="n">
        <f aca="false">IF(N(F482)&gt;0,F482,IF(N(E482)&gt;0,E482/요약!$F$27,0))</f>
        <v>13800</v>
      </c>
      <c r="L482" s="46" t="n">
        <f aca="false">IF(B482="CN",IF(N(I482)&gt;0,I482*요약!$G$27,K482*(1+요약!$E$27)),IF(N(H482)&gt;0,H482*요약!$G$27,J482*요약!$D$27))</f>
        <v>19536</v>
      </c>
      <c r="M482" s="46" t="n">
        <f aca="false">D482*J482</f>
        <v>8850000</v>
      </c>
      <c r="N482" s="46" t="n">
        <f aca="false">D482*K482</f>
        <v>2070000</v>
      </c>
      <c r="O482" s="46" t="n">
        <f aca="false">D482*L482</f>
        <v>2930400</v>
      </c>
      <c r="P482" s="42" t="str">
        <f aca="false">TRIM(IF(N(E482)&lt;=0,"택가보정 ","")&amp;IF(N(F482)&lt;=0,"원가보정 ","")&amp;IF(AND(B482&lt;&gt;"CN",N(H482)&lt;=0),"공급가보정 ","")&amp;IF(AND(B482="CN",N(I482)&lt;=0),"중국공급가=원가+마진 ",""))</f>
        <v/>
      </c>
      <c r="Q482" s="47" t="n">
        <f aca="false">IF(SUMIFS($W:$W,$A:$A,A482,$C:$C,C482)=0,0,SUMIFS(RAW_판매펀칭!$K:$K,RAW_판매펀칭!$P:$P,A482,RAW_판매펀칭!$I:$I,C482)*W482/SUMIFS($W:$W,$A:$A,A482,$C:$C,C482))</f>
        <v>150</v>
      </c>
      <c r="R482" s="47" t="n">
        <f aca="false">IF(OR(A482="500",A482="800",A482="810"),0,MAX(W482-Q482,0))</f>
        <v>0</v>
      </c>
      <c r="S482" s="47" t="n">
        <f aca="false">R482*L482</f>
        <v>0</v>
      </c>
      <c r="T482" s="47" t="n">
        <f aca="false">R482*J482</f>
        <v>0</v>
      </c>
      <c r="U482" s="47" t="n">
        <f aca="false">R482*K482</f>
        <v>0</v>
      </c>
      <c r="V482" s="0" t="str">
        <f aca="false">IF(COUNTIFS($A$2:A482,A482,$C$2:C482,C482,$D$2:D482,D482)&gt;1,"중복","")</f>
        <v/>
      </c>
      <c r="W482" s="0" t="n">
        <f aca="false">IF(V482="중복",0,N(D482))</f>
        <v>150</v>
      </c>
      <c r="X482" s="0" t="n">
        <f aca="false">IF(COUNTIFS($A$2:A482,A482,$C$2:C482,C482)=1,ABS(SUMIFS(RAW_발주!$D:$D,RAW_발주!$C:$C,A482,RAW_발주!$A:$A,C482)-SUMIFS($W:$W,$A:$A,A482,$C:$C,C482)),0)</f>
        <v>0</v>
      </c>
    </row>
    <row r="483" customFormat="false" ht="15" hidden="false" customHeight="true" outlineLevel="0" collapsed="false">
      <c r="A483" s="45" t="s">
        <v>1667</v>
      </c>
      <c r="B483" s="42" t="str">
        <f aca="false">IF(A483="100","HK",IF(A483="200","CN",IF(A483="300","TW","홀세일")))</f>
        <v>홀세일</v>
      </c>
      <c r="C483" s="45" t="s">
        <v>316</v>
      </c>
      <c r="D483" s="46" t="n">
        <v>122</v>
      </c>
      <c r="E483" s="46" t="n">
        <v>59000</v>
      </c>
      <c r="F483" s="46" t="n">
        <v>13800</v>
      </c>
      <c r="G483" s="42" t="n">
        <v>4.03</v>
      </c>
      <c r="H483" s="42" t="n">
        <v>14.8</v>
      </c>
      <c r="J483" s="46" t="n">
        <f aca="false">IF(N(E483)&gt;0,E483,IF(N(F483)&gt;0,F483*요약!$F$27,0))</f>
        <v>59000</v>
      </c>
      <c r="K483" s="46" t="n">
        <f aca="false">IF(N(F483)&gt;0,F483,IF(N(E483)&gt;0,E483/요약!$F$27,0))</f>
        <v>13800</v>
      </c>
      <c r="L483" s="46" t="n">
        <f aca="false">IF(B483="CN",IF(N(I483)&gt;0,I483*요약!$G$27,K483*(1+요약!$E$27)),IF(N(H483)&gt;0,H483*요약!$G$27,J483*요약!$D$27))</f>
        <v>19536</v>
      </c>
      <c r="M483" s="46" t="n">
        <f aca="false">D483*J483</f>
        <v>7198000</v>
      </c>
      <c r="N483" s="46" t="n">
        <f aca="false">D483*K483</f>
        <v>1683600</v>
      </c>
      <c r="O483" s="46" t="n">
        <f aca="false">D483*L483</f>
        <v>2383392</v>
      </c>
      <c r="P483" s="42" t="str">
        <f aca="false">TRIM(IF(N(E483)&lt;=0,"택가보정 ","")&amp;IF(N(F483)&lt;=0,"원가보정 ","")&amp;IF(AND(B483&lt;&gt;"CN",N(H483)&lt;=0),"공급가보정 ","")&amp;IF(AND(B483="CN",N(I483)&lt;=0),"중국공급가=원가+마진 ",""))</f>
        <v/>
      </c>
      <c r="Q483" s="47" t="n">
        <f aca="false">IF(SUMIFS($W:$W,$A:$A,A483,$C:$C,C483)=0,0,SUMIFS(RAW_판매펀칭!$K:$K,RAW_판매펀칭!$P:$P,A483,RAW_판매펀칭!$I:$I,C483)*W483/SUMIFS($W:$W,$A:$A,A483,$C:$C,C483))</f>
        <v>122</v>
      </c>
      <c r="R483" s="47" t="n">
        <f aca="false">IF(OR(A483="500",A483="800",A483="810"),0,MAX(W483-Q483,0))</f>
        <v>0</v>
      </c>
      <c r="S483" s="47" t="n">
        <f aca="false">R483*L483</f>
        <v>0</v>
      </c>
      <c r="T483" s="47" t="n">
        <f aca="false">R483*J483</f>
        <v>0</v>
      </c>
      <c r="U483" s="47" t="n">
        <f aca="false">R483*K483</f>
        <v>0</v>
      </c>
      <c r="V483" s="0" t="str">
        <f aca="false">IF(COUNTIFS($A$2:A483,A483,$C$2:C483,C483,$D$2:D483,D483)&gt;1,"중복","")</f>
        <v/>
      </c>
      <c r="W483" s="0" t="n">
        <f aca="false">IF(V483="중복",0,N(D483))</f>
        <v>122</v>
      </c>
      <c r="X483" s="0" t="n">
        <f aca="false">IF(COUNTIFS($A$2:A483,A483,$C$2:C483,C483)=1,ABS(SUMIFS(RAW_발주!$D:$D,RAW_발주!$C:$C,A483,RAW_발주!$A:$A,C483)-SUMIFS($W:$W,$A:$A,A483,$C:$C,C483)),0)</f>
        <v>0</v>
      </c>
    </row>
    <row r="484" customFormat="false" ht="15" hidden="false" customHeight="true" outlineLevel="0" collapsed="false">
      <c r="A484" s="45" t="s">
        <v>1664</v>
      </c>
      <c r="B484" s="42" t="str">
        <f aca="false">IF(A484="100","HK",IF(A484="200","CN",IF(A484="300","TW","홀세일")))</f>
        <v>홀세일</v>
      </c>
      <c r="C484" s="45" t="s">
        <v>316</v>
      </c>
      <c r="D484" s="46" t="n">
        <v>110</v>
      </c>
      <c r="E484" s="46" t="n">
        <v>59000</v>
      </c>
      <c r="F484" s="46" t="n">
        <v>13800</v>
      </c>
      <c r="G484" s="42" t="n">
        <v>4.03</v>
      </c>
      <c r="H484" s="42" t="n">
        <v>14.8</v>
      </c>
      <c r="J484" s="46" t="n">
        <f aca="false">IF(N(E484)&gt;0,E484,IF(N(F484)&gt;0,F484*요약!$F$27,0))</f>
        <v>59000</v>
      </c>
      <c r="K484" s="46" t="n">
        <f aca="false">IF(N(F484)&gt;0,F484,IF(N(E484)&gt;0,E484/요약!$F$27,0))</f>
        <v>13800</v>
      </c>
      <c r="L484" s="46" t="n">
        <f aca="false">IF(B484="CN",IF(N(I484)&gt;0,I484*요약!$G$27,K484*(1+요약!$E$27)),IF(N(H484)&gt;0,H484*요약!$G$27,J484*요약!$D$27))</f>
        <v>19536</v>
      </c>
      <c r="M484" s="46" t="n">
        <f aca="false">D484*J484</f>
        <v>6490000</v>
      </c>
      <c r="N484" s="46" t="n">
        <f aca="false">D484*K484</f>
        <v>1518000</v>
      </c>
      <c r="O484" s="46" t="n">
        <f aca="false">D484*L484</f>
        <v>2148960</v>
      </c>
      <c r="P484" s="42" t="str">
        <f aca="false">TRIM(IF(N(E484)&lt;=0,"택가보정 ","")&amp;IF(N(F484)&lt;=0,"원가보정 ","")&amp;IF(AND(B484&lt;&gt;"CN",N(H484)&lt;=0),"공급가보정 ","")&amp;IF(AND(B484="CN",N(I484)&lt;=0),"중국공급가=원가+마진 ",""))</f>
        <v/>
      </c>
      <c r="Q484" s="47" t="n">
        <f aca="false">IF(SUMIFS($W:$W,$A:$A,A484,$C:$C,C484)=0,0,SUMIFS(RAW_판매펀칭!$K:$K,RAW_판매펀칭!$P:$P,A484,RAW_판매펀칭!$I:$I,C484)*W484/SUMIFS($W:$W,$A:$A,A484,$C:$C,C484))</f>
        <v>0</v>
      </c>
      <c r="R484" s="47" t="n">
        <f aca="false">IF(OR(A484="500",A484="800",A484="810"),0,MAX(W484-Q484,0))</f>
        <v>0</v>
      </c>
      <c r="S484" s="47" t="n">
        <f aca="false">R484*L484</f>
        <v>0</v>
      </c>
      <c r="T484" s="47" t="n">
        <f aca="false">R484*J484</f>
        <v>0</v>
      </c>
      <c r="U484" s="47" t="n">
        <f aca="false">R484*K484</f>
        <v>0</v>
      </c>
      <c r="V484" s="0" t="str">
        <f aca="false">IF(COUNTIFS($A$2:A484,A484,$C$2:C484,C484,$D$2:D484,D484)&gt;1,"중복","")</f>
        <v/>
      </c>
      <c r="W484" s="0" t="n">
        <f aca="false">IF(V484="중복",0,N(D484))</f>
        <v>110</v>
      </c>
      <c r="X484" s="0" t="n">
        <f aca="false">IF(COUNTIFS($A$2:A484,A484,$C$2:C484,C484)=1,ABS(SUMIFS(RAW_발주!$D:$D,RAW_발주!$C:$C,A484,RAW_발주!$A:$A,C484)-SUMIFS($W:$W,$A:$A,A484,$C:$C,C484)),0)</f>
        <v>0</v>
      </c>
    </row>
    <row r="485" customFormat="false" ht="15" hidden="false" customHeight="true" outlineLevel="0" collapsed="false">
      <c r="A485" s="45" t="s">
        <v>1659</v>
      </c>
      <c r="B485" s="42" t="str">
        <f aca="false">IF(A485="100","HK",IF(A485="200","CN",IF(A485="300","TW","홀세일")))</f>
        <v>HK</v>
      </c>
      <c r="C485" s="45" t="s">
        <v>318</v>
      </c>
      <c r="D485" s="46" t="n">
        <v>660</v>
      </c>
      <c r="E485" s="46" t="n">
        <v>59000</v>
      </c>
      <c r="F485" s="46" t="n">
        <v>12901</v>
      </c>
      <c r="G485" s="42" t="n">
        <v>3.14</v>
      </c>
      <c r="H485" s="42" t="n">
        <v>14.8</v>
      </c>
      <c r="J485" s="46" t="n">
        <f aca="false">IF(N(E485)&gt;0,E485,IF(N(F485)&gt;0,F485*요약!$F$27,0))</f>
        <v>59000</v>
      </c>
      <c r="K485" s="46" t="n">
        <f aca="false">IF(N(F485)&gt;0,F485,IF(N(E485)&gt;0,E485/요약!$F$27,0))</f>
        <v>12901</v>
      </c>
      <c r="L485" s="46" t="n">
        <f aca="false">IF(B485="CN",IF(N(I485)&gt;0,I485*요약!$G$27,K485*(1+요약!$E$27)),IF(N(H485)&gt;0,H485*요약!$G$27,J485*요약!$D$27))</f>
        <v>19536</v>
      </c>
      <c r="M485" s="46" t="n">
        <f aca="false">D485*J485</f>
        <v>38940000</v>
      </c>
      <c r="N485" s="46" t="n">
        <f aca="false">D485*K485</f>
        <v>8514660</v>
      </c>
      <c r="O485" s="46" t="n">
        <f aca="false">D485*L485</f>
        <v>12893760</v>
      </c>
      <c r="P485" s="42" t="str">
        <f aca="false">TRIM(IF(N(E485)&lt;=0,"택가보정 ","")&amp;IF(N(F485)&lt;=0,"원가보정 ","")&amp;IF(AND(B485&lt;&gt;"CN",N(H485)&lt;=0),"공급가보정 ","")&amp;IF(AND(B485="CN",N(I485)&lt;=0),"중국공급가=원가+마진 ",""))</f>
        <v/>
      </c>
      <c r="Q485" s="47" t="n">
        <f aca="false">IF(SUMIFS($W:$W,$A:$A,A485,$C:$C,C485)=0,0,SUMIFS(RAW_판매펀칭!$K:$K,RAW_판매펀칭!$P:$P,A485,RAW_판매펀칭!$I:$I,C485)*W485/SUMIFS($W:$W,$A:$A,A485,$C:$C,C485))</f>
        <v>660</v>
      </c>
      <c r="R485" s="47" t="n">
        <f aca="false">IF(OR(A485="500",A485="800",A485="810"),0,MAX(W485-Q485,0))</f>
        <v>0</v>
      </c>
      <c r="S485" s="47" t="n">
        <f aca="false">R485*L485</f>
        <v>0</v>
      </c>
      <c r="T485" s="47" t="n">
        <f aca="false">R485*J485</f>
        <v>0</v>
      </c>
      <c r="U485" s="47" t="n">
        <f aca="false">R485*K485</f>
        <v>0</v>
      </c>
      <c r="V485" s="0" t="str">
        <f aca="false">IF(COUNTIFS($A$2:A485,A485,$C$2:C485,C485,$D$2:D485,D485)&gt;1,"중복","")</f>
        <v/>
      </c>
      <c r="W485" s="0" t="n">
        <f aca="false">IF(V485="중복",0,N(D485))</f>
        <v>660</v>
      </c>
      <c r="X485" s="0" t="n">
        <f aca="false">IF(COUNTIFS($A$2:A485,A485,$C$2:C485,C485)=1,ABS(SUMIFS(RAW_발주!$D:$D,RAW_발주!$C:$C,A485,RAW_발주!$A:$A,C485)-SUMIFS($W:$W,$A:$A,A485,$C:$C,C485)),0)</f>
        <v>0</v>
      </c>
    </row>
    <row r="486" customFormat="false" ht="15.75" hidden="false" customHeight="true" outlineLevel="0" collapsed="false">
      <c r="A486" s="45" t="s">
        <v>1660</v>
      </c>
      <c r="B486" s="42" t="str">
        <f aca="false">IF(A486="100","HK",IF(A486="200","CN",IF(A486="300","TW","홀세일")))</f>
        <v>CN</v>
      </c>
      <c r="C486" s="45" t="s">
        <v>318</v>
      </c>
      <c r="D486" s="46" t="n">
        <v>80</v>
      </c>
      <c r="E486" s="46" t="n">
        <v>59000</v>
      </c>
      <c r="F486" s="46" t="n">
        <v>12901</v>
      </c>
      <c r="G486" s="42" t="n">
        <v>3.14</v>
      </c>
      <c r="H486" s="42" t="n">
        <v>14.8</v>
      </c>
      <c r="J486" s="46" t="n">
        <f aca="false">IF(N(E486)&gt;0,E486,IF(N(F486)&gt;0,F486*요약!$F$27,0))</f>
        <v>59000</v>
      </c>
      <c r="K486" s="46" t="n">
        <f aca="false">IF(N(F486)&gt;0,F486,IF(N(E486)&gt;0,E486/요약!$F$27,0))</f>
        <v>12901</v>
      </c>
      <c r="L486" s="46" t="n">
        <f aca="false">IF(B486="CN",IF(N(I486)&gt;0,I486*요약!$G$27,K486*(1+요약!$E$27)),IF(N(H486)&gt;0,H486*요약!$G$27,J486*요약!$D$27))</f>
        <v>13546.05</v>
      </c>
      <c r="M486" s="46" t="n">
        <f aca="false">D486*J486</f>
        <v>4720000</v>
      </c>
      <c r="N486" s="46" t="n">
        <f aca="false">D486*K486</f>
        <v>1032080</v>
      </c>
      <c r="O486" s="46" t="n">
        <f aca="false">D486*L486</f>
        <v>1083684</v>
      </c>
      <c r="P486" s="42" t="str">
        <f aca="false">TRIM(IF(N(E486)&lt;=0,"택가보정 ","")&amp;IF(N(F486)&lt;=0,"원가보정 ","")&amp;IF(AND(B486&lt;&gt;"CN",N(H486)&lt;=0),"공급가보정 ","")&amp;IF(AND(B486="CN",N(I486)&lt;=0),"중국공급가=원가+마진 ",""))</f>
        <v>중국공급가=원가+마진</v>
      </c>
      <c r="Q486" s="47" t="n">
        <f aca="false">IF(SUMIFS($W:$W,$A:$A,A486,$C:$C,C486)=0,0,SUMIFS(RAW_판매펀칭!$K:$K,RAW_판매펀칭!$P:$P,A486,RAW_판매펀칭!$I:$I,C486)*W486/SUMIFS($W:$W,$A:$A,A486,$C:$C,C486))</f>
        <v>80</v>
      </c>
      <c r="R486" s="47" t="n">
        <f aca="false">IF(OR(A486="500",A486="800",A486="810"),0,MAX(W486-Q486,0))</f>
        <v>0</v>
      </c>
      <c r="S486" s="47" t="n">
        <f aca="false">R486*L486</f>
        <v>0</v>
      </c>
      <c r="T486" s="47" t="n">
        <f aca="false">R486*J486</f>
        <v>0</v>
      </c>
      <c r="U486" s="47" t="n">
        <f aca="false">R486*K486</f>
        <v>0</v>
      </c>
      <c r="V486" s="0" t="str">
        <f aca="false">IF(COUNTIFS($A$2:A486,A486,$C$2:C486,C486,$D$2:D486,D486)&gt;1,"중복","")</f>
        <v/>
      </c>
      <c r="W486" s="0" t="n">
        <f aca="false">IF(V486="중복",0,N(D486))</f>
        <v>80</v>
      </c>
      <c r="X486" s="0" t="n">
        <f aca="false">IF(COUNTIFS($A$2:A486,A486,$C$2:C486,C486)=1,ABS(SUMIFS(RAW_발주!$D:$D,RAW_발주!$C:$C,A486,RAW_발주!$A:$A,C486)-SUMIFS($W:$W,$A:$A,A486,$C:$C,C486)),0)</f>
        <v>0</v>
      </c>
    </row>
    <row r="487" customFormat="false" ht="15" hidden="false" customHeight="true" outlineLevel="0" collapsed="false">
      <c r="A487" s="45" t="s">
        <v>1661</v>
      </c>
      <c r="B487" s="42" t="str">
        <f aca="false">IF(A487="100","HK",IF(A487="200","CN",IF(A487="300","TW","홀세일")))</f>
        <v>TW</v>
      </c>
      <c r="C487" s="45" t="s">
        <v>318</v>
      </c>
      <c r="D487" s="46" t="n">
        <v>500</v>
      </c>
      <c r="E487" s="46" t="n">
        <v>59000</v>
      </c>
      <c r="F487" s="46" t="n">
        <v>12901</v>
      </c>
      <c r="G487" s="42" t="n">
        <v>3.14</v>
      </c>
      <c r="H487" s="42" t="n">
        <v>14.8</v>
      </c>
      <c r="J487" s="46" t="n">
        <f aca="false">IF(N(E487)&gt;0,E487,IF(N(F487)&gt;0,F487*요약!$F$27,0))</f>
        <v>59000</v>
      </c>
      <c r="K487" s="46" t="n">
        <f aca="false">IF(N(F487)&gt;0,F487,IF(N(E487)&gt;0,E487/요약!$F$27,0))</f>
        <v>12901</v>
      </c>
      <c r="L487" s="46" t="n">
        <f aca="false">IF(B487="CN",IF(N(I487)&gt;0,I487*요약!$G$27,K487*(1+요약!$E$27)),IF(N(H487)&gt;0,H487*요약!$G$27,J487*요약!$D$27))</f>
        <v>19536</v>
      </c>
      <c r="M487" s="46" t="n">
        <f aca="false">D487*J487</f>
        <v>29500000</v>
      </c>
      <c r="N487" s="46" t="n">
        <f aca="false">D487*K487</f>
        <v>6450500</v>
      </c>
      <c r="O487" s="46" t="n">
        <f aca="false">D487*L487</f>
        <v>9768000</v>
      </c>
      <c r="P487" s="42" t="str">
        <f aca="false">TRIM(IF(N(E487)&lt;=0,"택가보정 ","")&amp;IF(N(F487)&lt;=0,"원가보정 ","")&amp;IF(AND(B487&lt;&gt;"CN",N(H487)&lt;=0),"공급가보정 ","")&amp;IF(AND(B487="CN",N(I487)&lt;=0),"중국공급가=원가+마진 ",""))</f>
        <v/>
      </c>
      <c r="Q487" s="47" t="n">
        <f aca="false">IF(SUMIFS($W:$W,$A:$A,A487,$C:$C,C487)=0,0,SUMIFS(RAW_판매펀칭!$K:$K,RAW_판매펀칭!$P:$P,A487,RAW_판매펀칭!$I:$I,C487)*W487/SUMIFS($W:$W,$A:$A,A487,$C:$C,C487))</f>
        <v>500</v>
      </c>
      <c r="R487" s="47" t="n">
        <f aca="false">IF(OR(A487="500",A487="800",A487="810"),0,MAX(W487-Q487,0))</f>
        <v>0</v>
      </c>
      <c r="S487" s="47" t="n">
        <f aca="false">R487*L487</f>
        <v>0</v>
      </c>
      <c r="T487" s="47" t="n">
        <f aca="false">R487*J487</f>
        <v>0</v>
      </c>
      <c r="U487" s="47" t="n">
        <f aca="false">R487*K487</f>
        <v>0</v>
      </c>
      <c r="V487" s="0" t="str">
        <f aca="false">IF(COUNTIFS($A$2:A487,A487,$C$2:C487,C487,$D$2:D487,D487)&gt;1,"중복","")</f>
        <v/>
      </c>
      <c r="W487" s="0" t="n">
        <f aca="false">IF(V487="중복",0,N(D487))</f>
        <v>500</v>
      </c>
      <c r="X487" s="0" t="n">
        <f aca="false">IF(COUNTIFS($A$2:A487,A487,$C$2:C487,C487)=1,ABS(SUMIFS(RAW_발주!$D:$D,RAW_발주!$C:$C,A487,RAW_발주!$A:$A,C487)-SUMIFS($W:$W,$A:$A,A487,$C:$C,C487)),0)</f>
        <v>0</v>
      </c>
    </row>
    <row r="488" customFormat="false" ht="15" hidden="false" customHeight="true" outlineLevel="0" collapsed="false">
      <c r="A488" s="45" t="s">
        <v>1662</v>
      </c>
      <c r="B488" s="42" t="str">
        <f aca="false">IF(A488="100","HK",IF(A488="200","CN",IF(A488="300","TW","홀세일")))</f>
        <v>홀세일</v>
      </c>
      <c r="C488" s="45" t="s">
        <v>318</v>
      </c>
      <c r="D488" s="46" t="n">
        <v>50</v>
      </c>
      <c r="E488" s="46" t="n">
        <v>59000</v>
      </c>
      <c r="F488" s="46" t="n">
        <v>12901</v>
      </c>
      <c r="G488" s="42" t="n">
        <v>3.14</v>
      </c>
      <c r="H488" s="42" t="n">
        <v>14.8</v>
      </c>
      <c r="J488" s="46" t="n">
        <f aca="false">IF(N(E488)&gt;0,E488,IF(N(F488)&gt;0,F488*요약!$F$27,0))</f>
        <v>59000</v>
      </c>
      <c r="K488" s="46" t="n">
        <f aca="false">IF(N(F488)&gt;0,F488,IF(N(E488)&gt;0,E488/요약!$F$27,0))</f>
        <v>12901</v>
      </c>
      <c r="L488" s="46" t="n">
        <f aca="false">IF(B488="CN",IF(N(I488)&gt;0,I488*요약!$G$27,K488*(1+요약!$E$27)),IF(N(H488)&gt;0,H488*요약!$G$27,J488*요약!$D$27))</f>
        <v>19536</v>
      </c>
      <c r="M488" s="46" t="n">
        <f aca="false">D488*J488</f>
        <v>2950000</v>
      </c>
      <c r="N488" s="46" t="n">
        <f aca="false">D488*K488</f>
        <v>645050</v>
      </c>
      <c r="O488" s="46" t="n">
        <f aca="false">D488*L488</f>
        <v>976800</v>
      </c>
      <c r="P488" s="42" t="str">
        <f aca="false">TRIM(IF(N(E488)&lt;=0,"택가보정 ","")&amp;IF(N(F488)&lt;=0,"원가보정 ","")&amp;IF(AND(B488&lt;&gt;"CN",N(H488)&lt;=0),"공급가보정 ","")&amp;IF(AND(B488="CN",N(I488)&lt;=0),"중국공급가=원가+마진 ",""))</f>
        <v/>
      </c>
      <c r="Q488" s="47" t="n">
        <f aca="false">IF(SUMIFS($W:$W,$A:$A,A488,$C:$C,C488)=0,0,SUMIFS(RAW_판매펀칭!$K:$K,RAW_판매펀칭!$P:$P,A488,RAW_판매펀칭!$I:$I,C488)*W488/SUMIFS($W:$W,$A:$A,A488,$C:$C,C488))</f>
        <v>50</v>
      </c>
      <c r="R488" s="47" t="n">
        <f aca="false">IF(OR(A488="500",A488="800",A488="810"),0,MAX(W488-Q488,0))</f>
        <v>0</v>
      </c>
      <c r="S488" s="47" t="n">
        <f aca="false">R488*L488</f>
        <v>0</v>
      </c>
      <c r="T488" s="47" t="n">
        <f aca="false">R488*J488</f>
        <v>0</v>
      </c>
      <c r="U488" s="47" t="n">
        <f aca="false">R488*K488</f>
        <v>0</v>
      </c>
      <c r="V488" s="0" t="str">
        <f aca="false">IF(COUNTIFS($A$2:A488,A488,$C$2:C488,C488,$D$2:D488,D488)&gt;1,"중복","")</f>
        <v/>
      </c>
      <c r="W488" s="0" t="n">
        <f aca="false">IF(V488="중복",0,N(D488))</f>
        <v>50</v>
      </c>
      <c r="X488" s="0" t="n">
        <f aca="false">IF(COUNTIFS($A$2:A488,A488,$C$2:C488,C488)=1,ABS(SUMIFS(RAW_발주!$D:$D,RAW_발주!$C:$C,A488,RAW_발주!$A:$A,C488)-SUMIFS($W:$W,$A:$A,A488,$C:$C,C488)),0)</f>
        <v>0</v>
      </c>
    </row>
    <row r="489" customFormat="false" ht="15" hidden="false" customHeight="true" outlineLevel="0" collapsed="false">
      <c r="A489" s="45" t="s">
        <v>1663</v>
      </c>
      <c r="B489" s="42" t="str">
        <f aca="false">IF(A489="100","HK",IF(A489="200","CN",IF(A489="300","TW","홀세일")))</f>
        <v>홀세일</v>
      </c>
      <c r="C489" s="45" t="s">
        <v>318</v>
      </c>
      <c r="D489" s="46" t="n">
        <v>75</v>
      </c>
      <c r="E489" s="46" t="n">
        <v>59000</v>
      </c>
      <c r="F489" s="46" t="n">
        <v>12901</v>
      </c>
      <c r="G489" s="42" t="n">
        <v>3.14</v>
      </c>
      <c r="H489" s="42" t="n">
        <v>14.8</v>
      </c>
      <c r="J489" s="46" t="n">
        <f aca="false">IF(N(E489)&gt;0,E489,IF(N(F489)&gt;0,F489*요약!$F$27,0))</f>
        <v>59000</v>
      </c>
      <c r="K489" s="46" t="n">
        <f aca="false">IF(N(F489)&gt;0,F489,IF(N(E489)&gt;0,E489/요약!$F$27,0))</f>
        <v>12901</v>
      </c>
      <c r="L489" s="46" t="n">
        <f aca="false">IF(B489="CN",IF(N(I489)&gt;0,I489*요약!$G$27,K489*(1+요약!$E$27)),IF(N(H489)&gt;0,H489*요약!$G$27,J489*요약!$D$27))</f>
        <v>19536</v>
      </c>
      <c r="M489" s="46" t="n">
        <f aca="false">D489*J489</f>
        <v>4425000</v>
      </c>
      <c r="N489" s="46" t="n">
        <f aca="false">D489*K489</f>
        <v>967575</v>
      </c>
      <c r="O489" s="46" t="n">
        <f aca="false">D489*L489</f>
        <v>1465200</v>
      </c>
      <c r="P489" s="42" t="str">
        <f aca="false">TRIM(IF(N(E489)&lt;=0,"택가보정 ","")&amp;IF(N(F489)&lt;=0,"원가보정 ","")&amp;IF(AND(B489&lt;&gt;"CN",N(H489)&lt;=0),"공급가보정 ","")&amp;IF(AND(B489="CN",N(I489)&lt;=0),"중국공급가=원가+마진 ",""))</f>
        <v/>
      </c>
      <c r="Q489" s="47" t="n">
        <f aca="false">IF(SUMIFS($W:$W,$A:$A,A489,$C:$C,C489)=0,0,SUMIFS(RAW_판매펀칭!$K:$K,RAW_판매펀칭!$P:$P,A489,RAW_판매펀칭!$I:$I,C489)*W489/SUMIFS($W:$W,$A:$A,A489,$C:$C,C489))</f>
        <v>75</v>
      </c>
      <c r="R489" s="47" t="n">
        <f aca="false">IF(OR(A489="500",A489="800",A489="810"),0,MAX(W489-Q489,0))</f>
        <v>0</v>
      </c>
      <c r="S489" s="47" t="n">
        <f aca="false">R489*L489</f>
        <v>0</v>
      </c>
      <c r="T489" s="47" t="n">
        <f aca="false">R489*J489</f>
        <v>0</v>
      </c>
      <c r="U489" s="47" t="n">
        <f aca="false">R489*K489</f>
        <v>0</v>
      </c>
      <c r="V489" s="0" t="str">
        <f aca="false">IF(COUNTIFS($A$2:A489,A489,$C$2:C489,C489,$D$2:D489,D489)&gt;1,"중복","")</f>
        <v/>
      </c>
      <c r="W489" s="0" t="n">
        <f aca="false">IF(V489="중복",0,N(D489))</f>
        <v>75</v>
      </c>
      <c r="X489" s="0" t="n">
        <f aca="false">IF(COUNTIFS($A$2:A489,A489,$C$2:C489,C489)=1,ABS(SUMIFS(RAW_발주!$D:$D,RAW_발주!$C:$C,A489,RAW_발주!$A:$A,C489)-SUMIFS($W:$W,$A:$A,A489,$C:$C,C489)),0)</f>
        <v>0</v>
      </c>
    </row>
    <row r="490" customFormat="false" ht="15" hidden="false" customHeight="true" outlineLevel="0" collapsed="false">
      <c r="A490" s="45" t="s">
        <v>1664</v>
      </c>
      <c r="B490" s="42" t="str">
        <f aca="false">IF(A490="100","HK",IF(A490="200","CN",IF(A490="300","TW","홀세일")))</f>
        <v>홀세일</v>
      </c>
      <c r="C490" s="45" t="s">
        <v>318</v>
      </c>
      <c r="D490" s="46" t="n">
        <v>110</v>
      </c>
      <c r="E490" s="46" t="n">
        <v>59000</v>
      </c>
      <c r="F490" s="46" t="n">
        <v>12901</v>
      </c>
      <c r="G490" s="42" t="n">
        <v>3.14</v>
      </c>
      <c r="H490" s="42" t="n">
        <v>14.8</v>
      </c>
      <c r="J490" s="46" t="n">
        <f aca="false">IF(N(E490)&gt;0,E490,IF(N(F490)&gt;0,F490*요약!$F$27,0))</f>
        <v>59000</v>
      </c>
      <c r="K490" s="46" t="n">
        <f aca="false">IF(N(F490)&gt;0,F490,IF(N(E490)&gt;0,E490/요약!$F$27,0))</f>
        <v>12901</v>
      </c>
      <c r="L490" s="46" t="n">
        <f aca="false">IF(B490="CN",IF(N(I490)&gt;0,I490*요약!$G$27,K490*(1+요약!$E$27)),IF(N(H490)&gt;0,H490*요약!$G$27,J490*요약!$D$27))</f>
        <v>19536</v>
      </c>
      <c r="M490" s="46" t="n">
        <f aca="false">D490*J490</f>
        <v>6490000</v>
      </c>
      <c r="N490" s="46" t="n">
        <f aca="false">D490*K490</f>
        <v>1419110</v>
      </c>
      <c r="O490" s="46" t="n">
        <f aca="false">D490*L490</f>
        <v>2148960</v>
      </c>
      <c r="P490" s="42" t="str">
        <f aca="false">TRIM(IF(N(E490)&lt;=0,"택가보정 ","")&amp;IF(N(F490)&lt;=0,"원가보정 ","")&amp;IF(AND(B490&lt;&gt;"CN",N(H490)&lt;=0),"공급가보정 ","")&amp;IF(AND(B490="CN",N(I490)&lt;=0),"중국공급가=원가+마진 ",""))</f>
        <v/>
      </c>
      <c r="Q490" s="47" t="n">
        <f aca="false">IF(SUMIFS($W:$W,$A:$A,A490,$C:$C,C490)=0,0,SUMIFS(RAW_판매펀칭!$K:$K,RAW_판매펀칭!$P:$P,A490,RAW_판매펀칭!$I:$I,C490)*W490/SUMIFS($W:$W,$A:$A,A490,$C:$C,C490))</f>
        <v>0</v>
      </c>
      <c r="R490" s="47" t="n">
        <f aca="false">IF(OR(A490="500",A490="800",A490="810"),0,MAX(W490-Q490,0))</f>
        <v>0</v>
      </c>
      <c r="S490" s="47" t="n">
        <f aca="false">R490*L490</f>
        <v>0</v>
      </c>
      <c r="T490" s="47" t="n">
        <f aca="false">R490*J490</f>
        <v>0</v>
      </c>
      <c r="U490" s="47" t="n">
        <f aca="false">R490*K490</f>
        <v>0</v>
      </c>
      <c r="V490" s="0" t="str">
        <f aca="false">IF(COUNTIFS($A$2:A490,A490,$C$2:C490,C490,$D$2:D490,D490)&gt;1,"중복","")</f>
        <v/>
      </c>
      <c r="W490" s="0" t="n">
        <f aca="false">IF(V490="중복",0,N(D490))</f>
        <v>110</v>
      </c>
      <c r="X490" s="0" t="n">
        <f aca="false">IF(COUNTIFS($A$2:A490,A490,$C$2:C490,C490)=1,ABS(SUMIFS(RAW_발주!$D:$D,RAW_발주!$C:$C,A490,RAW_발주!$A:$A,C490)-SUMIFS($W:$W,$A:$A,A490,$C:$C,C490)),0)</f>
        <v>0</v>
      </c>
    </row>
    <row r="491" customFormat="false" ht="15" hidden="false" customHeight="true" outlineLevel="0" collapsed="false">
      <c r="A491" s="45" t="s">
        <v>1659</v>
      </c>
      <c r="B491" s="42" t="str">
        <f aca="false">IF(A491="100","HK",IF(A491="200","CN",IF(A491="300","TW","홀세일")))</f>
        <v>HK</v>
      </c>
      <c r="C491" s="45" t="s">
        <v>320</v>
      </c>
      <c r="D491" s="46" t="n">
        <v>780</v>
      </c>
      <c r="E491" s="46" t="n">
        <v>69000</v>
      </c>
      <c r="F491" s="46" t="n">
        <v>15700</v>
      </c>
      <c r="G491" s="42" t="n">
        <v>3.8</v>
      </c>
      <c r="H491" s="42" t="n">
        <v>17.3</v>
      </c>
      <c r="J491" s="46" t="n">
        <f aca="false">IF(N(E491)&gt;0,E491,IF(N(F491)&gt;0,F491*요약!$F$27,0))</f>
        <v>69000</v>
      </c>
      <c r="K491" s="46" t="n">
        <f aca="false">IF(N(F491)&gt;0,F491,IF(N(E491)&gt;0,E491/요약!$F$27,0))</f>
        <v>15700</v>
      </c>
      <c r="L491" s="46" t="n">
        <f aca="false">IF(B491="CN",IF(N(I491)&gt;0,I491*요약!$G$27,K491*(1+요약!$E$27)),IF(N(H491)&gt;0,H491*요약!$G$27,J491*요약!$D$27))</f>
        <v>22836</v>
      </c>
      <c r="M491" s="46" t="n">
        <f aca="false">D491*J491</f>
        <v>53820000</v>
      </c>
      <c r="N491" s="46" t="n">
        <f aca="false">D491*K491</f>
        <v>12246000</v>
      </c>
      <c r="O491" s="46" t="n">
        <f aca="false">D491*L491</f>
        <v>17812080</v>
      </c>
      <c r="P491" s="42" t="str">
        <f aca="false">TRIM(IF(N(E491)&lt;=0,"택가보정 ","")&amp;IF(N(F491)&lt;=0,"원가보정 ","")&amp;IF(AND(B491&lt;&gt;"CN",N(H491)&lt;=0),"공급가보정 ","")&amp;IF(AND(B491="CN",N(I491)&lt;=0),"중국공급가=원가+마진 ",""))</f>
        <v/>
      </c>
      <c r="Q491" s="47" t="n">
        <f aca="false">IF(SUMIFS($W:$W,$A:$A,A491,$C:$C,C491)=0,0,SUMIFS(RAW_판매펀칭!$K:$K,RAW_판매펀칭!$P:$P,A491,RAW_판매펀칭!$I:$I,C491)*W491/SUMIFS($W:$W,$A:$A,A491,$C:$C,C491))</f>
        <v>780</v>
      </c>
      <c r="R491" s="47" t="n">
        <f aca="false">IF(OR(A491="500",A491="800",A491="810"),0,MAX(W491-Q491,0))</f>
        <v>0</v>
      </c>
      <c r="S491" s="47" t="n">
        <f aca="false">R491*L491</f>
        <v>0</v>
      </c>
      <c r="T491" s="47" t="n">
        <f aca="false">R491*J491</f>
        <v>0</v>
      </c>
      <c r="U491" s="47" t="n">
        <f aca="false">R491*K491</f>
        <v>0</v>
      </c>
      <c r="V491" s="0" t="str">
        <f aca="false">IF(COUNTIFS($A$2:A491,A491,$C$2:C491,C491,$D$2:D491,D491)&gt;1,"중복","")</f>
        <v/>
      </c>
      <c r="W491" s="0" t="n">
        <f aca="false">IF(V491="중복",0,N(D491))</f>
        <v>780</v>
      </c>
      <c r="X491" s="0" t="n">
        <f aca="false">IF(COUNTIFS($A$2:A491,A491,$C$2:C491,C491)=1,ABS(SUMIFS(RAW_발주!$D:$D,RAW_발주!$C:$C,A491,RAW_발주!$A:$A,C491)-SUMIFS($W:$W,$A:$A,A491,$C:$C,C491)),0)</f>
        <v>0</v>
      </c>
    </row>
    <row r="492" customFormat="false" ht="15" hidden="false" customHeight="true" outlineLevel="0" collapsed="false">
      <c r="A492" s="45" t="s">
        <v>1661</v>
      </c>
      <c r="B492" s="42" t="str">
        <f aca="false">IF(A492="100","HK",IF(A492="200","CN",IF(A492="300","TW","홀세일")))</f>
        <v>TW</v>
      </c>
      <c r="C492" s="45" t="s">
        <v>320</v>
      </c>
      <c r="D492" s="46" t="n">
        <v>200</v>
      </c>
      <c r="E492" s="46" t="n">
        <v>69000</v>
      </c>
      <c r="F492" s="46" t="n">
        <v>15700</v>
      </c>
      <c r="G492" s="42" t="n">
        <v>3.8</v>
      </c>
      <c r="H492" s="42" t="n">
        <v>17.3</v>
      </c>
      <c r="J492" s="46" t="n">
        <f aca="false">IF(N(E492)&gt;0,E492,IF(N(F492)&gt;0,F492*요약!$F$27,0))</f>
        <v>69000</v>
      </c>
      <c r="K492" s="46" t="n">
        <f aca="false">IF(N(F492)&gt;0,F492,IF(N(E492)&gt;0,E492/요약!$F$27,0))</f>
        <v>15700</v>
      </c>
      <c r="L492" s="46" t="n">
        <f aca="false">IF(B492="CN",IF(N(I492)&gt;0,I492*요약!$G$27,K492*(1+요약!$E$27)),IF(N(H492)&gt;0,H492*요약!$G$27,J492*요약!$D$27))</f>
        <v>22836</v>
      </c>
      <c r="M492" s="46" t="n">
        <f aca="false">D492*J492</f>
        <v>13800000</v>
      </c>
      <c r="N492" s="46" t="n">
        <f aca="false">D492*K492</f>
        <v>3140000</v>
      </c>
      <c r="O492" s="46" t="n">
        <f aca="false">D492*L492</f>
        <v>4567200</v>
      </c>
      <c r="P492" s="42" t="str">
        <f aca="false">TRIM(IF(N(E492)&lt;=0,"택가보정 ","")&amp;IF(N(F492)&lt;=0,"원가보정 ","")&amp;IF(AND(B492&lt;&gt;"CN",N(H492)&lt;=0),"공급가보정 ","")&amp;IF(AND(B492="CN",N(I492)&lt;=0),"중국공급가=원가+마진 ",""))</f>
        <v/>
      </c>
      <c r="Q492" s="47" t="n">
        <f aca="false">IF(SUMIFS($W:$W,$A:$A,A492,$C:$C,C492)=0,0,SUMIFS(RAW_판매펀칭!$K:$K,RAW_판매펀칭!$P:$P,A492,RAW_판매펀칭!$I:$I,C492)*W492/SUMIFS($W:$W,$A:$A,A492,$C:$C,C492))</f>
        <v>200</v>
      </c>
      <c r="R492" s="47" t="n">
        <f aca="false">IF(OR(A492="500",A492="800",A492="810"),0,MAX(W492-Q492,0))</f>
        <v>0</v>
      </c>
      <c r="S492" s="47" t="n">
        <f aca="false">R492*L492</f>
        <v>0</v>
      </c>
      <c r="T492" s="47" t="n">
        <f aca="false">R492*J492</f>
        <v>0</v>
      </c>
      <c r="U492" s="47" t="n">
        <f aca="false">R492*K492</f>
        <v>0</v>
      </c>
      <c r="V492" s="0" t="str">
        <f aca="false">IF(COUNTIFS($A$2:A492,A492,$C$2:C492,C492,$D$2:D492,D492)&gt;1,"중복","")</f>
        <v/>
      </c>
      <c r="W492" s="0" t="n">
        <f aca="false">IF(V492="중복",0,N(D492))</f>
        <v>200</v>
      </c>
      <c r="X492" s="0" t="n">
        <f aca="false">IF(COUNTIFS($A$2:A492,A492,$C$2:C492,C492)=1,ABS(SUMIFS(RAW_발주!$D:$D,RAW_발주!$C:$C,A492,RAW_발주!$A:$A,C492)-SUMIFS($W:$W,$A:$A,A492,$C:$C,C492)),0)</f>
        <v>0</v>
      </c>
    </row>
    <row r="493" customFormat="false" ht="15" hidden="false" customHeight="true" outlineLevel="0" collapsed="false">
      <c r="A493" s="45" t="s">
        <v>1662</v>
      </c>
      <c r="B493" s="42" t="str">
        <f aca="false">IF(A493="100","HK",IF(A493="200","CN",IF(A493="300","TW","홀세일")))</f>
        <v>홀세일</v>
      </c>
      <c r="C493" s="45" t="s">
        <v>320</v>
      </c>
      <c r="D493" s="46" t="n">
        <v>50</v>
      </c>
      <c r="E493" s="46" t="n">
        <v>69000</v>
      </c>
      <c r="F493" s="46" t="n">
        <v>15700</v>
      </c>
      <c r="G493" s="42" t="n">
        <v>3.8</v>
      </c>
      <c r="H493" s="42" t="n">
        <v>17.3</v>
      </c>
      <c r="J493" s="46" t="n">
        <f aca="false">IF(N(E493)&gt;0,E493,IF(N(F493)&gt;0,F493*요약!$F$27,0))</f>
        <v>69000</v>
      </c>
      <c r="K493" s="46" t="n">
        <f aca="false">IF(N(F493)&gt;0,F493,IF(N(E493)&gt;0,E493/요약!$F$27,0))</f>
        <v>15700</v>
      </c>
      <c r="L493" s="46" t="n">
        <f aca="false">IF(B493="CN",IF(N(I493)&gt;0,I493*요약!$G$27,K493*(1+요약!$E$27)),IF(N(H493)&gt;0,H493*요약!$G$27,J493*요약!$D$27))</f>
        <v>22836</v>
      </c>
      <c r="M493" s="46" t="n">
        <f aca="false">D493*J493</f>
        <v>3450000</v>
      </c>
      <c r="N493" s="46" t="n">
        <f aca="false">D493*K493</f>
        <v>785000</v>
      </c>
      <c r="O493" s="46" t="n">
        <f aca="false">D493*L493</f>
        <v>1141800</v>
      </c>
      <c r="P493" s="42" t="str">
        <f aca="false">TRIM(IF(N(E493)&lt;=0,"택가보정 ","")&amp;IF(N(F493)&lt;=0,"원가보정 ","")&amp;IF(AND(B493&lt;&gt;"CN",N(H493)&lt;=0),"공급가보정 ","")&amp;IF(AND(B493="CN",N(I493)&lt;=0),"중국공급가=원가+마진 ",""))</f>
        <v/>
      </c>
      <c r="Q493" s="47" t="n">
        <f aca="false">IF(SUMIFS($W:$W,$A:$A,A493,$C:$C,C493)=0,0,SUMIFS(RAW_판매펀칭!$K:$K,RAW_판매펀칭!$P:$P,A493,RAW_판매펀칭!$I:$I,C493)*W493/SUMIFS($W:$W,$A:$A,A493,$C:$C,C493))</f>
        <v>50</v>
      </c>
      <c r="R493" s="47" t="n">
        <f aca="false">IF(OR(A493="500",A493="800",A493="810"),0,MAX(W493-Q493,0))</f>
        <v>0</v>
      </c>
      <c r="S493" s="47" t="n">
        <f aca="false">R493*L493</f>
        <v>0</v>
      </c>
      <c r="T493" s="47" t="n">
        <f aca="false">R493*J493</f>
        <v>0</v>
      </c>
      <c r="U493" s="47" t="n">
        <f aca="false">R493*K493</f>
        <v>0</v>
      </c>
      <c r="V493" s="0" t="str">
        <f aca="false">IF(COUNTIFS($A$2:A493,A493,$C$2:C493,C493,$D$2:D493,D493)&gt;1,"중복","")</f>
        <v/>
      </c>
      <c r="W493" s="0" t="n">
        <f aca="false">IF(V493="중복",0,N(D493))</f>
        <v>50</v>
      </c>
      <c r="X493" s="0" t="n">
        <f aca="false">IF(COUNTIFS($A$2:A493,A493,$C$2:C493,C493)=1,ABS(SUMIFS(RAW_발주!$D:$D,RAW_발주!$C:$C,A493,RAW_발주!$A:$A,C493)-SUMIFS($W:$W,$A:$A,A493,$C:$C,C493)),0)</f>
        <v>0</v>
      </c>
    </row>
    <row r="494" customFormat="false" ht="15" hidden="false" customHeight="true" outlineLevel="0" collapsed="false">
      <c r="A494" s="45" t="s">
        <v>1663</v>
      </c>
      <c r="B494" s="42" t="str">
        <f aca="false">IF(A494="100","HK",IF(A494="200","CN",IF(A494="300","TW","홀세일")))</f>
        <v>홀세일</v>
      </c>
      <c r="C494" s="45" t="s">
        <v>320</v>
      </c>
      <c r="D494" s="46" t="n">
        <v>45</v>
      </c>
      <c r="E494" s="46" t="n">
        <v>69000</v>
      </c>
      <c r="F494" s="46" t="n">
        <v>15700</v>
      </c>
      <c r="G494" s="42" t="n">
        <v>3.8</v>
      </c>
      <c r="H494" s="42" t="n">
        <v>17.3</v>
      </c>
      <c r="J494" s="46" t="n">
        <f aca="false">IF(N(E494)&gt;0,E494,IF(N(F494)&gt;0,F494*요약!$F$27,0))</f>
        <v>69000</v>
      </c>
      <c r="K494" s="46" t="n">
        <f aca="false">IF(N(F494)&gt;0,F494,IF(N(E494)&gt;0,E494/요약!$F$27,0))</f>
        <v>15700</v>
      </c>
      <c r="L494" s="46" t="n">
        <f aca="false">IF(B494="CN",IF(N(I494)&gt;0,I494*요약!$G$27,K494*(1+요약!$E$27)),IF(N(H494)&gt;0,H494*요약!$G$27,J494*요약!$D$27))</f>
        <v>22836</v>
      </c>
      <c r="M494" s="46" t="n">
        <f aca="false">D494*J494</f>
        <v>3105000</v>
      </c>
      <c r="N494" s="46" t="n">
        <f aca="false">D494*K494</f>
        <v>706500</v>
      </c>
      <c r="O494" s="46" t="n">
        <f aca="false">D494*L494</f>
        <v>1027620</v>
      </c>
      <c r="P494" s="42" t="str">
        <f aca="false">TRIM(IF(N(E494)&lt;=0,"택가보정 ","")&amp;IF(N(F494)&lt;=0,"원가보정 ","")&amp;IF(AND(B494&lt;&gt;"CN",N(H494)&lt;=0),"공급가보정 ","")&amp;IF(AND(B494="CN",N(I494)&lt;=0),"중국공급가=원가+마진 ",""))</f>
        <v/>
      </c>
      <c r="Q494" s="47" t="n">
        <f aca="false">IF(SUMIFS($W:$W,$A:$A,A494,$C:$C,C494)=0,0,SUMIFS(RAW_판매펀칭!$K:$K,RAW_판매펀칭!$P:$P,A494,RAW_판매펀칭!$I:$I,C494)*W494/SUMIFS($W:$W,$A:$A,A494,$C:$C,C494))</f>
        <v>45</v>
      </c>
      <c r="R494" s="47" t="n">
        <f aca="false">IF(OR(A494="500",A494="800",A494="810"),0,MAX(W494-Q494,0))</f>
        <v>0</v>
      </c>
      <c r="S494" s="47" t="n">
        <f aca="false">R494*L494</f>
        <v>0</v>
      </c>
      <c r="T494" s="47" t="n">
        <f aca="false">R494*J494</f>
        <v>0</v>
      </c>
      <c r="U494" s="47" t="n">
        <f aca="false">R494*K494</f>
        <v>0</v>
      </c>
      <c r="V494" s="0" t="str">
        <f aca="false">IF(COUNTIFS($A$2:A494,A494,$C$2:C494,C494,$D$2:D494,D494)&gt;1,"중복","")</f>
        <v/>
      </c>
      <c r="W494" s="0" t="n">
        <f aca="false">IF(V494="중복",0,N(D494))</f>
        <v>45</v>
      </c>
      <c r="X494" s="0" t="n">
        <f aca="false">IF(COUNTIFS($A$2:A494,A494,$C$2:C494,C494)=1,ABS(SUMIFS(RAW_발주!$D:$D,RAW_발주!$C:$C,A494,RAW_발주!$A:$A,C494)-SUMIFS($W:$W,$A:$A,A494,$C:$C,C494)),0)</f>
        <v>0</v>
      </c>
    </row>
    <row r="495" customFormat="false" ht="15" hidden="false" customHeight="true" outlineLevel="0" collapsed="false">
      <c r="A495" s="45" t="s">
        <v>1667</v>
      </c>
      <c r="B495" s="42" t="str">
        <f aca="false">IF(A495="100","HK",IF(A495="200","CN",IF(A495="300","TW","홀세일")))</f>
        <v>홀세일</v>
      </c>
      <c r="C495" s="45" t="s">
        <v>320</v>
      </c>
      <c r="D495" s="46" t="n">
        <v>56</v>
      </c>
      <c r="E495" s="46" t="n">
        <v>69000</v>
      </c>
      <c r="F495" s="46" t="n">
        <v>15700</v>
      </c>
      <c r="G495" s="42" t="n">
        <v>3.8</v>
      </c>
      <c r="H495" s="42" t="n">
        <v>17.3</v>
      </c>
      <c r="J495" s="46" t="n">
        <f aca="false">IF(N(E495)&gt;0,E495,IF(N(F495)&gt;0,F495*요약!$F$27,0))</f>
        <v>69000</v>
      </c>
      <c r="K495" s="46" t="n">
        <f aca="false">IF(N(F495)&gt;0,F495,IF(N(E495)&gt;0,E495/요약!$F$27,0))</f>
        <v>15700</v>
      </c>
      <c r="L495" s="46" t="n">
        <f aca="false">IF(B495="CN",IF(N(I495)&gt;0,I495*요약!$G$27,K495*(1+요약!$E$27)),IF(N(H495)&gt;0,H495*요약!$G$27,J495*요약!$D$27))</f>
        <v>22836</v>
      </c>
      <c r="M495" s="46" t="n">
        <f aca="false">D495*J495</f>
        <v>3864000</v>
      </c>
      <c r="N495" s="46" t="n">
        <f aca="false">D495*K495</f>
        <v>879200</v>
      </c>
      <c r="O495" s="46" t="n">
        <f aca="false">D495*L495</f>
        <v>1278816</v>
      </c>
      <c r="P495" s="42" t="str">
        <f aca="false">TRIM(IF(N(E495)&lt;=0,"택가보정 ","")&amp;IF(N(F495)&lt;=0,"원가보정 ","")&amp;IF(AND(B495&lt;&gt;"CN",N(H495)&lt;=0),"공급가보정 ","")&amp;IF(AND(B495="CN",N(I495)&lt;=0),"중국공급가=원가+마진 ",""))</f>
        <v/>
      </c>
      <c r="Q495" s="47" t="n">
        <f aca="false">IF(SUMIFS($W:$W,$A:$A,A495,$C:$C,C495)=0,0,SUMIFS(RAW_판매펀칭!$K:$K,RAW_판매펀칭!$P:$P,A495,RAW_판매펀칭!$I:$I,C495)*W495/SUMIFS($W:$W,$A:$A,A495,$C:$C,C495))</f>
        <v>56</v>
      </c>
      <c r="R495" s="47" t="n">
        <f aca="false">IF(OR(A495="500",A495="800",A495="810"),0,MAX(W495-Q495,0))</f>
        <v>0</v>
      </c>
      <c r="S495" s="47" t="n">
        <f aca="false">R495*L495</f>
        <v>0</v>
      </c>
      <c r="T495" s="47" t="n">
        <f aca="false">R495*J495</f>
        <v>0</v>
      </c>
      <c r="U495" s="47" t="n">
        <f aca="false">R495*K495</f>
        <v>0</v>
      </c>
      <c r="V495" s="0" t="str">
        <f aca="false">IF(COUNTIFS($A$2:A495,A495,$C$2:C495,C495,$D$2:D495,D495)&gt;1,"중복","")</f>
        <v/>
      </c>
      <c r="W495" s="0" t="n">
        <f aca="false">IF(V495="중복",0,N(D495))</f>
        <v>56</v>
      </c>
      <c r="X495" s="0" t="n">
        <f aca="false">IF(COUNTIFS($A$2:A495,A495,$C$2:C495,C495)=1,ABS(SUMIFS(RAW_발주!$D:$D,RAW_발주!$C:$C,A495,RAW_발주!$A:$A,C495)-SUMIFS($W:$W,$A:$A,A495,$C:$C,C495)),0)</f>
        <v>0</v>
      </c>
    </row>
    <row r="496" customFormat="false" ht="15" hidden="false" customHeight="true" outlineLevel="0" collapsed="false">
      <c r="A496" s="45" t="s">
        <v>1664</v>
      </c>
      <c r="B496" s="42" t="str">
        <f aca="false">IF(A496="100","HK",IF(A496="200","CN",IF(A496="300","TW","홀세일")))</f>
        <v>홀세일</v>
      </c>
      <c r="C496" s="45" t="s">
        <v>320</v>
      </c>
      <c r="D496" s="46" t="n">
        <v>80</v>
      </c>
      <c r="E496" s="46" t="n">
        <v>69000</v>
      </c>
      <c r="F496" s="46" t="n">
        <v>15700</v>
      </c>
      <c r="G496" s="42" t="n">
        <v>3.8</v>
      </c>
      <c r="H496" s="42" t="n">
        <v>17.3</v>
      </c>
      <c r="J496" s="46" t="n">
        <f aca="false">IF(N(E496)&gt;0,E496,IF(N(F496)&gt;0,F496*요약!$F$27,0))</f>
        <v>69000</v>
      </c>
      <c r="K496" s="46" t="n">
        <f aca="false">IF(N(F496)&gt;0,F496,IF(N(E496)&gt;0,E496/요약!$F$27,0))</f>
        <v>15700</v>
      </c>
      <c r="L496" s="46" t="n">
        <f aca="false">IF(B496="CN",IF(N(I496)&gt;0,I496*요약!$G$27,K496*(1+요약!$E$27)),IF(N(H496)&gt;0,H496*요약!$G$27,J496*요약!$D$27))</f>
        <v>22836</v>
      </c>
      <c r="M496" s="46" t="n">
        <f aca="false">D496*J496</f>
        <v>5520000</v>
      </c>
      <c r="N496" s="46" t="n">
        <f aca="false">D496*K496</f>
        <v>1256000</v>
      </c>
      <c r="O496" s="46" t="n">
        <f aca="false">D496*L496</f>
        <v>1826880</v>
      </c>
      <c r="P496" s="42" t="str">
        <f aca="false">TRIM(IF(N(E496)&lt;=0,"택가보정 ","")&amp;IF(N(F496)&lt;=0,"원가보정 ","")&amp;IF(AND(B496&lt;&gt;"CN",N(H496)&lt;=0),"공급가보정 ","")&amp;IF(AND(B496="CN",N(I496)&lt;=0),"중국공급가=원가+마진 ",""))</f>
        <v/>
      </c>
      <c r="Q496" s="47" t="n">
        <f aca="false">IF(SUMIFS($W:$W,$A:$A,A496,$C:$C,C496)=0,0,SUMIFS(RAW_판매펀칭!$K:$K,RAW_판매펀칭!$P:$P,A496,RAW_판매펀칭!$I:$I,C496)*W496/SUMIFS($W:$W,$A:$A,A496,$C:$C,C496))</f>
        <v>0</v>
      </c>
      <c r="R496" s="47" t="n">
        <f aca="false">IF(OR(A496="500",A496="800",A496="810"),0,MAX(W496-Q496,0))</f>
        <v>0</v>
      </c>
      <c r="S496" s="47" t="n">
        <f aca="false">R496*L496</f>
        <v>0</v>
      </c>
      <c r="T496" s="47" t="n">
        <f aca="false">R496*J496</f>
        <v>0</v>
      </c>
      <c r="U496" s="47" t="n">
        <f aca="false">R496*K496</f>
        <v>0</v>
      </c>
      <c r="V496" s="0" t="str">
        <f aca="false">IF(COUNTIFS($A$2:A496,A496,$C$2:C496,C496,$D$2:D496,D496)&gt;1,"중복","")</f>
        <v/>
      </c>
      <c r="W496" s="0" t="n">
        <f aca="false">IF(V496="중복",0,N(D496))</f>
        <v>80</v>
      </c>
      <c r="X496" s="0" t="n">
        <f aca="false">IF(COUNTIFS($A$2:A496,A496,$C$2:C496,C496)=1,ABS(SUMIFS(RAW_발주!$D:$D,RAW_발주!$C:$C,A496,RAW_발주!$A:$A,C496)-SUMIFS($W:$W,$A:$A,A496,$C:$C,C496)),0)</f>
        <v>0</v>
      </c>
    </row>
    <row r="497" customFormat="false" ht="15" hidden="false" customHeight="true" outlineLevel="0" collapsed="false">
      <c r="A497" s="45" t="s">
        <v>1659</v>
      </c>
      <c r="B497" s="42" t="str">
        <f aca="false">IF(A497="100","HK",IF(A497="200","CN",IF(A497="300","TW","홀세일")))</f>
        <v>HK</v>
      </c>
      <c r="C497" s="45" t="s">
        <v>834</v>
      </c>
      <c r="D497" s="46" t="n">
        <v>180</v>
      </c>
      <c r="E497" s="46" t="n">
        <v>59000</v>
      </c>
      <c r="F497" s="46" t="n">
        <v>13900</v>
      </c>
      <c r="G497" s="42" t="n">
        <v>4.9</v>
      </c>
      <c r="H497" s="42" t="n">
        <v>14.8</v>
      </c>
      <c r="J497" s="46" t="n">
        <f aca="false">IF(N(E497)&gt;0,E497,IF(N(F497)&gt;0,F497*요약!$F$27,0))</f>
        <v>59000</v>
      </c>
      <c r="K497" s="46" t="n">
        <f aca="false">IF(N(F497)&gt;0,F497,IF(N(E497)&gt;0,E497/요약!$F$27,0))</f>
        <v>13900</v>
      </c>
      <c r="L497" s="46" t="n">
        <f aca="false">IF(B497="CN",IF(N(I497)&gt;0,I497*요약!$G$27,K497*(1+요약!$E$27)),IF(N(H497)&gt;0,H497*요약!$G$27,J497*요약!$D$27))</f>
        <v>19536</v>
      </c>
      <c r="M497" s="46" t="n">
        <f aca="false">D497*J497</f>
        <v>10620000</v>
      </c>
      <c r="N497" s="46" t="n">
        <f aca="false">D497*K497</f>
        <v>2502000</v>
      </c>
      <c r="O497" s="46" t="n">
        <f aca="false">D497*L497</f>
        <v>3516480</v>
      </c>
      <c r="P497" s="42" t="str">
        <f aca="false">TRIM(IF(N(E497)&lt;=0,"택가보정 ","")&amp;IF(N(F497)&lt;=0,"원가보정 ","")&amp;IF(AND(B497&lt;&gt;"CN",N(H497)&lt;=0),"공급가보정 ","")&amp;IF(AND(B497="CN",N(I497)&lt;=0),"중국공급가=원가+마진 ",""))</f>
        <v/>
      </c>
      <c r="Q497" s="47" t="n">
        <f aca="false">IF(SUMIFS($W:$W,$A:$A,A497,$C:$C,C497)=0,0,SUMIFS(RAW_판매펀칭!$K:$K,RAW_판매펀칭!$P:$P,A497,RAW_판매펀칭!$I:$I,C497)*W497/SUMIFS($W:$W,$A:$A,A497,$C:$C,C497))</f>
        <v>180</v>
      </c>
      <c r="R497" s="47" t="n">
        <f aca="false">IF(OR(A497="500",A497="800",A497="810"),0,MAX(W497-Q497,0))</f>
        <v>0</v>
      </c>
      <c r="S497" s="47" t="n">
        <f aca="false">R497*L497</f>
        <v>0</v>
      </c>
      <c r="T497" s="47" t="n">
        <f aca="false">R497*J497</f>
        <v>0</v>
      </c>
      <c r="U497" s="47" t="n">
        <f aca="false">R497*K497</f>
        <v>0</v>
      </c>
      <c r="V497" s="0" t="str">
        <f aca="false">IF(COUNTIFS($A$2:A497,A497,$C$2:C497,C497,$D$2:D497,D497)&gt;1,"중복","")</f>
        <v/>
      </c>
      <c r="W497" s="0" t="n">
        <f aca="false">IF(V497="중복",0,N(D497))</f>
        <v>180</v>
      </c>
      <c r="X497" s="0" t="n">
        <f aca="false">IF(COUNTIFS($A$2:A497,A497,$C$2:C497,C497)=1,ABS(SUMIFS(RAW_발주!$D:$D,RAW_발주!$C:$C,A497,RAW_발주!$A:$A,C497)-SUMIFS($W:$W,$A:$A,A497,$C:$C,C497)),0)</f>
        <v>0</v>
      </c>
    </row>
    <row r="498" customFormat="false" ht="15" hidden="false" customHeight="true" outlineLevel="0" collapsed="false">
      <c r="A498" s="45" t="s">
        <v>1663</v>
      </c>
      <c r="B498" s="42" t="str">
        <f aca="false">IF(A498="100","HK",IF(A498="200","CN",IF(A498="300","TW","홀세일")))</f>
        <v>홀세일</v>
      </c>
      <c r="C498" s="45" t="s">
        <v>1296</v>
      </c>
      <c r="D498" s="46" t="n">
        <v>30</v>
      </c>
      <c r="E498" s="46" t="n">
        <v>59000</v>
      </c>
      <c r="F498" s="46" t="n">
        <v>16000</v>
      </c>
      <c r="G498" s="42" t="n">
        <v>2.9</v>
      </c>
      <c r="H498" s="42" t="n">
        <v>14.8</v>
      </c>
      <c r="J498" s="46" t="n">
        <f aca="false">IF(N(E498)&gt;0,E498,IF(N(F498)&gt;0,F498*요약!$F$27,0))</f>
        <v>59000</v>
      </c>
      <c r="K498" s="46" t="n">
        <f aca="false">IF(N(F498)&gt;0,F498,IF(N(E498)&gt;0,E498/요약!$F$27,0))</f>
        <v>16000</v>
      </c>
      <c r="L498" s="46" t="n">
        <f aca="false">IF(B498="CN",IF(N(I498)&gt;0,I498*요약!$G$27,K498*(1+요약!$E$27)),IF(N(H498)&gt;0,H498*요약!$G$27,J498*요약!$D$27))</f>
        <v>19536</v>
      </c>
      <c r="M498" s="46" t="n">
        <f aca="false">D498*J498</f>
        <v>1770000</v>
      </c>
      <c r="N498" s="46" t="n">
        <f aca="false">D498*K498</f>
        <v>480000</v>
      </c>
      <c r="O498" s="46" t="n">
        <f aca="false">D498*L498</f>
        <v>586080</v>
      </c>
      <c r="P498" s="42" t="str">
        <f aca="false">TRIM(IF(N(E498)&lt;=0,"택가보정 ","")&amp;IF(N(F498)&lt;=0,"원가보정 ","")&amp;IF(AND(B498&lt;&gt;"CN",N(H498)&lt;=0),"공급가보정 ","")&amp;IF(AND(B498="CN",N(I498)&lt;=0),"중국공급가=원가+마진 ",""))</f>
        <v/>
      </c>
      <c r="Q498" s="47" t="n">
        <f aca="false">IF(SUMIFS($W:$W,$A:$A,A498,$C:$C,C498)=0,0,SUMIFS(RAW_판매펀칭!$K:$K,RAW_판매펀칭!$P:$P,A498,RAW_판매펀칭!$I:$I,C498)*W498/SUMIFS($W:$W,$A:$A,A498,$C:$C,C498))</f>
        <v>30</v>
      </c>
      <c r="R498" s="47" t="n">
        <f aca="false">IF(OR(A498="500",A498="800",A498="810"),0,MAX(W498-Q498,0))</f>
        <v>0</v>
      </c>
      <c r="S498" s="47" t="n">
        <f aca="false">R498*L498</f>
        <v>0</v>
      </c>
      <c r="T498" s="47" t="n">
        <f aca="false">R498*J498</f>
        <v>0</v>
      </c>
      <c r="U498" s="47" t="n">
        <f aca="false">R498*K498</f>
        <v>0</v>
      </c>
      <c r="V498" s="0" t="str">
        <f aca="false">IF(COUNTIFS($A$2:A498,A498,$C$2:C498,C498,$D$2:D498,D498)&gt;1,"중복","")</f>
        <v/>
      </c>
      <c r="W498" s="0" t="n">
        <f aca="false">IF(V498="중복",0,N(D498))</f>
        <v>30</v>
      </c>
      <c r="X498" s="0" t="n">
        <f aca="false">IF(COUNTIFS($A$2:A498,A498,$C$2:C498,C498)=1,ABS(SUMIFS(RAW_발주!$D:$D,RAW_발주!$C:$C,A498,RAW_발주!$A:$A,C498)-SUMIFS($W:$W,$A:$A,A498,$C:$C,C498)),0)</f>
        <v>0</v>
      </c>
    </row>
    <row r="499" customFormat="false" ht="15" hidden="false" customHeight="true" outlineLevel="0" collapsed="false">
      <c r="A499" s="45" t="s">
        <v>1665</v>
      </c>
      <c r="B499" s="42" t="str">
        <f aca="false">IF(A499="100","HK",IF(A499="200","CN",IF(A499="300","TW","홀세일")))</f>
        <v>홀세일</v>
      </c>
      <c r="C499" s="45" t="s">
        <v>1296</v>
      </c>
      <c r="D499" s="46" t="n">
        <v>216</v>
      </c>
      <c r="E499" s="46" t="n">
        <v>59000</v>
      </c>
      <c r="F499" s="46" t="n">
        <v>16000</v>
      </c>
      <c r="G499" s="42" t="n">
        <v>2.9</v>
      </c>
      <c r="H499" s="42" t="n">
        <v>14.8</v>
      </c>
      <c r="J499" s="46" t="n">
        <f aca="false">IF(N(E499)&gt;0,E499,IF(N(F499)&gt;0,F499*요약!$F$27,0))</f>
        <v>59000</v>
      </c>
      <c r="K499" s="46" t="n">
        <f aca="false">IF(N(F499)&gt;0,F499,IF(N(E499)&gt;0,E499/요약!$F$27,0))</f>
        <v>16000</v>
      </c>
      <c r="L499" s="46" t="n">
        <f aca="false">IF(B499="CN",IF(N(I499)&gt;0,I499*요약!$G$27,K499*(1+요약!$E$27)),IF(N(H499)&gt;0,H499*요약!$G$27,J499*요약!$D$27))</f>
        <v>19536</v>
      </c>
      <c r="M499" s="46" t="n">
        <f aca="false">D499*J499</f>
        <v>12744000</v>
      </c>
      <c r="N499" s="46" t="n">
        <f aca="false">D499*K499</f>
        <v>3456000</v>
      </c>
      <c r="O499" s="46" t="n">
        <f aca="false">D499*L499</f>
        <v>4219776</v>
      </c>
      <c r="P499" s="42" t="str">
        <f aca="false">TRIM(IF(N(E499)&lt;=0,"택가보정 ","")&amp;IF(N(F499)&lt;=0,"원가보정 ","")&amp;IF(AND(B499&lt;&gt;"CN",N(H499)&lt;=0),"공급가보정 ","")&amp;IF(AND(B499="CN",N(I499)&lt;=0),"중국공급가=원가+마진 ",""))</f>
        <v/>
      </c>
      <c r="Q499" s="47" t="n">
        <f aca="false">IF(SUMIFS($W:$W,$A:$A,A499,$C:$C,C499)=0,0,SUMIFS(RAW_판매펀칭!$K:$K,RAW_판매펀칭!$P:$P,A499,RAW_판매펀칭!$I:$I,C499)*W499/SUMIFS($W:$W,$A:$A,A499,$C:$C,C499))</f>
        <v>216</v>
      </c>
      <c r="R499" s="47" t="n">
        <f aca="false">IF(OR(A499="500",A499="800",A499="810"),0,MAX(W499-Q499,0))</f>
        <v>0</v>
      </c>
      <c r="S499" s="47" t="n">
        <f aca="false">R499*L499</f>
        <v>0</v>
      </c>
      <c r="T499" s="47" t="n">
        <f aca="false">R499*J499</f>
        <v>0</v>
      </c>
      <c r="U499" s="47" t="n">
        <f aca="false">R499*K499</f>
        <v>0</v>
      </c>
      <c r="V499" s="0" t="str">
        <f aca="false">IF(COUNTIFS($A$2:A499,A499,$C$2:C499,C499,$D$2:D499,D499)&gt;1,"중복","")</f>
        <v/>
      </c>
      <c r="W499" s="0" t="n">
        <f aca="false">IF(V499="중복",0,N(D499))</f>
        <v>216</v>
      </c>
      <c r="X499" s="0" t="n">
        <f aca="false">IF(COUNTIFS($A$2:A499,A499,$C$2:C499,C499)=1,ABS(SUMIFS(RAW_발주!$D:$D,RAW_발주!$C:$C,A499,RAW_발주!$A:$A,C499)-SUMIFS($W:$W,$A:$A,A499,$C:$C,C499)),0)</f>
        <v>0</v>
      </c>
    </row>
    <row r="500" customFormat="false" ht="15.75" hidden="false" customHeight="true" outlineLevel="0" collapsed="false">
      <c r="A500" s="45" t="s">
        <v>1660</v>
      </c>
      <c r="B500" s="42" t="str">
        <f aca="false">IF(A500="100","HK",IF(A500="200","CN",IF(A500="300","TW","홀세일")))</f>
        <v>CN</v>
      </c>
      <c r="C500" s="45" t="s">
        <v>1045</v>
      </c>
      <c r="D500" s="46" t="n">
        <v>392</v>
      </c>
      <c r="E500" s="46" t="n">
        <v>59000</v>
      </c>
      <c r="F500" s="46" t="n">
        <v>13239</v>
      </c>
      <c r="G500" s="42" t="n">
        <v>0</v>
      </c>
      <c r="J500" s="46" t="n">
        <f aca="false">IF(N(E500)&gt;0,E500,IF(N(F500)&gt;0,F500*요약!$F$27,0))</f>
        <v>59000</v>
      </c>
      <c r="K500" s="46" t="n">
        <f aca="false">IF(N(F500)&gt;0,F500,IF(N(E500)&gt;0,E500/요약!$F$27,0))</f>
        <v>13239</v>
      </c>
      <c r="L500" s="46" t="n">
        <f aca="false">IF(B500="CN",IF(N(I500)&gt;0,I500*요약!$G$27,K500*(1+요약!$E$27)),IF(N(H500)&gt;0,H500*요약!$G$27,J500*요약!$D$27))</f>
        <v>13900.95</v>
      </c>
      <c r="M500" s="46" t="n">
        <f aca="false">D500*J500</f>
        <v>23128000</v>
      </c>
      <c r="N500" s="46" t="n">
        <f aca="false">D500*K500</f>
        <v>5189688</v>
      </c>
      <c r="O500" s="46" t="n">
        <f aca="false">D500*L500</f>
        <v>5449172.4</v>
      </c>
      <c r="P500" s="42" t="str">
        <f aca="false">TRIM(IF(N(E500)&lt;=0,"택가보정 ","")&amp;IF(N(F500)&lt;=0,"원가보정 ","")&amp;IF(AND(B500&lt;&gt;"CN",N(H500)&lt;=0),"공급가보정 ","")&amp;IF(AND(B500="CN",N(I500)&lt;=0),"중국공급가=원가+마진 ",""))</f>
        <v>중국공급가=원가+마진</v>
      </c>
      <c r="Q500" s="47" t="n">
        <f aca="false">IF(SUMIFS($W:$W,$A:$A,A500,$C:$C,C500)=0,0,SUMIFS(RAW_판매펀칭!$K:$K,RAW_판매펀칭!$P:$P,A500,RAW_판매펀칭!$I:$I,C500)*W500/SUMIFS($W:$W,$A:$A,A500,$C:$C,C500))</f>
        <v>392</v>
      </c>
      <c r="R500" s="47" t="n">
        <f aca="false">IF(OR(A500="500",A500="800",A500="810"),0,MAX(W500-Q500,0))</f>
        <v>0</v>
      </c>
      <c r="S500" s="47" t="n">
        <f aca="false">R500*L500</f>
        <v>0</v>
      </c>
      <c r="T500" s="47" t="n">
        <f aca="false">R500*J500</f>
        <v>0</v>
      </c>
      <c r="U500" s="47" t="n">
        <f aca="false">R500*K500</f>
        <v>0</v>
      </c>
      <c r="V500" s="0" t="str">
        <f aca="false">IF(COUNTIFS($A$2:A500,A500,$C$2:C500,C500,$D$2:D500,D500)&gt;1,"중복","")</f>
        <v/>
      </c>
      <c r="W500" s="0" t="n">
        <f aca="false">IF(V500="중복",0,N(D500))</f>
        <v>392</v>
      </c>
      <c r="X500" s="0" t="n">
        <f aca="false">IF(COUNTIFS($A$2:A500,A500,$C$2:C500,C500)=1,ABS(SUMIFS(RAW_발주!$D:$D,RAW_발주!$C:$C,A500,RAW_발주!$A:$A,C500)-SUMIFS($W:$W,$A:$A,A500,$C:$C,C500)),0)</f>
        <v>0</v>
      </c>
    </row>
    <row r="501" customFormat="false" ht="15" hidden="false" customHeight="true" outlineLevel="0" collapsed="false">
      <c r="A501" s="45" t="s">
        <v>1664</v>
      </c>
      <c r="B501" s="42" t="str">
        <f aca="false">IF(A501="100","HK",IF(A501="200","CN",IF(A501="300","TW","홀세일")))</f>
        <v>홀세일</v>
      </c>
      <c r="C501" s="45" t="s">
        <v>1475</v>
      </c>
      <c r="D501" s="46" t="n">
        <v>85</v>
      </c>
      <c r="E501" s="46" t="n">
        <v>49000</v>
      </c>
      <c r="F501" s="46" t="n">
        <v>10000</v>
      </c>
      <c r="G501" s="42" t="n">
        <v>4.45</v>
      </c>
      <c r="H501" s="42" t="n">
        <v>12.3</v>
      </c>
      <c r="J501" s="46" t="n">
        <f aca="false">IF(N(E501)&gt;0,E501,IF(N(F501)&gt;0,F501*요약!$F$27,0))</f>
        <v>49000</v>
      </c>
      <c r="K501" s="46" t="n">
        <f aca="false">IF(N(F501)&gt;0,F501,IF(N(E501)&gt;0,E501/요약!$F$27,0))</f>
        <v>10000</v>
      </c>
      <c r="L501" s="46" t="n">
        <f aca="false">IF(B501="CN",IF(N(I501)&gt;0,I501*요약!$G$27,K501*(1+요약!$E$27)),IF(N(H501)&gt;0,H501*요약!$G$27,J501*요약!$D$27))</f>
        <v>16236</v>
      </c>
      <c r="M501" s="46" t="n">
        <f aca="false">D501*J501</f>
        <v>4165000</v>
      </c>
      <c r="N501" s="46" t="n">
        <f aca="false">D501*K501</f>
        <v>850000</v>
      </c>
      <c r="O501" s="46" t="n">
        <f aca="false">D501*L501</f>
        <v>1380060</v>
      </c>
      <c r="P501" s="42" t="str">
        <f aca="false">TRIM(IF(N(E501)&lt;=0,"택가보정 ","")&amp;IF(N(F501)&lt;=0,"원가보정 ","")&amp;IF(AND(B501&lt;&gt;"CN",N(H501)&lt;=0),"공급가보정 ","")&amp;IF(AND(B501="CN",N(I501)&lt;=0),"중국공급가=원가+마진 ",""))</f>
        <v/>
      </c>
      <c r="Q501" s="47" t="n">
        <f aca="false">IF(SUMIFS($W:$W,$A:$A,A501,$C:$C,C501)=0,0,SUMIFS(RAW_판매펀칭!$K:$K,RAW_판매펀칭!$P:$P,A501,RAW_판매펀칭!$I:$I,C501)*W501/SUMIFS($W:$W,$A:$A,A501,$C:$C,C501))</f>
        <v>0</v>
      </c>
      <c r="R501" s="47" t="n">
        <f aca="false">IF(OR(A501="500",A501="800",A501="810"),0,MAX(W501-Q501,0))</f>
        <v>0</v>
      </c>
      <c r="S501" s="47" t="n">
        <f aca="false">R501*L501</f>
        <v>0</v>
      </c>
      <c r="T501" s="47" t="n">
        <f aca="false">R501*J501</f>
        <v>0</v>
      </c>
      <c r="U501" s="47" t="n">
        <f aca="false">R501*K501</f>
        <v>0</v>
      </c>
      <c r="V501" s="0" t="str">
        <f aca="false">IF(COUNTIFS($A$2:A501,A501,$C$2:C501,C501,$D$2:D501,D501)&gt;1,"중복","")</f>
        <v/>
      </c>
      <c r="W501" s="0" t="n">
        <f aca="false">IF(V501="중복",0,N(D501))</f>
        <v>85</v>
      </c>
      <c r="X501" s="0" t="n">
        <f aca="false">IF(COUNTIFS($A$2:A501,A501,$C$2:C501,C501)=1,ABS(SUMIFS(RAW_발주!$D:$D,RAW_발주!$C:$C,A501,RAW_발주!$A:$A,C501)-SUMIFS($W:$W,$A:$A,A501,$C:$C,C501)),0)</f>
        <v>0</v>
      </c>
    </row>
    <row r="502" customFormat="false" ht="15" hidden="false" customHeight="true" outlineLevel="0" collapsed="false">
      <c r="A502" s="45" t="s">
        <v>1665</v>
      </c>
      <c r="B502" s="42" t="str">
        <f aca="false">IF(A502="100","HK",IF(A502="200","CN",IF(A502="300","TW","홀세일")))</f>
        <v>홀세일</v>
      </c>
      <c r="C502" s="45" t="s">
        <v>1475</v>
      </c>
      <c r="D502" s="46" t="n">
        <v>216</v>
      </c>
      <c r="E502" s="46" t="n">
        <v>49000</v>
      </c>
      <c r="F502" s="46" t="n">
        <v>10000</v>
      </c>
      <c r="G502" s="42" t="n">
        <v>4.45</v>
      </c>
      <c r="H502" s="42" t="n">
        <v>12.3</v>
      </c>
      <c r="J502" s="46" t="n">
        <f aca="false">IF(N(E502)&gt;0,E502,IF(N(F502)&gt;0,F502*요약!$F$27,0))</f>
        <v>49000</v>
      </c>
      <c r="K502" s="46" t="n">
        <f aca="false">IF(N(F502)&gt;0,F502,IF(N(E502)&gt;0,E502/요약!$F$27,0))</f>
        <v>10000</v>
      </c>
      <c r="L502" s="46" t="n">
        <f aca="false">IF(B502="CN",IF(N(I502)&gt;0,I502*요약!$G$27,K502*(1+요약!$E$27)),IF(N(H502)&gt;0,H502*요약!$G$27,J502*요약!$D$27))</f>
        <v>16236</v>
      </c>
      <c r="M502" s="46" t="n">
        <f aca="false">D502*J502</f>
        <v>10584000</v>
      </c>
      <c r="N502" s="46" t="n">
        <f aca="false">D502*K502</f>
        <v>2160000</v>
      </c>
      <c r="O502" s="46" t="n">
        <f aca="false">D502*L502</f>
        <v>3506976</v>
      </c>
      <c r="P502" s="42" t="str">
        <f aca="false">TRIM(IF(N(E502)&lt;=0,"택가보정 ","")&amp;IF(N(F502)&lt;=0,"원가보정 ","")&amp;IF(AND(B502&lt;&gt;"CN",N(H502)&lt;=0),"공급가보정 ","")&amp;IF(AND(B502="CN",N(I502)&lt;=0),"중국공급가=원가+마진 ",""))</f>
        <v/>
      </c>
      <c r="Q502" s="47" t="n">
        <f aca="false">IF(SUMIFS($W:$W,$A:$A,A502,$C:$C,C502)=0,0,SUMIFS(RAW_판매펀칭!$K:$K,RAW_판매펀칭!$P:$P,A502,RAW_판매펀칭!$I:$I,C502)*W502/SUMIFS($W:$W,$A:$A,A502,$C:$C,C502))</f>
        <v>216</v>
      </c>
      <c r="R502" s="47" t="n">
        <f aca="false">IF(OR(A502="500",A502="800",A502="810"),0,MAX(W502-Q502,0))</f>
        <v>0</v>
      </c>
      <c r="S502" s="47" t="n">
        <f aca="false">R502*L502</f>
        <v>0</v>
      </c>
      <c r="T502" s="47" t="n">
        <f aca="false">R502*J502</f>
        <v>0</v>
      </c>
      <c r="U502" s="47" t="n">
        <f aca="false">R502*K502</f>
        <v>0</v>
      </c>
      <c r="V502" s="0" t="str">
        <f aca="false">IF(COUNTIFS($A$2:A502,A502,$C$2:C502,C502,$D$2:D502,D502)&gt;1,"중복","")</f>
        <v/>
      </c>
      <c r="W502" s="0" t="n">
        <f aca="false">IF(V502="중복",0,N(D502))</f>
        <v>216</v>
      </c>
      <c r="X502" s="0" t="n">
        <f aca="false">IF(COUNTIFS($A$2:A502,A502,$C$2:C502,C502)=1,ABS(SUMIFS(RAW_발주!$D:$D,RAW_발주!$C:$C,A502,RAW_발주!$A:$A,C502)-SUMIFS($W:$W,$A:$A,A502,$C:$C,C502)),0)</f>
        <v>0</v>
      </c>
    </row>
    <row r="503" customFormat="false" ht="15" hidden="false" customHeight="true" outlineLevel="0" collapsed="false">
      <c r="A503" s="45" t="s">
        <v>1664</v>
      </c>
      <c r="B503" s="42" t="str">
        <f aca="false">IF(A503="100","HK",IF(A503="200","CN",IF(A503="300","TW","홀세일")))</f>
        <v>홀세일</v>
      </c>
      <c r="C503" s="45" t="s">
        <v>1677</v>
      </c>
      <c r="D503" s="46" t="n">
        <v>90</v>
      </c>
      <c r="E503" s="46" t="n">
        <v>59000</v>
      </c>
      <c r="F503" s="46" t="n">
        <v>11211</v>
      </c>
      <c r="G503" s="42" t="n">
        <v>4.83</v>
      </c>
      <c r="H503" s="42" t="n">
        <v>14.8</v>
      </c>
      <c r="J503" s="46" t="n">
        <f aca="false">IF(N(E503)&gt;0,E503,IF(N(F503)&gt;0,F503*요약!$F$27,0))</f>
        <v>59000</v>
      </c>
      <c r="K503" s="46" t="n">
        <f aca="false">IF(N(F503)&gt;0,F503,IF(N(E503)&gt;0,E503/요약!$F$27,0))</f>
        <v>11211</v>
      </c>
      <c r="L503" s="46" t="n">
        <f aca="false">IF(B503="CN",IF(N(I503)&gt;0,I503*요약!$G$27,K503*(1+요약!$E$27)),IF(N(H503)&gt;0,H503*요약!$G$27,J503*요약!$D$27))</f>
        <v>19536</v>
      </c>
      <c r="M503" s="46" t="n">
        <f aca="false">D503*J503</f>
        <v>5310000</v>
      </c>
      <c r="N503" s="46" t="n">
        <f aca="false">D503*K503</f>
        <v>1008990</v>
      </c>
      <c r="O503" s="46" t="n">
        <f aca="false">D503*L503</f>
        <v>1758240</v>
      </c>
      <c r="P503" s="42" t="str">
        <f aca="false">TRIM(IF(N(E503)&lt;=0,"택가보정 ","")&amp;IF(N(F503)&lt;=0,"원가보정 ","")&amp;IF(AND(B503&lt;&gt;"CN",N(H503)&lt;=0),"공급가보정 ","")&amp;IF(AND(B503="CN",N(I503)&lt;=0),"중국공급가=원가+마진 ",""))</f>
        <v/>
      </c>
      <c r="Q503" s="47" t="n">
        <f aca="false">IF(SUMIFS($W:$W,$A:$A,A503,$C:$C,C503)=0,0,SUMIFS(RAW_판매펀칭!$K:$K,RAW_판매펀칭!$P:$P,A503,RAW_판매펀칭!$I:$I,C503)*W503/SUMIFS($W:$W,$A:$A,A503,$C:$C,C503))</f>
        <v>0</v>
      </c>
      <c r="R503" s="47" t="n">
        <f aca="false">IF(OR(A503="500",A503="800",A503="810"),0,MAX(W503-Q503,0))</f>
        <v>0</v>
      </c>
      <c r="S503" s="47" t="n">
        <f aca="false">R503*L503</f>
        <v>0</v>
      </c>
      <c r="T503" s="47" t="n">
        <f aca="false">R503*J503</f>
        <v>0</v>
      </c>
      <c r="U503" s="47" t="n">
        <f aca="false">R503*K503</f>
        <v>0</v>
      </c>
      <c r="V503" s="0" t="str">
        <f aca="false">IF(COUNTIFS($A$2:A503,A503,$C$2:C503,C503,$D$2:D503,D503)&gt;1,"중복","")</f>
        <v/>
      </c>
      <c r="W503" s="0" t="n">
        <f aca="false">IF(V503="중복",0,N(D503))</f>
        <v>90</v>
      </c>
      <c r="X503" s="0" t="n">
        <f aca="false">IF(COUNTIFS($A$2:A503,A503,$C$2:C503,C503)=1,ABS(SUMIFS(RAW_발주!$D:$D,RAW_발주!$C:$C,A503,RAW_발주!$A:$A,C503)-SUMIFS($W:$W,$A:$A,A503,$C:$C,C503)),0)</f>
        <v>0</v>
      </c>
    </row>
    <row r="504" customFormat="false" ht="15" hidden="false" customHeight="true" outlineLevel="0" collapsed="false">
      <c r="A504" s="45" t="s">
        <v>1667</v>
      </c>
      <c r="B504" s="42" t="str">
        <f aca="false">IF(A504="100","HK",IF(A504="200","CN",IF(A504="300","TW","홀세일")))</f>
        <v>홀세일</v>
      </c>
      <c r="C504" s="45" t="s">
        <v>1409</v>
      </c>
      <c r="D504" s="46" t="n">
        <v>61</v>
      </c>
      <c r="E504" s="46" t="n">
        <v>59000</v>
      </c>
      <c r="F504" s="46" t="n">
        <v>11400</v>
      </c>
      <c r="G504" s="42" t="n">
        <v>4.43</v>
      </c>
      <c r="H504" s="42" t="n">
        <v>14.8</v>
      </c>
      <c r="J504" s="46" t="n">
        <f aca="false">IF(N(E504)&gt;0,E504,IF(N(F504)&gt;0,F504*요약!$F$27,0))</f>
        <v>59000</v>
      </c>
      <c r="K504" s="46" t="n">
        <f aca="false">IF(N(F504)&gt;0,F504,IF(N(E504)&gt;0,E504/요약!$F$27,0))</f>
        <v>11400</v>
      </c>
      <c r="L504" s="46" t="n">
        <f aca="false">IF(B504="CN",IF(N(I504)&gt;0,I504*요약!$G$27,K504*(1+요약!$E$27)),IF(N(H504)&gt;0,H504*요약!$G$27,J504*요약!$D$27))</f>
        <v>19536</v>
      </c>
      <c r="M504" s="46" t="n">
        <f aca="false">D504*J504</f>
        <v>3599000</v>
      </c>
      <c r="N504" s="46" t="n">
        <f aca="false">D504*K504</f>
        <v>695400</v>
      </c>
      <c r="O504" s="46" t="n">
        <f aca="false">D504*L504</f>
        <v>1191696</v>
      </c>
      <c r="P504" s="42" t="str">
        <f aca="false">TRIM(IF(N(E504)&lt;=0,"택가보정 ","")&amp;IF(N(F504)&lt;=0,"원가보정 ","")&amp;IF(AND(B504&lt;&gt;"CN",N(H504)&lt;=0),"공급가보정 ","")&amp;IF(AND(B504="CN",N(I504)&lt;=0),"중국공급가=원가+마진 ",""))</f>
        <v/>
      </c>
      <c r="Q504" s="47" t="n">
        <f aca="false">IF(SUMIFS($W:$W,$A:$A,A504,$C:$C,C504)=0,0,SUMIFS(RAW_판매펀칭!$K:$K,RAW_판매펀칭!$P:$P,A504,RAW_판매펀칭!$I:$I,C504)*W504/SUMIFS($W:$W,$A:$A,A504,$C:$C,C504))</f>
        <v>61</v>
      </c>
      <c r="R504" s="47" t="n">
        <f aca="false">IF(OR(A504="500",A504="800",A504="810"),0,MAX(W504-Q504,0))</f>
        <v>0</v>
      </c>
      <c r="S504" s="47" t="n">
        <f aca="false">R504*L504</f>
        <v>0</v>
      </c>
      <c r="T504" s="47" t="n">
        <f aca="false">R504*J504</f>
        <v>0</v>
      </c>
      <c r="U504" s="47" t="n">
        <f aca="false">R504*K504</f>
        <v>0</v>
      </c>
      <c r="V504" s="0" t="str">
        <f aca="false">IF(COUNTIFS($A$2:A504,A504,$C$2:C504,C504,$D$2:D504,D504)&gt;1,"중복","")</f>
        <v/>
      </c>
      <c r="W504" s="0" t="n">
        <f aca="false">IF(V504="중복",0,N(D504))</f>
        <v>61</v>
      </c>
      <c r="X504" s="0" t="n">
        <f aca="false">IF(COUNTIFS($A$2:A504,A504,$C$2:C504,C504)=1,ABS(SUMIFS(RAW_발주!$D:$D,RAW_발주!$C:$C,A504,RAW_발주!$A:$A,C504)-SUMIFS($W:$W,$A:$A,A504,$C:$C,C504)),0)</f>
        <v>0</v>
      </c>
    </row>
    <row r="505" customFormat="false" ht="15" hidden="false" customHeight="true" outlineLevel="0" collapsed="false">
      <c r="A505" s="45" t="s">
        <v>1664</v>
      </c>
      <c r="B505" s="42" t="str">
        <f aca="false">IF(A505="100","HK",IF(A505="200","CN",IF(A505="300","TW","홀세일")))</f>
        <v>홀세일</v>
      </c>
      <c r="C505" s="45" t="s">
        <v>1409</v>
      </c>
      <c r="D505" s="46" t="n">
        <v>90</v>
      </c>
      <c r="E505" s="46" t="n">
        <v>59000</v>
      </c>
      <c r="F505" s="46" t="n">
        <v>11400</v>
      </c>
      <c r="G505" s="42" t="n">
        <v>4.43</v>
      </c>
      <c r="H505" s="42" t="n">
        <v>14.8</v>
      </c>
      <c r="J505" s="46" t="n">
        <f aca="false">IF(N(E505)&gt;0,E505,IF(N(F505)&gt;0,F505*요약!$F$27,0))</f>
        <v>59000</v>
      </c>
      <c r="K505" s="46" t="n">
        <f aca="false">IF(N(F505)&gt;0,F505,IF(N(E505)&gt;0,E505/요약!$F$27,0))</f>
        <v>11400</v>
      </c>
      <c r="L505" s="46" t="n">
        <f aca="false">IF(B505="CN",IF(N(I505)&gt;0,I505*요약!$G$27,K505*(1+요약!$E$27)),IF(N(H505)&gt;0,H505*요약!$G$27,J505*요약!$D$27))</f>
        <v>19536</v>
      </c>
      <c r="M505" s="46" t="n">
        <f aca="false">D505*J505</f>
        <v>5310000</v>
      </c>
      <c r="N505" s="46" t="n">
        <f aca="false">D505*K505</f>
        <v>1026000</v>
      </c>
      <c r="O505" s="46" t="n">
        <f aca="false">D505*L505</f>
        <v>1758240</v>
      </c>
      <c r="P505" s="42" t="str">
        <f aca="false">TRIM(IF(N(E505)&lt;=0,"택가보정 ","")&amp;IF(N(F505)&lt;=0,"원가보정 ","")&amp;IF(AND(B505&lt;&gt;"CN",N(H505)&lt;=0),"공급가보정 ","")&amp;IF(AND(B505="CN",N(I505)&lt;=0),"중국공급가=원가+마진 ",""))</f>
        <v/>
      </c>
      <c r="Q505" s="47" t="n">
        <f aca="false">IF(SUMIFS($W:$W,$A:$A,A505,$C:$C,C505)=0,0,SUMIFS(RAW_판매펀칭!$K:$K,RAW_판매펀칭!$P:$P,A505,RAW_판매펀칭!$I:$I,C505)*W505/SUMIFS($W:$W,$A:$A,A505,$C:$C,C505))</f>
        <v>0</v>
      </c>
      <c r="R505" s="47" t="n">
        <f aca="false">IF(OR(A505="500",A505="800",A505="810"),0,MAX(W505-Q505,0))</f>
        <v>0</v>
      </c>
      <c r="S505" s="47" t="n">
        <f aca="false">R505*L505</f>
        <v>0</v>
      </c>
      <c r="T505" s="47" t="n">
        <f aca="false">R505*J505</f>
        <v>0</v>
      </c>
      <c r="U505" s="47" t="n">
        <f aca="false">R505*K505</f>
        <v>0</v>
      </c>
      <c r="V505" s="0" t="str">
        <f aca="false">IF(COUNTIFS($A$2:A505,A505,$C$2:C505,C505,$D$2:D505,D505)&gt;1,"중복","")</f>
        <v/>
      </c>
      <c r="W505" s="0" t="n">
        <f aca="false">IF(V505="중복",0,N(D505))</f>
        <v>90</v>
      </c>
      <c r="X505" s="0" t="n">
        <f aca="false">IF(COUNTIFS($A$2:A505,A505,$C$2:C505,C505)=1,ABS(SUMIFS(RAW_발주!$D:$D,RAW_발주!$C:$C,A505,RAW_발주!$A:$A,C505)-SUMIFS($W:$W,$A:$A,A505,$C:$C,C505)),0)</f>
        <v>0</v>
      </c>
    </row>
    <row r="506" customFormat="false" ht="15" hidden="false" customHeight="true" outlineLevel="0" collapsed="false">
      <c r="A506" s="45" t="s">
        <v>1664</v>
      </c>
      <c r="B506" s="42" t="str">
        <f aca="false">IF(A506="100","HK",IF(A506="200","CN",IF(A506="300","TW","홀세일")))</f>
        <v>홀세일</v>
      </c>
      <c r="C506" s="45" t="s">
        <v>1678</v>
      </c>
      <c r="D506" s="46" t="n">
        <v>60</v>
      </c>
      <c r="E506" s="46" t="n">
        <v>59000</v>
      </c>
      <c r="F506" s="46" t="n">
        <v>13441</v>
      </c>
      <c r="G506" s="42" t="n">
        <v>4.03</v>
      </c>
      <c r="H506" s="42" t="n">
        <v>14.8</v>
      </c>
      <c r="J506" s="46" t="n">
        <f aca="false">IF(N(E506)&gt;0,E506,IF(N(F506)&gt;0,F506*요약!$F$27,0))</f>
        <v>59000</v>
      </c>
      <c r="K506" s="46" t="n">
        <f aca="false">IF(N(F506)&gt;0,F506,IF(N(E506)&gt;0,E506/요약!$F$27,0))</f>
        <v>13441</v>
      </c>
      <c r="L506" s="46" t="n">
        <f aca="false">IF(B506="CN",IF(N(I506)&gt;0,I506*요약!$G$27,K506*(1+요약!$E$27)),IF(N(H506)&gt;0,H506*요약!$G$27,J506*요약!$D$27))</f>
        <v>19536</v>
      </c>
      <c r="M506" s="46" t="n">
        <f aca="false">D506*J506</f>
        <v>3540000</v>
      </c>
      <c r="N506" s="46" t="n">
        <f aca="false">D506*K506</f>
        <v>806460</v>
      </c>
      <c r="O506" s="46" t="n">
        <f aca="false">D506*L506</f>
        <v>1172160</v>
      </c>
      <c r="P506" s="42" t="str">
        <f aca="false">TRIM(IF(N(E506)&lt;=0,"택가보정 ","")&amp;IF(N(F506)&lt;=0,"원가보정 ","")&amp;IF(AND(B506&lt;&gt;"CN",N(H506)&lt;=0),"공급가보정 ","")&amp;IF(AND(B506="CN",N(I506)&lt;=0),"중국공급가=원가+마진 ",""))</f>
        <v/>
      </c>
      <c r="Q506" s="47" t="n">
        <f aca="false">IF(SUMIFS($W:$W,$A:$A,A506,$C:$C,C506)=0,0,SUMIFS(RAW_판매펀칭!$K:$K,RAW_판매펀칭!$P:$P,A506,RAW_판매펀칭!$I:$I,C506)*W506/SUMIFS($W:$W,$A:$A,A506,$C:$C,C506))</f>
        <v>0</v>
      </c>
      <c r="R506" s="47" t="n">
        <f aca="false">IF(OR(A506="500",A506="800",A506="810"),0,MAX(W506-Q506,0))</f>
        <v>0</v>
      </c>
      <c r="S506" s="47" t="n">
        <f aca="false">R506*L506</f>
        <v>0</v>
      </c>
      <c r="T506" s="47" t="n">
        <f aca="false">R506*J506</f>
        <v>0</v>
      </c>
      <c r="U506" s="47" t="n">
        <f aca="false">R506*K506</f>
        <v>0</v>
      </c>
      <c r="V506" s="0" t="str">
        <f aca="false">IF(COUNTIFS($A$2:A506,A506,$C$2:C506,C506,$D$2:D506,D506)&gt;1,"중복","")</f>
        <v/>
      </c>
      <c r="W506" s="0" t="n">
        <f aca="false">IF(V506="중복",0,N(D506))</f>
        <v>60</v>
      </c>
      <c r="X506" s="0" t="n">
        <f aca="false">IF(COUNTIFS($A$2:A506,A506,$C$2:C506,C506)=1,ABS(SUMIFS(RAW_발주!$D:$D,RAW_발주!$C:$C,A506,RAW_발주!$A:$A,C506)-SUMIFS($W:$W,$A:$A,A506,$C:$C,C506)),0)</f>
        <v>0</v>
      </c>
    </row>
    <row r="507" customFormat="false" ht="15" hidden="false" customHeight="true" outlineLevel="0" collapsed="false">
      <c r="A507" s="45" t="s">
        <v>1664</v>
      </c>
      <c r="B507" s="42" t="str">
        <f aca="false">IF(A507="100","HK",IF(A507="200","CN",IF(A507="300","TW","홀세일")))</f>
        <v>홀세일</v>
      </c>
      <c r="C507" s="45" t="s">
        <v>1679</v>
      </c>
      <c r="D507" s="46" t="n">
        <v>45</v>
      </c>
      <c r="E507" s="46" t="n">
        <v>59000</v>
      </c>
      <c r="F507" s="46" t="n">
        <v>12400</v>
      </c>
      <c r="G507" s="42" t="n">
        <v>3.89</v>
      </c>
      <c r="H507" s="42" t="n">
        <v>14.8</v>
      </c>
      <c r="J507" s="46" t="n">
        <f aca="false">IF(N(E507)&gt;0,E507,IF(N(F507)&gt;0,F507*요약!$F$27,0))</f>
        <v>59000</v>
      </c>
      <c r="K507" s="46" t="n">
        <f aca="false">IF(N(F507)&gt;0,F507,IF(N(E507)&gt;0,E507/요약!$F$27,0))</f>
        <v>12400</v>
      </c>
      <c r="L507" s="46" t="n">
        <f aca="false">IF(B507="CN",IF(N(I507)&gt;0,I507*요약!$G$27,K507*(1+요약!$E$27)),IF(N(H507)&gt;0,H507*요약!$G$27,J507*요약!$D$27))</f>
        <v>19536</v>
      </c>
      <c r="M507" s="46" t="n">
        <f aca="false">D507*J507</f>
        <v>2655000</v>
      </c>
      <c r="N507" s="46" t="n">
        <f aca="false">D507*K507</f>
        <v>558000</v>
      </c>
      <c r="O507" s="46" t="n">
        <f aca="false">D507*L507</f>
        <v>879120</v>
      </c>
      <c r="P507" s="42" t="str">
        <f aca="false">TRIM(IF(N(E507)&lt;=0,"택가보정 ","")&amp;IF(N(F507)&lt;=0,"원가보정 ","")&amp;IF(AND(B507&lt;&gt;"CN",N(H507)&lt;=0),"공급가보정 ","")&amp;IF(AND(B507="CN",N(I507)&lt;=0),"중국공급가=원가+마진 ",""))</f>
        <v/>
      </c>
      <c r="Q507" s="47" t="n">
        <f aca="false">IF(SUMIFS($W:$W,$A:$A,A507,$C:$C,C507)=0,0,SUMIFS(RAW_판매펀칭!$K:$K,RAW_판매펀칭!$P:$P,A507,RAW_판매펀칭!$I:$I,C507)*W507/SUMIFS($W:$W,$A:$A,A507,$C:$C,C507))</f>
        <v>0</v>
      </c>
      <c r="R507" s="47" t="n">
        <f aca="false">IF(OR(A507="500",A507="800",A507="810"),0,MAX(W507-Q507,0))</f>
        <v>0</v>
      </c>
      <c r="S507" s="47" t="n">
        <f aca="false">R507*L507</f>
        <v>0</v>
      </c>
      <c r="T507" s="47" t="n">
        <f aca="false">R507*J507</f>
        <v>0</v>
      </c>
      <c r="U507" s="47" t="n">
        <f aca="false">R507*K507</f>
        <v>0</v>
      </c>
      <c r="V507" s="0" t="str">
        <f aca="false">IF(COUNTIFS($A$2:A507,A507,$C$2:C507,C507,$D$2:D507,D507)&gt;1,"중복","")</f>
        <v/>
      </c>
      <c r="W507" s="0" t="n">
        <f aca="false">IF(V507="중복",0,N(D507))</f>
        <v>45</v>
      </c>
      <c r="X507" s="0" t="n">
        <f aca="false">IF(COUNTIFS($A$2:A507,A507,$C$2:C507,C507)=1,ABS(SUMIFS(RAW_발주!$D:$D,RAW_발주!$C:$C,A507,RAW_발주!$A:$A,C507)-SUMIFS($W:$W,$A:$A,A507,$C:$C,C507)),0)</f>
        <v>0</v>
      </c>
    </row>
    <row r="508" customFormat="false" ht="15" hidden="false" customHeight="true" outlineLevel="0" collapsed="false">
      <c r="A508" s="45" t="s">
        <v>1662</v>
      </c>
      <c r="B508" s="42" t="str">
        <f aca="false">IF(A508="100","HK",IF(A508="200","CN",IF(A508="300","TW","홀세일")))</f>
        <v>홀세일</v>
      </c>
      <c r="C508" s="45" t="s">
        <v>1258</v>
      </c>
      <c r="D508" s="46" t="n">
        <v>25</v>
      </c>
      <c r="E508" s="46" t="n">
        <v>59000</v>
      </c>
      <c r="F508" s="46" t="n">
        <v>12200</v>
      </c>
      <c r="G508" s="42" t="n">
        <v>4.33</v>
      </c>
      <c r="H508" s="42" t="n">
        <v>14.8</v>
      </c>
      <c r="J508" s="46" t="n">
        <f aca="false">IF(N(E508)&gt;0,E508,IF(N(F508)&gt;0,F508*요약!$F$27,0))</f>
        <v>59000</v>
      </c>
      <c r="K508" s="46" t="n">
        <f aca="false">IF(N(F508)&gt;0,F508,IF(N(E508)&gt;0,E508/요약!$F$27,0))</f>
        <v>12200</v>
      </c>
      <c r="L508" s="46" t="n">
        <f aca="false">IF(B508="CN",IF(N(I508)&gt;0,I508*요약!$G$27,K508*(1+요약!$E$27)),IF(N(H508)&gt;0,H508*요약!$G$27,J508*요약!$D$27))</f>
        <v>19536</v>
      </c>
      <c r="M508" s="46" t="n">
        <f aca="false">D508*J508</f>
        <v>1475000</v>
      </c>
      <c r="N508" s="46" t="n">
        <f aca="false">D508*K508</f>
        <v>305000</v>
      </c>
      <c r="O508" s="46" t="n">
        <f aca="false">D508*L508</f>
        <v>488400</v>
      </c>
      <c r="P508" s="42" t="str">
        <f aca="false">TRIM(IF(N(E508)&lt;=0,"택가보정 ","")&amp;IF(N(F508)&lt;=0,"원가보정 ","")&amp;IF(AND(B508&lt;&gt;"CN",N(H508)&lt;=0),"공급가보정 ","")&amp;IF(AND(B508="CN",N(I508)&lt;=0),"중국공급가=원가+마진 ",""))</f>
        <v/>
      </c>
      <c r="Q508" s="47" t="n">
        <f aca="false">IF(SUMIFS($W:$W,$A:$A,A508,$C:$C,C508)=0,0,SUMIFS(RAW_판매펀칭!$K:$K,RAW_판매펀칭!$P:$P,A508,RAW_판매펀칭!$I:$I,C508)*W508/SUMIFS($W:$W,$A:$A,A508,$C:$C,C508))</f>
        <v>25</v>
      </c>
      <c r="R508" s="47" t="n">
        <f aca="false">IF(OR(A508="500",A508="800",A508="810"),0,MAX(W508-Q508,0))</f>
        <v>0</v>
      </c>
      <c r="S508" s="47" t="n">
        <f aca="false">R508*L508</f>
        <v>0</v>
      </c>
      <c r="T508" s="47" t="n">
        <f aca="false">R508*J508</f>
        <v>0</v>
      </c>
      <c r="U508" s="47" t="n">
        <f aca="false">R508*K508</f>
        <v>0</v>
      </c>
      <c r="V508" s="0" t="str">
        <f aca="false">IF(COUNTIFS($A$2:A508,A508,$C$2:C508,C508,$D$2:D508,D508)&gt;1,"중복","")</f>
        <v/>
      </c>
      <c r="W508" s="0" t="n">
        <f aca="false">IF(V508="중복",0,N(D508))</f>
        <v>25</v>
      </c>
      <c r="X508" s="0" t="n">
        <f aca="false">IF(COUNTIFS($A$2:A508,A508,$C$2:C508,C508)=1,ABS(SUMIFS(RAW_발주!$D:$D,RAW_발주!$C:$C,A508,RAW_발주!$A:$A,C508)-SUMIFS($W:$W,$A:$A,A508,$C:$C,C508)),0)</f>
        <v>0</v>
      </c>
    </row>
    <row r="509" customFormat="false" ht="15" hidden="false" customHeight="true" outlineLevel="0" collapsed="false">
      <c r="A509" s="45" t="s">
        <v>1662</v>
      </c>
      <c r="B509" s="42" t="str">
        <f aca="false">IF(A509="100","HK",IF(A509="200","CN",IF(A509="300","TW","홀세일")))</f>
        <v>홀세일</v>
      </c>
      <c r="C509" s="45" t="s">
        <v>1260</v>
      </c>
      <c r="D509" s="46" t="n">
        <v>25</v>
      </c>
      <c r="E509" s="46" t="n">
        <v>59000</v>
      </c>
      <c r="F509" s="46" t="n">
        <v>13800</v>
      </c>
      <c r="G509" s="42" t="n">
        <v>4</v>
      </c>
      <c r="H509" s="42" t="n">
        <v>14.8</v>
      </c>
      <c r="J509" s="46" t="n">
        <f aca="false">IF(N(E509)&gt;0,E509,IF(N(F509)&gt;0,F509*요약!$F$27,0))</f>
        <v>59000</v>
      </c>
      <c r="K509" s="46" t="n">
        <f aca="false">IF(N(F509)&gt;0,F509,IF(N(E509)&gt;0,E509/요약!$F$27,0))</f>
        <v>13800</v>
      </c>
      <c r="L509" s="46" t="n">
        <f aca="false">IF(B509="CN",IF(N(I509)&gt;0,I509*요약!$G$27,K509*(1+요약!$E$27)),IF(N(H509)&gt;0,H509*요약!$G$27,J509*요약!$D$27))</f>
        <v>19536</v>
      </c>
      <c r="M509" s="46" t="n">
        <f aca="false">D509*J509</f>
        <v>1475000</v>
      </c>
      <c r="N509" s="46" t="n">
        <f aca="false">D509*K509</f>
        <v>345000</v>
      </c>
      <c r="O509" s="46" t="n">
        <f aca="false">D509*L509</f>
        <v>488400</v>
      </c>
      <c r="P509" s="42" t="str">
        <f aca="false">TRIM(IF(N(E509)&lt;=0,"택가보정 ","")&amp;IF(N(F509)&lt;=0,"원가보정 ","")&amp;IF(AND(B509&lt;&gt;"CN",N(H509)&lt;=0),"공급가보정 ","")&amp;IF(AND(B509="CN",N(I509)&lt;=0),"중국공급가=원가+마진 ",""))</f>
        <v/>
      </c>
      <c r="Q509" s="47" t="n">
        <f aca="false">IF(SUMIFS($W:$W,$A:$A,A509,$C:$C,C509)=0,0,SUMIFS(RAW_판매펀칭!$K:$K,RAW_판매펀칭!$P:$P,A509,RAW_판매펀칭!$I:$I,C509)*W509/SUMIFS($W:$W,$A:$A,A509,$C:$C,C509))</f>
        <v>25</v>
      </c>
      <c r="R509" s="47" t="n">
        <f aca="false">IF(OR(A509="500",A509="800",A509="810"),0,MAX(W509-Q509,0))</f>
        <v>0</v>
      </c>
      <c r="S509" s="47" t="n">
        <f aca="false">R509*L509</f>
        <v>0</v>
      </c>
      <c r="T509" s="47" t="n">
        <f aca="false">R509*J509</f>
        <v>0</v>
      </c>
      <c r="U509" s="47" t="n">
        <f aca="false">R509*K509</f>
        <v>0</v>
      </c>
      <c r="V509" s="0" t="str">
        <f aca="false">IF(COUNTIFS($A$2:A509,A509,$C$2:C509,C509,$D$2:D509,D509)&gt;1,"중복","")</f>
        <v/>
      </c>
      <c r="W509" s="0" t="n">
        <f aca="false">IF(V509="중복",0,N(D509))</f>
        <v>25</v>
      </c>
      <c r="X509" s="0" t="n">
        <f aca="false">IF(COUNTIFS($A$2:A509,A509,$C$2:C509,C509)=1,ABS(SUMIFS(RAW_발주!$D:$D,RAW_발주!$C:$C,A509,RAW_발주!$A:$A,C509)-SUMIFS($W:$W,$A:$A,A509,$C:$C,C509)),0)</f>
        <v>0</v>
      </c>
    </row>
    <row r="510" customFormat="false" ht="15" hidden="false" customHeight="true" outlineLevel="0" collapsed="false">
      <c r="A510" s="45" t="s">
        <v>1659</v>
      </c>
      <c r="B510" s="42" t="str">
        <f aca="false">IF(A510="100","HK",IF(A510="200","CN",IF(A510="300","TW","홀세일")))</f>
        <v>HK</v>
      </c>
      <c r="C510" s="45" t="s">
        <v>836</v>
      </c>
      <c r="D510" s="46" t="n">
        <v>190</v>
      </c>
      <c r="E510" s="46" t="n">
        <v>49000</v>
      </c>
      <c r="F510" s="46" t="n">
        <v>13410</v>
      </c>
      <c r="G510" s="42" t="n">
        <v>3.32</v>
      </c>
      <c r="H510" s="42" t="n">
        <v>14.2</v>
      </c>
      <c r="J510" s="46" t="n">
        <f aca="false">IF(N(E510)&gt;0,E510,IF(N(F510)&gt;0,F510*요약!$F$27,0))</f>
        <v>49000</v>
      </c>
      <c r="K510" s="46" t="n">
        <f aca="false">IF(N(F510)&gt;0,F510,IF(N(E510)&gt;0,E510/요약!$F$27,0))</f>
        <v>13410</v>
      </c>
      <c r="L510" s="46" t="n">
        <f aca="false">IF(B510="CN",IF(N(I510)&gt;0,I510*요약!$G$27,K510*(1+요약!$E$27)),IF(N(H510)&gt;0,H510*요약!$G$27,J510*요약!$D$27))</f>
        <v>18744</v>
      </c>
      <c r="M510" s="46" t="n">
        <f aca="false">D510*J510</f>
        <v>9310000</v>
      </c>
      <c r="N510" s="46" t="n">
        <f aca="false">D510*K510</f>
        <v>2547900</v>
      </c>
      <c r="O510" s="46" t="n">
        <f aca="false">D510*L510</f>
        <v>3561360</v>
      </c>
      <c r="P510" s="42" t="str">
        <f aca="false">TRIM(IF(N(E510)&lt;=0,"택가보정 ","")&amp;IF(N(F510)&lt;=0,"원가보정 ","")&amp;IF(AND(B510&lt;&gt;"CN",N(H510)&lt;=0),"공급가보정 ","")&amp;IF(AND(B510="CN",N(I510)&lt;=0),"중국공급가=원가+마진 ",""))</f>
        <v/>
      </c>
      <c r="Q510" s="47" t="n">
        <f aca="false">IF(SUMIFS($W:$W,$A:$A,A510,$C:$C,C510)=0,0,SUMIFS(RAW_판매펀칭!$K:$K,RAW_판매펀칭!$P:$P,A510,RAW_판매펀칭!$I:$I,C510)*W510/SUMIFS($W:$W,$A:$A,A510,$C:$C,C510))</f>
        <v>190</v>
      </c>
      <c r="R510" s="47" t="n">
        <f aca="false">IF(OR(A510="500",A510="800",A510="810"),0,MAX(W510-Q510,0))</f>
        <v>0</v>
      </c>
      <c r="S510" s="47" t="n">
        <f aca="false">R510*L510</f>
        <v>0</v>
      </c>
      <c r="T510" s="47" t="n">
        <f aca="false">R510*J510</f>
        <v>0</v>
      </c>
      <c r="U510" s="47" t="n">
        <f aca="false">R510*K510</f>
        <v>0</v>
      </c>
      <c r="V510" s="0" t="str">
        <f aca="false">IF(COUNTIFS($A$2:A510,A510,$C$2:C510,C510,$D$2:D510,D510)&gt;1,"중복","")</f>
        <v/>
      </c>
      <c r="W510" s="0" t="n">
        <f aca="false">IF(V510="중복",0,N(D510))</f>
        <v>190</v>
      </c>
      <c r="X510" s="0" t="n">
        <f aca="false">IF(COUNTIFS($A$2:A510,A510,$C$2:C510,C510)=1,ABS(SUMIFS(RAW_발주!$D:$D,RAW_발주!$C:$C,A510,RAW_발주!$A:$A,C510)-SUMIFS($W:$W,$A:$A,A510,$C:$C,C510)),0)</f>
        <v>0</v>
      </c>
    </row>
    <row r="511" customFormat="false" ht="15" hidden="false" customHeight="true" outlineLevel="0" collapsed="false">
      <c r="A511" s="45" t="s">
        <v>1667</v>
      </c>
      <c r="B511" s="42" t="str">
        <f aca="false">IF(A511="100","HK",IF(A511="200","CN",IF(A511="300","TW","홀세일")))</f>
        <v>홀세일</v>
      </c>
      <c r="C511" s="45" t="s">
        <v>1411</v>
      </c>
      <c r="D511" s="46" t="n">
        <v>120</v>
      </c>
      <c r="E511" s="46" t="n">
        <v>129000</v>
      </c>
      <c r="F511" s="46" t="n">
        <v>30000</v>
      </c>
      <c r="G511" s="42" t="n">
        <v>3.91</v>
      </c>
      <c r="H511" s="42" t="n">
        <v>37.2</v>
      </c>
      <c r="J511" s="46" t="n">
        <f aca="false">IF(N(E511)&gt;0,E511,IF(N(F511)&gt;0,F511*요약!$F$27,0))</f>
        <v>129000</v>
      </c>
      <c r="K511" s="46" t="n">
        <f aca="false">IF(N(F511)&gt;0,F511,IF(N(E511)&gt;0,E511/요약!$F$27,0))</f>
        <v>30000</v>
      </c>
      <c r="L511" s="46" t="n">
        <f aca="false">IF(B511="CN",IF(N(I511)&gt;0,I511*요약!$G$27,K511*(1+요약!$E$27)),IF(N(H511)&gt;0,H511*요약!$G$27,J511*요약!$D$27))</f>
        <v>49104</v>
      </c>
      <c r="M511" s="46" t="n">
        <f aca="false">D511*J511</f>
        <v>15480000</v>
      </c>
      <c r="N511" s="46" t="n">
        <f aca="false">D511*K511</f>
        <v>3600000</v>
      </c>
      <c r="O511" s="46" t="n">
        <f aca="false">D511*L511</f>
        <v>5892480</v>
      </c>
      <c r="P511" s="42" t="str">
        <f aca="false">TRIM(IF(N(E511)&lt;=0,"택가보정 ","")&amp;IF(N(F511)&lt;=0,"원가보정 ","")&amp;IF(AND(B511&lt;&gt;"CN",N(H511)&lt;=0),"공급가보정 ","")&amp;IF(AND(B511="CN",N(I511)&lt;=0),"중국공급가=원가+마진 ",""))</f>
        <v/>
      </c>
      <c r="Q511" s="47" t="n">
        <f aca="false">IF(SUMIFS($W:$W,$A:$A,A511,$C:$C,C511)=0,0,SUMIFS(RAW_판매펀칭!$K:$K,RAW_판매펀칭!$P:$P,A511,RAW_판매펀칭!$I:$I,C511)*W511/SUMIFS($W:$W,$A:$A,A511,$C:$C,C511))</f>
        <v>120</v>
      </c>
      <c r="R511" s="47" t="n">
        <f aca="false">IF(OR(A511="500",A511="800",A511="810"),0,MAX(W511-Q511,0))</f>
        <v>0</v>
      </c>
      <c r="S511" s="47" t="n">
        <f aca="false">R511*L511</f>
        <v>0</v>
      </c>
      <c r="T511" s="47" t="n">
        <f aca="false">R511*J511</f>
        <v>0</v>
      </c>
      <c r="U511" s="47" t="n">
        <f aca="false">R511*K511</f>
        <v>0</v>
      </c>
      <c r="V511" s="0" t="str">
        <f aca="false">IF(COUNTIFS($A$2:A511,A511,$C$2:C511,C511,$D$2:D511,D511)&gt;1,"중복","")</f>
        <v/>
      </c>
      <c r="W511" s="0" t="n">
        <f aca="false">IF(V511="중복",0,N(D511))</f>
        <v>120</v>
      </c>
      <c r="X511" s="0" t="n">
        <f aca="false">IF(COUNTIFS($A$2:A511,A511,$C$2:C511,C511)=1,ABS(SUMIFS(RAW_발주!$D:$D,RAW_발주!$C:$C,A511,RAW_발주!$A:$A,C511)-SUMIFS($W:$W,$A:$A,A511,$C:$C,C511)),0)</f>
        <v>0</v>
      </c>
    </row>
    <row r="512" customFormat="false" ht="15" hidden="false" customHeight="true" outlineLevel="0" collapsed="false">
      <c r="A512" s="45" t="s">
        <v>1659</v>
      </c>
      <c r="B512" s="42" t="str">
        <f aca="false">IF(A512="100","HK",IF(A512="200","CN",IF(A512="300","TW","홀세일")))</f>
        <v>HK</v>
      </c>
      <c r="C512" s="45" t="s">
        <v>1047</v>
      </c>
      <c r="D512" s="46" t="n">
        <v>300</v>
      </c>
      <c r="E512" s="46" t="n">
        <v>59000</v>
      </c>
      <c r="F512" s="46" t="n">
        <v>15500</v>
      </c>
      <c r="G512" s="42" t="n">
        <v>3.39</v>
      </c>
      <c r="H512" s="42" t="n">
        <v>17.1</v>
      </c>
      <c r="J512" s="46" t="n">
        <f aca="false">IF(N(E512)&gt;0,E512,IF(N(F512)&gt;0,F512*요약!$F$27,0))</f>
        <v>59000</v>
      </c>
      <c r="K512" s="46" t="n">
        <f aca="false">IF(N(F512)&gt;0,F512,IF(N(E512)&gt;0,E512/요약!$F$27,0))</f>
        <v>15500</v>
      </c>
      <c r="L512" s="46" t="n">
        <f aca="false">IF(B512="CN",IF(N(I512)&gt;0,I512*요약!$G$27,K512*(1+요약!$E$27)),IF(N(H512)&gt;0,H512*요약!$G$27,J512*요약!$D$27))</f>
        <v>22572</v>
      </c>
      <c r="M512" s="46" t="n">
        <f aca="false">D512*J512</f>
        <v>17700000</v>
      </c>
      <c r="N512" s="46" t="n">
        <f aca="false">D512*K512</f>
        <v>4650000</v>
      </c>
      <c r="O512" s="46" t="n">
        <f aca="false">D512*L512</f>
        <v>6771600</v>
      </c>
      <c r="P512" s="42" t="str">
        <f aca="false">TRIM(IF(N(E512)&lt;=0,"택가보정 ","")&amp;IF(N(F512)&lt;=0,"원가보정 ","")&amp;IF(AND(B512&lt;&gt;"CN",N(H512)&lt;=0),"공급가보정 ","")&amp;IF(AND(B512="CN",N(I512)&lt;=0),"중국공급가=원가+마진 ",""))</f>
        <v/>
      </c>
      <c r="Q512" s="47" t="n">
        <f aca="false">IF(SUMIFS($W:$W,$A:$A,A512,$C:$C,C512)=0,0,SUMIFS(RAW_판매펀칭!$K:$K,RAW_판매펀칭!$P:$P,A512,RAW_판매펀칭!$I:$I,C512)*W512/SUMIFS($W:$W,$A:$A,A512,$C:$C,C512))</f>
        <v>0</v>
      </c>
      <c r="R512" s="47" t="n">
        <f aca="false">IF(OR(A512="500",A512="800",A512="810"),0,MAX(W512-Q512,0))</f>
        <v>300</v>
      </c>
      <c r="S512" s="47" t="n">
        <f aca="false">R512*L512</f>
        <v>6771600</v>
      </c>
      <c r="T512" s="47" t="n">
        <f aca="false">R512*J512</f>
        <v>17700000</v>
      </c>
      <c r="U512" s="47" t="n">
        <f aca="false">R512*K512</f>
        <v>4650000</v>
      </c>
      <c r="V512" s="0" t="str">
        <f aca="false">IF(COUNTIFS($A$2:A512,A512,$C$2:C512,C512,$D$2:D512,D512)&gt;1,"중복","")</f>
        <v/>
      </c>
      <c r="W512" s="0" t="n">
        <f aca="false">IF(V512="중복",0,N(D512))</f>
        <v>300</v>
      </c>
      <c r="X512" s="0" t="n">
        <f aca="false">IF(COUNTIFS($A$2:A512,A512,$C$2:C512,C512)=1,ABS(SUMIFS(RAW_발주!$D:$D,RAW_발주!$C:$C,A512,RAW_발주!$A:$A,C512)-SUMIFS($W:$W,$A:$A,A512,$C:$C,C512)),0)</f>
        <v>0</v>
      </c>
    </row>
    <row r="513" customFormat="false" ht="15.75" hidden="false" customHeight="true" outlineLevel="0" collapsed="false">
      <c r="A513" s="45" t="s">
        <v>1660</v>
      </c>
      <c r="B513" s="42" t="str">
        <f aca="false">IF(A513="100","HK",IF(A513="200","CN",IF(A513="300","TW","홀세일")))</f>
        <v>CN</v>
      </c>
      <c r="C513" s="45" t="s">
        <v>1047</v>
      </c>
      <c r="D513" s="46" t="n">
        <v>532</v>
      </c>
      <c r="E513" s="46" t="n">
        <v>59000</v>
      </c>
      <c r="F513" s="46" t="n">
        <v>15500</v>
      </c>
      <c r="G513" s="42" t="n">
        <v>3.39</v>
      </c>
      <c r="H513" s="42" t="n">
        <v>17.1</v>
      </c>
      <c r="J513" s="46" t="n">
        <f aca="false">IF(N(E513)&gt;0,E513,IF(N(F513)&gt;0,F513*요약!$F$27,0))</f>
        <v>59000</v>
      </c>
      <c r="K513" s="46" t="n">
        <f aca="false">IF(N(F513)&gt;0,F513,IF(N(E513)&gt;0,E513/요약!$F$27,0))</f>
        <v>15500</v>
      </c>
      <c r="L513" s="46" t="n">
        <f aca="false">IF(B513="CN",IF(N(I513)&gt;0,I513*요약!$G$27,K513*(1+요약!$E$27)),IF(N(H513)&gt;0,H513*요약!$G$27,J513*요약!$D$27))</f>
        <v>16275</v>
      </c>
      <c r="M513" s="46" t="n">
        <f aca="false">D513*J513</f>
        <v>31388000</v>
      </c>
      <c r="N513" s="46" t="n">
        <f aca="false">D513*K513</f>
        <v>8246000</v>
      </c>
      <c r="O513" s="46" t="n">
        <f aca="false">D513*L513</f>
        <v>8658300</v>
      </c>
      <c r="P513" s="42" t="str">
        <f aca="false">TRIM(IF(N(E513)&lt;=0,"택가보정 ","")&amp;IF(N(F513)&lt;=0,"원가보정 ","")&amp;IF(AND(B513&lt;&gt;"CN",N(H513)&lt;=0),"공급가보정 ","")&amp;IF(AND(B513="CN",N(I513)&lt;=0),"중국공급가=원가+마진 ",""))</f>
        <v>중국공급가=원가+마진</v>
      </c>
      <c r="Q513" s="47" t="n">
        <f aca="false">IF(SUMIFS($W:$W,$A:$A,A513,$C:$C,C513)=0,0,SUMIFS(RAW_판매펀칭!$K:$K,RAW_판매펀칭!$P:$P,A513,RAW_판매펀칭!$I:$I,C513)*W513/SUMIFS($W:$W,$A:$A,A513,$C:$C,C513))</f>
        <v>530</v>
      </c>
      <c r="R513" s="47" t="n">
        <f aca="false">IF(OR(A513="500",A513="800",A513="810"),0,MAX(W513-Q513,0))</f>
        <v>2</v>
      </c>
      <c r="S513" s="47" t="n">
        <f aca="false">R513*L513</f>
        <v>32550</v>
      </c>
      <c r="T513" s="47" t="n">
        <f aca="false">R513*J513</f>
        <v>118000</v>
      </c>
      <c r="U513" s="47" t="n">
        <f aca="false">R513*K513</f>
        <v>31000</v>
      </c>
      <c r="V513" s="0" t="str">
        <f aca="false">IF(COUNTIFS($A$2:A513,A513,$C$2:C513,C513,$D$2:D513,D513)&gt;1,"중복","")</f>
        <v/>
      </c>
      <c r="W513" s="0" t="n">
        <f aca="false">IF(V513="중복",0,N(D513))</f>
        <v>532</v>
      </c>
      <c r="X513" s="0" t="n">
        <f aca="false">IF(COUNTIFS($A$2:A513,A513,$C$2:C513,C513)=1,ABS(SUMIFS(RAW_발주!$D:$D,RAW_발주!$C:$C,A513,RAW_발주!$A:$A,C513)-SUMIFS($W:$W,$A:$A,A513,$C:$C,C513)),0)</f>
        <v>0</v>
      </c>
    </row>
    <row r="514" customFormat="false" ht="15" hidden="false" customHeight="true" outlineLevel="0" collapsed="false">
      <c r="A514" s="45" t="s">
        <v>1661</v>
      </c>
      <c r="B514" s="42" t="str">
        <f aca="false">IF(A514="100","HK",IF(A514="200","CN",IF(A514="300","TW","홀세일")))</f>
        <v>TW</v>
      </c>
      <c r="C514" s="45" t="s">
        <v>1304</v>
      </c>
      <c r="D514" s="46" t="n">
        <v>620</v>
      </c>
      <c r="E514" s="46" t="n">
        <v>49000</v>
      </c>
      <c r="F514" s="46" t="n">
        <v>13800</v>
      </c>
      <c r="G514" s="42" t="n">
        <v>3.4</v>
      </c>
      <c r="H514" s="42" t="n">
        <v>14.2</v>
      </c>
      <c r="J514" s="46" t="n">
        <f aca="false">IF(N(E514)&gt;0,E514,IF(N(F514)&gt;0,F514*요약!$F$27,0))</f>
        <v>49000</v>
      </c>
      <c r="K514" s="46" t="n">
        <f aca="false">IF(N(F514)&gt;0,F514,IF(N(E514)&gt;0,E514/요약!$F$27,0))</f>
        <v>13800</v>
      </c>
      <c r="L514" s="46" t="n">
        <f aca="false">IF(B514="CN",IF(N(I514)&gt;0,I514*요약!$G$27,K514*(1+요약!$E$27)),IF(N(H514)&gt;0,H514*요약!$G$27,J514*요약!$D$27))</f>
        <v>18744</v>
      </c>
      <c r="M514" s="46" t="n">
        <f aca="false">D514*J514</f>
        <v>30380000</v>
      </c>
      <c r="N514" s="46" t="n">
        <f aca="false">D514*K514</f>
        <v>8556000</v>
      </c>
      <c r="O514" s="46" t="n">
        <f aca="false">D514*L514</f>
        <v>11621280</v>
      </c>
      <c r="P514" s="42" t="str">
        <f aca="false">TRIM(IF(N(E514)&lt;=0,"택가보정 ","")&amp;IF(N(F514)&lt;=0,"원가보정 ","")&amp;IF(AND(B514&lt;&gt;"CN",N(H514)&lt;=0),"공급가보정 ","")&amp;IF(AND(B514="CN",N(I514)&lt;=0),"중국공급가=원가+마진 ",""))</f>
        <v/>
      </c>
      <c r="Q514" s="47" t="n">
        <f aca="false">IF(SUMIFS($W:$W,$A:$A,A514,$C:$C,C514)=0,0,SUMIFS(RAW_판매펀칭!$K:$K,RAW_판매펀칭!$P:$P,A514,RAW_판매펀칭!$I:$I,C514)*W514/SUMIFS($W:$W,$A:$A,A514,$C:$C,C514))</f>
        <v>0</v>
      </c>
      <c r="R514" s="47" t="n">
        <f aca="false">IF(OR(A514="500",A514="800",A514="810"),0,MAX(W514-Q514,0))</f>
        <v>620</v>
      </c>
      <c r="S514" s="47" t="n">
        <f aca="false">R514*L514</f>
        <v>11621280</v>
      </c>
      <c r="T514" s="47" t="n">
        <f aca="false">R514*J514</f>
        <v>30380000</v>
      </c>
      <c r="U514" s="47" t="n">
        <f aca="false">R514*K514</f>
        <v>8556000</v>
      </c>
      <c r="V514" s="0" t="str">
        <f aca="false">IF(COUNTIFS($A$2:A514,A514,$C$2:C514,C514,$D$2:D514,D514)&gt;1,"중복","")</f>
        <v/>
      </c>
      <c r="W514" s="0" t="n">
        <f aca="false">IF(V514="중복",0,N(D514))</f>
        <v>620</v>
      </c>
      <c r="X514" s="0" t="n">
        <f aca="false">IF(COUNTIFS($A$2:A514,A514,$C$2:C514,C514)=1,ABS(SUMIFS(RAW_발주!$D:$D,RAW_발주!$C:$C,A514,RAW_발주!$A:$A,C514)-SUMIFS($W:$W,$A:$A,A514,$C:$C,C514)),0)</f>
        <v>0</v>
      </c>
    </row>
    <row r="515" customFormat="false" ht="15" hidden="false" customHeight="true" outlineLevel="0" collapsed="false">
      <c r="A515" s="45" t="s">
        <v>1663</v>
      </c>
      <c r="B515" s="42" t="str">
        <f aca="false">IF(A515="100","HK",IF(A515="200","CN",IF(A515="300","TW","홀세일")))</f>
        <v>홀세일</v>
      </c>
      <c r="C515" s="45" t="s">
        <v>1304</v>
      </c>
      <c r="D515" s="46" t="n">
        <v>120</v>
      </c>
      <c r="E515" s="46" t="n">
        <v>49000</v>
      </c>
      <c r="F515" s="46" t="n">
        <v>13800</v>
      </c>
      <c r="G515" s="42" t="n">
        <v>3.4</v>
      </c>
      <c r="H515" s="42" t="n">
        <v>14.2</v>
      </c>
      <c r="J515" s="46" t="n">
        <f aca="false">IF(N(E515)&gt;0,E515,IF(N(F515)&gt;0,F515*요약!$F$27,0))</f>
        <v>49000</v>
      </c>
      <c r="K515" s="46" t="n">
        <f aca="false">IF(N(F515)&gt;0,F515,IF(N(E515)&gt;0,E515/요약!$F$27,0))</f>
        <v>13800</v>
      </c>
      <c r="L515" s="46" t="n">
        <f aca="false">IF(B515="CN",IF(N(I515)&gt;0,I515*요약!$G$27,K515*(1+요약!$E$27)),IF(N(H515)&gt;0,H515*요약!$G$27,J515*요약!$D$27))</f>
        <v>18744</v>
      </c>
      <c r="M515" s="46" t="n">
        <f aca="false">D515*J515</f>
        <v>5880000</v>
      </c>
      <c r="N515" s="46" t="n">
        <f aca="false">D515*K515</f>
        <v>1656000</v>
      </c>
      <c r="O515" s="46" t="n">
        <f aca="false">D515*L515</f>
        <v>2249280</v>
      </c>
      <c r="P515" s="42" t="str">
        <f aca="false">TRIM(IF(N(E515)&lt;=0,"택가보정 ","")&amp;IF(N(F515)&lt;=0,"원가보정 ","")&amp;IF(AND(B515&lt;&gt;"CN",N(H515)&lt;=0),"공급가보정 ","")&amp;IF(AND(B515="CN",N(I515)&lt;=0),"중국공급가=원가+마진 ",""))</f>
        <v/>
      </c>
      <c r="Q515" s="47" t="n">
        <f aca="false">IF(SUMIFS($W:$W,$A:$A,A515,$C:$C,C515)=0,0,SUMIFS(RAW_판매펀칭!$K:$K,RAW_판매펀칭!$P:$P,A515,RAW_판매펀칭!$I:$I,C515)*W515/SUMIFS($W:$W,$A:$A,A515,$C:$C,C515))</f>
        <v>120</v>
      </c>
      <c r="R515" s="47" t="n">
        <f aca="false">IF(OR(A515="500",A515="800",A515="810"),0,MAX(W515-Q515,0))</f>
        <v>0</v>
      </c>
      <c r="S515" s="47" t="n">
        <f aca="false">R515*L515</f>
        <v>0</v>
      </c>
      <c r="T515" s="47" t="n">
        <f aca="false">R515*J515</f>
        <v>0</v>
      </c>
      <c r="U515" s="47" t="n">
        <f aca="false">R515*K515</f>
        <v>0</v>
      </c>
      <c r="V515" s="0" t="str">
        <f aca="false">IF(COUNTIFS($A$2:A515,A515,$C$2:C515,C515,$D$2:D515,D515)&gt;1,"중복","")</f>
        <v/>
      </c>
      <c r="W515" s="0" t="n">
        <f aca="false">IF(V515="중복",0,N(D515))</f>
        <v>120</v>
      </c>
      <c r="X515" s="0" t="n">
        <f aca="false">IF(COUNTIFS($A$2:A515,A515,$C$2:C515,C515)=1,ABS(SUMIFS(RAW_발주!$D:$D,RAW_발주!$C:$C,A515,RAW_발주!$A:$A,C515)-SUMIFS($W:$W,$A:$A,A515,$C:$C,C515)),0)</f>
        <v>0</v>
      </c>
    </row>
    <row r="516" customFormat="false" ht="15" hidden="false" customHeight="true" outlineLevel="0" collapsed="false">
      <c r="A516" s="45" t="s">
        <v>1663</v>
      </c>
      <c r="B516" s="42" t="str">
        <f aca="false">IF(A516="100","HK",IF(A516="200","CN",IF(A516="300","TW","홀세일")))</f>
        <v>홀세일</v>
      </c>
      <c r="C516" s="45" t="s">
        <v>1306</v>
      </c>
      <c r="D516" s="46" t="n">
        <v>20</v>
      </c>
      <c r="E516" s="46" t="n">
        <v>89000</v>
      </c>
      <c r="F516" s="46" t="n">
        <v>23500</v>
      </c>
      <c r="G516" s="42" t="n">
        <v>3.53</v>
      </c>
      <c r="H516" s="42" t="n">
        <v>22.3</v>
      </c>
      <c r="J516" s="46" t="n">
        <f aca="false">IF(N(E516)&gt;0,E516,IF(N(F516)&gt;0,F516*요약!$F$27,0))</f>
        <v>89000</v>
      </c>
      <c r="K516" s="46" t="n">
        <f aca="false">IF(N(F516)&gt;0,F516,IF(N(E516)&gt;0,E516/요약!$F$27,0))</f>
        <v>23500</v>
      </c>
      <c r="L516" s="46" t="n">
        <f aca="false">IF(B516="CN",IF(N(I516)&gt;0,I516*요약!$G$27,K516*(1+요약!$E$27)),IF(N(H516)&gt;0,H516*요약!$G$27,J516*요약!$D$27))</f>
        <v>29436</v>
      </c>
      <c r="M516" s="46" t="n">
        <f aca="false">D516*J516</f>
        <v>1780000</v>
      </c>
      <c r="N516" s="46" t="n">
        <f aca="false">D516*K516</f>
        <v>470000</v>
      </c>
      <c r="O516" s="46" t="n">
        <f aca="false">D516*L516</f>
        <v>588720</v>
      </c>
      <c r="P516" s="42" t="str">
        <f aca="false">TRIM(IF(N(E516)&lt;=0,"택가보정 ","")&amp;IF(N(F516)&lt;=0,"원가보정 ","")&amp;IF(AND(B516&lt;&gt;"CN",N(H516)&lt;=0),"공급가보정 ","")&amp;IF(AND(B516="CN",N(I516)&lt;=0),"중국공급가=원가+마진 ",""))</f>
        <v/>
      </c>
      <c r="Q516" s="47" t="n">
        <f aca="false">IF(SUMIFS($W:$W,$A:$A,A516,$C:$C,C516)=0,0,SUMIFS(RAW_판매펀칭!$K:$K,RAW_판매펀칭!$P:$P,A516,RAW_판매펀칭!$I:$I,C516)*W516/SUMIFS($W:$W,$A:$A,A516,$C:$C,C516))</f>
        <v>20</v>
      </c>
      <c r="R516" s="47" t="n">
        <f aca="false">IF(OR(A516="500",A516="800",A516="810"),0,MAX(W516-Q516,0))</f>
        <v>0</v>
      </c>
      <c r="S516" s="47" t="n">
        <f aca="false">R516*L516</f>
        <v>0</v>
      </c>
      <c r="T516" s="47" t="n">
        <f aca="false">R516*J516</f>
        <v>0</v>
      </c>
      <c r="U516" s="47" t="n">
        <f aca="false">R516*K516</f>
        <v>0</v>
      </c>
      <c r="V516" s="0" t="str">
        <f aca="false">IF(COUNTIFS($A$2:A516,A516,$C$2:C516,C516,$D$2:D516,D516)&gt;1,"중복","")</f>
        <v/>
      </c>
      <c r="W516" s="0" t="n">
        <f aca="false">IF(V516="중복",0,N(D516))</f>
        <v>20</v>
      </c>
      <c r="X516" s="0" t="n">
        <f aca="false">IF(COUNTIFS($A$2:A516,A516,$C$2:C516,C516)=1,ABS(SUMIFS(RAW_발주!$D:$D,RAW_발주!$C:$C,A516,RAW_발주!$A:$A,C516)-SUMIFS($W:$W,$A:$A,A516,$C:$C,C516)),0)</f>
        <v>0</v>
      </c>
    </row>
    <row r="517" customFormat="false" ht="15" hidden="false" customHeight="true" outlineLevel="0" collapsed="false">
      <c r="A517" s="45" t="s">
        <v>1665</v>
      </c>
      <c r="B517" s="42" t="str">
        <f aca="false">IF(A517="100","HK",IF(A517="200","CN",IF(A517="300","TW","홀세일")))</f>
        <v>홀세일</v>
      </c>
      <c r="C517" s="45" t="s">
        <v>1306</v>
      </c>
      <c r="D517" s="46" t="n">
        <v>132</v>
      </c>
      <c r="E517" s="46" t="n">
        <v>89000</v>
      </c>
      <c r="F517" s="46" t="n">
        <v>23500</v>
      </c>
      <c r="G517" s="42" t="n">
        <v>3.53</v>
      </c>
      <c r="H517" s="42" t="n">
        <v>22.3</v>
      </c>
      <c r="J517" s="46" t="n">
        <f aca="false">IF(N(E517)&gt;0,E517,IF(N(F517)&gt;0,F517*요약!$F$27,0))</f>
        <v>89000</v>
      </c>
      <c r="K517" s="46" t="n">
        <f aca="false">IF(N(F517)&gt;0,F517,IF(N(E517)&gt;0,E517/요약!$F$27,0))</f>
        <v>23500</v>
      </c>
      <c r="L517" s="46" t="n">
        <f aca="false">IF(B517="CN",IF(N(I517)&gt;0,I517*요약!$G$27,K517*(1+요약!$E$27)),IF(N(H517)&gt;0,H517*요약!$G$27,J517*요약!$D$27))</f>
        <v>29436</v>
      </c>
      <c r="M517" s="46" t="n">
        <f aca="false">D517*J517</f>
        <v>11748000</v>
      </c>
      <c r="N517" s="46" t="n">
        <f aca="false">D517*K517</f>
        <v>3102000</v>
      </c>
      <c r="O517" s="46" t="n">
        <f aca="false">D517*L517</f>
        <v>3885552</v>
      </c>
      <c r="P517" s="42" t="str">
        <f aca="false">TRIM(IF(N(E517)&lt;=0,"택가보정 ","")&amp;IF(N(F517)&lt;=0,"원가보정 ","")&amp;IF(AND(B517&lt;&gt;"CN",N(H517)&lt;=0),"공급가보정 ","")&amp;IF(AND(B517="CN",N(I517)&lt;=0),"중국공급가=원가+마진 ",""))</f>
        <v/>
      </c>
      <c r="Q517" s="47" t="n">
        <f aca="false">IF(SUMIFS($W:$W,$A:$A,A517,$C:$C,C517)=0,0,SUMIFS(RAW_판매펀칭!$K:$K,RAW_판매펀칭!$P:$P,A517,RAW_판매펀칭!$I:$I,C517)*W517/SUMIFS($W:$W,$A:$A,A517,$C:$C,C517))</f>
        <v>132</v>
      </c>
      <c r="R517" s="47" t="n">
        <f aca="false">IF(OR(A517="500",A517="800",A517="810"),0,MAX(W517-Q517,0))</f>
        <v>0</v>
      </c>
      <c r="S517" s="47" t="n">
        <f aca="false">R517*L517</f>
        <v>0</v>
      </c>
      <c r="T517" s="47" t="n">
        <f aca="false">R517*J517</f>
        <v>0</v>
      </c>
      <c r="U517" s="47" t="n">
        <f aca="false">R517*K517</f>
        <v>0</v>
      </c>
      <c r="V517" s="0" t="str">
        <f aca="false">IF(COUNTIFS($A$2:A517,A517,$C$2:C517,C517,$D$2:D517,D517)&gt;1,"중복","")</f>
        <v/>
      </c>
      <c r="W517" s="0" t="n">
        <f aca="false">IF(V517="중복",0,N(D517))</f>
        <v>132</v>
      </c>
      <c r="X517" s="0" t="n">
        <f aca="false">IF(COUNTIFS($A$2:A517,A517,$C$2:C517,C517)=1,ABS(SUMIFS(RAW_발주!$D:$D,RAW_발주!$C:$C,A517,RAW_발주!$A:$A,C517)-SUMIFS($W:$W,$A:$A,A517,$C:$C,C517)),0)</f>
        <v>0</v>
      </c>
    </row>
    <row r="518" customFormat="false" ht="15" hidden="false" customHeight="true" outlineLevel="0" collapsed="false">
      <c r="A518" s="45" t="s">
        <v>1659</v>
      </c>
      <c r="B518" s="42" t="str">
        <f aca="false">IF(A518="100","HK",IF(A518="200","CN",IF(A518="300","TW","홀세일")))</f>
        <v>HK</v>
      </c>
      <c r="C518" s="45" t="s">
        <v>322</v>
      </c>
      <c r="D518" s="46" t="n">
        <v>200</v>
      </c>
      <c r="E518" s="46" t="n">
        <v>79000</v>
      </c>
      <c r="F518" s="46" t="n">
        <v>15300</v>
      </c>
      <c r="G518" s="42" t="n">
        <v>4.03</v>
      </c>
      <c r="H518" s="42" t="n">
        <v>19.8</v>
      </c>
      <c r="J518" s="46" t="n">
        <f aca="false">IF(N(E518)&gt;0,E518,IF(N(F518)&gt;0,F518*요약!$F$27,0))</f>
        <v>79000</v>
      </c>
      <c r="K518" s="46" t="n">
        <f aca="false">IF(N(F518)&gt;0,F518,IF(N(E518)&gt;0,E518/요약!$F$27,0))</f>
        <v>15300</v>
      </c>
      <c r="L518" s="46" t="n">
        <f aca="false">IF(B518="CN",IF(N(I518)&gt;0,I518*요약!$G$27,K518*(1+요약!$E$27)),IF(N(H518)&gt;0,H518*요약!$G$27,J518*요약!$D$27))</f>
        <v>26136</v>
      </c>
      <c r="M518" s="46" t="n">
        <f aca="false">D518*J518</f>
        <v>15800000</v>
      </c>
      <c r="N518" s="46" t="n">
        <f aca="false">D518*K518</f>
        <v>3060000</v>
      </c>
      <c r="O518" s="46" t="n">
        <f aca="false">D518*L518</f>
        <v>5227200</v>
      </c>
      <c r="P518" s="42" t="str">
        <f aca="false">TRIM(IF(N(E518)&lt;=0,"택가보정 ","")&amp;IF(N(F518)&lt;=0,"원가보정 ","")&amp;IF(AND(B518&lt;&gt;"CN",N(H518)&lt;=0),"공급가보정 ","")&amp;IF(AND(B518="CN",N(I518)&lt;=0),"중국공급가=원가+마진 ",""))</f>
        <v/>
      </c>
      <c r="Q518" s="47" t="n">
        <f aca="false">IF(SUMIFS($W:$W,$A:$A,A518,$C:$C,C518)=0,0,SUMIFS(RAW_판매펀칭!$K:$K,RAW_판매펀칭!$P:$P,A518,RAW_판매펀칭!$I:$I,C518)*W518/SUMIFS($W:$W,$A:$A,A518,$C:$C,C518))</f>
        <v>200</v>
      </c>
      <c r="R518" s="47" t="n">
        <f aca="false">IF(OR(A518="500",A518="800",A518="810"),0,MAX(W518-Q518,0))</f>
        <v>0</v>
      </c>
      <c r="S518" s="47" t="n">
        <f aca="false">R518*L518</f>
        <v>0</v>
      </c>
      <c r="T518" s="47" t="n">
        <f aca="false">R518*J518</f>
        <v>0</v>
      </c>
      <c r="U518" s="47" t="n">
        <f aca="false">R518*K518</f>
        <v>0</v>
      </c>
      <c r="V518" s="0" t="str">
        <f aca="false">IF(COUNTIFS($A$2:A518,A518,$C$2:C518,C518,$D$2:D518,D518)&gt;1,"중복","")</f>
        <v/>
      </c>
      <c r="W518" s="0" t="n">
        <f aca="false">IF(V518="중복",0,N(D518))</f>
        <v>200</v>
      </c>
      <c r="X518" s="0" t="n">
        <f aca="false">IF(COUNTIFS($A$2:A518,A518,$C$2:C518,C518)=1,ABS(SUMIFS(RAW_발주!$D:$D,RAW_발주!$C:$C,A518,RAW_발주!$A:$A,C518)-SUMIFS($W:$W,$A:$A,A518,$C:$C,C518)),0)</f>
        <v>0</v>
      </c>
    </row>
    <row r="519" customFormat="false" ht="15" hidden="false" customHeight="true" outlineLevel="0" collapsed="false">
      <c r="A519" s="45" t="s">
        <v>1661</v>
      </c>
      <c r="B519" s="42" t="str">
        <f aca="false">IF(A519="100","HK",IF(A519="200","CN",IF(A519="300","TW","홀세일")))</f>
        <v>TW</v>
      </c>
      <c r="C519" s="45" t="s">
        <v>322</v>
      </c>
      <c r="D519" s="46" t="n">
        <v>300</v>
      </c>
      <c r="E519" s="46" t="n">
        <v>79000</v>
      </c>
      <c r="F519" s="46" t="n">
        <v>15300</v>
      </c>
      <c r="G519" s="42" t="n">
        <v>4.03</v>
      </c>
      <c r="H519" s="42" t="n">
        <v>19.8</v>
      </c>
      <c r="J519" s="46" t="n">
        <f aca="false">IF(N(E519)&gt;0,E519,IF(N(F519)&gt;0,F519*요약!$F$27,0))</f>
        <v>79000</v>
      </c>
      <c r="K519" s="46" t="n">
        <f aca="false">IF(N(F519)&gt;0,F519,IF(N(E519)&gt;0,E519/요약!$F$27,0))</f>
        <v>15300</v>
      </c>
      <c r="L519" s="46" t="n">
        <f aca="false">IF(B519="CN",IF(N(I519)&gt;0,I519*요약!$G$27,K519*(1+요약!$E$27)),IF(N(H519)&gt;0,H519*요약!$G$27,J519*요약!$D$27))</f>
        <v>26136</v>
      </c>
      <c r="M519" s="46" t="n">
        <f aca="false">D519*J519</f>
        <v>23700000</v>
      </c>
      <c r="N519" s="46" t="n">
        <f aca="false">D519*K519</f>
        <v>4590000</v>
      </c>
      <c r="O519" s="46" t="n">
        <f aca="false">D519*L519</f>
        <v>7840800</v>
      </c>
      <c r="P519" s="42" t="str">
        <f aca="false">TRIM(IF(N(E519)&lt;=0,"택가보정 ","")&amp;IF(N(F519)&lt;=0,"원가보정 ","")&amp;IF(AND(B519&lt;&gt;"CN",N(H519)&lt;=0),"공급가보정 ","")&amp;IF(AND(B519="CN",N(I519)&lt;=0),"중국공급가=원가+마진 ",""))</f>
        <v/>
      </c>
      <c r="Q519" s="47" t="n">
        <f aca="false">IF(SUMIFS($W:$W,$A:$A,A519,$C:$C,C519)=0,0,SUMIFS(RAW_판매펀칭!$K:$K,RAW_판매펀칭!$P:$P,A519,RAW_판매펀칭!$I:$I,C519)*W519/SUMIFS($W:$W,$A:$A,A519,$C:$C,C519))</f>
        <v>300</v>
      </c>
      <c r="R519" s="47" t="n">
        <f aca="false">IF(OR(A519="500",A519="800",A519="810"),0,MAX(W519-Q519,0))</f>
        <v>0</v>
      </c>
      <c r="S519" s="47" t="n">
        <f aca="false">R519*L519</f>
        <v>0</v>
      </c>
      <c r="T519" s="47" t="n">
        <f aca="false">R519*J519</f>
        <v>0</v>
      </c>
      <c r="U519" s="47" t="n">
        <f aca="false">R519*K519</f>
        <v>0</v>
      </c>
      <c r="V519" s="0" t="str">
        <f aca="false">IF(COUNTIFS($A$2:A519,A519,$C$2:C519,C519,$D$2:D519,D519)&gt;1,"중복","")</f>
        <v/>
      </c>
      <c r="W519" s="0" t="n">
        <f aca="false">IF(V519="중복",0,N(D519))</f>
        <v>300</v>
      </c>
      <c r="X519" s="0" t="n">
        <f aca="false">IF(COUNTIFS($A$2:A519,A519,$C$2:C519,C519)=1,ABS(SUMIFS(RAW_발주!$D:$D,RAW_발주!$C:$C,A519,RAW_발주!$A:$A,C519)-SUMIFS($W:$W,$A:$A,A519,$C:$C,C519)),0)</f>
        <v>0</v>
      </c>
    </row>
    <row r="520" customFormat="false" ht="15" hidden="false" customHeight="true" outlineLevel="0" collapsed="false">
      <c r="A520" s="45" t="s">
        <v>1663</v>
      </c>
      <c r="B520" s="42" t="str">
        <f aca="false">IF(A520="100","HK",IF(A520="200","CN",IF(A520="300","TW","홀세일")))</f>
        <v>홀세일</v>
      </c>
      <c r="C520" s="45" t="s">
        <v>322</v>
      </c>
      <c r="D520" s="46" t="n">
        <v>15</v>
      </c>
      <c r="E520" s="46" t="n">
        <v>79000</v>
      </c>
      <c r="F520" s="46" t="n">
        <v>15300</v>
      </c>
      <c r="G520" s="42" t="n">
        <v>4.03</v>
      </c>
      <c r="H520" s="42" t="n">
        <v>19.8</v>
      </c>
      <c r="J520" s="46" t="n">
        <f aca="false">IF(N(E520)&gt;0,E520,IF(N(F520)&gt;0,F520*요약!$F$27,0))</f>
        <v>79000</v>
      </c>
      <c r="K520" s="46" t="n">
        <f aca="false">IF(N(F520)&gt;0,F520,IF(N(E520)&gt;0,E520/요약!$F$27,0))</f>
        <v>15300</v>
      </c>
      <c r="L520" s="46" t="n">
        <f aca="false">IF(B520="CN",IF(N(I520)&gt;0,I520*요약!$G$27,K520*(1+요약!$E$27)),IF(N(H520)&gt;0,H520*요약!$G$27,J520*요약!$D$27))</f>
        <v>26136</v>
      </c>
      <c r="M520" s="46" t="n">
        <f aca="false">D520*J520</f>
        <v>1185000</v>
      </c>
      <c r="N520" s="46" t="n">
        <f aca="false">D520*K520</f>
        <v>229500</v>
      </c>
      <c r="O520" s="46" t="n">
        <f aca="false">D520*L520</f>
        <v>392040</v>
      </c>
      <c r="P520" s="42" t="str">
        <f aca="false">TRIM(IF(N(E520)&lt;=0,"택가보정 ","")&amp;IF(N(F520)&lt;=0,"원가보정 ","")&amp;IF(AND(B520&lt;&gt;"CN",N(H520)&lt;=0),"공급가보정 ","")&amp;IF(AND(B520="CN",N(I520)&lt;=0),"중국공급가=원가+마진 ",""))</f>
        <v/>
      </c>
      <c r="Q520" s="47" t="n">
        <f aca="false">IF(SUMIFS($W:$W,$A:$A,A520,$C:$C,C520)=0,0,SUMIFS(RAW_판매펀칭!$K:$K,RAW_판매펀칭!$P:$P,A520,RAW_판매펀칭!$I:$I,C520)*W520/SUMIFS($W:$W,$A:$A,A520,$C:$C,C520))</f>
        <v>15</v>
      </c>
      <c r="R520" s="47" t="n">
        <f aca="false">IF(OR(A520="500",A520="800",A520="810"),0,MAX(W520-Q520,0))</f>
        <v>0</v>
      </c>
      <c r="S520" s="47" t="n">
        <f aca="false">R520*L520</f>
        <v>0</v>
      </c>
      <c r="T520" s="47" t="n">
        <f aca="false">R520*J520</f>
        <v>0</v>
      </c>
      <c r="U520" s="47" t="n">
        <f aca="false">R520*K520</f>
        <v>0</v>
      </c>
      <c r="V520" s="0" t="str">
        <f aca="false">IF(COUNTIFS($A$2:A520,A520,$C$2:C520,C520,$D$2:D520,D520)&gt;1,"중복","")</f>
        <v/>
      </c>
      <c r="W520" s="0" t="n">
        <f aca="false">IF(V520="중복",0,N(D520))</f>
        <v>15</v>
      </c>
      <c r="X520" s="0" t="n">
        <f aca="false">IF(COUNTIFS($A$2:A520,A520,$C$2:C520,C520)=1,ABS(SUMIFS(RAW_발주!$D:$D,RAW_발주!$C:$C,A520,RAW_발주!$A:$A,C520)-SUMIFS($W:$W,$A:$A,A520,$C:$C,C520)),0)</f>
        <v>0</v>
      </c>
    </row>
    <row r="521" customFormat="false" ht="15" hidden="false" customHeight="true" outlineLevel="0" collapsed="false">
      <c r="A521" s="45" t="s">
        <v>1664</v>
      </c>
      <c r="B521" s="42" t="str">
        <f aca="false">IF(A521="100","HK",IF(A521="200","CN",IF(A521="300","TW","홀세일")))</f>
        <v>홀세일</v>
      </c>
      <c r="C521" s="45" t="s">
        <v>322</v>
      </c>
      <c r="D521" s="46" t="n">
        <v>30</v>
      </c>
      <c r="E521" s="46" t="n">
        <v>79000</v>
      </c>
      <c r="F521" s="46" t="n">
        <v>15300</v>
      </c>
      <c r="G521" s="42" t="n">
        <v>4.03</v>
      </c>
      <c r="H521" s="42" t="n">
        <v>19.8</v>
      </c>
      <c r="J521" s="46" t="n">
        <f aca="false">IF(N(E521)&gt;0,E521,IF(N(F521)&gt;0,F521*요약!$F$27,0))</f>
        <v>79000</v>
      </c>
      <c r="K521" s="46" t="n">
        <f aca="false">IF(N(F521)&gt;0,F521,IF(N(E521)&gt;0,E521/요약!$F$27,0))</f>
        <v>15300</v>
      </c>
      <c r="L521" s="46" t="n">
        <f aca="false">IF(B521="CN",IF(N(I521)&gt;0,I521*요약!$G$27,K521*(1+요약!$E$27)),IF(N(H521)&gt;0,H521*요약!$G$27,J521*요약!$D$27))</f>
        <v>26136</v>
      </c>
      <c r="M521" s="46" t="n">
        <f aca="false">D521*J521</f>
        <v>2370000</v>
      </c>
      <c r="N521" s="46" t="n">
        <f aca="false">D521*K521</f>
        <v>459000</v>
      </c>
      <c r="O521" s="46" t="n">
        <f aca="false">D521*L521</f>
        <v>784080</v>
      </c>
      <c r="P521" s="42" t="str">
        <f aca="false">TRIM(IF(N(E521)&lt;=0,"택가보정 ","")&amp;IF(N(F521)&lt;=0,"원가보정 ","")&amp;IF(AND(B521&lt;&gt;"CN",N(H521)&lt;=0),"공급가보정 ","")&amp;IF(AND(B521="CN",N(I521)&lt;=0),"중국공급가=원가+마진 ",""))</f>
        <v/>
      </c>
      <c r="Q521" s="47" t="n">
        <f aca="false">IF(SUMIFS($W:$W,$A:$A,A521,$C:$C,C521)=0,0,SUMIFS(RAW_판매펀칭!$K:$K,RAW_판매펀칭!$P:$P,A521,RAW_판매펀칭!$I:$I,C521)*W521/SUMIFS($W:$W,$A:$A,A521,$C:$C,C521))</f>
        <v>0</v>
      </c>
      <c r="R521" s="47" t="n">
        <f aca="false">IF(OR(A521="500",A521="800",A521="810"),0,MAX(W521-Q521,0))</f>
        <v>0</v>
      </c>
      <c r="S521" s="47" t="n">
        <f aca="false">R521*L521</f>
        <v>0</v>
      </c>
      <c r="T521" s="47" t="n">
        <f aca="false">R521*J521</f>
        <v>0</v>
      </c>
      <c r="U521" s="47" t="n">
        <f aca="false">R521*K521</f>
        <v>0</v>
      </c>
      <c r="V521" s="0" t="str">
        <f aca="false">IF(COUNTIFS($A$2:A521,A521,$C$2:C521,C521,$D$2:D521,D521)&gt;1,"중복","")</f>
        <v/>
      </c>
      <c r="W521" s="0" t="n">
        <f aca="false">IF(V521="중복",0,N(D521))</f>
        <v>30</v>
      </c>
      <c r="X521" s="0" t="n">
        <f aca="false">IF(COUNTIFS($A$2:A521,A521,$C$2:C521,C521)=1,ABS(SUMIFS(RAW_발주!$D:$D,RAW_발주!$C:$C,A521,RAW_발주!$A:$A,C521)-SUMIFS($W:$W,$A:$A,A521,$C:$C,C521)),0)</f>
        <v>0</v>
      </c>
    </row>
    <row r="522" customFormat="false" ht="15" hidden="false" customHeight="true" outlineLevel="0" collapsed="false">
      <c r="A522" s="45" t="s">
        <v>1661</v>
      </c>
      <c r="B522" s="42" t="str">
        <f aca="false">IF(A522="100","HK",IF(A522="200","CN",IF(A522="300","TW","홀세일")))</f>
        <v>TW</v>
      </c>
      <c r="C522" s="45" t="s">
        <v>324</v>
      </c>
      <c r="D522" s="46" t="n">
        <v>150</v>
      </c>
      <c r="E522" s="46" t="n">
        <v>119000</v>
      </c>
      <c r="F522" s="46" t="n">
        <v>25500</v>
      </c>
      <c r="G522" s="42" t="n">
        <v>3.91</v>
      </c>
      <c r="H522" s="42" t="n">
        <v>29.8</v>
      </c>
      <c r="J522" s="46" t="n">
        <f aca="false">IF(N(E522)&gt;0,E522,IF(N(F522)&gt;0,F522*요약!$F$27,0))</f>
        <v>119000</v>
      </c>
      <c r="K522" s="46" t="n">
        <f aca="false">IF(N(F522)&gt;0,F522,IF(N(E522)&gt;0,E522/요약!$F$27,0))</f>
        <v>25500</v>
      </c>
      <c r="L522" s="46" t="n">
        <f aca="false">IF(B522="CN",IF(N(I522)&gt;0,I522*요약!$G$27,K522*(1+요약!$E$27)),IF(N(H522)&gt;0,H522*요약!$G$27,J522*요약!$D$27))</f>
        <v>39336</v>
      </c>
      <c r="M522" s="46" t="n">
        <f aca="false">D522*J522</f>
        <v>17850000</v>
      </c>
      <c r="N522" s="46" t="n">
        <f aca="false">D522*K522</f>
        <v>3825000</v>
      </c>
      <c r="O522" s="46" t="n">
        <f aca="false">D522*L522</f>
        <v>5900400</v>
      </c>
      <c r="P522" s="42" t="str">
        <f aca="false">TRIM(IF(N(E522)&lt;=0,"택가보정 ","")&amp;IF(N(F522)&lt;=0,"원가보정 ","")&amp;IF(AND(B522&lt;&gt;"CN",N(H522)&lt;=0),"공급가보정 ","")&amp;IF(AND(B522="CN",N(I522)&lt;=0),"중국공급가=원가+마진 ",""))</f>
        <v/>
      </c>
      <c r="Q522" s="47" t="n">
        <f aca="false">IF(SUMIFS($W:$W,$A:$A,A522,$C:$C,C522)=0,0,SUMIFS(RAW_판매펀칭!$K:$K,RAW_판매펀칭!$P:$P,A522,RAW_판매펀칭!$I:$I,C522)*W522/SUMIFS($W:$W,$A:$A,A522,$C:$C,C522))</f>
        <v>150</v>
      </c>
      <c r="R522" s="47" t="n">
        <f aca="false">IF(OR(A522="500",A522="800",A522="810"),0,MAX(W522-Q522,0))</f>
        <v>0</v>
      </c>
      <c r="S522" s="47" t="n">
        <f aca="false">R522*L522</f>
        <v>0</v>
      </c>
      <c r="T522" s="47" t="n">
        <f aca="false">R522*J522</f>
        <v>0</v>
      </c>
      <c r="U522" s="47" t="n">
        <f aca="false">R522*K522</f>
        <v>0</v>
      </c>
      <c r="V522" s="0" t="str">
        <f aca="false">IF(COUNTIFS($A$2:A522,A522,$C$2:C522,C522,$D$2:D522,D522)&gt;1,"중복","")</f>
        <v/>
      </c>
      <c r="W522" s="0" t="n">
        <f aca="false">IF(V522="중복",0,N(D522))</f>
        <v>150</v>
      </c>
      <c r="X522" s="0" t="n">
        <f aca="false">IF(COUNTIFS($A$2:A522,A522,$C$2:C522,C522)=1,ABS(SUMIFS(RAW_발주!$D:$D,RAW_발주!$C:$C,A522,RAW_발주!$A:$A,C522)-SUMIFS($W:$W,$A:$A,A522,$C:$C,C522)),0)</f>
        <v>0</v>
      </c>
    </row>
    <row r="523" customFormat="false" ht="15" hidden="false" customHeight="true" outlineLevel="0" collapsed="false">
      <c r="A523" s="45" t="s">
        <v>1659</v>
      </c>
      <c r="B523" s="42" t="str">
        <f aca="false">IF(A523="100","HK",IF(A523="200","CN",IF(A523="300","TW","홀세일")))</f>
        <v>HK</v>
      </c>
      <c r="C523" s="45" t="s">
        <v>326</v>
      </c>
      <c r="D523" s="46" t="n">
        <v>300</v>
      </c>
      <c r="E523" s="46" t="n">
        <v>79000</v>
      </c>
      <c r="F523" s="46" t="n">
        <v>18398</v>
      </c>
      <c r="G523" s="42" t="n">
        <v>3.59</v>
      </c>
      <c r="H523" s="42" t="n">
        <v>19.8</v>
      </c>
      <c r="J523" s="46" t="n">
        <f aca="false">IF(N(E523)&gt;0,E523,IF(N(F523)&gt;0,F523*요약!$F$27,0))</f>
        <v>79000</v>
      </c>
      <c r="K523" s="46" t="n">
        <f aca="false">IF(N(F523)&gt;0,F523,IF(N(E523)&gt;0,E523/요약!$F$27,0))</f>
        <v>18398</v>
      </c>
      <c r="L523" s="46" t="n">
        <f aca="false">IF(B523="CN",IF(N(I523)&gt;0,I523*요약!$G$27,K523*(1+요약!$E$27)),IF(N(H523)&gt;0,H523*요약!$G$27,J523*요약!$D$27))</f>
        <v>26136</v>
      </c>
      <c r="M523" s="46" t="n">
        <f aca="false">D523*J523</f>
        <v>23700000</v>
      </c>
      <c r="N523" s="46" t="n">
        <f aca="false">D523*K523</f>
        <v>5519400</v>
      </c>
      <c r="O523" s="46" t="n">
        <f aca="false">D523*L523</f>
        <v>7840800</v>
      </c>
      <c r="P523" s="42" t="str">
        <f aca="false">TRIM(IF(N(E523)&lt;=0,"택가보정 ","")&amp;IF(N(F523)&lt;=0,"원가보정 ","")&amp;IF(AND(B523&lt;&gt;"CN",N(H523)&lt;=0),"공급가보정 ","")&amp;IF(AND(B523="CN",N(I523)&lt;=0),"중국공급가=원가+마진 ",""))</f>
        <v/>
      </c>
      <c r="Q523" s="47" t="n">
        <f aca="false">IF(SUMIFS($W:$W,$A:$A,A523,$C:$C,C523)=0,0,SUMIFS(RAW_판매펀칭!$K:$K,RAW_판매펀칭!$P:$P,A523,RAW_판매펀칭!$I:$I,C523)*W523/SUMIFS($W:$W,$A:$A,A523,$C:$C,C523))</f>
        <v>295</v>
      </c>
      <c r="R523" s="47" t="n">
        <f aca="false">IF(OR(A523="500",A523="800",A523="810"),0,MAX(W523-Q523,0))</f>
        <v>5</v>
      </c>
      <c r="S523" s="47" t="n">
        <f aca="false">R523*L523</f>
        <v>130680</v>
      </c>
      <c r="T523" s="47" t="n">
        <f aca="false">R523*J523</f>
        <v>395000</v>
      </c>
      <c r="U523" s="47" t="n">
        <f aca="false">R523*K523</f>
        <v>91990</v>
      </c>
      <c r="V523" s="0" t="str">
        <f aca="false">IF(COUNTIFS($A$2:A523,A523,$C$2:C523,C523,$D$2:D523,D523)&gt;1,"중복","")</f>
        <v/>
      </c>
      <c r="W523" s="0" t="n">
        <f aca="false">IF(V523="중복",0,N(D523))</f>
        <v>300</v>
      </c>
      <c r="X523" s="0" t="n">
        <f aca="false">IF(COUNTIFS($A$2:A523,A523,$C$2:C523,C523)=1,ABS(SUMIFS(RAW_발주!$D:$D,RAW_발주!$C:$C,A523,RAW_발주!$A:$A,C523)-SUMIFS($W:$W,$A:$A,A523,$C:$C,C523)),0)</f>
        <v>0</v>
      </c>
    </row>
    <row r="524" customFormat="false" ht="15.75" hidden="false" customHeight="true" outlineLevel="0" collapsed="false">
      <c r="A524" s="45" t="s">
        <v>1660</v>
      </c>
      <c r="B524" s="42" t="str">
        <f aca="false">IF(A524="100","HK",IF(A524="200","CN",IF(A524="300","TW","홀세일")))</f>
        <v>CN</v>
      </c>
      <c r="C524" s="45" t="s">
        <v>326</v>
      </c>
      <c r="D524" s="46" t="n">
        <v>453</v>
      </c>
      <c r="E524" s="46" t="n">
        <v>79000</v>
      </c>
      <c r="F524" s="46" t="n">
        <v>18398</v>
      </c>
      <c r="G524" s="42" t="n">
        <v>3.59</v>
      </c>
      <c r="H524" s="42" t="n">
        <v>19.8</v>
      </c>
      <c r="J524" s="46" t="n">
        <f aca="false">IF(N(E524)&gt;0,E524,IF(N(F524)&gt;0,F524*요약!$F$27,0))</f>
        <v>79000</v>
      </c>
      <c r="K524" s="46" t="n">
        <f aca="false">IF(N(F524)&gt;0,F524,IF(N(E524)&gt;0,E524/요약!$F$27,0))</f>
        <v>18398</v>
      </c>
      <c r="L524" s="46" t="n">
        <f aca="false">IF(B524="CN",IF(N(I524)&gt;0,I524*요약!$G$27,K524*(1+요약!$E$27)),IF(N(H524)&gt;0,H524*요약!$G$27,J524*요약!$D$27))</f>
        <v>19317.9</v>
      </c>
      <c r="M524" s="46" t="n">
        <f aca="false">D524*J524</f>
        <v>35787000</v>
      </c>
      <c r="N524" s="46" t="n">
        <f aca="false">D524*K524</f>
        <v>8334294</v>
      </c>
      <c r="O524" s="46" t="n">
        <f aca="false">D524*L524</f>
        <v>8751008.7</v>
      </c>
      <c r="P524" s="42" t="str">
        <f aca="false">TRIM(IF(N(E524)&lt;=0,"택가보정 ","")&amp;IF(N(F524)&lt;=0,"원가보정 ","")&amp;IF(AND(B524&lt;&gt;"CN",N(H524)&lt;=0),"공급가보정 ","")&amp;IF(AND(B524="CN",N(I524)&lt;=0),"중국공급가=원가+마진 ",""))</f>
        <v>중국공급가=원가+마진</v>
      </c>
      <c r="Q524" s="47" t="n">
        <f aca="false">IF(SUMIFS($W:$W,$A:$A,A524,$C:$C,C524)=0,0,SUMIFS(RAW_판매펀칭!$K:$K,RAW_판매펀칭!$P:$P,A524,RAW_판매펀칭!$I:$I,C524)*W524/SUMIFS($W:$W,$A:$A,A524,$C:$C,C524))</f>
        <v>453</v>
      </c>
      <c r="R524" s="47" t="n">
        <f aca="false">IF(OR(A524="500",A524="800",A524="810"),0,MAX(W524-Q524,0))</f>
        <v>0</v>
      </c>
      <c r="S524" s="47" t="n">
        <f aca="false">R524*L524</f>
        <v>0</v>
      </c>
      <c r="T524" s="47" t="n">
        <f aca="false">R524*J524</f>
        <v>0</v>
      </c>
      <c r="U524" s="47" t="n">
        <f aca="false">R524*K524</f>
        <v>0</v>
      </c>
      <c r="V524" s="0" t="str">
        <f aca="false">IF(COUNTIFS($A$2:A524,A524,$C$2:C524,C524,$D$2:D524,D524)&gt;1,"중복","")</f>
        <v/>
      </c>
      <c r="W524" s="0" t="n">
        <f aca="false">IF(V524="중복",0,N(D524))</f>
        <v>453</v>
      </c>
      <c r="X524" s="0" t="n">
        <f aca="false">IF(COUNTIFS($A$2:A524,A524,$C$2:C524,C524)=1,ABS(SUMIFS(RAW_발주!$D:$D,RAW_발주!$C:$C,A524,RAW_발주!$A:$A,C524)-SUMIFS($W:$W,$A:$A,A524,$C:$C,C524)),0)</f>
        <v>0</v>
      </c>
    </row>
    <row r="525" customFormat="false" ht="15" hidden="false" customHeight="true" outlineLevel="0" collapsed="false">
      <c r="A525" s="45" t="s">
        <v>1661</v>
      </c>
      <c r="B525" s="42" t="str">
        <f aca="false">IF(A525="100","HK",IF(A525="200","CN",IF(A525="300","TW","홀세일")))</f>
        <v>TW</v>
      </c>
      <c r="C525" s="45" t="s">
        <v>326</v>
      </c>
      <c r="D525" s="46" t="n">
        <v>150</v>
      </c>
      <c r="E525" s="46" t="n">
        <v>79000</v>
      </c>
      <c r="F525" s="46" t="n">
        <v>18398</v>
      </c>
      <c r="G525" s="42" t="n">
        <v>3.59</v>
      </c>
      <c r="H525" s="42" t="n">
        <v>19.8</v>
      </c>
      <c r="J525" s="46" t="n">
        <f aca="false">IF(N(E525)&gt;0,E525,IF(N(F525)&gt;0,F525*요약!$F$27,0))</f>
        <v>79000</v>
      </c>
      <c r="K525" s="46" t="n">
        <f aca="false">IF(N(F525)&gt;0,F525,IF(N(E525)&gt;0,E525/요약!$F$27,0))</f>
        <v>18398</v>
      </c>
      <c r="L525" s="46" t="n">
        <f aca="false">IF(B525="CN",IF(N(I525)&gt;0,I525*요약!$G$27,K525*(1+요약!$E$27)),IF(N(H525)&gt;0,H525*요약!$G$27,J525*요약!$D$27))</f>
        <v>26136</v>
      </c>
      <c r="M525" s="46" t="n">
        <f aca="false">D525*J525</f>
        <v>11850000</v>
      </c>
      <c r="N525" s="46" t="n">
        <f aca="false">D525*K525</f>
        <v>2759700</v>
      </c>
      <c r="O525" s="46" t="n">
        <f aca="false">D525*L525</f>
        <v>3920400</v>
      </c>
      <c r="P525" s="42" t="str">
        <f aca="false">TRIM(IF(N(E525)&lt;=0,"택가보정 ","")&amp;IF(N(F525)&lt;=0,"원가보정 ","")&amp;IF(AND(B525&lt;&gt;"CN",N(H525)&lt;=0),"공급가보정 ","")&amp;IF(AND(B525="CN",N(I525)&lt;=0),"중국공급가=원가+마진 ",""))</f>
        <v/>
      </c>
      <c r="Q525" s="47" t="n">
        <f aca="false">IF(SUMIFS($W:$W,$A:$A,A525,$C:$C,C525)=0,0,SUMIFS(RAW_판매펀칭!$K:$K,RAW_판매펀칭!$P:$P,A525,RAW_판매펀칭!$I:$I,C525)*W525/SUMIFS($W:$W,$A:$A,A525,$C:$C,C525))</f>
        <v>150</v>
      </c>
      <c r="R525" s="47" t="n">
        <f aca="false">IF(OR(A525="500",A525="800",A525="810"),0,MAX(W525-Q525,0))</f>
        <v>0</v>
      </c>
      <c r="S525" s="47" t="n">
        <f aca="false">R525*L525</f>
        <v>0</v>
      </c>
      <c r="T525" s="47" t="n">
        <f aca="false">R525*J525</f>
        <v>0</v>
      </c>
      <c r="U525" s="47" t="n">
        <f aca="false">R525*K525</f>
        <v>0</v>
      </c>
      <c r="V525" s="0" t="str">
        <f aca="false">IF(COUNTIFS($A$2:A525,A525,$C$2:C525,C525,$D$2:D525,D525)&gt;1,"중복","")</f>
        <v/>
      </c>
      <c r="W525" s="0" t="n">
        <f aca="false">IF(V525="중복",0,N(D525))</f>
        <v>150</v>
      </c>
      <c r="X525" s="0" t="n">
        <f aca="false">IF(COUNTIFS($A$2:A525,A525,$C$2:C525,C525)=1,ABS(SUMIFS(RAW_발주!$D:$D,RAW_발주!$C:$C,A525,RAW_발주!$A:$A,C525)-SUMIFS($W:$W,$A:$A,A525,$C:$C,C525)),0)</f>
        <v>0</v>
      </c>
    </row>
    <row r="526" customFormat="false" ht="15" hidden="false" customHeight="true" outlineLevel="0" collapsed="false">
      <c r="A526" s="45" t="s">
        <v>1663</v>
      </c>
      <c r="B526" s="42" t="str">
        <f aca="false">IF(A526="100","HK",IF(A526="200","CN",IF(A526="300","TW","홀세일")))</f>
        <v>홀세일</v>
      </c>
      <c r="C526" s="45" t="s">
        <v>326</v>
      </c>
      <c r="D526" s="46" t="n">
        <v>35</v>
      </c>
      <c r="E526" s="46" t="n">
        <v>79000</v>
      </c>
      <c r="F526" s="46" t="n">
        <v>18398</v>
      </c>
      <c r="G526" s="42" t="n">
        <v>3.59</v>
      </c>
      <c r="H526" s="42" t="n">
        <v>19.8</v>
      </c>
      <c r="J526" s="46" t="n">
        <f aca="false">IF(N(E526)&gt;0,E526,IF(N(F526)&gt;0,F526*요약!$F$27,0))</f>
        <v>79000</v>
      </c>
      <c r="K526" s="46" t="n">
        <f aca="false">IF(N(F526)&gt;0,F526,IF(N(E526)&gt;0,E526/요약!$F$27,0))</f>
        <v>18398</v>
      </c>
      <c r="L526" s="46" t="n">
        <f aca="false">IF(B526="CN",IF(N(I526)&gt;0,I526*요약!$G$27,K526*(1+요약!$E$27)),IF(N(H526)&gt;0,H526*요약!$G$27,J526*요약!$D$27))</f>
        <v>26136</v>
      </c>
      <c r="M526" s="46" t="n">
        <f aca="false">D526*J526</f>
        <v>2765000</v>
      </c>
      <c r="N526" s="46" t="n">
        <f aca="false">D526*K526</f>
        <v>643930</v>
      </c>
      <c r="O526" s="46" t="n">
        <f aca="false">D526*L526</f>
        <v>914760</v>
      </c>
      <c r="P526" s="42" t="str">
        <f aca="false">TRIM(IF(N(E526)&lt;=0,"택가보정 ","")&amp;IF(N(F526)&lt;=0,"원가보정 ","")&amp;IF(AND(B526&lt;&gt;"CN",N(H526)&lt;=0),"공급가보정 ","")&amp;IF(AND(B526="CN",N(I526)&lt;=0),"중국공급가=원가+마진 ",""))</f>
        <v/>
      </c>
      <c r="Q526" s="47" t="n">
        <f aca="false">IF(SUMIFS($W:$W,$A:$A,A526,$C:$C,C526)=0,0,SUMIFS(RAW_판매펀칭!$K:$K,RAW_판매펀칭!$P:$P,A526,RAW_판매펀칭!$I:$I,C526)*W526/SUMIFS($W:$W,$A:$A,A526,$C:$C,C526))</f>
        <v>35</v>
      </c>
      <c r="R526" s="47" t="n">
        <f aca="false">IF(OR(A526="500",A526="800",A526="810"),0,MAX(W526-Q526,0))</f>
        <v>0</v>
      </c>
      <c r="S526" s="47" t="n">
        <f aca="false">R526*L526</f>
        <v>0</v>
      </c>
      <c r="T526" s="47" t="n">
        <f aca="false">R526*J526</f>
        <v>0</v>
      </c>
      <c r="U526" s="47" t="n">
        <f aca="false">R526*K526</f>
        <v>0</v>
      </c>
      <c r="V526" s="0" t="str">
        <f aca="false">IF(COUNTIFS($A$2:A526,A526,$C$2:C526,C526,$D$2:D526,D526)&gt;1,"중복","")</f>
        <v/>
      </c>
      <c r="W526" s="0" t="n">
        <f aca="false">IF(V526="중복",0,N(D526))</f>
        <v>35</v>
      </c>
      <c r="X526" s="0" t="n">
        <f aca="false">IF(COUNTIFS($A$2:A526,A526,$C$2:C526,C526)=1,ABS(SUMIFS(RAW_발주!$D:$D,RAW_발주!$C:$C,A526,RAW_발주!$A:$A,C526)-SUMIFS($W:$W,$A:$A,A526,$C:$C,C526)),0)</f>
        <v>0</v>
      </c>
    </row>
    <row r="527" customFormat="false" ht="15" hidden="false" customHeight="true" outlineLevel="0" collapsed="false">
      <c r="A527" s="45" t="s">
        <v>1664</v>
      </c>
      <c r="B527" s="42" t="str">
        <f aca="false">IF(A527="100","HK",IF(A527="200","CN",IF(A527="300","TW","홀세일")))</f>
        <v>홀세일</v>
      </c>
      <c r="C527" s="45" t="s">
        <v>326</v>
      </c>
      <c r="D527" s="46" t="n">
        <v>60</v>
      </c>
      <c r="E527" s="46" t="n">
        <v>79000</v>
      </c>
      <c r="F527" s="46" t="n">
        <v>18398</v>
      </c>
      <c r="G527" s="42" t="n">
        <v>3.59</v>
      </c>
      <c r="H527" s="42" t="n">
        <v>19.8</v>
      </c>
      <c r="J527" s="46" t="n">
        <f aca="false">IF(N(E527)&gt;0,E527,IF(N(F527)&gt;0,F527*요약!$F$27,0))</f>
        <v>79000</v>
      </c>
      <c r="K527" s="46" t="n">
        <f aca="false">IF(N(F527)&gt;0,F527,IF(N(E527)&gt;0,E527/요약!$F$27,0))</f>
        <v>18398</v>
      </c>
      <c r="L527" s="46" t="n">
        <f aca="false">IF(B527="CN",IF(N(I527)&gt;0,I527*요약!$G$27,K527*(1+요약!$E$27)),IF(N(H527)&gt;0,H527*요약!$G$27,J527*요약!$D$27))</f>
        <v>26136</v>
      </c>
      <c r="M527" s="46" t="n">
        <f aca="false">D527*J527</f>
        <v>4740000</v>
      </c>
      <c r="N527" s="46" t="n">
        <f aca="false">D527*K527</f>
        <v>1103880</v>
      </c>
      <c r="O527" s="46" t="n">
        <f aca="false">D527*L527</f>
        <v>1568160</v>
      </c>
      <c r="P527" s="42" t="str">
        <f aca="false">TRIM(IF(N(E527)&lt;=0,"택가보정 ","")&amp;IF(N(F527)&lt;=0,"원가보정 ","")&amp;IF(AND(B527&lt;&gt;"CN",N(H527)&lt;=0),"공급가보정 ","")&amp;IF(AND(B527="CN",N(I527)&lt;=0),"중국공급가=원가+마진 ",""))</f>
        <v/>
      </c>
      <c r="Q527" s="47" t="n">
        <f aca="false">IF(SUMIFS($W:$W,$A:$A,A527,$C:$C,C527)=0,0,SUMIFS(RAW_판매펀칭!$K:$K,RAW_판매펀칭!$P:$P,A527,RAW_판매펀칭!$I:$I,C527)*W527/SUMIFS($W:$W,$A:$A,A527,$C:$C,C527))</f>
        <v>0</v>
      </c>
      <c r="R527" s="47" t="n">
        <f aca="false">IF(OR(A527="500",A527="800",A527="810"),0,MAX(W527-Q527,0))</f>
        <v>0</v>
      </c>
      <c r="S527" s="47" t="n">
        <f aca="false">R527*L527</f>
        <v>0</v>
      </c>
      <c r="T527" s="47" t="n">
        <f aca="false">R527*J527</f>
        <v>0</v>
      </c>
      <c r="U527" s="47" t="n">
        <f aca="false">R527*K527</f>
        <v>0</v>
      </c>
      <c r="V527" s="0" t="str">
        <f aca="false">IF(COUNTIFS($A$2:A527,A527,$C$2:C527,C527,$D$2:D527,D527)&gt;1,"중복","")</f>
        <v/>
      </c>
      <c r="W527" s="0" t="n">
        <f aca="false">IF(V527="중복",0,N(D527))</f>
        <v>60</v>
      </c>
      <c r="X527" s="0" t="n">
        <f aca="false">IF(COUNTIFS($A$2:A527,A527,$C$2:C527,C527)=1,ABS(SUMIFS(RAW_발주!$D:$D,RAW_발주!$C:$C,A527,RAW_발주!$A:$A,C527)-SUMIFS($W:$W,$A:$A,A527,$C:$C,C527)),0)</f>
        <v>0</v>
      </c>
    </row>
    <row r="528" customFormat="false" ht="15" hidden="false" customHeight="true" outlineLevel="0" collapsed="false">
      <c r="A528" s="45" t="s">
        <v>1659</v>
      </c>
      <c r="B528" s="42" t="str">
        <f aca="false">IF(A528="100","HK",IF(A528="200","CN",IF(A528="300","TW","홀세일")))</f>
        <v>HK</v>
      </c>
      <c r="C528" s="45" t="s">
        <v>838</v>
      </c>
      <c r="D528" s="46" t="n">
        <v>180</v>
      </c>
      <c r="E528" s="46" t="n">
        <v>89000</v>
      </c>
      <c r="F528" s="46" t="n">
        <v>22900</v>
      </c>
      <c r="G528" s="42" t="n">
        <v>3.55</v>
      </c>
      <c r="H528" s="42" t="n">
        <v>22.3</v>
      </c>
      <c r="J528" s="46" t="n">
        <f aca="false">IF(N(E528)&gt;0,E528,IF(N(F528)&gt;0,F528*요약!$F$27,0))</f>
        <v>89000</v>
      </c>
      <c r="K528" s="46" t="n">
        <f aca="false">IF(N(F528)&gt;0,F528,IF(N(E528)&gt;0,E528/요약!$F$27,0))</f>
        <v>22900</v>
      </c>
      <c r="L528" s="46" t="n">
        <f aca="false">IF(B528="CN",IF(N(I528)&gt;0,I528*요약!$G$27,K528*(1+요약!$E$27)),IF(N(H528)&gt;0,H528*요약!$G$27,J528*요약!$D$27))</f>
        <v>29436</v>
      </c>
      <c r="M528" s="46" t="n">
        <f aca="false">D528*J528</f>
        <v>16020000</v>
      </c>
      <c r="N528" s="46" t="n">
        <f aca="false">D528*K528</f>
        <v>4122000</v>
      </c>
      <c r="O528" s="46" t="n">
        <f aca="false">D528*L528</f>
        <v>5298480</v>
      </c>
      <c r="P528" s="42" t="str">
        <f aca="false">TRIM(IF(N(E528)&lt;=0,"택가보정 ","")&amp;IF(N(F528)&lt;=0,"원가보정 ","")&amp;IF(AND(B528&lt;&gt;"CN",N(H528)&lt;=0),"공급가보정 ","")&amp;IF(AND(B528="CN",N(I528)&lt;=0),"중국공급가=원가+마진 ",""))</f>
        <v/>
      </c>
      <c r="Q528" s="47" t="n">
        <f aca="false">IF(SUMIFS($W:$W,$A:$A,A528,$C:$C,C528)=0,0,SUMIFS(RAW_판매펀칭!$K:$K,RAW_판매펀칭!$P:$P,A528,RAW_판매펀칭!$I:$I,C528)*W528/SUMIFS($W:$W,$A:$A,A528,$C:$C,C528))</f>
        <v>180</v>
      </c>
      <c r="R528" s="47" t="n">
        <f aca="false">IF(OR(A528="500",A528="800",A528="810"),0,MAX(W528-Q528,0))</f>
        <v>0</v>
      </c>
      <c r="S528" s="47" t="n">
        <f aca="false">R528*L528</f>
        <v>0</v>
      </c>
      <c r="T528" s="47" t="n">
        <f aca="false">R528*J528</f>
        <v>0</v>
      </c>
      <c r="U528" s="47" t="n">
        <f aca="false">R528*K528</f>
        <v>0</v>
      </c>
      <c r="V528" s="0" t="str">
        <f aca="false">IF(COUNTIFS($A$2:A528,A528,$C$2:C528,C528,$D$2:D528,D528)&gt;1,"중복","")</f>
        <v/>
      </c>
      <c r="W528" s="0" t="n">
        <f aca="false">IF(V528="중복",0,N(D528))</f>
        <v>180</v>
      </c>
      <c r="X528" s="0" t="n">
        <f aca="false">IF(COUNTIFS($A$2:A528,A528,$C$2:C528,C528)=1,ABS(SUMIFS(RAW_발주!$D:$D,RAW_발주!$C:$C,A528,RAW_발주!$A:$A,C528)-SUMIFS($W:$W,$A:$A,A528,$C:$C,C528)),0)</f>
        <v>0</v>
      </c>
    </row>
    <row r="529" customFormat="false" ht="15" hidden="false" customHeight="true" outlineLevel="0" collapsed="false">
      <c r="A529" s="45" t="s">
        <v>1663</v>
      </c>
      <c r="B529" s="42" t="str">
        <f aca="false">IF(A529="100","HK",IF(A529="200","CN",IF(A529="300","TW","홀세일")))</f>
        <v>홀세일</v>
      </c>
      <c r="C529" s="45" t="s">
        <v>838</v>
      </c>
      <c r="D529" s="46" t="n">
        <v>20</v>
      </c>
      <c r="E529" s="46" t="n">
        <v>89000</v>
      </c>
      <c r="F529" s="46" t="n">
        <v>22900</v>
      </c>
      <c r="G529" s="42" t="n">
        <v>3.55</v>
      </c>
      <c r="H529" s="42" t="n">
        <v>22.3</v>
      </c>
      <c r="J529" s="46" t="n">
        <f aca="false">IF(N(E529)&gt;0,E529,IF(N(F529)&gt;0,F529*요약!$F$27,0))</f>
        <v>89000</v>
      </c>
      <c r="K529" s="46" t="n">
        <f aca="false">IF(N(F529)&gt;0,F529,IF(N(E529)&gt;0,E529/요약!$F$27,0))</f>
        <v>22900</v>
      </c>
      <c r="L529" s="46" t="n">
        <f aca="false">IF(B529="CN",IF(N(I529)&gt;0,I529*요약!$G$27,K529*(1+요약!$E$27)),IF(N(H529)&gt;0,H529*요약!$G$27,J529*요약!$D$27))</f>
        <v>29436</v>
      </c>
      <c r="M529" s="46" t="n">
        <f aca="false">D529*J529</f>
        <v>1780000</v>
      </c>
      <c r="N529" s="46" t="n">
        <f aca="false">D529*K529</f>
        <v>458000</v>
      </c>
      <c r="O529" s="46" t="n">
        <f aca="false">D529*L529</f>
        <v>588720</v>
      </c>
      <c r="P529" s="42" t="str">
        <f aca="false">TRIM(IF(N(E529)&lt;=0,"택가보정 ","")&amp;IF(N(F529)&lt;=0,"원가보정 ","")&amp;IF(AND(B529&lt;&gt;"CN",N(H529)&lt;=0),"공급가보정 ","")&amp;IF(AND(B529="CN",N(I529)&lt;=0),"중국공급가=원가+마진 ",""))</f>
        <v/>
      </c>
      <c r="Q529" s="47" t="n">
        <f aca="false">IF(SUMIFS($W:$W,$A:$A,A529,$C:$C,C529)=0,0,SUMIFS(RAW_판매펀칭!$K:$K,RAW_판매펀칭!$P:$P,A529,RAW_판매펀칭!$I:$I,C529)*W529/SUMIFS($W:$W,$A:$A,A529,$C:$C,C529))</f>
        <v>20</v>
      </c>
      <c r="R529" s="47" t="n">
        <f aca="false">IF(OR(A529="500",A529="800",A529="810"),0,MAX(W529-Q529,0))</f>
        <v>0</v>
      </c>
      <c r="S529" s="47" t="n">
        <f aca="false">R529*L529</f>
        <v>0</v>
      </c>
      <c r="T529" s="47" t="n">
        <f aca="false">R529*J529</f>
        <v>0</v>
      </c>
      <c r="U529" s="47" t="n">
        <f aca="false">R529*K529</f>
        <v>0</v>
      </c>
      <c r="V529" s="0" t="str">
        <f aca="false">IF(COUNTIFS($A$2:A529,A529,$C$2:C529,C529,$D$2:D529,D529)&gt;1,"중복","")</f>
        <v/>
      </c>
      <c r="W529" s="0" t="n">
        <f aca="false">IF(V529="중복",0,N(D529))</f>
        <v>20</v>
      </c>
      <c r="X529" s="0" t="n">
        <f aca="false">IF(COUNTIFS($A$2:A529,A529,$C$2:C529,C529)=1,ABS(SUMIFS(RAW_발주!$D:$D,RAW_발주!$C:$C,A529,RAW_발주!$A:$A,C529)-SUMIFS($W:$W,$A:$A,A529,$C:$C,C529)),0)</f>
        <v>0</v>
      </c>
    </row>
    <row r="530" customFormat="false" ht="15" hidden="false" customHeight="true" outlineLevel="0" collapsed="false">
      <c r="A530" s="45" t="s">
        <v>1664</v>
      </c>
      <c r="B530" s="42" t="str">
        <f aca="false">IF(A530="100","HK",IF(A530="200","CN",IF(A530="300","TW","홀세일")))</f>
        <v>홀세일</v>
      </c>
      <c r="C530" s="45" t="s">
        <v>838</v>
      </c>
      <c r="D530" s="46" t="n">
        <v>30</v>
      </c>
      <c r="E530" s="46" t="n">
        <v>89000</v>
      </c>
      <c r="F530" s="46" t="n">
        <v>22900</v>
      </c>
      <c r="G530" s="42" t="n">
        <v>3.55</v>
      </c>
      <c r="H530" s="42" t="n">
        <v>22.3</v>
      </c>
      <c r="J530" s="46" t="n">
        <f aca="false">IF(N(E530)&gt;0,E530,IF(N(F530)&gt;0,F530*요약!$F$27,0))</f>
        <v>89000</v>
      </c>
      <c r="K530" s="46" t="n">
        <f aca="false">IF(N(F530)&gt;0,F530,IF(N(E530)&gt;0,E530/요약!$F$27,0))</f>
        <v>22900</v>
      </c>
      <c r="L530" s="46" t="n">
        <f aca="false">IF(B530="CN",IF(N(I530)&gt;0,I530*요약!$G$27,K530*(1+요약!$E$27)),IF(N(H530)&gt;0,H530*요약!$G$27,J530*요약!$D$27))</f>
        <v>29436</v>
      </c>
      <c r="M530" s="46" t="n">
        <f aca="false">D530*J530</f>
        <v>2670000</v>
      </c>
      <c r="N530" s="46" t="n">
        <f aca="false">D530*K530</f>
        <v>687000</v>
      </c>
      <c r="O530" s="46" t="n">
        <f aca="false">D530*L530</f>
        <v>883080</v>
      </c>
      <c r="P530" s="42" t="str">
        <f aca="false">TRIM(IF(N(E530)&lt;=0,"택가보정 ","")&amp;IF(N(F530)&lt;=0,"원가보정 ","")&amp;IF(AND(B530&lt;&gt;"CN",N(H530)&lt;=0),"공급가보정 ","")&amp;IF(AND(B530="CN",N(I530)&lt;=0),"중국공급가=원가+마진 ",""))</f>
        <v/>
      </c>
      <c r="Q530" s="47" t="n">
        <f aca="false">IF(SUMIFS($W:$W,$A:$A,A530,$C:$C,C530)=0,0,SUMIFS(RAW_판매펀칭!$K:$K,RAW_판매펀칭!$P:$P,A530,RAW_판매펀칭!$I:$I,C530)*W530/SUMIFS($W:$W,$A:$A,A530,$C:$C,C530))</f>
        <v>0</v>
      </c>
      <c r="R530" s="47" t="n">
        <f aca="false">IF(OR(A530="500",A530="800",A530="810"),0,MAX(W530-Q530,0))</f>
        <v>0</v>
      </c>
      <c r="S530" s="47" t="n">
        <f aca="false">R530*L530</f>
        <v>0</v>
      </c>
      <c r="T530" s="47" t="n">
        <f aca="false">R530*J530</f>
        <v>0</v>
      </c>
      <c r="U530" s="47" t="n">
        <f aca="false">R530*K530</f>
        <v>0</v>
      </c>
      <c r="V530" s="0" t="str">
        <f aca="false">IF(COUNTIFS($A$2:A530,A530,$C$2:C530,C530,$D$2:D530,D530)&gt;1,"중복","")</f>
        <v/>
      </c>
      <c r="W530" s="0" t="n">
        <f aca="false">IF(V530="중복",0,N(D530))</f>
        <v>30</v>
      </c>
      <c r="X530" s="0" t="n">
        <f aca="false">IF(COUNTIFS($A$2:A530,A530,$C$2:C530,C530)=1,ABS(SUMIFS(RAW_발주!$D:$D,RAW_발주!$C:$C,A530,RAW_발주!$A:$A,C530)-SUMIFS($W:$W,$A:$A,A530,$C:$C,C530)),0)</f>
        <v>0</v>
      </c>
    </row>
    <row r="531" customFormat="false" ht="15" hidden="false" customHeight="true" outlineLevel="0" collapsed="false">
      <c r="A531" s="45" t="s">
        <v>1665</v>
      </c>
      <c r="B531" s="42" t="str">
        <f aca="false">IF(A531="100","HK",IF(A531="200","CN",IF(A531="300","TW","홀세일")))</f>
        <v>홀세일</v>
      </c>
      <c r="C531" s="45" t="s">
        <v>838</v>
      </c>
      <c r="D531" s="46" t="n">
        <v>192</v>
      </c>
      <c r="E531" s="46" t="n">
        <v>89000</v>
      </c>
      <c r="F531" s="46" t="n">
        <v>22900</v>
      </c>
      <c r="G531" s="42" t="n">
        <v>3.55</v>
      </c>
      <c r="H531" s="42" t="n">
        <v>22.3</v>
      </c>
      <c r="J531" s="46" t="n">
        <f aca="false">IF(N(E531)&gt;0,E531,IF(N(F531)&gt;0,F531*요약!$F$27,0))</f>
        <v>89000</v>
      </c>
      <c r="K531" s="46" t="n">
        <f aca="false">IF(N(F531)&gt;0,F531,IF(N(E531)&gt;0,E531/요약!$F$27,0))</f>
        <v>22900</v>
      </c>
      <c r="L531" s="46" t="n">
        <f aca="false">IF(B531="CN",IF(N(I531)&gt;0,I531*요약!$G$27,K531*(1+요약!$E$27)),IF(N(H531)&gt;0,H531*요약!$G$27,J531*요약!$D$27))</f>
        <v>29436</v>
      </c>
      <c r="M531" s="46" t="n">
        <f aca="false">D531*J531</f>
        <v>17088000</v>
      </c>
      <c r="N531" s="46" t="n">
        <f aca="false">D531*K531</f>
        <v>4396800</v>
      </c>
      <c r="O531" s="46" t="n">
        <f aca="false">D531*L531</f>
        <v>5651712</v>
      </c>
      <c r="P531" s="42" t="str">
        <f aca="false">TRIM(IF(N(E531)&lt;=0,"택가보정 ","")&amp;IF(N(F531)&lt;=0,"원가보정 ","")&amp;IF(AND(B531&lt;&gt;"CN",N(H531)&lt;=0),"공급가보정 ","")&amp;IF(AND(B531="CN",N(I531)&lt;=0),"중국공급가=원가+마진 ",""))</f>
        <v/>
      </c>
      <c r="Q531" s="47" t="n">
        <f aca="false">IF(SUMIFS($W:$W,$A:$A,A531,$C:$C,C531)=0,0,SUMIFS(RAW_판매펀칭!$K:$K,RAW_판매펀칭!$P:$P,A531,RAW_판매펀칭!$I:$I,C531)*W531/SUMIFS($W:$W,$A:$A,A531,$C:$C,C531))</f>
        <v>192</v>
      </c>
      <c r="R531" s="47" t="n">
        <f aca="false">IF(OR(A531="500",A531="800",A531="810"),0,MAX(W531-Q531,0))</f>
        <v>0</v>
      </c>
      <c r="S531" s="47" t="n">
        <f aca="false">R531*L531</f>
        <v>0</v>
      </c>
      <c r="T531" s="47" t="n">
        <f aca="false">R531*J531</f>
        <v>0</v>
      </c>
      <c r="U531" s="47" t="n">
        <f aca="false">R531*K531</f>
        <v>0</v>
      </c>
      <c r="V531" s="0" t="str">
        <f aca="false">IF(COUNTIFS($A$2:A531,A531,$C$2:C531,C531,$D$2:D531,D531)&gt;1,"중복","")</f>
        <v/>
      </c>
      <c r="W531" s="0" t="n">
        <f aca="false">IF(V531="중복",0,N(D531))</f>
        <v>192</v>
      </c>
      <c r="X531" s="0" t="n">
        <f aca="false">IF(COUNTIFS($A$2:A531,A531,$C$2:C531,C531)=1,ABS(SUMIFS(RAW_발주!$D:$D,RAW_발주!$C:$C,A531,RAW_발주!$A:$A,C531)-SUMIFS($W:$W,$A:$A,A531,$C:$C,C531)),0)</f>
        <v>0</v>
      </c>
    </row>
    <row r="532" customFormat="false" ht="15" hidden="false" customHeight="true" outlineLevel="0" collapsed="false">
      <c r="A532" s="45" t="s">
        <v>1661</v>
      </c>
      <c r="B532" s="42" t="str">
        <f aca="false">IF(A532="100","HK",IF(A532="200","CN",IF(A532="300","TW","홀세일")))</f>
        <v>TW</v>
      </c>
      <c r="C532" s="45" t="s">
        <v>328</v>
      </c>
      <c r="D532" s="46" t="n">
        <v>200</v>
      </c>
      <c r="E532" s="46" t="n">
        <v>89000</v>
      </c>
      <c r="F532" s="46" t="n">
        <v>15700</v>
      </c>
      <c r="G532" s="42" t="n">
        <v>4.96</v>
      </c>
      <c r="H532" s="42" t="n">
        <v>22.3</v>
      </c>
      <c r="J532" s="46" t="n">
        <f aca="false">IF(N(E532)&gt;0,E532,IF(N(F532)&gt;0,F532*요약!$F$27,0))</f>
        <v>89000</v>
      </c>
      <c r="K532" s="46" t="n">
        <f aca="false">IF(N(F532)&gt;0,F532,IF(N(E532)&gt;0,E532/요약!$F$27,0))</f>
        <v>15700</v>
      </c>
      <c r="L532" s="46" t="n">
        <f aca="false">IF(B532="CN",IF(N(I532)&gt;0,I532*요약!$G$27,K532*(1+요약!$E$27)),IF(N(H532)&gt;0,H532*요약!$G$27,J532*요약!$D$27))</f>
        <v>29436</v>
      </c>
      <c r="M532" s="46" t="n">
        <f aca="false">D532*J532</f>
        <v>17800000</v>
      </c>
      <c r="N532" s="46" t="n">
        <f aca="false">D532*K532</f>
        <v>3140000</v>
      </c>
      <c r="O532" s="46" t="n">
        <f aca="false">D532*L532</f>
        <v>5887200</v>
      </c>
      <c r="P532" s="42" t="str">
        <f aca="false">TRIM(IF(N(E532)&lt;=0,"택가보정 ","")&amp;IF(N(F532)&lt;=0,"원가보정 ","")&amp;IF(AND(B532&lt;&gt;"CN",N(H532)&lt;=0),"공급가보정 ","")&amp;IF(AND(B532="CN",N(I532)&lt;=0),"중국공급가=원가+마진 ",""))</f>
        <v/>
      </c>
      <c r="Q532" s="47" t="n">
        <f aca="false">IF(SUMIFS($W:$W,$A:$A,A532,$C:$C,C532)=0,0,SUMIFS(RAW_판매펀칭!$K:$K,RAW_판매펀칭!$P:$P,A532,RAW_판매펀칭!$I:$I,C532)*W532/SUMIFS($W:$W,$A:$A,A532,$C:$C,C532))</f>
        <v>200</v>
      </c>
      <c r="R532" s="47" t="n">
        <f aca="false">IF(OR(A532="500",A532="800",A532="810"),0,MAX(W532-Q532,0))</f>
        <v>0</v>
      </c>
      <c r="S532" s="47" t="n">
        <f aca="false">R532*L532</f>
        <v>0</v>
      </c>
      <c r="T532" s="47" t="n">
        <f aca="false">R532*J532</f>
        <v>0</v>
      </c>
      <c r="U532" s="47" t="n">
        <f aca="false">R532*K532</f>
        <v>0</v>
      </c>
      <c r="V532" s="0" t="str">
        <f aca="false">IF(COUNTIFS($A$2:A532,A532,$C$2:C532,C532,$D$2:D532,D532)&gt;1,"중복","")</f>
        <v/>
      </c>
      <c r="W532" s="0" t="n">
        <f aca="false">IF(V532="중복",0,N(D532))</f>
        <v>200</v>
      </c>
      <c r="X532" s="0" t="n">
        <f aca="false">IF(COUNTIFS($A$2:A532,A532,$C$2:C532,C532)=1,ABS(SUMIFS(RAW_발주!$D:$D,RAW_발주!$C:$C,A532,RAW_발주!$A:$A,C532)-SUMIFS($W:$W,$A:$A,A532,$C:$C,C532)),0)</f>
        <v>0</v>
      </c>
    </row>
    <row r="533" customFormat="false" ht="15" hidden="false" customHeight="true" outlineLevel="0" collapsed="false">
      <c r="A533" s="45" t="s">
        <v>1659</v>
      </c>
      <c r="B533" s="42" t="str">
        <f aca="false">IF(A533="100","HK",IF(A533="200","CN",IF(A533="300","TW","홀세일")))</f>
        <v>HK</v>
      </c>
      <c r="C533" s="45" t="s">
        <v>330</v>
      </c>
      <c r="D533" s="46" t="n">
        <v>200</v>
      </c>
      <c r="E533" s="46" t="n">
        <v>139000</v>
      </c>
      <c r="F533" s="46" t="n">
        <v>30125</v>
      </c>
      <c r="G533" s="42" t="n">
        <v>4.31</v>
      </c>
      <c r="H533" s="42" t="n">
        <v>34.8</v>
      </c>
      <c r="J533" s="46" t="n">
        <f aca="false">IF(N(E533)&gt;0,E533,IF(N(F533)&gt;0,F533*요약!$F$27,0))</f>
        <v>139000</v>
      </c>
      <c r="K533" s="46" t="n">
        <f aca="false">IF(N(F533)&gt;0,F533,IF(N(E533)&gt;0,E533/요약!$F$27,0))</f>
        <v>30125</v>
      </c>
      <c r="L533" s="46" t="n">
        <f aca="false">IF(B533="CN",IF(N(I533)&gt;0,I533*요약!$G$27,K533*(1+요약!$E$27)),IF(N(H533)&gt;0,H533*요약!$G$27,J533*요약!$D$27))</f>
        <v>45936</v>
      </c>
      <c r="M533" s="46" t="n">
        <f aca="false">D533*J533</f>
        <v>27800000</v>
      </c>
      <c r="N533" s="46" t="n">
        <f aca="false">D533*K533</f>
        <v>6025000</v>
      </c>
      <c r="O533" s="46" t="n">
        <f aca="false">D533*L533</f>
        <v>9187200</v>
      </c>
      <c r="P533" s="42" t="str">
        <f aca="false">TRIM(IF(N(E533)&lt;=0,"택가보정 ","")&amp;IF(N(F533)&lt;=0,"원가보정 ","")&amp;IF(AND(B533&lt;&gt;"CN",N(H533)&lt;=0),"공급가보정 ","")&amp;IF(AND(B533="CN",N(I533)&lt;=0),"중국공급가=원가+마진 ",""))</f>
        <v/>
      </c>
      <c r="Q533" s="47" t="n">
        <f aca="false">IF(SUMIFS($W:$W,$A:$A,A533,$C:$C,C533)=0,0,SUMIFS(RAW_판매펀칭!$K:$K,RAW_판매펀칭!$P:$P,A533,RAW_판매펀칭!$I:$I,C533)*W533/SUMIFS($W:$W,$A:$A,A533,$C:$C,C533))</f>
        <v>200</v>
      </c>
      <c r="R533" s="47" t="n">
        <f aca="false">IF(OR(A533="500",A533="800",A533="810"),0,MAX(W533-Q533,0))</f>
        <v>0</v>
      </c>
      <c r="S533" s="47" t="n">
        <f aca="false">R533*L533</f>
        <v>0</v>
      </c>
      <c r="T533" s="47" t="n">
        <f aca="false">R533*J533</f>
        <v>0</v>
      </c>
      <c r="U533" s="47" t="n">
        <f aca="false">R533*K533</f>
        <v>0</v>
      </c>
      <c r="V533" s="0" t="str">
        <f aca="false">IF(COUNTIFS($A$2:A533,A533,$C$2:C533,C533,$D$2:D533,D533)&gt;1,"중복","")</f>
        <v/>
      </c>
      <c r="W533" s="0" t="n">
        <f aca="false">IF(V533="중복",0,N(D533))</f>
        <v>200</v>
      </c>
      <c r="X533" s="0" t="n">
        <f aca="false">IF(COUNTIFS($A$2:A533,A533,$C$2:C533,C533)=1,ABS(SUMIFS(RAW_발주!$D:$D,RAW_발주!$C:$C,A533,RAW_발주!$A:$A,C533)-SUMIFS($W:$W,$A:$A,A533,$C:$C,C533)),0)</f>
        <v>0</v>
      </c>
    </row>
    <row r="534" customFormat="false" ht="15" hidden="false" customHeight="true" outlineLevel="0" collapsed="false">
      <c r="A534" s="45" t="s">
        <v>1661</v>
      </c>
      <c r="B534" s="42" t="str">
        <f aca="false">IF(A534="100","HK",IF(A534="200","CN",IF(A534="300","TW","홀세일")))</f>
        <v>TW</v>
      </c>
      <c r="C534" s="45" t="s">
        <v>330</v>
      </c>
      <c r="D534" s="46" t="n">
        <v>380</v>
      </c>
      <c r="E534" s="46" t="n">
        <v>139000</v>
      </c>
      <c r="F534" s="46" t="n">
        <v>30125</v>
      </c>
      <c r="G534" s="42" t="n">
        <v>4.31</v>
      </c>
      <c r="H534" s="42" t="n">
        <v>34.8</v>
      </c>
      <c r="J534" s="46" t="n">
        <f aca="false">IF(N(E534)&gt;0,E534,IF(N(F534)&gt;0,F534*요약!$F$27,0))</f>
        <v>139000</v>
      </c>
      <c r="K534" s="46" t="n">
        <f aca="false">IF(N(F534)&gt;0,F534,IF(N(E534)&gt;0,E534/요약!$F$27,0))</f>
        <v>30125</v>
      </c>
      <c r="L534" s="46" t="n">
        <f aca="false">IF(B534="CN",IF(N(I534)&gt;0,I534*요약!$G$27,K534*(1+요약!$E$27)),IF(N(H534)&gt;0,H534*요약!$G$27,J534*요약!$D$27))</f>
        <v>45936</v>
      </c>
      <c r="M534" s="46" t="n">
        <f aca="false">D534*J534</f>
        <v>52820000</v>
      </c>
      <c r="N534" s="46" t="n">
        <f aca="false">D534*K534</f>
        <v>11447500</v>
      </c>
      <c r="O534" s="46" t="n">
        <f aca="false">D534*L534</f>
        <v>17455680</v>
      </c>
      <c r="P534" s="42" t="str">
        <f aca="false">TRIM(IF(N(E534)&lt;=0,"택가보정 ","")&amp;IF(N(F534)&lt;=0,"원가보정 ","")&amp;IF(AND(B534&lt;&gt;"CN",N(H534)&lt;=0),"공급가보정 ","")&amp;IF(AND(B534="CN",N(I534)&lt;=0),"중국공급가=원가+마진 ",""))</f>
        <v/>
      </c>
      <c r="Q534" s="47" t="n">
        <f aca="false">IF(SUMIFS($W:$W,$A:$A,A534,$C:$C,C534)=0,0,SUMIFS(RAW_판매펀칭!$K:$K,RAW_판매펀칭!$P:$P,A534,RAW_판매펀칭!$I:$I,C534)*W534/SUMIFS($W:$W,$A:$A,A534,$C:$C,C534))</f>
        <v>380</v>
      </c>
      <c r="R534" s="47" t="n">
        <f aca="false">IF(OR(A534="500",A534="800",A534="810"),0,MAX(W534-Q534,0))</f>
        <v>0</v>
      </c>
      <c r="S534" s="47" t="n">
        <f aca="false">R534*L534</f>
        <v>0</v>
      </c>
      <c r="T534" s="47" t="n">
        <f aca="false">R534*J534</f>
        <v>0</v>
      </c>
      <c r="U534" s="47" t="n">
        <f aca="false">R534*K534</f>
        <v>0</v>
      </c>
      <c r="V534" s="0" t="str">
        <f aca="false">IF(COUNTIFS($A$2:A534,A534,$C$2:C534,C534,$D$2:D534,D534)&gt;1,"중복","")</f>
        <v/>
      </c>
      <c r="W534" s="0" t="n">
        <f aca="false">IF(V534="중복",0,N(D534))</f>
        <v>380</v>
      </c>
      <c r="X534" s="0" t="n">
        <f aca="false">IF(COUNTIFS($A$2:A534,A534,$C$2:C534,C534)=1,ABS(SUMIFS(RAW_발주!$D:$D,RAW_발주!$C:$C,A534,RAW_발주!$A:$A,C534)-SUMIFS($W:$W,$A:$A,A534,$C:$C,C534)),0)</f>
        <v>0</v>
      </c>
    </row>
    <row r="535" customFormat="false" ht="15" hidden="false" customHeight="true" outlineLevel="0" collapsed="false">
      <c r="A535" s="45" t="s">
        <v>1662</v>
      </c>
      <c r="B535" s="42" t="str">
        <f aca="false">IF(A535="100","HK",IF(A535="200","CN",IF(A535="300","TW","홀세일")))</f>
        <v>홀세일</v>
      </c>
      <c r="C535" s="45" t="s">
        <v>330</v>
      </c>
      <c r="D535" s="46" t="n">
        <v>40</v>
      </c>
      <c r="E535" s="46" t="n">
        <v>139000</v>
      </c>
      <c r="F535" s="46" t="n">
        <v>30125</v>
      </c>
      <c r="G535" s="42" t="n">
        <v>4.31</v>
      </c>
      <c r="H535" s="42" t="n">
        <v>34.8</v>
      </c>
      <c r="J535" s="46" t="n">
        <f aca="false">IF(N(E535)&gt;0,E535,IF(N(F535)&gt;0,F535*요약!$F$27,0))</f>
        <v>139000</v>
      </c>
      <c r="K535" s="46" t="n">
        <f aca="false">IF(N(F535)&gt;0,F535,IF(N(E535)&gt;0,E535/요약!$F$27,0))</f>
        <v>30125</v>
      </c>
      <c r="L535" s="46" t="n">
        <f aca="false">IF(B535="CN",IF(N(I535)&gt;0,I535*요약!$G$27,K535*(1+요약!$E$27)),IF(N(H535)&gt;0,H535*요약!$G$27,J535*요약!$D$27))</f>
        <v>45936</v>
      </c>
      <c r="M535" s="46" t="n">
        <f aca="false">D535*J535</f>
        <v>5560000</v>
      </c>
      <c r="N535" s="46" t="n">
        <f aca="false">D535*K535</f>
        <v>1205000</v>
      </c>
      <c r="O535" s="46" t="n">
        <f aca="false">D535*L535</f>
        <v>1837440</v>
      </c>
      <c r="P535" s="42" t="str">
        <f aca="false">TRIM(IF(N(E535)&lt;=0,"택가보정 ","")&amp;IF(N(F535)&lt;=0,"원가보정 ","")&amp;IF(AND(B535&lt;&gt;"CN",N(H535)&lt;=0),"공급가보정 ","")&amp;IF(AND(B535="CN",N(I535)&lt;=0),"중국공급가=원가+마진 ",""))</f>
        <v/>
      </c>
      <c r="Q535" s="47" t="n">
        <f aca="false">IF(SUMIFS($W:$W,$A:$A,A535,$C:$C,C535)=0,0,SUMIFS(RAW_판매펀칭!$K:$K,RAW_판매펀칭!$P:$P,A535,RAW_판매펀칭!$I:$I,C535)*W535/SUMIFS($W:$W,$A:$A,A535,$C:$C,C535))</f>
        <v>40</v>
      </c>
      <c r="R535" s="47" t="n">
        <f aca="false">IF(OR(A535="500",A535="800",A535="810"),0,MAX(W535-Q535,0))</f>
        <v>0</v>
      </c>
      <c r="S535" s="47" t="n">
        <f aca="false">R535*L535</f>
        <v>0</v>
      </c>
      <c r="T535" s="47" t="n">
        <f aca="false">R535*J535</f>
        <v>0</v>
      </c>
      <c r="U535" s="47" t="n">
        <f aca="false">R535*K535</f>
        <v>0</v>
      </c>
      <c r="V535" s="0" t="str">
        <f aca="false">IF(COUNTIFS($A$2:A535,A535,$C$2:C535,C535,$D$2:D535,D535)&gt;1,"중복","")</f>
        <v/>
      </c>
      <c r="W535" s="0" t="n">
        <f aca="false">IF(V535="중복",0,N(D535))</f>
        <v>40</v>
      </c>
      <c r="X535" s="0" t="n">
        <f aca="false">IF(COUNTIFS($A$2:A535,A535,$C$2:C535,C535)=1,ABS(SUMIFS(RAW_발주!$D:$D,RAW_발주!$C:$C,A535,RAW_발주!$A:$A,C535)-SUMIFS($W:$W,$A:$A,A535,$C:$C,C535)),0)</f>
        <v>0</v>
      </c>
    </row>
    <row r="536" customFormat="false" ht="15" hidden="false" customHeight="true" outlineLevel="0" collapsed="false">
      <c r="A536" s="45" t="s">
        <v>1663</v>
      </c>
      <c r="B536" s="42" t="str">
        <f aca="false">IF(A536="100","HK",IF(A536="200","CN",IF(A536="300","TW","홀세일")))</f>
        <v>홀세일</v>
      </c>
      <c r="C536" s="45" t="s">
        <v>330</v>
      </c>
      <c r="D536" s="46" t="n">
        <v>20</v>
      </c>
      <c r="E536" s="46" t="n">
        <v>139000</v>
      </c>
      <c r="F536" s="46" t="n">
        <v>30125</v>
      </c>
      <c r="G536" s="42" t="n">
        <v>4.31</v>
      </c>
      <c r="H536" s="42" t="n">
        <v>34.8</v>
      </c>
      <c r="J536" s="46" t="n">
        <f aca="false">IF(N(E536)&gt;0,E536,IF(N(F536)&gt;0,F536*요약!$F$27,0))</f>
        <v>139000</v>
      </c>
      <c r="K536" s="46" t="n">
        <f aca="false">IF(N(F536)&gt;0,F536,IF(N(E536)&gt;0,E536/요약!$F$27,0))</f>
        <v>30125</v>
      </c>
      <c r="L536" s="46" t="n">
        <f aca="false">IF(B536="CN",IF(N(I536)&gt;0,I536*요약!$G$27,K536*(1+요약!$E$27)),IF(N(H536)&gt;0,H536*요약!$G$27,J536*요약!$D$27))</f>
        <v>45936</v>
      </c>
      <c r="M536" s="46" t="n">
        <f aca="false">D536*J536</f>
        <v>2780000</v>
      </c>
      <c r="N536" s="46" t="n">
        <f aca="false">D536*K536</f>
        <v>602500</v>
      </c>
      <c r="O536" s="46" t="n">
        <f aca="false">D536*L536</f>
        <v>918720</v>
      </c>
      <c r="P536" s="42" t="str">
        <f aca="false">TRIM(IF(N(E536)&lt;=0,"택가보정 ","")&amp;IF(N(F536)&lt;=0,"원가보정 ","")&amp;IF(AND(B536&lt;&gt;"CN",N(H536)&lt;=0),"공급가보정 ","")&amp;IF(AND(B536="CN",N(I536)&lt;=0),"중국공급가=원가+마진 ",""))</f>
        <v/>
      </c>
      <c r="Q536" s="47" t="n">
        <f aca="false">IF(SUMIFS($W:$W,$A:$A,A536,$C:$C,C536)=0,0,SUMIFS(RAW_판매펀칭!$K:$K,RAW_판매펀칭!$P:$P,A536,RAW_판매펀칭!$I:$I,C536)*W536/SUMIFS($W:$W,$A:$A,A536,$C:$C,C536))</f>
        <v>20</v>
      </c>
      <c r="R536" s="47" t="n">
        <f aca="false">IF(OR(A536="500",A536="800",A536="810"),0,MAX(W536-Q536,0))</f>
        <v>0</v>
      </c>
      <c r="S536" s="47" t="n">
        <f aca="false">R536*L536</f>
        <v>0</v>
      </c>
      <c r="T536" s="47" t="n">
        <f aca="false">R536*J536</f>
        <v>0</v>
      </c>
      <c r="U536" s="47" t="n">
        <f aca="false">R536*K536</f>
        <v>0</v>
      </c>
      <c r="V536" s="0" t="str">
        <f aca="false">IF(COUNTIFS($A$2:A536,A536,$C$2:C536,C536,$D$2:D536,D536)&gt;1,"중복","")</f>
        <v/>
      </c>
      <c r="W536" s="0" t="n">
        <f aca="false">IF(V536="중복",0,N(D536))</f>
        <v>20</v>
      </c>
      <c r="X536" s="0" t="n">
        <f aca="false">IF(COUNTIFS($A$2:A536,A536,$C$2:C536,C536)=1,ABS(SUMIFS(RAW_발주!$D:$D,RAW_발주!$C:$C,A536,RAW_발주!$A:$A,C536)-SUMIFS($W:$W,$A:$A,A536,$C:$C,C536)),0)</f>
        <v>0</v>
      </c>
    </row>
    <row r="537" customFormat="false" ht="15" hidden="false" customHeight="true" outlineLevel="0" collapsed="false">
      <c r="A537" s="45" t="s">
        <v>1659</v>
      </c>
      <c r="B537" s="42" t="str">
        <f aca="false">IF(A537="100","HK",IF(A537="200","CN",IF(A537="300","TW","홀세일")))</f>
        <v>HK</v>
      </c>
      <c r="C537" s="45" t="s">
        <v>332</v>
      </c>
      <c r="D537" s="46" t="n">
        <v>200</v>
      </c>
      <c r="E537" s="46" t="n">
        <v>129000</v>
      </c>
      <c r="F537" s="46" t="n">
        <v>26800</v>
      </c>
      <c r="G537" s="42" t="n">
        <v>4.06</v>
      </c>
      <c r="H537" s="42" t="n">
        <v>32.3</v>
      </c>
      <c r="J537" s="46" t="n">
        <f aca="false">IF(N(E537)&gt;0,E537,IF(N(F537)&gt;0,F537*요약!$F$27,0))</f>
        <v>129000</v>
      </c>
      <c r="K537" s="46" t="n">
        <f aca="false">IF(N(F537)&gt;0,F537,IF(N(E537)&gt;0,E537/요약!$F$27,0))</f>
        <v>26800</v>
      </c>
      <c r="L537" s="46" t="n">
        <f aca="false">IF(B537="CN",IF(N(I537)&gt;0,I537*요약!$G$27,K537*(1+요약!$E$27)),IF(N(H537)&gt;0,H537*요약!$G$27,J537*요약!$D$27))</f>
        <v>42636</v>
      </c>
      <c r="M537" s="46" t="n">
        <f aca="false">D537*J537</f>
        <v>25800000</v>
      </c>
      <c r="N537" s="46" t="n">
        <f aca="false">D537*K537</f>
        <v>5360000</v>
      </c>
      <c r="O537" s="46" t="n">
        <f aca="false">D537*L537</f>
        <v>8527200</v>
      </c>
      <c r="P537" s="42" t="str">
        <f aca="false">TRIM(IF(N(E537)&lt;=0,"택가보정 ","")&amp;IF(N(F537)&lt;=0,"원가보정 ","")&amp;IF(AND(B537&lt;&gt;"CN",N(H537)&lt;=0),"공급가보정 ","")&amp;IF(AND(B537="CN",N(I537)&lt;=0),"중국공급가=원가+마진 ",""))</f>
        <v/>
      </c>
      <c r="Q537" s="47" t="n">
        <f aca="false">IF(SUMIFS($W:$W,$A:$A,A537,$C:$C,C537)=0,0,SUMIFS(RAW_판매펀칭!$K:$K,RAW_판매펀칭!$P:$P,A537,RAW_판매펀칭!$I:$I,C537)*W537/SUMIFS($W:$W,$A:$A,A537,$C:$C,C537))</f>
        <v>200</v>
      </c>
      <c r="R537" s="47" t="n">
        <f aca="false">IF(OR(A537="500",A537="800",A537="810"),0,MAX(W537-Q537,0))</f>
        <v>0</v>
      </c>
      <c r="S537" s="47" t="n">
        <f aca="false">R537*L537</f>
        <v>0</v>
      </c>
      <c r="T537" s="47" t="n">
        <f aca="false">R537*J537</f>
        <v>0</v>
      </c>
      <c r="U537" s="47" t="n">
        <f aca="false">R537*K537</f>
        <v>0</v>
      </c>
      <c r="V537" s="0" t="str">
        <f aca="false">IF(COUNTIFS($A$2:A537,A537,$C$2:C537,C537,$D$2:D537,D537)&gt;1,"중복","")</f>
        <v/>
      </c>
      <c r="W537" s="0" t="n">
        <f aca="false">IF(V537="중복",0,N(D537))</f>
        <v>200</v>
      </c>
      <c r="X537" s="0" t="n">
        <f aca="false">IF(COUNTIFS($A$2:A537,A537,$C$2:C537,C537)=1,ABS(SUMIFS(RAW_발주!$D:$D,RAW_발주!$C:$C,A537,RAW_발주!$A:$A,C537)-SUMIFS($W:$W,$A:$A,A537,$C:$C,C537)),0)</f>
        <v>0</v>
      </c>
    </row>
    <row r="538" customFormat="false" ht="15.75" hidden="false" customHeight="true" outlineLevel="0" collapsed="false">
      <c r="A538" s="45" t="s">
        <v>1660</v>
      </c>
      <c r="B538" s="42" t="str">
        <f aca="false">IF(A538="100","HK",IF(A538="200","CN",IF(A538="300","TW","홀세일")))</f>
        <v>CN</v>
      </c>
      <c r="C538" s="45" t="s">
        <v>332</v>
      </c>
      <c r="D538" s="46" t="n">
        <v>362</v>
      </c>
      <c r="E538" s="46" t="n">
        <v>129000</v>
      </c>
      <c r="F538" s="46" t="n">
        <v>26800</v>
      </c>
      <c r="G538" s="42" t="n">
        <v>4.06</v>
      </c>
      <c r="H538" s="42" t="n">
        <v>32.3</v>
      </c>
      <c r="J538" s="46" t="n">
        <f aca="false">IF(N(E538)&gt;0,E538,IF(N(F538)&gt;0,F538*요약!$F$27,0))</f>
        <v>129000</v>
      </c>
      <c r="K538" s="46" t="n">
        <f aca="false">IF(N(F538)&gt;0,F538,IF(N(E538)&gt;0,E538/요약!$F$27,0))</f>
        <v>26800</v>
      </c>
      <c r="L538" s="46" t="n">
        <f aca="false">IF(B538="CN",IF(N(I538)&gt;0,I538*요약!$G$27,K538*(1+요약!$E$27)),IF(N(H538)&gt;0,H538*요약!$G$27,J538*요약!$D$27))</f>
        <v>28140</v>
      </c>
      <c r="M538" s="46" t="n">
        <f aca="false">D538*J538</f>
        <v>46698000</v>
      </c>
      <c r="N538" s="46" t="n">
        <f aca="false">D538*K538</f>
        <v>9701600</v>
      </c>
      <c r="O538" s="46" t="n">
        <f aca="false">D538*L538</f>
        <v>10186680</v>
      </c>
      <c r="P538" s="42" t="str">
        <f aca="false">TRIM(IF(N(E538)&lt;=0,"택가보정 ","")&amp;IF(N(F538)&lt;=0,"원가보정 ","")&amp;IF(AND(B538&lt;&gt;"CN",N(H538)&lt;=0),"공급가보정 ","")&amp;IF(AND(B538="CN",N(I538)&lt;=0),"중국공급가=원가+마진 ",""))</f>
        <v>중국공급가=원가+마진</v>
      </c>
      <c r="Q538" s="47" t="n">
        <f aca="false">IF(SUMIFS($W:$W,$A:$A,A538,$C:$C,C538)=0,0,SUMIFS(RAW_판매펀칭!$K:$K,RAW_판매펀칭!$P:$P,A538,RAW_판매펀칭!$I:$I,C538)*W538/SUMIFS($W:$W,$A:$A,A538,$C:$C,C538))</f>
        <v>362</v>
      </c>
      <c r="R538" s="47" t="n">
        <f aca="false">IF(OR(A538="500",A538="800",A538="810"),0,MAX(W538-Q538,0))</f>
        <v>0</v>
      </c>
      <c r="S538" s="47" t="n">
        <f aca="false">R538*L538</f>
        <v>0</v>
      </c>
      <c r="T538" s="47" t="n">
        <f aca="false">R538*J538</f>
        <v>0</v>
      </c>
      <c r="U538" s="47" t="n">
        <f aca="false">R538*K538</f>
        <v>0</v>
      </c>
      <c r="V538" s="0" t="str">
        <f aca="false">IF(COUNTIFS($A$2:A538,A538,$C$2:C538,C538,$D$2:D538,D538)&gt;1,"중복","")</f>
        <v/>
      </c>
      <c r="W538" s="0" t="n">
        <f aca="false">IF(V538="중복",0,N(D538))</f>
        <v>362</v>
      </c>
      <c r="X538" s="0" t="n">
        <f aca="false">IF(COUNTIFS($A$2:A538,A538,$C$2:C538,C538)=1,ABS(SUMIFS(RAW_발주!$D:$D,RAW_발주!$C:$C,A538,RAW_발주!$A:$A,C538)-SUMIFS($W:$W,$A:$A,A538,$C:$C,C538)),0)</f>
        <v>0</v>
      </c>
    </row>
    <row r="539" customFormat="false" ht="15" hidden="false" customHeight="true" outlineLevel="0" collapsed="false">
      <c r="A539" s="45" t="s">
        <v>1661</v>
      </c>
      <c r="B539" s="42" t="str">
        <f aca="false">IF(A539="100","HK",IF(A539="200","CN",IF(A539="300","TW","홀세일")))</f>
        <v>TW</v>
      </c>
      <c r="C539" s="45" t="s">
        <v>332</v>
      </c>
      <c r="D539" s="46" t="n">
        <v>300</v>
      </c>
      <c r="E539" s="46" t="n">
        <v>129000</v>
      </c>
      <c r="F539" s="46" t="n">
        <v>26800</v>
      </c>
      <c r="G539" s="42" t="n">
        <v>4.06</v>
      </c>
      <c r="H539" s="42" t="n">
        <v>32.3</v>
      </c>
      <c r="J539" s="46" t="n">
        <f aca="false">IF(N(E539)&gt;0,E539,IF(N(F539)&gt;0,F539*요약!$F$27,0))</f>
        <v>129000</v>
      </c>
      <c r="K539" s="46" t="n">
        <f aca="false">IF(N(F539)&gt;0,F539,IF(N(E539)&gt;0,E539/요약!$F$27,0))</f>
        <v>26800</v>
      </c>
      <c r="L539" s="46" t="n">
        <f aca="false">IF(B539="CN",IF(N(I539)&gt;0,I539*요약!$G$27,K539*(1+요약!$E$27)),IF(N(H539)&gt;0,H539*요약!$G$27,J539*요약!$D$27))</f>
        <v>42636</v>
      </c>
      <c r="M539" s="46" t="n">
        <f aca="false">D539*J539</f>
        <v>38700000</v>
      </c>
      <c r="N539" s="46" t="n">
        <f aca="false">D539*K539</f>
        <v>8040000</v>
      </c>
      <c r="O539" s="46" t="n">
        <f aca="false">D539*L539</f>
        <v>12790800</v>
      </c>
      <c r="P539" s="42" t="str">
        <f aca="false">TRIM(IF(N(E539)&lt;=0,"택가보정 ","")&amp;IF(N(F539)&lt;=0,"원가보정 ","")&amp;IF(AND(B539&lt;&gt;"CN",N(H539)&lt;=0),"공급가보정 ","")&amp;IF(AND(B539="CN",N(I539)&lt;=0),"중국공급가=원가+마진 ",""))</f>
        <v/>
      </c>
      <c r="Q539" s="47" t="n">
        <f aca="false">IF(SUMIFS($W:$W,$A:$A,A539,$C:$C,C539)=0,0,SUMIFS(RAW_판매펀칭!$K:$K,RAW_판매펀칭!$P:$P,A539,RAW_판매펀칭!$I:$I,C539)*W539/SUMIFS($W:$W,$A:$A,A539,$C:$C,C539))</f>
        <v>300</v>
      </c>
      <c r="R539" s="47" t="n">
        <f aca="false">IF(OR(A539="500",A539="800",A539="810"),0,MAX(W539-Q539,0))</f>
        <v>0</v>
      </c>
      <c r="S539" s="47" t="n">
        <f aca="false">R539*L539</f>
        <v>0</v>
      </c>
      <c r="T539" s="47" t="n">
        <f aca="false">R539*J539</f>
        <v>0</v>
      </c>
      <c r="U539" s="47" t="n">
        <f aca="false">R539*K539</f>
        <v>0</v>
      </c>
      <c r="V539" s="0" t="str">
        <f aca="false">IF(COUNTIFS($A$2:A539,A539,$C$2:C539,C539,$D$2:D539,D539)&gt;1,"중복","")</f>
        <v/>
      </c>
      <c r="W539" s="0" t="n">
        <f aca="false">IF(V539="중복",0,N(D539))</f>
        <v>300</v>
      </c>
      <c r="X539" s="0" t="n">
        <f aca="false">IF(COUNTIFS($A$2:A539,A539,$C$2:C539,C539)=1,ABS(SUMIFS(RAW_발주!$D:$D,RAW_발주!$C:$C,A539,RAW_발주!$A:$A,C539)-SUMIFS($W:$W,$A:$A,A539,$C:$C,C539)),0)</f>
        <v>0</v>
      </c>
    </row>
    <row r="540" customFormat="false" ht="15" hidden="false" customHeight="true" outlineLevel="0" collapsed="false">
      <c r="A540" s="45" t="s">
        <v>1663</v>
      </c>
      <c r="B540" s="42" t="str">
        <f aca="false">IF(A540="100","HK",IF(A540="200","CN",IF(A540="300","TW","홀세일")))</f>
        <v>홀세일</v>
      </c>
      <c r="C540" s="45" t="s">
        <v>332</v>
      </c>
      <c r="D540" s="46" t="n">
        <v>30</v>
      </c>
      <c r="E540" s="46" t="n">
        <v>129000</v>
      </c>
      <c r="F540" s="46" t="n">
        <v>26800</v>
      </c>
      <c r="G540" s="42" t="n">
        <v>4.06</v>
      </c>
      <c r="H540" s="42" t="n">
        <v>32.3</v>
      </c>
      <c r="J540" s="46" t="n">
        <f aca="false">IF(N(E540)&gt;0,E540,IF(N(F540)&gt;0,F540*요약!$F$27,0))</f>
        <v>129000</v>
      </c>
      <c r="K540" s="46" t="n">
        <f aca="false">IF(N(F540)&gt;0,F540,IF(N(E540)&gt;0,E540/요약!$F$27,0))</f>
        <v>26800</v>
      </c>
      <c r="L540" s="46" t="n">
        <f aca="false">IF(B540="CN",IF(N(I540)&gt;0,I540*요약!$G$27,K540*(1+요약!$E$27)),IF(N(H540)&gt;0,H540*요약!$G$27,J540*요약!$D$27))</f>
        <v>42636</v>
      </c>
      <c r="M540" s="46" t="n">
        <f aca="false">D540*J540</f>
        <v>3870000</v>
      </c>
      <c r="N540" s="46" t="n">
        <f aca="false">D540*K540</f>
        <v>804000</v>
      </c>
      <c r="O540" s="46" t="n">
        <f aca="false">D540*L540</f>
        <v>1279080</v>
      </c>
      <c r="P540" s="42" t="str">
        <f aca="false">TRIM(IF(N(E540)&lt;=0,"택가보정 ","")&amp;IF(N(F540)&lt;=0,"원가보정 ","")&amp;IF(AND(B540&lt;&gt;"CN",N(H540)&lt;=0),"공급가보정 ","")&amp;IF(AND(B540="CN",N(I540)&lt;=0),"중국공급가=원가+마진 ",""))</f>
        <v/>
      </c>
      <c r="Q540" s="47" t="n">
        <f aca="false">IF(SUMIFS($W:$W,$A:$A,A540,$C:$C,C540)=0,0,SUMIFS(RAW_판매펀칭!$K:$K,RAW_판매펀칭!$P:$P,A540,RAW_판매펀칭!$I:$I,C540)*W540/SUMIFS($W:$W,$A:$A,A540,$C:$C,C540))</f>
        <v>30</v>
      </c>
      <c r="R540" s="47" t="n">
        <f aca="false">IF(OR(A540="500",A540="800",A540="810"),0,MAX(W540-Q540,0))</f>
        <v>0</v>
      </c>
      <c r="S540" s="47" t="n">
        <f aca="false">R540*L540</f>
        <v>0</v>
      </c>
      <c r="T540" s="47" t="n">
        <f aca="false">R540*J540</f>
        <v>0</v>
      </c>
      <c r="U540" s="47" t="n">
        <f aca="false">R540*K540</f>
        <v>0</v>
      </c>
      <c r="V540" s="0" t="str">
        <f aca="false">IF(COUNTIFS($A$2:A540,A540,$C$2:C540,C540,$D$2:D540,D540)&gt;1,"중복","")</f>
        <v/>
      </c>
      <c r="W540" s="0" t="n">
        <f aca="false">IF(V540="중복",0,N(D540))</f>
        <v>30</v>
      </c>
      <c r="X540" s="0" t="n">
        <f aca="false">IF(COUNTIFS($A$2:A540,A540,$C$2:C540,C540)=1,ABS(SUMIFS(RAW_발주!$D:$D,RAW_발주!$C:$C,A540,RAW_발주!$A:$A,C540)-SUMIFS($W:$W,$A:$A,A540,$C:$C,C540)),0)</f>
        <v>0</v>
      </c>
    </row>
    <row r="541" customFormat="false" ht="15" hidden="false" customHeight="true" outlineLevel="0" collapsed="false">
      <c r="A541" s="45" t="s">
        <v>1667</v>
      </c>
      <c r="B541" s="42" t="str">
        <f aca="false">IF(A541="100","HK",IF(A541="200","CN",IF(A541="300","TW","홀세일")))</f>
        <v>홀세일</v>
      </c>
      <c r="C541" s="45" t="s">
        <v>332</v>
      </c>
      <c r="D541" s="46" t="n">
        <v>82</v>
      </c>
      <c r="E541" s="46" t="n">
        <v>129000</v>
      </c>
      <c r="F541" s="46" t="n">
        <v>26800</v>
      </c>
      <c r="G541" s="42" t="n">
        <v>4.06</v>
      </c>
      <c r="H541" s="42" t="n">
        <v>32.3</v>
      </c>
      <c r="J541" s="46" t="n">
        <f aca="false">IF(N(E541)&gt;0,E541,IF(N(F541)&gt;0,F541*요약!$F$27,0))</f>
        <v>129000</v>
      </c>
      <c r="K541" s="46" t="n">
        <f aca="false">IF(N(F541)&gt;0,F541,IF(N(E541)&gt;0,E541/요약!$F$27,0))</f>
        <v>26800</v>
      </c>
      <c r="L541" s="46" t="n">
        <f aca="false">IF(B541="CN",IF(N(I541)&gt;0,I541*요약!$G$27,K541*(1+요약!$E$27)),IF(N(H541)&gt;0,H541*요약!$G$27,J541*요약!$D$27))</f>
        <v>42636</v>
      </c>
      <c r="M541" s="46" t="n">
        <f aca="false">D541*J541</f>
        <v>10578000</v>
      </c>
      <c r="N541" s="46" t="n">
        <f aca="false">D541*K541</f>
        <v>2197600</v>
      </c>
      <c r="O541" s="46" t="n">
        <f aca="false">D541*L541</f>
        <v>3496152</v>
      </c>
      <c r="P541" s="42" t="str">
        <f aca="false">TRIM(IF(N(E541)&lt;=0,"택가보정 ","")&amp;IF(N(F541)&lt;=0,"원가보정 ","")&amp;IF(AND(B541&lt;&gt;"CN",N(H541)&lt;=0),"공급가보정 ","")&amp;IF(AND(B541="CN",N(I541)&lt;=0),"중국공급가=원가+마진 ",""))</f>
        <v/>
      </c>
      <c r="Q541" s="47" t="n">
        <f aca="false">IF(SUMIFS($W:$W,$A:$A,A541,$C:$C,C541)=0,0,SUMIFS(RAW_판매펀칭!$K:$K,RAW_판매펀칭!$P:$P,A541,RAW_판매펀칭!$I:$I,C541)*W541/SUMIFS($W:$W,$A:$A,A541,$C:$C,C541))</f>
        <v>82</v>
      </c>
      <c r="R541" s="47" t="n">
        <f aca="false">IF(OR(A541="500",A541="800",A541="810"),0,MAX(W541-Q541,0))</f>
        <v>0</v>
      </c>
      <c r="S541" s="47" t="n">
        <f aca="false">R541*L541</f>
        <v>0</v>
      </c>
      <c r="T541" s="47" t="n">
        <f aca="false">R541*J541</f>
        <v>0</v>
      </c>
      <c r="U541" s="47" t="n">
        <f aca="false">R541*K541</f>
        <v>0</v>
      </c>
      <c r="V541" s="0" t="str">
        <f aca="false">IF(COUNTIFS($A$2:A541,A541,$C$2:C541,C541,$D$2:D541,D541)&gt;1,"중복","")</f>
        <v/>
      </c>
      <c r="W541" s="0" t="n">
        <f aca="false">IF(V541="중복",0,N(D541))</f>
        <v>82</v>
      </c>
      <c r="X541" s="0" t="n">
        <f aca="false">IF(COUNTIFS($A$2:A541,A541,$C$2:C541,C541)=1,ABS(SUMIFS(RAW_발주!$D:$D,RAW_발주!$C:$C,A541,RAW_발주!$A:$A,C541)-SUMIFS($W:$W,$A:$A,A541,$C:$C,C541)),0)</f>
        <v>0</v>
      </c>
    </row>
    <row r="542" customFormat="false" ht="15" hidden="false" customHeight="true" outlineLevel="0" collapsed="false">
      <c r="A542" s="45" t="s">
        <v>1659</v>
      </c>
      <c r="B542" s="42" t="str">
        <f aca="false">IF(A542="100","HK",IF(A542="200","CN",IF(A542="300","TW","홀세일")))</f>
        <v>HK</v>
      </c>
      <c r="C542" s="45" t="s">
        <v>334</v>
      </c>
      <c r="D542" s="46" t="n">
        <v>90</v>
      </c>
      <c r="E542" s="46" t="n">
        <v>149000</v>
      </c>
      <c r="F542" s="46" t="n">
        <v>32364</v>
      </c>
      <c r="G542" s="42" t="n">
        <v>4.33</v>
      </c>
      <c r="H542" s="42" t="n">
        <v>37.3</v>
      </c>
      <c r="J542" s="46" t="n">
        <f aca="false">IF(N(E542)&gt;0,E542,IF(N(F542)&gt;0,F542*요약!$F$27,0))</f>
        <v>149000</v>
      </c>
      <c r="K542" s="46" t="n">
        <f aca="false">IF(N(F542)&gt;0,F542,IF(N(E542)&gt;0,E542/요약!$F$27,0))</f>
        <v>32364</v>
      </c>
      <c r="L542" s="46" t="n">
        <f aca="false">IF(B542="CN",IF(N(I542)&gt;0,I542*요약!$G$27,K542*(1+요약!$E$27)),IF(N(H542)&gt;0,H542*요약!$G$27,J542*요약!$D$27))</f>
        <v>49236</v>
      </c>
      <c r="M542" s="46" t="n">
        <f aca="false">D542*J542</f>
        <v>13410000</v>
      </c>
      <c r="N542" s="46" t="n">
        <f aca="false">D542*K542</f>
        <v>2912760</v>
      </c>
      <c r="O542" s="46" t="n">
        <f aca="false">D542*L542</f>
        <v>4431240</v>
      </c>
      <c r="P542" s="42" t="str">
        <f aca="false">TRIM(IF(N(E542)&lt;=0,"택가보정 ","")&amp;IF(N(F542)&lt;=0,"원가보정 ","")&amp;IF(AND(B542&lt;&gt;"CN",N(H542)&lt;=0),"공급가보정 ","")&amp;IF(AND(B542="CN",N(I542)&lt;=0),"중국공급가=원가+마진 ",""))</f>
        <v/>
      </c>
      <c r="Q542" s="47" t="n">
        <f aca="false">IF(SUMIFS($W:$W,$A:$A,A542,$C:$C,C542)=0,0,SUMIFS(RAW_판매펀칭!$K:$K,RAW_판매펀칭!$P:$P,A542,RAW_판매펀칭!$I:$I,C542)*W542/SUMIFS($W:$W,$A:$A,A542,$C:$C,C542))</f>
        <v>90</v>
      </c>
      <c r="R542" s="47" t="n">
        <f aca="false">IF(OR(A542="500",A542="800",A542="810"),0,MAX(W542-Q542,0))</f>
        <v>0</v>
      </c>
      <c r="S542" s="47" t="n">
        <f aca="false">R542*L542</f>
        <v>0</v>
      </c>
      <c r="T542" s="47" t="n">
        <f aca="false">R542*J542</f>
        <v>0</v>
      </c>
      <c r="U542" s="47" t="n">
        <f aca="false">R542*K542</f>
        <v>0</v>
      </c>
      <c r="V542" s="0" t="str">
        <f aca="false">IF(COUNTIFS($A$2:A542,A542,$C$2:C542,C542,$D$2:D542,D542)&gt;1,"중복","")</f>
        <v/>
      </c>
      <c r="W542" s="0" t="n">
        <f aca="false">IF(V542="중복",0,N(D542))</f>
        <v>90</v>
      </c>
      <c r="X542" s="0" t="n">
        <f aca="false">IF(COUNTIFS($A$2:A542,A542,$C$2:C542,C542)=1,ABS(SUMIFS(RAW_발주!$D:$D,RAW_발주!$C:$C,A542,RAW_발주!$A:$A,C542)-SUMIFS($W:$W,$A:$A,A542,$C:$C,C542)),0)</f>
        <v>0</v>
      </c>
    </row>
    <row r="543" customFormat="false" ht="15.75" hidden="false" customHeight="true" outlineLevel="0" collapsed="false">
      <c r="A543" s="45" t="s">
        <v>1660</v>
      </c>
      <c r="B543" s="42" t="str">
        <f aca="false">IF(A543="100","HK",IF(A543="200","CN",IF(A543="300","TW","홀세일")))</f>
        <v>CN</v>
      </c>
      <c r="C543" s="45" t="s">
        <v>334</v>
      </c>
      <c r="D543" s="46" t="n">
        <v>76</v>
      </c>
      <c r="E543" s="46" t="n">
        <v>149000</v>
      </c>
      <c r="F543" s="46" t="n">
        <v>32364</v>
      </c>
      <c r="G543" s="42" t="n">
        <v>4.33</v>
      </c>
      <c r="H543" s="42" t="n">
        <v>37.3</v>
      </c>
      <c r="J543" s="46" t="n">
        <f aca="false">IF(N(E543)&gt;0,E543,IF(N(F543)&gt;0,F543*요약!$F$27,0))</f>
        <v>149000</v>
      </c>
      <c r="K543" s="46" t="n">
        <f aca="false">IF(N(F543)&gt;0,F543,IF(N(E543)&gt;0,E543/요약!$F$27,0))</f>
        <v>32364</v>
      </c>
      <c r="L543" s="46" t="n">
        <f aca="false">IF(B543="CN",IF(N(I543)&gt;0,I543*요약!$G$27,K543*(1+요약!$E$27)),IF(N(H543)&gt;0,H543*요약!$G$27,J543*요약!$D$27))</f>
        <v>33982.2</v>
      </c>
      <c r="M543" s="46" t="n">
        <f aca="false">D543*J543</f>
        <v>11324000</v>
      </c>
      <c r="N543" s="46" t="n">
        <f aca="false">D543*K543</f>
        <v>2459664</v>
      </c>
      <c r="O543" s="46" t="n">
        <f aca="false">D543*L543</f>
        <v>2582647.2</v>
      </c>
      <c r="P543" s="42" t="str">
        <f aca="false">TRIM(IF(N(E543)&lt;=0,"택가보정 ","")&amp;IF(N(F543)&lt;=0,"원가보정 ","")&amp;IF(AND(B543&lt;&gt;"CN",N(H543)&lt;=0),"공급가보정 ","")&amp;IF(AND(B543="CN",N(I543)&lt;=0),"중국공급가=원가+마진 ",""))</f>
        <v>중국공급가=원가+마진</v>
      </c>
      <c r="Q543" s="47" t="n">
        <f aca="false">IF(SUMIFS($W:$W,$A:$A,A543,$C:$C,C543)=0,0,SUMIFS(RAW_판매펀칭!$K:$K,RAW_판매펀칭!$P:$P,A543,RAW_판매펀칭!$I:$I,C543)*W543/SUMIFS($W:$W,$A:$A,A543,$C:$C,C543))</f>
        <v>76</v>
      </c>
      <c r="R543" s="47" t="n">
        <f aca="false">IF(OR(A543="500",A543="800",A543="810"),0,MAX(W543-Q543,0))</f>
        <v>0</v>
      </c>
      <c r="S543" s="47" t="n">
        <f aca="false">R543*L543</f>
        <v>0</v>
      </c>
      <c r="T543" s="47" t="n">
        <f aca="false">R543*J543</f>
        <v>0</v>
      </c>
      <c r="U543" s="47" t="n">
        <f aca="false">R543*K543</f>
        <v>0</v>
      </c>
      <c r="V543" s="0" t="str">
        <f aca="false">IF(COUNTIFS($A$2:A543,A543,$C$2:C543,C543,$D$2:D543,D543)&gt;1,"중복","")</f>
        <v/>
      </c>
      <c r="W543" s="0" t="n">
        <f aca="false">IF(V543="중복",0,N(D543))</f>
        <v>76</v>
      </c>
      <c r="X543" s="0" t="n">
        <f aca="false">IF(COUNTIFS($A$2:A543,A543,$C$2:C543,C543)=1,ABS(SUMIFS(RAW_발주!$D:$D,RAW_발주!$C:$C,A543,RAW_발주!$A:$A,C543)-SUMIFS($W:$W,$A:$A,A543,$C:$C,C543)),0)</f>
        <v>0</v>
      </c>
    </row>
    <row r="544" customFormat="false" ht="15" hidden="false" customHeight="true" outlineLevel="0" collapsed="false">
      <c r="A544" s="45" t="s">
        <v>1661</v>
      </c>
      <c r="B544" s="42" t="str">
        <f aca="false">IF(A544="100","HK",IF(A544="200","CN",IF(A544="300","TW","홀세일")))</f>
        <v>TW</v>
      </c>
      <c r="C544" s="45" t="s">
        <v>334</v>
      </c>
      <c r="D544" s="46" t="n">
        <v>300</v>
      </c>
      <c r="E544" s="46" t="n">
        <v>149000</v>
      </c>
      <c r="F544" s="46" t="n">
        <v>32364</v>
      </c>
      <c r="G544" s="42" t="n">
        <v>4.33</v>
      </c>
      <c r="H544" s="42" t="n">
        <v>37.3</v>
      </c>
      <c r="J544" s="46" t="n">
        <f aca="false">IF(N(E544)&gt;0,E544,IF(N(F544)&gt;0,F544*요약!$F$27,0))</f>
        <v>149000</v>
      </c>
      <c r="K544" s="46" t="n">
        <f aca="false">IF(N(F544)&gt;0,F544,IF(N(E544)&gt;0,E544/요약!$F$27,0))</f>
        <v>32364</v>
      </c>
      <c r="L544" s="46" t="n">
        <f aca="false">IF(B544="CN",IF(N(I544)&gt;0,I544*요약!$G$27,K544*(1+요약!$E$27)),IF(N(H544)&gt;0,H544*요약!$G$27,J544*요약!$D$27))</f>
        <v>49236</v>
      </c>
      <c r="M544" s="46" t="n">
        <f aca="false">D544*J544</f>
        <v>44700000</v>
      </c>
      <c r="N544" s="46" t="n">
        <f aca="false">D544*K544</f>
        <v>9709200</v>
      </c>
      <c r="O544" s="46" t="n">
        <f aca="false">D544*L544</f>
        <v>14770800</v>
      </c>
      <c r="P544" s="42" t="str">
        <f aca="false">TRIM(IF(N(E544)&lt;=0,"택가보정 ","")&amp;IF(N(F544)&lt;=0,"원가보정 ","")&amp;IF(AND(B544&lt;&gt;"CN",N(H544)&lt;=0),"공급가보정 ","")&amp;IF(AND(B544="CN",N(I544)&lt;=0),"중국공급가=원가+마진 ",""))</f>
        <v/>
      </c>
      <c r="Q544" s="47" t="n">
        <f aca="false">IF(SUMIFS($W:$W,$A:$A,A544,$C:$C,C544)=0,0,SUMIFS(RAW_판매펀칭!$K:$K,RAW_판매펀칭!$P:$P,A544,RAW_판매펀칭!$I:$I,C544)*W544/SUMIFS($W:$W,$A:$A,A544,$C:$C,C544))</f>
        <v>300</v>
      </c>
      <c r="R544" s="47" t="n">
        <f aca="false">IF(OR(A544="500",A544="800",A544="810"),0,MAX(W544-Q544,0))</f>
        <v>0</v>
      </c>
      <c r="S544" s="47" t="n">
        <f aca="false">R544*L544</f>
        <v>0</v>
      </c>
      <c r="T544" s="47" t="n">
        <f aca="false">R544*J544</f>
        <v>0</v>
      </c>
      <c r="U544" s="47" t="n">
        <f aca="false">R544*K544</f>
        <v>0</v>
      </c>
      <c r="V544" s="0" t="str">
        <f aca="false">IF(COUNTIFS($A$2:A544,A544,$C$2:C544,C544,$D$2:D544,D544)&gt;1,"중복","")</f>
        <v/>
      </c>
      <c r="W544" s="0" t="n">
        <f aca="false">IF(V544="중복",0,N(D544))</f>
        <v>300</v>
      </c>
      <c r="X544" s="0" t="n">
        <f aca="false">IF(COUNTIFS($A$2:A544,A544,$C$2:C544,C544)=1,ABS(SUMIFS(RAW_발주!$D:$D,RAW_발주!$C:$C,A544,RAW_발주!$A:$A,C544)-SUMIFS($W:$W,$A:$A,A544,$C:$C,C544)),0)</f>
        <v>0</v>
      </c>
    </row>
    <row r="545" customFormat="false" ht="15" hidden="false" customHeight="true" outlineLevel="0" collapsed="false">
      <c r="A545" s="45" t="s">
        <v>1663</v>
      </c>
      <c r="B545" s="42" t="str">
        <f aca="false">IF(A545="100","HK",IF(A545="200","CN",IF(A545="300","TW","홀세일")))</f>
        <v>홀세일</v>
      </c>
      <c r="C545" s="45" t="s">
        <v>334</v>
      </c>
      <c r="D545" s="46" t="n">
        <v>20</v>
      </c>
      <c r="E545" s="46" t="n">
        <v>149000</v>
      </c>
      <c r="F545" s="46" t="n">
        <v>32364</v>
      </c>
      <c r="G545" s="42" t="n">
        <v>4.33</v>
      </c>
      <c r="H545" s="42" t="n">
        <v>37.3</v>
      </c>
      <c r="J545" s="46" t="n">
        <f aca="false">IF(N(E545)&gt;0,E545,IF(N(F545)&gt;0,F545*요약!$F$27,0))</f>
        <v>149000</v>
      </c>
      <c r="K545" s="46" t="n">
        <f aca="false">IF(N(F545)&gt;0,F545,IF(N(E545)&gt;0,E545/요약!$F$27,0))</f>
        <v>32364</v>
      </c>
      <c r="L545" s="46" t="n">
        <f aca="false">IF(B545="CN",IF(N(I545)&gt;0,I545*요약!$G$27,K545*(1+요약!$E$27)),IF(N(H545)&gt;0,H545*요약!$G$27,J545*요약!$D$27))</f>
        <v>49236</v>
      </c>
      <c r="M545" s="46" t="n">
        <f aca="false">D545*J545</f>
        <v>2980000</v>
      </c>
      <c r="N545" s="46" t="n">
        <f aca="false">D545*K545</f>
        <v>647280</v>
      </c>
      <c r="O545" s="46" t="n">
        <f aca="false">D545*L545</f>
        <v>984720</v>
      </c>
      <c r="P545" s="42" t="str">
        <f aca="false">TRIM(IF(N(E545)&lt;=0,"택가보정 ","")&amp;IF(N(F545)&lt;=0,"원가보정 ","")&amp;IF(AND(B545&lt;&gt;"CN",N(H545)&lt;=0),"공급가보정 ","")&amp;IF(AND(B545="CN",N(I545)&lt;=0),"중국공급가=원가+마진 ",""))</f>
        <v/>
      </c>
      <c r="Q545" s="47" t="n">
        <f aca="false">IF(SUMIFS($W:$W,$A:$A,A545,$C:$C,C545)=0,0,SUMIFS(RAW_판매펀칭!$K:$K,RAW_판매펀칭!$P:$P,A545,RAW_판매펀칭!$I:$I,C545)*W545/SUMIFS($W:$W,$A:$A,A545,$C:$C,C545))</f>
        <v>20</v>
      </c>
      <c r="R545" s="47" t="n">
        <f aca="false">IF(OR(A545="500",A545="800",A545="810"),0,MAX(W545-Q545,0))</f>
        <v>0</v>
      </c>
      <c r="S545" s="47" t="n">
        <f aca="false">R545*L545</f>
        <v>0</v>
      </c>
      <c r="T545" s="47" t="n">
        <f aca="false">R545*J545</f>
        <v>0</v>
      </c>
      <c r="U545" s="47" t="n">
        <f aca="false">R545*K545</f>
        <v>0</v>
      </c>
      <c r="V545" s="0" t="str">
        <f aca="false">IF(COUNTIFS($A$2:A545,A545,$C$2:C545,C545,$D$2:D545,D545)&gt;1,"중복","")</f>
        <v/>
      </c>
      <c r="W545" s="0" t="n">
        <f aca="false">IF(V545="중복",0,N(D545))</f>
        <v>20</v>
      </c>
      <c r="X545" s="0" t="n">
        <f aca="false">IF(COUNTIFS($A$2:A545,A545,$C$2:C545,C545)=1,ABS(SUMIFS(RAW_발주!$D:$D,RAW_발주!$C:$C,A545,RAW_발주!$A:$A,C545)-SUMIFS($W:$W,$A:$A,A545,$C:$C,C545)),0)</f>
        <v>0</v>
      </c>
    </row>
    <row r="546" customFormat="false" ht="15" hidden="false" customHeight="true" outlineLevel="0" collapsed="false">
      <c r="A546" s="45" t="s">
        <v>1667</v>
      </c>
      <c r="B546" s="42" t="str">
        <f aca="false">IF(A546="100","HK",IF(A546="200","CN",IF(A546="300","TW","홀세일")))</f>
        <v>홀세일</v>
      </c>
      <c r="C546" s="45" t="s">
        <v>334</v>
      </c>
      <c r="D546" s="46" t="n">
        <v>82</v>
      </c>
      <c r="E546" s="46" t="n">
        <v>149000</v>
      </c>
      <c r="F546" s="46" t="n">
        <v>32364</v>
      </c>
      <c r="G546" s="42" t="n">
        <v>4.33</v>
      </c>
      <c r="H546" s="42" t="n">
        <v>37.3</v>
      </c>
      <c r="J546" s="46" t="n">
        <f aca="false">IF(N(E546)&gt;0,E546,IF(N(F546)&gt;0,F546*요약!$F$27,0))</f>
        <v>149000</v>
      </c>
      <c r="K546" s="46" t="n">
        <f aca="false">IF(N(F546)&gt;0,F546,IF(N(E546)&gt;0,E546/요약!$F$27,0))</f>
        <v>32364</v>
      </c>
      <c r="L546" s="46" t="n">
        <f aca="false">IF(B546="CN",IF(N(I546)&gt;0,I546*요약!$G$27,K546*(1+요약!$E$27)),IF(N(H546)&gt;0,H546*요약!$G$27,J546*요약!$D$27))</f>
        <v>49236</v>
      </c>
      <c r="M546" s="46" t="n">
        <f aca="false">D546*J546</f>
        <v>12218000</v>
      </c>
      <c r="N546" s="46" t="n">
        <f aca="false">D546*K546</f>
        <v>2653848</v>
      </c>
      <c r="O546" s="46" t="n">
        <f aca="false">D546*L546</f>
        <v>4037352</v>
      </c>
      <c r="P546" s="42" t="str">
        <f aca="false">TRIM(IF(N(E546)&lt;=0,"택가보정 ","")&amp;IF(N(F546)&lt;=0,"원가보정 ","")&amp;IF(AND(B546&lt;&gt;"CN",N(H546)&lt;=0),"공급가보정 ","")&amp;IF(AND(B546="CN",N(I546)&lt;=0),"중국공급가=원가+마진 ",""))</f>
        <v/>
      </c>
      <c r="Q546" s="47" t="n">
        <f aca="false">IF(SUMIFS($W:$W,$A:$A,A546,$C:$C,C546)=0,0,SUMIFS(RAW_판매펀칭!$K:$K,RAW_판매펀칭!$P:$P,A546,RAW_판매펀칭!$I:$I,C546)*W546/SUMIFS($W:$W,$A:$A,A546,$C:$C,C546))</f>
        <v>82</v>
      </c>
      <c r="R546" s="47" t="n">
        <f aca="false">IF(OR(A546="500",A546="800",A546="810"),0,MAX(W546-Q546,0))</f>
        <v>0</v>
      </c>
      <c r="S546" s="47" t="n">
        <f aca="false">R546*L546</f>
        <v>0</v>
      </c>
      <c r="T546" s="47" t="n">
        <f aca="false">R546*J546</f>
        <v>0</v>
      </c>
      <c r="U546" s="47" t="n">
        <f aca="false">R546*K546</f>
        <v>0</v>
      </c>
      <c r="V546" s="0" t="str">
        <f aca="false">IF(COUNTIFS($A$2:A546,A546,$C$2:C546,C546,$D$2:D546,D546)&gt;1,"중복","")</f>
        <v/>
      </c>
      <c r="W546" s="0" t="n">
        <f aca="false">IF(V546="중복",0,N(D546))</f>
        <v>82</v>
      </c>
      <c r="X546" s="0" t="n">
        <f aca="false">IF(COUNTIFS($A$2:A546,A546,$C$2:C546,C546)=1,ABS(SUMIFS(RAW_발주!$D:$D,RAW_발주!$C:$C,A546,RAW_발주!$A:$A,C546)-SUMIFS($W:$W,$A:$A,A546,$C:$C,C546)),0)</f>
        <v>0</v>
      </c>
    </row>
    <row r="547" customFormat="false" ht="15" hidden="false" customHeight="true" outlineLevel="0" collapsed="false">
      <c r="A547" s="45" t="s">
        <v>1659</v>
      </c>
      <c r="B547" s="42" t="str">
        <f aca="false">IF(A547="100","HK",IF(A547="200","CN",IF(A547="300","TW","홀세일")))</f>
        <v>HK</v>
      </c>
      <c r="C547" s="45" t="s">
        <v>336</v>
      </c>
      <c r="D547" s="46" t="n">
        <v>90</v>
      </c>
      <c r="E547" s="46" t="n">
        <v>109000</v>
      </c>
      <c r="F547" s="46" t="n">
        <v>27700</v>
      </c>
      <c r="G547" s="42" t="n">
        <v>4.38</v>
      </c>
      <c r="H547" s="42" t="n">
        <v>27.3</v>
      </c>
      <c r="J547" s="46" t="n">
        <f aca="false">IF(N(E547)&gt;0,E547,IF(N(F547)&gt;0,F547*요약!$F$27,0))</f>
        <v>109000</v>
      </c>
      <c r="K547" s="46" t="n">
        <f aca="false">IF(N(F547)&gt;0,F547,IF(N(E547)&gt;0,E547/요약!$F$27,0))</f>
        <v>27700</v>
      </c>
      <c r="L547" s="46" t="n">
        <f aca="false">IF(B547="CN",IF(N(I547)&gt;0,I547*요약!$G$27,K547*(1+요약!$E$27)),IF(N(H547)&gt;0,H547*요약!$G$27,J547*요약!$D$27))</f>
        <v>36036</v>
      </c>
      <c r="M547" s="46" t="n">
        <f aca="false">D547*J547</f>
        <v>9810000</v>
      </c>
      <c r="N547" s="46" t="n">
        <f aca="false">D547*K547</f>
        <v>2493000</v>
      </c>
      <c r="O547" s="46" t="n">
        <f aca="false">D547*L547</f>
        <v>3243240</v>
      </c>
      <c r="P547" s="42" t="str">
        <f aca="false">TRIM(IF(N(E547)&lt;=0,"택가보정 ","")&amp;IF(N(F547)&lt;=0,"원가보정 ","")&amp;IF(AND(B547&lt;&gt;"CN",N(H547)&lt;=0),"공급가보정 ","")&amp;IF(AND(B547="CN",N(I547)&lt;=0),"중국공급가=원가+마진 ",""))</f>
        <v/>
      </c>
      <c r="Q547" s="47" t="n">
        <f aca="false">IF(SUMIFS($W:$W,$A:$A,A547,$C:$C,C547)=0,0,SUMIFS(RAW_판매펀칭!$K:$K,RAW_판매펀칭!$P:$P,A547,RAW_판매펀칭!$I:$I,C547)*W547/SUMIFS($W:$W,$A:$A,A547,$C:$C,C547))</f>
        <v>90</v>
      </c>
      <c r="R547" s="47" t="n">
        <f aca="false">IF(OR(A547="500",A547="800",A547="810"),0,MAX(W547-Q547,0))</f>
        <v>0</v>
      </c>
      <c r="S547" s="47" t="n">
        <f aca="false">R547*L547</f>
        <v>0</v>
      </c>
      <c r="T547" s="47" t="n">
        <f aca="false">R547*J547</f>
        <v>0</v>
      </c>
      <c r="U547" s="47" t="n">
        <f aca="false">R547*K547</f>
        <v>0</v>
      </c>
      <c r="V547" s="0" t="str">
        <f aca="false">IF(COUNTIFS($A$2:A547,A547,$C$2:C547,C547,$D$2:D547,D547)&gt;1,"중복","")</f>
        <v/>
      </c>
      <c r="W547" s="0" t="n">
        <f aca="false">IF(V547="중복",0,N(D547))</f>
        <v>90</v>
      </c>
      <c r="X547" s="0" t="n">
        <f aca="false">IF(COUNTIFS($A$2:A547,A547,$C$2:C547,C547)=1,ABS(SUMIFS(RAW_발주!$D:$D,RAW_발주!$C:$C,A547,RAW_발주!$A:$A,C547)-SUMIFS($W:$W,$A:$A,A547,$C:$C,C547)),0)</f>
        <v>0</v>
      </c>
    </row>
    <row r="548" customFormat="false" ht="15" hidden="false" customHeight="true" outlineLevel="0" collapsed="false">
      <c r="A548" s="45" t="s">
        <v>1661</v>
      </c>
      <c r="B548" s="42" t="str">
        <f aca="false">IF(A548="100","HK",IF(A548="200","CN",IF(A548="300","TW","홀세일")))</f>
        <v>TW</v>
      </c>
      <c r="C548" s="45" t="s">
        <v>336</v>
      </c>
      <c r="D548" s="46" t="n">
        <v>80</v>
      </c>
      <c r="E548" s="46" t="n">
        <v>109000</v>
      </c>
      <c r="F548" s="46" t="n">
        <v>27700</v>
      </c>
      <c r="G548" s="42" t="n">
        <v>4.38</v>
      </c>
      <c r="H548" s="42" t="n">
        <v>27.3</v>
      </c>
      <c r="J548" s="46" t="n">
        <f aca="false">IF(N(E548)&gt;0,E548,IF(N(F548)&gt;0,F548*요약!$F$27,0))</f>
        <v>109000</v>
      </c>
      <c r="K548" s="46" t="n">
        <f aca="false">IF(N(F548)&gt;0,F548,IF(N(E548)&gt;0,E548/요약!$F$27,0))</f>
        <v>27700</v>
      </c>
      <c r="L548" s="46" t="n">
        <f aca="false">IF(B548="CN",IF(N(I548)&gt;0,I548*요약!$G$27,K548*(1+요약!$E$27)),IF(N(H548)&gt;0,H548*요약!$G$27,J548*요약!$D$27))</f>
        <v>36036</v>
      </c>
      <c r="M548" s="46" t="n">
        <f aca="false">D548*J548</f>
        <v>8720000</v>
      </c>
      <c r="N548" s="46" t="n">
        <f aca="false">D548*K548</f>
        <v>2216000</v>
      </c>
      <c r="O548" s="46" t="n">
        <f aca="false">D548*L548</f>
        <v>2882880</v>
      </c>
      <c r="P548" s="42" t="str">
        <f aca="false">TRIM(IF(N(E548)&lt;=0,"택가보정 ","")&amp;IF(N(F548)&lt;=0,"원가보정 ","")&amp;IF(AND(B548&lt;&gt;"CN",N(H548)&lt;=0),"공급가보정 ","")&amp;IF(AND(B548="CN",N(I548)&lt;=0),"중국공급가=원가+마진 ",""))</f>
        <v/>
      </c>
      <c r="Q548" s="47" t="n">
        <f aca="false">IF(SUMIFS($W:$W,$A:$A,A548,$C:$C,C548)=0,0,SUMIFS(RAW_판매펀칭!$K:$K,RAW_판매펀칭!$P:$P,A548,RAW_판매펀칭!$I:$I,C548)*W548/SUMIFS($W:$W,$A:$A,A548,$C:$C,C548))</f>
        <v>80</v>
      </c>
      <c r="R548" s="47" t="n">
        <f aca="false">IF(OR(A548="500",A548="800",A548="810"),0,MAX(W548-Q548,0))</f>
        <v>0</v>
      </c>
      <c r="S548" s="47" t="n">
        <f aca="false">R548*L548</f>
        <v>0</v>
      </c>
      <c r="T548" s="47" t="n">
        <f aca="false">R548*J548</f>
        <v>0</v>
      </c>
      <c r="U548" s="47" t="n">
        <f aca="false">R548*K548</f>
        <v>0</v>
      </c>
      <c r="V548" s="0" t="str">
        <f aca="false">IF(COUNTIFS($A$2:A548,A548,$C$2:C548,C548,$D$2:D548,D548)&gt;1,"중복","")</f>
        <v/>
      </c>
      <c r="W548" s="0" t="n">
        <f aca="false">IF(V548="중복",0,N(D548))</f>
        <v>80</v>
      </c>
      <c r="X548" s="0" t="n">
        <f aca="false">IF(COUNTIFS($A$2:A548,A548,$C$2:C548,C548)=1,ABS(SUMIFS(RAW_발주!$D:$D,RAW_발주!$C:$C,A548,RAW_발주!$A:$A,C548)-SUMIFS($W:$W,$A:$A,A548,$C:$C,C548)),0)</f>
        <v>0</v>
      </c>
    </row>
    <row r="549" customFormat="false" ht="15" hidden="false" customHeight="true" outlineLevel="0" collapsed="false">
      <c r="A549" s="45" t="s">
        <v>1661</v>
      </c>
      <c r="B549" s="42" t="str">
        <f aca="false">IF(A549="100","HK",IF(A549="200","CN",IF(A549="300","TW","홀세일")))</f>
        <v>TW</v>
      </c>
      <c r="C549" s="45" t="s">
        <v>338</v>
      </c>
      <c r="D549" s="46" t="n">
        <v>550</v>
      </c>
      <c r="E549" s="46" t="n">
        <v>129000</v>
      </c>
      <c r="F549" s="46" t="n">
        <v>29716</v>
      </c>
      <c r="G549" s="42" t="n">
        <v>3.44</v>
      </c>
      <c r="H549" s="42" t="n">
        <v>32.3</v>
      </c>
      <c r="J549" s="46" t="n">
        <f aca="false">IF(N(E549)&gt;0,E549,IF(N(F549)&gt;0,F549*요약!$F$27,0))</f>
        <v>129000</v>
      </c>
      <c r="K549" s="46" t="n">
        <f aca="false">IF(N(F549)&gt;0,F549,IF(N(E549)&gt;0,E549/요약!$F$27,0))</f>
        <v>29716</v>
      </c>
      <c r="L549" s="46" t="n">
        <f aca="false">IF(B549="CN",IF(N(I549)&gt;0,I549*요약!$G$27,K549*(1+요약!$E$27)),IF(N(H549)&gt;0,H549*요약!$G$27,J549*요약!$D$27))</f>
        <v>42636</v>
      </c>
      <c r="M549" s="46" t="n">
        <f aca="false">D549*J549</f>
        <v>70950000</v>
      </c>
      <c r="N549" s="46" t="n">
        <f aca="false">D549*K549</f>
        <v>16343800</v>
      </c>
      <c r="O549" s="46" t="n">
        <f aca="false">D549*L549</f>
        <v>23449800</v>
      </c>
      <c r="P549" s="42" t="str">
        <f aca="false">TRIM(IF(N(E549)&lt;=0,"택가보정 ","")&amp;IF(N(F549)&lt;=0,"원가보정 ","")&amp;IF(AND(B549&lt;&gt;"CN",N(H549)&lt;=0),"공급가보정 ","")&amp;IF(AND(B549="CN",N(I549)&lt;=0),"중국공급가=원가+마진 ",""))</f>
        <v/>
      </c>
      <c r="Q549" s="47" t="n">
        <f aca="false">IF(SUMIFS($W:$W,$A:$A,A549,$C:$C,C549)=0,0,SUMIFS(RAW_판매펀칭!$K:$K,RAW_판매펀칭!$P:$P,A549,RAW_판매펀칭!$I:$I,C549)*W549/SUMIFS($W:$W,$A:$A,A549,$C:$C,C549))</f>
        <v>550</v>
      </c>
      <c r="R549" s="47" t="n">
        <f aca="false">IF(OR(A549="500",A549="800",A549="810"),0,MAX(W549-Q549,0))</f>
        <v>0</v>
      </c>
      <c r="S549" s="47" t="n">
        <f aca="false">R549*L549</f>
        <v>0</v>
      </c>
      <c r="T549" s="47" t="n">
        <f aca="false">R549*J549</f>
        <v>0</v>
      </c>
      <c r="U549" s="47" t="n">
        <f aca="false">R549*K549</f>
        <v>0</v>
      </c>
      <c r="V549" s="0" t="str">
        <f aca="false">IF(COUNTIFS($A$2:A549,A549,$C$2:C549,C549,$D$2:D549,D549)&gt;1,"중복","")</f>
        <v/>
      </c>
      <c r="W549" s="0" t="n">
        <f aca="false">IF(V549="중복",0,N(D549))</f>
        <v>550</v>
      </c>
      <c r="X549" s="0" t="n">
        <f aca="false">IF(COUNTIFS($A$2:A549,A549,$C$2:C549,C549)=1,ABS(SUMIFS(RAW_발주!$D:$D,RAW_발주!$C:$C,A549,RAW_발주!$A:$A,C549)-SUMIFS($W:$W,$A:$A,A549,$C:$C,C549)),0)</f>
        <v>0</v>
      </c>
    </row>
    <row r="550" customFormat="false" ht="15" hidden="false" customHeight="true" outlineLevel="0" collapsed="false">
      <c r="A550" s="45" t="s">
        <v>1663</v>
      </c>
      <c r="B550" s="42" t="str">
        <f aca="false">IF(A550="100","HK",IF(A550="200","CN",IF(A550="300","TW","홀세일")))</f>
        <v>홀세일</v>
      </c>
      <c r="C550" s="45" t="s">
        <v>338</v>
      </c>
      <c r="D550" s="46" t="n">
        <v>45</v>
      </c>
      <c r="E550" s="46" t="n">
        <v>129000</v>
      </c>
      <c r="F550" s="46" t="n">
        <v>29716</v>
      </c>
      <c r="G550" s="42" t="n">
        <v>3.44</v>
      </c>
      <c r="H550" s="42" t="n">
        <v>32.3</v>
      </c>
      <c r="J550" s="46" t="n">
        <f aca="false">IF(N(E550)&gt;0,E550,IF(N(F550)&gt;0,F550*요약!$F$27,0))</f>
        <v>129000</v>
      </c>
      <c r="K550" s="46" t="n">
        <f aca="false">IF(N(F550)&gt;0,F550,IF(N(E550)&gt;0,E550/요약!$F$27,0))</f>
        <v>29716</v>
      </c>
      <c r="L550" s="46" t="n">
        <f aca="false">IF(B550="CN",IF(N(I550)&gt;0,I550*요약!$G$27,K550*(1+요약!$E$27)),IF(N(H550)&gt;0,H550*요약!$G$27,J550*요약!$D$27))</f>
        <v>42636</v>
      </c>
      <c r="M550" s="46" t="n">
        <f aca="false">D550*J550</f>
        <v>5805000</v>
      </c>
      <c r="N550" s="46" t="n">
        <f aca="false">D550*K550</f>
        <v>1337220</v>
      </c>
      <c r="O550" s="46" t="n">
        <f aca="false">D550*L550</f>
        <v>1918620</v>
      </c>
      <c r="P550" s="42" t="str">
        <f aca="false">TRIM(IF(N(E550)&lt;=0,"택가보정 ","")&amp;IF(N(F550)&lt;=0,"원가보정 ","")&amp;IF(AND(B550&lt;&gt;"CN",N(H550)&lt;=0),"공급가보정 ","")&amp;IF(AND(B550="CN",N(I550)&lt;=0),"중국공급가=원가+마진 ",""))</f>
        <v/>
      </c>
      <c r="Q550" s="47" t="n">
        <f aca="false">IF(SUMIFS($W:$W,$A:$A,A550,$C:$C,C550)=0,0,SUMIFS(RAW_판매펀칭!$K:$K,RAW_판매펀칭!$P:$P,A550,RAW_판매펀칭!$I:$I,C550)*W550/SUMIFS($W:$W,$A:$A,A550,$C:$C,C550))</f>
        <v>45</v>
      </c>
      <c r="R550" s="47" t="n">
        <f aca="false">IF(OR(A550="500",A550="800",A550="810"),0,MAX(W550-Q550,0))</f>
        <v>0</v>
      </c>
      <c r="S550" s="47" t="n">
        <f aca="false">R550*L550</f>
        <v>0</v>
      </c>
      <c r="T550" s="47" t="n">
        <f aca="false">R550*J550</f>
        <v>0</v>
      </c>
      <c r="U550" s="47" t="n">
        <f aca="false">R550*K550</f>
        <v>0</v>
      </c>
      <c r="V550" s="0" t="str">
        <f aca="false">IF(COUNTIFS($A$2:A550,A550,$C$2:C550,C550,$D$2:D550,D550)&gt;1,"중복","")</f>
        <v/>
      </c>
      <c r="W550" s="0" t="n">
        <f aca="false">IF(V550="중복",0,N(D550))</f>
        <v>45</v>
      </c>
      <c r="X550" s="0" t="n">
        <f aca="false">IF(COUNTIFS($A$2:A550,A550,$C$2:C550,C550)=1,ABS(SUMIFS(RAW_발주!$D:$D,RAW_발주!$C:$C,A550,RAW_발주!$A:$A,C550)-SUMIFS($W:$W,$A:$A,A550,$C:$C,C550)),0)</f>
        <v>0</v>
      </c>
    </row>
    <row r="551" customFormat="false" ht="15" hidden="false" customHeight="true" outlineLevel="0" collapsed="false">
      <c r="A551" s="45" t="s">
        <v>1659</v>
      </c>
      <c r="B551" s="42" t="str">
        <f aca="false">IF(A551="100","HK",IF(A551="200","CN",IF(A551="300","TW","홀세일")))</f>
        <v>HK</v>
      </c>
      <c r="C551" s="45" t="s">
        <v>340</v>
      </c>
      <c r="D551" s="46" t="n">
        <v>90</v>
      </c>
      <c r="E551" s="46" t="n">
        <v>119000</v>
      </c>
      <c r="F551" s="46" t="n">
        <v>26709</v>
      </c>
      <c r="G551" s="42" t="n">
        <v>4.24</v>
      </c>
      <c r="H551" s="42" t="n">
        <v>29.8</v>
      </c>
      <c r="J551" s="46" t="n">
        <f aca="false">IF(N(E551)&gt;0,E551,IF(N(F551)&gt;0,F551*요약!$F$27,0))</f>
        <v>119000</v>
      </c>
      <c r="K551" s="46" t="n">
        <f aca="false">IF(N(F551)&gt;0,F551,IF(N(E551)&gt;0,E551/요약!$F$27,0))</f>
        <v>26709</v>
      </c>
      <c r="L551" s="46" t="n">
        <f aca="false">IF(B551="CN",IF(N(I551)&gt;0,I551*요약!$G$27,K551*(1+요약!$E$27)),IF(N(H551)&gt;0,H551*요약!$G$27,J551*요약!$D$27))</f>
        <v>39336</v>
      </c>
      <c r="M551" s="46" t="n">
        <f aca="false">D551*J551</f>
        <v>10710000</v>
      </c>
      <c r="N551" s="46" t="n">
        <f aca="false">D551*K551</f>
        <v>2403810</v>
      </c>
      <c r="O551" s="46" t="n">
        <f aca="false">D551*L551</f>
        <v>3540240</v>
      </c>
      <c r="P551" s="42" t="str">
        <f aca="false">TRIM(IF(N(E551)&lt;=0,"택가보정 ","")&amp;IF(N(F551)&lt;=0,"원가보정 ","")&amp;IF(AND(B551&lt;&gt;"CN",N(H551)&lt;=0),"공급가보정 ","")&amp;IF(AND(B551="CN",N(I551)&lt;=0),"중국공급가=원가+마진 ",""))</f>
        <v/>
      </c>
      <c r="Q551" s="47" t="n">
        <f aca="false">IF(SUMIFS($W:$W,$A:$A,A551,$C:$C,C551)=0,0,SUMIFS(RAW_판매펀칭!$K:$K,RAW_판매펀칭!$P:$P,A551,RAW_판매펀칭!$I:$I,C551)*W551/SUMIFS($W:$W,$A:$A,A551,$C:$C,C551))</f>
        <v>90</v>
      </c>
      <c r="R551" s="47" t="n">
        <f aca="false">IF(OR(A551="500",A551="800",A551="810"),0,MAX(W551-Q551,0))</f>
        <v>0</v>
      </c>
      <c r="S551" s="47" t="n">
        <f aca="false">R551*L551</f>
        <v>0</v>
      </c>
      <c r="T551" s="47" t="n">
        <f aca="false">R551*J551</f>
        <v>0</v>
      </c>
      <c r="U551" s="47" t="n">
        <f aca="false">R551*K551</f>
        <v>0</v>
      </c>
      <c r="V551" s="0" t="str">
        <f aca="false">IF(COUNTIFS($A$2:A551,A551,$C$2:C551,C551,$D$2:D551,D551)&gt;1,"중복","")</f>
        <v/>
      </c>
      <c r="W551" s="0" t="n">
        <f aca="false">IF(V551="중복",0,N(D551))</f>
        <v>90</v>
      </c>
      <c r="X551" s="0" t="n">
        <f aca="false">IF(COUNTIFS($A$2:A551,A551,$C$2:C551,C551)=1,ABS(SUMIFS(RAW_발주!$D:$D,RAW_발주!$C:$C,A551,RAW_발주!$A:$A,C551)-SUMIFS($W:$W,$A:$A,A551,$C:$C,C551)),0)</f>
        <v>0</v>
      </c>
    </row>
    <row r="552" customFormat="false" ht="15.75" hidden="false" customHeight="true" outlineLevel="0" collapsed="false">
      <c r="A552" s="45" t="s">
        <v>1660</v>
      </c>
      <c r="B552" s="42" t="str">
        <f aca="false">IF(A552="100","HK",IF(A552="200","CN",IF(A552="300","TW","홀세일")))</f>
        <v>CN</v>
      </c>
      <c r="C552" s="45" t="s">
        <v>340</v>
      </c>
      <c r="D552" s="46" t="n">
        <v>141</v>
      </c>
      <c r="E552" s="46" t="n">
        <v>119000</v>
      </c>
      <c r="F552" s="46" t="n">
        <v>26709</v>
      </c>
      <c r="G552" s="42" t="n">
        <v>4.24</v>
      </c>
      <c r="H552" s="42" t="n">
        <v>29.8</v>
      </c>
      <c r="J552" s="46" t="n">
        <f aca="false">IF(N(E552)&gt;0,E552,IF(N(F552)&gt;0,F552*요약!$F$27,0))</f>
        <v>119000</v>
      </c>
      <c r="K552" s="46" t="n">
        <f aca="false">IF(N(F552)&gt;0,F552,IF(N(E552)&gt;0,E552/요약!$F$27,0))</f>
        <v>26709</v>
      </c>
      <c r="L552" s="46" t="n">
        <f aca="false">IF(B552="CN",IF(N(I552)&gt;0,I552*요약!$G$27,K552*(1+요약!$E$27)),IF(N(H552)&gt;0,H552*요약!$G$27,J552*요약!$D$27))</f>
        <v>28044.45</v>
      </c>
      <c r="M552" s="46" t="n">
        <f aca="false">D552*J552</f>
        <v>16779000</v>
      </c>
      <c r="N552" s="46" t="n">
        <f aca="false">D552*K552</f>
        <v>3765969</v>
      </c>
      <c r="O552" s="46" t="n">
        <f aca="false">D552*L552</f>
        <v>3954267.45</v>
      </c>
      <c r="P552" s="42" t="str">
        <f aca="false">TRIM(IF(N(E552)&lt;=0,"택가보정 ","")&amp;IF(N(F552)&lt;=0,"원가보정 ","")&amp;IF(AND(B552&lt;&gt;"CN",N(H552)&lt;=0),"공급가보정 ","")&amp;IF(AND(B552="CN",N(I552)&lt;=0),"중국공급가=원가+마진 ",""))</f>
        <v>중국공급가=원가+마진</v>
      </c>
      <c r="Q552" s="47" t="n">
        <f aca="false">IF(SUMIFS($W:$W,$A:$A,A552,$C:$C,C552)=0,0,SUMIFS(RAW_판매펀칭!$K:$K,RAW_판매펀칭!$P:$P,A552,RAW_판매펀칭!$I:$I,C552)*W552/SUMIFS($W:$W,$A:$A,A552,$C:$C,C552))</f>
        <v>127</v>
      </c>
      <c r="R552" s="47" t="n">
        <f aca="false">IF(OR(A552="500",A552="800",A552="810"),0,MAX(W552-Q552,0))</f>
        <v>14</v>
      </c>
      <c r="S552" s="47" t="n">
        <f aca="false">R552*L552</f>
        <v>392622.3</v>
      </c>
      <c r="T552" s="47" t="n">
        <f aca="false">R552*J552</f>
        <v>1666000</v>
      </c>
      <c r="U552" s="47" t="n">
        <f aca="false">R552*K552</f>
        <v>373926</v>
      </c>
      <c r="V552" s="0" t="str">
        <f aca="false">IF(COUNTIFS($A$2:A552,A552,$C$2:C552,C552,$D$2:D552,D552)&gt;1,"중복","")</f>
        <v/>
      </c>
      <c r="W552" s="0" t="n">
        <f aca="false">IF(V552="중복",0,N(D552))</f>
        <v>141</v>
      </c>
      <c r="X552" s="0" t="n">
        <f aca="false">IF(COUNTIFS($A$2:A552,A552,$C$2:C552,C552)=1,ABS(SUMIFS(RAW_발주!$D:$D,RAW_발주!$C:$C,A552,RAW_발주!$A:$A,C552)-SUMIFS($W:$W,$A:$A,A552,$C:$C,C552)),0)</f>
        <v>0</v>
      </c>
    </row>
    <row r="553" customFormat="false" ht="15" hidden="false" customHeight="true" outlineLevel="0" collapsed="false">
      <c r="A553" s="45" t="s">
        <v>1661</v>
      </c>
      <c r="B553" s="42" t="str">
        <f aca="false">IF(A553="100","HK",IF(A553="200","CN",IF(A553="300","TW","홀세일")))</f>
        <v>TW</v>
      </c>
      <c r="C553" s="45" t="s">
        <v>340</v>
      </c>
      <c r="D553" s="46" t="n">
        <v>200</v>
      </c>
      <c r="E553" s="46" t="n">
        <v>119000</v>
      </c>
      <c r="F553" s="46" t="n">
        <v>26709</v>
      </c>
      <c r="G553" s="42" t="n">
        <v>4.24</v>
      </c>
      <c r="H553" s="42" t="n">
        <v>29.8</v>
      </c>
      <c r="J553" s="46" t="n">
        <f aca="false">IF(N(E553)&gt;0,E553,IF(N(F553)&gt;0,F553*요약!$F$27,0))</f>
        <v>119000</v>
      </c>
      <c r="K553" s="46" t="n">
        <f aca="false">IF(N(F553)&gt;0,F553,IF(N(E553)&gt;0,E553/요약!$F$27,0))</f>
        <v>26709</v>
      </c>
      <c r="L553" s="46" t="n">
        <f aca="false">IF(B553="CN",IF(N(I553)&gt;0,I553*요약!$G$27,K553*(1+요약!$E$27)),IF(N(H553)&gt;0,H553*요약!$G$27,J553*요약!$D$27))</f>
        <v>39336</v>
      </c>
      <c r="M553" s="46" t="n">
        <f aca="false">D553*J553</f>
        <v>23800000</v>
      </c>
      <c r="N553" s="46" t="n">
        <f aca="false">D553*K553</f>
        <v>5341800</v>
      </c>
      <c r="O553" s="46" t="n">
        <f aca="false">D553*L553</f>
        <v>7867200</v>
      </c>
      <c r="P553" s="42" t="str">
        <f aca="false">TRIM(IF(N(E553)&lt;=0,"택가보정 ","")&amp;IF(N(F553)&lt;=0,"원가보정 ","")&amp;IF(AND(B553&lt;&gt;"CN",N(H553)&lt;=0),"공급가보정 ","")&amp;IF(AND(B553="CN",N(I553)&lt;=0),"중국공급가=원가+마진 ",""))</f>
        <v/>
      </c>
      <c r="Q553" s="47" t="n">
        <f aca="false">IF(SUMIFS($W:$W,$A:$A,A553,$C:$C,C553)=0,0,SUMIFS(RAW_판매펀칭!$K:$K,RAW_판매펀칭!$P:$P,A553,RAW_판매펀칭!$I:$I,C553)*W553/SUMIFS($W:$W,$A:$A,A553,$C:$C,C553))</f>
        <v>200</v>
      </c>
      <c r="R553" s="47" t="n">
        <f aca="false">IF(OR(A553="500",A553="800",A553="810"),0,MAX(W553-Q553,0))</f>
        <v>0</v>
      </c>
      <c r="S553" s="47" t="n">
        <f aca="false">R553*L553</f>
        <v>0</v>
      </c>
      <c r="T553" s="47" t="n">
        <f aca="false">R553*J553</f>
        <v>0</v>
      </c>
      <c r="U553" s="47" t="n">
        <f aca="false">R553*K553</f>
        <v>0</v>
      </c>
      <c r="V553" s="0" t="str">
        <f aca="false">IF(COUNTIFS($A$2:A553,A553,$C$2:C553,C553,$D$2:D553,D553)&gt;1,"중복","")</f>
        <v/>
      </c>
      <c r="W553" s="0" t="n">
        <f aca="false">IF(V553="중복",0,N(D553))</f>
        <v>200</v>
      </c>
      <c r="X553" s="0" t="n">
        <f aca="false">IF(COUNTIFS($A$2:A553,A553,$C$2:C553,C553)=1,ABS(SUMIFS(RAW_발주!$D:$D,RAW_발주!$C:$C,A553,RAW_발주!$A:$A,C553)-SUMIFS($W:$W,$A:$A,A553,$C:$C,C553)),0)</f>
        <v>0</v>
      </c>
    </row>
    <row r="554" customFormat="false" ht="15" hidden="false" customHeight="true" outlineLevel="0" collapsed="false">
      <c r="A554" s="45" t="s">
        <v>1663</v>
      </c>
      <c r="B554" s="42" t="str">
        <f aca="false">IF(A554="100","HK",IF(A554="200","CN",IF(A554="300","TW","홀세일")))</f>
        <v>홀세일</v>
      </c>
      <c r="C554" s="45" t="s">
        <v>340</v>
      </c>
      <c r="D554" s="46" t="n">
        <v>40</v>
      </c>
      <c r="E554" s="46" t="n">
        <v>119000</v>
      </c>
      <c r="F554" s="46" t="n">
        <v>26709</v>
      </c>
      <c r="G554" s="42" t="n">
        <v>4.24</v>
      </c>
      <c r="H554" s="42" t="n">
        <v>29.8</v>
      </c>
      <c r="J554" s="46" t="n">
        <f aca="false">IF(N(E554)&gt;0,E554,IF(N(F554)&gt;0,F554*요약!$F$27,0))</f>
        <v>119000</v>
      </c>
      <c r="K554" s="46" t="n">
        <f aca="false">IF(N(F554)&gt;0,F554,IF(N(E554)&gt;0,E554/요약!$F$27,0))</f>
        <v>26709</v>
      </c>
      <c r="L554" s="46" t="n">
        <f aca="false">IF(B554="CN",IF(N(I554)&gt;0,I554*요약!$G$27,K554*(1+요약!$E$27)),IF(N(H554)&gt;0,H554*요약!$G$27,J554*요약!$D$27))</f>
        <v>39336</v>
      </c>
      <c r="M554" s="46" t="n">
        <f aca="false">D554*J554</f>
        <v>4760000</v>
      </c>
      <c r="N554" s="46" t="n">
        <f aca="false">D554*K554</f>
        <v>1068360</v>
      </c>
      <c r="O554" s="46" t="n">
        <f aca="false">D554*L554</f>
        <v>1573440</v>
      </c>
      <c r="P554" s="42" t="str">
        <f aca="false">TRIM(IF(N(E554)&lt;=0,"택가보정 ","")&amp;IF(N(F554)&lt;=0,"원가보정 ","")&amp;IF(AND(B554&lt;&gt;"CN",N(H554)&lt;=0),"공급가보정 ","")&amp;IF(AND(B554="CN",N(I554)&lt;=0),"중국공급가=원가+마진 ",""))</f>
        <v/>
      </c>
      <c r="Q554" s="47" t="n">
        <f aca="false">IF(SUMIFS($W:$W,$A:$A,A554,$C:$C,C554)=0,0,SUMIFS(RAW_판매펀칭!$K:$K,RAW_판매펀칭!$P:$P,A554,RAW_판매펀칭!$I:$I,C554)*W554/SUMIFS($W:$W,$A:$A,A554,$C:$C,C554))</f>
        <v>40</v>
      </c>
      <c r="R554" s="47" t="n">
        <f aca="false">IF(OR(A554="500",A554="800",A554="810"),0,MAX(W554-Q554,0))</f>
        <v>0</v>
      </c>
      <c r="S554" s="47" t="n">
        <f aca="false">R554*L554</f>
        <v>0</v>
      </c>
      <c r="T554" s="47" t="n">
        <f aca="false">R554*J554</f>
        <v>0</v>
      </c>
      <c r="U554" s="47" t="n">
        <f aca="false">R554*K554</f>
        <v>0</v>
      </c>
      <c r="V554" s="0" t="str">
        <f aca="false">IF(COUNTIFS($A$2:A554,A554,$C$2:C554,C554,$D$2:D554,D554)&gt;1,"중복","")</f>
        <v/>
      </c>
      <c r="W554" s="0" t="n">
        <f aca="false">IF(V554="중복",0,N(D554))</f>
        <v>40</v>
      </c>
      <c r="X554" s="0" t="n">
        <f aca="false">IF(COUNTIFS($A$2:A554,A554,$C$2:C554,C554)=1,ABS(SUMIFS(RAW_발주!$D:$D,RAW_발주!$C:$C,A554,RAW_발주!$A:$A,C554)-SUMIFS($W:$W,$A:$A,A554,$C:$C,C554)),0)</f>
        <v>0</v>
      </c>
    </row>
    <row r="555" customFormat="false" ht="15.75" hidden="false" customHeight="true" outlineLevel="0" collapsed="false">
      <c r="A555" s="45" t="s">
        <v>1660</v>
      </c>
      <c r="B555" s="42" t="str">
        <f aca="false">IF(A555="100","HK",IF(A555="200","CN",IF(A555="300","TW","홀세일")))</f>
        <v>CN</v>
      </c>
      <c r="C555" s="45" t="s">
        <v>1049</v>
      </c>
      <c r="D555" s="46" t="n">
        <v>257</v>
      </c>
      <c r="E555" s="46" t="n">
        <v>109000</v>
      </c>
      <c r="F555" s="46" t="n">
        <v>22939</v>
      </c>
      <c r="G555" s="42" t="n">
        <v>4.16</v>
      </c>
      <c r="H555" s="42" t="n">
        <v>27.3</v>
      </c>
      <c r="J555" s="46" t="n">
        <f aca="false">IF(N(E555)&gt;0,E555,IF(N(F555)&gt;0,F555*요약!$F$27,0))</f>
        <v>109000</v>
      </c>
      <c r="K555" s="46" t="n">
        <f aca="false">IF(N(F555)&gt;0,F555,IF(N(E555)&gt;0,E555/요약!$F$27,0))</f>
        <v>22939</v>
      </c>
      <c r="L555" s="46" t="n">
        <f aca="false">IF(B555="CN",IF(N(I555)&gt;0,I555*요약!$G$27,K555*(1+요약!$E$27)),IF(N(H555)&gt;0,H555*요약!$G$27,J555*요약!$D$27))</f>
        <v>24085.95</v>
      </c>
      <c r="M555" s="46" t="n">
        <f aca="false">D555*J555</f>
        <v>28013000</v>
      </c>
      <c r="N555" s="46" t="n">
        <f aca="false">D555*K555</f>
        <v>5895323</v>
      </c>
      <c r="O555" s="46" t="n">
        <f aca="false">D555*L555</f>
        <v>6190089.15</v>
      </c>
      <c r="P555" s="42" t="str">
        <f aca="false">TRIM(IF(N(E555)&lt;=0,"택가보정 ","")&amp;IF(N(F555)&lt;=0,"원가보정 ","")&amp;IF(AND(B555&lt;&gt;"CN",N(H555)&lt;=0),"공급가보정 ","")&amp;IF(AND(B555="CN",N(I555)&lt;=0),"중국공급가=원가+마진 ",""))</f>
        <v>중국공급가=원가+마진</v>
      </c>
      <c r="Q555" s="47" t="n">
        <f aca="false">IF(SUMIFS($W:$W,$A:$A,A555,$C:$C,C555)=0,0,SUMIFS(RAW_판매펀칭!$K:$K,RAW_판매펀칭!$P:$P,A555,RAW_판매펀칭!$I:$I,C555)*W555/SUMIFS($W:$W,$A:$A,A555,$C:$C,C555))</f>
        <v>255</v>
      </c>
      <c r="R555" s="47" t="n">
        <f aca="false">IF(OR(A555="500",A555="800",A555="810"),0,MAX(W555-Q555,0))</f>
        <v>2</v>
      </c>
      <c r="S555" s="47" t="n">
        <f aca="false">R555*L555</f>
        <v>48171.9</v>
      </c>
      <c r="T555" s="47" t="n">
        <f aca="false">R555*J555</f>
        <v>218000</v>
      </c>
      <c r="U555" s="47" t="n">
        <f aca="false">R555*K555</f>
        <v>45878</v>
      </c>
      <c r="V555" s="0" t="str">
        <f aca="false">IF(COUNTIFS($A$2:A555,A555,$C$2:C555,C555,$D$2:D555,D555)&gt;1,"중복","")</f>
        <v/>
      </c>
      <c r="W555" s="0" t="n">
        <f aca="false">IF(V555="중복",0,N(D555))</f>
        <v>257</v>
      </c>
      <c r="X555" s="0" t="n">
        <f aca="false">IF(COUNTIFS($A$2:A555,A555,$C$2:C555,C555)=1,ABS(SUMIFS(RAW_발주!$D:$D,RAW_발주!$C:$C,A555,RAW_발주!$A:$A,C555)-SUMIFS($W:$W,$A:$A,A555,$C:$C,C555)),0)</f>
        <v>0</v>
      </c>
    </row>
    <row r="556" customFormat="false" ht="15" hidden="false" customHeight="true" outlineLevel="0" collapsed="false">
      <c r="A556" s="45" t="s">
        <v>1659</v>
      </c>
      <c r="B556" s="42" t="str">
        <f aca="false">IF(A556="100","HK",IF(A556="200","CN",IF(A556="300","TW","홀세일")))</f>
        <v>HK</v>
      </c>
      <c r="C556" s="45" t="s">
        <v>342</v>
      </c>
      <c r="D556" s="46" t="n">
        <v>320</v>
      </c>
      <c r="E556" s="46" t="n">
        <v>169000</v>
      </c>
      <c r="F556" s="46" t="n">
        <v>28695</v>
      </c>
      <c r="G556" s="42" t="n">
        <v>4.51</v>
      </c>
      <c r="H556" s="42" t="n">
        <v>44.9</v>
      </c>
      <c r="J556" s="46" t="n">
        <f aca="false">IF(N(E556)&gt;0,E556,IF(N(F556)&gt;0,F556*요약!$F$27,0))</f>
        <v>169000</v>
      </c>
      <c r="K556" s="46" t="n">
        <f aca="false">IF(N(F556)&gt;0,F556,IF(N(E556)&gt;0,E556/요약!$F$27,0))</f>
        <v>28695</v>
      </c>
      <c r="L556" s="46" t="n">
        <f aca="false">IF(B556="CN",IF(N(I556)&gt;0,I556*요약!$G$27,K556*(1+요약!$E$27)),IF(N(H556)&gt;0,H556*요약!$G$27,J556*요약!$D$27))</f>
        <v>59268</v>
      </c>
      <c r="M556" s="46" t="n">
        <f aca="false">D556*J556</f>
        <v>54080000</v>
      </c>
      <c r="N556" s="46" t="n">
        <f aca="false">D556*K556</f>
        <v>9182400</v>
      </c>
      <c r="O556" s="46" t="n">
        <f aca="false">D556*L556</f>
        <v>18965760</v>
      </c>
      <c r="P556" s="42" t="str">
        <f aca="false">TRIM(IF(N(E556)&lt;=0,"택가보정 ","")&amp;IF(N(F556)&lt;=0,"원가보정 ","")&amp;IF(AND(B556&lt;&gt;"CN",N(H556)&lt;=0),"공급가보정 ","")&amp;IF(AND(B556="CN",N(I556)&lt;=0),"중국공급가=원가+마진 ",""))</f>
        <v/>
      </c>
      <c r="Q556" s="47" t="n">
        <f aca="false">IF(SUMIFS($W:$W,$A:$A,A556,$C:$C,C556)=0,0,SUMIFS(RAW_판매펀칭!$K:$K,RAW_판매펀칭!$P:$P,A556,RAW_판매펀칭!$I:$I,C556)*W556/SUMIFS($W:$W,$A:$A,A556,$C:$C,C556))</f>
        <v>320</v>
      </c>
      <c r="R556" s="47" t="n">
        <f aca="false">IF(OR(A556="500",A556="800",A556="810"),0,MAX(W556-Q556,0))</f>
        <v>0</v>
      </c>
      <c r="S556" s="47" t="n">
        <f aca="false">R556*L556</f>
        <v>0</v>
      </c>
      <c r="T556" s="47" t="n">
        <f aca="false">R556*J556</f>
        <v>0</v>
      </c>
      <c r="U556" s="47" t="n">
        <f aca="false">R556*K556</f>
        <v>0</v>
      </c>
      <c r="V556" s="0" t="str">
        <f aca="false">IF(COUNTIFS($A$2:A556,A556,$C$2:C556,C556,$D$2:D556,D556)&gt;1,"중복","")</f>
        <v/>
      </c>
      <c r="W556" s="0" t="n">
        <f aca="false">IF(V556="중복",0,N(D556))</f>
        <v>320</v>
      </c>
      <c r="X556" s="0" t="n">
        <f aca="false">IF(COUNTIFS($A$2:A556,A556,$C$2:C556,C556)=1,ABS(SUMIFS(RAW_발주!$D:$D,RAW_발주!$C:$C,A556,RAW_발주!$A:$A,C556)-SUMIFS($W:$W,$A:$A,A556,$C:$C,C556)),0)</f>
        <v>0</v>
      </c>
    </row>
    <row r="557" customFormat="false" ht="15" hidden="false" customHeight="true" outlineLevel="0" collapsed="false">
      <c r="A557" s="45" t="s">
        <v>1661</v>
      </c>
      <c r="B557" s="42" t="str">
        <f aca="false">IF(A557="100","HK",IF(A557="200","CN",IF(A557="300","TW","홀세일")))</f>
        <v>TW</v>
      </c>
      <c r="C557" s="45" t="s">
        <v>342</v>
      </c>
      <c r="D557" s="46" t="n">
        <v>300</v>
      </c>
      <c r="E557" s="46" t="n">
        <v>169000</v>
      </c>
      <c r="F557" s="46" t="n">
        <v>28695</v>
      </c>
      <c r="G557" s="42" t="n">
        <v>4.51</v>
      </c>
      <c r="H557" s="42" t="n">
        <v>44.9</v>
      </c>
      <c r="J557" s="46" t="n">
        <f aca="false">IF(N(E557)&gt;0,E557,IF(N(F557)&gt;0,F557*요약!$F$27,0))</f>
        <v>169000</v>
      </c>
      <c r="K557" s="46" t="n">
        <f aca="false">IF(N(F557)&gt;0,F557,IF(N(E557)&gt;0,E557/요약!$F$27,0))</f>
        <v>28695</v>
      </c>
      <c r="L557" s="46" t="n">
        <f aca="false">IF(B557="CN",IF(N(I557)&gt;0,I557*요약!$G$27,K557*(1+요약!$E$27)),IF(N(H557)&gt;0,H557*요약!$G$27,J557*요약!$D$27))</f>
        <v>59268</v>
      </c>
      <c r="M557" s="46" t="n">
        <f aca="false">D557*J557</f>
        <v>50700000</v>
      </c>
      <c r="N557" s="46" t="n">
        <f aca="false">D557*K557</f>
        <v>8608500</v>
      </c>
      <c r="O557" s="46" t="n">
        <f aca="false">D557*L557</f>
        <v>17780400</v>
      </c>
      <c r="P557" s="42" t="str">
        <f aca="false">TRIM(IF(N(E557)&lt;=0,"택가보정 ","")&amp;IF(N(F557)&lt;=0,"원가보정 ","")&amp;IF(AND(B557&lt;&gt;"CN",N(H557)&lt;=0),"공급가보정 ","")&amp;IF(AND(B557="CN",N(I557)&lt;=0),"중국공급가=원가+마진 ",""))</f>
        <v/>
      </c>
      <c r="Q557" s="47" t="n">
        <f aca="false">IF(SUMIFS($W:$W,$A:$A,A557,$C:$C,C557)=0,0,SUMIFS(RAW_판매펀칭!$K:$K,RAW_판매펀칭!$P:$P,A557,RAW_판매펀칭!$I:$I,C557)*W557/SUMIFS($W:$W,$A:$A,A557,$C:$C,C557))</f>
        <v>300</v>
      </c>
      <c r="R557" s="47" t="n">
        <f aca="false">IF(OR(A557="500",A557="800",A557="810"),0,MAX(W557-Q557,0))</f>
        <v>0</v>
      </c>
      <c r="S557" s="47" t="n">
        <f aca="false">R557*L557</f>
        <v>0</v>
      </c>
      <c r="T557" s="47" t="n">
        <f aca="false">R557*J557</f>
        <v>0</v>
      </c>
      <c r="U557" s="47" t="n">
        <f aca="false">R557*K557</f>
        <v>0</v>
      </c>
      <c r="V557" s="0" t="str">
        <f aca="false">IF(COUNTIFS($A$2:A557,A557,$C$2:C557,C557,$D$2:D557,D557)&gt;1,"중복","")</f>
        <v/>
      </c>
      <c r="W557" s="0" t="n">
        <f aca="false">IF(V557="중복",0,N(D557))</f>
        <v>300</v>
      </c>
      <c r="X557" s="0" t="n">
        <f aca="false">IF(COUNTIFS($A$2:A557,A557,$C$2:C557,C557)=1,ABS(SUMIFS(RAW_발주!$D:$D,RAW_발주!$C:$C,A557,RAW_발주!$A:$A,C557)-SUMIFS($W:$W,$A:$A,A557,$C:$C,C557)),0)</f>
        <v>0</v>
      </c>
    </row>
    <row r="558" customFormat="false" ht="15" hidden="false" customHeight="true" outlineLevel="0" collapsed="false">
      <c r="A558" s="45" t="s">
        <v>1665</v>
      </c>
      <c r="B558" s="42" t="str">
        <f aca="false">IF(A558="100","HK",IF(A558="200","CN",IF(A558="300","TW","홀세일")))</f>
        <v>홀세일</v>
      </c>
      <c r="C558" s="45" t="s">
        <v>342</v>
      </c>
      <c r="D558" s="46" t="n">
        <v>204</v>
      </c>
      <c r="E558" s="46" t="n">
        <v>169000</v>
      </c>
      <c r="F558" s="46" t="n">
        <v>28695</v>
      </c>
      <c r="G558" s="42" t="n">
        <v>4.51</v>
      </c>
      <c r="H558" s="42" t="n">
        <v>44.9</v>
      </c>
      <c r="J558" s="46" t="n">
        <f aca="false">IF(N(E558)&gt;0,E558,IF(N(F558)&gt;0,F558*요약!$F$27,0))</f>
        <v>169000</v>
      </c>
      <c r="K558" s="46" t="n">
        <f aca="false">IF(N(F558)&gt;0,F558,IF(N(E558)&gt;0,E558/요약!$F$27,0))</f>
        <v>28695</v>
      </c>
      <c r="L558" s="46" t="n">
        <f aca="false">IF(B558="CN",IF(N(I558)&gt;0,I558*요약!$G$27,K558*(1+요약!$E$27)),IF(N(H558)&gt;0,H558*요약!$G$27,J558*요약!$D$27))</f>
        <v>59268</v>
      </c>
      <c r="M558" s="46" t="n">
        <f aca="false">D558*J558</f>
        <v>34476000</v>
      </c>
      <c r="N558" s="46" t="n">
        <f aca="false">D558*K558</f>
        <v>5853780</v>
      </c>
      <c r="O558" s="46" t="n">
        <f aca="false">D558*L558</f>
        <v>12090672</v>
      </c>
      <c r="P558" s="42" t="str">
        <f aca="false">TRIM(IF(N(E558)&lt;=0,"택가보정 ","")&amp;IF(N(F558)&lt;=0,"원가보정 ","")&amp;IF(AND(B558&lt;&gt;"CN",N(H558)&lt;=0),"공급가보정 ","")&amp;IF(AND(B558="CN",N(I558)&lt;=0),"중국공급가=원가+마진 ",""))</f>
        <v/>
      </c>
      <c r="Q558" s="47" t="n">
        <f aca="false">IF(SUMIFS($W:$W,$A:$A,A558,$C:$C,C558)=0,0,SUMIFS(RAW_판매펀칭!$K:$K,RAW_판매펀칭!$P:$P,A558,RAW_판매펀칭!$I:$I,C558)*W558/SUMIFS($W:$W,$A:$A,A558,$C:$C,C558))</f>
        <v>204</v>
      </c>
      <c r="R558" s="47" t="n">
        <f aca="false">IF(OR(A558="500",A558="800",A558="810"),0,MAX(W558-Q558,0))</f>
        <v>0</v>
      </c>
      <c r="S558" s="47" t="n">
        <f aca="false">R558*L558</f>
        <v>0</v>
      </c>
      <c r="T558" s="47" t="n">
        <f aca="false">R558*J558</f>
        <v>0</v>
      </c>
      <c r="U558" s="47" t="n">
        <f aca="false">R558*K558</f>
        <v>0</v>
      </c>
      <c r="V558" s="0" t="str">
        <f aca="false">IF(COUNTIFS($A$2:A558,A558,$C$2:C558,C558,$D$2:D558,D558)&gt;1,"중복","")</f>
        <v/>
      </c>
      <c r="W558" s="0" t="n">
        <f aca="false">IF(V558="중복",0,N(D558))</f>
        <v>204</v>
      </c>
      <c r="X558" s="0" t="n">
        <f aca="false">IF(COUNTIFS($A$2:A558,A558,$C$2:C558,C558)=1,ABS(SUMIFS(RAW_발주!$D:$D,RAW_발주!$C:$C,A558,RAW_발주!$A:$A,C558)-SUMIFS($W:$W,$A:$A,A558,$C:$C,C558)),0)</f>
        <v>0</v>
      </c>
    </row>
    <row r="559" customFormat="false" ht="15" hidden="false" customHeight="true" outlineLevel="0" collapsed="false">
      <c r="A559" s="45" t="s">
        <v>1661</v>
      </c>
      <c r="B559" s="42" t="str">
        <f aca="false">IF(A559="100","HK",IF(A559="200","CN",IF(A559="300","TW","홀세일")))</f>
        <v>TW</v>
      </c>
      <c r="C559" s="45" t="s">
        <v>344</v>
      </c>
      <c r="D559" s="46" t="n">
        <v>160</v>
      </c>
      <c r="E559" s="46" t="n">
        <v>159000</v>
      </c>
      <c r="F559" s="46" t="n">
        <v>27500</v>
      </c>
      <c r="G559" s="42" t="n">
        <v>4.82</v>
      </c>
      <c r="H559" s="42" t="n">
        <v>42.2</v>
      </c>
      <c r="J559" s="46" t="n">
        <f aca="false">IF(N(E559)&gt;0,E559,IF(N(F559)&gt;0,F559*요약!$F$27,0))</f>
        <v>159000</v>
      </c>
      <c r="K559" s="46" t="n">
        <f aca="false">IF(N(F559)&gt;0,F559,IF(N(E559)&gt;0,E559/요약!$F$27,0))</f>
        <v>27500</v>
      </c>
      <c r="L559" s="46" t="n">
        <f aca="false">IF(B559="CN",IF(N(I559)&gt;0,I559*요약!$G$27,K559*(1+요약!$E$27)),IF(N(H559)&gt;0,H559*요약!$G$27,J559*요약!$D$27))</f>
        <v>55704</v>
      </c>
      <c r="M559" s="46" t="n">
        <f aca="false">D559*J559</f>
        <v>25440000</v>
      </c>
      <c r="N559" s="46" t="n">
        <f aca="false">D559*K559</f>
        <v>4400000</v>
      </c>
      <c r="O559" s="46" t="n">
        <f aca="false">D559*L559</f>
        <v>8912640</v>
      </c>
      <c r="P559" s="42" t="str">
        <f aca="false">TRIM(IF(N(E559)&lt;=0,"택가보정 ","")&amp;IF(N(F559)&lt;=0,"원가보정 ","")&amp;IF(AND(B559&lt;&gt;"CN",N(H559)&lt;=0),"공급가보정 ","")&amp;IF(AND(B559="CN",N(I559)&lt;=0),"중국공급가=원가+마진 ",""))</f>
        <v/>
      </c>
      <c r="Q559" s="47" t="n">
        <f aca="false">IF(SUMIFS($W:$W,$A:$A,A559,$C:$C,C559)=0,0,SUMIFS(RAW_판매펀칭!$K:$K,RAW_판매펀칭!$P:$P,A559,RAW_판매펀칭!$I:$I,C559)*W559/SUMIFS($W:$W,$A:$A,A559,$C:$C,C559))</f>
        <v>160</v>
      </c>
      <c r="R559" s="47" t="n">
        <f aca="false">IF(OR(A559="500",A559="800",A559="810"),0,MAX(W559-Q559,0))</f>
        <v>0</v>
      </c>
      <c r="S559" s="47" t="n">
        <f aca="false">R559*L559</f>
        <v>0</v>
      </c>
      <c r="T559" s="47" t="n">
        <f aca="false">R559*J559</f>
        <v>0</v>
      </c>
      <c r="U559" s="47" t="n">
        <f aca="false">R559*K559</f>
        <v>0</v>
      </c>
      <c r="V559" s="0" t="str">
        <f aca="false">IF(COUNTIFS($A$2:A559,A559,$C$2:C559,C559,$D$2:D559,D559)&gt;1,"중복","")</f>
        <v/>
      </c>
      <c r="W559" s="0" t="n">
        <f aca="false">IF(V559="중복",0,N(D559))</f>
        <v>160</v>
      </c>
      <c r="X559" s="0" t="n">
        <f aca="false">IF(COUNTIFS($A$2:A559,A559,$C$2:C559,C559)=1,ABS(SUMIFS(RAW_발주!$D:$D,RAW_발주!$C:$C,A559,RAW_발주!$A:$A,C559)-SUMIFS($W:$W,$A:$A,A559,$C:$C,C559)),0)</f>
        <v>0</v>
      </c>
    </row>
    <row r="560" customFormat="false" ht="15" hidden="false" customHeight="true" outlineLevel="0" collapsed="false">
      <c r="A560" s="45" t="s">
        <v>1664</v>
      </c>
      <c r="B560" s="42" t="str">
        <f aca="false">IF(A560="100","HK",IF(A560="200","CN",IF(A560="300","TW","홀세일")))</f>
        <v>홀세일</v>
      </c>
      <c r="C560" s="45" t="s">
        <v>344</v>
      </c>
      <c r="D560" s="46" t="n">
        <v>40</v>
      </c>
      <c r="E560" s="46" t="n">
        <v>159000</v>
      </c>
      <c r="F560" s="46" t="n">
        <v>27500</v>
      </c>
      <c r="G560" s="42" t="n">
        <v>4.82</v>
      </c>
      <c r="H560" s="42" t="n">
        <v>42.2</v>
      </c>
      <c r="J560" s="46" t="n">
        <f aca="false">IF(N(E560)&gt;0,E560,IF(N(F560)&gt;0,F560*요약!$F$27,0))</f>
        <v>159000</v>
      </c>
      <c r="K560" s="46" t="n">
        <f aca="false">IF(N(F560)&gt;0,F560,IF(N(E560)&gt;0,E560/요약!$F$27,0))</f>
        <v>27500</v>
      </c>
      <c r="L560" s="46" t="n">
        <f aca="false">IF(B560="CN",IF(N(I560)&gt;0,I560*요약!$G$27,K560*(1+요약!$E$27)),IF(N(H560)&gt;0,H560*요약!$G$27,J560*요약!$D$27))</f>
        <v>55704</v>
      </c>
      <c r="M560" s="46" t="n">
        <f aca="false">D560*J560</f>
        <v>6360000</v>
      </c>
      <c r="N560" s="46" t="n">
        <f aca="false">D560*K560</f>
        <v>1100000</v>
      </c>
      <c r="O560" s="46" t="n">
        <f aca="false">D560*L560</f>
        <v>2228160</v>
      </c>
      <c r="P560" s="42" t="str">
        <f aca="false">TRIM(IF(N(E560)&lt;=0,"택가보정 ","")&amp;IF(N(F560)&lt;=0,"원가보정 ","")&amp;IF(AND(B560&lt;&gt;"CN",N(H560)&lt;=0),"공급가보정 ","")&amp;IF(AND(B560="CN",N(I560)&lt;=0),"중국공급가=원가+마진 ",""))</f>
        <v/>
      </c>
      <c r="Q560" s="47" t="n">
        <f aca="false">IF(SUMIFS($W:$W,$A:$A,A560,$C:$C,C560)=0,0,SUMIFS(RAW_판매펀칭!$K:$K,RAW_판매펀칭!$P:$P,A560,RAW_판매펀칭!$I:$I,C560)*W560/SUMIFS($W:$W,$A:$A,A560,$C:$C,C560))</f>
        <v>0</v>
      </c>
      <c r="R560" s="47" t="n">
        <f aca="false">IF(OR(A560="500",A560="800",A560="810"),0,MAX(W560-Q560,0))</f>
        <v>0</v>
      </c>
      <c r="S560" s="47" t="n">
        <f aca="false">R560*L560</f>
        <v>0</v>
      </c>
      <c r="T560" s="47" t="n">
        <f aca="false">R560*J560</f>
        <v>0</v>
      </c>
      <c r="U560" s="47" t="n">
        <f aca="false">R560*K560</f>
        <v>0</v>
      </c>
      <c r="V560" s="0" t="str">
        <f aca="false">IF(COUNTIFS($A$2:A560,A560,$C$2:C560,C560,$D$2:D560,D560)&gt;1,"중복","")</f>
        <v/>
      </c>
      <c r="W560" s="0" t="n">
        <f aca="false">IF(V560="중복",0,N(D560))</f>
        <v>40</v>
      </c>
      <c r="X560" s="0" t="n">
        <f aca="false">IF(COUNTIFS($A$2:A560,A560,$C$2:C560,C560)=1,ABS(SUMIFS(RAW_발주!$D:$D,RAW_발주!$C:$C,A560,RAW_발주!$A:$A,C560)-SUMIFS($W:$W,$A:$A,A560,$C:$C,C560)),0)</f>
        <v>0</v>
      </c>
    </row>
    <row r="561" customFormat="false" ht="15" hidden="false" customHeight="true" outlineLevel="0" collapsed="false">
      <c r="A561" s="45" t="s">
        <v>1663</v>
      </c>
      <c r="B561" s="42" t="str">
        <f aca="false">IF(A561="100","HK",IF(A561="200","CN",IF(A561="300","TW","홀세일")))</f>
        <v>홀세일</v>
      </c>
      <c r="C561" s="45" t="s">
        <v>1308</v>
      </c>
      <c r="D561" s="46" t="n">
        <v>40</v>
      </c>
      <c r="E561" s="46" t="n">
        <v>159000</v>
      </c>
      <c r="F561" s="46" t="n">
        <v>29000</v>
      </c>
      <c r="G561" s="42" t="n">
        <v>4.43</v>
      </c>
      <c r="H561" s="42" t="n">
        <v>42.2</v>
      </c>
      <c r="J561" s="46" t="n">
        <f aca="false">IF(N(E561)&gt;0,E561,IF(N(F561)&gt;0,F561*요약!$F$27,0))</f>
        <v>159000</v>
      </c>
      <c r="K561" s="46" t="n">
        <f aca="false">IF(N(F561)&gt;0,F561,IF(N(E561)&gt;0,E561/요약!$F$27,0))</f>
        <v>29000</v>
      </c>
      <c r="L561" s="46" t="n">
        <f aca="false">IF(B561="CN",IF(N(I561)&gt;0,I561*요약!$G$27,K561*(1+요약!$E$27)),IF(N(H561)&gt;0,H561*요약!$G$27,J561*요약!$D$27))</f>
        <v>55704</v>
      </c>
      <c r="M561" s="46" t="n">
        <f aca="false">D561*J561</f>
        <v>6360000</v>
      </c>
      <c r="N561" s="46" t="n">
        <f aca="false">D561*K561</f>
        <v>1160000</v>
      </c>
      <c r="O561" s="46" t="n">
        <f aca="false">D561*L561</f>
        <v>2228160</v>
      </c>
      <c r="P561" s="42" t="str">
        <f aca="false">TRIM(IF(N(E561)&lt;=0,"택가보정 ","")&amp;IF(N(F561)&lt;=0,"원가보정 ","")&amp;IF(AND(B561&lt;&gt;"CN",N(H561)&lt;=0),"공급가보정 ","")&amp;IF(AND(B561="CN",N(I561)&lt;=0),"중국공급가=원가+마진 ",""))</f>
        <v/>
      </c>
      <c r="Q561" s="47" t="n">
        <f aca="false">IF(SUMIFS($W:$W,$A:$A,A561,$C:$C,C561)=0,0,SUMIFS(RAW_판매펀칭!$K:$K,RAW_판매펀칭!$P:$P,A561,RAW_판매펀칭!$I:$I,C561)*W561/SUMIFS($W:$W,$A:$A,A561,$C:$C,C561))</f>
        <v>40</v>
      </c>
      <c r="R561" s="47" t="n">
        <f aca="false">IF(OR(A561="500",A561="800",A561="810"),0,MAX(W561-Q561,0))</f>
        <v>0</v>
      </c>
      <c r="S561" s="47" t="n">
        <f aca="false">R561*L561</f>
        <v>0</v>
      </c>
      <c r="T561" s="47" t="n">
        <f aca="false">R561*J561</f>
        <v>0</v>
      </c>
      <c r="U561" s="47" t="n">
        <f aca="false">R561*K561</f>
        <v>0</v>
      </c>
      <c r="V561" s="0" t="str">
        <f aca="false">IF(COUNTIFS($A$2:A561,A561,$C$2:C561,C561,$D$2:D561,D561)&gt;1,"중복","")</f>
        <v/>
      </c>
      <c r="W561" s="0" t="n">
        <f aca="false">IF(V561="중복",0,N(D561))</f>
        <v>40</v>
      </c>
      <c r="X561" s="0" t="n">
        <f aca="false">IF(COUNTIFS($A$2:A561,A561,$C$2:C561,C561)=1,ABS(SUMIFS(RAW_발주!$D:$D,RAW_발주!$C:$C,A561,RAW_발주!$A:$A,C561)-SUMIFS($W:$W,$A:$A,A561,$C:$C,C561)),0)</f>
        <v>0</v>
      </c>
    </row>
    <row r="562" customFormat="false" ht="15" hidden="false" customHeight="true" outlineLevel="0" collapsed="false">
      <c r="A562" s="45" t="s">
        <v>1664</v>
      </c>
      <c r="B562" s="42" t="str">
        <f aca="false">IF(A562="100","HK",IF(A562="200","CN",IF(A562="300","TW","홀세일")))</f>
        <v>홀세일</v>
      </c>
      <c r="C562" s="45" t="s">
        <v>1308</v>
      </c>
      <c r="D562" s="46" t="n">
        <v>60</v>
      </c>
      <c r="E562" s="46" t="n">
        <v>159000</v>
      </c>
      <c r="F562" s="46" t="n">
        <v>29000</v>
      </c>
      <c r="G562" s="42" t="n">
        <v>4.43</v>
      </c>
      <c r="H562" s="42" t="n">
        <v>42.2</v>
      </c>
      <c r="J562" s="46" t="n">
        <f aca="false">IF(N(E562)&gt;0,E562,IF(N(F562)&gt;0,F562*요약!$F$27,0))</f>
        <v>159000</v>
      </c>
      <c r="K562" s="46" t="n">
        <f aca="false">IF(N(F562)&gt;0,F562,IF(N(E562)&gt;0,E562/요약!$F$27,0))</f>
        <v>29000</v>
      </c>
      <c r="L562" s="46" t="n">
        <f aca="false">IF(B562="CN",IF(N(I562)&gt;0,I562*요약!$G$27,K562*(1+요약!$E$27)),IF(N(H562)&gt;0,H562*요약!$G$27,J562*요약!$D$27))</f>
        <v>55704</v>
      </c>
      <c r="M562" s="46" t="n">
        <f aca="false">D562*J562</f>
        <v>9540000</v>
      </c>
      <c r="N562" s="46" t="n">
        <f aca="false">D562*K562</f>
        <v>1740000</v>
      </c>
      <c r="O562" s="46" t="n">
        <f aca="false">D562*L562</f>
        <v>3342240</v>
      </c>
      <c r="P562" s="42" t="str">
        <f aca="false">TRIM(IF(N(E562)&lt;=0,"택가보정 ","")&amp;IF(N(F562)&lt;=0,"원가보정 ","")&amp;IF(AND(B562&lt;&gt;"CN",N(H562)&lt;=0),"공급가보정 ","")&amp;IF(AND(B562="CN",N(I562)&lt;=0),"중국공급가=원가+마진 ",""))</f>
        <v/>
      </c>
      <c r="Q562" s="47" t="n">
        <f aca="false">IF(SUMIFS($W:$W,$A:$A,A562,$C:$C,C562)=0,0,SUMIFS(RAW_판매펀칭!$K:$K,RAW_판매펀칭!$P:$P,A562,RAW_판매펀칭!$I:$I,C562)*W562/SUMIFS($W:$W,$A:$A,A562,$C:$C,C562))</f>
        <v>0</v>
      </c>
      <c r="R562" s="47" t="n">
        <f aca="false">IF(OR(A562="500",A562="800",A562="810"),0,MAX(W562-Q562,0))</f>
        <v>0</v>
      </c>
      <c r="S562" s="47" t="n">
        <f aca="false">R562*L562</f>
        <v>0</v>
      </c>
      <c r="T562" s="47" t="n">
        <f aca="false">R562*J562</f>
        <v>0</v>
      </c>
      <c r="U562" s="47" t="n">
        <f aca="false">R562*K562</f>
        <v>0</v>
      </c>
      <c r="V562" s="0" t="str">
        <f aca="false">IF(COUNTIFS($A$2:A562,A562,$C$2:C562,C562,$D$2:D562,D562)&gt;1,"중복","")</f>
        <v/>
      </c>
      <c r="W562" s="0" t="n">
        <f aca="false">IF(V562="중복",0,N(D562))</f>
        <v>60</v>
      </c>
      <c r="X562" s="0" t="n">
        <f aca="false">IF(COUNTIFS($A$2:A562,A562,$C$2:C562,C562)=1,ABS(SUMIFS(RAW_발주!$D:$D,RAW_발주!$C:$C,A562,RAW_발주!$A:$A,C562)-SUMIFS($W:$W,$A:$A,A562,$C:$C,C562)),0)</f>
        <v>0</v>
      </c>
    </row>
    <row r="563" customFormat="false" ht="15" hidden="false" customHeight="true" outlineLevel="0" collapsed="false">
      <c r="A563" s="45" t="s">
        <v>1659</v>
      </c>
      <c r="B563" s="42" t="str">
        <f aca="false">IF(A563="100","HK",IF(A563="200","CN",IF(A563="300","TW","홀세일")))</f>
        <v>HK</v>
      </c>
      <c r="C563" s="45" t="s">
        <v>840</v>
      </c>
      <c r="D563" s="46" t="n">
        <v>100</v>
      </c>
      <c r="E563" s="46" t="n">
        <v>179000</v>
      </c>
      <c r="F563" s="46" t="n">
        <v>37501</v>
      </c>
      <c r="G563" s="42" t="n">
        <v>4.11</v>
      </c>
      <c r="H563" s="42" t="n">
        <v>47.6</v>
      </c>
      <c r="J563" s="46" t="n">
        <f aca="false">IF(N(E563)&gt;0,E563,IF(N(F563)&gt;0,F563*요약!$F$27,0))</f>
        <v>179000</v>
      </c>
      <c r="K563" s="46" t="n">
        <f aca="false">IF(N(F563)&gt;0,F563,IF(N(E563)&gt;0,E563/요약!$F$27,0))</f>
        <v>37501</v>
      </c>
      <c r="L563" s="46" t="n">
        <f aca="false">IF(B563="CN",IF(N(I563)&gt;0,I563*요약!$G$27,K563*(1+요약!$E$27)),IF(N(H563)&gt;0,H563*요약!$G$27,J563*요약!$D$27))</f>
        <v>62832</v>
      </c>
      <c r="M563" s="46" t="n">
        <f aca="false">D563*J563</f>
        <v>17900000</v>
      </c>
      <c r="N563" s="46" t="n">
        <f aca="false">D563*K563</f>
        <v>3750100</v>
      </c>
      <c r="O563" s="46" t="n">
        <f aca="false">D563*L563</f>
        <v>6283200</v>
      </c>
      <c r="P563" s="42" t="str">
        <f aca="false">TRIM(IF(N(E563)&lt;=0,"택가보정 ","")&amp;IF(N(F563)&lt;=0,"원가보정 ","")&amp;IF(AND(B563&lt;&gt;"CN",N(H563)&lt;=0),"공급가보정 ","")&amp;IF(AND(B563="CN",N(I563)&lt;=0),"중국공급가=원가+마진 ",""))</f>
        <v/>
      </c>
      <c r="Q563" s="47" t="n">
        <f aca="false">IF(SUMIFS($W:$W,$A:$A,A563,$C:$C,C563)=0,0,SUMIFS(RAW_판매펀칭!$K:$K,RAW_판매펀칭!$P:$P,A563,RAW_판매펀칭!$I:$I,C563)*W563/SUMIFS($W:$W,$A:$A,A563,$C:$C,C563))</f>
        <v>100</v>
      </c>
      <c r="R563" s="47" t="n">
        <f aca="false">IF(OR(A563="500",A563="800",A563="810"),0,MAX(W563-Q563,0))</f>
        <v>0</v>
      </c>
      <c r="S563" s="47" t="n">
        <f aca="false">R563*L563</f>
        <v>0</v>
      </c>
      <c r="T563" s="47" t="n">
        <f aca="false">R563*J563</f>
        <v>0</v>
      </c>
      <c r="U563" s="47" t="n">
        <f aca="false">R563*K563</f>
        <v>0</v>
      </c>
      <c r="V563" s="0" t="str">
        <f aca="false">IF(COUNTIFS($A$2:A563,A563,$C$2:C563,C563,$D$2:D563,D563)&gt;1,"중복","")</f>
        <v/>
      </c>
      <c r="W563" s="0" t="n">
        <f aca="false">IF(V563="중복",0,N(D563))</f>
        <v>100</v>
      </c>
      <c r="X563" s="0" t="n">
        <f aca="false">IF(COUNTIFS($A$2:A563,A563,$C$2:C563,C563)=1,ABS(SUMIFS(RAW_발주!$D:$D,RAW_발주!$C:$C,A563,RAW_발주!$A:$A,C563)-SUMIFS($W:$W,$A:$A,A563,$C:$C,C563)),0)</f>
        <v>0</v>
      </c>
    </row>
    <row r="564" customFormat="false" ht="15" hidden="false" customHeight="true" outlineLevel="0" collapsed="false">
      <c r="A564" s="45" t="s">
        <v>1664</v>
      </c>
      <c r="B564" s="42" t="str">
        <f aca="false">IF(A564="100","HK",IF(A564="200","CN",IF(A564="300","TW","홀세일")))</f>
        <v>홀세일</v>
      </c>
      <c r="C564" s="45" t="s">
        <v>840</v>
      </c>
      <c r="D564" s="46" t="n">
        <v>15</v>
      </c>
      <c r="E564" s="46" t="n">
        <v>179000</v>
      </c>
      <c r="F564" s="46" t="n">
        <v>37501</v>
      </c>
      <c r="G564" s="42" t="n">
        <v>4.11</v>
      </c>
      <c r="H564" s="42" t="n">
        <v>47.6</v>
      </c>
      <c r="J564" s="46" t="n">
        <f aca="false">IF(N(E564)&gt;0,E564,IF(N(F564)&gt;0,F564*요약!$F$27,0))</f>
        <v>179000</v>
      </c>
      <c r="K564" s="46" t="n">
        <f aca="false">IF(N(F564)&gt;0,F564,IF(N(E564)&gt;0,E564/요약!$F$27,0))</f>
        <v>37501</v>
      </c>
      <c r="L564" s="46" t="n">
        <f aca="false">IF(B564="CN",IF(N(I564)&gt;0,I564*요약!$G$27,K564*(1+요약!$E$27)),IF(N(H564)&gt;0,H564*요약!$G$27,J564*요약!$D$27))</f>
        <v>62832</v>
      </c>
      <c r="M564" s="46" t="n">
        <f aca="false">D564*J564</f>
        <v>2685000</v>
      </c>
      <c r="N564" s="46" t="n">
        <f aca="false">D564*K564</f>
        <v>562515</v>
      </c>
      <c r="O564" s="46" t="n">
        <f aca="false">D564*L564</f>
        <v>942480</v>
      </c>
      <c r="P564" s="42" t="str">
        <f aca="false">TRIM(IF(N(E564)&lt;=0,"택가보정 ","")&amp;IF(N(F564)&lt;=0,"원가보정 ","")&amp;IF(AND(B564&lt;&gt;"CN",N(H564)&lt;=0),"공급가보정 ","")&amp;IF(AND(B564="CN",N(I564)&lt;=0),"중국공급가=원가+마진 ",""))</f>
        <v/>
      </c>
      <c r="Q564" s="47" t="n">
        <f aca="false">IF(SUMIFS($W:$W,$A:$A,A564,$C:$C,C564)=0,0,SUMIFS(RAW_판매펀칭!$K:$K,RAW_판매펀칭!$P:$P,A564,RAW_판매펀칭!$I:$I,C564)*W564/SUMIFS($W:$W,$A:$A,A564,$C:$C,C564))</f>
        <v>0</v>
      </c>
      <c r="R564" s="47" t="n">
        <f aca="false">IF(OR(A564="500",A564="800",A564="810"),0,MAX(W564-Q564,0))</f>
        <v>0</v>
      </c>
      <c r="S564" s="47" t="n">
        <f aca="false">R564*L564</f>
        <v>0</v>
      </c>
      <c r="T564" s="47" t="n">
        <f aca="false">R564*J564</f>
        <v>0</v>
      </c>
      <c r="U564" s="47" t="n">
        <f aca="false">R564*K564</f>
        <v>0</v>
      </c>
      <c r="V564" s="0" t="str">
        <f aca="false">IF(COUNTIFS($A$2:A564,A564,$C$2:C564,C564,$D$2:D564,D564)&gt;1,"중복","")</f>
        <v/>
      </c>
      <c r="W564" s="0" t="n">
        <f aca="false">IF(V564="중복",0,N(D564))</f>
        <v>15</v>
      </c>
      <c r="X564" s="0" t="n">
        <f aca="false">IF(COUNTIFS($A$2:A564,A564,$C$2:C564,C564)=1,ABS(SUMIFS(RAW_발주!$D:$D,RAW_발주!$C:$C,A564,RAW_발주!$A:$A,C564)-SUMIFS($W:$W,$A:$A,A564,$C:$C,C564)),0)</f>
        <v>0</v>
      </c>
    </row>
    <row r="565" customFormat="false" ht="15" hidden="false" customHeight="true" outlineLevel="0" collapsed="false">
      <c r="A565" s="45" t="s">
        <v>1659</v>
      </c>
      <c r="B565" s="42" t="str">
        <f aca="false">IF(A565="100","HK",IF(A565="200","CN",IF(A565="300","TW","홀세일")))</f>
        <v>HK</v>
      </c>
      <c r="C565" s="45" t="s">
        <v>842</v>
      </c>
      <c r="D565" s="46" t="n">
        <v>240</v>
      </c>
      <c r="E565" s="46" t="n">
        <v>179000</v>
      </c>
      <c r="F565" s="46" t="n">
        <v>35400</v>
      </c>
      <c r="G565" s="42" t="n">
        <v>4.62</v>
      </c>
      <c r="H565" s="42" t="n">
        <v>47.6</v>
      </c>
      <c r="J565" s="46" t="n">
        <f aca="false">IF(N(E565)&gt;0,E565,IF(N(F565)&gt;0,F565*요약!$F$27,0))</f>
        <v>179000</v>
      </c>
      <c r="K565" s="46" t="n">
        <f aca="false">IF(N(F565)&gt;0,F565,IF(N(E565)&gt;0,E565/요약!$F$27,0))</f>
        <v>35400</v>
      </c>
      <c r="L565" s="46" t="n">
        <f aca="false">IF(B565="CN",IF(N(I565)&gt;0,I565*요약!$G$27,K565*(1+요약!$E$27)),IF(N(H565)&gt;0,H565*요약!$G$27,J565*요약!$D$27))</f>
        <v>62832</v>
      </c>
      <c r="M565" s="46" t="n">
        <f aca="false">D565*J565</f>
        <v>42960000</v>
      </c>
      <c r="N565" s="46" t="n">
        <f aca="false">D565*K565</f>
        <v>8496000</v>
      </c>
      <c r="O565" s="46" t="n">
        <f aca="false">D565*L565</f>
        <v>15079680</v>
      </c>
      <c r="P565" s="42" t="str">
        <f aca="false">TRIM(IF(N(E565)&lt;=0,"택가보정 ","")&amp;IF(N(F565)&lt;=0,"원가보정 ","")&amp;IF(AND(B565&lt;&gt;"CN",N(H565)&lt;=0),"공급가보정 ","")&amp;IF(AND(B565="CN",N(I565)&lt;=0),"중국공급가=원가+마진 ",""))</f>
        <v/>
      </c>
      <c r="Q565" s="47" t="n">
        <f aca="false">IF(SUMIFS($W:$W,$A:$A,A565,$C:$C,C565)=0,0,SUMIFS(RAW_판매펀칭!$K:$K,RAW_판매펀칭!$P:$P,A565,RAW_판매펀칭!$I:$I,C565)*W565/SUMIFS($W:$W,$A:$A,A565,$C:$C,C565))</f>
        <v>240</v>
      </c>
      <c r="R565" s="47" t="n">
        <f aca="false">IF(OR(A565="500",A565="800",A565="810"),0,MAX(W565-Q565,0))</f>
        <v>0</v>
      </c>
      <c r="S565" s="47" t="n">
        <f aca="false">R565*L565</f>
        <v>0</v>
      </c>
      <c r="T565" s="47" t="n">
        <f aca="false">R565*J565</f>
        <v>0</v>
      </c>
      <c r="U565" s="47" t="n">
        <f aca="false">R565*K565</f>
        <v>0</v>
      </c>
      <c r="V565" s="0" t="str">
        <f aca="false">IF(COUNTIFS($A$2:A565,A565,$C$2:C565,C565,$D$2:D565,D565)&gt;1,"중복","")</f>
        <v/>
      </c>
      <c r="W565" s="0" t="n">
        <f aca="false">IF(V565="중복",0,N(D565))</f>
        <v>240</v>
      </c>
      <c r="X565" s="0" t="n">
        <f aca="false">IF(COUNTIFS($A$2:A565,A565,$C$2:C565,C565)=1,ABS(SUMIFS(RAW_발주!$D:$D,RAW_발주!$C:$C,A565,RAW_발주!$A:$A,C565)-SUMIFS($W:$W,$A:$A,A565,$C:$C,C565)),0)</f>
        <v>0</v>
      </c>
    </row>
    <row r="566" customFormat="false" ht="15" hidden="false" customHeight="true" outlineLevel="0" collapsed="false">
      <c r="A566" s="45" t="s">
        <v>1659</v>
      </c>
      <c r="B566" s="42" t="str">
        <f aca="false">IF(A566="100","HK",IF(A566="200","CN",IF(A566="300","TW","홀세일")))</f>
        <v>HK</v>
      </c>
      <c r="C566" s="45" t="s">
        <v>346</v>
      </c>
      <c r="D566" s="46" t="n">
        <v>430</v>
      </c>
      <c r="E566" s="46" t="n">
        <v>189000</v>
      </c>
      <c r="F566" s="46" t="n">
        <v>35290</v>
      </c>
      <c r="G566" s="42" t="n">
        <v>4.23</v>
      </c>
      <c r="H566" s="42" t="n">
        <v>47.3</v>
      </c>
      <c r="J566" s="46" t="n">
        <f aca="false">IF(N(E566)&gt;0,E566,IF(N(F566)&gt;0,F566*요약!$F$27,0))</f>
        <v>189000</v>
      </c>
      <c r="K566" s="46" t="n">
        <f aca="false">IF(N(F566)&gt;0,F566,IF(N(E566)&gt;0,E566/요약!$F$27,0))</f>
        <v>35290</v>
      </c>
      <c r="L566" s="46" t="n">
        <f aca="false">IF(B566="CN",IF(N(I566)&gt;0,I566*요약!$G$27,K566*(1+요약!$E$27)),IF(N(H566)&gt;0,H566*요약!$G$27,J566*요약!$D$27))</f>
        <v>62436</v>
      </c>
      <c r="M566" s="46" t="n">
        <f aca="false">D566*J566</f>
        <v>81270000</v>
      </c>
      <c r="N566" s="46" t="n">
        <f aca="false">D566*K566</f>
        <v>15174700</v>
      </c>
      <c r="O566" s="46" t="n">
        <f aca="false">D566*L566</f>
        <v>26847480</v>
      </c>
      <c r="P566" s="42" t="str">
        <f aca="false">TRIM(IF(N(E566)&lt;=0,"택가보정 ","")&amp;IF(N(F566)&lt;=0,"원가보정 ","")&amp;IF(AND(B566&lt;&gt;"CN",N(H566)&lt;=0),"공급가보정 ","")&amp;IF(AND(B566="CN",N(I566)&lt;=0),"중국공급가=원가+마진 ",""))</f>
        <v/>
      </c>
      <c r="Q566" s="47" t="n">
        <f aca="false">IF(SUMIFS($W:$W,$A:$A,A566,$C:$C,C566)=0,0,SUMIFS(RAW_판매펀칭!$K:$K,RAW_판매펀칭!$P:$P,A566,RAW_판매펀칭!$I:$I,C566)*W566/SUMIFS($W:$W,$A:$A,A566,$C:$C,C566))</f>
        <v>430</v>
      </c>
      <c r="R566" s="47" t="n">
        <f aca="false">IF(OR(A566="500",A566="800",A566="810"),0,MAX(W566-Q566,0))</f>
        <v>0</v>
      </c>
      <c r="S566" s="47" t="n">
        <f aca="false">R566*L566</f>
        <v>0</v>
      </c>
      <c r="T566" s="47" t="n">
        <f aca="false">R566*J566</f>
        <v>0</v>
      </c>
      <c r="U566" s="47" t="n">
        <f aca="false">R566*K566</f>
        <v>0</v>
      </c>
      <c r="V566" s="0" t="str">
        <f aca="false">IF(COUNTIFS($A$2:A566,A566,$C$2:C566,C566,$D$2:D566,D566)&gt;1,"중복","")</f>
        <v/>
      </c>
      <c r="W566" s="0" t="n">
        <f aca="false">IF(V566="중복",0,N(D566))</f>
        <v>430</v>
      </c>
      <c r="X566" s="0" t="n">
        <f aca="false">IF(COUNTIFS($A$2:A566,A566,$C$2:C566,C566)=1,ABS(SUMIFS(RAW_발주!$D:$D,RAW_발주!$C:$C,A566,RAW_발주!$A:$A,C566)-SUMIFS($W:$W,$A:$A,A566,$C:$C,C566)),0)</f>
        <v>0</v>
      </c>
    </row>
    <row r="567" customFormat="false" ht="15" hidden="false" customHeight="true" outlineLevel="0" collapsed="false">
      <c r="A567" s="45" t="s">
        <v>1661</v>
      </c>
      <c r="B567" s="42" t="str">
        <f aca="false">IF(A567="100","HK",IF(A567="200","CN",IF(A567="300","TW","홀세일")))</f>
        <v>TW</v>
      </c>
      <c r="C567" s="45" t="s">
        <v>346</v>
      </c>
      <c r="D567" s="46" t="n">
        <v>530</v>
      </c>
      <c r="E567" s="46" t="n">
        <v>189000</v>
      </c>
      <c r="F567" s="46" t="n">
        <v>35290</v>
      </c>
      <c r="G567" s="42" t="n">
        <v>4.23</v>
      </c>
      <c r="H567" s="42" t="n">
        <v>47.3</v>
      </c>
      <c r="J567" s="46" t="n">
        <f aca="false">IF(N(E567)&gt;0,E567,IF(N(F567)&gt;0,F567*요약!$F$27,0))</f>
        <v>189000</v>
      </c>
      <c r="K567" s="46" t="n">
        <f aca="false">IF(N(F567)&gt;0,F567,IF(N(E567)&gt;0,E567/요약!$F$27,0))</f>
        <v>35290</v>
      </c>
      <c r="L567" s="46" t="n">
        <f aca="false">IF(B567="CN",IF(N(I567)&gt;0,I567*요약!$G$27,K567*(1+요약!$E$27)),IF(N(H567)&gt;0,H567*요약!$G$27,J567*요약!$D$27))</f>
        <v>62436</v>
      </c>
      <c r="M567" s="46" t="n">
        <f aca="false">D567*J567</f>
        <v>100170000</v>
      </c>
      <c r="N567" s="46" t="n">
        <f aca="false">D567*K567</f>
        <v>18703700</v>
      </c>
      <c r="O567" s="46" t="n">
        <f aca="false">D567*L567</f>
        <v>33091080</v>
      </c>
      <c r="P567" s="42" t="str">
        <f aca="false">TRIM(IF(N(E567)&lt;=0,"택가보정 ","")&amp;IF(N(F567)&lt;=0,"원가보정 ","")&amp;IF(AND(B567&lt;&gt;"CN",N(H567)&lt;=0),"공급가보정 ","")&amp;IF(AND(B567="CN",N(I567)&lt;=0),"중국공급가=원가+마진 ",""))</f>
        <v/>
      </c>
      <c r="Q567" s="47" t="n">
        <f aca="false">IF(SUMIFS($W:$W,$A:$A,A567,$C:$C,C567)=0,0,SUMIFS(RAW_판매펀칭!$K:$K,RAW_판매펀칭!$P:$P,A567,RAW_판매펀칭!$I:$I,C567)*W567/SUMIFS($W:$W,$A:$A,A567,$C:$C,C567))</f>
        <v>530</v>
      </c>
      <c r="R567" s="47" t="n">
        <f aca="false">IF(OR(A567="500",A567="800",A567="810"),0,MAX(W567-Q567,0))</f>
        <v>0</v>
      </c>
      <c r="S567" s="47" t="n">
        <f aca="false">R567*L567</f>
        <v>0</v>
      </c>
      <c r="T567" s="47" t="n">
        <f aca="false">R567*J567</f>
        <v>0</v>
      </c>
      <c r="U567" s="47" t="n">
        <f aca="false">R567*K567</f>
        <v>0</v>
      </c>
      <c r="V567" s="0" t="str">
        <f aca="false">IF(COUNTIFS($A$2:A567,A567,$C$2:C567,C567,$D$2:D567,D567)&gt;1,"중복","")</f>
        <v/>
      </c>
      <c r="W567" s="0" t="n">
        <f aca="false">IF(V567="중복",0,N(D567))</f>
        <v>530</v>
      </c>
      <c r="X567" s="0" t="n">
        <f aca="false">IF(COUNTIFS($A$2:A567,A567,$C$2:C567,C567)=1,ABS(SUMIFS(RAW_발주!$D:$D,RAW_발주!$C:$C,A567,RAW_발주!$A:$A,C567)-SUMIFS($W:$W,$A:$A,A567,$C:$C,C567)),0)</f>
        <v>0</v>
      </c>
    </row>
    <row r="568" customFormat="false" ht="15" hidden="false" customHeight="true" outlineLevel="0" collapsed="false">
      <c r="A568" s="45" t="s">
        <v>1663</v>
      </c>
      <c r="B568" s="42" t="str">
        <f aca="false">IF(A568="100","HK",IF(A568="200","CN",IF(A568="300","TW","홀세일")))</f>
        <v>홀세일</v>
      </c>
      <c r="C568" s="45" t="s">
        <v>346</v>
      </c>
      <c r="D568" s="46" t="n">
        <v>50</v>
      </c>
      <c r="E568" s="46" t="n">
        <v>189000</v>
      </c>
      <c r="F568" s="46" t="n">
        <v>35290</v>
      </c>
      <c r="G568" s="42" t="n">
        <v>4.23</v>
      </c>
      <c r="H568" s="42" t="n">
        <v>47.3</v>
      </c>
      <c r="J568" s="46" t="n">
        <f aca="false">IF(N(E568)&gt;0,E568,IF(N(F568)&gt;0,F568*요약!$F$27,0))</f>
        <v>189000</v>
      </c>
      <c r="K568" s="46" t="n">
        <f aca="false">IF(N(F568)&gt;0,F568,IF(N(E568)&gt;0,E568/요약!$F$27,0))</f>
        <v>35290</v>
      </c>
      <c r="L568" s="46" t="n">
        <f aca="false">IF(B568="CN",IF(N(I568)&gt;0,I568*요약!$G$27,K568*(1+요약!$E$27)),IF(N(H568)&gt;0,H568*요약!$G$27,J568*요약!$D$27))</f>
        <v>62436</v>
      </c>
      <c r="M568" s="46" t="n">
        <f aca="false">D568*J568</f>
        <v>9450000</v>
      </c>
      <c r="N568" s="46" t="n">
        <f aca="false">D568*K568</f>
        <v>1764500</v>
      </c>
      <c r="O568" s="46" t="n">
        <f aca="false">D568*L568</f>
        <v>3121800</v>
      </c>
      <c r="P568" s="42" t="str">
        <f aca="false">TRIM(IF(N(E568)&lt;=0,"택가보정 ","")&amp;IF(N(F568)&lt;=0,"원가보정 ","")&amp;IF(AND(B568&lt;&gt;"CN",N(H568)&lt;=0),"공급가보정 ","")&amp;IF(AND(B568="CN",N(I568)&lt;=0),"중국공급가=원가+마진 ",""))</f>
        <v/>
      </c>
      <c r="Q568" s="47" t="n">
        <f aca="false">IF(SUMIFS($W:$W,$A:$A,A568,$C:$C,C568)=0,0,SUMIFS(RAW_판매펀칭!$K:$K,RAW_판매펀칭!$P:$P,A568,RAW_판매펀칭!$I:$I,C568)*W568/SUMIFS($W:$W,$A:$A,A568,$C:$C,C568))</f>
        <v>50</v>
      </c>
      <c r="R568" s="47" t="n">
        <f aca="false">IF(OR(A568="500",A568="800",A568="810"),0,MAX(W568-Q568,0))</f>
        <v>0</v>
      </c>
      <c r="S568" s="47" t="n">
        <f aca="false">R568*L568</f>
        <v>0</v>
      </c>
      <c r="T568" s="47" t="n">
        <f aca="false">R568*J568</f>
        <v>0</v>
      </c>
      <c r="U568" s="47" t="n">
        <f aca="false">R568*K568</f>
        <v>0</v>
      </c>
      <c r="V568" s="0" t="str">
        <f aca="false">IF(COUNTIFS($A$2:A568,A568,$C$2:C568,C568,$D$2:D568,D568)&gt;1,"중복","")</f>
        <v/>
      </c>
      <c r="W568" s="0" t="n">
        <f aca="false">IF(V568="중복",0,N(D568))</f>
        <v>50</v>
      </c>
      <c r="X568" s="0" t="n">
        <f aca="false">IF(COUNTIFS($A$2:A568,A568,$C$2:C568,C568)=1,ABS(SUMIFS(RAW_발주!$D:$D,RAW_발주!$C:$C,A568,RAW_발주!$A:$A,C568)-SUMIFS($W:$W,$A:$A,A568,$C:$C,C568)),0)</f>
        <v>0</v>
      </c>
    </row>
    <row r="569" customFormat="false" ht="15" hidden="false" customHeight="true" outlineLevel="0" collapsed="false">
      <c r="A569" s="45" t="s">
        <v>1664</v>
      </c>
      <c r="B569" s="42" t="str">
        <f aca="false">IF(A569="100","HK",IF(A569="200","CN",IF(A569="300","TW","홀세일")))</f>
        <v>홀세일</v>
      </c>
      <c r="C569" s="45" t="s">
        <v>346</v>
      </c>
      <c r="D569" s="46" t="n">
        <v>70</v>
      </c>
      <c r="E569" s="46" t="n">
        <v>189000</v>
      </c>
      <c r="F569" s="46" t="n">
        <v>35290</v>
      </c>
      <c r="G569" s="42" t="n">
        <v>4.23</v>
      </c>
      <c r="H569" s="42" t="n">
        <v>47.3</v>
      </c>
      <c r="J569" s="46" t="n">
        <f aca="false">IF(N(E569)&gt;0,E569,IF(N(F569)&gt;0,F569*요약!$F$27,0))</f>
        <v>189000</v>
      </c>
      <c r="K569" s="46" t="n">
        <f aca="false">IF(N(F569)&gt;0,F569,IF(N(E569)&gt;0,E569/요약!$F$27,0))</f>
        <v>35290</v>
      </c>
      <c r="L569" s="46" t="n">
        <f aca="false">IF(B569="CN",IF(N(I569)&gt;0,I569*요약!$G$27,K569*(1+요약!$E$27)),IF(N(H569)&gt;0,H569*요약!$G$27,J569*요약!$D$27))</f>
        <v>62436</v>
      </c>
      <c r="M569" s="46" t="n">
        <f aca="false">D569*J569</f>
        <v>13230000</v>
      </c>
      <c r="N569" s="46" t="n">
        <f aca="false">D569*K569</f>
        <v>2470300</v>
      </c>
      <c r="O569" s="46" t="n">
        <f aca="false">D569*L569</f>
        <v>4370520</v>
      </c>
      <c r="P569" s="42" t="str">
        <f aca="false">TRIM(IF(N(E569)&lt;=0,"택가보정 ","")&amp;IF(N(F569)&lt;=0,"원가보정 ","")&amp;IF(AND(B569&lt;&gt;"CN",N(H569)&lt;=0),"공급가보정 ","")&amp;IF(AND(B569="CN",N(I569)&lt;=0),"중국공급가=원가+마진 ",""))</f>
        <v/>
      </c>
      <c r="Q569" s="47" t="n">
        <f aca="false">IF(SUMIFS($W:$W,$A:$A,A569,$C:$C,C569)=0,0,SUMIFS(RAW_판매펀칭!$K:$K,RAW_판매펀칭!$P:$P,A569,RAW_판매펀칭!$I:$I,C569)*W569/SUMIFS($W:$W,$A:$A,A569,$C:$C,C569))</f>
        <v>0</v>
      </c>
      <c r="R569" s="47" t="n">
        <f aca="false">IF(OR(A569="500",A569="800",A569="810"),0,MAX(W569-Q569,0))</f>
        <v>0</v>
      </c>
      <c r="S569" s="47" t="n">
        <f aca="false">R569*L569</f>
        <v>0</v>
      </c>
      <c r="T569" s="47" t="n">
        <f aca="false">R569*J569</f>
        <v>0</v>
      </c>
      <c r="U569" s="47" t="n">
        <f aca="false">R569*K569</f>
        <v>0</v>
      </c>
      <c r="V569" s="0" t="str">
        <f aca="false">IF(COUNTIFS($A$2:A569,A569,$C$2:C569,C569,$D$2:D569,D569)&gt;1,"중복","")</f>
        <v/>
      </c>
      <c r="W569" s="0" t="n">
        <f aca="false">IF(V569="중복",0,N(D569))</f>
        <v>70</v>
      </c>
      <c r="X569" s="0" t="n">
        <f aca="false">IF(COUNTIFS($A$2:A569,A569,$C$2:C569,C569)=1,ABS(SUMIFS(RAW_발주!$D:$D,RAW_발주!$C:$C,A569,RAW_발주!$A:$A,C569)-SUMIFS($W:$W,$A:$A,A569,$C:$C,C569)),0)</f>
        <v>0</v>
      </c>
    </row>
    <row r="570" customFormat="false" ht="15" hidden="false" customHeight="true" outlineLevel="0" collapsed="false">
      <c r="A570" s="45" t="s">
        <v>1659</v>
      </c>
      <c r="B570" s="42" t="str">
        <f aca="false">IF(A570="100","HK",IF(A570="200","CN",IF(A570="300","TW","홀세일")))</f>
        <v>HK</v>
      </c>
      <c r="C570" s="45" t="s">
        <v>348</v>
      </c>
      <c r="D570" s="46" t="n">
        <v>220</v>
      </c>
      <c r="E570" s="46" t="n">
        <v>149000</v>
      </c>
      <c r="F570" s="46" t="n">
        <v>40267</v>
      </c>
      <c r="G570" s="42" t="n">
        <v>3.86</v>
      </c>
      <c r="H570" s="42" t="n">
        <v>37.3</v>
      </c>
      <c r="J570" s="46" t="n">
        <f aca="false">IF(N(E570)&gt;0,E570,IF(N(F570)&gt;0,F570*요약!$F$27,0))</f>
        <v>149000</v>
      </c>
      <c r="K570" s="46" t="n">
        <f aca="false">IF(N(F570)&gt;0,F570,IF(N(E570)&gt;0,E570/요약!$F$27,0))</f>
        <v>40267</v>
      </c>
      <c r="L570" s="46" t="n">
        <f aca="false">IF(B570="CN",IF(N(I570)&gt;0,I570*요약!$G$27,K570*(1+요약!$E$27)),IF(N(H570)&gt;0,H570*요약!$G$27,J570*요약!$D$27))</f>
        <v>49236</v>
      </c>
      <c r="M570" s="46" t="n">
        <f aca="false">D570*J570</f>
        <v>32780000</v>
      </c>
      <c r="N570" s="46" t="n">
        <f aca="false">D570*K570</f>
        <v>8858740</v>
      </c>
      <c r="O570" s="46" t="n">
        <f aca="false">D570*L570</f>
        <v>10831920</v>
      </c>
      <c r="P570" s="42" t="str">
        <f aca="false">TRIM(IF(N(E570)&lt;=0,"택가보정 ","")&amp;IF(N(F570)&lt;=0,"원가보정 ","")&amp;IF(AND(B570&lt;&gt;"CN",N(H570)&lt;=0),"공급가보정 ","")&amp;IF(AND(B570="CN",N(I570)&lt;=0),"중국공급가=원가+마진 ",""))</f>
        <v/>
      </c>
      <c r="Q570" s="47" t="n">
        <f aca="false">IF(SUMIFS($W:$W,$A:$A,A570,$C:$C,C570)=0,0,SUMIFS(RAW_판매펀칭!$K:$K,RAW_판매펀칭!$P:$P,A570,RAW_판매펀칭!$I:$I,C570)*W570/SUMIFS($W:$W,$A:$A,A570,$C:$C,C570))</f>
        <v>220</v>
      </c>
      <c r="R570" s="47" t="n">
        <f aca="false">IF(OR(A570="500",A570="800",A570="810"),0,MAX(W570-Q570,0))</f>
        <v>0</v>
      </c>
      <c r="S570" s="47" t="n">
        <f aca="false">R570*L570</f>
        <v>0</v>
      </c>
      <c r="T570" s="47" t="n">
        <f aca="false">R570*J570</f>
        <v>0</v>
      </c>
      <c r="U570" s="47" t="n">
        <f aca="false">R570*K570</f>
        <v>0</v>
      </c>
      <c r="V570" s="0" t="str">
        <f aca="false">IF(COUNTIFS($A$2:A570,A570,$C$2:C570,C570,$D$2:D570,D570)&gt;1,"중복","")</f>
        <v/>
      </c>
      <c r="W570" s="0" t="n">
        <f aca="false">IF(V570="중복",0,N(D570))</f>
        <v>220</v>
      </c>
      <c r="X570" s="0" t="n">
        <f aca="false">IF(COUNTIFS($A$2:A570,A570,$C$2:C570,C570)=1,ABS(SUMIFS(RAW_발주!$D:$D,RAW_발주!$C:$C,A570,RAW_발주!$A:$A,C570)-SUMIFS($W:$W,$A:$A,A570,$C:$C,C570)),0)</f>
        <v>0</v>
      </c>
    </row>
    <row r="571" customFormat="false" ht="15.75" hidden="false" customHeight="true" outlineLevel="0" collapsed="false">
      <c r="A571" s="45" t="s">
        <v>1660</v>
      </c>
      <c r="B571" s="42" t="str">
        <f aca="false">IF(A571="100","HK",IF(A571="200","CN",IF(A571="300","TW","홀세일")))</f>
        <v>CN</v>
      </c>
      <c r="C571" s="45" t="s">
        <v>348</v>
      </c>
      <c r="D571" s="46" t="n">
        <v>172</v>
      </c>
      <c r="E571" s="46" t="n">
        <v>149000</v>
      </c>
      <c r="F571" s="46" t="n">
        <v>40267</v>
      </c>
      <c r="G571" s="42" t="n">
        <v>3.86</v>
      </c>
      <c r="H571" s="42" t="n">
        <v>37.3</v>
      </c>
      <c r="J571" s="46" t="n">
        <f aca="false">IF(N(E571)&gt;0,E571,IF(N(F571)&gt;0,F571*요약!$F$27,0))</f>
        <v>149000</v>
      </c>
      <c r="K571" s="46" t="n">
        <f aca="false">IF(N(F571)&gt;0,F571,IF(N(E571)&gt;0,E571/요약!$F$27,0))</f>
        <v>40267</v>
      </c>
      <c r="L571" s="46" t="n">
        <f aca="false">IF(B571="CN",IF(N(I571)&gt;0,I571*요약!$G$27,K571*(1+요약!$E$27)),IF(N(H571)&gt;0,H571*요약!$G$27,J571*요약!$D$27))</f>
        <v>42280.35</v>
      </c>
      <c r="M571" s="46" t="n">
        <f aca="false">D571*J571</f>
        <v>25628000</v>
      </c>
      <c r="N571" s="46" t="n">
        <f aca="false">D571*K571</f>
        <v>6925924</v>
      </c>
      <c r="O571" s="46" t="n">
        <f aca="false">D571*L571</f>
        <v>7272220.2</v>
      </c>
      <c r="P571" s="42" t="str">
        <f aca="false">TRIM(IF(N(E571)&lt;=0,"택가보정 ","")&amp;IF(N(F571)&lt;=0,"원가보정 ","")&amp;IF(AND(B571&lt;&gt;"CN",N(H571)&lt;=0),"공급가보정 ","")&amp;IF(AND(B571="CN",N(I571)&lt;=0),"중국공급가=원가+마진 ",""))</f>
        <v>중국공급가=원가+마진</v>
      </c>
      <c r="Q571" s="47" t="n">
        <f aca="false">IF(SUMIFS($W:$W,$A:$A,A571,$C:$C,C571)=0,0,SUMIFS(RAW_판매펀칭!$K:$K,RAW_판매펀칭!$P:$P,A571,RAW_판매펀칭!$I:$I,C571)*W571/SUMIFS($W:$W,$A:$A,A571,$C:$C,C571))</f>
        <v>170</v>
      </c>
      <c r="R571" s="47" t="n">
        <f aca="false">IF(OR(A571="500",A571="800",A571="810"),0,MAX(W571-Q571,0))</f>
        <v>2</v>
      </c>
      <c r="S571" s="47" t="n">
        <f aca="false">R571*L571</f>
        <v>84560.7</v>
      </c>
      <c r="T571" s="47" t="n">
        <f aca="false">R571*J571</f>
        <v>298000</v>
      </c>
      <c r="U571" s="47" t="n">
        <f aca="false">R571*K571</f>
        <v>80534</v>
      </c>
      <c r="V571" s="0" t="str">
        <f aca="false">IF(COUNTIFS($A$2:A571,A571,$C$2:C571,C571,$D$2:D571,D571)&gt;1,"중복","")</f>
        <v/>
      </c>
      <c r="W571" s="0" t="n">
        <f aca="false">IF(V571="중복",0,N(D571))</f>
        <v>172</v>
      </c>
      <c r="X571" s="0" t="n">
        <f aca="false">IF(COUNTIFS($A$2:A571,A571,$C$2:C571,C571)=1,ABS(SUMIFS(RAW_발주!$D:$D,RAW_발주!$C:$C,A571,RAW_발주!$A:$A,C571)-SUMIFS($W:$W,$A:$A,A571,$C:$C,C571)),0)</f>
        <v>0</v>
      </c>
    </row>
    <row r="572" customFormat="false" ht="15" hidden="false" customHeight="true" outlineLevel="0" collapsed="false">
      <c r="A572" s="45" t="s">
        <v>1661</v>
      </c>
      <c r="B572" s="42" t="str">
        <f aca="false">IF(A572="100","HK",IF(A572="200","CN",IF(A572="300","TW","홀세일")))</f>
        <v>TW</v>
      </c>
      <c r="C572" s="45" t="s">
        <v>348</v>
      </c>
      <c r="D572" s="46" t="n">
        <v>150</v>
      </c>
      <c r="E572" s="46" t="n">
        <v>149000</v>
      </c>
      <c r="F572" s="46" t="n">
        <v>40267</v>
      </c>
      <c r="G572" s="42" t="n">
        <v>3.86</v>
      </c>
      <c r="H572" s="42" t="n">
        <v>37.3</v>
      </c>
      <c r="J572" s="46" t="n">
        <f aca="false">IF(N(E572)&gt;0,E572,IF(N(F572)&gt;0,F572*요약!$F$27,0))</f>
        <v>149000</v>
      </c>
      <c r="K572" s="46" t="n">
        <f aca="false">IF(N(F572)&gt;0,F572,IF(N(E572)&gt;0,E572/요약!$F$27,0))</f>
        <v>40267</v>
      </c>
      <c r="L572" s="46" t="n">
        <f aca="false">IF(B572="CN",IF(N(I572)&gt;0,I572*요약!$G$27,K572*(1+요약!$E$27)),IF(N(H572)&gt;0,H572*요약!$G$27,J572*요약!$D$27))</f>
        <v>49236</v>
      </c>
      <c r="M572" s="46" t="n">
        <f aca="false">D572*J572</f>
        <v>22350000</v>
      </c>
      <c r="N572" s="46" t="n">
        <f aca="false">D572*K572</f>
        <v>6040050</v>
      </c>
      <c r="O572" s="46" t="n">
        <f aca="false">D572*L572</f>
        <v>7385400</v>
      </c>
      <c r="P572" s="42" t="str">
        <f aca="false">TRIM(IF(N(E572)&lt;=0,"택가보정 ","")&amp;IF(N(F572)&lt;=0,"원가보정 ","")&amp;IF(AND(B572&lt;&gt;"CN",N(H572)&lt;=0),"공급가보정 ","")&amp;IF(AND(B572="CN",N(I572)&lt;=0),"중국공급가=원가+마진 ",""))</f>
        <v/>
      </c>
      <c r="Q572" s="47" t="n">
        <f aca="false">IF(SUMIFS($W:$W,$A:$A,A572,$C:$C,C572)=0,0,SUMIFS(RAW_판매펀칭!$K:$K,RAW_판매펀칭!$P:$P,A572,RAW_판매펀칭!$I:$I,C572)*W572/SUMIFS($W:$W,$A:$A,A572,$C:$C,C572))</f>
        <v>150</v>
      </c>
      <c r="R572" s="47" t="n">
        <f aca="false">IF(OR(A572="500",A572="800",A572="810"),0,MAX(W572-Q572,0))</f>
        <v>0</v>
      </c>
      <c r="S572" s="47" t="n">
        <f aca="false">R572*L572</f>
        <v>0</v>
      </c>
      <c r="T572" s="47" t="n">
        <f aca="false">R572*J572</f>
        <v>0</v>
      </c>
      <c r="U572" s="47" t="n">
        <f aca="false">R572*K572</f>
        <v>0</v>
      </c>
      <c r="V572" s="0" t="str">
        <f aca="false">IF(COUNTIFS($A$2:A572,A572,$C$2:C572,C572,$D$2:D572,D572)&gt;1,"중복","")</f>
        <v/>
      </c>
      <c r="W572" s="0" t="n">
        <f aca="false">IF(V572="중복",0,N(D572))</f>
        <v>150</v>
      </c>
      <c r="X572" s="0" t="n">
        <f aca="false">IF(COUNTIFS($A$2:A572,A572,$C$2:C572,C572)=1,ABS(SUMIFS(RAW_발주!$D:$D,RAW_발주!$C:$C,A572,RAW_발주!$A:$A,C572)-SUMIFS($W:$W,$A:$A,A572,$C:$C,C572)),0)</f>
        <v>0</v>
      </c>
    </row>
    <row r="573" customFormat="false" ht="15" hidden="false" customHeight="true" outlineLevel="0" collapsed="false">
      <c r="A573" s="45" t="s">
        <v>1664</v>
      </c>
      <c r="B573" s="42" t="str">
        <f aca="false">IF(A573="100","HK",IF(A573="200","CN",IF(A573="300","TW","홀세일")))</f>
        <v>홀세일</v>
      </c>
      <c r="C573" s="45" t="s">
        <v>348</v>
      </c>
      <c r="D573" s="46" t="n">
        <v>40</v>
      </c>
      <c r="E573" s="46" t="n">
        <v>149000</v>
      </c>
      <c r="F573" s="46" t="n">
        <v>40267</v>
      </c>
      <c r="G573" s="42" t="n">
        <v>3.86</v>
      </c>
      <c r="H573" s="42" t="n">
        <v>37.3</v>
      </c>
      <c r="J573" s="46" t="n">
        <f aca="false">IF(N(E573)&gt;0,E573,IF(N(F573)&gt;0,F573*요약!$F$27,0))</f>
        <v>149000</v>
      </c>
      <c r="K573" s="46" t="n">
        <f aca="false">IF(N(F573)&gt;0,F573,IF(N(E573)&gt;0,E573/요약!$F$27,0))</f>
        <v>40267</v>
      </c>
      <c r="L573" s="46" t="n">
        <f aca="false">IF(B573="CN",IF(N(I573)&gt;0,I573*요약!$G$27,K573*(1+요약!$E$27)),IF(N(H573)&gt;0,H573*요약!$G$27,J573*요약!$D$27))</f>
        <v>49236</v>
      </c>
      <c r="M573" s="46" t="n">
        <f aca="false">D573*J573</f>
        <v>5960000</v>
      </c>
      <c r="N573" s="46" t="n">
        <f aca="false">D573*K573</f>
        <v>1610680</v>
      </c>
      <c r="O573" s="46" t="n">
        <f aca="false">D573*L573</f>
        <v>1969440</v>
      </c>
      <c r="P573" s="42" t="str">
        <f aca="false">TRIM(IF(N(E573)&lt;=0,"택가보정 ","")&amp;IF(N(F573)&lt;=0,"원가보정 ","")&amp;IF(AND(B573&lt;&gt;"CN",N(H573)&lt;=0),"공급가보정 ","")&amp;IF(AND(B573="CN",N(I573)&lt;=0),"중국공급가=원가+마진 ",""))</f>
        <v/>
      </c>
      <c r="Q573" s="47" t="n">
        <f aca="false">IF(SUMIFS($W:$W,$A:$A,A573,$C:$C,C573)=0,0,SUMIFS(RAW_판매펀칭!$K:$K,RAW_판매펀칭!$P:$P,A573,RAW_판매펀칭!$I:$I,C573)*W573/SUMIFS($W:$W,$A:$A,A573,$C:$C,C573))</f>
        <v>0</v>
      </c>
      <c r="R573" s="47" t="n">
        <f aca="false">IF(OR(A573="500",A573="800",A573="810"),0,MAX(W573-Q573,0))</f>
        <v>0</v>
      </c>
      <c r="S573" s="47" t="n">
        <f aca="false">R573*L573</f>
        <v>0</v>
      </c>
      <c r="T573" s="47" t="n">
        <f aca="false">R573*J573</f>
        <v>0</v>
      </c>
      <c r="U573" s="47" t="n">
        <f aca="false">R573*K573</f>
        <v>0</v>
      </c>
      <c r="V573" s="0" t="str">
        <f aca="false">IF(COUNTIFS($A$2:A573,A573,$C$2:C573,C573,$D$2:D573,D573)&gt;1,"중복","")</f>
        <v/>
      </c>
      <c r="W573" s="0" t="n">
        <f aca="false">IF(V573="중복",0,N(D573))</f>
        <v>40</v>
      </c>
      <c r="X573" s="0" t="n">
        <f aca="false">IF(COUNTIFS($A$2:A573,A573,$C$2:C573,C573)=1,ABS(SUMIFS(RAW_발주!$D:$D,RAW_발주!$C:$C,A573,RAW_발주!$A:$A,C573)-SUMIFS($W:$W,$A:$A,A573,$C:$C,C573)),0)</f>
        <v>0</v>
      </c>
    </row>
    <row r="574" customFormat="false" ht="15" hidden="false" customHeight="true" outlineLevel="0" collapsed="false">
      <c r="A574" s="45" t="s">
        <v>1663</v>
      </c>
      <c r="B574" s="42" t="str">
        <f aca="false">IF(A574="100","HK",IF(A574="200","CN",IF(A574="300","TW","홀세일")))</f>
        <v>홀세일</v>
      </c>
      <c r="C574" s="45" t="s">
        <v>1310</v>
      </c>
      <c r="D574" s="46" t="n">
        <v>20</v>
      </c>
      <c r="E574" s="46" t="n">
        <v>129000</v>
      </c>
      <c r="F574" s="46" t="n">
        <v>21803</v>
      </c>
      <c r="G574" s="42" t="n">
        <v>4.89</v>
      </c>
      <c r="H574" s="42" t="n">
        <v>32.3</v>
      </c>
      <c r="J574" s="46" t="n">
        <f aca="false">IF(N(E574)&gt;0,E574,IF(N(F574)&gt;0,F574*요약!$F$27,0))</f>
        <v>129000</v>
      </c>
      <c r="K574" s="46" t="n">
        <f aca="false">IF(N(F574)&gt;0,F574,IF(N(E574)&gt;0,E574/요약!$F$27,0))</f>
        <v>21803</v>
      </c>
      <c r="L574" s="46" t="n">
        <f aca="false">IF(B574="CN",IF(N(I574)&gt;0,I574*요약!$G$27,K574*(1+요약!$E$27)),IF(N(H574)&gt;0,H574*요약!$G$27,J574*요약!$D$27))</f>
        <v>42636</v>
      </c>
      <c r="M574" s="46" t="n">
        <f aca="false">D574*J574</f>
        <v>2580000</v>
      </c>
      <c r="N574" s="46" t="n">
        <f aca="false">D574*K574</f>
        <v>436060</v>
      </c>
      <c r="O574" s="46" t="n">
        <f aca="false">D574*L574</f>
        <v>852720</v>
      </c>
      <c r="P574" s="42" t="str">
        <f aca="false">TRIM(IF(N(E574)&lt;=0,"택가보정 ","")&amp;IF(N(F574)&lt;=0,"원가보정 ","")&amp;IF(AND(B574&lt;&gt;"CN",N(H574)&lt;=0),"공급가보정 ","")&amp;IF(AND(B574="CN",N(I574)&lt;=0),"중국공급가=원가+마진 ",""))</f>
        <v/>
      </c>
      <c r="Q574" s="47" t="n">
        <f aca="false">IF(SUMIFS($W:$W,$A:$A,A574,$C:$C,C574)=0,0,SUMIFS(RAW_판매펀칭!$K:$K,RAW_판매펀칭!$P:$P,A574,RAW_판매펀칭!$I:$I,C574)*W574/SUMIFS($W:$W,$A:$A,A574,$C:$C,C574))</f>
        <v>20</v>
      </c>
      <c r="R574" s="47" t="n">
        <f aca="false">IF(OR(A574="500",A574="800",A574="810"),0,MAX(W574-Q574,0))</f>
        <v>0</v>
      </c>
      <c r="S574" s="47" t="n">
        <f aca="false">R574*L574</f>
        <v>0</v>
      </c>
      <c r="T574" s="47" t="n">
        <f aca="false">R574*J574</f>
        <v>0</v>
      </c>
      <c r="U574" s="47" t="n">
        <f aca="false">R574*K574</f>
        <v>0</v>
      </c>
      <c r="V574" s="0" t="str">
        <f aca="false">IF(COUNTIFS($A$2:A574,A574,$C$2:C574,C574,$D$2:D574,D574)&gt;1,"중복","")</f>
        <v/>
      </c>
      <c r="W574" s="0" t="n">
        <f aca="false">IF(V574="중복",0,N(D574))</f>
        <v>20</v>
      </c>
      <c r="X574" s="0" t="n">
        <f aca="false">IF(COUNTIFS($A$2:A574,A574,$C$2:C574,C574)=1,ABS(SUMIFS(RAW_발주!$D:$D,RAW_발주!$C:$C,A574,RAW_발주!$A:$A,C574)-SUMIFS($W:$W,$A:$A,A574,$C:$C,C574)),0)</f>
        <v>0</v>
      </c>
    </row>
    <row r="575" customFormat="false" ht="15" hidden="false" customHeight="true" outlineLevel="0" collapsed="false">
      <c r="A575" s="45" t="s">
        <v>1667</v>
      </c>
      <c r="B575" s="42" t="str">
        <f aca="false">IF(A575="100","HK",IF(A575="200","CN",IF(A575="300","TW","홀세일")))</f>
        <v>홀세일</v>
      </c>
      <c r="C575" s="45" t="s">
        <v>1310</v>
      </c>
      <c r="D575" s="46" t="n">
        <v>92</v>
      </c>
      <c r="E575" s="46" t="n">
        <v>129000</v>
      </c>
      <c r="F575" s="46" t="n">
        <v>21803</v>
      </c>
      <c r="G575" s="42" t="n">
        <v>4.89</v>
      </c>
      <c r="H575" s="42" t="n">
        <v>32.3</v>
      </c>
      <c r="J575" s="46" t="n">
        <f aca="false">IF(N(E575)&gt;0,E575,IF(N(F575)&gt;0,F575*요약!$F$27,0))</f>
        <v>129000</v>
      </c>
      <c r="K575" s="46" t="n">
        <f aca="false">IF(N(F575)&gt;0,F575,IF(N(E575)&gt;0,E575/요약!$F$27,0))</f>
        <v>21803</v>
      </c>
      <c r="L575" s="46" t="n">
        <f aca="false">IF(B575="CN",IF(N(I575)&gt;0,I575*요약!$G$27,K575*(1+요약!$E$27)),IF(N(H575)&gt;0,H575*요약!$G$27,J575*요약!$D$27))</f>
        <v>42636</v>
      </c>
      <c r="M575" s="46" t="n">
        <f aca="false">D575*J575</f>
        <v>11868000</v>
      </c>
      <c r="N575" s="46" t="n">
        <f aca="false">D575*K575</f>
        <v>2005876</v>
      </c>
      <c r="O575" s="46" t="n">
        <f aca="false">D575*L575</f>
        <v>3922512</v>
      </c>
      <c r="P575" s="42" t="str">
        <f aca="false">TRIM(IF(N(E575)&lt;=0,"택가보정 ","")&amp;IF(N(F575)&lt;=0,"원가보정 ","")&amp;IF(AND(B575&lt;&gt;"CN",N(H575)&lt;=0),"공급가보정 ","")&amp;IF(AND(B575="CN",N(I575)&lt;=0),"중국공급가=원가+마진 ",""))</f>
        <v/>
      </c>
      <c r="Q575" s="47" t="n">
        <f aca="false">IF(SUMIFS($W:$W,$A:$A,A575,$C:$C,C575)=0,0,SUMIFS(RAW_판매펀칭!$K:$K,RAW_판매펀칭!$P:$P,A575,RAW_판매펀칭!$I:$I,C575)*W575/SUMIFS($W:$W,$A:$A,A575,$C:$C,C575))</f>
        <v>92</v>
      </c>
      <c r="R575" s="47" t="n">
        <f aca="false">IF(OR(A575="500",A575="800",A575="810"),0,MAX(W575-Q575,0))</f>
        <v>0</v>
      </c>
      <c r="S575" s="47" t="n">
        <f aca="false">R575*L575</f>
        <v>0</v>
      </c>
      <c r="T575" s="47" t="n">
        <f aca="false">R575*J575</f>
        <v>0</v>
      </c>
      <c r="U575" s="47" t="n">
        <f aca="false">R575*K575</f>
        <v>0</v>
      </c>
      <c r="V575" s="0" t="str">
        <f aca="false">IF(COUNTIFS($A$2:A575,A575,$C$2:C575,C575,$D$2:D575,D575)&gt;1,"중복","")</f>
        <v/>
      </c>
      <c r="W575" s="0" t="n">
        <f aca="false">IF(V575="중복",0,N(D575))</f>
        <v>92</v>
      </c>
      <c r="X575" s="0" t="n">
        <f aca="false">IF(COUNTIFS($A$2:A575,A575,$C$2:C575,C575)=1,ABS(SUMIFS(RAW_발주!$D:$D,RAW_발주!$C:$C,A575,RAW_발주!$A:$A,C575)-SUMIFS($W:$W,$A:$A,A575,$C:$C,C575)),0)</f>
        <v>0</v>
      </c>
    </row>
    <row r="576" customFormat="false" ht="15" hidden="false" customHeight="true" outlineLevel="0" collapsed="false">
      <c r="A576" s="45" t="s">
        <v>1659</v>
      </c>
      <c r="B576" s="42" t="str">
        <f aca="false">IF(A576="100","HK",IF(A576="200","CN",IF(A576="300","TW","홀세일")))</f>
        <v>HK</v>
      </c>
      <c r="C576" s="45" t="s">
        <v>844</v>
      </c>
      <c r="D576" s="46" t="n">
        <v>140</v>
      </c>
      <c r="E576" s="46" t="n">
        <v>159000</v>
      </c>
      <c r="F576" s="46" t="n">
        <v>34100</v>
      </c>
      <c r="G576" s="42" t="n">
        <v>3.79</v>
      </c>
      <c r="H576" s="42" t="n">
        <v>39.8</v>
      </c>
      <c r="J576" s="46" t="n">
        <f aca="false">IF(N(E576)&gt;0,E576,IF(N(F576)&gt;0,F576*요약!$F$27,0))</f>
        <v>159000</v>
      </c>
      <c r="K576" s="46" t="n">
        <f aca="false">IF(N(F576)&gt;0,F576,IF(N(E576)&gt;0,E576/요약!$F$27,0))</f>
        <v>34100</v>
      </c>
      <c r="L576" s="46" t="n">
        <f aca="false">IF(B576="CN",IF(N(I576)&gt;0,I576*요약!$G$27,K576*(1+요약!$E$27)),IF(N(H576)&gt;0,H576*요약!$G$27,J576*요약!$D$27))</f>
        <v>52536</v>
      </c>
      <c r="M576" s="46" t="n">
        <f aca="false">D576*J576</f>
        <v>22260000</v>
      </c>
      <c r="N576" s="46" t="n">
        <f aca="false">D576*K576</f>
        <v>4774000</v>
      </c>
      <c r="O576" s="46" t="n">
        <f aca="false">D576*L576</f>
        <v>7355040</v>
      </c>
      <c r="P576" s="42" t="str">
        <f aca="false">TRIM(IF(N(E576)&lt;=0,"택가보정 ","")&amp;IF(N(F576)&lt;=0,"원가보정 ","")&amp;IF(AND(B576&lt;&gt;"CN",N(H576)&lt;=0),"공급가보정 ","")&amp;IF(AND(B576="CN",N(I576)&lt;=0),"중국공급가=원가+마진 ",""))</f>
        <v/>
      </c>
      <c r="Q576" s="47" t="n">
        <f aca="false">IF(SUMIFS($W:$W,$A:$A,A576,$C:$C,C576)=0,0,SUMIFS(RAW_판매펀칭!$K:$K,RAW_판매펀칭!$P:$P,A576,RAW_판매펀칭!$I:$I,C576)*W576/SUMIFS($W:$W,$A:$A,A576,$C:$C,C576))</f>
        <v>140</v>
      </c>
      <c r="R576" s="47" t="n">
        <f aca="false">IF(OR(A576="500",A576="800",A576="810"),0,MAX(W576-Q576,0))</f>
        <v>0</v>
      </c>
      <c r="S576" s="47" t="n">
        <f aca="false">R576*L576</f>
        <v>0</v>
      </c>
      <c r="T576" s="47" t="n">
        <f aca="false">R576*J576</f>
        <v>0</v>
      </c>
      <c r="U576" s="47" t="n">
        <f aca="false">R576*K576</f>
        <v>0</v>
      </c>
      <c r="V576" s="0" t="str">
        <f aca="false">IF(COUNTIFS($A$2:A576,A576,$C$2:C576,C576,$D$2:D576,D576)&gt;1,"중복","")</f>
        <v/>
      </c>
      <c r="W576" s="0" t="n">
        <f aca="false">IF(V576="중복",0,N(D576))</f>
        <v>140</v>
      </c>
      <c r="X576" s="0" t="n">
        <f aca="false">IF(COUNTIFS($A$2:A576,A576,$C$2:C576,C576)=1,ABS(SUMIFS(RAW_발주!$D:$D,RAW_발주!$C:$C,A576,RAW_발주!$A:$A,C576)-SUMIFS($W:$W,$A:$A,A576,$C:$C,C576)),0)</f>
        <v>0</v>
      </c>
    </row>
    <row r="577" customFormat="false" ht="15" hidden="false" customHeight="true" outlineLevel="0" collapsed="false">
      <c r="A577" s="45" t="s">
        <v>1659</v>
      </c>
      <c r="B577" s="42" t="str">
        <f aca="false">IF(A577="100","HK",IF(A577="200","CN",IF(A577="300","TW","홀세일")))</f>
        <v>HK</v>
      </c>
      <c r="C577" s="45" t="s">
        <v>846</v>
      </c>
      <c r="D577" s="46" t="n">
        <v>170</v>
      </c>
      <c r="E577" s="46" t="n">
        <v>179000</v>
      </c>
      <c r="F577" s="46" t="n">
        <v>39368</v>
      </c>
      <c r="G577" s="42" t="n">
        <v>3.77</v>
      </c>
      <c r="H577" s="42" t="n">
        <v>44.8</v>
      </c>
      <c r="J577" s="46" t="n">
        <f aca="false">IF(N(E577)&gt;0,E577,IF(N(F577)&gt;0,F577*요약!$F$27,0))</f>
        <v>179000</v>
      </c>
      <c r="K577" s="46" t="n">
        <f aca="false">IF(N(F577)&gt;0,F577,IF(N(E577)&gt;0,E577/요약!$F$27,0))</f>
        <v>39368</v>
      </c>
      <c r="L577" s="46" t="n">
        <f aca="false">IF(B577="CN",IF(N(I577)&gt;0,I577*요약!$G$27,K577*(1+요약!$E$27)),IF(N(H577)&gt;0,H577*요약!$G$27,J577*요약!$D$27))</f>
        <v>59136</v>
      </c>
      <c r="M577" s="46" t="n">
        <f aca="false">D577*J577</f>
        <v>30430000</v>
      </c>
      <c r="N577" s="46" t="n">
        <f aca="false">D577*K577</f>
        <v>6692560</v>
      </c>
      <c r="O577" s="46" t="n">
        <f aca="false">D577*L577</f>
        <v>10053120</v>
      </c>
      <c r="P577" s="42" t="str">
        <f aca="false">TRIM(IF(N(E577)&lt;=0,"택가보정 ","")&amp;IF(N(F577)&lt;=0,"원가보정 ","")&amp;IF(AND(B577&lt;&gt;"CN",N(H577)&lt;=0),"공급가보정 ","")&amp;IF(AND(B577="CN",N(I577)&lt;=0),"중국공급가=원가+마진 ",""))</f>
        <v/>
      </c>
      <c r="Q577" s="47" t="n">
        <f aca="false">IF(SUMIFS($W:$W,$A:$A,A577,$C:$C,C577)=0,0,SUMIFS(RAW_판매펀칭!$K:$K,RAW_판매펀칭!$P:$P,A577,RAW_판매펀칭!$I:$I,C577)*W577/SUMIFS($W:$W,$A:$A,A577,$C:$C,C577))</f>
        <v>170</v>
      </c>
      <c r="R577" s="47" t="n">
        <f aca="false">IF(OR(A577="500",A577="800",A577="810"),0,MAX(W577-Q577,0))</f>
        <v>0</v>
      </c>
      <c r="S577" s="47" t="n">
        <f aca="false">R577*L577</f>
        <v>0</v>
      </c>
      <c r="T577" s="47" t="n">
        <f aca="false">R577*J577</f>
        <v>0</v>
      </c>
      <c r="U577" s="47" t="n">
        <f aca="false">R577*K577</f>
        <v>0</v>
      </c>
      <c r="V577" s="0" t="str">
        <f aca="false">IF(COUNTIFS($A$2:A577,A577,$C$2:C577,C577,$D$2:D577,D577)&gt;1,"중복","")</f>
        <v/>
      </c>
      <c r="W577" s="0" t="n">
        <f aca="false">IF(V577="중복",0,N(D577))</f>
        <v>170</v>
      </c>
      <c r="X577" s="0" t="n">
        <f aca="false">IF(COUNTIFS($A$2:A577,A577,$C$2:C577,C577)=1,ABS(SUMIFS(RAW_발주!$D:$D,RAW_발주!$C:$C,A577,RAW_발주!$A:$A,C577)-SUMIFS($W:$W,$A:$A,A577,$C:$C,C577)),0)</f>
        <v>0</v>
      </c>
    </row>
    <row r="578" customFormat="false" ht="15.75" hidden="false" customHeight="true" outlineLevel="0" collapsed="false">
      <c r="A578" s="45" t="s">
        <v>1660</v>
      </c>
      <c r="B578" s="42" t="str">
        <f aca="false">IF(A578="100","HK",IF(A578="200","CN",IF(A578="300","TW","홀세일")))</f>
        <v>CN</v>
      </c>
      <c r="C578" s="45" t="s">
        <v>846</v>
      </c>
      <c r="D578" s="46" t="n">
        <v>458</v>
      </c>
      <c r="E578" s="46" t="n">
        <v>179000</v>
      </c>
      <c r="F578" s="46" t="n">
        <v>39368</v>
      </c>
      <c r="G578" s="42" t="n">
        <v>3.77</v>
      </c>
      <c r="H578" s="42" t="n">
        <v>44.8</v>
      </c>
      <c r="J578" s="46" t="n">
        <f aca="false">IF(N(E578)&gt;0,E578,IF(N(F578)&gt;0,F578*요약!$F$27,0))</f>
        <v>179000</v>
      </c>
      <c r="K578" s="46" t="n">
        <f aca="false">IF(N(F578)&gt;0,F578,IF(N(E578)&gt;0,E578/요약!$F$27,0))</f>
        <v>39368</v>
      </c>
      <c r="L578" s="46" t="n">
        <f aca="false">IF(B578="CN",IF(N(I578)&gt;0,I578*요약!$G$27,K578*(1+요약!$E$27)),IF(N(H578)&gt;0,H578*요약!$G$27,J578*요약!$D$27))</f>
        <v>41336.4</v>
      </c>
      <c r="M578" s="46" t="n">
        <f aca="false">D578*J578</f>
        <v>81982000</v>
      </c>
      <c r="N578" s="46" t="n">
        <f aca="false">D578*K578</f>
        <v>18030544</v>
      </c>
      <c r="O578" s="46" t="n">
        <f aca="false">D578*L578</f>
        <v>18932071.2</v>
      </c>
      <c r="P578" s="42" t="str">
        <f aca="false">TRIM(IF(N(E578)&lt;=0,"택가보정 ","")&amp;IF(N(F578)&lt;=0,"원가보정 ","")&amp;IF(AND(B578&lt;&gt;"CN",N(H578)&lt;=0),"공급가보정 ","")&amp;IF(AND(B578="CN",N(I578)&lt;=0),"중국공급가=원가+마진 ",""))</f>
        <v>중국공급가=원가+마진</v>
      </c>
      <c r="Q578" s="47" t="n">
        <f aca="false">IF(SUMIFS($W:$W,$A:$A,A578,$C:$C,C578)=0,0,SUMIFS(RAW_판매펀칭!$K:$K,RAW_판매펀칭!$P:$P,A578,RAW_판매펀칭!$I:$I,C578)*W578/SUMIFS($W:$W,$A:$A,A578,$C:$C,C578))</f>
        <v>452</v>
      </c>
      <c r="R578" s="47" t="n">
        <f aca="false">IF(OR(A578="500",A578="800",A578="810"),0,MAX(W578-Q578,0))</f>
        <v>6</v>
      </c>
      <c r="S578" s="47" t="n">
        <f aca="false">R578*L578</f>
        <v>248018.4</v>
      </c>
      <c r="T578" s="47" t="n">
        <f aca="false">R578*J578</f>
        <v>1074000</v>
      </c>
      <c r="U578" s="47" t="n">
        <f aca="false">R578*K578</f>
        <v>236208</v>
      </c>
      <c r="V578" s="0" t="str">
        <f aca="false">IF(COUNTIFS($A$2:A578,A578,$C$2:C578,C578,$D$2:D578,D578)&gt;1,"중복","")</f>
        <v/>
      </c>
      <c r="W578" s="0" t="n">
        <f aca="false">IF(V578="중복",0,N(D578))</f>
        <v>458</v>
      </c>
      <c r="X578" s="0" t="n">
        <f aca="false">IF(COUNTIFS($A$2:A578,A578,$C$2:C578,C578)=1,ABS(SUMIFS(RAW_발주!$D:$D,RAW_발주!$C:$C,A578,RAW_발주!$A:$A,C578)-SUMIFS($W:$W,$A:$A,A578,$C:$C,C578)),0)</f>
        <v>0</v>
      </c>
    </row>
    <row r="579" customFormat="false" ht="15" hidden="false" customHeight="true" outlineLevel="0" collapsed="false">
      <c r="A579" s="45" t="s">
        <v>1663</v>
      </c>
      <c r="B579" s="42" t="str">
        <f aca="false">IF(A579="100","HK",IF(A579="200","CN",IF(A579="300","TW","홀세일")))</f>
        <v>홀세일</v>
      </c>
      <c r="C579" s="45" t="s">
        <v>846</v>
      </c>
      <c r="D579" s="46" t="n">
        <v>40</v>
      </c>
      <c r="E579" s="46" t="n">
        <v>179000</v>
      </c>
      <c r="F579" s="46" t="n">
        <v>39368</v>
      </c>
      <c r="G579" s="42" t="n">
        <v>3.77</v>
      </c>
      <c r="H579" s="42" t="n">
        <v>44.8</v>
      </c>
      <c r="J579" s="46" t="n">
        <f aca="false">IF(N(E579)&gt;0,E579,IF(N(F579)&gt;0,F579*요약!$F$27,0))</f>
        <v>179000</v>
      </c>
      <c r="K579" s="46" t="n">
        <f aca="false">IF(N(F579)&gt;0,F579,IF(N(E579)&gt;0,E579/요약!$F$27,0))</f>
        <v>39368</v>
      </c>
      <c r="L579" s="46" t="n">
        <f aca="false">IF(B579="CN",IF(N(I579)&gt;0,I579*요약!$G$27,K579*(1+요약!$E$27)),IF(N(H579)&gt;0,H579*요약!$G$27,J579*요약!$D$27))</f>
        <v>59136</v>
      </c>
      <c r="M579" s="46" t="n">
        <f aca="false">D579*J579</f>
        <v>7160000</v>
      </c>
      <c r="N579" s="46" t="n">
        <f aca="false">D579*K579</f>
        <v>1574720</v>
      </c>
      <c r="O579" s="46" t="n">
        <f aca="false">D579*L579</f>
        <v>2365440</v>
      </c>
      <c r="P579" s="42" t="str">
        <f aca="false">TRIM(IF(N(E579)&lt;=0,"택가보정 ","")&amp;IF(N(F579)&lt;=0,"원가보정 ","")&amp;IF(AND(B579&lt;&gt;"CN",N(H579)&lt;=0),"공급가보정 ","")&amp;IF(AND(B579="CN",N(I579)&lt;=0),"중국공급가=원가+마진 ",""))</f>
        <v/>
      </c>
      <c r="Q579" s="47" t="n">
        <f aca="false">IF(SUMIFS($W:$W,$A:$A,A579,$C:$C,C579)=0,0,SUMIFS(RAW_판매펀칭!$K:$K,RAW_판매펀칭!$P:$P,A579,RAW_판매펀칭!$I:$I,C579)*W579/SUMIFS($W:$W,$A:$A,A579,$C:$C,C579))</f>
        <v>40</v>
      </c>
      <c r="R579" s="47" t="n">
        <f aca="false">IF(OR(A579="500",A579="800",A579="810"),0,MAX(W579-Q579,0))</f>
        <v>0</v>
      </c>
      <c r="S579" s="47" t="n">
        <f aca="false">R579*L579</f>
        <v>0</v>
      </c>
      <c r="T579" s="47" t="n">
        <f aca="false">R579*J579</f>
        <v>0</v>
      </c>
      <c r="U579" s="47" t="n">
        <f aca="false">R579*K579</f>
        <v>0</v>
      </c>
      <c r="V579" s="0" t="str">
        <f aca="false">IF(COUNTIFS($A$2:A579,A579,$C$2:C579,C579,$D$2:D579,D579)&gt;1,"중복","")</f>
        <v/>
      </c>
      <c r="W579" s="0" t="n">
        <f aca="false">IF(V579="중복",0,N(D579))</f>
        <v>40</v>
      </c>
      <c r="X579" s="0" t="n">
        <f aca="false">IF(COUNTIFS($A$2:A579,A579,$C$2:C579,C579)=1,ABS(SUMIFS(RAW_발주!$D:$D,RAW_발주!$C:$C,A579,RAW_발주!$A:$A,C579)-SUMIFS($W:$W,$A:$A,A579,$C:$C,C579)),0)</f>
        <v>0</v>
      </c>
    </row>
    <row r="580" customFormat="false" ht="15.75" hidden="false" customHeight="true" outlineLevel="0" collapsed="false">
      <c r="A580" s="45" t="s">
        <v>1660</v>
      </c>
      <c r="B580" s="42" t="str">
        <f aca="false">IF(A580="100","HK",IF(A580="200","CN",IF(A580="300","TW","홀세일")))</f>
        <v>CN</v>
      </c>
      <c r="C580" s="45" t="s">
        <v>350</v>
      </c>
      <c r="D580" s="46" t="n">
        <v>111</v>
      </c>
      <c r="E580" s="46" t="n">
        <v>159000</v>
      </c>
      <c r="F580" s="46" t="n">
        <v>35785</v>
      </c>
      <c r="G580" s="42" t="n">
        <v>4.19</v>
      </c>
      <c r="H580" s="42" t="n">
        <v>39.8</v>
      </c>
      <c r="J580" s="46" t="n">
        <f aca="false">IF(N(E580)&gt;0,E580,IF(N(F580)&gt;0,F580*요약!$F$27,0))</f>
        <v>159000</v>
      </c>
      <c r="K580" s="46" t="n">
        <f aca="false">IF(N(F580)&gt;0,F580,IF(N(E580)&gt;0,E580/요약!$F$27,0))</f>
        <v>35785</v>
      </c>
      <c r="L580" s="46" t="n">
        <f aca="false">IF(B580="CN",IF(N(I580)&gt;0,I580*요약!$G$27,K580*(1+요약!$E$27)),IF(N(H580)&gt;0,H580*요약!$G$27,J580*요약!$D$27))</f>
        <v>37574.25</v>
      </c>
      <c r="M580" s="46" t="n">
        <f aca="false">D580*J580</f>
        <v>17649000</v>
      </c>
      <c r="N580" s="46" t="n">
        <f aca="false">D580*K580</f>
        <v>3972135</v>
      </c>
      <c r="O580" s="46" t="n">
        <f aca="false">D580*L580</f>
        <v>4170741.75</v>
      </c>
      <c r="P580" s="42" t="str">
        <f aca="false">TRIM(IF(N(E580)&lt;=0,"택가보정 ","")&amp;IF(N(F580)&lt;=0,"원가보정 ","")&amp;IF(AND(B580&lt;&gt;"CN",N(H580)&lt;=0),"공급가보정 ","")&amp;IF(AND(B580="CN",N(I580)&lt;=0),"중국공급가=원가+마진 ",""))</f>
        <v>중국공급가=원가+마진</v>
      </c>
      <c r="Q580" s="47" t="n">
        <f aca="false">IF(SUMIFS($W:$W,$A:$A,A580,$C:$C,C580)=0,0,SUMIFS(RAW_판매펀칭!$K:$K,RAW_판매펀칭!$P:$P,A580,RAW_판매펀칭!$I:$I,C580)*W580/SUMIFS($W:$W,$A:$A,A580,$C:$C,C580))</f>
        <v>110</v>
      </c>
      <c r="R580" s="47" t="n">
        <f aca="false">IF(OR(A580="500",A580="800",A580="810"),0,MAX(W580-Q580,0))</f>
        <v>1</v>
      </c>
      <c r="S580" s="47" t="n">
        <f aca="false">R580*L580</f>
        <v>37574.25</v>
      </c>
      <c r="T580" s="47" t="n">
        <f aca="false">R580*J580</f>
        <v>159000</v>
      </c>
      <c r="U580" s="47" t="n">
        <f aca="false">R580*K580</f>
        <v>35785</v>
      </c>
      <c r="V580" s="0" t="str">
        <f aca="false">IF(COUNTIFS($A$2:A580,A580,$C$2:C580,C580,$D$2:D580,D580)&gt;1,"중복","")</f>
        <v/>
      </c>
      <c r="W580" s="0" t="n">
        <f aca="false">IF(V580="중복",0,N(D580))</f>
        <v>111</v>
      </c>
      <c r="X580" s="0" t="n">
        <f aca="false">IF(COUNTIFS($A$2:A580,A580,$C$2:C580,C580)=1,ABS(SUMIFS(RAW_발주!$D:$D,RAW_발주!$C:$C,A580,RAW_발주!$A:$A,C580)-SUMIFS($W:$W,$A:$A,A580,$C:$C,C580)),0)</f>
        <v>0</v>
      </c>
    </row>
    <row r="581" customFormat="false" ht="15" hidden="false" customHeight="true" outlineLevel="0" collapsed="false">
      <c r="A581" s="45" t="s">
        <v>1661</v>
      </c>
      <c r="B581" s="42" t="str">
        <f aca="false">IF(A581="100","HK",IF(A581="200","CN",IF(A581="300","TW","홀세일")))</f>
        <v>TW</v>
      </c>
      <c r="C581" s="45" t="s">
        <v>350</v>
      </c>
      <c r="D581" s="46" t="n">
        <v>120</v>
      </c>
      <c r="E581" s="46" t="n">
        <v>159000</v>
      </c>
      <c r="F581" s="46" t="n">
        <v>35785</v>
      </c>
      <c r="G581" s="42" t="n">
        <v>4.19</v>
      </c>
      <c r="H581" s="42" t="n">
        <v>39.8</v>
      </c>
      <c r="J581" s="46" t="n">
        <f aca="false">IF(N(E581)&gt;0,E581,IF(N(F581)&gt;0,F581*요약!$F$27,0))</f>
        <v>159000</v>
      </c>
      <c r="K581" s="46" t="n">
        <f aca="false">IF(N(F581)&gt;0,F581,IF(N(E581)&gt;0,E581/요약!$F$27,0))</f>
        <v>35785</v>
      </c>
      <c r="L581" s="46" t="n">
        <f aca="false">IF(B581="CN",IF(N(I581)&gt;0,I581*요약!$G$27,K581*(1+요약!$E$27)),IF(N(H581)&gt;0,H581*요약!$G$27,J581*요약!$D$27))</f>
        <v>52536</v>
      </c>
      <c r="M581" s="46" t="n">
        <f aca="false">D581*J581</f>
        <v>19080000</v>
      </c>
      <c r="N581" s="46" t="n">
        <f aca="false">D581*K581</f>
        <v>4294200</v>
      </c>
      <c r="O581" s="46" t="n">
        <f aca="false">D581*L581</f>
        <v>6304320</v>
      </c>
      <c r="P581" s="42" t="str">
        <f aca="false">TRIM(IF(N(E581)&lt;=0,"택가보정 ","")&amp;IF(N(F581)&lt;=0,"원가보정 ","")&amp;IF(AND(B581&lt;&gt;"CN",N(H581)&lt;=0),"공급가보정 ","")&amp;IF(AND(B581="CN",N(I581)&lt;=0),"중국공급가=원가+마진 ",""))</f>
        <v/>
      </c>
      <c r="Q581" s="47" t="n">
        <f aca="false">IF(SUMIFS($W:$W,$A:$A,A581,$C:$C,C581)=0,0,SUMIFS(RAW_판매펀칭!$K:$K,RAW_판매펀칭!$P:$P,A581,RAW_판매펀칭!$I:$I,C581)*W581/SUMIFS($W:$W,$A:$A,A581,$C:$C,C581))</f>
        <v>120</v>
      </c>
      <c r="R581" s="47" t="n">
        <f aca="false">IF(OR(A581="500",A581="800",A581="810"),0,MAX(W581-Q581,0))</f>
        <v>0</v>
      </c>
      <c r="S581" s="47" t="n">
        <f aca="false">R581*L581</f>
        <v>0</v>
      </c>
      <c r="T581" s="47" t="n">
        <f aca="false">R581*J581</f>
        <v>0</v>
      </c>
      <c r="U581" s="47" t="n">
        <f aca="false">R581*K581</f>
        <v>0</v>
      </c>
      <c r="V581" s="0" t="str">
        <f aca="false">IF(COUNTIFS($A$2:A581,A581,$C$2:C581,C581,$D$2:D581,D581)&gt;1,"중복","")</f>
        <v/>
      </c>
      <c r="W581" s="0" t="n">
        <f aca="false">IF(V581="중복",0,N(D581))</f>
        <v>120</v>
      </c>
      <c r="X581" s="0" t="n">
        <f aca="false">IF(COUNTIFS($A$2:A581,A581,$C$2:C581,C581)=1,ABS(SUMIFS(RAW_발주!$D:$D,RAW_발주!$C:$C,A581,RAW_발주!$A:$A,C581)-SUMIFS($W:$W,$A:$A,A581,$C:$C,C581)),0)</f>
        <v>0</v>
      </c>
    </row>
    <row r="582" customFormat="false" ht="15" hidden="false" customHeight="true" outlineLevel="0" collapsed="false">
      <c r="A582" s="45" t="s">
        <v>1663</v>
      </c>
      <c r="B582" s="42" t="str">
        <f aca="false">IF(A582="100","HK",IF(A582="200","CN",IF(A582="300","TW","홀세일")))</f>
        <v>홀세일</v>
      </c>
      <c r="C582" s="45" t="s">
        <v>350</v>
      </c>
      <c r="D582" s="46" t="n">
        <v>15</v>
      </c>
      <c r="E582" s="46" t="n">
        <v>159000</v>
      </c>
      <c r="F582" s="46" t="n">
        <v>35785</v>
      </c>
      <c r="G582" s="42" t="n">
        <v>4.19</v>
      </c>
      <c r="H582" s="42" t="n">
        <v>39.8</v>
      </c>
      <c r="J582" s="46" t="n">
        <f aca="false">IF(N(E582)&gt;0,E582,IF(N(F582)&gt;0,F582*요약!$F$27,0))</f>
        <v>159000</v>
      </c>
      <c r="K582" s="46" t="n">
        <f aca="false">IF(N(F582)&gt;0,F582,IF(N(E582)&gt;0,E582/요약!$F$27,0))</f>
        <v>35785</v>
      </c>
      <c r="L582" s="46" t="n">
        <f aca="false">IF(B582="CN",IF(N(I582)&gt;0,I582*요약!$G$27,K582*(1+요약!$E$27)),IF(N(H582)&gt;0,H582*요약!$G$27,J582*요약!$D$27))</f>
        <v>52536</v>
      </c>
      <c r="M582" s="46" t="n">
        <f aca="false">D582*J582</f>
        <v>2385000</v>
      </c>
      <c r="N582" s="46" t="n">
        <f aca="false">D582*K582</f>
        <v>536775</v>
      </c>
      <c r="O582" s="46" t="n">
        <f aca="false">D582*L582</f>
        <v>788040</v>
      </c>
      <c r="P582" s="42" t="str">
        <f aca="false">TRIM(IF(N(E582)&lt;=0,"택가보정 ","")&amp;IF(N(F582)&lt;=0,"원가보정 ","")&amp;IF(AND(B582&lt;&gt;"CN",N(H582)&lt;=0),"공급가보정 ","")&amp;IF(AND(B582="CN",N(I582)&lt;=0),"중국공급가=원가+마진 ",""))</f>
        <v/>
      </c>
      <c r="Q582" s="47" t="n">
        <f aca="false">IF(SUMIFS($W:$W,$A:$A,A582,$C:$C,C582)=0,0,SUMIFS(RAW_판매펀칭!$K:$K,RAW_판매펀칭!$P:$P,A582,RAW_판매펀칭!$I:$I,C582)*W582/SUMIFS($W:$W,$A:$A,A582,$C:$C,C582))</f>
        <v>15</v>
      </c>
      <c r="R582" s="47" t="n">
        <f aca="false">IF(OR(A582="500",A582="800",A582="810"),0,MAX(W582-Q582,0))</f>
        <v>0</v>
      </c>
      <c r="S582" s="47" t="n">
        <f aca="false">R582*L582</f>
        <v>0</v>
      </c>
      <c r="T582" s="47" t="n">
        <f aca="false">R582*J582</f>
        <v>0</v>
      </c>
      <c r="U582" s="47" t="n">
        <f aca="false">R582*K582</f>
        <v>0</v>
      </c>
      <c r="V582" s="0" t="str">
        <f aca="false">IF(COUNTIFS($A$2:A582,A582,$C$2:C582,C582,$D$2:D582,D582)&gt;1,"중복","")</f>
        <v/>
      </c>
      <c r="W582" s="0" t="n">
        <f aca="false">IF(V582="중복",0,N(D582))</f>
        <v>15</v>
      </c>
      <c r="X582" s="0" t="n">
        <f aca="false">IF(COUNTIFS($A$2:A582,A582,$C$2:C582,C582)=1,ABS(SUMIFS(RAW_발주!$D:$D,RAW_발주!$C:$C,A582,RAW_발주!$A:$A,C582)-SUMIFS($W:$W,$A:$A,A582,$C:$C,C582)),0)</f>
        <v>0</v>
      </c>
    </row>
    <row r="583" customFormat="false" ht="15.75" hidden="false" customHeight="true" outlineLevel="0" collapsed="false">
      <c r="A583" s="45" t="s">
        <v>1660</v>
      </c>
      <c r="B583" s="42" t="str">
        <f aca="false">IF(A583="100","HK",IF(A583="200","CN",IF(A583="300","TW","홀세일")))</f>
        <v>CN</v>
      </c>
      <c r="C583" s="45" t="s">
        <v>1051</v>
      </c>
      <c r="D583" s="46" t="n">
        <v>202</v>
      </c>
      <c r="E583" s="46" t="n">
        <v>179000</v>
      </c>
      <c r="F583" s="46" t="n">
        <v>34936</v>
      </c>
      <c r="G583" s="42" t="n">
        <v>4.2</v>
      </c>
      <c r="H583" s="42" t="n">
        <v>44.8</v>
      </c>
      <c r="J583" s="46" t="n">
        <f aca="false">IF(N(E583)&gt;0,E583,IF(N(F583)&gt;0,F583*요약!$F$27,0))</f>
        <v>179000</v>
      </c>
      <c r="K583" s="46" t="n">
        <f aca="false">IF(N(F583)&gt;0,F583,IF(N(E583)&gt;0,E583/요약!$F$27,0))</f>
        <v>34936</v>
      </c>
      <c r="L583" s="46" t="n">
        <f aca="false">IF(B583="CN",IF(N(I583)&gt;0,I583*요약!$G$27,K583*(1+요약!$E$27)),IF(N(H583)&gt;0,H583*요약!$G$27,J583*요약!$D$27))</f>
        <v>36682.8</v>
      </c>
      <c r="M583" s="46" t="n">
        <f aca="false">D583*J583</f>
        <v>36158000</v>
      </c>
      <c r="N583" s="46" t="n">
        <f aca="false">D583*K583</f>
        <v>7057072</v>
      </c>
      <c r="O583" s="46" t="n">
        <f aca="false">D583*L583</f>
        <v>7409925.6</v>
      </c>
      <c r="P583" s="42" t="str">
        <f aca="false">TRIM(IF(N(E583)&lt;=0,"택가보정 ","")&amp;IF(N(F583)&lt;=0,"원가보정 ","")&amp;IF(AND(B583&lt;&gt;"CN",N(H583)&lt;=0),"공급가보정 ","")&amp;IF(AND(B583="CN",N(I583)&lt;=0),"중국공급가=원가+마진 ",""))</f>
        <v>중국공급가=원가+마진</v>
      </c>
      <c r="Q583" s="47" t="n">
        <f aca="false">IF(SUMIFS($W:$W,$A:$A,A583,$C:$C,C583)=0,0,SUMIFS(RAW_판매펀칭!$K:$K,RAW_판매펀칭!$P:$P,A583,RAW_판매펀칭!$I:$I,C583)*W583/SUMIFS($W:$W,$A:$A,A583,$C:$C,C583))</f>
        <v>200</v>
      </c>
      <c r="R583" s="47" t="n">
        <f aca="false">IF(OR(A583="500",A583="800",A583="810"),0,MAX(W583-Q583,0))</f>
        <v>2</v>
      </c>
      <c r="S583" s="47" t="n">
        <f aca="false">R583*L583</f>
        <v>73365.6</v>
      </c>
      <c r="T583" s="47" t="n">
        <f aca="false">R583*J583</f>
        <v>358000</v>
      </c>
      <c r="U583" s="47" t="n">
        <f aca="false">R583*K583</f>
        <v>69872</v>
      </c>
      <c r="V583" s="0" t="str">
        <f aca="false">IF(COUNTIFS($A$2:A583,A583,$C$2:C583,C583,$D$2:D583,D583)&gt;1,"중복","")</f>
        <v/>
      </c>
      <c r="W583" s="0" t="n">
        <f aca="false">IF(V583="중복",0,N(D583))</f>
        <v>202</v>
      </c>
      <c r="X583" s="0" t="n">
        <f aca="false">IF(COUNTIFS($A$2:A583,A583,$C$2:C583,C583)=1,ABS(SUMIFS(RAW_발주!$D:$D,RAW_발주!$C:$C,A583,RAW_발주!$A:$A,C583)-SUMIFS($W:$W,$A:$A,A583,$C:$C,C583)),0)</f>
        <v>0</v>
      </c>
    </row>
    <row r="584" customFormat="false" ht="15" hidden="false" customHeight="true" outlineLevel="0" collapsed="false">
      <c r="A584" s="45" t="s">
        <v>1663</v>
      </c>
      <c r="B584" s="42" t="str">
        <f aca="false">IF(A584="100","HK",IF(A584="200","CN",IF(A584="300","TW","홀세일")))</f>
        <v>홀세일</v>
      </c>
      <c r="C584" s="45" t="s">
        <v>1312</v>
      </c>
      <c r="D584" s="46" t="n">
        <v>30</v>
      </c>
      <c r="E584" s="46" t="n">
        <v>89000</v>
      </c>
      <c r="F584" s="46" t="n">
        <v>16201</v>
      </c>
      <c r="G584" s="42" t="n">
        <v>4.57</v>
      </c>
      <c r="H584" s="42" t="n">
        <v>22.3</v>
      </c>
      <c r="J584" s="46" t="n">
        <f aca="false">IF(N(E584)&gt;0,E584,IF(N(F584)&gt;0,F584*요약!$F$27,0))</f>
        <v>89000</v>
      </c>
      <c r="K584" s="46" t="n">
        <f aca="false">IF(N(F584)&gt;0,F584,IF(N(E584)&gt;0,E584/요약!$F$27,0))</f>
        <v>16201</v>
      </c>
      <c r="L584" s="46" t="n">
        <f aca="false">IF(B584="CN",IF(N(I584)&gt;0,I584*요약!$G$27,K584*(1+요약!$E$27)),IF(N(H584)&gt;0,H584*요약!$G$27,J584*요약!$D$27))</f>
        <v>29436</v>
      </c>
      <c r="M584" s="46" t="n">
        <f aca="false">D584*J584</f>
        <v>2670000</v>
      </c>
      <c r="N584" s="46" t="n">
        <f aca="false">D584*K584</f>
        <v>486030</v>
      </c>
      <c r="O584" s="46" t="n">
        <f aca="false">D584*L584</f>
        <v>883080</v>
      </c>
      <c r="P584" s="42" t="str">
        <f aca="false">TRIM(IF(N(E584)&lt;=0,"택가보정 ","")&amp;IF(N(F584)&lt;=0,"원가보정 ","")&amp;IF(AND(B584&lt;&gt;"CN",N(H584)&lt;=0),"공급가보정 ","")&amp;IF(AND(B584="CN",N(I584)&lt;=0),"중국공급가=원가+마진 ",""))</f>
        <v/>
      </c>
      <c r="Q584" s="47" t="n">
        <f aca="false">IF(SUMIFS($W:$W,$A:$A,A584,$C:$C,C584)=0,0,SUMIFS(RAW_판매펀칭!$K:$K,RAW_판매펀칭!$P:$P,A584,RAW_판매펀칭!$I:$I,C584)*W584/SUMIFS($W:$W,$A:$A,A584,$C:$C,C584))</f>
        <v>30</v>
      </c>
      <c r="R584" s="47" t="n">
        <f aca="false">IF(OR(A584="500",A584="800",A584="810"),0,MAX(W584-Q584,0))</f>
        <v>0</v>
      </c>
      <c r="S584" s="47" t="n">
        <f aca="false">R584*L584</f>
        <v>0</v>
      </c>
      <c r="T584" s="47" t="n">
        <f aca="false">R584*J584</f>
        <v>0</v>
      </c>
      <c r="U584" s="47" t="n">
        <f aca="false">R584*K584</f>
        <v>0</v>
      </c>
      <c r="V584" s="0" t="str">
        <f aca="false">IF(COUNTIFS($A$2:A584,A584,$C$2:C584,C584,$D$2:D584,D584)&gt;1,"중복","")</f>
        <v/>
      </c>
      <c r="W584" s="0" t="n">
        <f aca="false">IF(V584="중복",0,N(D584))</f>
        <v>30</v>
      </c>
      <c r="X584" s="0" t="n">
        <f aca="false">IF(COUNTIFS($A$2:A584,A584,$C$2:C584,C584)=1,ABS(SUMIFS(RAW_발주!$D:$D,RAW_발주!$C:$C,A584,RAW_발주!$A:$A,C584)-SUMIFS($W:$W,$A:$A,A584,$C:$C,C584)),0)</f>
        <v>0</v>
      </c>
    </row>
    <row r="585" customFormat="false" ht="15" hidden="false" customHeight="true" outlineLevel="0" collapsed="false">
      <c r="A585" s="45" t="s">
        <v>1667</v>
      </c>
      <c r="B585" s="42" t="str">
        <f aca="false">IF(A585="100","HK",IF(A585="200","CN",IF(A585="300","TW","홀세일")))</f>
        <v>홀세일</v>
      </c>
      <c r="C585" s="45" t="s">
        <v>1312</v>
      </c>
      <c r="D585" s="46" t="n">
        <v>183</v>
      </c>
      <c r="E585" s="46" t="n">
        <v>89000</v>
      </c>
      <c r="F585" s="46" t="n">
        <v>16201</v>
      </c>
      <c r="G585" s="42" t="n">
        <v>4.57</v>
      </c>
      <c r="H585" s="42" t="n">
        <v>22.3</v>
      </c>
      <c r="J585" s="46" t="n">
        <f aca="false">IF(N(E585)&gt;0,E585,IF(N(F585)&gt;0,F585*요약!$F$27,0))</f>
        <v>89000</v>
      </c>
      <c r="K585" s="46" t="n">
        <f aca="false">IF(N(F585)&gt;0,F585,IF(N(E585)&gt;0,E585/요약!$F$27,0))</f>
        <v>16201</v>
      </c>
      <c r="L585" s="46" t="n">
        <f aca="false">IF(B585="CN",IF(N(I585)&gt;0,I585*요약!$G$27,K585*(1+요약!$E$27)),IF(N(H585)&gt;0,H585*요약!$G$27,J585*요약!$D$27))</f>
        <v>29436</v>
      </c>
      <c r="M585" s="46" t="n">
        <f aca="false">D585*J585</f>
        <v>16287000</v>
      </c>
      <c r="N585" s="46" t="n">
        <f aca="false">D585*K585</f>
        <v>2964783</v>
      </c>
      <c r="O585" s="46" t="n">
        <f aca="false">D585*L585</f>
        <v>5386788</v>
      </c>
      <c r="P585" s="42" t="str">
        <f aca="false">TRIM(IF(N(E585)&lt;=0,"택가보정 ","")&amp;IF(N(F585)&lt;=0,"원가보정 ","")&amp;IF(AND(B585&lt;&gt;"CN",N(H585)&lt;=0),"공급가보정 ","")&amp;IF(AND(B585="CN",N(I585)&lt;=0),"중국공급가=원가+마진 ",""))</f>
        <v/>
      </c>
      <c r="Q585" s="47" t="n">
        <f aca="false">IF(SUMIFS($W:$W,$A:$A,A585,$C:$C,C585)=0,0,SUMIFS(RAW_판매펀칭!$K:$K,RAW_판매펀칭!$P:$P,A585,RAW_판매펀칭!$I:$I,C585)*W585/SUMIFS($W:$W,$A:$A,A585,$C:$C,C585))</f>
        <v>183</v>
      </c>
      <c r="R585" s="47" t="n">
        <f aca="false">IF(OR(A585="500",A585="800",A585="810"),0,MAX(W585-Q585,0))</f>
        <v>0</v>
      </c>
      <c r="S585" s="47" t="n">
        <f aca="false">R585*L585</f>
        <v>0</v>
      </c>
      <c r="T585" s="47" t="n">
        <f aca="false">R585*J585</f>
        <v>0</v>
      </c>
      <c r="U585" s="47" t="n">
        <f aca="false">R585*K585</f>
        <v>0</v>
      </c>
      <c r="V585" s="0" t="str">
        <f aca="false">IF(COUNTIFS($A$2:A585,A585,$C$2:C585,C585,$D$2:D585,D585)&gt;1,"중복","")</f>
        <v/>
      </c>
      <c r="W585" s="0" t="n">
        <f aca="false">IF(V585="중복",0,N(D585))</f>
        <v>183</v>
      </c>
      <c r="X585" s="0" t="n">
        <f aca="false">IF(COUNTIFS($A$2:A585,A585,$C$2:C585,C585)=1,ABS(SUMIFS(RAW_발주!$D:$D,RAW_발주!$C:$C,A585,RAW_발주!$A:$A,C585)-SUMIFS($W:$W,$A:$A,A585,$C:$C,C585)),0)</f>
        <v>0</v>
      </c>
    </row>
    <row r="586" customFormat="false" ht="15" hidden="false" customHeight="true" outlineLevel="0" collapsed="false">
      <c r="A586" s="45" t="s">
        <v>1663</v>
      </c>
      <c r="B586" s="42" t="str">
        <f aca="false">IF(A586="100","HK",IF(A586="200","CN",IF(A586="300","TW","홀세일")))</f>
        <v>홀세일</v>
      </c>
      <c r="C586" s="45" t="s">
        <v>1314</v>
      </c>
      <c r="D586" s="46" t="n">
        <v>20</v>
      </c>
      <c r="E586" s="46" t="n">
        <v>99000</v>
      </c>
      <c r="F586" s="46" t="n">
        <v>16801</v>
      </c>
      <c r="G586" s="42" t="n">
        <v>5.96</v>
      </c>
      <c r="H586" s="42" t="n">
        <v>24.8</v>
      </c>
      <c r="J586" s="46" t="n">
        <f aca="false">IF(N(E586)&gt;0,E586,IF(N(F586)&gt;0,F586*요약!$F$27,0))</f>
        <v>99000</v>
      </c>
      <c r="K586" s="46" t="n">
        <f aca="false">IF(N(F586)&gt;0,F586,IF(N(E586)&gt;0,E586/요약!$F$27,0))</f>
        <v>16801</v>
      </c>
      <c r="L586" s="46" t="n">
        <f aca="false">IF(B586="CN",IF(N(I586)&gt;0,I586*요약!$G$27,K586*(1+요약!$E$27)),IF(N(H586)&gt;0,H586*요약!$G$27,J586*요약!$D$27))</f>
        <v>32736</v>
      </c>
      <c r="M586" s="46" t="n">
        <f aca="false">D586*J586</f>
        <v>1980000</v>
      </c>
      <c r="N586" s="46" t="n">
        <f aca="false">D586*K586</f>
        <v>336020</v>
      </c>
      <c r="O586" s="46" t="n">
        <f aca="false">D586*L586</f>
        <v>654720</v>
      </c>
      <c r="P586" s="42" t="str">
        <f aca="false">TRIM(IF(N(E586)&lt;=0,"택가보정 ","")&amp;IF(N(F586)&lt;=0,"원가보정 ","")&amp;IF(AND(B586&lt;&gt;"CN",N(H586)&lt;=0),"공급가보정 ","")&amp;IF(AND(B586="CN",N(I586)&lt;=0),"중국공급가=원가+마진 ",""))</f>
        <v/>
      </c>
      <c r="Q586" s="47" t="n">
        <f aca="false">IF(SUMIFS($W:$W,$A:$A,A586,$C:$C,C586)=0,0,SUMIFS(RAW_판매펀칭!$K:$K,RAW_판매펀칭!$P:$P,A586,RAW_판매펀칭!$I:$I,C586)*W586/SUMIFS($W:$W,$A:$A,A586,$C:$C,C586))</f>
        <v>20</v>
      </c>
      <c r="R586" s="47" t="n">
        <f aca="false">IF(OR(A586="500",A586="800",A586="810"),0,MAX(W586-Q586,0))</f>
        <v>0</v>
      </c>
      <c r="S586" s="47" t="n">
        <f aca="false">R586*L586</f>
        <v>0</v>
      </c>
      <c r="T586" s="47" t="n">
        <f aca="false">R586*J586</f>
        <v>0</v>
      </c>
      <c r="U586" s="47" t="n">
        <f aca="false">R586*K586</f>
        <v>0</v>
      </c>
      <c r="V586" s="0" t="str">
        <f aca="false">IF(COUNTIFS($A$2:A586,A586,$C$2:C586,C586,$D$2:D586,D586)&gt;1,"중복","")</f>
        <v/>
      </c>
      <c r="W586" s="0" t="n">
        <f aca="false">IF(V586="중복",0,N(D586))</f>
        <v>20</v>
      </c>
      <c r="X586" s="0" t="n">
        <f aca="false">IF(COUNTIFS($A$2:A586,A586,$C$2:C586,C586)=1,ABS(SUMIFS(RAW_발주!$D:$D,RAW_발주!$C:$C,A586,RAW_발주!$A:$A,C586)-SUMIFS($W:$W,$A:$A,A586,$C:$C,C586)),0)</f>
        <v>0</v>
      </c>
    </row>
    <row r="587" customFormat="false" ht="15" hidden="false" customHeight="true" outlineLevel="0" collapsed="false">
      <c r="A587" s="45" t="s">
        <v>1667</v>
      </c>
      <c r="B587" s="42" t="str">
        <f aca="false">IF(A587="100","HK",IF(A587="200","CN",IF(A587="300","TW","홀세일")))</f>
        <v>홀세일</v>
      </c>
      <c r="C587" s="45" t="s">
        <v>1314</v>
      </c>
      <c r="D587" s="46" t="n">
        <v>107</v>
      </c>
      <c r="E587" s="46" t="n">
        <v>99000</v>
      </c>
      <c r="F587" s="46" t="n">
        <v>16801</v>
      </c>
      <c r="G587" s="42" t="n">
        <v>5.96</v>
      </c>
      <c r="H587" s="42" t="n">
        <v>24.8</v>
      </c>
      <c r="J587" s="46" t="n">
        <f aca="false">IF(N(E587)&gt;0,E587,IF(N(F587)&gt;0,F587*요약!$F$27,0))</f>
        <v>99000</v>
      </c>
      <c r="K587" s="46" t="n">
        <f aca="false">IF(N(F587)&gt;0,F587,IF(N(E587)&gt;0,E587/요약!$F$27,0))</f>
        <v>16801</v>
      </c>
      <c r="L587" s="46" t="n">
        <f aca="false">IF(B587="CN",IF(N(I587)&gt;0,I587*요약!$G$27,K587*(1+요약!$E$27)),IF(N(H587)&gt;0,H587*요약!$G$27,J587*요약!$D$27))</f>
        <v>32736</v>
      </c>
      <c r="M587" s="46" t="n">
        <f aca="false">D587*J587</f>
        <v>10593000</v>
      </c>
      <c r="N587" s="46" t="n">
        <f aca="false">D587*K587</f>
        <v>1797707</v>
      </c>
      <c r="O587" s="46" t="n">
        <f aca="false">D587*L587</f>
        <v>3502752</v>
      </c>
      <c r="P587" s="42" t="str">
        <f aca="false">TRIM(IF(N(E587)&lt;=0,"택가보정 ","")&amp;IF(N(F587)&lt;=0,"원가보정 ","")&amp;IF(AND(B587&lt;&gt;"CN",N(H587)&lt;=0),"공급가보정 ","")&amp;IF(AND(B587="CN",N(I587)&lt;=0),"중국공급가=원가+마진 ",""))</f>
        <v/>
      </c>
      <c r="Q587" s="47" t="n">
        <f aca="false">IF(SUMIFS($W:$W,$A:$A,A587,$C:$C,C587)=0,0,SUMIFS(RAW_판매펀칭!$K:$K,RAW_판매펀칭!$P:$P,A587,RAW_판매펀칭!$I:$I,C587)*W587/SUMIFS($W:$W,$A:$A,A587,$C:$C,C587))</f>
        <v>107</v>
      </c>
      <c r="R587" s="47" t="n">
        <f aca="false">IF(OR(A587="500",A587="800",A587="810"),0,MAX(W587-Q587,0))</f>
        <v>0</v>
      </c>
      <c r="S587" s="47" t="n">
        <f aca="false">R587*L587</f>
        <v>0</v>
      </c>
      <c r="T587" s="47" t="n">
        <f aca="false">R587*J587</f>
        <v>0</v>
      </c>
      <c r="U587" s="47" t="n">
        <f aca="false">R587*K587</f>
        <v>0</v>
      </c>
      <c r="V587" s="0" t="str">
        <f aca="false">IF(COUNTIFS($A$2:A587,A587,$C$2:C587,C587,$D$2:D587,D587)&gt;1,"중복","")</f>
        <v/>
      </c>
      <c r="W587" s="0" t="n">
        <f aca="false">IF(V587="중복",0,N(D587))</f>
        <v>107</v>
      </c>
      <c r="X587" s="0" t="n">
        <f aca="false">IF(COUNTIFS($A$2:A587,A587,$C$2:C587,C587)=1,ABS(SUMIFS(RAW_발주!$D:$D,RAW_발주!$C:$C,A587,RAW_발주!$A:$A,C587)-SUMIFS($W:$W,$A:$A,A587,$C:$C,C587)),0)</f>
        <v>0</v>
      </c>
    </row>
    <row r="588" customFormat="false" ht="15" hidden="false" customHeight="true" outlineLevel="0" collapsed="false">
      <c r="A588" s="45" t="s">
        <v>1664</v>
      </c>
      <c r="B588" s="42" t="str">
        <f aca="false">IF(A588="100","HK",IF(A588="200","CN",IF(A588="300","TW","홀세일")))</f>
        <v>홀세일</v>
      </c>
      <c r="C588" s="45" t="s">
        <v>1314</v>
      </c>
      <c r="D588" s="46" t="n">
        <v>40</v>
      </c>
      <c r="E588" s="46" t="n">
        <v>99000</v>
      </c>
      <c r="F588" s="46" t="n">
        <v>16801</v>
      </c>
      <c r="G588" s="42" t="n">
        <v>5.96</v>
      </c>
      <c r="H588" s="42" t="n">
        <v>24.8</v>
      </c>
      <c r="J588" s="46" t="n">
        <f aca="false">IF(N(E588)&gt;0,E588,IF(N(F588)&gt;0,F588*요약!$F$27,0))</f>
        <v>99000</v>
      </c>
      <c r="K588" s="46" t="n">
        <f aca="false">IF(N(F588)&gt;0,F588,IF(N(E588)&gt;0,E588/요약!$F$27,0))</f>
        <v>16801</v>
      </c>
      <c r="L588" s="46" t="n">
        <f aca="false">IF(B588="CN",IF(N(I588)&gt;0,I588*요약!$G$27,K588*(1+요약!$E$27)),IF(N(H588)&gt;0,H588*요약!$G$27,J588*요약!$D$27))</f>
        <v>32736</v>
      </c>
      <c r="M588" s="46" t="n">
        <f aca="false">D588*J588</f>
        <v>3960000</v>
      </c>
      <c r="N588" s="46" t="n">
        <f aca="false">D588*K588</f>
        <v>672040</v>
      </c>
      <c r="O588" s="46" t="n">
        <f aca="false">D588*L588</f>
        <v>1309440</v>
      </c>
      <c r="P588" s="42" t="str">
        <f aca="false">TRIM(IF(N(E588)&lt;=0,"택가보정 ","")&amp;IF(N(F588)&lt;=0,"원가보정 ","")&amp;IF(AND(B588&lt;&gt;"CN",N(H588)&lt;=0),"공급가보정 ","")&amp;IF(AND(B588="CN",N(I588)&lt;=0),"중국공급가=원가+마진 ",""))</f>
        <v/>
      </c>
      <c r="Q588" s="47" t="n">
        <f aca="false">IF(SUMIFS($W:$W,$A:$A,A588,$C:$C,C588)=0,0,SUMIFS(RAW_판매펀칭!$K:$K,RAW_판매펀칭!$P:$P,A588,RAW_판매펀칭!$I:$I,C588)*W588/SUMIFS($W:$W,$A:$A,A588,$C:$C,C588))</f>
        <v>0</v>
      </c>
      <c r="R588" s="47" t="n">
        <f aca="false">IF(OR(A588="500",A588="800",A588="810"),0,MAX(W588-Q588,0))</f>
        <v>0</v>
      </c>
      <c r="S588" s="47" t="n">
        <f aca="false">R588*L588</f>
        <v>0</v>
      </c>
      <c r="T588" s="47" t="n">
        <f aca="false">R588*J588</f>
        <v>0</v>
      </c>
      <c r="U588" s="47" t="n">
        <f aca="false">R588*K588</f>
        <v>0</v>
      </c>
      <c r="V588" s="0" t="str">
        <f aca="false">IF(COUNTIFS($A$2:A588,A588,$C$2:C588,C588,$D$2:D588,D588)&gt;1,"중복","")</f>
        <v/>
      </c>
      <c r="W588" s="0" t="n">
        <f aca="false">IF(V588="중복",0,N(D588))</f>
        <v>40</v>
      </c>
      <c r="X588" s="0" t="n">
        <f aca="false">IF(COUNTIFS($A$2:A588,A588,$C$2:C588,C588)=1,ABS(SUMIFS(RAW_발주!$D:$D,RAW_발주!$C:$C,A588,RAW_발주!$A:$A,C588)-SUMIFS($W:$W,$A:$A,A588,$C:$C,C588)),0)</f>
        <v>0</v>
      </c>
    </row>
    <row r="589" customFormat="false" ht="15" hidden="false" customHeight="true" outlineLevel="0" collapsed="false">
      <c r="A589" s="45" t="s">
        <v>1659</v>
      </c>
      <c r="B589" s="42" t="str">
        <f aca="false">IF(A589="100","HK",IF(A589="200","CN",IF(A589="300","TW","홀세일")))</f>
        <v>HK</v>
      </c>
      <c r="C589" s="45" t="s">
        <v>352</v>
      </c>
      <c r="D589" s="46" t="n">
        <v>160</v>
      </c>
      <c r="E589" s="46" t="n">
        <v>99000</v>
      </c>
      <c r="F589" s="46" t="n">
        <v>18501</v>
      </c>
      <c r="G589" s="42" t="n">
        <v>5.39</v>
      </c>
      <c r="H589" s="42" t="n">
        <v>24.8</v>
      </c>
      <c r="J589" s="46" t="n">
        <f aca="false">IF(N(E589)&gt;0,E589,IF(N(F589)&gt;0,F589*요약!$F$27,0))</f>
        <v>99000</v>
      </c>
      <c r="K589" s="46" t="n">
        <f aca="false">IF(N(F589)&gt;0,F589,IF(N(E589)&gt;0,E589/요약!$F$27,0))</f>
        <v>18501</v>
      </c>
      <c r="L589" s="46" t="n">
        <f aca="false">IF(B589="CN",IF(N(I589)&gt;0,I589*요약!$G$27,K589*(1+요약!$E$27)),IF(N(H589)&gt;0,H589*요약!$G$27,J589*요약!$D$27))</f>
        <v>32736</v>
      </c>
      <c r="M589" s="46" t="n">
        <f aca="false">D589*J589</f>
        <v>15840000</v>
      </c>
      <c r="N589" s="46" t="n">
        <f aca="false">D589*K589</f>
        <v>2960160</v>
      </c>
      <c r="O589" s="46" t="n">
        <f aca="false">D589*L589</f>
        <v>5237760</v>
      </c>
      <c r="P589" s="42" t="str">
        <f aca="false">TRIM(IF(N(E589)&lt;=0,"택가보정 ","")&amp;IF(N(F589)&lt;=0,"원가보정 ","")&amp;IF(AND(B589&lt;&gt;"CN",N(H589)&lt;=0),"공급가보정 ","")&amp;IF(AND(B589="CN",N(I589)&lt;=0),"중국공급가=원가+마진 ",""))</f>
        <v/>
      </c>
      <c r="Q589" s="47" t="n">
        <f aca="false">IF(SUMIFS($W:$W,$A:$A,A589,$C:$C,C589)=0,0,SUMIFS(RAW_판매펀칭!$K:$K,RAW_판매펀칭!$P:$P,A589,RAW_판매펀칭!$I:$I,C589)*W589/SUMIFS($W:$W,$A:$A,A589,$C:$C,C589))</f>
        <v>160</v>
      </c>
      <c r="R589" s="47" t="n">
        <f aca="false">IF(OR(A589="500",A589="800",A589="810"),0,MAX(W589-Q589,0))</f>
        <v>0</v>
      </c>
      <c r="S589" s="47" t="n">
        <f aca="false">R589*L589</f>
        <v>0</v>
      </c>
      <c r="T589" s="47" t="n">
        <f aca="false">R589*J589</f>
        <v>0</v>
      </c>
      <c r="U589" s="47" t="n">
        <f aca="false">R589*K589</f>
        <v>0</v>
      </c>
      <c r="V589" s="0" t="str">
        <f aca="false">IF(COUNTIFS($A$2:A589,A589,$C$2:C589,C589,$D$2:D589,D589)&gt;1,"중복","")</f>
        <v/>
      </c>
      <c r="W589" s="0" t="n">
        <f aca="false">IF(V589="중복",0,N(D589))</f>
        <v>160</v>
      </c>
      <c r="X589" s="0" t="n">
        <f aca="false">IF(COUNTIFS($A$2:A589,A589,$C$2:C589,C589)=1,ABS(SUMIFS(RAW_발주!$D:$D,RAW_발주!$C:$C,A589,RAW_발주!$A:$A,C589)-SUMIFS($W:$W,$A:$A,A589,$C:$C,C589)),0)</f>
        <v>0</v>
      </c>
    </row>
    <row r="590" customFormat="false" ht="15" hidden="false" customHeight="true" outlineLevel="0" collapsed="false">
      <c r="A590" s="45" t="s">
        <v>1661</v>
      </c>
      <c r="B590" s="42" t="str">
        <f aca="false">IF(A590="100","HK",IF(A590="200","CN",IF(A590="300","TW","홀세일")))</f>
        <v>TW</v>
      </c>
      <c r="C590" s="45" t="s">
        <v>352</v>
      </c>
      <c r="D590" s="46" t="n">
        <v>80</v>
      </c>
      <c r="E590" s="46" t="n">
        <v>99000</v>
      </c>
      <c r="F590" s="46" t="n">
        <v>18501</v>
      </c>
      <c r="G590" s="42" t="n">
        <v>5.39</v>
      </c>
      <c r="H590" s="42" t="n">
        <v>24.8</v>
      </c>
      <c r="J590" s="46" t="n">
        <f aca="false">IF(N(E590)&gt;0,E590,IF(N(F590)&gt;0,F590*요약!$F$27,0))</f>
        <v>99000</v>
      </c>
      <c r="K590" s="46" t="n">
        <f aca="false">IF(N(F590)&gt;0,F590,IF(N(E590)&gt;0,E590/요약!$F$27,0))</f>
        <v>18501</v>
      </c>
      <c r="L590" s="46" t="n">
        <f aca="false">IF(B590="CN",IF(N(I590)&gt;0,I590*요약!$G$27,K590*(1+요약!$E$27)),IF(N(H590)&gt;0,H590*요약!$G$27,J590*요약!$D$27))</f>
        <v>32736</v>
      </c>
      <c r="M590" s="46" t="n">
        <f aca="false">D590*J590</f>
        <v>7920000</v>
      </c>
      <c r="N590" s="46" t="n">
        <f aca="false">D590*K590</f>
        <v>1480080</v>
      </c>
      <c r="O590" s="46" t="n">
        <f aca="false">D590*L590</f>
        <v>2618880</v>
      </c>
      <c r="P590" s="42" t="str">
        <f aca="false">TRIM(IF(N(E590)&lt;=0,"택가보정 ","")&amp;IF(N(F590)&lt;=0,"원가보정 ","")&amp;IF(AND(B590&lt;&gt;"CN",N(H590)&lt;=0),"공급가보정 ","")&amp;IF(AND(B590="CN",N(I590)&lt;=0),"중국공급가=원가+마진 ",""))</f>
        <v/>
      </c>
      <c r="Q590" s="47" t="n">
        <f aca="false">IF(SUMIFS($W:$W,$A:$A,A590,$C:$C,C590)=0,0,SUMIFS(RAW_판매펀칭!$K:$K,RAW_판매펀칭!$P:$P,A590,RAW_판매펀칭!$I:$I,C590)*W590/SUMIFS($W:$W,$A:$A,A590,$C:$C,C590))</f>
        <v>80</v>
      </c>
      <c r="R590" s="47" t="n">
        <f aca="false">IF(OR(A590="500",A590="800",A590="810"),0,MAX(W590-Q590,0))</f>
        <v>0</v>
      </c>
      <c r="S590" s="47" t="n">
        <f aca="false">R590*L590</f>
        <v>0</v>
      </c>
      <c r="T590" s="47" t="n">
        <f aca="false">R590*J590</f>
        <v>0</v>
      </c>
      <c r="U590" s="47" t="n">
        <f aca="false">R590*K590</f>
        <v>0</v>
      </c>
      <c r="V590" s="0" t="str">
        <f aca="false">IF(COUNTIFS($A$2:A590,A590,$C$2:C590,C590,$D$2:D590,D590)&gt;1,"중복","")</f>
        <v/>
      </c>
      <c r="W590" s="0" t="n">
        <f aca="false">IF(V590="중복",0,N(D590))</f>
        <v>80</v>
      </c>
      <c r="X590" s="0" t="n">
        <f aca="false">IF(COUNTIFS($A$2:A590,A590,$C$2:C590,C590)=1,ABS(SUMIFS(RAW_발주!$D:$D,RAW_발주!$C:$C,A590,RAW_발주!$A:$A,C590)-SUMIFS($W:$W,$A:$A,A590,$C:$C,C590)),0)</f>
        <v>0</v>
      </c>
    </row>
    <row r="591" customFormat="false" ht="15" hidden="false" customHeight="true" outlineLevel="0" collapsed="false">
      <c r="A591" s="45" t="s">
        <v>1667</v>
      </c>
      <c r="B591" s="42" t="str">
        <f aca="false">IF(A591="100","HK",IF(A591="200","CN",IF(A591="300","TW","홀세일")))</f>
        <v>홀세일</v>
      </c>
      <c r="C591" s="45" t="s">
        <v>352</v>
      </c>
      <c r="D591" s="46" t="n">
        <v>46</v>
      </c>
      <c r="E591" s="46" t="n">
        <v>99000</v>
      </c>
      <c r="F591" s="46" t="n">
        <v>18501</v>
      </c>
      <c r="G591" s="42" t="n">
        <v>5.39</v>
      </c>
      <c r="H591" s="42" t="n">
        <v>24.8</v>
      </c>
      <c r="J591" s="46" t="n">
        <f aca="false">IF(N(E591)&gt;0,E591,IF(N(F591)&gt;0,F591*요약!$F$27,0))</f>
        <v>99000</v>
      </c>
      <c r="K591" s="46" t="n">
        <f aca="false">IF(N(F591)&gt;0,F591,IF(N(E591)&gt;0,E591/요약!$F$27,0))</f>
        <v>18501</v>
      </c>
      <c r="L591" s="46" t="n">
        <f aca="false">IF(B591="CN",IF(N(I591)&gt;0,I591*요약!$G$27,K591*(1+요약!$E$27)),IF(N(H591)&gt;0,H591*요약!$G$27,J591*요약!$D$27))</f>
        <v>32736</v>
      </c>
      <c r="M591" s="46" t="n">
        <f aca="false">D591*J591</f>
        <v>4554000</v>
      </c>
      <c r="N591" s="46" t="n">
        <f aca="false">D591*K591</f>
        <v>851046</v>
      </c>
      <c r="O591" s="46" t="n">
        <f aca="false">D591*L591</f>
        <v>1505856</v>
      </c>
      <c r="P591" s="42" t="str">
        <f aca="false">TRIM(IF(N(E591)&lt;=0,"택가보정 ","")&amp;IF(N(F591)&lt;=0,"원가보정 ","")&amp;IF(AND(B591&lt;&gt;"CN",N(H591)&lt;=0),"공급가보정 ","")&amp;IF(AND(B591="CN",N(I591)&lt;=0),"중국공급가=원가+마진 ",""))</f>
        <v/>
      </c>
      <c r="Q591" s="47" t="n">
        <f aca="false">IF(SUMIFS($W:$W,$A:$A,A591,$C:$C,C591)=0,0,SUMIFS(RAW_판매펀칭!$K:$K,RAW_판매펀칭!$P:$P,A591,RAW_판매펀칭!$I:$I,C591)*W591/SUMIFS($W:$W,$A:$A,A591,$C:$C,C591))</f>
        <v>46</v>
      </c>
      <c r="R591" s="47" t="n">
        <f aca="false">IF(OR(A591="500",A591="800",A591="810"),0,MAX(W591-Q591,0))</f>
        <v>0</v>
      </c>
      <c r="S591" s="47" t="n">
        <f aca="false">R591*L591</f>
        <v>0</v>
      </c>
      <c r="T591" s="47" t="n">
        <f aca="false">R591*J591</f>
        <v>0</v>
      </c>
      <c r="U591" s="47" t="n">
        <f aca="false">R591*K591</f>
        <v>0</v>
      </c>
      <c r="V591" s="0" t="str">
        <f aca="false">IF(COUNTIFS($A$2:A591,A591,$C$2:C591,C591,$D$2:D591,D591)&gt;1,"중복","")</f>
        <v/>
      </c>
      <c r="W591" s="0" t="n">
        <f aca="false">IF(V591="중복",0,N(D591))</f>
        <v>46</v>
      </c>
      <c r="X591" s="0" t="n">
        <f aca="false">IF(COUNTIFS($A$2:A591,A591,$C$2:C591,C591)=1,ABS(SUMIFS(RAW_발주!$D:$D,RAW_발주!$C:$C,A591,RAW_발주!$A:$A,C591)-SUMIFS($W:$W,$A:$A,A591,$C:$C,C591)),0)</f>
        <v>0</v>
      </c>
    </row>
    <row r="592" customFormat="false" ht="15" hidden="false" customHeight="true" outlineLevel="0" collapsed="false">
      <c r="A592" s="45" t="s">
        <v>1663</v>
      </c>
      <c r="B592" s="42" t="str">
        <f aca="false">IF(A592="100","HK",IF(A592="200","CN",IF(A592="300","TW","홀세일")))</f>
        <v>홀세일</v>
      </c>
      <c r="C592" s="45" t="s">
        <v>1316</v>
      </c>
      <c r="D592" s="46" t="n">
        <v>20</v>
      </c>
      <c r="E592" s="46" t="n">
        <v>99000</v>
      </c>
      <c r="F592" s="46" t="n">
        <v>20600</v>
      </c>
      <c r="G592" s="42" t="n">
        <v>5.08</v>
      </c>
      <c r="H592" s="42" t="n">
        <v>24.8</v>
      </c>
      <c r="J592" s="46" t="n">
        <f aca="false">IF(N(E592)&gt;0,E592,IF(N(F592)&gt;0,F592*요약!$F$27,0))</f>
        <v>99000</v>
      </c>
      <c r="K592" s="46" t="n">
        <f aca="false">IF(N(F592)&gt;0,F592,IF(N(E592)&gt;0,E592/요약!$F$27,0))</f>
        <v>20600</v>
      </c>
      <c r="L592" s="46" t="n">
        <f aca="false">IF(B592="CN",IF(N(I592)&gt;0,I592*요약!$G$27,K592*(1+요약!$E$27)),IF(N(H592)&gt;0,H592*요약!$G$27,J592*요약!$D$27))</f>
        <v>32736</v>
      </c>
      <c r="M592" s="46" t="n">
        <f aca="false">D592*J592</f>
        <v>1980000</v>
      </c>
      <c r="N592" s="46" t="n">
        <f aca="false">D592*K592</f>
        <v>412000</v>
      </c>
      <c r="O592" s="46" t="n">
        <f aca="false">D592*L592</f>
        <v>654720</v>
      </c>
      <c r="P592" s="42" t="str">
        <f aca="false">TRIM(IF(N(E592)&lt;=0,"택가보정 ","")&amp;IF(N(F592)&lt;=0,"원가보정 ","")&amp;IF(AND(B592&lt;&gt;"CN",N(H592)&lt;=0),"공급가보정 ","")&amp;IF(AND(B592="CN",N(I592)&lt;=0),"중국공급가=원가+마진 ",""))</f>
        <v/>
      </c>
      <c r="Q592" s="47" t="n">
        <f aca="false">IF(SUMIFS($W:$W,$A:$A,A592,$C:$C,C592)=0,0,SUMIFS(RAW_판매펀칭!$K:$K,RAW_판매펀칭!$P:$P,A592,RAW_판매펀칭!$I:$I,C592)*W592/SUMIFS($W:$W,$A:$A,A592,$C:$C,C592))</f>
        <v>20</v>
      </c>
      <c r="R592" s="47" t="n">
        <f aca="false">IF(OR(A592="500",A592="800",A592="810"),0,MAX(W592-Q592,0))</f>
        <v>0</v>
      </c>
      <c r="S592" s="47" t="n">
        <f aca="false">R592*L592</f>
        <v>0</v>
      </c>
      <c r="T592" s="47" t="n">
        <f aca="false">R592*J592</f>
        <v>0</v>
      </c>
      <c r="U592" s="47" t="n">
        <f aca="false">R592*K592</f>
        <v>0</v>
      </c>
      <c r="V592" s="0" t="str">
        <f aca="false">IF(COUNTIFS($A$2:A592,A592,$C$2:C592,C592,$D$2:D592,D592)&gt;1,"중복","")</f>
        <v/>
      </c>
      <c r="W592" s="0" t="n">
        <f aca="false">IF(V592="중복",0,N(D592))</f>
        <v>20</v>
      </c>
      <c r="X592" s="0" t="n">
        <f aca="false">IF(COUNTIFS($A$2:A592,A592,$C$2:C592,C592)=1,ABS(SUMIFS(RAW_발주!$D:$D,RAW_발주!$C:$C,A592,RAW_발주!$A:$A,C592)-SUMIFS($W:$W,$A:$A,A592,$C:$C,C592)),0)</f>
        <v>0</v>
      </c>
    </row>
    <row r="593" customFormat="false" ht="15" hidden="false" customHeight="true" outlineLevel="0" collapsed="false">
      <c r="A593" s="45" t="s">
        <v>1665</v>
      </c>
      <c r="B593" s="42" t="str">
        <f aca="false">IF(A593="100","HK",IF(A593="200","CN",IF(A593="300","TW","홀세일")))</f>
        <v>홀세일</v>
      </c>
      <c r="C593" s="45" t="s">
        <v>1316</v>
      </c>
      <c r="D593" s="46" t="n">
        <v>204</v>
      </c>
      <c r="E593" s="46" t="n">
        <v>99000</v>
      </c>
      <c r="F593" s="46" t="n">
        <v>20600</v>
      </c>
      <c r="G593" s="42" t="n">
        <v>5.08</v>
      </c>
      <c r="H593" s="42" t="n">
        <v>24.8</v>
      </c>
      <c r="J593" s="46" t="n">
        <f aca="false">IF(N(E593)&gt;0,E593,IF(N(F593)&gt;0,F593*요약!$F$27,0))</f>
        <v>99000</v>
      </c>
      <c r="K593" s="46" t="n">
        <f aca="false">IF(N(F593)&gt;0,F593,IF(N(E593)&gt;0,E593/요약!$F$27,0))</f>
        <v>20600</v>
      </c>
      <c r="L593" s="46" t="n">
        <f aca="false">IF(B593="CN",IF(N(I593)&gt;0,I593*요약!$G$27,K593*(1+요약!$E$27)),IF(N(H593)&gt;0,H593*요약!$G$27,J593*요약!$D$27))</f>
        <v>32736</v>
      </c>
      <c r="M593" s="46" t="n">
        <f aca="false">D593*J593</f>
        <v>20196000</v>
      </c>
      <c r="N593" s="46" t="n">
        <f aca="false">D593*K593</f>
        <v>4202400</v>
      </c>
      <c r="O593" s="46" t="n">
        <f aca="false">D593*L593</f>
        <v>6678144</v>
      </c>
      <c r="P593" s="42" t="str">
        <f aca="false">TRIM(IF(N(E593)&lt;=0,"택가보정 ","")&amp;IF(N(F593)&lt;=0,"원가보정 ","")&amp;IF(AND(B593&lt;&gt;"CN",N(H593)&lt;=0),"공급가보정 ","")&amp;IF(AND(B593="CN",N(I593)&lt;=0),"중국공급가=원가+마진 ",""))</f>
        <v/>
      </c>
      <c r="Q593" s="47" t="n">
        <f aca="false">IF(SUMIFS($W:$W,$A:$A,A593,$C:$C,C593)=0,0,SUMIFS(RAW_판매펀칭!$K:$K,RAW_판매펀칭!$P:$P,A593,RAW_판매펀칭!$I:$I,C593)*W593/SUMIFS($W:$W,$A:$A,A593,$C:$C,C593))</f>
        <v>204</v>
      </c>
      <c r="R593" s="47" t="n">
        <f aca="false">IF(OR(A593="500",A593="800",A593="810"),0,MAX(W593-Q593,0))</f>
        <v>0</v>
      </c>
      <c r="S593" s="47" t="n">
        <f aca="false">R593*L593</f>
        <v>0</v>
      </c>
      <c r="T593" s="47" t="n">
        <f aca="false">R593*J593</f>
        <v>0</v>
      </c>
      <c r="U593" s="47" t="n">
        <f aca="false">R593*K593</f>
        <v>0</v>
      </c>
      <c r="V593" s="0" t="str">
        <f aca="false">IF(COUNTIFS($A$2:A593,A593,$C$2:C593,C593,$D$2:D593,D593)&gt;1,"중복","")</f>
        <v/>
      </c>
      <c r="W593" s="0" t="n">
        <f aca="false">IF(V593="중복",0,N(D593))</f>
        <v>204</v>
      </c>
      <c r="X593" s="0" t="n">
        <f aca="false">IF(COUNTIFS($A$2:A593,A593,$C$2:C593,C593)=1,ABS(SUMIFS(RAW_발주!$D:$D,RAW_발주!$C:$C,A593,RAW_발주!$A:$A,C593)-SUMIFS($W:$W,$A:$A,A593,$C:$C,C593)),0)</f>
        <v>0</v>
      </c>
    </row>
    <row r="594" customFormat="false" ht="15" hidden="false" customHeight="true" outlineLevel="0" collapsed="false">
      <c r="A594" s="45" t="s">
        <v>1659</v>
      </c>
      <c r="B594" s="42" t="str">
        <f aca="false">IF(A594="100","HK",IF(A594="200","CN",IF(A594="300","TW","홀세일")))</f>
        <v>HK</v>
      </c>
      <c r="C594" s="45" t="s">
        <v>354</v>
      </c>
      <c r="D594" s="46" t="n">
        <v>90</v>
      </c>
      <c r="E594" s="46" t="n">
        <v>109000</v>
      </c>
      <c r="F594" s="46" t="n">
        <v>23808</v>
      </c>
      <c r="G594" s="42" t="n">
        <v>4.38</v>
      </c>
      <c r="H594" s="42" t="n">
        <v>27.3</v>
      </c>
      <c r="J594" s="46" t="n">
        <f aca="false">IF(N(E594)&gt;0,E594,IF(N(F594)&gt;0,F594*요약!$F$27,0))</f>
        <v>109000</v>
      </c>
      <c r="K594" s="46" t="n">
        <f aca="false">IF(N(F594)&gt;0,F594,IF(N(E594)&gt;0,E594/요약!$F$27,0))</f>
        <v>23808</v>
      </c>
      <c r="L594" s="46" t="n">
        <f aca="false">IF(B594="CN",IF(N(I594)&gt;0,I594*요약!$G$27,K594*(1+요약!$E$27)),IF(N(H594)&gt;0,H594*요약!$G$27,J594*요약!$D$27))</f>
        <v>36036</v>
      </c>
      <c r="M594" s="46" t="n">
        <f aca="false">D594*J594</f>
        <v>9810000</v>
      </c>
      <c r="N594" s="46" t="n">
        <f aca="false">D594*K594</f>
        <v>2142720</v>
      </c>
      <c r="O594" s="46" t="n">
        <f aca="false">D594*L594</f>
        <v>3243240</v>
      </c>
      <c r="P594" s="42" t="str">
        <f aca="false">TRIM(IF(N(E594)&lt;=0,"택가보정 ","")&amp;IF(N(F594)&lt;=0,"원가보정 ","")&amp;IF(AND(B594&lt;&gt;"CN",N(H594)&lt;=0),"공급가보정 ","")&amp;IF(AND(B594="CN",N(I594)&lt;=0),"중국공급가=원가+마진 ",""))</f>
        <v/>
      </c>
      <c r="Q594" s="47" t="n">
        <f aca="false">IF(SUMIFS($W:$W,$A:$A,A594,$C:$C,C594)=0,0,SUMIFS(RAW_판매펀칭!$K:$K,RAW_판매펀칭!$P:$P,A594,RAW_판매펀칭!$I:$I,C594)*W594/SUMIFS($W:$W,$A:$A,A594,$C:$C,C594))</f>
        <v>90</v>
      </c>
      <c r="R594" s="47" t="n">
        <f aca="false">IF(OR(A594="500",A594="800",A594="810"),0,MAX(W594-Q594,0))</f>
        <v>0</v>
      </c>
      <c r="S594" s="47" t="n">
        <f aca="false">R594*L594</f>
        <v>0</v>
      </c>
      <c r="T594" s="47" t="n">
        <f aca="false">R594*J594</f>
        <v>0</v>
      </c>
      <c r="U594" s="47" t="n">
        <f aca="false">R594*K594</f>
        <v>0</v>
      </c>
      <c r="V594" s="0" t="str">
        <f aca="false">IF(COUNTIFS($A$2:A594,A594,$C$2:C594,C594,$D$2:D594,D594)&gt;1,"중복","")</f>
        <v/>
      </c>
      <c r="W594" s="0" t="n">
        <f aca="false">IF(V594="중복",0,N(D594))</f>
        <v>90</v>
      </c>
      <c r="X594" s="0" t="n">
        <f aca="false">IF(COUNTIFS($A$2:A594,A594,$C$2:C594,C594)=1,ABS(SUMIFS(RAW_발주!$D:$D,RAW_발주!$C:$C,A594,RAW_발주!$A:$A,C594)-SUMIFS($W:$W,$A:$A,A594,$C:$C,C594)),0)</f>
        <v>0</v>
      </c>
    </row>
    <row r="595" customFormat="false" ht="15.75" hidden="false" customHeight="true" outlineLevel="0" collapsed="false">
      <c r="A595" s="45" t="s">
        <v>1660</v>
      </c>
      <c r="B595" s="42" t="str">
        <f aca="false">IF(A595="100","HK",IF(A595="200","CN",IF(A595="300","TW","홀세일")))</f>
        <v>CN</v>
      </c>
      <c r="C595" s="45" t="s">
        <v>354</v>
      </c>
      <c r="D595" s="46" t="n">
        <v>171</v>
      </c>
      <c r="E595" s="46" t="n">
        <v>109000</v>
      </c>
      <c r="F595" s="46" t="n">
        <v>23808</v>
      </c>
      <c r="G595" s="42" t="n">
        <v>4.38</v>
      </c>
      <c r="H595" s="42" t="n">
        <v>27.3</v>
      </c>
      <c r="J595" s="46" t="n">
        <f aca="false">IF(N(E595)&gt;0,E595,IF(N(F595)&gt;0,F595*요약!$F$27,0))</f>
        <v>109000</v>
      </c>
      <c r="K595" s="46" t="n">
        <f aca="false">IF(N(F595)&gt;0,F595,IF(N(E595)&gt;0,E595/요약!$F$27,0))</f>
        <v>23808</v>
      </c>
      <c r="L595" s="46" t="n">
        <f aca="false">IF(B595="CN",IF(N(I595)&gt;0,I595*요약!$G$27,K595*(1+요약!$E$27)),IF(N(H595)&gt;0,H595*요약!$G$27,J595*요약!$D$27))</f>
        <v>24998.4</v>
      </c>
      <c r="M595" s="46" t="n">
        <f aca="false">D595*J595</f>
        <v>18639000</v>
      </c>
      <c r="N595" s="46" t="n">
        <f aca="false">D595*K595</f>
        <v>4071168</v>
      </c>
      <c r="O595" s="46" t="n">
        <f aca="false">D595*L595</f>
        <v>4274726.4</v>
      </c>
      <c r="P595" s="42" t="str">
        <f aca="false">TRIM(IF(N(E595)&lt;=0,"택가보정 ","")&amp;IF(N(F595)&lt;=0,"원가보정 ","")&amp;IF(AND(B595&lt;&gt;"CN",N(H595)&lt;=0),"공급가보정 ","")&amp;IF(AND(B595="CN",N(I595)&lt;=0),"중국공급가=원가+마진 ",""))</f>
        <v>중국공급가=원가+마진</v>
      </c>
      <c r="Q595" s="47" t="n">
        <f aca="false">IF(SUMIFS($W:$W,$A:$A,A595,$C:$C,C595)=0,0,SUMIFS(RAW_판매펀칭!$K:$K,RAW_판매펀칭!$P:$P,A595,RAW_판매펀칭!$I:$I,C595)*W595/SUMIFS($W:$W,$A:$A,A595,$C:$C,C595))</f>
        <v>142</v>
      </c>
      <c r="R595" s="47" t="n">
        <f aca="false">IF(OR(A595="500",A595="800",A595="810"),0,MAX(W595-Q595,0))</f>
        <v>29</v>
      </c>
      <c r="S595" s="47" t="n">
        <f aca="false">R595*L595</f>
        <v>724953.6</v>
      </c>
      <c r="T595" s="47" t="n">
        <f aca="false">R595*J595</f>
        <v>3161000</v>
      </c>
      <c r="U595" s="47" t="n">
        <f aca="false">R595*K595</f>
        <v>690432</v>
      </c>
      <c r="V595" s="0" t="str">
        <f aca="false">IF(COUNTIFS($A$2:A595,A595,$C$2:C595,C595,$D$2:D595,D595)&gt;1,"중복","")</f>
        <v/>
      </c>
      <c r="W595" s="0" t="n">
        <f aca="false">IF(V595="중복",0,N(D595))</f>
        <v>171</v>
      </c>
      <c r="X595" s="0" t="n">
        <f aca="false">IF(COUNTIFS($A$2:A595,A595,$C$2:C595,C595)=1,ABS(SUMIFS(RAW_발주!$D:$D,RAW_발주!$C:$C,A595,RAW_발주!$A:$A,C595)-SUMIFS($W:$W,$A:$A,A595,$C:$C,C595)),0)</f>
        <v>0</v>
      </c>
    </row>
    <row r="596" customFormat="false" ht="15" hidden="false" customHeight="true" outlineLevel="0" collapsed="false">
      <c r="A596" s="45" t="s">
        <v>1661</v>
      </c>
      <c r="B596" s="42" t="str">
        <f aca="false">IF(A596="100","HK",IF(A596="200","CN",IF(A596="300","TW","홀세일")))</f>
        <v>TW</v>
      </c>
      <c r="C596" s="45" t="s">
        <v>354</v>
      </c>
      <c r="D596" s="46" t="n">
        <v>160</v>
      </c>
      <c r="E596" s="46" t="n">
        <v>109000</v>
      </c>
      <c r="F596" s="46" t="n">
        <v>23808</v>
      </c>
      <c r="G596" s="42" t="n">
        <v>4.38</v>
      </c>
      <c r="H596" s="42" t="n">
        <v>27.3</v>
      </c>
      <c r="J596" s="46" t="n">
        <f aca="false">IF(N(E596)&gt;0,E596,IF(N(F596)&gt;0,F596*요약!$F$27,0))</f>
        <v>109000</v>
      </c>
      <c r="K596" s="46" t="n">
        <f aca="false">IF(N(F596)&gt;0,F596,IF(N(E596)&gt;0,E596/요약!$F$27,0))</f>
        <v>23808</v>
      </c>
      <c r="L596" s="46" t="n">
        <f aca="false">IF(B596="CN",IF(N(I596)&gt;0,I596*요약!$G$27,K596*(1+요약!$E$27)),IF(N(H596)&gt;0,H596*요약!$G$27,J596*요약!$D$27))</f>
        <v>36036</v>
      </c>
      <c r="M596" s="46" t="n">
        <f aca="false">D596*J596</f>
        <v>17440000</v>
      </c>
      <c r="N596" s="46" t="n">
        <f aca="false">D596*K596</f>
        <v>3809280</v>
      </c>
      <c r="O596" s="46" t="n">
        <f aca="false">D596*L596</f>
        <v>5765760</v>
      </c>
      <c r="P596" s="42" t="str">
        <f aca="false">TRIM(IF(N(E596)&lt;=0,"택가보정 ","")&amp;IF(N(F596)&lt;=0,"원가보정 ","")&amp;IF(AND(B596&lt;&gt;"CN",N(H596)&lt;=0),"공급가보정 ","")&amp;IF(AND(B596="CN",N(I596)&lt;=0),"중국공급가=원가+마진 ",""))</f>
        <v/>
      </c>
      <c r="Q596" s="47" t="n">
        <f aca="false">IF(SUMIFS($W:$W,$A:$A,A596,$C:$C,C596)=0,0,SUMIFS(RAW_판매펀칭!$K:$K,RAW_판매펀칭!$P:$P,A596,RAW_판매펀칭!$I:$I,C596)*W596/SUMIFS($W:$W,$A:$A,A596,$C:$C,C596))</f>
        <v>160</v>
      </c>
      <c r="R596" s="47" t="n">
        <f aca="false">IF(OR(A596="500",A596="800",A596="810"),0,MAX(W596-Q596,0))</f>
        <v>0</v>
      </c>
      <c r="S596" s="47" t="n">
        <f aca="false">R596*L596</f>
        <v>0</v>
      </c>
      <c r="T596" s="47" t="n">
        <f aca="false">R596*J596</f>
        <v>0</v>
      </c>
      <c r="U596" s="47" t="n">
        <f aca="false">R596*K596</f>
        <v>0</v>
      </c>
      <c r="V596" s="0" t="str">
        <f aca="false">IF(COUNTIFS($A$2:A596,A596,$C$2:C596,C596,$D$2:D596,D596)&gt;1,"중복","")</f>
        <v/>
      </c>
      <c r="W596" s="0" t="n">
        <f aca="false">IF(V596="중복",0,N(D596))</f>
        <v>160</v>
      </c>
      <c r="X596" s="0" t="n">
        <f aca="false">IF(COUNTIFS($A$2:A596,A596,$C$2:C596,C596)=1,ABS(SUMIFS(RAW_발주!$D:$D,RAW_발주!$C:$C,A596,RAW_발주!$A:$A,C596)-SUMIFS($W:$W,$A:$A,A596,$C:$C,C596)),0)</f>
        <v>0</v>
      </c>
    </row>
    <row r="597" customFormat="false" ht="15" hidden="false" customHeight="true" outlineLevel="0" collapsed="false">
      <c r="A597" s="45" t="s">
        <v>1663</v>
      </c>
      <c r="B597" s="42" t="str">
        <f aca="false">IF(A597="100","HK",IF(A597="200","CN",IF(A597="300","TW","홀세일")))</f>
        <v>홀세일</v>
      </c>
      <c r="C597" s="45" t="s">
        <v>354</v>
      </c>
      <c r="D597" s="46" t="n">
        <v>30</v>
      </c>
      <c r="E597" s="46" t="n">
        <v>109000</v>
      </c>
      <c r="F597" s="46" t="n">
        <v>23808</v>
      </c>
      <c r="G597" s="42" t="n">
        <v>4.38</v>
      </c>
      <c r="H597" s="42" t="n">
        <v>27.3</v>
      </c>
      <c r="J597" s="46" t="n">
        <f aca="false">IF(N(E597)&gt;0,E597,IF(N(F597)&gt;0,F597*요약!$F$27,0))</f>
        <v>109000</v>
      </c>
      <c r="K597" s="46" t="n">
        <f aca="false">IF(N(F597)&gt;0,F597,IF(N(E597)&gt;0,E597/요약!$F$27,0))</f>
        <v>23808</v>
      </c>
      <c r="L597" s="46" t="n">
        <f aca="false">IF(B597="CN",IF(N(I597)&gt;0,I597*요약!$G$27,K597*(1+요약!$E$27)),IF(N(H597)&gt;0,H597*요약!$G$27,J597*요약!$D$27))</f>
        <v>36036</v>
      </c>
      <c r="M597" s="46" t="n">
        <f aca="false">D597*J597</f>
        <v>3270000</v>
      </c>
      <c r="N597" s="46" t="n">
        <f aca="false">D597*K597</f>
        <v>714240</v>
      </c>
      <c r="O597" s="46" t="n">
        <f aca="false">D597*L597</f>
        <v>1081080</v>
      </c>
      <c r="P597" s="42" t="str">
        <f aca="false">TRIM(IF(N(E597)&lt;=0,"택가보정 ","")&amp;IF(N(F597)&lt;=0,"원가보정 ","")&amp;IF(AND(B597&lt;&gt;"CN",N(H597)&lt;=0),"공급가보정 ","")&amp;IF(AND(B597="CN",N(I597)&lt;=0),"중국공급가=원가+마진 ",""))</f>
        <v/>
      </c>
      <c r="Q597" s="47" t="n">
        <f aca="false">IF(SUMIFS($W:$W,$A:$A,A597,$C:$C,C597)=0,0,SUMIFS(RAW_판매펀칭!$K:$K,RAW_판매펀칭!$P:$P,A597,RAW_판매펀칭!$I:$I,C597)*W597/SUMIFS($W:$W,$A:$A,A597,$C:$C,C597))</f>
        <v>30</v>
      </c>
      <c r="R597" s="47" t="n">
        <f aca="false">IF(OR(A597="500",A597="800",A597="810"),0,MAX(W597-Q597,0))</f>
        <v>0</v>
      </c>
      <c r="S597" s="47" t="n">
        <f aca="false">R597*L597</f>
        <v>0</v>
      </c>
      <c r="T597" s="47" t="n">
        <f aca="false">R597*J597</f>
        <v>0</v>
      </c>
      <c r="U597" s="47" t="n">
        <f aca="false">R597*K597</f>
        <v>0</v>
      </c>
      <c r="V597" s="0" t="str">
        <f aca="false">IF(COUNTIFS($A$2:A597,A597,$C$2:C597,C597,$D$2:D597,D597)&gt;1,"중복","")</f>
        <v/>
      </c>
      <c r="W597" s="0" t="n">
        <f aca="false">IF(V597="중복",0,N(D597))</f>
        <v>30</v>
      </c>
      <c r="X597" s="0" t="n">
        <f aca="false">IF(COUNTIFS($A$2:A597,A597,$C$2:C597,C597)=1,ABS(SUMIFS(RAW_발주!$D:$D,RAW_발주!$C:$C,A597,RAW_발주!$A:$A,C597)-SUMIFS($W:$W,$A:$A,A597,$C:$C,C597)),0)</f>
        <v>0</v>
      </c>
    </row>
    <row r="598" customFormat="false" ht="15" hidden="false" customHeight="true" outlineLevel="0" collapsed="false">
      <c r="A598" s="45" t="s">
        <v>1665</v>
      </c>
      <c r="B598" s="42" t="str">
        <f aca="false">IF(A598="100","HK",IF(A598="200","CN",IF(A598="300","TW","홀세일")))</f>
        <v>홀세일</v>
      </c>
      <c r="C598" s="45" t="s">
        <v>354</v>
      </c>
      <c r="D598" s="46" t="n">
        <v>204</v>
      </c>
      <c r="E598" s="46" t="n">
        <v>109000</v>
      </c>
      <c r="F598" s="46" t="n">
        <v>23808</v>
      </c>
      <c r="G598" s="42" t="n">
        <v>4.38</v>
      </c>
      <c r="H598" s="42" t="n">
        <v>27.3</v>
      </c>
      <c r="J598" s="46" t="n">
        <f aca="false">IF(N(E598)&gt;0,E598,IF(N(F598)&gt;0,F598*요약!$F$27,0))</f>
        <v>109000</v>
      </c>
      <c r="K598" s="46" t="n">
        <f aca="false">IF(N(F598)&gt;0,F598,IF(N(E598)&gt;0,E598/요약!$F$27,0))</f>
        <v>23808</v>
      </c>
      <c r="L598" s="46" t="n">
        <f aca="false">IF(B598="CN",IF(N(I598)&gt;0,I598*요약!$G$27,K598*(1+요약!$E$27)),IF(N(H598)&gt;0,H598*요약!$G$27,J598*요약!$D$27))</f>
        <v>36036</v>
      </c>
      <c r="M598" s="46" t="n">
        <f aca="false">D598*J598</f>
        <v>22236000</v>
      </c>
      <c r="N598" s="46" t="n">
        <f aca="false">D598*K598</f>
        <v>4856832</v>
      </c>
      <c r="O598" s="46" t="n">
        <f aca="false">D598*L598</f>
        <v>7351344</v>
      </c>
      <c r="P598" s="42" t="str">
        <f aca="false">TRIM(IF(N(E598)&lt;=0,"택가보정 ","")&amp;IF(N(F598)&lt;=0,"원가보정 ","")&amp;IF(AND(B598&lt;&gt;"CN",N(H598)&lt;=0),"공급가보정 ","")&amp;IF(AND(B598="CN",N(I598)&lt;=0),"중국공급가=원가+마진 ",""))</f>
        <v/>
      </c>
      <c r="Q598" s="47" t="n">
        <f aca="false">IF(SUMIFS($W:$W,$A:$A,A598,$C:$C,C598)=0,0,SUMIFS(RAW_판매펀칭!$K:$K,RAW_판매펀칭!$P:$P,A598,RAW_판매펀칭!$I:$I,C598)*W598/SUMIFS($W:$W,$A:$A,A598,$C:$C,C598))</f>
        <v>204</v>
      </c>
      <c r="R598" s="47" t="n">
        <f aca="false">IF(OR(A598="500",A598="800",A598="810"),0,MAX(W598-Q598,0))</f>
        <v>0</v>
      </c>
      <c r="S598" s="47" t="n">
        <f aca="false">R598*L598</f>
        <v>0</v>
      </c>
      <c r="T598" s="47" t="n">
        <f aca="false">R598*J598</f>
        <v>0</v>
      </c>
      <c r="U598" s="47" t="n">
        <f aca="false">R598*K598</f>
        <v>0</v>
      </c>
      <c r="V598" s="0" t="str">
        <f aca="false">IF(COUNTIFS($A$2:A598,A598,$C$2:C598,C598,$D$2:D598,D598)&gt;1,"중복","")</f>
        <v/>
      </c>
      <c r="W598" s="0" t="n">
        <f aca="false">IF(V598="중복",0,N(D598))</f>
        <v>204</v>
      </c>
      <c r="X598" s="0" t="n">
        <f aca="false">IF(COUNTIFS($A$2:A598,A598,$C$2:C598,C598)=1,ABS(SUMIFS(RAW_발주!$D:$D,RAW_발주!$C:$C,A598,RAW_발주!$A:$A,C598)-SUMIFS($W:$W,$A:$A,A598,$C:$C,C598)),0)</f>
        <v>0</v>
      </c>
    </row>
    <row r="599" customFormat="false" ht="15.75" hidden="false" customHeight="true" outlineLevel="0" collapsed="false">
      <c r="A599" s="45" t="s">
        <v>1660</v>
      </c>
      <c r="B599" s="42" t="str">
        <f aca="false">IF(A599="100","HK",IF(A599="200","CN",IF(A599="300","TW","홀세일")))</f>
        <v>CN</v>
      </c>
      <c r="C599" s="45" t="s">
        <v>1053</v>
      </c>
      <c r="D599" s="46" t="n">
        <v>293</v>
      </c>
      <c r="E599" s="46" t="n">
        <v>129000</v>
      </c>
      <c r="F599" s="46" t="n">
        <v>29144</v>
      </c>
      <c r="G599" s="42" t="n">
        <v>3.96</v>
      </c>
      <c r="H599" s="42" t="n">
        <v>32.3</v>
      </c>
      <c r="J599" s="46" t="n">
        <f aca="false">IF(N(E599)&gt;0,E599,IF(N(F599)&gt;0,F599*요약!$F$27,0))</f>
        <v>129000</v>
      </c>
      <c r="K599" s="46" t="n">
        <f aca="false">IF(N(F599)&gt;0,F599,IF(N(E599)&gt;0,E599/요약!$F$27,0))</f>
        <v>29144</v>
      </c>
      <c r="L599" s="46" t="n">
        <f aca="false">IF(B599="CN",IF(N(I599)&gt;0,I599*요약!$G$27,K599*(1+요약!$E$27)),IF(N(H599)&gt;0,H599*요약!$G$27,J599*요약!$D$27))</f>
        <v>30601.2</v>
      </c>
      <c r="M599" s="46" t="n">
        <f aca="false">D599*J599</f>
        <v>37797000</v>
      </c>
      <c r="N599" s="46" t="n">
        <f aca="false">D599*K599</f>
        <v>8539192</v>
      </c>
      <c r="O599" s="46" t="n">
        <f aca="false">D599*L599</f>
        <v>8966151.6</v>
      </c>
      <c r="P599" s="42" t="str">
        <f aca="false">TRIM(IF(N(E599)&lt;=0,"택가보정 ","")&amp;IF(N(F599)&lt;=0,"원가보정 ","")&amp;IF(AND(B599&lt;&gt;"CN",N(H599)&lt;=0),"공급가보정 ","")&amp;IF(AND(B599="CN",N(I599)&lt;=0),"중국공급가=원가+마진 ",""))</f>
        <v>중국공급가=원가+마진</v>
      </c>
      <c r="Q599" s="47" t="n">
        <f aca="false">IF(SUMIFS($W:$W,$A:$A,A599,$C:$C,C599)=0,0,SUMIFS(RAW_판매펀칭!$K:$K,RAW_판매펀칭!$P:$P,A599,RAW_판매펀칭!$I:$I,C599)*W599/SUMIFS($W:$W,$A:$A,A599,$C:$C,C599))</f>
        <v>290</v>
      </c>
      <c r="R599" s="47" t="n">
        <f aca="false">IF(OR(A599="500",A599="800",A599="810"),0,MAX(W599-Q599,0))</f>
        <v>3</v>
      </c>
      <c r="S599" s="47" t="n">
        <f aca="false">R599*L599</f>
        <v>91803.6</v>
      </c>
      <c r="T599" s="47" t="n">
        <f aca="false">R599*J599</f>
        <v>387000</v>
      </c>
      <c r="U599" s="47" t="n">
        <f aca="false">R599*K599</f>
        <v>87432</v>
      </c>
      <c r="V599" s="0" t="str">
        <f aca="false">IF(COUNTIFS($A$2:A599,A599,$C$2:C599,C599,$D$2:D599,D599)&gt;1,"중복","")</f>
        <v/>
      </c>
      <c r="W599" s="0" t="n">
        <f aca="false">IF(V599="중복",0,N(D599))</f>
        <v>293</v>
      </c>
      <c r="X599" s="0" t="n">
        <f aca="false">IF(COUNTIFS($A$2:A599,A599,$C$2:C599,C599)=1,ABS(SUMIFS(RAW_발주!$D:$D,RAW_발주!$C:$C,A599,RAW_발주!$A:$A,C599)-SUMIFS($W:$W,$A:$A,A599,$C:$C,C599)),0)</f>
        <v>0</v>
      </c>
    </row>
    <row r="600" customFormat="false" ht="15" hidden="false" customHeight="true" outlineLevel="0" collapsed="false">
      <c r="A600" s="45" t="s">
        <v>1663</v>
      </c>
      <c r="B600" s="42" t="str">
        <f aca="false">IF(A600="100","HK",IF(A600="200","CN",IF(A600="300","TW","홀세일")))</f>
        <v>홀세일</v>
      </c>
      <c r="C600" s="45" t="s">
        <v>1053</v>
      </c>
      <c r="D600" s="46" t="n">
        <v>30</v>
      </c>
      <c r="E600" s="46" t="n">
        <v>129000</v>
      </c>
      <c r="F600" s="46" t="n">
        <v>29144</v>
      </c>
      <c r="G600" s="42" t="n">
        <v>3.96</v>
      </c>
      <c r="H600" s="42" t="n">
        <v>32.3</v>
      </c>
      <c r="J600" s="46" t="n">
        <f aca="false">IF(N(E600)&gt;0,E600,IF(N(F600)&gt;0,F600*요약!$F$27,0))</f>
        <v>129000</v>
      </c>
      <c r="K600" s="46" t="n">
        <f aca="false">IF(N(F600)&gt;0,F600,IF(N(E600)&gt;0,E600/요약!$F$27,0))</f>
        <v>29144</v>
      </c>
      <c r="L600" s="46" t="n">
        <f aca="false">IF(B600="CN",IF(N(I600)&gt;0,I600*요약!$G$27,K600*(1+요약!$E$27)),IF(N(H600)&gt;0,H600*요약!$G$27,J600*요약!$D$27))</f>
        <v>42636</v>
      </c>
      <c r="M600" s="46" t="n">
        <f aca="false">D600*J600</f>
        <v>3870000</v>
      </c>
      <c r="N600" s="46" t="n">
        <f aca="false">D600*K600</f>
        <v>874320</v>
      </c>
      <c r="O600" s="46" t="n">
        <f aca="false">D600*L600</f>
        <v>1279080</v>
      </c>
      <c r="P600" s="42" t="str">
        <f aca="false">TRIM(IF(N(E600)&lt;=0,"택가보정 ","")&amp;IF(N(F600)&lt;=0,"원가보정 ","")&amp;IF(AND(B600&lt;&gt;"CN",N(H600)&lt;=0),"공급가보정 ","")&amp;IF(AND(B600="CN",N(I600)&lt;=0),"중국공급가=원가+마진 ",""))</f>
        <v/>
      </c>
      <c r="Q600" s="47" t="n">
        <f aca="false">IF(SUMIFS($W:$W,$A:$A,A600,$C:$C,C600)=0,0,SUMIFS(RAW_판매펀칭!$K:$K,RAW_판매펀칭!$P:$P,A600,RAW_판매펀칭!$I:$I,C600)*W600/SUMIFS($W:$W,$A:$A,A600,$C:$C,C600))</f>
        <v>30</v>
      </c>
      <c r="R600" s="47" t="n">
        <f aca="false">IF(OR(A600="500",A600="800",A600="810"),0,MAX(W600-Q600,0))</f>
        <v>0</v>
      </c>
      <c r="S600" s="47" t="n">
        <f aca="false">R600*L600</f>
        <v>0</v>
      </c>
      <c r="T600" s="47" t="n">
        <f aca="false">R600*J600</f>
        <v>0</v>
      </c>
      <c r="U600" s="47" t="n">
        <f aca="false">R600*K600</f>
        <v>0</v>
      </c>
      <c r="V600" s="0" t="str">
        <f aca="false">IF(COUNTIFS($A$2:A600,A600,$C$2:C600,C600,$D$2:D600,D600)&gt;1,"중복","")</f>
        <v/>
      </c>
      <c r="W600" s="0" t="n">
        <f aca="false">IF(V600="중복",0,N(D600))</f>
        <v>30</v>
      </c>
      <c r="X600" s="0" t="n">
        <f aca="false">IF(COUNTIFS($A$2:A600,A600,$C$2:C600,C600)=1,ABS(SUMIFS(RAW_발주!$D:$D,RAW_발주!$C:$C,A600,RAW_발주!$A:$A,C600)-SUMIFS($W:$W,$A:$A,A600,$C:$C,C600)),0)</f>
        <v>0</v>
      </c>
    </row>
    <row r="601" customFormat="false" ht="15" hidden="false" customHeight="true" outlineLevel="0" collapsed="false">
      <c r="A601" s="45" t="s">
        <v>1659</v>
      </c>
      <c r="B601" s="42" t="str">
        <f aca="false">IF(A601="100","HK",IF(A601="200","CN",IF(A601="300","TW","홀세일")))</f>
        <v>HK</v>
      </c>
      <c r="C601" s="45" t="s">
        <v>848</v>
      </c>
      <c r="D601" s="46" t="n">
        <v>300</v>
      </c>
      <c r="E601" s="46" t="n">
        <v>59000</v>
      </c>
      <c r="F601" s="46" t="n">
        <v>8200</v>
      </c>
      <c r="G601" s="42" t="n">
        <v>6.1</v>
      </c>
      <c r="H601" s="42" t="n">
        <v>14.8</v>
      </c>
      <c r="J601" s="46" t="n">
        <f aca="false">IF(N(E601)&gt;0,E601,IF(N(F601)&gt;0,F601*요약!$F$27,0))</f>
        <v>59000</v>
      </c>
      <c r="K601" s="46" t="n">
        <f aca="false">IF(N(F601)&gt;0,F601,IF(N(E601)&gt;0,E601/요약!$F$27,0))</f>
        <v>8200</v>
      </c>
      <c r="L601" s="46" t="n">
        <f aca="false">IF(B601="CN",IF(N(I601)&gt;0,I601*요약!$G$27,K601*(1+요약!$E$27)),IF(N(H601)&gt;0,H601*요약!$G$27,J601*요약!$D$27))</f>
        <v>19536</v>
      </c>
      <c r="M601" s="46" t="n">
        <f aca="false">D601*J601</f>
        <v>17700000</v>
      </c>
      <c r="N601" s="46" t="n">
        <f aca="false">D601*K601</f>
        <v>2460000</v>
      </c>
      <c r="O601" s="46" t="n">
        <f aca="false">D601*L601</f>
        <v>5860800</v>
      </c>
      <c r="P601" s="42" t="str">
        <f aca="false">TRIM(IF(N(E601)&lt;=0,"택가보정 ","")&amp;IF(N(F601)&lt;=0,"원가보정 ","")&amp;IF(AND(B601&lt;&gt;"CN",N(H601)&lt;=0),"공급가보정 ","")&amp;IF(AND(B601="CN",N(I601)&lt;=0),"중국공급가=원가+마진 ",""))</f>
        <v/>
      </c>
      <c r="Q601" s="47" t="n">
        <f aca="false">IF(SUMIFS($W:$W,$A:$A,A601,$C:$C,C601)=0,0,SUMIFS(RAW_판매펀칭!$K:$K,RAW_판매펀칭!$P:$P,A601,RAW_판매펀칭!$I:$I,C601)*W601/SUMIFS($W:$W,$A:$A,A601,$C:$C,C601))</f>
        <v>297</v>
      </c>
      <c r="R601" s="47" t="n">
        <f aca="false">IF(OR(A601="500",A601="800",A601="810"),0,MAX(W601-Q601,0))</f>
        <v>3</v>
      </c>
      <c r="S601" s="47" t="n">
        <f aca="false">R601*L601</f>
        <v>58608</v>
      </c>
      <c r="T601" s="47" t="n">
        <f aca="false">R601*J601</f>
        <v>177000</v>
      </c>
      <c r="U601" s="47" t="n">
        <f aca="false">R601*K601</f>
        <v>24600</v>
      </c>
      <c r="V601" s="0" t="str">
        <f aca="false">IF(COUNTIFS($A$2:A601,A601,$C$2:C601,C601,$D$2:D601,D601)&gt;1,"중복","")</f>
        <v/>
      </c>
      <c r="W601" s="0" t="n">
        <f aca="false">IF(V601="중복",0,N(D601))</f>
        <v>300</v>
      </c>
      <c r="X601" s="0" t="n">
        <f aca="false">IF(COUNTIFS($A$2:A601,A601,$C$2:C601,C601)=1,ABS(SUMIFS(RAW_발주!$D:$D,RAW_발주!$C:$C,A601,RAW_발주!$A:$A,C601)-SUMIFS($W:$W,$A:$A,A601,$C:$C,C601)),0)</f>
        <v>0</v>
      </c>
    </row>
    <row r="602" customFormat="false" ht="15" hidden="false" customHeight="true" outlineLevel="0" collapsed="false">
      <c r="A602" s="45" t="s">
        <v>1663</v>
      </c>
      <c r="B602" s="42" t="str">
        <f aca="false">IF(A602="100","HK",IF(A602="200","CN",IF(A602="300","TW","홀세일")))</f>
        <v>홀세일</v>
      </c>
      <c r="C602" s="45" t="s">
        <v>848</v>
      </c>
      <c r="D602" s="46" t="n">
        <v>38</v>
      </c>
      <c r="E602" s="46" t="n">
        <v>59000</v>
      </c>
      <c r="F602" s="46" t="n">
        <v>8200</v>
      </c>
      <c r="G602" s="42" t="n">
        <v>6.1</v>
      </c>
      <c r="H602" s="42" t="n">
        <v>14.8</v>
      </c>
      <c r="J602" s="46" t="n">
        <f aca="false">IF(N(E602)&gt;0,E602,IF(N(F602)&gt;0,F602*요약!$F$27,0))</f>
        <v>59000</v>
      </c>
      <c r="K602" s="46" t="n">
        <f aca="false">IF(N(F602)&gt;0,F602,IF(N(E602)&gt;0,E602/요약!$F$27,0))</f>
        <v>8200</v>
      </c>
      <c r="L602" s="46" t="n">
        <f aca="false">IF(B602="CN",IF(N(I602)&gt;0,I602*요약!$G$27,K602*(1+요약!$E$27)),IF(N(H602)&gt;0,H602*요약!$G$27,J602*요약!$D$27))</f>
        <v>19536</v>
      </c>
      <c r="M602" s="46" t="n">
        <f aca="false">D602*J602</f>
        <v>2242000</v>
      </c>
      <c r="N602" s="46" t="n">
        <f aca="false">D602*K602</f>
        <v>311600</v>
      </c>
      <c r="O602" s="46" t="n">
        <f aca="false">D602*L602</f>
        <v>742368</v>
      </c>
      <c r="P602" s="42" t="str">
        <f aca="false">TRIM(IF(N(E602)&lt;=0,"택가보정 ","")&amp;IF(N(F602)&lt;=0,"원가보정 ","")&amp;IF(AND(B602&lt;&gt;"CN",N(H602)&lt;=0),"공급가보정 ","")&amp;IF(AND(B602="CN",N(I602)&lt;=0),"중국공급가=원가+마진 ",""))</f>
        <v/>
      </c>
      <c r="Q602" s="47" t="n">
        <f aca="false">IF(SUMIFS($W:$W,$A:$A,A602,$C:$C,C602)=0,0,SUMIFS(RAW_판매펀칭!$K:$K,RAW_판매펀칭!$P:$P,A602,RAW_판매펀칭!$I:$I,C602)*W602/SUMIFS($W:$W,$A:$A,A602,$C:$C,C602))</f>
        <v>35</v>
      </c>
      <c r="R602" s="47" t="n">
        <f aca="false">IF(OR(A602="500",A602="800",A602="810"),0,MAX(W602-Q602,0))</f>
        <v>3</v>
      </c>
      <c r="S602" s="47" t="n">
        <f aca="false">R602*L602</f>
        <v>58608</v>
      </c>
      <c r="T602" s="47" t="n">
        <f aca="false">R602*J602</f>
        <v>177000</v>
      </c>
      <c r="U602" s="47" t="n">
        <f aca="false">R602*K602</f>
        <v>24600</v>
      </c>
      <c r="V602" s="0" t="str">
        <f aca="false">IF(COUNTIFS($A$2:A602,A602,$C$2:C602,C602,$D$2:D602,D602)&gt;1,"중복","")</f>
        <v/>
      </c>
      <c r="W602" s="0" t="n">
        <f aca="false">IF(V602="중복",0,N(D602))</f>
        <v>38</v>
      </c>
      <c r="X602" s="0" t="n">
        <f aca="false">IF(COUNTIFS($A$2:A602,A602,$C$2:C602,C602)=1,ABS(SUMIFS(RAW_발주!$D:$D,RAW_발주!$C:$C,A602,RAW_발주!$A:$A,C602)-SUMIFS($W:$W,$A:$A,A602,$C:$C,C602)),0)</f>
        <v>0</v>
      </c>
    </row>
    <row r="603" customFormat="false" ht="15" hidden="false" customHeight="true" outlineLevel="0" collapsed="false">
      <c r="A603" s="45" t="s">
        <v>1659</v>
      </c>
      <c r="B603" s="42" t="str">
        <f aca="false">IF(A603="100","HK",IF(A603="200","CN",IF(A603="300","TW","홀세일")))</f>
        <v>HK</v>
      </c>
      <c r="C603" s="45" t="s">
        <v>850</v>
      </c>
      <c r="D603" s="46" t="n">
        <v>300</v>
      </c>
      <c r="E603" s="46" t="n">
        <v>69000</v>
      </c>
      <c r="F603" s="46" t="n">
        <v>12100</v>
      </c>
      <c r="G603" s="42" t="n">
        <v>4.68</v>
      </c>
      <c r="H603" s="42" t="n">
        <v>17.3</v>
      </c>
      <c r="J603" s="46" t="n">
        <f aca="false">IF(N(E603)&gt;0,E603,IF(N(F603)&gt;0,F603*요약!$F$27,0))</f>
        <v>69000</v>
      </c>
      <c r="K603" s="46" t="n">
        <f aca="false">IF(N(F603)&gt;0,F603,IF(N(E603)&gt;0,E603/요약!$F$27,0))</f>
        <v>12100</v>
      </c>
      <c r="L603" s="46" t="n">
        <f aca="false">IF(B603="CN",IF(N(I603)&gt;0,I603*요약!$G$27,K603*(1+요약!$E$27)),IF(N(H603)&gt;0,H603*요약!$G$27,J603*요약!$D$27))</f>
        <v>22836</v>
      </c>
      <c r="M603" s="46" t="n">
        <f aca="false">D603*J603</f>
        <v>20700000</v>
      </c>
      <c r="N603" s="46" t="n">
        <f aca="false">D603*K603</f>
        <v>3630000</v>
      </c>
      <c r="O603" s="46" t="n">
        <f aca="false">D603*L603</f>
        <v>6850800</v>
      </c>
      <c r="P603" s="42" t="str">
        <f aca="false">TRIM(IF(N(E603)&lt;=0,"택가보정 ","")&amp;IF(N(F603)&lt;=0,"원가보정 ","")&amp;IF(AND(B603&lt;&gt;"CN",N(H603)&lt;=0),"공급가보정 ","")&amp;IF(AND(B603="CN",N(I603)&lt;=0),"중국공급가=원가+마진 ",""))</f>
        <v/>
      </c>
      <c r="Q603" s="47" t="n">
        <f aca="false">IF(SUMIFS($W:$W,$A:$A,A603,$C:$C,C603)=0,0,SUMIFS(RAW_판매펀칭!$K:$K,RAW_판매펀칭!$P:$P,A603,RAW_판매펀칭!$I:$I,C603)*W603/SUMIFS($W:$W,$A:$A,A603,$C:$C,C603))</f>
        <v>300</v>
      </c>
      <c r="R603" s="47" t="n">
        <f aca="false">IF(OR(A603="500",A603="800",A603="810"),0,MAX(W603-Q603,0))</f>
        <v>0</v>
      </c>
      <c r="S603" s="47" t="n">
        <f aca="false">R603*L603</f>
        <v>0</v>
      </c>
      <c r="T603" s="47" t="n">
        <f aca="false">R603*J603</f>
        <v>0</v>
      </c>
      <c r="U603" s="47" t="n">
        <f aca="false">R603*K603</f>
        <v>0</v>
      </c>
      <c r="V603" s="0" t="str">
        <f aca="false">IF(COUNTIFS($A$2:A603,A603,$C$2:C603,C603,$D$2:D603,D603)&gt;1,"중복","")</f>
        <v/>
      </c>
      <c r="W603" s="0" t="n">
        <f aca="false">IF(V603="중복",0,N(D603))</f>
        <v>300</v>
      </c>
      <c r="X603" s="0" t="n">
        <f aca="false">IF(COUNTIFS($A$2:A603,A603,$C$2:C603,C603)=1,ABS(SUMIFS(RAW_발주!$D:$D,RAW_발주!$C:$C,A603,RAW_발주!$A:$A,C603)-SUMIFS($W:$W,$A:$A,A603,$C:$C,C603)),0)</f>
        <v>0</v>
      </c>
    </row>
    <row r="604" customFormat="false" ht="15" hidden="false" customHeight="true" outlineLevel="0" collapsed="false">
      <c r="A604" s="45" t="s">
        <v>1659</v>
      </c>
      <c r="B604" s="42" t="str">
        <f aca="false">IF(A604="100","HK",IF(A604="200","CN",IF(A604="300","TW","홀세일")))</f>
        <v>HK</v>
      </c>
      <c r="C604" s="45" t="s">
        <v>852</v>
      </c>
      <c r="D604" s="46" t="n">
        <v>150</v>
      </c>
      <c r="E604" s="46" t="n">
        <v>69000</v>
      </c>
      <c r="F604" s="46" t="n">
        <v>11018</v>
      </c>
      <c r="G604" s="42" t="n">
        <v>4.19</v>
      </c>
      <c r="H604" s="42" t="n">
        <v>17.3</v>
      </c>
      <c r="J604" s="46" t="n">
        <f aca="false">IF(N(E604)&gt;0,E604,IF(N(F604)&gt;0,F604*요약!$F$27,0))</f>
        <v>69000</v>
      </c>
      <c r="K604" s="46" t="n">
        <f aca="false">IF(N(F604)&gt;0,F604,IF(N(E604)&gt;0,E604/요약!$F$27,0))</f>
        <v>11018</v>
      </c>
      <c r="L604" s="46" t="n">
        <f aca="false">IF(B604="CN",IF(N(I604)&gt;0,I604*요약!$G$27,K604*(1+요약!$E$27)),IF(N(H604)&gt;0,H604*요약!$G$27,J604*요약!$D$27))</f>
        <v>22836</v>
      </c>
      <c r="M604" s="46" t="n">
        <f aca="false">D604*J604</f>
        <v>10350000</v>
      </c>
      <c r="N604" s="46" t="n">
        <f aca="false">D604*K604</f>
        <v>1652700</v>
      </c>
      <c r="O604" s="46" t="n">
        <f aca="false">D604*L604</f>
        <v>3425400</v>
      </c>
      <c r="P604" s="42" t="str">
        <f aca="false">TRIM(IF(N(E604)&lt;=0,"택가보정 ","")&amp;IF(N(F604)&lt;=0,"원가보정 ","")&amp;IF(AND(B604&lt;&gt;"CN",N(H604)&lt;=0),"공급가보정 ","")&amp;IF(AND(B604="CN",N(I604)&lt;=0),"중국공급가=원가+마진 ",""))</f>
        <v/>
      </c>
      <c r="Q604" s="47" t="n">
        <f aca="false">IF(SUMIFS($W:$W,$A:$A,A604,$C:$C,C604)=0,0,SUMIFS(RAW_판매펀칭!$K:$K,RAW_판매펀칭!$P:$P,A604,RAW_판매펀칭!$I:$I,C604)*W604/SUMIFS($W:$W,$A:$A,A604,$C:$C,C604))</f>
        <v>150</v>
      </c>
      <c r="R604" s="47" t="n">
        <f aca="false">IF(OR(A604="500",A604="800",A604="810"),0,MAX(W604-Q604,0))</f>
        <v>0</v>
      </c>
      <c r="S604" s="47" t="n">
        <f aca="false">R604*L604</f>
        <v>0</v>
      </c>
      <c r="T604" s="47" t="n">
        <f aca="false">R604*J604</f>
        <v>0</v>
      </c>
      <c r="U604" s="47" t="n">
        <f aca="false">R604*K604</f>
        <v>0</v>
      </c>
      <c r="V604" s="0" t="str">
        <f aca="false">IF(COUNTIFS($A$2:A604,A604,$C$2:C604,C604,$D$2:D604,D604)&gt;1,"중복","")</f>
        <v/>
      </c>
      <c r="W604" s="0" t="n">
        <f aca="false">IF(V604="중복",0,N(D604))</f>
        <v>150</v>
      </c>
      <c r="X604" s="0" t="n">
        <f aca="false">IF(COUNTIFS($A$2:A604,A604,$C$2:C604,C604)=1,ABS(SUMIFS(RAW_발주!$D:$D,RAW_발주!$C:$C,A604,RAW_발주!$A:$A,C604)-SUMIFS($W:$W,$A:$A,A604,$C:$C,C604)),0)</f>
        <v>0</v>
      </c>
    </row>
    <row r="605" customFormat="false" ht="15.75" hidden="false" customHeight="true" outlineLevel="0" collapsed="false">
      <c r="A605" s="45" t="s">
        <v>1660</v>
      </c>
      <c r="B605" s="42" t="str">
        <f aca="false">IF(A605="100","HK",IF(A605="200","CN",IF(A605="300","TW","홀세일")))</f>
        <v>CN</v>
      </c>
      <c r="C605" s="45" t="s">
        <v>852</v>
      </c>
      <c r="D605" s="46" t="n">
        <v>192</v>
      </c>
      <c r="E605" s="46" t="n">
        <v>69000</v>
      </c>
      <c r="F605" s="46" t="n">
        <v>11018</v>
      </c>
      <c r="G605" s="42" t="n">
        <v>4.19</v>
      </c>
      <c r="H605" s="42" t="n">
        <v>17.3</v>
      </c>
      <c r="J605" s="46" t="n">
        <f aca="false">IF(N(E605)&gt;0,E605,IF(N(F605)&gt;0,F605*요약!$F$27,0))</f>
        <v>69000</v>
      </c>
      <c r="K605" s="46" t="n">
        <f aca="false">IF(N(F605)&gt;0,F605,IF(N(E605)&gt;0,E605/요약!$F$27,0))</f>
        <v>11018</v>
      </c>
      <c r="L605" s="46" t="n">
        <f aca="false">IF(B605="CN",IF(N(I605)&gt;0,I605*요약!$G$27,K605*(1+요약!$E$27)),IF(N(H605)&gt;0,H605*요약!$G$27,J605*요약!$D$27))</f>
        <v>11568.9</v>
      </c>
      <c r="M605" s="46" t="n">
        <f aca="false">D605*J605</f>
        <v>13248000</v>
      </c>
      <c r="N605" s="46" t="n">
        <f aca="false">D605*K605</f>
        <v>2115456</v>
      </c>
      <c r="O605" s="46" t="n">
        <f aca="false">D605*L605</f>
        <v>2221228.8</v>
      </c>
      <c r="P605" s="42" t="str">
        <f aca="false">TRIM(IF(N(E605)&lt;=0,"택가보정 ","")&amp;IF(N(F605)&lt;=0,"원가보정 ","")&amp;IF(AND(B605&lt;&gt;"CN",N(H605)&lt;=0),"공급가보정 ","")&amp;IF(AND(B605="CN",N(I605)&lt;=0),"중국공급가=원가+마진 ",""))</f>
        <v>중국공급가=원가+마진</v>
      </c>
      <c r="Q605" s="47" t="n">
        <f aca="false">IF(SUMIFS($W:$W,$A:$A,A605,$C:$C,C605)=0,0,SUMIFS(RAW_판매펀칭!$K:$K,RAW_판매펀칭!$P:$P,A605,RAW_판매펀칭!$I:$I,C605)*W605/SUMIFS($W:$W,$A:$A,A605,$C:$C,C605))</f>
        <v>192</v>
      </c>
      <c r="R605" s="47" t="n">
        <f aca="false">IF(OR(A605="500",A605="800",A605="810"),0,MAX(W605-Q605,0))</f>
        <v>0</v>
      </c>
      <c r="S605" s="47" t="n">
        <f aca="false">R605*L605</f>
        <v>0</v>
      </c>
      <c r="T605" s="47" t="n">
        <f aca="false">R605*J605</f>
        <v>0</v>
      </c>
      <c r="U605" s="47" t="n">
        <f aca="false">R605*K605</f>
        <v>0</v>
      </c>
      <c r="V605" s="0" t="str">
        <f aca="false">IF(COUNTIFS($A$2:A605,A605,$C$2:C605,C605,$D$2:D605,D605)&gt;1,"중복","")</f>
        <v/>
      </c>
      <c r="W605" s="0" t="n">
        <f aca="false">IF(V605="중복",0,N(D605))</f>
        <v>192</v>
      </c>
      <c r="X605" s="0" t="n">
        <f aca="false">IF(COUNTIFS($A$2:A605,A605,$C$2:C605,C605)=1,ABS(SUMIFS(RAW_발주!$D:$D,RAW_발주!$C:$C,A605,RAW_발주!$A:$A,C605)-SUMIFS($W:$W,$A:$A,A605,$C:$C,C605)),0)</f>
        <v>0</v>
      </c>
    </row>
    <row r="606" customFormat="false" ht="15" hidden="false" customHeight="true" outlineLevel="0" collapsed="false">
      <c r="A606" s="45" t="s">
        <v>1659</v>
      </c>
      <c r="B606" s="42" t="str">
        <f aca="false">IF(A606="100","HK",IF(A606="200","CN",IF(A606="300","TW","홀세일")))</f>
        <v>HK</v>
      </c>
      <c r="C606" s="45" t="s">
        <v>854</v>
      </c>
      <c r="D606" s="46" t="n">
        <v>400</v>
      </c>
      <c r="E606" s="46" t="n">
        <v>69000</v>
      </c>
      <c r="F606" s="46" t="n">
        <v>13000</v>
      </c>
      <c r="G606" s="42" t="n">
        <v>3.97</v>
      </c>
      <c r="H606" s="42" t="n">
        <v>17.3</v>
      </c>
      <c r="J606" s="46" t="n">
        <f aca="false">IF(N(E606)&gt;0,E606,IF(N(F606)&gt;0,F606*요약!$F$27,0))</f>
        <v>69000</v>
      </c>
      <c r="K606" s="46" t="n">
        <f aca="false">IF(N(F606)&gt;0,F606,IF(N(E606)&gt;0,E606/요약!$F$27,0))</f>
        <v>13000</v>
      </c>
      <c r="L606" s="46" t="n">
        <f aca="false">IF(B606="CN",IF(N(I606)&gt;0,I606*요약!$G$27,K606*(1+요약!$E$27)),IF(N(H606)&gt;0,H606*요약!$G$27,J606*요약!$D$27))</f>
        <v>22836</v>
      </c>
      <c r="M606" s="46" t="n">
        <f aca="false">D606*J606</f>
        <v>27600000</v>
      </c>
      <c r="N606" s="46" t="n">
        <f aca="false">D606*K606</f>
        <v>5200000</v>
      </c>
      <c r="O606" s="46" t="n">
        <f aca="false">D606*L606</f>
        <v>9134400</v>
      </c>
      <c r="P606" s="42" t="str">
        <f aca="false">TRIM(IF(N(E606)&lt;=0,"택가보정 ","")&amp;IF(N(F606)&lt;=0,"원가보정 ","")&amp;IF(AND(B606&lt;&gt;"CN",N(H606)&lt;=0),"공급가보정 ","")&amp;IF(AND(B606="CN",N(I606)&lt;=0),"중국공급가=원가+마진 ",""))</f>
        <v/>
      </c>
      <c r="Q606" s="47" t="n">
        <f aca="false">IF(SUMIFS($W:$W,$A:$A,A606,$C:$C,C606)=0,0,SUMIFS(RAW_판매펀칭!$K:$K,RAW_판매펀칭!$P:$P,A606,RAW_판매펀칭!$I:$I,C606)*W606/SUMIFS($W:$W,$A:$A,A606,$C:$C,C606))</f>
        <v>400</v>
      </c>
      <c r="R606" s="47" t="n">
        <f aca="false">IF(OR(A606="500",A606="800",A606="810"),0,MAX(W606-Q606,0))</f>
        <v>0</v>
      </c>
      <c r="S606" s="47" t="n">
        <f aca="false">R606*L606</f>
        <v>0</v>
      </c>
      <c r="T606" s="47" t="n">
        <f aca="false">R606*J606</f>
        <v>0</v>
      </c>
      <c r="U606" s="47" t="n">
        <f aca="false">R606*K606</f>
        <v>0</v>
      </c>
      <c r="V606" s="0" t="str">
        <f aca="false">IF(COUNTIFS($A$2:A606,A606,$C$2:C606,C606,$D$2:D606,D606)&gt;1,"중복","")</f>
        <v/>
      </c>
      <c r="W606" s="0" t="n">
        <f aca="false">IF(V606="중복",0,N(D606))</f>
        <v>400</v>
      </c>
      <c r="X606" s="0" t="n">
        <f aca="false">IF(COUNTIFS($A$2:A606,A606,$C$2:C606,C606)=1,ABS(SUMIFS(RAW_발주!$D:$D,RAW_발주!$C:$C,A606,RAW_발주!$A:$A,C606)-SUMIFS($W:$W,$A:$A,A606,$C:$C,C606)),0)</f>
        <v>0</v>
      </c>
    </row>
    <row r="607" customFormat="false" ht="15" hidden="false" customHeight="true" outlineLevel="0" collapsed="false">
      <c r="A607" s="45" t="s">
        <v>1659</v>
      </c>
      <c r="B607" s="42" t="str">
        <f aca="false">IF(A607="100","HK",IF(A607="200","CN",IF(A607="300","TW","홀세일")))</f>
        <v>HK</v>
      </c>
      <c r="C607" s="45" t="s">
        <v>854</v>
      </c>
      <c r="D607" s="46" t="n">
        <v>400</v>
      </c>
      <c r="E607" s="46" t="n">
        <v>69000</v>
      </c>
      <c r="F607" s="46" t="n">
        <v>13000</v>
      </c>
      <c r="G607" s="42" t="n">
        <v>3.97</v>
      </c>
      <c r="H607" s="42" t="n">
        <v>17.3</v>
      </c>
      <c r="J607" s="46" t="n">
        <f aca="false">IF(N(E607)&gt;0,E607,IF(N(F607)&gt;0,F607*요약!$F$27,0))</f>
        <v>69000</v>
      </c>
      <c r="K607" s="46" t="n">
        <f aca="false">IF(N(F607)&gt;0,F607,IF(N(E607)&gt;0,E607/요약!$F$27,0))</f>
        <v>13000</v>
      </c>
      <c r="L607" s="46" t="n">
        <f aca="false">IF(B607="CN",IF(N(I607)&gt;0,I607*요약!$G$27,K607*(1+요약!$E$27)),IF(N(H607)&gt;0,H607*요약!$G$27,J607*요약!$D$27))</f>
        <v>22836</v>
      </c>
      <c r="M607" s="46" t="n">
        <f aca="false">D607*J607</f>
        <v>27600000</v>
      </c>
      <c r="N607" s="46" t="n">
        <f aca="false">D607*K607</f>
        <v>5200000</v>
      </c>
      <c r="O607" s="46" t="n">
        <f aca="false">D607*L607</f>
        <v>9134400</v>
      </c>
      <c r="P607" s="42" t="str">
        <f aca="false">TRIM(IF(N(E607)&lt;=0,"택가보정 ","")&amp;IF(N(F607)&lt;=0,"원가보정 ","")&amp;IF(AND(B607&lt;&gt;"CN",N(H607)&lt;=0),"공급가보정 ","")&amp;IF(AND(B607="CN",N(I607)&lt;=0),"중국공급가=원가+마진 ",""))</f>
        <v/>
      </c>
      <c r="Q607" s="47" t="n">
        <f aca="false">IF(SUMIFS($W:$W,$A:$A,A607,$C:$C,C607)=0,0,SUMIFS(RAW_판매펀칭!$K:$K,RAW_판매펀칭!$P:$P,A607,RAW_판매펀칭!$I:$I,C607)*W607/SUMIFS($W:$W,$A:$A,A607,$C:$C,C607))</f>
        <v>0</v>
      </c>
      <c r="R607" s="47" t="n">
        <f aca="false">IF(OR(A607="500",A607="800",A607="810"),0,MAX(W607-Q607,0))</f>
        <v>0</v>
      </c>
      <c r="S607" s="47" t="n">
        <f aca="false">R607*L607</f>
        <v>0</v>
      </c>
      <c r="T607" s="47" t="n">
        <f aca="false">R607*J607</f>
        <v>0</v>
      </c>
      <c r="U607" s="47" t="n">
        <f aca="false">R607*K607</f>
        <v>0</v>
      </c>
      <c r="V607" s="0" t="str">
        <f aca="false">IF(COUNTIFS($A$2:A607,A607,$C$2:C607,C607,$D$2:D607,D607)&gt;1,"중복","")</f>
        <v>중복</v>
      </c>
      <c r="W607" s="0" t="n">
        <f aca="false">IF(V607="중복",0,N(D607))</f>
        <v>0</v>
      </c>
      <c r="X607" s="0" t="n">
        <f aca="false">IF(COUNTIFS($A$2:A607,A607,$C$2:C607,C607)=1,ABS(SUMIFS(RAW_발주!$D:$D,RAW_발주!$C:$C,A607,RAW_발주!$A:$A,C607)-SUMIFS($W:$W,$A:$A,A607,$C:$C,C607)),0)</f>
        <v>0</v>
      </c>
    </row>
    <row r="608" customFormat="false" ht="15" hidden="false" customHeight="true" outlineLevel="0" collapsed="false">
      <c r="A608" s="45" t="s">
        <v>1663</v>
      </c>
      <c r="B608" s="42" t="str">
        <f aca="false">IF(A608="100","HK",IF(A608="200","CN",IF(A608="300","TW","홀세일")))</f>
        <v>홀세일</v>
      </c>
      <c r="C608" s="45" t="s">
        <v>854</v>
      </c>
      <c r="D608" s="46" t="n">
        <v>30</v>
      </c>
      <c r="E608" s="46" t="n">
        <v>69000</v>
      </c>
      <c r="F608" s="46" t="n">
        <v>13000</v>
      </c>
      <c r="G608" s="42" t="n">
        <v>3.97</v>
      </c>
      <c r="H608" s="42" t="n">
        <v>17.3</v>
      </c>
      <c r="J608" s="46" t="n">
        <f aca="false">IF(N(E608)&gt;0,E608,IF(N(F608)&gt;0,F608*요약!$F$27,0))</f>
        <v>69000</v>
      </c>
      <c r="K608" s="46" t="n">
        <f aca="false">IF(N(F608)&gt;0,F608,IF(N(E608)&gt;0,E608/요약!$F$27,0))</f>
        <v>13000</v>
      </c>
      <c r="L608" s="46" t="n">
        <f aca="false">IF(B608="CN",IF(N(I608)&gt;0,I608*요약!$G$27,K608*(1+요약!$E$27)),IF(N(H608)&gt;0,H608*요약!$G$27,J608*요약!$D$27))</f>
        <v>22836</v>
      </c>
      <c r="M608" s="46" t="n">
        <f aca="false">D608*J608</f>
        <v>2070000</v>
      </c>
      <c r="N608" s="46" t="n">
        <f aca="false">D608*K608</f>
        <v>390000</v>
      </c>
      <c r="O608" s="46" t="n">
        <f aca="false">D608*L608</f>
        <v>685080</v>
      </c>
      <c r="P608" s="42" t="str">
        <f aca="false">TRIM(IF(N(E608)&lt;=0,"택가보정 ","")&amp;IF(N(F608)&lt;=0,"원가보정 ","")&amp;IF(AND(B608&lt;&gt;"CN",N(H608)&lt;=0),"공급가보정 ","")&amp;IF(AND(B608="CN",N(I608)&lt;=0),"중국공급가=원가+마진 ",""))</f>
        <v/>
      </c>
      <c r="Q608" s="47" t="n">
        <f aca="false">IF(SUMIFS($W:$W,$A:$A,A608,$C:$C,C608)=0,0,SUMIFS(RAW_판매펀칭!$K:$K,RAW_판매펀칭!$P:$P,A608,RAW_판매펀칭!$I:$I,C608)*W608/SUMIFS($W:$W,$A:$A,A608,$C:$C,C608))</f>
        <v>30</v>
      </c>
      <c r="R608" s="47" t="n">
        <f aca="false">IF(OR(A608="500",A608="800",A608="810"),0,MAX(W608-Q608,0))</f>
        <v>0</v>
      </c>
      <c r="S608" s="47" t="n">
        <f aca="false">R608*L608</f>
        <v>0</v>
      </c>
      <c r="T608" s="47" t="n">
        <f aca="false">R608*J608</f>
        <v>0</v>
      </c>
      <c r="U608" s="47" t="n">
        <f aca="false">R608*K608</f>
        <v>0</v>
      </c>
      <c r="V608" s="0" t="str">
        <f aca="false">IF(COUNTIFS($A$2:A608,A608,$C$2:C608,C608,$D$2:D608,D608)&gt;1,"중복","")</f>
        <v/>
      </c>
      <c r="W608" s="0" t="n">
        <f aca="false">IF(V608="중복",0,N(D608))</f>
        <v>30</v>
      </c>
      <c r="X608" s="0" t="n">
        <f aca="false">IF(COUNTIFS($A$2:A608,A608,$C$2:C608,C608)=1,ABS(SUMIFS(RAW_발주!$D:$D,RAW_발주!$C:$C,A608,RAW_발주!$A:$A,C608)-SUMIFS($W:$W,$A:$A,A608,$C:$C,C608)),0)</f>
        <v>0</v>
      </c>
    </row>
    <row r="609" customFormat="false" ht="15" hidden="false" customHeight="true" outlineLevel="0" collapsed="false">
      <c r="A609" s="45" t="s">
        <v>1659</v>
      </c>
      <c r="B609" s="42" t="str">
        <f aca="false">IF(A609="100","HK",IF(A609="200","CN",IF(A609="300","TW","홀세일")))</f>
        <v>HK</v>
      </c>
      <c r="C609" s="45" t="s">
        <v>856</v>
      </c>
      <c r="D609" s="46" t="n">
        <v>550</v>
      </c>
      <c r="E609" s="46" t="n">
        <v>59000</v>
      </c>
      <c r="F609" s="46" t="n">
        <v>12400</v>
      </c>
      <c r="G609" s="42" t="n">
        <v>4.26</v>
      </c>
      <c r="H609" s="42" t="n">
        <v>14.8</v>
      </c>
      <c r="J609" s="46" t="n">
        <f aca="false">IF(N(E609)&gt;0,E609,IF(N(F609)&gt;0,F609*요약!$F$27,0))</f>
        <v>59000</v>
      </c>
      <c r="K609" s="46" t="n">
        <f aca="false">IF(N(F609)&gt;0,F609,IF(N(E609)&gt;0,E609/요약!$F$27,0))</f>
        <v>12400</v>
      </c>
      <c r="L609" s="46" t="n">
        <f aca="false">IF(B609="CN",IF(N(I609)&gt;0,I609*요약!$G$27,K609*(1+요약!$E$27)),IF(N(H609)&gt;0,H609*요약!$G$27,J609*요약!$D$27))</f>
        <v>19536</v>
      </c>
      <c r="M609" s="46" t="n">
        <f aca="false">D609*J609</f>
        <v>32450000</v>
      </c>
      <c r="N609" s="46" t="n">
        <f aca="false">D609*K609</f>
        <v>6820000</v>
      </c>
      <c r="O609" s="46" t="n">
        <f aca="false">D609*L609</f>
        <v>10744800</v>
      </c>
      <c r="P609" s="42" t="str">
        <f aca="false">TRIM(IF(N(E609)&lt;=0,"택가보정 ","")&amp;IF(N(F609)&lt;=0,"원가보정 ","")&amp;IF(AND(B609&lt;&gt;"CN",N(H609)&lt;=0),"공급가보정 ","")&amp;IF(AND(B609="CN",N(I609)&lt;=0),"중국공급가=원가+마진 ",""))</f>
        <v/>
      </c>
      <c r="Q609" s="47" t="n">
        <f aca="false">IF(SUMIFS($W:$W,$A:$A,A609,$C:$C,C609)=0,0,SUMIFS(RAW_판매펀칭!$K:$K,RAW_판매펀칭!$P:$P,A609,RAW_판매펀칭!$I:$I,C609)*W609/SUMIFS($W:$W,$A:$A,A609,$C:$C,C609))</f>
        <v>550</v>
      </c>
      <c r="R609" s="47" t="n">
        <f aca="false">IF(OR(A609="500",A609="800",A609="810"),0,MAX(W609-Q609,0))</f>
        <v>0</v>
      </c>
      <c r="S609" s="47" t="n">
        <f aca="false">R609*L609</f>
        <v>0</v>
      </c>
      <c r="T609" s="47" t="n">
        <f aca="false">R609*J609</f>
        <v>0</v>
      </c>
      <c r="U609" s="47" t="n">
        <f aca="false">R609*K609</f>
        <v>0</v>
      </c>
      <c r="V609" s="0" t="str">
        <f aca="false">IF(COUNTIFS($A$2:A609,A609,$C$2:C609,C609,$D$2:D609,D609)&gt;1,"중복","")</f>
        <v/>
      </c>
      <c r="W609" s="0" t="n">
        <f aca="false">IF(V609="중복",0,N(D609))</f>
        <v>550</v>
      </c>
      <c r="X609" s="0" t="n">
        <f aca="false">IF(COUNTIFS($A$2:A609,A609,$C$2:C609,C609)=1,ABS(SUMIFS(RAW_발주!$D:$D,RAW_발주!$C:$C,A609,RAW_발주!$A:$A,C609)-SUMIFS($W:$W,$A:$A,A609,$C:$C,C609)),0)</f>
        <v>0</v>
      </c>
    </row>
    <row r="610" customFormat="false" ht="15" hidden="false" customHeight="true" outlineLevel="0" collapsed="false">
      <c r="A610" s="45" t="s">
        <v>1659</v>
      </c>
      <c r="B610" s="42" t="str">
        <f aca="false">IF(A610="100","HK",IF(A610="200","CN",IF(A610="300","TW","홀세일")))</f>
        <v>HK</v>
      </c>
      <c r="C610" s="45" t="s">
        <v>356</v>
      </c>
      <c r="D610" s="46" t="n">
        <v>300</v>
      </c>
      <c r="E610" s="46" t="n">
        <v>69000</v>
      </c>
      <c r="F610" s="46" t="n">
        <v>13000</v>
      </c>
      <c r="G610" s="42" t="n">
        <v>4.45</v>
      </c>
      <c r="H610" s="42" t="n">
        <v>17.3</v>
      </c>
      <c r="J610" s="46" t="n">
        <f aca="false">IF(N(E610)&gt;0,E610,IF(N(F610)&gt;0,F610*요약!$F$27,0))</f>
        <v>69000</v>
      </c>
      <c r="K610" s="46" t="n">
        <f aca="false">IF(N(F610)&gt;0,F610,IF(N(E610)&gt;0,E610/요약!$F$27,0))</f>
        <v>13000</v>
      </c>
      <c r="L610" s="46" t="n">
        <f aca="false">IF(B610="CN",IF(N(I610)&gt;0,I610*요약!$G$27,K610*(1+요약!$E$27)),IF(N(H610)&gt;0,H610*요약!$G$27,J610*요약!$D$27))</f>
        <v>22836</v>
      </c>
      <c r="M610" s="46" t="n">
        <f aca="false">D610*J610</f>
        <v>20700000</v>
      </c>
      <c r="N610" s="46" t="n">
        <f aca="false">D610*K610</f>
        <v>3900000</v>
      </c>
      <c r="O610" s="46" t="n">
        <f aca="false">D610*L610</f>
        <v>6850800</v>
      </c>
      <c r="P610" s="42" t="str">
        <f aca="false">TRIM(IF(N(E610)&lt;=0,"택가보정 ","")&amp;IF(N(F610)&lt;=0,"원가보정 ","")&amp;IF(AND(B610&lt;&gt;"CN",N(H610)&lt;=0),"공급가보정 ","")&amp;IF(AND(B610="CN",N(I610)&lt;=0),"중국공급가=원가+마진 ",""))</f>
        <v/>
      </c>
      <c r="Q610" s="47" t="n">
        <f aca="false">IF(SUMIFS($W:$W,$A:$A,A610,$C:$C,C610)=0,0,SUMIFS(RAW_판매펀칭!$K:$K,RAW_판매펀칭!$P:$P,A610,RAW_판매펀칭!$I:$I,C610)*W610/SUMIFS($W:$W,$A:$A,A610,$C:$C,C610))</f>
        <v>300</v>
      </c>
      <c r="R610" s="47" t="n">
        <f aca="false">IF(OR(A610="500",A610="800",A610="810"),0,MAX(W610-Q610,0))</f>
        <v>0</v>
      </c>
      <c r="S610" s="47" t="n">
        <f aca="false">R610*L610</f>
        <v>0</v>
      </c>
      <c r="T610" s="47" t="n">
        <f aca="false">R610*J610</f>
        <v>0</v>
      </c>
      <c r="U610" s="47" t="n">
        <f aca="false">R610*K610</f>
        <v>0</v>
      </c>
      <c r="V610" s="0" t="str">
        <f aca="false">IF(COUNTIFS($A$2:A610,A610,$C$2:C610,C610,$D$2:D610,D610)&gt;1,"중복","")</f>
        <v/>
      </c>
      <c r="W610" s="0" t="n">
        <f aca="false">IF(V610="중복",0,N(D610))</f>
        <v>300</v>
      </c>
      <c r="X610" s="0" t="n">
        <f aca="false">IF(COUNTIFS($A$2:A610,A610,$C$2:C610,C610)=1,ABS(SUMIFS(RAW_발주!$D:$D,RAW_발주!$C:$C,A610,RAW_발주!$A:$A,C610)-SUMIFS($W:$W,$A:$A,A610,$C:$C,C610)),0)</f>
        <v>0</v>
      </c>
    </row>
    <row r="611" customFormat="false" ht="15" hidden="false" customHeight="true" outlineLevel="0" collapsed="false">
      <c r="A611" s="45" t="s">
        <v>1661</v>
      </c>
      <c r="B611" s="42" t="str">
        <f aca="false">IF(A611="100","HK",IF(A611="200","CN",IF(A611="300","TW","홀세일")))</f>
        <v>TW</v>
      </c>
      <c r="C611" s="45" t="s">
        <v>356</v>
      </c>
      <c r="D611" s="46" t="n">
        <v>80</v>
      </c>
      <c r="E611" s="46" t="n">
        <v>69000</v>
      </c>
      <c r="F611" s="46" t="n">
        <v>13000</v>
      </c>
      <c r="G611" s="42" t="n">
        <v>4.45</v>
      </c>
      <c r="H611" s="42" t="n">
        <v>17.3</v>
      </c>
      <c r="J611" s="46" t="n">
        <f aca="false">IF(N(E611)&gt;0,E611,IF(N(F611)&gt;0,F611*요약!$F$27,0))</f>
        <v>69000</v>
      </c>
      <c r="K611" s="46" t="n">
        <f aca="false">IF(N(F611)&gt;0,F611,IF(N(E611)&gt;0,E611/요약!$F$27,0))</f>
        <v>13000</v>
      </c>
      <c r="L611" s="46" t="n">
        <f aca="false">IF(B611="CN",IF(N(I611)&gt;0,I611*요약!$G$27,K611*(1+요약!$E$27)),IF(N(H611)&gt;0,H611*요약!$G$27,J611*요약!$D$27))</f>
        <v>22836</v>
      </c>
      <c r="M611" s="46" t="n">
        <f aca="false">D611*J611</f>
        <v>5520000</v>
      </c>
      <c r="N611" s="46" t="n">
        <f aca="false">D611*K611</f>
        <v>1040000</v>
      </c>
      <c r="O611" s="46" t="n">
        <f aca="false">D611*L611</f>
        <v>1826880</v>
      </c>
      <c r="P611" s="42" t="str">
        <f aca="false">TRIM(IF(N(E611)&lt;=0,"택가보정 ","")&amp;IF(N(F611)&lt;=0,"원가보정 ","")&amp;IF(AND(B611&lt;&gt;"CN",N(H611)&lt;=0),"공급가보정 ","")&amp;IF(AND(B611="CN",N(I611)&lt;=0),"중국공급가=원가+마진 ",""))</f>
        <v/>
      </c>
      <c r="Q611" s="47" t="n">
        <f aca="false">IF(SUMIFS($W:$W,$A:$A,A611,$C:$C,C611)=0,0,SUMIFS(RAW_판매펀칭!$K:$K,RAW_판매펀칭!$P:$P,A611,RAW_판매펀칭!$I:$I,C611)*W611/SUMIFS($W:$W,$A:$A,A611,$C:$C,C611))</f>
        <v>80</v>
      </c>
      <c r="R611" s="47" t="n">
        <f aca="false">IF(OR(A611="500",A611="800",A611="810"),0,MAX(W611-Q611,0))</f>
        <v>0</v>
      </c>
      <c r="S611" s="47" t="n">
        <f aca="false">R611*L611</f>
        <v>0</v>
      </c>
      <c r="T611" s="47" t="n">
        <f aca="false">R611*J611</f>
        <v>0</v>
      </c>
      <c r="U611" s="47" t="n">
        <f aca="false">R611*K611</f>
        <v>0</v>
      </c>
      <c r="V611" s="0" t="str">
        <f aca="false">IF(COUNTIFS($A$2:A611,A611,$C$2:C611,C611,$D$2:D611,D611)&gt;1,"중복","")</f>
        <v/>
      </c>
      <c r="W611" s="0" t="n">
        <f aca="false">IF(V611="중복",0,N(D611))</f>
        <v>80</v>
      </c>
      <c r="X611" s="0" t="n">
        <f aca="false">IF(COUNTIFS($A$2:A611,A611,$C$2:C611,C611)=1,ABS(SUMIFS(RAW_발주!$D:$D,RAW_발주!$C:$C,A611,RAW_발주!$A:$A,C611)-SUMIFS($W:$W,$A:$A,A611,$C:$C,C611)),0)</f>
        <v>0</v>
      </c>
    </row>
    <row r="612" customFormat="false" ht="15" hidden="false" customHeight="true" outlineLevel="0" collapsed="false">
      <c r="A612" s="45" t="s">
        <v>1659</v>
      </c>
      <c r="B612" s="42" t="str">
        <f aca="false">IF(A612="100","HK",IF(A612="200","CN",IF(A612="300","TW","홀세일")))</f>
        <v>HK</v>
      </c>
      <c r="C612" s="45" t="s">
        <v>858</v>
      </c>
      <c r="D612" s="46" t="n">
        <v>300</v>
      </c>
      <c r="E612" s="46" t="n">
        <v>59000</v>
      </c>
      <c r="F612" s="46" t="n">
        <v>13800</v>
      </c>
      <c r="G612" s="42" t="n">
        <v>3.94</v>
      </c>
      <c r="H612" s="42" t="n">
        <v>14.8</v>
      </c>
      <c r="J612" s="46" t="n">
        <f aca="false">IF(N(E612)&gt;0,E612,IF(N(F612)&gt;0,F612*요약!$F$27,0))</f>
        <v>59000</v>
      </c>
      <c r="K612" s="46" t="n">
        <f aca="false">IF(N(F612)&gt;0,F612,IF(N(E612)&gt;0,E612/요약!$F$27,0))</f>
        <v>13800</v>
      </c>
      <c r="L612" s="46" t="n">
        <f aca="false">IF(B612="CN",IF(N(I612)&gt;0,I612*요약!$G$27,K612*(1+요약!$E$27)),IF(N(H612)&gt;0,H612*요약!$G$27,J612*요약!$D$27))</f>
        <v>19536</v>
      </c>
      <c r="M612" s="46" t="n">
        <f aca="false">D612*J612</f>
        <v>17700000</v>
      </c>
      <c r="N612" s="46" t="n">
        <f aca="false">D612*K612</f>
        <v>4140000</v>
      </c>
      <c r="O612" s="46" t="n">
        <f aca="false">D612*L612</f>
        <v>5860800</v>
      </c>
      <c r="P612" s="42" t="str">
        <f aca="false">TRIM(IF(N(E612)&lt;=0,"택가보정 ","")&amp;IF(N(F612)&lt;=0,"원가보정 ","")&amp;IF(AND(B612&lt;&gt;"CN",N(H612)&lt;=0),"공급가보정 ","")&amp;IF(AND(B612="CN",N(I612)&lt;=0),"중국공급가=원가+마진 ",""))</f>
        <v/>
      </c>
      <c r="Q612" s="47" t="n">
        <f aca="false">IF(SUMIFS($W:$W,$A:$A,A612,$C:$C,C612)=0,0,SUMIFS(RAW_판매펀칭!$K:$K,RAW_판매펀칭!$P:$P,A612,RAW_판매펀칭!$I:$I,C612)*W612/SUMIFS($W:$W,$A:$A,A612,$C:$C,C612))</f>
        <v>300</v>
      </c>
      <c r="R612" s="47" t="n">
        <f aca="false">IF(OR(A612="500",A612="800",A612="810"),0,MAX(W612-Q612,0))</f>
        <v>0</v>
      </c>
      <c r="S612" s="47" t="n">
        <f aca="false">R612*L612</f>
        <v>0</v>
      </c>
      <c r="T612" s="47" t="n">
        <f aca="false">R612*J612</f>
        <v>0</v>
      </c>
      <c r="U612" s="47" t="n">
        <f aca="false">R612*K612</f>
        <v>0</v>
      </c>
      <c r="V612" s="0" t="str">
        <f aca="false">IF(COUNTIFS($A$2:A612,A612,$C$2:C612,C612,$D$2:D612,D612)&gt;1,"중복","")</f>
        <v/>
      </c>
      <c r="W612" s="0" t="n">
        <f aca="false">IF(V612="중복",0,N(D612))</f>
        <v>300</v>
      </c>
      <c r="X612" s="0" t="n">
        <f aca="false">IF(COUNTIFS($A$2:A612,A612,$C$2:C612,C612)=1,ABS(SUMIFS(RAW_발주!$D:$D,RAW_발주!$C:$C,A612,RAW_발주!$A:$A,C612)-SUMIFS($W:$W,$A:$A,A612,$C:$C,C612)),0)</f>
        <v>0</v>
      </c>
    </row>
    <row r="613" customFormat="false" ht="15" hidden="false" customHeight="true" outlineLevel="0" collapsed="false">
      <c r="A613" s="45" t="s">
        <v>1663</v>
      </c>
      <c r="B613" s="42" t="str">
        <f aca="false">IF(A613="100","HK",IF(A613="200","CN",IF(A613="300","TW","홀세일")))</f>
        <v>홀세일</v>
      </c>
      <c r="C613" s="45" t="s">
        <v>858</v>
      </c>
      <c r="D613" s="46" t="n">
        <v>15</v>
      </c>
      <c r="E613" s="46" t="n">
        <v>59000</v>
      </c>
      <c r="F613" s="46" t="n">
        <v>13800</v>
      </c>
      <c r="G613" s="42" t="n">
        <v>3.94</v>
      </c>
      <c r="H613" s="42" t="n">
        <v>14.8</v>
      </c>
      <c r="J613" s="46" t="n">
        <f aca="false">IF(N(E613)&gt;0,E613,IF(N(F613)&gt;0,F613*요약!$F$27,0))</f>
        <v>59000</v>
      </c>
      <c r="K613" s="46" t="n">
        <f aca="false">IF(N(F613)&gt;0,F613,IF(N(E613)&gt;0,E613/요약!$F$27,0))</f>
        <v>13800</v>
      </c>
      <c r="L613" s="46" t="n">
        <f aca="false">IF(B613="CN",IF(N(I613)&gt;0,I613*요약!$G$27,K613*(1+요약!$E$27)),IF(N(H613)&gt;0,H613*요약!$G$27,J613*요약!$D$27))</f>
        <v>19536</v>
      </c>
      <c r="M613" s="46" t="n">
        <f aca="false">D613*J613</f>
        <v>885000</v>
      </c>
      <c r="N613" s="46" t="n">
        <f aca="false">D613*K613</f>
        <v>207000</v>
      </c>
      <c r="O613" s="46" t="n">
        <f aca="false">D613*L613</f>
        <v>293040</v>
      </c>
      <c r="P613" s="42" t="str">
        <f aca="false">TRIM(IF(N(E613)&lt;=0,"택가보정 ","")&amp;IF(N(F613)&lt;=0,"원가보정 ","")&amp;IF(AND(B613&lt;&gt;"CN",N(H613)&lt;=0),"공급가보정 ","")&amp;IF(AND(B613="CN",N(I613)&lt;=0),"중국공급가=원가+마진 ",""))</f>
        <v/>
      </c>
      <c r="Q613" s="47" t="n">
        <f aca="false">IF(SUMIFS($W:$W,$A:$A,A613,$C:$C,C613)=0,0,SUMIFS(RAW_판매펀칭!$K:$K,RAW_판매펀칭!$P:$P,A613,RAW_판매펀칭!$I:$I,C613)*W613/SUMIFS($W:$W,$A:$A,A613,$C:$C,C613))</f>
        <v>15</v>
      </c>
      <c r="R613" s="47" t="n">
        <f aca="false">IF(OR(A613="500",A613="800",A613="810"),0,MAX(W613-Q613,0))</f>
        <v>0</v>
      </c>
      <c r="S613" s="47" t="n">
        <f aca="false">R613*L613</f>
        <v>0</v>
      </c>
      <c r="T613" s="47" t="n">
        <f aca="false">R613*J613</f>
        <v>0</v>
      </c>
      <c r="U613" s="47" t="n">
        <f aca="false">R613*K613</f>
        <v>0</v>
      </c>
      <c r="V613" s="0" t="str">
        <f aca="false">IF(COUNTIFS($A$2:A613,A613,$C$2:C613,C613,$D$2:D613,D613)&gt;1,"중복","")</f>
        <v/>
      </c>
      <c r="W613" s="0" t="n">
        <f aca="false">IF(V613="중복",0,N(D613))</f>
        <v>15</v>
      </c>
      <c r="X613" s="0" t="n">
        <f aca="false">IF(COUNTIFS($A$2:A613,A613,$C$2:C613,C613)=1,ABS(SUMIFS(RAW_발주!$D:$D,RAW_발주!$C:$C,A613,RAW_발주!$A:$A,C613)-SUMIFS($W:$W,$A:$A,A613,$C:$C,C613)),0)</f>
        <v>0</v>
      </c>
    </row>
    <row r="614" customFormat="false" ht="15" hidden="false" customHeight="true" outlineLevel="0" collapsed="false">
      <c r="A614" s="45" t="s">
        <v>1659</v>
      </c>
      <c r="B614" s="42" t="str">
        <f aca="false">IF(A614="100","HK",IF(A614="200","CN",IF(A614="300","TW","홀세일")))</f>
        <v>HK</v>
      </c>
      <c r="C614" s="45" t="s">
        <v>358</v>
      </c>
      <c r="D614" s="46" t="n">
        <v>200</v>
      </c>
      <c r="E614" s="46" t="n">
        <v>79000</v>
      </c>
      <c r="F614" s="46" t="n">
        <v>17604</v>
      </c>
      <c r="G614" s="42" t="n">
        <v>5.09</v>
      </c>
      <c r="H614" s="42" t="n">
        <v>19.8</v>
      </c>
      <c r="J614" s="46" t="n">
        <f aca="false">IF(N(E614)&gt;0,E614,IF(N(F614)&gt;0,F614*요약!$F$27,0))</f>
        <v>79000</v>
      </c>
      <c r="K614" s="46" t="n">
        <f aca="false">IF(N(F614)&gt;0,F614,IF(N(E614)&gt;0,E614/요약!$F$27,0))</f>
        <v>17604</v>
      </c>
      <c r="L614" s="46" t="n">
        <f aca="false">IF(B614="CN",IF(N(I614)&gt;0,I614*요약!$G$27,K614*(1+요약!$E$27)),IF(N(H614)&gt;0,H614*요약!$G$27,J614*요약!$D$27))</f>
        <v>26136</v>
      </c>
      <c r="M614" s="46" t="n">
        <f aca="false">D614*J614</f>
        <v>15800000</v>
      </c>
      <c r="N614" s="46" t="n">
        <f aca="false">D614*K614</f>
        <v>3520800</v>
      </c>
      <c r="O614" s="46" t="n">
        <f aca="false">D614*L614</f>
        <v>5227200</v>
      </c>
      <c r="P614" s="42" t="str">
        <f aca="false">TRIM(IF(N(E614)&lt;=0,"택가보정 ","")&amp;IF(N(F614)&lt;=0,"원가보정 ","")&amp;IF(AND(B614&lt;&gt;"CN",N(H614)&lt;=0),"공급가보정 ","")&amp;IF(AND(B614="CN",N(I614)&lt;=0),"중국공급가=원가+마진 ",""))</f>
        <v/>
      </c>
      <c r="Q614" s="47" t="n">
        <f aca="false">IF(SUMIFS($W:$W,$A:$A,A614,$C:$C,C614)=0,0,SUMIFS(RAW_판매펀칭!$K:$K,RAW_판매펀칭!$P:$P,A614,RAW_판매펀칭!$I:$I,C614)*W614/SUMIFS($W:$W,$A:$A,A614,$C:$C,C614))</f>
        <v>200</v>
      </c>
      <c r="R614" s="47" t="n">
        <f aca="false">IF(OR(A614="500",A614="800",A614="810"),0,MAX(W614-Q614,0))</f>
        <v>0</v>
      </c>
      <c r="S614" s="47" t="n">
        <f aca="false">R614*L614</f>
        <v>0</v>
      </c>
      <c r="T614" s="47" t="n">
        <f aca="false">R614*J614</f>
        <v>0</v>
      </c>
      <c r="U614" s="47" t="n">
        <f aca="false">R614*K614</f>
        <v>0</v>
      </c>
      <c r="V614" s="0" t="str">
        <f aca="false">IF(COUNTIFS($A$2:A614,A614,$C$2:C614,C614,$D$2:D614,D614)&gt;1,"중복","")</f>
        <v/>
      </c>
      <c r="W614" s="0" t="n">
        <f aca="false">IF(V614="중복",0,N(D614))</f>
        <v>200</v>
      </c>
      <c r="X614" s="0" t="n">
        <f aca="false">IF(COUNTIFS($A$2:A614,A614,$C$2:C614,C614)=1,ABS(SUMIFS(RAW_발주!$D:$D,RAW_발주!$C:$C,A614,RAW_발주!$A:$A,C614)-SUMIFS($W:$W,$A:$A,A614,$C:$C,C614)),0)</f>
        <v>0</v>
      </c>
    </row>
    <row r="615" customFormat="false" ht="15.75" hidden="false" customHeight="true" outlineLevel="0" collapsed="false">
      <c r="A615" s="45" t="s">
        <v>1660</v>
      </c>
      <c r="B615" s="42" t="str">
        <f aca="false">IF(A615="100","HK",IF(A615="200","CN",IF(A615="300","TW","홀세일")))</f>
        <v>CN</v>
      </c>
      <c r="C615" s="45" t="s">
        <v>358</v>
      </c>
      <c r="D615" s="46" t="n">
        <v>172</v>
      </c>
      <c r="E615" s="46" t="n">
        <v>79000</v>
      </c>
      <c r="F615" s="46" t="n">
        <v>17604</v>
      </c>
      <c r="G615" s="42" t="n">
        <v>5.09</v>
      </c>
      <c r="H615" s="42" t="n">
        <v>19.8</v>
      </c>
      <c r="J615" s="46" t="n">
        <f aca="false">IF(N(E615)&gt;0,E615,IF(N(F615)&gt;0,F615*요약!$F$27,0))</f>
        <v>79000</v>
      </c>
      <c r="K615" s="46" t="n">
        <f aca="false">IF(N(F615)&gt;0,F615,IF(N(E615)&gt;0,E615/요약!$F$27,0))</f>
        <v>17604</v>
      </c>
      <c r="L615" s="46" t="n">
        <f aca="false">IF(B615="CN",IF(N(I615)&gt;0,I615*요약!$G$27,K615*(1+요약!$E$27)),IF(N(H615)&gt;0,H615*요약!$G$27,J615*요약!$D$27))</f>
        <v>18484.2</v>
      </c>
      <c r="M615" s="46" t="n">
        <f aca="false">D615*J615</f>
        <v>13588000</v>
      </c>
      <c r="N615" s="46" t="n">
        <f aca="false">D615*K615</f>
        <v>3027888</v>
      </c>
      <c r="O615" s="46" t="n">
        <f aca="false">D615*L615</f>
        <v>3179282.4</v>
      </c>
      <c r="P615" s="42" t="str">
        <f aca="false">TRIM(IF(N(E615)&lt;=0,"택가보정 ","")&amp;IF(N(F615)&lt;=0,"원가보정 ","")&amp;IF(AND(B615&lt;&gt;"CN",N(H615)&lt;=0),"공급가보정 ","")&amp;IF(AND(B615="CN",N(I615)&lt;=0),"중국공급가=원가+마진 ",""))</f>
        <v>중국공급가=원가+마진</v>
      </c>
      <c r="Q615" s="47" t="n">
        <f aca="false">IF(SUMIFS($W:$W,$A:$A,A615,$C:$C,C615)=0,0,SUMIFS(RAW_판매펀칭!$K:$K,RAW_판매펀칭!$P:$P,A615,RAW_판매펀칭!$I:$I,C615)*W615/SUMIFS($W:$W,$A:$A,A615,$C:$C,C615))</f>
        <v>163</v>
      </c>
      <c r="R615" s="47" t="n">
        <f aca="false">IF(OR(A615="500",A615="800",A615="810"),0,MAX(W615-Q615,0))</f>
        <v>9</v>
      </c>
      <c r="S615" s="47" t="n">
        <f aca="false">R615*L615</f>
        <v>166357.8</v>
      </c>
      <c r="T615" s="47" t="n">
        <f aca="false">R615*J615</f>
        <v>711000</v>
      </c>
      <c r="U615" s="47" t="n">
        <f aca="false">R615*K615</f>
        <v>158436</v>
      </c>
      <c r="V615" s="0" t="str">
        <f aca="false">IF(COUNTIFS($A$2:A615,A615,$C$2:C615,C615,$D$2:D615,D615)&gt;1,"중복","")</f>
        <v/>
      </c>
      <c r="W615" s="0" t="n">
        <f aca="false">IF(V615="중복",0,N(D615))</f>
        <v>172</v>
      </c>
      <c r="X615" s="0" t="n">
        <f aca="false">IF(COUNTIFS($A$2:A615,A615,$C$2:C615,C615)=1,ABS(SUMIFS(RAW_발주!$D:$D,RAW_발주!$C:$C,A615,RAW_발주!$A:$A,C615)-SUMIFS($W:$W,$A:$A,A615,$C:$C,C615)),0)</f>
        <v>0</v>
      </c>
    </row>
    <row r="616" customFormat="false" ht="15" hidden="false" customHeight="true" outlineLevel="0" collapsed="false">
      <c r="A616" s="45" t="s">
        <v>1661</v>
      </c>
      <c r="B616" s="42" t="str">
        <f aca="false">IF(A616="100","HK",IF(A616="200","CN",IF(A616="300","TW","홀세일")))</f>
        <v>TW</v>
      </c>
      <c r="C616" s="45" t="s">
        <v>358</v>
      </c>
      <c r="D616" s="46" t="n">
        <v>190</v>
      </c>
      <c r="E616" s="46" t="n">
        <v>79000</v>
      </c>
      <c r="F616" s="46" t="n">
        <v>17604</v>
      </c>
      <c r="G616" s="42" t="n">
        <v>5.09</v>
      </c>
      <c r="H616" s="42" t="n">
        <v>19.8</v>
      </c>
      <c r="J616" s="46" t="n">
        <f aca="false">IF(N(E616)&gt;0,E616,IF(N(F616)&gt;0,F616*요약!$F$27,0))</f>
        <v>79000</v>
      </c>
      <c r="K616" s="46" t="n">
        <f aca="false">IF(N(F616)&gt;0,F616,IF(N(E616)&gt;0,E616/요약!$F$27,0))</f>
        <v>17604</v>
      </c>
      <c r="L616" s="46" t="n">
        <f aca="false">IF(B616="CN",IF(N(I616)&gt;0,I616*요약!$G$27,K616*(1+요약!$E$27)),IF(N(H616)&gt;0,H616*요약!$G$27,J616*요약!$D$27))</f>
        <v>26136</v>
      </c>
      <c r="M616" s="46" t="n">
        <f aca="false">D616*J616</f>
        <v>15010000</v>
      </c>
      <c r="N616" s="46" t="n">
        <f aca="false">D616*K616</f>
        <v>3344760</v>
      </c>
      <c r="O616" s="46" t="n">
        <f aca="false">D616*L616</f>
        <v>4965840</v>
      </c>
      <c r="P616" s="42" t="str">
        <f aca="false">TRIM(IF(N(E616)&lt;=0,"택가보정 ","")&amp;IF(N(F616)&lt;=0,"원가보정 ","")&amp;IF(AND(B616&lt;&gt;"CN",N(H616)&lt;=0),"공급가보정 ","")&amp;IF(AND(B616="CN",N(I616)&lt;=0),"중국공급가=원가+마진 ",""))</f>
        <v/>
      </c>
      <c r="Q616" s="47" t="n">
        <f aca="false">IF(SUMIFS($W:$W,$A:$A,A616,$C:$C,C616)=0,0,SUMIFS(RAW_판매펀칭!$K:$K,RAW_판매펀칭!$P:$P,A616,RAW_판매펀칭!$I:$I,C616)*W616/SUMIFS($W:$W,$A:$A,A616,$C:$C,C616))</f>
        <v>190</v>
      </c>
      <c r="R616" s="47" t="n">
        <f aca="false">IF(OR(A616="500",A616="800",A616="810"),0,MAX(W616-Q616,0))</f>
        <v>0</v>
      </c>
      <c r="S616" s="47" t="n">
        <f aca="false">R616*L616</f>
        <v>0</v>
      </c>
      <c r="T616" s="47" t="n">
        <f aca="false">R616*J616</f>
        <v>0</v>
      </c>
      <c r="U616" s="47" t="n">
        <f aca="false">R616*K616</f>
        <v>0</v>
      </c>
      <c r="V616" s="0" t="str">
        <f aca="false">IF(COUNTIFS($A$2:A616,A616,$C$2:C616,C616,$D$2:D616,D616)&gt;1,"중복","")</f>
        <v/>
      </c>
      <c r="W616" s="0" t="n">
        <f aca="false">IF(V616="중복",0,N(D616))</f>
        <v>190</v>
      </c>
      <c r="X616" s="0" t="n">
        <f aca="false">IF(COUNTIFS($A$2:A616,A616,$C$2:C616,C616)=1,ABS(SUMIFS(RAW_발주!$D:$D,RAW_발주!$C:$C,A616,RAW_발주!$A:$A,C616)-SUMIFS($W:$W,$A:$A,A616,$C:$C,C616)),0)</f>
        <v>0</v>
      </c>
    </row>
    <row r="617" customFormat="false" ht="15" hidden="false" customHeight="true" outlineLevel="0" collapsed="false">
      <c r="A617" s="45" t="s">
        <v>1663</v>
      </c>
      <c r="B617" s="42" t="str">
        <f aca="false">IF(A617="100","HK",IF(A617="200","CN",IF(A617="300","TW","홀세일")))</f>
        <v>홀세일</v>
      </c>
      <c r="C617" s="45" t="s">
        <v>358</v>
      </c>
      <c r="D617" s="46" t="n">
        <v>45</v>
      </c>
      <c r="E617" s="46" t="n">
        <v>79000</v>
      </c>
      <c r="F617" s="46" t="n">
        <v>17604</v>
      </c>
      <c r="G617" s="42" t="n">
        <v>5.09</v>
      </c>
      <c r="H617" s="42" t="n">
        <v>19.8</v>
      </c>
      <c r="J617" s="46" t="n">
        <f aca="false">IF(N(E617)&gt;0,E617,IF(N(F617)&gt;0,F617*요약!$F$27,0))</f>
        <v>79000</v>
      </c>
      <c r="K617" s="46" t="n">
        <f aca="false">IF(N(F617)&gt;0,F617,IF(N(E617)&gt;0,E617/요약!$F$27,0))</f>
        <v>17604</v>
      </c>
      <c r="L617" s="46" t="n">
        <f aca="false">IF(B617="CN",IF(N(I617)&gt;0,I617*요약!$G$27,K617*(1+요약!$E$27)),IF(N(H617)&gt;0,H617*요약!$G$27,J617*요약!$D$27))</f>
        <v>26136</v>
      </c>
      <c r="M617" s="46" t="n">
        <f aca="false">D617*J617</f>
        <v>3555000</v>
      </c>
      <c r="N617" s="46" t="n">
        <f aca="false">D617*K617</f>
        <v>792180</v>
      </c>
      <c r="O617" s="46" t="n">
        <f aca="false">D617*L617</f>
        <v>1176120</v>
      </c>
      <c r="P617" s="42" t="str">
        <f aca="false">TRIM(IF(N(E617)&lt;=0,"택가보정 ","")&amp;IF(N(F617)&lt;=0,"원가보정 ","")&amp;IF(AND(B617&lt;&gt;"CN",N(H617)&lt;=0),"공급가보정 ","")&amp;IF(AND(B617="CN",N(I617)&lt;=0),"중국공급가=원가+마진 ",""))</f>
        <v/>
      </c>
      <c r="Q617" s="47" t="n">
        <f aca="false">IF(SUMIFS($W:$W,$A:$A,A617,$C:$C,C617)=0,0,SUMIFS(RAW_판매펀칭!$K:$K,RAW_판매펀칭!$P:$P,A617,RAW_판매펀칭!$I:$I,C617)*W617/SUMIFS($W:$W,$A:$A,A617,$C:$C,C617))</f>
        <v>45</v>
      </c>
      <c r="R617" s="47" t="n">
        <f aca="false">IF(OR(A617="500",A617="800",A617="810"),0,MAX(W617-Q617,0))</f>
        <v>0</v>
      </c>
      <c r="S617" s="47" t="n">
        <f aca="false">R617*L617</f>
        <v>0</v>
      </c>
      <c r="T617" s="47" t="n">
        <f aca="false">R617*J617</f>
        <v>0</v>
      </c>
      <c r="U617" s="47" t="n">
        <f aca="false">R617*K617</f>
        <v>0</v>
      </c>
      <c r="V617" s="0" t="str">
        <f aca="false">IF(COUNTIFS($A$2:A617,A617,$C$2:C617,C617,$D$2:D617,D617)&gt;1,"중복","")</f>
        <v/>
      </c>
      <c r="W617" s="0" t="n">
        <f aca="false">IF(V617="중복",0,N(D617))</f>
        <v>45</v>
      </c>
      <c r="X617" s="0" t="n">
        <f aca="false">IF(COUNTIFS($A$2:A617,A617,$C$2:C617,C617)=1,ABS(SUMIFS(RAW_발주!$D:$D,RAW_발주!$C:$C,A617,RAW_발주!$A:$A,C617)-SUMIFS($W:$W,$A:$A,A617,$C:$C,C617)),0)</f>
        <v>0</v>
      </c>
    </row>
    <row r="618" customFormat="false" ht="15" hidden="false" customHeight="true" outlineLevel="0" collapsed="false">
      <c r="A618" s="45" t="s">
        <v>1667</v>
      </c>
      <c r="B618" s="42" t="str">
        <f aca="false">IF(A618="100","HK",IF(A618="200","CN",IF(A618="300","TW","홀세일")))</f>
        <v>홀세일</v>
      </c>
      <c r="C618" s="45" t="s">
        <v>358</v>
      </c>
      <c r="D618" s="46" t="n">
        <v>122</v>
      </c>
      <c r="E618" s="46" t="n">
        <v>79000</v>
      </c>
      <c r="F618" s="46" t="n">
        <v>17604</v>
      </c>
      <c r="G618" s="42" t="n">
        <v>5.09</v>
      </c>
      <c r="H618" s="42" t="n">
        <v>19.8</v>
      </c>
      <c r="J618" s="46" t="n">
        <f aca="false">IF(N(E618)&gt;0,E618,IF(N(F618)&gt;0,F618*요약!$F$27,0))</f>
        <v>79000</v>
      </c>
      <c r="K618" s="46" t="n">
        <f aca="false">IF(N(F618)&gt;0,F618,IF(N(E618)&gt;0,E618/요약!$F$27,0))</f>
        <v>17604</v>
      </c>
      <c r="L618" s="46" t="n">
        <f aca="false">IF(B618="CN",IF(N(I618)&gt;0,I618*요약!$G$27,K618*(1+요약!$E$27)),IF(N(H618)&gt;0,H618*요약!$G$27,J618*요약!$D$27))</f>
        <v>26136</v>
      </c>
      <c r="M618" s="46" t="n">
        <f aca="false">D618*J618</f>
        <v>9638000</v>
      </c>
      <c r="N618" s="46" t="n">
        <f aca="false">D618*K618</f>
        <v>2147688</v>
      </c>
      <c r="O618" s="46" t="n">
        <f aca="false">D618*L618</f>
        <v>3188592</v>
      </c>
      <c r="P618" s="42" t="str">
        <f aca="false">TRIM(IF(N(E618)&lt;=0,"택가보정 ","")&amp;IF(N(F618)&lt;=0,"원가보정 ","")&amp;IF(AND(B618&lt;&gt;"CN",N(H618)&lt;=0),"공급가보정 ","")&amp;IF(AND(B618="CN",N(I618)&lt;=0),"중국공급가=원가+마진 ",""))</f>
        <v/>
      </c>
      <c r="Q618" s="47" t="n">
        <f aca="false">IF(SUMIFS($W:$W,$A:$A,A618,$C:$C,C618)=0,0,SUMIFS(RAW_판매펀칭!$K:$K,RAW_판매펀칭!$P:$P,A618,RAW_판매펀칭!$I:$I,C618)*W618/SUMIFS($W:$W,$A:$A,A618,$C:$C,C618))</f>
        <v>122</v>
      </c>
      <c r="R618" s="47" t="n">
        <f aca="false">IF(OR(A618="500",A618="800",A618="810"),0,MAX(W618-Q618,0))</f>
        <v>0</v>
      </c>
      <c r="S618" s="47" t="n">
        <f aca="false">R618*L618</f>
        <v>0</v>
      </c>
      <c r="T618" s="47" t="n">
        <f aca="false">R618*J618</f>
        <v>0</v>
      </c>
      <c r="U618" s="47" t="n">
        <f aca="false">R618*K618</f>
        <v>0</v>
      </c>
      <c r="V618" s="0" t="str">
        <f aca="false">IF(COUNTIFS($A$2:A618,A618,$C$2:C618,C618,$D$2:D618,D618)&gt;1,"중복","")</f>
        <v/>
      </c>
      <c r="W618" s="0" t="n">
        <f aca="false">IF(V618="중복",0,N(D618))</f>
        <v>122</v>
      </c>
      <c r="X618" s="0" t="n">
        <f aca="false">IF(COUNTIFS($A$2:A618,A618,$C$2:C618,C618)=1,ABS(SUMIFS(RAW_발주!$D:$D,RAW_발주!$C:$C,A618,RAW_발주!$A:$A,C618)-SUMIFS($W:$W,$A:$A,A618,$C:$C,C618)),0)</f>
        <v>0</v>
      </c>
    </row>
    <row r="619" customFormat="false" ht="15" hidden="false" customHeight="true" outlineLevel="0" collapsed="false">
      <c r="A619" s="45" t="s">
        <v>1659</v>
      </c>
      <c r="B619" s="42" t="str">
        <f aca="false">IF(A619="100","HK",IF(A619="200","CN",IF(A619="300","TW","홀세일")))</f>
        <v>HK</v>
      </c>
      <c r="C619" s="45" t="s">
        <v>860</v>
      </c>
      <c r="D619" s="46" t="n">
        <v>300</v>
      </c>
      <c r="E619" s="46" t="n">
        <v>89000</v>
      </c>
      <c r="F619" s="46" t="n">
        <v>19719</v>
      </c>
      <c r="G619" s="42" t="n">
        <v>3.99</v>
      </c>
      <c r="H619" s="42" t="n">
        <v>22.3</v>
      </c>
      <c r="J619" s="46" t="n">
        <f aca="false">IF(N(E619)&gt;0,E619,IF(N(F619)&gt;0,F619*요약!$F$27,0))</f>
        <v>89000</v>
      </c>
      <c r="K619" s="46" t="n">
        <f aca="false">IF(N(F619)&gt;0,F619,IF(N(E619)&gt;0,E619/요약!$F$27,0))</f>
        <v>19719</v>
      </c>
      <c r="L619" s="46" t="n">
        <f aca="false">IF(B619="CN",IF(N(I619)&gt;0,I619*요약!$G$27,K619*(1+요약!$E$27)),IF(N(H619)&gt;0,H619*요약!$G$27,J619*요약!$D$27))</f>
        <v>29436</v>
      </c>
      <c r="M619" s="46" t="n">
        <f aca="false">D619*J619</f>
        <v>26700000</v>
      </c>
      <c r="N619" s="46" t="n">
        <f aca="false">D619*K619</f>
        <v>5915700</v>
      </c>
      <c r="O619" s="46" t="n">
        <f aca="false">D619*L619</f>
        <v>8830800</v>
      </c>
      <c r="P619" s="42" t="str">
        <f aca="false">TRIM(IF(N(E619)&lt;=0,"택가보정 ","")&amp;IF(N(F619)&lt;=0,"원가보정 ","")&amp;IF(AND(B619&lt;&gt;"CN",N(H619)&lt;=0),"공급가보정 ","")&amp;IF(AND(B619="CN",N(I619)&lt;=0),"중국공급가=원가+마진 ",""))</f>
        <v/>
      </c>
      <c r="Q619" s="47" t="n">
        <f aca="false">IF(SUMIFS($W:$W,$A:$A,A619,$C:$C,C619)=0,0,SUMIFS(RAW_판매펀칭!$K:$K,RAW_판매펀칭!$P:$P,A619,RAW_판매펀칭!$I:$I,C619)*W619/SUMIFS($W:$W,$A:$A,A619,$C:$C,C619))</f>
        <v>300</v>
      </c>
      <c r="R619" s="47" t="n">
        <f aca="false">IF(OR(A619="500",A619="800",A619="810"),0,MAX(W619-Q619,0))</f>
        <v>0</v>
      </c>
      <c r="S619" s="47" t="n">
        <f aca="false">R619*L619</f>
        <v>0</v>
      </c>
      <c r="T619" s="47" t="n">
        <f aca="false">R619*J619</f>
        <v>0</v>
      </c>
      <c r="U619" s="47" t="n">
        <f aca="false">R619*K619</f>
        <v>0</v>
      </c>
      <c r="V619" s="0" t="str">
        <f aca="false">IF(COUNTIFS($A$2:A619,A619,$C$2:C619,C619,$D$2:D619,D619)&gt;1,"중복","")</f>
        <v/>
      </c>
      <c r="W619" s="0" t="n">
        <f aca="false">IF(V619="중복",0,N(D619))</f>
        <v>300</v>
      </c>
      <c r="X619" s="0" t="n">
        <f aca="false">IF(COUNTIFS($A$2:A619,A619,$C$2:C619,C619)=1,ABS(SUMIFS(RAW_발주!$D:$D,RAW_발주!$C:$C,A619,RAW_발주!$A:$A,C619)-SUMIFS($W:$W,$A:$A,A619,$C:$C,C619)),0)</f>
        <v>0</v>
      </c>
    </row>
    <row r="620" customFormat="false" ht="15.75" hidden="false" customHeight="true" outlineLevel="0" collapsed="false">
      <c r="A620" s="45" t="s">
        <v>1660</v>
      </c>
      <c r="B620" s="42" t="str">
        <f aca="false">IF(A620="100","HK",IF(A620="200","CN",IF(A620="300","TW","홀세일")))</f>
        <v>CN</v>
      </c>
      <c r="C620" s="45" t="s">
        <v>860</v>
      </c>
      <c r="D620" s="46" t="n">
        <v>227</v>
      </c>
      <c r="E620" s="46" t="n">
        <v>89000</v>
      </c>
      <c r="F620" s="46" t="n">
        <v>19719</v>
      </c>
      <c r="G620" s="42" t="n">
        <v>3.99</v>
      </c>
      <c r="H620" s="42" t="n">
        <v>22.3</v>
      </c>
      <c r="J620" s="46" t="n">
        <f aca="false">IF(N(E620)&gt;0,E620,IF(N(F620)&gt;0,F620*요약!$F$27,0))</f>
        <v>89000</v>
      </c>
      <c r="K620" s="46" t="n">
        <f aca="false">IF(N(F620)&gt;0,F620,IF(N(E620)&gt;0,E620/요약!$F$27,0))</f>
        <v>19719</v>
      </c>
      <c r="L620" s="46" t="n">
        <f aca="false">IF(B620="CN",IF(N(I620)&gt;0,I620*요약!$G$27,K620*(1+요약!$E$27)),IF(N(H620)&gt;0,H620*요약!$G$27,J620*요약!$D$27))</f>
        <v>20704.95</v>
      </c>
      <c r="M620" s="46" t="n">
        <f aca="false">D620*J620</f>
        <v>20203000</v>
      </c>
      <c r="N620" s="46" t="n">
        <f aca="false">D620*K620</f>
        <v>4476213</v>
      </c>
      <c r="O620" s="46" t="n">
        <f aca="false">D620*L620</f>
        <v>4700023.65</v>
      </c>
      <c r="P620" s="42" t="str">
        <f aca="false">TRIM(IF(N(E620)&lt;=0,"택가보정 ","")&amp;IF(N(F620)&lt;=0,"원가보정 ","")&amp;IF(AND(B620&lt;&gt;"CN",N(H620)&lt;=0),"공급가보정 ","")&amp;IF(AND(B620="CN",N(I620)&lt;=0),"중국공급가=원가+마진 ",""))</f>
        <v>중국공급가=원가+마진</v>
      </c>
      <c r="Q620" s="47" t="n">
        <f aca="false">IF(SUMIFS($W:$W,$A:$A,A620,$C:$C,C620)=0,0,SUMIFS(RAW_판매펀칭!$K:$K,RAW_판매펀칭!$P:$P,A620,RAW_판매펀칭!$I:$I,C620)*W620/SUMIFS($W:$W,$A:$A,A620,$C:$C,C620))</f>
        <v>227</v>
      </c>
      <c r="R620" s="47" t="n">
        <f aca="false">IF(OR(A620="500",A620="800",A620="810"),0,MAX(W620-Q620,0))</f>
        <v>0</v>
      </c>
      <c r="S620" s="47" t="n">
        <f aca="false">R620*L620</f>
        <v>0</v>
      </c>
      <c r="T620" s="47" t="n">
        <f aca="false">R620*J620</f>
        <v>0</v>
      </c>
      <c r="U620" s="47" t="n">
        <f aca="false">R620*K620</f>
        <v>0</v>
      </c>
      <c r="V620" s="0" t="str">
        <f aca="false">IF(COUNTIFS($A$2:A620,A620,$C$2:C620,C620,$D$2:D620,D620)&gt;1,"중복","")</f>
        <v/>
      </c>
      <c r="W620" s="0" t="n">
        <f aca="false">IF(V620="중복",0,N(D620))</f>
        <v>227</v>
      </c>
      <c r="X620" s="0" t="n">
        <f aca="false">IF(COUNTIFS($A$2:A620,A620,$C$2:C620,C620)=1,ABS(SUMIFS(RAW_발주!$D:$D,RAW_발주!$C:$C,A620,RAW_발주!$A:$A,C620)-SUMIFS($W:$W,$A:$A,A620,$C:$C,C620)),0)</f>
        <v>0</v>
      </c>
    </row>
    <row r="621" customFormat="false" ht="15" hidden="false" customHeight="true" outlineLevel="0" collapsed="false">
      <c r="A621" s="45" t="s">
        <v>1659</v>
      </c>
      <c r="B621" s="42" t="str">
        <f aca="false">IF(A621="100","HK",IF(A621="200","CN",IF(A621="300","TW","홀세일")))</f>
        <v>HK</v>
      </c>
      <c r="C621" s="45" t="s">
        <v>862</v>
      </c>
      <c r="D621" s="46" t="n">
        <v>350</v>
      </c>
      <c r="E621" s="46" t="n">
        <v>59000</v>
      </c>
      <c r="F621" s="46" t="n">
        <v>13600</v>
      </c>
      <c r="G621" s="42" t="n">
        <v>4.26</v>
      </c>
      <c r="H621" s="42" t="n">
        <v>14.8</v>
      </c>
      <c r="J621" s="46" t="n">
        <f aca="false">IF(N(E621)&gt;0,E621,IF(N(F621)&gt;0,F621*요약!$F$27,0))</f>
        <v>59000</v>
      </c>
      <c r="K621" s="46" t="n">
        <f aca="false">IF(N(F621)&gt;0,F621,IF(N(E621)&gt;0,E621/요약!$F$27,0))</f>
        <v>13600</v>
      </c>
      <c r="L621" s="46" t="n">
        <f aca="false">IF(B621="CN",IF(N(I621)&gt;0,I621*요약!$G$27,K621*(1+요약!$E$27)),IF(N(H621)&gt;0,H621*요약!$G$27,J621*요약!$D$27))</f>
        <v>19536</v>
      </c>
      <c r="M621" s="46" t="n">
        <f aca="false">D621*J621</f>
        <v>20650000</v>
      </c>
      <c r="N621" s="46" t="n">
        <f aca="false">D621*K621</f>
        <v>4760000</v>
      </c>
      <c r="O621" s="46" t="n">
        <f aca="false">D621*L621</f>
        <v>6837600</v>
      </c>
      <c r="P621" s="42" t="str">
        <f aca="false">TRIM(IF(N(E621)&lt;=0,"택가보정 ","")&amp;IF(N(F621)&lt;=0,"원가보정 ","")&amp;IF(AND(B621&lt;&gt;"CN",N(H621)&lt;=0),"공급가보정 ","")&amp;IF(AND(B621="CN",N(I621)&lt;=0),"중국공급가=원가+마진 ",""))</f>
        <v/>
      </c>
      <c r="Q621" s="47" t="n">
        <f aca="false">IF(SUMIFS($W:$W,$A:$A,A621,$C:$C,C621)=0,0,SUMIFS(RAW_판매펀칭!$K:$K,RAW_판매펀칭!$P:$P,A621,RAW_판매펀칭!$I:$I,C621)*W621/SUMIFS($W:$W,$A:$A,A621,$C:$C,C621))</f>
        <v>350</v>
      </c>
      <c r="R621" s="47" t="n">
        <f aca="false">IF(OR(A621="500",A621="800",A621="810"),0,MAX(W621-Q621,0))</f>
        <v>0</v>
      </c>
      <c r="S621" s="47" t="n">
        <f aca="false">R621*L621</f>
        <v>0</v>
      </c>
      <c r="T621" s="47" t="n">
        <f aca="false">R621*J621</f>
        <v>0</v>
      </c>
      <c r="U621" s="47" t="n">
        <f aca="false">R621*K621</f>
        <v>0</v>
      </c>
      <c r="V621" s="0" t="str">
        <f aca="false">IF(COUNTIFS($A$2:A621,A621,$C$2:C621,C621,$D$2:D621,D621)&gt;1,"중복","")</f>
        <v/>
      </c>
      <c r="W621" s="0" t="n">
        <f aca="false">IF(V621="중복",0,N(D621))</f>
        <v>350</v>
      </c>
      <c r="X621" s="0" t="n">
        <f aca="false">IF(COUNTIFS($A$2:A621,A621,$C$2:C621,C621)=1,ABS(SUMIFS(RAW_발주!$D:$D,RAW_발주!$C:$C,A621,RAW_발주!$A:$A,C621)-SUMIFS($W:$W,$A:$A,A621,$C:$C,C621)),0)</f>
        <v>0</v>
      </c>
    </row>
    <row r="622" customFormat="false" ht="15" hidden="false" customHeight="true" outlineLevel="0" collapsed="false">
      <c r="A622" s="45" t="s">
        <v>1659</v>
      </c>
      <c r="B622" s="42" t="str">
        <f aca="false">IF(A622="100","HK",IF(A622="200","CN",IF(A622="300","TW","홀세일")))</f>
        <v>HK</v>
      </c>
      <c r="C622" s="45" t="s">
        <v>361</v>
      </c>
      <c r="D622" s="46" t="n">
        <v>160</v>
      </c>
      <c r="E622" s="46" t="n">
        <v>109000</v>
      </c>
      <c r="F622" s="46" t="n">
        <v>28300</v>
      </c>
      <c r="G622" s="42" t="n">
        <v>3.41</v>
      </c>
      <c r="H622" s="42" t="n">
        <v>31.5</v>
      </c>
      <c r="J622" s="46" t="n">
        <f aca="false">IF(N(E622)&gt;0,E622,IF(N(F622)&gt;0,F622*요약!$F$27,0))</f>
        <v>109000</v>
      </c>
      <c r="K622" s="46" t="n">
        <f aca="false">IF(N(F622)&gt;0,F622,IF(N(E622)&gt;0,E622/요약!$F$27,0))</f>
        <v>28300</v>
      </c>
      <c r="L622" s="46" t="n">
        <f aca="false">IF(B622="CN",IF(N(I622)&gt;0,I622*요약!$G$27,K622*(1+요약!$E$27)),IF(N(H622)&gt;0,H622*요약!$G$27,J622*요약!$D$27))</f>
        <v>41580</v>
      </c>
      <c r="M622" s="46" t="n">
        <f aca="false">D622*J622</f>
        <v>17440000</v>
      </c>
      <c r="N622" s="46" t="n">
        <f aca="false">D622*K622</f>
        <v>4528000</v>
      </c>
      <c r="O622" s="46" t="n">
        <f aca="false">D622*L622</f>
        <v>6652800</v>
      </c>
      <c r="P622" s="42" t="str">
        <f aca="false">TRIM(IF(N(E622)&lt;=0,"택가보정 ","")&amp;IF(N(F622)&lt;=0,"원가보정 ","")&amp;IF(AND(B622&lt;&gt;"CN",N(H622)&lt;=0),"공급가보정 ","")&amp;IF(AND(B622="CN",N(I622)&lt;=0),"중국공급가=원가+마진 ",""))</f>
        <v/>
      </c>
      <c r="Q622" s="47" t="n">
        <f aca="false">IF(SUMIFS($W:$W,$A:$A,A622,$C:$C,C622)=0,0,SUMIFS(RAW_판매펀칭!$K:$K,RAW_판매펀칭!$P:$P,A622,RAW_판매펀칭!$I:$I,C622)*W622/SUMIFS($W:$W,$A:$A,A622,$C:$C,C622))</f>
        <v>160</v>
      </c>
      <c r="R622" s="47" t="n">
        <f aca="false">IF(OR(A622="500",A622="800",A622="810"),0,MAX(W622-Q622,0))</f>
        <v>0</v>
      </c>
      <c r="S622" s="47" t="n">
        <f aca="false">R622*L622</f>
        <v>0</v>
      </c>
      <c r="T622" s="47" t="n">
        <f aca="false">R622*J622</f>
        <v>0</v>
      </c>
      <c r="U622" s="47" t="n">
        <f aca="false">R622*K622</f>
        <v>0</v>
      </c>
      <c r="V622" s="0" t="str">
        <f aca="false">IF(COUNTIFS($A$2:A622,A622,$C$2:C622,C622,$D$2:D622,D622)&gt;1,"중복","")</f>
        <v/>
      </c>
      <c r="W622" s="0" t="n">
        <f aca="false">IF(V622="중복",0,N(D622))</f>
        <v>160</v>
      </c>
      <c r="X622" s="0" t="n">
        <f aca="false">IF(COUNTIFS($A$2:A622,A622,$C$2:C622,C622)=1,ABS(SUMIFS(RAW_발주!$D:$D,RAW_발주!$C:$C,A622,RAW_발주!$A:$A,C622)-SUMIFS($W:$W,$A:$A,A622,$C:$C,C622)),0)</f>
        <v>0</v>
      </c>
    </row>
    <row r="623" customFormat="false" ht="15.75" hidden="false" customHeight="true" outlineLevel="0" collapsed="false">
      <c r="A623" s="45" t="s">
        <v>1660</v>
      </c>
      <c r="B623" s="42" t="str">
        <f aca="false">IF(A623="100","HK",IF(A623="200","CN",IF(A623="300","TW","홀세일")))</f>
        <v>CN</v>
      </c>
      <c r="C623" s="45" t="s">
        <v>361</v>
      </c>
      <c r="D623" s="46" t="n">
        <v>212</v>
      </c>
      <c r="E623" s="46" t="n">
        <v>109000</v>
      </c>
      <c r="F623" s="46" t="n">
        <v>28300</v>
      </c>
      <c r="G623" s="42" t="n">
        <v>3.41</v>
      </c>
      <c r="H623" s="42" t="n">
        <v>31.5</v>
      </c>
      <c r="J623" s="46" t="n">
        <f aca="false">IF(N(E623)&gt;0,E623,IF(N(F623)&gt;0,F623*요약!$F$27,0))</f>
        <v>109000</v>
      </c>
      <c r="K623" s="46" t="n">
        <f aca="false">IF(N(F623)&gt;0,F623,IF(N(E623)&gt;0,E623/요약!$F$27,0))</f>
        <v>28300</v>
      </c>
      <c r="L623" s="46" t="n">
        <f aca="false">IF(B623="CN",IF(N(I623)&gt;0,I623*요약!$G$27,K623*(1+요약!$E$27)),IF(N(H623)&gt;0,H623*요약!$G$27,J623*요약!$D$27))</f>
        <v>29715</v>
      </c>
      <c r="M623" s="46" t="n">
        <f aca="false">D623*J623</f>
        <v>23108000</v>
      </c>
      <c r="N623" s="46" t="n">
        <f aca="false">D623*K623</f>
        <v>5999600</v>
      </c>
      <c r="O623" s="46" t="n">
        <f aca="false">D623*L623</f>
        <v>6299580</v>
      </c>
      <c r="P623" s="42" t="str">
        <f aca="false">TRIM(IF(N(E623)&lt;=0,"택가보정 ","")&amp;IF(N(F623)&lt;=0,"원가보정 ","")&amp;IF(AND(B623&lt;&gt;"CN",N(H623)&lt;=0),"공급가보정 ","")&amp;IF(AND(B623="CN",N(I623)&lt;=0),"중국공급가=원가+마진 ",""))</f>
        <v>중국공급가=원가+마진</v>
      </c>
      <c r="Q623" s="47" t="n">
        <f aca="false">IF(SUMIFS($W:$W,$A:$A,A623,$C:$C,C623)=0,0,SUMIFS(RAW_판매펀칭!$K:$K,RAW_판매펀칭!$P:$P,A623,RAW_판매펀칭!$I:$I,C623)*W623/SUMIFS($W:$W,$A:$A,A623,$C:$C,C623))</f>
        <v>210</v>
      </c>
      <c r="R623" s="47" t="n">
        <f aca="false">IF(OR(A623="500",A623="800",A623="810"),0,MAX(W623-Q623,0))</f>
        <v>2</v>
      </c>
      <c r="S623" s="47" t="n">
        <f aca="false">R623*L623</f>
        <v>59430</v>
      </c>
      <c r="T623" s="47" t="n">
        <f aca="false">R623*J623</f>
        <v>218000</v>
      </c>
      <c r="U623" s="47" t="n">
        <f aca="false">R623*K623</f>
        <v>56600</v>
      </c>
      <c r="V623" s="0" t="str">
        <f aca="false">IF(COUNTIFS($A$2:A623,A623,$C$2:C623,C623,$D$2:D623,D623)&gt;1,"중복","")</f>
        <v/>
      </c>
      <c r="W623" s="0" t="n">
        <f aca="false">IF(V623="중복",0,N(D623))</f>
        <v>212</v>
      </c>
      <c r="X623" s="0" t="n">
        <f aca="false">IF(COUNTIFS($A$2:A623,A623,$C$2:C623,C623)=1,ABS(SUMIFS(RAW_발주!$D:$D,RAW_발주!$C:$C,A623,RAW_발주!$A:$A,C623)-SUMIFS($W:$W,$A:$A,A623,$C:$C,C623)),0)</f>
        <v>0</v>
      </c>
    </row>
    <row r="624" customFormat="false" ht="15" hidden="false" customHeight="true" outlineLevel="0" collapsed="false">
      <c r="A624" s="45" t="s">
        <v>1661</v>
      </c>
      <c r="B624" s="42" t="str">
        <f aca="false">IF(A624="100","HK",IF(A624="200","CN",IF(A624="300","TW","홀세일")))</f>
        <v>TW</v>
      </c>
      <c r="C624" s="45" t="s">
        <v>361</v>
      </c>
      <c r="D624" s="46" t="n">
        <v>220</v>
      </c>
      <c r="E624" s="46" t="n">
        <v>109000</v>
      </c>
      <c r="F624" s="46" t="n">
        <v>28300</v>
      </c>
      <c r="G624" s="42" t="n">
        <v>3.41</v>
      </c>
      <c r="H624" s="42" t="n">
        <v>31.5</v>
      </c>
      <c r="J624" s="46" t="n">
        <f aca="false">IF(N(E624)&gt;0,E624,IF(N(F624)&gt;0,F624*요약!$F$27,0))</f>
        <v>109000</v>
      </c>
      <c r="K624" s="46" t="n">
        <f aca="false">IF(N(F624)&gt;0,F624,IF(N(E624)&gt;0,E624/요약!$F$27,0))</f>
        <v>28300</v>
      </c>
      <c r="L624" s="46" t="n">
        <f aca="false">IF(B624="CN",IF(N(I624)&gt;0,I624*요약!$G$27,K624*(1+요약!$E$27)),IF(N(H624)&gt;0,H624*요약!$G$27,J624*요약!$D$27))</f>
        <v>41580</v>
      </c>
      <c r="M624" s="46" t="n">
        <f aca="false">D624*J624</f>
        <v>23980000</v>
      </c>
      <c r="N624" s="46" t="n">
        <f aca="false">D624*K624</f>
        <v>6226000</v>
      </c>
      <c r="O624" s="46" t="n">
        <f aca="false">D624*L624</f>
        <v>9147600</v>
      </c>
      <c r="P624" s="42" t="str">
        <f aca="false">TRIM(IF(N(E624)&lt;=0,"택가보정 ","")&amp;IF(N(F624)&lt;=0,"원가보정 ","")&amp;IF(AND(B624&lt;&gt;"CN",N(H624)&lt;=0),"공급가보정 ","")&amp;IF(AND(B624="CN",N(I624)&lt;=0),"중국공급가=원가+마진 ",""))</f>
        <v/>
      </c>
      <c r="Q624" s="47" t="n">
        <f aca="false">IF(SUMIFS($W:$W,$A:$A,A624,$C:$C,C624)=0,0,SUMIFS(RAW_판매펀칭!$K:$K,RAW_판매펀칭!$P:$P,A624,RAW_판매펀칭!$I:$I,C624)*W624/SUMIFS($W:$W,$A:$A,A624,$C:$C,C624))</f>
        <v>220</v>
      </c>
      <c r="R624" s="47" t="n">
        <f aca="false">IF(OR(A624="500",A624="800",A624="810"),0,MAX(W624-Q624,0))</f>
        <v>0</v>
      </c>
      <c r="S624" s="47" t="n">
        <f aca="false">R624*L624</f>
        <v>0</v>
      </c>
      <c r="T624" s="47" t="n">
        <f aca="false">R624*J624</f>
        <v>0</v>
      </c>
      <c r="U624" s="47" t="n">
        <f aca="false">R624*K624</f>
        <v>0</v>
      </c>
      <c r="V624" s="0" t="str">
        <f aca="false">IF(COUNTIFS($A$2:A624,A624,$C$2:C624,C624,$D$2:D624,D624)&gt;1,"중복","")</f>
        <v/>
      </c>
      <c r="W624" s="0" t="n">
        <f aca="false">IF(V624="중복",0,N(D624))</f>
        <v>220</v>
      </c>
      <c r="X624" s="0" t="n">
        <f aca="false">IF(COUNTIFS($A$2:A624,A624,$C$2:C624,C624)=1,ABS(SUMIFS(RAW_발주!$D:$D,RAW_발주!$C:$C,A624,RAW_발주!$A:$A,C624)-SUMIFS($W:$W,$A:$A,A624,$C:$C,C624)),0)</f>
        <v>0</v>
      </c>
    </row>
    <row r="625" customFormat="false" ht="15" hidden="false" customHeight="true" outlineLevel="0" collapsed="false">
      <c r="A625" s="45" t="s">
        <v>1662</v>
      </c>
      <c r="B625" s="42" t="str">
        <f aca="false">IF(A625="100","HK",IF(A625="200","CN",IF(A625="300","TW","홀세일")))</f>
        <v>홀세일</v>
      </c>
      <c r="C625" s="45" t="s">
        <v>361</v>
      </c>
      <c r="D625" s="46" t="n">
        <v>30</v>
      </c>
      <c r="E625" s="46" t="n">
        <v>109000</v>
      </c>
      <c r="F625" s="46" t="n">
        <v>28300</v>
      </c>
      <c r="G625" s="42" t="n">
        <v>3.41</v>
      </c>
      <c r="H625" s="42" t="n">
        <v>31.5</v>
      </c>
      <c r="J625" s="46" t="n">
        <f aca="false">IF(N(E625)&gt;0,E625,IF(N(F625)&gt;0,F625*요약!$F$27,0))</f>
        <v>109000</v>
      </c>
      <c r="K625" s="46" t="n">
        <f aca="false">IF(N(F625)&gt;0,F625,IF(N(E625)&gt;0,E625/요약!$F$27,0))</f>
        <v>28300</v>
      </c>
      <c r="L625" s="46" t="n">
        <f aca="false">IF(B625="CN",IF(N(I625)&gt;0,I625*요약!$G$27,K625*(1+요약!$E$27)),IF(N(H625)&gt;0,H625*요약!$G$27,J625*요약!$D$27))</f>
        <v>41580</v>
      </c>
      <c r="M625" s="46" t="n">
        <f aca="false">D625*J625</f>
        <v>3270000</v>
      </c>
      <c r="N625" s="46" t="n">
        <f aca="false">D625*K625</f>
        <v>849000</v>
      </c>
      <c r="O625" s="46" t="n">
        <f aca="false">D625*L625</f>
        <v>1247400</v>
      </c>
      <c r="P625" s="42" t="str">
        <f aca="false">TRIM(IF(N(E625)&lt;=0,"택가보정 ","")&amp;IF(N(F625)&lt;=0,"원가보정 ","")&amp;IF(AND(B625&lt;&gt;"CN",N(H625)&lt;=0),"공급가보정 ","")&amp;IF(AND(B625="CN",N(I625)&lt;=0),"중국공급가=원가+마진 ",""))</f>
        <v/>
      </c>
      <c r="Q625" s="47" t="n">
        <f aca="false">IF(SUMIFS($W:$W,$A:$A,A625,$C:$C,C625)=0,0,SUMIFS(RAW_판매펀칭!$K:$K,RAW_판매펀칭!$P:$P,A625,RAW_판매펀칭!$I:$I,C625)*W625/SUMIFS($W:$W,$A:$A,A625,$C:$C,C625))</f>
        <v>0</v>
      </c>
      <c r="R625" s="47" t="n">
        <f aca="false">IF(OR(A625="500",A625="800",A625="810"),0,MAX(W625-Q625,0))</f>
        <v>0</v>
      </c>
      <c r="S625" s="47" t="n">
        <f aca="false">R625*L625</f>
        <v>0</v>
      </c>
      <c r="T625" s="47" t="n">
        <f aca="false">R625*J625</f>
        <v>0</v>
      </c>
      <c r="U625" s="47" t="n">
        <f aca="false">R625*K625</f>
        <v>0</v>
      </c>
      <c r="V625" s="0" t="str">
        <f aca="false">IF(COUNTIFS($A$2:A625,A625,$C$2:C625,C625,$D$2:D625,D625)&gt;1,"중복","")</f>
        <v/>
      </c>
      <c r="W625" s="0" t="n">
        <f aca="false">IF(V625="중복",0,N(D625))</f>
        <v>30</v>
      </c>
      <c r="X625" s="0" t="n">
        <f aca="false">IF(COUNTIFS($A$2:A625,A625,$C$2:C625,C625)=1,ABS(SUMIFS(RAW_발주!$D:$D,RAW_발주!$C:$C,A625,RAW_발주!$A:$A,C625)-SUMIFS($W:$W,$A:$A,A625,$C:$C,C625)),0)</f>
        <v>0</v>
      </c>
    </row>
    <row r="626" customFormat="false" ht="15" hidden="false" customHeight="true" outlineLevel="0" collapsed="false">
      <c r="A626" s="45" t="s">
        <v>1659</v>
      </c>
      <c r="B626" s="42" t="str">
        <f aca="false">IF(A626="100","HK",IF(A626="200","CN",IF(A626="300","TW","홀세일")))</f>
        <v>HK</v>
      </c>
      <c r="C626" s="45" t="s">
        <v>364</v>
      </c>
      <c r="D626" s="46" t="n">
        <v>140</v>
      </c>
      <c r="E626" s="46" t="n">
        <v>39000</v>
      </c>
      <c r="F626" s="46" t="n">
        <v>7600</v>
      </c>
      <c r="G626" s="42" t="n">
        <v>4.22</v>
      </c>
      <c r="H626" s="42" t="n">
        <v>9.8</v>
      </c>
      <c r="I626" s="42" t="n">
        <v>0</v>
      </c>
      <c r="J626" s="46" t="n">
        <f aca="false">IF(N(E626)&gt;0,E626,IF(N(F626)&gt;0,F626*요약!$F$27,0))</f>
        <v>39000</v>
      </c>
      <c r="K626" s="46" t="n">
        <f aca="false">IF(N(F626)&gt;0,F626,IF(N(E626)&gt;0,E626/요약!$F$27,0))</f>
        <v>7600</v>
      </c>
      <c r="L626" s="46" t="n">
        <f aca="false">IF(B626="CN",IF(N(I626)&gt;0,I626*요약!$G$27,K626*(1+요약!$E$27)),IF(N(H626)&gt;0,H626*요약!$G$27,J626*요약!$D$27))</f>
        <v>12936</v>
      </c>
      <c r="M626" s="46" t="n">
        <f aca="false">D626*J626</f>
        <v>5460000</v>
      </c>
      <c r="N626" s="46" t="n">
        <f aca="false">D626*K626</f>
        <v>1064000</v>
      </c>
      <c r="O626" s="46" t="n">
        <f aca="false">D626*L626</f>
        <v>1811040</v>
      </c>
      <c r="P626" s="42" t="str">
        <f aca="false">TRIM(IF(N(E626)&lt;=0,"택가보정 ","")&amp;IF(N(F626)&lt;=0,"원가보정 ","")&amp;IF(AND(B626&lt;&gt;"CN",N(H626)&lt;=0),"공급가보정 ","")&amp;IF(AND(B626="CN",N(I626)&lt;=0),"중국공급가=원가+마진 ",""))</f>
        <v/>
      </c>
      <c r="Q626" s="47" t="n">
        <f aca="false">IF(SUMIFS($W:$W,$A:$A,A626,$C:$C,C626)=0,0,SUMIFS(RAW_판매펀칭!$K:$K,RAW_판매펀칭!$P:$P,A626,RAW_판매펀칭!$I:$I,C626)*W626/SUMIFS($W:$W,$A:$A,A626,$C:$C,C626))</f>
        <v>0</v>
      </c>
      <c r="R626" s="47" t="n">
        <f aca="false">IF(OR(A626="500",A626="800",A626="810"),0,MAX(W626-Q626,0))</f>
        <v>140</v>
      </c>
      <c r="S626" s="47" t="n">
        <f aca="false">R626*L626</f>
        <v>1811040</v>
      </c>
      <c r="T626" s="47" t="n">
        <f aca="false">R626*J626</f>
        <v>5460000</v>
      </c>
      <c r="U626" s="47" t="n">
        <f aca="false">R626*K626</f>
        <v>1064000</v>
      </c>
      <c r="V626" s="0" t="str">
        <f aca="false">IF(COUNTIFS($A$2:A626,A626,$C$2:C626,C626,$D$2:D626,D626)&gt;1,"중복","")</f>
        <v/>
      </c>
      <c r="W626" s="0" t="n">
        <f aca="false">IF(V626="중복",0,N(D626))</f>
        <v>140</v>
      </c>
      <c r="X626" s="0" t="n">
        <f aca="false">IF(COUNTIFS($A$2:A626,A626,$C$2:C626,C626)=1,ABS(SUMIFS(RAW_발주!$D:$D,RAW_발주!$C:$C,A626,RAW_발주!$A:$A,C626)-SUMIFS($W:$W,$A:$A,A626,$C:$C,C626)),0)</f>
        <v>0</v>
      </c>
    </row>
    <row r="627" customFormat="false" ht="15" hidden="false" customHeight="true" outlineLevel="0" collapsed="false">
      <c r="A627" s="45" t="s">
        <v>1661</v>
      </c>
      <c r="B627" s="42" t="str">
        <f aca="false">IF(A627="100","HK",IF(A627="200","CN",IF(A627="300","TW","홀세일")))</f>
        <v>TW</v>
      </c>
      <c r="C627" s="45" t="s">
        <v>364</v>
      </c>
      <c r="D627" s="46" t="n">
        <v>300</v>
      </c>
      <c r="E627" s="46" t="n">
        <v>39000</v>
      </c>
      <c r="F627" s="46" t="n">
        <v>7600</v>
      </c>
      <c r="G627" s="42" t="n">
        <v>4.22</v>
      </c>
      <c r="H627" s="42" t="n">
        <v>9.8</v>
      </c>
      <c r="I627" s="42" t="n">
        <v>0</v>
      </c>
      <c r="J627" s="46" t="n">
        <f aca="false">IF(N(E627)&gt;0,E627,IF(N(F627)&gt;0,F627*요약!$F$27,0))</f>
        <v>39000</v>
      </c>
      <c r="K627" s="46" t="n">
        <f aca="false">IF(N(F627)&gt;0,F627,IF(N(E627)&gt;0,E627/요약!$F$27,0))</f>
        <v>7600</v>
      </c>
      <c r="L627" s="46" t="n">
        <f aca="false">IF(B627="CN",IF(N(I627)&gt;0,I627*요약!$G$27,K627*(1+요약!$E$27)),IF(N(H627)&gt;0,H627*요약!$G$27,J627*요약!$D$27))</f>
        <v>12936</v>
      </c>
      <c r="M627" s="46" t="n">
        <f aca="false">D627*J627</f>
        <v>11700000</v>
      </c>
      <c r="N627" s="46" t="n">
        <f aca="false">D627*K627</f>
        <v>2280000</v>
      </c>
      <c r="O627" s="46" t="n">
        <f aca="false">D627*L627</f>
        <v>3880800</v>
      </c>
      <c r="P627" s="42" t="str">
        <f aca="false">TRIM(IF(N(E627)&lt;=0,"택가보정 ","")&amp;IF(N(F627)&lt;=0,"원가보정 ","")&amp;IF(AND(B627&lt;&gt;"CN",N(H627)&lt;=0),"공급가보정 ","")&amp;IF(AND(B627="CN",N(I627)&lt;=0),"중국공급가=원가+마진 ",""))</f>
        <v/>
      </c>
      <c r="Q627" s="47" t="n">
        <f aca="false">IF(SUMIFS($W:$W,$A:$A,A627,$C:$C,C627)=0,0,SUMIFS(RAW_판매펀칭!$K:$K,RAW_판매펀칭!$P:$P,A627,RAW_판매펀칭!$I:$I,C627)*W627/SUMIFS($W:$W,$A:$A,A627,$C:$C,C627))</f>
        <v>300</v>
      </c>
      <c r="R627" s="47" t="n">
        <f aca="false">IF(OR(A627="500",A627="800",A627="810"),0,MAX(W627-Q627,0))</f>
        <v>0</v>
      </c>
      <c r="S627" s="47" t="n">
        <f aca="false">R627*L627</f>
        <v>0</v>
      </c>
      <c r="T627" s="47" t="n">
        <f aca="false">R627*J627</f>
        <v>0</v>
      </c>
      <c r="U627" s="47" t="n">
        <f aca="false">R627*K627</f>
        <v>0</v>
      </c>
      <c r="V627" s="0" t="str">
        <f aca="false">IF(COUNTIFS($A$2:A627,A627,$C$2:C627,C627,$D$2:D627,D627)&gt;1,"중복","")</f>
        <v/>
      </c>
      <c r="W627" s="0" t="n">
        <f aca="false">IF(V627="중복",0,N(D627))</f>
        <v>300</v>
      </c>
      <c r="X627" s="0" t="n">
        <f aca="false">IF(COUNTIFS($A$2:A627,A627,$C$2:C627,C627)=1,ABS(SUMIFS(RAW_발주!$D:$D,RAW_발주!$C:$C,A627,RAW_발주!$A:$A,C627)-SUMIFS($W:$W,$A:$A,A627,$C:$C,C627)),0)</f>
        <v>0</v>
      </c>
    </row>
    <row r="628" customFormat="false" ht="15" hidden="false" customHeight="true" outlineLevel="0" collapsed="false">
      <c r="A628" s="45" t="s">
        <v>1663</v>
      </c>
      <c r="B628" s="42" t="str">
        <f aca="false">IF(A628="100","HK",IF(A628="200","CN",IF(A628="300","TW","홀세일")))</f>
        <v>홀세일</v>
      </c>
      <c r="C628" s="45" t="s">
        <v>364</v>
      </c>
      <c r="D628" s="46" t="n">
        <v>35</v>
      </c>
      <c r="E628" s="46" t="n">
        <v>39000</v>
      </c>
      <c r="F628" s="46" t="n">
        <v>7600</v>
      </c>
      <c r="G628" s="42" t="n">
        <v>4.22</v>
      </c>
      <c r="H628" s="42" t="n">
        <v>9.8</v>
      </c>
      <c r="I628" s="42" t="n">
        <v>0</v>
      </c>
      <c r="J628" s="46" t="n">
        <f aca="false">IF(N(E628)&gt;0,E628,IF(N(F628)&gt;0,F628*요약!$F$27,0))</f>
        <v>39000</v>
      </c>
      <c r="K628" s="46" t="n">
        <f aca="false">IF(N(F628)&gt;0,F628,IF(N(E628)&gt;0,E628/요약!$F$27,0))</f>
        <v>7600</v>
      </c>
      <c r="L628" s="46" t="n">
        <f aca="false">IF(B628="CN",IF(N(I628)&gt;0,I628*요약!$G$27,K628*(1+요약!$E$27)),IF(N(H628)&gt;0,H628*요약!$G$27,J628*요약!$D$27))</f>
        <v>12936</v>
      </c>
      <c r="M628" s="46" t="n">
        <f aca="false">D628*J628</f>
        <v>1365000</v>
      </c>
      <c r="N628" s="46" t="n">
        <f aca="false">D628*K628</f>
        <v>266000</v>
      </c>
      <c r="O628" s="46" t="n">
        <f aca="false">D628*L628</f>
        <v>452760</v>
      </c>
      <c r="P628" s="42" t="str">
        <f aca="false">TRIM(IF(N(E628)&lt;=0,"택가보정 ","")&amp;IF(N(F628)&lt;=0,"원가보정 ","")&amp;IF(AND(B628&lt;&gt;"CN",N(H628)&lt;=0),"공급가보정 ","")&amp;IF(AND(B628="CN",N(I628)&lt;=0),"중국공급가=원가+마진 ",""))</f>
        <v/>
      </c>
      <c r="Q628" s="47" t="n">
        <f aca="false">IF(SUMIFS($W:$W,$A:$A,A628,$C:$C,C628)=0,0,SUMIFS(RAW_판매펀칭!$K:$K,RAW_판매펀칭!$P:$P,A628,RAW_판매펀칭!$I:$I,C628)*W628/SUMIFS($W:$W,$A:$A,A628,$C:$C,C628))</f>
        <v>0</v>
      </c>
      <c r="R628" s="47" t="n">
        <f aca="false">IF(OR(A628="500",A628="800",A628="810"),0,MAX(W628-Q628,0))</f>
        <v>35</v>
      </c>
      <c r="S628" s="47" t="n">
        <f aca="false">R628*L628</f>
        <v>452760</v>
      </c>
      <c r="T628" s="47" t="n">
        <f aca="false">R628*J628</f>
        <v>1365000</v>
      </c>
      <c r="U628" s="47" t="n">
        <f aca="false">R628*K628</f>
        <v>266000</v>
      </c>
      <c r="V628" s="0" t="str">
        <f aca="false">IF(COUNTIFS($A$2:A628,A628,$C$2:C628,C628,$D$2:D628,D628)&gt;1,"중복","")</f>
        <v/>
      </c>
      <c r="W628" s="0" t="n">
        <f aca="false">IF(V628="중복",0,N(D628))</f>
        <v>35</v>
      </c>
      <c r="X628" s="0" t="n">
        <f aca="false">IF(COUNTIFS($A$2:A628,A628,$C$2:C628,C628)=1,ABS(SUMIFS(RAW_발주!$D:$D,RAW_발주!$C:$C,A628,RAW_발주!$A:$A,C628)-SUMIFS($W:$W,$A:$A,A628,$C:$C,C628)),0)</f>
        <v>0</v>
      </c>
    </row>
    <row r="629" customFormat="false" ht="15" hidden="false" customHeight="true" outlineLevel="0" collapsed="false">
      <c r="A629" s="45" t="s">
        <v>1667</v>
      </c>
      <c r="B629" s="42" t="str">
        <f aca="false">IF(A629="100","HK",IF(A629="200","CN",IF(A629="300","TW","홀세일")))</f>
        <v>홀세일</v>
      </c>
      <c r="C629" s="45" t="s">
        <v>364</v>
      </c>
      <c r="D629" s="46" t="n">
        <v>152</v>
      </c>
      <c r="E629" s="46" t="n">
        <v>39000</v>
      </c>
      <c r="F629" s="46" t="n">
        <v>7600</v>
      </c>
      <c r="G629" s="42" t="n">
        <v>4.22</v>
      </c>
      <c r="H629" s="42" t="n">
        <v>9.8</v>
      </c>
      <c r="I629" s="42" t="n">
        <v>0</v>
      </c>
      <c r="J629" s="46" t="n">
        <f aca="false">IF(N(E629)&gt;0,E629,IF(N(F629)&gt;0,F629*요약!$F$27,0))</f>
        <v>39000</v>
      </c>
      <c r="K629" s="46" t="n">
        <f aca="false">IF(N(F629)&gt;0,F629,IF(N(E629)&gt;0,E629/요약!$F$27,0))</f>
        <v>7600</v>
      </c>
      <c r="L629" s="46" t="n">
        <f aca="false">IF(B629="CN",IF(N(I629)&gt;0,I629*요약!$G$27,K629*(1+요약!$E$27)),IF(N(H629)&gt;0,H629*요약!$G$27,J629*요약!$D$27))</f>
        <v>12936</v>
      </c>
      <c r="M629" s="46" t="n">
        <f aca="false">D629*J629</f>
        <v>5928000</v>
      </c>
      <c r="N629" s="46" t="n">
        <f aca="false">D629*K629</f>
        <v>1155200</v>
      </c>
      <c r="O629" s="46" t="n">
        <f aca="false">D629*L629</f>
        <v>1966272</v>
      </c>
      <c r="P629" s="42" t="str">
        <f aca="false">TRIM(IF(N(E629)&lt;=0,"택가보정 ","")&amp;IF(N(F629)&lt;=0,"원가보정 ","")&amp;IF(AND(B629&lt;&gt;"CN",N(H629)&lt;=0),"공급가보정 ","")&amp;IF(AND(B629="CN",N(I629)&lt;=0),"중국공급가=원가+마진 ",""))</f>
        <v/>
      </c>
      <c r="Q629" s="47" t="n">
        <f aca="false">IF(SUMIFS($W:$W,$A:$A,A629,$C:$C,C629)=0,0,SUMIFS(RAW_판매펀칭!$K:$K,RAW_판매펀칭!$P:$P,A629,RAW_판매펀칭!$I:$I,C629)*W629/SUMIFS($W:$W,$A:$A,A629,$C:$C,C629))</f>
        <v>0</v>
      </c>
      <c r="R629" s="47" t="n">
        <f aca="false">IF(OR(A629="500",A629="800",A629="810"),0,MAX(W629-Q629,0))</f>
        <v>152</v>
      </c>
      <c r="S629" s="47" t="n">
        <f aca="false">R629*L629</f>
        <v>1966272</v>
      </c>
      <c r="T629" s="47" t="n">
        <f aca="false">R629*J629</f>
        <v>5928000</v>
      </c>
      <c r="U629" s="47" t="n">
        <f aca="false">R629*K629</f>
        <v>1155200</v>
      </c>
      <c r="V629" s="0" t="str">
        <f aca="false">IF(COUNTIFS($A$2:A629,A629,$C$2:C629,C629,$D$2:D629,D629)&gt;1,"중복","")</f>
        <v/>
      </c>
      <c r="W629" s="0" t="n">
        <f aca="false">IF(V629="중복",0,N(D629))</f>
        <v>152</v>
      </c>
      <c r="X629" s="0" t="n">
        <f aca="false">IF(COUNTIFS($A$2:A629,A629,$C$2:C629,C629)=1,ABS(SUMIFS(RAW_발주!$D:$D,RAW_발주!$C:$C,A629,RAW_발주!$A:$A,C629)-SUMIFS($W:$W,$A:$A,A629,$C:$C,C629)),0)</f>
        <v>0</v>
      </c>
    </row>
    <row r="630" customFormat="false" ht="15" hidden="false" customHeight="true" outlineLevel="0" collapsed="false">
      <c r="A630" s="45" t="s">
        <v>1664</v>
      </c>
      <c r="B630" s="42" t="str">
        <f aca="false">IF(A630="100","HK",IF(A630="200","CN",IF(A630="300","TW","홀세일")))</f>
        <v>홀세일</v>
      </c>
      <c r="C630" s="45" t="s">
        <v>364</v>
      </c>
      <c r="D630" s="46" t="n">
        <v>20</v>
      </c>
      <c r="E630" s="46" t="n">
        <v>39000</v>
      </c>
      <c r="F630" s="46" t="n">
        <v>7600</v>
      </c>
      <c r="G630" s="42" t="n">
        <v>4.22</v>
      </c>
      <c r="H630" s="42" t="n">
        <v>9.8</v>
      </c>
      <c r="I630" s="42" t="n">
        <v>0</v>
      </c>
      <c r="J630" s="46" t="n">
        <f aca="false">IF(N(E630)&gt;0,E630,IF(N(F630)&gt;0,F630*요약!$F$27,0))</f>
        <v>39000</v>
      </c>
      <c r="K630" s="46" t="n">
        <f aca="false">IF(N(F630)&gt;0,F630,IF(N(E630)&gt;0,E630/요약!$F$27,0))</f>
        <v>7600</v>
      </c>
      <c r="L630" s="46" t="n">
        <f aca="false">IF(B630="CN",IF(N(I630)&gt;0,I630*요약!$G$27,K630*(1+요약!$E$27)),IF(N(H630)&gt;0,H630*요약!$G$27,J630*요약!$D$27))</f>
        <v>12936</v>
      </c>
      <c r="M630" s="46" t="n">
        <f aca="false">D630*J630</f>
        <v>780000</v>
      </c>
      <c r="N630" s="46" t="n">
        <f aca="false">D630*K630</f>
        <v>152000</v>
      </c>
      <c r="O630" s="46" t="n">
        <f aca="false">D630*L630</f>
        <v>258720</v>
      </c>
      <c r="P630" s="42" t="str">
        <f aca="false">TRIM(IF(N(E630)&lt;=0,"택가보정 ","")&amp;IF(N(F630)&lt;=0,"원가보정 ","")&amp;IF(AND(B630&lt;&gt;"CN",N(H630)&lt;=0),"공급가보정 ","")&amp;IF(AND(B630="CN",N(I630)&lt;=0),"중국공급가=원가+마진 ",""))</f>
        <v/>
      </c>
      <c r="Q630" s="47" t="n">
        <f aca="false">IF(SUMIFS($W:$W,$A:$A,A630,$C:$C,C630)=0,0,SUMIFS(RAW_판매펀칭!$K:$K,RAW_판매펀칭!$P:$P,A630,RAW_판매펀칭!$I:$I,C630)*W630/SUMIFS($W:$W,$A:$A,A630,$C:$C,C630))</f>
        <v>0</v>
      </c>
      <c r="R630" s="47" t="n">
        <f aca="false">IF(OR(A630="500",A630="800",A630="810"),0,MAX(W630-Q630,0))</f>
        <v>0</v>
      </c>
      <c r="S630" s="47" t="n">
        <f aca="false">R630*L630</f>
        <v>0</v>
      </c>
      <c r="T630" s="47" t="n">
        <f aca="false">R630*J630</f>
        <v>0</v>
      </c>
      <c r="U630" s="47" t="n">
        <f aca="false">R630*K630</f>
        <v>0</v>
      </c>
      <c r="V630" s="0" t="str">
        <f aca="false">IF(COUNTIFS($A$2:A630,A630,$C$2:C630,C630,$D$2:D630,D630)&gt;1,"중복","")</f>
        <v/>
      </c>
      <c r="W630" s="0" t="n">
        <f aca="false">IF(V630="중복",0,N(D630))</f>
        <v>20</v>
      </c>
      <c r="X630" s="0" t="n">
        <f aca="false">IF(COUNTIFS($A$2:A630,A630,$C$2:C630,C630)=1,ABS(SUMIFS(RAW_발주!$D:$D,RAW_발주!$C:$C,A630,RAW_발주!$A:$A,C630)-SUMIFS($W:$W,$A:$A,A630,$C:$C,C630)),0)</f>
        <v>0</v>
      </c>
    </row>
    <row r="631" customFormat="false" ht="15" hidden="false" customHeight="true" outlineLevel="0" collapsed="false">
      <c r="A631" s="45" t="s">
        <v>1659</v>
      </c>
      <c r="B631" s="42" t="str">
        <f aca="false">IF(A631="100","HK",IF(A631="200","CN",IF(A631="300","TW","홀세일")))</f>
        <v>HK</v>
      </c>
      <c r="C631" s="45" t="s">
        <v>366</v>
      </c>
      <c r="D631" s="46" t="n">
        <v>140</v>
      </c>
      <c r="E631" s="46" t="n">
        <v>159000</v>
      </c>
      <c r="F631" s="46" t="n">
        <v>35833</v>
      </c>
      <c r="G631" s="42" t="n">
        <v>3.86</v>
      </c>
      <c r="H631" s="42" t="n">
        <v>39.8</v>
      </c>
      <c r="I631" s="42" t="n">
        <v>30.2</v>
      </c>
      <c r="J631" s="46" t="n">
        <f aca="false">IF(N(E631)&gt;0,E631,IF(N(F631)&gt;0,F631*요약!$F$27,0))</f>
        <v>159000</v>
      </c>
      <c r="K631" s="46" t="n">
        <f aca="false">IF(N(F631)&gt;0,F631,IF(N(E631)&gt;0,E631/요약!$F$27,0))</f>
        <v>35833</v>
      </c>
      <c r="L631" s="46" t="n">
        <f aca="false">IF(B631="CN",IF(N(I631)&gt;0,I631*요약!$G$27,K631*(1+요약!$E$27)),IF(N(H631)&gt;0,H631*요약!$G$27,J631*요약!$D$27))</f>
        <v>52536</v>
      </c>
      <c r="M631" s="46" t="n">
        <f aca="false">D631*J631</f>
        <v>22260000</v>
      </c>
      <c r="N631" s="46" t="n">
        <f aca="false">D631*K631</f>
        <v>5016620</v>
      </c>
      <c r="O631" s="46" t="n">
        <f aca="false">D631*L631</f>
        <v>7355040</v>
      </c>
      <c r="P631" s="42" t="str">
        <f aca="false">TRIM(IF(N(E631)&lt;=0,"택가보정 ","")&amp;IF(N(F631)&lt;=0,"원가보정 ","")&amp;IF(AND(B631&lt;&gt;"CN",N(H631)&lt;=0),"공급가보정 ","")&amp;IF(AND(B631="CN",N(I631)&lt;=0),"중국공급가=원가+마진 ",""))</f>
        <v/>
      </c>
      <c r="Q631" s="47" t="n">
        <f aca="false">IF(SUMIFS($W:$W,$A:$A,A631,$C:$C,C631)=0,0,SUMIFS(RAW_판매펀칭!$K:$K,RAW_판매펀칭!$P:$P,A631,RAW_판매펀칭!$I:$I,C631)*W631/SUMIFS($W:$W,$A:$A,A631,$C:$C,C631))</f>
        <v>140</v>
      </c>
      <c r="R631" s="47" t="n">
        <f aca="false">IF(OR(A631="500",A631="800",A631="810"),0,MAX(W631-Q631,0))</f>
        <v>0</v>
      </c>
      <c r="S631" s="47" t="n">
        <f aca="false">R631*L631</f>
        <v>0</v>
      </c>
      <c r="T631" s="47" t="n">
        <f aca="false">R631*J631</f>
        <v>0</v>
      </c>
      <c r="U631" s="47" t="n">
        <f aca="false">R631*K631</f>
        <v>0</v>
      </c>
      <c r="V631" s="0" t="str">
        <f aca="false">IF(COUNTIFS($A$2:A631,A631,$C$2:C631,C631,$D$2:D631,D631)&gt;1,"중복","")</f>
        <v/>
      </c>
      <c r="W631" s="0" t="n">
        <f aca="false">IF(V631="중복",0,N(D631))</f>
        <v>140</v>
      </c>
      <c r="X631" s="0" t="n">
        <f aca="false">IF(COUNTIFS($A$2:A631,A631,$C$2:C631,C631)=1,ABS(SUMIFS(RAW_발주!$D:$D,RAW_발주!$C:$C,A631,RAW_발주!$A:$A,C631)-SUMIFS($W:$W,$A:$A,A631,$C:$C,C631)),0)</f>
        <v>0</v>
      </c>
    </row>
    <row r="632" customFormat="false" ht="15" hidden="false" customHeight="true" outlineLevel="0" collapsed="false">
      <c r="A632" s="45" t="s">
        <v>1660</v>
      </c>
      <c r="B632" s="42" t="str">
        <f aca="false">IF(A632="100","HK",IF(A632="200","CN",IF(A632="300","TW","홀세일")))</f>
        <v>CN</v>
      </c>
      <c r="C632" s="45" t="s">
        <v>366</v>
      </c>
      <c r="D632" s="46" t="n">
        <v>51</v>
      </c>
      <c r="E632" s="46" t="n">
        <v>159000</v>
      </c>
      <c r="F632" s="46" t="n">
        <v>35833</v>
      </c>
      <c r="G632" s="42" t="n">
        <v>3.86</v>
      </c>
      <c r="H632" s="42" t="n">
        <v>39.8</v>
      </c>
      <c r="I632" s="42" t="n">
        <v>30.2</v>
      </c>
      <c r="J632" s="46" t="n">
        <f aca="false">IF(N(E632)&gt;0,E632,IF(N(F632)&gt;0,F632*요약!$F$27,0))</f>
        <v>159000</v>
      </c>
      <c r="K632" s="46" t="n">
        <f aca="false">IF(N(F632)&gt;0,F632,IF(N(E632)&gt;0,E632/요약!$F$27,0))</f>
        <v>35833</v>
      </c>
      <c r="L632" s="46" t="n">
        <f aca="false">IF(B632="CN",IF(N(I632)&gt;0,I632*요약!$G$27,K632*(1+요약!$E$27)),IF(N(H632)&gt;0,H632*요약!$G$27,J632*요약!$D$27))</f>
        <v>39864</v>
      </c>
      <c r="M632" s="46" t="n">
        <f aca="false">D632*J632</f>
        <v>8109000</v>
      </c>
      <c r="N632" s="46" t="n">
        <f aca="false">D632*K632</f>
        <v>1827483</v>
      </c>
      <c r="O632" s="46" t="n">
        <f aca="false">D632*L632</f>
        <v>2033064</v>
      </c>
      <c r="P632" s="42" t="str">
        <f aca="false">TRIM(IF(N(E632)&lt;=0,"택가보정 ","")&amp;IF(N(F632)&lt;=0,"원가보정 ","")&amp;IF(AND(B632&lt;&gt;"CN",N(H632)&lt;=0),"공급가보정 ","")&amp;IF(AND(B632="CN",N(I632)&lt;=0),"중국공급가=원가+마진 ",""))</f>
        <v/>
      </c>
      <c r="Q632" s="47" t="n">
        <f aca="false">IF(SUMIFS($W:$W,$A:$A,A632,$C:$C,C632)=0,0,SUMIFS(RAW_판매펀칭!$K:$K,RAW_판매펀칭!$P:$P,A632,RAW_판매펀칭!$I:$I,C632)*W632/SUMIFS($W:$W,$A:$A,A632,$C:$C,C632))</f>
        <v>51</v>
      </c>
      <c r="R632" s="47" t="n">
        <f aca="false">IF(OR(A632="500",A632="800",A632="810"),0,MAX(W632-Q632,0))</f>
        <v>0</v>
      </c>
      <c r="S632" s="47" t="n">
        <f aca="false">R632*L632</f>
        <v>0</v>
      </c>
      <c r="T632" s="47" t="n">
        <f aca="false">R632*J632</f>
        <v>0</v>
      </c>
      <c r="U632" s="47" t="n">
        <f aca="false">R632*K632</f>
        <v>0</v>
      </c>
      <c r="V632" s="0" t="str">
        <f aca="false">IF(COUNTIFS($A$2:A632,A632,$C$2:C632,C632,$D$2:D632,D632)&gt;1,"중복","")</f>
        <v/>
      </c>
      <c r="W632" s="0" t="n">
        <f aca="false">IF(V632="중복",0,N(D632))</f>
        <v>51</v>
      </c>
      <c r="X632" s="0" t="n">
        <f aca="false">IF(COUNTIFS($A$2:A632,A632,$C$2:C632,C632)=1,ABS(SUMIFS(RAW_발주!$D:$D,RAW_발주!$C:$C,A632,RAW_발주!$A:$A,C632)-SUMIFS($W:$W,$A:$A,A632,$C:$C,C632)),0)</f>
        <v>0</v>
      </c>
    </row>
    <row r="633" customFormat="false" ht="15" hidden="false" customHeight="true" outlineLevel="0" collapsed="false">
      <c r="A633" s="45" t="s">
        <v>1661</v>
      </c>
      <c r="B633" s="42" t="str">
        <f aca="false">IF(A633="100","HK",IF(A633="200","CN",IF(A633="300","TW","홀세일")))</f>
        <v>TW</v>
      </c>
      <c r="C633" s="45" t="s">
        <v>366</v>
      </c>
      <c r="D633" s="46" t="n">
        <v>100</v>
      </c>
      <c r="E633" s="46" t="n">
        <v>159000</v>
      </c>
      <c r="F633" s="46" t="n">
        <v>35833</v>
      </c>
      <c r="G633" s="42" t="n">
        <v>3.86</v>
      </c>
      <c r="H633" s="42" t="n">
        <v>39.8</v>
      </c>
      <c r="I633" s="42" t="n">
        <v>30.2</v>
      </c>
      <c r="J633" s="46" t="n">
        <f aca="false">IF(N(E633)&gt;0,E633,IF(N(F633)&gt;0,F633*요약!$F$27,0))</f>
        <v>159000</v>
      </c>
      <c r="K633" s="46" t="n">
        <f aca="false">IF(N(F633)&gt;0,F633,IF(N(E633)&gt;0,E633/요약!$F$27,0))</f>
        <v>35833</v>
      </c>
      <c r="L633" s="46" t="n">
        <f aca="false">IF(B633="CN",IF(N(I633)&gt;0,I633*요약!$G$27,K633*(1+요약!$E$27)),IF(N(H633)&gt;0,H633*요약!$G$27,J633*요약!$D$27))</f>
        <v>52536</v>
      </c>
      <c r="M633" s="46" t="n">
        <f aca="false">D633*J633</f>
        <v>15900000</v>
      </c>
      <c r="N633" s="46" t="n">
        <f aca="false">D633*K633</f>
        <v>3583300</v>
      </c>
      <c r="O633" s="46" t="n">
        <f aca="false">D633*L633</f>
        <v>5253600</v>
      </c>
      <c r="P633" s="42" t="str">
        <f aca="false">TRIM(IF(N(E633)&lt;=0,"택가보정 ","")&amp;IF(N(F633)&lt;=0,"원가보정 ","")&amp;IF(AND(B633&lt;&gt;"CN",N(H633)&lt;=0),"공급가보정 ","")&amp;IF(AND(B633="CN",N(I633)&lt;=0),"중국공급가=원가+마진 ",""))</f>
        <v/>
      </c>
      <c r="Q633" s="47" t="n">
        <f aca="false">IF(SUMIFS($W:$W,$A:$A,A633,$C:$C,C633)=0,0,SUMIFS(RAW_판매펀칭!$K:$K,RAW_판매펀칭!$P:$P,A633,RAW_판매펀칭!$I:$I,C633)*W633/SUMIFS($W:$W,$A:$A,A633,$C:$C,C633))</f>
        <v>100</v>
      </c>
      <c r="R633" s="47" t="n">
        <f aca="false">IF(OR(A633="500",A633="800",A633="810"),0,MAX(W633-Q633,0))</f>
        <v>0</v>
      </c>
      <c r="S633" s="47" t="n">
        <f aca="false">R633*L633</f>
        <v>0</v>
      </c>
      <c r="T633" s="47" t="n">
        <f aca="false">R633*J633</f>
        <v>0</v>
      </c>
      <c r="U633" s="47" t="n">
        <f aca="false">R633*K633</f>
        <v>0</v>
      </c>
      <c r="V633" s="0" t="str">
        <f aca="false">IF(COUNTIFS($A$2:A633,A633,$C$2:C633,C633,$D$2:D633,D633)&gt;1,"중복","")</f>
        <v/>
      </c>
      <c r="W633" s="0" t="n">
        <f aca="false">IF(V633="중복",0,N(D633))</f>
        <v>100</v>
      </c>
      <c r="X633" s="0" t="n">
        <f aca="false">IF(COUNTIFS($A$2:A633,A633,$C$2:C633,C633)=1,ABS(SUMIFS(RAW_발주!$D:$D,RAW_발주!$C:$C,A633,RAW_발주!$A:$A,C633)-SUMIFS($W:$W,$A:$A,A633,$C:$C,C633)),0)</f>
        <v>0</v>
      </c>
    </row>
    <row r="634" customFormat="false" ht="15" hidden="false" customHeight="true" outlineLevel="0" collapsed="false">
      <c r="A634" s="45" t="s">
        <v>1662</v>
      </c>
      <c r="B634" s="42" t="str">
        <f aca="false">IF(A634="100","HK",IF(A634="200","CN",IF(A634="300","TW","홀세일")))</f>
        <v>홀세일</v>
      </c>
      <c r="C634" s="45" t="s">
        <v>366</v>
      </c>
      <c r="D634" s="46" t="n">
        <v>240</v>
      </c>
      <c r="E634" s="46" t="n">
        <v>159000</v>
      </c>
      <c r="F634" s="46" t="n">
        <v>35833</v>
      </c>
      <c r="G634" s="42" t="n">
        <v>3.86</v>
      </c>
      <c r="H634" s="42" t="n">
        <v>39.8</v>
      </c>
      <c r="I634" s="42" t="n">
        <v>30.2</v>
      </c>
      <c r="J634" s="46" t="n">
        <f aca="false">IF(N(E634)&gt;0,E634,IF(N(F634)&gt;0,F634*요약!$F$27,0))</f>
        <v>159000</v>
      </c>
      <c r="K634" s="46" t="n">
        <f aca="false">IF(N(F634)&gt;0,F634,IF(N(E634)&gt;0,E634/요약!$F$27,0))</f>
        <v>35833</v>
      </c>
      <c r="L634" s="46" t="n">
        <f aca="false">IF(B634="CN",IF(N(I634)&gt;0,I634*요약!$G$27,K634*(1+요약!$E$27)),IF(N(H634)&gt;0,H634*요약!$G$27,J634*요약!$D$27))</f>
        <v>52536</v>
      </c>
      <c r="M634" s="46" t="n">
        <f aca="false">D634*J634</f>
        <v>38160000</v>
      </c>
      <c r="N634" s="46" t="n">
        <f aca="false">D634*K634</f>
        <v>8599920</v>
      </c>
      <c r="O634" s="46" t="n">
        <f aca="false">D634*L634</f>
        <v>12608640</v>
      </c>
      <c r="P634" s="42" t="str">
        <f aca="false">TRIM(IF(N(E634)&lt;=0,"택가보정 ","")&amp;IF(N(F634)&lt;=0,"원가보정 ","")&amp;IF(AND(B634&lt;&gt;"CN",N(H634)&lt;=0),"공급가보정 ","")&amp;IF(AND(B634="CN",N(I634)&lt;=0),"중국공급가=원가+마진 ",""))</f>
        <v/>
      </c>
      <c r="Q634" s="47" t="n">
        <f aca="false">IF(SUMIFS($W:$W,$A:$A,A634,$C:$C,C634)=0,0,SUMIFS(RAW_판매펀칭!$K:$K,RAW_판매펀칭!$P:$P,A634,RAW_판매펀칭!$I:$I,C634)*W634/SUMIFS($W:$W,$A:$A,A634,$C:$C,C634))</f>
        <v>0</v>
      </c>
      <c r="R634" s="47" t="n">
        <f aca="false">IF(OR(A634="500",A634="800",A634="810"),0,MAX(W634-Q634,0))</f>
        <v>0</v>
      </c>
      <c r="S634" s="47" t="n">
        <f aca="false">R634*L634</f>
        <v>0</v>
      </c>
      <c r="T634" s="47" t="n">
        <f aca="false">R634*J634</f>
        <v>0</v>
      </c>
      <c r="U634" s="47" t="n">
        <f aca="false">R634*K634</f>
        <v>0</v>
      </c>
      <c r="V634" s="0" t="str">
        <f aca="false">IF(COUNTIFS($A$2:A634,A634,$C$2:C634,C634,$D$2:D634,D634)&gt;1,"중복","")</f>
        <v/>
      </c>
      <c r="W634" s="0" t="n">
        <f aca="false">IF(V634="중복",0,N(D634))</f>
        <v>240</v>
      </c>
      <c r="X634" s="0" t="n">
        <f aca="false">IF(COUNTIFS($A$2:A634,A634,$C$2:C634,C634)=1,ABS(SUMIFS(RAW_발주!$D:$D,RAW_발주!$C:$C,A634,RAW_발주!$A:$A,C634)-SUMIFS($W:$W,$A:$A,A634,$C:$C,C634)),0)</f>
        <v>0</v>
      </c>
    </row>
    <row r="635" customFormat="false" ht="15" hidden="false" customHeight="true" outlineLevel="0" collapsed="false">
      <c r="A635" s="45" t="s">
        <v>1663</v>
      </c>
      <c r="B635" s="42" t="str">
        <f aca="false">IF(A635="100","HK",IF(A635="200","CN",IF(A635="300","TW","홀세일")))</f>
        <v>홀세일</v>
      </c>
      <c r="C635" s="45" t="s">
        <v>366</v>
      </c>
      <c r="D635" s="46" t="n">
        <v>50</v>
      </c>
      <c r="E635" s="46" t="n">
        <v>159000</v>
      </c>
      <c r="F635" s="46" t="n">
        <v>35833</v>
      </c>
      <c r="G635" s="42" t="n">
        <v>3.86</v>
      </c>
      <c r="H635" s="42" t="n">
        <v>39.8</v>
      </c>
      <c r="I635" s="42" t="n">
        <v>30.2</v>
      </c>
      <c r="J635" s="46" t="n">
        <f aca="false">IF(N(E635)&gt;0,E635,IF(N(F635)&gt;0,F635*요약!$F$27,0))</f>
        <v>159000</v>
      </c>
      <c r="K635" s="46" t="n">
        <f aca="false">IF(N(F635)&gt;0,F635,IF(N(E635)&gt;0,E635/요약!$F$27,0))</f>
        <v>35833</v>
      </c>
      <c r="L635" s="46" t="n">
        <f aca="false">IF(B635="CN",IF(N(I635)&gt;0,I635*요약!$G$27,K635*(1+요약!$E$27)),IF(N(H635)&gt;0,H635*요약!$G$27,J635*요약!$D$27))</f>
        <v>52536</v>
      </c>
      <c r="M635" s="46" t="n">
        <f aca="false">D635*J635</f>
        <v>7950000</v>
      </c>
      <c r="N635" s="46" t="n">
        <f aca="false">D635*K635</f>
        <v>1791650</v>
      </c>
      <c r="O635" s="46" t="n">
        <f aca="false">D635*L635</f>
        <v>2626800</v>
      </c>
      <c r="P635" s="42" t="str">
        <f aca="false">TRIM(IF(N(E635)&lt;=0,"택가보정 ","")&amp;IF(N(F635)&lt;=0,"원가보정 ","")&amp;IF(AND(B635&lt;&gt;"CN",N(H635)&lt;=0),"공급가보정 ","")&amp;IF(AND(B635="CN",N(I635)&lt;=0),"중국공급가=원가+마진 ",""))</f>
        <v/>
      </c>
      <c r="Q635" s="47" t="n">
        <f aca="false">IF(SUMIFS($W:$W,$A:$A,A635,$C:$C,C635)=0,0,SUMIFS(RAW_판매펀칭!$K:$K,RAW_판매펀칭!$P:$P,A635,RAW_판매펀칭!$I:$I,C635)*W635/SUMIFS($W:$W,$A:$A,A635,$C:$C,C635))</f>
        <v>50</v>
      </c>
      <c r="R635" s="47" t="n">
        <f aca="false">IF(OR(A635="500",A635="800",A635="810"),0,MAX(W635-Q635,0))</f>
        <v>0</v>
      </c>
      <c r="S635" s="47" t="n">
        <f aca="false">R635*L635</f>
        <v>0</v>
      </c>
      <c r="T635" s="47" t="n">
        <f aca="false">R635*J635</f>
        <v>0</v>
      </c>
      <c r="U635" s="47" t="n">
        <f aca="false">R635*K635</f>
        <v>0</v>
      </c>
      <c r="V635" s="0" t="str">
        <f aca="false">IF(COUNTIFS($A$2:A635,A635,$C$2:C635,C635,$D$2:D635,D635)&gt;1,"중복","")</f>
        <v/>
      </c>
      <c r="W635" s="0" t="n">
        <f aca="false">IF(V635="중복",0,N(D635))</f>
        <v>50</v>
      </c>
      <c r="X635" s="0" t="n">
        <f aca="false">IF(COUNTIFS($A$2:A635,A635,$C$2:C635,C635)=1,ABS(SUMIFS(RAW_발주!$D:$D,RAW_발주!$C:$C,A635,RAW_발주!$A:$A,C635)-SUMIFS($W:$W,$A:$A,A635,$C:$C,C635)),0)</f>
        <v>0</v>
      </c>
    </row>
    <row r="636" customFormat="false" ht="15" hidden="false" customHeight="true" outlineLevel="0" collapsed="false">
      <c r="A636" s="45" t="s">
        <v>1664</v>
      </c>
      <c r="B636" s="42" t="str">
        <f aca="false">IF(A636="100","HK",IF(A636="200","CN",IF(A636="300","TW","홀세일")))</f>
        <v>홀세일</v>
      </c>
      <c r="C636" s="45" t="s">
        <v>366</v>
      </c>
      <c r="D636" s="46" t="n">
        <v>30</v>
      </c>
      <c r="E636" s="46" t="n">
        <v>159000</v>
      </c>
      <c r="F636" s="46" t="n">
        <v>35833</v>
      </c>
      <c r="G636" s="42" t="n">
        <v>3.86</v>
      </c>
      <c r="H636" s="42" t="n">
        <v>39.8</v>
      </c>
      <c r="I636" s="42" t="n">
        <v>30.2</v>
      </c>
      <c r="J636" s="46" t="n">
        <f aca="false">IF(N(E636)&gt;0,E636,IF(N(F636)&gt;0,F636*요약!$F$27,0))</f>
        <v>159000</v>
      </c>
      <c r="K636" s="46" t="n">
        <f aca="false">IF(N(F636)&gt;0,F636,IF(N(E636)&gt;0,E636/요약!$F$27,0))</f>
        <v>35833</v>
      </c>
      <c r="L636" s="46" t="n">
        <f aca="false">IF(B636="CN",IF(N(I636)&gt;0,I636*요약!$G$27,K636*(1+요약!$E$27)),IF(N(H636)&gt;0,H636*요약!$G$27,J636*요약!$D$27))</f>
        <v>52536</v>
      </c>
      <c r="M636" s="46" t="n">
        <f aca="false">D636*J636</f>
        <v>4770000</v>
      </c>
      <c r="N636" s="46" t="n">
        <f aca="false">D636*K636</f>
        <v>1074990</v>
      </c>
      <c r="O636" s="46" t="n">
        <f aca="false">D636*L636</f>
        <v>1576080</v>
      </c>
      <c r="P636" s="42" t="str">
        <f aca="false">TRIM(IF(N(E636)&lt;=0,"택가보정 ","")&amp;IF(N(F636)&lt;=0,"원가보정 ","")&amp;IF(AND(B636&lt;&gt;"CN",N(H636)&lt;=0),"공급가보정 ","")&amp;IF(AND(B636="CN",N(I636)&lt;=0),"중국공급가=원가+마진 ",""))</f>
        <v/>
      </c>
      <c r="Q636" s="47" t="n">
        <f aca="false">IF(SUMIFS($W:$W,$A:$A,A636,$C:$C,C636)=0,0,SUMIFS(RAW_판매펀칭!$K:$K,RAW_판매펀칭!$P:$P,A636,RAW_판매펀칭!$I:$I,C636)*W636/SUMIFS($W:$W,$A:$A,A636,$C:$C,C636))</f>
        <v>0</v>
      </c>
      <c r="R636" s="47" t="n">
        <f aca="false">IF(OR(A636="500",A636="800",A636="810"),0,MAX(W636-Q636,0))</f>
        <v>0</v>
      </c>
      <c r="S636" s="47" t="n">
        <f aca="false">R636*L636</f>
        <v>0</v>
      </c>
      <c r="T636" s="47" t="n">
        <f aca="false">R636*J636</f>
        <v>0</v>
      </c>
      <c r="U636" s="47" t="n">
        <f aca="false">R636*K636</f>
        <v>0</v>
      </c>
      <c r="V636" s="0" t="str">
        <f aca="false">IF(COUNTIFS($A$2:A636,A636,$C$2:C636,C636,$D$2:D636,D636)&gt;1,"중복","")</f>
        <v/>
      </c>
      <c r="W636" s="0" t="n">
        <f aca="false">IF(V636="중복",0,N(D636))</f>
        <v>30</v>
      </c>
      <c r="X636" s="0" t="n">
        <f aca="false">IF(COUNTIFS($A$2:A636,A636,$C$2:C636,C636)=1,ABS(SUMIFS(RAW_발주!$D:$D,RAW_발주!$C:$C,A636,RAW_발주!$A:$A,C636)-SUMIFS($W:$W,$A:$A,A636,$C:$C,C636)),0)</f>
        <v>0</v>
      </c>
    </row>
    <row r="637" customFormat="false" ht="15" hidden="false" customHeight="true" outlineLevel="0" collapsed="false">
      <c r="A637" s="45" t="s">
        <v>1665</v>
      </c>
      <c r="B637" s="42" t="str">
        <f aca="false">IF(A637="100","HK",IF(A637="200","CN",IF(A637="300","TW","홀세일")))</f>
        <v>홀세일</v>
      </c>
      <c r="C637" s="45" t="s">
        <v>366</v>
      </c>
      <c r="D637" s="46" t="n">
        <v>48</v>
      </c>
      <c r="E637" s="46" t="n">
        <v>159000</v>
      </c>
      <c r="F637" s="46" t="n">
        <v>35833</v>
      </c>
      <c r="G637" s="42" t="n">
        <v>3.86</v>
      </c>
      <c r="H637" s="42" t="n">
        <v>39.8</v>
      </c>
      <c r="I637" s="42" t="n">
        <v>30.2</v>
      </c>
      <c r="J637" s="46" t="n">
        <f aca="false">IF(N(E637)&gt;0,E637,IF(N(F637)&gt;0,F637*요약!$F$27,0))</f>
        <v>159000</v>
      </c>
      <c r="K637" s="46" t="n">
        <f aca="false">IF(N(F637)&gt;0,F637,IF(N(E637)&gt;0,E637/요약!$F$27,0))</f>
        <v>35833</v>
      </c>
      <c r="L637" s="46" t="n">
        <f aca="false">IF(B637="CN",IF(N(I637)&gt;0,I637*요약!$G$27,K637*(1+요약!$E$27)),IF(N(H637)&gt;0,H637*요약!$G$27,J637*요약!$D$27))</f>
        <v>52536</v>
      </c>
      <c r="M637" s="46" t="n">
        <f aca="false">D637*J637</f>
        <v>7632000</v>
      </c>
      <c r="N637" s="46" t="n">
        <f aca="false">D637*K637</f>
        <v>1719984</v>
      </c>
      <c r="O637" s="46" t="n">
        <f aca="false">D637*L637</f>
        <v>2521728</v>
      </c>
      <c r="P637" s="42" t="str">
        <f aca="false">TRIM(IF(N(E637)&lt;=0,"택가보정 ","")&amp;IF(N(F637)&lt;=0,"원가보정 ","")&amp;IF(AND(B637&lt;&gt;"CN",N(H637)&lt;=0),"공급가보정 ","")&amp;IF(AND(B637="CN",N(I637)&lt;=0),"중국공급가=원가+마진 ",""))</f>
        <v/>
      </c>
      <c r="Q637" s="47" t="n">
        <f aca="false">IF(SUMIFS($W:$W,$A:$A,A637,$C:$C,C637)=0,0,SUMIFS(RAW_판매펀칭!$K:$K,RAW_판매펀칭!$P:$P,A637,RAW_판매펀칭!$I:$I,C637)*W637/SUMIFS($W:$W,$A:$A,A637,$C:$C,C637))</f>
        <v>0</v>
      </c>
      <c r="R637" s="47" t="n">
        <f aca="false">IF(OR(A637="500",A637="800",A637="810"),0,MAX(W637-Q637,0))</f>
        <v>0</v>
      </c>
      <c r="S637" s="47" t="n">
        <f aca="false">R637*L637</f>
        <v>0</v>
      </c>
      <c r="T637" s="47" t="n">
        <f aca="false">R637*J637</f>
        <v>0</v>
      </c>
      <c r="U637" s="47" t="n">
        <f aca="false">R637*K637</f>
        <v>0</v>
      </c>
      <c r="V637" s="0" t="str">
        <f aca="false">IF(COUNTIFS($A$2:A637,A637,$C$2:C637,C637,$D$2:D637,D637)&gt;1,"중복","")</f>
        <v/>
      </c>
      <c r="W637" s="0" t="n">
        <f aca="false">IF(V637="중복",0,N(D637))</f>
        <v>48</v>
      </c>
      <c r="X637" s="0" t="n">
        <f aca="false">IF(COUNTIFS($A$2:A637,A637,$C$2:C637,C637)=1,ABS(SUMIFS(RAW_발주!$D:$D,RAW_발주!$C:$C,A637,RAW_발주!$A:$A,C637)-SUMIFS($W:$W,$A:$A,A637,$C:$C,C637)),0)</f>
        <v>0</v>
      </c>
    </row>
    <row r="638" customFormat="false" ht="15" hidden="false" customHeight="true" outlineLevel="0" collapsed="false">
      <c r="A638" s="45" t="s">
        <v>1659</v>
      </c>
      <c r="B638" s="42" t="str">
        <f aca="false">IF(A638="100","HK",IF(A638="200","CN",IF(A638="300","TW","홀세일")))</f>
        <v>HK</v>
      </c>
      <c r="C638" s="45" t="s">
        <v>864</v>
      </c>
      <c r="D638" s="46" t="n">
        <v>60</v>
      </c>
      <c r="E638" s="46" t="n">
        <v>259000</v>
      </c>
      <c r="F638" s="46" t="n">
        <v>69168</v>
      </c>
      <c r="G638" s="42" t="n">
        <v>3.06</v>
      </c>
      <c r="H638" s="42" t="n">
        <v>64.9</v>
      </c>
      <c r="I638" s="42" t="n">
        <v>56.3</v>
      </c>
      <c r="J638" s="46" t="n">
        <f aca="false">IF(N(E638)&gt;0,E638,IF(N(F638)&gt;0,F638*요약!$F$27,0))</f>
        <v>259000</v>
      </c>
      <c r="K638" s="46" t="n">
        <f aca="false">IF(N(F638)&gt;0,F638,IF(N(E638)&gt;0,E638/요약!$F$27,0))</f>
        <v>69168</v>
      </c>
      <c r="L638" s="46" t="n">
        <f aca="false">IF(B638="CN",IF(N(I638)&gt;0,I638*요약!$G$27,K638*(1+요약!$E$27)),IF(N(H638)&gt;0,H638*요약!$G$27,J638*요약!$D$27))</f>
        <v>85668</v>
      </c>
      <c r="M638" s="46" t="n">
        <f aca="false">D638*J638</f>
        <v>15540000</v>
      </c>
      <c r="N638" s="46" t="n">
        <f aca="false">D638*K638</f>
        <v>4150080</v>
      </c>
      <c r="O638" s="46" t="n">
        <f aca="false">D638*L638</f>
        <v>5140080</v>
      </c>
      <c r="P638" s="42" t="str">
        <f aca="false">TRIM(IF(N(E638)&lt;=0,"택가보정 ","")&amp;IF(N(F638)&lt;=0,"원가보정 ","")&amp;IF(AND(B638&lt;&gt;"CN",N(H638)&lt;=0),"공급가보정 ","")&amp;IF(AND(B638="CN",N(I638)&lt;=0),"중국공급가=원가+마진 ",""))</f>
        <v/>
      </c>
      <c r="Q638" s="47" t="n">
        <f aca="false">IF(SUMIFS($W:$W,$A:$A,A638,$C:$C,C638)=0,0,SUMIFS(RAW_판매펀칭!$K:$K,RAW_판매펀칭!$P:$P,A638,RAW_판매펀칭!$I:$I,C638)*W638/SUMIFS($W:$W,$A:$A,A638,$C:$C,C638))</f>
        <v>60</v>
      </c>
      <c r="R638" s="47" t="n">
        <f aca="false">IF(OR(A638="500",A638="800",A638="810"),0,MAX(W638-Q638,0))</f>
        <v>0</v>
      </c>
      <c r="S638" s="47" t="n">
        <f aca="false">R638*L638</f>
        <v>0</v>
      </c>
      <c r="T638" s="47" t="n">
        <f aca="false">R638*J638</f>
        <v>0</v>
      </c>
      <c r="U638" s="47" t="n">
        <f aca="false">R638*K638</f>
        <v>0</v>
      </c>
      <c r="V638" s="0" t="str">
        <f aca="false">IF(COUNTIFS($A$2:A638,A638,$C$2:C638,C638,$D$2:D638,D638)&gt;1,"중복","")</f>
        <v/>
      </c>
      <c r="W638" s="0" t="n">
        <f aca="false">IF(V638="중복",0,N(D638))</f>
        <v>60</v>
      </c>
      <c r="X638" s="0" t="n">
        <f aca="false">IF(COUNTIFS($A$2:A638,A638,$C$2:C638,C638)=1,ABS(SUMIFS(RAW_발주!$D:$D,RAW_발주!$C:$C,A638,RAW_발주!$A:$A,C638)-SUMIFS($W:$W,$A:$A,A638,$C:$C,C638)),0)</f>
        <v>0</v>
      </c>
    </row>
    <row r="639" customFormat="false" ht="15" hidden="false" customHeight="true" outlineLevel="0" collapsed="false">
      <c r="A639" s="45" t="s">
        <v>1660</v>
      </c>
      <c r="B639" s="42" t="str">
        <f aca="false">IF(A639="100","HK",IF(A639="200","CN",IF(A639="300","TW","홀세일")))</f>
        <v>CN</v>
      </c>
      <c r="C639" s="45" t="s">
        <v>864</v>
      </c>
      <c r="D639" s="46" t="n">
        <v>82</v>
      </c>
      <c r="E639" s="46" t="n">
        <v>259000</v>
      </c>
      <c r="F639" s="46" t="n">
        <v>69168</v>
      </c>
      <c r="G639" s="42" t="n">
        <v>3.06</v>
      </c>
      <c r="H639" s="42" t="n">
        <v>64.9</v>
      </c>
      <c r="I639" s="42" t="n">
        <v>56.3</v>
      </c>
      <c r="J639" s="46" t="n">
        <f aca="false">IF(N(E639)&gt;0,E639,IF(N(F639)&gt;0,F639*요약!$F$27,0))</f>
        <v>259000</v>
      </c>
      <c r="K639" s="46" t="n">
        <f aca="false">IF(N(F639)&gt;0,F639,IF(N(E639)&gt;0,E639/요약!$F$27,0))</f>
        <v>69168</v>
      </c>
      <c r="L639" s="46" t="n">
        <f aca="false">IF(B639="CN",IF(N(I639)&gt;0,I639*요약!$G$27,K639*(1+요약!$E$27)),IF(N(H639)&gt;0,H639*요약!$G$27,J639*요약!$D$27))</f>
        <v>74316</v>
      </c>
      <c r="M639" s="46" t="n">
        <f aca="false">D639*J639</f>
        <v>21238000</v>
      </c>
      <c r="N639" s="46" t="n">
        <f aca="false">D639*K639</f>
        <v>5671776</v>
      </c>
      <c r="O639" s="46" t="n">
        <f aca="false">D639*L639</f>
        <v>6093912</v>
      </c>
      <c r="P639" s="42" t="str">
        <f aca="false">TRIM(IF(N(E639)&lt;=0,"택가보정 ","")&amp;IF(N(F639)&lt;=0,"원가보정 ","")&amp;IF(AND(B639&lt;&gt;"CN",N(H639)&lt;=0),"공급가보정 ","")&amp;IF(AND(B639="CN",N(I639)&lt;=0),"중국공급가=원가+마진 ",""))</f>
        <v/>
      </c>
      <c r="Q639" s="47" t="n">
        <f aca="false">IF(SUMIFS($W:$W,$A:$A,A639,$C:$C,C639)=0,0,SUMIFS(RAW_판매펀칭!$K:$K,RAW_판매펀칭!$P:$P,A639,RAW_판매펀칭!$I:$I,C639)*W639/SUMIFS($W:$W,$A:$A,A639,$C:$C,C639))</f>
        <v>82</v>
      </c>
      <c r="R639" s="47" t="n">
        <f aca="false">IF(OR(A639="500",A639="800",A639="810"),0,MAX(W639-Q639,0))</f>
        <v>0</v>
      </c>
      <c r="S639" s="47" t="n">
        <f aca="false">R639*L639</f>
        <v>0</v>
      </c>
      <c r="T639" s="47" t="n">
        <f aca="false">R639*J639</f>
        <v>0</v>
      </c>
      <c r="U639" s="47" t="n">
        <f aca="false">R639*K639</f>
        <v>0</v>
      </c>
      <c r="V639" s="0" t="str">
        <f aca="false">IF(COUNTIFS($A$2:A639,A639,$C$2:C639,C639,$D$2:D639,D639)&gt;1,"중복","")</f>
        <v/>
      </c>
      <c r="W639" s="0" t="n">
        <f aca="false">IF(V639="중복",0,N(D639))</f>
        <v>82</v>
      </c>
      <c r="X639" s="0" t="n">
        <f aca="false">IF(COUNTIFS($A$2:A639,A639,$C$2:C639,C639)=1,ABS(SUMIFS(RAW_발주!$D:$D,RAW_발주!$C:$C,A639,RAW_발주!$A:$A,C639)-SUMIFS($W:$W,$A:$A,A639,$C:$C,C639)),0)</f>
        <v>0</v>
      </c>
    </row>
    <row r="640" customFormat="false" ht="15" hidden="false" customHeight="true" outlineLevel="0" collapsed="false">
      <c r="A640" s="45" t="s">
        <v>1662</v>
      </c>
      <c r="B640" s="42" t="str">
        <f aca="false">IF(A640="100","HK",IF(A640="200","CN",IF(A640="300","TW","홀세일")))</f>
        <v>홀세일</v>
      </c>
      <c r="C640" s="45" t="s">
        <v>864</v>
      </c>
      <c r="D640" s="46" t="n">
        <v>20</v>
      </c>
      <c r="E640" s="46" t="n">
        <v>259000</v>
      </c>
      <c r="F640" s="46" t="n">
        <v>69168</v>
      </c>
      <c r="G640" s="42" t="n">
        <v>3.06</v>
      </c>
      <c r="H640" s="42" t="n">
        <v>64.9</v>
      </c>
      <c r="I640" s="42" t="n">
        <v>56.3</v>
      </c>
      <c r="J640" s="46" t="n">
        <f aca="false">IF(N(E640)&gt;0,E640,IF(N(F640)&gt;0,F640*요약!$F$27,0))</f>
        <v>259000</v>
      </c>
      <c r="K640" s="46" t="n">
        <f aca="false">IF(N(F640)&gt;0,F640,IF(N(E640)&gt;0,E640/요약!$F$27,0))</f>
        <v>69168</v>
      </c>
      <c r="L640" s="46" t="n">
        <f aca="false">IF(B640="CN",IF(N(I640)&gt;0,I640*요약!$G$27,K640*(1+요약!$E$27)),IF(N(H640)&gt;0,H640*요약!$G$27,J640*요약!$D$27))</f>
        <v>85668</v>
      </c>
      <c r="M640" s="46" t="n">
        <f aca="false">D640*J640</f>
        <v>5180000</v>
      </c>
      <c r="N640" s="46" t="n">
        <f aca="false">D640*K640</f>
        <v>1383360</v>
      </c>
      <c r="O640" s="46" t="n">
        <f aca="false">D640*L640</f>
        <v>1713360</v>
      </c>
      <c r="P640" s="42" t="str">
        <f aca="false">TRIM(IF(N(E640)&lt;=0,"택가보정 ","")&amp;IF(N(F640)&lt;=0,"원가보정 ","")&amp;IF(AND(B640&lt;&gt;"CN",N(H640)&lt;=0),"공급가보정 ","")&amp;IF(AND(B640="CN",N(I640)&lt;=0),"중국공급가=원가+마진 ",""))</f>
        <v/>
      </c>
      <c r="Q640" s="47" t="n">
        <f aca="false">IF(SUMIFS($W:$W,$A:$A,A640,$C:$C,C640)=0,0,SUMIFS(RAW_판매펀칭!$K:$K,RAW_판매펀칭!$P:$P,A640,RAW_판매펀칭!$I:$I,C640)*W640/SUMIFS($W:$W,$A:$A,A640,$C:$C,C640))</f>
        <v>0</v>
      </c>
      <c r="R640" s="47" t="n">
        <f aca="false">IF(OR(A640="500",A640="800",A640="810"),0,MAX(W640-Q640,0))</f>
        <v>0</v>
      </c>
      <c r="S640" s="47" t="n">
        <f aca="false">R640*L640</f>
        <v>0</v>
      </c>
      <c r="T640" s="47" t="n">
        <f aca="false">R640*J640</f>
        <v>0</v>
      </c>
      <c r="U640" s="47" t="n">
        <f aca="false">R640*K640</f>
        <v>0</v>
      </c>
      <c r="V640" s="0" t="str">
        <f aca="false">IF(COUNTIFS($A$2:A640,A640,$C$2:C640,C640,$D$2:D640,D640)&gt;1,"중복","")</f>
        <v/>
      </c>
      <c r="W640" s="0" t="n">
        <f aca="false">IF(V640="중복",0,N(D640))</f>
        <v>20</v>
      </c>
      <c r="X640" s="0" t="n">
        <f aca="false">IF(COUNTIFS($A$2:A640,A640,$C$2:C640,C640)=1,ABS(SUMIFS(RAW_발주!$D:$D,RAW_발주!$C:$C,A640,RAW_발주!$A:$A,C640)-SUMIFS($W:$W,$A:$A,A640,$C:$C,C640)),0)</f>
        <v>0</v>
      </c>
    </row>
    <row r="641" customFormat="false" ht="15" hidden="false" customHeight="true" outlineLevel="0" collapsed="false">
      <c r="A641" s="45" t="s">
        <v>1663</v>
      </c>
      <c r="B641" s="42" t="str">
        <f aca="false">IF(A641="100","HK",IF(A641="200","CN",IF(A641="300","TW","홀세일")))</f>
        <v>홀세일</v>
      </c>
      <c r="C641" s="45" t="s">
        <v>864</v>
      </c>
      <c r="D641" s="46" t="n">
        <v>10</v>
      </c>
      <c r="E641" s="46" t="n">
        <v>259000</v>
      </c>
      <c r="F641" s="46" t="n">
        <v>69168</v>
      </c>
      <c r="G641" s="42" t="n">
        <v>3.06</v>
      </c>
      <c r="H641" s="42" t="n">
        <v>64.9</v>
      </c>
      <c r="I641" s="42" t="n">
        <v>56.3</v>
      </c>
      <c r="J641" s="46" t="n">
        <f aca="false">IF(N(E641)&gt;0,E641,IF(N(F641)&gt;0,F641*요약!$F$27,0))</f>
        <v>259000</v>
      </c>
      <c r="K641" s="46" t="n">
        <f aca="false">IF(N(F641)&gt;0,F641,IF(N(E641)&gt;0,E641/요약!$F$27,0))</f>
        <v>69168</v>
      </c>
      <c r="L641" s="46" t="n">
        <f aca="false">IF(B641="CN",IF(N(I641)&gt;0,I641*요약!$G$27,K641*(1+요약!$E$27)),IF(N(H641)&gt;0,H641*요약!$G$27,J641*요약!$D$27))</f>
        <v>85668</v>
      </c>
      <c r="M641" s="46" t="n">
        <f aca="false">D641*J641</f>
        <v>2590000</v>
      </c>
      <c r="N641" s="46" t="n">
        <f aca="false">D641*K641</f>
        <v>691680</v>
      </c>
      <c r="O641" s="46" t="n">
        <f aca="false">D641*L641</f>
        <v>856680</v>
      </c>
      <c r="P641" s="42" t="str">
        <f aca="false">TRIM(IF(N(E641)&lt;=0,"택가보정 ","")&amp;IF(N(F641)&lt;=0,"원가보정 ","")&amp;IF(AND(B641&lt;&gt;"CN",N(H641)&lt;=0),"공급가보정 ","")&amp;IF(AND(B641="CN",N(I641)&lt;=0),"중국공급가=원가+마진 ",""))</f>
        <v/>
      </c>
      <c r="Q641" s="47" t="n">
        <f aca="false">IF(SUMIFS($W:$W,$A:$A,A641,$C:$C,C641)=0,0,SUMIFS(RAW_판매펀칭!$K:$K,RAW_판매펀칭!$P:$P,A641,RAW_판매펀칭!$I:$I,C641)*W641/SUMIFS($W:$W,$A:$A,A641,$C:$C,C641))</f>
        <v>10</v>
      </c>
      <c r="R641" s="47" t="n">
        <f aca="false">IF(OR(A641="500",A641="800",A641="810"),0,MAX(W641-Q641,0))</f>
        <v>0</v>
      </c>
      <c r="S641" s="47" t="n">
        <f aca="false">R641*L641</f>
        <v>0</v>
      </c>
      <c r="T641" s="47" t="n">
        <f aca="false">R641*J641</f>
        <v>0</v>
      </c>
      <c r="U641" s="47" t="n">
        <f aca="false">R641*K641</f>
        <v>0</v>
      </c>
      <c r="V641" s="0" t="str">
        <f aca="false">IF(COUNTIFS($A$2:A641,A641,$C$2:C641,C641,$D$2:D641,D641)&gt;1,"중복","")</f>
        <v/>
      </c>
      <c r="W641" s="0" t="n">
        <f aca="false">IF(V641="중복",0,N(D641))</f>
        <v>10</v>
      </c>
      <c r="X641" s="0" t="n">
        <f aca="false">IF(COUNTIFS($A$2:A641,A641,$C$2:C641,C641)=1,ABS(SUMIFS(RAW_발주!$D:$D,RAW_발주!$C:$C,A641,RAW_발주!$A:$A,C641)-SUMIFS($W:$W,$A:$A,A641,$C:$C,C641)),0)</f>
        <v>0</v>
      </c>
    </row>
    <row r="642" customFormat="false" ht="15" hidden="false" customHeight="true" outlineLevel="0" collapsed="false">
      <c r="A642" s="45" t="s">
        <v>1664</v>
      </c>
      <c r="B642" s="42" t="str">
        <f aca="false">IF(A642="100","HK",IF(A642="200","CN",IF(A642="300","TW","홀세일")))</f>
        <v>홀세일</v>
      </c>
      <c r="C642" s="45" t="s">
        <v>864</v>
      </c>
      <c r="D642" s="46" t="n">
        <v>10</v>
      </c>
      <c r="E642" s="46" t="n">
        <v>259000</v>
      </c>
      <c r="F642" s="46" t="n">
        <v>69168</v>
      </c>
      <c r="G642" s="42" t="n">
        <v>3.06</v>
      </c>
      <c r="H642" s="42" t="n">
        <v>64.9</v>
      </c>
      <c r="I642" s="42" t="n">
        <v>56.3</v>
      </c>
      <c r="J642" s="46" t="n">
        <f aca="false">IF(N(E642)&gt;0,E642,IF(N(F642)&gt;0,F642*요약!$F$27,0))</f>
        <v>259000</v>
      </c>
      <c r="K642" s="46" t="n">
        <f aca="false">IF(N(F642)&gt;0,F642,IF(N(E642)&gt;0,E642/요약!$F$27,0))</f>
        <v>69168</v>
      </c>
      <c r="L642" s="46" t="n">
        <f aca="false">IF(B642="CN",IF(N(I642)&gt;0,I642*요약!$G$27,K642*(1+요약!$E$27)),IF(N(H642)&gt;0,H642*요약!$G$27,J642*요약!$D$27))</f>
        <v>85668</v>
      </c>
      <c r="M642" s="46" t="n">
        <f aca="false">D642*J642</f>
        <v>2590000</v>
      </c>
      <c r="N642" s="46" t="n">
        <f aca="false">D642*K642</f>
        <v>691680</v>
      </c>
      <c r="O642" s="46" t="n">
        <f aca="false">D642*L642</f>
        <v>856680</v>
      </c>
      <c r="P642" s="42" t="str">
        <f aca="false">TRIM(IF(N(E642)&lt;=0,"택가보정 ","")&amp;IF(N(F642)&lt;=0,"원가보정 ","")&amp;IF(AND(B642&lt;&gt;"CN",N(H642)&lt;=0),"공급가보정 ","")&amp;IF(AND(B642="CN",N(I642)&lt;=0),"중국공급가=원가+마진 ",""))</f>
        <v/>
      </c>
      <c r="Q642" s="47" t="n">
        <f aca="false">IF(SUMIFS($W:$W,$A:$A,A642,$C:$C,C642)=0,0,SUMIFS(RAW_판매펀칭!$K:$K,RAW_판매펀칭!$P:$P,A642,RAW_판매펀칭!$I:$I,C642)*W642/SUMIFS($W:$W,$A:$A,A642,$C:$C,C642))</f>
        <v>0</v>
      </c>
      <c r="R642" s="47" t="n">
        <f aca="false">IF(OR(A642="500",A642="800",A642="810"),0,MAX(W642-Q642,0))</f>
        <v>0</v>
      </c>
      <c r="S642" s="47" t="n">
        <f aca="false">R642*L642</f>
        <v>0</v>
      </c>
      <c r="T642" s="47" t="n">
        <f aca="false">R642*J642</f>
        <v>0</v>
      </c>
      <c r="U642" s="47" t="n">
        <f aca="false">R642*K642</f>
        <v>0</v>
      </c>
      <c r="V642" s="0" t="str">
        <f aca="false">IF(COUNTIFS($A$2:A642,A642,$C$2:C642,C642,$D$2:D642,D642)&gt;1,"중복","")</f>
        <v/>
      </c>
      <c r="W642" s="0" t="n">
        <f aca="false">IF(V642="중복",0,N(D642))</f>
        <v>10</v>
      </c>
      <c r="X642" s="0" t="n">
        <f aca="false">IF(COUNTIFS($A$2:A642,A642,$C$2:C642,C642)=1,ABS(SUMIFS(RAW_발주!$D:$D,RAW_발주!$C:$C,A642,RAW_발주!$A:$A,C642)-SUMIFS($W:$W,$A:$A,A642,$C:$C,C642)),0)</f>
        <v>0</v>
      </c>
    </row>
    <row r="643" customFormat="false" ht="15" hidden="false" customHeight="true" outlineLevel="0" collapsed="false">
      <c r="A643" s="45" t="s">
        <v>1665</v>
      </c>
      <c r="B643" s="42" t="str">
        <f aca="false">IF(A643="100","HK",IF(A643="200","CN",IF(A643="300","TW","홀세일")))</f>
        <v>홀세일</v>
      </c>
      <c r="C643" s="45" t="s">
        <v>864</v>
      </c>
      <c r="D643" s="46" t="n">
        <v>36</v>
      </c>
      <c r="E643" s="46" t="n">
        <v>259000</v>
      </c>
      <c r="F643" s="46" t="n">
        <v>69168</v>
      </c>
      <c r="G643" s="42" t="n">
        <v>3.06</v>
      </c>
      <c r="H643" s="42" t="n">
        <v>64.9</v>
      </c>
      <c r="I643" s="42" t="n">
        <v>56.3</v>
      </c>
      <c r="J643" s="46" t="n">
        <f aca="false">IF(N(E643)&gt;0,E643,IF(N(F643)&gt;0,F643*요약!$F$27,0))</f>
        <v>259000</v>
      </c>
      <c r="K643" s="46" t="n">
        <f aca="false">IF(N(F643)&gt;0,F643,IF(N(E643)&gt;0,E643/요약!$F$27,0))</f>
        <v>69168</v>
      </c>
      <c r="L643" s="46" t="n">
        <f aca="false">IF(B643="CN",IF(N(I643)&gt;0,I643*요약!$G$27,K643*(1+요약!$E$27)),IF(N(H643)&gt;0,H643*요약!$G$27,J643*요약!$D$27))</f>
        <v>85668</v>
      </c>
      <c r="M643" s="46" t="n">
        <f aca="false">D643*J643</f>
        <v>9324000</v>
      </c>
      <c r="N643" s="46" t="n">
        <f aca="false">D643*K643</f>
        <v>2490048</v>
      </c>
      <c r="O643" s="46" t="n">
        <f aca="false">D643*L643</f>
        <v>3084048</v>
      </c>
      <c r="P643" s="42" t="str">
        <f aca="false">TRIM(IF(N(E643)&lt;=0,"택가보정 ","")&amp;IF(N(F643)&lt;=0,"원가보정 ","")&amp;IF(AND(B643&lt;&gt;"CN",N(H643)&lt;=0),"공급가보정 ","")&amp;IF(AND(B643="CN",N(I643)&lt;=0),"중국공급가=원가+마진 ",""))</f>
        <v/>
      </c>
      <c r="Q643" s="47" t="n">
        <f aca="false">IF(SUMIFS($W:$W,$A:$A,A643,$C:$C,C643)=0,0,SUMIFS(RAW_판매펀칭!$K:$K,RAW_판매펀칭!$P:$P,A643,RAW_판매펀칭!$I:$I,C643)*W643/SUMIFS($W:$W,$A:$A,A643,$C:$C,C643))</f>
        <v>0</v>
      </c>
      <c r="R643" s="47" t="n">
        <f aca="false">IF(OR(A643="500",A643="800",A643="810"),0,MAX(W643-Q643,0))</f>
        <v>0</v>
      </c>
      <c r="S643" s="47" t="n">
        <f aca="false">R643*L643</f>
        <v>0</v>
      </c>
      <c r="T643" s="47" t="n">
        <f aca="false">R643*J643</f>
        <v>0</v>
      </c>
      <c r="U643" s="47" t="n">
        <f aca="false">R643*K643</f>
        <v>0</v>
      </c>
      <c r="V643" s="0" t="str">
        <f aca="false">IF(COUNTIFS($A$2:A643,A643,$C$2:C643,C643,$D$2:D643,D643)&gt;1,"중복","")</f>
        <v/>
      </c>
      <c r="W643" s="0" t="n">
        <f aca="false">IF(V643="중복",0,N(D643))</f>
        <v>36</v>
      </c>
      <c r="X643" s="0" t="n">
        <f aca="false">IF(COUNTIFS($A$2:A643,A643,$C$2:C643,C643)=1,ABS(SUMIFS(RAW_발주!$D:$D,RAW_발주!$C:$C,A643,RAW_발주!$A:$A,C643)-SUMIFS($W:$W,$A:$A,A643,$C:$C,C643)),0)</f>
        <v>0</v>
      </c>
    </row>
    <row r="644" customFormat="false" ht="15" hidden="false" customHeight="true" outlineLevel="0" collapsed="false">
      <c r="A644" s="45" t="s">
        <v>1659</v>
      </c>
      <c r="B644" s="42" t="str">
        <f aca="false">IF(A644="100","HK",IF(A644="200","CN",IF(A644="300","TW","홀세일")))</f>
        <v>HK</v>
      </c>
      <c r="C644" s="45" t="s">
        <v>866</v>
      </c>
      <c r="D644" s="46" t="n">
        <v>390</v>
      </c>
      <c r="E644" s="46" t="n">
        <v>109000</v>
      </c>
      <c r="F644" s="46" t="n">
        <v>27683</v>
      </c>
      <c r="G644" s="42" t="n">
        <v>3.19</v>
      </c>
      <c r="H644" s="42" t="n">
        <v>27.3</v>
      </c>
      <c r="I644" s="42" t="n">
        <v>22.5</v>
      </c>
      <c r="J644" s="46" t="n">
        <f aca="false">IF(N(E644)&gt;0,E644,IF(N(F644)&gt;0,F644*요약!$F$27,0))</f>
        <v>109000</v>
      </c>
      <c r="K644" s="46" t="n">
        <f aca="false">IF(N(F644)&gt;0,F644,IF(N(E644)&gt;0,E644/요약!$F$27,0))</f>
        <v>27683</v>
      </c>
      <c r="L644" s="46" t="n">
        <f aca="false">IF(B644="CN",IF(N(I644)&gt;0,I644*요약!$G$27,K644*(1+요약!$E$27)),IF(N(H644)&gt;0,H644*요약!$G$27,J644*요약!$D$27))</f>
        <v>36036</v>
      </c>
      <c r="M644" s="46" t="n">
        <f aca="false">D644*J644</f>
        <v>42510000</v>
      </c>
      <c r="N644" s="46" t="n">
        <f aca="false">D644*K644</f>
        <v>10796370</v>
      </c>
      <c r="O644" s="46" t="n">
        <f aca="false">D644*L644</f>
        <v>14054040</v>
      </c>
      <c r="P644" s="42" t="str">
        <f aca="false">TRIM(IF(N(E644)&lt;=0,"택가보정 ","")&amp;IF(N(F644)&lt;=0,"원가보정 ","")&amp;IF(AND(B644&lt;&gt;"CN",N(H644)&lt;=0),"공급가보정 ","")&amp;IF(AND(B644="CN",N(I644)&lt;=0),"중국공급가=원가+마진 ",""))</f>
        <v/>
      </c>
      <c r="Q644" s="47" t="n">
        <f aca="false">IF(SUMIFS($W:$W,$A:$A,A644,$C:$C,C644)=0,0,SUMIFS(RAW_판매펀칭!$K:$K,RAW_판매펀칭!$P:$P,A644,RAW_판매펀칭!$I:$I,C644)*W644/SUMIFS($W:$W,$A:$A,A644,$C:$C,C644))</f>
        <v>390</v>
      </c>
      <c r="R644" s="47" t="n">
        <f aca="false">IF(OR(A644="500",A644="800",A644="810"),0,MAX(W644-Q644,0))</f>
        <v>0</v>
      </c>
      <c r="S644" s="47" t="n">
        <f aca="false">R644*L644</f>
        <v>0</v>
      </c>
      <c r="T644" s="47" t="n">
        <f aca="false">R644*J644</f>
        <v>0</v>
      </c>
      <c r="U644" s="47" t="n">
        <f aca="false">R644*K644</f>
        <v>0</v>
      </c>
      <c r="V644" s="0" t="str">
        <f aca="false">IF(COUNTIFS($A$2:A644,A644,$C$2:C644,C644,$D$2:D644,D644)&gt;1,"중복","")</f>
        <v/>
      </c>
      <c r="W644" s="0" t="n">
        <f aca="false">IF(V644="중복",0,N(D644))</f>
        <v>390</v>
      </c>
      <c r="X644" s="0" t="n">
        <f aca="false">IF(COUNTIFS($A$2:A644,A644,$C$2:C644,C644)=1,ABS(SUMIFS(RAW_발주!$D:$D,RAW_발주!$C:$C,A644,RAW_발주!$A:$A,C644)-SUMIFS($W:$W,$A:$A,A644,$C:$C,C644)),0)</f>
        <v>0</v>
      </c>
    </row>
    <row r="645" customFormat="false" ht="15" hidden="false" customHeight="true" outlineLevel="0" collapsed="false">
      <c r="A645" s="45" t="s">
        <v>1660</v>
      </c>
      <c r="B645" s="42" t="str">
        <f aca="false">IF(A645="100","HK",IF(A645="200","CN",IF(A645="300","TW","홀세일")))</f>
        <v>CN</v>
      </c>
      <c r="C645" s="45" t="s">
        <v>866</v>
      </c>
      <c r="D645" s="46" t="n">
        <v>243</v>
      </c>
      <c r="E645" s="46" t="n">
        <v>109000</v>
      </c>
      <c r="F645" s="46" t="n">
        <v>27683</v>
      </c>
      <c r="G645" s="42" t="n">
        <v>3.19</v>
      </c>
      <c r="H645" s="42" t="n">
        <v>27.3</v>
      </c>
      <c r="I645" s="42" t="n">
        <v>22.5</v>
      </c>
      <c r="J645" s="46" t="n">
        <f aca="false">IF(N(E645)&gt;0,E645,IF(N(F645)&gt;0,F645*요약!$F$27,0))</f>
        <v>109000</v>
      </c>
      <c r="K645" s="46" t="n">
        <f aca="false">IF(N(F645)&gt;0,F645,IF(N(E645)&gt;0,E645/요약!$F$27,0))</f>
        <v>27683</v>
      </c>
      <c r="L645" s="46" t="n">
        <f aca="false">IF(B645="CN",IF(N(I645)&gt;0,I645*요약!$G$27,K645*(1+요약!$E$27)),IF(N(H645)&gt;0,H645*요약!$G$27,J645*요약!$D$27))</f>
        <v>29700</v>
      </c>
      <c r="M645" s="46" t="n">
        <f aca="false">D645*J645</f>
        <v>26487000</v>
      </c>
      <c r="N645" s="46" t="n">
        <f aca="false">D645*K645</f>
        <v>6726969</v>
      </c>
      <c r="O645" s="46" t="n">
        <f aca="false">D645*L645</f>
        <v>7217100</v>
      </c>
      <c r="P645" s="42" t="str">
        <f aca="false">TRIM(IF(N(E645)&lt;=0,"택가보정 ","")&amp;IF(N(F645)&lt;=0,"원가보정 ","")&amp;IF(AND(B645&lt;&gt;"CN",N(H645)&lt;=0),"공급가보정 ","")&amp;IF(AND(B645="CN",N(I645)&lt;=0),"중국공급가=원가+마진 ",""))</f>
        <v/>
      </c>
      <c r="Q645" s="47" t="n">
        <f aca="false">IF(SUMIFS($W:$W,$A:$A,A645,$C:$C,C645)=0,0,SUMIFS(RAW_판매펀칭!$K:$K,RAW_판매펀칭!$P:$P,A645,RAW_판매펀칭!$I:$I,C645)*W645/SUMIFS($W:$W,$A:$A,A645,$C:$C,C645))</f>
        <v>243</v>
      </c>
      <c r="R645" s="47" t="n">
        <f aca="false">IF(OR(A645="500",A645="800",A645="810"),0,MAX(W645-Q645,0))</f>
        <v>0</v>
      </c>
      <c r="S645" s="47" t="n">
        <f aca="false">R645*L645</f>
        <v>0</v>
      </c>
      <c r="T645" s="47" t="n">
        <f aca="false">R645*J645</f>
        <v>0</v>
      </c>
      <c r="U645" s="47" t="n">
        <f aca="false">R645*K645</f>
        <v>0</v>
      </c>
      <c r="V645" s="0" t="str">
        <f aca="false">IF(COUNTIFS($A$2:A645,A645,$C$2:C645,C645,$D$2:D645,D645)&gt;1,"중복","")</f>
        <v/>
      </c>
      <c r="W645" s="0" t="n">
        <f aca="false">IF(V645="중복",0,N(D645))</f>
        <v>243</v>
      </c>
      <c r="X645" s="0" t="n">
        <f aca="false">IF(COUNTIFS($A$2:A645,A645,$C$2:C645,C645)=1,ABS(SUMIFS(RAW_발주!$D:$D,RAW_발주!$C:$C,A645,RAW_발주!$A:$A,C645)-SUMIFS($W:$W,$A:$A,A645,$C:$C,C645)),0)</f>
        <v>0</v>
      </c>
    </row>
    <row r="646" customFormat="false" ht="15" hidden="false" customHeight="true" outlineLevel="0" collapsed="false">
      <c r="A646" s="45" t="s">
        <v>1663</v>
      </c>
      <c r="B646" s="42" t="str">
        <f aca="false">IF(A646="100","HK",IF(A646="200","CN",IF(A646="300","TW","홀세일")))</f>
        <v>홀세일</v>
      </c>
      <c r="C646" s="45" t="s">
        <v>866</v>
      </c>
      <c r="D646" s="46" t="n">
        <v>35</v>
      </c>
      <c r="E646" s="46" t="n">
        <v>109000</v>
      </c>
      <c r="F646" s="46" t="n">
        <v>27683</v>
      </c>
      <c r="G646" s="42" t="n">
        <v>3.19</v>
      </c>
      <c r="H646" s="42" t="n">
        <v>27.3</v>
      </c>
      <c r="I646" s="42" t="n">
        <v>22.5</v>
      </c>
      <c r="J646" s="46" t="n">
        <f aca="false">IF(N(E646)&gt;0,E646,IF(N(F646)&gt;0,F646*요약!$F$27,0))</f>
        <v>109000</v>
      </c>
      <c r="K646" s="46" t="n">
        <f aca="false">IF(N(F646)&gt;0,F646,IF(N(E646)&gt;0,E646/요약!$F$27,0))</f>
        <v>27683</v>
      </c>
      <c r="L646" s="46" t="n">
        <f aca="false">IF(B646="CN",IF(N(I646)&gt;0,I646*요약!$G$27,K646*(1+요약!$E$27)),IF(N(H646)&gt;0,H646*요약!$G$27,J646*요약!$D$27))</f>
        <v>36036</v>
      </c>
      <c r="M646" s="46" t="n">
        <f aca="false">D646*J646</f>
        <v>3815000</v>
      </c>
      <c r="N646" s="46" t="n">
        <f aca="false">D646*K646</f>
        <v>968905</v>
      </c>
      <c r="O646" s="46" t="n">
        <f aca="false">D646*L646</f>
        <v>1261260</v>
      </c>
      <c r="P646" s="42" t="str">
        <f aca="false">TRIM(IF(N(E646)&lt;=0,"택가보정 ","")&amp;IF(N(F646)&lt;=0,"원가보정 ","")&amp;IF(AND(B646&lt;&gt;"CN",N(H646)&lt;=0),"공급가보정 ","")&amp;IF(AND(B646="CN",N(I646)&lt;=0),"중국공급가=원가+마진 ",""))</f>
        <v/>
      </c>
      <c r="Q646" s="47" t="n">
        <f aca="false">IF(SUMIFS($W:$W,$A:$A,A646,$C:$C,C646)=0,0,SUMIFS(RAW_판매펀칭!$K:$K,RAW_판매펀칭!$P:$P,A646,RAW_판매펀칭!$I:$I,C646)*W646/SUMIFS($W:$W,$A:$A,A646,$C:$C,C646))</f>
        <v>35</v>
      </c>
      <c r="R646" s="47" t="n">
        <f aca="false">IF(OR(A646="500",A646="800",A646="810"),0,MAX(W646-Q646,0))</f>
        <v>0</v>
      </c>
      <c r="S646" s="47" t="n">
        <f aca="false">R646*L646</f>
        <v>0</v>
      </c>
      <c r="T646" s="47" t="n">
        <f aca="false">R646*J646</f>
        <v>0</v>
      </c>
      <c r="U646" s="47" t="n">
        <f aca="false">R646*K646</f>
        <v>0</v>
      </c>
      <c r="V646" s="0" t="str">
        <f aca="false">IF(COUNTIFS($A$2:A646,A646,$C$2:C646,C646,$D$2:D646,D646)&gt;1,"중복","")</f>
        <v/>
      </c>
      <c r="W646" s="0" t="n">
        <f aca="false">IF(V646="중복",0,N(D646))</f>
        <v>35</v>
      </c>
      <c r="X646" s="0" t="n">
        <f aca="false">IF(COUNTIFS($A$2:A646,A646,$C$2:C646,C646)=1,ABS(SUMIFS(RAW_발주!$D:$D,RAW_발주!$C:$C,A646,RAW_발주!$A:$A,C646)-SUMIFS($W:$W,$A:$A,A646,$C:$C,C646)),0)</f>
        <v>0</v>
      </c>
    </row>
    <row r="647" customFormat="false" ht="15" hidden="false" customHeight="true" outlineLevel="0" collapsed="false">
      <c r="A647" s="45" t="s">
        <v>1665</v>
      </c>
      <c r="B647" s="42" t="str">
        <f aca="false">IF(A647="100","HK",IF(A647="200","CN",IF(A647="300","TW","홀세일")))</f>
        <v>홀세일</v>
      </c>
      <c r="C647" s="45" t="s">
        <v>866</v>
      </c>
      <c r="D647" s="46" t="n">
        <v>36</v>
      </c>
      <c r="E647" s="46" t="n">
        <v>109000</v>
      </c>
      <c r="F647" s="46" t="n">
        <v>27683</v>
      </c>
      <c r="G647" s="42" t="n">
        <v>3.19</v>
      </c>
      <c r="H647" s="42" t="n">
        <v>27.3</v>
      </c>
      <c r="I647" s="42" t="n">
        <v>22.5</v>
      </c>
      <c r="J647" s="46" t="n">
        <f aca="false">IF(N(E647)&gt;0,E647,IF(N(F647)&gt;0,F647*요약!$F$27,0))</f>
        <v>109000</v>
      </c>
      <c r="K647" s="46" t="n">
        <f aca="false">IF(N(F647)&gt;0,F647,IF(N(E647)&gt;0,E647/요약!$F$27,0))</f>
        <v>27683</v>
      </c>
      <c r="L647" s="46" t="n">
        <f aca="false">IF(B647="CN",IF(N(I647)&gt;0,I647*요약!$G$27,K647*(1+요약!$E$27)),IF(N(H647)&gt;0,H647*요약!$G$27,J647*요약!$D$27))</f>
        <v>36036</v>
      </c>
      <c r="M647" s="46" t="n">
        <f aca="false">D647*J647</f>
        <v>3924000</v>
      </c>
      <c r="N647" s="46" t="n">
        <f aca="false">D647*K647</f>
        <v>996588</v>
      </c>
      <c r="O647" s="46" t="n">
        <f aca="false">D647*L647</f>
        <v>1297296</v>
      </c>
      <c r="P647" s="42" t="str">
        <f aca="false">TRIM(IF(N(E647)&lt;=0,"택가보정 ","")&amp;IF(N(F647)&lt;=0,"원가보정 ","")&amp;IF(AND(B647&lt;&gt;"CN",N(H647)&lt;=0),"공급가보정 ","")&amp;IF(AND(B647="CN",N(I647)&lt;=0),"중국공급가=원가+마진 ",""))</f>
        <v/>
      </c>
      <c r="Q647" s="47" t="n">
        <f aca="false">IF(SUMIFS($W:$W,$A:$A,A647,$C:$C,C647)=0,0,SUMIFS(RAW_판매펀칭!$K:$K,RAW_판매펀칭!$P:$P,A647,RAW_판매펀칭!$I:$I,C647)*W647/SUMIFS($W:$W,$A:$A,A647,$C:$C,C647))</f>
        <v>0</v>
      </c>
      <c r="R647" s="47" t="n">
        <f aca="false">IF(OR(A647="500",A647="800",A647="810"),0,MAX(W647-Q647,0))</f>
        <v>0</v>
      </c>
      <c r="S647" s="47" t="n">
        <f aca="false">R647*L647</f>
        <v>0</v>
      </c>
      <c r="T647" s="47" t="n">
        <f aca="false">R647*J647</f>
        <v>0</v>
      </c>
      <c r="U647" s="47" t="n">
        <f aca="false">R647*K647</f>
        <v>0</v>
      </c>
      <c r="V647" s="0" t="str">
        <f aca="false">IF(COUNTIFS($A$2:A647,A647,$C$2:C647,C647,$D$2:D647,D647)&gt;1,"중복","")</f>
        <v/>
      </c>
      <c r="W647" s="0" t="n">
        <f aca="false">IF(V647="중복",0,N(D647))</f>
        <v>36</v>
      </c>
      <c r="X647" s="0" t="n">
        <f aca="false">IF(COUNTIFS($A$2:A647,A647,$C$2:C647,C647)=1,ABS(SUMIFS(RAW_발주!$D:$D,RAW_발주!$C:$C,A647,RAW_발주!$A:$A,C647)-SUMIFS($W:$W,$A:$A,A647,$C:$C,C647)),0)</f>
        <v>0</v>
      </c>
    </row>
    <row r="648" customFormat="false" ht="15" hidden="false" customHeight="true" outlineLevel="0" collapsed="false">
      <c r="A648" s="45" t="s">
        <v>1666</v>
      </c>
      <c r="B648" s="42" t="str">
        <f aca="false">IF(A648="100","HK",IF(A648="200","CN",IF(A648="300","TW","홀세일")))</f>
        <v>홀세일</v>
      </c>
      <c r="C648" s="45" t="s">
        <v>866</v>
      </c>
      <c r="D648" s="46" t="n">
        <v>350</v>
      </c>
      <c r="E648" s="46" t="n">
        <v>109000</v>
      </c>
      <c r="F648" s="46" t="n">
        <v>27683</v>
      </c>
      <c r="G648" s="42" t="n">
        <v>3.19</v>
      </c>
      <c r="H648" s="42" t="n">
        <v>27.3</v>
      </c>
      <c r="I648" s="42" t="n">
        <v>22.5</v>
      </c>
      <c r="J648" s="46" t="n">
        <f aca="false">IF(N(E648)&gt;0,E648,IF(N(F648)&gt;0,F648*요약!$F$27,0))</f>
        <v>109000</v>
      </c>
      <c r="K648" s="46" t="n">
        <f aca="false">IF(N(F648)&gt;0,F648,IF(N(E648)&gt;0,E648/요약!$F$27,0))</f>
        <v>27683</v>
      </c>
      <c r="L648" s="46" t="n">
        <f aca="false">IF(B648="CN",IF(N(I648)&gt;0,I648*요약!$G$27,K648*(1+요약!$E$27)),IF(N(H648)&gt;0,H648*요약!$G$27,J648*요약!$D$27))</f>
        <v>36036</v>
      </c>
      <c r="M648" s="46" t="n">
        <f aca="false">D648*J648</f>
        <v>38150000</v>
      </c>
      <c r="N648" s="46" t="n">
        <f aca="false">D648*K648</f>
        <v>9689050</v>
      </c>
      <c r="O648" s="46" t="n">
        <f aca="false">D648*L648</f>
        <v>12612600</v>
      </c>
      <c r="P648" s="42" t="str">
        <f aca="false">TRIM(IF(N(E648)&lt;=0,"택가보정 ","")&amp;IF(N(F648)&lt;=0,"원가보정 ","")&amp;IF(AND(B648&lt;&gt;"CN",N(H648)&lt;=0),"공급가보정 ","")&amp;IF(AND(B648="CN",N(I648)&lt;=0),"중국공급가=원가+마진 ",""))</f>
        <v/>
      </c>
      <c r="Q648" s="47" t="n">
        <f aca="false">IF(SUMIFS($W:$W,$A:$A,A648,$C:$C,C648)=0,0,SUMIFS(RAW_판매펀칭!$K:$K,RAW_판매펀칭!$P:$P,A648,RAW_판매펀칭!$I:$I,C648)*W648/SUMIFS($W:$W,$A:$A,A648,$C:$C,C648))</f>
        <v>350</v>
      </c>
      <c r="R648" s="47" t="n">
        <f aca="false">IF(OR(A648="500",A648="800",A648="810"),0,MAX(W648-Q648,0))</f>
        <v>0</v>
      </c>
      <c r="S648" s="47" t="n">
        <f aca="false">R648*L648</f>
        <v>0</v>
      </c>
      <c r="T648" s="47" t="n">
        <f aca="false">R648*J648</f>
        <v>0</v>
      </c>
      <c r="U648" s="47" t="n">
        <f aca="false">R648*K648</f>
        <v>0</v>
      </c>
      <c r="V648" s="0" t="str">
        <f aca="false">IF(COUNTIFS($A$2:A648,A648,$C$2:C648,C648,$D$2:D648,D648)&gt;1,"중복","")</f>
        <v/>
      </c>
      <c r="W648" s="0" t="n">
        <f aca="false">IF(V648="중복",0,N(D648))</f>
        <v>350</v>
      </c>
      <c r="X648" s="0" t="n">
        <f aca="false">IF(COUNTIFS($A$2:A648,A648,$C$2:C648,C648)=1,ABS(SUMIFS(RAW_발주!$D:$D,RAW_발주!$C:$C,A648,RAW_발주!$A:$A,C648)-SUMIFS($W:$W,$A:$A,A648,$C:$C,C648)),0)</f>
        <v>0</v>
      </c>
    </row>
    <row r="649" customFormat="false" ht="15" hidden="false" customHeight="true" outlineLevel="0" collapsed="false">
      <c r="A649" s="45" t="s">
        <v>1661</v>
      </c>
      <c r="B649" s="42" t="str">
        <f aca="false">IF(A649="100","HK",IF(A649="200","CN",IF(A649="300","TW","홀세일")))</f>
        <v>TW</v>
      </c>
      <c r="C649" s="45" t="s">
        <v>368</v>
      </c>
      <c r="D649" s="46" t="n">
        <v>500</v>
      </c>
      <c r="E649" s="46" t="n">
        <v>89000</v>
      </c>
      <c r="F649" s="46" t="n">
        <v>19821</v>
      </c>
      <c r="G649" s="42" t="n">
        <v>3.36</v>
      </c>
      <c r="H649" s="42" t="n">
        <v>22.3</v>
      </c>
      <c r="I649" s="42" t="n">
        <v>0</v>
      </c>
      <c r="J649" s="46" t="n">
        <f aca="false">IF(N(E649)&gt;0,E649,IF(N(F649)&gt;0,F649*요약!$F$27,0))</f>
        <v>89000</v>
      </c>
      <c r="K649" s="46" t="n">
        <f aca="false">IF(N(F649)&gt;0,F649,IF(N(E649)&gt;0,E649/요약!$F$27,0))</f>
        <v>19821</v>
      </c>
      <c r="L649" s="46" t="n">
        <f aca="false">IF(B649="CN",IF(N(I649)&gt;0,I649*요약!$G$27,K649*(1+요약!$E$27)),IF(N(H649)&gt;0,H649*요약!$G$27,J649*요약!$D$27))</f>
        <v>29436</v>
      </c>
      <c r="M649" s="46" t="n">
        <f aca="false">D649*J649</f>
        <v>44500000</v>
      </c>
      <c r="N649" s="46" t="n">
        <f aca="false">D649*K649</f>
        <v>9910500</v>
      </c>
      <c r="O649" s="46" t="n">
        <f aca="false">D649*L649</f>
        <v>14718000</v>
      </c>
      <c r="P649" s="42" t="str">
        <f aca="false">TRIM(IF(N(E649)&lt;=0,"택가보정 ","")&amp;IF(N(F649)&lt;=0,"원가보정 ","")&amp;IF(AND(B649&lt;&gt;"CN",N(H649)&lt;=0),"공급가보정 ","")&amp;IF(AND(B649="CN",N(I649)&lt;=0),"중국공급가=원가+마진 ",""))</f>
        <v/>
      </c>
      <c r="Q649" s="47" t="n">
        <f aca="false">IF(SUMIFS($W:$W,$A:$A,A649,$C:$C,C649)=0,0,SUMIFS(RAW_판매펀칭!$K:$K,RAW_판매펀칭!$P:$P,A649,RAW_판매펀칭!$I:$I,C649)*W649/SUMIFS($W:$W,$A:$A,A649,$C:$C,C649))</f>
        <v>500</v>
      </c>
      <c r="R649" s="47" t="n">
        <f aca="false">IF(OR(A649="500",A649="800",A649="810"),0,MAX(W649-Q649,0))</f>
        <v>0</v>
      </c>
      <c r="S649" s="47" t="n">
        <f aca="false">R649*L649</f>
        <v>0</v>
      </c>
      <c r="T649" s="47" t="n">
        <f aca="false">R649*J649</f>
        <v>0</v>
      </c>
      <c r="U649" s="47" t="n">
        <f aca="false">R649*K649</f>
        <v>0</v>
      </c>
      <c r="V649" s="0" t="str">
        <f aca="false">IF(COUNTIFS($A$2:A649,A649,$C$2:C649,C649,$D$2:D649,D649)&gt;1,"중복","")</f>
        <v/>
      </c>
      <c r="W649" s="0" t="n">
        <f aca="false">IF(V649="중복",0,N(D649))</f>
        <v>500</v>
      </c>
      <c r="X649" s="0" t="n">
        <f aca="false">IF(COUNTIFS($A$2:A649,A649,$C$2:C649,C649)=1,ABS(SUMIFS(RAW_발주!$D:$D,RAW_발주!$C:$C,A649,RAW_발주!$A:$A,C649)-SUMIFS($W:$W,$A:$A,A649,$C:$C,C649)),0)</f>
        <v>0</v>
      </c>
    </row>
    <row r="650" customFormat="false" ht="15" hidden="false" customHeight="true" outlineLevel="0" collapsed="false">
      <c r="A650" s="45" t="s">
        <v>1663</v>
      </c>
      <c r="B650" s="42" t="str">
        <f aca="false">IF(A650="100","HK",IF(A650="200","CN",IF(A650="300","TW","홀세일")))</f>
        <v>홀세일</v>
      </c>
      <c r="C650" s="45" t="s">
        <v>368</v>
      </c>
      <c r="D650" s="46" t="n">
        <v>50</v>
      </c>
      <c r="E650" s="46" t="n">
        <v>89000</v>
      </c>
      <c r="F650" s="46" t="n">
        <v>19821</v>
      </c>
      <c r="G650" s="42" t="n">
        <v>3.36</v>
      </c>
      <c r="H650" s="42" t="n">
        <v>22.3</v>
      </c>
      <c r="I650" s="42" t="n">
        <v>0</v>
      </c>
      <c r="J650" s="46" t="n">
        <f aca="false">IF(N(E650)&gt;0,E650,IF(N(F650)&gt;0,F650*요약!$F$27,0))</f>
        <v>89000</v>
      </c>
      <c r="K650" s="46" t="n">
        <f aca="false">IF(N(F650)&gt;0,F650,IF(N(E650)&gt;0,E650/요약!$F$27,0))</f>
        <v>19821</v>
      </c>
      <c r="L650" s="46" t="n">
        <f aca="false">IF(B650="CN",IF(N(I650)&gt;0,I650*요약!$G$27,K650*(1+요약!$E$27)),IF(N(H650)&gt;0,H650*요약!$G$27,J650*요약!$D$27))</f>
        <v>29436</v>
      </c>
      <c r="M650" s="46" t="n">
        <f aca="false">D650*J650</f>
        <v>4450000</v>
      </c>
      <c r="N650" s="46" t="n">
        <f aca="false">D650*K650</f>
        <v>991050</v>
      </c>
      <c r="O650" s="46" t="n">
        <f aca="false">D650*L650</f>
        <v>1471800</v>
      </c>
      <c r="P650" s="42" t="str">
        <f aca="false">TRIM(IF(N(E650)&lt;=0,"택가보정 ","")&amp;IF(N(F650)&lt;=0,"원가보정 ","")&amp;IF(AND(B650&lt;&gt;"CN",N(H650)&lt;=0),"공급가보정 ","")&amp;IF(AND(B650="CN",N(I650)&lt;=0),"중국공급가=원가+마진 ",""))</f>
        <v/>
      </c>
      <c r="Q650" s="47" t="n">
        <f aca="false">IF(SUMIFS($W:$W,$A:$A,A650,$C:$C,C650)=0,0,SUMIFS(RAW_판매펀칭!$K:$K,RAW_판매펀칭!$P:$P,A650,RAW_판매펀칭!$I:$I,C650)*W650/SUMIFS($W:$W,$A:$A,A650,$C:$C,C650))</f>
        <v>50</v>
      </c>
      <c r="R650" s="47" t="n">
        <f aca="false">IF(OR(A650="500",A650="800",A650="810"),0,MAX(W650-Q650,0))</f>
        <v>0</v>
      </c>
      <c r="S650" s="47" t="n">
        <f aca="false">R650*L650</f>
        <v>0</v>
      </c>
      <c r="T650" s="47" t="n">
        <f aca="false">R650*J650</f>
        <v>0</v>
      </c>
      <c r="U650" s="47" t="n">
        <f aca="false">R650*K650</f>
        <v>0</v>
      </c>
      <c r="V650" s="0" t="str">
        <f aca="false">IF(COUNTIFS($A$2:A650,A650,$C$2:C650,C650,$D$2:D650,D650)&gt;1,"중복","")</f>
        <v/>
      </c>
      <c r="W650" s="0" t="n">
        <f aca="false">IF(V650="중복",0,N(D650))</f>
        <v>50</v>
      </c>
      <c r="X650" s="0" t="n">
        <f aca="false">IF(COUNTIFS($A$2:A650,A650,$C$2:C650,C650)=1,ABS(SUMIFS(RAW_발주!$D:$D,RAW_발주!$C:$C,A650,RAW_발주!$A:$A,C650)-SUMIFS($W:$W,$A:$A,A650,$C:$C,C650)),0)</f>
        <v>0</v>
      </c>
    </row>
    <row r="651" customFormat="false" ht="15" hidden="false" customHeight="true" outlineLevel="0" collapsed="false">
      <c r="A651" s="45" t="s">
        <v>1667</v>
      </c>
      <c r="B651" s="42" t="str">
        <f aca="false">IF(A651="100","HK",IF(A651="200","CN",IF(A651="300","TW","홀세일")))</f>
        <v>홀세일</v>
      </c>
      <c r="C651" s="45" t="s">
        <v>368</v>
      </c>
      <c r="D651" s="46" t="n">
        <v>102</v>
      </c>
      <c r="E651" s="46" t="n">
        <v>89000</v>
      </c>
      <c r="F651" s="46" t="n">
        <v>19821</v>
      </c>
      <c r="G651" s="42" t="n">
        <v>3.36</v>
      </c>
      <c r="H651" s="42" t="n">
        <v>22.3</v>
      </c>
      <c r="I651" s="42" t="n">
        <v>0</v>
      </c>
      <c r="J651" s="46" t="n">
        <f aca="false">IF(N(E651)&gt;0,E651,IF(N(F651)&gt;0,F651*요약!$F$27,0))</f>
        <v>89000</v>
      </c>
      <c r="K651" s="46" t="n">
        <f aca="false">IF(N(F651)&gt;0,F651,IF(N(E651)&gt;0,E651/요약!$F$27,0))</f>
        <v>19821</v>
      </c>
      <c r="L651" s="46" t="n">
        <f aca="false">IF(B651="CN",IF(N(I651)&gt;0,I651*요약!$G$27,K651*(1+요약!$E$27)),IF(N(H651)&gt;0,H651*요약!$G$27,J651*요약!$D$27))</f>
        <v>29436</v>
      </c>
      <c r="M651" s="46" t="n">
        <f aca="false">D651*J651</f>
        <v>9078000</v>
      </c>
      <c r="N651" s="46" t="n">
        <f aca="false">D651*K651</f>
        <v>2021742</v>
      </c>
      <c r="O651" s="46" t="n">
        <f aca="false">D651*L651</f>
        <v>3002472</v>
      </c>
      <c r="P651" s="42" t="str">
        <f aca="false">TRIM(IF(N(E651)&lt;=0,"택가보정 ","")&amp;IF(N(F651)&lt;=0,"원가보정 ","")&amp;IF(AND(B651&lt;&gt;"CN",N(H651)&lt;=0),"공급가보정 ","")&amp;IF(AND(B651="CN",N(I651)&lt;=0),"중국공급가=원가+마진 ",""))</f>
        <v/>
      </c>
      <c r="Q651" s="47" t="n">
        <f aca="false">IF(SUMIFS($W:$W,$A:$A,A651,$C:$C,C651)=0,0,SUMIFS(RAW_판매펀칭!$K:$K,RAW_판매펀칭!$P:$P,A651,RAW_판매펀칭!$I:$I,C651)*W651/SUMIFS($W:$W,$A:$A,A651,$C:$C,C651))</f>
        <v>0</v>
      </c>
      <c r="R651" s="47" t="n">
        <f aca="false">IF(OR(A651="500",A651="800",A651="810"),0,MAX(W651-Q651,0))</f>
        <v>102</v>
      </c>
      <c r="S651" s="47" t="n">
        <f aca="false">R651*L651</f>
        <v>3002472</v>
      </c>
      <c r="T651" s="47" t="n">
        <f aca="false">R651*J651</f>
        <v>9078000</v>
      </c>
      <c r="U651" s="47" t="n">
        <f aca="false">R651*K651</f>
        <v>2021742</v>
      </c>
      <c r="V651" s="0" t="str">
        <f aca="false">IF(COUNTIFS($A$2:A651,A651,$C$2:C651,C651,$D$2:D651,D651)&gt;1,"중복","")</f>
        <v/>
      </c>
      <c r="W651" s="0" t="n">
        <f aca="false">IF(V651="중복",0,N(D651))</f>
        <v>102</v>
      </c>
      <c r="X651" s="0" t="n">
        <f aca="false">IF(COUNTIFS($A$2:A651,A651,$C$2:C651,C651)=1,ABS(SUMIFS(RAW_발주!$D:$D,RAW_발주!$C:$C,A651,RAW_발주!$A:$A,C651)-SUMIFS($W:$W,$A:$A,A651,$C:$C,C651)),0)</f>
        <v>0</v>
      </c>
    </row>
    <row r="652" customFormat="false" ht="15" hidden="false" customHeight="true" outlineLevel="0" collapsed="false">
      <c r="A652" s="45" t="s">
        <v>1664</v>
      </c>
      <c r="B652" s="42" t="str">
        <f aca="false">IF(A652="100","HK",IF(A652="200","CN",IF(A652="300","TW","홀세일")))</f>
        <v>홀세일</v>
      </c>
      <c r="C652" s="45" t="s">
        <v>368</v>
      </c>
      <c r="D652" s="46" t="n">
        <v>30</v>
      </c>
      <c r="E652" s="46" t="n">
        <v>89000</v>
      </c>
      <c r="F652" s="46" t="n">
        <v>19821</v>
      </c>
      <c r="G652" s="42" t="n">
        <v>3.36</v>
      </c>
      <c r="H652" s="42" t="n">
        <v>22.3</v>
      </c>
      <c r="I652" s="42" t="n">
        <v>0</v>
      </c>
      <c r="J652" s="46" t="n">
        <f aca="false">IF(N(E652)&gt;0,E652,IF(N(F652)&gt;0,F652*요약!$F$27,0))</f>
        <v>89000</v>
      </c>
      <c r="K652" s="46" t="n">
        <f aca="false">IF(N(F652)&gt;0,F652,IF(N(E652)&gt;0,E652/요약!$F$27,0))</f>
        <v>19821</v>
      </c>
      <c r="L652" s="46" t="n">
        <f aca="false">IF(B652="CN",IF(N(I652)&gt;0,I652*요약!$G$27,K652*(1+요약!$E$27)),IF(N(H652)&gt;0,H652*요약!$G$27,J652*요약!$D$27))</f>
        <v>29436</v>
      </c>
      <c r="M652" s="46" t="n">
        <f aca="false">D652*J652</f>
        <v>2670000</v>
      </c>
      <c r="N652" s="46" t="n">
        <f aca="false">D652*K652</f>
        <v>594630</v>
      </c>
      <c r="O652" s="46" t="n">
        <f aca="false">D652*L652</f>
        <v>883080</v>
      </c>
      <c r="P652" s="42" t="str">
        <f aca="false">TRIM(IF(N(E652)&lt;=0,"택가보정 ","")&amp;IF(N(F652)&lt;=0,"원가보정 ","")&amp;IF(AND(B652&lt;&gt;"CN",N(H652)&lt;=0),"공급가보정 ","")&amp;IF(AND(B652="CN",N(I652)&lt;=0),"중국공급가=원가+마진 ",""))</f>
        <v/>
      </c>
      <c r="Q652" s="47" t="n">
        <f aca="false">IF(SUMIFS($W:$W,$A:$A,A652,$C:$C,C652)=0,0,SUMIFS(RAW_판매펀칭!$K:$K,RAW_판매펀칭!$P:$P,A652,RAW_판매펀칭!$I:$I,C652)*W652/SUMIFS($W:$W,$A:$A,A652,$C:$C,C652))</f>
        <v>0</v>
      </c>
      <c r="R652" s="47" t="n">
        <f aca="false">IF(OR(A652="500",A652="800",A652="810"),0,MAX(W652-Q652,0))</f>
        <v>0</v>
      </c>
      <c r="S652" s="47" t="n">
        <f aca="false">R652*L652</f>
        <v>0</v>
      </c>
      <c r="T652" s="47" t="n">
        <f aca="false">R652*J652</f>
        <v>0</v>
      </c>
      <c r="U652" s="47" t="n">
        <f aca="false">R652*K652</f>
        <v>0</v>
      </c>
      <c r="V652" s="0" t="str">
        <f aca="false">IF(COUNTIFS($A$2:A652,A652,$C$2:C652,C652,$D$2:D652,D652)&gt;1,"중복","")</f>
        <v/>
      </c>
      <c r="W652" s="0" t="n">
        <f aca="false">IF(V652="중복",0,N(D652))</f>
        <v>30</v>
      </c>
      <c r="X652" s="0" t="n">
        <f aca="false">IF(COUNTIFS($A$2:A652,A652,$C$2:C652,C652)=1,ABS(SUMIFS(RAW_발주!$D:$D,RAW_발주!$C:$C,A652,RAW_발주!$A:$A,C652)-SUMIFS($W:$W,$A:$A,A652,$C:$C,C652)),0)</f>
        <v>0</v>
      </c>
    </row>
    <row r="653" customFormat="false" ht="15" hidden="false" customHeight="true" outlineLevel="0" collapsed="false">
      <c r="A653" s="45" t="s">
        <v>1665</v>
      </c>
      <c r="B653" s="42" t="str">
        <f aca="false">IF(A653="100","HK",IF(A653="200","CN",IF(A653="300","TW","홀세일")))</f>
        <v>홀세일</v>
      </c>
      <c r="C653" s="45" t="s">
        <v>368</v>
      </c>
      <c r="D653" s="46" t="n">
        <v>48</v>
      </c>
      <c r="E653" s="46" t="n">
        <v>89000</v>
      </c>
      <c r="F653" s="46" t="n">
        <v>19821</v>
      </c>
      <c r="G653" s="42" t="n">
        <v>3.36</v>
      </c>
      <c r="H653" s="42" t="n">
        <v>22.3</v>
      </c>
      <c r="I653" s="42" t="n">
        <v>0</v>
      </c>
      <c r="J653" s="46" t="n">
        <f aca="false">IF(N(E653)&gt;0,E653,IF(N(F653)&gt;0,F653*요약!$F$27,0))</f>
        <v>89000</v>
      </c>
      <c r="K653" s="46" t="n">
        <f aca="false">IF(N(F653)&gt;0,F653,IF(N(E653)&gt;0,E653/요약!$F$27,0))</f>
        <v>19821</v>
      </c>
      <c r="L653" s="46" t="n">
        <f aca="false">IF(B653="CN",IF(N(I653)&gt;0,I653*요약!$G$27,K653*(1+요약!$E$27)),IF(N(H653)&gt;0,H653*요약!$G$27,J653*요약!$D$27))</f>
        <v>29436</v>
      </c>
      <c r="M653" s="46" t="n">
        <f aca="false">D653*J653</f>
        <v>4272000</v>
      </c>
      <c r="N653" s="46" t="n">
        <f aca="false">D653*K653</f>
        <v>951408</v>
      </c>
      <c r="O653" s="46" t="n">
        <f aca="false">D653*L653</f>
        <v>1412928</v>
      </c>
      <c r="P653" s="42" t="str">
        <f aca="false">TRIM(IF(N(E653)&lt;=0,"택가보정 ","")&amp;IF(N(F653)&lt;=0,"원가보정 ","")&amp;IF(AND(B653&lt;&gt;"CN",N(H653)&lt;=0),"공급가보정 ","")&amp;IF(AND(B653="CN",N(I653)&lt;=0),"중국공급가=원가+마진 ",""))</f>
        <v/>
      </c>
      <c r="Q653" s="47" t="n">
        <f aca="false">IF(SUMIFS($W:$W,$A:$A,A653,$C:$C,C653)=0,0,SUMIFS(RAW_판매펀칭!$K:$K,RAW_판매펀칭!$P:$P,A653,RAW_판매펀칭!$I:$I,C653)*W653/SUMIFS($W:$W,$A:$A,A653,$C:$C,C653))</f>
        <v>0</v>
      </c>
      <c r="R653" s="47" t="n">
        <f aca="false">IF(OR(A653="500",A653="800",A653="810"),0,MAX(W653-Q653,0))</f>
        <v>0</v>
      </c>
      <c r="S653" s="47" t="n">
        <f aca="false">R653*L653</f>
        <v>0</v>
      </c>
      <c r="T653" s="47" t="n">
        <f aca="false">R653*J653</f>
        <v>0</v>
      </c>
      <c r="U653" s="47" t="n">
        <f aca="false">R653*K653</f>
        <v>0</v>
      </c>
      <c r="V653" s="0" t="str">
        <f aca="false">IF(COUNTIFS($A$2:A653,A653,$C$2:C653,C653,$D$2:D653,D653)&gt;1,"중복","")</f>
        <v/>
      </c>
      <c r="W653" s="0" t="n">
        <f aca="false">IF(V653="중복",0,N(D653))</f>
        <v>48</v>
      </c>
      <c r="X653" s="0" t="n">
        <f aca="false">IF(COUNTIFS($A$2:A653,A653,$C$2:C653,C653)=1,ABS(SUMIFS(RAW_발주!$D:$D,RAW_발주!$C:$C,A653,RAW_발주!$A:$A,C653)-SUMIFS($W:$W,$A:$A,A653,$C:$C,C653)),0)</f>
        <v>0</v>
      </c>
    </row>
    <row r="654" customFormat="false" ht="15" hidden="false" customHeight="true" outlineLevel="0" collapsed="false">
      <c r="A654" s="45" t="s">
        <v>1660</v>
      </c>
      <c r="B654" s="42" t="str">
        <f aca="false">IF(A654="100","HK",IF(A654="200","CN",IF(A654="300","TW","홀세일")))</f>
        <v>CN</v>
      </c>
      <c r="C654" s="45" t="s">
        <v>370</v>
      </c>
      <c r="D654" s="46" t="n">
        <v>51</v>
      </c>
      <c r="E654" s="46" t="n">
        <v>69000</v>
      </c>
      <c r="F654" s="46" t="n">
        <v>13795</v>
      </c>
      <c r="G654" s="42" t="n">
        <v>3.91</v>
      </c>
      <c r="H654" s="42" t="n">
        <v>17.3</v>
      </c>
      <c r="I654" s="42" t="n">
        <v>11.6</v>
      </c>
      <c r="J654" s="46" t="n">
        <f aca="false">IF(N(E654)&gt;0,E654,IF(N(F654)&gt;0,F654*요약!$F$27,0))</f>
        <v>69000</v>
      </c>
      <c r="K654" s="46" t="n">
        <f aca="false">IF(N(F654)&gt;0,F654,IF(N(E654)&gt;0,E654/요약!$F$27,0))</f>
        <v>13795</v>
      </c>
      <c r="L654" s="46" t="n">
        <f aca="false">IF(B654="CN",IF(N(I654)&gt;0,I654*요약!$G$27,K654*(1+요약!$E$27)),IF(N(H654)&gt;0,H654*요약!$G$27,J654*요약!$D$27))</f>
        <v>15312</v>
      </c>
      <c r="M654" s="46" t="n">
        <f aca="false">D654*J654</f>
        <v>3519000</v>
      </c>
      <c r="N654" s="46" t="n">
        <f aca="false">D654*K654</f>
        <v>703545</v>
      </c>
      <c r="O654" s="46" t="n">
        <f aca="false">D654*L654</f>
        <v>780912</v>
      </c>
      <c r="P654" s="42" t="str">
        <f aca="false">TRIM(IF(N(E654)&lt;=0,"택가보정 ","")&amp;IF(N(F654)&lt;=0,"원가보정 ","")&amp;IF(AND(B654&lt;&gt;"CN",N(H654)&lt;=0),"공급가보정 ","")&amp;IF(AND(B654="CN",N(I654)&lt;=0),"중국공급가=원가+마진 ",""))</f>
        <v/>
      </c>
      <c r="Q654" s="47" t="n">
        <f aca="false">IF(SUMIFS($W:$W,$A:$A,A654,$C:$C,C654)=0,0,SUMIFS(RAW_판매펀칭!$K:$K,RAW_판매펀칭!$P:$P,A654,RAW_판매펀칭!$I:$I,C654)*W654/SUMIFS($W:$W,$A:$A,A654,$C:$C,C654))</f>
        <v>51</v>
      </c>
      <c r="R654" s="47" t="n">
        <f aca="false">IF(OR(A654="500",A654="800",A654="810"),0,MAX(W654-Q654,0))</f>
        <v>0</v>
      </c>
      <c r="S654" s="47" t="n">
        <f aca="false">R654*L654</f>
        <v>0</v>
      </c>
      <c r="T654" s="47" t="n">
        <f aca="false">R654*J654</f>
        <v>0</v>
      </c>
      <c r="U654" s="47" t="n">
        <f aca="false">R654*K654</f>
        <v>0</v>
      </c>
      <c r="V654" s="0" t="str">
        <f aca="false">IF(COUNTIFS($A$2:A654,A654,$C$2:C654,C654,$D$2:D654,D654)&gt;1,"중복","")</f>
        <v/>
      </c>
      <c r="W654" s="0" t="n">
        <f aca="false">IF(V654="중복",0,N(D654))</f>
        <v>51</v>
      </c>
      <c r="X654" s="0" t="n">
        <f aca="false">IF(COUNTIFS($A$2:A654,A654,$C$2:C654,C654)=1,ABS(SUMIFS(RAW_발주!$D:$D,RAW_발주!$C:$C,A654,RAW_발주!$A:$A,C654)-SUMIFS($W:$W,$A:$A,A654,$C:$C,C654)),0)</f>
        <v>0</v>
      </c>
    </row>
    <row r="655" customFormat="false" ht="15" hidden="false" customHeight="true" outlineLevel="0" collapsed="false">
      <c r="A655" s="45" t="s">
        <v>1661</v>
      </c>
      <c r="B655" s="42" t="str">
        <f aca="false">IF(A655="100","HK",IF(A655="200","CN",IF(A655="300","TW","홀세일")))</f>
        <v>TW</v>
      </c>
      <c r="C655" s="45" t="s">
        <v>370</v>
      </c>
      <c r="D655" s="46" t="n">
        <v>200</v>
      </c>
      <c r="E655" s="46" t="n">
        <v>69000</v>
      </c>
      <c r="F655" s="46" t="n">
        <v>13795</v>
      </c>
      <c r="G655" s="42" t="n">
        <v>3.91</v>
      </c>
      <c r="H655" s="42" t="n">
        <v>17.3</v>
      </c>
      <c r="I655" s="42" t="n">
        <v>11.6</v>
      </c>
      <c r="J655" s="46" t="n">
        <f aca="false">IF(N(E655)&gt;0,E655,IF(N(F655)&gt;0,F655*요약!$F$27,0))</f>
        <v>69000</v>
      </c>
      <c r="K655" s="46" t="n">
        <f aca="false">IF(N(F655)&gt;0,F655,IF(N(E655)&gt;0,E655/요약!$F$27,0))</f>
        <v>13795</v>
      </c>
      <c r="L655" s="46" t="n">
        <f aca="false">IF(B655="CN",IF(N(I655)&gt;0,I655*요약!$G$27,K655*(1+요약!$E$27)),IF(N(H655)&gt;0,H655*요약!$G$27,J655*요약!$D$27))</f>
        <v>22836</v>
      </c>
      <c r="M655" s="46" t="n">
        <f aca="false">D655*J655</f>
        <v>13800000</v>
      </c>
      <c r="N655" s="46" t="n">
        <f aca="false">D655*K655</f>
        <v>2759000</v>
      </c>
      <c r="O655" s="46" t="n">
        <f aca="false">D655*L655</f>
        <v>4567200</v>
      </c>
      <c r="P655" s="42" t="str">
        <f aca="false">TRIM(IF(N(E655)&lt;=0,"택가보정 ","")&amp;IF(N(F655)&lt;=0,"원가보정 ","")&amp;IF(AND(B655&lt;&gt;"CN",N(H655)&lt;=0),"공급가보정 ","")&amp;IF(AND(B655="CN",N(I655)&lt;=0),"중국공급가=원가+마진 ",""))</f>
        <v/>
      </c>
      <c r="Q655" s="47" t="n">
        <f aca="false">IF(SUMIFS($W:$W,$A:$A,A655,$C:$C,C655)=0,0,SUMIFS(RAW_판매펀칭!$K:$K,RAW_판매펀칭!$P:$P,A655,RAW_판매펀칭!$I:$I,C655)*W655/SUMIFS($W:$W,$A:$A,A655,$C:$C,C655))</f>
        <v>200</v>
      </c>
      <c r="R655" s="47" t="n">
        <f aca="false">IF(OR(A655="500",A655="800",A655="810"),0,MAX(W655-Q655,0))</f>
        <v>0</v>
      </c>
      <c r="S655" s="47" t="n">
        <f aca="false">R655*L655</f>
        <v>0</v>
      </c>
      <c r="T655" s="47" t="n">
        <f aca="false">R655*J655</f>
        <v>0</v>
      </c>
      <c r="U655" s="47" t="n">
        <f aca="false">R655*K655</f>
        <v>0</v>
      </c>
      <c r="V655" s="0" t="str">
        <f aca="false">IF(COUNTIFS($A$2:A655,A655,$C$2:C655,C655,$D$2:D655,D655)&gt;1,"중복","")</f>
        <v/>
      </c>
      <c r="W655" s="0" t="n">
        <f aca="false">IF(V655="중복",0,N(D655))</f>
        <v>200</v>
      </c>
      <c r="X655" s="0" t="n">
        <f aca="false">IF(COUNTIFS($A$2:A655,A655,$C$2:C655,C655)=1,ABS(SUMIFS(RAW_발주!$D:$D,RAW_발주!$C:$C,A655,RAW_발주!$A:$A,C655)-SUMIFS($W:$W,$A:$A,A655,$C:$C,C655)),0)</f>
        <v>0</v>
      </c>
    </row>
    <row r="656" customFormat="false" ht="15" hidden="false" customHeight="true" outlineLevel="0" collapsed="false">
      <c r="A656" s="45" t="s">
        <v>1663</v>
      </c>
      <c r="B656" s="42" t="str">
        <f aca="false">IF(A656="100","HK",IF(A656="200","CN",IF(A656="300","TW","홀세일")))</f>
        <v>홀세일</v>
      </c>
      <c r="C656" s="45" t="s">
        <v>370</v>
      </c>
      <c r="D656" s="46" t="n">
        <v>40</v>
      </c>
      <c r="E656" s="46" t="n">
        <v>69000</v>
      </c>
      <c r="F656" s="46" t="n">
        <v>13795</v>
      </c>
      <c r="G656" s="42" t="n">
        <v>3.91</v>
      </c>
      <c r="H656" s="42" t="n">
        <v>17.3</v>
      </c>
      <c r="I656" s="42" t="n">
        <v>11.6</v>
      </c>
      <c r="J656" s="46" t="n">
        <f aca="false">IF(N(E656)&gt;0,E656,IF(N(F656)&gt;0,F656*요약!$F$27,0))</f>
        <v>69000</v>
      </c>
      <c r="K656" s="46" t="n">
        <f aca="false">IF(N(F656)&gt;0,F656,IF(N(E656)&gt;0,E656/요약!$F$27,0))</f>
        <v>13795</v>
      </c>
      <c r="L656" s="46" t="n">
        <f aca="false">IF(B656="CN",IF(N(I656)&gt;0,I656*요약!$G$27,K656*(1+요약!$E$27)),IF(N(H656)&gt;0,H656*요약!$G$27,J656*요약!$D$27))</f>
        <v>22836</v>
      </c>
      <c r="M656" s="46" t="n">
        <f aca="false">D656*J656</f>
        <v>2760000</v>
      </c>
      <c r="N656" s="46" t="n">
        <f aca="false">D656*K656</f>
        <v>551800</v>
      </c>
      <c r="O656" s="46" t="n">
        <f aca="false">D656*L656</f>
        <v>913440</v>
      </c>
      <c r="P656" s="42" t="str">
        <f aca="false">TRIM(IF(N(E656)&lt;=0,"택가보정 ","")&amp;IF(N(F656)&lt;=0,"원가보정 ","")&amp;IF(AND(B656&lt;&gt;"CN",N(H656)&lt;=0),"공급가보정 ","")&amp;IF(AND(B656="CN",N(I656)&lt;=0),"중국공급가=원가+마진 ",""))</f>
        <v/>
      </c>
      <c r="Q656" s="47" t="n">
        <f aca="false">IF(SUMIFS($W:$W,$A:$A,A656,$C:$C,C656)=0,0,SUMIFS(RAW_판매펀칭!$K:$K,RAW_판매펀칭!$P:$P,A656,RAW_판매펀칭!$I:$I,C656)*W656/SUMIFS($W:$W,$A:$A,A656,$C:$C,C656))</f>
        <v>40</v>
      </c>
      <c r="R656" s="47" t="n">
        <f aca="false">IF(OR(A656="500",A656="800",A656="810"),0,MAX(W656-Q656,0))</f>
        <v>0</v>
      </c>
      <c r="S656" s="47" t="n">
        <f aca="false">R656*L656</f>
        <v>0</v>
      </c>
      <c r="T656" s="47" t="n">
        <f aca="false">R656*J656</f>
        <v>0</v>
      </c>
      <c r="U656" s="47" t="n">
        <f aca="false">R656*K656</f>
        <v>0</v>
      </c>
      <c r="V656" s="0" t="str">
        <f aca="false">IF(COUNTIFS($A$2:A656,A656,$C$2:C656,C656,$D$2:D656,D656)&gt;1,"중복","")</f>
        <v/>
      </c>
      <c r="W656" s="0" t="n">
        <f aca="false">IF(V656="중복",0,N(D656))</f>
        <v>40</v>
      </c>
      <c r="X656" s="0" t="n">
        <f aca="false">IF(COUNTIFS($A$2:A656,A656,$C$2:C656,C656)=1,ABS(SUMIFS(RAW_발주!$D:$D,RAW_발주!$C:$C,A656,RAW_발주!$A:$A,C656)-SUMIFS($W:$W,$A:$A,A656,$C:$C,C656)),0)</f>
        <v>0</v>
      </c>
    </row>
    <row r="657" customFormat="false" ht="15" hidden="false" customHeight="true" outlineLevel="0" collapsed="false">
      <c r="A657" s="45" t="s">
        <v>1667</v>
      </c>
      <c r="B657" s="42" t="str">
        <f aca="false">IF(A657="100","HK",IF(A657="200","CN",IF(A657="300","TW","홀세일")))</f>
        <v>홀세일</v>
      </c>
      <c r="C657" s="45" t="s">
        <v>370</v>
      </c>
      <c r="D657" s="46" t="n">
        <v>167</v>
      </c>
      <c r="E657" s="46" t="n">
        <v>69000</v>
      </c>
      <c r="F657" s="46" t="n">
        <v>13795</v>
      </c>
      <c r="G657" s="42" t="n">
        <v>3.91</v>
      </c>
      <c r="H657" s="42" t="n">
        <v>17.3</v>
      </c>
      <c r="I657" s="42" t="n">
        <v>11.6</v>
      </c>
      <c r="J657" s="46" t="n">
        <f aca="false">IF(N(E657)&gt;0,E657,IF(N(F657)&gt;0,F657*요약!$F$27,0))</f>
        <v>69000</v>
      </c>
      <c r="K657" s="46" t="n">
        <f aca="false">IF(N(F657)&gt;0,F657,IF(N(E657)&gt;0,E657/요약!$F$27,0))</f>
        <v>13795</v>
      </c>
      <c r="L657" s="46" t="n">
        <f aca="false">IF(B657="CN",IF(N(I657)&gt;0,I657*요약!$G$27,K657*(1+요약!$E$27)),IF(N(H657)&gt;0,H657*요약!$G$27,J657*요약!$D$27))</f>
        <v>22836</v>
      </c>
      <c r="M657" s="46" t="n">
        <f aca="false">D657*J657</f>
        <v>11523000</v>
      </c>
      <c r="N657" s="46" t="n">
        <f aca="false">D657*K657</f>
        <v>2303765</v>
      </c>
      <c r="O657" s="46" t="n">
        <f aca="false">D657*L657</f>
        <v>3813612</v>
      </c>
      <c r="P657" s="42" t="str">
        <f aca="false">TRIM(IF(N(E657)&lt;=0,"택가보정 ","")&amp;IF(N(F657)&lt;=0,"원가보정 ","")&amp;IF(AND(B657&lt;&gt;"CN",N(H657)&lt;=0),"공급가보정 ","")&amp;IF(AND(B657="CN",N(I657)&lt;=0),"중국공급가=원가+마진 ",""))</f>
        <v/>
      </c>
      <c r="Q657" s="47" t="n">
        <f aca="false">IF(SUMIFS($W:$W,$A:$A,A657,$C:$C,C657)=0,0,SUMIFS(RAW_판매펀칭!$K:$K,RAW_판매펀칭!$P:$P,A657,RAW_판매펀칭!$I:$I,C657)*W657/SUMIFS($W:$W,$A:$A,A657,$C:$C,C657))</f>
        <v>0</v>
      </c>
      <c r="R657" s="47" t="n">
        <f aca="false">IF(OR(A657="500",A657="800",A657="810"),0,MAX(W657-Q657,0))</f>
        <v>167</v>
      </c>
      <c r="S657" s="47" t="n">
        <f aca="false">R657*L657</f>
        <v>3813612</v>
      </c>
      <c r="T657" s="47" t="n">
        <f aca="false">R657*J657</f>
        <v>11523000</v>
      </c>
      <c r="U657" s="47" t="n">
        <f aca="false">R657*K657</f>
        <v>2303765</v>
      </c>
      <c r="V657" s="0" t="str">
        <f aca="false">IF(COUNTIFS($A$2:A657,A657,$C$2:C657,C657,$D$2:D657,D657)&gt;1,"중복","")</f>
        <v/>
      </c>
      <c r="W657" s="0" t="n">
        <f aca="false">IF(V657="중복",0,N(D657))</f>
        <v>167</v>
      </c>
      <c r="X657" s="0" t="n">
        <f aca="false">IF(COUNTIFS($A$2:A657,A657,$C$2:C657,C657)=1,ABS(SUMIFS(RAW_발주!$D:$D,RAW_발주!$C:$C,A657,RAW_발주!$A:$A,C657)-SUMIFS($W:$W,$A:$A,A657,$C:$C,C657)),0)</f>
        <v>0</v>
      </c>
    </row>
    <row r="658" customFormat="false" ht="15" hidden="false" customHeight="true" outlineLevel="0" collapsed="false">
      <c r="A658" s="45" t="s">
        <v>1664</v>
      </c>
      <c r="B658" s="42" t="str">
        <f aca="false">IF(A658="100","HK",IF(A658="200","CN",IF(A658="300","TW","홀세일")))</f>
        <v>홀세일</v>
      </c>
      <c r="C658" s="45" t="s">
        <v>370</v>
      </c>
      <c r="D658" s="46" t="n">
        <v>30</v>
      </c>
      <c r="E658" s="46" t="n">
        <v>69000</v>
      </c>
      <c r="F658" s="46" t="n">
        <v>13795</v>
      </c>
      <c r="G658" s="42" t="n">
        <v>3.91</v>
      </c>
      <c r="H658" s="42" t="n">
        <v>17.3</v>
      </c>
      <c r="I658" s="42" t="n">
        <v>11.6</v>
      </c>
      <c r="J658" s="46" t="n">
        <f aca="false">IF(N(E658)&gt;0,E658,IF(N(F658)&gt;0,F658*요약!$F$27,0))</f>
        <v>69000</v>
      </c>
      <c r="K658" s="46" t="n">
        <f aca="false">IF(N(F658)&gt;0,F658,IF(N(E658)&gt;0,E658/요약!$F$27,0))</f>
        <v>13795</v>
      </c>
      <c r="L658" s="46" t="n">
        <f aca="false">IF(B658="CN",IF(N(I658)&gt;0,I658*요약!$G$27,K658*(1+요약!$E$27)),IF(N(H658)&gt;0,H658*요약!$G$27,J658*요약!$D$27))</f>
        <v>22836</v>
      </c>
      <c r="M658" s="46" t="n">
        <f aca="false">D658*J658</f>
        <v>2070000</v>
      </c>
      <c r="N658" s="46" t="n">
        <f aca="false">D658*K658</f>
        <v>413850</v>
      </c>
      <c r="O658" s="46" t="n">
        <f aca="false">D658*L658</f>
        <v>685080</v>
      </c>
      <c r="P658" s="42" t="str">
        <f aca="false">TRIM(IF(N(E658)&lt;=0,"택가보정 ","")&amp;IF(N(F658)&lt;=0,"원가보정 ","")&amp;IF(AND(B658&lt;&gt;"CN",N(H658)&lt;=0),"공급가보정 ","")&amp;IF(AND(B658="CN",N(I658)&lt;=0),"중국공급가=원가+마진 ",""))</f>
        <v/>
      </c>
      <c r="Q658" s="47" t="n">
        <f aca="false">IF(SUMIFS($W:$W,$A:$A,A658,$C:$C,C658)=0,0,SUMIFS(RAW_판매펀칭!$K:$K,RAW_판매펀칭!$P:$P,A658,RAW_판매펀칭!$I:$I,C658)*W658/SUMIFS($W:$W,$A:$A,A658,$C:$C,C658))</f>
        <v>0</v>
      </c>
      <c r="R658" s="47" t="n">
        <f aca="false">IF(OR(A658="500",A658="800",A658="810"),0,MAX(W658-Q658,0))</f>
        <v>0</v>
      </c>
      <c r="S658" s="47" t="n">
        <f aca="false">R658*L658</f>
        <v>0</v>
      </c>
      <c r="T658" s="47" t="n">
        <f aca="false">R658*J658</f>
        <v>0</v>
      </c>
      <c r="U658" s="47" t="n">
        <f aca="false">R658*K658</f>
        <v>0</v>
      </c>
      <c r="V658" s="0" t="str">
        <f aca="false">IF(COUNTIFS($A$2:A658,A658,$C$2:C658,C658,$D$2:D658,D658)&gt;1,"중복","")</f>
        <v/>
      </c>
      <c r="W658" s="0" t="n">
        <f aca="false">IF(V658="중복",0,N(D658))</f>
        <v>30</v>
      </c>
      <c r="X658" s="0" t="n">
        <f aca="false">IF(COUNTIFS($A$2:A658,A658,$C$2:C658,C658)=1,ABS(SUMIFS(RAW_발주!$D:$D,RAW_발주!$C:$C,A658,RAW_발주!$A:$A,C658)-SUMIFS($W:$W,$A:$A,A658,$C:$C,C658)),0)</f>
        <v>0</v>
      </c>
    </row>
    <row r="659" customFormat="false" ht="15" hidden="false" customHeight="true" outlineLevel="0" collapsed="false">
      <c r="A659" s="45" t="s">
        <v>1659</v>
      </c>
      <c r="B659" s="42" t="str">
        <f aca="false">IF(A659="100","HK",IF(A659="200","CN",IF(A659="300","TW","홀세일")))</f>
        <v>HK</v>
      </c>
      <c r="C659" s="45" t="s">
        <v>372</v>
      </c>
      <c r="D659" s="46" t="n">
        <v>200</v>
      </c>
      <c r="E659" s="46" t="n">
        <v>99000</v>
      </c>
      <c r="F659" s="46" t="n">
        <v>25836</v>
      </c>
      <c r="G659" s="42" t="n">
        <v>3.12</v>
      </c>
      <c r="H659" s="42" t="n">
        <v>24.8</v>
      </c>
      <c r="I659" s="42" t="n">
        <v>20.1</v>
      </c>
      <c r="J659" s="46" t="n">
        <f aca="false">IF(N(E659)&gt;0,E659,IF(N(F659)&gt;0,F659*요약!$F$27,0))</f>
        <v>99000</v>
      </c>
      <c r="K659" s="46" t="n">
        <f aca="false">IF(N(F659)&gt;0,F659,IF(N(E659)&gt;0,E659/요약!$F$27,0))</f>
        <v>25836</v>
      </c>
      <c r="L659" s="46" t="n">
        <f aca="false">IF(B659="CN",IF(N(I659)&gt;0,I659*요약!$G$27,K659*(1+요약!$E$27)),IF(N(H659)&gt;0,H659*요약!$G$27,J659*요약!$D$27))</f>
        <v>32736</v>
      </c>
      <c r="M659" s="46" t="n">
        <f aca="false">D659*J659</f>
        <v>19800000</v>
      </c>
      <c r="N659" s="46" t="n">
        <f aca="false">D659*K659</f>
        <v>5167200</v>
      </c>
      <c r="O659" s="46" t="n">
        <f aca="false">D659*L659</f>
        <v>6547200</v>
      </c>
      <c r="P659" s="42" t="str">
        <f aca="false">TRIM(IF(N(E659)&lt;=0,"택가보정 ","")&amp;IF(N(F659)&lt;=0,"원가보정 ","")&amp;IF(AND(B659&lt;&gt;"CN",N(H659)&lt;=0),"공급가보정 ","")&amp;IF(AND(B659="CN",N(I659)&lt;=0),"중국공급가=원가+마진 ",""))</f>
        <v/>
      </c>
      <c r="Q659" s="47" t="n">
        <f aca="false">IF(SUMIFS($W:$W,$A:$A,A659,$C:$C,C659)=0,0,SUMIFS(RAW_판매펀칭!$K:$K,RAW_판매펀칭!$P:$P,A659,RAW_판매펀칭!$I:$I,C659)*W659/SUMIFS($W:$W,$A:$A,A659,$C:$C,C659))</f>
        <v>200</v>
      </c>
      <c r="R659" s="47" t="n">
        <f aca="false">IF(OR(A659="500",A659="800",A659="810"),0,MAX(W659-Q659,0))</f>
        <v>0</v>
      </c>
      <c r="S659" s="47" t="n">
        <f aca="false">R659*L659</f>
        <v>0</v>
      </c>
      <c r="T659" s="47" t="n">
        <f aca="false">R659*J659</f>
        <v>0</v>
      </c>
      <c r="U659" s="47" t="n">
        <f aca="false">R659*K659</f>
        <v>0</v>
      </c>
      <c r="V659" s="0" t="str">
        <f aca="false">IF(COUNTIFS($A$2:A659,A659,$C$2:C659,C659,$D$2:D659,D659)&gt;1,"중복","")</f>
        <v/>
      </c>
      <c r="W659" s="0" t="n">
        <f aca="false">IF(V659="중복",0,N(D659))</f>
        <v>200</v>
      </c>
      <c r="X659" s="0" t="n">
        <f aca="false">IF(COUNTIFS($A$2:A659,A659,$C$2:C659,C659)=1,ABS(SUMIFS(RAW_발주!$D:$D,RAW_발주!$C:$C,A659,RAW_발주!$A:$A,C659)-SUMIFS($W:$W,$A:$A,A659,$C:$C,C659)),0)</f>
        <v>0</v>
      </c>
    </row>
    <row r="660" customFormat="false" ht="15" hidden="false" customHeight="true" outlineLevel="0" collapsed="false">
      <c r="A660" s="45" t="s">
        <v>1660</v>
      </c>
      <c r="B660" s="42" t="str">
        <f aca="false">IF(A660="100","HK",IF(A660="200","CN",IF(A660="300","TW","홀세일")))</f>
        <v>CN</v>
      </c>
      <c r="C660" s="45" t="s">
        <v>372</v>
      </c>
      <c r="D660" s="46" t="n">
        <v>222</v>
      </c>
      <c r="E660" s="46" t="n">
        <v>99000</v>
      </c>
      <c r="F660" s="46" t="n">
        <v>25836</v>
      </c>
      <c r="G660" s="42" t="n">
        <v>3.12</v>
      </c>
      <c r="H660" s="42" t="n">
        <v>24.8</v>
      </c>
      <c r="I660" s="42" t="n">
        <v>20.1</v>
      </c>
      <c r="J660" s="46" t="n">
        <f aca="false">IF(N(E660)&gt;0,E660,IF(N(F660)&gt;0,F660*요약!$F$27,0))</f>
        <v>99000</v>
      </c>
      <c r="K660" s="46" t="n">
        <f aca="false">IF(N(F660)&gt;0,F660,IF(N(E660)&gt;0,E660/요약!$F$27,0))</f>
        <v>25836</v>
      </c>
      <c r="L660" s="46" t="n">
        <f aca="false">IF(B660="CN",IF(N(I660)&gt;0,I660*요약!$G$27,K660*(1+요약!$E$27)),IF(N(H660)&gt;0,H660*요약!$G$27,J660*요약!$D$27))</f>
        <v>26532</v>
      </c>
      <c r="M660" s="46" t="n">
        <f aca="false">D660*J660</f>
        <v>21978000</v>
      </c>
      <c r="N660" s="46" t="n">
        <f aca="false">D660*K660</f>
        <v>5735592</v>
      </c>
      <c r="O660" s="46" t="n">
        <f aca="false">D660*L660</f>
        <v>5890104</v>
      </c>
      <c r="P660" s="42" t="str">
        <f aca="false">TRIM(IF(N(E660)&lt;=0,"택가보정 ","")&amp;IF(N(F660)&lt;=0,"원가보정 ","")&amp;IF(AND(B660&lt;&gt;"CN",N(H660)&lt;=0),"공급가보정 ","")&amp;IF(AND(B660="CN",N(I660)&lt;=0),"중국공급가=원가+마진 ",""))</f>
        <v/>
      </c>
      <c r="Q660" s="47" t="n">
        <f aca="false">IF(SUMIFS($W:$W,$A:$A,A660,$C:$C,C660)=0,0,SUMIFS(RAW_판매펀칭!$K:$K,RAW_판매펀칭!$P:$P,A660,RAW_판매펀칭!$I:$I,C660)*W660/SUMIFS($W:$W,$A:$A,A660,$C:$C,C660))</f>
        <v>222</v>
      </c>
      <c r="R660" s="47" t="n">
        <f aca="false">IF(OR(A660="500",A660="800",A660="810"),0,MAX(W660-Q660,0))</f>
        <v>0</v>
      </c>
      <c r="S660" s="47" t="n">
        <f aca="false">R660*L660</f>
        <v>0</v>
      </c>
      <c r="T660" s="47" t="n">
        <f aca="false">R660*J660</f>
        <v>0</v>
      </c>
      <c r="U660" s="47" t="n">
        <f aca="false">R660*K660</f>
        <v>0</v>
      </c>
      <c r="V660" s="0" t="str">
        <f aca="false">IF(COUNTIFS($A$2:A660,A660,$C$2:C660,C660,$D$2:D660,D660)&gt;1,"중복","")</f>
        <v/>
      </c>
      <c r="W660" s="0" t="n">
        <f aca="false">IF(V660="중복",0,N(D660))</f>
        <v>222</v>
      </c>
      <c r="X660" s="0" t="n">
        <f aca="false">IF(COUNTIFS($A$2:A660,A660,$C$2:C660,C660)=1,ABS(SUMIFS(RAW_발주!$D:$D,RAW_발주!$C:$C,A660,RAW_발주!$A:$A,C660)-SUMIFS($W:$W,$A:$A,A660,$C:$C,C660)),0)</f>
        <v>0</v>
      </c>
    </row>
    <row r="661" customFormat="false" ht="15" hidden="false" customHeight="true" outlineLevel="0" collapsed="false">
      <c r="A661" s="45" t="s">
        <v>1661</v>
      </c>
      <c r="B661" s="42" t="str">
        <f aca="false">IF(A661="100","HK",IF(A661="200","CN",IF(A661="300","TW","홀세일")))</f>
        <v>TW</v>
      </c>
      <c r="C661" s="45" t="s">
        <v>372</v>
      </c>
      <c r="D661" s="46" t="n">
        <v>400</v>
      </c>
      <c r="E661" s="46" t="n">
        <v>99000</v>
      </c>
      <c r="F661" s="46" t="n">
        <v>25836</v>
      </c>
      <c r="G661" s="42" t="n">
        <v>3.12</v>
      </c>
      <c r="H661" s="42" t="n">
        <v>24.8</v>
      </c>
      <c r="I661" s="42" t="n">
        <v>20.1</v>
      </c>
      <c r="J661" s="46" t="n">
        <f aca="false">IF(N(E661)&gt;0,E661,IF(N(F661)&gt;0,F661*요약!$F$27,0))</f>
        <v>99000</v>
      </c>
      <c r="K661" s="46" t="n">
        <f aca="false">IF(N(F661)&gt;0,F661,IF(N(E661)&gt;0,E661/요약!$F$27,0))</f>
        <v>25836</v>
      </c>
      <c r="L661" s="46" t="n">
        <f aca="false">IF(B661="CN",IF(N(I661)&gt;0,I661*요약!$G$27,K661*(1+요약!$E$27)),IF(N(H661)&gt;0,H661*요약!$G$27,J661*요약!$D$27))</f>
        <v>32736</v>
      </c>
      <c r="M661" s="46" t="n">
        <f aca="false">D661*J661</f>
        <v>39600000</v>
      </c>
      <c r="N661" s="46" t="n">
        <f aca="false">D661*K661</f>
        <v>10334400</v>
      </c>
      <c r="O661" s="46" t="n">
        <f aca="false">D661*L661</f>
        <v>13094400</v>
      </c>
      <c r="P661" s="42" t="str">
        <f aca="false">TRIM(IF(N(E661)&lt;=0,"택가보정 ","")&amp;IF(N(F661)&lt;=0,"원가보정 ","")&amp;IF(AND(B661&lt;&gt;"CN",N(H661)&lt;=0),"공급가보정 ","")&amp;IF(AND(B661="CN",N(I661)&lt;=0),"중국공급가=원가+마진 ",""))</f>
        <v/>
      </c>
      <c r="Q661" s="47" t="n">
        <f aca="false">IF(SUMIFS($W:$W,$A:$A,A661,$C:$C,C661)=0,0,SUMIFS(RAW_판매펀칭!$K:$K,RAW_판매펀칭!$P:$P,A661,RAW_판매펀칭!$I:$I,C661)*W661/SUMIFS($W:$W,$A:$A,A661,$C:$C,C661))</f>
        <v>400</v>
      </c>
      <c r="R661" s="47" t="n">
        <f aca="false">IF(OR(A661="500",A661="800",A661="810"),0,MAX(W661-Q661,0))</f>
        <v>0</v>
      </c>
      <c r="S661" s="47" t="n">
        <f aca="false">R661*L661</f>
        <v>0</v>
      </c>
      <c r="T661" s="47" t="n">
        <f aca="false">R661*J661</f>
        <v>0</v>
      </c>
      <c r="U661" s="47" t="n">
        <f aca="false">R661*K661</f>
        <v>0</v>
      </c>
      <c r="V661" s="0" t="str">
        <f aca="false">IF(COUNTIFS($A$2:A661,A661,$C$2:C661,C661,$D$2:D661,D661)&gt;1,"중복","")</f>
        <v/>
      </c>
      <c r="W661" s="0" t="n">
        <f aca="false">IF(V661="중복",0,N(D661))</f>
        <v>400</v>
      </c>
      <c r="X661" s="0" t="n">
        <f aca="false">IF(COUNTIFS($A$2:A661,A661,$C$2:C661,C661)=1,ABS(SUMIFS(RAW_발주!$D:$D,RAW_발주!$C:$C,A661,RAW_발주!$A:$A,C661)-SUMIFS($W:$W,$A:$A,A661,$C:$C,C661)),0)</f>
        <v>0</v>
      </c>
    </row>
    <row r="662" customFormat="false" ht="15" hidden="false" customHeight="true" outlineLevel="0" collapsed="false">
      <c r="A662" s="45" t="s">
        <v>1662</v>
      </c>
      <c r="B662" s="42" t="str">
        <f aca="false">IF(A662="100","HK",IF(A662="200","CN",IF(A662="300","TW","홀세일")))</f>
        <v>홀세일</v>
      </c>
      <c r="C662" s="45" t="s">
        <v>372</v>
      </c>
      <c r="D662" s="46" t="n">
        <v>160</v>
      </c>
      <c r="E662" s="46" t="n">
        <v>99000</v>
      </c>
      <c r="F662" s="46" t="n">
        <v>25836</v>
      </c>
      <c r="G662" s="42" t="n">
        <v>3.12</v>
      </c>
      <c r="H662" s="42" t="n">
        <v>24.8</v>
      </c>
      <c r="I662" s="42" t="n">
        <v>20.1</v>
      </c>
      <c r="J662" s="46" t="n">
        <f aca="false">IF(N(E662)&gt;0,E662,IF(N(F662)&gt;0,F662*요약!$F$27,0))</f>
        <v>99000</v>
      </c>
      <c r="K662" s="46" t="n">
        <f aca="false">IF(N(F662)&gt;0,F662,IF(N(E662)&gt;0,E662/요약!$F$27,0))</f>
        <v>25836</v>
      </c>
      <c r="L662" s="46" t="n">
        <f aca="false">IF(B662="CN",IF(N(I662)&gt;0,I662*요약!$G$27,K662*(1+요약!$E$27)),IF(N(H662)&gt;0,H662*요약!$G$27,J662*요약!$D$27))</f>
        <v>32736</v>
      </c>
      <c r="M662" s="46" t="n">
        <f aca="false">D662*J662</f>
        <v>15840000</v>
      </c>
      <c r="N662" s="46" t="n">
        <f aca="false">D662*K662</f>
        <v>4133760</v>
      </c>
      <c r="O662" s="46" t="n">
        <f aca="false">D662*L662</f>
        <v>5237760</v>
      </c>
      <c r="P662" s="42" t="str">
        <f aca="false">TRIM(IF(N(E662)&lt;=0,"택가보정 ","")&amp;IF(N(F662)&lt;=0,"원가보정 ","")&amp;IF(AND(B662&lt;&gt;"CN",N(H662)&lt;=0),"공급가보정 ","")&amp;IF(AND(B662="CN",N(I662)&lt;=0),"중국공급가=원가+마진 ",""))</f>
        <v/>
      </c>
      <c r="Q662" s="47" t="n">
        <f aca="false">IF(SUMIFS($W:$W,$A:$A,A662,$C:$C,C662)=0,0,SUMIFS(RAW_판매펀칭!$K:$K,RAW_판매펀칭!$P:$P,A662,RAW_판매펀칭!$I:$I,C662)*W662/SUMIFS($W:$W,$A:$A,A662,$C:$C,C662))</f>
        <v>0</v>
      </c>
      <c r="R662" s="47" t="n">
        <f aca="false">IF(OR(A662="500",A662="800",A662="810"),0,MAX(W662-Q662,0))</f>
        <v>0</v>
      </c>
      <c r="S662" s="47" t="n">
        <f aca="false">R662*L662</f>
        <v>0</v>
      </c>
      <c r="T662" s="47" t="n">
        <f aca="false">R662*J662</f>
        <v>0</v>
      </c>
      <c r="U662" s="47" t="n">
        <f aca="false">R662*K662</f>
        <v>0</v>
      </c>
      <c r="V662" s="0" t="str">
        <f aca="false">IF(COUNTIFS($A$2:A662,A662,$C$2:C662,C662,$D$2:D662,D662)&gt;1,"중복","")</f>
        <v/>
      </c>
      <c r="W662" s="0" t="n">
        <f aca="false">IF(V662="중복",0,N(D662))</f>
        <v>160</v>
      </c>
      <c r="X662" s="0" t="n">
        <f aca="false">IF(COUNTIFS($A$2:A662,A662,$C$2:C662,C662)=1,ABS(SUMIFS(RAW_발주!$D:$D,RAW_발주!$C:$C,A662,RAW_발주!$A:$A,C662)-SUMIFS($W:$W,$A:$A,A662,$C:$C,C662)),0)</f>
        <v>0</v>
      </c>
    </row>
    <row r="663" customFormat="false" ht="15" hidden="false" customHeight="true" outlineLevel="0" collapsed="false">
      <c r="A663" s="45" t="s">
        <v>1663</v>
      </c>
      <c r="B663" s="42" t="str">
        <f aca="false">IF(A663="100","HK",IF(A663="200","CN",IF(A663="300","TW","홀세일")))</f>
        <v>홀세일</v>
      </c>
      <c r="C663" s="45" t="s">
        <v>372</v>
      </c>
      <c r="D663" s="46" t="n">
        <v>40</v>
      </c>
      <c r="E663" s="46" t="n">
        <v>99000</v>
      </c>
      <c r="F663" s="46" t="n">
        <v>25836</v>
      </c>
      <c r="G663" s="42" t="n">
        <v>3.12</v>
      </c>
      <c r="H663" s="42" t="n">
        <v>24.8</v>
      </c>
      <c r="I663" s="42" t="n">
        <v>20.1</v>
      </c>
      <c r="J663" s="46" t="n">
        <f aca="false">IF(N(E663)&gt;0,E663,IF(N(F663)&gt;0,F663*요약!$F$27,0))</f>
        <v>99000</v>
      </c>
      <c r="K663" s="46" t="n">
        <f aca="false">IF(N(F663)&gt;0,F663,IF(N(E663)&gt;0,E663/요약!$F$27,0))</f>
        <v>25836</v>
      </c>
      <c r="L663" s="46" t="n">
        <f aca="false">IF(B663="CN",IF(N(I663)&gt;0,I663*요약!$G$27,K663*(1+요약!$E$27)),IF(N(H663)&gt;0,H663*요약!$G$27,J663*요약!$D$27))</f>
        <v>32736</v>
      </c>
      <c r="M663" s="46" t="n">
        <f aca="false">D663*J663</f>
        <v>3960000</v>
      </c>
      <c r="N663" s="46" t="n">
        <f aca="false">D663*K663</f>
        <v>1033440</v>
      </c>
      <c r="O663" s="46" t="n">
        <f aca="false">D663*L663</f>
        <v>1309440</v>
      </c>
      <c r="P663" s="42" t="str">
        <f aca="false">TRIM(IF(N(E663)&lt;=0,"택가보정 ","")&amp;IF(N(F663)&lt;=0,"원가보정 ","")&amp;IF(AND(B663&lt;&gt;"CN",N(H663)&lt;=0),"공급가보정 ","")&amp;IF(AND(B663="CN",N(I663)&lt;=0),"중국공급가=원가+마진 ",""))</f>
        <v/>
      </c>
      <c r="Q663" s="47" t="n">
        <f aca="false">IF(SUMIFS($W:$W,$A:$A,A663,$C:$C,C663)=0,0,SUMIFS(RAW_판매펀칭!$K:$K,RAW_판매펀칭!$P:$P,A663,RAW_판매펀칭!$I:$I,C663)*W663/SUMIFS($W:$W,$A:$A,A663,$C:$C,C663))</f>
        <v>40</v>
      </c>
      <c r="R663" s="47" t="n">
        <f aca="false">IF(OR(A663="500",A663="800",A663="810"),0,MAX(W663-Q663,0))</f>
        <v>0</v>
      </c>
      <c r="S663" s="47" t="n">
        <f aca="false">R663*L663</f>
        <v>0</v>
      </c>
      <c r="T663" s="47" t="n">
        <f aca="false">R663*J663</f>
        <v>0</v>
      </c>
      <c r="U663" s="47" t="n">
        <f aca="false">R663*K663</f>
        <v>0</v>
      </c>
      <c r="V663" s="0" t="str">
        <f aca="false">IF(COUNTIFS($A$2:A663,A663,$C$2:C663,C663,$D$2:D663,D663)&gt;1,"중복","")</f>
        <v/>
      </c>
      <c r="W663" s="0" t="n">
        <f aca="false">IF(V663="중복",0,N(D663))</f>
        <v>40</v>
      </c>
      <c r="X663" s="0" t="n">
        <f aca="false">IF(COUNTIFS($A$2:A663,A663,$C$2:C663,C663)=1,ABS(SUMIFS(RAW_발주!$D:$D,RAW_발주!$C:$C,A663,RAW_발주!$A:$A,C663)-SUMIFS($W:$W,$A:$A,A663,$C:$C,C663)),0)</f>
        <v>0</v>
      </c>
    </row>
    <row r="664" customFormat="false" ht="15" hidden="false" customHeight="true" outlineLevel="0" collapsed="false">
      <c r="A664" s="45" t="s">
        <v>1667</v>
      </c>
      <c r="B664" s="42" t="str">
        <f aca="false">IF(A664="100","HK",IF(A664="200","CN",IF(A664="300","TW","홀세일")))</f>
        <v>홀세일</v>
      </c>
      <c r="C664" s="45" t="s">
        <v>372</v>
      </c>
      <c r="D664" s="46" t="n">
        <v>102</v>
      </c>
      <c r="E664" s="46" t="n">
        <v>99000</v>
      </c>
      <c r="F664" s="46" t="n">
        <v>25836</v>
      </c>
      <c r="G664" s="42" t="n">
        <v>3.12</v>
      </c>
      <c r="H664" s="42" t="n">
        <v>24.8</v>
      </c>
      <c r="I664" s="42" t="n">
        <v>20.1</v>
      </c>
      <c r="J664" s="46" t="n">
        <f aca="false">IF(N(E664)&gt;0,E664,IF(N(F664)&gt;0,F664*요약!$F$27,0))</f>
        <v>99000</v>
      </c>
      <c r="K664" s="46" t="n">
        <f aca="false">IF(N(F664)&gt;0,F664,IF(N(E664)&gt;0,E664/요약!$F$27,0))</f>
        <v>25836</v>
      </c>
      <c r="L664" s="46" t="n">
        <f aca="false">IF(B664="CN",IF(N(I664)&gt;0,I664*요약!$G$27,K664*(1+요약!$E$27)),IF(N(H664)&gt;0,H664*요약!$G$27,J664*요약!$D$27))</f>
        <v>32736</v>
      </c>
      <c r="M664" s="46" t="n">
        <f aca="false">D664*J664</f>
        <v>10098000</v>
      </c>
      <c r="N664" s="46" t="n">
        <f aca="false">D664*K664</f>
        <v>2635272</v>
      </c>
      <c r="O664" s="46" t="n">
        <f aca="false">D664*L664</f>
        <v>3339072</v>
      </c>
      <c r="P664" s="42" t="str">
        <f aca="false">TRIM(IF(N(E664)&lt;=0,"택가보정 ","")&amp;IF(N(F664)&lt;=0,"원가보정 ","")&amp;IF(AND(B664&lt;&gt;"CN",N(H664)&lt;=0),"공급가보정 ","")&amp;IF(AND(B664="CN",N(I664)&lt;=0),"중국공급가=원가+마진 ",""))</f>
        <v/>
      </c>
      <c r="Q664" s="47" t="n">
        <f aca="false">IF(SUMIFS($W:$W,$A:$A,A664,$C:$C,C664)=0,0,SUMIFS(RAW_판매펀칭!$K:$K,RAW_판매펀칭!$P:$P,A664,RAW_판매펀칭!$I:$I,C664)*W664/SUMIFS($W:$W,$A:$A,A664,$C:$C,C664))</f>
        <v>0</v>
      </c>
      <c r="R664" s="47" t="n">
        <f aca="false">IF(OR(A664="500",A664="800",A664="810"),0,MAX(W664-Q664,0))</f>
        <v>102</v>
      </c>
      <c r="S664" s="47" t="n">
        <f aca="false">R664*L664</f>
        <v>3339072</v>
      </c>
      <c r="T664" s="47" t="n">
        <f aca="false">R664*J664</f>
        <v>10098000</v>
      </c>
      <c r="U664" s="47" t="n">
        <f aca="false">R664*K664</f>
        <v>2635272</v>
      </c>
      <c r="V664" s="0" t="str">
        <f aca="false">IF(COUNTIFS($A$2:A664,A664,$C$2:C664,C664,$D$2:D664,D664)&gt;1,"중복","")</f>
        <v/>
      </c>
      <c r="W664" s="0" t="n">
        <f aca="false">IF(V664="중복",0,N(D664))</f>
        <v>102</v>
      </c>
      <c r="X664" s="0" t="n">
        <f aca="false">IF(COUNTIFS($A$2:A664,A664,$C$2:C664,C664)=1,ABS(SUMIFS(RAW_발주!$D:$D,RAW_발주!$C:$C,A664,RAW_발주!$A:$A,C664)-SUMIFS($W:$W,$A:$A,A664,$C:$C,C664)),0)</f>
        <v>0</v>
      </c>
    </row>
    <row r="665" customFormat="false" ht="15" hidden="false" customHeight="true" outlineLevel="0" collapsed="false">
      <c r="A665" s="45" t="s">
        <v>1664</v>
      </c>
      <c r="B665" s="42" t="str">
        <f aca="false">IF(A665="100","HK",IF(A665="200","CN",IF(A665="300","TW","홀세일")))</f>
        <v>홀세일</v>
      </c>
      <c r="C665" s="45" t="s">
        <v>372</v>
      </c>
      <c r="D665" s="46" t="n">
        <v>20</v>
      </c>
      <c r="E665" s="46" t="n">
        <v>99000</v>
      </c>
      <c r="F665" s="46" t="n">
        <v>25836</v>
      </c>
      <c r="G665" s="42" t="n">
        <v>3.12</v>
      </c>
      <c r="H665" s="42" t="n">
        <v>24.8</v>
      </c>
      <c r="I665" s="42" t="n">
        <v>20.1</v>
      </c>
      <c r="J665" s="46" t="n">
        <f aca="false">IF(N(E665)&gt;0,E665,IF(N(F665)&gt;0,F665*요약!$F$27,0))</f>
        <v>99000</v>
      </c>
      <c r="K665" s="46" t="n">
        <f aca="false">IF(N(F665)&gt;0,F665,IF(N(E665)&gt;0,E665/요약!$F$27,0))</f>
        <v>25836</v>
      </c>
      <c r="L665" s="46" t="n">
        <f aca="false">IF(B665="CN",IF(N(I665)&gt;0,I665*요약!$G$27,K665*(1+요약!$E$27)),IF(N(H665)&gt;0,H665*요약!$G$27,J665*요약!$D$27))</f>
        <v>32736</v>
      </c>
      <c r="M665" s="46" t="n">
        <f aca="false">D665*J665</f>
        <v>1980000</v>
      </c>
      <c r="N665" s="46" t="n">
        <f aca="false">D665*K665</f>
        <v>516720</v>
      </c>
      <c r="O665" s="46" t="n">
        <f aca="false">D665*L665</f>
        <v>654720</v>
      </c>
      <c r="P665" s="42" t="str">
        <f aca="false">TRIM(IF(N(E665)&lt;=0,"택가보정 ","")&amp;IF(N(F665)&lt;=0,"원가보정 ","")&amp;IF(AND(B665&lt;&gt;"CN",N(H665)&lt;=0),"공급가보정 ","")&amp;IF(AND(B665="CN",N(I665)&lt;=0),"중국공급가=원가+마진 ",""))</f>
        <v/>
      </c>
      <c r="Q665" s="47" t="n">
        <f aca="false">IF(SUMIFS($W:$W,$A:$A,A665,$C:$C,C665)=0,0,SUMIFS(RAW_판매펀칭!$K:$K,RAW_판매펀칭!$P:$P,A665,RAW_판매펀칭!$I:$I,C665)*W665/SUMIFS($W:$W,$A:$A,A665,$C:$C,C665))</f>
        <v>0</v>
      </c>
      <c r="R665" s="47" t="n">
        <f aca="false">IF(OR(A665="500",A665="800",A665="810"),0,MAX(W665-Q665,0))</f>
        <v>0</v>
      </c>
      <c r="S665" s="47" t="n">
        <f aca="false">R665*L665</f>
        <v>0</v>
      </c>
      <c r="T665" s="47" t="n">
        <f aca="false">R665*J665</f>
        <v>0</v>
      </c>
      <c r="U665" s="47" t="n">
        <f aca="false">R665*K665</f>
        <v>0</v>
      </c>
      <c r="V665" s="0" t="str">
        <f aca="false">IF(COUNTIFS($A$2:A665,A665,$C$2:C665,C665,$D$2:D665,D665)&gt;1,"중복","")</f>
        <v/>
      </c>
      <c r="W665" s="0" t="n">
        <f aca="false">IF(V665="중복",0,N(D665))</f>
        <v>20</v>
      </c>
      <c r="X665" s="0" t="n">
        <f aca="false">IF(COUNTIFS($A$2:A665,A665,$C$2:C665,C665)=1,ABS(SUMIFS(RAW_발주!$D:$D,RAW_발주!$C:$C,A665,RAW_발주!$A:$A,C665)-SUMIFS($W:$W,$A:$A,A665,$C:$C,C665)),0)</f>
        <v>0</v>
      </c>
    </row>
    <row r="666" customFormat="false" ht="15" hidden="false" customHeight="true" outlineLevel="0" collapsed="false">
      <c r="A666" s="45" t="s">
        <v>1666</v>
      </c>
      <c r="B666" s="42" t="str">
        <f aca="false">IF(A666="100","HK",IF(A666="200","CN",IF(A666="300","TW","홀세일")))</f>
        <v>홀세일</v>
      </c>
      <c r="C666" s="45" t="s">
        <v>372</v>
      </c>
      <c r="D666" s="46" t="n">
        <v>500</v>
      </c>
      <c r="E666" s="46" t="n">
        <v>99000</v>
      </c>
      <c r="F666" s="46" t="n">
        <v>25836</v>
      </c>
      <c r="G666" s="42" t="n">
        <v>3.12</v>
      </c>
      <c r="H666" s="42" t="n">
        <v>24.8</v>
      </c>
      <c r="I666" s="42" t="n">
        <v>20.1</v>
      </c>
      <c r="J666" s="46" t="n">
        <f aca="false">IF(N(E666)&gt;0,E666,IF(N(F666)&gt;0,F666*요약!$F$27,0))</f>
        <v>99000</v>
      </c>
      <c r="K666" s="46" t="n">
        <f aca="false">IF(N(F666)&gt;0,F666,IF(N(E666)&gt;0,E666/요약!$F$27,0))</f>
        <v>25836</v>
      </c>
      <c r="L666" s="46" t="n">
        <f aca="false">IF(B666="CN",IF(N(I666)&gt;0,I666*요약!$G$27,K666*(1+요약!$E$27)),IF(N(H666)&gt;0,H666*요약!$G$27,J666*요약!$D$27))</f>
        <v>32736</v>
      </c>
      <c r="M666" s="46" t="n">
        <f aca="false">D666*J666</f>
        <v>49500000</v>
      </c>
      <c r="N666" s="46" t="n">
        <f aca="false">D666*K666</f>
        <v>12918000</v>
      </c>
      <c r="O666" s="46" t="n">
        <f aca="false">D666*L666</f>
        <v>16368000</v>
      </c>
      <c r="P666" s="42" t="str">
        <f aca="false">TRIM(IF(N(E666)&lt;=0,"택가보정 ","")&amp;IF(N(F666)&lt;=0,"원가보정 ","")&amp;IF(AND(B666&lt;&gt;"CN",N(H666)&lt;=0),"공급가보정 ","")&amp;IF(AND(B666="CN",N(I666)&lt;=0),"중국공급가=원가+마진 ",""))</f>
        <v/>
      </c>
      <c r="Q666" s="47" t="n">
        <f aca="false">IF(SUMIFS($W:$W,$A:$A,A666,$C:$C,C666)=0,0,SUMIFS(RAW_판매펀칭!$K:$K,RAW_판매펀칭!$P:$P,A666,RAW_판매펀칭!$I:$I,C666)*W666/SUMIFS($W:$W,$A:$A,A666,$C:$C,C666))</f>
        <v>500</v>
      </c>
      <c r="R666" s="47" t="n">
        <f aca="false">IF(OR(A666="500",A666="800",A666="810"),0,MAX(W666-Q666,0))</f>
        <v>0</v>
      </c>
      <c r="S666" s="47" t="n">
        <f aca="false">R666*L666</f>
        <v>0</v>
      </c>
      <c r="T666" s="47" t="n">
        <f aca="false">R666*J666</f>
        <v>0</v>
      </c>
      <c r="U666" s="47" t="n">
        <f aca="false">R666*K666</f>
        <v>0</v>
      </c>
      <c r="V666" s="0" t="str">
        <f aca="false">IF(COUNTIFS($A$2:A666,A666,$C$2:C666,C666,$D$2:D666,D666)&gt;1,"중복","")</f>
        <v/>
      </c>
      <c r="W666" s="0" t="n">
        <f aca="false">IF(V666="중복",0,N(D666))</f>
        <v>500</v>
      </c>
      <c r="X666" s="0" t="n">
        <f aca="false">IF(COUNTIFS($A$2:A666,A666,$C$2:C666,C666)=1,ABS(SUMIFS(RAW_발주!$D:$D,RAW_발주!$C:$C,A666,RAW_발주!$A:$A,C666)-SUMIFS($W:$W,$A:$A,A666,$C:$C,C666)),0)</f>
        <v>0</v>
      </c>
    </row>
    <row r="667" customFormat="false" ht="15" hidden="false" customHeight="true" outlineLevel="0" collapsed="false">
      <c r="A667" s="45" t="s">
        <v>1659</v>
      </c>
      <c r="B667" s="42" t="str">
        <f aca="false">IF(A667="100","HK",IF(A667="200","CN",IF(A667="300","TW","홀세일")))</f>
        <v>HK</v>
      </c>
      <c r="C667" s="45" t="s">
        <v>374</v>
      </c>
      <c r="D667" s="46" t="n">
        <v>200</v>
      </c>
      <c r="E667" s="46" t="n">
        <v>69000</v>
      </c>
      <c r="F667" s="46" t="n">
        <v>17377</v>
      </c>
      <c r="G667" s="42" t="n">
        <v>3.09</v>
      </c>
      <c r="H667" s="42" t="n">
        <v>17.3</v>
      </c>
      <c r="I667" s="42" t="n">
        <v>11.9</v>
      </c>
      <c r="J667" s="46" t="n">
        <f aca="false">IF(N(E667)&gt;0,E667,IF(N(F667)&gt;0,F667*요약!$F$27,0))</f>
        <v>69000</v>
      </c>
      <c r="K667" s="46" t="n">
        <f aca="false">IF(N(F667)&gt;0,F667,IF(N(E667)&gt;0,E667/요약!$F$27,0))</f>
        <v>17377</v>
      </c>
      <c r="L667" s="46" t="n">
        <f aca="false">IF(B667="CN",IF(N(I667)&gt;0,I667*요약!$G$27,K667*(1+요약!$E$27)),IF(N(H667)&gt;0,H667*요약!$G$27,J667*요약!$D$27))</f>
        <v>22836</v>
      </c>
      <c r="M667" s="46" t="n">
        <f aca="false">D667*J667</f>
        <v>13800000</v>
      </c>
      <c r="N667" s="46" t="n">
        <f aca="false">D667*K667</f>
        <v>3475400</v>
      </c>
      <c r="O667" s="46" t="n">
        <f aca="false">D667*L667</f>
        <v>4567200</v>
      </c>
      <c r="P667" s="42" t="str">
        <f aca="false">TRIM(IF(N(E667)&lt;=0,"택가보정 ","")&amp;IF(N(F667)&lt;=0,"원가보정 ","")&amp;IF(AND(B667&lt;&gt;"CN",N(H667)&lt;=0),"공급가보정 ","")&amp;IF(AND(B667="CN",N(I667)&lt;=0),"중국공급가=원가+마진 ",""))</f>
        <v/>
      </c>
      <c r="Q667" s="47" t="n">
        <f aca="false">IF(SUMIFS($W:$W,$A:$A,A667,$C:$C,C667)=0,0,SUMIFS(RAW_판매펀칭!$K:$K,RAW_판매펀칭!$P:$P,A667,RAW_판매펀칭!$I:$I,C667)*W667/SUMIFS($W:$W,$A:$A,A667,$C:$C,C667))</f>
        <v>200</v>
      </c>
      <c r="R667" s="47" t="n">
        <f aca="false">IF(OR(A667="500",A667="800",A667="810"),0,MAX(W667-Q667,0))</f>
        <v>0</v>
      </c>
      <c r="S667" s="47" t="n">
        <f aca="false">R667*L667</f>
        <v>0</v>
      </c>
      <c r="T667" s="47" t="n">
        <f aca="false">R667*J667</f>
        <v>0</v>
      </c>
      <c r="U667" s="47" t="n">
        <f aca="false">R667*K667</f>
        <v>0</v>
      </c>
      <c r="V667" s="0" t="str">
        <f aca="false">IF(COUNTIFS($A$2:A667,A667,$C$2:C667,C667,$D$2:D667,D667)&gt;1,"중복","")</f>
        <v/>
      </c>
      <c r="W667" s="0" t="n">
        <f aca="false">IF(V667="중복",0,N(D667))</f>
        <v>200</v>
      </c>
      <c r="X667" s="0" t="n">
        <f aca="false">IF(COUNTIFS($A$2:A667,A667,$C$2:C667,C667)=1,ABS(SUMIFS(RAW_발주!$D:$D,RAW_발주!$C:$C,A667,RAW_발주!$A:$A,C667)-SUMIFS($W:$W,$A:$A,A667,$C:$C,C667)),0)</f>
        <v>0</v>
      </c>
    </row>
    <row r="668" customFormat="false" ht="15" hidden="false" customHeight="true" outlineLevel="0" collapsed="false">
      <c r="A668" s="45" t="s">
        <v>1660</v>
      </c>
      <c r="B668" s="42" t="str">
        <f aca="false">IF(A668="100","HK",IF(A668="200","CN",IF(A668="300","TW","홀세일")))</f>
        <v>CN</v>
      </c>
      <c r="C668" s="45" t="s">
        <v>374</v>
      </c>
      <c r="D668" s="46" t="n">
        <v>152</v>
      </c>
      <c r="E668" s="46" t="n">
        <v>69000</v>
      </c>
      <c r="F668" s="46" t="n">
        <v>17377</v>
      </c>
      <c r="G668" s="42" t="n">
        <v>3.09</v>
      </c>
      <c r="H668" s="42" t="n">
        <v>17.3</v>
      </c>
      <c r="I668" s="42" t="n">
        <v>11.9</v>
      </c>
      <c r="J668" s="46" t="n">
        <f aca="false">IF(N(E668)&gt;0,E668,IF(N(F668)&gt;0,F668*요약!$F$27,0))</f>
        <v>69000</v>
      </c>
      <c r="K668" s="46" t="n">
        <f aca="false">IF(N(F668)&gt;0,F668,IF(N(E668)&gt;0,E668/요약!$F$27,0))</f>
        <v>17377</v>
      </c>
      <c r="L668" s="46" t="n">
        <f aca="false">IF(B668="CN",IF(N(I668)&gt;0,I668*요약!$G$27,K668*(1+요약!$E$27)),IF(N(H668)&gt;0,H668*요약!$G$27,J668*요약!$D$27))</f>
        <v>15708</v>
      </c>
      <c r="M668" s="46" t="n">
        <f aca="false">D668*J668</f>
        <v>10488000</v>
      </c>
      <c r="N668" s="46" t="n">
        <f aca="false">D668*K668</f>
        <v>2641304</v>
      </c>
      <c r="O668" s="46" t="n">
        <f aca="false">D668*L668</f>
        <v>2387616</v>
      </c>
      <c r="P668" s="42" t="str">
        <f aca="false">TRIM(IF(N(E668)&lt;=0,"택가보정 ","")&amp;IF(N(F668)&lt;=0,"원가보정 ","")&amp;IF(AND(B668&lt;&gt;"CN",N(H668)&lt;=0),"공급가보정 ","")&amp;IF(AND(B668="CN",N(I668)&lt;=0),"중국공급가=원가+마진 ",""))</f>
        <v/>
      </c>
      <c r="Q668" s="47" t="n">
        <f aca="false">IF(SUMIFS($W:$W,$A:$A,A668,$C:$C,C668)=0,0,SUMIFS(RAW_판매펀칭!$K:$K,RAW_판매펀칭!$P:$P,A668,RAW_판매펀칭!$I:$I,C668)*W668/SUMIFS($W:$W,$A:$A,A668,$C:$C,C668))</f>
        <v>152</v>
      </c>
      <c r="R668" s="47" t="n">
        <f aca="false">IF(OR(A668="500",A668="800",A668="810"),0,MAX(W668-Q668,0))</f>
        <v>0</v>
      </c>
      <c r="S668" s="47" t="n">
        <f aca="false">R668*L668</f>
        <v>0</v>
      </c>
      <c r="T668" s="47" t="n">
        <f aca="false">R668*J668</f>
        <v>0</v>
      </c>
      <c r="U668" s="47" t="n">
        <f aca="false">R668*K668</f>
        <v>0</v>
      </c>
      <c r="V668" s="0" t="str">
        <f aca="false">IF(COUNTIFS($A$2:A668,A668,$C$2:C668,C668,$D$2:D668,D668)&gt;1,"중복","")</f>
        <v/>
      </c>
      <c r="W668" s="0" t="n">
        <f aca="false">IF(V668="중복",0,N(D668))</f>
        <v>152</v>
      </c>
      <c r="X668" s="0" t="n">
        <f aca="false">IF(COUNTIFS($A$2:A668,A668,$C$2:C668,C668)=1,ABS(SUMIFS(RAW_발주!$D:$D,RAW_발주!$C:$C,A668,RAW_발주!$A:$A,C668)-SUMIFS($W:$W,$A:$A,A668,$C:$C,C668)),0)</f>
        <v>0</v>
      </c>
    </row>
    <row r="669" customFormat="false" ht="15" hidden="false" customHeight="true" outlineLevel="0" collapsed="false">
      <c r="A669" s="45" t="s">
        <v>1661</v>
      </c>
      <c r="B669" s="42" t="str">
        <f aca="false">IF(A669="100","HK",IF(A669="200","CN",IF(A669="300","TW","홀세일")))</f>
        <v>TW</v>
      </c>
      <c r="C669" s="45" t="s">
        <v>374</v>
      </c>
      <c r="D669" s="46" t="n">
        <v>500</v>
      </c>
      <c r="E669" s="46" t="n">
        <v>69000</v>
      </c>
      <c r="F669" s="46" t="n">
        <v>17377</v>
      </c>
      <c r="G669" s="42" t="n">
        <v>3.09</v>
      </c>
      <c r="H669" s="42" t="n">
        <v>17.3</v>
      </c>
      <c r="I669" s="42" t="n">
        <v>11.9</v>
      </c>
      <c r="J669" s="46" t="n">
        <f aca="false">IF(N(E669)&gt;0,E669,IF(N(F669)&gt;0,F669*요약!$F$27,0))</f>
        <v>69000</v>
      </c>
      <c r="K669" s="46" t="n">
        <f aca="false">IF(N(F669)&gt;0,F669,IF(N(E669)&gt;0,E669/요약!$F$27,0))</f>
        <v>17377</v>
      </c>
      <c r="L669" s="46" t="n">
        <f aca="false">IF(B669="CN",IF(N(I669)&gt;0,I669*요약!$G$27,K669*(1+요약!$E$27)),IF(N(H669)&gt;0,H669*요약!$G$27,J669*요약!$D$27))</f>
        <v>22836</v>
      </c>
      <c r="M669" s="46" t="n">
        <f aca="false">D669*J669</f>
        <v>34500000</v>
      </c>
      <c r="N669" s="46" t="n">
        <f aca="false">D669*K669</f>
        <v>8688500</v>
      </c>
      <c r="O669" s="46" t="n">
        <f aca="false">D669*L669</f>
        <v>11418000</v>
      </c>
      <c r="P669" s="42" t="str">
        <f aca="false">TRIM(IF(N(E669)&lt;=0,"택가보정 ","")&amp;IF(N(F669)&lt;=0,"원가보정 ","")&amp;IF(AND(B669&lt;&gt;"CN",N(H669)&lt;=0),"공급가보정 ","")&amp;IF(AND(B669="CN",N(I669)&lt;=0),"중국공급가=원가+마진 ",""))</f>
        <v/>
      </c>
      <c r="Q669" s="47" t="n">
        <f aca="false">IF(SUMIFS($W:$W,$A:$A,A669,$C:$C,C669)=0,0,SUMIFS(RAW_판매펀칭!$K:$K,RAW_판매펀칭!$P:$P,A669,RAW_판매펀칭!$I:$I,C669)*W669/SUMIFS($W:$W,$A:$A,A669,$C:$C,C669))</f>
        <v>500</v>
      </c>
      <c r="R669" s="47" t="n">
        <f aca="false">IF(OR(A669="500",A669="800",A669="810"),0,MAX(W669-Q669,0))</f>
        <v>0</v>
      </c>
      <c r="S669" s="47" t="n">
        <f aca="false">R669*L669</f>
        <v>0</v>
      </c>
      <c r="T669" s="47" t="n">
        <f aca="false">R669*J669</f>
        <v>0</v>
      </c>
      <c r="U669" s="47" t="n">
        <f aca="false">R669*K669</f>
        <v>0</v>
      </c>
      <c r="V669" s="0" t="str">
        <f aca="false">IF(COUNTIFS($A$2:A669,A669,$C$2:C669,C669,$D$2:D669,D669)&gt;1,"중복","")</f>
        <v/>
      </c>
      <c r="W669" s="0" t="n">
        <f aca="false">IF(V669="중복",0,N(D669))</f>
        <v>500</v>
      </c>
      <c r="X669" s="0" t="n">
        <f aca="false">IF(COUNTIFS($A$2:A669,A669,$C$2:C669,C669)=1,ABS(SUMIFS(RAW_발주!$D:$D,RAW_발주!$C:$C,A669,RAW_발주!$A:$A,C669)-SUMIFS($W:$W,$A:$A,A669,$C:$C,C669)),0)</f>
        <v>0</v>
      </c>
    </row>
    <row r="670" customFormat="false" ht="15" hidden="false" customHeight="true" outlineLevel="0" collapsed="false">
      <c r="A670" s="45" t="s">
        <v>1662</v>
      </c>
      <c r="B670" s="42" t="str">
        <f aca="false">IF(A670="100","HK",IF(A670="200","CN",IF(A670="300","TW","홀세일")))</f>
        <v>홀세일</v>
      </c>
      <c r="C670" s="45" t="s">
        <v>374</v>
      </c>
      <c r="D670" s="46" t="n">
        <v>240</v>
      </c>
      <c r="E670" s="46" t="n">
        <v>69000</v>
      </c>
      <c r="F670" s="46" t="n">
        <v>17377</v>
      </c>
      <c r="G670" s="42" t="n">
        <v>3.09</v>
      </c>
      <c r="H670" s="42" t="n">
        <v>17.3</v>
      </c>
      <c r="I670" s="42" t="n">
        <v>11.9</v>
      </c>
      <c r="J670" s="46" t="n">
        <f aca="false">IF(N(E670)&gt;0,E670,IF(N(F670)&gt;0,F670*요약!$F$27,0))</f>
        <v>69000</v>
      </c>
      <c r="K670" s="46" t="n">
        <f aca="false">IF(N(F670)&gt;0,F670,IF(N(E670)&gt;0,E670/요약!$F$27,0))</f>
        <v>17377</v>
      </c>
      <c r="L670" s="46" t="n">
        <f aca="false">IF(B670="CN",IF(N(I670)&gt;0,I670*요약!$G$27,K670*(1+요약!$E$27)),IF(N(H670)&gt;0,H670*요약!$G$27,J670*요약!$D$27))</f>
        <v>22836</v>
      </c>
      <c r="M670" s="46" t="n">
        <f aca="false">D670*J670</f>
        <v>16560000</v>
      </c>
      <c r="N670" s="46" t="n">
        <f aca="false">D670*K670</f>
        <v>4170480</v>
      </c>
      <c r="O670" s="46" t="n">
        <f aca="false">D670*L670</f>
        <v>5480640</v>
      </c>
      <c r="P670" s="42" t="str">
        <f aca="false">TRIM(IF(N(E670)&lt;=0,"택가보정 ","")&amp;IF(N(F670)&lt;=0,"원가보정 ","")&amp;IF(AND(B670&lt;&gt;"CN",N(H670)&lt;=0),"공급가보정 ","")&amp;IF(AND(B670="CN",N(I670)&lt;=0),"중국공급가=원가+마진 ",""))</f>
        <v/>
      </c>
      <c r="Q670" s="47" t="n">
        <f aca="false">IF(SUMIFS($W:$W,$A:$A,A670,$C:$C,C670)=0,0,SUMIFS(RAW_판매펀칭!$K:$K,RAW_판매펀칭!$P:$P,A670,RAW_판매펀칭!$I:$I,C670)*W670/SUMIFS($W:$W,$A:$A,A670,$C:$C,C670))</f>
        <v>0</v>
      </c>
      <c r="R670" s="47" t="n">
        <f aca="false">IF(OR(A670="500",A670="800",A670="810"),0,MAX(W670-Q670,0))</f>
        <v>0</v>
      </c>
      <c r="S670" s="47" t="n">
        <f aca="false">R670*L670</f>
        <v>0</v>
      </c>
      <c r="T670" s="47" t="n">
        <f aca="false">R670*J670</f>
        <v>0</v>
      </c>
      <c r="U670" s="47" t="n">
        <f aca="false">R670*K670</f>
        <v>0</v>
      </c>
      <c r="V670" s="0" t="str">
        <f aca="false">IF(COUNTIFS($A$2:A670,A670,$C$2:C670,C670,$D$2:D670,D670)&gt;1,"중복","")</f>
        <v/>
      </c>
      <c r="W670" s="0" t="n">
        <f aca="false">IF(V670="중복",0,N(D670))</f>
        <v>240</v>
      </c>
      <c r="X670" s="0" t="n">
        <f aca="false">IF(COUNTIFS($A$2:A670,A670,$C$2:C670,C670)=1,ABS(SUMIFS(RAW_발주!$D:$D,RAW_발주!$C:$C,A670,RAW_발주!$A:$A,C670)-SUMIFS($W:$W,$A:$A,A670,$C:$C,C670)),0)</f>
        <v>0</v>
      </c>
    </row>
    <row r="671" customFormat="false" ht="15" hidden="false" customHeight="true" outlineLevel="0" collapsed="false">
      <c r="A671" s="45" t="s">
        <v>1666</v>
      </c>
      <c r="B671" s="42" t="str">
        <f aca="false">IF(A671="100","HK",IF(A671="200","CN",IF(A671="300","TW","홀세일")))</f>
        <v>홀세일</v>
      </c>
      <c r="C671" s="45" t="s">
        <v>374</v>
      </c>
      <c r="D671" s="46" t="n">
        <v>30</v>
      </c>
      <c r="E671" s="46" t="n">
        <v>69000</v>
      </c>
      <c r="F671" s="46" t="n">
        <v>17377</v>
      </c>
      <c r="G671" s="42" t="n">
        <v>3.09</v>
      </c>
      <c r="H671" s="42" t="n">
        <v>17.3</v>
      </c>
      <c r="I671" s="42" t="n">
        <v>11.9</v>
      </c>
      <c r="J671" s="46" t="n">
        <f aca="false">IF(N(E671)&gt;0,E671,IF(N(F671)&gt;0,F671*요약!$F$27,0))</f>
        <v>69000</v>
      </c>
      <c r="K671" s="46" t="n">
        <f aca="false">IF(N(F671)&gt;0,F671,IF(N(E671)&gt;0,E671/요약!$F$27,0))</f>
        <v>17377</v>
      </c>
      <c r="L671" s="46" t="n">
        <f aca="false">IF(B671="CN",IF(N(I671)&gt;0,I671*요약!$G$27,K671*(1+요약!$E$27)),IF(N(H671)&gt;0,H671*요약!$G$27,J671*요약!$D$27))</f>
        <v>22836</v>
      </c>
      <c r="M671" s="46" t="n">
        <f aca="false">D671*J671</f>
        <v>2070000</v>
      </c>
      <c r="N671" s="46" t="n">
        <f aca="false">D671*K671</f>
        <v>521310</v>
      </c>
      <c r="O671" s="46" t="n">
        <f aca="false">D671*L671</f>
        <v>685080</v>
      </c>
      <c r="P671" s="42" t="str">
        <f aca="false">TRIM(IF(N(E671)&lt;=0,"택가보정 ","")&amp;IF(N(F671)&lt;=0,"원가보정 ","")&amp;IF(AND(B671&lt;&gt;"CN",N(H671)&lt;=0),"공급가보정 ","")&amp;IF(AND(B671="CN",N(I671)&lt;=0),"중국공급가=원가+마진 ",""))</f>
        <v/>
      </c>
      <c r="Q671" s="47" t="n">
        <f aca="false">IF(SUMIFS($W:$W,$A:$A,A671,$C:$C,C671)=0,0,SUMIFS(RAW_판매펀칭!$K:$K,RAW_판매펀칭!$P:$P,A671,RAW_판매펀칭!$I:$I,C671)*W671/SUMIFS($W:$W,$A:$A,A671,$C:$C,C671))</f>
        <v>30</v>
      </c>
      <c r="R671" s="47" t="n">
        <f aca="false">IF(OR(A671="500",A671="800",A671="810"),0,MAX(W671-Q671,0))</f>
        <v>0</v>
      </c>
      <c r="S671" s="47" t="n">
        <f aca="false">R671*L671</f>
        <v>0</v>
      </c>
      <c r="T671" s="47" t="n">
        <f aca="false">R671*J671</f>
        <v>0</v>
      </c>
      <c r="U671" s="47" t="n">
        <f aca="false">R671*K671</f>
        <v>0</v>
      </c>
      <c r="V671" s="0" t="str">
        <f aca="false">IF(COUNTIFS($A$2:A671,A671,$C$2:C671,C671,$D$2:D671,D671)&gt;1,"중복","")</f>
        <v/>
      </c>
      <c r="W671" s="0" t="n">
        <f aca="false">IF(V671="중복",0,N(D671))</f>
        <v>30</v>
      </c>
      <c r="X671" s="0" t="n">
        <f aca="false">IF(COUNTIFS($A$2:A671,A671,$C$2:C671,C671)=1,ABS(SUMIFS(RAW_발주!$D:$D,RAW_발주!$C:$C,A671,RAW_발주!$A:$A,C671)-SUMIFS($W:$W,$A:$A,A671,$C:$C,C671)),0)</f>
        <v>0</v>
      </c>
    </row>
    <row r="672" customFormat="false" ht="15" hidden="false" customHeight="true" outlineLevel="0" collapsed="false">
      <c r="A672" s="45" t="s">
        <v>1659</v>
      </c>
      <c r="B672" s="42" t="str">
        <f aca="false">IF(A672="100","HK",IF(A672="200","CN",IF(A672="300","TW","홀세일")))</f>
        <v>HK</v>
      </c>
      <c r="C672" s="45" t="s">
        <v>376</v>
      </c>
      <c r="D672" s="46" t="n">
        <v>230</v>
      </c>
      <c r="E672" s="46" t="n">
        <v>89000</v>
      </c>
      <c r="F672" s="46" t="n">
        <v>17342</v>
      </c>
      <c r="G672" s="42" t="n">
        <v>3.98</v>
      </c>
      <c r="H672" s="42" t="n">
        <v>22.3</v>
      </c>
      <c r="I672" s="42" t="n">
        <v>0</v>
      </c>
      <c r="J672" s="46" t="n">
        <f aca="false">IF(N(E672)&gt;0,E672,IF(N(F672)&gt;0,F672*요약!$F$27,0))</f>
        <v>89000</v>
      </c>
      <c r="K672" s="46" t="n">
        <f aca="false">IF(N(F672)&gt;0,F672,IF(N(E672)&gt;0,E672/요약!$F$27,0))</f>
        <v>17342</v>
      </c>
      <c r="L672" s="46" t="n">
        <f aca="false">IF(B672="CN",IF(N(I672)&gt;0,I672*요약!$G$27,K672*(1+요약!$E$27)),IF(N(H672)&gt;0,H672*요약!$G$27,J672*요약!$D$27))</f>
        <v>29436</v>
      </c>
      <c r="M672" s="46" t="n">
        <f aca="false">D672*J672</f>
        <v>20470000</v>
      </c>
      <c r="N672" s="46" t="n">
        <f aca="false">D672*K672</f>
        <v>3988660</v>
      </c>
      <c r="O672" s="46" t="n">
        <f aca="false">D672*L672</f>
        <v>6770280</v>
      </c>
      <c r="P672" s="42" t="str">
        <f aca="false">TRIM(IF(N(E672)&lt;=0,"택가보정 ","")&amp;IF(N(F672)&lt;=0,"원가보정 ","")&amp;IF(AND(B672&lt;&gt;"CN",N(H672)&lt;=0),"공급가보정 ","")&amp;IF(AND(B672="CN",N(I672)&lt;=0),"중국공급가=원가+마진 ",""))</f>
        <v/>
      </c>
      <c r="Q672" s="47" t="n">
        <f aca="false">IF(SUMIFS($W:$W,$A:$A,A672,$C:$C,C672)=0,0,SUMIFS(RAW_판매펀칭!$K:$K,RAW_판매펀칭!$P:$P,A672,RAW_판매펀칭!$I:$I,C672)*W672/SUMIFS($W:$W,$A:$A,A672,$C:$C,C672))</f>
        <v>230</v>
      </c>
      <c r="R672" s="47" t="n">
        <f aca="false">IF(OR(A672="500",A672="800",A672="810"),0,MAX(W672-Q672,0))</f>
        <v>0</v>
      </c>
      <c r="S672" s="47" t="n">
        <f aca="false">R672*L672</f>
        <v>0</v>
      </c>
      <c r="T672" s="47" t="n">
        <f aca="false">R672*J672</f>
        <v>0</v>
      </c>
      <c r="U672" s="47" t="n">
        <f aca="false">R672*K672</f>
        <v>0</v>
      </c>
      <c r="V672" s="0" t="str">
        <f aca="false">IF(COUNTIFS($A$2:A672,A672,$C$2:C672,C672,$D$2:D672,D672)&gt;1,"중복","")</f>
        <v/>
      </c>
      <c r="W672" s="0" t="n">
        <f aca="false">IF(V672="중복",0,N(D672))</f>
        <v>230</v>
      </c>
      <c r="X672" s="0" t="n">
        <f aca="false">IF(COUNTIFS($A$2:A672,A672,$C$2:C672,C672)=1,ABS(SUMIFS(RAW_발주!$D:$D,RAW_발주!$C:$C,A672,RAW_발주!$A:$A,C672)-SUMIFS($W:$W,$A:$A,A672,$C:$C,C672)),0)</f>
        <v>0</v>
      </c>
    </row>
    <row r="673" customFormat="false" ht="15" hidden="false" customHeight="true" outlineLevel="0" collapsed="false">
      <c r="A673" s="45" t="s">
        <v>1661</v>
      </c>
      <c r="B673" s="42" t="str">
        <f aca="false">IF(A673="100","HK",IF(A673="200","CN",IF(A673="300","TW","홀세일")))</f>
        <v>TW</v>
      </c>
      <c r="C673" s="45" t="s">
        <v>376</v>
      </c>
      <c r="D673" s="46" t="n">
        <v>150</v>
      </c>
      <c r="E673" s="46" t="n">
        <v>89000</v>
      </c>
      <c r="F673" s="46" t="n">
        <v>17342</v>
      </c>
      <c r="G673" s="42" t="n">
        <v>3.98</v>
      </c>
      <c r="H673" s="42" t="n">
        <v>22.3</v>
      </c>
      <c r="I673" s="42" t="n">
        <v>0</v>
      </c>
      <c r="J673" s="46" t="n">
        <f aca="false">IF(N(E673)&gt;0,E673,IF(N(F673)&gt;0,F673*요약!$F$27,0))</f>
        <v>89000</v>
      </c>
      <c r="K673" s="46" t="n">
        <f aca="false">IF(N(F673)&gt;0,F673,IF(N(E673)&gt;0,E673/요약!$F$27,0))</f>
        <v>17342</v>
      </c>
      <c r="L673" s="46" t="n">
        <f aca="false">IF(B673="CN",IF(N(I673)&gt;0,I673*요약!$G$27,K673*(1+요약!$E$27)),IF(N(H673)&gt;0,H673*요약!$G$27,J673*요약!$D$27))</f>
        <v>29436</v>
      </c>
      <c r="M673" s="46" t="n">
        <f aca="false">D673*J673</f>
        <v>13350000</v>
      </c>
      <c r="N673" s="46" t="n">
        <f aca="false">D673*K673</f>
        <v>2601300</v>
      </c>
      <c r="O673" s="46" t="n">
        <f aca="false">D673*L673</f>
        <v>4415400</v>
      </c>
      <c r="P673" s="42" t="str">
        <f aca="false">TRIM(IF(N(E673)&lt;=0,"택가보정 ","")&amp;IF(N(F673)&lt;=0,"원가보정 ","")&amp;IF(AND(B673&lt;&gt;"CN",N(H673)&lt;=0),"공급가보정 ","")&amp;IF(AND(B673="CN",N(I673)&lt;=0),"중국공급가=원가+마진 ",""))</f>
        <v/>
      </c>
      <c r="Q673" s="47" t="n">
        <f aca="false">IF(SUMIFS($W:$W,$A:$A,A673,$C:$C,C673)=0,0,SUMIFS(RAW_판매펀칭!$K:$K,RAW_판매펀칭!$P:$P,A673,RAW_판매펀칭!$I:$I,C673)*W673/SUMIFS($W:$W,$A:$A,A673,$C:$C,C673))</f>
        <v>150</v>
      </c>
      <c r="R673" s="47" t="n">
        <f aca="false">IF(OR(A673="500",A673="800",A673="810"),0,MAX(W673-Q673,0))</f>
        <v>0</v>
      </c>
      <c r="S673" s="47" t="n">
        <f aca="false">R673*L673</f>
        <v>0</v>
      </c>
      <c r="T673" s="47" t="n">
        <f aca="false">R673*J673</f>
        <v>0</v>
      </c>
      <c r="U673" s="47" t="n">
        <f aca="false">R673*K673</f>
        <v>0</v>
      </c>
      <c r="V673" s="0" t="str">
        <f aca="false">IF(COUNTIFS($A$2:A673,A673,$C$2:C673,C673,$D$2:D673,D673)&gt;1,"중복","")</f>
        <v/>
      </c>
      <c r="W673" s="0" t="n">
        <f aca="false">IF(V673="중복",0,N(D673))</f>
        <v>150</v>
      </c>
      <c r="X673" s="0" t="n">
        <f aca="false">IF(COUNTIFS($A$2:A673,A673,$C$2:C673,C673)=1,ABS(SUMIFS(RAW_발주!$D:$D,RAW_발주!$C:$C,A673,RAW_발주!$A:$A,C673)-SUMIFS($W:$W,$A:$A,A673,$C:$C,C673)),0)</f>
        <v>0</v>
      </c>
    </row>
    <row r="674" customFormat="false" ht="15" hidden="false" customHeight="true" outlineLevel="0" collapsed="false">
      <c r="A674" s="45" t="s">
        <v>1663</v>
      </c>
      <c r="B674" s="42" t="str">
        <f aca="false">IF(A674="100","HK",IF(A674="200","CN",IF(A674="300","TW","홀세일")))</f>
        <v>홀세일</v>
      </c>
      <c r="C674" s="45" t="s">
        <v>376</v>
      </c>
      <c r="D674" s="46" t="n">
        <v>50</v>
      </c>
      <c r="E674" s="46" t="n">
        <v>89000</v>
      </c>
      <c r="F674" s="46" t="n">
        <v>17342</v>
      </c>
      <c r="G674" s="42" t="n">
        <v>3.98</v>
      </c>
      <c r="H674" s="42" t="n">
        <v>22.3</v>
      </c>
      <c r="I674" s="42" t="n">
        <v>0</v>
      </c>
      <c r="J674" s="46" t="n">
        <f aca="false">IF(N(E674)&gt;0,E674,IF(N(F674)&gt;0,F674*요약!$F$27,0))</f>
        <v>89000</v>
      </c>
      <c r="K674" s="46" t="n">
        <f aca="false">IF(N(F674)&gt;0,F674,IF(N(E674)&gt;0,E674/요약!$F$27,0))</f>
        <v>17342</v>
      </c>
      <c r="L674" s="46" t="n">
        <f aca="false">IF(B674="CN",IF(N(I674)&gt;0,I674*요약!$G$27,K674*(1+요약!$E$27)),IF(N(H674)&gt;0,H674*요약!$G$27,J674*요약!$D$27))</f>
        <v>29436</v>
      </c>
      <c r="M674" s="46" t="n">
        <f aca="false">D674*J674</f>
        <v>4450000</v>
      </c>
      <c r="N674" s="46" t="n">
        <f aca="false">D674*K674</f>
        <v>867100</v>
      </c>
      <c r="O674" s="46" t="n">
        <f aca="false">D674*L674</f>
        <v>1471800</v>
      </c>
      <c r="P674" s="42" t="str">
        <f aca="false">TRIM(IF(N(E674)&lt;=0,"택가보정 ","")&amp;IF(N(F674)&lt;=0,"원가보정 ","")&amp;IF(AND(B674&lt;&gt;"CN",N(H674)&lt;=0),"공급가보정 ","")&amp;IF(AND(B674="CN",N(I674)&lt;=0),"중국공급가=원가+마진 ",""))</f>
        <v/>
      </c>
      <c r="Q674" s="47" t="n">
        <f aca="false">IF(SUMIFS($W:$W,$A:$A,A674,$C:$C,C674)=0,0,SUMIFS(RAW_판매펀칭!$K:$K,RAW_판매펀칭!$P:$P,A674,RAW_판매펀칭!$I:$I,C674)*W674/SUMIFS($W:$W,$A:$A,A674,$C:$C,C674))</f>
        <v>50</v>
      </c>
      <c r="R674" s="47" t="n">
        <f aca="false">IF(OR(A674="500",A674="800",A674="810"),0,MAX(W674-Q674,0))</f>
        <v>0</v>
      </c>
      <c r="S674" s="47" t="n">
        <f aca="false">R674*L674</f>
        <v>0</v>
      </c>
      <c r="T674" s="47" t="n">
        <f aca="false">R674*J674</f>
        <v>0</v>
      </c>
      <c r="U674" s="47" t="n">
        <f aca="false">R674*K674</f>
        <v>0</v>
      </c>
      <c r="V674" s="0" t="str">
        <f aca="false">IF(COUNTIFS($A$2:A674,A674,$C$2:C674,C674,$D$2:D674,D674)&gt;1,"중복","")</f>
        <v/>
      </c>
      <c r="W674" s="0" t="n">
        <f aca="false">IF(V674="중복",0,N(D674))</f>
        <v>50</v>
      </c>
      <c r="X674" s="0" t="n">
        <f aca="false">IF(COUNTIFS($A$2:A674,A674,$C$2:C674,C674)=1,ABS(SUMIFS(RAW_발주!$D:$D,RAW_발주!$C:$C,A674,RAW_발주!$A:$A,C674)-SUMIFS($W:$W,$A:$A,A674,$C:$C,C674)),0)</f>
        <v>0</v>
      </c>
    </row>
    <row r="675" customFormat="false" ht="15" hidden="false" customHeight="true" outlineLevel="0" collapsed="false">
      <c r="A675" s="45" t="s">
        <v>1667</v>
      </c>
      <c r="B675" s="42" t="str">
        <f aca="false">IF(A675="100","HK",IF(A675="200","CN",IF(A675="300","TW","홀세일")))</f>
        <v>홀세일</v>
      </c>
      <c r="C675" s="45" t="s">
        <v>376</v>
      </c>
      <c r="D675" s="46" t="n">
        <v>102</v>
      </c>
      <c r="E675" s="46" t="n">
        <v>89000</v>
      </c>
      <c r="F675" s="46" t="n">
        <v>17342</v>
      </c>
      <c r="G675" s="42" t="n">
        <v>3.98</v>
      </c>
      <c r="H675" s="42" t="n">
        <v>22.3</v>
      </c>
      <c r="I675" s="42" t="n">
        <v>0</v>
      </c>
      <c r="J675" s="46" t="n">
        <f aca="false">IF(N(E675)&gt;0,E675,IF(N(F675)&gt;0,F675*요약!$F$27,0))</f>
        <v>89000</v>
      </c>
      <c r="K675" s="46" t="n">
        <f aca="false">IF(N(F675)&gt;0,F675,IF(N(E675)&gt;0,E675/요약!$F$27,0))</f>
        <v>17342</v>
      </c>
      <c r="L675" s="46" t="n">
        <f aca="false">IF(B675="CN",IF(N(I675)&gt;0,I675*요약!$G$27,K675*(1+요약!$E$27)),IF(N(H675)&gt;0,H675*요약!$G$27,J675*요약!$D$27))</f>
        <v>29436</v>
      </c>
      <c r="M675" s="46" t="n">
        <f aca="false">D675*J675</f>
        <v>9078000</v>
      </c>
      <c r="N675" s="46" t="n">
        <f aca="false">D675*K675</f>
        <v>1768884</v>
      </c>
      <c r="O675" s="46" t="n">
        <f aca="false">D675*L675</f>
        <v>3002472</v>
      </c>
      <c r="P675" s="42" t="str">
        <f aca="false">TRIM(IF(N(E675)&lt;=0,"택가보정 ","")&amp;IF(N(F675)&lt;=0,"원가보정 ","")&amp;IF(AND(B675&lt;&gt;"CN",N(H675)&lt;=0),"공급가보정 ","")&amp;IF(AND(B675="CN",N(I675)&lt;=0),"중국공급가=원가+마진 ",""))</f>
        <v/>
      </c>
      <c r="Q675" s="47" t="n">
        <f aca="false">IF(SUMIFS($W:$W,$A:$A,A675,$C:$C,C675)=0,0,SUMIFS(RAW_판매펀칭!$K:$K,RAW_판매펀칭!$P:$P,A675,RAW_판매펀칭!$I:$I,C675)*W675/SUMIFS($W:$W,$A:$A,A675,$C:$C,C675))</f>
        <v>0</v>
      </c>
      <c r="R675" s="47" t="n">
        <f aca="false">IF(OR(A675="500",A675="800",A675="810"),0,MAX(W675-Q675,0))</f>
        <v>102</v>
      </c>
      <c r="S675" s="47" t="n">
        <f aca="false">R675*L675</f>
        <v>3002472</v>
      </c>
      <c r="T675" s="47" t="n">
        <f aca="false">R675*J675</f>
        <v>9078000</v>
      </c>
      <c r="U675" s="47" t="n">
        <f aca="false">R675*K675</f>
        <v>1768884</v>
      </c>
      <c r="V675" s="0" t="str">
        <f aca="false">IF(COUNTIFS($A$2:A675,A675,$C$2:C675,C675,$D$2:D675,D675)&gt;1,"중복","")</f>
        <v/>
      </c>
      <c r="W675" s="0" t="n">
        <f aca="false">IF(V675="중복",0,N(D675))</f>
        <v>102</v>
      </c>
      <c r="X675" s="0" t="n">
        <f aca="false">IF(COUNTIFS($A$2:A675,A675,$C$2:C675,C675)=1,ABS(SUMIFS(RAW_발주!$D:$D,RAW_발주!$C:$C,A675,RAW_발주!$A:$A,C675)-SUMIFS($W:$W,$A:$A,A675,$C:$C,C675)),0)</f>
        <v>0</v>
      </c>
    </row>
    <row r="676" customFormat="false" ht="15" hidden="false" customHeight="true" outlineLevel="0" collapsed="false">
      <c r="A676" s="45" t="s">
        <v>1665</v>
      </c>
      <c r="B676" s="42" t="str">
        <f aca="false">IF(A676="100","HK",IF(A676="200","CN",IF(A676="300","TW","홀세일")))</f>
        <v>홀세일</v>
      </c>
      <c r="C676" s="45" t="s">
        <v>376</v>
      </c>
      <c r="D676" s="46" t="n">
        <v>48</v>
      </c>
      <c r="E676" s="46" t="n">
        <v>89000</v>
      </c>
      <c r="F676" s="46" t="n">
        <v>17342</v>
      </c>
      <c r="G676" s="42" t="n">
        <v>3.98</v>
      </c>
      <c r="H676" s="42" t="n">
        <v>22.3</v>
      </c>
      <c r="I676" s="42" t="n">
        <v>0</v>
      </c>
      <c r="J676" s="46" t="n">
        <f aca="false">IF(N(E676)&gt;0,E676,IF(N(F676)&gt;0,F676*요약!$F$27,0))</f>
        <v>89000</v>
      </c>
      <c r="K676" s="46" t="n">
        <f aca="false">IF(N(F676)&gt;0,F676,IF(N(E676)&gt;0,E676/요약!$F$27,0))</f>
        <v>17342</v>
      </c>
      <c r="L676" s="46" t="n">
        <f aca="false">IF(B676="CN",IF(N(I676)&gt;0,I676*요약!$G$27,K676*(1+요약!$E$27)),IF(N(H676)&gt;0,H676*요약!$G$27,J676*요약!$D$27))</f>
        <v>29436</v>
      </c>
      <c r="M676" s="46" t="n">
        <f aca="false">D676*J676</f>
        <v>4272000</v>
      </c>
      <c r="N676" s="46" t="n">
        <f aca="false">D676*K676</f>
        <v>832416</v>
      </c>
      <c r="O676" s="46" t="n">
        <f aca="false">D676*L676</f>
        <v>1412928</v>
      </c>
      <c r="P676" s="42" t="str">
        <f aca="false">TRIM(IF(N(E676)&lt;=0,"택가보정 ","")&amp;IF(N(F676)&lt;=0,"원가보정 ","")&amp;IF(AND(B676&lt;&gt;"CN",N(H676)&lt;=0),"공급가보정 ","")&amp;IF(AND(B676="CN",N(I676)&lt;=0),"중국공급가=원가+마진 ",""))</f>
        <v/>
      </c>
      <c r="Q676" s="47" t="n">
        <f aca="false">IF(SUMIFS($W:$W,$A:$A,A676,$C:$C,C676)=0,0,SUMIFS(RAW_판매펀칭!$K:$K,RAW_판매펀칭!$P:$P,A676,RAW_판매펀칭!$I:$I,C676)*W676/SUMIFS($W:$W,$A:$A,A676,$C:$C,C676))</f>
        <v>0</v>
      </c>
      <c r="R676" s="47" t="n">
        <f aca="false">IF(OR(A676="500",A676="800",A676="810"),0,MAX(W676-Q676,0))</f>
        <v>0</v>
      </c>
      <c r="S676" s="47" t="n">
        <f aca="false">R676*L676</f>
        <v>0</v>
      </c>
      <c r="T676" s="47" t="n">
        <f aca="false">R676*J676</f>
        <v>0</v>
      </c>
      <c r="U676" s="47" t="n">
        <f aca="false">R676*K676</f>
        <v>0</v>
      </c>
      <c r="V676" s="0" t="str">
        <f aca="false">IF(COUNTIFS($A$2:A676,A676,$C$2:C676,C676,$D$2:D676,D676)&gt;1,"중복","")</f>
        <v/>
      </c>
      <c r="W676" s="0" t="n">
        <f aca="false">IF(V676="중복",0,N(D676))</f>
        <v>48</v>
      </c>
      <c r="X676" s="0" t="n">
        <f aca="false">IF(COUNTIFS($A$2:A676,A676,$C$2:C676,C676)=1,ABS(SUMIFS(RAW_발주!$D:$D,RAW_발주!$C:$C,A676,RAW_발주!$A:$A,C676)-SUMIFS($W:$W,$A:$A,A676,$C:$C,C676)),0)</f>
        <v>0</v>
      </c>
    </row>
    <row r="677" customFormat="false" ht="15" hidden="false" customHeight="true" outlineLevel="0" collapsed="false">
      <c r="A677" s="45" t="s">
        <v>1666</v>
      </c>
      <c r="B677" s="42" t="str">
        <f aca="false">IF(A677="100","HK",IF(A677="200","CN",IF(A677="300","TW","홀세일")))</f>
        <v>홀세일</v>
      </c>
      <c r="C677" s="45" t="s">
        <v>376</v>
      </c>
      <c r="D677" s="46" t="n">
        <v>1000</v>
      </c>
      <c r="E677" s="46" t="n">
        <v>89000</v>
      </c>
      <c r="F677" s="46" t="n">
        <v>17342</v>
      </c>
      <c r="G677" s="42" t="n">
        <v>3.98</v>
      </c>
      <c r="H677" s="42" t="n">
        <v>22.3</v>
      </c>
      <c r="I677" s="42" t="n">
        <v>0</v>
      </c>
      <c r="J677" s="46" t="n">
        <f aca="false">IF(N(E677)&gt;0,E677,IF(N(F677)&gt;0,F677*요약!$F$27,0))</f>
        <v>89000</v>
      </c>
      <c r="K677" s="46" t="n">
        <f aca="false">IF(N(F677)&gt;0,F677,IF(N(E677)&gt;0,E677/요약!$F$27,0))</f>
        <v>17342</v>
      </c>
      <c r="L677" s="46" t="n">
        <f aca="false">IF(B677="CN",IF(N(I677)&gt;0,I677*요약!$G$27,K677*(1+요약!$E$27)),IF(N(H677)&gt;0,H677*요약!$G$27,J677*요약!$D$27))</f>
        <v>29436</v>
      </c>
      <c r="M677" s="46" t="n">
        <f aca="false">D677*J677</f>
        <v>89000000</v>
      </c>
      <c r="N677" s="46" t="n">
        <f aca="false">D677*K677</f>
        <v>17342000</v>
      </c>
      <c r="O677" s="46" t="n">
        <f aca="false">D677*L677</f>
        <v>29436000</v>
      </c>
      <c r="P677" s="42" t="str">
        <f aca="false">TRIM(IF(N(E677)&lt;=0,"택가보정 ","")&amp;IF(N(F677)&lt;=0,"원가보정 ","")&amp;IF(AND(B677&lt;&gt;"CN",N(H677)&lt;=0),"공급가보정 ","")&amp;IF(AND(B677="CN",N(I677)&lt;=0),"중국공급가=원가+마진 ",""))</f>
        <v/>
      </c>
      <c r="Q677" s="47" t="n">
        <f aca="false">IF(SUMIFS($W:$W,$A:$A,A677,$C:$C,C677)=0,0,SUMIFS(RAW_판매펀칭!$K:$K,RAW_판매펀칭!$P:$P,A677,RAW_판매펀칭!$I:$I,C677)*W677/SUMIFS($W:$W,$A:$A,A677,$C:$C,C677))</f>
        <v>1000</v>
      </c>
      <c r="R677" s="47" t="n">
        <f aca="false">IF(OR(A677="500",A677="800",A677="810"),0,MAX(W677-Q677,0))</f>
        <v>0</v>
      </c>
      <c r="S677" s="47" t="n">
        <f aca="false">R677*L677</f>
        <v>0</v>
      </c>
      <c r="T677" s="47" t="n">
        <f aca="false">R677*J677</f>
        <v>0</v>
      </c>
      <c r="U677" s="47" t="n">
        <f aca="false">R677*K677</f>
        <v>0</v>
      </c>
      <c r="V677" s="0" t="str">
        <f aca="false">IF(COUNTIFS($A$2:A677,A677,$C$2:C677,C677,$D$2:D677,D677)&gt;1,"중복","")</f>
        <v/>
      </c>
      <c r="W677" s="0" t="n">
        <f aca="false">IF(V677="중복",0,N(D677))</f>
        <v>1000</v>
      </c>
      <c r="X677" s="0" t="n">
        <f aca="false">IF(COUNTIFS($A$2:A677,A677,$C$2:C677,C677)=1,ABS(SUMIFS(RAW_발주!$D:$D,RAW_발주!$C:$C,A677,RAW_발주!$A:$A,C677)-SUMIFS($W:$W,$A:$A,A677,$C:$C,C677)),0)</f>
        <v>0</v>
      </c>
    </row>
    <row r="678" customFormat="false" ht="15" hidden="false" customHeight="true" outlineLevel="0" collapsed="false">
      <c r="A678" s="45" t="s">
        <v>1659</v>
      </c>
      <c r="B678" s="42" t="str">
        <f aca="false">IF(A678="100","HK",IF(A678="200","CN",IF(A678="300","TW","홀세일")))</f>
        <v>HK</v>
      </c>
      <c r="C678" s="45" t="s">
        <v>378</v>
      </c>
      <c r="D678" s="46" t="n">
        <v>210</v>
      </c>
      <c r="E678" s="46" t="n">
        <v>79000</v>
      </c>
      <c r="F678" s="46" t="n">
        <v>18016</v>
      </c>
      <c r="G678" s="42" t="n">
        <v>3.53</v>
      </c>
      <c r="H678" s="42" t="n">
        <v>19.8</v>
      </c>
      <c r="I678" s="42" t="n">
        <v>0</v>
      </c>
      <c r="J678" s="46" t="n">
        <f aca="false">IF(N(E678)&gt;0,E678,IF(N(F678)&gt;0,F678*요약!$F$27,0))</f>
        <v>79000</v>
      </c>
      <c r="K678" s="46" t="n">
        <f aca="false">IF(N(F678)&gt;0,F678,IF(N(E678)&gt;0,E678/요약!$F$27,0))</f>
        <v>18016</v>
      </c>
      <c r="L678" s="46" t="n">
        <f aca="false">IF(B678="CN",IF(N(I678)&gt;0,I678*요약!$G$27,K678*(1+요약!$E$27)),IF(N(H678)&gt;0,H678*요약!$G$27,J678*요약!$D$27))</f>
        <v>26136</v>
      </c>
      <c r="M678" s="46" t="n">
        <f aca="false">D678*J678</f>
        <v>16590000</v>
      </c>
      <c r="N678" s="46" t="n">
        <f aca="false">D678*K678</f>
        <v>3783360</v>
      </c>
      <c r="O678" s="46" t="n">
        <f aca="false">D678*L678</f>
        <v>5488560</v>
      </c>
      <c r="P678" s="42" t="str">
        <f aca="false">TRIM(IF(N(E678)&lt;=0,"택가보정 ","")&amp;IF(N(F678)&lt;=0,"원가보정 ","")&amp;IF(AND(B678&lt;&gt;"CN",N(H678)&lt;=0),"공급가보정 ","")&amp;IF(AND(B678="CN",N(I678)&lt;=0),"중국공급가=원가+마진 ",""))</f>
        <v/>
      </c>
      <c r="Q678" s="47" t="n">
        <f aca="false">IF(SUMIFS($W:$W,$A:$A,A678,$C:$C,C678)=0,0,SUMIFS(RAW_판매펀칭!$K:$K,RAW_판매펀칭!$P:$P,A678,RAW_판매펀칭!$I:$I,C678)*W678/SUMIFS($W:$W,$A:$A,A678,$C:$C,C678))</f>
        <v>210</v>
      </c>
      <c r="R678" s="47" t="n">
        <f aca="false">IF(OR(A678="500",A678="800",A678="810"),0,MAX(W678-Q678,0))</f>
        <v>0</v>
      </c>
      <c r="S678" s="47" t="n">
        <f aca="false">R678*L678</f>
        <v>0</v>
      </c>
      <c r="T678" s="47" t="n">
        <f aca="false">R678*J678</f>
        <v>0</v>
      </c>
      <c r="U678" s="47" t="n">
        <f aca="false">R678*K678</f>
        <v>0</v>
      </c>
      <c r="V678" s="0" t="str">
        <f aca="false">IF(COUNTIFS($A$2:A678,A678,$C$2:C678,C678,$D$2:D678,D678)&gt;1,"중복","")</f>
        <v/>
      </c>
      <c r="W678" s="0" t="n">
        <f aca="false">IF(V678="중복",0,N(D678))</f>
        <v>210</v>
      </c>
      <c r="X678" s="0" t="n">
        <f aca="false">IF(COUNTIFS($A$2:A678,A678,$C$2:C678,C678)=1,ABS(SUMIFS(RAW_발주!$D:$D,RAW_발주!$C:$C,A678,RAW_발주!$A:$A,C678)-SUMIFS($W:$W,$A:$A,A678,$C:$C,C678)),0)</f>
        <v>0</v>
      </c>
    </row>
    <row r="679" customFormat="false" ht="15" hidden="false" customHeight="true" outlineLevel="0" collapsed="false">
      <c r="A679" s="45" t="s">
        <v>1661</v>
      </c>
      <c r="B679" s="42" t="str">
        <f aca="false">IF(A679="100","HK",IF(A679="200","CN",IF(A679="300","TW","홀세일")))</f>
        <v>TW</v>
      </c>
      <c r="C679" s="45" t="s">
        <v>378</v>
      </c>
      <c r="D679" s="46" t="n">
        <v>250</v>
      </c>
      <c r="E679" s="46" t="n">
        <v>79000</v>
      </c>
      <c r="F679" s="46" t="n">
        <v>18016</v>
      </c>
      <c r="G679" s="42" t="n">
        <v>3.53</v>
      </c>
      <c r="H679" s="42" t="n">
        <v>19.8</v>
      </c>
      <c r="I679" s="42" t="n">
        <v>0</v>
      </c>
      <c r="J679" s="46" t="n">
        <f aca="false">IF(N(E679)&gt;0,E679,IF(N(F679)&gt;0,F679*요약!$F$27,0))</f>
        <v>79000</v>
      </c>
      <c r="K679" s="46" t="n">
        <f aca="false">IF(N(F679)&gt;0,F679,IF(N(E679)&gt;0,E679/요약!$F$27,0))</f>
        <v>18016</v>
      </c>
      <c r="L679" s="46" t="n">
        <f aca="false">IF(B679="CN",IF(N(I679)&gt;0,I679*요약!$G$27,K679*(1+요약!$E$27)),IF(N(H679)&gt;0,H679*요약!$G$27,J679*요약!$D$27))</f>
        <v>26136</v>
      </c>
      <c r="M679" s="46" t="n">
        <f aca="false">D679*J679</f>
        <v>19750000</v>
      </c>
      <c r="N679" s="46" t="n">
        <f aca="false">D679*K679</f>
        <v>4504000</v>
      </c>
      <c r="O679" s="46" t="n">
        <f aca="false">D679*L679</f>
        <v>6534000</v>
      </c>
      <c r="P679" s="42" t="str">
        <f aca="false">TRIM(IF(N(E679)&lt;=0,"택가보정 ","")&amp;IF(N(F679)&lt;=0,"원가보정 ","")&amp;IF(AND(B679&lt;&gt;"CN",N(H679)&lt;=0),"공급가보정 ","")&amp;IF(AND(B679="CN",N(I679)&lt;=0),"중국공급가=원가+마진 ",""))</f>
        <v/>
      </c>
      <c r="Q679" s="47" t="n">
        <f aca="false">IF(SUMIFS($W:$W,$A:$A,A679,$C:$C,C679)=0,0,SUMIFS(RAW_판매펀칭!$K:$K,RAW_판매펀칭!$P:$P,A679,RAW_판매펀칭!$I:$I,C679)*W679/SUMIFS($W:$W,$A:$A,A679,$C:$C,C679))</f>
        <v>250</v>
      </c>
      <c r="R679" s="47" t="n">
        <f aca="false">IF(OR(A679="500",A679="800",A679="810"),0,MAX(W679-Q679,0))</f>
        <v>0</v>
      </c>
      <c r="S679" s="47" t="n">
        <f aca="false">R679*L679</f>
        <v>0</v>
      </c>
      <c r="T679" s="47" t="n">
        <f aca="false">R679*J679</f>
        <v>0</v>
      </c>
      <c r="U679" s="47" t="n">
        <f aca="false">R679*K679</f>
        <v>0</v>
      </c>
      <c r="V679" s="0" t="str">
        <f aca="false">IF(COUNTIFS($A$2:A679,A679,$C$2:C679,C679,$D$2:D679,D679)&gt;1,"중복","")</f>
        <v/>
      </c>
      <c r="W679" s="0" t="n">
        <f aca="false">IF(V679="중복",0,N(D679))</f>
        <v>250</v>
      </c>
      <c r="X679" s="0" t="n">
        <f aca="false">IF(COUNTIFS($A$2:A679,A679,$C$2:C679,C679)=1,ABS(SUMIFS(RAW_발주!$D:$D,RAW_발주!$C:$C,A679,RAW_발주!$A:$A,C679)-SUMIFS($W:$W,$A:$A,A679,$C:$C,C679)),0)</f>
        <v>0</v>
      </c>
    </row>
    <row r="680" customFormat="false" ht="15" hidden="false" customHeight="true" outlineLevel="0" collapsed="false">
      <c r="A680" s="45" t="s">
        <v>1667</v>
      </c>
      <c r="B680" s="42" t="str">
        <f aca="false">IF(A680="100","HK",IF(A680="200","CN",IF(A680="300","TW","홀세일")))</f>
        <v>홀세일</v>
      </c>
      <c r="C680" s="45" t="s">
        <v>378</v>
      </c>
      <c r="D680" s="46" t="n">
        <v>31</v>
      </c>
      <c r="E680" s="46" t="n">
        <v>79000</v>
      </c>
      <c r="F680" s="46" t="n">
        <v>18016</v>
      </c>
      <c r="G680" s="42" t="n">
        <v>3.53</v>
      </c>
      <c r="H680" s="42" t="n">
        <v>19.8</v>
      </c>
      <c r="I680" s="42" t="n">
        <v>0</v>
      </c>
      <c r="J680" s="46" t="n">
        <f aca="false">IF(N(E680)&gt;0,E680,IF(N(F680)&gt;0,F680*요약!$F$27,0))</f>
        <v>79000</v>
      </c>
      <c r="K680" s="46" t="n">
        <f aca="false">IF(N(F680)&gt;0,F680,IF(N(E680)&gt;0,E680/요약!$F$27,0))</f>
        <v>18016</v>
      </c>
      <c r="L680" s="46" t="n">
        <f aca="false">IF(B680="CN",IF(N(I680)&gt;0,I680*요약!$G$27,K680*(1+요약!$E$27)),IF(N(H680)&gt;0,H680*요약!$G$27,J680*요약!$D$27))</f>
        <v>26136</v>
      </c>
      <c r="M680" s="46" t="n">
        <f aca="false">D680*J680</f>
        <v>2449000</v>
      </c>
      <c r="N680" s="46" t="n">
        <f aca="false">D680*K680</f>
        <v>558496</v>
      </c>
      <c r="O680" s="46" t="n">
        <f aca="false">D680*L680</f>
        <v>810216</v>
      </c>
      <c r="P680" s="42" t="str">
        <f aca="false">TRIM(IF(N(E680)&lt;=0,"택가보정 ","")&amp;IF(N(F680)&lt;=0,"원가보정 ","")&amp;IF(AND(B680&lt;&gt;"CN",N(H680)&lt;=0),"공급가보정 ","")&amp;IF(AND(B680="CN",N(I680)&lt;=0),"중국공급가=원가+마진 ",""))</f>
        <v/>
      </c>
      <c r="Q680" s="47" t="n">
        <f aca="false">IF(SUMIFS($W:$W,$A:$A,A680,$C:$C,C680)=0,0,SUMIFS(RAW_판매펀칭!$K:$K,RAW_판매펀칭!$P:$P,A680,RAW_판매펀칭!$I:$I,C680)*W680/SUMIFS($W:$W,$A:$A,A680,$C:$C,C680))</f>
        <v>0</v>
      </c>
      <c r="R680" s="47" t="n">
        <f aca="false">IF(OR(A680="500",A680="800",A680="810"),0,MAX(W680-Q680,0))</f>
        <v>31</v>
      </c>
      <c r="S680" s="47" t="n">
        <f aca="false">R680*L680</f>
        <v>810216</v>
      </c>
      <c r="T680" s="47" t="n">
        <f aca="false">R680*J680</f>
        <v>2449000</v>
      </c>
      <c r="U680" s="47" t="n">
        <f aca="false">R680*K680</f>
        <v>558496</v>
      </c>
      <c r="V680" s="0" t="str">
        <f aca="false">IF(COUNTIFS($A$2:A680,A680,$C$2:C680,C680,$D$2:D680,D680)&gt;1,"중복","")</f>
        <v/>
      </c>
      <c r="W680" s="0" t="n">
        <f aca="false">IF(V680="중복",0,N(D680))</f>
        <v>31</v>
      </c>
      <c r="X680" s="0" t="n">
        <f aca="false">IF(COUNTIFS($A$2:A680,A680,$C$2:C680,C680)=1,ABS(SUMIFS(RAW_발주!$D:$D,RAW_발주!$C:$C,A680,RAW_발주!$A:$A,C680)-SUMIFS($W:$W,$A:$A,A680,$C:$C,C680)),0)</f>
        <v>0</v>
      </c>
    </row>
    <row r="681" customFormat="false" ht="15" hidden="false" customHeight="true" outlineLevel="0" collapsed="false">
      <c r="A681" s="45" t="s">
        <v>1665</v>
      </c>
      <c r="B681" s="42" t="str">
        <f aca="false">IF(A681="100","HK",IF(A681="200","CN",IF(A681="300","TW","홀세일")))</f>
        <v>홀세일</v>
      </c>
      <c r="C681" s="45" t="s">
        <v>378</v>
      </c>
      <c r="D681" s="46" t="n">
        <v>48</v>
      </c>
      <c r="E681" s="46" t="n">
        <v>79000</v>
      </c>
      <c r="F681" s="46" t="n">
        <v>18016</v>
      </c>
      <c r="G681" s="42" t="n">
        <v>3.53</v>
      </c>
      <c r="H681" s="42" t="n">
        <v>19.8</v>
      </c>
      <c r="I681" s="42" t="n">
        <v>0</v>
      </c>
      <c r="J681" s="46" t="n">
        <f aca="false">IF(N(E681)&gt;0,E681,IF(N(F681)&gt;0,F681*요약!$F$27,0))</f>
        <v>79000</v>
      </c>
      <c r="K681" s="46" t="n">
        <f aca="false">IF(N(F681)&gt;0,F681,IF(N(E681)&gt;0,E681/요약!$F$27,0))</f>
        <v>18016</v>
      </c>
      <c r="L681" s="46" t="n">
        <f aca="false">IF(B681="CN",IF(N(I681)&gt;0,I681*요약!$G$27,K681*(1+요약!$E$27)),IF(N(H681)&gt;0,H681*요약!$G$27,J681*요약!$D$27))</f>
        <v>26136</v>
      </c>
      <c r="M681" s="46" t="n">
        <f aca="false">D681*J681</f>
        <v>3792000</v>
      </c>
      <c r="N681" s="46" t="n">
        <f aca="false">D681*K681</f>
        <v>864768</v>
      </c>
      <c r="O681" s="46" t="n">
        <f aca="false">D681*L681</f>
        <v>1254528</v>
      </c>
      <c r="P681" s="42" t="str">
        <f aca="false">TRIM(IF(N(E681)&lt;=0,"택가보정 ","")&amp;IF(N(F681)&lt;=0,"원가보정 ","")&amp;IF(AND(B681&lt;&gt;"CN",N(H681)&lt;=0),"공급가보정 ","")&amp;IF(AND(B681="CN",N(I681)&lt;=0),"중국공급가=원가+마진 ",""))</f>
        <v/>
      </c>
      <c r="Q681" s="47" t="n">
        <f aca="false">IF(SUMIFS($W:$W,$A:$A,A681,$C:$C,C681)=0,0,SUMIFS(RAW_판매펀칭!$K:$K,RAW_판매펀칭!$P:$P,A681,RAW_판매펀칭!$I:$I,C681)*W681/SUMIFS($W:$W,$A:$A,A681,$C:$C,C681))</f>
        <v>0</v>
      </c>
      <c r="R681" s="47" t="n">
        <f aca="false">IF(OR(A681="500",A681="800",A681="810"),0,MAX(W681-Q681,0))</f>
        <v>0</v>
      </c>
      <c r="S681" s="47" t="n">
        <f aca="false">R681*L681</f>
        <v>0</v>
      </c>
      <c r="T681" s="47" t="n">
        <f aca="false">R681*J681</f>
        <v>0</v>
      </c>
      <c r="U681" s="47" t="n">
        <f aca="false">R681*K681</f>
        <v>0</v>
      </c>
      <c r="V681" s="0" t="str">
        <f aca="false">IF(COUNTIFS($A$2:A681,A681,$C$2:C681,C681,$D$2:D681,D681)&gt;1,"중복","")</f>
        <v/>
      </c>
      <c r="W681" s="0" t="n">
        <f aca="false">IF(V681="중복",0,N(D681))</f>
        <v>48</v>
      </c>
      <c r="X681" s="0" t="n">
        <f aca="false">IF(COUNTIFS($A$2:A681,A681,$C$2:C681,C681)=1,ABS(SUMIFS(RAW_발주!$D:$D,RAW_발주!$C:$C,A681,RAW_발주!$A:$A,C681)-SUMIFS($W:$W,$A:$A,A681,$C:$C,C681)),0)</f>
        <v>0</v>
      </c>
    </row>
    <row r="682" customFormat="false" ht="15" hidden="false" customHeight="true" outlineLevel="0" collapsed="false">
      <c r="A682" s="45" t="s">
        <v>1666</v>
      </c>
      <c r="B682" s="42" t="str">
        <f aca="false">IF(A682="100","HK",IF(A682="200","CN",IF(A682="300","TW","홀세일")))</f>
        <v>홀세일</v>
      </c>
      <c r="C682" s="45" t="s">
        <v>378</v>
      </c>
      <c r="D682" s="46" t="n">
        <v>300</v>
      </c>
      <c r="E682" s="46" t="n">
        <v>79000</v>
      </c>
      <c r="F682" s="46" t="n">
        <v>18016</v>
      </c>
      <c r="G682" s="42" t="n">
        <v>3.53</v>
      </c>
      <c r="H682" s="42" t="n">
        <v>19.8</v>
      </c>
      <c r="I682" s="42" t="n">
        <v>0</v>
      </c>
      <c r="J682" s="46" t="n">
        <f aca="false">IF(N(E682)&gt;0,E682,IF(N(F682)&gt;0,F682*요약!$F$27,0))</f>
        <v>79000</v>
      </c>
      <c r="K682" s="46" t="n">
        <f aca="false">IF(N(F682)&gt;0,F682,IF(N(E682)&gt;0,E682/요약!$F$27,0))</f>
        <v>18016</v>
      </c>
      <c r="L682" s="46" t="n">
        <f aca="false">IF(B682="CN",IF(N(I682)&gt;0,I682*요약!$G$27,K682*(1+요약!$E$27)),IF(N(H682)&gt;0,H682*요약!$G$27,J682*요약!$D$27))</f>
        <v>26136</v>
      </c>
      <c r="M682" s="46" t="n">
        <f aca="false">D682*J682</f>
        <v>23700000</v>
      </c>
      <c r="N682" s="46" t="n">
        <f aca="false">D682*K682</f>
        <v>5404800</v>
      </c>
      <c r="O682" s="46" t="n">
        <f aca="false">D682*L682</f>
        <v>7840800</v>
      </c>
      <c r="P682" s="42" t="str">
        <f aca="false">TRIM(IF(N(E682)&lt;=0,"택가보정 ","")&amp;IF(N(F682)&lt;=0,"원가보정 ","")&amp;IF(AND(B682&lt;&gt;"CN",N(H682)&lt;=0),"공급가보정 ","")&amp;IF(AND(B682="CN",N(I682)&lt;=0),"중국공급가=원가+마진 ",""))</f>
        <v/>
      </c>
      <c r="Q682" s="47" t="n">
        <f aca="false">IF(SUMIFS($W:$W,$A:$A,A682,$C:$C,C682)=0,0,SUMIFS(RAW_판매펀칭!$K:$K,RAW_판매펀칭!$P:$P,A682,RAW_판매펀칭!$I:$I,C682)*W682/SUMIFS($W:$W,$A:$A,A682,$C:$C,C682))</f>
        <v>300</v>
      </c>
      <c r="R682" s="47" t="n">
        <f aca="false">IF(OR(A682="500",A682="800",A682="810"),0,MAX(W682-Q682,0))</f>
        <v>0</v>
      </c>
      <c r="S682" s="47" t="n">
        <f aca="false">R682*L682</f>
        <v>0</v>
      </c>
      <c r="T682" s="47" t="n">
        <f aca="false">R682*J682</f>
        <v>0</v>
      </c>
      <c r="U682" s="47" t="n">
        <f aca="false">R682*K682</f>
        <v>0</v>
      </c>
      <c r="V682" s="0" t="str">
        <f aca="false">IF(COUNTIFS($A$2:A682,A682,$C$2:C682,C682,$D$2:D682,D682)&gt;1,"중복","")</f>
        <v/>
      </c>
      <c r="W682" s="0" t="n">
        <f aca="false">IF(V682="중복",0,N(D682))</f>
        <v>300</v>
      </c>
      <c r="X682" s="0" t="n">
        <f aca="false">IF(COUNTIFS($A$2:A682,A682,$C$2:C682,C682)=1,ABS(SUMIFS(RAW_발주!$D:$D,RAW_발주!$C:$C,A682,RAW_발주!$A:$A,C682)-SUMIFS($W:$W,$A:$A,A682,$C:$C,C682)),0)</f>
        <v>0</v>
      </c>
    </row>
    <row r="683" customFormat="false" ht="15" hidden="false" customHeight="true" outlineLevel="0" collapsed="false">
      <c r="A683" s="45" t="s">
        <v>1659</v>
      </c>
      <c r="B683" s="42" t="str">
        <f aca="false">IF(A683="100","HK",IF(A683="200","CN",IF(A683="300","TW","홀세일")))</f>
        <v>HK</v>
      </c>
      <c r="C683" s="45" t="s">
        <v>380</v>
      </c>
      <c r="D683" s="46" t="n">
        <v>50</v>
      </c>
      <c r="E683" s="46" t="n">
        <v>59000</v>
      </c>
      <c r="F683" s="46" t="n">
        <v>15194</v>
      </c>
      <c r="G683" s="42" t="n">
        <v>3.39</v>
      </c>
      <c r="H683" s="42" t="n">
        <v>14.8</v>
      </c>
      <c r="I683" s="42" t="n">
        <v>0</v>
      </c>
      <c r="J683" s="46" t="n">
        <f aca="false">IF(N(E683)&gt;0,E683,IF(N(F683)&gt;0,F683*요약!$F$27,0))</f>
        <v>59000</v>
      </c>
      <c r="K683" s="46" t="n">
        <f aca="false">IF(N(F683)&gt;0,F683,IF(N(E683)&gt;0,E683/요약!$F$27,0))</f>
        <v>15194</v>
      </c>
      <c r="L683" s="46" t="n">
        <f aca="false">IF(B683="CN",IF(N(I683)&gt;0,I683*요약!$G$27,K683*(1+요약!$E$27)),IF(N(H683)&gt;0,H683*요약!$G$27,J683*요약!$D$27))</f>
        <v>19536</v>
      </c>
      <c r="M683" s="46" t="n">
        <f aca="false">D683*J683</f>
        <v>2950000</v>
      </c>
      <c r="N683" s="46" t="n">
        <f aca="false">D683*K683</f>
        <v>759700</v>
      </c>
      <c r="O683" s="46" t="n">
        <f aca="false">D683*L683</f>
        <v>976800</v>
      </c>
      <c r="P683" s="42" t="str">
        <f aca="false">TRIM(IF(N(E683)&lt;=0,"택가보정 ","")&amp;IF(N(F683)&lt;=0,"원가보정 ","")&amp;IF(AND(B683&lt;&gt;"CN",N(H683)&lt;=0),"공급가보정 ","")&amp;IF(AND(B683="CN",N(I683)&lt;=0),"중국공급가=원가+마진 ",""))</f>
        <v/>
      </c>
      <c r="Q683" s="47" t="n">
        <f aca="false">IF(SUMIFS($W:$W,$A:$A,A683,$C:$C,C683)=0,0,SUMIFS(RAW_판매펀칭!$K:$K,RAW_판매펀칭!$P:$P,A683,RAW_판매펀칭!$I:$I,C683)*W683/SUMIFS($W:$W,$A:$A,A683,$C:$C,C683))</f>
        <v>50</v>
      </c>
      <c r="R683" s="47" t="n">
        <f aca="false">IF(OR(A683="500",A683="800",A683="810"),0,MAX(W683-Q683,0))</f>
        <v>0</v>
      </c>
      <c r="S683" s="47" t="n">
        <f aca="false">R683*L683</f>
        <v>0</v>
      </c>
      <c r="T683" s="47" t="n">
        <f aca="false">R683*J683</f>
        <v>0</v>
      </c>
      <c r="U683" s="47" t="n">
        <f aca="false">R683*K683</f>
        <v>0</v>
      </c>
      <c r="V683" s="0" t="str">
        <f aca="false">IF(COUNTIFS($A$2:A683,A683,$C$2:C683,C683,$D$2:D683,D683)&gt;1,"중복","")</f>
        <v/>
      </c>
      <c r="W683" s="0" t="n">
        <f aca="false">IF(V683="중복",0,N(D683))</f>
        <v>50</v>
      </c>
      <c r="X683" s="0" t="n">
        <f aca="false">IF(COUNTIFS($A$2:A683,A683,$C$2:C683,C683)=1,ABS(SUMIFS(RAW_발주!$D:$D,RAW_발주!$C:$C,A683,RAW_발주!$A:$A,C683)-SUMIFS($W:$W,$A:$A,A683,$C:$C,C683)),0)</f>
        <v>0</v>
      </c>
    </row>
    <row r="684" customFormat="false" ht="15" hidden="false" customHeight="true" outlineLevel="0" collapsed="false">
      <c r="A684" s="45" t="s">
        <v>1661</v>
      </c>
      <c r="B684" s="42" t="str">
        <f aca="false">IF(A684="100","HK",IF(A684="200","CN",IF(A684="300","TW","홀세일")))</f>
        <v>TW</v>
      </c>
      <c r="C684" s="45" t="s">
        <v>380</v>
      </c>
      <c r="D684" s="46" t="n">
        <v>100</v>
      </c>
      <c r="E684" s="46" t="n">
        <v>59000</v>
      </c>
      <c r="F684" s="46" t="n">
        <v>15194</v>
      </c>
      <c r="G684" s="42" t="n">
        <v>3.39</v>
      </c>
      <c r="H684" s="42" t="n">
        <v>14.8</v>
      </c>
      <c r="I684" s="42" t="n">
        <v>0</v>
      </c>
      <c r="J684" s="46" t="n">
        <f aca="false">IF(N(E684)&gt;0,E684,IF(N(F684)&gt;0,F684*요약!$F$27,0))</f>
        <v>59000</v>
      </c>
      <c r="K684" s="46" t="n">
        <f aca="false">IF(N(F684)&gt;0,F684,IF(N(E684)&gt;0,E684/요약!$F$27,0))</f>
        <v>15194</v>
      </c>
      <c r="L684" s="46" t="n">
        <f aca="false">IF(B684="CN",IF(N(I684)&gt;0,I684*요약!$G$27,K684*(1+요약!$E$27)),IF(N(H684)&gt;0,H684*요약!$G$27,J684*요약!$D$27))</f>
        <v>19536</v>
      </c>
      <c r="M684" s="46" t="n">
        <f aca="false">D684*J684</f>
        <v>5900000</v>
      </c>
      <c r="N684" s="46" t="n">
        <f aca="false">D684*K684</f>
        <v>1519400</v>
      </c>
      <c r="O684" s="46" t="n">
        <f aca="false">D684*L684</f>
        <v>1953600</v>
      </c>
      <c r="P684" s="42" t="str">
        <f aca="false">TRIM(IF(N(E684)&lt;=0,"택가보정 ","")&amp;IF(N(F684)&lt;=0,"원가보정 ","")&amp;IF(AND(B684&lt;&gt;"CN",N(H684)&lt;=0),"공급가보정 ","")&amp;IF(AND(B684="CN",N(I684)&lt;=0),"중국공급가=원가+마진 ",""))</f>
        <v/>
      </c>
      <c r="Q684" s="47" t="n">
        <f aca="false">IF(SUMIFS($W:$W,$A:$A,A684,$C:$C,C684)=0,0,SUMIFS(RAW_판매펀칭!$K:$K,RAW_판매펀칭!$P:$P,A684,RAW_판매펀칭!$I:$I,C684)*W684/SUMIFS($W:$W,$A:$A,A684,$C:$C,C684))</f>
        <v>100</v>
      </c>
      <c r="R684" s="47" t="n">
        <f aca="false">IF(OR(A684="500",A684="800",A684="810"),0,MAX(W684-Q684,0))</f>
        <v>0</v>
      </c>
      <c r="S684" s="47" t="n">
        <f aca="false">R684*L684</f>
        <v>0</v>
      </c>
      <c r="T684" s="47" t="n">
        <f aca="false">R684*J684</f>
        <v>0</v>
      </c>
      <c r="U684" s="47" t="n">
        <f aca="false">R684*K684</f>
        <v>0</v>
      </c>
      <c r="V684" s="0" t="str">
        <f aca="false">IF(COUNTIFS($A$2:A684,A684,$C$2:C684,C684,$D$2:D684,D684)&gt;1,"중복","")</f>
        <v/>
      </c>
      <c r="W684" s="0" t="n">
        <f aca="false">IF(V684="중복",0,N(D684))</f>
        <v>100</v>
      </c>
      <c r="X684" s="0" t="n">
        <f aca="false">IF(COUNTIFS($A$2:A684,A684,$C$2:C684,C684)=1,ABS(SUMIFS(RAW_발주!$D:$D,RAW_발주!$C:$C,A684,RAW_발주!$A:$A,C684)-SUMIFS($W:$W,$A:$A,A684,$C:$C,C684)),0)</f>
        <v>0</v>
      </c>
    </row>
    <row r="685" customFormat="false" ht="15" hidden="false" customHeight="true" outlineLevel="0" collapsed="false">
      <c r="A685" s="45" t="s">
        <v>1663</v>
      </c>
      <c r="B685" s="42" t="str">
        <f aca="false">IF(A685="100","HK",IF(A685="200","CN",IF(A685="300","TW","홀세일")))</f>
        <v>홀세일</v>
      </c>
      <c r="C685" s="45" t="s">
        <v>380</v>
      </c>
      <c r="D685" s="46" t="n">
        <v>25</v>
      </c>
      <c r="E685" s="46" t="n">
        <v>59000</v>
      </c>
      <c r="F685" s="46" t="n">
        <v>15194</v>
      </c>
      <c r="G685" s="42" t="n">
        <v>3.39</v>
      </c>
      <c r="H685" s="42" t="n">
        <v>14.8</v>
      </c>
      <c r="I685" s="42" t="n">
        <v>0</v>
      </c>
      <c r="J685" s="46" t="n">
        <f aca="false">IF(N(E685)&gt;0,E685,IF(N(F685)&gt;0,F685*요약!$F$27,0))</f>
        <v>59000</v>
      </c>
      <c r="K685" s="46" t="n">
        <f aca="false">IF(N(F685)&gt;0,F685,IF(N(E685)&gt;0,E685/요약!$F$27,0))</f>
        <v>15194</v>
      </c>
      <c r="L685" s="46" t="n">
        <f aca="false">IF(B685="CN",IF(N(I685)&gt;0,I685*요약!$G$27,K685*(1+요약!$E$27)),IF(N(H685)&gt;0,H685*요약!$G$27,J685*요약!$D$27))</f>
        <v>19536</v>
      </c>
      <c r="M685" s="46" t="n">
        <f aca="false">D685*J685</f>
        <v>1475000</v>
      </c>
      <c r="N685" s="46" t="n">
        <f aca="false">D685*K685</f>
        <v>379850</v>
      </c>
      <c r="O685" s="46" t="n">
        <f aca="false">D685*L685</f>
        <v>488400</v>
      </c>
      <c r="P685" s="42" t="str">
        <f aca="false">TRIM(IF(N(E685)&lt;=0,"택가보정 ","")&amp;IF(N(F685)&lt;=0,"원가보정 ","")&amp;IF(AND(B685&lt;&gt;"CN",N(H685)&lt;=0),"공급가보정 ","")&amp;IF(AND(B685="CN",N(I685)&lt;=0),"중국공급가=원가+마진 ",""))</f>
        <v/>
      </c>
      <c r="Q685" s="47" t="n">
        <f aca="false">IF(SUMIFS($W:$W,$A:$A,A685,$C:$C,C685)=0,0,SUMIFS(RAW_판매펀칭!$K:$K,RAW_판매펀칭!$P:$P,A685,RAW_판매펀칭!$I:$I,C685)*W685/SUMIFS($W:$W,$A:$A,A685,$C:$C,C685))</f>
        <v>25</v>
      </c>
      <c r="R685" s="47" t="n">
        <f aca="false">IF(OR(A685="500",A685="800",A685="810"),0,MAX(W685-Q685,0))</f>
        <v>0</v>
      </c>
      <c r="S685" s="47" t="n">
        <f aca="false">R685*L685</f>
        <v>0</v>
      </c>
      <c r="T685" s="47" t="n">
        <f aca="false">R685*J685</f>
        <v>0</v>
      </c>
      <c r="U685" s="47" t="n">
        <f aca="false">R685*K685</f>
        <v>0</v>
      </c>
      <c r="V685" s="0" t="str">
        <f aca="false">IF(COUNTIFS($A$2:A685,A685,$C$2:C685,C685,$D$2:D685,D685)&gt;1,"중복","")</f>
        <v/>
      </c>
      <c r="W685" s="0" t="n">
        <f aca="false">IF(V685="중복",0,N(D685))</f>
        <v>25</v>
      </c>
      <c r="X685" s="0" t="n">
        <f aca="false">IF(COUNTIFS($A$2:A685,A685,$C$2:C685,C685)=1,ABS(SUMIFS(RAW_발주!$D:$D,RAW_발주!$C:$C,A685,RAW_발주!$A:$A,C685)-SUMIFS($W:$W,$A:$A,A685,$C:$C,C685)),0)</f>
        <v>0</v>
      </c>
    </row>
    <row r="686" customFormat="false" ht="15" hidden="false" customHeight="true" outlineLevel="0" collapsed="false">
      <c r="A686" s="45" t="s">
        <v>1667</v>
      </c>
      <c r="B686" s="42" t="str">
        <f aca="false">IF(A686="100","HK",IF(A686="200","CN",IF(A686="300","TW","홀세일")))</f>
        <v>홀세일</v>
      </c>
      <c r="C686" s="45" t="s">
        <v>380</v>
      </c>
      <c r="D686" s="46" t="n">
        <v>91</v>
      </c>
      <c r="E686" s="46" t="n">
        <v>59000</v>
      </c>
      <c r="F686" s="46" t="n">
        <v>15194</v>
      </c>
      <c r="G686" s="42" t="n">
        <v>3.39</v>
      </c>
      <c r="H686" s="42" t="n">
        <v>14.8</v>
      </c>
      <c r="I686" s="42" t="n">
        <v>0</v>
      </c>
      <c r="J686" s="46" t="n">
        <f aca="false">IF(N(E686)&gt;0,E686,IF(N(F686)&gt;0,F686*요약!$F$27,0))</f>
        <v>59000</v>
      </c>
      <c r="K686" s="46" t="n">
        <f aca="false">IF(N(F686)&gt;0,F686,IF(N(E686)&gt;0,E686/요약!$F$27,0))</f>
        <v>15194</v>
      </c>
      <c r="L686" s="46" t="n">
        <f aca="false">IF(B686="CN",IF(N(I686)&gt;0,I686*요약!$G$27,K686*(1+요약!$E$27)),IF(N(H686)&gt;0,H686*요약!$G$27,J686*요약!$D$27))</f>
        <v>19536</v>
      </c>
      <c r="M686" s="46" t="n">
        <f aca="false">D686*J686</f>
        <v>5369000</v>
      </c>
      <c r="N686" s="46" t="n">
        <f aca="false">D686*K686</f>
        <v>1382654</v>
      </c>
      <c r="O686" s="46" t="n">
        <f aca="false">D686*L686</f>
        <v>1777776</v>
      </c>
      <c r="P686" s="42" t="str">
        <f aca="false">TRIM(IF(N(E686)&lt;=0,"택가보정 ","")&amp;IF(N(F686)&lt;=0,"원가보정 ","")&amp;IF(AND(B686&lt;&gt;"CN",N(H686)&lt;=0),"공급가보정 ","")&amp;IF(AND(B686="CN",N(I686)&lt;=0),"중국공급가=원가+마진 ",""))</f>
        <v/>
      </c>
      <c r="Q686" s="47" t="n">
        <f aca="false">IF(SUMIFS($W:$W,$A:$A,A686,$C:$C,C686)=0,0,SUMIFS(RAW_판매펀칭!$K:$K,RAW_판매펀칭!$P:$P,A686,RAW_판매펀칭!$I:$I,C686)*W686/SUMIFS($W:$W,$A:$A,A686,$C:$C,C686))</f>
        <v>0</v>
      </c>
      <c r="R686" s="47" t="n">
        <f aca="false">IF(OR(A686="500",A686="800",A686="810"),0,MAX(W686-Q686,0))</f>
        <v>91</v>
      </c>
      <c r="S686" s="47" t="n">
        <f aca="false">R686*L686</f>
        <v>1777776</v>
      </c>
      <c r="T686" s="47" t="n">
        <f aca="false">R686*J686</f>
        <v>5369000</v>
      </c>
      <c r="U686" s="47" t="n">
        <f aca="false">R686*K686</f>
        <v>1382654</v>
      </c>
      <c r="V686" s="0" t="str">
        <f aca="false">IF(COUNTIFS($A$2:A686,A686,$C$2:C686,C686,$D$2:D686,D686)&gt;1,"중복","")</f>
        <v/>
      </c>
      <c r="W686" s="0" t="n">
        <f aca="false">IF(V686="중복",0,N(D686))</f>
        <v>91</v>
      </c>
      <c r="X686" s="0" t="n">
        <f aca="false">IF(COUNTIFS($A$2:A686,A686,$C$2:C686,C686)=1,ABS(SUMIFS(RAW_발주!$D:$D,RAW_발주!$C:$C,A686,RAW_발주!$A:$A,C686)-SUMIFS($W:$W,$A:$A,A686,$C:$C,C686)),0)</f>
        <v>0</v>
      </c>
    </row>
    <row r="687" customFormat="false" ht="15" hidden="false" customHeight="true" outlineLevel="0" collapsed="false">
      <c r="A687" s="45" t="s">
        <v>1660</v>
      </c>
      <c r="B687" s="42" t="str">
        <f aca="false">IF(A687="100","HK",IF(A687="200","CN",IF(A687="300","TW","홀세일")))</f>
        <v>CN</v>
      </c>
      <c r="C687" s="45" t="s">
        <v>1055</v>
      </c>
      <c r="D687" s="46" t="n">
        <v>131</v>
      </c>
      <c r="E687" s="46" t="n">
        <v>59000</v>
      </c>
      <c r="F687" s="46" t="n">
        <v>14597</v>
      </c>
      <c r="G687" s="42" t="n">
        <v>3.46</v>
      </c>
      <c r="H687" s="42" t="n">
        <v>14.8</v>
      </c>
      <c r="I687" s="42" t="n">
        <v>12.4</v>
      </c>
      <c r="J687" s="46" t="n">
        <f aca="false">IF(N(E687)&gt;0,E687,IF(N(F687)&gt;0,F687*요약!$F$27,0))</f>
        <v>59000</v>
      </c>
      <c r="K687" s="46" t="n">
        <f aca="false">IF(N(F687)&gt;0,F687,IF(N(E687)&gt;0,E687/요약!$F$27,0))</f>
        <v>14597</v>
      </c>
      <c r="L687" s="46" t="n">
        <f aca="false">IF(B687="CN",IF(N(I687)&gt;0,I687*요약!$G$27,K687*(1+요약!$E$27)),IF(N(H687)&gt;0,H687*요약!$G$27,J687*요약!$D$27))</f>
        <v>16368</v>
      </c>
      <c r="M687" s="46" t="n">
        <f aca="false">D687*J687</f>
        <v>7729000</v>
      </c>
      <c r="N687" s="46" t="n">
        <f aca="false">D687*K687</f>
        <v>1912207</v>
      </c>
      <c r="O687" s="46" t="n">
        <f aca="false">D687*L687</f>
        <v>2144208</v>
      </c>
      <c r="P687" s="42" t="str">
        <f aca="false">TRIM(IF(N(E687)&lt;=0,"택가보정 ","")&amp;IF(N(F687)&lt;=0,"원가보정 ","")&amp;IF(AND(B687&lt;&gt;"CN",N(H687)&lt;=0),"공급가보정 ","")&amp;IF(AND(B687="CN",N(I687)&lt;=0),"중국공급가=원가+마진 ",""))</f>
        <v/>
      </c>
      <c r="Q687" s="47" t="n">
        <f aca="false">IF(SUMIFS($W:$W,$A:$A,A687,$C:$C,C687)=0,0,SUMIFS(RAW_판매펀칭!$K:$K,RAW_판매펀칭!$P:$P,A687,RAW_판매펀칭!$I:$I,C687)*W687/SUMIFS($W:$W,$A:$A,A687,$C:$C,C687))</f>
        <v>131</v>
      </c>
      <c r="R687" s="47" t="n">
        <f aca="false">IF(OR(A687="500",A687="800",A687="810"),0,MAX(W687-Q687,0))</f>
        <v>0</v>
      </c>
      <c r="S687" s="47" t="n">
        <f aca="false">R687*L687</f>
        <v>0</v>
      </c>
      <c r="T687" s="47" t="n">
        <f aca="false">R687*J687</f>
        <v>0</v>
      </c>
      <c r="U687" s="47" t="n">
        <f aca="false">R687*K687</f>
        <v>0</v>
      </c>
      <c r="V687" s="0" t="str">
        <f aca="false">IF(COUNTIFS($A$2:A687,A687,$C$2:C687,C687,$D$2:D687,D687)&gt;1,"중복","")</f>
        <v/>
      </c>
      <c r="W687" s="0" t="n">
        <f aca="false">IF(V687="중복",0,N(D687))</f>
        <v>131</v>
      </c>
      <c r="X687" s="0" t="n">
        <f aca="false">IF(COUNTIFS($A$2:A687,A687,$C$2:C687,C687)=1,ABS(SUMIFS(RAW_발주!$D:$D,RAW_발주!$C:$C,A687,RAW_발주!$A:$A,C687)-SUMIFS($W:$W,$A:$A,A687,$C:$C,C687)),0)</f>
        <v>0</v>
      </c>
    </row>
    <row r="688" customFormat="false" ht="15" hidden="false" customHeight="true" outlineLevel="0" collapsed="false">
      <c r="A688" s="45" t="s">
        <v>1663</v>
      </c>
      <c r="B688" s="42" t="str">
        <f aca="false">IF(A688="100","HK",IF(A688="200","CN",IF(A688="300","TW","홀세일")))</f>
        <v>홀세일</v>
      </c>
      <c r="C688" s="45" t="s">
        <v>1055</v>
      </c>
      <c r="D688" s="46" t="n">
        <v>25</v>
      </c>
      <c r="E688" s="46" t="n">
        <v>59000</v>
      </c>
      <c r="F688" s="46" t="n">
        <v>14597</v>
      </c>
      <c r="G688" s="42" t="n">
        <v>3.46</v>
      </c>
      <c r="H688" s="42" t="n">
        <v>14.8</v>
      </c>
      <c r="I688" s="42" t="n">
        <v>12.4</v>
      </c>
      <c r="J688" s="46" t="n">
        <f aca="false">IF(N(E688)&gt;0,E688,IF(N(F688)&gt;0,F688*요약!$F$27,0))</f>
        <v>59000</v>
      </c>
      <c r="K688" s="46" t="n">
        <f aca="false">IF(N(F688)&gt;0,F688,IF(N(E688)&gt;0,E688/요약!$F$27,0))</f>
        <v>14597</v>
      </c>
      <c r="L688" s="46" t="n">
        <f aca="false">IF(B688="CN",IF(N(I688)&gt;0,I688*요약!$G$27,K688*(1+요약!$E$27)),IF(N(H688)&gt;0,H688*요약!$G$27,J688*요약!$D$27))</f>
        <v>19536</v>
      </c>
      <c r="M688" s="46" t="n">
        <f aca="false">D688*J688</f>
        <v>1475000</v>
      </c>
      <c r="N688" s="46" t="n">
        <f aca="false">D688*K688</f>
        <v>364925</v>
      </c>
      <c r="O688" s="46" t="n">
        <f aca="false">D688*L688</f>
        <v>488400</v>
      </c>
      <c r="P688" s="42" t="str">
        <f aca="false">TRIM(IF(N(E688)&lt;=0,"택가보정 ","")&amp;IF(N(F688)&lt;=0,"원가보정 ","")&amp;IF(AND(B688&lt;&gt;"CN",N(H688)&lt;=0),"공급가보정 ","")&amp;IF(AND(B688="CN",N(I688)&lt;=0),"중국공급가=원가+마진 ",""))</f>
        <v/>
      </c>
      <c r="Q688" s="47" t="n">
        <f aca="false">IF(SUMIFS($W:$W,$A:$A,A688,$C:$C,C688)=0,0,SUMIFS(RAW_판매펀칭!$K:$K,RAW_판매펀칭!$P:$P,A688,RAW_판매펀칭!$I:$I,C688)*W688/SUMIFS($W:$W,$A:$A,A688,$C:$C,C688))</f>
        <v>25</v>
      </c>
      <c r="R688" s="47" t="n">
        <f aca="false">IF(OR(A688="500",A688="800",A688="810"),0,MAX(W688-Q688,0))</f>
        <v>0</v>
      </c>
      <c r="S688" s="47" t="n">
        <f aca="false">R688*L688</f>
        <v>0</v>
      </c>
      <c r="T688" s="47" t="n">
        <f aca="false">R688*J688</f>
        <v>0</v>
      </c>
      <c r="U688" s="47" t="n">
        <f aca="false">R688*K688</f>
        <v>0</v>
      </c>
      <c r="V688" s="0" t="str">
        <f aca="false">IF(COUNTIFS($A$2:A688,A688,$C$2:C688,C688,$D$2:D688,D688)&gt;1,"중복","")</f>
        <v/>
      </c>
      <c r="W688" s="0" t="n">
        <f aca="false">IF(V688="중복",0,N(D688))</f>
        <v>25</v>
      </c>
      <c r="X688" s="0" t="n">
        <f aca="false">IF(COUNTIFS($A$2:A688,A688,$C$2:C688,C688)=1,ABS(SUMIFS(RAW_발주!$D:$D,RAW_발주!$C:$C,A688,RAW_발주!$A:$A,C688)-SUMIFS($W:$W,$A:$A,A688,$C:$C,C688)),0)</f>
        <v>0</v>
      </c>
    </row>
    <row r="689" customFormat="false" ht="15" hidden="false" customHeight="true" outlineLevel="0" collapsed="false">
      <c r="A689" s="45" t="s">
        <v>1667</v>
      </c>
      <c r="B689" s="42" t="str">
        <f aca="false">IF(A689="100","HK",IF(A689="200","CN",IF(A689="300","TW","홀세일")))</f>
        <v>홀세일</v>
      </c>
      <c r="C689" s="45" t="s">
        <v>1055</v>
      </c>
      <c r="D689" s="46" t="n">
        <v>121</v>
      </c>
      <c r="E689" s="46" t="n">
        <v>59000</v>
      </c>
      <c r="F689" s="46" t="n">
        <v>14597</v>
      </c>
      <c r="G689" s="42" t="n">
        <v>3.46</v>
      </c>
      <c r="H689" s="42" t="n">
        <v>14.8</v>
      </c>
      <c r="I689" s="42" t="n">
        <v>12.4</v>
      </c>
      <c r="J689" s="46" t="n">
        <f aca="false">IF(N(E689)&gt;0,E689,IF(N(F689)&gt;0,F689*요약!$F$27,0))</f>
        <v>59000</v>
      </c>
      <c r="K689" s="46" t="n">
        <f aca="false">IF(N(F689)&gt;0,F689,IF(N(E689)&gt;0,E689/요약!$F$27,0))</f>
        <v>14597</v>
      </c>
      <c r="L689" s="46" t="n">
        <f aca="false">IF(B689="CN",IF(N(I689)&gt;0,I689*요약!$G$27,K689*(1+요약!$E$27)),IF(N(H689)&gt;0,H689*요약!$G$27,J689*요약!$D$27))</f>
        <v>19536</v>
      </c>
      <c r="M689" s="46" t="n">
        <f aca="false">D689*J689</f>
        <v>7139000</v>
      </c>
      <c r="N689" s="46" t="n">
        <f aca="false">D689*K689</f>
        <v>1766237</v>
      </c>
      <c r="O689" s="46" t="n">
        <f aca="false">D689*L689</f>
        <v>2363856</v>
      </c>
      <c r="P689" s="42" t="str">
        <f aca="false">TRIM(IF(N(E689)&lt;=0,"택가보정 ","")&amp;IF(N(F689)&lt;=0,"원가보정 ","")&amp;IF(AND(B689&lt;&gt;"CN",N(H689)&lt;=0),"공급가보정 ","")&amp;IF(AND(B689="CN",N(I689)&lt;=0),"중국공급가=원가+마진 ",""))</f>
        <v/>
      </c>
      <c r="Q689" s="47" t="n">
        <f aca="false">IF(SUMIFS($W:$W,$A:$A,A689,$C:$C,C689)=0,0,SUMIFS(RAW_판매펀칭!$K:$K,RAW_판매펀칭!$P:$P,A689,RAW_판매펀칭!$I:$I,C689)*W689/SUMIFS($W:$W,$A:$A,A689,$C:$C,C689))</f>
        <v>0</v>
      </c>
      <c r="R689" s="47" t="n">
        <f aca="false">IF(OR(A689="500",A689="800",A689="810"),0,MAX(W689-Q689,0))</f>
        <v>121</v>
      </c>
      <c r="S689" s="47" t="n">
        <f aca="false">R689*L689</f>
        <v>2363856</v>
      </c>
      <c r="T689" s="47" t="n">
        <f aca="false">R689*J689</f>
        <v>7139000</v>
      </c>
      <c r="U689" s="47" t="n">
        <f aca="false">R689*K689</f>
        <v>1766237</v>
      </c>
      <c r="V689" s="0" t="str">
        <f aca="false">IF(COUNTIFS($A$2:A689,A689,$C$2:C689,C689,$D$2:D689,D689)&gt;1,"중복","")</f>
        <v/>
      </c>
      <c r="W689" s="0" t="n">
        <f aca="false">IF(V689="중복",0,N(D689))</f>
        <v>121</v>
      </c>
      <c r="X689" s="0" t="n">
        <f aca="false">IF(COUNTIFS($A$2:A689,A689,$C$2:C689,C689)=1,ABS(SUMIFS(RAW_발주!$D:$D,RAW_발주!$C:$C,A689,RAW_발주!$A:$A,C689)-SUMIFS($W:$W,$A:$A,A689,$C:$C,C689)),0)</f>
        <v>0</v>
      </c>
    </row>
    <row r="690" customFormat="false" ht="15" hidden="false" customHeight="true" outlineLevel="0" collapsed="false">
      <c r="A690" s="45" t="s">
        <v>1659</v>
      </c>
      <c r="B690" s="42" t="str">
        <f aca="false">IF(A690="100","HK",IF(A690="200","CN",IF(A690="300","TW","홀세일")))</f>
        <v>HK</v>
      </c>
      <c r="C690" s="45" t="s">
        <v>382</v>
      </c>
      <c r="D690" s="46" t="n">
        <v>70</v>
      </c>
      <c r="E690" s="46" t="n">
        <v>69000</v>
      </c>
      <c r="F690" s="46" t="n">
        <v>15757</v>
      </c>
      <c r="G690" s="42" t="n">
        <v>3.76</v>
      </c>
      <c r="H690" s="42" t="n">
        <v>17.3</v>
      </c>
      <c r="I690" s="42" t="n">
        <v>0</v>
      </c>
      <c r="J690" s="46" t="n">
        <f aca="false">IF(N(E690)&gt;0,E690,IF(N(F690)&gt;0,F690*요약!$F$27,0))</f>
        <v>69000</v>
      </c>
      <c r="K690" s="46" t="n">
        <f aca="false">IF(N(F690)&gt;0,F690,IF(N(E690)&gt;0,E690/요약!$F$27,0))</f>
        <v>15757</v>
      </c>
      <c r="L690" s="46" t="n">
        <f aca="false">IF(B690="CN",IF(N(I690)&gt;0,I690*요약!$G$27,K690*(1+요약!$E$27)),IF(N(H690)&gt;0,H690*요약!$G$27,J690*요약!$D$27))</f>
        <v>22836</v>
      </c>
      <c r="M690" s="46" t="n">
        <f aca="false">D690*J690</f>
        <v>4830000</v>
      </c>
      <c r="N690" s="46" t="n">
        <f aca="false">D690*K690</f>
        <v>1102990</v>
      </c>
      <c r="O690" s="46" t="n">
        <f aca="false">D690*L690</f>
        <v>1598520</v>
      </c>
      <c r="P690" s="42" t="str">
        <f aca="false">TRIM(IF(N(E690)&lt;=0,"택가보정 ","")&amp;IF(N(F690)&lt;=0,"원가보정 ","")&amp;IF(AND(B690&lt;&gt;"CN",N(H690)&lt;=0),"공급가보정 ","")&amp;IF(AND(B690="CN",N(I690)&lt;=0),"중국공급가=원가+마진 ",""))</f>
        <v/>
      </c>
      <c r="Q690" s="47" t="n">
        <f aca="false">IF(SUMIFS($W:$W,$A:$A,A690,$C:$C,C690)=0,0,SUMIFS(RAW_판매펀칭!$K:$K,RAW_판매펀칭!$P:$P,A690,RAW_판매펀칭!$I:$I,C690)*W690/SUMIFS($W:$W,$A:$A,A690,$C:$C,C690))</f>
        <v>70</v>
      </c>
      <c r="R690" s="47" t="n">
        <f aca="false">IF(OR(A690="500",A690="800",A690="810"),0,MAX(W690-Q690,0))</f>
        <v>0</v>
      </c>
      <c r="S690" s="47" t="n">
        <f aca="false">R690*L690</f>
        <v>0</v>
      </c>
      <c r="T690" s="47" t="n">
        <f aca="false">R690*J690</f>
        <v>0</v>
      </c>
      <c r="U690" s="47" t="n">
        <f aca="false">R690*K690</f>
        <v>0</v>
      </c>
      <c r="V690" s="0" t="str">
        <f aca="false">IF(COUNTIFS($A$2:A690,A690,$C$2:C690,C690,$D$2:D690,D690)&gt;1,"중복","")</f>
        <v/>
      </c>
      <c r="W690" s="0" t="n">
        <f aca="false">IF(V690="중복",0,N(D690))</f>
        <v>70</v>
      </c>
      <c r="X690" s="0" t="n">
        <f aca="false">IF(COUNTIFS($A$2:A690,A690,$C$2:C690,C690)=1,ABS(SUMIFS(RAW_발주!$D:$D,RAW_발주!$C:$C,A690,RAW_발주!$A:$A,C690)-SUMIFS($W:$W,$A:$A,A690,$C:$C,C690)),0)</f>
        <v>0</v>
      </c>
    </row>
    <row r="691" customFormat="false" ht="15" hidden="false" customHeight="true" outlineLevel="0" collapsed="false">
      <c r="A691" s="45" t="s">
        <v>1661</v>
      </c>
      <c r="B691" s="42" t="str">
        <f aca="false">IF(A691="100","HK",IF(A691="200","CN",IF(A691="300","TW","홀세일")))</f>
        <v>TW</v>
      </c>
      <c r="C691" s="45" t="s">
        <v>382</v>
      </c>
      <c r="D691" s="46" t="n">
        <v>100</v>
      </c>
      <c r="E691" s="46" t="n">
        <v>69000</v>
      </c>
      <c r="F691" s="46" t="n">
        <v>15757</v>
      </c>
      <c r="G691" s="42" t="n">
        <v>3.76</v>
      </c>
      <c r="H691" s="42" t="n">
        <v>17.3</v>
      </c>
      <c r="I691" s="42" t="n">
        <v>0</v>
      </c>
      <c r="J691" s="46" t="n">
        <f aca="false">IF(N(E691)&gt;0,E691,IF(N(F691)&gt;0,F691*요약!$F$27,0))</f>
        <v>69000</v>
      </c>
      <c r="K691" s="46" t="n">
        <f aca="false">IF(N(F691)&gt;0,F691,IF(N(E691)&gt;0,E691/요약!$F$27,0))</f>
        <v>15757</v>
      </c>
      <c r="L691" s="46" t="n">
        <f aca="false">IF(B691="CN",IF(N(I691)&gt;0,I691*요약!$G$27,K691*(1+요약!$E$27)),IF(N(H691)&gt;0,H691*요약!$G$27,J691*요약!$D$27))</f>
        <v>22836</v>
      </c>
      <c r="M691" s="46" t="n">
        <f aca="false">D691*J691</f>
        <v>6900000</v>
      </c>
      <c r="N691" s="46" t="n">
        <f aca="false">D691*K691</f>
        <v>1575700</v>
      </c>
      <c r="O691" s="46" t="n">
        <f aca="false">D691*L691</f>
        <v>2283600</v>
      </c>
      <c r="P691" s="42" t="str">
        <f aca="false">TRIM(IF(N(E691)&lt;=0,"택가보정 ","")&amp;IF(N(F691)&lt;=0,"원가보정 ","")&amp;IF(AND(B691&lt;&gt;"CN",N(H691)&lt;=0),"공급가보정 ","")&amp;IF(AND(B691="CN",N(I691)&lt;=0),"중국공급가=원가+마진 ",""))</f>
        <v/>
      </c>
      <c r="Q691" s="47" t="n">
        <f aca="false">IF(SUMIFS($W:$W,$A:$A,A691,$C:$C,C691)=0,0,SUMIFS(RAW_판매펀칭!$K:$K,RAW_판매펀칭!$P:$P,A691,RAW_판매펀칭!$I:$I,C691)*W691/SUMIFS($W:$W,$A:$A,A691,$C:$C,C691))</f>
        <v>100</v>
      </c>
      <c r="R691" s="47" t="n">
        <f aca="false">IF(OR(A691="500",A691="800",A691="810"),0,MAX(W691-Q691,0))</f>
        <v>0</v>
      </c>
      <c r="S691" s="47" t="n">
        <f aca="false">R691*L691</f>
        <v>0</v>
      </c>
      <c r="T691" s="47" t="n">
        <f aca="false">R691*J691</f>
        <v>0</v>
      </c>
      <c r="U691" s="47" t="n">
        <f aca="false">R691*K691</f>
        <v>0</v>
      </c>
      <c r="V691" s="0" t="str">
        <f aca="false">IF(COUNTIFS($A$2:A691,A691,$C$2:C691,C691,$D$2:D691,D691)&gt;1,"중복","")</f>
        <v/>
      </c>
      <c r="W691" s="0" t="n">
        <f aca="false">IF(V691="중복",0,N(D691))</f>
        <v>100</v>
      </c>
      <c r="X691" s="0" t="n">
        <f aca="false">IF(COUNTIFS($A$2:A691,A691,$C$2:C691,C691)=1,ABS(SUMIFS(RAW_발주!$D:$D,RAW_발주!$C:$C,A691,RAW_발주!$A:$A,C691)-SUMIFS($W:$W,$A:$A,A691,$C:$C,C691)),0)</f>
        <v>0</v>
      </c>
    </row>
    <row r="692" customFormat="false" ht="15" hidden="false" customHeight="true" outlineLevel="0" collapsed="false">
      <c r="A692" s="45" t="s">
        <v>1667</v>
      </c>
      <c r="B692" s="42" t="str">
        <f aca="false">IF(A692="100","HK",IF(A692="200","CN",IF(A692="300","TW","홀세일")))</f>
        <v>홀세일</v>
      </c>
      <c r="C692" s="45" t="s">
        <v>382</v>
      </c>
      <c r="D692" s="46" t="n">
        <v>91</v>
      </c>
      <c r="E692" s="46" t="n">
        <v>69000</v>
      </c>
      <c r="F692" s="46" t="n">
        <v>15757</v>
      </c>
      <c r="G692" s="42" t="n">
        <v>3.76</v>
      </c>
      <c r="H692" s="42" t="n">
        <v>17.3</v>
      </c>
      <c r="I692" s="42" t="n">
        <v>0</v>
      </c>
      <c r="J692" s="46" t="n">
        <f aca="false">IF(N(E692)&gt;0,E692,IF(N(F692)&gt;0,F692*요약!$F$27,0))</f>
        <v>69000</v>
      </c>
      <c r="K692" s="46" t="n">
        <f aca="false">IF(N(F692)&gt;0,F692,IF(N(E692)&gt;0,E692/요약!$F$27,0))</f>
        <v>15757</v>
      </c>
      <c r="L692" s="46" t="n">
        <f aca="false">IF(B692="CN",IF(N(I692)&gt;0,I692*요약!$G$27,K692*(1+요약!$E$27)),IF(N(H692)&gt;0,H692*요약!$G$27,J692*요약!$D$27))</f>
        <v>22836</v>
      </c>
      <c r="M692" s="46" t="n">
        <f aca="false">D692*J692</f>
        <v>6279000</v>
      </c>
      <c r="N692" s="46" t="n">
        <f aca="false">D692*K692</f>
        <v>1433887</v>
      </c>
      <c r="O692" s="46" t="n">
        <f aca="false">D692*L692</f>
        <v>2078076</v>
      </c>
      <c r="P692" s="42" t="str">
        <f aca="false">TRIM(IF(N(E692)&lt;=0,"택가보정 ","")&amp;IF(N(F692)&lt;=0,"원가보정 ","")&amp;IF(AND(B692&lt;&gt;"CN",N(H692)&lt;=0),"공급가보정 ","")&amp;IF(AND(B692="CN",N(I692)&lt;=0),"중국공급가=원가+마진 ",""))</f>
        <v/>
      </c>
      <c r="Q692" s="47" t="n">
        <f aca="false">IF(SUMIFS($W:$W,$A:$A,A692,$C:$C,C692)=0,0,SUMIFS(RAW_판매펀칭!$K:$K,RAW_판매펀칭!$P:$P,A692,RAW_판매펀칭!$I:$I,C692)*W692/SUMIFS($W:$W,$A:$A,A692,$C:$C,C692))</f>
        <v>0</v>
      </c>
      <c r="R692" s="47" t="n">
        <f aca="false">IF(OR(A692="500",A692="800",A692="810"),0,MAX(W692-Q692,0))</f>
        <v>91</v>
      </c>
      <c r="S692" s="47" t="n">
        <f aca="false">R692*L692</f>
        <v>2078076</v>
      </c>
      <c r="T692" s="47" t="n">
        <f aca="false">R692*J692</f>
        <v>6279000</v>
      </c>
      <c r="U692" s="47" t="n">
        <f aca="false">R692*K692</f>
        <v>1433887</v>
      </c>
      <c r="V692" s="0" t="str">
        <f aca="false">IF(COUNTIFS($A$2:A692,A692,$C$2:C692,C692,$D$2:D692,D692)&gt;1,"중복","")</f>
        <v/>
      </c>
      <c r="W692" s="0" t="n">
        <f aca="false">IF(V692="중복",0,N(D692))</f>
        <v>91</v>
      </c>
      <c r="X692" s="0" t="n">
        <f aca="false">IF(COUNTIFS($A$2:A692,A692,$C$2:C692,C692)=1,ABS(SUMIFS(RAW_발주!$D:$D,RAW_발주!$C:$C,A692,RAW_발주!$A:$A,C692)-SUMIFS($W:$W,$A:$A,A692,$C:$C,C692)),0)</f>
        <v>0</v>
      </c>
    </row>
    <row r="693" customFormat="false" ht="15" hidden="false" customHeight="true" outlineLevel="0" collapsed="false">
      <c r="A693" s="45" t="s">
        <v>1664</v>
      </c>
      <c r="B693" s="42" t="str">
        <f aca="false">IF(A693="100","HK",IF(A693="200","CN",IF(A693="300","TW","홀세일")))</f>
        <v>홀세일</v>
      </c>
      <c r="C693" s="45" t="s">
        <v>382</v>
      </c>
      <c r="D693" s="46" t="n">
        <v>10</v>
      </c>
      <c r="E693" s="46" t="n">
        <v>69000</v>
      </c>
      <c r="F693" s="46" t="n">
        <v>15757</v>
      </c>
      <c r="G693" s="42" t="n">
        <v>3.76</v>
      </c>
      <c r="H693" s="42" t="n">
        <v>17.3</v>
      </c>
      <c r="I693" s="42" t="n">
        <v>0</v>
      </c>
      <c r="J693" s="46" t="n">
        <f aca="false">IF(N(E693)&gt;0,E693,IF(N(F693)&gt;0,F693*요약!$F$27,0))</f>
        <v>69000</v>
      </c>
      <c r="K693" s="46" t="n">
        <f aca="false">IF(N(F693)&gt;0,F693,IF(N(E693)&gt;0,E693/요약!$F$27,0))</f>
        <v>15757</v>
      </c>
      <c r="L693" s="46" t="n">
        <f aca="false">IF(B693="CN",IF(N(I693)&gt;0,I693*요약!$G$27,K693*(1+요약!$E$27)),IF(N(H693)&gt;0,H693*요약!$G$27,J693*요약!$D$27))</f>
        <v>22836</v>
      </c>
      <c r="M693" s="46" t="n">
        <f aca="false">D693*J693</f>
        <v>690000</v>
      </c>
      <c r="N693" s="46" t="n">
        <f aca="false">D693*K693</f>
        <v>157570</v>
      </c>
      <c r="O693" s="46" t="n">
        <f aca="false">D693*L693</f>
        <v>228360</v>
      </c>
      <c r="P693" s="42" t="str">
        <f aca="false">TRIM(IF(N(E693)&lt;=0,"택가보정 ","")&amp;IF(N(F693)&lt;=0,"원가보정 ","")&amp;IF(AND(B693&lt;&gt;"CN",N(H693)&lt;=0),"공급가보정 ","")&amp;IF(AND(B693="CN",N(I693)&lt;=0),"중국공급가=원가+마진 ",""))</f>
        <v/>
      </c>
      <c r="Q693" s="47" t="n">
        <f aca="false">IF(SUMIFS($W:$W,$A:$A,A693,$C:$C,C693)=0,0,SUMIFS(RAW_판매펀칭!$K:$K,RAW_판매펀칭!$P:$P,A693,RAW_판매펀칭!$I:$I,C693)*W693/SUMIFS($W:$W,$A:$A,A693,$C:$C,C693))</f>
        <v>0</v>
      </c>
      <c r="R693" s="47" t="n">
        <f aca="false">IF(OR(A693="500",A693="800",A693="810"),0,MAX(W693-Q693,0))</f>
        <v>0</v>
      </c>
      <c r="S693" s="47" t="n">
        <f aca="false">R693*L693</f>
        <v>0</v>
      </c>
      <c r="T693" s="47" t="n">
        <f aca="false">R693*J693</f>
        <v>0</v>
      </c>
      <c r="U693" s="47" t="n">
        <f aca="false">R693*K693</f>
        <v>0</v>
      </c>
      <c r="V693" s="0" t="str">
        <f aca="false">IF(COUNTIFS($A$2:A693,A693,$C$2:C693,C693,$D$2:D693,D693)&gt;1,"중복","")</f>
        <v/>
      </c>
      <c r="W693" s="0" t="n">
        <f aca="false">IF(V693="중복",0,N(D693))</f>
        <v>10</v>
      </c>
      <c r="X693" s="0" t="n">
        <f aca="false">IF(COUNTIFS($A$2:A693,A693,$C$2:C693,C693)=1,ABS(SUMIFS(RAW_발주!$D:$D,RAW_발주!$C:$C,A693,RAW_발주!$A:$A,C693)-SUMIFS($W:$W,$A:$A,A693,$C:$C,C693)),0)</f>
        <v>0</v>
      </c>
    </row>
    <row r="694" customFormat="false" ht="15" hidden="false" customHeight="true" outlineLevel="0" collapsed="false">
      <c r="A694" s="45" t="s">
        <v>1660</v>
      </c>
      <c r="B694" s="42" t="str">
        <f aca="false">IF(A694="100","HK",IF(A694="200","CN",IF(A694="300","TW","홀세일")))</f>
        <v>CN</v>
      </c>
      <c r="C694" s="45" t="s">
        <v>384</v>
      </c>
      <c r="D694" s="46" t="n">
        <v>101</v>
      </c>
      <c r="E694" s="46" t="n">
        <v>79000</v>
      </c>
      <c r="F694" s="46" t="n">
        <v>19086</v>
      </c>
      <c r="G694" s="42" t="n">
        <v>3.93</v>
      </c>
      <c r="H694" s="42" t="n">
        <v>19.8</v>
      </c>
      <c r="I694" s="42" t="n">
        <v>16.9</v>
      </c>
      <c r="J694" s="46" t="n">
        <f aca="false">IF(N(E694)&gt;0,E694,IF(N(F694)&gt;0,F694*요약!$F$27,0))</f>
        <v>79000</v>
      </c>
      <c r="K694" s="46" t="n">
        <f aca="false">IF(N(F694)&gt;0,F694,IF(N(E694)&gt;0,E694/요약!$F$27,0))</f>
        <v>19086</v>
      </c>
      <c r="L694" s="46" t="n">
        <f aca="false">IF(B694="CN",IF(N(I694)&gt;0,I694*요약!$G$27,K694*(1+요약!$E$27)),IF(N(H694)&gt;0,H694*요약!$G$27,J694*요약!$D$27))</f>
        <v>22308</v>
      </c>
      <c r="M694" s="46" t="n">
        <f aca="false">D694*J694</f>
        <v>7979000</v>
      </c>
      <c r="N694" s="46" t="n">
        <f aca="false">D694*K694</f>
        <v>1927686</v>
      </c>
      <c r="O694" s="46" t="n">
        <f aca="false">D694*L694</f>
        <v>2253108</v>
      </c>
      <c r="P694" s="42" t="str">
        <f aca="false">TRIM(IF(N(E694)&lt;=0,"택가보정 ","")&amp;IF(N(F694)&lt;=0,"원가보정 ","")&amp;IF(AND(B694&lt;&gt;"CN",N(H694)&lt;=0),"공급가보정 ","")&amp;IF(AND(B694="CN",N(I694)&lt;=0),"중국공급가=원가+마진 ",""))</f>
        <v/>
      </c>
      <c r="Q694" s="47" t="n">
        <f aca="false">IF(SUMIFS($W:$W,$A:$A,A694,$C:$C,C694)=0,0,SUMIFS(RAW_판매펀칭!$K:$K,RAW_판매펀칭!$P:$P,A694,RAW_판매펀칭!$I:$I,C694)*W694/SUMIFS($W:$W,$A:$A,A694,$C:$C,C694))</f>
        <v>101</v>
      </c>
      <c r="R694" s="47" t="n">
        <f aca="false">IF(OR(A694="500",A694="800",A694="810"),0,MAX(W694-Q694,0))</f>
        <v>0</v>
      </c>
      <c r="S694" s="47" t="n">
        <f aca="false">R694*L694</f>
        <v>0</v>
      </c>
      <c r="T694" s="47" t="n">
        <f aca="false">R694*J694</f>
        <v>0</v>
      </c>
      <c r="U694" s="47" t="n">
        <f aca="false">R694*K694</f>
        <v>0</v>
      </c>
      <c r="V694" s="0" t="str">
        <f aca="false">IF(COUNTIFS($A$2:A694,A694,$C$2:C694,C694,$D$2:D694,D694)&gt;1,"중복","")</f>
        <v/>
      </c>
      <c r="W694" s="0" t="n">
        <f aca="false">IF(V694="중복",0,N(D694))</f>
        <v>101</v>
      </c>
      <c r="X694" s="0" t="n">
        <f aca="false">IF(COUNTIFS($A$2:A694,A694,$C$2:C694,C694)=1,ABS(SUMIFS(RAW_발주!$D:$D,RAW_발주!$C:$C,A694,RAW_발주!$A:$A,C694)-SUMIFS($W:$W,$A:$A,A694,$C:$C,C694)),0)</f>
        <v>0</v>
      </c>
    </row>
    <row r="695" customFormat="false" ht="15" hidden="false" customHeight="true" outlineLevel="0" collapsed="false">
      <c r="A695" s="45" t="s">
        <v>1661</v>
      </c>
      <c r="B695" s="42" t="str">
        <f aca="false">IF(A695="100","HK",IF(A695="200","CN",IF(A695="300","TW","홀세일")))</f>
        <v>TW</v>
      </c>
      <c r="C695" s="45" t="s">
        <v>384</v>
      </c>
      <c r="D695" s="46" t="n">
        <v>100</v>
      </c>
      <c r="E695" s="46" t="n">
        <v>79000</v>
      </c>
      <c r="F695" s="46" t="n">
        <v>19086</v>
      </c>
      <c r="G695" s="42" t="n">
        <v>3.93</v>
      </c>
      <c r="H695" s="42" t="n">
        <v>19.8</v>
      </c>
      <c r="I695" s="42" t="n">
        <v>16.9</v>
      </c>
      <c r="J695" s="46" t="n">
        <f aca="false">IF(N(E695)&gt;0,E695,IF(N(F695)&gt;0,F695*요약!$F$27,0))</f>
        <v>79000</v>
      </c>
      <c r="K695" s="46" t="n">
        <f aca="false">IF(N(F695)&gt;0,F695,IF(N(E695)&gt;0,E695/요약!$F$27,0))</f>
        <v>19086</v>
      </c>
      <c r="L695" s="46" t="n">
        <f aca="false">IF(B695="CN",IF(N(I695)&gt;0,I695*요약!$G$27,K695*(1+요약!$E$27)),IF(N(H695)&gt;0,H695*요약!$G$27,J695*요약!$D$27))</f>
        <v>26136</v>
      </c>
      <c r="M695" s="46" t="n">
        <f aca="false">D695*J695</f>
        <v>7900000</v>
      </c>
      <c r="N695" s="46" t="n">
        <f aca="false">D695*K695</f>
        <v>1908600</v>
      </c>
      <c r="O695" s="46" t="n">
        <f aca="false">D695*L695</f>
        <v>2613600</v>
      </c>
      <c r="P695" s="42" t="str">
        <f aca="false">TRIM(IF(N(E695)&lt;=0,"택가보정 ","")&amp;IF(N(F695)&lt;=0,"원가보정 ","")&amp;IF(AND(B695&lt;&gt;"CN",N(H695)&lt;=0),"공급가보정 ","")&amp;IF(AND(B695="CN",N(I695)&lt;=0),"중국공급가=원가+마진 ",""))</f>
        <v/>
      </c>
      <c r="Q695" s="47" t="n">
        <f aca="false">IF(SUMIFS($W:$W,$A:$A,A695,$C:$C,C695)=0,0,SUMIFS(RAW_판매펀칭!$K:$K,RAW_판매펀칭!$P:$P,A695,RAW_판매펀칭!$I:$I,C695)*W695/SUMIFS($W:$W,$A:$A,A695,$C:$C,C695))</f>
        <v>100</v>
      </c>
      <c r="R695" s="47" t="n">
        <f aca="false">IF(OR(A695="500",A695="800",A695="810"),0,MAX(W695-Q695,0))</f>
        <v>0</v>
      </c>
      <c r="S695" s="47" t="n">
        <f aca="false">R695*L695</f>
        <v>0</v>
      </c>
      <c r="T695" s="47" t="n">
        <f aca="false">R695*J695</f>
        <v>0</v>
      </c>
      <c r="U695" s="47" t="n">
        <f aca="false">R695*K695</f>
        <v>0</v>
      </c>
      <c r="V695" s="0" t="str">
        <f aca="false">IF(COUNTIFS($A$2:A695,A695,$C$2:C695,C695,$D$2:D695,D695)&gt;1,"중복","")</f>
        <v/>
      </c>
      <c r="W695" s="0" t="n">
        <f aca="false">IF(V695="중복",0,N(D695))</f>
        <v>100</v>
      </c>
      <c r="X695" s="0" t="n">
        <f aca="false">IF(COUNTIFS($A$2:A695,A695,$C$2:C695,C695)=1,ABS(SUMIFS(RAW_발주!$D:$D,RAW_발주!$C:$C,A695,RAW_발주!$A:$A,C695)-SUMIFS($W:$W,$A:$A,A695,$C:$C,C695)),0)</f>
        <v>0</v>
      </c>
    </row>
    <row r="696" customFormat="false" ht="15" hidden="false" customHeight="true" outlineLevel="0" collapsed="false">
      <c r="A696" s="45" t="s">
        <v>1663</v>
      </c>
      <c r="B696" s="42" t="str">
        <f aca="false">IF(A696="100","HK",IF(A696="200","CN",IF(A696="300","TW","홀세일")))</f>
        <v>홀세일</v>
      </c>
      <c r="C696" s="45" t="s">
        <v>384</v>
      </c>
      <c r="D696" s="46" t="n">
        <v>20</v>
      </c>
      <c r="E696" s="46" t="n">
        <v>79000</v>
      </c>
      <c r="F696" s="46" t="n">
        <v>19086</v>
      </c>
      <c r="G696" s="42" t="n">
        <v>3.93</v>
      </c>
      <c r="H696" s="42" t="n">
        <v>19.8</v>
      </c>
      <c r="I696" s="42" t="n">
        <v>16.9</v>
      </c>
      <c r="J696" s="46" t="n">
        <f aca="false">IF(N(E696)&gt;0,E696,IF(N(F696)&gt;0,F696*요약!$F$27,0))</f>
        <v>79000</v>
      </c>
      <c r="K696" s="46" t="n">
        <f aca="false">IF(N(F696)&gt;0,F696,IF(N(E696)&gt;0,E696/요약!$F$27,0))</f>
        <v>19086</v>
      </c>
      <c r="L696" s="46" t="n">
        <f aca="false">IF(B696="CN",IF(N(I696)&gt;0,I696*요약!$G$27,K696*(1+요약!$E$27)),IF(N(H696)&gt;0,H696*요약!$G$27,J696*요약!$D$27))</f>
        <v>26136</v>
      </c>
      <c r="M696" s="46" t="n">
        <f aca="false">D696*J696</f>
        <v>1580000</v>
      </c>
      <c r="N696" s="46" t="n">
        <f aca="false">D696*K696</f>
        <v>381720</v>
      </c>
      <c r="O696" s="46" t="n">
        <f aca="false">D696*L696</f>
        <v>522720</v>
      </c>
      <c r="P696" s="42" t="str">
        <f aca="false">TRIM(IF(N(E696)&lt;=0,"택가보정 ","")&amp;IF(N(F696)&lt;=0,"원가보정 ","")&amp;IF(AND(B696&lt;&gt;"CN",N(H696)&lt;=0),"공급가보정 ","")&amp;IF(AND(B696="CN",N(I696)&lt;=0),"중국공급가=원가+마진 ",""))</f>
        <v/>
      </c>
      <c r="Q696" s="47" t="n">
        <f aca="false">IF(SUMIFS($W:$W,$A:$A,A696,$C:$C,C696)=0,0,SUMIFS(RAW_판매펀칭!$K:$K,RAW_판매펀칭!$P:$P,A696,RAW_판매펀칭!$I:$I,C696)*W696/SUMIFS($W:$W,$A:$A,A696,$C:$C,C696))</f>
        <v>20</v>
      </c>
      <c r="R696" s="47" t="n">
        <f aca="false">IF(OR(A696="500",A696="800",A696="810"),0,MAX(W696-Q696,0))</f>
        <v>0</v>
      </c>
      <c r="S696" s="47" t="n">
        <f aca="false">R696*L696</f>
        <v>0</v>
      </c>
      <c r="T696" s="47" t="n">
        <f aca="false">R696*J696</f>
        <v>0</v>
      </c>
      <c r="U696" s="47" t="n">
        <f aca="false">R696*K696</f>
        <v>0</v>
      </c>
      <c r="V696" s="0" t="str">
        <f aca="false">IF(COUNTIFS($A$2:A696,A696,$C$2:C696,C696,$D$2:D696,D696)&gt;1,"중복","")</f>
        <v/>
      </c>
      <c r="W696" s="0" t="n">
        <f aca="false">IF(V696="중복",0,N(D696))</f>
        <v>20</v>
      </c>
      <c r="X696" s="0" t="n">
        <f aca="false">IF(COUNTIFS($A$2:A696,A696,$C$2:C696,C696)=1,ABS(SUMIFS(RAW_발주!$D:$D,RAW_발주!$C:$C,A696,RAW_발주!$A:$A,C696)-SUMIFS($W:$W,$A:$A,A696,$C:$C,C696)),0)</f>
        <v>0</v>
      </c>
    </row>
    <row r="697" customFormat="false" ht="15" hidden="false" customHeight="true" outlineLevel="0" collapsed="false">
      <c r="A697" s="45" t="s">
        <v>1667</v>
      </c>
      <c r="B697" s="42" t="str">
        <f aca="false">IF(A697="100","HK",IF(A697="200","CN",IF(A697="300","TW","홀세일")))</f>
        <v>홀세일</v>
      </c>
      <c r="C697" s="45" t="s">
        <v>384</v>
      </c>
      <c r="D697" s="46" t="n">
        <v>61</v>
      </c>
      <c r="E697" s="46" t="n">
        <v>79000</v>
      </c>
      <c r="F697" s="46" t="n">
        <v>19086</v>
      </c>
      <c r="G697" s="42" t="n">
        <v>3.93</v>
      </c>
      <c r="H697" s="42" t="n">
        <v>19.8</v>
      </c>
      <c r="I697" s="42" t="n">
        <v>16.9</v>
      </c>
      <c r="J697" s="46" t="n">
        <f aca="false">IF(N(E697)&gt;0,E697,IF(N(F697)&gt;0,F697*요약!$F$27,0))</f>
        <v>79000</v>
      </c>
      <c r="K697" s="46" t="n">
        <f aca="false">IF(N(F697)&gt;0,F697,IF(N(E697)&gt;0,E697/요약!$F$27,0))</f>
        <v>19086</v>
      </c>
      <c r="L697" s="46" t="n">
        <f aca="false">IF(B697="CN",IF(N(I697)&gt;0,I697*요약!$G$27,K697*(1+요약!$E$27)),IF(N(H697)&gt;0,H697*요약!$G$27,J697*요약!$D$27))</f>
        <v>26136</v>
      </c>
      <c r="M697" s="46" t="n">
        <f aca="false">D697*J697</f>
        <v>4819000</v>
      </c>
      <c r="N697" s="46" t="n">
        <f aca="false">D697*K697</f>
        <v>1164246</v>
      </c>
      <c r="O697" s="46" t="n">
        <f aca="false">D697*L697</f>
        <v>1594296</v>
      </c>
      <c r="P697" s="42" t="str">
        <f aca="false">TRIM(IF(N(E697)&lt;=0,"택가보정 ","")&amp;IF(N(F697)&lt;=0,"원가보정 ","")&amp;IF(AND(B697&lt;&gt;"CN",N(H697)&lt;=0),"공급가보정 ","")&amp;IF(AND(B697="CN",N(I697)&lt;=0),"중국공급가=원가+마진 ",""))</f>
        <v/>
      </c>
      <c r="Q697" s="47" t="n">
        <f aca="false">IF(SUMIFS($W:$W,$A:$A,A697,$C:$C,C697)=0,0,SUMIFS(RAW_판매펀칭!$K:$K,RAW_판매펀칭!$P:$P,A697,RAW_판매펀칭!$I:$I,C697)*W697/SUMIFS($W:$W,$A:$A,A697,$C:$C,C697))</f>
        <v>0</v>
      </c>
      <c r="R697" s="47" t="n">
        <f aca="false">IF(OR(A697="500",A697="800",A697="810"),0,MAX(W697-Q697,0))</f>
        <v>61</v>
      </c>
      <c r="S697" s="47" t="n">
        <f aca="false">R697*L697</f>
        <v>1594296</v>
      </c>
      <c r="T697" s="47" t="n">
        <f aca="false">R697*J697</f>
        <v>4819000</v>
      </c>
      <c r="U697" s="47" t="n">
        <f aca="false">R697*K697</f>
        <v>1164246</v>
      </c>
      <c r="V697" s="0" t="str">
        <f aca="false">IF(COUNTIFS($A$2:A697,A697,$C$2:C697,C697,$D$2:D697,D697)&gt;1,"중복","")</f>
        <v/>
      </c>
      <c r="W697" s="0" t="n">
        <f aca="false">IF(V697="중복",0,N(D697))</f>
        <v>61</v>
      </c>
      <c r="X697" s="0" t="n">
        <f aca="false">IF(COUNTIFS($A$2:A697,A697,$C$2:C697,C697)=1,ABS(SUMIFS(RAW_발주!$D:$D,RAW_발주!$C:$C,A697,RAW_발주!$A:$A,C697)-SUMIFS($W:$W,$A:$A,A697,$C:$C,C697)),0)</f>
        <v>0</v>
      </c>
    </row>
    <row r="698" customFormat="false" ht="15" hidden="false" customHeight="true" outlineLevel="0" collapsed="false">
      <c r="A698" s="45" t="s">
        <v>1659</v>
      </c>
      <c r="B698" s="42" t="str">
        <f aca="false">IF(A698="100","HK",IF(A698="200","CN",IF(A698="300","TW","홀세일")))</f>
        <v>HK</v>
      </c>
      <c r="C698" s="45" t="s">
        <v>868</v>
      </c>
      <c r="D698" s="46" t="n">
        <v>260</v>
      </c>
      <c r="E698" s="46" t="n">
        <v>49000</v>
      </c>
      <c r="F698" s="46" t="n">
        <v>9902</v>
      </c>
      <c r="G698" s="42" t="n">
        <v>4.19</v>
      </c>
      <c r="H698" s="42" t="n">
        <v>12.3</v>
      </c>
      <c r="I698" s="42" t="n">
        <v>8.5</v>
      </c>
      <c r="J698" s="46" t="n">
        <f aca="false">IF(N(E698)&gt;0,E698,IF(N(F698)&gt;0,F698*요약!$F$27,0))</f>
        <v>49000</v>
      </c>
      <c r="K698" s="46" t="n">
        <f aca="false">IF(N(F698)&gt;0,F698,IF(N(E698)&gt;0,E698/요약!$F$27,0))</f>
        <v>9902</v>
      </c>
      <c r="L698" s="46" t="n">
        <f aca="false">IF(B698="CN",IF(N(I698)&gt;0,I698*요약!$G$27,K698*(1+요약!$E$27)),IF(N(H698)&gt;0,H698*요약!$G$27,J698*요약!$D$27))</f>
        <v>16236</v>
      </c>
      <c r="M698" s="46" t="n">
        <f aca="false">D698*J698</f>
        <v>12740000</v>
      </c>
      <c r="N698" s="46" t="n">
        <f aca="false">D698*K698</f>
        <v>2574520</v>
      </c>
      <c r="O698" s="46" t="n">
        <f aca="false">D698*L698</f>
        <v>4221360</v>
      </c>
      <c r="P698" s="42" t="str">
        <f aca="false">TRIM(IF(N(E698)&lt;=0,"택가보정 ","")&amp;IF(N(F698)&lt;=0,"원가보정 ","")&amp;IF(AND(B698&lt;&gt;"CN",N(H698)&lt;=0),"공급가보정 ","")&amp;IF(AND(B698="CN",N(I698)&lt;=0),"중국공급가=원가+마진 ",""))</f>
        <v/>
      </c>
      <c r="Q698" s="47" t="n">
        <f aca="false">IF(SUMIFS($W:$W,$A:$A,A698,$C:$C,C698)=0,0,SUMIFS(RAW_판매펀칭!$K:$K,RAW_판매펀칭!$P:$P,A698,RAW_판매펀칭!$I:$I,C698)*W698/SUMIFS($W:$W,$A:$A,A698,$C:$C,C698))</f>
        <v>260</v>
      </c>
      <c r="R698" s="47" t="n">
        <f aca="false">IF(OR(A698="500",A698="800",A698="810"),0,MAX(W698-Q698,0))</f>
        <v>0</v>
      </c>
      <c r="S698" s="47" t="n">
        <f aca="false">R698*L698</f>
        <v>0</v>
      </c>
      <c r="T698" s="47" t="n">
        <f aca="false">R698*J698</f>
        <v>0</v>
      </c>
      <c r="U698" s="47" t="n">
        <f aca="false">R698*K698</f>
        <v>0</v>
      </c>
      <c r="V698" s="0" t="str">
        <f aca="false">IF(COUNTIFS($A$2:A698,A698,$C$2:C698,C698,$D$2:D698,D698)&gt;1,"중복","")</f>
        <v/>
      </c>
      <c r="W698" s="0" t="n">
        <f aca="false">IF(V698="중복",0,N(D698))</f>
        <v>260</v>
      </c>
      <c r="X698" s="0" t="n">
        <f aca="false">IF(COUNTIFS($A$2:A698,A698,$C$2:C698,C698)=1,ABS(SUMIFS(RAW_발주!$D:$D,RAW_발주!$C:$C,A698,RAW_발주!$A:$A,C698)-SUMIFS($W:$W,$A:$A,A698,$C:$C,C698)),0)</f>
        <v>0</v>
      </c>
    </row>
    <row r="699" customFormat="false" ht="15" hidden="false" customHeight="true" outlineLevel="0" collapsed="false">
      <c r="A699" s="45" t="s">
        <v>1660</v>
      </c>
      <c r="B699" s="42" t="str">
        <f aca="false">IF(A699="100","HK",IF(A699="200","CN",IF(A699="300","TW","홀세일")))</f>
        <v>CN</v>
      </c>
      <c r="C699" s="45" t="s">
        <v>868</v>
      </c>
      <c r="D699" s="46" t="n">
        <v>222</v>
      </c>
      <c r="E699" s="46" t="n">
        <v>49000</v>
      </c>
      <c r="F699" s="46" t="n">
        <v>9902</v>
      </c>
      <c r="G699" s="42" t="n">
        <v>4.19</v>
      </c>
      <c r="H699" s="42" t="n">
        <v>12.3</v>
      </c>
      <c r="I699" s="42" t="n">
        <v>8.5</v>
      </c>
      <c r="J699" s="46" t="n">
        <f aca="false">IF(N(E699)&gt;0,E699,IF(N(F699)&gt;0,F699*요약!$F$27,0))</f>
        <v>49000</v>
      </c>
      <c r="K699" s="46" t="n">
        <f aca="false">IF(N(F699)&gt;0,F699,IF(N(E699)&gt;0,E699/요약!$F$27,0))</f>
        <v>9902</v>
      </c>
      <c r="L699" s="46" t="n">
        <f aca="false">IF(B699="CN",IF(N(I699)&gt;0,I699*요약!$G$27,K699*(1+요약!$E$27)),IF(N(H699)&gt;0,H699*요약!$G$27,J699*요약!$D$27))</f>
        <v>11220</v>
      </c>
      <c r="M699" s="46" t="n">
        <f aca="false">D699*J699</f>
        <v>10878000</v>
      </c>
      <c r="N699" s="46" t="n">
        <f aca="false">D699*K699</f>
        <v>2198244</v>
      </c>
      <c r="O699" s="46" t="n">
        <f aca="false">D699*L699</f>
        <v>2490840</v>
      </c>
      <c r="P699" s="42" t="str">
        <f aca="false">TRIM(IF(N(E699)&lt;=0,"택가보정 ","")&amp;IF(N(F699)&lt;=0,"원가보정 ","")&amp;IF(AND(B699&lt;&gt;"CN",N(H699)&lt;=0),"공급가보정 ","")&amp;IF(AND(B699="CN",N(I699)&lt;=0),"중국공급가=원가+마진 ",""))</f>
        <v/>
      </c>
      <c r="Q699" s="47" t="n">
        <f aca="false">IF(SUMIFS($W:$W,$A:$A,A699,$C:$C,C699)=0,0,SUMIFS(RAW_판매펀칭!$K:$K,RAW_판매펀칭!$P:$P,A699,RAW_판매펀칭!$I:$I,C699)*W699/SUMIFS($W:$W,$A:$A,A699,$C:$C,C699))</f>
        <v>222</v>
      </c>
      <c r="R699" s="47" t="n">
        <f aca="false">IF(OR(A699="500",A699="800",A699="810"),0,MAX(W699-Q699,0))</f>
        <v>0</v>
      </c>
      <c r="S699" s="47" t="n">
        <f aca="false">R699*L699</f>
        <v>0</v>
      </c>
      <c r="T699" s="47" t="n">
        <f aca="false">R699*J699</f>
        <v>0</v>
      </c>
      <c r="U699" s="47" t="n">
        <f aca="false">R699*K699</f>
        <v>0</v>
      </c>
      <c r="V699" s="0" t="str">
        <f aca="false">IF(COUNTIFS($A$2:A699,A699,$C$2:C699,C699,$D$2:D699,D699)&gt;1,"중복","")</f>
        <v/>
      </c>
      <c r="W699" s="0" t="n">
        <f aca="false">IF(V699="중복",0,N(D699))</f>
        <v>222</v>
      </c>
      <c r="X699" s="0" t="n">
        <f aca="false">IF(COUNTIFS($A$2:A699,A699,$C$2:C699,C699)=1,ABS(SUMIFS(RAW_발주!$D:$D,RAW_발주!$C:$C,A699,RAW_발주!$A:$A,C699)-SUMIFS($W:$W,$A:$A,A699,$C:$C,C699)),0)</f>
        <v>0</v>
      </c>
    </row>
    <row r="700" customFormat="false" ht="15" hidden="false" customHeight="true" outlineLevel="0" collapsed="false">
      <c r="A700" s="45" t="s">
        <v>1662</v>
      </c>
      <c r="B700" s="42" t="str">
        <f aca="false">IF(A700="100","HK",IF(A700="200","CN",IF(A700="300","TW","홀세일")))</f>
        <v>홀세일</v>
      </c>
      <c r="C700" s="45" t="s">
        <v>868</v>
      </c>
      <c r="D700" s="46" t="n">
        <v>120</v>
      </c>
      <c r="E700" s="46" t="n">
        <v>49000</v>
      </c>
      <c r="F700" s="46" t="n">
        <v>9902</v>
      </c>
      <c r="G700" s="42" t="n">
        <v>4.19</v>
      </c>
      <c r="H700" s="42" t="n">
        <v>12.3</v>
      </c>
      <c r="I700" s="42" t="n">
        <v>8.5</v>
      </c>
      <c r="J700" s="46" t="n">
        <f aca="false">IF(N(E700)&gt;0,E700,IF(N(F700)&gt;0,F700*요약!$F$27,0))</f>
        <v>49000</v>
      </c>
      <c r="K700" s="46" t="n">
        <f aca="false">IF(N(F700)&gt;0,F700,IF(N(E700)&gt;0,E700/요약!$F$27,0))</f>
        <v>9902</v>
      </c>
      <c r="L700" s="46" t="n">
        <f aca="false">IF(B700="CN",IF(N(I700)&gt;0,I700*요약!$G$27,K700*(1+요약!$E$27)),IF(N(H700)&gt;0,H700*요약!$G$27,J700*요약!$D$27))</f>
        <v>16236</v>
      </c>
      <c r="M700" s="46" t="n">
        <f aca="false">D700*J700</f>
        <v>5880000</v>
      </c>
      <c r="N700" s="46" t="n">
        <f aca="false">D700*K700</f>
        <v>1188240</v>
      </c>
      <c r="O700" s="46" t="n">
        <f aca="false">D700*L700</f>
        <v>1948320</v>
      </c>
      <c r="P700" s="42" t="str">
        <f aca="false">TRIM(IF(N(E700)&lt;=0,"택가보정 ","")&amp;IF(N(F700)&lt;=0,"원가보정 ","")&amp;IF(AND(B700&lt;&gt;"CN",N(H700)&lt;=0),"공급가보정 ","")&amp;IF(AND(B700="CN",N(I700)&lt;=0),"중국공급가=원가+마진 ",""))</f>
        <v/>
      </c>
      <c r="Q700" s="47" t="n">
        <f aca="false">IF(SUMIFS($W:$W,$A:$A,A700,$C:$C,C700)=0,0,SUMIFS(RAW_판매펀칭!$K:$K,RAW_판매펀칭!$P:$P,A700,RAW_판매펀칭!$I:$I,C700)*W700/SUMIFS($W:$W,$A:$A,A700,$C:$C,C700))</f>
        <v>0</v>
      </c>
      <c r="R700" s="47" t="n">
        <f aca="false">IF(OR(A700="500",A700="800",A700="810"),0,MAX(W700-Q700,0))</f>
        <v>0</v>
      </c>
      <c r="S700" s="47" t="n">
        <f aca="false">R700*L700</f>
        <v>0</v>
      </c>
      <c r="T700" s="47" t="n">
        <f aca="false">R700*J700</f>
        <v>0</v>
      </c>
      <c r="U700" s="47" t="n">
        <f aca="false">R700*K700</f>
        <v>0</v>
      </c>
      <c r="V700" s="0" t="str">
        <f aca="false">IF(COUNTIFS($A$2:A700,A700,$C$2:C700,C700,$D$2:D700,D700)&gt;1,"중복","")</f>
        <v/>
      </c>
      <c r="W700" s="0" t="n">
        <f aca="false">IF(V700="중복",0,N(D700))</f>
        <v>120</v>
      </c>
      <c r="X700" s="0" t="n">
        <f aca="false">IF(COUNTIFS($A$2:A700,A700,$C$2:C700,C700)=1,ABS(SUMIFS(RAW_발주!$D:$D,RAW_발주!$C:$C,A700,RAW_발주!$A:$A,C700)-SUMIFS($W:$W,$A:$A,A700,$C:$C,C700)),0)</f>
        <v>0</v>
      </c>
    </row>
    <row r="701" customFormat="false" ht="15" hidden="false" customHeight="true" outlineLevel="0" collapsed="false">
      <c r="A701" s="45" t="s">
        <v>1663</v>
      </c>
      <c r="B701" s="42" t="str">
        <f aca="false">IF(A701="100","HK",IF(A701="200","CN",IF(A701="300","TW","홀세일")))</f>
        <v>홀세일</v>
      </c>
      <c r="C701" s="45" t="s">
        <v>868</v>
      </c>
      <c r="D701" s="46" t="n">
        <v>60</v>
      </c>
      <c r="E701" s="46" t="n">
        <v>49000</v>
      </c>
      <c r="F701" s="46" t="n">
        <v>9902</v>
      </c>
      <c r="G701" s="42" t="n">
        <v>4.19</v>
      </c>
      <c r="H701" s="42" t="n">
        <v>12.3</v>
      </c>
      <c r="I701" s="42" t="n">
        <v>8.5</v>
      </c>
      <c r="J701" s="46" t="n">
        <f aca="false">IF(N(E701)&gt;0,E701,IF(N(F701)&gt;0,F701*요약!$F$27,0))</f>
        <v>49000</v>
      </c>
      <c r="K701" s="46" t="n">
        <f aca="false">IF(N(F701)&gt;0,F701,IF(N(E701)&gt;0,E701/요약!$F$27,0))</f>
        <v>9902</v>
      </c>
      <c r="L701" s="46" t="n">
        <f aca="false">IF(B701="CN",IF(N(I701)&gt;0,I701*요약!$G$27,K701*(1+요약!$E$27)),IF(N(H701)&gt;0,H701*요약!$G$27,J701*요약!$D$27))</f>
        <v>16236</v>
      </c>
      <c r="M701" s="46" t="n">
        <f aca="false">D701*J701</f>
        <v>2940000</v>
      </c>
      <c r="N701" s="46" t="n">
        <f aca="false">D701*K701</f>
        <v>594120</v>
      </c>
      <c r="O701" s="46" t="n">
        <f aca="false">D701*L701</f>
        <v>974160</v>
      </c>
      <c r="P701" s="42" t="str">
        <f aca="false">TRIM(IF(N(E701)&lt;=0,"택가보정 ","")&amp;IF(N(F701)&lt;=0,"원가보정 ","")&amp;IF(AND(B701&lt;&gt;"CN",N(H701)&lt;=0),"공급가보정 ","")&amp;IF(AND(B701="CN",N(I701)&lt;=0),"중국공급가=원가+마진 ",""))</f>
        <v/>
      </c>
      <c r="Q701" s="47" t="n">
        <f aca="false">IF(SUMIFS($W:$W,$A:$A,A701,$C:$C,C701)=0,0,SUMIFS(RAW_판매펀칭!$K:$K,RAW_판매펀칭!$P:$P,A701,RAW_판매펀칭!$I:$I,C701)*W701/SUMIFS($W:$W,$A:$A,A701,$C:$C,C701))</f>
        <v>60</v>
      </c>
      <c r="R701" s="47" t="n">
        <f aca="false">IF(OR(A701="500",A701="800",A701="810"),0,MAX(W701-Q701,0))</f>
        <v>0</v>
      </c>
      <c r="S701" s="47" t="n">
        <f aca="false">R701*L701</f>
        <v>0</v>
      </c>
      <c r="T701" s="47" t="n">
        <f aca="false">R701*J701</f>
        <v>0</v>
      </c>
      <c r="U701" s="47" t="n">
        <f aca="false">R701*K701</f>
        <v>0</v>
      </c>
      <c r="V701" s="0" t="str">
        <f aca="false">IF(COUNTIFS($A$2:A701,A701,$C$2:C701,C701,$D$2:D701,D701)&gt;1,"중복","")</f>
        <v/>
      </c>
      <c r="W701" s="0" t="n">
        <f aca="false">IF(V701="중복",0,N(D701))</f>
        <v>60</v>
      </c>
      <c r="X701" s="0" t="n">
        <f aca="false">IF(COUNTIFS($A$2:A701,A701,$C$2:C701,C701)=1,ABS(SUMIFS(RAW_발주!$D:$D,RAW_발주!$C:$C,A701,RAW_발주!$A:$A,C701)-SUMIFS($W:$W,$A:$A,A701,$C:$C,C701)),0)</f>
        <v>0</v>
      </c>
    </row>
    <row r="702" customFormat="false" ht="15" hidden="false" customHeight="true" outlineLevel="0" collapsed="false">
      <c r="A702" s="45" t="s">
        <v>1659</v>
      </c>
      <c r="B702" s="42" t="str">
        <f aca="false">IF(A702="100","HK",IF(A702="200","CN",IF(A702="300","TW","홀세일")))</f>
        <v>HK</v>
      </c>
      <c r="C702" s="45" t="s">
        <v>870</v>
      </c>
      <c r="D702" s="46" t="n">
        <v>290</v>
      </c>
      <c r="E702" s="46" t="n">
        <v>49000</v>
      </c>
      <c r="F702" s="46" t="n">
        <v>9277</v>
      </c>
      <c r="G702" s="42" t="n">
        <v>4.26</v>
      </c>
      <c r="H702" s="42" t="n">
        <v>12.3</v>
      </c>
      <c r="I702" s="42" t="n">
        <v>7.8</v>
      </c>
      <c r="J702" s="46" t="n">
        <f aca="false">IF(N(E702)&gt;0,E702,IF(N(F702)&gt;0,F702*요약!$F$27,0))</f>
        <v>49000</v>
      </c>
      <c r="K702" s="46" t="n">
        <f aca="false">IF(N(F702)&gt;0,F702,IF(N(E702)&gt;0,E702/요약!$F$27,0))</f>
        <v>9277</v>
      </c>
      <c r="L702" s="46" t="n">
        <f aca="false">IF(B702="CN",IF(N(I702)&gt;0,I702*요약!$G$27,K702*(1+요약!$E$27)),IF(N(H702)&gt;0,H702*요약!$G$27,J702*요약!$D$27))</f>
        <v>16236</v>
      </c>
      <c r="M702" s="46" t="n">
        <f aca="false">D702*J702</f>
        <v>14210000</v>
      </c>
      <c r="N702" s="46" t="n">
        <f aca="false">D702*K702</f>
        <v>2690330</v>
      </c>
      <c r="O702" s="46" t="n">
        <f aca="false">D702*L702</f>
        <v>4708440</v>
      </c>
      <c r="P702" s="42" t="str">
        <f aca="false">TRIM(IF(N(E702)&lt;=0,"택가보정 ","")&amp;IF(N(F702)&lt;=0,"원가보정 ","")&amp;IF(AND(B702&lt;&gt;"CN",N(H702)&lt;=0),"공급가보정 ","")&amp;IF(AND(B702="CN",N(I702)&lt;=0),"중국공급가=원가+마진 ",""))</f>
        <v/>
      </c>
      <c r="Q702" s="47" t="n">
        <f aca="false">IF(SUMIFS($W:$W,$A:$A,A702,$C:$C,C702)=0,0,SUMIFS(RAW_판매펀칭!$K:$K,RAW_판매펀칭!$P:$P,A702,RAW_판매펀칭!$I:$I,C702)*W702/SUMIFS($W:$W,$A:$A,A702,$C:$C,C702))</f>
        <v>290</v>
      </c>
      <c r="R702" s="47" t="n">
        <f aca="false">IF(OR(A702="500",A702="800",A702="810"),0,MAX(W702-Q702,0))</f>
        <v>0</v>
      </c>
      <c r="S702" s="47" t="n">
        <f aca="false">R702*L702</f>
        <v>0</v>
      </c>
      <c r="T702" s="47" t="n">
        <f aca="false">R702*J702</f>
        <v>0</v>
      </c>
      <c r="U702" s="47" t="n">
        <f aca="false">R702*K702</f>
        <v>0</v>
      </c>
      <c r="V702" s="0" t="str">
        <f aca="false">IF(COUNTIFS($A$2:A702,A702,$C$2:C702,C702,$D$2:D702,D702)&gt;1,"중복","")</f>
        <v/>
      </c>
      <c r="W702" s="0" t="n">
        <f aca="false">IF(V702="중복",0,N(D702))</f>
        <v>290</v>
      </c>
      <c r="X702" s="0" t="n">
        <f aca="false">IF(COUNTIFS($A$2:A702,A702,$C$2:C702,C702)=1,ABS(SUMIFS(RAW_발주!$D:$D,RAW_발주!$C:$C,A702,RAW_발주!$A:$A,C702)-SUMIFS($W:$W,$A:$A,A702,$C:$C,C702)),0)</f>
        <v>0</v>
      </c>
    </row>
    <row r="703" customFormat="false" ht="15" hidden="false" customHeight="true" outlineLevel="0" collapsed="false">
      <c r="A703" s="45" t="s">
        <v>1660</v>
      </c>
      <c r="B703" s="42" t="str">
        <f aca="false">IF(A703="100","HK",IF(A703="200","CN",IF(A703="300","TW","홀세일")))</f>
        <v>CN</v>
      </c>
      <c r="C703" s="45" t="s">
        <v>870</v>
      </c>
      <c r="D703" s="46" t="n">
        <v>202</v>
      </c>
      <c r="E703" s="46" t="n">
        <v>49000</v>
      </c>
      <c r="F703" s="46" t="n">
        <v>9277</v>
      </c>
      <c r="G703" s="42" t="n">
        <v>4.26</v>
      </c>
      <c r="H703" s="42" t="n">
        <v>12.3</v>
      </c>
      <c r="I703" s="42" t="n">
        <v>7.8</v>
      </c>
      <c r="J703" s="46" t="n">
        <f aca="false">IF(N(E703)&gt;0,E703,IF(N(F703)&gt;0,F703*요약!$F$27,0))</f>
        <v>49000</v>
      </c>
      <c r="K703" s="46" t="n">
        <f aca="false">IF(N(F703)&gt;0,F703,IF(N(E703)&gt;0,E703/요약!$F$27,0))</f>
        <v>9277</v>
      </c>
      <c r="L703" s="46" t="n">
        <f aca="false">IF(B703="CN",IF(N(I703)&gt;0,I703*요약!$G$27,K703*(1+요약!$E$27)),IF(N(H703)&gt;0,H703*요약!$G$27,J703*요약!$D$27))</f>
        <v>10296</v>
      </c>
      <c r="M703" s="46" t="n">
        <f aca="false">D703*J703</f>
        <v>9898000</v>
      </c>
      <c r="N703" s="46" t="n">
        <f aca="false">D703*K703</f>
        <v>1873954</v>
      </c>
      <c r="O703" s="46" t="n">
        <f aca="false">D703*L703</f>
        <v>2079792</v>
      </c>
      <c r="P703" s="42" t="str">
        <f aca="false">TRIM(IF(N(E703)&lt;=0,"택가보정 ","")&amp;IF(N(F703)&lt;=0,"원가보정 ","")&amp;IF(AND(B703&lt;&gt;"CN",N(H703)&lt;=0),"공급가보정 ","")&amp;IF(AND(B703="CN",N(I703)&lt;=0),"중국공급가=원가+마진 ",""))</f>
        <v/>
      </c>
      <c r="Q703" s="47" t="n">
        <f aca="false">IF(SUMIFS($W:$W,$A:$A,A703,$C:$C,C703)=0,0,SUMIFS(RAW_판매펀칭!$K:$K,RAW_판매펀칭!$P:$P,A703,RAW_판매펀칭!$I:$I,C703)*W703/SUMIFS($W:$W,$A:$A,A703,$C:$C,C703))</f>
        <v>202</v>
      </c>
      <c r="R703" s="47" t="n">
        <f aca="false">IF(OR(A703="500",A703="800",A703="810"),0,MAX(W703-Q703,0))</f>
        <v>0</v>
      </c>
      <c r="S703" s="47" t="n">
        <f aca="false">R703*L703</f>
        <v>0</v>
      </c>
      <c r="T703" s="47" t="n">
        <f aca="false">R703*J703</f>
        <v>0</v>
      </c>
      <c r="U703" s="47" t="n">
        <f aca="false">R703*K703</f>
        <v>0</v>
      </c>
      <c r="V703" s="0" t="str">
        <f aca="false">IF(COUNTIFS($A$2:A703,A703,$C$2:C703,C703,$D$2:D703,D703)&gt;1,"중복","")</f>
        <v/>
      </c>
      <c r="W703" s="0" t="n">
        <f aca="false">IF(V703="중복",0,N(D703))</f>
        <v>202</v>
      </c>
      <c r="X703" s="0" t="n">
        <f aca="false">IF(COUNTIFS($A$2:A703,A703,$C$2:C703,C703)=1,ABS(SUMIFS(RAW_발주!$D:$D,RAW_발주!$C:$C,A703,RAW_발주!$A:$A,C703)-SUMIFS($W:$W,$A:$A,A703,$C:$C,C703)),0)</f>
        <v>0</v>
      </c>
    </row>
    <row r="704" customFormat="false" ht="15" hidden="false" customHeight="true" outlineLevel="0" collapsed="false">
      <c r="A704" s="45" t="s">
        <v>1660</v>
      </c>
      <c r="B704" s="42" t="str">
        <f aca="false">IF(A704="100","HK",IF(A704="200","CN",IF(A704="300","TW","홀세일")))</f>
        <v>CN</v>
      </c>
      <c r="C704" s="45" t="s">
        <v>870</v>
      </c>
      <c r="D704" s="46" t="n">
        <v>202</v>
      </c>
      <c r="E704" s="46" t="n">
        <v>49000</v>
      </c>
      <c r="F704" s="46" t="n">
        <v>9277</v>
      </c>
      <c r="G704" s="42" t="n">
        <v>4.26</v>
      </c>
      <c r="H704" s="42" t="n">
        <v>12.3</v>
      </c>
      <c r="I704" s="42" t="n">
        <v>7.8</v>
      </c>
      <c r="J704" s="46" t="n">
        <f aca="false">IF(N(E704)&gt;0,E704,IF(N(F704)&gt;0,F704*요약!$F$27,0))</f>
        <v>49000</v>
      </c>
      <c r="K704" s="46" t="n">
        <f aca="false">IF(N(F704)&gt;0,F704,IF(N(E704)&gt;0,E704/요약!$F$27,0))</f>
        <v>9277</v>
      </c>
      <c r="L704" s="46" t="n">
        <f aca="false">IF(B704="CN",IF(N(I704)&gt;0,I704*요약!$G$27,K704*(1+요약!$E$27)),IF(N(H704)&gt;0,H704*요약!$G$27,J704*요약!$D$27))</f>
        <v>10296</v>
      </c>
      <c r="M704" s="46" t="n">
        <f aca="false">D704*J704</f>
        <v>9898000</v>
      </c>
      <c r="N704" s="46" t="n">
        <f aca="false">D704*K704</f>
        <v>1873954</v>
      </c>
      <c r="O704" s="46" t="n">
        <f aca="false">D704*L704</f>
        <v>2079792</v>
      </c>
      <c r="P704" s="42" t="str">
        <f aca="false">TRIM(IF(N(E704)&lt;=0,"택가보정 ","")&amp;IF(N(F704)&lt;=0,"원가보정 ","")&amp;IF(AND(B704&lt;&gt;"CN",N(H704)&lt;=0),"공급가보정 ","")&amp;IF(AND(B704="CN",N(I704)&lt;=0),"중국공급가=원가+마진 ",""))</f>
        <v/>
      </c>
      <c r="Q704" s="47" t="n">
        <f aca="false">IF(SUMIFS($W:$W,$A:$A,A704,$C:$C,C704)=0,0,SUMIFS(RAW_판매펀칭!$K:$K,RAW_판매펀칭!$P:$P,A704,RAW_판매펀칭!$I:$I,C704)*W704/SUMIFS($W:$W,$A:$A,A704,$C:$C,C704))</f>
        <v>0</v>
      </c>
      <c r="R704" s="47" t="n">
        <f aca="false">IF(OR(A704="500",A704="800",A704="810"),0,MAX(W704-Q704,0))</f>
        <v>0</v>
      </c>
      <c r="S704" s="47" t="n">
        <f aca="false">R704*L704</f>
        <v>0</v>
      </c>
      <c r="T704" s="47" t="n">
        <f aca="false">R704*J704</f>
        <v>0</v>
      </c>
      <c r="U704" s="47" t="n">
        <f aca="false">R704*K704</f>
        <v>0</v>
      </c>
      <c r="V704" s="0" t="str">
        <f aca="false">IF(COUNTIFS($A$2:A704,A704,$C$2:C704,C704,$D$2:D704,D704)&gt;1,"중복","")</f>
        <v>중복</v>
      </c>
      <c r="W704" s="0" t="n">
        <f aca="false">IF(V704="중복",0,N(D704))</f>
        <v>0</v>
      </c>
      <c r="X704" s="0" t="n">
        <f aca="false">IF(COUNTIFS($A$2:A704,A704,$C$2:C704,C704)=1,ABS(SUMIFS(RAW_발주!$D:$D,RAW_발주!$C:$C,A704,RAW_발주!$A:$A,C704)-SUMIFS($W:$W,$A:$A,A704,$C:$C,C704)),0)</f>
        <v>0</v>
      </c>
    </row>
    <row r="705" customFormat="false" ht="15" hidden="false" customHeight="true" outlineLevel="0" collapsed="false">
      <c r="A705" s="45" t="s">
        <v>1662</v>
      </c>
      <c r="B705" s="42" t="str">
        <f aca="false">IF(A705="100","HK",IF(A705="200","CN",IF(A705="300","TW","홀세일")))</f>
        <v>홀세일</v>
      </c>
      <c r="C705" s="45" t="s">
        <v>870</v>
      </c>
      <c r="D705" s="46" t="n">
        <v>120</v>
      </c>
      <c r="E705" s="46" t="n">
        <v>49000</v>
      </c>
      <c r="F705" s="46" t="n">
        <v>9277</v>
      </c>
      <c r="G705" s="42" t="n">
        <v>4.26</v>
      </c>
      <c r="H705" s="42" t="n">
        <v>12.3</v>
      </c>
      <c r="I705" s="42" t="n">
        <v>7.8</v>
      </c>
      <c r="J705" s="46" t="n">
        <f aca="false">IF(N(E705)&gt;0,E705,IF(N(F705)&gt;0,F705*요약!$F$27,0))</f>
        <v>49000</v>
      </c>
      <c r="K705" s="46" t="n">
        <f aca="false">IF(N(F705)&gt;0,F705,IF(N(E705)&gt;0,E705/요약!$F$27,0))</f>
        <v>9277</v>
      </c>
      <c r="L705" s="46" t="n">
        <f aca="false">IF(B705="CN",IF(N(I705)&gt;0,I705*요약!$G$27,K705*(1+요약!$E$27)),IF(N(H705)&gt;0,H705*요약!$G$27,J705*요약!$D$27))</f>
        <v>16236</v>
      </c>
      <c r="M705" s="46" t="n">
        <f aca="false">D705*J705</f>
        <v>5880000</v>
      </c>
      <c r="N705" s="46" t="n">
        <f aca="false">D705*K705</f>
        <v>1113240</v>
      </c>
      <c r="O705" s="46" t="n">
        <f aca="false">D705*L705</f>
        <v>1948320</v>
      </c>
      <c r="P705" s="42" t="str">
        <f aca="false">TRIM(IF(N(E705)&lt;=0,"택가보정 ","")&amp;IF(N(F705)&lt;=0,"원가보정 ","")&amp;IF(AND(B705&lt;&gt;"CN",N(H705)&lt;=0),"공급가보정 ","")&amp;IF(AND(B705="CN",N(I705)&lt;=0),"중국공급가=원가+마진 ",""))</f>
        <v/>
      </c>
      <c r="Q705" s="47" t="n">
        <f aca="false">IF(SUMIFS($W:$W,$A:$A,A705,$C:$C,C705)=0,0,SUMIFS(RAW_판매펀칭!$K:$K,RAW_판매펀칭!$P:$P,A705,RAW_판매펀칭!$I:$I,C705)*W705/SUMIFS($W:$W,$A:$A,A705,$C:$C,C705))</f>
        <v>0</v>
      </c>
      <c r="R705" s="47" t="n">
        <f aca="false">IF(OR(A705="500",A705="800",A705="810"),0,MAX(W705-Q705,0))</f>
        <v>0</v>
      </c>
      <c r="S705" s="47" t="n">
        <f aca="false">R705*L705</f>
        <v>0</v>
      </c>
      <c r="T705" s="47" t="n">
        <f aca="false">R705*J705</f>
        <v>0</v>
      </c>
      <c r="U705" s="47" t="n">
        <f aca="false">R705*K705</f>
        <v>0</v>
      </c>
      <c r="V705" s="0" t="str">
        <f aca="false">IF(COUNTIFS($A$2:A705,A705,$C$2:C705,C705,$D$2:D705,D705)&gt;1,"중복","")</f>
        <v/>
      </c>
      <c r="W705" s="0" t="n">
        <f aca="false">IF(V705="중복",0,N(D705))</f>
        <v>120</v>
      </c>
      <c r="X705" s="0" t="n">
        <f aca="false">IF(COUNTIFS($A$2:A705,A705,$C$2:C705,C705)=1,ABS(SUMIFS(RAW_발주!$D:$D,RAW_발주!$C:$C,A705,RAW_발주!$A:$A,C705)-SUMIFS($W:$W,$A:$A,A705,$C:$C,C705)),0)</f>
        <v>0</v>
      </c>
    </row>
    <row r="706" customFormat="false" ht="15" hidden="false" customHeight="true" outlineLevel="0" collapsed="false">
      <c r="A706" s="45" t="s">
        <v>1663</v>
      </c>
      <c r="B706" s="42" t="str">
        <f aca="false">IF(A706="100","HK",IF(A706="200","CN",IF(A706="300","TW","홀세일")))</f>
        <v>홀세일</v>
      </c>
      <c r="C706" s="45" t="s">
        <v>870</v>
      </c>
      <c r="D706" s="46" t="n">
        <v>65</v>
      </c>
      <c r="E706" s="46" t="n">
        <v>49000</v>
      </c>
      <c r="F706" s="46" t="n">
        <v>9277</v>
      </c>
      <c r="G706" s="42" t="n">
        <v>4.26</v>
      </c>
      <c r="H706" s="42" t="n">
        <v>12.3</v>
      </c>
      <c r="I706" s="42" t="n">
        <v>7.8</v>
      </c>
      <c r="J706" s="46" t="n">
        <f aca="false">IF(N(E706)&gt;0,E706,IF(N(F706)&gt;0,F706*요약!$F$27,0))</f>
        <v>49000</v>
      </c>
      <c r="K706" s="46" t="n">
        <f aca="false">IF(N(F706)&gt;0,F706,IF(N(E706)&gt;0,E706/요약!$F$27,0))</f>
        <v>9277</v>
      </c>
      <c r="L706" s="46" t="n">
        <f aca="false">IF(B706="CN",IF(N(I706)&gt;0,I706*요약!$G$27,K706*(1+요약!$E$27)),IF(N(H706)&gt;0,H706*요약!$G$27,J706*요약!$D$27))</f>
        <v>16236</v>
      </c>
      <c r="M706" s="46" t="n">
        <f aca="false">D706*J706</f>
        <v>3185000</v>
      </c>
      <c r="N706" s="46" t="n">
        <f aca="false">D706*K706</f>
        <v>603005</v>
      </c>
      <c r="O706" s="46" t="n">
        <f aca="false">D706*L706</f>
        <v>1055340</v>
      </c>
      <c r="P706" s="42" t="str">
        <f aca="false">TRIM(IF(N(E706)&lt;=0,"택가보정 ","")&amp;IF(N(F706)&lt;=0,"원가보정 ","")&amp;IF(AND(B706&lt;&gt;"CN",N(H706)&lt;=0),"공급가보정 ","")&amp;IF(AND(B706="CN",N(I706)&lt;=0),"중국공급가=원가+마진 ",""))</f>
        <v/>
      </c>
      <c r="Q706" s="47" t="n">
        <f aca="false">IF(SUMIFS($W:$W,$A:$A,A706,$C:$C,C706)=0,0,SUMIFS(RAW_판매펀칭!$K:$K,RAW_판매펀칭!$P:$P,A706,RAW_판매펀칭!$I:$I,C706)*W706/SUMIFS($W:$W,$A:$A,A706,$C:$C,C706))</f>
        <v>65</v>
      </c>
      <c r="R706" s="47" t="n">
        <f aca="false">IF(OR(A706="500",A706="800",A706="810"),0,MAX(W706-Q706,0))</f>
        <v>0</v>
      </c>
      <c r="S706" s="47" t="n">
        <f aca="false">R706*L706</f>
        <v>0</v>
      </c>
      <c r="T706" s="47" t="n">
        <f aca="false">R706*J706</f>
        <v>0</v>
      </c>
      <c r="U706" s="47" t="n">
        <f aca="false">R706*K706</f>
        <v>0</v>
      </c>
      <c r="V706" s="0" t="str">
        <f aca="false">IF(COUNTIFS($A$2:A706,A706,$C$2:C706,C706,$D$2:D706,D706)&gt;1,"중복","")</f>
        <v/>
      </c>
      <c r="W706" s="0" t="n">
        <f aca="false">IF(V706="중복",0,N(D706))</f>
        <v>65</v>
      </c>
      <c r="X706" s="0" t="n">
        <f aca="false">IF(COUNTIFS($A$2:A706,A706,$C$2:C706,C706)=1,ABS(SUMIFS(RAW_발주!$D:$D,RAW_발주!$C:$C,A706,RAW_발주!$A:$A,C706)-SUMIFS($W:$W,$A:$A,A706,$C:$C,C706)),0)</f>
        <v>0</v>
      </c>
    </row>
    <row r="707" customFormat="false" ht="15" hidden="false" customHeight="true" outlineLevel="0" collapsed="false">
      <c r="A707" s="45" t="s">
        <v>1667</v>
      </c>
      <c r="B707" s="42" t="str">
        <f aca="false">IF(A707="100","HK",IF(A707="200","CN",IF(A707="300","TW","홀세일")))</f>
        <v>홀세일</v>
      </c>
      <c r="C707" s="45" t="s">
        <v>870</v>
      </c>
      <c r="D707" s="46" t="n">
        <v>213</v>
      </c>
      <c r="E707" s="46" t="n">
        <v>49000</v>
      </c>
      <c r="F707" s="46" t="n">
        <v>9277</v>
      </c>
      <c r="G707" s="42" t="n">
        <v>4.26</v>
      </c>
      <c r="H707" s="42" t="n">
        <v>12.3</v>
      </c>
      <c r="I707" s="42" t="n">
        <v>7.8</v>
      </c>
      <c r="J707" s="46" t="n">
        <f aca="false">IF(N(E707)&gt;0,E707,IF(N(F707)&gt;0,F707*요약!$F$27,0))</f>
        <v>49000</v>
      </c>
      <c r="K707" s="46" t="n">
        <f aca="false">IF(N(F707)&gt;0,F707,IF(N(E707)&gt;0,E707/요약!$F$27,0))</f>
        <v>9277</v>
      </c>
      <c r="L707" s="46" t="n">
        <f aca="false">IF(B707="CN",IF(N(I707)&gt;0,I707*요약!$G$27,K707*(1+요약!$E$27)),IF(N(H707)&gt;0,H707*요약!$G$27,J707*요약!$D$27))</f>
        <v>16236</v>
      </c>
      <c r="M707" s="46" t="n">
        <f aca="false">D707*J707</f>
        <v>10437000</v>
      </c>
      <c r="N707" s="46" t="n">
        <f aca="false">D707*K707</f>
        <v>1976001</v>
      </c>
      <c r="O707" s="46" t="n">
        <f aca="false">D707*L707</f>
        <v>3458268</v>
      </c>
      <c r="P707" s="42" t="str">
        <f aca="false">TRIM(IF(N(E707)&lt;=0,"택가보정 ","")&amp;IF(N(F707)&lt;=0,"원가보정 ","")&amp;IF(AND(B707&lt;&gt;"CN",N(H707)&lt;=0),"공급가보정 ","")&amp;IF(AND(B707="CN",N(I707)&lt;=0),"중국공급가=원가+마진 ",""))</f>
        <v/>
      </c>
      <c r="Q707" s="47" t="n">
        <f aca="false">IF(SUMIFS($W:$W,$A:$A,A707,$C:$C,C707)=0,0,SUMIFS(RAW_판매펀칭!$K:$K,RAW_판매펀칭!$P:$P,A707,RAW_판매펀칭!$I:$I,C707)*W707/SUMIFS($W:$W,$A:$A,A707,$C:$C,C707))</f>
        <v>210</v>
      </c>
      <c r="R707" s="47" t="n">
        <f aca="false">IF(OR(A707="500",A707="800",A707="810"),0,MAX(W707-Q707,0))</f>
        <v>3</v>
      </c>
      <c r="S707" s="47" t="n">
        <f aca="false">R707*L707</f>
        <v>48708</v>
      </c>
      <c r="T707" s="47" t="n">
        <f aca="false">R707*J707</f>
        <v>147000</v>
      </c>
      <c r="U707" s="47" t="n">
        <f aca="false">R707*K707</f>
        <v>27831</v>
      </c>
      <c r="V707" s="0" t="str">
        <f aca="false">IF(COUNTIFS($A$2:A707,A707,$C$2:C707,C707,$D$2:D707,D707)&gt;1,"중복","")</f>
        <v/>
      </c>
      <c r="W707" s="0" t="n">
        <f aca="false">IF(V707="중복",0,N(D707))</f>
        <v>213</v>
      </c>
      <c r="X707" s="0" t="n">
        <f aca="false">IF(COUNTIFS($A$2:A707,A707,$C$2:C707,C707)=1,ABS(SUMIFS(RAW_발주!$D:$D,RAW_발주!$C:$C,A707,RAW_발주!$A:$A,C707)-SUMIFS($W:$W,$A:$A,A707,$C:$C,C707)),0)</f>
        <v>0</v>
      </c>
    </row>
    <row r="708" customFormat="false" ht="15" hidden="false" customHeight="true" outlineLevel="0" collapsed="false">
      <c r="A708" s="45" t="s">
        <v>1665</v>
      </c>
      <c r="B708" s="42" t="str">
        <f aca="false">IF(A708="100","HK",IF(A708="200","CN",IF(A708="300","TW","홀세일")))</f>
        <v>홀세일</v>
      </c>
      <c r="C708" s="45" t="s">
        <v>870</v>
      </c>
      <c r="D708" s="46" t="n">
        <v>504</v>
      </c>
      <c r="E708" s="46" t="n">
        <v>49000</v>
      </c>
      <c r="F708" s="46" t="n">
        <v>9277</v>
      </c>
      <c r="G708" s="42" t="n">
        <v>4.26</v>
      </c>
      <c r="H708" s="42" t="n">
        <v>12.3</v>
      </c>
      <c r="I708" s="42" t="n">
        <v>7.8</v>
      </c>
      <c r="J708" s="46" t="n">
        <f aca="false">IF(N(E708)&gt;0,E708,IF(N(F708)&gt;0,F708*요약!$F$27,0))</f>
        <v>49000</v>
      </c>
      <c r="K708" s="46" t="n">
        <f aca="false">IF(N(F708)&gt;0,F708,IF(N(E708)&gt;0,E708/요약!$F$27,0))</f>
        <v>9277</v>
      </c>
      <c r="L708" s="46" t="n">
        <f aca="false">IF(B708="CN",IF(N(I708)&gt;0,I708*요약!$G$27,K708*(1+요약!$E$27)),IF(N(H708)&gt;0,H708*요약!$G$27,J708*요약!$D$27))</f>
        <v>16236</v>
      </c>
      <c r="M708" s="46" t="n">
        <f aca="false">D708*J708</f>
        <v>24696000</v>
      </c>
      <c r="N708" s="46" t="n">
        <f aca="false">D708*K708</f>
        <v>4675608</v>
      </c>
      <c r="O708" s="46" t="n">
        <f aca="false">D708*L708</f>
        <v>8182944</v>
      </c>
      <c r="P708" s="42" t="str">
        <f aca="false">TRIM(IF(N(E708)&lt;=0,"택가보정 ","")&amp;IF(N(F708)&lt;=0,"원가보정 ","")&amp;IF(AND(B708&lt;&gt;"CN",N(H708)&lt;=0),"공급가보정 ","")&amp;IF(AND(B708="CN",N(I708)&lt;=0),"중국공급가=원가+마진 ",""))</f>
        <v/>
      </c>
      <c r="Q708" s="47" t="n">
        <f aca="false">IF(SUMIFS($W:$W,$A:$A,A708,$C:$C,C708)=0,0,SUMIFS(RAW_판매펀칭!$K:$K,RAW_판매펀칭!$P:$P,A708,RAW_판매펀칭!$I:$I,C708)*W708/SUMIFS($W:$W,$A:$A,A708,$C:$C,C708))</f>
        <v>0</v>
      </c>
      <c r="R708" s="47" t="n">
        <f aca="false">IF(OR(A708="500",A708="800",A708="810"),0,MAX(W708-Q708,0))</f>
        <v>0</v>
      </c>
      <c r="S708" s="47" t="n">
        <f aca="false">R708*L708</f>
        <v>0</v>
      </c>
      <c r="T708" s="47" t="n">
        <f aca="false">R708*J708</f>
        <v>0</v>
      </c>
      <c r="U708" s="47" t="n">
        <f aca="false">R708*K708</f>
        <v>0</v>
      </c>
      <c r="V708" s="0" t="str">
        <f aca="false">IF(COUNTIFS($A$2:A708,A708,$C$2:C708,C708,$D$2:D708,D708)&gt;1,"중복","")</f>
        <v/>
      </c>
      <c r="W708" s="0" t="n">
        <f aca="false">IF(V708="중복",0,N(D708))</f>
        <v>504</v>
      </c>
      <c r="X708" s="0" t="n">
        <f aca="false">IF(COUNTIFS($A$2:A708,A708,$C$2:C708,C708)=1,ABS(SUMIFS(RAW_발주!$D:$D,RAW_발주!$C:$C,A708,RAW_발주!$A:$A,C708)-SUMIFS($W:$W,$A:$A,A708,$C:$C,C708)),0)</f>
        <v>0</v>
      </c>
    </row>
    <row r="709" customFormat="false" ht="15" hidden="false" customHeight="true" outlineLevel="0" collapsed="false">
      <c r="A709" s="45" t="s">
        <v>1659</v>
      </c>
      <c r="B709" s="42" t="str">
        <f aca="false">IF(A709="100","HK",IF(A709="200","CN",IF(A709="300","TW","홀세일")))</f>
        <v>HK</v>
      </c>
      <c r="C709" s="45" t="s">
        <v>386</v>
      </c>
      <c r="D709" s="46" t="n">
        <v>510</v>
      </c>
      <c r="E709" s="46" t="n">
        <v>49000</v>
      </c>
      <c r="F709" s="46" t="n">
        <v>9800</v>
      </c>
      <c r="G709" s="42" t="n">
        <v>4.32</v>
      </c>
      <c r="H709" s="42" t="n">
        <v>12.3</v>
      </c>
      <c r="I709" s="42" t="n">
        <v>7.9</v>
      </c>
      <c r="J709" s="46" t="n">
        <f aca="false">IF(N(E709)&gt;0,E709,IF(N(F709)&gt;0,F709*요약!$F$27,0))</f>
        <v>49000</v>
      </c>
      <c r="K709" s="46" t="n">
        <f aca="false">IF(N(F709)&gt;0,F709,IF(N(E709)&gt;0,E709/요약!$F$27,0))</f>
        <v>9800</v>
      </c>
      <c r="L709" s="46" t="n">
        <f aca="false">IF(B709="CN",IF(N(I709)&gt;0,I709*요약!$G$27,K709*(1+요약!$E$27)),IF(N(H709)&gt;0,H709*요약!$G$27,J709*요약!$D$27))</f>
        <v>16236</v>
      </c>
      <c r="M709" s="46" t="n">
        <f aca="false">D709*J709</f>
        <v>24990000</v>
      </c>
      <c r="N709" s="46" t="n">
        <f aca="false">D709*K709</f>
        <v>4998000</v>
      </c>
      <c r="O709" s="46" t="n">
        <f aca="false">D709*L709</f>
        <v>8280360</v>
      </c>
      <c r="P709" s="42" t="str">
        <f aca="false">TRIM(IF(N(E709)&lt;=0,"택가보정 ","")&amp;IF(N(F709)&lt;=0,"원가보정 ","")&amp;IF(AND(B709&lt;&gt;"CN",N(H709)&lt;=0),"공급가보정 ","")&amp;IF(AND(B709="CN",N(I709)&lt;=0),"중국공급가=원가+마진 ",""))</f>
        <v/>
      </c>
      <c r="Q709" s="47" t="n">
        <f aca="false">IF(SUMIFS($W:$W,$A:$A,A709,$C:$C,C709)=0,0,SUMIFS(RAW_판매펀칭!$K:$K,RAW_판매펀칭!$P:$P,A709,RAW_판매펀칭!$I:$I,C709)*W709/SUMIFS($W:$W,$A:$A,A709,$C:$C,C709))</f>
        <v>0</v>
      </c>
      <c r="R709" s="47" t="n">
        <f aca="false">IF(OR(A709="500",A709="800",A709="810"),0,MAX(W709-Q709,0))</f>
        <v>510</v>
      </c>
      <c r="S709" s="47" t="n">
        <f aca="false">R709*L709</f>
        <v>8280360</v>
      </c>
      <c r="T709" s="47" t="n">
        <f aca="false">R709*J709</f>
        <v>24990000</v>
      </c>
      <c r="U709" s="47" t="n">
        <f aca="false">R709*K709</f>
        <v>4998000</v>
      </c>
      <c r="V709" s="0" t="str">
        <f aca="false">IF(COUNTIFS($A$2:A709,A709,$C$2:C709,C709,$D$2:D709,D709)&gt;1,"중복","")</f>
        <v/>
      </c>
      <c r="W709" s="0" t="n">
        <f aca="false">IF(V709="중복",0,N(D709))</f>
        <v>510</v>
      </c>
      <c r="X709" s="0" t="n">
        <f aca="false">IF(COUNTIFS($A$2:A709,A709,$C$2:C709,C709)=1,ABS(SUMIFS(RAW_발주!$D:$D,RAW_발주!$C:$C,A709,RAW_발주!$A:$A,C709)-SUMIFS($W:$W,$A:$A,A709,$C:$C,C709)),0)</f>
        <v>0</v>
      </c>
    </row>
    <row r="710" customFormat="false" ht="15" hidden="false" customHeight="true" outlineLevel="0" collapsed="false">
      <c r="A710" s="45" t="s">
        <v>1660</v>
      </c>
      <c r="B710" s="42" t="str">
        <f aca="false">IF(A710="100","HK",IF(A710="200","CN",IF(A710="300","TW","홀세일")))</f>
        <v>CN</v>
      </c>
      <c r="C710" s="45" t="s">
        <v>386</v>
      </c>
      <c r="D710" s="46" t="n">
        <v>535</v>
      </c>
      <c r="E710" s="46" t="n">
        <v>49000</v>
      </c>
      <c r="F710" s="46" t="n">
        <v>9800</v>
      </c>
      <c r="G710" s="42" t="n">
        <v>4.32</v>
      </c>
      <c r="H710" s="42" t="n">
        <v>12.3</v>
      </c>
      <c r="I710" s="42" t="n">
        <v>7.9</v>
      </c>
      <c r="J710" s="46" t="n">
        <f aca="false">IF(N(E710)&gt;0,E710,IF(N(F710)&gt;0,F710*요약!$F$27,0))</f>
        <v>49000</v>
      </c>
      <c r="K710" s="46" t="n">
        <f aca="false">IF(N(F710)&gt;0,F710,IF(N(E710)&gt;0,E710/요약!$F$27,0))</f>
        <v>9800</v>
      </c>
      <c r="L710" s="46" t="n">
        <f aca="false">IF(B710="CN",IF(N(I710)&gt;0,I710*요약!$G$27,K710*(1+요약!$E$27)),IF(N(H710)&gt;0,H710*요약!$G$27,J710*요약!$D$27))</f>
        <v>10428</v>
      </c>
      <c r="M710" s="46" t="n">
        <f aca="false">D710*J710</f>
        <v>26215000</v>
      </c>
      <c r="N710" s="46" t="n">
        <f aca="false">D710*K710</f>
        <v>5243000</v>
      </c>
      <c r="O710" s="46" t="n">
        <f aca="false">D710*L710</f>
        <v>5578980</v>
      </c>
      <c r="P710" s="42" t="str">
        <f aca="false">TRIM(IF(N(E710)&lt;=0,"택가보정 ","")&amp;IF(N(F710)&lt;=0,"원가보정 ","")&amp;IF(AND(B710&lt;&gt;"CN",N(H710)&lt;=0),"공급가보정 ","")&amp;IF(AND(B710="CN",N(I710)&lt;=0),"중국공급가=원가+마진 ",""))</f>
        <v/>
      </c>
      <c r="Q710" s="47" t="n">
        <f aca="false">IF(SUMIFS($W:$W,$A:$A,A710,$C:$C,C710)=0,0,SUMIFS(RAW_판매펀칭!$K:$K,RAW_판매펀칭!$P:$P,A710,RAW_판매펀칭!$I:$I,C710)*W710/SUMIFS($W:$W,$A:$A,A710,$C:$C,C710))</f>
        <v>535</v>
      </c>
      <c r="R710" s="47" t="n">
        <f aca="false">IF(OR(A710="500",A710="800",A710="810"),0,MAX(W710-Q710,0))</f>
        <v>0</v>
      </c>
      <c r="S710" s="47" t="n">
        <f aca="false">R710*L710</f>
        <v>0</v>
      </c>
      <c r="T710" s="47" t="n">
        <f aca="false">R710*J710</f>
        <v>0</v>
      </c>
      <c r="U710" s="47" t="n">
        <f aca="false">R710*K710</f>
        <v>0</v>
      </c>
      <c r="V710" s="0" t="str">
        <f aca="false">IF(COUNTIFS($A$2:A710,A710,$C$2:C710,C710,$D$2:D710,D710)&gt;1,"중복","")</f>
        <v/>
      </c>
      <c r="W710" s="0" t="n">
        <f aca="false">IF(V710="중복",0,N(D710))</f>
        <v>535</v>
      </c>
      <c r="X710" s="0" t="n">
        <f aca="false">IF(COUNTIFS($A$2:A710,A710,$C$2:C710,C710)=1,ABS(SUMIFS(RAW_발주!$D:$D,RAW_발주!$C:$C,A710,RAW_발주!$A:$A,C710)-SUMIFS($W:$W,$A:$A,A710,$C:$C,C710)),0)</f>
        <v>0</v>
      </c>
    </row>
    <row r="711" customFormat="false" ht="15" hidden="false" customHeight="true" outlineLevel="0" collapsed="false">
      <c r="A711" s="45" t="s">
        <v>1661</v>
      </c>
      <c r="B711" s="42" t="str">
        <f aca="false">IF(A711="100","HK",IF(A711="200","CN",IF(A711="300","TW","홀세일")))</f>
        <v>TW</v>
      </c>
      <c r="C711" s="45" t="s">
        <v>386</v>
      </c>
      <c r="D711" s="46" t="n">
        <v>300</v>
      </c>
      <c r="E711" s="46" t="n">
        <v>49000</v>
      </c>
      <c r="F711" s="46" t="n">
        <v>9800</v>
      </c>
      <c r="G711" s="42" t="n">
        <v>4.32</v>
      </c>
      <c r="H711" s="42" t="n">
        <v>12.3</v>
      </c>
      <c r="I711" s="42" t="n">
        <v>7.9</v>
      </c>
      <c r="J711" s="46" t="n">
        <f aca="false">IF(N(E711)&gt;0,E711,IF(N(F711)&gt;0,F711*요약!$F$27,0))</f>
        <v>49000</v>
      </c>
      <c r="K711" s="46" t="n">
        <f aca="false">IF(N(F711)&gt;0,F711,IF(N(E711)&gt;0,E711/요약!$F$27,0))</f>
        <v>9800</v>
      </c>
      <c r="L711" s="46" t="n">
        <f aca="false">IF(B711="CN",IF(N(I711)&gt;0,I711*요약!$G$27,K711*(1+요약!$E$27)),IF(N(H711)&gt;0,H711*요약!$G$27,J711*요약!$D$27))</f>
        <v>16236</v>
      </c>
      <c r="M711" s="46" t="n">
        <f aca="false">D711*J711</f>
        <v>14700000</v>
      </c>
      <c r="N711" s="46" t="n">
        <f aca="false">D711*K711</f>
        <v>2940000</v>
      </c>
      <c r="O711" s="46" t="n">
        <f aca="false">D711*L711</f>
        <v>4870800</v>
      </c>
      <c r="P711" s="42" t="str">
        <f aca="false">TRIM(IF(N(E711)&lt;=0,"택가보정 ","")&amp;IF(N(F711)&lt;=0,"원가보정 ","")&amp;IF(AND(B711&lt;&gt;"CN",N(H711)&lt;=0),"공급가보정 ","")&amp;IF(AND(B711="CN",N(I711)&lt;=0),"중국공급가=원가+마진 ",""))</f>
        <v/>
      </c>
      <c r="Q711" s="47" t="n">
        <f aca="false">IF(SUMIFS($W:$W,$A:$A,A711,$C:$C,C711)=0,0,SUMIFS(RAW_판매펀칭!$K:$K,RAW_판매펀칭!$P:$P,A711,RAW_판매펀칭!$I:$I,C711)*W711/SUMIFS($W:$W,$A:$A,A711,$C:$C,C711))</f>
        <v>300</v>
      </c>
      <c r="R711" s="47" t="n">
        <f aca="false">IF(OR(A711="500",A711="800",A711="810"),0,MAX(W711-Q711,0))</f>
        <v>0</v>
      </c>
      <c r="S711" s="47" t="n">
        <f aca="false">R711*L711</f>
        <v>0</v>
      </c>
      <c r="T711" s="47" t="n">
        <f aca="false">R711*J711</f>
        <v>0</v>
      </c>
      <c r="U711" s="47" t="n">
        <f aca="false">R711*K711</f>
        <v>0</v>
      </c>
      <c r="V711" s="0" t="str">
        <f aca="false">IF(COUNTIFS($A$2:A711,A711,$C$2:C711,C711,$D$2:D711,D711)&gt;1,"중복","")</f>
        <v/>
      </c>
      <c r="W711" s="0" t="n">
        <f aca="false">IF(V711="중복",0,N(D711))</f>
        <v>300</v>
      </c>
      <c r="X711" s="0" t="n">
        <f aca="false">IF(COUNTIFS($A$2:A711,A711,$C$2:C711,C711)=1,ABS(SUMIFS(RAW_발주!$D:$D,RAW_발주!$C:$C,A711,RAW_발주!$A:$A,C711)-SUMIFS($W:$W,$A:$A,A711,$C:$C,C711)),0)</f>
        <v>0</v>
      </c>
    </row>
    <row r="712" customFormat="false" ht="15" hidden="false" customHeight="true" outlineLevel="0" collapsed="false">
      <c r="A712" s="45" t="s">
        <v>1662</v>
      </c>
      <c r="B712" s="42" t="str">
        <f aca="false">IF(A712="100","HK",IF(A712="200","CN",IF(A712="300","TW","홀세일")))</f>
        <v>홀세일</v>
      </c>
      <c r="C712" s="45" t="s">
        <v>386</v>
      </c>
      <c r="D712" s="46" t="n">
        <v>40</v>
      </c>
      <c r="E712" s="46" t="n">
        <v>49000</v>
      </c>
      <c r="F712" s="46" t="n">
        <v>9800</v>
      </c>
      <c r="G712" s="42" t="n">
        <v>4.32</v>
      </c>
      <c r="H712" s="42" t="n">
        <v>12.3</v>
      </c>
      <c r="I712" s="42" t="n">
        <v>7.9</v>
      </c>
      <c r="J712" s="46" t="n">
        <f aca="false">IF(N(E712)&gt;0,E712,IF(N(F712)&gt;0,F712*요약!$F$27,0))</f>
        <v>49000</v>
      </c>
      <c r="K712" s="46" t="n">
        <f aca="false">IF(N(F712)&gt;0,F712,IF(N(E712)&gt;0,E712/요약!$F$27,0))</f>
        <v>9800</v>
      </c>
      <c r="L712" s="46" t="n">
        <f aca="false">IF(B712="CN",IF(N(I712)&gt;0,I712*요약!$G$27,K712*(1+요약!$E$27)),IF(N(H712)&gt;0,H712*요약!$G$27,J712*요약!$D$27))</f>
        <v>16236</v>
      </c>
      <c r="M712" s="46" t="n">
        <f aca="false">D712*J712</f>
        <v>1960000</v>
      </c>
      <c r="N712" s="46" t="n">
        <f aca="false">D712*K712</f>
        <v>392000</v>
      </c>
      <c r="O712" s="46" t="n">
        <f aca="false">D712*L712</f>
        <v>649440</v>
      </c>
      <c r="P712" s="42" t="str">
        <f aca="false">TRIM(IF(N(E712)&lt;=0,"택가보정 ","")&amp;IF(N(F712)&lt;=0,"원가보정 ","")&amp;IF(AND(B712&lt;&gt;"CN",N(H712)&lt;=0),"공급가보정 ","")&amp;IF(AND(B712="CN",N(I712)&lt;=0),"중국공급가=원가+마진 ",""))</f>
        <v/>
      </c>
      <c r="Q712" s="47" t="n">
        <f aca="false">IF(SUMIFS($W:$W,$A:$A,A712,$C:$C,C712)=0,0,SUMIFS(RAW_판매펀칭!$K:$K,RAW_판매펀칭!$P:$P,A712,RAW_판매펀칭!$I:$I,C712)*W712/SUMIFS($W:$W,$A:$A,A712,$C:$C,C712))</f>
        <v>0</v>
      </c>
      <c r="R712" s="47" t="n">
        <f aca="false">IF(OR(A712="500",A712="800",A712="810"),0,MAX(W712-Q712,0))</f>
        <v>0</v>
      </c>
      <c r="S712" s="47" t="n">
        <f aca="false">R712*L712</f>
        <v>0</v>
      </c>
      <c r="T712" s="47" t="n">
        <f aca="false">R712*J712</f>
        <v>0</v>
      </c>
      <c r="U712" s="47" t="n">
        <f aca="false">R712*K712</f>
        <v>0</v>
      </c>
      <c r="V712" s="0" t="str">
        <f aca="false">IF(COUNTIFS($A$2:A712,A712,$C$2:C712,C712,$D$2:D712,D712)&gt;1,"중복","")</f>
        <v/>
      </c>
      <c r="W712" s="0" t="n">
        <f aca="false">IF(V712="중복",0,N(D712))</f>
        <v>40</v>
      </c>
      <c r="X712" s="0" t="n">
        <f aca="false">IF(COUNTIFS($A$2:A712,A712,$C$2:C712,C712)=1,ABS(SUMIFS(RAW_발주!$D:$D,RAW_발주!$C:$C,A712,RAW_발주!$A:$A,C712)-SUMIFS($W:$W,$A:$A,A712,$C:$C,C712)),0)</f>
        <v>0</v>
      </c>
    </row>
    <row r="713" customFormat="false" ht="15" hidden="false" customHeight="true" outlineLevel="0" collapsed="false">
      <c r="A713" s="45" t="s">
        <v>1663</v>
      </c>
      <c r="B713" s="42" t="str">
        <f aca="false">IF(A713="100","HK",IF(A713="200","CN",IF(A713="300","TW","홀세일")))</f>
        <v>홀세일</v>
      </c>
      <c r="C713" s="45" t="s">
        <v>386</v>
      </c>
      <c r="D713" s="46" t="n">
        <v>65</v>
      </c>
      <c r="E713" s="46" t="n">
        <v>49000</v>
      </c>
      <c r="F713" s="46" t="n">
        <v>9800</v>
      </c>
      <c r="G713" s="42" t="n">
        <v>4.32</v>
      </c>
      <c r="H713" s="42" t="n">
        <v>12.3</v>
      </c>
      <c r="I713" s="42" t="n">
        <v>7.9</v>
      </c>
      <c r="J713" s="46" t="n">
        <f aca="false">IF(N(E713)&gt;0,E713,IF(N(F713)&gt;0,F713*요약!$F$27,0))</f>
        <v>49000</v>
      </c>
      <c r="K713" s="46" t="n">
        <f aca="false">IF(N(F713)&gt;0,F713,IF(N(E713)&gt;0,E713/요약!$F$27,0))</f>
        <v>9800</v>
      </c>
      <c r="L713" s="46" t="n">
        <f aca="false">IF(B713="CN",IF(N(I713)&gt;0,I713*요약!$G$27,K713*(1+요약!$E$27)),IF(N(H713)&gt;0,H713*요약!$G$27,J713*요약!$D$27))</f>
        <v>16236</v>
      </c>
      <c r="M713" s="46" t="n">
        <f aca="false">D713*J713</f>
        <v>3185000</v>
      </c>
      <c r="N713" s="46" t="n">
        <f aca="false">D713*K713</f>
        <v>637000</v>
      </c>
      <c r="O713" s="46" t="n">
        <f aca="false">D713*L713</f>
        <v>1055340</v>
      </c>
      <c r="P713" s="42" t="str">
        <f aca="false">TRIM(IF(N(E713)&lt;=0,"택가보정 ","")&amp;IF(N(F713)&lt;=0,"원가보정 ","")&amp;IF(AND(B713&lt;&gt;"CN",N(H713)&lt;=0),"공급가보정 ","")&amp;IF(AND(B713="CN",N(I713)&lt;=0),"중국공급가=원가+마진 ",""))</f>
        <v/>
      </c>
      <c r="Q713" s="47" t="n">
        <f aca="false">IF(SUMIFS($W:$W,$A:$A,A713,$C:$C,C713)=0,0,SUMIFS(RAW_판매펀칭!$K:$K,RAW_판매펀칭!$P:$P,A713,RAW_판매펀칭!$I:$I,C713)*W713/SUMIFS($W:$W,$A:$A,A713,$C:$C,C713))</f>
        <v>65</v>
      </c>
      <c r="R713" s="47" t="n">
        <f aca="false">IF(OR(A713="500",A713="800",A713="810"),0,MAX(W713-Q713,0))</f>
        <v>0</v>
      </c>
      <c r="S713" s="47" t="n">
        <f aca="false">R713*L713</f>
        <v>0</v>
      </c>
      <c r="T713" s="47" t="n">
        <f aca="false">R713*J713</f>
        <v>0</v>
      </c>
      <c r="U713" s="47" t="n">
        <f aca="false">R713*K713</f>
        <v>0</v>
      </c>
      <c r="V713" s="0" t="str">
        <f aca="false">IF(COUNTIFS($A$2:A713,A713,$C$2:C713,C713,$D$2:D713,D713)&gt;1,"중복","")</f>
        <v/>
      </c>
      <c r="W713" s="0" t="n">
        <f aca="false">IF(V713="중복",0,N(D713))</f>
        <v>65</v>
      </c>
      <c r="X713" s="0" t="n">
        <f aca="false">IF(COUNTIFS($A$2:A713,A713,$C$2:C713,C713)=1,ABS(SUMIFS(RAW_발주!$D:$D,RAW_발주!$C:$C,A713,RAW_발주!$A:$A,C713)-SUMIFS($W:$W,$A:$A,A713,$C:$C,C713)),0)</f>
        <v>0</v>
      </c>
    </row>
    <row r="714" customFormat="false" ht="15" hidden="false" customHeight="true" outlineLevel="0" collapsed="false">
      <c r="A714" s="45" t="s">
        <v>1667</v>
      </c>
      <c r="B714" s="42" t="str">
        <f aca="false">IF(A714="100","HK",IF(A714="200","CN",IF(A714="300","TW","홀세일")))</f>
        <v>홀세일</v>
      </c>
      <c r="C714" s="45" t="s">
        <v>386</v>
      </c>
      <c r="D714" s="46" t="n">
        <v>93</v>
      </c>
      <c r="E714" s="46" t="n">
        <v>49000</v>
      </c>
      <c r="F714" s="46" t="n">
        <v>9800</v>
      </c>
      <c r="G714" s="42" t="n">
        <v>4.32</v>
      </c>
      <c r="H714" s="42" t="n">
        <v>12.3</v>
      </c>
      <c r="I714" s="42" t="n">
        <v>7.9</v>
      </c>
      <c r="J714" s="46" t="n">
        <f aca="false">IF(N(E714)&gt;0,E714,IF(N(F714)&gt;0,F714*요약!$F$27,0))</f>
        <v>49000</v>
      </c>
      <c r="K714" s="46" t="n">
        <f aca="false">IF(N(F714)&gt;0,F714,IF(N(E714)&gt;0,E714/요약!$F$27,0))</f>
        <v>9800</v>
      </c>
      <c r="L714" s="46" t="n">
        <f aca="false">IF(B714="CN",IF(N(I714)&gt;0,I714*요약!$G$27,K714*(1+요약!$E$27)),IF(N(H714)&gt;0,H714*요약!$G$27,J714*요약!$D$27))</f>
        <v>16236</v>
      </c>
      <c r="M714" s="46" t="n">
        <f aca="false">D714*J714</f>
        <v>4557000</v>
      </c>
      <c r="N714" s="46" t="n">
        <f aca="false">D714*K714</f>
        <v>911400</v>
      </c>
      <c r="O714" s="46" t="n">
        <f aca="false">D714*L714</f>
        <v>1509948</v>
      </c>
      <c r="P714" s="42" t="str">
        <f aca="false">TRIM(IF(N(E714)&lt;=0,"택가보정 ","")&amp;IF(N(F714)&lt;=0,"원가보정 ","")&amp;IF(AND(B714&lt;&gt;"CN",N(H714)&lt;=0),"공급가보정 ","")&amp;IF(AND(B714="CN",N(I714)&lt;=0),"중국공급가=원가+마진 ",""))</f>
        <v/>
      </c>
      <c r="Q714" s="47" t="n">
        <f aca="false">IF(SUMIFS($W:$W,$A:$A,A714,$C:$C,C714)=0,0,SUMIFS(RAW_판매펀칭!$K:$K,RAW_판매펀칭!$P:$P,A714,RAW_판매펀칭!$I:$I,C714)*W714/SUMIFS($W:$W,$A:$A,A714,$C:$C,C714))</f>
        <v>0</v>
      </c>
      <c r="R714" s="47" t="n">
        <f aca="false">IF(OR(A714="500",A714="800",A714="810"),0,MAX(W714-Q714,0))</f>
        <v>93</v>
      </c>
      <c r="S714" s="47" t="n">
        <f aca="false">R714*L714</f>
        <v>1509948</v>
      </c>
      <c r="T714" s="47" t="n">
        <f aca="false">R714*J714</f>
        <v>4557000</v>
      </c>
      <c r="U714" s="47" t="n">
        <f aca="false">R714*K714</f>
        <v>911400</v>
      </c>
      <c r="V714" s="0" t="str">
        <f aca="false">IF(COUNTIFS($A$2:A714,A714,$C$2:C714,C714,$D$2:D714,D714)&gt;1,"중복","")</f>
        <v/>
      </c>
      <c r="W714" s="0" t="n">
        <f aca="false">IF(V714="중복",0,N(D714))</f>
        <v>93</v>
      </c>
      <c r="X714" s="0" t="n">
        <f aca="false">IF(COUNTIFS($A$2:A714,A714,$C$2:C714,C714)=1,ABS(SUMIFS(RAW_발주!$D:$D,RAW_발주!$C:$C,A714,RAW_발주!$A:$A,C714)-SUMIFS($W:$W,$A:$A,A714,$C:$C,C714)),0)</f>
        <v>0</v>
      </c>
    </row>
    <row r="715" customFormat="false" ht="15" hidden="false" customHeight="true" outlineLevel="0" collapsed="false">
      <c r="A715" s="45" t="s">
        <v>1659</v>
      </c>
      <c r="B715" s="42" t="str">
        <f aca="false">IF(A715="100","HK",IF(A715="200","CN",IF(A715="300","TW","홀세일")))</f>
        <v>HK</v>
      </c>
      <c r="C715" s="45" t="s">
        <v>872</v>
      </c>
      <c r="D715" s="46" t="n">
        <v>280</v>
      </c>
      <c r="E715" s="46" t="n">
        <v>59000</v>
      </c>
      <c r="F715" s="46" t="n">
        <v>14250</v>
      </c>
      <c r="G715" s="42" t="n">
        <v>2.95</v>
      </c>
      <c r="H715" s="42" t="n">
        <v>14.8</v>
      </c>
      <c r="I715" s="42" t="n">
        <v>0</v>
      </c>
      <c r="J715" s="46" t="n">
        <f aca="false">IF(N(E715)&gt;0,E715,IF(N(F715)&gt;0,F715*요약!$F$27,0))</f>
        <v>59000</v>
      </c>
      <c r="K715" s="46" t="n">
        <f aca="false">IF(N(F715)&gt;0,F715,IF(N(E715)&gt;0,E715/요약!$F$27,0))</f>
        <v>14250</v>
      </c>
      <c r="L715" s="46" t="n">
        <f aca="false">IF(B715="CN",IF(N(I715)&gt;0,I715*요약!$G$27,K715*(1+요약!$E$27)),IF(N(H715)&gt;0,H715*요약!$G$27,J715*요약!$D$27))</f>
        <v>19536</v>
      </c>
      <c r="M715" s="46" t="n">
        <f aca="false">D715*J715</f>
        <v>16520000</v>
      </c>
      <c r="N715" s="46" t="n">
        <f aca="false">D715*K715</f>
        <v>3990000</v>
      </c>
      <c r="O715" s="46" t="n">
        <f aca="false">D715*L715</f>
        <v>5470080</v>
      </c>
      <c r="P715" s="42" t="str">
        <f aca="false">TRIM(IF(N(E715)&lt;=0,"택가보정 ","")&amp;IF(N(F715)&lt;=0,"원가보정 ","")&amp;IF(AND(B715&lt;&gt;"CN",N(H715)&lt;=0),"공급가보정 ","")&amp;IF(AND(B715="CN",N(I715)&lt;=0),"중국공급가=원가+마진 ",""))</f>
        <v/>
      </c>
      <c r="Q715" s="47" t="n">
        <f aca="false">IF(SUMIFS($W:$W,$A:$A,A715,$C:$C,C715)=0,0,SUMIFS(RAW_판매펀칭!$K:$K,RAW_판매펀칭!$P:$P,A715,RAW_판매펀칭!$I:$I,C715)*W715/SUMIFS($W:$W,$A:$A,A715,$C:$C,C715))</f>
        <v>280</v>
      </c>
      <c r="R715" s="47" t="n">
        <f aca="false">IF(OR(A715="500",A715="800",A715="810"),0,MAX(W715-Q715,0))</f>
        <v>0</v>
      </c>
      <c r="S715" s="47" t="n">
        <f aca="false">R715*L715</f>
        <v>0</v>
      </c>
      <c r="T715" s="47" t="n">
        <f aca="false">R715*J715</f>
        <v>0</v>
      </c>
      <c r="U715" s="47" t="n">
        <f aca="false">R715*K715</f>
        <v>0</v>
      </c>
      <c r="V715" s="0" t="str">
        <f aca="false">IF(COUNTIFS($A$2:A715,A715,$C$2:C715,C715,$D$2:D715,D715)&gt;1,"중복","")</f>
        <v/>
      </c>
      <c r="W715" s="0" t="n">
        <f aca="false">IF(V715="중복",0,N(D715))</f>
        <v>280</v>
      </c>
      <c r="X715" s="0" t="n">
        <f aca="false">IF(COUNTIFS($A$2:A715,A715,$C$2:C715,C715)=1,ABS(SUMIFS(RAW_발주!$D:$D,RAW_발주!$C:$C,A715,RAW_발주!$A:$A,C715)-SUMIFS($W:$W,$A:$A,A715,$C:$C,C715)),0)</f>
        <v>0</v>
      </c>
    </row>
    <row r="716" customFormat="false" ht="15" hidden="false" customHeight="true" outlineLevel="0" collapsed="false">
      <c r="A716" s="45" t="s">
        <v>1667</v>
      </c>
      <c r="B716" s="42" t="str">
        <f aca="false">IF(A716="100","HK",IF(A716="200","CN",IF(A716="300","TW","홀세일")))</f>
        <v>홀세일</v>
      </c>
      <c r="C716" s="45" t="s">
        <v>872</v>
      </c>
      <c r="D716" s="46" t="n">
        <v>42</v>
      </c>
      <c r="E716" s="46" t="n">
        <v>59000</v>
      </c>
      <c r="F716" s="46" t="n">
        <v>14250</v>
      </c>
      <c r="G716" s="42" t="n">
        <v>2.95</v>
      </c>
      <c r="H716" s="42" t="n">
        <v>14.8</v>
      </c>
      <c r="I716" s="42" t="n">
        <v>0</v>
      </c>
      <c r="J716" s="46" t="n">
        <f aca="false">IF(N(E716)&gt;0,E716,IF(N(F716)&gt;0,F716*요약!$F$27,0))</f>
        <v>59000</v>
      </c>
      <c r="K716" s="46" t="n">
        <f aca="false">IF(N(F716)&gt;0,F716,IF(N(E716)&gt;0,E716/요약!$F$27,0))</f>
        <v>14250</v>
      </c>
      <c r="L716" s="46" t="n">
        <f aca="false">IF(B716="CN",IF(N(I716)&gt;0,I716*요약!$G$27,K716*(1+요약!$E$27)),IF(N(H716)&gt;0,H716*요약!$G$27,J716*요약!$D$27))</f>
        <v>19536</v>
      </c>
      <c r="M716" s="46" t="n">
        <f aca="false">D716*J716</f>
        <v>2478000</v>
      </c>
      <c r="N716" s="46" t="n">
        <f aca="false">D716*K716</f>
        <v>598500</v>
      </c>
      <c r="O716" s="46" t="n">
        <f aca="false">D716*L716</f>
        <v>820512</v>
      </c>
      <c r="P716" s="42" t="str">
        <f aca="false">TRIM(IF(N(E716)&lt;=0,"택가보정 ","")&amp;IF(N(F716)&lt;=0,"원가보정 ","")&amp;IF(AND(B716&lt;&gt;"CN",N(H716)&lt;=0),"공급가보정 ","")&amp;IF(AND(B716="CN",N(I716)&lt;=0),"중국공급가=원가+마진 ",""))</f>
        <v/>
      </c>
      <c r="Q716" s="47" t="n">
        <f aca="false">IF(SUMIFS($W:$W,$A:$A,A716,$C:$C,C716)=0,0,SUMIFS(RAW_판매펀칭!$K:$K,RAW_판매펀칭!$P:$P,A716,RAW_판매펀칭!$I:$I,C716)*W716/SUMIFS($W:$W,$A:$A,A716,$C:$C,C716))</f>
        <v>0</v>
      </c>
      <c r="R716" s="47" t="n">
        <f aca="false">IF(OR(A716="500",A716="800",A716="810"),0,MAX(W716-Q716,0))</f>
        <v>42</v>
      </c>
      <c r="S716" s="47" t="n">
        <f aca="false">R716*L716</f>
        <v>820512</v>
      </c>
      <c r="T716" s="47" t="n">
        <f aca="false">R716*J716</f>
        <v>2478000</v>
      </c>
      <c r="U716" s="47" t="n">
        <f aca="false">R716*K716</f>
        <v>598500</v>
      </c>
      <c r="V716" s="0" t="str">
        <f aca="false">IF(COUNTIFS($A$2:A716,A716,$C$2:C716,C716,$D$2:D716,D716)&gt;1,"중복","")</f>
        <v/>
      </c>
      <c r="W716" s="0" t="n">
        <f aca="false">IF(V716="중복",0,N(D716))</f>
        <v>42</v>
      </c>
      <c r="X716" s="0" t="n">
        <f aca="false">IF(COUNTIFS($A$2:A716,A716,$C$2:C716,C716)=1,ABS(SUMIFS(RAW_발주!$D:$D,RAW_발주!$C:$C,A716,RAW_발주!$A:$A,C716)-SUMIFS($W:$W,$A:$A,A716,$C:$C,C716)),0)</f>
        <v>0</v>
      </c>
    </row>
    <row r="717" customFormat="false" ht="15" hidden="false" customHeight="true" outlineLevel="0" collapsed="false">
      <c r="A717" s="45" t="s">
        <v>1664</v>
      </c>
      <c r="B717" s="42" t="str">
        <f aca="false">IF(A717="100","HK",IF(A717="200","CN",IF(A717="300","TW","홀세일")))</f>
        <v>홀세일</v>
      </c>
      <c r="C717" s="45" t="s">
        <v>872</v>
      </c>
      <c r="D717" s="46" t="n">
        <v>20</v>
      </c>
      <c r="E717" s="46" t="n">
        <v>59000</v>
      </c>
      <c r="F717" s="46" t="n">
        <v>14250</v>
      </c>
      <c r="G717" s="42" t="n">
        <v>2.95</v>
      </c>
      <c r="H717" s="42" t="n">
        <v>14.8</v>
      </c>
      <c r="I717" s="42" t="n">
        <v>0</v>
      </c>
      <c r="J717" s="46" t="n">
        <f aca="false">IF(N(E717)&gt;0,E717,IF(N(F717)&gt;0,F717*요약!$F$27,0))</f>
        <v>59000</v>
      </c>
      <c r="K717" s="46" t="n">
        <f aca="false">IF(N(F717)&gt;0,F717,IF(N(E717)&gt;0,E717/요약!$F$27,0))</f>
        <v>14250</v>
      </c>
      <c r="L717" s="46" t="n">
        <f aca="false">IF(B717="CN",IF(N(I717)&gt;0,I717*요약!$G$27,K717*(1+요약!$E$27)),IF(N(H717)&gt;0,H717*요약!$G$27,J717*요약!$D$27))</f>
        <v>19536</v>
      </c>
      <c r="M717" s="46" t="n">
        <f aca="false">D717*J717</f>
        <v>1180000</v>
      </c>
      <c r="N717" s="46" t="n">
        <f aca="false">D717*K717</f>
        <v>285000</v>
      </c>
      <c r="O717" s="46" t="n">
        <f aca="false">D717*L717</f>
        <v>390720</v>
      </c>
      <c r="P717" s="42" t="str">
        <f aca="false">TRIM(IF(N(E717)&lt;=0,"택가보정 ","")&amp;IF(N(F717)&lt;=0,"원가보정 ","")&amp;IF(AND(B717&lt;&gt;"CN",N(H717)&lt;=0),"공급가보정 ","")&amp;IF(AND(B717="CN",N(I717)&lt;=0),"중국공급가=원가+마진 ",""))</f>
        <v/>
      </c>
      <c r="Q717" s="47" t="n">
        <f aca="false">IF(SUMIFS($W:$W,$A:$A,A717,$C:$C,C717)=0,0,SUMIFS(RAW_판매펀칭!$K:$K,RAW_판매펀칭!$P:$P,A717,RAW_판매펀칭!$I:$I,C717)*W717/SUMIFS($W:$W,$A:$A,A717,$C:$C,C717))</f>
        <v>0</v>
      </c>
      <c r="R717" s="47" t="n">
        <f aca="false">IF(OR(A717="500",A717="800",A717="810"),0,MAX(W717-Q717,0))</f>
        <v>0</v>
      </c>
      <c r="S717" s="47" t="n">
        <f aca="false">R717*L717</f>
        <v>0</v>
      </c>
      <c r="T717" s="47" t="n">
        <f aca="false">R717*J717</f>
        <v>0</v>
      </c>
      <c r="U717" s="47" t="n">
        <f aca="false">R717*K717</f>
        <v>0</v>
      </c>
      <c r="V717" s="0" t="str">
        <f aca="false">IF(COUNTIFS($A$2:A717,A717,$C$2:C717,C717,$D$2:D717,D717)&gt;1,"중복","")</f>
        <v/>
      </c>
      <c r="W717" s="0" t="n">
        <f aca="false">IF(V717="중복",0,N(D717))</f>
        <v>20</v>
      </c>
      <c r="X717" s="0" t="n">
        <f aca="false">IF(COUNTIFS($A$2:A717,A717,$C$2:C717,C717)=1,ABS(SUMIFS(RAW_발주!$D:$D,RAW_발주!$C:$C,A717,RAW_발주!$A:$A,C717)-SUMIFS($W:$W,$A:$A,A717,$C:$C,C717)),0)</f>
        <v>0</v>
      </c>
    </row>
    <row r="718" customFormat="false" ht="15" hidden="false" customHeight="true" outlineLevel="0" collapsed="false">
      <c r="A718" s="45" t="s">
        <v>1659</v>
      </c>
      <c r="B718" s="42" t="str">
        <f aca="false">IF(A718="100","HK",IF(A718="200","CN",IF(A718="300","TW","홀세일")))</f>
        <v>HK</v>
      </c>
      <c r="C718" s="45" t="s">
        <v>388</v>
      </c>
      <c r="D718" s="46" t="n">
        <v>200</v>
      </c>
      <c r="E718" s="46" t="n">
        <v>59000</v>
      </c>
      <c r="F718" s="46" t="n">
        <v>13796</v>
      </c>
      <c r="G718" s="42" t="n">
        <v>3.58</v>
      </c>
      <c r="H718" s="42" t="n">
        <v>14.8</v>
      </c>
      <c r="I718" s="42" t="n">
        <v>0</v>
      </c>
      <c r="J718" s="46" t="n">
        <f aca="false">IF(N(E718)&gt;0,E718,IF(N(F718)&gt;0,F718*요약!$F$27,0))</f>
        <v>59000</v>
      </c>
      <c r="K718" s="46" t="n">
        <f aca="false">IF(N(F718)&gt;0,F718,IF(N(E718)&gt;0,E718/요약!$F$27,0))</f>
        <v>13796</v>
      </c>
      <c r="L718" s="46" t="n">
        <f aca="false">IF(B718="CN",IF(N(I718)&gt;0,I718*요약!$G$27,K718*(1+요약!$E$27)),IF(N(H718)&gt;0,H718*요약!$G$27,J718*요약!$D$27))</f>
        <v>19536</v>
      </c>
      <c r="M718" s="46" t="n">
        <f aca="false">D718*J718</f>
        <v>11800000</v>
      </c>
      <c r="N718" s="46" t="n">
        <f aca="false">D718*K718</f>
        <v>2759200</v>
      </c>
      <c r="O718" s="46" t="n">
        <f aca="false">D718*L718</f>
        <v>3907200</v>
      </c>
      <c r="P718" s="42" t="str">
        <f aca="false">TRIM(IF(N(E718)&lt;=0,"택가보정 ","")&amp;IF(N(F718)&lt;=0,"원가보정 ","")&amp;IF(AND(B718&lt;&gt;"CN",N(H718)&lt;=0),"공급가보정 ","")&amp;IF(AND(B718="CN",N(I718)&lt;=0),"중국공급가=원가+마진 ",""))</f>
        <v/>
      </c>
      <c r="Q718" s="47" t="n">
        <f aca="false">IF(SUMIFS($W:$W,$A:$A,A718,$C:$C,C718)=0,0,SUMIFS(RAW_판매펀칭!$K:$K,RAW_판매펀칭!$P:$P,A718,RAW_판매펀칭!$I:$I,C718)*W718/SUMIFS($W:$W,$A:$A,A718,$C:$C,C718))</f>
        <v>200</v>
      </c>
      <c r="R718" s="47" t="n">
        <f aca="false">IF(OR(A718="500",A718="800",A718="810"),0,MAX(W718-Q718,0))</f>
        <v>0</v>
      </c>
      <c r="S718" s="47" t="n">
        <f aca="false">R718*L718</f>
        <v>0</v>
      </c>
      <c r="T718" s="47" t="n">
        <f aca="false">R718*J718</f>
        <v>0</v>
      </c>
      <c r="U718" s="47" t="n">
        <f aca="false">R718*K718</f>
        <v>0</v>
      </c>
      <c r="V718" s="0" t="str">
        <f aca="false">IF(COUNTIFS($A$2:A718,A718,$C$2:C718,C718,$D$2:D718,D718)&gt;1,"중복","")</f>
        <v/>
      </c>
      <c r="W718" s="0" t="n">
        <f aca="false">IF(V718="중복",0,N(D718))</f>
        <v>200</v>
      </c>
      <c r="X718" s="0" t="n">
        <f aca="false">IF(COUNTIFS($A$2:A718,A718,$C$2:C718,C718)=1,ABS(SUMIFS(RAW_발주!$D:$D,RAW_발주!$C:$C,A718,RAW_발주!$A:$A,C718)-SUMIFS($W:$W,$A:$A,A718,$C:$C,C718)),0)</f>
        <v>0</v>
      </c>
    </row>
    <row r="719" customFormat="false" ht="15" hidden="false" customHeight="true" outlineLevel="0" collapsed="false">
      <c r="A719" s="45" t="s">
        <v>1661</v>
      </c>
      <c r="B719" s="42" t="str">
        <f aca="false">IF(A719="100","HK",IF(A719="200","CN",IF(A719="300","TW","홀세일")))</f>
        <v>TW</v>
      </c>
      <c r="C719" s="45" t="s">
        <v>388</v>
      </c>
      <c r="D719" s="46" t="n">
        <v>330</v>
      </c>
      <c r="E719" s="46" t="n">
        <v>59000</v>
      </c>
      <c r="F719" s="46" t="n">
        <v>13796</v>
      </c>
      <c r="G719" s="42" t="n">
        <v>3.58</v>
      </c>
      <c r="H719" s="42" t="n">
        <v>14.8</v>
      </c>
      <c r="I719" s="42" t="n">
        <v>0</v>
      </c>
      <c r="J719" s="46" t="n">
        <f aca="false">IF(N(E719)&gt;0,E719,IF(N(F719)&gt;0,F719*요약!$F$27,0))</f>
        <v>59000</v>
      </c>
      <c r="K719" s="46" t="n">
        <f aca="false">IF(N(F719)&gt;0,F719,IF(N(E719)&gt;0,E719/요약!$F$27,0))</f>
        <v>13796</v>
      </c>
      <c r="L719" s="46" t="n">
        <f aca="false">IF(B719="CN",IF(N(I719)&gt;0,I719*요약!$G$27,K719*(1+요약!$E$27)),IF(N(H719)&gt;0,H719*요약!$G$27,J719*요약!$D$27))</f>
        <v>19536</v>
      </c>
      <c r="M719" s="46" t="n">
        <f aca="false">D719*J719</f>
        <v>19470000</v>
      </c>
      <c r="N719" s="46" t="n">
        <f aca="false">D719*K719</f>
        <v>4552680</v>
      </c>
      <c r="O719" s="46" t="n">
        <f aca="false">D719*L719</f>
        <v>6446880</v>
      </c>
      <c r="P719" s="42" t="str">
        <f aca="false">TRIM(IF(N(E719)&lt;=0,"택가보정 ","")&amp;IF(N(F719)&lt;=0,"원가보정 ","")&amp;IF(AND(B719&lt;&gt;"CN",N(H719)&lt;=0),"공급가보정 ","")&amp;IF(AND(B719="CN",N(I719)&lt;=0),"중국공급가=원가+마진 ",""))</f>
        <v/>
      </c>
      <c r="Q719" s="47" t="n">
        <f aca="false">IF(SUMIFS($W:$W,$A:$A,A719,$C:$C,C719)=0,0,SUMIFS(RAW_판매펀칭!$K:$K,RAW_판매펀칭!$P:$P,A719,RAW_판매펀칭!$I:$I,C719)*W719/SUMIFS($W:$W,$A:$A,A719,$C:$C,C719))</f>
        <v>330</v>
      </c>
      <c r="R719" s="47" t="n">
        <f aca="false">IF(OR(A719="500",A719="800",A719="810"),0,MAX(W719-Q719,0))</f>
        <v>0</v>
      </c>
      <c r="S719" s="47" t="n">
        <f aca="false">R719*L719</f>
        <v>0</v>
      </c>
      <c r="T719" s="47" t="n">
        <f aca="false">R719*J719</f>
        <v>0</v>
      </c>
      <c r="U719" s="47" t="n">
        <f aca="false">R719*K719</f>
        <v>0</v>
      </c>
      <c r="V719" s="0" t="str">
        <f aca="false">IF(COUNTIFS($A$2:A719,A719,$C$2:C719,C719,$D$2:D719,D719)&gt;1,"중복","")</f>
        <v/>
      </c>
      <c r="W719" s="0" t="n">
        <f aca="false">IF(V719="중복",0,N(D719))</f>
        <v>330</v>
      </c>
      <c r="X719" s="0" t="n">
        <f aca="false">IF(COUNTIFS($A$2:A719,A719,$C$2:C719,C719)=1,ABS(SUMIFS(RAW_발주!$D:$D,RAW_발주!$C:$C,A719,RAW_발주!$A:$A,C719)-SUMIFS($W:$W,$A:$A,A719,$C:$C,C719)),0)</f>
        <v>0</v>
      </c>
    </row>
    <row r="720" customFormat="false" ht="15" hidden="false" customHeight="true" outlineLevel="0" collapsed="false">
      <c r="A720" s="45" t="s">
        <v>1659</v>
      </c>
      <c r="B720" s="42" t="str">
        <f aca="false">IF(A720="100","HK",IF(A720="200","CN",IF(A720="300","TW","홀세일")))</f>
        <v>HK</v>
      </c>
      <c r="C720" s="45" t="s">
        <v>390</v>
      </c>
      <c r="D720" s="46" t="n">
        <v>350</v>
      </c>
      <c r="E720" s="46" t="n">
        <v>49000</v>
      </c>
      <c r="F720" s="46" t="n">
        <v>12416</v>
      </c>
      <c r="G720" s="42" t="n">
        <v>3.47</v>
      </c>
      <c r="H720" s="42" t="n">
        <v>12.3</v>
      </c>
      <c r="I720" s="42" t="n">
        <v>0</v>
      </c>
      <c r="J720" s="46" t="n">
        <f aca="false">IF(N(E720)&gt;0,E720,IF(N(F720)&gt;0,F720*요약!$F$27,0))</f>
        <v>49000</v>
      </c>
      <c r="K720" s="46" t="n">
        <f aca="false">IF(N(F720)&gt;0,F720,IF(N(E720)&gt;0,E720/요약!$F$27,0))</f>
        <v>12416</v>
      </c>
      <c r="L720" s="46" t="n">
        <f aca="false">IF(B720="CN",IF(N(I720)&gt;0,I720*요약!$G$27,K720*(1+요약!$E$27)),IF(N(H720)&gt;0,H720*요약!$G$27,J720*요약!$D$27))</f>
        <v>16236</v>
      </c>
      <c r="M720" s="46" t="n">
        <f aca="false">D720*J720</f>
        <v>17150000</v>
      </c>
      <c r="N720" s="46" t="n">
        <f aca="false">D720*K720</f>
        <v>4345600</v>
      </c>
      <c r="O720" s="46" t="n">
        <f aca="false">D720*L720</f>
        <v>5682600</v>
      </c>
      <c r="P720" s="42" t="str">
        <f aca="false">TRIM(IF(N(E720)&lt;=0,"택가보정 ","")&amp;IF(N(F720)&lt;=0,"원가보정 ","")&amp;IF(AND(B720&lt;&gt;"CN",N(H720)&lt;=0),"공급가보정 ","")&amp;IF(AND(B720="CN",N(I720)&lt;=0),"중국공급가=원가+마진 ",""))</f>
        <v/>
      </c>
      <c r="Q720" s="47" t="n">
        <f aca="false">IF(SUMIFS($W:$W,$A:$A,A720,$C:$C,C720)=0,0,SUMIFS(RAW_판매펀칭!$K:$K,RAW_판매펀칭!$P:$P,A720,RAW_판매펀칭!$I:$I,C720)*W720/SUMIFS($W:$W,$A:$A,A720,$C:$C,C720))</f>
        <v>350</v>
      </c>
      <c r="R720" s="47" t="n">
        <f aca="false">IF(OR(A720="500",A720="800",A720="810"),0,MAX(W720-Q720,0))</f>
        <v>0</v>
      </c>
      <c r="S720" s="47" t="n">
        <f aca="false">R720*L720</f>
        <v>0</v>
      </c>
      <c r="T720" s="47" t="n">
        <f aca="false">R720*J720</f>
        <v>0</v>
      </c>
      <c r="U720" s="47" t="n">
        <f aca="false">R720*K720</f>
        <v>0</v>
      </c>
      <c r="V720" s="0" t="str">
        <f aca="false">IF(COUNTIFS($A$2:A720,A720,$C$2:C720,C720,$D$2:D720,D720)&gt;1,"중복","")</f>
        <v/>
      </c>
      <c r="W720" s="0" t="n">
        <f aca="false">IF(V720="중복",0,N(D720))</f>
        <v>350</v>
      </c>
      <c r="X720" s="0" t="n">
        <f aca="false">IF(COUNTIFS($A$2:A720,A720,$C$2:C720,C720)=1,ABS(SUMIFS(RAW_발주!$D:$D,RAW_발주!$C:$C,A720,RAW_발주!$A:$A,C720)-SUMIFS($W:$W,$A:$A,A720,$C:$C,C720)),0)</f>
        <v>0</v>
      </c>
    </row>
    <row r="721" customFormat="false" ht="15" hidden="false" customHeight="true" outlineLevel="0" collapsed="false">
      <c r="A721" s="45" t="s">
        <v>1661</v>
      </c>
      <c r="B721" s="42" t="str">
        <f aca="false">IF(A721="100","HK",IF(A721="200","CN",IF(A721="300","TW","홀세일")))</f>
        <v>TW</v>
      </c>
      <c r="C721" s="45" t="s">
        <v>390</v>
      </c>
      <c r="D721" s="46" t="n">
        <v>270</v>
      </c>
      <c r="E721" s="46" t="n">
        <v>49000</v>
      </c>
      <c r="F721" s="46" t="n">
        <v>12416</v>
      </c>
      <c r="G721" s="42" t="n">
        <v>3.47</v>
      </c>
      <c r="H721" s="42" t="n">
        <v>12.3</v>
      </c>
      <c r="I721" s="42" t="n">
        <v>0</v>
      </c>
      <c r="J721" s="46" t="n">
        <f aca="false">IF(N(E721)&gt;0,E721,IF(N(F721)&gt;0,F721*요약!$F$27,0))</f>
        <v>49000</v>
      </c>
      <c r="K721" s="46" t="n">
        <f aca="false">IF(N(F721)&gt;0,F721,IF(N(E721)&gt;0,E721/요약!$F$27,0))</f>
        <v>12416</v>
      </c>
      <c r="L721" s="46" t="n">
        <f aca="false">IF(B721="CN",IF(N(I721)&gt;0,I721*요약!$G$27,K721*(1+요약!$E$27)),IF(N(H721)&gt;0,H721*요약!$G$27,J721*요약!$D$27))</f>
        <v>16236</v>
      </c>
      <c r="M721" s="46" t="n">
        <f aca="false">D721*J721</f>
        <v>13230000</v>
      </c>
      <c r="N721" s="46" t="n">
        <f aca="false">D721*K721</f>
        <v>3352320</v>
      </c>
      <c r="O721" s="46" t="n">
        <f aca="false">D721*L721</f>
        <v>4383720</v>
      </c>
      <c r="P721" s="42" t="str">
        <f aca="false">TRIM(IF(N(E721)&lt;=0,"택가보정 ","")&amp;IF(N(F721)&lt;=0,"원가보정 ","")&amp;IF(AND(B721&lt;&gt;"CN",N(H721)&lt;=0),"공급가보정 ","")&amp;IF(AND(B721="CN",N(I721)&lt;=0),"중국공급가=원가+마진 ",""))</f>
        <v/>
      </c>
      <c r="Q721" s="47" t="n">
        <f aca="false">IF(SUMIFS($W:$W,$A:$A,A721,$C:$C,C721)=0,0,SUMIFS(RAW_판매펀칭!$K:$K,RAW_판매펀칭!$P:$P,A721,RAW_판매펀칭!$I:$I,C721)*W721/SUMIFS($W:$W,$A:$A,A721,$C:$C,C721))</f>
        <v>270</v>
      </c>
      <c r="R721" s="47" t="n">
        <f aca="false">IF(OR(A721="500",A721="800",A721="810"),0,MAX(W721-Q721,0))</f>
        <v>0</v>
      </c>
      <c r="S721" s="47" t="n">
        <f aca="false">R721*L721</f>
        <v>0</v>
      </c>
      <c r="T721" s="47" t="n">
        <f aca="false">R721*J721</f>
        <v>0</v>
      </c>
      <c r="U721" s="47" t="n">
        <f aca="false">R721*K721</f>
        <v>0</v>
      </c>
      <c r="V721" s="0" t="str">
        <f aca="false">IF(COUNTIFS($A$2:A721,A721,$C$2:C721,C721,$D$2:D721,D721)&gt;1,"중복","")</f>
        <v/>
      </c>
      <c r="W721" s="0" t="n">
        <f aca="false">IF(V721="중복",0,N(D721))</f>
        <v>270</v>
      </c>
      <c r="X721" s="0" t="n">
        <f aca="false">IF(COUNTIFS($A$2:A721,A721,$C$2:C721,C721)=1,ABS(SUMIFS(RAW_발주!$D:$D,RAW_발주!$C:$C,A721,RAW_발주!$A:$A,C721)-SUMIFS($W:$W,$A:$A,A721,$C:$C,C721)),0)</f>
        <v>0</v>
      </c>
    </row>
    <row r="722" customFormat="false" ht="15" hidden="false" customHeight="true" outlineLevel="0" collapsed="false">
      <c r="A722" s="45" t="s">
        <v>1663</v>
      </c>
      <c r="B722" s="42" t="str">
        <f aca="false">IF(A722="100","HK",IF(A722="200","CN",IF(A722="300","TW","홀세일")))</f>
        <v>홀세일</v>
      </c>
      <c r="C722" s="45" t="s">
        <v>390</v>
      </c>
      <c r="D722" s="46" t="n">
        <v>15</v>
      </c>
      <c r="E722" s="46" t="n">
        <v>49000</v>
      </c>
      <c r="F722" s="46" t="n">
        <v>12416</v>
      </c>
      <c r="G722" s="42" t="n">
        <v>3.47</v>
      </c>
      <c r="H722" s="42" t="n">
        <v>12.3</v>
      </c>
      <c r="I722" s="42" t="n">
        <v>0</v>
      </c>
      <c r="J722" s="46" t="n">
        <f aca="false">IF(N(E722)&gt;0,E722,IF(N(F722)&gt;0,F722*요약!$F$27,0))</f>
        <v>49000</v>
      </c>
      <c r="K722" s="46" t="n">
        <f aca="false">IF(N(F722)&gt;0,F722,IF(N(E722)&gt;0,E722/요약!$F$27,0))</f>
        <v>12416</v>
      </c>
      <c r="L722" s="46" t="n">
        <f aca="false">IF(B722="CN",IF(N(I722)&gt;0,I722*요약!$G$27,K722*(1+요약!$E$27)),IF(N(H722)&gt;0,H722*요약!$G$27,J722*요약!$D$27))</f>
        <v>16236</v>
      </c>
      <c r="M722" s="46" t="n">
        <f aca="false">D722*J722</f>
        <v>735000</v>
      </c>
      <c r="N722" s="46" t="n">
        <f aca="false">D722*K722</f>
        <v>186240</v>
      </c>
      <c r="O722" s="46" t="n">
        <f aca="false">D722*L722</f>
        <v>243540</v>
      </c>
      <c r="P722" s="42" t="str">
        <f aca="false">TRIM(IF(N(E722)&lt;=0,"택가보정 ","")&amp;IF(N(F722)&lt;=0,"원가보정 ","")&amp;IF(AND(B722&lt;&gt;"CN",N(H722)&lt;=0),"공급가보정 ","")&amp;IF(AND(B722="CN",N(I722)&lt;=0),"중국공급가=원가+마진 ",""))</f>
        <v/>
      </c>
      <c r="Q722" s="47" t="n">
        <f aca="false">IF(SUMIFS($W:$W,$A:$A,A722,$C:$C,C722)=0,0,SUMIFS(RAW_판매펀칭!$K:$K,RAW_판매펀칭!$P:$P,A722,RAW_판매펀칭!$I:$I,C722)*W722/SUMIFS($W:$W,$A:$A,A722,$C:$C,C722))</f>
        <v>0</v>
      </c>
      <c r="R722" s="47" t="n">
        <f aca="false">IF(OR(A722="500",A722="800",A722="810"),0,MAX(W722-Q722,0))</f>
        <v>15</v>
      </c>
      <c r="S722" s="47" t="n">
        <f aca="false">R722*L722</f>
        <v>243540</v>
      </c>
      <c r="T722" s="47" t="n">
        <f aca="false">R722*J722</f>
        <v>735000</v>
      </c>
      <c r="U722" s="47" t="n">
        <f aca="false">R722*K722</f>
        <v>186240</v>
      </c>
      <c r="V722" s="0" t="str">
        <f aca="false">IF(COUNTIFS($A$2:A722,A722,$C$2:C722,C722,$D$2:D722,D722)&gt;1,"중복","")</f>
        <v/>
      </c>
      <c r="W722" s="0" t="n">
        <f aca="false">IF(V722="중복",0,N(D722))</f>
        <v>15</v>
      </c>
      <c r="X722" s="0" t="n">
        <f aca="false">IF(COUNTIFS($A$2:A722,A722,$C$2:C722,C722)=1,ABS(SUMIFS(RAW_발주!$D:$D,RAW_발주!$C:$C,A722,RAW_발주!$A:$A,C722)-SUMIFS($W:$W,$A:$A,A722,$C:$C,C722)),0)</f>
        <v>0</v>
      </c>
    </row>
    <row r="723" customFormat="false" ht="15" hidden="false" customHeight="true" outlineLevel="0" collapsed="false">
      <c r="A723" s="45" t="s">
        <v>1659</v>
      </c>
      <c r="B723" s="42" t="str">
        <f aca="false">IF(A723="100","HK",IF(A723="200","CN",IF(A723="300","TW","홀세일")))</f>
        <v>HK</v>
      </c>
      <c r="C723" s="45" t="s">
        <v>392</v>
      </c>
      <c r="D723" s="46" t="n">
        <v>350</v>
      </c>
      <c r="E723" s="46" t="n">
        <v>49000</v>
      </c>
      <c r="F723" s="46" t="n">
        <v>10229</v>
      </c>
      <c r="G723" s="42" t="n">
        <v>4.16</v>
      </c>
      <c r="H723" s="42" t="n">
        <v>12.3</v>
      </c>
      <c r="I723" s="42" t="n">
        <v>0</v>
      </c>
      <c r="J723" s="46" t="n">
        <f aca="false">IF(N(E723)&gt;0,E723,IF(N(F723)&gt;0,F723*요약!$F$27,0))</f>
        <v>49000</v>
      </c>
      <c r="K723" s="46" t="n">
        <f aca="false">IF(N(F723)&gt;0,F723,IF(N(E723)&gt;0,E723/요약!$F$27,0))</f>
        <v>10229</v>
      </c>
      <c r="L723" s="46" t="n">
        <f aca="false">IF(B723="CN",IF(N(I723)&gt;0,I723*요약!$G$27,K723*(1+요약!$E$27)),IF(N(H723)&gt;0,H723*요약!$G$27,J723*요약!$D$27))</f>
        <v>16236</v>
      </c>
      <c r="M723" s="46" t="n">
        <f aca="false">D723*J723</f>
        <v>17150000</v>
      </c>
      <c r="N723" s="46" t="n">
        <f aca="false">D723*K723</f>
        <v>3580150</v>
      </c>
      <c r="O723" s="46" t="n">
        <f aca="false">D723*L723</f>
        <v>5682600</v>
      </c>
      <c r="P723" s="42" t="str">
        <f aca="false">TRIM(IF(N(E723)&lt;=0,"택가보정 ","")&amp;IF(N(F723)&lt;=0,"원가보정 ","")&amp;IF(AND(B723&lt;&gt;"CN",N(H723)&lt;=0),"공급가보정 ","")&amp;IF(AND(B723="CN",N(I723)&lt;=0),"중국공급가=원가+마진 ",""))</f>
        <v/>
      </c>
      <c r="Q723" s="47" t="n">
        <f aca="false">IF(SUMIFS($W:$W,$A:$A,A723,$C:$C,C723)=0,0,SUMIFS(RAW_판매펀칭!$K:$K,RAW_판매펀칭!$P:$P,A723,RAW_판매펀칭!$I:$I,C723)*W723/SUMIFS($W:$W,$A:$A,A723,$C:$C,C723))</f>
        <v>350</v>
      </c>
      <c r="R723" s="47" t="n">
        <f aca="false">IF(OR(A723="500",A723="800",A723="810"),0,MAX(W723-Q723,0))</f>
        <v>0</v>
      </c>
      <c r="S723" s="47" t="n">
        <f aca="false">R723*L723</f>
        <v>0</v>
      </c>
      <c r="T723" s="47" t="n">
        <f aca="false">R723*J723</f>
        <v>0</v>
      </c>
      <c r="U723" s="47" t="n">
        <f aca="false">R723*K723</f>
        <v>0</v>
      </c>
      <c r="V723" s="0" t="str">
        <f aca="false">IF(COUNTIFS($A$2:A723,A723,$C$2:C723,C723,$D$2:D723,D723)&gt;1,"중복","")</f>
        <v/>
      </c>
      <c r="W723" s="0" t="n">
        <f aca="false">IF(V723="중복",0,N(D723))</f>
        <v>350</v>
      </c>
      <c r="X723" s="0" t="n">
        <f aca="false">IF(COUNTIFS($A$2:A723,A723,$C$2:C723,C723)=1,ABS(SUMIFS(RAW_발주!$D:$D,RAW_발주!$C:$C,A723,RAW_발주!$A:$A,C723)-SUMIFS($W:$W,$A:$A,A723,$C:$C,C723)),0)</f>
        <v>0</v>
      </c>
    </row>
    <row r="724" customFormat="false" ht="15" hidden="false" customHeight="true" outlineLevel="0" collapsed="false">
      <c r="A724" s="45" t="s">
        <v>1661</v>
      </c>
      <c r="B724" s="42" t="str">
        <f aca="false">IF(A724="100","HK",IF(A724="200","CN",IF(A724="300","TW","홀세일")))</f>
        <v>TW</v>
      </c>
      <c r="C724" s="45" t="s">
        <v>392</v>
      </c>
      <c r="D724" s="46" t="n">
        <v>200</v>
      </c>
      <c r="E724" s="46" t="n">
        <v>49000</v>
      </c>
      <c r="F724" s="46" t="n">
        <v>10229</v>
      </c>
      <c r="G724" s="42" t="n">
        <v>4.16</v>
      </c>
      <c r="H724" s="42" t="n">
        <v>12.3</v>
      </c>
      <c r="I724" s="42" t="n">
        <v>0</v>
      </c>
      <c r="J724" s="46" t="n">
        <f aca="false">IF(N(E724)&gt;0,E724,IF(N(F724)&gt;0,F724*요약!$F$27,0))</f>
        <v>49000</v>
      </c>
      <c r="K724" s="46" t="n">
        <f aca="false">IF(N(F724)&gt;0,F724,IF(N(E724)&gt;0,E724/요약!$F$27,0))</f>
        <v>10229</v>
      </c>
      <c r="L724" s="46" t="n">
        <f aca="false">IF(B724="CN",IF(N(I724)&gt;0,I724*요약!$G$27,K724*(1+요약!$E$27)),IF(N(H724)&gt;0,H724*요약!$G$27,J724*요약!$D$27))</f>
        <v>16236</v>
      </c>
      <c r="M724" s="46" t="n">
        <f aca="false">D724*J724</f>
        <v>9800000</v>
      </c>
      <c r="N724" s="46" t="n">
        <f aca="false">D724*K724</f>
        <v>2045800</v>
      </c>
      <c r="O724" s="46" t="n">
        <f aca="false">D724*L724</f>
        <v>3247200</v>
      </c>
      <c r="P724" s="42" t="str">
        <f aca="false">TRIM(IF(N(E724)&lt;=0,"택가보정 ","")&amp;IF(N(F724)&lt;=0,"원가보정 ","")&amp;IF(AND(B724&lt;&gt;"CN",N(H724)&lt;=0),"공급가보정 ","")&amp;IF(AND(B724="CN",N(I724)&lt;=0),"중국공급가=원가+마진 ",""))</f>
        <v/>
      </c>
      <c r="Q724" s="47" t="n">
        <f aca="false">IF(SUMIFS($W:$W,$A:$A,A724,$C:$C,C724)=0,0,SUMIFS(RAW_판매펀칭!$K:$K,RAW_판매펀칭!$P:$P,A724,RAW_판매펀칭!$I:$I,C724)*W724/SUMIFS($W:$W,$A:$A,A724,$C:$C,C724))</f>
        <v>200</v>
      </c>
      <c r="R724" s="47" t="n">
        <f aca="false">IF(OR(A724="500",A724="800",A724="810"),0,MAX(W724-Q724,0))</f>
        <v>0</v>
      </c>
      <c r="S724" s="47" t="n">
        <f aca="false">R724*L724</f>
        <v>0</v>
      </c>
      <c r="T724" s="47" t="n">
        <f aca="false">R724*J724</f>
        <v>0</v>
      </c>
      <c r="U724" s="47" t="n">
        <f aca="false">R724*K724</f>
        <v>0</v>
      </c>
      <c r="V724" s="0" t="str">
        <f aca="false">IF(COUNTIFS($A$2:A724,A724,$C$2:C724,C724,$D$2:D724,D724)&gt;1,"중복","")</f>
        <v/>
      </c>
      <c r="W724" s="0" t="n">
        <f aca="false">IF(V724="중복",0,N(D724))</f>
        <v>200</v>
      </c>
      <c r="X724" s="0" t="n">
        <f aca="false">IF(COUNTIFS($A$2:A724,A724,$C$2:C724,C724)=1,ABS(SUMIFS(RAW_발주!$D:$D,RAW_발주!$C:$C,A724,RAW_발주!$A:$A,C724)-SUMIFS($W:$W,$A:$A,A724,$C:$C,C724)),0)</f>
        <v>0</v>
      </c>
    </row>
    <row r="725" customFormat="false" ht="15" hidden="false" customHeight="true" outlineLevel="0" collapsed="false">
      <c r="A725" s="45" t="s">
        <v>1663</v>
      </c>
      <c r="B725" s="42" t="str">
        <f aca="false">IF(A725="100","HK",IF(A725="200","CN",IF(A725="300","TW","홀세일")))</f>
        <v>홀세일</v>
      </c>
      <c r="C725" s="45" t="s">
        <v>392</v>
      </c>
      <c r="D725" s="46" t="n">
        <v>30</v>
      </c>
      <c r="E725" s="46" t="n">
        <v>49000</v>
      </c>
      <c r="F725" s="46" t="n">
        <v>10229</v>
      </c>
      <c r="G725" s="42" t="n">
        <v>4.16</v>
      </c>
      <c r="H725" s="42" t="n">
        <v>12.3</v>
      </c>
      <c r="I725" s="42" t="n">
        <v>0</v>
      </c>
      <c r="J725" s="46" t="n">
        <f aca="false">IF(N(E725)&gt;0,E725,IF(N(F725)&gt;0,F725*요약!$F$27,0))</f>
        <v>49000</v>
      </c>
      <c r="K725" s="46" t="n">
        <f aca="false">IF(N(F725)&gt;0,F725,IF(N(E725)&gt;0,E725/요약!$F$27,0))</f>
        <v>10229</v>
      </c>
      <c r="L725" s="46" t="n">
        <f aca="false">IF(B725="CN",IF(N(I725)&gt;0,I725*요약!$G$27,K725*(1+요약!$E$27)),IF(N(H725)&gt;0,H725*요약!$G$27,J725*요약!$D$27))</f>
        <v>16236</v>
      </c>
      <c r="M725" s="46" t="n">
        <f aca="false">D725*J725</f>
        <v>1470000</v>
      </c>
      <c r="N725" s="46" t="n">
        <f aca="false">D725*K725</f>
        <v>306870</v>
      </c>
      <c r="O725" s="46" t="n">
        <f aca="false">D725*L725</f>
        <v>487080</v>
      </c>
      <c r="P725" s="42" t="str">
        <f aca="false">TRIM(IF(N(E725)&lt;=0,"택가보정 ","")&amp;IF(N(F725)&lt;=0,"원가보정 ","")&amp;IF(AND(B725&lt;&gt;"CN",N(H725)&lt;=0),"공급가보정 ","")&amp;IF(AND(B725="CN",N(I725)&lt;=0),"중국공급가=원가+마진 ",""))</f>
        <v/>
      </c>
      <c r="Q725" s="47" t="n">
        <f aca="false">IF(SUMIFS($W:$W,$A:$A,A725,$C:$C,C725)=0,0,SUMIFS(RAW_판매펀칭!$K:$K,RAW_판매펀칭!$P:$P,A725,RAW_판매펀칭!$I:$I,C725)*W725/SUMIFS($W:$W,$A:$A,A725,$C:$C,C725))</f>
        <v>0</v>
      </c>
      <c r="R725" s="47" t="n">
        <f aca="false">IF(OR(A725="500",A725="800",A725="810"),0,MAX(W725-Q725,0))</f>
        <v>30</v>
      </c>
      <c r="S725" s="47" t="n">
        <f aca="false">R725*L725</f>
        <v>487080</v>
      </c>
      <c r="T725" s="47" t="n">
        <f aca="false">R725*J725</f>
        <v>1470000</v>
      </c>
      <c r="U725" s="47" t="n">
        <f aca="false">R725*K725</f>
        <v>306870</v>
      </c>
      <c r="V725" s="0" t="str">
        <f aca="false">IF(COUNTIFS($A$2:A725,A725,$C$2:C725,C725,$D$2:D725,D725)&gt;1,"중복","")</f>
        <v/>
      </c>
      <c r="W725" s="0" t="n">
        <f aca="false">IF(V725="중복",0,N(D725))</f>
        <v>30</v>
      </c>
      <c r="X725" s="0" t="n">
        <f aca="false">IF(COUNTIFS($A$2:A725,A725,$C$2:C725,C725)=1,ABS(SUMIFS(RAW_발주!$D:$D,RAW_발주!$C:$C,A725,RAW_발주!$A:$A,C725)-SUMIFS($W:$W,$A:$A,A725,$C:$C,C725)),0)</f>
        <v>0</v>
      </c>
    </row>
    <row r="726" customFormat="false" ht="15" hidden="false" customHeight="true" outlineLevel="0" collapsed="false">
      <c r="A726" s="45" t="s">
        <v>1667</v>
      </c>
      <c r="B726" s="42" t="str">
        <f aca="false">IF(A726="100","HK",IF(A726="200","CN",IF(A726="300","TW","홀세일")))</f>
        <v>홀세일</v>
      </c>
      <c r="C726" s="45" t="s">
        <v>392</v>
      </c>
      <c r="D726" s="46" t="n">
        <v>102</v>
      </c>
      <c r="E726" s="46" t="n">
        <v>49000</v>
      </c>
      <c r="F726" s="46" t="n">
        <v>10229</v>
      </c>
      <c r="G726" s="42" t="n">
        <v>4.16</v>
      </c>
      <c r="H726" s="42" t="n">
        <v>12.3</v>
      </c>
      <c r="I726" s="42" t="n">
        <v>0</v>
      </c>
      <c r="J726" s="46" t="n">
        <f aca="false">IF(N(E726)&gt;0,E726,IF(N(F726)&gt;0,F726*요약!$F$27,0))</f>
        <v>49000</v>
      </c>
      <c r="K726" s="46" t="n">
        <f aca="false">IF(N(F726)&gt;0,F726,IF(N(E726)&gt;0,E726/요약!$F$27,0))</f>
        <v>10229</v>
      </c>
      <c r="L726" s="46" t="n">
        <f aca="false">IF(B726="CN",IF(N(I726)&gt;0,I726*요약!$G$27,K726*(1+요약!$E$27)),IF(N(H726)&gt;0,H726*요약!$G$27,J726*요약!$D$27))</f>
        <v>16236</v>
      </c>
      <c r="M726" s="46" t="n">
        <f aca="false">D726*J726</f>
        <v>4998000</v>
      </c>
      <c r="N726" s="46" t="n">
        <f aca="false">D726*K726</f>
        <v>1043358</v>
      </c>
      <c r="O726" s="46" t="n">
        <f aca="false">D726*L726</f>
        <v>1656072</v>
      </c>
      <c r="P726" s="42" t="str">
        <f aca="false">TRIM(IF(N(E726)&lt;=0,"택가보정 ","")&amp;IF(N(F726)&lt;=0,"원가보정 ","")&amp;IF(AND(B726&lt;&gt;"CN",N(H726)&lt;=0),"공급가보정 ","")&amp;IF(AND(B726="CN",N(I726)&lt;=0),"중국공급가=원가+마진 ",""))</f>
        <v/>
      </c>
      <c r="Q726" s="47" t="n">
        <f aca="false">IF(SUMIFS($W:$W,$A:$A,A726,$C:$C,C726)=0,0,SUMIFS(RAW_판매펀칭!$K:$K,RAW_판매펀칭!$P:$P,A726,RAW_판매펀칭!$I:$I,C726)*W726/SUMIFS($W:$W,$A:$A,A726,$C:$C,C726))</f>
        <v>0</v>
      </c>
      <c r="R726" s="47" t="n">
        <f aca="false">IF(OR(A726="500",A726="800",A726="810"),0,MAX(W726-Q726,0))</f>
        <v>102</v>
      </c>
      <c r="S726" s="47" t="n">
        <f aca="false">R726*L726</f>
        <v>1656072</v>
      </c>
      <c r="T726" s="47" t="n">
        <f aca="false">R726*J726</f>
        <v>4998000</v>
      </c>
      <c r="U726" s="47" t="n">
        <f aca="false">R726*K726</f>
        <v>1043358</v>
      </c>
      <c r="V726" s="0" t="str">
        <f aca="false">IF(COUNTIFS($A$2:A726,A726,$C$2:C726,C726,$D$2:D726,D726)&gt;1,"중복","")</f>
        <v/>
      </c>
      <c r="W726" s="0" t="n">
        <f aca="false">IF(V726="중복",0,N(D726))</f>
        <v>102</v>
      </c>
      <c r="X726" s="0" t="n">
        <f aca="false">IF(COUNTIFS($A$2:A726,A726,$C$2:C726,C726)=1,ABS(SUMIFS(RAW_발주!$D:$D,RAW_발주!$C:$C,A726,RAW_발주!$A:$A,C726)-SUMIFS($W:$W,$A:$A,A726,$C:$C,C726)),0)</f>
        <v>0</v>
      </c>
    </row>
    <row r="727" customFormat="false" ht="15" hidden="false" customHeight="true" outlineLevel="0" collapsed="false">
      <c r="A727" s="45" t="s">
        <v>1663</v>
      </c>
      <c r="B727" s="42" t="str">
        <f aca="false">IF(A727="100","HK",IF(A727="200","CN",IF(A727="300","TW","홀세일")))</f>
        <v>홀세일</v>
      </c>
      <c r="C727" s="45" t="s">
        <v>1318</v>
      </c>
      <c r="D727" s="46" t="n">
        <v>40</v>
      </c>
      <c r="E727" s="46" t="n">
        <v>59000</v>
      </c>
      <c r="F727" s="46" t="n">
        <v>15000</v>
      </c>
      <c r="G727" s="42" t="n">
        <v>3.13</v>
      </c>
      <c r="H727" s="42" t="n">
        <v>14.8</v>
      </c>
      <c r="I727" s="42" t="n">
        <v>0</v>
      </c>
      <c r="J727" s="46" t="n">
        <f aca="false">IF(N(E727)&gt;0,E727,IF(N(F727)&gt;0,F727*요약!$F$27,0))</f>
        <v>59000</v>
      </c>
      <c r="K727" s="46" t="n">
        <f aca="false">IF(N(F727)&gt;0,F727,IF(N(E727)&gt;0,E727/요약!$F$27,0))</f>
        <v>15000</v>
      </c>
      <c r="L727" s="46" t="n">
        <f aca="false">IF(B727="CN",IF(N(I727)&gt;0,I727*요약!$G$27,K727*(1+요약!$E$27)),IF(N(H727)&gt;0,H727*요약!$G$27,J727*요약!$D$27))</f>
        <v>19536</v>
      </c>
      <c r="M727" s="46" t="n">
        <f aca="false">D727*J727</f>
        <v>2360000</v>
      </c>
      <c r="N727" s="46" t="n">
        <f aca="false">D727*K727</f>
        <v>600000</v>
      </c>
      <c r="O727" s="46" t="n">
        <f aca="false">D727*L727</f>
        <v>781440</v>
      </c>
      <c r="P727" s="42" t="str">
        <f aca="false">TRIM(IF(N(E727)&lt;=0,"택가보정 ","")&amp;IF(N(F727)&lt;=0,"원가보정 ","")&amp;IF(AND(B727&lt;&gt;"CN",N(H727)&lt;=0),"공급가보정 ","")&amp;IF(AND(B727="CN",N(I727)&lt;=0),"중국공급가=원가+마진 ",""))</f>
        <v/>
      </c>
      <c r="Q727" s="47" t="n">
        <f aca="false">IF(SUMIFS($W:$W,$A:$A,A727,$C:$C,C727)=0,0,SUMIFS(RAW_판매펀칭!$K:$K,RAW_판매펀칭!$P:$P,A727,RAW_판매펀칭!$I:$I,C727)*W727/SUMIFS($W:$W,$A:$A,A727,$C:$C,C727))</f>
        <v>40</v>
      </c>
      <c r="R727" s="47" t="n">
        <f aca="false">IF(OR(A727="500",A727="800",A727="810"),0,MAX(W727-Q727,0))</f>
        <v>0</v>
      </c>
      <c r="S727" s="47" t="n">
        <f aca="false">R727*L727</f>
        <v>0</v>
      </c>
      <c r="T727" s="47" t="n">
        <f aca="false">R727*J727</f>
        <v>0</v>
      </c>
      <c r="U727" s="47" t="n">
        <f aca="false">R727*K727</f>
        <v>0</v>
      </c>
      <c r="V727" s="0" t="str">
        <f aca="false">IF(COUNTIFS($A$2:A727,A727,$C$2:C727,C727,$D$2:D727,D727)&gt;1,"중복","")</f>
        <v/>
      </c>
      <c r="W727" s="0" t="n">
        <f aca="false">IF(V727="중복",0,N(D727))</f>
        <v>40</v>
      </c>
      <c r="X727" s="0" t="n">
        <f aca="false">IF(COUNTIFS($A$2:A727,A727,$C$2:C727,C727)=1,ABS(SUMIFS(RAW_발주!$D:$D,RAW_발주!$C:$C,A727,RAW_발주!$A:$A,C727)-SUMIFS($W:$W,$A:$A,A727,$C:$C,C727)),0)</f>
        <v>0</v>
      </c>
    </row>
    <row r="728" customFormat="false" ht="15" hidden="false" customHeight="true" outlineLevel="0" collapsed="false">
      <c r="A728" s="45" t="s">
        <v>1667</v>
      </c>
      <c r="B728" s="42" t="str">
        <f aca="false">IF(A728="100","HK",IF(A728="200","CN",IF(A728="300","TW","홀세일")))</f>
        <v>홀세일</v>
      </c>
      <c r="C728" s="45" t="s">
        <v>1318</v>
      </c>
      <c r="D728" s="46" t="n">
        <v>122</v>
      </c>
      <c r="E728" s="46" t="n">
        <v>59000</v>
      </c>
      <c r="F728" s="46" t="n">
        <v>15000</v>
      </c>
      <c r="G728" s="42" t="n">
        <v>3.13</v>
      </c>
      <c r="H728" s="42" t="n">
        <v>14.8</v>
      </c>
      <c r="I728" s="42" t="n">
        <v>0</v>
      </c>
      <c r="J728" s="46" t="n">
        <f aca="false">IF(N(E728)&gt;0,E728,IF(N(F728)&gt;0,F728*요약!$F$27,0))</f>
        <v>59000</v>
      </c>
      <c r="K728" s="46" t="n">
        <f aca="false">IF(N(F728)&gt;0,F728,IF(N(E728)&gt;0,E728/요약!$F$27,0))</f>
        <v>15000</v>
      </c>
      <c r="L728" s="46" t="n">
        <f aca="false">IF(B728="CN",IF(N(I728)&gt;0,I728*요약!$G$27,K728*(1+요약!$E$27)),IF(N(H728)&gt;0,H728*요약!$G$27,J728*요약!$D$27))</f>
        <v>19536</v>
      </c>
      <c r="M728" s="46" t="n">
        <f aca="false">D728*J728</f>
        <v>7198000</v>
      </c>
      <c r="N728" s="46" t="n">
        <f aca="false">D728*K728</f>
        <v>1830000</v>
      </c>
      <c r="O728" s="46" t="n">
        <f aca="false">D728*L728</f>
        <v>2383392</v>
      </c>
      <c r="P728" s="42" t="str">
        <f aca="false">TRIM(IF(N(E728)&lt;=0,"택가보정 ","")&amp;IF(N(F728)&lt;=0,"원가보정 ","")&amp;IF(AND(B728&lt;&gt;"CN",N(H728)&lt;=0),"공급가보정 ","")&amp;IF(AND(B728="CN",N(I728)&lt;=0),"중국공급가=원가+마진 ",""))</f>
        <v/>
      </c>
      <c r="Q728" s="47" t="n">
        <f aca="false">IF(SUMIFS($W:$W,$A:$A,A728,$C:$C,C728)=0,0,SUMIFS(RAW_판매펀칭!$K:$K,RAW_판매펀칭!$P:$P,A728,RAW_판매펀칭!$I:$I,C728)*W728/SUMIFS($W:$W,$A:$A,A728,$C:$C,C728))</f>
        <v>0</v>
      </c>
      <c r="R728" s="47" t="n">
        <f aca="false">IF(OR(A728="500",A728="800",A728="810"),0,MAX(W728-Q728,0))</f>
        <v>122</v>
      </c>
      <c r="S728" s="47" t="n">
        <f aca="false">R728*L728</f>
        <v>2383392</v>
      </c>
      <c r="T728" s="47" t="n">
        <f aca="false">R728*J728</f>
        <v>7198000</v>
      </c>
      <c r="U728" s="47" t="n">
        <f aca="false">R728*K728</f>
        <v>1830000</v>
      </c>
      <c r="V728" s="0" t="str">
        <f aca="false">IF(COUNTIFS($A$2:A728,A728,$C$2:C728,C728,$D$2:D728,D728)&gt;1,"중복","")</f>
        <v/>
      </c>
      <c r="W728" s="0" t="n">
        <f aca="false">IF(V728="중복",0,N(D728))</f>
        <v>122</v>
      </c>
      <c r="X728" s="0" t="n">
        <f aca="false">IF(COUNTIFS($A$2:A728,A728,$C$2:C728,C728)=1,ABS(SUMIFS(RAW_발주!$D:$D,RAW_발주!$C:$C,A728,RAW_발주!$A:$A,C728)-SUMIFS($W:$W,$A:$A,A728,$C:$C,C728)),0)</f>
        <v>0</v>
      </c>
    </row>
    <row r="729" customFormat="false" ht="15" hidden="false" customHeight="true" outlineLevel="0" collapsed="false">
      <c r="A729" s="45" t="s">
        <v>1661</v>
      </c>
      <c r="B729" s="42" t="str">
        <f aca="false">IF(A729="100","HK",IF(A729="200","CN",IF(A729="300","TW","홀세일")))</f>
        <v>TW</v>
      </c>
      <c r="C729" s="45" t="s">
        <v>394</v>
      </c>
      <c r="D729" s="46" t="n">
        <v>120</v>
      </c>
      <c r="E729" s="46" t="n">
        <v>59000</v>
      </c>
      <c r="F729" s="46" t="n">
        <v>15082</v>
      </c>
      <c r="G729" s="42" t="n">
        <v>3.58</v>
      </c>
      <c r="H729" s="42" t="n">
        <v>14.8</v>
      </c>
      <c r="I729" s="42" t="n">
        <v>0</v>
      </c>
      <c r="J729" s="46" t="n">
        <f aca="false">IF(N(E729)&gt;0,E729,IF(N(F729)&gt;0,F729*요약!$F$27,0))</f>
        <v>59000</v>
      </c>
      <c r="K729" s="46" t="n">
        <f aca="false">IF(N(F729)&gt;0,F729,IF(N(E729)&gt;0,E729/요약!$F$27,0))</f>
        <v>15082</v>
      </c>
      <c r="L729" s="46" t="n">
        <f aca="false">IF(B729="CN",IF(N(I729)&gt;0,I729*요약!$G$27,K729*(1+요약!$E$27)),IF(N(H729)&gt;0,H729*요약!$G$27,J729*요약!$D$27))</f>
        <v>19536</v>
      </c>
      <c r="M729" s="46" t="n">
        <f aca="false">D729*J729</f>
        <v>7080000</v>
      </c>
      <c r="N729" s="46" t="n">
        <f aca="false">D729*K729</f>
        <v>1809840</v>
      </c>
      <c r="O729" s="46" t="n">
        <f aca="false">D729*L729</f>
        <v>2344320</v>
      </c>
      <c r="P729" s="42" t="str">
        <f aca="false">TRIM(IF(N(E729)&lt;=0,"택가보정 ","")&amp;IF(N(F729)&lt;=0,"원가보정 ","")&amp;IF(AND(B729&lt;&gt;"CN",N(H729)&lt;=0),"공급가보정 ","")&amp;IF(AND(B729="CN",N(I729)&lt;=0),"중국공급가=원가+마진 ",""))</f>
        <v/>
      </c>
      <c r="Q729" s="47" t="n">
        <f aca="false">IF(SUMIFS($W:$W,$A:$A,A729,$C:$C,C729)=0,0,SUMIFS(RAW_판매펀칭!$K:$K,RAW_판매펀칭!$P:$P,A729,RAW_판매펀칭!$I:$I,C729)*W729/SUMIFS($W:$W,$A:$A,A729,$C:$C,C729))</f>
        <v>120</v>
      </c>
      <c r="R729" s="47" t="n">
        <f aca="false">IF(OR(A729="500",A729="800",A729="810"),0,MAX(W729-Q729,0))</f>
        <v>0</v>
      </c>
      <c r="S729" s="47" t="n">
        <f aca="false">R729*L729</f>
        <v>0</v>
      </c>
      <c r="T729" s="47" t="n">
        <f aca="false">R729*J729</f>
        <v>0</v>
      </c>
      <c r="U729" s="47" t="n">
        <f aca="false">R729*K729</f>
        <v>0</v>
      </c>
      <c r="V729" s="0" t="str">
        <f aca="false">IF(COUNTIFS($A$2:A729,A729,$C$2:C729,C729,$D$2:D729,D729)&gt;1,"중복","")</f>
        <v/>
      </c>
      <c r="W729" s="0" t="n">
        <f aca="false">IF(V729="중복",0,N(D729))</f>
        <v>120</v>
      </c>
      <c r="X729" s="0" t="n">
        <f aca="false">IF(COUNTIFS($A$2:A729,A729,$C$2:C729,C729)=1,ABS(SUMIFS(RAW_발주!$D:$D,RAW_발주!$C:$C,A729,RAW_발주!$A:$A,C729)-SUMIFS($W:$W,$A:$A,A729,$C:$C,C729)),0)</f>
        <v>0</v>
      </c>
    </row>
    <row r="730" customFormat="false" ht="15" hidden="false" customHeight="true" outlineLevel="0" collapsed="false">
      <c r="A730" s="45" t="s">
        <v>1663</v>
      </c>
      <c r="B730" s="42" t="str">
        <f aca="false">IF(A730="100","HK",IF(A730="200","CN",IF(A730="300","TW","홀세일")))</f>
        <v>홀세일</v>
      </c>
      <c r="C730" s="45" t="s">
        <v>394</v>
      </c>
      <c r="D730" s="46" t="n">
        <v>15</v>
      </c>
      <c r="E730" s="46" t="n">
        <v>59000</v>
      </c>
      <c r="F730" s="46" t="n">
        <v>15082</v>
      </c>
      <c r="G730" s="42" t="n">
        <v>3.58</v>
      </c>
      <c r="H730" s="42" t="n">
        <v>14.8</v>
      </c>
      <c r="I730" s="42" t="n">
        <v>0</v>
      </c>
      <c r="J730" s="46" t="n">
        <f aca="false">IF(N(E730)&gt;0,E730,IF(N(F730)&gt;0,F730*요약!$F$27,0))</f>
        <v>59000</v>
      </c>
      <c r="K730" s="46" t="n">
        <f aca="false">IF(N(F730)&gt;0,F730,IF(N(E730)&gt;0,E730/요약!$F$27,0))</f>
        <v>15082</v>
      </c>
      <c r="L730" s="46" t="n">
        <f aca="false">IF(B730="CN",IF(N(I730)&gt;0,I730*요약!$G$27,K730*(1+요약!$E$27)),IF(N(H730)&gt;0,H730*요약!$G$27,J730*요약!$D$27))</f>
        <v>19536</v>
      </c>
      <c r="M730" s="46" t="n">
        <f aca="false">D730*J730</f>
        <v>885000</v>
      </c>
      <c r="N730" s="46" t="n">
        <f aca="false">D730*K730</f>
        <v>226230</v>
      </c>
      <c r="O730" s="46" t="n">
        <f aca="false">D730*L730</f>
        <v>293040</v>
      </c>
      <c r="P730" s="42" t="str">
        <f aca="false">TRIM(IF(N(E730)&lt;=0,"택가보정 ","")&amp;IF(N(F730)&lt;=0,"원가보정 ","")&amp;IF(AND(B730&lt;&gt;"CN",N(H730)&lt;=0),"공급가보정 ","")&amp;IF(AND(B730="CN",N(I730)&lt;=0),"중국공급가=원가+마진 ",""))</f>
        <v/>
      </c>
      <c r="Q730" s="47" t="n">
        <f aca="false">IF(SUMIFS($W:$W,$A:$A,A730,$C:$C,C730)=0,0,SUMIFS(RAW_판매펀칭!$K:$K,RAW_판매펀칭!$P:$P,A730,RAW_판매펀칭!$I:$I,C730)*W730/SUMIFS($W:$W,$A:$A,A730,$C:$C,C730))</f>
        <v>15</v>
      </c>
      <c r="R730" s="47" t="n">
        <f aca="false">IF(OR(A730="500",A730="800",A730="810"),0,MAX(W730-Q730,0))</f>
        <v>0</v>
      </c>
      <c r="S730" s="47" t="n">
        <f aca="false">R730*L730</f>
        <v>0</v>
      </c>
      <c r="T730" s="47" t="n">
        <f aca="false">R730*J730</f>
        <v>0</v>
      </c>
      <c r="U730" s="47" t="n">
        <f aca="false">R730*K730</f>
        <v>0</v>
      </c>
      <c r="V730" s="0" t="str">
        <f aca="false">IF(COUNTIFS($A$2:A730,A730,$C$2:C730,C730,$D$2:D730,D730)&gt;1,"중복","")</f>
        <v/>
      </c>
      <c r="W730" s="0" t="n">
        <f aca="false">IF(V730="중복",0,N(D730))</f>
        <v>15</v>
      </c>
      <c r="X730" s="0" t="n">
        <f aca="false">IF(COUNTIFS($A$2:A730,A730,$C$2:C730,C730)=1,ABS(SUMIFS(RAW_발주!$D:$D,RAW_발주!$C:$C,A730,RAW_발주!$A:$A,C730)-SUMIFS($W:$W,$A:$A,A730,$C:$C,C730)),0)</f>
        <v>0</v>
      </c>
    </row>
    <row r="731" customFormat="false" ht="15" hidden="false" customHeight="true" outlineLevel="0" collapsed="false">
      <c r="A731" s="45" t="s">
        <v>1667</v>
      </c>
      <c r="B731" s="42" t="str">
        <f aca="false">IF(A731="100","HK",IF(A731="200","CN",IF(A731="300","TW","홀세일")))</f>
        <v>홀세일</v>
      </c>
      <c r="C731" s="45" t="s">
        <v>394</v>
      </c>
      <c r="D731" s="46" t="n">
        <v>31</v>
      </c>
      <c r="E731" s="46" t="n">
        <v>59000</v>
      </c>
      <c r="F731" s="46" t="n">
        <v>15082</v>
      </c>
      <c r="G731" s="42" t="n">
        <v>3.58</v>
      </c>
      <c r="H731" s="42" t="n">
        <v>14.8</v>
      </c>
      <c r="I731" s="42" t="n">
        <v>0</v>
      </c>
      <c r="J731" s="46" t="n">
        <f aca="false">IF(N(E731)&gt;0,E731,IF(N(F731)&gt;0,F731*요약!$F$27,0))</f>
        <v>59000</v>
      </c>
      <c r="K731" s="46" t="n">
        <f aca="false">IF(N(F731)&gt;0,F731,IF(N(E731)&gt;0,E731/요약!$F$27,0))</f>
        <v>15082</v>
      </c>
      <c r="L731" s="46" t="n">
        <f aca="false">IF(B731="CN",IF(N(I731)&gt;0,I731*요약!$G$27,K731*(1+요약!$E$27)),IF(N(H731)&gt;0,H731*요약!$G$27,J731*요약!$D$27))</f>
        <v>19536</v>
      </c>
      <c r="M731" s="46" t="n">
        <f aca="false">D731*J731</f>
        <v>1829000</v>
      </c>
      <c r="N731" s="46" t="n">
        <f aca="false">D731*K731</f>
        <v>467542</v>
      </c>
      <c r="O731" s="46" t="n">
        <f aca="false">D731*L731</f>
        <v>605616</v>
      </c>
      <c r="P731" s="42" t="str">
        <f aca="false">TRIM(IF(N(E731)&lt;=0,"택가보정 ","")&amp;IF(N(F731)&lt;=0,"원가보정 ","")&amp;IF(AND(B731&lt;&gt;"CN",N(H731)&lt;=0),"공급가보정 ","")&amp;IF(AND(B731="CN",N(I731)&lt;=0),"중국공급가=원가+마진 ",""))</f>
        <v/>
      </c>
      <c r="Q731" s="47" t="n">
        <f aca="false">IF(SUMIFS($W:$W,$A:$A,A731,$C:$C,C731)=0,0,SUMIFS(RAW_판매펀칭!$K:$K,RAW_판매펀칭!$P:$P,A731,RAW_판매펀칭!$I:$I,C731)*W731/SUMIFS($W:$W,$A:$A,A731,$C:$C,C731))</f>
        <v>0</v>
      </c>
      <c r="R731" s="47" t="n">
        <f aca="false">IF(OR(A731="500",A731="800",A731="810"),0,MAX(W731-Q731,0))</f>
        <v>31</v>
      </c>
      <c r="S731" s="47" t="n">
        <f aca="false">R731*L731</f>
        <v>605616</v>
      </c>
      <c r="T731" s="47" t="n">
        <f aca="false">R731*J731</f>
        <v>1829000</v>
      </c>
      <c r="U731" s="47" t="n">
        <f aca="false">R731*K731</f>
        <v>467542</v>
      </c>
      <c r="V731" s="0" t="str">
        <f aca="false">IF(COUNTIFS($A$2:A731,A731,$C$2:C731,C731,$D$2:D731,D731)&gt;1,"중복","")</f>
        <v/>
      </c>
      <c r="W731" s="0" t="n">
        <f aca="false">IF(V731="중복",0,N(D731))</f>
        <v>31</v>
      </c>
      <c r="X731" s="0" t="n">
        <f aca="false">IF(COUNTIFS($A$2:A731,A731,$C$2:C731,C731)=1,ABS(SUMIFS(RAW_발주!$D:$D,RAW_발주!$C:$C,A731,RAW_발주!$A:$A,C731)-SUMIFS($W:$W,$A:$A,A731,$C:$C,C731)),0)</f>
        <v>0</v>
      </c>
    </row>
    <row r="732" customFormat="false" ht="15" hidden="false" customHeight="true" outlineLevel="0" collapsed="false">
      <c r="A732" s="45" t="s">
        <v>1664</v>
      </c>
      <c r="B732" s="42" t="str">
        <f aca="false">IF(A732="100","HK",IF(A732="200","CN",IF(A732="300","TW","홀세일")))</f>
        <v>홀세일</v>
      </c>
      <c r="C732" s="45" t="s">
        <v>394</v>
      </c>
      <c r="D732" s="46" t="n">
        <v>10</v>
      </c>
      <c r="E732" s="46" t="n">
        <v>59000</v>
      </c>
      <c r="F732" s="46" t="n">
        <v>15082</v>
      </c>
      <c r="G732" s="42" t="n">
        <v>3.58</v>
      </c>
      <c r="H732" s="42" t="n">
        <v>14.8</v>
      </c>
      <c r="I732" s="42" t="n">
        <v>0</v>
      </c>
      <c r="J732" s="46" t="n">
        <f aca="false">IF(N(E732)&gt;0,E732,IF(N(F732)&gt;0,F732*요약!$F$27,0))</f>
        <v>59000</v>
      </c>
      <c r="K732" s="46" t="n">
        <f aca="false">IF(N(F732)&gt;0,F732,IF(N(E732)&gt;0,E732/요약!$F$27,0))</f>
        <v>15082</v>
      </c>
      <c r="L732" s="46" t="n">
        <f aca="false">IF(B732="CN",IF(N(I732)&gt;0,I732*요약!$G$27,K732*(1+요약!$E$27)),IF(N(H732)&gt;0,H732*요약!$G$27,J732*요약!$D$27))</f>
        <v>19536</v>
      </c>
      <c r="M732" s="46" t="n">
        <f aca="false">D732*J732</f>
        <v>590000</v>
      </c>
      <c r="N732" s="46" t="n">
        <f aca="false">D732*K732</f>
        <v>150820</v>
      </c>
      <c r="O732" s="46" t="n">
        <f aca="false">D732*L732</f>
        <v>195360</v>
      </c>
      <c r="P732" s="42" t="str">
        <f aca="false">TRIM(IF(N(E732)&lt;=0,"택가보정 ","")&amp;IF(N(F732)&lt;=0,"원가보정 ","")&amp;IF(AND(B732&lt;&gt;"CN",N(H732)&lt;=0),"공급가보정 ","")&amp;IF(AND(B732="CN",N(I732)&lt;=0),"중국공급가=원가+마진 ",""))</f>
        <v/>
      </c>
      <c r="Q732" s="47" t="n">
        <f aca="false">IF(SUMIFS($W:$W,$A:$A,A732,$C:$C,C732)=0,0,SUMIFS(RAW_판매펀칭!$K:$K,RAW_판매펀칭!$P:$P,A732,RAW_판매펀칭!$I:$I,C732)*W732/SUMIFS($W:$W,$A:$A,A732,$C:$C,C732))</f>
        <v>0</v>
      </c>
      <c r="R732" s="47" t="n">
        <f aca="false">IF(OR(A732="500",A732="800",A732="810"),0,MAX(W732-Q732,0))</f>
        <v>0</v>
      </c>
      <c r="S732" s="47" t="n">
        <f aca="false">R732*L732</f>
        <v>0</v>
      </c>
      <c r="T732" s="47" t="n">
        <f aca="false">R732*J732</f>
        <v>0</v>
      </c>
      <c r="U732" s="47" t="n">
        <f aca="false">R732*K732</f>
        <v>0</v>
      </c>
      <c r="V732" s="0" t="str">
        <f aca="false">IF(COUNTIFS($A$2:A732,A732,$C$2:C732,C732,$D$2:D732,D732)&gt;1,"중복","")</f>
        <v/>
      </c>
      <c r="W732" s="0" t="n">
        <f aca="false">IF(V732="중복",0,N(D732))</f>
        <v>10</v>
      </c>
      <c r="X732" s="0" t="n">
        <f aca="false">IF(COUNTIFS($A$2:A732,A732,$C$2:C732,C732)=1,ABS(SUMIFS(RAW_발주!$D:$D,RAW_발주!$C:$C,A732,RAW_발주!$A:$A,C732)-SUMIFS($W:$W,$A:$A,A732,$C:$C,C732)),0)</f>
        <v>0</v>
      </c>
    </row>
    <row r="733" customFormat="false" ht="15" hidden="false" customHeight="true" outlineLevel="0" collapsed="false">
      <c r="A733" s="45" t="s">
        <v>1661</v>
      </c>
      <c r="B733" s="42" t="str">
        <f aca="false">IF(A733="100","HK",IF(A733="200","CN",IF(A733="300","TW","홀세일")))</f>
        <v>TW</v>
      </c>
      <c r="C733" s="45" t="s">
        <v>396</v>
      </c>
      <c r="D733" s="46" t="n">
        <v>120</v>
      </c>
      <c r="E733" s="46" t="n">
        <v>159000</v>
      </c>
      <c r="F733" s="46" t="n">
        <v>33993</v>
      </c>
      <c r="G733" s="42" t="n">
        <v>3.52</v>
      </c>
      <c r="H733" s="42" t="n">
        <v>39.8</v>
      </c>
      <c r="I733" s="42" t="n">
        <v>0</v>
      </c>
      <c r="J733" s="46" t="n">
        <f aca="false">IF(N(E733)&gt;0,E733,IF(N(F733)&gt;0,F733*요약!$F$27,0))</f>
        <v>159000</v>
      </c>
      <c r="K733" s="46" t="n">
        <f aca="false">IF(N(F733)&gt;0,F733,IF(N(E733)&gt;0,E733/요약!$F$27,0))</f>
        <v>33993</v>
      </c>
      <c r="L733" s="46" t="n">
        <f aca="false">IF(B733="CN",IF(N(I733)&gt;0,I733*요약!$G$27,K733*(1+요약!$E$27)),IF(N(H733)&gt;0,H733*요약!$G$27,J733*요약!$D$27))</f>
        <v>52536</v>
      </c>
      <c r="M733" s="46" t="n">
        <f aca="false">D733*J733</f>
        <v>19080000</v>
      </c>
      <c r="N733" s="46" t="n">
        <f aca="false">D733*K733</f>
        <v>4079160</v>
      </c>
      <c r="O733" s="46" t="n">
        <f aca="false">D733*L733</f>
        <v>6304320</v>
      </c>
      <c r="P733" s="42" t="str">
        <f aca="false">TRIM(IF(N(E733)&lt;=0,"택가보정 ","")&amp;IF(N(F733)&lt;=0,"원가보정 ","")&amp;IF(AND(B733&lt;&gt;"CN",N(H733)&lt;=0),"공급가보정 ","")&amp;IF(AND(B733="CN",N(I733)&lt;=0),"중국공급가=원가+마진 ",""))</f>
        <v/>
      </c>
      <c r="Q733" s="47" t="n">
        <f aca="false">IF(SUMIFS($W:$W,$A:$A,A733,$C:$C,C733)=0,0,SUMIFS(RAW_판매펀칭!$K:$K,RAW_판매펀칭!$P:$P,A733,RAW_판매펀칭!$I:$I,C733)*W733/SUMIFS($W:$W,$A:$A,A733,$C:$C,C733))</f>
        <v>120</v>
      </c>
      <c r="R733" s="47" t="n">
        <f aca="false">IF(OR(A733="500",A733="800",A733="810"),0,MAX(W733-Q733,0))</f>
        <v>0</v>
      </c>
      <c r="S733" s="47" t="n">
        <f aca="false">R733*L733</f>
        <v>0</v>
      </c>
      <c r="T733" s="47" t="n">
        <f aca="false">R733*J733</f>
        <v>0</v>
      </c>
      <c r="U733" s="47" t="n">
        <f aca="false">R733*K733</f>
        <v>0</v>
      </c>
      <c r="V733" s="0" t="str">
        <f aca="false">IF(COUNTIFS($A$2:A733,A733,$C$2:C733,C733,$D$2:D733,D733)&gt;1,"중복","")</f>
        <v/>
      </c>
      <c r="W733" s="0" t="n">
        <f aca="false">IF(V733="중복",0,N(D733))</f>
        <v>120</v>
      </c>
      <c r="X733" s="0" t="n">
        <f aca="false">IF(COUNTIFS($A$2:A733,A733,$C$2:C733,C733)=1,ABS(SUMIFS(RAW_발주!$D:$D,RAW_발주!$C:$C,A733,RAW_발주!$A:$A,C733)-SUMIFS($W:$W,$A:$A,A733,$C:$C,C733)),0)</f>
        <v>0</v>
      </c>
    </row>
    <row r="734" customFormat="false" ht="15" hidden="false" customHeight="true" outlineLevel="0" collapsed="false">
      <c r="A734" s="45" t="s">
        <v>1663</v>
      </c>
      <c r="B734" s="42" t="str">
        <f aca="false">IF(A734="100","HK",IF(A734="200","CN",IF(A734="300","TW","홀세일")))</f>
        <v>홀세일</v>
      </c>
      <c r="C734" s="45" t="s">
        <v>396</v>
      </c>
      <c r="D734" s="46" t="n">
        <v>20</v>
      </c>
      <c r="E734" s="46" t="n">
        <v>159000</v>
      </c>
      <c r="F734" s="46" t="n">
        <v>33993</v>
      </c>
      <c r="G734" s="42" t="n">
        <v>3.52</v>
      </c>
      <c r="H734" s="42" t="n">
        <v>39.8</v>
      </c>
      <c r="I734" s="42" t="n">
        <v>0</v>
      </c>
      <c r="J734" s="46" t="n">
        <f aca="false">IF(N(E734)&gt;0,E734,IF(N(F734)&gt;0,F734*요약!$F$27,0))</f>
        <v>159000</v>
      </c>
      <c r="K734" s="46" t="n">
        <f aca="false">IF(N(F734)&gt;0,F734,IF(N(E734)&gt;0,E734/요약!$F$27,0))</f>
        <v>33993</v>
      </c>
      <c r="L734" s="46" t="n">
        <f aca="false">IF(B734="CN",IF(N(I734)&gt;0,I734*요약!$G$27,K734*(1+요약!$E$27)),IF(N(H734)&gt;0,H734*요약!$G$27,J734*요약!$D$27))</f>
        <v>52536</v>
      </c>
      <c r="M734" s="46" t="n">
        <f aca="false">D734*J734</f>
        <v>3180000</v>
      </c>
      <c r="N734" s="46" t="n">
        <f aca="false">D734*K734</f>
        <v>679860</v>
      </c>
      <c r="O734" s="46" t="n">
        <f aca="false">D734*L734</f>
        <v>1050720</v>
      </c>
      <c r="P734" s="42" t="str">
        <f aca="false">TRIM(IF(N(E734)&lt;=0,"택가보정 ","")&amp;IF(N(F734)&lt;=0,"원가보정 ","")&amp;IF(AND(B734&lt;&gt;"CN",N(H734)&lt;=0),"공급가보정 ","")&amp;IF(AND(B734="CN",N(I734)&lt;=0),"중국공급가=원가+마진 ",""))</f>
        <v/>
      </c>
      <c r="Q734" s="47" t="n">
        <f aca="false">IF(SUMIFS($W:$W,$A:$A,A734,$C:$C,C734)=0,0,SUMIFS(RAW_판매펀칭!$K:$K,RAW_판매펀칭!$P:$P,A734,RAW_판매펀칭!$I:$I,C734)*W734/SUMIFS($W:$W,$A:$A,A734,$C:$C,C734))</f>
        <v>20</v>
      </c>
      <c r="R734" s="47" t="n">
        <f aca="false">IF(OR(A734="500",A734="800",A734="810"),0,MAX(W734-Q734,0))</f>
        <v>0</v>
      </c>
      <c r="S734" s="47" t="n">
        <f aca="false">R734*L734</f>
        <v>0</v>
      </c>
      <c r="T734" s="47" t="n">
        <f aca="false">R734*J734</f>
        <v>0</v>
      </c>
      <c r="U734" s="47" t="n">
        <f aca="false">R734*K734</f>
        <v>0</v>
      </c>
      <c r="V734" s="0" t="str">
        <f aca="false">IF(COUNTIFS($A$2:A734,A734,$C$2:C734,C734,$D$2:D734,D734)&gt;1,"중복","")</f>
        <v/>
      </c>
      <c r="W734" s="0" t="n">
        <f aca="false">IF(V734="중복",0,N(D734))</f>
        <v>20</v>
      </c>
      <c r="X734" s="0" t="n">
        <f aca="false">IF(COUNTIFS($A$2:A734,A734,$C$2:C734,C734)=1,ABS(SUMIFS(RAW_발주!$D:$D,RAW_발주!$C:$C,A734,RAW_발주!$A:$A,C734)-SUMIFS($W:$W,$A:$A,A734,$C:$C,C734)),0)</f>
        <v>0</v>
      </c>
    </row>
    <row r="735" customFormat="false" ht="15" hidden="false" customHeight="true" outlineLevel="0" collapsed="false">
      <c r="A735" s="45" t="s">
        <v>1667</v>
      </c>
      <c r="B735" s="42" t="str">
        <f aca="false">IF(A735="100","HK",IF(A735="200","CN",IF(A735="300","TW","홀세일")))</f>
        <v>홀세일</v>
      </c>
      <c r="C735" s="45" t="s">
        <v>396</v>
      </c>
      <c r="D735" s="46" t="n">
        <v>57</v>
      </c>
      <c r="E735" s="46" t="n">
        <v>159000</v>
      </c>
      <c r="F735" s="46" t="n">
        <v>33993</v>
      </c>
      <c r="G735" s="42" t="n">
        <v>3.52</v>
      </c>
      <c r="H735" s="42" t="n">
        <v>39.8</v>
      </c>
      <c r="I735" s="42" t="n">
        <v>0</v>
      </c>
      <c r="J735" s="46" t="n">
        <f aca="false">IF(N(E735)&gt;0,E735,IF(N(F735)&gt;0,F735*요약!$F$27,0))</f>
        <v>159000</v>
      </c>
      <c r="K735" s="46" t="n">
        <f aca="false">IF(N(F735)&gt;0,F735,IF(N(E735)&gt;0,E735/요약!$F$27,0))</f>
        <v>33993</v>
      </c>
      <c r="L735" s="46" t="n">
        <f aca="false">IF(B735="CN",IF(N(I735)&gt;0,I735*요약!$G$27,K735*(1+요약!$E$27)),IF(N(H735)&gt;0,H735*요약!$G$27,J735*요약!$D$27))</f>
        <v>52536</v>
      </c>
      <c r="M735" s="46" t="n">
        <f aca="false">D735*J735</f>
        <v>9063000</v>
      </c>
      <c r="N735" s="46" t="n">
        <f aca="false">D735*K735</f>
        <v>1937601</v>
      </c>
      <c r="O735" s="46" t="n">
        <f aca="false">D735*L735</f>
        <v>2994552</v>
      </c>
      <c r="P735" s="42" t="str">
        <f aca="false">TRIM(IF(N(E735)&lt;=0,"택가보정 ","")&amp;IF(N(F735)&lt;=0,"원가보정 ","")&amp;IF(AND(B735&lt;&gt;"CN",N(H735)&lt;=0),"공급가보정 ","")&amp;IF(AND(B735="CN",N(I735)&lt;=0),"중국공급가=원가+마진 ",""))</f>
        <v/>
      </c>
      <c r="Q735" s="47" t="n">
        <f aca="false">IF(SUMIFS($W:$W,$A:$A,A735,$C:$C,C735)=0,0,SUMIFS(RAW_판매펀칭!$K:$K,RAW_판매펀칭!$P:$P,A735,RAW_판매펀칭!$I:$I,C735)*W735/SUMIFS($W:$W,$A:$A,A735,$C:$C,C735))</f>
        <v>0</v>
      </c>
      <c r="R735" s="47" t="n">
        <f aca="false">IF(OR(A735="500",A735="800",A735="810"),0,MAX(W735-Q735,0))</f>
        <v>57</v>
      </c>
      <c r="S735" s="47" t="n">
        <f aca="false">R735*L735</f>
        <v>2994552</v>
      </c>
      <c r="T735" s="47" t="n">
        <f aca="false">R735*J735</f>
        <v>9063000</v>
      </c>
      <c r="U735" s="47" t="n">
        <f aca="false">R735*K735</f>
        <v>1937601</v>
      </c>
      <c r="V735" s="0" t="str">
        <f aca="false">IF(COUNTIFS($A$2:A735,A735,$C$2:C735,C735,$D$2:D735,D735)&gt;1,"중복","")</f>
        <v/>
      </c>
      <c r="W735" s="0" t="n">
        <f aca="false">IF(V735="중복",0,N(D735))</f>
        <v>57</v>
      </c>
      <c r="X735" s="0" t="n">
        <f aca="false">IF(COUNTIFS($A$2:A735,A735,$C$2:C735,C735)=1,ABS(SUMIFS(RAW_발주!$D:$D,RAW_발주!$C:$C,A735,RAW_발주!$A:$A,C735)-SUMIFS($W:$W,$A:$A,A735,$C:$C,C735)),0)</f>
        <v>0</v>
      </c>
    </row>
    <row r="736" customFormat="false" ht="15" hidden="false" customHeight="true" outlineLevel="0" collapsed="false">
      <c r="A736" s="45" t="s">
        <v>1664</v>
      </c>
      <c r="B736" s="42" t="str">
        <f aca="false">IF(A736="100","HK",IF(A736="200","CN",IF(A736="300","TW","홀세일")))</f>
        <v>홀세일</v>
      </c>
      <c r="C736" s="45" t="s">
        <v>396</v>
      </c>
      <c r="D736" s="46" t="n">
        <v>30</v>
      </c>
      <c r="E736" s="46" t="n">
        <v>159000</v>
      </c>
      <c r="F736" s="46" t="n">
        <v>33993</v>
      </c>
      <c r="G736" s="42" t="n">
        <v>3.52</v>
      </c>
      <c r="H736" s="42" t="n">
        <v>39.8</v>
      </c>
      <c r="I736" s="42" t="n">
        <v>0</v>
      </c>
      <c r="J736" s="46" t="n">
        <f aca="false">IF(N(E736)&gt;0,E736,IF(N(F736)&gt;0,F736*요약!$F$27,0))</f>
        <v>159000</v>
      </c>
      <c r="K736" s="46" t="n">
        <f aca="false">IF(N(F736)&gt;0,F736,IF(N(E736)&gt;0,E736/요약!$F$27,0))</f>
        <v>33993</v>
      </c>
      <c r="L736" s="46" t="n">
        <f aca="false">IF(B736="CN",IF(N(I736)&gt;0,I736*요약!$G$27,K736*(1+요약!$E$27)),IF(N(H736)&gt;0,H736*요약!$G$27,J736*요약!$D$27))</f>
        <v>52536</v>
      </c>
      <c r="M736" s="46" t="n">
        <f aca="false">D736*J736</f>
        <v>4770000</v>
      </c>
      <c r="N736" s="46" t="n">
        <f aca="false">D736*K736</f>
        <v>1019790</v>
      </c>
      <c r="O736" s="46" t="n">
        <f aca="false">D736*L736</f>
        <v>1576080</v>
      </c>
      <c r="P736" s="42" t="str">
        <f aca="false">TRIM(IF(N(E736)&lt;=0,"택가보정 ","")&amp;IF(N(F736)&lt;=0,"원가보정 ","")&amp;IF(AND(B736&lt;&gt;"CN",N(H736)&lt;=0),"공급가보정 ","")&amp;IF(AND(B736="CN",N(I736)&lt;=0),"중국공급가=원가+마진 ",""))</f>
        <v/>
      </c>
      <c r="Q736" s="47" t="n">
        <f aca="false">IF(SUMIFS($W:$W,$A:$A,A736,$C:$C,C736)=0,0,SUMIFS(RAW_판매펀칭!$K:$K,RAW_판매펀칭!$P:$P,A736,RAW_판매펀칭!$I:$I,C736)*W736/SUMIFS($W:$W,$A:$A,A736,$C:$C,C736))</f>
        <v>0</v>
      </c>
      <c r="R736" s="47" t="n">
        <f aca="false">IF(OR(A736="500",A736="800",A736="810"),0,MAX(W736-Q736,0))</f>
        <v>0</v>
      </c>
      <c r="S736" s="47" t="n">
        <f aca="false">R736*L736</f>
        <v>0</v>
      </c>
      <c r="T736" s="47" t="n">
        <f aca="false">R736*J736</f>
        <v>0</v>
      </c>
      <c r="U736" s="47" t="n">
        <f aca="false">R736*K736</f>
        <v>0</v>
      </c>
      <c r="V736" s="0" t="str">
        <f aca="false">IF(COUNTIFS($A$2:A736,A736,$C$2:C736,C736,$D$2:D736,D736)&gt;1,"중복","")</f>
        <v/>
      </c>
      <c r="W736" s="0" t="n">
        <f aca="false">IF(V736="중복",0,N(D736))</f>
        <v>30</v>
      </c>
      <c r="X736" s="0" t="n">
        <f aca="false">IF(COUNTIFS($A$2:A736,A736,$C$2:C736,C736)=1,ABS(SUMIFS(RAW_발주!$D:$D,RAW_발주!$C:$C,A736,RAW_발주!$A:$A,C736)-SUMIFS($W:$W,$A:$A,A736,$C:$C,C736)),0)</f>
        <v>0</v>
      </c>
    </row>
    <row r="737" customFormat="false" ht="15" hidden="false" customHeight="true" outlineLevel="0" collapsed="false">
      <c r="A737" s="45" t="s">
        <v>1665</v>
      </c>
      <c r="B737" s="42" t="str">
        <f aca="false">IF(A737="100","HK",IF(A737="200","CN",IF(A737="300","TW","홀세일")))</f>
        <v>홀세일</v>
      </c>
      <c r="C737" s="45" t="s">
        <v>396</v>
      </c>
      <c r="D737" s="46" t="n">
        <v>48</v>
      </c>
      <c r="E737" s="46" t="n">
        <v>159000</v>
      </c>
      <c r="F737" s="46" t="n">
        <v>33993</v>
      </c>
      <c r="G737" s="42" t="n">
        <v>3.52</v>
      </c>
      <c r="H737" s="42" t="n">
        <v>39.8</v>
      </c>
      <c r="I737" s="42" t="n">
        <v>0</v>
      </c>
      <c r="J737" s="46" t="n">
        <f aca="false">IF(N(E737)&gt;0,E737,IF(N(F737)&gt;0,F737*요약!$F$27,0))</f>
        <v>159000</v>
      </c>
      <c r="K737" s="46" t="n">
        <f aca="false">IF(N(F737)&gt;0,F737,IF(N(E737)&gt;0,E737/요약!$F$27,0))</f>
        <v>33993</v>
      </c>
      <c r="L737" s="46" t="n">
        <f aca="false">IF(B737="CN",IF(N(I737)&gt;0,I737*요약!$G$27,K737*(1+요약!$E$27)),IF(N(H737)&gt;0,H737*요약!$G$27,J737*요약!$D$27))</f>
        <v>52536</v>
      </c>
      <c r="M737" s="46" t="n">
        <f aca="false">D737*J737</f>
        <v>7632000</v>
      </c>
      <c r="N737" s="46" t="n">
        <f aca="false">D737*K737</f>
        <v>1631664</v>
      </c>
      <c r="O737" s="46" t="n">
        <f aca="false">D737*L737</f>
        <v>2521728</v>
      </c>
      <c r="P737" s="42" t="str">
        <f aca="false">TRIM(IF(N(E737)&lt;=0,"택가보정 ","")&amp;IF(N(F737)&lt;=0,"원가보정 ","")&amp;IF(AND(B737&lt;&gt;"CN",N(H737)&lt;=0),"공급가보정 ","")&amp;IF(AND(B737="CN",N(I737)&lt;=0),"중국공급가=원가+마진 ",""))</f>
        <v/>
      </c>
      <c r="Q737" s="47" t="n">
        <f aca="false">IF(SUMIFS($W:$W,$A:$A,A737,$C:$C,C737)=0,0,SUMIFS(RAW_판매펀칭!$K:$K,RAW_판매펀칭!$P:$P,A737,RAW_판매펀칭!$I:$I,C737)*W737/SUMIFS($W:$W,$A:$A,A737,$C:$C,C737))</f>
        <v>0</v>
      </c>
      <c r="R737" s="47" t="n">
        <f aca="false">IF(OR(A737="500",A737="800",A737="810"),0,MAX(W737-Q737,0))</f>
        <v>0</v>
      </c>
      <c r="S737" s="47" t="n">
        <f aca="false">R737*L737</f>
        <v>0</v>
      </c>
      <c r="T737" s="47" t="n">
        <f aca="false">R737*J737</f>
        <v>0</v>
      </c>
      <c r="U737" s="47" t="n">
        <f aca="false">R737*K737</f>
        <v>0</v>
      </c>
      <c r="V737" s="0" t="str">
        <f aca="false">IF(COUNTIFS($A$2:A737,A737,$C$2:C737,C737,$D$2:D737,D737)&gt;1,"중복","")</f>
        <v/>
      </c>
      <c r="W737" s="0" t="n">
        <f aca="false">IF(V737="중복",0,N(D737))</f>
        <v>48</v>
      </c>
      <c r="X737" s="0" t="n">
        <f aca="false">IF(COUNTIFS($A$2:A737,A737,$C$2:C737,C737)=1,ABS(SUMIFS(RAW_발주!$D:$D,RAW_발주!$C:$C,A737,RAW_발주!$A:$A,C737)-SUMIFS($W:$W,$A:$A,A737,$C:$C,C737)),0)</f>
        <v>0</v>
      </c>
    </row>
    <row r="738" customFormat="false" ht="15" hidden="false" customHeight="true" outlineLevel="0" collapsed="false">
      <c r="A738" s="45" t="s">
        <v>1659</v>
      </c>
      <c r="B738" s="42" t="str">
        <f aca="false">IF(A738="100","HK",IF(A738="200","CN",IF(A738="300","TW","홀세일")))</f>
        <v>HK</v>
      </c>
      <c r="C738" s="45" t="s">
        <v>874</v>
      </c>
      <c r="D738" s="46" t="n">
        <v>200</v>
      </c>
      <c r="E738" s="46" t="n">
        <v>79000</v>
      </c>
      <c r="F738" s="46" t="n">
        <v>17030</v>
      </c>
      <c r="G738" s="42" t="n">
        <v>3.73</v>
      </c>
      <c r="H738" s="42" t="n">
        <v>19.8</v>
      </c>
      <c r="I738" s="42" t="n">
        <v>14.2</v>
      </c>
      <c r="J738" s="46" t="n">
        <f aca="false">IF(N(E738)&gt;0,E738,IF(N(F738)&gt;0,F738*요약!$F$27,0))</f>
        <v>79000</v>
      </c>
      <c r="K738" s="46" t="n">
        <f aca="false">IF(N(F738)&gt;0,F738,IF(N(E738)&gt;0,E738/요약!$F$27,0))</f>
        <v>17030</v>
      </c>
      <c r="L738" s="46" t="n">
        <f aca="false">IF(B738="CN",IF(N(I738)&gt;0,I738*요약!$G$27,K738*(1+요약!$E$27)),IF(N(H738)&gt;0,H738*요약!$G$27,J738*요약!$D$27))</f>
        <v>26136</v>
      </c>
      <c r="M738" s="46" t="n">
        <f aca="false">D738*J738</f>
        <v>15800000</v>
      </c>
      <c r="N738" s="46" t="n">
        <f aca="false">D738*K738</f>
        <v>3406000</v>
      </c>
      <c r="O738" s="46" t="n">
        <f aca="false">D738*L738</f>
        <v>5227200</v>
      </c>
      <c r="P738" s="42" t="str">
        <f aca="false">TRIM(IF(N(E738)&lt;=0,"택가보정 ","")&amp;IF(N(F738)&lt;=0,"원가보정 ","")&amp;IF(AND(B738&lt;&gt;"CN",N(H738)&lt;=0),"공급가보정 ","")&amp;IF(AND(B738="CN",N(I738)&lt;=0),"중국공급가=원가+마진 ",""))</f>
        <v/>
      </c>
      <c r="Q738" s="47" t="n">
        <f aca="false">IF(SUMIFS($W:$W,$A:$A,A738,$C:$C,C738)=0,0,SUMIFS(RAW_판매펀칭!$K:$K,RAW_판매펀칭!$P:$P,A738,RAW_판매펀칭!$I:$I,C738)*W738/SUMIFS($W:$W,$A:$A,A738,$C:$C,C738))</f>
        <v>200</v>
      </c>
      <c r="R738" s="47" t="n">
        <f aca="false">IF(OR(A738="500",A738="800",A738="810"),0,MAX(W738-Q738,0))</f>
        <v>0</v>
      </c>
      <c r="S738" s="47" t="n">
        <f aca="false">R738*L738</f>
        <v>0</v>
      </c>
      <c r="T738" s="47" t="n">
        <f aca="false">R738*J738</f>
        <v>0</v>
      </c>
      <c r="U738" s="47" t="n">
        <f aca="false">R738*K738</f>
        <v>0</v>
      </c>
      <c r="V738" s="0" t="str">
        <f aca="false">IF(COUNTIFS($A$2:A738,A738,$C$2:C738,C738,$D$2:D738,D738)&gt;1,"중복","")</f>
        <v/>
      </c>
      <c r="W738" s="0" t="n">
        <f aca="false">IF(V738="중복",0,N(D738))</f>
        <v>200</v>
      </c>
      <c r="X738" s="0" t="n">
        <f aca="false">IF(COUNTIFS($A$2:A738,A738,$C$2:C738,C738)=1,ABS(SUMIFS(RAW_발주!$D:$D,RAW_발주!$C:$C,A738,RAW_발주!$A:$A,C738)-SUMIFS($W:$W,$A:$A,A738,$C:$C,C738)),0)</f>
        <v>0</v>
      </c>
    </row>
    <row r="739" customFormat="false" ht="15" hidden="false" customHeight="true" outlineLevel="0" collapsed="false">
      <c r="A739" s="45" t="s">
        <v>1660</v>
      </c>
      <c r="B739" s="42" t="str">
        <f aca="false">IF(A739="100","HK",IF(A739="200","CN",IF(A739="300","TW","홀세일")))</f>
        <v>CN</v>
      </c>
      <c r="C739" s="45" t="s">
        <v>874</v>
      </c>
      <c r="D739" s="46" t="n">
        <v>122</v>
      </c>
      <c r="E739" s="46" t="n">
        <v>79000</v>
      </c>
      <c r="F739" s="46" t="n">
        <v>17030</v>
      </c>
      <c r="G739" s="42" t="n">
        <v>3.73</v>
      </c>
      <c r="H739" s="42" t="n">
        <v>19.8</v>
      </c>
      <c r="I739" s="42" t="n">
        <v>14.2</v>
      </c>
      <c r="J739" s="46" t="n">
        <f aca="false">IF(N(E739)&gt;0,E739,IF(N(F739)&gt;0,F739*요약!$F$27,0))</f>
        <v>79000</v>
      </c>
      <c r="K739" s="46" t="n">
        <f aca="false">IF(N(F739)&gt;0,F739,IF(N(E739)&gt;0,E739/요약!$F$27,0))</f>
        <v>17030</v>
      </c>
      <c r="L739" s="46" t="n">
        <f aca="false">IF(B739="CN",IF(N(I739)&gt;0,I739*요약!$G$27,K739*(1+요약!$E$27)),IF(N(H739)&gt;0,H739*요약!$G$27,J739*요약!$D$27))</f>
        <v>18744</v>
      </c>
      <c r="M739" s="46" t="n">
        <f aca="false">D739*J739</f>
        <v>9638000</v>
      </c>
      <c r="N739" s="46" t="n">
        <f aca="false">D739*K739</f>
        <v>2077660</v>
      </c>
      <c r="O739" s="46" t="n">
        <f aca="false">D739*L739</f>
        <v>2286768</v>
      </c>
      <c r="P739" s="42" t="str">
        <f aca="false">TRIM(IF(N(E739)&lt;=0,"택가보정 ","")&amp;IF(N(F739)&lt;=0,"원가보정 ","")&amp;IF(AND(B739&lt;&gt;"CN",N(H739)&lt;=0),"공급가보정 ","")&amp;IF(AND(B739="CN",N(I739)&lt;=0),"중국공급가=원가+마진 ",""))</f>
        <v/>
      </c>
      <c r="Q739" s="47" t="n">
        <f aca="false">IF(SUMIFS($W:$W,$A:$A,A739,$C:$C,C739)=0,0,SUMIFS(RAW_판매펀칭!$K:$K,RAW_판매펀칭!$P:$P,A739,RAW_판매펀칭!$I:$I,C739)*W739/SUMIFS($W:$W,$A:$A,A739,$C:$C,C739))</f>
        <v>122</v>
      </c>
      <c r="R739" s="47" t="n">
        <f aca="false">IF(OR(A739="500",A739="800",A739="810"),0,MAX(W739-Q739,0))</f>
        <v>0</v>
      </c>
      <c r="S739" s="47" t="n">
        <f aca="false">R739*L739</f>
        <v>0</v>
      </c>
      <c r="T739" s="47" t="n">
        <f aca="false">R739*J739</f>
        <v>0</v>
      </c>
      <c r="U739" s="47" t="n">
        <f aca="false">R739*K739</f>
        <v>0</v>
      </c>
      <c r="V739" s="0" t="str">
        <f aca="false">IF(COUNTIFS($A$2:A739,A739,$C$2:C739,C739,$D$2:D739,D739)&gt;1,"중복","")</f>
        <v/>
      </c>
      <c r="W739" s="0" t="n">
        <f aca="false">IF(V739="중복",0,N(D739))</f>
        <v>122</v>
      </c>
      <c r="X739" s="0" t="n">
        <f aca="false">IF(COUNTIFS($A$2:A739,A739,$C$2:C739,C739)=1,ABS(SUMIFS(RAW_발주!$D:$D,RAW_발주!$C:$C,A739,RAW_발주!$A:$A,C739)-SUMIFS($W:$W,$A:$A,A739,$C:$C,C739)),0)</f>
        <v>0</v>
      </c>
    </row>
    <row r="740" customFormat="false" ht="15" hidden="false" customHeight="true" outlineLevel="0" collapsed="false">
      <c r="A740" s="45" t="s">
        <v>1665</v>
      </c>
      <c r="B740" s="42" t="str">
        <f aca="false">IF(A740="100","HK",IF(A740="200","CN",IF(A740="300","TW","홀세일")))</f>
        <v>홀세일</v>
      </c>
      <c r="C740" s="45" t="s">
        <v>874</v>
      </c>
      <c r="D740" s="46" t="n">
        <v>48</v>
      </c>
      <c r="E740" s="46" t="n">
        <v>79000</v>
      </c>
      <c r="F740" s="46" t="n">
        <v>17030</v>
      </c>
      <c r="G740" s="42" t="n">
        <v>3.73</v>
      </c>
      <c r="H740" s="42" t="n">
        <v>19.8</v>
      </c>
      <c r="I740" s="42" t="n">
        <v>14.2</v>
      </c>
      <c r="J740" s="46" t="n">
        <f aca="false">IF(N(E740)&gt;0,E740,IF(N(F740)&gt;0,F740*요약!$F$27,0))</f>
        <v>79000</v>
      </c>
      <c r="K740" s="46" t="n">
        <f aca="false">IF(N(F740)&gt;0,F740,IF(N(E740)&gt;0,E740/요약!$F$27,0))</f>
        <v>17030</v>
      </c>
      <c r="L740" s="46" t="n">
        <f aca="false">IF(B740="CN",IF(N(I740)&gt;0,I740*요약!$G$27,K740*(1+요약!$E$27)),IF(N(H740)&gt;0,H740*요약!$G$27,J740*요약!$D$27))</f>
        <v>26136</v>
      </c>
      <c r="M740" s="46" t="n">
        <f aca="false">D740*J740</f>
        <v>3792000</v>
      </c>
      <c r="N740" s="46" t="n">
        <f aca="false">D740*K740</f>
        <v>817440</v>
      </c>
      <c r="O740" s="46" t="n">
        <f aca="false">D740*L740</f>
        <v>1254528</v>
      </c>
      <c r="P740" s="42" t="str">
        <f aca="false">TRIM(IF(N(E740)&lt;=0,"택가보정 ","")&amp;IF(N(F740)&lt;=0,"원가보정 ","")&amp;IF(AND(B740&lt;&gt;"CN",N(H740)&lt;=0),"공급가보정 ","")&amp;IF(AND(B740="CN",N(I740)&lt;=0),"중국공급가=원가+마진 ",""))</f>
        <v/>
      </c>
      <c r="Q740" s="47" t="n">
        <f aca="false">IF(SUMIFS($W:$W,$A:$A,A740,$C:$C,C740)=0,0,SUMIFS(RAW_판매펀칭!$K:$K,RAW_판매펀칭!$P:$P,A740,RAW_판매펀칭!$I:$I,C740)*W740/SUMIFS($W:$W,$A:$A,A740,$C:$C,C740))</f>
        <v>0</v>
      </c>
      <c r="R740" s="47" t="n">
        <f aca="false">IF(OR(A740="500",A740="800",A740="810"),0,MAX(W740-Q740,0))</f>
        <v>0</v>
      </c>
      <c r="S740" s="47" t="n">
        <f aca="false">R740*L740</f>
        <v>0</v>
      </c>
      <c r="T740" s="47" t="n">
        <f aca="false">R740*J740</f>
        <v>0</v>
      </c>
      <c r="U740" s="47" t="n">
        <f aca="false">R740*K740</f>
        <v>0</v>
      </c>
      <c r="V740" s="0" t="str">
        <f aca="false">IF(COUNTIFS($A$2:A740,A740,$C$2:C740,C740,$D$2:D740,D740)&gt;1,"중복","")</f>
        <v/>
      </c>
      <c r="W740" s="0" t="n">
        <f aca="false">IF(V740="중복",0,N(D740))</f>
        <v>48</v>
      </c>
      <c r="X740" s="0" t="n">
        <f aca="false">IF(COUNTIFS($A$2:A740,A740,$C$2:C740,C740)=1,ABS(SUMIFS(RAW_발주!$D:$D,RAW_발주!$C:$C,A740,RAW_발주!$A:$A,C740)-SUMIFS($W:$W,$A:$A,A740,$C:$C,C740)),0)</f>
        <v>0</v>
      </c>
    </row>
    <row r="741" customFormat="false" ht="15" hidden="false" customHeight="true" outlineLevel="0" collapsed="false">
      <c r="A741" s="45" t="s">
        <v>1666</v>
      </c>
      <c r="B741" s="42" t="str">
        <f aca="false">IF(A741="100","HK",IF(A741="200","CN",IF(A741="300","TW","홀세일")))</f>
        <v>홀세일</v>
      </c>
      <c r="C741" s="45" t="s">
        <v>874</v>
      </c>
      <c r="D741" s="46" t="n">
        <v>110</v>
      </c>
      <c r="E741" s="46" t="n">
        <v>79000</v>
      </c>
      <c r="F741" s="46" t="n">
        <v>17030</v>
      </c>
      <c r="G741" s="42" t="n">
        <v>3.73</v>
      </c>
      <c r="H741" s="42" t="n">
        <v>19.8</v>
      </c>
      <c r="I741" s="42" t="n">
        <v>14.2</v>
      </c>
      <c r="J741" s="46" t="n">
        <f aca="false">IF(N(E741)&gt;0,E741,IF(N(F741)&gt;0,F741*요약!$F$27,0))</f>
        <v>79000</v>
      </c>
      <c r="K741" s="46" t="n">
        <f aca="false">IF(N(F741)&gt;0,F741,IF(N(E741)&gt;0,E741/요약!$F$27,0))</f>
        <v>17030</v>
      </c>
      <c r="L741" s="46" t="n">
        <f aca="false">IF(B741="CN",IF(N(I741)&gt;0,I741*요약!$G$27,K741*(1+요약!$E$27)),IF(N(H741)&gt;0,H741*요약!$G$27,J741*요약!$D$27))</f>
        <v>26136</v>
      </c>
      <c r="M741" s="46" t="n">
        <f aca="false">D741*J741</f>
        <v>8690000</v>
      </c>
      <c r="N741" s="46" t="n">
        <f aca="false">D741*K741</f>
        <v>1873300</v>
      </c>
      <c r="O741" s="46" t="n">
        <f aca="false">D741*L741</f>
        <v>2874960</v>
      </c>
      <c r="P741" s="42" t="str">
        <f aca="false">TRIM(IF(N(E741)&lt;=0,"택가보정 ","")&amp;IF(N(F741)&lt;=0,"원가보정 ","")&amp;IF(AND(B741&lt;&gt;"CN",N(H741)&lt;=0),"공급가보정 ","")&amp;IF(AND(B741="CN",N(I741)&lt;=0),"중국공급가=원가+마진 ",""))</f>
        <v/>
      </c>
      <c r="Q741" s="47" t="n">
        <f aca="false">IF(SUMIFS($W:$W,$A:$A,A741,$C:$C,C741)=0,0,SUMIFS(RAW_판매펀칭!$K:$K,RAW_판매펀칭!$P:$P,A741,RAW_판매펀칭!$I:$I,C741)*W741/SUMIFS($W:$W,$A:$A,A741,$C:$C,C741))</f>
        <v>110</v>
      </c>
      <c r="R741" s="47" t="n">
        <f aca="false">IF(OR(A741="500",A741="800",A741="810"),0,MAX(W741-Q741,0))</f>
        <v>0</v>
      </c>
      <c r="S741" s="47" t="n">
        <f aca="false">R741*L741</f>
        <v>0</v>
      </c>
      <c r="T741" s="47" t="n">
        <f aca="false">R741*J741</f>
        <v>0</v>
      </c>
      <c r="U741" s="47" t="n">
        <f aca="false">R741*K741</f>
        <v>0</v>
      </c>
      <c r="V741" s="0" t="str">
        <f aca="false">IF(COUNTIFS($A$2:A741,A741,$C$2:C741,C741,$D$2:D741,D741)&gt;1,"중복","")</f>
        <v/>
      </c>
      <c r="W741" s="0" t="n">
        <f aca="false">IF(V741="중복",0,N(D741))</f>
        <v>110</v>
      </c>
      <c r="X741" s="0" t="n">
        <f aca="false">IF(COUNTIFS($A$2:A741,A741,$C$2:C741,C741)=1,ABS(SUMIFS(RAW_발주!$D:$D,RAW_발주!$C:$C,A741,RAW_발주!$A:$A,C741)-SUMIFS($W:$W,$A:$A,A741,$C:$C,C741)),0)</f>
        <v>0</v>
      </c>
    </row>
    <row r="742" customFormat="false" ht="15" hidden="false" customHeight="true" outlineLevel="0" collapsed="false">
      <c r="A742" s="45" t="s">
        <v>1661</v>
      </c>
      <c r="B742" s="42" t="str">
        <f aca="false">IF(A742="100","HK",IF(A742="200","CN",IF(A742="300","TW","홀세일")))</f>
        <v>TW</v>
      </c>
      <c r="C742" s="45" t="s">
        <v>398</v>
      </c>
      <c r="D742" s="46" t="n">
        <v>180</v>
      </c>
      <c r="E742" s="46" t="n">
        <v>139000</v>
      </c>
      <c r="F742" s="46" t="n">
        <v>30900</v>
      </c>
      <c r="G742" s="42" t="n">
        <v>3.5</v>
      </c>
      <c r="H742" s="42" t="n">
        <v>32.7</v>
      </c>
      <c r="I742" s="42" t="n">
        <v>0</v>
      </c>
      <c r="J742" s="46" t="n">
        <f aca="false">IF(N(E742)&gt;0,E742,IF(N(F742)&gt;0,F742*요약!$F$27,0))</f>
        <v>139000</v>
      </c>
      <c r="K742" s="46" t="n">
        <f aca="false">IF(N(F742)&gt;0,F742,IF(N(E742)&gt;0,E742/요약!$F$27,0))</f>
        <v>30900</v>
      </c>
      <c r="L742" s="46" t="n">
        <f aca="false">IF(B742="CN",IF(N(I742)&gt;0,I742*요약!$G$27,K742*(1+요약!$E$27)),IF(N(H742)&gt;0,H742*요약!$G$27,J742*요약!$D$27))</f>
        <v>43164</v>
      </c>
      <c r="M742" s="46" t="n">
        <f aca="false">D742*J742</f>
        <v>25020000</v>
      </c>
      <c r="N742" s="46" t="n">
        <f aca="false">D742*K742</f>
        <v>5562000</v>
      </c>
      <c r="O742" s="46" t="n">
        <f aca="false">D742*L742</f>
        <v>7769520</v>
      </c>
      <c r="P742" s="42" t="str">
        <f aca="false">TRIM(IF(N(E742)&lt;=0,"택가보정 ","")&amp;IF(N(F742)&lt;=0,"원가보정 ","")&amp;IF(AND(B742&lt;&gt;"CN",N(H742)&lt;=0),"공급가보정 ","")&amp;IF(AND(B742="CN",N(I742)&lt;=0),"중국공급가=원가+마진 ",""))</f>
        <v/>
      </c>
      <c r="Q742" s="47" t="n">
        <f aca="false">IF(SUMIFS($W:$W,$A:$A,A742,$C:$C,C742)=0,0,SUMIFS(RAW_판매펀칭!$K:$K,RAW_판매펀칭!$P:$P,A742,RAW_판매펀칭!$I:$I,C742)*W742/SUMIFS($W:$W,$A:$A,A742,$C:$C,C742))</f>
        <v>180</v>
      </c>
      <c r="R742" s="47" t="n">
        <f aca="false">IF(OR(A742="500",A742="800",A742="810"),0,MAX(W742-Q742,0))</f>
        <v>0</v>
      </c>
      <c r="S742" s="47" t="n">
        <f aca="false">R742*L742</f>
        <v>0</v>
      </c>
      <c r="T742" s="47" t="n">
        <f aca="false">R742*J742</f>
        <v>0</v>
      </c>
      <c r="U742" s="47" t="n">
        <f aca="false">R742*K742</f>
        <v>0</v>
      </c>
      <c r="V742" s="0" t="str">
        <f aca="false">IF(COUNTIFS($A$2:A742,A742,$C$2:C742,C742,$D$2:D742,D742)&gt;1,"중복","")</f>
        <v/>
      </c>
      <c r="W742" s="0" t="n">
        <f aca="false">IF(V742="중복",0,N(D742))</f>
        <v>180</v>
      </c>
      <c r="X742" s="0" t="n">
        <f aca="false">IF(COUNTIFS($A$2:A742,A742,$C$2:C742,C742)=1,ABS(SUMIFS(RAW_발주!$D:$D,RAW_발주!$C:$C,A742,RAW_발주!$A:$A,C742)-SUMIFS($W:$W,$A:$A,A742,$C:$C,C742)),0)</f>
        <v>0</v>
      </c>
    </row>
    <row r="743" customFormat="false" ht="15" hidden="false" customHeight="true" outlineLevel="0" collapsed="false">
      <c r="A743" s="45" t="s">
        <v>1662</v>
      </c>
      <c r="B743" s="42" t="str">
        <f aca="false">IF(A743="100","HK",IF(A743="200","CN",IF(A743="300","TW","홀세일")))</f>
        <v>홀세일</v>
      </c>
      <c r="C743" s="45" t="s">
        <v>398</v>
      </c>
      <c r="D743" s="46" t="n">
        <v>270</v>
      </c>
      <c r="E743" s="46" t="n">
        <v>139000</v>
      </c>
      <c r="F743" s="46" t="n">
        <v>30900</v>
      </c>
      <c r="G743" s="42" t="n">
        <v>3.5</v>
      </c>
      <c r="H743" s="42" t="n">
        <v>32.7</v>
      </c>
      <c r="I743" s="42" t="n">
        <v>0</v>
      </c>
      <c r="J743" s="46" t="n">
        <f aca="false">IF(N(E743)&gt;0,E743,IF(N(F743)&gt;0,F743*요약!$F$27,0))</f>
        <v>139000</v>
      </c>
      <c r="K743" s="46" t="n">
        <f aca="false">IF(N(F743)&gt;0,F743,IF(N(E743)&gt;0,E743/요약!$F$27,0))</f>
        <v>30900</v>
      </c>
      <c r="L743" s="46" t="n">
        <f aca="false">IF(B743="CN",IF(N(I743)&gt;0,I743*요약!$G$27,K743*(1+요약!$E$27)),IF(N(H743)&gt;0,H743*요약!$G$27,J743*요약!$D$27))</f>
        <v>43164</v>
      </c>
      <c r="M743" s="46" t="n">
        <f aca="false">D743*J743</f>
        <v>37530000</v>
      </c>
      <c r="N743" s="46" t="n">
        <f aca="false">D743*K743</f>
        <v>8343000</v>
      </c>
      <c r="O743" s="46" t="n">
        <f aca="false">D743*L743</f>
        <v>11654280</v>
      </c>
      <c r="P743" s="42" t="str">
        <f aca="false">TRIM(IF(N(E743)&lt;=0,"택가보정 ","")&amp;IF(N(F743)&lt;=0,"원가보정 ","")&amp;IF(AND(B743&lt;&gt;"CN",N(H743)&lt;=0),"공급가보정 ","")&amp;IF(AND(B743="CN",N(I743)&lt;=0),"중국공급가=원가+마진 ",""))</f>
        <v/>
      </c>
      <c r="Q743" s="47" t="n">
        <f aca="false">IF(SUMIFS($W:$W,$A:$A,A743,$C:$C,C743)=0,0,SUMIFS(RAW_판매펀칭!$K:$K,RAW_판매펀칭!$P:$P,A743,RAW_판매펀칭!$I:$I,C743)*W743/SUMIFS($W:$W,$A:$A,A743,$C:$C,C743))</f>
        <v>0</v>
      </c>
      <c r="R743" s="47" t="n">
        <f aca="false">IF(OR(A743="500",A743="800",A743="810"),0,MAX(W743-Q743,0))</f>
        <v>0</v>
      </c>
      <c r="S743" s="47" t="n">
        <f aca="false">R743*L743</f>
        <v>0</v>
      </c>
      <c r="T743" s="47" t="n">
        <f aca="false">R743*J743</f>
        <v>0</v>
      </c>
      <c r="U743" s="47" t="n">
        <f aca="false">R743*K743</f>
        <v>0</v>
      </c>
      <c r="V743" s="0" t="str">
        <f aca="false">IF(COUNTIFS($A$2:A743,A743,$C$2:C743,C743,$D$2:D743,D743)&gt;1,"중복","")</f>
        <v/>
      </c>
      <c r="W743" s="0" t="n">
        <f aca="false">IF(V743="중복",0,N(D743))</f>
        <v>270</v>
      </c>
      <c r="X743" s="0" t="n">
        <f aca="false">IF(COUNTIFS($A$2:A743,A743,$C$2:C743,C743)=1,ABS(SUMIFS(RAW_발주!$D:$D,RAW_발주!$C:$C,A743,RAW_발주!$A:$A,C743)-SUMIFS($W:$W,$A:$A,A743,$C:$C,C743)),0)</f>
        <v>0</v>
      </c>
    </row>
    <row r="744" customFormat="false" ht="15" hidden="false" customHeight="true" outlineLevel="0" collapsed="false">
      <c r="A744" s="45" t="s">
        <v>1663</v>
      </c>
      <c r="B744" s="42" t="str">
        <f aca="false">IF(A744="100","HK",IF(A744="200","CN",IF(A744="300","TW","홀세일")))</f>
        <v>홀세일</v>
      </c>
      <c r="C744" s="45" t="s">
        <v>398</v>
      </c>
      <c r="D744" s="46" t="n">
        <v>55</v>
      </c>
      <c r="E744" s="46" t="n">
        <v>139000</v>
      </c>
      <c r="F744" s="46" t="n">
        <v>30900</v>
      </c>
      <c r="G744" s="42" t="n">
        <v>3.5</v>
      </c>
      <c r="H744" s="42" t="n">
        <v>32.7</v>
      </c>
      <c r="I744" s="42" t="n">
        <v>0</v>
      </c>
      <c r="J744" s="46" t="n">
        <f aca="false">IF(N(E744)&gt;0,E744,IF(N(F744)&gt;0,F744*요약!$F$27,0))</f>
        <v>139000</v>
      </c>
      <c r="K744" s="46" t="n">
        <f aca="false">IF(N(F744)&gt;0,F744,IF(N(E744)&gt;0,E744/요약!$F$27,0))</f>
        <v>30900</v>
      </c>
      <c r="L744" s="46" t="n">
        <f aca="false">IF(B744="CN",IF(N(I744)&gt;0,I744*요약!$G$27,K744*(1+요약!$E$27)),IF(N(H744)&gt;0,H744*요약!$G$27,J744*요약!$D$27))</f>
        <v>43164</v>
      </c>
      <c r="M744" s="46" t="n">
        <f aca="false">D744*J744</f>
        <v>7645000</v>
      </c>
      <c r="N744" s="46" t="n">
        <f aca="false">D744*K744</f>
        <v>1699500</v>
      </c>
      <c r="O744" s="46" t="n">
        <f aca="false">D744*L744</f>
        <v>2374020</v>
      </c>
      <c r="P744" s="42" t="str">
        <f aca="false">TRIM(IF(N(E744)&lt;=0,"택가보정 ","")&amp;IF(N(F744)&lt;=0,"원가보정 ","")&amp;IF(AND(B744&lt;&gt;"CN",N(H744)&lt;=0),"공급가보정 ","")&amp;IF(AND(B744="CN",N(I744)&lt;=0),"중국공급가=원가+마진 ",""))</f>
        <v/>
      </c>
      <c r="Q744" s="47" t="n">
        <f aca="false">IF(SUMIFS($W:$W,$A:$A,A744,$C:$C,C744)=0,0,SUMIFS(RAW_판매펀칭!$K:$K,RAW_판매펀칭!$P:$P,A744,RAW_판매펀칭!$I:$I,C744)*W744/SUMIFS($W:$W,$A:$A,A744,$C:$C,C744))</f>
        <v>55</v>
      </c>
      <c r="R744" s="47" t="n">
        <f aca="false">IF(OR(A744="500",A744="800",A744="810"),0,MAX(W744-Q744,0))</f>
        <v>0</v>
      </c>
      <c r="S744" s="47" t="n">
        <f aca="false">R744*L744</f>
        <v>0</v>
      </c>
      <c r="T744" s="47" t="n">
        <f aca="false">R744*J744</f>
        <v>0</v>
      </c>
      <c r="U744" s="47" t="n">
        <f aca="false">R744*K744</f>
        <v>0</v>
      </c>
      <c r="V744" s="0" t="str">
        <f aca="false">IF(COUNTIFS($A$2:A744,A744,$C$2:C744,C744,$D$2:D744,D744)&gt;1,"중복","")</f>
        <v/>
      </c>
      <c r="W744" s="0" t="n">
        <f aca="false">IF(V744="중복",0,N(D744))</f>
        <v>55</v>
      </c>
      <c r="X744" s="0" t="n">
        <f aca="false">IF(COUNTIFS($A$2:A744,A744,$C$2:C744,C744)=1,ABS(SUMIFS(RAW_발주!$D:$D,RAW_발주!$C:$C,A744,RAW_발주!$A:$A,C744)-SUMIFS($W:$W,$A:$A,A744,$C:$C,C744)),0)</f>
        <v>0</v>
      </c>
    </row>
    <row r="745" customFormat="false" ht="15" hidden="false" customHeight="true" outlineLevel="0" collapsed="false">
      <c r="A745" s="45" t="s">
        <v>1667</v>
      </c>
      <c r="B745" s="42" t="str">
        <f aca="false">IF(A745="100","HK",IF(A745="200","CN",IF(A745="300","TW","홀세일")))</f>
        <v>홀세일</v>
      </c>
      <c r="C745" s="45" t="s">
        <v>398</v>
      </c>
      <c r="D745" s="46" t="n">
        <v>222</v>
      </c>
      <c r="E745" s="46" t="n">
        <v>139000</v>
      </c>
      <c r="F745" s="46" t="n">
        <v>30900</v>
      </c>
      <c r="G745" s="42" t="n">
        <v>3.5</v>
      </c>
      <c r="H745" s="42" t="n">
        <v>32.7</v>
      </c>
      <c r="I745" s="42" t="n">
        <v>0</v>
      </c>
      <c r="J745" s="46" t="n">
        <f aca="false">IF(N(E745)&gt;0,E745,IF(N(F745)&gt;0,F745*요약!$F$27,0))</f>
        <v>139000</v>
      </c>
      <c r="K745" s="46" t="n">
        <f aca="false">IF(N(F745)&gt;0,F745,IF(N(E745)&gt;0,E745/요약!$F$27,0))</f>
        <v>30900</v>
      </c>
      <c r="L745" s="46" t="n">
        <f aca="false">IF(B745="CN",IF(N(I745)&gt;0,I745*요약!$G$27,K745*(1+요약!$E$27)),IF(N(H745)&gt;0,H745*요약!$G$27,J745*요약!$D$27))</f>
        <v>43164</v>
      </c>
      <c r="M745" s="46" t="n">
        <f aca="false">D745*J745</f>
        <v>30858000</v>
      </c>
      <c r="N745" s="46" t="n">
        <f aca="false">D745*K745</f>
        <v>6859800</v>
      </c>
      <c r="O745" s="46" t="n">
        <f aca="false">D745*L745</f>
        <v>9582408</v>
      </c>
      <c r="P745" s="42" t="str">
        <f aca="false">TRIM(IF(N(E745)&lt;=0,"택가보정 ","")&amp;IF(N(F745)&lt;=0,"원가보정 ","")&amp;IF(AND(B745&lt;&gt;"CN",N(H745)&lt;=0),"공급가보정 ","")&amp;IF(AND(B745="CN",N(I745)&lt;=0),"중국공급가=원가+마진 ",""))</f>
        <v/>
      </c>
      <c r="Q745" s="47" t="n">
        <f aca="false">IF(SUMIFS($W:$W,$A:$A,A745,$C:$C,C745)=0,0,SUMIFS(RAW_판매펀칭!$K:$K,RAW_판매펀칭!$P:$P,A745,RAW_판매펀칭!$I:$I,C745)*W745/SUMIFS($W:$W,$A:$A,A745,$C:$C,C745))</f>
        <v>220</v>
      </c>
      <c r="R745" s="47" t="n">
        <f aca="false">IF(OR(A745="500",A745="800",A745="810"),0,MAX(W745-Q745,0))</f>
        <v>2</v>
      </c>
      <c r="S745" s="47" t="n">
        <f aca="false">R745*L745</f>
        <v>86328</v>
      </c>
      <c r="T745" s="47" t="n">
        <f aca="false">R745*J745</f>
        <v>278000</v>
      </c>
      <c r="U745" s="47" t="n">
        <f aca="false">R745*K745</f>
        <v>61800</v>
      </c>
      <c r="V745" s="0" t="str">
        <f aca="false">IF(COUNTIFS($A$2:A745,A745,$C$2:C745,C745,$D$2:D745,D745)&gt;1,"중복","")</f>
        <v/>
      </c>
      <c r="W745" s="0" t="n">
        <f aca="false">IF(V745="중복",0,N(D745))</f>
        <v>222</v>
      </c>
      <c r="X745" s="0" t="n">
        <f aca="false">IF(COUNTIFS($A$2:A745,A745,$C$2:C745,C745)=1,ABS(SUMIFS(RAW_발주!$D:$D,RAW_발주!$C:$C,A745,RAW_발주!$A:$A,C745)-SUMIFS($W:$W,$A:$A,A745,$C:$C,C745)),0)</f>
        <v>0</v>
      </c>
    </row>
    <row r="746" customFormat="false" ht="15" hidden="false" customHeight="true" outlineLevel="0" collapsed="false">
      <c r="A746" s="45" t="s">
        <v>1664</v>
      </c>
      <c r="B746" s="42" t="str">
        <f aca="false">IF(A746="100","HK",IF(A746="200","CN",IF(A746="300","TW","홀세일")))</f>
        <v>홀세일</v>
      </c>
      <c r="C746" s="45" t="s">
        <v>398</v>
      </c>
      <c r="D746" s="46" t="n">
        <v>30</v>
      </c>
      <c r="E746" s="46" t="n">
        <v>139000</v>
      </c>
      <c r="F746" s="46" t="n">
        <v>30900</v>
      </c>
      <c r="G746" s="42" t="n">
        <v>3.5</v>
      </c>
      <c r="H746" s="42" t="n">
        <v>32.7</v>
      </c>
      <c r="I746" s="42" t="n">
        <v>0</v>
      </c>
      <c r="J746" s="46" t="n">
        <f aca="false">IF(N(E746)&gt;0,E746,IF(N(F746)&gt;0,F746*요약!$F$27,0))</f>
        <v>139000</v>
      </c>
      <c r="K746" s="46" t="n">
        <f aca="false">IF(N(F746)&gt;0,F746,IF(N(E746)&gt;0,E746/요약!$F$27,0))</f>
        <v>30900</v>
      </c>
      <c r="L746" s="46" t="n">
        <f aca="false">IF(B746="CN",IF(N(I746)&gt;0,I746*요약!$G$27,K746*(1+요약!$E$27)),IF(N(H746)&gt;0,H746*요약!$G$27,J746*요약!$D$27))</f>
        <v>43164</v>
      </c>
      <c r="M746" s="46" t="n">
        <f aca="false">D746*J746</f>
        <v>4170000</v>
      </c>
      <c r="N746" s="46" t="n">
        <f aca="false">D746*K746</f>
        <v>927000</v>
      </c>
      <c r="O746" s="46" t="n">
        <f aca="false">D746*L746</f>
        <v>1294920</v>
      </c>
      <c r="P746" s="42" t="str">
        <f aca="false">TRIM(IF(N(E746)&lt;=0,"택가보정 ","")&amp;IF(N(F746)&lt;=0,"원가보정 ","")&amp;IF(AND(B746&lt;&gt;"CN",N(H746)&lt;=0),"공급가보정 ","")&amp;IF(AND(B746="CN",N(I746)&lt;=0),"중국공급가=원가+마진 ",""))</f>
        <v/>
      </c>
      <c r="Q746" s="47" t="n">
        <f aca="false">IF(SUMIFS($W:$W,$A:$A,A746,$C:$C,C746)=0,0,SUMIFS(RAW_판매펀칭!$K:$K,RAW_판매펀칭!$P:$P,A746,RAW_판매펀칭!$I:$I,C746)*W746/SUMIFS($W:$W,$A:$A,A746,$C:$C,C746))</f>
        <v>0</v>
      </c>
      <c r="R746" s="47" t="n">
        <f aca="false">IF(OR(A746="500",A746="800",A746="810"),0,MAX(W746-Q746,0))</f>
        <v>0</v>
      </c>
      <c r="S746" s="47" t="n">
        <f aca="false">R746*L746</f>
        <v>0</v>
      </c>
      <c r="T746" s="47" t="n">
        <f aca="false">R746*J746</f>
        <v>0</v>
      </c>
      <c r="U746" s="47" t="n">
        <f aca="false">R746*K746</f>
        <v>0</v>
      </c>
      <c r="V746" s="0" t="str">
        <f aca="false">IF(COUNTIFS($A$2:A746,A746,$C$2:C746,C746,$D$2:D746,D746)&gt;1,"중복","")</f>
        <v/>
      </c>
      <c r="W746" s="0" t="n">
        <f aca="false">IF(V746="중복",0,N(D746))</f>
        <v>30</v>
      </c>
      <c r="X746" s="0" t="n">
        <f aca="false">IF(COUNTIFS($A$2:A746,A746,$C$2:C746,C746)=1,ABS(SUMIFS(RAW_발주!$D:$D,RAW_발주!$C:$C,A746,RAW_발주!$A:$A,C746)-SUMIFS($W:$W,$A:$A,A746,$C:$C,C746)),0)</f>
        <v>0</v>
      </c>
    </row>
    <row r="747" customFormat="false" ht="15" hidden="false" customHeight="true" outlineLevel="0" collapsed="false">
      <c r="A747" s="45" t="s">
        <v>1661</v>
      </c>
      <c r="B747" s="42" t="str">
        <f aca="false">IF(A747="100","HK",IF(A747="200","CN",IF(A747="300","TW","홀세일")))</f>
        <v>TW</v>
      </c>
      <c r="C747" s="45" t="s">
        <v>400</v>
      </c>
      <c r="D747" s="46" t="n">
        <v>130</v>
      </c>
      <c r="E747" s="46" t="n">
        <v>169000</v>
      </c>
      <c r="F747" s="46" t="n">
        <v>37400</v>
      </c>
      <c r="G747" s="42" t="n">
        <v>4.11</v>
      </c>
      <c r="H747" s="42" t="n">
        <v>41</v>
      </c>
      <c r="I747" s="42" t="n">
        <v>0</v>
      </c>
      <c r="J747" s="46" t="n">
        <f aca="false">IF(N(E747)&gt;0,E747,IF(N(F747)&gt;0,F747*요약!$F$27,0))</f>
        <v>169000</v>
      </c>
      <c r="K747" s="46" t="n">
        <f aca="false">IF(N(F747)&gt;0,F747,IF(N(E747)&gt;0,E747/요약!$F$27,0))</f>
        <v>37400</v>
      </c>
      <c r="L747" s="46" t="n">
        <f aca="false">IF(B747="CN",IF(N(I747)&gt;0,I747*요약!$G$27,K747*(1+요약!$E$27)),IF(N(H747)&gt;0,H747*요약!$G$27,J747*요약!$D$27))</f>
        <v>54120</v>
      </c>
      <c r="M747" s="46" t="n">
        <f aca="false">D747*J747</f>
        <v>21970000</v>
      </c>
      <c r="N747" s="46" t="n">
        <f aca="false">D747*K747</f>
        <v>4862000</v>
      </c>
      <c r="O747" s="46" t="n">
        <f aca="false">D747*L747</f>
        <v>7035600</v>
      </c>
      <c r="P747" s="42" t="str">
        <f aca="false">TRIM(IF(N(E747)&lt;=0,"택가보정 ","")&amp;IF(N(F747)&lt;=0,"원가보정 ","")&amp;IF(AND(B747&lt;&gt;"CN",N(H747)&lt;=0),"공급가보정 ","")&amp;IF(AND(B747="CN",N(I747)&lt;=0),"중국공급가=원가+마진 ",""))</f>
        <v/>
      </c>
      <c r="Q747" s="47" t="n">
        <f aca="false">IF(SUMIFS($W:$W,$A:$A,A747,$C:$C,C747)=0,0,SUMIFS(RAW_판매펀칭!$K:$K,RAW_판매펀칭!$P:$P,A747,RAW_판매펀칭!$I:$I,C747)*W747/SUMIFS($W:$W,$A:$A,A747,$C:$C,C747))</f>
        <v>130</v>
      </c>
      <c r="R747" s="47" t="n">
        <f aca="false">IF(OR(A747="500",A747="800",A747="810"),0,MAX(W747-Q747,0))</f>
        <v>0</v>
      </c>
      <c r="S747" s="47" t="n">
        <f aca="false">R747*L747</f>
        <v>0</v>
      </c>
      <c r="T747" s="47" t="n">
        <f aca="false">R747*J747</f>
        <v>0</v>
      </c>
      <c r="U747" s="47" t="n">
        <f aca="false">R747*K747</f>
        <v>0</v>
      </c>
      <c r="V747" s="0" t="str">
        <f aca="false">IF(COUNTIFS($A$2:A747,A747,$C$2:C747,C747,$D$2:D747,D747)&gt;1,"중복","")</f>
        <v/>
      </c>
      <c r="W747" s="0" t="n">
        <f aca="false">IF(V747="중복",0,N(D747))</f>
        <v>130</v>
      </c>
      <c r="X747" s="0" t="n">
        <f aca="false">IF(COUNTIFS($A$2:A747,A747,$C$2:C747,C747)=1,ABS(SUMIFS(RAW_발주!$D:$D,RAW_발주!$C:$C,A747,RAW_발주!$A:$A,C747)-SUMIFS($W:$W,$A:$A,A747,$C:$C,C747)),0)</f>
        <v>0</v>
      </c>
    </row>
    <row r="748" customFormat="false" ht="15" hidden="false" customHeight="true" outlineLevel="0" collapsed="false">
      <c r="A748" s="45" t="s">
        <v>1662</v>
      </c>
      <c r="B748" s="42" t="str">
        <f aca="false">IF(A748="100","HK",IF(A748="200","CN",IF(A748="300","TW","홀세일")))</f>
        <v>홀세일</v>
      </c>
      <c r="C748" s="45" t="s">
        <v>400</v>
      </c>
      <c r="D748" s="46" t="n">
        <v>360</v>
      </c>
      <c r="E748" s="46" t="n">
        <v>169000</v>
      </c>
      <c r="F748" s="46" t="n">
        <v>37400</v>
      </c>
      <c r="G748" s="42" t="n">
        <v>4.11</v>
      </c>
      <c r="H748" s="42" t="n">
        <v>41</v>
      </c>
      <c r="I748" s="42" t="n">
        <v>0</v>
      </c>
      <c r="J748" s="46" t="n">
        <f aca="false">IF(N(E748)&gt;0,E748,IF(N(F748)&gt;0,F748*요약!$F$27,0))</f>
        <v>169000</v>
      </c>
      <c r="K748" s="46" t="n">
        <f aca="false">IF(N(F748)&gt;0,F748,IF(N(E748)&gt;0,E748/요약!$F$27,0))</f>
        <v>37400</v>
      </c>
      <c r="L748" s="46" t="n">
        <f aca="false">IF(B748="CN",IF(N(I748)&gt;0,I748*요약!$G$27,K748*(1+요약!$E$27)),IF(N(H748)&gt;0,H748*요약!$G$27,J748*요약!$D$27))</f>
        <v>54120</v>
      </c>
      <c r="M748" s="46" t="n">
        <f aca="false">D748*J748</f>
        <v>60840000</v>
      </c>
      <c r="N748" s="46" t="n">
        <f aca="false">D748*K748</f>
        <v>13464000</v>
      </c>
      <c r="O748" s="46" t="n">
        <f aca="false">D748*L748</f>
        <v>19483200</v>
      </c>
      <c r="P748" s="42" t="str">
        <f aca="false">TRIM(IF(N(E748)&lt;=0,"택가보정 ","")&amp;IF(N(F748)&lt;=0,"원가보정 ","")&amp;IF(AND(B748&lt;&gt;"CN",N(H748)&lt;=0),"공급가보정 ","")&amp;IF(AND(B748="CN",N(I748)&lt;=0),"중국공급가=원가+마진 ",""))</f>
        <v/>
      </c>
      <c r="Q748" s="47" t="n">
        <f aca="false">IF(SUMIFS($W:$W,$A:$A,A748,$C:$C,C748)=0,0,SUMIFS(RAW_판매펀칭!$K:$K,RAW_판매펀칭!$P:$P,A748,RAW_판매펀칭!$I:$I,C748)*W748/SUMIFS($W:$W,$A:$A,A748,$C:$C,C748))</f>
        <v>0</v>
      </c>
      <c r="R748" s="47" t="n">
        <f aca="false">IF(OR(A748="500",A748="800",A748="810"),0,MAX(W748-Q748,0))</f>
        <v>0</v>
      </c>
      <c r="S748" s="47" t="n">
        <f aca="false">R748*L748</f>
        <v>0</v>
      </c>
      <c r="T748" s="47" t="n">
        <f aca="false">R748*J748</f>
        <v>0</v>
      </c>
      <c r="U748" s="47" t="n">
        <f aca="false">R748*K748</f>
        <v>0</v>
      </c>
      <c r="V748" s="0" t="str">
        <f aca="false">IF(COUNTIFS($A$2:A748,A748,$C$2:C748,C748,$D$2:D748,D748)&gt;1,"중복","")</f>
        <v/>
      </c>
      <c r="W748" s="0" t="n">
        <f aca="false">IF(V748="중복",0,N(D748))</f>
        <v>360</v>
      </c>
      <c r="X748" s="0" t="n">
        <f aca="false">IF(COUNTIFS($A$2:A748,A748,$C$2:C748,C748)=1,ABS(SUMIFS(RAW_발주!$D:$D,RAW_발주!$C:$C,A748,RAW_발주!$A:$A,C748)-SUMIFS($W:$W,$A:$A,A748,$C:$C,C748)),0)</f>
        <v>0</v>
      </c>
    </row>
    <row r="749" customFormat="false" ht="15" hidden="false" customHeight="true" outlineLevel="0" collapsed="false">
      <c r="A749" s="45" t="s">
        <v>1661</v>
      </c>
      <c r="B749" s="42" t="str">
        <f aca="false">IF(A749="100","HK",IF(A749="200","CN",IF(A749="300","TW","홀세일")))</f>
        <v>TW</v>
      </c>
      <c r="C749" s="45" t="s">
        <v>402</v>
      </c>
      <c r="D749" s="46" t="n">
        <v>180</v>
      </c>
      <c r="E749" s="46" t="n">
        <v>159000</v>
      </c>
      <c r="F749" s="46" t="n">
        <v>35600</v>
      </c>
      <c r="G749" s="42" t="n">
        <v>3.05</v>
      </c>
      <c r="H749" s="42" t="n">
        <v>37.4</v>
      </c>
      <c r="I749" s="42" t="n">
        <v>0</v>
      </c>
      <c r="J749" s="46" t="n">
        <f aca="false">IF(N(E749)&gt;0,E749,IF(N(F749)&gt;0,F749*요약!$F$27,0))</f>
        <v>159000</v>
      </c>
      <c r="K749" s="46" t="n">
        <f aca="false">IF(N(F749)&gt;0,F749,IF(N(E749)&gt;0,E749/요약!$F$27,0))</f>
        <v>35600</v>
      </c>
      <c r="L749" s="46" t="n">
        <f aca="false">IF(B749="CN",IF(N(I749)&gt;0,I749*요약!$G$27,K749*(1+요약!$E$27)),IF(N(H749)&gt;0,H749*요약!$G$27,J749*요약!$D$27))</f>
        <v>49368</v>
      </c>
      <c r="M749" s="46" t="n">
        <f aca="false">D749*J749</f>
        <v>28620000</v>
      </c>
      <c r="N749" s="46" t="n">
        <f aca="false">D749*K749</f>
        <v>6408000</v>
      </c>
      <c r="O749" s="46" t="n">
        <f aca="false">D749*L749</f>
        <v>8886240</v>
      </c>
      <c r="P749" s="42" t="str">
        <f aca="false">TRIM(IF(N(E749)&lt;=0,"택가보정 ","")&amp;IF(N(F749)&lt;=0,"원가보정 ","")&amp;IF(AND(B749&lt;&gt;"CN",N(H749)&lt;=0),"공급가보정 ","")&amp;IF(AND(B749="CN",N(I749)&lt;=0),"중국공급가=원가+마진 ",""))</f>
        <v/>
      </c>
      <c r="Q749" s="47" t="n">
        <f aca="false">IF(SUMIFS($W:$W,$A:$A,A749,$C:$C,C749)=0,0,SUMIFS(RAW_판매펀칭!$K:$K,RAW_판매펀칭!$P:$P,A749,RAW_판매펀칭!$I:$I,C749)*W749/SUMIFS($W:$W,$A:$A,A749,$C:$C,C749))</f>
        <v>180</v>
      </c>
      <c r="R749" s="47" t="n">
        <f aca="false">IF(OR(A749="500",A749="800",A749="810"),0,MAX(W749-Q749,0))</f>
        <v>0</v>
      </c>
      <c r="S749" s="47" t="n">
        <f aca="false">R749*L749</f>
        <v>0</v>
      </c>
      <c r="T749" s="47" t="n">
        <f aca="false">R749*J749</f>
        <v>0</v>
      </c>
      <c r="U749" s="47" t="n">
        <f aca="false">R749*K749</f>
        <v>0</v>
      </c>
      <c r="V749" s="0" t="str">
        <f aca="false">IF(COUNTIFS($A$2:A749,A749,$C$2:C749,C749,$D$2:D749,D749)&gt;1,"중복","")</f>
        <v/>
      </c>
      <c r="W749" s="0" t="n">
        <f aca="false">IF(V749="중복",0,N(D749))</f>
        <v>180</v>
      </c>
      <c r="X749" s="0" t="n">
        <f aca="false">IF(COUNTIFS($A$2:A749,A749,$C$2:C749,C749)=1,ABS(SUMIFS(RAW_발주!$D:$D,RAW_발주!$C:$C,A749,RAW_발주!$A:$A,C749)-SUMIFS($W:$W,$A:$A,A749,$C:$C,C749)),0)</f>
        <v>0</v>
      </c>
    </row>
    <row r="750" customFormat="false" ht="15" hidden="false" customHeight="true" outlineLevel="0" collapsed="false">
      <c r="A750" s="45" t="s">
        <v>1663</v>
      </c>
      <c r="B750" s="42" t="str">
        <f aca="false">IF(A750="100","HK",IF(A750="200","CN",IF(A750="300","TW","홀세일")))</f>
        <v>홀세일</v>
      </c>
      <c r="C750" s="45" t="s">
        <v>402</v>
      </c>
      <c r="D750" s="46" t="n">
        <v>40</v>
      </c>
      <c r="E750" s="46" t="n">
        <v>159000</v>
      </c>
      <c r="F750" s="46" t="n">
        <v>35600</v>
      </c>
      <c r="G750" s="42" t="n">
        <v>3.05</v>
      </c>
      <c r="H750" s="42" t="n">
        <v>37.4</v>
      </c>
      <c r="I750" s="42" t="n">
        <v>0</v>
      </c>
      <c r="J750" s="46" t="n">
        <f aca="false">IF(N(E750)&gt;0,E750,IF(N(F750)&gt;0,F750*요약!$F$27,0))</f>
        <v>159000</v>
      </c>
      <c r="K750" s="46" t="n">
        <f aca="false">IF(N(F750)&gt;0,F750,IF(N(E750)&gt;0,E750/요약!$F$27,0))</f>
        <v>35600</v>
      </c>
      <c r="L750" s="46" t="n">
        <f aca="false">IF(B750="CN",IF(N(I750)&gt;0,I750*요약!$G$27,K750*(1+요약!$E$27)),IF(N(H750)&gt;0,H750*요약!$G$27,J750*요약!$D$27))</f>
        <v>49368</v>
      </c>
      <c r="M750" s="46" t="n">
        <f aca="false">D750*J750</f>
        <v>6360000</v>
      </c>
      <c r="N750" s="46" t="n">
        <f aca="false">D750*K750</f>
        <v>1424000</v>
      </c>
      <c r="O750" s="46" t="n">
        <f aca="false">D750*L750</f>
        <v>1974720</v>
      </c>
      <c r="P750" s="42" t="str">
        <f aca="false">TRIM(IF(N(E750)&lt;=0,"택가보정 ","")&amp;IF(N(F750)&lt;=0,"원가보정 ","")&amp;IF(AND(B750&lt;&gt;"CN",N(H750)&lt;=0),"공급가보정 ","")&amp;IF(AND(B750="CN",N(I750)&lt;=0),"중국공급가=원가+마진 ",""))</f>
        <v/>
      </c>
      <c r="Q750" s="47" t="n">
        <f aca="false">IF(SUMIFS($W:$W,$A:$A,A750,$C:$C,C750)=0,0,SUMIFS(RAW_판매펀칭!$K:$K,RAW_판매펀칭!$P:$P,A750,RAW_판매펀칭!$I:$I,C750)*W750/SUMIFS($W:$W,$A:$A,A750,$C:$C,C750))</f>
        <v>40</v>
      </c>
      <c r="R750" s="47" t="n">
        <f aca="false">IF(OR(A750="500",A750="800",A750="810"),0,MAX(W750-Q750,0))</f>
        <v>0</v>
      </c>
      <c r="S750" s="47" t="n">
        <f aca="false">R750*L750</f>
        <v>0</v>
      </c>
      <c r="T750" s="47" t="n">
        <f aca="false">R750*J750</f>
        <v>0</v>
      </c>
      <c r="U750" s="47" t="n">
        <f aca="false">R750*K750</f>
        <v>0</v>
      </c>
      <c r="V750" s="0" t="str">
        <f aca="false">IF(COUNTIFS($A$2:A750,A750,$C$2:C750,C750,$D$2:D750,D750)&gt;1,"중복","")</f>
        <v/>
      </c>
      <c r="W750" s="0" t="n">
        <f aca="false">IF(V750="중복",0,N(D750))</f>
        <v>40</v>
      </c>
      <c r="X750" s="0" t="n">
        <f aca="false">IF(COUNTIFS($A$2:A750,A750,$C$2:C750,C750)=1,ABS(SUMIFS(RAW_발주!$D:$D,RAW_발주!$C:$C,A750,RAW_발주!$A:$A,C750)-SUMIFS($W:$W,$A:$A,A750,$C:$C,C750)),0)</f>
        <v>0</v>
      </c>
    </row>
    <row r="751" customFormat="false" ht="15" hidden="false" customHeight="true" outlineLevel="0" collapsed="false">
      <c r="A751" s="45" t="s">
        <v>1661</v>
      </c>
      <c r="B751" s="42" t="str">
        <f aca="false">IF(A751="100","HK",IF(A751="200","CN",IF(A751="300","TW","홀세일")))</f>
        <v>TW</v>
      </c>
      <c r="C751" s="45" t="s">
        <v>404</v>
      </c>
      <c r="D751" s="46" t="n">
        <v>180</v>
      </c>
      <c r="E751" s="46" t="n">
        <v>169000</v>
      </c>
      <c r="F751" s="46" t="n">
        <v>40400</v>
      </c>
      <c r="G751" s="42" t="n">
        <v>3.69</v>
      </c>
      <c r="H751" s="42" t="n">
        <v>39.8</v>
      </c>
      <c r="I751" s="42" t="n">
        <v>0</v>
      </c>
      <c r="J751" s="46" t="n">
        <f aca="false">IF(N(E751)&gt;0,E751,IF(N(F751)&gt;0,F751*요약!$F$27,0))</f>
        <v>169000</v>
      </c>
      <c r="K751" s="46" t="n">
        <f aca="false">IF(N(F751)&gt;0,F751,IF(N(E751)&gt;0,E751/요약!$F$27,0))</f>
        <v>40400</v>
      </c>
      <c r="L751" s="46" t="n">
        <f aca="false">IF(B751="CN",IF(N(I751)&gt;0,I751*요약!$G$27,K751*(1+요약!$E$27)),IF(N(H751)&gt;0,H751*요약!$G$27,J751*요약!$D$27))</f>
        <v>52536</v>
      </c>
      <c r="M751" s="46" t="n">
        <f aca="false">D751*J751</f>
        <v>30420000</v>
      </c>
      <c r="N751" s="46" t="n">
        <f aca="false">D751*K751</f>
        <v>7272000</v>
      </c>
      <c r="O751" s="46" t="n">
        <f aca="false">D751*L751</f>
        <v>9456480</v>
      </c>
      <c r="P751" s="42" t="str">
        <f aca="false">TRIM(IF(N(E751)&lt;=0,"택가보정 ","")&amp;IF(N(F751)&lt;=0,"원가보정 ","")&amp;IF(AND(B751&lt;&gt;"CN",N(H751)&lt;=0),"공급가보정 ","")&amp;IF(AND(B751="CN",N(I751)&lt;=0),"중국공급가=원가+마진 ",""))</f>
        <v/>
      </c>
      <c r="Q751" s="47" t="n">
        <f aca="false">IF(SUMIFS($W:$W,$A:$A,A751,$C:$C,C751)=0,0,SUMIFS(RAW_판매펀칭!$K:$K,RAW_판매펀칭!$P:$P,A751,RAW_판매펀칭!$I:$I,C751)*W751/SUMIFS($W:$W,$A:$A,A751,$C:$C,C751))</f>
        <v>180</v>
      </c>
      <c r="R751" s="47" t="n">
        <f aca="false">IF(OR(A751="500",A751="800",A751="810"),0,MAX(W751-Q751,0))</f>
        <v>0</v>
      </c>
      <c r="S751" s="47" t="n">
        <f aca="false">R751*L751</f>
        <v>0</v>
      </c>
      <c r="T751" s="47" t="n">
        <f aca="false">R751*J751</f>
        <v>0</v>
      </c>
      <c r="U751" s="47" t="n">
        <f aca="false">R751*K751</f>
        <v>0</v>
      </c>
      <c r="V751" s="0" t="str">
        <f aca="false">IF(COUNTIFS($A$2:A751,A751,$C$2:C751,C751,$D$2:D751,D751)&gt;1,"중복","")</f>
        <v/>
      </c>
      <c r="W751" s="0" t="n">
        <f aca="false">IF(V751="중복",0,N(D751))</f>
        <v>180</v>
      </c>
      <c r="X751" s="0" t="n">
        <f aca="false">IF(COUNTIFS($A$2:A751,A751,$C$2:C751,C751)=1,ABS(SUMIFS(RAW_발주!$D:$D,RAW_발주!$C:$C,A751,RAW_발주!$A:$A,C751)-SUMIFS($W:$W,$A:$A,A751,$C:$C,C751)),0)</f>
        <v>0</v>
      </c>
    </row>
    <row r="752" customFormat="false" ht="15" hidden="false" customHeight="true" outlineLevel="0" collapsed="false">
      <c r="A752" s="45" t="s">
        <v>1662</v>
      </c>
      <c r="B752" s="42" t="str">
        <f aca="false">IF(A752="100","HK",IF(A752="200","CN",IF(A752="300","TW","홀세일")))</f>
        <v>홀세일</v>
      </c>
      <c r="C752" s="45" t="s">
        <v>404</v>
      </c>
      <c r="D752" s="46" t="n">
        <v>270</v>
      </c>
      <c r="E752" s="46" t="n">
        <v>169000</v>
      </c>
      <c r="F752" s="46" t="n">
        <v>40400</v>
      </c>
      <c r="G752" s="42" t="n">
        <v>3.69</v>
      </c>
      <c r="H752" s="42" t="n">
        <v>39.8</v>
      </c>
      <c r="I752" s="42" t="n">
        <v>0</v>
      </c>
      <c r="J752" s="46" t="n">
        <f aca="false">IF(N(E752)&gt;0,E752,IF(N(F752)&gt;0,F752*요약!$F$27,0))</f>
        <v>169000</v>
      </c>
      <c r="K752" s="46" t="n">
        <f aca="false">IF(N(F752)&gt;0,F752,IF(N(E752)&gt;0,E752/요약!$F$27,0))</f>
        <v>40400</v>
      </c>
      <c r="L752" s="46" t="n">
        <f aca="false">IF(B752="CN",IF(N(I752)&gt;0,I752*요약!$G$27,K752*(1+요약!$E$27)),IF(N(H752)&gt;0,H752*요약!$G$27,J752*요약!$D$27))</f>
        <v>52536</v>
      </c>
      <c r="M752" s="46" t="n">
        <f aca="false">D752*J752</f>
        <v>45630000</v>
      </c>
      <c r="N752" s="46" t="n">
        <f aca="false">D752*K752</f>
        <v>10908000</v>
      </c>
      <c r="O752" s="46" t="n">
        <f aca="false">D752*L752</f>
        <v>14184720</v>
      </c>
      <c r="P752" s="42" t="str">
        <f aca="false">TRIM(IF(N(E752)&lt;=0,"택가보정 ","")&amp;IF(N(F752)&lt;=0,"원가보정 ","")&amp;IF(AND(B752&lt;&gt;"CN",N(H752)&lt;=0),"공급가보정 ","")&amp;IF(AND(B752="CN",N(I752)&lt;=0),"중국공급가=원가+마진 ",""))</f>
        <v/>
      </c>
      <c r="Q752" s="47" t="n">
        <f aca="false">IF(SUMIFS($W:$W,$A:$A,A752,$C:$C,C752)=0,0,SUMIFS(RAW_판매펀칭!$K:$K,RAW_판매펀칭!$P:$P,A752,RAW_판매펀칭!$I:$I,C752)*W752/SUMIFS($W:$W,$A:$A,A752,$C:$C,C752))</f>
        <v>0</v>
      </c>
      <c r="R752" s="47" t="n">
        <f aca="false">IF(OR(A752="500",A752="800",A752="810"),0,MAX(W752-Q752,0))</f>
        <v>0</v>
      </c>
      <c r="S752" s="47" t="n">
        <f aca="false">R752*L752</f>
        <v>0</v>
      </c>
      <c r="T752" s="47" t="n">
        <f aca="false">R752*J752</f>
        <v>0</v>
      </c>
      <c r="U752" s="47" t="n">
        <f aca="false">R752*K752</f>
        <v>0</v>
      </c>
      <c r="V752" s="0" t="str">
        <f aca="false">IF(COUNTIFS($A$2:A752,A752,$C$2:C752,C752,$D$2:D752,D752)&gt;1,"중복","")</f>
        <v/>
      </c>
      <c r="W752" s="0" t="n">
        <f aca="false">IF(V752="중복",0,N(D752))</f>
        <v>270</v>
      </c>
      <c r="X752" s="0" t="n">
        <f aca="false">IF(COUNTIFS($A$2:A752,A752,$C$2:C752,C752)=1,ABS(SUMIFS(RAW_발주!$D:$D,RAW_발주!$C:$C,A752,RAW_발주!$A:$A,C752)-SUMIFS($W:$W,$A:$A,A752,$C:$C,C752)),0)</f>
        <v>0</v>
      </c>
    </row>
    <row r="753" customFormat="false" ht="15" hidden="false" customHeight="true" outlineLevel="0" collapsed="false">
      <c r="A753" s="45" t="s">
        <v>1661</v>
      </c>
      <c r="B753" s="42" t="str">
        <f aca="false">IF(A753="100","HK",IF(A753="200","CN",IF(A753="300","TW","홀세일")))</f>
        <v>TW</v>
      </c>
      <c r="C753" s="45" t="s">
        <v>406</v>
      </c>
      <c r="D753" s="46" t="n">
        <v>150</v>
      </c>
      <c r="E753" s="46" t="n">
        <v>159000</v>
      </c>
      <c r="F753" s="46" t="n">
        <v>39900</v>
      </c>
      <c r="G753" s="42" t="n">
        <v>3.7</v>
      </c>
      <c r="H753" s="42" t="n">
        <v>38.5</v>
      </c>
      <c r="I753" s="42" t="n">
        <v>0</v>
      </c>
      <c r="J753" s="46" t="n">
        <f aca="false">IF(N(E753)&gt;0,E753,IF(N(F753)&gt;0,F753*요약!$F$27,0))</f>
        <v>159000</v>
      </c>
      <c r="K753" s="46" t="n">
        <f aca="false">IF(N(F753)&gt;0,F753,IF(N(E753)&gt;0,E753/요약!$F$27,0))</f>
        <v>39900</v>
      </c>
      <c r="L753" s="46" t="n">
        <f aca="false">IF(B753="CN",IF(N(I753)&gt;0,I753*요약!$G$27,K753*(1+요약!$E$27)),IF(N(H753)&gt;0,H753*요약!$G$27,J753*요약!$D$27))</f>
        <v>50820</v>
      </c>
      <c r="M753" s="46" t="n">
        <f aca="false">D753*J753</f>
        <v>23850000</v>
      </c>
      <c r="N753" s="46" t="n">
        <f aca="false">D753*K753</f>
        <v>5985000</v>
      </c>
      <c r="O753" s="46" t="n">
        <f aca="false">D753*L753</f>
        <v>7623000</v>
      </c>
      <c r="P753" s="42" t="str">
        <f aca="false">TRIM(IF(N(E753)&lt;=0,"택가보정 ","")&amp;IF(N(F753)&lt;=0,"원가보정 ","")&amp;IF(AND(B753&lt;&gt;"CN",N(H753)&lt;=0),"공급가보정 ","")&amp;IF(AND(B753="CN",N(I753)&lt;=0),"중국공급가=원가+마진 ",""))</f>
        <v/>
      </c>
      <c r="Q753" s="47" t="n">
        <f aca="false">IF(SUMIFS($W:$W,$A:$A,A753,$C:$C,C753)=0,0,SUMIFS(RAW_판매펀칭!$K:$K,RAW_판매펀칭!$P:$P,A753,RAW_판매펀칭!$I:$I,C753)*W753/SUMIFS($W:$W,$A:$A,A753,$C:$C,C753))</f>
        <v>150</v>
      </c>
      <c r="R753" s="47" t="n">
        <f aca="false">IF(OR(A753="500",A753="800",A753="810"),0,MAX(W753-Q753,0))</f>
        <v>0</v>
      </c>
      <c r="S753" s="47" t="n">
        <f aca="false">R753*L753</f>
        <v>0</v>
      </c>
      <c r="T753" s="47" t="n">
        <f aca="false">R753*J753</f>
        <v>0</v>
      </c>
      <c r="U753" s="47" t="n">
        <f aca="false">R753*K753</f>
        <v>0</v>
      </c>
      <c r="V753" s="0" t="str">
        <f aca="false">IF(COUNTIFS($A$2:A753,A753,$C$2:C753,C753,$D$2:D753,D753)&gt;1,"중복","")</f>
        <v/>
      </c>
      <c r="W753" s="0" t="n">
        <f aca="false">IF(V753="중복",0,N(D753))</f>
        <v>150</v>
      </c>
      <c r="X753" s="0" t="n">
        <f aca="false">IF(COUNTIFS($A$2:A753,A753,$C$2:C753,C753)=1,ABS(SUMIFS(RAW_발주!$D:$D,RAW_발주!$C:$C,A753,RAW_발주!$A:$A,C753)-SUMIFS($W:$W,$A:$A,A753,$C:$C,C753)),0)</f>
        <v>0</v>
      </c>
    </row>
    <row r="754" customFormat="false" ht="15" hidden="false" customHeight="true" outlineLevel="0" collapsed="false">
      <c r="A754" s="45" t="s">
        <v>1660</v>
      </c>
      <c r="B754" s="42" t="str">
        <f aca="false">IF(A754="100","HK",IF(A754="200","CN",IF(A754="300","TW","홀세일")))</f>
        <v>CN</v>
      </c>
      <c r="C754" s="45" t="s">
        <v>1057</v>
      </c>
      <c r="D754" s="46" t="n">
        <v>142</v>
      </c>
      <c r="E754" s="46" t="n">
        <v>199000</v>
      </c>
      <c r="F754" s="46" t="n">
        <v>57899</v>
      </c>
      <c r="G754" s="42" t="n">
        <v>3.14</v>
      </c>
      <c r="H754" s="42" t="n">
        <v>46.8</v>
      </c>
      <c r="I754" s="42" t="n">
        <v>45.8</v>
      </c>
      <c r="J754" s="46" t="n">
        <f aca="false">IF(N(E754)&gt;0,E754,IF(N(F754)&gt;0,F754*요약!$F$27,0))</f>
        <v>199000</v>
      </c>
      <c r="K754" s="46" t="n">
        <f aca="false">IF(N(F754)&gt;0,F754,IF(N(E754)&gt;0,E754/요약!$F$27,0))</f>
        <v>57899</v>
      </c>
      <c r="L754" s="46" t="n">
        <f aca="false">IF(B754="CN",IF(N(I754)&gt;0,I754*요약!$G$27,K754*(1+요약!$E$27)),IF(N(H754)&gt;0,H754*요약!$G$27,J754*요약!$D$27))</f>
        <v>60456</v>
      </c>
      <c r="M754" s="46" t="n">
        <f aca="false">D754*J754</f>
        <v>28258000</v>
      </c>
      <c r="N754" s="46" t="n">
        <f aca="false">D754*K754</f>
        <v>8221658</v>
      </c>
      <c r="O754" s="46" t="n">
        <f aca="false">D754*L754</f>
        <v>8584752</v>
      </c>
      <c r="P754" s="42" t="str">
        <f aca="false">TRIM(IF(N(E754)&lt;=0,"택가보정 ","")&amp;IF(N(F754)&lt;=0,"원가보정 ","")&amp;IF(AND(B754&lt;&gt;"CN",N(H754)&lt;=0),"공급가보정 ","")&amp;IF(AND(B754="CN",N(I754)&lt;=0),"중국공급가=원가+마진 ",""))</f>
        <v/>
      </c>
      <c r="Q754" s="47" t="n">
        <f aca="false">IF(SUMIFS($W:$W,$A:$A,A754,$C:$C,C754)=0,0,SUMIFS(RAW_판매펀칭!$K:$K,RAW_판매펀칭!$P:$P,A754,RAW_판매펀칭!$I:$I,C754)*W754/SUMIFS($W:$W,$A:$A,A754,$C:$C,C754))</f>
        <v>142</v>
      </c>
      <c r="R754" s="47" t="n">
        <f aca="false">IF(OR(A754="500",A754="800",A754="810"),0,MAX(W754-Q754,0))</f>
        <v>0</v>
      </c>
      <c r="S754" s="47" t="n">
        <f aca="false">R754*L754</f>
        <v>0</v>
      </c>
      <c r="T754" s="47" t="n">
        <f aca="false">R754*J754</f>
        <v>0</v>
      </c>
      <c r="U754" s="47" t="n">
        <f aca="false">R754*K754</f>
        <v>0</v>
      </c>
      <c r="V754" s="0" t="str">
        <f aca="false">IF(COUNTIFS($A$2:A754,A754,$C$2:C754,C754,$D$2:D754,D754)&gt;1,"중복","")</f>
        <v/>
      </c>
      <c r="W754" s="0" t="n">
        <f aca="false">IF(V754="중복",0,N(D754))</f>
        <v>142</v>
      </c>
      <c r="X754" s="0" t="n">
        <f aca="false">IF(COUNTIFS($A$2:A754,A754,$C$2:C754,C754)=1,ABS(SUMIFS(RAW_발주!$D:$D,RAW_발주!$C:$C,A754,RAW_발주!$A:$A,C754)-SUMIFS($W:$W,$A:$A,A754,$C:$C,C754)),0)</f>
        <v>0</v>
      </c>
    </row>
    <row r="755" customFormat="false" ht="15" hidden="false" customHeight="true" outlineLevel="0" collapsed="false">
      <c r="A755" s="45" t="s">
        <v>1662</v>
      </c>
      <c r="B755" s="42" t="str">
        <f aca="false">IF(A755="100","HK",IF(A755="200","CN",IF(A755="300","TW","홀세일")))</f>
        <v>홀세일</v>
      </c>
      <c r="C755" s="45" t="s">
        <v>1057</v>
      </c>
      <c r="D755" s="46" t="n">
        <v>40</v>
      </c>
      <c r="E755" s="46" t="n">
        <v>199000</v>
      </c>
      <c r="F755" s="46" t="n">
        <v>57899</v>
      </c>
      <c r="G755" s="42" t="n">
        <v>3.14</v>
      </c>
      <c r="H755" s="42" t="n">
        <v>46.8</v>
      </c>
      <c r="I755" s="42" t="n">
        <v>45.8</v>
      </c>
      <c r="J755" s="46" t="n">
        <f aca="false">IF(N(E755)&gt;0,E755,IF(N(F755)&gt;0,F755*요약!$F$27,0))</f>
        <v>199000</v>
      </c>
      <c r="K755" s="46" t="n">
        <f aca="false">IF(N(F755)&gt;0,F755,IF(N(E755)&gt;0,E755/요약!$F$27,0))</f>
        <v>57899</v>
      </c>
      <c r="L755" s="46" t="n">
        <f aca="false">IF(B755="CN",IF(N(I755)&gt;0,I755*요약!$G$27,K755*(1+요약!$E$27)),IF(N(H755)&gt;0,H755*요약!$G$27,J755*요약!$D$27))</f>
        <v>61776</v>
      </c>
      <c r="M755" s="46" t="n">
        <f aca="false">D755*J755</f>
        <v>7960000</v>
      </c>
      <c r="N755" s="46" t="n">
        <f aca="false">D755*K755</f>
        <v>2315960</v>
      </c>
      <c r="O755" s="46" t="n">
        <f aca="false">D755*L755</f>
        <v>2471040</v>
      </c>
      <c r="P755" s="42" t="str">
        <f aca="false">TRIM(IF(N(E755)&lt;=0,"택가보정 ","")&amp;IF(N(F755)&lt;=0,"원가보정 ","")&amp;IF(AND(B755&lt;&gt;"CN",N(H755)&lt;=0),"공급가보정 ","")&amp;IF(AND(B755="CN",N(I755)&lt;=0),"중국공급가=원가+마진 ",""))</f>
        <v/>
      </c>
      <c r="Q755" s="47" t="n">
        <f aca="false">IF(SUMIFS($W:$W,$A:$A,A755,$C:$C,C755)=0,0,SUMIFS(RAW_판매펀칭!$K:$K,RAW_판매펀칭!$P:$P,A755,RAW_판매펀칭!$I:$I,C755)*W755/SUMIFS($W:$W,$A:$A,A755,$C:$C,C755))</f>
        <v>0</v>
      </c>
      <c r="R755" s="47" t="n">
        <f aca="false">IF(OR(A755="500",A755="800",A755="810"),0,MAX(W755-Q755,0))</f>
        <v>0</v>
      </c>
      <c r="S755" s="47" t="n">
        <f aca="false">R755*L755</f>
        <v>0</v>
      </c>
      <c r="T755" s="47" t="n">
        <f aca="false">R755*J755</f>
        <v>0</v>
      </c>
      <c r="U755" s="47" t="n">
        <f aca="false">R755*K755</f>
        <v>0</v>
      </c>
      <c r="V755" s="0" t="str">
        <f aca="false">IF(COUNTIFS($A$2:A755,A755,$C$2:C755,C755,$D$2:D755,D755)&gt;1,"중복","")</f>
        <v/>
      </c>
      <c r="W755" s="0" t="n">
        <f aca="false">IF(V755="중복",0,N(D755))</f>
        <v>40</v>
      </c>
      <c r="X755" s="0" t="n">
        <f aca="false">IF(COUNTIFS($A$2:A755,A755,$C$2:C755,C755)=1,ABS(SUMIFS(RAW_발주!$D:$D,RAW_발주!$C:$C,A755,RAW_발주!$A:$A,C755)-SUMIFS($W:$W,$A:$A,A755,$C:$C,C755)),0)</f>
        <v>0</v>
      </c>
    </row>
    <row r="756" customFormat="false" ht="15" hidden="false" customHeight="true" outlineLevel="0" collapsed="false">
      <c r="A756" s="45" t="s">
        <v>1659</v>
      </c>
      <c r="B756" s="42" t="str">
        <f aca="false">IF(A756="100","HK",IF(A756="200","CN",IF(A756="300","TW","홀세일")))</f>
        <v>HK</v>
      </c>
      <c r="C756" s="45" t="s">
        <v>876</v>
      </c>
      <c r="D756" s="46" t="n">
        <v>120</v>
      </c>
      <c r="E756" s="46" t="n">
        <v>179000</v>
      </c>
      <c r="F756" s="46" t="n">
        <v>50900</v>
      </c>
      <c r="G756" s="42" t="n">
        <v>3.09</v>
      </c>
      <c r="H756" s="42" t="n">
        <v>42.1</v>
      </c>
      <c r="I756" s="42" t="n">
        <v>0</v>
      </c>
      <c r="J756" s="46" t="n">
        <f aca="false">IF(N(E756)&gt;0,E756,IF(N(F756)&gt;0,F756*요약!$F$27,0))</f>
        <v>179000</v>
      </c>
      <c r="K756" s="46" t="n">
        <f aca="false">IF(N(F756)&gt;0,F756,IF(N(E756)&gt;0,E756/요약!$F$27,0))</f>
        <v>50900</v>
      </c>
      <c r="L756" s="46" t="n">
        <f aca="false">IF(B756="CN",IF(N(I756)&gt;0,I756*요약!$G$27,K756*(1+요약!$E$27)),IF(N(H756)&gt;0,H756*요약!$G$27,J756*요약!$D$27))</f>
        <v>55572</v>
      </c>
      <c r="M756" s="46" t="n">
        <f aca="false">D756*J756</f>
        <v>21480000</v>
      </c>
      <c r="N756" s="46" t="n">
        <f aca="false">D756*K756</f>
        <v>6108000</v>
      </c>
      <c r="O756" s="46" t="n">
        <f aca="false">D756*L756</f>
        <v>6668640</v>
      </c>
      <c r="P756" s="42" t="str">
        <f aca="false">TRIM(IF(N(E756)&lt;=0,"택가보정 ","")&amp;IF(N(F756)&lt;=0,"원가보정 ","")&amp;IF(AND(B756&lt;&gt;"CN",N(H756)&lt;=0),"공급가보정 ","")&amp;IF(AND(B756="CN",N(I756)&lt;=0),"중국공급가=원가+마진 ",""))</f>
        <v/>
      </c>
      <c r="Q756" s="47" t="n">
        <f aca="false">IF(SUMIFS($W:$W,$A:$A,A756,$C:$C,C756)=0,0,SUMIFS(RAW_판매펀칭!$K:$K,RAW_판매펀칭!$P:$P,A756,RAW_판매펀칭!$I:$I,C756)*W756/SUMIFS($W:$W,$A:$A,A756,$C:$C,C756))</f>
        <v>120</v>
      </c>
      <c r="R756" s="47" t="n">
        <f aca="false">IF(OR(A756="500",A756="800",A756="810"),0,MAX(W756-Q756,0))</f>
        <v>0</v>
      </c>
      <c r="S756" s="47" t="n">
        <f aca="false">R756*L756</f>
        <v>0</v>
      </c>
      <c r="T756" s="47" t="n">
        <f aca="false">R756*J756</f>
        <v>0</v>
      </c>
      <c r="U756" s="47" t="n">
        <f aca="false">R756*K756</f>
        <v>0</v>
      </c>
      <c r="V756" s="0" t="str">
        <f aca="false">IF(COUNTIFS($A$2:A756,A756,$C$2:C756,C756,$D$2:D756,D756)&gt;1,"중복","")</f>
        <v/>
      </c>
      <c r="W756" s="0" t="n">
        <f aca="false">IF(V756="중복",0,N(D756))</f>
        <v>120</v>
      </c>
      <c r="X756" s="0" t="n">
        <f aca="false">IF(COUNTIFS($A$2:A756,A756,$C$2:C756,C756)=1,ABS(SUMIFS(RAW_발주!$D:$D,RAW_발주!$C:$C,A756,RAW_발주!$A:$A,C756)-SUMIFS($W:$W,$A:$A,A756,$C:$C,C756)),0)</f>
        <v>0</v>
      </c>
    </row>
    <row r="757" customFormat="false" ht="15" hidden="false" customHeight="true" outlineLevel="0" collapsed="false">
      <c r="A757" s="45" t="s">
        <v>1664</v>
      </c>
      <c r="B757" s="42" t="str">
        <f aca="false">IF(A757="100","HK",IF(A757="200","CN",IF(A757="300","TW","홀세일")))</f>
        <v>홀세일</v>
      </c>
      <c r="C757" s="45" t="s">
        <v>876</v>
      </c>
      <c r="D757" s="46" t="n">
        <v>40</v>
      </c>
      <c r="E757" s="46" t="n">
        <v>179000</v>
      </c>
      <c r="F757" s="46" t="n">
        <v>50900</v>
      </c>
      <c r="G757" s="42" t="n">
        <v>3.09</v>
      </c>
      <c r="H757" s="42" t="n">
        <v>42.1</v>
      </c>
      <c r="I757" s="42" t="n">
        <v>0</v>
      </c>
      <c r="J757" s="46" t="n">
        <f aca="false">IF(N(E757)&gt;0,E757,IF(N(F757)&gt;0,F757*요약!$F$27,0))</f>
        <v>179000</v>
      </c>
      <c r="K757" s="46" t="n">
        <f aca="false">IF(N(F757)&gt;0,F757,IF(N(E757)&gt;0,E757/요약!$F$27,0))</f>
        <v>50900</v>
      </c>
      <c r="L757" s="46" t="n">
        <f aca="false">IF(B757="CN",IF(N(I757)&gt;0,I757*요약!$G$27,K757*(1+요약!$E$27)),IF(N(H757)&gt;0,H757*요약!$G$27,J757*요약!$D$27))</f>
        <v>55572</v>
      </c>
      <c r="M757" s="46" t="n">
        <f aca="false">D757*J757</f>
        <v>7160000</v>
      </c>
      <c r="N757" s="46" t="n">
        <f aca="false">D757*K757</f>
        <v>2036000</v>
      </c>
      <c r="O757" s="46" t="n">
        <f aca="false">D757*L757</f>
        <v>2222880</v>
      </c>
      <c r="P757" s="42" t="str">
        <f aca="false">TRIM(IF(N(E757)&lt;=0,"택가보정 ","")&amp;IF(N(F757)&lt;=0,"원가보정 ","")&amp;IF(AND(B757&lt;&gt;"CN",N(H757)&lt;=0),"공급가보정 ","")&amp;IF(AND(B757="CN",N(I757)&lt;=0),"중국공급가=원가+마진 ",""))</f>
        <v/>
      </c>
      <c r="Q757" s="47" t="n">
        <f aca="false">IF(SUMIFS($W:$W,$A:$A,A757,$C:$C,C757)=0,0,SUMIFS(RAW_판매펀칭!$K:$K,RAW_판매펀칭!$P:$P,A757,RAW_판매펀칭!$I:$I,C757)*W757/SUMIFS($W:$W,$A:$A,A757,$C:$C,C757))</f>
        <v>0</v>
      </c>
      <c r="R757" s="47" t="n">
        <f aca="false">IF(OR(A757="500",A757="800",A757="810"),0,MAX(W757-Q757,0))</f>
        <v>0</v>
      </c>
      <c r="S757" s="47" t="n">
        <f aca="false">R757*L757</f>
        <v>0</v>
      </c>
      <c r="T757" s="47" t="n">
        <f aca="false">R757*J757</f>
        <v>0</v>
      </c>
      <c r="U757" s="47" t="n">
        <f aca="false">R757*K757</f>
        <v>0</v>
      </c>
      <c r="V757" s="0" t="str">
        <f aca="false">IF(COUNTIFS($A$2:A757,A757,$C$2:C757,C757,$D$2:D757,D757)&gt;1,"중복","")</f>
        <v/>
      </c>
      <c r="W757" s="0" t="n">
        <f aca="false">IF(V757="중복",0,N(D757))</f>
        <v>40</v>
      </c>
      <c r="X757" s="0" t="n">
        <f aca="false">IF(COUNTIFS($A$2:A757,A757,$C$2:C757,C757)=1,ABS(SUMIFS(RAW_발주!$D:$D,RAW_발주!$C:$C,A757,RAW_발주!$A:$A,C757)-SUMIFS($W:$W,$A:$A,A757,$C:$C,C757)),0)</f>
        <v>0</v>
      </c>
    </row>
    <row r="758" customFormat="false" ht="15" hidden="false" customHeight="true" outlineLevel="0" collapsed="false">
      <c r="A758" s="45" t="s">
        <v>1660</v>
      </c>
      <c r="B758" s="42" t="str">
        <f aca="false">IF(A758="100","HK",IF(A758="200","CN",IF(A758="300","TW","홀세일")))</f>
        <v>CN</v>
      </c>
      <c r="C758" s="45" t="s">
        <v>1059</v>
      </c>
      <c r="D758" s="46" t="n">
        <v>71</v>
      </c>
      <c r="E758" s="46" t="n">
        <v>279000</v>
      </c>
      <c r="F758" s="46" t="n">
        <v>73158</v>
      </c>
      <c r="G758" s="42" t="n">
        <v>3.21</v>
      </c>
      <c r="H758" s="42" t="n">
        <v>69.9</v>
      </c>
      <c r="I758" s="42" t="n">
        <v>61.8</v>
      </c>
      <c r="J758" s="46" t="n">
        <f aca="false">IF(N(E758)&gt;0,E758,IF(N(F758)&gt;0,F758*요약!$F$27,0))</f>
        <v>279000</v>
      </c>
      <c r="K758" s="46" t="n">
        <f aca="false">IF(N(F758)&gt;0,F758,IF(N(E758)&gt;0,E758/요약!$F$27,0))</f>
        <v>73158</v>
      </c>
      <c r="L758" s="46" t="n">
        <f aca="false">IF(B758="CN",IF(N(I758)&gt;0,I758*요약!$G$27,K758*(1+요약!$E$27)),IF(N(H758)&gt;0,H758*요약!$G$27,J758*요약!$D$27))</f>
        <v>81576</v>
      </c>
      <c r="M758" s="46" t="n">
        <f aca="false">D758*J758</f>
        <v>19809000</v>
      </c>
      <c r="N758" s="46" t="n">
        <f aca="false">D758*K758</f>
        <v>5194218</v>
      </c>
      <c r="O758" s="46" t="n">
        <f aca="false">D758*L758</f>
        <v>5791896</v>
      </c>
      <c r="P758" s="42" t="str">
        <f aca="false">TRIM(IF(N(E758)&lt;=0,"택가보정 ","")&amp;IF(N(F758)&lt;=0,"원가보정 ","")&amp;IF(AND(B758&lt;&gt;"CN",N(H758)&lt;=0),"공급가보정 ","")&amp;IF(AND(B758="CN",N(I758)&lt;=0),"중국공급가=원가+마진 ",""))</f>
        <v/>
      </c>
      <c r="Q758" s="47" t="n">
        <f aca="false">IF(SUMIFS($W:$W,$A:$A,A758,$C:$C,C758)=0,0,SUMIFS(RAW_판매펀칭!$K:$K,RAW_판매펀칭!$P:$P,A758,RAW_판매펀칭!$I:$I,C758)*W758/SUMIFS($W:$W,$A:$A,A758,$C:$C,C758))</f>
        <v>71</v>
      </c>
      <c r="R758" s="47" t="n">
        <f aca="false">IF(OR(A758="500",A758="800",A758="810"),0,MAX(W758-Q758,0))</f>
        <v>0</v>
      </c>
      <c r="S758" s="47" t="n">
        <f aca="false">R758*L758</f>
        <v>0</v>
      </c>
      <c r="T758" s="47" t="n">
        <f aca="false">R758*J758</f>
        <v>0</v>
      </c>
      <c r="U758" s="47" t="n">
        <f aca="false">R758*K758</f>
        <v>0</v>
      </c>
      <c r="V758" s="0" t="str">
        <f aca="false">IF(COUNTIFS($A$2:A758,A758,$C$2:C758,C758,$D$2:D758,D758)&gt;1,"중복","")</f>
        <v/>
      </c>
      <c r="W758" s="0" t="n">
        <f aca="false">IF(V758="중복",0,N(D758))</f>
        <v>71</v>
      </c>
      <c r="X758" s="0" t="n">
        <f aca="false">IF(COUNTIFS($A$2:A758,A758,$C$2:C758,C758)=1,ABS(SUMIFS(RAW_발주!$D:$D,RAW_발주!$C:$C,A758,RAW_발주!$A:$A,C758)-SUMIFS($W:$W,$A:$A,A758,$C:$C,C758)),0)</f>
        <v>0</v>
      </c>
    </row>
    <row r="759" customFormat="false" ht="15" hidden="false" customHeight="true" outlineLevel="0" collapsed="false">
      <c r="A759" s="45" t="s">
        <v>1662</v>
      </c>
      <c r="B759" s="42" t="str">
        <f aca="false">IF(A759="100","HK",IF(A759="200","CN",IF(A759="300","TW","홀세일")))</f>
        <v>홀세일</v>
      </c>
      <c r="C759" s="45" t="s">
        <v>1059</v>
      </c>
      <c r="D759" s="46" t="n">
        <v>100</v>
      </c>
      <c r="E759" s="46" t="n">
        <v>279000</v>
      </c>
      <c r="F759" s="46" t="n">
        <v>73158</v>
      </c>
      <c r="G759" s="42" t="n">
        <v>3.21</v>
      </c>
      <c r="H759" s="42" t="n">
        <v>69.9</v>
      </c>
      <c r="I759" s="42" t="n">
        <v>61.8</v>
      </c>
      <c r="J759" s="46" t="n">
        <f aca="false">IF(N(E759)&gt;0,E759,IF(N(F759)&gt;0,F759*요약!$F$27,0))</f>
        <v>279000</v>
      </c>
      <c r="K759" s="46" t="n">
        <f aca="false">IF(N(F759)&gt;0,F759,IF(N(E759)&gt;0,E759/요약!$F$27,0))</f>
        <v>73158</v>
      </c>
      <c r="L759" s="46" t="n">
        <f aca="false">IF(B759="CN",IF(N(I759)&gt;0,I759*요약!$G$27,K759*(1+요약!$E$27)),IF(N(H759)&gt;0,H759*요약!$G$27,J759*요약!$D$27))</f>
        <v>92268</v>
      </c>
      <c r="M759" s="46" t="n">
        <f aca="false">D759*J759</f>
        <v>27900000</v>
      </c>
      <c r="N759" s="46" t="n">
        <f aca="false">D759*K759</f>
        <v>7315800</v>
      </c>
      <c r="O759" s="46" t="n">
        <f aca="false">D759*L759</f>
        <v>9226800</v>
      </c>
      <c r="P759" s="42" t="str">
        <f aca="false">TRIM(IF(N(E759)&lt;=0,"택가보정 ","")&amp;IF(N(F759)&lt;=0,"원가보정 ","")&amp;IF(AND(B759&lt;&gt;"CN",N(H759)&lt;=0),"공급가보정 ","")&amp;IF(AND(B759="CN",N(I759)&lt;=0),"중국공급가=원가+마진 ",""))</f>
        <v/>
      </c>
      <c r="Q759" s="47" t="n">
        <f aca="false">IF(SUMIFS($W:$W,$A:$A,A759,$C:$C,C759)=0,0,SUMIFS(RAW_판매펀칭!$K:$K,RAW_판매펀칭!$P:$P,A759,RAW_판매펀칭!$I:$I,C759)*W759/SUMIFS($W:$W,$A:$A,A759,$C:$C,C759))</f>
        <v>0</v>
      </c>
      <c r="R759" s="47" t="n">
        <f aca="false">IF(OR(A759="500",A759="800",A759="810"),0,MAX(W759-Q759,0))</f>
        <v>0</v>
      </c>
      <c r="S759" s="47" t="n">
        <f aca="false">R759*L759</f>
        <v>0</v>
      </c>
      <c r="T759" s="47" t="n">
        <f aca="false">R759*J759</f>
        <v>0</v>
      </c>
      <c r="U759" s="47" t="n">
        <f aca="false">R759*K759</f>
        <v>0</v>
      </c>
      <c r="V759" s="0" t="str">
        <f aca="false">IF(COUNTIFS($A$2:A759,A759,$C$2:C759,C759,$D$2:D759,D759)&gt;1,"중복","")</f>
        <v/>
      </c>
      <c r="W759" s="0" t="n">
        <f aca="false">IF(V759="중복",0,N(D759))</f>
        <v>100</v>
      </c>
      <c r="X759" s="0" t="n">
        <f aca="false">IF(COUNTIFS($A$2:A759,A759,$C$2:C759,C759)=1,ABS(SUMIFS(RAW_발주!$D:$D,RAW_발주!$C:$C,A759,RAW_발주!$A:$A,C759)-SUMIFS($W:$W,$A:$A,A759,$C:$C,C759)),0)</f>
        <v>0</v>
      </c>
    </row>
    <row r="760" customFormat="false" ht="15" hidden="false" customHeight="true" outlineLevel="0" collapsed="false">
      <c r="A760" s="45" t="s">
        <v>1667</v>
      </c>
      <c r="B760" s="42" t="str">
        <f aca="false">IF(A760="100","HK",IF(A760="200","CN",IF(A760="300","TW","홀세일")))</f>
        <v>홀세일</v>
      </c>
      <c r="C760" s="45" t="s">
        <v>1059</v>
      </c>
      <c r="D760" s="46" t="n">
        <v>152</v>
      </c>
      <c r="E760" s="46" t="n">
        <v>279000</v>
      </c>
      <c r="F760" s="46" t="n">
        <v>73158</v>
      </c>
      <c r="G760" s="42" t="n">
        <v>3.21</v>
      </c>
      <c r="H760" s="42" t="n">
        <v>69.9</v>
      </c>
      <c r="I760" s="42" t="n">
        <v>61.8</v>
      </c>
      <c r="J760" s="46" t="n">
        <f aca="false">IF(N(E760)&gt;0,E760,IF(N(F760)&gt;0,F760*요약!$F$27,0))</f>
        <v>279000</v>
      </c>
      <c r="K760" s="46" t="n">
        <f aca="false">IF(N(F760)&gt;0,F760,IF(N(E760)&gt;0,E760/요약!$F$27,0))</f>
        <v>73158</v>
      </c>
      <c r="L760" s="46" t="n">
        <f aca="false">IF(B760="CN",IF(N(I760)&gt;0,I760*요약!$G$27,K760*(1+요약!$E$27)),IF(N(H760)&gt;0,H760*요약!$G$27,J760*요약!$D$27))</f>
        <v>92268</v>
      </c>
      <c r="M760" s="46" t="n">
        <f aca="false">D760*J760</f>
        <v>42408000</v>
      </c>
      <c r="N760" s="46" t="n">
        <f aca="false">D760*K760</f>
        <v>11120016</v>
      </c>
      <c r="O760" s="46" t="n">
        <f aca="false">D760*L760</f>
        <v>14024736</v>
      </c>
      <c r="P760" s="42" t="str">
        <f aca="false">TRIM(IF(N(E760)&lt;=0,"택가보정 ","")&amp;IF(N(F760)&lt;=0,"원가보정 ","")&amp;IF(AND(B760&lt;&gt;"CN",N(H760)&lt;=0),"공급가보정 ","")&amp;IF(AND(B760="CN",N(I760)&lt;=0),"중국공급가=원가+마진 ",""))</f>
        <v/>
      </c>
      <c r="Q760" s="47" t="n">
        <f aca="false">IF(SUMIFS($W:$W,$A:$A,A760,$C:$C,C760)=0,0,SUMIFS(RAW_판매펀칭!$K:$K,RAW_판매펀칭!$P:$P,A760,RAW_판매펀칭!$I:$I,C760)*W760/SUMIFS($W:$W,$A:$A,A760,$C:$C,C760))</f>
        <v>0</v>
      </c>
      <c r="R760" s="47" t="n">
        <f aca="false">IF(OR(A760="500",A760="800",A760="810"),0,MAX(W760-Q760,0))</f>
        <v>152</v>
      </c>
      <c r="S760" s="47" t="n">
        <f aca="false">R760*L760</f>
        <v>14024736</v>
      </c>
      <c r="T760" s="47" t="n">
        <f aca="false">R760*J760</f>
        <v>42408000</v>
      </c>
      <c r="U760" s="47" t="n">
        <f aca="false">R760*K760</f>
        <v>11120016</v>
      </c>
      <c r="V760" s="0" t="str">
        <f aca="false">IF(COUNTIFS($A$2:A760,A760,$C$2:C760,C760,$D$2:D760,D760)&gt;1,"중복","")</f>
        <v/>
      </c>
      <c r="W760" s="0" t="n">
        <f aca="false">IF(V760="중복",0,N(D760))</f>
        <v>152</v>
      </c>
      <c r="X760" s="0" t="n">
        <f aca="false">IF(COUNTIFS($A$2:A760,A760,$C$2:C760,C760)=1,ABS(SUMIFS(RAW_발주!$D:$D,RAW_발주!$C:$C,A760,RAW_발주!$A:$A,C760)-SUMIFS($W:$W,$A:$A,A760,$C:$C,C760)),0)</f>
        <v>0</v>
      </c>
    </row>
    <row r="761" customFormat="false" ht="15" hidden="false" customHeight="true" outlineLevel="0" collapsed="false">
      <c r="A761" s="45" t="s">
        <v>1659</v>
      </c>
      <c r="B761" s="42" t="str">
        <f aca="false">IF(A761="100","HK",IF(A761="200","CN",IF(A761="300","TW","홀세일")))</f>
        <v>HK</v>
      </c>
      <c r="C761" s="45" t="s">
        <v>878</v>
      </c>
      <c r="D761" s="46" t="n">
        <v>140</v>
      </c>
      <c r="E761" s="46" t="n">
        <v>259000</v>
      </c>
      <c r="F761" s="46" t="n">
        <v>70900</v>
      </c>
      <c r="G761" s="42" t="n">
        <v>3.63</v>
      </c>
      <c r="H761" s="42" t="n">
        <v>64.9</v>
      </c>
      <c r="I761" s="42" t="n">
        <v>0</v>
      </c>
      <c r="J761" s="46" t="n">
        <f aca="false">IF(N(E761)&gt;0,E761,IF(N(F761)&gt;0,F761*요약!$F$27,0))</f>
        <v>259000</v>
      </c>
      <c r="K761" s="46" t="n">
        <f aca="false">IF(N(F761)&gt;0,F761,IF(N(E761)&gt;0,E761/요약!$F$27,0))</f>
        <v>70900</v>
      </c>
      <c r="L761" s="46" t="n">
        <f aca="false">IF(B761="CN",IF(N(I761)&gt;0,I761*요약!$G$27,K761*(1+요약!$E$27)),IF(N(H761)&gt;0,H761*요약!$G$27,J761*요약!$D$27))</f>
        <v>85668</v>
      </c>
      <c r="M761" s="46" t="n">
        <f aca="false">D761*J761</f>
        <v>36260000</v>
      </c>
      <c r="N761" s="46" t="n">
        <f aca="false">D761*K761</f>
        <v>9926000</v>
      </c>
      <c r="O761" s="46" t="n">
        <f aca="false">D761*L761</f>
        <v>11993520</v>
      </c>
      <c r="P761" s="42" t="str">
        <f aca="false">TRIM(IF(N(E761)&lt;=0,"택가보정 ","")&amp;IF(N(F761)&lt;=0,"원가보정 ","")&amp;IF(AND(B761&lt;&gt;"CN",N(H761)&lt;=0),"공급가보정 ","")&amp;IF(AND(B761="CN",N(I761)&lt;=0),"중국공급가=원가+마진 ",""))</f>
        <v/>
      </c>
      <c r="Q761" s="47" t="n">
        <f aca="false">IF(SUMIFS($W:$W,$A:$A,A761,$C:$C,C761)=0,0,SUMIFS(RAW_판매펀칭!$K:$K,RAW_판매펀칭!$P:$P,A761,RAW_판매펀칭!$I:$I,C761)*W761/SUMIFS($W:$W,$A:$A,A761,$C:$C,C761))</f>
        <v>140</v>
      </c>
      <c r="R761" s="47" t="n">
        <f aca="false">IF(OR(A761="500",A761="800",A761="810"),0,MAX(W761-Q761,0))</f>
        <v>0</v>
      </c>
      <c r="S761" s="47" t="n">
        <f aca="false">R761*L761</f>
        <v>0</v>
      </c>
      <c r="T761" s="47" t="n">
        <f aca="false">R761*J761</f>
        <v>0</v>
      </c>
      <c r="U761" s="47" t="n">
        <f aca="false">R761*K761</f>
        <v>0</v>
      </c>
      <c r="V761" s="0" t="str">
        <f aca="false">IF(COUNTIFS($A$2:A761,A761,$C$2:C761,C761,$D$2:D761,D761)&gt;1,"중복","")</f>
        <v/>
      </c>
      <c r="W761" s="0" t="n">
        <f aca="false">IF(V761="중복",0,N(D761))</f>
        <v>140</v>
      </c>
      <c r="X761" s="0" t="n">
        <f aca="false">IF(COUNTIFS($A$2:A761,A761,$C$2:C761,C761)=1,ABS(SUMIFS(RAW_발주!$D:$D,RAW_발주!$C:$C,A761,RAW_발주!$A:$A,C761)-SUMIFS($W:$W,$A:$A,A761,$C:$C,C761)),0)</f>
        <v>0</v>
      </c>
    </row>
    <row r="762" customFormat="false" ht="15" hidden="false" customHeight="true" outlineLevel="0" collapsed="false">
      <c r="A762" s="45" t="s">
        <v>1663</v>
      </c>
      <c r="B762" s="42" t="str">
        <f aca="false">IF(A762="100","HK",IF(A762="200","CN",IF(A762="300","TW","홀세일")))</f>
        <v>홀세일</v>
      </c>
      <c r="C762" s="45" t="s">
        <v>878</v>
      </c>
      <c r="D762" s="46" t="n">
        <v>20</v>
      </c>
      <c r="E762" s="46" t="n">
        <v>259000</v>
      </c>
      <c r="F762" s="46" t="n">
        <v>70900</v>
      </c>
      <c r="G762" s="42" t="n">
        <v>3.63</v>
      </c>
      <c r="H762" s="42" t="n">
        <v>64.9</v>
      </c>
      <c r="I762" s="42" t="n">
        <v>0</v>
      </c>
      <c r="J762" s="46" t="n">
        <f aca="false">IF(N(E762)&gt;0,E762,IF(N(F762)&gt;0,F762*요약!$F$27,0))</f>
        <v>259000</v>
      </c>
      <c r="K762" s="46" t="n">
        <f aca="false">IF(N(F762)&gt;0,F762,IF(N(E762)&gt;0,E762/요약!$F$27,0))</f>
        <v>70900</v>
      </c>
      <c r="L762" s="46" t="n">
        <f aca="false">IF(B762="CN",IF(N(I762)&gt;0,I762*요약!$G$27,K762*(1+요약!$E$27)),IF(N(H762)&gt;0,H762*요약!$G$27,J762*요약!$D$27))</f>
        <v>85668</v>
      </c>
      <c r="M762" s="46" t="n">
        <f aca="false">D762*J762</f>
        <v>5180000</v>
      </c>
      <c r="N762" s="46" t="n">
        <f aca="false">D762*K762</f>
        <v>1418000</v>
      </c>
      <c r="O762" s="46" t="n">
        <f aca="false">D762*L762</f>
        <v>1713360</v>
      </c>
      <c r="P762" s="42" t="str">
        <f aca="false">TRIM(IF(N(E762)&lt;=0,"택가보정 ","")&amp;IF(N(F762)&lt;=0,"원가보정 ","")&amp;IF(AND(B762&lt;&gt;"CN",N(H762)&lt;=0),"공급가보정 ","")&amp;IF(AND(B762="CN",N(I762)&lt;=0),"중국공급가=원가+마진 ",""))</f>
        <v/>
      </c>
      <c r="Q762" s="47" t="n">
        <f aca="false">IF(SUMIFS($W:$W,$A:$A,A762,$C:$C,C762)=0,0,SUMIFS(RAW_판매펀칭!$K:$K,RAW_판매펀칭!$P:$P,A762,RAW_판매펀칭!$I:$I,C762)*W762/SUMIFS($W:$W,$A:$A,A762,$C:$C,C762))</f>
        <v>20</v>
      </c>
      <c r="R762" s="47" t="n">
        <f aca="false">IF(OR(A762="500",A762="800",A762="810"),0,MAX(W762-Q762,0))</f>
        <v>0</v>
      </c>
      <c r="S762" s="47" t="n">
        <f aca="false">R762*L762</f>
        <v>0</v>
      </c>
      <c r="T762" s="47" t="n">
        <f aca="false">R762*J762</f>
        <v>0</v>
      </c>
      <c r="U762" s="47" t="n">
        <f aca="false">R762*K762</f>
        <v>0</v>
      </c>
      <c r="V762" s="0" t="str">
        <f aca="false">IF(COUNTIFS($A$2:A762,A762,$C$2:C762,C762,$D$2:D762,D762)&gt;1,"중복","")</f>
        <v/>
      </c>
      <c r="W762" s="0" t="n">
        <f aca="false">IF(V762="중복",0,N(D762))</f>
        <v>20</v>
      </c>
      <c r="X762" s="0" t="n">
        <f aca="false">IF(COUNTIFS($A$2:A762,A762,$C$2:C762,C762)=1,ABS(SUMIFS(RAW_발주!$D:$D,RAW_발주!$C:$C,A762,RAW_발주!$A:$A,C762)-SUMIFS($W:$W,$A:$A,A762,$C:$C,C762)),0)</f>
        <v>0</v>
      </c>
    </row>
    <row r="763" customFormat="false" ht="15" hidden="false" customHeight="true" outlineLevel="0" collapsed="false">
      <c r="A763" s="45" t="s">
        <v>1662</v>
      </c>
      <c r="B763" s="42" t="str">
        <f aca="false">IF(A763="100","HK",IF(A763="200","CN",IF(A763="300","TW","홀세일")))</f>
        <v>홀세일</v>
      </c>
      <c r="C763" s="45" t="s">
        <v>1680</v>
      </c>
      <c r="D763" s="46" t="n">
        <v>240</v>
      </c>
      <c r="E763" s="46" t="n">
        <v>259000</v>
      </c>
      <c r="F763" s="46" t="n">
        <v>77400</v>
      </c>
      <c r="G763" s="42" t="n">
        <v>3.02</v>
      </c>
      <c r="H763" s="42" t="n">
        <v>64.9</v>
      </c>
      <c r="I763" s="42" t="n">
        <v>0</v>
      </c>
      <c r="J763" s="46" t="n">
        <f aca="false">IF(N(E763)&gt;0,E763,IF(N(F763)&gt;0,F763*요약!$F$27,0))</f>
        <v>259000</v>
      </c>
      <c r="K763" s="46" t="n">
        <f aca="false">IF(N(F763)&gt;0,F763,IF(N(E763)&gt;0,E763/요약!$F$27,0))</f>
        <v>77400</v>
      </c>
      <c r="L763" s="46" t="n">
        <f aca="false">IF(B763="CN",IF(N(I763)&gt;0,I763*요약!$G$27,K763*(1+요약!$E$27)),IF(N(H763)&gt;0,H763*요약!$G$27,J763*요약!$D$27))</f>
        <v>85668</v>
      </c>
      <c r="M763" s="46" t="n">
        <f aca="false">D763*J763</f>
        <v>62160000</v>
      </c>
      <c r="N763" s="46" t="n">
        <f aca="false">D763*K763</f>
        <v>18576000</v>
      </c>
      <c r="O763" s="46" t="n">
        <f aca="false">D763*L763</f>
        <v>20560320</v>
      </c>
      <c r="P763" s="42" t="str">
        <f aca="false">TRIM(IF(N(E763)&lt;=0,"택가보정 ","")&amp;IF(N(F763)&lt;=0,"원가보정 ","")&amp;IF(AND(B763&lt;&gt;"CN",N(H763)&lt;=0),"공급가보정 ","")&amp;IF(AND(B763="CN",N(I763)&lt;=0),"중국공급가=원가+마진 ",""))</f>
        <v/>
      </c>
      <c r="Q763" s="47" t="n">
        <f aca="false">IF(SUMIFS($W:$W,$A:$A,A763,$C:$C,C763)=0,0,SUMIFS(RAW_판매펀칭!$K:$K,RAW_판매펀칭!$P:$P,A763,RAW_판매펀칭!$I:$I,C763)*W763/SUMIFS($W:$W,$A:$A,A763,$C:$C,C763))</f>
        <v>0</v>
      </c>
      <c r="R763" s="47" t="n">
        <f aca="false">IF(OR(A763="500",A763="800",A763="810"),0,MAX(W763-Q763,0))</f>
        <v>0</v>
      </c>
      <c r="S763" s="47" t="n">
        <f aca="false">R763*L763</f>
        <v>0</v>
      </c>
      <c r="T763" s="47" t="n">
        <f aca="false">R763*J763</f>
        <v>0</v>
      </c>
      <c r="U763" s="47" t="n">
        <f aca="false">R763*K763</f>
        <v>0</v>
      </c>
      <c r="V763" s="0" t="str">
        <f aca="false">IF(COUNTIFS($A$2:A763,A763,$C$2:C763,C763,$D$2:D763,D763)&gt;1,"중복","")</f>
        <v/>
      </c>
      <c r="W763" s="0" t="n">
        <f aca="false">IF(V763="중복",0,N(D763))</f>
        <v>240</v>
      </c>
      <c r="X763" s="0" t="n">
        <f aca="false">IF(COUNTIFS($A$2:A763,A763,$C$2:C763,C763)=1,ABS(SUMIFS(RAW_발주!$D:$D,RAW_발주!$C:$C,A763,RAW_발주!$A:$A,C763)-SUMIFS($W:$W,$A:$A,A763,$C:$C,C763)),0)</f>
        <v>0</v>
      </c>
    </row>
    <row r="764" customFormat="false" ht="15" hidden="false" customHeight="true" outlineLevel="0" collapsed="false">
      <c r="A764" s="45" t="s">
        <v>1659</v>
      </c>
      <c r="B764" s="42" t="str">
        <f aca="false">IF(A764="100","HK",IF(A764="200","CN",IF(A764="300","TW","홀세일")))</f>
        <v>HK</v>
      </c>
      <c r="C764" s="45" t="s">
        <v>408</v>
      </c>
      <c r="D764" s="46" t="n">
        <v>90</v>
      </c>
      <c r="E764" s="46" t="n">
        <v>590000</v>
      </c>
      <c r="F764" s="46" t="n">
        <v>208454</v>
      </c>
      <c r="G764" s="42" t="n">
        <v>3.15</v>
      </c>
      <c r="H764" s="42" t="n">
        <v>147.7</v>
      </c>
      <c r="I764" s="42" t="n">
        <v>148.7</v>
      </c>
      <c r="J764" s="46" t="n">
        <f aca="false">IF(N(E764)&gt;0,E764,IF(N(F764)&gt;0,F764*요약!$F$27,0))</f>
        <v>590000</v>
      </c>
      <c r="K764" s="46" t="n">
        <f aca="false">IF(N(F764)&gt;0,F764,IF(N(E764)&gt;0,E764/요약!$F$27,0))</f>
        <v>208454</v>
      </c>
      <c r="L764" s="46" t="n">
        <f aca="false">IF(B764="CN",IF(N(I764)&gt;0,I764*요약!$G$27,K764*(1+요약!$E$27)),IF(N(H764)&gt;0,H764*요약!$G$27,J764*요약!$D$27))</f>
        <v>194964</v>
      </c>
      <c r="M764" s="46" t="n">
        <f aca="false">D764*J764</f>
        <v>53100000</v>
      </c>
      <c r="N764" s="46" t="n">
        <f aca="false">D764*K764</f>
        <v>18760860</v>
      </c>
      <c r="O764" s="46" t="n">
        <f aca="false">D764*L764</f>
        <v>17546760</v>
      </c>
      <c r="P764" s="42" t="str">
        <f aca="false">TRIM(IF(N(E764)&lt;=0,"택가보정 ","")&amp;IF(N(F764)&lt;=0,"원가보정 ","")&amp;IF(AND(B764&lt;&gt;"CN",N(H764)&lt;=0),"공급가보정 ","")&amp;IF(AND(B764="CN",N(I764)&lt;=0),"중국공급가=원가+마진 ",""))</f>
        <v/>
      </c>
      <c r="Q764" s="47" t="n">
        <f aca="false">IF(SUMIFS($W:$W,$A:$A,A764,$C:$C,C764)=0,0,SUMIFS(RAW_판매펀칭!$K:$K,RAW_판매펀칭!$P:$P,A764,RAW_판매펀칭!$I:$I,C764)*W764/SUMIFS($W:$W,$A:$A,A764,$C:$C,C764))</f>
        <v>90</v>
      </c>
      <c r="R764" s="47" t="n">
        <f aca="false">IF(OR(A764="500",A764="800",A764="810"),0,MAX(W764-Q764,0))</f>
        <v>0</v>
      </c>
      <c r="S764" s="47" t="n">
        <f aca="false">R764*L764</f>
        <v>0</v>
      </c>
      <c r="T764" s="47" t="n">
        <f aca="false">R764*J764</f>
        <v>0</v>
      </c>
      <c r="U764" s="47" t="n">
        <f aca="false">R764*K764</f>
        <v>0</v>
      </c>
      <c r="V764" s="0" t="str">
        <f aca="false">IF(COUNTIFS($A$2:A764,A764,$C$2:C764,C764,$D$2:D764,D764)&gt;1,"중복","")</f>
        <v/>
      </c>
      <c r="W764" s="0" t="n">
        <f aca="false">IF(V764="중복",0,N(D764))</f>
        <v>90</v>
      </c>
      <c r="X764" s="0" t="n">
        <f aca="false">IF(COUNTIFS($A$2:A764,A764,$C$2:C764,C764)=1,ABS(SUMIFS(RAW_발주!$D:$D,RAW_발주!$C:$C,A764,RAW_발주!$A:$A,C764)-SUMIFS($W:$W,$A:$A,A764,$C:$C,C764)),0)</f>
        <v>0</v>
      </c>
    </row>
    <row r="765" customFormat="false" ht="15" hidden="false" customHeight="true" outlineLevel="0" collapsed="false">
      <c r="A765" s="45" t="s">
        <v>1660</v>
      </c>
      <c r="B765" s="42" t="str">
        <f aca="false">IF(A765="100","HK",IF(A765="200","CN",IF(A765="300","TW","홀세일")))</f>
        <v>CN</v>
      </c>
      <c r="C765" s="45" t="s">
        <v>408</v>
      </c>
      <c r="D765" s="46" t="n">
        <v>82</v>
      </c>
      <c r="E765" s="46" t="n">
        <v>590000</v>
      </c>
      <c r="F765" s="46" t="n">
        <v>208454</v>
      </c>
      <c r="G765" s="42" t="n">
        <v>3.15</v>
      </c>
      <c r="H765" s="42" t="n">
        <v>147.7</v>
      </c>
      <c r="I765" s="42" t="n">
        <v>148.7</v>
      </c>
      <c r="J765" s="46" t="n">
        <f aca="false">IF(N(E765)&gt;0,E765,IF(N(F765)&gt;0,F765*요약!$F$27,0))</f>
        <v>590000</v>
      </c>
      <c r="K765" s="46" t="n">
        <f aca="false">IF(N(F765)&gt;0,F765,IF(N(E765)&gt;0,E765/요약!$F$27,0))</f>
        <v>208454</v>
      </c>
      <c r="L765" s="46" t="n">
        <f aca="false">IF(B765="CN",IF(N(I765)&gt;0,I765*요약!$G$27,K765*(1+요약!$E$27)),IF(N(H765)&gt;0,H765*요약!$G$27,J765*요약!$D$27))</f>
        <v>196284</v>
      </c>
      <c r="M765" s="46" t="n">
        <f aca="false">D765*J765</f>
        <v>48380000</v>
      </c>
      <c r="N765" s="46" t="n">
        <f aca="false">D765*K765</f>
        <v>17093228</v>
      </c>
      <c r="O765" s="46" t="n">
        <f aca="false">D765*L765</f>
        <v>16095288</v>
      </c>
      <c r="P765" s="42" t="str">
        <f aca="false">TRIM(IF(N(E765)&lt;=0,"택가보정 ","")&amp;IF(N(F765)&lt;=0,"원가보정 ","")&amp;IF(AND(B765&lt;&gt;"CN",N(H765)&lt;=0),"공급가보정 ","")&amp;IF(AND(B765="CN",N(I765)&lt;=0),"중국공급가=원가+마진 ",""))</f>
        <v/>
      </c>
      <c r="Q765" s="47" t="n">
        <f aca="false">IF(SUMIFS($W:$W,$A:$A,A765,$C:$C,C765)=0,0,SUMIFS(RAW_판매펀칭!$K:$K,RAW_판매펀칭!$P:$P,A765,RAW_판매펀칭!$I:$I,C765)*W765/SUMIFS($W:$W,$A:$A,A765,$C:$C,C765))</f>
        <v>82</v>
      </c>
      <c r="R765" s="47" t="n">
        <f aca="false">IF(OR(A765="500",A765="800",A765="810"),0,MAX(W765-Q765,0))</f>
        <v>0</v>
      </c>
      <c r="S765" s="47" t="n">
        <f aca="false">R765*L765</f>
        <v>0</v>
      </c>
      <c r="T765" s="47" t="n">
        <f aca="false">R765*J765</f>
        <v>0</v>
      </c>
      <c r="U765" s="47" t="n">
        <f aca="false">R765*K765</f>
        <v>0</v>
      </c>
      <c r="V765" s="0" t="str">
        <f aca="false">IF(COUNTIFS($A$2:A765,A765,$C$2:C765,C765,$D$2:D765,D765)&gt;1,"중복","")</f>
        <v/>
      </c>
      <c r="W765" s="0" t="n">
        <f aca="false">IF(V765="중복",0,N(D765))</f>
        <v>82</v>
      </c>
      <c r="X765" s="0" t="n">
        <f aca="false">IF(COUNTIFS($A$2:A765,A765,$C$2:C765,C765)=1,ABS(SUMIFS(RAW_발주!$D:$D,RAW_발주!$C:$C,A765,RAW_발주!$A:$A,C765)-SUMIFS($W:$W,$A:$A,A765,$C:$C,C765)),0)</f>
        <v>0</v>
      </c>
    </row>
    <row r="766" customFormat="false" ht="15" hidden="false" customHeight="true" outlineLevel="0" collapsed="false">
      <c r="A766" s="45" t="s">
        <v>1661</v>
      </c>
      <c r="B766" s="42" t="str">
        <f aca="false">IF(A766="100","HK",IF(A766="200","CN",IF(A766="300","TW","홀세일")))</f>
        <v>TW</v>
      </c>
      <c r="C766" s="45" t="s">
        <v>408</v>
      </c>
      <c r="D766" s="46" t="n">
        <v>360</v>
      </c>
      <c r="E766" s="46" t="n">
        <v>590000</v>
      </c>
      <c r="F766" s="46" t="n">
        <v>208454</v>
      </c>
      <c r="G766" s="42" t="n">
        <v>3.15</v>
      </c>
      <c r="H766" s="42" t="n">
        <v>147.7</v>
      </c>
      <c r="I766" s="42" t="n">
        <v>148.7</v>
      </c>
      <c r="J766" s="46" t="n">
        <f aca="false">IF(N(E766)&gt;0,E766,IF(N(F766)&gt;0,F766*요약!$F$27,0))</f>
        <v>590000</v>
      </c>
      <c r="K766" s="46" t="n">
        <f aca="false">IF(N(F766)&gt;0,F766,IF(N(E766)&gt;0,E766/요약!$F$27,0))</f>
        <v>208454</v>
      </c>
      <c r="L766" s="46" t="n">
        <f aca="false">IF(B766="CN",IF(N(I766)&gt;0,I766*요약!$G$27,K766*(1+요약!$E$27)),IF(N(H766)&gt;0,H766*요약!$G$27,J766*요약!$D$27))</f>
        <v>194964</v>
      </c>
      <c r="M766" s="46" t="n">
        <f aca="false">D766*J766</f>
        <v>212400000</v>
      </c>
      <c r="N766" s="46" t="n">
        <f aca="false">D766*K766</f>
        <v>75043440</v>
      </c>
      <c r="O766" s="46" t="n">
        <f aca="false">D766*L766</f>
        <v>70187040</v>
      </c>
      <c r="P766" s="42" t="str">
        <f aca="false">TRIM(IF(N(E766)&lt;=0,"택가보정 ","")&amp;IF(N(F766)&lt;=0,"원가보정 ","")&amp;IF(AND(B766&lt;&gt;"CN",N(H766)&lt;=0),"공급가보정 ","")&amp;IF(AND(B766="CN",N(I766)&lt;=0),"중국공급가=원가+마진 ",""))</f>
        <v/>
      </c>
      <c r="Q766" s="47" t="n">
        <f aca="false">IF(SUMIFS($W:$W,$A:$A,A766,$C:$C,C766)=0,0,SUMIFS(RAW_판매펀칭!$K:$K,RAW_판매펀칭!$P:$P,A766,RAW_판매펀칭!$I:$I,C766)*W766/SUMIFS($W:$W,$A:$A,A766,$C:$C,C766))</f>
        <v>360</v>
      </c>
      <c r="R766" s="47" t="n">
        <f aca="false">IF(OR(A766="500",A766="800",A766="810"),0,MAX(W766-Q766,0))</f>
        <v>0</v>
      </c>
      <c r="S766" s="47" t="n">
        <f aca="false">R766*L766</f>
        <v>0</v>
      </c>
      <c r="T766" s="47" t="n">
        <f aca="false">R766*J766</f>
        <v>0</v>
      </c>
      <c r="U766" s="47" t="n">
        <f aca="false">R766*K766</f>
        <v>0</v>
      </c>
      <c r="V766" s="0" t="str">
        <f aca="false">IF(COUNTIFS($A$2:A766,A766,$C$2:C766,C766,$D$2:D766,D766)&gt;1,"중복","")</f>
        <v/>
      </c>
      <c r="W766" s="0" t="n">
        <f aca="false">IF(V766="중복",0,N(D766))</f>
        <v>360</v>
      </c>
      <c r="X766" s="0" t="n">
        <f aca="false">IF(COUNTIFS($A$2:A766,A766,$C$2:C766,C766)=1,ABS(SUMIFS(RAW_발주!$D:$D,RAW_발주!$C:$C,A766,RAW_발주!$A:$A,C766)-SUMIFS($W:$W,$A:$A,A766,$C:$C,C766)),0)</f>
        <v>0</v>
      </c>
    </row>
    <row r="767" customFormat="false" ht="15" hidden="false" customHeight="true" outlineLevel="0" collapsed="false">
      <c r="A767" s="45" t="s">
        <v>1663</v>
      </c>
      <c r="B767" s="42" t="str">
        <f aca="false">IF(A767="100","HK",IF(A767="200","CN",IF(A767="300","TW","홀세일")))</f>
        <v>홀세일</v>
      </c>
      <c r="C767" s="45" t="s">
        <v>408</v>
      </c>
      <c r="D767" s="46" t="n">
        <v>20</v>
      </c>
      <c r="E767" s="46" t="n">
        <v>590000</v>
      </c>
      <c r="F767" s="46" t="n">
        <v>208454</v>
      </c>
      <c r="G767" s="42" t="n">
        <v>3.15</v>
      </c>
      <c r="H767" s="42" t="n">
        <v>147.7</v>
      </c>
      <c r="I767" s="42" t="n">
        <v>148.7</v>
      </c>
      <c r="J767" s="46" t="n">
        <f aca="false">IF(N(E767)&gt;0,E767,IF(N(F767)&gt;0,F767*요약!$F$27,0))</f>
        <v>590000</v>
      </c>
      <c r="K767" s="46" t="n">
        <f aca="false">IF(N(F767)&gt;0,F767,IF(N(E767)&gt;0,E767/요약!$F$27,0))</f>
        <v>208454</v>
      </c>
      <c r="L767" s="46" t="n">
        <f aca="false">IF(B767="CN",IF(N(I767)&gt;0,I767*요약!$G$27,K767*(1+요약!$E$27)),IF(N(H767)&gt;0,H767*요약!$G$27,J767*요약!$D$27))</f>
        <v>194964</v>
      </c>
      <c r="M767" s="46" t="n">
        <f aca="false">D767*J767</f>
        <v>11800000</v>
      </c>
      <c r="N767" s="46" t="n">
        <f aca="false">D767*K767</f>
        <v>4169080</v>
      </c>
      <c r="O767" s="46" t="n">
        <f aca="false">D767*L767</f>
        <v>3899280</v>
      </c>
      <c r="P767" s="42" t="str">
        <f aca="false">TRIM(IF(N(E767)&lt;=0,"택가보정 ","")&amp;IF(N(F767)&lt;=0,"원가보정 ","")&amp;IF(AND(B767&lt;&gt;"CN",N(H767)&lt;=0),"공급가보정 ","")&amp;IF(AND(B767="CN",N(I767)&lt;=0),"중국공급가=원가+마진 ",""))</f>
        <v/>
      </c>
      <c r="Q767" s="47" t="n">
        <f aca="false">IF(SUMIFS($W:$W,$A:$A,A767,$C:$C,C767)=0,0,SUMIFS(RAW_판매펀칭!$K:$K,RAW_판매펀칭!$P:$P,A767,RAW_판매펀칭!$I:$I,C767)*W767/SUMIFS($W:$W,$A:$A,A767,$C:$C,C767))</f>
        <v>20</v>
      </c>
      <c r="R767" s="47" t="n">
        <f aca="false">IF(OR(A767="500",A767="800",A767="810"),0,MAX(W767-Q767,0))</f>
        <v>0</v>
      </c>
      <c r="S767" s="47" t="n">
        <f aca="false">R767*L767</f>
        <v>0</v>
      </c>
      <c r="T767" s="47" t="n">
        <f aca="false">R767*J767</f>
        <v>0</v>
      </c>
      <c r="U767" s="47" t="n">
        <f aca="false">R767*K767</f>
        <v>0</v>
      </c>
      <c r="V767" s="0" t="str">
        <f aca="false">IF(COUNTIFS($A$2:A767,A767,$C$2:C767,C767,$D$2:D767,D767)&gt;1,"중복","")</f>
        <v/>
      </c>
      <c r="W767" s="0" t="n">
        <f aca="false">IF(V767="중복",0,N(D767))</f>
        <v>20</v>
      </c>
      <c r="X767" s="0" t="n">
        <f aca="false">IF(COUNTIFS($A$2:A767,A767,$C$2:C767,C767)=1,ABS(SUMIFS(RAW_발주!$D:$D,RAW_발주!$C:$C,A767,RAW_발주!$A:$A,C767)-SUMIFS($W:$W,$A:$A,A767,$C:$C,C767)),0)</f>
        <v>0</v>
      </c>
    </row>
    <row r="768" customFormat="false" ht="15" hidden="false" customHeight="true" outlineLevel="0" collapsed="false">
      <c r="A768" s="45" t="s">
        <v>1667</v>
      </c>
      <c r="B768" s="42" t="str">
        <f aca="false">IF(A768="100","HK",IF(A768="200","CN",IF(A768="300","TW","홀세일")))</f>
        <v>홀세일</v>
      </c>
      <c r="C768" s="45" t="s">
        <v>408</v>
      </c>
      <c r="D768" s="46" t="n">
        <v>122</v>
      </c>
      <c r="E768" s="46" t="n">
        <v>590000</v>
      </c>
      <c r="F768" s="46" t="n">
        <v>208454</v>
      </c>
      <c r="G768" s="42" t="n">
        <v>3.15</v>
      </c>
      <c r="H768" s="42" t="n">
        <v>147.7</v>
      </c>
      <c r="I768" s="42" t="n">
        <v>148.7</v>
      </c>
      <c r="J768" s="46" t="n">
        <f aca="false">IF(N(E768)&gt;0,E768,IF(N(F768)&gt;0,F768*요약!$F$27,0))</f>
        <v>590000</v>
      </c>
      <c r="K768" s="46" t="n">
        <f aca="false">IF(N(F768)&gt;0,F768,IF(N(E768)&gt;0,E768/요약!$F$27,0))</f>
        <v>208454</v>
      </c>
      <c r="L768" s="46" t="n">
        <f aca="false">IF(B768="CN",IF(N(I768)&gt;0,I768*요약!$G$27,K768*(1+요약!$E$27)),IF(N(H768)&gt;0,H768*요약!$G$27,J768*요약!$D$27))</f>
        <v>194964</v>
      </c>
      <c r="M768" s="46" t="n">
        <f aca="false">D768*J768</f>
        <v>71980000</v>
      </c>
      <c r="N768" s="46" t="n">
        <f aca="false">D768*K768</f>
        <v>25431388</v>
      </c>
      <c r="O768" s="46" t="n">
        <f aca="false">D768*L768</f>
        <v>23785608</v>
      </c>
      <c r="P768" s="42" t="str">
        <f aca="false">TRIM(IF(N(E768)&lt;=0,"택가보정 ","")&amp;IF(N(F768)&lt;=0,"원가보정 ","")&amp;IF(AND(B768&lt;&gt;"CN",N(H768)&lt;=0),"공급가보정 ","")&amp;IF(AND(B768="CN",N(I768)&lt;=0),"중국공급가=원가+마진 ",""))</f>
        <v/>
      </c>
      <c r="Q768" s="47" t="n">
        <f aca="false">IF(SUMIFS($W:$W,$A:$A,A768,$C:$C,C768)=0,0,SUMIFS(RAW_판매펀칭!$K:$K,RAW_판매펀칭!$P:$P,A768,RAW_판매펀칭!$I:$I,C768)*W768/SUMIFS($W:$W,$A:$A,A768,$C:$C,C768))</f>
        <v>0</v>
      </c>
      <c r="R768" s="47" t="n">
        <f aca="false">IF(OR(A768="500",A768="800",A768="810"),0,MAX(W768-Q768,0))</f>
        <v>122</v>
      </c>
      <c r="S768" s="47" t="n">
        <f aca="false">R768*L768</f>
        <v>23785608</v>
      </c>
      <c r="T768" s="47" t="n">
        <f aca="false">R768*J768</f>
        <v>71980000</v>
      </c>
      <c r="U768" s="47" t="n">
        <f aca="false">R768*K768</f>
        <v>25431388</v>
      </c>
      <c r="V768" s="0" t="str">
        <f aca="false">IF(COUNTIFS($A$2:A768,A768,$C$2:C768,C768,$D$2:D768,D768)&gt;1,"중복","")</f>
        <v/>
      </c>
      <c r="W768" s="0" t="n">
        <f aca="false">IF(V768="중복",0,N(D768))</f>
        <v>122</v>
      </c>
      <c r="X768" s="0" t="n">
        <f aca="false">IF(COUNTIFS($A$2:A768,A768,$C$2:C768,C768)=1,ABS(SUMIFS(RAW_발주!$D:$D,RAW_발주!$C:$C,A768,RAW_발주!$A:$A,C768)-SUMIFS($W:$W,$A:$A,A768,$C:$C,C768)),0)</f>
        <v>0</v>
      </c>
    </row>
    <row r="769" customFormat="false" ht="15" hidden="false" customHeight="true" outlineLevel="0" collapsed="false">
      <c r="A769" s="45" t="s">
        <v>1660</v>
      </c>
      <c r="B769" s="42" t="str">
        <f aca="false">IF(A769="100","HK",IF(A769="200","CN",IF(A769="300","TW","홀세일")))</f>
        <v>CN</v>
      </c>
      <c r="C769" s="45" t="s">
        <v>1061</v>
      </c>
      <c r="D769" s="46" t="n">
        <v>197</v>
      </c>
      <c r="E769" s="46" t="n">
        <v>129000</v>
      </c>
      <c r="F769" s="46" t="n">
        <v>27898</v>
      </c>
      <c r="G769" s="42" t="n">
        <v>4.33</v>
      </c>
      <c r="H769" s="42" t="n">
        <v>30.4</v>
      </c>
      <c r="I769" s="42" t="n">
        <v>21.5</v>
      </c>
      <c r="J769" s="46" t="n">
        <f aca="false">IF(N(E769)&gt;0,E769,IF(N(F769)&gt;0,F769*요약!$F$27,0))</f>
        <v>129000</v>
      </c>
      <c r="K769" s="46" t="n">
        <f aca="false">IF(N(F769)&gt;0,F769,IF(N(E769)&gt;0,E769/요약!$F$27,0))</f>
        <v>27898</v>
      </c>
      <c r="L769" s="46" t="n">
        <f aca="false">IF(B769="CN",IF(N(I769)&gt;0,I769*요약!$G$27,K769*(1+요약!$E$27)),IF(N(H769)&gt;0,H769*요약!$G$27,J769*요약!$D$27))</f>
        <v>28380</v>
      </c>
      <c r="M769" s="46" t="n">
        <f aca="false">D769*J769</f>
        <v>25413000</v>
      </c>
      <c r="N769" s="46" t="n">
        <f aca="false">D769*K769</f>
        <v>5495906</v>
      </c>
      <c r="O769" s="46" t="n">
        <f aca="false">D769*L769</f>
        <v>5590860</v>
      </c>
      <c r="P769" s="42" t="str">
        <f aca="false">TRIM(IF(N(E769)&lt;=0,"택가보정 ","")&amp;IF(N(F769)&lt;=0,"원가보정 ","")&amp;IF(AND(B769&lt;&gt;"CN",N(H769)&lt;=0),"공급가보정 ","")&amp;IF(AND(B769="CN",N(I769)&lt;=0),"중국공급가=원가+마진 ",""))</f>
        <v/>
      </c>
      <c r="Q769" s="47" t="n">
        <f aca="false">IF(SUMIFS($W:$W,$A:$A,A769,$C:$C,C769)=0,0,SUMIFS(RAW_판매펀칭!$K:$K,RAW_판매펀칭!$P:$P,A769,RAW_판매펀칭!$I:$I,C769)*W769/SUMIFS($W:$W,$A:$A,A769,$C:$C,C769))</f>
        <v>197</v>
      </c>
      <c r="R769" s="47" t="n">
        <f aca="false">IF(OR(A769="500",A769="800",A769="810"),0,MAX(W769-Q769,0))</f>
        <v>0</v>
      </c>
      <c r="S769" s="47" t="n">
        <f aca="false">R769*L769</f>
        <v>0</v>
      </c>
      <c r="T769" s="47" t="n">
        <f aca="false">R769*J769</f>
        <v>0</v>
      </c>
      <c r="U769" s="47" t="n">
        <f aca="false">R769*K769</f>
        <v>0</v>
      </c>
      <c r="V769" s="0" t="str">
        <f aca="false">IF(COUNTIFS($A$2:A769,A769,$C$2:C769,C769,$D$2:D769,D769)&gt;1,"중복","")</f>
        <v/>
      </c>
      <c r="W769" s="0" t="n">
        <f aca="false">IF(V769="중복",0,N(D769))</f>
        <v>197</v>
      </c>
      <c r="X769" s="0" t="n">
        <f aca="false">IF(COUNTIFS($A$2:A769,A769,$C$2:C769,C769)=1,ABS(SUMIFS(RAW_발주!$D:$D,RAW_발주!$C:$C,A769,RAW_발주!$A:$A,C769)-SUMIFS($W:$W,$A:$A,A769,$C:$C,C769)),0)</f>
        <v>0</v>
      </c>
    </row>
    <row r="770" customFormat="false" ht="15" hidden="false" customHeight="true" outlineLevel="0" collapsed="false">
      <c r="A770" s="45" t="s">
        <v>1663</v>
      </c>
      <c r="B770" s="42" t="str">
        <f aca="false">IF(A770="100","HK",IF(A770="200","CN",IF(A770="300","TW","홀세일")))</f>
        <v>홀세일</v>
      </c>
      <c r="C770" s="45" t="s">
        <v>1061</v>
      </c>
      <c r="D770" s="46" t="n">
        <v>30</v>
      </c>
      <c r="E770" s="46" t="n">
        <v>129000</v>
      </c>
      <c r="F770" s="46" t="n">
        <v>27898</v>
      </c>
      <c r="G770" s="42" t="n">
        <v>4.33</v>
      </c>
      <c r="H770" s="42" t="n">
        <v>30.4</v>
      </c>
      <c r="I770" s="42" t="n">
        <v>21.5</v>
      </c>
      <c r="J770" s="46" t="n">
        <f aca="false">IF(N(E770)&gt;0,E770,IF(N(F770)&gt;0,F770*요약!$F$27,0))</f>
        <v>129000</v>
      </c>
      <c r="K770" s="46" t="n">
        <f aca="false">IF(N(F770)&gt;0,F770,IF(N(E770)&gt;0,E770/요약!$F$27,0))</f>
        <v>27898</v>
      </c>
      <c r="L770" s="46" t="n">
        <f aca="false">IF(B770="CN",IF(N(I770)&gt;0,I770*요약!$G$27,K770*(1+요약!$E$27)),IF(N(H770)&gt;0,H770*요약!$G$27,J770*요약!$D$27))</f>
        <v>40128</v>
      </c>
      <c r="M770" s="46" t="n">
        <f aca="false">D770*J770</f>
        <v>3870000</v>
      </c>
      <c r="N770" s="46" t="n">
        <f aca="false">D770*K770</f>
        <v>836940</v>
      </c>
      <c r="O770" s="46" t="n">
        <f aca="false">D770*L770</f>
        <v>1203840</v>
      </c>
      <c r="P770" s="42" t="str">
        <f aca="false">TRIM(IF(N(E770)&lt;=0,"택가보정 ","")&amp;IF(N(F770)&lt;=0,"원가보정 ","")&amp;IF(AND(B770&lt;&gt;"CN",N(H770)&lt;=0),"공급가보정 ","")&amp;IF(AND(B770="CN",N(I770)&lt;=0),"중국공급가=원가+마진 ",""))</f>
        <v/>
      </c>
      <c r="Q770" s="47" t="n">
        <f aca="false">IF(SUMIFS($W:$W,$A:$A,A770,$C:$C,C770)=0,0,SUMIFS(RAW_판매펀칭!$K:$K,RAW_판매펀칭!$P:$P,A770,RAW_판매펀칭!$I:$I,C770)*W770/SUMIFS($W:$W,$A:$A,A770,$C:$C,C770))</f>
        <v>30</v>
      </c>
      <c r="R770" s="47" t="n">
        <f aca="false">IF(OR(A770="500",A770="800",A770="810"),0,MAX(W770-Q770,0))</f>
        <v>0</v>
      </c>
      <c r="S770" s="47" t="n">
        <f aca="false">R770*L770</f>
        <v>0</v>
      </c>
      <c r="T770" s="47" t="n">
        <f aca="false">R770*J770</f>
        <v>0</v>
      </c>
      <c r="U770" s="47" t="n">
        <f aca="false">R770*K770</f>
        <v>0</v>
      </c>
      <c r="V770" s="0" t="str">
        <f aca="false">IF(COUNTIFS($A$2:A770,A770,$C$2:C770,C770,$D$2:D770,D770)&gt;1,"중복","")</f>
        <v/>
      </c>
      <c r="W770" s="0" t="n">
        <f aca="false">IF(V770="중복",0,N(D770))</f>
        <v>30</v>
      </c>
      <c r="X770" s="0" t="n">
        <f aca="false">IF(COUNTIFS($A$2:A770,A770,$C$2:C770,C770)=1,ABS(SUMIFS(RAW_발주!$D:$D,RAW_발주!$C:$C,A770,RAW_발주!$A:$A,C770)-SUMIFS($W:$W,$A:$A,A770,$C:$C,C770)),0)</f>
        <v>0</v>
      </c>
    </row>
    <row r="771" customFormat="false" ht="15" hidden="false" customHeight="true" outlineLevel="0" collapsed="false">
      <c r="A771" s="45" t="s">
        <v>1659</v>
      </c>
      <c r="B771" s="42" t="str">
        <f aca="false">IF(A771="100","HK",IF(A771="200","CN",IF(A771="300","TW","홀세일")))</f>
        <v>HK</v>
      </c>
      <c r="C771" s="45" t="s">
        <v>410</v>
      </c>
      <c r="D771" s="46" t="n">
        <v>90</v>
      </c>
      <c r="E771" s="46" t="n">
        <v>109000</v>
      </c>
      <c r="F771" s="46" t="n">
        <v>27300</v>
      </c>
      <c r="G771" s="42" t="n">
        <v>3.35</v>
      </c>
      <c r="H771" s="42" t="n">
        <v>25.7</v>
      </c>
      <c r="I771" s="42" t="n">
        <v>0</v>
      </c>
      <c r="J771" s="46" t="n">
        <f aca="false">IF(N(E771)&gt;0,E771,IF(N(F771)&gt;0,F771*요약!$F$27,0))</f>
        <v>109000</v>
      </c>
      <c r="K771" s="46" t="n">
        <f aca="false">IF(N(F771)&gt;0,F771,IF(N(E771)&gt;0,E771/요약!$F$27,0))</f>
        <v>27300</v>
      </c>
      <c r="L771" s="46" t="n">
        <f aca="false">IF(B771="CN",IF(N(I771)&gt;0,I771*요약!$G$27,K771*(1+요약!$E$27)),IF(N(H771)&gt;0,H771*요약!$G$27,J771*요약!$D$27))</f>
        <v>33924</v>
      </c>
      <c r="M771" s="46" t="n">
        <f aca="false">D771*J771</f>
        <v>9810000</v>
      </c>
      <c r="N771" s="46" t="n">
        <f aca="false">D771*K771</f>
        <v>2457000</v>
      </c>
      <c r="O771" s="46" t="n">
        <f aca="false">D771*L771</f>
        <v>3053160</v>
      </c>
      <c r="P771" s="42" t="str">
        <f aca="false">TRIM(IF(N(E771)&lt;=0,"택가보정 ","")&amp;IF(N(F771)&lt;=0,"원가보정 ","")&amp;IF(AND(B771&lt;&gt;"CN",N(H771)&lt;=0),"공급가보정 ","")&amp;IF(AND(B771="CN",N(I771)&lt;=0),"중국공급가=원가+마진 ",""))</f>
        <v/>
      </c>
      <c r="Q771" s="47" t="n">
        <f aca="false">IF(SUMIFS($W:$W,$A:$A,A771,$C:$C,C771)=0,0,SUMIFS(RAW_판매펀칭!$K:$K,RAW_판매펀칭!$P:$P,A771,RAW_판매펀칭!$I:$I,C771)*W771/SUMIFS($W:$W,$A:$A,A771,$C:$C,C771))</f>
        <v>90</v>
      </c>
      <c r="R771" s="47" t="n">
        <f aca="false">IF(OR(A771="500",A771="800",A771="810"),0,MAX(W771-Q771,0))</f>
        <v>0</v>
      </c>
      <c r="S771" s="47" t="n">
        <f aca="false">R771*L771</f>
        <v>0</v>
      </c>
      <c r="T771" s="47" t="n">
        <f aca="false">R771*J771</f>
        <v>0</v>
      </c>
      <c r="U771" s="47" t="n">
        <f aca="false">R771*K771</f>
        <v>0</v>
      </c>
      <c r="V771" s="0" t="str">
        <f aca="false">IF(COUNTIFS($A$2:A771,A771,$C$2:C771,C771,$D$2:D771,D771)&gt;1,"중복","")</f>
        <v/>
      </c>
      <c r="W771" s="0" t="n">
        <f aca="false">IF(V771="중복",0,N(D771))</f>
        <v>90</v>
      </c>
      <c r="X771" s="0" t="n">
        <f aca="false">IF(COUNTIFS($A$2:A771,A771,$C$2:C771,C771)=1,ABS(SUMIFS(RAW_발주!$D:$D,RAW_발주!$C:$C,A771,RAW_발주!$A:$A,C771)-SUMIFS($W:$W,$A:$A,A771,$C:$C,C771)),0)</f>
        <v>0</v>
      </c>
    </row>
    <row r="772" customFormat="false" ht="15" hidden="false" customHeight="true" outlineLevel="0" collapsed="false">
      <c r="A772" s="45" t="s">
        <v>1661</v>
      </c>
      <c r="B772" s="42" t="str">
        <f aca="false">IF(A772="100","HK",IF(A772="200","CN",IF(A772="300","TW","홀세일")))</f>
        <v>TW</v>
      </c>
      <c r="C772" s="45" t="s">
        <v>410</v>
      </c>
      <c r="D772" s="46" t="n">
        <v>260</v>
      </c>
      <c r="E772" s="46" t="n">
        <v>109000</v>
      </c>
      <c r="F772" s="46" t="n">
        <v>27300</v>
      </c>
      <c r="G772" s="42" t="n">
        <v>3.35</v>
      </c>
      <c r="H772" s="42" t="n">
        <v>25.7</v>
      </c>
      <c r="I772" s="42" t="n">
        <v>0</v>
      </c>
      <c r="J772" s="46" t="n">
        <f aca="false">IF(N(E772)&gt;0,E772,IF(N(F772)&gt;0,F772*요약!$F$27,0))</f>
        <v>109000</v>
      </c>
      <c r="K772" s="46" t="n">
        <f aca="false">IF(N(F772)&gt;0,F772,IF(N(E772)&gt;0,E772/요약!$F$27,0))</f>
        <v>27300</v>
      </c>
      <c r="L772" s="46" t="n">
        <f aca="false">IF(B772="CN",IF(N(I772)&gt;0,I772*요약!$G$27,K772*(1+요약!$E$27)),IF(N(H772)&gt;0,H772*요약!$G$27,J772*요약!$D$27))</f>
        <v>33924</v>
      </c>
      <c r="M772" s="46" t="n">
        <f aca="false">D772*J772</f>
        <v>28340000</v>
      </c>
      <c r="N772" s="46" t="n">
        <f aca="false">D772*K772</f>
        <v>7098000</v>
      </c>
      <c r="O772" s="46" t="n">
        <f aca="false">D772*L772</f>
        <v>8820240</v>
      </c>
      <c r="P772" s="42" t="str">
        <f aca="false">TRIM(IF(N(E772)&lt;=0,"택가보정 ","")&amp;IF(N(F772)&lt;=0,"원가보정 ","")&amp;IF(AND(B772&lt;&gt;"CN",N(H772)&lt;=0),"공급가보정 ","")&amp;IF(AND(B772="CN",N(I772)&lt;=0),"중국공급가=원가+마진 ",""))</f>
        <v/>
      </c>
      <c r="Q772" s="47" t="n">
        <f aca="false">IF(SUMIFS($W:$W,$A:$A,A772,$C:$C,C772)=0,0,SUMIFS(RAW_판매펀칭!$K:$K,RAW_판매펀칭!$P:$P,A772,RAW_판매펀칭!$I:$I,C772)*W772/SUMIFS($W:$W,$A:$A,A772,$C:$C,C772))</f>
        <v>260</v>
      </c>
      <c r="R772" s="47" t="n">
        <f aca="false">IF(OR(A772="500",A772="800",A772="810"),0,MAX(W772-Q772,0))</f>
        <v>0</v>
      </c>
      <c r="S772" s="47" t="n">
        <f aca="false">R772*L772</f>
        <v>0</v>
      </c>
      <c r="T772" s="47" t="n">
        <f aca="false">R772*J772</f>
        <v>0</v>
      </c>
      <c r="U772" s="47" t="n">
        <f aca="false">R772*K772</f>
        <v>0</v>
      </c>
      <c r="V772" s="0" t="str">
        <f aca="false">IF(COUNTIFS($A$2:A772,A772,$C$2:C772,C772,$D$2:D772,D772)&gt;1,"중복","")</f>
        <v/>
      </c>
      <c r="W772" s="0" t="n">
        <f aca="false">IF(V772="중복",0,N(D772))</f>
        <v>260</v>
      </c>
      <c r="X772" s="0" t="n">
        <f aca="false">IF(COUNTIFS($A$2:A772,A772,$C$2:C772,C772)=1,ABS(SUMIFS(RAW_발주!$D:$D,RAW_발주!$C:$C,A772,RAW_발주!$A:$A,C772)-SUMIFS($W:$W,$A:$A,A772,$C:$C,C772)),0)</f>
        <v>0</v>
      </c>
    </row>
    <row r="773" customFormat="false" ht="15" hidden="false" customHeight="true" outlineLevel="0" collapsed="false">
      <c r="A773" s="45" t="s">
        <v>1662</v>
      </c>
      <c r="B773" s="42" t="str">
        <f aca="false">IF(A773="100","HK",IF(A773="200","CN",IF(A773="300","TW","홀세일")))</f>
        <v>홀세일</v>
      </c>
      <c r="C773" s="45" t="s">
        <v>410</v>
      </c>
      <c r="D773" s="46" t="n">
        <v>80</v>
      </c>
      <c r="E773" s="46" t="n">
        <v>109000</v>
      </c>
      <c r="F773" s="46" t="n">
        <v>27300</v>
      </c>
      <c r="G773" s="42" t="n">
        <v>3.35</v>
      </c>
      <c r="H773" s="42" t="n">
        <v>25.7</v>
      </c>
      <c r="I773" s="42" t="n">
        <v>0</v>
      </c>
      <c r="J773" s="46" t="n">
        <f aca="false">IF(N(E773)&gt;0,E773,IF(N(F773)&gt;0,F773*요약!$F$27,0))</f>
        <v>109000</v>
      </c>
      <c r="K773" s="46" t="n">
        <f aca="false">IF(N(F773)&gt;0,F773,IF(N(E773)&gt;0,E773/요약!$F$27,0))</f>
        <v>27300</v>
      </c>
      <c r="L773" s="46" t="n">
        <f aca="false">IF(B773="CN",IF(N(I773)&gt;0,I773*요약!$G$27,K773*(1+요약!$E$27)),IF(N(H773)&gt;0,H773*요약!$G$27,J773*요약!$D$27))</f>
        <v>33924</v>
      </c>
      <c r="M773" s="46" t="n">
        <f aca="false">D773*J773</f>
        <v>8720000</v>
      </c>
      <c r="N773" s="46" t="n">
        <f aca="false">D773*K773</f>
        <v>2184000</v>
      </c>
      <c r="O773" s="46" t="n">
        <f aca="false">D773*L773</f>
        <v>2713920</v>
      </c>
      <c r="P773" s="42" t="str">
        <f aca="false">TRIM(IF(N(E773)&lt;=0,"택가보정 ","")&amp;IF(N(F773)&lt;=0,"원가보정 ","")&amp;IF(AND(B773&lt;&gt;"CN",N(H773)&lt;=0),"공급가보정 ","")&amp;IF(AND(B773="CN",N(I773)&lt;=0),"중국공급가=원가+마진 ",""))</f>
        <v/>
      </c>
      <c r="Q773" s="47" t="n">
        <f aca="false">IF(SUMIFS($W:$W,$A:$A,A773,$C:$C,C773)=0,0,SUMIFS(RAW_판매펀칭!$K:$K,RAW_판매펀칭!$P:$P,A773,RAW_판매펀칭!$I:$I,C773)*W773/SUMIFS($W:$W,$A:$A,A773,$C:$C,C773))</f>
        <v>0</v>
      </c>
      <c r="R773" s="47" t="n">
        <f aca="false">IF(OR(A773="500",A773="800",A773="810"),0,MAX(W773-Q773,0))</f>
        <v>0</v>
      </c>
      <c r="S773" s="47" t="n">
        <f aca="false">R773*L773</f>
        <v>0</v>
      </c>
      <c r="T773" s="47" t="n">
        <f aca="false">R773*J773</f>
        <v>0</v>
      </c>
      <c r="U773" s="47" t="n">
        <f aca="false">R773*K773</f>
        <v>0</v>
      </c>
      <c r="V773" s="0" t="str">
        <f aca="false">IF(COUNTIFS($A$2:A773,A773,$C$2:C773,C773,$D$2:D773,D773)&gt;1,"중복","")</f>
        <v/>
      </c>
      <c r="W773" s="0" t="n">
        <f aca="false">IF(V773="중복",0,N(D773))</f>
        <v>80</v>
      </c>
      <c r="X773" s="0" t="n">
        <f aca="false">IF(COUNTIFS($A$2:A773,A773,$C$2:C773,C773)=1,ABS(SUMIFS(RAW_발주!$D:$D,RAW_발주!$C:$C,A773,RAW_발주!$A:$A,C773)-SUMIFS($W:$W,$A:$A,A773,$C:$C,C773)),0)</f>
        <v>0</v>
      </c>
    </row>
    <row r="774" customFormat="false" ht="15" hidden="false" customHeight="true" outlineLevel="0" collapsed="false">
      <c r="A774" s="45" t="s">
        <v>1659</v>
      </c>
      <c r="B774" s="42" t="str">
        <f aca="false">IF(A774="100","HK",IF(A774="200","CN",IF(A774="300","TW","홀세일")))</f>
        <v>HK</v>
      </c>
      <c r="C774" s="45" t="s">
        <v>412</v>
      </c>
      <c r="D774" s="46" t="n">
        <v>160</v>
      </c>
      <c r="E774" s="46" t="n">
        <v>89000</v>
      </c>
      <c r="F774" s="46" t="n">
        <v>22200</v>
      </c>
      <c r="G774" s="42" t="n">
        <v>3.16</v>
      </c>
      <c r="H774" s="42" t="n">
        <v>21</v>
      </c>
      <c r="I774" s="42" t="n">
        <v>0</v>
      </c>
      <c r="J774" s="46" t="n">
        <f aca="false">IF(N(E774)&gt;0,E774,IF(N(F774)&gt;0,F774*요약!$F$27,0))</f>
        <v>89000</v>
      </c>
      <c r="K774" s="46" t="n">
        <f aca="false">IF(N(F774)&gt;0,F774,IF(N(E774)&gt;0,E774/요약!$F$27,0))</f>
        <v>22200</v>
      </c>
      <c r="L774" s="46" t="n">
        <f aca="false">IF(B774="CN",IF(N(I774)&gt;0,I774*요약!$G$27,K774*(1+요약!$E$27)),IF(N(H774)&gt;0,H774*요약!$G$27,J774*요약!$D$27))</f>
        <v>27720</v>
      </c>
      <c r="M774" s="46" t="n">
        <f aca="false">D774*J774</f>
        <v>14240000</v>
      </c>
      <c r="N774" s="46" t="n">
        <f aca="false">D774*K774</f>
        <v>3552000</v>
      </c>
      <c r="O774" s="46" t="n">
        <f aca="false">D774*L774</f>
        <v>4435200</v>
      </c>
      <c r="P774" s="42" t="str">
        <f aca="false">TRIM(IF(N(E774)&lt;=0,"택가보정 ","")&amp;IF(N(F774)&lt;=0,"원가보정 ","")&amp;IF(AND(B774&lt;&gt;"CN",N(H774)&lt;=0),"공급가보정 ","")&amp;IF(AND(B774="CN",N(I774)&lt;=0),"중국공급가=원가+마진 ",""))</f>
        <v/>
      </c>
      <c r="Q774" s="47" t="n">
        <f aca="false">IF(SUMIFS($W:$W,$A:$A,A774,$C:$C,C774)=0,0,SUMIFS(RAW_판매펀칭!$K:$K,RAW_판매펀칭!$P:$P,A774,RAW_판매펀칭!$I:$I,C774)*W774/SUMIFS($W:$W,$A:$A,A774,$C:$C,C774))</f>
        <v>160</v>
      </c>
      <c r="R774" s="47" t="n">
        <f aca="false">IF(OR(A774="500",A774="800",A774="810"),0,MAX(W774-Q774,0))</f>
        <v>0</v>
      </c>
      <c r="S774" s="47" t="n">
        <f aca="false">R774*L774</f>
        <v>0</v>
      </c>
      <c r="T774" s="47" t="n">
        <f aca="false">R774*J774</f>
        <v>0</v>
      </c>
      <c r="U774" s="47" t="n">
        <f aca="false">R774*K774</f>
        <v>0</v>
      </c>
      <c r="V774" s="0" t="str">
        <f aca="false">IF(COUNTIFS($A$2:A774,A774,$C$2:C774,C774,$D$2:D774,D774)&gt;1,"중복","")</f>
        <v/>
      </c>
      <c r="W774" s="0" t="n">
        <f aca="false">IF(V774="중복",0,N(D774))</f>
        <v>160</v>
      </c>
      <c r="X774" s="0" t="n">
        <f aca="false">IF(COUNTIFS($A$2:A774,A774,$C$2:C774,C774)=1,ABS(SUMIFS(RAW_발주!$D:$D,RAW_발주!$C:$C,A774,RAW_발주!$A:$A,C774)-SUMIFS($W:$W,$A:$A,A774,$C:$C,C774)),0)</f>
        <v>0</v>
      </c>
    </row>
    <row r="775" customFormat="false" ht="15" hidden="false" customHeight="true" outlineLevel="0" collapsed="false">
      <c r="A775" s="45" t="s">
        <v>1661</v>
      </c>
      <c r="B775" s="42" t="str">
        <f aca="false">IF(A775="100","HK",IF(A775="200","CN",IF(A775="300","TW","홀세일")))</f>
        <v>TW</v>
      </c>
      <c r="C775" s="45" t="s">
        <v>412</v>
      </c>
      <c r="D775" s="46" t="n">
        <v>150</v>
      </c>
      <c r="E775" s="46" t="n">
        <v>89000</v>
      </c>
      <c r="F775" s="46" t="n">
        <v>22200</v>
      </c>
      <c r="G775" s="42" t="n">
        <v>3.16</v>
      </c>
      <c r="H775" s="42" t="n">
        <v>21</v>
      </c>
      <c r="I775" s="42" t="n">
        <v>0</v>
      </c>
      <c r="J775" s="46" t="n">
        <f aca="false">IF(N(E775)&gt;0,E775,IF(N(F775)&gt;0,F775*요약!$F$27,0))</f>
        <v>89000</v>
      </c>
      <c r="K775" s="46" t="n">
        <f aca="false">IF(N(F775)&gt;0,F775,IF(N(E775)&gt;0,E775/요약!$F$27,0))</f>
        <v>22200</v>
      </c>
      <c r="L775" s="46" t="n">
        <f aca="false">IF(B775="CN",IF(N(I775)&gt;0,I775*요약!$G$27,K775*(1+요약!$E$27)),IF(N(H775)&gt;0,H775*요약!$G$27,J775*요약!$D$27))</f>
        <v>27720</v>
      </c>
      <c r="M775" s="46" t="n">
        <f aca="false">D775*J775</f>
        <v>13350000</v>
      </c>
      <c r="N775" s="46" t="n">
        <f aca="false">D775*K775</f>
        <v>3330000</v>
      </c>
      <c r="O775" s="46" t="n">
        <f aca="false">D775*L775</f>
        <v>4158000</v>
      </c>
      <c r="P775" s="42" t="str">
        <f aca="false">TRIM(IF(N(E775)&lt;=0,"택가보정 ","")&amp;IF(N(F775)&lt;=0,"원가보정 ","")&amp;IF(AND(B775&lt;&gt;"CN",N(H775)&lt;=0),"공급가보정 ","")&amp;IF(AND(B775="CN",N(I775)&lt;=0),"중국공급가=원가+마진 ",""))</f>
        <v/>
      </c>
      <c r="Q775" s="47" t="n">
        <f aca="false">IF(SUMIFS($W:$W,$A:$A,A775,$C:$C,C775)=0,0,SUMIFS(RAW_판매펀칭!$K:$K,RAW_판매펀칭!$P:$P,A775,RAW_판매펀칭!$I:$I,C775)*W775/SUMIFS($W:$W,$A:$A,A775,$C:$C,C775))</f>
        <v>150</v>
      </c>
      <c r="R775" s="47" t="n">
        <f aca="false">IF(OR(A775="500",A775="800",A775="810"),0,MAX(W775-Q775,0))</f>
        <v>0</v>
      </c>
      <c r="S775" s="47" t="n">
        <f aca="false">R775*L775</f>
        <v>0</v>
      </c>
      <c r="T775" s="47" t="n">
        <f aca="false">R775*J775</f>
        <v>0</v>
      </c>
      <c r="U775" s="47" t="n">
        <f aca="false">R775*K775</f>
        <v>0</v>
      </c>
      <c r="V775" s="0" t="str">
        <f aca="false">IF(COUNTIFS($A$2:A775,A775,$C$2:C775,C775,$D$2:D775,D775)&gt;1,"중복","")</f>
        <v/>
      </c>
      <c r="W775" s="0" t="n">
        <f aca="false">IF(V775="중복",0,N(D775))</f>
        <v>150</v>
      </c>
      <c r="X775" s="0" t="n">
        <f aca="false">IF(COUNTIFS($A$2:A775,A775,$C$2:C775,C775)=1,ABS(SUMIFS(RAW_발주!$D:$D,RAW_발주!$C:$C,A775,RAW_발주!$A:$A,C775)-SUMIFS($W:$W,$A:$A,A775,$C:$C,C775)),0)</f>
        <v>0</v>
      </c>
    </row>
    <row r="776" customFormat="false" ht="15" hidden="false" customHeight="true" outlineLevel="0" collapsed="false">
      <c r="A776" s="45" t="s">
        <v>1663</v>
      </c>
      <c r="B776" s="42" t="str">
        <f aca="false">IF(A776="100","HK",IF(A776="200","CN",IF(A776="300","TW","홀세일")))</f>
        <v>홀세일</v>
      </c>
      <c r="C776" s="45" t="s">
        <v>412</v>
      </c>
      <c r="D776" s="46" t="n">
        <v>45</v>
      </c>
      <c r="E776" s="46" t="n">
        <v>89000</v>
      </c>
      <c r="F776" s="46" t="n">
        <v>22200</v>
      </c>
      <c r="G776" s="42" t="n">
        <v>3.16</v>
      </c>
      <c r="H776" s="42" t="n">
        <v>21</v>
      </c>
      <c r="I776" s="42" t="n">
        <v>0</v>
      </c>
      <c r="J776" s="46" t="n">
        <f aca="false">IF(N(E776)&gt;0,E776,IF(N(F776)&gt;0,F776*요약!$F$27,0))</f>
        <v>89000</v>
      </c>
      <c r="K776" s="46" t="n">
        <f aca="false">IF(N(F776)&gt;0,F776,IF(N(E776)&gt;0,E776/요약!$F$27,0))</f>
        <v>22200</v>
      </c>
      <c r="L776" s="46" t="n">
        <f aca="false">IF(B776="CN",IF(N(I776)&gt;0,I776*요약!$G$27,K776*(1+요약!$E$27)),IF(N(H776)&gt;0,H776*요약!$G$27,J776*요약!$D$27))</f>
        <v>27720</v>
      </c>
      <c r="M776" s="46" t="n">
        <f aca="false">D776*J776</f>
        <v>4005000</v>
      </c>
      <c r="N776" s="46" t="n">
        <f aca="false">D776*K776</f>
        <v>999000</v>
      </c>
      <c r="O776" s="46" t="n">
        <f aca="false">D776*L776</f>
        <v>1247400</v>
      </c>
      <c r="P776" s="42" t="str">
        <f aca="false">TRIM(IF(N(E776)&lt;=0,"택가보정 ","")&amp;IF(N(F776)&lt;=0,"원가보정 ","")&amp;IF(AND(B776&lt;&gt;"CN",N(H776)&lt;=0),"공급가보정 ","")&amp;IF(AND(B776="CN",N(I776)&lt;=0),"중국공급가=원가+마진 ",""))</f>
        <v/>
      </c>
      <c r="Q776" s="47" t="n">
        <f aca="false">IF(SUMIFS($W:$W,$A:$A,A776,$C:$C,C776)=0,0,SUMIFS(RAW_판매펀칭!$K:$K,RAW_판매펀칭!$P:$P,A776,RAW_판매펀칭!$I:$I,C776)*W776/SUMIFS($W:$W,$A:$A,A776,$C:$C,C776))</f>
        <v>45</v>
      </c>
      <c r="R776" s="47" t="n">
        <f aca="false">IF(OR(A776="500",A776="800",A776="810"),0,MAX(W776-Q776,0))</f>
        <v>0</v>
      </c>
      <c r="S776" s="47" t="n">
        <f aca="false">R776*L776</f>
        <v>0</v>
      </c>
      <c r="T776" s="47" t="n">
        <f aca="false">R776*J776</f>
        <v>0</v>
      </c>
      <c r="U776" s="47" t="n">
        <f aca="false">R776*K776</f>
        <v>0</v>
      </c>
      <c r="V776" s="0" t="str">
        <f aca="false">IF(COUNTIFS($A$2:A776,A776,$C$2:C776,C776,$D$2:D776,D776)&gt;1,"중복","")</f>
        <v/>
      </c>
      <c r="W776" s="0" t="n">
        <f aca="false">IF(V776="중복",0,N(D776))</f>
        <v>45</v>
      </c>
      <c r="X776" s="0" t="n">
        <f aca="false">IF(COUNTIFS($A$2:A776,A776,$C$2:C776,C776)=1,ABS(SUMIFS(RAW_발주!$D:$D,RAW_발주!$C:$C,A776,RAW_발주!$A:$A,C776)-SUMIFS($W:$W,$A:$A,A776,$C:$C,C776)),0)</f>
        <v>0</v>
      </c>
    </row>
    <row r="777" customFormat="false" ht="15" hidden="false" customHeight="true" outlineLevel="0" collapsed="false">
      <c r="A777" s="45" t="s">
        <v>1664</v>
      </c>
      <c r="B777" s="42" t="str">
        <f aca="false">IF(A777="100","HK",IF(A777="200","CN",IF(A777="300","TW","홀세일")))</f>
        <v>홀세일</v>
      </c>
      <c r="C777" s="45" t="s">
        <v>412</v>
      </c>
      <c r="D777" s="46" t="n">
        <v>60</v>
      </c>
      <c r="E777" s="46" t="n">
        <v>89000</v>
      </c>
      <c r="F777" s="46" t="n">
        <v>22200</v>
      </c>
      <c r="G777" s="42" t="n">
        <v>3.16</v>
      </c>
      <c r="H777" s="42" t="n">
        <v>21</v>
      </c>
      <c r="I777" s="42" t="n">
        <v>0</v>
      </c>
      <c r="J777" s="46" t="n">
        <f aca="false">IF(N(E777)&gt;0,E777,IF(N(F777)&gt;0,F777*요약!$F$27,0))</f>
        <v>89000</v>
      </c>
      <c r="K777" s="46" t="n">
        <f aca="false">IF(N(F777)&gt;0,F777,IF(N(E777)&gt;0,E777/요약!$F$27,0))</f>
        <v>22200</v>
      </c>
      <c r="L777" s="46" t="n">
        <f aca="false">IF(B777="CN",IF(N(I777)&gt;0,I777*요약!$G$27,K777*(1+요약!$E$27)),IF(N(H777)&gt;0,H777*요약!$G$27,J777*요약!$D$27))</f>
        <v>27720</v>
      </c>
      <c r="M777" s="46" t="n">
        <f aca="false">D777*J777</f>
        <v>5340000</v>
      </c>
      <c r="N777" s="46" t="n">
        <f aca="false">D777*K777</f>
        <v>1332000</v>
      </c>
      <c r="O777" s="46" t="n">
        <f aca="false">D777*L777</f>
        <v>1663200</v>
      </c>
      <c r="P777" s="42" t="str">
        <f aca="false">TRIM(IF(N(E777)&lt;=0,"택가보정 ","")&amp;IF(N(F777)&lt;=0,"원가보정 ","")&amp;IF(AND(B777&lt;&gt;"CN",N(H777)&lt;=0),"공급가보정 ","")&amp;IF(AND(B777="CN",N(I777)&lt;=0),"중국공급가=원가+마진 ",""))</f>
        <v/>
      </c>
      <c r="Q777" s="47" t="n">
        <f aca="false">IF(SUMIFS($W:$W,$A:$A,A777,$C:$C,C777)=0,0,SUMIFS(RAW_판매펀칭!$K:$K,RAW_판매펀칭!$P:$P,A777,RAW_판매펀칭!$I:$I,C777)*W777/SUMIFS($W:$W,$A:$A,A777,$C:$C,C777))</f>
        <v>0</v>
      </c>
      <c r="R777" s="47" t="n">
        <f aca="false">IF(OR(A777="500",A777="800",A777="810"),0,MAX(W777-Q777,0))</f>
        <v>0</v>
      </c>
      <c r="S777" s="47" t="n">
        <f aca="false">R777*L777</f>
        <v>0</v>
      </c>
      <c r="T777" s="47" t="n">
        <f aca="false">R777*J777</f>
        <v>0</v>
      </c>
      <c r="U777" s="47" t="n">
        <f aca="false">R777*K777</f>
        <v>0</v>
      </c>
      <c r="V777" s="0" t="str">
        <f aca="false">IF(COUNTIFS($A$2:A777,A777,$C$2:C777,C777,$D$2:D777,D777)&gt;1,"중복","")</f>
        <v/>
      </c>
      <c r="W777" s="0" t="n">
        <f aca="false">IF(V777="중복",0,N(D777))</f>
        <v>60</v>
      </c>
      <c r="X777" s="0" t="n">
        <f aca="false">IF(COUNTIFS($A$2:A777,A777,$C$2:C777,C777)=1,ABS(SUMIFS(RAW_발주!$D:$D,RAW_발주!$C:$C,A777,RAW_발주!$A:$A,C777)-SUMIFS($W:$W,$A:$A,A777,$C:$C,C777)),0)</f>
        <v>0</v>
      </c>
    </row>
    <row r="778" customFormat="false" ht="15" hidden="false" customHeight="true" outlineLevel="0" collapsed="false">
      <c r="A778" s="45" t="s">
        <v>1659</v>
      </c>
      <c r="B778" s="42" t="str">
        <f aca="false">IF(A778="100","HK",IF(A778="200","CN",IF(A778="300","TW","홀세일")))</f>
        <v>HK</v>
      </c>
      <c r="C778" s="45" t="s">
        <v>880</v>
      </c>
      <c r="D778" s="46" t="n">
        <v>180</v>
      </c>
      <c r="E778" s="46" t="n">
        <v>119000</v>
      </c>
      <c r="F778" s="46" t="n">
        <v>25300</v>
      </c>
      <c r="G778" s="42" t="n">
        <v>3.5</v>
      </c>
      <c r="H778" s="42" t="n">
        <v>28</v>
      </c>
      <c r="I778" s="42" t="n">
        <v>0</v>
      </c>
      <c r="J778" s="46" t="n">
        <f aca="false">IF(N(E778)&gt;0,E778,IF(N(F778)&gt;0,F778*요약!$F$27,0))</f>
        <v>119000</v>
      </c>
      <c r="K778" s="46" t="n">
        <f aca="false">IF(N(F778)&gt;0,F778,IF(N(E778)&gt;0,E778/요약!$F$27,0))</f>
        <v>25300</v>
      </c>
      <c r="L778" s="46" t="n">
        <f aca="false">IF(B778="CN",IF(N(I778)&gt;0,I778*요약!$G$27,K778*(1+요약!$E$27)),IF(N(H778)&gt;0,H778*요약!$G$27,J778*요약!$D$27))</f>
        <v>36960</v>
      </c>
      <c r="M778" s="46" t="n">
        <f aca="false">D778*J778</f>
        <v>21420000</v>
      </c>
      <c r="N778" s="46" t="n">
        <f aca="false">D778*K778</f>
        <v>4554000</v>
      </c>
      <c r="O778" s="46" t="n">
        <f aca="false">D778*L778</f>
        <v>6652800</v>
      </c>
      <c r="P778" s="42" t="str">
        <f aca="false">TRIM(IF(N(E778)&lt;=0,"택가보정 ","")&amp;IF(N(F778)&lt;=0,"원가보정 ","")&amp;IF(AND(B778&lt;&gt;"CN",N(H778)&lt;=0),"공급가보정 ","")&amp;IF(AND(B778="CN",N(I778)&lt;=0),"중국공급가=원가+마진 ",""))</f>
        <v/>
      </c>
      <c r="Q778" s="47" t="n">
        <f aca="false">IF(SUMIFS($W:$W,$A:$A,A778,$C:$C,C778)=0,0,SUMIFS(RAW_판매펀칭!$K:$K,RAW_판매펀칭!$P:$P,A778,RAW_판매펀칭!$I:$I,C778)*W778/SUMIFS($W:$W,$A:$A,A778,$C:$C,C778))</f>
        <v>180</v>
      </c>
      <c r="R778" s="47" t="n">
        <f aca="false">IF(OR(A778="500",A778="800",A778="810"),0,MAX(W778-Q778,0))</f>
        <v>0</v>
      </c>
      <c r="S778" s="47" t="n">
        <f aca="false">R778*L778</f>
        <v>0</v>
      </c>
      <c r="T778" s="47" t="n">
        <f aca="false">R778*J778</f>
        <v>0</v>
      </c>
      <c r="U778" s="47" t="n">
        <f aca="false">R778*K778</f>
        <v>0</v>
      </c>
      <c r="V778" s="0" t="str">
        <f aca="false">IF(COUNTIFS($A$2:A778,A778,$C$2:C778,C778,$D$2:D778,D778)&gt;1,"중복","")</f>
        <v/>
      </c>
      <c r="W778" s="0" t="n">
        <f aca="false">IF(V778="중복",0,N(D778))</f>
        <v>180</v>
      </c>
      <c r="X778" s="0" t="n">
        <f aca="false">IF(COUNTIFS($A$2:A778,A778,$C$2:C778,C778)=1,ABS(SUMIFS(RAW_발주!$D:$D,RAW_발주!$C:$C,A778,RAW_발주!$A:$A,C778)-SUMIFS($W:$W,$A:$A,A778,$C:$C,C778)),0)</f>
        <v>0</v>
      </c>
    </row>
    <row r="779" customFormat="false" ht="15" hidden="false" customHeight="true" outlineLevel="0" collapsed="false">
      <c r="A779" s="45" t="s">
        <v>1659</v>
      </c>
      <c r="B779" s="42" t="str">
        <f aca="false">IF(A779="100","HK",IF(A779="200","CN",IF(A779="300","TW","홀세일")))</f>
        <v>HK</v>
      </c>
      <c r="C779" s="45" t="s">
        <v>414</v>
      </c>
      <c r="D779" s="46" t="n">
        <v>230</v>
      </c>
      <c r="E779" s="46" t="n">
        <v>149000</v>
      </c>
      <c r="F779" s="46" t="n">
        <v>24800</v>
      </c>
      <c r="G779" s="42" t="n">
        <v>4.65</v>
      </c>
      <c r="H779" s="42" t="n">
        <v>35.1</v>
      </c>
      <c r="I779" s="42" t="n">
        <v>19.6</v>
      </c>
      <c r="J779" s="46" t="n">
        <f aca="false">IF(N(E779)&gt;0,E779,IF(N(F779)&gt;0,F779*요약!$F$27,0))</f>
        <v>149000</v>
      </c>
      <c r="K779" s="46" t="n">
        <f aca="false">IF(N(F779)&gt;0,F779,IF(N(E779)&gt;0,E779/요약!$F$27,0))</f>
        <v>24800</v>
      </c>
      <c r="L779" s="46" t="n">
        <f aca="false">IF(B779="CN",IF(N(I779)&gt;0,I779*요약!$G$27,K779*(1+요약!$E$27)),IF(N(H779)&gt;0,H779*요약!$G$27,J779*요약!$D$27))</f>
        <v>46332</v>
      </c>
      <c r="M779" s="46" t="n">
        <f aca="false">D779*J779</f>
        <v>34270000</v>
      </c>
      <c r="N779" s="46" t="n">
        <f aca="false">D779*K779</f>
        <v>5704000</v>
      </c>
      <c r="O779" s="46" t="n">
        <f aca="false">D779*L779</f>
        <v>10656360</v>
      </c>
      <c r="P779" s="42" t="str">
        <f aca="false">TRIM(IF(N(E779)&lt;=0,"택가보정 ","")&amp;IF(N(F779)&lt;=0,"원가보정 ","")&amp;IF(AND(B779&lt;&gt;"CN",N(H779)&lt;=0),"공급가보정 ","")&amp;IF(AND(B779="CN",N(I779)&lt;=0),"중국공급가=원가+마진 ",""))</f>
        <v/>
      </c>
      <c r="Q779" s="47" t="n">
        <f aca="false">IF(SUMIFS($W:$W,$A:$A,A779,$C:$C,C779)=0,0,SUMIFS(RAW_판매펀칭!$K:$K,RAW_판매펀칭!$P:$P,A779,RAW_판매펀칭!$I:$I,C779)*W779/SUMIFS($W:$W,$A:$A,A779,$C:$C,C779))</f>
        <v>230</v>
      </c>
      <c r="R779" s="47" t="n">
        <f aca="false">IF(OR(A779="500",A779="800",A779="810"),0,MAX(W779-Q779,0))</f>
        <v>0</v>
      </c>
      <c r="S779" s="47" t="n">
        <f aca="false">R779*L779</f>
        <v>0</v>
      </c>
      <c r="T779" s="47" t="n">
        <f aca="false">R779*J779</f>
        <v>0</v>
      </c>
      <c r="U779" s="47" t="n">
        <f aca="false">R779*K779</f>
        <v>0</v>
      </c>
      <c r="V779" s="0" t="str">
        <f aca="false">IF(COUNTIFS($A$2:A779,A779,$C$2:C779,C779,$D$2:D779,D779)&gt;1,"중복","")</f>
        <v/>
      </c>
      <c r="W779" s="0" t="n">
        <f aca="false">IF(V779="중복",0,N(D779))</f>
        <v>230</v>
      </c>
      <c r="X779" s="0" t="n">
        <f aca="false">IF(COUNTIFS($A$2:A779,A779,$C$2:C779,C779)=1,ABS(SUMIFS(RAW_발주!$D:$D,RAW_발주!$C:$C,A779,RAW_발주!$A:$A,C779)-SUMIFS($W:$W,$A:$A,A779,$C:$C,C779)),0)</f>
        <v>0</v>
      </c>
    </row>
    <row r="780" customFormat="false" ht="15" hidden="false" customHeight="true" outlineLevel="0" collapsed="false">
      <c r="A780" s="45" t="s">
        <v>1660</v>
      </c>
      <c r="B780" s="42" t="str">
        <f aca="false">IF(A780="100","HK",IF(A780="200","CN",IF(A780="300","TW","홀세일")))</f>
        <v>CN</v>
      </c>
      <c r="C780" s="45" t="s">
        <v>414</v>
      </c>
      <c r="D780" s="46" t="n">
        <v>404</v>
      </c>
      <c r="E780" s="46" t="n">
        <v>149000</v>
      </c>
      <c r="F780" s="46" t="n">
        <v>24800</v>
      </c>
      <c r="G780" s="42" t="n">
        <v>4.65</v>
      </c>
      <c r="H780" s="42" t="n">
        <v>35.1</v>
      </c>
      <c r="I780" s="42" t="n">
        <v>19.6</v>
      </c>
      <c r="J780" s="46" t="n">
        <f aca="false">IF(N(E780)&gt;0,E780,IF(N(F780)&gt;0,F780*요약!$F$27,0))</f>
        <v>149000</v>
      </c>
      <c r="K780" s="46" t="n">
        <f aca="false">IF(N(F780)&gt;0,F780,IF(N(E780)&gt;0,E780/요약!$F$27,0))</f>
        <v>24800</v>
      </c>
      <c r="L780" s="46" t="n">
        <f aca="false">IF(B780="CN",IF(N(I780)&gt;0,I780*요약!$G$27,K780*(1+요약!$E$27)),IF(N(H780)&gt;0,H780*요약!$G$27,J780*요약!$D$27))</f>
        <v>25872</v>
      </c>
      <c r="M780" s="46" t="n">
        <f aca="false">D780*J780</f>
        <v>60196000</v>
      </c>
      <c r="N780" s="46" t="n">
        <f aca="false">D780*K780</f>
        <v>10019200</v>
      </c>
      <c r="O780" s="46" t="n">
        <f aca="false">D780*L780</f>
        <v>10452288</v>
      </c>
      <c r="P780" s="42" t="str">
        <f aca="false">TRIM(IF(N(E780)&lt;=0,"택가보정 ","")&amp;IF(N(F780)&lt;=0,"원가보정 ","")&amp;IF(AND(B780&lt;&gt;"CN",N(H780)&lt;=0),"공급가보정 ","")&amp;IF(AND(B780="CN",N(I780)&lt;=0),"중국공급가=원가+마진 ",""))</f>
        <v/>
      </c>
      <c r="Q780" s="47" t="n">
        <f aca="false">IF(SUMIFS($W:$W,$A:$A,A780,$C:$C,C780)=0,0,SUMIFS(RAW_판매펀칭!$K:$K,RAW_판매펀칭!$P:$P,A780,RAW_판매펀칭!$I:$I,C780)*W780/SUMIFS($W:$W,$A:$A,A780,$C:$C,C780))</f>
        <v>404</v>
      </c>
      <c r="R780" s="47" t="n">
        <f aca="false">IF(OR(A780="500",A780="800",A780="810"),0,MAX(W780-Q780,0))</f>
        <v>0</v>
      </c>
      <c r="S780" s="47" t="n">
        <f aca="false">R780*L780</f>
        <v>0</v>
      </c>
      <c r="T780" s="47" t="n">
        <f aca="false">R780*J780</f>
        <v>0</v>
      </c>
      <c r="U780" s="47" t="n">
        <f aca="false">R780*K780</f>
        <v>0</v>
      </c>
      <c r="V780" s="0" t="str">
        <f aca="false">IF(COUNTIFS($A$2:A780,A780,$C$2:C780,C780,$D$2:D780,D780)&gt;1,"중복","")</f>
        <v/>
      </c>
      <c r="W780" s="0" t="n">
        <f aca="false">IF(V780="중복",0,N(D780))</f>
        <v>404</v>
      </c>
      <c r="X780" s="0" t="n">
        <f aca="false">IF(COUNTIFS($A$2:A780,A780,$C$2:C780,C780)=1,ABS(SUMIFS(RAW_발주!$D:$D,RAW_발주!$C:$C,A780,RAW_발주!$A:$A,C780)-SUMIFS($W:$W,$A:$A,A780,$C:$C,C780)),0)</f>
        <v>0</v>
      </c>
    </row>
    <row r="781" customFormat="false" ht="15" hidden="false" customHeight="true" outlineLevel="0" collapsed="false">
      <c r="A781" s="45" t="s">
        <v>1660</v>
      </c>
      <c r="B781" s="42" t="str">
        <f aca="false">IF(A781="100","HK",IF(A781="200","CN",IF(A781="300","TW","홀세일")))</f>
        <v>CN</v>
      </c>
      <c r="C781" s="45" t="s">
        <v>414</v>
      </c>
      <c r="D781" s="46" t="n">
        <v>404</v>
      </c>
      <c r="E781" s="46" t="n">
        <v>149000</v>
      </c>
      <c r="F781" s="46" t="n">
        <v>24800</v>
      </c>
      <c r="G781" s="42" t="n">
        <v>4.65</v>
      </c>
      <c r="H781" s="42" t="n">
        <v>35.1</v>
      </c>
      <c r="I781" s="42" t="n">
        <v>19.6</v>
      </c>
      <c r="J781" s="46" t="n">
        <f aca="false">IF(N(E781)&gt;0,E781,IF(N(F781)&gt;0,F781*요약!$F$27,0))</f>
        <v>149000</v>
      </c>
      <c r="K781" s="46" t="n">
        <f aca="false">IF(N(F781)&gt;0,F781,IF(N(E781)&gt;0,E781/요약!$F$27,0))</f>
        <v>24800</v>
      </c>
      <c r="L781" s="46" t="n">
        <f aca="false">IF(B781="CN",IF(N(I781)&gt;0,I781*요약!$G$27,K781*(1+요약!$E$27)),IF(N(H781)&gt;0,H781*요약!$G$27,J781*요약!$D$27))</f>
        <v>25872</v>
      </c>
      <c r="M781" s="46" t="n">
        <f aca="false">D781*J781</f>
        <v>60196000</v>
      </c>
      <c r="N781" s="46" t="n">
        <f aca="false">D781*K781</f>
        <v>10019200</v>
      </c>
      <c r="O781" s="46" t="n">
        <f aca="false">D781*L781</f>
        <v>10452288</v>
      </c>
      <c r="P781" s="42" t="str">
        <f aca="false">TRIM(IF(N(E781)&lt;=0,"택가보정 ","")&amp;IF(N(F781)&lt;=0,"원가보정 ","")&amp;IF(AND(B781&lt;&gt;"CN",N(H781)&lt;=0),"공급가보정 ","")&amp;IF(AND(B781="CN",N(I781)&lt;=0),"중국공급가=원가+마진 ",""))</f>
        <v/>
      </c>
      <c r="Q781" s="47" t="n">
        <f aca="false">IF(SUMIFS($W:$W,$A:$A,A781,$C:$C,C781)=0,0,SUMIFS(RAW_판매펀칭!$K:$K,RAW_판매펀칭!$P:$P,A781,RAW_판매펀칭!$I:$I,C781)*W781/SUMIFS($W:$W,$A:$A,A781,$C:$C,C781))</f>
        <v>0</v>
      </c>
      <c r="R781" s="47" t="n">
        <f aca="false">IF(OR(A781="500",A781="800",A781="810"),0,MAX(W781-Q781,0))</f>
        <v>0</v>
      </c>
      <c r="S781" s="47" t="n">
        <f aca="false">R781*L781</f>
        <v>0</v>
      </c>
      <c r="T781" s="47" t="n">
        <f aca="false">R781*J781</f>
        <v>0</v>
      </c>
      <c r="U781" s="47" t="n">
        <f aca="false">R781*K781</f>
        <v>0</v>
      </c>
      <c r="V781" s="0" t="str">
        <f aca="false">IF(COUNTIFS($A$2:A781,A781,$C$2:C781,C781,$D$2:D781,D781)&gt;1,"중복","")</f>
        <v>중복</v>
      </c>
      <c r="W781" s="0" t="n">
        <f aca="false">IF(V781="중복",0,N(D781))</f>
        <v>0</v>
      </c>
      <c r="X781" s="0" t="n">
        <f aca="false">IF(COUNTIFS($A$2:A781,A781,$C$2:C781,C781)=1,ABS(SUMIFS(RAW_발주!$D:$D,RAW_발주!$C:$C,A781,RAW_발주!$A:$A,C781)-SUMIFS($W:$W,$A:$A,A781,$C:$C,C781)),0)</f>
        <v>0</v>
      </c>
    </row>
    <row r="782" customFormat="false" ht="15" hidden="false" customHeight="true" outlineLevel="0" collapsed="false">
      <c r="A782" s="45" t="s">
        <v>1661</v>
      </c>
      <c r="B782" s="42" t="str">
        <f aca="false">IF(A782="100","HK",IF(A782="200","CN",IF(A782="300","TW","홀세일")))</f>
        <v>TW</v>
      </c>
      <c r="C782" s="45" t="s">
        <v>414</v>
      </c>
      <c r="D782" s="46" t="n">
        <v>430</v>
      </c>
      <c r="E782" s="46" t="n">
        <v>149000</v>
      </c>
      <c r="F782" s="46" t="n">
        <v>24800</v>
      </c>
      <c r="G782" s="42" t="n">
        <v>4.65</v>
      </c>
      <c r="H782" s="42" t="n">
        <v>35.1</v>
      </c>
      <c r="I782" s="42" t="n">
        <v>19.6</v>
      </c>
      <c r="J782" s="46" t="n">
        <f aca="false">IF(N(E782)&gt;0,E782,IF(N(F782)&gt;0,F782*요약!$F$27,0))</f>
        <v>149000</v>
      </c>
      <c r="K782" s="46" t="n">
        <f aca="false">IF(N(F782)&gt;0,F782,IF(N(E782)&gt;0,E782/요약!$F$27,0))</f>
        <v>24800</v>
      </c>
      <c r="L782" s="46" t="n">
        <f aca="false">IF(B782="CN",IF(N(I782)&gt;0,I782*요약!$G$27,K782*(1+요약!$E$27)),IF(N(H782)&gt;0,H782*요약!$G$27,J782*요약!$D$27))</f>
        <v>46332</v>
      </c>
      <c r="M782" s="46" t="n">
        <f aca="false">D782*J782</f>
        <v>64070000</v>
      </c>
      <c r="N782" s="46" t="n">
        <f aca="false">D782*K782</f>
        <v>10664000</v>
      </c>
      <c r="O782" s="46" t="n">
        <f aca="false">D782*L782</f>
        <v>19922760</v>
      </c>
      <c r="P782" s="42" t="str">
        <f aca="false">TRIM(IF(N(E782)&lt;=0,"택가보정 ","")&amp;IF(N(F782)&lt;=0,"원가보정 ","")&amp;IF(AND(B782&lt;&gt;"CN",N(H782)&lt;=0),"공급가보정 ","")&amp;IF(AND(B782="CN",N(I782)&lt;=0),"중국공급가=원가+마진 ",""))</f>
        <v/>
      </c>
      <c r="Q782" s="47" t="n">
        <f aca="false">IF(SUMIFS($W:$W,$A:$A,A782,$C:$C,C782)=0,0,SUMIFS(RAW_판매펀칭!$K:$K,RAW_판매펀칭!$P:$P,A782,RAW_판매펀칭!$I:$I,C782)*W782/SUMIFS($W:$W,$A:$A,A782,$C:$C,C782))</f>
        <v>430</v>
      </c>
      <c r="R782" s="47" t="n">
        <f aca="false">IF(OR(A782="500",A782="800",A782="810"),0,MAX(W782-Q782,0))</f>
        <v>0</v>
      </c>
      <c r="S782" s="47" t="n">
        <f aca="false">R782*L782</f>
        <v>0</v>
      </c>
      <c r="T782" s="47" t="n">
        <f aca="false">R782*J782</f>
        <v>0</v>
      </c>
      <c r="U782" s="47" t="n">
        <f aca="false">R782*K782</f>
        <v>0</v>
      </c>
      <c r="V782" s="0" t="str">
        <f aca="false">IF(COUNTIFS($A$2:A782,A782,$C$2:C782,C782,$D$2:D782,D782)&gt;1,"중복","")</f>
        <v/>
      </c>
      <c r="W782" s="0" t="n">
        <f aca="false">IF(V782="중복",0,N(D782))</f>
        <v>430</v>
      </c>
      <c r="X782" s="0" t="n">
        <f aca="false">IF(COUNTIFS($A$2:A782,A782,$C$2:C782,C782)=1,ABS(SUMIFS(RAW_발주!$D:$D,RAW_발주!$C:$C,A782,RAW_발주!$A:$A,C782)-SUMIFS($W:$W,$A:$A,A782,$C:$C,C782)),0)</f>
        <v>0</v>
      </c>
    </row>
    <row r="783" customFormat="false" ht="15" hidden="false" customHeight="true" outlineLevel="0" collapsed="false">
      <c r="A783" s="45" t="s">
        <v>1663</v>
      </c>
      <c r="B783" s="42" t="str">
        <f aca="false">IF(A783="100","HK",IF(A783="200","CN",IF(A783="300","TW","홀세일")))</f>
        <v>홀세일</v>
      </c>
      <c r="C783" s="45" t="s">
        <v>414</v>
      </c>
      <c r="D783" s="46" t="n">
        <v>125</v>
      </c>
      <c r="E783" s="46" t="n">
        <v>149000</v>
      </c>
      <c r="F783" s="46" t="n">
        <v>24800</v>
      </c>
      <c r="G783" s="42" t="n">
        <v>4.65</v>
      </c>
      <c r="H783" s="42" t="n">
        <v>35.1</v>
      </c>
      <c r="I783" s="42" t="n">
        <v>19.6</v>
      </c>
      <c r="J783" s="46" t="n">
        <f aca="false">IF(N(E783)&gt;0,E783,IF(N(F783)&gt;0,F783*요약!$F$27,0))</f>
        <v>149000</v>
      </c>
      <c r="K783" s="46" t="n">
        <f aca="false">IF(N(F783)&gt;0,F783,IF(N(E783)&gt;0,E783/요약!$F$27,0))</f>
        <v>24800</v>
      </c>
      <c r="L783" s="46" t="n">
        <f aca="false">IF(B783="CN",IF(N(I783)&gt;0,I783*요약!$G$27,K783*(1+요약!$E$27)),IF(N(H783)&gt;0,H783*요약!$G$27,J783*요약!$D$27))</f>
        <v>46332</v>
      </c>
      <c r="M783" s="46" t="n">
        <f aca="false">D783*J783</f>
        <v>18625000</v>
      </c>
      <c r="N783" s="46" t="n">
        <f aca="false">D783*K783</f>
        <v>3100000</v>
      </c>
      <c r="O783" s="46" t="n">
        <f aca="false">D783*L783</f>
        <v>5791500</v>
      </c>
      <c r="P783" s="42" t="str">
        <f aca="false">TRIM(IF(N(E783)&lt;=0,"택가보정 ","")&amp;IF(N(F783)&lt;=0,"원가보정 ","")&amp;IF(AND(B783&lt;&gt;"CN",N(H783)&lt;=0),"공급가보정 ","")&amp;IF(AND(B783="CN",N(I783)&lt;=0),"중국공급가=원가+마진 ",""))</f>
        <v/>
      </c>
      <c r="Q783" s="47" t="n">
        <f aca="false">IF(SUMIFS($W:$W,$A:$A,A783,$C:$C,C783)=0,0,SUMIFS(RAW_판매펀칭!$K:$K,RAW_판매펀칭!$P:$P,A783,RAW_판매펀칭!$I:$I,C783)*W783/SUMIFS($W:$W,$A:$A,A783,$C:$C,C783))</f>
        <v>125</v>
      </c>
      <c r="R783" s="47" t="n">
        <f aca="false">IF(OR(A783="500",A783="800",A783="810"),0,MAX(W783-Q783,0))</f>
        <v>0</v>
      </c>
      <c r="S783" s="47" t="n">
        <f aca="false">R783*L783</f>
        <v>0</v>
      </c>
      <c r="T783" s="47" t="n">
        <f aca="false">R783*J783</f>
        <v>0</v>
      </c>
      <c r="U783" s="47" t="n">
        <f aca="false">R783*K783</f>
        <v>0</v>
      </c>
      <c r="V783" s="0" t="str">
        <f aca="false">IF(COUNTIFS($A$2:A783,A783,$C$2:C783,C783,$D$2:D783,D783)&gt;1,"중복","")</f>
        <v/>
      </c>
      <c r="W783" s="0" t="n">
        <f aca="false">IF(V783="중복",0,N(D783))</f>
        <v>125</v>
      </c>
      <c r="X783" s="0" t="n">
        <f aca="false">IF(COUNTIFS($A$2:A783,A783,$C$2:C783,C783)=1,ABS(SUMIFS(RAW_발주!$D:$D,RAW_발주!$C:$C,A783,RAW_발주!$A:$A,C783)-SUMIFS($W:$W,$A:$A,A783,$C:$C,C783)),0)</f>
        <v>0</v>
      </c>
    </row>
    <row r="784" customFormat="false" ht="15" hidden="false" customHeight="true" outlineLevel="0" collapsed="false">
      <c r="A784" s="45" t="s">
        <v>1664</v>
      </c>
      <c r="B784" s="42" t="str">
        <f aca="false">IF(A784="100","HK",IF(A784="200","CN",IF(A784="300","TW","홀세일")))</f>
        <v>홀세일</v>
      </c>
      <c r="C784" s="45" t="s">
        <v>414</v>
      </c>
      <c r="D784" s="46" t="n">
        <v>70</v>
      </c>
      <c r="E784" s="46" t="n">
        <v>149000</v>
      </c>
      <c r="F784" s="46" t="n">
        <v>24800</v>
      </c>
      <c r="G784" s="42" t="n">
        <v>4.65</v>
      </c>
      <c r="H784" s="42" t="n">
        <v>35.1</v>
      </c>
      <c r="I784" s="42" t="n">
        <v>19.6</v>
      </c>
      <c r="J784" s="46" t="n">
        <f aca="false">IF(N(E784)&gt;0,E784,IF(N(F784)&gt;0,F784*요약!$F$27,0))</f>
        <v>149000</v>
      </c>
      <c r="K784" s="46" t="n">
        <f aca="false">IF(N(F784)&gt;0,F784,IF(N(E784)&gt;0,E784/요약!$F$27,0))</f>
        <v>24800</v>
      </c>
      <c r="L784" s="46" t="n">
        <f aca="false">IF(B784="CN",IF(N(I784)&gt;0,I784*요약!$G$27,K784*(1+요약!$E$27)),IF(N(H784)&gt;0,H784*요약!$G$27,J784*요약!$D$27))</f>
        <v>46332</v>
      </c>
      <c r="M784" s="46" t="n">
        <f aca="false">D784*J784</f>
        <v>10430000</v>
      </c>
      <c r="N784" s="46" t="n">
        <f aca="false">D784*K784</f>
        <v>1736000</v>
      </c>
      <c r="O784" s="46" t="n">
        <f aca="false">D784*L784</f>
        <v>3243240</v>
      </c>
      <c r="P784" s="42" t="str">
        <f aca="false">TRIM(IF(N(E784)&lt;=0,"택가보정 ","")&amp;IF(N(F784)&lt;=0,"원가보정 ","")&amp;IF(AND(B784&lt;&gt;"CN",N(H784)&lt;=0),"공급가보정 ","")&amp;IF(AND(B784="CN",N(I784)&lt;=0),"중국공급가=원가+마진 ",""))</f>
        <v/>
      </c>
      <c r="Q784" s="47" t="n">
        <f aca="false">IF(SUMIFS($W:$W,$A:$A,A784,$C:$C,C784)=0,0,SUMIFS(RAW_판매펀칭!$K:$K,RAW_판매펀칭!$P:$P,A784,RAW_판매펀칭!$I:$I,C784)*W784/SUMIFS($W:$W,$A:$A,A784,$C:$C,C784))</f>
        <v>0</v>
      </c>
      <c r="R784" s="47" t="n">
        <f aca="false">IF(OR(A784="500",A784="800",A784="810"),0,MAX(W784-Q784,0))</f>
        <v>0</v>
      </c>
      <c r="S784" s="47" t="n">
        <f aca="false">R784*L784</f>
        <v>0</v>
      </c>
      <c r="T784" s="47" t="n">
        <f aca="false">R784*J784</f>
        <v>0</v>
      </c>
      <c r="U784" s="47" t="n">
        <f aca="false">R784*K784</f>
        <v>0</v>
      </c>
      <c r="V784" s="0" t="str">
        <f aca="false">IF(COUNTIFS($A$2:A784,A784,$C$2:C784,C784,$D$2:D784,D784)&gt;1,"중복","")</f>
        <v/>
      </c>
      <c r="W784" s="0" t="n">
        <f aca="false">IF(V784="중복",0,N(D784))</f>
        <v>70</v>
      </c>
      <c r="X784" s="0" t="n">
        <f aca="false">IF(COUNTIFS($A$2:A784,A784,$C$2:C784,C784)=1,ABS(SUMIFS(RAW_발주!$D:$D,RAW_발주!$C:$C,A784,RAW_발주!$A:$A,C784)-SUMIFS($W:$W,$A:$A,A784,$C:$C,C784)),0)</f>
        <v>0</v>
      </c>
    </row>
    <row r="785" customFormat="false" ht="15" hidden="false" customHeight="true" outlineLevel="0" collapsed="false">
      <c r="A785" s="45" t="s">
        <v>1666</v>
      </c>
      <c r="B785" s="42" t="str">
        <f aca="false">IF(A785="100","HK",IF(A785="200","CN",IF(A785="300","TW","홀세일")))</f>
        <v>홀세일</v>
      </c>
      <c r="C785" s="45" t="s">
        <v>414</v>
      </c>
      <c r="D785" s="46" t="n">
        <v>35</v>
      </c>
      <c r="E785" s="46" t="n">
        <v>149000</v>
      </c>
      <c r="F785" s="46" t="n">
        <v>24800</v>
      </c>
      <c r="G785" s="42" t="n">
        <v>4.65</v>
      </c>
      <c r="H785" s="42" t="n">
        <v>35.1</v>
      </c>
      <c r="I785" s="42" t="n">
        <v>19.6</v>
      </c>
      <c r="J785" s="46" t="n">
        <f aca="false">IF(N(E785)&gt;0,E785,IF(N(F785)&gt;0,F785*요약!$F$27,0))</f>
        <v>149000</v>
      </c>
      <c r="K785" s="46" t="n">
        <f aca="false">IF(N(F785)&gt;0,F785,IF(N(E785)&gt;0,E785/요약!$F$27,0))</f>
        <v>24800</v>
      </c>
      <c r="L785" s="46" t="n">
        <f aca="false">IF(B785="CN",IF(N(I785)&gt;0,I785*요약!$G$27,K785*(1+요약!$E$27)),IF(N(H785)&gt;0,H785*요약!$G$27,J785*요약!$D$27))</f>
        <v>46332</v>
      </c>
      <c r="M785" s="46" t="n">
        <f aca="false">D785*J785</f>
        <v>5215000</v>
      </c>
      <c r="N785" s="46" t="n">
        <f aca="false">D785*K785</f>
        <v>868000</v>
      </c>
      <c r="O785" s="46" t="n">
        <f aca="false">D785*L785</f>
        <v>1621620</v>
      </c>
      <c r="P785" s="42" t="str">
        <f aca="false">TRIM(IF(N(E785)&lt;=0,"택가보정 ","")&amp;IF(N(F785)&lt;=0,"원가보정 ","")&amp;IF(AND(B785&lt;&gt;"CN",N(H785)&lt;=0),"공급가보정 ","")&amp;IF(AND(B785="CN",N(I785)&lt;=0),"중국공급가=원가+마진 ",""))</f>
        <v/>
      </c>
      <c r="Q785" s="47" t="n">
        <f aca="false">IF(SUMIFS($W:$W,$A:$A,A785,$C:$C,C785)=0,0,SUMIFS(RAW_판매펀칭!$K:$K,RAW_판매펀칭!$P:$P,A785,RAW_판매펀칭!$I:$I,C785)*W785/SUMIFS($W:$W,$A:$A,A785,$C:$C,C785))</f>
        <v>35</v>
      </c>
      <c r="R785" s="47" t="n">
        <f aca="false">IF(OR(A785="500",A785="800",A785="810"),0,MAX(W785-Q785,0))</f>
        <v>0</v>
      </c>
      <c r="S785" s="47" t="n">
        <f aca="false">R785*L785</f>
        <v>0</v>
      </c>
      <c r="T785" s="47" t="n">
        <f aca="false">R785*J785</f>
        <v>0</v>
      </c>
      <c r="U785" s="47" t="n">
        <f aca="false">R785*K785</f>
        <v>0</v>
      </c>
      <c r="V785" s="0" t="str">
        <f aca="false">IF(COUNTIFS($A$2:A785,A785,$C$2:C785,C785,$D$2:D785,D785)&gt;1,"중복","")</f>
        <v/>
      </c>
      <c r="W785" s="0" t="n">
        <f aca="false">IF(V785="중복",0,N(D785))</f>
        <v>35</v>
      </c>
      <c r="X785" s="0" t="n">
        <f aca="false">IF(COUNTIFS($A$2:A785,A785,$C$2:C785,C785)=1,ABS(SUMIFS(RAW_발주!$D:$D,RAW_발주!$C:$C,A785,RAW_발주!$A:$A,C785)-SUMIFS($W:$W,$A:$A,A785,$C:$C,C785)),0)</f>
        <v>0</v>
      </c>
    </row>
    <row r="786" customFormat="false" ht="15" hidden="false" customHeight="true" outlineLevel="0" collapsed="false">
      <c r="A786" s="45" t="s">
        <v>1659</v>
      </c>
      <c r="B786" s="42" t="str">
        <f aca="false">IF(A786="100","HK",IF(A786="200","CN",IF(A786="300","TW","홀세일")))</f>
        <v>HK</v>
      </c>
      <c r="C786" s="45" t="s">
        <v>416</v>
      </c>
      <c r="D786" s="46" t="n">
        <v>210</v>
      </c>
      <c r="E786" s="46" t="n">
        <v>149000</v>
      </c>
      <c r="F786" s="46" t="n">
        <v>27300</v>
      </c>
      <c r="G786" s="42" t="n">
        <v>4.36</v>
      </c>
      <c r="H786" s="42" t="n">
        <v>35.1</v>
      </c>
      <c r="I786" s="42" t="n">
        <v>0</v>
      </c>
      <c r="J786" s="46" t="n">
        <f aca="false">IF(N(E786)&gt;0,E786,IF(N(F786)&gt;0,F786*요약!$F$27,0))</f>
        <v>149000</v>
      </c>
      <c r="K786" s="46" t="n">
        <f aca="false">IF(N(F786)&gt;0,F786,IF(N(E786)&gt;0,E786/요약!$F$27,0))</f>
        <v>27300</v>
      </c>
      <c r="L786" s="46" t="n">
        <f aca="false">IF(B786="CN",IF(N(I786)&gt;0,I786*요약!$G$27,K786*(1+요약!$E$27)),IF(N(H786)&gt;0,H786*요약!$G$27,J786*요약!$D$27))</f>
        <v>46332</v>
      </c>
      <c r="M786" s="46" t="n">
        <f aca="false">D786*J786</f>
        <v>31290000</v>
      </c>
      <c r="N786" s="46" t="n">
        <f aca="false">D786*K786</f>
        <v>5733000</v>
      </c>
      <c r="O786" s="46" t="n">
        <f aca="false">D786*L786</f>
        <v>9729720</v>
      </c>
      <c r="P786" s="42" t="str">
        <f aca="false">TRIM(IF(N(E786)&lt;=0,"택가보정 ","")&amp;IF(N(F786)&lt;=0,"원가보정 ","")&amp;IF(AND(B786&lt;&gt;"CN",N(H786)&lt;=0),"공급가보정 ","")&amp;IF(AND(B786="CN",N(I786)&lt;=0),"중국공급가=원가+마진 ",""))</f>
        <v/>
      </c>
      <c r="Q786" s="47" t="n">
        <f aca="false">IF(SUMIFS($W:$W,$A:$A,A786,$C:$C,C786)=0,0,SUMIFS(RAW_판매펀칭!$K:$K,RAW_판매펀칭!$P:$P,A786,RAW_판매펀칭!$I:$I,C786)*W786/SUMIFS($W:$W,$A:$A,A786,$C:$C,C786))</f>
        <v>210</v>
      </c>
      <c r="R786" s="47" t="n">
        <f aca="false">IF(OR(A786="500",A786="800",A786="810"),0,MAX(W786-Q786,0))</f>
        <v>0</v>
      </c>
      <c r="S786" s="47" t="n">
        <f aca="false">R786*L786</f>
        <v>0</v>
      </c>
      <c r="T786" s="47" t="n">
        <f aca="false">R786*J786</f>
        <v>0</v>
      </c>
      <c r="U786" s="47" t="n">
        <f aca="false">R786*K786</f>
        <v>0</v>
      </c>
      <c r="V786" s="0" t="str">
        <f aca="false">IF(COUNTIFS($A$2:A786,A786,$C$2:C786,C786,$D$2:D786,D786)&gt;1,"중복","")</f>
        <v/>
      </c>
      <c r="W786" s="0" t="n">
        <f aca="false">IF(V786="중복",0,N(D786))</f>
        <v>210</v>
      </c>
      <c r="X786" s="0" t="n">
        <f aca="false">IF(COUNTIFS($A$2:A786,A786,$C$2:C786,C786)=1,ABS(SUMIFS(RAW_발주!$D:$D,RAW_발주!$C:$C,A786,RAW_발주!$A:$A,C786)-SUMIFS($W:$W,$A:$A,A786,$C:$C,C786)),0)</f>
        <v>0</v>
      </c>
    </row>
    <row r="787" customFormat="false" ht="15" hidden="false" customHeight="true" outlineLevel="0" collapsed="false">
      <c r="A787" s="45" t="s">
        <v>1661</v>
      </c>
      <c r="B787" s="42" t="str">
        <f aca="false">IF(A787="100","HK",IF(A787="200","CN",IF(A787="300","TW","홀세일")))</f>
        <v>TW</v>
      </c>
      <c r="C787" s="45" t="s">
        <v>416</v>
      </c>
      <c r="D787" s="46" t="n">
        <v>430</v>
      </c>
      <c r="E787" s="46" t="n">
        <v>149000</v>
      </c>
      <c r="F787" s="46" t="n">
        <v>27300</v>
      </c>
      <c r="G787" s="42" t="n">
        <v>4.36</v>
      </c>
      <c r="H787" s="42" t="n">
        <v>35.1</v>
      </c>
      <c r="I787" s="42" t="n">
        <v>0</v>
      </c>
      <c r="J787" s="46" t="n">
        <f aca="false">IF(N(E787)&gt;0,E787,IF(N(F787)&gt;0,F787*요약!$F$27,0))</f>
        <v>149000</v>
      </c>
      <c r="K787" s="46" t="n">
        <f aca="false">IF(N(F787)&gt;0,F787,IF(N(E787)&gt;0,E787/요약!$F$27,0))</f>
        <v>27300</v>
      </c>
      <c r="L787" s="46" t="n">
        <f aca="false">IF(B787="CN",IF(N(I787)&gt;0,I787*요약!$G$27,K787*(1+요약!$E$27)),IF(N(H787)&gt;0,H787*요약!$G$27,J787*요약!$D$27))</f>
        <v>46332</v>
      </c>
      <c r="M787" s="46" t="n">
        <f aca="false">D787*J787</f>
        <v>64070000</v>
      </c>
      <c r="N787" s="46" t="n">
        <f aca="false">D787*K787</f>
        <v>11739000</v>
      </c>
      <c r="O787" s="46" t="n">
        <f aca="false">D787*L787</f>
        <v>19922760</v>
      </c>
      <c r="P787" s="42" t="str">
        <f aca="false">TRIM(IF(N(E787)&lt;=0,"택가보정 ","")&amp;IF(N(F787)&lt;=0,"원가보정 ","")&amp;IF(AND(B787&lt;&gt;"CN",N(H787)&lt;=0),"공급가보정 ","")&amp;IF(AND(B787="CN",N(I787)&lt;=0),"중국공급가=원가+마진 ",""))</f>
        <v/>
      </c>
      <c r="Q787" s="47" t="n">
        <f aca="false">IF(SUMIFS($W:$W,$A:$A,A787,$C:$C,C787)=0,0,SUMIFS(RAW_판매펀칭!$K:$K,RAW_판매펀칭!$P:$P,A787,RAW_판매펀칭!$I:$I,C787)*W787/SUMIFS($W:$W,$A:$A,A787,$C:$C,C787))</f>
        <v>430</v>
      </c>
      <c r="R787" s="47" t="n">
        <f aca="false">IF(OR(A787="500",A787="800",A787="810"),0,MAX(W787-Q787,0))</f>
        <v>0</v>
      </c>
      <c r="S787" s="47" t="n">
        <f aca="false">R787*L787</f>
        <v>0</v>
      </c>
      <c r="T787" s="47" t="n">
        <f aca="false">R787*J787</f>
        <v>0</v>
      </c>
      <c r="U787" s="47" t="n">
        <f aca="false">R787*K787</f>
        <v>0</v>
      </c>
      <c r="V787" s="0" t="str">
        <f aca="false">IF(COUNTIFS($A$2:A787,A787,$C$2:C787,C787,$D$2:D787,D787)&gt;1,"중복","")</f>
        <v/>
      </c>
      <c r="W787" s="0" t="n">
        <f aca="false">IF(V787="중복",0,N(D787))</f>
        <v>430</v>
      </c>
      <c r="X787" s="0" t="n">
        <f aca="false">IF(COUNTIFS($A$2:A787,A787,$C$2:C787,C787)=1,ABS(SUMIFS(RAW_발주!$D:$D,RAW_발주!$C:$C,A787,RAW_발주!$A:$A,C787)-SUMIFS($W:$W,$A:$A,A787,$C:$C,C787)),0)</f>
        <v>0</v>
      </c>
    </row>
    <row r="788" customFormat="false" ht="15" hidden="false" customHeight="true" outlineLevel="0" collapsed="false">
      <c r="A788" s="45" t="s">
        <v>1662</v>
      </c>
      <c r="B788" s="42" t="str">
        <f aca="false">IF(A788="100","HK",IF(A788="200","CN",IF(A788="300","TW","홀세일")))</f>
        <v>홀세일</v>
      </c>
      <c r="C788" s="45" t="s">
        <v>416</v>
      </c>
      <c r="D788" s="46" t="n">
        <v>270</v>
      </c>
      <c r="E788" s="46" t="n">
        <v>149000</v>
      </c>
      <c r="F788" s="46" t="n">
        <v>27300</v>
      </c>
      <c r="G788" s="42" t="n">
        <v>4.36</v>
      </c>
      <c r="H788" s="42" t="n">
        <v>35.1</v>
      </c>
      <c r="I788" s="42" t="n">
        <v>0</v>
      </c>
      <c r="J788" s="46" t="n">
        <f aca="false">IF(N(E788)&gt;0,E788,IF(N(F788)&gt;0,F788*요약!$F$27,0))</f>
        <v>149000</v>
      </c>
      <c r="K788" s="46" t="n">
        <f aca="false">IF(N(F788)&gt;0,F788,IF(N(E788)&gt;0,E788/요약!$F$27,0))</f>
        <v>27300</v>
      </c>
      <c r="L788" s="46" t="n">
        <f aca="false">IF(B788="CN",IF(N(I788)&gt;0,I788*요약!$G$27,K788*(1+요약!$E$27)),IF(N(H788)&gt;0,H788*요약!$G$27,J788*요약!$D$27))</f>
        <v>46332</v>
      </c>
      <c r="M788" s="46" t="n">
        <f aca="false">D788*J788</f>
        <v>40230000</v>
      </c>
      <c r="N788" s="46" t="n">
        <f aca="false">D788*K788</f>
        <v>7371000</v>
      </c>
      <c r="O788" s="46" t="n">
        <f aca="false">D788*L788</f>
        <v>12509640</v>
      </c>
      <c r="P788" s="42" t="str">
        <f aca="false">TRIM(IF(N(E788)&lt;=0,"택가보정 ","")&amp;IF(N(F788)&lt;=0,"원가보정 ","")&amp;IF(AND(B788&lt;&gt;"CN",N(H788)&lt;=0),"공급가보정 ","")&amp;IF(AND(B788="CN",N(I788)&lt;=0),"중국공급가=원가+마진 ",""))</f>
        <v/>
      </c>
      <c r="Q788" s="47" t="n">
        <f aca="false">IF(SUMIFS($W:$W,$A:$A,A788,$C:$C,C788)=0,0,SUMIFS(RAW_판매펀칭!$K:$K,RAW_판매펀칭!$P:$P,A788,RAW_판매펀칭!$I:$I,C788)*W788/SUMIFS($W:$W,$A:$A,A788,$C:$C,C788))</f>
        <v>0</v>
      </c>
      <c r="R788" s="47" t="n">
        <f aca="false">IF(OR(A788="500",A788="800",A788="810"),0,MAX(W788-Q788,0))</f>
        <v>0</v>
      </c>
      <c r="S788" s="47" t="n">
        <f aca="false">R788*L788</f>
        <v>0</v>
      </c>
      <c r="T788" s="47" t="n">
        <f aca="false">R788*J788</f>
        <v>0</v>
      </c>
      <c r="U788" s="47" t="n">
        <f aca="false">R788*K788</f>
        <v>0</v>
      </c>
      <c r="V788" s="0" t="str">
        <f aca="false">IF(COUNTIFS($A$2:A788,A788,$C$2:C788,C788,$D$2:D788,D788)&gt;1,"중복","")</f>
        <v/>
      </c>
      <c r="W788" s="0" t="n">
        <f aca="false">IF(V788="중복",0,N(D788))</f>
        <v>270</v>
      </c>
      <c r="X788" s="0" t="n">
        <f aca="false">IF(COUNTIFS($A$2:A788,A788,$C$2:C788,C788)=1,ABS(SUMIFS(RAW_발주!$D:$D,RAW_발주!$C:$C,A788,RAW_발주!$A:$A,C788)-SUMIFS($W:$W,$A:$A,A788,$C:$C,C788)),0)</f>
        <v>0</v>
      </c>
    </row>
    <row r="789" customFormat="false" ht="15" hidden="false" customHeight="true" outlineLevel="0" collapsed="false">
      <c r="A789" s="45" t="s">
        <v>1663</v>
      </c>
      <c r="B789" s="42" t="str">
        <f aca="false">IF(A789="100","HK",IF(A789="200","CN",IF(A789="300","TW","홀세일")))</f>
        <v>홀세일</v>
      </c>
      <c r="C789" s="45" t="s">
        <v>416</v>
      </c>
      <c r="D789" s="46" t="n">
        <v>75</v>
      </c>
      <c r="E789" s="46" t="n">
        <v>149000</v>
      </c>
      <c r="F789" s="46" t="n">
        <v>27300</v>
      </c>
      <c r="G789" s="42" t="n">
        <v>4.36</v>
      </c>
      <c r="H789" s="42" t="n">
        <v>35.1</v>
      </c>
      <c r="I789" s="42" t="n">
        <v>0</v>
      </c>
      <c r="J789" s="46" t="n">
        <f aca="false">IF(N(E789)&gt;0,E789,IF(N(F789)&gt;0,F789*요약!$F$27,0))</f>
        <v>149000</v>
      </c>
      <c r="K789" s="46" t="n">
        <f aca="false">IF(N(F789)&gt;0,F789,IF(N(E789)&gt;0,E789/요약!$F$27,0))</f>
        <v>27300</v>
      </c>
      <c r="L789" s="46" t="n">
        <f aca="false">IF(B789="CN",IF(N(I789)&gt;0,I789*요약!$G$27,K789*(1+요약!$E$27)),IF(N(H789)&gt;0,H789*요약!$G$27,J789*요약!$D$27))</f>
        <v>46332</v>
      </c>
      <c r="M789" s="46" t="n">
        <f aca="false">D789*J789</f>
        <v>11175000</v>
      </c>
      <c r="N789" s="46" t="n">
        <f aca="false">D789*K789</f>
        <v>2047500</v>
      </c>
      <c r="O789" s="46" t="n">
        <f aca="false">D789*L789</f>
        <v>3474900</v>
      </c>
      <c r="P789" s="42" t="str">
        <f aca="false">TRIM(IF(N(E789)&lt;=0,"택가보정 ","")&amp;IF(N(F789)&lt;=0,"원가보정 ","")&amp;IF(AND(B789&lt;&gt;"CN",N(H789)&lt;=0),"공급가보정 ","")&amp;IF(AND(B789="CN",N(I789)&lt;=0),"중국공급가=원가+마진 ",""))</f>
        <v/>
      </c>
      <c r="Q789" s="47" t="n">
        <f aca="false">IF(SUMIFS($W:$W,$A:$A,A789,$C:$C,C789)=0,0,SUMIFS(RAW_판매펀칭!$K:$K,RAW_판매펀칭!$P:$P,A789,RAW_판매펀칭!$I:$I,C789)*W789/SUMIFS($W:$W,$A:$A,A789,$C:$C,C789))</f>
        <v>75</v>
      </c>
      <c r="R789" s="47" t="n">
        <f aca="false">IF(OR(A789="500",A789="800",A789="810"),0,MAX(W789-Q789,0))</f>
        <v>0</v>
      </c>
      <c r="S789" s="47" t="n">
        <f aca="false">R789*L789</f>
        <v>0</v>
      </c>
      <c r="T789" s="47" t="n">
        <f aca="false">R789*J789</f>
        <v>0</v>
      </c>
      <c r="U789" s="47" t="n">
        <f aca="false">R789*K789</f>
        <v>0</v>
      </c>
      <c r="V789" s="0" t="str">
        <f aca="false">IF(COUNTIFS($A$2:A789,A789,$C$2:C789,C789,$D$2:D789,D789)&gt;1,"중복","")</f>
        <v/>
      </c>
      <c r="W789" s="0" t="n">
        <f aca="false">IF(V789="중복",0,N(D789))</f>
        <v>75</v>
      </c>
      <c r="X789" s="0" t="n">
        <f aca="false">IF(COUNTIFS($A$2:A789,A789,$C$2:C789,C789)=1,ABS(SUMIFS(RAW_발주!$D:$D,RAW_발주!$C:$C,A789,RAW_발주!$A:$A,C789)-SUMIFS($W:$W,$A:$A,A789,$C:$C,C789)),0)</f>
        <v>0</v>
      </c>
    </row>
    <row r="790" customFormat="false" ht="15" hidden="false" customHeight="true" outlineLevel="0" collapsed="false">
      <c r="A790" s="45" t="s">
        <v>1665</v>
      </c>
      <c r="B790" s="42" t="str">
        <f aca="false">IF(A790="100","HK",IF(A790="200","CN",IF(A790="300","TW","홀세일")))</f>
        <v>홀세일</v>
      </c>
      <c r="C790" s="45" t="s">
        <v>416</v>
      </c>
      <c r="D790" s="46" t="n">
        <v>228</v>
      </c>
      <c r="E790" s="46" t="n">
        <v>149000</v>
      </c>
      <c r="F790" s="46" t="n">
        <v>27300</v>
      </c>
      <c r="G790" s="42" t="n">
        <v>4.36</v>
      </c>
      <c r="H790" s="42" t="n">
        <v>35.1</v>
      </c>
      <c r="I790" s="42" t="n">
        <v>0</v>
      </c>
      <c r="J790" s="46" t="n">
        <f aca="false">IF(N(E790)&gt;0,E790,IF(N(F790)&gt;0,F790*요약!$F$27,0))</f>
        <v>149000</v>
      </c>
      <c r="K790" s="46" t="n">
        <f aca="false">IF(N(F790)&gt;0,F790,IF(N(E790)&gt;0,E790/요약!$F$27,0))</f>
        <v>27300</v>
      </c>
      <c r="L790" s="46" t="n">
        <f aca="false">IF(B790="CN",IF(N(I790)&gt;0,I790*요약!$G$27,K790*(1+요약!$E$27)),IF(N(H790)&gt;0,H790*요약!$G$27,J790*요약!$D$27))</f>
        <v>46332</v>
      </c>
      <c r="M790" s="46" t="n">
        <f aca="false">D790*J790</f>
        <v>33972000</v>
      </c>
      <c r="N790" s="46" t="n">
        <f aca="false">D790*K790</f>
        <v>6224400</v>
      </c>
      <c r="O790" s="46" t="n">
        <f aca="false">D790*L790</f>
        <v>10563696</v>
      </c>
      <c r="P790" s="42" t="str">
        <f aca="false">TRIM(IF(N(E790)&lt;=0,"택가보정 ","")&amp;IF(N(F790)&lt;=0,"원가보정 ","")&amp;IF(AND(B790&lt;&gt;"CN",N(H790)&lt;=0),"공급가보정 ","")&amp;IF(AND(B790="CN",N(I790)&lt;=0),"중국공급가=원가+마진 ",""))</f>
        <v/>
      </c>
      <c r="Q790" s="47" t="n">
        <f aca="false">IF(SUMIFS($W:$W,$A:$A,A790,$C:$C,C790)=0,0,SUMIFS(RAW_판매펀칭!$K:$K,RAW_판매펀칭!$P:$P,A790,RAW_판매펀칭!$I:$I,C790)*W790/SUMIFS($W:$W,$A:$A,A790,$C:$C,C790))</f>
        <v>0</v>
      </c>
      <c r="R790" s="47" t="n">
        <f aca="false">IF(OR(A790="500",A790="800",A790="810"),0,MAX(W790-Q790,0))</f>
        <v>0</v>
      </c>
      <c r="S790" s="47" t="n">
        <f aca="false">R790*L790</f>
        <v>0</v>
      </c>
      <c r="T790" s="47" t="n">
        <f aca="false">R790*J790</f>
        <v>0</v>
      </c>
      <c r="U790" s="47" t="n">
        <f aca="false">R790*K790</f>
        <v>0</v>
      </c>
      <c r="V790" s="0" t="str">
        <f aca="false">IF(COUNTIFS($A$2:A790,A790,$C$2:C790,C790,$D$2:D790,D790)&gt;1,"중복","")</f>
        <v/>
      </c>
      <c r="W790" s="0" t="n">
        <f aca="false">IF(V790="중복",0,N(D790))</f>
        <v>228</v>
      </c>
      <c r="X790" s="0" t="n">
        <f aca="false">IF(COUNTIFS($A$2:A790,A790,$C$2:C790,C790)=1,ABS(SUMIFS(RAW_발주!$D:$D,RAW_발주!$C:$C,A790,RAW_발주!$A:$A,C790)-SUMIFS($W:$W,$A:$A,A790,$C:$C,C790)),0)</f>
        <v>0</v>
      </c>
    </row>
    <row r="791" customFormat="false" ht="15" hidden="false" customHeight="true" outlineLevel="0" collapsed="false">
      <c r="A791" s="45" t="s">
        <v>1659</v>
      </c>
      <c r="B791" s="42" t="str">
        <f aca="false">IF(A791="100","HK",IF(A791="200","CN",IF(A791="300","TW","홀세일")))</f>
        <v>HK</v>
      </c>
      <c r="C791" s="45" t="s">
        <v>882</v>
      </c>
      <c r="D791" s="46" t="n">
        <v>230</v>
      </c>
      <c r="E791" s="46" t="n">
        <v>109000</v>
      </c>
      <c r="F791" s="46" t="n">
        <v>24100</v>
      </c>
      <c r="G791" s="42" t="n">
        <v>3.5</v>
      </c>
      <c r="H791" s="42" t="n">
        <v>25.7</v>
      </c>
      <c r="I791" s="42" t="n">
        <v>0</v>
      </c>
      <c r="J791" s="46" t="n">
        <f aca="false">IF(N(E791)&gt;0,E791,IF(N(F791)&gt;0,F791*요약!$F$27,0))</f>
        <v>109000</v>
      </c>
      <c r="K791" s="46" t="n">
        <f aca="false">IF(N(F791)&gt;0,F791,IF(N(E791)&gt;0,E791/요약!$F$27,0))</f>
        <v>24100</v>
      </c>
      <c r="L791" s="46" t="n">
        <f aca="false">IF(B791="CN",IF(N(I791)&gt;0,I791*요약!$G$27,K791*(1+요약!$E$27)),IF(N(H791)&gt;0,H791*요약!$G$27,J791*요약!$D$27))</f>
        <v>33924</v>
      </c>
      <c r="M791" s="46" t="n">
        <f aca="false">D791*J791</f>
        <v>25070000</v>
      </c>
      <c r="N791" s="46" t="n">
        <f aca="false">D791*K791</f>
        <v>5543000</v>
      </c>
      <c r="O791" s="46" t="n">
        <f aca="false">D791*L791</f>
        <v>7802520</v>
      </c>
      <c r="P791" s="42" t="str">
        <f aca="false">TRIM(IF(N(E791)&lt;=0,"택가보정 ","")&amp;IF(N(F791)&lt;=0,"원가보정 ","")&amp;IF(AND(B791&lt;&gt;"CN",N(H791)&lt;=0),"공급가보정 ","")&amp;IF(AND(B791="CN",N(I791)&lt;=0),"중국공급가=원가+마진 ",""))</f>
        <v/>
      </c>
      <c r="Q791" s="47" t="n">
        <f aca="false">IF(SUMIFS($W:$W,$A:$A,A791,$C:$C,C791)=0,0,SUMIFS(RAW_판매펀칭!$K:$K,RAW_판매펀칭!$P:$P,A791,RAW_판매펀칭!$I:$I,C791)*W791/SUMIFS($W:$W,$A:$A,A791,$C:$C,C791))</f>
        <v>230</v>
      </c>
      <c r="R791" s="47" t="n">
        <f aca="false">IF(OR(A791="500",A791="800",A791="810"),0,MAX(W791-Q791,0))</f>
        <v>0</v>
      </c>
      <c r="S791" s="47" t="n">
        <f aca="false">R791*L791</f>
        <v>0</v>
      </c>
      <c r="T791" s="47" t="n">
        <f aca="false">R791*J791</f>
        <v>0</v>
      </c>
      <c r="U791" s="47" t="n">
        <f aca="false">R791*K791</f>
        <v>0</v>
      </c>
      <c r="V791" s="0" t="str">
        <f aca="false">IF(COUNTIFS($A$2:A791,A791,$C$2:C791,C791,$D$2:D791,D791)&gt;1,"중복","")</f>
        <v/>
      </c>
      <c r="W791" s="0" t="n">
        <f aca="false">IF(V791="중복",0,N(D791))</f>
        <v>230</v>
      </c>
      <c r="X791" s="0" t="n">
        <f aca="false">IF(COUNTIFS($A$2:A791,A791,$C$2:C791,C791)=1,ABS(SUMIFS(RAW_발주!$D:$D,RAW_발주!$C:$C,A791,RAW_발주!$A:$A,C791)-SUMIFS($W:$W,$A:$A,A791,$C:$C,C791)),0)</f>
        <v>0</v>
      </c>
    </row>
    <row r="792" customFormat="false" ht="15" hidden="false" customHeight="true" outlineLevel="0" collapsed="false">
      <c r="A792" s="45" t="s">
        <v>1663</v>
      </c>
      <c r="B792" s="42" t="str">
        <f aca="false">IF(A792="100","HK",IF(A792="200","CN",IF(A792="300","TW","홀세일")))</f>
        <v>홀세일</v>
      </c>
      <c r="C792" s="45" t="s">
        <v>882</v>
      </c>
      <c r="D792" s="46" t="n">
        <v>55</v>
      </c>
      <c r="E792" s="46" t="n">
        <v>109000</v>
      </c>
      <c r="F792" s="46" t="n">
        <v>24100</v>
      </c>
      <c r="G792" s="42" t="n">
        <v>3.5</v>
      </c>
      <c r="H792" s="42" t="n">
        <v>25.7</v>
      </c>
      <c r="I792" s="42" t="n">
        <v>0</v>
      </c>
      <c r="J792" s="46" t="n">
        <f aca="false">IF(N(E792)&gt;0,E792,IF(N(F792)&gt;0,F792*요약!$F$27,0))</f>
        <v>109000</v>
      </c>
      <c r="K792" s="46" t="n">
        <f aca="false">IF(N(F792)&gt;0,F792,IF(N(E792)&gt;0,E792/요약!$F$27,0))</f>
        <v>24100</v>
      </c>
      <c r="L792" s="46" t="n">
        <f aca="false">IF(B792="CN",IF(N(I792)&gt;0,I792*요약!$G$27,K792*(1+요약!$E$27)),IF(N(H792)&gt;0,H792*요약!$G$27,J792*요약!$D$27))</f>
        <v>33924</v>
      </c>
      <c r="M792" s="46" t="n">
        <f aca="false">D792*J792</f>
        <v>5995000</v>
      </c>
      <c r="N792" s="46" t="n">
        <f aca="false">D792*K792</f>
        <v>1325500</v>
      </c>
      <c r="O792" s="46" t="n">
        <f aca="false">D792*L792</f>
        <v>1865820</v>
      </c>
      <c r="P792" s="42" t="str">
        <f aca="false">TRIM(IF(N(E792)&lt;=0,"택가보정 ","")&amp;IF(N(F792)&lt;=0,"원가보정 ","")&amp;IF(AND(B792&lt;&gt;"CN",N(H792)&lt;=0),"공급가보정 ","")&amp;IF(AND(B792="CN",N(I792)&lt;=0),"중국공급가=원가+마진 ",""))</f>
        <v/>
      </c>
      <c r="Q792" s="47" t="n">
        <f aca="false">IF(SUMIFS($W:$W,$A:$A,A792,$C:$C,C792)=0,0,SUMIFS(RAW_판매펀칭!$K:$K,RAW_판매펀칭!$P:$P,A792,RAW_판매펀칭!$I:$I,C792)*W792/SUMIFS($W:$W,$A:$A,A792,$C:$C,C792))</f>
        <v>55</v>
      </c>
      <c r="R792" s="47" t="n">
        <f aca="false">IF(OR(A792="500",A792="800",A792="810"),0,MAX(W792-Q792,0))</f>
        <v>0</v>
      </c>
      <c r="S792" s="47" t="n">
        <f aca="false">R792*L792</f>
        <v>0</v>
      </c>
      <c r="T792" s="47" t="n">
        <f aca="false">R792*J792</f>
        <v>0</v>
      </c>
      <c r="U792" s="47" t="n">
        <f aca="false">R792*K792</f>
        <v>0</v>
      </c>
      <c r="V792" s="0" t="str">
        <f aca="false">IF(COUNTIFS($A$2:A792,A792,$C$2:C792,C792,$D$2:D792,D792)&gt;1,"중복","")</f>
        <v/>
      </c>
      <c r="W792" s="0" t="n">
        <f aca="false">IF(V792="중복",0,N(D792))</f>
        <v>55</v>
      </c>
      <c r="X792" s="0" t="n">
        <f aca="false">IF(COUNTIFS($A$2:A792,A792,$C$2:C792,C792)=1,ABS(SUMIFS(RAW_발주!$D:$D,RAW_발주!$C:$C,A792,RAW_발주!$A:$A,C792)-SUMIFS($W:$W,$A:$A,A792,$C:$C,C792)),0)</f>
        <v>0</v>
      </c>
    </row>
    <row r="793" customFormat="false" ht="15" hidden="false" customHeight="true" outlineLevel="0" collapsed="false">
      <c r="A793" s="45" t="s">
        <v>1659</v>
      </c>
      <c r="B793" s="42" t="str">
        <f aca="false">IF(A793="100","HK",IF(A793="200","CN",IF(A793="300","TW","홀세일")))</f>
        <v>HK</v>
      </c>
      <c r="C793" s="45" t="s">
        <v>418</v>
      </c>
      <c r="D793" s="46" t="n">
        <v>100</v>
      </c>
      <c r="E793" s="46" t="n">
        <v>139000</v>
      </c>
      <c r="F793" s="46" t="n">
        <v>28900</v>
      </c>
      <c r="G793" s="42" t="n">
        <v>3.72</v>
      </c>
      <c r="H793" s="42" t="n">
        <v>32.7</v>
      </c>
      <c r="I793" s="42" t="n">
        <v>0</v>
      </c>
      <c r="J793" s="46" t="n">
        <f aca="false">IF(N(E793)&gt;0,E793,IF(N(F793)&gt;0,F793*요약!$F$27,0))</f>
        <v>139000</v>
      </c>
      <c r="K793" s="46" t="n">
        <f aca="false">IF(N(F793)&gt;0,F793,IF(N(E793)&gt;0,E793/요약!$F$27,0))</f>
        <v>28900</v>
      </c>
      <c r="L793" s="46" t="n">
        <f aca="false">IF(B793="CN",IF(N(I793)&gt;0,I793*요약!$G$27,K793*(1+요약!$E$27)),IF(N(H793)&gt;0,H793*요약!$G$27,J793*요약!$D$27))</f>
        <v>43164</v>
      </c>
      <c r="M793" s="46" t="n">
        <f aca="false">D793*J793</f>
        <v>13900000</v>
      </c>
      <c r="N793" s="46" t="n">
        <f aca="false">D793*K793</f>
        <v>2890000</v>
      </c>
      <c r="O793" s="46" t="n">
        <f aca="false">D793*L793</f>
        <v>4316400</v>
      </c>
      <c r="P793" s="42" t="str">
        <f aca="false">TRIM(IF(N(E793)&lt;=0,"택가보정 ","")&amp;IF(N(F793)&lt;=0,"원가보정 ","")&amp;IF(AND(B793&lt;&gt;"CN",N(H793)&lt;=0),"공급가보정 ","")&amp;IF(AND(B793="CN",N(I793)&lt;=0),"중국공급가=원가+마진 ",""))</f>
        <v/>
      </c>
      <c r="Q793" s="47" t="n">
        <f aca="false">IF(SUMIFS($W:$W,$A:$A,A793,$C:$C,C793)=0,0,SUMIFS(RAW_판매펀칭!$K:$K,RAW_판매펀칭!$P:$P,A793,RAW_판매펀칭!$I:$I,C793)*W793/SUMIFS($W:$W,$A:$A,A793,$C:$C,C793))</f>
        <v>100</v>
      </c>
      <c r="R793" s="47" t="n">
        <f aca="false">IF(OR(A793="500",A793="800",A793="810"),0,MAX(W793-Q793,0))</f>
        <v>0</v>
      </c>
      <c r="S793" s="47" t="n">
        <f aca="false">R793*L793</f>
        <v>0</v>
      </c>
      <c r="T793" s="47" t="n">
        <f aca="false">R793*J793</f>
        <v>0</v>
      </c>
      <c r="U793" s="47" t="n">
        <f aca="false">R793*K793</f>
        <v>0</v>
      </c>
      <c r="V793" s="0" t="str">
        <f aca="false">IF(COUNTIFS($A$2:A793,A793,$C$2:C793,C793,$D$2:D793,D793)&gt;1,"중복","")</f>
        <v/>
      </c>
      <c r="W793" s="0" t="n">
        <f aca="false">IF(V793="중복",0,N(D793))</f>
        <v>100</v>
      </c>
      <c r="X793" s="0" t="n">
        <f aca="false">IF(COUNTIFS($A$2:A793,A793,$C$2:C793,C793)=1,ABS(SUMIFS(RAW_발주!$D:$D,RAW_발주!$C:$C,A793,RAW_발주!$A:$A,C793)-SUMIFS($W:$W,$A:$A,A793,$C:$C,C793)),0)</f>
        <v>0</v>
      </c>
    </row>
    <row r="794" customFormat="false" ht="15" hidden="false" customHeight="true" outlineLevel="0" collapsed="false">
      <c r="A794" s="45" t="s">
        <v>1661</v>
      </c>
      <c r="B794" s="42" t="str">
        <f aca="false">IF(A794="100","HK",IF(A794="200","CN",IF(A794="300","TW","홀세일")))</f>
        <v>TW</v>
      </c>
      <c r="C794" s="45" t="s">
        <v>418</v>
      </c>
      <c r="D794" s="46" t="n">
        <v>100</v>
      </c>
      <c r="E794" s="46" t="n">
        <v>139000</v>
      </c>
      <c r="F794" s="46" t="n">
        <v>28900</v>
      </c>
      <c r="G794" s="42" t="n">
        <v>3.72</v>
      </c>
      <c r="H794" s="42" t="n">
        <v>32.7</v>
      </c>
      <c r="I794" s="42" t="n">
        <v>0</v>
      </c>
      <c r="J794" s="46" t="n">
        <f aca="false">IF(N(E794)&gt;0,E794,IF(N(F794)&gt;0,F794*요약!$F$27,0))</f>
        <v>139000</v>
      </c>
      <c r="K794" s="46" t="n">
        <f aca="false">IF(N(F794)&gt;0,F794,IF(N(E794)&gt;0,E794/요약!$F$27,0))</f>
        <v>28900</v>
      </c>
      <c r="L794" s="46" t="n">
        <f aca="false">IF(B794="CN",IF(N(I794)&gt;0,I794*요약!$G$27,K794*(1+요약!$E$27)),IF(N(H794)&gt;0,H794*요약!$G$27,J794*요약!$D$27))</f>
        <v>43164</v>
      </c>
      <c r="M794" s="46" t="n">
        <f aca="false">D794*J794</f>
        <v>13900000</v>
      </c>
      <c r="N794" s="46" t="n">
        <f aca="false">D794*K794</f>
        <v>2890000</v>
      </c>
      <c r="O794" s="46" t="n">
        <f aca="false">D794*L794</f>
        <v>4316400</v>
      </c>
      <c r="P794" s="42" t="str">
        <f aca="false">TRIM(IF(N(E794)&lt;=0,"택가보정 ","")&amp;IF(N(F794)&lt;=0,"원가보정 ","")&amp;IF(AND(B794&lt;&gt;"CN",N(H794)&lt;=0),"공급가보정 ","")&amp;IF(AND(B794="CN",N(I794)&lt;=0),"중국공급가=원가+마진 ",""))</f>
        <v/>
      </c>
      <c r="Q794" s="47" t="n">
        <f aca="false">IF(SUMIFS($W:$W,$A:$A,A794,$C:$C,C794)=0,0,SUMIFS(RAW_판매펀칭!$K:$K,RAW_판매펀칭!$P:$P,A794,RAW_판매펀칭!$I:$I,C794)*W794/SUMIFS($W:$W,$A:$A,A794,$C:$C,C794))</f>
        <v>100</v>
      </c>
      <c r="R794" s="47" t="n">
        <f aca="false">IF(OR(A794="500",A794="800",A794="810"),0,MAX(W794-Q794,0))</f>
        <v>0</v>
      </c>
      <c r="S794" s="47" t="n">
        <f aca="false">R794*L794</f>
        <v>0</v>
      </c>
      <c r="T794" s="47" t="n">
        <f aca="false">R794*J794</f>
        <v>0</v>
      </c>
      <c r="U794" s="47" t="n">
        <f aca="false">R794*K794</f>
        <v>0</v>
      </c>
      <c r="V794" s="0" t="str">
        <f aca="false">IF(COUNTIFS($A$2:A794,A794,$C$2:C794,C794,$D$2:D794,D794)&gt;1,"중복","")</f>
        <v/>
      </c>
      <c r="W794" s="0" t="n">
        <f aca="false">IF(V794="중복",0,N(D794))</f>
        <v>100</v>
      </c>
      <c r="X794" s="0" t="n">
        <f aca="false">IF(COUNTIFS($A$2:A794,A794,$C$2:C794,C794)=1,ABS(SUMIFS(RAW_발주!$D:$D,RAW_발주!$C:$C,A794,RAW_발주!$A:$A,C794)-SUMIFS($W:$W,$A:$A,A794,$C:$C,C794)),0)</f>
        <v>0</v>
      </c>
    </row>
    <row r="795" customFormat="false" ht="15" hidden="false" customHeight="true" outlineLevel="0" collapsed="false">
      <c r="A795" s="45" t="s">
        <v>1666</v>
      </c>
      <c r="B795" s="42" t="str">
        <f aca="false">IF(A795="100","HK",IF(A795="200","CN",IF(A795="300","TW","홀세일")))</f>
        <v>홀세일</v>
      </c>
      <c r="C795" s="45" t="s">
        <v>418</v>
      </c>
      <c r="D795" s="46" t="n">
        <v>45</v>
      </c>
      <c r="E795" s="46" t="n">
        <v>139000</v>
      </c>
      <c r="F795" s="46" t="n">
        <v>28900</v>
      </c>
      <c r="G795" s="42" t="n">
        <v>3.72</v>
      </c>
      <c r="H795" s="42" t="n">
        <v>32.7</v>
      </c>
      <c r="I795" s="42" t="n">
        <v>0</v>
      </c>
      <c r="J795" s="46" t="n">
        <f aca="false">IF(N(E795)&gt;0,E795,IF(N(F795)&gt;0,F795*요약!$F$27,0))</f>
        <v>139000</v>
      </c>
      <c r="K795" s="46" t="n">
        <f aca="false">IF(N(F795)&gt;0,F795,IF(N(E795)&gt;0,E795/요약!$F$27,0))</f>
        <v>28900</v>
      </c>
      <c r="L795" s="46" t="n">
        <f aca="false">IF(B795="CN",IF(N(I795)&gt;0,I795*요약!$G$27,K795*(1+요약!$E$27)),IF(N(H795)&gt;0,H795*요약!$G$27,J795*요약!$D$27))</f>
        <v>43164</v>
      </c>
      <c r="M795" s="46" t="n">
        <f aca="false">D795*J795</f>
        <v>6255000</v>
      </c>
      <c r="N795" s="46" t="n">
        <f aca="false">D795*K795</f>
        <v>1300500</v>
      </c>
      <c r="O795" s="46" t="n">
        <f aca="false">D795*L795</f>
        <v>1942380</v>
      </c>
      <c r="P795" s="42" t="str">
        <f aca="false">TRIM(IF(N(E795)&lt;=0,"택가보정 ","")&amp;IF(N(F795)&lt;=0,"원가보정 ","")&amp;IF(AND(B795&lt;&gt;"CN",N(H795)&lt;=0),"공급가보정 ","")&amp;IF(AND(B795="CN",N(I795)&lt;=0),"중국공급가=원가+마진 ",""))</f>
        <v/>
      </c>
      <c r="Q795" s="47" t="n">
        <f aca="false">IF(SUMIFS($W:$W,$A:$A,A795,$C:$C,C795)=0,0,SUMIFS(RAW_판매펀칭!$K:$K,RAW_판매펀칭!$P:$P,A795,RAW_판매펀칭!$I:$I,C795)*W795/SUMIFS($W:$W,$A:$A,A795,$C:$C,C795))</f>
        <v>45</v>
      </c>
      <c r="R795" s="47" t="n">
        <f aca="false">IF(OR(A795="500",A795="800",A795="810"),0,MAX(W795-Q795,0))</f>
        <v>0</v>
      </c>
      <c r="S795" s="47" t="n">
        <f aca="false">R795*L795</f>
        <v>0</v>
      </c>
      <c r="T795" s="47" t="n">
        <f aca="false">R795*J795</f>
        <v>0</v>
      </c>
      <c r="U795" s="47" t="n">
        <f aca="false">R795*K795</f>
        <v>0</v>
      </c>
      <c r="V795" s="0" t="str">
        <f aca="false">IF(COUNTIFS($A$2:A795,A795,$C$2:C795,C795,$D$2:D795,D795)&gt;1,"중복","")</f>
        <v/>
      </c>
      <c r="W795" s="0" t="n">
        <f aca="false">IF(V795="중복",0,N(D795))</f>
        <v>45</v>
      </c>
      <c r="X795" s="0" t="n">
        <f aca="false">IF(COUNTIFS($A$2:A795,A795,$C$2:C795,C795)=1,ABS(SUMIFS(RAW_발주!$D:$D,RAW_발주!$C:$C,A795,RAW_발주!$A:$A,C795)-SUMIFS($W:$W,$A:$A,A795,$C:$C,C795)),0)</f>
        <v>0</v>
      </c>
    </row>
    <row r="796" customFormat="false" ht="15" hidden="false" customHeight="true" outlineLevel="0" collapsed="false">
      <c r="A796" s="45" t="s">
        <v>1660</v>
      </c>
      <c r="B796" s="42" t="str">
        <f aca="false">IF(A796="100","HK",IF(A796="200","CN",IF(A796="300","TW","홀세일")))</f>
        <v>CN</v>
      </c>
      <c r="C796" s="45" t="s">
        <v>1063</v>
      </c>
      <c r="D796" s="46" t="n">
        <v>397</v>
      </c>
      <c r="E796" s="46" t="n">
        <v>159000</v>
      </c>
      <c r="F796" s="46" t="n">
        <v>43604</v>
      </c>
      <c r="G796" s="42" t="n">
        <v>0</v>
      </c>
      <c r="I796" s="42" t="n">
        <v>34.8</v>
      </c>
      <c r="J796" s="46" t="n">
        <f aca="false">IF(N(E796)&gt;0,E796,IF(N(F796)&gt;0,F796*요약!$F$27,0))</f>
        <v>159000</v>
      </c>
      <c r="K796" s="46" t="n">
        <f aca="false">IF(N(F796)&gt;0,F796,IF(N(E796)&gt;0,E796/요약!$F$27,0))</f>
        <v>43604</v>
      </c>
      <c r="L796" s="46" t="n">
        <f aca="false">IF(B796="CN",IF(N(I796)&gt;0,I796*요약!$G$27,K796*(1+요약!$E$27)),IF(N(H796)&gt;0,H796*요약!$G$27,J796*요약!$D$27))</f>
        <v>45936</v>
      </c>
      <c r="M796" s="46" t="n">
        <f aca="false">D796*J796</f>
        <v>63123000</v>
      </c>
      <c r="N796" s="46" t="n">
        <f aca="false">D796*K796</f>
        <v>17310788</v>
      </c>
      <c r="O796" s="46" t="n">
        <f aca="false">D796*L796</f>
        <v>18236592</v>
      </c>
      <c r="P796" s="42" t="str">
        <f aca="false">TRIM(IF(N(E796)&lt;=0,"택가보정 ","")&amp;IF(N(F796)&lt;=0,"원가보정 ","")&amp;IF(AND(B796&lt;&gt;"CN",N(H796)&lt;=0),"공급가보정 ","")&amp;IF(AND(B796="CN",N(I796)&lt;=0),"중국공급가=원가+마진 ",""))</f>
        <v/>
      </c>
      <c r="Q796" s="47" t="n">
        <f aca="false">IF(SUMIFS($W:$W,$A:$A,A796,$C:$C,C796)=0,0,SUMIFS(RAW_판매펀칭!$K:$K,RAW_판매펀칭!$P:$P,A796,RAW_판매펀칭!$I:$I,C796)*W796/SUMIFS($W:$W,$A:$A,A796,$C:$C,C796))</f>
        <v>397</v>
      </c>
      <c r="R796" s="47" t="n">
        <f aca="false">IF(OR(A796="500",A796="800",A796="810"),0,MAX(W796-Q796,0))</f>
        <v>0</v>
      </c>
      <c r="S796" s="47" t="n">
        <f aca="false">R796*L796</f>
        <v>0</v>
      </c>
      <c r="T796" s="47" t="n">
        <f aca="false">R796*J796</f>
        <v>0</v>
      </c>
      <c r="U796" s="47" t="n">
        <f aca="false">R796*K796</f>
        <v>0</v>
      </c>
      <c r="V796" s="0" t="str">
        <f aca="false">IF(COUNTIFS($A$2:A796,A796,$C$2:C796,C796,$D$2:D796,D796)&gt;1,"중복","")</f>
        <v/>
      </c>
      <c r="W796" s="0" t="n">
        <f aca="false">IF(V796="중복",0,N(D796))</f>
        <v>397</v>
      </c>
      <c r="X796" s="0" t="n">
        <f aca="false">IF(COUNTIFS($A$2:A796,A796,$C$2:C796,C796)=1,ABS(SUMIFS(RAW_발주!$D:$D,RAW_발주!$C:$C,A796,RAW_발주!$A:$A,C796)-SUMIFS($W:$W,$A:$A,A796,$C:$C,C796)),0)</f>
        <v>0</v>
      </c>
    </row>
    <row r="797" customFormat="false" ht="15" hidden="false" customHeight="true" outlineLevel="0" collapsed="false">
      <c r="A797" s="45" t="s">
        <v>1659</v>
      </c>
      <c r="B797" s="42" t="str">
        <f aca="false">IF(A797="100","HK",IF(A797="200","CN",IF(A797="300","TW","홀세일")))</f>
        <v>HK</v>
      </c>
      <c r="C797" s="45" t="s">
        <v>884</v>
      </c>
      <c r="D797" s="46" t="n">
        <v>210</v>
      </c>
      <c r="E797" s="46" t="n">
        <v>219000</v>
      </c>
      <c r="F797" s="46" t="n">
        <v>65100</v>
      </c>
      <c r="G797" s="42" t="n">
        <v>3.82</v>
      </c>
      <c r="H797" s="42" t="n">
        <v>54.9</v>
      </c>
      <c r="I797" s="42" t="n">
        <v>0</v>
      </c>
      <c r="J797" s="46" t="n">
        <f aca="false">IF(N(E797)&gt;0,E797,IF(N(F797)&gt;0,F797*요약!$F$27,0))</f>
        <v>219000</v>
      </c>
      <c r="K797" s="46" t="n">
        <f aca="false">IF(N(F797)&gt;0,F797,IF(N(E797)&gt;0,E797/요약!$F$27,0))</f>
        <v>65100</v>
      </c>
      <c r="L797" s="46" t="n">
        <f aca="false">IF(B797="CN",IF(N(I797)&gt;0,I797*요약!$G$27,K797*(1+요약!$E$27)),IF(N(H797)&gt;0,H797*요약!$G$27,J797*요약!$D$27))</f>
        <v>72468</v>
      </c>
      <c r="M797" s="46" t="n">
        <f aca="false">D797*J797</f>
        <v>45990000</v>
      </c>
      <c r="N797" s="46" t="n">
        <f aca="false">D797*K797</f>
        <v>13671000</v>
      </c>
      <c r="O797" s="46" t="n">
        <f aca="false">D797*L797</f>
        <v>15218280</v>
      </c>
      <c r="P797" s="42" t="str">
        <f aca="false">TRIM(IF(N(E797)&lt;=0,"택가보정 ","")&amp;IF(N(F797)&lt;=0,"원가보정 ","")&amp;IF(AND(B797&lt;&gt;"CN",N(H797)&lt;=0),"공급가보정 ","")&amp;IF(AND(B797="CN",N(I797)&lt;=0),"중국공급가=원가+마진 ",""))</f>
        <v/>
      </c>
      <c r="Q797" s="47" t="n">
        <f aca="false">IF(SUMIFS($W:$W,$A:$A,A797,$C:$C,C797)=0,0,SUMIFS(RAW_판매펀칭!$K:$K,RAW_판매펀칭!$P:$P,A797,RAW_판매펀칭!$I:$I,C797)*W797/SUMIFS($W:$W,$A:$A,A797,$C:$C,C797))</f>
        <v>210</v>
      </c>
      <c r="R797" s="47" t="n">
        <f aca="false">IF(OR(A797="500",A797="800",A797="810"),0,MAX(W797-Q797,0))</f>
        <v>0</v>
      </c>
      <c r="S797" s="47" t="n">
        <f aca="false">R797*L797</f>
        <v>0</v>
      </c>
      <c r="T797" s="47" t="n">
        <f aca="false">R797*J797</f>
        <v>0</v>
      </c>
      <c r="U797" s="47" t="n">
        <f aca="false">R797*K797</f>
        <v>0</v>
      </c>
      <c r="V797" s="0" t="str">
        <f aca="false">IF(COUNTIFS($A$2:A797,A797,$C$2:C797,C797,$D$2:D797,D797)&gt;1,"중복","")</f>
        <v/>
      </c>
      <c r="W797" s="0" t="n">
        <f aca="false">IF(V797="중복",0,N(D797))</f>
        <v>210</v>
      </c>
      <c r="X797" s="0" t="n">
        <f aca="false">IF(COUNTIFS($A$2:A797,A797,$C$2:C797,C797)=1,ABS(SUMIFS(RAW_발주!$D:$D,RAW_발주!$C:$C,A797,RAW_발주!$A:$A,C797)-SUMIFS($W:$W,$A:$A,A797,$C:$C,C797)),0)</f>
        <v>0</v>
      </c>
    </row>
    <row r="798" customFormat="false" ht="15" hidden="false" customHeight="true" outlineLevel="0" collapsed="false">
      <c r="A798" s="45" t="s">
        <v>1663</v>
      </c>
      <c r="B798" s="42" t="str">
        <f aca="false">IF(A798="100","HK",IF(A798="200","CN",IF(A798="300","TW","홀세일")))</f>
        <v>홀세일</v>
      </c>
      <c r="C798" s="45" t="s">
        <v>884</v>
      </c>
      <c r="D798" s="46" t="n">
        <v>60</v>
      </c>
      <c r="E798" s="46" t="n">
        <v>219000</v>
      </c>
      <c r="F798" s="46" t="n">
        <v>65100</v>
      </c>
      <c r="G798" s="42" t="n">
        <v>3.82</v>
      </c>
      <c r="H798" s="42" t="n">
        <v>54.9</v>
      </c>
      <c r="I798" s="42" t="n">
        <v>0</v>
      </c>
      <c r="J798" s="46" t="n">
        <f aca="false">IF(N(E798)&gt;0,E798,IF(N(F798)&gt;0,F798*요약!$F$27,0))</f>
        <v>219000</v>
      </c>
      <c r="K798" s="46" t="n">
        <f aca="false">IF(N(F798)&gt;0,F798,IF(N(E798)&gt;0,E798/요약!$F$27,0))</f>
        <v>65100</v>
      </c>
      <c r="L798" s="46" t="n">
        <f aca="false">IF(B798="CN",IF(N(I798)&gt;0,I798*요약!$G$27,K798*(1+요약!$E$27)),IF(N(H798)&gt;0,H798*요약!$G$27,J798*요약!$D$27))</f>
        <v>72468</v>
      </c>
      <c r="M798" s="46" t="n">
        <f aca="false">D798*J798</f>
        <v>13140000</v>
      </c>
      <c r="N798" s="46" t="n">
        <f aca="false">D798*K798</f>
        <v>3906000</v>
      </c>
      <c r="O798" s="46" t="n">
        <f aca="false">D798*L798</f>
        <v>4348080</v>
      </c>
      <c r="P798" s="42" t="str">
        <f aca="false">TRIM(IF(N(E798)&lt;=0,"택가보정 ","")&amp;IF(N(F798)&lt;=0,"원가보정 ","")&amp;IF(AND(B798&lt;&gt;"CN",N(H798)&lt;=0),"공급가보정 ","")&amp;IF(AND(B798="CN",N(I798)&lt;=0),"중국공급가=원가+마진 ",""))</f>
        <v/>
      </c>
      <c r="Q798" s="47" t="n">
        <f aca="false">IF(SUMIFS($W:$W,$A:$A,A798,$C:$C,C798)=0,0,SUMIFS(RAW_판매펀칭!$K:$K,RAW_판매펀칭!$P:$P,A798,RAW_판매펀칭!$I:$I,C798)*W798/SUMIFS($W:$W,$A:$A,A798,$C:$C,C798))</f>
        <v>60</v>
      </c>
      <c r="R798" s="47" t="n">
        <f aca="false">IF(OR(A798="500",A798="800",A798="810"),0,MAX(W798-Q798,0))</f>
        <v>0</v>
      </c>
      <c r="S798" s="47" t="n">
        <f aca="false">R798*L798</f>
        <v>0</v>
      </c>
      <c r="T798" s="47" t="n">
        <f aca="false">R798*J798</f>
        <v>0</v>
      </c>
      <c r="U798" s="47" t="n">
        <f aca="false">R798*K798</f>
        <v>0</v>
      </c>
      <c r="V798" s="0" t="str">
        <f aca="false">IF(COUNTIFS($A$2:A798,A798,$C$2:C798,C798,$D$2:D798,D798)&gt;1,"중복","")</f>
        <v/>
      </c>
      <c r="W798" s="0" t="n">
        <f aca="false">IF(V798="중복",0,N(D798))</f>
        <v>60</v>
      </c>
      <c r="X798" s="0" t="n">
        <f aca="false">IF(COUNTIFS($A$2:A798,A798,$C$2:C798,C798)=1,ABS(SUMIFS(RAW_발주!$D:$D,RAW_발주!$C:$C,A798,RAW_발주!$A:$A,C798)-SUMIFS($W:$W,$A:$A,A798,$C:$C,C798)),0)</f>
        <v>0</v>
      </c>
    </row>
    <row r="799" customFormat="false" ht="15" hidden="false" customHeight="true" outlineLevel="0" collapsed="false">
      <c r="A799" s="45" t="s">
        <v>1667</v>
      </c>
      <c r="B799" s="42" t="str">
        <f aca="false">IF(A799="100","HK",IF(A799="200","CN",IF(A799="300","TW","홀세일")))</f>
        <v>홀세일</v>
      </c>
      <c r="C799" s="45" t="s">
        <v>884</v>
      </c>
      <c r="D799" s="46" t="n">
        <v>192</v>
      </c>
      <c r="E799" s="46" t="n">
        <v>219000</v>
      </c>
      <c r="F799" s="46" t="n">
        <v>65100</v>
      </c>
      <c r="G799" s="42" t="n">
        <v>3.82</v>
      </c>
      <c r="H799" s="42" t="n">
        <v>54.9</v>
      </c>
      <c r="I799" s="42" t="n">
        <v>0</v>
      </c>
      <c r="J799" s="46" t="n">
        <f aca="false">IF(N(E799)&gt;0,E799,IF(N(F799)&gt;0,F799*요약!$F$27,0))</f>
        <v>219000</v>
      </c>
      <c r="K799" s="46" t="n">
        <f aca="false">IF(N(F799)&gt;0,F799,IF(N(E799)&gt;0,E799/요약!$F$27,0))</f>
        <v>65100</v>
      </c>
      <c r="L799" s="46" t="n">
        <f aca="false">IF(B799="CN",IF(N(I799)&gt;0,I799*요약!$G$27,K799*(1+요약!$E$27)),IF(N(H799)&gt;0,H799*요약!$G$27,J799*요약!$D$27))</f>
        <v>72468</v>
      </c>
      <c r="M799" s="46" t="n">
        <f aca="false">D799*J799</f>
        <v>42048000</v>
      </c>
      <c r="N799" s="46" t="n">
        <f aca="false">D799*K799</f>
        <v>12499200</v>
      </c>
      <c r="O799" s="46" t="n">
        <f aca="false">D799*L799</f>
        <v>13913856</v>
      </c>
      <c r="P799" s="42" t="str">
        <f aca="false">TRIM(IF(N(E799)&lt;=0,"택가보정 ","")&amp;IF(N(F799)&lt;=0,"원가보정 ","")&amp;IF(AND(B799&lt;&gt;"CN",N(H799)&lt;=0),"공급가보정 ","")&amp;IF(AND(B799="CN",N(I799)&lt;=0),"중국공급가=원가+마진 ",""))</f>
        <v/>
      </c>
      <c r="Q799" s="47" t="n">
        <f aca="false">IF(SUMIFS($W:$W,$A:$A,A799,$C:$C,C799)=0,0,SUMIFS(RAW_판매펀칭!$K:$K,RAW_판매펀칭!$P:$P,A799,RAW_판매펀칭!$I:$I,C799)*W799/SUMIFS($W:$W,$A:$A,A799,$C:$C,C799))</f>
        <v>190</v>
      </c>
      <c r="R799" s="47" t="n">
        <f aca="false">IF(OR(A799="500",A799="800",A799="810"),0,MAX(W799-Q799,0))</f>
        <v>2</v>
      </c>
      <c r="S799" s="47" t="n">
        <f aca="false">R799*L799</f>
        <v>144936</v>
      </c>
      <c r="T799" s="47" t="n">
        <f aca="false">R799*J799</f>
        <v>438000</v>
      </c>
      <c r="U799" s="47" t="n">
        <f aca="false">R799*K799</f>
        <v>130200</v>
      </c>
      <c r="V799" s="0" t="str">
        <f aca="false">IF(COUNTIFS($A$2:A799,A799,$C$2:C799,C799,$D$2:D799,D799)&gt;1,"중복","")</f>
        <v/>
      </c>
      <c r="W799" s="0" t="n">
        <f aca="false">IF(V799="중복",0,N(D799))</f>
        <v>192</v>
      </c>
      <c r="X799" s="0" t="n">
        <f aca="false">IF(COUNTIFS($A$2:A799,A799,$C$2:C799,C799)=1,ABS(SUMIFS(RAW_발주!$D:$D,RAW_발주!$C:$C,A799,RAW_발주!$A:$A,C799)-SUMIFS($W:$W,$A:$A,A799,$C:$C,C799)),0)</f>
        <v>0</v>
      </c>
    </row>
    <row r="800" customFormat="false" ht="15" hidden="false" customHeight="true" outlineLevel="0" collapsed="false">
      <c r="A800" s="45" t="s">
        <v>1659</v>
      </c>
      <c r="B800" s="42" t="str">
        <f aca="false">IF(A800="100","HK",IF(A800="200","CN",IF(A800="300","TW","홀세일")))</f>
        <v>HK</v>
      </c>
      <c r="C800" s="45" t="s">
        <v>420</v>
      </c>
      <c r="D800" s="46" t="n">
        <v>210</v>
      </c>
      <c r="E800" s="46" t="n">
        <v>199000</v>
      </c>
      <c r="F800" s="46" t="n">
        <v>68700</v>
      </c>
      <c r="G800" s="42" t="n">
        <v>4.56</v>
      </c>
      <c r="H800" s="42" t="n">
        <v>49.8</v>
      </c>
      <c r="I800" s="42" t="n">
        <v>0</v>
      </c>
      <c r="J800" s="46" t="n">
        <f aca="false">IF(N(E800)&gt;0,E800,IF(N(F800)&gt;0,F800*요약!$F$27,0))</f>
        <v>199000</v>
      </c>
      <c r="K800" s="46" t="n">
        <f aca="false">IF(N(F800)&gt;0,F800,IF(N(E800)&gt;0,E800/요약!$F$27,0))</f>
        <v>68700</v>
      </c>
      <c r="L800" s="46" t="n">
        <f aca="false">IF(B800="CN",IF(N(I800)&gt;0,I800*요약!$G$27,K800*(1+요약!$E$27)),IF(N(H800)&gt;0,H800*요약!$G$27,J800*요약!$D$27))</f>
        <v>65736</v>
      </c>
      <c r="M800" s="46" t="n">
        <f aca="false">D800*J800</f>
        <v>41790000</v>
      </c>
      <c r="N800" s="46" t="n">
        <f aca="false">D800*K800</f>
        <v>14427000</v>
      </c>
      <c r="O800" s="46" t="n">
        <f aca="false">D800*L800</f>
        <v>13804560</v>
      </c>
      <c r="P800" s="42" t="str">
        <f aca="false">TRIM(IF(N(E800)&lt;=0,"택가보정 ","")&amp;IF(N(F800)&lt;=0,"원가보정 ","")&amp;IF(AND(B800&lt;&gt;"CN",N(H800)&lt;=0),"공급가보정 ","")&amp;IF(AND(B800="CN",N(I800)&lt;=0),"중국공급가=원가+마진 ",""))</f>
        <v/>
      </c>
      <c r="Q800" s="47" t="n">
        <f aca="false">IF(SUMIFS($W:$W,$A:$A,A800,$C:$C,C800)=0,0,SUMIFS(RAW_판매펀칭!$K:$K,RAW_판매펀칭!$P:$P,A800,RAW_판매펀칭!$I:$I,C800)*W800/SUMIFS($W:$W,$A:$A,A800,$C:$C,C800))</f>
        <v>210</v>
      </c>
      <c r="R800" s="47" t="n">
        <f aca="false">IF(OR(A800="500",A800="800",A800="810"),0,MAX(W800-Q800,0))</f>
        <v>0</v>
      </c>
      <c r="S800" s="47" t="n">
        <f aca="false">R800*L800</f>
        <v>0</v>
      </c>
      <c r="T800" s="47" t="n">
        <f aca="false">R800*J800</f>
        <v>0</v>
      </c>
      <c r="U800" s="47" t="n">
        <f aca="false">R800*K800</f>
        <v>0</v>
      </c>
      <c r="V800" s="0" t="str">
        <f aca="false">IF(COUNTIFS($A$2:A800,A800,$C$2:C800,C800,$D$2:D800,D800)&gt;1,"중복","")</f>
        <v/>
      </c>
      <c r="W800" s="0" t="n">
        <f aca="false">IF(V800="중복",0,N(D800))</f>
        <v>210</v>
      </c>
      <c r="X800" s="0" t="n">
        <f aca="false">IF(COUNTIFS($A$2:A800,A800,$C$2:C800,C800)=1,ABS(SUMIFS(RAW_발주!$D:$D,RAW_발주!$C:$C,A800,RAW_발주!$A:$A,C800)-SUMIFS($W:$W,$A:$A,A800,$C:$C,C800)),0)</f>
        <v>0</v>
      </c>
    </row>
    <row r="801" customFormat="false" ht="15" hidden="false" customHeight="true" outlineLevel="0" collapsed="false">
      <c r="A801" s="45" t="s">
        <v>1661</v>
      </c>
      <c r="B801" s="42" t="str">
        <f aca="false">IF(A801="100","HK",IF(A801="200","CN",IF(A801="300","TW","홀세일")))</f>
        <v>TW</v>
      </c>
      <c r="C801" s="45" t="s">
        <v>420</v>
      </c>
      <c r="D801" s="46" t="n">
        <v>70</v>
      </c>
      <c r="E801" s="46" t="n">
        <v>199000</v>
      </c>
      <c r="F801" s="46" t="n">
        <v>68700</v>
      </c>
      <c r="G801" s="42" t="n">
        <v>4.56</v>
      </c>
      <c r="H801" s="42" t="n">
        <v>49.8</v>
      </c>
      <c r="I801" s="42" t="n">
        <v>0</v>
      </c>
      <c r="J801" s="46" t="n">
        <f aca="false">IF(N(E801)&gt;0,E801,IF(N(F801)&gt;0,F801*요약!$F$27,0))</f>
        <v>199000</v>
      </c>
      <c r="K801" s="46" t="n">
        <f aca="false">IF(N(F801)&gt;0,F801,IF(N(E801)&gt;0,E801/요약!$F$27,0))</f>
        <v>68700</v>
      </c>
      <c r="L801" s="46" t="n">
        <f aca="false">IF(B801="CN",IF(N(I801)&gt;0,I801*요약!$G$27,K801*(1+요약!$E$27)),IF(N(H801)&gt;0,H801*요약!$G$27,J801*요약!$D$27))</f>
        <v>65736</v>
      </c>
      <c r="M801" s="46" t="n">
        <f aca="false">D801*J801</f>
        <v>13930000</v>
      </c>
      <c r="N801" s="46" t="n">
        <f aca="false">D801*K801</f>
        <v>4809000</v>
      </c>
      <c r="O801" s="46" t="n">
        <f aca="false">D801*L801</f>
        <v>4601520</v>
      </c>
      <c r="P801" s="42" t="str">
        <f aca="false">TRIM(IF(N(E801)&lt;=0,"택가보정 ","")&amp;IF(N(F801)&lt;=0,"원가보정 ","")&amp;IF(AND(B801&lt;&gt;"CN",N(H801)&lt;=0),"공급가보정 ","")&amp;IF(AND(B801="CN",N(I801)&lt;=0),"중국공급가=원가+마진 ",""))</f>
        <v/>
      </c>
      <c r="Q801" s="47" t="n">
        <f aca="false">IF(SUMIFS($W:$W,$A:$A,A801,$C:$C,C801)=0,0,SUMIFS(RAW_판매펀칭!$K:$K,RAW_판매펀칭!$P:$P,A801,RAW_판매펀칭!$I:$I,C801)*W801/SUMIFS($W:$W,$A:$A,A801,$C:$C,C801))</f>
        <v>70</v>
      </c>
      <c r="R801" s="47" t="n">
        <f aca="false">IF(OR(A801="500",A801="800",A801="810"),0,MAX(W801-Q801,0))</f>
        <v>0</v>
      </c>
      <c r="S801" s="47" t="n">
        <f aca="false">R801*L801</f>
        <v>0</v>
      </c>
      <c r="T801" s="47" t="n">
        <f aca="false">R801*J801</f>
        <v>0</v>
      </c>
      <c r="U801" s="47" t="n">
        <f aca="false">R801*K801</f>
        <v>0</v>
      </c>
      <c r="V801" s="0" t="str">
        <f aca="false">IF(COUNTIFS($A$2:A801,A801,$C$2:C801,C801,$D$2:D801,D801)&gt;1,"중복","")</f>
        <v/>
      </c>
      <c r="W801" s="0" t="n">
        <f aca="false">IF(V801="중복",0,N(D801))</f>
        <v>70</v>
      </c>
      <c r="X801" s="0" t="n">
        <f aca="false">IF(COUNTIFS($A$2:A801,A801,$C$2:C801,C801)=1,ABS(SUMIFS(RAW_발주!$D:$D,RAW_발주!$C:$C,A801,RAW_발주!$A:$A,C801)-SUMIFS($W:$W,$A:$A,A801,$C:$C,C801)),0)</f>
        <v>0</v>
      </c>
    </row>
    <row r="802" customFormat="false" ht="15" hidden="false" customHeight="true" outlineLevel="0" collapsed="false">
      <c r="A802" s="45" t="s">
        <v>1662</v>
      </c>
      <c r="B802" s="42" t="str">
        <f aca="false">IF(A802="100","HK",IF(A802="200","CN",IF(A802="300","TW","홀세일")))</f>
        <v>홀세일</v>
      </c>
      <c r="C802" s="45" t="s">
        <v>420</v>
      </c>
      <c r="D802" s="46" t="n">
        <v>220</v>
      </c>
      <c r="E802" s="46" t="n">
        <v>199000</v>
      </c>
      <c r="F802" s="46" t="n">
        <v>68700</v>
      </c>
      <c r="G802" s="42" t="n">
        <v>4.56</v>
      </c>
      <c r="H802" s="42" t="n">
        <v>49.8</v>
      </c>
      <c r="I802" s="42" t="n">
        <v>0</v>
      </c>
      <c r="J802" s="46" t="n">
        <f aca="false">IF(N(E802)&gt;0,E802,IF(N(F802)&gt;0,F802*요약!$F$27,0))</f>
        <v>199000</v>
      </c>
      <c r="K802" s="46" t="n">
        <f aca="false">IF(N(F802)&gt;0,F802,IF(N(E802)&gt;0,E802/요약!$F$27,0))</f>
        <v>68700</v>
      </c>
      <c r="L802" s="46" t="n">
        <f aca="false">IF(B802="CN",IF(N(I802)&gt;0,I802*요약!$G$27,K802*(1+요약!$E$27)),IF(N(H802)&gt;0,H802*요약!$G$27,J802*요약!$D$27))</f>
        <v>65736</v>
      </c>
      <c r="M802" s="46" t="n">
        <f aca="false">D802*J802</f>
        <v>43780000</v>
      </c>
      <c r="N802" s="46" t="n">
        <f aca="false">D802*K802</f>
        <v>15114000</v>
      </c>
      <c r="O802" s="46" t="n">
        <f aca="false">D802*L802</f>
        <v>14461920</v>
      </c>
      <c r="P802" s="42" t="str">
        <f aca="false">TRIM(IF(N(E802)&lt;=0,"택가보정 ","")&amp;IF(N(F802)&lt;=0,"원가보정 ","")&amp;IF(AND(B802&lt;&gt;"CN",N(H802)&lt;=0),"공급가보정 ","")&amp;IF(AND(B802="CN",N(I802)&lt;=0),"중국공급가=원가+마진 ",""))</f>
        <v/>
      </c>
      <c r="Q802" s="47" t="n">
        <f aca="false">IF(SUMIFS($W:$W,$A:$A,A802,$C:$C,C802)=0,0,SUMIFS(RAW_판매펀칭!$K:$K,RAW_판매펀칭!$P:$P,A802,RAW_판매펀칭!$I:$I,C802)*W802/SUMIFS($W:$W,$A:$A,A802,$C:$C,C802))</f>
        <v>0</v>
      </c>
      <c r="R802" s="47" t="n">
        <f aca="false">IF(OR(A802="500",A802="800",A802="810"),0,MAX(W802-Q802,0))</f>
        <v>0</v>
      </c>
      <c r="S802" s="47" t="n">
        <f aca="false">R802*L802</f>
        <v>0</v>
      </c>
      <c r="T802" s="47" t="n">
        <f aca="false">R802*J802</f>
        <v>0</v>
      </c>
      <c r="U802" s="47" t="n">
        <f aca="false">R802*K802</f>
        <v>0</v>
      </c>
      <c r="V802" s="0" t="str">
        <f aca="false">IF(COUNTIFS($A$2:A802,A802,$C$2:C802,C802,$D$2:D802,D802)&gt;1,"중복","")</f>
        <v/>
      </c>
      <c r="W802" s="0" t="n">
        <f aca="false">IF(V802="중복",0,N(D802))</f>
        <v>220</v>
      </c>
      <c r="X802" s="0" t="n">
        <f aca="false">IF(COUNTIFS($A$2:A802,A802,$C$2:C802,C802)=1,ABS(SUMIFS(RAW_발주!$D:$D,RAW_발주!$C:$C,A802,RAW_발주!$A:$A,C802)-SUMIFS($W:$W,$A:$A,A802,$C:$C,C802)),0)</f>
        <v>0</v>
      </c>
    </row>
    <row r="803" customFormat="false" ht="15" hidden="false" customHeight="true" outlineLevel="0" collapsed="false">
      <c r="A803" s="45" t="s">
        <v>1666</v>
      </c>
      <c r="B803" s="42" t="str">
        <f aca="false">IF(A803="100","HK",IF(A803="200","CN",IF(A803="300","TW","홀세일")))</f>
        <v>홀세일</v>
      </c>
      <c r="C803" s="45" t="s">
        <v>420</v>
      </c>
      <c r="D803" s="46" t="n">
        <v>35</v>
      </c>
      <c r="E803" s="46" t="n">
        <v>199000</v>
      </c>
      <c r="F803" s="46" t="n">
        <v>68700</v>
      </c>
      <c r="G803" s="42" t="n">
        <v>4.56</v>
      </c>
      <c r="H803" s="42" t="n">
        <v>49.8</v>
      </c>
      <c r="I803" s="42" t="n">
        <v>0</v>
      </c>
      <c r="J803" s="46" t="n">
        <f aca="false">IF(N(E803)&gt;0,E803,IF(N(F803)&gt;0,F803*요약!$F$27,0))</f>
        <v>199000</v>
      </c>
      <c r="K803" s="46" t="n">
        <f aca="false">IF(N(F803)&gt;0,F803,IF(N(E803)&gt;0,E803/요약!$F$27,0))</f>
        <v>68700</v>
      </c>
      <c r="L803" s="46" t="n">
        <f aca="false">IF(B803="CN",IF(N(I803)&gt;0,I803*요약!$G$27,K803*(1+요약!$E$27)),IF(N(H803)&gt;0,H803*요약!$G$27,J803*요약!$D$27))</f>
        <v>65736</v>
      </c>
      <c r="M803" s="46" t="n">
        <f aca="false">D803*J803</f>
        <v>6965000</v>
      </c>
      <c r="N803" s="46" t="n">
        <f aca="false">D803*K803</f>
        <v>2404500</v>
      </c>
      <c r="O803" s="46" t="n">
        <f aca="false">D803*L803</f>
        <v>2300760</v>
      </c>
      <c r="P803" s="42" t="str">
        <f aca="false">TRIM(IF(N(E803)&lt;=0,"택가보정 ","")&amp;IF(N(F803)&lt;=0,"원가보정 ","")&amp;IF(AND(B803&lt;&gt;"CN",N(H803)&lt;=0),"공급가보정 ","")&amp;IF(AND(B803="CN",N(I803)&lt;=0),"중국공급가=원가+마진 ",""))</f>
        <v/>
      </c>
      <c r="Q803" s="47" t="n">
        <f aca="false">IF(SUMIFS($W:$W,$A:$A,A803,$C:$C,C803)=0,0,SUMIFS(RAW_판매펀칭!$K:$K,RAW_판매펀칭!$P:$P,A803,RAW_판매펀칭!$I:$I,C803)*W803/SUMIFS($W:$W,$A:$A,A803,$C:$C,C803))</f>
        <v>35</v>
      </c>
      <c r="R803" s="47" t="n">
        <f aca="false">IF(OR(A803="500",A803="800",A803="810"),0,MAX(W803-Q803,0))</f>
        <v>0</v>
      </c>
      <c r="S803" s="47" t="n">
        <f aca="false">R803*L803</f>
        <v>0</v>
      </c>
      <c r="T803" s="47" t="n">
        <f aca="false">R803*J803</f>
        <v>0</v>
      </c>
      <c r="U803" s="47" t="n">
        <f aca="false">R803*K803</f>
        <v>0</v>
      </c>
      <c r="V803" s="0" t="str">
        <f aca="false">IF(COUNTIFS($A$2:A803,A803,$C$2:C803,C803,$D$2:D803,D803)&gt;1,"중복","")</f>
        <v/>
      </c>
      <c r="W803" s="0" t="n">
        <f aca="false">IF(V803="중복",0,N(D803))</f>
        <v>35</v>
      </c>
      <c r="X803" s="0" t="n">
        <f aca="false">IF(COUNTIFS($A$2:A803,A803,$C$2:C803,C803)=1,ABS(SUMIFS(RAW_발주!$D:$D,RAW_발주!$C:$C,A803,RAW_발주!$A:$A,C803)-SUMIFS($W:$W,$A:$A,A803,$C:$C,C803)),0)</f>
        <v>0</v>
      </c>
    </row>
    <row r="804" customFormat="false" ht="15" hidden="false" customHeight="true" outlineLevel="0" collapsed="false">
      <c r="A804" s="45" t="s">
        <v>1666</v>
      </c>
      <c r="B804" s="42" t="str">
        <f aca="false">IF(A804="100","HK",IF(A804="200","CN",IF(A804="300","TW","홀세일")))</f>
        <v>홀세일</v>
      </c>
      <c r="C804" s="45" t="s">
        <v>1600</v>
      </c>
      <c r="D804" s="46" t="n">
        <v>30</v>
      </c>
      <c r="E804" s="46" t="n">
        <v>249000</v>
      </c>
      <c r="F804" s="46" t="n">
        <v>58200</v>
      </c>
      <c r="G804" s="42" t="n">
        <v>3.34</v>
      </c>
      <c r="H804" s="42" t="n">
        <v>62.4</v>
      </c>
      <c r="I804" s="42" t="n">
        <v>0</v>
      </c>
      <c r="J804" s="46" t="n">
        <f aca="false">IF(N(E804)&gt;0,E804,IF(N(F804)&gt;0,F804*요약!$F$27,0))</f>
        <v>249000</v>
      </c>
      <c r="K804" s="46" t="n">
        <f aca="false">IF(N(F804)&gt;0,F804,IF(N(E804)&gt;0,E804/요약!$F$27,0))</f>
        <v>58200</v>
      </c>
      <c r="L804" s="46" t="n">
        <f aca="false">IF(B804="CN",IF(N(I804)&gt;0,I804*요약!$G$27,K804*(1+요약!$E$27)),IF(N(H804)&gt;0,H804*요약!$G$27,J804*요약!$D$27))</f>
        <v>82368</v>
      </c>
      <c r="M804" s="46" t="n">
        <f aca="false">D804*J804</f>
        <v>7470000</v>
      </c>
      <c r="N804" s="46" t="n">
        <f aca="false">D804*K804</f>
        <v>1746000</v>
      </c>
      <c r="O804" s="46" t="n">
        <f aca="false">D804*L804</f>
        <v>2471040</v>
      </c>
      <c r="P804" s="42" t="str">
        <f aca="false">TRIM(IF(N(E804)&lt;=0,"택가보정 ","")&amp;IF(N(F804)&lt;=0,"원가보정 ","")&amp;IF(AND(B804&lt;&gt;"CN",N(H804)&lt;=0),"공급가보정 ","")&amp;IF(AND(B804="CN",N(I804)&lt;=0),"중국공급가=원가+마진 ",""))</f>
        <v/>
      </c>
      <c r="Q804" s="47" t="n">
        <f aca="false">IF(SUMIFS($W:$W,$A:$A,A804,$C:$C,C804)=0,0,SUMIFS(RAW_판매펀칭!$K:$K,RAW_판매펀칭!$P:$P,A804,RAW_판매펀칭!$I:$I,C804)*W804/SUMIFS($W:$W,$A:$A,A804,$C:$C,C804))</f>
        <v>30</v>
      </c>
      <c r="R804" s="47" t="n">
        <f aca="false">IF(OR(A804="500",A804="800",A804="810"),0,MAX(W804-Q804,0))</f>
        <v>0</v>
      </c>
      <c r="S804" s="47" t="n">
        <f aca="false">R804*L804</f>
        <v>0</v>
      </c>
      <c r="T804" s="47" t="n">
        <f aca="false">R804*J804</f>
        <v>0</v>
      </c>
      <c r="U804" s="47" t="n">
        <f aca="false">R804*K804</f>
        <v>0</v>
      </c>
      <c r="V804" s="0" t="str">
        <f aca="false">IF(COUNTIFS($A$2:A804,A804,$C$2:C804,C804,$D$2:D804,D804)&gt;1,"중복","")</f>
        <v/>
      </c>
      <c r="W804" s="0" t="n">
        <f aca="false">IF(V804="중복",0,N(D804))</f>
        <v>30</v>
      </c>
      <c r="X804" s="0" t="n">
        <f aca="false">IF(COUNTIFS($A$2:A804,A804,$C$2:C804,C804)=1,ABS(SUMIFS(RAW_발주!$D:$D,RAW_발주!$C:$C,A804,RAW_발주!$A:$A,C804)-SUMIFS($W:$W,$A:$A,A804,$C:$C,C804)),0)</f>
        <v>0</v>
      </c>
    </row>
    <row r="805" customFormat="false" ht="15" hidden="false" customHeight="true" outlineLevel="0" collapsed="false">
      <c r="A805" s="45" t="s">
        <v>1663</v>
      </c>
      <c r="B805" s="42" t="str">
        <f aca="false">IF(A805="100","HK",IF(A805="200","CN",IF(A805="300","TW","홀세일")))</f>
        <v>홀세일</v>
      </c>
      <c r="C805" s="45" t="s">
        <v>1320</v>
      </c>
      <c r="D805" s="46" t="n">
        <v>60</v>
      </c>
      <c r="E805" s="46" t="n">
        <v>189000</v>
      </c>
      <c r="F805" s="46" t="n">
        <v>57200</v>
      </c>
      <c r="G805" s="42" t="n">
        <v>3.5</v>
      </c>
      <c r="H805" s="42" t="n">
        <v>47.3</v>
      </c>
      <c r="I805" s="42" t="n">
        <v>0</v>
      </c>
      <c r="J805" s="46" t="n">
        <f aca="false">IF(N(E805)&gt;0,E805,IF(N(F805)&gt;0,F805*요약!$F$27,0))</f>
        <v>189000</v>
      </c>
      <c r="K805" s="46" t="n">
        <f aca="false">IF(N(F805)&gt;0,F805,IF(N(E805)&gt;0,E805/요약!$F$27,0))</f>
        <v>57200</v>
      </c>
      <c r="L805" s="46" t="n">
        <f aca="false">IF(B805="CN",IF(N(I805)&gt;0,I805*요약!$G$27,K805*(1+요약!$E$27)),IF(N(H805)&gt;0,H805*요약!$G$27,J805*요약!$D$27))</f>
        <v>62436</v>
      </c>
      <c r="M805" s="46" t="n">
        <f aca="false">D805*J805</f>
        <v>11340000</v>
      </c>
      <c r="N805" s="46" t="n">
        <f aca="false">D805*K805</f>
        <v>3432000</v>
      </c>
      <c r="O805" s="46" t="n">
        <f aca="false">D805*L805</f>
        <v>3746160</v>
      </c>
      <c r="P805" s="42" t="str">
        <f aca="false">TRIM(IF(N(E805)&lt;=0,"택가보정 ","")&amp;IF(N(F805)&lt;=0,"원가보정 ","")&amp;IF(AND(B805&lt;&gt;"CN",N(H805)&lt;=0),"공급가보정 ","")&amp;IF(AND(B805="CN",N(I805)&lt;=0),"중국공급가=원가+마진 ",""))</f>
        <v/>
      </c>
      <c r="Q805" s="47" t="n">
        <f aca="false">IF(SUMIFS($W:$W,$A:$A,A805,$C:$C,C805)=0,0,SUMIFS(RAW_판매펀칭!$K:$K,RAW_판매펀칭!$P:$P,A805,RAW_판매펀칭!$I:$I,C805)*W805/SUMIFS($W:$W,$A:$A,A805,$C:$C,C805))</f>
        <v>60</v>
      </c>
      <c r="R805" s="47" t="n">
        <f aca="false">IF(OR(A805="500",A805="800",A805="810"),0,MAX(W805-Q805,0))</f>
        <v>0</v>
      </c>
      <c r="S805" s="47" t="n">
        <f aca="false">R805*L805</f>
        <v>0</v>
      </c>
      <c r="T805" s="47" t="n">
        <f aca="false">R805*J805</f>
        <v>0</v>
      </c>
      <c r="U805" s="47" t="n">
        <f aca="false">R805*K805</f>
        <v>0</v>
      </c>
      <c r="V805" s="0" t="str">
        <f aca="false">IF(COUNTIFS($A$2:A805,A805,$C$2:C805,C805,$D$2:D805,D805)&gt;1,"중복","")</f>
        <v/>
      </c>
      <c r="W805" s="0" t="n">
        <f aca="false">IF(V805="중복",0,N(D805))</f>
        <v>60</v>
      </c>
      <c r="X805" s="0" t="n">
        <f aca="false">IF(COUNTIFS($A$2:A805,A805,$C$2:C805,C805)=1,ABS(SUMIFS(RAW_발주!$D:$D,RAW_발주!$C:$C,A805,RAW_발주!$A:$A,C805)-SUMIFS($W:$W,$A:$A,A805,$C:$C,C805)),0)</f>
        <v>0</v>
      </c>
    </row>
    <row r="806" customFormat="false" ht="15" hidden="false" customHeight="true" outlineLevel="0" collapsed="false">
      <c r="A806" s="45" t="s">
        <v>1664</v>
      </c>
      <c r="B806" s="42" t="str">
        <f aca="false">IF(A806="100","HK",IF(A806="200","CN",IF(A806="300","TW","홀세일")))</f>
        <v>홀세일</v>
      </c>
      <c r="C806" s="45" t="s">
        <v>1320</v>
      </c>
      <c r="D806" s="46" t="n">
        <v>90</v>
      </c>
      <c r="E806" s="46" t="n">
        <v>189000</v>
      </c>
      <c r="F806" s="46" t="n">
        <v>57200</v>
      </c>
      <c r="G806" s="42" t="n">
        <v>3.5</v>
      </c>
      <c r="H806" s="42" t="n">
        <v>47.3</v>
      </c>
      <c r="I806" s="42" t="n">
        <v>0</v>
      </c>
      <c r="J806" s="46" t="n">
        <f aca="false">IF(N(E806)&gt;0,E806,IF(N(F806)&gt;0,F806*요약!$F$27,0))</f>
        <v>189000</v>
      </c>
      <c r="K806" s="46" t="n">
        <f aca="false">IF(N(F806)&gt;0,F806,IF(N(E806)&gt;0,E806/요약!$F$27,0))</f>
        <v>57200</v>
      </c>
      <c r="L806" s="46" t="n">
        <f aca="false">IF(B806="CN",IF(N(I806)&gt;0,I806*요약!$G$27,K806*(1+요약!$E$27)),IF(N(H806)&gt;0,H806*요약!$G$27,J806*요약!$D$27))</f>
        <v>62436</v>
      </c>
      <c r="M806" s="46" t="n">
        <f aca="false">D806*J806</f>
        <v>17010000</v>
      </c>
      <c r="N806" s="46" t="n">
        <f aca="false">D806*K806</f>
        <v>5148000</v>
      </c>
      <c r="O806" s="46" t="n">
        <f aca="false">D806*L806</f>
        <v>5619240</v>
      </c>
      <c r="P806" s="42" t="str">
        <f aca="false">TRIM(IF(N(E806)&lt;=0,"택가보정 ","")&amp;IF(N(F806)&lt;=0,"원가보정 ","")&amp;IF(AND(B806&lt;&gt;"CN",N(H806)&lt;=0),"공급가보정 ","")&amp;IF(AND(B806="CN",N(I806)&lt;=0),"중국공급가=원가+마진 ",""))</f>
        <v/>
      </c>
      <c r="Q806" s="47" t="n">
        <f aca="false">IF(SUMIFS($W:$W,$A:$A,A806,$C:$C,C806)=0,0,SUMIFS(RAW_판매펀칭!$K:$K,RAW_판매펀칭!$P:$P,A806,RAW_판매펀칭!$I:$I,C806)*W806/SUMIFS($W:$W,$A:$A,A806,$C:$C,C806))</f>
        <v>0</v>
      </c>
      <c r="R806" s="47" t="n">
        <f aca="false">IF(OR(A806="500",A806="800",A806="810"),0,MAX(W806-Q806,0))</f>
        <v>0</v>
      </c>
      <c r="S806" s="47" t="n">
        <f aca="false">R806*L806</f>
        <v>0</v>
      </c>
      <c r="T806" s="47" t="n">
        <f aca="false">R806*J806</f>
        <v>0</v>
      </c>
      <c r="U806" s="47" t="n">
        <f aca="false">R806*K806</f>
        <v>0</v>
      </c>
      <c r="V806" s="0" t="str">
        <f aca="false">IF(COUNTIFS($A$2:A806,A806,$C$2:C806,C806,$D$2:D806,D806)&gt;1,"중복","")</f>
        <v/>
      </c>
      <c r="W806" s="0" t="n">
        <f aca="false">IF(V806="중복",0,N(D806))</f>
        <v>90</v>
      </c>
      <c r="X806" s="0" t="n">
        <f aca="false">IF(COUNTIFS($A$2:A806,A806,$C$2:C806,C806)=1,ABS(SUMIFS(RAW_발주!$D:$D,RAW_발주!$C:$C,A806,RAW_발주!$A:$A,C806)-SUMIFS($W:$W,$A:$A,A806,$C:$C,C806)),0)</f>
        <v>0</v>
      </c>
    </row>
    <row r="807" customFormat="false" ht="15" hidden="false" customHeight="true" outlineLevel="0" collapsed="false">
      <c r="A807" s="45" t="s">
        <v>1659</v>
      </c>
      <c r="B807" s="42" t="str">
        <f aca="false">IF(A807="100","HK",IF(A807="200","CN",IF(A807="300","TW","홀세일")))</f>
        <v>HK</v>
      </c>
      <c r="C807" s="45" t="s">
        <v>422</v>
      </c>
      <c r="D807" s="46" t="n">
        <v>90</v>
      </c>
      <c r="E807" s="46" t="n">
        <v>349000</v>
      </c>
      <c r="F807" s="46" t="n">
        <v>105706</v>
      </c>
      <c r="G807" s="42" t="n">
        <v>3.1</v>
      </c>
      <c r="H807" s="42" t="n">
        <v>87.4</v>
      </c>
      <c r="I807" s="42" t="n">
        <v>89.5</v>
      </c>
      <c r="J807" s="46" t="n">
        <f aca="false">IF(N(E807)&gt;0,E807,IF(N(F807)&gt;0,F807*요약!$F$27,0))</f>
        <v>349000</v>
      </c>
      <c r="K807" s="46" t="n">
        <f aca="false">IF(N(F807)&gt;0,F807,IF(N(E807)&gt;0,E807/요약!$F$27,0))</f>
        <v>105706</v>
      </c>
      <c r="L807" s="46" t="n">
        <f aca="false">IF(B807="CN",IF(N(I807)&gt;0,I807*요약!$G$27,K807*(1+요약!$E$27)),IF(N(H807)&gt;0,H807*요약!$G$27,J807*요약!$D$27))</f>
        <v>115368</v>
      </c>
      <c r="M807" s="46" t="n">
        <f aca="false">D807*J807</f>
        <v>31410000</v>
      </c>
      <c r="N807" s="46" t="n">
        <f aca="false">D807*K807</f>
        <v>9513540</v>
      </c>
      <c r="O807" s="46" t="n">
        <f aca="false">D807*L807</f>
        <v>10383120</v>
      </c>
      <c r="P807" s="42" t="str">
        <f aca="false">TRIM(IF(N(E807)&lt;=0,"택가보정 ","")&amp;IF(N(F807)&lt;=0,"원가보정 ","")&amp;IF(AND(B807&lt;&gt;"CN",N(H807)&lt;=0),"공급가보정 ","")&amp;IF(AND(B807="CN",N(I807)&lt;=0),"중국공급가=원가+마진 ",""))</f>
        <v/>
      </c>
      <c r="Q807" s="47" t="n">
        <f aca="false">IF(SUMIFS($W:$W,$A:$A,A807,$C:$C,C807)=0,0,SUMIFS(RAW_판매펀칭!$K:$K,RAW_판매펀칭!$P:$P,A807,RAW_판매펀칭!$I:$I,C807)*W807/SUMIFS($W:$W,$A:$A,A807,$C:$C,C807))</f>
        <v>90</v>
      </c>
      <c r="R807" s="47" t="n">
        <f aca="false">IF(OR(A807="500",A807="800",A807="810"),0,MAX(W807-Q807,0))</f>
        <v>0</v>
      </c>
      <c r="S807" s="47" t="n">
        <f aca="false">R807*L807</f>
        <v>0</v>
      </c>
      <c r="T807" s="47" t="n">
        <f aca="false">R807*J807</f>
        <v>0</v>
      </c>
      <c r="U807" s="47" t="n">
        <f aca="false">R807*K807</f>
        <v>0</v>
      </c>
      <c r="V807" s="0" t="str">
        <f aca="false">IF(COUNTIFS($A$2:A807,A807,$C$2:C807,C807,$D$2:D807,D807)&gt;1,"중복","")</f>
        <v/>
      </c>
      <c r="W807" s="0" t="n">
        <f aca="false">IF(V807="중복",0,N(D807))</f>
        <v>90</v>
      </c>
      <c r="X807" s="0" t="n">
        <f aca="false">IF(COUNTIFS($A$2:A807,A807,$C$2:C807,C807)=1,ABS(SUMIFS(RAW_발주!$D:$D,RAW_발주!$C:$C,A807,RAW_발주!$A:$A,C807)-SUMIFS($W:$W,$A:$A,A807,$C:$C,C807)),0)</f>
        <v>0</v>
      </c>
    </row>
    <row r="808" customFormat="false" ht="15" hidden="false" customHeight="true" outlineLevel="0" collapsed="false">
      <c r="A808" s="45" t="s">
        <v>1660</v>
      </c>
      <c r="B808" s="42" t="str">
        <f aca="false">IF(A808="100","HK",IF(A808="200","CN",IF(A808="300","TW","홀세일")))</f>
        <v>CN</v>
      </c>
      <c r="C808" s="45" t="s">
        <v>422</v>
      </c>
      <c r="D808" s="46" t="n">
        <v>127</v>
      </c>
      <c r="E808" s="46" t="n">
        <v>349000</v>
      </c>
      <c r="F808" s="46" t="n">
        <v>105706</v>
      </c>
      <c r="G808" s="42" t="n">
        <v>3.1</v>
      </c>
      <c r="H808" s="42" t="n">
        <v>87.4</v>
      </c>
      <c r="I808" s="42" t="n">
        <v>89.5</v>
      </c>
      <c r="J808" s="46" t="n">
        <f aca="false">IF(N(E808)&gt;0,E808,IF(N(F808)&gt;0,F808*요약!$F$27,0))</f>
        <v>349000</v>
      </c>
      <c r="K808" s="46" t="n">
        <f aca="false">IF(N(F808)&gt;0,F808,IF(N(E808)&gt;0,E808/요약!$F$27,0))</f>
        <v>105706</v>
      </c>
      <c r="L808" s="46" t="n">
        <f aca="false">IF(B808="CN",IF(N(I808)&gt;0,I808*요약!$G$27,K808*(1+요약!$E$27)),IF(N(H808)&gt;0,H808*요약!$G$27,J808*요약!$D$27))</f>
        <v>118140</v>
      </c>
      <c r="M808" s="46" t="n">
        <f aca="false">D808*J808</f>
        <v>44323000</v>
      </c>
      <c r="N808" s="46" t="n">
        <f aca="false">D808*K808</f>
        <v>13424662</v>
      </c>
      <c r="O808" s="46" t="n">
        <f aca="false">D808*L808</f>
        <v>15003780</v>
      </c>
      <c r="P808" s="42" t="str">
        <f aca="false">TRIM(IF(N(E808)&lt;=0,"택가보정 ","")&amp;IF(N(F808)&lt;=0,"원가보정 ","")&amp;IF(AND(B808&lt;&gt;"CN",N(H808)&lt;=0),"공급가보정 ","")&amp;IF(AND(B808="CN",N(I808)&lt;=0),"중국공급가=원가+마진 ",""))</f>
        <v/>
      </c>
      <c r="Q808" s="47" t="n">
        <f aca="false">IF(SUMIFS($W:$W,$A:$A,A808,$C:$C,C808)=0,0,SUMIFS(RAW_판매펀칭!$K:$K,RAW_판매펀칭!$P:$P,A808,RAW_판매펀칭!$I:$I,C808)*W808/SUMIFS($W:$W,$A:$A,A808,$C:$C,C808))</f>
        <v>127</v>
      </c>
      <c r="R808" s="47" t="n">
        <f aca="false">IF(OR(A808="500",A808="800",A808="810"),0,MAX(W808-Q808,0))</f>
        <v>0</v>
      </c>
      <c r="S808" s="47" t="n">
        <f aca="false">R808*L808</f>
        <v>0</v>
      </c>
      <c r="T808" s="47" t="n">
        <f aca="false">R808*J808</f>
        <v>0</v>
      </c>
      <c r="U808" s="47" t="n">
        <f aca="false">R808*K808</f>
        <v>0</v>
      </c>
      <c r="V808" s="0" t="str">
        <f aca="false">IF(COUNTIFS($A$2:A808,A808,$C$2:C808,C808,$D$2:D808,D808)&gt;1,"중복","")</f>
        <v/>
      </c>
      <c r="W808" s="0" t="n">
        <f aca="false">IF(V808="중복",0,N(D808))</f>
        <v>127</v>
      </c>
      <c r="X808" s="0" t="n">
        <f aca="false">IF(COUNTIFS($A$2:A808,A808,$C$2:C808,C808)=1,ABS(SUMIFS(RAW_발주!$D:$D,RAW_발주!$C:$C,A808,RAW_발주!$A:$A,C808)-SUMIFS($W:$W,$A:$A,A808,$C:$C,C808)),0)</f>
        <v>0</v>
      </c>
    </row>
    <row r="809" customFormat="false" ht="15" hidden="false" customHeight="true" outlineLevel="0" collapsed="false">
      <c r="A809" s="45" t="s">
        <v>1661</v>
      </c>
      <c r="B809" s="42" t="str">
        <f aca="false">IF(A809="100","HK",IF(A809="200","CN",IF(A809="300","TW","홀세일")))</f>
        <v>TW</v>
      </c>
      <c r="C809" s="45" t="s">
        <v>422</v>
      </c>
      <c r="D809" s="46" t="n">
        <v>395</v>
      </c>
      <c r="E809" s="46" t="n">
        <v>349000</v>
      </c>
      <c r="F809" s="46" t="n">
        <v>105706</v>
      </c>
      <c r="G809" s="42" t="n">
        <v>3.1</v>
      </c>
      <c r="H809" s="42" t="n">
        <v>87.4</v>
      </c>
      <c r="I809" s="42" t="n">
        <v>89.5</v>
      </c>
      <c r="J809" s="46" t="n">
        <f aca="false">IF(N(E809)&gt;0,E809,IF(N(F809)&gt;0,F809*요약!$F$27,0))</f>
        <v>349000</v>
      </c>
      <c r="K809" s="46" t="n">
        <f aca="false">IF(N(F809)&gt;0,F809,IF(N(E809)&gt;0,E809/요약!$F$27,0))</f>
        <v>105706</v>
      </c>
      <c r="L809" s="46" t="n">
        <f aca="false">IF(B809="CN",IF(N(I809)&gt;0,I809*요약!$G$27,K809*(1+요약!$E$27)),IF(N(H809)&gt;0,H809*요약!$G$27,J809*요약!$D$27))</f>
        <v>115368</v>
      </c>
      <c r="M809" s="46" t="n">
        <f aca="false">D809*J809</f>
        <v>137855000</v>
      </c>
      <c r="N809" s="46" t="n">
        <f aca="false">D809*K809</f>
        <v>41753870</v>
      </c>
      <c r="O809" s="46" t="n">
        <f aca="false">D809*L809</f>
        <v>45570360</v>
      </c>
      <c r="P809" s="42" t="str">
        <f aca="false">TRIM(IF(N(E809)&lt;=0,"택가보정 ","")&amp;IF(N(F809)&lt;=0,"원가보정 ","")&amp;IF(AND(B809&lt;&gt;"CN",N(H809)&lt;=0),"공급가보정 ","")&amp;IF(AND(B809="CN",N(I809)&lt;=0),"중국공급가=원가+마진 ",""))</f>
        <v/>
      </c>
      <c r="Q809" s="47" t="n">
        <f aca="false">IF(SUMIFS($W:$W,$A:$A,A809,$C:$C,C809)=0,0,SUMIFS(RAW_판매펀칭!$K:$K,RAW_판매펀칭!$P:$P,A809,RAW_판매펀칭!$I:$I,C809)*W809/SUMIFS($W:$W,$A:$A,A809,$C:$C,C809))</f>
        <v>395</v>
      </c>
      <c r="R809" s="47" t="n">
        <f aca="false">IF(OR(A809="500",A809="800",A809="810"),0,MAX(W809-Q809,0))</f>
        <v>0</v>
      </c>
      <c r="S809" s="47" t="n">
        <f aca="false">R809*L809</f>
        <v>0</v>
      </c>
      <c r="T809" s="47" t="n">
        <f aca="false">R809*J809</f>
        <v>0</v>
      </c>
      <c r="U809" s="47" t="n">
        <f aca="false">R809*K809</f>
        <v>0</v>
      </c>
      <c r="V809" s="0" t="str">
        <f aca="false">IF(COUNTIFS($A$2:A809,A809,$C$2:C809,C809,$D$2:D809,D809)&gt;1,"중복","")</f>
        <v/>
      </c>
      <c r="W809" s="0" t="n">
        <f aca="false">IF(V809="중복",0,N(D809))</f>
        <v>395</v>
      </c>
      <c r="X809" s="0" t="n">
        <f aca="false">IF(COUNTIFS($A$2:A809,A809,$C$2:C809,C809)=1,ABS(SUMIFS(RAW_발주!$D:$D,RAW_발주!$C:$C,A809,RAW_발주!$A:$A,C809)-SUMIFS($W:$W,$A:$A,A809,$C:$C,C809)),0)</f>
        <v>0</v>
      </c>
    </row>
    <row r="810" customFormat="false" ht="15" hidden="false" customHeight="true" outlineLevel="0" collapsed="false">
      <c r="A810" s="45" t="s">
        <v>1663</v>
      </c>
      <c r="B810" s="42" t="str">
        <f aca="false">IF(A810="100","HK",IF(A810="200","CN",IF(A810="300","TW","홀세일")))</f>
        <v>홀세일</v>
      </c>
      <c r="C810" s="45" t="s">
        <v>422</v>
      </c>
      <c r="D810" s="46" t="n">
        <v>50</v>
      </c>
      <c r="E810" s="46" t="n">
        <v>349000</v>
      </c>
      <c r="F810" s="46" t="n">
        <v>105706</v>
      </c>
      <c r="G810" s="42" t="n">
        <v>3.1</v>
      </c>
      <c r="H810" s="42" t="n">
        <v>87.4</v>
      </c>
      <c r="I810" s="42" t="n">
        <v>89.5</v>
      </c>
      <c r="J810" s="46" t="n">
        <f aca="false">IF(N(E810)&gt;0,E810,IF(N(F810)&gt;0,F810*요약!$F$27,0))</f>
        <v>349000</v>
      </c>
      <c r="K810" s="46" t="n">
        <f aca="false">IF(N(F810)&gt;0,F810,IF(N(E810)&gt;0,E810/요약!$F$27,0))</f>
        <v>105706</v>
      </c>
      <c r="L810" s="46" t="n">
        <f aca="false">IF(B810="CN",IF(N(I810)&gt;0,I810*요약!$G$27,K810*(1+요약!$E$27)),IF(N(H810)&gt;0,H810*요약!$G$27,J810*요약!$D$27))</f>
        <v>115368</v>
      </c>
      <c r="M810" s="46" t="n">
        <f aca="false">D810*J810</f>
        <v>17450000</v>
      </c>
      <c r="N810" s="46" t="n">
        <f aca="false">D810*K810</f>
        <v>5285300</v>
      </c>
      <c r="O810" s="46" t="n">
        <f aca="false">D810*L810</f>
        <v>5768400</v>
      </c>
      <c r="P810" s="42" t="str">
        <f aca="false">TRIM(IF(N(E810)&lt;=0,"택가보정 ","")&amp;IF(N(F810)&lt;=0,"원가보정 ","")&amp;IF(AND(B810&lt;&gt;"CN",N(H810)&lt;=0),"공급가보정 ","")&amp;IF(AND(B810="CN",N(I810)&lt;=0),"중국공급가=원가+마진 ",""))</f>
        <v/>
      </c>
      <c r="Q810" s="47" t="n">
        <f aca="false">IF(SUMIFS($W:$W,$A:$A,A810,$C:$C,C810)=0,0,SUMIFS(RAW_판매펀칭!$K:$K,RAW_판매펀칭!$P:$P,A810,RAW_판매펀칭!$I:$I,C810)*W810/SUMIFS($W:$W,$A:$A,A810,$C:$C,C810))</f>
        <v>50</v>
      </c>
      <c r="R810" s="47" t="n">
        <f aca="false">IF(OR(A810="500",A810="800",A810="810"),0,MAX(W810-Q810,0))</f>
        <v>0</v>
      </c>
      <c r="S810" s="47" t="n">
        <f aca="false">R810*L810</f>
        <v>0</v>
      </c>
      <c r="T810" s="47" t="n">
        <f aca="false">R810*J810</f>
        <v>0</v>
      </c>
      <c r="U810" s="47" t="n">
        <f aca="false">R810*K810</f>
        <v>0</v>
      </c>
      <c r="V810" s="0" t="str">
        <f aca="false">IF(COUNTIFS($A$2:A810,A810,$C$2:C810,C810,$D$2:D810,D810)&gt;1,"중복","")</f>
        <v/>
      </c>
      <c r="W810" s="0" t="n">
        <f aca="false">IF(V810="중복",0,N(D810))</f>
        <v>50</v>
      </c>
      <c r="X810" s="0" t="n">
        <f aca="false">IF(COUNTIFS($A$2:A810,A810,$C$2:C810,C810)=1,ABS(SUMIFS(RAW_발주!$D:$D,RAW_발주!$C:$C,A810,RAW_발주!$A:$A,C810)-SUMIFS($W:$W,$A:$A,A810,$C:$C,C810)),0)</f>
        <v>0</v>
      </c>
    </row>
    <row r="811" customFormat="false" ht="15" hidden="false" customHeight="true" outlineLevel="0" collapsed="false">
      <c r="A811" s="45" t="s">
        <v>1664</v>
      </c>
      <c r="B811" s="42" t="str">
        <f aca="false">IF(A811="100","HK",IF(A811="200","CN",IF(A811="300","TW","홀세일")))</f>
        <v>홀세일</v>
      </c>
      <c r="C811" s="45" t="s">
        <v>422</v>
      </c>
      <c r="D811" s="46" t="n">
        <v>80</v>
      </c>
      <c r="E811" s="46" t="n">
        <v>349000</v>
      </c>
      <c r="F811" s="46" t="n">
        <v>105706</v>
      </c>
      <c r="G811" s="42" t="n">
        <v>3.1</v>
      </c>
      <c r="H811" s="42" t="n">
        <v>87.4</v>
      </c>
      <c r="I811" s="42" t="n">
        <v>89.5</v>
      </c>
      <c r="J811" s="46" t="n">
        <f aca="false">IF(N(E811)&gt;0,E811,IF(N(F811)&gt;0,F811*요약!$F$27,0))</f>
        <v>349000</v>
      </c>
      <c r="K811" s="46" t="n">
        <f aca="false">IF(N(F811)&gt;0,F811,IF(N(E811)&gt;0,E811/요약!$F$27,0))</f>
        <v>105706</v>
      </c>
      <c r="L811" s="46" t="n">
        <f aca="false">IF(B811="CN",IF(N(I811)&gt;0,I811*요약!$G$27,K811*(1+요약!$E$27)),IF(N(H811)&gt;0,H811*요약!$G$27,J811*요약!$D$27))</f>
        <v>115368</v>
      </c>
      <c r="M811" s="46" t="n">
        <f aca="false">D811*J811</f>
        <v>27920000</v>
      </c>
      <c r="N811" s="46" t="n">
        <f aca="false">D811*K811</f>
        <v>8456480</v>
      </c>
      <c r="O811" s="46" t="n">
        <f aca="false">D811*L811</f>
        <v>9229440</v>
      </c>
      <c r="P811" s="42" t="str">
        <f aca="false">TRIM(IF(N(E811)&lt;=0,"택가보정 ","")&amp;IF(N(F811)&lt;=0,"원가보정 ","")&amp;IF(AND(B811&lt;&gt;"CN",N(H811)&lt;=0),"공급가보정 ","")&amp;IF(AND(B811="CN",N(I811)&lt;=0),"중국공급가=원가+마진 ",""))</f>
        <v/>
      </c>
      <c r="Q811" s="47" t="n">
        <f aca="false">IF(SUMIFS($W:$W,$A:$A,A811,$C:$C,C811)=0,0,SUMIFS(RAW_판매펀칭!$K:$K,RAW_판매펀칭!$P:$P,A811,RAW_판매펀칭!$I:$I,C811)*W811/SUMIFS($W:$W,$A:$A,A811,$C:$C,C811))</f>
        <v>0</v>
      </c>
      <c r="R811" s="47" t="n">
        <f aca="false">IF(OR(A811="500",A811="800",A811="810"),0,MAX(W811-Q811,0))</f>
        <v>0</v>
      </c>
      <c r="S811" s="47" t="n">
        <f aca="false">R811*L811</f>
        <v>0</v>
      </c>
      <c r="T811" s="47" t="n">
        <f aca="false">R811*J811</f>
        <v>0</v>
      </c>
      <c r="U811" s="47" t="n">
        <f aca="false">R811*K811</f>
        <v>0</v>
      </c>
      <c r="V811" s="0" t="str">
        <f aca="false">IF(COUNTIFS($A$2:A811,A811,$C$2:C811,C811,$D$2:D811,D811)&gt;1,"중복","")</f>
        <v/>
      </c>
      <c r="W811" s="0" t="n">
        <f aca="false">IF(V811="중복",0,N(D811))</f>
        <v>80</v>
      </c>
      <c r="X811" s="0" t="n">
        <f aca="false">IF(COUNTIFS($A$2:A811,A811,$C$2:C811,C811)=1,ABS(SUMIFS(RAW_발주!$D:$D,RAW_발주!$C:$C,A811,RAW_발주!$A:$A,C811)-SUMIFS($W:$W,$A:$A,A811,$C:$C,C811)),0)</f>
        <v>0</v>
      </c>
    </row>
    <row r="812" customFormat="false" ht="15" hidden="false" customHeight="true" outlineLevel="0" collapsed="false">
      <c r="A812" s="45" t="s">
        <v>1659</v>
      </c>
      <c r="B812" s="42" t="str">
        <f aca="false">IF(A812="100","HK",IF(A812="200","CN",IF(A812="300","TW","홀세일")))</f>
        <v>HK</v>
      </c>
      <c r="C812" s="45" t="s">
        <v>424</v>
      </c>
      <c r="D812" s="46" t="n">
        <v>180</v>
      </c>
      <c r="E812" s="46" t="n">
        <v>179000</v>
      </c>
      <c r="F812" s="46" t="n">
        <v>48358</v>
      </c>
      <c r="G812" s="42" t="n">
        <v>3.88</v>
      </c>
      <c r="H812" s="42" t="n">
        <v>44.8</v>
      </c>
      <c r="I812" s="42" t="n">
        <v>38.9</v>
      </c>
      <c r="J812" s="46" t="n">
        <f aca="false">IF(N(E812)&gt;0,E812,IF(N(F812)&gt;0,F812*요약!$F$27,0))</f>
        <v>179000</v>
      </c>
      <c r="K812" s="46" t="n">
        <f aca="false">IF(N(F812)&gt;0,F812,IF(N(E812)&gt;0,E812/요약!$F$27,0))</f>
        <v>48358</v>
      </c>
      <c r="L812" s="46" t="n">
        <f aca="false">IF(B812="CN",IF(N(I812)&gt;0,I812*요약!$G$27,K812*(1+요약!$E$27)),IF(N(H812)&gt;0,H812*요약!$G$27,J812*요약!$D$27))</f>
        <v>59136</v>
      </c>
      <c r="M812" s="46" t="n">
        <f aca="false">D812*J812</f>
        <v>32220000</v>
      </c>
      <c r="N812" s="46" t="n">
        <f aca="false">D812*K812</f>
        <v>8704440</v>
      </c>
      <c r="O812" s="46" t="n">
        <f aca="false">D812*L812</f>
        <v>10644480</v>
      </c>
      <c r="P812" s="42" t="str">
        <f aca="false">TRIM(IF(N(E812)&lt;=0,"택가보정 ","")&amp;IF(N(F812)&lt;=0,"원가보정 ","")&amp;IF(AND(B812&lt;&gt;"CN",N(H812)&lt;=0),"공급가보정 ","")&amp;IF(AND(B812="CN",N(I812)&lt;=0),"중국공급가=원가+마진 ",""))</f>
        <v/>
      </c>
      <c r="Q812" s="47" t="n">
        <f aca="false">IF(SUMIFS($W:$W,$A:$A,A812,$C:$C,C812)=0,0,SUMIFS(RAW_판매펀칭!$K:$K,RAW_판매펀칭!$P:$P,A812,RAW_판매펀칭!$I:$I,C812)*W812/SUMIFS($W:$W,$A:$A,A812,$C:$C,C812))</f>
        <v>180</v>
      </c>
      <c r="R812" s="47" t="n">
        <f aca="false">IF(OR(A812="500",A812="800",A812="810"),0,MAX(W812-Q812,0))</f>
        <v>0</v>
      </c>
      <c r="S812" s="47" t="n">
        <f aca="false">R812*L812</f>
        <v>0</v>
      </c>
      <c r="T812" s="47" t="n">
        <f aca="false">R812*J812</f>
        <v>0</v>
      </c>
      <c r="U812" s="47" t="n">
        <f aca="false">R812*K812</f>
        <v>0</v>
      </c>
      <c r="V812" s="0" t="str">
        <f aca="false">IF(COUNTIFS($A$2:A812,A812,$C$2:C812,C812,$D$2:D812,D812)&gt;1,"중복","")</f>
        <v/>
      </c>
      <c r="W812" s="0" t="n">
        <f aca="false">IF(V812="중복",0,N(D812))</f>
        <v>180</v>
      </c>
      <c r="X812" s="0" t="n">
        <f aca="false">IF(COUNTIFS($A$2:A812,A812,$C$2:C812,C812)=1,ABS(SUMIFS(RAW_발주!$D:$D,RAW_발주!$C:$C,A812,RAW_발주!$A:$A,C812)-SUMIFS($W:$W,$A:$A,A812,$C:$C,C812)),0)</f>
        <v>0</v>
      </c>
    </row>
    <row r="813" customFormat="false" ht="15" hidden="false" customHeight="true" outlineLevel="0" collapsed="false">
      <c r="A813" s="45" t="s">
        <v>1660</v>
      </c>
      <c r="B813" s="42" t="str">
        <f aca="false">IF(A813="100","HK",IF(A813="200","CN",IF(A813="300","TW","홀세일")))</f>
        <v>CN</v>
      </c>
      <c r="C813" s="45" t="s">
        <v>424</v>
      </c>
      <c r="D813" s="46" t="n">
        <v>267</v>
      </c>
      <c r="E813" s="46" t="n">
        <v>179000</v>
      </c>
      <c r="F813" s="46" t="n">
        <v>48358</v>
      </c>
      <c r="G813" s="42" t="n">
        <v>3.88</v>
      </c>
      <c r="H813" s="42" t="n">
        <v>44.8</v>
      </c>
      <c r="I813" s="42" t="n">
        <v>38.9</v>
      </c>
      <c r="J813" s="46" t="n">
        <f aca="false">IF(N(E813)&gt;0,E813,IF(N(F813)&gt;0,F813*요약!$F$27,0))</f>
        <v>179000</v>
      </c>
      <c r="K813" s="46" t="n">
        <f aca="false">IF(N(F813)&gt;0,F813,IF(N(E813)&gt;0,E813/요약!$F$27,0))</f>
        <v>48358</v>
      </c>
      <c r="L813" s="46" t="n">
        <f aca="false">IF(B813="CN",IF(N(I813)&gt;0,I813*요약!$G$27,K813*(1+요약!$E$27)),IF(N(H813)&gt;0,H813*요약!$G$27,J813*요약!$D$27))</f>
        <v>51348</v>
      </c>
      <c r="M813" s="46" t="n">
        <f aca="false">D813*J813</f>
        <v>47793000</v>
      </c>
      <c r="N813" s="46" t="n">
        <f aca="false">D813*K813</f>
        <v>12911586</v>
      </c>
      <c r="O813" s="46" t="n">
        <f aca="false">D813*L813</f>
        <v>13709916</v>
      </c>
      <c r="P813" s="42" t="str">
        <f aca="false">TRIM(IF(N(E813)&lt;=0,"택가보정 ","")&amp;IF(N(F813)&lt;=0,"원가보정 ","")&amp;IF(AND(B813&lt;&gt;"CN",N(H813)&lt;=0),"공급가보정 ","")&amp;IF(AND(B813="CN",N(I813)&lt;=0),"중국공급가=원가+마진 ",""))</f>
        <v/>
      </c>
      <c r="Q813" s="47" t="n">
        <f aca="false">IF(SUMIFS($W:$W,$A:$A,A813,$C:$C,C813)=0,0,SUMIFS(RAW_판매펀칭!$K:$K,RAW_판매펀칭!$P:$P,A813,RAW_판매펀칭!$I:$I,C813)*W813/SUMIFS($W:$W,$A:$A,A813,$C:$C,C813))</f>
        <v>267</v>
      </c>
      <c r="R813" s="47" t="n">
        <f aca="false">IF(OR(A813="500",A813="800",A813="810"),0,MAX(W813-Q813,0))</f>
        <v>0</v>
      </c>
      <c r="S813" s="47" t="n">
        <f aca="false">R813*L813</f>
        <v>0</v>
      </c>
      <c r="T813" s="47" t="n">
        <f aca="false">R813*J813</f>
        <v>0</v>
      </c>
      <c r="U813" s="47" t="n">
        <f aca="false">R813*K813</f>
        <v>0</v>
      </c>
      <c r="V813" s="0" t="str">
        <f aca="false">IF(COUNTIFS($A$2:A813,A813,$C$2:C813,C813,$D$2:D813,D813)&gt;1,"중복","")</f>
        <v/>
      </c>
      <c r="W813" s="0" t="n">
        <f aca="false">IF(V813="중복",0,N(D813))</f>
        <v>267</v>
      </c>
      <c r="X813" s="0" t="n">
        <f aca="false">IF(COUNTIFS($A$2:A813,A813,$C$2:C813,C813)=1,ABS(SUMIFS(RAW_발주!$D:$D,RAW_발주!$C:$C,A813,RAW_발주!$A:$A,C813)-SUMIFS($W:$W,$A:$A,A813,$C:$C,C813)),0)</f>
        <v>0</v>
      </c>
    </row>
    <row r="814" customFormat="false" ht="15" hidden="false" customHeight="true" outlineLevel="0" collapsed="false">
      <c r="A814" s="45" t="s">
        <v>1661</v>
      </c>
      <c r="B814" s="42" t="str">
        <f aca="false">IF(A814="100","HK",IF(A814="200","CN",IF(A814="300","TW","홀세일")))</f>
        <v>TW</v>
      </c>
      <c r="C814" s="45" t="s">
        <v>424</v>
      </c>
      <c r="D814" s="46" t="n">
        <v>100</v>
      </c>
      <c r="E814" s="46" t="n">
        <v>179000</v>
      </c>
      <c r="F814" s="46" t="n">
        <v>48358</v>
      </c>
      <c r="G814" s="42" t="n">
        <v>3.88</v>
      </c>
      <c r="H814" s="42" t="n">
        <v>44.8</v>
      </c>
      <c r="I814" s="42" t="n">
        <v>38.9</v>
      </c>
      <c r="J814" s="46" t="n">
        <f aca="false">IF(N(E814)&gt;0,E814,IF(N(F814)&gt;0,F814*요약!$F$27,0))</f>
        <v>179000</v>
      </c>
      <c r="K814" s="46" t="n">
        <f aca="false">IF(N(F814)&gt;0,F814,IF(N(E814)&gt;0,E814/요약!$F$27,0))</f>
        <v>48358</v>
      </c>
      <c r="L814" s="46" t="n">
        <f aca="false">IF(B814="CN",IF(N(I814)&gt;0,I814*요약!$G$27,K814*(1+요약!$E$27)),IF(N(H814)&gt;0,H814*요약!$G$27,J814*요약!$D$27))</f>
        <v>59136</v>
      </c>
      <c r="M814" s="46" t="n">
        <f aca="false">D814*J814</f>
        <v>17900000</v>
      </c>
      <c r="N814" s="46" t="n">
        <f aca="false">D814*K814</f>
        <v>4835800</v>
      </c>
      <c r="O814" s="46" t="n">
        <f aca="false">D814*L814</f>
        <v>5913600</v>
      </c>
      <c r="P814" s="42" t="str">
        <f aca="false">TRIM(IF(N(E814)&lt;=0,"택가보정 ","")&amp;IF(N(F814)&lt;=0,"원가보정 ","")&amp;IF(AND(B814&lt;&gt;"CN",N(H814)&lt;=0),"공급가보정 ","")&amp;IF(AND(B814="CN",N(I814)&lt;=0),"중국공급가=원가+마진 ",""))</f>
        <v/>
      </c>
      <c r="Q814" s="47" t="n">
        <f aca="false">IF(SUMIFS($W:$W,$A:$A,A814,$C:$C,C814)=0,0,SUMIFS(RAW_판매펀칭!$K:$K,RAW_판매펀칭!$P:$P,A814,RAW_판매펀칭!$I:$I,C814)*W814/SUMIFS($W:$W,$A:$A,A814,$C:$C,C814))</f>
        <v>100</v>
      </c>
      <c r="R814" s="47" t="n">
        <f aca="false">IF(OR(A814="500",A814="800",A814="810"),0,MAX(W814-Q814,0))</f>
        <v>0</v>
      </c>
      <c r="S814" s="47" t="n">
        <f aca="false">R814*L814</f>
        <v>0</v>
      </c>
      <c r="T814" s="47" t="n">
        <f aca="false">R814*J814</f>
        <v>0</v>
      </c>
      <c r="U814" s="47" t="n">
        <f aca="false">R814*K814</f>
        <v>0</v>
      </c>
      <c r="V814" s="0" t="str">
        <f aca="false">IF(COUNTIFS($A$2:A814,A814,$C$2:C814,C814,$D$2:D814,D814)&gt;1,"중복","")</f>
        <v/>
      </c>
      <c r="W814" s="0" t="n">
        <f aca="false">IF(V814="중복",0,N(D814))</f>
        <v>100</v>
      </c>
      <c r="X814" s="0" t="n">
        <f aca="false">IF(COUNTIFS($A$2:A814,A814,$C$2:C814,C814)=1,ABS(SUMIFS(RAW_발주!$D:$D,RAW_발주!$C:$C,A814,RAW_발주!$A:$A,C814)-SUMIFS($W:$W,$A:$A,A814,$C:$C,C814)),0)</f>
        <v>0</v>
      </c>
    </row>
    <row r="815" customFormat="false" ht="15" hidden="false" customHeight="true" outlineLevel="0" collapsed="false">
      <c r="A815" s="45" t="s">
        <v>1663</v>
      </c>
      <c r="B815" s="42" t="str">
        <f aca="false">IF(A815="100","HK",IF(A815="200","CN",IF(A815="300","TW","홀세일")))</f>
        <v>홀세일</v>
      </c>
      <c r="C815" s="45" t="s">
        <v>424</v>
      </c>
      <c r="D815" s="46" t="n">
        <v>20</v>
      </c>
      <c r="E815" s="46" t="n">
        <v>179000</v>
      </c>
      <c r="F815" s="46" t="n">
        <v>48358</v>
      </c>
      <c r="G815" s="42" t="n">
        <v>3.88</v>
      </c>
      <c r="H815" s="42" t="n">
        <v>44.8</v>
      </c>
      <c r="I815" s="42" t="n">
        <v>38.9</v>
      </c>
      <c r="J815" s="46" t="n">
        <f aca="false">IF(N(E815)&gt;0,E815,IF(N(F815)&gt;0,F815*요약!$F$27,0))</f>
        <v>179000</v>
      </c>
      <c r="K815" s="46" t="n">
        <f aca="false">IF(N(F815)&gt;0,F815,IF(N(E815)&gt;0,E815/요약!$F$27,0))</f>
        <v>48358</v>
      </c>
      <c r="L815" s="46" t="n">
        <f aca="false">IF(B815="CN",IF(N(I815)&gt;0,I815*요약!$G$27,K815*(1+요약!$E$27)),IF(N(H815)&gt;0,H815*요약!$G$27,J815*요약!$D$27))</f>
        <v>59136</v>
      </c>
      <c r="M815" s="46" t="n">
        <f aca="false">D815*J815</f>
        <v>3580000</v>
      </c>
      <c r="N815" s="46" t="n">
        <f aca="false">D815*K815</f>
        <v>967160</v>
      </c>
      <c r="O815" s="46" t="n">
        <f aca="false">D815*L815</f>
        <v>1182720</v>
      </c>
      <c r="P815" s="42" t="str">
        <f aca="false">TRIM(IF(N(E815)&lt;=0,"택가보정 ","")&amp;IF(N(F815)&lt;=0,"원가보정 ","")&amp;IF(AND(B815&lt;&gt;"CN",N(H815)&lt;=0),"공급가보정 ","")&amp;IF(AND(B815="CN",N(I815)&lt;=0),"중국공급가=원가+마진 ",""))</f>
        <v/>
      </c>
      <c r="Q815" s="47" t="n">
        <f aca="false">IF(SUMIFS($W:$W,$A:$A,A815,$C:$C,C815)=0,0,SUMIFS(RAW_판매펀칭!$K:$K,RAW_판매펀칭!$P:$P,A815,RAW_판매펀칭!$I:$I,C815)*W815/SUMIFS($W:$W,$A:$A,A815,$C:$C,C815))</f>
        <v>20</v>
      </c>
      <c r="R815" s="47" t="n">
        <f aca="false">IF(OR(A815="500",A815="800",A815="810"),0,MAX(W815-Q815,0))</f>
        <v>0</v>
      </c>
      <c r="S815" s="47" t="n">
        <f aca="false">R815*L815</f>
        <v>0</v>
      </c>
      <c r="T815" s="47" t="n">
        <f aca="false">R815*J815</f>
        <v>0</v>
      </c>
      <c r="U815" s="47" t="n">
        <f aca="false">R815*K815</f>
        <v>0</v>
      </c>
      <c r="V815" s="0" t="str">
        <f aca="false">IF(COUNTIFS($A$2:A815,A815,$C$2:C815,C815,$D$2:D815,D815)&gt;1,"중복","")</f>
        <v/>
      </c>
      <c r="W815" s="0" t="n">
        <f aca="false">IF(V815="중복",0,N(D815))</f>
        <v>20</v>
      </c>
      <c r="X815" s="0" t="n">
        <f aca="false">IF(COUNTIFS($A$2:A815,A815,$C$2:C815,C815)=1,ABS(SUMIFS(RAW_발주!$D:$D,RAW_발주!$C:$C,A815,RAW_발주!$A:$A,C815)-SUMIFS($W:$W,$A:$A,A815,$C:$C,C815)),0)</f>
        <v>0</v>
      </c>
    </row>
    <row r="816" customFormat="false" ht="15" hidden="false" customHeight="true" outlineLevel="0" collapsed="false">
      <c r="A816" s="45" t="s">
        <v>1664</v>
      </c>
      <c r="B816" s="42" t="str">
        <f aca="false">IF(A816="100","HK",IF(A816="200","CN",IF(A816="300","TW","홀세일")))</f>
        <v>홀세일</v>
      </c>
      <c r="C816" s="45" t="s">
        <v>424</v>
      </c>
      <c r="D816" s="46" t="n">
        <v>80</v>
      </c>
      <c r="E816" s="46" t="n">
        <v>179000</v>
      </c>
      <c r="F816" s="46" t="n">
        <v>48358</v>
      </c>
      <c r="G816" s="42" t="n">
        <v>3.88</v>
      </c>
      <c r="H816" s="42" t="n">
        <v>44.8</v>
      </c>
      <c r="I816" s="42" t="n">
        <v>38.9</v>
      </c>
      <c r="J816" s="46" t="n">
        <f aca="false">IF(N(E816)&gt;0,E816,IF(N(F816)&gt;0,F816*요약!$F$27,0))</f>
        <v>179000</v>
      </c>
      <c r="K816" s="46" t="n">
        <f aca="false">IF(N(F816)&gt;0,F816,IF(N(E816)&gt;0,E816/요약!$F$27,0))</f>
        <v>48358</v>
      </c>
      <c r="L816" s="46" t="n">
        <f aca="false">IF(B816="CN",IF(N(I816)&gt;0,I816*요약!$G$27,K816*(1+요약!$E$27)),IF(N(H816)&gt;0,H816*요약!$G$27,J816*요약!$D$27))</f>
        <v>59136</v>
      </c>
      <c r="M816" s="46" t="n">
        <f aca="false">D816*J816</f>
        <v>14320000</v>
      </c>
      <c r="N816" s="46" t="n">
        <f aca="false">D816*K816</f>
        <v>3868640</v>
      </c>
      <c r="O816" s="46" t="n">
        <f aca="false">D816*L816</f>
        <v>4730880</v>
      </c>
      <c r="P816" s="42" t="str">
        <f aca="false">TRIM(IF(N(E816)&lt;=0,"택가보정 ","")&amp;IF(N(F816)&lt;=0,"원가보정 ","")&amp;IF(AND(B816&lt;&gt;"CN",N(H816)&lt;=0),"공급가보정 ","")&amp;IF(AND(B816="CN",N(I816)&lt;=0),"중국공급가=원가+마진 ",""))</f>
        <v/>
      </c>
      <c r="Q816" s="47" t="n">
        <f aca="false">IF(SUMIFS($W:$W,$A:$A,A816,$C:$C,C816)=0,0,SUMIFS(RAW_판매펀칭!$K:$K,RAW_판매펀칭!$P:$P,A816,RAW_판매펀칭!$I:$I,C816)*W816/SUMIFS($W:$W,$A:$A,A816,$C:$C,C816))</f>
        <v>0</v>
      </c>
      <c r="R816" s="47" t="n">
        <f aca="false">IF(OR(A816="500",A816="800",A816="810"),0,MAX(W816-Q816,0))</f>
        <v>0</v>
      </c>
      <c r="S816" s="47" t="n">
        <f aca="false">R816*L816</f>
        <v>0</v>
      </c>
      <c r="T816" s="47" t="n">
        <f aca="false">R816*J816</f>
        <v>0</v>
      </c>
      <c r="U816" s="47" t="n">
        <f aca="false">R816*K816</f>
        <v>0</v>
      </c>
      <c r="V816" s="0" t="str">
        <f aca="false">IF(COUNTIFS($A$2:A816,A816,$C$2:C816,C816,$D$2:D816,D816)&gt;1,"중복","")</f>
        <v/>
      </c>
      <c r="W816" s="0" t="n">
        <f aca="false">IF(V816="중복",0,N(D816))</f>
        <v>80</v>
      </c>
      <c r="X816" s="0" t="n">
        <f aca="false">IF(COUNTIFS($A$2:A816,A816,$C$2:C816,C816)=1,ABS(SUMIFS(RAW_발주!$D:$D,RAW_발주!$C:$C,A816,RAW_발주!$A:$A,C816)-SUMIFS($W:$W,$A:$A,A816,$C:$C,C816)),0)</f>
        <v>0</v>
      </c>
    </row>
    <row r="817" customFormat="false" ht="15" hidden="false" customHeight="true" outlineLevel="0" collapsed="false">
      <c r="A817" s="45" t="s">
        <v>1661</v>
      </c>
      <c r="B817" s="42" t="str">
        <f aca="false">IF(A817="100","HK",IF(A817="200","CN",IF(A817="300","TW","홀세일")))</f>
        <v>TW</v>
      </c>
      <c r="C817" s="45" t="s">
        <v>426</v>
      </c>
      <c r="D817" s="46" t="n">
        <v>200</v>
      </c>
      <c r="E817" s="46" t="n">
        <v>219000</v>
      </c>
      <c r="F817" s="46" t="n">
        <v>54900</v>
      </c>
      <c r="G817" s="42" t="n">
        <v>4.01</v>
      </c>
      <c r="H817" s="42" t="n">
        <v>54.9</v>
      </c>
      <c r="I817" s="42" t="n">
        <v>0</v>
      </c>
      <c r="J817" s="46" t="n">
        <f aca="false">IF(N(E817)&gt;0,E817,IF(N(F817)&gt;0,F817*요약!$F$27,0))</f>
        <v>219000</v>
      </c>
      <c r="K817" s="46" t="n">
        <f aca="false">IF(N(F817)&gt;0,F817,IF(N(E817)&gt;0,E817/요약!$F$27,0))</f>
        <v>54900</v>
      </c>
      <c r="L817" s="46" t="n">
        <f aca="false">IF(B817="CN",IF(N(I817)&gt;0,I817*요약!$G$27,K817*(1+요약!$E$27)),IF(N(H817)&gt;0,H817*요약!$G$27,J817*요약!$D$27))</f>
        <v>72468</v>
      </c>
      <c r="M817" s="46" t="n">
        <f aca="false">D817*J817</f>
        <v>43800000</v>
      </c>
      <c r="N817" s="46" t="n">
        <f aca="false">D817*K817</f>
        <v>10980000</v>
      </c>
      <c r="O817" s="46" t="n">
        <f aca="false">D817*L817</f>
        <v>14493600</v>
      </c>
      <c r="P817" s="42" t="str">
        <f aca="false">TRIM(IF(N(E817)&lt;=0,"택가보정 ","")&amp;IF(N(F817)&lt;=0,"원가보정 ","")&amp;IF(AND(B817&lt;&gt;"CN",N(H817)&lt;=0),"공급가보정 ","")&amp;IF(AND(B817="CN",N(I817)&lt;=0),"중국공급가=원가+마진 ",""))</f>
        <v/>
      </c>
      <c r="Q817" s="47" t="n">
        <f aca="false">IF(SUMIFS($W:$W,$A:$A,A817,$C:$C,C817)=0,0,SUMIFS(RAW_판매펀칭!$K:$K,RAW_판매펀칭!$P:$P,A817,RAW_판매펀칭!$I:$I,C817)*W817/SUMIFS($W:$W,$A:$A,A817,$C:$C,C817))</f>
        <v>200</v>
      </c>
      <c r="R817" s="47" t="n">
        <f aca="false">IF(OR(A817="500",A817="800",A817="810"),0,MAX(W817-Q817,0))</f>
        <v>0</v>
      </c>
      <c r="S817" s="47" t="n">
        <f aca="false">R817*L817</f>
        <v>0</v>
      </c>
      <c r="T817" s="47" t="n">
        <f aca="false">R817*J817</f>
        <v>0</v>
      </c>
      <c r="U817" s="47" t="n">
        <f aca="false">R817*K817</f>
        <v>0</v>
      </c>
      <c r="V817" s="0" t="str">
        <f aca="false">IF(COUNTIFS($A$2:A817,A817,$C$2:C817,C817,$D$2:D817,D817)&gt;1,"중복","")</f>
        <v/>
      </c>
      <c r="W817" s="0" t="n">
        <f aca="false">IF(V817="중복",0,N(D817))</f>
        <v>200</v>
      </c>
      <c r="X817" s="0" t="n">
        <f aca="false">IF(COUNTIFS($A$2:A817,A817,$C$2:C817,C817)=1,ABS(SUMIFS(RAW_발주!$D:$D,RAW_발주!$C:$C,A817,RAW_발주!$A:$A,C817)-SUMIFS($W:$W,$A:$A,A817,$C:$C,C817)),0)</f>
        <v>0</v>
      </c>
    </row>
    <row r="818" customFormat="false" ht="15" hidden="false" customHeight="true" outlineLevel="0" collapsed="false">
      <c r="A818" s="45" t="s">
        <v>1667</v>
      </c>
      <c r="B818" s="42" t="str">
        <f aca="false">IF(A818="100","HK",IF(A818="200","CN",IF(A818="300","TW","홀세일")))</f>
        <v>홀세일</v>
      </c>
      <c r="C818" s="45" t="s">
        <v>426</v>
      </c>
      <c r="D818" s="46" t="n">
        <v>91</v>
      </c>
      <c r="E818" s="46" t="n">
        <v>219000</v>
      </c>
      <c r="F818" s="46" t="n">
        <v>54900</v>
      </c>
      <c r="G818" s="42" t="n">
        <v>4.01</v>
      </c>
      <c r="H818" s="42" t="n">
        <v>54.9</v>
      </c>
      <c r="I818" s="42" t="n">
        <v>0</v>
      </c>
      <c r="J818" s="46" t="n">
        <f aca="false">IF(N(E818)&gt;0,E818,IF(N(F818)&gt;0,F818*요약!$F$27,0))</f>
        <v>219000</v>
      </c>
      <c r="K818" s="46" t="n">
        <f aca="false">IF(N(F818)&gt;0,F818,IF(N(E818)&gt;0,E818/요약!$F$27,0))</f>
        <v>54900</v>
      </c>
      <c r="L818" s="46" t="n">
        <f aca="false">IF(B818="CN",IF(N(I818)&gt;0,I818*요약!$G$27,K818*(1+요약!$E$27)),IF(N(H818)&gt;0,H818*요약!$G$27,J818*요약!$D$27))</f>
        <v>72468</v>
      </c>
      <c r="M818" s="46" t="n">
        <f aca="false">D818*J818</f>
        <v>19929000</v>
      </c>
      <c r="N818" s="46" t="n">
        <f aca="false">D818*K818</f>
        <v>4995900</v>
      </c>
      <c r="O818" s="46" t="n">
        <f aca="false">D818*L818</f>
        <v>6594588</v>
      </c>
      <c r="P818" s="42" t="str">
        <f aca="false">TRIM(IF(N(E818)&lt;=0,"택가보정 ","")&amp;IF(N(F818)&lt;=0,"원가보정 ","")&amp;IF(AND(B818&lt;&gt;"CN",N(H818)&lt;=0),"공급가보정 ","")&amp;IF(AND(B818="CN",N(I818)&lt;=0),"중국공급가=원가+마진 ",""))</f>
        <v/>
      </c>
      <c r="Q818" s="47" t="n">
        <f aca="false">IF(SUMIFS($W:$W,$A:$A,A818,$C:$C,C818)=0,0,SUMIFS(RAW_판매펀칭!$K:$K,RAW_판매펀칭!$P:$P,A818,RAW_판매펀칭!$I:$I,C818)*W818/SUMIFS($W:$W,$A:$A,A818,$C:$C,C818))</f>
        <v>90</v>
      </c>
      <c r="R818" s="47" t="n">
        <f aca="false">IF(OR(A818="500",A818="800",A818="810"),0,MAX(W818-Q818,0))</f>
        <v>1</v>
      </c>
      <c r="S818" s="47" t="n">
        <f aca="false">R818*L818</f>
        <v>72468</v>
      </c>
      <c r="T818" s="47" t="n">
        <f aca="false">R818*J818</f>
        <v>219000</v>
      </c>
      <c r="U818" s="47" t="n">
        <f aca="false">R818*K818</f>
        <v>54900</v>
      </c>
      <c r="V818" s="0" t="str">
        <f aca="false">IF(COUNTIFS($A$2:A818,A818,$C$2:C818,C818,$D$2:D818,D818)&gt;1,"중복","")</f>
        <v/>
      </c>
      <c r="W818" s="0" t="n">
        <f aca="false">IF(V818="중복",0,N(D818))</f>
        <v>91</v>
      </c>
      <c r="X818" s="0" t="n">
        <f aca="false">IF(COUNTIFS($A$2:A818,A818,$C$2:C818,C818)=1,ABS(SUMIFS(RAW_발주!$D:$D,RAW_발주!$C:$C,A818,RAW_발주!$A:$A,C818)-SUMIFS($W:$W,$A:$A,A818,$C:$C,C818)),0)</f>
        <v>0</v>
      </c>
    </row>
    <row r="819" customFormat="false" ht="15" hidden="false" customHeight="true" outlineLevel="0" collapsed="false">
      <c r="A819" s="45" t="s">
        <v>1664</v>
      </c>
      <c r="B819" s="42" t="str">
        <f aca="false">IF(A819="100","HK",IF(A819="200","CN",IF(A819="300","TW","홀세일")))</f>
        <v>홀세일</v>
      </c>
      <c r="C819" s="45" t="s">
        <v>426</v>
      </c>
      <c r="D819" s="46" t="n">
        <v>50</v>
      </c>
      <c r="E819" s="46" t="n">
        <v>219000</v>
      </c>
      <c r="F819" s="46" t="n">
        <v>54900</v>
      </c>
      <c r="G819" s="42" t="n">
        <v>4.01</v>
      </c>
      <c r="H819" s="42" t="n">
        <v>54.9</v>
      </c>
      <c r="I819" s="42" t="n">
        <v>0</v>
      </c>
      <c r="J819" s="46" t="n">
        <f aca="false">IF(N(E819)&gt;0,E819,IF(N(F819)&gt;0,F819*요약!$F$27,0))</f>
        <v>219000</v>
      </c>
      <c r="K819" s="46" t="n">
        <f aca="false">IF(N(F819)&gt;0,F819,IF(N(E819)&gt;0,E819/요약!$F$27,0))</f>
        <v>54900</v>
      </c>
      <c r="L819" s="46" t="n">
        <f aca="false">IF(B819="CN",IF(N(I819)&gt;0,I819*요약!$G$27,K819*(1+요약!$E$27)),IF(N(H819)&gt;0,H819*요약!$G$27,J819*요약!$D$27))</f>
        <v>72468</v>
      </c>
      <c r="M819" s="46" t="n">
        <f aca="false">D819*J819</f>
        <v>10950000</v>
      </c>
      <c r="N819" s="46" t="n">
        <f aca="false">D819*K819</f>
        <v>2745000</v>
      </c>
      <c r="O819" s="46" t="n">
        <f aca="false">D819*L819</f>
        <v>3623400</v>
      </c>
      <c r="P819" s="42" t="str">
        <f aca="false">TRIM(IF(N(E819)&lt;=0,"택가보정 ","")&amp;IF(N(F819)&lt;=0,"원가보정 ","")&amp;IF(AND(B819&lt;&gt;"CN",N(H819)&lt;=0),"공급가보정 ","")&amp;IF(AND(B819="CN",N(I819)&lt;=0),"중국공급가=원가+마진 ",""))</f>
        <v/>
      </c>
      <c r="Q819" s="47" t="n">
        <f aca="false">IF(SUMIFS($W:$W,$A:$A,A819,$C:$C,C819)=0,0,SUMIFS(RAW_판매펀칭!$K:$K,RAW_판매펀칭!$P:$P,A819,RAW_판매펀칭!$I:$I,C819)*W819/SUMIFS($W:$W,$A:$A,A819,$C:$C,C819))</f>
        <v>0</v>
      </c>
      <c r="R819" s="47" t="n">
        <f aca="false">IF(OR(A819="500",A819="800",A819="810"),0,MAX(W819-Q819,0))</f>
        <v>0</v>
      </c>
      <c r="S819" s="47" t="n">
        <f aca="false">R819*L819</f>
        <v>0</v>
      </c>
      <c r="T819" s="47" t="n">
        <f aca="false">R819*J819</f>
        <v>0</v>
      </c>
      <c r="U819" s="47" t="n">
        <f aca="false">R819*K819</f>
        <v>0</v>
      </c>
      <c r="V819" s="0" t="str">
        <f aca="false">IF(COUNTIFS($A$2:A819,A819,$C$2:C819,C819,$D$2:D819,D819)&gt;1,"중복","")</f>
        <v/>
      </c>
      <c r="W819" s="0" t="n">
        <f aca="false">IF(V819="중복",0,N(D819))</f>
        <v>50</v>
      </c>
      <c r="X819" s="0" t="n">
        <f aca="false">IF(COUNTIFS($A$2:A819,A819,$C$2:C819,C819)=1,ABS(SUMIFS(RAW_발주!$D:$D,RAW_발주!$C:$C,A819,RAW_발주!$A:$A,C819)-SUMIFS($W:$W,$A:$A,A819,$C:$C,C819)),0)</f>
        <v>0</v>
      </c>
    </row>
    <row r="820" customFormat="false" ht="15" hidden="false" customHeight="true" outlineLevel="0" collapsed="false">
      <c r="A820" s="45" t="s">
        <v>1659</v>
      </c>
      <c r="B820" s="42" t="str">
        <f aca="false">IF(A820="100","HK",IF(A820="200","CN",IF(A820="300","TW","홀세일")))</f>
        <v>HK</v>
      </c>
      <c r="C820" s="45" t="s">
        <v>886</v>
      </c>
      <c r="D820" s="46" t="n">
        <v>90</v>
      </c>
      <c r="E820" s="46" t="n">
        <v>399000</v>
      </c>
      <c r="F820" s="46" t="n">
        <v>89800</v>
      </c>
      <c r="G820" s="42" t="n">
        <v>3.5</v>
      </c>
      <c r="H820" s="42" t="n">
        <v>99.9</v>
      </c>
      <c r="I820" s="42" t="n">
        <v>0</v>
      </c>
      <c r="J820" s="46" t="n">
        <f aca="false">IF(N(E820)&gt;0,E820,IF(N(F820)&gt;0,F820*요약!$F$27,0))</f>
        <v>399000</v>
      </c>
      <c r="K820" s="46" t="n">
        <f aca="false">IF(N(F820)&gt;0,F820,IF(N(E820)&gt;0,E820/요약!$F$27,0))</f>
        <v>89800</v>
      </c>
      <c r="L820" s="46" t="n">
        <f aca="false">IF(B820="CN",IF(N(I820)&gt;0,I820*요약!$G$27,K820*(1+요약!$E$27)),IF(N(H820)&gt;0,H820*요약!$G$27,J820*요약!$D$27))</f>
        <v>131868</v>
      </c>
      <c r="M820" s="46" t="n">
        <f aca="false">D820*J820</f>
        <v>35910000</v>
      </c>
      <c r="N820" s="46" t="n">
        <f aca="false">D820*K820</f>
        <v>8082000</v>
      </c>
      <c r="O820" s="46" t="n">
        <f aca="false">D820*L820</f>
        <v>11868120</v>
      </c>
      <c r="P820" s="42" t="str">
        <f aca="false">TRIM(IF(N(E820)&lt;=0,"택가보정 ","")&amp;IF(N(F820)&lt;=0,"원가보정 ","")&amp;IF(AND(B820&lt;&gt;"CN",N(H820)&lt;=0),"공급가보정 ","")&amp;IF(AND(B820="CN",N(I820)&lt;=0),"중국공급가=원가+마진 ",""))</f>
        <v/>
      </c>
      <c r="Q820" s="47" t="n">
        <f aca="false">IF(SUMIFS($W:$W,$A:$A,A820,$C:$C,C820)=0,0,SUMIFS(RAW_판매펀칭!$K:$K,RAW_판매펀칭!$P:$P,A820,RAW_판매펀칭!$I:$I,C820)*W820/SUMIFS($W:$W,$A:$A,A820,$C:$C,C820))</f>
        <v>90</v>
      </c>
      <c r="R820" s="47" t="n">
        <f aca="false">IF(OR(A820="500",A820="800",A820="810"),0,MAX(W820-Q820,0))</f>
        <v>0</v>
      </c>
      <c r="S820" s="47" t="n">
        <f aca="false">R820*L820</f>
        <v>0</v>
      </c>
      <c r="T820" s="47" t="n">
        <f aca="false">R820*J820</f>
        <v>0</v>
      </c>
      <c r="U820" s="47" t="n">
        <f aca="false">R820*K820</f>
        <v>0</v>
      </c>
      <c r="V820" s="0" t="str">
        <f aca="false">IF(COUNTIFS($A$2:A820,A820,$C$2:C820,C820,$D$2:D820,D820)&gt;1,"중복","")</f>
        <v/>
      </c>
      <c r="W820" s="0" t="n">
        <f aca="false">IF(V820="중복",0,N(D820))</f>
        <v>90</v>
      </c>
      <c r="X820" s="0" t="n">
        <f aca="false">IF(COUNTIFS($A$2:A820,A820,$C$2:C820,C820)=1,ABS(SUMIFS(RAW_발주!$D:$D,RAW_발주!$C:$C,A820,RAW_발주!$A:$A,C820)-SUMIFS($W:$W,$A:$A,A820,$C:$C,C820)),0)</f>
        <v>0</v>
      </c>
    </row>
    <row r="821" customFormat="false" ht="15" hidden="false" customHeight="true" outlineLevel="0" collapsed="false">
      <c r="A821" s="45" t="s">
        <v>1659</v>
      </c>
      <c r="B821" s="42" t="str">
        <f aca="false">IF(A821="100","HK",IF(A821="200","CN",IF(A821="300","TW","홀세일")))</f>
        <v>HK</v>
      </c>
      <c r="C821" s="45" t="s">
        <v>888</v>
      </c>
      <c r="D821" s="46" t="n">
        <v>160</v>
      </c>
      <c r="E821" s="46" t="n">
        <v>159000</v>
      </c>
      <c r="F821" s="46" t="n">
        <v>36000</v>
      </c>
      <c r="G821" s="42" t="n">
        <v>2.99</v>
      </c>
      <c r="H821" s="42" t="n">
        <v>37.4</v>
      </c>
      <c r="I821" s="42" t="n">
        <v>0</v>
      </c>
      <c r="J821" s="46" t="n">
        <f aca="false">IF(N(E821)&gt;0,E821,IF(N(F821)&gt;0,F821*요약!$F$27,0))</f>
        <v>159000</v>
      </c>
      <c r="K821" s="46" t="n">
        <f aca="false">IF(N(F821)&gt;0,F821,IF(N(E821)&gt;0,E821/요약!$F$27,0))</f>
        <v>36000</v>
      </c>
      <c r="L821" s="46" t="n">
        <f aca="false">IF(B821="CN",IF(N(I821)&gt;0,I821*요약!$G$27,K821*(1+요약!$E$27)),IF(N(H821)&gt;0,H821*요약!$G$27,J821*요약!$D$27))</f>
        <v>49368</v>
      </c>
      <c r="M821" s="46" t="n">
        <f aca="false">D821*J821</f>
        <v>25440000</v>
      </c>
      <c r="N821" s="46" t="n">
        <f aca="false">D821*K821</f>
        <v>5760000</v>
      </c>
      <c r="O821" s="46" t="n">
        <f aca="false">D821*L821</f>
        <v>7898880</v>
      </c>
      <c r="P821" s="42" t="str">
        <f aca="false">TRIM(IF(N(E821)&lt;=0,"택가보정 ","")&amp;IF(N(F821)&lt;=0,"원가보정 ","")&amp;IF(AND(B821&lt;&gt;"CN",N(H821)&lt;=0),"공급가보정 ","")&amp;IF(AND(B821="CN",N(I821)&lt;=0),"중국공급가=원가+마진 ",""))</f>
        <v/>
      </c>
      <c r="Q821" s="47" t="n">
        <f aca="false">IF(SUMIFS($W:$W,$A:$A,A821,$C:$C,C821)=0,0,SUMIFS(RAW_판매펀칭!$K:$K,RAW_판매펀칭!$P:$P,A821,RAW_판매펀칭!$I:$I,C821)*W821/SUMIFS($W:$W,$A:$A,A821,$C:$C,C821))</f>
        <v>160</v>
      </c>
      <c r="R821" s="47" t="n">
        <f aca="false">IF(OR(A821="500",A821="800",A821="810"),0,MAX(W821-Q821,0))</f>
        <v>0</v>
      </c>
      <c r="S821" s="47" t="n">
        <f aca="false">R821*L821</f>
        <v>0</v>
      </c>
      <c r="T821" s="47" t="n">
        <f aca="false">R821*J821</f>
        <v>0</v>
      </c>
      <c r="U821" s="47" t="n">
        <f aca="false">R821*K821</f>
        <v>0</v>
      </c>
      <c r="V821" s="0" t="str">
        <f aca="false">IF(COUNTIFS($A$2:A821,A821,$C$2:C821,C821,$D$2:D821,D821)&gt;1,"중복","")</f>
        <v/>
      </c>
      <c r="W821" s="0" t="n">
        <f aca="false">IF(V821="중복",0,N(D821))</f>
        <v>160</v>
      </c>
      <c r="X821" s="0" t="n">
        <f aca="false">IF(COUNTIFS($A$2:A821,A821,$C$2:C821,C821)=1,ABS(SUMIFS(RAW_발주!$D:$D,RAW_발주!$C:$C,A821,RAW_발주!$A:$A,C821)-SUMIFS($W:$W,$A:$A,A821,$C:$C,C821)),0)</f>
        <v>0</v>
      </c>
    </row>
    <row r="822" customFormat="false" ht="15" hidden="false" customHeight="true" outlineLevel="0" collapsed="false">
      <c r="A822" s="45" t="s">
        <v>1663</v>
      </c>
      <c r="B822" s="42" t="str">
        <f aca="false">IF(A822="100","HK",IF(A822="200","CN",IF(A822="300","TW","홀세일")))</f>
        <v>홀세일</v>
      </c>
      <c r="C822" s="45" t="s">
        <v>888</v>
      </c>
      <c r="D822" s="46" t="n">
        <v>90</v>
      </c>
      <c r="E822" s="46" t="n">
        <v>159000</v>
      </c>
      <c r="F822" s="46" t="n">
        <v>36000</v>
      </c>
      <c r="G822" s="42" t="n">
        <v>2.99</v>
      </c>
      <c r="H822" s="42" t="n">
        <v>37.4</v>
      </c>
      <c r="I822" s="42" t="n">
        <v>0</v>
      </c>
      <c r="J822" s="46" t="n">
        <f aca="false">IF(N(E822)&gt;0,E822,IF(N(F822)&gt;0,F822*요약!$F$27,0))</f>
        <v>159000</v>
      </c>
      <c r="K822" s="46" t="n">
        <f aca="false">IF(N(F822)&gt;0,F822,IF(N(E822)&gt;0,E822/요약!$F$27,0))</f>
        <v>36000</v>
      </c>
      <c r="L822" s="46" t="n">
        <f aca="false">IF(B822="CN",IF(N(I822)&gt;0,I822*요약!$G$27,K822*(1+요약!$E$27)),IF(N(H822)&gt;0,H822*요약!$G$27,J822*요약!$D$27))</f>
        <v>49368</v>
      </c>
      <c r="M822" s="46" t="n">
        <f aca="false">D822*J822</f>
        <v>14310000</v>
      </c>
      <c r="N822" s="46" t="n">
        <f aca="false">D822*K822</f>
        <v>3240000</v>
      </c>
      <c r="O822" s="46" t="n">
        <f aca="false">D822*L822</f>
        <v>4443120</v>
      </c>
      <c r="P822" s="42" t="str">
        <f aca="false">TRIM(IF(N(E822)&lt;=0,"택가보정 ","")&amp;IF(N(F822)&lt;=0,"원가보정 ","")&amp;IF(AND(B822&lt;&gt;"CN",N(H822)&lt;=0),"공급가보정 ","")&amp;IF(AND(B822="CN",N(I822)&lt;=0),"중국공급가=원가+마진 ",""))</f>
        <v/>
      </c>
      <c r="Q822" s="47" t="n">
        <f aca="false">IF(SUMIFS($W:$W,$A:$A,A822,$C:$C,C822)=0,0,SUMIFS(RAW_판매펀칭!$K:$K,RAW_판매펀칭!$P:$P,A822,RAW_판매펀칭!$I:$I,C822)*W822/SUMIFS($W:$W,$A:$A,A822,$C:$C,C822))</f>
        <v>90</v>
      </c>
      <c r="R822" s="47" t="n">
        <f aca="false">IF(OR(A822="500",A822="800",A822="810"),0,MAX(W822-Q822,0))</f>
        <v>0</v>
      </c>
      <c r="S822" s="47" t="n">
        <f aca="false">R822*L822</f>
        <v>0</v>
      </c>
      <c r="T822" s="47" t="n">
        <f aca="false">R822*J822</f>
        <v>0</v>
      </c>
      <c r="U822" s="47" t="n">
        <f aca="false">R822*K822</f>
        <v>0</v>
      </c>
      <c r="V822" s="0" t="str">
        <f aca="false">IF(COUNTIFS($A$2:A822,A822,$C$2:C822,C822,$D$2:D822,D822)&gt;1,"중복","")</f>
        <v/>
      </c>
      <c r="W822" s="0" t="n">
        <f aca="false">IF(V822="중복",0,N(D822))</f>
        <v>90</v>
      </c>
      <c r="X822" s="0" t="n">
        <f aca="false">IF(COUNTIFS($A$2:A822,A822,$C$2:C822,C822)=1,ABS(SUMIFS(RAW_발주!$D:$D,RAW_발주!$C:$C,A822,RAW_발주!$A:$A,C822)-SUMIFS($W:$W,$A:$A,A822,$C:$C,C822)),0)</f>
        <v>0</v>
      </c>
    </row>
    <row r="823" customFormat="false" ht="15" hidden="false" customHeight="true" outlineLevel="0" collapsed="false">
      <c r="A823" s="45" t="s">
        <v>1659</v>
      </c>
      <c r="B823" s="42" t="str">
        <f aca="false">IF(A823="100","HK",IF(A823="200","CN",IF(A823="300","TW","홀세일")))</f>
        <v>HK</v>
      </c>
      <c r="C823" s="45" t="s">
        <v>428</v>
      </c>
      <c r="D823" s="46" t="n">
        <v>360</v>
      </c>
      <c r="E823" s="46" t="n">
        <v>189000</v>
      </c>
      <c r="F823" s="46" t="n">
        <v>42002</v>
      </c>
      <c r="G823" s="42" t="n">
        <v>4.34</v>
      </c>
      <c r="H823" s="42" t="n">
        <v>44.5</v>
      </c>
      <c r="I823" s="42" t="n">
        <v>34.7</v>
      </c>
      <c r="J823" s="46" t="n">
        <f aca="false">IF(N(E823)&gt;0,E823,IF(N(F823)&gt;0,F823*요약!$F$27,0))</f>
        <v>189000</v>
      </c>
      <c r="K823" s="46" t="n">
        <f aca="false">IF(N(F823)&gt;0,F823,IF(N(E823)&gt;0,E823/요약!$F$27,0))</f>
        <v>42002</v>
      </c>
      <c r="L823" s="46" t="n">
        <f aca="false">IF(B823="CN",IF(N(I823)&gt;0,I823*요약!$G$27,K823*(1+요약!$E$27)),IF(N(H823)&gt;0,H823*요약!$G$27,J823*요약!$D$27))</f>
        <v>58740</v>
      </c>
      <c r="M823" s="46" t="n">
        <f aca="false">D823*J823</f>
        <v>68040000</v>
      </c>
      <c r="N823" s="46" t="n">
        <f aca="false">D823*K823</f>
        <v>15120720</v>
      </c>
      <c r="O823" s="46" t="n">
        <f aca="false">D823*L823</f>
        <v>21146400</v>
      </c>
      <c r="P823" s="42" t="str">
        <f aca="false">TRIM(IF(N(E823)&lt;=0,"택가보정 ","")&amp;IF(N(F823)&lt;=0,"원가보정 ","")&amp;IF(AND(B823&lt;&gt;"CN",N(H823)&lt;=0),"공급가보정 ","")&amp;IF(AND(B823="CN",N(I823)&lt;=0),"중국공급가=원가+마진 ",""))</f>
        <v/>
      </c>
      <c r="Q823" s="47" t="n">
        <f aca="false">IF(SUMIFS($W:$W,$A:$A,A823,$C:$C,C823)=0,0,SUMIFS(RAW_판매펀칭!$K:$K,RAW_판매펀칭!$P:$P,A823,RAW_판매펀칭!$I:$I,C823)*W823/SUMIFS($W:$W,$A:$A,A823,$C:$C,C823))</f>
        <v>360</v>
      </c>
      <c r="R823" s="47" t="n">
        <f aca="false">IF(OR(A823="500",A823="800",A823="810"),0,MAX(W823-Q823,0))</f>
        <v>0</v>
      </c>
      <c r="S823" s="47" t="n">
        <f aca="false">R823*L823</f>
        <v>0</v>
      </c>
      <c r="T823" s="47" t="n">
        <f aca="false">R823*J823</f>
        <v>0</v>
      </c>
      <c r="U823" s="47" t="n">
        <f aca="false">R823*K823</f>
        <v>0</v>
      </c>
      <c r="V823" s="0" t="str">
        <f aca="false">IF(COUNTIFS($A$2:A823,A823,$C$2:C823,C823,$D$2:D823,D823)&gt;1,"중복","")</f>
        <v/>
      </c>
      <c r="W823" s="0" t="n">
        <f aca="false">IF(V823="중복",0,N(D823))</f>
        <v>360</v>
      </c>
      <c r="X823" s="0" t="n">
        <f aca="false">IF(COUNTIFS($A$2:A823,A823,$C$2:C823,C823)=1,ABS(SUMIFS(RAW_발주!$D:$D,RAW_발주!$C:$C,A823,RAW_발주!$A:$A,C823)-SUMIFS($W:$W,$A:$A,A823,$C:$C,C823)),0)</f>
        <v>0</v>
      </c>
    </row>
    <row r="824" customFormat="false" ht="15" hidden="false" customHeight="true" outlineLevel="0" collapsed="false">
      <c r="A824" s="45" t="s">
        <v>1660</v>
      </c>
      <c r="B824" s="42" t="str">
        <f aca="false">IF(A824="100","HK",IF(A824="200","CN",IF(A824="300","TW","홀세일")))</f>
        <v>CN</v>
      </c>
      <c r="C824" s="45" t="s">
        <v>428</v>
      </c>
      <c r="D824" s="46" t="n">
        <v>530</v>
      </c>
      <c r="E824" s="46" t="n">
        <v>189000</v>
      </c>
      <c r="F824" s="46" t="n">
        <v>42002</v>
      </c>
      <c r="G824" s="42" t="n">
        <v>4.34</v>
      </c>
      <c r="H824" s="42" t="n">
        <v>44.5</v>
      </c>
      <c r="I824" s="42" t="n">
        <v>34.7</v>
      </c>
      <c r="J824" s="46" t="n">
        <f aca="false">IF(N(E824)&gt;0,E824,IF(N(F824)&gt;0,F824*요약!$F$27,0))</f>
        <v>189000</v>
      </c>
      <c r="K824" s="46" t="n">
        <f aca="false">IF(N(F824)&gt;0,F824,IF(N(E824)&gt;0,E824/요약!$F$27,0))</f>
        <v>42002</v>
      </c>
      <c r="L824" s="46" t="n">
        <f aca="false">IF(B824="CN",IF(N(I824)&gt;0,I824*요약!$G$27,K824*(1+요약!$E$27)),IF(N(H824)&gt;0,H824*요약!$G$27,J824*요약!$D$27))</f>
        <v>45804</v>
      </c>
      <c r="M824" s="46" t="n">
        <f aca="false">D824*J824</f>
        <v>100170000</v>
      </c>
      <c r="N824" s="46" t="n">
        <f aca="false">D824*K824</f>
        <v>22261060</v>
      </c>
      <c r="O824" s="46" t="n">
        <f aca="false">D824*L824</f>
        <v>24276120</v>
      </c>
      <c r="P824" s="42" t="str">
        <f aca="false">TRIM(IF(N(E824)&lt;=0,"택가보정 ","")&amp;IF(N(F824)&lt;=0,"원가보정 ","")&amp;IF(AND(B824&lt;&gt;"CN",N(H824)&lt;=0),"공급가보정 ","")&amp;IF(AND(B824="CN",N(I824)&lt;=0),"중국공급가=원가+마진 ",""))</f>
        <v/>
      </c>
      <c r="Q824" s="47" t="n">
        <f aca="false">IF(SUMIFS($W:$W,$A:$A,A824,$C:$C,C824)=0,0,SUMIFS(RAW_판매펀칭!$K:$K,RAW_판매펀칭!$P:$P,A824,RAW_판매펀칭!$I:$I,C824)*W824/SUMIFS($W:$W,$A:$A,A824,$C:$C,C824))</f>
        <v>513</v>
      </c>
      <c r="R824" s="47" t="n">
        <f aca="false">IF(OR(A824="500",A824="800",A824="810"),0,MAX(W824-Q824,0))</f>
        <v>17</v>
      </c>
      <c r="S824" s="47" t="n">
        <f aca="false">R824*L824</f>
        <v>778668</v>
      </c>
      <c r="T824" s="47" t="n">
        <f aca="false">R824*J824</f>
        <v>3213000</v>
      </c>
      <c r="U824" s="47" t="n">
        <f aca="false">R824*K824</f>
        <v>714034</v>
      </c>
      <c r="V824" s="0" t="str">
        <f aca="false">IF(COUNTIFS($A$2:A824,A824,$C$2:C824,C824,$D$2:D824,D824)&gt;1,"중복","")</f>
        <v/>
      </c>
      <c r="W824" s="0" t="n">
        <f aca="false">IF(V824="중복",0,N(D824))</f>
        <v>530</v>
      </c>
      <c r="X824" s="0" t="n">
        <f aca="false">IF(COUNTIFS($A$2:A824,A824,$C$2:C824,C824)=1,ABS(SUMIFS(RAW_발주!$D:$D,RAW_발주!$C:$C,A824,RAW_발주!$A:$A,C824)-SUMIFS($W:$W,$A:$A,A824,$C:$C,C824)),0)</f>
        <v>0</v>
      </c>
    </row>
    <row r="825" customFormat="false" ht="15" hidden="false" customHeight="true" outlineLevel="0" collapsed="false">
      <c r="A825" s="45" t="s">
        <v>1660</v>
      </c>
      <c r="B825" s="42" t="str">
        <f aca="false">IF(A825="100","HK",IF(A825="200","CN",IF(A825="300","TW","홀세일")))</f>
        <v>CN</v>
      </c>
      <c r="C825" s="45" t="s">
        <v>428</v>
      </c>
      <c r="D825" s="46" t="n">
        <v>530</v>
      </c>
      <c r="E825" s="46" t="n">
        <v>189000</v>
      </c>
      <c r="F825" s="46" t="n">
        <v>42002</v>
      </c>
      <c r="G825" s="42" t="n">
        <v>4.34</v>
      </c>
      <c r="H825" s="42" t="n">
        <v>44.5</v>
      </c>
      <c r="I825" s="42" t="n">
        <v>34.7</v>
      </c>
      <c r="J825" s="46" t="n">
        <f aca="false">IF(N(E825)&gt;0,E825,IF(N(F825)&gt;0,F825*요약!$F$27,0))</f>
        <v>189000</v>
      </c>
      <c r="K825" s="46" t="n">
        <f aca="false">IF(N(F825)&gt;0,F825,IF(N(E825)&gt;0,E825/요약!$F$27,0))</f>
        <v>42002</v>
      </c>
      <c r="L825" s="46" t="n">
        <f aca="false">IF(B825="CN",IF(N(I825)&gt;0,I825*요약!$G$27,K825*(1+요약!$E$27)),IF(N(H825)&gt;0,H825*요약!$G$27,J825*요약!$D$27))</f>
        <v>45804</v>
      </c>
      <c r="M825" s="46" t="n">
        <f aca="false">D825*J825</f>
        <v>100170000</v>
      </c>
      <c r="N825" s="46" t="n">
        <f aca="false">D825*K825</f>
        <v>22261060</v>
      </c>
      <c r="O825" s="46" t="n">
        <f aca="false">D825*L825</f>
        <v>24276120</v>
      </c>
      <c r="P825" s="42" t="str">
        <f aca="false">TRIM(IF(N(E825)&lt;=0,"택가보정 ","")&amp;IF(N(F825)&lt;=0,"원가보정 ","")&amp;IF(AND(B825&lt;&gt;"CN",N(H825)&lt;=0),"공급가보정 ","")&amp;IF(AND(B825="CN",N(I825)&lt;=0),"중국공급가=원가+마진 ",""))</f>
        <v/>
      </c>
      <c r="Q825" s="47" t="n">
        <f aca="false">IF(SUMIFS($W:$W,$A:$A,A825,$C:$C,C825)=0,0,SUMIFS(RAW_판매펀칭!$K:$K,RAW_판매펀칭!$P:$P,A825,RAW_판매펀칭!$I:$I,C825)*W825/SUMIFS($W:$W,$A:$A,A825,$C:$C,C825))</f>
        <v>0</v>
      </c>
      <c r="R825" s="47" t="n">
        <f aca="false">IF(OR(A825="500",A825="800",A825="810"),0,MAX(W825-Q825,0))</f>
        <v>0</v>
      </c>
      <c r="S825" s="47" t="n">
        <f aca="false">R825*L825</f>
        <v>0</v>
      </c>
      <c r="T825" s="47" t="n">
        <f aca="false">R825*J825</f>
        <v>0</v>
      </c>
      <c r="U825" s="47" t="n">
        <f aca="false">R825*K825</f>
        <v>0</v>
      </c>
      <c r="V825" s="0" t="str">
        <f aca="false">IF(COUNTIFS($A$2:A825,A825,$C$2:C825,C825,$D$2:D825,D825)&gt;1,"중복","")</f>
        <v>중복</v>
      </c>
      <c r="W825" s="0" t="n">
        <f aca="false">IF(V825="중복",0,N(D825))</f>
        <v>0</v>
      </c>
      <c r="X825" s="0" t="n">
        <f aca="false">IF(COUNTIFS($A$2:A825,A825,$C$2:C825,C825)=1,ABS(SUMIFS(RAW_발주!$D:$D,RAW_발주!$C:$C,A825,RAW_발주!$A:$A,C825)-SUMIFS($W:$W,$A:$A,A825,$C:$C,C825)),0)</f>
        <v>0</v>
      </c>
    </row>
    <row r="826" customFormat="false" ht="15" hidden="false" customHeight="true" outlineLevel="0" collapsed="false">
      <c r="A826" s="45" t="s">
        <v>1660</v>
      </c>
      <c r="B826" s="42" t="str">
        <f aca="false">IF(A826="100","HK",IF(A826="200","CN",IF(A826="300","TW","홀세일")))</f>
        <v>CN</v>
      </c>
      <c r="C826" s="45" t="s">
        <v>428</v>
      </c>
      <c r="D826" s="46" t="n">
        <v>530</v>
      </c>
      <c r="E826" s="46" t="n">
        <v>189000</v>
      </c>
      <c r="F826" s="46" t="n">
        <v>42002</v>
      </c>
      <c r="G826" s="42" t="n">
        <v>4.34</v>
      </c>
      <c r="H826" s="42" t="n">
        <v>44.5</v>
      </c>
      <c r="I826" s="42" t="n">
        <v>34.7</v>
      </c>
      <c r="J826" s="46" t="n">
        <f aca="false">IF(N(E826)&gt;0,E826,IF(N(F826)&gt;0,F826*요약!$F$27,0))</f>
        <v>189000</v>
      </c>
      <c r="K826" s="46" t="n">
        <f aca="false">IF(N(F826)&gt;0,F826,IF(N(E826)&gt;0,E826/요약!$F$27,0))</f>
        <v>42002</v>
      </c>
      <c r="L826" s="46" t="n">
        <f aca="false">IF(B826="CN",IF(N(I826)&gt;0,I826*요약!$G$27,K826*(1+요약!$E$27)),IF(N(H826)&gt;0,H826*요약!$G$27,J826*요약!$D$27))</f>
        <v>45804</v>
      </c>
      <c r="M826" s="46" t="n">
        <f aca="false">D826*J826</f>
        <v>100170000</v>
      </c>
      <c r="N826" s="46" t="n">
        <f aca="false">D826*K826</f>
        <v>22261060</v>
      </c>
      <c r="O826" s="46" t="n">
        <f aca="false">D826*L826</f>
        <v>24276120</v>
      </c>
      <c r="P826" s="42" t="str">
        <f aca="false">TRIM(IF(N(E826)&lt;=0,"택가보정 ","")&amp;IF(N(F826)&lt;=0,"원가보정 ","")&amp;IF(AND(B826&lt;&gt;"CN",N(H826)&lt;=0),"공급가보정 ","")&amp;IF(AND(B826="CN",N(I826)&lt;=0),"중국공급가=원가+마진 ",""))</f>
        <v/>
      </c>
      <c r="Q826" s="47" t="n">
        <f aca="false">IF(SUMIFS($W:$W,$A:$A,A826,$C:$C,C826)=0,0,SUMIFS(RAW_판매펀칭!$K:$K,RAW_판매펀칭!$P:$P,A826,RAW_판매펀칭!$I:$I,C826)*W826/SUMIFS($W:$W,$A:$A,A826,$C:$C,C826))</f>
        <v>0</v>
      </c>
      <c r="R826" s="47" t="n">
        <f aca="false">IF(OR(A826="500",A826="800",A826="810"),0,MAX(W826-Q826,0))</f>
        <v>0</v>
      </c>
      <c r="S826" s="47" t="n">
        <f aca="false">R826*L826</f>
        <v>0</v>
      </c>
      <c r="T826" s="47" t="n">
        <f aca="false">R826*J826</f>
        <v>0</v>
      </c>
      <c r="U826" s="47" t="n">
        <f aca="false">R826*K826</f>
        <v>0</v>
      </c>
      <c r="V826" s="0" t="str">
        <f aca="false">IF(COUNTIFS($A$2:A826,A826,$C$2:C826,C826,$D$2:D826,D826)&gt;1,"중복","")</f>
        <v>중복</v>
      </c>
      <c r="W826" s="0" t="n">
        <f aca="false">IF(V826="중복",0,N(D826))</f>
        <v>0</v>
      </c>
      <c r="X826" s="0" t="n">
        <f aca="false">IF(COUNTIFS($A$2:A826,A826,$C$2:C826,C826)=1,ABS(SUMIFS(RAW_발주!$D:$D,RAW_발주!$C:$C,A826,RAW_발주!$A:$A,C826)-SUMIFS($W:$W,$A:$A,A826,$C:$C,C826)),0)</f>
        <v>0</v>
      </c>
    </row>
    <row r="827" customFormat="false" ht="15" hidden="false" customHeight="true" outlineLevel="0" collapsed="false">
      <c r="A827" s="45" t="s">
        <v>1661</v>
      </c>
      <c r="B827" s="42" t="str">
        <f aca="false">IF(A827="100","HK",IF(A827="200","CN",IF(A827="300","TW","홀세일")))</f>
        <v>TW</v>
      </c>
      <c r="C827" s="45" t="s">
        <v>428</v>
      </c>
      <c r="D827" s="46" t="n">
        <v>560</v>
      </c>
      <c r="E827" s="46" t="n">
        <v>189000</v>
      </c>
      <c r="F827" s="46" t="n">
        <v>42002</v>
      </c>
      <c r="G827" s="42" t="n">
        <v>4.34</v>
      </c>
      <c r="H827" s="42" t="n">
        <v>44.5</v>
      </c>
      <c r="I827" s="42" t="n">
        <v>34.7</v>
      </c>
      <c r="J827" s="46" t="n">
        <f aca="false">IF(N(E827)&gt;0,E827,IF(N(F827)&gt;0,F827*요약!$F$27,0))</f>
        <v>189000</v>
      </c>
      <c r="K827" s="46" t="n">
        <f aca="false">IF(N(F827)&gt;0,F827,IF(N(E827)&gt;0,E827/요약!$F$27,0))</f>
        <v>42002</v>
      </c>
      <c r="L827" s="46" t="n">
        <f aca="false">IF(B827="CN",IF(N(I827)&gt;0,I827*요약!$G$27,K827*(1+요약!$E$27)),IF(N(H827)&gt;0,H827*요약!$G$27,J827*요약!$D$27))</f>
        <v>58740</v>
      </c>
      <c r="M827" s="46" t="n">
        <f aca="false">D827*J827</f>
        <v>105840000</v>
      </c>
      <c r="N827" s="46" t="n">
        <f aca="false">D827*K827</f>
        <v>23521120</v>
      </c>
      <c r="O827" s="46" t="n">
        <f aca="false">D827*L827</f>
        <v>32894400</v>
      </c>
      <c r="P827" s="42" t="str">
        <f aca="false">TRIM(IF(N(E827)&lt;=0,"택가보정 ","")&amp;IF(N(F827)&lt;=0,"원가보정 ","")&amp;IF(AND(B827&lt;&gt;"CN",N(H827)&lt;=0),"공급가보정 ","")&amp;IF(AND(B827="CN",N(I827)&lt;=0),"중국공급가=원가+마진 ",""))</f>
        <v/>
      </c>
      <c r="Q827" s="47" t="n">
        <f aca="false">IF(SUMIFS($W:$W,$A:$A,A827,$C:$C,C827)=0,0,SUMIFS(RAW_판매펀칭!$K:$K,RAW_판매펀칭!$P:$P,A827,RAW_판매펀칭!$I:$I,C827)*W827/SUMIFS($W:$W,$A:$A,A827,$C:$C,C827))</f>
        <v>560</v>
      </c>
      <c r="R827" s="47" t="n">
        <f aca="false">IF(OR(A827="500",A827="800",A827="810"),0,MAX(W827-Q827,0))</f>
        <v>0</v>
      </c>
      <c r="S827" s="47" t="n">
        <f aca="false">R827*L827</f>
        <v>0</v>
      </c>
      <c r="T827" s="47" t="n">
        <f aca="false">R827*J827</f>
        <v>0</v>
      </c>
      <c r="U827" s="47" t="n">
        <f aca="false">R827*K827</f>
        <v>0</v>
      </c>
      <c r="V827" s="0" t="str">
        <f aca="false">IF(COUNTIFS($A$2:A827,A827,$C$2:C827,C827,$D$2:D827,D827)&gt;1,"중복","")</f>
        <v/>
      </c>
      <c r="W827" s="0" t="n">
        <f aca="false">IF(V827="중복",0,N(D827))</f>
        <v>560</v>
      </c>
      <c r="X827" s="0" t="n">
        <f aca="false">IF(COUNTIFS($A$2:A827,A827,$C$2:C827,C827)=1,ABS(SUMIFS(RAW_발주!$D:$D,RAW_발주!$C:$C,A827,RAW_발주!$A:$A,C827)-SUMIFS($W:$W,$A:$A,A827,$C:$C,C827)),0)</f>
        <v>0</v>
      </c>
    </row>
    <row r="828" customFormat="false" ht="15" hidden="false" customHeight="true" outlineLevel="0" collapsed="false">
      <c r="A828" s="45" t="s">
        <v>1663</v>
      </c>
      <c r="B828" s="42" t="str">
        <f aca="false">IF(A828="100","HK",IF(A828="200","CN",IF(A828="300","TW","홀세일")))</f>
        <v>홀세일</v>
      </c>
      <c r="C828" s="45" t="s">
        <v>428</v>
      </c>
      <c r="D828" s="46" t="n">
        <v>50</v>
      </c>
      <c r="E828" s="46" t="n">
        <v>189000</v>
      </c>
      <c r="F828" s="46" t="n">
        <v>42002</v>
      </c>
      <c r="G828" s="42" t="n">
        <v>4.34</v>
      </c>
      <c r="H828" s="42" t="n">
        <v>44.5</v>
      </c>
      <c r="I828" s="42" t="n">
        <v>34.7</v>
      </c>
      <c r="J828" s="46" t="n">
        <f aca="false">IF(N(E828)&gt;0,E828,IF(N(F828)&gt;0,F828*요약!$F$27,0))</f>
        <v>189000</v>
      </c>
      <c r="K828" s="46" t="n">
        <f aca="false">IF(N(F828)&gt;0,F828,IF(N(E828)&gt;0,E828/요약!$F$27,0))</f>
        <v>42002</v>
      </c>
      <c r="L828" s="46" t="n">
        <f aca="false">IF(B828="CN",IF(N(I828)&gt;0,I828*요약!$G$27,K828*(1+요약!$E$27)),IF(N(H828)&gt;0,H828*요약!$G$27,J828*요약!$D$27))</f>
        <v>58740</v>
      </c>
      <c r="M828" s="46" t="n">
        <f aca="false">D828*J828</f>
        <v>9450000</v>
      </c>
      <c r="N828" s="46" t="n">
        <f aca="false">D828*K828</f>
        <v>2100100</v>
      </c>
      <c r="O828" s="46" t="n">
        <f aca="false">D828*L828</f>
        <v>2937000</v>
      </c>
      <c r="P828" s="42" t="str">
        <f aca="false">TRIM(IF(N(E828)&lt;=0,"택가보정 ","")&amp;IF(N(F828)&lt;=0,"원가보정 ","")&amp;IF(AND(B828&lt;&gt;"CN",N(H828)&lt;=0),"공급가보정 ","")&amp;IF(AND(B828="CN",N(I828)&lt;=0),"중국공급가=원가+마진 ",""))</f>
        <v/>
      </c>
      <c r="Q828" s="47" t="n">
        <f aca="false">IF(SUMIFS($W:$W,$A:$A,A828,$C:$C,C828)=0,0,SUMIFS(RAW_판매펀칭!$K:$K,RAW_판매펀칭!$P:$P,A828,RAW_판매펀칭!$I:$I,C828)*W828/SUMIFS($W:$W,$A:$A,A828,$C:$C,C828))</f>
        <v>50</v>
      </c>
      <c r="R828" s="47" t="n">
        <f aca="false">IF(OR(A828="500",A828="800",A828="810"),0,MAX(W828-Q828,0))</f>
        <v>0</v>
      </c>
      <c r="S828" s="47" t="n">
        <f aca="false">R828*L828</f>
        <v>0</v>
      </c>
      <c r="T828" s="47" t="n">
        <f aca="false">R828*J828</f>
        <v>0</v>
      </c>
      <c r="U828" s="47" t="n">
        <f aca="false">R828*K828</f>
        <v>0</v>
      </c>
      <c r="V828" s="0" t="str">
        <f aca="false">IF(COUNTIFS($A$2:A828,A828,$C$2:C828,C828,$D$2:D828,D828)&gt;1,"중복","")</f>
        <v/>
      </c>
      <c r="W828" s="0" t="n">
        <f aca="false">IF(V828="중복",0,N(D828))</f>
        <v>50</v>
      </c>
      <c r="X828" s="0" t="n">
        <f aca="false">IF(COUNTIFS($A$2:A828,A828,$C$2:C828,C828)=1,ABS(SUMIFS(RAW_발주!$D:$D,RAW_발주!$C:$C,A828,RAW_발주!$A:$A,C828)-SUMIFS($W:$W,$A:$A,A828,$C:$C,C828)),0)</f>
        <v>0</v>
      </c>
    </row>
    <row r="829" customFormat="false" ht="15" hidden="false" customHeight="true" outlineLevel="0" collapsed="false">
      <c r="A829" s="45" t="s">
        <v>1667</v>
      </c>
      <c r="B829" s="42" t="str">
        <f aca="false">IF(A829="100","HK",IF(A829="200","CN",IF(A829="300","TW","홀세일")))</f>
        <v>홀세일</v>
      </c>
      <c r="C829" s="45" t="s">
        <v>428</v>
      </c>
      <c r="D829" s="46" t="n">
        <v>323</v>
      </c>
      <c r="E829" s="46" t="n">
        <v>189000</v>
      </c>
      <c r="F829" s="46" t="n">
        <v>42002</v>
      </c>
      <c r="G829" s="42" t="n">
        <v>4.34</v>
      </c>
      <c r="H829" s="42" t="n">
        <v>44.5</v>
      </c>
      <c r="I829" s="42" t="n">
        <v>34.7</v>
      </c>
      <c r="J829" s="46" t="n">
        <f aca="false">IF(N(E829)&gt;0,E829,IF(N(F829)&gt;0,F829*요약!$F$27,0))</f>
        <v>189000</v>
      </c>
      <c r="K829" s="46" t="n">
        <f aca="false">IF(N(F829)&gt;0,F829,IF(N(E829)&gt;0,E829/요약!$F$27,0))</f>
        <v>42002</v>
      </c>
      <c r="L829" s="46" t="n">
        <f aca="false">IF(B829="CN",IF(N(I829)&gt;0,I829*요약!$G$27,K829*(1+요약!$E$27)),IF(N(H829)&gt;0,H829*요약!$G$27,J829*요약!$D$27))</f>
        <v>58740</v>
      </c>
      <c r="M829" s="46" t="n">
        <f aca="false">D829*J829</f>
        <v>61047000</v>
      </c>
      <c r="N829" s="46" t="n">
        <f aca="false">D829*K829</f>
        <v>13566646</v>
      </c>
      <c r="O829" s="46" t="n">
        <f aca="false">D829*L829</f>
        <v>18973020</v>
      </c>
      <c r="P829" s="42" t="str">
        <f aca="false">TRIM(IF(N(E829)&lt;=0,"택가보정 ","")&amp;IF(N(F829)&lt;=0,"원가보정 ","")&amp;IF(AND(B829&lt;&gt;"CN",N(H829)&lt;=0),"공급가보정 ","")&amp;IF(AND(B829="CN",N(I829)&lt;=0),"중국공급가=원가+마진 ",""))</f>
        <v/>
      </c>
      <c r="Q829" s="47" t="n">
        <f aca="false">IF(SUMIFS($W:$W,$A:$A,A829,$C:$C,C829)=0,0,SUMIFS(RAW_판매펀칭!$K:$K,RAW_판매펀칭!$P:$P,A829,RAW_판매펀칭!$I:$I,C829)*W829/SUMIFS($W:$W,$A:$A,A829,$C:$C,C829))</f>
        <v>320</v>
      </c>
      <c r="R829" s="47" t="n">
        <f aca="false">IF(OR(A829="500",A829="800",A829="810"),0,MAX(W829-Q829,0))</f>
        <v>3</v>
      </c>
      <c r="S829" s="47" t="n">
        <f aca="false">R829*L829</f>
        <v>176220</v>
      </c>
      <c r="T829" s="47" t="n">
        <f aca="false">R829*J829</f>
        <v>567000</v>
      </c>
      <c r="U829" s="47" t="n">
        <f aca="false">R829*K829</f>
        <v>126006</v>
      </c>
      <c r="V829" s="0" t="str">
        <f aca="false">IF(COUNTIFS($A$2:A829,A829,$C$2:C829,C829,$D$2:D829,D829)&gt;1,"중복","")</f>
        <v/>
      </c>
      <c r="W829" s="0" t="n">
        <f aca="false">IF(V829="중복",0,N(D829))</f>
        <v>323</v>
      </c>
      <c r="X829" s="0" t="n">
        <f aca="false">IF(COUNTIFS($A$2:A829,A829,$C$2:C829,C829)=1,ABS(SUMIFS(RAW_발주!$D:$D,RAW_발주!$C:$C,A829,RAW_발주!$A:$A,C829)-SUMIFS($W:$W,$A:$A,A829,$C:$C,C829)),0)</f>
        <v>0</v>
      </c>
    </row>
    <row r="830" customFormat="false" ht="15" hidden="false" customHeight="true" outlineLevel="0" collapsed="false">
      <c r="A830" s="45" t="s">
        <v>1665</v>
      </c>
      <c r="B830" s="42" t="str">
        <f aca="false">IF(A830="100","HK",IF(A830="200","CN",IF(A830="300","TW","홀세일")))</f>
        <v>홀세일</v>
      </c>
      <c r="C830" s="45" t="s">
        <v>428</v>
      </c>
      <c r="D830" s="46" t="n">
        <v>216</v>
      </c>
      <c r="E830" s="46" t="n">
        <v>189000</v>
      </c>
      <c r="F830" s="46" t="n">
        <v>42002</v>
      </c>
      <c r="G830" s="42" t="n">
        <v>4.34</v>
      </c>
      <c r="H830" s="42" t="n">
        <v>44.5</v>
      </c>
      <c r="I830" s="42" t="n">
        <v>34.7</v>
      </c>
      <c r="J830" s="46" t="n">
        <f aca="false">IF(N(E830)&gt;0,E830,IF(N(F830)&gt;0,F830*요약!$F$27,0))</f>
        <v>189000</v>
      </c>
      <c r="K830" s="46" t="n">
        <f aca="false">IF(N(F830)&gt;0,F830,IF(N(E830)&gt;0,E830/요약!$F$27,0))</f>
        <v>42002</v>
      </c>
      <c r="L830" s="46" t="n">
        <f aca="false">IF(B830="CN",IF(N(I830)&gt;0,I830*요약!$G$27,K830*(1+요약!$E$27)),IF(N(H830)&gt;0,H830*요약!$G$27,J830*요약!$D$27))</f>
        <v>58740</v>
      </c>
      <c r="M830" s="46" t="n">
        <f aca="false">D830*J830</f>
        <v>40824000</v>
      </c>
      <c r="N830" s="46" t="n">
        <f aca="false">D830*K830</f>
        <v>9072432</v>
      </c>
      <c r="O830" s="46" t="n">
        <f aca="false">D830*L830</f>
        <v>12687840</v>
      </c>
      <c r="P830" s="42" t="str">
        <f aca="false">TRIM(IF(N(E830)&lt;=0,"택가보정 ","")&amp;IF(N(F830)&lt;=0,"원가보정 ","")&amp;IF(AND(B830&lt;&gt;"CN",N(H830)&lt;=0),"공급가보정 ","")&amp;IF(AND(B830="CN",N(I830)&lt;=0),"중국공급가=원가+마진 ",""))</f>
        <v/>
      </c>
      <c r="Q830" s="47" t="n">
        <f aca="false">IF(SUMIFS($W:$W,$A:$A,A830,$C:$C,C830)=0,0,SUMIFS(RAW_판매펀칭!$K:$K,RAW_판매펀칭!$P:$P,A830,RAW_판매펀칭!$I:$I,C830)*W830/SUMIFS($W:$W,$A:$A,A830,$C:$C,C830))</f>
        <v>0</v>
      </c>
      <c r="R830" s="47" t="n">
        <f aca="false">IF(OR(A830="500",A830="800",A830="810"),0,MAX(W830-Q830,0))</f>
        <v>0</v>
      </c>
      <c r="S830" s="47" t="n">
        <f aca="false">R830*L830</f>
        <v>0</v>
      </c>
      <c r="T830" s="47" t="n">
        <f aca="false">R830*J830</f>
        <v>0</v>
      </c>
      <c r="U830" s="47" t="n">
        <f aca="false">R830*K830</f>
        <v>0</v>
      </c>
      <c r="V830" s="0" t="str">
        <f aca="false">IF(COUNTIFS($A$2:A830,A830,$C$2:C830,C830,$D$2:D830,D830)&gt;1,"중복","")</f>
        <v/>
      </c>
      <c r="W830" s="0" t="n">
        <f aca="false">IF(V830="중복",0,N(D830))</f>
        <v>216</v>
      </c>
      <c r="X830" s="0" t="n">
        <f aca="false">IF(COUNTIFS($A$2:A830,A830,$C$2:C830,C830)=1,ABS(SUMIFS(RAW_발주!$D:$D,RAW_발주!$C:$C,A830,RAW_발주!$A:$A,C830)-SUMIFS($W:$W,$A:$A,A830,$C:$C,C830)),0)</f>
        <v>0</v>
      </c>
    </row>
    <row r="831" customFormat="false" ht="15" hidden="false" customHeight="true" outlineLevel="0" collapsed="false">
      <c r="A831" s="45" t="s">
        <v>1663</v>
      </c>
      <c r="B831" s="42" t="str">
        <f aca="false">IF(A831="100","HK",IF(A831="200","CN",IF(A831="300","TW","홀세일")))</f>
        <v>홀세일</v>
      </c>
      <c r="C831" s="45" t="s">
        <v>1322</v>
      </c>
      <c r="D831" s="46" t="n">
        <v>35</v>
      </c>
      <c r="E831" s="46" t="n">
        <v>159000</v>
      </c>
      <c r="F831" s="46" t="n">
        <v>40000</v>
      </c>
      <c r="G831" s="42" t="n">
        <v>3.73</v>
      </c>
      <c r="H831" s="42" t="n">
        <v>37.4</v>
      </c>
      <c r="I831" s="42" t="n">
        <v>0</v>
      </c>
      <c r="J831" s="46" t="n">
        <f aca="false">IF(N(E831)&gt;0,E831,IF(N(F831)&gt;0,F831*요약!$F$27,0))</f>
        <v>159000</v>
      </c>
      <c r="K831" s="46" t="n">
        <f aca="false">IF(N(F831)&gt;0,F831,IF(N(E831)&gt;0,E831/요약!$F$27,0))</f>
        <v>40000</v>
      </c>
      <c r="L831" s="46" t="n">
        <f aca="false">IF(B831="CN",IF(N(I831)&gt;0,I831*요약!$G$27,K831*(1+요약!$E$27)),IF(N(H831)&gt;0,H831*요약!$G$27,J831*요약!$D$27))</f>
        <v>49368</v>
      </c>
      <c r="M831" s="46" t="n">
        <f aca="false">D831*J831</f>
        <v>5565000</v>
      </c>
      <c r="N831" s="46" t="n">
        <f aca="false">D831*K831</f>
        <v>1400000</v>
      </c>
      <c r="O831" s="46" t="n">
        <f aca="false">D831*L831</f>
        <v>1727880</v>
      </c>
      <c r="P831" s="42" t="str">
        <f aca="false">TRIM(IF(N(E831)&lt;=0,"택가보정 ","")&amp;IF(N(F831)&lt;=0,"원가보정 ","")&amp;IF(AND(B831&lt;&gt;"CN",N(H831)&lt;=0),"공급가보정 ","")&amp;IF(AND(B831="CN",N(I831)&lt;=0),"중국공급가=원가+마진 ",""))</f>
        <v/>
      </c>
      <c r="Q831" s="47" t="n">
        <f aca="false">IF(SUMIFS($W:$W,$A:$A,A831,$C:$C,C831)=0,0,SUMIFS(RAW_판매펀칭!$K:$K,RAW_판매펀칭!$P:$P,A831,RAW_판매펀칭!$I:$I,C831)*W831/SUMIFS($W:$W,$A:$A,A831,$C:$C,C831))</f>
        <v>35</v>
      </c>
      <c r="R831" s="47" t="n">
        <f aca="false">IF(OR(A831="500",A831="800",A831="810"),0,MAX(W831-Q831,0))</f>
        <v>0</v>
      </c>
      <c r="S831" s="47" t="n">
        <f aca="false">R831*L831</f>
        <v>0</v>
      </c>
      <c r="T831" s="47" t="n">
        <f aca="false">R831*J831</f>
        <v>0</v>
      </c>
      <c r="U831" s="47" t="n">
        <f aca="false">R831*K831</f>
        <v>0</v>
      </c>
      <c r="V831" s="0" t="str">
        <f aca="false">IF(COUNTIFS($A$2:A831,A831,$C$2:C831,C831,$D$2:D831,D831)&gt;1,"중복","")</f>
        <v/>
      </c>
      <c r="W831" s="0" t="n">
        <f aca="false">IF(V831="중복",0,N(D831))</f>
        <v>35</v>
      </c>
      <c r="X831" s="0" t="n">
        <f aca="false">IF(COUNTIFS($A$2:A831,A831,$C$2:C831,C831)=1,ABS(SUMIFS(RAW_발주!$D:$D,RAW_발주!$C:$C,A831,RAW_발주!$A:$A,C831)-SUMIFS($W:$W,$A:$A,A831,$C:$C,C831)),0)</f>
        <v>0</v>
      </c>
    </row>
    <row r="832" customFormat="false" ht="15" hidden="false" customHeight="true" outlineLevel="0" collapsed="false">
      <c r="A832" s="45" t="s">
        <v>1659</v>
      </c>
      <c r="B832" s="42" t="str">
        <f aca="false">IF(A832="100","HK",IF(A832="200","CN",IF(A832="300","TW","홀세일")))</f>
        <v>HK</v>
      </c>
      <c r="C832" s="45" t="s">
        <v>430</v>
      </c>
      <c r="D832" s="46" t="n">
        <v>280</v>
      </c>
      <c r="E832" s="46" t="n">
        <v>109000</v>
      </c>
      <c r="F832" s="46" t="n">
        <v>22800</v>
      </c>
      <c r="G832" s="42" t="n">
        <v>3.63</v>
      </c>
      <c r="H832" s="42" t="n">
        <v>25.7</v>
      </c>
      <c r="I832" s="42" t="n">
        <v>0</v>
      </c>
      <c r="J832" s="46" t="n">
        <f aca="false">IF(N(E832)&gt;0,E832,IF(N(F832)&gt;0,F832*요약!$F$27,0))</f>
        <v>109000</v>
      </c>
      <c r="K832" s="46" t="n">
        <f aca="false">IF(N(F832)&gt;0,F832,IF(N(E832)&gt;0,E832/요약!$F$27,0))</f>
        <v>22800</v>
      </c>
      <c r="L832" s="46" t="n">
        <f aca="false">IF(B832="CN",IF(N(I832)&gt;0,I832*요약!$G$27,K832*(1+요약!$E$27)),IF(N(H832)&gt;0,H832*요약!$G$27,J832*요약!$D$27))</f>
        <v>33924</v>
      </c>
      <c r="M832" s="46" t="n">
        <f aca="false">D832*J832</f>
        <v>30520000</v>
      </c>
      <c r="N832" s="46" t="n">
        <f aca="false">D832*K832</f>
        <v>6384000</v>
      </c>
      <c r="O832" s="46" t="n">
        <f aca="false">D832*L832</f>
        <v>9498720</v>
      </c>
      <c r="P832" s="42" t="str">
        <f aca="false">TRIM(IF(N(E832)&lt;=0,"택가보정 ","")&amp;IF(N(F832)&lt;=0,"원가보정 ","")&amp;IF(AND(B832&lt;&gt;"CN",N(H832)&lt;=0),"공급가보정 ","")&amp;IF(AND(B832="CN",N(I832)&lt;=0),"중국공급가=원가+마진 ",""))</f>
        <v/>
      </c>
      <c r="Q832" s="47" t="n">
        <f aca="false">IF(SUMIFS($W:$W,$A:$A,A832,$C:$C,C832)=0,0,SUMIFS(RAW_판매펀칭!$K:$K,RAW_판매펀칭!$P:$P,A832,RAW_판매펀칭!$I:$I,C832)*W832/SUMIFS($W:$W,$A:$A,A832,$C:$C,C832))</f>
        <v>280</v>
      </c>
      <c r="R832" s="47" t="n">
        <f aca="false">IF(OR(A832="500",A832="800",A832="810"),0,MAX(W832-Q832,0))</f>
        <v>0</v>
      </c>
      <c r="S832" s="47" t="n">
        <f aca="false">R832*L832</f>
        <v>0</v>
      </c>
      <c r="T832" s="47" t="n">
        <f aca="false">R832*J832</f>
        <v>0</v>
      </c>
      <c r="U832" s="47" t="n">
        <f aca="false">R832*K832</f>
        <v>0</v>
      </c>
      <c r="V832" s="0" t="str">
        <f aca="false">IF(COUNTIFS($A$2:A832,A832,$C$2:C832,C832,$D$2:D832,D832)&gt;1,"중복","")</f>
        <v/>
      </c>
      <c r="W832" s="0" t="n">
        <f aca="false">IF(V832="중복",0,N(D832))</f>
        <v>280</v>
      </c>
      <c r="X832" s="0" t="n">
        <f aca="false">IF(COUNTIFS($A$2:A832,A832,$C$2:C832,C832)=1,ABS(SUMIFS(RAW_발주!$D:$D,RAW_발주!$C:$C,A832,RAW_발주!$A:$A,C832)-SUMIFS($W:$W,$A:$A,A832,$C:$C,C832)),0)</f>
        <v>0</v>
      </c>
    </row>
    <row r="833" customFormat="false" ht="15" hidden="false" customHeight="true" outlineLevel="0" collapsed="false">
      <c r="A833" s="45" t="s">
        <v>1661</v>
      </c>
      <c r="B833" s="42" t="str">
        <f aca="false">IF(A833="100","HK",IF(A833="200","CN",IF(A833="300","TW","홀세일")))</f>
        <v>TW</v>
      </c>
      <c r="C833" s="45" t="s">
        <v>430</v>
      </c>
      <c r="D833" s="46" t="n">
        <v>550</v>
      </c>
      <c r="E833" s="46" t="n">
        <v>109000</v>
      </c>
      <c r="F833" s="46" t="n">
        <v>22800</v>
      </c>
      <c r="G833" s="42" t="n">
        <v>3.63</v>
      </c>
      <c r="H833" s="42" t="n">
        <v>25.7</v>
      </c>
      <c r="I833" s="42" t="n">
        <v>0</v>
      </c>
      <c r="J833" s="46" t="n">
        <f aca="false">IF(N(E833)&gt;0,E833,IF(N(F833)&gt;0,F833*요약!$F$27,0))</f>
        <v>109000</v>
      </c>
      <c r="K833" s="46" t="n">
        <f aca="false">IF(N(F833)&gt;0,F833,IF(N(E833)&gt;0,E833/요약!$F$27,0))</f>
        <v>22800</v>
      </c>
      <c r="L833" s="46" t="n">
        <f aca="false">IF(B833="CN",IF(N(I833)&gt;0,I833*요약!$G$27,K833*(1+요약!$E$27)),IF(N(H833)&gt;0,H833*요약!$G$27,J833*요약!$D$27))</f>
        <v>33924</v>
      </c>
      <c r="M833" s="46" t="n">
        <f aca="false">D833*J833</f>
        <v>59950000</v>
      </c>
      <c r="N833" s="46" t="n">
        <f aca="false">D833*K833</f>
        <v>12540000</v>
      </c>
      <c r="O833" s="46" t="n">
        <f aca="false">D833*L833</f>
        <v>18658200</v>
      </c>
      <c r="P833" s="42" t="str">
        <f aca="false">TRIM(IF(N(E833)&lt;=0,"택가보정 ","")&amp;IF(N(F833)&lt;=0,"원가보정 ","")&amp;IF(AND(B833&lt;&gt;"CN",N(H833)&lt;=0),"공급가보정 ","")&amp;IF(AND(B833="CN",N(I833)&lt;=0),"중국공급가=원가+마진 ",""))</f>
        <v/>
      </c>
      <c r="Q833" s="47" t="n">
        <f aca="false">IF(SUMIFS($W:$W,$A:$A,A833,$C:$C,C833)=0,0,SUMIFS(RAW_판매펀칭!$K:$K,RAW_판매펀칭!$P:$P,A833,RAW_판매펀칭!$I:$I,C833)*W833/SUMIFS($W:$W,$A:$A,A833,$C:$C,C833))</f>
        <v>550</v>
      </c>
      <c r="R833" s="47" t="n">
        <f aca="false">IF(OR(A833="500",A833="800",A833="810"),0,MAX(W833-Q833,0))</f>
        <v>0</v>
      </c>
      <c r="S833" s="47" t="n">
        <f aca="false">R833*L833</f>
        <v>0</v>
      </c>
      <c r="T833" s="47" t="n">
        <f aca="false">R833*J833</f>
        <v>0</v>
      </c>
      <c r="U833" s="47" t="n">
        <f aca="false">R833*K833</f>
        <v>0</v>
      </c>
      <c r="V833" s="0" t="str">
        <f aca="false">IF(COUNTIFS($A$2:A833,A833,$C$2:C833,C833,$D$2:D833,D833)&gt;1,"중복","")</f>
        <v/>
      </c>
      <c r="W833" s="0" t="n">
        <f aca="false">IF(V833="중복",0,N(D833))</f>
        <v>550</v>
      </c>
      <c r="X833" s="0" t="n">
        <f aca="false">IF(COUNTIFS($A$2:A833,A833,$C$2:C833,C833)=1,ABS(SUMIFS(RAW_발주!$D:$D,RAW_발주!$C:$C,A833,RAW_발주!$A:$A,C833)-SUMIFS($W:$W,$A:$A,A833,$C:$C,C833)),0)</f>
        <v>0</v>
      </c>
    </row>
    <row r="834" customFormat="false" ht="15" hidden="false" customHeight="true" outlineLevel="0" collapsed="false">
      <c r="A834" s="45" t="s">
        <v>1664</v>
      </c>
      <c r="B834" s="42" t="str">
        <f aca="false">IF(A834="100","HK",IF(A834="200","CN",IF(A834="300","TW","홀세일")))</f>
        <v>홀세일</v>
      </c>
      <c r="C834" s="45" t="s">
        <v>430</v>
      </c>
      <c r="D834" s="46" t="n">
        <v>90</v>
      </c>
      <c r="E834" s="46" t="n">
        <v>109000</v>
      </c>
      <c r="F834" s="46" t="n">
        <v>22800</v>
      </c>
      <c r="G834" s="42" t="n">
        <v>3.63</v>
      </c>
      <c r="H834" s="42" t="n">
        <v>25.7</v>
      </c>
      <c r="I834" s="42" t="n">
        <v>0</v>
      </c>
      <c r="J834" s="46" t="n">
        <f aca="false">IF(N(E834)&gt;0,E834,IF(N(F834)&gt;0,F834*요약!$F$27,0))</f>
        <v>109000</v>
      </c>
      <c r="K834" s="46" t="n">
        <f aca="false">IF(N(F834)&gt;0,F834,IF(N(E834)&gt;0,E834/요약!$F$27,0))</f>
        <v>22800</v>
      </c>
      <c r="L834" s="46" t="n">
        <f aca="false">IF(B834="CN",IF(N(I834)&gt;0,I834*요약!$G$27,K834*(1+요약!$E$27)),IF(N(H834)&gt;0,H834*요약!$G$27,J834*요약!$D$27))</f>
        <v>33924</v>
      </c>
      <c r="M834" s="46" t="n">
        <f aca="false">D834*J834</f>
        <v>9810000</v>
      </c>
      <c r="N834" s="46" t="n">
        <f aca="false">D834*K834</f>
        <v>2052000</v>
      </c>
      <c r="O834" s="46" t="n">
        <f aca="false">D834*L834</f>
        <v>3053160</v>
      </c>
      <c r="P834" s="42" t="str">
        <f aca="false">TRIM(IF(N(E834)&lt;=0,"택가보정 ","")&amp;IF(N(F834)&lt;=0,"원가보정 ","")&amp;IF(AND(B834&lt;&gt;"CN",N(H834)&lt;=0),"공급가보정 ","")&amp;IF(AND(B834="CN",N(I834)&lt;=0),"중국공급가=원가+마진 ",""))</f>
        <v/>
      </c>
      <c r="Q834" s="47" t="n">
        <f aca="false">IF(SUMIFS($W:$W,$A:$A,A834,$C:$C,C834)=0,0,SUMIFS(RAW_판매펀칭!$K:$K,RAW_판매펀칭!$P:$P,A834,RAW_판매펀칭!$I:$I,C834)*W834/SUMIFS($W:$W,$A:$A,A834,$C:$C,C834))</f>
        <v>0</v>
      </c>
      <c r="R834" s="47" t="n">
        <f aca="false">IF(OR(A834="500",A834="800",A834="810"),0,MAX(W834-Q834,0))</f>
        <v>0</v>
      </c>
      <c r="S834" s="47" t="n">
        <f aca="false">R834*L834</f>
        <v>0</v>
      </c>
      <c r="T834" s="47" t="n">
        <f aca="false">R834*J834</f>
        <v>0</v>
      </c>
      <c r="U834" s="47" t="n">
        <f aca="false">R834*K834</f>
        <v>0</v>
      </c>
      <c r="V834" s="0" t="str">
        <f aca="false">IF(COUNTIFS($A$2:A834,A834,$C$2:C834,C834,$D$2:D834,D834)&gt;1,"중복","")</f>
        <v/>
      </c>
      <c r="W834" s="0" t="n">
        <f aca="false">IF(V834="중복",0,N(D834))</f>
        <v>90</v>
      </c>
      <c r="X834" s="0" t="n">
        <f aca="false">IF(COUNTIFS($A$2:A834,A834,$C$2:C834,C834)=1,ABS(SUMIFS(RAW_발주!$D:$D,RAW_발주!$C:$C,A834,RAW_발주!$A:$A,C834)-SUMIFS($W:$W,$A:$A,A834,$C:$C,C834)),0)</f>
        <v>0</v>
      </c>
    </row>
    <row r="835" customFormat="false" ht="15" hidden="false" customHeight="true" outlineLevel="0" collapsed="false">
      <c r="A835" s="45" t="s">
        <v>1665</v>
      </c>
      <c r="B835" s="42" t="str">
        <f aca="false">IF(A835="100","HK",IF(A835="200","CN",IF(A835="300","TW","홀세일")))</f>
        <v>홀세일</v>
      </c>
      <c r="C835" s="45" t="s">
        <v>430</v>
      </c>
      <c r="D835" s="46" t="n">
        <v>216</v>
      </c>
      <c r="E835" s="46" t="n">
        <v>109000</v>
      </c>
      <c r="F835" s="46" t="n">
        <v>22800</v>
      </c>
      <c r="G835" s="42" t="n">
        <v>3.63</v>
      </c>
      <c r="H835" s="42" t="n">
        <v>25.7</v>
      </c>
      <c r="I835" s="42" t="n">
        <v>0</v>
      </c>
      <c r="J835" s="46" t="n">
        <f aca="false">IF(N(E835)&gt;0,E835,IF(N(F835)&gt;0,F835*요약!$F$27,0))</f>
        <v>109000</v>
      </c>
      <c r="K835" s="46" t="n">
        <f aca="false">IF(N(F835)&gt;0,F835,IF(N(E835)&gt;0,E835/요약!$F$27,0))</f>
        <v>22800</v>
      </c>
      <c r="L835" s="46" t="n">
        <f aca="false">IF(B835="CN",IF(N(I835)&gt;0,I835*요약!$G$27,K835*(1+요약!$E$27)),IF(N(H835)&gt;0,H835*요약!$G$27,J835*요약!$D$27))</f>
        <v>33924</v>
      </c>
      <c r="M835" s="46" t="n">
        <f aca="false">D835*J835</f>
        <v>23544000</v>
      </c>
      <c r="N835" s="46" t="n">
        <f aca="false">D835*K835</f>
        <v>4924800</v>
      </c>
      <c r="O835" s="46" t="n">
        <f aca="false">D835*L835</f>
        <v>7327584</v>
      </c>
      <c r="P835" s="42" t="str">
        <f aca="false">TRIM(IF(N(E835)&lt;=0,"택가보정 ","")&amp;IF(N(F835)&lt;=0,"원가보정 ","")&amp;IF(AND(B835&lt;&gt;"CN",N(H835)&lt;=0),"공급가보정 ","")&amp;IF(AND(B835="CN",N(I835)&lt;=0),"중국공급가=원가+마진 ",""))</f>
        <v/>
      </c>
      <c r="Q835" s="47" t="n">
        <f aca="false">IF(SUMIFS($W:$W,$A:$A,A835,$C:$C,C835)=0,0,SUMIFS(RAW_판매펀칭!$K:$K,RAW_판매펀칭!$P:$P,A835,RAW_판매펀칭!$I:$I,C835)*W835/SUMIFS($W:$W,$A:$A,A835,$C:$C,C835))</f>
        <v>0</v>
      </c>
      <c r="R835" s="47" t="n">
        <f aca="false">IF(OR(A835="500",A835="800",A835="810"),0,MAX(W835-Q835,0))</f>
        <v>0</v>
      </c>
      <c r="S835" s="47" t="n">
        <f aca="false">R835*L835</f>
        <v>0</v>
      </c>
      <c r="T835" s="47" t="n">
        <f aca="false">R835*J835</f>
        <v>0</v>
      </c>
      <c r="U835" s="47" t="n">
        <f aca="false">R835*K835</f>
        <v>0</v>
      </c>
      <c r="V835" s="0" t="str">
        <f aca="false">IF(COUNTIFS($A$2:A835,A835,$C$2:C835,C835,$D$2:D835,D835)&gt;1,"중복","")</f>
        <v/>
      </c>
      <c r="W835" s="0" t="n">
        <f aca="false">IF(V835="중복",0,N(D835))</f>
        <v>216</v>
      </c>
      <c r="X835" s="0" t="n">
        <f aca="false">IF(COUNTIFS($A$2:A835,A835,$C$2:C835,C835)=1,ABS(SUMIFS(RAW_발주!$D:$D,RAW_발주!$C:$C,A835,RAW_발주!$A:$A,C835)-SUMIFS($W:$W,$A:$A,A835,$C:$C,C835)),0)</f>
        <v>0</v>
      </c>
    </row>
    <row r="836" customFormat="false" ht="15" hidden="false" customHeight="true" outlineLevel="0" collapsed="false">
      <c r="A836" s="45" t="s">
        <v>1663</v>
      </c>
      <c r="B836" s="42" t="str">
        <f aca="false">IF(A836="100","HK",IF(A836="200","CN",IF(A836="300","TW","홀세일")))</f>
        <v>홀세일</v>
      </c>
      <c r="C836" s="45" t="s">
        <v>1324</v>
      </c>
      <c r="D836" s="46" t="n">
        <v>45</v>
      </c>
      <c r="E836" s="46" t="n">
        <v>169000</v>
      </c>
      <c r="F836" s="46" t="n">
        <v>40500</v>
      </c>
      <c r="G836" s="42" t="n">
        <v>3.5</v>
      </c>
      <c r="H836" s="42" t="n">
        <v>39.8</v>
      </c>
      <c r="I836" s="42" t="n">
        <v>0</v>
      </c>
      <c r="J836" s="46" t="n">
        <f aca="false">IF(N(E836)&gt;0,E836,IF(N(F836)&gt;0,F836*요약!$F$27,0))</f>
        <v>169000</v>
      </c>
      <c r="K836" s="46" t="n">
        <f aca="false">IF(N(F836)&gt;0,F836,IF(N(E836)&gt;0,E836/요약!$F$27,0))</f>
        <v>40500</v>
      </c>
      <c r="L836" s="46" t="n">
        <f aca="false">IF(B836="CN",IF(N(I836)&gt;0,I836*요약!$G$27,K836*(1+요약!$E$27)),IF(N(H836)&gt;0,H836*요약!$G$27,J836*요약!$D$27))</f>
        <v>52536</v>
      </c>
      <c r="M836" s="46" t="n">
        <f aca="false">D836*J836</f>
        <v>7605000</v>
      </c>
      <c r="N836" s="46" t="n">
        <f aca="false">D836*K836</f>
        <v>1822500</v>
      </c>
      <c r="O836" s="46" t="n">
        <f aca="false">D836*L836</f>
        <v>2364120</v>
      </c>
      <c r="P836" s="42" t="str">
        <f aca="false">TRIM(IF(N(E836)&lt;=0,"택가보정 ","")&amp;IF(N(F836)&lt;=0,"원가보정 ","")&amp;IF(AND(B836&lt;&gt;"CN",N(H836)&lt;=0),"공급가보정 ","")&amp;IF(AND(B836="CN",N(I836)&lt;=0),"중국공급가=원가+마진 ",""))</f>
        <v/>
      </c>
      <c r="Q836" s="47" t="n">
        <f aca="false">IF(SUMIFS($W:$W,$A:$A,A836,$C:$C,C836)=0,0,SUMIFS(RAW_판매펀칭!$K:$K,RAW_판매펀칭!$P:$P,A836,RAW_판매펀칭!$I:$I,C836)*W836/SUMIFS($W:$W,$A:$A,A836,$C:$C,C836))</f>
        <v>45</v>
      </c>
      <c r="R836" s="47" t="n">
        <f aca="false">IF(OR(A836="500",A836="800",A836="810"),0,MAX(W836-Q836,0))</f>
        <v>0</v>
      </c>
      <c r="S836" s="47" t="n">
        <f aca="false">R836*L836</f>
        <v>0</v>
      </c>
      <c r="T836" s="47" t="n">
        <f aca="false">R836*J836</f>
        <v>0</v>
      </c>
      <c r="U836" s="47" t="n">
        <f aca="false">R836*K836</f>
        <v>0</v>
      </c>
      <c r="V836" s="0" t="str">
        <f aca="false">IF(COUNTIFS($A$2:A836,A836,$C$2:C836,C836,$D$2:D836,D836)&gt;1,"중복","")</f>
        <v/>
      </c>
      <c r="W836" s="0" t="n">
        <f aca="false">IF(V836="중복",0,N(D836))</f>
        <v>45</v>
      </c>
      <c r="X836" s="0" t="n">
        <f aca="false">IF(COUNTIFS($A$2:A836,A836,$C$2:C836,C836)=1,ABS(SUMIFS(RAW_발주!$D:$D,RAW_발주!$C:$C,A836,RAW_발주!$A:$A,C836)-SUMIFS($W:$W,$A:$A,A836,$C:$C,C836)),0)</f>
        <v>0</v>
      </c>
    </row>
    <row r="837" customFormat="false" ht="15" hidden="false" customHeight="true" outlineLevel="0" collapsed="false">
      <c r="A837" s="45" t="s">
        <v>1659</v>
      </c>
      <c r="B837" s="42" t="str">
        <f aca="false">IF(A837="100","HK",IF(A837="200","CN",IF(A837="300","TW","홀세일")))</f>
        <v>HK</v>
      </c>
      <c r="C837" s="45" t="s">
        <v>432</v>
      </c>
      <c r="D837" s="46" t="n">
        <v>420</v>
      </c>
      <c r="E837" s="46" t="n">
        <v>79000</v>
      </c>
      <c r="F837" s="46" t="n">
        <v>17400</v>
      </c>
      <c r="G837" s="42" t="n">
        <v>3.71</v>
      </c>
      <c r="H837" s="42" t="n">
        <v>18.6</v>
      </c>
      <c r="I837" s="42" t="n">
        <v>0</v>
      </c>
      <c r="J837" s="46" t="n">
        <f aca="false">IF(N(E837)&gt;0,E837,IF(N(F837)&gt;0,F837*요약!$F$27,0))</f>
        <v>79000</v>
      </c>
      <c r="K837" s="46" t="n">
        <f aca="false">IF(N(F837)&gt;0,F837,IF(N(E837)&gt;0,E837/요약!$F$27,0))</f>
        <v>17400</v>
      </c>
      <c r="L837" s="46" t="n">
        <f aca="false">IF(B837="CN",IF(N(I837)&gt;0,I837*요약!$G$27,K837*(1+요약!$E$27)),IF(N(H837)&gt;0,H837*요약!$G$27,J837*요약!$D$27))</f>
        <v>24552</v>
      </c>
      <c r="M837" s="46" t="n">
        <f aca="false">D837*J837</f>
        <v>33180000</v>
      </c>
      <c r="N837" s="46" t="n">
        <f aca="false">D837*K837</f>
        <v>7308000</v>
      </c>
      <c r="O837" s="46" t="n">
        <f aca="false">D837*L837</f>
        <v>10311840</v>
      </c>
      <c r="P837" s="42" t="str">
        <f aca="false">TRIM(IF(N(E837)&lt;=0,"택가보정 ","")&amp;IF(N(F837)&lt;=0,"원가보정 ","")&amp;IF(AND(B837&lt;&gt;"CN",N(H837)&lt;=0),"공급가보정 ","")&amp;IF(AND(B837="CN",N(I837)&lt;=0),"중국공급가=원가+마진 ",""))</f>
        <v/>
      </c>
      <c r="Q837" s="47" t="n">
        <f aca="false">IF(SUMIFS($W:$W,$A:$A,A837,$C:$C,C837)=0,0,SUMIFS(RAW_판매펀칭!$K:$K,RAW_판매펀칭!$P:$P,A837,RAW_판매펀칭!$I:$I,C837)*W837/SUMIFS($W:$W,$A:$A,A837,$C:$C,C837))</f>
        <v>420</v>
      </c>
      <c r="R837" s="47" t="n">
        <f aca="false">IF(OR(A837="500",A837="800",A837="810"),0,MAX(W837-Q837,0))</f>
        <v>0</v>
      </c>
      <c r="S837" s="47" t="n">
        <f aca="false">R837*L837</f>
        <v>0</v>
      </c>
      <c r="T837" s="47" t="n">
        <f aca="false">R837*J837</f>
        <v>0</v>
      </c>
      <c r="U837" s="47" t="n">
        <f aca="false">R837*K837</f>
        <v>0</v>
      </c>
      <c r="V837" s="0" t="str">
        <f aca="false">IF(COUNTIFS($A$2:A837,A837,$C$2:C837,C837,$D$2:D837,D837)&gt;1,"중복","")</f>
        <v/>
      </c>
      <c r="W837" s="0" t="n">
        <f aca="false">IF(V837="중복",0,N(D837))</f>
        <v>420</v>
      </c>
      <c r="X837" s="0" t="n">
        <f aca="false">IF(COUNTIFS($A$2:A837,A837,$C$2:C837,C837)=1,ABS(SUMIFS(RAW_발주!$D:$D,RAW_발주!$C:$C,A837,RAW_발주!$A:$A,C837)-SUMIFS($W:$W,$A:$A,A837,$C:$C,C837)),0)</f>
        <v>0</v>
      </c>
    </row>
    <row r="838" customFormat="false" ht="15" hidden="false" customHeight="true" outlineLevel="0" collapsed="false">
      <c r="A838" s="45" t="s">
        <v>1661</v>
      </c>
      <c r="B838" s="42" t="str">
        <f aca="false">IF(A838="100","HK",IF(A838="200","CN",IF(A838="300","TW","홀세일")))</f>
        <v>TW</v>
      </c>
      <c r="C838" s="45" t="s">
        <v>432</v>
      </c>
      <c r="D838" s="46" t="n">
        <v>700</v>
      </c>
      <c r="E838" s="46" t="n">
        <v>79000</v>
      </c>
      <c r="F838" s="46" t="n">
        <v>17400</v>
      </c>
      <c r="G838" s="42" t="n">
        <v>3.71</v>
      </c>
      <c r="H838" s="42" t="n">
        <v>18.6</v>
      </c>
      <c r="I838" s="42" t="n">
        <v>0</v>
      </c>
      <c r="J838" s="46" t="n">
        <f aca="false">IF(N(E838)&gt;0,E838,IF(N(F838)&gt;0,F838*요약!$F$27,0))</f>
        <v>79000</v>
      </c>
      <c r="K838" s="46" t="n">
        <f aca="false">IF(N(F838)&gt;0,F838,IF(N(E838)&gt;0,E838/요약!$F$27,0))</f>
        <v>17400</v>
      </c>
      <c r="L838" s="46" t="n">
        <f aca="false">IF(B838="CN",IF(N(I838)&gt;0,I838*요약!$G$27,K838*(1+요약!$E$27)),IF(N(H838)&gt;0,H838*요약!$G$27,J838*요약!$D$27))</f>
        <v>24552</v>
      </c>
      <c r="M838" s="46" t="n">
        <f aca="false">D838*J838</f>
        <v>55300000</v>
      </c>
      <c r="N838" s="46" t="n">
        <f aca="false">D838*K838</f>
        <v>12180000</v>
      </c>
      <c r="O838" s="46" t="n">
        <f aca="false">D838*L838</f>
        <v>17186400</v>
      </c>
      <c r="P838" s="42" t="str">
        <f aca="false">TRIM(IF(N(E838)&lt;=0,"택가보정 ","")&amp;IF(N(F838)&lt;=0,"원가보정 ","")&amp;IF(AND(B838&lt;&gt;"CN",N(H838)&lt;=0),"공급가보정 ","")&amp;IF(AND(B838="CN",N(I838)&lt;=0),"중국공급가=원가+마진 ",""))</f>
        <v/>
      </c>
      <c r="Q838" s="47" t="n">
        <f aca="false">IF(SUMIFS($W:$W,$A:$A,A838,$C:$C,C838)=0,0,SUMIFS(RAW_판매펀칭!$K:$K,RAW_판매펀칭!$P:$P,A838,RAW_판매펀칭!$I:$I,C838)*W838/SUMIFS($W:$W,$A:$A,A838,$C:$C,C838))</f>
        <v>700</v>
      </c>
      <c r="R838" s="47" t="n">
        <f aca="false">IF(OR(A838="500",A838="800",A838="810"),0,MAX(W838-Q838,0))</f>
        <v>0</v>
      </c>
      <c r="S838" s="47" t="n">
        <f aca="false">R838*L838</f>
        <v>0</v>
      </c>
      <c r="T838" s="47" t="n">
        <f aca="false">R838*J838</f>
        <v>0</v>
      </c>
      <c r="U838" s="47" t="n">
        <f aca="false">R838*K838</f>
        <v>0</v>
      </c>
      <c r="V838" s="0" t="str">
        <f aca="false">IF(COUNTIFS($A$2:A838,A838,$C$2:C838,C838,$D$2:D838,D838)&gt;1,"중복","")</f>
        <v/>
      </c>
      <c r="W838" s="0" t="n">
        <f aca="false">IF(V838="중복",0,N(D838))</f>
        <v>700</v>
      </c>
      <c r="X838" s="0" t="n">
        <f aca="false">IF(COUNTIFS($A$2:A838,A838,$C$2:C838,C838)=1,ABS(SUMIFS(RAW_발주!$D:$D,RAW_발주!$C:$C,A838,RAW_발주!$A:$A,C838)-SUMIFS($W:$W,$A:$A,A838,$C:$C,C838)),0)</f>
        <v>0</v>
      </c>
    </row>
    <row r="839" customFormat="false" ht="15" hidden="false" customHeight="true" outlineLevel="0" collapsed="false">
      <c r="A839" s="45" t="s">
        <v>1665</v>
      </c>
      <c r="B839" s="42" t="str">
        <f aca="false">IF(A839="100","HK",IF(A839="200","CN",IF(A839="300","TW","홀세일")))</f>
        <v>홀세일</v>
      </c>
      <c r="C839" s="45" t="s">
        <v>432</v>
      </c>
      <c r="D839" s="46" t="n">
        <v>216</v>
      </c>
      <c r="E839" s="46" t="n">
        <v>79000</v>
      </c>
      <c r="F839" s="46" t="n">
        <v>17400</v>
      </c>
      <c r="G839" s="42" t="n">
        <v>3.71</v>
      </c>
      <c r="H839" s="42" t="n">
        <v>18.6</v>
      </c>
      <c r="I839" s="42" t="n">
        <v>0</v>
      </c>
      <c r="J839" s="46" t="n">
        <f aca="false">IF(N(E839)&gt;0,E839,IF(N(F839)&gt;0,F839*요약!$F$27,0))</f>
        <v>79000</v>
      </c>
      <c r="K839" s="46" t="n">
        <f aca="false">IF(N(F839)&gt;0,F839,IF(N(E839)&gt;0,E839/요약!$F$27,0))</f>
        <v>17400</v>
      </c>
      <c r="L839" s="46" t="n">
        <f aca="false">IF(B839="CN",IF(N(I839)&gt;0,I839*요약!$G$27,K839*(1+요약!$E$27)),IF(N(H839)&gt;0,H839*요약!$G$27,J839*요약!$D$27))</f>
        <v>24552</v>
      </c>
      <c r="M839" s="46" t="n">
        <f aca="false">D839*J839</f>
        <v>17064000</v>
      </c>
      <c r="N839" s="46" t="n">
        <f aca="false">D839*K839</f>
        <v>3758400</v>
      </c>
      <c r="O839" s="46" t="n">
        <f aca="false">D839*L839</f>
        <v>5303232</v>
      </c>
      <c r="P839" s="42" t="str">
        <f aca="false">TRIM(IF(N(E839)&lt;=0,"택가보정 ","")&amp;IF(N(F839)&lt;=0,"원가보정 ","")&amp;IF(AND(B839&lt;&gt;"CN",N(H839)&lt;=0),"공급가보정 ","")&amp;IF(AND(B839="CN",N(I839)&lt;=0),"중국공급가=원가+마진 ",""))</f>
        <v/>
      </c>
      <c r="Q839" s="47" t="n">
        <f aca="false">IF(SUMIFS($W:$W,$A:$A,A839,$C:$C,C839)=0,0,SUMIFS(RAW_판매펀칭!$K:$K,RAW_판매펀칭!$P:$P,A839,RAW_판매펀칭!$I:$I,C839)*W839/SUMIFS($W:$W,$A:$A,A839,$C:$C,C839))</f>
        <v>0</v>
      </c>
      <c r="R839" s="47" t="n">
        <f aca="false">IF(OR(A839="500",A839="800",A839="810"),0,MAX(W839-Q839,0))</f>
        <v>0</v>
      </c>
      <c r="S839" s="47" t="n">
        <f aca="false">R839*L839</f>
        <v>0</v>
      </c>
      <c r="T839" s="47" t="n">
        <f aca="false">R839*J839</f>
        <v>0</v>
      </c>
      <c r="U839" s="47" t="n">
        <f aca="false">R839*K839</f>
        <v>0</v>
      </c>
      <c r="V839" s="0" t="str">
        <f aca="false">IF(COUNTIFS($A$2:A839,A839,$C$2:C839,C839,$D$2:D839,D839)&gt;1,"중복","")</f>
        <v/>
      </c>
      <c r="W839" s="0" t="n">
        <f aca="false">IF(V839="중복",0,N(D839))</f>
        <v>216</v>
      </c>
      <c r="X839" s="0" t="n">
        <f aca="false">IF(COUNTIFS($A$2:A839,A839,$C$2:C839,C839)=1,ABS(SUMIFS(RAW_발주!$D:$D,RAW_발주!$C:$C,A839,RAW_발주!$A:$A,C839)-SUMIFS($W:$W,$A:$A,A839,$C:$C,C839)),0)</f>
        <v>0</v>
      </c>
    </row>
    <row r="840" customFormat="false" ht="15" hidden="false" customHeight="true" outlineLevel="0" collapsed="false">
      <c r="A840" s="45" t="s">
        <v>1659</v>
      </c>
      <c r="B840" s="42" t="str">
        <f aca="false">IF(A840="100","HK",IF(A840="200","CN",IF(A840="300","TW","홀세일")))</f>
        <v>HK</v>
      </c>
      <c r="C840" s="45" t="s">
        <v>890</v>
      </c>
      <c r="D840" s="46" t="n">
        <v>160</v>
      </c>
      <c r="E840" s="46" t="n">
        <v>109000</v>
      </c>
      <c r="F840" s="46" t="n">
        <v>19900</v>
      </c>
      <c r="G840" s="42" t="n">
        <v>3.49</v>
      </c>
      <c r="H840" s="42" t="n">
        <v>25.7</v>
      </c>
      <c r="I840" s="42" t="n">
        <v>0</v>
      </c>
      <c r="J840" s="46" t="n">
        <f aca="false">IF(N(E840)&gt;0,E840,IF(N(F840)&gt;0,F840*요약!$F$27,0))</f>
        <v>109000</v>
      </c>
      <c r="K840" s="46" t="n">
        <f aca="false">IF(N(F840)&gt;0,F840,IF(N(E840)&gt;0,E840/요약!$F$27,0))</f>
        <v>19900</v>
      </c>
      <c r="L840" s="46" t="n">
        <f aca="false">IF(B840="CN",IF(N(I840)&gt;0,I840*요약!$G$27,K840*(1+요약!$E$27)),IF(N(H840)&gt;0,H840*요약!$G$27,J840*요약!$D$27))</f>
        <v>33924</v>
      </c>
      <c r="M840" s="46" t="n">
        <f aca="false">D840*J840</f>
        <v>17440000</v>
      </c>
      <c r="N840" s="46" t="n">
        <f aca="false">D840*K840</f>
        <v>3184000</v>
      </c>
      <c r="O840" s="46" t="n">
        <f aca="false">D840*L840</f>
        <v>5427840</v>
      </c>
      <c r="P840" s="42" t="str">
        <f aca="false">TRIM(IF(N(E840)&lt;=0,"택가보정 ","")&amp;IF(N(F840)&lt;=0,"원가보정 ","")&amp;IF(AND(B840&lt;&gt;"CN",N(H840)&lt;=0),"공급가보정 ","")&amp;IF(AND(B840="CN",N(I840)&lt;=0),"중국공급가=원가+마진 ",""))</f>
        <v/>
      </c>
      <c r="Q840" s="47" t="n">
        <f aca="false">IF(SUMIFS($W:$W,$A:$A,A840,$C:$C,C840)=0,0,SUMIFS(RAW_판매펀칭!$K:$K,RAW_판매펀칭!$P:$P,A840,RAW_판매펀칭!$I:$I,C840)*W840/SUMIFS($W:$W,$A:$A,A840,$C:$C,C840))</f>
        <v>160</v>
      </c>
      <c r="R840" s="47" t="n">
        <f aca="false">IF(OR(A840="500",A840="800",A840="810"),0,MAX(W840-Q840,0))</f>
        <v>0</v>
      </c>
      <c r="S840" s="47" t="n">
        <f aca="false">R840*L840</f>
        <v>0</v>
      </c>
      <c r="T840" s="47" t="n">
        <f aca="false">R840*J840</f>
        <v>0</v>
      </c>
      <c r="U840" s="47" t="n">
        <f aca="false">R840*K840</f>
        <v>0</v>
      </c>
      <c r="V840" s="0" t="str">
        <f aca="false">IF(COUNTIFS($A$2:A840,A840,$C$2:C840,C840,$D$2:D840,D840)&gt;1,"중복","")</f>
        <v/>
      </c>
      <c r="W840" s="0" t="n">
        <f aca="false">IF(V840="중복",0,N(D840))</f>
        <v>160</v>
      </c>
      <c r="X840" s="0" t="n">
        <f aca="false">IF(COUNTIFS($A$2:A840,A840,$C$2:C840,C840)=1,ABS(SUMIFS(RAW_발주!$D:$D,RAW_발주!$C:$C,A840,RAW_발주!$A:$A,C840)-SUMIFS($W:$W,$A:$A,A840,$C:$C,C840)),0)</f>
        <v>0</v>
      </c>
    </row>
    <row r="841" customFormat="false" ht="15" hidden="false" customHeight="true" outlineLevel="0" collapsed="false">
      <c r="A841" s="45" t="s">
        <v>1667</v>
      </c>
      <c r="B841" s="42" t="str">
        <f aca="false">IF(A841="100","HK",IF(A841="200","CN",IF(A841="300","TW","홀세일")))</f>
        <v>홀세일</v>
      </c>
      <c r="C841" s="45" t="s">
        <v>890</v>
      </c>
      <c r="D841" s="46" t="n">
        <v>117</v>
      </c>
      <c r="E841" s="46" t="n">
        <v>109000</v>
      </c>
      <c r="F841" s="46" t="n">
        <v>19900</v>
      </c>
      <c r="G841" s="42" t="n">
        <v>3.49</v>
      </c>
      <c r="H841" s="42" t="n">
        <v>25.7</v>
      </c>
      <c r="I841" s="42" t="n">
        <v>0</v>
      </c>
      <c r="J841" s="46" t="n">
        <f aca="false">IF(N(E841)&gt;0,E841,IF(N(F841)&gt;0,F841*요약!$F$27,0))</f>
        <v>109000</v>
      </c>
      <c r="K841" s="46" t="n">
        <f aca="false">IF(N(F841)&gt;0,F841,IF(N(E841)&gt;0,E841/요약!$F$27,0))</f>
        <v>19900</v>
      </c>
      <c r="L841" s="46" t="n">
        <f aca="false">IF(B841="CN",IF(N(I841)&gt;0,I841*요약!$G$27,K841*(1+요약!$E$27)),IF(N(H841)&gt;0,H841*요약!$G$27,J841*요약!$D$27))</f>
        <v>33924</v>
      </c>
      <c r="M841" s="46" t="n">
        <f aca="false">D841*J841</f>
        <v>12753000</v>
      </c>
      <c r="N841" s="46" t="n">
        <f aca="false">D841*K841</f>
        <v>2328300</v>
      </c>
      <c r="O841" s="46" t="n">
        <f aca="false">D841*L841</f>
        <v>3969108</v>
      </c>
      <c r="P841" s="42" t="str">
        <f aca="false">TRIM(IF(N(E841)&lt;=0,"택가보정 ","")&amp;IF(N(F841)&lt;=0,"원가보정 ","")&amp;IF(AND(B841&lt;&gt;"CN",N(H841)&lt;=0),"공급가보정 ","")&amp;IF(AND(B841="CN",N(I841)&lt;=0),"중국공급가=원가+마진 ",""))</f>
        <v/>
      </c>
      <c r="Q841" s="47" t="n">
        <f aca="false">IF(SUMIFS($W:$W,$A:$A,A841,$C:$C,C841)=0,0,SUMIFS(RAW_판매펀칭!$K:$K,RAW_판매펀칭!$P:$P,A841,RAW_판매펀칭!$I:$I,C841)*W841/SUMIFS($W:$W,$A:$A,A841,$C:$C,C841))</f>
        <v>115</v>
      </c>
      <c r="R841" s="47" t="n">
        <f aca="false">IF(OR(A841="500",A841="800",A841="810"),0,MAX(W841-Q841,0))</f>
        <v>2</v>
      </c>
      <c r="S841" s="47" t="n">
        <f aca="false">R841*L841</f>
        <v>67848</v>
      </c>
      <c r="T841" s="47" t="n">
        <f aca="false">R841*J841</f>
        <v>218000</v>
      </c>
      <c r="U841" s="47" t="n">
        <f aca="false">R841*K841</f>
        <v>39800</v>
      </c>
      <c r="V841" s="0" t="str">
        <f aca="false">IF(COUNTIFS($A$2:A841,A841,$C$2:C841,C841,$D$2:D841,D841)&gt;1,"중복","")</f>
        <v/>
      </c>
      <c r="W841" s="0" t="n">
        <f aca="false">IF(V841="중복",0,N(D841))</f>
        <v>117</v>
      </c>
      <c r="X841" s="0" t="n">
        <f aca="false">IF(COUNTIFS($A$2:A841,A841,$C$2:C841,C841)=1,ABS(SUMIFS(RAW_발주!$D:$D,RAW_발주!$C:$C,A841,RAW_발주!$A:$A,C841)-SUMIFS($W:$W,$A:$A,A841,$C:$C,C841)),0)</f>
        <v>0</v>
      </c>
    </row>
    <row r="842" customFormat="false" ht="15" hidden="false" customHeight="true" outlineLevel="0" collapsed="false">
      <c r="A842" s="45" t="s">
        <v>1659</v>
      </c>
      <c r="B842" s="42" t="str">
        <f aca="false">IF(A842="100","HK",IF(A842="200","CN",IF(A842="300","TW","홀세일")))</f>
        <v>HK</v>
      </c>
      <c r="C842" s="45" t="s">
        <v>434</v>
      </c>
      <c r="D842" s="46" t="n">
        <v>600</v>
      </c>
      <c r="E842" s="46" t="n">
        <v>99000</v>
      </c>
      <c r="F842" s="46" t="n">
        <v>25600</v>
      </c>
      <c r="G842" s="42" t="n">
        <v>3.85</v>
      </c>
      <c r="H842" s="42" t="n">
        <v>23.3</v>
      </c>
      <c r="I842" s="42" t="n">
        <v>0</v>
      </c>
      <c r="J842" s="46" t="n">
        <f aca="false">IF(N(E842)&gt;0,E842,IF(N(F842)&gt;0,F842*요약!$F$27,0))</f>
        <v>99000</v>
      </c>
      <c r="K842" s="46" t="n">
        <f aca="false">IF(N(F842)&gt;0,F842,IF(N(E842)&gt;0,E842/요약!$F$27,0))</f>
        <v>25600</v>
      </c>
      <c r="L842" s="46" t="n">
        <f aca="false">IF(B842="CN",IF(N(I842)&gt;0,I842*요약!$G$27,K842*(1+요약!$E$27)),IF(N(H842)&gt;0,H842*요약!$G$27,J842*요약!$D$27))</f>
        <v>30756</v>
      </c>
      <c r="M842" s="46" t="n">
        <f aca="false">D842*J842</f>
        <v>59400000</v>
      </c>
      <c r="N842" s="46" t="n">
        <f aca="false">D842*K842</f>
        <v>15360000</v>
      </c>
      <c r="O842" s="46" t="n">
        <f aca="false">D842*L842</f>
        <v>18453600</v>
      </c>
      <c r="P842" s="42" t="str">
        <f aca="false">TRIM(IF(N(E842)&lt;=0,"택가보정 ","")&amp;IF(N(F842)&lt;=0,"원가보정 ","")&amp;IF(AND(B842&lt;&gt;"CN",N(H842)&lt;=0),"공급가보정 ","")&amp;IF(AND(B842="CN",N(I842)&lt;=0),"중국공급가=원가+마진 ",""))</f>
        <v/>
      </c>
      <c r="Q842" s="47" t="n">
        <f aca="false">IF(SUMIFS($W:$W,$A:$A,A842,$C:$C,C842)=0,0,SUMIFS(RAW_판매펀칭!$K:$K,RAW_판매펀칭!$P:$P,A842,RAW_판매펀칭!$I:$I,C842)*W842/SUMIFS($W:$W,$A:$A,A842,$C:$C,C842))</f>
        <v>600</v>
      </c>
      <c r="R842" s="47" t="n">
        <f aca="false">IF(OR(A842="500",A842="800",A842="810"),0,MAX(W842-Q842,0))</f>
        <v>0</v>
      </c>
      <c r="S842" s="47" t="n">
        <f aca="false">R842*L842</f>
        <v>0</v>
      </c>
      <c r="T842" s="47" t="n">
        <f aca="false">R842*J842</f>
        <v>0</v>
      </c>
      <c r="U842" s="47" t="n">
        <f aca="false">R842*K842</f>
        <v>0</v>
      </c>
      <c r="V842" s="0" t="str">
        <f aca="false">IF(COUNTIFS($A$2:A842,A842,$C$2:C842,C842,$D$2:D842,D842)&gt;1,"중복","")</f>
        <v/>
      </c>
      <c r="W842" s="0" t="n">
        <f aca="false">IF(V842="중복",0,N(D842))</f>
        <v>600</v>
      </c>
      <c r="X842" s="0" t="n">
        <f aca="false">IF(COUNTIFS($A$2:A842,A842,$C$2:C842,C842)=1,ABS(SUMIFS(RAW_발주!$D:$D,RAW_발주!$C:$C,A842,RAW_발주!$A:$A,C842)-SUMIFS($W:$W,$A:$A,A842,$C:$C,C842)),0)</f>
        <v>0</v>
      </c>
    </row>
    <row r="843" customFormat="false" ht="15" hidden="false" customHeight="true" outlineLevel="0" collapsed="false">
      <c r="A843" s="45" t="s">
        <v>1661</v>
      </c>
      <c r="B843" s="42" t="str">
        <f aca="false">IF(A843="100","HK",IF(A843="200","CN",IF(A843="300","TW","홀세일")))</f>
        <v>TW</v>
      </c>
      <c r="C843" s="45" t="s">
        <v>434</v>
      </c>
      <c r="D843" s="46" t="n">
        <v>580</v>
      </c>
      <c r="E843" s="46" t="n">
        <v>99000</v>
      </c>
      <c r="F843" s="46" t="n">
        <v>25600</v>
      </c>
      <c r="G843" s="42" t="n">
        <v>3.85</v>
      </c>
      <c r="H843" s="42" t="n">
        <v>23.3</v>
      </c>
      <c r="I843" s="42" t="n">
        <v>0</v>
      </c>
      <c r="J843" s="46" t="n">
        <f aca="false">IF(N(E843)&gt;0,E843,IF(N(F843)&gt;0,F843*요약!$F$27,0))</f>
        <v>99000</v>
      </c>
      <c r="K843" s="46" t="n">
        <f aca="false">IF(N(F843)&gt;0,F843,IF(N(E843)&gt;0,E843/요약!$F$27,0))</f>
        <v>25600</v>
      </c>
      <c r="L843" s="46" t="n">
        <f aca="false">IF(B843="CN",IF(N(I843)&gt;0,I843*요약!$G$27,K843*(1+요약!$E$27)),IF(N(H843)&gt;0,H843*요약!$G$27,J843*요약!$D$27))</f>
        <v>30756</v>
      </c>
      <c r="M843" s="46" t="n">
        <f aca="false">D843*J843</f>
        <v>57420000</v>
      </c>
      <c r="N843" s="46" t="n">
        <f aca="false">D843*K843</f>
        <v>14848000</v>
      </c>
      <c r="O843" s="46" t="n">
        <f aca="false">D843*L843</f>
        <v>17838480</v>
      </c>
      <c r="P843" s="42" t="str">
        <f aca="false">TRIM(IF(N(E843)&lt;=0,"택가보정 ","")&amp;IF(N(F843)&lt;=0,"원가보정 ","")&amp;IF(AND(B843&lt;&gt;"CN",N(H843)&lt;=0),"공급가보정 ","")&amp;IF(AND(B843="CN",N(I843)&lt;=0),"중국공급가=원가+마진 ",""))</f>
        <v/>
      </c>
      <c r="Q843" s="47" t="n">
        <f aca="false">IF(SUMIFS($W:$W,$A:$A,A843,$C:$C,C843)=0,0,SUMIFS(RAW_판매펀칭!$K:$K,RAW_판매펀칭!$P:$P,A843,RAW_판매펀칭!$I:$I,C843)*W843/SUMIFS($W:$W,$A:$A,A843,$C:$C,C843))</f>
        <v>580</v>
      </c>
      <c r="R843" s="47" t="n">
        <f aca="false">IF(OR(A843="500",A843="800",A843="810"),0,MAX(W843-Q843,0))</f>
        <v>0</v>
      </c>
      <c r="S843" s="47" t="n">
        <f aca="false">R843*L843</f>
        <v>0</v>
      </c>
      <c r="T843" s="47" t="n">
        <f aca="false">R843*J843</f>
        <v>0</v>
      </c>
      <c r="U843" s="47" t="n">
        <f aca="false">R843*K843</f>
        <v>0</v>
      </c>
      <c r="V843" s="0" t="str">
        <f aca="false">IF(COUNTIFS($A$2:A843,A843,$C$2:C843,C843,$D$2:D843,D843)&gt;1,"중복","")</f>
        <v/>
      </c>
      <c r="W843" s="0" t="n">
        <f aca="false">IF(V843="중복",0,N(D843))</f>
        <v>580</v>
      </c>
      <c r="X843" s="0" t="n">
        <f aca="false">IF(COUNTIFS($A$2:A843,A843,$C$2:C843,C843)=1,ABS(SUMIFS(RAW_발주!$D:$D,RAW_발주!$C:$C,A843,RAW_발주!$A:$A,C843)-SUMIFS($W:$W,$A:$A,A843,$C:$C,C843)),0)</f>
        <v>0</v>
      </c>
    </row>
    <row r="844" customFormat="false" ht="15" hidden="false" customHeight="true" outlineLevel="0" collapsed="false">
      <c r="A844" s="45" t="s">
        <v>1662</v>
      </c>
      <c r="B844" s="42" t="str">
        <f aca="false">IF(A844="100","HK",IF(A844="200","CN",IF(A844="300","TW","홀세일")))</f>
        <v>홀세일</v>
      </c>
      <c r="C844" s="45" t="s">
        <v>434</v>
      </c>
      <c r="D844" s="46" t="n">
        <v>230</v>
      </c>
      <c r="E844" s="46" t="n">
        <v>99000</v>
      </c>
      <c r="F844" s="46" t="n">
        <v>25600</v>
      </c>
      <c r="G844" s="42" t="n">
        <v>3.85</v>
      </c>
      <c r="H844" s="42" t="n">
        <v>23.3</v>
      </c>
      <c r="I844" s="42" t="n">
        <v>0</v>
      </c>
      <c r="J844" s="46" t="n">
        <f aca="false">IF(N(E844)&gt;0,E844,IF(N(F844)&gt;0,F844*요약!$F$27,0))</f>
        <v>99000</v>
      </c>
      <c r="K844" s="46" t="n">
        <f aca="false">IF(N(F844)&gt;0,F844,IF(N(E844)&gt;0,E844/요약!$F$27,0))</f>
        <v>25600</v>
      </c>
      <c r="L844" s="46" t="n">
        <f aca="false">IF(B844="CN",IF(N(I844)&gt;0,I844*요약!$G$27,K844*(1+요약!$E$27)),IF(N(H844)&gt;0,H844*요약!$G$27,J844*요약!$D$27))</f>
        <v>30756</v>
      </c>
      <c r="M844" s="46" t="n">
        <f aca="false">D844*J844</f>
        <v>22770000</v>
      </c>
      <c r="N844" s="46" t="n">
        <f aca="false">D844*K844</f>
        <v>5888000</v>
      </c>
      <c r="O844" s="46" t="n">
        <f aca="false">D844*L844</f>
        <v>7073880</v>
      </c>
      <c r="P844" s="42" t="str">
        <f aca="false">TRIM(IF(N(E844)&lt;=0,"택가보정 ","")&amp;IF(N(F844)&lt;=0,"원가보정 ","")&amp;IF(AND(B844&lt;&gt;"CN",N(H844)&lt;=0),"공급가보정 ","")&amp;IF(AND(B844="CN",N(I844)&lt;=0),"중국공급가=원가+마진 ",""))</f>
        <v/>
      </c>
      <c r="Q844" s="47" t="n">
        <f aca="false">IF(SUMIFS($W:$W,$A:$A,A844,$C:$C,C844)=0,0,SUMIFS(RAW_판매펀칭!$K:$K,RAW_판매펀칭!$P:$P,A844,RAW_판매펀칭!$I:$I,C844)*W844/SUMIFS($W:$W,$A:$A,A844,$C:$C,C844))</f>
        <v>0</v>
      </c>
      <c r="R844" s="47" t="n">
        <f aca="false">IF(OR(A844="500",A844="800",A844="810"),0,MAX(W844-Q844,0))</f>
        <v>0</v>
      </c>
      <c r="S844" s="47" t="n">
        <f aca="false">R844*L844</f>
        <v>0</v>
      </c>
      <c r="T844" s="47" t="n">
        <f aca="false">R844*J844</f>
        <v>0</v>
      </c>
      <c r="U844" s="47" t="n">
        <f aca="false">R844*K844</f>
        <v>0</v>
      </c>
      <c r="V844" s="0" t="str">
        <f aca="false">IF(COUNTIFS($A$2:A844,A844,$C$2:C844,C844,$D$2:D844,D844)&gt;1,"중복","")</f>
        <v/>
      </c>
      <c r="W844" s="0" t="n">
        <f aca="false">IF(V844="중복",0,N(D844))</f>
        <v>230</v>
      </c>
      <c r="X844" s="0" t="n">
        <f aca="false">IF(COUNTIFS($A$2:A844,A844,$C$2:C844,C844)=1,ABS(SUMIFS(RAW_발주!$D:$D,RAW_발주!$C:$C,A844,RAW_발주!$A:$A,C844)-SUMIFS($W:$W,$A:$A,A844,$C:$C,C844)),0)</f>
        <v>0</v>
      </c>
    </row>
    <row r="845" customFormat="false" ht="15" hidden="false" customHeight="true" outlineLevel="0" collapsed="false">
      <c r="A845" s="45" t="s">
        <v>1663</v>
      </c>
      <c r="B845" s="42" t="str">
        <f aca="false">IF(A845="100","HK",IF(A845="200","CN",IF(A845="300","TW","홀세일")))</f>
        <v>홀세일</v>
      </c>
      <c r="C845" s="45" t="s">
        <v>434</v>
      </c>
      <c r="D845" s="46" t="n">
        <v>130</v>
      </c>
      <c r="E845" s="46" t="n">
        <v>99000</v>
      </c>
      <c r="F845" s="46" t="n">
        <v>25600</v>
      </c>
      <c r="G845" s="42" t="n">
        <v>3.85</v>
      </c>
      <c r="H845" s="42" t="n">
        <v>23.3</v>
      </c>
      <c r="I845" s="42" t="n">
        <v>0</v>
      </c>
      <c r="J845" s="46" t="n">
        <f aca="false">IF(N(E845)&gt;0,E845,IF(N(F845)&gt;0,F845*요약!$F$27,0))</f>
        <v>99000</v>
      </c>
      <c r="K845" s="46" t="n">
        <f aca="false">IF(N(F845)&gt;0,F845,IF(N(E845)&gt;0,E845/요약!$F$27,0))</f>
        <v>25600</v>
      </c>
      <c r="L845" s="46" t="n">
        <f aca="false">IF(B845="CN",IF(N(I845)&gt;0,I845*요약!$G$27,K845*(1+요약!$E$27)),IF(N(H845)&gt;0,H845*요약!$G$27,J845*요약!$D$27))</f>
        <v>30756</v>
      </c>
      <c r="M845" s="46" t="n">
        <f aca="false">D845*J845</f>
        <v>12870000</v>
      </c>
      <c r="N845" s="46" t="n">
        <f aca="false">D845*K845</f>
        <v>3328000</v>
      </c>
      <c r="O845" s="46" t="n">
        <f aca="false">D845*L845</f>
        <v>3998280</v>
      </c>
      <c r="P845" s="42" t="str">
        <f aca="false">TRIM(IF(N(E845)&lt;=0,"택가보정 ","")&amp;IF(N(F845)&lt;=0,"원가보정 ","")&amp;IF(AND(B845&lt;&gt;"CN",N(H845)&lt;=0),"공급가보정 ","")&amp;IF(AND(B845="CN",N(I845)&lt;=0),"중국공급가=원가+마진 ",""))</f>
        <v/>
      </c>
      <c r="Q845" s="47" t="n">
        <f aca="false">IF(SUMIFS($W:$W,$A:$A,A845,$C:$C,C845)=0,0,SUMIFS(RAW_판매펀칭!$K:$K,RAW_판매펀칭!$P:$P,A845,RAW_판매펀칭!$I:$I,C845)*W845/SUMIFS($W:$W,$A:$A,A845,$C:$C,C845))</f>
        <v>130</v>
      </c>
      <c r="R845" s="47" t="n">
        <f aca="false">IF(OR(A845="500",A845="800",A845="810"),0,MAX(W845-Q845,0))</f>
        <v>0</v>
      </c>
      <c r="S845" s="47" t="n">
        <f aca="false">R845*L845</f>
        <v>0</v>
      </c>
      <c r="T845" s="47" t="n">
        <f aca="false">R845*J845</f>
        <v>0</v>
      </c>
      <c r="U845" s="47" t="n">
        <f aca="false">R845*K845</f>
        <v>0</v>
      </c>
      <c r="V845" s="0" t="str">
        <f aca="false">IF(COUNTIFS($A$2:A845,A845,$C$2:C845,C845,$D$2:D845,D845)&gt;1,"중복","")</f>
        <v/>
      </c>
      <c r="W845" s="0" t="n">
        <f aca="false">IF(V845="중복",0,N(D845))</f>
        <v>130</v>
      </c>
      <c r="X845" s="0" t="n">
        <f aca="false">IF(COUNTIFS($A$2:A845,A845,$C$2:C845,C845)=1,ABS(SUMIFS(RAW_발주!$D:$D,RAW_발주!$C:$C,A845,RAW_발주!$A:$A,C845)-SUMIFS($W:$W,$A:$A,A845,$C:$C,C845)),0)</f>
        <v>0</v>
      </c>
    </row>
    <row r="846" customFormat="false" ht="15" hidden="false" customHeight="true" outlineLevel="0" collapsed="false">
      <c r="A846" s="45" t="s">
        <v>1659</v>
      </c>
      <c r="B846" s="42" t="str">
        <f aca="false">IF(A846="100","HK",IF(A846="200","CN",IF(A846="300","TW","홀세일")))</f>
        <v>HK</v>
      </c>
      <c r="C846" s="45" t="s">
        <v>436</v>
      </c>
      <c r="D846" s="46" t="n">
        <v>200</v>
      </c>
      <c r="E846" s="46" t="n">
        <v>59000</v>
      </c>
      <c r="F846" s="46" t="n">
        <v>10000</v>
      </c>
      <c r="G846" s="42" t="n">
        <v>4.75</v>
      </c>
      <c r="H846" s="42" t="n">
        <v>13.9</v>
      </c>
      <c r="I846" s="42" t="n">
        <v>0</v>
      </c>
      <c r="J846" s="46" t="n">
        <f aca="false">IF(N(E846)&gt;0,E846,IF(N(F846)&gt;0,F846*요약!$F$27,0))</f>
        <v>59000</v>
      </c>
      <c r="K846" s="46" t="n">
        <f aca="false">IF(N(F846)&gt;0,F846,IF(N(E846)&gt;0,E846/요약!$F$27,0))</f>
        <v>10000</v>
      </c>
      <c r="L846" s="46" t="n">
        <f aca="false">IF(B846="CN",IF(N(I846)&gt;0,I846*요약!$G$27,K846*(1+요약!$E$27)),IF(N(H846)&gt;0,H846*요약!$G$27,J846*요약!$D$27))</f>
        <v>18348</v>
      </c>
      <c r="M846" s="46" t="n">
        <f aca="false">D846*J846</f>
        <v>11800000</v>
      </c>
      <c r="N846" s="46" t="n">
        <f aca="false">D846*K846</f>
        <v>2000000</v>
      </c>
      <c r="O846" s="46" t="n">
        <f aca="false">D846*L846</f>
        <v>3669600</v>
      </c>
      <c r="P846" s="42" t="str">
        <f aca="false">TRIM(IF(N(E846)&lt;=0,"택가보정 ","")&amp;IF(N(F846)&lt;=0,"원가보정 ","")&amp;IF(AND(B846&lt;&gt;"CN",N(H846)&lt;=0),"공급가보정 ","")&amp;IF(AND(B846="CN",N(I846)&lt;=0),"중국공급가=원가+마진 ",""))</f>
        <v/>
      </c>
      <c r="Q846" s="47" t="n">
        <f aca="false">IF(SUMIFS($W:$W,$A:$A,A846,$C:$C,C846)=0,0,SUMIFS(RAW_판매펀칭!$K:$K,RAW_판매펀칭!$P:$P,A846,RAW_판매펀칭!$I:$I,C846)*W846/SUMIFS($W:$W,$A:$A,A846,$C:$C,C846))</f>
        <v>200</v>
      </c>
      <c r="R846" s="47" t="n">
        <f aca="false">IF(OR(A846="500",A846="800",A846="810"),0,MAX(W846-Q846,0))</f>
        <v>0</v>
      </c>
      <c r="S846" s="47" t="n">
        <f aca="false">R846*L846</f>
        <v>0</v>
      </c>
      <c r="T846" s="47" t="n">
        <f aca="false">R846*J846</f>
        <v>0</v>
      </c>
      <c r="U846" s="47" t="n">
        <f aca="false">R846*K846</f>
        <v>0</v>
      </c>
      <c r="V846" s="0" t="str">
        <f aca="false">IF(COUNTIFS($A$2:A846,A846,$C$2:C846,C846,$D$2:D846,D846)&gt;1,"중복","")</f>
        <v/>
      </c>
      <c r="W846" s="0" t="n">
        <f aca="false">IF(V846="중복",0,N(D846))</f>
        <v>200</v>
      </c>
      <c r="X846" s="0" t="n">
        <f aca="false">IF(COUNTIFS($A$2:A846,A846,$C$2:C846,C846)=1,ABS(SUMIFS(RAW_발주!$D:$D,RAW_발주!$C:$C,A846,RAW_발주!$A:$A,C846)-SUMIFS($W:$W,$A:$A,A846,$C:$C,C846)),0)</f>
        <v>0</v>
      </c>
    </row>
    <row r="847" customFormat="false" ht="15" hidden="false" customHeight="true" outlineLevel="0" collapsed="false">
      <c r="A847" s="45" t="s">
        <v>1661</v>
      </c>
      <c r="B847" s="42" t="str">
        <f aca="false">IF(A847="100","HK",IF(A847="200","CN",IF(A847="300","TW","홀세일")))</f>
        <v>TW</v>
      </c>
      <c r="C847" s="45" t="s">
        <v>436</v>
      </c>
      <c r="D847" s="46" t="n">
        <v>450</v>
      </c>
      <c r="E847" s="46" t="n">
        <v>59000</v>
      </c>
      <c r="F847" s="46" t="n">
        <v>10000</v>
      </c>
      <c r="G847" s="42" t="n">
        <v>4.75</v>
      </c>
      <c r="H847" s="42" t="n">
        <v>13.9</v>
      </c>
      <c r="I847" s="42" t="n">
        <v>0</v>
      </c>
      <c r="J847" s="46" t="n">
        <f aca="false">IF(N(E847)&gt;0,E847,IF(N(F847)&gt;0,F847*요약!$F$27,0))</f>
        <v>59000</v>
      </c>
      <c r="K847" s="46" t="n">
        <f aca="false">IF(N(F847)&gt;0,F847,IF(N(E847)&gt;0,E847/요약!$F$27,0))</f>
        <v>10000</v>
      </c>
      <c r="L847" s="46" t="n">
        <f aca="false">IF(B847="CN",IF(N(I847)&gt;0,I847*요약!$G$27,K847*(1+요약!$E$27)),IF(N(H847)&gt;0,H847*요약!$G$27,J847*요약!$D$27))</f>
        <v>18348</v>
      </c>
      <c r="M847" s="46" t="n">
        <f aca="false">D847*J847</f>
        <v>26550000</v>
      </c>
      <c r="N847" s="46" t="n">
        <f aca="false">D847*K847</f>
        <v>4500000</v>
      </c>
      <c r="O847" s="46" t="n">
        <f aca="false">D847*L847</f>
        <v>8256600</v>
      </c>
      <c r="P847" s="42" t="str">
        <f aca="false">TRIM(IF(N(E847)&lt;=0,"택가보정 ","")&amp;IF(N(F847)&lt;=0,"원가보정 ","")&amp;IF(AND(B847&lt;&gt;"CN",N(H847)&lt;=0),"공급가보정 ","")&amp;IF(AND(B847="CN",N(I847)&lt;=0),"중국공급가=원가+마진 ",""))</f>
        <v/>
      </c>
      <c r="Q847" s="47" t="n">
        <f aca="false">IF(SUMIFS($W:$W,$A:$A,A847,$C:$C,C847)=0,0,SUMIFS(RAW_판매펀칭!$K:$K,RAW_판매펀칭!$P:$P,A847,RAW_판매펀칭!$I:$I,C847)*W847/SUMIFS($W:$W,$A:$A,A847,$C:$C,C847))</f>
        <v>450</v>
      </c>
      <c r="R847" s="47" t="n">
        <f aca="false">IF(OR(A847="500",A847="800",A847="810"),0,MAX(W847-Q847,0))</f>
        <v>0</v>
      </c>
      <c r="S847" s="47" t="n">
        <f aca="false">R847*L847</f>
        <v>0</v>
      </c>
      <c r="T847" s="47" t="n">
        <f aca="false">R847*J847</f>
        <v>0</v>
      </c>
      <c r="U847" s="47" t="n">
        <f aca="false">R847*K847</f>
        <v>0</v>
      </c>
      <c r="V847" s="0" t="str">
        <f aca="false">IF(COUNTIFS($A$2:A847,A847,$C$2:C847,C847,$D$2:D847,D847)&gt;1,"중복","")</f>
        <v/>
      </c>
      <c r="W847" s="0" t="n">
        <f aca="false">IF(V847="중복",0,N(D847))</f>
        <v>450</v>
      </c>
      <c r="X847" s="0" t="n">
        <f aca="false">IF(COUNTIFS($A$2:A847,A847,$C$2:C847,C847)=1,ABS(SUMIFS(RAW_발주!$D:$D,RAW_발주!$C:$C,A847,RAW_발주!$A:$A,C847)-SUMIFS($W:$W,$A:$A,A847,$C:$C,C847)),0)</f>
        <v>0</v>
      </c>
    </row>
    <row r="848" customFormat="false" ht="15" hidden="false" customHeight="true" outlineLevel="0" collapsed="false">
      <c r="A848" s="45" t="s">
        <v>1663</v>
      </c>
      <c r="B848" s="42" t="str">
        <f aca="false">IF(A848="100","HK",IF(A848="200","CN",IF(A848="300","TW","홀세일")))</f>
        <v>홀세일</v>
      </c>
      <c r="C848" s="45" t="s">
        <v>436</v>
      </c>
      <c r="D848" s="46" t="n">
        <v>35</v>
      </c>
      <c r="E848" s="46" t="n">
        <v>59000</v>
      </c>
      <c r="F848" s="46" t="n">
        <v>10000</v>
      </c>
      <c r="G848" s="42" t="n">
        <v>4.75</v>
      </c>
      <c r="H848" s="42" t="n">
        <v>13.9</v>
      </c>
      <c r="I848" s="42" t="n">
        <v>0</v>
      </c>
      <c r="J848" s="46" t="n">
        <f aca="false">IF(N(E848)&gt;0,E848,IF(N(F848)&gt;0,F848*요약!$F$27,0))</f>
        <v>59000</v>
      </c>
      <c r="K848" s="46" t="n">
        <f aca="false">IF(N(F848)&gt;0,F848,IF(N(E848)&gt;0,E848/요약!$F$27,0))</f>
        <v>10000</v>
      </c>
      <c r="L848" s="46" t="n">
        <f aca="false">IF(B848="CN",IF(N(I848)&gt;0,I848*요약!$G$27,K848*(1+요약!$E$27)),IF(N(H848)&gt;0,H848*요약!$G$27,J848*요약!$D$27))</f>
        <v>18348</v>
      </c>
      <c r="M848" s="46" t="n">
        <f aca="false">D848*J848</f>
        <v>2065000</v>
      </c>
      <c r="N848" s="46" t="n">
        <f aca="false">D848*K848</f>
        <v>350000</v>
      </c>
      <c r="O848" s="46" t="n">
        <f aca="false">D848*L848</f>
        <v>642180</v>
      </c>
      <c r="P848" s="42" t="str">
        <f aca="false">TRIM(IF(N(E848)&lt;=0,"택가보정 ","")&amp;IF(N(F848)&lt;=0,"원가보정 ","")&amp;IF(AND(B848&lt;&gt;"CN",N(H848)&lt;=0),"공급가보정 ","")&amp;IF(AND(B848="CN",N(I848)&lt;=0),"중국공급가=원가+마진 ",""))</f>
        <v/>
      </c>
      <c r="Q848" s="47" t="n">
        <f aca="false">IF(SUMIFS($W:$W,$A:$A,A848,$C:$C,C848)=0,0,SUMIFS(RAW_판매펀칭!$K:$K,RAW_판매펀칭!$P:$P,A848,RAW_판매펀칭!$I:$I,C848)*W848/SUMIFS($W:$W,$A:$A,A848,$C:$C,C848))</f>
        <v>35</v>
      </c>
      <c r="R848" s="47" t="n">
        <f aca="false">IF(OR(A848="500",A848="800",A848="810"),0,MAX(W848-Q848,0))</f>
        <v>0</v>
      </c>
      <c r="S848" s="47" t="n">
        <f aca="false">R848*L848</f>
        <v>0</v>
      </c>
      <c r="T848" s="47" t="n">
        <f aca="false">R848*J848</f>
        <v>0</v>
      </c>
      <c r="U848" s="47" t="n">
        <f aca="false">R848*K848</f>
        <v>0</v>
      </c>
      <c r="V848" s="0" t="str">
        <f aca="false">IF(COUNTIFS($A$2:A848,A848,$C$2:C848,C848,$D$2:D848,D848)&gt;1,"중복","")</f>
        <v/>
      </c>
      <c r="W848" s="0" t="n">
        <f aca="false">IF(V848="중복",0,N(D848))</f>
        <v>35</v>
      </c>
      <c r="X848" s="0" t="n">
        <f aca="false">IF(COUNTIFS($A$2:A848,A848,$C$2:C848,C848)=1,ABS(SUMIFS(RAW_발주!$D:$D,RAW_발주!$C:$C,A848,RAW_발주!$A:$A,C848)-SUMIFS($W:$W,$A:$A,A848,$C:$C,C848)),0)</f>
        <v>0</v>
      </c>
    </row>
    <row r="849" customFormat="false" ht="15" hidden="false" customHeight="true" outlineLevel="0" collapsed="false">
      <c r="A849" s="45" t="s">
        <v>1664</v>
      </c>
      <c r="B849" s="42" t="str">
        <f aca="false">IF(A849="100","HK",IF(A849="200","CN",IF(A849="300","TW","홀세일")))</f>
        <v>홀세일</v>
      </c>
      <c r="C849" s="45" t="s">
        <v>436</v>
      </c>
      <c r="D849" s="46" t="n">
        <v>105</v>
      </c>
      <c r="E849" s="46" t="n">
        <v>59000</v>
      </c>
      <c r="F849" s="46" t="n">
        <v>10000</v>
      </c>
      <c r="G849" s="42" t="n">
        <v>4.75</v>
      </c>
      <c r="H849" s="42" t="n">
        <v>13.9</v>
      </c>
      <c r="I849" s="42" t="n">
        <v>0</v>
      </c>
      <c r="J849" s="46" t="n">
        <f aca="false">IF(N(E849)&gt;0,E849,IF(N(F849)&gt;0,F849*요약!$F$27,0))</f>
        <v>59000</v>
      </c>
      <c r="K849" s="46" t="n">
        <f aca="false">IF(N(F849)&gt;0,F849,IF(N(E849)&gt;0,E849/요약!$F$27,0))</f>
        <v>10000</v>
      </c>
      <c r="L849" s="46" t="n">
        <f aca="false">IF(B849="CN",IF(N(I849)&gt;0,I849*요약!$G$27,K849*(1+요약!$E$27)),IF(N(H849)&gt;0,H849*요약!$G$27,J849*요약!$D$27))</f>
        <v>18348</v>
      </c>
      <c r="M849" s="46" t="n">
        <f aca="false">D849*J849</f>
        <v>6195000</v>
      </c>
      <c r="N849" s="46" t="n">
        <f aca="false">D849*K849</f>
        <v>1050000</v>
      </c>
      <c r="O849" s="46" t="n">
        <f aca="false">D849*L849</f>
        <v>1926540</v>
      </c>
      <c r="P849" s="42" t="str">
        <f aca="false">TRIM(IF(N(E849)&lt;=0,"택가보정 ","")&amp;IF(N(F849)&lt;=0,"원가보정 ","")&amp;IF(AND(B849&lt;&gt;"CN",N(H849)&lt;=0),"공급가보정 ","")&amp;IF(AND(B849="CN",N(I849)&lt;=0),"중국공급가=원가+마진 ",""))</f>
        <v/>
      </c>
      <c r="Q849" s="47" t="n">
        <f aca="false">IF(SUMIFS($W:$W,$A:$A,A849,$C:$C,C849)=0,0,SUMIFS(RAW_판매펀칭!$K:$K,RAW_판매펀칭!$P:$P,A849,RAW_판매펀칭!$I:$I,C849)*W849/SUMIFS($W:$W,$A:$A,A849,$C:$C,C849))</f>
        <v>0</v>
      </c>
      <c r="R849" s="47" t="n">
        <f aca="false">IF(OR(A849="500",A849="800",A849="810"),0,MAX(W849-Q849,0))</f>
        <v>0</v>
      </c>
      <c r="S849" s="47" t="n">
        <f aca="false">R849*L849</f>
        <v>0</v>
      </c>
      <c r="T849" s="47" t="n">
        <f aca="false">R849*J849</f>
        <v>0</v>
      </c>
      <c r="U849" s="47" t="n">
        <f aca="false">R849*K849</f>
        <v>0</v>
      </c>
      <c r="V849" s="0" t="str">
        <f aca="false">IF(COUNTIFS($A$2:A849,A849,$C$2:C849,C849,$D$2:D849,D849)&gt;1,"중복","")</f>
        <v/>
      </c>
      <c r="W849" s="0" t="n">
        <f aca="false">IF(V849="중복",0,N(D849))</f>
        <v>105</v>
      </c>
      <c r="X849" s="0" t="n">
        <f aca="false">IF(COUNTIFS($A$2:A849,A849,$C$2:C849,C849)=1,ABS(SUMIFS(RAW_발주!$D:$D,RAW_발주!$C:$C,A849,RAW_발주!$A:$A,C849)-SUMIFS($W:$W,$A:$A,A849,$C:$C,C849)),0)</f>
        <v>0</v>
      </c>
    </row>
    <row r="850" customFormat="false" ht="15" hidden="false" customHeight="true" outlineLevel="0" collapsed="false">
      <c r="A850" s="45" t="s">
        <v>1659</v>
      </c>
      <c r="B850" s="42" t="str">
        <f aca="false">IF(A850="100","HK",IF(A850="200","CN",IF(A850="300","TW","홀세일")))</f>
        <v>HK</v>
      </c>
      <c r="C850" s="45" t="s">
        <v>438</v>
      </c>
      <c r="D850" s="46" t="n">
        <v>200</v>
      </c>
      <c r="E850" s="46" t="n">
        <v>69000</v>
      </c>
      <c r="F850" s="46" t="n">
        <v>18500</v>
      </c>
      <c r="G850" s="42" t="n">
        <v>4.01</v>
      </c>
      <c r="H850" s="42" t="n">
        <v>16.3</v>
      </c>
      <c r="I850" s="42" t="n">
        <v>0</v>
      </c>
      <c r="J850" s="46" t="n">
        <f aca="false">IF(N(E850)&gt;0,E850,IF(N(F850)&gt;0,F850*요약!$F$27,0))</f>
        <v>69000</v>
      </c>
      <c r="K850" s="46" t="n">
        <f aca="false">IF(N(F850)&gt;0,F850,IF(N(E850)&gt;0,E850/요약!$F$27,0))</f>
        <v>18500</v>
      </c>
      <c r="L850" s="46" t="n">
        <f aca="false">IF(B850="CN",IF(N(I850)&gt;0,I850*요약!$G$27,K850*(1+요약!$E$27)),IF(N(H850)&gt;0,H850*요약!$G$27,J850*요약!$D$27))</f>
        <v>21516</v>
      </c>
      <c r="M850" s="46" t="n">
        <f aca="false">D850*J850</f>
        <v>13800000</v>
      </c>
      <c r="N850" s="46" t="n">
        <f aca="false">D850*K850</f>
        <v>3700000</v>
      </c>
      <c r="O850" s="46" t="n">
        <f aca="false">D850*L850</f>
        <v>4303200</v>
      </c>
      <c r="P850" s="42" t="str">
        <f aca="false">TRIM(IF(N(E850)&lt;=0,"택가보정 ","")&amp;IF(N(F850)&lt;=0,"원가보정 ","")&amp;IF(AND(B850&lt;&gt;"CN",N(H850)&lt;=0),"공급가보정 ","")&amp;IF(AND(B850="CN",N(I850)&lt;=0),"중국공급가=원가+마진 ",""))</f>
        <v/>
      </c>
      <c r="Q850" s="47" t="n">
        <f aca="false">IF(SUMIFS($W:$W,$A:$A,A850,$C:$C,C850)=0,0,SUMIFS(RAW_판매펀칭!$K:$K,RAW_판매펀칭!$P:$P,A850,RAW_판매펀칭!$I:$I,C850)*W850/SUMIFS($W:$W,$A:$A,A850,$C:$C,C850))</f>
        <v>200</v>
      </c>
      <c r="R850" s="47" t="n">
        <f aca="false">IF(OR(A850="500",A850="800",A850="810"),0,MAX(W850-Q850,0))</f>
        <v>0</v>
      </c>
      <c r="S850" s="47" t="n">
        <f aca="false">R850*L850</f>
        <v>0</v>
      </c>
      <c r="T850" s="47" t="n">
        <f aca="false">R850*J850</f>
        <v>0</v>
      </c>
      <c r="U850" s="47" t="n">
        <f aca="false">R850*K850</f>
        <v>0</v>
      </c>
      <c r="V850" s="0" t="str">
        <f aca="false">IF(COUNTIFS($A$2:A850,A850,$C$2:C850,C850,$D$2:D850,D850)&gt;1,"중복","")</f>
        <v/>
      </c>
      <c r="W850" s="0" t="n">
        <f aca="false">IF(V850="중복",0,N(D850))</f>
        <v>200</v>
      </c>
      <c r="X850" s="0" t="n">
        <f aca="false">IF(COUNTIFS($A$2:A850,A850,$C$2:C850,C850)=1,ABS(SUMIFS(RAW_발주!$D:$D,RAW_발주!$C:$C,A850,RAW_발주!$A:$A,C850)-SUMIFS($W:$W,$A:$A,A850,$C:$C,C850)),0)</f>
        <v>0</v>
      </c>
    </row>
    <row r="851" customFormat="false" ht="15" hidden="false" customHeight="true" outlineLevel="0" collapsed="false">
      <c r="A851" s="45" t="s">
        <v>1661</v>
      </c>
      <c r="B851" s="42" t="str">
        <f aca="false">IF(A851="100","HK",IF(A851="200","CN",IF(A851="300","TW","홀세일")))</f>
        <v>TW</v>
      </c>
      <c r="C851" s="45" t="s">
        <v>438</v>
      </c>
      <c r="D851" s="46" t="n">
        <v>550</v>
      </c>
      <c r="E851" s="46" t="n">
        <v>69000</v>
      </c>
      <c r="F851" s="46" t="n">
        <v>18500</v>
      </c>
      <c r="G851" s="42" t="n">
        <v>4.01</v>
      </c>
      <c r="H851" s="42" t="n">
        <v>16.3</v>
      </c>
      <c r="I851" s="42" t="n">
        <v>0</v>
      </c>
      <c r="J851" s="46" t="n">
        <f aca="false">IF(N(E851)&gt;0,E851,IF(N(F851)&gt;0,F851*요약!$F$27,0))</f>
        <v>69000</v>
      </c>
      <c r="K851" s="46" t="n">
        <f aca="false">IF(N(F851)&gt;0,F851,IF(N(E851)&gt;0,E851/요약!$F$27,0))</f>
        <v>18500</v>
      </c>
      <c r="L851" s="46" t="n">
        <f aca="false">IF(B851="CN",IF(N(I851)&gt;0,I851*요약!$G$27,K851*(1+요약!$E$27)),IF(N(H851)&gt;0,H851*요약!$G$27,J851*요약!$D$27))</f>
        <v>21516</v>
      </c>
      <c r="M851" s="46" t="n">
        <f aca="false">D851*J851</f>
        <v>37950000</v>
      </c>
      <c r="N851" s="46" t="n">
        <f aca="false">D851*K851</f>
        <v>10175000</v>
      </c>
      <c r="O851" s="46" t="n">
        <f aca="false">D851*L851</f>
        <v>11833800</v>
      </c>
      <c r="P851" s="42" t="str">
        <f aca="false">TRIM(IF(N(E851)&lt;=0,"택가보정 ","")&amp;IF(N(F851)&lt;=0,"원가보정 ","")&amp;IF(AND(B851&lt;&gt;"CN",N(H851)&lt;=0),"공급가보정 ","")&amp;IF(AND(B851="CN",N(I851)&lt;=0),"중국공급가=원가+마진 ",""))</f>
        <v/>
      </c>
      <c r="Q851" s="47" t="n">
        <f aca="false">IF(SUMIFS($W:$W,$A:$A,A851,$C:$C,C851)=0,0,SUMIFS(RAW_판매펀칭!$K:$K,RAW_판매펀칭!$P:$P,A851,RAW_판매펀칭!$I:$I,C851)*W851/SUMIFS($W:$W,$A:$A,A851,$C:$C,C851))</f>
        <v>550</v>
      </c>
      <c r="R851" s="47" t="n">
        <f aca="false">IF(OR(A851="500",A851="800",A851="810"),0,MAX(W851-Q851,0))</f>
        <v>0</v>
      </c>
      <c r="S851" s="47" t="n">
        <f aca="false">R851*L851</f>
        <v>0</v>
      </c>
      <c r="T851" s="47" t="n">
        <f aca="false">R851*J851</f>
        <v>0</v>
      </c>
      <c r="U851" s="47" t="n">
        <f aca="false">R851*K851</f>
        <v>0</v>
      </c>
      <c r="V851" s="0" t="str">
        <f aca="false">IF(COUNTIFS($A$2:A851,A851,$C$2:C851,C851,$D$2:D851,D851)&gt;1,"중복","")</f>
        <v/>
      </c>
      <c r="W851" s="0" t="n">
        <f aca="false">IF(V851="중복",0,N(D851))</f>
        <v>550</v>
      </c>
      <c r="X851" s="0" t="n">
        <f aca="false">IF(COUNTIFS($A$2:A851,A851,$C$2:C851,C851)=1,ABS(SUMIFS(RAW_발주!$D:$D,RAW_발주!$C:$C,A851,RAW_발주!$A:$A,C851)-SUMIFS($W:$W,$A:$A,A851,$C:$C,C851)),0)</f>
        <v>0</v>
      </c>
    </row>
    <row r="852" customFormat="false" ht="15" hidden="false" customHeight="true" outlineLevel="0" collapsed="false">
      <c r="A852" s="45" t="s">
        <v>1663</v>
      </c>
      <c r="B852" s="42" t="str">
        <f aca="false">IF(A852="100","HK",IF(A852="200","CN",IF(A852="300","TW","홀세일")))</f>
        <v>홀세일</v>
      </c>
      <c r="C852" s="45" t="s">
        <v>438</v>
      </c>
      <c r="D852" s="46" t="n">
        <v>75</v>
      </c>
      <c r="E852" s="46" t="n">
        <v>69000</v>
      </c>
      <c r="F852" s="46" t="n">
        <v>18500</v>
      </c>
      <c r="G852" s="42" t="n">
        <v>4.01</v>
      </c>
      <c r="H852" s="42" t="n">
        <v>16.3</v>
      </c>
      <c r="I852" s="42" t="n">
        <v>0</v>
      </c>
      <c r="J852" s="46" t="n">
        <f aca="false">IF(N(E852)&gt;0,E852,IF(N(F852)&gt;0,F852*요약!$F$27,0))</f>
        <v>69000</v>
      </c>
      <c r="K852" s="46" t="n">
        <f aca="false">IF(N(F852)&gt;0,F852,IF(N(E852)&gt;0,E852/요약!$F$27,0))</f>
        <v>18500</v>
      </c>
      <c r="L852" s="46" t="n">
        <f aca="false">IF(B852="CN",IF(N(I852)&gt;0,I852*요약!$G$27,K852*(1+요약!$E$27)),IF(N(H852)&gt;0,H852*요약!$G$27,J852*요약!$D$27))</f>
        <v>21516</v>
      </c>
      <c r="M852" s="46" t="n">
        <f aca="false">D852*J852</f>
        <v>5175000</v>
      </c>
      <c r="N852" s="46" t="n">
        <f aca="false">D852*K852</f>
        <v>1387500</v>
      </c>
      <c r="O852" s="46" t="n">
        <f aca="false">D852*L852</f>
        <v>1613700</v>
      </c>
      <c r="P852" s="42" t="str">
        <f aca="false">TRIM(IF(N(E852)&lt;=0,"택가보정 ","")&amp;IF(N(F852)&lt;=0,"원가보정 ","")&amp;IF(AND(B852&lt;&gt;"CN",N(H852)&lt;=0),"공급가보정 ","")&amp;IF(AND(B852="CN",N(I852)&lt;=0),"중국공급가=원가+마진 ",""))</f>
        <v/>
      </c>
      <c r="Q852" s="47" t="n">
        <f aca="false">IF(SUMIFS($W:$W,$A:$A,A852,$C:$C,C852)=0,0,SUMIFS(RAW_판매펀칭!$K:$K,RAW_판매펀칭!$P:$P,A852,RAW_판매펀칭!$I:$I,C852)*W852/SUMIFS($W:$W,$A:$A,A852,$C:$C,C852))</f>
        <v>75</v>
      </c>
      <c r="R852" s="47" t="n">
        <f aca="false">IF(OR(A852="500",A852="800",A852="810"),0,MAX(W852-Q852,0))</f>
        <v>0</v>
      </c>
      <c r="S852" s="47" t="n">
        <f aca="false">R852*L852</f>
        <v>0</v>
      </c>
      <c r="T852" s="47" t="n">
        <f aca="false">R852*J852</f>
        <v>0</v>
      </c>
      <c r="U852" s="47" t="n">
        <f aca="false">R852*K852</f>
        <v>0</v>
      </c>
      <c r="V852" s="0" t="str">
        <f aca="false">IF(COUNTIFS($A$2:A852,A852,$C$2:C852,C852,$D$2:D852,D852)&gt;1,"중복","")</f>
        <v/>
      </c>
      <c r="W852" s="0" t="n">
        <f aca="false">IF(V852="중복",0,N(D852))</f>
        <v>75</v>
      </c>
      <c r="X852" s="0" t="n">
        <f aca="false">IF(COUNTIFS($A$2:A852,A852,$C$2:C852,C852)=1,ABS(SUMIFS(RAW_발주!$D:$D,RAW_발주!$C:$C,A852,RAW_발주!$A:$A,C852)-SUMIFS($W:$W,$A:$A,A852,$C:$C,C852)),0)</f>
        <v>0</v>
      </c>
    </row>
    <row r="853" customFormat="false" ht="15" hidden="false" customHeight="true" outlineLevel="0" collapsed="false">
      <c r="A853" s="45" t="s">
        <v>1659</v>
      </c>
      <c r="B853" s="42" t="str">
        <f aca="false">IF(A853="100","HK",IF(A853="200","CN",IF(A853="300","TW","홀세일")))</f>
        <v>HK</v>
      </c>
      <c r="C853" s="45" t="s">
        <v>440</v>
      </c>
      <c r="D853" s="46" t="n">
        <v>400</v>
      </c>
      <c r="E853" s="46" t="n">
        <v>59000</v>
      </c>
      <c r="F853" s="46" t="n">
        <v>12801</v>
      </c>
      <c r="G853" s="42" t="n">
        <v>4.07</v>
      </c>
      <c r="H853" s="42" t="n">
        <v>13.9</v>
      </c>
      <c r="I853" s="42" t="n">
        <v>11.3</v>
      </c>
      <c r="J853" s="46" t="n">
        <f aca="false">IF(N(E853)&gt;0,E853,IF(N(F853)&gt;0,F853*요약!$F$27,0))</f>
        <v>59000</v>
      </c>
      <c r="K853" s="46" t="n">
        <f aca="false">IF(N(F853)&gt;0,F853,IF(N(E853)&gt;0,E853/요약!$F$27,0))</f>
        <v>12801</v>
      </c>
      <c r="L853" s="46" t="n">
        <f aca="false">IF(B853="CN",IF(N(I853)&gt;0,I853*요약!$G$27,K853*(1+요약!$E$27)),IF(N(H853)&gt;0,H853*요약!$G$27,J853*요약!$D$27))</f>
        <v>18348</v>
      </c>
      <c r="M853" s="46" t="n">
        <f aca="false">D853*J853</f>
        <v>23600000</v>
      </c>
      <c r="N853" s="46" t="n">
        <f aca="false">D853*K853</f>
        <v>5120400</v>
      </c>
      <c r="O853" s="46" t="n">
        <f aca="false">D853*L853</f>
        <v>7339200</v>
      </c>
      <c r="P853" s="42" t="str">
        <f aca="false">TRIM(IF(N(E853)&lt;=0,"택가보정 ","")&amp;IF(N(F853)&lt;=0,"원가보정 ","")&amp;IF(AND(B853&lt;&gt;"CN",N(H853)&lt;=0),"공급가보정 ","")&amp;IF(AND(B853="CN",N(I853)&lt;=0),"중국공급가=원가+마진 ",""))</f>
        <v/>
      </c>
      <c r="Q853" s="47" t="n">
        <f aca="false">IF(SUMIFS($W:$W,$A:$A,A853,$C:$C,C853)=0,0,SUMIFS(RAW_판매펀칭!$K:$K,RAW_판매펀칭!$P:$P,A853,RAW_판매펀칭!$I:$I,C853)*W853/SUMIFS($W:$W,$A:$A,A853,$C:$C,C853))</f>
        <v>400</v>
      </c>
      <c r="R853" s="47" t="n">
        <f aca="false">IF(OR(A853="500",A853="800",A853="810"),0,MAX(W853-Q853,0))</f>
        <v>0</v>
      </c>
      <c r="S853" s="47" t="n">
        <f aca="false">R853*L853</f>
        <v>0</v>
      </c>
      <c r="T853" s="47" t="n">
        <f aca="false">R853*J853</f>
        <v>0</v>
      </c>
      <c r="U853" s="47" t="n">
        <f aca="false">R853*K853</f>
        <v>0</v>
      </c>
      <c r="V853" s="0" t="str">
        <f aca="false">IF(COUNTIFS($A$2:A853,A853,$C$2:C853,C853,$D$2:D853,D853)&gt;1,"중복","")</f>
        <v/>
      </c>
      <c r="W853" s="0" t="n">
        <f aca="false">IF(V853="중복",0,N(D853))</f>
        <v>400</v>
      </c>
      <c r="X853" s="0" t="n">
        <f aca="false">IF(COUNTIFS($A$2:A853,A853,$C$2:C853,C853)=1,ABS(SUMIFS(RAW_발주!$D:$D,RAW_발주!$C:$C,A853,RAW_발주!$A:$A,C853)-SUMIFS($W:$W,$A:$A,A853,$C:$C,C853)),0)</f>
        <v>0</v>
      </c>
    </row>
    <row r="854" customFormat="false" ht="15" hidden="false" customHeight="true" outlineLevel="0" collapsed="false">
      <c r="A854" s="45" t="s">
        <v>1660</v>
      </c>
      <c r="B854" s="42" t="str">
        <f aca="false">IF(A854="100","HK",IF(A854="200","CN",IF(A854="300","TW","홀세일")))</f>
        <v>CN</v>
      </c>
      <c r="C854" s="45" t="s">
        <v>440</v>
      </c>
      <c r="D854" s="46" t="n">
        <v>423</v>
      </c>
      <c r="E854" s="46" t="n">
        <v>59000</v>
      </c>
      <c r="F854" s="46" t="n">
        <v>12801</v>
      </c>
      <c r="G854" s="42" t="n">
        <v>4.07</v>
      </c>
      <c r="H854" s="42" t="n">
        <v>13.9</v>
      </c>
      <c r="I854" s="42" t="n">
        <v>11.3</v>
      </c>
      <c r="J854" s="46" t="n">
        <f aca="false">IF(N(E854)&gt;0,E854,IF(N(F854)&gt;0,F854*요약!$F$27,0))</f>
        <v>59000</v>
      </c>
      <c r="K854" s="46" t="n">
        <f aca="false">IF(N(F854)&gt;0,F854,IF(N(E854)&gt;0,E854/요약!$F$27,0))</f>
        <v>12801</v>
      </c>
      <c r="L854" s="46" t="n">
        <f aca="false">IF(B854="CN",IF(N(I854)&gt;0,I854*요약!$G$27,K854*(1+요약!$E$27)),IF(N(H854)&gt;0,H854*요약!$G$27,J854*요약!$D$27))</f>
        <v>14916</v>
      </c>
      <c r="M854" s="46" t="n">
        <f aca="false">D854*J854</f>
        <v>24957000</v>
      </c>
      <c r="N854" s="46" t="n">
        <f aca="false">D854*K854</f>
        <v>5414823</v>
      </c>
      <c r="O854" s="46" t="n">
        <f aca="false">D854*L854</f>
        <v>6309468</v>
      </c>
      <c r="P854" s="42" t="str">
        <f aca="false">TRIM(IF(N(E854)&lt;=0,"택가보정 ","")&amp;IF(N(F854)&lt;=0,"원가보정 ","")&amp;IF(AND(B854&lt;&gt;"CN",N(H854)&lt;=0),"공급가보정 ","")&amp;IF(AND(B854="CN",N(I854)&lt;=0),"중국공급가=원가+마진 ",""))</f>
        <v/>
      </c>
      <c r="Q854" s="47" t="n">
        <f aca="false">IF(SUMIFS($W:$W,$A:$A,A854,$C:$C,C854)=0,0,SUMIFS(RAW_판매펀칭!$K:$K,RAW_판매펀칭!$P:$P,A854,RAW_판매펀칭!$I:$I,C854)*W854/SUMIFS($W:$W,$A:$A,A854,$C:$C,C854))</f>
        <v>423</v>
      </c>
      <c r="R854" s="47" t="n">
        <f aca="false">IF(OR(A854="500",A854="800",A854="810"),0,MAX(W854-Q854,0))</f>
        <v>0</v>
      </c>
      <c r="S854" s="47" t="n">
        <f aca="false">R854*L854</f>
        <v>0</v>
      </c>
      <c r="T854" s="47" t="n">
        <f aca="false">R854*J854</f>
        <v>0</v>
      </c>
      <c r="U854" s="47" t="n">
        <f aca="false">R854*K854</f>
        <v>0</v>
      </c>
      <c r="V854" s="0" t="str">
        <f aca="false">IF(COUNTIFS($A$2:A854,A854,$C$2:C854,C854,$D$2:D854,D854)&gt;1,"중복","")</f>
        <v/>
      </c>
      <c r="W854" s="0" t="n">
        <f aca="false">IF(V854="중복",0,N(D854))</f>
        <v>423</v>
      </c>
      <c r="X854" s="0" t="n">
        <f aca="false">IF(COUNTIFS($A$2:A854,A854,$C$2:C854,C854)=1,ABS(SUMIFS(RAW_발주!$D:$D,RAW_발주!$C:$C,A854,RAW_발주!$A:$A,C854)-SUMIFS($W:$W,$A:$A,A854,$C:$C,C854)),0)</f>
        <v>0</v>
      </c>
    </row>
    <row r="855" customFormat="false" ht="15" hidden="false" customHeight="true" outlineLevel="0" collapsed="false">
      <c r="A855" s="45" t="s">
        <v>1661</v>
      </c>
      <c r="B855" s="42" t="str">
        <f aca="false">IF(A855="100","HK",IF(A855="200","CN",IF(A855="300","TW","홀세일")))</f>
        <v>TW</v>
      </c>
      <c r="C855" s="45" t="s">
        <v>440</v>
      </c>
      <c r="D855" s="46" t="n">
        <v>390</v>
      </c>
      <c r="E855" s="46" t="n">
        <v>59000</v>
      </c>
      <c r="F855" s="46" t="n">
        <v>12801</v>
      </c>
      <c r="G855" s="42" t="n">
        <v>4.07</v>
      </c>
      <c r="H855" s="42" t="n">
        <v>13.9</v>
      </c>
      <c r="I855" s="42" t="n">
        <v>11.3</v>
      </c>
      <c r="J855" s="46" t="n">
        <f aca="false">IF(N(E855)&gt;0,E855,IF(N(F855)&gt;0,F855*요약!$F$27,0))</f>
        <v>59000</v>
      </c>
      <c r="K855" s="46" t="n">
        <f aca="false">IF(N(F855)&gt;0,F855,IF(N(E855)&gt;0,E855/요약!$F$27,0))</f>
        <v>12801</v>
      </c>
      <c r="L855" s="46" t="n">
        <f aca="false">IF(B855="CN",IF(N(I855)&gt;0,I855*요약!$G$27,K855*(1+요약!$E$27)),IF(N(H855)&gt;0,H855*요약!$G$27,J855*요약!$D$27))</f>
        <v>18348</v>
      </c>
      <c r="M855" s="46" t="n">
        <f aca="false">D855*J855</f>
        <v>23010000</v>
      </c>
      <c r="N855" s="46" t="n">
        <f aca="false">D855*K855</f>
        <v>4992390</v>
      </c>
      <c r="O855" s="46" t="n">
        <f aca="false">D855*L855</f>
        <v>7155720</v>
      </c>
      <c r="P855" s="42" t="str">
        <f aca="false">TRIM(IF(N(E855)&lt;=0,"택가보정 ","")&amp;IF(N(F855)&lt;=0,"원가보정 ","")&amp;IF(AND(B855&lt;&gt;"CN",N(H855)&lt;=0),"공급가보정 ","")&amp;IF(AND(B855="CN",N(I855)&lt;=0),"중국공급가=원가+마진 ",""))</f>
        <v/>
      </c>
      <c r="Q855" s="47" t="n">
        <f aca="false">IF(SUMIFS($W:$W,$A:$A,A855,$C:$C,C855)=0,0,SUMIFS(RAW_판매펀칭!$K:$K,RAW_판매펀칭!$P:$P,A855,RAW_판매펀칭!$I:$I,C855)*W855/SUMIFS($W:$W,$A:$A,A855,$C:$C,C855))</f>
        <v>390</v>
      </c>
      <c r="R855" s="47" t="n">
        <f aca="false">IF(OR(A855="500",A855="800",A855="810"),0,MAX(W855-Q855,0))</f>
        <v>0</v>
      </c>
      <c r="S855" s="47" t="n">
        <f aca="false">R855*L855</f>
        <v>0</v>
      </c>
      <c r="T855" s="47" t="n">
        <f aca="false">R855*J855</f>
        <v>0</v>
      </c>
      <c r="U855" s="47" t="n">
        <f aca="false">R855*K855</f>
        <v>0</v>
      </c>
      <c r="V855" s="0" t="str">
        <f aca="false">IF(COUNTIFS($A$2:A855,A855,$C$2:C855,C855,$D$2:D855,D855)&gt;1,"중복","")</f>
        <v/>
      </c>
      <c r="W855" s="0" t="n">
        <f aca="false">IF(V855="중복",0,N(D855))</f>
        <v>390</v>
      </c>
      <c r="X855" s="0" t="n">
        <f aca="false">IF(COUNTIFS($A$2:A855,A855,$C$2:C855,C855)=1,ABS(SUMIFS(RAW_발주!$D:$D,RAW_발주!$C:$C,A855,RAW_발주!$A:$A,C855)-SUMIFS($W:$W,$A:$A,A855,$C:$C,C855)),0)</f>
        <v>0</v>
      </c>
    </row>
    <row r="856" customFormat="false" ht="15" hidden="false" customHeight="true" outlineLevel="0" collapsed="false">
      <c r="A856" s="45" t="s">
        <v>1662</v>
      </c>
      <c r="B856" s="42" t="str">
        <f aca="false">IF(A856="100","HK",IF(A856="200","CN",IF(A856="300","TW","홀세일")))</f>
        <v>홀세일</v>
      </c>
      <c r="C856" s="45" t="s">
        <v>440</v>
      </c>
      <c r="D856" s="46" t="n">
        <v>750</v>
      </c>
      <c r="E856" s="46" t="n">
        <v>59000</v>
      </c>
      <c r="F856" s="46" t="n">
        <v>12801</v>
      </c>
      <c r="G856" s="42" t="n">
        <v>4.07</v>
      </c>
      <c r="H856" s="42" t="n">
        <v>13.9</v>
      </c>
      <c r="I856" s="42" t="n">
        <v>11.3</v>
      </c>
      <c r="J856" s="46" t="n">
        <f aca="false">IF(N(E856)&gt;0,E856,IF(N(F856)&gt;0,F856*요약!$F$27,0))</f>
        <v>59000</v>
      </c>
      <c r="K856" s="46" t="n">
        <f aca="false">IF(N(F856)&gt;0,F856,IF(N(E856)&gt;0,E856/요약!$F$27,0))</f>
        <v>12801</v>
      </c>
      <c r="L856" s="46" t="n">
        <f aca="false">IF(B856="CN",IF(N(I856)&gt;0,I856*요약!$G$27,K856*(1+요약!$E$27)),IF(N(H856)&gt;0,H856*요약!$G$27,J856*요약!$D$27))</f>
        <v>18348</v>
      </c>
      <c r="M856" s="46" t="n">
        <f aca="false">D856*J856</f>
        <v>44250000</v>
      </c>
      <c r="N856" s="46" t="n">
        <f aca="false">D856*K856</f>
        <v>9600750</v>
      </c>
      <c r="O856" s="46" t="n">
        <f aca="false">D856*L856</f>
        <v>13761000</v>
      </c>
      <c r="P856" s="42" t="str">
        <f aca="false">TRIM(IF(N(E856)&lt;=0,"택가보정 ","")&amp;IF(N(F856)&lt;=0,"원가보정 ","")&amp;IF(AND(B856&lt;&gt;"CN",N(H856)&lt;=0),"공급가보정 ","")&amp;IF(AND(B856="CN",N(I856)&lt;=0),"중국공급가=원가+마진 ",""))</f>
        <v/>
      </c>
      <c r="Q856" s="47" t="n">
        <f aca="false">IF(SUMIFS($W:$W,$A:$A,A856,$C:$C,C856)=0,0,SUMIFS(RAW_판매펀칭!$K:$K,RAW_판매펀칭!$P:$P,A856,RAW_판매펀칭!$I:$I,C856)*W856/SUMIFS($W:$W,$A:$A,A856,$C:$C,C856))</f>
        <v>0</v>
      </c>
      <c r="R856" s="47" t="n">
        <f aca="false">IF(OR(A856="500",A856="800",A856="810"),0,MAX(W856-Q856,0))</f>
        <v>0</v>
      </c>
      <c r="S856" s="47" t="n">
        <f aca="false">R856*L856</f>
        <v>0</v>
      </c>
      <c r="T856" s="47" t="n">
        <f aca="false">R856*J856</f>
        <v>0</v>
      </c>
      <c r="U856" s="47" t="n">
        <f aca="false">R856*K856</f>
        <v>0</v>
      </c>
      <c r="V856" s="0" t="str">
        <f aca="false">IF(COUNTIFS($A$2:A856,A856,$C$2:C856,C856,$D$2:D856,D856)&gt;1,"중복","")</f>
        <v/>
      </c>
      <c r="W856" s="0" t="n">
        <f aca="false">IF(V856="중복",0,N(D856))</f>
        <v>750</v>
      </c>
      <c r="X856" s="0" t="n">
        <f aca="false">IF(COUNTIFS($A$2:A856,A856,$C$2:C856,C856)=1,ABS(SUMIFS(RAW_발주!$D:$D,RAW_발주!$C:$C,A856,RAW_발주!$A:$A,C856)-SUMIFS($W:$W,$A:$A,A856,$C:$C,C856)),0)</f>
        <v>0</v>
      </c>
    </row>
    <row r="857" customFormat="false" ht="15" hidden="false" customHeight="true" outlineLevel="0" collapsed="false">
      <c r="A857" s="45" t="s">
        <v>1663</v>
      </c>
      <c r="B857" s="42" t="str">
        <f aca="false">IF(A857="100","HK",IF(A857="200","CN",IF(A857="300","TW","홀세일")))</f>
        <v>홀세일</v>
      </c>
      <c r="C857" s="45" t="s">
        <v>440</v>
      </c>
      <c r="D857" s="46" t="n">
        <v>285</v>
      </c>
      <c r="E857" s="46" t="n">
        <v>59000</v>
      </c>
      <c r="F857" s="46" t="n">
        <v>12801</v>
      </c>
      <c r="G857" s="42" t="n">
        <v>4.07</v>
      </c>
      <c r="H857" s="42" t="n">
        <v>13.9</v>
      </c>
      <c r="I857" s="42" t="n">
        <v>11.3</v>
      </c>
      <c r="J857" s="46" t="n">
        <f aca="false">IF(N(E857)&gt;0,E857,IF(N(F857)&gt;0,F857*요약!$F$27,0))</f>
        <v>59000</v>
      </c>
      <c r="K857" s="46" t="n">
        <f aca="false">IF(N(F857)&gt;0,F857,IF(N(E857)&gt;0,E857/요약!$F$27,0))</f>
        <v>12801</v>
      </c>
      <c r="L857" s="46" t="n">
        <f aca="false">IF(B857="CN",IF(N(I857)&gt;0,I857*요약!$G$27,K857*(1+요약!$E$27)),IF(N(H857)&gt;0,H857*요약!$G$27,J857*요약!$D$27))</f>
        <v>18348</v>
      </c>
      <c r="M857" s="46" t="n">
        <f aca="false">D857*J857</f>
        <v>16815000</v>
      </c>
      <c r="N857" s="46" t="n">
        <f aca="false">D857*K857</f>
        <v>3648285</v>
      </c>
      <c r="O857" s="46" t="n">
        <f aca="false">D857*L857</f>
        <v>5229180</v>
      </c>
      <c r="P857" s="42" t="str">
        <f aca="false">TRIM(IF(N(E857)&lt;=0,"택가보정 ","")&amp;IF(N(F857)&lt;=0,"원가보정 ","")&amp;IF(AND(B857&lt;&gt;"CN",N(H857)&lt;=0),"공급가보정 ","")&amp;IF(AND(B857="CN",N(I857)&lt;=0),"중국공급가=원가+마진 ",""))</f>
        <v/>
      </c>
      <c r="Q857" s="47" t="n">
        <f aca="false">IF(SUMIFS($W:$W,$A:$A,A857,$C:$C,C857)=0,0,SUMIFS(RAW_판매펀칭!$K:$K,RAW_판매펀칭!$P:$P,A857,RAW_판매펀칭!$I:$I,C857)*W857/SUMIFS($W:$W,$A:$A,A857,$C:$C,C857))</f>
        <v>285</v>
      </c>
      <c r="R857" s="47" t="n">
        <f aca="false">IF(OR(A857="500",A857="800",A857="810"),0,MAX(W857-Q857,0))</f>
        <v>0</v>
      </c>
      <c r="S857" s="47" t="n">
        <f aca="false">R857*L857</f>
        <v>0</v>
      </c>
      <c r="T857" s="47" t="n">
        <f aca="false">R857*J857</f>
        <v>0</v>
      </c>
      <c r="U857" s="47" t="n">
        <f aca="false">R857*K857</f>
        <v>0</v>
      </c>
      <c r="V857" s="0" t="str">
        <f aca="false">IF(COUNTIFS($A$2:A857,A857,$C$2:C857,C857,$D$2:D857,D857)&gt;1,"중복","")</f>
        <v/>
      </c>
      <c r="W857" s="0" t="n">
        <f aca="false">IF(V857="중복",0,N(D857))</f>
        <v>285</v>
      </c>
      <c r="X857" s="0" t="n">
        <f aca="false">IF(COUNTIFS($A$2:A857,A857,$C$2:C857,C857)=1,ABS(SUMIFS(RAW_발주!$D:$D,RAW_발주!$C:$C,A857,RAW_발주!$A:$A,C857)-SUMIFS($W:$W,$A:$A,A857,$C:$C,C857)),0)</f>
        <v>0</v>
      </c>
    </row>
    <row r="858" customFormat="false" ht="15" hidden="false" customHeight="true" outlineLevel="0" collapsed="false">
      <c r="A858" s="45" t="s">
        <v>1667</v>
      </c>
      <c r="B858" s="42" t="str">
        <f aca="false">IF(A858="100","HK",IF(A858="200","CN",IF(A858="300","TW","홀세일")))</f>
        <v>홀세일</v>
      </c>
      <c r="C858" s="45" t="s">
        <v>440</v>
      </c>
      <c r="D858" s="46" t="n">
        <v>222</v>
      </c>
      <c r="E858" s="46" t="n">
        <v>59000</v>
      </c>
      <c r="F858" s="46" t="n">
        <v>12801</v>
      </c>
      <c r="G858" s="42" t="n">
        <v>4.07</v>
      </c>
      <c r="H858" s="42" t="n">
        <v>13.9</v>
      </c>
      <c r="I858" s="42" t="n">
        <v>11.3</v>
      </c>
      <c r="J858" s="46" t="n">
        <f aca="false">IF(N(E858)&gt;0,E858,IF(N(F858)&gt;0,F858*요약!$F$27,0))</f>
        <v>59000</v>
      </c>
      <c r="K858" s="46" t="n">
        <f aca="false">IF(N(F858)&gt;0,F858,IF(N(E858)&gt;0,E858/요약!$F$27,0))</f>
        <v>12801</v>
      </c>
      <c r="L858" s="46" t="n">
        <f aca="false">IF(B858="CN",IF(N(I858)&gt;0,I858*요약!$G$27,K858*(1+요약!$E$27)),IF(N(H858)&gt;0,H858*요약!$G$27,J858*요약!$D$27))</f>
        <v>18348</v>
      </c>
      <c r="M858" s="46" t="n">
        <f aca="false">D858*J858</f>
        <v>13098000</v>
      </c>
      <c r="N858" s="46" t="n">
        <f aca="false">D858*K858</f>
        <v>2841822</v>
      </c>
      <c r="O858" s="46" t="n">
        <f aca="false">D858*L858</f>
        <v>4073256</v>
      </c>
      <c r="P858" s="42" t="str">
        <f aca="false">TRIM(IF(N(E858)&lt;=0,"택가보정 ","")&amp;IF(N(F858)&lt;=0,"원가보정 ","")&amp;IF(AND(B858&lt;&gt;"CN",N(H858)&lt;=0),"공급가보정 ","")&amp;IF(AND(B858="CN",N(I858)&lt;=0),"중국공급가=원가+마진 ",""))</f>
        <v/>
      </c>
      <c r="Q858" s="47" t="n">
        <f aca="false">IF(SUMIFS($W:$W,$A:$A,A858,$C:$C,C858)=0,0,SUMIFS(RAW_판매펀칭!$K:$K,RAW_판매펀칭!$P:$P,A858,RAW_판매펀칭!$I:$I,C858)*W858/SUMIFS($W:$W,$A:$A,A858,$C:$C,C858))</f>
        <v>220</v>
      </c>
      <c r="R858" s="47" t="n">
        <f aca="false">IF(OR(A858="500",A858="800",A858="810"),0,MAX(W858-Q858,0))</f>
        <v>2</v>
      </c>
      <c r="S858" s="47" t="n">
        <f aca="false">R858*L858</f>
        <v>36696</v>
      </c>
      <c r="T858" s="47" t="n">
        <f aca="false">R858*J858</f>
        <v>118000</v>
      </c>
      <c r="U858" s="47" t="n">
        <f aca="false">R858*K858</f>
        <v>25602</v>
      </c>
      <c r="V858" s="0" t="str">
        <f aca="false">IF(COUNTIFS($A$2:A858,A858,$C$2:C858,C858,$D$2:D858,D858)&gt;1,"중복","")</f>
        <v/>
      </c>
      <c r="W858" s="0" t="n">
        <f aca="false">IF(V858="중복",0,N(D858))</f>
        <v>222</v>
      </c>
      <c r="X858" s="0" t="n">
        <f aca="false">IF(COUNTIFS($A$2:A858,A858,$C$2:C858,C858)=1,ABS(SUMIFS(RAW_발주!$D:$D,RAW_발주!$C:$C,A858,RAW_발주!$A:$A,C858)-SUMIFS($W:$W,$A:$A,A858,$C:$C,C858)),0)</f>
        <v>0</v>
      </c>
    </row>
    <row r="859" customFormat="false" ht="15" hidden="false" customHeight="true" outlineLevel="0" collapsed="false">
      <c r="A859" s="45" t="s">
        <v>1664</v>
      </c>
      <c r="B859" s="42" t="str">
        <f aca="false">IF(A859="100","HK",IF(A859="200","CN",IF(A859="300","TW","홀세일")))</f>
        <v>홀세일</v>
      </c>
      <c r="C859" s="45" t="s">
        <v>440</v>
      </c>
      <c r="D859" s="46" t="n">
        <v>80</v>
      </c>
      <c r="E859" s="46" t="n">
        <v>59000</v>
      </c>
      <c r="F859" s="46" t="n">
        <v>12801</v>
      </c>
      <c r="G859" s="42" t="n">
        <v>4.07</v>
      </c>
      <c r="H859" s="42" t="n">
        <v>13.9</v>
      </c>
      <c r="I859" s="42" t="n">
        <v>11.3</v>
      </c>
      <c r="J859" s="46" t="n">
        <f aca="false">IF(N(E859)&gt;0,E859,IF(N(F859)&gt;0,F859*요약!$F$27,0))</f>
        <v>59000</v>
      </c>
      <c r="K859" s="46" t="n">
        <f aca="false">IF(N(F859)&gt;0,F859,IF(N(E859)&gt;0,E859/요약!$F$27,0))</f>
        <v>12801</v>
      </c>
      <c r="L859" s="46" t="n">
        <f aca="false">IF(B859="CN",IF(N(I859)&gt;0,I859*요약!$G$27,K859*(1+요약!$E$27)),IF(N(H859)&gt;0,H859*요약!$G$27,J859*요약!$D$27))</f>
        <v>18348</v>
      </c>
      <c r="M859" s="46" t="n">
        <f aca="false">D859*J859</f>
        <v>4720000</v>
      </c>
      <c r="N859" s="46" t="n">
        <f aca="false">D859*K859</f>
        <v>1024080</v>
      </c>
      <c r="O859" s="46" t="n">
        <f aca="false">D859*L859</f>
        <v>1467840</v>
      </c>
      <c r="P859" s="42" t="str">
        <f aca="false">TRIM(IF(N(E859)&lt;=0,"택가보정 ","")&amp;IF(N(F859)&lt;=0,"원가보정 ","")&amp;IF(AND(B859&lt;&gt;"CN",N(H859)&lt;=0),"공급가보정 ","")&amp;IF(AND(B859="CN",N(I859)&lt;=0),"중국공급가=원가+마진 ",""))</f>
        <v/>
      </c>
      <c r="Q859" s="47" t="n">
        <f aca="false">IF(SUMIFS($W:$W,$A:$A,A859,$C:$C,C859)=0,0,SUMIFS(RAW_판매펀칭!$K:$K,RAW_판매펀칭!$P:$P,A859,RAW_판매펀칭!$I:$I,C859)*W859/SUMIFS($W:$W,$A:$A,A859,$C:$C,C859))</f>
        <v>0</v>
      </c>
      <c r="R859" s="47" t="n">
        <f aca="false">IF(OR(A859="500",A859="800",A859="810"),0,MAX(W859-Q859,0))</f>
        <v>0</v>
      </c>
      <c r="S859" s="47" t="n">
        <f aca="false">R859*L859</f>
        <v>0</v>
      </c>
      <c r="T859" s="47" t="n">
        <f aca="false">R859*J859</f>
        <v>0</v>
      </c>
      <c r="U859" s="47" t="n">
        <f aca="false">R859*K859</f>
        <v>0</v>
      </c>
      <c r="V859" s="0" t="str">
        <f aca="false">IF(COUNTIFS($A$2:A859,A859,$C$2:C859,C859,$D$2:D859,D859)&gt;1,"중복","")</f>
        <v/>
      </c>
      <c r="W859" s="0" t="n">
        <f aca="false">IF(V859="중복",0,N(D859))</f>
        <v>80</v>
      </c>
      <c r="X859" s="0" t="n">
        <f aca="false">IF(COUNTIFS($A$2:A859,A859,$C$2:C859,C859)=1,ABS(SUMIFS(RAW_발주!$D:$D,RAW_발주!$C:$C,A859,RAW_발주!$A:$A,C859)-SUMIFS($W:$W,$A:$A,A859,$C:$C,C859)),0)</f>
        <v>0</v>
      </c>
    </row>
    <row r="860" customFormat="false" ht="15" hidden="false" customHeight="true" outlineLevel="0" collapsed="false">
      <c r="A860" s="45" t="s">
        <v>1659</v>
      </c>
      <c r="B860" s="42" t="str">
        <f aca="false">IF(A860="100","HK",IF(A860="200","CN",IF(A860="300","TW","홀세일")))</f>
        <v>HK</v>
      </c>
      <c r="C860" s="45" t="s">
        <v>442</v>
      </c>
      <c r="D860" s="46" t="n">
        <v>200</v>
      </c>
      <c r="E860" s="46" t="n">
        <v>69000</v>
      </c>
      <c r="F860" s="46" t="n">
        <v>14200</v>
      </c>
      <c r="G860" s="42" t="n">
        <v>4.01</v>
      </c>
      <c r="H860" s="42" t="n">
        <v>16.3</v>
      </c>
      <c r="I860" s="42" t="n">
        <v>0</v>
      </c>
      <c r="J860" s="46" t="n">
        <f aca="false">IF(N(E860)&gt;0,E860,IF(N(F860)&gt;0,F860*요약!$F$27,0))</f>
        <v>69000</v>
      </c>
      <c r="K860" s="46" t="n">
        <f aca="false">IF(N(F860)&gt;0,F860,IF(N(E860)&gt;0,E860/요약!$F$27,0))</f>
        <v>14200</v>
      </c>
      <c r="L860" s="46" t="n">
        <f aca="false">IF(B860="CN",IF(N(I860)&gt;0,I860*요약!$G$27,K860*(1+요약!$E$27)),IF(N(H860)&gt;0,H860*요약!$G$27,J860*요약!$D$27))</f>
        <v>21516</v>
      </c>
      <c r="M860" s="46" t="n">
        <f aca="false">D860*J860</f>
        <v>13800000</v>
      </c>
      <c r="N860" s="46" t="n">
        <f aca="false">D860*K860</f>
        <v>2840000</v>
      </c>
      <c r="O860" s="46" t="n">
        <f aca="false">D860*L860</f>
        <v>4303200</v>
      </c>
      <c r="P860" s="42" t="str">
        <f aca="false">TRIM(IF(N(E860)&lt;=0,"택가보정 ","")&amp;IF(N(F860)&lt;=0,"원가보정 ","")&amp;IF(AND(B860&lt;&gt;"CN",N(H860)&lt;=0),"공급가보정 ","")&amp;IF(AND(B860="CN",N(I860)&lt;=0),"중국공급가=원가+마진 ",""))</f>
        <v/>
      </c>
      <c r="Q860" s="47" t="n">
        <f aca="false">IF(SUMIFS($W:$W,$A:$A,A860,$C:$C,C860)=0,0,SUMIFS(RAW_판매펀칭!$K:$K,RAW_판매펀칭!$P:$P,A860,RAW_판매펀칭!$I:$I,C860)*W860/SUMIFS($W:$W,$A:$A,A860,$C:$C,C860))</f>
        <v>200</v>
      </c>
      <c r="R860" s="47" t="n">
        <f aca="false">IF(OR(A860="500",A860="800",A860="810"),0,MAX(W860-Q860,0))</f>
        <v>0</v>
      </c>
      <c r="S860" s="47" t="n">
        <f aca="false">R860*L860</f>
        <v>0</v>
      </c>
      <c r="T860" s="47" t="n">
        <f aca="false">R860*J860</f>
        <v>0</v>
      </c>
      <c r="U860" s="47" t="n">
        <f aca="false">R860*K860</f>
        <v>0</v>
      </c>
      <c r="V860" s="0" t="str">
        <f aca="false">IF(COUNTIFS($A$2:A860,A860,$C$2:C860,C860,$D$2:D860,D860)&gt;1,"중복","")</f>
        <v/>
      </c>
      <c r="W860" s="0" t="n">
        <f aca="false">IF(V860="중복",0,N(D860))</f>
        <v>200</v>
      </c>
      <c r="X860" s="0" t="n">
        <f aca="false">IF(COUNTIFS($A$2:A860,A860,$C$2:C860,C860)=1,ABS(SUMIFS(RAW_발주!$D:$D,RAW_발주!$C:$C,A860,RAW_발주!$A:$A,C860)-SUMIFS($W:$W,$A:$A,A860,$C:$C,C860)),0)</f>
        <v>0</v>
      </c>
    </row>
    <row r="861" customFormat="false" ht="15" hidden="false" customHeight="true" outlineLevel="0" collapsed="false">
      <c r="A861" s="45" t="s">
        <v>1661</v>
      </c>
      <c r="B861" s="42" t="str">
        <f aca="false">IF(A861="100","HK",IF(A861="200","CN",IF(A861="300","TW","홀세일")))</f>
        <v>TW</v>
      </c>
      <c r="C861" s="45" t="s">
        <v>442</v>
      </c>
      <c r="D861" s="46" t="n">
        <v>120</v>
      </c>
      <c r="E861" s="46" t="n">
        <v>69000</v>
      </c>
      <c r="F861" s="46" t="n">
        <v>14200</v>
      </c>
      <c r="G861" s="42" t="n">
        <v>4.01</v>
      </c>
      <c r="H861" s="42" t="n">
        <v>16.3</v>
      </c>
      <c r="I861" s="42" t="n">
        <v>0</v>
      </c>
      <c r="J861" s="46" t="n">
        <f aca="false">IF(N(E861)&gt;0,E861,IF(N(F861)&gt;0,F861*요약!$F$27,0))</f>
        <v>69000</v>
      </c>
      <c r="K861" s="46" t="n">
        <f aca="false">IF(N(F861)&gt;0,F861,IF(N(E861)&gt;0,E861/요약!$F$27,0))</f>
        <v>14200</v>
      </c>
      <c r="L861" s="46" t="n">
        <f aca="false">IF(B861="CN",IF(N(I861)&gt;0,I861*요약!$G$27,K861*(1+요약!$E$27)),IF(N(H861)&gt;0,H861*요약!$G$27,J861*요약!$D$27))</f>
        <v>21516</v>
      </c>
      <c r="M861" s="46" t="n">
        <f aca="false">D861*J861</f>
        <v>8280000</v>
      </c>
      <c r="N861" s="46" t="n">
        <f aca="false">D861*K861</f>
        <v>1704000</v>
      </c>
      <c r="O861" s="46" t="n">
        <f aca="false">D861*L861</f>
        <v>2581920</v>
      </c>
      <c r="P861" s="42" t="str">
        <f aca="false">TRIM(IF(N(E861)&lt;=0,"택가보정 ","")&amp;IF(N(F861)&lt;=0,"원가보정 ","")&amp;IF(AND(B861&lt;&gt;"CN",N(H861)&lt;=0),"공급가보정 ","")&amp;IF(AND(B861="CN",N(I861)&lt;=0),"중국공급가=원가+마진 ",""))</f>
        <v/>
      </c>
      <c r="Q861" s="47" t="n">
        <f aca="false">IF(SUMIFS($W:$W,$A:$A,A861,$C:$C,C861)=0,0,SUMIFS(RAW_판매펀칭!$K:$K,RAW_판매펀칭!$P:$P,A861,RAW_판매펀칭!$I:$I,C861)*W861/SUMIFS($W:$W,$A:$A,A861,$C:$C,C861))</f>
        <v>120</v>
      </c>
      <c r="R861" s="47" t="n">
        <f aca="false">IF(OR(A861="500",A861="800",A861="810"),0,MAX(W861-Q861,0))</f>
        <v>0</v>
      </c>
      <c r="S861" s="47" t="n">
        <f aca="false">R861*L861</f>
        <v>0</v>
      </c>
      <c r="T861" s="47" t="n">
        <f aca="false">R861*J861</f>
        <v>0</v>
      </c>
      <c r="U861" s="47" t="n">
        <f aca="false">R861*K861</f>
        <v>0</v>
      </c>
      <c r="V861" s="0" t="str">
        <f aca="false">IF(COUNTIFS($A$2:A861,A861,$C$2:C861,C861,$D$2:D861,D861)&gt;1,"중복","")</f>
        <v/>
      </c>
      <c r="W861" s="0" t="n">
        <f aca="false">IF(V861="중복",0,N(D861))</f>
        <v>120</v>
      </c>
      <c r="X861" s="0" t="n">
        <f aca="false">IF(COUNTIFS($A$2:A861,A861,$C$2:C861,C861)=1,ABS(SUMIFS(RAW_발주!$D:$D,RAW_발주!$C:$C,A861,RAW_발주!$A:$A,C861)-SUMIFS($W:$W,$A:$A,A861,$C:$C,C861)),0)</f>
        <v>0</v>
      </c>
    </row>
    <row r="862" customFormat="false" ht="15" hidden="false" customHeight="true" outlineLevel="0" collapsed="false">
      <c r="A862" s="45" t="s">
        <v>1662</v>
      </c>
      <c r="B862" s="42" t="str">
        <f aca="false">IF(A862="100","HK",IF(A862="200","CN",IF(A862="300","TW","홀세일")))</f>
        <v>홀세일</v>
      </c>
      <c r="C862" s="45" t="s">
        <v>442</v>
      </c>
      <c r="D862" s="46" t="n">
        <v>375</v>
      </c>
      <c r="E862" s="46" t="n">
        <v>69000</v>
      </c>
      <c r="F862" s="46" t="n">
        <v>14200</v>
      </c>
      <c r="G862" s="42" t="n">
        <v>4.01</v>
      </c>
      <c r="H862" s="42" t="n">
        <v>16.3</v>
      </c>
      <c r="I862" s="42" t="n">
        <v>0</v>
      </c>
      <c r="J862" s="46" t="n">
        <f aca="false">IF(N(E862)&gt;0,E862,IF(N(F862)&gt;0,F862*요약!$F$27,0))</f>
        <v>69000</v>
      </c>
      <c r="K862" s="46" t="n">
        <f aca="false">IF(N(F862)&gt;0,F862,IF(N(E862)&gt;0,E862/요약!$F$27,0))</f>
        <v>14200</v>
      </c>
      <c r="L862" s="46" t="n">
        <f aca="false">IF(B862="CN",IF(N(I862)&gt;0,I862*요약!$G$27,K862*(1+요약!$E$27)),IF(N(H862)&gt;0,H862*요약!$G$27,J862*요약!$D$27))</f>
        <v>21516</v>
      </c>
      <c r="M862" s="46" t="n">
        <f aca="false">D862*J862</f>
        <v>25875000</v>
      </c>
      <c r="N862" s="46" t="n">
        <f aca="false">D862*K862</f>
        <v>5325000</v>
      </c>
      <c r="O862" s="46" t="n">
        <f aca="false">D862*L862</f>
        <v>8068500</v>
      </c>
      <c r="P862" s="42" t="str">
        <f aca="false">TRIM(IF(N(E862)&lt;=0,"택가보정 ","")&amp;IF(N(F862)&lt;=0,"원가보정 ","")&amp;IF(AND(B862&lt;&gt;"CN",N(H862)&lt;=0),"공급가보정 ","")&amp;IF(AND(B862="CN",N(I862)&lt;=0),"중국공급가=원가+마진 ",""))</f>
        <v/>
      </c>
      <c r="Q862" s="47" t="n">
        <f aca="false">IF(SUMIFS($W:$W,$A:$A,A862,$C:$C,C862)=0,0,SUMIFS(RAW_판매펀칭!$K:$K,RAW_판매펀칭!$P:$P,A862,RAW_판매펀칭!$I:$I,C862)*W862/SUMIFS($W:$W,$A:$A,A862,$C:$C,C862))</f>
        <v>0</v>
      </c>
      <c r="R862" s="47" t="n">
        <f aca="false">IF(OR(A862="500",A862="800",A862="810"),0,MAX(W862-Q862,0))</f>
        <v>0</v>
      </c>
      <c r="S862" s="47" t="n">
        <f aca="false">R862*L862</f>
        <v>0</v>
      </c>
      <c r="T862" s="47" t="n">
        <f aca="false">R862*J862</f>
        <v>0</v>
      </c>
      <c r="U862" s="47" t="n">
        <f aca="false">R862*K862</f>
        <v>0</v>
      </c>
      <c r="V862" s="0" t="str">
        <f aca="false">IF(COUNTIFS($A$2:A862,A862,$C$2:C862,C862,$D$2:D862,D862)&gt;1,"중복","")</f>
        <v/>
      </c>
      <c r="W862" s="0" t="n">
        <f aca="false">IF(V862="중복",0,N(D862))</f>
        <v>375</v>
      </c>
      <c r="X862" s="0" t="n">
        <f aca="false">IF(COUNTIFS($A$2:A862,A862,$C$2:C862,C862)=1,ABS(SUMIFS(RAW_발주!$D:$D,RAW_발주!$C:$C,A862,RAW_발주!$A:$A,C862)-SUMIFS($W:$W,$A:$A,A862,$C:$C,C862)),0)</f>
        <v>0</v>
      </c>
    </row>
    <row r="863" customFormat="false" ht="15" hidden="false" customHeight="true" outlineLevel="0" collapsed="false">
      <c r="A863" s="45" t="s">
        <v>1663</v>
      </c>
      <c r="B863" s="42" t="str">
        <f aca="false">IF(A863="100","HK",IF(A863="200","CN",IF(A863="300","TW","홀세일")))</f>
        <v>홀세일</v>
      </c>
      <c r="C863" s="45" t="s">
        <v>442</v>
      </c>
      <c r="D863" s="46" t="n">
        <v>120</v>
      </c>
      <c r="E863" s="46" t="n">
        <v>69000</v>
      </c>
      <c r="F863" s="46" t="n">
        <v>14200</v>
      </c>
      <c r="G863" s="42" t="n">
        <v>4.01</v>
      </c>
      <c r="H863" s="42" t="n">
        <v>16.3</v>
      </c>
      <c r="I863" s="42" t="n">
        <v>0</v>
      </c>
      <c r="J863" s="46" t="n">
        <f aca="false">IF(N(E863)&gt;0,E863,IF(N(F863)&gt;0,F863*요약!$F$27,0))</f>
        <v>69000</v>
      </c>
      <c r="K863" s="46" t="n">
        <f aca="false">IF(N(F863)&gt;0,F863,IF(N(E863)&gt;0,E863/요약!$F$27,0))</f>
        <v>14200</v>
      </c>
      <c r="L863" s="46" t="n">
        <f aca="false">IF(B863="CN",IF(N(I863)&gt;0,I863*요약!$G$27,K863*(1+요약!$E$27)),IF(N(H863)&gt;0,H863*요약!$G$27,J863*요약!$D$27))</f>
        <v>21516</v>
      </c>
      <c r="M863" s="46" t="n">
        <f aca="false">D863*J863</f>
        <v>8280000</v>
      </c>
      <c r="N863" s="46" t="n">
        <f aca="false">D863*K863</f>
        <v>1704000</v>
      </c>
      <c r="O863" s="46" t="n">
        <f aca="false">D863*L863</f>
        <v>2581920</v>
      </c>
      <c r="P863" s="42" t="str">
        <f aca="false">TRIM(IF(N(E863)&lt;=0,"택가보정 ","")&amp;IF(N(F863)&lt;=0,"원가보정 ","")&amp;IF(AND(B863&lt;&gt;"CN",N(H863)&lt;=0),"공급가보정 ","")&amp;IF(AND(B863="CN",N(I863)&lt;=0),"중국공급가=원가+마진 ",""))</f>
        <v/>
      </c>
      <c r="Q863" s="47" t="n">
        <f aca="false">IF(SUMIFS($W:$W,$A:$A,A863,$C:$C,C863)=0,0,SUMIFS(RAW_판매펀칭!$K:$K,RAW_판매펀칭!$P:$P,A863,RAW_판매펀칭!$I:$I,C863)*W863/SUMIFS($W:$W,$A:$A,A863,$C:$C,C863))</f>
        <v>120</v>
      </c>
      <c r="R863" s="47" t="n">
        <f aca="false">IF(OR(A863="500",A863="800",A863="810"),0,MAX(W863-Q863,0))</f>
        <v>0</v>
      </c>
      <c r="S863" s="47" t="n">
        <f aca="false">R863*L863</f>
        <v>0</v>
      </c>
      <c r="T863" s="47" t="n">
        <f aca="false">R863*J863</f>
        <v>0</v>
      </c>
      <c r="U863" s="47" t="n">
        <f aca="false">R863*K863</f>
        <v>0</v>
      </c>
      <c r="V863" s="0" t="str">
        <f aca="false">IF(COUNTIFS($A$2:A863,A863,$C$2:C863,C863,$D$2:D863,D863)&gt;1,"중복","")</f>
        <v/>
      </c>
      <c r="W863" s="0" t="n">
        <f aca="false">IF(V863="중복",0,N(D863))</f>
        <v>120</v>
      </c>
      <c r="X863" s="0" t="n">
        <f aca="false">IF(COUNTIFS($A$2:A863,A863,$C$2:C863,C863)=1,ABS(SUMIFS(RAW_발주!$D:$D,RAW_발주!$C:$C,A863,RAW_발주!$A:$A,C863)-SUMIFS($W:$W,$A:$A,A863,$C:$C,C863)),0)</f>
        <v>0</v>
      </c>
    </row>
    <row r="864" customFormat="false" ht="15" hidden="false" customHeight="true" outlineLevel="0" collapsed="false">
      <c r="A864" s="45" t="s">
        <v>1665</v>
      </c>
      <c r="B864" s="42" t="str">
        <f aca="false">IF(A864="100","HK",IF(A864="200","CN",IF(A864="300","TW","홀세일")))</f>
        <v>홀세일</v>
      </c>
      <c r="C864" s="45" t="s">
        <v>442</v>
      </c>
      <c r="D864" s="46" t="n">
        <v>216</v>
      </c>
      <c r="E864" s="46" t="n">
        <v>69000</v>
      </c>
      <c r="F864" s="46" t="n">
        <v>14200</v>
      </c>
      <c r="G864" s="42" t="n">
        <v>4.01</v>
      </c>
      <c r="H864" s="42" t="n">
        <v>16.3</v>
      </c>
      <c r="I864" s="42" t="n">
        <v>0</v>
      </c>
      <c r="J864" s="46" t="n">
        <f aca="false">IF(N(E864)&gt;0,E864,IF(N(F864)&gt;0,F864*요약!$F$27,0))</f>
        <v>69000</v>
      </c>
      <c r="K864" s="46" t="n">
        <f aca="false">IF(N(F864)&gt;0,F864,IF(N(E864)&gt;0,E864/요약!$F$27,0))</f>
        <v>14200</v>
      </c>
      <c r="L864" s="46" t="n">
        <f aca="false">IF(B864="CN",IF(N(I864)&gt;0,I864*요약!$G$27,K864*(1+요약!$E$27)),IF(N(H864)&gt;0,H864*요약!$G$27,J864*요약!$D$27))</f>
        <v>21516</v>
      </c>
      <c r="M864" s="46" t="n">
        <f aca="false">D864*J864</f>
        <v>14904000</v>
      </c>
      <c r="N864" s="46" t="n">
        <f aca="false">D864*K864</f>
        <v>3067200</v>
      </c>
      <c r="O864" s="46" t="n">
        <f aca="false">D864*L864</f>
        <v>4647456</v>
      </c>
      <c r="P864" s="42" t="str">
        <f aca="false">TRIM(IF(N(E864)&lt;=0,"택가보정 ","")&amp;IF(N(F864)&lt;=0,"원가보정 ","")&amp;IF(AND(B864&lt;&gt;"CN",N(H864)&lt;=0),"공급가보정 ","")&amp;IF(AND(B864="CN",N(I864)&lt;=0),"중국공급가=원가+마진 ",""))</f>
        <v/>
      </c>
      <c r="Q864" s="47" t="n">
        <f aca="false">IF(SUMIFS($W:$W,$A:$A,A864,$C:$C,C864)=0,0,SUMIFS(RAW_판매펀칭!$K:$K,RAW_판매펀칭!$P:$P,A864,RAW_판매펀칭!$I:$I,C864)*W864/SUMIFS($W:$W,$A:$A,A864,$C:$C,C864))</f>
        <v>0</v>
      </c>
      <c r="R864" s="47" t="n">
        <f aca="false">IF(OR(A864="500",A864="800",A864="810"),0,MAX(W864-Q864,0))</f>
        <v>0</v>
      </c>
      <c r="S864" s="47" t="n">
        <f aca="false">R864*L864</f>
        <v>0</v>
      </c>
      <c r="T864" s="47" t="n">
        <f aca="false">R864*J864</f>
        <v>0</v>
      </c>
      <c r="U864" s="47" t="n">
        <f aca="false">R864*K864</f>
        <v>0</v>
      </c>
      <c r="V864" s="0" t="str">
        <f aca="false">IF(COUNTIFS($A$2:A864,A864,$C$2:C864,C864,$D$2:D864,D864)&gt;1,"중복","")</f>
        <v/>
      </c>
      <c r="W864" s="0" t="n">
        <f aca="false">IF(V864="중복",0,N(D864))</f>
        <v>216</v>
      </c>
      <c r="X864" s="0" t="n">
        <f aca="false">IF(COUNTIFS($A$2:A864,A864,$C$2:C864,C864)=1,ABS(SUMIFS(RAW_발주!$D:$D,RAW_발주!$C:$C,A864,RAW_발주!$A:$A,C864)-SUMIFS($W:$W,$A:$A,A864,$C:$C,C864)),0)</f>
        <v>0</v>
      </c>
    </row>
    <row r="865" customFormat="false" ht="15" hidden="false" customHeight="true" outlineLevel="0" collapsed="false">
      <c r="A865" s="45" t="s">
        <v>1666</v>
      </c>
      <c r="B865" s="42" t="str">
        <f aca="false">IF(A865="100","HK",IF(A865="200","CN",IF(A865="300","TW","홀세일")))</f>
        <v>홀세일</v>
      </c>
      <c r="C865" s="45" t="s">
        <v>442</v>
      </c>
      <c r="D865" s="46" t="n">
        <v>175</v>
      </c>
      <c r="E865" s="46" t="n">
        <v>69000</v>
      </c>
      <c r="F865" s="46" t="n">
        <v>14200</v>
      </c>
      <c r="G865" s="42" t="n">
        <v>4.01</v>
      </c>
      <c r="H865" s="42" t="n">
        <v>16.3</v>
      </c>
      <c r="I865" s="42" t="n">
        <v>0</v>
      </c>
      <c r="J865" s="46" t="n">
        <f aca="false">IF(N(E865)&gt;0,E865,IF(N(F865)&gt;0,F865*요약!$F$27,0))</f>
        <v>69000</v>
      </c>
      <c r="K865" s="46" t="n">
        <f aca="false">IF(N(F865)&gt;0,F865,IF(N(E865)&gt;0,E865/요약!$F$27,0))</f>
        <v>14200</v>
      </c>
      <c r="L865" s="46" t="n">
        <f aca="false">IF(B865="CN",IF(N(I865)&gt;0,I865*요약!$G$27,K865*(1+요약!$E$27)),IF(N(H865)&gt;0,H865*요약!$G$27,J865*요약!$D$27))</f>
        <v>21516</v>
      </c>
      <c r="M865" s="46" t="n">
        <f aca="false">D865*J865</f>
        <v>12075000</v>
      </c>
      <c r="N865" s="46" t="n">
        <f aca="false">D865*K865</f>
        <v>2485000</v>
      </c>
      <c r="O865" s="46" t="n">
        <f aca="false">D865*L865</f>
        <v>3765300</v>
      </c>
      <c r="P865" s="42" t="str">
        <f aca="false">TRIM(IF(N(E865)&lt;=0,"택가보정 ","")&amp;IF(N(F865)&lt;=0,"원가보정 ","")&amp;IF(AND(B865&lt;&gt;"CN",N(H865)&lt;=0),"공급가보정 ","")&amp;IF(AND(B865="CN",N(I865)&lt;=0),"중국공급가=원가+마진 ",""))</f>
        <v/>
      </c>
      <c r="Q865" s="47" t="n">
        <f aca="false">IF(SUMIFS($W:$W,$A:$A,A865,$C:$C,C865)=0,0,SUMIFS(RAW_판매펀칭!$K:$K,RAW_판매펀칭!$P:$P,A865,RAW_판매펀칭!$I:$I,C865)*W865/SUMIFS($W:$W,$A:$A,A865,$C:$C,C865))</f>
        <v>175</v>
      </c>
      <c r="R865" s="47" t="n">
        <f aca="false">IF(OR(A865="500",A865="800",A865="810"),0,MAX(W865-Q865,0))</f>
        <v>0</v>
      </c>
      <c r="S865" s="47" t="n">
        <f aca="false">R865*L865</f>
        <v>0</v>
      </c>
      <c r="T865" s="47" t="n">
        <f aca="false">R865*J865</f>
        <v>0</v>
      </c>
      <c r="U865" s="47" t="n">
        <f aca="false">R865*K865</f>
        <v>0</v>
      </c>
      <c r="V865" s="0" t="str">
        <f aca="false">IF(COUNTIFS($A$2:A865,A865,$C$2:C865,C865,$D$2:D865,D865)&gt;1,"중복","")</f>
        <v/>
      </c>
      <c r="W865" s="0" t="n">
        <f aca="false">IF(V865="중복",0,N(D865))</f>
        <v>175</v>
      </c>
      <c r="X865" s="0" t="n">
        <f aca="false">IF(COUNTIFS($A$2:A865,A865,$C$2:C865,C865)=1,ABS(SUMIFS(RAW_발주!$D:$D,RAW_발주!$C:$C,A865,RAW_발주!$A:$A,C865)-SUMIFS($W:$W,$A:$A,A865,$C:$C,C865)),0)</f>
        <v>0</v>
      </c>
    </row>
    <row r="866" customFormat="false" ht="15" hidden="false" customHeight="true" outlineLevel="0" collapsed="false">
      <c r="A866" s="45" t="s">
        <v>1661</v>
      </c>
      <c r="B866" s="42" t="str">
        <f aca="false">IF(A866="100","HK",IF(A866="200","CN",IF(A866="300","TW","홀세일")))</f>
        <v>TW</v>
      </c>
      <c r="C866" s="45" t="s">
        <v>444</v>
      </c>
      <c r="D866" s="46" t="n">
        <v>300</v>
      </c>
      <c r="E866" s="46" t="n">
        <v>99000</v>
      </c>
      <c r="F866" s="46" t="n">
        <v>22000</v>
      </c>
      <c r="G866" s="42" t="n">
        <v>3.83</v>
      </c>
      <c r="H866" s="42" t="n">
        <v>24</v>
      </c>
      <c r="I866" s="42" t="n">
        <v>0</v>
      </c>
      <c r="J866" s="46" t="n">
        <f aca="false">IF(N(E866)&gt;0,E866,IF(N(F866)&gt;0,F866*요약!$F$27,0))</f>
        <v>99000</v>
      </c>
      <c r="K866" s="46" t="n">
        <f aca="false">IF(N(F866)&gt;0,F866,IF(N(E866)&gt;0,E866/요약!$F$27,0))</f>
        <v>22000</v>
      </c>
      <c r="L866" s="46" t="n">
        <f aca="false">IF(B866="CN",IF(N(I866)&gt;0,I866*요약!$G$27,K866*(1+요약!$E$27)),IF(N(H866)&gt;0,H866*요약!$G$27,J866*요약!$D$27))</f>
        <v>31680</v>
      </c>
      <c r="M866" s="46" t="n">
        <f aca="false">D866*J866</f>
        <v>29700000</v>
      </c>
      <c r="N866" s="46" t="n">
        <f aca="false">D866*K866</f>
        <v>6600000</v>
      </c>
      <c r="O866" s="46" t="n">
        <f aca="false">D866*L866</f>
        <v>9504000</v>
      </c>
      <c r="P866" s="42" t="str">
        <f aca="false">TRIM(IF(N(E866)&lt;=0,"택가보정 ","")&amp;IF(N(F866)&lt;=0,"원가보정 ","")&amp;IF(AND(B866&lt;&gt;"CN",N(H866)&lt;=0),"공급가보정 ","")&amp;IF(AND(B866="CN",N(I866)&lt;=0),"중국공급가=원가+마진 ",""))</f>
        <v/>
      </c>
      <c r="Q866" s="47" t="n">
        <f aca="false">IF(SUMIFS($W:$W,$A:$A,A866,$C:$C,C866)=0,0,SUMIFS(RAW_판매펀칭!$K:$K,RAW_판매펀칭!$P:$P,A866,RAW_판매펀칭!$I:$I,C866)*W866/SUMIFS($W:$W,$A:$A,A866,$C:$C,C866))</f>
        <v>300</v>
      </c>
      <c r="R866" s="47" t="n">
        <f aca="false">IF(OR(A866="500",A866="800",A866="810"),0,MAX(W866-Q866,0))</f>
        <v>0</v>
      </c>
      <c r="S866" s="47" t="n">
        <f aca="false">R866*L866</f>
        <v>0</v>
      </c>
      <c r="T866" s="47" t="n">
        <f aca="false">R866*J866</f>
        <v>0</v>
      </c>
      <c r="U866" s="47" t="n">
        <f aca="false">R866*K866</f>
        <v>0</v>
      </c>
      <c r="V866" s="0" t="str">
        <f aca="false">IF(COUNTIFS($A$2:A866,A866,$C$2:C866,C866,$D$2:D866,D866)&gt;1,"중복","")</f>
        <v/>
      </c>
      <c r="W866" s="0" t="n">
        <f aca="false">IF(V866="중복",0,N(D866))</f>
        <v>300</v>
      </c>
      <c r="X866" s="0" t="n">
        <f aca="false">IF(COUNTIFS($A$2:A866,A866,$C$2:C866,C866)=1,ABS(SUMIFS(RAW_발주!$D:$D,RAW_발주!$C:$C,A866,RAW_발주!$A:$A,C866)-SUMIFS($W:$W,$A:$A,A866,$C:$C,C866)),0)</f>
        <v>0</v>
      </c>
    </row>
    <row r="867" customFormat="false" ht="15" hidden="false" customHeight="true" outlineLevel="0" collapsed="false">
      <c r="A867" s="45" t="s">
        <v>1662</v>
      </c>
      <c r="B867" s="42" t="str">
        <f aca="false">IF(A867="100","HK",IF(A867="200","CN",IF(A867="300","TW","홀세일")))</f>
        <v>홀세일</v>
      </c>
      <c r="C867" s="45" t="s">
        <v>1681</v>
      </c>
      <c r="D867" s="46" t="n">
        <v>290</v>
      </c>
      <c r="E867" s="46" t="n">
        <v>69000</v>
      </c>
      <c r="F867" s="46" t="n">
        <v>13700</v>
      </c>
      <c r="G867" s="42" t="n">
        <v>4.45</v>
      </c>
      <c r="H867" s="42" t="n">
        <v>16.3</v>
      </c>
      <c r="I867" s="42" t="n">
        <v>0</v>
      </c>
      <c r="J867" s="46" t="n">
        <f aca="false">IF(N(E867)&gt;0,E867,IF(N(F867)&gt;0,F867*요약!$F$27,0))</f>
        <v>69000</v>
      </c>
      <c r="K867" s="46" t="n">
        <f aca="false">IF(N(F867)&gt;0,F867,IF(N(E867)&gt;0,E867/요약!$F$27,0))</f>
        <v>13700</v>
      </c>
      <c r="L867" s="46" t="n">
        <f aca="false">IF(B867="CN",IF(N(I867)&gt;0,I867*요약!$G$27,K867*(1+요약!$E$27)),IF(N(H867)&gt;0,H867*요약!$G$27,J867*요약!$D$27))</f>
        <v>21516</v>
      </c>
      <c r="M867" s="46" t="n">
        <f aca="false">D867*J867</f>
        <v>20010000</v>
      </c>
      <c r="N867" s="46" t="n">
        <f aca="false">D867*K867</f>
        <v>3973000</v>
      </c>
      <c r="O867" s="46" t="n">
        <f aca="false">D867*L867</f>
        <v>6239640</v>
      </c>
      <c r="P867" s="42" t="str">
        <f aca="false">TRIM(IF(N(E867)&lt;=0,"택가보정 ","")&amp;IF(N(F867)&lt;=0,"원가보정 ","")&amp;IF(AND(B867&lt;&gt;"CN",N(H867)&lt;=0),"공급가보정 ","")&amp;IF(AND(B867="CN",N(I867)&lt;=0),"중국공급가=원가+마진 ",""))</f>
        <v/>
      </c>
      <c r="Q867" s="47" t="n">
        <f aca="false">IF(SUMIFS($W:$W,$A:$A,A867,$C:$C,C867)=0,0,SUMIFS(RAW_판매펀칭!$K:$K,RAW_판매펀칭!$P:$P,A867,RAW_판매펀칭!$I:$I,C867)*W867/SUMIFS($W:$W,$A:$A,A867,$C:$C,C867))</f>
        <v>0</v>
      </c>
      <c r="R867" s="47" t="n">
        <f aca="false">IF(OR(A867="500",A867="800",A867="810"),0,MAX(W867-Q867,0))</f>
        <v>0</v>
      </c>
      <c r="S867" s="47" t="n">
        <f aca="false">R867*L867</f>
        <v>0</v>
      </c>
      <c r="T867" s="47" t="n">
        <f aca="false">R867*J867</f>
        <v>0</v>
      </c>
      <c r="U867" s="47" t="n">
        <f aca="false">R867*K867</f>
        <v>0</v>
      </c>
      <c r="V867" s="0" t="str">
        <f aca="false">IF(COUNTIFS($A$2:A867,A867,$C$2:C867,C867,$D$2:D867,D867)&gt;1,"중복","")</f>
        <v/>
      </c>
      <c r="W867" s="0" t="n">
        <f aca="false">IF(V867="중복",0,N(D867))</f>
        <v>290</v>
      </c>
      <c r="X867" s="0" t="n">
        <f aca="false">IF(COUNTIFS($A$2:A867,A867,$C$2:C867,C867)=1,ABS(SUMIFS(RAW_발주!$D:$D,RAW_발주!$C:$C,A867,RAW_발주!$A:$A,C867)-SUMIFS($W:$W,$A:$A,A867,$C:$C,C867)),0)</f>
        <v>0</v>
      </c>
    </row>
    <row r="868" customFormat="false" ht="15" hidden="false" customHeight="true" outlineLevel="0" collapsed="false">
      <c r="A868" s="45" t="s">
        <v>1659</v>
      </c>
      <c r="B868" s="42" t="str">
        <f aca="false">IF(A868="100","HK",IF(A868="200","CN",IF(A868="300","TW","홀세일")))</f>
        <v>HK</v>
      </c>
      <c r="C868" s="45" t="s">
        <v>446</v>
      </c>
      <c r="D868" s="46" t="n">
        <v>200</v>
      </c>
      <c r="E868" s="46" t="n">
        <v>69000</v>
      </c>
      <c r="F868" s="46" t="n">
        <v>14799</v>
      </c>
      <c r="G868" s="42" t="n">
        <v>3.78</v>
      </c>
      <c r="H868" s="42" t="n">
        <v>16.3</v>
      </c>
      <c r="I868" s="42" t="n">
        <v>10.9</v>
      </c>
      <c r="J868" s="46" t="n">
        <f aca="false">IF(N(E868)&gt;0,E868,IF(N(F868)&gt;0,F868*요약!$F$27,0))</f>
        <v>69000</v>
      </c>
      <c r="K868" s="46" t="n">
        <f aca="false">IF(N(F868)&gt;0,F868,IF(N(E868)&gt;0,E868/요약!$F$27,0))</f>
        <v>14799</v>
      </c>
      <c r="L868" s="46" t="n">
        <f aca="false">IF(B868="CN",IF(N(I868)&gt;0,I868*요약!$G$27,K868*(1+요약!$E$27)),IF(N(H868)&gt;0,H868*요약!$G$27,J868*요약!$D$27))</f>
        <v>21516</v>
      </c>
      <c r="M868" s="46" t="n">
        <f aca="false">D868*J868</f>
        <v>13800000</v>
      </c>
      <c r="N868" s="46" t="n">
        <f aca="false">D868*K868</f>
        <v>2959800</v>
      </c>
      <c r="O868" s="46" t="n">
        <f aca="false">D868*L868</f>
        <v>4303200</v>
      </c>
      <c r="P868" s="42" t="str">
        <f aca="false">TRIM(IF(N(E868)&lt;=0,"택가보정 ","")&amp;IF(N(F868)&lt;=0,"원가보정 ","")&amp;IF(AND(B868&lt;&gt;"CN",N(H868)&lt;=0),"공급가보정 ","")&amp;IF(AND(B868="CN",N(I868)&lt;=0),"중국공급가=원가+마진 ",""))</f>
        <v/>
      </c>
      <c r="Q868" s="47" t="n">
        <f aca="false">IF(SUMIFS($W:$W,$A:$A,A868,$C:$C,C868)=0,0,SUMIFS(RAW_판매펀칭!$K:$K,RAW_판매펀칭!$P:$P,A868,RAW_판매펀칭!$I:$I,C868)*W868/SUMIFS($W:$W,$A:$A,A868,$C:$C,C868))</f>
        <v>200</v>
      </c>
      <c r="R868" s="47" t="n">
        <f aca="false">IF(OR(A868="500",A868="800",A868="810"),0,MAX(W868-Q868,0))</f>
        <v>0</v>
      </c>
      <c r="S868" s="47" t="n">
        <f aca="false">R868*L868</f>
        <v>0</v>
      </c>
      <c r="T868" s="47" t="n">
        <f aca="false">R868*J868</f>
        <v>0</v>
      </c>
      <c r="U868" s="47" t="n">
        <f aca="false">R868*K868</f>
        <v>0</v>
      </c>
      <c r="V868" s="0" t="str">
        <f aca="false">IF(COUNTIFS($A$2:A868,A868,$C$2:C868,C868,$D$2:D868,D868)&gt;1,"중복","")</f>
        <v/>
      </c>
      <c r="W868" s="0" t="n">
        <f aca="false">IF(V868="중복",0,N(D868))</f>
        <v>200</v>
      </c>
      <c r="X868" s="0" t="n">
        <f aca="false">IF(COUNTIFS($A$2:A868,A868,$C$2:C868,C868)=1,ABS(SUMIFS(RAW_발주!$D:$D,RAW_발주!$C:$C,A868,RAW_발주!$A:$A,C868)-SUMIFS($W:$W,$A:$A,A868,$C:$C,C868)),0)</f>
        <v>0</v>
      </c>
    </row>
    <row r="869" customFormat="false" ht="15" hidden="false" customHeight="true" outlineLevel="0" collapsed="false">
      <c r="A869" s="45" t="s">
        <v>1660</v>
      </c>
      <c r="B869" s="42" t="str">
        <f aca="false">IF(A869="100","HK",IF(A869="200","CN",IF(A869="300","TW","홀세일")))</f>
        <v>CN</v>
      </c>
      <c r="C869" s="45" t="s">
        <v>446</v>
      </c>
      <c r="D869" s="46" t="n">
        <v>222</v>
      </c>
      <c r="E869" s="46" t="n">
        <v>69000</v>
      </c>
      <c r="F869" s="46" t="n">
        <v>14799</v>
      </c>
      <c r="G869" s="42" t="n">
        <v>3.78</v>
      </c>
      <c r="H869" s="42" t="n">
        <v>16.3</v>
      </c>
      <c r="I869" s="42" t="n">
        <v>10.9</v>
      </c>
      <c r="J869" s="46" t="n">
        <f aca="false">IF(N(E869)&gt;0,E869,IF(N(F869)&gt;0,F869*요약!$F$27,0))</f>
        <v>69000</v>
      </c>
      <c r="K869" s="46" t="n">
        <f aca="false">IF(N(F869)&gt;0,F869,IF(N(E869)&gt;0,E869/요약!$F$27,0))</f>
        <v>14799</v>
      </c>
      <c r="L869" s="46" t="n">
        <f aca="false">IF(B869="CN",IF(N(I869)&gt;0,I869*요약!$G$27,K869*(1+요약!$E$27)),IF(N(H869)&gt;0,H869*요약!$G$27,J869*요약!$D$27))</f>
        <v>14388</v>
      </c>
      <c r="M869" s="46" t="n">
        <f aca="false">D869*J869</f>
        <v>15318000</v>
      </c>
      <c r="N869" s="46" t="n">
        <f aca="false">D869*K869</f>
        <v>3285378</v>
      </c>
      <c r="O869" s="46" t="n">
        <f aca="false">D869*L869</f>
        <v>3194136</v>
      </c>
      <c r="P869" s="42" t="str">
        <f aca="false">TRIM(IF(N(E869)&lt;=0,"택가보정 ","")&amp;IF(N(F869)&lt;=0,"원가보정 ","")&amp;IF(AND(B869&lt;&gt;"CN",N(H869)&lt;=0),"공급가보정 ","")&amp;IF(AND(B869="CN",N(I869)&lt;=0),"중국공급가=원가+마진 ",""))</f>
        <v/>
      </c>
      <c r="Q869" s="47" t="n">
        <f aca="false">IF(SUMIFS($W:$W,$A:$A,A869,$C:$C,C869)=0,0,SUMIFS(RAW_판매펀칭!$K:$K,RAW_판매펀칭!$P:$P,A869,RAW_판매펀칭!$I:$I,C869)*W869/SUMIFS($W:$W,$A:$A,A869,$C:$C,C869))</f>
        <v>222</v>
      </c>
      <c r="R869" s="47" t="n">
        <f aca="false">IF(OR(A869="500",A869="800",A869="810"),0,MAX(W869-Q869,0))</f>
        <v>0</v>
      </c>
      <c r="S869" s="47" t="n">
        <f aca="false">R869*L869</f>
        <v>0</v>
      </c>
      <c r="T869" s="47" t="n">
        <f aca="false">R869*J869</f>
        <v>0</v>
      </c>
      <c r="U869" s="47" t="n">
        <f aca="false">R869*K869</f>
        <v>0</v>
      </c>
      <c r="V869" s="0" t="str">
        <f aca="false">IF(COUNTIFS($A$2:A869,A869,$C$2:C869,C869,$D$2:D869,D869)&gt;1,"중복","")</f>
        <v/>
      </c>
      <c r="W869" s="0" t="n">
        <f aca="false">IF(V869="중복",0,N(D869))</f>
        <v>222</v>
      </c>
      <c r="X869" s="0" t="n">
        <f aca="false">IF(COUNTIFS($A$2:A869,A869,$C$2:C869,C869)=1,ABS(SUMIFS(RAW_발주!$D:$D,RAW_발주!$C:$C,A869,RAW_발주!$A:$A,C869)-SUMIFS($W:$W,$A:$A,A869,$C:$C,C869)),0)</f>
        <v>0</v>
      </c>
    </row>
    <row r="870" customFormat="false" ht="15" hidden="false" customHeight="true" outlineLevel="0" collapsed="false">
      <c r="A870" s="45" t="s">
        <v>1661</v>
      </c>
      <c r="B870" s="42" t="str">
        <f aca="false">IF(A870="100","HK",IF(A870="200","CN",IF(A870="300","TW","홀세일")))</f>
        <v>TW</v>
      </c>
      <c r="C870" s="45" t="s">
        <v>446</v>
      </c>
      <c r="D870" s="46" t="n">
        <v>100</v>
      </c>
      <c r="E870" s="46" t="n">
        <v>69000</v>
      </c>
      <c r="F870" s="46" t="n">
        <v>14799</v>
      </c>
      <c r="G870" s="42" t="n">
        <v>3.78</v>
      </c>
      <c r="H870" s="42" t="n">
        <v>16.3</v>
      </c>
      <c r="I870" s="42" t="n">
        <v>10.9</v>
      </c>
      <c r="J870" s="46" t="n">
        <f aca="false">IF(N(E870)&gt;0,E870,IF(N(F870)&gt;0,F870*요약!$F$27,0))</f>
        <v>69000</v>
      </c>
      <c r="K870" s="46" t="n">
        <f aca="false">IF(N(F870)&gt;0,F870,IF(N(E870)&gt;0,E870/요약!$F$27,0))</f>
        <v>14799</v>
      </c>
      <c r="L870" s="46" t="n">
        <f aca="false">IF(B870="CN",IF(N(I870)&gt;0,I870*요약!$G$27,K870*(1+요약!$E$27)),IF(N(H870)&gt;0,H870*요약!$G$27,J870*요약!$D$27))</f>
        <v>21516</v>
      </c>
      <c r="M870" s="46" t="n">
        <f aca="false">D870*J870</f>
        <v>6900000</v>
      </c>
      <c r="N870" s="46" t="n">
        <f aca="false">D870*K870</f>
        <v>1479900</v>
      </c>
      <c r="O870" s="46" t="n">
        <f aca="false">D870*L870</f>
        <v>2151600</v>
      </c>
      <c r="P870" s="42" t="str">
        <f aca="false">TRIM(IF(N(E870)&lt;=0,"택가보정 ","")&amp;IF(N(F870)&lt;=0,"원가보정 ","")&amp;IF(AND(B870&lt;&gt;"CN",N(H870)&lt;=0),"공급가보정 ","")&amp;IF(AND(B870="CN",N(I870)&lt;=0),"중국공급가=원가+마진 ",""))</f>
        <v/>
      </c>
      <c r="Q870" s="47" t="n">
        <f aca="false">IF(SUMIFS($W:$W,$A:$A,A870,$C:$C,C870)=0,0,SUMIFS(RAW_판매펀칭!$K:$K,RAW_판매펀칭!$P:$P,A870,RAW_판매펀칭!$I:$I,C870)*W870/SUMIFS($W:$W,$A:$A,A870,$C:$C,C870))</f>
        <v>100</v>
      </c>
      <c r="R870" s="47" t="n">
        <f aca="false">IF(OR(A870="500",A870="800",A870="810"),0,MAX(W870-Q870,0))</f>
        <v>0</v>
      </c>
      <c r="S870" s="47" t="n">
        <f aca="false">R870*L870</f>
        <v>0</v>
      </c>
      <c r="T870" s="47" t="n">
        <f aca="false">R870*J870</f>
        <v>0</v>
      </c>
      <c r="U870" s="47" t="n">
        <f aca="false">R870*K870</f>
        <v>0</v>
      </c>
      <c r="V870" s="0" t="str">
        <f aca="false">IF(COUNTIFS($A$2:A870,A870,$C$2:C870,C870,$D$2:D870,D870)&gt;1,"중복","")</f>
        <v/>
      </c>
      <c r="W870" s="0" t="n">
        <f aca="false">IF(V870="중복",0,N(D870))</f>
        <v>100</v>
      </c>
      <c r="X870" s="0" t="n">
        <f aca="false">IF(COUNTIFS($A$2:A870,A870,$C$2:C870,C870)=1,ABS(SUMIFS(RAW_발주!$D:$D,RAW_발주!$C:$C,A870,RAW_발주!$A:$A,C870)-SUMIFS($W:$W,$A:$A,A870,$C:$C,C870)),0)</f>
        <v>0</v>
      </c>
    </row>
    <row r="871" customFormat="false" ht="15" hidden="false" customHeight="true" outlineLevel="0" collapsed="false">
      <c r="A871" s="45" t="s">
        <v>1663</v>
      </c>
      <c r="B871" s="42" t="str">
        <f aca="false">IF(A871="100","HK",IF(A871="200","CN",IF(A871="300","TW","홀세일")))</f>
        <v>홀세일</v>
      </c>
      <c r="C871" s="45" t="s">
        <v>446</v>
      </c>
      <c r="D871" s="46" t="n">
        <v>180</v>
      </c>
      <c r="E871" s="46" t="n">
        <v>69000</v>
      </c>
      <c r="F871" s="46" t="n">
        <v>14799</v>
      </c>
      <c r="G871" s="42" t="n">
        <v>3.78</v>
      </c>
      <c r="H871" s="42" t="n">
        <v>16.3</v>
      </c>
      <c r="I871" s="42" t="n">
        <v>10.9</v>
      </c>
      <c r="J871" s="46" t="n">
        <f aca="false">IF(N(E871)&gt;0,E871,IF(N(F871)&gt;0,F871*요약!$F$27,0))</f>
        <v>69000</v>
      </c>
      <c r="K871" s="46" t="n">
        <f aca="false">IF(N(F871)&gt;0,F871,IF(N(E871)&gt;0,E871/요약!$F$27,0))</f>
        <v>14799</v>
      </c>
      <c r="L871" s="46" t="n">
        <f aca="false">IF(B871="CN",IF(N(I871)&gt;0,I871*요약!$G$27,K871*(1+요약!$E$27)),IF(N(H871)&gt;0,H871*요약!$G$27,J871*요약!$D$27))</f>
        <v>21516</v>
      </c>
      <c r="M871" s="46" t="n">
        <f aca="false">D871*J871</f>
        <v>12420000</v>
      </c>
      <c r="N871" s="46" t="n">
        <f aca="false">D871*K871</f>
        <v>2663820</v>
      </c>
      <c r="O871" s="46" t="n">
        <f aca="false">D871*L871</f>
        <v>3872880</v>
      </c>
      <c r="P871" s="42" t="str">
        <f aca="false">TRIM(IF(N(E871)&lt;=0,"택가보정 ","")&amp;IF(N(F871)&lt;=0,"원가보정 ","")&amp;IF(AND(B871&lt;&gt;"CN",N(H871)&lt;=0),"공급가보정 ","")&amp;IF(AND(B871="CN",N(I871)&lt;=0),"중국공급가=원가+마진 ",""))</f>
        <v/>
      </c>
      <c r="Q871" s="47" t="n">
        <f aca="false">IF(SUMIFS($W:$W,$A:$A,A871,$C:$C,C871)=0,0,SUMIFS(RAW_판매펀칭!$K:$K,RAW_판매펀칭!$P:$P,A871,RAW_판매펀칭!$I:$I,C871)*W871/SUMIFS($W:$W,$A:$A,A871,$C:$C,C871))</f>
        <v>180</v>
      </c>
      <c r="R871" s="47" t="n">
        <f aca="false">IF(OR(A871="500",A871="800",A871="810"),0,MAX(W871-Q871,0))</f>
        <v>0</v>
      </c>
      <c r="S871" s="47" t="n">
        <f aca="false">R871*L871</f>
        <v>0</v>
      </c>
      <c r="T871" s="47" t="n">
        <f aca="false">R871*J871</f>
        <v>0</v>
      </c>
      <c r="U871" s="47" t="n">
        <f aca="false">R871*K871</f>
        <v>0</v>
      </c>
      <c r="V871" s="0" t="str">
        <f aca="false">IF(COUNTIFS($A$2:A871,A871,$C$2:C871,C871,$D$2:D871,D871)&gt;1,"중복","")</f>
        <v/>
      </c>
      <c r="W871" s="0" t="n">
        <f aca="false">IF(V871="중복",0,N(D871))</f>
        <v>180</v>
      </c>
      <c r="X871" s="0" t="n">
        <f aca="false">IF(COUNTIFS($A$2:A871,A871,$C$2:C871,C871)=1,ABS(SUMIFS(RAW_발주!$D:$D,RAW_발주!$C:$C,A871,RAW_발주!$A:$A,C871)-SUMIFS($W:$W,$A:$A,A871,$C:$C,C871)),0)</f>
        <v>0</v>
      </c>
    </row>
    <row r="872" customFormat="false" ht="15" hidden="false" customHeight="true" outlineLevel="0" collapsed="false">
      <c r="A872" s="45" t="s">
        <v>1664</v>
      </c>
      <c r="B872" s="42" t="str">
        <f aca="false">IF(A872="100","HK",IF(A872="200","CN",IF(A872="300","TW","홀세일")))</f>
        <v>홀세일</v>
      </c>
      <c r="C872" s="45" t="s">
        <v>446</v>
      </c>
      <c r="D872" s="46" t="n">
        <v>70</v>
      </c>
      <c r="E872" s="46" t="n">
        <v>69000</v>
      </c>
      <c r="F872" s="46" t="n">
        <v>14799</v>
      </c>
      <c r="G872" s="42" t="n">
        <v>3.78</v>
      </c>
      <c r="H872" s="42" t="n">
        <v>16.3</v>
      </c>
      <c r="I872" s="42" t="n">
        <v>10.9</v>
      </c>
      <c r="J872" s="46" t="n">
        <f aca="false">IF(N(E872)&gt;0,E872,IF(N(F872)&gt;0,F872*요약!$F$27,0))</f>
        <v>69000</v>
      </c>
      <c r="K872" s="46" t="n">
        <f aca="false">IF(N(F872)&gt;0,F872,IF(N(E872)&gt;0,E872/요약!$F$27,0))</f>
        <v>14799</v>
      </c>
      <c r="L872" s="46" t="n">
        <f aca="false">IF(B872="CN",IF(N(I872)&gt;0,I872*요약!$G$27,K872*(1+요약!$E$27)),IF(N(H872)&gt;0,H872*요약!$G$27,J872*요약!$D$27))</f>
        <v>21516</v>
      </c>
      <c r="M872" s="46" t="n">
        <f aca="false">D872*J872</f>
        <v>4830000</v>
      </c>
      <c r="N872" s="46" t="n">
        <f aca="false">D872*K872</f>
        <v>1035930</v>
      </c>
      <c r="O872" s="46" t="n">
        <f aca="false">D872*L872</f>
        <v>1506120</v>
      </c>
      <c r="P872" s="42" t="str">
        <f aca="false">TRIM(IF(N(E872)&lt;=0,"택가보정 ","")&amp;IF(N(F872)&lt;=0,"원가보정 ","")&amp;IF(AND(B872&lt;&gt;"CN",N(H872)&lt;=0),"공급가보정 ","")&amp;IF(AND(B872="CN",N(I872)&lt;=0),"중국공급가=원가+마진 ",""))</f>
        <v/>
      </c>
      <c r="Q872" s="47" t="n">
        <f aca="false">IF(SUMIFS($W:$W,$A:$A,A872,$C:$C,C872)=0,0,SUMIFS(RAW_판매펀칭!$K:$K,RAW_판매펀칭!$P:$P,A872,RAW_판매펀칭!$I:$I,C872)*W872/SUMIFS($W:$W,$A:$A,A872,$C:$C,C872))</f>
        <v>0</v>
      </c>
      <c r="R872" s="47" t="n">
        <f aca="false">IF(OR(A872="500",A872="800",A872="810"),0,MAX(W872-Q872,0))</f>
        <v>0</v>
      </c>
      <c r="S872" s="47" t="n">
        <f aca="false">R872*L872</f>
        <v>0</v>
      </c>
      <c r="T872" s="47" t="n">
        <f aca="false">R872*J872</f>
        <v>0</v>
      </c>
      <c r="U872" s="47" t="n">
        <f aca="false">R872*K872</f>
        <v>0</v>
      </c>
      <c r="V872" s="0" t="str">
        <f aca="false">IF(COUNTIFS($A$2:A872,A872,$C$2:C872,C872,$D$2:D872,D872)&gt;1,"중복","")</f>
        <v/>
      </c>
      <c r="W872" s="0" t="n">
        <f aca="false">IF(V872="중복",0,N(D872))</f>
        <v>70</v>
      </c>
      <c r="X872" s="0" t="n">
        <f aca="false">IF(COUNTIFS($A$2:A872,A872,$C$2:C872,C872)=1,ABS(SUMIFS(RAW_발주!$D:$D,RAW_발주!$C:$C,A872,RAW_발주!$A:$A,C872)-SUMIFS($W:$W,$A:$A,A872,$C:$C,C872)),0)</f>
        <v>0</v>
      </c>
    </row>
    <row r="873" customFormat="false" ht="15" hidden="false" customHeight="true" outlineLevel="0" collapsed="false">
      <c r="A873" s="45" t="s">
        <v>1665</v>
      </c>
      <c r="B873" s="42" t="str">
        <f aca="false">IF(A873="100","HK",IF(A873="200","CN",IF(A873="300","TW","홀세일")))</f>
        <v>홀세일</v>
      </c>
      <c r="C873" s="45" t="s">
        <v>446</v>
      </c>
      <c r="D873" s="46" t="n">
        <v>216</v>
      </c>
      <c r="E873" s="46" t="n">
        <v>69000</v>
      </c>
      <c r="F873" s="46" t="n">
        <v>14799</v>
      </c>
      <c r="G873" s="42" t="n">
        <v>3.78</v>
      </c>
      <c r="H873" s="42" t="n">
        <v>16.3</v>
      </c>
      <c r="I873" s="42" t="n">
        <v>10.9</v>
      </c>
      <c r="J873" s="46" t="n">
        <f aca="false">IF(N(E873)&gt;0,E873,IF(N(F873)&gt;0,F873*요약!$F$27,0))</f>
        <v>69000</v>
      </c>
      <c r="K873" s="46" t="n">
        <f aca="false">IF(N(F873)&gt;0,F873,IF(N(E873)&gt;0,E873/요약!$F$27,0))</f>
        <v>14799</v>
      </c>
      <c r="L873" s="46" t="n">
        <f aca="false">IF(B873="CN",IF(N(I873)&gt;0,I873*요약!$G$27,K873*(1+요약!$E$27)),IF(N(H873)&gt;0,H873*요약!$G$27,J873*요약!$D$27))</f>
        <v>21516</v>
      </c>
      <c r="M873" s="46" t="n">
        <f aca="false">D873*J873</f>
        <v>14904000</v>
      </c>
      <c r="N873" s="46" t="n">
        <f aca="false">D873*K873</f>
        <v>3196584</v>
      </c>
      <c r="O873" s="46" t="n">
        <f aca="false">D873*L873</f>
        <v>4647456</v>
      </c>
      <c r="P873" s="42" t="str">
        <f aca="false">TRIM(IF(N(E873)&lt;=0,"택가보정 ","")&amp;IF(N(F873)&lt;=0,"원가보정 ","")&amp;IF(AND(B873&lt;&gt;"CN",N(H873)&lt;=0),"공급가보정 ","")&amp;IF(AND(B873="CN",N(I873)&lt;=0),"중국공급가=원가+마진 ",""))</f>
        <v/>
      </c>
      <c r="Q873" s="47" t="n">
        <f aca="false">IF(SUMIFS($W:$W,$A:$A,A873,$C:$C,C873)=0,0,SUMIFS(RAW_판매펀칭!$K:$K,RAW_판매펀칭!$P:$P,A873,RAW_판매펀칭!$I:$I,C873)*W873/SUMIFS($W:$W,$A:$A,A873,$C:$C,C873))</f>
        <v>0</v>
      </c>
      <c r="R873" s="47" t="n">
        <f aca="false">IF(OR(A873="500",A873="800",A873="810"),0,MAX(W873-Q873,0))</f>
        <v>0</v>
      </c>
      <c r="S873" s="47" t="n">
        <f aca="false">R873*L873</f>
        <v>0</v>
      </c>
      <c r="T873" s="47" t="n">
        <f aca="false">R873*J873</f>
        <v>0</v>
      </c>
      <c r="U873" s="47" t="n">
        <f aca="false">R873*K873</f>
        <v>0</v>
      </c>
      <c r="V873" s="0" t="str">
        <f aca="false">IF(COUNTIFS($A$2:A873,A873,$C$2:C873,C873,$D$2:D873,D873)&gt;1,"중복","")</f>
        <v/>
      </c>
      <c r="W873" s="0" t="n">
        <f aca="false">IF(V873="중복",0,N(D873))</f>
        <v>216</v>
      </c>
      <c r="X873" s="0" t="n">
        <f aca="false">IF(COUNTIFS($A$2:A873,A873,$C$2:C873,C873)=1,ABS(SUMIFS(RAW_발주!$D:$D,RAW_발주!$C:$C,A873,RAW_발주!$A:$A,C873)-SUMIFS($W:$W,$A:$A,A873,$C:$C,C873)),0)</f>
        <v>0</v>
      </c>
    </row>
    <row r="874" customFormat="false" ht="15" hidden="false" customHeight="true" outlineLevel="0" collapsed="false">
      <c r="A874" s="45" t="s">
        <v>1659</v>
      </c>
      <c r="B874" s="42" t="str">
        <f aca="false">IF(A874="100","HK",IF(A874="200","CN",IF(A874="300","TW","홀세일")))</f>
        <v>HK</v>
      </c>
      <c r="C874" s="45" t="s">
        <v>448</v>
      </c>
      <c r="D874" s="46" t="n">
        <v>70</v>
      </c>
      <c r="E874" s="46" t="n">
        <v>79000</v>
      </c>
      <c r="F874" s="46" t="n">
        <v>17200</v>
      </c>
      <c r="G874" s="42" t="n">
        <v>4.33</v>
      </c>
      <c r="H874" s="42" t="n">
        <v>18.6</v>
      </c>
      <c r="I874" s="42" t="n">
        <v>0</v>
      </c>
      <c r="J874" s="46" t="n">
        <f aca="false">IF(N(E874)&gt;0,E874,IF(N(F874)&gt;0,F874*요약!$F$27,0))</f>
        <v>79000</v>
      </c>
      <c r="K874" s="46" t="n">
        <f aca="false">IF(N(F874)&gt;0,F874,IF(N(E874)&gt;0,E874/요약!$F$27,0))</f>
        <v>17200</v>
      </c>
      <c r="L874" s="46" t="n">
        <f aca="false">IF(B874="CN",IF(N(I874)&gt;0,I874*요약!$G$27,K874*(1+요약!$E$27)),IF(N(H874)&gt;0,H874*요약!$G$27,J874*요약!$D$27))</f>
        <v>24552</v>
      </c>
      <c r="M874" s="46" t="n">
        <f aca="false">D874*J874</f>
        <v>5530000</v>
      </c>
      <c r="N874" s="46" t="n">
        <f aca="false">D874*K874</f>
        <v>1204000</v>
      </c>
      <c r="O874" s="46" t="n">
        <f aca="false">D874*L874</f>
        <v>1718640</v>
      </c>
      <c r="P874" s="42" t="str">
        <f aca="false">TRIM(IF(N(E874)&lt;=0,"택가보정 ","")&amp;IF(N(F874)&lt;=0,"원가보정 ","")&amp;IF(AND(B874&lt;&gt;"CN",N(H874)&lt;=0),"공급가보정 ","")&amp;IF(AND(B874="CN",N(I874)&lt;=0),"중국공급가=원가+마진 ",""))</f>
        <v/>
      </c>
      <c r="Q874" s="47" t="n">
        <f aca="false">IF(SUMIFS($W:$W,$A:$A,A874,$C:$C,C874)=0,0,SUMIFS(RAW_판매펀칭!$K:$K,RAW_판매펀칭!$P:$P,A874,RAW_판매펀칭!$I:$I,C874)*W874/SUMIFS($W:$W,$A:$A,A874,$C:$C,C874))</f>
        <v>70</v>
      </c>
      <c r="R874" s="47" t="n">
        <f aca="false">IF(OR(A874="500",A874="800",A874="810"),0,MAX(W874-Q874,0))</f>
        <v>0</v>
      </c>
      <c r="S874" s="47" t="n">
        <f aca="false">R874*L874</f>
        <v>0</v>
      </c>
      <c r="T874" s="47" t="n">
        <f aca="false">R874*J874</f>
        <v>0</v>
      </c>
      <c r="U874" s="47" t="n">
        <f aca="false">R874*K874</f>
        <v>0</v>
      </c>
      <c r="V874" s="0" t="str">
        <f aca="false">IF(COUNTIFS($A$2:A874,A874,$C$2:C874,C874,$D$2:D874,D874)&gt;1,"중복","")</f>
        <v/>
      </c>
      <c r="W874" s="0" t="n">
        <f aca="false">IF(V874="중복",0,N(D874))</f>
        <v>70</v>
      </c>
      <c r="X874" s="0" t="n">
        <f aca="false">IF(COUNTIFS($A$2:A874,A874,$C$2:C874,C874)=1,ABS(SUMIFS(RAW_발주!$D:$D,RAW_발주!$C:$C,A874,RAW_발주!$A:$A,C874)-SUMIFS($W:$W,$A:$A,A874,$C:$C,C874)),0)</f>
        <v>0</v>
      </c>
    </row>
    <row r="875" customFormat="false" ht="15" hidden="false" customHeight="true" outlineLevel="0" collapsed="false">
      <c r="A875" s="45" t="s">
        <v>1661</v>
      </c>
      <c r="B875" s="42" t="str">
        <f aca="false">IF(A875="100","HK",IF(A875="200","CN",IF(A875="300","TW","홀세일")))</f>
        <v>TW</v>
      </c>
      <c r="C875" s="45" t="s">
        <v>448</v>
      </c>
      <c r="D875" s="46" t="n">
        <v>100</v>
      </c>
      <c r="E875" s="46" t="n">
        <v>79000</v>
      </c>
      <c r="F875" s="46" t="n">
        <v>17200</v>
      </c>
      <c r="G875" s="42" t="n">
        <v>4.33</v>
      </c>
      <c r="H875" s="42" t="n">
        <v>18.6</v>
      </c>
      <c r="I875" s="42" t="n">
        <v>0</v>
      </c>
      <c r="J875" s="46" t="n">
        <f aca="false">IF(N(E875)&gt;0,E875,IF(N(F875)&gt;0,F875*요약!$F$27,0))</f>
        <v>79000</v>
      </c>
      <c r="K875" s="46" t="n">
        <f aca="false">IF(N(F875)&gt;0,F875,IF(N(E875)&gt;0,E875/요약!$F$27,0))</f>
        <v>17200</v>
      </c>
      <c r="L875" s="46" t="n">
        <f aca="false">IF(B875="CN",IF(N(I875)&gt;0,I875*요약!$G$27,K875*(1+요약!$E$27)),IF(N(H875)&gt;0,H875*요약!$G$27,J875*요약!$D$27))</f>
        <v>24552</v>
      </c>
      <c r="M875" s="46" t="n">
        <f aca="false">D875*J875</f>
        <v>7900000</v>
      </c>
      <c r="N875" s="46" t="n">
        <f aca="false">D875*K875</f>
        <v>1720000</v>
      </c>
      <c r="O875" s="46" t="n">
        <f aca="false">D875*L875</f>
        <v>2455200</v>
      </c>
      <c r="P875" s="42" t="str">
        <f aca="false">TRIM(IF(N(E875)&lt;=0,"택가보정 ","")&amp;IF(N(F875)&lt;=0,"원가보정 ","")&amp;IF(AND(B875&lt;&gt;"CN",N(H875)&lt;=0),"공급가보정 ","")&amp;IF(AND(B875="CN",N(I875)&lt;=0),"중국공급가=원가+마진 ",""))</f>
        <v/>
      </c>
      <c r="Q875" s="47" t="n">
        <f aca="false">IF(SUMIFS($W:$W,$A:$A,A875,$C:$C,C875)=0,0,SUMIFS(RAW_판매펀칭!$K:$K,RAW_판매펀칭!$P:$P,A875,RAW_판매펀칭!$I:$I,C875)*W875/SUMIFS($W:$W,$A:$A,A875,$C:$C,C875))</f>
        <v>100</v>
      </c>
      <c r="R875" s="47" t="n">
        <f aca="false">IF(OR(A875="500",A875="800",A875="810"),0,MAX(W875-Q875,0))</f>
        <v>0</v>
      </c>
      <c r="S875" s="47" t="n">
        <f aca="false">R875*L875</f>
        <v>0</v>
      </c>
      <c r="T875" s="47" t="n">
        <f aca="false">R875*J875</f>
        <v>0</v>
      </c>
      <c r="U875" s="47" t="n">
        <f aca="false">R875*K875</f>
        <v>0</v>
      </c>
      <c r="V875" s="0" t="str">
        <f aca="false">IF(COUNTIFS($A$2:A875,A875,$C$2:C875,C875,$D$2:D875,D875)&gt;1,"중복","")</f>
        <v/>
      </c>
      <c r="W875" s="0" t="n">
        <f aca="false">IF(V875="중복",0,N(D875))</f>
        <v>100</v>
      </c>
      <c r="X875" s="0" t="n">
        <f aca="false">IF(COUNTIFS($A$2:A875,A875,$C$2:C875,C875)=1,ABS(SUMIFS(RAW_발주!$D:$D,RAW_발주!$C:$C,A875,RAW_발주!$A:$A,C875)-SUMIFS($W:$W,$A:$A,A875,$C:$C,C875)),0)</f>
        <v>0</v>
      </c>
    </row>
    <row r="876" customFormat="false" ht="15" hidden="false" customHeight="true" outlineLevel="0" collapsed="false">
      <c r="A876" s="45" t="s">
        <v>1663</v>
      </c>
      <c r="B876" s="42" t="str">
        <f aca="false">IF(A876="100","HK",IF(A876="200","CN",IF(A876="300","TW","홀세일")))</f>
        <v>홀세일</v>
      </c>
      <c r="C876" s="45" t="s">
        <v>448</v>
      </c>
      <c r="D876" s="46" t="n">
        <v>35</v>
      </c>
      <c r="E876" s="46" t="n">
        <v>79000</v>
      </c>
      <c r="F876" s="46" t="n">
        <v>17200</v>
      </c>
      <c r="G876" s="42" t="n">
        <v>4.33</v>
      </c>
      <c r="H876" s="42" t="n">
        <v>18.6</v>
      </c>
      <c r="I876" s="42" t="n">
        <v>0</v>
      </c>
      <c r="J876" s="46" t="n">
        <f aca="false">IF(N(E876)&gt;0,E876,IF(N(F876)&gt;0,F876*요약!$F$27,0))</f>
        <v>79000</v>
      </c>
      <c r="K876" s="46" t="n">
        <f aca="false">IF(N(F876)&gt;0,F876,IF(N(E876)&gt;0,E876/요약!$F$27,0))</f>
        <v>17200</v>
      </c>
      <c r="L876" s="46" t="n">
        <f aca="false">IF(B876="CN",IF(N(I876)&gt;0,I876*요약!$G$27,K876*(1+요약!$E$27)),IF(N(H876)&gt;0,H876*요약!$G$27,J876*요약!$D$27))</f>
        <v>24552</v>
      </c>
      <c r="M876" s="46" t="n">
        <f aca="false">D876*J876</f>
        <v>2765000</v>
      </c>
      <c r="N876" s="46" t="n">
        <f aca="false">D876*K876</f>
        <v>602000</v>
      </c>
      <c r="O876" s="46" t="n">
        <f aca="false">D876*L876</f>
        <v>859320</v>
      </c>
      <c r="P876" s="42" t="str">
        <f aca="false">TRIM(IF(N(E876)&lt;=0,"택가보정 ","")&amp;IF(N(F876)&lt;=0,"원가보정 ","")&amp;IF(AND(B876&lt;&gt;"CN",N(H876)&lt;=0),"공급가보정 ","")&amp;IF(AND(B876="CN",N(I876)&lt;=0),"중국공급가=원가+마진 ",""))</f>
        <v/>
      </c>
      <c r="Q876" s="47" t="n">
        <f aca="false">IF(SUMIFS($W:$W,$A:$A,A876,$C:$C,C876)=0,0,SUMIFS(RAW_판매펀칭!$K:$K,RAW_판매펀칭!$P:$P,A876,RAW_판매펀칭!$I:$I,C876)*W876/SUMIFS($W:$W,$A:$A,A876,$C:$C,C876))</f>
        <v>35</v>
      </c>
      <c r="R876" s="47" t="n">
        <f aca="false">IF(OR(A876="500",A876="800",A876="810"),0,MAX(W876-Q876,0))</f>
        <v>0</v>
      </c>
      <c r="S876" s="47" t="n">
        <f aca="false">R876*L876</f>
        <v>0</v>
      </c>
      <c r="T876" s="47" t="n">
        <f aca="false">R876*J876</f>
        <v>0</v>
      </c>
      <c r="U876" s="47" t="n">
        <f aca="false">R876*K876</f>
        <v>0</v>
      </c>
      <c r="V876" s="0" t="str">
        <f aca="false">IF(COUNTIFS($A$2:A876,A876,$C$2:C876,C876,$D$2:D876,D876)&gt;1,"중복","")</f>
        <v/>
      </c>
      <c r="W876" s="0" t="n">
        <f aca="false">IF(V876="중복",0,N(D876))</f>
        <v>35</v>
      </c>
      <c r="X876" s="0" t="n">
        <f aca="false">IF(COUNTIFS($A$2:A876,A876,$C$2:C876,C876)=1,ABS(SUMIFS(RAW_발주!$D:$D,RAW_발주!$C:$C,A876,RAW_발주!$A:$A,C876)-SUMIFS($W:$W,$A:$A,A876,$C:$C,C876)),0)</f>
        <v>0</v>
      </c>
    </row>
    <row r="877" customFormat="false" ht="15" hidden="false" customHeight="true" outlineLevel="0" collapsed="false">
      <c r="A877" s="45" t="s">
        <v>1664</v>
      </c>
      <c r="B877" s="42" t="str">
        <f aca="false">IF(A877="100","HK",IF(A877="200","CN",IF(A877="300","TW","홀세일")))</f>
        <v>홀세일</v>
      </c>
      <c r="C877" s="45" t="s">
        <v>448</v>
      </c>
      <c r="D877" s="46" t="n">
        <v>70</v>
      </c>
      <c r="E877" s="46" t="n">
        <v>79000</v>
      </c>
      <c r="F877" s="46" t="n">
        <v>17200</v>
      </c>
      <c r="G877" s="42" t="n">
        <v>4.33</v>
      </c>
      <c r="H877" s="42" t="n">
        <v>18.6</v>
      </c>
      <c r="I877" s="42" t="n">
        <v>0</v>
      </c>
      <c r="J877" s="46" t="n">
        <f aca="false">IF(N(E877)&gt;0,E877,IF(N(F877)&gt;0,F877*요약!$F$27,0))</f>
        <v>79000</v>
      </c>
      <c r="K877" s="46" t="n">
        <f aca="false">IF(N(F877)&gt;0,F877,IF(N(E877)&gt;0,E877/요약!$F$27,0))</f>
        <v>17200</v>
      </c>
      <c r="L877" s="46" t="n">
        <f aca="false">IF(B877="CN",IF(N(I877)&gt;0,I877*요약!$G$27,K877*(1+요약!$E$27)),IF(N(H877)&gt;0,H877*요약!$G$27,J877*요약!$D$27))</f>
        <v>24552</v>
      </c>
      <c r="M877" s="46" t="n">
        <f aca="false">D877*J877</f>
        <v>5530000</v>
      </c>
      <c r="N877" s="46" t="n">
        <f aca="false">D877*K877</f>
        <v>1204000</v>
      </c>
      <c r="O877" s="46" t="n">
        <f aca="false">D877*L877</f>
        <v>1718640</v>
      </c>
      <c r="P877" s="42" t="str">
        <f aca="false">TRIM(IF(N(E877)&lt;=0,"택가보정 ","")&amp;IF(N(F877)&lt;=0,"원가보정 ","")&amp;IF(AND(B877&lt;&gt;"CN",N(H877)&lt;=0),"공급가보정 ","")&amp;IF(AND(B877="CN",N(I877)&lt;=0),"중국공급가=원가+마진 ",""))</f>
        <v/>
      </c>
      <c r="Q877" s="47" t="n">
        <f aca="false">IF(SUMIFS($W:$W,$A:$A,A877,$C:$C,C877)=0,0,SUMIFS(RAW_판매펀칭!$K:$K,RAW_판매펀칭!$P:$P,A877,RAW_판매펀칭!$I:$I,C877)*W877/SUMIFS($W:$W,$A:$A,A877,$C:$C,C877))</f>
        <v>0</v>
      </c>
      <c r="R877" s="47" t="n">
        <f aca="false">IF(OR(A877="500",A877="800",A877="810"),0,MAX(W877-Q877,0))</f>
        <v>0</v>
      </c>
      <c r="S877" s="47" t="n">
        <f aca="false">R877*L877</f>
        <v>0</v>
      </c>
      <c r="T877" s="47" t="n">
        <f aca="false">R877*J877</f>
        <v>0</v>
      </c>
      <c r="U877" s="47" t="n">
        <f aca="false">R877*K877</f>
        <v>0</v>
      </c>
      <c r="V877" s="0" t="str">
        <f aca="false">IF(COUNTIFS($A$2:A877,A877,$C$2:C877,C877,$D$2:D877,D877)&gt;1,"중복","")</f>
        <v/>
      </c>
      <c r="W877" s="0" t="n">
        <f aca="false">IF(V877="중복",0,N(D877))</f>
        <v>70</v>
      </c>
      <c r="X877" s="0" t="n">
        <f aca="false">IF(COUNTIFS($A$2:A877,A877,$C$2:C877,C877)=1,ABS(SUMIFS(RAW_발주!$D:$D,RAW_발주!$C:$C,A877,RAW_발주!$A:$A,C877)-SUMIFS($W:$W,$A:$A,A877,$C:$C,C877)),0)</f>
        <v>0</v>
      </c>
    </row>
    <row r="878" customFormat="false" ht="15" hidden="false" customHeight="true" outlineLevel="0" collapsed="false">
      <c r="A878" s="45" t="s">
        <v>1665</v>
      </c>
      <c r="B878" s="42" t="str">
        <f aca="false">IF(A878="100","HK",IF(A878="200","CN",IF(A878="300","TW","홀세일")))</f>
        <v>홀세일</v>
      </c>
      <c r="C878" s="45" t="s">
        <v>448</v>
      </c>
      <c r="D878" s="46" t="n">
        <v>216</v>
      </c>
      <c r="E878" s="46" t="n">
        <v>79000</v>
      </c>
      <c r="F878" s="46" t="n">
        <v>17200</v>
      </c>
      <c r="G878" s="42" t="n">
        <v>4.33</v>
      </c>
      <c r="H878" s="42" t="n">
        <v>18.6</v>
      </c>
      <c r="I878" s="42" t="n">
        <v>0</v>
      </c>
      <c r="J878" s="46" t="n">
        <f aca="false">IF(N(E878)&gt;0,E878,IF(N(F878)&gt;0,F878*요약!$F$27,0))</f>
        <v>79000</v>
      </c>
      <c r="K878" s="46" t="n">
        <f aca="false">IF(N(F878)&gt;0,F878,IF(N(E878)&gt;0,E878/요약!$F$27,0))</f>
        <v>17200</v>
      </c>
      <c r="L878" s="46" t="n">
        <f aca="false">IF(B878="CN",IF(N(I878)&gt;0,I878*요약!$G$27,K878*(1+요약!$E$27)),IF(N(H878)&gt;0,H878*요약!$G$27,J878*요약!$D$27))</f>
        <v>24552</v>
      </c>
      <c r="M878" s="46" t="n">
        <f aca="false">D878*J878</f>
        <v>17064000</v>
      </c>
      <c r="N878" s="46" t="n">
        <f aca="false">D878*K878</f>
        <v>3715200</v>
      </c>
      <c r="O878" s="46" t="n">
        <f aca="false">D878*L878</f>
        <v>5303232</v>
      </c>
      <c r="P878" s="42" t="str">
        <f aca="false">TRIM(IF(N(E878)&lt;=0,"택가보정 ","")&amp;IF(N(F878)&lt;=0,"원가보정 ","")&amp;IF(AND(B878&lt;&gt;"CN",N(H878)&lt;=0),"공급가보정 ","")&amp;IF(AND(B878="CN",N(I878)&lt;=0),"중국공급가=원가+마진 ",""))</f>
        <v/>
      </c>
      <c r="Q878" s="47" t="n">
        <f aca="false">IF(SUMIFS($W:$W,$A:$A,A878,$C:$C,C878)=0,0,SUMIFS(RAW_판매펀칭!$K:$K,RAW_판매펀칭!$P:$P,A878,RAW_판매펀칭!$I:$I,C878)*W878/SUMIFS($W:$W,$A:$A,A878,$C:$C,C878))</f>
        <v>0</v>
      </c>
      <c r="R878" s="47" t="n">
        <f aca="false">IF(OR(A878="500",A878="800",A878="810"),0,MAX(W878-Q878,0))</f>
        <v>0</v>
      </c>
      <c r="S878" s="47" t="n">
        <f aca="false">R878*L878</f>
        <v>0</v>
      </c>
      <c r="T878" s="47" t="n">
        <f aca="false">R878*J878</f>
        <v>0</v>
      </c>
      <c r="U878" s="47" t="n">
        <f aca="false">R878*K878</f>
        <v>0</v>
      </c>
      <c r="V878" s="0" t="str">
        <f aca="false">IF(COUNTIFS($A$2:A878,A878,$C$2:C878,C878,$D$2:D878,D878)&gt;1,"중복","")</f>
        <v/>
      </c>
      <c r="W878" s="0" t="n">
        <f aca="false">IF(V878="중복",0,N(D878))</f>
        <v>216</v>
      </c>
      <c r="X878" s="0" t="n">
        <f aca="false">IF(COUNTIFS($A$2:A878,A878,$C$2:C878,C878)=1,ABS(SUMIFS(RAW_발주!$D:$D,RAW_발주!$C:$C,A878,RAW_발주!$A:$A,C878)-SUMIFS($W:$W,$A:$A,A878,$C:$C,C878)),0)</f>
        <v>0</v>
      </c>
    </row>
    <row r="879" customFormat="false" ht="15" hidden="false" customHeight="true" outlineLevel="0" collapsed="false">
      <c r="A879" s="45" t="s">
        <v>1659</v>
      </c>
      <c r="B879" s="42" t="str">
        <f aca="false">IF(A879="100","HK",IF(A879="200","CN",IF(A879="300","TW","홀세일")))</f>
        <v>HK</v>
      </c>
      <c r="C879" s="45" t="s">
        <v>450</v>
      </c>
      <c r="D879" s="46" t="n">
        <v>280</v>
      </c>
      <c r="E879" s="46" t="n">
        <v>69000</v>
      </c>
      <c r="F879" s="46" t="n">
        <v>15000</v>
      </c>
      <c r="G879" s="42" t="n">
        <v>4.05</v>
      </c>
      <c r="H879" s="42" t="n">
        <v>16.3</v>
      </c>
      <c r="I879" s="42" t="n">
        <v>0</v>
      </c>
      <c r="J879" s="46" t="n">
        <f aca="false">IF(N(E879)&gt;0,E879,IF(N(F879)&gt;0,F879*요약!$F$27,0))</f>
        <v>69000</v>
      </c>
      <c r="K879" s="46" t="n">
        <f aca="false">IF(N(F879)&gt;0,F879,IF(N(E879)&gt;0,E879/요약!$F$27,0))</f>
        <v>15000</v>
      </c>
      <c r="L879" s="46" t="n">
        <f aca="false">IF(B879="CN",IF(N(I879)&gt;0,I879*요약!$G$27,K879*(1+요약!$E$27)),IF(N(H879)&gt;0,H879*요약!$G$27,J879*요약!$D$27))</f>
        <v>21516</v>
      </c>
      <c r="M879" s="46" t="n">
        <f aca="false">D879*J879</f>
        <v>19320000</v>
      </c>
      <c r="N879" s="46" t="n">
        <f aca="false">D879*K879</f>
        <v>4200000</v>
      </c>
      <c r="O879" s="46" t="n">
        <f aca="false">D879*L879</f>
        <v>6024480</v>
      </c>
      <c r="P879" s="42" t="str">
        <f aca="false">TRIM(IF(N(E879)&lt;=0,"택가보정 ","")&amp;IF(N(F879)&lt;=0,"원가보정 ","")&amp;IF(AND(B879&lt;&gt;"CN",N(H879)&lt;=0),"공급가보정 ","")&amp;IF(AND(B879="CN",N(I879)&lt;=0),"중국공급가=원가+마진 ",""))</f>
        <v/>
      </c>
      <c r="Q879" s="47" t="n">
        <f aca="false">IF(SUMIFS($W:$W,$A:$A,A879,$C:$C,C879)=0,0,SUMIFS(RAW_판매펀칭!$K:$K,RAW_판매펀칭!$P:$P,A879,RAW_판매펀칭!$I:$I,C879)*W879/SUMIFS($W:$W,$A:$A,A879,$C:$C,C879))</f>
        <v>280</v>
      </c>
      <c r="R879" s="47" t="n">
        <f aca="false">IF(OR(A879="500",A879="800",A879="810"),0,MAX(W879-Q879,0))</f>
        <v>0</v>
      </c>
      <c r="S879" s="47" t="n">
        <f aca="false">R879*L879</f>
        <v>0</v>
      </c>
      <c r="T879" s="47" t="n">
        <f aca="false">R879*J879</f>
        <v>0</v>
      </c>
      <c r="U879" s="47" t="n">
        <f aca="false">R879*K879</f>
        <v>0</v>
      </c>
      <c r="V879" s="0" t="str">
        <f aca="false">IF(COUNTIFS($A$2:A879,A879,$C$2:C879,C879,$D$2:D879,D879)&gt;1,"중복","")</f>
        <v/>
      </c>
      <c r="W879" s="0" t="n">
        <f aca="false">IF(V879="중복",0,N(D879))</f>
        <v>280</v>
      </c>
      <c r="X879" s="0" t="n">
        <f aca="false">IF(COUNTIFS($A$2:A879,A879,$C$2:C879,C879)=1,ABS(SUMIFS(RAW_발주!$D:$D,RAW_발주!$C:$C,A879,RAW_발주!$A:$A,C879)-SUMIFS($W:$W,$A:$A,A879,$C:$C,C879)),0)</f>
        <v>0</v>
      </c>
    </row>
    <row r="880" customFormat="false" ht="15" hidden="false" customHeight="true" outlineLevel="0" collapsed="false">
      <c r="A880" s="45" t="s">
        <v>1661</v>
      </c>
      <c r="B880" s="42" t="str">
        <f aca="false">IF(A880="100","HK",IF(A880="200","CN",IF(A880="300","TW","홀세일")))</f>
        <v>TW</v>
      </c>
      <c r="C880" s="45" t="s">
        <v>450</v>
      </c>
      <c r="D880" s="46" t="n">
        <v>270</v>
      </c>
      <c r="E880" s="46" t="n">
        <v>69000</v>
      </c>
      <c r="F880" s="46" t="n">
        <v>15000</v>
      </c>
      <c r="G880" s="42" t="n">
        <v>4.05</v>
      </c>
      <c r="H880" s="42" t="n">
        <v>16.3</v>
      </c>
      <c r="I880" s="42" t="n">
        <v>0</v>
      </c>
      <c r="J880" s="46" t="n">
        <f aca="false">IF(N(E880)&gt;0,E880,IF(N(F880)&gt;0,F880*요약!$F$27,0))</f>
        <v>69000</v>
      </c>
      <c r="K880" s="46" t="n">
        <f aca="false">IF(N(F880)&gt;0,F880,IF(N(E880)&gt;0,E880/요약!$F$27,0))</f>
        <v>15000</v>
      </c>
      <c r="L880" s="46" t="n">
        <f aca="false">IF(B880="CN",IF(N(I880)&gt;0,I880*요약!$G$27,K880*(1+요약!$E$27)),IF(N(H880)&gt;0,H880*요약!$G$27,J880*요약!$D$27))</f>
        <v>21516</v>
      </c>
      <c r="M880" s="46" t="n">
        <f aca="false">D880*J880</f>
        <v>18630000</v>
      </c>
      <c r="N880" s="46" t="n">
        <f aca="false">D880*K880</f>
        <v>4050000</v>
      </c>
      <c r="O880" s="46" t="n">
        <f aca="false">D880*L880</f>
        <v>5809320</v>
      </c>
      <c r="P880" s="42" t="str">
        <f aca="false">TRIM(IF(N(E880)&lt;=0,"택가보정 ","")&amp;IF(N(F880)&lt;=0,"원가보정 ","")&amp;IF(AND(B880&lt;&gt;"CN",N(H880)&lt;=0),"공급가보정 ","")&amp;IF(AND(B880="CN",N(I880)&lt;=0),"중국공급가=원가+마진 ",""))</f>
        <v/>
      </c>
      <c r="Q880" s="47" t="n">
        <f aca="false">IF(SUMIFS($W:$W,$A:$A,A880,$C:$C,C880)=0,0,SUMIFS(RAW_판매펀칭!$K:$K,RAW_판매펀칭!$P:$P,A880,RAW_판매펀칭!$I:$I,C880)*W880/SUMIFS($W:$W,$A:$A,A880,$C:$C,C880))</f>
        <v>270</v>
      </c>
      <c r="R880" s="47" t="n">
        <f aca="false">IF(OR(A880="500",A880="800",A880="810"),0,MAX(W880-Q880,0))</f>
        <v>0</v>
      </c>
      <c r="S880" s="47" t="n">
        <f aca="false">R880*L880</f>
        <v>0</v>
      </c>
      <c r="T880" s="47" t="n">
        <f aca="false">R880*J880</f>
        <v>0</v>
      </c>
      <c r="U880" s="47" t="n">
        <f aca="false">R880*K880</f>
        <v>0</v>
      </c>
      <c r="V880" s="0" t="str">
        <f aca="false">IF(COUNTIFS($A$2:A880,A880,$C$2:C880,C880,$D$2:D880,D880)&gt;1,"중복","")</f>
        <v/>
      </c>
      <c r="W880" s="0" t="n">
        <f aca="false">IF(V880="중복",0,N(D880))</f>
        <v>270</v>
      </c>
      <c r="X880" s="0" t="n">
        <f aca="false">IF(COUNTIFS($A$2:A880,A880,$C$2:C880,C880)=1,ABS(SUMIFS(RAW_발주!$D:$D,RAW_발주!$C:$C,A880,RAW_발주!$A:$A,C880)-SUMIFS($W:$W,$A:$A,A880,$C:$C,C880)),0)</f>
        <v>0</v>
      </c>
    </row>
    <row r="881" customFormat="false" ht="15" hidden="false" customHeight="true" outlineLevel="0" collapsed="false">
      <c r="A881" s="45" t="s">
        <v>1662</v>
      </c>
      <c r="B881" s="42" t="str">
        <f aca="false">IF(A881="100","HK",IF(A881="200","CN",IF(A881="300","TW","홀세일")))</f>
        <v>홀세일</v>
      </c>
      <c r="C881" s="45" t="s">
        <v>450</v>
      </c>
      <c r="D881" s="46" t="n">
        <v>1115</v>
      </c>
      <c r="E881" s="46" t="n">
        <v>69000</v>
      </c>
      <c r="F881" s="46" t="n">
        <v>15000</v>
      </c>
      <c r="G881" s="42" t="n">
        <v>4.05</v>
      </c>
      <c r="H881" s="42" t="n">
        <v>16.3</v>
      </c>
      <c r="I881" s="42" t="n">
        <v>0</v>
      </c>
      <c r="J881" s="46" t="n">
        <f aca="false">IF(N(E881)&gt;0,E881,IF(N(F881)&gt;0,F881*요약!$F$27,0))</f>
        <v>69000</v>
      </c>
      <c r="K881" s="46" t="n">
        <f aca="false">IF(N(F881)&gt;0,F881,IF(N(E881)&gt;0,E881/요약!$F$27,0))</f>
        <v>15000</v>
      </c>
      <c r="L881" s="46" t="n">
        <f aca="false">IF(B881="CN",IF(N(I881)&gt;0,I881*요약!$G$27,K881*(1+요약!$E$27)),IF(N(H881)&gt;0,H881*요약!$G$27,J881*요약!$D$27))</f>
        <v>21516</v>
      </c>
      <c r="M881" s="46" t="n">
        <f aca="false">D881*J881</f>
        <v>76935000</v>
      </c>
      <c r="N881" s="46" t="n">
        <f aca="false">D881*K881</f>
        <v>16725000</v>
      </c>
      <c r="O881" s="46" t="n">
        <f aca="false">D881*L881</f>
        <v>23990340</v>
      </c>
      <c r="P881" s="42" t="str">
        <f aca="false">TRIM(IF(N(E881)&lt;=0,"택가보정 ","")&amp;IF(N(F881)&lt;=0,"원가보정 ","")&amp;IF(AND(B881&lt;&gt;"CN",N(H881)&lt;=0),"공급가보정 ","")&amp;IF(AND(B881="CN",N(I881)&lt;=0),"중국공급가=원가+마진 ",""))</f>
        <v/>
      </c>
      <c r="Q881" s="47" t="n">
        <f aca="false">IF(SUMIFS($W:$W,$A:$A,A881,$C:$C,C881)=0,0,SUMIFS(RAW_판매펀칭!$K:$K,RAW_판매펀칭!$P:$P,A881,RAW_판매펀칭!$I:$I,C881)*W881/SUMIFS($W:$W,$A:$A,A881,$C:$C,C881))</f>
        <v>0</v>
      </c>
      <c r="R881" s="47" t="n">
        <f aca="false">IF(OR(A881="500",A881="800",A881="810"),0,MAX(W881-Q881,0))</f>
        <v>0</v>
      </c>
      <c r="S881" s="47" t="n">
        <f aca="false">R881*L881</f>
        <v>0</v>
      </c>
      <c r="T881" s="47" t="n">
        <f aca="false">R881*J881</f>
        <v>0</v>
      </c>
      <c r="U881" s="47" t="n">
        <f aca="false">R881*K881</f>
        <v>0</v>
      </c>
      <c r="V881" s="0" t="str">
        <f aca="false">IF(COUNTIFS($A$2:A881,A881,$C$2:C881,C881,$D$2:D881,D881)&gt;1,"중복","")</f>
        <v/>
      </c>
      <c r="W881" s="0" t="n">
        <f aca="false">IF(V881="중복",0,N(D881))</f>
        <v>1115</v>
      </c>
      <c r="X881" s="0" t="n">
        <f aca="false">IF(COUNTIFS($A$2:A881,A881,$C$2:C881,C881)=1,ABS(SUMIFS(RAW_발주!$D:$D,RAW_발주!$C:$C,A881,RAW_발주!$A:$A,C881)-SUMIFS($W:$W,$A:$A,A881,$C:$C,C881)),0)</f>
        <v>0</v>
      </c>
    </row>
    <row r="882" customFormat="false" ht="15" hidden="false" customHeight="true" outlineLevel="0" collapsed="false">
      <c r="A882" s="45" t="s">
        <v>1663</v>
      </c>
      <c r="B882" s="42" t="str">
        <f aca="false">IF(A882="100","HK",IF(A882="200","CN",IF(A882="300","TW","홀세일")))</f>
        <v>홀세일</v>
      </c>
      <c r="C882" s="45" t="s">
        <v>450</v>
      </c>
      <c r="D882" s="46" t="n">
        <v>190</v>
      </c>
      <c r="E882" s="46" t="n">
        <v>69000</v>
      </c>
      <c r="F882" s="46" t="n">
        <v>15000</v>
      </c>
      <c r="G882" s="42" t="n">
        <v>4.05</v>
      </c>
      <c r="H882" s="42" t="n">
        <v>16.3</v>
      </c>
      <c r="I882" s="42" t="n">
        <v>0</v>
      </c>
      <c r="J882" s="46" t="n">
        <f aca="false">IF(N(E882)&gt;0,E882,IF(N(F882)&gt;0,F882*요약!$F$27,0))</f>
        <v>69000</v>
      </c>
      <c r="K882" s="46" t="n">
        <f aca="false">IF(N(F882)&gt;0,F882,IF(N(E882)&gt;0,E882/요약!$F$27,0))</f>
        <v>15000</v>
      </c>
      <c r="L882" s="46" t="n">
        <f aca="false">IF(B882="CN",IF(N(I882)&gt;0,I882*요약!$G$27,K882*(1+요약!$E$27)),IF(N(H882)&gt;0,H882*요약!$G$27,J882*요약!$D$27))</f>
        <v>21516</v>
      </c>
      <c r="M882" s="46" t="n">
        <f aca="false">D882*J882</f>
        <v>13110000</v>
      </c>
      <c r="N882" s="46" t="n">
        <f aca="false">D882*K882</f>
        <v>2850000</v>
      </c>
      <c r="O882" s="46" t="n">
        <f aca="false">D882*L882</f>
        <v>4088040</v>
      </c>
      <c r="P882" s="42" t="str">
        <f aca="false">TRIM(IF(N(E882)&lt;=0,"택가보정 ","")&amp;IF(N(F882)&lt;=0,"원가보정 ","")&amp;IF(AND(B882&lt;&gt;"CN",N(H882)&lt;=0),"공급가보정 ","")&amp;IF(AND(B882="CN",N(I882)&lt;=0),"중국공급가=원가+마진 ",""))</f>
        <v/>
      </c>
      <c r="Q882" s="47" t="n">
        <f aca="false">IF(SUMIFS($W:$W,$A:$A,A882,$C:$C,C882)=0,0,SUMIFS(RAW_판매펀칭!$K:$K,RAW_판매펀칭!$P:$P,A882,RAW_판매펀칭!$I:$I,C882)*W882/SUMIFS($W:$W,$A:$A,A882,$C:$C,C882))</f>
        <v>190</v>
      </c>
      <c r="R882" s="47" t="n">
        <f aca="false">IF(OR(A882="500",A882="800",A882="810"),0,MAX(W882-Q882,0))</f>
        <v>0</v>
      </c>
      <c r="S882" s="47" t="n">
        <f aca="false">R882*L882</f>
        <v>0</v>
      </c>
      <c r="T882" s="47" t="n">
        <f aca="false">R882*J882</f>
        <v>0</v>
      </c>
      <c r="U882" s="47" t="n">
        <f aca="false">R882*K882</f>
        <v>0</v>
      </c>
      <c r="V882" s="0" t="str">
        <f aca="false">IF(COUNTIFS($A$2:A882,A882,$C$2:C882,C882,$D$2:D882,D882)&gt;1,"중복","")</f>
        <v/>
      </c>
      <c r="W882" s="0" t="n">
        <f aca="false">IF(V882="중복",0,N(D882))</f>
        <v>190</v>
      </c>
      <c r="X882" s="0" t="n">
        <f aca="false">IF(COUNTIFS($A$2:A882,A882,$C$2:C882,C882)=1,ABS(SUMIFS(RAW_발주!$D:$D,RAW_발주!$C:$C,A882,RAW_발주!$A:$A,C882)-SUMIFS($W:$W,$A:$A,A882,$C:$C,C882)),0)</f>
        <v>0</v>
      </c>
    </row>
    <row r="883" customFormat="false" ht="15" hidden="false" customHeight="true" outlineLevel="0" collapsed="false">
      <c r="A883" s="45" t="s">
        <v>1667</v>
      </c>
      <c r="B883" s="42" t="str">
        <f aca="false">IF(A883="100","HK",IF(A883="200","CN",IF(A883="300","TW","홀세일")))</f>
        <v>홀세일</v>
      </c>
      <c r="C883" s="45" t="s">
        <v>450</v>
      </c>
      <c r="D883" s="46" t="n">
        <v>222</v>
      </c>
      <c r="E883" s="46" t="n">
        <v>69000</v>
      </c>
      <c r="F883" s="46" t="n">
        <v>15000</v>
      </c>
      <c r="G883" s="42" t="n">
        <v>4.05</v>
      </c>
      <c r="H883" s="42" t="n">
        <v>16.3</v>
      </c>
      <c r="I883" s="42" t="n">
        <v>0</v>
      </c>
      <c r="J883" s="46" t="n">
        <f aca="false">IF(N(E883)&gt;0,E883,IF(N(F883)&gt;0,F883*요약!$F$27,0))</f>
        <v>69000</v>
      </c>
      <c r="K883" s="46" t="n">
        <f aca="false">IF(N(F883)&gt;0,F883,IF(N(E883)&gt;0,E883/요약!$F$27,0))</f>
        <v>15000</v>
      </c>
      <c r="L883" s="46" t="n">
        <f aca="false">IF(B883="CN",IF(N(I883)&gt;0,I883*요약!$G$27,K883*(1+요약!$E$27)),IF(N(H883)&gt;0,H883*요약!$G$27,J883*요약!$D$27))</f>
        <v>21516</v>
      </c>
      <c r="M883" s="46" t="n">
        <f aca="false">D883*J883</f>
        <v>15318000</v>
      </c>
      <c r="N883" s="46" t="n">
        <f aca="false">D883*K883</f>
        <v>3330000</v>
      </c>
      <c r="O883" s="46" t="n">
        <f aca="false">D883*L883</f>
        <v>4776552</v>
      </c>
      <c r="P883" s="42" t="str">
        <f aca="false">TRIM(IF(N(E883)&lt;=0,"택가보정 ","")&amp;IF(N(F883)&lt;=0,"원가보정 ","")&amp;IF(AND(B883&lt;&gt;"CN",N(H883)&lt;=0),"공급가보정 ","")&amp;IF(AND(B883="CN",N(I883)&lt;=0),"중국공급가=원가+마진 ",""))</f>
        <v/>
      </c>
      <c r="Q883" s="47" t="n">
        <f aca="false">IF(SUMIFS($W:$W,$A:$A,A883,$C:$C,C883)=0,0,SUMIFS(RAW_판매펀칭!$K:$K,RAW_판매펀칭!$P:$P,A883,RAW_판매펀칭!$I:$I,C883)*W883/SUMIFS($W:$W,$A:$A,A883,$C:$C,C883))</f>
        <v>220</v>
      </c>
      <c r="R883" s="47" t="n">
        <f aca="false">IF(OR(A883="500",A883="800",A883="810"),0,MAX(W883-Q883,0))</f>
        <v>2</v>
      </c>
      <c r="S883" s="47" t="n">
        <f aca="false">R883*L883</f>
        <v>43032</v>
      </c>
      <c r="T883" s="47" t="n">
        <f aca="false">R883*J883</f>
        <v>138000</v>
      </c>
      <c r="U883" s="47" t="n">
        <f aca="false">R883*K883</f>
        <v>30000</v>
      </c>
      <c r="V883" s="0" t="str">
        <f aca="false">IF(COUNTIFS($A$2:A883,A883,$C$2:C883,C883,$D$2:D883,D883)&gt;1,"중복","")</f>
        <v/>
      </c>
      <c r="W883" s="0" t="n">
        <f aca="false">IF(V883="중복",0,N(D883))</f>
        <v>222</v>
      </c>
      <c r="X883" s="0" t="n">
        <f aca="false">IF(COUNTIFS($A$2:A883,A883,$C$2:C883,C883)=1,ABS(SUMIFS(RAW_발주!$D:$D,RAW_발주!$C:$C,A883,RAW_발주!$A:$A,C883)-SUMIFS($W:$W,$A:$A,A883,$C:$C,C883)),0)</f>
        <v>0</v>
      </c>
    </row>
    <row r="884" customFormat="false" ht="15" hidden="false" customHeight="true" outlineLevel="0" collapsed="false">
      <c r="A884" s="45" t="s">
        <v>1664</v>
      </c>
      <c r="B884" s="42" t="str">
        <f aca="false">IF(A884="100","HK",IF(A884="200","CN",IF(A884="300","TW","홀세일")))</f>
        <v>홀세일</v>
      </c>
      <c r="C884" s="45" t="s">
        <v>450</v>
      </c>
      <c r="D884" s="46" t="n">
        <v>70</v>
      </c>
      <c r="E884" s="46" t="n">
        <v>69000</v>
      </c>
      <c r="F884" s="46" t="n">
        <v>15000</v>
      </c>
      <c r="G884" s="42" t="n">
        <v>4.05</v>
      </c>
      <c r="H884" s="42" t="n">
        <v>16.3</v>
      </c>
      <c r="I884" s="42" t="n">
        <v>0</v>
      </c>
      <c r="J884" s="46" t="n">
        <f aca="false">IF(N(E884)&gt;0,E884,IF(N(F884)&gt;0,F884*요약!$F$27,0))</f>
        <v>69000</v>
      </c>
      <c r="K884" s="46" t="n">
        <f aca="false">IF(N(F884)&gt;0,F884,IF(N(E884)&gt;0,E884/요약!$F$27,0))</f>
        <v>15000</v>
      </c>
      <c r="L884" s="46" t="n">
        <f aca="false">IF(B884="CN",IF(N(I884)&gt;0,I884*요약!$G$27,K884*(1+요약!$E$27)),IF(N(H884)&gt;0,H884*요약!$G$27,J884*요약!$D$27))</f>
        <v>21516</v>
      </c>
      <c r="M884" s="46" t="n">
        <f aca="false">D884*J884</f>
        <v>4830000</v>
      </c>
      <c r="N884" s="46" t="n">
        <f aca="false">D884*K884</f>
        <v>1050000</v>
      </c>
      <c r="O884" s="46" t="n">
        <f aca="false">D884*L884</f>
        <v>1506120</v>
      </c>
      <c r="P884" s="42" t="str">
        <f aca="false">TRIM(IF(N(E884)&lt;=0,"택가보정 ","")&amp;IF(N(F884)&lt;=0,"원가보정 ","")&amp;IF(AND(B884&lt;&gt;"CN",N(H884)&lt;=0),"공급가보정 ","")&amp;IF(AND(B884="CN",N(I884)&lt;=0),"중국공급가=원가+마진 ",""))</f>
        <v/>
      </c>
      <c r="Q884" s="47" t="n">
        <f aca="false">IF(SUMIFS($W:$W,$A:$A,A884,$C:$C,C884)=0,0,SUMIFS(RAW_판매펀칭!$K:$K,RAW_판매펀칭!$P:$P,A884,RAW_판매펀칭!$I:$I,C884)*W884/SUMIFS($W:$W,$A:$A,A884,$C:$C,C884))</f>
        <v>0</v>
      </c>
      <c r="R884" s="47" t="n">
        <f aca="false">IF(OR(A884="500",A884="800",A884="810"),0,MAX(W884-Q884,0))</f>
        <v>0</v>
      </c>
      <c r="S884" s="47" t="n">
        <f aca="false">R884*L884</f>
        <v>0</v>
      </c>
      <c r="T884" s="47" t="n">
        <f aca="false">R884*J884</f>
        <v>0</v>
      </c>
      <c r="U884" s="47" t="n">
        <f aca="false">R884*K884</f>
        <v>0</v>
      </c>
      <c r="V884" s="0" t="str">
        <f aca="false">IF(COUNTIFS($A$2:A884,A884,$C$2:C884,C884,$D$2:D884,D884)&gt;1,"중복","")</f>
        <v/>
      </c>
      <c r="W884" s="0" t="n">
        <f aca="false">IF(V884="중복",0,N(D884))</f>
        <v>70</v>
      </c>
      <c r="X884" s="0" t="n">
        <f aca="false">IF(COUNTIFS($A$2:A884,A884,$C$2:C884,C884)=1,ABS(SUMIFS(RAW_발주!$D:$D,RAW_발주!$C:$C,A884,RAW_발주!$A:$A,C884)-SUMIFS($W:$W,$A:$A,A884,$C:$C,C884)),0)</f>
        <v>0</v>
      </c>
    </row>
    <row r="885" customFormat="false" ht="15" hidden="false" customHeight="true" outlineLevel="0" collapsed="false">
      <c r="A885" s="45" t="s">
        <v>1665</v>
      </c>
      <c r="B885" s="42" t="str">
        <f aca="false">IF(A885="100","HK",IF(A885="200","CN",IF(A885="300","TW","홀세일")))</f>
        <v>홀세일</v>
      </c>
      <c r="C885" s="45" t="s">
        <v>450</v>
      </c>
      <c r="D885" s="46" t="n">
        <v>216</v>
      </c>
      <c r="E885" s="46" t="n">
        <v>69000</v>
      </c>
      <c r="F885" s="46" t="n">
        <v>15000</v>
      </c>
      <c r="G885" s="42" t="n">
        <v>4.05</v>
      </c>
      <c r="H885" s="42" t="n">
        <v>16.3</v>
      </c>
      <c r="I885" s="42" t="n">
        <v>0</v>
      </c>
      <c r="J885" s="46" t="n">
        <f aca="false">IF(N(E885)&gt;0,E885,IF(N(F885)&gt;0,F885*요약!$F$27,0))</f>
        <v>69000</v>
      </c>
      <c r="K885" s="46" t="n">
        <f aca="false">IF(N(F885)&gt;0,F885,IF(N(E885)&gt;0,E885/요약!$F$27,0))</f>
        <v>15000</v>
      </c>
      <c r="L885" s="46" t="n">
        <f aca="false">IF(B885="CN",IF(N(I885)&gt;0,I885*요약!$G$27,K885*(1+요약!$E$27)),IF(N(H885)&gt;0,H885*요약!$G$27,J885*요약!$D$27))</f>
        <v>21516</v>
      </c>
      <c r="M885" s="46" t="n">
        <f aca="false">D885*J885</f>
        <v>14904000</v>
      </c>
      <c r="N885" s="46" t="n">
        <f aca="false">D885*K885</f>
        <v>3240000</v>
      </c>
      <c r="O885" s="46" t="n">
        <f aca="false">D885*L885</f>
        <v>4647456</v>
      </c>
      <c r="P885" s="42" t="str">
        <f aca="false">TRIM(IF(N(E885)&lt;=0,"택가보정 ","")&amp;IF(N(F885)&lt;=0,"원가보정 ","")&amp;IF(AND(B885&lt;&gt;"CN",N(H885)&lt;=0),"공급가보정 ","")&amp;IF(AND(B885="CN",N(I885)&lt;=0),"중국공급가=원가+마진 ",""))</f>
        <v/>
      </c>
      <c r="Q885" s="47" t="n">
        <f aca="false">IF(SUMIFS($W:$W,$A:$A,A885,$C:$C,C885)=0,0,SUMIFS(RAW_판매펀칭!$K:$K,RAW_판매펀칭!$P:$P,A885,RAW_판매펀칭!$I:$I,C885)*W885/SUMIFS($W:$W,$A:$A,A885,$C:$C,C885))</f>
        <v>0</v>
      </c>
      <c r="R885" s="47" t="n">
        <f aca="false">IF(OR(A885="500",A885="800",A885="810"),0,MAX(W885-Q885,0))</f>
        <v>0</v>
      </c>
      <c r="S885" s="47" t="n">
        <f aca="false">R885*L885</f>
        <v>0</v>
      </c>
      <c r="T885" s="47" t="n">
        <f aca="false">R885*J885</f>
        <v>0</v>
      </c>
      <c r="U885" s="47" t="n">
        <f aca="false">R885*K885</f>
        <v>0</v>
      </c>
      <c r="V885" s="0" t="str">
        <f aca="false">IF(COUNTIFS($A$2:A885,A885,$C$2:C885,C885,$D$2:D885,D885)&gt;1,"중복","")</f>
        <v/>
      </c>
      <c r="W885" s="0" t="n">
        <f aca="false">IF(V885="중복",0,N(D885))</f>
        <v>216</v>
      </c>
      <c r="X885" s="0" t="n">
        <f aca="false">IF(COUNTIFS($A$2:A885,A885,$C$2:C885,C885)=1,ABS(SUMIFS(RAW_발주!$D:$D,RAW_발주!$C:$C,A885,RAW_발주!$A:$A,C885)-SUMIFS($W:$W,$A:$A,A885,$C:$C,C885)),0)</f>
        <v>0</v>
      </c>
    </row>
    <row r="886" customFormat="false" ht="15" hidden="false" customHeight="true" outlineLevel="0" collapsed="false">
      <c r="A886" s="45" t="s">
        <v>1666</v>
      </c>
      <c r="B886" s="42" t="str">
        <f aca="false">IF(A886="100","HK",IF(A886="200","CN",IF(A886="300","TW","홀세일")))</f>
        <v>홀세일</v>
      </c>
      <c r="C886" s="45" t="s">
        <v>450</v>
      </c>
      <c r="D886" s="46" t="n">
        <v>220</v>
      </c>
      <c r="E886" s="46" t="n">
        <v>69000</v>
      </c>
      <c r="F886" s="46" t="n">
        <v>15000</v>
      </c>
      <c r="G886" s="42" t="n">
        <v>4.05</v>
      </c>
      <c r="H886" s="42" t="n">
        <v>16.3</v>
      </c>
      <c r="I886" s="42" t="n">
        <v>0</v>
      </c>
      <c r="J886" s="46" t="n">
        <f aca="false">IF(N(E886)&gt;0,E886,IF(N(F886)&gt;0,F886*요약!$F$27,0))</f>
        <v>69000</v>
      </c>
      <c r="K886" s="46" t="n">
        <f aca="false">IF(N(F886)&gt;0,F886,IF(N(E886)&gt;0,E886/요약!$F$27,0))</f>
        <v>15000</v>
      </c>
      <c r="L886" s="46" t="n">
        <f aca="false">IF(B886="CN",IF(N(I886)&gt;0,I886*요약!$G$27,K886*(1+요약!$E$27)),IF(N(H886)&gt;0,H886*요약!$G$27,J886*요약!$D$27))</f>
        <v>21516</v>
      </c>
      <c r="M886" s="46" t="n">
        <f aca="false">D886*J886</f>
        <v>15180000</v>
      </c>
      <c r="N886" s="46" t="n">
        <f aca="false">D886*K886</f>
        <v>3300000</v>
      </c>
      <c r="O886" s="46" t="n">
        <f aca="false">D886*L886</f>
        <v>4733520</v>
      </c>
      <c r="P886" s="42" t="str">
        <f aca="false">TRIM(IF(N(E886)&lt;=0,"택가보정 ","")&amp;IF(N(F886)&lt;=0,"원가보정 ","")&amp;IF(AND(B886&lt;&gt;"CN",N(H886)&lt;=0),"공급가보정 ","")&amp;IF(AND(B886="CN",N(I886)&lt;=0),"중국공급가=원가+마진 ",""))</f>
        <v/>
      </c>
      <c r="Q886" s="47" t="n">
        <f aca="false">IF(SUMIFS($W:$W,$A:$A,A886,$C:$C,C886)=0,0,SUMIFS(RAW_판매펀칭!$K:$K,RAW_판매펀칭!$P:$P,A886,RAW_판매펀칭!$I:$I,C886)*W886/SUMIFS($W:$W,$A:$A,A886,$C:$C,C886))</f>
        <v>220</v>
      </c>
      <c r="R886" s="47" t="n">
        <f aca="false">IF(OR(A886="500",A886="800",A886="810"),0,MAX(W886-Q886,0))</f>
        <v>0</v>
      </c>
      <c r="S886" s="47" t="n">
        <f aca="false">R886*L886</f>
        <v>0</v>
      </c>
      <c r="T886" s="47" t="n">
        <f aca="false">R886*J886</f>
        <v>0</v>
      </c>
      <c r="U886" s="47" t="n">
        <f aca="false">R886*K886</f>
        <v>0</v>
      </c>
      <c r="V886" s="0" t="str">
        <f aca="false">IF(COUNTIFS($A$2:A886,A886,$C$2:C886,C886,$D$2:D886,D886)&gt;1,"중복","")</f>
        <v/>
      </c>
      <c r="W886" s="0" t="n">
        <f aca="false">IF(V886="중복",0,N(D886))</f>
        <v>220</v>
      </c>
      <c r="X886" s="0" t="n">
        <f aca="false">IF(COUNTIFS($A$2:A886,A886,$C$2:C886,C886)=1,ABS(SUMIFS(RAW_발주!$D:$D,RAW_발주!$C:$C,A886,RAW_발주!$A:$A,C886)-SUMIFS($W:$W,$A:$A,A886,$C:$C,C886)),0)</f>
        <v>0</v>
      </c>
    </row>
    <row r="887" customFormat="false" ht="15" hidden="false" customHeight="true" outlineLevel="0" collapsed="false">
      <c r="A887" s="45" t="s">
        <v>1661</v>
      </c>
      <c r="B887" s="42" t="str">
        <f aca="false">IF(A887="100","HK",IF(A887="200","CN",IF(A887="300","TW","홀세일")))</f>
        <v>TW</v>
      </c>
      <c r="C887" s="45" t="s">
        <v>452</v>
      </c>
      <c r="D887" s="46" t="n">
        <v>1600</v>
      </c>
      <c r="E887" s="46" t="n">
        <v>59000</v>
      </c>
      <c r="F887" s="46" t="n">
        <v>14300</v>
      </c>
      <c r="G887" s="42" t="n">
        <v>3.8</v>
      </c>
      <c r="H887" s="42" t="n">
        <v>14.3</v>
      </c>
      <c r="J887" s="46" t="n">
        <f aca="false">IF(N(E887)&gt;0,E887,IF(N(F887)&gt;0,F887*요약!$F$27,0))</f>
        <v>59000</v>
      </c>
      <c r="K887" s="46" t="n">
        <f aca="false">IF(N(F887)&gt;0,F887,IF(N(E887)&gt;0,E887/요약!$F$27,0))</f>
        <v>14300</v>
      </c>
      <c r="L887" s="46" t="n">
        <f aca="false">IF(B887="CN",IF(N(I887)&gt;0,I887*요약!$G$27,K887*(1+요약!$E$27)),IF(N(H887)&gt;0,H887*요약!$G$27,J887*요약!$D$27))</f>
        <v>18876</v>
      </c>
      <c r="M887" s="46" t="n">
        <f aca="false">D887*J887</f>
        <v>94400000</v>
      </c>
      <c r="N887" s="46" t="n">
        <f aca="false">D887*K887</f>
        <v>22880000</v>
      </c>
      <c r="O887" s="46" t="n">
        <f aca="false">D887*L887</f>
        <v>30201600</v>
      </c>
      <c r="P887" s="42" t="str">
        <f aca="false">TRIM(IF(N(E887)&lt;=0,"택가보정 ","")&amp;IF(N(F887)&lt;=0,"원가보정 ","")&amp;IF(AND(B887&lt;&gt;"CN",N(H887)&lt;=0),"공급가보정 ","")&amp;IF(AND(B887="CN",N(I887)&lt;=0),"중국공급가=원가+마진 ",""))</f>
        <v/>
      </c>
      <c r="Q887" s="47" t="n">
        <f aca="false">IF(SUMIFS($W:$W,$A:$A,A887,$C:$C,C887)=0,0,SUMIFS(RAW_판매펀칭!$K:$K,RAW_판매펀칭!$P:$P,A887,RAW_판매펀칭!$I:$I,C887)*W887/SUMIFS($W:$W,$A:$A,A887,$C:$C,C887))</f>
        <v>1600</v>
      </c>
      <c r="R887" s="47" t="n">
        <f aca="false">IF(OR(A887="500",A887="800",A887="810"),0,MAX(W887-Q887,0))</f>
        <v>0</v>
      </c>
      <c r="S887" s="47" t="n">
        <f aca="false">R887*L887</f>
        <v>0</v>
      </c>
      <c r="T887" s="47" t="n">
        <f aca="false">R887*J887</f>
        <v>0</v>
      </c>
      <c r="U887" s="47" t="n">
        <f aca="false">R887*K887</f>
        <v>0</v>
      </c>
      <c r="V887" s="0" t="str">
        <f aca="false">IF(COUNTIFS($A$2:A887,A887,$C$2:C887,C887,$D$2:D887,D887)&gt;1,"중복","")</f>
        <v/>
      </c>
      <c r="W887" s="0" t="n">
        <f aca="false">IF(V887="중복",0,N(D887))</f>
        <v>1600</v>
      </c>
      <c r="X887" s="0" t="n">
        <f aca="false">IF(COUNTIFS($A$2:A887,A887,$C$2:C887,C887)=1,ABS(SUMIFS(RAW_발주!$D:$D,RAW_발주!$C:$C,A887,RAW_발주!$A:$A,C887)-SUMIFS($W:$W,$A:$A,A887,$C:$C,C887)),0)</f>
        <v>0</v>
      </c>
    </row>
    <row r="888" customFormat="false" ht="15" hidden="false" customHeight="true" outlineLevel="0" collapsed="false">
      <c r="A888" s="45" t="s">
        <v>1659</v>
      </c>
      <c r="B888" s="42" t="str">
        <f aca="false">IF(A888="100","HK",IF(A888="200","CN",IF(A888="300","TW","홀세일")))</f>
        <v>HK</v>
      </c>
      <c r="C888" s="45" t="s">
        <v>892</v>
      </c>
      <c r="D888" s="46" t="n">
        <v>90</v>
      </c>
      <c r="E888" s="46" t="n">
        <v>109000</v>
      </c>
      <c r="F888" s="46" t="n">
        <v>23100</v>
      </c>
      <c r="G888" s="42" t="n">
        <v>3.5</v>
      </c>
      <c r="H888" s="42" t="n">
        <v>25.7</v>
      </c>
      <c r="I888" s="42" t="n">
        <v>0</v>
      </c>
      <c r="J888" s="46" t="n">
        <f aca="false">IF(N(E888)&gt;0,E888,IF(N(F888)&gt;0,F888*요약!$F$27,0))</f>
        <v>109000</v>
      </c>
      <c r="K888" s="46" t="n">
        <f aca="false">IF(N(F888)&gt;0,F888,IF(N(E888)&gt;0,E888/요약!$F$27,0))</f>
        <v>23100</v>
      </c>
      <c r="L888" s="46" t="n">
        <f aca="false">IF(B888="CN",IF(N(I888)&gt;0,I888*요약!$G$27,K888*(1+요약!$E$27)),IF(N(H888)&gt;0,H888*요약!$G$27,J888*요약!$D$27))</f>
        <v>33924</v>
      </c>
      <c r="M888" s="46" t="n">
        <f aca="false">D888*J888</f>
        <v>9810000</v>
      </c>
      <c r="N888" s="46" t="n">
        <f aca="false">D888*K888</f>
        <v>2079000</v>
      </c>
      <c r="O888" s="46" t="n">
        <f aca="false">D888*L888</f>
        <v>3053160</v>
      </c>
      <c r="P888" s="42" t="str">
        <f aca="false">TRIM(IF(N(E888)&lt;=0,"택가보정 ","")&amp;IF(N(F888)&lt;=0,"원가보정 ","")&amp;IF(AND(B888&lt;&gt;"CN",N(H888)&lt;=0),"공급가보정 ","")&amp;IF(AND(B888="CN",N(I888)&lt;=0),"중국공급가=원가+마진 ",""))</f>
        <v/>
      </c>
      <c r="Q888" s="47" t="n">
        <f aca="false">IF(SUMIFS($W:$W,$A:$A,A888,$C:$C,C888)=0,0,SUMIFS(RAW_판매펀칭!$K:$K,RAW_판매펀칭!$P:$P,A888,RAW_판매펀칭!$I:$I,C888)*W888/SUMIFS($W:$W,$A:$A,A888,$C:$C,C888))</f>
        <v>90</v>
      </c>
      <c r="R888" s="47" t="n">
        <f aca="false">IF(OR(A888="500",A888="800",A888="810"),0,MAX(W888-Q888,0))</f>
        <v>0</v>
      </c>
      <c r="S888" s="47" t="n">
        <f aca="false">R888*L888</f>
        <v>0</v>
      </c>
      <c r="T888" s="47" t="n">
        <f aca="false">R888*J888</f>
        <v>0</v>
      </c>
      <c r="U888" s="47" t="n">
        <f aca="false">R888*K888</f>
        <v>0</v>
      </c>
      <c r="V888" s="0" t="str">
        <f aca="false">IF(COUNTIFS($A$2:A888,A888,$C$2:C888,C888,$D$2:D888,D888)&gt;1,"중복","")</f>
        <v/>
      </c>
      <c r="W888" s="0" t="n">
        <f aca="false">IF(V888="중복",0,N(D888))</f>
        <v>90</v>
      </c>
      <c r="X888" s="0" t="n">
        <f aca="false">IF(COUNTIFS($A$2:A888,A888,$C$2:C888,C888)=1,ABS(SUMIFS(RAW_발주!$D:$D,RAW_발주!$C:$C,A888,RAW_발주!$A:$A,C888)-SUMIFS($W:$W,$A:$A,A888,$C:$C,C888)),0)</f>
        <v>0</v>
      </c>
    </row>
    <row r="889" customFormat="false" ht="15" hidden="false" customHeight="true" outlineLevel="0" collapsed="false">
      <c r="A889" s="45" t="s">
        <v>1663</v>
      </c>
      <c r="B889" s="42" t="str">
        <f aca="false">IF(A889="100","HK",IF(A889="200","CN",IF(A889="300","TW","홀세일")))</f>
        <v>홀세일</v>
      </c>
      <c r="C889" s="45" t="s">
        <v>892</v>
      </c>
      <c r="D889" s="46" t="n">
        <v>50</v>
      </c>
      <c r="E889" s="46" t="n">
        <v>109000</v>
      </c>
      <c r="F889" s="46" t="n">
        <v>23100</v>
      </c>
      <c r="G889" s="42" t="n">
        <v>3.5</v>
      </c>
      <c r="H889" s="42" t="n">
        <v>25.7</v>
      </c>
      <c r="I889" s="42" t="n">
        <v>0</v>
      </c>
      <c r="J889" s="46" t="n">
        <f aca="false">IF(N(E889)&gt;0,E889,IF(N(F889)&gt;0,F889*요약!$F$27,0))</f>
        <v>109000</v>
      </c>
      <c r="K889" s="46" t="n">
        <f aca="false">IF(N(F889)&gt;0,F889,IF(N(E889)&gt;0,E889/요약!$F$27,0))</f>
        <v>23100</v>
      </c>
      <c r="L889" s="46" t="n">
        <f aca="false">IF(B889="CN",IF(N(I889)&gt;0,I889*요약!$G$27,K889*(1+요약!$E$27)),IF(N(H889)&gt;0,H889*요약!$G$27,J889*요약!$D$27))</f>
        <v>33924</v>
      </c>
      <c r="M889" s="46" t="n">
        <f aca="false">D889*J889</f>
        <v>5450000</v>
      </c>
      <c r="N889" s="46" t="n">
        <f aca="false">D889*K889</f>
        <v>1155000</v>
      </c>
      <c r="O889" s="46" t="n">
        <f aca="false">D889*L889</f>
        <v>1696200</v>
      </c>
      <c r="P889" s="42" t="str">
        <f aca="false">TRIM(IF(N(E889)&lt;=0,"택가보정 ","")&amp;IF(N(F889)&lt;=0,"원가보정 ","")&amp;IF(AND(B889&lt;&gt;"CN",N(H889)&lt;=0),"공급가보정 ","")&amp;IF(AND(B889="CN",N(I889)&lt;=0),"중국공급가=원가+마진 ",""))</f>
        <v/>
      </c>
      <c r="Q889" s="47" t="n">
        <f aca="false">IF(SUMIFS($W:$W,$A:$A,A889,$C:$C,C889)=0,0,SUMIFS(RAW_판매펀칭!$K:$K,RAW_판매펀칭!$P:$P,A889,RAW_판매펀칭!$I:$I,C889)*W889/SUMIFS($W:$W,$A:$A,A889,$C:$C,C889))</f>
        <v>50</v>
      </c>
      <c r="R889" s="47" t="n">
        <f aca="false">IF(OR(A889="500",A889="800",A889="810"),0,MAX(W889-Q889,0))</f>
        <v>0</v>
      </c>
      <c r="S889" s="47" t="n">
        <f aca="false">R889*L889</f>
        <v>0</v>
      </c>
      <c r="T889" s="47" t="n">
        <f aca="false">R889*J889</f>
        <v>0</v>
      </c>
      <c r="U889" s="47" t="n">
        <f aca="false">R889*K889</f>
        <v>0</v>
      </c>
      <c r="V889" s="0" t="str">
        <f aca="false">IF(COUNTIFS($A$2:A889,A889,$C$2:C889,C889,$D$2:D889,D889)&gt;1,"중복","")</f>
        <v/>
      </c>
      <c r="W889" s="0" t="n">
        <f aca="false">IF(V889="중복",0,N(D889))</f>
        <v>50</v>
      </c>
      <c r="X889" s="0" t="n">
        <f aca="false">IF(COUNTIFS($A$2:A889,A889,$C$2:C889,C889)=1,ABS(SUMIFS(RAW_발주!$D:$D,RAW_발주!$C:$C,A889,RAW_발주!$A:$A,C889)-SUMIFS($W:$W,$A:$A,A889,$C:$C,C889)),0)</f>
        <v>0</v>
      </c>
    </row>
    <row r="890" customFormat="false" ht="15" hidden="false" customHeight="true" outlineLevel="0" collapsed="false">
      <c r="A890" s="45" t="s">
        <v>1664</v>
      </c>
      <c r="B890" s="42" t="str">
        <f aca="false">IF(A890="100","HK",IF(A890="200","CN",IF(A890="300","TW","홀세일")))</f>
        <v>홀세일</v>
      </c>
      <c r="C890" s="45" t="s">
        <v>892</v>
      </c>
      <c r="D890" s="46" t="n">
        <v>25</v>
      </c>
      <c r="E890" s="46" t="n">
        <v>109000</v>
      </c>
      <c r="F890" s="46" t="n">
        <v>23100</v>
      </c>
      <c r="G890" s="42" t="n">
        <v>3.5</v>
      </c>
      <c r="H890" s="42" t="n">
        <v>25.7</v>
      </c>
      <c r="I890" s="42" t="n">
        <v>0</v>
      </c>
      <c r="J890" s="46" t="n">
        <f aca="false">IF(N(E890)&gt;0,E890,IF(N(F890)&gt;0,F890*요약!$F$27,0))</f>
        <v>109000</v>
      </c>
      <c r="K890" s="46" t="n">
        <f aca="false">IF(N(F890)&gt;0,F890,IF(N(E890)&gt;0,E890/요약!$F$27,0))</f>
        <v>23100</v>
      </c>
      <c r="L890" s="46" t="n">
        <f aca="false">IF(B890="CN",IF(N(I890)&gt;0,I890*요약!$G$27,K890*(1+요약!$E$27)),IF(N(H890)&gt;0,H890*요약!$G$27,J890*요약!$D$27))</f>
        <v>33924</v>
      </c>
      <c r="M890" s="46" t="n">
        <f aca="false">D890*J890</f>
        <v>2725000</v>
      </c>
      <c r="N890" s="46" t="n">
        <f aca="false">D890*K890</f>
        <v>577500</v>
      </c>
      <c r="O890" s="46" t="n">
        <f aca="false">D890*L890</f>
        <v>848100</v>
      </c>
      <c r="P890" s="42" t="str">
        <f aca="false">TRIM(IF(N(E890)&lt;=0,"택가보정 ","")&amp;IF(N(F890)&lt;=0,"원가보정 ","")&amp;IF(AND(B890&lt;&gt;"CN",N(H890)&lt;=0),"공급가보정 ","")&amp;IF(AND(B890="CN",N(I890)&lt;=0),"중국공급가=원가+마진 ",""))</f>
        <v/>
      </c>
      <c r="Q890" s="47" t="n">
        <f aca="false">IF(SUMIFS($W:$W,$A:$A,A890,$C:$C,C890)=0,0,SUMIFS(RAW_판매펀칭!$K:$K,RAW_판매펀칭!$P:$P,A890,RAW_판매펀칭!$I:$I,C890)*W890/SUMIFS($W:$W,$A:$A,A890,$C:$C,C890))</f>
        <v>0</v>
      </c>
      <c r="R890" s="47" t="n">
        <f aca="false">IF(OR(A890="500",A890="800",A890="810"),0,MAX(W890-Q890,0))</f>
        <v>0</v>
      </c>
      <c r="S890" s="47" t="n">
        <f aca="false">R890*L890</f>
        <v>0</v>
      </c>
      <c r="T890" s="47" t="n">
        <f aca="false">R890*J890</f>
        <v>0</v>
      </c>
      <c r="U890" s="47" t="n">
        <f aca="false">R890*K890</f>
        <v>0</v>
      </c>
      <c r="V890" s="0" t="str">
        <f aca="false">IF(COUNTIFS($A$2:A890,A890,$C$2:C890,C890,$D$2:D890,D890)&gt;1,"중복","")</f>
        <v/>
      </c>
      <c r="W890" s="0" t="n">
        <f aca="false">IF(V890="중복",0,N(D890))</f>
        <v>25</v>
      </c>
      <c r="X890" s="0" t="n">
        <f aca="false">IF(COUNTIFS($A$2:A890,A890,$C$2:C890,C890)=1,ABS(SUMIFS(RAW_발주!$D:$D,RAW_발주!$C:$C,A890,RAW_발주!$A:$A,C890)-SUMIFS($W:$W,$A:$A,A890,$C:$C,C890)),0)</f>
        <v>0</v>
      </c>
    </row>
    <row r="891" customFormat="false" ht="15" hidden="false" customHeight="true" outlineLevel="0" collapsed="false">
      <c r="A891" s="45" t="s">
        <v>1665</v>
      </c>
      <c r="B891" s="42" t="str">
        <f aca="false">IF(A891="100","HK",IF(A891="200","CN",IF(A891="300","TW","홀세일")))</f>
        <v>홀세일</v>
      </c>
      <c r="C891" s="45" t="s">
        <v>892</v>
      </c>
      <c r="D891" s="46" t="n">
        <v>144</v>
      </c>
      <c r="E891" s="46" t="n">
        <v>109000</v>
      </c>
      <c r="F891" s="46" t="n">
        <v>23100</v>
      </c>
      <c r="G891" s="42" t="n">
        <v>3.5</v>
      </c>
      <c r="H891" s="42" t="n">
        <v>25.7</v>
      </c>
      <c r="I891" s="42" t="n">
        <v>0</v>
      </c>
      <c r="J891" s="46" t="n">
        <f aca="false">IF(N(E891)&gt;0,E891,IF(N(F891)&gt;0,F891*요약!$F$27,0))</f>
        <v>109000</v>
      </c>
      <c r="K891" s="46" t="n">
        <f aca="false">IF(N(F891)&gt;0,F891,IF(N(E891)&gt;0,E891/요약!$F$27,0))</f>
        <v>23100</v>
      </c>
      <c r="L891" s="46" t="n">
        <f aca="false">IF(B891="CN",IF(N(I891)&gt;0,I891*요약!$G$27,K891*(1+요약!$E$27)),IF(N(H891)&gt;0,H891*요약!$G$27,J891*요약!$D$27))</f>
        <v>33924</v>
      </c>
      <c r="M891" s="46" t="n">
        <f aca="false">D891*J891</f>
        <v>15696000</v>
      </c>
      <c r="N891" s="46" t="n">
        <f aca="false">D891*K891</f>
        <v>3326400</v>
      </c>
      <c r="O891" s="46" t="n">
        <f aca="false">D891*L891</f>
        <v>4885056</v>
      </c>
      <c r="P891" s="42" t="str">
        <f aca="false">TRIM(IF(N(E891)&lt;=0,"택가보정 ","")&amp;IF(N(F891)&lt;=0,"원가보정 ","")&amp;IF(AND(B891&lt;&gt;"CN",N(H891)&lt;=0),"공급가보정 ","")&amp;IF(AND(B891="CN",N(I891)&lt;=0),"중국공급가=원가+마진 ",""))</f>
        <v/>
      </c>
      <c r="Q891" s="47" t="n">
        <f aca="false">IF(SUMIFS($W:$W,$A:$A,A891,$C:$C,C891)=0,0,SUMIFS(RAW_판매펀칭!$K:$K,RAW_판매펀칭!$P:$P,A891,RAW_판매펀칭!$I:$I,C891)*W891/SUMIFS($W:$W,$A:$A,A891,$C:$C,C891))</f>
        <v>0</v>
      </c>
      <c r="R891" s="47" t="n">
        <f aca="false">IF(OR(A891="500",A891="800",A891="810"),0,MAX(W891-Q891,0))</f>
        <v>0</v>
      </c>
      <c r="S891" s="47" t="n">
        <f aca="false">R891*L891</f>
        <v>0</v>
      </c>
      <c r="T891" s="47" t="n">
        <f aca="false">R891*J891</f>
        <v>0</v>
      </c>
      <c r="U891" s="47" t="n">
        <f aca="false">R891*K891</f>
        <v>0</v>
      </c>
      <c r="V891" s="0" t="str">
        <f aca="false">IF(COUNTIFS($A$2:A891,A891,$C$2:C891,C891,$D$2:D891,D891)&gt;1,"중복","")</f>
        <v/>
      </c>
      <c r="W891" s="0" t="n">
        <f aca="false">IF(V891="중복",0,N(D891))</f>
        <v>144</v>
      </c>
      <c r="X891" s="0" t="n">
        <f aca="false">IF(COUNTIFS($A$2:A891,A891,$C$2:C891,C891)=1,ABS(SUMIFS(RAW_발주!$D:$D,RAW_발주!$C:$C,A891,RAW_발주!$A:$A,C891)-SUMIFS($W:$W,$A:$A,A891,$C:$C,C891)),0)</f>
        <v>0</v>
      </c>
    </row>
    <row r="892" customFormat="false" ht="15" hidden="false" customHeight="true" outlineLevel="0" collapsed="false">
      <c r="A892" s="45" t="s">
        <v>1659</v>
      </c>
      <c r="B892" s="42" t="str">
        <f aca="false">IF(A892="100","HK",IF(A892="200","CN",IF(A892="300","TW","홀세일")))</f>
        <v>HK</v>
      </c>
      <c r="C892" s="45" t="s">
        <v>454</v>
      </c>
      <c r="D892" s="46" t="n">
        <v>160</v>
      </c>
      <c r="E892" s="46" t="n">
        <v>109000</v>
      </c>
      <c r="F892" s="46" t="n">
        <v>22500</v>
      </c>
      <c r="G892" s="42" t="n">
        <v>3.68</v>
      </c>
      <c r="H892" s="42" t="n">
        <v>25.7</v>
      </c>
      <c r="I892" s="42" t="n">
        <v>0</v>
      </c>
      <c r="J892" s="46" t="n">
        <f aca="false">IF(N(E892)&gt;0,E892,IF(N(F892)&gt;0,F892*요약!$F$27,0))</f>
        <v>109000</v>
      </c>
      <c r="K892" s="46" t="n">
        <f aca="false">IF(N(F892)&gt;0,F892,IF(N(E892)&gt;0,E892/요약!$F$27,0))</f>
        <v>22500</v>
      </c>
      <c r="L892" s="46" t="n">
        <f aca="false">IF(B892="CN",IF(N(I892)&gt;0,I892*요약!$G$27,K892*(1+요약!$E$27)),IF(N(H892)&gt;0,H892*요약!$G$27,J892*요약!$D$27))</f>
        <v>33924</v>
      </c>
      <c r="M892" s="46" t="n">
        <f aca="false">D892*J892</f>
        <v>17440000</v>
      </c>
      <c r="N892" s="46" t="n">
        <f aca="false">D892*K892</f>
        <v>3600000</v>
      </c>
      <c r="O892" s="46" t="n">
        <f aca="false">D892*L892</f>
        <v>5427840</v>
      </c>
      <c r="P892" s="42" t="str">
        <f aca="false">TRIM(IF(N(E892)&lt;=0,"택가보정 ","")&amp;IF(N(F892)&lt;=0,"원가보정 ","")&amp;IF(AND(B892&lt;&gt;"CN",N(H892)&lt;=0),"공급가보정 ","")&amp;IF(AND(B892="CN",N(I892)&lt;=0),"중국공급가=원가+마진 ",""))</f>
        <v/>
      </c>
      <c r="Q892" s="47" t="n">
        <f aca="false">IF(SUMIFS($W:$W,$A:$A,A892,$C:$C,C892)=0,0,SUMIFS(RAW_판매펀칭!$K:$K,RAW_판매펀칭!$P:$P,A892,RAW_판매펀칭!$I:$I,C892)*W892/SUMIFS($W:$W,$A:$A,A892,$C:$C,C892))</f>
        <v>160</v>
      </c>
      <c r="R892" s="47" t="n">
        <f aca="false">IF(OR(A892="500",A892="800",A892="810"),0,MAX(W892-Q892,0))</f>
        <v>0</v>
      </c>
      <c r="S892" s="47" t="n">
        <f aca="false">R892*L892</f>
        <v>0</v>
      </c>
      <c r="T892" s="47" t="n">
        <f aca="false">R892*J892</f>
        <v>0</v>
      </c>
      <c r="U892" s="47" t="n">
        <f aca="false">R892*K892</f>
        <v>0</v>
      </c>
      <c r="V892" s="0" t="str">
        <f aca="false">IF(COUNTIFS($A$2:A892,A892,$C$2:C892,C892,$D$2:D892,D892)&gt;1,"중복","")</f>
        <v/>
      </c>
      <c r="W892" s="0" t="n">
        <f aca="false">IF(V892="중복",0,N(D892))</f>
        <v>160</v>
      </c>
      <c r="X892" s="0" t="n">
        <f aca="false">IF(COUNTIFS($A$2:A892,A892,$C$2:C892,C892)=1,ABS(SUMIFS(RAW_발주!$D:$D,RAW_발주!$C:$C,A892,RAW_발주!$A:$A,C892)-SUMIFS($W:$W,$A:$A,A892,$C:$C,C892)),0)</f>
        <v>0</v>
      </c>
    </row>
    <row r="893" customFormat="false" ht="15" hidden="false" customHeight="true" outlineLevel="0" collapsed="false">
      <c r="A893" s="45" t="s">
        <v>1661</v>
      </c>
      <c r="B893" s="42" t="str">
        <f aca="false">IF(A893="100","HK",IF(A893="200","CN",IF(A893="300","TW","홀세일")))</f>
        <v>TW</v>
      </c>
      <c r="C893" s="45" t="s">
        <v>454</v>
      </c>
      <c r="D893" s="46" t="n">
        <v>140</v>
      </c>
      <c r="E893" s="46" t="n">
        <v>109000</v>
      </c>
      <c r="F893" s="46" t="n">
        <v>22500</v>
      </c>
      <c r="G893" s="42" t="n">
        <v>3.68</v>
      </c>
      <c r="H893" s="42" t="n">
        <v>25.7</v>
      </c>
      <c r="I893" s="42" t="n">
        <v>0</v>
      </c>
      <c r="J893" s="46" t="n">
        <f aca="false">IF(N(E893)&gt;0,E893,IF(N(F893)&gt;0,F893*요약!$F$27,0))</f>
        <v>109000</v>
      </c>
      <c r="K893" s="46" t="n">
        <f aca="false">IF(N(F893)&gt;0,F893,IF(N(E893)&gt;0,E893/요약!$F$27,0))</f>
        <v>22500</v>
      </c>
      <c r="L893" s="46" t="n">
        <f aca="false">IF(B893="CN",IF(N(I893)&gt;0,I893*요약!$G$27,K893*(1+요약!$E$27)),IF(N(H893)&gt;0,H893*요약!$G$27,J893*요약!$D$27))</f>
        <v>33924</v>
      </c>
      <c r="M893" s="46" t="n">
        <f aca="false">D893*J893</f>
        <v>15260000</v>
      </c>
      <c r="N893" s="46" t="n">
        <f aca="false">D893*K893</f>
        <v>3150000</v>
      </c>
      <c r="O893" s="46" t="n">
        <f aca="false">D893*L893</f>
        <v>4749360</v>
      </c>
      <c r="P893" s="42" t="str">
        <f aca="false">TRIM(IF(N(E893)&lt;=0,"택가보정 ","")&amp;IF(N(F893)&lt;=0,"원가보정 ","")&amp;IF(AND(B893&lt;&gt;"CN",N(H893)&lt;=0),"공급가보정 ","")&amp;IF(AND(B893="CN",N(I893)&lt;=0),"중국공급가=원가+마진 ",""))</f>
        <v/>
      </c>
      <c r="Q893" s="47" t="n">
        <f aca="false">IF(SUMIFS($W:$W,$A:$A,A893,$C:$C,C893)=0,0,SUMIFS(RAW_판매펀칭!$K:$K,RAW_판매펀칭!$P:$P,A893,RAW_판매펀칭!$I:$I,C893)*W893/SUMIFS($W:$W,$A:$A,A893,$C:$C,C893))</f>
        <v>140</v>
      </c>
      <c r="R893" s="47" t="n">
        <f aca="false">IF(OR(A893="500",A893="800",A893="810"),0,MAX(W893-Q893,0))</f>
        <v>0</v>
      </c>
      <c r="S893" s="47" t="n">
        <f aca="false">R893*L893</f>
        <v>0</v>
      </c>
      <c r="T893" s="47" t="n">
        <f aca="false">R893*J893</f>
        <v>0</v>
      </c>
      <c r="U893" s="47" t="n">
        <f aca="false">R893*K893</f>
        <v>0</v>
      </c>
      <c r="V893" s="0" t="str">
        <f aca="false">IF(COUNTIFS($A$2:A893,A893,$C$2:C893,C893,$D$2:D893,D893)&gt;1,"중복","")</f>
        <v/>
      </c>
      <c r="W893" s="0" t="n">
        <f aca="false">IF(V893="중복",0,N(D893))</f>
        <v>140</v>
      </c>
      <c r="X893" s="0" t="n">
        <f aca="false">IF(COUNTIFS($A$2:A893,A893,$C$2:C893,C893)=1,ABS(SUMIFS(RAW_발주!$D:$D,RAW_발주!$C:$C,A893,RAW_발주!$A:$A,C893)-SUMIFS($W:$W,$A:$A,A893,$C:$C,C893)),0)</f>
        <v>0</v>
      </c>
    </row>
    <row r="894" customFormat="false" ht="15" hidden="false" customHeight="true" outlineLevel="0" collapsed="false">
      <c r="A894" s="45" t="s">
        <v>1663</v>
      </c>
      <c r="B894" s="42" t="str">
        <f aca="false">IF(A894="100","HK",IF(A894="200","CN",IF(A894="300","TW","홀세일")))</f>
        <v>홀세일</v>
      </c>
      <c r="C894" s="45" t="s">
        <v>454</v>
      </c>
      <c r="D894" s="46" t="n">
        <v>45</v>
      </c>
      <c r="E894" s="46" t="n">
        <v>109000</v>
      </c>
      <c r="F894" s="46" t="n">
        <v>22500</v>
      </c>
      <c r="G894" s="42" t="n">
        <v>3.68</v>
      </c>
      <c r="H894" s="42" t="n">
        <v>25.7</v>
      </c>
      <c r="I894" s="42" t="n">
        <v>0</v>
      </c>
      <c r="J894" s="46" t="n">
        <f aca="false">IF(N(E894)&gt;0,E894,IF(N(F894)&gt;0,F894*요약!$F$27,0))</f>
        <v>109000</v>
      </c>
      <c r="K894" s="46" t="n">
        <f aca="false">IF(N(F894)&gt;0,F894,IF(N(E894)&gt;0,E894/요약!$F$27,0))</f>
        <v>22500</v>
      </c>
      <c r="L894" s="46" t="n">
        <f aca="false">IF(B894="CN",IF(N(I894)&gt;0,I894*요약!$G$27,K894*(1+요약!$E$27)),IF(N(H894)&gt;0,H894*요약!$G$27,J894*요약!$D$27))</f>
        <v>33924</v>
      </c>
      <c r="M894" s="46" t="n">
        <f aca="false">D894*J894</f>
        <v>4905000</v>
      </c>
      <c r="N894" s="46" t="n">
        <f aca="false">D894*K894</f>
        <v>1012500</v>
      </c>
      <c r="O894" s="46" t="n">
        <f aca="false">D894*L894</f>
        <v>1526580</v>
      </c>
      <c r="P894" s="42" t="str">
        <f aca="false">TRIM(IF(N(E894)&lt;=0,"택가보정 ","")&amp;IF(N(F894)&lt;=0,"원가보정 ","")&amp;IF(AND(B894&lt;&gt;"CN",N(H894)&lt;=0),"공급가보정 ","")&amp;IF(AND(B894="CN",N(I894)&lt;=0),"중국공급가=원가+마진 ",""))</f>
        <v/>
      </c>
      <c r="Q894" s="47" t="n">
        <f aca="false">IF(SUMIFS($W:$W,$A:$A,A894,$C:$C,C894)=0,0,SUMIFS(RAW_판매펀칭!$K:$K,RAW_판매펀칭!$P:$P,A894,RAW_판매펀칭!$I:$I,C894)*W894/SUMIFS($W:$W,$A:$A,A894,$C:$C,C894))</f>
        <v>45</v>
      </c>
      <c r="R894" s="47" t="n">
        <f aca="false">IF(OR(A894="500",A894="800",A894="810"),0,MAX(W894-Q894,0))</f>
        <v>0</v>
      </c>
      <c r="S894" s="47" t="n">
        <f aca="false">R894*L894</f>
        <v>0</v>
      </c>
      <c r="T894" s="47" t="n">
        <f aca="false">R894*J894</f>
        <v>0</v>
      </c>
      <c r="U894" s="47" t="n">
        <f aca="false">R894*K894</f>
        <v>0</v>
      </c>
      <c r="V894" s="0" t="str">
        <f aca="false">IF(COUNTIFS($A$2:A894,A894,$C$2:C894,C894,$D$2:D894,D894)&gt;1,"중복","")</f>
        <v/>
      </c>
      <c r="W894" s="0" t="n">
        <f aca="false">IF(V894="중복",0,N(D894))</f>
        <v>45</v>
      </c>
      <c r="X894" s="0" t="n">
        <f aca="false">IF(COUNTIFS($A$2:A894,A894,$C$2:C894,C894)=1,ABS(SUMIFS(RAW_발주!$D:$D,RAW_발주!$C:$C,A894,RAW_발주!$A:$A,C894)-SUMIFS($W:$W,$A:$A,A894,$C:$C,C894)),0)</f>
        <v>0</v>
      </c>
    </row>
    <row r="895" customFormat="false" ht="15" hidden="false" customHeight="true" outlineLevel="0" collapsed="false">
      <c r="A895" s="45" t="s">
        <v>1664</v>
      </c>
      <c r="B895" s="42" t="str">
        <f aca="false">IF(A895="100","HK",IF(A895="200","CN",IF(A895="300","TW","홀세일")))</f>
        <v>홀세일</v>
      </c>
      <c r="C895" s="45" t="s">
        <v>454</v>
      </c>
      <c r="D895" s="46" t="n">
        <v>30</v>
      </c>
      <c r="E895" s="46" t="n">
        <v>109000</v>
      </c>
      <c r="F895" s="46" t="n">
        <v>22500</v>
      </c>
      <c r="G895" s="42" t="n">
        <v>3.68</v>
      </c>
      <c r="H895" s="42" t="n">
        <v>25.7</v>
      </c>
      <c r="I895" s="42" t="n">
        <v>0</v>
      </c>
      <c r="J895" s="46" t="n">
        <f aca="false">IF(N(E895)&gt;0,E895,IF(N(F895)&gt;0,F895*요약!$F$27,0))</f>
        <v>109000</v>
      </c>
      <c r="K895" s="46" t="n">
        <f aca="false">IF(N(F895)&gt;0,F895,IF(N(E895)&gt;0,E895/요약!$F$27,0))</f>
        <v>22500</v>
      </c>
      <c r="L895" s="46" t="n">
        <f aca="false">IF(B895="CN",IF(N(I895)&gt;0,I895*요약!$G$27,K895*(1+요약!$E$27)),IF(N(H895)&gt;0,H895*요약!$G$27,J895*요약!$D$27))</f>
        <v>33924</v>
      </c>
      <c r="M895" s="46" t="n">
        <f aca="false">D895*J895</f>
        <v>3270000</v>
      </c>
      <c r="N895" s="46" t="n">
        <f aca="false">D895*K895</f>
        <v>675000</v>
      </c>
      <c r="O895" s="46" t="n">
        <f aca="false">D895*L895</f>
        <v>1017720</v>
      </c>
      <c r="P895" s="42" t="str">
        <f aca="false">TRIM(IF(N(E895)&lt;=0,"택가보정 ","")&amp;IF(N(F895)&lt;=0,"원가보정 ","")&amp;IF(AND(B895&lt;&gt;"CN",N(H895)&lt;=0),"공급가보정 ","")&amp;IF(AND(B895="CN",N(I895)&lt;=0),"중국공급가=원가+마진 ",""))</f>
        <v/>
      </c>
      <c r="Q895" s="47" t="n">
        <f aca="false">IF(SUMIFS($W:$W,$A:$A,A895,$C:$C,C895)=0,0,SUMIFS(RAW_판매펀칭!$K:$K,RAW_판매펀칭!$P:$P,A895,RAW_판매펀칭!$I:$I,C895)*W895/SUMIFS($W:$W,$A:$A,A895,$C:$C,C895))</f>
        <v>0</v>
      </c>
      <c r="R895" s="47" t="n">
        <f aca="false">IF(OR(A895="500",A895="800",A895="810"),0,MAX(W895-Q895,0))</f>
        <v>0</v>
      </c>
      <c r="S895" s="47" t="n">
        <f aca="false">R895*L895</f>
        <v>0</v>
      </c>
      <c r="T895" s="47" t="n">
        <f aca="false">R895*J895</f>
        <v>0</v>
      </c>
      <c r="U895" s="47" t="n">
        <f aca="false">R895*K895</f>
        <v>0</v>
      </c>
      <c r="V895" s="0" t="str">
        <f aca="false">IF(COUNTIFS($A$2:A895,A895,$C$2:C895,C895,$D$2:D895,D895)&gt;1,"중복","")</f>
        <v/>
      </c>
      <c r="W895" s="0" t="n">
        <f aca="false">IF(V895="중복",0,N(D895))</f>
        <v>30</v>
      </c>
      <c r="X895" s="0" t="n">
        <f aca="false">IF(COUNTIFS($A$2:A895,A895,$C$2:C895,C895)=1,ABS(SUMIFS(RAW_발주!$D:$D,RAW_발주!$C:$C,A895,RAW_발주!$A:$A,C895)-SUMIFS($W:$W,$A:$A,A895,$C:$C,C895)),0)</f>
        <v>0</v>
      </c>
    </row>
    <row r="896" customFormat="false" ht="15" hidden="false" customHeight="true" outlineLevel="0" collapsed="false">
      <c r="A896" s="45" t="s">
        <v>1659</v>
      </c>
      <c r="B896" s="42" t="str">
        <f aca="false">IF(A896="100","HK",IF(A896="200","CN",IF(A896="300","TW","홀세일")))</f>
        <v>HK</v>
      </c>
      <c r="C896" s="45" t="s">
        <v>456</v>
      </c>
      <c r="D896" s="46" t="n">
        <v>90</v>
      </c>
      <c r="E896" s="46" t="n">
        <v>149000</v>
      </c>
      <c r="F896" s="46" t="n">
        <v>29700</v>
      </c>
      <c r="G896" s="42" t="n">
        <v>4.01</v>
      </c>
      <c r="H896" s="42" t="n">
        <v>35.1</v>
      </c>
      <c r="I896" s="42" t="n">
        <v>0</v>
      </c>
      <c r="J896" s="46" t="n">
        <f aca="false">IF(N(E896)&gt;0,E896,IF(N(F896)&gt;0,F896*요약!$F$27,0))</f>
        <v>149000</v>
      </c>
      <c r="K896" s="46" t="n">
        <f aca="false">IF(N(F896)&gt;0,F896,IF(N(E896)&gt;0,E896/요약!$F$27,0))</f>
        <v>29700</v>
      </c>
      <c r="L896" s="46" t="n">
        <f aca="false">IF(B896="CN",IF(N(I896)&gt;0,I896*요약!$G$27,K896*(1+요약!$E$27)),IF(N(H896)&gt;0,H896*요약!$G$27,J896*요약!$D$27))</f>
        <v>46332</v>
      </c>
      <c r="M896" s="46" t="n">
        <f aca="false">D896*J896</f>
        <v>13410000</v>
      </c>
      <c r="N896" s="46" t="n">
        <f aca="false">D896*K896</f>
        <v>2673000</v>
      </c>
      <c r="O896" s="46" t="n">
        <f aca="false">D896*L896</f>
        <v>4169880</v>
      </c>
      <c r="P896" s="42" t="str">
        <f aca="false">TRIM(IF(N(E896)&lt;=0,"택가보정 ","")&amp;IF(N(F896)&lt;=0,"원가보정 ","")&amp;IF(AND(B896&lt;&gt;"CN",N(H896)&lt;=0),"공급가보정 ","")&amp;IF(AND(B896="CN",N(I896)&lt;=0),"중국공급가=원가+마진 ",""))</f>
        <v/>
      </c>
      <c r="Q896" s="47" t="n">
        <f aca="false">IF(SUMIFS($W:$W,$A:$A,A896,$C:$C,C896)=0,0,SUMIFS(RAW_판매펀칭!$K:$K,RAW_판매펀칭!$P:$P,A896,RAW_판매펀칭!$I:$I,C896)*W896/SUMIFS($W:$W,$A:$A,A896,$C:$C,C896))</f>
        <v>90</v>
      </c>
      <c r="R896" s="47" t="n">
        <f aca="false">IF(OR(A896="500",A896="800",A896="810"),0,MAX(W896-Q896,0))</f>
        <v>0</v>
      </c>
      <c r="S896" s="47" t="n">
        <f aca="false">R896*L896</f>
        <v>0</v>
      </c>
      <c r="T896" s="47" t="n">
        <f aca="false">R896*J896</f>
        <v>0</v>
      </c>
      <c r="U896" s="47" t="n">
        <f aca="false">R896*K896</f>
        <v>0</v>
      </c>
      <c r="V896" s="0" t="str">
        <f aca="false">IF(COUNTIFS($A$2:A896,A896,$C$2:C896,C896,$D$2:D896,D896)&gt;1,"중복","")</f>
        <v/>
      </c>
      <c r="W896" s="0" t="n">
        <f aca="false">IF(V896="중복",0,N(D896))</f>
        <v>90</v>
      </c>
      <c r="X896" s="0" t="n">
        <f aca="false">IF(COUNTIFS($A$2:A896,A896,$C$2:C896,C896)=1,ABS(SUMIFS(RAW_발주!$D:$D,RAW_발주!$C:$C,A896,RAW_발주!$A:$A,C896)-SUMIFS($W:$W,$A:$A,A896,$C:$C,C896)),0)</f>
        <v>0</v>
      </c>
    </row>
    <row r="897" customFormat="false" ht="15" hidden="false" customHeight="true" outlineLevel="0" collapsed="false">
      <c r="A897" s="45" t="s">
        <v>1661</v>
      </c>
      <c r="B897" s="42" t="str">
        <f aca="false">IF(A897="100","HK",IF(A897="200","CN",IF(A897="300","TW","홀세일")))</f>
        <v>TW</v>
      </c>
      <c r="C897" s="45" t="s">
        <v>456</v>
      </c>
      <c r="D897" s="46" t="n">
        <v>100</v>
      </c>
      <c r="E897" s="46" t="n">
        <v>149000</v>
      </c>
      <c r="F897" s="46" t="n">
        <v>29700</v>
      </c>
      <c r="G897" s="42" t="n">
        <v>4.01</v>
      </c>
      <c r="H897" s="42" t="n">
        <v>35.1</v>
      </c>
      <c r="I897" s="42" t="n">
        <v>0</v>
      </c>
      <c r="J897" s="46" t="n">
        <f aca="false">IF(N(E897)&gt;0,E897,IF(N(F897)&gt;0,F897*요약!$F$27,0))</f>
        <v>149000</v>
      </c>
      <c r="K897" s="46" t="n">
        <f aca="false">IF(N(F897)&gt;0,F897,IF(N(E897)&gt;0,E897/요약!$F$27,0))</f>
        <v>29700</v>
      </c>
      <c r="L897" s="46" t="n">
        <f aca="false">IF(B897="CN",IF(N(I897)&gt;0,I897*요약!$G$27,K897*(1+요약!$E$27)),IF(N(H897)&gt;0,H897*요약!$G$27,J897*요약!$D$27))</f>
        <v>46332</v>
      </c>
      <c r="M897" s="46" t="n">
        <f aca="false">D897*J897</f>
        <v>14900000</v>
      </c>
      <c r="N897" s="46" t="n">
        <f aca="false">D897*K897</f>
        <v>2970000</v>
      </c>
      <c r="O897" s="46" t="n">
        <f aca="false">D897*L897</f>
        <v>4633200</v>
      </c>
      <c r="P897" s="42" t="str">
        <f aca="false">TRIM(IF(N(E897)&lt;=0,"택가보정 ","")&amp;IF(N(F897)&lt;=0,"원가보정 ","")&amp;IF(AND(B897&lt;&gt;"CN",N(H897)&lt;=0),"공급가보정 ","")&amp;IF(AND(B897="CN",N(I897)&lt;=0),"중국공급가=원가+마진 ",""))</f>
        <v/>
      </c>
      <c r="Q897" s="47" t="n">
        <f aca="false">IF(SUMIFS($W:$W,$A:$A,A897,$C:$C,C897)=0,0,SUMIFS(RAW_판매펀칭!$K:$K,RAW_판매펀칭!$P:$P,A897,RAW_판매펀칭!$I:$I,C897)*W897/SUMIFS($W:$W,$A:$A,A897,$C:$C,C897))</f>
        <v>100</v>
      </c>
      <c r="R897" s="47" t="n">
        <f aca="false">IF(OR(A897="500",A897="800",A897="810"),0,MAX(W897-Q897,0))</f>
        <v>0</v>
      </c>
      <c r="S897" s="47" t="n">
        <f aca="false">R897*L897</f>
        <v>0</v>
      </c>
      <c r="T897" s="47" t="n">
        <f aca="false">R897*J897</f>
        <v>0</v>
      </c>
      <c r="U897" s="47" t="n">
        <f aca="false">R897*K897</f>
        <v>0</v>
      </c>
      <c r="V897" s="0" t="str">
        <f aca="false">IF(COUNTIFS($A$2:A897,A897,$C$2:C897,C897,$D$2:D897,D897)&gt;1,"중복","")</f>
        <v/>
      </c>
      <c r="W897" s="0" t="n">
        <f aca="false">IF(V897="중복",0,N(D897))</f>
        <v>100</v>
      </c>
      <c r="X897" s="0" t="n">
        <f aca="false">IF(COUNTIFS($A$2:A897,A897,$C$2:C897,C897)=1,ABS(SUMIFS(RAW_발주!$D:$D,RAW_발주!$C:$C,A897,RAW_발주!$A:$A,C897)-SUMIFS($W:$W,$A:$A,A897,$C:$C,C897)),0)</f>
        <v>0</v>
      </c>
    </row>
    <row r="898" customFormat="false" ht="15" hidden="false" customHeight="true" outlineLevel="0" collapsed="false">
      <c r="A898" s="45" t="s">
        <v>1663</v>
      </c>
      <c r="B898" s="42" t="str">
        <f aca="false">IF(A898="100","HK",IF(A898="200","CN",IF(A898="300","TW","홀세일")))</f>
        <v>홀세일</v>
      </c>
      <c r="C898" s="45" t="s">
        <v>456</v>
      </c>
      <c r="D898" s="46" t="n">
        <v>25</v>
      </c>
      <c r="E898" s="46" t="n">
        <v>149000</v>
      </c>
      <c r="F898" s="46" t="n">
        <v>29700</v>
      </c>
      <c r="G898" s="42" t="n">
        <v>4.01</v>
      </c>
      <c r="H898" s="42" t="n">
        <v>35.1</v>
      </c>
      <c r="I898" s="42" t="n">
        <v>0</v>
      </c>
      <c r="J898" s="46" t="n">
        <f aca="false">IF(N(E898)&gt;0,E898,IF(N(F898)&gt;0,F898*요약!$F$27,0))</f>
        <v>149000</v>
      </c>
      <c r="K898" s="46" t="n">
        <f aca="false">IF(N(F898)&gt;0,F898,IF(N(E898)&gt;0,E898/요약!$F$27,0))</f>
        <v>29700</v>
      </c>
      <c r="L898" s="46" t="n">
        <f aca="false">IF(B898="CN",IF(N(I898)&gt;0,I898*요약!$G$27,K898*(1+요약!$E$27)),IF(N(H898)&gt;0,H898*요약!$G$27,J898*요약!$D$27))</f>
        <v>46332</v>
      </c>
      <c r="M898" s="46" t="n">
        <f aca="false">D898*J898</f>
        <v>3725000</v>
      </c>
      <c r="N898" s="46" t="n">
        <f aca="false">D898*K898</f>
        <v>742500</v>
      </c>
      <c r="O898" s="46" t="n">
        <f aca="false">D898*L898</f>
        <v>1158300</v>
      </c>
      <c r="P898" s="42" t="str">
        <f aca="false">TRIM(IF(N(E898)&lt;=0,"택가보정 ","")&amp;IF(N(F898)&lt;=0,"원가보정 ","")&amp;IF(AND(B898&lt;&gt;"CN",N(H898)&lt;=0),"공급가보정 ","")&amp;IF(AND(B898="CN",N(I898)&lt;=0),"중국공급가=원가+마진 ",""))</f>
        <v/>
      </c>
      <c r="Q898" s="47" t="n">
        <f aca="false">IF(SUMIFS($W:$W,$A:$A,A898,$C:$C,C898)=0,0,SUMIFS(RAW_판매펀칭!$K:$K,RAW_판매펀칭!$P:$P,A898,RAW_판매펀칭!$I:$I,C898)*W898/SUMIFS($W:$W,$A:$A,A898,$C:$C,C898))</f>
        <v>25</v>
      </c>
      <c r="R898" s="47" t="n">
        <f aca="false">IF(OR(A898="500",A898="800",A898="810"),0,MAX(W898-Q898,0))</f>
        <v>0</v>
      </c>
      <c r="S898" s="47" t="n">
        <f aca="false">R898*L898</f>
        <v>0</v>
      </c>
      <c r="T898" s="47" t="n">
        <f aca="false">R898*J898</f>
        <v>0</v>
      </c>
      <c r="U898" s="47" t="n">
        <f aca="false">R898*K898</f>
        <v>0</v>
      </c>
      <c r="V898" s="0" t="str">
        <f aca="false">IF(COUNTIFS($A$2:A898,A898,$C$2:C898,C898,$D$2:D898,D898)&gt;1,"중복","")</f>
        <v/>
      </c>
      <c r="W898" s="0" t="n">
        <f aca="false">IF(V898="중복",0,N(D898))</f>
        <v>25</v>
      </c>
      <c r="X898" s="0" t="n">
        <f aca="false">IF(COUNTIFS($A$2:A898,A898,$C$2:C898,C898)=1,ABS(SUMIFS(RAW_발주!$D:$D,RAW_발주!$C:$C,A898,RAW_발주!$A:$A,C898)-SUMIFS($W:$W,$A:$A,A898,$C:$C,C898)),0)</f>
        <v>0</v>
      </c>
    </row>
    <row r="899" customFormat="false" ht="15" hidden="false" customHeight="true" outlineLevel="0" collapsed="false">
      <c r="A899" s="45" t="s">
        <v>1659</v>
      </c>
      <c r="B899" s="42" t="str">
        <f aca="false">IF(A899="100","HK",IF(A899="200","CN",IF(A899="300","TW","홀세일")))</f>
        <v>HK</v>
      </c>
      <c r="C899" s="45" t="s">
        <v>458</v>
      </c>
      <c r="D899" s="46" t="n">
        <v>90</v>
      </c>
      <c r="E899" s="46" t="n">
        <v>149000</v>
      </c>
      <c r="F899" s="46" t="n">
        <v>23400</v>
      </c>
      <c r="G899" s="42" t="n">
        <v>4.59</v>
      </c>
      <c r="H899" s="42" t="n">
        <v>35.1</v>
      </c>
      <c r="I899" s="42" t="n">
        <v>0</v>
      </c>
      <c r="J899" s="46" t="n">
        <f aca="false">IF(N(E899)&gt;0,E899,IF(N(F899)&gt;0,F899*요약!$F$27,0))</f>
        <v>149000</v>
      </c>
      <c r="K899" s="46" t="n">
        <f aca="false">IF(N(F899)&gt;0,F899,IF(N(E899)&gt;0,E899/요약!$F$27,0))</f>
        <v>23400</v>
      </c>
      <c r="L899" s="46" t="n">
        <f aca="false">IF(B899="CN",IF(N(I899)&gt;0,I899*요약!$G$27,K899*(1+요약!$E$27)),IF(N(H899)&gt;0,H899*요약!$G$27,J899*요약!$D$27))</f>
        <v>46332</v>
      </c>
      <c r="M899" s="46" t="n">
        <f aca="false">D899*J899</f>
        <v>13410000</v>
      </c>
      <c r="N899" s="46" t="n">
        <f aca="false">D899*K899</f>
        <v>2106000</v>
      </c>
      <c r="O899" s="46" t="n">
        <f aca="false">D899*L899</f>
        <v>4169880</v>
      </c>
      <c r="P899" s="42" t="str">
        <f aca="false">TRIM(IF(N(E899)&lt;=0,"택가보정 ","")&amp;IF(N(F899)&lt;=0,"원가보정 ","")&amp;IF(AND(B899&lt;&gt;"CN",N(H899)&lt;=0),"공급가보정 ","")&amp;IF(AND(B899="CN",N(I899)&lt;=0),"중국공급가=원가+마진 ",""))</f>
        <v/>
      </c>
      <c r="Q899" s="47" t="n">
        <f aca="false">IF(SUMIFS($W:$W,$A:$A,A899,$C:$C,C899)=0,0,SUMIFS(RAW_판매펀칭!$K:$K,RAW_판매펀칭!$P:$P,A899,RAW_판매펀칭!$I:$I,C899)*W899/SUMIFS($W:$W,$A:$A,A899,$C:$C,C899))</f>
        <v>90</v>
      </c>
      <c r="R899" s="47" t="n">
        <f aca="false">IF(OR(A899="500",A899="800",A899="810"),0,MAX(W899-Q899,0))</f>
        <v>0</v>
      </c>
      <c r="S899" s="47" t="n">
        <f aca="false">R899*L899</f>
        <v>0</v>
      </c>
      <c r="T899" s="47" t="n">
        <f aca="false">R899*J899</f>
        <v>0</v>
      </c>
      <c r="U899" s="47" t="n">
        <f aca="false">R899*K899</f>
        <v>0</v>
      </c>
      <c r="V899" s="0" t="str">
        <f aca="false">IF(COUNTIFS($A$2:A899,A899,$C$2:C899,C899,$D$2:D899,D899)&gt;1,"중복","")</f>
        <v/>
      </c>
      <c r="W899" s="0" t="n">
        <f aca="false">IF(V899="중복",0,N(D899))</f>
        <v>90</v>
      </c>
      <c r="X899" s="0" t="n">
        <f aca="false">IF(COUNTIFS($A$2:A899,A899,$C$2:C899,C899)=1,ABS(SUMIFS(RAW_발주!$D:$D,RAW_발주!$C:$C,A899,RAW_발주!$A:$A,C899)-SUMIFS($W:$W,$A:$A,A899,$C:$C,C899)),0)</f>
        <v>0</v>
      </c>
    </row>
    <row r="900" customFormat="false" ht="15" hidden="false" customHeight="true" outlineLevel="0" collapsed="false">
      <c r="A900" s="45" t="s">
        <v>1661</v>
      </c>
      <c r="B900" s="42" t="str">
        <f aca="false">IF(A900="100","HK",IF(A900="200","CN",IF(A900="300","TW","홀세일")))</f>
        <v>TW</v>
      </c>
      <c r="C900" s="45" t="s">
        <v>458</v>
      </c>
      <c r="D900" s="46" t="n">
        <v>255</v>
      </c>
      <c r="E900" s="46" t="n">
        <v>149000</v>
      </c>
      <c r="F900" s="46" t="n">
        <v>23400</v>
      </c>
      <c r="G900" s="42" t="n">
        <v>4.59</v>
      </c>
      <c r="H900" s="42" t="n">
        <v>35.1</v>
      </c>
      <c r="I900" s="42" t="n">
        <v>0</v>
      </c>
      <c r="J900" s="46" t="n">
        <f aca="false">IF(N(E900)&gt;0,E900,IF(N(F900)&gt;0,F900*요약!$F$27,0))</f>
        <v>149000</v>
      </c>
      <c r="K900" s="46" t="n">
        <f aca="false">IF(N(F900)&gt;0,F900,IF(N(E900)&gt;0,E900/요약!$F$27,0))</f>
        <v>23400</v>
      </c>
      <c r="L900" s="46" t="n">
        <f aca="false">IF(B900="CN",IF(N(I900)&gt;0,I900*요약!$G$27,K900*(1+요약!$E$27)),IF(N(H900)&gt;0,H900*요약!$G$27,J900*요약!$D$27))</f>
        <v>46332</v>
      </c>
      <c r="M900" s="46" t="n">
        <f aca="false">D900*J900</f>
        <v>37995000</v>
      </c>
      <c r="N900" s="46" t="n">
        <f aca="false">D900*K900</f>
        <v>5967000</v>
      </c>
      <c r="O900" s="46" t="n">
        <f aca="false">D900*L900</f>
        <v>11814660</v>
      </c>
      <c r="P900" s="42" t="str">
        <f aca="false">TRIM(IF(N(E900)&lt;=0,"택가보정 ","")&amp;IF(N(F900)&lt;=0,"원가보정 ","")&amp;IF(AND(B900&lt;&gt;"CN",N(H900)&lt;=0),"공급가보정 ","")&amp;IF(AND(B900="CN",N(I900)&lt;=0),"중국공급가=원가+마진 ",""))</f>
        <v/>
      </c>
      <c r="Q900" s="47" t="n">
        <f aca="false">IF(SUMIFS($W:$W,$A:$A,A900,$C:$C,C900)=0,0,SUMIFS(RAW_판매펀칭!$K:$K,RAW_판매펀칭!$P:$P,A900,RAW_판매펀칭!$I:$I,C900)*W900/SUMIFS($W:$W,$A:$A,A900,$C:$C,C900))</f>
        <v>255</v>
      </c>
      <c r="R900" s="47" t="n">
        <f aca="false">IF(OR(A900="500",A900="800",A900="810"),0,MAX(W900-Q900,0))</f>
        <v>0</v>
      </c>
      <c r="S900" s="47" t="n">
        <f aca="false">R900*L900</f>
        <v>0</v>
      </c>
      <c r="T900" s="47" t="n">
        <f aca="false">R900*J900</f>
        <v>0</v>
      </c>
      <c r="U900" s="47" t="n">
        <f aca="false">R900*K900</f>
        <v>0</v>
      </c>
      <c r="V900" s="0" t="str">
        <f aca="false">IF(COUNTIFS($A$2:A900,A900,$C$2:C900,C900,$D$2:D900,D900)&gt;1,"중복","")</f>
        <v/>
      </c>
      <c r="W900" s="0" t="n">
        <f aca="false">IF(V900="중복",0,N(D900))</f>
        <v>255</v>
      </c>
      <c r="X900" s="0" t="n">
        <f aca="false">IF(COUNTIFS($A$2:A900,A900,$C$2:C900,C900)=1,ABS(SUMIFS(RAW_발주!$D:$D,RAW_발주!$C:$C,A900,RAW_발주!$A:$A,C900)-SUMIFS($W:$W,$A:$A,A900,$C:$C,C900)),0)</f>
        <v>0</v>
      </c>
    </row>
    <row r="901" customFormat="false" ht="15" hidden="false" customHeight="true" outlineLevel="0" collapsed="false">
      <c r="A901" s="45" t="s">
        <v>1661</v>
      </c>
      <c r="B901" s="42" t="str">
        <f aca="false">IF(A901="100","HK",IF(A901="200","CN",IF(A901="300","TW","홀세일")))</f>
        <v>TW</v>
      </c>
      <c r="C901" s="45" t="s">
        <v>460</v>
      </c>
      <c r="D901" s="46" t="n">
        <v>220</v>
      </c>
      <c r="E901" s="46" t="n">
        <v>139000</v>
      </c>
      <c r="F901" s="46" t="n">
        <v>36500</v>
      </c>
      <c r="G901" s="42" t="n">
        <v>3.63</v>
      </c>
      <c r="H901" s="42" t="n">
        <v>33.7</v>
      </c>
      <c r="I901" s="42" t="n">
        <v>0</v>
      </c>
      <c r="J901" s="46" t="n">
        <f aca="false">IF(N(E901)&gt;0,E901,IF(N(F901)&gt;0,F901*요약!$F$27,0))</f>
        <v>139000</v>
      </c>
      <c r="K901" s="46" t="n">
        <f aca="false">IF(N(F901)&gt;0,F901,IF(N(E901)&gt;0,E901/요약!$F$27,0))</f>
        <v>36500</v>
      </c>
      <c r="L901" s="46" t="n">
        <f aca="false">IF(B901="CN",IF(N(I901)&gt;0,I901*요약!$G$27,K901*(1+요약!$E$27)),IF(N(H901)&gt;0,H901*요약!$G$27,J901*요약!$D$27))</f>
        <v>44484</v>
      </c>
      <c r="M901" s="46" t="n">
        <f aca="false">D901*J901</f>
        <v>30580000</v>
      </c>
      <c r="N901" s="46" t="n">
        <f aca="false">D901*K901</f>
        <v>8030000</v>
      </c>
      <c r="O901" s="46" t="n">
        <f aca="false">D901*L901</f>
        <v>9786480</v>
      </c>
      <c r="P901" s="42" t="str">
        <f aca="false">TRIM(IF(N(E901)&lt;=0,"택가보정 ","")&amp;IF(N(F901)&lt;=0,"원가보정 ","")&amp;IF(AND(B901&lt;&gt;"CN",N(H901)&lt;=0),"공급가보정 ","")&amp;IF(AND(B901="CN",N(I901)&lt;=0),"중국공급가=원가+마진 ",""))</f>
        <v/>
      </c>
      <c r="Q901" s="47" t="n">
        <f aca="false">IF(SUMIFS($W:$W,$A:$A,A901,$C:$C,C901)=0,0,SUMIFS(RAW_판매펀칭!$K:$K,RAW_판매펀칭!$P:$P,A901,RAW_판매펀칭!$I:$I,C901)*W901/SUMIFS($W:$W,$A:$A,A901,$C:$C,C901))</f>
        <v>220</v>
      </c>
      <c r="R901" s="47" t="n">
        <f aca="false">IF(OR(A901="500",A901="800",A901="810"),0,MAX(W901-Q901,0))</f>
        <v>0</v>
      </c>
      <c r="S901" s="47" t="n">
        <f aca="false">R901*L901</f>
        <v>0</v>
      </c>
      <c r="T901" s="47" t="n">
        <f aca="false">R901*J901</f>
        <v>0</v>
      </c>
      <c r="U901" s="47" t="n">
        <f aca="false">R901*K901</f>
        <v>0</v>
      </c>
      <c r="V901" s="0" t="str">
        <f aca="false">IF(COUNTIFS($A$2:A901,A901,$C$2:C901,C901,$D$2:D901,D901)&gt;1,"중복","")</f>
        <v/>
      </c>
      <c r="W901" s="0" t="n">
        <f aca="false">IF(V901="중복",0,N(D901))</f>
        <v>220</v>
      </c>
      <c r="X901" s="0" t="n">
        <f aca="false">IF(COUNTIFS($A$2:A901,A901,$C$2:C901,C901)=1,ABS(SUMIFS(RAW_발주!$D:$D,RAW_발주!$C:$C,A901,RAW_발주!$A:$A,C901)-SUMIFS($W:$W,$A:$A,A901,$C:$C,C901)),0)</f>
        <v>0</v>
      </c>
    </row>
    <row r="902" customFormat="false" ht="15" hidden="false" customHeight="true" outlineLevel="0" collapsed="false">
      <c r="A902" s="45" t="s">
        <v>1659</v>
      </c>
      <c r="B902" s="42" t="str">
        <f aca="false">IF(A902="100","HK",IF(A902="200","CN",IF(A902="300","TW","홀세일")))</f>
        <v>HK</v>
      </c>
      <c r="C902" s="45" t="s">
        <v>894</v>
      </c>
      <c r="D902" s="46" t="n">
        <v>70</v>
      </c>
      <c r="E902" s="46" t="n">
        <v>139000</v>
      </c>
      <c r="F902" s="46" t="n">
        <v>32904</v>
      </c>
      <c r="G902" s="42" t="n">
        <v>3.5</v>
      </c>
      <c r="H902" s="42" t="n">
        <v>32.7</v>
      </c>
      <c r="I902" s="42" t="n">
        <v>28</v>
      </c>
      <c r="J902" s="46" t="n">
        <f aca="false">IF(N(E902)&gt;0,E902,IF(N(F902)&gt;0,F902*요약!$F$27,0))</f>
        <v>139000</v>
      </c>
      <c r="K902" s="46" t="n">
        <f aca="false">IF(N(F902)&gt;0,F902,IF(N(E902)&gt;0,E902/요약!$F$27,0))</f>
        <v>32904</v>
      </c>
      <c r="L902" s="46" t="n">
        <f aca="false">IF(B902="CN",IF(N(I902)&gt;0,I902*요약!$G$27,K902*(1+요약!$E$27)),IF(N(H902)&gt;0,H902*요약!$G$27,J902*요약!$D$27))</f>
        <v>43164</v>
      </c>
      <c r="M902" s="46" t="n">
        <f aca="false">D902*J902</f>
        <v>9730000</v>
      </c>
      <c r="N902" s="46" t="n">
        <f aca="false">D902*K902</f>
        <v>2303280</v>
      </c>
      <c r="O902" s="46" t="n">
        <f aca="false">D902*L902</f>
        <v>3021480</v>
      </c>
      <c r="P902" s="42" t="str">
        <f aca="false">TRIM(IF(N(E902)&lt;=0,"택가보정 ","")&amp;IF(N(F902)&lt;=0,"원가보정 ","")&amp;IF(AND(B902&lt;&gt;"CN",N(H902)&lt;=0),"공급가보정 ","")&amp;IF(AND(B902="CN",N(I902)&lt;=0),"중국공급가=원가+마진 ",""))</f>
        <v/>
      </c>
      <c r="Q902" s="47" t="n">
        <f aca="false">IF(SUMIFS($W:$W,$A:$A,A902,$C:$C,C902)=0,0,SUMIFS(RAW_판매펀칭!$K:$K,RAW_판매펀칭!$P:$P,A902,RAW_판매펀칭!$I:$I,C902)*W902/SUMIFS($W:$W,$A:$A,A902,$C:$C,C902))</f>
        <v>70</v>
      </c>
      <c r="R902" s="47" t="n">
        <f aca="false">IF(OR(A902="500",A902="800",A902="810"),0,MAX(W902-Q902,0))</f>
        <v>0</v>
      </c>
      <c r="S902" s="47" t="n">
        <f aca="false">R902*L902</f>
        <v>0</v>
      </c>
      <c r="T902" s="47" t="n">
        <f aca="false">R902*J902</f>
        <v>0</v>
      </c>
      <c r="U902" s="47" t="n">
        <f aca="false">R902*K902</f>
        <v>0</v>
      </c>
      <c r="V902" s="0" t="str">
        <f aca="false">IF(COUNTIFS($A$2:A902,A902,$C$2:C902,C902,$D$2:D902,D902)&gt;1,"중복","")</f>
        <v/>
      </c>
      <c r="W902" s="0" t="n">
        <f aca="false">IF(V902="중복",0,N(D902))</f>
        <v>70</v>
      </c>
      <c r="X902" s="0" t="n">
        <f aca="false">IF(COUNTIFS($A$2:A902,A902,$C$2:C902,C902)=1,ABS(SUMIFS(RAW_발주!$D:$D,RAW_발주!$C:$C,A902,RAW_발주!$A:$A,C902)-SUMIFS($W:$W,$A:$A,A902,$C:$C,C902)),0)</f>
        <v>0</v>
      </c>
    </row>
    <row r="903" customFormat="false" ht="15" hidden="false" customHeight="true" outlineLevel="0" collapsed="false">
      <c r="A903" s="45" t="s">
        <v>1660</v>
      </c>
      <c r="B903" s="42" t="str">
        <f aca="false">IF(A903="100","HK",IF(A903="200","CN",IF(A903="300","TW","홀세일")))</f>
        <v>CN</v>
      </c>
      <c r="C903" s="45" t="s">
        <v>894</v>
      </c>
      <c r="D903" s="46" t="n">
        <v>217</v>
      </c>
      <c r="E903" s="46" t="n">
        <v>139000</v>
      </c>
      <c r="F903" s="46" t="n">
        <v>32904</v>
      </c>
      <c r="G903" s="42" t="n">
        <v>3.5</v>
      </c>
      <c r="H903" s="42" t="n">
        <v>32.7</v>
      </c>
      <c r="I903" s="42" t="n">
        <v>28</v>
      </c>
      <c r="J903" s="46" t="n">
        <f aca="false">IF(N(E903)&gt;0,E903,IF(N(F903)&gt;0,F903*요약!$F$27,0))</f>
        <v>139000</v>
      </c>
      <c r="K903" s="46" t="n">
        <f aca="false">IF(N(F903)&gt;0,F903,IF(N(E903)&gt;0,E903/요약!$F$27,0))</f>
        <v>32904</v>
      </c>
      <c r="L903" s="46" t="n">
        <f aca="false">IF(B903="CN",IF(N(I903)&gt;0,I903*요약!$G$27,K903*(1+요약!$E$27)),IF(N(H903)&gt;0,H903*요약!$G$27,J903*요약!$D$27))</f>
        <v>36960</v>
      </c>
      <c r="M903" s="46" t="n">
        <f aca="false">D903*J903</f>
        <v>30163000</v>
      </c>
      <c r="N903" s="46" t="n">
        <f aca="false">D903*K903</f>
        <v>7140168</v>
      </c>
      <c r="O903" s="46" t="n">
        <f aca="false">D903*L903</f>
        <v>8020320</v>
      </c>
      <c r="P903" s="42" t="str">
        <f aca="false">TRIM(IF(N(E903)&lt;=0,"택가보정 ","")&amp;IF(N(F903)&lt;=0,"원가보정 ","")&amp;IF(AND(B903&lt;&gt;"CN",N(H903)&lt;=0),"공급가보정 ","")&amp;IF(AND(B903="CN",N(I903)&lt;=0),"중국공급가=원가+마진 ",""))</f>
        <v/>
      </c>
      <c r="Q903" s="47" t="n">
        <f aca="false">IF(SUMIFS($W:$W,$A:$A,A903,$C:$C,C903)=0,0,SUMIFS(RAW_판매펀칭!$K:$K,RAW_판매펀칭!$P:$P,A903,RAW_판매펀칭!$I:$I,C903)*W903/SUMIFS($W:$W,$A:$A,A903,$C:$C,C903))</f>
        <v>217</v>
      </c>
      <c r="R903" s="47" t="n">
        <f aca="false">IF(OR(A903="500",A903="800",A903="810"),0,MAX(W903-Q903,0))</f>
        <v>0</v>
      </c>
      <c r="S903" s="47" t="n">
        <f aca="false">R903*L903</f>
        <v>0</v>
      </c>
      <c r="T903" s="47" t="n">
        <f aca="false">R903*J903</f>
        <v>0</v>
      </c>
      <c r="U903" s="47" t="n">
        <f aca="false">R903*K903</f>
        <v>0</v>
      </c>
      <c r="V903" s="0" t="str">
        <f aca="false">IF(COUNTIFS($A$2:A903,A903,$C$2:C903,C903,$D$2:D903,D903)&gt;1,"중복","")</f>
        <v/>
      </c>
      <c r="W903" s="0" t="n">
        <f aca="false">IF(V903="중복",0,N(D903))</f>
        <v>217</v>
      </c>
      <c r="X903" s="0" t="n">
        <f aca="false">IF(COUNTIFS($A$2:A903,A903,$C$2:C903,C903)=1,ABS(SUMIFS(RAW_발주!$D:$D,RAW_발주!$C:$C,A903,RAW_발주!$A:$A,C903)-SUMIFS($W:$W,$A:$A,A903,$C:$C,C903)),0)</f>
        <v>0</v>
      </c>
    </row>
    <row r="904" customFormat="false" ht="15" hidden="false" customHeight="true" outlineLevel="0" collapsed="false">
      <c r="A904" s="45" t="s">
        <v>1661</v>
      </c>
      <c r="B904" s="42" t="str">
        <f aca="false">IF(A904="100","HK",IF(A904="200","CN",IF(A904="300","TW","홀세일")))</f>
        <v>TW</v>
      </c>
      <c r="C904" s="45" t="s">
        <v>462</v>
      </c>
      <c r="D904" s="46" t="n">
        <v>50</v>
      </c>
      <c r="E904" s="46" t="n">
        <v>159000</v>
      </c>
      <c r="F904" s="46" t="n">
        <v>25500</v>
      </c>
      <c r="G904" s="42" t="n">
        <v>3.5</v>
      </c>
      <c r="H904" s="42" t="n">
        <v>37.4</v>
      </c>
      <c r="I904" s="42" t="n">
        <v>0</v>
      </c>
      <c r="J904" s="46" t="n">
        <f aca="false">IF(N(E904)&gt;0,E904,IF(N(F904)&gt;0,F904*요약!$F$27,0))</f>
        <v>159000</v>
      </c>
      <c r="K904" s="46" t="n">
        <f aca="false">IF(N(F904)&gt;0,F904,IF(N(E904)&gt;0,E904/요약!$F$27,0))</f>
        <v>25500</v>
      </c>
      <c r="L904" s="46" t="n">
        <f aca="false">IF(B904="CN",IF(N(I904)&gt;0,I904*요약!$G$27,K904*(1+요약!$E$27)),IF(N(H904)&gt;0,H904*요약!$G$27,J904*요약!$D$27))</f>
        <v>49368</v>
      </c>
      <c r="M904" s="46" t="n">
        <f aca="false">D904*J904</f>
        <v>7950000</v>
      </c>
      <c r="N904" s="46" t="n">
        <f aca="false">D904*K904</f>
        <v>1275000</v>
      </c>
      <c r="O904" s="46" t="n">
        <f aca="false">D904*L904</f>
        <v>2468400</v>
      </c>
      <c r="P904" s="42" t="str">
        <f aca="false">TRIM(IF(N(E904)&lt;=0,"택가보정 ","")&amp;IF(N(F904)&lt;=0,"원가보정 ","")&amp;IF(AND(B904&lt;&gt;"CN",N(H904)&lt;=0),"공급가보정 ","")&amp;IF(AND(B904="CN",N(I904)&lt;=0),"중국공급가=원가+마진 ",""))</f>
        <v/>
      </c>
      <c r="Q904" s="47" t="n">
        <f aca="false">IF(SUMIFS($W:$W,$A:$A,A904,$C:$C,C904)=0,0,SUMIFS(RAW_판매펀칭!$K:$K,RAW_판매펀칭!$P:$P,A904,RAW_판매펀칭!$I:$I,C904)*W904/SUMIFS($W:$W,$A:$A,A904,$C:$C,C904))</f>
        <v>50</v>
      </c>
      <c r="R904" s="47" t="n">
        <f aca="false">IF(OR(A904="500",A904="800",A904="810"),0,MAX(W904-Q904,0))</f>
        <v>0</v>
      </c>
      <c r="S904" s="47" t="n">
        <f aca="false">R904*L904</f>
        <v>0</v>
      </c>
      <c r="T904" s="47" t="n">
        <f aca="false">R904*J904</f>
        <v>0</v>
      </c>
      <c r="U904" s="47" t="n">
        <f aca="false">R904*K904</f>
        <v>0</v>
      </c>
      <c r="V904" s="0" t="str">
        <f aca="false">IF(COUNTIFS($A$2:A904,A904,$C$2:C904,C904,$D$2:D904,D904)&gt;1,"중복","")</f>
        <v/>
      </c>
      <c r="W904" s="0" t="n">
        <f aca="false">IF(V904="중복",0,N(D904))</f>
        <v>50</v>
      </c>
      <c r="X904" s="0" t="n">
        <f aca="false">IF(COUNTIFS($A$2:A904,A904,$C$2:C904,C904)=1,ABS(SUMIFS(RAW_발주!$D:$D,RAW_발주!$C:$C,A904,RAW_발주!$A:$A,C904)-SUMIFS($W:$W,$A:$A,A904,$C:$C,C904)),0)</f>
        <v>0</v>
      </c>
    </row>
    <row r="905" customFormat="false" ht="15" hidden="false" customHeight="true" outlineLevel="0" collapsed="false">
      <c r="A905" s="45" t="s">
        <v>1663</v>
      </c>
      <c r="B905" s="42" t="str">
        <f aca="false">IF(A905="100","HK",IF(A905="200","CN",IF(A905="300","TW","홀세일")))</f>
        <v>홀세일</v>
      </c>
      <c r="C905" s="45" t="s">
        <v>462</v>
      </c>
      <c r="D905" s="46" t="n">
        <v>30</v>
      </c>
      <c r="E905" s="46" t="n">
        <v>159000</v>
      </c>
      <c r="F905" s="46" t="n">
        <v>25500</v>
      </c>
      <c r="G905" s="42" t="n">
        <v>3.5</v>
      </c>
      <c r="H905" s="42" t="n">
        <v>37.4</v>
      </c>
      <c r="I905" s="42" t="n">
        <v>0</v>
      </c>
      <c r="J905" s="46" t="n">
        <f aca="false">IF(N(E905)&gt;0,E905,IF(N(F905)&gt;0,F905*요약!$F$27,0))</f>
        <v>159000</v>
      </c>
      <c r="K905" s="46" t="n">
        <f aca="false">IF(N(F905)&gt;0,F905,IF(N(E905)&gt;0,E905/요약!$F$27,0))</f>
        <v>25500</v>
      </c>
      <c r="L905" s="46" t="n">
        <f aca="false">IF(B905="CN",IF(N(I905)&gt;0,I905*요약!$G$27,K905*(1+요약!$E$27)),IF(N(H905)&gt;0,H905*요약!$G$27,J905*요약!$D$27))</f>
        <v>49368</v>
      </c>
      <c r="M905" s="46" t="n">
        <f aca="false">D905*J905</f>
        <v>4770000</v>
      </c>
      <c r="N905" s="46" t="n">
        <f aca="false">D905*K905</f>
        <v>765000</v>
      </c>
      <c r="O905" s="46" t="n">
        <f aca="false">D905*L905</f>
        <v>1481040</v>
      </c>
      <c r="P905" s="42" t="str">
        <f aca="false">TRIM(IF(N(E905)&lt;=0,"택가보정 ","")&amp;IF(N(F905)&lt;=0,"원가보정 ","")&amp;IF(AND(B905&lt;&gt;"CN",N(H905)&lt;=0),"공급가보정 ","")&amp;IF(AND(B905="CN",N(I905)&lt;=0),"중국공급가=원가+마진 ",""))</f>
        <v/>
      </c>
      <c r="Q905" s="47" t="n">
        <f aca="false">IF(SUMIFS($W:$W,$A:$A,A905,$C:$C,C905)=0,0,SUMIFS(RAW_판매펀칭!$K:$K,RAW_판매펀칭!$P:$P,A905,RAW_판매펀칭!$I:$I,C905)*W905/SUMIFS($W:$W,$A:$A,A905,$C:$C,C905))</f>
        <v>30</v>
      </c>
      <c r="R905" s="47" t="n">
        <f aca="false">IF(OR(A905="500",A905="800",A905="810"),0,MAX(W905-Q905,0))</f>
        <v>0</v>
      </c>
      <c r="S905" s="47" t="n">
        <f aca="false">R905*L905</f>
        <v>0</v>
      </c>
      <c r="T905" s="47" t="n">
        <f aca="false">R905*J905</f>
        <v>0</v>
      </c>
      <c r="U905" s="47" t="n">
        <f aca="false">R905*K905</f>
        <v>0</v>
      </c>
      <c r="V905" s="0" t="str">
        <f aca="false">IF(COUNTIFS($A$2:A905,A905,$C$2:C905,C905,$D$2:D905,D905)&gt;1,"중복","")</f>
        <v/>
      </c>
      <c r="W905" s="0" t="n">
        <f aca="false">IF(V905="중복",0,N(D905))</f>
        <v>30</v>
      </c>
      <c r="X905" s="0" t="n">
        <f aca="false">IF(COUNTIFS($A$2:A905,A905,$C$2:C905,C905)=1,ABS(SUMIFS(RAW_발주!$D:$D,RAW_발주!$C:$C,A905,RAW_발주!$A:$A,C905)-SUMIFS($W:$W,$A:$A,A905,$C:$C,C905)),0)</f>
        <v>0</v>
      </c>
    </row>
    <row r="906" customFormat="false" ht="15" hidden="false" customHeight="true" outlineLevel="0" collapsed="false">
      <c r="A906" s="45" t="s">
        <v>1659</v>
      </c>
      <c r="B906" s="42" t="str">
        <f aca="false">IF(A906="100","HK",IF(A906="200","CN",IF(A906="300","TW","홀세일")))</f>
        <v>HK</v>
      </c>
      <c r="C906" s="45" t="s">
        <v>464</v>
      </c>
      <c r="D906" s="46" t="n">
        <v>180</v>
      </c>
      <c r="E906" s="46" t="n">
        <v>259000</v>
      </c>
      <c r="F906" s="46" t="n">
        <v>58900</v>
      </c>
      <c r="G906" s="42" t="n">
        <v>3.83</v>
      </c>
      <c r="H906" s="42" t="n">
        <v>64.9</v>
      </c>
      <c r="I906" s="42" t="n">
        <v>0</v>
      </c>
      <c r="J906" s="46" t="n">
        <f aca="false">IF(N(E906)&gt;0,E906,IF(N(F906)&gt;0,F906*요약!$F$27,0))</f>
        <v>259000</v>
      </c>
      <c r="K906" s="46" t="n">
        <f aca="false">IF(N(F906)&gt;0,F906,IF(N(E906)&gt;0,E906/요약!$F$27,0))</f>
        <v>58900</v>
      </c>
      <c r="L906" s="46" t="n">
        <f aca="false">IF(B906="CN",IF(N(I906)&gt;0,I906*요약!$G$27,K906*(1+요약!$E$27)),IF(N(H906)&gt;0,H906*요약!$G$27,J906*요약!$D$27))</f>
        <v>85668</v>
      </c>
      <c r="M906" s="46" t="n">
        <f aca="false">D906*J906</f>
        <v>46620000</v>
      </c>
      <c r="N906" s="46" t="n">
        <f aca="false">D906*K906</f>
        <v>10602000</v>
      </c>
      <c r="O906" s="46" t="n">
        <f aca="false">D906*L906</f>
        <v>15420240</v>
      </c>
      <c r="P906" s="42" t="str">
        <f aca="false">TRIM(IF(N(E906)&lt;=0,"택가보정 ","")&amp;IF(N(F906)&lt;=0,"원가보정 ","")&amp;IF(AND(B906&lt;&gt;"CN",N(H906)&lt;=0),"공급가보정 ","")&amp;IF(AND(B906="CN",N(I906)&lt;=0),"중국공급가=원가+마진 ",""))</f>
        <v/>
      </c>
      <c r="Q906" s="47" t="n">
        <f aca="false">IF(SUMIFS($W:$W,$A:$A,A906,$C:$C,C906)=0,0,SUMIFS(RAW_판매펀칭!$K:$K,RAW_판매펀칭!$P:$P,A906,RAW_판매펀칭!$I:$I,C906)*W906/SUMIFS($W:$W,$A:$A,A906,$C:$C,C906))</f>
        <v>180</v>
      </c>
      <c r="R906" s="47" t="n">
        <f aca="false">IF(OR(A906="500",A906="800",A906="810"),0,MAX(W906-Q906,0))</f>
        <v>0</v>
      </c>
      <c r="S906" s="47" t="n">
        <f aca="false">R906*L906</f>
        <v>0</v>
      </c>
      <c r="T906" s="47" t="n">
        <f aca="false">R906*J906</f>
        <v>0</v>
      </c>
      <c r="U906" s="47" t="n">
        <f aca="false">R906*K906</f>
        <v>0</v>
      </c>
      <c r="V906" s="0" t="str">
        <f aca="false">IF(COUNTIFS($A$2:A906,A906,$C$2:C906,C906,$D$2:D906,D906)&gt;1,"중복","")</f>
        <v/>
      </c>
      <c r="W906" s="0" t="n">
        <f aca="false">IF(V906="중복",0,N(D906))</f>
        <v>180</v>
      </c>
      <c r="X906" s="0" t="n">
        <f aca="false">IF(COUNTIFS($A$2:A906,A906,$C$2:C906,C906)=1,ABS(SUMIFS(RAW_발주!$D:$D,RAW_발주!$C:$C,A906,RAW_발주!$A:$A,C906)-SUMIFS($W:$W,$A:$A,A906,$C:$C,C906)),0)</f>
        <v>0</v>
      </c>
    </row>
    <row r="907" customFormat="false" ht="15" hidden="false" customHeight="true" outlineLevel="0" collapsed="false">
      <c r="A907" s="45" t="s">
        <v>1661</v>
      </c>
      <c r="B907" s="42" t="str">
        <f aca="false">IF(A907="100","HK",IF(A907="200","CN",IF(A907="300","TW","홀세일")))</f>
        <v>TW</v>
      </c>
      <c r="C907" s="45" t="s">
        <v>464</v>
      </c>
      <c r="D907" s="46" t="n">
        <v>270</v>
      </c>
      <c r="E907" s="46" t="n">
        <v>259000</v>
      </c>
      <c r="F907" s="46" t="n">
        <v>58900</v>
      </c>
      <c r="G907" s="42" t="n">
        <v>3.83</v>
      </c>
      <c r="H907" s="42" t="n">
        <v>64.9</v>
      </c>
      <c r="I907" s="42" t="n">
        <v>0</v>
      </c>
      <c r="J907" s="46" t="n">
        <f aca="false">IF(N(E907)&gt;0,E907,IF(N(F907)&gt;0,F907*요약!$F$27,0))</f>
        <v>259000</v>
      </c>
      <c r="K907" s="46" t="n">
        <f aca="false">IF(N(F907)&gt;0,F907,IF(N(E907)&gt;0,E907/요약!$F$27,0))</f>
        <v>58900</v>
      </c>
      <c r="L907" s="46" t="n">
        <f aca="false">IF(B907="CN",IF(N(I907)&gt;0,I907*요약!$G$27,K907*(1+요약!$E$27)),IF(N(H907)&gt;0,H907*요약!$G$27,J907*요약!$D$27))</f>
        <v>85668</v>
      </c>
      <c r="M907" s="46" t="n">
        <f aca="false">D907*J907</f>
        <v>69930000</v>
      </c>
      <c r="N907" s="46" t="n">
        <f aca="false">D907*K907</f>
        <v>15903000</v>
      </c>
      <c r="O907" s="46" t="n">
        <f aca="false">D907*L907</f>
        <v>23130360</v>
      </c>
      <c r="P907" s="42" t="str">
        <f aca="false">TRIM(IF(N(E907)&lt;=0,"택가보정 ","")&amp;IF(N(F907)&lt;=0,"원가보정 ","")&amp;IF(AND(B907&lt;&gt;"CN",N(H907)&lt;=0),"공급가보정 ","")&amp;IF(AND(B907="CN",N(I907)&lt;=0),"중국공급가=원가+마진 ",""))</f>
        <v/>
      </c>
      <c r="Q907" s="47" t="n">
        <f aca="false">IF(SUMIFS($W:$W,$A:$A,A907,$C:$C,C907)=0,0,SUMIFS(RAW_판매펀칭!$K:$K,RAW_판매펀칭!$P:$P,A907,RAW_판매펀칭!$I:$I,C907)*W907/SUMIFS($W:$W,$A:$A,A907,$C:$C,C907))</f>
        <v>270</v>
      </c>
      <c r="R907" s="47" t="n">
        <f aca="false">IF(OR(A907="500",A907="800",A907="810"),0,MAX(W907-Q907,0))</f>
        <v>0</v>
      </c>
      <c r="S907" s="47" t="n">
        <f aca="false">R907*L907</f>
        <v>0</v>
      </c>
      <c r="T907" s="47" t="n">
        <f aca="false">R907*J907</f>
        <v>0</v>
      </c>
      <c r="U907" s="47" t="n">
        <f aca="false">R907*K907</f>
        <v>0</v>
      </c>
      <c r="V907" s="0" t="str">
        <f aca="false">IF(COUNTIFS($A$2:A907,A907,$C$2:C907,C907,$D$2:D907,D907)&gt;1,"중복","")</f>
        <v/>
      </c>
      <c r="W907" s="0" t="n">
        <f aca="false">IF(V907="중복",0,N(D907))</f>
        <v>270</v>
      </c>
      <c r="X907" s="0" t="n">
        <f aca="false">IF(COUNTIFS($A$2:A907,A907,$C$2:C907,C907)=1,ABS(SUMIFS(RAW_발주!$D:$D,RAW_발주!$C:$C,A907,RAW_발주!$A:$A,C907)-SUMIFS($W:$W,$A:$A,A907,$C:$C,C907)),0)</f>
        <v>0</v>
      </c>
    </row>
    <row r="908" customFormat="false" ht="15" hidden="false" customHeight="true" outlineLevel="0" collapsed="false">
      <c r="A908" s="45" t="s">
        <v>1662</v>
      </c>
      <c r="B908" s="42" t="str">
        <f aca="false">IF(A908="100","HK",IF(A908="200","CN",IF(A908="300","TW","홀세일")))</f>
        <v>홀세일</v>
      </c>
      <c r="C908" s="45" t="s">
        <v>464</v>
      </c>
      <c r="D908" s="46" t="n">
        <v>200</v>
      </c>
      <c r="E908" s="46" t="n">
        <v>259000</v>
      </c>
      <c r="F908" s="46" t="n">
        <v>58900</v>
      </c>
      <c r="G908" s="42" t="n">
        <v>3.83</v>
      </c>
      <c r="H908" s="42" t="n">
        <v>64.9</v>
      </c>
      <c r="I908" s="42" t="n">
        <v>0</v>
      </c>
      <c r="J908" s="46" t="n">
        <f aca="false">IF(N(E908)&gt;0,E908,IF(N(F908)&gt;0,F908*요약!$F$27,0))</f>
        <v>259000</v>
      </c>
      <c r="K908" s="46" t="n">
        <f aca="false">IF(N(F908)&gt;0,F908,IF(N(E908)&gt;0,E908/요약!$F$27,0))</f>
        <v>58900</v>
      </c>
      <c r="L908" s="46" t="n">
        <f aca="false">IF(B908="CN",IF(N(I908)&gt;0,I908*요약!$G$27,K908*(1+요약!$E$27)),IF(N(H908)&gt;0,H908*요약!$G$27,J908*요약!$D$27))</f>
        <v>85668</v>
      </c>
      <c r="M908" s="46" t="n">
        <f aca="false">D908*J908</f>
        <v>51800000</v>
      </c>
      <c r="N908" s="46" t="n">
        <f aca="false">D908*K908</f>
        <v>11780000</v>
      </c>
      <c r="O908" s="46" t="n">
        <f aca="false">D908*L908</f>
        <v>17133600</v>
      </c>
      <c r="P908" s="42" t="str">
        <f aca="false">TRIM(IF(N(E908)&lt;=0,"택가보정 ","")&amp;IF(N(F908)&lt;=0,"원가보정 ","")&amp;IF(AND(B908&lt;&gt;"CN",N(H908)&lt;=0),"공급가보정 ","")&amp;IF(AND(B908="CN",N(I908)&lt;=0),"중국공급가=원가+마진 ",""))</f>
        <v/>
      </c>
      <c r="Q908" s="47" t="n">
        <f aca="false">IF(SUMIFS($W:$W,$A:$A,A908,$C:$C,C908)=0,0,SUMIFS(RAW_판매펀칭!$K:$K,RAW_판매펀칭!$P:$P,A908,RAW_판매펀칭!$I:$I,C908)*W908/SUMIFS($W:$W,$A:$A,A908,$C:$C,C908))</f>
        <v>0</v>
      </c>
      <c r="R908" s="47" t="n">
        <f aca="false">IF(OR(A908="500",A908="800",A908="810"),0,MAX(W908-Q908,0))</f>
        <v>0</v>
      </c>
      <c r="S908" s="47" t="n">
        <f aca="false">R908*L908</f>
        <v>0</v>
      </c>
      <c r="T908" s="47" t="n">
        <f aca="false">R908*J908</f>
        <v>0</v>
      </c>
      <c r="U908" s="47" t="n">
        <f aca="false">R908*K908</f>
        <v>0</v>
      </c>
      <c r="V908" s="0" t="str">
        <f aca="false">IF(COUNTIFS($A$2:A908,A908,$C$2:C908,C908,$D$2:D908,D908)&gt;1,"중복","")</f>
        <v/>
      </c>
      <c r="W908" s="0" t="n">
        <f aca="false">IF(V908="중복",0,N(D908))</f>
        <v>200</v>
      </c>
      <c r="X908" s="0" t="n">
        <f aca="false">IF(COUNTIFS($A$2:A908,A908,$C$2:C908,C908)=1,ABS(SUMIFS(RAW_발주!$D:$D,RAW_발주!$C:$C,A908,RAW_발주!$A:$A,C908)-SUMIFS($W:$W,$A:$A,A908,$C:$C,C908)),0)</f>
        <v>0</v>
      </c>
    </row>
    <row r="909" customFormat="false" ht="15" hidden="false" customHeight="true" outlineLevel="0" collapsed="false">
      <c r="A909" s="45" t="s">
        <v>1663</v>
      </c>
      <c r="B909" s="42" t="str">
        <f aca="false">IF(A909="100","HK",IF(A909="200","CN",IF(A909="300","TW","홀세일")))</f>
        <v>홀세일</v>
      </c>
      <c r="C909" s="45" t="s">
        <v>464</v>
      </c>
      <c r="D909" s="46" t="n">
        <v>30</v>
      </c>
      <c r="E909" s="46" t="n">
        <v>259000</v>
      </c>
      <c r="F909" s="46" t="n">
        <v>58900</v>
      </c>
      <c r="G909" s="42" t="n">
        <v>3.83</v>
      </c>
      <c r="H909" s="42" t="n">
        <v>64.9</v>
      </c>
      <c r="I909" s="42" t="n">
        <v>0</v>
      </c>
      <c r="J909" s="46" t="n">
        <f aca="false">IF(N(E909)&gt;0,E909,IF(N(F909)&gt;0,F909*요약!$F$27,0))</f>
        <v>259000</v>
      </c>
      <c r="K909" s="46" t="n">
        <f aca="false">IF(N(F909)&gt;0,F909,IF(N(E909)&gt;0,E909/요약!$F$27,0))</f>
        <v>58900</v>
      </c>
      <c r="L909" s="46" t="n">
        <f aca="false">IF(B909="CN",IF(N(I909)&gt;0,I909*요약!$G$27,K909*(1+요약!$E$27)),IF(N(H909)&gt;0,H909*요약!$G$27,J909*요약!$D$27))</f>
        <v>85668</v>
      </c>
      <c r="M909" s="46" t="n">
        <f aca="false">D909*J909</f>
        <v>7770000</v>
      </c>
      <c r="N909" s="46" t="n">
        <f aca="false">D909*K909</f>
        <v>1767000</v>
      </c>
      <c r="O909" s="46" t="n">
        <f aca="false">D909*L909</f>
        <v>2570040</v>
      </c>
      <c r="P909" s="42" t="str">
        <f aca="false">TRIM(IF(N(E909)&lt;=0,"택가보정 ","")&amp;IF(N(F909)&lt;=0,"원가보정 ","")&amp;IF(AND(B909&lt;&gt;"CN",N(H909)&lt;=0),"공급가보정 ","")&amp;IF(AND(B909="CN",N(I909)&lt;=0),"중국공급가=원가+마진 ",""))</f>
        <v/>
      </c>
      <c r="Q909" s="47" t="n">
        <f aca="false">IF(SUMIFS($W:$W,$A:$A,A909,$C:$C,C909)=0,0,SUMIFS(RAW_판매펀칭!$K:$K,RAW_판매펀칭!$P:$P,A909,RAW_판매펀칭!$I:$I,C909)*W909/SUMIFS($W:$W,$A:$A,A909,$C:$C,C909))</f>
        <v>30</v>
      </c>
      <c r="R909" s="47" t="n">
        <f aca="false">IF(OR(A909="500",A909="800",A909="810"),0,MAX(W909-Q909,0))</f>
        <v>0</v>
      </c>
      <c r="S909" s="47" t="n">
        <f aca="false">R909*L909</f>
        <v>0</v>
      </c>
      <c r="T909" s="47" t="n">
        <f aca="false">R909*J909</f>
        <v>0</v>
      </c>
      <c r="U909" s="47" t="n">
        <f aca="false">R909*K909</f>
        <v>0</v>
      </c>
      <c r="V909" s="0" t="str">
        <f aca="false">IF(COUNTIFS($A$2:A909,A909,$C$2:C909,C909,$D$2:D909,D909)&gt;1,"중복","")</f>
        <v/>
      </c>
      <c r="W909" s="0" t="n">
        <f aca="false">IF(V909="중복",0,N(D909))</f>
        <v>30</v>
      </c>
      <c r="X909" s="0" t="n">
        <f aca="false">IF(COUNTIFS($A$2:A909,A909,$C$2:C909,C909)=1,ABS(SUMIFS(RAW_발주!$D:$D,RAW_발주!$C:$C,A909,RAW_발주!$A:$A,C909)-SUMIFS($W:$W,$A:$A,A909,$C:$C,C909)),0)</f>
        <v>0</v>
      </c>
    </row>
    <row r="910" customFormat="false" ht="15" hidden="false" customHeight="true" outlineLevel="0" collapsed="false">
      <c r="A910" s="45" t="s">
        <v>1659</v>
      </c>
      <c r="B910" s="42" t="str">
        <f aca="false">IF(A910="100","HK",IF(A910="200","CN",IF(A910="300","TW","홀세일")))</f>
        <v>HK</v>
      </c>
      <c r="C910" s="45" t="s">
        <v>896</v>
      </c>
      <c r="D910" s="46" t="n">
        <v>160</v>
      </c>
      <c r="E910" s="46" t="n">
        <v>179000</v>
      </c>
      <c r="F910" s="46" t="n">
        <v>53400</v>
      </c>
      <c r="G910" s="42" t="n">
        <v>2.83</v>
      </c>
      <c r="H910" s="42" t="n">
        <v>44.8</v>
      </c>
      <c r="I910" s="42" t="n">
        <v>0</v>
      </c>
      <c r="J910" s="46" t="n">
        <f aca="false">IF(N(E910)&gt;0,E910,IF(N(F910)&gt;0,F910*요약!$F$27,0))</f>
        <v>179000</v>
      </c>
      <c r="K910" s="46" t="n">
        <f aca="false">IF(N(F910)&gt;0,F910,IF(N(E910)&gt;0,E910/요약!$F$27,0))</f>
        <v>53400</v>
      </c>
      <c r="L910" s="46" t="n">
        <f aca="false">IF(B910="CN",IF(N(I910)&gt;0,I910*요약!$G$27,K910*(1+요약!$E$27)),IF(N(H910)&gt;0,H910*요약!$G$27,J910*요약!$D$27))</f>
        <v>59136</v>
      </c>
      <c r="M910" s="46" t="n">
        <f aca="false">D910*J910</f>
        <v>28640000</v>
      </c>
      <c r="N910" s="46" t="n">
        <f aca="false">D910*K910</f>
        <v>8544000</v>
      </c>
      <c r="O910" s="46" t="n">
        <f aca="false">D910*L910</f>
        <v>9461760</v>
      </c>
      <c r="P910" s="42" t="str">
        <f aca="false">TRIM(IF(N(E910)&lt;=0,"택가보정 ","")&amp;IF(N(F910)&lt;=0,"원가보정 ","")&amp;IF(AND(B910&lt;&gt;"CN",N(H910)&lt;=0),"공급가보정 ","")&amp;IF(AND(B910="CN",N(I910)&lt;=0),"중국공급가=원가+마진 ",""))</f>
        <v/>
      </c>
      <c r="Q910" s="47" t="n">
        <f aca="false">IF(SUMIFS($W:$W,$A:$A,A910,$C:$C,C910)=0,0,SUMIFS(RAW_판매펀칭!$K:$K,RAW_판매펀칭!$P:$P,A910,RAW_판매펀칭!$I:$I,C910)*W910/SUMIFS($W:$W,$A:$A,A910,$C:$C,C910))</f>
        <v>160</v>
      </c>
      <c r="R910" s="47" t="n">
        <f aca="false">IF(OR(A910="500",A910="800",A910="810"),0,MAX(W910-Q910,0))</f>
        <v>0</v>
      </c>
      <c r="S910" s="47" t="n">
        <f aca="false">R910*L910</f>
        <v>0</v>
      </c>
      <c r="T910" s="47" t="n">
        <f aca="false">R910*J910</f>
        <v>0</v>
      </c>
      <c r="U910" s="47" t="n">
        <f aca="false">R910*K910</f>
        <v>0</v>
      </c>
      <c r="V910" s="0" t="str">
        <f aca="false">IF(COUNTIFS($A$2:A910,A910,$C$2:C910,C910,$D$2:D910,D910)&gt;1,"중복","")</f>
        <v/>
      </c>
      <c r="W910" s="0" t="n">
        <f aca="false">IF(V910="중복",0,N(D910))</f>
        <v>160</v>
      </c>
      <c r="X910" s="0" t="n">
        <f aca="false">IF(COUNTIFS($A$2:A910,A910,$C$2:C910,C910)=1,ABS(SUMIFS(RAW_발주!$D:$D,RAW_발주!$C:$C,A910,RAW_발주!$A:$A,C910)-SUMIFS($W:$W,$A:$A,A910,$C:$C,C910)),0)</f>
        <v>0</v>
      </c>
    </row>
    <row r="911" customFormat="false" ht="15" hidden="false" customHeight="true" outlineLevel="0" collapsed="false">
      <c r="A911" s="45" t="s">
        <v>1663</v>
      </c>
      <c r="B911" s="42" t="str">
        <f aca="false">IF(A911="100","HK",IF(A911="200","CN",IF(A911="300","TW","홀세일")))</f>
        <v>홀세일</v>
      </c>
      <c r="C911" s="45" t="s">
        <v>1326</v>
      </c>
      <c r="D911" s="46" t="n">
        <v>20</v>
      </c>
      <c r="E911" s="46" t="n">
        <v>199000</v>
      </c>
      <c r="F911" s="46" t="n">
        <v>64200</v>
      </c>
      <c r="G911" s="42" t="n">
        <v>3.85</v>
      </c>
      <c r="H911" s="42" t="n">
        <v>49.8</v>
      </c>
      <c r="I911" s="42" t="n">
        <v>0</v>
      </c>
      <c r="J911" s="46" t="n">
        <f aca="false">IF(N(E911)&gt;0,E911,IF(N(F911)&gt;0,F911*요약!$F$27,0))</f>
        <v>199000</v>
      </c>
      <c r="K911" s="46" t="n">
        <f aca="false">IF(N(F911)&gt;0,F911,IF(N(E911)&gt;0,E911/요약!$F$27,0))</f>
        <v>64200</v>
      </c>
      <c r="L911" s="46" t="n">
        <f aca="false">IF(B911="CN",IF(N(I911)&gt;0,I911*요약!$G$27,K911*(1+요약!$E$27)),IF(N(H911)&gt;0,H911*요약!$G$27,J911*요약!$D$27))</f>
        <v>65736</v>
      </c>
      <c r="M911" s="46" t="n">
        <f aca="false">D911*J911</f>
        <v>3980000</v>
      </c>
      <c r="N911" s="46" t="n">
        <f aca="false">D911*K911</f>
        <v>1284000</v>
      </c>
      <c r="O911" s="46" t="n">
        <f aca="false">D911*L911</f>
        <v>1314720</v>
      </c>
      <c r="P911" s="42" t="str">
        <f aca="false">TRIM(IF(N(E911)&lt;=0,"택가보정 ","")&amp;IF(N(F911)&lt;=0,"원가보정 ","")&amp;IF(AND(B911&lt;&gt;"CN",N(H911)&lt;=0),"공급가보정 ","")&amp;IF(AND(B911="CN",N(I911)&lt;=0),"중국공급가=원가+마진 ",""))</f>
        <v/>
      </c>
      <c r="Q911" s="47" t="n">
        <f aca="false">IF(SUMIFS($W:$W,$A:$A,A911,$C:$C,C911)=0,0,SUMIFS(RAW_판매펀칭!$K:$K,RAW_판매펀칭!$P:$P,A911,RAW_판매펀칭!$I:$I,C911)*W911/SUMIFS($W:$W,$A:$A,A911,$C:$C,C911))</f>
        <v>20</v>
      </c>
      <c r="R911" s="47" t="n">
        <f aca="false">IF(OR(A911="500",A911="800",A911="810"),0,MAX(W911-Q911,0))</f>
        <v>0</v>
      </c>
      <c r="S911" s="47" t="n">
        <f aca="false">R911*L911</f>
        <v>0</v>
      </c>
      <c r="T911" s="47" t="n">
        <f aca="false">R911*J911</f>
        <v>0</v>
      </c>
      <c r="U911" s="47" t="n">
        <f aca="false">R911*K911</f>
        <v>0</v>
      </c>
      <c r="V911" s="0" t="str">
        <f aca="false">IF(COUNTIFS($A$2:A911,A911,$C$2:C911,C911,$D$2:D911,D911)&gt;1,"중복","")</f>
        <v/>
      </c>
      <c r="W911" s="0" t="n">
        <f aca="false">IF(V911="중복",0,N(D911))</f>
        <v>20</v>
      </c>
      <c r="X911" s="0" t="n">
        <f aca="false">IF(COUNTIFS($A$2:A911,A911,$C$2:C911,C911)=1,ABS(SUMIFS(RAW_발주!$D:$D,RAW_발주!$C:$C,A911,RAW_발주!$A:$A,C911)-SUMIFS($W:$W,$A:$A,A911,$C:$C,C911)),0)</f>
        <v>0</v>
      </c>
    </row>
    <row r="912" customFormat="false" ht="15" hidden="false" customHeight="true" outlineLevel="0" collapsed="false">
      <c r="A912" s="45" t="s">
        <v>1659</v>
      </c>
      <c r="B912" s="42" t="str">
        <f aca="false">IF(A912="100","HK",IF(A912="200","CN",IF(A912="300","TW","홀세일")))</f>
        <v>HK</v>
      </c>
      <c r="C912" s="45" t="s">
        <v>466</v>
      </c>
      <c r="D912" s="46" t="n">
        <v>180</v>
      </c>
      <c r="E912" s="46" t="n">
        <v>149000</v>
      </c>
      <c r="F912" s="46" t="n">
        <v>35200</v>
      </c>
      <c r="G912" s="42" t="n">
        <v>3.58</v>
      </c>
      <c r="H912" s="42" t="n">
        <v>35.1</v>
      </c>
      <c r="I912" s="42" t="n">
        <v>0</v>
      </c>
      <c r="J912" s="46" t="n">
        <f aca="false">IF(N(E912)&gt;0,E912,IF(N(F912)&gt;0,F912*요약!$F$27,0))</f>
        <v>149000</v>
      </c>
      <c r="K912" s="46" t="n">
        <f aca="false">IF(N(F912)&gt;0,F912,IF(N(E912)&gt;0,E912/요약!$F$27,0))</f>
        <v>35200</v>
      </c>
      <c r="L912" s="46" t="n">
        <f aca="false">IF(B912="CN",IF(N(I912)&gt;0,I912*요약!$G$27,K912*(1+요약!$E$27)),IF(N(H912)&gt;0,H912*요약!$G$27,J912*요약!$D$27))</f>
        <v>46332</v>
      </c>
      <c r="M912" s="46" t="n">
        <f aca="false">D912*J912</f>
        <v>26820000</v>
      </c>
      <c r="N912" s="46" t="n">
        <f aca="false">D912*K912</f>
        <v>6336000</v>
      </c>
      <c r="O912" s="46" t="n">
        <f aca="false">D912*L912</f>
        <v>8339760</v>
      </c>
      <c r="P912" s="42" t="str">
        <f aca="false">TRIM(IF(N(E912)&lt;=0,"택가보정 ","")&amp;IF(N(F912)&lt;=0,"원가보정 ","")&amp;IF(AND(B912&lt;&gt;"CN",N(H912)&lt;=0),"공급가보정 ","")&amp;IF(AND(B912="CN",N(I912)&lt;=0),"중국공급가=원가+마진 ",""))</f>
        <v/>
      </c>
      <c r="Q912" s="47" t="n">
        <f aca="false">IF(SUMIFS($W:$W,$A:$A,A912,$C:$C,C912)=0,0,SUMIFS(RAW_판매펀칭!$K:$K,RAW_판매펀칭!$P:$P,A912,RAW_판매펀칭!$I:$I,C912)*W912/SUMIFS($W:$W,$A:$A,A912,$C:$C,C912))</f>
        <v>180</v>
      </c>
      <c r="R912" s="47" t="n">
        <f aca="false">IF(OR(A912="500",A912="800",A912="810"),0,MAX(W912-Q912,0))</f>
        <v>0</v>
      </c>
      <c r="S912" s="47" t="n">
        <f aca="false">R912*L912</f>
        <v>0</v>
      </c>
      <c r="T912" s="47" t="n">
        <f aca="false">R912*J912</f>
        <v>0</v>
      </c>
      <c r="U912" s="47" t="n">
        <f aca="false">R912*K912</f>
        <v>0</v>
      </c>
      <c r="V912" s="0" t="str">
        <f aca="false">IF(COUNTIFS($A$2:A912,A912,$C$2:C912,C912,$D$2:D912,D912)&gt;1,"중복","")</f>
        <v/>
      </c>
      <c r="W912" s="0" t="n">
        <f aca="false">IF(V912="중복",0,N(D912))</f>
        <v>180</v>
      </c>
      <c r="X912" s="0" t="n">
        <f aca="false">IF(COUNTIFS($A$2:A912,A912,$C$2:C912,C912)=1,ABS(SUMIFS(RAW_발주!$D:$D,RAW_발주!$C:$C,A912,RAW_발주!$A:$A,C912)-SUMIFS($W:$W,$A:$A,A912,$C:$C,C912)),0)</f>
        <v>0</v>
      </c>
    </row>
    <row r="913" customFormat="false" ht="15" hidden="false" customHeight="true" outlineLevel="0" collapsed="false">
      <c r="A913" s="45" t="s">
        <v>1661</v>
      </c>
      <c r="B913" s="42" t="str">
        <f aca="false">IF(A913="100","HK",IF(A913="200","CN",IF(A913="300","TW","홀세일")))</f>
        <v>TW</v>
      </c>
      <c r="C913" s="45" t="s">
        <v>466</v>
      </c>
      <c r="D913" s="46" t="n">
        <v>270</v>
      </c>
      <c r="E913" s="46" t="n">
        <v>149000</v>
      </c>
      <c r="F913" s="46" t="n">
        <v>35200</v>
      </c>
      <c r="G913" s="42" t="n">
        <v>3.58</v>
      </c>
      <c r="H913" s="42" t="n">
        <v>35.1</v>
      </c>
      <c r="I913" s="42" t="n">
        <v>0</v>
      </c>
      <c r="J913" s="46" t="n">
        <f aca="false">IF(N(E913)&gt;0,E913,IF(N(F913)&gt;0,F913*요약!$F$27,0))</f>
        <v>149000</v>
      </c>
      <c r="K913" s="46" t="n">
        <f aca="false">IF(N(F913)&gt;0,F913,IF(N(E913)&gt;0,E913/요약!$F$27,0))</f>
        <v>35200</v>
      </c>
      <c r="L913" s="46" t="n">
        <f aca="false">IF(B913="CN",IF(N(I913)&gt;0,I913*요약!$G$27,K913*(1+요약!$E$27)),IF(N(H913)&gt;0,H913*요약!$G$27,J913*요약!$D$27))</f>
        <v>46332</v>
      </c>
      <c r="M913" s="46" t="n">
        <f aca="false">D913*J913</f>
        <v>40230000</v>
      </c>
      <c r="N913" s="46" t="n">
        <f aca="false">D913*K913</f>
        <v>9504000</v>
      </c>
      <c r="O913" s="46" t="n">
        <f aca="false">D913*L913</f>
        <v>12509640</v>
      </c>
      <c r="P913" s="42" t="str">
        <f aca="false">TRIM(IF(N(E913)&lt;=0,"택가보정 ","")&amp;IF(N(F913)&lt;=0,"원가보정 ","")&amp;IF(AND(B913&lt;&gt;"CN",N(H913)&lt;=0),"공급가보정 ","")&amp;IF(AND(B913="CN",N(I913)&lt;=0),"중국공급가=원가+마진 ",""))</f>
        <v/>
      </c>
      <c r="Q913" s="47" t="n">
        <f aca="false">IF(SUMIFS($W:$W,$A:$A,A913,$C:$C,C913)=0,0,SUMIFS(RAW_판매펀칭!$K:$K,RAW_판매펀칭!$P:$P,A913,RAW_판매펀칭!$I:$I,C913)*W913/SUMIFS($W:$W,$A:$A,A913,$C:$C,C913))</f>
        <v>270</v>
      </c>
      <c r="R913" s="47" t="n">
        <f aca="false">IF(OR(A913="500",A913="800",A913="810"),0,MAX(W913-Q913,0))</f>
        <v>0</v>
      </c>
      <c r="S913" s="47" t="n">
        <f aca="false">R913*L913</f>
        <v>0</v>
      </c>
      <c r="T913" s="47" t="n">
        <f aca="false">R913*J913</f>
        <v>0</v>
      </c>
      <c r="U913" s="47" t="n">
        <f aca="false">R913*K913</f>
        <v>0</v>
      </c>
      <c r="V913" s="0" t="str">
        <f aca="false">IF(COUNTIFS($A$2:A913,A913,$C$2:C913,C913,$D$2:D913,D913)&gt;1,"중복","")</f>
        <v/>
      </c>
      <c r="W913" s="0" t="n">
        <f aca="false">IF(V913="중복",0,N(D913))</f>
        <v>270</v>
      </c>
      <c r="X913" s="0" t="n">
        <f aca="false">IF(COUNTIFS($A$2:A913,A913,$C$2:C913,C913)=1,ABS(SUMIFS(RAW_발주!$D:$D,RAW_발주!$C:$C,A913,RAW_발주!$A:$A,C913)-SUMIFS($W:$W,$A:$A,A913,$C:$C,C913)),0)</f>
        <v>0</v>
      </c>
    </row>
    <row r="914" customFormat="false" ht="15" hidden="false" customHeight="true" outlineLevel="0" collapsed="false">
      <c r="A914" s="45" t="s">
        <v>1663</v>
      </c>
      <c r="B914" s="42" t="str">
        <f aca="false">IF(A914="100","HK",IF(A914="200","CN",IF(A914="300","TW","홀세일")))</f>
        <v>홀세일</v>
      </c>
      <c r="C914" s="45" t="s">
        <v>466</v>
      </c>
      <c r="D914" s="46" t="n">
        <v>40</v>
      </c>
      <c r="E914" s="46" t="n">
        <v>149000</v>
      </c>
      <c r="F914" s="46" t="n">
        <v>35200</v>
      </c>
      <c r="G914" s="42" t="n">
        <v>3.58</v>
      </c>
      <c r="H914" s="42" t="n">
        <v>35.1</v>
      </c>
      <c r="I914" s="42" t="n">
        <v>0</v>
      </c>
      <c r="J914" s="46" t="n">
        <f aca="false">IF(N(E914)&gt;0,E914,IF(N(F914)&gt;0,F914*요약!$F$27,0))</f>
        <v>149000</v>
      </c>
      <c r="K914" s="46" t="n">
        <f aca="false">IF(N(F914)&gt;0,F914,IF(N(E914)&gt;0,E914/요약!$F$27,0))</f>
        <v>35200</v>
      </c>
      <c r="L914" s="46" t="n">
        <f aca="false">IF(B914="CN",IF(N(I914)&gt;0,I914*요약!$G$27,K914*(1+요약!$E$27)),IF(N(H914)&gt;0,H914*요약!$G$27,J914*요약!$D$27))</f>
        <v>46332</v>
      </c>
      <c r="M914" s="46" t="n">
        <f aca="false">D914*J914</f>
        <v>5960000</v>
      </c>
      <c r="N914" s="46" t="n">
        <f aca="false">D914*K914</f>
        <v>1408000</v>
      </c>
      <c r="O914" s="46" t="n">
        <f aca="false">D914*L914</f>
        <v>1853280</v>
      </c>
      <c r="P914" s="42" t="str">
        <f aca="false">TRIM(IF(N(E914)&lt;=0,"택가보정 ","")&amp;IF(N(F914)&lt;=0,"원가보정 ","")&amp;IF(AND(B914&lt;&gt;"CN",N(H914)&lt;=0),"공급가보정 ","")&amp;IF(AND(B914="CN",N(I914)&lt;=0),"중국공급가=원가+마진 ",""))</f>
        <v/>
      </c>
      <c r="Q914" s="47" t="n">
        <f aca="false">IF(SUMIFS($W:$W,$A:$A,A914,$C:$C,C914)=0,0,SUMIFS(RAW_판매펀칭!$K:$K,RAW_판매펀칭!$P:$P,A914,RAW_판매펀칭!$I:$I,C914)*W914/SUMIFS($W:$W,$A:$A,A914,$C:$C,C914))</f>
        <v>40</v>
      </c>
      <c r="R914" s="47" t="n">
        <f aca="false">IF(OR(A914="500",A914="800",A914="810"),0,MAX(W914-Q914,0))</f>
        <v>0</v>
      </c>
      <c r="S914" s="47" t="n">
        <f aca="false">R914*L914</f>
        <v>0</v>
      </c>
      <c r="T914" s="47" t="n">
        <f aca="false">R914*J914</f>
        <v>0</v>
      </c>
      <c r="U914" s="47" t="n">
        <f aca="false">R914*K914</f>
        <v>0</v>
      </c>
      <c r="V914" s="0" t="str">
        <f aca="false">IF(COUNTIFS($A$2:A914,A914,$C$2:C914,C914,$D$2:D914,D914)&gt;1,"중복","")</f>
        <v/>
      </c>
      <c r="W914" s="0" t="n">
        <f aca="false">IF(V914="중복",0,N(D914))</f>
        <v>40</v>
      </c>
      <c r="X914" s="0" t="n">
        <f aca="false">IF(COUNTIFS($A$2:A914,A914,$C$2:C914,C914)=1,ABS(SUMIFS(RAW_발주!$D:$D,RAW_발주!$C:$C,A914,RAW_발주!$A:$A,C914)-SUMIFS($W:$W,$A:$A,A914,$C:$C,C914)),0)</f>
        <v>0</v>
      </c>
    </row>
    <row r="915" customFormat="false" ht="15" hidden="false" customHeight="true" outlineLevel="0" collapsed="false">
      <c r="A915" s="45" t="s">
        <v>1664</v>
      </c>
      <c r="B915" s="42" t="str">
        <f aca="false">IF(A915="100","HK",IF(A915="200","CN",IF(A915="300","TW","홀세일")))</f>
        <v>홀세일</v>
      </c>
      <c r="C915" s="45" t="s">
        <v>466</v>
      </c>
      <c r="D915" s="46" t="n">
        <v>30</v>
      </c>
      <c r="E915" s="46" t="n">
        <v>149000</v>
      </c>
      <c r="F915" s="46" t="n">
        <v>35200</v>
      </c>
      <c r="G915" s="42" t="n">
        <v>3.58</v>
      </c>
      <c r="H915" s="42" t="n">
        <v>35.1</v>
      </c>
      <c r="I915" s="42" t="n">
        <v>0</v>
      </c>
      <c r="J915" s="46" t="n">
        <f aca="false">IF(N(E915)&gt;0,E915,IF(N(F915)&gt;0,F915*요약!$F$27,0))</f>
        <v>149000</v>
      </c>
      <c r="K915" s="46" t="n">
        <f aca="false">IF(N(F915)&gt;0,F915,IF(N(E915)&gt;0,E915/요약!$F$27,0))</f>
        <v>35200</v>
      </c>
      <c r="L915" s="46" t="n">
        <f aca="false">IF(B915="CN",IF(N(I915)&gt;0,I915*요약!$G$27,K915*(1+요약!$E$27)),IF(N(H915)&gt;0,H915*요약!$G$27,J915*요약!$D$27))</f>
        <v>46332</v>
      </c>
      <c r="M915" s="46" t="n">
        <f aca="false">D915*J915</f>
        <v>4470000</v>
      </c>
      <c r="N915" s="46" t="n">
        <f aca="false">D915*K915</f>
        <v>1056000</v>
      </c>
      <c r="O915" s="46" t="n">
        <f aca="false">D915*L915</f>
        <v>1389960</v>
      </c>
      <c r="P915" s="42" t="str">
        <f aca="false">TRIM(IF(N(E915)&lt;=0,"택가보정 ","")&amp;IF(N(F915)&lt;=0,"원가보정 ","")&amp;IF(AND(B915&lt;&gt;"CN",N(H915)&lt;=0),"공급가보정 ","")&amp;IF(AND(B915="CN",N(I915)&lt;=0),"중국공급가=원가+마진 ",""))</f>
        <v/>
      </c>
      <c r="Q915" s="47" t="n">
        <f aca="false">IF(SUMIFS($W:$W,$A:$A,A915,$C:$C,C915)=0,0,SUMIFS(RAW_판매펀칭!$K:$K,RAW_판매펀칭!$P:$P,A915,RAW_판매펀칭!$I:$I,C915)*W915/SUMIFS($W:$W,$A:$A,A915,$C:$C,C915))</f>
        <v>0</v>
      </c>
      <c r="R915" s="47" t="n">
        <f aca="false">IF(OR(A915="500",A915="800",A915="810"),0,MAX(W915-Q915,0))</f>
        <v>0</v>
      </c>
      <c r="S915" s="47" t="n">
        <f aca="false">R915*L915</f>
        <v>0</v>
      </c>
      <c r="T915" s="47" t="n">
        <f aca="false">R915*J915</f>
        <v>0</v>
      </c>
      <c r="U915" s="47" t="n">
        <f aca="false">R915*K915</f>
        <v>0</v>
      </c>
      <c r="V915" s="0" t="str">
        <f aca="false">IF(COUNTIFS($A$2:A915,A915,$C$2:C915,C915,$D$2:D915,D915)&gt;1,"중복","")</f>
        <v/>
      </c>
      <c r="W915" s="0" t="n">
        <f aca="false">IF(V915="중복",0,N(D915))</f>
        <v>30</v>
      </c>
      <c r="X915" s="0" t="n">
        <f aca="false">IF(COUNTIFS($A$2:A915,A915,$C$2:C915,C915)=1,ABS(SUMIFS(RAW_발주!$D:$D,RAW_발주!$C:$C,A915,RAW_발주!$A:$A,C915)-SUMIFS($W:$W,$A:$A,A915,$C:$C,C915)),0)</f>
        <v>0</v>
      </c>
    </row>
    <row r="916" customFormat="false" ht="15" hidden="false" customHeight="true" outlineLevel="0" collapsed="false">
      <c r="A916" s="45" t="s">
        <v>1659</v>
      </c>
      <c r="B916" s="42" t="str">
        <f aca="false">IF(A916="100","HK",IF(A916="200","CN",IF(A916="300","TW","홀세일")))</f>
        <v>HK</v>
      </c>
      <c r="C916" s="45" t="s">
        <v>468</v>
      </c>
      <c r="D916" s="46" t="n">
        <v>100</v>
      </c>
      <c r="E916" s="46" t="n">
        <v>189000</v>
      </c>
      <c r="F916" s="46" t="n">
        <v>41200</v>
      </c>
      <c r="G916" s="42" t="n">
        <v>3.74</v>
      </c>
      <c r="H916" s="42" t="n">
        <v>44.5</v>
      </c>
      <c r="I916" s="42" t="n">
        <v>0</v>
      </c>
      <c r="J916" s="46" t="n">
        <f aca="false">IF(N(E916)&gt;0,E916,IF(N(F916)&gt;0,F916*요약!$F$27,0))</f>
        <v>189000</v>
      </c>
      <c r="K916" s="46" t="n">
        <f aca="false">IF(N(F916)&gt;0,F916,IF(N(E916)&gt;0,E916/요약!$F$27,0))</f>
        <v>41200</v>
      </c>
      <c r="L916" s="46" t="n">
        <f aca="false">IF(B916="CN",IF(N(I916)&gt;0,I916*요약!$G$27,K916*(1+요약!$E$27)),IF(N(H916)&gt;0,H916*요약!$G$27,J916*요약!$D$27))</f>
        <v>58740</v>
      </c>
      <c r="M916" s="46" t="n">
        <f aca="false">D916*J916</f>
        <v>18900000</v>
      </c>
      <c r="N916" s="46" t="n">
        <f aca="false">D916*K916</f>
        <v>4120000</v>
      </c>
      <c r="O916" s="46" t="n">
        <f aca="false">D916*L916</f>
        <v>5874000</v>
      </c>
      <c r="P916" s="42" t="str">
        <f aca="false">TRIM(IF(N(E916)&lt;=0,"택가보정 ","")&amp;IF(N(F916)&lt;=0,"원가보정 ","")&amp;IF(AND(B916&lt;&gt;"CN",N(H916)&lt;=0),"공급가보정 ","")&amp;IF(AND(B916="CN",N(I916)&lt;=0),"중국공급가=원가+마진 ",""))</f>
        <v/>
      </c>
      <c r="Q916" s="47" t="n">
        <f aca="false">IF(SUMIFS($W:$W,$A:$A,A916,$C:$C,C916)=0,0,SUMIFS(RAW_판매펀칭!$K:$K,RAW_판매펀칭!$P:$P,A916,RAW_판매펀칭!$I:$I,C916)*W916/SUMIFS($W:$W,$A:$A,A916,$C:$C,C916))</f>
        <v>100</v>
      </c>
      <c r="R916" s="47" t="n">
        <f aca="false">IF(OR(A916="500",A916="800",A916="810"),0,MAX(W916-Q916,0))</f>
        <v>0</v>
      </c>
      <c r="S916" s="47" t="n">
        <f aca="false">R916*L916</f>
        <v>0</v>
      </c>
      <c r="T916" s="47" t="n">
        <f aca="false">R916*J916</f>
        <v>0</v>
      </c>
      <c r="U916" s="47" t="n">
        <f aca="false">R916*K916</f>
        <v>0</v>
      </c>
      <c r="V916" s="0" t="str">
        <f aca="false">IF(COUNTIFS($A$2:A916,A916,$C$2:C916,C916,$D$2:D916,D916)&gt;1,"중복","")</f>
        <v/>
      </c>
      <c r="W916" s="0" t="n">
        <f aca="false">IF(V916="중복",0,N(D916))</f>
        <v>100</v>
      </c>
      <c r="X916" s="0" t="n">
        <f aca="false">IF(COUNTIFS($A$2:A916,A916,$C$2:C916,C916)=1,ABS(SUMIFS(RAW_발주!$D:$D,RAW_발주!$C:$C,A916,RAW_발주!$A:$A,C916)-SUMIFS($W:$W,$A:$A,A916,$C:$C,C916)),0)</f>
        <v>0</v>
      </c>
    </row>
    <row r="917" customFormat="false" ht="15" hidden="false" customHeight="true" outlineLevel="0" collapsed="false">
      <c r="A917" s="45" t="s">
        <v>1661</v>
      </c>
      <c r="B917" s="42" t="str">
        <f aca="false">IF(A917="100","HK",IF(A917="200","CN",IF(A917="300","TW","홀세일")))</f>
        <v>TW</v>
      </c>
      <c r="C917" s="45" t="s">
        <v>468</v>
      </c>
      <c r="D917" s="46" t="n">
        <v>280</v>
      </c>
      <c r="E917" s="46" t="n">
        <v>189000</v>
      </c>
      <c r="F917" s="46" t="n">
        <v>41200</v>
      </c>
      <c r="G917" s="42" t="n">
        <v>3.74</v>
      </c>
      <c r="H917" s="42" t="n">
        <v>44.5</v>
      </c>
      <c r="I917" s="42" t="n">
        <v>0</v>
      </c>
      <c r="J917" s="46" t="n">
        <f aca="false">IF(N(E917)&gt;0,E917,IF(N(F917)&gt;0,F917*요약!$F$27,0))</f>
        <v>189000</v>
      </c>
      <c r="K917" s="46" t="n">
        <f aca="false">IF(N(F917)&gt;0,F917,IF(N(E917)&gt;0,E917/요약!$F$27,0))</f>
        <v>41200</v>
      </c>
      <c r="L917" s="46" t="n">
        <f aca="false">IF(B917="CN",IF(N(I917)&gt;0,I917*요약!$G$27,K917*(1+요약!$E$27)),IF(N(H917)&gt;0,H917*요약!$G$27,J917*요약!$D$27))</f>
        <v>58740</v>
      </c>
      <c r="M917" s="46" t="n">
        <f aca="false">D917*J917</f>
        <v>52920000</v>
      </c>
      <c r="N917" s="46" t="n">
        <f aca="false">D917*K917</f>
        <v>11536000</v>
      </c>
      <c r="O917" s="46" t="n">
        <f aca="false">D917*L917</f>
        <v>16447200</v>
      </c>
      <c r="P917" s="42" t="str">
        <f aca="false">TRIM(IF(N(E917)&lt;=0,"택가보정 ","")&amp;IF(N(F917)&lt;=0,"원가보정 ","")&amp;IF(AND(B917&lt;&gt;"CN",N(H917)&lt;=0),"공급가보정 ","")&amp;IF(AND(B917="CN",N(I917)&lt;=0),"중국공급가=원가+마진 ",""))</f>
        <v/>
      </c>
      <c r="Q917" s="47" t="n">
        <f aca="false">IF(SUMIFS($W:$W,$A:$A,A917,$C:$C,C917)=0,0,SUMIFS(RAW_판매펀칭!$K:$K,RAW_판매펀칭!$P:$P,A917,RAW_판매펀칭!$I:$I,C917)*W917/SUMIFS($W:$W,$A:$A,A917,$C:$C,C917))</f>
        <v>280</v>
      </c>
      <c r="R917" s="47" t="n">
        <f aca="false">IF(OR(A917="500",A917="800",A917="810"),0,MAX(W917-Q917,0))</f>
        <v>0</v>
      </c>
      <c r="S917" s="47" t="n">
        <f aca="false">R917*L917</f>
        <v>0</v>
      </c>
      <c r="T917" s="47" t="n">
        <f aca="false">R917*J917</f>
        <v>0</v>
      </c>
      <c r="U917" s="47" t="n">
        <f aca="false">R917*K917</f>
        <v>0</v>
      </c>
      <c r="V917" s="0" t="str">
        <f aca="false">IF(COUNTIFS($A$2:A917,A917,$C$2:C917,C917,$D$2:D917,D917)&gt;1,"중복","")</f>
        <v/>
      </c>
      <c r="W917" s="0" t="n">
        <f aca="false">IF(V917="중복",0,N(D917))</f>
        <v>280</v>
      </c>
      <c r="X917" s="0" t="n">
        <f aca="false">IF(COUNTIFS($A$2:A917,A917,$C$2:C917,C917)=1,ABS(SUMIFS(RAW_발주!$D:$D,RAW_발주!$C:$C,A917,RAW_발주!$A:$A,C917)-SUMIFS($W:$W,$A:$A,A917,$C:$C,C917)),0)</f>
        <v>0</v>
      </c>
    </row>
    <row r="918" customFormat="false" ht="15" hidden="false" customHeight="true" outlineLevel="0" collapsed="false">
      <c r="A918" s="45" t="s">
        <v>1663</v>
      </c>
      <c r="B918" s="42" t="str">
        <f aca="false">IF(A918="100","HK",IF(A918="200","CN",IF(A918="300","TW","홀세일")))</f>
        <v>홀세일</v>
      </c>
      <c r="C918" s="45" t="s">
        <v>468</v>
      </c>
      <c r="D918" s="46" t="n">
        <v>60</v>
      </c>
      <c r="E918" s="46" t="n">
        <v>189000</v>
      </c>
      <c r="F918" s="46" t="n">
        <v>41200</v>
      </c>
      <c r="G918" s="42" t="n">
        <v>3.74</v>
      </c>
      <c r="H918" s="42" t="n">
        <v>44.5</v>
      </c>
      <c r="I918" s="42" t="n">
        <v>0</v>
      </c>
      <c r="J918" s="46" t="n">
        <f aca="false">IF(N(E918)&gt;0,E918,IF(N(F918)&gt;0,F918*요약!$F$27,0))</f>
        <v>189000</v>
      </c>
      <c r="K918" s="46" t="n">
        <f aca="false">IF(N(F918)&gt;0,F918,IF(N(E918)&gt;0,E918/요약!$F$27,0))</f>
        <v>41200</v>
      </c>
      <c r="L918" s="46" t="n">
        <f aca="false">IF(B918="CN",IF(N(I918)&gt;0,I918*요약!$G$27,K918*(1+요약!$E$27)),IF(N(H918)&gt;0,H918*요약!$G$27,J918*요약!$D$27))</f>
        <v>58740</v>
      </c>
      <c r="M918" s="46" t="n">
        <f aca="false">D918*J918</f>
        <v>11340000</v>
      </c>
      <c r="N918" s="46" t="n">
        <f aca="false">D918*K918</f>
        <v>2472000</v>
      </c>
      <c r="O918" s="46" t="n">
        <f aca="false">D918*L918</f>
        <v>3524400</v>
      </c>
      <c r="P918" s="42" t="str">
        <f aca="false">TRIM(IF(N(E918)&lt;=0,"택가보정 ","")&amp;IF(N(F918)&lt;=0,"원가보정 ","")&amp;IF(AND(B918&lt;&gt;"CN",N(H918)&lt;=0),"공급가보정 ","")&amp;IF(AND(B918="CN",N(I918)&lt;=0),"중국공급가=원가+마진 ",""))</f>
        <v/>
      </c>
      <c r="Q918" s="47" t="n">
        <f aca="false">IF(SUMIFS($W:$W,$A:$A,A918,$C:$C,C918)=0,0,SUMIFS(RAW_판매펀칭!$K:$K,RAW_판매펀칭!$P:$P,A918,RAW_판매펀칭!$I:$I,C918)*W918/SUMIFS($W:$W,$A:$A,A918,$C:$C,C918))</f>
        <v>60</v>
      </c>
      <c r="R918" s="47" t="n">
        <f aca="false">IF(OR(A918="500",A918="800",A918="810"),0,MAX(W918-Q918,0))</f>
        <v>0</v>
      </c>
      <c r="S918" s="47" t="n">
        <f aca="false">R918*L918</f>
        <v>0</v>
      </c>
      <c r="T918" s="47" t="n">
        <f aca="false">R918*J918</f>
        <v>0</v>
      </c>
      <c r="U918" s="47" t="n">
        <f aca="false">R918*K918</f>
        <v>0</v>
      </c>
      <c r="V918" s="0" t="str">
        <f aca="false">IF(COUNTIFS($A$2:A918,A918,$C$2:C918,C918,$D$2:D918,D918)&gt;1,"중복","")</f>
        <v/>
      </c>
      <c r="W918" s="0" t="n">
        <f aca="false">IF(V918="중복",0,N(D918))</f>
        <v>60</v>
      </c>
      <c r="X918" s="0" t="n">
        <f aca="false">IF(COUNTIFS($A$2:A918,A918,$C$2:C918,C918)=1,ABS(SUMIFS(RAW_발주!$D:$D,RAW_발주!$C:$C,A918,RAW_발주!$A:$A,C918)-SUMIFS($W:$W,$A:$A,A918,$C:$C,C918)),0)</f>
        <v>0</v>
      </c>
    </row>
    <row r="919" customFormat="false" ht="15" hidden="false" customHeight="true" outlineLevel="0" collapsed="false">
      <c r="A919" s="45" t="s">
        <v>1663</v>
      </c>
      <c r="B919" s="42" t="str">
        <f aca="false">IF(A919="100","HK",IF(A919="200","CN",IF(A919="300","TW","홀세일")))</f>
        <v>홀세일</v>
      </c>
      <c r="C919" s="45" t="s">
        <v>1328</v>
      </c>
      <c r="D919" s="46" t="n">
        <v>20</v>
      </c>
      <c r="E919" s="46" t="n">
        <v>199000</v>
      </c>
      <c r="F919" s="46" t="n">
        <v>64200</v>
      </c>
      <c r="G919" s="42" t="n">
        <v>3.89</v>
      </c>
      <c r="H919" s="42" t="n">
        <v>46.8</v>
      </c>
      <c r="I919" s="42" t="n">
        <v>0</v>
      </c>
      <c r="J919" s="46" t="n">
        <f aca="false">IF(N(E919)&gt;0,E919,IF(N(F919)&gt;0,F919*요약!$F$27,0))</f>
        <v>199000</v>
      </c>
      <c r="K919" s="46" t="n">
        <f aca="false">IF(N(F919)&gt;0,F919,IF(N(E919)&gt;0,E919/요약!$F$27,0))</f>
        <v>64200</v>
      </c>
      <c r="L919" s="46" t="n">
        <f aca="false">IF(B919="CN",IF(N(I919)&gt;0,I919*요약!$G$27,K919*(1+요약!$E$27)),IF(N(H919)&gt;0,H919*요약!$G$27,J919*요약!$D$27))</f>
        <v>61776</v>
      </c>
      <c r="M919" s="46" t="n">
        <f aca="false">D919*J919</f>
        <v>3980000</v>
      </c>
      <c r="N919" s="46" t="n">
        <f aca="false">D919*K919</f>
        <v>1284000</v>
      </c>
      <c r="O919" s="46" t="n">
        <f aca="false">D919*L919</f>
        <v>1235520</v>
      </c>
      <c r="P919" s="42" t="str">
        <f aca="false">TRIM(IF(N(E919)&lt;=0,"택가보정 ","")&amp;IF(N(F919)&lt;=0,"원가보정 ","")&amp;IF(AND(B919&lt;&gt;"CN",N(H919)&lt;=0),"공급가보정 ","")&amp;IF(AND(B919="CN",N(I919)&lt;=0),"중국공급가=원가+마진 ",""))</f>
        <v/>
      </c>
      <c r="Q919" s="47" t="n">
        <f aca="false">IF(SUMIFS($W:$W,$A:$A,A919,$C:$C,C919)=0,0,SUMIFS(RAW_판매펀칭!$K:$K,RAW_판매펀칭!$P:$P,A919,RAW_판매펀칭!$I:$I,C919)*W919/SUMIFS($W:$W,$A:$A,A919,$C:$C,C919))</f>
        <v>20</v>
      </c>
      <c r="R919" s="47" t="n">
        <f aca="false">IF(OR(A919="500",A919="800",A919="810"),0,MAX(W919-Q919,0))</f>
        <v>0</v>
      </c>
      <c r="S919" s="47" t="n">
        <f aca="false">R919*L919</f>
        <v>0</v>
      </c>
      <c r="T919" s="47" t="n">
        <f aca="false">R919*J919</f>
        <v>0</v>
      </c>
      <c r="U919" s="47" t="n">
        <f aca="false">R919*K919</f>
        <v>0</v>
      </c>
      <c r="V919" s="0" t="str">
        <f aca="false">IF(COUNTIFS($A$2:A919,A919,$C$2:C919,C919,$D$2:D919,D919)&gt;1,"중복","")</f>
        <v/>
      </c>
      <c r="W919" s="0" t="n">
        <f aca="false">IF(V919="중복",0,N(D919))</f>
        <v>20</v>
      </c>
      <c r="X919" s="0" t="n">
        <f aca="false">IF(COUNTIFS($A$2:A919,A919,$C$2:C919,C919)=1,ABS(SUMIFS(RAW_발주!$D:$D,RAW_발주!$C:$C,A919,RAW_발주!$A:$A,C919)-SUMIFS($W:$W,$A:$A,A919,$C:$C,C919)),0)</f>
        <v>0</v>
      </c>
    </row>
    <row r="920" customFormat="false" ht="15" hidden="false" customHeight="true" outlineLevel="0" collapsed="false">
      <c r="A920" s="45" t="s">
        <v>1659</v>
      </c>
      <c r="B920" s="42" t="str">
        <f aca="false">IF(A920="100","HK",IF(A920="200","CN",IF(A920="300","TW","홀세일")))</f>
        <v>HK</v>
      </c>
      <c r="C920" s="45" t="s">
        <v>470</v>
      </c>
      <c r="D920" s="46" t="n">
        <v>180</v>
      </c>
      <c r="E920" s="46" t="n">
        <v>79000</v>
      </c>
      <c r="F920" s="46" t="n">
        <v>15000</v>
      </c>
      <c r="G920" s="42" t="n">
        <v>3.73</v>
      </c>
      <c r="H920" s="42" t="n">
        <v>18.6</v>
      </c>
      <c r="I920" s="42" t="n">
        <v>0</v>
      </c>
      <c r="J920" s="46" t="n">
        <f aca="false">IF(N(E920)&gt;0,E920,IF(N(F920)&gt;0,F920*요약!$F$27,0))</f>
        <v>79000</v>
      </c>
      <c r="K920" s="46" t="n">
        <f aca="false">IF(N(F920)&gt;0,F920,IF(N(E920)&gt;0,E920/요약!$F$27,0))</f>
        <v>15000</v>
      </c>
      <c r="L920" s="46" t="n">
        <f aca="false">IF(B920="CN",IF(N(I920)&gt;0,I920*요약!$G$27,K920*(1+요약!$E$27)),IF(N(H920)&gt;0,H920*요약!$G$27,J920*요약!$D$27))</f>
        <v>24552</v>
      </c>
      <c r="M920" s="46" t="n">
        <f aca="false">D920*J920</f>
        <v>14220000</v>
      </c>
      <c r="N920" s="46" t="n">
        <f aca="false">D920*K920</f>
        <v>2700000</v>
      </c>
      <c r="O920" s="46" t="n">
        <f aca="false">D920*L920</f>
        <v>4419360</v>
      </c>
      <c r="P920" s="42" t="str">
        <f aca="false">TRIM(IF(N(E920)&lt;=0,"택가보정 ","")&amp;IF(N(F920)&lt;=0,"원가보정 ","")&amp;IF(AND(B920&lt;&gt;"CN",N(H920)&lt;=0),"공급가보정 ","")&amp;IF(AND(B920="CN",N(I920)&lt;=0),"중국공급가=원가+마진 ",""))</f>
        <v/>
      </c>
      <c r="Q920" s="47" t="n">
        <f aca="false">IF(SUMIFS($W:$W,$A:$A,A920,$C:$C,C920)=0,0,SUMIFS(RAW_판매펀칭!$K:$K,RAW_판매펀칭!$P:$P,A920,RAW_판매펀칭!$I:$I,C920)*W920/SUMIFS($W:$W,$A:$A,A920,$C:$C,C920))</f>
        <v>180</v>
      </c>
      <c r="R920" s="47" t="n">
        <f aca="false">IF(OR(A920="500",A920="800",A920="810"),0,MAX(W920-Q920,0))</f>
        <v>0</v>
      </c>
      <c r="S920" s="47" t="n">
        <f aca="false">R920*L920</f>
        <v>0</v>
      </c>
      <c r="T920" s="47" t="n">
        <f aca="false">R920*J920</f>
        <v>0</v>
      </c>
      <c r="U920" s="47" t="n">
        <f aca="false">R920*K920</f>
        <v>0</v>
      </c>
      <c r="V920" s="0" t="str">
        <f aca="false">IF(COUNTIFS($A$2:A920,A920,$C$2:C920,C920,$D$2:D920,D920)&gt;1,"중복","")</f>
        <v/>
      </c>
      <c r="W920" s="0" t="n">
        <f aca="false">IF(V920="중복",0,N(D920))</f>
        <v>180</v>
      </c>
      <c r="X920" s="0" t="n">
        <f aca="false">IF(COUNTIFS($A$2:A920,A920,$C$2:C920,C920)=1,ABS(SUMIFS(RAW_발주!$D:$D,RAW_발주!$C:$C,A920,RAW_발주!$A:$A,C920)-SUMIFS($W:$W,$A:$A,A920,$C:$C,C920)),0)</f>
        <v>0</v>
      </c>
    </row>
    <row r="921" customFormat="false" ht="15" hidden="false" customHeight="true" outlineLevel="0" collapsed="false">
      <c r="A921" s="45" t="s">
        <v>1661</v>
      </c>
      <c r="B921" s="42" t="str">
        <f aca="false">IF(A921="100","HK",IF(A921="200","CN",IF(A921="300","TW","홀세일")))</f>
        <v>TW</v>
      </c>
      <c r="C921" s="45" t="s">
        <v>470</v>
      </c>
      <c r="D921" s="46" t="n">
        <v>290</v>
      </c>
      <c r="E921" s="46" t="n">
        <v>79000</v>
      </c>
      <c r="F921" s="46" t="n">
        <v>15000</v>
      </c>
      <c r="G921" s="42" t="n">
        <v>3.73</v>
      </c>
      <c r="H921" s="42" t="n">
        <v>18.6</v>
      </c>
      <c r="I921" s="42" t="n">
        <v>0</v>
      </c>
      <c r="J921" s="46" t="n">
        <f aca="false">IF(N(E921)&gt;0,E921,IF(N(F921)&gt;0,F921*요약!$F$27,0))</f>
        <v>79000</v>
      </c>
      <c r="K921" s="46" t="n">
        <f aca="false">IF(N(F921)&gt;0,F921,IF(N(E921)&gt;0,E921/요약!$F$27,0))</f>
        <v>15000</v>
      </c>
      <c r="L921" s="46" t="n">
        <f aca="false">IF(B921="CN",IF(N(I921)&gt;0,I921*요약!$G$27,K921*(1+요약!$E$27)),IF(N(H921)&gt;0,H921*요약!$G$27,J921*요약!$D$27))</f>
        <v>24552</v>
      </c>
      <c r="M921" s="46" t="n">
        <f aca="false">D921*J921</f>
        <v>22910000</v>
      </c>
      <c r="N921" s="46" t="n">
        <f aca="false">D921*K921</f>
        <v>4350000</v>
      </c>
      <c r="O921" s="46" t="n">
        <f aca="false">D921*L921</f>
        <v>7120080</v>
      </c>
      <c r="P921" s="42" t="str">
        <f aca="false">TRIM(IF(N(E921)&lt;=0,"택가보정 ","")&amp;IF(N(F921)&lt;=0,"원가보정 ","")&amp;IF(AND(B921&lt;&gt;"CN",N(H921)&lt;=0),"공급가보정 ","")&amp;IF(AND(B921="CN",N(I921)&lt;=0),"중국공급가=원가+마진 ",""))</f>
        <v/>
      </c>
      <c r="Q921" s="47" t="n">
        <f aca="false">IF(SUMIFS($W:$W,$A:$A,A921,$C:$C,C921)=0,0,SUMIFS(RAW_판매펀칭!$K:$K,RAW_판매펀칭!$P:$P,A921,RAW_판매펀칭!$I:$I,C921)*W921/SUMIFS($W:$W,$A:$A,A921,$C:$C,C921))</f>
        <v>290</v>
      </c>
      <c r="R921" s="47" t="n">
        <f aca="false">IF(OR(A921="500",A921="800",A921="810"),0,MAX(W921-Q921,0))</f>
        <v>0</v>
      </c>
      <c r="S921" s="47" t="n">
        <f aca="false">R921*L921</f>
        <v>0</v>
      </c>
      <c r="T921" s="47" t="n">
        <f aca="false">R921*J921</f>
        <v>0</v>
      </c>
      <c r="U921" s="47" t="n">
        <f aca="false">R921*K921</f>
        <v>0</v>
      </c>
      <c r="V921" s="0" t="str">
        <f aca="false">IF(COUNTIFS($A$2:A921,A921,$C$2:C921,C921,$D$2:D921,D921)&gt;1,"중복","")</f>
        <v/>
      </c>
      <c r="W921" s="0" t="n">
        <f aca="false">IF(V921="중복",0,N(D921))</f>
        <v>290</v>
      </c>
      <c r="X921" s="0" t="n">
        <f aca="false">IF(COUNTIFS($A$2:A921,A921,$C$2:C921,C921)=1,ABS(SUMIFS(RAW_발주!$D:$D,RAW_발주!$C:$C,A921,RAW_발주!$A:$A,C921)-SUMIFS($W:$W,$A:$A,A921,$C:$C,C921)),0)</f>
        <v>0</v>
      </c>
    </row>
    <row r="922" customFormat="false" ht="15" hidden="false" customHeight="true" outlineLevel="0" collapsed="false">
      <c r="A922" s="45" t="s">
        <v>1664</v>
      </c>
      <c r="B922" s="42" t="str">
        <f aca="false">IF(A922="100","HK",IF(A922="200","CN",IF(A922="300","TW","홀세일")))</f>
        <v>홀세일</v>
      </c>
      <c r="C922" s="45" t="s">
        <v>470</v>
      </c>
      <c r="D922" s="46" t="n">
        <v>70</v>
      </c>
      <c r="E922" s="46" t="n">
        <v>79000</v>
      </c>
      <c r="F922" s="46" t="n">
        <v>15000</v>
      </c>
      <c r="G922" s="42" t="n">
        <v>3.73</v>
      </c>
      <c r="H922" s="42" t="n">
        <v>18.6</v>
      </c>
      <c r="I922" s="42" t="n">
        <v>0</v>
      </c>
      <c r="J922" s="46" t="n">
        <f aca="false">IF(N(E922)&gt;0,E922,IF(N(F922)&gt;0,F922*요약!$F$27,0))</f>
        <v>79000</v>
      </c>
      <c r="K922" s="46" t="n">
        <f aca="false">IF(N(F922)&gt;0,F922,IF(N(E922)&gt;0,E922/요약!$F$27,0))</f>
        <v>15000</v>
      </c>
      <c r="L922" s="46" t="n">
        <f aca="false">IF(B922="CN",IF(N(I922)&gt;0,I922*요약!$G$27,K922*(1+요약!$E$27)),IF(N(H922)&gt;0,H922*요약!$G$27,J922*요약!$D$27))</f>
        <v>24552</v>
      </c>
      <c r="M922" s="46" t="n">
        <f aca="false">D922*J922</f>
        <v>5530000</v>
      </c>
      <c r="N922" s="46" t="n">
        <f aca="false">D922*K922</f>
        <v>1050000</v>
      </c>
      <c r="O922" s="46" t="n">
        <f aca="false">D922*L922</f>
        <v>1718640</v>
      </c>
      <c r="P922" s="42" t="str">
        <f aca="false">TRIM(IF(N(E922)&lt;=0,"택가보정 ","")&amp;IF(N(F922)&lt;=0,"원가보정 ","")&amp;IF(AND(B922&lt;&gt;"CN",N(H922)&lt;=0),"공급가보정 ","")&amp;IF(AND(B922="CN",N(I922)&lt;=0),"중국공급가=원가+마진 ",""))</f>
        <v/>
      </c>
      <c r="Q922" s="47" t="n">
        <f aca="false">IF(SUMIFS($W:$W,$A:$A,A922,$C:$C,C922)=0,0,SUMIFS(RAW_판매펀칭!$K:$K,RAW_판매펀칭!$P:$P,A922,RAW_판매펀칭!$I:$I,C922)*W922/SUMIFS($W:$W,$A:$A,A922,$C:$C,C922))</f>
        <v>0</v>
      </c>
      <c r="R922" s="47" t="n">
        <f aca="false">IF(OR(A922="500",A922="800",A922="810"),0,MAX(W922-Q922,0))</f>
        <v>0</v>
      </c>
      <c r="S922" s="47" t="n">
        <f aca="false">R922*L922</f>
        <v>0</v>
      </c>
      <c r="T922" s="47" t="n">
        <f aca="false">R922*J922</f>
        <v>0</v>
      </c>
      <c r="U922" s="47" t="n">
        <f aca="false">R922*K922</f>
        <v>0</v>
      </c>
      <c r="V922" s="0" t="str">
        <f aca="false">IF(COUNTIFS($A$2:A922,A922,$C$2:C922,C922,$D$2:D922,D922)&gt;1,"중복","")</f>
        <v/>
      </c>
      <c r="W922" s="0" t="n">
        <f aca="false">IF(V922="중복",0,N(D922))</f>
        <v>70</v>
      </c>
      <c r="X922" s="0" t="n">
        <f aca="false">IF(COUNTIFS($A$2:A922,A922,$C$2:C922,C922)=1,ABS(SUMIFS(RAW_발주!$D:$D,RAW_발주!$C:$C,A922,RAW_발주!$A:$A,C922)-SUMIFS($W:$W,$A:$A,A922,$C:$C,C922)),0)</f>
        <v>0</v>
      </c>
    </row>
    <row r="923" customFormat="false" ht="15" hidden="false" customHeight="true" outlineLevel="0" collapsed="false">
      <c r="A923" s="45" t="s">
        <v>1659</v>
      </c>
      <c r="B923" s="42" t="str">
        <f aca="false">IF(A923="100","HK",IF(A923="200","CN",IF(A923="300","TW","홀세일")))</f>
        <v>HK</v>
      </c>
      <c r="C923" s="45" t="s">
        <v>898</v>
      </c>
      <c r="D923" s="46" t="n">
        <v>200</v>
      </c>
      <c r="E923" s="46" t="n">
        <v>109000</v>
      </c>
      <c r="F923" s="46" t="n">
        <v>24800</v>
      </c>
      <c r="G923" s="42" t="n">
        <v>3.96</v>
      </c>
      <c r="H923" s="42" t="n">
        <v>26.4</v>
      </c>
      <c r="I923" s="42" t="n">
        <v>0</v>
      </c>
      <c r="J923" s="46" t="n">
        <f aca="false">IF(N(E923)&gt;0,E923,IF(N(F923)&gt;0,F923*요약!$F$27,0))</f>
        <v>109000</v>
      </c>
      <c r="K923" s="46" t="n">
        <f aca="false">IF(N(F923)&gt;0,F923,IF(N(E923)&gt;0,E923/요약!$F$27,0))</f>
        <v>24800</v>
      </c>
      <c r="L923" s="46" t="n">
        <f aca="false">IF(B923="CN",IF(N(I923)&gt;0,I923*요약!$G$27,K923*(1+요약!$E$27)),IF(N(H923)&gt;0,H923*요약!$G$27,J923*요약!$D$27))</f>
        <v>34848</v>
      </c>
      <c r="M923" s="46" t="n">
        <f aca="false">D923*J923</f>
        <v>21800000</v>
      </c>
      <c r="N923" s="46" t="n">
        <f aca="false">D923*K923</f>
        <v>4960000</v>
      </c>
      <c r="O923" s="46" t="n">
        <f aca="false">D923*L923</f>
        <v>6969600</v>
      </c>
      <c r="P923" s="42" t="str">
        <f aca="false">TRIM(IF(N(E923)&lt;=0,"택가보정 ","")&amp;IF(N(F923)&lt;=0,"원가보정 ","")&amp;IF(AND(B923&lt;&gt;"CN",N(H923)&lt;=0),"공급가보정 ","")&amp;IF(AND(B923="CN",N(I923)&lt;=0),"중국공급가=원가+마진 ",""))</f>
        <v/>
      </c>
      <c r="Q923" s="47" t="n">
        <f aca="false">IF(SUMIFS($W:$W,$A:$A,A923,$C:$C,C923)=0,0,SUMIFS(RAW_판매펀칭!$K:$K,RAW_판매펀칭!$P:$P,A923,RAW_판매펀칭!$I:$I,C923)*W923/SUMIFS($W:$W,$A:$A,A923,$C:$C,C923))</f>
        <v>200</v>
      </c>
      <c r="R923" s="47" t="n">
        <f aca="false">IF(OR(A923="500",A923="800",A923="810"),0,MAX(W923-Q923,0))</f>
        <v>0</v>
      </c>
      <c r="S923" s="47" t="n">
        <f aca="false">R923*L923</f>
        <v>0</v>
      </c>
      <c r="T923" s="47" t="n">
        <f aca="false">R923*J923</f>
        <v>0</v>
      </c>
      <c r="U923" s="47" t="n">
        <f aca="false">R923*K923</f>
        <v>0</v>
      </c>
      <c r="V923" s="0" t="str">
        <f aca="false">IF(COUNTIFS($A$2:A923,A923,$C$2:C923,C923,$D$2:D923,D923)&gt;1,"중복","")</f>
        <v/>
      </c>
      <c r="W923" s="0" t="n">
        <f aca="false">IF(V923="중복",0,N(D923))</f>
        <v>200</v>
      </c>
      <c r="X923" s="0" t="n">
        <f aca="false">IF(COUNTIFS($A$2:A923,A923,$C$2:C923,C923)=1,ABS(SUMIFS(RAW_발주!$D:$D,RAW_발주!$C:$C,A923,RAW_발주!$A:$A,C923)-SUMIFS($W:$W,$A:$A,A923,$C:$C,C923)),0)</f>
        <v>0</v>
      </c>
    </row>
    <row r="924" customFormat="false" ht="15" hidden="false" customHeight="true" outlineLevel="0" collapsed="false">
      <c r="A924" s="45" t="s">
        <v>1659</v>
      </c>
      <c r="B924" s="42" t="str">
        <f aca="false">IF(A924="100","HK",IF(A924="200","CN",IF(A924="300","TW","홀세일")))</f>
        <v>HK</v>
      </c>
      <c r="C924" s="45" t="s">
        <v>900</v>
      </c>
      <c r="D924" s="46" t="n">
        <v>200</v>
      </c>
      <c r="E924" s="46" t="n">
        <v>69000</v>
      </c>
      <c r="F924" s="46" t="n">
        <v>14500</v>
      </c>
      <c r="G924" s="42" t="n">
        <v>3.5</v>
      </c>
      <c r="H924" s="42" t="n">
        <v>16.3</v>
      </c>
      <c r="I924" s="42" t="n">
        <v>0</v>
      </c>
      <c r="J924" s="46" t="n">
        <f aca="false">IF(N(E924)&gt;0,E924,IF(N(F924)&gt;0,F924*요약!$F$27,0))</f>
        <v>69000</v>
      </c>
      <c r="K924" s="46" t="n">
        <f aca="false">IF(N(F924)&gt;0,F924,IF(N(E924)&gt;0,E924/요약!$F$27,0))</f>
        <v>14500</v>
      </c>
      <c r="L924" s="46" t="n">
        <f aca="false">IF(B924="CN",IF(N(I924)&gt;0,I924*요약!$G$27,K924*(1+요약!$E$27)),IF(N(H924)&gt;0,H924*요약!$G$27,J924*요약!$D$27))</f>
        <v>21516</v>
      </c>
      <c r="M924" s="46" t="n">
        <f aca="false">D924*J924</f>
        <v>13800000</v>
      </c>
      <c r="N924" s="46" t="n">
        <f aca="false">D924*K924</f>
        <v>2900000</v>
      </c>
      <c r="O924" s="46" t="n">
        <f aca="false">D924*L924</f>
        <v>4303200</v>
      </c>
      <c r="P924" s="42" t="str">
        <f aca="false">TRIM(IF(N(E924)&lt;=0,"택가보정 ","")&amp;IF(N(F924)&lt;=0,"원가보정 ","")&amp;IF(AND(B924&lt;&gt;"CN",N(H924)&lt;=0),"공급가보정 ","")&amp;IF(AND(B924="CN",N(I924)&lt;=0),"중국공급가=원가+마진 ",""))</f>
        <v/>
      </c>
      <c r="Q924" s="47" t="n">
        <f aca="false">IF(SUMIFS($W:$W,$A:$A,A924,$C:$C,C924)=0,0,SUMIFS(RAW_판매펀칭!$K:$K,RAW_판매펀칭!$P:$P,A924,RAW_판매펀칭!$I:$I,C924)*W924/SUMIFS($W:$W,$A:$A,A924,$C:$C,C924))</f>
        <v>200</v>
      </c>
      <c r="R924" s="47" t="n">
        <f aca="false">IF(OR(A924="500",A924="800",A924="810"),0,MAX(W924-Q924,0))</f>
        <v>0</v>
      </c>
      <c r="S924" s="47" t="n">
        <f aca="false">R924*L924</f>
        <v>0</v>
      </c>
      <c r="T924" s="47" t="n">
        <f aca="false">R924*J924</f>
        <v>0</v>
      </c>
      <c r="U924" s="47" t="n">
        <f aca="false">R924*K924</f>
        <v>0</v>
      </c>
      <c r="V924" s="0" t="str">
        <f aca="false">IF(COUNTIFS($A$2:A924,A924,$C$2:C924,C924,$D$2:D924,D924)&gt;1,"중복","")</f>
        <v/>
      </c>
      <c r="W924" s="0" t="n">
        <f aca="false">IF(V924="중복",0,N(D924))</f>
        <v>200</v>
      </c>
      <c r="X924" s="0" t="n">
        <f aca="false">IF(COUNTIFS($A$2:A924,A924,$C$2:C924,C924)=1,ABS(SUMIFS(RAW_발주!$D:$D,RAW_발주!$C:$C,A924,RAW_발주!$A:$A,C924)-SUMIFS($W:$W,$A:$A,A924,$C:$C,C924)),0)</f>
        <v>0</v>
      </c>
    </row>
    <row r="925" customFormat="false" ht="15" hidden="false" customHeight="true" outlineLevel="0" collapsed="false">
      <c r="A925" s="45" t="s">
        <v>1664</v>
      </c>
      <c r="B925" s="42" t="str">
        <f aca="false">IF(A925="100","HK",IF(A925="200","CN",IF(A925="300","TW","홀세일")))</f>
        <v>홀세일</v>
      </c>
      <c r="C925" s="45" t="s">
        <v>900</v>
      </c>
      <c r="D925" s="46" t="n">
        <v>80</v>
      </c>
      <c r="E925" s="46" t="n">
        <v>69000</v>
      </c>
      <c r="F925" s="46" t="n">
        <v>14500</v>
      </c>
      <c r="G925" s="42" t="n">
        <v>3.5</v>
      </c>
      <c r="H925" s="42" t="n">
        <v>16.3</v>
      </c>
      <c r="I925" s="42" t="n">
        <v>0</v>
      </c>
      <c r="J925" s="46" t="n">
        <f aca="false">IF(N(E925)&gt;0,E925,IF(N(F925)&gt;0,F925*요약!$F$27,0))</f>
        <v>69000</v>
      </c>
      <c r="K925" s="46" t="n">
        <f aca="false">IF(N(F925)&gt;0,F925,IF(N(E925)&gt;0,E925/요약!$F$27,0))</f>
        <v>14500</v>
      </c>
      <c r="L925" s="46" t="n">
        <f aca="false">IF(B925="CN",IF(N(I925)&gt;0,I925*요약!$G$27,K925*(1+요약!$E$27)),IF(N(H925)&gt;0,H925*요약!$G$27,J925*요약!$D$27))</f>
        <v>21516</v>
      </c>
      <c r="M925" s="46" t="n">
        <f aca="false">D925*J925</f>
        <v>5520000</v>
      </c>
      <c r="N925" s="46" t="n">
        <f aca="false">D925*K925</f>
        <v>1160000</v>
      </c>
      <c r="O925" s="46" t="n">
        <f aca="false">D925*L925</f>
        <v>1721280</v>
      </c>
      <c r="P925" s="42" t="str">
        <f aca="false">TRIM(IF(N(E925)&lt;=0,"택가보정 ","")&amp;IF(N(F925)&lt;=0,"원가보정 ","")&amp;IF(AND(B925&lt;&gt;"CN",N(H925)&lt;=0),"공급가보정 ","")&amp;IF(AND(B925="CN",N(I925)&lt;=0),"중국공급가=원가+마진 ",""))</f>
        <v/>
      </c>
      <c r="Q925" s="47" t="n">
        <f aca="false">IF(SUMIFS($W:$W,$A:$A,A925,$C:$C,C925)=0,0,SUMIFS(RAW_판매펀칭!$K:$K,RAW_판매펀칭!$P:$P,A925,RAW_판매펀칭!$I:$I,C925)*W925/SUMIFS($W:$W,$A:$A,A925,$C:$C,C925))</f>
        <v>0</v>
      </c>
      <c r="R925" s="47" t="n">
        <f aca="false">IF(OR(A925="500",A925="800",A925="810"),0,MAX(W925-Q925,0))</f>
        <v>0</v>
      </c>
      <c r="S925" s="47" t="n">
        <f aca="false">R925*L925</f>
        <v>0</v>
      </c>
      <c r="T925" s="47" t="n">
        <f aca="false">R925*J925</f>
        <v>0</v>
      </c>
      <c r="U925" s="47" t="n">
        <f aca="false">R925*K925</f>
        <v>0</v>
      </c>
      <c r="V925" s="0" t="str">
        <f aca="false">IF(COUNTIFS($A$2:A925,A925,$C$2:C925,C925,$D$2:D925,D925)&gt;1,"중복","")</f>
        <v/>
      </c>
      <c r="W925" s="0" t="n">
        <f aca="false">IF(V925="중복",0,N(D925))</f>
        <v>80</v>
      </c>
      <c r="X925" s="0" t="n">
        <f aca="false">IF(COUNTIFS($A$2:A925,A925,$C$2:C925,C925)=1,ABS(SUMIFS(RAW_발주!$D:$D,RAW_발주!$C:$C,A925,RAW_발주!$A:$A,C925)-SUMIFS($W:$W,$A:$A,A925,$C:$C,C925)),0)</f>
        <v>0</v>
      </c>
    </row>
    <row r="926" customFormat="false" ht="15" hidden="false" customHeight="true" outlineLevel="0" collapsed="false">
      <c r="A926" s="45" t="s">
        <v>1665</v>
      </c>
      <c r="B926" s="42" t="str">
        <f aca="false">IF(A926="100","HK",IF(A926="200","CN",IF(A926="300","TW","홀세일")))</f>
        <v>홀세일</v>
      </c>
      <c r="C926" s="45" t="s">
        <v>900</v>
      </c>
      <c r="D926" s="46" t="n">
        <v>204</v>
      </c>
      <c r="E926" s="46" t="n">
        <v>69000</v>
      </c>
      <c r="F926" s="46" t="n">
        <v>14500</v>
      </c>
      <c r="G926" s="42" t="n">
        <v>3.5</v>
      </c>
      <c r="H926" s="42" t="n">
        <v>16.3</v>
      </c>
      <c r="I926" s="42" t="n">
        <v>0</v>
      </c>
      <c r="J926" s="46" t="n">
        <f aca="false">IF(N(E926)&gt;0,E926,IF(N(F926)&gt;0,F926*요약!$F$27,0))</f>
        <v>69000</v>
      </c>
      <c r="K926" s="46" t="n">
        <f aca="false">IF(N(F926)&gt;0,F926,IF(N(E926)&gt;0,E926/요약!$F$27,0))</f>
        <v>14500</v>
      </c>
      <c r="L926" s="46" t="n">
        <f aca="false">IF(B926="CN",IF(N(I926)&gt;0,I926*요약!$G$27,K926*(1+요약!$E$27)),IF(N(H926)&gt;0,H926*요약!$G$27,J926*요약!$D$27))</f>
        <v>21516</v>
      </c>
      <c r="M926" s="46" t="n">
        <f aca="false">D926*J926</f>
        <v>14076000</v>
      </c>
      <c r="N926" s="46" t="n">
        <f aca="false">D926*K926</f>
        <v>2958000</v>
      </c>
      <c r="O926" s="46" t="n">
        <f aca="false">D926*L926</f>
        <v>4389264</v>
      </c>
      <c r="P926" s="42" t="str">
        <f aca="false">TRIM(IF(N(E926)&lt;=0,"택가보정 ","")&amp;IF(N(F926)&lt;=0,"원가보정 ","")&amp;IF(AND(B926&lt;&gt;"CN",N(H926)&lt;=0),"공급가보정 ","")&amp;IF(AND(B926="CN",N(I926)&lt;=0),"중국공급가=원가+마진 ",""))</f>
        <v/>
      </c>
      <c r="Q926" s="47" t="n">
        <f aca="false">IF(SUMIFS($W:$W,$A:$A,A926,$C:$C,C926)=0,0,SUMIFS(RAW_판매펀칭!$K:$K,RAW_판매펀칭!$P:$P,A926,RAW_판매펀칭!$I:$I,C926)*W926/SUMIFS($W:$W,$A:$A,A926,$C:$C,C926))</f>
        <v>0</v>
      </c>
      <c r="R926" s="47" t="n">
        <f aca="false">IF(OR(A926="500",A926="800",A926="810"),0,MAX(W926-Q926,0))</f>
        <v>0</v>
      </c>
      <c r="S926" s="47" t="n">
        <f aca="false">R926*L926</f>
        <v>0</v>
      </c>
      <c r="T926" s="47" t="n">
        <f aca="false">R926*J926</f>
        <v>0</v>
      </c>
      <c r="U926" s="47" t="n">
        <f aca="false">R926*K926</f>
        <v>0</v>
      </c>
      <c r="V926" s="0" t="str">
        <f aca="false">IF(COUNTIFS($A$2:A926,A926,$C$2:C926,C926,$D$2:D926,D926)&gt;1,"중복","")</f>
        <v/>
      </c>
      <c r="W926" s="0" t="n">
        <f aca="false">IF(V926="중복",0,N(D926))</f>
        <v>204</v>
      </c>
      <c r="X926" s="0" t="n">
        <f aca="false">IF(COUNTIFS($A$2:A926,A926,$C$2:C926,C926)=1,ABS(SUMIFS(RAW_발주!$D:$D,RAW_발주!$C:$C,A926,RAW_발주!$A:$A,C926)-SUMIFS($W:$W,$A:$A,A926,$C:$C,C926)),0)</f>
        <v>0</v>
      </c>
    </row>
    <row r="927" customFormat="false" ht="15" hidden="false" customHeight="true" outlineLevel="0" collapsed="false">
      <c r="A927" s="45" t="s">
        <v>1660</v>
      </c>
      <c r="B927" s="42" t="str">
        <f aca="false">IF(A927="100","HK",IF(A927="200","CN",IF(A927="300","TW","홀세일")))</f>
        <v>CN</v>
      </c>
      <c r="C927" s="45" t="s">
        <v>1065</v>
      </c>
      <c r="D927" s="46" t="n">
        <v>242</v>
      </c>
      <c r="E927" s="46" t="n">
        <v>59000</v>
      </c>
      <c r="F927" s="46" t="n">
        <v>11200</v>
      </c>
      <c r="G927" s="42" t="n">
        <v>4.58</v>
      </c>
      <c r="H927" s="42" t="n">
        <v>14.3</v>
      </c>
      <c r="I927" s="42" t="n">
        <v>9.1</v>
      </c>
      <c r="J927" s="46" t="n">
        <f aca="false">IF(N(E927)&gt;0,E927,IF(N(F927)&gt;0,F927*요약!$F$27,0))</f>
        <v>59000</v>
      </c>
      <c r="K927" s="46" t="n">
        <f aca="false">IF(N(F927)&gt;0,F927,IF(N(E927)&gt;0,E927/요약!$F$27,0))</f>
        <v>11200</v>
      </c>
      <c r="L927" s="46" t="n">
        <f aca="false">IF(B927="CN",IF(N(I927)&gt;0,I927*요약!$G$27,K927*(1+요약!$E$27)),IF(N(H927)&gt;0,H927*요약!$G$27,J927*요약!$D$27))</f>
        <v>12012</v>
      </c>
      <c r="M927" s="46" t="n">
        <f aca="false">D927*J927</f>
        <v>14278000</v>
      </c>
      <c r="N927" s="46" t="n">
        <f aca="false">D927*K927</f>
        <v>2710400</v>
      </c>
      <c r="O927" s="46" t="n">
        <f aca="false">D927*L927</f>
        <v>2906904</v>
      </c>
      <c r="P927" s="42" t="str">
        <f aca="false">TRIM(IF(N(E927)&lt;=0,"택가보정 ","")&amp;IF(N(F927)&lt;=0,"원가보정 ","")&amp;IF(AND(B927&lt;&gt;"CN",N(H927)&lt;=0),"공급가보정 ","")&amp;IF(AND(B927="CN",N(I927)&lt;=0),"중국공급가=원가+마진 ",""))</f>
        <v/>
      </c>
      <c r="Q927" s="47" t="n">
        <f aca="false">IF(SUMIFS($W:$W,$A:$A,A927,$C:$C,C927)=0,0,SUMIFS(RAW_판매펀칭!$K:$K,RAW_판매펀칭!$P:$P,A927,RAW_판매펀칭!$I:$I,C927)*W927/SUMIFS($W:$W,$A:$A,A927,$C:$C,C927))</f>
        <v>229</v>
      </c>
      <c r="R927" s="47" t="n">
        <f aca="false">IF(OR(A927="500",A927="800",A927="810"),0,MAX(W927-Q927,0))</f>
        <v>13</v>
      </c>
      <c r="S927" s="47" t="n">
        <f aca="false">R927*L927</f>
        <v>156156</v>
      </c>
      <c r="T927" s="47" t="n">
        <f aca="false">R927*J927</f>
        <v>767000</v>
      </c>
      <c r="U927" s="47" t="n">
        <f aca="false">R927*K927</f>
        <v>145600</v>
      </c>
      <c r="V927" s="0" t="str">
        <f aca="false">IF(COUNTIFS($A$2:A927,A927,$C$2:C927,C927,$D$2:D927,D927)&gt;1,"중복","")</f>
        <v/>
      </c>
      <c r="W927" s="0" t="n">
        <f aca="false">IF(V927="중복",0,N(D927))</f>
        <v>242</v>
      </c>
      <c r="X927" s="0" t="n">
        <f aca="false">IF(COUNTIFS($A$2:A927,A927,$C$2:C927,C927)=1,ABS(SUMIFS(RAW_발주!$D:$D,RAW_발주!$C:$C,A927,RAW_발주!$A:$A,C927)-SUMIFS($W:$W,$A:$A,A927,$C:$C,C927)),0)</f>
        <v>0</v>
      </c>
    </row>
    <row r="928" customFormat="false" ht="15" hidden="false" customHeight="true" outlineLevel="0" collapsed="false">
      <c r="A928" s="45" t="s">
        <v>1659</v>
      </c>
      <c r="B928" s="42" t="str">
        <f aca="false">IF(A928="100","HK",IF(A928="200","CN",IF(A928="300","TW","홀세일")))</f>
        <v>HK</v>
      </c>
      <c r="C928" s="45" t="s">
        <v>472</v>
      </c>
      <c r="D928" s="46" t="n">
        <v>350</v>
      </c>
      <c r="E928" s="46" t="n">
        <v>59000</v>
      </c>
      <c r="F928" s="46" t="n">
        <v>13700</v>
      </c>
      <c r="G928" s="42" t="n">
        <v>4.09</v>
      </c>
      <c r="H928" s="42" t="n">
        <v>13.9</v>
      </c>
      <c r="I928" s="42" t="n">
        <v>11.4</v>
      </c>
      <c r="J928" s="46" t="n">
        <f aca="false">IF(N(E928)&gt;0,E928,IF(N(F928)&gt;0,F928*요약!$F$27,0))</f>
        <v>59000</v>
      </c>
      <c r="K928" s="46" t="n">
        <f aca="false">IF(N(F928)&gt;0,F928,IF(N(E928)&gt;0,E928/요약!$F$27,0))</f>
        <v>13700</v>
      </c>
      <c r="L928" s="46" t="n">
        <f aca="false">IF(B928="CN",IF(N(I928)&gt;0,I928*요약!$G$27,K928*(1+요약!$E$27)),IF(N(H928)&gt;0,H928*요약!$G$27,J928*요약!$D$27))</f>
        <v>18348</v>
      </c>
      <c r="M928" s="46" t="n">
        <f aca="false">D928*J928</f>
        <v>20650000</v>
      </c>
      <c r="N928" s="46" t="n">
        <f aca="false">D928*K928</f>
        <v>4795000</v>
      </c>
      <c r="O928" s="46" t="n">
        <f aca="false">D928*L928</f>
        <v>6421800</v>
      </c>
      <c r="P928" s="42" t="str">
        <f aca="false">TRIM(IF(N(E928)&lt;=0,"택가보정 ","")&amp;IF(N(F928)&lt;=0,"원가보정 ","")&amp;IF(AND(B928&lt;&gt;"CN",N(H928)&lt;=0),"공급가보정 ","")&amp;IF(AND(B928="CN",N(I928)&lt;=0),"중국공급가=원가+마진 ",""))</f>
        <v/>
      </c>
      <c r="Q928" s="47" t="n">
        <f aca="false">IF(SUMIFS($W:$W,$A:$A,A928,$C:$C,C928)=0,0,SUMIFS(RAW_판매펀칭!$K:$K,RAW_판매펀칭!$P:$P,A928,RAW_판매펀칭!$I:$I,C928)*W928/SUMIFS($W:$W,$A:$A,A928,$C:$C,C928))</f>
        <v>350</v>
      </c>
      <c r="R928" s="47" t="n">
        <f aca="false">IF(OR(A928="500",A928="800",A928="810"),0,MAX(W928-Q928,0))</f>
        <v>0</v>
      </c>
      <c r="S928" s="47" t="n">
        <f aca="false">R928*L928</f>
        <v>0</v>
      </c>
      <c r="T928" s="47" t="n">
        <f aca="false">R928*J928</f>
        <v>0</v>
      </c>
      <c r="U928" s="47" t="n">
        <f aca="false">R928*K928</f>
        <v>0</v>
      </c>
      <c r="V928" s="0" t="str">
        <f aca="false">IF(COUNTIFS($A$2:A928,A928,$C$2:C928,C928,$D$2:D928,D928)&gt;1,"중복","")</f>
        <v/>
      </c>
      <c r="W928" s="0" t="n">
        <f aca="false">IF(V928="중복",0,N(D928))</f>
        <v>350</v>
      </c>
      <c r="X928" s="0" t="n">
        <f aca="false">IF(COUNTIFS($A$2:A928,A928,$C$2:C928,C928)=1,ABS(SUMIFS(RAW_발주!$D:$D,RAW_발주!$C:$C,A928,RAW_발주!$A:$A,C928)-SUMIFS($W:$W,$A:$A,A928,$C:$C,C928)),0)</f>
        <v>0</v>
      </c>
    </row>
    <row r="929" customFormat="false" ht="15" hidden="false" customHeight="true" outlineLevel="0" collapsed="false">
      <c r="A929" s="45" t="s">
        <v>1660</v>
      </c>
      <c r="B929" s="42" t="str">
        <f aca="false">IF(A929="100","HK",IF(A929="200","CN",IF(A929="300","TW","홀세일")))</f>
        <v>CN</v>
      </c>
      <c r="C929" s="45" t="s">
        <v>472</v>
      </c>
      <c r="D929" s="46" t="n">
        <v>483</v>
      </c>
      <c r="E929" s="46" t="n">
        <v>59000</v>
      </c>
      <c r="F929" s="46" t="n">
        <v>13700</v>
      </c>
      <c r="G929" s="42" t="n">
        <v>4.09</v>
      </c>
      <c r="H929" s="42" t="n">
        <v>13.9</v>
      </c>
      <c r="I929" s="42" t="n">
        <v>11.4</v>
      </c>
      <c r="J929" s="46" t="n">
        <f aca="false">IF(N(E929)&gt;0,E929,IF(N(F929)&gt;0,F929*요약!$F$27,0))</f>
        <v>59000</v>
      </c>
      <c r="K929" s="46" t="n">
        <f aca="false">IF(N(F929)&gt;0,F929,IF(N(E929)&gt;0,E929/요약!$F$27,0))</f>
        <v>13700</v>
      </c>
      <c r="L929" s="46" t="n">
        <f aca="false">IF(B929="CN",IF(N(I929)&gt;0,I929*요약!$G$27,K929*(1+요약!$E$27)),IF(N(H929)&gt;0,H929*요약!$G$27,J929*요약!$D$27))</f>
        <v>15048</v>
      </c>
      <c r="M929" s="46" t="n">
        <f aca="false">D929*J929</f>
        <v>28497000</v>
      </c>
      <c r="N929" s="46" t="n">
        <f aca="false">D929*K929</f>
        <v>6617100</v>
      </c>
      <c r="O929" s="46" t="n">
        <f aca="false">D929*L929</f>
        <v>7268184</v>
      </c>
      <c r="P929" s="42" t="str">
        <f aca="false">TRIM(IF(N(E929)&lt;=0,"택가보정 ","")&amp;IF(N(F929)&lt;=0,"원가보정 ","")&amp;IF(AND(B929&lt;&gt;"CN",N(H929)&lt;=0),"공급가보정 ","")&amp;IF(AND(B929="CN",N(I929)&lt;=0),"중국공급가=원가+마진 ",""))</f>
        <v/>
      </c>
      <c r="Q929" s="47" t="n">
        <f aca="false">IF(SUMIFS($W:$W,$A:$A,A929,$C:$C,C929)=0,0,SUMIFS(RAW_판매펀칭!$K:$K,RAW_판매펀칭!$P:$P,A929,RAW_판매펀칭!$I:$I,C929)*W929/SUMIFS($W:$W,$A:$A,A929,$C:$C,C929))</f>
        <v>483</v>
      </c>
      <c r="R929" s="47" t="n">
        <f aca="false">IF(OR(A929="500",A929="800",A929="810"),0,MAX(W929-Q929,0))</f>
        <v>0</v>
      </c>
      <c r="S929" s="47" t="n">
        <f aca="false">R929*L929</f>
        <v>0</v>
      </c>
      <c r="T929" s="47" t="n">
        <f aca="false">R929*J929</f>
        <v>0</v>
      </c>
      <c r="U929" s="47" t="n">
        <f aca="false">R929*K929</f>
        <v>0</v>
      </c>
      <c r="V929" s="0" t="str">
        <f aca="false">IF(COUNTIFS($A$2:A929,A929,$C$2:C929,C929,$D$2:D929,D929)&gt;1,"중복","")</f>
        <v/>
      </c>
      <c r="W929" s="0" t="n">
        <f aca="false">IF(V929="중복",0,N(D929))</f>
        <v>483</v>
      </c>
      <c r="X929" s="0" t="n">
        <f aca="false">IF(COUNTIFS($A$2:A929,A929,$C$2:C929,C929)=1,ABS(SUMIFS(RAW_발주!$D:$D,RAW_발주!$C:$C,A929,RAW_발주!$A:$A,C929)-SUMIFS($W:$W,$A:$A,A929,$C:$C,C929)),0)</f>
        <v>0</v>
      </c>
    </row>
    <row r="930" customFormat="false" ht="15" hidden="false" customHeight="true" outlineLevel="0" collapsed="false">
      <c r="A930" s="45" t="s">
        <v>1661</v>
      </c>
      <c r="B930" s="42" t="str">
        <f aca="false">IF(A930="100","HK",IF(A930="200","CN",IF(A930="300","TW","홀세일")))</f>
        <v>TW</v>
      </c>
      <c r="C930" s="45" t="s">
        <v>472</v>
      </c>
      <c r="D930" s="46" t="n">
        <v>540</v>
      </c>
      <c r="E930" s="46" t="n">
        <v>59000</v>
      </c>
      <c r="F930" s="46" t="n">
        <v>13700</v>
      </c>
      <c r="G930" s="42" t="n">
        <v>4.09</v>
      </c>
      <c r="H930" s="42" t="n">
        <v>13.9</v>
      </c>
      <c r="I930" s="42" t="n">
        <v>11.4</v>
      </c>
      <c r="J930" s="46" t="n">
        <f aca="false">IF(N(E930)&gt;0,E930,IF(N(F930)&gt;0,F930*요약!$F$27,0))</f>
        <v>59000</v>
      </c>
      <c r="K930" s="46" t="n">
        <f aca="false">IF(N(F930)&gt;0,F930,IF(N(E930)&gt;0,E930/요약!$F$27,0))</f>
        <v>13700</v>
      </c>
      <c r="L930" s="46" t="n">
        <f aca="false">IF(B930="CN",IF(N(I930)&gt;0,I930*요약!$G$27,K930*(1+요약!$E$27)),IF(N(H930)&gt;0,H930*요약!$G$27,J930*요약!$D$27))</f>
        <v>18348</v>
      </c>
      <c r="M930" s="46" t="n">
        <f aca="false">D930*J930</f>
        <v>31860000</v>
      </c>
      <c r="N930" s="46" t="n">
        <f aca="false">D930*K930</f>
        <v>7398000</v>
      </c>
      <c r="O930" s="46" t="n">
        <f aca="false">D930*L930</f>
        <v>9907920</v>
      </c>
      <c r="P930" s="42" t="str">
        <f aca="false">TRIM(IF(N(E930)&lt;=0,"택가보정 ","")&amp;IF(N(F930)&lt;=0,"원가보정 ","")&amp;IF(AND(B930&lt;&gt;"CN",N(H930)&lt;=0),"공급가보정 ","")&amp;IF(AND(B930="CN",N(I930)&lt;=0),"중국공급가=원가+마진 ",""))</f>
        <v/>
      </c>
      <c r="Q930" s="47" t="n">
        <f aca="false">IF(SUMIFS($W:$W,$A:$A,A930,$C:$C,C930)=0,0,SUMIFS(RAW_판매펀칭!$K:$K,RAW_판매펀칭!$P:$P,A930,RAW_판매펀칭!$I:$I,C930)*W930/SUMIFS($W:$W,$A:$A,A930,$C:$C,C930))</f>
        <v>540</v>
      </c>
      <c r="R930" s="47" t="n">
        <f aca="false">IF(OR(A930="500",A930="800",A930="810"),0,MAX(W930-Q930,0))</f>
        <v>0</v>
      </c>
      <c r="S930" s="47" t="n">
        <f aca="false">R930*L930</f>
        <v>0</v>
      </c>
      <c r="T930" s="47" t="n">
        <f aca="false">R930*J930</f>
        <v>0</v>
      </c>
      <c r="U930" s="47" t="n">
        <f aca="false">R930*K930</f>
        <v>0</v>
      </c>
      <c r="V930" s="0" t="str">
        <f aca="false">IF(COUNTIFS($A$2:A930,A930,$C$2:C930,C930,$D$2:D930,D930)&gt;1,"중복","")</f>
        <v/>
      </c>
      <c r="W930" s="0" t="n">
        <f aca="false">IF(V930="중복",0,N(D930))</f>
        <v>540</v>
      </c>
      <c r="X930" s="0" t="n">
        <f aca="false">IF(COUNTIFS($A$2:A930,A930,$C$2:C930,C930)=1,ABS(SUMIFS(RAW_발주!$D:$D,RAW_발주!$C:$C,A930,RAW_발주!$A:$A,C930)-SUMIFS($W:$W,$A:$A,A930,$C:$C,C930)),0)</f>
        <v>0</v>
      </c>
    </row>
    <row r="931" customFormat="false" ht="15" hidden="false" customHeight="true" outlineLevel="0" collapsed="false">
      <c r="A931" s="45" t="s">
        <v>1663</v>
      </c>
      <c r="B931" s="42" t="str">
        <f aca="false">IF(A931="100","HK",IF(A931="200","CN",IF(A931="300","TW","홀세일")))</f>
        <v>홀세일</v>
      </c>
      <c r="C931" s="45" t="s">
        <v>472</v>
      </c>
      <c r="D931" s="46" t="n">
        <v>210</v>
      </c>
      <c r="E931" s="46" t="n">
        <v>59000</v>
      </c>
      <c r="F931" s="46" t="n">
        <v>13700</v>
      </c>
      <c r="G931" s="42" t="n">
        <v>4.09</v>
      </c>
      <c r="H931" s="42" t="n">
        <v>13.9</v>
      </c>
      <c r="I931" s="42" t="n">
        <v>11.4</v>
      </c>
      <c r="J931" s="46" t="n">
        <f aca="false">IF(N(E931)&gt;0,E931,IF(N(F931)&gt;0,F931*요약!$F$27,0))</f>
        <v>59000</v>
      </c>
      <c r="K931" s="46" t="n">
        <f aca="false">IF(N(F931)&gt;0,F931,IF(N(E931)&gt;0,E931/요약!$F$27,0))</f>
        <v>13700</v>
      </c>
      <c r="L931" s="46" t="n">
        <f aca="false">IF(B931="CN",IF(N(I931)&gt;0,I931*요약!$G$27,K931*(1+요약!$E$27)),IF(N(H931)&gt;0,H931*요약!$G$27,J931*요약!$D$27))</f>
        <v>18348</v>
      </c>
      <c r="M931" s="46" t="n">
        <f aca="false">D931*J931</f>
        <v>12390000</v>
      </c>
      <c r="N931" s="46" t="n">
        <f aca="false">D931*K931</f>
        <v>2877000</v>
      </c>
      <c r="O931" s="46" t="n">
        <f aca="false">D931*L931</f>
        <v>3853080</v>
      </c>
      <c r="P931" s="42" t="str">
        <f aca="false">TRIM(IF(N(E931)&lt;=0,"택가보정 ","")&amp;IF(N(F931)&lt;=0,"원가보정 ","")&amp;IF(AND(B931&lt;&gt;"CN",N(H931)&lt;=0),"공급가보정 ","")&amp;IF(AND(B931="CN",N(I931)&lt;=0),"중국공급가=원가+마진 ",""))</f>
        <v/>
      </c>
      <c r="Q931" s="47" t="n">
        <f aca="false">IF(SUMIFS($W:$W,$A:$A,A931,$C:$C,C931)=0,0,SUMIFS(RAW_판매펀칭!$K:$K,RAW_판매펀칭!$P:$P,A931,RAW_판매펀칭!$I:$I,C931)*W931/SUMIFS($W:$W,$A:$A,A931,$C:$C,C931))</f>
        <v>210</v>
      </c>
      <c r="R931" s="47" t="n">
        <f aca="false">IF(OR(A931="500",A931="800",A931="810"),0,MAX(W931-Q931,0))</f>
        <v>0</v>
      </c>
      <c r="S931" s="47" t="n">
        <f aca="false">R931*L931</f>
        <v>0</v>
      </c>
      <c r="T931" s="47" t="n">
        <f aca="false">R931*J931</f>
        <v>0</v>
      </c>
      <c r="U931" s="47" t="n">
        <f aca="false">R931*K931</f>
        <v>0</v>
      </c>
      <c r="V931" s="0" t="str">
        <f aca="false">IF(COUNTIFS($A$2:A931,A931,$C$2:C931,C931,$D$2:D931,D931)&gt;1,"중복","")</f>
        <v/>
      </c>
      <c r="W931" s="0" t="n">
        <f aca="false">IF(V931="중복",0,N(D931))</f>
        <v>210</v>
      </c>
      <c r="X931" s="0" t="n">
        <f aca="false">IF(COUNTIFS($A$2:A931,A931,$C$2:C931,C931)=1,ABS(SUMIFS(RAW_발주!$D:$D,RAW_발주!$C:$C,A931,RAW_발주!$A:$A,C931)-SUMIFS($W:$W,$A:$A,A931,$C:$C,C931)),0)</f>
        <v>0</v>
      </c>
    </row>
    <row r="932" customFormat="false" ht="15" hidden="false" customHeight="true" outlineLevel="0" collapsed="false">
      <c r="A932" s="45" t="s">
        <v>1667</v>
      </c>
      <c r="B932" s="42" t="str">
        <f aca="false">IF(A932="100","HK",IF(A932="200","CN",IF(A932="300","TW","홀세일")))</f>
        <v>홀세일</v>
      </c>
      <c r="C932" s="45" t="s">
        <v>472</v>
      </c>
      <c r="D932" s="46" t="n">
        <v>232</v>
      </c>
      <c r="E932" s="46" t="n">
        <v>59000</v>
      </c>
      <c r="F932" s="46" t="n">
        <v>13700</v>
      </c>
      <c r="G932" s="42" t="n">
        <v>4.09</v>
      </c>
      <c r="H932" s="42" t="n">
        <v>13.9</v>
      </c>
      <c r="I932" s="42" t="n">
        <v>11.4</v>
      </c>
      <c r="J932" s="46" t="n">
        <f aca="false">IF(N(E932)&gt;0,E932,IF(N(F932)&gt;0,F932*요약!$F$27,0))</f>
        <v>59000</v>
      </c>
      <c r="K932" s="46" t="n">
        <f aca="false">IF(N(F932)&gt;0,F932,IF(N(E932)&gt;0,E932/요약!$F$27,0))</f>
        <v>13700</v>
      </c>
      <c r="L932" s="46" t="n">
        <f aca="false">IF(B932="CN",IF(N(I932)&gt;0,I932*요약!$G$27,K932*(1+요약!$E$27)),IF(N(H932)&gt;0,H932*요약!$G$27,J932*요약!$D$27))</f>
        <v>18348</v>
      </c>
      <c r="M932" s="46" t="n">
        <f aca="false">D932*J932</f>
        <v>13688000</v>
      </c>
      <c r="N932" s="46" t="n">
        <f aca="false">D932*K932</f>
        <v>3178400</v>
      </c>
      <c r="O932" s="46" t="n">
        <f aca="false">D932*L932</f>
        <v>4256736</v>
      </c>
      <c r="P932" s="42" t="str">
        <f aca="false">TRIM(IF(N(E932)&lt;=0,"택가보정 ","")&amp;IF(N(F932)&lt;=0,"원가보정 ","")&amp;IF(AND(B932&lt;&gt;"CN",N(H932)&lt;=0),"공급가보정 ","")&amp;IF(AND(B932="CN",N(I932)&lt;=0),"중국공급가=원가+마진 ",""))</f>
        <v/>
      </c>
      <c r="Q932" s="47" t="n">
        <f aca="false">IF(SUMIFS($W:$W,$A:$A,A932,$C:$C,C932)=0,0,SUMIFS(RAW_판매펀칭!$K:$K,RAW_판매펀칭!$P:$P,A932,RAW_판매펀칭!$I:$I,C932)*W932/SUMIFS($W:$W,$A:$A,A932,$C:$C,C932))</f>
        <v>230</v>
      </c>
      <c r="R932" s="47" t="n">
        <f aca="false">IF(OR(A932="500",A932="800",A932="810"),0,MAX(W932-Q932,0))</f>
        <v>2</v>
      </c>
      <c r="S932" s="47" t="n">
        <f aca="false">R932*L932</f>
        <v>36696</v>
      </c>
      <c r="T932" s="47" t="n">
        <f aca="false">R932*J932</f>
        <v>118000</v>
      </c>
      <c r="U932" s="47" t="n">
        <f aca="false">R932*K932</f>
        <v>27400</v>
      </c>
      <c r="V932" s="0" t="str">
        <f aca="false">IF(COUNTIFS($A$2:A932,A932,$C$2:C932,C932,$D$2:D932,D932)&gt;1,"중복","")</f>
        <v/>
      </c>
      <c r="W932" s="0" t="n">
        <f aca="false">IF(V932="중복",0,N(D932))</f>
        <v>232</v>
      </c>
      <c r="X932" s="0" t="n">
        <f aca="false">IF(COUNTIFS($A$2:A932,A932,$C$2:C932,C932)=1,ABS(SUMIFS(RAW_발주!$D:$D,RAW_발주!$C:$C,A932,RAW_발주!$A:$A,C932)-SUMIFS($W:$W,$A:$A,A932,$C:$C,C932)),0)</f>
        <v>0</v>
      </c>
    </row>
    <row r="933" customFormat="false" ht="15" hidden="false" customHeight="true" outlineLevel="0" collapsed="false">
      <c r="A933" s="45" t="s">
        <v>1666</v>
      </c>
      <c r="B933" s="42" t="str">
        <f aca="false">IF(A933="100","HK",IF(A933="200","CN",IF(A933="300","TW","홀세일")))</f>
        <v>홀세일</v>
      </c>
      <c r="C933" s="45" t="s">
        <v>472</v>
      </c>
      <c r="D933" s="46" t="n">
        <v>105</v>
      </c>
      <c r="E933" s="46" t="n">
        <v>59000</v>
      </c>
      <c r="F933" s="46" t="n">
        <v>13700</v>
      </c>
      <c r="G933" s="42" t="n">
        <v>4.09</v>
      </c>
      <c r="H933" s="42" t="n">
        <v>13.9</v>
      </c>
      <c r="I933" s="42" t="n">
        <v>11.4</v>
      </c>
      <c r="J933" s="46" t="n">
        <f aca="false">IF(N(E933)&gt;0,E933,IF(N(F933)&gt;0,F933*요약!$F$27,0))</f>
        <v>59000</v>
      </c>
      <c r="K933" s="46" t="n">
        <f aca="false">IF(N(F933)&gt;0,F933,IF(N(E933)&gt;0,E933/요약!$F$27,0))</f>
        <v>13700</v>
      </c>
      <c r="L933" s="46" t="n">
        <f aca="false">IF(B933="CN",IF(N(I933)&gt;0,I933*요약!$G$27,K933*(1+요약!$E$27)),IF(N(H933)&gt;0,H933*요약!$G$27,J933*요약!$D$27))</f>
        <v>18348</v>
      </c>
      <c r="M933" s="46" t="n">
        <f aca="false">D933*J933</f>
        <v>6195000</v>
      </c>
      <c r="N933" s="46" t="n">
        <f aca="false">D933*K933</f>
        <v>1438500</v>
      </c>
      <c r="O933" s="46" t="n">
        <f aca="false">D933*L933</f>
        <v>1926540</v>
      </c>
      <c r="P933" s="42" t="str">
        <f aca="false">TRIM(IF(N(E933)&lt;=0,"택가보정 ","")&amp;IF(N(F933)&lt;=0,"원가보정 ","")&amp;IF(AND(B933&lt;&gt;"CN",N(H933)&lt;=0),"공급가보정 ","")&amp;IF(AND(B933="CN",N(I933)&lt;=0),"중국공급가=원가+마진 ",""))</f>
        <v/>
      </c>
      <c r="Q933" s="47" t="n">
        <f aca="false">IF(SUMIFS($W:$W,$A:$A,A933,$C:$C,C933)=0,0,SUMIFS(RAW_판매펀칭!$K:$K,RAW_판매펀칭!$P:$P,A933,RAW_판매펀칭!$I:$I,C933)*W933/SUMIFS($W:$W,$A:$A,A933,$C:$C,C933))</f>
        <v>105</v>
      </c>
      <c r="R933" s="47" t="n">
        <f aca="false">IF(OR(A933="500",A933="800",A933="810"),0,MAX(W933-Q933,0))</f>
        <v>0</v>
      </c>
      <c r="S933" s="47" t="n">
        <f aca="false">R933*L933</f>
        <v>0</v>
      </c>
      <c r="T933" s="47" t="n">
        <f aca="false">R933*J933</f>
        <v>0</v>
      </c>
      <c r="U933" s="47" t="n">
        <f aca="false">R933*K933</f>
        <v>0</v>
      </c>
      <c r="V933" s="0" t="str">
        <f aca="false">IF(COUNTIFS($A$2:A933,A933,$C$2:C933,C933,$D$2:D933,D933)&gt;1,"중복","")</f>
        <v/>
      </c>
      <c r="W933" s="0" t="n">
        <f aca="false">IF(V933="중복",0,N(D933))</f>
        <v>105</v>
      </c>
      <c r="X933" s="0" t="n">
        <f aca="false">IF(COUNTIFS($A$2:A933,A933,$C$2:C933,C933)=1,ABS(SUMIFS(RAW_발주!$D:$D,RAW_발주!$C:$C,A933,RAW_발주!$A:$A,C933)-SUMIFS($W:$W,$A:$A,A933,$C:$C,C933)),0)</f>
        <v>0</v>
      </c>
    </row>
    <row r="934" customFormat="false" ht="15" hidden="false" customHeight="true" outlineLevel="0" collapsed="false">
      <c r="A934" s="45" t="s">
        <v>1663</v>
      </c>
      <c r="B934" s="42" t="str">
        <f aca="false">IF(A934="100","HK",IF(A934="200","CN",IF(A934="300","TW","홀세일")))</f>
        <v>홀세일</v>
      </c>
      <c r="C934" s="45" t="s">
        <v>1330</v>
      </c>
      <c r="D934" s="46" t="n">
        <v>50</v>
      </c>
      <c r="E934" s="46" t="n">
        <v>69000</v>
      </c>
      <c r="F934" s="46" t="n">
        <v>14100</v>
      </c>
      <c r="G934" s="42" t="n">
        <v>4.51</v>
      </c>
      <c r="H934" s="42" t="n">
        <v>16.3</v>
      </c>
      <c r="I934" s="42" t="n">
        <v>0</v>
      </c>
      <c r="J934" s="46" t="n">
        <f aca="false">IF(N(E934)&gt;0,E934,IF(N(F934)&gt;0,F934*요약!$F$27,0))</f>
        <v>69000</v>
      </c>
      <c r="K934" s="46" t="n">
        <f aca="false">IF(N(F934)&gt;0,F934,IF(N(E934)&gt;0,E934/요약!$F$27,0))</f>
        <v>14100</v>
      </c>
      <c r="L934" s="46" t="n">
        <f aca="false">IF(B934="CN",IF(N(I934)&gt;0,I934*요약!$G$27,K934*(1+요약!$E$27)),IF(N(H934)&gt;0,H934*요약!$G$27,J934*요약!$D$27))</f>
        <v>21516</v>
      </c>
      <c r="M934" s="46" t="n">
        <f aca="false">D934*J934</f>
        <v>3450000</v>
      </c>
      <c r="N934" s="46" t="n">
        <f aca="false">D934*K934</f>
        <v>705000</v>
      </c>
      <c r="O934" s="46" t="n">
        <f aca="false">D934*L934</f>
        <v>1075800</v>
      </c>
      <c r="P934" s="42" t="str">
        <f aca="false">TRIM(IF(N(E934)&lt;=0,"택가보정 ","")&amp;IF(N(F934)&lt;=0,"원가보정 ","")&amp;IF(AND(B934&lt;&gt;"CN",N(H934)&lt;=0),"공급가보정 ","")&amp;IF(AND(B934="CN",N(I934)&lt;=0),"중국공급가=원가+마진 ",""))</f>
        <v/>
      </c>
      <c r="Q934" s="47" t="n">
        <f aca="false">IF(SUMIFS($W:$W,$A:$A,A934,$C:$C,C934)=0,0,SUMIFS(RAW_판매펀칭!$K:$K,RAW_판매펀칭!$P:$P,A934,RAW_판매펀칭!$I:$I,C934)*W934/SUMIFS($W:$W,$A:$A,A934,$C:$C,C934))</f>
        <v>50</v>
      </c>
      <c r="R934" s="47" t="n">
        <f aca="false">IF(OR(A934="500",A934="800",A934="810"),0,MAX(W934-Q934,0))</f>
        <v>0</v>
      </c>
      <c r="S934" s="47" t="n">
        <f aca="false">R934*L934</f>
        <v>0</v>
      </c>
      <c r="T934" s="47" t="n">
        <f aca="false">R934*J934</f>
        <v>0</v>
      </c>
      <c r="U934" s="47" t="n">
        <f aca="false">R934*K934</f>
        <v>0</v>
      </c>
      <c r="V934" s="0" t="str">
        <f aca="false">IF(COUNTIFS($A$2:A934,A934,$C$2:C934,C934,$D$2:D934,D934)&gt;1,"중복","")</f>
        <v/>
      </c>
      <c r="W934" s="0" t="n">
        <f aca="false">IF(V934="중복",0,N(D934))</f>
        <v>50</v>
      </c>
      <c r="X934" s="0" t="n">
        <f aca="false">IF(COUNTIFS($A$2:A934,A934,$C$2:C934,C934)=1,ABS(SUMIFS(RAW_발주!$D:$D,RAW_발주!$C:$C,A934,RAW_발주!$A:$A,C934)-SUMIFS($W:$W,$A:$A,A934,$C:$C,C934)),0)</f>
        <v>0</v>
      </c>
    </row>
    <row r="935" customFormat="false" ht="15" hidden="false" customHeight="true" outlineLevel="0" collapsed="false">
      <c r="A935" s="45" t="s">
        <v>1659</v>
      </c>
      <c r="B935" s="42" t="str">
        <f aca="false">IF(A935="100","HK",IF(A935="200","CN",IF(A935="300","TW","홀세일")))</f>
        <v>HK</v>
      </c>
      <c r="C935" s="45" t="s">
        <v>475</v>
      </c>
      <c r="D935" s="46" t="n">
        <v>120</v>
      </c>
      <c r="E935" s="46" t="n">
        <v>79000</v>
      </c>
      <c r="F935" s="46" t="n">
        <v>15658</v>
      </c>
      <c r="G935" s="42" t="n">
        <v>4.27</v>
      </c>
      <c r="H935" s="42" t="n">
        <v>19.8</v>
      </c>
      <c r="I935" s="42" t="n">
        <v>0</v>
      </c>
      <c r="J935" s="46" t="n">
        <f aca="false">IF(N(E935)&gt;0,E935,IF(N(F935)&gt;0,F935*요약!$F$27,0))</f>
        <v>79000</v>
      </c>
      <c r="K935" s="46" t="n">
        <f aca="false">IF(N(F935)&gt;0,F935,IF(N(E935)&gt;0,E935/요약!$F$27,0))</f>
        <v>15658</v>
      </c>
      <c r="L935" s="46" t="n">
        <f aca="false">IF(B935="CN",IF(N(I935)&gt;0,I935*요약!$G$27,K935*(1+요약!$E$27)),IF(N(H935)&gt;0,H935*요약!$G$27,J935*요약!$D$27))</f>
        <v>26136</v>
      </c>
      <c r="M935" s="46" t="n">
        <f aca="false">D935*J935</f>
        <v>9480000</v>
      </c>
      <c r="N935" s="46" t="n">
        <f aca="false">D935*K935</f>
        <v>1878960</v>
      </c>
      <c r="O935" s="46" t="n">
        <f aca="false">D935*L935</f>
        <v>3136320</v>
      </c>
      <c r="P935" s="42" t="str">
        <f aca="false">TRIM(IF(N(E935)&lt;=0,"택가보정 ","")&amp;IF(N(F935)&lt;=0,"원가보정 ","")&amp;IF(AND(B935&lt;&gt;"CN",N(H935)&lt;=0),"공급가보정 ","")&amp;IF(AND(B935="CN",N(I935)&lt;=0),"중국공급가=원가+마진 ",""))</f>
        <v/>
      </c>
      <c r="Q935" s="47" t="n">
        <f aca="false">IF(SUMIFS($W:$W,$A:$A,A935,$C:$C,C935)=0,0,SUMIFS(RAW_판매펀칭!$K:$K,RAW_판매펀칭!$P:$P,A935,RAW_판매펀칭!$I:$I,C935)*W935/SUMIFS($W:$W,$A:$A,A935,$C:$C,C935))</f>
        <v>120</v>
      </c>
      <c r="R935" s="47" t="n">
        <f aca="false">IF(OR(A935="500",A935="800",A935="810"),0,MAX(W935-Q935,0))</f>
        <v>0</v>
      </c>
      <c r="S935" s="47" t="n">
        <f aca="false">R935*L935</f>
        <v>0</v>
      </c>
      <c r="T935" s="47" t="n">
        <f aca="false">R935*J935</f>
        <v>0</v>
      </c>
      <c r="U935" s="47" t="n">
        <f aca="false">R935*K935</f>
        <v>0</v>
      </c>
      <c r="V935" s="0" t="str">
        <f aca="false">IF(COUNTIFS($A$2:A935,A935,$C$2:C935,C935,$D$2:D935,D935)&gt;1,"중복","")</f>
        <v/>
      </c>
      <c r="W935" s="0" t="n">
        <f aca="false">IF(V935="중복",0,N(D935))</f>
        <v>120</v>
      </c>
      <c r="X935" s="0" t="n">
        <f aca="false">IF(COUNTIFS($A$2:A935,A935,$C$2:C935,C935)=1,ABS(SUMIFS(RAW_발주!$D:$D,RAW_발주!$C:$C,A935,RAW_발주!$A:$A,C935)-SUMIFS($W:$W,$A:$A,A935,$C:$C,C935)),0)</f>
        <v>0</v>
      </c>
    </row>
    <row r="936" customFormat="false" ht="15" hidden="false" customHeight="true" outlineLevel="0" collapsed="false">
      <c r="A936" s="45" t="s">
        <v>1661</v>
      </c>
      <c r="B936" s="42" t="str">
        <f aca="false">IF(A936="100","HK",IF(A936="200","CN",IF(A936="300","TW","홀세일")))</f>
        <v>TW</v>
      </c>
      <c r="C936" s="45" t="s">
        <v>475</v>
      </c>
      <c r="D936" s="46" t="n">
        <v>200</v>
      </c>
      <c r="E936" s="46" t="n">
        <v>79000</v>
      </c>
      <c r="F936" s="46" t="n">
        <v>15658</v>
      </c>
      <c r="G936" s="42" t="n">
        <v>4.27</v>
      </c>
      <c r="H936" s="42" t="n">
        <v>19.8</v>
      </c>
      <c r="I936" s="42" t="n">
        <v>0</v>
      </c>
      <c r="J936" s="46" t="n">
        <f aca="false">IF(N(E936)&gt;0,E936,IF(N(F936)&gt;0,F936*요약!$F$27,0))</f>
        <v>79000</v>
      </c>
      <c r="K936" s="46" t="n">
        <f aca="false">IF(N(F936)&gt;0,F936,IF(N(E936)&gt;0,E936/요약!$F$27,0))</f>
        <v>15658</v>
      </c>
      <c r="L936" s="46" t="n">
        <f aca="false">IF(B936="CN",IF(N(I936)&gt;0,I936*요약!$G$27,K936*(1+요약!$E$27)),IF(N(H936)&gt;0,H936*요약!$G$27,J936*요약!$D$27))</f>
        <v>26136</v>
      </c>
      <c r="M936" s="46" t="n">
        <f aca="false">D936*J936</f>
        <v>15800000</v>
      </c>
      <c r="N936" s="46" t="n">
        <f aca="false">D936*K936</f>
        <v>3131600</v>
      </c>
      <c r="O936" s="46" t="n">
        <f aca="false">D936*L936</f>
        <v>5227200</v>
      </c>
      <c r="P936" s="42" t="str">
        <f aca="false">TRIM(IF(N(E936)&lt;=0,"택가보정 ","")&amp;IF(N(F936)&lt;=0,"원가보정 ","")&amp;IF(AND(B936&lt;&gt;"CN",N(H936)&lt;=0),"공급가보정 ","")&amp;IF(AND(B936="CN",N(I936)&lt;=0),"중국공급가=원가+마진 ",""))</f>
        <v/>
      </c>
      <c r="Q936" s="47" t="n">
        <f aca="false">IF(SUMIFS($W:$W,$A:$A,A936,$C:$C,C936)=0,0,SUMIFS(RAW_판매펀칭!$K:$K,RAW_판매펀칭!$P:$P,A936,RAW_판매펀칭!$I:$I,C936)*W936/SUMIFS($W:$W,$A:$A,A936,$C:$C,C936))</f>
        <v>200</v>
      </c>
      <c r="R936" s="47" t="n">
        <f aca="false">IF(OR(A936="500",A936="800",A936="810"),0,MAX(W936-Q936,0))</f>
        <v>0</v>
      </c>
      <c r="S936" s="47" t="n">
        <f aca="false">R936*L936</f>
        <v>0</v>
      </c>
      <c r="T936" s="47" t="n">
        <f aca="false">R936*J936</f>
        <v>0</v>
      </c>
      <c r="U936" s="47" t="n">
        <f aca="false">R936*K936</f>
        <v>0</v>
      </c>
      <c r="V936" s="0" t="str">
        <f aca="false">IF(COUNTIFS($A$2:A936,A936,$C$2:C936,C936,$D$2:D936,D936)&gt;1,"중복","")</f>
        <v/>
      </c>
      <c r="W936" s="0" t="n">
        <f aca="false">IF(V936="중복",0,N(D936))</f>
        <v>200</v>
      </c>
      <c r="X936" s="0" t="n">
        <f aca="false">IF(COUNTIFS($A$2:A936,A936,$C$2:C936,C936)=1,ABS(SUMIFS(RAW_발주!$D:$D,RAW_발주!$C:$C,A936,RAW_발주!$A:$A,C936)-SUMIFS($W:$W,$A:$A,A936,$C:$C,C936)),0)</f>
        <v>0</v>
      </c>
    </row>
    <row r="937" customFormat="false" ht="15" hidden="false" customHeight="true" outlineLevel="0" collapsed="false">
      <c r="A937" s="45" t="s">
        <v>1662</v>
      </c>
      <c r="B937" s="42" t="str">
        <f aca="false">IF(A937="100","HK",IF(A937="200","CN",IF(A937="300","TW","홀세일")))</f>
        <v>홀세일</v>
      </c>
      <c r="C937" s="45" t="s">
        <v>475</v>
      </c>
      <c r="D937" s="46" t="n">
        <v>20</v>
      </c>
      <c r="E937" s="46" t="n">
        <v>79000</v>
      </c>
      <c r="F937" s="46" t="n">
        <v>15658</v>
      </c>
      <c r="G937" s="42" t="n">
        <v>4.27</v>
      </c>
      <c r="H937" s="42" t="n">
        <v>19.8</v>
      </c>
      <c r="I937" s="42" t="n">
        <v>0</v>
      </c>
      <c r="J937" s="46" t="n">
        <f aca="false">IF(N(E937)&gt;0,E937,IF(N(F937)&gt;0,F937*요약!$F$27,0))</f>
        <v>79000</v>
      </c>
      <c r="K937" s="46" t="n">
        <f aca="false">IF(N(F937)&gt;0,F937,IF(N(E937)&gt;0,E937/요약!$F$27,0))</f>
        <v>15658</v>
      </c>
      <c r="L937" s="46" t="n">
        <f aca="false">IF(B937="CN",IF(N(I937)&gt;0,I937*요약!$G$27,K937*(1+요약!$E$27)),IF(N(H937)&gt;0,H937*요약!$G$27,J937*요약!$D$27))</f>
        <v>26136</v>
      </c>
      <c r="M937" s="46" t="n">
        <f aca="false">D937*J937</f>
        <v>1580000</v>
      </c>
      <c r="N937" s="46" t="n">
        <f aca="false">D937*K937</f>
        <v>313160</v>
      </c>
      <c r="O937" s="46" t="n">
        <f aca="false">D937*L937</f>
        <v>522720</v>
      </c>
      <c r="P937" s="42" t="str">
        <f aca="false">TRIM(IF(N(E937)&lt;=0,"택가보정 ","")&amp;IF(N(F937)&lt;=0,"원가보정 ","")&amp;IF(AND(B937&lt;&gt;"CN",N(H937)&lt;=0),"공급가보정 ","")&amp;IF(AND(B937="CN",N(I937)&lt;=0),"중국공급가=원가+마진 ",""))</f>
        <v/>
      </c>
      <c r="Q937" s="47" t="n">
        <f aca="false">IF(SUMIFS($W:$W,$A:$A,A937,$C:$C,C937)=0,0,SUMIFS(RAW_판매펀칭!$K:$K,RAW_판매펀칭!$P:$P,A937,RAW_판매펀칭!$I:$I,C937)*W937/SUMIFS($W:$W,$A:$A,A937,$C:$C,C937))</f>
        <v>0</v>
      </c>
      <c r="R937" s="47" t="n">
        <f aca="false">IF(OR(A937="500",A937="800",A937="810"),0,MAX(W937-Q937,0))</f>
        <v>0</v>
      </c>
      <c r="S937" s="47" t="n">
        <f aca="false">R937*L937</f>
        <v>0</v>
      </c>
      <c r="T937" s="47" t="n">
        <f aca="false">R937*J937</f>
        <v>0</v>
      </c>
      <c r="U937" s="47" t="n">
        <f aca="false">R937*K937</f>
        <v>0</v>
      </c>
      <c r="V937" s="0" t="str">
        <f aca="false">IF(COUNTIFS($A$2:A937,A937,$C$2:C937,C937,$D$2:D937,D937)&gt;1,"중복","")</f>
        <v/>
      </c>
      <c r="W937" s="0" t="n">
        <f aca="false">IF(V937="중복",0,N(D937))</f>
        <v>20</v>
      </c>
      <c r="X937" s="0" t="n">
        <f aca="false">IF(COUNTIFS($A$2:A937,A937,$C$2:C937,C937)=1,ABS(SUMIFS(RAW_발주!$D:$D,RAW_발주!$C:$C,A937,RAW_발주!$A:$A,C937)-SUMIFS($W:$W,$A:$A,A937,$C:$C,C937)),0)</f>
        <v>0</v>
      </c>
    </row>
    <row r="938" customFormat="false" ht="15" hidden="false" customHeight="true" outlineLevel="0" collapsed="false">
      <c r="A938" s="45" t="s">
        <v>1663</v>
      </c>
      <c r="B938" s="42" t="str">
        <f aca="false">IF(A938="100","HK",IF(A938="200","CN",IF(A938="300","TW","홀세일")))</f>
        <v>홀세일</v>
      </c>
      <c r="C938" s="45" t="s">
        <v>475</v>
      </c>
      <c r="D938" s="46" t="n">
        <v>35</v>
      </c>
      <c r="E938" s="46" t="n">
        <v>79000</v>
      </c>
      <c r="F938" s="46" t="n">
        <v>15658</v>
      </c>
      <c r="G938" s="42" t="n">
        <v>4.27</v>
      </c>
      <c r="H938" s="42" t="n">
        <v>19.8</v>
      </c>
      <c r="I938" s="42" t="n">
        <v>0</v>
      </c>
      <c r="J938" s="46" t="n">
        <f aca="false">IF(N(E938)&gt;0,E938,IF(N(F938)&gt;0,F938*요약!$F$27,0))</f>
        <v>79000</v>
      </c>
      <c r="K938" s="46" t="n">
        <f aca="false">IF(N(F938)&gt;0,F938,IF(N(E938)&gt;0,E938/요약!$F$27,0))</f>
        <v>15658</v>
      </c>
      <c r="L938" s="46" t="n">
        <f aca="false">IF(B938="CN",IF(N(I938)&gt;0,I938*요약!$G$27,K938*(1+요약!$E$27)),IF(N(H938)&gt;0,H938*요약!$G$27,J938*요약!$D$27))</f>
        <v>26136</v>
      </c>
      <c r="M938" s="46" t="n">
        <f aca="false">D938*J938</f>
        <v>2765000</v>
      </c>
      <c r="N938" s="46" t="n">
        <f aca="false">D938*K938</f>
        <v>548030</v>
      </c>
      <c r="O938" s="46" t="n">
        <f aca="false">D938*L938</f>
        <v>914760</v>
      </c>
      <c r="P938" s="42" t="str">
        <f aca="false">TRIM(IF(N(E938)&lt;=0,"택가보정 ","")&amp;IF(N(F938)&lt;=0,"원가보정 ","")&amp;IF(AND(B938&lt;&gt;"CN",N(H938)&lt;=0),"공급가보정 ","")&amp;IF(AND(B938="CN",N(I938)&lt;=0),"중국공급가=원가+마진 ",""))</f>
        <v/>
      </c>
      <c r="Q938" s="47" t="n">
        <f aca="false">IF(SUMIFS($W:$W,$A:$A,A938,$C:$C,C938)=0,0,SUMIFS(RAW_판매펀칭!$K:$K,RAW_판매펀칭!$P:$P,A938,RAW_판매펀칭!$I:$I,C938)*W938/SUMIFS($W:$W,$A:$A,A938,$C:$C,C938))</f>
        <v>0</v>
      </c>
      <c r="R938" s="47" t="n">
        <f aca="false">IF(OR(A938="500",A938="800",A938="810"),0,MAX(W938-Q938,0))</f>
        <v>35</v>
      </c>
      <c r="S938" s="47" t="n">
        <f aca="false">R938*L938</f>
        <v>914760</v>
      </c>
      <c r="T938" s="47" t="n">
        <f aca="false">R938*J938</f>
        <v>2765000</v>
      </c>
      <c r="U938" s="47" t="n">
        <f aca="false">R938*K938</f>
        <v>548030</v>
      </c>
      <c r="V938" s="0" t="str">
        <f aca="false">IF(COUNTIFS($A$2:A938,A938,$C$2:C938,C938,$D$2:D938,D938)&gt;1,"중복","")</f>
        <v/>
      </c>
      <c r="W938" s="0" t="n">
        <f aca="false">IF(V938="중복",0,N(D938))</f>
        <v>35</v>
      </c>
      <c r="X938" s="0" t="n">
        <f aca="false">IF(COUNTIFS($A$2:A938,A938,$C$2:C938,C938)=1,ABS(SUMIFS(RAW_발주!$D:$D,RAW_발주!$C:$C,A938,RAW_발주!$A:$A,C938)-SUMIFS($W:$W,$A:$A,A938,$C:$C,C938)),0)</f>
        <v>0</v>
      </c>
    </row>
    <row r="939" customFormat="false" ht="15" hidden="false" customHeight="true" outlineLevel="0" collapsed="false">
      <c r="A939" s="45" t="s">
        <v>1667</v>
      </c>
      <c r="B939" s="42" t="str">
        <f aca="false">IF(A939="100","HK",IF(A939="200","CN",IF(A939="300","TW","홀세일")))</f>
        <v>홀세일</v>
      </c>
      <c r="C939" s="45" t="s">
        <v>475</v>
      </c>
      <c r="D939" s="46" t="n">
        <v>162</v>
      </c>
      <c r="E939" s="46" t="n">
        <v>79000</v>
      </c>
      <c r="F939" s="46" t="n">
        <v>15658</v>
      </c>
      <c r="G939" s="42" t="n">
        <v>4.27</v>
      </c>
      <c r="H939" s="42" t="n">
        <v>19.8</v>
      </c>
      <c r="I939" s="42" t="n">
        <v>0</v>
      </c>
      <c r="J939" s="46" t="n">
        <f aca="false">IF(N(E939)&gt;0,E939,IF(N(F939)&gt;0,F939*요약!$F$27,0))</f>
        <v>79000</v>
      </c>
      <c r="K939" s="46" t="n">
        <f aca="false">IF(N(F939)&gt;0,F939,IF(N(E939)&gt;0,E939/요약!$F$27,0))</f>
        <v>15658</v>
      </c>
      <c r="L939" s="46" t="n">
        <f aca="false">IF(B939="CN",IF(N(I939)&gt;0,I939*요약!$G$27,K939*(1+요약!$E$27)),IF(N(H939)&gt;0,H939*요약!$G$27,J939*요약!$D$27))</f>
        <v>26136</v>
      </c>
      <c r="M939" s="46" t="n">
        <f aca="false">D939*J939</f>
        <v>12798000</v>
      </c>
      <c r="N939" s="46" t="n">
        <f aca="false">D939*K939</f>
        <v>2536596</v>
      </c>
      <c r="O939" s="46" t="n">
        <f aca="false">D939*L939</f>
        <v>4234032</v>
      </c>
      <c r="P939" s="42" t="str">
        <f aca="false">TRIM(IF(N(E939)&lt;=0,"택가보정 ","")&amp;IF(N(F939)&lt;=0,"원가보정 ","")&amp;IF(AND(B939&lt;&gt;"CN",N(H939)&lt;=0),"공급가보정 ","")&amp;IF(AND(B939="CN",N(I939)&lt;=0),"중국공급가=원가+마진 ",""))</f>
        <v/>
      </c>
      <c r="Q939" s="47" t="n">
        <f aca="false">IF(SUMIFS($W:$W,$A:$A,A939,$C:$C,C939)=0,0,SUMIFS(RAW_판매펀칭!$K:$K,RAW_판매펀칭!$P:$P,A939,RAW_판매펀칭!$I:$I,C939)*W939/SUMIFS($W:$W,$A:$A,A939,$C:$C,C939))</f>
        <v>0</v>
      </c>
      <c r="R939" s="47" t="n">
        <f aca="false">IF(OR(A939="500",A939="800",A939="810"),0,MAX(W939-Q939,0))</f>
        <v>162</v>
      </c>
      <c r="S939" s="47" t="n">
        <f aca="false">R939*L939</f>
        <v>4234032</v>
      </c>
      <c r="T939" s="47" t="n">
        <f aca="false">R939*J939</f>
        <v>12798000</v>
      </c>
      <c r="U939" s="47" t="n">
        <f aca="false">R939*K939</f>
        <v>2536596</v>
      </c>
      <c r="V939" s="0" t="str">
        <f aca="false">IF(COUNTIFS($A$2:A939,A939,$C$2:C939,C939,$D$2:D939,D939)&gt;1,"중복","")</f>
        <v/>
      </c>
      <c r="W939" s="0" t="n">
        <f aca="false">IF(V939="중복",0,N(D939))</f>
        <v>162</v>
      </c>
      <c r="X939" s="0" t="n">
        <f aca="false">IF(COUNTIFS($A$2:A939,A939,$C$2:C939,C939)=1,ABS(SUMIFS(RAW_발주!$D:$D,RAW_발주!$C:$C,A939,RAW_발주!$A:$A,C939)-SUMIFS($W:$W,$A:$A,A939,$C:$C,C939)),0)</f>
        <v>0</v>
      </c>
    </row>
    <row r="940" customFormat="false" ht="15" hidden="false" customHeight="true" outlineLevel="0" collapsed="false">
      <c r="A940" s="45" t="s">
        <v>1661</v>
      </c>
      <c r="B940" s="42" t="str">
        <f aca="false">IF(A940="100","HK",IF(A940="200","CN",IF(A940="300","TW","홀세일")))</f>
        <v>TW</v>
      </c>
      <c r="C940" s="45" t="s">
        <v>477</v>
      </c>
      <c r="D940" s="46" t="n">
        <v>200</v>
      </c>
      <c r="E940" s="46" t="n">
        <v>79000</v>
      </c>
      <c r="F940" s="46" t="n">
        <v>18000</v>
      </c>
      <c r="G940" s="42" t="n">
        <v>3.37</v>
      </c>
      <c r="H940" s="42" t="n">
        <v>19.8</v>
      </c>
      <c r="I940" s="42" t="n">
        <v>0</v>
      </c>
      <c r="J940" s="46" t="n">
        <f aca="false">IF(N(E940)&gt;0,E940,IF(N(F940)&gt;0,F940*요약!$F$27,0))</f>
        <v>79000</v>
      </c>
      <c r="K940" s="46" t="n">
        <f aca="false">IF(N(F940)&gt;0,F940,IF(N(E940)&gt;0,E940/요약!$F$27,0))</f>
        <v>18000</v>
      </c>
      <c r="L940" s="46" t="n">
        <f aca="false">IF(B940="CN",IF(N(I940)&gt;0,I940*요약!$G$27,K940*(1+요약!$E$27)),IF(N(H940)&gt;0,H940*요약!$G$27,J940*요약!$D$27))</f>
        <v>26136</v>
      </c>
      <c r="M940" s="46" t="n">
        <f aca="false">D940*J940</f>
        <v>15800000</v>
      </c>
      <c r="N940" s="46" t="n">
        <f aca="false">D940*K940</f>
        <v>3600000</v>
      </c>
      <c r="O940" s="46" t="n">
        <f aca="false">D940*L940</f>
        <v>5227200</v>
      </c>
      <c r="P940" s="42" t="str">
        <f aca="false">TRIM(IF(N(E940)&lt;=0,"택가보정 ","")&amp;IF(N(F940)&lt;=0,"원가보정 ","")&amp;IF(AND(B940&lt;&gt;"CN",N(H940)&lt;=0),"공급가보정 ","")&amp;IF(AND(B940="CN",N(I940)&lt;=0),"중국공급가=원가+마진 ",""))</f>
        <v/>
      </c>
      <c r="Q940" s="47" t="n">
        <f aca="false">IF(SUMIFS($W:$W,$A:$A,A940,$C:$C,C940)=0,0,SUMIFS(RAW_판매펀칭!$K:$K,RAW_판매펀칭!$P:$P,A940,RAW_판매펀칭!$I:$I,C940)*W940/SUMIFS($W:$W,$A:$A,A940,$C:$C,C940))</f>
        <v>200</v>
      </c>
      <c r="R940" s="47" t="n">
        <f aca="false">IF(OR(A940="500",A940="800",A940="810"),0,MAX(W940-Q940,0))</f>
        <v>0</v>
      </c>
      <c r="S940" s="47" t="n">
        <f aca="false">R940*L940</f>
        <v>0</v>
      </c>
      <c r="T940" s="47" t="n">
        <f aca="false">R940*J940</f>
        <v>0</v>
      </c>
      <c r="U940" s="47" t="n">
        <f aca="false">R940*K940</f>
        <v>0</v>
      </c>
      <c r="V940" s="0" t="str">
        <f aca="false">IF(COUNTIFS($A$2:A940,A940,$C$2:C940,C940,$D$2:D940,D940)&gt;1,"중복","")</f>
        <v/>
      </c>
      <c r="W940" s="0" t="n">
        <f aca="false">IF(V940="중복",0,N(D940))</f>
        <v>200</v>
      </c>
      <c r="X940" s="0" t="n">
        <f aca="false">IF(COUNTIFS($A$2:A940,A940,$C$2:C940,C940)=1,ABS(SUMIFS(RAW_발주!$D:$D,RAW_발주!$C:$C,A940,RAW_발주!$A:$A,C940)-SUMIFS($W:$W,$A:$A,A940,$C:$C,C940)),0)</f>
        <v>0</v>
      </c>
    </row>
    <row r="941" customFormat="false" ht="15" hidden="false" customHeight="true" outlineLevel="0" collapsed="false">
      <c r="A941" s="45" t="s">
        <v>1662</v>
      </c>
      <c r="B941" s="42" t="str">
        <f aca="false">IF(A941="100","HK",IF(A941="200","CN",IF(A941="300","TW","홀세일")))</f>
        <v>홀세일</v>
      </c>
      <c r="C941" s="45" t="s">
        <v>477</v>
      </c>
      <c r="D941" s="46" t="n">
        <v>20</v>
      </c>
      <c r="E941" s="46" t="n">
        <v>79000</v>
      </c>
      <c r="F941" s="46" t="n">
        <v>18000</v>
      </c>
      <c r="G941" s="42" t="n">
        <v>3.37</v>
      </c>
      <c r="H941" s="42" t="n">
        <v>19.8</v>
      </c>
      <c r="I941" s="42" t="n">
        <v>0</v>
      </c>
      <c r="J941" s="46" t="n">
        <f aca="false">IF(N(E941)&gt;0,E941,IF(N(F941)&gt;0,F941*요약!$F$27,0))</f>
        <v>79000</v>
      </c>
      <c r="K941" s="46" t="n">
        <f aca="false">IF(N(F941)&gt;0,F941,IF(N(E941)&gt;0,E941/요약!$F$27,0))</f>
        <v>18000</v>
      </c>
      <c r="L941" s="46" t="n">
        <f aca="false">IF(B941="CN",IF(N(I941)&gt;0,I941*요약!$G$27,K941*(1+요약!$E$27)),IF(N(H941)&gt;0,H941*요약!$G$27,J941*요약!$D$27))</f>
        <v>26136</v>
      </c>
      <c r="M941" s="46" t="n">
        <f aca="false">D941*J941</f>
        <v>1580000</v>
      </c>
      <c r="N941" s="46" t="n">
        <f aca="false">D941*K941</f>
        <v>360000</v>
      </c>
      <c r="O941" s="46" t="n">
        <f aca="false">D941*L941</f>
        <v>522720</v>
      </c>
      <c r="P941" s="42" t="str">
        <f aca="false">TRIM(IF(N(E941)&lt;=0,"택가보정 ","")&amp;IF(N(F941)&lt;=0,"원가보정 ","")&amp;IF(AND(B941&lt;&gt;"CN",N(H941)&lt;=0),"공급가보정 ","")&amp;IF(AND(B941="CN",N(I941)&lt;=0),"중국공급가=원가+마진 ",""))</f>
        <v/>
      </c>
      <c r="Q941" s="47" t="n">
        <f aca="false">IF(SUMIFS($W:$W,$A:$A,A941,$C:$C,C941)=0,0,SUMIFS(RAW_판매펀칭!$K:$K,RAW_판매펀칭!$P:$P,A941,RAW_판매펀칭!$I:$I,C941)*W941/SUMIFS($W:$W,$A:$A,A941,$C:$C,C941))</f>
        <v>0</v>
      </c>
      <c r="R941" s="47" t="n">
        <f aca="false">IF(OR(A941="500",A941="800",A941="810"),0,MAX(W941-Q941,0))</f>
        <v>0</v>
      </c>
      <c r="S941" s="47" t="n">
        <f aca="false">R941*L941</f>
        <v>0</v>
      </c>
      <c r="T941" s="47" t="n">
        <f aca="false">R941*J941</f>
        <v>0</v>
      </c>
      <c r="U941" s="47" t="n">
        <f aca="false">R941*K941</f>
        <v>0</v>
      </c>
      <c r="V941" s="0" t="str">
        <f aca="false">IF(COUNTIFS($A$2:A941,A941,$C$2:C941,C941,$D$2:D941,D941)&gt;1,"중복","")</f>
        <v/>
      </c>
      <c r="W941" s="0" t="n">
        <f aca="false">IF(V941="중복",0,N(D941))</f>
        <v>20</v>
      </c>
      <c r="X941" s="0" t="n">
        <f aca="false">IF(COUNTIFS($A$2:A941,A941,$C$2:C941,C941)=1,ABS(SUMIFS(RAW_발주!$D:$D,RAW_발주!$C:$C,A941,RAW_발주!$A:$A,C941)-SUMIFS($W:$W,$A:$A,A941,$C:$C,C941)),0)</f>
        <v>0</v>
      </c>
    </row>
    <row r="942" customFormat="false" ht="15" hidden="false" customHeight="true" outlineLevel="0" collapsed="false">
      <c r="A942" s="45" t="s">
        <v>1663</v>
      </c>
      <c r="B942" s="42" t="str">
        <f aca="false">IF(A942="100","HK",IF(A942="200","CN",IF(A942="300","TW","홀세일")))</f>
        <v>홀세일</v>
      </c>
      <c r="C942" s="45" t="s">
        <v>477</v>
      </c>
      <c r="D942" s="46" t="n">
        <v>35</v>
      </c>
      <c r="E942" s="46" t="n">
        <v>79000</v>
      </c>
      <c r="F942" s="46" t="n">
        <v>18000</v>
      </c>
      <c r="G942" s="42" t="n">
        <v>3.37</v>
      </c>
      <c r="H942" s="42" t="n">
        <v>19.8</v>
      </c>
      <c r="I942" s="42" t="n">
        <v>0</v>
      </c>
      <c r="J942" s="46" t="n">
        <f aca="false">IF(N(E942)&gt;0,E942,IF(N(F942)&gt;0,F942*요약!$F$27,0))</f>
        <v>79000</v>
      </c>
      <c r="K942" s="46" t="n">
        <f aca="false">IF(N(F942)&gt;0,F942,IF(N(E942)&gt;0,E942/요약!$F$27,0))</f>
        <v>18000</v>
      </c>
      <c r="L942" s="46" t="n">
        <f aca="false">IF(B942="CN",IF(N(I942)&gt;0,I942*요약!$G$27,K942*(1+요약!$E$27)),IF(N(H942)&gt;0,H942*요약!$G$27,J942*요약!$D$27))</f>
        <v>26136</v>
      </c>
      <c r="M942" s="46" t="n">
        <f aca="false">D942*J942</f>
        <v>2765000</v>
      </c>
      <c r="N942" s="46" t="n">
        <f aca="false">D942*K942</f>
        <v>630000</v>
      </c>
      <c r="O942" s="46" t="n">
        <f aca="false">D942*L942</f>
        <v>914760</v>
      </c>
      <c r="P942" s="42" t="str">
        <f aca="false">TRIM(IF(N(E942)&lt;=0,"택가보정 ","")&amp;IF(N(F942)&lt;=0,"원가보정 ","")&amp;IF(AND(B942&lt;&gt;"CN",N(H942)&lt;=0),"공급가보정 ","")&amp;IF(AND(B942="CN",N(I942)&lt;=0),"중국공급가=원가+마진 ",""))</f>
        <v/>
      </c>
      <c r="Q942" s="47" t="n">
        <f aca="false">IF(SUMIFS($W:$W,$A:$A,A942,$C:$C,C942)=0,0,SUMIFS(RAW_판매펀칭!$K:$K,RAW_판매펀칭!$P:$P,A942,RAW_판매펀칭!$I:$I,C942)*W942/SUMIFS($W:$W,$A:$A,A942,$C:$C,C942))</f>
        <v>0</v>
      </c>
      <c r="R942" s="47" t="n">
        <f aca="false">IF(OR(A942="500",A942="800",A942="810"),0,MAX(W942-Q942,0))</f>
        <v>35</v>
      </c>
      <c r="S942" s="47" t="n">
        <f aca="false">R942*L942</f>
        <v>914760</v>
      </c>
      <c r="T942" s="47" t="n">
        <f aca="false">R942*J942</f>
        <v>2765000</v>
      </c>
      <c r="U942" s="47" t="n">
        <f aca="false">R942*K942</f>
        <v>630000</v>
      </c>
      <c r="V942" s="0" t="str">
        <f aca="false">IF(COUNTIFS($A$2:A942,A942,$C$2:C942,C942,$D$2:D942,D942)&gt;1,"중복","")</f>
        <v/>
      </c>
      <c r="W942" s="0" t="n">
        <f aca="false">IF(V942="중복",0,N(D942))</f>
        <v>35</v>
      </c>
      <c r="X942" s="0" t="n">
        <f aca="false">IF(COUNTIFS($A$2:A942,A942,$C$2:C942,C942)=1,ABS(SUMIFS(RAW_발주!$D:$D,RAW_발주!$C:$C,A942,RAW_발주!$A:$A,C942)-SUMIFS($W:$W,$A:$A,A942,$C:$C,C942)),0)</f>
        <v>0</v>
      </c>
    </row>
    <row r="943" customFormat="false" ht="15" hidden="false" customHeight="true" outlineLevel="0" collapsed="false">
      <c r="A943" s="45" t="s">
        <v>1667</v>
      </c>
      <c r="B943" s="42" t="str">
        <f aca="false">IF(A943="100","HK",IF(A943="200","CN",IF(A943="300","TW","홀세일")))</f>
        <v>홀세일</v>
      </c>
      <c r="C943" s="45" t="s">
        <v>477</v>
      </c>
      <c r="D943" s="46" t="n">
        <v>92</v>
      </c>
      <c r="E943" s="46" t="n">
        <v>79000</v>
      </c>
      <c r="F943" s="46" t="n">
        <v>18000</v>
      </c>
      <c r="G943" s="42" t="n">
        <v>3.37</v>
      </c>
      <c r="H943" s="42" t="n">
        <v>19.8</v>
      </c>
      <c r="I943" s="42" t="n">
        <v>0</v>
      </c>
      <c r="J943" s="46" t="n">
        <f aca="false">IF(N(E943)&gt;0,E943,IF(N(F943)&gt;0,F943*요약!$F$27,0))</f>
        <v>79000</v>
      </c>
      <c r="K943" s="46" t="n">
        <f aca="false">IF(N(F943)&gt;0,F943,IF(N(E943)&gt;0,E943/요약!$F$27,0))</f>
        <v>18000</v>
      </c>
      <c r="L943" s="46" t="n">
        <f aca="false">IF(B943="CN",IF(N(I943)&gt;0,I943*요약!$G$27,K943*(1+요약!$E$27)),IF(N(H943)&gt;0,H943*요약!$G$27,J943*요약!$D$27))</f>
        <v>26136</v>
      </c>
      <c r="M943" s="46" t="n">
        <f aca="false">D943*J943</f>
        <v>7268000</v>
      </c>
      <c r="N943" s="46" t="n">
        <f aca="false">D943*K943</f>
        <v>1656000</v>
      </c>
      <c r="O943" s="46" t="n">
        <f aca="false">D943*L943</f>
        <v>2404512</v>
      </c>
      <c r="P943" s="42" t="str">
        <f aca="false">TRIM(IF(N(E943)&lt;=0,"택가보정 ","")&amp;IF(N(F943)&lt;=0,"원가보정 ","")&amp;IF(AND(B943&lt;&gt;"CN",N(H943)&lt;=0),"공급가보정 ","")&amp;IF(AND(B943="CN",N(I943)&lt;=0),"중국공급가=원가+마진 ",""))</f>
        <v/>
      </c>
      <c r="Q943" s="47" t="n">
        <f aca="false">IF(SUMIFS($W:$W,$A:$A,A943,$C:$C,C943)=0,0,SUMIFS(RAW_판매펀칭!$K:$K,RAW_판매펀칭!$P:$P,A943,RAW_판매펀칭!$I:$I,C943)*W943/SUMIFS($W:$W,$A:$A,A943,$C:$C,C943))</f>
        <v>0</v>
      </c>
      <c r="R943" s="47" t="n">
        <f aca="false">IF(OR(A943="500",A943="800",A943="810"),0,MAX(W943-Q943,0))</f>
        <v>92</v>
      </c>
      <c r="S943" s="47" t="n">
        <f aca="false">R943*L943</f>
        <v>2404512</v>
      </c>
      <c r="T943" s="47" t="n">
        <f aca="false">R943*J943</f>
        <v>7268000</v>
      </c>
      <c r="U943" s="47" t="n">
        <f aca="false">R943*K943</f>
        <v>1656000</v>
      </c>
      <c r="V943" s="0" t="str">
        <f aca="false">IF(COUNTIFS($A$2:A943,A943,$C$2:C943,C943,$D$2:D943,D943)&gt;1,"중복","")</f>
        <v/>
      </c>
      <c r="W943" s="0" t="n">
        <f aca="false">IF(V943="중복",0,N(D943))</f>
        <v>92</v>
      </c>
      <c r="X943" s="0" t="n">
        <f aca="false">IF(COUNTIFS($A$2:A943,A943,$C$2:C943,C943)=1,ABS(SUMIFS(RAW_발주!$D:$D,RAW_발주!$C:$C,A943,RAW_발주!$A:$A,C943)-SUMIFS($W:$W,$A:$A,A943,$C:$C,C943)),0)</f>
        <v>0</v>
      </c>
    </row>
    <row r="944" customFormat="false" ht="15" hidden="false" customHeight="true" outlineLevel="0" collapsed="false">
      <c r="A944" s="45" t="s">
        <v>1659</v>
      </c>
      <c r="B944" s="42" t="str">
        <f aca="false">IF(A944="100","HK",IF(A944="200","CN",IF(A944="300","TW","홀세일")))</f>
        <v>HK</v>
      </c>
      <c r="C944" s="45" t="s">
        <v>902</v>
      </c>
      <c r="D944" s="46" t="n">
        <v>220</v>
      </c>
      <c r="E944" s="46" t="n">
        <v>149000</v>
      </c>
      <c r="F944" s="46" t="n">
        <v>34800</v>
      </c>
      <c r="G944" s="42" t="n">
        <v>3.68</v>
      </c>
      <c r="H944" s="42" t="n">
        <v>35.1</v>
      </c>
      <c r="I944" s="42" t="n">
        <v>0</v>
      </c>
      <c r="J944" s="46" t="n">
        <f aca="false">IF(N(E944)&gt;0,E944,IF(N(F944)&gt;0,F944*요약!$F$27,0))</f>
        <v>149000</v>
      </c>
      <c r="K944" s="46" t="n">
        <f aca="false">IF(N(F944)&gt;0,F944,IF(N(E944)&gt;0,E944/요약!$F$27,0))</f>
        <v>34800</v>
      </c>
      <c r="L944" s="46" t="n">
        <f aca="false">IF(B944="CN",IF(N(I944)&gt;0,I944*요약!$G$27,K944*(1+요약!$E$27)),IF(N(H944)&gt;0,H944*요약!$G$27,J944*요약!$D$27))</f>
        <v>46332</v>
      </c>
      <c r="M944" s="46" t="n">
        <f aca="false">D944*J944</f>
        <v>32780000</v>
      </c>
      <c r="N944" s="46" t="n">
        <f aca="false">D944*K944</f>
        <v>7656000</v>
      </c>
      <c r="O944" s="46" t="n">
        <f aca="false">D944*L944</f>
        <v>10193040</v>
      </c>
      <c r="P944" s="42" t="str">
        <f aca="false">TRIM(IF(N(E944)&lt;=0,"택가보정 ","")&amp;IF(N(F944)&lt;=0,"원가보정 ","")&amp;IF(AND(B944&lt;&gt;"CN",N(H944)&lt;=0),"공급가보정 ","")&amp;IF(AND(B944="CN",N(I944)&lt;=0),"중국공급가=원가+마진 ",""))</f>
        <v/>
      </c>
      <c r="Q944" s="47" t="n">
        <f aca="false">IF(SUMIFS($W:$W,$A:$A,A944,$C:$C,C944)=0,0,SUMIFS(RAW_판매펀칭!$K:$K,RAW_판매펀칭!$P:$P,A944,RAW_판매펀칭!$I:$I,C944)*W944/SUMIFS($W:$W,$A:$A,A944,$C:$C,C944))</f>
        <v>220</v>
      </c>
      <c r="R944" s="47" t="n">
        <f aca="false">IF(OR(A944="500",A944="800",A944="810"),0,MAX(W944-Q944,0))</f>
        <v>0</v>
      </c>
      <c r="S944" s="47" t="n">
        <f aca="false">R944*L944</f>
        <v>0</v>
      </c>
      <c r="T944" s="47" t="n">
        <f aca="false">R944*J944</f>
        <v>0</v>
      </c>
      <c r="U944" s="47" t="n">
        <f aca="false">R944*K944</f>
        <v>0</v>
      </c>
      <c r="V944" s="0" t="str">
        <f aca="false">IF(COUNTIFS($A$2:A944,A944,$C$2:C944,C944,$D$2:D944,D944)&gt;1,"중복","")</f>
        <v/>
      </c>
      <c r="W944" s="0" t="n">
        <f aca="false">IF(V944="중복",0,N(D944))</f>
        <v>220</v>
      </c>
      <c r="X944" s="0" t="n">
        <f aca="false">IF(COUNTIFS($A$2:A944,A944,$C$2:C944,C944)=1,ABS(SUMIFS(RAW_발주!$D:$D,RAW_발주!$C:$C,A944,RAW_발주!$A:$A,C944)-SUMIFS($W:$W,$A:$A,A944,$C:$C,C944)),0)</f>
        <v>0</v>
      </c>
    </row>
    <row r="945" customFormat="false" ht="15" hidden="false" customHeight="true" outlineLevel="0" collapsed="false">
      <c r="A945" s="45" t="s">
        <v>1667</v>
      </c>
      <c r="B945" s="42" t="str">
        <f aca="false">IF(A945="100","HK",IF(A945="200","CN",IF(A945="300","TW","홀세일")))</f>
        <v>홀세일</v>
      </c>
      <c r="C945" s="45" t="s">
        <v>902</v>
      </c>
      <c r="D945" s="46" t="n">
        <v>222</v>
      </c>
      <c r="E945" s="46" t="n">
        <v>149000</v>
      </c>
      <c r="F945" s="46" t="n">
        <v>34800</v>
      </c>
      <c r="G945" s="42" t="n">
        <v>3.68</v>
      </c>
      <c r="H945" s="42" t="n">
        <v>35.1</v>
      </c>
      <c r="I945" s="42" t="n">
        <v>0</v>
      </c>
      <c r="J945" s="46" t="n">
        <f aca="false">IF(N(E945)&gt;0,E945,IF(N(F945)&gt;0,F945*요약!$F$27,0))</f>
        <v>149000</v>
      </c>
      <c r="K945" s="46" t="n">
        <f aca="false">IF(N(F945)&gt;0,F945,IF(N(E945)&gt;0,E945/요약!$F$27,0))</f>
        <v>34800</v>
      </c>
      <c r="L945" s="46" t="n">
        <f aca="false">IF(B945="CN",IF(N(I945)&gt;0,I945*요약!$G$27,K945*(1+요약!$E$27)),IF(N(H945)&gt;0,H945*요약!$G$27,J945*요약!$D$27))</f>
        <v>46332</v>
      </c>
      <c r="M945" s="46" t="n">
        <f aca="false">D945*J945</f>
        <v>33078000</v>
      </c>
      <c r="N945" s="46" t="n">
        <f aca="false">D945*K945</f>
        <v>7725600</v>
      </c>
      <c r="O945" s="46" t="n">
        <f aca="false">D945*L945</f>
        <v>10285704</v>
      </c>
      <c r="P945" s="42" t="str">
        <f aca="false">TRIM(IF(N(E945)&lt;=0,"택가보정 ","")&amp;IF(N(F945)&lt;=0,"원가보정 ","")&amp;IF(AND(B945&lt;&gt;"CN",N(H945)&lt;=0),"공급가보정 ","")&amp;IF(AND(B945="CN",N(I945)&lt;=0),"중국공급가=원가+마진 ",""))</f>
        <v/>
      </c>
      <c r="Q945" s="47" t="n">
        <f aca="false">IF(SUMIFS($W:$W,$A:$A,A945,$C:$C,C945)=0,0,SUMIFS(RAW_판매펀칭!$K:$K,RAW_판매펀칭!$P:$P,A945,RAW_판매펀칭!$I:$I,C945)*W945/SUMIFS($W:$W,$A:$A,A945,$C:$C,C945))</f>
        <v>220</v>
      </c>
      <c r="R945" s="47" t="n">
        <f aca="false">IF(OR(A945="500",A945="800",A945="810"),0,MAX(W945-Q945,0))</f>
        <v>2</v>
      </c>
      <c r="S945" s="47" t="n">
        <f aca="false">R945*L945</f>
        <v>92664</v>
      </c>
      <c r="T945" s="47" t="n">
        <f aca="false">R945*J945</f>
        <v>298000</v>
      </c>
      <c r="U945" s="47" t="n">
        <f aca="false">R945*K945</f>
        <v>69600</v>
      </c>
      <c r="V945" s="0" t="str">
        <f aca="false">IF(COUNTIFS($A$2:A945,A945,$C$2:C945,C945,$D$2:D945,D945)&gt;1,"중복","")</f>
        <v/>
      </c>
      <c r="W945" s="0" t="n">
        <f aca="false">IF(V945="중복",0,N(D945))</f>
        <v>222</v>
      </c>
      <c r="X945" s="0" t="n">
        <f aca="false">IF(COUNTIFS($A$2:A945,A945,$C$2:C945,C945)=1,ABS(SUMIFS(RAW_발주!$D:$D,RAW_발주!$C:$C,A945,RAW_발주!$A:$A,C945)-SUMIFS($W:$W,$A:$A,A945,$C:$C,C945)),0)</f>
        <v>0</v>
      </c>
    </row>
    <row r="946" customFormat="false" ht="15" hidden="false" customHeight="true" outlineLevel="0" collapsed="false">
      <c r="A946" s="45" t="s">
        <v>1661</v>
      </c>
      <c r="B946" s="42" t="str">
        <f aca="false">IF(A946="100","HK",IF(A946="200","CN",IF(A946="300","TW","홀세일")))</f>
        <v>TW</v>
      </c>
      <c r="C946" s="45" t="s">
        <v>479</v>
      </c>
      <c r="D946" s="46" t="n">
        <v>180</v>
      </c>
      <c r="E946" s="46" t="n">
        <v>169000</v>
      </c>
      <c r="F946" s="46" t="n">
        <v>43800</v>
      </c>
      <c r="G946" s="42" t="n">
        <v>3.5</v>
      </c>
      <c r="H946" s="42" t="n">
        <v>39.8</v>
      </c>
      <c r="I946" s="42" t="n">
        <v>0</v>
      </c>
      <c r="J946" s="46" t="n">
        <f aca="false">IF(N(E946)&gt;0,E946,IF(N(F946)&gt;0,F946*요약!$F$27,0))</f>
        <v>169000</v>
      </c>
      <c r="K946" s="46" t="n">
        <f aca="false">IF(N(F946)&gt;0,F946,IF(N(E946)&gt;0,E946/요약!$F$27,0))</f>
        <v>43800</v>
      </c>
      <c r="L946" s="46" t="n">
        <f aca="false">IF(B946="CN",IF(N(I946)&gt;0,I946*요약!$G$27,K946*(1+요약!$E$27)),IF(N(H946)&gt;0,H946*요약!$G$27,J946*요약!$D$27))</f>
        <v>52536</v>
      </c>
      <c r="M946" s="46" t="n">
        <f aca="false">D946*J946</f>
        <v>30420000</v>
      </c>
      <c r="N946" s="46" t="n">
        <f aca="false">D946*K946</f>
        <v>7884000</v>
      </c>
      <c r="O946" s="46" t="n">
        <f aca="false">D946*L946</f>
        <v>9456480</v>
      </c>
      <c r="P946" s="42" t="str">
        <f aca="false">TRIM(IF(N(E946)&lt;=0,"택가보정 ","")&amp;IF(N(F946)&lt;=0,"원가보정 ","")&amp;IF(AND(B946&lt;&gt;"CN",N(H946)&lt;=0),"공급가보정 ","")&amp;IF(AND(B946="CN",N(I946)&lt;=0),"중국공급가=원가+마진 ",""))</f>
        <v/>
      </c>
      <c r="Q946" s="47" t="n">
        <f aca="false">IF(SUMIFS($W:$W,$A:$A,A946,$C:$C,C946)=0,0,SUMIFS(RAW_판매펀칭!$K:$K,RAW_판매펀칭!$P:$P,A946,RAW_판매펀칭!$I:$I,C946)*W946/SUMIFS($W:$W,$A:$A,A946,$C:$C,C946))</f>
        <v>180</v>
      </c>
      <c r="R946" s="47" t="n">
        <f aca="false">IF(OR(A946="500",A946="800",A946="810"),0,MAX(W946-Q946,0))</f>
        <v>0</v>
      </c>
      <c r="S946" s="47" t="n">
        <f aca="false">R946*L946</f>
        <v>0</v>
      </c>
      <c r="T946" s="47" t="n">
        <f aca="false">R946*J946</f>
        <v>0</v>
      </c>
      <c r="U946" s="47" t="n">
        <f aca="false">R946*K946</f>
        <v>0</v>
      </c>
      <c r="V946" s="0" t="str">
        <f aca="false">IF(COUNTIFS($A$2:A946,A946,$C$2:C946,C946,$D$2:D946,D946)&gt;1,"중복","")</f>
        <v/>
      </c>
      <c r="W946" s="0" t="n">
        <f aca="false">IF(V946="중복",0,N(D946))</f>
        <v>180</v>
      </c>
      <c r="X946" s="0" t="n">
        <f aca="false">IF(COUNTIFS($A$2:A946,A946,$C$2:C946,C946)=1,ABS(SUMIFS(RAW_발주!$D:$D,RAW_발주!$C:$C,A946,RAW_발주!$A:$A,C946)-SUMIFS($W:$W,$A:$A,A946,$C:$C,C946)),0)</f>
        <v>0</v>
      </c>
    </row>
    <row r="947" customFormat="false" ht="15" hidden="false" customHeight="true" outlineLevel="0" collapsed="false">
      <c r="A947" s="45" t="s">
        <v>1663</v>
      </c>
      <c r="B947" s="42" t="str">
        <f aca="false">IF(A947="100","HK",IF(A947="200","CN",IF(A947="300","TW","홀세일")))</f>
        <v>홀세일</v>
      </c>
      <c r="C947" s="45" t="s">
        <v>479</v>
      </c>
      <c r="D947" s="46" t="n">
        <v>55</v>
      </c>
      <c r="E947" s="46" t="n">
        <v>169000</v>
      </c>
      <c r="F947" s="46" t="n">
        <v>43800</v>
      </c>
      <c r="G947" s="42" t="n">
        <v>3.5</v>
      </c>
      <c r="H947" s="42" t="n">
        <v>39.8</v>
      </c>
      <c r="I947" s="42" t="n">
        <v>0</v>
      </c>
      <c r="J947" s="46" t="n">
        <f aca="false">IF(N(E947)&gt;0,E947,IF(N(F947)&gt;0,F947*요약!$F$27,0))</f>
        <v>169000</v>
      </c>
      <c r="K947" s="46" t="n">
        <f aca="false">IF(N(F947)&gt;0,F947,IF(N(E947)&gt;0,E947/요약!$F$27,0))</f>
        <v>43800</v>
      </c>
      <c r="L947" s="46" t="n">
        <f aca="false">IF(B947="CN",IF(N(I947)&gt;0,I947*요약!$G$27,K947*(1+요약!$E$27)),IF(N(H947)&gt;0,H947*요약!$G$27,J947*요약!$D$27))</f>
        <v>52536</v>
      </c>
      <c r="M947" s="46" t="n">
        <f aca="false">D947*J947</f>
        <v>9295000</v>
      </c>
      <c r="N947" s="46" t="n">
        <f aca="false">D947*K947</f>
        <v>2409000</v>
      </c>
      <c r="O947" s="46" t="n">
        <f aca="false">D947*L947</f>
        <v>2889480</v>
      </c>
      <c r="P947" s="42" t="str">
        <f aca="false">TRIM(IF(N(E947)&lt;=0,"택가보정 ","")&amp;IF(N(F947)&lt;=0,"원가보정 ","")&amp;IF(AND(B947&lt;&gt;"CN",N(H947)&lt;=0),"공급가보정 ","")&amp;IF(AND(B947="CN",N(I947)&lt;=0),"중국공급가=원가+마진 ",""))</f>
        <v/>
      </c>
      <c r="Q947" s="47" t="n">
        <f aca="false">IF(SUMIFS($W:$W,$A:$A,A947,$C:$C,C947)=0,0,SUMIFS(RAW_판매펀칭!$K:$K,RAW_판매펀칭!$P:$P,A947,RAW_판매펀칭!$I:$I,C947)*W947/SUMIFS($W:$W,$A:$A,A947,$C:$C,C947))</f>
        <v>55</v>
      </c>
      <c r="R947" s="47" t="n">
        <f aca="false">IF(OR(A947="500",A947="800",A947="810"),0,MAX(W947-Q947,0))</f>
        <v>0</v>
      </c>
      <c r="S947" s="47" t="n">
        <f aca="false">R947*L947</f>
        <v>0</v>
      </c>
      <c r="T947" s="47" t="n">
        <f aca="false">R947*J947</f>
        <v>0</v>
      </c>
      <c r="U947" s="47" t="n">
        <f aca="false">R947*K947</f>
        <v>0</v>
      </c>
      <c r="V947" s="0" t="str">
        <f aca="false">IF(COUNTIFS($A$2:A947,A947,$C$2:C947,C947,$D$2:D947,D947)&gt;1,"중복","")</f>
        <v/>
      </c>
      <c r="W947" s="0" t="n">
        <f aca="false">IF(V947="중복",0,N(D947))</f>
        <v>55</v>
      </c>
      <c r="X947" s="0" t="n">
        <f aca="false">IF(COUNTIFS($A$2:A947,A947,$C$2:C947,C947)=1,ABS(SUMIFS(RAW_발주!$D:$D,RAW_발주!$C:$C,A947,RAW_발주!$A:$A,C947)-SUMIFS($W:$W,$A:$A,A947,$C:$C,C947)),0)</f>
        <v>0</v>
      </c>
    </row>
    <row r="948" customFormat="false" ht="15" hidden="false" customHeight="true" outlineLevel="0" collapsed="false">
      <c r="A948" s="45" t="s">
        <v>1659</v>
      </c>
      <c r="B948" s="42" t="str">
        <f aca="false">IF(A948="100","HK",IF(A948="200","CN",IF(A948="300","TW","홀세일")))</f>
        <v>HK</v>
      </c>
      <c r="C948" s="45" t="s">
        <v>904</v>
      </c>
      <c r="D948" s="46" t="n">
        <v>180</v>
      </c>
      <c r="E948" s="46" t="n">
        <v>149000</v>
      </c>
      <c r="F948" s="46" t="n">
        <v>37300</v>
      </c>
      <c r="G948" s="42" t="n">
        <v>3.56</v>
      </c>
      <c r="H948" s="42" t="n">
        <v>36.1</v>
      </c>
      <c r="I948" s="42" t="n">
        <v>0</v>
      </c>
      <c r="J948" s="46" t="n">
        <f aca="false">IF(N(E948)&gt;0,E948,IF(N(F948)&gt;0,F948*요약!$F$27,0))</f>
        <v>149000</v>
      </c>
      <c r="K948" s="46" t="n">
        <f aca="false">IF(N(F948)&gt;0,F948,IF(N(E948)&gt;0,E948/요약!$F$27,0))</f>
        <v>37300</v>
      </c>
      <c r="L948" s="46" t="n">
        <f aca="false">IF(B948="CN",IF(N(I948)&gt;0,I948*요약!$G$27,K948*(1+요약!$E$27)),IF(N(H948)&gt;0,H948*요약!$G$27,J948*요약!$D$27))</f>
        <v>47652</v>
      </c>
      <c r="M948" s="46" t="n">
        <f aca="false">D948*J948</f>
        <v>26820000</v>
      </c>
      <c r="N948" s="46" t="n">
        <f aca="false">D948*K948</f>
        <v>6714000</v>
      </c>
      <c r="O948" s="46" t="n">
        <f aca="false">D948*L948</f>
        <v>8577360</v>
      </c>
      <c r="P948" s="42" t="str">
        <f aca="false">TRIM(IF(N(E948)&lt;=0,"택가보정 ","")&amp;IF(N(F948)&lt;=0,"원가보정 ","")&amp;IF(AND(B948&lt;&gt;"CN",N(H948)&lt;=0),"공급가보정 ","")&amp;IF(AND(B948="CN",N(I948)&lt;=0),"중국공급가=원가+마진 ",""))</f>
        <v/>
      </c>
      <c r="Q948" s="47" t="n">
        <f aca="false">IF(SUMIFS($W:$W,$A:$A,A948,$C:$C,C948)=0,0,SUMIFS(RAW_판매펀칭!$K:$K,RAW_판매펀칭!$P:$P,A948,RAW_판매펀칭!$I:$I,C948)*W948/SUMIFS($W:$W,$A:$A,A948,$C:$C,C948))</f>
        <v>180</v>
      </c>
      <c r="R948" s="47" t="n">
        <f aca="false">IF(OR(A948="500",A948="800",A948="810"),0,MAX(W948-Q948,0))</f>
        <v>0</v>
      </c>
      <c r="S948" s="47" t="n">
        <f aca="false">R948*L948</f>
        <v>0</v>
      </c>
      <c r="T948" s="47" t="n">
        <f aca="false">R948*J948</f>
        <v>0</v>
      </c>
      <c r="U948" s="47" t="n">
        <f aca="false">R948*K948</f>
        <v>0</v>
      </c>
      <c r="V948" s="0" t="str">
        <f aca="false">IF(COUNTIFS($A$2:A948,A948,$C$2:C948,C948,$D$2:D948,D948)&gt;1,"중복","")</f>
        <v/>
      </c>
      <c r="W948" s="0" t="n">
        <f aca="false">IF(V948="중복",0,N(D948))</f>
        <v>180</v>
      </c>
      <c r="X948" s="0" t="n">
        <f aca="false">IF(COUNTIFS($A$2:A948,A948,$C$2:C948,C948)=1,ABS(SUMIFS(RAW_발주!$D:$D,RAW_발주!$C:$C,A948,RAW_발주!$A:$A,C948)-SUMIFS($W:$W,$A:$A,A948,$C:$C,C948)),0)</f>
        <v>0</v>
      </c>
    </row>
    <row r="949" customFormat="false" ht="15" hidden="false" customHeight="true" outlineLevel="0" collapsed="false">
      <c r="A949" s="45" t="s">
        <v>1662</v>
      </c>
      <c r="B949" s="42" t="str">
        <f aca="false">IF(A949="100","HK",IF(A949="200","CN",IF(A949="300","TW","홀세일")))</f>
        <v>홀세일</v>
      </c>
      <c r="C949" s="45" t="s">
        <v>904</v>
      </c>
      <c r="D949" s="46" t="n">
        <v>170</v>
      </c>
      <c r="E949" s="46" t="n">
        <v>149000</v>
      </c>
      <c r="F949" s="46" t="n">
        <v>37300</v>
      </c>
      <c r="G949" s="42" t="n">
        <v>3.56</v>
      </c>
      <c r="H949" s="42" t="n">
        <v>36.1</v>
      </c>
      <c r="I949" s="42" t="n">
        <v>0</v>
      </c>
      <c r="J949" s="46" t="n">
        <f aca="false">IF(N(E949)&gt;0,E949,IF(N(F949)&gt;0,F949*요약!$F$27,0))</f>
        <v>149000</v>
      </c>
      <c r="K949" s="46" t="n">
        <f aca="false">IF(N(F949)&gt;0,F949,IF(N(E949)&gt;0,E949/요약!$F$27,0))</f>
        <v>37300</v>
      </c>
      <c r="L949" s="46" t="n">
        <f aca="false">IF(B949="CN",IF(N(I949)&gt;0,I949*요약!$G$27,K949*(1+요약!$E$27)),IF(N(H949)&gt;0,H949*요약!$G$27,J949*요약!$D$27))</f>
        <v>47652</v>
      </c>
      <c r="M949" s="46" t="n">
        <f aca="false">D949*J949</f>
        <v>25330000</v>
      </c>
      <c r="N949" s="46" t="n">
        <f aca="false">D949*K949</f>
        <v>6341000</v>
      </c>
      <c r="O949" s="46" t="n">
        <f aca="false">D949*L949</f>
        <v>8100840</v>
      </c>
      <c r="P949" s="42" t="str">
        <f aca="false">TRIM(IF(N(E949)&lt;=0,"택가보정 ","")&amp;IF(N(F949)&lt;=0,"원가보정 ","")&amp;IF(AND(B949&lt;&gt;"CN",N(H949)&lt;=0),"공급가보정 ","")&amp;IF(AND(B949="CN",N(I949)&lt;=0),"중국공급가=원가+마진 ",""))</f>
        <v/>
      </c>
      <c r="Q949" s="47" t="n">
        <f aca="false">IF(SUMIFS($W:$W,$A:$A,A949,$C:$C,C949)=0,0,SUMIFS(RAW_판매펀칭!$K:$K,RAW_판매펀칭!$P:$P,A949,RAW_판매펀칭!$I:$I,C949)*W949/SUMIFS($W:$W,$A:$A,A949,$C:$C,C949))</f>
        <v>0</v>
      </c>
      <c r="R949" s="47" t="n">
        <f aca="false">IF(OR(A949="500",A949="800",A949="810"),0,MAX(W949-Q949,0))</f>
        <v>0</v>
      </c>
      <c r="S949" s="47" t="n">
        <f aca="false">R949*L949</f>
        <v>0</v>
      </c>
      <c r="T949" s="47" t="n">
        <f aca="false">R949*J949</f>
        <v>0</v>
      </c>
      <c r="U949" s="47" t="n">
        <f aca="false">R949*K949</f>
        <v>0</v>
      </c>
      <c r="V949" s="0" t="str">
        <f aca="false">IF(COUNTIFS($A$2:A949,A949,$C$2:C949,C949,$D$2:D949,D949)&gt;1,"중복","")</f>
        <v/>
      </c>
      <c r="W949" s="0" t="n">
        <f aca="false">IF(V949="중복",0,N(D949))</f>
        <v>170</v>
      </c>
      <c r="X949" s="0" t="n">
        <f aca="false">IF(COUNTIFS($A$2:A949,A949,$C$2:C949,C949)=1,ABS(SUMIFS(RAW_발주!$D:$D,RAW_발주!$C:$C,A949,RAW_발주!$A:$A,C949)-SUMIFS($W:$W,$A:$A,A949,$C:$C,C949)),0)</f>
        <v>0</v>
      </c>
    </row>
    <row r="950" customFormat="false" ht="15" hidden="false" customHeight="true" outlineLevel="0" collapsed="false">
      <c r="A950" s="45" t="s">
        <v>1664</v>
      </c>
      <c r="B950" s="42" t="str">
        <f aca="false">IF(A950="100","HK",IF(A950="200","CN",IF(A950="300","TW","홀세일")))</f>
        <v>홀세일</v>
      </c>
      <c r="C950" s="45" t="s">
        <v>1682</v>
      </c>
      <c r="D950" s="46" t="n">
        <v>60</v>
      </c>
      <c r="E950" s="46" t="n">
        <v>169000</v>
      </c>
      <c r="F950" s="46" t="n">
        <v>29200</v>
      </c>
      <c r="G950" s="42" t="n">
        <v>3.5</v>
      </c>
      <c r="H950" s="42" t="n">
        <v>39.8</v>
      </c>
      <c r="I950" s="42" t="n">
        <v>0</v>
      </c>
      <c r="J950" s="46" t="n">
        <f aca="false">IF(N(E950)&gt;0,E950,IF(N(F950)&gt;0,F950*요약!$F$27,0))</f>
        <v>169000</v>
      </c>
      <c r="K950" s="46" t="n">
        <f aca="false">IF(N(F950)&gt;0,F950,IF(N(E950)&gt;0,E950/요약!$F$27,0))</f>
        <v>29200</v>
      </c>
      <c r="L950" s="46" t="n">
        <f aca="false">IF(B950="CN",IF(N(I950)&gt;0,I950*요약!$G$27,K950*(1+요약!$E$27)),IF(N(H950)&gt;0,H950*요약!$G$27,J950*요약!$D$27))</f>
        <v>52536</v>
      </c>
      <c r="M950" s="46" t="n">
        <f aca="false">D950*J950</f>
        <v>10140000</v>
      </c>
      <c r="N950" s="46" t="n">
        <f aca="false">D950*K950</f>
        <v>1752000</v>
      </c>
      <c r="O950" s="46" t="n">
        <f aca="false">D950*L950</f>
        <v>3152160</v>
      </c>
      <c r="P950" s="42" t="str">
        <f aca="false">TRIM(IF(N(E950)&lt;=0,"택가보정 ","")&amp;IF(N(F950)&lt;=0,"원가보정 ","")&amp;IF(AND(B950&lt;&gt;"CN",N(H950)&lt;=0),"공급가보정 ","")&amp;IF(AND(B950="CN",N(I950)&lt;=0),"중국공급가=원가+마진 ",""))</f>
        <v/>
      </c>
      <c r="Q950" s="47" t="n">
        <f aca="false">IF(SUMIFS($W:$W,$A:$A,A950,$C:$C,C950)=0,0,SUMIFS(RAW_판매펀칭!$K:$K,RAW_판매펀칭!$P:$P,A950,RAW_판매펀칭!$I:$I,C950)*W950/SUMIFS($W:$W,$A:$A,A950,$C:$C,C950))</f>
        <v>0</v>
      </c>
      <c r="R950" s="47" t="n">
        <f aca="false">IF(OR(A950="500",A950="800",A950="810"),0,MAX(W950-Q950,0))</f>
        <v>0</v>
      </c>
      <c r="S950" s="47" t="n">
        <f aca="false">R950*L950</f>
        <v>0</v>
      </c>
      <c r="T950" s="47" t="n">
        <f aca="false">R950*J950</f>
        <v>0</v>
      </c>
      <c r="U950" s="47" t="n">
        <f aca="false">R950*K950</f>
        <v>0</v>
      </c>
      <c r="V950" s="0" t="str">
        <f aca="false">IF(COUNTIFS($A$2:A950,A950,$C$2:C950,C950,$D$2:D950,D950)&gt;1,"중복","")</f>
        <v/>
      </c>
      <c r="W950" s="0" t="n">
        <f aca="false">IF(V950="중복",0,N(D950))</f>
        <v>60</v>
      </c>
      <c r="X950" s="0" t="n">
        <f aca="false">IF(COUNTIFS($A$2:A950,A950,$C$2:C950,C950)=1,ABS(SUMIFS(RAW_발주!$D:$D,RAW_발주!$C:$C,A950,RAW_발주!$A:$A,C950)-SUMIFS($W:$W,$A:$A,A950,$C:$C,C950)),0)</f>
        <v>0</v>
      </c>
    </row>
    <row r="951" customFormat="false" ht="15" hidden="false" customHeight="true" outlineLevel="0" collapsed="false">
      <c r="A951" s="45" t="s">
        <v>1662</v>
      </c>
      <c r="B951" s="42" t="str">
        <f aca="false">IF(A951="100","HK",IF(A951="200","CN",IF(A951="300","TW","홀세일")))</f>
        <v>홀세일</v>
      </c>
      <c r="C951" s="45" t="s">
        <v>1332</v>
      </c>
      <c r="D951" s="46" t="n">
        <v>140</v>
      </c>
      <c r="E951" s="46" t="n">
        <v>139000</v>
      </c>
      <c r="F951" s="46" t="n">
        <v>38500</v>
      </c>
      <c r="G951" s="42" t="n">
        <v>4.02</v>
      </c>
      <c r="H951" s="42" t="n">
        <v>32.7</v>
      </c>
      <c r="I951" s="42" t="n">
        <v>0</v>
      </c>
      <c r="J951" s="46" t="n">
        <f aca="false">IF(N(E951)&gt;0,E951,IF(N(F951)&gt;0,F951*요약!$F$27,0))</f>
        <v>139000</v>
      </c>
      <c r="K951" s="46" t="n">
        <f aca="false">IF(N(F951)&gt;0,F951,IF(N(E951)&gt;0,E951/요약!$F$27,0))</f>
        <v>38500</v>
      </c>
      <c r="L951" s="46" t="n">
        <f aca="false">IF(B951="CN",IF(N(I951)&gt;0,I951*요약!$G$27,K951*(1+요약!$E$27)),IF(N(H951)&gt;0,H951*요약!$G$27,J951*요약!$D$27))</f>
        <v>43164</v>
      </c>
      <c r="M951" s="46" t="n">
        <f aca="false">D951*J951</f>
        <v>19460000</v>
      </c>
      <c r="N951" s="46" t="n">
        <f aca="false">D951*K951</f>
        <v>5390000</v>
      </c>
      <c r="O951" s="46" t="n">
        <f aca="false">D951*L951</f>
        <v>6042960</v>
      </c>
      <c r="P951" s="42" t="str">
        <f aca="false">TRIM(IF(N(E951)&lt;=0,"택가보정 ","")&amp;IF(N(F951)&lt;=0,"원가보정 ","")&amp;IF(AND(B951&lt;&gt;"CN",N(H951)&lt;=0),"공급가보정 ","")&amp;IF(AND(B951="CN",N(I951)&lt;=0),"중국공급가=원가+마진 ",""))</f>
        <v/>
      </c>
      <c r="Q951" s="47" t="n">
        <f aca="false">IF(SUMIFS($W:$W,$A:$A,A951,$C:$C,C951)=0,0,SUMIFS(RAW_판매펀칭!$K:$K,RAW_판매펀칭!$P:$P,A951,RAW_판매펀칭!$I:$I,C951)*W951/SUMIFS($W:$W,$A:$A,A951,$C:$C,C951))</f>
        <v>0</v>
      </c>
      <c r="R951" s="47" t="n">
        <f aca="false">IF(OR(A951="500",A951="800",A951="810"),0,MAX(W951-Q951,0))</f>
        <v>0</v>
      </c>
      <c r="S951" s="47" t="n">
        <f aca="false">R951*L951</f>
        <v>0</v>
      </c>
      <c r="T951" s="47" t="n">
        <f aca="false">R951*J951</f>
        <v>0</v>
      </c>
      <c r="U951" s="47" t="n">
        <f aca="false">R951*K951</f>
        <v>0</v>
      </c>
      <c r="V951" s="0" t="str">
        <f aca="false">IF(COUNTIFS($A$2:A951,A951,$C$2:C951,C951,$D$2:D951,D951)&gt;1,"중복","")</f>
        <v/>
      </c>
      <c r="W951" s="0" t="n">
        <f aca="false">IF(V951="중복",0,N(D951))</f>
        <v>140</v>
      </c>
      <c r="X951" s="0" t="n">
        <f aca="false">IF(COUNTIFS($A$2:A951,A951,$C$2:C951,C951)=1,ABS(SUMIFS(RAW_발주!$D:$D,RAW_발주!$C:$C,A951,RAW_발주!$A:$A,C951)-SUMIFS($W:$W,$A:$A,A951,$C:$C,C951)),0)</f>
        <v>0</v>
      </c>
    </row>
    <row r="952" customFormat="false" ht="15" hidden="false" customHeight="true" outlineLevel="0" collapsed="false">
      <c r="A952" s="45" t="s">
        <v>1663</v>
      </c>
      <c r="B952" s="42" t="str">
        <f aca="false">IF(A952="100","HK",IF(A952="200","CN",IF(A952="300","TW","홀세일")))</f>
        <v>홀세일</v>
      </c>
      <c r="C952" s="45" t="s">
        <v>1332</v>
      </c>
      <c r="D952" s="46" t="n">
        <v>30</v>
      </c>
      <c r="E952" s="46" t="n">
        <v>139000</v>
      </c>
      <c r="F952" s="46" t="n">
        <v>38500</v>
      </c>
      <c r="G952" s="42" t="n">
        <v>4.02</v>
      </c>
      <c r="H952" s="42" t="n">
        <v>32.7</v>
      </c>
      <c r="I952" s="42" t="n">
        <v>0</v>
      </c>
      <c r="J952" s="46" t="n">
        <f aca="false">IF(N(E952)&gt;0,E952,IF(N(F952)&gt;0,F952*요약!$F$27,0))</f>
        <v>139000</v>
      </c>
      <c r="K952" s="46" t="n">
        <f aca="false">IF(N(F952)&gt;0,F952,IF(N(E952)&gt;0,E952/요약!$F$27,0))</f>
        <v>38500</v>
      </c>
      <c r="L952" s="46" t="n">
        <f aca="false">IF(B952="CN",IF(N(I952)&gt;0,I952*요약!$G$27,K952*(1+요약!$E$27)),IF(N(H952)&gt;0,H952*요약!$G$27,J952*요약!$D$27))</f>
        <v>43164</v>
      </c>
      <c r="M952" s="46" t="n">
        <f aca="false">D952*J952</f>
        <v>4170000</v>
      </c>
      <c r="N952" s="46" t="n">
        <f aca="false">D952*K952</f>
        <v>1155000</v>
      </c>
      <c r="O952" s="46" t="n">
        <f aca="false">D952*L952</f>
        <v>1294920</v>
      </c>
      <c r="P952" s="42" t="str">
        <f aca="false">TRIM(IF(N(E952)&lt;=0,"택가보정 ","")&amp;IF(N(F952)&lt;=0,"원가보정 ","")&amp;IF(AND(B952&lt;&gt;"CN",N(H952)&lt;=0),"공급가보정 ","")&amp;IF(AND(B952="CN",N(I952)&lt;=0),"중국공급가=원가+마진 ",""))</f>
        <v/>
      </c>
      <c r="Q952" s="47" t="n">
        <f aca="false">IF(SUMIFS($W:$W,$A:$A,A952,$C:$C,C952)=0,0,SUMIFS(RAW_판매펀칭!$K:$K,RAW_판매펀칭!$P:$P,A952,RAW_판매펀칭!$I:$I,C952)*W952/SUMIFS($W:$W,$A:$A,A952,$C:$C,C952))</f>
        <v>30</v>
      </c>
      <c r="R952" s="47" t="n">
        <f aca="false">IF(OR(A952="500",A952="800",A952="810"),0,MAX(W952-Q952,0))</f>
        <v>0</v>
      </c>
      <c r="S952" s="47" t="n">
        <f aca="false">R952*L952</f>
        <v>0</v>
      </c>
      <c r="T952" s="47" t="n">
        <f aca="false">R952*J952</f>
        <v>0</v>
      </c>
      <c r="U952" s="47" t="n">
        <f aca="false">R952*K952</f>
        <v>0</v>
      </c>
      <c r="V952" s="0" t="str">
        <f aca="false">IF(COUNTIFS($A$2:A952,A952,$C$2:C952,C952,$D$2:D952,D952)&gt;1,"중복","")</f>
        <v/>
      </c>
      <c r="W952" s="0" t="n">
        <f aca="false">IF(V952="중복",0,N(D952))</f>
        <v>30</v>
      </c>
      <c r="X952" s="0" t="n">
        <f aca="false">IF(COUNTIFS($A$2:A952,A952,$C$2:C952,C952)=1,ABS(SUMIFS(RAW_발주!$D:$D,RAW_발주!$C:$C,A952,RAW_발주!$A:$A,C952)-SUMIFS($W:$W,$A:$A,A952,$C:$C,C952)),0)</f>
        <v>0</v>
      </c>
    </row>
    <row r="953" customFormat="false" ht="15" hidden="false" customHeight="true" outlineLevel="0" collapsed="false">
      <c r="A953" s="45" t="s">
        <v>1667</v>
      </c>
      <c r="B953" s="42" t="str">
        <f aca="false">IF(A953="100","HK",IF(A953="200","CN",IF(A953="300","TW","홀세일")))</f>
        <v>홀세일</v>
      </c>
      <c r="C953" s="45" t="s">
        <v>1683</v>
      </c>
      <c r="D953" s="46" t="n">
        <v>222</v>
      </c>
      <c r="E953" s="46" t="n">
        <v>169000</v>
      </c>
      <c r="F953" s="46" t="n">
        <v>55900</v>
      </c>
      <c r="G953" s="42" t="n">
        <v>3.66</v>
      </c>
      <c r="H953" s="42" t="n">
        <v>39.8</v>
      </c>
      <c r="I953" s="42" t="n">
        <v>0</v>
      </c>
      <c r="J953" s="46" t="n">
        <f aca="false">IF(N(E953)&gt;0,E953,IF(N(F953)&gt;0,F953*요약!$F$27,0))</f>
        <v>169000</v>
      </c>
      <c r="K953" s="46" t="n">
        <f aca="false">IF(N(F953)&gt;0,F953,IF(N(E953)&gt;0,E953/요약!$F$27,0))</f>
        <v>55900</v>
      </c>
      <c r="L953" s="46" t="n">
        <f aca="false">IF(B953="CN",IF(N(I953)&gt;0,I953*요약!$G$27,K953*(1+요약!$E$27)),IF(N(H953)&gt;0,H953*요약!$G$27,J953*요약!$D$27))</f>
        <v>52536</v>
      </c>
      <c r="M953" s="46" t="n">
        <f aca="false">D953*J953</f>
        <v>37518000</v>
      </c>
      <c r="N953" s="46" t="n">
        <f aca="false">D953*K953</f>
        <v>12409800</v>
      </c>
      <c r="O953" s="46" t="n">
        <f aca="false">D953*L953</f>
        <v>11662992</v>
      </c>
      <c r="P953" s="42" t="str">
        <f aca="false">TRIM(IF(N(E953)&lt;=0,"택가보정 ","")&amp;IF(N(F953)&lt;=0,"원가보정 ","")&amp;IF(AND(B953&lt;&gt;"CN",N(H953)&lt;=0),"공급가보정 ","")&amp;IF(AND(B953="CN",N(I953)&lt;=0),"중국공급가=원가+마진 ",""))</f>
        <v/>
      </c>
      <c r="Q953" s="47" t="n">
        <f aca="false">IF(SUMIFS($W:$W,$A:$A,A953,$C:$C,C953)=0,0,SUMIFS(RAW_판매펀칭!$K:$K,RAW_판매펀칭!$P:$P,A953,RAW_판매펀칭!$I:$I,C953)*W953/SUMIFS($W:$W,$A:$A,A953,$C:$C,C953))</f>
        <v>0</v>
      </c>
      <c r="R953" s="47" t="n">
        <f aca="false">IF(OR(A953="500",A953="800",A953="810"),0,MAX(W953-Q953,0))</f>
        <v>222</v>
      </c>
      <c r="S953" s="47" t="n">
        <f aca="false">R953*L953</f>
        <v>11662992</v>
      </c>
      <c r="T953" s="47" t="n">
        <f aca="false">R953*J953</f>
        <v>37518000</v>
      </c>
      <c r="U953" s="47" t="n">
        <f aca="false">R953*K953</f>
        <v>12409800</v>
      </c>
      <c r="V953" s="0" t="str">
        <f aca="false">IF(COUNTIFS($A$2:A953,A953,$C$2:C953,C953,$D$2:D953,D953)&gt;1,"중복","")</f>
        <v/>
      </c>
      <c r="W953" s="0" t="n">
        <f aca="false">IF(V953="중복",0,N(D953))</f>
        <v>222</v>
      </c>
      <c r="X953" s="0" t="n">
        <f aca="false">IF(COUNTIFS($A$2:A953,A953,$C$2:C953,C953)=1,ABS(SUMIFS(RAW_발주!$D:$D,RAW_발주!$C:$C,A953,RAW_발주!$A:$A,C953)-SUMIFS($W:$W,$A:$A,A953,$C:$C,C953)),0)</f>
        <v>0</v>
      </c>
    </row>
    <row r="954" customFormat="false" ht="15" hidden="false" customHeight="true" outlineLevel="0" collapsed="false">
      <c r="A954" s="45" t="s">
        <v>1662</v>
      </c>
      <c r="B954" s="42" t="str">
        <f aca="false">IF(A954="100","HK",IF(A954="200","CN",IF(A954="300","TW","홀세일")))</f>
        <v>홀세일</v>
      </c>
      <c r="C954" s="45" t="s">
        <v>1684</v>
      </c>
      <c r="D954" s="46" t="n">
        <v>100</v>
      </c>
      <c r="E954" s="46" t="n">
        <v>199000</v>
      </c>
      <c r="F954" s="46" t="n">
        <v>51700</v>
      </c>
      <c r="G954" s="42" t="n">
        <v>3.34</v>
      </c>
      <c r="H954" s="42" t="n">
        <v>46.8</v>
      </c>
      <c r="I954" s="42" t="n">
        <v>0</v>
      </c>
      <c r="J954" s="46" t="n">
        <f aca="false">IF(N(E954)&gt;0,E954,IF(N(F954)&gt;0,F954*요약!$F$27,0))</f>
        <v>199000</v>
      </c>
      <c r="K954" s="46" t="n">
        <f aca="false">IF(N(F954)&gt;0,F954,IF(N(E954)&gt;0,E954/요약!$F$27,0))</f>
        <v>51700</v>
      </c>
      <c r="L954" s="46" t="n">
        <f aca="false">IF(B954="CN",IF(N(I954)&gt;0,I954*요약!$G$27,K954*(1+요약!$E$27)),IF(N(H954)&gt;0,H954*요약!$G$27,J954*요약!$D$27))</f>
        <v>61776</v>
      </c>
      <c r="M954" s="46" t="n">
        <f aca="false">D954*J954</f>
        <v>19900000</v>
      </c>
      <c r="N954" s="46" t="n">
        <f aca="false">D954*K954</f>
        <v>5170000</v>
      </c>
      <c r="O954" s="46" t="n">
        <f aca="false">D954*L954</f>
        <v>6177600</v>
      </c>
      <c r="P954" s="42" t="str">
        <f aca="false">TRIM(IF(N(E954)&lt;=0,"택가보정 ","")&amp;IF(N(F954)&lt;=0,"원가보정 ","")&amp;IF(AND(B954&lt;&gt;"CN",N(H954)&lt;=0),"공급가보정 ","")&amp;IF(AND(B954="CN",N(I954)&lt;=0),"중국공급가=원가+마진 ",""))</f>
        <v/>
      </c>
      <c r="Q954" s="47" t="n">
        <f aca="false">IF(SUMIFS($W:$W,$A:$A,A954,$C:$C,C954)=0,0,SUMIFS(RAW_판매펀칭!$K:$K,RAW_판매펀칭!$P:$P,A954,RAW_판매펀칭!$I:$I,C954)*W954/SUMIFS($W:$W,$A:$A,A954,$C:$C,C954))</f>
        <v>0</v>
      </c>
      <c r="R954" s="47" t="n">
        <f aca="false">IF(OR(A954="500",A954="800",A954="810"),0,MAX(W954-Q954,0))</f>
        <v>0</v>
      </c>
      <c r="S954" s="47" t="n">
        <f aca="false">R954*L954</f>
        <v>0</v>
      </c>
      <c r="T954" s="47" t="n">
        <f aca="false">R954*J954</f>
        <v>0</v>
      </c>
      <c r="U954" s="47" t="n">
        <f aca="false">R954*K954</f>
        <v>0</v>
      </c>
      <c r="V954" s="0" t="str">
        <f aca="false">IF(COUNTIFS($A$2:A954,A954,$C$2:C954,C954,$D$2:D954,D954)&gt;1,"중복","")</f>
        <v/>
      </c>
      <c r="W954" s="0" t="n">
        <f aca="false">IF(V954="중복",0,N(D954))</f>
        <v>100</v>
      </c>
      <c r="X954" s="0" t="n">
        <f aca="false">IF(COUNTIFS($A$2:A954,A954,$C$2:C954,C954)=1,ABS(SUMIFS(RAW_발주!$D:$D,RAW_발주!$C:$C,A954,RAW_발주!$A:$A,C954)-SUMIFS($W:$W,$A:$A,A954,$C:$C,C954)),0)</f>
        <v>0</v>
      </c>
    </row>
    <row r="955" customFormat="false" ht="15" hidden="false" customHeight="true" outlineLevel="0" collapsed="false">
      <c r="A955" s="45" t="s">
        <v>1660</v>
      </c>
      <c r="B955" s="42" t="str">
        <f aca="false">IF(A955="100","HK",IF(A955="200","CN",IF(A955="300","TW","홀세일")))</f>
        <v>CN</v>
      </c>
      <c r="C955" s="45" t="s">
        <v>1067</v>
      </c>
      <c r="D955" s="46" t="n">
        <v>132</v>
      </c>
      <c r="E955" s="46" t="n">
        <v>199000</v>
      </c>
      <c r="F955" s="46" t="n">
        <v>65900</v>
      </c>
      <c r="G955" s="42" t="n">
        <v>2.89</v>
      </c>
      <c r="H955" s="42" t="n">
        <v>46.8</v>
      </c>
      <c r="I955" s="42" t="n">
        <v>50.3</v>
      </c>
      <c r="J955" s="46" t="n">
        <f aca="false">IF(N(E955)&gt;0,E955,IF(N(F955)&gt;0,F955*요약!$F$27,0))</f>
        <v>199000</v>
      </c>
      <c r="K955" s="46" t="n">
        <f aca="false">IF(N(F955)&gt;0,F955,IF(N(E955)&gt;0,E955/요약!$F$27,0))</f>
        <v>65900</v>
      </c>
      <c r="L955" s="46" t="n">
        <f aca="false">IF(B955="CN",IF(N(I955)&gt;0,I955*요약!$G$27,K955*(1+요약!$E$27)),IF(N(H955)&gt;0,H955*요약!$G$27,J955*요약!$D$27))</f>
        <v>66396</v>
      </c>
      <c r="M955" s="46" t="n">
        <f aca="false">D955*J955</f>
        <v>26268000</v>
      </c>
      <c r="N955" s="46" t="n">
        <f aca="false">D955*K955</f>
        <v>8698800</v>
      </c>
      <c r="O955" s="46" t="n">
        <f aca="false">D955*L955</f>
        <v>8764272</v>
      </c>
      <c r="P955" s="42" t="str">
        <f aca="false">TRIM(IF(N(E955)&lt;=0,"택가보정 ","")&amp;IF(N(F955)&lt;=0,"원가보정 ","")&amp;IF(AND(B955&lt;&gt;"CN",N(H955)&lt;=0),"공급가보정 ","")&amp;IF(AND(B955="CN",N(I955)&lt;=0),"중국공급가=원가+마진 ",""))</f>
        <v/>
      </c>
      <c r="Q955" s="47" t="n">
        <f aca="false">IF(SUMIFS($W:$W,$A:$A,A955,$C:$C,C955)=0,0,SUMIFS(RAW_판매펀칭!$K:$K,RAW_판매펀칭!$P:$P,A955,RAW_판매펀칭!$I:$I,C955)*W955/SUMIFS($W:$W,$A:$A,A955,$C:$C,C955))</f>
        <v>2</v>
      </c>
      <c r="R955" s="47" t="n">
        <f aca="false">IF(OR(A955="500",A955="800",A955="810"),0,MAX(W955-Q955,0))</f>
        <v>130</v>
      </c>
      <c r="S955" s="47" t="n">
        <f aca="false">R955*L955</f>
        <v>8631480</v>
      </c>
      <c r="T955" s="47" t="n">
        <f aca="false">R955*J955</f>
        <v>25870000</v>
      </c>
      <c r="U955" s="47" t="n">
        <f aca="false">R955*K955</f>
        <v>8567000</v>
      </c>
      <c r="V955" s="0" t="str">
        <f aca="false">IF(COUNTIFS($A$2:A955,A955,$C$2:C955,C955,$D$2:D955,D955)&gt;1,"중복","")</f>
        <v/>
      </c>
      <c r="W955" s="0" t="n">
        <f aca="false">IF(V955="중복",0,N(D955))</f>
        <v>132</v>
      </c>
      <c r="X955" s="0" t="n">
        <f aca="false">IF(COUNTIFS($A$2:A955,A955,$C$2:C955,C955)=1,ABS(SUMIFS(RAW_발주!$D:$D,RAW_발주!$C:$C,A955,RAW_발주!$A:$A,C955)-SUMIFS($W:$W,$A:$A,A955,$C:$C,C955)),0)</f>
        <v>0</v>
      </c>
    </row>
    <row r="956" customFormat="false" ht="15" hidden="false" customHeight="true" outlineLevel="0" collapsed="false">
      <c r="A956" s="45" t="s">
        <v>1663</v>
      </c>
      <c r="B956" s="42" t="str">
        <f aca="false">IF(A956="100","HK",IF(A956="200","CN",IF(A956="300","TW","홀세일")))</f>
        <v>홀세일</v>
      </c>
      <c r="C956" s="45" t="s">
        <v>1067</v>
      </c>
      <c r="D956" s="46" t="n">
        <v>10</v>
      </c>
      <c r="E956" s="46" t="n">
        <v>199000</v>
      </c>
      <c r="F956" s="46" t="n">
        <v>65900</v>
      </c>
      <c r="G956" s="42" t="n">
        <v>2.89</v>
      </c>
      <c r="H956" s="42" t="n">
        <v>46.8</v>
      </c>
      <c r="I956" s="42" t="n">
        <v>50.3</v>
      </c>
      <c r="J956" s="46" t="n">
        <f aca="false">IF(N(E956)&gt;0,E956,IF(N(F956)&gt;0,F956*요약!$F$27,0))</f>
        <v>199000</v>
      </c>
      <c r="K956" s="46" t="n">
        <f aca="false">IF(N(F956)&gt;0,F956,IF(N(E956)&gt;0,E956/요약!$F$27,0))</f>
        <v>65900</v>
      </c>
      <c r="L956" s="46" t="n">
        <f aca="false">IF(B956="CN",IF(N(I956)&gt;0,I956*요약!$G$27,K956*(1+요약!$E$27)),IF(N(H956)&gt;0,H956*요약!$G$27,J956*요약!$D$27))</f>
        <v>61776</v>
      </c>
      <c r="M956" s="46" t="n">
        <f aca="false">D956*J956</f>
        <v>1990000</v>
      </c>
      <c r="N956" s="46" t="n">
        <f aca="false">D956*K956</f>
        <v>659000</v>
      </c>
      <c r="O956" s="46" t="n">
        <f aca="false">D956*L956</f>
        <v>617760</v>
      </c>
      <c r="P956" s="42" t="str">
        <f aca="false">TRIM(IF(N(E956)&lt;=0,"택가보정 ","")&amp;IF(N(F956)&lt;=0,"원가보정 ","")&amp;IF(AND(B956&lt;&gt;"CN",N(H956)&lt;=0),"공급가보정 ","")&amp;IF(AND(B956="CN",N(I956)&lt;=0),"중국공급가=원가+마진 ",""))</f>
        <v/>
      </c>
      <c r="Q956" s="47" t="n">
        <f aca="false">IF(SUMIFS($W:$W,$A:$A,A956,$C:$C,C956)=0,0,SUMIFS(RAW_판매펀칭!$K:$K,RAW_판매펀칭!$P:$P,A956,RAW_판매펀칭!$I:$I,C956)*W956/SUMIFS($W:$W,$A:$A,A956,$C:$C,C956))</f>
        <v>10</v>
      </c>
      <c r="R956" s="47" t="n">
        <f aca="false">IF(OR(A956="500",A956="800",A956="810"),0,MAX(W956-Q956,0))</f>
        <v>0</v>
      </c>
      <c r="S956" s="47" t="n">
        <f aca="false">R956*L956</f>
        <v>0</v>
      </c>
      <c r="T956" s="47" t="n">
        <f aca="false">R956*J956</f>
        <v>0</v>
      </c>
      <c r="U956" s="47" t="n">
        <f aca="false">R956*K956</f>
        <v>0</v>
      </c>
      <c r="V956" s="0" t="str">
        <f aca="false">IF(COUNTIFS($A$2:A956,A956,$C$2:C956,C956,$D$2:D956,D956)&gt;1,"중복","")</f>
        <v/>
      </c>
      <c r="W956" s="0" t="n">
        <f aca="false">IF(V956="중복",0,N(D956))</f>
        <v>10</v>
      </c>
      <c r="X956" s="0" t="n">
        <f aca="false">IF(COUNTIFS($A$2:A956,A956,$C$2:C956,C956)=1,ABS(SUMIFS(RAW_발주!$D:$D,RAW_발주!$C:$C,A956,RAW_발주!$A:$A,C956)-SUMIFS($W:$W,$A:$A,A956,$C:$C,C956)),0)</f>
        <v>0</v>
      </c>
    </row>
    <row r="957" customFormat="false" ht="15" hidden="false" customHeight="true" outlineLevel="0" collapsed="false">
      <c r="A957" s="45" t="s">
        <v>1659</v>
      </c>
      <c r="B957" s="42" t="str">
        <f aca="false">IF(A957="100","HK",IF(A957="200","CN",IF(A957="300","TW","홀세일")))</f>
        <v>HK</v>
      </c>
      <c r="C957" s="45" t="s">
        <v>906</v>
      </c>
      <c r="D957" s="46" t="n">
        <v>200</v>
      </c>
      <c r="E957" s="46" t="n">
        <v>199000</v>
      </c>
      <c r="F957" s="46" t="n">
        <v>47386</v>
      </c>
      <c r="G957" s="42" t="n">
        <v>3.82</v>
      </c>
      <c r="H957" s="42" t="n">
        <v>49.8</v>
      </c>
      <c r="I957" s="42" t="n">
        <v>43</v>
      </c>
      <c r="J957" s="46" t="n">
        <f aca="false">IF(N(E957)&gt;0,E957,IF(N(F957)&gt;0,F957*요약!$F$27,0))</f>
        <v>199000</v>
      </c>
      <c r="K957" s="46" t="n">
        <f aca="false">IF(N(F957)&gt;0,F957,IF(N(E957)&gt;0,E957/요약!$F$27,0))</f>
        <v>47386</v>
      </c>
      <c r="L957" s="46" t="n">
        <f aca="false">IF(B957="CN",IF(N(I957)&gt;0,I957*요약!$G$27,K957*(1+요약!$E$27)),IF(N(H957)&gt;0,H957*요약!$G$27,J957*요약!$D$27))</f>
        <v>65736</v>
      </c>
      <c r="M957" s="46" t="n">
        <f aca="false">D957*J957</f>
        <v>39800000</v>
      </c>
      <c r="N957" s="46" t="n">
        <f aca="false">D957*K957</f>
        <v>9477200</v>
      </c>
      <c r="O957" s="46" t="n">
        <f aca="false">D957*L957</f>
        <v>13147200</v>
      </c>
      <c r="P957" s="42" t="str">
        <f aca="false">TRIM(IF(N(E957)&lt;=0,"택가보정 ","")&amp;IF(N(F957)&lt;=0,"원가보정 ","")&amp;IF(AND(B957&lt;&gt;"CN",N(H957)&lt;=0),"공급가보정 ","")&amp;IF(AND(B957="CN",N(I957)&lt;=0),"중국공급가=원가+마진 ",""))</f>
        <v/>
      </c>
      <c r="Q957" s="47" t="n">
        <f aca="false">IF(SUMIFS($W:$W,$A:$A,A957,$C:$C,C957)=0,0,SUMIFS(RAW_판매펀칭!$K:$K,RAW_판매펀칭!$P:$P,A957,RAW_판매펀칭!$I:$I,C957)*W957/SUMIFS($W:$W,$A:$A,A957,$C:$C,C957))</f>
        <v>200</v>
      </c>
      <c r="R957" s="47" t="n">
        <f aca="false">IF(OR(A957="500",A957="800",A957="810"),0,MAX(W957-Q957,0))</f>
        <v>0</v>
      </c>
      <c r="S957" s="47" t="n">
        <f aca="false">R957*L957</f>
        <v>0</v>
      </c>
      <c r="T957" s="47" t="n">
        <f aca="false">R957*J957</f>
        <v>0</v>
      </c>
      <c r="U957" s="47" t="n">
        <f aca="false">R957*K957</f>
        <v>0</v>
      </c>
      <c r="V957" s="0" t="str">
        <f aca="false">IF(COUNTIFS($A$2:A957,A957,$C$2:C957,C957,$D$2:D957,D957)&gt;1,"중복","")</f>
        <v/>
      </c>
      <c r="W957" s="0" t="n">
        <f aca="false">IF(V957="중복",0,N(D957))</f>
        <v>200</v>
      </c>
      <c r="X957" s="0" t="n">
        <f aca="false">IF(COUNTIFS($A$2:A957,A957,$C$2:C957,C957)=1,ABS(SUMIFS(RAW_발주!$D:$D,RAW_발주!$C:$C,A957,RAW_발주!$A:$A,C957)-SUMIFS($W:$W,$A:$A,A957,$C:$C,C957)),0)</f>
        <v>0</v>
      </c>
    </row>
    <row r="958" customFormat="false" ht="15" hidden="false" customHeight="true" outlineLevel="0" collapsed="false">
      <c r="A958" s="45" t="s">
        <v>1660</v>
      </c>
      <c r="B958" s="42" t="str">
        <f aca="false">IF(A958="100","HK",IF(A958="200","CN",IF(A958="300","TW","홀세일")))</f>
        <v>CN</v>
      </c>
      <c r="C958" s="45" t="s">
        <v>906</v>
      </c>
      <c r="D958" s="46" t="n">
        <v>282</v>
      </c>
      <c r="E958" s="46" t="n">
        <v>199000</v>
      </c>
      <c r="F958" s="46" t="n">
        <v>47386</v>
      </c>
      <c r="G958" s="42" t="n">
        <v>3.82</v>
      </c>
      <c r="H958" s="42" t="n">
        <v>49.8</v>
      </c>
      <c r="I958" s="42" t="n">
        <v>43</v>
      </c>
      <c r="J958" s="46" t="n">
        <f aca="false">IF(N(E958)&gt;0,E958,IF(N(F958)&gt;0,F958*요약!$F$27,0))</f>
        <v>199000</v>
      </c>
      <c r="K958" s="46" t="n">
        <f aca="false">IF(N(F958)&gt;0,F958,IF(N(E958)&gt;0,E958/요약!$F$27,0))</f>
        <v>47386</v>
      </c>
      <c r="L958" s="46" t="n">
        <f aca="false">IF(B958="CN",IF(N(I958)&gt;0,I958*요약!$G$27,K958*(1+요약!$E$27)),IF(N(H958)&gt;0,H958*요약!$G$27,J958*요약!$D$27))</f>
        <v>56760</v>
      </c>
      <c r="M958" s="46" t="n">
        <f aca="false">D958*J958</f>
        <v>56118000</v>
      </c>
      <c r="N958" s="46" t="n">
        <f aca="false">D958*K958</f>
        <v>13362852</v>
      </c>
      <c r="O958" s="46" t="n">
        <f aca="false">D958*L958</f>
        <v>16006320</v>
      </c>
      <c r="P958" s="42" t="str">
        <f aca="false">TRIM(IF(N(E958)&lt;=0,"택가보정 ","")&amp;IF(N(F958)&lt;=0,"원가보정 ","")&amp;IF(AND(B958&lt;&gt;"CN",N(H958)&lt;=0),"공급가보정 ","")&amp;IF(AND(B958="CN",N(I958)&lt;=0),"중국공급가=원가+마진 ",""))</f>
        <v/>
      </c>
      <c r="Q958" s="47" t="n">
        <f aca="false">IF(SUMIFS($W:$W,$A:$A,A958,$C:$C,C958)=0,0,SUMIFS(RAW_판매펀칭!$K:$K,RAW_판매펀칭!$P:$P,A958,RAW_판매펀칭!$I:$I,C958)*W958/SUMIFS($W:$W,$A:$A,A958,$C:$C,C958))</f>
        <v>132</v>
      </c>
      <c r="R958" s="47" t="n">
        <f aca="false">IF(OR(A958="500",A958="800",A958="810"),0,MAX(W958-Q958,0))</f>
        <v>150</v>
      </c>
      <c r="S958" s="47" t="n">
        <f aca="false">R958*L958</f>
        <v>8514000</v>
      </c>
      <c r="T958" s="47" t="n">
        <f aca="false">R958*J958</f>
        <v>29850000</v>
      </c>
      <c r="U958" s="47" t="n">
        <f aca="false">R958*K958</f>
        <v>7107900</v>
      </c>
      <c r="V958" s="0" t="str">
        <f aca="false">IF(COUNTIFS($A$2:A958,A958,$C$2:C958,C958,$D$2:D958,D958)&gt;1,"중복","")</f>
        <v/>
      </c>
      <c r="W958" s="0" t="n">
        <f aca="false">IF(V958="중복",0,N(D958))</f>
        <v>282</v>
      </c>
      <c r="X958" s="0" t="n">
        <f aca="false">IF(COUNTIFS($A$2:A958,A958,$C$2:C958,C958)=1,ABS(SUMIFS(RAW_발주!$D:$D,RAW_발주!$C:$C,A958,RAW_발주!$A:$A,C958)-SUMIFS($W:$W,$A:$A,A958,$C:$C,C958)),0)</f>
        <v>0</v>
      </c>
    </row>
    <row r="959" customFormat="false" ht="15" hidden="false" customHeight="true" outlineLevel="0" collapsed="false">
      <c r="A959" s="45" t="s">
        <v>1663</v>
      </c>
      <c r="B959" s="42" t="str">
        <f aca="false">IF(A959="100","HK",IF(A959="200","CN",IF(A959="300","TW","홀세일")))</f>
        <v>홀세일</v>
      </c>
      <c r="C959" s="45" t="s">
        <v>906</v>
      </c>
      <c r="D959" s="46" t="n">
        <v>25</v>
      </c>
      <c r="E959" s="46" t="n">
        <v>199000</v>
      </c>
      <c r="F959" s="46" t="n">
        <v>47386</v>
      </c>
      <c r="G959" s="42" t="n">
        <v>3.82</v>
      </c>
      <c r="H959" s="42" t="n">
        <v>49.8</v>
      </c>
      <c r="I959" s="42" t="n">
        <v>43</v>
      </c>
      <c r="J959" s="46" t="n">
        <f aca="false">IF(N(E959)&gt;0,E959,IF(N(F959)&gt;0,F959*요약!$F$27,0))</f>
        <v>199000</v>
      </c>
      <c r="K959" s="46" t="n">
        <f aca="false">IF(N(F959)&gt;0,F959,IF(N(E959)&gt;0,E959/요약!$F$27,0))</f>
        <v>47386</v>
      </c>
      <c r="L959" s="46" t="n">
        <f aca="false">IF(B959="CN",IF(N(I959)&gt;0,I959*요약!$G$27,K959*(1+요약!$E$27)),IF(N(H959)&gt;0,H959*요약!$G$27,J959*요약!$D$27))</f>
        <v>65736</v>
      </c>
      <c r="M959" s="46" t="n">
        <f aca="false">D959*J959</f>
        <v>4975000</v>
      </c>
      <c r="N959" s="46" t="n">
        <f aca="false">D959*K959</f>
        <v>1184650</v>
      </c>
      <c r="O959" s="46" t="n">
        <f aca="false">D959*L959</f>
        <v>1643400</v>
      </c>
      <c r="P959" s="42" t="str">
        <f aca="false">TRIM(IF(N(E959)&lt;=0,"택가보정 ","")&amp;IF(N(F959)&lt;=0,"원가보정 ","")&amp;IF(AND(B959&lt;&gt;"CN",N(H959)&lt;=0),"공급가보정 ","")&amp;IF(AND(B959="CN",N(I959)&lt;=0),"중국공급가=원가+마진 ",""))</f>
        <v/>
      </c>
      <c r="Q959" s="47" t="n">
        <f aca="false">IF(SUMIFS($W:$W,$A:$A,A959,$C:$C,C959)=0,0,SUMIFS(RAW_판매펀칭!$K:$K,RAW_판매펀칭!$P:$P,A959,RAW_판매펀칭!$I:$I,C959)*W959/SUMIFS($W:$W,$A:$A,A959,$C:$C,C959))</f>
        <v>25</v>
      </c>
      <c r="R959" s="47" t="n">
        <f aca="false">IF(OR(A959="500",A959="800",A959="810"),0,MAX(W959-Q959,0))</f>
        <v>0</v>
      </c>
      <c r="S959" s="47" t="n">
        <f aca="false">R959*L959</f>
        <v>0</v>
      </c>
      <c r="T959" s="47" t="n">
        <f aca="false">R959*J959</f>
        <v>0</v>
      </c>
      <c r="U959" s="47" t="n">
        <f aca="false">R959*K959</f>
        <v>0</v>
      </c>
      <c r="V959" s="0" t="str">
        <f aca="false">IF(COUNTIFS($A$2:A959,A959,$C$2:C959,C959,$D$2:D959,D959)&gt;1,"중복","")</f>
        <v/>
      </c>
      <c r="W959" s="0" t="n">
        <f aca="false">IF(V959="중복",0,N(D959))</f>
        <v>25</v>
      </c>
      <c r="X959" s="0" t="n">
        <f aca="false">IF(COUNTIFS($A$2:A959,A959,$C$2:C959,C959)=1,ABS(SUMIFS(RAW_발주!$D:$D,RAW_발주!$C:$C,A959,RAW_발주!$A:$A,C959)-SUMIFS($W:$W,$A:$A,A959,$C:$C,C959)),0)</f>
        <v>0</v>
      </c>
    </row>
    <row r="960" customFormat="false" ht="15" hidden="false" customHeight="true" outlineLevel="0" collapsed="false">
      <c r="A960" s="45" t="s">
        <v>1659</v>
      </c>
      <c r="B960" s="42" t="str">
        <f aca="false">IF(A960="100","HK",IF(A960="200","CN",IF(A960="300","TW","홀세일")))</f>
        <v>HK</v>
      </c>
      <c r="C960" s="45" t="s">
        <v>481</v>
      </c>
      <c r="D960" s="46" t="n">
        <v>220</v>
      </c>
      <c r="E960" s="46" t="n">
        <v>199000</v>
      </c>
      <c r="F960" s="46" t="n">
        <v>56300</v>
      </c>
      <c r="G960" s="42" t="n">
        <v>3.5</v>
      </c>
      <c r="H960" s="42" t="n">
        <v>49.8</v>
      </c>
      <c r="I960" s="42" t="n">
        <v>0</v>
      </c>
      <c r="J960" s="46" t="n">
        <f aca="false">IF(N(E960)&gt;0,E960,IF(N(F960)&gt;0,F960*요약!$F$27,0))</f>
        <v>199000</v>
      </c>
      <c r="K960" s="46" t="n">
        <f aca="false">IF(N(F960)&gt;0,F960,IF(N(E960)&gt;0,E960/요약!$F$27,0))</f>
        <v>56300</v>
      </c>
      <c r="L960" s="46" t="n">
        <f aca="false">IF(B960="CN",IF(N(I960)&gt;0,I960*요약!$G$27,K960*(1+요약!$E$27)),IF(N(H960)&gt;0,H960*요약!$G$27,J960*요약!$D$27))</f>
        <v>65736</v>
      </c>
      <c r="M960" s="46" t="n">
        <f aca="false">D960*J960</f>
        <v>43780000</v>
      </c>
      <c r="N960" s="46" t="n">
        <f aca="false">D960*K960</f>
        <v>12386000</v>
      </c>
      <c r="O960" s="46" t="n">
        <f aca="false">D960*L960</f>
        <v>14461920</v>
      </c>
      <c r="P960" s="42" t="str">
        <f aca="false">TRIM(IF(N(E960)&lt;=0,"택가보정 ","")&amp;IF(N(F960)&lt;=0,"원가보정 ","")&amp;IF(AND(B960&lt;&gt;"CN",N(H960)&lt;=0),"공급가보정 ","")&amp;IF(AND(B960="CN",N(I960)&lt;=0),"중국공급가=원가+마진 ",""))</f>
        <v/>
      </c>
      <c r="Q960" s="47" t="n">
        <f aca="false">IF(SUMIFS($W:$W,$A:$A,A960,$C:$C,C960)=0,0,SUMIFS(RAW_판매펀칭!$K:$K,RAW_판매펀칭!$P:$P,A960,RAW_판매펀칭!$I:$I,C960)*W960/SUMIFS($W:$W,$A:$A,A960,$C:$C,C960))</f>
        <v>220</v>
      </c>
      <c r="R960" s="47" t="n">
        <f aca="false">IF(OR(A960="500",A960="800",A960="810"),0,MAX(W960-Q960,0))</f>
        <v>0</v>
      </c>
      <c r="S960" s="47" t="n">
        <f aca="false">R960*L960</f>
        <v>0</v>
      </c>
      <c r="T960" s="47" t="n">
        <f aca="false">R960*J960</f>
        <v>0</v>
      </c>
      <c r="U960" s="47" t="n">
        <f aca="false">R960*K960</f>
        <v>0</v>
      </c>
      <c r="V960" s="0" t="str">
        <f aca="false">IF(COUNTIFS($A$2:A960,A960,$C$2:C960,C960,$D$2:D960,D960)&gt;1,"중복","")</f>
        <v/>
      </c>
      <c r="W960" s="0" t="n">
        <f aca="false">IF(V960="중복",0,N(D960))</f>
        <v>220</v>
      </c>
      <c r="X960" s="0" t="n">
        <f aca="false">IF(COUNTIFS($A$2:A960,A960,$C$2:C960,C960)=1,ABS(SUMIFS(RAW_발주!$D:$D,RAW_발주!$C:$C,A960,RAW_발주!$A:$A,C960)-SUMIFS($W:$W,$A:$A,A960,$C:$C,C960)),0)</f>
        <v>0</v>
      </c>
    </row>
    <row r="961" customFormat="false" ht="15" hidden="false" customHeight="true" outlineLevel="0" collapsed="false">
      <c r="A961" s="45" t="s">
        <v>1661</v>
      </c>
      <c r="B961" s="42" t="str">
        <f aca="false">IF(A961="100","HK",IF(A961="200","CN",IF(A961="300","TW","홀세일")))</f>
        <v>TW</v>
      </c>
      <c r="C961" s="45" t="s">
        <v>481</v>
      </c>
      <c r="D961" s="46" t="n">
        <v>100</v>
      </c>
      <c r="E961" s="46" t="n">
        <v>199000</v>
      </c>
      <c r="F961" s="46" t="n">
        <v>56300</v>
      </c>
      <c r="G961" s="42" t="n">
        <v>3.5</v>
      </c>
      <c r="H961" s="42" t="n">
        <v>49.8</v>
      </c>
      <c r="I961" s="42" t="n">
        <v>0</v>
      </c>
      <c r="J961" s="46" t="n">
        <f aca="false">IF(N(E961)&gt;0,E961,IF(N(F961)&gt;0,F961*요약!$F$27,0))</f>
        <v>199000</v>
      </c>
      <c r="K961" s="46" t="n">
        <f aca="false">IF(N(F961)&gt;0,F961,IF(N(E961)&gt;0,E961/요약!$F$27,0))</f>
        <v>56300</v>
      </c>
      <c r="L961" s="46" t="n">
        <f aca="false">IF(B961="CN",IF(N(I961)&gt;0,I961*요약!$G$27,K961*(1+요약!$E$27)),IF(N(H961)&gt;0,H961*요약!$G$27,J961*요약!$D$27))</f>
        <v>65736</v>
      </c>
      <c r="M961" s="46" t="n">
        <f aca="false">D961*J961</f>
        <v>19900000</v>
      </c>
      <c r="N961" s="46" t="n">
        <f aca="false">D961*K961</f>
        <v>5630000</v>
      </c>
      <c r="O961" s="46" t="n">
        <f aca="false">D961*L961</f>
        <v>6573600</v>
      </c>
      <c r="P961" s="42" t="str">
        <f aca="false">TRIM(IF(N(E961)&lt;=0,"택가보정 ","")&amp;IF(N(F961)&lt;=0,"원가보정 ","")&amp;IF(AND(B961&lt;&gt;"CN",N(H961)&lt;=0),"공급가보정 ","")&amp;IF(AND(B961="CN",N(I961)&lt;=0),"중국공급가=원가+마진 ",""))</f>
        <v/>
      </c>
      <c r="Q961" s="47" t="n">
        <f aca="false">IF(SUMIFS($W:$W,$A:$A,A961,$C:$C,C961)=0,0,SUMIFS(RAW_판매펀칭!$K:$K,RAW_판매펀칭!$P:$P,A961,RAW_판매펀칭!$I:$I,C961)*W961/SUMIFS($W:$W,$A:$A,A961,$C:$C,C961))</f>
        <v>100</v>
      </c>
      <c r="R961" s="47" t="n">
        <f aca="false">IF(OR(A961="500",A961="800",A961="810"),0,MAX(W961-Q961,0))</f>
        <v>0</v>
      </c>
      <c r="S961" s="47" t="n">
        <f aca="false">R961*L961</f>
        <v>0</v>
      </c>
      <c r="T961" s="47" t="n">
        <f aca="false">R961*J961</f>
        <v>0</v>
      </c>
      <c r="U961" s="47" t="n">
        <f aca="false">R961*K961</f>
        <v>0</v>
      </c>
      <c r="V961" s="0" t="str">
        <f aca="false">IF(COUNTIFS($A$2:A961,A961,$C$2:C961,C961,$D$2:D961,D961)&gt;1,"중복","")</f>
        <v/>
      </c>
      <c r="W961" s="0" t="n">
        <f aca="false">IF(V961="중복",0,N(D961))</f>
        <v>100</v>
      </c>
      <c r="X961" s="0" t="n">
        <f aca="false">IF(COUNTIFS($A$2:A961,A961,$C$2:C961,C961)=1,ABS(SUMIFS(RAW_발주!$D:$D,RAW_발주!$C:$C,A961,RAW_발주!$A:$A,C961)-SUMIFS($W:$W,$A:$A,A961,$C:$C,C961)),0)</f>
        <v>0</v>
      </c>
    </row>
    <row r="962" customFormat="false" ht="15" hidden="false" customHeight="true" outlineLevel="0" collapsed="false">
      <c r="A962" s="45" t="s">
        <v>1659</v>
      </c>
      <c r="B962" s="42" t="str">
        <f aca="false">IF(A962="100","HK",IF(A962="200","CN",IF(A962="300","TW","홀세일")))</f>
        <v>HK</v>
      </c>
      <c r="C962" s="45" t="s">
        <v>908</v>
      </c>
      <c r="D962" s="46" t="n">
        <v>280</v>
      </c>
      <c r="E962" s="46" t="n">
        <v>439000</v>
      </c>
      <c r="F962" s="46" t="n">
        <v>120204</v>
      </c>
      <c r="G962" s="42" t="n">
        <v>3.22</v>
      </c>
      <c r="H962" s="42" t="n">
        <v>109.9</v>
      </c>
      <c r="I962" s="42" t="n">
        <v>102.4</v>
      </c>
      <c r="J962" s="46" t="n">
        <f aca="false">IF(N(E962)&gt;0,E962,IF(N(F962)&gt;0,F962*요약!$F$27,0))</f>
        <v>439000</v>
      </c>
      <c r="K962" s="46" t="n">
        <f aca="false">IF(N(F962)&gt;0,F962,IF(N(E962)&gt;0,E962/요약!$F$27,0))</f>
        <v>120204</v>
      </c>
      <c r="L962" s="46" t="n">
        <f aca="false">IF(B962="CN",IF(N(I962)&gt;0,I962*요약!$G$27,K962*(1+요약!$E$27)),IF(N(H962)&gt;0,H962*요약!$G$27,J962*요약!$D$27))</f>
        <v>145068</v>
      </c>
      <c r="M962" s="46" t="n">
        <f aca="false">D962*J962</f>
        <v>122920000</v>
      </c>
      <c r="N962" s="46" t="n">
        <f aca="false">D962*K962</f>
        <v>33657120</v>
      </c>
      <c r="O962" s="46" t="n">
        <f aca="false">D962*L962</f>
        <v>40619040</v>
      </c>
      <c r="P962" s="42" t="str">
        <f aca="false">TRIM(IF(N(E962)&lt;=0,"택가보정 ","")&amp;IF(N(F962)&lt;=0,"원가보정 ","")&amp;IF(AND(B962&lt;&gt;"CN",N(H962)&lt;=0),"공급가보정 ","")&amp;IF(AND(B962="CN",N(I962)&lt;=0),"중국공급가=원가+마진 ",""))</f>
        <v/>
      </c>
      <c r="Q962" s="47" t="n">
        <f aca="false">IF(SUMIFS($W:$W,$A:$A,A962,$C:$C,C962)=0,0,SUMIFS(RAW_판매펀칭!$K:$K,RAW_판매펀칭!$P:$P,A962,RAW_판매펀칭!$I:$I,C962)*W962/SUMIFS($W:$W,$A:$A,A962,$C:$C,C962))</f>
        <v>280</v>
      </c>
      <c r="R962" s="47" t="n">
        <f aca="false">IF(OR(A962="500",A962="800",A962="810"),0,MAX(W962-Q962,0))</f>
        <v>0</v>
      </c>
      <c r="S962" s="47" t="n">
        <f aca="false">R962*L962</f>
        <v>0</v>
      </c>
      <c r="T962" s="47" t="n">
        <f aca="false">R962*J962</f>
        <v>0</v>
      </c>
      <c r="U962" s="47" t="n">
        <f aca="false">R962*K962</f>
        <v>0</v>
      </c>
      <c r="V962" s="0" t="str">
        <f aca="false">IF(COUNTIFS($A$2:A962,A962,$C$2:C962,C962,$D$2:D962,D962)&gt;1,"중복","")</f>
        <v/>
      </c>
      <c r="W962" s="0" t="n">
        <f aca="false">IF(V962="중복",0,N(D962))</f>
        <v>280</v>
      </c>
      <c r="X962" s="0" t="n">
        <f aca="false">IF(COUNTIFS($A$2:A962,A962,$C$2:C962,C962)=1,ABS(SUMIFS(RAW_발주!$D:$D,RAW_발주!$C:$C,A962,RAW_발주!$A:$A,C962)-SUMIFS($W:$W,$A:$A,A962,$C:$C,C962)),0)</f>
        <v>0</v>
      </c>
    </row>
    <row r="963" customFormat="false" ht="15" hidden="false" customHeight="true" outlineLevel="0" collapsed="false">
      <c r="A963" s="45" t="s">
        <v>1660</v>
      </c>
      <c r="B963" s="42" t="str">
        <f aca="false">IF(A963="100","HK",IF(A963="200","CN",IF(A963="300","TW","홀세일")))</f>
        <v>CN</v>
      </c>
      <c r="C963" s="45" t="s">
        <v>908</v>
      </c>
      <c r="D963" s="46" t="n">
        <v>262</v>
      </c>
      <c r="E963" s="46" t="n">
        <v>439000</v>
      </c>
      <c r="F963" s="46" t="n">
        <v>120204</v>
      </c>
      <c r="G963" s="42" t="n">
        <v>3.22</v>
      </c>
      <c r="H963" s="42" t="n">
        <v>109.9</v>
      </c>
      <c r="I963" s="42" t="n">
        <v>102.4</v>
      </c>
      <c r="J963" s="46" t="n">
        <f aca="false">IF(N(E963)&gt;0,E963,IF(N(F963)&gt;0,F963*요약!$F$27,0))</f>
        <v>439000</v>
      </c>
      <c r="K963" s="46" t="n">
        <f aca="false">IF(N(F963)&gt;0,F963,IF(N(E963)&gt;0,E963/요약!$F$27,0))</f>
        <v>120204</v>
      </c>
      <c r="L963" s="46" t="n">
        <f aca="false">IF(B963="CN",IF(N(I963)&gt;0,I963*요약!$G$27,K963*(1+요약!$E$27)),IF(N(H963)&gt;0,H963*요약!$G$27,J963*요약!$D$27))</f>
        <v>135168</v>
      </c>
      <c r="M963" s="46" t="n">
        <f aca="false">D963*J963</f>
        <v>115018000</v>
      </c>
      <c r="N963" s="46" t="n">
        <f aca="false">D963*K963</f>
        <v>31493448</v>
      </c>
      <c r="O963" s="46" t="n">
        <f aca="false">D963*L963</f>
        <v>35414016</v>
      </c>
      <c r="P963" s="42" t="str">
        <f aca="false">TRIM(IF(N(E963)&lt;=0,"택가보정 ","")&amp;IF(N(F963)&lt;=0,"원가보정 ","")&amp;IF(AND(B963&lt;&gt;"CN",N(H963)&lt;=0),"공급가보정 ","")&amp;IF(AND(B963="CN",N(I963)&lt;=0),"중국공급가=원가+마진 ",""))</f>
        <v/>
      </c>
      <c r="Q963" s="47" t="n">
        <f aca="false">IF(SUMIFS($W:$W,$A:$A,A963,$C:$C,C963)=0,0,SUMIFS(RAW_판매펀칭!$K:$K,RAW_판매펀칭!$P:$P,A963,RAW_판매펀칭!$I:$I,C963)*W963/SUMIFS($W:$W,$A:$A,A963,$C:$C,C963))</f>
        <v>262</v>
      </c>
      <c r="R963" s="47" t="n">
        <f aca="false">IF(OR(A963="500",A963="800",A963="810"),0,MAX(W963-Q963,0))</f>
        <v>0</v>
      </c>
      <c r="S963" s="47" t="n">
        <f aca="false">R963*L963</f>
        <v>0</v>
      </c>
      <c r="T963" s="47" t="n">
        <f aca="false">R963*J963</f>
        <v>0</v>
      </c>
      <c r="U963" s="47" t="n">
        <f aca="false">R963*K963</f>
        <v>0</v>
      </c>
      <c r="V963" s="0" t="str">
        <f aca="false">IF(COUNTIFS($A$2:A963,A963,$C$2:C963,C963,$D$2:D963,D963)&gt;1,"중복","")</f>
        <v/>
      </c>
      <c r="W963" s="0" t="n">
        <f aca="false">IF(V963="중복",0,N(D963))</f>
        <v>262</v>
      </c>
      <c r="X963" s="0" t="n">
        <f aca="false">IF(COUNTIFS($A$2:A963,A963,$C$2:C963,C963)=1,ABS(SUMIFS(RAW_발주!$D:$D,RAW_발주!$C:$C,A963,RAW_발주!$A:$A,C963)-SUMIFS($W:$W,$A:$A,A963,$C:$C,C963)),0)</f>
        <v>0</v>
      </c>
    </row>
    <row r="964" customFormat="false" ht="15" hidden="false" customHeight="true" outlineLevel="0" collapsed="false">
      <c r="A964" s="45" t="s">
        <v>1663</v>
      </c>
      <c r="B964" s="42" t="str">
        <f aca="false">IF(A964="100","HK",IF(A964="200","CN",IF(A964="300","TW","홀세일")))</f>
        <v>홀세일</v>
      </c>
      <c r="C964" s="45" t="s">
        <v>908</v>
      </c>
      <c r="D964" s="46" t="n">
        <v>30</v>
      </c>
      <c r="E964" s="46" t="n">
        <v>439000</v>
      </c>
      <c r="F964" s="46" t="n">
        <v>120204</v>
      </c>
      <c r="G964" s="42" t="n">
        <v>3.22</v>
      </c>
      <c r="H964" s="42" t="n">
        <v>109.9</v>
      </c>
      <c r="I964" s="42" t="n">
        <v>102.4</v>
      </c>
      <c r="J964" s="46" t="n">
        <f aca="false">IF(N(E964)&gt;0,E964,IF(N(F964)&gt;0,F964*요약!$F$27,0))</f>
        <v>439000</v>
      </c>
      <c r="K964" s="46" t="n">
        <f aca="false">IF(N(F964)&gt;0,F964,IF(N(E964)&gt;0,E964/요약!$F$27,0))</f>
        <v>120204</v>
      </c>
      <c r="L964" s="46" t="n">
        <f aca="false">IF(B964="CN",IF(N(I964)&gt;0,I964*요약!$G$27,K964*(1+요약!$E$27)),IF(N(H964)&gt;0,H964*요약!$G$27,J964*요약!$D$27))</f>
        <v>145068</v>
      </c>
      <c r="M964" s="46" t="n">
        <f aca="false">D964*J964</f>
        <v>13170000</v>
      </c>
      <c r="N964" s="46" t="n">
        <f aca="false">D964*K964</f>
        <v>3606120</v>
      </c>
      <c r="O964" s="46" t="n">
        <f aca="false">D964*L964</f>
        <v>4352040</v>
      </c>
      <c r="P964" s="42" t="str">
        <f aca="false">TRIM(IF(N(E964)&lt;=0,"택가보정 ","")&amp;IF(N(F964)&lt;=0,"원가보정 ","")&amp;IF(AND(B964&lt;&gt;"CN",N(H964)&lt;=0),"공급가보정 ","")&amp;IF(AND(B964="CN",N(I964)&lt;=0),"중국공급가=원가+마진 ",""))</f>
        <v/>
      </c>
      <c r="Q964" s="47" t="n">
        <f aca="false">IF(SUMIFS($W:$W,$A:$A,A964,$C:$C,C964)=0,0,SUMIFS(RAW_판매펀칭!$K:$K,RAW_판매펀칭!$P:$P,A964,RAW_판매펀칭!$I:$I,C964)*W964/SUMIFS($W:$W,$A:$A,A964,$C:$C,C964))</f>
        <v>30</v>
      </c>
      <c r="R964" s="47" t="n">
        <f aca="false">IF(OR(A964="500",A964="800",A964="810"),0,MAX(W964-Q964,0))</f>
        <v>0</v>
      </c>
      <c r="S964" s="47" t="n">
        <f aca="false">R964*L964</f>
        <v>0</v>
      </c>
      <c r="T964" s="47" t="n">
        <f aca="false">R964*J964</f>
        <v>0</v>
      </c>
      <c r="U964" s="47" t="n">
        <f aca="false">R964*K964</f>
        <v>0</v>
      </c>
      <c r="V964" s="0" t="str">
        <f aca="false">IF(COUNTIFS($A$2:A964,A964,$C$2:C964,C964,$D$2:D964,D964)&gt;1,"중복","")</f>
        <v/>
      </c>
      <c r="W964" s="0" t="n">
        <f aca="false">IF(V964="중복",0,N(D964))</f>
        <v>30</v>
      </c>
      <c r="X964" s="0" t="n">
        <f aca="false">IF(COUNTIFS($A$2:A964,A964,$C$2:C964,C964)=1,ABS(SUMIFS(RAW_발주!$D:$D,RAW_발주!$C:$C,A964,RAW_발주!$A:$A,C964)-SUMIFS($W:$W,$A:$A,A964,$C:$C,C964)),0)</f>
        <v>0</v>
      </c>
    </row>
    <row r="965" customFormat="false" ht="15" hidden="false" customHeight="true" outlineLevel="0" collapsed="false">
      <c r="A965" s="45" t="s">
        <v>1667</v>
      </c>
      <c r="B965" s="42" t="str">
        <f aca="false">IF(A965="100","HK",IF(A965="200","CN",IF(A965="300","TW","홀세일")))</f>
        <v>홀세일</v>
      </c>
      <c r="C965" s="45" t="s">
        <v>908</v>
      </c>
      <c r="D965" s="46" t="n">
        <v>52</v>
      </c>
      <c r="E965" s="46" t="n">
        <v>439000</v>
      </c>
      <c r="F965" s="46" t="n">
        <v>120204</v>
      </c>
      <c r="G965" s="42" t="n">
        <v>3.22</v>
      </c>
      <c r="H965" s="42" t="n">
        <v>109.9</v>
      </c>
      <c r="I965" s="42" t="n">
        <v>102.4</v>
      </c>
      <c r="J965" s="46" t="n">
        <f aca="false">IF(N(E965)&gt;0,E965,IF(N(F965)&gt;0,F965*요약!$F$27,0))</f>
        <v>439000</v>
      </c>
      <c r="K965" s="46" t="n">
        <f aca="false">IF(N(F965)&gt;0,F965,IF(N(E965)&gt;0,E965/요약!$F$27,0))</f>
        <v>120204</v>
      </c>
      <c r="L965" s="46" t="n">
        <f aca="false">IF(B965="CN",IF(N(I965)&gt;0,I965*요약!$G$27,K965*(1+요약!$E$27)),IF(N(H965)&gt;0,H965*요약!$G$27,J965*요약!$D$27))</f>
        <v>145068</v>
      </c>
      <c r="M965" s="46" t="n">
        <f aca="false">D965*J965</f>
        <v>22828000</v>
      </c>
      <c r="N965" s="46" t="n">
        <f aca="false">D965*K965</f>
        <v>6250608</v>
      </c>
      <c r="O965" s="46" t="n">
        <f aca="false">D965*L965</f>
        <v>7543536</v>
      </c>
      <c r="P965" s="42" t="str">
        <f aca="false">TRIM(IF(N(E965)&lt;=0,"택가보정 ","")&amp;IF(N(F965)&lt;=0,"원가보정 ","")&amp;IF(AND(B965&lt;&gt;"CN",N(H965)&lt;=0),"공급가보정 ","")&amp;IF(AND(B965="CN",N(I965)&lt;=0),"중국공급가=원가+마진 ",""))</f>
        <v/>
      </c>
      <c r="Q965" s="47" t="n">
        <f aca="false">IF(SUMIFS($W:$W,$A:$A,A965,$C:$C,C965)=0,0,SUMIFS(RAW_판매펀칭!$K:$K,RAW_판매펀칭!$P:$P,A965,RAW_판매펀칭!$I:$I,C965)*W965/SUMIFS($W:$W,$A:$A,A965,$C:$C,C965))</f>
        <v>0</v>
      </c>
      <c r="R965" s="47" t="n">
        <f aca="false">IF(OR(A965="500",A965="800",A965="810"),0,MAX(W965-Q965,0))</f>
        <v>52</v>
      </c>
      <c r="S965" s="47" t="n">
        <f aca="false">R965*L965</f>
        <v>7543536</v>
      </c>
      <c r="T965" s="47" t="n">
        <f aca="false">R965*J965</f>
        <v>22828000</v>
      </c>
      <c r="U965" s="47" t="n">
        <f aca="false">R965*K965</f>
        <v>6250608</v>
      </c>
      <c r="V965" s="0" t="str">
        <f aca="false">IF(COUNTIFS($A$2:A965,A965,$C$2:C965,C965,$D$2:D965,D965)&gt;1,"중복","")</f>
        <v/>
      </c>
      <c r="W965" s="0" t="n">
        <f aca="false">IF(V965="중복",0,N(D965))</f>
        <v>52</v>
      </c>
      <c r="X965" s="0" t="n">
        <f aca="false">IF(COUNTIFS($A$2:A965,A965,$C$2:C965,C965)=1,ABS(SUMIFS(RAW_발주!$D:$D,RAW_발주!$C:$C,A965,RAW_발주!$A:$A,C965)-SUMIFS($W:$W,$A:$A,A965,$C:$C,C965)),0)</f>
        <v>0</v>
      </c>
    </row>
    <row r="966" customFormat="false" ht="15" hidden="false" customHeight="true" outlineLevel="0" collapsed="false">
      <c r="A966" s="45" t="s">
        <v>1660</v>
      </c>
      <c r="B966" s="42" t="str">
        <f aca="false">IF(A966="100","HK",IF(A966="200","CN",IF(A966="300","TW","홀세일")))</f>
        <v>CN</v>
      </c>
      <c r="C966" s="45" t="s">
        <v>1069</v>
      </c>
      <c r="D966" s="46" t="n">
        <v>202</v>
      </c>
      <c r="E966" s="46" t="n">
        <v>499000</v>
      </c>
      <c r="F966" s="46" t="n">
        <v>175400</v>
      </c>
      <c r="G966" s="42" t="n">
        <v>2.48</v>
      </c>
      <c r="H966" s="42" t="n">
        <v>124.9</v>
      </c>
      <c r="I966" s="42" t="n">
        <v>139.7</v>
      </c>
      <c r="J966" s="46" t="n">
        <f aca="false">IF(N(E966)&gt;0,E966,IF(N(F966)&gt;0,F966*요약!$F$27,0))</f>
        <v>499000</v>
      </c>
      <c r="K966" s="46" t="n">
        <f aca="false">IF(N(F966)&gt;0,F966,IF(N(E966)&gt;0,E966/요약!$F$27,0))</f>
        <v>175400</v>
      </c>
      <c r="L966" s="46" t="n">
        <f aca="false">IF(B966="CN",IF(N(I966)&gt;0,I966*요약!$G$27,K966*(1+요약!$E$27)),IF(N(H966)&gt;0,H966*요약!$G$27,J966*요약!$D$27))</f>
        <v>184404</v>
      </c>
      <c r="M966" s="46" t="n">
        <f aca="false">D966*J966</f>
        <v>100798000</v>
      </c>
      <c r="N966" s="46" t="n">
        <f aca="false">D966*K966</f>
        <v>35430800</v>
      </c>
      <c r="O966" s="46" t="n">
        <f aca="false">D966*L966</f>
        <v>37249608</v>
      </c>
      <c r="P966" s="42" t="str">
        <f aca="false">TRIM(IF(N(E966)&lt;=0,"택가보정 ","")&amp;IF(N(F966)&lt;=0,"원가보정 ","")&amp;IF(AND(B966&lt;&gt;"CN",N(H966)&lt;=0),"공급가보정 ","")&amp;IF(AND(B966="CN",N(I966)&lt;=0),"중국공급가=원가+마진 ",""))</f>
        <v/>
      </c>
      <c r="Q966" s="47" t="n">
        <f aca="false">IF(SUMIFS($W:$W,$A:$A,A966,$C:$C,C966)=0,0,SUMIFS(RAW_판매펀칭!$K:$K,RAW_판매펀칭!$P:$P,A966,RAW_판매펀칭!$I:$I,C966)*W966/SUMIFS($W:$W,$A:$A,A966,$C:$C,C966))</f>
        <v>2</v>
      </c>
      <c r="R966" s="47" t="n">
        <f aca="false">IF(OR(A966="500",A966="800",A966="810"),0,MAX(W966-Q966,0))</f>
        <v>200</v>
      </c>
      <c r="S966" s="47" t="n">
        <f aca="false">R966*L966</f>
        <v>36880800</v>
      </c>
      <c r="T966" s="47" t="n">
        <f aca="false">R966*J966</f>
        <v>99800000</v>
      </c>
      <c r="U966" s="47" t="n">
        <f aca="false">R966*K966</f>
        <v>35080000</v>
      </c>
      <c r="V966" s="0" t="str">
        <f aca="false">IF(COUNTIFS($A$2:A966,A966,$C$2:C966,C966,$D$2:D966,D966)&gt;1,"중복","")</f>
        <v/>
      </c>
      <c r="W966" s="0" t="n">
        <f aca="false">IF(V966="중복",0,N(D966))</f>
        <v>202</v>
      </c>
      <c r="X966" s="0" t="n">
        <f aca="false">IF(COUNTIFS($A$2:A966,A966,$C$2:C966,C966)=1,ABS(SUMIFS(RAW_발주!$D:$D,RAW_발주!$C:$C,A966,RAW_발주!$A:$A,C966)-SUMIFS($W:$W,$A:$A,A966,$C:$C,C966)),0)</f>
        <v>0</v>
      </c>
    </row>
    <row r="967" customFormat="false" ht="15" hidden="false" customHeight="true" outlineLevel="0" collapsed="false">
      <c r="A967" s="45" t="s">
        <v>1661</v>
      </c>
      <c r="B967" s="42" t="str">
        <f aca="false">IF(A967="100","HK",IF(A967="200","CN",IF(A967="300","TW","홀세일")))</f>
        <v>TW</v>
      </c>
      <c r="C967" s="45" t="s">
        <v>1069</v>
      </c>
      <c r="D967" s="46" t="n">
        <v>40</v>
      </c>
      <c r="E967" s="46" t="n">
        <v>499000</v>
      </c>
      <c r="F967" s="46" t="n">
        <v>175400</v>
      </c>
      <c r="G967" s="42" t="n">
        <v>2.48</v>
      </c>
      <c r="H967" s="42" t="n">
        <v>124.9</v>
      </c>
      <c r="I967" s="42" t="n">
        <v>139.7</v>
      </c>
      <c r="J967" s="46" t="n">
        <f aca="false">IF(N(E967)&gt;0,E967,IF(N(F967)&gt;0,F967*요약!$F$27,0))</f>
        <v>499000</v>
      </c>
      <c r="K967" s="46" t="n">
        <f aca="false">IF(N(F967)&gt;0,F967,IF(N(E967)&gt;0,E967/요약!$F$27,0))</f>
        <v>175400</v>
      </c>
      <c r="L967" s="46" t="n">
        <f aca="false">IF(B967="CN",IF(N(I967)&gt;0,I967*요약!$G$27,K967*(1+요약!$E$27)),IF(N(H967)&gt;0,H967*요약!$G$27,J967*요약!$D$27))</f>
        <v>164868</v>
      </c>
      <c r="M967" s="46" t="n">
        <f aca="false">D967*J967</f>
        <v>19960000</v>
      </c>
      <c r="N967" s="46" t="n">
        <f aca="false">D967*K967</f>
        <v>7016000</v>
      </c>
      <c r="O967" s="46" t="n">
        <f aca="false">D967*L967</f>
        <v>6594720</v>
      </c>
      <c r="P967" s="42" t="str">
        <f aca="false">TRIM(IF(N(E967)&lt;=0,"택가보정 ","")&amp;IF(N(F967)&lt;=0,"원가보정 ","")&amp;IF(AND(B967&lt;&gt;"CN",N(H967)&lt;=0),"공급가보정 ","")&amp;IF(AND(B967="CN",N(I967)&lt;=0),"중국공급가=원가+마진 ",""))</f>
        <v/>
      </c>
      <c r="Q967" s="47" t="n">
        <f aca="false">IF(SUMIFS($W:$W,$A:$A,A967,$C:$C,C967)=0,0,SUMIFS(RAW_판매펀칭!$K:$K,RAW_판매펀칭!$P:$P,A967,RAW_판매펀칭!$I:$I,C967)*W967/SUMIFS($W:$W,$A:$A,A967,$C:$C,C967))</f>
        <v>0</v>
      </c>
      <c r="R967" s="47" t="n">
        <f aca="false">IF(OR(A967="500",A967="800",A967="810"),0,MAX(W967-Q967,0))</f>
        <v>40</v>
      </c>
      <c r="S967" s="47" t="n">
        <f aca="false">R967*L967</f>
        <v>6594720</v>
      </c>
      <c r="T967" s="47" t="n">
        <f aca="false">R967*J967</f>
        <v>19960000</v>
      </c>
      <c r="U967" s="47" t="n">
        <f aca="false">R967*K967</f>
        <v>7016000</v>
      </c>
      <c r="V967" s="0" t="str">
        <f aca="false">IF(COUNTIFS($A$2:A967,A967,$C$2:C967,C967,$D$2:D967,D967)&gt;1,"중복","")</f>
        <v/>
      </c>
      <c r="W967" s="0" t="n">
        <f aca="false">IF(V967="중복",0,N(D967))</f>
        <v>40</v>
      </c>
      <c r="X967" s="0" t="n">
        <f aca="false">IF(COUNTIFS($A$2:A967,A967,$C$2:C967,C967)=1,ABS(SUMIFS(RAW_발주!$D:$D,RAW_발주!$C:$C,A967,RAW_발주!$A:$A,C967)-SUMIFS($W:$W,$A:$A,A967,$C:$C,C967)),0)</f>
        <v>0</v>
      </c>
    </row>
    <row r="968" customFormat="false" ht="15" hidden="false" customHeight="true" outlineLevel="0" collapsed="false">
      <c r="A968" s="45" t="s">
        <v>1662</v>
      </c>
      <c r="B968" s="42" t="str">
        <f aca="false">IF(A968="100","HK",IF(A968="200","CN",IF(A968="300","TW","홀세일")))</f>
        <v>홀세일</v>
      </c>
      <c r="C968" s="45" t="s">
        <v>1069</v>
      </c>
      <c r="D968" s="46" t="n">
        <v>60</v>
      </c>
      <c r="E968" s="46" t="n">
        <v>499000</v>
      </c>
      <c r="F968" s="46" t="n">
        <v>175400</v>
      </c>
      <c r="G968" s="42" t="n">
        <v>2.48</v>
      </c>
      <c r="H968" s="42" t="n">
        <v>124.9</v>
      </c>
      <c r="I968" s="42" t="n">
        <v>139.7</v>
      </c>
      <c r="J968" s="46" t="n">
        <f aca="false">IF(N(E968)&gt;0,E968,IF(N(F968)&gt;0,F968*요약!$F$27,0))</f>
        <v>499000</v>
      </c>
      <c r="K968" s="46" t="n">
        <f aca="false">IF(N(F968)&gt;0,F968,IF(N(E968)&gt;0,E968/요약!$F$27,0))</f>
        <v>175400</v>
      </c>
      <c r="L968" s="46" t="n">
        <f aca="false">IF(B968="CN",IF(N(I968)&gt;0,I968*요약!$G$27,K968*(1+요약!$E$27)),IF(N(H968)&gt;0,H968*요약!$G$27,J968*요약!$D$27))</f>
        <v>164868</v>
      </c>
      <c r="M968" s="46" t="n">
        <f aca="false">D968*J968</f>
        <v>29940000</v>
      </c>
      <c r="N968" s="46" t="n">
        <f aca="false">D968*K968</f>
        <v>10524000</v>
      </c>
      <c r="O968" s="46" t="n">
        <f aca="false">D968*L968</f>
        <v>9892080</v>
      </c>
      <c r="P968" s="42" t="str">
        <f aca="false">TRIM(IF(N(E968)&lt;=0,"택가보정 ","")&amp;IF(N(F968)&lt;=0,"원가보정 ","")&amp;IF(AND(B968&lt;&gt;"CN",N(H968)&lt;=0),"공급가보정 ","")&amp;IF(AND(B968="CN",N(I968)&lt;=0),"중국공급가=원가+마진 ",""))</f>
        <v/>
      </c>
      <c r="Q968" s="47" t="n">
        <f aca="false">IF(SUMIFS($W:$W,$A:$A,A968,$C:$C,C968)=0,0,SUMIFS(RAW_판매펀칭!$K:$K,RAW_판매펀칭!$P:$P,A968,RAW_판매펀칭!$I:$I,C968)*W968/SUMIFS($W:$W,$A:$A,A968,$C:$C,C968))</f>
        <v>0</v>
      </c>
      <c r="R968" s="47" t="n">
        <f aca="false">IF(OR(A968="500",A968="800",A968="810"),0,MAX(W968-Q968,0))</f>
        <v>0</v>
      </c>
      <c r="S968" s="47" t="n">
        <f aca="false">R968*L968</f>
        <v>0</v>
      </c>
      <c r="T968" s="47" t="n">
        <f aca="false">R968*J968</f>
        <v>0</v>
      </c>
      <c r="U968" s="47" t="n">
        <f aca="false">R968*K968</f>
        <v>0</v>
      </c>
      <c r="V968" s="0" t="str">
        <f aca="false">IF(COUNTIFS($A$2:A968,A968,$C$2:C968,C968,$D$2:D968,D968)&gt;1,"중복","")</f>
        <v/>
      </c>
      <c r="W968" s="0" t="n">
        <f aca="false">IF(V968="중복",0,N(D968))</f>
        <v>60</v>
      </c>
      <c r="X968" s="0" t="n">
        <f aca="false">IF(COUNTIFS($A$2:A968,A968,$C$2:C968,C968)=1,ABS(SUMIFS(RAW_발주!$D:$D,RAW_발주!$C:$C,A968,RAW_발주!$A:$A,C968)-SUMIFS($W:$W,$A:$A,A968,$C:$C,C968)),0)</f>
        <v>0</v>
      </c>
    </row>
    <row r="969" customFormat="false" ht="15" hidden="false" customHeight="true" outlineLevel="0" collapsed="false">
      <c r="A969" s="45" t="s">
        <v>1664</v>
      </c>
      <c r="B969" s="42" t="str">
        <f aca="false">IF(A969="100","HK",IF(A969="200","CN",IF(A969="300","TW","홀세일")))</f>
        <v>홀세일</v>
      </c>
      <c r="C969" s="45" t="s">
        <v>1069</v>
      </c>
      <c r="D969" s="46" t="n">
        <v>50</v>
      </c>
      <c r="E969" s="46" t="n">
        <v>499000</v>
      </c>
      <c r="F969" s="46" t="n">
        <v>175400</v>
      </c>
      <c r="G969" s="42" t="n">
        <v>2.48</v>
      </c>
      <c r="H969" s="42" t="n">
        <v>124.9</v>
      </c>
      <c r="I969" s="42" t="n">
        <v>139.7</v>
      </c>
      <c r="J969" s="46" t="n">
        <f aca="false">IF(N(E969)&gt;0,E969,IF(N(F969)&gt;0,F969*요약!$F$27,0))</f>
        <v>499000</v>
      </c>
      <c r="K969" s="46" t="n">
        <f aca="false">IF(N(F969)&gt;0,F969,IF(N(E969)&gt;0,E969/요약!$F$27,0))</f>
        <v>175400</v>
      </c>
      <c r="L969" s="46" t="n">
        <f aca="false">IF(B969="CN",IF(N(I969)&gt;0,I969*요약!$G$27,K969*(1+요약!$E$27)),IF(N(H969)&gt;0,H969*요약!$G$27,J969*요약!$D$27))</f>
        <v>164868</v>
      </c>
      <c r="M969" s="46" t="n">
        <f aca="false">D969*J969</f>
        <v>24950000</v>
      </c>
      <c r="N969" s="46" t="n">
        <f aca="false">D969*K969</f>
        <v>8770000</v>
      </c>
      <c r="O969" s="46" t="n">
        <f aca="false">D969*L969</f>
        <v>8243400</v>
      </c>
      <c r="P969" s="42" t="str">
        <f aca="false">TRIM(IF(N(E969)&lt;=0,"택가보정 ","")&amp;IF(N(F969)&lt;=0,"원가보정 ","")&amp;IF(AND(B969&lt;&gt;"CN",N(H969)&lt;=0),"공급가보정 ","")&amp;IF(AND(B969="CN",N(I969)&lt;=0),"중국공급가=원가+마진 ",""))</f>
        <v/>
      </c>
      <c r="Q969" s="47" t="n">
        <f aca="false">IF(SUMIFS($W:$W,$A:$A,A969,$C:$C,C969)=0,0,SUMIFS(RAW_판매펀칭!$K:$K,RAW_판매펀칭!$P:$P,A969,RAW_판매펀칭!$I:$I,C969)*W969/SUMIFS($W:$W,$A:$A,A969,$C:$C,C969))</f>
        <v>0</v>
      </c>
      <c r="R969" s="47" t="n">
        <f aca="false">IF(OR(A969="500",A969="800",A969="810"),0,MAX(W969-Q969,0))</f>
        <v>0</v>
      </c>
      <c r="S969" s="47" t="n">
        <f aca="false">R969*L969</f>
        <v>0</v>
      </c>
      <c r="T969" s="47" t="n">
        <f aca="false">R969*J969</f>
        <v>0</v>
      </c>
      <c r="U969" s="47" t="n">
        <f aca="false">R969*K969</f>
        <v>0</v>
      </c>
      <c r="V969" s="0" t="str">
        <f aca="false">IF(COUNTIFS($A$2:A969,A969,$C$2:C969,C969,$D$2:D969,D969)&gt;1,"중복","")</f>
        <v/>
      </c>
      <c r="W969" s="0" t="n">
        <f aca="false">IF(V969="중복",0,N(D969))</f>
        <v>50</v>
      </c>
      <c r="X969" s="0" t="n">
        <f aca="false">IF(COUNTIFS($A$2:A969,A969,$C$2:C969,C969)=1,ABS(SUMIFS(RAW_발주!$D:$D,RAW_발주!$C:$C,A969,RAW_발주!$A:$A,C969)-SUMIFS($W:$W,$A:$A,A969,$C:$C,C969)),0)</f>
        <v>0</v>
      </c>
    </row>
    <row r="970" customFormat="false" ht="15" hidden="false" customHeight="true" outlineLevel="0" collapsed="false">
      <c r="A970" s="45" t="s">
        <v>1660</v>
      </c>
      <c r="B970" s="42" t="str">
        <f aca="false">IF(A970="100","HK",IF(A970="200","CN",IF(A970="300","TW","홀세일")))</f>
        <v>CN</v>
      </c>
      <c r="C970" s="45" t="s">
        <v>1071</v>
      </c>
      <c r="D970" s="46" t="n">
        <v>71</v>
      </c>
      <c r="E970" s="46" t="n">
        <v>590000</v>
      </c>
      <c r="F970" s="46" t="n">
        <v>162500</v>
      </c>
      <c r="G970" s="42" t="n">
        <v>3.32</v>
      </c>
      <c r="H970" s="42" t="n">
        <v>147.7</v>
      </c>
      <c r="I970" s="42" t="n">
        <v>129.4</v>
      </c>
      <c r="J970" s="46" t="n">
        <f aca="false">IF(N(E970)&gt;0,E970,IF(N(F970)&gt;0,F970*요약!$F$27,0))</f>
        <v>590000</v>
      </c>
      <c r="K970" s="46" t="n">
        <f aca="false">IF(N(F970)&gt;0,F970,IF(N(E970)&gt;0,E970/요약!$F$27,0))</f>
        <v>162500</v>
      </c>
      <c r="L970" s="46" t="n">
        <f aca="false">IF(B970="CN",IF(N(I970)&gt;0,I970*요약!$G$27,K970*(1+요약!$E$27)),IF(N(H970)&gt;0,H970*요약!$G$27,J970*요약!$D$27))</f>
        <v>170808</v>
      </c>
      <c r="M970" s="46" t="n">
        <f aca="false">D970*J970</f>
        <v>41890000</v>
      </c>
      <c r="N970" s="46" t="n">
        <f aca="false">D970*K970</f>
        <v>11537500</v>
      </c>
      <c r="O970" s="46" t="n">
        <f aca="false">D970*L970</f>
        <v>12127368</v>
      </c>
      <c r="P970" s="42" t="str">
        <f aca="false">TRIM(IF(N(E970)&lt;=0,"택가보정 ","")&amp;IF(N(F970)&lt;=0,"원가보정 ","")&amp;IF(AND(B970&lt;&gt;"CN",N(H970)&lt;=0),"공급가보정 ","")&amp;IF(AND(B970="CN",N(I970)&lt;=0),"중국공급가=원가+마진 ",""))</f>
        <v/>
      </c>
      <c r="Q970" s="47" t="n">
        <f aca="false">IF(SUMIFS($W:$W,$A:$A,A970,$C:$C,C970)=0,0,SUMIFS(RAW_판매펀칭!$K:$K,RAW_판매펀칭!$P:$P,A970,RAW_판매펀칭!$I:$I,C970)*W970/SUMIFS($W:$W,$A:$A,A970,$C:$C,C970))</f>
        <v>1</v>
      </c>
      <c r="R970" s="47" t="n">
        <f aca="false">IF(OR(A970="500",A970="800",A970="810"),0,MAX(W970-Q970,0))</f>
        <v>70</v>
      </c>
      <c r="S970" s="47" t="n">
        <f aca="false">R970*L970</f>
        <v>11956560</v>
      </c>
      <c r="T970" s="47" t="n">
        <f aca="false">R970*J970</f>
        <v>41300000</v>
      </c>
      <c r="U970" s="47" t="n">
        <f aca="false">R970*K970</f>
        <v>11375000</v>
      </c>
      <c r="V970" s="0" t="str">
        <f aca="false">IF(COUNTIFS($A$2:A970,A970,$C$2:C970,C970,$D$2:D970,D970)&gt;1,"중복","")</f>
        <v/>
      </c>
      <c r="W970" s="0" t="n">
        <f aca="false">IF(V970="중복",0,N(D970))</f>
        <v>71</v>
      </c>
      <c r="X970" s="0" t="n">
        <f aca="false">IF(COUNTIFS($A$2:A970,A970,$C$2:C970,C970)=1,ABS(SUMIFS(RAW_발주!$D:$D,RAW_발주!$C:$C,A970,RAW_발주!$A:$A,C970)-SUMIFS($W:$W,$A:$A,A970,$C:$C,C970)),0)</f>
        <v>0</v>
      </c>
    </row>
    <row r="971" customFormat="false" ht="15" hidden="false" customHeight="true" outlineLevel="0" collapsed="false">
      <c r="A971" s="45" t="s">
        <v>1661</v>
      </c>
      <c r="B971" s="42" t="str">
        <f aca="false">IF(A971="100","HK",IF(A971="200","CN",IF(A971="300","TW","홀세일")))</f>
        <v>TW</v>
      </c>
      <c r="C971" s="45" t="s">
        <v>1071</v>
      </c>
      <c r="D971" s="46" t="n">
        <v>70</v>
      </c>
      <c r="E971" s="46" t="n">
        <v>590000</v>
      </c>
      <c r="F971" s="46" t="n">
        <v>162500</v>
      </c>
      <c r="G971" s="42" t="n">
        <v>3.32</v>
      </c>
      <c r="H971" s="42" t="n">
        <v>147.7</v>
      </c>
      <c r="I971" s="42" t="n">
        <v>129.4</v>
      </c>
      <c r="J971" s="46" t="n">
        <f aca="false">IF(N(E971)&gt;0,E971,IF(N(F971)&gt;0,F971*요약!$F$27,0))</f>
        <v>590000</v>
      </c>
      <c r="K971" s="46" t="n">
        <f aca="false">IF(N(F971)&gt;0,F971,IF(N(E971)&gt;0,E971/요약!$F$27,0))</f>
        <v>162500</v>
      </c>
      <c r="L971" s="46" t="n">
        <f aca="false">IF(B971="CN",IF(N(I971)&gt;0,I971*요약!$G$27,K971*(1+요약!$E$27)),IF(N(H971)&gt;0,H971*요약!$G$27,J971*요약!$D$27))</f>
        <v>194964</v>
      </c>
      <c r="M971" s="46" t="n">
        <f aca="false">D971*J971</f>
        <v>41300000</v>
      </c>
      <c r="N971" s="46" t="n">
        <f aca="false">D971*K971</f>
        <v>11375000</v>
      </c>
      <c r="O971" s="46" t="n">
        <f aca="false">D971*L971</f>
        <v>13647480</v>
      </c>
      <c r="P971" s="42" t="str">
        <f aca="false">TRIM(IF(N(E971)&lt;=0,"택가보정 ","")&amp;IF(N(F971)&lt;=0,"원가보정 ","")&amp;IF(AND(B971&lt;&gt;"CN",N(H971)&lt;=0),"공급가보정 ","")&amp;IF(AND(B971="CN",N(I971)&lt;=0),"중국공급가=원가+마진 ",""))</f>
        <v/>
      </c>
      <c r="Q971" s="47" t="n">
        <f aca="false">IF(SUMIFS($W:$W,$A:$A,A971,$C:$C,C971)=0,0,SUMIFS(RAW_판매펀칭!$K:$K,RAW_판매펀칭!$P:$P,A971,RAW_판매펀칭!$I:$I,C971)*W971/SUMIFS($W:$W,$A:$A,A971,$C:$C,C971))</f>
        <v>0</v>
      </c>
      <c r="R971" s="47" t="n">
        <f aca="false">IF(OR(A971="500",A971="800",A971="810"),0,MAX(W971-Q971,0))</f>
        <v>70</v>
      </c>
      <c r="S971" s="47" t="n">
        <f aca="false">R971*L971</f>
        <v>13647480</v>
      </c>
      <c r="T971" s="47" t="n">
        <f aca="false">R971*J971</f>
        <v>41300000</v>
      </c>
      <c r="U971" s="47" t="n">
        <f aca="false">R971*K971</f>
        <v>11375000</v>
      </c>
      <c r="V971" s="0" t="str">
        <f aca="false">IF(COUNTIFS($A$2:A971,A971,$C$2:C971,C971,$D$2:D971,D971)&gt;1,"중복","")</f>
        <v/>
      </c>
      <c r="W971" s="0" t="n">
        <f aca="false">IF(V971="중복",0,N(D971))</f>
        <v>70</v>
      </c>
      <c r="X971" s="0" t="n">
        <f aca="false">IF(COUNTIFS($A$2:A971,A971,$C$2:C971,C971)=1,ABS(SUMIFS(RAW_발주!$D:$D,RAW_발주!$C:$C,A971,RAW_발주!$A:$A,C971)-SUMIFS($W:$W,$A:$A,A971,$C:$C,C971)),0)</f>
        <v>0</v>
      </c>
    </row>
    <row r="972" customFormat="false" ht="15" hidden="false" customHeight="true" outlineLevel="0" collapsed="false">
      <c r="A972" s="45" t="s">
        <v>1662</v>
      </c>
      <c r="B972" s="42" t="str">
        <f aca="false">IF(A972="100","HK",IF(A972="200","CN",IF(A972="300","TW","홀세일")))</f>
        <v>홀세일</v>
      </c>
      <c r="C972" s="45" t="s">
        <v>1071</v>
      </c>
      <c r="D972" s="46" t="n">
        <v>30</v>
      </c>
      <c r="E972" s="46" t="n">
        <v>590000</v>
      </c>
      <c r="F972" s="46" t="n">
        <v>162500</v>
      </c>
      <c r="G972" s="42" t="n">
        <v>3.32</v>
      </c>
      <c r="H972" s="42" t="n">
        <v>147.7</v>
      </c>
      <c r="I972" s="42" t="n">
        <v>129.4</v>
      </c>
      <c r="J972" s="46" t="n">
        <f aca="false">IF(N(E972)&gt;0,E972,IF(N(F972)&gt;0,F972*요약!$F$27,0))</f>
        <v>590000</v>
      </c>
      <c r="K972" s="46" t="n">
        <f aca="false">IF(N(F972)&gt;0,F972,IF(N(E972)&gt;0,E972/요약!$F$27,0))</f>
        <v>162500</v>
      </c>
      <c r="L972" s="46" t="n">
        <f aca="false">IF(B972="CN",IF(N(I972)&gt;0,I972*요약!$G$27,K972*(1+요약!$E$27)),IF(N(H972)&gt;0,H972*요약!$G$27,J972*요약!$D$27))</f>
        <v>194964</v>
      </c>
      <c r="M972" s="46" t="n">
        <f aca="false">D972*J972</f>
        <v>17700000</v>
      </c>
      <c r="N972" s="46" t="n">
        <f aca="false">D972*K972</f>
        <v>4875000</v>
      </c>
      <c r="O972" s="46" t="n">
        <f aca="false">D972*L972</f>
        <v>5848920</v>
      </c>
      <c r="P972" s="42" t="str">
        <f aca="false">TRIM(IF(N(E972)&lt;=0,"택가보정 ","")&amp;IF(N(F972)&lt;=0,"원가보정 ","")&amp;IF(AND(B972&lt;&gt;"CN",N(H972)&lt;=0),"공급가보정 ","")&amp;IF(AND(B972="CN",N(I972)&lt;=0),"중국공급가=원가+마진 ",""))</f>
        <v/>
      </c>
      <c r="Q972" s="47" t="n">
        <f aca="false">IF(SUMIFS($W:$W,$A:$A,A972,$C:$C,C972)=0,0,SUMIFS(RAW_판매펀칭!$K:$K,RAW_판매펀칭!$P:$P,A972,RAW_판매펀칭!$I:$I,C972)*W972/SUMIFS($W:$W,$A:$A,A972,$C:$C,C972))</f>
        <v>0</v>
      </c>
      <c r="R972" s="47" t="n">
        <f aca="false">IF(OR(A972="500",A972="800",A972="810"),0,MAX(W972-Q972,0))</f>
        <v>0</v>
      </c>
      <c r="S972" s="47" t="n">
        <f aca="false">R972*L972</f>
        <v>0</v>
      </c>
      <c r="T972" s="47" t="n">
        <f aca="false">R972*J972</f>
        <v>0</v>
      </c>
      <c r="U972" s="47" t="n">
        <f aca="false">R972*K972</f>
        <v>0</v>
      </c>
      <c r="V972" s="0" t="str">
        <f aca="false">IF(COUNTIFS($A$2:A972,A972,$C$2:C972,C972,$D$2:D972,D972)&gt;1,"중복","")</f>
        <v/>
      </c>
      <c r="W972" s="0" t="n">
        <f aca="false">IF(V972="중복",0,N(D972))</f>
        <v>30</v>
      </c>
      <c r="X972" s="0" t="n">
        <f aca="false">IF(COUNTIFS($A$2:A972,A972,$C$2:C972,C972)=1,ABS(SUMIFS(RAW_발주!$D:$D,RAW_발주!$C:$C,A972,RAW_발주!$A:$A,C972)-SUMIFS($W:$W,$A:$A,A972,$C:$C,C972)),0)</f>
        <v>0</v>
      </c>
    </row>
    <row r="973" customFormat="false" ht="15" hidden="false" customHeight="true" outlineLevel="0" collapsed="false">
      <c r="A973" s="45" t="s">
        <v>1659</v>
      </c>
      <c r="B973" s="42" t="str">
        <f aca="false">IF(A973="100","HK",IF(A973="200","CN",IF(A973="300","TW","홀세일")))</f>
        <v>HK</v>
      </c>
      <c r="C973" s="45" t="s">
        <v>483</v>
      </c>
      <c r="D973" s="46" t="n">
        <v>140</v>
      </c>
      <c r="E973" s="46" t="n">
        <v>259000</v>
      </c>
      <c r="F973" s="46" t="n">
        <v>78500</v>
      </c>
      <c r="G973" s="42" t="n">
        <v>3.3</v>
      </c>
      <c r="H973" s="42" t="n">
        <v>64.9</v>
      </c>
      <c r="I973" s="42" t="n">
        <v>0</v>
      </c>
      <c r="J973" s="46" t="n">
        <f aca="false">IF(N(E973)&gt;0,E973,IF(N(F973)&gt;0,F973*요약!$F$27,0))</f>
        <v>259000</v>
      </c>
      <c r="K973" s="46" t="n">
        <f aca="false">IF(N(F973)&gt;0,F973,IF(N(E973)&gt;0,E973/요약!$F$27,0))</f>
        <v>78500</v>
      </c>
      <c r="L973" s="46" t="n">
        <f aca="false">IF(B973="CN",IF(N(I973)&gt;0,I973*요약!$G$27,K973*(1+요약!$E$27)),IF(N(H973)&gt;0,H973*요약!$G$27,J973*요약!$D$27))</f>
        <v>85668</v>
      </c>
      <c r="M973" s="46" t="n">
        <f aca="false">D973*J973</f>
        <v>36260000</v>
      </c>
      <c r="N973" s="46" t="n">
        <f aca="false">D973*K973</f>
        <v>10990000</v>
      </c>
      <c r="O973" s="46" t="n">
        <f aca="false">D973*L973</f>
        <v>11993520</v>
      </c>
      <c r="P973" s="42" t="str">
        <f aca="false">TRIM(IF(N(E973)&lt;=0,"택가보정 ","")&amp;IF(N(F973)&lt;=0,"원가보정 ","")&amp;IF(AND(B973&lt;&gt;"CN",N(H973)&lt;=0),"공급가보정 ","")&amp;IF(AND(B973="CN",N(I973)&lt;=0),"중국공급가=원가+마진 ",""))</f>
        <v/>
      </c>
      <c r="Q973" s="47" t="n">
        <f aca="false">IF(SUMIFS($W:$W,$A:$A,A973,$C:$C,C973)=0,0,SUMIFS(RAW_판매펀칭!$K:$K,RAW_판매펀칭!$P:$P,A973,RAW_판매펀칭!$I:$I,C973)*W973/SUMIFS($W:$W,$A:$A,A973,$C:$C,C973))</f>
        <v>140</v>
      </c>
      <c r="R973" s="47" t="n">
        <f aca="false">IF(OR(A973="500",A973="800",A973="810"),0,MAX(W973-Q973,0))</f>
        <v>0</v>
      </c>
      <c r="S973" s="47" t="n">
        <f aca="false">R973*L973</f>
        <v>0</v>
      </c>
      <c r="T973" s="47" t="n">
        <f aca="false">R973*J973</f>
        <v>0</v>
      </c>
      <c r="U973" s="47" t="n">
        <f aca="false">R973*K973</f>
        <v>0</v>
      </c>
      <c r="V973" s="0" t="str">
        <f aca="false">IF(COUNTIFS($A$2:A973,A973,$C$2:C973,C973,$D$2:D973,D973)&gt;1,"중복","")</f>
        <v/>
      </c>
      <c r="W973" s="0" t="n">
        <f aca="false">IF(V973="중복",0,N(D973))</f>
        <v>140</v>
      </c>
      <c r="X973" s="0" t="n">
        <f aca="false">IF(COUNTIFS($A$2:A973,A973,$C$2:C973,C973)=1,ABS(SUMIFS(RAW_발주!$D:$D,RAW_발주!$C:$C,A973,RAW_발주!$A:$A,C973)-SUMIFS($W:$W,$A:$A,A973,$C:$C,C973)),0)</f>
        <v>0</v>
      </c>
    </row>
    <row r="974" customFormat="false" ht="15" hidden="false" customHeight="true" outlineLevel="0" collapsed="false">
      <c r="A974" s="45" t="s">
        <v>1661</v>
      </c>
      <c r="B974" s="42" t="str">
        <f aca="false">IF(A974="100","HK",IF(A974="200","CN",IF(A974="300","TW","홀세일")))</f>
        <v>TW</v>
      </c>
      <c r="C974" s="45" t="s">
        <v>483</v>
      </c>
      <c r="D974" s="46" t="n">
        <v>50</v>
      </c>
      <c r="E974" s="46" t="n">
        <v>259000</v>
      </c>
      <c r="F974" s="46" t="n">
        <v>78500</v>
      </c>
      <c r="G974" s="42" t="n">
        <v>3.3</v>
      </c>
      <c r="H974" s="42" t="n">
        <v>64.9</v>
      </c>
      <c r="I974" s="42" t="n">
        <v>0</v>
      </c>
      <c r="J974" s="46" t="n">
        <f aca="false">IF(N(E974)&gt;0,E974,IF(N(F974)&gt;0,F974*요약!$F$27,0))</f>
        <v>259000</v>
      </c>
      <c r="K974" s="46" t="n">
        <f aca="false">IF(N(F974)&gt;0,F974,IF(N(E974)&gt;0,E974/요약!$F$27,0))</f>
        <v>78500</v>
      </c>
      <c r="L974" s="46" t="n">
        <f aca="false">IF(B974="CN",IF(N(I974)&gt;0,I974*요약!$G$27,K974*(1+요약!$E$27)),IF(N(H974)&gt;0,H974*요약!$G$27,J974*요약!$D$27))</f>
        <v>85668</v>
      </c>
      <c r="M974" s="46" t="n">
        <f aca="false">D974*J974</f>
        <v>12950000</v>
      </c>
      <c r="N974" s="46" t="n">
        <f aca="false">D974*K974</f>
        <v>3925000</v>
      </c>
      <c r="O974" s="46" t="n">
        <f aca="false">D974*L974</f>
        <v>4283400</v>
      </c>
      <c r="P974" s="42" t="str">
        <f aca="false">TRIM(IF(N(E974)&lt;=0,"택가보정 ","")&amp;IF(N(F974)&lt;=0,"원가보정 ","")&amp;IF(AND(B974&lt;&gt;"CN",N(H974)&lt;=0),"공급가보정 ","")&amp;IF(AND(B974="CN",N(I974)&lt;=0),"중국공급가=원가+마진 ",""))</f>
        <v/>
      </c>
      <c r="Q974" s="47" t="n">
        <f aca="false">IF(SUMIFS($W:$W,$A:$A,A974,$C:$C,C974)=0,0,SUMIFS(RAW_판매펀칭!$K:$K,RAW_판매펀칭!$P:$P,A974,RAW_판매펀칭!$I:$I,C974)*W974/SUMIFS($W:$W,$A:$A,A974,$C:$C,C974))</f>
        <v>50</v>
      </c>
      <c r="R974" s="47" t="n">
        <f aca="false">IF(OR(A974="500",A974="800",A974="810"),0,MAX(W974-Q974,0))</f>
        <v>0</v>
      </c>
      <c r="S974" s="47" t="n">
        <f aca="false">R974*L974</f>
        <v>0</v>
      </c>
      <c r="T974" s="47" t="n">
        <f aca="false">R974*J974</f>
        <v>0</v>
      </c>
      <c r="U974" s="47" t="n">
        <f aca="false">R974*K974</f>
        <v>0</v>
      </c>
      <c r="V974" s="0" t="str">
        <f aca="false">IF(COUNTIFS($A$2:A974,A974,$C$2:C974,C974,$D$2:D974,D974)&gt;1,"중복","")</f>
        <v/>
      </c>
      <c r="W974" s="0" t="n">
        <f aca="false">IF(V974="중복",0,N(D974))</f>
        <v>50</v>
      </c>
      <c r="X974" s="0" t="n">
        <f aca="false">IF(COUNTIFS($A$2:A974,A974,$C$2:C974,C974)=1,ABS(SUMIFS(RAW_발주!$D:$D,RAW_발주!$C:$C,A974,RAW_발주!$A:$A,C974)-SUMIFS($W:$W,$A:$A,A974,$C:$C,C974)),0)</f>
        <v>0</v>
      </c>
    </row>
    <row r="975" customFormat="false" ht="15" hidden="false" customHeight="true" outlineLevel="0" collapsed="false">
      <c r="A975" s="45" t="s">
        <v>1659</v>
      </c>
      <c r="B975" s="42" t="str">
        <f aca="false">IF(A975="100","HK",IF(A975="200","CN",IF(A975="300","TW","홀세일")))</f>
        <v>HK</v>
      </c>
      <c r="C975" s="45" t="s">
        <v>910</v>
      </c>
      <c r="D975" s="46" t="n">
        <v>50</v>
      </c>
      <c r="E975" s="46" t="n">
        <v>259000</v>
      </c>
      <c r="F975" s="46" t="n">
        <v>76900</v>
      </c>
      <c r="G975" s="42" t="n">
        <v>3.43</v>
      </c>
      <c r="H975" s="42" t="n">
        <v>64.9</v>
      </c>
      <c r="J975" s="46" t="n">
        <f aca="false">IF(N(E975)&gt;0,E975,IF(N(F975)&gt;0,F975*요약!$F$27,0))</f>
        <v>259000</v>
      </c>
      <c r="K975" s="46" t="n">
        <f aca="false">IF(N(F975)&gt;0,F975,IF(N(E975)&gt;0,E975/요약!$F$27,0))</f>
        <v>76900</v>
      </c>
      <c r="L975" s="46" t="n">
        <f aca="false">IF(B975="CN",IF(N(I975)&gt;0,I975*요약!$G$27,K975*(1+요약!$E$27)),IF(N(H975)&gt;0,H975*요약!$G$27,J975*요약!$D$27))</f>
        <v>85668</v>
      </c>
      <c r="M975" s="46" t="n">
        <f aca="false">D975*J975</f>
        <v>12950000</v>
      </c>
      <c r="N975" s="46" t="n">
        <f aca="false">D975*K975</f>
        <v>3845000</v>
      </c>
      <c r="O975" s="46" t="n">
        <f aca="false">D975*L975</f>
        <v>4283400</v>
      </c>
      <c r="P975" s="42" t="str">
        <f aca="false">TRIM(IF(N(E975)&lt;=0,"택가보정 ","")&amp;IF(N(F975)&lt;=0,"원가보정 ","")&amp;IF(AND(B975&lt;&gt;"CN",N(H975)&lt;=0),"공급가보정 ","")&amp;IF(AND(B975="CN",N(I975)&lt;=0),"중국공급가=원가+마진 ",""))</f>
        <v/>
      </c>
      <c r="Q975" s="47" t="n">
        <f aca="false">IF(SUMIFS($W:$W,$A:$A,A975,$C:$C,C975)=0,0,SUMIFS(RAW_판매펀칭!$K:$K,RAW_판매펀칭!$P:$P,A975,RAW_판매펀칭!$I:$I,C975)*W975/SUMIFS($W:$W,$A:$A,A975,$C:$C,C975))</f>
        <v>50</v>
      </c>
      <c r="R975" s="47" t="n">
        <f aca="false">IF(OR(A975="500",A975="800",A975="810"),0,MAX(W975-Q975,0))</f>
        <v>0</v>
      </c>
      <c r="S975" s="47" t="n">
        <f aca="false">R975*L975</f>
        <v>0</v>
      </c>
      <c r="T975" s="47" t="n">
        <f aca="false">R975*J975</f>
        <v>0</v>
      </c>
      <c r="U975" s="47" t="n">
        <f aca="false">R975*K975</f>
        <v>0</v>
      </c>
      <c r="V975" s="0" t="str">
        <f aca="false">IF(COUNTIFS($A$2:A975,A975,$C$2:C975,C975,$D$2:D975,D975)&gt;1,"중복","")</f>
        <v/>
      </c>
      <c r="W975" s="0" t="n">
        <f aca="false">IF(V975="중복",0,N(D975))</f>
        <v>50</v>
      </c>
      <c r="X975" s="0" t="n">
        <f aca="false">IF(COUNTIFS($A$2:A975,A975,$C$2:C975,C975)=1,ABS(SUMIFS(RAW_발주!$D:$D,RAW_발주!$C:$C,A975,RAW_발주!$A:$A,C975)-SUMIFS($W:$W,$A:$A,A975,$C:$C,C975)),0)</f>
        <v>0</v>
      </c>
    </row>
    <row r="976" customFormat="false" ht="15" hidden="false" customHeight="true" outlineLevel="0" collapsed="false">
      <c r="A976" s="45" t="s">
        <v>1660</v>
      </c>
      <c r="B976" s="42" t="str">
        <f aca="false">IF(A976="100","HK",IF(A976="200","CN",IF(A976="300","TW","홀세일")))</f>
        <v>CN</v>
      </c>
      <c r="C976" s="45" t="s">
        <v>1073</v>
      </c>
      <c r="D976" s="46" t="n">
        <v>412</v>
      </c>
      <c r="E976" s="46" t="n">
        <v>199000</v>
      </c>
      <c r="F976" s="46" t="n">
        <v>48700</v>
      </c>
      <c r="G976" s="42" t="n">
        <v>3.68</v>
      </c>
      <c r="H976" s="42" t="n">
        <v>51.2</v>
      </c>
      <c r="I976" s="42" t="n">
        <v>37.9</v>
      </c>
      <c r="J976" s="46" t="n">
        <f aca="false">IF(N(E976)&gt;0,E976,IF(N(F976)&gt;0,F976*요약!$F$27,0))</f>
        <v>199000</v>
      </c>
      <c r="K976" s="46" t="n">
        <f aca="false">IF(N(F976)&gt;0,F976,IF(N(E976)&gt;0,E976/요약!$F$27,0))</f>
        <v>48700</v>
      </c>
      <c r="L976" s="46" t="n">
        <f aca="false">IF(B976="CN",IF(N(I976)&gt;0,I976*요약!$G$27,K976*(1+요약!$E$27)),IF(N(H976)&gt;0,H976*요약!$G$27,J976*요약!$D$27))</f>
        <v>50028</v>
      </c>
      <c r="M976" s="46" t="n">
        <f aca="false">D976*J976</f>
        <v>81988000</v>
      </c>
      <c r="N976" s="46" t="n">
        <f aca="false">D976*K976</f>
        <v>20064400</v>
      </c>
      <c r="O976" s="46" t="n">
        <f aca="false">D976*L976</f>
        <v>20611536</v>
      </c>
      <c r="P976" s="42" t="str">
        <f aca="false">TRIM(IF(N(E976)&lt;=0,"택가보정 ","")&amp;IF(N(F976)&lt;=0,"원가보정 ","")&amp;IF(AND(B976&lt;&gt;"CN",N(H976)&lt;=0),"공급가보정 ","")&amp;IF(AND(B976="CN",N(I976)&lt;=0),"중국공급가=원가+마진 ",""))</f>
        <v/>
      </c>
      <c r="Q976" s="47" t="n">
        <f aca="false">IF(SUMIFS($W:$W,$A:$A,A976,$C:$C,C976)=0,0,SUMIFS(RAW_판매펀칭!$K:$K,RAW_판매펀칭!$P:$P,A976,RAW_판매펀칭!$I:$I,C976)*W976/SUMIFS($W:$W,$A:$A,A976,$C:$C,C976))</f>
        <v>2</v>
      </c>
      <c r="R976" s="47" t="n">
        <f aca="false">IF(OR(A976="500",A976="800",A976="810"),0,MAX(W976-Q976,0))</f>
        <v>410</v>
      </c>
      <c r="S976" s="47" t="n">
        <f aca="false">R976*L976</f>
        <v>20511480</v>
      </c>
      <c r="T976" s="47" t="n">
        <f aca="false">R976*J976</f>
        <v>81590000</v>
      </c>
      <c r="U976" s="47" t="n">
        <f aca="false">R976*K976</f>
        <v>19967000</v>
      </c>
      <c r="V976" s="0" t="str">
        <f aca="false">IF(COUNTIFS($A$2:A976,A976,$C$2:C976,C976,$D$2:D976,D976)&gt;1,"중복","")</f>
        <v/>
      </c>
      <c r="W976" s="0" t="n">
        <f aca="false">IF(V976="중복",0,N(D976))</f>
        <v>412</v>
      </c>
      <c r="X976" s="0" t="n">
        <f aca="false">IF(COUNTIFS($A$2:A976,A976,$C$2:C976,C976)=1,ABS(SUMIFS(RAW_발주!$D:$D,RAW_발주!$C:$C,A976,RAW_발주!$A:$A,C976)-SUMIFS($W:$W,$A:$A,A976,$C:$C,C976)),0)</f>
        <v>0</v>
      </c>
    </row>
    <row r="977" customFormat="false" ht="15" hidden="false" customHeight="true" outlineLevel="0" collapsed="false">
      <c r="A977" s="45" t="s">
        <v>1660</v>
      </c>
      <c r="B977" s="42" t="str">
        <f aca="false">IF(A977="100","HK",IF(A977="200","CN",IF(A977="300","TW","홀세일")))</f>
        <v>CN</v>
      </c>
      <c r="C977" s="45" t="s">
        <v>485</v>
      </c>
      <c r="D977" s="46" t="n">
        <v>332</v>
      </c>
      <c r="E977" s="46" t="n">
        <v>219000</v>
      </c>
      <c r="F977" s="46" t="n">
        <v>59295</v>
      </c>
      <c r="G977" s="42" t="n">
        <v>3.72</v>
      </c>
      <c r="H977" s="42" t="n">
        <v>51.5</v>
      </c>
      <c r="I977" s="42" t="n">
        <v>43.8</v>
      </c>
      <c r="J977" s="46" t="n">
        <f aca="false">IF(N(E977)&gt;0,E977,IF(N(F977)&gt;0,F977*요약!$F$27,0))</f>
        <v>219000</v>
      </c>
      <c r="K977" s="46" t="n">
        <f aca="false">IF(N(F977)&gt;0,F977,IF(N(E977)&gt;0,E977/요약!$F$27,0))</f>
        <v>59295</v>
      </c>
      <c r="L977" s="46" t="n">
        <f aca="false">IF(B977="CN",IF(N(I977)&gt;0,I977*요약!$G$27,K977*(1+요약!$E$27)),IF(N(H977)&gt;0,H977*요약!$G$27,J977*요약!$D$27))</f>
        <v>57816</v>
      </c>
      <c r="M977" s="46" t="n">
        <f aca="false">D977*J977</f>
        <v>72708000</v>
      </c>
      <c r="N977" s="46" t="n">
        <f aca="false">D977*K977</f>
        <v>19685940</v>
      </c>
      <c r="O977" s="46" t="n">
        <f aca="false">D977*L977</f>
        <v>19194912</v>
      </c>
      <c r="P977" s="42" t="str">
        <f aca="false">TRIM(IF(N(E977)&lt;=0,"택가보정 ","")&amp;IF(N(F977)&lt;=0,"원가보정 ","")&amp;IF(AND(B977&lt;&gt;"CN",N(H977)&lt;=0),"공급가보정 ","")&amp;IF(AND(B977="CN",N(I977)&lt;=0),"중국공급가=원가+마진 ",""))</f>
        <v/>
      </c>
      <c r="Q977" s="47" t="n">
        <f aca="false">IF(SUMIFS($W:$W,$A:$A,A977,$C:$C,C977)=0,0,SUMIFS(RAW_판매펀칭!$K:$K,RAW_판매펀칭!$P:$P,A977,RAW_판매펀칭!$I:$I,C977)*W977/SUMIFS($W:$W,$A:$A,A977,$C:$C,C977))</f>
        <v>332</v>
      </c>
      <c r="R977" s="47" t="n">
        <f aca="false">IF(OR(A977="500",A977="800",A977="810"),0,MAX(W977-Q977,0))</f>
        <v>0</v>
      </c>
      <c r="S977" s="47" t="n">
        <f aca="false">R977*L977</f>
        <v>0</v>
      </c>
      <c r="T977" s="47" t="n">
        <f aca="false">R977*J977</f>
        <v>0</v>
      </c>
      <c r="U977" s="47" t="n">
        <f aca="false">R977*K977</f>
        <v>0</v>
      </c>
      <c r="V977" s="0" t="str">
        <f aca="false">IF(COUNTIFS($A$2:A977,A977,$C$2:C977,C977,$D$2:D977,D977)&gt;1,"중복","")</f>
        <v/>
      </c>
      <c r="W977" s="0" t="n">
        <f aca="false">IF(V977="중복",0,N(D977))</f>
        <v>332</v>
      </c>
      <c r="X977" s="0" t="n">
        <f aca="false">IF(COUNTIFS($A$2:A977,A977,$C$2:C977,C977)=1,ABS(SUMIFS(RAW_발주!$D:$D,RAW_발주!$C:$C,A977,RAW_발주!$A:$A,C977)-SUMIFS($W:$W,$A:$A,A977,$C:$C,C977)),0)</f>
        <v>0</v>
      </c>
    </row>
    <row r="978" customFormat="false" ht="15" hidden="false" customHeight="true" outlineLevel="0" collapsed="false">
      <c r="A978" s="45" t="s">
        <v>1661</v>
      </c>
      <c r="B978" s="42" t="str">
        <f aca="false">IF(A978="100","HK",IF(A978="200","CN",IF(A978="300","TW","홀세일")))</f>
        <v>TW</v>
      </c>
      <c r="C978" s="45" t="s">
        <v>485</v>
      </c>
      <c r="D978" s="46" t="n">
        <v>150</v>
      </c>
      <c r="E978" s="46" t="n">
        <v>219000</v>
      </c>
      <c r="F978" s="46" t="n">
        <v>59295</v>
      </c>
      <c r="G978" s="42" t="n">
        <v>3.72</v>
      </c>
      <c r="H978" s="42" t="n">
        <v>51.5</v>
      </c>
      <c r="I978" s="42" t="n">
        <v>43.8</v>
      </c>
      <c r="J978" s="46" t="n">
        <f aca="false">IF(N(E978)&gt;0,E978,IF(N(F978)&gt;0,F978*요약!$F$27,0))</f>
        <v>219000</v>
      </c>
      <c r="K978" s="46" t="n">
        <f aca="false">IF(N(F978)&gt;0,F978,IF(N(E978)&gt;0,E978/요약!$F$27,0))</f>
        <v>59295</v>
      </c>
      <c r="L978" s="46" t="n">
        <f aca="false">IF(B978="CN",IF(N(I978)&gt;0,I978*요약!$G$27,K978*(1+요약!$E$27)),IF(N(H978)&gt;0,H978*요약!$G$27,J978*요약!$D$27))</f>
        <v>67980</v>
      </c>
      <c r="M978" s="46" t="n">
        <f aca="false">D978*J978</f>
        <v>32850000</v>
      </c>
      <c r="N978" s="46" t="n">
        <f aca="false">D978*K978</f>
        <v>8894250</v>
      </c>
      <c r="O978" s="46" t="n">
        <f aca="false">D978*L978</f>
        <v>10197000</v>
      </c>
      <c r="P978" s="42" t="str">
        <f aca="false">TRIM(IF(N(E978)&lt;=0,"택가보정 ","")&amp;IF(N(F978)&lt;=0,"원가보정 ","")&amp;IF(AND(B978&lt;&gt;"CN",N(H978)&lt;=0),"공급가보정 ","")&amp;IF(AND(B978="CN",N(I978)&lt;=0),"중국공급가=원가+마진 ",""))</f>
        <v/>
      </c>
      <c r="Q978" s="47" t="n">
        <f aca="false">IF(SUMIFS($W:$W,$A:$A,A978,$C:$C,C978)=0,0,SUMIFS(RAW_판매펀칭!$K:$K,RAW_판매펀칭!$P:$P,A978,RAW_판매펀칭!$I:$I,C978)*W978/SUMIFS($W:$W,$A:$A,A978,$C:$C,C978))</f>
        <v>150</v>
      </c>
      <c r="R978" s="47" t="n">
        <f aca="false">IF(OR(A978="500",A978="800",A978="810"),0,MAX(W978-Q978,0))</f>
        <v>0</v>
      </c>
      <c r="S978" s="47" t="n">
        <f aca="false">R978*L978</f>
        <v>0</v>
      </c>
      <c r="T978" s="47" t="n">
        <f aca="false">R978*J978</f>
        <v>0</v>
      </c>
      <c r="U978" s="47" t="n">
        <f aca="false">R978*K978</f>
        <v>0</v>
      </c>
      <c r="V978" s="0" t="str">
        <f aca="false">IF(COUNTIFS($A$2:A978,A978,$C$2:C978,C978,$D$2:D978,D978)&gt;1,"중복","")</f>
        <v/>
      </c>
      <c r="W978" s="0" t="n">
        <f aca="false">IF(V978="중복",0,N(D978))</f>
        <v>150</v>
      </c>
      <c r="X978" s="0" t="n">
        <f aca="false">IF(COUNTIFS($A$2:A978,A978,$C$2:C978,C978)=1,ABS(SUMIFS(RAW_발주!$D:$D,RAW_발주!$C:$C,A978,RAW_발주!$A:$A,C978)-SUMIFS($W:$W,$A:$A,A978,$C:$C,C978)),0)</f>
        <v>0</v>
      </c>
    </row>
    <row r="979" customFormat="false" ht="15" hidden="false" customHeight="true" outlineLevel="0" collapsed="false">
      <c r="A979" s="45" t="s">
        <v>1665</v>
      </c>
      <c r="B979" s="42" t="str">
        <f aca="false">IF(A979="100","HK",IF(A979="200","CN",IF(A979="300","TW","홀세일")))</f>
        <v>홀세일</v>
      </c>
      <c r="C979" s="45" t="s">
        <v>485</v>
      </c>
      <c r="D979" s="46" t="n">
        <v>216</v>
      </c>
      <c r="E979" s="46" t="n">
        <v>219000</v>
      </c>
      <c r="F979" s="46" t="n">
        <v>59295</v>
      </c>
      <c r="G979" s="42" t="n">
        <v>3.72</v>
      </c>
      <c r="H979" s="42" t="n">
        <v>51.5</v>
      </c>
      <c r="I979" s="42" t="n">
        <v>43.8</v>
      </c>
      <c r="J979" s="46" t="n">
        <f aca="false">IF(N(E979)&gt;0,E979,IF(N(F979)&gt;0,F979*요약!$F$27,0))</f>
        <v>219000</v>
      </c>
      <c r="K979" s="46" t="n">
        <f aca="false">IF(N(F979)&gt;0,F979,IF(N(E979)&gt;0,E979/요약!$F$27,0))</f>
        <v>59295</v>
      </c>
      <c r="L979" s="46" t="n">
        <f aca="false">IF(B979="CN",IF(N(I979)&gt;0,I979*요약!$G$27,K979*(1+요약!$E$27)),IF(N(H979)&gt;0,H979*요약!$G$27,J979*요약!$D$27))</f>
        <v>67980</v>
      </c>
      <c r="M979" s="46" t="n">
        <f aca="false">D979*J979</f>
        <v>47304000</v>
      </c>
      <c r="N979" s="46" t="n">
        <f aca="false">D979*K979</f>
        <v>12807720</v>
      </c>
      <c r="O979" s="46" t="n">
        <f aca="false">D979*L979</f>
        <v>14683680</v>
      </c>
      <c r="P979" s="42" t="str">
        <f aca="false">TRIM(IF(N(E979)&lt;=0,"택가보정 ","")&amp;IF(N(F979)&lt;=0,"원가보정 ","")&amp;IF(AND(B979&lt;&gt;"CN",N(H979)&lt;=0),"공급가보정 ","")&amp;IF(AND(B979="CN",N(I979)&lt;=0),"중국공급가=원가+마진 ",""))</f>
        <v/>
      </c>
      <c r="Q979" s="47" t="n">
        <f aca="false">IF(SUMIFS($W:$W,$A:$A,A979,$C:$C,C979)=0,0,SUMIFS(RAW_판매펀칭!$K:$K,RAW_판매펀칭!$P:$P,A979,RAW_판매펀칭!$I:$I,C979)*W979/SUMIFS($W:$W,$A:$A,A979,$C:$C,C979))</f>
        <v>0</v>
      </c>
      <c r="R979" s="47" t="n">
        <f aca="false">IF(OR(A979="500",A979="800",A979="810"),0,MAX(W979-Q979,0))</f>
        <v>0</v>
      </c>
      <c r="S979" s="47" t="n">
        <f aca="false">R979*L979</f>
        <v>0</v>
      </c>
      <c r="T979" s="47" t="n">
        <f aca="false">R979*J979</f>
        <v>0</v>
      </c>
      <c r="U979" s="47" t="n">
        <f aca="false">R979*K979</f>
        <v>0</v>
      </c>
      <c r="V979" s="0" t="str">
        <f aca="false">IF(COUNTIFS($A$2:A979,A979,$C$2:C979,C979,$D$2:D979,D979)&gt;1,"중복","")</f>
        <v/>
      </c>
      <c r="W979" s="0" t="n">
        <f aca="false">IF(V979="중복",0,N(D979))</f>
        <v>216</v>
      </c>
      <c r="X979" s="0" t="n">
        <f aca="false">IF(COUNTIFS($A$2:A979,A979,$C$2:C979,C979)=1,ABS(SUMIFS(RAW_발주!$D:$D,RAW_발주!$C:$C,A979,RAW_발주!$A:$A,C979)-SUMIFS($W:$W,$A:$A,A979,$C:$C,C979)),0)</f>
        <v>0</v>
      </c>
    </row>
    <row r="980" customFormat="false" ht="15" hidden="false" customHeight="true" outlineLevel="0" collapsed="false">
      <c r="A980" s="45" t="s">
        <v>1659</v>
      </c>
      <c r="B980" s="42" t="str">
        <f aca="false">IF(A980="100","HK",IF(A980="200","CN",IF(A980="300","TW","홀세일")))</f>
        <v>HK</v>
      </c>
      <c r="C980" s="45" t="s">
        <v>912</v>
      </c>
      <c r="D980" s="46" t="n">
        <v>115</v>
      </c>
      <c r="E980" s="46" t="n">
        <v>139000</v>
      </c>
      <c r="F980" s="46" t="n">
        <v>37108</v>
      </c>
      <c r="G980" s="42" t="n">
        <v>3.36</v>
      </c>
      <c r="H980" s="42" t="n">
        <v>32.7</v>
      </c>
      <c r="I980" s="42" t="n">
        <v>32.1</v>
      </c>
      <c r="J980" s="46" t="n">
        <f aca="false">IF(N(E980)&gt;0,E980,IF(N(F980)&gt;0,F980*요약!$F$27,0))</f>
        <v>139000</v>
      </c>
      <c r="K980" s="46" t="n">
        <f aca="false">IF(N(F980)&gt;0,F980,IF(N(E980)&gt;0,E980/요약!$F$27,0))</f>
        <v>37108</v>
      </c>
      <c r="L980" s="46" t="n">
        <f aca="false">IF(B980="CN",IF(N(I980)&gt;0,I980*요약!$G$27,K980*(1+요약!$E$27)),IF(N(H980)&gt;0,H980*요약!$G$27,J980*요약!$D$27))</f>
        <v>43164</v>
      </c>
      <c r="M980" s="46" t="n">
        <f aca="false">D980*J980</f>
        <v>15985000</v>
      </c>
      <c r="N980" s="46" t="n">
        <f aca="false">D980*K980</f>
        <v>4267420</v>
      </c>
      <c r="O980" s="46" t="n">
        <f aca="false">D980*L980</f>
        <v>4963860</v>
      </c>
      <c r="P980" s="42" t="str">
        <f aca="false">TRIM(IF(N(E980)&lt;=0,"택가보정 ","")&amp;IF(N(F980)&lt;=0,"원가보정 ","")&amp;IF(AND(B980&lt;&gt;"CN",N(H980)&lt;=0),"공급가보정 ","")&amp;IF(AND(B980="CN",N(I980)&lt;=0),"중국공급가=원가+마진 ",""))</f>
        <v/>
      </c>
      <c r="Q980" s="47" t="n">
        <f aca="false">IF(SUMIFS($W:$W,$A:$A,A980,$C:$C,C980)=0,0,SUMIFS(RAW_판매펀칭!$K:$K,RAW_판매펀칭!$P:$P,A980,RAW_판매펀칭!$I:$I,C980)*W980/SUMIFS($W:$W,$A:$A,A980,$C:$C,C980))</f>
        <v>115</v>
      </c>
      <c r="R980" s="47" t="n">
        <f aca="false">IF(OR(A980="500",A980="800",A980="810"),0,MAX(W980-Q980,0))</f>
        <v>0</v>
      </c>
      <c r="S980" s="47" t="n">
        <f aca="false">R980*L980</f>
        <v>0</v>
      </c>
      <c r="T980" s="47" t="n">
        <f aca="false">R980*J980</f>
        <v>0</v>
      </c>
      <c r="U980" s="47" t="n">
        <f aca="false">R980*K980</f>
        <v>0</v>
      </c>
      <c r="V980" s="0" t="str">
        <f aca="false">IF(COUNTIFS($A$2:A980,A980,$C$2:C980,C980,$D$2:D980,D980)&gt;1,"중복","")</f>
        <v/>
      </c>
      <c r="W980" s="0" t="n">
        <f aca="false">IF(V980="중복",0,N(D980))</f>
        <v>115</v>
      </c>
      <c r="X980" s="0" t="n">
        <f aca="false">IF(COUNTIFS($A$2:A980,A980,$C$2:C980,C980)=1,ABS(SUMIFS(RAW_발주!$D:$D,RAW_발주!$C:$C,A980,RAW_발주!$A:$A,C980)-SUMIFS($W:$W,$A:$A,A980,$C:$C,C980)),0)</f>
        <v>0</v>
      </c>
    </row>
    <row r="981" customFormat="false" ht="15" hidden="false" customHeight="true" outlineLevel="0" collapsed="false">
      <c r="A981" s="45" t="s">
        <v>1660</v>
      </c>
      <c r="B981" s="42" t="str">
        <f aca="false">IF(A981="100","HK",IF(A981="200","CN",IF(A981="300","TW","홀세일")))</f>
        <v>CN</v>
      </c>
      <c r="C981" s="45" t="s">
        <v>912</v>
      </c>
      <c r="D981" s="46" t="n">
        <v>122</v>
      </c>
      <c r="E981" s="46" t="n">
        <v>139000</v>
      </c>
      <c r="F981" s="46" t="n">
        <v>37108</v>
      </c>
      <c r="G981" s="42" t="n">
        <v>3.36</v>
      </c>
      <c r="H981" s="42" t="n">
        <v>32.7</v>
      </c>
      <c r="I981" s="42" t="n">
        <v>32.1</v>
      </c>
      <c r="J981" s="46" t="n">
        <f aca="false">IF(N(E981)&gt;0,E981,IF(N(F981)&gt;0,F981*요약!$F$27,0))</f>
        <v>139000</v>
      </c>
      <c r="K981" s="46" t="n">
        <f aca="false">IF(N(F981)&gt;0,F981,IF(N(E981)&gt;0,E981/요약!$F$27,0))</f>
        <v>37108</v>
      </c>
      <c r="L981" s="46" t="n">
        <f aca="false">IF(B981="CN",IF(N(I981)&gt;0,I981*요약!$G$27,K981*(1+요약!$E$27)),IF(N(H981)&gt;0,H981*요약!$G$27,J981*요약!$D$27))</f>
        <v>42372</v>
      </c>
      <c r="M981" s="46" t="n">
        <f aca="false">D981*J981</f>
        <v>16958000</v>
      </c>
      <c r="N981" s="46" t="n">
        <f aca="false">D981*K981</f>
        <v>4527176</v>
      </c>
      <c r="O981" s="46" t="n">
        <f aca="false">D981*L981</f>
        <v>5169384</v>
      </c>
      <c r="P981" s="42" t="str">
        <f aca="false">TRIM(IF(N(E981)&lt;=0,"택가보정 ","")&amp;IF(N(F981)&lt;=0,"원가보정 ","")&amp;IF(AND(B981&lt;&gt;"CN",N(H981)&lt;=0),"공급가보정 ","")&amp;IF(AND(B981="CN",N(I981)&lt;=0),"중국공급가=원가+마진 ",""))</f>
        <v/>
      </c>
      <c r="Q981" s="47" t="n">
        <f aca="false">IF(SUMIFS($W:$W,$A:$A,A981,$C:$C,C981)=0,0,SUMIFS(RAW_판매펀칭!$K:$K,RAW_판매펀칭!$P:$P,A981,RAW_판매펀칭!$I:$I,C981)*W981/SUMIFS($W:$W,$A:$A,A981,$C:$C,C981))</f>
        <v>122</v>
      </c>
      <c r="R981" s="47" t="n">
        <f aca="false">IF(OR(A981="500",A981="800",A981="810"),0,MAX(W981-Q981,0))</f>
        <v>0</v>
      </c>
      <c r="S981" s="47" t="n">
        <f aca="false">R981*L981</f>
        <v>0</v>
      </c>
      <c r="T981" s="47" t="n">
        <f aca="false">R981*J981</f>
        <v>0</v>
      </c>
      <c r="U981" s="47" t="n">
        <f aca="false">R981*K981</f>
        <v>0</v>
      </c>
      <c r="V981" s="0" t="str">
        <f aca="false">IF(COUNTIFS($A$2:A981,A981,$C$2:C981,C981,$D$2:D981,D981)&gt;1,"중복","")</f>
        <v/>
      </c>
      <c r="W981" s="0" t="n">
        <f aca="false">IF(V981="중복",0,N(D981))</f>
        <v>122</v>
      </c>
      <c r="X981" s="0" t="n">
        <f aca="false">IF(COUNTIFS($A$2:A981,A981,$C$2:C981,C981)=1,ABS(SUMIFS(RAW_발주!$D:$D,RAW_발주!$C:$C,A981,RAW_발주!$A:$A,C981)-SUMIFS($W:$W,$A:$A,A981,$C:$C,C981)),0)</f>
        <v>0</v>
      </c>
    </row>
    <row r="982" customFormat="false" ht="15" hidden="false" customHeight="true" outlineLevel="0" collapsed="false">
      <c r="A982" s="45" t="s">
        <v>1667</v>
      </c>
      <c r="B982" s="42" t="str">
        <f aca="false">IF(A982="100","HK",IF(A982="200","CN",IF(A982="300","TW","홀세일")))</f>
        <v>홀세일</v>
      </c>
      <c r="C982" s="45" t="s">
        <v>912</v>
      </c>
      <c r="D982" s="46" t="n">
        <v>51</v>
      </c>
      <c r="E982" s="46" t="n">
        <v>139000</v>
      </c>
      <c r="F982" s="46" t="n">
        <v>37108</v>
      </c>
      <c r="G982" s="42" t="n">
        <v>3.36</v>
      </c>
      <c r="H982" s="42" t="n">
        <v>32.7</v>
      </c>
      <c r="I982" s="42" t="n">
        <v>32.1</v>
      </c>
      <c r="J982" s="46" t="n">
        <f aca="false">IF(N(E982)&gt;0,E982,IF(N(F982)&gt;0,F982*요약!$F$27,0))</f>
        <v>139000</v>
      </c>
      <c r="K982" s="46" t="n">
        <f aca="false">IF(N(F982)&gt;0,F982,IF(N(E982)&gt;0,E982/요약!$F$27,0))</f>
        <v>37108</v>
      </c>
      <c r="L982" s="46" t="n">
        <f aca="false">IF(B982="CN",IF(N(I982)&gt;0,I982*요약!$G$27,K982*(1+요약!$E$27)),IF(N(H982)&gt;0,H982*요약!$G$27,J982*요약!$D$27))</f>
        <v>43164</v>
      </c>
      <c r="M982" s="46" t="n">
        <f aca="false">D982*J982</f>
        <v>7089000</v>
      </c>
      <c r="N982" s="46" t="n">
        <f aca="false">D982*K982</f>
        <v>1892508</v>
      </c>
      <c r="O982" s="46" t="n">
        <f aca="false">D982*L982</f>
        <v>2201364</v>
      </c>
      <c r="P982" s="42" t="str">
        <f aca="false">TRIM(IF(N(E982)&lt;=0,"택가보정 ","")&amp;IF(N(F982)&lt;=0,"원가보정 ","")&amp;IF(AND(B982&lt;&gt;"CN",N(H982)&lt;=0),"공급가보정 ","")&amp;IF(AND(B982="CN",N(I982)&lt;=0),"중국공급가=원가+마진 ",""))</f>
        <v/>
      </c>
      <c r="Q982" s="47" t="n">
        <f aca="false">IF(SUMIFS($W:$W,$A:$A,A982,$C:$C,C982)=0,0,SUMIFS(RAW_판매펀칭!$K:$K,RAW_판매펀칭!$P:$P,A982,RAW_판매펀칭!$I:$I,C982)*W982/SUMIFS($W:$W,$A:$A,A982,$C:$C,C982))</f>
        <v>0</v>
      </c>
      <c r="R982" s="47" t="n">
        <f aca="false">IF(OR(A982="500",A982="800",A982="810"),0,MAX(W982-Q982,0))</f>
        <v>51</v>
      </c>
      <c r="S982" s="47" t="n">
        <f aca="false">R982*L982</f>
        <v>2201364</v>
      </c>
      <c r="T982" s="47" t="n">
        <f aca="false">R982*J982</f>
        <v>7089000</v>
      </c>
      <c r="U982" s="47" t="n">
        <f aca="false">R982*K982</f>
        <v>1892508</v>
      </c>
      <c r="V982" s="0" t="str">
        <f aca="false">IF(COUNTIFS($A$2:A982,A982,$C$2:C982,C982,$D$2:D982,D982)&gt;1,"중복","")</f>
        <v/>
      </c>
      <c r="W982" s="0" t="n">
        <f aca="false">IF(V982="중복",0,N(D982))</f>
        <v>51</v>
      </c>
      <c r="X982" s="0" t="n">
        <f aca="false">IF(COUNTIFS($A$2:A982,A982,$C$2:C982,C982)=1,ABS(SUMIFS(RAW_발주!$D:$D,RAW_발주!$C:$C,A982,RAW_발주!$A:$A,C982)-SUMIFS($W:$W,$A:$A,A982,$C:$C,C982)),0)</f>
        <v>0</v>
      </c>
    </row>
    <row r="983" customFormat="false" ht="15" hidden="false" customHeight="true" outlineLevel="0" collapsed="false">
      <c r="A983" s="45" t="s">
        <v>1661</v>
      </c>
      <c r="B983" s="42" t="str">
        <f aca="false">IF(A983="100","HK",IF(A983="200","CN",IF(A983="300","TW","홀세일")))</f>
        <v>TW</v>
      </c>
      <c r="C983" s="45" t="s">
        <v>1685</v>
      </c>
      <c r="D983" s="46" t="n">
        <v>260</v>
      </c>
      <c r="E983" s="46" t="n">
        <v>239000</v>
      </c>
      <c r="F983" s="46" t="n">
        <v>62300</v>
      </c>
      <c r="G983" s="42" t="n">
        <v>3.43</v>
      </c>
      <c r="H983" s="42" t="n">
        <v>57.9</v>
      </c>
      <c r="I983" s="42" t="n">
        <v>0</v>
      </c>
      <c r="J983" s="46" t="n">
        <f aca="false">IF(N(E983)&gt;0,E983,IF(N(F983)&gt;0,F983*요약!$F$27,0))</f>
        <v>239000</v>
      </c>
      <c r="K983" s="46" t="n">
        <f aca="false">IF(N(F983)&gt;0,F983,IF(N(E983)&gt;0,E983/요약!$F$27,0))</f>
        <v>62300</v>
      </c>
      <c r="L983" s="46" t="n">
        <f aca="false">IF(B983="CN",IF(N(I983)&gt;0,I983*요약!$G$27,K983*(1+요약!$E$27)),IF(N(H983)&gt;0,H983*요약!$G$27,J983*요약!$D$27))</f>
        <v>76428</v>
      </c>
      <c r="M983" s="46" t="n">
        <f aca="false">D983*J983</f>
        <v>62140000</v>
      </c>
      <c r="N983" s="46" t="n">
        <f aca="false">D983*K983</f>
        <v>16198000</v>
      </c>
      <c r="O983" s="46" t="n">
        <f aca="false">D983*L983</f>
        <v>19871280</v>
      </c>
      <c r="P983" s="42" t="str">
        <f aca="false">TRIM(IF(N(E983)&lt;=0,"택가보정 ","")&amp;IF(N(F983)&lt;=0,"원가보정 ","")&amp;IF(AND(B983&lt;&gt;"CN",N(H983)&lt;=0),"공급가보정 ","")&amp;IF(AND(B983="CN",N(I983)&lt;=0),"중국공급가=원가+마진 ",""))</f>
        <v/>
      </c>
      <c r="Q983" s="47" t="n">
        <f aca="false">IF(SUMIFS($W:$W,$A:$A,A983,$C:$C,C983)=0,0,SUMIFS(RAW_판매펀칭!$K:$K,RAW_판매펀칭!$P:$P,A983,RAW_판매펀칭!$I:$I,C983)*W983/SUMIFS($W:$W,$A:$A,A983,$C:$C,C983))</f>
        <v>0</v>
      </c>
      <c r="R983" s="47" t="n">
        <f aca="false">IF(OR(A983="500",A983="800",A983="810"),0,MAX(W983-Q983,0))</f>
        <v>260</v>
      </c>
      <c r="S983" s="47" t="n">
        <f aca="false">R983*L983</f>
        <v>19871280</v>
      </c>
      <c r="T983" s="47" t="n">
        <f aca="false">R983*J983</f>
        <v>62140000</v>
      </c>
      <c r="U983" s="47" t="n">
        <f aca="false">R983*K983</f>
        <v>16198000</v>
      </c>
      <c r="V983" s="0" t="str">
        <f aca="false">IF(COUNTIFS($A$2:A983,A983,$C$2:C983,C983,$D$2:D983,D983)&gt;1,"중복","")</f>
        <v/>
      </c>
      <c r="W983" s="0" t="n">
        <f aca="false">IF(V983="중복",0,N(D983))</f>
        <v>260</v>
      </c>
      <c r="X983" s="0" t="n">
        <f aca="false">IF(COUNTIFS($A$2:A983,A983,$C$2:C983,C983)=1,ABS(SUMIFS(RAW_발주!$D:$D,RAW_발주!$C:$C,A983,RAW_발주!$A:$A,C983)-SUMIFS($W:$W,$A:$A,A983,$C:$C,C983)),0)</f>
        <v>0</v>
      </c>
    </row>
    <row r="984" customFormat="false" ht="15" hidden="false" customHeight="true" outlineLevel="0" collapsed="false">
      <c r="A984" s="45" t="s">
        <v>1659</v>
      </c>
      <c r="B984" s="42" t="str">
        <f aca="false">IF(A984="100","HK",IF(A984="200","CN",IF(A984="300","TW","홀세일")))</f>
        <v>HK</v>
      </c>
      <c r="C984" s="45" t="s">
        <v>487</v>
      </c>
      <c r="D984" s="46" t="n">
        <v>70</v>
      </c>
      <c r="E984" s="46" t="n">
        <v>99000</v>
      </c>
      <c r="F984" s="46" t="n">
        <v>22102</v>
      </c>
      <c r="G984" s="42" t="n">
        <v>3.44</v>
      </c>
      <c r="H984" s="42" t="n">
        <v>23.3</v>
      </c>
      <c r="I984" s="42" t="n">
        <v>18.4</v>
      </c>
      <c r="J984" s="46" t="n">
        <f aca="false">IF(N(E984)&gt;0,E984,IF(N(F984)&gt;0,F984*요약!$F$27,0))</f>
        <v>99000</v>
      </c>
      <c r="K984" s="46" t="n">
        <f aca="false">IF(N(F984)&gt;0,F984,IF(N(E984)&gt;0,E984/요약!$F$27,0))</f>
        <v>22102</v>
      </c>
      <c r="L984" s="46" t="n">
        <f aca="false">IF(B984="CN",IF(N(I984)&gt;0,I984*요약!$G$27,K984*(1+요약!$E$27)),IF(N(H984)&gt;0,H984*요약!$G$27,J984*요약!$D$27))</f>
        <v>30756</v>
      </c>
      <c r="M984" s="46" t="n">
        <f aca="false">D984*J984</f>
        <v>6930000</v>
      </c>
      <c r="N984" s="46" t="n">
        <f aca="false">D984*K984</f>
        <v>1547140</v>
      </c>
      <c r="O984" s="46" t="n">
        <f aca="false">D984*L984</f>
        <v>2152920</v>
      </c>
      <c r="P984" s="42" t="str">
        <f aca="false">TRIM(IF(N(E984)&lt;=0,"택가보정 ","")&amp;IF(N(F984)&lt;=0,"원가보정 ","")&amp;IF(AND(B984&lt;&gt;"CN",N(H984)&lt;=0),"공급가보정 ","")&amp;IF(AND(B984="CN",N(I984)&lt;=0),"중국공급가=원가+마진 ",""))</f>
        <v/>
      </c>
      <c r="Q984" s="47" t="n">
        <f aca="false">IF(SUMIFS($W:$W,$A:$A,A984,$C:$C,C984)=0,0,SUMIFS(RAW_판매펀칭!$K:$K,RAW_판매펀칭!$P:$P,A984,RAW_판매펀칭!$I:$I,C984)*W984/SUMIFS($W:$W,$A:$A,A984,$C:$C,C984))</f>
        <v>70</v>
      </c>
      <c r="R984" s="47" t="n">
        <f aca="false">IF(OR(A984="500",A984="800",A984="810"),0,MAX(W984-Q984,0))</f>
        <v>0</v>
      </c>
      <c r="S984" s="47" t="n">
        <f aca="false">R984*L984</f>
        <v>0</v>
      </c>
      <c r="T984" s="47" t="n">
        <f aca="false">R984*J984</f>
        <v>0</v>
      </c>
      <c r="U984" s="47" t="n">
        <f aca="false">R984*K984</f>
        <v>0</v>
      </c>
      <c r="V984" s="0" t="str">
        <f aca="false">IF(COUNTIFS($A$2:A984,A984,$C$2:C984,C984,$D$2:D984,D984)&gt;1,"중복","")</f>
        <v/>
      </c>
      <c r="W984" s="0" t="n">
        <f aca="false">IF(V984="중복",0,N(D984))</f>
        <v>70</v>
      </c>
      <c r="X984" s="0" t="n">
        <f aca="false">IF(COUNTIFS($A$2:A984,A984,$C$2:C984,C984)=1,ABS(SUMIFS(RAW_발주!$D:$D,RAW_발주!$C:$C,A984,RAW_발주!$A:$A,C984)-SUMIFS($W:$W,$A:$A,A984,$C:$C,C984)),0)</f>
        <v>0</v>
      </c>
    </row>
    <row r="985" customFormat="false" ht="15" hidden="false" customHeight="true" outlineLevel="0" collapsed="false">
      <c r="A985" s="45" t="s">
        <v>1660</v>
      </c>
      <c r="B985" s="42" t="str">
        <f aca="false">IF(A985="100","HK",IF(A985="200","CN",IF(A985="300","TW","홀세일")))</f>
        <v>CN</v>
      </c>
      <c r="C985" s="45" t="s">
        <v>487</v>
      </c>
      <c r="D985" s="46" t="n">
        <v>162</v>
      </c>
      <c r="E985" s="46" t="n">
        <v>99000</v>
      </c>
      <c r="F985" s="46" t="n">
        <v>22102</v>
      </c>
      <c r="G985" s="42" t="n">
        <v>3.44</v>
      </c>
      <c r="H985" s="42" t="n">
        <v>23.3</v>
      </c>
      <c r="I985" s="42" t="n">
        <v>18.4</v>
      </c>
      <c r="J985" s="46" t="n">
        <f aca="false">IF(N(E985)&gt;0,E985,IF(N(F985)&gt;0,F985*요약!$F$27,0))</f>
        <v>99000</v>
      </c>
      <c r="K985" s="46" t="n">
        <f aca="false">IF(N(F985)&gt;0,F985,IF(N(E985)&gt;0,E985/요약!$F$27,0))</f>
        <v>22102</v>
      </c>
      <c r="L985" s="46" t="n">
        <f aca="false">IF(B985="CN",IF(N(I985)&gt;0,I985*요약!$G$27,K985*(1+요약!$E$27)),IF(N(H985)&gt;0,H985*요약!$G$27,J985*요약!$D$27))</f>
        <v>24288</v>
      </c>
      <c r="M985" s="46" t="n">
        <f aca="false">D985*J985</f>
        <v>16038000</v>
      </c>
      <c r="N985" s="46" t="n">
        <f aca="false">D985*K985</f>
        <v>3580524</v>
      </c>
      <c r="O985" s="46" t="n">
        <f aca="false">D985*L985</f>
        <v>3934656</v>
      </c>
      <c r="P985" s="42" t="str">
        <f aca="false">TRIM(IF(N(E985)&lt;=0,"택가보정 ","")&amp;IF(N(F985)&lt;=0,"원가보정 ","")&amp;IF(AND(B985&lt;&gt;"CN",N(H985)&lt;=0),"공급가보정 ","")&amp;IF(AND(B985="CN",N(I985)&lt;=0),"중국공급가=원가+마진 ",""))</f>
        <v/>
      </c>
      <c r="Q985" s="47" t="n">
        <f aca="false">IF(SUMIFS($W:$W,$A:$A,A985,$C:$C,C985)=0,0,SUMIFS(RAW_판매펀칭!$K:$K,RAW_판매펀칭!$P:$P,A985,RAW_판매펀칭!$I:$I,C985)*W985/SUMIFS($W:$W,$A:$A,A985,$C:$C,C985))</f>
        <v>162</v>
      </c>
      <c r="R985" s="47" t="n">
        <f aca="false">IF(OR(A985="500",A985="800",A985="810"),0,MAX(W985-Q985,0))</f>
        <v>0</v>
      </c>
      <c r="S985" s="47" t="n">
        <f aca="false">R985*L985</f>
        <v>0</v>
      </c>
      <c r="T985" s="47" t="n">
        <f aca="false">R985*J985</f>
        <v>0</v>
      </c>
      <c r="U985" s="47" t="n">
        <f aca="false">R985*K985</f>
        <v>0</v>
      </c>
      <c r="V985" s="0" t="str">
        <f aca="false">IF(COUNTIFS($A$2:A985,A985,$C$2:C985,C985,$D$2:D985,D985)&gt;1,"중복","")</f>
        <v/>
      </c>
      <c r="W985" s="0" t="n">
        <f aca="false">IF(V985="중복",0,N(D985))</f>
        <v>162</v>
      </c>
      <c r="X985" s="0" t="n">
        <f aca="false">IF(COUNTIFS($A$2:A985,A985,$C$2:C985,C985)=1,ABS(SUMIFS(RAW_발주!$D:$D,RAW_발주!$C:$C,A985,RAW_발주!$A:$A,C985)-SUMIFS($W:$W,$A:$A,A985,$C:$C,C985)),0)</f>
        <v>0</v>
      </c>
    </row>
    <row r="986" customFormat="false" ht="15" hidden="false" customHeight="true" outlineLevel="0" collapsed="false">
      <c r="A986" s="45" t="s">
        <v>1661</v>
      </c>
      <c r="B986" s="42" t="str">
        <f aca="false">IF(A986="100","HK",IF(A986="200","CN",IF(A986="300","TW","홀세일")))</f>
        <v>TW</v>
      </c>
      <c r="C986" s="45" t="s">
        <v>487</v>
      </c>
      <c r="D986" s="46" t="n">
        <v>240</v>
      </c>
      <c r="E986" s="46" t="n">
        <v>99000</v>
      </c>
      <c r="F986" s="46" t="n">
        <v>22102</v>
      </c>
      <c r="G986" s="42" t="n">
        <v>3.44</v>
      </c>
      <c r="H986" s="42" t="n">
        <v>23.3</v>
      </c>
      <c r="I986" s="42" t="n">
        <v>18.4</v>
      </c>
      <c r="J986" s="46" t="n">
        <f aca="false">IF(N(E986)&gt;0,E986,IF(N(F986)&gt;0,F986*요약!$F$27,0))</f>
        <v>99000</v>
      </c>
      <c r="K986" s="46" t="n">
        <f aca="false">IF(N(F986)&gt;0,F986,IF(N(E986)&gt;0,E986/요약!$F$27,0))</f>
        <v>22102</v>
      </c>
      <c r="L986" s="46" t="n">
        <f aca="false">IF(B986="CN",IF(N(I986)&gt;0,I986*요약!$G$27,K986*(1+요약!$E$27)),IF(N(H986)&gt;0,H986*요약!$G$27,J986*요약!$D$27))</f>
        <v>30756</v>
      </c>
      <c r="M986" s="46" t="n">
        <f aca="false">D986*J986</f>
        <v>23760000</v>
      </c>
      <c r="N986" s="46" t="n">
        <f aca="false">D986*K986</f>
        <v>5304480</v>
      </c>
      <c r="O986" s="46" t="n">
        <f aca="false">D986*L986</f>
        <v>7381440</v>
      </c>
      <c r="P986" s="42" t="str">
        <f aca="false">TRIM(IF(N(E986)&lt;=0,"택가보정 ","")&amp;IF(N(F986)&lt;=0,"원가보정 ","")&amp;IF(AND(B986&lt;&gt;"CN",N(H986)&lt;=0),"공급가보정 ","")&amp;IF(AND(B986="CN",N(I986)&lt;=0),"중국공급가=원가+마진 ",""))</f>
        <v/>
      </c>
      <c r="Q986" s="47" t="n">
        <f aca="false">IF(SUMIFS($W:$W,$A:$A,A986,$C:$C,C986)=0,0,SUMIFS(RAW_판매펀칭!$K:$K,RAW_판매펀칭!$P:$P,A986,RAW_판매펀칭!$I:$I,C986)*W986/SUMIFS($W:$W,$A:$A,A986,$C:$C,C986))</f>
        <v>240</v>
      </c>
      <c r="R986" s="47" t="n">
        <f aca="false">IF(OR(A986="500",A986="800",A986="810"),0,MAX(W986-Q986,0))</f>
        <v>0</v>
      </c>
      <c r="S986" s="47" t="n">
        <f aca="false">R986*L986</f>
        <v>0</v>
      </c>
      <c r="T986" s="47" t="n">
        <f aca="false">R986*J986</f>
        <v>0</v>
      </c>
      <c r="U986" s="47" t="n">
        <f aca="false">R986*K986</f>
        <v>0</v>
      </c>
      <c r="V986" s="0" t="str">
        <f aca="false">IF(COUNTIFS($A$2:A986,A986,$C$2:C986,C986,$D$2:D986,D986)&gt;1,"중복","")</f>
        <v/>
      </c>
      <c r="W986" s="0" t="n">
        <f aca="false">IF(V986="중복",0,N(D986))</f>
        <v>240</v>
      </c>
      <c r="X986" s="0" t="n">
        <f aca="false">IF(COUNTIFS($A$2:A986,A986,$C$2:C986,C986)=1,ABS(SUMIFS(RAW_발주!$D:$D,RAW_발주!$C:$C,A986,RAW_발주!$A:$A,C986)-SUMIFS($W:$W,$A:$A,A986,$C:$C,C986)),0)</f>
        <v>0</v>
      </c>
    </row>
    <row r="987" customFormat="false" ht="15" hidden="false" customHeight="true" outlineLevel="0" collapsed="false">
      <c r="A987" s="45" t="s">
        <v>1664</v>
      </c>
      <c r="B987" s="42" t="str">
        <f aca="false">IF(A987="100","HK",IF(A987="200","CN",IF(A987="300","TW","홀세일")))</f>
        <v>홀세일</v>
      </c>
      <c r="C987" s="45" t="s">
        <v>487</v>
      </c>
      <c r="D987" s="46" t="n">
        <v>60</v>
      </c>
      <c r="E987" s="46" t="n">
        <v>99000</v>
      </c>
      <c r="F987" s="46" t="n">
        <v>22102</v>
      </c>
      <c r="G987" s="42" t="n">
        <v>3.44</v>
      </c>
      <c r="H987" s="42" t="n">
        <v>23.3</v>
      </c>
      <c r="I987" s="42" t="n">
        <v>18.4</v>
      </c>
      <c r="J987" s="46" t="n">
        <f aca="false">IF(N(E987)&gt;0,E987,IF(N(F987)&gt;0,F987*요약!$F$27,0))</f>
        <v>99000</v>
      </c>
      <c r="K987" s="46" t="n">
        <f aca="false">IF(N(F987)&gt;0,F987,IF(N(E987)&gt;0,E987/요약!$F$27,0))</f>
        <v>22102</v>
      </c>
      <c r="L987" s="46" t="n">
        <f aca="false">IF(B987="CN",IF(N(I987)&gt;0,I987*요약!$G$27,K987*(1+요약!$E$27)),IF(N(H987)&gt;0,H987*요약!$G$27,J987*요약!$D$27))</f>
        <v>30756</v>
      </c>
      <c r="M987" s="46" t="n">
        <f aca="false">D987*J987</f>
        <v>5940000</v>
      </c>
      <c r="N987" s="46" t="n">
        <f aca="false">D987*K987</f>
        <v>1326120</v>
      </c>
      <c r="O987" s="46" t="n">
        <f aca="false">D987*L987</f>
        <v>1845360</v>
      </c>
      <c r="P987" s="42" t="str">
        <f aca="false">TRIM(IF(N(E987)&lt;=0,"택가보정 ","")&amp;IF(N(F987)&lt;=0,"원가보정 ","")&amp;IF(AND(B987&lt;&gt;"CN",N(H987)&lt;=0),"공급가보정 ","")&amp;IF(AND(B987="CN",N(I987)&lt;=0),"중국공급가=원가+마진 ",""))</f>
        <v/>
      </c>
      <c r="Q987" s="47" t="n">
        <f aca="false">IF(SUMIFS($W:$W,$A:$A,A987,$C:$C,C987)=0,0,SUMIFS(RAW_판매펀칭!$K:$K,RAW_판매펀칭!$P:$P,A987,RAW_판매펀칭!$I:$I,C987)*W987/SUMIFS($W:$W,$A:$A,A987,$C:$C,C987))</f>
        <v>0</v>
      </c>
      <c r="R987" s="47" t="n">
        <f aca="false">IF(OR(A987="500",A987="800",A987="810"),0,MAX(W987-Q987,0))</f>
        <v>0</v>
      </c>
      <c r="S987" s="47" t="n">
        <f aca="false">R987*L987</f>
        <v>0</v>
      </c>
      <c r="T987" s="47" t="n">
        <f aca="false">R987*J987</f>
        <v>0</v>
      </c>
      <c r="U987" s="47" t="n">
        <f aca="false">R987*K987</f>
        <v>0</v>
      </c>
      <c r="V987" s="0" t="str">
        <f aca="false">IF(COUNTIFS($A$2:A987,A987,$C$2:C987,C987,$D$2:D987,D987)&gt;1,"중복","")</f>
        <v/>
      </c>
      <c r="W987" s="0" t="n">
        <f aca="false">IF(V987="중복",0,N(D987))</f>
        <v>60</v>
      </c>
      <c r="X987" s="0" t="n">
        <f aca="false">IF(COUNTIFS($A$2:A987,A987,$C$2:C987,C987)=1,ABS(SUMIFS(RAW_발주!$D:$D,RAW_발주!$C:$C,A987,RAW_발주!$A:$A,C987)-SUMIFS($W:$W,$A:$A,A987,$C:$C,C987)),0)</f>
        <v>0</v>
      </c>
    </row>
    <row r="988" customFormat="false" ht="15" hidden="false" customHeight="true" outlineLevel="0" collapsed="false">
      <c r="A988" s="45" t="s">
        <v>1660</v>
      </c>
      <c r="B988" s="42" t="str">
        <f aca="false">IF(A988="100","HK",IF(A988="200","CN",IF(A988="300","TW","홀세일")))</f>
        <v>CN</v>
      </c>
      <c r="C988" s="45" t="s">
        <v>1075</v>
      </c>
      <c r="D988" s="46" t="n">
        <v>412</v>
      </c>
      <c r="E988" s="46" t="n">
        <v>99000</v>
      </c>
      <c r="F988" s="46" t="n">
        <v>22101</v>
      </c>
      <c r="G988" s="42" t="n">
        <v>3.7</v>
      </c>
      <c r="H988" s="42" t="n">
        <v>23.3</v>
      </c>
      <c r="I988" s="42" t="n">
        <v>18</v>
      </c>
      <c r="J988" s="46" t="n">
        <f aca="false">IF(N(E988)&gt;0,E988,IF(N(F988)&gt;0,F988*요약!$F$27,0))</f>
        <v>99000</v>
      </c>
      <c r="K988" s="46" t="n">
        <f aca="false">IF(N(F988)&gt;0,F988,IF(N(E988)&gt;0,E988/요약!$F$27,0))</f>
        <v>22101</v>
      </c>
      <c r="L988" s="46" t="n">
        <f aca="false">IF(B988="CN",IF(N(I988)&gt;0,I988*요약!$G$27,K988*(1+요약!$E$27)),IF(N(H988)&gt;0,H988*요약!$G$27,J988*요약!$D$27))</f>
        <v>23760</v>
      </c>
      <c r="M988" s="46" t="n">
        <f aca="false">D988*J988</f>
        <v>40788000</v>
      </c>
      <c r="N988" s="46" t="n">
        <f aca="false">D988*K988</f>
        <v>9105612</v>
      </c>
      <c r="O988" s="46" t="n">
        <f aca="false">D988*L988</f>
        <v>9789120</v>
      </c>
      <c r="P988" s="42" t="str">
        <f aca="false">TRIM(IF(N(E988)&lt;=0,"택가보정 ","")&amp;IF(N(F988)&lt;=0,"원가보정 ","")&amp;IF(AND(B988&lt;&gt;"CN",N(H988)&lt;=0),"공급가보정 ","")&amp;IF(AND(B988="CN",N(I988)&lt;=0),"중국공급가=원가+마진 ",""))</f>
        <v/>
      </c>
      <c r="Q988" s="47" t="n">
        <f aca="false">IF(SUMIFS($W:$W,$A:$A,A988,$C:$C,C988)=0,0,SUMIFS(RAW_판매펀칭!$K:$K,RAW_판매펀칭!$P:$P,A988,RAW_판매펀칭!$I:$I,C988)*W988/SUMIFS($W:$W,$A:$A,A988,$C:$C,C988))</f>
        <v>412</v>
      </c>
      <c r="R988" s="47" t="n">
        <f aca="false">IF(OR(A988="500",A988="800",A988="810"),0,MAX(W988-Q988,0))</f>
        <v>0</v>
      </c>
      <c r="S988" s="47" t="n">
        <f aca="false">R988*L988</f>
        <v>0</v>
      </c>
      <c r="T988" s="47" t="n">
        <f aca="false">R988*J988</f>
        <v>0</v>
      </c>
      <c r="U988" s="47" t="n">
        <f aca="false">R988*K988</f>
        <v>0</v>
      </c>
      <c r="V988" s="0" t="str">
        <f aca="false">IF(COUNTIFS($A$2:A988,A988,$C$2:C988,C988,$D$2:D988,D988)&gt;1,"중복","")</f>
        <v/>
      </c>
      <c r="W988" s="0" t="n">
        <f aca="false">IF(V988="중복",0,N(D988))</f>
        <v>412</v>
      </c>
      <c r="X988" s="0" t="n">
        <f aca="false">IF(COUNTIFS($A$2:A988,A988,$C$2:C988,C988)=1,ABS(SUMIFS(RAW_발주!$D:$D,RAW_발주!$C:$C,A988,RAW_발주!$A:$A,C988)-SUMIFS($W:$W,$A:$A,A988,$C:$C,C988)),0)</f>
        <v>0</v>
      </c>
    </row>
    <row r="989" customFormat="false" ht="15" hidden="false" customHeight="true" outlineLevel="0" collapsed="false">
      <c r="A989" s="45" t="s">
        <v>1667</v>
      </c>
      <c r="B989" s="42" t="str">
        <f aca="false">IF(A989="100","HK",IF(A989="200","CN",IF(A989="300","TW","홀세일")))</f>
        <v>홀세일</v>
      </c>
      <c r="C989" s="45" t="s">
        <v>1075</v>
      </c>
      <c r="D989" s="46" t="n">
        <v>91</v>
      </c>
      <c r="E989" s="46" t="n">
        <v>99000</v>
      </c>
      <c r="F989" s="46" t="n">
        <v>22101</v>
      </c>
      <c r="G989" s="42" t="n">
        <v>3.7</v>
      </c>
      <c r="H989" s="42" t="n">
        <v>23.3</v>
      </c>
      <c r="I989" s="42" t="n">
        <v>18</v>
      </c>
      <c r="J989" s="46" t="n">
        <f aca="false">IF(N(E989)&gt;0,E989,IF(N(F989)&gt;0,F989*요약!$F$27,0))</f>
        <v>99000</v>
      </c>
      <c r="K989" s="46" t="n">
        <f aca="false">IF(N(F989)&gt;0,F989,IF(N(E989)&gt;0,E989/요약!$F$27,0))</f>
        <v>22101</v>
      </c>
      <c r="L989" s="46" t="n">
        <f aca="false">IF(B989="CN",IF(N(I989)&gt;0,I989*요약!$G$27,K989*(1+요약!$E$27)),IF(N(H989)&gt;0,H989*요약!$G$27,J989*요약!$D$27))</f>
        <v>30756</v>
      </c>
      <c r="M989" s="46" t="n">
        <f aca="false">D989*J989</f>
        <v>9009000</v>
      </c>
      <c r="N989" s="46" t="n">
        <f aca="false">D989*K989</f>
        <v>2011191</v>
      </c>
      <c r="O989" s="46" t="n">
        <f aca="false">D989*L989</f>
        <v>2798796</v>
      </c>
      <c r="P989" s="42" t="str">
        <f aca="false">TRIM(IF(N(E989)&lt;=0,"택가보정 ","")&amp;IF(N(F989)&lt;=0,"원가보정 ","")&amp;IF(AND(B989&lt;&gt;"CN",N(H989)&lt;=0),"공급가보정 ","")&amp;IF(AND(B989="CN",N(I989)&lt;=0),"중국공급가=원가+마진 ",""))</f>
        <v/>
      </c>
      <c r="Q989" s="47" t="n">
        <f aca="false">IF(SUMIFS($W:$W,$A:$A,A989,$C:$C,C989)=0,0,SUMIFS(RAW_판매펀칭!$K:$K,RAW_판매펀칭!$P:$P,A989,RAW_판매펀칭!$I:$I,C989)*W989/SUMIFS($W:$W,$A:$A,A989,$C:$C,C989))</f>
        <v>90</v>
      </c>
      <c r="R989" s="47" t="n">
        <f aca="false">IF(OR(A989="500",A989="800",A989="810"),0,MAX(W989-Q989,0))</f>
        <v>1</v>
      </c>
      <c r="S989" s="47" t="n">
        <f aca="false">R989*L989</f>
        <v>30756</v>
      </c>
      <c r="T989" s="47" t="n">
        <f aca="false">R989*J989</f>
        <v>99000</v>
      </c>
      <c r="U989" s="47" t="n">
        <f aca="false">R989*K989</f>
        <v>22101</v>
      </c>
      <c r="V989" s="0" t="str">
        <f aca="false">IF(COUNTIFS($A$2:A989,A989,$C$2:C989,C989,$D$2:D989,D989)&gt;1,"중복","")</f>
        <v/>
      </c>
      <c r="W989" s="0" t="n">
        <f aca="false">IF(V989="중복",0,N(D989))</f>
        <v>91</v>
      </c>
      <c r="X989" s="0" t="n">
        <f aca="false">IF(COUNTIFS($A$2:A989,A989,$C$2:C989,C989)=1,ABS(SUMIFS(RAW_발주!$D:$D,RAW_발주!$C:$C,A989,RAW_발주!$A:$A,C989)-SUMIFS($W:$W,$A:$A,A989,$C:$C,C989)),0)</f>
        <v>0</v>
      </c>
    </row>
    <row r="990" customFormat="false" ht="15" hidden="false" customHeight="true" outlineLevel="0" collapsed="false">
      <c r="A990" s="45" t="s">
        <v>1664</v>
      </c>
      <c r="B990" s="42" t="str">
        <f aca="false">IF(A990="100","HK",IF(A990="200","CN",IF(A990="300","TW","홀세일")))</f>
        <v>홀세일</v>
      </c>
      <c r="C990" s="45" t="s">
        <v>1075</v>
      </c>
      <c r="D990" s="46" t="n">
        <v>60</v>
      </c>
      <c r="E990" s="46" t="n">
        <v>99000</v>
      </c>
      <c r="F990" s="46" t="n">
        <v>22101</v>
      </c>
      <c r="G990" s="42" t="n">
        <v>3.7</v>
      </c>
      <c r="H990" s="42" t="n">
        <v>23.3</v>
      </c>
      <c r="I990" s="42" t="n">
        <v>18</v>
      </c>
      <c r="J990" s="46" t="n">
        <f aca="false">IF(N(E990)&gt;0,E990,IF(N(F990)&gt;0,F990*요약!$F$27,0))</f>
        <v>99000</v>
      </c>
      <c r="K990" s="46" t="n">
        <f aca="false">IF(N(F990)&gt;0,F990,IF(N(E990)&gt;0,E990/요약!$F$27,0))</f>
        <v>22101</v>
      </c>
      <c r="L990" s="46" t="n">
        <f aca="false">IF(B990="CN",IF(N(I990)&gt;0,I990*요약!$G$27,K990*(1+요약!$E$27)),IF(N(H990)&gt;0,H990*요약!$G$27,J990*요약!$D$27))</f>
        <v>30756</v>
      </c>
      <c r="M990" s="46" t="n">
        <f aca="false">D990*J990</f>
        <v>5940000</v>
      </c>
      <c r="N990" s="46" t="n">
        <f aca="false">D990*K990</f>
        <v>1326060</v>
      </c>
      <c r="O990" s="46" t="n">
        <f aca="false">D990*L990</f>
        <v>1845360</v>
      </c>
      <c r="P990" s="42" t="str">
        <f aca="false">TRIM(IF(N(E990)&lt;=0,"택가보정 ","")&amp;IF(N(F990)&lt;=0,"원가보정 ","")&amp;IF(AND(B990&lt;&gt;"CN",N(H990)&lt;=0),"공급가보정 ","")&amp;IF(AND(B990="CN",N(I990)&lt;=0),"중국공급가=원가+마진 ",""))</f>
        <v/>
      </c>
      <c r="Q990" s="47" t="n">
        <f aca="false">IF(SUMIFS($W:$W,$A:$A,A990,$C:$C,C990)=0,0,SUMIFS(RAW_판매펀칭!$K:$K,RAW_판매펀칭!$P:$P,A990,RAW_판매펀칭!$I:$I,C990)*W990/SUMIFS($W:$W,$A:$A,A990,$C:$C,C990))</f>
        <v>0</v>
      </c>
      <c r="R990" s="47" t="n">
        <f aca="false">IF(OR(A990="500",A990="800",A990="810"),0,MAX(W990-Q990,0))</f>
        <v>0</v>
      </c>
      <c r="S990" s="47" t="n">
        <f aca="false">R990*L990</f>
        <v>0</v>
      </c>
      <c r="T990" s="47" t="n">
        <f aca="false">R990*J990</f>
        <v>0</v>
      </c>
      <c r="U990" s="47" t="n">
        <f aca="false">R990*K990</f>
        <v>0</v>
      </c>
      <c r="V990" s="0" t="str">
        <f aca="false">IF(COUNTIFS($A$2:A990,A990,$C$2:C990,C990,$D$2:D990,D990)&gt;1,"중복","")</f>
        <v/>
      </c>
      <c r="W990" s="0" t="n">
        <f aca="false">IF(V990="중복",0,N(D990))</f>
        <v>60</v>
      </c>
      <c r="X990" s="0" t="n">
        <f aca="false">IF(COUNTIFS($A$2:A990,A990,$C$2:C990,C990)=1,ABS(SUMIFS(RAW_발주!$D:$D,RAW_발주!$C:$C,A990,RAW_발주!$A:$A,C990)-SUMIFS($W:$W,$A:$A,A990,$C:$C,C990)),0)</f>
        <v>0</v>
      </c>
    </row>
    <row r="991" customFormat="false" ht="15" hidden="false" customHeight="true" outlineLevel="0" collapsed="false">
      <c r="A991" s="45" t="s">
        <v>1659</v>
      </c>
      <c r="B991" s="42" t="str">
        <f aca="false">IF(A991="100","HK",IF(A991="200","CN",IF(A991="300","TW","홀세일")))</f>
        <v>HK</v>
      </c>
      <c r="C991" s="45" t="s">
        <v>489</v>
      </c>
      <c r="D991" s="46" t="n">
        <v>280</v>
      </c>
      <c r="E991" s="46" t="n">
        <v>159000</v>
      </c>
      <c r="F991" s="46" t="n">
        <v>30401</v>
      </c>
      <c r="G991" s="42" t="n">
        <v>4.5</v>
      </c>
      <c r="H991" s="42" t="n">
        <v>37.4</v>
      </c>
      <c r="I991" s="42" t="n">
        <v>25.1</v>
      </c>
      <c r="J991" s="46" t="n">
        <f aca="false">IF(N(E991)&gt;0,E991,IF(N(F991)&gt;0,F991*요약!$F$27,0))</f>
        <v>159000</v>
      </c>
      <c r="K991" s="46" t="n">
        <f aca="false">IF(N(F991)&gt;0,F991,IF(N(E991)&gt;0,E991/요약!$F$27,0))</f>
        <v>30401</v>
      </c>
      <c r="L991" s="46" t="n">
        <f aca="false">IF(B991="CN",IF(N(I991)&gt;0,I991*요약!$G$27,K991*(1+요약!$E$27)),IF(N(H991)&gt;0,H991*요약!$G$27,J991*요약!$D$27))</f>
        <v>49368</v>
      </c>
      <c r="M991" s="46" t="n">
        <f aca="false">D991*J991</f>
        <v>44520000</v>
      </c>
      <c r="N991" s="46" t="n">
        <f aca="false">D991*K991</f>
        <v>8512280</v>
      </c>
      <c r="O991" s="46" t="n">
        <f aca="false">D991*L991</f>
        <v>13823040</v>
      </c>
      <c r="P991" s="42" t="str">
        <f aca="false">TRIM(IF(N(E991)&lt;=0,"택가보정 ","")&amp;IF(N(F991)&lt;=0,"원가보정 ","")&amp;IF(AND(B991&lt;&gt;"CN",N(H991)&lt;=0),"공급가보정 ","")&amp;IF(AND(B991="CN",N(I991)&lt;=0),"중국공급가=원가+마진 ",""))</f>
        <v/>
      </c>
      <c r="Q991" s="47" t="n">
        <f aca="false">IF(SUMIFS($W:$W,$A:$A,A991,$C:$C,C991)=0,0,SUMIFS(RAW_판매펀칭!$K:$K,RAW_판매펀칭!$P:$P,A991,RAW_판매펀칭!$I:$I,C991)*W991/SUMIFS($W:$W,$A:$A,A991,$C:$C,C991))</f>
        <v>280</v>
      </c>
      <c r="R991" s="47" t="n">
        <f aca="false">IF(OR(A991="500",A991="800",A991="810"),0,MAX(W991-Q991,0))</f>
        <v>0</v>
      </c>
      <c r="S991" s="47" t="n">
        <f aca="false">R991*L991</f>
        <v>0</v>
      </c>
      <c r="T991" s="47" t="n">
        <f aca="false">R991*J991</f>
        <v>0</v>
      </c>
      <c r="U991" s="47" t="n">
        <f aca="false">R991*K991</f>
        <v>0</v>
      </c>
      <c r="V991" s="0" t="str">
        <f aca="false">IF(COUNTIFS($A$2:A991,A991,$C$2:C991,C991,$D$2:D991,D991)&gt;1,"중복","")</f>
        <v/>
      </c>
      <c r="W991" s="0" t="n">
        <f aca="false">IF(V991="중복",0,N(D991))</f>
        <v>280</v>
      </c>
      <c r="X991" s="0" t="n">
        <f aca="false">IF(COUNTIFS($A$2:A991,A991,$C$2:C991,C991)=1,ABS(SUMIFS(RAW_발주!$D:$D,RAW_발주!$C:$C,A991,RAW_발주!$A:$A,C991)-SUMIFS($W:$W,$A:$A,A991,$C:$C,C991)),0)</f>
        <v>0</v>
      </c>
    </row>
    <row r="992" customFormat="false" ht="15" hidden="false" customHeight="true" outlineLevel="0" collapsed="false">
      <c r="A992" s="45" t="s">
        <v>1660</v>
      </c>
      <c r="B992" s="42" t="str">
        <f aca="false">IF(A992="100","HK",IF(A992="200","CN",IF(A992="300","TW","홀세일")))</f>
        <v>CN</v>
      </c>
      <c r="C992" s="45" t="s">
        <v>489</v>
      </c>
      <c r="D992" s="46" t="n">
        <v>753</v>
      </c>
      <c r="E992" s="46" t="n">
        <v>159000</v>
      </c>
      <c r="F992" s="46" t="n">
        <v>30401</v>
      </c>
      <c r="G992" s="42" t="n">
        <v>4.5</v>
      </c>
      <c r="H992" s="42" t="n">
        <v>37.4</v>
      </c>
      <c r="I992" s="42" t="n">
        <v>25.1</v>
      </c>
      <c r="J992" s="46" t="n">
        <f aca="false">IF(N(E992)&gt;0,E992,IF(N(F992)&gt;0,F992*요약!$F$27,0))</f>
        <v>159000</v>
      </c>
      <c r="K992" s="46" t="n">
        <f aca="false">IF(N(F992)&gt;0,F992,IF(N(E992)&gt;0,E992/요약!$F$27,0))</f>
        <v>30401</v>
      </c>
      <c r="L992" s="46" t="n">
        <f aca="false">IF(B992="CN",IF(N(I992)&gt;0,I992*요약!$G$27,K992*(1+요약!$E$27)),IF(N(H992)&gt;0,H992*요약!$G$27,J992*요약!$D$27))</f>
        <v>33132</v>
      </c>
      <c r="M992" s="46" t="n">
        <f aca="false">D992*J992</f>
        <v>119727000</v>
      </c>
      <c r="N992" s="46" t="n">
        <f aca="false">D992*K992</f>
        <v>22891953</v>
      </c>
      <c r="O992" s="46" t="n">
        <f aca="false">D992*L992</f>
        <v>24948396</v>
      </c>
      <c r="P992" s="42" t="str">
        <f aca="false">TRIM(IF(N(E992)&lt;=0,"택가보정 ","")&amp;IF(N(F992)&lt;=0,"원가보정 ","")&amp;IF(AND(B992&lt;&gt;"CN",N(H992)&lt;=0),"공급가보정 ","")&amp;IF(AND(B992="CN",N(I992)&lt;=0),"중국공급가=원가+마진 ",""))</f>
        <v/>
      </c>
      <c r="Q992" s="47" t="n">
        <f aca="false">IF(SUMIFS($W:$W,$A:$A,A992,$C:$C,C992)=0,0,SUMIFS(RAW_판매펀칭!$K:$K,RAW_판매펀칭!$P:$P,A992,RAW_판매펀칭!$I:$I,C992)*W992/SUMIFS($W:$W,$A:$A,A992,$C:$C,C992))</f>
        <v>751</v>
      </c>
      <c r="R992" s="47" t="n">
        <f aca="false">IF(OR(A992="500",A992="800",A992="810"),0,MAX(W992-Q992,0))</f>
        <v>2</v>
      </c>
      <c r="S992" s="47" t="n">
        <f aca="false">R992*L992</f>
        <v>66264</v>
      </c>
      <c r="T992" s="47" t="n">
        <f aca="false">R992*J992</f>
        <v>318000</v>
      </c>
      <c r="U992" s="47" t="n">
        <f aca="false">R992*K992</f>
        <v>60802</v>
      </c>
      <c r="V992" s="0" t="str">
        <f aca="false">IF(COUNTIFS($A$2:A992,A992,$C$2:C992,C992,$D$2:D992,D992)&gt;1,"중복","")</f>
        <v/>
      </c>
      <c r="W992" s="0" t="n">
        <f aca="false">IF(V992="중복",0,N(D992))</f>
        <v>753</v>
      </c>
      <c r="X992" s="0" t="n">
        <f aca="false">IF(COUNTIFS($A$2:A992,A992,$C$2:C992,C992)=1,ABS(SUMIFS(RAW_발주!$D:$D,RAW_발주!$C:$C,A992,RAW_발주!$A:$A,C992)-SUMIFS($W:$W,$A:$A,A992,$C:$C,C992)),0)</f>
        <v>0</v>
      </c>
    </row>
    <row r="993" customFormat="false" ht="15" hidden="false" customHeight="true" outlineLevel="0" collapsed="false">
      <c r="A993" s="45" t="s">
        <v>1660</v>
      </c>
      <c r="B993" s="42" t="str">
        <f aca="false">IF(A993="100","HK",IF(A993="200","CN",IF(A993="300","TW","홀세일")))</f>
        <v>CN</v>
      </c>
      <c r="C993" s="45" t="s">
        <v>489</v>
      </c>
      <c r="D993" s="46" t="n">
        <v>753</v>
      </c>
      <c r="E993" s="46" t="n">
        <v>159000</v>
      </c>
      <c r="F993" s="46" t="n">
        <v>30401</v>
      </c>
      <c r="G993" s="42" t="n">
        <v>4.5</v>
      </c>
      <c r="H993" s="42" t="n">
        <v>37.4</v>
      </c>
      <c r="I993" s="42" t="n">
        <v>25.1</v>
      </c>
      <c r="J993" s="46" t="n">
        <f aca="false">IF(N(E993)&gt;0,E993,IF(N(F993)&gt;0,F993*요약!$F$27,0))</f>
        <v>159000</v>
      </c>
      <c r="K993" s="46" t="n">
        <f aca="false">IF(N(F993)&gt;0,F993,IF(N(E993)&gt;0,E993/요약!$F$27,0))</f>
        <v>30401</v>
      </c>
      <c r="L993" s="46" t="n">
        <f aca="false">IF(B993="CN",IF(N(I993)&gt;0,I993*요약!$G$27,K993*(1+요약!$E$27)),IF(N(H993)&gt;0,H993*요약!$G$27,J993*요약!$D$27))</f>
        <v>33132</v>
      </c>
      <c r="M993" s="46" t="n">
        <f aca="false">D993*J993</f>
        <v>119727000</v>
      </c>
      <c r="N993" s="46" t="n">
        <f aca="false">D993*K993</f>
        <v>22891953</v>
      </c>
      <c r="O993" s="46" t="n">
        <f aca="false">D993*L993</f>
        <v>24948396</v>
      </c>
      <c r="P993" s="42" t="str">
        <f aca="false">TRIM(IF(N(E993)&lt;=0,"택가보정 ","")&amp;IF(N(F993)&lt;=0,"원가보정 ","")&amp;IF(AND(B993&lt;&gt;"CN",N(H993)&lt;=0),"공급가보정 ","")&amp;IF(AND(B993="CN",N(I993)&lt;=0),"중국공급가=원가+마진 ",""))</f>
        <v/>
      </c>
      <c r="Q993" s="47" t="n">
        <f aca="false">IF(SUMIFS($W:$W,$A:$A,A993,$C:$C,C993)=0,0,SUMIFS(RAW_판매펀칭!$K:$K,RAW_판매펀칭!$P:$P,A993,RAW_판매펀칭!$I:$I,C993)*W993/SUMIFS($W:$W,$A:$A,A993,$C:$C,C993))</f>
        <v>0</v>
      </c>
      <c r="R993" s="47" t="n">
        <f aca="false">IF(OR(A993="500",A993="800",A993="810"),0,MAX(W993-Q993,0))</f>
        <v>0</v>
      </c>
      <c r="S993" s="47" t="n">
        <f aca="false">R993*L993</f>
        <v>0</v>
      </c>
      <c r="T993" s="47" t="n">
        <f aca="false">R993*J993</f>
        <v>0</v>
      </c>
      <c r="U993" s="47" t="n">
        <f aca="false">R993*K993</f>
        <v>0</v>
      </c>
      <c r="V993" s="0" t="str">
        <f aca="false">IF(COUNTIFS($A$2:A993,A993,$C$2:C993,C993,$D$2:D993,D993)&gt;1,"중복","")</f>
        <v>중복</v>
      </c>
      <c r="W993" s="0" t="n">
        <f aca="false">IF(V993="중복",0,N(D993))</f>
        <v>0</v>
      </c>
      <c r="X993" s="0" t="n">
        <f aca="false">IF(COUNTIFS($A$2:A993,A993,$C$2:C993,C993)=1,ABS(SUMIFS(RAW_발주!$D:$D,RAW_발주!$C:$C,A993,RAW_발주!$A:$A,C993)-SUMIFS($W:$W,$A:$A,A993,$C:$C,C993)),0)</f>
        <v>0</v>
      </c>
    </row>
    <row r="994" customFormat="false" ht="15" hidden="false" customHeight="true" outlineLevel="0" collapsed="false">
      <c r="A994" s="45" t="s">
        <v>1661</v>
      </c>
      <c r="B994" s="42" t="str">
        <f aca="false">IF(A994="100","HK",IF(A994="200","CN",IF(A994="300","TW","홀세일")))</f>
        <v>TW</v>
      </c>
      <c r="C994" s="45" t="s">
        <v>489</v>
      </c>
      <c r="D994" s="46" t="n">
        <v>420</v>
      </c>
      <c r="E994" s="46" t="n">
        <v>159000</v>
      </c>
      <c r="F994" s="46" t="n">
        <v>30401</v>
      </c>
      <c r="G994" s="42" t="n">
        <v>4.5</v>
      </c>
      <c r="H994" s="42" t="n">
        <v>37.4</v>
      </c>
      <c r="I994" s="42" t="n">
        <v>25.1</v>
      </c>
      <c r="J994" s="46" t="n">
        <f aca="false">IF(N(E994)&gt;0,E994,IF(N(F994)&gt;0,F994*요약!$F$27,0))</f>
        <v>159000</v>
      </c>
      <c r="K994" s="46" t="n">
        <f aca="false">IF(N(F994)&gt;0,F994,IF(N(E994)&gt;0,E994/요약!$F$27,0))</f>
        <v>30401</v>
      </c>
      <c r="L994" s="46" t="n">
        <f aca="false">IF(B994="CN",IF(N(I994)&gt;0,I994*요약!$G$27,K994*(1+요약!$E$27)),IF(N(H994)&gt;0,H994*요약!$G$27,J994*요약!$D$27))</f>
        <v>49368</v>
      </c>
      <c r="M994" s="46" t="n">
        <f aca="false">D994*J994</f>
        <v>66780000</v>
      </c>
      <c r="N994" s="46" t="n">
        <f aca="false">D994*K994</f>
        <v>12768420</v>
      </c>
      <c r="O994" s="46" t="n">
        <f aca="false">D994*L994</f>
        <v>20734560</v>
      </c>
      <c r="P994" s="42" t="str">
        <f aca="false">TRIM(IF(N(E994)&lt;=0,"택가보정 ","")&amp;IF(N(F994)&lt;=0,"원가보정 ","")&amp;IF(AND(B994&lt;&gt;"CN",N(H994)&lt;=0),"공급가보정 ","")&amp;IF(AND(B994="CN",N(I994)&lt;=0),"중국공급가=원가+마진 ",""))</f>
        <v/>
      </c>
      <c r="Q994" s="47" t="n">
        <f aca="false">IF(SUMIFS($W:$W,$A:$A,A994,$C:$C,C994)=0,0,SUMIFS(RAW_판매펀칭!$K:$K,RAW_판매펀칭!$P:$P,A994,RAW_판매펀칭!$I:$I,C994)*W994/SUMIFS($W:$W,$A:$A,A994,$C:$C,C994))</f>
        <v>420</v>
      </c>
      <c r="R994" s="47" t="n">
        <f aca="false">IF(OR(A994="500",A994="800",A994="810"),0,MAX(W994-Q994,0))</f>
        <v>0</v>
      </c>
      <c r="S994" s="47" t="n">
        <f aca="false">R994*L994</f>
        <v>0</v>
      </c>
      <c r="T994" s="47" t="n">
        <f aca="false">R994*J994</f>
        <v>0</v>
      </c>
      <c r="U994" s="47" t="n">
        <f aca="false">R994*K994</f>
        <v>0</v>
      </c>
      <c r="V994" s="0" t="str">
        <f aca="false">IF(COUNTIFS($A$2:A994,A994,$C$2:C994,C994,$D$2:D994,D994)&gt;1,"중복","")</f>
        <v/>
      </c>
      <c r="W994" s="0" t="n">
        <f aca="false">IF(V994="중복",0,N(D994))</f>
        <v>420</v>
      </c>
      <c r="X994" s="0" t="n">
        <f aca="false">IF(COUNTIFS($A$2:A994,A994,$C$2:C994,C994)=1,ABS(SUMIFS(RAW_발주!$D:$D,RAW_발주!$C:$C,A994,RAW_발주!$A:$A,C994)-SUMIFS($W:$W,$A:$A,A994,$C:$C,C994)),0)</f>
        <v>0</v>
      </c>
    </row>
    <row r="995" customFormat="false" ht="15" hidden="false" customHeight="true" outlineLevel="0" collapsed="false">
      <c r="A995" s="45" t="s">
        <v>1662</v>
      </c>
      <c r="B995" s="42" t="str">
        <f aca="false">IF(A995="100","HK",IF(A995="200","CN",IF(A995="300","TW","홀세일")))</f>
        <v>홀세일</v>
      </c>
      <c r="C995" s="45" t="s">
        <v>489</v>
      </c>
      <c r="D995" s="46" t="n">
        <v>70</v>
      </c>
      <c r="E995" s="46" t="n">
        <v>159000</v>
      </c>
      <c r="F995" s="46" t="n">
        <v>30401</v>
      </c>
      <c r="G995" s="42" t="n">
        <v>4.5</v>
      </c>
      <c r="H995" s="42" t="n">
        <v>37.4</v>
      </c>
      <c r="I995" s="42" t="n">
        <v>25.1</v>
      </c>
      <c r="J995" s="46" t="n">
        <f aca="false">IF(N(E995)&gt;0,E995,IF(N(F995)&gt;0,F995*요약!$F$27,0))</f>
        <v>159000</v>
      </c>
      <c r="K995" s="46" t="n">
        <f aca="false">IF(N(F995)&gt;0,F995,IF(N(E995)&gt;0,E995/요약!$F$27,0))</f>
        <v>30401</v>
      </c>
      <c r="L995" s="46" t="n">
        <f aca="false">IF(B995="CN",IF(N(I995)&gt;0,I995*요약!$G$27,K995*(1+요약!$E$27)),IF(N(H995)&gt;0,H995*요약!$G$27,J995*요약!$D$27))</f>
        <v>49368</v>
      </c>
      <c r="M995" s="46" t="n">
        <f aca="false">D995*J995</f>
        <v>11130000</v>
      </c>
      <c r="N995" s="46" t="n">
        <f aca="false">D995*K995</f>
        <v>2128070</v>
      </c>
      <c r="O995" s="46" t="n">
        <f aca="false">D995*L995</f>
        <v>3455760</v>
      </c>
      <c r="P995" s="42" t="str">
        <f aca="false">TRIM(IF(N(E995)&lt;=0,"택가보정 ","")&amp;IF(N(F995)&lt;=0,"원가보정 ","")&amp;IF(AND(B995&lt;&gt;"CN",N(H995)&lt;=0),"공급가보정 ","")&amp;IF(AND(B995="CN",N(I995)&lt;=0),"중국공급가=원가+마진 ",""))</f>
        <v/>
      </c>
      <c r="Q995" s="47" t="n">
        <f aca="false">IF(SUMIFS($W:$W,$A:$A,A995,$C:$C,C995)=0,0,SUMIFS(RAW_판매펀칭!$K:$K,RAW_판매펀칭!$P:$P,A995,RAW_판매펀칭!$I:$I,C995)*W995/SUMIFS($W:$W,$A:$A,A995,$C:$C,C995))</f>
        <v>0</v>
      </c>
      <c r="R995" s="47" t="n">
        <f aca="false">IF(OR(A995="500",A995="800",A995="810"),0,MAX(W995-Q995,0))</f>
        <v>0</v>
      </c>
      <c r="S995" s="47" t="n">
        <f aca="false">R995*L995</f>
        <v>0</v>
      </c>
      <c r="T995" s="47" t="n">
        <f aca="false">R995*J995</f>
        <v>0</v>
      </c>
      <c r="U995" s="47" t="n">
        <f aca="false">R995*K995</f>
        <v>0</v>
      </c>
      <c r="V995" s="0" t="str">
        <f aca="false">IF(COUNTIFS($A$2:A995,A995,$C$2:C995,C995,$D$2:D995,D995)&gt;1,"중복","")</f>
        <v/>
      </c>
      <c r="W995" s="0" t="n">
        <f aca="false">IF(V995="중복",0,N(D995))</f>
        <v>70</v>
      </c>
      <c r="X995" s="0" t="n">
        <f aca="false">IF(COUNTIFS($A$2:A995,A995,$C$2:C995,C995)=1,ABS(SUMIFS(RAW_발주!$D:$D,RAW_발주!$C:$C,A995,RAW_발주!$A:$A,C995)-SUMIFS($W:$W,$A:$A,A995,$C:$C,C995)),0)</f>
        <v>0</v>
      </c>
    </row>
    <row r="996" customFormat="false" ht="15" hidden="false" customHeight="true" outlineLevel="0" collapsed="false">
      <c r="A996" s="45" t="s">
        <v>1663</v>
      </c>
      <c r="B996" s="42" t="str">
        <f aca="false">IF(A996="100","HK",IF(A996="200","CN",IF(A996="300","TW","홀세일")))</f>
        <v>홀세일</v>
      </c>
      <c r="C996" s="45" t="s">
        <v>489</v>
      </c>
      <c r="D996" s="46" t="n">
        <v>25</v>
      </c>
      <c r="E996" s="46" t="n">
        <v>159000</v>
      </c>
      <c r="F996" s="46" t="n">
        <v>30401</v>
      </c>
      <c r="G996" s="42" t="n">
        <v>4.5</v>
      </c>
      <c r="H996" s="42" t="n">
        <v>37.4</v>
      </c>
      <c r="I996" s="42" t="n">
        <v>25.1</v>
      </c>
      <c r="J996" s="46" t="n">
        <f aca="false">IF(N(E996)&gt;0,E996,IF(N(F996)&gt;0,F996*요약!$F$27,0))</f>
        <v>159000</v>
      </c>
      <c r="K996" s="46" t="n">
        <f aca="false">IF(N(F996)&gt;0,F996,IF(N(E996)&gt;0,E996/요약!$F$27,0))</f>
        <v>30401</v>
      </c>
      <c r="L996" s="46" t="n">
        <f aca="false">IF(B996="CN",IF(N(I996)&gt;0,I996*요약!$G$27,K996*(1+요약!$E$27)),IF(N(H996)&gt;0,H996*요약!$G$27,J996*요약!$D$27))</f>
        <v>49368</v>
      </c>
      <c r="M996" s="46" t="n">
        <f aca="false">D996*J996</f>
        <v>3975000</v>
      </c>
      <c r="N996" s="46" t="n">
        <f aca="false">D996*K996</f>
        <v>760025</v>
      </c>
      <c r="O996" s="46" t="n">
        <f aca="false">D996*L996</f>
        <v>1234200</v>
      </c>
      <c r="P996" s="42" t="str">
        <f aca="false">TRIM(IF(N(E996)&lt;=0,"택가보정 ","")&amp;IF(N(F996)&lt;=0,"원가보정 ","")&amp;IF(AND(B996&lt;&gt;"CN",N(H996)&lt;=0),"공급가보정 ","")&amp;IF(AND(B996="CN",N(I996)&lt;=0),"중국공급가=원가+마진 ",""))</f>
        <v/>
      </c>
      <c r="Q996" s="47" t="n">
        <f aca="false">IF(SUMIFS($W:$W,$A:$A,A996,$C:$C,C996)=0,0,SUMIFS(RAW_판매펀칭!$K:$K,RAW_판매펀칭!$P:$P,A996,RAW_판매펀칭!$I:$I,C996)*W996/SUMIFS($W:$W,$A:$A,A996,$C:$C,C996))</f>
        <v>25</v>
      </c>
      <c r="R996" s="47" t="n">
        <f aca="false">IF(OR(A996="500",A996="800",A996="810"),0,MAX(W996-Q996,0))</f>
        <v>0</v>
      </c>
      <c r="S996" s="47" t="n">
        <f aca="false">R996*L996</f>
        <v>0</v>
      </c>
      <c r="T996" s="47" t="n">
        <f aca="false">R996*J996</f>
        <v>0</v>
      </c>
      <c r="U996" s="47" t="n">
        <f aca="false">R996*K996</f>
        <v>0</v>
      </c>
      <c r="V996" s="0" t="str">
        <f aca="false">IF(COUNTIFS($A$2:A996,A996,$C$2:C996,C996,$D$2:D996,D996)&gt;1,"중복","")</f>
        <v/>
      </c>
      <c r="W996" s="0" t="n">
        <f aca="false">IF(V996="중복",0,N(D996))</f>
        <v>25</v>
      </c>
      <c r="X996" s="0" t="n">
        <f aca="false">IF(COUNTIFS($A$2:A996,A996,$C$2:C996,C996)=1,ABS(SUMIFS(RAW_발주!$D:$D,RAW_발주!$C:$C,A996,RAW_발주!$A:$A,C996)-SUMIFS($W:$W,$A:$A,A996,$C:$C,C996)),0)</f>
        <v>0</v>
      </c>
    </row>
    <row r="997" customFormat="false" ht="15" hidden="false" customHeight="true" outlineLevel="0" collapsed="false">
      <c r="A997" s="45" t="s">
        <v>1667</v>
      </c>
      <c r="B997" s="42" t="str">
        <f aca="false">IF(A997="100","HK",IF(A997="200","CN",IF(A997="300","TW","홀세일")))</f>
        <v>홀세일</v>
      </c>
      <c r="C997" s="45" t="s">
        <v>489</v>
      </c>
      <c r="D997" s="46" t="n">
        <v>111</v>
      </c>
      <c r="E997" s="46" t="n">
        <v>159000</v>
      </c>
      <c r="F997" s="46" t="n">
        <v>30401</v>
      </c>
      <c r="G997" s="42" t="n">
        <v>4.5</v>
      </c>
      <c r="H997" s="42" t="n">
        <v>37.4</v>
      </c>
      <c r="I997" s="42" t="n">
        <v>25.1</v>
      </c>
      <c r="J997" s="46" t="n">
        <f aca="false">IF(N(E997)&gt;0,E997,IF(N(F997)&gt;0,F997*요약!$F$27,0))</f>
        <v>159000</v>
      </c>
      <c r="K997" s="46" t="n">
        <f aca="false">IF(N(F997)&gt;0,F997,IF(N(E997)&gt;0,E997/요약!$F$27,0))</f>
        <v>30401</v>
      </c>
      <c r="L997" s="46" t="n">
        <f aca="false">IF(B997="CN",IF(N(I997)&gt;0,I997*요약!$G$27,K997*(1+요약!$E$27)),IF(N(H997)&gt;0,H997*요약!$G$27,J997*요약!$D$27))</f>
        <v>49368</v>
      </c>
      <c r="M997" s="46" t="n">
        <f aca="false">D997*J997</f>
        <v>17649000</v>
      </c>
      <c r="N997" s="46" t="n">
        <f aca="false">D997*K997</f>
        <v>3374511</v>
      </c>
      <c r="O997" s="46" t="n">
        <f aca="false">D997*L997</f>
        <v>5479848</v>
      </c>
      <c r="P997" s="42" t="str">
        <f aca="false">TRIM(IF(N(E997)&lt;=0,"택가보정 ","")&amp;IF(N(F997)&lt;=0,"원가보정 ","")&amp;IF(AND(B997&lt;&gt;"CN",N(H997)&lt;=0),"공급가보정 ","")&amp;IF(AND(B997="CN",N(I997)&lt;=0),"중국공급가=원가+마진 ",""))</f>
        <v/>
      </c>
      <c r="Q997" s="47" t="n">
        <f aca="false">IF(SUMIFS($W:$W,$A:$A,A997,$C:$C,C997)=0,0,SUMIFS(RAW_판매펀칭!$K:$K,RAW_판매펀칭!$P:$P,A997,RAW_판매펀칭!$I:$I,C997)*W997/SUMIFS($W:$W,$A:$A,A997,$C:$C,C997))</f>
        <v>110</v>
      </c>
      <c r="R997" s="47" t="n">
        <f aca="false">IF(OR(A997="500",A997="800",A997="810"),0,MAX(W997-Q997,0))</f>
        <v>1</v>
      </c>
      <c r="S997" s="47" t="n">
        <f aca="false">R997*L997</f>
        <v>49368</v>
      </c>
      <c r="T997" s="47" t="n">
        <f aca="false">R997*J997</f>
        <v>159000</v>
      </c>
      <c r="U997" s="47" t="n">
        <f aca="false">R997*K997</f>
        <v>30401</v>
      </c>
      <c r="V997" s="0" t="str">
        <f aca="false">IF(COUNTIFS($A$2:A997,A997,$C$2:C997,C997,$D$2:D997,D997)&gt;1,"중복","")</f>
        <v/>
      </c>
      <c r="W997" s="0" t="n">
        <f aca="false">IF(V997="중복",0,N(D997))</f>
        <v>111</v>
      </c>
      <c r="X997" s="0" t="n">
        <f aca="false">IF(COUNTIFS($A$2:A997,A997,$C$2:C997,C997)=1,ABS(SUMIFS(RAW_발주!$D:$D,RAW_발주!$C:$C,A997,RAW_발주!$A:$A,C997)-SUMIFS($W:$W,$A:$A,A997,$C:$C,C997)),0)</f>
        <v>0</v>
      </c>
    </row>
    <row r="998" customFormat="false" ht="15" hidden="false" customHeight="true" outlineLevel="0" collapsed="false">
      <c r="A998" s="45" t="s">
        <v>1659</v>
      </c>
      <c r="B998" s="42" t="str">
        <f aca="false">IF(A998="100","HK",IF(A998="200","CN",IF(A998="300","TW","홀세일")))</f>
        <v>HK</v>
      </c>
      <c r="C998" s="45" t="s">
        <v>491</v>
      </c>
      <c r="D998" s="46" t="n">
        <v>240</v>
      </c>
      <c r="E998" s="46" t="n">
        <v>159000</v>
      </c>
      <c r="F998" s="46" t="n">
        <v>33000</v>
      </c>
      <c r="G998" s="42" t="n">
        <v>3.95</v>
      </c>
      <c r="H998" s="42" t="n">
        <v>37.4</v>
      </c>
      <c r="I998" s="42" t="n">
        <v>0</v>
      </c>
      <c r="J998" s="46" t="n">
        <f aca="false">IF(N(E998)&gt;0,E998,IF(N(F998)&gt;0,F998*요약!$F$27,0))</f>
        <v>159000</v>
      </c>
      <c r="K998" s="46" t="n">
        <f aca="false">IF(N(F998)&gt;0,F998,IF(N(E998)&gt;0,E998/요약!$F$27,0))</f>
        <v>33000</v>
      </c>
      <c r="L998" s="46" t="n">
        <f aca="false">IF(B998="CN",IF(N(I998)&gt;0,I998*요약!$G$27,K998*(1+요약!$E$27)),IF(N(H998)&gt;0,H998*요약!$G$27,J998*요약!$D$27))</f>
        <v>49368</v>
      </c>
      <c r="M998" s="46" t="n">
        <f aca="false">D998*J998</f>
        <v>38160000</v>
      </c>
      <c r="N998" s="46" t="n">
        <f aca="false">D998*K998</f>
        <v>7920000</v>
      </c>
      <c r="O998" s="46" t="n">
        <f aca="false">D998*L998</f>
        <v>11848320</v>
      </c>
      <c r="P998" s="42" t="str">
        <f aca="false">TRIM(IF(N(E998)&lt;=0,"택가보정 ","")&amp;IF(N(F998)&lt;=0,"원가보정 ","")&amp;IF(AND(B998&lt;&gt;"CN",N(H998)&lt;=0),"공급가보정 ","")&amp;IF(AND(B998="CN",N(I998)&lt;=0),"중국공급가=원가+마진 ",""))</f>
        <v/>
      </c>
      <c r="Q998" s="47" t="n">
        <f aca="false">IF(SUMIFS($W:$W,$A:$A,A998,$C:$C,C998)=0,0,SUMIFS(RAW_판매펀칭!$K:$K,RAW_판매펀칭!$P:$P,A998,RAW_판매펀칭!$I:$I,C998)*W998/SUMIFS($W:$W,$A:$A,A998,$C:$C,C998))</f>
        <v>240</v>
      </c>
      <c r="R998" s="47" t="n">
        <f aca="false">IF(OR(A998="500",A998="800",A998="810"),0,MAX(W998-Q998,0))</f>
        <v>0</v>
      </c>
      <c r="S998" s="47" t="n">
        <f aca="false">R998*L998</f>
        <v>0</v>
      </c>
      <c r="T998" s="47" t="n">
        <f aca="false">R998*J998</f>
        <v>0</v>
      </c>
      <c r="U998" s="47" t="n">
        <f aca="false">R998*K998</f>
        <v>0</v>
      </c>
      <c r="V998" s="0" t="str">
        <f aca="false">IF(COUNTIFS($A$2:A998,A998,$C$2:C998,C998,$D$2:D998,D998)&gt;1,"중복","")</f>
        <v/>
      </c>
      <c r="W998" s="0" t="n">
        <f aca="false">IF(V998="중복",0,N(D998))</f>
        <v>240</v>
      </c>
      <c r="X998" s="0" t="n">
        <f aca="false">IF(COUNTIFS($A$2:A998,A998,$C$2:C998,C998)=1,ABS(SUMIFS(RAW_발주!$D:$D,RAW_발주!$C:$C,A998,RAW_발주!$A:$A,C998)-SUMIFS($W:$W,$A:$A,A998,$C:$C,C998)),0)</f>
        <v>0</v>
      </c>
    </row>
    <row r="999" customFormat="false" ht="15" hidden="false" customHeight="true" outlineLevel="0" collapsed="false">
      <c r="A999" s="45" t="s">
        <v>1661</v>
      </c>
      <c r="B999" s="42" t="str">
        <f aca="false">IF(A999="100","HK",IF(A999="200","CN",IF(A999="300","TW","홀세일")))</f>
        <v>TW</v>
      </c>
      <c r="C999" s="45" t="s">
        <v>491</v>
      </c>
      <c r="D999" s="46" t="n">
        <v>420</v>
      </c>
      <c r="E999" s="46" t="n">
        <v>159000</v>
      </c>
      <c r="F999" s="46" t="n">
        <v>33000</v>
      </c>
      <c r="G999" s="42" t="n">
        <v>3.95</v>
      </c>
      <c r="H999" s="42" t="n">
        <v>37.4</v>
      </c>
      <c r="I999" s="42" t="n">
        <v>0</v>
      </c>
      <c r="J999" s="46" t="n">
        <f aca="false">IF(N(E999)&gt;0,E999,IF(N(F999)&gt;0,F999*요약!$F$27,0))</f>
        <v>159000</v>
      </c>
      <c r="K999" s="46" t="n">
        <f aca="false">IF(N(F999)&gt;0,F999,IF(N(E999)&gt;0,E999/요약!$F$27,0))</f>
        <v>33000</v>
      </c>
      <c r="L999" s="46" t="n">
        <f aca="false">IF(B999="CN",IF(N(I999)&gt;0,I999*요약!$G$27,K999*(1+요약!$E$27)),IF(N(H999)&gt;0,H999*요약!$G$27,J999*요약!$D$27))</f>
        <v>49368</v>
      </c>
      <c r="M999" s="46" t="n">
        <f aca="false">D999*J999</f>
        <v>66780000</v>
      </c>
      <c r="N999" s="46" t="n">
        <f aca="false">D999*K999</f>
        <v>13860000</v>
      </c>
      <c r="O999" s="46" t="n">
        <f aca="false">D999*L999</f>
        <v>20734560</v>
      </c>
      <c r="P999" s="42" t="str">
        <f aca="false">TRIM(IF(N(E999)&lt;=0,"택가보정 ","")&amp;IF(N(F999)&lt;=0,"원가보정 ","")&amp;IF(AND(B999&lt;&gt;"CN",N(H999)&lt;=0),"공급가보정 ","")&amp;IF(AND(B999="CN",N(I999)&lt;=0),"중국공급가=원가+마진 ",""))</f>
        <v/>
      </c>
      <c r="Q999" s="47" t="n">
        <f aca="false">IF(SUMIFS($W:$W,$A:$A,A999,$C:$C,C999)=0,0,SUMIFS(RAW_판매펀칭!$K:$K,RAW_판매펀칭!$P:$P,A999,RAW_판매펀칭!$I:$I,C999)*W999/SUMIFS($W:$W,$A:$A,A999,$C:$C,C999))</f>
        <v>420</v>
      </c>
      <c r="R999" s="47" t="n">
        <f aca="false">IF(OR(A999="500",A999="800",A999="810"),0,MAX(W999-Q999,0))</f>
        <v>0</v>
      </c>
      <c r="S999" s="47" t="n">
        <f aca="false">R999*L999</f>
        <v>0</v>
      </c>
      <c r="T999" s="47" t="n">
        <f aca="false">R999*J999</f>
        <v>0</v>
      </c>
      <c r="U999" s="47" t="n">
        <f aca="false">R999*K999</f>
        <v>0</v>
      </c>
      <c r="V999" s="0" t="str">
        <f aca="false">IF(COUNTIFS($A$2:A999,A999,$C$2:C999,C999,$D$2:D999,D999)&gt;1,"중복","")</f>
        <v/>
      </c>
      <c r="W999" s="0" t="n">
        <f aca="false">IF(V999="중복",0,N(D999))</f>
        <v>420</v>
      </c>
      <c r="X999" s="0" t="n">
        <f aca="false">IF(COUNTIFS($A$2:A999,A999,$C$2:C999,C999)=1,ABS(SUMIFS(RAW_발주!$D:$D,RAW_발주!$C:$C,A999,RAW_발주!$A:$A,C999)-SUMIFS($W:$W,$A:$A,A999,$C:$C,C999)),0)</f>
        <v>0</v>
      </c>
    </row>
    <row r="1000" customFormat="false" ht="15" hidden="false" customHeight="true" outlineLevel="0" collapsed="false">
      <c r="A1000" s="45" t="s">
        <v>1659</v>
      </c>
      <c r="B1000" s="42" t="str">
        <f aca="false">IF(A1000="100","HK",IF(A1000="200","CN",IF(A1000="300","TW","홀세일")))</f>
        <v>HK</v>
      </c>
      <c r="C1000" s="45" t="s">
        <v>914</v>
      </c>
      <c r="D1000" s="46" t="n">
        <v>120</v>
      </c>
      <c r="E1000" s="46" t="n">
        <v>109000</v>
      </c>
      <c r="F1000" s="46" t="n">
        <v>26300</v>
      </c>
      <c r="G1000" s="42" t="n">
        <v>2.72</v>
      </c>
      <c r="H1000" s="42" t="n">
        <v>25.7</v>
      </c>
      <c r="I1000" s="42" t="n">
        <v>0</v>
      </c>
      <c r="J1000" s="46" t="n">
        <f aca="false">IF(N(E1000)&gt;0,E1000,IF(N(F1000)&gt;0,F1000*요약!$F$27,0))</f>
        <v>109000</v>
      </c>
      <c r="K1000" s="46" t="n">
        <f aca="false">IF(N(F1000)&gt;0,F1000,IF(N(E1000)&gt;0,E1000/요약!$F$27,0))</f>
        <v>26300</v>
      </c>
      <c r="L1000" s="46" t="n">
        <f aca="false">IF(B1000="CN",IF(N(I1000)&gt;0,I1000*요약!$G$27,K1000*(1+요약!$E$27)),IF(N(H1000)&gt;0,H1000*요약!$G$27,J1000*요약!$D$27))</f>
        <v>33924</v>
      </c>
      <c r="M1000" s="46" t="n">
        <f aca="false">D1000*J1000</f>
        <v>13080000</v>
      </c>
      <c r="N1000" s="46" t="n">
        <f aca="false">D1000*K1000</f>
        <v>3156000</v>
      </c>
      <c r="O1000" s="46" t="n">
        <f aca="false">D1000*L1000</f>
        <v>4070880</v>
      </c>
      <c r="P1000" s="42" t="str">
        <f aca="false">TRIM(IF(N(E1000)&lt;=0,"택가보정 ","")&amp;IF(N(F1000)&lt;=0,"원가보정 ","")&amp;IF(AND(B1000&lt;&gt;"CN",N(H1000)&lt;=0),"공급가보정 ","")&amp;IF(AND(B1000="CN",N(I1000)&lt;=0),"중국공급가=원가+마진 ",""))</f>
        <v/>
      </c>
      <c r="Q1000" s="47" t="n">
        <f aca="false">IF(SUMIFS($W:$W,$A:$A,A1000,$C:$C,C1000)=0,0,SUMIFS(RAW_판매펀칭!$K:$K,RAW_판매펀칭!$P:$P,A1000,RAW_판매펀칭!$I:$I,C1000)*W1000/SUMIFS($W:$W,$A:$A,A1000,$C:$C,C1000))</f>
        <v>120</v>
      </c>
      <c r="R1000" s="47" t="n">
        <f aca="false">IF(OR(A1000="500",A1000="800",A1000="810"),0,MAX(W1000-Q1000,0))</f>
        <v>0</v>
      </c>
      <c r="S1000" s="47" t="n">
        <f aca="false">R1000*L1000</f>
        <v>0</v>
      </c>
      <c r="T1000" s="47" t="n">
        <f aca="false">R1000*J1000</f>
        <v>0</v>
      </c>
      <c r="U1000" s="47" t="n">
        <f aca="false">R1000*K1000</f>
        <v>0</v>
      </c>
      <c r="V1000" s="0" t="str">
        <f aca="false">IF(COUNTIFS($A$2:A1000,A1000,$C$2:C1000,C1000,$D$2:D1000,D1000)&gt;1,"중복","")</f>
        <v/>
      </c>
      <c r="W1000" s="0" t="n">
        <f aca="false">IF(V1000="중복",0,N(D1000))</f>
        <v>120</v>
      </c>
      <c r="X1000" s="0" t="n">
        <f aca="false">IF(COUNTIFS($A$2:A1000,A1000,$C$2:C1000,C1000)=1,ABS(SUMIFS(RAW_발주!$D:$D,RAW_발주!$C:$C,A1000,RAW_발주!$A:$A,C1000)-SUMIFS($W:$W,$A:$A,A1000,$C:$C,C1000)),0)</f>
        <v>0</v>
      </c>
    </row>
    <row r="1001" customFormat="false" ht="15" hidden="false" customHeight="true" outlineLevel="0" collapsed="false">
      <c r="A1001" s="45" t="s">
        <v>1663</v>
      </c>
      <c r="B1001" s="42" t="str">
        <f aca="false">IF(A1001="100","HK",IF(A1001="200","CN",IF(A1001="300","TW","홀세일")))</f>
        <v>홀세일</v>
      </c>
      <c r="C1001" s="45" t="s">
        <v>914</v>
      </c>
      <c r="D1001" s="46" t="n">
        <v>25</v>
      </c>
      <c r="E1001" s="46" t="n">
        <v>109000</v>
      </c>
      <c r="F1001" s="46" t="n">
        <v>26300</v>
      </c>
      <c r="G1001" s="42" t="n">
        <v>2.72</v>
      </c>
      <c r="H1001" s="42" t="n">
        <v>25.7</v>
      </c>
      <c r="I1001" s="42" t="n">
        <v>0</v>
      </c>
      <c r="J1001" s="46" t="n">
        <f aca="false">IF(N(E1001)&gt;0,E1001,IF(N(F1001)&gt;0,F1001*요약!$F$27,0))</f>
        <v>109000</v>
      </c>
      <c r="K1001" s="46" t="n">
        <f aca="false">IF(N(F1001)&gt;0,F1001,IF(N(E1001)&gt;0,E1001/요약!$F$27,0))</f>
        <v>26300</v>
      </c>
      <c r="L1001" s="46" t="n">
        <f aca="false">IF(B1001="CN",IF(N(I1001)&gt;0,I1001*요약!$G$27,K1001*(1+요약!$E$27)),IF(N(H1001)&gt;0,H1001*요약!$G$27,J1001*요약!$D$27))</f>
        <v>33924</v>
      </c>
      <c r="M1001" s="46" t="n">
        <f aca="false">D1001*J1001</f>
        <v>2725000</v>
      </c>
      <c r="N1001" s="46" t="n">
        <f aca="false">D1001*K1001</f>
        <v>657500</v>
      </c>
      <c r="O1001" s="46" t="n">
        <f aca="false">D1001*L1001</f>
        <v>848100</v>
      </c>
      <c r="P1001" s="42" t="str">
        <f aca="false">TRIM(IF(N(E1001)&lt;=0,"택가보정 ","")&amp;IF(N(F1001)&lt;=0,"원가보정 ","")&amp;IF(AND(B1001&lt;&gt;"CN",N(H1001)&lt;=0),"공급가보정 ","")&amp;IF(AND(B1001="CN",N(I1001)&lt;=0),"중국공급가=원가+마진 ",""))</f>
        <v/>
      </c>
      <c r="Q1001" s="47" t="n">
        <f aca="false">IF(SUMIFS($W:$W,$A:$A,A1001,$C:$C,C1001)=0,0,SUMIFS(RAW_판매펀칭!$K:$K,RAW_판매펀칭!$P:$P,A1001,RAW_판매펀칭!$I:$I,C1001)*W1001/SUMIFS($W:$W,$A:$A,A1001,$C:$C,C1001))</f>
        <v>25</v>
      </c>
      <c r="R1001" s="47" t="n">
        <f aca="false">IF(OR(A1001="500",A1001="800",A1001="810"),0,MAX(W1001-Q1001,0))</f>
        <v>0</v>
      </c>
      <c r="S1001" s="47" t="n">
        <f aca="false">R1001*L1001</f>
        <v>0</v>
      </c>
      <c r="T1001" s="47" t="n">
        <f aca="false">R1001*J1001</f>
        <v>0</v>
      </c>
      <c r="U1001" s="47" t="n">
        <f aca="false">R1001*K1001</f>
        <v>0</v>
      </c>
      <c r="V1001" s="0" t="str">
        <f aca="false">IF(COUNTIFS($A$2:A1001,A1001,$C$2:C1001,C1001,$D$2:D1001,D1001)&gt;1,"중복","")</f>
        <v/>
      </c>
      <c r="W1001" s="0" t="n">
        <f aca="false">IF(V1001="중복",0,N(D1001))</f>
        <v>25</v>
      </c>
      <c r="X1001" s="0" t="n">
        <f aca="false">IF(COUNTIFS($A$2:A1001,A1001,$C$2:C1001,C1001)=1,ABS(SUMIFS(RAW_발주!$D:$D,RAW_발주!$C:$C,A1001,RAW_발주!$A:$A,C1001)-SUMIFS($W:$W,$A:$A,A1001,$C:$C,C1001)),0)</f>
        <v>0</v>
      </c>
    </row>
    <row r="1002" customFormat="false" ht="15" hidden="false" customHeight="true" outlineLevel="0" collapsed="false">
      <c r="A1002" s="45" t="s">
        <v>1665</v>
      </c>
      <c r="B1002" s="42" t="str">
        <f aca="false">IF(A1002="100","HK",IF(A1002="200","CN",IF(A1002="300","TW","홀세일")))</f>
        <v>홀세일</v>
      </c>
      <c r="C1002" s="45" t="s">
        <v>1686</v>
      </c>
      <c r="D1002" s="46" t="n">
        <v>228</v>
      </c>
      <c r="E1002" s="46" t="n">
        <v>159000</v>
      </c>
      <c r="F1002" s="46" t="n">
        <v>36700</v>
      </c>
      <c r="G1002" s="42" t="n">
        <v>4.04</v>
      </c>
      <c r="H1002" s="42" t="n">
        <v>37.4</v>
      </c>
      <c r="I1002" s="42" t="n">
        <v>0</v>
      </c>
      <c r="J1002" s="46" t="n">
        <f aca="false">IF(N(E1002)&gt;0,E1002,IF(N(F1002)&gt;0,F1002*요약!$F$27,0))</f>
        <v>159000</v>
      </c>
      <c r="K1002" s="46" t="n">
        <f aca="false">IF(N(F1002)&gt;0,F1002,IF(N(E1002)&gt;0,E1002/요약!$F$27,0))</f>
        <v>36700</v>
      </c>
      <c r="L1002" s="46" t="n">
        <f aca="false">IF(B1002="CN",IF(N(I1002)&gt;0,I1002*요약!$G$27,K1002*(1+요약!$E$27)),IF(N(H1002)&gt;0,H1002*요약!$G$27,J1002*요약!$D$27))</f>
        <v>49368</v>
      </c>
      <c r="M1002" s="46" t="n">
        <f aca="false">D1002*J1002</f>
        <v>36252000</v>
      </c>
      <c r="N1002" s="46" t="n">
        <f aca="false">D1002*K1002</f>
        <v>8367600</v>
      </c>
      <c r="O1002" s="46" t="n">
        <f aca="false">D1002*L1002</f>
        <v>11255904</v>
      </c>
      <c r="P1002" s="42" t="str">
        <f aca="false">TRIM(IF(N(E1002)&lt;=0,"택가보정 ","")&amp;IF(N(F1002)&lt;=0,"원가보정 ","")&amp;IF(AND(B1002&lt;&gt;"CN",N(H1002)&lt;=0),"공급가보정 ","")&amp;IF(AND(B1002="CN",N(I1002)&lt;=0),"중국공급가=원가+마진 ",""))</f>
        <v/>
      </c>
      <c r="Q1002" s="47" t="n">
        <f aca="false">IF(SUMIFS($W:$W,$A:$A,A1002,$C:$C,C1002)=0,0,SUMIFS(RAW_판매펀칭!$K:$K,RAW_판매펀칭!$P:$P,A1002,RAW_판매펀칭!$I:$I,C1002)*W1002/SUMIFS($W:$W,$A:$A,A1002,$C:$C,C1002))</f>
        <v>0</v>
      </c>
      <c r="R1002" s="47" t="n">
        <f aca="false">IF(OR(A1002="500",A1002="800",A1002="810"),0,MAX(W1002-Q1002,0))</f>
        <v>0</v>
      </c>
      <c r="S1002" s="47" t="n">
        <f aca="false">R1002*L1002</f>
        <v>0</v>
      </c>
      <c r="T1002" s="47" t="n">
        <f aca="false">R1002*J1002</f>
        <v>0</v>
      </c>
      <c r="U1002" s="47" t="n">
        <f aca="false">R1002*K1002</f>
        <v>0</v>
      </c>
      <c r="V1002" s="0" t="str">
        <f aca="false">IF(COUNTIFS($A$2:A1002,A1002,$C$2:C1002,C1002,$D$2:D1002,D1002)&gt;1,"중복","")</f>
        <v/>
      </c>
      <c r="W1002" s="0" t="n">
        <f aca="false">IF(V1002="중복",0,N(D1002))</f>
        <v>228</v>
      </c>
      <c r="X1002" s="0" t="n">
        <f aca="false">IF(COUNTIFS($A$2:A1002,A1002,$C$2:C1002,C1002)=1,ABS(SUMIFS(RAW_발주!$D:$D,RAW_발주!$C:$C,A1002,RAW_발주!$A:$A,C1002)-SUMIFS($W:$W,$A:$A,A1002,$C:$C,C1002)),0)</f>
        <v>0</v>
      </c>
    </row>
    <row r="1003" customFormat="false" ht="15" hidden="false" customHeight="true" outlineLevel="0" collapsed="false">
      <c r="A1003" s="45" t="s">
        <v>1659</v>
      </c>
      <c r="B1003" s="42" t="str">
        <f aca="false">IF(A1003="100","HK",IF(A1003="200","CN",IF(A1003="300","TW","홀세일")))</f>
        <v>HK</v>
      </c>
      <c r="C1003" s="45" t="s">
        <v>916</v>
      </c>
      <c r="D1003" s="46" t="n">
        <v>180</v>
      </c>
      <c r="E1003" s="46" t="n">
        <v>169000</v>
      </c>
      <c r="F1003" s="46" t="n">
        <v>47884</v>
      </c>
      <c r="G1003" s="42" t="n">
        <v>4.36</v>
      </c>
      <c r="H1003" s="42" t="n">
        <v>42.3</v>
      </c>
      <c r="I1003" s="42" t="n">
        <v>0</v>
      </c>
      <c r="J1003" s="46" t="n">
        <f aca="false">IF(N(E1003)&gt;0,E1003,IF(N(F1003)&gt;0,F1003*요약!$F$27,0))</f>
        <v>169000</v>
      </c>
      <c r="K1003" s="46" t="n">
        <f aca="false">IF(N(F1003)&gt;0,F1003,IF(N(E1003)&gt;0,E1003/요약!$F$27,0))</f>
        <v>47884</v>
      </c>
      <c r="L1003" s="46" t="n">
        <f aca="false">IF(B1003="CN",IF(N(I1003)&gt;0,I1003*요약!$G$27,K1003*(1+요약!$E$27)),IF(N(H1003)&gt;0,H1003*요약!$G$27,J1003*요약!$D$27))</f>
        <v>55836</v>
      </c>
      <c r="M1003" s="46" t="n">
        <f aca="false">D1003*J1003</f>
        <v>30420000</v>
      </c>
      <c r="N1003" s="46" t="n">
        <f aca="false">D1003*K1003</f>
        <v>8619120</v>
      </c>
      <c r="O1003" s="46" t="n">
        <f aca="false">D1003*L1003</f>
        <v>10050480</v>
      </c>
      <c r="P1003" s="42" t="str">
        <f aca="false">TRIM(IF(N(E1003)&lt;=0,"택가보정 ","")&amp;IF(N(F1003)&lt;=0,"원가보정 ","")&amp;IF(AND(B1003&lt;&gt;"CN",N(H1003)&lt;=0),"공급가보정 ","")&amp;IF(AND(B1003="CN",N(I1003)&lt;=0),"중국공급가=원가+마진 ",""))</f>
        <v/>
      </c>
      <c r="Q1003" s="47" t="n">
        <f aca="false">IF(SUMIFS($W:$W,$A:$A,A1003,$C:$C,C1003)=0,0,SUMIFS(RAW_판매펀칭!$K:$K,RAW_판매펀칭!$P:$P,A1003,RAW_판매펀칭!$I:$I,C1003)*W1003/SUMIFS($W:$W,$A:$A,A1003,$C:$C,C1003))</f>
        <v>180</v>
      </c>
      <c r="R1003" s="47" t="n">
        <f aca="false">IF(OR(A1003="500",A1003="800",A1003="810"),0,MAX(W1003-Q1003,0))</f>
        <v>0</v>
      </c>
      <c r="S1003" s="47" t="n">
        <f aca="false">R1003*L1003</f>
        <v>0</v>
      </c>
      <c r="T1003" s="47" t="n">
        <f aca="false">R1003*J1003</f>
        <v>0</v>
      </c>
      <c r="U1003" s="47" t="n">
        <f aca="false">R1003*K1003</f>
        <v>0</v>
      </c>
      <c r="V1003" s="0" t="str">
        <f aca="false">IF(COUNTIFS($A$2:A1003,A1003,$C$2:C1003,C1003,$D$2:D1003,D1003)&gt;1,"중복","")</f>
        <v/>
      </c>
      <c r="W1003" s="0" t="n">
        <f aca="false">IF(V1003="중복",0,N(D1003))</f>
        <v>180</v>
      </c>
      <c r="X1003" s="0" t="n">
        <f aca="false">IF(COUNTIFS($A$2:A1003,A1003,$C$2:C1003,C1003)=1,ABS(SUMIFS(RAW_발주!$D:$D,RAW_발주!$C:$C,A1003,RAW_발주!$A:$A,C1003)-SUMIFS($W:$W,$A:$A,A1003,$C:$C,C1003)),0)</f>
        <v>0</v>
      </c>
    </row>
    <row r="1004" customFormat="false" ht="15" hidden="false" customHeight="true" outlineLevel="0" collapsed="false">
      <c r="A1004" s="45" t="s">
        <v>1665</v>
      </c>
      <c r="B1004" s="42" t="str">
        <f aca="false">IF(A1004="100","HK",IF(A1004="200","CN",IF(A1004="300","TW","홀세일")))</f>
        <v>홀세일</v>
      </c>
      <c r="C1004" s="45" t="s">
        <v>916</v>
      </c>
      <c r="D1004" s="46" t="n">
        <v>228</v>
      </c>
      <c r="E1004" s="46" t="n">
        <v>169000</v>
      </c>
      <c r="F1004" s="46" t="n">
        <v>47884</v>
      </c>
      <c r="G1004" s="42" t="n">
        <v>4.36</v>
      </c>
      <c r="H1004" s="42" t="n">
        <v>42.3</v>
      </c>
      <c r="I1004" s="42" t="n">
        <v>0</v>
      </c>
      <c r="J1004" s="46" t="n">
        <f aca="false">IF(N(E1004)&gt;0,E1004,IF(N(F1004)&gt;0,F1004*요약!$F$27,0))</f>
        <v>169000</v>
      </c>
      <c r="K1004" s="46" t="n">
        <f aca="false">IF(N(F1004)&gt;0,F1004,IF(N(E1004)&gt;0,E1004/요약!$F$27,0))</f>
        <v>47884</v>
      </c>
      <c r="L1004" s="46" t="n">
        <f aca="false">IF(B1004="CN",IF(N(I1004)&gt;0,I1004*요약!$G$27,K1004*(1+요약!$E$27)),IF(N(H1004)&gt;0,H1004*요약!$G$27,J1004*요약!$D$27))</f>
        <v>55836</v>
      </c>
      <c r="M1004" s="46" t="n">
        <f aca="false">D1004*J1004</f>
        <v>38532000</v>
      </c>
      <c r="N1004" s="46" t="n">
        <f aca="false">D1004*K1004</f>
        <v>10917552</v>
      </c>
      <c r="O1004" s="46" t="n">
        <f aca="false">D1004*L1004</f>
        <v>12730608</v>
      </c>
      <c r="P1004" s="42" t="str">
        <f aca="false">TRIM(IF(N(E1004)&lt;=0,"택가보정 ","")&amp;IF(N(F1004)&lt;=0,"원가보정 ","")&amp;IF(AND(B1004&lt;&gt;"CN",N(H1004)&lt;=0),"공급가보정 ","")&amp;IF(AND(B1004="CN",N(I1004)&lt;=0),"중국공급가=원가+마진 ",""))</f>
        <v/>
      </c>
      <c r="Q1004" s="47" t="n">
        <f aca="false">IF(SUMIFS($W:$W,$A:$A,A1004,$C:$C,C1004)=0,0,SUMIFS(RAW_판매펀칭!$K:$K,RAW_판매펀칭!$P:$P,A1004,RAW_판매펀칭!$I:$I,C1004)*W1004/SUMIFS($W:$W,$A:$A,A1004,$C:$C,C1004))</f>
        <v>0</v>
      </c>
      <c r="R1004" s="47" t="n">
        <f aca="false">IF(OR(A1004="500",A1004="800",A1004="810"),0,MAX(W1004-Q1004,0))</f>
        <v>0</v>
      </c>
      <c r="S1004" s="47" t="n">
        <f aca="false">R1004*L1004</f>
        <v>0</v>
      </c>
      <c r="T1004" s="47" t="n">
        <f aca="false">R1004*J1004</f>
        <v>0</v>
      </c>
      <c r="U1004" s="47" t="n">
        <f aca="false">R1004*K1004</f>
        <v>0</v>
      </c>
      <c r="V1004" s="0" t="str">
        <f aca="false">IF(COUNTIFS($A$2:A1004,A1004,$C$2:C1004,C1004,$D$2:D1004,D1004)&gt;1,"중복","")</f>
        <v/>
      </c>
      <c r="W1004" s="0" t="n">
        <f aca="false">IF(V1004="중복",0,N(D1004))</f>
        <v>228</v>
      </c>
      <c r="X1004" s="0" t="n">
        <f aca="false">IF(COUNTIFS($A$2:A1004,A1004,$C$2:C1004,C1004)=1,ABS(SUMIFS(RAW_발주!$D:$D,RAW_발주!$C:$C,A1004,RAW_발주!$A:$A,C1004)-SUMIFS($W:$W,$A:$A,A1004,$C:$C,C1004)),0)</f>
        <v>0</v>
      </c>
    </row>
    <row r="1005" customFormat="false" ht="15" hidden="false" customHeight="true" outlineLevel="0" collapsed="false">
      <c r="A1005" s="45" t="s">
        <v>1659</v>
      </c>
      <c r="B1005" s="42" t="str">
        <f aca="false">IF(A1005="100","HK",IF(A1005="200","CN",IF(A1005="300","TW","홀세일")))</f>
        <v>HK</v>
      </c>
      <c r="C1005" s="45" t="s">
        <v>493</v>
      </c>
      <c r="D1005" s="46" t="n">
        <v>210</v>
      </c>
      <c r="E1005" s="46" t="n">
        <v>149000</v>
      </c>
      <c r="F1005" s="46" t="n">
        <v>32070</v>
      </c>
      <c r="G1005" s="42" t="n">
        <v>3.96</v>
      </c>
      <c r="H1005" s="42" t="n">
        <v>37.3</v>
      </c>
      <c r="I1005" s="42" t="n">
        <v>27</v>
      </c>
      <c r="J1005" s="46" t="n">
        <f aca="false">IF(N(E1005)&gt;0,E1005,IF(N(F1005)&gt;0,F1005*요약!$F$27,0))</f>
        <v>149000</v>
      </c>
      <c r="K1005" s="46" t="n">
        <f aca="false">IF(N(F1005)&gt;0,F1005,IF(N(E1005)&gt;0,E1005/요약!$F$27,0))</f>
        <v>32070</v>
      </c>
      <c r="L1005" s="46" t="n">
        <f aca="false">IF(B1005="CN",IF(N(I1005)&gt;0,I1005*요약!$G$27,K1005*(1+요약!$E$27)),IF(N(H1005)&gt;0,H1005*요약!$G$27,J1005*요약!$D$27))</f>
        <v>49236</v>
      </c>
      <c r="M1005" s="46" t="n">
        <f aca="false">D1005*J1005</f>
        <v>31290000</v>
      </c>
      <c r="N1005" s="46" t="n">
        <f aca="false">D1005*K1005</f>
        <v>6734700</v>
      </c>
      <c r="O1005" s="46" t="n">
        <f aca="false">D1005*L1005</f>
        <v>10339560</v>
      </c>
      <c r="P1005" s="42" t="str">
        <f aca="false">TRIM(IF(N(E1005)&lt;=0,"택가보정 ","")&amp;IF(N(F1005)&lt;=0,"원가보정 ","")&amp;IF(AND(B1005&lt;&gt;"CN",N(H1005)&lt;=0),"공급가보정 ","")&amp;IF(AND(B1005="CN",N(I1005)&lt;=0),"중국공급가=원가+마진 ",""))</f>
        <v/>
      </c>
      <c r="Q1005" s="47" t="n">
        <f aca="false">IF(SUMIFS($W:$W,$A:$A,A1005,$C:$C,C1005)=0,0,SUMIFS(RAW_판매펀칭!$K:$K,RAW_판매펀칭!$P:$P,A1005,RAW_판매펀칭!$I:$I,C1005)*W1005/SUMIFS($W:$W,$A:$A,A1005,$C:$C,C1005))</f>
        <v>210</v>
      </c>
      <c r="R1005" s="47" t="n">
        <f aca="false">IF(OR(A1005="500",A1005="800",A1005="810"),0,MAX(W1005-Q1005,0))</f>
        <v>0</v>
      </c>
      <c r="S1005" s="47" t="n">
        <f aca="false">R1005*L1005</f>
        <v>0</v>
      </c>
      <c r="T1005" s="47" t="n">
        <f aca="false">R1005*J1005</f>
        <v>0</v>
      </c>
      <c r="U1005" s="47" t="n">
        <f aca="false">R1005*K1005</f>
        <v>0</v>
      </c>
      <c r="V1005" s="0" t="str">
        <f aca="false">IF(COUNTIFS($A$2:A1005,A1005,$C$2:C1005,C1005,$D$2:D1005,D1005)&gt;1,"중복","")</f>
        <v/>
      </c>
      <c r="W1005" s="0" t="n">
        <f aca="false">IF(V1005="중복",0,N(D1005))</f>
        <v>210</v>
      </c>
      <c r="X1005" s="0" t="n">
        <f aca="false">IF(COUNTIFS($A$2:A1005,A1005,$C$2:C1005,C1005)=1,ABS(SUMIFS(RAW_발주!$D:$D,RAW_발주!$C:$C,A1005,RAW_발주!$A:$A,C1005)-SUMIFS($W:$W,$A:$A,A1005,$C:$C,C1005)),0)</f>
        <v>0</v>
      </c>
    </row>
    <row r="1006" customFormat="false" ht="15" hidden="false" customHeight="true" outlineLevel="0" collapsed="false">
      <c r="A1006" s="45" t="s">
        <v>1660</v>
      </c>
      <c r="B1006" s="42" t="str">
        <f aca="false">IF(A1006="100","HK",IF(A1006="200","CN",IF(A1006="300","TW","홀세일")))</f>
        <v>CN</v>
      </c>
      <c r="C1006" s="45" t="s">
        <v>493</v>
      </c>
      <c r="D1006" s="46" t="n">
        <v>427</v>
      </c>
      <c r="E1006" s="46" t="n">
        <v>149000</v>
      </c>
      <c r="F1006" s="46" t="n">
        <v>32070</v>
      </c>
      <c r="G1006" s="42" t="n">
        <v>3.96</v>
      </c>
      <c r="H1006" s="42" t="n">
        <v>37.3</v>
      </c>
      <c r="I1006" s="42" t="n">
        <v>27</v>
      </c>
      <c r="J1006" s="46" t="n">
        <f aca="false">IF(N(E1006)&gt;0,E1006,IF(N(F1006)&gt;0,F1006*요약!$F$27,0))</f>
        <v>149000</v>
      </c>
      <c r="K1006" s="46" t="n">
        <f aca="false">IF(N(F1006)&gt;0,F1006,IF(N(E1006)&gt;0,E1006/요약!$F$27,0))</f>
        <v>32070</v>
      </c>
      <c r="L1006" s="46" t="n">
        <f aca="false">IF(B1006="CN",IF(N(I1006)&gt;0,I1006*요약!$G$27,K1006*(1+요약!$E$27)),IF(N(H1006)&gt;0,H1006*요약!$G$27,J1006*요약!$D$27))</f>
        <v>35640</v>
      </c>
      <c r="M1006" s="46" t="n">
        <f aca="false">D1006*J1006</f>
        <v>63623000</v>
      </c>
      <c r="N1006" s="46" t="n">
        <f aca="false">D1006*K1006</f>
        <v>13693890</v>
      </c>
      <c r="O1006" s="46" t="n">
        <f aca="false">D1006*L1006</f>
        <v>15218280</v>
      </c>
      <c r="P1006" s="42" t="str">
        <f aca="false">TRIM(IF(N(E1006)&lt;=0,"택가보정 ","")&amp;IF(N(F1006)&lt;=0,"원가보정 ","")&amp;IF(AND(B1006&lt;&gt;"CN",N(H1006)&lt;=0),"공급가보정 ","")&amp;IF(AND(B1006="CN",N(I1006)&lt;=0),"중국공급가=원가+마진 ",""))</f>
        <v/>
      </c>
      <c r="Q1006" s="47" t="n">
        <f aca="false">IF(SUMIFS($W:$W,$A:$A,A1006,$C:$C,C1006)=0,0,SUMIFS(RAW_판매펀칭!$K:$K,RAW_판매펀칭!$P:$P,A1006,RAW_판매펀칭!$I:$I,C1006)*W1006/SUMIFS($W:$W,$A:$A,A1006,$C:$C,C1006))</f>
        <v>414</v>
      </c>
      <c r="R1006" s="47" t="n">
        <f aca="false">IF(OR(A1006="500",A1006="800",A1006="810"),0,MAX(W1006-Q1006,0))</f>
        <v>13</v>
      </c>
      <c r="S1006" s="47" t="n">
        <f aca="false">R1006*L1006</f>
        <v>463320</v>
      </c>
      <c r="T1006" s="47" t="n">
        <f aca="false">R1006*J1006</f>
        <v>1937000</v>
      </c>
      <c r="U1006" s="47" t="n">
        <f aca="false">R1006*K1006</f>
        <v>416910</v>
      </c>
      <c r="V1006" s="0" t="str">
        <f aca="false">IF(COUNTIFS($A$2:A1006,A1006,$C$2:C1006,C1006,$D$2:D1006,D1006)&gt;1,"중복","")</f>
        <v/>
      </c>
      <c r="W1006" s="0" t="n">
        <f aca="false">IF(V1006="중복",0,N(D1006))</f>
        <v>427</v>
      </c>
      <c r="X1006" s="0" t="n">
        <f aca="false">IF(COUNTIFS($A$2:A1006,A1006,$C$2:C1006,C1006)=1,ABS(SUMIFS(RAW_발주!$D:$D,RAW_발주!$C:$C,A1006,RAW_발주!$A:$A,C1006)-SUMIFS($W:$W,$A:$A,A1006,$C:$C,C1006)),0)</f>
        <v>0</v>
      </c>
    </row>
    <row r="1007" customFormat="false" ht="15" hidden="false" customHeight="true" outlineLevel="0" collapsed="false">
      <c r="A1007" s="45" t="s">
        <v>1661</v>
      </c>
      <c r="B1007" s="42" t="str">
        <f aca="false">IF(A1007="100","HK",IF(A1007="200","CN",IF(A1007="300","TW","홀세일")))</f>
        <v>TW</v>
      </c>
      <c r="C1007" s="45" t="s">
        <v>493</v>
      </c>
      <c r="D1007" s="46" t="n">
        <v>870</v>
      </c>
      <c r="E1007" s="46" t="n">
        <v>149000</v>
      </c>
      <c r="F1007" s="46" t="n">
        <v>32070</v>
      </c>
      <c r="G1007" s="42" t="n">
        <v>3.96</v>
      </c>
      <c r="H1007" s="42" t="n">
        <v>37.3</v>
      </c>
      <c r="I1007" s="42" t="n">
        <v>27</v>
      </c>
      <c r="J1007" s="46" t="n">
        <f aca="false">IF(N(E1007)&gt;0,E1007,IF(N(F1007)&gt;0,F1007*요약!$F$27,0))</f>
        <v>149000</v>
      </c>
      <c r="K1007" s="46" t="n">
        <f aca="false">IF(N(F1007)&gt;0,F1007,IF(N(E1007)&gt;0,E1007/요약!$F$27,0))</f>
        <v>32070</v>
      </c>
      <c r="L1007" s="46" t="n">
        <f aca="false">IF(B1007="CN",IF(N(I1007)&gt;0,I1007*요약!$G$27,K1007*(1+요약!$E$27)),IF(N(H1007)&gt;0,H1007*요약!$G$27,J1007*요약!$D$27))</f>
        <v>49236</v>
      </c>
      <c r="M1007" s="46" t="n">
        <f aca="false">D1007*J1007</f>
        <v>129630000</v>
      </c>
      <c r="N1007" s="46" t="n">
        <f aca="false">D1007*K1007</f>
        <v>27900900</v>
      </c>
      <c r="O1007" s="46" t="n">
        <f aca="false">D1007*L1007</f>
        <v>42835320</v>
      </c>
      <c r="P1007" s="42" t="str">
        <f aca="false">TRIM(IF(N(E1007)&lt;=0,"택가보정 ","")&amp;IF(N(F1007)&lt;=0,"원가보정 ","")&amp;IF(AND(B1007&lt;&gt;"CN",N(H1007)&lt;=0),"공급가보정 ","")&amp;IF(AND(B1007="CN",N(I1007)&lt;=0),"중국공급가=원가+마진 ",""))</f>
        <v/>
      </c>
      <c r="Q1007" s="47" t="n">
        <f aca="false">IF(SUMIFS($W:$W,$A:$A,A1007,$C:$C,C1007)=0,0,SUMIFS(RAW_판매펀칭!$K:$K,RAW_판매펀칭!$P:$P,A1007,RAW_판매펀칭!$I:$I,C1007)*W1007/SUMIFS($W:$W,$A:$A,A1007,$C:$C,C1007))</f>
        <v>870</v>
      </c>
      <c r="R1007" s="47" t="n">
        <f aca="false">IF(OR(A1007="500",A1007="800",A1007="810"),0,MAX(W1007-Q1007,0))</f>
        <v>0</v>
      </c>
      <c r="S1007" s="47" t="n">
        <f aca="false">R1007*L1007</f>
        <v>0</v>
      </c>
      <c r="T1007" s="47" t="n">
        <f aca="false">R1007*J1007</f>
        <v>0</v>
      </c>
      <c r="U1007" s="47" t="n">
        <f aca="false">R1007*K1007</f>
        <v>0</v>
      </c>
      <c r="V1007" s="0" t="str">
        <f aca="false">IF(COUNTIFS($A$2:A1007,A1007,$C$2:C1007,C1007,$D$2:D1007,D1007)&gt;1,"중복","")</f>
        <v/>
      </c>
      <c r="W1007" s="0" t="n">
        <f aca="false">IF(V1007="중복",0,N(D1007))</f>
        <v>870</v>
      </c>
      <c r="X1007" s="0" t="n">
        <f aca="false">IF(COUNTIFS($A$2:A1007,A1007,$C$2:C1007,C1007)=1,ABS(SUMIFS(RAW_발주!$D:$D,RAW_발주!$C:$C,A1007,RAW_발주!$A:$A,C1007)-SUMIFS($W:$W,$A:$A,A1007,$C:$C,C1007)),0)</f>
        <v>0</v>
      </c>
    </row>
    <row r="1008" customFormat="false" ht="15" hidden="false" customHeight="true" outlineLevel="0" collapsed="false">
      <c r="A1008" s="45" t="s">
        <v>1663</v>
      </c>
      <c r="B1008" s="42" t="str">
        <f aca="false">IF(A1008="100","HK",IF(A1008="200","CN",IF(A1008="300","TW","홀세일")))</f>
        <v>홀세일</v>
      </c>
      <c r="C1008" s="45" t="s">
        <v>493</v>
      </c>
      <c r="D1008" s="46" t="n">
        <v>50</v>
      </c>
      <c r="E1008" s="46" t="n">
        <v>149000</v>
      </c>
      <c r="F1008" s="46" t="n">
        <v>32070</v>
      </c>
      <c r="G1008" s="42" t="n">
        <v>3.96</v>
      </c>
      <c r="H1008" s="42" t="n">
        <v>37.3</v>
      </c>
      <c r="I1008" s="42" t="n">
        <v>27</v>
      </c>
      <c r="J1008" s="46" t="n">
        <f aca="false">IF(N(E1008)&gt;0,E1008,IF(N(F1008)&gt;0,F1008*요약!$F$27,0))</f>
        <v>149000</v>
      </c>
      <c r="K1008" s="46" t="n">
        <f aca="false">IF(N(F1008)&gt;0,F1008,IF(N(E1008)&gt;0,E1008/요약!$F$27,0))</f>
        <v>32070</v>
      </c>
      <c r="L1008" s="46" t="n">
        <f aca="false">IF(B1008="CN",IF(N(I1008)&gt;0,I1008*요약!$G$27,K1008*(1+요약!$E$27)),IF(N(H1008)&gt;0,H1008*요약!$G$27,J1008*요약!$D$27))</f>
        <v>49236</v>
      </c>
      <c r="M1008" s="46" t="n">
        <f aca="false">D1008*J1008</f>
        <v>7450000</v>
      </c>
      <c r="N1008" s="46" t="n">
        <f aca="false">D1008*K1008</f>
        <v>1603500</v>
      </c>
      <c r="O1008" s="46" t="n">
        <f aca="false">D1008*L1008</f>
        <v>2461800</v>
      </c>
      <c r="P1008" s="42" t="str">
        <f aca="false">TRIM(IF(N(E1008)&lt;=0,"택가보정 ","")&amp;IF(N(F1008)&lt;=0,"원가보정 ","")&amp;IF(AND(B1008&lt;&gt;"CN",N(H1008)&lt;=0),"공급가보정 ","")&amp;IF(AND(B1008="CN",N(I1008)&lt;=0),"중국공급가=원가+마진 ",""))</f>
        <v/>
      </c>
      <c r="Q1008" s="47" t="n">
        <f aca="false">IF(SUMIFS($W:$W,$A:$A,A1008,$C:$C,C1008)=0,0,SUMIFS(RAW_판매펀칭!$K:$K,RAW_판매펀칭!$P:$P,A1008,RAW_판매펀칭!$I:$I,C1008)*W1008/SUMIFS($W:$W,$A:$A,A1008,$C:$C,C1008))</f>
        <v>50</v>
      </c>
      <c r="R1008" s="47" t="n">
        <f aca="false">IF(OR(A1008="500",A1008="800",A1008="810"),0,MAX(W1008-Q1008,0))</f>
        <v>0</v>
      </c>
      <c r="S1008" s="47" t="n">
        <f aca="false">R1008*L1008</f>
        <v>0</v>
      </c>
      <c r="T1008" s="47" t="n">
        <f aca="false">R1008*J1008</f>
        <v>0</v>
      </c>
      <c r="U1008" s="47" t="n">
        <f aca="false">R1008*K1008</f>
        <v>0</v>
      </c>
      <c r="V1008" s="0" t="str">
        <f aca="false">IF(COUNTIFS($A$2:A1008,A1008,$C$2:C1008,C1008,$D$2:D1008,D1008)&gt;1,"중복","")</f>
        <v/>
      </c>
      <c r="W1008" s="0" t="n">
        <f aca="false">IF(V1008="중복",0,N(D1008))</f>
        <v>50</v>
      </c>
      <c r="X1008" s="0" t="n">
        <f aca="false">IF(COUNTIFS($A$2:A1008,A1008,$C$2:C1008,C1008)=1,ABS(SUMIFS(RAW_발주!$D:$D,RAW_발주!$C:$C,A1008,RAW_발주!$A:$A,C1008)-SUMIFS($W:$W,$A:$A,A1008,$C:$C,C1008)),0)</f>
        <v>0</v>
      </c>
    </row>
    <row r="1009" customFormat="false" ht="15" hidden="false" customHeight="true" outlineLevel="0" collapsed="false">
      <c r="A1009" s="45" t="s">
        <v>1667</v>
      </c>
      <c r="B1009" s="42" t="str">
        <f aca="false">IF(A1009="100","HK",IF(A1009="200","CN",IF(A1009="300","TW","홀세일")))</f>
        <v>홀세일</v>
      </c>
      <c r="C1009" s="45" t="s">
        <v>493</v>
      </c>
      <c r="D1009" s="46" t="n">
        <v>51</v>
      </c>
      <c r="E1009" s="46" t="n">
        <v>149000</v>
      </c>
      <c r="F1009" s="46" t="n">
        <v>32070</v>
      </c>
      <c r="G1009" s="42" t="n">
        <v>3.96</v>
      </c>
      <c r="H1009" s="42" t="n">
        <v>37.3</v>
      </c>
      <c r="I1009" s="42" t="n">
        <v>27</v>
      </c>
      <c r="J1009" s="46" t="n">
        <f aca="false">IF(N(E1009)&gt;0,E1009,IF(N(F1009)&gt;0,F1009*요약!$F$27,0))</f>
        <v>149000</v>
      </c>
      <c r="K1009" s="46" t="n">
        <f aca="false">IF(N(F1009)&gt;0,F1009,IF(N(E1009)&gt;0,E1009/요약!$F$27,0))</f>
        <v>32070</v>
      </c>
      <c r="L1009" s="46" t="n">
        <f aca="false">IF(B1009="CN",IF(N(I1009)&gt;0,I1009*요약!$G$27,K1009*(1+요약!$E$27)),IF(N(H1009)&gt;0,H1009*요약!$G$27,J1009*요약!$D$27))</f>
        <v>49236</v>
      </c>
      <c r="M1009" s="46" t="n">
        <f aca="false">D1009*J1009</f>
        <v>7599000</v>
      </c>
      <c r="N1009" s="46" t="n">
        <f aca="false">D1009*K1009</f>
        <v>1635570</v>
      </c>
      <c r="O1009" s="46" t="n">
        <f aca="false">D1009*L1009</f>
        <v>2511036</v>
      </c>
      <c r="P1009" s="42" t="str">
        <f aca="false">TRIM(IF(N(E1009)&lt;=0,"택가보정 ","")&amp;IF(N(F1009)&lt;=0,"원가보정 ","")&amp;IF(AND(B1009&lt;&gt;"CN",N(H1009)&lt;=0),"공급가보정 ","")&amp;IF(AND(B1009="CN",N(I1009)&lt;=0),"중국공급가=원가+마진 ",""))</f>
        <v/>
      </c>
      <c r="Q1009" s="47" t="n">
        <f aca="false">IF(SUMIFS($W:$W,$A:$A,A1009,$C:$C,C1009)=0,0,SUMIFS(RAW_판매펀칭!$K:$K,RAW_판매펀칭!$P:$P,A1009,RAW_판매펀칭!$I:$I,C1009)*W1009/SUMIFS($W:$W,$A:$A,A1009,$C:$C,C1009))</f>
        <v>50</v>
      </c>
      <c r="R1009" s="47" t="n">
        <f aca="false">IF(OR(A1009="500",A1009="800",A1009="810"),0,MAX(W1009-Q1009,0))</f>
        <v>1</v>
      </c>
      <c r="S1009" s="47" t="n">
        <f aca="false">R1009*L1009</f>
        <v>49236</v>
      </c>
      <c r="T1009" s="47" t="n">
        <f aca="false">R1009*J1009</f>
        <v>149000</v>
      </c>
      <c r="U1009" s="47" t="n">
        <f aca="false">R1009*K1009</f>
        <v>32070</v>
      </c>
      <c r="V1009" s="0" t="str">
        <f aca="false">IF(COUNTIFS($A$2:A1009,A1009,$C$2:C1009,C1009,$D$2:D1009,D1009)&gt;1,"중복","")</f>
        <v/>
      </c>
      <c r="W1009" s="0" t="n">
        <f aca="false">IF(V1009="중복",0,N(D1009))</f>
        <v>51</v>
      </c>
      <c r="X1009" s="0" t="n">
        <f aca="false">IF(COUNTIFS($A$2:A1009,A1009,$C$2:C1009,C1009)=1,ABS(SUMIFS(RAW_발주!$D:$D,RAW_발주!$C:$C,A1009,RAW_발주!$A:$A,C1009)-SUMIFS($W:$W,$A:$A,A1009,$C:$C,C1009)),0)</f>
        <v>0</v>
      </c>
    </row>
    <row r="1010" customFormat="false" ht="15" hidden="false" customHeight="true" outlineLevel="0" collapsed="false">
      <c r="A1010" s="45" t="s">
        <v>1664</v>
      </c>
      <c r="B1010" s="42" t="str">
        <f aca="false">IF(A1010="100","HK",IF(A1010="200","CN",IF(A1010="300","TW","홀세일")))</f>
        <v>홀세일</v>
      </c>
      <c r="C1010" s="45" t="s">
        <v>1687</v>
      </c>
      <c r="D1010" s="46" t="n">
        <v>85</v>
      </c>
      <c r="E1010" s="46" t="n">
        <v>219000</v>
      </c>
      <c r="F1010" s="46" t="n">
        <v>53600</v>
      </c>
      <c r="G1010" s="42" t="n">
        <v>3.5</v>
      </c>
      <c r="H1010" s="42" t="n">
        <v>54.9</v>
      </c>
      <c r="I1010" s="42" t="n">
        <v>0</v>
      </c>
      <c r="J1010" s="46" t="n">
        <f aca="false">IF(N(E1010)&gt;0,E1010,IF(N(F1010)&gt;0,F1010*요약!$F$27,0))</f>
        <v>219000</v>
      </c>
      <c r="K1010" s="46" t="n">
        <f aca="false">IF(N(F1010)&gt;0,F1010,IF(N(E1010)&gt;0,E1010/요약!$F$27,0))</f>
        <v>53600</v>
      </c>
      <c r="L1010" s="46" t="n">
        <f aca="false">IF(B1010="CN",IF(N(I1010)&gt;0,I1010*요약!$G$27,K1010*(1+요약!$E$27)),IF(N(H1010)&gt;0,H1010*요약!$G$27,J1010*요약!$D$27))</f>
        <v>72468</v>
      </c>
      <c r="M1010" s="46" t="n">
        <f aca="false">D1010*J1010</f>
        <v>18615000</v>
      </c>
      <c r="N1010" s="46" t="n">
        <f aca="false">D1010*K1010</f>
        <v>4556000</v>
      </c>
      <c r="O1010" s="46" t="n">
        <f aca="false">D1010*L1010</f>
        <v>6159780</v>
      </c>
      <c r="P1010" s="42" t="str">
        <f aca="false">TRIM(IF(N(E1010)&lt;=0,"택가보정 ","")&amp;IF(N(F1010)&lt;=0,"원가보정 ","")&amp;IF(AND(B1010&lt;&gt;"CN",N(H1010)&lt;=0),"공급가보정 ","")&amp;IF(AND(B1010="CN",N(I1010)&lt;=0),"중국공급가=원가+마진 ",""))</f>
        <v/>
      </c>
      <c r="Q1010" s="47" t="n">
        <f aca="false">IF(SUMIFS($W:$W,$A:$A,A1010,$C:$C,C1010)=0,0,SUMIFS(RAW_판매펀칭!$K:$K,RAW_판매펀칭!$P:$P,A1010,RAW_판매펀칭!$I:$I,C1010)*W1010/SUMIFS($W:$W,$A:$A,A1010,$C:$C,C1010))</f>
        <v>0</v>
      </c>
      <c r="R1010" s="47" t="n">
        <f aca="false">IF(OR(A1010="500",A1010="800",A1010="810"),0,MAX(W1010-Q1010,0))</f>
        <v>0</v>
      </c>
      <c r="S1010" s="47" t="n">
        <f aca="false">R1010*L1010</f>
        <v>0</v>
      </c>
      <c r="T1010" s="47" t="n">
        <f aca="false">R1010*J1010</f>
        <v>0</v>
      </c>
      <c r="U1010" s="47" t="n">
        <f aca="false">R1010*K1010</f>
        <v>0</v>
      </c>
      <c r="V1010" s="0" t="str">
        <f aca="false">IF(COUNTIFS($A$2:A1010,A1010,$C$2:C1010,C1010,$D$2:D1010,D1010)&gt;1,"중복","")</f>
        <v/>
      </c>
      <c r="W1010" s="0" t="n">
        <f aca="false">IF(V1010="중복",0,N(D1010))</f>
        <v>85</v>
      </c>
      <c r="X1010" s="0" t="n">
        <f aca="false">IF(COUNTIFS($A$2:A1010,A1010,$C$2:C1010,C1010)=1,ABS(SUMIFS(RAW_발주!$D:$D,RAW_발주!$C:$C,A1010,RAW_발주!$A:$A,C1010)-SUMIFS($W:$W,$A:$A,A1010,$C:$C,C1010)),0)</f>
        <v>0</v>
      </c>
    </row>
    <row r="1011" customFormat="false" ht="15" hidden="false" customHeight="true" outlineLevel="0" collapsed="false">
      <c r="A1011" s="45" t="s">
        <v>1661</v>
      </c>
      <c r="B1011" s="42" t="str">
        <f aca="false">IF(A1011="100","HK",IF(A1011="200","CN",IF(A1011="300","TW","홀세일")))</f>
        <v>TW</v>
      </c>
      <c r="C1011" s="45" t="s">
        <v>495</v>
      </c>
      <c r="D1011" s="46" t="n">
        <v>190</v>
      </c>
      <c r="E1011" s="46" t="n">
        <v>239000</v>
      </c>
      <c r="F1011" s="46" t="n">
        <v>72137</v>
      </c>
      <c r="G1011" s="42" t="n">
        <v>3.5</v>
      </c>
      <c r="H1011" s="42" t="n">
        <v>59.9</v>
      </c>
      <c r="I1011" s="42" t="n">
        <v>0</v>
      </c>
      <c r="J1011" s="46" t="n">
        <f aca="false">IF(N(E1011)&gt;0,E1011,IF(N(F1011)&gt;0,F1011*요약!$F$27,0))</f>
        <v>239000</v>
      </c>
      <c r="K1011" s="46" t="n">
        <f aca="false">IF(N(F1011)&gt;0,F1011,IF(N(E1011)&gt;0,E1011/요약!$F$27,0))</f>
        <v>72137</v>
      </c>
      <c r="L1011" s="46" t="n">
        <f aca="false">IF(B1011="CN",IF(N(I1011)&gt;0,I1011*요약!$G$27,K1011*(1+요약!$E$27)),IF(N(H1011)&gt;0,H1011*요약!$G$27,J1011*요약!$D$27))</f>
        <v>79068</v>
      </c>
      <c r="M1011" s="46" t="n">
        <f aca="false">D1011*J1011</f>
        <v>45410000</v>
      </c>
      <c r="N1011" s="46" t="n">
        <f aca="false">D1011*K1011</f>
        <v>13706030</v>
      </c>
      <c r="O1011" s="46" t="n">
        <f aca="false">D1011*L1011</f>
        <v>15022920</v>
      </c>
      <c r="P1011" s="42" t="str">
        <f aca="false">TRIM(IF(N(E1011)&lt;=0,"택가보정 ","")&amp;IF(N(F1011)&lt;=0,"원가보정 ","")&amp;IF(AND(B1011&lt;&gt;"CN",N(H1011)&lt;=0),"공급가보정 ","")&amp;IF(AND(B1011="CN",N(I1011)&lt;=0),"중국공급가=원가+마진 ",""))</f>
        <v/>
      </c>
      <c r="Q1011" s="47" t="n">
        <f aca="false">IF(SUMIFS($W:$W,$A:$A,A1011,$C:$C,C1011)=0,0,SUMIFS(RAW_판매펀칭!$K:$K,RAW_판매펀칭!$P:$P,A1011,RAW_판매펀칭!$I:$I,C1011)*W1011/SUMIFS($W:$W,$A:$A,A1011,$C:$C,C1011))</f>
        <v>188</v>
      </c>
      <c r="R1011" s="47" t="n">
        <f aca="false">IF(OR(A1011="500",A1011="800",A1011="810"),0,MAX(W1011-Q1011,0))</f>
        <v>2</v>
      </c>
      <c r="S1011" s="47" t="n">
        <f aca="false">R1011*L1011</f>
        <v>158136</v>
      </c>
      <c r="T1011" s="47" t="n">
        <f aca="false">R1011*J1011</f>
        <v>478000</v>
      </c>
      <c r="U1011" s="47" t="n">
        <f aca="false">R1011*K1011</f>
        <v>144274</v>
      </c>
      <c r="V1011" s="0" t="str">
        <f aca="false">IF(COUNTIFS($A$2:A1011,A1011,$C$2:C1011,C1011,$D$2:D1011,D1011)&gt;1,"중복","")</f>
        <v/>
      </c>
      <c r="W1011" s="0" t="n">
        <f aca="false">IF(V1011="중복",0,N(D1011))</f>
        <v>190</v>
      </c>
      <c r="X1011" s="0" t="n">
        <f aca="false">IF(COUNTIFS($A$2:A1011,A1011,$C$2:C1011,C1011)=1,ABS(SUMIFS(RAW_발주!$D:$D,RAW_발주!$C:$C,A1011,RAW_발주!$A:$A,C1011)-SUMIFS($W:$W,$A:$A,A1011,$C:$C,C1011)),0)</f>
        <v>0</v>
      </c>
    </row>
    <row r="1012" customFormat="false" ht="15" hidden="false" customHeight="true" outlineLevel="0" collapsed="false">
      <c r="A1012" s="45" t="s">
        <v>1667</v>
      </c>
      <c r="B1012" s="42" t="str">
        <f aca="false">IF(A1012="100","HK",IF(A1012="200","CN",IF(A1012="300","TW","홀세일")))</f>
        <v>홀세일</v>
      </c>
      <c r="C1012" s="45" t="s">
        <v>495</v>
      </c>
      <c r="D1012" s="46" t="n">
        <v>157</v>
      </c>
      <c r="E1012" s="46" t="n">
        <v>239000</v>
      </c>
      <c r="F1012" s="46" t="n">
        <v>72137</v>
      </c>
      <c r="G1012" s="42" t="n">
        <v>3.5</v>
      </c>
      <c r="H1012" s="42" t="n">
        <v>59.9</v>
      </c>
      <c r="I1012" s="42" t="n">
        <v>0</v>
      </c>
      <c r="J1012" s="46" t="n">
        <f aca="false">IF(N(E1012)&gt;0,E1012,IF(N(F1012)&gt;0,F1012*요약!$F$27,0))</f>
        <v>239000</v>
      </c>
      <c r="K1012" s="46" t="n">
        <f aca="false">IF(N(F1012)&gt;0,F1012,IF(N(E1012)&gt;0,E1012/요약!$F$27,0))</f>
        <v>72137</v>
      </c>
      <c r="L1012" s="46" t="n">
        <f aca="false">IF(B1012="CN",IF(N(I1012)&gt;0,I1012*요약!$G$27,K1012*(1+요약!$E$27)),IF(N(H1012)&gt;0,H1012*요약!$G$27,J1012*요약!$D$27))</f>
        <v>79068</v>
      </c>
      <c r="M1012" s="46" t="n">
        <f aca="false">D1012*J1012</f>
        <v>37523000</v>
      </c>
      <c r="N1012" s="46" t="n">
        <f aca="false">D1012*K1012</f>
        <v>11325509</v>
      </c>
      <c r="O1012" s="46" t="n">
        <f aca="false">D1012*L1012</f>
        <v>12413676</v>
      </c>
      <c r="P1012" s="42" t="str">
        <f aca="false">TRIM(IF(N(E1012)&lt;=0,"택가보정 ","")&amp;IF(N(F1012)&lt;=0,"원가보정 ","")&amp;IF(AND(B1012&lt;&gt;"CN",N(H1012)&lt;=0),"공급가보정 ","")&amp;IF(AND(B1012="CN",N(I1012)&lt;=0),"중국공급가=원가+마진 ",""))</f>
        <v/>
      </c>
      <c r="Q1012" s="47" t="n">
        <f aca="false">IF(SUMIFS($W:$W,$A:$A,A1012,$C:$C,C1012)=0,0,SUMIFS(RAW_판매펀칭!$K:$K,RAW_판매펀칭!$P:$P,A1012,RAW_판매펀칭!$I:$I,C1012)*W1012/SUMIFS($W:$W,$A:$A,A1012,$C:$C,C1012))</f>
        <v>155</v>
      </c>
      <c r="R1012" s="47" t="n">
        <f aca="false">IF(OR(A1012="500",A1012="800",A1012="810"),0,MAX(W1012-Q1012,0))</f>
        <v>2</v>
      </c>
      <c r="S1012" s="47" t="n">
        <f aca="false">R1012*L1012</f>
        <v>158136</v>
      </c>
      <c r="T1012" s="47" t="n">
        <f aca="false">R1012*J1012</f>
        <v>478000</v>
      </c>
      <c r="U1012" s="47" t="n">
        <f aca="false">R1012*K1012</f>
        <v>144274</v>
      </c>
      <c r="V1012" s="0" t="str">
        <f aca="false">IF(COUNTIFS($A$2:A1012,A1012,$C$2:C1012,C1012,$D$2:D1012,D1012)&gt;1,"중복","")</f>
        <v/>
      </c>
      <c r="W1012" s="0" t="n">
        <f aca="false">IF(V1012="중복",0,N(D1012))</f>
        <v>157</v>
      </c>
      <c r="X1012" s="0" t="n">
        <f aca="false">IF(COUNTIFS($A$2:A1012,A1012,$C$2:C1012,C1012)=1,ABS(SUMIFS(RAW_발주!$D:$D,RAW_발주!$C:$C,A1012,RAW_발주!$A:$A,C1012)-SUMIFS($W:$W,$A:$A,A1012,$C:$C,C1012)),0)</f>
        <v>0</v>
      </c>
    </row>
    <row r="1013" customFormat="false" ht="15" hidden="false" customHeight="true" outlineLevel="0" collapsed="false">
      <c r="A1013" s="45" t="s">
        <v>1664</v>
      </c>
      <c r="B1013" s="42" t="str">
        <f aca="false">IF(A1013="100","HK",IF(A1013="200","CN",IF(A1013="300","TW","홀세일")))</f>
        <v>홀세일</v>
      </c>
      <c r="C1013" s="45" t="s">
        <v>495</v>
      </c>
      <c r="D1013" s="46" t="n">
        <v>45</v>
      </c>
      <c r="E1013" s="46" t="n">
        <v>239000</v>
      </c>
      <c r="F1013" s="46" t="n">
        <v>72137</v>
      </c>
      <c r="G1013" s="42" t="n">
        <v>3.5</v>
      </c>
      <c r="H1013" s="42" t="n">
        <v>59.9</v>
      </c>
      <c r="I1013" s="42" t="n">
        <v>0</v>
      </c>
      <c r="J1013" s="46" t="n">
        <f aca="false">IF(N(E1013)&gt;0,E1013,IF(N(F1013)&gt;0,F1013*요약!$F$27,0))</f>
        <v>239000</v>
      </c>
      <c r="K1013" s="46" t="n">
        <f aca="false">IF(N(F1013)&gt;0,F1013,IF(N(E1013)&gt;0,E1013/요약!$F$27,0))</f>
        <v>72137</v>
      </c>
      <c r="L1013" s="46" t="n">
        <f aca="false">IF(B1013="CN",IF(N(I1013)&gt;0,I1013*요약!$G$27,K1013*(1+요약!$E$27)),IF(N(H1013)&gt;0,H1013*요약!$G$27,J1013*요약!$D$27))</f>
        <v>79068</v>
      </c>
      <c r="M1013" s="46" t="n">
        <f aca="false">D1013*J1013</f>
        <v>10755000</v>
      </c>
      <c r="N1013" s="46" t="n">
        <f aca="false">D1013*K1013</f>
        <v>3246165</v>
      </c>
      <c r="O1013" s="46" t="n">
        <f aca="false">D1013*L1013</f>
        <v>3558060</v>
      </c>
      <c r="P1013" s="42" t="str">
        <f aca="false">TRIM(IF(N(E1013)&lt;=0,"택가보정 ","")&amp;IF(N(F1013)&lt;=0,"원가보정 ","")&amp;IF(AND(B1013&lt;&gt;"CN",N(H1013)&lt;=0),"공급가보정 ","")&amp;IF(AND(B1013="CN",N(I1013)&lt;=0),"중국공급가=원가+마진 ",""))</f>
        <v/>
      </c>
      <c r="Q1013" s="47" t="n">
        <f aca="false">IF(SUMIFS($W:$W,$A:$A,A1013,$C:$C,C1013)=0,0,SUMIFS(RAW_판매펀칭!$K:$K,RAW_판매펀칭!$P:$P,A1013,RAW_판매펀칭!$I:$I,C1013)*W1013/SUMIFS($W:$W,$A:$A,A1013,$C:$C,C1013))</f>
        <v>0</v>
      </c>
      <c r="R1013" s="47" t="n">
        <f aca="false">IF(OR(A1013="500",A1013="800",A1013="810"),0,MAX(W1013-Q1013,0))</f>
        <v>0</v>
      </c>
      <c r="S1013" s="47" t="n">
        <f aca="false">R1013*L1013</f>
        <v>0</v>
      </c>
      <c r="T1013" s="47" t="n">
        <f aca="false">R1013*J1013</f>
        <v>0</v>
      </c>
      <c r="U1013" s="47" t="n">
        <f aca="false">R1013*K1013</f>
        <v>0</v>
      </c>
      <c r="V1013" s="0" t="str">
        <f aca="false">IF(COUNTIFS($A$2:A1013,A1013,$C$2:C1013,C1013,$D$2:D1013,D1013)&gt;1,"중복","")</f>
        <v/>
      </c>
      <c r="W1013" s="0" t="n">
        <f aca="false">IF(V1013="중복",0,N(D1013))</f>
        <v>45</v>
      </c>
      <c r="X1013" s="0" t="n">
        <f aca="false">IF(COUNTIFS($A$2:A1013,A1013,$C$2:C1013,C1013)=1,ABS(SUMIFS(RAW_발주!$D:$D,RAW_발주!$C:$C,A1013,RAW_발주!$A:$A,C1013)-SUMIFS($W:$W,$A:$A,A1013,$C:$C,C1013)),0)</f>
        <v>0</v>
      </c>
    </row>
    <row r="1014" customFormat="false" ht="15" hidden="false" customHeight="true" outlineLevel="0" collapsed="false">
      <c r="A1014" s="45" t="s">
        <v>1659</v>
      </c>
      <c r="B1014" s="42" t="str">
        <f aca="false">IF(A1014="100","HK",IF(A1014="200","CN",IF(A1014="300","TW","홀세일")))</f>
        <v>HK</v>
      </c>
      <c r="C1014" s="45" t="s">
        <v>497</v>
      </c>
      <c r="D1014" s="46" t="n">
        <v>340</v>
      </c>
      <c r="E1014" s="46" t="n">
        <v>199000</v>
      </c>
      <c r="F1014" s="46" t="n">
        <v>72245</v>
      </c>
      <c r="G1014" s="42" t="n">
        <v>5.06</v>
      </c>
      <c r="H1014" s="42" t="n">
        <v>49.8</v>
      </c>
      <c r="I1014" s="42" t="n">
        <v>0</v>
      </c>
      <c r="J1014" s="46" t="n">
        <f aca="false">IF(N(E1014)&gt;0,E1014,IF(N(F1014)&gt;0,F1014*요약!$F$27,0))</f>
        <v>199000</v>
      </c>
      <c r="K1014" s="46" t="n">
        <f aca="false">IF(N(F1014)&gt;0,F1014,IF(N(E1014)&gt;0,E1014/요약!$F$27,0))</f>
        <v>72245</v>
      </c>
      <c r="L1014" s="46" t="n">
        <f aca="false">IF(B1014="CN",IF(N(I1014)&gt;0,I1014*요약!$G$27,K1014*(1+요약!$E$27)),IF(N(H1014)&gt;0,H1014*요약!$G$27,J1014*요약!$D$27))</f>
        <v>65736</v>
      </c>
      <c r="M1014" s="46" t="n">
        <f aca="false">D1014*J1014</f>
        <v>67660000</v>
      </c>
      <c r="N1014" s="46" t="n">
        <f aca="false">D1014*K1014</f>
        <v>24563300</v>
      </c>
      <c r="O1014" s="46" t="n">
        <f aca="false">D1014*L1014</f>
        <v>22350240</v>
      </c>
      <c r="P1014" s="42" t="str">
        <f aca="false">TRIM(IF(N(E1014)&lt;=0,"택가보정 ","")&amp;IF(N(F1014)&lt;=0,"원가보정 ","")&amp;IF(AND(B1014&lt;&gt;"CN",N(H1014)&lt;=0),"공급가보정 ","")&amp;IF(AND(B1014="CN",N(I1014)&lt;=0),"중국공급가=원가+마진 ",""))</f>
        <v/>
      </c>
      <c r="Q1014" s="47" t="n">
        <f aca="false">IF(SUMIFS($W:$W,$A:$A,A1014,$C:$C,C1014)=0,0,SUMIFS(RAW_판매펀칭!$K:$K,RAW_판매펀칭!$P:$P,A1014,RAW_판매펀칭!$I:$I,C1014)*W1014/SUMIFS($W:$W,$A:$A,A1014,$C:$C,C1014))</f>
        <v>340</v>
      </c>
      <c r="R1014" s="47" t="n">
        <f aca="false">IF(OR(A1014="500",A1014="800",A1014="810"),0,MAX(W1014-Q1014,0))</f>
        <v>0</v>
      </c>
      <c r="S1014" s="47" t="n">
        <f aca="false">R1014*L1014</f>
        <v>0</v>
      </c>
      <c r="T1014" s="47" t="n">
        <f aca="false">R1014*J1014</f>
        <v>0</v>
      </c>
      <c r="U1014" s="47" t="n">
        <f aca="false">R1014*K1014</f>
        <v>0</v>
      </c>
      <c r="V1014" s="0" t="str">
        <f aca="false">IF(COUNTIFS($A$2:A1014,A1014,$C$2:C1014,C1014,$D$2:D1014,D1014)&gt;1,"중복","")</f>
        <v/>
      </c>
      <c r="W1014" s="0" t="n">
        <f aca="false">IF(V1014="중복",0,N(D1014))</f>
        <v>340</v>
      </c>
      <c r="X1014" s="0" t="n">
        <f aca="false">IF(COUNTIFS($A$2:A1014,A1014,$C$2:C1014,C1014)=1,ABS(SUMIFS(RAW_발주!$D:$D,RAW_발주!$C:$C,A1014,RAW_발주!$A:$A,C1014)-SUMIFS($W:$W,$A:$A,A1014,$C:$C,C1014)),0)</f>
        <v>0</v>
      </c>
    </row>
    <row r="1015" customFormat="false" ht="15" hidden="false" customHeight="true" outlineLevel="0" collapsed="false">
      <c r="A1015" s="45" t="s">
        <v>1661</v>
      </c>
      <c r="B1015" s="42" t="str">
        <f aca="false">IF(A1015="100","HK",IF(A1015="200","CN",IF(A1015="300","TW","홀세일")))</f>
        <v>TW</v>
      </c>
      <c r="C1015" s="45" t="s">
        <v>497</v>
      </c>
      <c r="D1015" s="46" t="n">
        <v>505</v>
      </c>
      <c r="E1015" s="46" t="n">
        <v>199000</v>
      </c>
      <c r="F1015" s="46" t="n">
        <v>72245</v>
      </c>
      <c r="G1015" s="42" t="n">
        <v>5.06</v>
      </c>
      <c r="H1015" s="42" t="n">
        <v>49.8</v>
      </c>
      <c r="I1015" s="42" t="n">
        <v>0</v>
      </c>
      <c r="J1015" s="46" t="n">
        <f aca="false">IF(N(E1015)&gt;0,E1015,IF(N(F1015)&gt;0,F1015*요약!$F$27,0))</f>
        <v>199000</v>
      </c>
      <c r="K1015" s="46" t="n">
        <f aca="false">IF(N(F1015)&gt;0,F1015,IF(N(E1015)&gt;0,E1015/요약!$F$27,0))</f>
        <v>72245</v>
      </c>
      <c r="L1015" s="46" t="n">
        <f aca="false">IF(B1015="CN",IF(N(I1015)&gt;0,I1015*요약!$G$27,K1015*(1+요약!$E$27)),IF(N(H1015)&gt;0,H1015*요약!$G$27,J1015*요약!$D$27))</f>
        <v>65736</v>
      </c>
      <c r="M1015" s="46" t="n">
        <f aca="false">D1015*J1015</f>
        <v>100495000</v>
      </c>
      <c r="N1015" s="46" t="n">
        <f aca="false">D1015*K1015</f>
        <v>36483725</v>
      </c>
      <c r="O1015" s="46" t="n">
        <f aca="false">D1015*L1015</f>
        <v>33196680</v>
      </c>
      <c r="P1015" s="42" t="str">
        <f aca="false">TRIM(IF(N(E1015)&lt;=0,"택가보정 ","")&amp;IF(N(F1015)&lt;=0,"원가보정 ","")&amp;IF(AND(B1015&lt;&gt;"CN",N(H1015)&lt;=0),"공급가보정 ","")&amp;IF(AND(B1015="CN",N(I1015)&lt;=0),"중국공급가=원가+마진 ",""))</f>
        <v/>
      </c>
      <c r="Q1015" s="47" t="n">
        <f aca="false">IF(SUMIFS($W:$W,$A:$A,A1015,$C:$C,C1015)=0,0,SUMIFS(RAW_판매펀칭!$K:$K,RAW_판매펀칭!$P:$P,A1015,RAW_판매펀칭!$I:$I,C1015)*W1015/SUMIFS($W:$W,$A:$A,A1015,$C:$C,C1015))</f>
        <v>505</v>
      </c>
      <c r="R1015" s="47" t="n">
        <f aca="false">IF(OR(A1015="500",A1015="800",A1015="810"),0,MAX(W1015-Q1015,0))</f>
        <v>0</v>
      </c>
      <c r="S1015" s="47" t="n">
        <f aca="false">R1015*L1015</f>
        <v>0</v>
      </c>
      <c r="T1015" s="47" t="n">
        <f aca="false">R1015*J1015</f>
        <v>0</v>
      </c>
      <c r="U1015" s="47" t="n">
        <f aca="false">R1015*K1015</f>
        <v>0</v>
      </c>
      <c r="V1015" s="0" t="str">
        <f aca="false">IF(COUNTIFS($A$2:A1015,A1015,$C$2:C1015,C1015,$D$2:D1015,D1015)&gt;1,"중복","")</f>
        <v/>
      </c>
      <c r="W1015" s="0" t="n">
        <f aca="false">IF(V1015="중복",0,N(D1015))</f>
        <v>505</v>
      </c>
      <c r="X1015" s="0" t="n">
        <f aca="false">IF(COUNTIFS($A$2:A1015,A1015,$C$2:C1015,C1015)=1,ABS(SUMIFS(RAW_발주!$D:$D,RAW_발주!$C:$C,A1015,RAW_발주!$A:$A,C1015)-SUMIFS($W:$W,$A:$A,A1015,$C:$C,C1015)),0)</f>
        <v>0</v>
      </c>
    </row>
    <row r="1016" customFormat="false" ht="15" hidden="false" customHeight="true" outlineLevel="0" collapsed="false">
      <c r="A1016" s="45" t="s">
        <v>1663</v>
      </c>
      <c r="B1016" s="42" t="str">
        <f aca="false">IF(A1016="100","HK",IF(A1016="200","CN",IF(A1016="300","TW","홀세일")))</f>
        <v>홀세일</v>
      </c>
      <c r="C1016" s="45" t="s">
        <v>497</v>
      </c>
      <c r="D1016" s="46" t="n">
        <v>40</v>
      </c>
      <c r="E1016" s="46" t="n">
        <v>199000</v>
      </c>
      <c r="F1016" s="46" t="n">
        <v>72245</v>
      </c>
      <c r="G1016" s="42" t="n">
        <v>5.06</v>
      </c>
      <c r="H1016" s="42" t="n">
        <v>49.8</v>
      </c>
      <c r="I1016" s="42" t="n">
        <v>0</v>
      </c>
      <c r="J1016" s="46" t="n">
        <f aca="false">IF(N(E1016)&gt;0,E1016,IF(N(F1016)&gt;0,F1016*요약!$F$27,0))</f>
        <v>199000</v>
      </c>
      <c r="K1016" s="46" t="n">
        <f aca="false">IF(N(F1016)&gt;0,F1016,IF(N(E1016)&gt;0,E1016/요약!$F$27,0))</f>
        <v>72245</v>
      </c>
      <c r="L1016" s="46" t="n">
        <f aca="false">IF(B1016="CN",IF(N(I1016)&gt;0,I1016*요약!$G$27,K1016*(1+요약!$E$27)),IF(N(H1016)&gt;0,H1016*요약!$G$27,J1016*요약!$D$27))</f>
        <v>65736</v>
      </c>
      <c r="M1016" s="46" t="n">
        <f aca="false">D1016*J1016</f>
        <v>7960000</v>
      </c>
      <c r="N1016" s="46" t="n">
        <f aca="false">D1016*K1016</f>
        <v>2889800</v>
      </c>
      <c r="O1016" s="46" t="n">
        <f aca="false">D1016*L1016</f>
        <v>2629440</v>
      </c>
      <c r="P1016" s="42" t="str">
        <f aca="false">TRIM(IF(N(E1016)&lt;=0,"택가보정 ","")&amp;IF(N(F1016)&lt;=0,"원가보정 ","")&amp;IF(AND(B1016&lt;&gt;"CN",N(H1016)&lt;=0),"공급가보정 ","")&amp;IF(AND(B1016="CN",N(I1016)&lt;=0),"중국공급가=원가+마진 ",""))</f>
        <v/>
      </c>
      <c r="Q1016" s="47" t="n">
        <f aca="false">IF(SUMIFS($W:$W,$A:$A,A1016,$C:$C,C1016)=0,0,SUMIFS(RAW_판매펀칭!$K:$K,RAW_판매펀칭!$P:$P,A1016,RAW_판매펀칭!$I:$I,C1016)*W1016/SUMIFS($W:$W,$A:$A,A1016,$C:$C,C1016))</f>
        <v>40</v>
      </c>
      <c r="R1016" s="47" t="n">
        <f aca="false">IF(OR(A1016="500",A1016="800",A1016="810"),0,MAX(W1016-Q1016,0))</f>
        <v>0</v>
      </c>
      <c r="S1016" s="47" t="n">
        <f aca="false">R1016*L1016</f>
        <v>0</v>
      </c>
      <c r="T1016" s="47" t="n">
        <f aca="false">R1016*J1016</f>
        <v>0</v>
      </c>
      <c r="U1016" s="47" t="n">
        <f aca="false">R1016*K1016</f>
        <v>0</v>
      </c>
      <c r="V1016" s="0" t="str">
        <f aca="false">IF(COUNTIFS($A$2:A1016,A1016,$C$2:C1016,C1016,$D$2:D1016,D1016)&gt;1,"중복","")</f>
        <v/>
      </c>
      <c r="W1016" s="0" t="n">
        <f aca="false">IF(V1016="중복",0,N(D1016))</f>
        <v>40</v>
      </c>
      <c r="X1016" s="0" t="n">
        <f aca="false">IF(COUNTIFS($A$2:A1016,A1016,$C$2:C1016,C1016)=1,ABS(SUMIFS(RAW_발주!$D:$D,RAW_발주!$C:$C,A1016,RAW_발주!$A:$A,C1016)-SUMIFS($W:$W,$A:$A,A1016,$C:$C,C1016)),0)</f>
        <v>0</v>
      </c>
    </row>
    <row r="1017" customFormat="false" ht="15" hidden="false" customHeight="true" outlineLevel="0" collapsed="false">
      <c r="A1017" s="45" t="s">
        <v>1659</v>
      </c>
      <c r="B1017" s="42" t="str">
        <f aca="false">IF(A1017="100","HK",IF(A1017="200","CN",IF(A1017="300","TW","홀세일")))</f>
        <v>HK</v>
      </c>
      <c r="C1017" s="45" t="s">
        <v>499</v>
      </c>
      <c r="D1017" s="46" t="n">
        <v>200</v>
      </c>
      <c r="E1017" s="46" t="n">
        <v>169000</v>
      </c>
      <c r="F1017" s="46" t="n">
        <v>41673</v>
      </c>
      <c r="G1017" s="42" t="n">
        <v>3.54</v>
      </c>
      <c r="H1017" s="42" t="n">
        <v>42.3</v>
      </c>
      <c r="I1017" s="42" t="n">
        <v>35.4</v>
      </c>
      <c r="J1017" s="46" t="n">
        <f aca="false">IF(N(E1017)&gt;0,E1017,IF(N(F1017)&gt;0,F1017*요약!$F$27,0))</f>
        <v>169000</v>
      </c>
      <c r="K1017" s="46" t="n">
        <f aca="false">IF(N(F1017)&gt;0,F1017,IF(N(E1017)&gt;0,E1017/요약!$F$27,0))</f>
        <v>41673</v>
      </c>
      <c r="L1017" s="46" t="n">
        <f aca="false">IF(B1017="CN",IF(N(I1017)&gt;0,I1017*요약!$G$27,K1017*(1+요약!$E$27)),IF(N(H1017)&gt;0,H1017*요약!$G$27,J1017*요약!$D$27))</f>
        <v>55836</v>
      </c>
      <c r="M1017" s="46" t="n">
        <f aca="false">D1017*J1017</f>
        <v>33800000</v>
      </c>
      <c r="N1017" s="46" t="n">
        <f aca="false">D1017*K1017</f>
        <v>8334600</v>
      </c>
      <c r="O1017" s="46" t="n">
        <f aca="false">D1017*L1017</f>
        <v>11167200</v>
      </c>
      <c r="P1017" s="42" t="str">
        <f aca="false">TRIM(IF(N(E1017)&lt;=0,"택가보정 ","")&amp;IF(N(F1017)&lt;=0,"원가보정 ","")&amp;IF(AND(B1017&lt;&gt;"CN",N(H1017)&lt;=0),"공급가보정 ","")&amp;IF(AND(B1017="CN",N(I1017)&lt;=0),"중국공급가=원가+마진 ",""))</f>
        <v/>
      </c>
      <c r="Q1017" s="47" t="n">
        <f aca="false">IF(SUMIFS($W:$W,$A:$A,A1017,$C:$C,C1017)=0,0,SUMIFS(RAW_판매펀칭!$K:$K,RAW_판매펀칭!$P:$P,A1017,RAW_판매펀칭!$I:$I,C1017)*W1017/SUMIFS($W:$W,$A:$A,A1017,$C:$C,C1017))</f>
        <v>200</v>
      </c>
      <c r="R1017" s="47" t="n">
        <f aca="false">IF(OR(A1017="500",A1017="800",A1017="810"),0,MAX(W1017-Q1017,0))</f>
        <v>0</v>
      </c>
      <c r="S1017" s="47" t="n">
        <f aca="false">R1017*L1017</f>
        <v>0</v>
      </c>
      <c r="T1017" s="47" t="n">
        <f aca="false">R1017*J1017</f>
        <v>0</v>
      </c>
      <c r="U1017" s="47" t="n">
        <f aca="false">R1017*K1017</f>
        <v>0</v>
      </c>
      <c r="V1017" s="0" t="str">
        <f aca="false">IF(COUNTIFS($A$2:A1017,A1017,$C$2:C1017,C1017,$D$2:D1017,D1017)&gt;1,"중복","")</f>
        <v/>
      </c>
      <c r="W1017" s="0" t="n">
        <f aca="false">IF(V1017="중복",0,N(D1017))</f>
        <v>200</v>
      </c>
      <c r="X1017" s="0" t="n">
        <f aca="false">IF(COUNTIFS($A$2:A1017,A1017,$C$2:C1017,C1017)=1,ABS(SUMIFS(RAW_발주!$D:$D,RAW_발주!$C:$C,A1017,RAW_발주!$A:$A,C1017)-SUMIFS($W:$W,$A:$A,A1017,$C:$C,C1017)),0)</f>
        <v>0</v>
      </c>
    </row>
    <row r="1018" customFormat="false" ht="15" hidden="false" customHeight="true" outlineLevel="0" collapsed="false">
      <c r="A1018" s="45" t="s">
        <v>1660</v>
      </c>
      <c r="B1018" s="42" t="str">
        <f aca="false">IF(A1018="100","HK",IF(A1018="200","CN",IF(A1018="300","TW","홀세일")))</f>
        <v>CN</v>
      </c>
      <c r="C1018" s="45" t="s">
        <v>499</v>
      </c>
      <c r="D1018" s="46" t="n">
        <v>643</v>
      </c>
      <c r="E1018" s="46" t="n">
        <v>169000</v>
      </c>
      <c r="F1018" s="46" t="n">
        <v>41673</v>
      </c>
      <c r="G1018" s="42" t="n">
        <v>3.54</v>
      </c>
      <c r="H1018" s="42" t="n">
        <v>42.3</v>
      </c>
      <c r="I1018" s="42" t="n">
        <v>35.4</v>
      </c>
      <c r="J1018" s="46" t="n">
        <f aca="false">IF(N(E1018)&gt;0,E1018,IF(N(F1018)&gt;0,F1018*요약!$F$27,0))</f>
        <v>169000</v>
      </c>
      <c r="K1018" s="46" t="n">
        <f aca="false">IF(N(F1018)&gt;0,F1018,IF(N(E1018)&gt;0,E1018/요약!$F$27,0))</f>
        <v>41673</v>
      </c>
      <c r="L1018" s="46" t="n">
        <f aca="false">IF(B1018="CN",IF(N(I1018)&gt;0,I1018*요약!$G$27,K1018*(1+요약!$E$27)),IF(N(H1018)&gt;0,H1018*요약!$G$27,J1018*요약!$D$27))</f>
        <v>46728</v>
      </c>
      <c r="M1018" s="46" t="n">
        <f aca="false">D1018*J1018</f>
        <v>108667000</v>
      </c>
      <c r="N1018" s="46" t="n">
        <f aca="false">D1018*K1018</f>
        <v>26795739</v>
      </c>
      <c r="O1018" s="46" t="n">
        <f aca="false">D1018*L1018</f>
        <v>30046104</v>
      </c>
      <c r="P1018" s="42" t="str">
        <f aca="false">TRIM(IF(N(E1018)&lt;=0,"택가보정 ","")&amp;IF(N(F1018)&lt;=0,"원가보정 ","")&amp;IF(AND(B1018&lt;&gt;"CN",N(H1018)&lt;=0),"공급가보정 ","")&amp;IF(AND(B1018="CN",N(I1018)&lt;=0),"중국공급가=원가+마진 ",""))</f>
        <v/>
      </c>
      <c r="Q1018" s="47" t="n">
        <f aca="false">IF(SUMIFS($W:$W,$A:$A,A1018,$C:$C,C1018)=0,0,SUMIFS(RAW_판매펀칭!$K:$K,RAW_판매펀칭!$P:$P,A1018,RAW_판매펀칭!$I:$I,C1018)*W1018/SUMIFS($W:$W,$A:$A,A1018,$C:$C,C1018))</f>
        <v>623</v>
      </c>
      <c r="R1018" s="47" t="n">
        <f aca="false">IF(OR(A1018="500",A1018="800",A1018="810"),0,MAX(W1018-Q1018,0))</f>
        <v>20</v>
      </c>
      <c r="S1018" s="47" t="n">
        <f aca="false">R1018*L1018</f>
        <v>934560</v>
      </c>
      <c r="T1018" s="47" t="n">
        <f aca="false">R1018*J1018</f>
        <v>3380000</v>
      </c>
      <c r="U1018" s="47" t="n">
        <f aca="false">R1018*K1018</f>
        <v>833460</v>
      </c>
      <c r="V1018" s="0" t="str">
        <f aca="false">IF(COUNTIFS($A$2:A1018,A1018,$C$2:C1018,C1018,$D$2:D1018,D1018)&gt;1,"중복","")</f>
        <v/>
      </c>
      <c r="W1018" s="0" t="n">
        <f aca="false">IF(V1018="중복",0,N(D1018))</f>
        <v>643</v>
      </c>
      <c r="X1018" s="0" t="n">
        <f aca="false">IF(COUNTIFS($A$2:A1018,A1018,$C$2:C1018,C1018)=1,ABS(SUMIFS(RAW_발주!$D:$D,RAW_발주!$C:$C,A1018,RAW_발주!$A:$A,C1018)-SUMIFS($W:$W,$A:$A,A1018,$C:$C,C1018)),0)</f>
        <v>0</v>
      </c>
    </row>
    <row r="1019" customFormat="false" ht="15" hidden="false" customHeight="true" outlineLevel="0" collapsed="false">
      <c r="A1019" s="45" t="s">
        <v>1661</v>
      </c>
      <c r="B1019" s="42" t="str">
        <f aca="false">IF(A1019="100","HK",IF(A1019="200","CN",IF(A1019="300","TW","홀세일")))</f>
        <v>TW</v>
      </c>
      <c r="C1019" s="45" t="s">
        <v>499</v>
      </c>
      <c r="D1019" s="46" t="n">
        <v>450</v>
      </c>
      <c r="E1019" s="46" t="n">
        <v>169000</v>
      </c>
      <c r="F1019" s="46" t="n">
        <v>41673</v>
      </c>
      <c r="G1019" s="42" t="n">
        <v>3.54</v>
      </c>
      <c r="H1019" s="42" t="n">
        <v>42.3</v>
      </c>
      <c r="I1019" s="42" t="n">
        <v>35.4</v>
      </c>
      <c r="J1019" s="46" t="n">
        <f aca="false">IF(N(E1019)&gt;0,E1019,IF(N(F1019)&gt;0,F1019*요약!$F$27,0))</f>
        <v>169000</v>
      </c>
      <c r="K1019" s="46" t="n">
        <f aca="false">IF(N(F1019)&gt;0,F1019,IF(N(E1019)&gt;0,E1019/요약!$F$27,0))</f>
        <v>41673</v>
      </c>
      <c r="L1019" s="46" t="n">
        <f aca="false">IF(B1019="CN",IF(N(I1019)&gt;0,I1019*요약!$G$27,K1019*(1+요약!$E$27)),IF(N(H1019)&gt;0,H1019*요약!$G$27,J1019*요약!$D$27))</f>
        <v>55836</v>
      </c>
      <c r="M1019" s="46" t="n">
        <f aca="false">D1019*J1019</f>
        <v>76050000</v>
      </c>
      <c r="N1019" s="46" t="n">
        <f aca="false">D1019*K1019</f>
        <v>18752850</v>
      </c>
      <c r="O1019" s="46" t="n">
        <f aca="false">D1019*L1019</f>
        <v>25126200</v>
      </c>
      <c r="P1019" s="42" t="str">
        <f aca="false">TRIM(IF(N(E1019)&lt;=0,"택가보정 ","")&amp;IF(N(F1019)&lt;=0,"원가보정 ","")&amp;IF(AND(B1019&lt;&gt;"CN",N(H1019)&lt;=0),"공급가보정 ","")&amp;IF(AND(B1019="CN",N(I1019)&lt;=0),"중국공급가=원가+마진 ",""))</f>
        <v/>
      </c>
      <c r="Q1019" s="47" t="n">
        <f aca="false">IF(SUMIFS($W:$W,$A:$A,A1019,$C:$C,C1019)=0,0,SUMIFS(RAW_판매펀칭!$K:$K,RAW_판매펀칭!$P:$P,A1019,RAW_판매펀칭!$I:$I,C1019)*W1019/SUMIFS($W:$W,$A:$A,A1019,$C:$C,C1019))</f>
        <v>450</v>
      </c>
      <c r="R1019" s="47" t="n">
        <f aca="false">IF(OR(A1019="500",A1019="800",A1019="810"),0,MAX(W1019-Q1019,0))</f>
        <v>0</v>
      </c>
      <c r="S1019" s="47" t="n">
        <f aca="false">R1019*L1019</f>
        <v>0</v>
      </c>
      <c r="T1019" s="47" t="n">
        <f aca="false">R1019*J1019</f>
        <v>0</v>
      </c>
      <c r="U1019" s="47" t="n">
        <f aca="false">R1019*K1019</f>
        <v>0</v>
      </c>
      <c r="V1019" s="0" t="str">
        <f aca="false">IF(COUNTIFS($A$2:A1019,A1019,$C$2:C1019,C1019,$D$2:D1019,D1019)&gt;1,"중복","")</f>
        <v/>
      </c>
      <c r="W1019" s="0" t="n">
        <f aca="false">IF(V1019="중복",0,N(D1019))</f>
        <v>450</v>
      </c>
      <c r="X1019" s="0" t="n">
        <f aca="false">IF(COUNTIFS($A$2:A1019,A1019,$C$2:C1019,C1019)=1,ABS(SUMIFS(RAW_발주!$D:$D,RAW_발주!$C:$C,A1019,RAW_발주!$A:$A,C1019)-SUMIFS($W:$W,$A:$A,A1019,$C:$C,C1019)),0)</f>
        <v>0</v>
      </c>
    </row>
    <row r="1020" customFormat="false" ht="15" hidden="false" customHeight="true" outlineLevel="0" collapsed="false">
      <c r="A1020" s="45" t="s">
        <v>1663</v>
      </c>
      <c r="B1020" s="42" t="str">
        <f aca="false">IF(A1020="100","HK",IF(A1020="200","CN",IF(A1020="300","TW","홀세일")))</f>
        <v>홀세일</v>
      </c>
      <c r="C1020" s="45" t="s">
        <v>499</v>
      </c>
      <c r="D1020" s="46" t="n">
        <v>110</v>
      </c>
      <c r="E1020" s="46" t="n">
        <v>169000</v>
      </c>
      <c r="F1020" s="46" t="n">
        <v>41673</v>
      </c>
      <c r="G1020" s="42" t="n">
        <v>3.54</v>
      </c>
      <c r="H1020" s="42" t="n">
        <v>42.3</v>
      </c>
      <c r="I1020" s="42" t="n">
        <v>35.4</v>
      </c>
      <c r="J1020" s="46" t="n">
        <f aca="false">IF(N(E1020)&gt;0,E1020,IF(N(F1020)&gt;0,F1020*요약!$F$27,0))</f>
        <v>169000</v>
      </c>
      <c r="K1020" s="46" t="n">
        <f aca="false">IF(N(F1020)&gt;0,F1020,IF(N(E1020)&gt;0,E1020/요약!$F$27,0))</f>
        <v>41673</v>
      </c>
      <c r="L1020" s="46" t="n">
        <f aca="false">IF(B1020="CN",IF(N(I1020)&gt;0,I1020*요약!$G$27,K1020*(1+요약!$E$27)),IF(N(H1020)&gt;0,H1020*요약!$G$27,J1020*요약!$D$27))</f>
        <v>55836</v>
      </c>
      <c r="M1020" s="46" t="n">
        <f aca="false">D1020*J1020</f>
        <v>18590000</v>
      </c>
      <c r="N1020" s="46" t="n">
        <f aca="false">D1020*K1020</f>
        <v>4584030</v>
      </c>
      <c r="O1020" s="46" t="n">
        <f aca="false">D1020*L1020</f>
        <v>6141960</v>
      </c>
      <c r="P1020" s="42" t="str">
        <f aca="false">TRIM(IF(N(E1020)&lt;=0,"택가보정 ","")&amp;IF(N(F1020)&lt;=0,"원가보정 ","")&amp;IF(AND(B1020&lt;&gt;"CN",N(H1020)&lt;=0),"공급가보정 ","")&amp;IF(AND(B1020="CN",N(I1020)&lt;=0),"중국공급가=원가+마진 ",""))</f>
        <v/>
      </c>
      <c r="Q1020" s="47" t="n">
        <f aca="false">IF(SUMIFS($W:$W,$A:$A,A1020,$C:$C,C1020)=0,0,SUMIFS(RAW_판매펀칭!$K:$K,RAW_판매펀칭!$P:$P,A1020,RAW_판매펀칭!$I:$I,C1020)*W1020/SUMIFS($W:$W,$A:$A,A1020,$C:$C,C1020))</f>
        <v>110</v>
      </c>
      <c r="R1020" s="47" t="n">
        <f aca="false">IF(OR(A1020="500",A1020="800",A1020="810"),0,MAX(W1020-Q1020,0))</f>
        <v>0</v>
      </c>
      <c r="S1020" s="47" t="n">
        <f aca="false">R1020*L1020</f>
        <v>0</v>
      </c>
      <c r="T1020" s="47" t="n">
        <f aca="false">R1020*J1020</f>
        <v>0</v>
      </c>
      <c r="U1020" s="47" t="n">
        <f aca="false">R1020*K1020</f>
        <v>0</v>
      </c>
      <c r="V1020" s="0" t="str">
        <f aca="false">IF(COUNTIFS($A$2:A1020,A1020,$C$2:C1020,C1020,$D$2:D1020,D1020)&gt;1,"중복","")</f>
        <v/>
      </c>
      <c r="W1020" s="0" t="n">
        <f aca="false">IF(V1020="중복",0,N(D1020))</f>
        <v>110</v>
      </c>
      <c r="X1020" s="0" t="n">
        <f aca="false">IF(COUNTIFS($A$2:A1020,A1020,$C$2:C1020,C1020)=1,ABS(SUMIFS(RAW_발주!$D:$D,RAW_발주!$C:$C,A1020,RAW_발주!$A:$A,C1020)-SUMIFS($W:$W,$A:$A,A1020,$C:$C,C1020)),0)</f>
        <v>0</v>
      </c>
    </row>
    <row r="1021" customFormat="false" ht="15" hidden="false" customHeight="true" outlineLevel="0" collapsed="false">
      <c r="A1021" s="45" t="s">
        <v>1667</v>
      </c>
      <c r="B1021" s="42" t="str">
        <f aca="false">IF(A1021="100","HK",IF(A1021="200","CN",IF(A1021="300","TW","홀세일")))</f>
        <v>홀세일</v>
      </c>
      <c r="C1021" s="45" t="s">
        <v>499</v>
      </c>
      <c r="D1021" s="46" t="n">
        <v>142</v>
      </c>
      <c r="E1021" s="46" t="n">
        <v>169000</v>
      </c>
      <c r="F1021" s="46" t="n">
        <v>41673</v>
      </c>
      <c r="G1021" s="42" t="n">
        <v>3.54</v>
      </c>
      <c r="H1021" s="42" t="n">
        <v>42.3</v>
      </c>
      <c r="I1021" s="42" t="n">
        <v>35.4</v>
      </c>
      <c r="J1021" s="46" t="n">
        <f aca="false">IF(N(E1021)&gt;0,E1021,IF(N(F1021)&gt;0,F1021*요약!$F$27,0))</f>
        <v>169000</v>
      </c>
      <c r="K1021" s="46" t="n">
        <f aca="false">IF(N(F1021)&gt;0,F1021,IF(N(E1021)&gt;0,E1021/요약!$F$27,0))</f>
        <v>41673</v>
      </c>
      <c r="L1021" s="46" t="n">
        <f aca="false">IF(B1021="CN",IF(N(I1021)&gt;0,I1021*요약!$G$27,K1021*(1+요약!$E$27)),IF(N(H1021)&gt;0,H1021*요약!$G$27,J1021*요약!$D$27))</f>
        <v>55836</v>
      </c>
      <c r="M1021" s="46" t="n">
        <f aca="false">D1021*J1021</f>
        <v>23998000</v>
      </c>
      <c r="N1021" s="46" t="n">
        <f aca="false">D1021*K1021</f>
        <v>5917566</v>
      </c>
      <c r="O1021" s="46" t="n">
        <f aca="false">D1021*L1021</f>
        <v>7928712</v>
      </c>
      <c r="P1021" s="42" t="str">
        <f aca="false">TRIM(IF(N(E1021)&lt;=0,"택가보정 ","")&amp;IF(N(F1021)&lt;=0,"원가보정 ","")&amp;IF(AND(B1021&lt;&gt;"CN",N(H1021)&lt;=0),"공급가보정 ","")&amp;IF(AND(B1021="CN",N(I1021)&lt;=0),"중국공급가=원가+마진 ",""))</f>
        <v/>
      </c>
      <c r="Q1021" s="47" t="n">
        <f aca="false">IF(SUMIFS($W:$W,$A:$A,A1021,$C:$C,C1021)=0,0,SUMIFS(RAW_판매펀칭!$K:$K,RAW_판매펀칭!$P:$P,A1021,RAW_판매펀칭!$I:$I,C1021)*W1021/SUMIFS($W:$W,$A:$A,A1021,$C:$C,C1021))</f>
        <v>140</v>
      </c>
      <c r="R1021" s="47" t="n">
        <f aca="false">IF(OR(A1021="500",A1021="800",A1021="810"),0,MAX(W1021-Q1021,0))</f>
        <v>2</v>
      </c>
      <c r="S1021" s="47" t="n">
        <f aca="false">R1021*L1021</f>
        <v>111672</v>
      </c>
      <c r="T1021" s="47" t="n">
        <f aca="false">R1021*J1021</f>
        <v>338000</v>
      </c>
      <c r="U1021" s="47" t="n">
        <f aca="false">R1021*K1021</f>
        <v>83346</v>
      </c>
      <c r="V1021" s="0" t="str">
        <f aca="false">IF(COUNTIFS($A$2:A1021,A1021,$C$2:C1021,C1021,$D$2:D1021,D1021)&gt;1,"중복","")</f>
        <v/>
      </c>
      <c r="W1021" s="0" t="n">
        <f aca="false">IF(V1021="중복",0,N(D1021))</f>
        <v>142</v>
      </c>
      <c r="X1021" s="0" t="n">
        <f aca="false">IF(COUNTIFS($A$2:A1021,A1021,$C$2:C1021,C1021)=1,ABS(SUMIFS(RAW_발주!$D:$D,RAW_발주!$C:$C,A1021,RAW_발주!$A:$A,C1021)-SUMIFS($W:$W,$A:$A,A1021,$C:$C,C1021)),0)</f>
        <v>0</v>
      </c>
    </row>
    <row r="1022" customFormat="false" ht="15" hidden="false" customHeight="true" outlineLevel="0" collapsed="false">
      <c r="A1022" s="45" t="s">
        <v>1659</v>
      </c>
      <c r="B1022" s="42" t="str">
        <f aca="false">IF(A1022="100","HK",IF(A1022="200","CN",IF(A1022="300","TW","홀세일")))</f>
        <v>HK</v>
      </c>
      <c r="C1022" s="45" t="s">
        <v>501</v>
      </c>
      <c r="D1022" s="46" t="n">
        <v>270</v>
      </c>
      <c r="E1022" s="46" t="n">
        <v>189000</v>
      </c>
      <c r="F1022" s="46" t="n">
        <v>46088</v>
      </c>
      <c r="G1022" s="42" t="n">
        <v>3.5</v>
      </c>
      <c r="H1022" s="42" t="n">
        <v>47.3</v>
      </c>
      <c r="I1022" s="42" t="n">
        <v>0</v>
      </c>
      <c r="J1022" s="46" t="n">
        <f aca="false">IF(N(E1022)&gt;0,E1022,IF(N(F1022)&gt;0,F1022*요약!$F$27,0))</f>
        <v>189000</v>
      </c>
      <c r="K1022" s="46" t="n">
        <f aca="false">IF(N(F1022)&gt;0,F1022,IF(N(E1022)&gt;0,E1022/요약!$F$27,0))</f>
        <v>46088</v>
      </c>
      <c r="L1022" s="46" t="n">
        <f aca="false">IF(B1022="CN",IF(N(I1022)&gt;0,I1022*요약!$G$27,K1022*(1+요약!$E$27)),IF(N(H1022)&gt;0,H1022*요약!$G$27,J1022*요약!$D$27))</f>
        <v>62436</v>
      </c>
      <c r="M1022" s="46" t="n">
        <f aca="false">D1022*J1022</f>
        <v>51030000</v>
      </c>
      <c r="N1022" s="46" t="n">
        <f aca="false">D1022*K1022</f>
        <v>12443760</v>
      </c>
      <c r="O1022" s="46" t="n">
        <f aca="false">D1022*L1022</f>
        <v>16857720</v>
      </c>
      <c r="P1022" s="42" t="str">
        <f aca="false">TRIM(IF(N(E1022)&lt;=0,"택가보정 ","")&amp;IF(N(F1022)&lt;=0,"원가보정 ","")&amp;IF(AND(B1022&lt;&gt;"CN",N(H1022)&lt;=0),"공급가보정 ","")&amp;IF(AND(B1022="CN",N(I1022)&lt;=0),"중국공급가=원가+마진 ",""))</f>
        <v/>
      </c>
      <c r="Q1022" s="47" t="n">
        <f aca="false">IF(SUMIFS($W:$W,$A:$A,A1022,$C:$C,C1022)=0,0,SUMIFS(RAW_판매펀칭!$K:$K,RAW_판매펀칭!$P:$P,A1022,RAW_판매펀칭!$I:$I,C1022)*W1022/SUMIFS($W:$W,$A:$A,A1022,$C:$C,C1022))</f>
        <v>270</v>
      </c>
      <c r="R1022" s="47" t="n">
        <f aca="false">IF(OR(A1022="500",A1022="800",A1022="810"),0,MAX(W1022-Q1022,0))</f>
        <v>0</v>
      </c>
      <c r="S1022" s="47" t="n">
        <f aca="false">R1022*L1022</f>
        <v>0</v>
      </c>
      <c r="T1022" s="47" t="n">
        <f aca="false">R1022*J1022</f>
        <v>0</v>
      </c>
      <c r="U1022" s="47" t="n">
        <f aca="false">R1022*K1022</f>
        <v>0</v>
      </c>
      <c r="V1022" s="0" t="str">
        <f aca="false">IF(COUNTIFS($A$2:A1022,A1022,$C$2:C1022,C1022,$D$2:D1022,D1022)&gt;1,"중복","")</f>
        <v/>
      </c>
      <c r="W1022" s="0" t="n">
        <f aca="false">IF(V1022="중복",0,N(D1022))</f>
        <v>270</v>
      </c>
      <c r="X1022" s="0" t="n">
        <f aca="false">IF(COUNTIFS($A$2:A1022,A1022,$C$2:C1022,C1022)=1,ABS(SUMIFS(RAW_발주!$D:$D,RAW_발주!$C:$C,A1022,RAW_발주!$A:$A,C1022)-SUMIFS($W:$W,$A:$A,A1022,$C:$C,C1022)),0)</f>
        <v>0</v>
      </c>
    </row>
    <row r="1023" customFormat="false" ht="15" hidden="false" customHeight="true" outlineLevel="0" collapsed="false">
      <c r="A1023" s="45" t="s">
        <v>1661</v>
      </c>
      <c r="B1023" s="42" t="str">
        <f aca="false">IF(A1023="100","HK",IF(A1023="200","CN",IF(A1023="300","TW","홀세일")))</f>
        <v>TW</v>
      </c>
      <c r="C1023" s="45" t="s">
        <v>501</v>
      </c>
      <c r="D1023" s="46" t="n">
        <v>800</v>
      </c>
      <c r="E1023" s="46" t="n">
        <v>189000</v>
      </c>
      <c r="F1023" s="46" t="n">
        <v>46088</v>
      </c>
      <c r="G1023" s="42" t="n">
        <v>3.5</v>
      </c>
      <c r="H1023" s="42" t="n">
        <v>47.3</v>
      </c>
      <c r="I1023" s="42" t="n">
        <v>0</v>
      </c>
      <c r="J1023" s="46" t="n">
        <f aca="false">IF(N(E1023)&gt;0,E1023,IF(N(F1023)&gt;0,F1023*요약!$F$27,0))</f>
        <v>189000</v>
      </c>
      <c r="K1023" s="46" t="n">
        <f aca="false">IF(N(F1023)&gt;0,F1023,IF(N(E1023)&gt;0,E1023/요약!$F$27,0))</f>
        <v>46088</v>
      </c>
      <c r="L1023" s="46" t="n">
        <f aca="false">IF(B1023="CN",IF(N(I1023)&gt;0,I1023*요약!$G$27,K1023*(1+요약!$E$27)),IF(N(H1023)&gt;0,H1023*요약!$G$27,J1023*요약!$D$27))</f>
        <v>62436</v>
      </c>
      <c r="M1023" s="46" t="n">
        <f aca="false">D1023*J1023</f>
        <v>151200000</v>
      </c>
      <c r="N1023" s="46" t="n">
        <f aca="false">D1023*K1023</f>
        <v>36870400</v>
      </c>
      <c r="O1023" s="46" t="n">
        <f aca="false">D1023*L1023</f>
        <v>49948800</v>
      </c>
      <c r="P1023" s="42" t="str">
        <f aca="false">TRIM(IF(N(E1023)&lt;=0,"택가보정 ","")&amp;IF(N(F1023)&lt;=0,"원가보정 ","")&amp;IF(AND(B1023&lt;&gt;"CN",N(H1023)&lt;=0),"공급가보정 ","")&amp;IF(AND(B1023="CN",N(I1023)&lt;=0),"중국공급가=원가+마진 ",""))</f>
        <v/>
      </c>
      <c r="Q1023" s="47" t="n">
        <f aca="false">IF(SUMIFS($W:$W,$A:$A,A1023,$C:$C,C1023)=0,0,SUMIFS(RAW_판매펀칭!$K:$K,RAW_판매펀칭!$P:$P,A1023,RAW_판매펀칭!$I:$I,C1023)*W1023/SUMIFS($W:$W,$A:$A,A1023,$C:$C,C1023))</f>
        <v>800</v>
      </c>
      <c r="R1023" s="47" t="n">
        <f aca="false">IF(OR(A1023="500",A1023="800",A1023="810"),0,MAX(W1023-Q1023,0))</f>
        <v>0</v>
      </c>
      <c r="S1023" s="47" t="n">
        <f aca="false">R1023*L1023</f>
        <v>0</v>
      </c>
      <c r="T1023" s="47" t="n">
        <f aca="false">R1023*J1023</f>
        <v>0</v>
      </c>
      <c r="U1023" s="47" t="n">
        <f aca="false">R1023*K1023</f>
        <v>0</v>
      </c>
      <c r="V1023" s="0" t="str">
        <f aca="false">IF(COUNTIFS($A$2:A1023,A1023,$C$2:C1023,C1023,$D$2:D1023,D1023)&gt;1,"중복","")</f>
        <v/>
      </c>
      <c r="W1023" s="0" t="n">
        <f aca="false">IF(V1023="중복",0,N(D1023))</f>
        <v>800</v>
      </c>
      <c r="X1023" s="0" t="n">
        <f aca="false">IF(COUNTIFS($A$2:A1023,A1023,$C$2:C1023,C1023)=1,ABS(SUMIFS(RAW_발주!$D:$D,RAW_발주!$C:$C,A1023,RAW_발주!$A:$A,C1023)-SUMIFS($W:$W,$A:$A,A1023,$C:$C,C1023)),0)</f>
        <v>0</v>
      </c>
    </row>
    <row r="1024" customFormat="false" ht="15" hidden="false" customHeight="true" outlineLevel="0" collapsed="false">
      <c r="A1024" s="45" t="s">
        <v>1663</v>
      </c>
      <c r="B1024" s="42" t="str">
        <f aca="false">IF(A1024="100","HK",IF(A1024="200","CN",IF(A1024="300","TW","홀세일")))</f>
        <v>홀세일</v>
      </c>
      <c r="C1024" s="45" t="s">
        <v>501</v>
      </c>
      <c r="D1024" s="46" t="n">
        <v>25</v>
      </c>
      <c r="E1024" s="46" t="n">
        <v>189000</v>
      </c>
      <c r="F1024" s="46" t="n">
        <v>46088</v>
      </c>
      <c r="G1024" s="42" t="n">
        <v>3.5</v>
      </c>
      <c r="H1024" s="42" t="n">
        <v>47.3</v>
      </c>
      <c r="I1024" s="42" t="n">
        <v>0</v>
      </c>
      <c r="J1024" s="46" t="n">
        <f aca="false">IF(N(E1024)&gt;0,E1024,IF(N(F1024)&gt;0,F1024*요약!$F$27,0))</f>
        <v>189000</v>
      </c>
      <c r="K1024" s="46" t="n">
        <f aca="false">IF(N(F1024)&gt;0,F1024,IF(N(E1024)&gt;0,E1024/요약!$F$27,0))</f>
        <v>46088</v>
      </c>
      <c r="L1024" s="46" t="n">
        <f aca="false">IF(B1024="CN",IF(N(I1024)&gt;0,I1024*요약!$G$27,K1024*(1+요약!$E$27)),IF(N(H1024)&gt;0,H1024*요약!$G$27,J1024*요약!$D$27))</f>
        <v>62436</v>
      </c>
      <c r="M1024" s="46" t="n">
        <f aca="false">D1024*J1024</f>
        <v>4725000</v>
      </c>
      <c r="N1024" s="46" t="n">
        <f aca="false">D1024*K1024</f>
        <v>1152200</v>
      </c>
      <c r="O1024" s="46" t="n">
        <f aca="false">D1024*L1024</f>
        <v>1560900</v>
      </c>
      <c r="P1024" s="42" t="str">
        <f aca="false">TRIM(IF(N(E1024)&lt;=0,"택가보정 ","")&amp;IF(N(F1024)&lt;=0,"원가보정 ","")&amp;IF(AND(B1024&lt;&gt;"CN",N(H1024)&lt;=0),"공급가보정 ","")&amp;IF(AND(B1024="CN",N(I1024)&lt;=0),"중국공급가=원가+마진 ",""))</f>
        <v/>
      </c>
      <c r="Q1024" s="47" t="n">
        <f aca="false">IF(SUMIFS($W:$W,$A:$A,A1024,$C:$C,C1024)=0,0,SUMIFS(RAW_판매펀칭!$K:$K,RAW_판매펀칭!$P:$P,A1024,RAW_판매펀칭!$I:$I,C1024)*W1024/SUMIFS($W:$W,$A:$A,A1024,$C:$C,C1024))</f>
        <v>25</v>
      </c>
      <c r="R1024" s="47" t="n">
        <f aca="false">IF(OR(A1024="500",A1024="800",A1024="810"),0,MAX(W1024-Q1024,0))</f>
        <v>0</v>
      </c>
      <c r="S1024" s="47" t="n">
        <f aca="false">R1024*L1024</f>
        <v>0</v>
      </c>
      <c r="T1024" s="47" t="n">
        <f aca="false">R1024*J1024</f>
        <v>0</v>
      </c>
      <c r="U1024" s="47" t="n">
        <f aca="false">R1024*K1024</f>
        <v>0</v>
      </c>
      <c r="V1024" s="0" t="str">
        <f aca="false">IF(COUNTIFS($A$2:A1024,A1024,$C$2:C1024,C1024,$D$2:D1024,D1024)&gt;1,"중복","")</f>
        <v/>
      </c>
      <c r="W1024" s="0" t="n">
        <f aca="false">IF(V1024="중복",0,N(D1024))</f>
        <v>25</v>
      </c>
      <c r="X1024" s="0" t="n">
        <f aca="false">IF(COUNTIFS($A$2:A1024,A1024,$C$2:C1024,C1024)=1,ABS(SUMIFS(RAW_발주!$D:$D,RAW_발주!$C:$C,A1024,RAW_발주!$A:$A,C1024)-SUMIFS($W:$W,$A:$A,A1024,$C:$C,C1024)),0)</f>
        <v>0</v>
      </c>
    </row>
    <row r="1025" customFormat="false" ht="15" hidden="false" customHeight="true" outlineLevel="0" collapsed="false">
      <c r="A1025" s="45" t="s">
        <v>1667</v>
      </c>
      <c r="B1025" s="42" t="str">
        <f aca="false">IF(A1025="100","HK",IF(A1025="200","CN",IF(A1025="300","TW","홀세일")))</f>
        <v>홀세일</v>
      </c>
      <c r="C1025" s="45" t="s">
        <v>501</v>
      </c>
      <c r="D1025" s="46" t="n">
        <v>76</v>
      </c>
      <c r="E1025" s="46" t="n">
        <v>189000</v>
      </c>
      <c r="F1025" s="46" t="n">
        <v>46088</v>
      </c>
      <c r="G1025" s="42" t="n">
        <v>3.5</v>
      </c>
      <c r="H1025" s="42" t="n">
        <v>47.3</v>
      </c>
      <c r="I1025" s="42" t="n">
        <v>0</v>
      </c>
      <c r="J1025" s="46" t="n">
        <f aca="false">IF(N(E1025)&gt;0,E1025,IF(N(F1025)&gt;0,F1025*요약!$F$27,0))</f>
        <v>189000</v>
      </c>
      <c r="K1025" s="46" t="n">
        <f aca="false">IF(N(F1025)&gt;0,F1025,IF(N(E1025)&gt;0,E1025/요약!$F$27,0))</f>
        <v>46088</v>
      </c>
      <c r="L1025" s="46" t="n">
        <f aca="false">IF(B1025="CN",IF(N(I1025)&gt;0,I1025*요약!$G$27,K1025*(1+요약!$E$27)),IF(N(H1025)&gt;0,H1025*요약!$G$27,J1025*요약!$D$27))</f>
        <v>62436</v>
      </c>
      <c r="M1025" s="46" t="n">
        <f aca="false">D1025*J1025</f>
        <v>14364000</v>
      </c>
      <c r="N1025" s="46" t="n">
        <f aca="false">D1025*K1025</f>
        <v>3502688</v>
      </c>
      <c r="O1025" s="46" t="n">
        <f aca="false">D1025*L1025</f>
        <v>4745136</v>
      </c>
      <c r="P1025" s="42" t="str">
        <f aca="false">TRIM(IF(N(E1025)&lt;=0,"택가보정 ","")&amp;IF(N(F1025)&lt;=0,"원가보정 ","")&amp;IF(AND(B1025&lt;&gt;"CN",N(H1025)&lt;=0),"공급가보정 ","")&amp;IF(AND(B1025="CN",N(I1025)&lt;=0),"중국공급가=원가+마진 ",""))</f>
        <v/>
      </c>
      <c r="Q1025" s="47" t="n">
        <f aca="false">IF(SUMIFS($W:$W,$A:$A,A1025,$C:$C,C1025)=0,0,SUMIFS(RAW_판매펀칭!$K:$K,RAW_판매펀칭!$P:$P,A1025,RAW_판매펀칭!$I:$I,C1025)*W1025/SUMIFS($W:$W,$A:$A,A1025,$C:$C,C1025))</f>
        <v>75</v>
      </c>
      <c r="R1025" s="47" t="n">
        <f aca="false">IF(OR(A1025="500",A1025="800",A1025="810"),0,MAX(W1025-Q1025,0))</f>
        <v>1</v>
      </c>
      <c r="S1025" s="47" t="n">
        <f aca="false">R1025*L1025</f>
        <v>62436</v>
      </c>
      <c r="T1025" s="47" t="n">
        <f aca="false">R1025*J1025</f>
        <v>189000</v>
      </c>
      <c r="U1025" s="47" t="n">
        <f aca="false">R1025*K1025</f>
        <v>46088</v>
      </c>
      <c r="V1025" s="0" t="str">
        <f aca="false">IF(COUNTIFS($A$2:A1025,A1025,$C$2:C1025,C1025,$D$2:D1025,D1025)&gt;1,"중복","")</f>
        <v/>
      </c>
      <c r="W1025" s="0" t="n">
        <f aca="false">IF(V1025="중복",0,N(D1025))</f>
        <v>76</v>
      </c>
      <c r="X1025" s="0" t="n">
        <f aca="false">IF(COUNTIFS($A$2:A1025,A1025,$C$2:C1025,C1025)=1,ABS(SUMIFS(RAW_발주!$D:$D,RAW_발주!$C:$C,A1025,RAW_발주!$A:$A,C1025)-SUMIFS($W:$W,$A:$A,A1025,$C:$C,C1025)),0)</f>
        <v>0</v>
      </c>
    </row>
    <row r="1026" customFormat="false" ht="15" hidden="false" customHeight="true" outlineLevel="0" collapsed="false">
      <c r="A1026" s="45" t="s">
        <v>1661</v>
      </c>
      <c r="B1026" s="42" t="str">
        <f aca="false">IF(A1026="100","HK",IF(A1026="200","CN",IF(A1026="300","TW","홀세일")))</f>
        <v>TW</v>
      </c>
      <c r="C1026" s="45" t="s">
        <v>1688</v>
      </c>
      <c r="D1026" s="46" t="n">
        <v>560</v>
      </c>
      <c r="E1026" s="46" t="n">
        <v>199000</v>
      </c>
      <c r="F1026" s="46" t="n">
        <v>48300</v>
      </c>
      <c r="G1026" s="42" t="n">
        <v>3.75</v>
      </c>
      <c r="H1026" s="42" t="n">
        <v>51.2</v>
      </c>
      <c r="I1026" s="42" t="n">
        <v>0</v>
      </c>
      <c r="J1026" s="46" t="n">
        <f aca="false">IF(N(E1026)&gt;0,E1026,IF(N(F1026)&gt;0,F1026*요약!$F$27,0))</f>
        <v>199000</v>
      </c>
      <c r="K1026" s="46" t="n">
        <f aca="false">IF(N(F1026)&gt;0,F1026,IF(N(E1026)&gt;0,E1026/요약!$F$27,0))</f>
        <v>48300</v>
      </c>
      <c r="L1026" s="46" t="n">
        <f aca="false">IF(B1026="CN",IF(N(I1026)&gt;0,I1026*요약!$G$27,K1026*(1+요약!$E$27)),IF(N(H1026)&gt;0,H1026*요약!$G$27,J1026*요약!$D$27))</f>
        <v>67584</v>
      </c>
      <c r="M1026" s="46" t="n">
        <f aca="false">D1026*J1026</f>
        <v>111440000</v>
      </c>
      <c r="N1026" s="46" t="n">
        <f aca="false">D1026*K1026</f>
        <v>27048000</v>
      </c>
      <c r="O1026" s="46" t="n">
        <f aca="false">D1026*L1026</f>
        <v>37847040</v>
      </c>
      <c r="P1026" s="42" t="str">
        <f aca="false">TRIM(IF(N(E1026)&lt;=0,"택가보정 ","")&amp;IF(N(F1026)&lt;=0,"원가보정 ","")&amp;IF(AND(B1026&lt;&gt;"CN",N(H1026)&lt;=0),"공급가보정 ","")&amp;IF(AND(B1026="CN",N(I1026)&lt;=0),"중국공급가=원가+마진 ",""))</f>
        <v/>
      </c>
      <c r="Q1026" s="47" t="n">
        <f aca="false">IF(SUMIFS($W:$W,$A:$A,A1026,$C:$C,C1026)=0,0,SUMIFS(RAW_판매펀칭!$K:$K,RAW_판매펀칭!$P:$P,A1026,RAW_판매펀칭!$I:$I,C1026)*W1026/SUMIFS($W:$W,$A:$A,A1026,$C:$C,C1026))</f>
        <v>0</v>
      </c>
      <c r="R1026" s="47" t="n">
        <f aca="false">IF(OR(A1026="500",A1026="800",A1026="810"),0,MAX(W1026-Q1026,0))</f>
        <v>560</v>
      </c>
      <c r="S1026" s="47" t="n">
        <f aca="false">R1026*L1026</f>
        <v>37847040</v>
      </c>
      <c r="T1026" s="47" t="n">
        <f aca="false">R1026*J1026</f>
        <v>111440000</v>
      </c>
      <c r="U1026" s="47" t="n">
        <f aca="false">R1026*K1026</f>
        <v>27048000</v>
      </c>
      <c r="V1026" s="0" t="str">
        <f aca="false">IF(COUNTIFS($A$2:A1026,A1026,$C$2:C1026,C1026,$D$2:D1026,D1026)&gt;1,"중복","")</f>
        <v/>
      </c>
      <c r="W1026" s="0" t="n">
        <f aca="false">IF(V1026="중복",0,N(D1026))</f>
        <v>560</v>
      </c>
      <c r="X1026" s="0" t="n">
        <f aca="false">IF(COUNTIFS($A$2:A1026,A1026,$C$2:C1026,C1026)=1,ABS(SUMIFS(RAW_발주!$D:$D,RAW_발주!$C:$C,A1026,RAW_발주!$A:$A,C1026)-SUMIFS($W:$W,$A:$A,A1026,$C:$C,C1026)),0)</f>
        <v>0</v>
      </c>
    </row>
    <row r="1027" customFormat="false" ht="15" hidden="false" customHeight="true" outlineLevel="0" collapsed="false">
      <c r="A1027" s="45" t="s">
        <v>1659</v>
      </c>
      <c r="B1027" s="42" t="str">
        <f aca="false">IF(A1027="100","HK",IF(A1027="200","CN",IF(A1027="300","TW","홀세일")))</f>
        <v>HK</v>
      </c>
      <c r="C1027" s="45" t="s">
        <v>918</v>
      </c>
      <c r="D1027" s="46" t="n">
        <v>420</v>
      </c>
      <c r="E1027" s="46" t="n">
        <v>219000</v>
      </c>
      <c r="F1027" s="46" t="n">
        <v>68435</v>
      </c>
      <c r="G1027" s="42" t="n">
        <v>4.2</v>
      </c>
      <c r="H1027" s="42" t="n">
        <v>54.9</v>
      </c>
      <c r="I1027" s="42" t="n">
        <v>0</v>
      </c>
      <c r="J1027" s="46" t="n">
        <f aca="false">IF(N(E1027)&gt;0,E1027,IF(N(F1027)&gt;0,F1027*요약!$F$27,0))</f>
        <v>219000</v>
      </c>
      <c r="K1027" s="46" t="n">
        <f aca="false">IF(N(F1027)&gt;0,F1027,IF(N(E1027)&gt;0,E1027/요약!$F$27,0))</f>
        <v>68435</v>
      </c>
      <c r="L1027" s="46" t="n">
        <f aca="false">IF(B1027="CN",IF(N(I1027)&gt;0,I1027*요약!$G$27,K1027*(1+요약!$E$27)),IF(N(H1027)&gt;0,H1027*요약!$G$27,J1027*요약!$D$27))</f>
        <v>72468</v>
      </c>
      <c r="M1027" s="46" t="n">
        <f aca="false">D1027*J1027</f>
        <v>91980000</v>
      </c>
      <c r="N1027" s="46" t="n">
        <f aca="false">D1027*K1027</f>
        <v>28742700</v>
      </c>
      <c r="O1027" s="46" t="n">
        <f aca="false">D1027*L1027</f>
        <v>30436560</v>
      </c>
      <c r="P1027" s="42" t="str">
        <f aca="false">TRIM(IF(N(E1027)&lt;=0,"택가보정 ","")&amp;IF(N(F1027)&lt;=0,"원가보정 ","")&amp;IF(AND(B1027&lt;&gt;"CN",N(H1027)&lt;=0),"공급가보정 ","")&amp;IF(AND(B1027="CN",N(I1027)&lt;=0),"중국공급가=원가+마진 ",""))</f>
        <v/>
      </c>
      <c r="Q1027" s="47" t="n">
        <f aca="false">IF(SUMIFS($W:$W,$A:$A,A1027,$C:$C,C1027)=0,0,SUMIFS(RAW_판매펀칭!$K:$K,RAW_판매펀칭!$P:$P,A1027,RAW_판매펀칭!$I:$I,C1027)*W1027/SUMIFS($W:$W,$A:$A,A1027,$C:$C,C1027))</f>
        <v>420</v>
      </c>
      <c r="R1027" s="47" t="n">
        <f aca="false">IF(OR(A1027="500",A1027="800",A1027="810"),0,MAX(W1027-Q1027,0))</f>
        <v>0</v>
      </c>
      <c r="S1027" s="47" t="n">
        <f aca="false">R1027*L1027</f>
        <v>0</v>
      </c>
      <c r="T1027" s="47" t="n">
        <f aca="false">R1027*J1027</f>
        <v>0</v>
      </c>
      <c r="U1027" s="47" t="n">
        <f aca="false">R1027*K1027</f>
        <v>0</v>
      </c>
      <c r="V1027" s="0" t="str">
        <f aca="false">IF(COUNTIFS($A$2:A1027,A1027,$C$2:C1027,C1027,$D$2:D1027,D1027)&gt;1,"중복","")</f>
        <v/>
      </c>
      <c r="W1027" s="0" t="n">
        <f aca="false">IF(V1027="중복",0,N(D1027))</f>
        <v>420</v>
      </c>
      <c r="X1027" s="0" t="n">
        <f aca="false">IF(COUNTIFS($A$2:A1027,A1027,$C$2:C1027,C1027)=1,ABS(SUMIFS(RAW_발주!$D:$D,RAW_발주!$C:$C,A1027,RAW_발주!$A:$A,C1027)-SUMIFS($W:$W,$A:$A,A1027,$C:$C,C1027)),0)</f>
        <v>0</v>
      </c>
    </row>
    <row r="1028" customFormat="false" ht="15" hidden="false" customHeight="true" outlineLevel="0" collapsed="false">
      <c r="A1028" s="45" t="s">
        <v>1664</v>
      </c>
      <c r="B1028" s="42" t="str">
        <f aca="false">IF(A1028="100","HK",IF(A1028="200","CN",IF(A1028="300","TW","홀세일")))</f>
        <v>홀세일</v>
      </c>
      <c r="C1028" s="45" t="s">
        <v>918</v>
      </c>
      <c r="D1028" s="46" t="n">
        <v>60</v>
      </c>
      <c r="E1028" s="46" t="n">
        <v>219000</v>
      </c>
      <c r="F1028" s="46" t="n">
        <v>68435</v>
      </c>
      <c r="G1028" s="42" t="n">
        <v>4.2</v>
      </c>
      <c r="H1028" s="42" t="n">
        <v>54.9</v>
      </c>
      <c r="I1028" s="42" t="n">
        <v>0</v>
      </c>
      <c r="J1028" s="46" t="n">
        <f aca="false">IF(N(E1028)&gt;0,E1028,IF(N(F1028)&gt;0,F1028*요약!$F$27,0))</f>
        <v>219000</v>
      </c>
      <c r="K1028" s="46" t="n">
        <f aca="false">IF(N(F1028)&gt;0,F1028,IF(N(E1028)&gt;0,E1028/요약!$F$27,0))</f>
        <v>68435</v>
      </c>
      <c r="L1028" s="46" t="n">
        <f aca="false">IF(B1028="CN",IF(N(I1028)&gt;0,I1028*요약!$G$27,K1028*(1+요약!$E$27)),IF(N(H1028)&gt;0,H1028*요약!$G$27,J1028*요약!$D$27))</f>
        <v>72468</v>
      </c>
      <c r="M1028" s="46" t="n">
        <f aca="false">D1028*J1028</f>
        <v>13140000</v>
      </c>
      <c r="N1028" s="46" t="n">
        <f aca="false">D1028*K1028</f>
        <v>4106100</v>
      </c>
      <c r="O1028" s="46" t="n">
        <f aca="false">D1028*L1028</f>
        <v>4348080</v>
      </c>
      <c r="P1028" s="42" t="str">
        <f aca="false">TRIM(IF(N(E1028)&lt;=0,"택가보정 ","")&amp;IF(N(F1028)&lt;=0,"원가보정 ","")&amp;IF(AND(B1028&lt;&gt;"CN",N(H1028)&lt;=0),"공급가보정 ","")&amp;IF(AND(B1028="CN",N(I1028)&lt;=0),"중국공급가=원가+마진 ",""))</f>
        <v/>
      </c>
      <c r="Q1028" s="47" t="n">
        <f aca="false">IF(SUMIFS($W:$W,$A:$A,A1028,$C:$C,C1028)=0,0,SUMIFS(RAW_판매펀칭!$K:$K,RAW_판매펀칭!$P:$P,A1028,RAW_판매펀칭!$I:$I,C1028)*W1028/SUMIFS($W:$W,$A:$A,A1028,$C:$C,C1028))</f>
        <v>0</v>
      </c>
      <c r="R1028" s="47" t="n">
        <f aca="false">IF(OR(A1028="500",A1028="800",A1028="810"),0,MAX(W1028-Q1028,0))</f>
        <v>0</v>
      </c>
      <c r="S1028" s="47" t="n">
        <f aca="false">R1028*L1028</f>
        <v>0</v>
      </c>
      <c r="T1028" s="47" t="n">
        <f aca="false">R1028*J1028</f>
        <v>0</v>
      </c>
      <c r="U1028" s="47" t="n">
        <f aca="false">R1028*K1028</f>
        <v>0</v>
      </c>
      <c r="V1028" s="0" t="str">
        <f aca="false">IF(COUNTIFS($A$2:A1028,A1028,$C$2:C1028,C1028,$D$2:D1028,D1028)&gt;1,"중복","")</f>
        <v/>
      </c>
      <c r="W1028" s="0" t="n">
        <f aca="false">IF(V1028="중복",0,N(D1028))</f>
        <v>60</v>
      </c>
      <c r="X1028" s="0" t="n">
        <f aca="false">IF(COUNTIFS($A$2:A1028,A1028,$C$2:C1028,C1028)=1,ABS(SUMIFS(RAW_발주!$D:$D,RAW_발주!$C:$C,A1028,RAW_발주!$A:$A,C1028)-SUMIFS($W:$W,$A:$A,A1028,$C:$C,C1028)),0)</f>
        <v>0</v>
      </c>
    </row>
    <row r="1029" customFormat="false" ht="15" hidden="false" customHeight="true" outlineLevel="0" collapsed="false">
      <c r="A1029" s="45" t="s">
        <v>1659</v>
      </c>
      <c r="B1029" s="42" t="str">
        <f aca="false">IF(A1029="100","HK",IF(A1029="200","CN",IF(A1029="300","TW","홀세일")))</f>
        <v>HK</v>
      </c>
      <c r="C1029" s="45" t="s">
        <v>920</v>
      </c>
      <c r="D1029" s="46" t="n">
        <v>200</v>
      </c>
      <c r="E1029" s="46" t="n">
        <v>279000</v>
      </c>
      <c r="F1029" s="46" t="n">
        <v>78361</v>
      </c>
      <c r="G1029" s="42" t="n">
        <v>4.82</v>
      </c>
      <c r="H1029" s="42" t="n">
        <v>69.9</v>
      </c>
      <c r="I1029" s="42" t="n">
        <v>66.8</v>
      </c>
      <c r="J1029" s="46" t="n">
        <f aca="false">IF(N(E1029)&gt;0,E1029,IF(N(F1029)&gt;0,F1029*요약!$F$27,0))</f>
        <v>279000</v>
      </c>
      <c r="K1029" s="46" t="n">
        <f aca="false">IF(N(F1029)&gt;0,F1029,IF(N(E1029)&gt;0,E1029/요약!$F$27,0))</f>
        <v>78361</v>
      </c>
      <c r="L1029" s="46" t="n">
        <f aca="false">IF(B1029="CN",IF(N(I1029)&gt;0,I1029*요약!$G$27,K1029*(1+요약!$E$27)),IF(N(H1029)&gt;0,H1029*요약!$G$27,J1029*요약!$D$27))</f>
        <v>92268</v>
      </c>
      <c r="M1029" s="46" t="n">
        <f aca="false">D1029*J1029</f>
        <v>55800000</v>
      </c>
      <c r="N1029" s="46" t="n">
        <f aca="false">D1029*K1029</f>
        <v>15672200</v>
      </c>
      <c r="O1029" s="46" t="n">
        <f aca="false">D1029*L1029</f>
        <v>18453600</v>
      </c>
      <c r="P1029" s="42" t="str">
        <f aca="false">TRIM(IF(N(E1029)&lt;=0,"택가보정 ","")&amp;IF(N(F1029)&lt;=0,"원가보정 ","")&amp;IF(AND(B1029&lt;&gt;"CN",N(H1029)&lt;=0),"공급가보정 ","")&amp;IF(AND(B1029="CN",N(I1029)&lt;=0),"중국공급가=원가+마진 ",""))</f>
        <v/>
      </c>
      <c r="Q1029" s="47" t="n">
        <f aca="false">IF(SUMIFS($W:$W,$A:$A,A1029,$C:$C,C1029)=0,0,SUMIFS(RAW_판매펀칭!$K:$K,RAW_판매펀칭!$P:$P,A1029,RAW_판매펀칭!$I:$I,C1029)*W1029/SUMIFS($W:$W,$A:$A,A1029,$C:$C,C1029))</f>
        <v>194</v>
      </c>
      <c r="R1029" s="47" t="n">
        <f aca="false">IF(OR(A1029="500",A1029="800",A1029="810"),0,MAX(W1029-Q1029,0))</f>
        <v>6</v>
      </c>
      <c r="S1029" s="47" t="n">
        <f aca="false">R1029*L1029</f>
        <v>553608</v>
      </c>
      <c r="T1029" s="47" t="n">
        <f aca="false">R1029*J1029</f>
        <v>1674000</v>
      </c>
      <c r="U1029" s="47" t="n">
        <f aca="false">R1029*K1029</f>
        <v>470166</v>
      </c>
      <c r="V1029" s="0" t="str">
        <f aca="false">IF(COUNTIFS($A$2:A1029,A1029,$C$2:C1029,C1029,$D$2:D1029,D1029)&gt;1,"중복","")</f>
        <v/>
      </c>
      <c r="W1029" s="0" t="n">
        <f aca="false">IF(V1029="중복",0,N(D1029))</f>
        <v>200</v>
      </c>
      <c r="X1029" s="0" t="n">
        <f aca="false">IF(COUNTIFS($A$2:A1029,A1029,$C$2:C1029,C1029)=1,ABS(SUMIFS(RAW_발주!$D:$D,RAW_발주!$C:$C,A1029,RAW_발주!$A:$A,C1029)-SUMIFS($W:$W,$A:$A,A1029,$C:$C,C1029)),0)</f>
        <v>0</v>
      </c>
    </row>
    <row r="1030" customFormat="false" ht="15" hidden="false" customHeight="true" outlineLevel="0" collapsed="false">
      <c r="A1030" s="45" t="s">
        <v>1664</v>
      </c>
      <c r="B1030" s="42" t="str">
        <f aca="false">IF(A1030="100","HK",IF(A1030="200","CN",IF(A1030="300","TW","홀세일")))</f>
        <v>홀세일</v>
      </c>
      <c r="C1030" s="45" t="s">
        <v>920</v>
      </c>
      <c r="D1030" s="46" t="n">
        <v>110</v>
      </c>
      <c r="E1030" s="46" t="n">
        <v>279000</v>
      </c>
      <c r="F1030" s="46" t="n">
        <v>78361</v>
      </c>
      <c r="G1030" s="42" t="n">
        <v>4.82</v>
      </c>
      <c r="H1030" s="42" t="n">
        <v>69.9</v>
      </c>
      <c r="I1030" s="42" t="n">
        <v>66.8</v>
      </c>
      <c r="J1030" s="46" t="n">
        <f aca="false">IF(N(E1030)&gt;0,E1030,IF(N(F1030)&gt;0,F1030*요약!$F$27,0))</f>
        <v>279000</v>
      </c>
      <c r="K1030" s="46" t="n">
        <f aca="false">IF(N(F1030)&gt;0,F1030,IF(N(E1030)&gt;0,E1030/요약!$F$27,0))</f>
        <v>78361</v>
      </c>
      <c r="L1030" s="46" t="n">
        <f aca="false">IF(B1030="CN",IF(N(I1030)&gt;0,I1030*요약!$G$27,K1030*(1+요약!$E$27)),IF(N(H1030)&gt;0,H1030*요약!$G$27,J1030*요약!$D$27))</f>
        <v>92268</v>
      </c>
      <c r="M1030" s="46" t="n">
        <f aca="false">D1030*J1030</f>
        <v>30690000</v>
      </c>
      <c r="N1030" s="46" t="n">
        <f aca="false">D1030*K1030</f>
        <v>8619710</v>
      </c>
      <c r="O1030" s="46" t="n">
        <f aca="false">D1030*L1030</f>
        <v>10149480</v>
      </c>
      <c r="P1030" s="42" t="str">
        <f aca="false">TRIM(IF(N(E1030)&lt;=0,"택가보정 ","")&amp;IF(N(F1030)&lt;=0,"원가보정 ","")&amp;IF(AND(B1030&lt;&gt;"CN",N(H1030)&lt;=0),"공급가보정 ","")&amp;IF(AND(B1030="CN",N(I1030)&lt;=0),"중국공급가=원가+마진 ",""))</f>
        <v/>
      </c>
      <c r="Q1030" s="47" t="n">
        <f aca="false">IF(SUMIFS($W:$W,$A:$A,A1030,$C:$C,C1030)=0,0,SUMIFS(RAW_판매펀칭!$K:$K,RAW_판매펀칭!$P:$P,A1030,RAW_판매펀칭!$I:$I,C1030)*W1030/SUMIFS($W:$W,$A:$A,A1030,$C:$C,C1030))</f>
        <v>0</v>
      </c>
      <c r="R1030" s="47" t="n">
        <f aca="false">IF(OR(A1030="500",A1030="800",A1030="810"),0,MAX(W1030-Q1030,0))</f>
        <v>0</v>
      </c>
      <c r="S1030" s="47" t="n">
        <f aca="false">R1030*L1030</f>
        <v>0</v>
      </c>
      <c r="T1030" s="47" t="n">
        <f aca="false">R1030*J1030</f>
        <v>0</v>
      </c>
      <c r="U1030" s="47" t="n">
        <f aca="false">R1030*K1030</f>
        <v>0</v>
      </c>
      <c r="V1030" s="0" t="str">
        <f aca="false">IF(COUNTIFS($A$2:A1030,A1030,$C$2:C1030,C1030,$D$2:D1030,D1030)&gt;1,"중복","")</f>
        <v/>
      </c>
      <c r="W1030" s="0" t="n">
        <f aca="false">IF(V1030="중복",0,N(D1030))</f>
        <v>110</v>
      </c>
      <c r="X1030" s="0" t="n">
        <f aca="false">IF(COUNTIFS($A$2:A1030,A1030,$C$2:C1030,C1030)=1,ABS(SUMIFS(RAW_발주!$D:$D,RAW_발주!$C:$C,A1030,RAW_발주!$A:$A,C1030)-SUMIFS($W:$W,$A:$A,A1030,$C:$C,C1030)),0)</f>
        <v>0</v>
      </c>
    </row>
    <row r="1031" customFormat="false" ht="15" hidden="false" customHeight="true" outlineLevel="0" collapsed="false">
      <c r="A1031" s="45" t="s">
        <v>1659</v>
      </c>
      <c r="B1031" s="42" t="str">
        <f aca="false">IF(A1031="100","HK",IF(A1031="200","CN",IF(A1031="300","TW","홀세일")))</f>
        <v>HK</v>
      </c>
      <c r="C1031" s="45" t="s">
        <v>503</v>
      </c>
      <c r="D1031" s="46" t="n">
        <v>280</v>
      </c>
      <c r="E1031" s="46" t="n">
        <v>239000</v>
      </c>
      <c r="F1031" s="46" t="n">
        <v>77838</v>
      </c>
      <c r="G1031" s="42" t="n">
        <v>3.79</v>
      </c>
      <c r="H1031" s="42" t="n">
        <v>59.9</v>
      </c>
      <c r="I1031" s="42" t="n">
        <v>0</v>
      </c>
      <c r="J1031" s="46" t="n">
        <f aca="false">IF(N(E1031)&gt;0,E1031,IF(N(F1031)&gt;0,F1031*요약!$F$27,0))</f>
        <v>239000</v>
      </c>
      <c r="K1031" s="46" t="n">
        <f aca="false">IF(N(F1031)&gt;0,F1031,IF(N(E1031)&gt;0,E1031/요약!$F$27,0))</f>
        <v>77838</v>
      </c>
      <c r="L1031" s="46" t="n">
        <f aca="false">IF(B1031="CN",IF(N(I1031)&gt;0,I1031*요약!$G$27,K1031*(1+요약!$E$27)),IF(N(H1031)&gt;0,H1031*요약!$G$27,J1031*요약!$D$27))</f>
        <v>79068</v>
      </c>
      <c r="M1031" s="46" t="n">
        <f aca="false">D1031*J1031</f>
        <v>66920000</v>
      </c>
      <c r="N1031" s="46" t="n">
        <f aca="false">D1031*K1031</f>
        <v>21794640</v>
      </c>
      <c r="O1031" s="46" t="n">
        <f aca="false">D1031*L1031</f>
        <v>22139040</v>
      </c>
      <c r="P1031" s="42" t="str">
        <f aca="false">TRIM(IF(N(E1031)&lt;=0,"택가보정 ","")&amp;IF(N(F1031)&lt;=0,"원가보정 ","")&amp;IF(AND(B1031&lt;&gt;"CN",N(H1031)&lt;=0),"공급가보정 ","")&amp;IF(AND(B1031="CN",N(I1031)&lt;=0),"중국공급가=원가+마진 ",""))</f>
        <v/>
      </c>
      <c r="Q1031" s="47" t="n">
        <f aca="false">IF(SUMIFS($W:$W,$A:$A,A1031,$C:$C,C1031)=0,0,SUMIFS(RAW_판매펀칭!$K:$K,RAW_판매펀칭!$P:$P,A1031,RAW_판매펀칭!$I:$I,C1031)*W1031/SUMIFS($W:$W,$A:$A,A1031,$C:$C,C1031))</f>
        <v>280</v>
      </c>
      <c r="R1031" s="47" t="n">
        <f aca="false">IF(OR(A1031="500",A1031="800",A1031="810"),0,MAX(W1031-Q1031,0))</f>
        <v>0</v>
      </c>
      <c r="S1031" s="47" t="n">
        <f aca="false">R1031*L1031</f>
        <v>0</v>
      </c>
      <c r="T1031" s="47" t="n">
        <f aca="false">R1031*J1031</f>
        <v>0</v>
      </c>
      <c r="U1031" s="47" t="n">
        <f aca="false">R1031*K1031</f>
        <v>0</v>
      </c>
      <c r="V1031" s="0" t="str">
        <f aca="false">IF(COUNTIFS($A$2:A1031,A1031,$C$2:C1031,C1031,$D$2:D1031,D1031)&gt;1,"중복","")</f>
        <v/>
      </c>
      <c r="W1031" s="0" t="n">
        <f aca="false">IF(V1031="중복",0,N(D1031))</f>
        <v>280</v>
      </c>
      <c r="X1031" s="0" t="n">
        <f aca="false">IF(COUNTIFS($A$2:A1031,A1031,$C$2:C1031,C1031)=1,ABS(SUMIFS(RAW_발주!$D:$D,RAW_발주!$C:$C,A1031,RAW_발주!$A:$A,C1031)-SUMIFS($W:$W,$A:$A,A1031,$C:$C,C1031)),0)</f>
        <v>0</v>
      </c>
    </row>
    <row r="1032" customFormat="false" ht="15" hidden="false" customHeight="true" outlineLevel="0" collapsed="false">
      <c r="A1032" s="45" t="s">
        <v>1661</v>
      </c>
      <c r="B1032" s="42" t="str">
        <f aca="false">IF(A1032="100","HK",IF(A1032="200","CN",IF(A1032="300","TW","홀세일")))</f>
        <v>TW</v>
      </c>
      <c r="C1032" s="45" t="s">
        <v>503</v>
      </c>
      <c r="D1032" s="46" t="n">
        <v>30</v>
      </c>
      <c r="E1032" s="46" t="n">
        <v>239000</v>
      </c>
      <c r="F1032" s="46" t="n">
        <v>77838</v>
      </c>
      <c r="G1032" s="42" t="n">
        <v>3.79</v>
      </c>
      <c r="H1032" s="42" t="n">
        <v>59.9</v>
      </c>
      <c r="I1032" s="42" t="n">
        <v>0</v>
      </c>
      <c r="J1032" s="46" t="n">
        <f aca="false">IF(N(E1032)&gt;0,E1032,IF(N(F1032)&gt;0,F1032*요약!$F$27,0))</f>
        <v>239000</v>
      </c>
      <c r="K1032" s="46" t="n">
        <f aca="false">IF(N(F1032)&gt;0,F1032,IF(N(E1032)&gt;0,E1032/요약!$F$27,0))</f>
        <v>77838</v>
      </c>
      <c r="L1032" s="46" t="n">
        <f aca="false">IF(B1032="CN",IF(N(I1032)&gt;0,I1032*요약!$G$27,K1032*(1+요약!$E$27)),IF(N(H1032)&gt;0,H1032*요약!$G$27,J1032*요약!$D$27))</f>
        <v>79068</v>
      </c>
      <c r="M1032" s="46" t="n">
        <f aca="false">D1032*J1032</f>
        <v>7170000</v>
      </c>
      <c r="N1032" s="46" t="n">
        <f aca="false">D1032*K1032</f>
        <v>2335140</v>
      </c>
      <c r="O1032" s="46" t="n">
        <f aca="false">D1032*L1032</f>
        <v>2372040</v>
      </c>
      <c r="P1032" s="42" t="str">
        <f aca="false">TRIM(IF(N(E1032)&lt;=0,"택가보정 ","")&amp;IF(N(F1032)&lt;=0,"원가보정 ","")&amp;IF(AND(B1032&lt;&gt;"CN",N(H1032)&lt;=0),"공급가보정 ","")&amp;IF(AND(B1032="CN",N(I1032)&lt;=0),"중국공급가=원가+마진 ",""))</f>
        <v/>
      </c>
      <c r="Q1032" s="47" t="n">
        <f aca="false">IF(SUMIFS($W:$W,$A:$A,A1032,$C:$C,C1032)=0,0,SUMIFS(RAW_판매펀칭!$K:$K,RAW_판매펀칭!$P:$P,A1032,RAW_판매펀칭!$I:$I,C1032)*W1032/SUMIFS($W:$W,$A:$A,A1032,$C:$C,C1032))</f>
        <v>30</v>
      </c>
      <c r="R1032" s="47" t="n">
        <f aca="false">IF(OR(A1032="500",A1032="800",A1032="810"),0,MAX(W1032-Q1032,0))</f>
        <v>0</v>
      </c>
      <c r="S1032" s="47" t="n">
        <f aca="false">R1032*L1032</f>
        <v>0</v>
      </c>
      <c r="T1032" s="47" t="n">
        <f aca="false">R1032*J1032</f>
        <v>0</v>
      </c>
      <c r="U1032" s="47" t="n">
        <f aca="false">R1032*K1032</f>
        <v>0</v>
      </c>
      <c r="V1032" s="0" t="str">
        <f aca="false">IF(COUNTIFS($A$2:A1032,A1032,$C$2:C1032,C1032,$D$2:D1032,D1032)&gt;1,"중복","")</f>
        <v/>
      </c>
      <c r="W1032" s="0" t="n">
        <f aca="false">IF(V1032="중복",0,N(D1032))</f>
        <v>30</v>
      </c>
      <c r="X1032" s="0" t="n">
        <f aca="false">IF(COUNTIFS($A$2:A1032,A1032,$C$2:C1032,C1032)=1,ABS(SUMIFS(RAW_발주!$D:$D,RAW_발주!$C:$C,A1032,RAW_발주!$A:$A,C1032)-SUMIFS($W:$W,$A:$A,A1032,$C:$C,C1032)),0)</f>
        <v>0</v>
      </c>
    </row>
    <row r="1033" customFormat="false" ht="15" hidden="false" customHeight="true" outlineLevel="0" collapsed="false">
      <c r="A1033" s="45" t="s">
        <v>1659</v>
      </c>
      <c r="B1033" s="42" t="str">
        <f aca="false">IF(A1033="100","HK",IF(A1033="200","CN",IF(A1033="300","TW","홀세일")))</f>
        <v>HK</v>
      </c>
      <c r="C1033" s="45" t="s">
        <v>1689</v>
      </c>
      <c r="D1033" s="46" t="n">
        <v>200</v>
      </c>
      <c r="E1033" s="46" t="n">
        <v>299000</v>
      </c>
      <c r="F1033" s="46" t="n">
        <v>85900</v>
      </c>
      <c r="G1033" s="42" t="n">
        <v>4.13</v>
      </c>
      <c r="H1033" s="42" t="n">
        <v>74.9</v>
      </c>
      <c r="I1033" s="42" t="n">
        <v>0</v>
      </c>
      <c r="J1033" s="46" t="n">
        <f aca="false">IF(N(E1033)&gt;0,E1033,IF(N(F1033)&gt;0,F1033*요약!$F$27,0))</f>
        <v>299000</v>
      </c>
      <c r="K1033" s="46" t="n">
        <f aca="false">IF(N(F1033)&gt;0,F1033,IF(N(E1033)&gt;0,E1033/요약!$F$27,0))</f>
        <v>85900</v>
      </c>
      <c r="L1033" s="46" t="n">
        <f aca="false">IF(B1033="CN",IF(N(I1033)&gt;0,I1033*요약!$G$27,K1033*(1+요약!$E$27)),IF(N(H1033)&gt;0,H1033*요약!$G$27,J1033*요약!$D$27))</f>
        <v>98868</v>
      </c>
      <c r="M1033" s="46" t="n">
        <f aca="false">D1033*J1033</f>
        <v>59800000</v>
      </c>
      <c r="N1033" s="46" t="n">
        <f aca="false">D1033*K1033</f>
        <v>17180000</v>
      </c>
      <c r="O1033" s="46" t="n">
        <f aca="false">D1033*L1033</f>
        <v>19773600</v>
      </c>
      <c r="P1033" s="42" t="str">
        <f aca="false">TRIM(IF(N(E1033)&lt;=0,"택가보정 ","")&amp;IF(N(F1033)&lt;=0,"원가보정 ","")&amp;IF(AND(B1033&lt;&gt;"CN",N(H1033)&lt;=0),"공급가보정 ","")&amp;IF(AND(B1033="CN",N(I1033)&lt;=0),"중국공급가=원가+마진 ",""))</f>
        <v/>
      </c>
      <c r="Q1033" s="47" t="n">
        <f aca="false">IF(SUMIFS($W:$W,$A:$A,A1033,$C:$C,C1033)=0,0,SUMIFS(RAW_판매펀칭!$K:$K,RAW_판매펀칭!$P:$P,A1033,RAW_판매펀칭!$I:$I,C1033)*W1033/SUMIFS($W:$W,$A:$A,A1033,$C:$C,C1033))</f>
        <v>0</v>
      </c>
      <c r="R1033" s="47" t="n">
        <f aca="false">IF(OR(A1033="500",A1033="800",A1033="810"),0,MAX(W1033-Q1033,0))</f>
        <v>200</v>
      </c>
      <c r="S1033" s="47" t="n">
        <f aca="false">R1033*L1033</f>
        <v>19773600</v>
      </c>
      <c r="T1033" s="47" t="n">
        <f aca="false">R1033*J1033</f>
        <v>59800000</v>
      </c>
      <c r="U1033" s="47" t="n">
        <f aca="false">R1033*K1033</f>
        <v>17180000</v>
      </c>
      <c r="V1033" s="0" t="str">
        <f aca="false">IF(COUNTIFS($A$2:A1033,A1033,$C$2:C1033,C1033,$D$2:D1033,D1033)&gt;1,"중복","")</f>
        <v/>
      </c>
      <c r="W1033" s="0" t="n">
        <f aca="false">IF(V1033="중복",0,N(D1033))</f>
        <v>200</v>
      </c>
      <c r="X1033" s="0" t="n">
        <f aca="false">IF(COUNTIFS($A$2:A1033,A1033,$C$2:C1033,C1033)=1,ABS(SUMIFS(RAW_발주!$D:$D,RAW_발주!$C:$C,A1033,RAW_발주!$A:$A,C1033)-SUMIFS($W:$W,$A:$A,A1033,$C:$C,C1033)),0)</f>
        <v>0</v>
      </c>
    </row>
    <row r="1034" customFormat="false" ht="15" hidden="false" customHeight="true" outlineLevel="0" collapsed="false">
      <c r="A1034" s="45" t="s">
        <v>1663</v>
      </c>
      <c r="B1034" s="42" t="str">
        <f aca="false">IF(A1034="100","HK",IF(A1034="200","CN",IF(A1034="300","TW","홀세일")))</f>
        <v>홀세일</v>
      </c>
      <c r="C1034" s="45" t="s">
        <v>1689</v>
      </c>
      <c r="D1034" s="46" t="n">
        <v>25</v>
      </c>
      <c r="E1034" s="46" t="n">
        <v>299000</v>
      </c>
      <c r="F1034" s="46" t="n">
        <v>85900</v>
      </c>
      <c r="G1034" s="42" t="n">
        <v>4.13</v>
      </c>
      <c r="H1034" s="42" t="n">
        <v>74.9</v>
      </c>
      <c r="I1034" s="42" t="n">
        <v>0</v>
      </c>
      <c r="J1034" s="46" t="n">
        <f aca="false">IF(N(E1034)&gt;0,E1034,IF(N(F1034)&gt;0,F1034*요약!$F$27,0))</f>
        <v>299000</v>
      </c>
      <c r="K1034" s="46" t="n">
        <f aca="false">IF(N(F1034)&gt;0,F1034,IF(N(E1034)&gt;0,E1034/요약!$F$27,0))</f>
        <v>85900</v>
      </c>
      <c r="L1034" s="46" t="n">
        <f aca="false">IF(B1034="CN",IF(N(I1034)&gt;0,I1034*요약!$G$27,K1034*(1+요약!$E$27)),IF(N(H1034)&gt;0,H1034*요약!$G$27,J1034*요약!$D$27))</f>
        <v>98868</v>
      </c>
      <c r="M1034" s="46" t="n">
        <f aca="false">D1034*J1034</f>
        <v>7475000</v>
      </c>
      <c r="N1034" s="46" t="n">
        <f aca="false">D1034*K1034</f>
        <v>2147500</v>
      </c>
      <c r="O1034" s="46" t="n">
        <f aca="false">D1034*L1034</f>
        <v>2471700</v>
      </c>
      <c r="P1034" s="42" t="str">
        <f aca="false">TRIM(IF(N(E1034)&lt;=0,"택가보정 ","")&amp;IF(N(F1034)&lt;=0,"원가보정 ","")&amp;IF(AND(B1034&lt;&gt;"CN",N(H1034)&lt;=0),"공급가보정 ","")&amp;IF(AND(B1034="CN",N(I1034)&lt;=0),"중국공급가=원가+마진 ",""))</f>
        <v/>
      </c>
      <c r="Q1034" s="47" t="n">
        <f aca="false">IF(SUMIFS($W:$W,$A:$A,A1034,$C:$C,C1034)=0,0,SUMIFS(RAW_판매펀칭!$K:$K,RAW_판매펀칭!$P:$P,A1034,RAW_판매펀칭!$I:$I,C1034)*W1034/SUMIFS($W:$W,$A:$A,A1034,$C:$C,C1034))</f>
        <v>0</v>
      </c>
      <c r="R1034" s="47" t="n">
        <f aca="false">IF(OR(A1034="500",A1034="800",A1034="810"),0,MAX(W1034-Q1034,0))</f>
        <v>25</v>
      </c>
      <c r="S1034" s="47" t="n">
        <f aca="false">R1034*L1034</f>
        <v>2471700</v>
      </c>
      <c r="T1034" s="47" t="n">
        <f aca="false">R1034*J1034</f>
        <v>7475000</v>
      </c>
      <c r="U1034" s="47" t="n">
        <f aca="false">R1034*K1034</f>
        <v>2147500</v>
      </c>
      <c r="V1034" s="0" t="str">
        <f aca="false">IF(COUNTIFS($A$2:A1034,A1034,$C$2:C1034,C1034,$D$2:D1034,D1034)&gt;1,"중복","")</f>
        <v/>
      </c>
      <c r="W1034" s="0" t="n">
        <f aca="false">IF(V1034="중복",0,N(D1034))</f>
        <v>25</v>
      </c>
      <c r="X1034" s="0" t="n">
        <f aca="false">IF(COUNTIFS($A$2:A1034,A1034,$C$2:C1034,C1034)=1,ABS(SUMIFS(RAW_발주!$D:$D,RAW_발주!$C:$C,A1034,RAW_발주!$A:$A,C1034)-SUMIFS($W:$W,$A:$A,A1034,$C:$C,C1034)),0)</f>
        <v>0</v>
      </c>
    </row>
    <row r="1035" customFormat="false" ht="15" hidden="false" customHeight="true" outlineLevel="0" collapsed="false">
      <c r="A1035" s="45" t="s">
        <v>1659</v>
      </c>
      <c r="B1035" s="42" t="str">
        <f aca="false">IF(A1035="100","HK",IF(A1035="200","CN",IF(A1035="300","TW","홀세일")))</f>
        <v>HK</v>
      </c>
      <c r="C1035" s="45" t="s">
        <v>505</v>
      </c>
      <c r="D1035" s="46" t="n">
        <v>310</v>
      </c>
      <c r="E1035" s="46" t="n">
        <v>299000</v>
      </c>
      <c r="F1035" s="46" t="n">
        <v>64245</v>
      </c>
      <c r="G1035" s="42" t="n">
        <v>3.22</v>
      </c>
      <c r="H1035" s="42" t="n">
        <v>74.9</v>
      </c>
      <c r="I1035" s="42" t="n">
        <v>0</v>
      </c>
      <c r="J1035" s="46" t="n">
        <f aca="false">IF(N(E1035)&gt;0,E1035,IF(N(F1035)&gt;0,F1035*요약!$F$27,0))</f>
        <v>299000</v>
      </c>
      <c r="K1035" s="46" t="n">
        <f aca="false">IF(N(F1035)&gt;0,F1035,IF(N(E1035)&gt;0,E1035/요약!$F$27,0))</f>
        <v>64245</v>
      </c>
      <c r="L1035" s="46" t="n">
        <f aca="false">IF(B1035="CN",IF(N(I1035)&gt;0,I1035*요약!$G$27,K1035*(1+요약!$E$27)),IF(N(H1035)&gt;0,H1035*요약!$G$27,J1035*요약!$D$27))</f>
        <v>98868</v>
      </c>
      <c r="M1035" s="46" t="n">
        <f aca="false">D1035*J1035</f>
        <v>92690000</v>
      </c>
      <c r="N1035" s="46" t="n">
        <f aca="false">D1035*K1035</f>
        <v>19915950</v>
      </c>
      <c r="O1035" s="46" t="n">
        <f aca="false">D1035*L1035</f>
        <v>30649080</v>
      </c>
      <c r="P1035" s="42" t="str">
        <f aca="false">TRIM(IF(N(E1035)&lt;=0,"택가보정 ","")&amp;IF(N(F1035)&lt;=0,"원가보정 ","")&amp;IF(AND(B1035&lt;&gt;"CN",N(H1035)&lt;=0),"공급가보정 ","")&amp;IF(AND(B1035="CN",N(I1035)&lt;=0),"중국공급가=원가+마진 ",""))</f>
        <v/>
      </c>
      <c r="Q1035" s="47" t="n">
        <f aca="false">IF(SUMIFS($W:$W,$A:$A,A1035,$C:$C,C1035)=0,0,SUMIFS(RAW_판매펀칭!$K:$K,RAW_판매펀칭!$P:$P,A1035,RAW_판매펀칭!$I:$I,C1035)*W1035/SUMIFS($W:$W,$A:$A,A1035,$C:$C,C1035))</f>
        <v>310</v>
      </c>
      <c r="R1035" s="47" t="n">
        <f aca="false">IF(OR(A1035="500",A1035="800",A1035="810"),0,MAX(W1035-Q1035,0))</f>
        <v>0</v>
      </c>
      <c r="S1035" s="47" t="n">
        <f aca="false">R1035*L1035</f>
        <v>0</v>
      </c>
      <c r="T1035" s="47" t="n">
        <f aca="false">R1035*J1035</f>
        <v>0</v>
      </c>
      <c r="U1035" s="47" t="n">
        <f aca="false">R1035*K1035</f>
        <v>0</v>
      </c>
      <c r="V1035" s="0" t="str">
        <f aca="false">IF(COUNTIFS($A$2:A1035,A1035,$C$2:C1035,C1035,$D$2:D1035,D1035)&gt;1,"중복","")</f>
        <v/>
      </c>
      <c r="W1035" s="0" t="n">
        <f aca="false">IF(V1035="중복",0,N(D1035))</f>
        <v>310</v>
      </c>
      <c r="X1035" s="0" t="n">
        <f aca="false">IF(COUNTIFS($A$2:A1035,A1035,$C$2:C1035,C1035)=1,ABS(SUMIFS(RAW_발주!$D:$D,RAW_발주!$C:$C,A1035,RAW_발주!$A:$A,C1035)-SUMIFS($W:$W,$A:$A,A1035,$C:$C,C1035)),0)</f>
        <v>0</v>
      </c>
    </row>
    <row r="1036" customFormat="false" ht="15" hidden="false" customHeight="true" outlineLevel="0" collapsed="false">
      <c r="A1036" s="45" t="s">
        <v>1661</v>
      </c>
      <c r="B1036" s="42" t="str">
        <f aca="false">IF(A1036="100","HK",IF(A1036="200","CN",IF(A1036="300","TW","홀세일")))</f>
        <v>TW</v>
      </c>
      <c r="C1036" s="45" t="s">
        <v>505</v>
      </c>
      <c r="D1036" s="46" t="n">
        <v>585</v>
      </c>
      <c r="E1036" s="46" t="n">
        <v>299000</v>
      </c>
      <c r="F1036" s="46" t="n">
        <v>64245</v>
      </c>
      <c r="G1036" s="42" t="n">
        <v>3.22</v>
      </c>
      <c r="H1036" s="42" t="n">
        <v>74.9</v>
      </c>
      <c r="I1036" s="42" t="n">
        <v>0</v>
      </c>
      <c r="J1036" s="46" t="n">
        <f aca="false">IF(N(E1036)&gt;0,E1036,IF(N(F1036)&gt;0,F1036*요약!$F$27,0))</f>
        <v>299000</v>
      </c>
      <c r="K1036" s="46" t="n">
        <f aca="false">IF(N(F1036)&gt;0,F1036,IF(N(E1036)&gt;0,E1036/요약!$F$27,0))</f>
        <v>64245</v>
      </c>
      <c r="L1036" s="46" t="n">
        <f aca="false">IF(B1036="CN",IF(N(I1036)&gt;0,I1036*요약!$G$27,K1036*(1+요약!$E$27)),IF(N(H1036)&gt;0,H1036*요약!$G$27,J1036*요약!$D$27))</f>
        <v>98868</v>
      </c>
      <c r="M1036" s="46" t="n">
        <f aca="false">D1036*J1036</f>
        <v>174915000</v>
      </c>
      <c r="N1036" s="46" t="n">
        <f aca="false">D1036*K1036</f>
        <v>37583325</v>
      </c>
      <c r="O1036" s="46" t="n">
        <f aca="false">D1036*L1036</f>
        <v>57837780</v>
      </c>
      <c r="P1036" s="42" t="str">
        <f aca="false">TRIM(IF(N(E1036)&lt;=0,"택가보정 ","")&amp;IF(N(F1036)&lt;=0,"원가보정 ","")&amp;IF(AND(B1036&lt;&gt;"CN",N(H1036)&lt;=0),"공급가보정 ","")&amp;IF(AND(B1036="CN",N(I1036)&lt;=0),"중국공급가=원가+마진 ",""))</f>
        <v/>
      </c>
      <c r="Q1036" s="47" t="n">
        <f aca="false">IF(SUMIFS($W:$W,$A:$A,A1036,$C:$C,C1036)=0,0,SUMIFS(RAW_판매펀칭!$K:$K,RAW_판매펀칭!$P:$P,A1036,RAW_판매펀칭!$I:$I,C1036)*W1036/SUMIFS($W:$W,$A:$A,A1036,$C:$C,C1036))</f>
        <v>585</v>
      </c>
      <c r="R1036" s="47" t="n">
        <f aca="false">IF(OR(A1036="500",A1036="800",A1036="810"),0,MAX(W1036-Q1036,0))</f>
        <v>0</v>
      </c>
      <c r="S1036" s="47" t="n">
        <f aca="false">R1036*L1036</f>
        <v>0</v>
      </c>
      <c r="T1036" s="47" t="n">
        <f aca="false">R1036*J1036</f>
        <v>0</v>
      </c>
      <c r="U1036" s="47" t="n">
        <f aca="false">R1036*K1036</f>
        <v>0</v>
      </c>
      <c r="V1036" s="0" t="str">
        <f aca="false">IF(COUNTIFS($A$2:A1036,A1036,$C$2:C1036,C1036,$D$2:D1036,D1036)&gt;1,"중복","")</f>
        <v/>
      </c>
      <c r="W1036" s="0" t="n">
        <f aca="false">IF(V1036="중복",0,N(D1036))</f>
        <v>585</v>
      </c>
      <c r="X1036" s="0" t="n">
        <f aca="false">IF(COUNTIFS($A$2:A1036,A1036,$C$2:C1036,C1036)=1,ABS(SUMIFS(RAW_발주!$D:$D,RAW_발주!$C:$C,A1036,RAW_발주!$A:$A,C1036)-SUMIFS($W:$W,$A:$A,A1036,$C:$C,C1036)),0)</f>
        <v>0</v>
      </c>
    </row>
    <row r="1037" customFormat="false" ht="15" hidden="false" customHeight="true" outlineLevel="0" collapsed="false">
      <c r="A1037" s="45" t="s">
        <v>1663</v>
      </c>
      <c r="B1037" s="42" t="str">
        <f aca="false">IF(A1037="100","HK",IF(A1037="200","CN",IF(A1037="300","TW","홀세일")))</f>
        <v>홀세일</v>
      </c>
      <c r="C1037" s="45" t="s">
        <v>505</v>
      </c>
      <c r="D1037" s="46" t="n">
        <v>25</v>
      </c>
      <c r="E1037" s="46" t="n">
        <v>299000</v>
      </c>
      <c r="F1037" s="46" t="n">
        <v>64245</v>
      </c>
      <c r="G1037" s="42" t="n">
        <v>3.22</v>
      </c>
      <c r="H1037" s="42" t="n">
        <v>74.9</v>
      </c>
      <c r="I1037" s="42" t="n">
        <v>0</v>
      </c>
      <c r="J1037" s="46" t="n">
        <f aca="false">IF(N(E1037)&gt;0,E1037,IF(N(F1037)&gt;0,F1037*요약!$F$27,0))</f>
        <v>299000</v>
      </c>
      <c r="K1037" s="46" t="n">
        <f aca="false">IF(N(F1037)&gt;0,F1037,IF(N(E1037)&gt;0,E1037/요약!$F$27,0))</f>
        <v>64245</v>
      </c>
      <c r="L1037" s="46" t="n">
        <f aca="false">IF(B1037="CN",IF(N(I1037)&gt;0,I1037*요약!$G$27,K1037*(1+요약!$E$27)),IF(N(H1037)&gt;0,H1037*요약!$G$27,J1037*요약!$D$27))</f>
        <v>98868</v>
      </c>
      <c r="M1037" s="46" t="n">
        <f aca="false">D1037*J1037</f>
        <v>7475000</v>
      </c>
      <c r="N1037" s="46" t="n">
        <f aca="false">D1037*K1037</f>
        <v>1606125</v>
      </c>
      <c r="O1037" s="46" t="n">
        <f aca="false">D1037*L1037</f>
        <v>2471700</v>
      </c>
      <c r="P1037" s="42" t="str">
        <f aca="false">TRIM(IF(N(E1037)&lt;=0,"택가보정 ","")&amp;IF(N(F1037)&lt;=0,"원가보정 ","")&amp;IF(AND(B1037&lt;&gt;"CN",N(H1037)&lt;=0),"공급가보정 ","")&amp;IF(AND(B1037="CN",N(I1037)&lt;=0),"중국공급가=원가+마진 ",""))</f>
        <v/>
      </c>
      <c r="Q1037" s="47" t="n">
        <f aca="false">IF(SUMIFS($W:$W,$A:$A,A1037,$C:$C,C1037)=0,0,SUMIFS(RAW_판매펀칭!$K:$K,RAW_판매펀칭!$P:$P,A1037,RAW_판매펀칭!$I:$I,C1037)*W1037/SUMIFS($W:$W,$A:$A,A1037,$C:$C,C1037))</f>
        <v>25</v>
      </c>
      <c r="R1037" s="47" t="n">
        <f aca="false">IF(OR(A1037="500",A1037="800",A1037="810"),0,MAX(W1037-Q1037,0))</f>
        <v>0</v>
      </c>
      <c r="S1037" s="47" t="n">
        <f aca="false">R1037*L1037</f>
        <v>0</v>
      </c>
      <c r="T1037" s="47" t="n">
        <f aca="false">R1037*J1037</f>
        <v>0</v>
      </c>
      <c r="U1037" s="47" t="n">
        <f aca="false">R1037*K1037</f>
        <v>0</v>
      </c>
      <c r="V1037" s="0" t="str">
        <f aca="false">IF(COUNTIFS($A$2:A1037,A1037,$C$2:C1037,C1037,$D$2:D1037,D1037)&gt;1,"중복","")</f>
        <v/>
      </c>
      <c r="W1037" s="0" t="n">
        <f aca="false">IF(V1037="중복",0,N(D1037))</f>
        <v>25</v>
      </c>
      <c r="X1037" s="0" t="n">
        <f aca="false">IF(COUNTIFS($A$2:A1037,A1037,$C$2:C1037,C1037)=1,ABS(SUMIFS(RAW_발주!$D:$D,RAW_발주!$C:$C,A1037,RAW_발주!$A:$A,C1037)-SUMIFS($W:$W,$A:$A,A1037,$C:$C,C1037)),0)</f>
        <v>0</v>
      </c>
    </row>
    <row r="1038" customFormat="false" ht="15" hidden="false" customHeight="true" outlineLevel="0" collapsed="false">
      <c r="A1038" s="45" t="s">
        <v>1667</v>
      </c>
      <c r="B1038" s="42" t="str">
        <f aca="false">IF(A1038="100","HK",IF(A1038="200","CN",IF(A1038="300","TW","홀세일")))</f>
        <v>홀세일</v>
      </c>
      <c r="C1038" s="45" t="s">
        <v>505</v>
      </c>
      <c r="D1038" s="46" t="n">
        <v>91</v>
      </c>
      <c r="E1038" s="46" t="n">
        <v>299000</v>
      </c>
      <c r="F1038" s="46" t="n">
        <v>64245</v>
      </c>
      <c r="G1038" s="42" t="n">
        <v>3.22</v>
      </c>
      <c r="H1038" s="42" t="n">
        <v>74.9</v>
      </c>
      <c r="I1038" s="42" t="n">
        <v>0</v>
      </c>
      <c r="J1038" s="46" t="n">
        <f aca="false">IF(N(E1038)&gt;0,E1038,IF(N(F1038)&gt;0,F1038*요약!$F$27,0))</f>
        <v>299000</v>
      </c>
      <c r="K1038" s="46" t="n">
        <f aca="false">IF(N(F1038)&gt;0,F1038,IF(N(E1038)&gt;0,E1038/요약!$F$27,0))</f>
        <v>64245</v>
      </c>
      <c r="L1038" s="46" t="n">
        <f aca="false">IF(B1038="CN",IF(N(I1038)&gt;0,I1038*요약!$G$27,K1038*(1+요약!$E$27)),IF(N(H1038)&gt;0,H1038*요약!$G$27,J1038*요약!$D$27))</f>
        <v>98868</v>
      </c>
      <c r="M1038" s="46" t="n">
        <f aca="false">D1038*J1038</f>
        <v>27209000</v>
      </c>
      <c r="N1038" s="46" t="n">
        <f aca="false">D1038*K1038</f>
        <v>5846295</v>
      </c>
      <c r="O1038" s="46" t="n">
        <f aca="false">D1038*L1038</f>
        <v>8996988</v>
      </c>
      <c r="P1038" s="42" t="str">
        <f aca="false">TRIM(IF(N(E1038)&lt;=0,"택가보정 ","")&amp;IF(N(F1038)&lt;=0,"원가보정 ","")&amp;IF(AND(B1038&lt;&gt;"CN",N(H1038)&lt;=0),"공급가보정 ","")&amp;IF(AND(B1038="CN",N(I1038)&lt;=0),"중국공급가=원가+마진 ",""))</f>
        <v/>
      </c>
      <c r="Q1038" s="47" t="n">
        <f aca="false">IF(SUMIFS($W:$W,$A:$A,A1038,$C:$C,C1038)=0,0,SUMIFS(RAW_판매펀칭!$K:$K,RAW_판매펀칭!$P:$P,A1038,RAW_판매펀칭!$I:$I,C1038)*W1038/SUMIFS($W:$W,$A:$A,A1038,$C:$C,C1038))</f>
        <v>90</v>
      </c>
      <c r="R1038" s="47" t="n">
        <f aca="false">IF(OR(A1038="500",A1038="800",A1038="810"),0,MAX(W1038-Q1038,0))</f>
        <v>1</v>
      </c>
      <c r="S1038" s="47" t="n">
        <f aca="false">R1038*L1038</f>
        <v>98868</v>
      </c>
      <c r="T1038" s="47" t="n">
        <f aca="false">R1038*J1038</f>
        <v>299000</v>
      </c>
      <c r="U1038" s="47" t="n">
        <f aca="false">R1038*K1038</f>
        <v>64245</v>
      </c>
      <c r="V1038" s="0" t="str">
        <f aca="false">IF(COUNTIFS($A$2:A1038,A1038,$C$2:C1038,C1038,$D$2:D1038,D1038)&gt;1,"중복","")</f>
        <v/>
      </c>
      <c r="W1038" s="0" t="n">
        <f aca="false">IF(V1038="중복",0,N(D1038))</f>
        <v>91</v>
      </c>
      <c r="X1038" s="0" t="n">
        <f aca="false">IF(COUNTIFS($A$2:A1038,A1038,$C$2:C1038,C1038)=1,ABS(SUMIFS(RAW_발주!$D:$D,RAW_발주!$C:$C,A1038,RAW_발주!$A:$A,C1038)-SUMIFS($W:$W,$A:$A,A1038,$C:$C,C1038)),0)</f>
        <v>0</v>
      </c>
    </row>
    <row r="1039" customFormat="false" ht="15" hidden="false" customHeight="true" outlineLevel="0" collapsed="false">
      <c r="A1039" s="45" t="s">
        <v>1659</v>
      </c>
      <c r="B1039" s="42" t="str">
        <f aca="false">IF(A1039="100","HK",IF(A1039="200","CN",IF(A1039="300","TW","홀세일")))</f>
        <v>HK</v>
      </c>
      <c r="C1039" s="45" t="s">
        <v>922</v>
      </c>
      <c r="D1039" s="46" t="n">
        <v>100</v>
      </c>
      <c r="E1039" s="46" t="n">
        <v>329000</v>
      </c>
      <c r="F1039" s="46" t="n">
        <v>99100</v>
      </c>
      <c r="G1039" s="42" t="n">
        <v>3.21</v>
      </c>
      <c r="H1039" s="42" t="n">
        <v>82.4</v>
      </c>
      <c r="I1039" s="42" t="n">
        <v>0</v>
      </c>
      <c r="J1039" s="46" t="n">
        <f aca="false">IF(N(E1039)&gt;0,E1039,IF(N(F1039)&gt;0,F1039*요약!$F$27,0))</f>
        <v>329000</v>
      </c>
      <c r="K1039" s="46" t="n">
        <f aca="false">IF(N(F1039)&gt;0,F1039,IF(N(E1039)&gt;0,E1039/요약!$F$27,0))</f>
        <v>99100</v>
      </c>
      <c r="L1039" s="46" t="n">
        <f aca="false">IF(B1039="CN",IF(N(I1039)&gt;0,I1039*요약!$G$27,K1039*(1+요약!$E$27)),IF(N(H1039)&gt;0,H1039*요약!$G$27,J1039*요약!$D$27))</f>
        <v>108768</v>
      </c>
      <c r="M1039" s="46" t="n">
        <f aca="false">D1039*J1039</f>
        <v>32900000</v>
      </c>
      <c r="N1039" s="46" t="n">
        <f aca="false">D1039*K1039</f>
        <v>9910000</v>
      </c>
      <c r="O1039" s="46" t="n">
        <f aca="false">D1039*L1039</f>
        <v>10876800</v>
      </c>
      <c r="P1039" s="42" t="str">
        <f aca="false">TRIM(IF(N(E1039)&lt;=0,"택가보정 ","")&amp;IF(N(F1039)&lt;=0,"원가보정 ","")&amp;IF(AND(B1039&lt;&gt;"CN",N(H1039)&lt;=0),"공급가보정 ","")&amp;IF(AND(B1039="CN",N(I1039)&lt;=0),"중국공급가=원가+마진 ",""))</f>
        <v/>
      </c>
      <c r="Q1039" s="47" t="n">
        <f aca="false">IF(SUMIFS($W:$W,$A:$A,A1039,$C:$C,C1039)=0,0,SUMIFS(RAW_판매펀칭!$K:$K,RAW_판매펀칭!$P:$P,A1039,RAW_판매펀칭!$I:$I,C1039)*W1039/SUMIFS($W:$W,$A:$A,A1039,$C:$C,C1039))</f>
        <v>100</v>
      </c>
      <c r="R1039" s="47" t="n">
        <f aca="false">IF(OR(A1039="500",A1039="800",A1039="810"),0,MAX(W1039-Q1039,0))</f>
        <v>0</v>
      </c>
      <c r="S1039" s="47" t="n">
        <f aca="false">R1039*L1039</f>
        <v>0</v>
      </c>
      <c r="T1039" s="47" t="n">
        <f aca="false">R1039*J1039</f>
        <v>0</v>
      </c>
      <c r="U1039" s="47" t="n">
        <f aca="false">R1039*K1039</f>
        <v>0</v>
      </c>
      <c r="V1039" s="0" t="str">
        <f aca="false">IF(COUNTIFS($A$2:A1039,A1039,$C$2:C1039,C1039,$D$2:D1039,D1039)&gt;1,"중복","")</f>
        <v/>
      </c>
      <c r="W1039" s="0" t="n">
        <f aca="false">IF(V1039="중복",0,N(D1039))</f>
        <v>100</v>
      </c>
      <c r="X1039" s="0" t="n">
        <f aca="false">IF(COUNTIFS($A$2:A1039,A1039,$C$2:C1039,C1039)=1,ABS(SUMIFS(RAW_발주!$D:$D,RAW_발주!$C:$C,A1039,RAW_발주!$A:$A,C1039)-SUMIFS($W:$W,$A:$A,A1039,$C:$C,C1039)),0)</f>
        <v>0</v>
      </c>
    </row>
    <row r="1040" customFormat="false" ht="15" hidden="false" customHeight="true" outlineLevel="0" collapsed="false">
      <c r="A1040" s="45" t="s">
        <v>1661</v>
      </c>
      <c r="B1040" s="42" t="str">
        <f aca="false">IF(A1040="100","HK",IF(A1040="200","CN",IF(A1040="300","TW","홀세일")))</f>
        <v>TW</v>
      </c>
      <c r="C1040" s="45" t="s">
        <v>922</v>
      </c>
      <c r="D1040" s="46" t="n">
        <v>100</v>
      </c>
      <c r="E1040" s="46" t="n">
        <v>329000</v>
      </c>
      <c r="F1040" s="46" t="n">
        <v>99100</v>
      </c>
      <c r="G1040" s="42" t="n">
        <v>3.21</v>
      </c>
      <c r="H1040" s="42" t="n">
        <v>82.4</v>
      </c>
      <c r="I1040" s="42" t="n">
        <v>0</v>
      </c>
      <c r="J1040" s="46" t="n">
        <f aca="false">IF(N(E1040)&gt;0,E1040,IF(N(F1040)&gt;0,F1040*요약!$F$27,0))</f>
        <v>329000</v>
      </c>
      <c r="K1040" s="46" t="n">
        <f aca="false">IF(N(F1040)&gt;0,F1040,IF(N(E1040)&gt;0,E1040/요약!$F$27,0))</f>
        <v>99100</v>
      </c>
      <c r="L1040" s="46" t="n">
        <f aca="false">IF(B1040="CN",IF(N(I1040)&gt;0,I1040*요약!$G$27,K1040*(1+요약!$E$27)),IF(N(H1040)&gt;0,H1040*요약!$G$27,J1040*요약!$D$27))</f>
        <v>108768</v>
      </c>
      <c r="M1040" s="46" t="n">
        <f aca="false">D1040*J1040</f>
        <v>32900000</v>
      </c>
      <c r="N1040" s="46" t="n">
        <f aca="false">D1040*K1040</f>
        <v>9910000</v>
      </c>
      <c r="O1040" s="46" t="n">
        <f aca="false">D1040*L1040</f>
        <v>10876800</v>
      </c>
      <c r="P1040" s="42" t="str">
        <f aca="false">TRIM(IF(N(E1040)&lt;=0,"택가보정 ","")&amp;IF(N(F1040)&lt;=0,"원가보정 ","")&amp;IF(AND(B1040&lt;&gt;"CN",N(H1040)&lt;=0),"공급가보정 ","")&amp;IF(AND(B1040="CN",N(I1040)&lt;=0),"중국공급가=원가+마진 ",""))</f>
        <v/>
      </c>
      <c r="Q1040" s="47" t="n">
        <f aca="false">IF(SUMIFS($W:$W,$A:$A,A1040,$C:$C,C1040)=0,0,SUMIFS(RAW_판매펀칭!$K:$K,RAW_판매펀칭!$P:$P,A1040,RAW_판매펀칭!$I:$I,C1040)*W1040/SUMIFS($W:$W,$A:$A,A1040,$C:$C,C1040))</f>
        <v>0</v>
      </c>
      <c r="R1040" s="47" t="n">
        <f aca="false">IF(OR(A1040="500",A1040="800",A1040="810"),0,MAX(W1040-Q1040,0))</f>
        <v>100</v>
      </c>
      <c r="S1040" s="47" t="n">
        <f aca="false">R1040*L1040</f>
        <v>10876800</v>
      </c>
      <c r="T1040" s="47" t="n">
        <f aca="false">R1040*J1040</f>
        <v>32900000</v>
      </c>
      <c r="U1040" s="47" t="n">
        <f aca="false">R1040*K1040</f>
        <v>9910000</v>
      </c>
      <c r="V1040" s="0" t="str">
        <f aca="false">IF(COUNTIFS($A$2:A1040,A1040,$C$2:C1040,C1040,$D$2:D1040,D1040)&gt;1,"중복","")</f>
        <v/>
      </c>
      <c r="W1040" s="0" t="n">
        <f aca="false">IF(V1040="중복",0,N(D1040))</f>
        <v>100</v>
      </c>
      <c r="X1040" s="0" t="n">
        <f aca="false">IF(COUNTIFS($A$2:A1040,A1040,$C$2:C1040,C1040)=1,ABS(SUMIFS(RAW_발주!$D:$D,RAW_발주!$C:$C,A1040,RAW_발주!$A:$A,C1040)-SUMIFS($W:$W,$A:$A,A1040,$C:$C,C1040)),0)</f>
        <v>0</v>
      </c>
    </row>
    <row r="1041" customFormat="false" ht="15" hidden="false" customHeight="true" outlineLevel="0" collapsed="false">
      <c r="A1041" s="45" t="s">
        <v>1662</v>
      </c>
      <c r="B1041" s="42" t="str">
        <f aca="false">IF(A1041="100","HK",IF(A1041="200","CN",IF(A1041="300","TW","홀세일")))</f>
        <v>홀세일</v>
      </c>
      <c r="C1041" s="45" t="s">
        <v>922</v>
      </c>
      <c r="D1041" s="46" t="n">
        <v>35</v>
      </c>
      <c r="E1041" s="46" t="n">
        <v>329000</v>
      </c>
      <c r="F1041" s="46" t="n">
        <v>99100</v>
      </c>
      <c r="G1041" s="42" t="n">
        <v>3.21</v>
      </c>
      <c r="H1041" s="42" t="n">
        <v>82.4</v>
      </c>
      <c r="I1041" s="42" t="n">
        <v>0</v>
      </c>
      <c r="J1041" s="46" t="n">
        <f aca="false">IF(N(E1041)&gt;0,E1041,IF(N(F1041)&gt;0,F1041*요약!$F$27,0))</f>
        <v>329000</v>
      </c>
      <c r="K1041" s="46" t="n">
        <f aca="false">IF(N(F1041)&gt;0,F1041,IF(N(E1041)&gt;0,E1041/요약!$F$27,0))</f>
        <v>99100</v>
      </c>
      <c r="L1041" s="46" t="n">
        <f aca="false">IF(B1041="CN",IF(N(I1041)&gt;0,I1041*요약!$G$27,K1041*(1+요약!$E$27)),IF(N(H1041)&gt;0,H1041*요약!$G$27,J1041*요약!$D$27))</f>
        <v>108768</v>
      </c>
      <c r="M1041" s="46" t="n">
        <f aca="false">D1041*J1041</f>
        <v>11515000</v>
      </c>
      <c r="N1041" s="46" t="n">
        <f aca="false">D1041*K1041</f>
        <v>3468500</v>
      </c>
      <c r="O1041" s="46" t="n">
        <f aca="false">D1041*L1041</f>
        <v>3806880</v>
      </c>
      <c r="P1041" s="42" t="str">
        <f aca="false">TRIM(IF(N(E1041)&lt;=0,"택가보정 ","")&amp;IF(N(F1041)&lt;=0,"원가보정 ","")&amp;IF(AND(B1041&lt;&gt;"CN",N(H1041)&lt;=0),"공급가보정 ","")&amp;IF(AND(B1041="CN",N(I1041)&lt;=0),"중국공급가=원가+마진 ",""))</f>
        <v/>
      </c>
      <c r="Q1041" s="47" t="n">
        <f aca="false">IF(SUMIFS($W:$W,$A:$A,A1041,$C:$C,C1041)=0,0,SUMIFS(RAW_판매펀칭!$K:$K,RAW_판매펀칭!$P:$P,A1041,RAW_판매펀칭!$I:$I,C1041)*W1041/SUMIFS($W:$W,$A:$A,A1041,$C:$C,C1041))</f>
        <v>0</v>
      </c>
      <c r="R1041" s="47" t="n">
        <f aca="false">IF(OR(A1041="500",A1041="800",A1041="810"),0,MAX(W1041-Q1041,0))</f>
        <v>0</v>
      </c>
      <c r="S1041" s="47" t="n">
        <f aca="false">R1041*L1041</f>
        <v>0</v>
      </c>
      <c r="T1041" s="47" t="n">
        <f aca="false">R1041*J1041</f>
        <v>0</v>
      </c>
      <c r="U1041" s="47" t="n">
        <f aca="false">R1041*K1041</f>
        <v>0</v>
      </c>
      <c r="V1041" s="0" t="str">
        <f aca="false">IF(COUNTIFS($A$2:A1041,A1041,$C$2:C1041,C1041,$D$2:D1041,D1041)&gt;1,"중복","")</f>
        <v/>
      </c>
      <c r="W1041" s="0" t="n">
        <f aca="false">IF(V1041="중복",0,N(D1041))</f>
        <v>35</v>
      </c>
      <c r="X1041" s="0" t="n">
        <f aca="false">IF(COUNTIFS($A$2:A1041,A1041,$C$2:C1041,C1041)=1,ABS(SUMIFS(RAW_발주!$D:$D,RAW_발주!$C:$C,A1041,RAW_발주!$A:$A,C1041)-SUMIFS($W:$W,$A:$A,A1041,$C:$C,C1041)),0)</f>
        <v>0</v>
      </c>
    </row>
    <row r="1042" customFormat="false" ht="15" hidden="false" customHeight="true" outlineLevel="0" collapsed="false">
      <c r="A1042" s="45" t="s">
        <v>1667</v>
      </c>
      <c r="B1042" s="42" t="str">
        <f aca="false">IF(A1042="100","HK",IF(A1042="200","CN",IF(A1042="300","TW","홀세일")))</f>
        <v>홀세일</v>
      </c>
      <c r="C1042" s="45" t="s">
        <v>922</v>
      </c>
      <c r="D1042" s="46" t="n">
        <v>152</v>
      </c>
      <c r="E1042" s="46" t="n">
        <v>329000</v>
      </c>
      <c r="F1042" s="46" t="n">
        <v>99100</v>
      </c>
      <c r="G1042" s="42" t="n">
        <v>3.21</v>
      </c>
      <c r="H1042" s="42" t="n">
        <v>82.4</v>
      </c>
      <c r="I1042" s="42" t="n">
        <v>0</v>
      </c>
      <c r="J1042" s="46" t="n">
        <f aca="false">IF(N(E1042)&gt;0,E1042,IF(N(F1042)&gt;0,F1042*요약!$F$27,0))</f>
        <v>329000</v>
      </c>
      <c r="K1042" s="46" t="n">
        <f aca="false">IF(N(F1042)&gt;0,F1042,IF(N(E1042)&gt;0,E1042/요약!$F$27,0))</f>
        <v>99100</v>
      </c>
      <c r="L1042" s="46" t="n">
        <f aca="false">IF(B1042="CN",IF(N(I1042)&gt;0,I1042*요약!$G$27,K1042*(1+요약!$E$27)),IF(N(H1042)&gt;0,H1042*요약!$G$27,J1042*요약!$D$27))</f>
        <v>108768</v>
      </c>
      <c r="M1042" s="46" t="n">
        <f aca="false">D1042*J1042</f>
        <v>50008000</v>
      </c>
      <c r="N1042" s="46" t="n">
        <f aca="false">D1042*K1042</f>
        <v>15063200</v>
      </c>
      <c r="O1042" s="46" t="n">
        <f aca="false">D1042*L1042</f>
        <v>16532736</v>
      </c>
      <c r="P1042" s="42" t="str">
        <f aca="false">TRIM(IF(N(E1042)&lt;=0,"택가보정 ","")&amp;IF(N(F1042)&lt;=0,"원가보정 ","")&amp;IF(AND(B1042&lt;&gt;"CN",N(H1042)&lt;=0),"공급가보정 ","")&amp;IF(AND(B1042="CN",N(I1042)&lt;=0),"중국공급가=원가+마진 ",""))</f>
        <v/>
      </c>
      <c r="Q1042" s="47" t="n">
        <f aca="false">IF(SUMIFS($W:$W,$A:$A,A1042,$C:$C,C1042)=0,0,SUMIFS(RAW_판매펀칭!$K:$K,RAW_판매펀칭!$P:$P,A1042,RAW_판매펀칭!$I:$I,C1042)*W1042/SUMIFS($W:$W,$A:$A,A1042,$C:$C,C1042))</f>
        <v>0</v>
      </c>
      <c r="R1042" s="47" t="n">
        <f aca="false">IF(OR(A1042="500",A1042="800",A1042="810"),0,MAX(W1042-Q1042,0))</f>
        <v>152</v>
      </c>
      <c r="S1042" s="47" t="n">
        <f aca="false">R1042*L1042</f>
        <v>16532736</v>
      </c>
      <c r="T1042" s="47" t="n">
        <f aca="false">R1042*J1042</f>
        <v>50008000</v>
      </c>
      <c r="U1042" s="47" t="n">
        <f aca="false">R1042*K1042</f>
        <v>15063200</v>
      </c>
      <c r="V1042" s="0" t="str">
        <f aca="false">IF(COUNTIFS($A$2:A1042,A1042,$C$2:C1042,C1042,$D$2:D1042,D1042)&gt;1,"중복","")</f>
        <v/>
      </c>
      <c r="W1042" s="0" t="n">
        <f aca="false">IF(V1042="중복",0,N(D1042))</f>
        <v>152</v>
      </c>
      <c r="X1042" s="0" t="n">
        <f aca="false">IF(COUNTIFS($A$2:A1042,A1042,$C$2:C1042,C1042)=1,ABS(SUMIFS(RAW_발주!$D:$D,RAW_발주!$C:$C,A1042,RAW_발주!$A:$A,C1042)-SUMIFS($W:$W,$A:$A,A1042,$C:$C,C1042)),0)</f>
        <v>0</v>
      </c>
    </row>
    <row r="1043" customFormat="false" ht="15" hidden="false" customHeight="true" outlineLevel="0" collapsed="false">
      <c r="A1043" s="45" t="s">
        <v>1659</v>
      </c>
      <c r="B1043" s="42" t="str">
        <f aca="false">IF(A1043="100","HK",IF(A1043="200","CN",IF(A1043="300","TW","홀세일")))</f>
        <v>HK</v>
      </c>
      <c r="C1043" s="45" t="s">
        <v>1690</v>
      </c>
      <c r="D1043" s="46" t="n">
        <v>140</v>
      </c>
      <c r="E1043" s="46" t="n">
        <v>399000</v>
      </c>
      <c r="F1043" s="46" t="n">
        <v>106500</v>
      </c>
      <c r="G1043" s="42" t="n">
        <v>3.5</v>
      </c>
      <c r="H1043" s="42" t="n">
        <v>99.9</v>
      </c>
      <c r="I1043" s="42" t="n">
        <v>0</v>
      </c>
      <c r="J1043" s="46" t="n">
        <f aca="false">IF(N(E1043)&gt;0,E1043,IF(N(F1043)&gt;0,F1043*요약!$F$27,0))</f>
        <v>399000</v>
      </c>
      <c r="K1043" s="46" t="n">
        <f aca="false">IF(N(F1043)&gt;0,F1043,IF(N(E1043)&gt;0,E1043/요약!$F$27,0))</f>
        <v>106500</v>
      </c>
      <c r="L1043" s="46" t="n">
        <f aca="false">IF(B1043="CN",IF(N(I1043)&gt;0,I1043*요약!$G$27,K1043*(1+요약!$E$27)),IF(N(H1043)&gt;0,H1043*요약!$G$27,J1043*요약!$D$27))</f>
        <v>131868</v>
      </c>
      <c r="M1043" s="46" t="n">
        <f aca="false">D1043*J1043</f>
        <v>55860000</v>
      </c>
      <c r="N1043" s="46" t="n">
        <f aca="false">D1043*K1043</f>
        <v>14910000</v>
      </c>
      <c r="O1043" s="46" t="n">
        <f aca="false">D1043*L1043</f>
        <v>18461520</v>
      </c>
      <c r="P1043" s="42" t="str">
        <f aca="false">TRIM(IF(N(E1043)&lt;=0,"택가보정 ","")&amp;IF(N(F1043)&lt;=0,"원가보정 ","")&amp;IF(AND(B1043&lt;&gt;"CN",N(H1043)&lt;=0),"공급가보정 ","")&amp;IF(AND(B1043="CN",N(I1043)&lt;=0),"중국공급가=원가+마진 ",""))</f>
        <v/>
      </c>
      <c r="Q1043" s="47" t="n">
        <f aca="false">IF(SUMIFS($W:$W,$A:$A,A1043,$C:$C,C1043)=0,0,SUMIFS(RAW_판매펀칭!$K:$K,RAW_판매펀칭!$P:$P,A1043,RAW_판매펀칭!$I:$I,C1043)*W1043/SUMIFS($W:$W,$A:$A,A1043,$C:$C,C1043))</f>
        <v>0</v>
      </c>
      <c r="R1043" s="47" t="n">
        <f aca="false">IF(OR(A1043="500",A1043="800",A1043="810"),0,MAX(W1043-Q1043,0))</f>
        <v>140</v>
      </c>
      <c r="S1043" s="47" t="n">
        <f aca="false">R1043*L1043</f>
        <v>18461520</v>
      </c>
      <c r="T1043" s="47" t="n">
        <f aca="false">R1043*J1043</f>
        <v>55860000</v>
      </c>
      <c r="U1043" s="47" t="n">
        <f aca="false">R1043*K1043</f>
        <v>14910000</v>
      </c>
      <c r="V1043" s="0" t="str">
        <f aca="false">IF(COUNTIFS($A$2:A1043,A1043,$C$2:C1043,C1043,$D$2:D1043,D1043)&gt;1,"중복","")</f>
        <v/>
      </c>
      <c r="W1043" s="0" t="n">
        <f aca="false">IF(V1043="중복",0,N(D1043))</f>
        <v>140</v>
      </c>
      <c r="X1043" s="0" t="n">
        <f aca="false">IF(COUNTIFS($A$2:A1043,A1043,$C$2:C1043,C1043)=1,ABS(SUMIFS(RAW_발주!$D:$D,RAW_발주!$C:$C,A1043,RAW_발주!$A:$A,C1043)-SUMIFS($W:$W,$A:$A,A1043,$C:$C,C1043)),0)</f>
        <v>0</v>
      </c>
    </row>
    <row r="1044" customFormat="false" ht="15" hidden="false" customHeight="true" outlineLevel="0" collapsed="false">
      <c r="A1044" s="45" t="s">
        <v>1661</v>
      </c>
      <c r="B1044" s="42" t="str">
        <f aca="false">IF(A1044="100","HK",IF(A1044="200","CN",IF(A1044="300","TW","홀세일")))</f>
        <v>TW</v>
      </c>
      <c r="C1044" s="45" t="s">
        <v>1690</v>
      </c>
      <c r="D1044" s="46" t="n">
        <v>480</v>
      </c>
      <c r="E1044" s="46" t="n">
        <v>399000</v>
      </c>
      <c r="F1044" s="46" t="n">
        <v>106500</v>
      </c>
      <c r="G1044" s="42" t="n">
        <v>3.5</v>
      </c>
      <c r="H1044" s="42" t="n">
        <v>99.9</v>
      </c>
      <c r="I1044" s="42" t="n">
        <v>0</v>
      </c>
      <c r="J1044" s="46" t="n">
        <f aca="false">IF(N(E1044)&gt;0,E1044,IF(N(F1044)&gt;0,F1044*요약!$F$27,0))</f>
        <v>399000</v>
      </c>
      <c r="K1044" s="46" t="n">
        <f aca="false">IF(N(F1044)&gt;0,F1044,IF(N(E1044)&gt;0,E1044/요약!$F$27,0))</f>
        <v>106500</v>
      </c>
      <c r="L1044" s="46" t="n">
        <f aca="false">IF(B1044="CN",IF(N(I1044)&gt;0,I1044*요약!$G$27,K1044*(1+요약!$E$27)),IF(N(H1044)&gt;0,H1044*요약!$G$27,J1044*요약!$D$27))</f>
        <v>131868</v>
      </c>
      <c r="M1044" s="46" t="n">
        <f aca="false">D1044*J1044</f>
        <v>191520000</v>
      </c>
      <c r="N1044" s="46" t="n">
        <f aca="false">D1044*K1044</f>
        <v>51120000</v>
      </c>
      <c r="O1044" s="46" t="n">
        <f aca="false">D1044*L1044</f>
        <v>63296640</v>
      </c>
      <c r="P1044" s="42" t="str">
        <f aca="false">TRIM(IF(N(E1044)&lt;=0,"택가보정 ","")&amp;IF(N(F1044)&lt;=0,"원가보정 ","")&amp;IF(AND(B1044&lt;&gt;"CN",N(H1044)&lt;=0),"공급가보정 ","")&amp;IF(AND(B1044="CN",N(I1044)&lt;=0),"중국공급가=원가+마진 ",""))</f>
        <v/>
      </c>
      <c r="Q1044" s="47" t="n">
        <f aca="false">IF(SUMIFS($W:$W,$A:$A,A1044,$C:$C,C1044)=0,0,SUMIFS(RAW_판매펀칭!$K:$K,RAW_판매펀칭!$P:$P,A1044,RAW_판매펀칭!$I:$I,C1044)*W1044/SUMIFS($W:$W,$A:$A,A1044,$C:$C,C1044))</f>
        <v>0</v>
      </c>
      <c r="R1044" s="47" t="n">
        <f aca="false">IF(OR(A1044="500",A1044="800",A1044="810"),0,MAX(W1044-Q1044,0))</f>
        <v>480</v>
      </c>
      <c r="S1044" s="47" t="n">
        <f aca="false">R1044*L1044</f>
        <v>63296640</v>
      </c>
      <c r="T1044" s="47" t="n">
        <f aca="false">R1044*J1044</f>
        <v>191520000</v>
      </c>
      <c r="U1044" s="47" t="n">
        <f aca="false">R1044*K1044</f>
        <v>51120000</v>
      </c>
      <c r="V1044" s="0" t="str">
        <f aca="false">IF(COUNTIFS($A$2:A1044,A1044,$C$2:C1044,C1044,$D$2:D1044,D1044)&gt;1,"중복","")</f>
        <v/>
      </c>
      <c r="W1044" s="0" t="n">
        <f aca="false">IF(V1044="중복",0,N(D1044))</f>
        <v>480</v>
      </c>
      <c r="X1044" s="0" t="n">
        <f aca="false">IF(COUNTIFS($A$2:A1044,A1044,$C$2:C1044,C1044)=1,ABS(SUMIFS(RAW_발주!$D:$D,RAW_발주!$C:$C,A1044,RAW_발주!$A:$A,C1044)-SUMIFS($W:$W,$A:$A,A1044,$C:$C,C1044)),0)</f>
        <v>0</v>
      </c>
    </row>
    <row r="1045" customFormat="false" ht="15" hidden="false" customHeight="true" outlineLevel="0" collapsed="false">
      <c r="A1045" s="45" t="s">
        <v>1661</v>
      </c>
      <c r="B1045" s="42" t="str">
        <f aca="false">IF(A1045="100","HK",IF(A1045="200","CN",IF(A1045="300","TW","홀세일")))</f>
        <v>TW</v>
      </c>
      <c r="C1045" s="45" t="s">
        <v>1690</v>
      </c>
      <c r="D1045" s="46" t="n">
        <v>480</v>
      </c>
      <c r="E1045" s="46" t="n">
        <v>399000</v>
      </c>
      <c r="F1045" s="46" t="n">
        <v>106500</v>
      </c>
      <c r="G1045" s="42" t="n">
        <v>3.5</v>
      </c>
      <c r="H1045" s="42" t="n">
        <v>99.9</v>
      </c>
      <c r="I1045" s="42" t="n">
        <v>0</v>
      </c>
      <c r="J1045" s="46" t="n">
        <f aca="false">IF(N(E1045)&gt;0,E1045,IF(N(F1045)&gt;0,F1045*요약!$F$27,0))</f>
        <v>399000</v>
      </c>
      <c r="K1045" s="46" t="n">
        <f aca="false">IF(N(F1045)&gt;0,F1045,IF(N(E1045)&gt;0,E1045/요약!$F$27,0))</f>
        <v>106500</v>
      </c>
      <c r="L1045" s="46" t="n">
        <f aca="false">IF(B1045="CN",IF(N(I1045)&gt;0,I1045*요약!$G$27,K1045*(1+요약!$E$27)),IF(N(H1045)&gt;0,H1045*요약!$G$27,J1045*요약!$D$27))</f>
        <v>131868</v>
      </c>
      <c r="M1045" s="46" t="n">
        <f aca="false">D1045*J1045</f>
        <v>191520000</v>
      </c>
      <c r="N1045" s="46" t="n">
        <f aca="false">D1045*K1045</f>
        <v>51120000</v>
      </c>
      <c r="O1045" s="46" t="n">
        <f aca="false">D1045*L1045</f>
        <v>63296640</v>
      </c>
      <c r="P1045" s="42" t="str">
        <f aca="false">TRIM(IF(N(E1045)&lt;=0,"택가보정 ","")&amp;IF(N(F1045)&lt;=0,"원가보정 ","")&amp;IF(AND(B1045&lt;&gt;"CN",N(H1045)&lt;=0),"공급가보정 ","")&amp;IF(AND(B1045="CN",N(I1045)&lt;=0),"중국공급가=원가+마진 ",""))</f>
        <v/>
      </c>
      <c r="Q1045" s="47" t="n">
        <f aca="false">IF(SUMIFS($W:$W,$A:$A,A1045,$C:$C,C1045)=0,0,SUMIFS(RAW_판매펀칭!$K:$K,RAW_판매펀칭!$P:$P,A1045,RAW_판매펀칭!$I:$I,C1045)*W1045/SUMIFS($W:$W,$A:$A,A1045,$C:$C,C1045))</f>
        <v>0</v>
      </c>
      <c r="R1045" s="47" t="n">
        <f aca="false">IF(OR(A1045="500",A1045="800",A1045="810"),0,MAX(W1045-Q1045,0))</f>
        <v>0</v>
      </c>
      <c r="S1045" s="47" t="n">
        <f aca="false">R1045*L1045</f>
        <v>0</v>
      </c>
      <c r="T1045" s="47" t="n">
        <f aca="false">R1045*J1045</f>
        <v>0</v>
      </c>
      <c r="U1045" s="47" t="n">
        <f aca="false">R1045*K1045</f>
        <v>0</v>
      </c>
      <c r="V1045" s="0" t="str">
        <f aca="false">IF(COUNTIFS($A$2:A1045,A1045,$C$2:C1045,C1045,$D$2:D1045,D1045)&gt;1,"중복","")</f>
        <v>중복</v>
      </c>
      <c r="W1045" s="0" t="n">
        <f aca="false">IF(V1045="중복",0,N(D1045))</f>
        <v>0</v>
      </c>
      <c r="X1045" s="0" t="n">
        <f aca="false">IF(COUNTIFS($A$2:A1045,A1045,$C$2:C1045,C1045)=1,ABS(SUMIFS(RAW_발주!$D:$D,RAW_발주!$C:$C,A1045,RAW_발주!$A:$A,C1045)-SUMIFS($W:$W,$A:$A,A1045,$C:$C,C1045)),0)</f>
        <v>0</v>
      </c>
    </row>
    <row r="1046" customFormat="false" ht="15" hidden="false" customHeight="true" outlineLevel="0" collapsed="false">
      <c r="A1046" s="45" t="s">
        <v>1663</v>
      </c>
      <c r="B1046" s="42" t="str">
        <f aca="false">IF(A1046="100","HK",IF(A1046="200","CN",IF(A1046="300","TW","홀세일")))</f>
        <v>홀세일</v>
      </c>
      <c r="C1046" s="45" t="s">
        <v>1690</v>
      </c>
      <c r="D1046" s="46" t="n">
        <v>15</v>
      </c>
      <c r="E1046" s="46" t="n">
        <v>399000</v>
      </c>
      <c r="F1046" s="46" t="n">
        <v>106500</v>
      </c>
      <c r="G1046" s="42" t="n">
        <v>3.5</v>
      </c>
      <c r="H1046" s="42" t="n">
        <v>99.9</v>
      </c>
      <c r="I1046" s="42" t="n">
        <v>0</v>
      </c>
      <c r="J1046" s="46" t="n">
        <f aca="false">IF(N(E1046)&gt;0,E1046,IF(N(F1046)&gt;0,F1046*요약!$F$27,0))</f>
        <v>399000</v>
      </c>
      <c r="K1046" s="46" t="n">
        <f aca="false">IF(N(F1046)&gt;0,F1046,IF(N(E1046)&gt;0,E1046/요약!$F$27,0))</f>
        <v>106500</v>
      </c>
      <c r="L1046" s="46" t="n">
        <f aca="false">IF(B1046="CN",IF(N(I1046)&gt;0,I1046*요약!$G$27,K1046*(1+요약!$E$27)),IF(N(H1046)&gt;0,H1046*요약!$G$27,J1046*요약!$D$27))</f>
        <v>131868</v>
      </c>
      <c r="M1046" s="46" t="n">
        <f aca="false">D1046*J1046</f>
        <v>5985000</v>
      </c>
      <c r="N1046" s="46" t="n">
        <f aca="false">D1046*K1046</f>
        <v>1597500</v>
      </c>
      <c r="O1046" s="46" t="n">
        <f aca="false">D1046*L1046</f>
        <v>1978020</v>
      </c>
      <c r="P1046" s="42" t="str">
        <f aca="false">TRIM(IF(N(E1046)&lt;=0,"택가보정 ","")&amp;IF(N(F1046)&lt;=0,"원가보정 ","")&amp;IF(AND(B1046&lt;&gt;"CN",N(H1046)&lt;=0),"공급가보정 ","")&amp;IF(AND(B1046="CN",N(I1046)&lt;=0),"중국공급가=원가+마진 ",""))</f>
        <v/>
      </c>
      <c r="Q1046" s="47" t="n">
        <f aca="false">IF(SUMIFS($W:$W,$A:$A,A1046,$C:$C,C1046)=0,0,SUMIFS(RAW_판매펀칭!$K:$K,RAW_판매펀칭!$P:$P,A1046,RAW_판매펀칭!$I:$I,C1046)*W1046/SUMIFS($W:$W,$A:$A,A1046,$C:$C,C1046))</f>
        <v>0</v>
      </c>
      <c r="R1046" s="47" t="n">
        <f aca="false">IF(OR(A1046="500",A1046="800",A1046="810"),0,MAX(W1046-Q1046,0))</f>
        <v>15</v>
      </c>
      <c r="S1046" s="47" t="n">
        <f aca="false">R1046*L1046</f>
        <v>1978020</v>
      </c>
      <c r="T1046" s="47" t="n">
        <f aca="false">R1046*J1046</f>
        <v>5985000</v>
      </c>
      <c r="U1046" s="47" t="n">
        <f aca="false">R1046*K1046</f>
        <v>1597500</v>
      </c>
      <c r="V1046" s="0" t="str">
        <f aca="false">IF(COUNTIFS($A$2:A1046,A1046,$C$2:C1046,C1046,$D$2:D1046,D1046)&gt;1,"중복","")</f>
        <v/>
      </c>
      <c r="W1046" s="0" t="n">
        <f aca="false">IF(V1046="중복",0,N(D1046))</f>
        <v>15</v>
      </c>
      <c r="X1046" s="0" t="n">
        <f aca="false">IF(COUNTIFS($A$2:A1046,A1046,$C$2:C1046,C1046)=1,ABS(SUMIFS(RAW_발주!$D:$D,RAW_발주!$C:$C,A1046,RAW_발주!$A:$A,C1046)-SUMIFS($W:$W,$A:$A,A1046,$C:$C,C1046)),0)</f>
        <v>0</v>
      </c>
    </row>
    <row r="1047" customFormat="false" ht="15" hidden="false" customHeight="true" outlineLevel="0" collapsed="false">
      <c r="A1047" s="45" t="s">
        <v>1667</v>
      </c>
      <c r="B1047" s="42" t="str">
        <f aca="false">IF(A1047="100","HK",IF(A1047="200","CN",IF(A1047="300","TW","홀세일")))</f>
        <v>홀세일</v>
      </c>
      <c r="C1047" s="45" t="s">
        <v>1690</v>
      </c>
      <c r="D1047" s="46" t="n">
        <v>26</v>
      </c>
      <c r="E1047" s="46" t="n">
        <v>399000</v>
      </c>
      <c r="F1047" s="46" t="n">
        <v>106500</v>
      </c>
      <c r="G1047" s="42" t="n">
        <v>3.5</v>
      </c>
      <c r="H1047" s="42" t="n">
        <v>99.9</v>
      </c>
      <c r="I1047" s="42" t="n">
        <v>0</v>
      </c>
      <c r="J1047" s="46" t="n">
        <f aca="false">IF(N(E1047)&gt;0,E1047,IF(N(F1047)&gt;0,F1047*요약!$F$27,0))</f>
        <v>399000</v>
      </c>
      <c r="K1047" s="46" t="n">
        <f aca="false">IF(N(F1047)&gt;0,F1047,IF(N(E1047)&gt;0,E1047/요약!$F$27,0))</f>
        <v>106500</v>
      </c>
      <c r="L1047" s="46" t="n">
        <f aca="false">IF(B1047="CN",IF(N(I1047)&gt;0,I1047*요약!$G$27,K1047*(1+요약!$E$27)),IF(N(H1047)&gt;0,H1047*요약!$G$27,J1047*요약!$D$27))</f>
        <v>131868</v>
      </c>
      <c r="M1047" s="46" t="n">
        <f aca="false">D1047*J1047</f>
        <v>10374000</v>
      </c>
      <c r="N1047" s="46" t="n">
        <f aca="false">D1047*K1047</f>
        <v>2769000</v>
      </c>
      <c r="O1047" s="46" t="n">
        <f aca="false">D1047*L1047</f>
        <v>3428568</v>
      </c>
      <c r="P1047" s="42" t="str">
        <f aca="false">TRIM(IF(N(E1047)&lt;=0,"택가보정 ","")&amp;IF(N(F1047)&lt;=0,"원가보정 ","")&amp;IF(AND(B1047&lt;&gt;"CN",N(H1047)&lt;=0),"공급가보정 ","")&amp;IF(AND(B1047="CN",N(I1047)&lt;=0),"중국공급가=원가+마진 ",""))</f>
        <v/>
      </c>
      <c r="Q1047" s="47" t="n">
        <f aca="false">IF(SUMIFS($W:$W,$A:$A,A1047,$C:$C,C1047)=0,0,SUMIFS(RAW_판매펀칭!$K:$K,RAW_판매펀칭!$P:$P,A1047,RAW_판매펀칭!$I:$I,C1047)*W1047/SUMIFS($W:$W,$A:$A,A1047,$C:$C,C1047))</f>
        <v>0</v>
      </c>
      <c r="R1047" s="47" t="n">
        <f aca="false">IF(OR(A1047="500",A1047="800",A1047="810"),0,MAX(W1047-Q1047,0))</f>
        <v>26</v>
      </c>
      <c r="S1047" s="47" t="n">
        <f aca="false">R1047*L1047</f>
        <v>3428568</v>
      </c>
      <c r="T1047" s="47" t="n">
        <f aca="false">R1047*J1047</f>
        <v>10374000</v>
      </c>
      <c r="U1047" s="47" t="n">
        <f aca="false">R1047*K1047</f>
        <v>2769000</v>
      </c>
      <c r="V1047" s="0" t="str">
        <f aca="false">IF(COUNTIFS($A$2:A1047,A1047,$C$2:C1047,C1047,$D$2:D1047,D1047)&gt;1,"중복","")</f>
        <v/>
      </c>
      <c r="W1047" s="0" t="n">
        <f aca="false">IF(V1047="중복",0,N(D1047))</f>
        <v>26</v>
      </c>
      <c r="X1047" s="0" t="n">
        <f aca="false">IF(COUNTIFS($A$2:A1047,A1047,$C$2:C1047,C1047)=1,ABS(SUMIFS(RAW_발주!$D:$D,RAW_발주!$C:$C,A1047,RAW_발주!$A:$A,C1047)-SUMIFS($W:$W,$A:$A,A1047,$C:$C,C1047)),0)</f>
        <v>0</v>
      </c>
    </row>
    <row r="1048" customFormat="false" ht="15" hidden="false" customHeight="true" outlineLevel="0" collapsed="false">
      <c r="A1048" s="45" t="s">
        <v>1659</v>
      </c>
      <c r="B1048" s="42" t="str">
        <f aca="false">IF(A1048="100","HK",IF(A1048="200","CN",IF(A1048="300","TW","홀세일")))</f>
        <v>HK</v>
      </c>
      <c r="C1048" s="45" t="s">
        <v>507</v>
      </c>
      <c r="D1048" s="46" t="n">
        <v>150</v>
      </c>
      <c r="E1048" s="46" t="n">
        <v>399000</v>
      </c>
      <c r="F1048" s="46" t="n">
        <v>105770</v>
      </c>
      <c r="G1048" s="42" t="n">
        <v>3.85</v>
      </c>
      <c r="H1048" s="42" t="n">
        <v>99.9</v>
      </c>
      <c r="I1048" s="42" t="n">
        <v>0</v>
      </c>
      <c r="J1048" s="46" t="n">
        <f aca="false">IF(N(E1048)&gt;0,E1048,IF(N(F1048)&gt;0,F1048*요약!$F$27,0))</f>
        <v>399000</v>
      </c>
      <c r="K1048" s="46" t="n">
        <f aca="false">IF(N(F1048)&gt;0,F1048,IF(N(E1048)&gt;0,E1048/요약!$F$27,0))</f>
        <v>105770</v>
      </c>
      <c r="L1048" s="46" t="n">
        <f aca="false">IF(B1048="CN",IF(N(I1048)&gt;0,I1048*요약!$G$27,K1048*(1+요약!$E$27)),IF(N(H1048)&gt;0,H1048*요약!$G$27,J1048*요약!$D$27))</f>
        <v>131868</v>
      </c>
      <c r="M1048" s="46" t="n">
        <f aca="false">D1048*J1048</f>
        <v>59850000</v>
      </c>
      <c r="N1048" s="46" t="n">
        <f aca="false">D1048*K1048</f>
        <v>15865500</v>
      </c>
      <c r="O1048" s="46" t="n">
        <f aca="false">D1048*L1048</f>
        <v>19780200</v>
      </c>
      <c r="P1048" s="42" t="str">
        <f aca="false">TRIM(IF(N(E1048)&lt;=0,"택가보정 ","")&amp;IF(N(F1048)&lt;=0,"원가보정 ","")&amp;IF(AND(B1048&lt;&gt;"CN",N(H1048)&lt;=0),"공급가보정 ","")&amp;IF(AND(B1048="CN",N(I1048)&lt;=0),"중국공급가=원가+마진 ",""))</f>
        <v/>
      </c>
      <c r="Q1048" s="47" t="n">
        <f aca="false">IF(SUMIFS($W:$W,$A:$A,A1048,$C:$C,C1048)=0,0,SUMIFS(RAW_판매펀칭!$K:$K,RAW_판매펀칭!$P:$P,A1048,RAW_판매펀칭!$I:$I,C1048)*W1048/SUMIFS($W:$W,$A:$A,A1048,$C:$C,C1048))</f>
        <v>100</v>
      </c>
      <c r="R1048" s="47" t="n">
        <f aca="false">IF(OR(A1048="500",A1048="800",A1048="810"),0,MAX(W1048-Q1048,0))</f>
        <v>50</v>
      </c>
      <c r="S1048" s="47" t="n">
        <f aca="false">R1048*L1048</f>
        <v>6593400</v>
      </c>
      <c r="T1048" s="47" t="n">
        <f aca="false">R1048*J1048</f>
        <v>19950000</v>
      </c>
      <c r="U1048" s="47" t="n">
        <f aca="false">R1048*K1048</f>
        <v>5288500</v>
      </c>
      <c r="V1048" s="0" t="str">
        <f aca="false">IF(COUNTIFS($A$2:A1048,A1048,$C$2:C1048,C1048,$D$2:D1048,D1048)&gt;1,"중복","")</f>
        <v/>
      </c>
      <c r="W1048" s="0" t="n">
        <f aca="false">IF(V1048="중복",0,N(D1048))</f>
        <v>150</v>
      </c>
      <c r="X1048" s="0" t="n">
        <f aca="false">IF(COUNTIFS($A$2:A1048,A1048,$C$2:C1048,C1048)=1,ABS(SUMIFS(RAW_발주!$D:$D,RAW_발주!$C:$C,A1048,RAW_발주!$A:$A,C1048)-SUMIFS($W:$W,$A:$A,A1048,$C:$C,C1048)),0)</f>
        <v>0</v>
      </c>
    </row>
    <row r="1049" customFormat="false" ht="15" hidden="false" customHeight="true" outlineLevel="0" collapsed="false">
      <c r="A1049" s="45" t="s">
        <v>1661</v>
      </c>
      <c r="B1049" s="42" t="str">
        <f aca="false">IF(A1049="100","HK",IF(A1049="200","CN",IF(A1049="300","TW","홀세일")))</f>
        <v>TW</v>
      </c>
      <c r="C1049" s="45" t="s">
        <v>507</v>
      </c>
      <c r="D1049" s="46" t="n">
        <v>420</v>
      </c>
      <c r="E1049" s="46" t="n">
        <v>399000</v>
      </c>
      <c r="F1049" s="46" t="n">
        <v>105770</v>
      </c>
      <c r="G1049" s="42" t="n">
        <v>3.85</v>
      </c>
      <c r="H1049" s="42" t="n">
        <v>99.9</v>
      </c>
      <c r="I1049" s="42" t="n">
        <v>0</v>
      </c>
      <c r="J1049" s="46" t="n">
        <f aca="false">IF(N(E1049)&gt;0,E1049,IF(N(F1049)&gt;0,F1049*요약!$F$27,0))</f>
        <v>399000</v>
      </c>
      <c r="K1049" s="46" t="n">
        <f aca="false">IF(N(F1049)&gt;0,F1049,IF(N(E1049)&gt;0,E1049/요약!$F$27,0))</f>
        <v>105770</v>
      </c>
      <c r="L1049" s="46" t="n">
        <f aca="false">IF(B1049="CN",IF(N(I1049)&gt;0,I1049*요약!$G$27,K1049*(1+요약!$E$27)),IF(N(H1049)&gt;0,H1049*요약!$G$27,J1049*요약!$D$27))</f>
        <v>131868</v>
      </c>
      <c r="M1049" s="46" t="n">
        <f aca="false">D1049*J1049</f>
        <v>167580000</v>
      </c>
      <c r="N1049" s="46" t="n">
        <f aca="false">D1049*K1049</f>
        <v>44423400</v>
      </c>
      <c r="O1049" s="46" t="n">
        <f aca="false">D1049*L1049</f>
        <v>55384560</v>
      </c>
      <c r="P1049" s="42" t="str">
        <f aca="false">TRIM(IF(N(E1049)&lt;=0,"택가보정 ","")&amp;IF(N(F1049)&lt;=0,"원가보정 ","")&amp;IF(AND(B1049&lt;&gt;"CN",N(H1049)&lt;=0),"공급가보정 ","")&amp;IF(AND(B1049="CN",N(I1049)&lt;=0),"중국공급가=원가+마진 ",""))</f>
        <v/>
      </c>
      <c r="Q1049" s="47" t="n">
        <f aca="false">IF(SUMIFS($W:$W,$A:$A,A1049,$C:$C,C1049)=0,0,SUMIFS(RAW_판매펀칭!$K:$K,RAW_판매펀칭!$P:$P,A1049,RAW_판매펀칭!$I:$I,C1049)*W1049/SUMIFS($W:$W,$A:$A,A1049,$C:$C,C1049))</f>
        <v>360</v>
      </c>
      <c r="R1049" s="47" t="n">
        <f aca="false">IF(OR(A1049="500",A1049="800",A1049="810"),0,MAX(W1049-Q1049,0))</f>
        <v>60</v>
      </c>
      <c r="S1049" s="47" t="n">
        <f aca="false">R1049*L1049</f>
        <v>7912080</v>
      </c>
      <c r="T1049" s="47" t="n">
        <f aca="false">R1049*J1049</f>
        <v>23940000</v>
      </c>
      <c r="U1049" s="47" t="n">
        <f aca="false">R1049*K1049</f>
        <v>6346200</v>
      </c>
      <c r="V1049" s="0" t="str">
        <f aca="false">IF(COUNTIFS($A$2:A1049,A1049,$C$2:C1049,C1049,$D$2:D1049,D1049)&gt;1,"중복","")</f>
        <v/>
      </c>
      <c r="W1049" s="0" t="n">
        <f aca="false">IF(V1049="중복",0,N(D1049))</f>
        <v>420</v>
      </c>
      <c r="X1049" s="0" t="n">
        <f aca="false">IF(COUNTIFS($A$2:A1049,A1049,$C$2:C1049,C1049)=1,ABS(SUMIFS(RAW_발주!$D:$D,RAW_발주!$C:$C,A1049,RAW_발주!$A:$A,C1049)-SUMIFS($W:$W,$A:$A,A1049,$C:$C,C1049)),0)</f>
        <v>0</v>
      </c>
    </row>
    <row r="1050" customFormat="false" ht="15" hidden="false" customHeight="true" outlineLevel="0" collapsed="false">
      <c r="A1050" s="45" t="s">
        <v>1664</v>
      </c>
      <c r="B1050" s="42" t="str">
        <f aca="false">IF(A1050="100","HK",IF(A1050="200","CN",IF(A1050="300","TW","홀세일")))</f>
        <v>홀세일</v>
      </c>
      <c r="C1050" s="45" t="s">
        <v>507</v>
      </c>
      <c r="D1050" s="46" t="n">
        <v>40</v>
      </c>
      <c r="E1050" s="46" t="n">
        <v>399000</v>
      </c>
      <c r="F1050" s="46" t="n">
        <v>105770</v>
      </c>
      <c r="G1050" s="42" t="n">
        <v>3.85</v>
      </c>
      <c r="H1050" s="42" t="n">
        <v>99.9</v>
      </c>
      <c r="I1050" s="42" t="n">
        <v>0</v>
      </c>
      <c r="J1050" s="46" t="n">
        <f aca="false">IF(N(E1050)&gt;0,E1050,IF(N(F1050)&gt;0,F1050*요약!$F$27,0))</f>
        <v>399000</v>
      </c>
      <c r="K1050" s="46" t="n">
        <f aca="false">IF(N(F1050)&gt;0,F1050,IF(N(E1050)&gt;0,E1050/요약!$F$27,0))</f>
        <v>105770</v>
      </c>
      <c r="L1050" s="46" t="n">
        <f aca="false">IF(B1050="CN",IF(N(I1050)&gt;0,I1050*요약!$G$27,K1050*(1+요약!$E$27)),IF(N(H1050)&gt;0,H1050*요약!$G$27,J1050*요약!$D$27))</f>
        <v>131868</v>
      </c>
      <c r="M1050" s="46" t="n">
        <f aca="false">D1050*J1050</f>
        <v>15960000</v>
      </c>
      <c r="N1050" s="46" t="n">
        <f aca="false">D1050*K1050</f>
        <v>4230800</v>
      </c>
      <c r="O1050" s="46" t="n">
        <f aca="false">D1050*L1050</f>
        <v>5274720</v>
      </c>
      <c r="P1050" s="42" t="str">
        <f aca="false">TRIM(IF(N(E1050)&lt;=0,"택가보정 ","")&amp;IF(N(F1050)&lt;=0,"원가보정 ","")&amp;IF(AND(B1050&lt;&gt;"CN",N(H1050)&lt;=0),"공급가보정 ","")&amp;IF(AND(B1050="CN",N(I1050)&lt;=0),"중국공급가=원가+마진 ",""))</f>
        <v/>
      </c>
      <c r="Q1050" s="47" t="n">
        <f aca="false">IF(SUMIFS($W:$W,$A:$A,A1050,$C:$C,C1050)=0,0,SUMIFS(RAW_판매펀칭!$K:$K,RAW_판매펀칭!$P:$P,A1050,RAW_판매펀칭!$I:$I,C1050)*W1050/SUMIFS($W:$W,$A:$A,A1050,$C:$C,C1050))</f>
        <v>0</v>
      </c>
      <c r="R1050" s="47" t="n">
        <f aca="false">IF(OR(A1050="500",A1050="800",A1050="810"),0,MAX(W1050-Q1050,0))</f>
        <v>0</v>
      </c>
      <c r="S1050" s="47" t="n">
        <f aca="false">R1050*L1050</f>
        <v>0</v>
      </c>
      <c r="T1050" s="47" t="n">
        <f aca="false">R1050*J1050</f>
        <v>0</v>
      </c>
      <c r="U1050" s="47" t="n">
        <f aca="false">R1050*K1050</f>
        <v>0</v>
      </c>
      <c r="V1050" s="0" t="str">
        <f aca="false">IF(COUNTIFS($A$2:A1050,A1050,$C$2:C1050,C1050,$D$2:D1050,D1050)&gt;1,"중복","")</f>
        <v/>
      </c>
      <c r="W1050" s="0" t="n">
        <f aca="false">IF(V1050="중복",0,N(D1050))</f>
        <v>40</v>
      </c>
      <c r="X1050" s="0" t="n">
        <f aca="false">IF(COUNTIFS($A$2:A1050,A1050,$C$2:C1050,C1050)=1,ABS(SUMIFS(RAW_발주!$D:$D,RAW_발주!$C:$C,A1050,RAW_발주!$A:$A,C1050)-SUMIFS($W:$W,$A:$A,A1050,$C:$C,C1050)),0)</f>
        <v>0</v>
      </c>
    </row>
    <row r="1051" customFormat="false" ht="15" hidden="false" customHeight="true" outlineLevel="0" collapsed="false">
      <c r="A1051" s="45" t="s">
        <v>1659</v>
      </c>
      <c r="B1051" s="42" t="str">
        <f aca="false">IF(A1051="100","HK",IF(A1051="200","CN",IF(A1051="300","TW","홀세일")))</f>
        <v>HK</v>
      </c>
      <c r="C1051" s="45" t="s">
        <v>509</v>
      </c>
      <c r="D1051" s="46" t="n">
        <v>200</v>
      </c>
      <c r="E1051" s="46" t="n">
        <v>359000</v>
      </c>
      <c r="F1051" s="46" t="n">
        <v>104926</v>
      </c>
      <c r="G1051" s="42" t="n">
        <v>3.89</v>
      </c>
      <c r="H1051" s="42" t="n">
        <v>89.9</v>
      </c>
      <c r="I1051" s="42" t="n">
        <v>76.1</v>
      </c>
      <c r="J1051" s="46" t="n">
        <f aca="false">IF(N(E1051)&gt;0,E1051,IF(N(F1051)&gt;0,F1051*요약!$F$27,0))</f>
        <v>359000</v>
      </c>
      <c r="K1051" s="46" t="n">
        <f aca="false">IF(N(F1051)&gt;0,F1051,IF(N(E1051)&gt;0,E1051/요약!$F$27,0))</f>
        <v>104926</v>
      </c>
      <c r="L1051" s="46" t="n">
        <f aca="false">IF(B1051="CN",IF(N(I1051)&gt;0,I1051*요약!$G$27,K1051*(1+요약!$E$27)),IF(N(H1051)&gt;0,H1051*요약!$G$27,J1051*요약!$D$27))</f>
        <v>118668</v>
      </c>
      <c r="M1051" s="46" t="n">
        <f aca="false">D1051*J1051</f>
        <v>71800000</v>
      </c>
      <c r="N1051" s="46" t="n">
        <f aca="false">D1051*K1051</f>
        <v>20985200</v>
      </c>
      <c r="O1051" s="46" t="n">
        <f aca="false">D1051*L1051</f>
        <v>23733600</v>
      </c>
      <c r="P1051" s="42" t="str">
        <f aca="false">TRIM(IF(N(E1051)&lt;=0,"택가보정 ","")&amp;IF(N(F1051)&lt;=0,"원가보정 ","")&amp;IF(AND(B1051&lt;&gt;"CN",N(H1051)&lt;=0),"공급가보정 ","")&amp;IF(AND(B1051="CN",N(I1051)&lt;=0),"중국공급가=원가+마진 ",""))</f>
        <v/>
      </c>
      <c r="Q1051" s="47" t="n">
        <f aca="false">IF(SUMIFS($W:$W,$A:$A,A1051,$C:$C,C1051)=0,0,SUMIFS(RAW_판매펀칭!$K:$K,RAW_판매펀칭!$P:$P,A1051,RAW_판매펀칭!$I:$I,C1051)*W1051/SUMIFS($W:$W,$A:$A,A1051,$C:$C,C1051))</f>
        <v>186</v>
      </c>
      <c r="R1051" s="47" t="n">
        <f aca="false">IF(OR(A1051="500",A1051="800",A1051="810"),0,MAX(W1051-Q1051,0))</f>
        <v>14</v>
      </c>
      <c r="S1051" s="47" t="n">
        <f aca="false">R1051*L1051</f>
        <v>1661352</v>
      </c>
      <c r="T1051" s="47" t="n">
        <f aca="false">R1051*J1051</f>
        <v>5026000</v>
      </c>
      <c r="U1051" s="47" t="n">
        <f aca="false">R1051*K1051</f>
        <v>1468964</v>
      </c>
      <c r="V1051" s="0" t="str">
        <f aca="false">IF(COUNTIFS($A$2:A1051,A1051,$C$2:C1051,C1051,$D$2:D1051,D1051)&gt;1,"중복","")</f>
        <v/>
      </c>
      <c r="W1051" s="0" t="n">
        <f aca="false">IF(V1051="중복",0,N(D1051))</f>
        <v>200</v>
      </c>
      <c r="X1051" s="0" t="n">
        <f aca="false">IF(COUNTIFS($A$2:A1051,A1051,$C$2:C1051,C1051)=1,ABS(SUMIFS(RAW_발주!$D:$D,RAW_발주!$C:$C,A1051,RAW_발주!$A:$A,C1051)-SUMIFS($W:$W,$A:$A,A1051,$C:$C,C1051)),0)</f>
        <v>0</v>
      </c>
    </row>
    <row r="1052" customFormat="false" ht="15" hidden="false" customHeight="true" outlineLevel="0" collapsed="false">
      <c r="A1052" s="45" t="s">
        <v>1660</v>
      </c>
      <c r="B1052" s="42" t="str">
        <f aca="false">IF(A1052="100","HK",IF(A1052="200","CN",IF(A1052="300","TW","홀세일")))</f>
        <v>CN</v>
      </c>
      <c r="C1052" s="45" t="s">
        <v>509</v>
      </c>
      <c r="D1052" s="46" t="n">
        <v>263</v>
      </c>
      <c r="E1052" s="46" t="n">
        <v>359000</v>
      </c>
      <c r="F1052" s="46" t="n">
        <v>104926</v>
      </c>
      <c r="G1052" s="42" t="n">
        <v>3.89</v>
      </c>
      <c r="H1052" s="42" t="n">
        <v>89.9</v>
      </c>
      <c r="I1052" s="42" t="n">
        <v>76.1</v>
      </c>
      <c r="J1052" s="46" t="n">
        <f aca="false">IF(N(E1052)&gt;0,E1052,IF(N(F1052)&gt;0,F1052*요약!$F$27,0))</f>
        <v>359000</v>
      </c>
      <c r="K1052" s="46" t="n">
        <f aca="false">IF(N(F1052)&gt;0,F1052,IF(N(E1052)&gt;0,E1052/요약!$F$27,0))</f>
        <v>104926</v>
      </c>
      <c r="L1052" s="46" t="n">
        <f aca="false">IF(B1052="CN",IF(N(I1052)&gt;0,I1052*요약!$G$27,K1052*(1+요약!$E$27)),IF(N(H1052)&gt;0,H1052*요약!$G$27,J1052*요약!$D$27))</f>
        <v>100452</v>
      </c>
      <c r="M1052" s="46" t="n">
        <f aca="false">D1052*J1052</f>
        <v>94417000</v>
      </c>
      <c r="N1052" s="46" t="n">
        <f aca="false">D1052*K1052</f>
        <v>27595538</v>
      </c>
      <c r="O1052" s="46" t="n">
        <f aca="false">D1052*L1052</f>
        <v>26418876</v>
      </c>
      <c r="P1052" s="42" t="str">
        <f aca="false">TRIM(IF(N(E1052)&lt;=0,"택가보정 ","")&amp;IF(N(F1052)&lt;=0,"원가보정 ","")&amp;IF(AND(B1052&lt;&gt;"CN",N(H1052)&lt;=0),"공급가보정 ","")&amp;IF(AND(B1052="CN",N(I1052)&lt;=0),"중국공급가=원가+마진 ",""))</f>
        <v/>
      </c>
      <c r="Q1052" s="47" t="n">
        <f aca="false">IF(SUMIFS($W:$W,$A:$A,A1052,$C:$C,C1052)=0,0,SUMIFS(RAW_판매펀칭!$K:$K,RAW_판매펀칭!$P:$P,A1052,RAW_판매펀칭!$I:$I,C1052)*W1052/SUMIFS($W:$W,$A:$A,A1052,$C:$C,C1052))</f>
        <v>252</v>
      </c>
      <c r="R1052" s="47" t="n">
        <f aca="false">IF(OR(A1052="500",A1052="800",A1052="810"),0,MAX(W1052-Q1052,0))</f>
        <v>11</v>
      </c>
      <c r="S1052" s="47" t="n">
        <f aca="false">R1052*L1052</f>
        <v>1104972</v>
      </c>
      <c r="T1052" s="47" t="n">
        <f aca="false">R1052*J1052</f>
        <v>3949000</v>
      </c>
      <c r="U1052" s="47" t="n">
        <f aca="false">R1052*K1052</f>
        <v>1154186</v>
      </c>
      <c r="V1052" s="0" t="str">
        <f aca="false">IF(COUNTIFS($A$2:A1052,A1052,$C$2:C1052,C1052,$D$2:D1052,D1052)&gt;1,"중복","")</f>
        <v/>
      </c>
      <c r="W1052" s="0" t="n">
        <f aca="false">IF(V1052="중복",0,N(D1052))</f>
        <v>263</v>
      </c>
      <c r="X1052" s="0" t="n">
        <f aca="false">IF(COUNTIFS($A$2:A1052,A1052,$C$2:C1052,C1052)=1,ABS(SUMIFS(RAW_발주!$D:$D,RAW_발주!$C:$C,A1052,RAW_발주!$A:$A,C1052)-SUMIFS($W:$W,$A:$A,A1052,$C:$C,C1052)),0)</f>
        <v>0</v>
      </c>
    </row>
    <row r="1053" customFormat="false" ht="15" hidden="false" customHeight="true" outlineLevel="0" collapsed="false">
      <c r="A1053" s="45" t="s">
        <v>1661</v>
      </c>
      <c r="B1053" s="42" t="str">
        <f aca="false">IF(A1053="100","HK",IF(A1053="200","CN",IF(A1053="300","TW","홀세일")))</f>
        <v>TW</v>
      </c>
      <c r="C1053" s="45" t="s">
        <v>509</v>
      </c>
      <c r="D1053" s="46" t="n">
        <v>140</v>
      </c>
      <c r="E1053" s="46" t="n">
        <v>359000</v>
      </c>
      <c r="F1053" s="46" t="n">
        <v>104926</v>
      </c>
      <c r="G1053" s="42" t="n">
        <v>3.89</v>
      </c>
      <c r="H1053" s="42" t="n">
        <v>89.9</v>
      </c>
      <c r="I1053" s="42" t="n">
        <v>76.1</v>
      </c>
      <c r="J1053" s="46" t="n">
        <f aca="false">IF(N(E1053)&gt;0,E1053,IF(N(F1053)&gt;0,F1053*요약!$F$27,0))</f>
        <v>359000</v>
      </c>
      <c r="K1053" s="46" t="n">
        <f aca="false">IF(N(F1053)&gt;0,F1053,IF(N(E1053)&gt;0,E1053/요약!$F$27,0))</f>
        <v>104926</v>
      </c>
      <c r="L1053" s="46" t="n">
        <f aca="false">IF(B1053="CN",IF(N(I1053)&gt;0,I1053*요약!$G$27,K1053*(1+요약!$E$27)),IF(N(H1053)&gt;0,H1053*요약!$G$27,J1053*요약!$D$27))</f>
        <v>118668</v>
      </c>
      <c r="M1053" s="46" t="n">
        <f aca="false">D1053*J1053</f>
        <v>50260000</v>
      </c>
      <c r="N1053" s="46" t="n">
        <f aca="false">D1053*K1053</f>
        <v>14689640</v>
      </c>
      <c r="O1053" s="46" t="n">
        <f aca="false">D1053*L1053</f>
        <v>16613520</v>
      </c>
      <c r="P1053" s="42" t="str">
        <f aca="false">TRIM(IF(N(E1053)&lt;=0,"택가보정 ","")&amp;IF(N(F1053)&lt;=0,"원가보정 ","")&amp;IF(AND(B1053&lt;&gt;"CN",N(H1053)&lt;=0),"공급가보정 ","")&amp;IF(AND(B1053="CN",N(I1053)&lt;=0),"중국공급가=원가+마진 ",""))</f>
        <v/>
      </c>
      <c r="Q1053" s="47" t="n">
        <f aca="false">IF(SUMIFS($W:$W,$A:$A,A1053,$C:$C,C1053)=0,0,SUMIFS(RAW_판매펀칭!$K:$K,RAW_판매펀칭!$P:$P,A1053,RAW_판매펀칭!$I:$I,C1053)*W1053/SUMIFS($W:$W,$A:$A,A1053,$C:$C,C1053))</f>
        <v>138</v>
      </c>
      <c r="R1053" s="47" t="n">
        <f aca="false">IF(OR(A1053="500",A1053="800",A1053="810"),0,MAX(W1053-Q1053,0))</f>
        <v>2</v>
      </c>
      <c r="S1053" s="47" t="n">
        <f aca="false">R1053*L1053</f>
        <v>237336</v>
      </c>
      <c r="T1053" s="47" t="n">
        <f aca="false">R1053*J1053</f>
        <v>718000</v>
      </c>
      <c r="U1053" s="47" t="n">
        <f aca="false">R1053*K1053</f>
        <v>209852</v>
      </c>
      <c r="V1053" s="0" t="str">
        <f aca="false">IF(COUNTIFS($A$2:A1053,A1053,$C$2:C1053,C1053,$D$2:D1053,D1053)&gt;1,"중복","")</f>
        <v/>
      </c>
      <c r="W1053" s="0" t="n">
        <f aca="false">IF(V1053="중복",0,N(D1053))</f>
        <v>140</v>
      </c>
      <c r="X1053" s="0" t="n">
        <f aca="false">IF(COUNTIFS($A$2:A1053,A1053,$C$2:C1053,C1053)=1,ABS(SUMIFS(RAW_발주!$D:$D,RAW_발주!$C:$C,A1053,RAW_발주!$A:$A,C1053)-SUMIFS($W:$W,$A:$A,A1053,$C:$C,C1053)),0)</f>
        <v>0</v>
      </c>
    </row>
    <row r="1054" customFormat="false" ht="15" hidden="false" customHeight="true" outlineLevel="0" collapsed="false">
      <c r="A1054" s="45" t="s">
        <v>1659</v>
      </c>
      <c r="B1054" s="42" t="str">
        <f aca="false">IF(A1054="100","HK",IF(A1054="200","CN",IF(A1054="300","TW","홀세일")))</f>
        <v>HK</v>
      </c>
      <c r="C1054" s="45" t="s">
        <v>1077</v>
      </c>
      <c r="D1054" s="46" t="n">
        <v>50</v>
      </c>
      <c r="E1054" s="46" t="n">
        <v>459000</v>
      </c>
      <c r="F1054" s="46" t="n">
        <v>121700</v>
      </c>
      <c r="G1054" s="42" t="n">
        <v>3.24</v>
      </c>
      <c r="H1054" s="42" t="n">
        <v>117.9</v>
      </c>
      <c r="I1054" s="42" t="n">
        <v>99.2</v>
      </c>
      <c r="J1054" s="46" t="n">
        <f aca="false">IF(N(E1054)&gt;0,E1054,IF(N(F1054)&gt;0,F1054*요약!$F$27,0))</f>
        <v>459000</v>
      </c>
      <c r="K1054" s="46" t="n">
        <f aca="false">IF(N(F1054)&gt;0,F1054,IF(N(E1054)&gt;0,E1054/요약!$F$27,0))</f>
        <v>121700</v>
      </c>
      <c r="L1054" s="46" t="n">
        <f aca="false">IF(B1054="CN",IF(N(I1054)&gt;0,I1054*요약!$G$27,K1054*(1+요약!$E$27)),IF(N(H1054)&gt;0,H1054*요약!$G$27,J1054*요약!$D$27))</f>
        <v>155628</v>
      </c>
      <c r="M1054" s="46" t="n">
        <f aca="false">D1054*J1054</f>
        <v>22950000</v>
      </c>
      <c r="N1054" s="46" t="n">
        <f aca="false">D1054*K1054</f>
        <v>6085000</v>
      </c>
      <c r="O1054" s="46" t="n">
        <f aca="false">D1054*L1054</f>
        <v>7781400</v>
      </c>
      <c r="P1054" s="42" t="str">
        <f aca="false">TRIM(IF(N(E1054)&lt;=0,"택가보정 ","")&amp;IF(N(F1054)&lt;=0,"원가보정 ","")&amp;IF(AND(B1054&lt;&gt;"CN",N(H1054)&lt;=0),"공급가보정 ","")&amp;IF(AND(B1054="CN",N(I1054)&lt;=0),"중국공급가=원가+마진 ",""))</f>
        <v/>
      </c>
      <c r="Q1054" s="47" t="n">
        <f aca="false">IF(SUMIFS($W:$W,$A:$A,A1054,$C:$C,C1054)=0,0,SUMIFS(RAW_판매펀칭!$K:$K,RAW_판매펀칭!$P:$P,A1054,RAW_판매펀칭!$I:$I,C1054)*W1054/SUMIFS($W:$W,$A:$A,A1054,$C:$C,C1054))</f>
        <v>0</v>
      </c>
      <c r="R1054" s="47" t="n">
        <f aca="false">IF(OR(A1054="500",A1054="800",A1054="810"),0,MAX(W1054-Q1054,0))</f>
        <v>50</v>
      </c>
      <c r="S1054" s="47" t="n">
        <f aca="false">R1054*L1054</f>
        <v>7781400</v>
      </c>
      <c r="T1054" s="47" t="n">
        <f aca="false">R1054*J1054</f>
        <v>22950000</v>
      </c>
      <c r="U1054" s="47" t="n">
        <f aca="false">R1054*K1054</f>
        <v>6085000</v>
      </c>
      <c r="V1054" s="0" t="str">
        <f aca="false">IF(COUNTIFS($A$2:A1054,A1054,$C$2:C1054,C1054,$D$2:D1054,D1054)&gt;1,"중복","")</f>
        <v/>
      </c>
      <c r="W1054" s="0" t="n">
        <f aca="false">IF(V1054="중복",0,N(D1054))</f>
        <v>50</v>
      </c>
      <c r="X1054" s="0" t="n">
        <f aca="false">IF(COUNTIFS($A$2:A1054,A1054,$C$2:C1054,C1054)=1,ABS(SUMIFS(RAW_발주!$D:$D,RAW_발주!$C:$C,A1054,RAW_발주!$A:$A,C1054)-SUMIFS($W:$W,$A:$A,A1054,$C:$C,C1054)),0)</f>
        <v>0</v>
      </c>
    </row>
    <row r="1055" customFormat="false" ht="15" hidden="false" customHeight="true" outlineLevel="0" collapsed="false">
      <c r="A1055" s="45" t="s">
        <v>1660</v>
      </c>
      <c r="B1055" s="42" t="str">
        <f aca="false">IF(A1055="100","HK",IF(A1055="200","CN",IF(A1055="300","TW","홀세일")))</f>
        <v>CN</v>
      </c>
      <c r="C1055" s="45" t="s">
        <v>1077</v>
      </c>
      <c r="D1055" s="46" t="n">
        <v>222</v>
      </c>
      <c r="E1055" s="46" t="n">
        <v>459000</v>
      </c>
      <c r="F1055" s="46" t="n">
        <v>121700</v>
      </c>
      <c r="G1055" s="42" t="n">
        <v>3.24</v>
      </c>
      <c r="H1055" s="42" t="n">
        <v>117.9</v>
      </c>
      <c r="I1055" s="42" t="n">
        <v>99.2</v>
      </c>
      <c r="J1055" s="46" t="n">
        <f aca="false">IF(N(E1055)&gt;0,E1055,IF(N(F1055)&gt;0,F1055*요약!$F$27,0))</f>
        <v>459000</v>
      </c>
      <c r="K1055" s="46" t="n">
        <f aca="false">IF(N(F1055)&gt;0,F1055,IF(N(E1055)&gt;0,E1055/요약!$F$27,0))</f>
        <v>121700</v>
      </c>
      <c r="L1055" s="46" t="n">
        <f aca="false">IF(B1055="CN",IF(N(I1055)&gt;0,I1055*요약!$G$27,K1055*(1+요약!$E$27)),IF(N(H1055)&gt;0,H1055*요약!$G$27,J1055*요약!$D$27))</f>
        <v>130944</v>
      </c>
      <c r="M1055" s="46" t="n">
        <f aca="false">D1055*J1055</f>
        <v>101898000</v>
      </c>
      <c r="N1055" s="46" t="n">
        <f aca="false">D1055*K1055</f>
        <v>27017400</v>
      </c>
      <c r="O1055" s="46" t="n">
        <f aca="false">D1055*L1055</f>
        <v>29069568</v>
      </c>
      <c r="P1055" s="42" t="str">
        <f aca="false">TRIM(IF(N(E1055)&lt;=0,"택가보정 ","")&amp;IF(N(F1055)&lt;=0,"원가보정 ","")&amp;IF(AND(B1055&lt;&gt;"CN",N(H1055)&lt;=0),"공급가보정 ","")&amp;IF(AND(B1055="CN",N(I1055)&lt;=0),"중국공급가=원가+마진 ",""))</f>
        <v/>
      </c>
      <c r="Q1055" s="47" t="n">
        <f aca="false">IF(SUMIFS($W:$W,$A:$A,A1055,$C:$C,C1055)=0,0,SUMIFS(RAW_판매펀칭!$K:$K,RAW_판매펀칭!$P:$P,A1055,RAW_판매펀칭!$I:$I,C1055)*W1055/SUMIFS($W:$W,$A:$A,A1055,$C:$C,C1055))</f>
        <v>2</v>
      </c>
      <c r="R1055" s="47" t="n">
        <f aca="false">IF(OR(A1055="500",A1055="800",A1055="810"),0,MAX(W1055-Q1055,0))</f>
        <v>220</v>
      </c>
      <c r="S1055" s="47" t="n">
        <f aca="false">R1055*L1055</f>
        <v>28807680</v>
      </c>
      <c r="T1055" s="47" t="n">
        <f aca="false">R1055*J1055</f>
        <v>100980000</v>
      </c>
      <c r="U1055" s="47" t="n">
        <f aca="false">R1055*K1055</f>
        <v>26774000</v>
      </c>
      <c r="V1055" s="0" t="str">
        <f aca="false">IF(COUNTIFS($A$2:A1055,A1055,$C$2:C1055,C1055,$D$2:D1055,D1055)&gt;1,"중복","")</f>
        <v/>
      </c>
      <c r="W1055" s="0" t="n">
        <f aca="false">IF(V1055="중복",0,N(D1055))</f>
        <v>222</v>
      </c>
      <c r="X1055" s="0" t="n">
        <f aca="false">IF(COUNTIFS($A$2:A1055,A1055,$C$2:C1055,C1055)=1,ABS(SUMIFS(RAW_발주!$D:$D,RAW_발주!$C:$C,A1055,RAW_발주!$A:$A,C1055)-SUMIFS($W:$W,$A:$A,A1055,$C:$C,C1055)),0)</f>
        <v>0</v>
      </c>
    </row>
    <row r="1056" customFormat="false" ht="15" hidden="false" customHeight="true" outlineLevel="0" collapsed="false">
      <c r="A1056" s="45" t="s">
        <v>1659</v>
      </c>
      <c r="B1056" s="42" t="str">
        <f aca="false">IF(A1056="100","HK",IF(A1056="200","CN",IF(A1056="300","TW","홀세일")))</f>
        <v>HK</v>
      </c>
      <c r="C1056" s="45" t="s">
        <v>1691</v>
      </c>
      <c r="D1056" s="46" t="n">
        <v>50</v>
      </c>
      <c r="E1056" s="46" t="n">
        <v>299000</v>
      </c>
      <c r="F1056" s="46"/>
      <c r="G1056" s="42" t="n">
        <v>2.88</v>
      </c>
      <c r="H1056" s="42" t="n">
        <v>76.8</v>
      </c>
      <c r="J1056" s="46" t="n">
        <f aca="false">IF(N(E1056)&gt;0,E1056,IF(N(F1056)&gt;0,F1056*요약!$F$27,0))</f>
        <v>299000</v>
      </c>
      <c r="K1056" s="46" t="n">
        <f aca="false">IF(N(F1056)&gt;0,F1056,IF(N(E1056)&gt;0,E1056/요약!$F$27,0))</f>
        <v>74750</v>
      </c>
      <c r="L1056" s="46" t="n">
        <f aca="false">IF(B1056="CN",IF(N(I1056)&gt;0,I1056*요약!$G$27,K1056*(1+요약!$E$27)),IF(N(H1056)&gt;0,H1056*요약!$G$27,J1056*요약!$D$27))</f>
        <v>101376</v>
      </c>
      <c r="M1056" s="46" t="n">
        <f aca="false">D1056*J1056</f>
        <v>14950000</v>
      </c>
      <c r="N1056" s="46" t="n">
        <f aca="false">D1056*K1056</f>
        <v>3737500</v>
      </c>
      <c r="O1056" s="46" t="n">
        <f aca="false">D1056*L1056</f>
        <v>5068800</v>
      </c>
      <c r="P1056" s="42" t="str">
        <f aca="false">TRIM(IF(N(E1056)&lt;=0,"택가보정 ","")&amp;IF(N(F1056)&lt;=0,"원가보정 ","")&amp;IF(AND(B1056&lt;&gt;"CN",N(H1056)&lt;=0),"공급가보정 ","")&amp;IF(AND(B1056="CN",N(I1056)&lt;=0),"중국공급가=원가+마진 ",""))</f>
        <v>원가보정</v>
      </c>
      <c r="Q1056" s="47" t="n">
        <f aca="false">IF(SUMIFS($W:$W,$A:$A,A1056,$C:$C,C1056)=0,0,SUMIFS(RAW_판매펀칭!$K:$K,RAW_판매펀칭!$P:$P,A1056,RAW_판매펀칭!$I:$I,C1056)*W1056/SUMIFS($W:$W,$A:$A,A1056,$C:$C,C1056))</f>
        <v>0</v>
      </c>
      <c r="R1056" s="47" t="n">
        <f aca="false">IF(OR(A1056="500",A1056="800",A1056="810"),0,MAX(W1056-Q1056,0))</f>
        <v>50</v>
      </c>
      <c r="S1056" s="47" t="n">
        <f aca="false">R1056*L1056</f>
        <v>5068800</v>
      </c>
      <c r="T1056" s="47" t="n">
        <f aca="false">R1056*J1056</f>
        <v>14950000</v>
      </c>
      <c r="U1056" s="47" t="n">
        <f aca="false">R1056*K1056</f>
        <v>3737500</v>
      </c>
      <c r="V1056" s="0" t="str">
        <f aca="false">IF(COUNTIFS($A$2:A1056,A1056,$C$2:C1056,C1056,$D$2:D1056,D1056)&gt;1,"중복","")</f>
        <v/>
      </c>
      <c r="W1056" s="0" t="n">
        <f aca="false">IF(V1056="중복",0,N(D1056))</f>
        <v>50</v>
      </c>
      <c r="X1056" s="0" t="n">
        <f aca="false">IF(COUNTIFS($A$2:A1056,A1056,$C$2:C1056,C1056)=1,ABS(SUMIFS(RAW_발주!$D:$D,RAW_발주!$C:$C,A1056,RAW_발주!$A:$A,C1056)-SUMIFS($W:$W,$A:$A,A1056,$C:$C,C1056)),0)</f>
        <v>0</v>
      </c>
    </row>
    <row r="1057" customFormat="false" ht="15" hidden="false" customHeight="true" outlineLevel="0" collapsed="false">
      <c r="A1057" s="45" t="s">
        <v>1661</v>
      </c>
      <c r="B1057" s="42" t="str">
        <f aca="false">IF(A1057="100","HK",IF(A1057="200","CN",IF(A1057="300","TW","홀세일")))</f>
        <v>TW</v>
      </c>
      <c r="C1057" s="45" t="s">
        <v>1691</v>
      </c>
      <c r="D1057" s="46" t="n">
        <v>320</v>
      </c>
      <c r="E1057" s="46" t="n">
        <v>299000</v>
      </c>
      <c r="F1057" s="46"/>
      <c r="G1057" s="42" t="n">
        <v>2.88</v>
      </c>
      <c r="H1057" s="42" t="n">
        <v>76.8</v>
      </c>
      <c r="J1057" s="46" t="n">
        <f aca="false">IF(N(E1057)&gt;0,E1057,IF(N(F1057)&gt;0,F1057*요약!$F$27,0))</f>
        <v>299000</v>
      </c>
      <c r="K1057" s="46" t="n">
        <f aca="false">IF(N(F1057)&gt;0,F1057,IF(N(E1057)&gt;0,E1057/요약!$F$27,0))</f>
        <v>74750</v>
      </c>
      <c r="L1057" s="46" t="n">
        <f aca="false">IF(B1057="CN",IF(N(I1057)&gt;0,I1057*요약!$G$27,K1057*(1+요약!$E$27)),IF(N(H1057)&gt;0,H1057*요약!$G$27,J1057*요약!$D$27))</f>
        <v>101376</v>
      </c>
      <c r="M1057" s="46" t="n">
        <f aca="false">D1057*J1057</f>
        <v>95680000</v>
      </c>
      <c r="N1057" s="46" t="n">
        <f aca="false">D1057*K1057</f>
        <v>23920000</v>
      </c>
      <c r="O1057" s="46" t="n">
        <f aca="false">D1057*L1057</f>
        <v>32440320</v>
      </c>
      <c r="P1057" s="42" t="str">
        <f aca="false">TRIM(IF(N(E1057)&lt;=0,"택가보정 ","")&amp;IF(N(F1057)&lt;=0,"원가보정 ","")&amp;IF(AND(B1057&lt;&gt;"CN",N(H1057)&lt;=0),"공급가보정 ","")&amp;IF(AND(B1057="CN",N(I1057)&lt;=0),"중국공급가=원가+마진 ",""))</f>
        <v>원가보정</v>
      </c>
      <c r="Q1057" s="47" t="n">
        <f aca="false">IF(SUMIFS($W:$W,$A:$A,A1057,$C:$C,C1057)=0,0,SUMIFS(RAW_판매펀칭!$K:$K,RAW_판매펀칭!$P:$P,A1057,RAW_판매펀칭!$I:$I,C1057)*W1057/SUMIFS($W:$W,$A:$A,A1057,$C:$C,C1057))</f>
        <v>0</v>
      </c>
      <c r="R1057" s="47" t="n">
        <f aca="false">IF(OR(A1057="500",A1057="800",A1057="810"),0,MAX(W1057-Q1057,0))</f>
        <v>320</v>
      </c>
      <c r="S1057" s="47" t="n">
        <f aca="false">R1057*L1057</f>
        <v>32440320</v>
      </c>
      <c r="T1057" s="47" t="n">
        <f aca="false">R1057*J1057</f>
        <v>95680000</v>
      </c>
      <c r="U1057" s="47" t="n">
        <f aca="false">R1057*K1057</f>
        <v>23920000</v>
      </c>
      <c r="V1057" s="0" t="str">
        <f aca="false">IF(COUNTIFS($A$2:A1057,A1057,$C$2:C1057,C1057,$D$2:D1057,D1057)&gt;1,"중복","")</f>
        <v/>
      </c>
      <c r="W1057" s="0" t="n">
        <f aca="false">IF(V1057="중복",0,N(D1057))</f>
        <v>320</v>
      </c>
      <c r="X1057" s="0" t="n">
        <f aca="false">IF(COUNTIFS($A$2:A1057,A1057,$C$2:C1057,C1057)=1,ABS(SUMIFS(RAW_발주!$D:$D,RAW_발주!$C:$C,A1057,RAW_발주!$A:$A,C1057)-SUMIFS($W:$W,$A:$A,A1057,$C:$C,C1057)),0)</f>
        <v>0</v>
      </c>
    </row>
    <row r="1058" customFormat="false" ht="15" hidden="false" customHeight="true" outlineLevel="0" collapsed="false">
      <c r="A1058" s="45" t="s">
        <v>1659</v>
      </c>
      <c r="B1058" s="42" t="str">
        <f aca="false">IF(A1058="100","HK",IF(A1058="200","CN",IF(A1058="300","TW","홀세일")))</f>
        <v>HK</v>
      </c>
      <c r="C1058" s="45" t="s">
        <v>511</v>
      </c>
      <c r="D1058" s="46" t="n">
        <v>150</v>
      </c>
      <c r="E1058" s="46" t="n">
        <v>439000</v>
      </c>
      <c r="F1058" s="46" t="n">
        <v>115174</v>
      </c>
      <c r="G1058" s="42" t="n">
        <v>3.45</v>
      </c>
      <c r="H1058" s="42" t="n">
        <v>109.9</v>
      </c>
      <c r="I1058" s="42" t="n">
        <v>86.4</v>
      </c>
      <c r="J1058" s="46" t="n">
        <f aca="false">IF(N(E1058)&gt;0,E1058,IF(N(F1058)&gt;0,F1058*요약!$F$27,0))</f>
        <v>439000</v>
      </c>
      <c r="K1058" s="46" t="n">
        <f aca="false">IF(N(F1058)&gt;0,F1058,IF(N(E1058)&gt;0,E1058/요약!$F$27,0))</f>
        <v>115174</v>
      </c>
      <c r="L1058" s="46" t="n">
        <f aca="false">IF(B1058="CN",IF(N(I1058)&gt;0,I1058*요약!$G$27,K1058*(1+요약!$E$27)),IF(N(H1058)&gt;0,H1058*요약!$G$27,J1058*요약!$D$27))</f>
        <v>145068</v>
      </c>
      <c r="M1058" s="46" t="n">
        <f aca="false">D1058*J1058</f>
        <v>65850000</v>
      </c>
      <c r="N1058" s="46" t="n">
        <f aca="false">D1058*K1058</f>
        <v>17276100</v>
      </c>
      <c r="O1058" s="46" t="n">
        <f aca="false">D1058*L1058</f>
        <v>21760200</v>
      </c>
      <c r="P1058" s="42" t="str">
        <f aca="false">TRIM(IF(N(E1058)&lt;=0,"택가보정 ","")&amp;IF(N(F1058)&lt;=0,"원가보정 ","")&amp;IF(AND(B1058&lt;&gt;"CN",N(H1058)&lt;=0),"공급가보정 ","")&amp;IF(AND(B1058="CN",N(I1058)&lt;=0),"중국공급가=원가+마진 ",""))</f>
        <v/>
      </c>
      <c r="Q1058" s="47" t="n">
        <f aca="false">IF(SUMIFS($W:$W,$A:$A,A1058,$C:$C,C1058)=0,0,SUMIFS(RAW_판매펀칭!$K:$K,RAW_판매펀칭!$P:$P,A1058,RAW_판매펀칭!$I:$I,C1058)*W1058/SUMIFS($W:$W,$A:$A,A1058,$C:$C,C1058))</f>
        <v>0</v>
      </c>
      <c r="R1058" s="47" t="n">
        <f aca="false">IF(OR(A1058="500",A1058="800",A1058="810"),0,MAX(W1058-Q1058,0))</f>
        <v>150</v>
      </c>
      <c r="S1058" s="47" t="n">
        <f aca="false">R1058*L1058</f>
        <v>21760200</v>
      </c>
      <c r="T1058" s="47" t="n">
        <f aca="false">R1058*J1058</f>
        <v>65850000</v>
      </c>
      <c r="U1058" s="47" t="n">
        <f aca="false">R1058*K1058</f>
        <v>17276100</v>
      </c>
      <c r="V1058" s="0" t="str">
        <f aca="false">IF(COUNTIFS($A$2:A1058,A1058,$C$2:C1058,C1058,$D$2:D1058,D1058)&gt;1,"중복","")</f>
        <v/>
      </c>
      <c r="W1058" s="0" t="n">
        <f aca="false">IF(V1058="중복",0,N(D1058))</f>
        <v>150</v>
      </c>
      <c r="X1058" s="0" t="n">
        <f aca="false">IF(COUNTIFS($A$2:A1058,A1058,$C$2:C1058,C1058)=1,ABS(SUMIFS(RAW_발주!$D:$D,RAW_발주!$C:$C,A1058,RAW_발주!$A:$A,C1058)-SUMIFS($W:$W,$A:$A,A1058,$C:$C,C1058)),0)</f>
        <v>0</v>
      </c>
    </row>
    <row r="1059" customFormat="false" ht="15" hidden="false" customHeight="true" outlineLevel="0" collapsed="false">
      <c r="A1059" s="45" t="s">
        <v>1660</v>
      </c>
      <c r="B1059" s="42" t="str">
        <f aca="false">IF(A1059="100","HK",IF(A1059="200","CN",IF(A1059="300","TW","홀세일")))</f>
        <v>CN</v>
      </c>
      <c r="C1059" s="45" t="s">
        <v>511</v>
      </c>
      <c r="D1059" s="46" t="n">
        <v>462</v>
      </c>
      <c r="E1059" s="46" t="n">
        <v>439000</v>
      </c>
      <c r="F1059" s="46" t="n">
        <v>115174</v>
      </c>
      <c r="G1059" s="42" t="n">
        <v>3.45</v>
      </c>
      <c r="H1059" s="42" t="n">
        <v>109.9</v>
      </c>
      <c r="I1059" s="42" t="n">
        <v>86.4</v>
      </c>
      <c r="J1059" s="46" t="n">
        <f aca="false">IF(N(E1059)&gt;0,E1059,IF(N(F1059)&gt;0,F1059*요약!$F$27,0))</f>
        <v>439000</v>
      </c>
      <c r="K1059" s="46" t="n">
        <f aca="false">IF(N(F1059)&gt;0,F1059,IF(N(E1059)&gt;0,E1059/요약!$F$27,0))</f>
        <v>115174</v>
      </c>
      <c r="L1059" s="46" t="n">
        <f aca="false">IF(B1059="CN",IF(N(I1059)&gt;0,I1059*요약!$G$27,K1059*(1+요약!$E$27)),IF(N(H1059)&gt;0,H1059*요약!$G$27,J1059*요약!$D$27))</f>
        <v>114048</v>
      </c>
      <c r="M1059" s="46" t="n">
        <f aca="false">D1059*J1059</f>
        <v>202818000</v>
      </c>
      <c r="N1059" s="46" t="n">
        <f aca="false">D1059*K1059</f>
        <v>53210388</v>
      </c>
      <c r="O1059" s="46" t="n">
        <f aca="false">D1059*L1059</f>
        <v>52690176</v>
      </c>
      <c r="P1059" s="42" t="str">
        <f aca="false">TRIM(IF(N(E1059)&lt;=0,"택가보정 ","")&amp;IF(N(F1059)&lt;=0,"원가보정 ","")&amp;IF(AND(B1059&lt;&gt;"CN",N(H1059)&lt;=0),"공급가보정 ","")&amp;IF(AND(B1059="CN",N(I1059)&lt;=0),"중국공급가=원가+마진 ",""))</f>
        <v/>
      </c>
      <c r="Q1059" s="47" t="n">
        <f aca="false">IF(SUMIFS($W:$W,$A:$A,A1059,$C:$C,C1059)=0,0,SUMIFS(RAW_판매펀칭!$K:$K,RAW_판매펀칭!$P:$P,A1059,RAW_판매펀칭!$I:$I,C1059)*W1059/SUMIFS($W:$W,$A:$A,A1059,$C:$C,C1059))</f>
        <v>459</v>
      </c>
      <c r="R1059" s="47" t="n">
        <f aca="false">IF(OR(A1059="500",A1059="800",A1059="810"),0,MAX(W1059-Q1059,0))</f>
        <v>3</v>
      </c>
      <c r="S1059" s="47" t="n">
        <f aca="false">R1059*L1059</f>
        <v>342144</v>
      </c>
      <c r="T1059" s="47" t="n">
        <f aca="false">R1059*J1059</f>
        <v>1317000</v>
      </c>
      <c r="U1059" s="47" t="n">
        <f aca="false">R1059*K1059</f>
        <v>345522</v>
      </c>
      <c r="V1059" s="0" t="str">
        <f aca="false">IF(COUNTIFS($A$2:A1059,A1059,$C$2:C1059,C1059,$D$2:D1059,D1059)&gt;1,"중복","")</f>
        <v/>
      </c>
      <c r="W1059" s="0" t="n">
        <f aca="false">IF(V1059="중복",0,N(D1059))</f>
        <v>462</v>
      </c>
      <c r="X1059" s="0" t="n">
        <f aca="false">IF(COUNTIFS($A$2:A1059,A1059,$C$2:C1059,C1059)=1,ABS(SUMIFS(RAW_발주!$D:$D,RAW_발주!$C:$C,A1059,RAW_발주!$A:$A,C1059)-SUMIFS($W:$W,$A:$A,A1059,$C:$C,C1059)),0)</f>
        <v>0</v>
      </c>
    </row>
    <row r="1060" customFormat="false" ht="15" hidden="false" customHeight="true" outlineLevel="0" collapsed="false">
      <c r="A1060" s="45" t="s">
        <v>1660</v>
      </c>
      <c r="B1060" s="42" t="str">
        <f aca="false">IF(A1060="100","HK",IF(A1060="200","CN",IF(A1060="300","TW","홀세일")))</f>
        <v>CN</v>
      </c>
      <c r="C1060" s="45" t="s">
        <v>511</v>
      </c>
      <c r="D1060" s="46" t="n">
        <v>462</v>
      </c>
      <c r="E1060" s="46" t="n">
        <v>439000</v>
      </c>
      <c r="F1060" s="46" t="n">
        <v>115174</v>
      </c>
      <c r="G1060" s="42" t="n">
        <v>3.45</v>
      </c>
      <c r="H1060" s="42" t="n">
        <v>109.9</v>
      </c>
      <c r="I1060" s="42" t="n">
        <v>86.4</v>
      </c>
      <c r="J1060" s="46" t="n">
        <f aca="false">IF(N(E1060)&gt;0,E1060,IF(N(F1060)&gt;0,F1060*요약!$F$27,0))</f>
        <v>439000</v>
      </c>
      <c r="K1060" s="46" t="n">
        <f aca="false">IF(N(F1060)&gt;0,F1060,IF(N(E1060)&gt;0,E1060/요약!$F$27,0))</f>
        <v>115174</v>
      </c>
      <c r="L1060" s="46" t="n">
        <f aca="false">IF(B1060="CN",IF(N(I1060)&gt;0,I1060*요약!$G$27,K1060*(1+요약!$E$27)),IF(N(H1060)&gt;0,H1060*요약!$G$27,J1060*요약!$D$27))</f>
        <v>114048</v>
      </c>
      <c r="M1060" s="46" t="n">
        <f aca="false">D1060*J1060</f>
        <v>202818000</v>
      </c>
      <c r="N1060" s="46" t="n">
        <f aca="false">D1060*K1060</f>
        <v>53210388</v>
      </c>
      <c r="O1060" s="46" t="n">
        <f aca="false">D1060*L1060</f>
        <v>52690176</v>
      </c>
      <c r="P1060" s="42" t="str">
        <f aca="false">TRIM(IF(N(E1060)&lt;=0,"택가보정 ","")&amp;IF(N(F1060)&lt;=0,"원가보정 ","")&amp;IF(AND(B1060&lt;&gt;"CN",N(H1060)&lt;=0),"공급가보정 ","")&amp;IF(AND(B1060="CN",N(I1060)&lt;=0),"중국공급가=원가+마진 ",""))</f>
        <v/>
      </c>
      <c r="Q1060" s="47" t="n">
        <f aca="false">IF(SUMIFS($W:$W,$A:$A,A1060,$C:$C,C1060)=0,0,SUMIFS(RAW_판매펀칭!$K:$K,RAW_판매펀칭!$P:$P,A1060,RAW_판매펀칭!$I:$I,C1060)*W1060/SUMIFS($W:$W,$A:$A,A1060,$C:$C,C1060))</f>
        <v>0</v>
      </c>
      <c r="R1060" s="47" t="n">
        <f aca="false">IF(OR(A1060="500",A1060="800",A1060="810"),0,MAX(W1060-Q1060,0))</f>
        <v>0</v>
      </c>
      <c r="S1060" s="47" t="n">
        <f aca="false">R1060*L1060</f>
        <v>0</v>
      </c>
      <c r="T1060" s="47" t="n">
        <f aca="false">R1060*J1060</f>
        <v>0</v>
      </c>
      <c r="U1060" s="47" t="n">
        <f aca="false">R1060*K1060</f>
        <v>0</v>
      </c>
      <c r="V1060" s="0" t="str">
        <f aca="false">IF(COUNTIFS($A$2:A1060,A1060,$C$2:C1060,C1060,$D$2:D1060,D1060)&gt;1,"중복","")</f>
        <v>중복</v>
      </c>
      <c r="W1060" s="0" t="n">
        <f aca="false">IF(V1060="중복",0,N(D1060))</f>
        <v>0</v>
      </c>
      <c r="X1060" s="0" t="n">
        <f aca="false">IF(COUNTIFS($A$2:A1060,A1060,$C$2:C1060,C1060)=1,ABS(SUMIFS(RAW_발주!$D:$D,RAW_발주!$C:$C,A1060,RAW_발주!$A:$A,C1060)-SUMIFS($W:$W,$A:$A,A1060,$C:$C,C1060)),0)</f>
        <v>0</v>
      </c>
    </row>
    <row r="1061" customFormat="false" ht="15" hidden="false" customHeight="true" outlineLevel="0" collapsed="false">
      <c r="A1061" s="45" t="s">
        <v>1661</v>
      </c>
      <c r="B1061" s="42" t="str">
        <f aca="false">IF(A1061="100","HK",IF(A1061="200","CN",IF(A1061="300","TW","홀세일")))</f>
        <v>TW</v>
      </c>
      <c r="C1061" s="45" t="s">
        <v>511</v>
      </c>
      <c r="D1061" s="46" t="n">
        <v>270</v>
      </c>
      <c r="E1061" s="46" t="n">
        <v>439000</v>
      </c>
      <c r="F1061" s="46" t="n">
        <v>115174</v>
      </c>
      <c r="G1061" s="42" t="n">
        <v>3.45</v>
      </c>
      <c r="H1061" s="42" t="n">
        <v>109.9</v>
      </c>
      <c r="I1061" s="42" t="n">
        <v>86.4</v>
      </c>
      <c r="J1061" s="46" t="n">
        <f aca="false">IF(N(E1061)&gt;0,E1061,IF(N(F1061)&gt;0,F1061*요약!$F$27,0))</f>
        <v>439000</v>
      </c>
      <c r="K1061" s="46" t="n">
        <f aca="false">IF(N(F1061)&gt;0,F1061,IF(N(E1061)&gt;0,E1061/요약!$F$27,0))</f>
        <v>115174</v>
      </c>
      <c r="L1061" s="46" t="n">
        <f aca="false">IF(B1061="CN",IF(N(I1061)&gt;0,I1061*요약!$G$27,K1061*(1+요약!$E$27)),IF(N(H1061)&gt;0,H1061*요약!$G$27,J1061*요약!$D$27))</f>
        <v>145068</v>
      </c>
      <c r="M1061" s="46" t="n">
        <f aca="false">D1061*J1061</f>
        <v>118530000</v>
      </c>
      <c r="N1061" s="46" t="n">
        <f aca="false">D1061*K1061</f>
        <v>31096980</v>
      </c>
      <c r="O1061" s="46" t="n">
        <f aca="false">D1061*L1061</f>
        <v>39168360</v>
      </c>
      <c r="P1061" s="42" t="str">
        <f aca="false">TRIM(IF(N(E1061)&lt;=0,"택가보정 ","")&amp;IF(N(F1061)&lt;=0,"원가보정 ","")&amp;IF(AND(B1061&lt;&gt;"CN",N(H1061)&lt;=0),"공급가보정 ","")&amp;IF(AND(B1061="CN",N(I1061)&lt;=0),"중국공급가=원가+마진 ",""))</f>
        <v/>
      </c>
      <c r="Q1061" s="47" t="n">
        <f aca="false">IF(SUMIFS($W:$W,$A:$A,A1061,$C:$C,C1061)=0,0,SUMIFS(RAW_판매펀칭!$K:$K,RAW_판매펀칭!$P:$P,A1061,RAW_판매펀칭!$I:$I,C1061)*W1061/SUMIFS($W:$W,$A:$A,A1061,$C:$C,C1061))</f>
        <v>270</v>
      </c>
      <c r="R1061" s="47" t="n">
        <f aca="false">IF(OR(A1061="500",A1061="800",A1061="810"),0,MAX(W1061-Q1061,0))</f>
        <v>0</v>
      </c>
      <c r="S1061" s="47" t="n">
        <f aca="false">R1061*L1061</f>
        <v>0</v>
      </c>
      <c r="T1061" s="47" t="n">
        <f aca="false">R1061*J1061</f>
        <v>0</v>
      </c>
      <c r="U1061" s="47" t="n">
        <f aca="false">R1061*K1061</f>
        <v>0</v>
      </c>
      <c r="V1061" s="0" t="str">
        <f aca="false">IF(COUNTIFS($A$2:A1061,A1061,$C$2:C1061,C1061,$D$2:D1061,D1061)&gt;1,"중복","")</f>
        <v/>
      </c>
      <c r="W1061" s="0" t="n">
        <f aca="false">IF(V1061="중복",0,N(D1061))</f>
        <v>270</v>
      </c>
      <c r="X1061" s="0" t="n">
        <f aca="false">IF(COUNTIFS($A$2:A1061,A1061,$C$2:C1061,C1061)=1,ABS(SUMIFS(RAW_발주!$D:$D,RAW_발주!$C:$C,A1061,RAW_발주!$A:$A,C1061)-SUMIFS($W:$W,$A:$A,A1061,$C:$C,C1061)),0)</f>
        <v>0</v>
      </c>
    </row>
    <row r="1062" customFormat="false" ht="15" hidden="false" customHeight="true" outlineLevel="0" collapsed="false">
      <c r="A1062" s="45" t="s">
        <v>1663</v>
      </c>
      <c r="B1062" s="42" t="str">
        <f aca="false">IF(A1062="100","HK",IF(A1062="200","CN",IF(A1062="300","TW","홀세일")))</f>
        <v>홀세일</v>
      </c>
      <c r="C1062" s="45" t="s">
        <v>511</v>
      </c>
      <c r="D1062" s="46" t="n">
        <v>25</v>
      </c>
      <c r="E1062" s="46" t="n">
        <v>439000</v>
      </c>
      <c r="F1062" s="46" t="n">
        <v>115174</v>
      </c>
      <c r="G1062" s="42" t="n">
        <v>3.45</v>
      </c>
      <c r="H1062" s="42" t="n">
        <v>109.9</v>
      </c>
      <c r="I1062" s="42" t="n">
        <v>86.4</v>
      </c>
      <c r="J1062" s="46" t="n">
        <f aca="false">IF(N(E1062)&gt;0,E1062,IF(N(F1062)&gt;0,F1062*요약!$F$27,0))</f>
        <v>439000</v>
      </c>
      <c r="K1062" s="46" t="n">
        <f aca="false">IF(N(F1062)&gt;0,F1062,IF(N(E1062)&gt;0,E1062/요약!$F$27,0))</f>
        <v>115174</v>
      </c>
      <c r="L1062" s="46" t="n">
        <f aca="false">IF(B1062="CN",IF(N(I1062)&gt;0,I1062*요약!$G$27,K1062*(1+요약!$E$27)),IF(N(H1062)&gt;0,H1062*요약!$G$27,J1062*요약!$D$27))</f>
        <v>145068</v>
      </c>
      <c r="M1062" s="46" t="n">
        <f aca="false">D1062*J1062</f>
        <v>10975000</v>
      </c>
      <c r="N1062" s="46" t="n">
        <f aca="false">D1062*K1062</f>
        <v>2879350</v>
      </c>
      <c r="O1062" s="46" t="n">
        <f aca="false">D1062*L1062</f>
        <v>3626700</v>
      </c>
      <c r="P1062" s="42" t="str">
        <f aca="false">TRIM(IF(N(E1062)&lt;=0,"택가보정 ","")&amp;IF(N(F1062)&lt;=0,"원가보정 ","")&amp;IF(AND(B1062&lt;&gt;"CN",N(H1062)&lt;=0),"공급가보정 ","")&amp;IF(AND(B1062="CN",N(I1062)&lt;=0),"중국공급가=원가+마진 ",""))</f>
        <v/>
      </c>
      <c r="Q1062" s="47" t="n">
        <f aca="false">IF(SUMIFS($W:$W,$A:$A,A1062,$C:$C,C1062)=0,0,SUMIFS(RAW_판매펀칭!$K:$K,RAW_판매펀칭!$P:$P,A1062,RAW_판매펀칭!$I:$I,C1062)*W1062/SUMIFS($W:$W,$A:$A,A1062,$C:$C,C1062))</f>
        <v>25</v>
      </c>
      <c r="R1062" s="47" t="n">
        <f aca="false">IF(OR(A1062="500",A1062="800",A1062="810"),0,MAX(W1062-Q1062,0))</f>
        <v>0</v>
      </c>
      <c r="S1062" s="47" t="n">
        <f aca="false">R1062*L1062</f>
        <v>0</v>
      </c>
      <c r="T1062" s="47" t="n">
        <f aca="false">R1062*J1062</f>
        <v>0</v>
      </c>
      <c r="U1062" s="47" t="n">
        <f aca="false">R1062*K1062</f>
        <v>0</v>
      </c>
      <c r="V1062" s="0" t="str">
        <f aca="false">IF(COUNTIFS($A$2:A1062,A1062,$C$2:C1062,C1062,$D$2:D1062,D1062)&gt;1,"중복","")</f>
        <v/>
      </c>
      <c r="W1062" s="0" t="n">
        <f aca="false">IF(V1062="중복",0,N(D1062))</f>
        <v>25</v>
      </c>
      <c r="X1062" s="0" t="n">
        <f aca="false">IF(COUNTIFS($A$2:A1062,A1062,$C$2:C1062,C1062)=1,ABS(SUMIFS(RAW_발주!$D:$D,RAW_발주!$C:$C,A1062,RAW_발주!$A:$A,C1062)-SUMIFS($W:$W,$A:$A,A1062,$C:$C,C1062)),0)</f>
        <v>0</v>
      </c>
    </row>
    <row r="1063" customFormat="false" ht="15" hidden="false" customHeight="true" outlineLevel="0" collapsed="false">
      <c r="A1063" s="45" t="s">
        <v>1667</v>
      </c>
      <c r="B1063" s="42" t="str">
        <f aca="false">IF(A1063="100","HK",IF(A1063="200","CN",IF(A1063="300","TW","홀세일")))</f>
        <v>홀세일</v>
      </c>
      <c r="C1063" s="45" t="s">
        <v>511</v>
      </c>
      <c r="D1063" s="46" t="n">
        <v>142</v>
      </c>
      <c r="E1063" s="46" t="n">
        <v>439000</v>
      </c>
      <c r="F1063" s="46" t="n">
        <v>115174</v>
      </c>
      <c r="G1063" s="42" t="n">
        <v>3.45</v>
      </c>
      <c r="H1063" s="42" t="n">
        <v>109.9</v>
      </c>
      <c r="I1063" s="42" t="n">
        <v>86.4</v>
      </c>
      <c r="J1063" s="46" t="n">
        <f aca="false">IF(N(E1063)&gt;0,E1063,IF(N(F1063)&gt;0,F1063*요약!$F$27,0))</f>
        <v>439000</v>
      </c>
      <c r="K1063" s="46" t="n">
        <f aca="false">IF(N(F1063)&gt;0,F1063,IF(N(E1063)&gt;0,E1063/요약!$F$27,0))</f>
        <v>115174</v>
      </c>
      <c r="L1063" s="46" t="n">
        <f aca="false">IF(B1063="CN",IF(N(I1063)&gt;0,I1063*요약!$G$27,K1063*(1+요약!$E$27)),IF(N(H1063)&gt;0,H1063*요약!$G$27,J1063*요약!$D$27))</f>
        <v>145068</v>
      </c>
      <c r="M1063" s="46" t="n">
        <f aca="false">D1063*J1063</f>
        <v>62338000</v>
      </c>
      <c r="N1063" s="46" t="n">
        <f aca="false">D1063*K1063</f>
        <v>16354708</v>
      </c>
      <c r="O1063" s="46" t="n">
        <f aca="false">D1063*L1063</f>
        <v>20599656</v>
      </c>
      <c r="P1063" s="42" t="str">
        <f aca="false">TRIM(IF(N(E1063)&lt;=0,"택가보정 ","")&amp;IF(N(F1063)&lt;=0,"원가보정 ","")&amp;IF(AND(B1063&lt;&gt;"CN",N(H1063)&lt;=0),"공급가보정 ","")&amp;IF(AND(B1063="CN",N(I1063)&lt;=0),"중국공급가=원가+마진 ",""))</f>
        <v/>
      </c>
      <c r="Q1063" s="47" t="n">
        <f aca="false">IF(SUMIFS($W:$W,$A:$A,A1063,$C:$C,C1063)=0,0,SUMIFS(RAW_판매펀칭!$K:$K,RAW_판매펀칭!$P:$P,A1063,RAW_판매펀칭!$I:$I,C1063)*W1063/SUMIFS($W:$W,$A:$A,A1063,$C:$C,C1063))</f>
        <v>140</v>
      </c>
      <c r="R1063" s="47" t="n">
        <f aca="false">IF(OR(A1063="500",A1063="800",A1063="810"),0,MAX(W1063-Q1063,0))</f>
        <v>2</v>
      </c>
      <c r="S1063" s="47" t="n">
        <f aca="false">R1063*L1063</f>
        <v>290136</v>
      </c>
      <c r="T1063" s="47" t="n">
        <f aca="false">R1063*J1063</f>
        <v>878000</v>
      </c>
      <c r="U1063" s="47" t="n">
        <f aca="false">R1063*K1063</f>
        <v>230348</v>
      </c>
      <c r="V1063" s="0" t="str">
        <f aca="false">IF(COUNTIFS($A$2:A1063,A1063,$C$2:C1063,C1063,$D$2:D1063,D1063)&gt;1,"중복","")</f>
        <v/>
      </c>
      <c r="W1063" s="0" t="n">
        <f aca="false">IF(V1063="중복",0,N(D1063))</f>
        <v>142</v>
      </c>
      <c r="X1063" s="0" t="n">
        <f aca="false">IF(COUNTIFS($A$2:A1063,A1063,$C$2:C1063,C1063)=1,ABS(SUMIFS(RAW_발주!$D:$D,RAW_발주!$C:$C,A1063,RAW_발주!$A:$A,C1063)-SUMIFS($W:$W,$A:$A,A1063,$C:$C,C1063)),0)</f>
        <v>0</v>
      </c>
    </row>
    <row r="1064" customFormat="false" ht="15" hidden="false" customHeight="true" outlineLevel="0" collapsed="false">
      <c r="A1064" s="45" t="s">
        <v>1659</v>
      </c>
      <c r="B1064" s="42" t="str">
        <f aca="false">IF(A1064="100","HK",IF(A1064="200","CN",IF(A1064="300","TW","홀세일")))</f>
        <v>HK</v>
      </c>
      <c r="C1064" s="45" t="s">
        <v>924</v>
      </c>
      <c r="D1064" s="46" t="n">
        <v>240</v>
      </c>
      <c r="E1064" s="46" t="n">
        <v>359000</v>
      </c>
      <c r="F1064" s="46" t="n">
        <v>97017</v>
      </c>
      <c r="G1064" s="42" t="n">
        <v>3.32</v>
      </c>
      <c r="H1064" s="42" t="n">
        <v>89.9</v>
      </c>
      <c r="I1064" s="42" t="n">
        <v>0</v>
      </c>
      <c r="J1064" s="46" t="n">
        <f aca="false">IF(N(E1064)&gt;0,E1064,IF(N(F1064)&gt;0,F1064*요약!$F$27,0))</f>
        <v>359000</v>
      </c>
      <c r="K1064" s="46" t="n">
        <f aca="false">IF(N(F1064)&gt;0,F1064,IF(N(E1064)&gt;0,E1064/요약!$F$27,0))</f>
        <v>97017</v>
      </c>
      <c r="L1064" s="46" t="n">
        <f aca="false">IF(B1064="CN",IF(N(I1064)&gt;0,I1064*요약!$G$27,K1064*(1+요약!$E$27)),IF(N(H1064)&gt;0,H1064*요약!$G$27,J1064*요약!$D$27))</f>
        <v>118668</v>
      </c>
      <c r="M1064" s="46" t="n">
        <f aca="false">D1064*J1064</f>
        <v>86160000</v>
      </c>
      <c r="N1064" s="46" t="n">
        <f aca="false">D1064*K1064</f>
        <v>23284080</v>
      </c>
      <c r="O1064" s="46" t="n">
        <f aca="false">D1064*L1064</f>
        <v>28480320</v>
      </c>
      <c r="P1064" s="42" t="str">
        <f aca="false">TRIM(IF(N(E1064)&lt;=0,"택가보정 ","")&amp;IF(N(F1064)&lt;=0,"원가보정 ","")&amp;IF(AND(B1064&lt;&gt;"CN",N(H1064)&lt;=0),"공급가보정 ","")&amp;IF(AND(B1064="CN",N(I1064)&lt;=0),"중국공급가=원가+마진 ",""))</f>
        <v/>
      </c>
      <c r="Q1064" s="47" t="n">
        <f aca="false">IF(SUMIFS($W:$W,$A:$A,A1064,$C:$C,C1064)=0,0,SUMIFS(RAW_판매펀칭!$K:$K,RAW_판매펀칭!$P:$P,A1064,RAW_판매펀칭!$I:$I,C1064)*W1064/SUMIFS($W:$W,$A:$A,A1064,$C:$C,C1064))</f>
        <v>240</v>
      </c>
      <c r="R1064" s="47" t="n">
        <f aca="false">IF(OR(A1064="500",A1064="800",A1064="810"),0,MAX(W1064-Q1064,0))</f>
        <v>0</v>
      </c>
      <c r="S1064" s="47" t="n">
        <f aca="false">R1064*L1064</f>
        <v>0</v>
      </c>
      <c r="T1064" s="47" t="n">
        <f aca="false">R1064*J1064</f>
        <v>0</v>
      </c>
      <c r="U1064" s="47" t="n">
        <f aca="false">R1064*K1064</f>
        <v>0</v>
      </c>
      <c r="V1064" s="0" t="str">
        <f aca="false">IF(COUNTIFS($A$2:A1064,A1064,$C$2:C1064,C1064,$D$2:D1064,D1064)&gt;1,"중복","")</f>
        <v/>
      </c>
      <c r="W1064" s="0" t="n">
        <f aca="false">IF(V1064="중복",0,N(D1064))</f>
        <v>240</v>
      </c>
      <c r="X1064" s="0" t="n">
        <f aca="false">IF(COUNTIFS($A$2:A1064,A1064,$C$2:C1064,C1064)=1,ABS(SUMIFS(RAW_발주!$D:$D,RAW_발주!$C:$C,A1064,RAW_발주!$A:$A,C1064)-SUMIFS($W:$W,$A:$A,A1064,$C:$C,C1064)),0)</f>
        <v>0</v>
      </c>
    </row>
    <row r="1065" customFormat="false" ht="15" hidden="false" customHeight="true" outlineLevel="0" collapsed="false">
      <c r="A1065" s="45" t="s">
        <v>1667</v>
      </c>
      <c r="B1065" s="42" t="str">
        <f aca="false">IF(A1065="100","HK",IF(A1065="200","CN",IF(A1065="300","TW","홀세일")))</f>
        <v>홀세일</v>
      </c>
      <c r="C1065" s="45" t="s">
        <v>924</v>
      </c>
      <c r="D1065" s="46" t="n">
        <v>51</v>
      </c>
      <c r="E1065" s="46" t="n">
        <v>359000</v>
      </c>
      <c r="F1065" s="46" t="n">
        <v>97017</v>
      </c>
      <c r="G1065" s="42" t="n">
        <v>3.32</v>
      </c>
      <c r="H1065" s="42" t="n">
        <v>89.9</v>
      </c>
      <c r="I1065" s="42" t="n">
        <v>0</v>
      </c>
      <c r="J1065" s="46" t="n">
        <f aca="false">IF(N(E1065)&gt;0,E1065,IF(N(F1065)&gt;0,F1065*요약!$F$27,0))</f>
        <v>359000</v>
      </c>
      <c r="K1065" s="46" t="n">
        <f aca="false">IF(N(F1065)&gt;0,F1065,IF(N(E1065)&gt;0,E1065/요약!$F$27,0))</f>
        <v>97017</v>
      </c>
      <c r="L1065" s="46" t="n">
        <f aca="false">IF(B1065="CN",IF(N(I1065)&gt;0,I1065*요약!$G$27,K1065*(1+요약!$E$27)),IF(N(H1065)&gt;0,H1065*요약!$G$27,J1065*요약!$D$27))</f>
        <v>118668</v>
      </c>
      <c r="M1065" s="46" t="n">
        <f aca="false">D1065*J1065</f>
        <v>18309000</v>
      </c>
      <c r="N1065" s="46" t="n">
        <f aca="false">D1065*K1065</f>
        <v>4947867</v>
      </c>
      <c r="O1065" s="46" t="n">
        <f aca="false">D1065*L1065</f>
        <v>6052068</v>
      </c>
      <c r="P1065" s="42" t="str">
        <f aca="false">TRIM(IF(N(E1065)&lt;=0,"택가보정 ","")&amp;IF(N(F1065)&lt;=0,"원가보정 ","")&amp;IF(AND(B1065&lt;&gt;"CN",N(H1065)&lt;=0),"공급가보정 ","")&amp;IF(AND(B1065="CN",N(I1065)&lt;=0),"중국공급가=원가+마진 ",""))</f>
        <v/>
      </c>
      <c r="Q1065" s="47" t="n">
        <f aca="false">IF(SUMIFS($W:$W,$A:$A,A1065,$C:$C,C1065)=0,0,SUMIFS(RAW_판매펀칭!$K:$K,RAW_판매펀칭!$P:$P,A1065,RAW_판매펀칭!$I:$I,C1065)*W1065/SUMIFS($W:$W,$A:$A,A1065,$C:$C,C1065))</f>
        <v>0</v>
      </c>
      <c r="R1065" s="47" t="n">
        <f aca="false">IF(OR(A1065="500",A1065="800",A1065="810"),0,MAX(W1065-Q1065,0))</f>
        <v>51</v>
      </c>
      <c r="S1065" s="47" t="n">
        <f aca="false">R1065*L1065</f>
        <v>6052068</v>
      </c>
      <c r="T1065" s="47" t="n">
        <f aca="false">R1065*J1065</f>
        <v>18309000</v>
      </c>
      <c r="U1065" s="47" t="n">
        <f aca="false">R1065*K1065</f>
        <v>4947867</v>
      </c>
      <c r="V1065" s="0" t="str">
        <f aca="false">IF(COUNTIFS($A$2:A1065,A1065,$C$2:C1065,C1065,$D$2:D1065,D1065)&gt;1,"중복","")</f>
        <v/>
      </c>
      <c r="W1065" s="0" t="n">
        <f aca="false">IF(V1065="중복",0,N(D1065))</f>
        <v>51</v>
      </c>
      <c r="X1065" s="0" t="n">
        <f aca="false">IF(COUNTIFS($A$2:A1065,A1065,$C$2:C1065,C1065)=1,ABS(SUMIFS(RAW_발주!$D:$D,RAW_발주!$C:$C,A1065,RAW_발주!$A:$A,C1065)-SUMIFS($W:$W,$A:$A,A1065,$C:$C,C1065)),0)</f>
        <v>0</v>
      </c>
    </row>
    <row r="1066" customFormat="false" ht="15.75" hidden="false" customHeight="true" outlineLevel="0" collapsed="false">
      <c r="A1066" s="45" t="s">
        <v>1660</v>
      </c>
      <c r="B1066" s="42" t="str">
        <f aca="false">IF(A1066="100","HK",IF(A1066="200","CN",IF(A1066="300","TW","홀세일")))</f>
        <v>CN</v>
      </c>
      <c r="C1066" s="45" t="s">
        <v>1692</v>
      </c>
      <c r="D1066" s="46" t="n">
        <v>100</v>
      </c>
      <c r="E1066" s="46" t="n">
        <v>399000</v>
      </c>
      <c r="F1066" s="46" t="n">
        <v>99400</v>
      </c>
      <c r="G1066" s="42" t="n">
        <v>3.65</v>
      </c>
      <c r="H1066" s="42" t="n">
        <v>102.5</v>
      </c>
      <c r="I1066" s="42" t="n">
        <v>0</v>
      </c>
      <c r="J1066" s="46" t="n">
        <f aca="false">IF(N(E1066)&gt;0,E1066,IF(N(F1066)&gt;0,F1066*요약!$F$27,0))</f>
        <v>399000</v>
      </c>
      <c r="K1066" s="46" t="n">
        <f aca="false">IF(N(F1066)&gt;0,F1066,IF(N(E1066)&gt;0,E1066/요약!$F$27,0))</f>
        <v>99400</v>
      </c>
      <c r="L1066" s="46" t="n">
        <f aca="false">IF(B1066="CN",IF(N(I1066)&gt;0,I1066*요약!$G$27,K1066*(1+요약!$E$27)),IF(N(H1066)&gt;0,H1066*요약!$G$27,J1066*요약!$D$27))</f>
        <v>104370</v>
      </c>
      <c r="M1066" s="46" t="n">
        <f aca="false">D1066*J1066</f>
        <v>39900000</v>
      </c>
      <c r="N1066" s="46" t="n">
        <f aca="false">D1066*K1066</f>
        <v>9940000</v>
      </c>
      <c r="O1066" s="46" t="n">
        <f aca="false">D1066*L1066</f>
        <v>10437000</v>
      </c>
      <c r="P1066" s="42" t="str">
        <f aca="false">TRIM(IF(N(E1066)&lt;=0,"택가보정 ","")&amp;IF(N(F1066)&lt;=0,"원가보정 ","")&amp;IF(AND(B1066&lt;&gt;"CN",N(H1066)&lt;=0),"공급가보정 ","")&amp;IF(AND(B1066="CN",N(I1066)&lt;=0),"중국공급가=원가+마진 ",""))</f>
        <v>중국공급가=원가+마진</v>
      </c>
      <c r="Q1066" s="47" t="n">
        <f aca="false">IF(SUMIFS($W:$W,$A:$A,A1066,$C:$C,C1066)=0,0,SUMIFS(RAW_판매펀칭!$K:$K,RAW_판매펀칭!$P:$P,A1066,RAW_판매펀칭!$I:$I,C1066)*W1066/SUMIFS($W:$W,$A:$A,A1066,$C:$C,C1066))</f>
        <v>0</v>
      </c>
      <c r="R1066" s="47" t="n">
        <f aca="false">IF(OR(A1066="500",A1066="800",A1066="810"),0,MAX(W1066-Q1066,0))</f>
        <v>100</v>
      </c>
      <c r="S1066" s="47" t="n">
        <f aca="false">R1066*L1066</f>
        <v>10437000</v>
      </c>
      <c r="T1066" s="47" t="n">
        <f aca="false">R1066*J1066</f>
        <v>39900000</v>
      </c>
      <c r="U1066" s="47" t="n">
        <f aca="false">R1066*K1066</f>
        <v>9940000</v>
      </c>
      <c r="V1066" s="0" t="str">
        <f aca="false">IF(COUNTIFS($A$2:A1066,A1066,$C$2:C1066,C1066,$D$2:D1066,D1066)&gt;1,"중복","")</f>
        <v/>
      </c>
      <c r="W1066" s="0" t="n">
        <f aca="false">IF(V1066="중복",0,N(D1066))</f>
        <v>100</v>
      </c>
      <c r="X1066" s="0" t="n">
        <f aca="false">IF(COUNTIFS($A$2:A1066,A1066,$C$2:C1066,C1066)=1,ABS(SUMIFS(RAW_발주!$D:$D,RAW_발주!$C:$C,A1066,RAW_발주!$A:$A,C1066)-SUMIFS($W:$W,$A:$A,A1066,$C:$C,C1066)),0)</f>
        <v>0</v>
      </c>
    </row>
    <row r="1067" customFormat="false" ht="15" hidden="false" customHeight="true" outlineLevel="0" collapsed="false">
      <c r="A1067" s="45" t="s">
        <v>1662</v>
      </c>
      <c r="B1067" s="42" t="str">
        <f aca="false">IF(A1067="100","HK",IF(A1067="200","CN",IF(A1067="300","TW","홀세일")))</f>
        <v>홀세일</v>
      </c>
      <c r="C1067" s="45" t="s">
        <v>1692</v>
      </c>
      <c r="D1067" s="46" t="n">
        <v>30</v>
      </c>
      <c r="E1067" s="46" t="n">
        <v>399000</v>
      </c>
      <c r="F1067" s="46" t="n">
        <v>99400</v>
      </c>
      <c r="G1067" s="42" t="n">
        <v>3.65</v>
      </c>
      <c r="H1067" s="42" t="n">
        <v>102.5</v>
      </c>
      <c r="I1067" s="42" t="n">
        <v>0</v>
      </c>
      <c r="J1067" s="46" t="n">
        <f aca="false">IF(N(E1067)&gt;0,E1067,IF(N(F1067)&gt;0,F1067*요약!$F$27,0))</f>
        <v>399000</v>
      </c>
      <c r="K1067" s="46" t="n">
        <f aca="false">IF(N(F1067)&gt;0,F1067,IF(N(E1067)&gt;0,E1067/요약!$F$27,0))</f>
        <v>99400</v>
      </c>
      <c r="L1067" s="46" t="n">
        <f aca="false">IF(B1067="CN",IF(N(I1067)&gt;0,I1067*요약!$G$27,K1067*(1+요약!$E$27)),IF(N(H1067)&gt;0,H1067*요약!$G$27,J1067*요약!$D$27))</f>
        <v>135300</v>
      </c>
      <c r="M1067" s="46" t="n">
        <f aca="false">D1067*J1067</f>
        <v>11970000</v>
      </c>
      <c r="N1067" s="46" t="n">
        <f aca="false">D1067*K1067</f>
        <v>2982000</v>
      </c>
      <c r="O1067" s="46" t="n">
        <f aca="false">D1067*L1067</f>
        <v>4059000</v>
      </c>
      <c r="P1067" s="42" t="str">
        <f aca="false">TRIM(IF(N(E1067)&lt;=0,"택가보정 ","")&amp;IF(N(F1067)&lt;=0,"원가보정 ","")&amp;IF(AND(B1067&lt;&gt;"CN",N(H1067)&lt;=0),"공급가보정 ","")&amp;IF(AND(B1067="CN",N(I1067)&lt;=0),"중국공급가=원가+마진 ",""))</f>
        <v/>
      </c>
      <c r="Q1067" s="47" t="n">
        <f aca="false">IF(SUMIFS($W:$W,$A:$A,A1067,$C:$C,C1067)=0,0,SUMIFS(RAW_판매펀칭!$K:$K,RAW_판매펀칭!$P:$P,A1067,RAW_판매펀칭!$I:$I,C1067)*W1067/SUMIFS($W:$W,$A:$A,A1067,$C:$C,C1067))</f>
        <v>0</v>
      </c>
      <c r="R1067" s="47" t="n">
        <f aca="false">IF(OR(A1067="500",A1067="800",A1067="810"),0,MAX(W1067-Q1067,0))</f>
        <v>0</v>
      </c>
      <c r="S1067" s="47" t="n">
        <f aca="false">R1067*L1067</f>
        <v>0</v>
      </c>
      <c r="T1067" s="47" t="n">
        <f aca="false">R1067*J1067</f>
        <v>0</v>
      </c>
      <c r="U1067" s="47" t="n">
        <f aca="false">R1067*K1067</f>
        <v>0</v>
      </c>
      <c r="V1067" s="0" t="str">
        <f aca="false">IF(COUNTIFS($A$2:A1067,A1067,$C$2:C1067,C1067,$D$2:D1067,D1067)&gt;1,"중복","")</f>
        <v/>
      </c>
      <c r="W1067" s="0" t="n">
        <f aca="false">IF(V1067="중복",0,N(D1067))</f>
        <v>30</v>
      </c>
      <c r="X1067" s="0" t="n">
        <f aca="false">IF(COUNTIFS($A$2:A1067,A1067,$C$2:C1067,C1067)=1,ABS(SUMIFS(RAW_발주!$D:$D,RAW_발주!$C:$C,A1067,RAW_발주!$A:$A,C1067)-SUMIFS($W:$W,$A:$A,A1067,$C:$C,C1067)),0)</f>
        <v>0</v>
      </c>
    </row>
    <row r="1068" customFormat="false" ht="15" hidden="false" customHeight="true" outlineLevel="0" collapsed="false">
      <c r="A1068" s="45" t="s">
        <v>1661</v>
      </c>
      <c r="B1068" s="42" t="str">
        <f aca="false">IF(A1068="100","HK",IF(A1068="200","CN",IF(A1068="300","TW","홀세일")))</f>
        <v>TW</v>
      </c>
      <c r="C1068" s="45" t="s">
        <v>513</v>
      </c>
      <c r="D1068" s="46" t="n">
        <v>100</v>
      </c>
      <c r="E1068" s="46" t="n">
        <v>249000</v>
      </c>
      <c r="F1068" s="46" t="n">
        <v>62329</v>
      </c>
      <c r="G1068" s="42" t="n">
        <v>3.5</v>
      </c>
      <c r="H1068" s="42" t="n">
        <v>62.4</v>
      </c>
      <c r="I1068" s="42" t="n">
        <v>0</v>
      </c>
      <c r="J1068" s="46" t="n">
        <f aca="false">IF(N(E1068)&gt;0,E1068,IF(N(F1068)&gt;0,F1068*요약!$F$27,0))</f>
        <v>249000</v>
      </c>
      <c r="K1068" s="46" t="n">
        <f aca="false">IF(N(F1068)&gt;0,F1068,IF(N(E1068)&gt;0,E1068/요약!$F$27,0))</f>
        <v>62329</v>
      </c>
      <c r="L1068" s="46" t="n">
        <f aca="false">IF(B1068="CN",IF(N(I1068)&gt;0,I1068*요약!$G$27,K1068*(1+요약!$E$27)),IF(N(H1068)&gt;0,H1068*요약!$G$27,J1068*요약!$D$27))</f>
        <v>82368</v>
      </c>
      <c r="M1068" s="46" t="n">
        <f aca="false">D1068*J1068</f>
        <v>24900000</v>
      </c>
      <c r="N1068" s="46" t="n">
        <f aca="false">D1068*K1068</f>
        <v>6232900</v>
      </c>
      <c r="O1068" s="46" t="n">
        <f aca="false">D1068*L1068</f>
        <v>8236800</v>
      </c>
      <c r="P1068" s="42" t="str">
        <f aca="false">TRIM(IF(N(E1068)&lt;=0,"택가보정 ","")&amp;IF(N(F1068)&lt;=0,"원가보정 ","")&amp;IF(AND(B1068&lt;&gt;"CN",N(H1068)&lt;=0),"공급가보정 ","")&amp;IF(AND(B1068="CN",N(I1068)&lt;=0),"중국공급가=원가+마진 ",""))</f>
        <v/>
      </c>
      <c r="Q1068" s="47" t="n">
        <f aca="false">IF(SUMIFS($W:$W,$A:$A,A1068,$C:$C,C1068)=0,0,SUMIFS(RAW_판매펀칭!$K:$K,RAW_판매펀칭!$P:$P,A1068,RAW_판매펀칭!$I:$I,C1068)*W1068/SUMIFS($W:$W,$A:$A,A1068,$C:$C,C1068))</f>
        <v>100</v>
      </c>
      <c r="R1068" s="47" t="n">
        <f aca="false">IF(OR(A1068="500",A1068="800",A1068="810"),0,MAX(W1068-Q1068,0))</f>
        <v>0</v>
      </c>
      <c r="S1068" s="47" t="n">
        <f aca="false">R1068*L1068</f>
        <v>0</v>
      </c>
      <c r="T1068" s="47" t="n">
        <f aca="false">R1068*J1068</f>
        <v>0</v>
      </c>
      <c r="U1068" s="47" t="n">
        <f aca="false">R1068*K1068</f>
        <v>0</v>
      </c>
      <c r="V1068" s="0" t="str">
        <f aca="false">IF(COUNTIFS($A$2:A1068,A1068,$C$2:C1068,C1068,$D$2:D1068,D1068)&gt;1,"중복","")</f>
        <v/>
      </c>
      <c r="W1068" s="0" t="n">
        <f aca="false">IF(V1068="중복",0,N(D1068))</f>
        <v>100</v>
      </c>
      <c r="X1068" s="0" t="n">
        <f aca="false">IF(COUNTIFS($A$2:A1068,A1068,$C$2:C1068,C1068)=1,ABS(SUMIFS(RAW_발주!$D:$D,RAW_발주!$C:$C,A1068,RAW_발주!$A:$A,C1068)-SUMIFS($W:$W,$A:$A,A1068,$C:$C,C1068)),0)</f>
        <v>0</v>
      </c>
    </row>
    <row r="1069" customFormat="false" ht="15" hidden="false" customHeight="true" outlineLevel="0" collapsed="false">
      <c r="A1069" s="45" t="s">
        <v>1659</v>
      </c>
      <c r="B1069" s="42" t="str">
        <f aca="false">IF(A1069="100","HK",IF(A1069="200","CN",IF(A1069="300","TW","홀세일")))</f>
        <v>HK</v>
      </c>
      <c r="C1069" s="45" t="s">
        <v>1693</v>
      </c>
      <c r="D1069" s="46" t="n">
        <v>240</v>
      </c>
      <c r="E1069" s="46" t="n">
        <v>279000</v>
      </c>
      <c r="F1069" s="46" t="n">
        <v>84500</v>
      </c>
      <c r="G1069" s="42" t="n">
        <v>3.07</v>
      </c>
      <c r="H1069" s="42" t="n">
        <v>69.9</v>
      </c>
      <c r="I1069" s="42" t="n">
        <v>0</v>
      </c>
      <c r="J1069" s="46" t="n">
        <f aca="false">IF(N(E1069)&gt;0,E1069,IF(N(F1069)&gt;0,F1069*요약!$F$27,0))</f>
        <v>279000</v>
      </c>
      <c r="K1069" s="46" t="n">
        <f aca="false">IF(N(F1069)&gt;0,F1069,IF(N(E1069)&gt;0,E1069/요약!$F$27,0))</f>
        <v>84500</v>
      </c>
      <c r="L1069" s="46" t="n">
        <f aca="false">IF(B1069="CN",IF(N(I1069)&gt;0,I1069*요약!$G$27,K1069*(1+요약!$E$27)),IF(N(H1069)&gt;0,H1069*요약!$G$27,J1069*요약!$D$27))</f>
        <v>92268</v>
      </c>
      <c r="M1069" s="46" t="n">
        <f aca="false">D1069*J1069</f>
        <v>66960000</v>
      </c>
      <c r="N1069" s="46" t="n">
        <f aca="false">D1069*K1069</f>
        <v>20280000</v>
      </c>
      <c r="O1069" s="46" t="n">
        <f aca="false">D1069*L1069</f>
        <v>22144320</v>
      </c>
      <c r="P1069" s="42" t="str">
        <f aca="false">TRIM(IF(N(E1069)&lt;=0,"택가보정 ","")&amp;IF(N(F1069)&lt;=0,"원가보정 ","")&amp;IF(AND(B1069&lt;&gt;"CN",N(H1069)&lt;=0),"공급가보정 ","")&amp;IF(AND(B1069="CN",N(I1069)&lt;=0),"중국공급가=원가+마진 ",""))</f>
        <v/>
      </c>
      <c r="Q1069" s="47" t="n">
        <f aca="false">IF(SUMIFS($W:$W,$A:$A,A1069,$C:$C,C1069)=0,0,SUMIFS(RAW_판매펀칭!$K:$K,RAW_판매펀칭!$P:$P,A1069,RAW_판매펀칭!$I:$I,C1069)*W1069/SUMIFS($W:$W,$A:$A,A1069,$C:$C,C1069))</f>
        <v>0</v>
      </c>
      <c r="R1069" s="47" t="n">
        <f aca="false">IF(OR(A1069="500",A1069="800",A1069="810"),0,MAX(W1069-Q1069,0))</f>
        <v>240</v>
      </c>
      <c r="S1069" s="47" t="n">
        <f aca="false">R1069*L1069</f>
        <v>22144320</v>
      </c>
      <c r="T1069" s="47" t="n">
        <f aca="false">R1069*J1069</f>
        <v>66960000</v>
      </c>
      <c r="U1069" s="47" t="n">
        <f aca="false">R1069*K1069</f>
        <v>20280000</v>
      </c>
      <c r="V1069" s="0" t="str">
        <f aca="false">IF(COUNTIFS($A$2:A1069,A1069,$C$2:C1069,C1069,$D$2:D1069,D1069)&gt;1,"중복","")</f>
        <v/>
      </c>
      <c r="W1069" s="0" t="n">
        <f aca="false">IF(V1069="중복",0,N(D1069))</f>
        <v>240</v>
      </c>
      <c r="X1069" s="0" t="n">
        <f aca="false">IF(COUNTIFS($A$2:A1069,A1069,$C$2:C1069,C1069)=1,ABS(SUMIFS(RAW_발주!$D:$D,RAW_발주!$C:$C,A1069,RAW_발주!$A:$A,C1069)-SUMIFS($W:$W,$A:$A,A1069,$C:$C,C1069)),0)</f>
        <v>0</v>
      </c>
    </row>
    <row r="1070" customFormat="false" ht="15" hidden="false" customHeight="true" outlineLevel="0" collapsed="false">
      <c r="A1070" s="45" t="s">
        <v>1661</v>
      </c>
      <c r="B1070" s="42" t="str">
        <f aca="false">IF(A1070="100","HK",IF(A1070="200","CN",IF(A1070="300","TW","홀세일")))</f>
        <v>TW</v>
      </c>
      <c r="C1070" s="45" t="s">
        <v>1693</v>
      </c>
      <c r="D1070" s="46" t="n">
        <v>70</v>
      </c>
      <c r="E1070" s="46" t="n">
        <v>279000</v>
      </c>
      <c r="F1070" s="46" t="n">
        <v>84500</v>
      </c>
      <c r="G1070" s="42" t="n">
        <v>3.07</v>
      </c>
      <c r="H1070" s="42" t="n">
        <v>69.9</v>
      </c>
      <c r="I1070" s="42" t="n">
        <v>0</v>
      </c>
      <c r="J1070" s="46" t="n">
        <f aca="false">IF(N(E1070)&gt;0,E1070,IF(N(F1070)&gt;0,F1070*요약!$F$27,0))</f>
        <v>279000</v>
      </c>
      <c r="K1070" s="46" t="n">
        <f aca="false">IF(N(F1070)&gt;0,F1070,IF(N(E1070)&gt;0,E1070/요약!$F$27,0))</f>
        <v>84500</v>
      </c>
      <c r="L1070" s="46" t="n">
        <f aca="false">IF(B1070="CN",IF(N(I1070)&gt;0,I1070*요약!$G$27,K1070*(1+요약!$E$27)),IF(N(H1070)&gt;0,H1070*요약!$G$27,J1070*요약!$D$27))</f>
        <v>92268</v>
      </c>
      <c r="M1070" s="46" t="n">
        <f aca="false">D1070*J1070</f>
        <v>19530000</v>
      </c>
      <c r="N1070" s="46" t="n">
        <f aca="false">D1070*K1070</f>
        <v>5915000</v>
      </c>
      <c r="O1070" s="46" t="n">
        <f aca="false">D1070*L1070</f>
        <v>6458760</v>
      </c>
      <c r="P1070" s="42" t="str">
        <f aca="false">TRIM(IF(N(E1070)&lt;=0,"택가보정 ","")&amp;IF(N(F1070)&lt;=0,"원가보정 ","")&amp;IF(AND(B1070&lt;&gt;"CN",N(H1070)&lt;=0),"공급가보정 ","")&amp;IF(AND(B1070="CN",N(I1070)&lt;=0),"중국공급가=원가+마진 ",""))</f>
        <v/>
      </c>
      <c r="Q1070" s="47" t="n">
        <f aca="false">IF(SUMIFS($W:$W,$A:$A,A1070,$C:$C,C1070)=0,0,SUMIFS(RAW_판매펀칭!$K:$K,RAW_판매펀칭!$P:$P,A1070,RAW_판매펀칭!$I:$I,C1070)*W1070/SUMIFS($W:$W,$A:$A,A1070,$C:$C,C1070))</f>
        <v>0</v>
      </c>
      <c r="R1070" s="47" t="n">
        <f aca="false">IF(OR(A1070="500",A1070="800",A1070="810"),0,MAX(W1070-Q1070,0))</f>
        <v>70</v>
      </c>
      <c r="S1070" s="47" t="n">
        <f aca="false">R1070*L1070</f>
        <v>6458760</v>
      </c>
      <c r="T1070" s="47" t="n">
        <f aca="false">R1070*J1070</f>
        <v>19530000</v>
      </c>
      <c r="U1070" s="47" t="n">
        <f aca="false">R1070*K1070</f>
        <v>5915000</v>
      </c>
      <c r="V1070" s="0" t="str">
        <f aca="false">IF(COUNTIFS($A$2:A1070,A1070,$C$2:C1070,C1070,$D$2:D1070,D1070)&gt;1,"중복","")</f>
        <v/>
      </c>
      <c r="W1070" s="0" t="n">
        <f aca="false">IF(V1070="중복",0,N(D1070))</f>
        <v>70</v>
      </c>
      <c r="X1070" s="0" t="n">
        <f aca="false">IF(COUNTIFS($A$2:A1070,A1070,$C$2:C1070,C1070)=1,ABS(SUMIFS(RAW_발주!$D:$D,RAW_발주!$C:$C,A1070,RAW_발주!$A:$A,C1070)-SUMIFS($W:$W,$A:$A,A1070,$C:$C,C1070)),0)</f>
        <v>0</v>
      </c>
    </row>
    <row r="1071" customFormat="false" ht="15" hidden="false" customHeight="true" outlineLevel="0" collapsed="false">
      <c r="A1071" s="45" t="s">
        <v>1660</v>
      </c>
      <c r="B1071" s="42" t="str">
        <f aca="false">IF(A1071="100","HK",IF(A1071="200","CN",IF(A1071="300","TW","홀세일")))</f>
        <v>CN</v>
      </c>
      <c r="C1071" s="45" t="s">
        <v>1079</v>
      </c>
      <c r="D1071" s="46" t="n">
        <v>252</v>
      </c>
      <c r="E1071" s="46" t="n">
        <v>259000</v>
      </c>
      <c r="F1071" s="46" t="n">
        <v>55200</v>
      </c>
      <c r="G1071" s="42" t="n">
        <v>3.12</v>
      </c>
      <c r="H1071" s="42" t="n">
        <v>64.9</v>
      </c>
      <c r="I1071" s="42" t="n">
        <v>44</v>
      </c>
      <c r="J1071" s="46" t="n">
        <f aca="false">IF(N(E1071)&gt;0,E1071,IF(N(F1071)&gt;0,F1071*요약!$F$27,0))</f>
        <v>259000</v>
      </c>
      <c r="K1071" s="46" t="n">
        <f aca="false">IF(N(F1071)&gt;0,F1071,IF(N(E1071)&gt;0,E1071/요약!$F$27,0))</f>
        <v>55200</v>
      </c>
      <c r="L1071" s="46" t="n">
        <f aca="false">IF(B1071="CN",IF(N(I1071)&gt;0,I1071*요약!$G$27,K1071*(1+요약!$E$27)),IF(N(H1071)&gt;0,H1071*요약!$G$27,J1071*요약!$D$27))</f>
        <v>58080</v>
      </c>
      <c r="M1071" s="46" t="n">
        <f aca="false">D1071*J1071</f>
        <v>65268000</v>
      </c>
      <c r="N1071" s="46" t="n">
        <f aca="false">D1071*K1071</f>
        <v>13910400</v>
      </c>
      <c r="O1071" s="46" t="n">
        <f aca="false">D1071*L1071</f>
        <v>14636160</v>
      </c>
      <c r="P1071" s="42" t="str">
        <f aca="false">TRIM(IF(N(E1071)&lt;=0,"택가보정 ","")&amp;IF(N(F1071)&lt;=0,"원가보정 ","")&amp;IF(AND(B1071&lt;&gt;"CN",N(H1071)&lt;=0),"공급가보정 ","")&amp;IF(AND(B1071="CN",N(I1071)&lt;=0),"중국공급가=원가+마진 ",""))</f>
        <v/>
      </c>
      <c r="Q1071" s="47" t="n">
        <f aca="false">IF(SUMIFS($W:$W,$A:$A,A1071,$C:$C,C1071)=0,0,SUMIFS(RAW_판매펀칭!$K:$K,RAW_판매펀칭!$P:$P,A1071,RAW_판매펀칭!$I:$I,C1071)*W1071/SUMIFS($W:$W,$A:$A,A1071,$C:$C,C1071))</f>
        <v>2</v>
      </c>
      <c r="R1071" s="47" t="n">
        <f aca="false">IF(OR(A1071="500",A1071="800",A1071="810"),0,MAX(W1071-Q1071,0))</f>
        <v>250</v>
      </c>
      <c r="S1071" s="47" t="n">
        <f aca="false">R1071*L1071</f>
        <v>14520000</v>
      </c>
      <c r="T1071" s="47" t="n">
        <f aca="false">R1071*J1071</f>
        <v>64750000</v>
      </c>
      <c r="U1071" s="47" t="n">
        <f aca="false">R1071*K1071</f>
        <v>13800000</v>
      </c>
      <c r="V1071" s="0" t="str">
        <f aca="false">IF(COUNTIFS($A$2:A1071,A1071,$C$2:C1071,C1071,$D$2:D1071,D1071)&gt;1,"중복","")</f>
        <v/>
      </c>
      <c r="W1071" s="0" t="n">
        <f aca="false">IF(V1071="중복",0,N(D1071))</f>
        <v>252</v>
      </c>
      <c r="X1071" s="0" t="n">
        <f aca="false">IF(COUNTIFS($A$2:A1071,A1071,$C$2:C1071,C1071)=1,ABS(SUMIFS(RAW_발주!$D:$D,RAW_발주!$C:$C,A1071,RAW_발주!$A:$A,C1071)-SUMIFS($W:$W,$A:$A,A1071,$C:$C,C1071)),0)</f>
        <v>0</v>
      </c>
    </row>
    <row r="1072" customFormat="false" ht="15" hidden="false" customHeight="true" outlineLevel="0" collapsed="false">
      <c r="A1072" s="45" t="s">
        <v>1664</v>
      </c>
      <c r="B1072" s="42" t="str">
        <f aca="false">IF(A1072="100","HK",IF(A1072="200","CN",IF(A1072="300","TW","홀세일")))</f>
        <v>홀세일</v>
      </c>
      <c r="C1072" s="45" t="s">
        <v>1079</v>
      </c>
      <c r="D1072" s="46" t="n">
        <v>50</v>
      </c>
      <c r="E1072" s="46" t="n">
        <v>259000</v>
      </c>
      <c r="F1072" s="46" t="n">
        <v>55200</v>
      </c>
      <c r="G1072" s="42" t="n">
        <v>3.12</v>
      </c>
      <c r="H1072" s="42" t="n">
        <v>64.9</v>
      </c>
      <c r="I1072" s="42" t="n">
        <v>44</v>
      </c>
      <c r="J1072" s="46" t="n">
        <f aca="false">IF(N(E1072)&gt;0,E1072,IF(N(F1072)&gt;0,F1072*요약!$F$27,0))</f>
        <v>259000</v>
      </c>
      <c r="K1072" s="46" t="n">
        <f aca="false">IF(N(F1072)&gt;0,F1072,IF(N(E1072)&gt;0,E1072/요약!$F$27,0))</f>
        <v>55200</v>
      </c>
      <c r="L1072" s="46" t="n">
        <f aca="false">IF(B1072="CN",IF(N(I1072)&gt;0,I1072*요약!$G$27,K1072*(1+요약!$E$27)),IF(N(H1072)&gt;0,H1072*요약!$G$27,J1072*요약!$D$27))</f>
        <v>85668</v>
      </c>
      <c r="M1072" s="46" t="n">
        <f aca="false">D1072*J1072</f>
        <v>12950000</v>
      </c>
      <c r="N1072" s="46" t="n">
        <f aca="false">D1072*K1072</f>
        <v>2760000</v>
      </c>
      <c r="O1072" s="46" t="n">
        <f aca="false">D1072*L1072</f>
        <v>4283400</v>
      </c>
      <c r="P1072" s="42" t="str">
        <f aca="false">TRIM(IF(N(E1072)&lt;=0,"택가보정 ","")&amp;IF(N(F1072)&lt;=0,"원가보정 ","")&amp;IF(AND(B1072&lt;&gt;"CN",N(H1072)&lt;=0),"공급가보정 ","")&amp;IF(AND(B1072="CN",N(I1072)&lt;=0),"중국공급가=원가+마진 ",""))</f>
        <v/>
      </c>
      <c r="Q1072" s="47" t="n">
        <f aca="false">IF(SUMIFS($W:$W,$A:$A,A1072,$C:$C,C1072)=0,0,SUMIFS(RAW_판매펀칭!$K:$K,RAW_판매펀칭!$P:$P,A1072,RAW_판매펀칭!$I:$I,C1072)*W1072/SUMIFS($W:$W,$A:$A,A1072,$C:$C,C1072))</f>
        <v>0</v>
      </c>
      <c r="R1072" s="47" t="n">
        <f aca="false">IF(OR(A1072="500",A1072="800",A1072="810"),0,MAX(W1072-Q1072,0))</f>
        <v>0</v>
      </c>
      <c r="S1072" s="47" t="n">
        <f aca="false">R1072*L1072</f>
        <v>0</v>
      </c>
      <c r="T1072" s="47" t="n">
        <f aca="false">R1072*J1072</f>
        <v>0</v>
      </c>
      <c r="U1072" s="47" t="n">
        <f aca="false">R1072*K1072</f>
        <v>0</v>
      </c>
      <c r="V1072" s="0" t="str">
        <f aca="false">IF(COUNTIFS($A$2:A1072,A1072,$C$2:C1072,C1072,$D$2:D1072,D1072)&gt;1,"중복","")</f>
        <v/>
      </c>
      <c r="W1072" s="0" t="n">
        <f aca="false">IF(V1072="중복",0,N(D1072))</f>
        <v>50</v>
      </c>
      <c r="X1072" s="0" t="n">
        <f aca="false">IF(COUNTIFS($A$2:A1072,A1072,$C$2:C1072,C1072)=1,ABS(SUMIFS(RAW_발주!$D:$D,RAW_발주!$C:$C,A1072,RAW_발주!$A:$A,C1072)-SUMIFS($W:$W,$A:$A,A1072,$C:$C,C1072)),0)</f>
        <v>0</v>
      </c>
    </row>
    <row r="1073" customFormat="false" ht="15" hidden="false" customHeight="true" outlineLevel="0" collapsed="false">
      <c r="A1073" s="45" t="s">
        <v>1659</v>
      </c>
      <c r="B1073" s="42" t="str">
        <f aca="false">IF(A1073="100","HK",IF(A1073="200","CN",IF(A1073="300","TW","홀세일")))</f>
        <v>HK</v>
      </c>
      <c r="C1073" s="45" t="s">
        <v>1694</v>
      </c>
      <c r="D1073" s="46" t="n">
        <v>170</v>
      </c>
      <c r="E1073" s="46" t="n">
        <v>399000</v>
      </c>
      <c r="F1073" s="46" t="n">
        <v>109400</v>
      </c>
      <c r="G1073" s="42" t="n">
        <v>2.71</v>
      </c>
      <c r="H1073" s="42" t="n">
        <v>109.9</v>
      </c>
      <c r="I1073" s="42" t="n">
        <v>0</v>
      </c>
      <c r="J1073" s="46" t="n">
        <f aca="false">IF(N(E1073)&gt;0,E1073,IF(N(F1073)&gt;0,F1073*요약!$F$27,0))</f>
        <v>399000</v>
      </c>
      <c r="K1073" s="46" t="n">
        <f aca="false">IF(N(F1073)&gt;0,F1073,IF(N(E1073)&gt;0,E1073/요약!$F$27,0))</f>
        <v>109400</v>
      </c>
      <c r="L1073" s="46" t="n">
        <f aca="false">IF(B1073="CN",IF(N(I1073)&gt;0,I1073*요약!$G$27,K1073*(1+요약!$E$27)),IF(N(H1073)&gt;0,H1073*요약!$G$27,J1073*요약!$D$27))</f>
        <v>145068</v>
      </c>
      <c r="M1073" s="46" t="n">
        <f aca="false">D1073*J1073</f>
        <v>67830000</v>
      </c>
      <c r="N1073" s="46" t="n">
        <f aca="false">D1073*K1073</f>
        <v>18598000</v>
      </c>
      <c r="O1073" s="46" t="n">
        <f aca="false">D1073*L1073</f>
        <v>24661560</v>
      </c>
      <c r="P1073" s="42" t="str">
        <f aca="false">TRIM(IF(N(E1073)&lt;=0,"택가보정 ","")&amp;IF(N(F1073)&lt;=0,"원가보정 ","")&amp;IF(AND(B1073&lt;&gt;"CN",N(H1073)&lt;=0),"공급가보정 ","")&amp;IF(AND(B1073="CN",N(I1073)&lt;=0),"중국공급가=원가+마진 ",""))</f>
        <v/>
      </c>
      <c r="Q1073" s="47" t="n">
        <f aca="false">IF(SUMIFS($W:$W,$A:$A,A1073,$C:$C,C1073)=0,0,SUMIFS(RAW_판매펀칭!$K:$K,RAW_판매펀칭!$P:$P,A1073,RAW_판매펀칭!$I:$I,C1073)*W1073/SUMIFS($W:$W,$A:$A,A1073,$C:$C,C1073))</f>
        <v>0</v>
      </c>
      <c r="R1073" s="47" t="n">
        <f aca="false">IF(OR(A1073="500",A1073="800",A1073="810"),0,MAX(W1073-Q1073,0))</f>
        <v>170</v>
      </c>
      <c r="S1073" s="47" t="n">
        <f aca="false">R1073*L1073</f>
        <v>24661560</v>
      </c>
      <c r="T1073" s="47" t="n">
        <f aca="false">R1073*J1073</f>
        <v>67830000</v>
      </c>
      <c r="U1073" s="47" t="n">
        <f aca="false">R1073*K1073</f>
        <v>18598000</v>
      </c>
      <c r="V1073" s="0" t="str">
        <f aca="false">IF(COUNTIFS($A$2:A1073,A1073,$C$2:C1073,C1073,$D$2:D1073,D1073)&gt;1,"중복","")</f>
        <v/>
      </c>
      <c r="W1073" s="0" t="n">
        <f aca="false">IF(V1073="중복",0,N(D1073))</f>
        <v>170</v>
      </c>
      <c r="X1073" s="0" t="n">
        <f aca="false">IF(COUNTIFS($A$2:A1073,A1073,$C$2:C1073,C1073)=1,ABS(SUMIFS(RAW_발주!$D:$D,RAW_발주!$C:$C,A1073,RAW_발주!$A:$A,C1073)-SUMIFS($W:$W,$A:$A,A1073,$C:$C,C1073)),0)</f>
        <v>0</v>
      </c>
    </row>
    <row r="1074" customFormat="false" ht="15" hidden="false" customHeight="true" outlineLevel="0" collapsed="false">
      <c r="A1074" s="45" t="s">
        <v>1661</v>
      </c>
      <c r="B1074" s="42" t="str">
        <f aca="false">IF(A1074="100","HK",IF(A1074="200","CN",IF(A1074="300","TW","홀세일")))</f>
        <v>TW</v>
      </c>
      <c r="C1074" s="45" t="s">
        <v>1694</v>
      </c>
      <c r="D1074" s="46" t="n">
        <v>330</v>
      </c>
      <c r="E1074" s="46" t="n">
        <v>399000</v>
      </c>
      <c r="F1074" s="46" t="n">
        <v>109400</v>
      </c>
      <c r="G1074" s="42" t="n">
        <v>2.71</v>
      </c>
      <c r="H1074" s="42" t="n">
        <v>109.9</v>
      </c>
      <c r="I1074" s="42" t="n">
        <v>0</v>
      </c>
      <c r="J1074" s="46" t="n">
        <f aca="false">IF(N(E1074)&gt;0,E1074,IF(N(F1074)&gt;0,F1074*요약!$F$27,0))</f>
        <v>399000</v>
      </c>
      <c r="K1074" s="46" t="n">
        <f aca="false">IF(N(F1074)&gt;0,F1074,IF(N(E1074)&gt;0,E1074/요약!$F$27,0))</f>
        <v>109400</v>
      </c>
      <c r="L1074" s="46" t="n">
        <f aca="false">IF(B1074="CN",IF(N(I1074)&gt;0,I1074*요약!$G$27,K1074*(1+요약!$E$27)),IF(N(H1074)&gt;0,H1074*요약!$G$27,J1074*요약!$D$27))</f>
        <v>145068</v>
      </c>
      <c r="M1074" s="46" t="n">
        <f aca="false">D1074*J1074</f>
        <v>131670000</v>
      </c>
      <c r="N1074" s="46" t="n">
        <f aca="false">D1074*K1074</f>
        <v>36102000</v>
      </c>
      <c r="O1074" s="46" t="n">
        <f aca="false">D1074*L1074</f>
        <v>47872440</v>
      </c>
      <c r="P1074" s="42" t="str">
        <f aca="false">TRIM(IF(N(E1074)&lt;=0,"택가보정 ","")&amp;IF(N(F1074)&lt;=0,"원가보정 ","")&amp;IF(AND(B1074&lt;&gt;"CN",N(H1074)&lt;=0),"공급가보정 ","")&amp;IF(AND(B1074="CN",N(I1074)&lt;=0),"중국공급가=원가+마진 ",""))</f>
        <v/>
      </c>
      <c r="Q1074" s="47" t="n">
        <f aca="false">IF(SUMIFS($W:$W,$A:$A,A1074,$C:$C,C1074)=0,0,SUMIFS(RAW_판매펀칭!$K:$K,RAW_판매펀칭!$P:$P,A1074,RAW_판매펀칭!$I:$I,C1074)*W1074/SUMIFS($W:$W,$A:$A,A1074,$C:$C,C1074))</f>
        <v>0</v>
      </c>
      <c r="R1074" s="47" t="n">
        <f aca="false">IF(OR(A1074="500",A1074="800",A1074="810"),0,MAX(W1074-Q1074,0))</f>
        <v>330</v>
      </c>
      <c r="S1074" s="47" t="n">
        <f aca="false">R1074*L1074</f>
        <v>47872440</v>
      </c>
      <c r="T1074" s="47" t="n">
        <f aca="false">R1074*J1074</f>
        <v>131670000</v>
      </c>
      <c r="U1074" s="47" t="n">
        <f aca="false">R1074*K1074</f>
        <v>36102000</v>
      </c>
      <c r="V1074" s="0" t="str">
        <f aca="false">IF(COUNTIFS($A$2:A1074,A1074,$C$2:C1074,C1074,$D$2:D1074,D1074)&gt;1,"중복","")</f>
        <v/>
      </c>
      <c r="W1074" s="0" t="n">
        <f aca="false">IF(V1074="중복",0,N(D1074))</f>
        <v>330</v>
      </c>
      <c r="X1074" s="0" t="n">
        <f aca="false">IF(COUNTIFS($A$2:A1074,A1074,$C$2:C1074,C1074)=1,ABS(SUMIFS(RAW_발주!$D:$D,RAW_발주!$C:$C,A1074,RAW_발주!$A:$A,C1074)-SUMIFS($W:$W,$A:$A,A1074,$C:$C,C1074)),0)</f>
        <v>0</v>
      </c>
    </row>
    <row r="1075" customFormat="false" ht="15" hidden="false" customHeight="true" outlineLevel="0" collapsed="false">
      <c r="A1075" s="45" t="s">
        <v>1663</v>
      </c>
      <c r="B1075" s="42" t="str">
        <f aca="false">IF(A1075="100","HK",IF(A1075="200","CN",IF(A1075="300","TW","홀세일")))</f>
        <v>홀세일</v>
      </c>
      <c r="C1075" s="45" t="s">
        <v>1694</v>
      </c>
      <c r="D1075" s="46" t="n">
        <v>45</v>
      </c>
      <c r="E1075" s="46" t="n">
        <v>399000</v>
      </c>
      <c r="F1075" s="46" t="n">
        <v>109400</v>
      </c>
      <c r="G1075" s="42" t="n">
        <v>2.71</v>
      </c>
      <c r="H1075" s="42" t="n">
        <v>109.9</v>
      </c>
      <c r="I1075" s="42" t="n">
        <v>0</v>
      </c>
      <c r="J1075" s="46" t="n">
        <f aca="false">IF(N(E1075)&gt;0,E1075,IF(N(F1075)&gt;0,F1075*요약!$F$27,0))</f>
        <v>399000</v>
      </c>
      <c r="K1075" s="46" t="n">
        <f aca="false">IF(N(F1075)&gt;0,F1075,IF(N(E1075)&gt;0,E1075/요약!$F$27,0))</f>
        <v>109400</v>
      </c>
      <c r="L1075" s="46" t="n">
        <f aca="false">IF(B1075="CN",IF(N(I1075)&gt;0,I1075*요약!$G$27,K1075*(1+요약!$E$27)),IF(N(H1075)&gt;0,H1075*요약!$G$27,J1075*요약!$D$27))</f>
        <v>145068</v>
      </c>
      <c r="M1075" s="46" t="n">
        <f aca="false">D1075*J1075</f>
        <v>17955000</v>
      </c>
      <c r="N1075" s="46" t="n">
        <f aca="false">D1075*K1075</f>
        <v>4923000</v>
      </c>
      <c r="O1075" s="46" t="n">
        <f aca="false">D1075*L1075</f>
        <v>6528060</v>
      </c>
      <c r="P1075" s="42" t="str">
        <f aca="false">TRIM(IF(N(E1075)&lt;=0,"택가보정 ","")&amp;IF(N(F1075)&lt;=0,"원가보정 ","")&amp;IF(AND(B1075&lt;&gt;"CN",N(H1075)&lt;=0),"공급가보정 ","")&amp;IF(AND(B1075="CN",N(I1075)&lt;=0),"중국공급가=원가+마진 ",""))</f>
        <v/>
      </c>
      <c r="Q1075" s="47" t="n">
        <f aca="false">IF(SUMIFS($W:$W,$A:$A,A1075,$C:$C,C1075)=0,0,SUMIFS(RAW_판매펀칭!$K:$K,RAW_판매펀칭!$P:$P,A1075,RAW_판매펀칭!$I:$I,C1075)*W1075/SUMIFS($W:$W,$A:$A,A1075,$C:$C,C1075))</f>
        <v>0</v>
      </c>
      <c r="R1075" s="47" t="n">
        <f aca="false">IF(OR(A1075="500",A1075="800",A1075="810"),0,MAX(W1075-Q1075,0))</f>
        <v>45</v>
      </c>
      <c r="S1075" s="47" t="n">
        <f aca="false">R1075*L1075</f>
        <v>6528060</v>
      </c>
      <c r="T1075" s="47" t="n">
        <f aca="false">R1075*J1075</f>
        <v>17955000</v>
      </c>
      <c r="U1075" s="47" t="n">
        <f aca="false">R1075*K1075</f>
        <v>4923000</v>
      </c>
      <c r="V1075" s="0" t="str">
        <f aca="false">IF(COUNTIFS($A$2:A1075,A1075,$C$2:C1075,C1075,$D$2:D1075,D1075)&gt;1,"중복","")</f>
        <v/>
      </c>
      <c r="W1075" s="0" t="n">
        <f aca="false">IF(V1075="중복",0,N(D1075))</f>
        <v>45</v>
      </c>
      <c r="X1075" s="0" t="n">
        <f aca="false">IF(COUNTIFS($A$2:A1075,A1075,$C$2:C1075,C1075)=1,ABS(SUMIFS(RAW_발주!$D:$D,RAW_발주!$C:$C,A1075,RAW_발주!$A:$A,C1075)-SUMIFS($W:$W,$A:$A,A1075,$C:$C,C1075)),0)</f>
        <v>0</v>
      </c>
    </row>
    <row r="1076" customFormat="false" ht="15" hidden="false" customHeight="true" outlineLevel="0" collapsed="false">
      <c r="A1076" s="45" t="s">
        <v>1663</v>
      </c>
      <c r="B1076" s="42" t="str">
        <f aca="false">IF(A1076="100","HK",IF(A1076="200","CN",IF(A1076="300","TW","홀세일")))</f>
        <v>홀세일</v>
      </c>
      <c r="C1076" s="45" t="s">
        <v>1695</v>
      </c>
      <c r="D1076" s="46" t="n">
        <v>50</v>
      </c>
      <c r="E1076" s="46" t="n">
        <v>590000</v>
      </c>
      <c r="F1076" s="46" t="n">
        <v>184100</v>
      </c>
      <c r="G1076" s="42" t="n">
        <v>3.08</v>
      </c>
      <c r="H1076" s="42" t="n">
        <v>147.7</v>
      </c>
      <c r="I1076" s="42" t="n">
        <v>0</v>
      </c>
      <c r="J1076" s="46" t="n">
        <f aca="false">IF(N(E1076)&gt;0,E1076,IF(N(F1076)&gt;0,F1076*요약!$F$27,0))</f>
        <v>590000</v>
      </c>
      <c r="K1076" s="46" t="n">
        <f aca="false">IF(N(F1076)&gt;0,F1076,IF(N(E1076)&gt;0,E1076/요약!$F$27,0))</f>
        <v>184100</v>
      </c>
      <c r="L1076" s="46" t="n">
        <f aca="false">IF(B1076="CN",IF(N(I1076)&gt;0,I1076*요약!$G$27,K1076*(1+요약!$E$27)),IF(N(H1076)&gt;0,H1076*요약!$G$27,J1076*요약!$D$27))</f>
        <v>194964</v>
      </c>
      <c r="M1076" s="46" t="n">
        <f aca="false">D1076*J1076</f>
        <v>29500000</v>
      </c>
      <c r="N1076" s="46" t="n">
        <f aca="false">D1076*K1076</f>
        <v>9205000</v>
      </c>
      <c r="O1076" s="46" t="n">
        <f aca="false">D1076*L1076</f>
        <v>9748200</v>
      </c>
      <c r="P1076" s="42" t="str">
        <f aca="false">TRIM(IF(N(E1076)&lt;=0,"택가보정 ","")&amp;IF(N(F1076)&lt;=0,"원가보정 ","")&amp;IF(AND(B1076&lt;&gt;"CN",N(H1076)&lt;=0),"공급가보정 ","")&amp;IF(AND(B1076="CN",N(I1076)&lt;=0),"중국공급가=원가+마진 ",""))</f>
        <v/>
      </c>
      <c r="Q1076" s="47" t="n">
        <f aca="false">IF(SUMIFS($W:$W,$A:$A,A1076,$C:$C,C1076)=0,0,SUMIFS(RAW_판매펀칭!$K:$K,RAW_판매펀칭!$P:$P,A1076,RAW_판매펀칭!$I:$I,C1076)*W1076/SUMIFS($W:$W,$A:$A,A1076,$C:$C,C1076))</f>
        <v>0</v>
      </c>
      <c r="R1076" s="47" t="n">
        <f aca="false">IF(OR(A1076="500",A1076="800",A1076="810"),0,MAX(W1076-Q1076,0))</f>
        <v>50</v>
      </c>
      <c r="S1076" s="47" t="n">
        <f aca="false">R1076*L1076</f>
        <v>9748200</v>
      </c>
      <c r="T1076" s="47" t="n">
        <f aca="false">R1076*J1076</f>
        <v>29500000</v>
      </c>
      <c r="U1076" s="47" t="n">
        <f aca="false">R1076*K1076</f>
        <v>9205000</v>
      </c>
      <c r="V1076" s="0" t="str">
        <f aca="false">IF(COUNTIFS($A$2:A1076,A1076,$C$2:C1076,C1076,$D$2:D1076,D1076)&gt;1,"중복","")</f>
        <v/>
      </c>
      <c r="W1076" s="0" t="n">
        <f aca="false">IF(V1076="중복",0,N(D1076))</f>
        <v>50</v>
      </c>
      <c r="X1076" s="0" t="n">
        <f aca="false">IF(COUNTIFS($A$2:A1076,A1076,$C$2:C1076,C1076)=1,ABS(SUMIFS(RAW_발주!$D:$D,RAW_발주!$C:$C,A1076,RAW_발주!$A:$A,C1076)-SUMIFS($W:$W,$A:$A,A1076,$C:$C,C1076)),0)</f>
        <v>0</v>
      </c>
    </row>
    <row r="1077" customFormat="false" ht="15" hidden="false" customHeight="true" outlineLevel="0" collapsed="false">
      <c r="A1077" s="45" t="s">
        <v>1659</v>
      </c>
      <c r="B1077" s="42" t="str">
        <f aca="false">IF(A1077="100","HK",IF(A1077="200","CN",IF(A1077="300","TW","홀세일")))</f>
        <v>HK</v>
      </c>
      <c r="C1077" s="45" t="s">
        <v>1696</v>
      </c>
      <c r="D1077" s="46" t="n">
        <v>120</v>
      </c>
      <c r="E1077" s="46" t="n">
        <v>690000</v>
      </c>
      <c r="F1077" s="46" t="n">
        <v>164800</v>
      </c>
      <c r="G1077" s="42" t="n">
        <v>2.93</v>
      </c>
      <c r="H1077" s="42" t="n">
        <v>172.7</v>
      </c>
      <c r="I1077" s="42" t="n">
        <v>0</v>
      </c>
      <c r="J1077" s="46" t="n">
        <f aca="false">IF(N(E1077)&gt;0,E1077,IF(N(F1077)&gt;0,F1077*요약!$F$27,0))</f>
        <v>690000</v>
      </c>
      <c r="K1077" s="46" t="n">
        <f aca="false">IF(N(F1077)&gt;0,F1077,IF(N(E1077)&gt;0,E1077/요약!$F$27,0))</f>
        <v>164800</v>
      </c>
      <c r="L1077" s="46" t="n">
        <f aca="false">IF(B1077="CN",IF(N(I1077)&gt;0,I1077*요약!$G$27,K1077*(1+요약!$E$27)),IF(N(H1077)&gt;0,H1077*요약!$G$27,J1077*요약!$D$27))</f>
        <v>227964</v>
      </c>
      <c r="M1077" s="46" t="n">
        <f aca="false">D1077*J1077</f>
        <v>82800000</v>
      </c>
      <c r="N1077" s="46" t="n">
        <f aca="false">D1077*K1077</f>
        <v>19776000</v>
      </c>
      <c r="O1077" s="46" t="n">
        <f aca="false">D1077*L1077</f>
        <v>27355680</v>
      </c>
      <c r="P1077" s="42" t="str">
        <f aca="false">TRIM(IF(N(E1077)&lt;=0,"택가보정 ","")&amp;IF(N(F1077)&lt;=0,"원가보정 ","")&amp;IF(AND(B1077&lt;&gt;"CN",N(H1077)&lt;=0),"공급가보정 ","")&amp;IF(AND(B1077="CN",N(I1077)&lt;=0),"중국공급가=원가+마진 ",""))</f>
        <v/>
      </c>
      <c r="Q1077" s="47" t="n">
        <f aca="false">IF(SUMIFS($W:$W,$A:$A,A1077,$C:$C,C1077)=0,0,SUMIFS(RAW_판매펀칭!$K:$K,RAW_판매펀칭!$P:$P,A1077,RAW_판매펀칭!$I:$I,C1077)*W1077/SUMIFS($W:$W,$A:$A,A1077,$C:$C,C1077))</f>
        <v>0</v>
      </c>
      <c r="R1077" s="47" t="n">
        <f aca="false">IF(OR(A1077="500",A1077="800",A1077="810"),0,MAX(W1077-Q1077,0))</f>
        <v>120</v>
      </c>
      <c r="S1077" s="47" t="n">
        <f aca="false">R1077*L1077</f>
        <v>27355680</v>
      </c>
      <c r="T1077" s="47" t="n">
        <f aca="false">R1077*J1077</f>
        <v>82800000</v>
      </c>
      <c r="U1077" s="47" t="n">
        <f aca="false">R1077*K1077</f>
        <v>19776000</v>
      </c>
      <c r="V1077" s="0" t="str">
        <f aca="false">IF(COUNTIFS($A$2:A1077,A1077,$C$2:C1077,C1077,$D$2:D1077,D1077)&gt;1,"중복","")</f>
        <v/>
      </c>
      <c r="W1077" s="0" t="n">
        <f aca="false">IF(V1077="중복",0,N(D1077))</f>
        <v>120</v>
      </c>
      <c r="X1077" s="0" t="n">
        <f aca="false">IF(COUNTIFS($A$2:A1077,A1077,$C$2:C1077,C1077)=1,ABS(SUMIFS(RAW_발주!$D:$D,RAW_발주!$C:$C,A1077,RAW_발주!$A:$A,C1077)-SUMIFS($W:$W,$A:$A,A1077,$C:$C,C1077)),0)</f>
        <v>0</v>
      </c>
    </row>
    <row r="1078" customFormat="false" ht="15" hidden="false" customHeight="true" outlineLevel="0" collapsed="false">
      <c r="A1078" s="45" t="s">
        <v>1661</v>
      </c>
      <c r="B1078" s="42" t="str">
        <f aca="false">IF(A1078="100","HK",IF(A1078="200","CN",IF(A1078="300","TW","홀세일")))</f>
        <v>TW</v>
      </c>
      <c r="C1078" s="45" t="s">
        <v>1696</v>
      </c>
      <c r="D1078" s="46" t="n">
        <v>150</v>
      </c>
      <c r="E1078" s="46" t="n">
        <v>690000</v>
      </c>
      <c r="F1078" s="46" t="n">
        <v>164800</v>
      </c>
      <c r="G1078" s="42" t="n">
        <v>2.93</v>
      </c>
      <c r="H1078" s="42" t="n">
        <v>172.7</v>
      </c>
      <c r="I1078" s="42" t="n">
        <v>0</v>
      </c>
      <c r="J1078" s="46" t="n">
        <f aca="false">IF(N(E1078)&gt;0,E1078,IF(N(F1078)&gt;0,F1078*요약!$F$27,0))</f>
        <v>690000</v>
      </c>
      <c r="K1078" s="46" t="n">
        <f aca="false">IF(N(F1078)&gt;0,F1078,IF(N(E1078)&gt;0,E1078/요약!$F$27,0))</f>
        <v>164800</v>
      </c>
      <c r="L1078" s="46" t="n">
        <f aca="false">IF(B1078="CN",IF(N(I1078)&gt;0,I1078*요약!$G$27,K1078*(1+요약!$E$27)),IF(N(H1078)&gt;0,H1078*요약!$G$27,J1078*요약!$D$27))</f>
        <v>227964</v>
      </c>
      <c r="M1078" s="46" t="n">
        <f aca="false">D1078*J1078</f>
        <v>103500000</v>
      </c>
      <c r="N1078" s="46" t="n">
        <f aca="false">D1078*K1078</f>
        <v>24720000</v>
      </c>
      <c r="O1078" s="46" t="n">
        <f aca="false">D1078*L1078</f>
        <v>34194600</v>
      </c>
      <c r="P1078" s="42" t="str">
        <f aca="false">TRIM(IF(N(E1078)&lt;=0,"택가보정 ","")&amp;IF(N(F1078)&lt;=0,"원가보정 ","")&amp;IF(AND(B1078&lt;&gt;"CN",N(H1078)&lt;=0),"공급가보정 ","")&amp;IF(AND(B1078="CN",N(I1078)&lt;=0),"중국공급가=원가+마진 ",""))</f>
        <v/>
      </c>
      <c r="Q1078" s="47" t="n">
        <f aca="false">IF(SUMIFS($W:$W,$A:$A,A1078,$C:$C,C1078)=0,0,SUMIFS(RAW_판매펀칭!$K:$K,RAW_판매펀칭!$P:$P,A1078,RAW_판매펀칭!$I:$I,C1078)*W1078/SUMIFS($W:$W,$A:$A,A1078,$C:$C,C1078))</f>
        <v>0</v>
      </c>
      <c r="R1078" s="47" t="n">
        <f aca="false">IF(OR(A1078="500",A1078="800",A1078="810"),0,MAX(W1078-Q1078,0))</f>
        <v>150</v>
      </c>
      <c r="S1078" s="47" t="n">
        <f aca="false">R1078*L1078</f>
        <v>34194600</v>
      </c>
      <c r="T1078" s="47" t="n">
        <f aca="false">R1078*J1078</f>
        <v>103500000</v>
      </c>
      <c r="U1078" s="47" t="n">
        <f aca="false">R1078*K1078</f>
        <v>24720000</v>
      </c>
      <c r="V1078" s="0" t="str">
        <f aca="false">IF(COUNTIFS($A$2:A1078,A1078,$C$2:C1078,C1078,$D$2:D1078,D1078)&gt;1,"중복","")</f>
        <v/>
      </c>
      <c r="W1078" s="0" t="n">
        <f aca="false">IF(V1078="중복",0,N(D1078))</f>
        <v>150</v>
      </c>
      <c r="X1078" s="0" t="n">
        <f aca="false">IF(COUNTIFS($A$2:A1078,A1078,$C$2:C1078,C1078)=1,ABS(SUMIFS(RAW_발주!$D:$D,RAW_발주!$C:$C,A1078,RAW_발주!$A:$A,C1078)-SUMIFS($W:$W,$A:$A,A1078,$C:$C,C1078)),0)</f>
        <v>0</v>
      </c>
    </row>
    <row r="1079" customFormat="false" ht="15" hidden="false" customHeight="true" outlineLevel="0" collapsed="false">
      <c r="A1079" s="45" t="s">
        <v>1663</v>
      </c>
      <c r="B1079" s="42" t="str">
        <f aca="false">IF(A1079="100","HK",IF(A1079="200","CN",IF(A1079="300","TW","홀세일")))</f>
        <v>홀세일</v>
      </c>
      <c r="C1079" s="45" t="s">
        <v>1696</v>
      </c>
      <c r="D1079" s="46" t="n">
        <v>25</v>
      </c>
      <c r="E1079" s="46" t="n">
        <v>690000</v>
      </c>
      <c r="F1079" s="46" t="n">
        <v>164800</v>
      </c>
      <c r="G1079" s="42" t="n">
        <v>2.93</v>
      </c>
      <c r="H1079" s="42" t="n">
        <v>172.7</v>
      </c>
      <c r="I1079" s="42" t="n">
        <v>0</v>
      </c>
      <c r="J1079" s="46" t="n">
        <f aca="false">IF(N(E1079)&gt;0,E1079,IF(N(F1079)&gt;0,F1079*요약!$F$27,0))</f>
        <v>690000</v>
      </c>
      <c r="K1079" s="46" t="n">
        <f aca="false">IF(N(F1079)&gt;0,F1079,IF(N(E1079)&gt;0,E1079/요약!$F$27,0))</f>
        <v>164800</v>
      </c>
      <c r="L1079" s="46" t="n">
        <f aca="false">IF(B1079="CN",IF(N(I1079)&gt;0,I1079*요약!$G$27,K1079*(1+요약!$E$27)),IF(N(H1079)&gt;0,H1079*요약!$G$27,J1079*요약!$D$27))</f>
        <v>227964</v>
      </c>
      <c r="M1079" s="46" t="n">
        <f aca="false">D1079*J1079</f>
        <v>17250000</v>
      </c>
      <c r="N1079" s="46" t="n">
        <f aca="false">D1079*K1079</f>
        <v>4120000</v>
      </c>
      <c r="O1079" s="46" t="n">
        <f aca="false">D1079*L1079</f>
        <v>5699100</v>
      </c>
      <c r="P1079" s="42" t="str">
        <f aca="false">TRIM(IF(N(E1079)&lt;=0,"택가보정 ","")&amp;IF(N(F1079)&lt;=0,"원가보정 ","")&amp;IF(AND(B1079&lt;&gt;"CN",N(H1079)&lt;=0),"공급가보정 ","")&amp;IF(AND(B1079="CN",N(I1079)&lt;=0),"중국공급가=원가+마진 ",""))</f>
        <v/>
      </c>
      <c r="Q1079" s="47" t="n">
        <f aca="false">IF(SUMIFS($W:$W,$A:$A,A1079,$C:$C,C1079)=0,0,SUMIFS(RAW_판매펀칭!$K:$K,RAW_판매펀칭!$P:$P,A1079,RAW_판매펀칭!$I:$I,C1079)*W1079/SUMIFS($W:$W,$A:$A,A1079,$C:$C,C1079))</f>
        <v>0</v>
      </c>
      <c r="R1079" s="47" t="n">
        <f aca="false">IF(OR(A1079="500",A1079="800",A1079="810"),0,MAX(W1079-Q1079,0))</f>
        <v>25</v>
      </c>
      <c r="S1079" s="47" t="n">
        <f aca="false">R1079*L1079</f>
        <v>5699100</v>
      </c>
      <c r="T1079" s="47" t="n">
        <f aca="false">R1079*J1079</f>
        <v>17250000</v>
      </c>
      <c r="U1079" s="47" t="n">
        <f aca="false">R1079*K1079</f>
        <v>4120000</v>
      </c>
      <c r="V1079" s="0" t="str">
        <f aca="false">IF(COUNTIFS($A$2:A1079,A1079,$C$2:C1079,C1079,$D$2:D1079,D1079)&gt;1,"중복","")</f>
        <v/>
      </c>
      <c r="W1079" s="0" t="n">
        <f aca="false">IF(V1079="중복",0,N(D1079))</f>
        <v>25</v>
      </c>
      <c r="X1079" s="0" t="n">
        <f aca="false">IF(COUNTIFS($A$2:A1079,A1079,$C$2:C1079,C1079)=1,ABS(SUMIFS(RAW_발주!$D:$D,RAW_발주!$C:$C,A1079,RAW_발주!$A:$A,C1079)-SUMIFS($W:$W,$A:$A,A1079,$C:$C,C1079)),0)</f>
        <v>0</v>
      </c>
    </row>
    <row r="1080" customFormat="false" ht="15" hidden="false" customHeight="true" outlineLevel="0" collapsed="false">
      <c r="A1080" s="45" t="s">
        <v>1661</v>
      </c>
      <c r="B1080" s="42" t="str">
        <f aca="false">IF(A1080="100","HK",IF(A1080="200","CN",IF(A1080="300","TW","홀세일")))</f>
        <v>TW</v>
      </c>
      <c r="C1080" s="45" t="s">
        <v>1697</v>
      </c>
      <c r="D1080" s="46" t="n">
        <v>180</v>
      </c>
      <c r="E1080" s="46" t="n">
        <v>790000</v>
      </c>
      <c r="F1080" s="46" t="n">
        <v>255200</v>
      </c>
      <c r="G1080" s="42" t="n">
        <v>3.69</v>
      </c>
      <c r="H1080" s="42" t="n">
        <v>222.8</v>
      </c>
      <c r="I1080" s="42" t="n">
        <v>0</v>
      </c>
      <c r="J1080" s="46" t="n">
        <f aca="false">IF(N(E1080)&gt;0,E1080,IF(N(F1080)&gt;0,F1080*요약!$F$27,0))</f>
        <v>790000</v>
      </c>
      <c r="K1080" s="46" t="n">
        <f aca="false">IF(N(F1080)&gt;0,F1080,IF(N(E1080)&gt;0,E1080/요약!$F$27,0))</f>
        <v>255200</v>
      </c>
      <c r="L1080" s="46" t="n">
        <f aca="false">IF(B1080="CN",IF(N(I1080)&gt;0,I1080*요약!$G$27,K1080*(1+요약!$E$27)),IF(N(H1080)&gt;0,H1080*요약!$G$27,J1080*요약!$D$27))</f>
        <v>294096</v>
      </c>
      <c r="M1080" s="46" t="n">
        <f aca="false">D1080*J1080</f>
        <v>142200000</v>
      </c>
      <c r="N1080" s="46" t="n">
        <f aca="false">D1080*K1080</f>
        <v>45936000</v>
      </c>
      <c r="O1080" s="46" t="n">
        <f aca="false">D1080*L1080</f>
        <v>52937280</v>
      </c>
      <c r="P1080" s="42" t="str">
        <f aca="false">TRIM(IF(N(E1080)&lt;=0,"택가보정 ","")&amp;IF(N(F1080)&lt;=0,"원가보정 ","")&amp;IF(AND(B1080&lt;&gt;"CN",N(H1080)&lt;=0),"공급가보정 ","")&amp;IF(AND(B1080="CN",N(I1080)&lt;=0),"중국공급가=원가+마진 ",""))</f>
        <v/>
      </c>
      <c r="Q1080" s="47" t="n">
        <f aca="false">IF(SUMIFS($W:$W,$A:$A,A1080,$C:$C,C1080)=0,0,SUMIFS(RAW_판매펀칭!$K:$K,RAW_판매펀칭!$P:$P,A1080,RAW_판매펀칭!$I:$I,C1080)*W1080/SUMIFS($W:$W,$A:$A,A1080,$C:$C,C1080))</f>
        <v>0</v>
      </c>
      <c r="R1080" s="47" t="n">
        <f aca="false">IF(OR(A1080="500",A1080="800",A1080="810"),0,MAX(W1080-Q1080,0))</f>
        <v>180</v>
      </c>
      <c r="S1080" s="47" t="n">
        <f aca="false">R1080*L1080</f>
        <v>52937280</v>
      </c>
      <c r="T1080" s="47" t="n">
        <f aca="false">R1080*J1080</f>
        <v>142200000</v>
      </c>
      <c r="U1080" s="47" t="n">
        <f aca="false">R1080*K1080</f>
        <v>45936000</v>
      </c>
      <c r="V1080" s="0" t="str">
        <f aca="false">IF(COUNTIFS($A$2:A1080,A1080,$C$2:C1080,C1080,$D$2:D1080,D1080)&gt;1,"중복","")</f>
        <v/>
      </c>
      <c r="W1080" s="0" t="n">
        <f aca="false">IF(V1080="중복",0,N(D1080))</f>
        <v>180</v>
      </c>
      <c r="X1080" s="0" t="n">
        <f aca="false">IF(COUNTIFS($A$2:A1080,A1080,$C$2:C1080,C1080)=1,ABS(SUMIFS(RAW_발주!$D:$D,RAW_발주!$C:$C,A1080,RAW_발주!$A:$A,C1080)-SUMIFS($W:$W,$A:$A,A1080,$C:$C,C1080)),0)</f>
        <v>0</v>
      </c>
    </row>
    <row r="1081" customFormat="false" ht="15" hidden="false" customHeight="true" outlineLevel="0" collapsed="false">
      <c r="A1081" s="45" t="s">
        <v>1663</v>
      </c>
      <c r="B1081" s="42" t="str">
        <f aca="false">IF(A1081="100","HK",IF(A1081="200","CN",IF(A1081="300","TW","홀세일")))</f>
        <v>홀세일</v>
      </c>
      <c r="C1081" s="45" t="s">
        <v>1697</v>
      </c>
      <c r="D1081" s="46" t="n">
        <v>25</v>
      </c>
      <c r="E1081" s="46" t="n">
        <v>790000</v>
      </c>
      <c r="F1081" s="46" t="n">
        <v>255200</v>
      </c>
      <c r="G1081" s="42" t="n">
        <v>3.69</v>
      </c>
      <c r="H1081" s="42" t="n">
        <v>222.8</v>
      </c>
      <c r="I1081" s="42" t="n">
        <v>0</v>
      </c>
      <c r="J1081" s="46" t="n">
        <f aca="false">IF(N(E1081)&gt;0,E1081,IF(N(F1081)&gt;0,F1081*요약!$F$27,0))</f>
        <v>790000</v>
      </c>
      <c r="K1081" s="46" t="n">
        <f aca="false">IF(N(F1081)&gt;0,F1081,IF(N(E1081)&gt;0,E1081/요약!$F$27,0))</f>
        <v>255200</v>
      </c>
      <c r="L1081" s="46" t="n">
        <f aca="false">IF(B1081="CN",IF(N(I1081)&gt;0,I1081*요약!$G$27,K1081*(1+요약!$E$27)),IF(N(H1081)&gt;0,H1081*요약!$G$27,J1081*요약!$D$27))</f>
        <v>294096</v>
      </c>
      <c r="M1081" s="46" t="n">
        <f aca="false">D1081*J1081</f>
        <v>19750000</v>
      </c>
      <c r="N1081" s="46" t="n">
        <f aca="false">D1081*K1081</f>
        <v>6380000</v>
      </c>
      <c r="O1081" s="46" t="n">
        <f aca="false">D1081*L1081</f>
        <v>7352400</v>
      </c>
      <c r="P1081" s="42" t="str">
        <f aca="false">TRIM(IF(N(E1081)&lt;=0,"택가보정 ","")&amp;IF(N(F1081)&lt;=0,"원가보정 ","")&amp;IF(AND(B1081&lt;&gt;"CN",N(H1081)&lt;=0),"공급가보정 ","")&amp;IF(AND(B1081="CN",N(I1081)&lt;=0),"중국공급가=원가+마진 ",""))</f>
        <v/>
      </c>
      <c r="Q1081" s="47" t="n">
        <f aca="false">IF(SUMIFS($W:$W,$A:$A,A1081,$C:$C,C1081)=0,0,SUMIFS(RAW_판매펀칭!$K:$K,RAW_판매펀칭!$P:$P,A1081,RAW_판매펀칭!$I:$I,C1081)*W1081/SUMIFS($W:$W,$A:$A,A1081,$C:$C,C1081))</f>
        <v>0</v>
      </c>
      <c r="R1081" s="47" t="n">
        <f aca="false">IF(OR(A1081="500",A1081="800",A1081="810"),0,MAX(W1081-Q1081,0))</f>
        <v>25</v>
      </c>
      <c r="S1081" s="47" t="n">
        <f aca="false">R1081*L1081</f>
        <v>7352400</v>
      </c>
      <c r="T1081" s="47" t="n">
        <f aca="false">R1081*J1081</f>
        <v>19750000</v>
      </c>
      <c r="U1081" s="47" t="n">
        <f aca="false">R1081*K1081</f>
        <v>6380000</v>
      </c>
      <c r="V1081" s="0" t="str">
        <f aca="false">IF(COUNTIFS($A$2:A1081,A1081,$C$2:C1081,C1081,$D$2:D1081,D1081)&gt;1,"중복","")</f>
        <v/>
      </c>
      <c r="W1081" s="0" t="n">
        <f aca="false">IF(V1081="중복",0,N(D1081))</f>
        <v>25</v>
      </c>
      <c r="X1081" s="0" t="n">
        <f aca="false">IF(COUNTIFS($A$2:A1081,A1081,$C$2:C1081,C1081)=1,ABS(SUMIFS(RAW_발주!$D:$D,RAW_발주!$C:$C,A1081,RAW_발주!$A:$A,C1081)-SUMIFS($W:$W,$A:$A,A1081,$C:$C,C1081)),0)</f>
        <v>0</v>
      </c>
    </row>
    <row r="1082" customFormat="false" ht="15" hidden="false" customHeight="true" outlineLevel="0" collapsed="false">
      <c r="A1082" s="45" t="s">
        <v>1667</v>
      </c>
      <c r="B1082" s="42" t="str">
        <f aca="false">IF(A1082="100","HK",IF(A1082="200","CN",IF(A1082="300","TW","홀세일")))</f>
        <v>홀세일</v>
      </c>
      <c r="C1082" s="45" t="s">
        <v>1697</v>
      </c>
      <c r="D1082" s="46" t="n">
        <v>26</v>
      </c>
      <c r="E1082" s="46" t="n">
        <v>790000</v>
      </c>
      <c r="F1082" s="46" t="n">
        <v>255200</v>
      </c>
      <c r="G1082" s="42" t="n">
        <v>3.69</v>
      </c>
      <c r="H1082" s="42" t="n">
        <v>222.8</v>
      </c>
      <c r="I1082" s="42" t="n">
        <v>0</v>
      </c>
      <c r="J1082" s="46" t="n">
        <f aca="false">IF(N(E1082)&gt;0,E1082,IF(N(F1082)&gt;0,F1082*요약!$F$27,0))</f>
        <v>790000</v>
      </c>
      <c r="K1082" s="46" t="n">
        <f aca="false">IF(N(F1082)&gt;0,F1082,IF(N(E1082)&gt;0,E1082/요약!$F$27,0))</f>
        <v>255200</v>
      </c>
      <c r="L1082" s="46" t="n">
        <f aca="false">IF(B1082="CN",IF(N(I1082)&gt;0,I1082*요약!$G$27,K1082*(1+요약!$E$27)),IF(N(H1082)&gt;0,H1082*요약!$G$27,J1082*요약!$D$27))</f>
        <v>294096</v>
      </c>
      <c r="M1082" s="46" t="n">
        <f aca="false">D1082*J1082</f>
        <v>20540000</v>
      </c>
      <c r="N1082" s="46" t="n">
        <f aca="false">D1082*K1082</f>
        <v>6635200</v>
      </c>
      <c r="O1082" s="46" t="n">
        <f aca="false">D1082*L1082</f>
        <v>7646496</v>
      </c>
      <c r="P1082" s="42" t="str">
        <f aca="false">TRIM(IF(N(E1082)&lt;=0,"택가보정 ","")&amp;IF(N(F1082)&lt;=0,"원가보정 ","")&amp;IF(AND(B1082&lt;&gt;"CN",N(H1082)&lt;=0),"공급가보정 ","")&amp;IF(AND(B1082="CN",N(I1082)&lt;=0),"중국공급가=원가+마진 ",""))</f>
        <v/>
      </c>
      <c r="Q1082" s="47" t="n">
        <f aca="false">IF(SUMIFS($W:$W,$A:$A,A1082,$C:$C,C1082)=0,0,SUMIFS(RAW_판매펀칭!$K:$K,RAW_판매펀칭!$P:$P,A1082,RAW_판매펀칭!$I:$I,C1082)*W1082/SUMIFS($W:$W,$A:$A,A1082,$C:$C,C1082))</f>
        <v>0</v>
      </c>
      <c r="R1082" s="47" t="n">
        <f aca="false">IF(OR(A1082="500",A1082="800",A1082="810"),0,MAX(W1082-Q1082,0))</f>
        <v>26</v>
      </c>
      <c r="S1082" s="47" t="n">
        <f aca="false">R1082*L1082</f>
        <v>7646496</v>
      </c>
      <c r="T1082" s="47" t="n">
        <f aca="false">R1082*J1082</f>
        <v>20540000</v>
      </c>
      <c r="U1082" s="47" t="n">
        <f aca="false">R1082*K1082</f>
        <v>6635200</v>
      </c>
      <c r="V1082" s="0" t="str">
        <f aca="false">IF(COUNTIFS($A$2:A1082,A1082,$C$2:C1082,C1082,$D$2:D1082,D1082)&gt;1,"중복","")</f>
        <v/>
      </c>
      <c r="W1082" s="0" t="n">
        <f aca="false">IF(V1082="중복",0,N(D1082))</f>
        <v>26</v>
      </c>
      <c r="X1082" s="0" t="n">
        <f aca="false">IF(COUNTIFS($A$2:A1082,A1082,$C$2:C1082,C1082)=1,ABS(SUMIFS(RAW_발주!$D:$D,RAW_발주!$C:$C,A1082,RAW_발주!$A:$A,C1082)-SUMIFS($W:$W,$A:$A,A1082,$C:$C,C1082)),0)</f>
        <v>0</v>
      </c>
    </row>
    <row r="1083" customFormat="false" ht="15" hidden="false" customHeight="true" outlineLevel="0" collapsed="false">
      <c r="A1083" s="45" t="s">
        <v>1660</v>
      </c>
      <c r="B1083" s="42" t="str">
        <f aca="false">IF(A1083="100","HK",IF(A1083="200","CN",IF(A1083="300","TW","홀세일")))</f>
        <v>CN</v>
      </c>
      <c r="C1083" s="45" t="s">
        <v>1081</v>
      </c>
      <c r="D1083" s="46" t="n">
        <v>418</v>
      </c>
      <c r="E1083" s="46" t="n">
        <v>239000</v>
      </c>
      <c r="F1083" s="46" t="n">
        <v>58569</v>
      </c>
      <c r="G1083" s="42" t="n">
        <v>3.4</v>
      </c>
      <c r="I1083" s="42" t="n">
        <v>44.6</v>
      </c>
      <c r="J1083" s="46" t="n">
        <f aca="false">IF(N(E1083)&gt;0,E1083,IF(N(F1083)&gt;0,F1083*요약!$F$27,0))</f>
        <v>239000</v>
      </c>
      <c r="K1083" s="46" t="n">
        <f aca="false">IF(N(F1083)&gt;0,F1083,IF(N(E1083)&gt;0,E1083/요약!$F$27,0))</f>
        <v>58569</v>
      </c>
      <c r="L1083" s="46" t="n">
        <f aca="false">IF(B1083="CN",IF(N(I1083)&gt;0,I1083*요약!$G$27,K1083*(1+요약!$E$27)),IF(N(H1083)&gt;0,H1083*요약!$G$27,J1083*요약!$D$27))</f>
        <v>58872</v>
      </c>
      <c r="M1083" s="46" t="n">
        <f aca="false">D1083*J1083</f>
        <v>99902000</v>
      </c>
      <c r="N1083" s="46" t="n">
        <f aca="false">D1083*K1083</f>
        <v>24481842</v>
      </c>
      <c r="O1083" s="46" t="n">
        <f aca="false">D1083*L1083</f>
        <v>24608496</v>
      </c>
      <c r="P1083" s="42" t="str">
        <f aca="false">TRIM(IF(N(E1083)&lt;=0,"택가보정 ","")&amp;IF(N(F1083)&lt;=0,"원가보정 ","")&amp;IF(AND(B1083&lt;&gt;"CN",N(H1083)&lt;=0),"공급가보정 ","")&amp;IF(AND(B1083="CN",N(I1083)&lt;=0),"중국공급가=원가+마진 ",""))</f>
        <v/>
      </c>
      <c r="Q1083" s="47" t="n">
        <f aca="false">IF(SUMIFS($W:$W,$A:$A,A1083,$C:$C,C1083)=0,0,SUMIFS(RAW_판매펀칭!$K:$K,RAW_판매펀칭!$P:$P,A1083,RAW_판매펀칭!$I:$I,C1083)*W1083/SUMIFS($W:$W,$A:$A,A1083,$C:$C,C1083))</f>
        <v>418</v>
      </c>
      <c r="R1083" s="47" t="n">
        <f aca="false">IF(OR(A1083="500",A1083="800",A1083="810"),0,MAX(W1083-Q1083,0))</f>
        <v>0</v>
      </c>
      <c r="S1083" s="47" t="n">
        <f aca="false">R1083*L1083</f>
        <v>0</v>
      </c>
      <c r="T1083" s="47" t="n">
        <f aca="false">R1083*J1083</f>
        <v>0</v>
      </c>
      <c r="U1083" s="47" t="n">
        <f aca="false">R1083*K1083</f>
        <v>0</v>
      </c>
      <c r="V1083" s="0" t="str">
        <f aca="false">IF(COUNTIFS($A$2:A1083,A1083,$C$2:C1083,C1083,$D$2:D1083,D1083)&gt;1,"중복","")</f>
        <v/>
      </c>
      <c r="W1083" s="0" t="n">
        <f aca="false">IF(V1083="중복",0,N(D1083))</f>
        <v>418</v>
      </c>
      <c r="X1083" s="0" t="n">
        <f aca="false">IF(COUNTIFS($A$2:A1083,A1083,$C$2:C1083,C1083)=1,ABS(SUMIFS(RAW_발주!$D:$D,RAW_발주!$C:$C,A1083,RAW_발주!$A:$A,C1083)-SUMIFS($W:$W,$A:$A,A1083,$C:$C,C1083)),0)</f>
        <v>0</v>
      </c>
    </row>
    <row r="1084" customFormat="false" ht="15" hidden="false" customHeight="true" outlineLevel="0" collapsed="false">
      <c r="A1084" s="45" t="s">
        <v>1659</v>
      </c>
      <c r="B1084" s="42" t="str">
        <f aca="false">IF(A1084="100","HK",IF(A1084="200","CN",IF(A1084="300","TW","홀세일")))</f>
        <v>HK</v>
      </c>
      <c r="C1084" s="45" t="s">
        <v>515</v>
      </c>
      <c r="D1084" s="46" t="n">
        <v>360</v>
      </c>
      <c r="E1084" s="46" t="n">
        <v>189000</v>
      </c>
      <c r="F1084" s="46" t="n">
        <v>44000</v>
      </c>
      <c r="G1084" s="42" t="n">
        <v>3.46</v>
      </c>
      <c r="H1084" s="42" t="n">
        <v>47.3</v>
      </c>
      <c r="I1084" s="42" t="n">
        <v>0</v>
      </c>
      <c r="J1084" s="46" t="n">
        <f aca="false">IF(N(E1084)&gt;0,E1084,IF(N(F1084)&gt;0,F1084*요약!$F$27,0))</f>
        <v>189000</v>
      </c>
      <c r="K1084" s="46" t="n">
        <f aca="false">IF(N(F1084)&gt;0,F1084,IF(N(E1084)&gt;0,E1084/요약!$F$27,0))</f>
        <v>44000</v>
      </c>
      <c r="L1084" s="46" t="n">
        <f aca="false">IF(B1084="CN",IF(N(I1084)&gt;0,I1084*요약!$G$27,K1084*(1+요약!$E$27)),IF(N(H1084)&gt;0,H1084*요약!$G$27,J1084*요약!$D$27))</f>
        <v>62436</v>
      </c>
      <c r="M1084" s="46" t="n">
        <f aca="false">D1084*J1084</f>
        <v>68040000</v>
      </c>
      <c r="N1084" s="46" t="n">
        <f aca="false">D1084*K1084</f>
        <v>15840000</v>
      </c>
      <c r="O1084" s="46" t="n">
        <f aca="false">D1084*L1084</f>
        <v>22476960</v>
      </c>
      <c r="P1084" s="42" t="str">
        <f aca="false">TRIM(IF(N(E1084)&lt;=0,"택가보정 ","")&amp;IF(N(F1084)&lt;=0,"원가보정 ","")&amp;IF(AND(B1084&lt;&gt;"CN",N(H1084)&lt;=0),"공급가보정 ","")&amp;IF(AND(B1084="CN",N(I1084)&lt;=0),"중국공급가=원가+마진 ",""))</f>
        <v/>
      </c>
      <c r="Q1084" s="47" t="n">
        <f aca="false">IF(SUMIFS($W:$W,$A:$A,A1084,$C:$C,C1084)=0,0,SUMIFS(RAW_판매펀칭!$K:$K,RAW_판매펀칭!$P:$P,A1084,RAW_판매펀칭!$I:$I,C1084)*W1084/SUMIFS($W:$W,$A:$A,A1084,$C:$C,C1084))</f>
        <v>360</v>
      </c>
      <c r="R1084" s="47" t="n">
        <f aca="false">IF(OR(A1084="500",A1084="800",A1084="810"),0,MAX(W1084-Q1084,0))</f>
        <v>0</v>
      </c>
      <c r="S1084" s="47" t="n">
        <f aca="false">R1084*L1084</f>
        <v>0</v>
      </c>
      <c r="T1084" s="47" t="n">
        <f aca="false">R1084*J1084</f>
        <v>0</v>
      </c>
      <c r="U1084" s="47" t="n">
        <f aca="false">R1084*K1084</f>
        <v>0</v>
      </c>
      <c r="V1084" s="0" t="str">
        <f aca="false">IF(COUNTIFS($A$2:A1084,A1084,$C$2:C1084,C1084,$D$2:D1084,D1084)&gt;1,"중복","")</f>
        <v/>
      </c>
      <c r="W1084" s="0" t="n">
        <f aca="false">IF(V1084="중복",0,N(D1084))</f>
        <v>360</v>
      </c>
      <c r="X1084" s="0" t="n">
        <f aca="false">IF(COUNTIFS($A$2:A1084,A1084,$C$2:C1084,C1084)=1,ABS(SUMIFS(RAW_발주!$D:$D,RAW_발주!$C:$C,A1084,RAW_발주!$A:$A,C1084)-SUMIFS($W:$W,$A:$A,A1084,$C:$C,C1084)),0)</f>
        <v>0</v>
      </c>
    </row>
    <row r="1085" customFormat="false" ht="15" hidden="false" customHeight="true" outlineLevel="0" collapsed="false">
      <c r="A1085" s="45" t="s">
        <v>1661</v>
      </c>
      <c r="B1085" s="42" t="str">
        <f aca="false">IF(A1085="100","HK",IF(A1085="200","CN",IF(A1085="300","TW","홀세일")))</f>
        <v>TW</v>
      </c>
      <c r="C1085" s="45" t="s">
        <v>515</v>
      </c>
      <c r="D1085" s="46" t="n">
        <v>440</v>
      </c>
      <c r="E1085" s="46" t="n">
        <v>189000</v>
      </c>
      <c r="F1085" s="46" t="n">
        <v>44000</v>
      </c>
      <c r="G1085" s="42" t="n">
        <v>3.46</v>
      </c>
      <c r="H1085" s="42" t="n">
        <v>47.3</v>
      </c>
      <c r="I1085" s="42" t="n">
        <v>0</v>
      </c>
      <c r="J1085" s="46" t="n">
        <f aca="false">IF(N(E1085)&gt;0,E1085,IF(N(F1085)&gt;0,F1085*요약!$F$27,0))</f>
        <v>189000</v>
      </c>
      <c r="K1085" s="46" t="n">
        <f aca="false">IF(N(F1085)&gt;0,F1085,IF(N(E1085)&gt;0,E1085/요약!$F$27,0))</f>
        <v>44000</v>
      </c>
      <c r="L1085" s="46" t="n">
        <f aca="false">IF(B1085="CN",IF(N(I1085)&gt;0,I1085*요약!$G$27,K1085*(1+요약!$E$27)),IF(N(H1085)&gt;0,H1085*요약!$G$27,J1085*요약!$D$27))</f>
        <v>62436</v>
      </c>
      <c r="M1085" s="46" t="n">
        <f aca="false">D1085*J1085</f>
        <v>83160000</v>
      </c>
      <c r="N1085" s="46" t="n">
        <f aca="false">D1085*K1085</f>
        <v>19360000</v>
      </c>
      <c r="O1085" s="46" t="n">
        <f aca="false">D1085*L1085</f>
        <v>27471840</v>
      </c>
      <c r="P1085" s="42" t="str">
        <f aca="false">TRIM(IF(N(E1085)&lt;=0,"택가보정 ","")&amp;IF(N(F1085)&lt;=0,"원가보정 ","")&amp;IF(AND(B1085&lt;&gt;"CN",N(H1085)&lt;=0),"공급가보정 ","")&amp;IF(AND(B1085="CN",N(I1085)&lt;=0),"중국공급가=원가+마진 ",""))</f>
        <v/>
      </c>
      <c r="Q1085" s="47" t="n">
        <f aca="false">IF(SUMIFS($W:$W,$A:$A,A1085,$C:$C,C1085)=0,0,SUMIFS(RAW_판매펀칭!$K:$K,RAW_판매펀칭!$P:$P,A1085,RAW_판매펀칭!$I:$I,C1085)*W1085/SUMIFS($W:$W,$A:$A,A1085,$C:$C,C1085))</f>
        <v>360</v>
      </c>
      <c r="R1085" s="47" t="n">
        <f aca="false">IF(OR(A1085="500",A1085="800",A1085="810"),0,MAX(W1085-Q1085,0))</f>
        <v>80</v>
      </c>
      <c r="S1085" s="47" t="n">
        <f aca="false">R1085*L1085</f>
        <v>4994880</v>
      </c>
      <c r="T1085" s="47" t="n">
        <f aca="false">R1085*J1085</f>
        <v>15120000</v>
      </c>
      <c r="U1085" s="47" t="n">
        <f aca="false">R1085*K1085</f>
        <v>3520000</v>
      </c>
      <c r="V1085" s="0" t="str">
        <f aca="false">IF(COUNTIFS($A$2:A1085,A1085,$C$2:C1085,C1085,$D$2:D1085,D1085)&gt;1,"중복","")</f>
        <v/>
      </c>
      <c r="W1085" s="0" t="n">
        <f aca="false">IF(V1085="중복",0,N(D1085))</f>
        <v>440</v>
      </c>
      <c r="X1085" s="0" t="n">
        <f aca="false">IF(COUNTIFS($A$2:A1085,A1085,$C$2:C1085,C1085)=1,ABS(SUMIFS(RAW_발주!$D:$D,RAW_발주!$C:$C,A1085,RAW_발주!$A:$A,C1085)-SUMIFS($W:$W,$A:$A,A1085,$C:$C,C1085)),0)</f>
        <v>0</v>
      </c>
    </row>
    <row r="1086" customFormat="false" ht="15" hidden="false" customHeight="true" outlineLevel="0" collapsed="false">
      <c r="A1086" s="45" t="s">
        <v>1662</v>
      </c>
      <c r="B1086" s="42" t="str">
        <f aca="false">IF(A1086="100","HK",IF(A1086="200","CN",IF(A1086="300","TW","홀세일")))</f>
        <v>홀세일</v>
      </c>
      <c r="C1086" s="45" t="s">
        <v>515</v>
      </c>
      <c r="D1086" s="46" t="n">
        <v>135</v>
      </c>
      <c r="E1086" s="46" t="n">
        <v>189000</v>
      </c>
      <c r="F1086" s="46" t="n">
        <v>44000</v>
      </c>
      <c r="G1086" s="42" t="n">
        <v>3.46</v>
      </c>
      <c r="H1086" s="42" t="n">
        <v>47.3</v>
      </c>
      <c r="I1086" s="42" t="n">
        <v>0</v>
      </c>
      <c r="J1086" s="46" t="n">
        <f aca="false">IF(N(E1086)&gt;0,E1086,IF(N(F1086)&gt;0,F1086*요약!$F$27,0))</f>
        <v>189000</v>
      </c>
      <c r="K1086" s="46" t="n">
        <f aca="false">IF(N(F1086)&gt;0,F1086,IF(N(E1086)&gt;0,E1086/요약!$F$27,0))</f>
        <v>44000</v>
      </c>
      <c r="L1086" s="46" t="n">
        <f aca="false">IF(B1086="CN",IF(N(I1086)&gt;0,I1086*요약!$G$27,K1086*(1+요약!$E$27)),IF(N(H1086)&gt;0,H1086*요약!$G$27,J1086*요약!$D$27))</f>
        <v>62436</v>
      </c>
      <c r="M1086" s="46" t="n">
        <f aca="false">D1086*J1086</f>
        <v>25515000</v>
      </c>
      <c r="N1086" s="46" t="n">
        <f aca="false">D1086*K1086</f>
        <v>5940000</v>
      </c>
      <c r="O1086" s="46" t="n">
        <f aca="false">D1086*L1086</f>
        <v>8428860</v>
      </c>
      <c r="P1086" s="42" t="str">
        <f aca="false">TRIM(IF(N(E1086)&lt;=0,"택가보정 ","")&amp;IF(N(F1086)&lt;=0,"원가보정 ","")&amp;IF(AND(B1086&lt;&gt;"CN",N(H1086)&lt;=0),"공급가보정 ","")&amp;IF(AND(B1086="CN",N(I1086)&lt;=0),"중국공급가=원가+마진 ",""))</f>
        <v/>
      </c>
      <c r="Q1086" s="47" t="n">
        <f aca="false">IF(SUMIFS($W:$W,$A:$A,A1086,$C:$C,C1086)=0,0,SUMIFS(RAW_판매펀칭!$K:$K,RAW_판매펀칭!$P:$P,A1086,RAW_판매펀칭!$I:$I,C1086)*W1086/SUMIFS($W:$W,$A:$A,A1086,$C:$C,C1086))</f>
        <v>0</v>
      </c>
      <c r="R1086" s="47" t="n">
        <f aca="false">IF(OR(A1086="500",A1086="800",A1086="810"),0,MAX(W1086-Q1086,0))</f>
        <v>0</v>
      </c>
      <c r="S1086" s="47" t="n">
        <f aca="false">R1086*L1086</f>
        <v>0</v>
      </c>
      <c r="T1086" s="47" t="n">
        <f aca="false">R1086*J1086</f>
        <v>0</v>
      </c>
      <c r="U1086" s="47" t="n">
        <f aca="false">R1086*K1086</f>
        <v>0</v>
      </c>
      <c r="V1086" s="0" t="str">
        <f aca="false">IF(COUNTIFS($A$2:A1086,A1086,$C$2:C1086,C1086,$D$2:D1086,D1086)&gt;1,"중복","")</f>
        <v/>
      </c>
      <c r="W1086" s="0" t="n">
        <f aca="false">IF(V1086="중복",0,N(D1086))</f>
        <v>135</v>
      </c>
      <c r="X1086" s="0" t="n">
        <f aca="false">IF(COUNTIFS($A$2:A1086,A1086,$C$2:C1086,C1086)=1,ABS(SUMIFS(RAW_발주!$D:$D,RAW_발주!$C:$C,A1086,RAW_발주!$A:$A,C1086)-SUMIFS($W:$W,$A:$A,A1086,$C:$C,C1086)),0)</f>
        <v>0</v>
      </c>
    </row>
    <row r="1087" customFormat="false" ht="15" hidden="false" customHeight="true" outlineLevel="0" collapsed="false">
      <c r="A1087" s="45" t="s">
        <v>1663</v>
      </c>
      <c r="B1087" s="42" t="str">
        <f aca="false">IF(A1087="100","HK",IF(A1087="200","CN",IF(A1087="300","TW","홀세일")))</f>
        <v>홀세일</v>
      </c>
      <c r="C1087" s="45" t="s">
        <v>515</v>
      </c>
      <c r="D1087" s="46" t="n">
        <v>15</v>
      </c>
      <c r="E1087" s="46" t="n">
        <v>189000</v>
      </c>
      <c r="F1087" s="46" t="n">
        <v>44000</v>
      </c>
      <c r="G1087" s="42" t="n">
        <v>3.46</v>
      </c>
      <c r="H1087" s="42" t="n">
        <v>47.3</v>
      </c>
      <c r="I1087" s="42" t="n">
        <v>0</v>
      </c>
      <c r="J1087" s="46" t="n">
        <f aca="false">IF(N(E1087)&gt;0,E1087,IF(N(F1087)&gt;0,F1087*요약!$F$27,0))</f>
        <v>189000</v>
      </c>
      <c r="K1087" s="46" t="n">
        <f aca="false">IF(N(F1087)&gt;0,F1087,IF(N(E1087)&gt;0,E1087/요약!$F$27,0))</f>
        <v>44000</v>
      </c>
      <c r="L1087" s="46" t="n">
        <f aca="false">IF(B1087="CN",IF(N(I1087)&gt;0,I1087*요약!$G$27,K1087*(1+요약!$E$27)),IF(N(H1087)&gt;0,H1087*요약!$G$27,J1087*요약!$D$27))</f>
        <v>62436</v>
      </c>
      <c r="M1087" s="46" t="n">
        <f aca="false">D1087*J1087</f>
        <v>2835000</v>
      </c>
      <c r="N1087" s="46" t="n">
        <f aca="false">D1087*K1087</f>
        <v>660000</v>
      </c>
      <c r="O1087" s="46" t="n">
        <f aca="false">D1087*L1087</f>
        <v>936540</v>
      </c>
      <c r="P1087" s="42" t="str">
        <f aca="false">TRIM(IF(N(E1087)&lt;=0,"택가보정 ","")&amp;IF(N(F1087)&lt;=0,"원가보정 ","")&amp;IF(AND(B1087&lt;&gt;"CN",N(H1087)&lt;=0),"공급가보정 ","")&amp;IF(AND(B1087="CN",N(I1087)&lt;=0),"중국공급가=원가+마진 ",""))</f>
        <v/>
      </c>
      <c r="Q1087" s="47" t="n">
        <f aca="false">IF(SUMIFS($W:$W,$A:$A,A1087,$C:$C,C1087)=0,0,SUMIFS(RAW_판매펀칭!$K:$K,RAW_판매펀칭!$P:$P,A1087,RAW_판매펀칭!$I:$I,C1087)*W1087/SUMIFS($W:$W,$A:$A,A1087,$C:$C,C1087))</f>
        <v>15</v>
      </c>
      <c r="R1087" s="47" t="n">
        <f aca="false">IF(OR(A1087="500",A1087="800",A1087="810"),0,MAX(W1087-Q1087,0))</f>
        <v>0</v>
      </c>
      <c r="S1087" s="47" t="n">
        <f aca="false">R1087*L1087</f>
        <v>0</v>
      </c>
      <c r="T1087" s="47" t="n">
        <f aca="false">R1087*J1087</f>
        <v>0</v>
      </c>
      <c r="U1087" s="47" t="n">
        <f aca="false">R1087*K1087</f>
        <v>0</v>
      </c>
      <c r="V1087" s="0" t="str">
        <f aca="false">IF(COUNTIFS($A$2:A1087,A1087,$C$2:C1087,C1087,$D$2:D1087,D1087)&gt;1,"중복","")</f>
        <v/>
      </c>
      <c r="W1087" s="0" t="n">
        <f aca="false">IF(V1087="중복",0,N(D1087))</f>
        <v>15</v>
      </c>
      <c r="X1087" s="0" t="n">
        <f aca="false">IF(COUNTIFS($A$2:A1087,A1087,$C$2:C1087,C1087)=1,ABS(SUMIFS(RAW_발주!$D:$D,RAW_발주!$C:$C,A1087,RAW_발주!$A:$A,C1087)-SUMIFS($W:$W,$A:$A,A1087,$C:$C,C1087)),0)</f>
        <v>0</v>
      </c>
    </row>
    <row r="1088" customFormat="false" ht="15" hidden="false" customHeight="true" outlineLevel="0" collapsed="false">
      <c r="A1088" s="45" t="s">
        <v>1667</v>
      </c>
      <c r="B1088" s="42" t="str">
        <f aca="false">IF(A1088="100","HK",IF(A1088="200","CN",IF(A1088="300","TW","홀세일")))</f>
        <v>홀세일</v>
      </c>
      <c r="C1088" s="45" t="s">
        <v>515</v>
      </c>
      <c r="D1088" s="46" t="n">
        <v>71</v>
      </c>
      <c r="E1088" s="46" t="n">
        <v>189000</v>
      </c>
      <c r="F1088" s="46" t="n">
        <v>44000</v>
      </c>
      <c r="G1088" s="42" t="n">
        <v>3.46</v>
      </c>
      <c r="H1088" s="42" t="n">
        <v>47.3</v>
      </c>
      <c r="I1088" s="42" t="n">
        <v>0</v>
      </c>
      <c r="J1088" s="46" t="n">
        <f aca="false">IF(N(E1088)&gt;0,E1088,IF(N(F1088)&gt;0,F1088*요약!$F$27,0))</f>
        <v>189000</v>
      </c>
      <c r="K1088" s="46" t="n">
        <f aca="false">IF(N(F1088)&gt;0,F1088,IF(N(E1088)&gt;0,E1088/요약!$F$27,0))</f>
        <v>44000</v>
      </c>
      <c r="L1088" s="46" t="n">
        <f aca="false">IF(B1088="CN",IF(N(I1088)&gt;0,I1088*요약!$G$27,K1088*(1+요약!$E$27)),IF(N(H1088)&gt;0,H1088*요약!$G$27,J1088*요약!$D$27))</f>
        <v>62436</v>
      </c>
      <c r="M1088" s="46" t="n">
        <f aca="false">D1088*J1088</f>
        <v>13419000</v>
      </c>
      <c r="N1088" s="46" t="n">
        <f aca="false">D1088*K1088</f>
        <v>3124000</v>
      </c>
      <c r="O1088" s="46" t="n">
        <f aca="false">D1088*L1088</f>
        <v>4432956</v>
      </c>
      <c r="P1088" s="42" t="str">
        <f aca="false">TRIM(IF(N(E1088)&lt;=0,"택가보정 ","")&amp;IF(N(F1088)&lt;=0,"원가보정 ","")&amp;IF(AND(B1088&lt;&gt;"CN",N(H1088)&lt;=0),"공급가보정 ","")&amp;IF(AND(B1088="CN",N(I1088)&lt;=0),"중국공급가=원가+마진 ",""))</f>
        <v/>
      </c>
      <c r="Q1088" s="47" t="n">
        <f aca="false">IF(SUMIFS($W:$W,$A:$A,A1088,$C:$C,C1088)=0,0,SUMIFS(RAW_판매펀칭!$K:$K,RAW_판매펀칭!$P:$P,A1088,RAW_판매펀칭!$I:$I,C1088)*W1088/SUMIFS($W:$W,$A:$A,A1088,$C:$C,C1088))</f>
        <v>70</v>
      </c>
      <c r="R1088" s="47" t="n">
        <f aca="false">IF(OR(A1088="500",A1088="800",A1088="810"),0,MAX(W1088-Q1088,0))</f>
        <v>1</v>
      </c>
      <c r="S1088" s="47" t="n">
        <f aca="false">R1088*L1088</f>
        <v>62436</v>
      </c>
      <c r="T1088" s="47" t="n">
        <f aca="false">R1088*J1088</f>
        <v>189000</v>
      </c>
      <c r="U1088" s="47" t="n">
        <f aca="false">R1088*K1088</f>
        <v>44000</v>
      </c>
      <c r="V1088" s="0" t="str">
        <f aca="false">IF(COUNTIFS($A$2:A1088,A1088,$C$2:C1088,C1088,$D$2:D1088,D1088)&gt;1,"중복","")</f>
        <v/>
      </c>
      <c r="W1088" s="0" t="n">
        <f aca="false">IF(V1088="중복",0,N(D1088))</f>
        <v>71</v>
      </c>
      <c r="X1088" s="0" t="n">
        <f aca="false">IF(COUNTIFS($A$2:A1088,A1088,$C$2:C1088,C1088)=1,ABS(SUMIFS(RAW_발주!$D:$D,RAW_발주!$C:$C,A1088,RAW_발주!$A:$A,C1088)-SUMIFS($W:$W,$A:$A,A1088,$C:$C,C1088)),0)</f>
        <v>0</v>
      </c>
    </row>
    <row r="1089" customFormat="false" ht="15" hidden="false" customHeight="true" outlineLevel="0" collapsed="false">
      <c r="A1089" s="45" t="s">
        <v>1659</v>
      </c>
      <c r="B1089" s="42" t="str">
        <f aca="false">IF(A1089="100","HK",IF(A1089="200","CN",IF(A1089="300","TW","홀세일")))</f>
        <v>HK</v>
      </c>
      <c r="C1089" s="45" t="s">
        <v>517</v>
      </c>
      <c r="D1089" s="46" t="n">
        <v>110</v>
      </c>
      <c r="E1089" s="46" t="n">
        <v>179000</v>
      </c>
      <c r="F1089" s="46" t="n">
        <v>39500</v>
      </c>
      <c r="G1089" s="42" t="n">
        <v>3.51</v>
      </c>
      <c r="H1089" s="42" t="n">
        <v>44.8</v>
      </c>
      <c r="I1089" s="42" t="n">
        <v>0</v>
      </c>
      <c r="J1089" s="46" t="n">
        <f aca="false">IF(N(E1089)&gt;0,E1089,IF(N(F1089)&gt;0,F1089*요약!$F$27,0))</f>
        <v>179000</v>
      </c>
      <c r="K1089" s="46" t="n">
        <f aca="false">IF(N(F1089)&gt;0,F1089,IF(N(E1089)&gt;0,E1089/요약!$F$27,0))</f>
        <v>39500</v>
      </c>
      <c r="L1089" s="46" t="n">
        <f aca="false">IF(B1089="CN",IF(N(I1089)&gt;0,I1089*요약!$G$27,K1089*(1+요약!$E$27)),IF(N(H1089)&gt;0,H1089*요약!$G$27,J1089*요약!$D$27))</f>
        <v>59136</v>
      </c>
      <c r="M1089" s="46" t="n">
        <f aca="false">D1089*J1089</f>
        <v>19690000</v>
      </c>
      <c r="N1089" s="46" t="n">
        <f aca="false">D1089*K1089</f>
        <v>4345000</v>
      </c>
      <c r="O1089" s="46" t="n">
        <f aca="false">D1089*L1089</f>
        <v>6504960</v>
      </c>
      <c r="P1089" s="42" t="str">
        <f aca="false">TRIM(IF(N(E1089)&lt;=0,"택가보정 ","")&amp;IF(N(F1089)&lt;=0,"원가보정 ","")&amp;IF(AND(B1089&lt;&gt;"CN",N(H1089)&lt;=0),"공급가보정 ","")&amp;IF(AND(B1089="CN",N(I1089)&lt;=0),"중국공급가=원가+마진 ",""))</f>
        <v/>
      </c>
      <c r="Q1089" s="47" t="n">
        <f aca="false">IF(SUMIFS($W:$W,$A:$A,A1089,$C:$C,C1089)=0,0,SUMIFS(RAW_판매펀칭!$K:$K,RAW_판매펀칭!$P:$P,A1089,RAW_판매펀칭!$I:$I,C1089)*W1089/SUMIFS($W:$W,$A:$A,A1089,$C:$C,C1089))</f>
        <v>110</v>
      </c>
      <c r="R1089" s="47" t="n">
        <f aca="false">IF(OR(A1089="500",A1089="800",A1089="810"),0,MAX(W1089-Q1089,0))</f>
        <v>0</v>
      </c>
      <c r="S1089" s="47" t="n">
        <f aca="false">R1089*L1089</f>
        <v>0</v>
      </c>
      <c r="T1089" s="47" t="n">
        <f aca="false">R1089*J1089</f>
        <v>0</v>
      </c>
      <c r="U1089" s="47" t="n">
        <f aca="false">R1089*K1089</f>
        <v>0</v>
      </c>
      <c r="V1089" s="0" t="str">
        <f aca="false">IF(COUNTIFS($A$2:A1089,A1089,$C$2:C1089,C1089,$D$2:D1089,D1089)&gt;1,"중복","")</f>
        <v/>
      </c>
      <c r="W1089" s="0" t="n">
        <f aca="false">IF(V1089="중복",0,N(D1089))</f>
        <v>110</v>
      </c>
      <c r="X1089" s="0" t="n">
        <f aca="false">IF(COUNTIFS($A$2:A1089,A1089,$C$2:C1089,C1089)=1,ABS(SUMIFS(RAW_발주!$D:$D,RAW_발주!$C:$C,A1089,RAW_발주!$A:$A,C1089)-SUMIFS($W:$W,$A:$A,A1089,$C:$C,C1089)),0)</f>
        <v>0</v>
      </c>
    </row>
    <row r="1090" customFormat="false" ht="15" hidden="false" customHeight="true" outlineLevel="0" collapsed="false">
      <c r="A1090" s="45" t="s">
        <v>1661</v>
      </c>
      <c r="B1090" s="42" t="str">
        <f aca="false">IF(A1090="100","HK",IF(A1090="200","CN",IF(A1090="300","TW","홀세일")))</f>
        <v>TW</v>
      </c>
      <c r="C1090" s="45" t="s">
        <v>517</v>
      </c>
      <c r="D1090" s="46" t="n">
        <v>540</v>
      </c>
      <c r="E1090" s="46" t="n">
        <v>179000</v>
      </c>
      <c r="F1090" s="46" t="n">
        <v>39500</v>
      </c>
      <c r="G1090" s="42" t="n">
        <v>3.51</v>
      </c>
      <c r="H1090" s="42" t="n">
        <v>44.8</v>
      </c>
      <c r="I1090" s="42" t="n">
        <v>0</v>
      </c>
      <c r="J1090" s="46" t="n">
        <f aca="false">IF(N(E1090)&gt;0,E1090,IF(N(F1090)&gt;0,F1090*요약!$F$27,0))</f>
        <v>179000</v>
      </c>
      <c r="K1090" s="46" t="n">
        <f aca="false">IF(N(F1090)&gt;0,F1090,IF(N(E1090)&gt;0,E1090/요약!$F$27,0))</f>
        <v>39500</v>
      </c>
      <c r="L1090" s="46" t="n">
        <f aca="false">IF(B1090="CN",IF(N(I1090)&gt;0,I1090*요약!$G$27,K1090*(1+요약!$E$27)),IF(N(H1090)&gt;0,H1090*요약!$G$27,J1090*요약!$D$27))</f>
        <v>59136</v>
      </c>
      <c r="M1090" s="46" t="n">
        <f aca="false">D1090*J1090</f>
        <v>96660000</v>
      </c>
      <c r="N1090" s="46" t="n">
        <f aca="false">D1090*K1090</f>
        <v>21330000</v>
      </c>
      <c r="O1090" s="46" t="n">
        <f aca="false">D1090*L1090</f>
        <v>31933440</v>
      </c>
      <c r="P1090" s="42" t="str">
        <f aca="false">TRIM(IF(N(E1090)&lt;=0,"택가보정 ","")&amp;IF(N(F1090)&lt;=0,"원가보정 ","")&amp;IF(AND(B1090&lt;&gt;"CN",N(H1090)&lt;=0),"공급가보정 ","")&amp;IF(AND(B1090="CN",N(I1090)&lt;=0),"중국공급가=원가+마진 ",""))</f>
        <v/>
      </c>
      <c r="Q1090" s="47" t="n">
        <f aca="false">IF(SUMIFS($W:$W,$A:$A,A1090,$C:$C,C1090)=0,0,SUMIFS(RAW_판매펀칭!$K:$K,RAW_판매펀칭!$P:$P,A1090,RAW_판매펀칭!$I:$I,C1090)*W1090/SUMIFS($W:$W,$A:$A,A1090,$C:$C,C1090))</f>
        <v>540</v>
      </c>
      <c r="R1090" s="47" t="n">
        <f aca="false">IF(OR(A1090="500",A1090="800",A1090="810"),0,MAX(W1090-Q1090,0))</f>
        <v>0</v>
      </c>
      <c r="S1090" s="47" t="n">
        <f aca="false">R1090*L1090</f>
        <v>0</v>
      </c>
      <c r="T1090" s="47" t="n">
        <f aca="false">R1090*J1090</f>
        <v>0</v>
      </c>
      <c r="U1090" s="47" t="n">
        <f aca="false">R1090*K1090</f>
        <v>0</v>
      </c>
      <c r="V1090" s="0" t="str">
        <f aca="false">IF(COUNTIFS($A$2:A1090,A1090,$C$2:C1090,C1090,$D$2:D1090,D1090)&gt;1,"중복","")</f>
        <v/>
      </c>
      <c r="W1090" s="0" t="n">
        <f aca="false">IF(V1090="중복",0,N(D1090))</f>
        <v>540</v>
      </c>
      <c r="X1090" s="0" t="n">
        <f aca="false">IF(COUNTIFS($A$2:A1090,A1090,$C$2:C1090,C1090)=1,ABS(SUMIFS(RAW_발주!$D:$D,RAW_발주!$C:$C,A1090,RAW_발주!$A:$A,C1090)-SUMIFS($W:$W,$A:$A,A1090,$C:$C,C1090)),0)</f>
        <v>0</v>
      </c>
    </row>
    <row r="1091" customFormat="false" ht="15" hidden="false" customHeight="true" outlineLevel="0" collapsed="false">
      <c r="A1091" s="45" t="s">
        <v>1662</v>
      </c>
      <c r="B1091" s="42" t="str">
        <f aca="false">IF(A1091="100","HK",IF(A1091="200","CN",IF(A1091="300","TW","홀세일")))</f>
        <v>홀세일</v>
      </c>
      <c r="C1091" s="45" t="s">
        <v>517</v>
      </c>
      <c r="D1091" s="46" t="n">
        <v>140</v>
      </c>
      <c r="E1091" s="46" t="n">
        <v>179000</v>
      </c>
      <c r="F1091" s="46" t="n">
        <v>39500</v>
      </c>
      <c r="G1091" s="42" t="n">
        <v>3.51</v>
      </c>
      <c r="H1091" s="42" t="n">
        <v>44.8</v>
      </c>
      <c r="I1091" s="42" t="n">
        <v>0</v>
      </c>
      <c r="J1091" s="46" t="n">
        <f aca="false">IF(N(E1091)&gt;0,E1091,IF(N(F1091)&gt;0,F1091*요약!$F$27,0))</f>
        <v>179000</v>
      </c>
      <c r="K1091" s="46" t="n">
        <f aca="false">IF(N(F1091)&gt;0,F1091,IF(N(E1091)&gt;0,E1091/요약!$F$27,0))</f>
        <v>39500</v>
      </c>
      <c r="L1091" s="46" t="n">
        <f aca="false">IF(B1091="CN",IF(N(I1091)&gt;0,I1091*요약!$G$27,K1091*(1+요약!$E$27)),IF(N(H1091)&gt;0,H1091*요약!$G$27,J1091*요약!$D$27))</f>
        <v>59136</v>
      </c>
      <c r="M1091" s="46" t="n">
        <f aca="false">D1091*J1091</f>
        <v>25060000</v>
      </c>
      <c r="N1091" s="46" t="n">
        <f aca="false">D1091*K1091</f>
        <v>5530000</v>
      </c>
      <c r="O1091" s="46" t="n">
        <f aca="false">D1091*L1091</f>
        <v>8279040</v>
      </c>
      <c r="P1091" s="42" t="str">
        <f aca="false">TRIM(IF(N(E1091)&lt;=0,"택가보정 ","")&amp;IF(N(F1091)&lt;=0,"원가보정 ","")&amp;IF(AND(B1091&lt;&gt;"CN",N(H1091)&lt;=0),"공급가보정 ","")&amp;IF(AND(B1091="CN",N(I1091)&lt;=0),"중국공급가=원가+마진 ",""))</f>
        <v/>
      </c>
      <c r="Q1091" s="47" t="n">
        <f aca="false">IF(SUMIFS($W:$W,$A:$A,A1091,$C:$C,C1091)=0,0,SUMIFS(RAW_판매펀칭!$K:$K,RAW_판매펀칭!$P:$P,A1091,RAW_판매펀칭!$I:$I,C1091)*W1091/SUMIFS($W:$W,$A:$A,A1091,$C:$C,C1091))</f>
        <v>0</v>
      </c>
      <c r="R1091" s="47" t="n">
        <f aca="false">IF(OR(A1091="500",A1091="800",A1091="810"),0,MAX(W1091-Q1091,0))</f>
        <v>0</v>
      </c>
      <c r="S1091" s="47" t="n">
        <f aca="false">R1091*L1091</f>
        <v>0</v>
      </c>
      <c r="T1091" s="47" t="n">
        <f aca="false">R1091*J1091</f>
        <v>0</v>
      </c>
      <c r="U1091" s="47" t="n">
        <f aca="false">R1091*K1091</f>
        <v>0</v>
      </c>
      <c r="V1091" s="0" t="str">
        <f aca="false">IF(COUNTIFS($A$2:A1091,A1091,$C$2:C1091,C1091,$D$2:D1091,D1091)&gt;1,"중복","")</f>
        <v/>
      </c>
      <c r="W1091" s="0" t="n">
        <f aca="false">IF(V1091="중복",0,N(D1091))</f>
        <v>140</v>
      </c>
      <c r="X1091" s="0" t="n">
        <f aca="false">IF(COUNTIFS($A$2:A1091,A1091,$C$2:C1091,C1091)=1,ABS(SUMIFS(RAW_발주!$D:$D,RAW_발주!$C:$C,A1091,RAW_발주!$A:$A,C1091)-SUMIFS($W:$W,$A:$A,A1091,$C:$C,C1091)),0)</f>
        <v>0</v>
      </c>
    </row>
    <row r="1092" customFormat="false" ht="15" hidden="false" customHeight="true" outlineLevel="0" collapsed="false">
      <c r="A1092" s="45" t="s">
        <v>1663</v>
      </c>
      <c r="B1092" s="42" t="str">
        <f aca="false">IF(A1092="100","HK",IF(A1092="200","CN",IF(A1092="300","TW","홀세일")))</f>
        <v>홀세일</v>
      </c>
      <c r="C1092" s="45" t="s">
        <v>517</v>
      </c>
      <c r="D1092" s="46" t="n">
        <v>40</v>
      </c>
      <c r="E1092" s="46" t="n">
        <v>179000</v>
      </c>
      <c r="F1092" s="46" t="n">
        <v>39500</v>
      </c>
      <c r="G1092" s="42" t="n">
        <v>3.51</v>
      </c>
      <c r="H1092" s="42" t="n">
        <v>44.8</v>
      </c>
      <c r="I1092" s="42" t="n">
        <v>0</v>
      </c>
      <c r="J1092" s="46" t="n">
        <f aca="false">IF(N(E1092)&gt;0,E1092,IF(N(F1092)&gt;0,F1092*요약!$F$27,0))</f>
        <v>179000</v>
      </c>
      <c r="K1092" s="46" t="n">
        <f aca="false">IF(N(F1092)&gt;0,F1092,IF(N(E1092)&gt;0,E1092/요약!$F$27,0))</f>
        <v>39500</v>
      </c>
      <c r="L1092" s="46" t="n">
        <f aca="false">IF(B1092="CN",IF(N(I1092)&gt;0,I1092*요약!$G$27,K1092*(1+요약!$E$27)),IF(N(H1092)&gt;0,H1092*요약!$G$27,J1092*요약!$D$27))</f>
        <v>59136</v>
      </c>
      <c r="M1092" s="46" t="n">
        <f aca="false">D1092*J1092</f>
        <v>7160000</v>
      </c>
      <c r="N1092" s="46" t="n">
        <f aca="false">D1092*K1092</f>
        <v>1580000</v>
      </c>
      <c r="O1092" s="46" t="n">
        <f aca="false">D1092*L1092</f>
        <v>2365440</v>
      </c>
      <c r="P1092" s="42" t="str">
        <f aca="false">TRIM(IF(N(E1092)&lt;=0,"택가보정 ","")&amp;IF(N(F1092)&lt;=0,"원가보정 ","")&amp;IF(AND(B1092&lt;&gt;"CN",N(H1092)&lt;=0),"공급가보정 ","")&amp;IF(AND(B1092="CN",N(I1092)&lt;=0),"중국공급가=원가+마진 ",""))</f>
        <v/>
      </c>
      <c r="Q1092" s="47" t="n">
        <f aca="false">IF(SUMIFS($W:$W,$A:$A,A1092,$C:$C,C1092)=0,0,SUMIFS(RAW_판매펀칭!$K:$K,RAW_판매펀칭!$P:$P,A1092,RAW_판매펀칭!$I:$I,C1092)*W1092/SUMIFS($W:$W,$A:$A,A1092,$C:$C,C1092))</f>
        <v>40</v>
      </c>
      <c r="R1092" s="47" t="n">
        <f aca="false">IF(OR(A1092="500",A1092="800",A1092="810"),0,MAX(W1092-Q1092,0))</f>
        <v>0</v>
      </c>
      <c r="S1092" s="47" t="n">
        <f aca="false">R1092*L1092</f>
        <v>0</v>
      </c>
      <c r="T1092" s="47" t="n">
        <f aca="false">R1092*J1092</f>
        <v>0</v>
      </c>
      <c r="U1092" s="47" t="n">
        <f aca="false">R1092*K1092</f>
        <v>0</v>
      </c>
      <c r="V1092" s="0" t="str">
        <f aca="false">IF(COUNTIFS($A$2:A1092,A1092,$C$2:C1092,C1092,$D$2:D1092,D1092)&gt;1,"중복","")</f>
        <v/>
      </c>
      <c r="W1092" s="0" t="n">
        <f aca="false">IF(V1092="중복",0,N(D1092))</f>
        <v>40</v>
      </c>
      <c r="X1092" s="0" t="n">
        <f aca="false">IF(COUNTIFS($A$2:A1092,A1092,$C$2:C1092,C1092)=1,ABS(SUMIFS(RAW_발주!$D:$D,RAW_발주!$C:$C,A1092,RAW_발주!$A:$A,C1092)-SUMIFS($W:$W,$A:$A,A1092,$C:$C,C1092)),0)</f>
        <v>0</v>
      </c>
    </row>
    <row r="1093" customFormat="false" ht="15" hidden="false" customHeight="true" outlineLevel="0" collapsed="false">
      <c r="A1093" s="45" t="s">
        <v>1667</v>
      </c>
      <c r="B1093" s="42" t="str">
        <f aca="false">IF(A1093="100","HK",IF(A1093="200","CN",IF(A1093="300","TW","홀세일")))</f>
        <v>홀세일</v>
      </c>
      <c r="C1093" s="45" t="s">
        <v>517</v>
      </c>
      <c r="D1093" s="46" t="n">
        <v>81</v>
      </c>
      <c r="E1093" s="46" t="n">
        <v>179000</v>
      </c>
      <c r="F1093" s="46" t="n">
        <v>39500</v>
      </c>
      <c r="G1093" s="42" t="n">
        <v>3.51</v>
      </c>
      <c r="H1093" s="42" t="n">
        <v>44.8</v>
      </c>
      <c r="I1093" s="42" t="n">
        <v>0</v>
      </c>
      <c r="J1093" s="46" t="n">
        <f aca="false">IF(N(E1093)&gt;0,E1093,IF(N(F1093)&gt;0,F1093*요약!$F$27,0))</f>
        <v>179000</v>
      </c>
      <c r="K1093" s="46" t="n">
        <f aca="false">IF(N(F1093)&gt;0,F1093,IF(N(E1093)&gt;0,E1093/요약!$F$27,0))</f>
        <v>39500</v>
      </c>
      <c r="L1093" s="46" t="n">
        <f aca="false">IF(B1093="CN",IF(N(I1093)&gt;0,I1093*요약!$G$27,K1093*(1+요약!$E$27)),IF(N(H1093)&gt;0,H1093*요약!$G$27,J1093*요약!$D$27))</f>
        <v>59136</v>
      </c>
      <c r="M1093" s="46" t="n">
        <f aca="false">D1093*J1093</f>
        <v>14499000</v>
      </c>
      <c r="N1093" s="46" t="n">
        <f aca="false">D1093*K1093</f>
        <v>3199500</v>
      </c>
      <c r="O1093" s="46" t="n">
        <f aca="false">D1093*L1093</f>
        <v>4790016</v>
      </c>
      <c r="P1093" s="42" t="str">
        <f aca="false">TRIM(IF(N(E1093)&lt;=0,"택가보정 ","")&amp;IF(N(F1093)&lt;=0,"원가보정 ","")&amp;IF(AND(B1093&lt;&gt;"CN",N(H1093)&lt;=0),"공급가보정 ","")&amp;IF(AND(B1093="CN",N(I1093)&lt;=0),"중국공급가=원가+마진 ",""))</f>
        <v/>
      </c>
      <c r="Q1093" s="47" t="n">
        <f aca="false">IF(SUMIFS($W:$W,$A:$A,A1093,$C:$C,C1093)=0,0,SUMIFS(RAW_판매펀칭!$K:$K,RAW_판매펀칭!$P:$P,A1093,RAW_판매펀칭!$I:$I,C1093)*W1093/SUMIFS($W:$W,$A:$A,A1093,$C:$C,C1093))</f>
        <v>80</v>
      </c>
      <c r="R1093" s="47" t="n">
        <f aca="false">IF(OR(A1093="500",A1093="800",A1093="810"),0,MAX(W1093-Q1093,0))</f>
        <v>1</v>
      </c>
      <c r="S1093" s="47" t="n">
        <f aca="false">R1093*L1093</f>
        <v>59136</v>
      </c>
      <c r="T1093" s="47" t="n">
        <f aca="false">R1093*J1093</f>
        <v>179000</v>
      </c>
      <c r="U1093" s="47" t="n">
        <f aca="false">R1093*K1093</f>
        <v>39500</v>
      </c>
      <c r="V1093" s="0" t="str">
        <f aca="false">IF(COUNTIFS($A$2:A1093,A1093,$C$2:C1093,C1093,$D$2:D1093,D1093)&gt;1,"중복","")</f>
        <v/>
      </c>
      <c r="W1093" s="0" t="n">
        <f aca="false">IF(V1093="중복",0,N(D1093))</f>
        <v>81</v>
      </c>
      <c r="X1093" s="0" t="n">
        <f aca="false">IF(COUNTIFS($A$2:A1093,A1093,$C$2:C1093,C1093)=1,ABS(SUMIFS(RAW_발주!$D:$D,RAW_발주!$C:$C,A1093,RAW_발주!$A:$A,C1093)-SUMIFS($W:$W,$A:$A,A1093,$C:$C,C1093)),0)</f>
        <v>0</v>
      </c>
    </row>
    <row r="1094" customFormat="false" ht="15" hidden="false" customHeight="true" outlineLevel="0" collapsed="false">
      <c r="A1094" s="45" t="s">
        <v>1661</v>
      </c>
      <c r="B1094" s="42" t="str">
        <f aca="false">IF(A1094="100","HK",IF(A1094="200","CN",IF(A1094="300","TW","홀세일")))</f>
        <v>TW</v>
      </c>
      <c r="C1094" s="45" t="s">
        <v>519</v>
      </c>
      <c r="D1094" s="46" t="n">
        <v>380</v>
      </c>
      <c r="E1094" s="46" t="n">
        <v>199000</v>
      </c>
      <c r="F1094" s="46" t="n">
        <v>54400</v>
      </c>
      <c r="G1094" s="42" t="n">
        <v>4.06</v>
      </c>
      <c r="H1094" s="42" t="n">
        <v>49.8</v>
      </c>
      <c r="I1094" s="42" t="n">
        <v>0</v>
      </c>
      <c r="J1094" s="46" t="n">
        <f aca="false">IF(N(E1094)&gt;0,E1094,IF(N(F1094)&gt;0,F1094*요약!$F$27,0))</f>
        <v>199000</v>
      </c>
      <c r="K1094" s="46" t="n">
        <f aca="false">IF(N(F1094)&gt;0,F1094,IF(N(E1094)&gt;0,E1094/요약!$F$27,0))</f>
        <v>54400</v>
      </c>
      <c r="L1094" s="46" t="n">
        <f aca="false">IF(B1094="CN",IF(N(I1094)&gt;0,I1094*요약!$G$27,K1094*(1+요약!$E$27)),IF(N(H1094)&gt;0,H1094*요약!$G$27,J1094*요약!$D$27))</f>
        <v>65736</v>
      </c>
      <c r="M1094" s="46" t="n">
        <f aca="false">D1094*J1094</f>
        <v>75620000</v>
      </c>
      <c r="N1094" s="46" t="n">
        <f aca="false">D1094*K1094</f>
        <v>20672000</v>
      </c>
      <c r="O1094" s="46" t="n">
        <f aca="false">D1094*L1094</f>
        <v>24979680</v>
      </c>
      <c r="P1094" s="42" t="str">
        <f aca="false">TRIM(IF(N(E1094)&lt;=0,"택가보정 ","")&amp;IF(N(F1094)&lt;=0,"원가보정 ","")&amp;IF(AND(B1094&lt;&gt;"CN",N(H1094)&lt;=0),"공급가보정 ","")&amp;IF(AND(B1094="CN",N(I1094)&lt;=0),"중국공급가=원가+마진 ",""))</f>
        <v/>
      </c>
      <c r="Q1094" s="47" t="n">
        <f aca="false">IF(SUMIFS($W:$W,$A:$A,A1094,$C:$C,C1094)=0,0,SUMIFS(RAW_판매펀칭!$K:$K,RAW_판매펀칭!$P:$P,A1094,RAW_판매펀칭!$I:$I,C1094)*W1094/SUMIFS($W:$W,$A:$A,A1094,$C:$C,C1094))</f>
        <v>380</v>
      </c>
      <c r="R1094" s="47" t="n">
        <f aca="false">IF(OR(A1094="500",A1094="800",A1094="810"),0,MAX(W1094-Q1094,0))</f>
        <v>0</v>
      </c>
      <c r="S1094" s="47" t="n">
        <f aca="false">R1094*L1094</f>
        <v>0</v>
      </c>
      <c r="T1094" s="47" t="n">
        <f aca="false">R1094*J1094</f>
        <v>0</v>
      </c>
      <c r="U1094" s="47" t="n">
        <f aca="false">R1094*K1094</f>
        <v>0</v>
      </c>
      <c r="V1094" s="0" t="str">
        <f aca="false">IF(COUNTIFS($A$2:A1094,A1094,$C$2:C1094,C1094,$D$2:D1094,D1094)&gt;1,"중복","")</f>
        <v/>
      </c>
      <c r="W1094" s="0" t="n">
        <f aca="false">IF(V1094="중복",0,N(D1094))</f>
        <v>380</v>
      </c>
      <c r="X1094" s="0" t="n">
        <f aca="false">IF(COUNTIFS($A$2:A1094,A1094,$C$2:C1094,C1094)=1,ABS(SUMIFS(RAW_발주!$D:$D,RAW_발주!$C:$C,A1094,RAW_발주!$A:$A,C1094)-SUMIFS($W:$W,$A:$A,A1094,$C:$C,C1094)),0)</f>
        <v>0</v>
      </c>
    </row>
    <row r="1095" customFormat="false" ht="15" hidden="false" customHeight="true" outlineLevel="0" collapsed="false">
      <c r="A1095" s="45" t="s">
        <v>1662</v>
      </c>
      <c r="B1095" s="42" t="str">
        <f aca="false">IF(A1095="100","HK",IF(A1095="200","CN",IF(A1095="300","TW","홀세일")))</f>
        <v>홀세일</v>
      </c>
      <c r="C1095" s="45" t="s">
        <v>519</v>
      </c>
      <c r="D1095" s="46" t="n">
        <v>60</v>
      </c>
      <c r="E1095" s="46" t="n">
        <v>199000</v>
      </c>
      <c r="F1095" s="46" t="n">
        <v>54400</v>
      </c>
      <c r="G1095" s="42" t="n">
        <v>4.06</v>
      </c>
      <c r="H1095" s="42" t="n">
        <v>49.8</v>
      </c>
      <c r="I1095" s="42" t="n">
        <v>0</v>
      </c>
      <c r="J1095" s="46" t="n">
        <f aca="false">IF(N(E1095)&gt;0,E1095,IF(N(F1095)&gt;0,F1095*요약!$F$27,0))</f>
        <v>199000</v>
      </c>
      <c r="K1095" s="46" t="n">
        <f aca="false">IF(N(F1095)&gt;0,F1095,IF(N(E1095)&gt;0,E1095/요약!$F$27,0))</f>
        <v>54400</v>
      </c>
      <c r="L1095" s="46" t="n">
        <f aca="false">IF(B1095="CN",IF(N(I1095)&gt;0,I1095*요약!$G$27,K1095*(1+요약!$E$27)),IF(N(H1095)&gt;0,H1095*요약!$G$27,J1095*요약!$D$27))</f>
        <v>65736</v>
      </c>
      <c r="M1095" s="46" t="n">
        <f aca="false">D1095*J1095</f>
        <v>11940000</v>
      </c>
      <c r="N1095" s="46" t="n">
        <f aca="false">D1095*K1095</f>
        <v>3264000</v>
      </c>
      <c r="O1095" s="46" t="n">
        <f aca="false">D1095*L1095</f>
        <v>3944160</v>
      </c>
      <c r="P1095" s="42" t="str">
        <f aca="false">TRIM(IF(N(E1095)&lt;=0,"택가보정 ","")&amp;IF(N(F1095)&lt;=0,"원가보정 ","")&amp;IF(AND(B1095&lt;&gt;"CN",N(H1095)&lt;=0),"공급가보정 ","")&amp;IF(AND(B1095="CN",N(I1095)&lt;=0),"중국공급가=원가+마진 ",""))</f>
        <v/>
      </c>
      <c r="Q1095" s="47" t="n">
        <f aca="false">IF(SUMIFS($W:$W,$A:$A,A1095,$C:$C,C1095)=0,0,SUMIFS(RAW_판매펀칭!$K:$K,RAW_판매펀칭!$P:$P,A1095,RAW_판매펀칭!$I:$I,C1095)*W1095/SUMIFS($W:$W,$A:$A,A1095,$C:$C,C1095))</f>
        <v>0</v>
      </c>
      <c r="R1095" s="47" t="n">
        <f aca="false">IF(OR(A1095="500",A1095="800",A1095="810"),0,MAX(W1095-Q1095,0))</f>
        <v>0</v>
      </c>
      <c r="S1095" s="47" t="n">
        <f aca="false">R1095*L1095</f>
        <v>0</v>
      </c>
      <c r="T1095" s="47" t="n">
        <f aca="false">R1095*J1095</f>
        <v>0</v>
      </c>
      <c r="U1095" s="47" t="n">
        <f aca="false">R1095*K1095</f>
        <v>0</v>
      </c>
      <c r="V1095" s="0" t="str">
        <f aca="false">IF(COUNTIFS($A$2:A1095,A1095,$C$2:C1095,C1095,$D$2:D1095,D1095)&gt;1,"중복","")</f>
        <v/>
      </c>
      <c r="W1095" s="0" t="n">
        <f aca="false">IF(V1095="중복",0,N(D1095))</f>
        <v>60</v>
      </c>
      <c r="X1095" s="0" t="n">
        <f aca="false">IF(COUNTIFS($A$2:A1095,A1095,$C$2:C1095,C1095)=1,ABS(SUMIFS(RAW_발주!$D:$D,RAW_발주!$C:$C,A1095,RAW_발주!$A:$A,C1095)-SUMIFS($W:$W,$A:$A,A1095,$C:$C,C1095)),0)</f>
        <v>0</v>
      </c>
    </row>
    <row r="1096" customFormat="false" ht="15" hidden="false" customHeight="true" outlineLevel="0" collapsed="false">
      <c r="A1096" s="45" t="s">
        <v>1663</v>
      </c>
      <c r="B1096" s="42" t="str">
        <f aca="false">IF(A1096="100","HK",IF(A1096="200","CN",IF(A1096="300","TW","홀세일")))</f>
        <v>홀세일</v>
      </c>
      <c r="C1096" s="45" t="s">
        <v>519</v>
      </c>
      <c r="D1096" s="46" t="n">
        <v>15</v>
      </c>
      <c r="E1096" s="46" t="n">
        <v>199000</v>
      </c>
      <c r="F1096" s="46" t="n">
        <v>54400</v>
      </c>
      <c r="G1096" s="42" t="n">
        <v>4.06</v>
      </c>
      <c r="H1096" s="42" t="n">
        <v>49.8</v>
      </c>
      <c r="I1096" s="42" t="n">
        <v>0</v>
      </c>
      <c r="J1096" s="46" t="n">
        <f aca="false">IF(N(E1096)&gt;0,E1096,IF(N(F1096)&gt;0,F1096*요약!$F$27,0))</f>
        <v>199000</v>
      </c>
      <c r="K1096" s="46" t="n">
        <f aca="false">IF(N(F1096)&gt;0,F1096,IF(N(E1096)&gt;0,E1096/요약!$F$27,0))</f>
        <v>54400</v>
      </c>
      <c r="L1096" s="46" t="n">
        <f aca="false">IF(B1096="CN",IF(N(I1096)&gt;0,I1096*요약!$G$27,K1096*(1+요약!$E$27)),IF(N(H1096)&gt;0,H1096*요약!$G$27,J1096*요약!$D$27))</f>
        <v>65736</v>
      </c>
      <c r="M1096" s="46" t="n">
        <f aca="false">D1096*J1096</f>
        <v>2985000</v>
      </c>
      <c r="N1096" s="46" t="n">
        <f aca="false">D1096*K1096</f>
        <v>816000</v>
      </c>
      <c r="O1096" s="46" t="n">
        <f aca="false">D1096*L1096</f>
        <v>986040</v>
      </c>
      <c r="P1096" s="42" t="str">
        <f aca="false">TRIM(IF(N(E1096)&lt;=0,"택가보정 ","")&amp;IF(N(F1096)&lt;=0,"원가보정 ","")&amp;IF(AND(B1096&lt;&gt;"CN",N(H1096)&lt;=0),"공급가보정 ","")&amp;IF(AND(B1096="CN",N(I1096)&lt;=0),"중국공급가=원가+마진 ",""))</f>
        <v/>
      </c>
      <c r="Q1096" s="47" t="n">
        <f aca="false">IF(SUMIFS($W:$W,$A:$A,A1096,$C:$C,C1096)=0,0,SUMIFS(RAW_판매펀칭!$K:$K,RAW_판매펀칭!$P:$P,A1096,RAW_판매펀칭!$I:$I,C1096)*W1096/SUMIFS($W:$W,$A:$A,A1096,$C:$C,C1096))</f>
        <v>15</v>
      </c>
      <c r="R1096" s="47" t="n">
        <f aca="false">IF(OR(A1096="500",A1096="800",A1096="810"),0,MAX(W1096-Q1096,0))</f>
        <v>0</v>
      </c>
      <c r="S1096" s="47" t="n">
        <f aca="false">R1096*L1096</f>
        <v>0</v>
      </c>
      <c r="T1096" s="47" t="n">
        <f aca="false">R1096*J1096</f>
        <v>0</v>
      </c>
      <c r="U1096" s="47" t="n">
        <f aca="false">R1096*K1096</f>
        <v>0</v>
      </c>
      <c r="V1096" s="0" t="str">
        <f aca="false">IF(COUNTIFS($A$2:A1096,A1096,$C$2:C1096,C1096,$D$2:D1096,D1096)&gt;1,"중복","")</f>
        <v/>
      </c>
      <c r="W1096" s="0" t="n">
        <f aca="false">IF(V1096="중복",0,N(D1096))</f>
        <v>15</v>
      </c>
      <c r="X1096" s="0" t="n">
        <f aca="false">IF(COUNTIFS($A$2:A1096,A1096,$C$2:C1096,C1096)=1,ABS(SUMIFS(RAW_발주!$D:$D,RAW_발주!$C:$C,A1096,RAW_발주!$A:$A,C1096)-SUMIFS($W:$W,$A:$A,A1096,$C:$C,C1096)),0)</f>
        <v>0</v>
      </c>
    </row>
    <row r="1097" customFormat="false" ht="15" hidden="false" customHeight="true" outlineLevel="0" collapsed="false">
      <c r="A1097" s="45" t="s">
        <v>1659</v>
      </c>
      <c r="B1097" s="42" t="str">
        <f aca="false">IF(A1097="100","HK",IF(A1097="200","CN",IF(A1097="300","TW","홀세일")))</f>
        <v>HK</v>
      </c>
      <c r="C1097" s="45" t="s">
        <v>1698</v>
      </c>
      <c r="D1097" s="46" t="n">
        <v>65</v>
      </c>
      <c r="E1097" s="46" t="n">
        <v>249000</v>
      </c>
      <c r="F1097" s="46" t="n">
        <v>76132</v>
      </c>
      <c r="G1097" s="42" t="n">
        <v>2.98</v>
      </c>
      <c r="H1097" s="42" t="n">
        <v>64</v>
      </c>
      <c r="J1097" s="46" t="n">
        <f aca="false">IF(N(E1097)&gt;0,E1097,IF(N(F1097)&gt;0,F1097*요약!$F$27,0))</f>
        <v>249000</v>
      </c>
      <c r="K1097" s="46" t="n">
        <f aca="false">IF(N(F1097)&gt;0,F1097,IF(N(E1097)&gt;0,E1097/요약!$F$27,0))</f>
        <v>76132</v>
      </c>
      <c r="L1097" s="46" t="n">
        <f aca="false">IF(B1097="CN",IF(N(I1097)&gt;0,I1097*요약!$G$27,K1097*(1+요약!$E$27)),IF(N(H1097)&gt;0,H1097*요약!$G$27,J1097*요약!$D$27))</f>
        <v>84480</v>
      </c>
      <c r="M1097" s="46" t="n">
        <f aca="false">D1097*J1097</f>
        <v>16185000</v>
      </c>
      <c r="N1097" s="46" t="n">
        <f aca="false">D1097*K1097</f>
        <v>4948580</v>
      </c>
      <c r="O1097" s="46" t="n">
        <f aca="false">D1097*L1097</f>
        <v>5491200</v>
      </c>
      <c r="P1097" s="42" t="str">
        <f aca="false">TRIM(IF(N(E1097)&lt;=0,"택가보정 ","")&amp;IF(N(F1097)&lt;=0,"원가보정 ","")&amp;IF(AND(B1097&lt;&gt;"CN",N(H1097)&lt;=0),"공급가보정 ","")&amp;IF(AND(B1097="CN",N(I1097)&lt;=0),"중국공급가=원가+마진 ",""))</f>
        <v/>
      </c>
      <c r="Q1097" s="47" t="n">
        <f aca="false">IF(SUMIFS($W:$W,$A:$A,A1097,$C:$C,C1097)=0,0,SUMIFS(RAW_판매펀칭!$K:$K,RAW_판매펀칭!$P:$P,A1097,RAW_판매펀칭!$I:$I,C1097)*W1097/SUMIFS($W:$W,$A:$A,A1097,$C:$C,C1097))</f>
        <v>0</v>
      </c>
      <c r="R1097" s="47" t="n">
        <f aca="false">IF(OR(A1097="500",A1097="800",A1097="810"),0,MAX(W1097-Q1097,0))</f>
        <v>65</v>
      </c>
      <c r="S1097" s="47" t="n">
        <f aca="false">R1097*L1097</f>
        <v>5491200</v>
      </c>
      <c r="T1097" s="47" t="n">
        <f aca="false">R1097*J1097</f>
        <v>16185000</v>
      </c>
      <c r="U1097" s="47" t="n">
        <f aca="false">R1097*K1097</f>
        <v>4948580</v>
      </c>
      <c r="V1097" s="0" t="str">
        <f aca="false">IF(COUNTIFS($A$2:A1097,A1097,$C$2:C1097,C1097,$D$2:D1097,D1097)&gt;1,"중복","")</f>
        <v/>
      </c>
      <c r="W1097" s="0" t="n">
        <f aca="false">IF(V1097="중복",0,N(D1097))</f>
        <v>65</v>
      </c>
      <c r="X1097" s="0" t="n">
        <f aca="false">IF(COUNTIFS($A$2:A1097,A1097,$C$2:C1097,C1097)=1,ABS(SUMIFS(RAW_발주!$D:$D,RAW_발주!$C:$C,A1097,RAW_발주!$A:$A,C1097)-SUMIFS($W:$W,$A:$A,A1097,$C:$C,C1097)),0)</f>
        <v>0</v>
      </c>
    </row>
    <row r="1098" customFormat="false" ht="15" hidden="false" customHeight="true" outlineLevel="0" collapsed="false">
      <c r="A1098" s="45" t="s">
        <v>1659</v>
      </c>
      <c r="B1098" s="42" t="str">
        <f aca="false">IF(A1098="100","HK",IF(A1098="200","CN",IF(A1098="300","TW","홀세일")))</f>
        <v>HK</v>
      </c>
      <c r="C1098" s="45" t="s">
        <v>926</v>
      </c>
      <c r="D1098" s="46" t="n">
        <v>240</v>
      </c>
      <c r="E1098" s="46" t="n">
        <v>119000</v>
      </c>
      <c r="F1098" s="46" t="n">
        <v>28600</v>
      </c>
      <c r="G1098" s="42" t="n">
        <v>3.82</v>
      </c>
      <c r="H1098" s="42" t="n">
        <v>29.8</v>
      </c>
      <c r="I1098" s="42" t="n">
        <v>0</v>
      </c>
      <c r="J1098" s="46" t="n">
        <f aca="false">IF(N(E1098)&gt;0,E1098,IF(N(F1098)&gt;0,F1098*요약!$F$27,0))</f>
        <v>119000</v>
      </c>
      <c r="K1098" s="46" t="n">
        <f aca="false">IF(N(F1098)&gt;0,F1098,IF(N(E1098)&gt;0,E1098/요약!$F$27,0))</f>
        <v>28600</v>
      </c>
      <c r="L1098" s="46" t="n">
        <f aca="false">IF(B1098="CN",IF(N(I1098)&gt;0,I1098*요약!$G$27,K1098*(1+요약!$E$27)),IF(N(H1098)&gt;0,H1098*요약!$G$27,J1098*요약!$D$27))</f>
        <v>39336</v>
      </c>
      <c r="M1098" s="46" t="n">
        <f aca="false">D1098*J1098</f>
        <v>28560000</v>
      </c>
      <c r="N1098" s="46" t="n">
        <f aca="false">D1098*K1098</f>
        <v>6864000</v>
      </c>
      <c r="O1098" s="46" t="n">
        <f aca="false">D1098*L1098</f>
        <v>9440640</v>
      </c>
      <c r="P1098" s="42" t="str">
        <f aca="false">TRIM(IF(N(E1098)&lt;=0,"택가보정 ","")&amp;IF(N(F1098)&lt;=0,"원가보정 ","")&amp;IF(AND(B1098&lt;&gt;"CN",N(H1098)&lt;=0),"공급가보정 ","")&amp;IF(AND(B1098="CN",N(I1098)&lt;=0),"중국공급가=원가+마진 ",""))</f>
        <v/>
      </c>
      <c r="Q1098" s="47" t="n">
        <f aca="false">IF(SUMIFS($W:$W,$A:$A,A1098,$C:$C,C1098)=0,0,SUMIFS(RAW_판매펀칭!$K:$K,RAW_판매펀칭!$P:$P,A1098,RAW_판매펀칭!$I:$I,C1098)*W1098/SUMIFS($W:$W,$A:$A,A1098,$C:$C,C1098))</f>
        <v>240</v>
      </c>
      <c r="R1098" s="47" t="n">
        <f aca="false">IF(OR(A1098="500",A1098="800",A1098="810"),0,MAX(W1098-Q1098,0))</f>
        <v>0</v>
      </c>
      <c r="S1098" s="47" t="n">
        <f aca="false">R1098*L1098</f>
        <v>0</v>
      </c>
      <c r="T1098" s="47" t="n">
        <f aca="false">R1098*J1098</f>
        <v>0</v>
      </c>
      <c r="U1098" s="47" t="n">
        <f aca="false">R1098*K1098</f>
        <v>0</v>
      </c>
      <c r="V1098" s="0" t="str">
        <f aca="false">IF(COUNTIFS($A$2:A1098,A1098,$C$2:C1098,C1098,$D$2:D1098,D1098)&gt;1,"중복","")</f>
        <v/>
      </c>
      <c r="W1098" s="0" t="n">
        <f aca="false">IF(V1098="중복",0,N(D1098))</f>
        <v>240</v>
      </c>
      <c r="X1098" s="0" t="n">
        <f aca="false">IF(COUNTIFS($A$2:A1098,A1098,$C$2:C1098,C1098)=1,ABS(SUMIFS(RAW_발주!$D:$D,RAW_발주!$C:$C,A1098,RAW_발주!$A:$A,C1098)-SUMIFS($W:$W,$A:$A,A1098,$C:$C,C1098)),0)</f>
        <v>0</v>
      </c>
    </row>
    <row r="1099" customFormat="false" ht="15" hidden="false" customHeight="true" outlineLevel="0" collapsed="false">
      <c r="A1099" s="45" t="s">
        <v>1667</v>
      </c>
      <c r="B1099" s="42" t="str">
        <f aca="false">IF(A1099="100","HK",IF(A1099="200","CN",IF(A1099="300","TW","홀세일")))</f>
        <v>홀세일</v>
      </c>
      <c r="C1099" s="45" t="s">
        <v>926</v>
      </c>
      <c r="D1099" s="46" t="n">
        <v>157</v>
      </c>
      <c r="E1099" s="46" t="n">
        <v>119000</v>
      </c>
      <c r="F1099" s="46" t="n">
        <v>28600</v>
      </c>
      <c r="G1099" s="42" t="n">
        <v>3.82</v>
      </c>
      <c r="H1099" s="42" t="n">
        <v>29.8</v>
      </c>
      <c r="I1099" s="42" t="n">
        <v>0</v>
      </c>
      <c r="J1099" s="46" t="n">
        <f aca="false">IF(N(E1099)&gt;0,E1099,IF(N(F1099)&gt;0,F1099*요약!$F$27,0))</f>
        <v>119000</v>
      </c>
      <c r="K1099" s="46" t="n">
        <f aca="false">IF(N(F1099)&gt;0,F1099,IF(N(E1099)&gt;0,E1099/요약!$F$27,0))</f>
        <v>28600</v>
      </c>
      <c r="L1099" s="46" t="n">
        <f aca="false">IF(B1099="CN",IF(N(I1099)&gt;0,I1099*요약!$G$27,K1099*(1+요약!$E$27)),IF(N(H1099)&gt;0,H1099*요약!$G$27,J1099*요약!$D$27))</f>
        <v>39336</v>
      </c>
      <c r="M1099" s="46" t="n">
        <f aca="false">D1099*J1099</f>
        <v>18683000</v>
      </c>
      <c r="N1099" s="46" t="n">
        <f aca="false">D1099*K1099</f>
        <v>4490200</v>
      </c>
      <c r="O1099" s="46" t="n">
        <f aca="false">D1099*L1099</f>
        <v>6175752</v>
      </c>
      <c r="P1099" s="42" t="str">
        <f aca="false">TRIM(IF(N(E1099)&lt;=0,"택가보정 ","")&amp;IF(N(F1099)&lt;=0,"원가보정 ","")&amp;IF(AND(B1099&lt;&gt;"CN",N(H1099)&lt;=0),"공급가보정 ","")&amp;IF(AND(B1099="CN",N(I1099)&lt;=0),"중국공급가=원가+마진 ",""))</f>
        <v/>
      </c>
      <c r="Q1099" s="47" t="n">
        <f aca="false">IF(SUMIFS($W:$W,$A:$A,A1099,$C:$C,C1099)=0,0,SUMIFS(RAW_판매펀칭!$K:$K,RAW_판매펀칭!$P:$P,A1099,RAW_판매펀칭!$I:$I,C1099)*W1099/SUMIFS($W:$W,$A:$A,A1099,$C:$C,C1099))</f>
        <v>155</v>
      </c>
      <c r="R1099" s="47" t="n">
        <f aca="false">IF(OR(A1099="500",A1099="800",A1099="810"),0,MAX(W1099-Q1099,0))</f>
        <v>2</v>
      </c>
      <c r="S1099" s="47" t="n">
        <f aca="false">R1099*L1099</f>
        <v>78672</v>
      </c>
      <c r="T1099" s="47" t="n">
        <f aca="false">R1099*J1099</f>
        <v>238000</v>
      </c>
      <c r="U1099" s="47" t="n">
        <f aca="false">R1099*K1099</f>
        <v>57200</v>
      </c>
      <c r="V1099" s="0" t="str">
        <f aca="false">IF(COUNTIFS($A$2:A1099,A1099,$C$2:C1099,C1099,$D$2:D1099,D1099)&gt;1,"중복","")</f>
        <v/>
      </c>
      <c r="W1099" s="0" t="n">
        <f aca="false">IF(V1099="중복",0,N(D1099))</f>
        <v>157</v>
      </c>
      <c r="X1099" s="0" t="n">
        <f aca="false">IF(COUNTIFS($A$2:A1099,A1099,$C$2:C1099,C1099)=1,ABS(SUMIFS(RAW_발주!$D:$D,RAW_발주!$C:$C,A1099,RAW_발주!$A:$A,C1099)-SUMIFS($W:$W,$A:$A,A1099,$C:$C,C1099)),0)</f>
        <v>0</v>
      </c>
    </row>
    <row r="1100" customFormat="false" ht="15" hidden="false" customHeight="true" outlineLevel="0" collapsed="false">
      <c r="A1100" s="45" t="s">
        <v>1663</v>
      </c>
      <c r="B1100" s="42" t="str">
        <f aca="false">IF(A1100="100","HK",IF(A1100="200","CN",IF(A1100="300","TW","홀세일")))</f>
        <v>홀세일</v>
      </c>
      <c r="C1100" s="45" t="s">
        <v>1334</v>
      </c>
      <c r="D1100" s="46" t="n">
        <v>65</v>
      </c>
      <c r="E1100" s="46" t="n">
        <v>109000</v>
      </c>
      <c r="F1100" s="46" t="n">
        <v>26700</v>
      </c>
      <c r="G1100" s="42" t="n">
        <v>3.81</v>
      </c>
      <c r="H1100" s="42" t="n">
        <v>27.3</v>
      </c>
      <c r="I1100" s="42" t="n">
        <v>0</v>
      </c>
      <c r="J1100" s="46" t="n">
        <f aca="false">IF(N(E1100)&gt;0,E1100,IF(N(F1100)&gt;0,F1100*요약!$F$27,0))</f>
        <v>109000</v>
      </c>
      <c r="K1100" s="46" t="n">
        <f aca="false">IF(N(F1100)&gt;0,F1100,IF(N(E1100)&gt;0,E1100/요약!$F$27,0))</f>
        <v>26700</v>
      </c>
      <c r="L1100" s="46" t="n">
        <f aca="false">IF(B1100="CN",IF(N(I1100)&gt;0,I1100*요약!$G$27,K1100*(1+요약!$E$27)),IF(N(H1100)&gt;0,H1100*요약!$G$27,J1100*요약!$D$27))</f>
        <v>36036</v>
      </c>
      <c r="M1100" s="46" t="n">
        <f aca="false">D1100*J1100</f>
        <v>7085000</v>
      </c>
      <c r="N1100" s="46" t="n">
        <f aca="false">D1100*K1100</f>
        <v>1735500</v>
      </c>
      <c r="O1100" s="46" t="n">
        <f aca="false">D1100*L1100</f>
        <v>2342340</v>
      </c>
      <c r="P1100" s="42" t="str">
        <f aca="false">TRIM(IF(N(E1100)&lt;=0,"택가보정 ","")&amp;IF(N(F1100)&lt;=0,"원가보정 ","")&amp;IF(AND(B1100&lt;&gt;"CN",N(H1100)&lt;=0),"공급가보정 ","")&amp;IF(AND(B1100="CN",N(I1100)&lt;=0),"중국공급가=원가+마진 ",""))</f>
        <v/>
      </c>
      <c r="Q1100" s="47" t="n">
        <f aca="false">IF(SUMIFS($W:$W,$A:$A,A1100,$C:$C,C1100)=0,0,SUMIFS(RAW_판매펀칭!$K:$K,RAW_판매펀칭!$P:$P,A1100,RAW_판매펀칭!$I:$I,C1100)*W1100/SUMIFS($W:$W,$A:$A,A1100,$C:$C,C1100))</f>
        <v>65</v>
      </c>
      <c r="R1100" s="47" t="n">
        <f aca="false">IF(OR(A1100="500",A1100="800",A1100="810"),0,MAX(W1100-Q1100,0))</f>
        <v>0</v>
      </c>
      <c r="S1100" s="47" t="n">
        <f aca="false">R1100*L1100</f>
        <v>0</v>
      </c>
      <c r="T1100" s="47" t="n">
        <f aca="false">R1100*J1100</f>
        <v>0</v>
      </c>
      <c r="U1100" s="47" t="n">
        <f aca="false">R1100*K1100</f>
        <v>0</v>
      </c>
      <c r="V1100" s="0" t="str">
        <f aca="false">IF(COUNTIFS($A$2:A1100,A1100,$C$2:C1100,C1100,$D$2:D1100,D1100)&gt;1,"중복","")</f>
        <v/>
      </c>
      <c r="W1100" s="0" t="n">
        <f aca="false">IF(V1100="중복",0,N(D1100))</f>
        <v>65</v>
      </c>
      <c r="X1100" s="0" t="n">
        <f aca="false">IF(COUNTIFS($A$2:A1100,A1100,$C$2:C1100,C1100)=1,ABS(SUMIFS(RAW_발주!$D:$D,RAW_발주!$C:$C,A1100,RAW_발주!$A:$A,C1100)-SUMIFS($W:$W,$A:$A,A1100,$C:$C,C1100)),0)</f>
        <v>0</v>
      </c>
    </row>
    <row r="1101" customFormat="false" ht="15" hidden="false" customHeight="true" outlineLevel="0" collapsed="false">
      <c r="A1101" s="45" t="s">
        <v>1667</v>
      </c>
      <c r="B1101" s="42" t="str">
        <f aca="false">IF(A1101="100","HK",IF(A1101="200","CN",IF(A1101="300","TW","홀세일")))</f>
        <v>홀세일</v>
      </c>
      <c r="C1101" s="45" t="s">
        <v>1334</v>
      </c>
      <c r="D1101" s="46" t="n">
        <v>162</v>
      </c>
      <c r="E1101" s="46" t="n">
        <v>109000</v>
      </c>
      <c r="F1101" s="46" t="n">
        <v>26700</v>
      </c>
      <c r="G1101" s="42" t="n">
        <v>3.81</v>
      </c>
      <c r="H1101" s="42" t="n">
        <v>27.3</v>
      </c>
      <c r="I1101" s="42" t="n">
        <v>0</v>
      </c>
      <c r="J1101" s="46" t="n">
        <f aca="false">IF(N(E1101)&gt;0,E1101,IF(N(F1101)&gt;0,F1101*요약!$F$27,0))</f>
        <v>109000</v>
      </c>
      <c r="K1101" s="46" t="n">
        <f aca="false">IF(N(F1101)&gt;0,F1101,IF(N(E1101)&gt;0,E1101/요약!$F$27,0))</f>
        <v>26700</v>
      </c>
      <c r="L1101" s="46" t="n">
        <f aca="false">IF(B1101="CN",IF(N(I1101)&gt;0,I1101*요약!$G$27,K1101*(1+요약!$E$27)),IF(N(H1101)&gt;0,H1101*요약!$G$27,J1101*요약!$D$27))</f>
        <v>36036</v>
      </c>
      <c r="M1101" s="46" t="n">
        <f aca="false">D1101*J1101</f>
        <v>17658000</v>
      </c>
      <c r="N1101" s="46" t="n">
        <f aca="false">D1101*K1101</f>
        <v>4325400</v>
      </c>
      <c r="O1101" s="46" t="n">
        <f aca="false">D1101*L1101</f>
        <v>5837832</v>
      </c>
      <c r="P1101" s="42" t="str">
        <f aca="false">TRIM(IF(N(E1101)&lt;=0,"택가보정 ","")&amp;IF(N(F1101)&lt;=0,"원가보정 ","")&amp;IF(AND(B1101&lt;&gt;"CN",N(H1101)&lt;=0),"공급가보정 ","")&amp;IF(AND(B1101="CN",N(I1101)&lt;=0),"중국공급가=원가+마진 ",""))</f>
        <v/>
      </c>
      <c r="Q1101" s="47" t="n">
        <f aca="false">IF(SUMIFS($W:$W,$A:$A,A1101,$C:$C,C1101)=0,0,SUMIFS(RAW_판매펀칭!$K:$K,RAW_판매펀칭!$P:$P,A1101,RAW_판매펀칭!$I:$I,C1101)*W1101/SUMIFS($W:$W,$A:$A,A1101,$C:$C,C1101))</f>
        <v>160</v>
      </c>
      <c r="R1101" s="47" t="n">
        <f aca="false">IF(OR(A1101="500",A1101="800",A1101="810"),0,MAX(W1101-Q1101,0))</f>
        <v>2</v>
      </c>
      <c r="S1101" s="47" t="n">
        <f aca="false">R1101*L1101</f>
        <v>72072</v>
      </c>
      <c r="T1101" s="47" t="n">
        <f aca="false">R1101*J1101</f>
        <v>218000</v>
      </c>
      <c r="U1101" s="47" t="n">
        <f aca="false">R1101*K1101</f>
        <v>53400</v>
      </c>
      <c r="V1101" s="0" t="str">
        <f aca="false">IF(COUNTIFS($A$2:A1101,A1101,$C$2:C1101,C1101,$D$2:D1101,D1101)&gt;1,"중복","")</f>
        <v/>
      </c>
      <c r="W1101" s="0" t="n">
        <f aca="false">IF(V1101="중복",0,N(D1101))</f>
        <v>162</v>
      </c>
      <c r="X1101" s="0" t="n">
        <f aca="false">IF(COUNTIFS($A$2:A1101,A1101,$C$2:C1101,C1101)=1,ABS(SUMIFS(RAW_발주!$D:$D,RAW_발주!$C:$C,A1101,RAW_발주!$A:$A,C1101)-SUMIFS($W:$W,$A:$A,A1101,$C:$C,C1101)),0)</f>
        <v>0</v>
      </c>
    </row>
    <row r="1102" customFormat="false" ht="15" hidden="false" customHeight="true" outlineLevel="0" collapsed="false">
      <c r="A1102" s="45" t="s">
        <v>1659</v>
      </c>
      <c r="B1102" s="42" t="str">
        <f aca="false">IF(A1102="100","HK",IF(A1102="200","CN",IF(A1102="300","TW","홀세일")))</f>
        <v>HK</v>
      </c>
      <c r="C1102" s="45" t="s">
        <v>521</v>
      </c>
      <c r="D1102" s="46" t="n">
        <v>360</v>
      </c>
      <c r="E1102" s="46" t="n">
        <v>149000</v>
      </c>
      <c r="F1102" s="46" t="n">
        <v>32300</v>
      </c>
      <c r="G1102" s="42" t="n">
        <v>3.18</v>
      </c>
      <c r="H1102" s="42" t="n">
        <v>37.3</v>
      </c>
      <c r="I1102" s="42" t="n">
        <v>0</v>
      </c>
      <c r="J1102" s="46" t="n">
        <f aca="false">IF(N(E1102)&gt;0,E1102,IF(N(F1102)&gt;0,F1102*요약!$F$27,0))</f>
        <v>149000</v>
      </c>
      <c r="K1102" s="46" t="n">
        <f aca="false">IF(N(F1102)&gt;0,F1102,IF(N(E1102)&gt;0,E1102/요약!$F$27,0))</f>
        <v>32300</v>
      </c>
      <c r="L1102" s="46" t="n">
        <f aca="false">IF(B1102="CN",IF(N(I1102)&gt;0,I1102*요약!$G$27,K1102*(1+요약!$E$27)),IF(N(H1102)&gt;0,H1102*요약!$G$27,J1102*요약!$D$27))</f>
        <v>49236</v>
      </c>
      <c r="M1102" s="46" t="n">
        <f aca="false">D1102*J1102</f>
        <v>53640000</v>
      </c>
      <c r="N1102" s="46" t="n">
        <f aca="false">D1102*K1102</f>
        <v>11628000</v>
      </c>
      <c r="O1102" s="46" t="n">
        <f aca="false">D1102*L1102</f>
        <v>17724960</v>
      </c>
      <c r="P1102" s="42" t="str">
        <f aca="false">TRIM(IF(N(E1102)&lt;=0,"택가보정 ","")&amp;IF(N(F1102)&lt;=0,"원가보정 ","")&amp;IF(AND(B1102&lt;&gt;"CN",N(H1102)&lt;=0),"공급가보정 ","")&amp;IF(AND(B1102="CN",N(I1102)&lt;=0),"중국공급가=원가+마진 ",""))</f>
        <v/>
      </c>
      <c r="Q1102" s="47" t="n">
        <f aca="false">IF(SUMIFS($W:$W,$A:$A,A1102,$C:$C,C1102)=0,0,SUMIFS(RAW_판매펀칭!$K:$K,RAW_판매펀칭!$P:$P,A1102,RAW_판매펀칭!$I:$I,C1102)*W1102/SUMIFS($W:$W,$A:$A,A1102,$C:$C,C1102))</f>
        <v>360</v>
      </c>
      <c r="R1102" s="47" t="n">
        <f aca="false">IF(OR(A1102="500",A1102="800",A1102="810"),0,MAX(W1102-Q1102,0))</f>
        <v>0</v>
      </c>
      <c r="S1102" s="47" t="n">
        <f aca="false">R1102*L1102</f>
        <v>0</v>
      </c>
      <c r="T1102" s="47" t="n">
        <f aca="false">R1102*J1102</f>
        <v>0</v>
      </c>
      <c r="U1102" s="47" t="n">
        <f aca="false">R1102*K1102</f>
        <v>0</v>
      </c>
      <c r="V1102" s="0" t="str">
        <f aca="false">IF(COUNTIFS($A$2:A1102,A1102,$C$2:C1102,C1102,$D$2:D1102,D1102)&gt;1,"중복","")</f>
        <v/>
      </c>
      <c r="W1102" s="0" t="n">
        <f aca="false">IF(V1102="중복",0,N(D1102))</f>
        <v>360</v>
      </c>
      <c r="X1102" s="0" t="n">
        <f aca="false">IF(COUNTIFS($A$2:A1102,A1102,$C$2:C1102,C1102)=1,ABS(SUMIFS(RAW_발주!$D:$D,RAW_발주!$C:$C,A1102,RAW_발주!$A:$A,C1102)-SUMIFS($W:$W,$A:$A,A1102,$C:$C,C1102)),0)</f>
        <v>0</v>
      </c>
    </row>
    <row r="1103" customFormat="false" ht="15" hidden="false" customHeight="true" outlineLevel="0" collapsed="false">
      <c r="A1103" s="45" t="s">
        <v>1661</v>
      </c>
      <c r="B1103" s="42" t="str">
        <f aca="false">IF(A1103="100","HK",IF(A1103="200","CN",IF(A1103="300","TW","홀세일")))</f>
        <v>TW</v>
      </c>
      <c r="C1103" s="45" t="s">
        <v>521</v>
      </c>
      <c r="D1103" s="46" t="n">
        <v>140</v>
      </c>
      <c r="E1103" s="46" t="n">
        <v>149000</v>
      </c>
      <c r="F1103" s="46" t="n">
        <v>32300</v>
      </c>
      <c r="G1103" s="42" t="n">
        <v>3.18</v>
      </c>
      <c r="H1103" s="42" t="n">
        <v>37.3</v>
      </c>
      <c r="I1103" s="42" t="n">
        <v>0</v>
      </c>
      <c r="J1103" s="46" t="n">
        <f aca="false">IF(N(E1103)&gt;0,E1103,IF(N(F1103)&gt;0,F1103*요약!$F$27,0))</f>
        <v>149000</v>
      </c>
      <c r="K1103" s="46" t="n">
        <f aca="false">IF(N(F1103)&gt;0,F1103,IF(N(E1103)&gt;0,E1103/요약!$F$27,0))</f>
        <v>32300</v>
      </c>
      <c r="L1103" s="46" t="n">
        <f aca="false">IF(B1103="CN",IF(N(I1103)&gt;0,I1103*요약!$G$27,K1103*(1+요약!$E$27)),IF(N(H1103)&gt;0,H1103*요약!$G$27,J1103*요약!$D$27))</f>
        <v>49236</v>
      </c>
      <c r="M1103" s="46" t="n">
        <f aca="false">D1103*J1103</f>
        <v>20860000</v>
      </c>
      <c r="N1103" s="46" t="n">
        <f aca="false">D1103*K1103</f>
        <v>4522000</v>
      </c>
      <c r="O1103" s="46" t="n">
        <f aca="false">D1103*L1103</f>
        <v>6893040</v>
      </c>
      <c r="P1103" s="42" t="str">
        <f aca="false">TRIM(IF(N(E1103)&lt;=0,"택가보정 ","")&amp;IF(N(F1103)&lt;=0,"원가보정 ","")&amp;IF(AND(B1103&lt;&gt;"CN",N(H1103)&lt;=0),"공급가보정 ","")&amp;IF(AND(B1103="CN",N(I1103)&lt;=0),"중국공급가=원가+마진 ",""))</f>
        <v/>
      </c>
      <c r="Q1103" s="47" t="n">
        <f aca="false">IF(SUMIFS($W:$W,$A:$A,A1103,$C:$C,C1103)=0,0,SUMIFS(RAW_판매펀칭!$K:$K,RAW_판매펀칭!$P:$P,A1103,RAW_판매펀칭!$I:$I,C1103)*W1103/SUMIFS($W:$W,$A:$A,A1103,$C:$C,C1103))</f>
        <v>140</v>
      </c>
      <c r="R1103" s="47" t="n">
        <f aca="false">IF(OR(A1103="500",A1103="800",A1103="810"),0,MAX(W1103-Q1103,0))</f>
        <v>0</v>
      </c>
      <c r="S1103" s="47" t="n">
        <f aca="false">R1103*L1103</f>
        <v>0</v>
      </c>
      <c r="T1103" s="47" t="n">
        <f aca="false">R1103*J1103</f>
        <v>0</v>
      </c>
      <c r="U1103" s="47" t="n">
        <f aca="false">R1103*K1103</f>
        <v>0</v>
      </c>
      <c r="V1103" s="0" t="str">
        <f aca="false">IF(COUNTIFS($A$2:A1103,A1103,$C$2:C1103,C1103,$D$2:D1103,D1103)&gt;1,"중복","")</f>
        <v/>
      </c>
      <c r="W1103" s="0" t="n">
        <f aca="false">IF(V1103="중복",0,N(D1103))</f>
        <v>140</v>
      </c>
      <c r="X1103" s="0" t="n">
        <f aca="false">IF(COUNTIFS($A$2:A1103,A1103,$C$2:C1103,C1103)=1,ABS(SUMIFS(RAW_발주!$D:$D,RAW_발주!$C:$C,A1103,RAW_발주!$A:$A,C1103)-SUMIFS($W:$W,$A:$A,A1103,$C:$C,C1103)),0)</f>
        <v>0</v>
      </c>
    </row>
    <row r="1104" customFormat="false" ht="15" hidden="false" customHeight="true" outlineLevel="0" collapsed="false">
      <c r="A1104" s="45" t="s">
        <v>1667</v>
      </c>
      <c r="B1104" s="42" t="str">
        <f aca="false">IF(A1104="100","HK",IF(A1104="200","CN",IF(A1104="300","TW","홀세일")))</f>
        <v>홀세일</v>
      </c>
      <c r="C1104" s="45" t="s">
        <v>521</v>
      </c>
      <c r="D1104" s="46" t="n">
        <v>157</v>
      </c>
      <c r="E1104" s="46" t="n">
        <v>149000</v>
      </c>
      <c r="F1104" s="46" t="n">
        <v>32300</v>
      </c>
      <c r="G1104" s="42" t="n">
        <v>3.18</v>
      </c>
      <c r="H1104" s="42" t="n">
        <v>37.3</v>
      </c>
      <c r="I1104" s="42" t="n">
        <v>0</v>
      </c>
      <c r="J1104" s="46" t="n">
        <f aca="false">IF(N(E1104)&gt;0,E1104,IF(N(F1104)&gt;0,F1104*요약!$F$27,0))</f>
        <v>149000</v>
      </c>
      <c r="K1104" s="46" t="n">
        <f aca="false">IF(N(F1104)&gt;0,F1104,IF(N(E1104)&gt;0,E1104/요약!$F$27,0))</f>
        <v>32300</v>
      </c>
      <c r="L1104" s="46" t="n">
        <f aca="false">IF(B1104="CN",IF(N(I1104)&gt;0,I1104*요약!$G$27,K1104*(1+요약!$E$27)),IF(N(H1104)&gt;0,H1104*요약!$G$27,J1104*요약!$D$27))</f>
        <v>49236</v>
      </c>
      <c r="M1104" s="46" t="n">
        <f aca="false">D1104*J1104</f>
        <v>23393000</v>
      </c>
      <c r="N1104" s="46" t="n">
        <f aca="false">D1104*K1104</f>
        <v>5071100</v>
      </c>
      <c r="O1104" s="46" t="n">
        <f aca="false">D1104*L1104</f>
        <v>7730052</v>
      </c>
      <c r="P1104" s="42" t="str">
        <f aca="false">TRIM(IF(N(E1104)&lt;=0,"택가보정 ","")&amp;IF(N(F1104)&lt;=0,"원가보정 ","")&amp;IF(AND(B1104&lt;&gt;"CN",N(H1104)&lt;=0),"공급가보정 ","")&amp;IF(AND(B1104="CN",N(I1104)&lt;=0),"중국공급가=원가+마진 ",""))</f>
        <v/>
      </c>
      <c r="Q1104" s="47" t="n">
        <f aca="false">IF(SUMIFS($W:$W,$A:$A,A1104,$C:$C,C1104)=0,0,SUMIFS(RAW_판매펀칭!$K:$K,RAW_판매펀칭!$P:$P,A1104,RAW_판매펀칭!$I:$I,C1104)*W1104/SUMIFS($W:$W,$A:$A,A1104,$C:$C,C1104))</f>
        <v>155</v>
      </c>
      <c r="R1104" s="47" t="n">
        <f aca="false">IF(OR(A1104="500",A1104="800",A1104="810"),0,MAX(W1104-Q1104,0))</f>
        <v>2</v>
      </c>
      <c r="S1104" s="47" t="n">
        <f aca="false">R1104*L1104</f>
        <v>98472</v>
      </c>
      <c r="T1104" s="47" t="n">
        <f aca="false">R1104*J1104</f>
        <v>298000</v>
      </c>
      <c r="U1104" s="47" t="n">
        <f aca="false">R1104*K1104</f>
        <v>64600</v>
      </c>
      <c r="V1104" s="0" t="str">
        <f aca="false">IF(COUNTIFS($A$2:A1104,A1104,$C$2:C1104,C1104,$D$2:D1104,D1104)&gt;1,"중복","")</f>
        <v/>
      </c>
      <c r="W1104" s="0" t="n">
        <f aca="false">IF(V1104="중복",0,N(D1104))</f>
        <v>157</v>
      </c>
      <c r="X1104" s="0" t="n">
        <f aca="false">IF(COUNTIFS($A$2:A1104,A1104,$C$2:C1104,C1104)=1,ABS(SUMIFS(RAW_발주!$D:$D,RAW_발주!$C:$C,A1104,RAW_발주!$A:$A,C1104)-SUMIFS($W:$W,$A:$A,A1104,$C:$C,C1104)),0)</f>
        <v>0</v>
      </c>
    </row>
    <row r="1105" customFormat="false" ht="15" hidden="false" customHeight="true" outlineLevel="0" collapsed="false">
      <c r="A1105" s="45" t="s">
        <v>1661</v>
      </c>
      <c r="B1105" s="42" t="str">
        <f aca="false">IF(A1105="100","HK",IF(A1105="200","CN",IF(A1105="300","TW","홀세일")))</f>
        <v>TW</v>
      </c>
      <c r="C1105" s="45" t="s">
        <v>1336</v>
      </c>
      <c r="D1105" s="46" t="n">
        <v>180</v>
      </c>
      <c r="E1105" s="46" t="n">
        <v>199000</v>
      </c>
      <c r="F1105" s="46" t="n">
        <v>62100</v>
      </c>
      <c r="G1105" s="42" t="n">
        <v>3.66</v>
      </c>
      <c r="H1105" s="42" t="n">
        <v>49.8</v>
      </c>
      <c r="I1105" s="42" t="n">
        <v>0</v>
      </c>
      <c r="J1105" s="46" t="n">
        <f aca="false">IF(N(E1105)&gt;0,E1105,IF(N(F1105)&gt;0,F1105*요약!$F$27,0))</f>
        <v>199000</v>
      </c>
      <c r="K1105" s="46" t="n">
        <f aca="false">IF(N(F1105)&gt;0,F1105,IF(N(E1105)&gt;0,E1105/요약!$F$27,0))</f>
        <v>62100</v>
      </c>
      <c r="L1105" s="46" t="n">
        <f aca="false">IF(B1105="CN",IF(N(I1105)&gt;0,I1105*요약!$G$27,K1105*(1+요약!$E$27)),IF(N(H1105)&gt;0,H1105*요약!$G$27,J1105*요약!$D$27))</f>
        <v>65736</v>
      </c>
      <c r="M1105" s="46" t="n">
        <f aca="false">D1105*J1105</f>
        <v>35820000</v>
      </c>
      <c r="N1105" s="46" t="n">
        <f aca="false">D1105*K1105</f>
        <v>11178000</v>
      </c>
      <c r="O1105" s="46" t="n">
        <f aca="false">D1105*L1105</f>
        <v>11832480</v>
      </c>
      <c r="P1105" s="42" t="str">
        <f aca="false">TRIM(IF(N(E1105)&lt;=0,"택가보정 ","")&amp;IF(N(F1105)&lt;=0,"원가보정 ","")&amp;IF(AND(B1105&lt;&gt;"CN",N(H1105)&lt;=0),"공급가보정 ","")&amp;IF(AND(B1105="CN",N(I1105)&lt;=0),"중국공급가=원가+마진 ",""))</f>
        <v/>
      </c>
      <c r="Q1105" s="47" t="n">
        <f aca="false">IF(SUMIFS($W:$W,$A:$A,A1105,$C:$C,C1105)=0,0,SUMIFS(RAW_판매펀칭!$K:$K,RAW_판매펀칭!$P:$P,A1105,RAW_판매펀칭!$I:$I,C1105)*W1105/SUMIFS($W:$W,$A:$A,A1105,$C:$C,C1105))</f>
        <v>0</v>
      </c>
      <c r="R1105" s="47" t="n">
        <f aca="false">IF(OR(A1105="500",A1105="800",A1105="810"),0,MAX(W1105-Q1105,0))</f>
        <v>180</v>
      </c>
      <c r="S1105" s="47" t="n">
        <f aca="false">R1105*L1105</f>
        <v>11832480</v>
      </c>
      <c r="T1105" s="47" t="n">
        <f aca="false">R1105*J1105</f>
        <v>35820000</v>
      </c>
      <c r="U1105" s="47" t="n">
        <f aca="false">R1105*K1105</f>
        <v>11178000</v>
      </c>
      <c r="V1105" s="0" t="str">
        <f aca="false">IF(COUNTIFS($A$2:A1105,A1105,$C$2:C1105,C1105,$D$2:D1105,D1105)&gt;1,"중복","")</f>
        <v/>
      </c>
      <c r="W1105" s="0" t="n">
        <f aca="false">IF(V1105="중복",0,N(D1105))</f>
        <v>180</v>
      </c>
      <c r="X1105" s="0" t="n">
        <f aca="false">IF(COUNTIFS($A$2:A1105,A1105,$C$2:C1105,C1105)=1,ABS(SUMIFS(RAW_발주!$D:$D,RAW_발주!$C:$C,A1105,RAW_발주!$A:$A,C1105)-SUMIFS($W:$W,$A:$A,A1105,$C:$C,C1105)),0)</f>
        <v>0</v>
      </c>
    </row>
    <row r="1106" customFormat="false" ht="15" hidden="false" customHeight="true" outlineLevel="0" collapsed="false">
      <c r="A1106" s="45" t="s">
        <v>1663</v>
      </c>
      <c r="B1106" s="42" t="str">
        <f aca="false">IF(A1106="100","HK",IF(A1106="200","CN",IF(A1106="300","TW","홀세일")))</f>
        <v>홀세일</v>
      </c>
      <c r="C1106" s="45" t="s">
        <v>1336</v>
      </c>
      <c r="D1106" s="46" t="n">
        <v>25</v>
      </c>
      <c r="E1106" s="46" t="n">
        <v>199000</v>
      </c>
      <c r="F1106" s="46" t="n">
        <v>62100</v>
      </c>
      <c r="G1106" s="42" t="n">
        <v>3.66</v>
      </c>
      <c r="H1106" s="42" t="n">
        <v>49.8</v>
      </c>
      <c r="I1106" s="42" t="n">
        <v>0</v>
      </c>
      <c r="J1106" s="46" t="n">
        <f aca="false">IF(N(E1106)&gt;0,E1106,IF(N(F1106)&gt;0,F1106*요약!$F$27,0))</f>
        <v>199000</v>
      </c>
      <c r="K1106" s="46" t="n">
        <f aca="false">IF(N(F1106)&gt;0,F1106,IF(N(E1106)&gt;0,E1106/요약!$F$27,0))</f>
        <v>62100</v>
      </c>
      <c r="L1106" s="46" t="n">
        <f aca="false">IF(B1106="CN",IF(N(I1106)&gt;0,I1106*요약!$G$27,K1106*(1+요약!$E$27)),IF(N(H1106)&gt;0,H1106*요약!$G$27,J1106*요약!$D$27))</f>
        <v>65736</v>
      </c>
      <c r="M1106" s="46" t="n">
        <f aca="false">D1106*J1106</f>
        <v>4975000</v>
      </c>
      <c r="N1106" s="46" t="n">
        <f aca="false">D1106*K1106</f>
        <v>1552500</v>
      </c>
      <c r="O1106" s="46" t="n">
        <f aca="false">D1106*L1106</f>
        <v>1643400</v>
      </c>
      <c r="P1106" s="42" t="str">
        <f aca="false">TRIM(IF(N(E1106)&lt;=0,"택가보정 ","")&amp;IF(N(F1106)&lt;=0,"원가보정 ","")&amp;IF(AND(B1106&lt;&gt;"CN",N(H1106)&lt;=0),"공급가보정 ","")&amp;IF(AND(B1106="CN",N(I1106)&lt;=0),"중국공급가=원가+마진 ",""))</f>
        <v/>
      </c>
      <c r="Q1106" s="47" t="n">
        <f aca="false">IF(SUMIFS($W:$W,$A:$A,A1106,$C:$C,C1106)=0,0,SUMIFS(RAW_판매펀칭!$K:$K,RAW_판매펀칭!$P:$P,A1106,RAW_판매펀칭!$I:$I,C1106)*W1106/SUMIFS($W:$W,$A:$A,A1106,$C:$C,C1106))</f>
        <v>25</v>
      </c>
      <c r="R1106" s="47" t="n">
        <f aca="false">IF(OR(A1106="500",A1106="800",A1106="810"),0,MAX(W1106-Q1106,0))</f>
        <v>0</v>
      </c>
      <c r="S1106" s="47" t="n">
        <f aca="false">R1106*L1106</f>
        <v>0</v>
      </c>
      <c r="T1106" s="47" t="n">
        <f aca="false">R1106*J1106</f>
        <v>0</v>
      </c>
      <c r="U1106" s="47" t="n">
        <f aca="false">R1106*K1106</f>
        <v>0</v>
      </c>
      <c r="V1106" s="0" t="str">
        <f aca="false">IF(COUNTIFS($A$2:A1106,A1106,$C$2:C1106,C1106,$D$2:D1106,D1106)&gt;1,"중복","")</f>
        <v/>
      </c>
      <c r="W1106" s="0" t="n">
        <f aca="false">IF(V1106="중복",0,N(D1106))</f>
        <v>25</v>
      </c>
      <c r="X1106" s="0" t="n">
        <f aca="false">IF(COUNTIFS($A$2:A1106,A1106,$C$2:C1106,C1106)=1,ABS(SUMIFS(RAW_발주!$D:$D,RAW_발주!$C:$C,A1106,RAW_발주!$A:$A,C1106)-SUMIFS($W:$W,$A:$A,A1106,$C:$C,C1106)),0)</f>
        <v>0</v>
      </c>
    </row>
    <row r="1107" customFormat="false" ht="15" hidden="false" customHeight="true" outlineLevel="0" collapsed="false">
      <c r="A1107" s="45" t="s">
        <v>1659</v>
      </c>
      <c r="B1107" s="42" t="str">
        <f aca="false">IF(A1107="100","HK",IF(A1107="200","CN",IF(A1107="300","TW","홀세일")))</f>
        <v>HK</v>
      </c>
      <c r="C1107" s="45" t="s">
        <v>928</v>
      </c>
      <c r="D1107" s="46" t="n">
        <v>240</v>
      </c>
      <c r="E1107" s="46" t="n">
        <v>189000</v>
      </c>
      <c r="F1107" s="46" t="n">
        <v>53000</v>
      </c>
      <c r="G1107" s="42" t="n">
        <v>4.28</v>
      </c>
      <c r="H1107" s="42" t="n">
        <v>47.3</v>
      </c>
      <c r="I1107" s="42" t="n">
        <v>0</v>
      </c>
      <c r="J1107" s="46" t="n">
        <f aca="false">IF(N(E1107)&gt;0,E1107,IF(N(F1107)&gt;0,F1107*요약!$F$27,0))</f>
        <v>189000</v>
      </c>
      <c r="K1107" s="46" t="n">
        <f aca="false">IF(N(F1107)&gt;0,F1107,IF(N(E1107)&gt;0,E1107/요약!$F$27,0))</f>
        <v>53000</v>
      </c>
      <c r="L1107" s="46" t="n">
        <f aca="false">IF(B1107="CN",IF(N(I1107)&gt;0,I1107*요약!$G$27,K1107*(1+요약!$E$27)),IF(N(H1107)&gt;0,H1107*요약!$G$27,J1107*요약!$D$27))</f>
        <v>62436</v>
      </c>
      <c r="M1107" s="46" t="n">
        <f aca="false">D1107*J1107</f>
        <v>45360000</v>
      </c>
      <c r="N1107" s="46" t="n">
        <f aca="false">D1107*K1107</f>
        <v>12720000</v>
      </c>
      <c r="O1107" s="46" t="n">
        <f aca="false">D1107*L1107</f>
        <v>14984640</v>
      </c>
      <c r="P1107" s="42" t="str">
        <f aca="false">TRIM(IF(N(E1107)&lt;=0,"택가보정 ","")&amp;IF(N(F1107)&lt;=0,"원가보정 ","")&amp;IF(AND(B1107&lt;&gt;"CN",N(H1107)&lt;=0),"공급가보정 ","")&amp;IF(AND(B1107="CN",N(I1107)&lt;=0),"중국공급가=원가+마진 ",""))</f>
        <v/>
      </c>
      <c r="Q1107" s="47" t="n">
        <f aca="false">IF(SUMIFS($W:$W,$A:$A,A1107,$C:$C,C1107)=0,0,SUMIFS(RAW_판매펀칭!$K:$K,RAW_판매펀칭!$P:$P,A1107,RAW_판매펀칭!$I:$I,C1107)*W1107/SUMIFS($W:$W,$A:$A,A1107,$C:$C,C1107))</f>
        <v>240</v>
      </c>
      <c r="R1107" s="47" t="n">
        <f aca="false">IF(OR(A1107="500",A1107="800",A1107="810"),0,MAX(W1107-Q1107,0))</f>
        <v>0</v>
      </c>
      <c r="S1107" s="47" t="n">
        <f aca="false">R1107*L1107</f>
        <v>0</v>
      </c>
      <c r="T1107" s="47" t="n">
        <f aca="false">R1107*J1107</f>
        <v>0</v>
      </c>
      <c r="U1107" s="47" t="n">
        <f aca="false">R1107*K1107</f>
        <v>0</v>
      </c>
      <c r="V1107" s="0" t="str">
        <f aca="false">IF(COUNTIFS($A$2:A1107,A1107,$C$2:C1107,C1107,$D$2:D1107,D1107)&gt;1,"중복","")</f>
        <v/>
      </c>
      <c r="W1107" s="0" t="n">
        <f aca="false">IF(V1107="중복",0,N(D1107))</f>
        <v>240</v>
      </c>
      <c r="X1107" s="0" t="n">
        <f aca="false">IF(COUNTIFS($A$2:A1107,A1107,$C$2:C1107,C1107)=1,ABS(SUMIFS(RAW_발주!$D:$D,RAW_발주!$C:$C,A1107,RAW_발주!$A:$A,C1107)-SUMIFS($W:$W,$A:$A,A1107,$C:$C,C1107)),0)</f>
        <v>0</v>
      </c>
    </row>
    <row r="1108" customFormat="false" ht="15" hidden="false" customHeight="true" outlineLevel="0" collapsed="false">
      <c r="A1108" s="45" t="s">
        <v>1663</v>
      </c>
      <c r="B1108" s="42" t="str">
        <f aca="false">IF(A1108="100","HK",IF(A1108="200","CN",IF(A1108="300","TW","홀세일")))</f>
        <v>홀세일</v>
      </c>
      <c r="C1108" s="45" t="s">
        <v>928</v>
      </c>
      <c r="D1108" s="46" t="n">
        <v>85</v>
      </c>
      <c r="E1108" s="46" t="n">
        <v>189000</v>
      </c>
      <c r="F1108" s="46" t="n">
        <v>53000</v>
      </c>
      <c r="G1108" s="42" t="n">
        <v>4.28</v>
      </c>
      <c r="H1108" s="42" t="n">
        <v>47.3</v>
      </c>
      <c r="I1108" s="42" t="n">
        <v>0</v>
      </c>
      <c r="J1108" s="46" t="n">
        <f aca="false">IF(N(E1108)&gt;0,E1108,IF(N(F1108)&gt;0,F1108*요약!$F$27,0))</f>
        <v>189000</v>
      </c>
      <c r="K1108" s="46" t="n">
        <f aca="false">IF(N(F1108)&gt;0,F1108,IF(N(E1108)&gt;0,E1108/요약!$F$27,0))</f>
        <v>53000</v>
      </c>
      <c r="L1108" s="46" t="n">
        <f aca="false">IF(B1108="CN",IF(N(I1108)&gt;0,I1108*요약!$G$27,K1108*(1+요약!$E$27)),IF(N(H1108)&gt;0,H1108*요약!$G$27,J1108*요약!$D$27))</f>
        <v>62436</v>
      </c>
      <c r="M1108" s="46" t="n">
        <f aca="false">D1108*J1108</f>
        <v>16065000</v>
      </c>
      <c r="N1108" s="46" t="n">
        <f aca="false">D1108*K1108</f>
        <v>4505000</v>
      </c>
      <c r="O1108" s="46" t="n">
        <f aca="false">D1108*L1108</f>
        <v>5307060</v>
      </c>
      <c r="P1108" s="42" t="str">
        <f aca="false">TRIM(IF(N(E1108)&lt;=0,"택가보정 ","")&amp;IF(N(F1108)&lt;=0,"원가보정 ","")&amp;IF(AND(B1108&lt;&gt;"CN",N(H1108)&lt;=0),"공급가보정 ","")&amp;IF(AND(B1108="CN",N(I1108)&lt;=0),"중국공급가=원가+마진 ",""))</f>
        <v/>
      </c>
      <c r="Q1108" s="47" t="n">
        <f aca="false">IF(SUMIFS($W:$W,$A:$A,A1108,$C:$C,C1108)=0,0,SUMIFS(RAW_판매펀칭!$K:$K,RAW_판매펀칭!$P:$P,A1108,RAW_판매펀칭!$I:$I,C1108)*W1108/SUMIFS($W:$W,$A:$A,A1108,$C:$C,C1108))</f>
        <v>85</v>
      </c>
      <c r="R1108" s="47" t="n">
        <f aca="false">IF(OR(A1108="500",A1108="800",A1108="810"),0,MAX(W1108-Q1108,0))</f>
        <v>0</v>
      </c>
      <c r="S1108" s="47" t="n">
        <f aca="false">R1108*L1108</f>
        <v>0</v>
      </c>
      <c r="T1108" s="47" t="n">
        <f aca="false">R1108*J1108</f>
        <v>0</v>
      </c>
      <c r="U1108" s="47" t="n">
        <f aca="false">R1108*K1108</f>
        <v>0</v>
      </c>
      <c r="V1108" s="0" t="str">
        <f aca="false">IF(COUNTIFS($A$2:A1108,A1108,$C$2:C1108,C1108,$D$2:D1108,D1108)&gt;1,"중복","")</f>
        <v/>
      </c>
      <c r="W1108" s="0" t="n">
        <f aca="false">IF(V1108="중복",0,N(D1108))</f>
        <v>85</v>
      </c>
      <c r="X1108" s="0" t="n">
        <f aca="false">IF(COUNTIFS($A$2:A1108,A1108,$C$2:C1108,C1108)=1,ABS(SUMIFS(RAW_발주!$D:$D,RAW_발주!$C:$C,A1108,RAW_발주!$A:$A,C1108)-SUMIFS($W:$W,$A:$A,A1108,$C:$C,C1108)),0)</f>
        <v>0</v>
      </c>
    </row>
    <row r="1109" customFormat="false" ht="15" hidden="false" customHeight="true" outlineLevel="0" collapsed="false">
      <c r="A1109" s="45" t="s">
        <v>1660</v>
      </c>
      <c r="B1109" s="42" t="str">
        <f aca="false">IF(A1109="100","HK",IF(A1109="200","CN",IF(A1109="300","TW","홀세일")))</f>
        <v>CN</v>
      </c>
      <c r="C1109" s="45" t="s">
        <v>523</v>
      </c>
      <c r="D1109" s="46" t="n">
        <v>207</v>
      </c>
      <c r="E1109" s="46" t="n">
        <v>219000</v>
      </c>
      <c r="F1109" s="46" t="n">
        <v>47201</v>
      </c>
      <c r="G1109" s="42" t="n">
        <v>4.07</v>
      </c>
      <c r="H1109" s="42" t="n">
        <v>54.9</v>
      </c>
      <c r="I1109" s="42" t="n">
        <v>39</v>
      </c>
      <c r="J1109" s="46" t="n">
        <f aca="false">IF(N(E1109)&gt;0,E1109,IF(N(F1109)&gt;0,F1109*요약!$F$27,0))</f>
        <v>219000</v>
      </c>
      <c r="K1109" s="46" t="n">
        <f aca="false">IF(N(F1109)&gt;0,F1109,IF(N(E1109)&gt;0,E1109/요약!$F$27,0))</f>
        <v>47201</v>
      </c>
      <c r="L1109" s="46" t="n">
        <f aca="false">IF(B1109="CN",IF(N(I1109)&gt;0,I1109*요약!$G$27,K1109*(1+요약!$E$27)),IF(N(H1109)&gt;0,H1109*요약!$G$27,J1109*요약!$D$27))</f>
        <v>51480</v>
      </c>
      <c r="M1109" s="46" t="n">
        <f aca="false">D1109*J1109</f>
        <v>45333000</v>
      </c>
      <c r="N1109" s="46" t="n">
        <f aca="false">D1109*K1109</f>
        <v>9770607</v>
      </c>
      <c r="O1109" s="46" t="n">
        <f aca="false">D1109*L1109</f>
        <v>10656360</v>
      </c>
      <c r="P1109" s="42" t="str">
        <f aca="false">TRIM(IF(N(E1109)&lt;=0,"택가보정 ","")&amp;IF(N(F1109)&lt;=0,"원가보정 ","")&amp;IF(AND(B1109&lt;&gt;"CN",N(H1109)&lt;=0),"공급가보정 ","")&amp;IF(AND(B1109="CN",N(I1109)&lt;=0),"중국공급가=원가+마진 ",""))</f>
        <v/>
      </c>
      <c r="Q1109" s="47" t="n">
        <f aca="false">IF(SUMIFS($W:$W,$A:$A,A1109,$C:$C,C1109)=0,0,SUMIFS(RAW_판매펀칭!$K:$K,RAW_판매펀칭!$P:$P,A1109,RAW_판매펀칭!$I:$I,C1109)*W1109/SUMIFS($W:$W,$A:$A,A1109,$C:$C,C1109))</f>
        <v>204</v>
      </c>
      <c r="R1109" s="47" t="n">
        <f aca="false">IF(OR(A1109="500",A1109="800",A1109="810"),0,MAX(W1109-Q1109,0))</f>
        <v>3</v>
      </c>
      <c r="S1109" s="47" t="n">
        <f aca="false">R1109*L1109</f>
        <v>154440</v>
      </c>
      <c r="T1109" s="47" t="n">
        <f aca="false">R1109*J1109</f>
        <v>657000</v>
      </c>
      <c r="U1109" s="47" t="n">
        <f aca="false">R1109*K1109</f>
        <v>141603</v>
      </c>
      <c r="V1109" s="0" t="str">
        <f aca="false">IF(COUNTIFS($A$2:A1109,A1109,$C$2:C1109,C1109,$D$2:D1109,D1109)&gt;1,"중복","")</f>
        <v/>
      </c>
      <c r="W1109" s="0" t="n">
        <f aca="false">IF(V1109="중복",0,N(D1109))</f>
        <v>207</v>
      </c>
      <c r="X1109" s="0" t="n">
        <f aca="false">IF(COUNTIFS($A$2:A1109,A1109,$C$2:C1109,C1109)=1,ABS(SUMIFS(RAW_발주!$D:$D,RAW_발주!$C:$C,A1109,RAW_발주!$A:$A,C1109)-SUMIFS($W:$W,$A:$A,A1109,$C:$C,C1109)),0)</f>
        <v>0</v>
      </c>
    </row>
    <row r="1110" customFormat="false" ht="15" hidden="false" customHeight="true" outlineLevel="0" collapsed="false">
      <c r="A1110" s="45" t="s">
        <v>1660</v>
      </c>
      <c r="B1110" s="42" t="str">
        <f aca="false">IF(A1110="100","HK",IF(A1110="200","CN",IF(A1110="300","TW","홀세일")))</f>
        <v>CN</v>
      </c>
      <c r="C1110" s="45" t="s">
        <v>523</v>
      </c>
      <c r="D1110" s="46" t="n">
        <v>207</v>
      </c>
      <c r="E1110" s="46" t="n">
        <v>219000</v>
      </c>
      <c r="F1110" s="46" t="n">
        <v>47201</v>
      </c>
      <c r="G1110" s="42" t="n">
        <v>4.07</v>
      </c>
      <c r="H1110" s="42" t="n">
        <v>54.9</v>
      </c>
      <c r="I1110" s="42" t="n">
        <v>39</v>
      </c>
      <c r="J1110" s="46" t="n">
        <f aca="false">IF(N(E1110)&gt;0,E1110,IF(N(F1110)&gt;0,F1110*요약!$F$27,0))</f>
        <v>219000</v>
      </c>
      <c r="K1110" s="46" t="n">
        <f aca="false">IF(N(F1110)&gt;0,F1110,IF(N(E1110)&gt;0,E1110/요약!$F$27,0))</f>
        <v>47201</v>
      </c>
      <c r="L1110" s="46" t="n">
        <f aca="false">IF(B1110="CN",IF(N(I1110)&gt;0,I1110*요약!$G$27,K1110*(1+요약!$E$27)),IF(N(H1110)&gt;0,H1110*요약!$G$27,J1110*요약!$D$27))</f>
        <v>51480</v>
      </c>
      <c r="M1110" s="46" t="n">
        <f aca="false">D1110*J1110</f>
        <v>45333000</v>
      </c>
      <c r="N1110" s="46" t="n">
        <f aca="false">D1110*K1110</f>
        <v>9770607</v>
      </c>
      <c r="O1110" s="46" t="n">
        <f aca="false">D1110*L1110</f>
        <v>10656360</v>
      </c>
      <c r="P1110" s="42" t="str">
        <f aca="false">TRIM(IF(N(E1110)&lt;=0,"택가보정 ","")&amp;IF(N(F1110)&lt;=0,"원가보정 ","")&amp;IF(AND(B1110&lt;&gt;"CN",N(H1110)&lt;=0),"공급가보정 ","")&amp;IF(AND(B1110="CN",N(I1110)&lt;=0),"중국공급가=원가+마진 ",""))</f>
        <v/>
      </c>
      <c r="Q1110" s="47" t="n">
        <f aca="false">IF(SUMIFS($W:$W,$A:$A,A1110,$C:$C,C1110)=0,0,SUMIFS(RAW_판매펀칭!$K:$K,RAW_판매펀칭!$P:$P,A1110,RAW_판매펀칭!$I:$I,C1110)*W1110/SUMIFS($W:$W,$A:$A,A1110,$C:$C,C1110))</f>
        <v>0</v>
      </c>
      <c r="R1110" s="47" t="n">
        <f aca="false">IF(OR(A1110="500",A1110="800",A1110="810"),0,MAX(W1110-Q1110,0))</f>
        <v>0</v>
      </c>
      <c r="S1110" s="47" t="n">
        <f aca="false">R1110*L1110</f>
        <v>0</v>
      </c>
      <c r="T1110" s="47" t="n">
        <f aca="false">R1110*J1110</f>
        <v>0</v>
      </c>
      <c r="U1110" s="47" t="n">
        <f aca="false">R1110*K1110</f>
        <v>0</v>
      </c>
      <c r="V1110" s="0" t="str">
        <f aca="false">IF(COUNTIFS($A$2:A1110,A1110,$C$2:C1110,C1110,$D$2:D1110,D1110)&gt;1,"중복","")</f>
        <v>중복</v>
      </c>
      <c r="W1110" s="0" t="n">
        <f aca="false">IF(V1110="중복",0,N(D1110))</f>
        <v>0</v>
      </c>
      <c r="X1110" s="0" t="n">
        <f aca="false">IF(COUNTIFS($A$2:A1110,A1110,$C$2:C1110,C1110)=1,ABS(SUMIFS(RAW_발주!$D:$D,RAW_발주!$C:$C,A1110,RAW_발주!$A:$A,C1110)-SUMIFS($W:$W,$A:$A,A1110,$C:$C,C1110)),0)</f>
        <v>0</v>
      </c>
    </row>
    <row r="1111" customFormat="false" ht="15" hidden="false" customHeight="true" outlineLevel="0" collapsed="false">
      <c r="A1111" s="45" t="s">
        <v>1661</v>
      </c>
      <c r="B1111" s="42" t="str">
        <f aca="false">IF(A1111="100","HK",IF(A1111="200","CN",IF(A1111="300","TW","홀세일")))</f>
        <v>TW</v>
      </c>
      <c r="C1111" s="45" t="s">
        <v>523</v>
      </c>
      <c r="D1111" s="46" t="n">
        <v>100</v>
      </c>
      <c r="E1111" s="46" t="n">
        <v>219000</v>
      </c>
      <c r="F1111" s="46" t="n">
        <v>47201</v>
      </c>
      <c r="G1111" s="42" t="n">
        <v>4.07</v>
      </c>
      <c r="H1111" s="42" t="n">
        <v>54.9</v>
      </c>
      <c r="I1111" s="42" t="n">
        <v>39</v>
      </c>
      <c r="J1111" s="46" t="n">
        <f aca="false">IF(N(E1111)&gt;0,E1111,IF(N(F1111)&gt;0,F1111*요약!$F$27,0))</f>
        <v>219000</v>
      </c>
      <c r="K1111" s="46" t="n">
        <f aca="false">IF(N(F1111)&gt;0,F1111,IF(N(E1111)&gt;0,E1111/요약!$F$27,0))</f>
        <v>47201</v>
      </c>
      <c r="L1111" s="46" t="n">
        <f aca="false">IF(B1111="CN",IF(N(I1111)&gt;0,I1111*요약!$G$27,K1111*(1+요약!$E$27)),IF(N(H1111)&gt;0,H1111*요약!$G$27,J1111*요약!$D$27))</f>
        <v>72468</v>
      </c>
      <c r="M1111" s="46" t="n">
        <f aca="false">D1111*J1111</f>
        <v>21900000</v>
      </c>
      <c r="N1111" s="46" t="n">
        <f aca="false">D1111*K1111</f>
        <v>4720100</v>
      </c>
      <c r="O1111" s="46" t="n">
        <f aca="false">D1111*L1111</f>
        <v>7246800</v>
      </c>
      <c r="P1111" s="42" t="str">
        <f aca="false">TRIM(IF(N(E1111)&lt;=0,"택가보정 ","")&amp;IF(N(F1111)&lt;=0,"원가보정 ","")&amp;IF(AND(B1111&lt;&gt;"CN",N(H1111)&lt;=0),"공급가보정 ","")&amp;IF(AND(B1111="CN",N(I1111)&lt;=0),"중국공급가=원가+마진 ",""))</f>
        <v/>
      </c>
      <c r="Q1111" s="47" t="n">
        <f aca="false">IF(SUMIFS($W:$W,$A:$A,A1111,$C:$C,C1111)=0,0,SUMIFS(RAW_판매펀칭!$K:$K,RAW_판매펀칭!$P:$P,A1111,RAW_판매펀칭!$I:$I,C1111)*W1111/SUMIFS($W:$W,$A:$A,A1111,$C:$C,C1111))</f>
        <v>100</v>
      </c>
      <c r="R1111" s="47" t="n">
        <f aca="false">IF(OR(A1111="500",A1111="800",A1111="810"),0,MAX(W1111-Q1111,0))</f>
        <v>0</v>
      </c>
      <c r="S1111" s="47" t="n">
        <f aca="false">R1111*L1111</f>
        <v>0</v>
      </c>
      <c r="T1111" s="47" t="n">
        <f aca="false">R1111*J1111</f>
        <v>0</v>
      </c>
      <c r="U1111" s="47" t="n">
        <f aca="false">R1111*K1111</f>
        <v>0</v>
      </c>
      <c r="V1111" s="0" t="str">
        <f aca="false">IF(COUNTIFS($A$2:A1111,A1111,$C$2:C1111,C1111,$D$2:D1111,D1111)&gt;1,"중복","")</f>
        <v/>
      </c>
      <c r="W1111" s="0" t="n">
        <f aca="false">IF(V1111="중복",0,N(D1111))</f>
        <v>100</v>
      </c>
      <c r="X1111" s="0" t="n">
        <f aca="false">IF(COUNTIFS($A$2:A1111,A1111,$C$2:C1111,C1111)=1,ABS(SUMIFS(RAW_발주!$D:$D,RAW_발주!$C:$C,A1111,RAW_발주!$A:$A,C1111)-SUMIFS($W:$W,$A:$A,A1111,$C:$C,C1111)),0)</f>
        <v>0</v>
      </c>
    </row>
    <row r="1112" customFormat="false" ht="15" hidden="false" customHeight="true" outlineLevel="0" collapsed="false">
      <c r="A1112" s="45" t="s">
        <v>1664</v>
      </c>
      <c r="B1112" s="42" t="str">
        <f aca="false">IF(A1112="100","HK",IF(A1112="200","CN",IF(A1112="300","TW","홀세일")))</f>
        <v>홀세일</v>
      </c>
      <c r="C1112" s="45" t="s">
        <v>523</v>
      </c>
      <c r="D1112" s="46" t="n">
        <v>70</v>
      </c>
      <c r="E1112" s="46" t="n">
        <v>219000</v>
      </c>
      <c r="F1112" s="46" t="n">
        <v>47201</v>
      </c>
      <c r="G1112" s="42" t="n">
        <v>4.07</v>
      </c>
      <c r="H1112" s="42" t="n">
        <v>54.9</v>
      </c>
      <c r="I1112" s="42" t="n">
        <v>39</v>
      </c>
      <c r="J1112" s="46" t="n">
        <f aca="false">IF(N(E1112)&gt;0,E1112,IF(N(F1112)&gt;0,F1112*요약!$F$27,0))</f>
        <v>219000</v>
      </c>
      <c r="K1112" s="46" t="n">
        <f aca="false">IF(N(F1112)&gt;0,F1112,IF(N(E1112)&gt;0,E1112/요약!$F$27,0))</f>
        <v>47201</v>
      </c>
      <c r="L1112" s="46" t="n">
        <f aca="false">IF(B1112="CN",IF(N(I1112)&gt;0,I1112*요약!$G$27,K1112*(1+요약!$E$27)),IF(N(H1112)&gt;0,H1112*요약!$G$27,J1112*요약!$D$27))</f>
        <v>72468</v>
      </c>
      <c r="M1112" s="46" t="n">
        <f aca="false">D1112*J1112</f>
        <v>15330000</v>
      </c>
      <c r="N1112" s="46" t="n">
        <f aca="false">D1112*K1112</f>
        <v>3304070</v>
      </c>
      <c r="O1112" s="46" t="n">
        <f aca="false">D1112*L1112</f>
        <v>5072760</v>
      </c>
      <c r="P1112" s="42" t="str">
        <f aca="false">TRIM(IF(N(E1112)&lt;=0,"택가보정 ","")&amp;IF(N(F1112)&lt;=0,"원가보정 ","")&amp;IF(AND(B1112&lt;&gt;"CN",N(H1112)&lt;=0),"공급가보정 ","")&amp;IF(AND(B1112="CN",N(I1112)&lt;=0),"중국공급가=원가+마진 ",""))</f>
        <v/>
      </c>
      <c r="Q1112" s="47" t="n">
        <f aca="false">IF(SUMIFS($W:$W,$A:$A,A1112,$C:$C,C1112)=0,0,SUMIFS(RAW_판매펀칭!$K:$K,RAW_판매펀칭!$P:$P,A1112,RAW_판매펀칭!$I:$I,C1112)*W1112/SUMIFS($W:$W,$A:$A,A1112,$C:$C,C1112))</f>
        <v>0</v>
      </c>
      <c r="R1112" s="47" t="n">
        <f aca="false">IF(OR(A1112="500",A1112="800",A1112="810"),0,MAX(W1112-Q1112,0))</f>
        <v>0</v>
      </c>
      <c r="S1112" s="47" t="n">
        <f aca="false">R1112*L1112</f>
        <v>0</v>
      </c>
      <c r="T1112" s="47" t="n">
        <f aca="false">R1112*J1112</f>
        <v>0</v>
      </c>
      <c r="U1112" s="47" t="n">
        <f aca="false">R1112*K1112</f>
        <v>0</v>
      </c>
      <c r="V1112" s="0" t="str">
        <f aca="false">IF(COUNTIFS($A$2:A1112,A1112,$C$2:C1112,C1112,$D$2:D1112,D1112)&gt;1,"중복","")</f>
        <v/>
      </c>
      <c r="W1112" s="0" t="n">
        <f aca="false">IF(V1112="중복",0,N(D1112))</f>
        <v>70</v>
      </c>
      <c r="X1112" s="0" t="n">
        <f aca="false">IF(COUNTIFS($A$2:A1112,A1112,$C$2:C1112,C1112)=1,ABS(SUMIFS(RAW_발주!$D:$D,RAW_발주!$C:$C,A1112,RAW_발주!$A:$A,C1112)-SUMIFS($W:$W,$A:$A,A1112,$C:$C,C1112)),0)</f>
        <v>0</v>
      </c>
    </row>
    <row r="1113" customFormat="false" ht="15" hidden="false" customHeight="true" outlineLevel="0" collapsed="false">
      <c r="A1113" s="45" t="s">
        <v>1661</v>
      </c>
      <c r="B1113" s="42" t="str">
        <f aca="false">IF(A1113="100","HK",IF(A1113="200","CN",IF(A1113="300","TW","홀세일")))</f>
        <v>TW</v>
      </c>
      <c r="C1113" s="45" t="s">
        <v>525</v>
      </c>
      <c r="D1113" s="46" t="n">
        <v>70</v>
      </c>
      <c r="E1113" s="46" t="n">
        <v>259000</v>
      </c>
      <c r="F1113" s="46" t="n">
        <v>66400</v>
      </c>
      <c r="G1113" s="42" t="n">
        <v>3.4</v>
      </c>
      <c r="H1113" s="42" t="n">
        <v>64.9</v>
      </c>
      <c r="I1113" s="42" t="n">
        <v>0</v>
      </c>
      <c r="J1113" s="46" t="n">
        <f aca="false">IF(N(E1113)&gt;0,E1113,IF(N(F1113)&gt;0,F1113*요약!$F$27,0))</f>
        <v>259000</v>
      </c>
      <c r="K1113" s="46" t="n">
        <f aca="false">IF(N(F1113)&gt;0,F1113,IF(N(E1113)&gt;0,E1113/요약!$F$27,0))</f>
        <v>66400</v>
      </c>
      <c r="L1113" s="46" t="n">
        <f aca="false">IF(B1113="CN",IF(N(I1113)&gt;0,I1113*요약!$G$27,K1113*(1+요약!$E$27)),IF(N(H1113)&gt;0,H1113*요약!$G$27,J1113*요약!$D$27))</f>
        <v>85668</v>
      </c>
      <c r="M1113" s="46" t="n">
        <f aca="false">D1113*J1113</f>
        <v>18130000</v>
      </c>
      <c r="N1113" s="46" t="n">
        <f aca="false">D1113*K1113</f>
        <v>4648000</v>
      </c>
      <c r="O1113" s="46" t="n">
        <f aca="false">D1113*L1113</f>
        <v>5996760</v>
      </c>
      <c r="P1113" s="42" t="str">
        <f aca="false">TRIM(IF(N(E1113)&lt;=0,"택가보정 ","")&amp;IF(N(F1113)&lt;=0,"원가보정 ","")&amp;IF(AND(B1113&lt;&gt;"CN",N(H1113)&lt;=0),"공급가보정 ","")&amp;IF(AND(B1113="CN",N(I1113)&lt;=0),"중국공급가=원가+마진 ",""))</f>
        <v/>
      </c>
      <c r="Q1113" s="47" t="n">
        <f aca="false">IF(SUMIFS($W:$W,$A:$A,A1113,$C:$C,C1113)=0,0,SUMIFS(RAW_판매펀칭!$K:$K,RAW_판매펀칭!$P:$P,A1113,RAW_판매펀칭!$I:$I,C1113)*W1113/SUMIFS($W:$W,$A:$A,A1113,$C:$C,C1113))</f>
        <v>70</v>
      </c>
      <c r="R1113" s="47" t="n">
        <f aca="false">IF(OR(A1113="500",A1113="800",A1113="810"),0,MAX(W1113-Q1113,0))</f>
        <v>0</v>
      </c>
      <c r="S1113" s="47" t="n">
        <f aca="false">R1113*L1113</f>
        <v>0</v>
      </c>
      <c r="T1113" s="47" t="n">
        <f aca="false">R1113*J1113</f>
        <v>0</v>
      </c>
      <c r="U1113" s="47" t="n">
        <f aca="false">R1113*K1113</f>
        <v>0</v>
      </c>
      <c r="V1113" s="0" t="str">
        <f aca="false">IF(COUNTIFS($A$2:A1113,A1113,$C$2:C1113,C1113,$D$2:D1113,D1113)&gt;1,"중복","")</f>
        <v/>
      </c>
      <c r="W1113" s="0" t="n">
        <f aca="false">IF(V1113="중복",0,N(D1113))</f>
        <v>70</v>
      </c>
      <c r="X1113" s="0" t="n">
        <f aca="false">IF(COUNTIFS($A$2:A1113,A1113,$C$2:C1113,C1113)=1,ABS(SUMIFS(RAW_발주!$D:$D,RAW_발주!$C:$C,A1113,RAW_발주!$A:$A,C1113)-SUMIFS($W:$W,$A:$A,A1113,$C:$C,C1113)),0)</f>
        <v>0</v>
      </c>
    </row>
    <row r="1114" customFormat="false" ht="15" hidden="false" customHeight="true" outlineLevel="0" collapsed="false">
      <c r="A1114" s="45" t="s">
        <v>1663</v>
      </c>
      <c r="B1114" s="42" t="str">
        <f aca="false">IF(A1114="100","HK",IF(A1114="200","CN",IF(A1114="300","TW","홀세일")))</f>
        <v>홀세일</v>
      </c>
      <c r="C1114" s="45" t="s">
        <v>1338</v>
      </c>
      <c r="D1114" s="46" t="n">
        <v>25</v>
      </c>
      <c r="E1114" s="46" t="n">
        <v>239000</v>
      </c>
      <c r="F1114" s="46" t="n">
        <v>67200</v>
      </c>
      <c r="G1114" s="42" t="n">
        <v>3.56</v>
      </c>
      <c r="H1114" s="42" t="n">
        <v>59.9</v>
      </c>
      <c r="I1114" s="42" t="n">
        <v>0</v>
      </c>
      <c r="J1114" s="46" t="n">
        <f aca="false">IF(N(E1114)&gt;0,E1114,IF(N(F1114)&gt;0,F1114*요약!$F$27,0))</f>
        <v>239000</v>
      </c>
      <c r="K1114" s="46" t="n">
        <f aca="false">IF(N(F1114)&gt;0,F1114,IF(N(E1114)&gt;0,E1114/요약!$F$27,0))</f>
        <v>67200</v>
      </c>
      <c r="L1114" s="46" t="n">
        <f aca="false">IF(B1114="CN",IF(N(I1114)&gt;0,I1114*요약!$G$27,K1114*(1+요약!$E$27)),IF(N(H1114)&gt;0,H1114*요약!$G$27,J1114*요약!$D$27))</f>
        <v>79068</v>
      </c>
      <c r="M1114" s="46" t="n">
        <f aca="false">D1114*J1114</f>
        <v>5975000</v>
      </c>
      <c r="N1114" s="46" t="n">
        <f aca="false">D1114*K1114</f>
        <v>1680000</v>
      </c>
      <c r="O1114" s="46" t="n">
        <f aca="false">D1114*L1114</f>
        <v>1976700</v>
      </c>
      <c r="P1114" s="42" t="str">
        <f aca="false">TRIM(IF(N(E1114)&lt;=0,"택가보정 ","")&amp;IF(N(F1114)&lt;=0,"원가보정 ","")&amp;IF(AND(B1114&lt;&gt;"CN",N(H1114)&lt;=0),"공급가보정 ","")&amp;IF(AND(B1114="CN",N(I1114)&lt;=0),"중국공급가=원가+마진 ",""))</f>
        <v/>
      </c>
      <c r="Q1114" s="47" t="n">
        <f aca="false">IF(SUMIFS($W:$W,$A:$A,A1114,$C:$C,C1114)=0,0,SUMIFS(RAW_판매펀칭!$K:$K,RAW_판매펀칭!$P:$P,A1114,RAW_판매펀칭!$I:$I,C1114)*W1114/SUMIFS($W:$W,$A:$A,A1114,$C:$C,C1114))</f>
        <v>25</v>
      </c>
      <c r="R1114" s="47" t="n">
        <f aca="false">IF(OR(A1114="500",A1114="800",A1114="810"),0,MAX(W1114-Q1114,0))</f>
        <v>0</v>
      </c>
      <c r="S1114" s="47" t="n">
        <f aca="false">R1114*L1114</f>
        <v>0</v>
      </c>
      <c r="T1114" s="47" t="n">
        <f aca="false">R1114*J1114</f>
        <v>0</v>
      </c>
      <c r="U1114" s="47" t="n">
        <f aca="false">R1114*K1114</f>
        <v>0</v>
      </c>
      <c r="V1114" s="0" t="str">
        <f aca="false">IF(COUNTIFS($A$2:A1114,A1114,$C$2:C1114,C1114,$D$2:D1114,D1114)&gt;1,"중복","")</f>
        <v/>
      </c>
      <c r="W1114" s="0" t="n">
        <f aca="false">IF(V1114="중복",0,N(D1114))</f>
        <v>25</v>
      </c>
      <c r="X1114" s="0" t="n">
        <f aca="false">IF(COUNTIFS($A$2:A1114,A1114,$C$2:C1114,C1114)=1,ABS(SUMIFS(RAW_발주!$D:$D,RAW_발주!$C:$C,A1114,RAW_발주!$A:$A,C1114)-SUMIFS($W:$W,$A:$A,A1114,$C:$C,C1114)),0)</f>
        <v>0</v>
      </c>
    </row>
    <row r="1115" customFormat="false" ht="15" hidden="false" customHeight="true" outlineLevel="0" collapsed="false">
      <c r="A1115" s="45" t="s">
        <v>1667</v>
      </c>
      <c r="B1115" s="42" t="str">
        <f aca="false">IF(A1115="100","HK",IF(A1115="200","CN",IF(A1115="300","TW","홀세일")))</f>
        <v>홀세일</v>
      </c>
      <c r="C1115" s="45" t="s">
        <v>1338</v>
      </c>
      <c r="D1115" s="46" t="n">
        <v>81</v>
      </c>
      <c r="E1115" s="46" t="n">
        <v>239000</v>
      </c>
      <c r="F1115" s="46" t="n">
        <v>67200</v>
      </c>
      <c r="G1115" s="42" t="n">
        <v>3.56</v>
      </c>
      <c r="H1115" s="42" t="n">
        <v>59.9</v>
      </c>
      <c r="I1115" s="42" t="n">
        <v>0</v>
      </c>
      <c r="J1115" s="46" t="n">
        <f aca="false">IF(N(E1115)&gt;0,E1115,IF(N(F1115)&gt;0,F1115*요약!$F$27,0))</f>
        <v>239000</v>
      </c>
      <c r="K1115" s="46" t="n">
        <f aca="false">IF(N(F1115)&gt;0,F1115,IF(N(E1115)&gt;0,E1115/요약!$F$27,0))</f>
        <v>67200</v>
      </c>
      <c r="L1115" s="46" t="n">
        <f aca="false">IF(B1115="CN",IF(N(I1115)&gt;0,I1115*요약!$G$27,K1115*(1+요약!$E$27)),IF(N(H1115)&gt;0,H1115*요약!$G$27,J1115*요약!$D$27))</f>
        <v>79068</v>
      </c>
      <c r="M1115" s="46" t="n">
        <f aca="false">D1115*J1115</f>
        <v>19359000</v>
      </c>
      <c r="N1115" s="46" t="n">
        <f aca="false">D1115*K1115</f>
        <v>5443200</v>
      </c>
      <c r="O1115" s="46" t="n">
        <f aca="false">D1115*L1115</f>
        <v>6404508</v>
      </c>
      <c r="P1115" s="42" t="str">
        <f aca="false">TRIM(IF(N(E1115)&lt;=0,"택가보정 ","")&amp;IF(N(F1115)&lt;=0,"원가보정 ","")&amp;IF(AND(B1115&lt;&gt;"CN",N(H1115)&lt;=0),"공급가보정 ","")&amp;IF(AND(B1115="CN",N(I1115)&lt;=0),"중국공급가=원가+마진 ",""))</f>
        <v/>
      </c>
      <c r="Q1115" s="47" t="n">
        <f aca="false">IF(SUMIFS($W:$W,$A:$A,A1115,$C:$C,C1115)=0,0,SUMIFS(RAW_판매펀칭!$K:$K,RAW_판매펀칭!$P:$P,A1115,RAW_판매펀칭!$I:$I,C1115)*W1115/SUMIFS($W:$W,$A:$A,A1115,$C:$C,C1115))</f>
        <v>0</v>
      </c>
      <c r="R1115" s="47" t="n">
        <f aca="false">IF(OR(A1115="500",A1115="800",A1115="810"),0,MAX(W1115-Q1115,0))</f>
        <v>81</v>
      </c>
      <c r="S1115" s="47" t="n">
        <f aca="false">R1115*L1115</f>
        <v>6404508</v>
      </c>
      <c r="T1115" s="47" t="n">
        <f aca="false">R1115*J1115</f>
        <v>19359000</v>
      </c>
      <c r="U1115" s="47" t="n">
        <f aca="false">R1115*K1115</f>
        <v>5443200</v>
      </c>
      <c r="V1115" s="0" t="str">
        <f aca="false">IF(COUNTIFS($A$2:A1115,A1115,$C$2:C1115,C1115,$D$2:D1115,D1115)&gt;1,"중복","")</f>
        <v/>
      </c>
      <c r="W1115" s="0" t="n">
        <f aca="false">IF(V1115="중복",0,N(D1115))</f>
        <v>81</v>
      </c>
      <c r="X1115" s="0" t="n">
        <f aca="false">IF(COUNTIFS($A$2:A1115,A1115,$C$2:C1115,C1115)=1,ABS(SUMIFS(RAW_발주!$D:$D,RAW_발주!$C:$C,A1115,RAW_발주!$A:$A,C1115)-SUMIFS($W:$W,$A:$A,A1115,$C:$C,C1115)),0)</f>
        <v>0</v>
      </c>
    </row>
    <row r="1116" customFormat="false" ht="15" hidden="false" customHeight="true" outlineLevel="0" collapsed="false">
      <c r="A1116" s="45" t="s">
        <v>1662</v>
      </c>
      <c r="B1116" s="42" t="str">
        <f aca="false">IF(A1116="100","HK",IF(A1116="200","CN",IF(A1116="300","TW","홀세일")))</f>
        <v>홀세일</v>
      </c>
      <c r="C1116" s="45" t="s">
        <v>1340</v>
      </c>
      <c r="D1116" s="46" t="n">
        <v>90</v>
      </c>
      <c r="E1116" s="46" t="n">
        <v>159000</v>
      </c>
      <c r="F1116" s="46" t="n">
        <v>50300</v>
      </c>
      <c r="G1116" s="42" t="n">
        <v>3.94</v>
      </c>
      <c r="H1116" s="42" t="n">
        <v>39.8</v>
      </c>
      <c r="I1116" s="42" t="n">
        <v>0</v>
      </c>
      <c r="J1116" s="46" t="n">
        <f aca="false">IF(N(E1116)&gt;0,E1116,IF(N(F1116)&gt;0,F1116*요약!$F$27,0))</f>
        <v>159000</v>
      </c>
      <c r="K1116" s="46" t="n">
        <f aca="false">IF(N(F1116)&gt;0,F1116,IF(N(E1116)&gt;0,E1116/요약!$F$27,0))</f>
        <v>50300</v>
      </c>
      <c r="L1116" s="46" t="n">
        <f aca="false">IF(B1116="CN",IF(N(I1116)&gt;0,I1116*요약!$G$27,K1116*(1+요약!$E$27)),IF(N(H1116)&gt;0,H1116*요약!$G$27,J1116*요약!$D$27))</f>
        <v>52536</v>
      </c>
      <c r="M1116" s="46" t="n">
        <f aca="false">D1116*J1116</f>
        <v>14310000</v>
      </c>
      <c r="N1116" s="46" t="n">
        <f aca="false">D1116*K1116</f>
        <v>4527000</v>
      </c>
      <c r="O1116" s="46" t="n">
        <f aca="false">D1116*L1116</f>
        <v>4728240</v>
      </c>
      <c r="P1116" s="42" t="str">
        <f aca="false">TRIM(IF(N(E1116)&lt;=0,"택가보정 ","")&amp;IF(N(F1116)&lt;=0,"원가보정 ","")&amp;IF(AND(B1116&lt;&gt;"CN",N(H1116)&lt;=0),"공급가보정 ","")&amp;IF(AND(B1116="CN",N(I1116)&lt;=0),"중국공급가=원가+마진 ",""))</f>
        <v/>
      </c>
      <c r="Q1116" s="47" t="n">
        <f aca="false">IF(SUMIFS($W:$W,$A:$A,A1116,$C:$C,C1116)=0,0,SUMIFS(RAW_판매펀칭!$K:$K,RAW_판매펀칭!$P:$P,A1116,RAW_판매펀칭!$I:$I,C1116)*W1116/SUMIFS($W:$W,$A:$A,A1116,$C:$C,C1116))</f>
        <v>0</v>
      </c>
      <c r="R1116" s="47" t="n">
        <f aca="false">IF(OR(A1116="500",A1116="800",A1116="810"),0,MAX(W1116-Q1116,0))</f>
        <v>0</v>
      </c>
      <c r="S1116" s="47" t="n">
        <f aca="false">R1116*L1116</f>
        <v>0</v>
      </c>
      <c r="T1116" s="47" t="n">
        <f aca="false">R1116*J1116</f>
        <v>0</v>
      </c>
      <c r="U1116" s="47" t="n">
        <f aca="false">R1116*K1116</f>
        <v>0</v>
      </c>
      <c r="V1116" s="0" t="str">
        <f aca="false">IF(COUNTIFS($A$2:A1116,A1116,$C$2:C1116,C1116,$D$2:D1116,D1116)&gt;1,"중복","")</f>
        <v/>
      </c>
      <c r="W1116" s="0" t="n">
        <f aca="false">IF(V1116="중복",0,N(D1116))</f>
        <v>90</v>
      </c>
      <c r="X1116" s="0" t="n">
        <f aca="false">IF(COUNTIFS($A$2:A1116,A1116,$C$2:C1116,C1116)=1,ABS(SUMIFS(RAW_발주!$D:$D,RAW_발주!$C:$C,A1116,RAW_발주!$A:$A,C1116)-SUMIFS($W:$W,$A:$A,A1116,$C:$C,C1116)),0)</f>
        <v>0</v>
      </c>
    </row>
    <row r="1117" customFormat="false" ht="15" hidden="false" customHeight="true" outlineLevel="0" collapsed="false">
      <c r="A1117" s="45" t="s">
        <v>1663</v>
      </c>
      <c r="B1117" s="42" t="str">
        <f aca="false">IF(A1117="100","HK",IF(A1117="200","CN",IF(A1117="300","TW","홀세일")))</f>
        <v>홀세일</v>
      </c>
      <c r="C1117" s="45" t="s">
        <v>1340</v>
      </c>
      <c r="D1117" s="46" t="n">
        <v>50</v>
      </c>
      <c r="E1117" s="46" t="n">
        <v>159000</v>
      </c>
      <c r="F1117" s="46" t="n">
        <v>50300</v>
      </c>
      <c r="G1117" s="42" t="n">
        <v>3.94</v>
      </c>
      <c r="H1117" s="42" t="n">
        <v>39.8</v>
      </c>
      <c r="I1117" s="42" t="n">
        <v>0</v>
      </c>
      <c r="J1117" s="46" t="n">
        <f aca="false">IF(N(E1117)&gt;0,E1117,IF(N(F1117)&gt;0,F1117*요약!$F$27,0))</f>
        <v>159000</v>
      </c>
      <c r="K1117" s="46" t="n">
        <f aca="false">IF(N(F1117)&gt;0,F1117,IF(N(E1117)&gt;0,E1117/요약!$F$27,0))</f>
        <v>50300</v>
      </c>
      <c r="L1117" s="46" t="n">
        <f aca="false">IF(B1117="CN",IF(N(I1117)&gt;0,I1117*요약!$G$27,K1117*(1+요약!$E$27)),IF(N(H1117)&gt;0,H1117*요약!$G$27,J1117*요약!$D$27))</f>
        <v>52536</v>
      </c>
      <c r="M1117" s="46" t="n">
        <f aca="false">D1117*J1117</f>
        <v>7950000</v>
      </c>
      <c r="N1117" s="46" t="n">
        <f aca="false">D1117*K1117</f>
        <v>2515000</v>
      </c>
      <c r="O1117" s="46" t="n">
        <f aca="false">D1117*L1117</f>
        <v>2626800</v>
      </c>
      <c r="P1117" s="42" t="str">
        <f aca="false">TRIM(IF(N(E1117)&lt;=0,"택가보정 ","")&amp;IF(N(F1117)&lt;=0,"원가보정 ","")&amp;IF(AND(B1117&lt;&gt;"CN",N(H1117)&lt;=0),"공급가보정 ","")&amp;IF(AND(B1117="CN",N(I1117)&lt;=0),"중국공급가=원가+마진 ",""))</f>
        <v/>
      </c>
      <c r="Q1117" s="47" t="n">
        <f aca="false">IF(SUMIFS($W:$W,$A:$A,A1117,$C:$C,C1117)=0,0,SUMIFS(RAW_판매펀칭!$K:$K,RAW_판매펀칭!$P:$P,A1117,RAW_판매펀칭!$I:$I,C1117)*W1117/SUMIFS($W:$W,$A:$A,A1117,$C:$C,C1117))</f>
        <v>50</v>
      </c>
      <c r="R1117" s="47" t="n">
        <f aca="false">IF(OR(A1117="500",A1117="800",A1117="810"),0,MAX(W1117-Q1117,0))</f>
        <v>0</v>
      </c>
      <c r="S1117" s="47" t="n">
        <f aca="false">R1117*L1117</f>
        <v>0</v>
      </c>
      <c r="T1117" s="47" t="n">
        <f aca="false">R1117*J1117</f>
        <v>0</v>
      </c>
      <c r="U1117" s="47" t="n">
        <f aca="false">R1117*K1117</f>
        <v>0</v>
      </c>
      <c r="V1117" s="0" t="str">
        <f aca="false">IF(COUNTIFS($A$2:A1117,A1117,$C$2:C1117,C1117,$D$2:D1117,D1117)&gt;1,"중복","")</f>
        <v/>
      </c>
      <c r="W1117" s="0" t="n">
        <f aca="false">IF(V1117="중복",0,N(D1117))</f>
        <v>50</v>
      </c>
      <c r="X1117" s="0" t="n">
        <f aca="false">IF(COUNTIFS($A$2:A1117,A1117,$C$2:C1117,C1117)=1,ABS(SUMIFS(RAW_발주!$D:$D,RAW_발주!$C:$C,A1117,RAW_발주!$A:$A,C1117)-SUMIFS($W:$W,$A:$A,A1117,$C:$C,C1117)),0)</f>
        <v>0</v>
      </c>
    </row>
    <row r="1118" customFormat="false" ht="15" hidden="false" customHeight="true" outlineLevel="0" collapsed="false">
      <c r="A1118" s="45" t="s">
        <v>1665</v>
      </c>
      <c r="B1118" s="42" t="str">
        <f aca="false">IF(A1118="100","HK",IF(A1118="200","CN",IF(A1118="300","TW","홀세일")))</f>
        <v>홀세일</v>
      </c>
      <c r="C1118" s="45" t="s">
        <v>1699</v>
      </c>
      <c r="D1118" s="46" t="n">
        <v>216</v>
      </c>
      <c r="E1118" s="46" t="n">
        <v>159000</v>
      </c>
      <c r="F1118" s="46" t="n">
        <v>35600</v>
      </c>
      <c r="G1118" s="42" t="n">
        <v>4.06</v>
      </c>
      <c r="H1118" s="42" t="n">
        <v>37.4</v>
      </c>
      <c r="I1118" s="42" t="n">
        <v>0</v>
      </c>
      <c r="J1118" s="46" t="n">
        <f aca="false">IF(N(E1118)&gt;0,E1118,IF(N(F1118)&gt;0,F1118*요약!$F$27,0))</f>
        <v>159000</v>
      </c>
      <c r="K1118" s="46" t="n">
        <f aca="false">IF(N(F1118)&gt;0,F1118,IF(N(E1118)&gt;0,E1118/요약!$F$27,0))</f>
        <v>35600</v>
      </c>
      <c r="L1118" s="46" t="n">
        <f aca="false">IF(B1118="CN",IF(N(I1118)&gt;0,I1118*요약!$G$27,K1118*(1+요약!$E$27)),IF(N(H1118)&gt;0,H1118*요약!$G$27,J1118*요약!$D$27))</f>
        <v>49368</v>
      </c>
      <c r="M1118" s="46" t="n">
        <f aca="false">D1118*J1118</f>
        <v>34344000</v>
      </c>
      <c r="N1118" s="46" t="n">
        <f aca="false">D1118*K1118</f>
        <v>7689600</v>
      </c>
      <c r="O1118" s="46" t="n">
        <f aca="false">D1118*L1118</f>
        <v>10663488</v>
      </c>
      <c r="P1118" s="42" t="str">
        <f aca="false">TRIM(IF(N(E1118)&lt;=0,"택가보정 ","")&amp;IF(N(F1118)&lt;=0,"원가보정 ","")&amp;IF(AND(B1118&lt;&gt;"CN",N(H1118)&lt;=0),"공급가보정 ","")&amp;IF(AND(B1118="CN",N(I1118)&lt;=0),"중국공급가=원가+마진 ",""))</f>
        <v/>
      </c>
      <c r="Q1118" s="47" t="n">
        <f aca="false">IF(SUMIFS($W:$W,$A:$A,A1118,$C:$C,C1118)=0,0,SUMIFS(RAW_판매펀칭!$K:$K,RAW_판매펀칭!$P:$P,A1118,RAW_판매펀칭!$I:$I,C1118)*W1118/SUMIFS($W:$W,$A:$A,A1118,$C:$C,C1118))</f>
        <v>0</v>
      </c>
      <c r="R1118" s="47" t="n">
        <f aca="false">IF(OR(A1118="500",A1118="800",A1118="810"),0,MAX(W1118-Q1118,0))</f>
        <v>0</v>
      </c>
      <c r="S1118" s="47" t="n">
        <f aca="false">R1118*L1118</f>
        <v>0</v>
      </c>
      <c r="T1118" s="47" t="n">
        <f aca="false">R1118*J1118</f>
        <v>0</v>
      </c>
      <c r="U1118" s="47" t="n">
        <f aca="false">R1118*K1118</f>
        <v>0</v>
      </c>
      <c r="V1118" s="0" t="str">
        <f aca="false">IF(COUNTIFS($A$2:A1118,A1118,$C$2:C1118,C1118,$D$2:D1118,D1118)&gt;1,"중복","")</f>
        <v/>
      </c>
      <c r="W1118" s="0" t="n">
        <f aca="false">IF(V1118="중복",0,N(D1118))</f>
        <v>216</v>
      </c>
      <c r="X1118" s="0" t="n">
        <f aca="false">IF(COUNTIFS($A$2:A1118,A1118,$C$2:C1118,C1118)=1,ABS(SUMIFS(RAW_발주!$D:$D,RAW_발주!$C:$C,A1118,RAW_발주!$A:$A,C1118)-SUMIFS($W:$W,$A:$A,A1118,$C:$C,C1118)),0)</f>
        <v>0</v>
      </c>
    </row>
    <row r="1119" customFormat="false" ht="15" hidden="false" customHeight="true" outlineLevel="0" collapsed="false">
      <c r="A1119" s="45" t="s">
        <v>1659</v>
      </c>
      <c r="B1119" s="42" t="str">
        <f aca="false">IF(A1119="100","HK",IF(A1119="200","CN",IF(A1119="300","TW","홀세일")))</f>
        <v>HK</v>
      </c>
      <c r="C1119" s="45" t="s">
        <v>527</v>
      </c>
      <c r="D1119" s="46" t="n">
        <v>130</v>
      </c>
      <c r="E1119" s="46" t="n">
        <v>199000</v>
      </c>
      <c r="F1119" s="46" t="n">
        <v>45800</v>
      </c>
      <c r="G1119" s="42" t="n">
        <v>4.13</v>
      </c>
      <c r="H1119" s="42" t="n">
        <v>46.8</v>
      </c>
      <c r="I1119" s="42" t="n">
        <v>0</v>
      </c>
      <c r="J1119" s="46" t="n">
        <f aca="false">IF(N(E1119)&gt;0,E1119,IF(N(F1119)&gt;0,F1119*요약!$F$27,0))</f>
        <v>199000</v>
      </c>
      <c r="K1119" s="46" t="n">
        <f aca="false">IF(N(F1119)&gt;0,F1119,IF(N(E1119)&gt;0,E1119/요약!$F$27,0))</f>
        <v>45800</v>
      </c>
      <c r="L1119" s="46" t="n">
        <f aca="false">IF(B1119="CN",IF(N(I1119)&gt;0,I1119*요약!$G$27,K1119*(1+요약!$E$27)),IF(N(H1119)&gt;0,H1119*요약!$G$27,J1119*요약!$D$27))</f>
        <v>61776</v>
      </c>
      <c r="M1119" s="46" t="n">
        <f aca="false">D1119*J1119</f>
        <v>25870000</v>
      </c>
      <c r="N1119" s="46" t="n">
        <f aca="false">D1119*K1119</f>
        <v>5954000</v>
      </c>
      <c r="O1119" s="46" t="n">
        <f aca="false">D1119*L1119</f>
        <v>8030880</v>
      </c>
      <c r="P1119" s="42" t="str">
        <f aca="false">TRIM(IF(N(E1119)&lt;=0,"택가보정 ","")&amp;IF(N(F1119)&lt;=0,"원가보정 ","")&amp;IF(AND(B1119&lt;&gt;"CN",N(H1119)&lt;=0),"공급가보정 ","")&amp;IF(AND(B1119="CN",N(I1119)&lt;=0),"중국공급가=원가+마진 ",""))</f>
        <v/>
      </c>
      <c r="Q1119" s="47" t="n">
        <f aca="false">IF(SUMIFS($W:$W,$A:$A,A1119,$C:$C,C1119)=0,0,SUMIFS(RAW_판매펀칭!$K:$K,RAW_판매펀칭!$P:$P,A1119,RAW_판매펀칭!$I:$I,C1119)*W1119/SUMIFS($W:$W,$A:$A,A1119,$C:$C,C1119))</f>
        <v>130</v>
      </c>
      <c r="R1119" s="47" t="n">
        <f aca="false">IF(OR(A1119="500",A1119="800",A1119="810"),0,MAX(W1119-Q1119,0))</f>
        <v>0</v>
      </c>
      <c r="S1119" s="47" t="n">
        <f aca="false">R1119*L1119</f>
        <v>0</v>
      </c>
      <c r="T1119" s="47" t="n">
        <f aca="false">R1119*J1119</f>
        <v>0</v>
      </c>
      <c r="U1119" s="47" t="n">
        <f aca="false">R1119*K1119</f>
        <v>0</v>
      </c>
      <c r="V1119" s="0" t="str">
        <f aca="false">IF(COUNTIFS($A$2:A1119,A1119,$C$2:C1119,C1119,$D$2:D1119,D1119)&gt;1,"중복","")</f>
        <v/>
      </c>
      <c r="W1119" s="0" t="n">
        <f aca="false">IF(V1119="중복",0,N(D1119))</f>
        <v>130</v>
      </c>
      <c r="X1119" s="0" t="n">
        <f aca="false">IF(COUNTIFS($A$2:A1119,A1119,$C$2:C1119,C1119)=1,ABS(SUMIFS(RAW_발주!$D:$D,RAW_발주!$C:$C,A1119,RAW_발주!$A:$A,C1119)-SUMIFS($W:$W,$A:$A,A1119,$C:$C,C1119)),0)</f>
        <v>0</v>
      </c>
    </row>
    <row r="1120" customFormat="false" ht="15" hidden="false" customHeight="true" outlineLevel="0" collapsed="false">
      <c r="A1120" s="45" t="s">
        <v>1659</v>
      </c>
      <c r="B1120" s="42" t="str">
        <f aca="false">IF(A1120="100","HK",IF(A1120="200","CN",IF(A1120="300","TW","홀세일")))</f>
        <v>HK</v>
      </c>
      <c r="C1120" s="45" t="s">
        <v>527</v>
      </c>
      <c r="D1120" s="46" t="n">
        <v>130</v>
      </c>
      <c r="E1120" s="46" t="n">
        <v>199000</v>
      </c>
      <c r="F1120" s="46" t="n">
        <v>45800</v>
      </c>
      <c r="G1120" s="42" t="n">
        <v>4.13</v>
      </c>
      <c r="H1120" s="42" t="n">
        <v>46.8</v>
      </c>
      <c r="I1120" s="42" t="n">
        <v>0</v>
      </c>
      <c r="J1120" s="46" t="n">
        <f aca="false">IF(N(E1120)&gt;0,E1120,IF(N(F1120)&gt;0,F1120*요약!$F$27,0))</f>
        <v>199000</v>
      </c>
      <c r="K1120" s="46" t="n">
        <f aca="false">IF(N(F1120)&gt;0,F1120,IF(N(E1120)&gt;0,E1120/요약!$F$27,0))</f>
        <v>45800</v>
      </c>
      <c r="L1120" s="46" t="n">
        <f aca="false">IF(B1120="CN",IF(N(I1120)&gt;0,I1120*요약!$G$27,K1120*(1+요약!$E$27)),IF(N(H1120)&gt;0,H1120*요약!$G$27,J1120*요약!$D$27))</f>
        <v>61776</v>
      </c>
      <c r="M1120" s="46" t="n">
        <f aca="false">D1120*J1120</f>
        <v>25870000</v>
      </c>
      <c r="N1120" s="46" t="n">
        <f aca="false">D1120*K1120</f>
        <v>5954000</v>
      </c>
      <c r="O1120" s="46" t="n">
        <f aca="false">D1120*L1120</f>
        <v>8030880</v>
      </c>
      <c r="P1120" s="42" t="str">
        <f aca="false">TRIM(IF(N(E1120)&lt;=0,"택가보정 ","")&amp;IF(N(F1120)&lt;=0,"원가보정 ","")&amp;IF(AND(B1120&lt;&gt;"CN",N(H1120)&lt;=0),"공급가보정 ","")&amp;IF(AND(B1120="CN",N(I1120)&lt;=0),"중국공급가=원가+마진 ",""))</f>
        <v/>
      </c>
      <c r="Q1120" s="47" t="n">
        <f aca="false">IF(SUMIFS($W:$W,$A:$A,A1120,$C:$C,C1120)=0,0,SUMIFS(RAW_판매펀칭!$K:$K,RAW_판매펀칭!$P:$P,A1120,RAW_판매펀칭!$I:$I,C1120)*W1120/SUMIFS($W:$W,$A:$A,A1120,$C:$C,C1120))</f>
        <v>0</v>
      </c>
      <c r="R1120" s="47" t="n">
        <f aca="false">IF(OR(A1120="500",A1120="800",A1120="810"),0,MAX(W1120-Q1120,0))</f>
        <v>0</v>
      </c>
      <c r="S1120" s="47" t="n">
        <f aca="false">R1120*L1120</f>
        <v>0</v>
      </c>
      <c r="T1120" s="47" t="n">
        <f aca="false">R1120*J1120</f>
        <v>0</v>
      </c>
      <c r="U1120" s="47" t="n">
        <f aca="false">R1120*K1120</f>
        <v>0</v>
      </c>
      <c r="V1120" s="0" t="str">
        <f aca="false">IF(COUNTIFS($A$2:A1120,A1120,$C$2:C1120,C1120,$D$2:D1120,D1120)&gt;1,"중복","")</f>
        <v>중복</v>
      </c>
      <c r="W1120" s="0" t="n">
        <f aca="false">IF(V1120="중복",0,N(D1120))</f>
        <v>0</v>
      </c>
      <c r="X1120" s="0" t="n">
        <f aca="false">IF(COUNTIFS($A$2:A1120,A1120,$C$2:C1120,C1120)=1,ABS(SUMIFS(RAW_발주!$D:$D,RAW_발주!$C:$C,A1120,RAW_발주!$A:$A,C1120)-SUMIFS($W:$W,$A:$A,A1120,$C:$C,C1120)),0)</f>
        <v>0</v>
      </c>
    </row>
    <row r="1121" customFormat="false" ht="15" hidden="false" customHeight="true" outlineLevel="0" collapsed="false">
      <c r="A1121" s="45" t="s">
        <v>1661</v>
      </c>
      <c r="B1121" s="42" t="str">
        <f aca="false">IF(A1121="100","HK",IF(A1121="200","CN",IF(A1121="300","TW","홀세일")))</f>
        <v>TW</v>
      </c>
      <c r="C1121" s="45" t="s">
        <v>527</v>
      </c>
      <c r="D1121" s="46" t="n">
        <v>600</v>
      </c>
      <c r="E1121" s="46" t="n">
        <v>199000</v>
      </c>
      <c r="F1121" s="46" t="n">
        <v>45800</v>
      </c>
      <c r="G1121" s="42" t="n">
        <v>4.13</v>
      </c>
      <c r="H1121" s="42" t="n">
        <v>46.8</v>
      </c>
      <c r="I1121" s="42" t="n">
        <v>0</v>
      </c>
      <c r="J1121" s="46" t="n">
        <f aca="false">IF(N(E1121)&gt;0,E1121,IF(N(F1121)&gt;0,F1121*요약!$F$27,0))</f>
        <v>199000</v>
      </c>
      <c r="K1121" s="46" t="n">
        <f aca="false">IF(N(F1121)&gt;0,F1121,IF(N(E1121)&gt;0,E1121/요약!$F$27,0))</f>
        <v>45800</v>
      </c>
      <c r="L1121" s="46" t="n">
        <f aca="false">IF(B1121="CN",IF(N(I1121)&gt;0,I1121*요약!$G$27,K1121*(1+요약!$E$27)),IF(N(H1121)&gt;0,H1121*요약!$G$27,J1121*요약!$D$27))</f>
        <v>61776</v>
      </c>
      <c r="M1121" s="46" t="n">
        <f aca="false">D1121*J1121</f>
        <v>119400000</v>
      </c>
      <c r="N1121" s="46" t="n">
        <f aca="false">D1121*K1121</f>
        <v>27480000</v>
      </c>
      <c r="O1121" s="46" t="n">
        <f aca="false">D1121*L1121</f>
        <v>37065600</v>
      </c>
      <c r="P1121" s="42" t="str">
        <f aca="false">TRIM(IF(N(E1121)&lt;=0,"택가보정 ","")&amp;IF(N(F1121)&lt;=0,"원가보정 ","")&amp;IF(AND(B1121&lt;&gt;"CN",N(H1121)&lt;=0),"공급가보정 ","")&amp;IF(AND(B1121="CN",N(I1121)&lt;=0),"중국공급가=원가+마진 ",""))</f>
        <v/>
      </c>
      <c r="Q1121" s="47" t="n">
        <f aca="false">IF(SUMIFS($W:$W,$A:$A,A1121,$C:$C,C1121)=0,0,SUMIFS(RAW_판매펀칭!$K:$K,RAW_판매펀칭!$P:$P,A1121,RAW_판매펀칭!$I:$I,C1121)*W1121/SUMIFS($W:$W,$A:$A,A1121,$C:$C,C1121))</f>
        <v>600</v>
      </c>
      <c r="R1121" s="47" t="n">
        <f aca="false">IF(OR(A1121="500",A1121="800",A1121="810"),0,MAX(W1121-Q1121,0))</f>
        <v>0</v>
      </c>
      <c r="S1121" s="47" t="n">
        <f aca="false">R1121*L1121</f>
        <v>0</v>
      </c>
      <c r="T1121" s="47" t="n">
        <f aca="false">R1121*J1121</f>
        <v>0</v>
      </c>
      <c r="U1121" s="47" t="n">
        <f aca="false">R1121*K1121</f>
        <v>0</v>
      </c>
      <c r="V1121" s="0" t="str">
        <f aca="false">IF(COUNTIFS($A$2:A1121,A1121,$C$2:C1121,C1121,$D$2:D1121,D1121)&gt;1,"중복","")</f>
        <v/>
      </c>
      <c r="W1121" s="0" t="n">
        <f aca="false">IF(V1121="중복",0,N(D1121))</f>
        <v>600</v>
      </c>
      <c r="X1121" s="0" t="n">
        <f aca="false">IF(COUNTIFS($A$2:A1121,A1121,$C$2:C1121,C1121)=1,ABS(SUMIFS(RAW_발주!$D:$D,RAW_발주!$C:$C,A1121,RAW_발주!$A:$A,C1121)-SUMIFS($W:$W,$A:$A,A1121,$C:$C,C1121)),0)</f>
        <v>0</v>
      </c>
    </row>
    <row r="1122" customFormat="false" ht="15" hidden="false" customHeight="true" outlineLevel="0" collapsed="false">
      <c r="A1122" s="45" t="s">
        <v>1661</v>
      </c>
      <c r="B1122" s="42" t="str">
        <f aca="false">IF(A1122="100","HK",IF(A1122="200","CN",IF(A1122="300","TW","홀세일")))</f>
        <v>TW</v>
      </c>
      <c r="C1122" s="45" t="s">
        <v>527</v>
      </c>
      <c r="D1122" s="46" t="n">
        <v>600</v>
      </c>
      <c r="E1122" s="46" t="n">
        <v>199000</v>
      </c>
      <c r="F1122" s="46" t="n">
        <v>45800</v>
      </c>
      <c r="G1122" s="42" t="n">
        <v>4.13</v>
      </c>
      <c r="H1122" s="42" t="n">
        <v>46.8</v>
      </c>
      <c r="I1122" s="42" t="n">
        <v>0</v>
      </c>
      <c r="J1122" s="46" t="n">
        <f aca="false">IF(N(E1122)&gt;0,E1122,IF(N(F1122)&gt;0,F1122*요약!$F$27,0))</f>
        <v>199000</v>
      </c>
      <c r="K1122" s="46" t="n">
        <f aca="false">IF(N(F1122)&gt;0,F1122,IF(N(E1122)&gt;0,E1122/요약!$F$27,0))</f>
        <v>45800</v>
      </c>
      <c r="L1122" s="46" t="n">
        <f aca="false">IF(B1122="CN",IF(N(I1122)&gt;0,I1122*요약!$G$27,K1122*(1+요약!$E$27)),IF(N(H1122)&gt;0,H1122*요약!$G$27,J1122*요약!$D$27))</f>
        <v>61776</v>
      </c>
      <c r="M1122" s="46" t="n">
        <f aca="false">D1122*J1122</f>
        <v>119400000</v>
      </c>
      <c r="N1122" s="46" t="n">
        <f aca="false">D1122*K1122</f>
        <v>27480000</v>
      </c>
      <c r="O1122" s="46" t="n">
        <f aca="false">D1122*L1122</f>
        <v>37065600</v>
      </c>
      <c r="P1122" s="42" t="str">
        <f aca="false">TRIM(IF(N(E1122)&lt;=0,"택가보정 ","")&amp;IF(N(F1122)&lt;=0,"원가보정 ","")&amp;IF(AND(B1122&lt;&gt;"CN",N(H1122)&lt;=0),"공급가보정 ","")&amp;IF(AND(B1122="CN",N(I1122)&lt;=0),"중국공급가=원가+마진 ",""))</f>
        <v/>
      </c>
      <c r="Q1122" s="47" t="n">
        <f aca="false">IF(SUMIFS($W:$W,$A:$A,A1122,$C:$C,C1122)=0,0,SUMIFS(RAW_판매펀칭!$K:$K,RAW_판매펀칭!$P:$P,A1122,RAW_판매펀칭!$I:$I,C1122)*W1122/SUMIFS($W:$W,$A:$A,A1122,$C:$C,C1122))</f>
        <v>0</v>
      </c>
      <c r="R1122" s="47" t="n">
        <f aca="false">IF(OR(A1122="500",A1122="800",A1122="810"),0,MAX(W1122-Q1122,0))</f>
        <v>0</v>
      </c>
      <c r="S1122" s="47" t="n">
        <f aca="false">R1122*L1122</f>
        <v>0</v>
      </c>
      <c r="T1122" s="47" t="n">
        <f aca="false">R1122*J1122</f>
        <v>0</v>
      </c>
      <c r="U1122" s="47" t="n">
        <f aca="false">R1122*K1122</f>
        <v>0</v>
      </c>
      <c r="V1122" s="0" t="str">
        <f aca="false">IF(COUNTIFS($A$2:A1122,A1122,$C$2:C1122,C1122,$D$2:D1122,D1122)&gt;1,"중복","")</f>
        <v>중복</v>
      </c>
      <c r="W1122" s="0" t="n">
        <f aca="false">IF(V1122="중복",0,N(D1122))</f>
        <v>0</v>
      </c>
      <c r="X1122" s="0" t="n">
        <f aca="false">IF(COUNTIFS($A$2:A1122,A1122,$C$2:C1122,C1122)=1,ABS(SUMIFS(RAW_발주!$D:$D,RAW_발주!$C:$C,A1122,RAW_발주!$A:$A,C1122)-SUMIFS($W:$W,$A:$A,A1122,$C:$C,C1122)),0)</f>
        <v>0</v>
      </c>
    </row>
    <row r="1123" customFormat="false" ht="15" hidden="false" customHeight="true" outlineLevel="0" collapsed="false">
      <c r="A1123" s="45" t="s">
        <v>1667</v>
      </c>
      <c r="B1123" s="42" t="str">
        <f aca="false">IF(A1123="100","HK",IF(A1123="200","CN",IF(A1123="300","TW","홀세일")))</f>
        <v>홀세일</v>
      </c>
      <c r="C1123" s="45" t="s">
        <v>527</v>
      </c>
      <c r="D1123" s="46" t="n">
        <v>191</v>
      </c>
      <c r="E1123" s="46" t="n">
        <v>199000</v>
      </c>
      <c r="F1123" s="46" t="n">
        <v>45800</v>
      </c>
      <c r="G1123" s="42" t="n">
        <v>4.13</v>
      </c>
      <c r="H1123" s="42" t="n">
        <v>46.8</v>
      </c>
      <c r="I1123" s="42" t="n">
        <v>0</v>
      </c>
      <c r="J1123" s="46" t="n">
        <f aca="false">IF(N(E1123)&gt;0,E1123,IF(N(F1123)&gt;0,F1123*요약!$F$27,0))</f>
        <v>199000</v>
      </c>
      <c r="K1123" s="46" t="n">
        <f aca="false">IF(N(F1123)&gt;0,F1123,IF(N(E1123)&gt;0,E1123/요약!$F$27,0))</f>
        <v>45800</v>
      </c>
      <c r="L1123" s="46" t="n">
        <f aca="false">IF(B1123="CN",IF(N(I1123)&gt;0,I1123*요약!$G$27,K1123*(1+요약!$E$27)),IF(N(H1123)&gt;0,H1123*요약!$G$27,J1123*요약!$D$27))</f>
        <v>61776</v>
      </c>
      <c r="M1123" s="46" t="n">
        <f aca="false">D1123*J1123</f>
        <v>38009000</v>
      </c>
      <c r="N1123" s="46" t="n">
        <f aca="false">D1123*K1123</f>
        <v>8747800</v>
      </c>
      <c r="O1123" s="46" t="n">
        <f aca="false">D1123*L1123</f>
        <v>11799216</v>
      </c>
      <c r="P1123" s="42" t="str">
        <f aca="false">TRIM(IF(N(E1123)&lt;=0,"택가보정 ","")&amp;IF(N(F1123)&lt;=0,"원가보정 ","")&amp;IF(AND(B1123&lt;&gt;"CN",N(H1123)&lt;=0),"공급가보정 ","")&amp;IF(AND(B1123="CN",N(I1123)&lt;=0),"중국공급가=원가+마진 ",""))</f>
        <v/>
      </c>
      <c r="Q1123" s="47" t="n">
        <f aca="false">IF(SUMIFS($W:$W,$A:$A,A1123,$C:$C,C1123)=0,0,SUMIFS(RAW_판매펀칭!$K:$K,RAW_판매펀칭!$P:$P,A1123,RAW_판매펀칭!$I:$I,C1123)*W1123/SUMIFS($W:$W,$A:$A,A1123,$C:$C,C1123))</f>
        <v>190</v>
      </c>
      <c r="R1123" s="47" t="n">
        <f aca="false">IF(OR(A1123="500",A1123="800",A1123="810"),0,MAX(W1123-Q1123,0))</f>
        <v>1</v>
      </c>
      <c r="S1123" s="47" t="n">
        <f aca="false">R1123*L1123</f>
        <v>61776</v>
      </c>
      <c r="T1123" s="47" t="n">
        <f aca="false">R1123*J1123</f>
        <v>199000</v>
      </c>
      <c r="U1123" s="47" t="n">
        <f aca="false">R1123*K1123</f>
        <v>45800</v>
      </c>
      <c r="V1123" s="0" t="str">
        <f aca="false">IF(COUNTIFS($A$2:A1123,A1123,$C$2:C1123,C1123,$D$2:D1123,D1123)&gt;1,"중복","")</f>
        <v/>
      </c>
      <c r="W1123" s="0" t="n">
        <f aca="false">IF(V1123="중복",0,N(D1123))</f>
        <v>191</v>
      </c>
      <c r="X1123" s="0" t="n">
        <f aca="false">IF(COUNTIFS($A$2:A1123,A1123,$C$2:C1123,C1123)=1,ABS(SUMIFS(RAW_발주!$D:$D,RAW_발주!$C:$C,A1123,RAW_발주!$A:$A,C1123)-SUMIFS($W:$W,$A:$A,A1123,$C:$C,C1123)),0)</f>
        <v>0</v>
      </c>
    </row>
    <row r="1124" customFormat="false" ht="15" hidden="false" customHeight="true" outlineLevel="0" collapsed="false">
      <c r="A1124" s="45" t="s">
        <v>1664</v>
      </c>
      <c r="B1124" s="42" t="str">
        <f aca="false">IF(A1124="100","HK",IF(A1124="200","CN",IF(A1124="300","TW","홀세일")))</f>
        <v>홀세일</v>
      </c>
      <c r="C1124" s="45" t="s">
        <v>527</v>
      </c>
      <c r="D1124" s="46" t="n">
        <v>90</v>
      </c>
      <c r="E1124" s="46" t="n">
        <v>199000</v>
      </c>
      <c r="F1124" s="46" t="n">
        <v>45800</v>
      </c>
      <c r="G1124" s="42" t="n">
        <v>4.13</v>
      </c>
      <c r="H1124" s="42" t="n">
        <v>46.8</v>
      </c>
      <c r="I1124" s="42" t="n">
        <v>0</v>
      </c>
      <c r="J1124" s="46" t="n">
        <f aca="false">IF(N(E1124)&gt;0,E1124,IF(N(F1124)&gt;0,F1124*요약!$F$27,0))</f>
        <v>199000</v>
      </c>
      <c r="K1124" s="46" t="n">
        <f aca="false">IF(N(F1124)&gt;0,F1124,IF(N(E1124)&gt;0,E1124/요약!$F$27,0))</f>
        <v>45800</v>
      </c>
      <c r="L1124" s="46" t="n">
        <f aca="false">IF(B1124="CN",IF(N(I1124)&gt;0,I1124*요약!$G$27,K1124*(1+요약!$E$27)),IF(N(H1124)&gt;0,H1124*요약!$G$27,J1124*요약!$D$27))</f>
        <v>61776</v>
      </c>
      <c r="M1124" s="46" t="n">
        <f aca="false">D1124*J1124</f>
        <v>17910000</v>
      </c>
      <c r="N1124" s="46" t="n">
        <f aca="false">D1124*K1124</f>
        <v>4122000</v>
      </c>
      <c r="O1124" s="46" t="n">
        <f aca="false">D1124*L1124</f>
        <v>5559840</v>
      </c>
      <c r="P1124" s="42" t="str">
        <f aca="false">TRIM(IF(N(E1124)&lt;=0,"택가보정 ","")&amp;IF(N(F1124)&lt;=0,"원가보정 ","")&amp;IF(AND(B1124&lt;&gt;"CN",N(H1124)&lt;=0),"공급가보정 ","")&amp;IF(AND(B1124="CN",N(I1124)&lt;=0),"중국공급가=원가+마진 ",""))</f>
        <v/>
      </c>
      <c r="Q1124" s="47" t="n">
        <f aca="false">IF(SUMIFS($W:$W,$A:$A,A1124,$C:$C,C1124)=0,0,SUMIFS(RAW_판매펀칭!$K:$K,RAW_판매펀칭!$P:$P,A1124,RAW_판매펀칭!$I:$I,C1124)*W1124/SUMIFS($W:$W,$A:$A,A1124,$C:$C,C1124))</f>
        <v>0</v>
      </c>
      <c r="R1124" s="47" t="n">
        <f aca="false">IF(OR(A1124="500",A1124="800",A1124="810"),0,MAX(W1124-Q1124,0))</f>
        <v>0</v>
      </c>
      <c r="S1124" s="47" t="n">
        <f aca="false">R1124*L1124</f>
        <v>0</v>
      </c>
      <c r="T1124" s="47" t="n">
        <f aca="false">R1124*J1124</f>
        <v>0</v>
      </c>
      <c r="U1124" s="47" t="n">
        <f aca="false">R1124*K1124</f>
        <v>0</v>
      </c>
      <c r="V1124" s="0" t="str">
        <f aca="false">IF(COUNTIFS($A$2:A1124,A1124,$C$2:C1124,C1124,$D$2:D1124,D1124)&gt;1,"중복","")</f>
        <v/>
      </c>
      <c r="W1124" s="0" t="n">
        <f aca="false">IF(V1124="중복",0,N(D1124))</f>
        <v>90</v>
      </c>
      <c r="X1124" s="0" t="n">
        <f aca="false">IF(COUNTIFS($A$2:A1124,A1124,$C$2:C1124,C1124)=1,ABS(SUMIFS(RAW_발주!$D:$D,RAW_발주!$C:$C,A1124,RAW_발주!$A:$A,C1124)-SUMIFS($W:$W,$A:$A,A1124,$C:$C,C1124)),0)</f>
        <v>0</v>
      </c>
    </row>
    <row r="1125" customFormat="false" ht="15" hidden="false" customHeight="true" outlineLevel="0" collapsed="false">
      <c r="A1125" s="45" t="s">
        <v>1659</v>
      </c>
      <c r="B1125" s="42" t="str">
        <f aca="false">IF(A1125="100","HK",IF(A1125="200","CN",IF(A1125="300","TW","홀세일")))</f>
        <v>HK</v>
      </c>
      <c r="C1125" s="45" t="s">
        <v>930</v>
      </c>
      <c r="D1125" s="46" t="n">
        <v>285</v>
      </c>
      <c r="E1125" s="46" t="n">
        <v>129000</v>
      </c>
      <c r="F1125" s="46" t="n">
        <v>29400</v>
      </c>
      <c r="G1125" s="42" t="n">
        <v>4</v>
      </c>
      <c r="H1125" s="42" t="n">
        <v>31.3</v>
      </c>
      <c r="I1125" s="42" t="n">
        <v>0</v>
      </c>
      <c r="J1125" s="46" t="n">
        <f aca="false">IF(N(E1125)&gt;0,E1125,IF(N(F1125)&gt;0,F1125*요약!$F$27,0))</f>
        <v>129000</v>
      </c>
      <c r="K1125" s="46" t="n">
        <f aca="false">IF(N(F1125)&gt;0,F1125,IF(N(E1125)&gt;0,E1125/요약!$F$27,0))</f>
        <v>29400</v>
      </c>
      <c r="L1125" s="46" t="n">
        <f aca="false">IF(B1125="CN",IF(N(I1125)&gt;0,I1125*요약!$G$27,K1125*(1+요약!$E$27)),IF(N(H1125)&gt;0,H1125*요약!$G$27,J1125*요약!$D$27))</f>
        <v>41316</v>
      </c>
      <c r="M1125" s="46" t="n">
        <f aca="false">D1125*J1125</f>
        <v>36765000</v>
      </c>
      <c r="N1125" s="46" t="n">
        <f aca="false">D1125*K1125</f>
        <v>8379000</v>
      </c>
      <c r="O1125" s="46" t="n">
        <f aca="false">D1125*L1125</f>
        <v>11775060</v>
      </c>
      <c r="P1125" s="42" t="str">
        <f aca="false">TRIM(IF(N(E1125)&lt;=0,"택가보정 ","")&amp;IF(N(F1125)&lt;=0,"원가보정 ","")&amp;IF(AND(B1125&lt;&gt;"CN",N(H1125)&lt;=0),"공급가보정 ","")&amp;IF(AND(B1125="CN",N(I1125)&lt;=0),"중국공급가=원가+마진 ",""))</f>
        <v/>
      </c>
      <c r="Q1125" s="47" t="n">
        <f aca="false">IF(SUMIFS($W:$W,$A:$A,A1125,$C:$C,C1125)=0,0,SUMIFS(RAW_판매펀칭!$K:$K,RAW_판매펀칭!$P:$P,A1125,RAW_판매펀칭!$I:$I,C1125)*W1125/SUMIFS($W:$W,$A:$A,A1125,$C:$C,C1125))</f>
        <v>285</v>
      </c>
      <c r="R1125" s="47" t="n">
        <f aca="false">IF(OR(A1125="500",A1125="800",A1125="810"),0,MAX(W1125-Q1125,0))</f>
        <v>0</v>
      </c>
      <c r="S1125" s="47" t="n">
        <f aca="false">R1125*L1125</f>
        <v>0</v>
      </c>
      <c r="T1125" s="47" t="n">
        <f aca="false">R1125*J1125</f>
        <v>0</v>
      </c>
      <c r="U1125" s="47" t="n">
        <f aca="false">R1125*K1125</f>
        <v>0</v>
      </c>
      <c r="V1125" s="0" t="str">
        <f aca="false">IF(COUNTIFS($A$2:A1125,A1125,$C$2:C1125,C1125,$D$2:D1125,D1125)&gt;1,"중복","")</f>
        <v/>
      </c>
      <c r="W1125" s="0" t="n">
        <f aca="false">IF(V1125="중복",0,N(D1125))</f>
        <v>285</v>
      </c>
      <c r="X1125" s="0" t="n">
        <f aca="false">IF(COUNTIFS($A$2:A1125,A1125,$C$2:C1125,C1125)=1,ABS(SUMIFS(RAW_발주!$D:$D,RAW_발주!$C:$C,A1125,RAW_발주!$A:$A,C1125)-SUMIFS($W:$W,$A:$A,A1125,$C:$C,C1125)),0)</f>
        <v>0</v>
      </c>
    </row>
    <row r="1126" customFormat="false" ht="15" hidden="false" customHeight="true" outlineLevel="0" collapsed="false">
      <c r="A1126" s="45" t="s">
        <v>1663</v>
      </c>
      <c r="B1126" s="42" t="str">
        <f aca="false">IF(A1126="100","HK",IF(A1126="200","CN",IF(A1126="300","TW","홀세일")))</f>
        <v>홀세일</v>
      </c>
      <c r="C1126" s="45" t="s">
        <v>930</v>
      </c>
      <c r="D1126" s="46" t="n">
        <v>40</v>
      </c>
      <c r="E1126" s="46" t="n">
        <v>129000</v>
      </c>
      <c r="F1126" s="46" t="n">
        <v>29400</v>
      </c>
      <c r="G1126" s="42" t="n">
        <v>4</v>
      </c>
      <c r="H1126" s="42" t="n">
        <v>31.3</v>
      </c>
      <c r="I1126" s="42" t="n">
        <v>0</v>
      </c>
      <c r="J1126" s="46" t="n">
        <f aca="false">IF(N(E1126)&gt;0,E1126,IF(N(F1126)&gt;0,F1126*요약!$F$27,0))</f>
        <v>129000</v>
      </c>
      <c r="K1126" s="46" t="n">
        <f aca="false">IF(N(F1126)&gt;0,F1126,IF(N(E1126)&gt;0,E1126/요약!$F$27,0))</f>
        <v>29400</v>
      </c>
      <c r="L1126" s="46" t="n">
        <f aca="false">IF(B1126="CN",IF(N(I1126)&gt;0,I1126*요약!$G$27,K1126*(1+요약!$E$27)),IF(N(H1126)&gt;0,H1126*요약!$G$27,J1126*요약!$D$27))</f>
        <v>41316</v>
      </c>
      <c r="M1126" s="46" t="n">
        <f aca="false">D1126*J1126</f>
        <v>5160000</v>
      </c>
      <c r="N1126" s="46" t="n">
        <f aca="false">D1126*K1126</f>
        <v>1176000</v>
      </c>
      <c r="O1126" s="46" t="n">
        <f aca="false">D1126*L1126</f>
        <v>1652640</v>
      </c>
      <c r="P1126" s="42" t="str">
        <f aca="false">TRIM(IF(N(E1126)&lt;=0,"택가보정 ","")&amp;IF(N(F1126)&lt;=0,"원가보정 ","")&amp;IF(AND(B1126&lt;&gt;"CN",N(H1126)&lt;=0),"공급가보정 ","")&amp;IF(AND(B1126="CN",N(I1126)&lt;=0),"중국공급가=원가+마진 ",""))</f>
        <v/>
      </c>
      <c r="Q1126" s="47" t="n">
        <f aca="false">IF(SUMIFS($W:$W,$A:$A,A1126,$C:$C,C1126)=0,0,SUMIFS(RAW_판매펀칭!$K:$K,RAW_판매펀칭!$P:$P,A1126,RAW_판매펀칭!$I:$I,C1126)*W1126/SUMIFS($W:$W,$A:$A,A1126,$C:$C,C1126))</f>
        <v>40</v>
      </c>
      <c r="R1126" s="47" t="n">
        <f aca="false">IF(OR(A1126="500",A1126="800",A1126="810"),0,MAX(W1126-Q1126,0))</f>
        <v>0</v>
      </c>
      <c r="S1126" s="47" t="n">
        <f aca="false">R1126*L1126</f>
        <v>0</v>
      </c>
      <c r="T1126" s="47" t="n">
        <f aca="false">R1126*J1126</f>
        <v>0</v>
      </c>
      <c r="U1126" s="47" t="n">
        <f aca="false">R1126*K1126</f>
        <v>0</v>
      </c>
      <c r="V1126" s="0" t="str">
        <f aca="false">IF(COUNTIFS($A$2:A1126,A1126,$C$2:C1126,C1126,$D$2:D1126,D1126)&gt;1,"중복","")</f>
        <v/>
      </c>
      <c r="W1126" s="0" t="n">
        <f aca="false">IF(V1126="중복",0,N(D1126))</f>
        <v>40</v>
      </c>
      <c r="X1126" s="0" t="n">
        <f aca="false">IF(COUNTIFS($A$2:A1126,A1126,$C$2:C1126,C1126)=1,ABS(SUMIFS(RAW_발주!$D:$D,RAW_발주!$C:$C,A1126,RAW_발주!$A:$A,C1126)-SUMIFS($W:$W,$A:$A,A1126,$C:$C,C1126)),0)</f>
        <v>0</v>
      </c>
    </row>
    <row r="1127" customFormat="false" ht="15" hidden="false" customHeight="true" outlineLevel="0" collapsed="false">
      <c r="A1127" s="45" t="s">
        <v>1661</v>
      </c>
      <c r="B1127" s="42" t="str">
        <f aca="false">IF(A1127="100","HK",IF(A1127="200","CN",IF(A1127="300","TW","홀세일")))</f>
        <v>TW</v>
      </c>
      <c r="C1127" s="45" t="s">
        <v>529</v>
      </c>
      <c r="D1127" s="46" t="n">
        <v>100</v>
      </c>
      <c r="E1127" s="46" t="n">
        <v>159000</v>
      </c>
      <c r="F1127" s="46" t="n">
        <v>39400</v>
      </c>
      <c r="G1127" s="42" t="n">
        <v>3.82</v>
      </c>
      <c r="H1127" s="42" t="n">
        <v>37.4</v>
      </c>
      <c r="I1127" s="42" t="n">
        <v>0</v>
      </c>
      <c r="J1127" s="46" t="n">
        <f aca="false">IF(N(E1127)&gt;0,E1127,IF(N(F1127)&gt;0,F1127*요약!$F$27,0))</f>
        <v>159000</v>
      </c>
      <c r="K1127" s="46" t="n">
        <f aca="false">IF(N(F1127)&gt;0,F1127,IF(N(E1127)&gt;0,E1127/요약!$F$27,0))</f>
        <v>39400</v>
      </c>
      <c r="L1127" s="46" t="n">
        <f aca="false">IF(B1127="CN",IF(N(I1127)&gt;0,I1127*요약!$G$27,K1127*(1+요약!$E$27)),IF(N(H1127)&gt;0,H1127*요약!$G$27,J1127*요약!$D$27))</f>
        <v>49368</v>
      </c>
      <c r="M1127" s="46" t="n">
        <f aca="false">D1127*J1127</f>
        <v>15900000</v>
      </c>
      <c r="N1127" s="46" t="n">
        <f aca="false">D1127*K1127</f>
        <v>3940000</v>
      </c>
      <c r="O1127" s="46" t="n">
        <f aca="false">D1127*L1127</f>
        <v>4936800</v>
      </c>
      <c r="P1127" s="42" t="str">
        <f aca="false">TRIM(IF(N(E1127)&lt;=0,"택가보정 ","")&amp;IF(N(F1127)&lt;=0,"원가보정 ","")&amp;IF(AND(B1127&lt;&gt;"CN",N(H1127)&lt;=0),"공급가보정 ","")&amp;IF(AND(B1127="CN",N(I1127)&lt;=0),"중국공급가=원가+마진 ",""))</f>
        <v/>
      </c>
      <c r="Q1127" s="47" t="n">
        <f aca="false">IF(SUMIFS($W:$W,$A:$A,A1127,$C:$C,C1127)=0,0,SUMIFS(RAW_판매펀칭!$K:$K,RAW_판매펀칭!$P:$P,A1127,RAW_판매펀칭!$I:$I,C1127)*W1127/SUMIFS($W:$W,$A:$A,A1127,$C:$C,C1127))</f>
        <v>100</v>
      </c>
      <c r="R1127" s="47" t="n">
        <f aca="false">IF(OR(A1127="500",A1127="800",A1127="810"),0,MAX(W1127-Q1127,0))</f>
        <v>0</v>
      </c>
      <c r="S1127" s="47" t="n">
        <f aca="false">R1127*L1127</f>
        <v>0</v>
      </c>
      <c r="T1127" s="47" t="n">
        <f aca="false">R1127*J1127</f>
        <v>0</v>
      </c>
      <c r="U1127" s="47" t="n">
        <f aca="false">R1127*K1127</f>
        <v>0</v>
      </c>
      <c r="V1127" s="0" t="str">
        <f aca="false">IF(COUNTIFS($A$2:A1127,A1127,$C$2:C1127,C1127,$D$2:D1127,D1127)&gt;1,"중복","")</f>
        <v/>
      </c>
      <c r="W1127" s="0" t="n">
        <f aca="false">IF(V1127="중복",0,N(D1127))</f>
        <v>100</v>
      </c>
      <c r="X1127" s="0" t="n">
        <f aca="false">IF(COUNTIFS($A$2:A1127,A1127,$C$2:C1127,C1127)=1,ABS(SUMIFS(RAW_발주!$D:$D,RAW_발주!$C:$C,A1127,RAW_발주!$A:$A,C1127)-SUMIFS($W:$W,$A:$A,A1127,$C:$C,C1127)),0)</f>
        <v>0</v>
      </c>
    </row>
    <row r="1128" customFormat="false" ht="15" hidden="false" customHeight="true" outlineLevel="0" collapsed="false">
      <c r="A1128" s="45" t="s">
        <v>1664</v>
      </c>
      <c r="B1128" s="42" t="str">
        <f aca="false">IF(A1128="100","HK",IF(A1128="200","CN",IF(A1128="300","TW","홀세일")))</f>
        <v>홀세일</v>
      </c>
      <c r="C1128" s="45" t="s">
        <v>529</v>
      </c>
      <c r="D1128" s="46" t="n">
        <v>70</v>
      </c>
      <c r="E1128" s="46" t="n">
        <v>159000</v>
      </c>
      <c r="F1128" s="46" t="n">
        <v>39400</v>
      </c>
      <c r="G1128" s="42" t="n">
        <v>3.82</v>
      </c>
      <c r="H1128" s="42" t="n">
        <v>37.4</v>
      </c>
      <c r="I1128" s="42" t="n">
        <v>0</v>
      </c>
      <c r="J1128" s="46" t="n">
        <f aca="false">IF(N(E1128)&gt;0,E1128,IF(N(F1128)&gt;0,F1128*요약!$F$27,0))</f>
        <v>159000</v>
      </c>
      <c r="K1128" s="46" t="n">
        <f aca="false">IF(N(F1128)&gt;0,F1128,IF(N(E1128)&gt;0,E1128/요약!$F$27,0))</f>
        <v>39400</v>
      </c>
      <c r="L1128" s="46" t="n">
        <f aca="false">IF(B1128="CN",IF(N(I1128)&gt;0,I1128*요약!$G$27,K1128*(1+요약!$E$27)),IF(N(H1128)&gt;0,H1128*요약!$G$27,J1128*요약!$D$27))</f>
        <v>49368</v>
      </c>
      <c r="M1128" s="46" t="n">
        <f aca="false">D1128*J1128</f>
        <v>11130000</v>
      </c>
      <c r="N1128" s="46" t="n">
        <f aca="false">D1128*K1128</f>
        <v>2758000</v>
      </c>
      <c r="O1128" s="46" t="n">
        <f aca="false">D1128*L1128</f>
        <v>3455760</v>
      </c>
      <c r="P1128" s="42" t="str">
        <f aca="false">TRIM(IF(N(E1128)&lt;=0,"택가보정 ","")&amp;IF(N(F1128)&lt;=0,"원가보정 ","")&amp;IF(AND(B1128&lt;&gt;"CN",N(H1128)&lt;=0),"공급가보정 ","")&amp;IF(AND(B1128="CN",N(I1128)&lt;=0),"중국공급가=원가+마진 ",""))</f>
        <v/>
      </c>
      <c r="Q1128" s="47" t="n">
        <f aca="false">IF(SUMIFS($W:$W,$A:$A,A1128,$C:$C,C1128)=0,0,SUMIFS(RAW_판매펀칭!$K:$K,RAW_판매펀칭!$P:$P,A1128,RAW_판매펀칭!$I:$I,C1128)*W1128/SUMIFS($W:$W,$A:$A,A1128,$C:$C,C1128))</f>
        <v>0</v>
      </c>
      <c r="R1128" s="47" t="n">
        <f aca="false">IF(OR(A1128="500",A1128="800",A1128="810"),0,MAX(W1128-Q1128,0))</f>
        <v>0</v>
      </c>
      <c r="S1128" s="47" t="n">
        <f aca="false">R1128*L1128</f>
        <v>0</v>
      </c>
      <c r="T1128" s="47" t="n">
        <f aca="false">R1128*J1128</f>
        <v>0</v>
      </c>
      <c r="U1128" s="47" t="n">
        <f aca="false">R1128*K1128</f>
        <v>0</v>
      </c>
      <c r="V1128" s="0" t="str">
        <f aca="false">IF(COUNTIFS($A$2:A1128,A1128,$C$2:C1128,C1128,$D$2:D1128,D1128)&gt;1,"중복","")</f>
        <v/>
      </c>
      <c r="W1128" s="0" t="n">
        <f aca="false">IF(V1128="중복",0,N(D1128))</f>
        <v>70</v>
      </c>
      <c r="X1128" s="0" t="n">
        <f aca="false">IF(COUNTIFS($A$2:A1128,A1128,$C$2:C1128,C1128)=1,ABS(SUMIFS(RAW_발주!$D:$D,RAW_발주!$C:$C,A1128,RAW_발주!$A:$A,C1128)-SUMIFS($W:$W,$A:$A,A1128,$C:$C,C1128)),0)</f>
        <v>0</v>
      </c>
    </row>
    <row r="1129" customFormat="false" ht="15" hidden="false" customHeight="true" outlineLevel="0" collapsed="false">
      <c r="A1129" s="45" t="s">
        <v>1661</v>
      </c>
      <c r="B1129" s="42" t="str">
        <f aca="false">IF(A1129="100","HK",IF(A1129="200","CN",IF(A1129="300","TW","홀세일")))</f>
        <v>TW</v>
      </c>
      <c r="C1129" s="45" t="s">
        <v>531</v>
      </c>
      <c r="D1129" s="46" t="n">
        <v>60</v>
      </c>
      <c r="E1129" s="46" t="n">
        <v>149000</v>
      </c>
      <c r="F1129" s="46" t="n">
        <v>39100</v>
      </c>
      <c r="G1129" s="42" t="n">
        <v>3.79</v>
      </c>
      <c r="H1129" s="42" t="n">
        <v>35.1</v>
      </c>
      <c r="I1129" s="42" t="n">
        <v>0</v>
      </c>
      <c r="J1129" s="46" t="n">
        <f aca="false">IF(N(E1129)&gt;0,E1129,IF(N(F1129)&gt;0,F1129*요약!$F$27,0))</f>
        <v>149000</v>
      </c>
      <c r="K1129" s="46" t="n">
        <f aca="false">IF(N(F1129)&gt;0,F1129,IF(N(E1129)&gt;0,E1129/요약!$F$27,0))</f>
        <v>39100</v>
      </c>
      <c r="L1129" s="46" t="n">
        <f aca="false">IF(B1129="CN",IF(N(I1129)&gt;0,I1129*요약!$G$27,K1129*(1+요약!$E$27)),IF(N(H1129)&gt;0,H1129*요약!$G$27,J1129*요약!$D$27))</f>
        <v>46332</v>
      </c>
      <c r="M1129" s="46" t="n">
        <f aca="false">D1129*J1129</f>
        <v>8940000</v>
      </c>
      <c r="N1129" s="46" t="n">
        <f aca="false">D1129*K1129</f>
        <v>2346000</v>
      </c>
      <c r="O1129" s="46" t="n">
        <f aca="false">D1129*L1129</f>
        <v>2779920</v>
      </c>
      <c r="P1129" s="42" t="str">
        <f aca="false">TRIM(IF(N(E1129)&lt;=0,"택가보정 ","")&amp;IF(N(F1129)&lt;=0,"원가보정 ","")&amp;IF(AND(B1129&lt;&gt;"CN",N(H1129)&lt;=0),"공급가보정 ","")&amp;IF(AND(B1129="CN",N(I1129)&lt;=0),"중국공급가=원가+마진 ",""))</f>
        <v/>
      </c>
      <c r="Q1129" s="47" t="n">
        <f aca="false">IF(SUMIFS($W:$W,$A:$A,A1129,$C:$C,C1129)=0,0,SUMIFS(RAW_판매펀칭!$K:$K,RAW_판매펀칭!$P:$P,A1129,RAW_판매펀칭!$I:$I,C1129)*W1129/SUMIFS($W:$W,$A:$A,A1129,$C:$C,C1129))</f>
        <v>60</v>
      </c>
      <c r="R1129" s="47" t="n">
        <f aca="false">IF(OR(A1129="500",A1129="800",A1129="810"),0,MAX(W1129-Q1129,0))</f>
        <v>0</v>
      </c>
      <c r="S1129" s="47" t="n">
        <f aca="false">R1129*L1129</f>
        <v>0</v>
      </c>
      <c r="T1129" s="47" t="n">
        <f aca="false">R1129*J1129</f>
        <v>0</v>
      </c>
      <c r="U1129" s="47" t="n">
        <f aca="false">R1129*K1129</f>
        <v>0</v>
      </c>
      <c r="V1129" s="0" t="str">
        <f aca="false">IF(COUNTIFS($A$2:A1129,A1129,$C$2:C1129,C1129,$D$2:D1129,D1129)&gt;1,"중복","")</f>
        <v/>
      </c>
      <c r="W1129" s="0" t="n">
        <f aca="false">IF(V1129="중복",0,N(D1129))</f>
        <v>60</v>
      </c>
      <c r="X1129" s="0" t="n">
        <f aca="false">IF(COUNTIFS($A$2:A1129,A1129,$C$2:C1129,C1129)=1,ABS(SUMIFS(RAW_발주!$D:$D,RAW_발주!$C:$C,A1129,RAW_발주!$A:$A,C1129)-SUMIFS($W:$W,$A:$A,A1129,$C:$C,C1129)),0)</f>
        <v>0</v>
      </c>
    </row>
    <row r="1130" customFormat="false" ht="15" hidden="false" customHeight="true" outlineLevel="0" collapsed="false">
      <c r="A1130" s="45" t="s">
        <v>1663</v>
      </c>
      <c r="B1130" s="42" t="str">
        <f aca="false">IF(A1130="100","HK",IF(A1130="200","CN",IF(A1130="300","TW","홀세일")))</f>
        <v>홀세일</v>
      </c>
      <c r="C1130" s="45" t="s">
        <v>531</v>
      </c>
      <c r="D1130" s="46" t="n">
        <v>30</v>
      </c>
      <c r="E1130" s="46" t="n">
        <v>149000</v>
      </c>
      <c r="F1130" s="46" t="n">
        <v>39100</v>
      </c>
      <c r="G1130" s="42" t="n">
        <v>3.79</v>
      </c>
      <c r="H1130" s="42" t="n">
        <v>35.1</v>
      </c>
      <c r="I1130" s="42" t="n">
        <v>0</v>
      </c>
      <c r="J1130" s="46" t="n">
        <f aca="false">IF(N(E1130)&gt;0,E1130,IF(N(F1130)&gt;0,F1130*요약!$F$27,0))</f>
        <v>149000</v>
      </c>
      <c r="K1130" s="46" t="n">
        <f aca="false">IF(N(F1130)&gt;0,F1130,IF(N(E1130)&gt;0,E1130/요약!$F$27,0))</f>
        <v>39100</v>
      </c>
      <c r="L1130" s="46" t="n">
        <f aca="false">IF(B1130="CN",IF(N(I1130)&gt;0,I1130*요약!$G$27,K1130*(1+요약!$E$27)),IF(N(H1130)&gt;0,H1130*요약!$G$27,J1130*요약!$D$27))</f>
        <v>46332</v>
      </c>
      <c r="M1130" s="46" t="n">
        <f aca="false">D1130*J1130</f>
        <v>4470000</v>
      </c>
      <c r="N1130" s="46" t="n">
        <f aca="false">D1130*K1130</f>
        <v>1173000</v>
      </c>
      <c r="O1130" s="46" t="n">
        <f aca="false">D1130*L1130</f>
        <v>1389960</v>
      </c>
      <c r="P1130" s="42" t="str">
        <f aca="false">TRIM(IF(N(E1130)&lt;=0,"택가보정 ","")&amp;IF(N(F1130)&lt;=0,"원가보정 ","")&amp;IF(AND(B1130&lt;&gt;"CN",N(H1130)&lt;=0),"공급가보정 ","")&amp;IF(AND(B1130="CN",N(I1130)&lt;=0),"중국공급가=원가+마진 ",""))</f>
        <v/>
      </c>
      <c r="Q1130" s="47" t="n">
        <f aca="false">IF(SUMIFS($W:$W,$A:$A,A1130,$C:$C,C1130)=0,0,SUMIFS(RAW_판매펀칭!$K:$K,RAW_판매펀칭!$P:$P,A1130,RAW_판매펀칭!$I:$I,C1130)*W1130/SUMIFS($W:$W,$A:$A,A1130,$C:$C,C1130))</f>
        <v>30</v>
      </c>
      <c r="R1130" s="47" t="n">
        <f aca="false">IF(OR(A1130="500",A1130="800",A1130="810"),0,MAX(W1130-Q1130,0))</f>
        <v>0</v>
      </c>
      <c r="S1130" s="47" t="n">
        <f aca="false">R1130*L1130</f>
        <v>0</v>
      </c>
      <c r="T1130" s="47" t="n">
        <f aca="false">R1130*J1130</f>
        <v>0</v>
      </c>
      <c r="U1130" s="47" t="n">
        <f aca="false">R1130*K1130</f>
        <v>0</v>
      </c>
      <c r="V1130" s="0" t="str">
        <f aca="false">IF(COUNTIFS($A$2:A1130,A1130,$C$2:C1130,C1130,$D$2:D1130,D1130)&gt;1,"중복","")</f>
        <v/>
      </c>
      <c r="W1130" s="0" t="n">
        <f aca="false">IF(V1130="중복",0,N(D1130))</f>
        <v>30</v>
      </c>
      <c r="X1130" s="0" t="n">
        <f aca="false">IF(COUNTIFS($A$2:A1130,A1130,$C$2:C1130,C1130)=1,ABS(SUMIFS(RAW_발주!$D:$D,RAW_발주!$C:$C,A1130,RAW_발주!$A:$A,C1130)-SUMIFS($W:$W,$A:$A,A1130,$C:$C,C1130)),0)</f>
        <v>0</v>
      </c>
    </row>
    <row r="1131" customFormat="false" ht="15" hidden="false" customHeight="true" outlineLevel="0" collapsed="false">
      <c r="A1131" s="45" t="s">
        <v>1664</v>
      </c>
      <c r="B1131" s="42" t="str">
        <f aca="false">IF(A1131="100","HK",IF(A1131="200","CN",IF(A1131="300","TW","홀세일")))</f>
        <v>홀세일</v>
      </c>
      <c r="C1131" s="45" t="s">
        <v>531</v>
      </c>
      <c r="D1131" s="46" t="n">
        <v>70</v>
      </c>
      <c r="E1131" s="46" t="n">
        <v>149000</v>
      </c>
      <c r="F1131" s="46" t="n">
        <v>39100</v>
      </c>
      <c r="G1131" s="42" t="n">
        <v>3.79</v>
      </c>
      <c r="H1131" s="42" t="n">
        <v>35.1</v>
      </c>
      <c r="I1131" s="42" t="n">
        <v>0</v>
      </c>
      <c r="J1131" s="46" t="n">
        <f aca="false">IF(N(E1131)&gt;0,E1131,IF(N(F1131)&gt;0,F1131*요약!$F$27,0))</f>
        <v>149000</v>
      </c>
      <c r="K1131" s="46" t="n">
        <f aca="false">IF(N(F1131)&gt;0,F1131,IF(N(E1131)&gt;0,E1131/요약!$F$27,0))</f>
        <v>39100</v>
      </c>
      <c r="L1131" s="46" t="n">
        <f aca="false">IF(B1131="CN",IF(N(I1131)&gt;0,I1131*요약!$G$27,K1131*(1+요약!$E$27)),IF(N(H1131)&gt;0,H1131*요약!$G$27,J1131*요약!$D$27))</f>
        <v>46332</v>
      </c>
      <c r="M1131" s="46" t="n">
        <f aca="false">D1131*J1131</f>
        <v>10430000</v>
      </c>
      <c r="N1131" s="46" t="n">
        <f aca="false">D1131*K1131</f>
        <v>2737000</v>
      </c>
      <c r="O1131" s="46" t="n">
        <f aca="false">D1131*L1131</f>
        <v>3243240</v>
      </c>
      <c r="P1131" s="42" t="str">
        <f aca="false">TRIM(IF(N(E1131)&lt;=0,"택가보정 ","")&amp;IF(N(F1131)&lt;=0,"원가보정 ","")&amp;IF(AND(B1131&lt;&gt;"CN",N(H1131)&lt;=0),"공급가보정 ","")&amp;IF(AND(B1131="CN",N(I1131)&lt;=0),"중국공급가=원가+마진 ",""))</f>
        <v/>
      </c>
      <c r="Q1131" s="47" t="n">
        <f aca="false">IF(SUMIFS($W:$W,$A:$A,A1131,$C:$C,C1131)=0,0,SUMIFS(RAW_판매펀칭!$K:$K,RAW_판매펀칭!$P:$P,A1131,RAW_판매펀칭!$I:$I,C1131)*W1131/SUMIFS($W:$W,$A:$A,A1131,$C:$C,C1131))</f>
        <v>0</v>
      </c>
      <c r="R1131" s="47" t="n">
        <f aca="false">IF(OR(A1131="500",A1131="800",A1131="810"),0,MAX(W1131-Q1131,0))</f>
        <v>0</v>
      </c>
      <c r="S1131" s="47" t="n">
        <f aca="false">R1131*L1131</f>
        <v>0</v>
      </c>
      <c r="T1131" s="47" t="n">
        <f aca="false">R1131*J1131</f>
        <v>0</v>
      </c>
      <c r="U1131" s="47" t="n">
        <f aca="false">R1131*K1131</f>
        <v>0</v>
      </c>
      <c r="V1131" s="0" t="str">
        <f aca="false">IF(COUNTIFS($A$2:A1131,A1131,$C$2:C1131,C1131,$D$2:D1131,D1131)&gt;1,"중복","")</f>
        <v/>
      </c>
      <c r="W1131" s="0" t="n">
        <f aca="false">IF(V1131="중복",0,N(D1131))</f>
        <v>70</v>
      </c>
      <c r="X1131" s="0" t="n">
        <f aca="false">IF(COUNTIFS($A$2:A1131,A1131,$C$2:C1131,C1131)=1,ABS(SUMIFS(RAW_발주!$D:$D,RAW_발주!$C:$C,A1131,RAW_발주!$A:$A,C1131)-SUMIFS($W:$W,$A:$A,A1131,$C:$C,C1131)),0)</f>
        <v>0</v>
      </c>
    </row>
    <row r="1132" customFormat="false" ht="15" hidden="false" customHeight="true" outlineLevel="0" collapsed="false">
      <c r="A1132" s="45" t="s">
        <v>1659</v>
      </c>
      <c r="B1132" s="42" t="str">
        <f aca="false">IF(A1132="100","HK",IF(A1132="200","CN",IF(A1132="300","TW","홀세일")))</f>
        <v>HK</v>
      </c>
      <c r="C1132" s="45" t="s">
        <v>533</v>
      </c>
      <c r="D1132" s="46" t="n">
        <v>500</v>
      </c>
      <c r="E1132" s="46" t="n">
        <v>89000</v>
      </c>
      <c r="F1132" s="46" t="n">
        <v>18200</v>
      </c>
      <c r="G1132" s="42" t="n">
        <v>4.33</v>
      </c>
      <c r="H1132" s="42" t="n">
        <v>21</v>
      </c>
      <c r="I1132" s="42" t="n">
        <v>0</v>
      </c>
      <c r="J1132" s="46" t="n">
        <f aca="false">IF(N(E1132)&gt;0,E1132,IF(N(F1132)&gt;0,F1132*요약!$F$27,0))</f>
        <v>89000</v>
      </c>
      <c r="K1132" s="46" t="n">
        <f aca="false">IF(N(F1132)&gt;0,F1132,IF(N(E1132)&gt;0,E1132/요약!$F$27,0))</f>
        <v>18200</v>
      </c>
      <c r="L1132" s="46" t="n">
        <f aca="false">IF(B1132="CN",IF(N(I1132)&gt;0,I1132*요약!$G$27,K1132*(1+요약!$E$27)),IF(N(H1132)&gt;0,H1132*요약!$G$27,J1132*요약!$D$27))</f>
        <v>27720</v>
      </c>
      <c r="M1132" s="46" t="n">
        <f aca="false">D1132*J1132</f>
        <v>44500000</v>
      </c>
      <c r="N1132" s="46" t="n">
        <f aca="false">D1132*K1132</f>
        <v>9100000</v>
      </c>
      <c r="O1132" s="46" t="n">
        <f aca="false">D1132*L1132</f>
        <v>13860000</v>
      </c>
      <c r="P1132" s="42" t="str">
        <f aca="false">TRIM(IF(N(E1132)&lt;=0,"택가보정 ","")&amp;IF(N(F1132)&lt;=0,"원가보정 ","")&amp;IF(AND(B1132&lt;&gt;"CN",N(H1132)&lt;=0),"공급가보정 ","")&amp;IF(AND(B1132="CN",N(I1132)&lt;=0),"중국공급가=원가+마진 ",""))</f>
        <v/>
      </c>
      <c r="Q1132" s="47" t="n">
        <f aca="false">IF(SUMIFS($W:$W,$A:$A,A1132,$C:$C,C1132)=0,0,SUMIFS(RAW_판매펀칭!$K:$K,RAW_판매펀칭!$P:$P,A1132,RAW_판매펀칭!$I:$I,C1132)*W1132/SUMIFS($W:$W,$A:$A,A1132,$C:$C,C1132))</f>
        <v>500</v>
      </c>
      <c r="R1132" s="47" t="n">
        <f aca="false">IF(OR(A1132="500",A1132="800",A1132="810"),0,MAX(W1132-Q1132,0))</f>
        <v>0</v>
      </c>
      <c r="S1132" s="47" t="n">
        <f aca="false">R1132*L1132</f>
        <v>0</v>
      </c>
      <c r="T1132" s="47" t="n">
        <f aca="false">R1132*J1132</f>
        <v>0</v>
      </c>
      <c r="U1132" s="47" t="n">
        <f aca="false">R1132*K1132</f>
        <v>0</v>
      </c>
      <c r="V1132" s="0" t="str">
        <f aca="false">IF(COUNTIFS($A$2:A1132,A1132,$C$2:C1132,C1132,$D$2:D1132,D1132)&gt;1,"중복","")</f>
        <v/>
      </c>
      <c r="W1132" s="0" t="n">
        <f aca="false">IF(V1132="중복",0,N(D1132))</f>
        <v>500</v>
      </c>
      <c r="X1132" s="0" t="n">
        <f aca="false">IF(COUNTIFS($A$2:A1132,A1132,$C$2:C1132,C1132)=1,ABS(SUMIFS(RAW_발주!$D:$D,RAW_발주!$C:$C,A1132,RAW_발주!$A:$A,C1132)-SUMIFS($W:$W,$A:$A,A1132,$C:$C,C1132)),0)</f>
        <v>0</v>
      </c>
    </row>
    <row r="1133" customFormat="false" ht="15" hidden="false" customHeight="true" outlineLevel="0" collapsed="false">
      <c r="A1133" s="45" t="s">
        <v>1661</v>
      </c>
      <c r="B1133" s="42" t="str">
        <f aca="false">IF(A1133="100","HK",IF(A1133="200","CN",IF(A1133="300","TW","홀세일")))</f>
        <v>TW</v>
      </c>
      <c r="C1133" s="45" t="s">
        <v>533</v>
      </c>
      <c r="D1133" s="46" t="n">
        <v>850</v>
      </c>
      <c r="E1133" s="46" t="n">
        <v>89000</v>
      </c>
      <c r="F1133" s="46" t="n">
        <v>18200</v>
      </c>
      <c r="G1133" s="42" t="n">
        <v>4.33</v>
      </c>
      <c r="H1133" s="42" t="n">
        <v>21</v>
      </c>
      <c r="I1133" s="42" t="n">
        <v>0</v>
      </c>
      <c r="J1133" s="46" t="n">
        <f aca="false">IF(N(E1133)&gt;0,E1133,IF(N(F1133)&gt;0,F1133*요약!$F$27,0))</f>
        <v>89000</v>
      </c>
      <c r="K1133" s="46" t="n">
        <f aca="false">IF(N(F1133)&gt;0,F1133,IF(N(E1133)&gt;0,E1133/요약!$F$27,0))</f>
        <v>18200</v>
      </c>
      <c r="L1133" s="46" t="n">
        <f aca="false">IF(B1133="CN",IF(N(I1133)&gt;0,I1133*요약!$G$27,K1133*(1+요약!$E$27)),IF(N(H1133)&gt;0,H1133*요약!$G$27,J1133*요약!$D$27))</f>
        <v>27720</v>
      </c>
      <c r="M1133" s="46" t="n">
        <f aca="false">D1133*J1133</f>
        <v>75650000</v>
      </c>
      <c r="N1133" s="46" t="n">
        <f aca="false">D1133*K1133</f>
        <v>15470000</v>
      </c>
      <c r="O1133" s="46" t="n">
        <f aca="false">D1133*L1133</f>
        <v>23562000</v>
      </c>
      <c r="P1133" s="42" t="str">
        <f aca="false">TRIM(IF(N(E1133)&lt;=0,"택가보정 ","")&amp;IF(N(F1133)&lt;=0,"원가보정 ","")&amp;IF(AND(B1133&lt;&gt;"CN",N(H1133)&lt;=0),"공급가보정 ","")&amp;IF(AND(B1133="CN",N(I1133)&lt;=0),"중국공급가=원가+마진 ",""))</f>
        <v/>
      </c>
      <c r="Q1133" s="47" t="n">
        <f aca="false">IF(SUMIFS($W:$W,$A:$A,A1133,$C:$C,C1133)=0,0,SUMIFS(RAW_판매펀칭!$K:$K,RAW_판매펀칭!$P:$P,A1133,RAW_판매펀칭!$I:$I,C1133)*W1133/SUMIFS($W:$W,$A:$A,A1133,$C:$C,C1133))</f>
        <v>850</v>
      </c>
      <c r="R1133" s="47" t="n">
        <f aca="false">IF(OR(A1133="500",A1133="800",A1133="810"),0,MAX(W1133-Q1133,0))</f>
        <v>0</v>
      </c>
      <c r="S1133" s="47" t="n">
        <f aca="false">R1133*L1133</f>
        <v>0</v>
      </c>
      <c r="T1133" s="47" t="n">
        <f aca="false">R1133*J1133</f>
        <v>0</v>
      </c>
      <c r="U1133" s="47" t="n">
        <f aca="false">R1133*K1133</f>
        <v>0</v>
      </c>
      <c r="V1133" s="0" t="str">
        <f aca="false">IF(COUNTIFS($A$2:A1133,A1133,$C$2:C1133,C1133,$D$2:D1133,D1133)&gt;1,"중복","")</f>
        <v/>
      </c>
      <c r="W1133" s="0" t="n">
        <f aca="false">IF(V1133="중복",0,N(D1133))</f>
        <v>850</v>
      </c>
      <c r="X1133" s="0" t="n">
        <f aca="false">IF(COUNTIFS($A$2:A1133,A1133,$C$2:C1133,C1133)=1,ABS(SUMIFS(RAW_발주!$D:$D,RAW_발주!$C:$C,A1133,RAW_발주!$A:$A,C1133)-SUMIFS($W:$W,$A:$A,A1133,$C:$C,C1133)),0)</f>
        <v>0</v>
      </c>
    </row>
    <row r="1134" customFormat="false" ht="15" hidden="false" customHeight="true" outlineLevel="0" collapsed="false">
      <c r="A1134" s="45" t="s">
        <v>1667</v>
      </c>
      <c r="B1134" s="42" t="str">
        <f aca="false">IF(A1134="100","HK",IF(A1134="200","CN",IF(A1134="300","TW","홀세일")))</f>
        <v>홀세일</v>
      </c>
      <c r="C1134" s="45" t="s">
        <v>533</v>
      </c>
      <c r="D1134" s="46" t="n">
        <v>192</v>
      </c>
      <c r="E1134" s="46" t="n">
        <v>89000</v>
      </c>
      <c r="F1134" s="46" t="n">
        <v>18200</v>
      </c>
      <c r="G1134" s="42" t="n">
        <v>4.33</v>
      </c>
      <c r="H1134" s="42" t="n">
        <v>21</v>
      </c>
      <c r="I1134" s="42" t="n">
        <v>0</v>
      </c>
      <c r="J1134" s="46" t="n">
        <f aca="false">IF(N(E1134)&gt;0,E1134,IF(N(F1134)&gt;0,F1134*요약!$F$27,0))</f>
        <v>89000</v>
      </c>
      <c r="K1134" s="46" t="n">
        <f aca="false">IF(N(F1134)&gt;0,F1134,IF(N(E1134)&gt;0,E1134/요약!$F$27,0))</f>
        <v>18200</v>
      </c>
      <c r="L1134" s="46" t="n">
        <f aca="false">IF(B1134="CN",IF(N(I1134)&gt;0,I1134*요약!$G$27,K1134*(1+요약!$E$27)),IF(N(H1134)&gt;0,H1134*요약!$G$27,J1134*요약!$D$27))</f>
        <v>27720</v>
      </c>
      <c r="M1134" s="46" t="n">
        <f aca="false">D1134*J1134</f>
        <v>17088000</v>
      </c>
      <c r="N1134" s="46" t="n">
        <f aca="false">D1134*K1134</f>
        <v>3494400</v>
      </c>
      <c r="O1134" s="46" t="n">
        <f aca="false">D1134*L1134</f>
        <v>5322240</v>
      </c>
      <c r="P1134" s="42" t="str">
        <f aca="false">TRIM(IF(N(E1134)&lt;=0,"택가보정 ","")&amp;IF(N(F1134)&lt;=0,"원가보정 ","")&amp;IF(AND(B1134&lt;&gt;"CN",N(H1134)&lt;=0),"공급가보정 ","")&amp;IF(AND(B1134="CN",N(I1134)&lt;=0),"중국공급가=원가+마진 ",""))</f>
        <v/>
      </c>
      <c r="Q1134" s="47" t="n">
        <f aca="false">IF(SUMIFS($W:$W,$A:$A,A1134,$C:$C,C1134)=0,0,SUMIFS(RAW_판매펀칭!$K:$K,RAW_판매펀칭!$P:$P,A1134,RAW_판매펀칭!$I:$I,C1134)*W1134/SUMIFS($W:$W,$A:$A,A1134,$C:$C,C1134))</f>
        <v>0</v>
      </c>
      <c r="R1134" s="47" t="n">
        <f aca="false">IF(OR(A1134="500",A1134="800",A1134="810"),0,MAX(W1134-Q1134,0))</f>
        <v>192</v>
      </c>
      <c r="S1134" s="47" t="n">
        <f aca="false">R1134*L1134</f>
        <v>5322240</v>
      </c>
      <c r="T1134" s="47" t="n">
        <f aca="false">R1134*J1134</f>
        <v>17088000</v>
      </c>
      <c r="U1134" s="47" t="n">
        <f aca="false">R1134*K1134</f>
        <v>3494400</v>
      </c>
      <c r="V1134" s="0" t="str">
        <f aca="false">IF(COUNTIFS($A$2:A1134,A1134,$C$2:C1134,C1134,$D$2:D1134,D1134)&gt;1,"중복","")</f>
        <v/>
      </c>
      <c r="W1134" s="0" t="n">
        <f aca="false">IF(V1134="중복",0,N(D1134))</f>
        <v>192</v>
      </c>
      <c r="X1134" s="0" t="n">
        <f aca="false">IF(COUNTIFS($A$2:A1134,A1134,$C$2:C1134,C1134)=1,ABS(SUMIFS(RAW_발주!$D:$D,RAW_발주!$C:$C,A1134,RAW_발주!$A:$A,C1134)-SUMIFS($W:$W,$A:$A,A1134,$C:$C,C1134)),0)</f>
        <v>0</v>
      </c>
    </row>
    <row r="1135" customFormat="false" ht="15" hidden="false" customHeight="true" outlineLevel="0" collapsed="false">
      <c r="A1135" s="45" t="s">
        <v>1664</v>
      </c>
      <c r="B1135" s="42" t="str">
        <f aca="false">IF(A1135="100","HK",IF(A1135="200","CN",IF(A1135="300","TW","홀세일")))</f>
        <v>홀세일</v>
      </c>
      <c r="C1135" s="45" t="s">
        <v>533</v>
      </c>
      <c r="D1135" s="46" t="n">
        <v>105</v>
      </c>
      <c r="E1135" s="46" t="n">
        <v>89000</v>
      </c>
      <c r="F1135" s="46" t="n">
        <v>18200</v>
      </c>
      <c r="G1135" s="42" t="n">
        <v>4.33</v>
      </c>
      <c r="H1135" s="42" t="n">
        <v>21</v>
      </c>
      <c r="I1135" s="42" t="n">
        <v>0</v>
      </c>
      <c r="J1135" s="46" t="n">
        <f aca="false">IF(N(E1135)&gt;0,E1135,IF(N(F1135)&gt;0,F1135*요약!$F$27,0))</f>
        <v>89000</v>
      </c>
      <c r="K1135" s="46" t="n">
        <f aca="false">IF(N(F1135)&gt;0,F1135,IF(N(E1135)&gt;0,E1135/요약!$F$27,0))</f>
        <v>18200</v>
      </c>
      <c r="L1135" s="46" t="n">
        <f aca="false">IF(B1135="CN",IF(N(I1135)&gt;0,I1135*요약!$G$27,K1135*(1+요약!$E$27)),IF(N(H1135)&gt;0,H1135*요약!$G$27,J1135*요약!$D$27))</f>
        <v>27720</v>
      </c>
      <c r="M1135" s="46" t="n">
        <f aca="false">D1135*J1135</f>
        <v>9345000</v>
      </c>
      <c r="N1135" s="46" t="n">
        <f aca="false">D1135*K1135</f>
        <v>1911000</v>
      </c>
      <c r="O1135" s="46" t="n">
        <f aca="false">D1135*L1135</f>
        <v>2910600</v>
      </c>
      <c r="P1135" s="42" t="str">
        <f aca="false">TRIM(IF(N(E1135)&lt;=0,"택가보정 ","")&amp;IF(N(F1135)&lt;=0,"원가보정 ","")&amp;IF(AND(B1135&lt;&gt;"CN",N(H1135)&lt;=0),"공급가보정 ","")&amp;IF(AND(B1135="CN",N(I1135)&lt;=0),"중국공급가=원가+마진 ",""))</f>
        <v/>
      </c>
      <c r="Q1135" s="47" t="n">
        <f aca="false">IF(SUMIFS($W:$W,$A:$A,A1135,$C:$C,C1135)=0,0,SUMIFS(RAW_판매펀칭!$K:$K,RAW_판매펀칭!$P:$P,A1135,RAW_판매펀칭!$I:$I,C1135)*W1135/SUMIFS($W:$W,$A:$A,A1135,$C:$C,C1135))</f>
        <v>0</v>
      </c>
      <c r="R1135" s="47" t="n">
        <f aca="false">IF(OR(A1135="500",A1135="800",A1135="810"),0,MAX(W1135-Q1135,0))</f>
        <v>0</v>
      </c>
      <c r="S1135" s="47" t="n">
        <f aca="false">R1135*L1135</f>
        <v>0</v>
      </c>
      <c r="T1135" s="47" t="n">
        <f aca="false">R1135*J1135</f>
        <v>0</v>
      </c>
      <c r="U1135" s="47" t="n">
        <f aca="false">R1135*K1135</f>
        <v>0</v>
      </c>
      <c r="V1135" s="0" t="str">
        <f aca="false">IF(COUNTIFS($A$2:A1135,A1135,$C$2:C1135,C1135,$D$2:D1135,D1135)&gt;1,"중복","")</f>
        <v/>
      </c>
      <c r="W1135" s="0" t="n">
        <f aca="false">IF(V1135="중복",0,N(D1135))</f>
        <v>105</v>
      </c>
      <c r="X1135" s="0" t="n">
        <f aca="false">IF(COUNTIFS($A$2:A1135,A1135,$C$2:C1135,C1135)=1,ABS(SUMIFS(RAW_발주!$D:$D,RAW_발주!$C:$C,A1135,RAW_발주!$A:$A,C1135)-SUMIFS($W:$W,$A:$A,A1135,$C:$C,C1135)),0)</f>
        <v>0</v>
      </c>
    </row>
    <row r="1136" customFormat="false" ht="15" hidden="false" customHeight="true" outlineLevel="0" collapsed="false">
      <c r="A1136" s="45" t="s">
        <v>1659</v>
      </c>
      <c r="B1136" s="42" t="str">
        <f aca="false">IF(A1136="100","HK",IF(A1136="200","CN",IF(A1136="300","TW","홀세일")))</f>
        <v>HK</v>
      </c>
      <c r="C1136" s="45" t="s">
        <v>932</v>
      </c>
      <c r="D1136" s="46" t="n">
        <v>310</v>
      </c>
      <c r="E1136" s="46" t="n">
        <v>109000</v>
      </c>
      <c r="F1136" s="46" t="n">
        <v>21600</v>
      </c>
      <c r="G1136" s="42" t="n">
        <v>3.54</v>
      </c>
      <c r="H1136" s="42" t="n">
        <v>26.4</v>
      </c>
      <c r="I1136" s="42" t="n">
        <v>0</v>
      </c>
      <c r="J1136" s="46" t="n">
        <f aca="false">IF(N(E1136)&gt;0,E1136,IF(N(F1136)&gt;0,F1136*요약!$F$27,0))</f>
        <v>109000</v>
      </c>
      <c r="K1136" s="46" t="n">
        <f aca="false">IF(N(F1136)&gt;0,F1136,IF(N(E1136)&gt;0,E1136/요약!$F$27,0))</f>
        <v>21600</v>
      </c>
      <c r="L1136" s="46" t="n">
        <f aca="false">IF(B1136="CN",IF(N(I1136)&gt;0,I1136*요약!$G$27,K1136*(1+요약!$E$27)),IF(N(H1136)&gt;0,H1136*요약!$G$27,J1136*요약!$D$27))</f>
        <v>34848</v>
      </c>
      <c r="M1136" s="46" t="n">
        <f aca="false">D1136*J1136</f>
        <v>33790000</v>
      </c>
      <c r="N1136" s="46" t="n">
        <f aca="false">D1136*K1136</f>
        <v>6696000</v>
      </c>
      <c r="O1136" s="46" t="n">
        <f aca="false">D1136*L1136</f>
        <v>10802880</v>
      </c>
      <c r="P1136" s="42" t="str">
        <f aca="false">TRIM(IF(N(E1136)&lt;=0,"택가보정 ","")&amp;IF(N(F1136)&lt;=0,"원가보정 ","")&amp;IF(AND(B1136&lt;&gt;"CN",N(H1136)&lt;=0),"공급가보정 ","")&amp;IF(AND(B1136="CN",N(I1136)&lt;=0),"중국공급가=원가+마진 ",""))</f>
        <v/>
      </c>
      <c r="Q1136" s="47" t="n">
        <f aca="false">IF(SUMIFS($W:$W,$A:$A,A1136,$C:$C,C1136)=0,0,SUMIFS(RAW_판매펀칭!$K:$K,RAW_판매펀칭!$P:$P,A1136,RAW_판매펀칭!$I:$I,C1136)*W1136/SUMIFS($W:$W,$A:$A,A1136,$C:$C,C1136))</f>
        <v>310</v>
      </c>
      <c r="R1136" s="47" t="n">
        <f aca="false">IF(OR(A1136="500",A1136="800",A1136="810"),0,MAX(W1136-Q1136,0))</f>
        <v>0</v>
      </c>
      <c r="S1136" s="47" t="n">
        <f aca="false">R1136*L1136</f>
        <v>0</v>
      </c>
      <c r="T1136" s="47" t="n">
        <f aca="false">R1136*J1136</f>
        <v>0</v>
      </c>
      <c r="U1136" s="47" t="n">
        <f aca="false">R1136*K1136</f>
        <v>0</v>
      </c>
      <c r="V1136" s="0" t="str">
        <f aca="false">IF(COUNTIFS($A$2:A1136,A1136,$C$2:C1136,C1136,$D$2:D1136,D1136)&gt;1,"중복","")</f>
        <v/>
      </c>
      <c r="W1136" s="0" t="n">
        <f aca="false">IF(V1136="중복",0,N(D1136))</f>
        <v>310</v>
      </c>
      <c r="X1136" s="0" t="n">
        <f aca="false">IF(COUNTIFS($A$2:A1136,A1136,$C$2:C1136,C1136)=1,ABS(SUMIFS(RAW_발주!$D:$D,RAW_발주!$C:$C,A1136,RAW_발주!$A:$A,C1136)-SUMIFS($W:$W,$A:$A,A1136,$C:$C,C1136)),0)</f>
        <v>0</v>
      </c>
    </row>
    <row r="1137" customFormat="false" ht="15" hidden="false" customHeight="true" outlineLevel="0" collapsed="false">
      <c r="A1137" s="45" t="s">
        <v>1663</v>
      </c>
      <c r="B1137" s="42" t="str">
        <f aca="false">IF(A1137="100","HK",IF(A1137="200","CN",IF(A1137="300","TW","홀세일")))</f>
        <v>홀세일</v>
      </c>
      <c r="C1137" s="45" t="s">
        <v>932</v>
      </c>
      <c r="D1137" s="46" t="n">
        <v>40</v>
      </c>
      <c r="E1137" s="46" t="n">
        <v>109000</v>
      </c>
      <c r="F1137" s="46" t="n">
        <v>21600</v>
      </c>
      <c r="G1137" s="42" t="n">
        <v>3.54</v>
      </c>
      <c r="H1137" s="42" t="n">
        <v>26.4</v>
      </c>
      <c r="I1137" s="42" t="n">
        <v>0</v>
      </c>
      <c r="J1137" s="46" t="n">
        <f aca="false">IF(N(E1137)&gt;0,E1137,IF(N(F1137)&gt;0,F1137*요약!$F$27,0))</f>
        <v>109000</v>
      </c>
      <c r="K1137" s="46" t="n">
        <f aca="false">IF(N(F1137)&gt;0,F1137,IF(N(E1137)&gt;0,E1137/요약!$F$27,0))</f>
        <v>21600</v>
      </c>
      <c r="L1137" s="46" t="n">
        <f aca="false">IF(B1137="CN",IF(N(I1137)&gt;0,I1137*요약!$G$27,K1137*(1+요약!$E$27)),IF(N(H1137)&gt;0,H1137*요약!$G$27,J1137*요약!$D$27))</f>
        <v>34848</v>
      </c>
      <c r="M1137" s="46" t="n">
        <f aca="false">D1137*J1137</f>
        <v>4360000</v>
      </c>
      <c r="N1137" s="46" t="n">
        <f aca="false">D1137*K1137</f>
        <v>864000</v>
      </c>
      <c r="O1137" s="46" t="n">
        <f aca="false">D1137*L1137</f>
        <v>1393920</v>
      </c>
      <c r="P1137" s="42" t="str">
        <f aca="false">TRIM(IF(N(E1137)&lt;=0,"택가보정 ","")&amp;IF(N(F1137)&lt;=0,"원가보정 ","")&amp;IF(AND(B1137&lt;&gt;"CN",N(H1137)&lt;=0),"공급가보정 ","")&amp;IF(AND(B1137="CN",N(I1137)&lt;=0),"중국공급가=원가+마진 ",""))</f>
        <v/>
      </c>
      <c r="Q1137" s="47" t="n">
        <f aca="false">IF(SUMIFS($W:$W,$A:$A,A1137,$C:$C,C1137)=0,0,SUMIFS(RAW_판매펀칭!$K:$K,RAW_판매펀칭!$P:$P,A1137,RAW_판매펀칭!$I:$I,C1137)*W1137/SUMIFS($W:$W,$A:$A,A1137,$C:$C,C1137))</f>
        <v>40</v>
      </c>
      <c r="R1137" s="47" t="n">
        <f aca="false">IF(OR(A1137="500",A1137="800",A1137="810"),0,MAX(W1137-Q1137,0))</f>
        <v>0</v>
      </c>
      <c r="S1137" s="47" t="n">
        <f aca="false">R1137*L1137</f>
        <v>0</v>
      </c>
      <c r="T1137" s="47" t="n">
        <f aca="false">R1137*J1137</f>
        <v>0</v>
      </c>
      <c r="U1137" s="47" t="n">
        <f aca="false">R1137*K1137</f>
        <v>0</v>
      </c>
      <c r="V1137" s="0" t="str">
        <f aca="false">IF(COUNTIFS($A$2:A1137,A1137,$C$2:C1137,C1137,$D$2:D1137,D1137)&gt;1,"중복","")</f>
        <v/>
      </c>
      <c r="W1137" s="0" t="n">
        <f aca="false">IF(V1137="중복",0,N(D1137))</f>
        <v>40</v>
      </c>
      <c r="X1137" s="0" t="n">
        <f aca="false">IF(COUNTIFS($A$2:A1137,A1137,$C$2:C1137,C1137)=1,ABS(SUMIFS(RAW_발주!$D:$D,RAW_발주!$C:$C,A1137,RAW_발주!$A:$A,C1137)-SUMIFS($W:$W,$A:$A,A1137,$C:$C,C1137)),0)</f>
        <v>0</v>
      </c>
    </row>
    <row r="1138" customFormat="false" ht="15" hidden="false" customHeight="true" outlineLevel="0" collapsed="false">
      <c r="A1138" s="45" t="s">
        <v>1659</v>
      </c>
      <c r="B1138" s="42" t="str">
        <f aca="false">IF(A1138="100","HK",IF(A1138="200","CN",IF(A1138="300","TW","홀세일")))</f>
        <v>HK</v>
      </c>
      <c r="C1138" s="45" t="s">
        <v>535</v>
      </c>
      <c r="D1138" s="46" t="n">
        <v>100</v>
      </c>
      <c r="E1138" s="46" t="n">
        <v>149000</v>
      </c>
      <c r="F1138" s="46" t="n">
        <v>27300</v>
      </c>
      <c r="G1138" s="42" t="n">
        <v>5.19</v>
      </c>
      <c r="H1138" s="42" t="n">
        <v>35.1</v>
      </c>
      <c r="I1138" s="42" t="n">
        <v>0</v>
      </c>
      <c r="J1138" s="46" t="n">
        <f aca="false">IF(N(E1138)&gt;0,E1138,IF(N(F1138)&gt;0,F1138*요약!$F$27,0))</f>
        <v>149000</v>
      </c>
      <c r="K1138" s="46" t="n">
        <f aca="false">IF(N(F1138)&gt;0,F1138,IF(N(E1138)&gt;0,E1138/요약!$F$27,0))</f>
        <v>27300</v>
      </c>
      <c r="L1138" s="46" t="n">
        <f aca="false">IF(B1138="CN",IF(N(I1138)&gt;0,I1138*요약!$G$27,K1138*(1+요약!$E$27)),IF(N(H1138)&gt;0,H1138*요약!$G$27,J1138*요약!$D$27))</f>
        <v>46332</v>
      </c>
      <c r="M1138" s="46" t="n">
        <f aca="false">D1138*J1138</f>
        <v>14900000</v>
      </c>
      <c r="N1138" s="46" t="n">
        <f aca="false">D1138*K1138</f>
        <v>2730000</v>
      </c>
      <c r="O1138" s="46" t="n">
        <f aca="false">D1138*L1138</f>
        <v>4633200</v>
      </c>
      <c r="P1138" s="42" t="str">
        <f aca="false">TRIM(IF(N(E1138)&lt;=0,"택가보정 ","")&amp;IF(N(F1138)&lt;=0,"원가보정 ","")&amp;IF(AND(B1138&lt;&gt;"CN",N(H1138)&lt;=0),"공급가보정 ","")&amp;IF(AND(B1138="CN",N(I1138)&lt;=0),"중국공급가=원가+마진 ",""))</f>
        <v/>
      </c>
      <c r="Q1138" s="47" t="n">
        <f aca="false">IF(SUMIFS($W:$W,$A:$A,A1138,$C:$C,C1138)=0,0,SUMIFS(RAW_판매펀칭!$K:$K,RAW_판매펀칭!$P:$P,A1138,RAW_판매펀칭!$I:$I,C1138)*W1138/SUMIFS($W:$W,$A:$A,A1138,$C:$C,C1138))</f>
        <v>100</v>
      </c>
      <c r="R1138" s="47" t="n">
        <f aca="false">IF(OR(A1138="500",A1138="800",A1138="810"),0,MAX(W1138-Q1138,0))</f>
        <v>0</v>
      </c>
      <c r="S1138" s="47" t="n">
        <f aca="false">R1138*L1138</f>
        <v>0</v>
      </c>
      <c r="T1138" s="47" t="n">
        <f aca="false">R1138*J1138</f>
        <v>0</v>
      </c>
      <c r="U1138" s="47" t="n">
        <f aca="false">R1138*K1138</f>
        <v>0</v>
      </c>
      <c r="V1138" s="0" t="str">
        <f aca="false">IF(COUNTIFS($A$2:A1138,A1138,$C$2:C1138,C1138,$D$2:D1138,D1138)&gt;1,"중복","")</f>
        <v/>
      </c>
      <c r="W1138" s="0" t="n">
        <f aca="false">IF(V1138="중복",0,N(D1138))</f>
        <v>100</v>
      </c>
      <c r="X1138" s="0" t="n">
        <f aca="false">IF(COUNTIFS($A$2:A1138,A1138,$C$2:C1138,C1138)=1,ABS(SUMIFS(RAW_발주!$D:$D,RAW_발주!$C:$C,A1138,RAW_발주!$A:$A,C1138)-SUMIFS($W:$W,$A:$A,A1138,$C:$C,C1138)),0)</f>
        <v>0</v>
      </c>
    </row>
    <row r="1139" customFormat="false" ht="15" hidden="false" customHeight="true" outlineLevel="0" collapsed="false">
      <c r="A1139" s="45" t="s">
        <v>1661</v>
      </c>
      <c r="B1139" s="42" t="str">
        <f aca="false">IF(A1139="100","HK",IF(A1139="200","CN",IF(A1139="300","TW","홀세일")))</f>
        <v>TW</v>
      </c>
      <c r="C1139" s="45" t="s">
        <v>535</v>
      </c>
      <c r="D1139" s="46" t="n">
        <v>300</v>
      </c>
      <c r="E1139" s="46" t="n">
        <v>149000</v>
      </c>
      <c r="F1139" s="46" t="n">
        <v>27300</v>
      </c>
      <c r="G1139" s="42" t="n">
        <v>5.19</v>
      </c>
      <c r="H1139" s="42" t="n">
        <v>35.1</v>
      </c>
      <c r="I1139" s="42" t="n">
        <v>0</v>
      </c>
      <c r="J1139" s="46" t="n">
        <f aca="false">IF(N(E1139)&gt;0,E1139,IF(N(F1139)&gt;0,F1139*요약!$F$27,0))</f>
        <v>149000</v>
      </c>
      <c r="K1139" s="46" t="n">
        <f aca="false">IF(N(F1139)&gt;0,F1139,IF(N(E1139)&gt;0,E1139/요약!$F$27,0))</f>
        <v>27300</v>
      </c>
      <c r="L1139" s="46" t="n">
        <f aca="false">IF(B1139="CN",IF(N(I1139)&gt;0,I1139*요약!$G$27,K1139*(1+요약!$E$27)),IF(N(H1139)&gt;0,H1139*요약!$G$27,J1139*요약!$D$27))</f>
        <v>46332</v>
      </c>
      <c r="M1139" s="46" t="n">
        <f aca="false">D1139*J1139</f>
        <v>44700000</v>
      </c>
      <c r="N1139" s="46" t="n">
        <f aca="false">D1139*K1139</f>
        <v>8190000</v>
      </c>
      <c r="O1139" s="46" t="n">
        <f aca="false">D1139*L1139</f>
        <v>13899600</v>
      </c>
      <c r="P1139" s="42" t="str">
        <f aca="false">TRIM(IF(N(E1139)&lt;=0,"택가보정 ","")&amp;IF(N(F1139)&lt;=0,"원가보정 ","")&amp;IF(AND(B1139&lt;&gt;"CN",N(H1139)&lt;=0),"공급가보정 ","")&amp;IF(AND(B1139="CN",N(I1139)&lt;=0),"중국공급가=원가+마진 ",""))</f>
        <v/>
      </c>
      <c r="Q1139" s="47" t="n">
        <f aca="false">IF(SUMIFS($W:$W,$A:$A,A1139,$C:$C,C1139)=0,0,SUMIFS(RAW_판매펀칭!$K:$K,RAW_판매펀칭!$P:$P,A1139,RAW_판매펀칭!$I:$I,C1139)*W1139/SUMIFS($W:$W,$A:$A,A1139,$C:$C,C1139))</f>
        <v>300</v>
      </c>
      <c r="R1139" s="47" t="n">
        <f aca="false">IF(OR(A1139="500",A1139="800",A1139="810"),0,MAX(W1139-Q1139,0))</f>
        <v>0</v>
      </c>
      <c r="S1139" s="47" t="n">
        <f aca="false">R1139*L1139</f>
        <v>0</v>
      </c>
      <c r="T1139" s="47" t="n">
        <f aca="false">R1139*J1139</f>
        <v>0</v>
      </c>
      <c r="U1139" s="47" t="n">
        <f aca="false">R1139*K1139</f>
        <v>0</v>
      </c>
      <c r="V1139" s="0" t="str">
        <f aca="false">IF(COUNTIFS($A$2:A1139,A1139,$C$2:C1139,C1139,$D$2:D1139,D1139)&gt;1,"중복","")</f>
        <v/>
      </c>
      <c r="W1139" s="0" t="n">
        <f aca="false">IF(V1139="중복",0,N(D1139))</f>
        <v>300</v>
      </c>
      <c r="X1139" s="0" t="n">
        <f aca="false">IF(COUNTIFS($A$2:A1139,A1139,$C$2:C1139,C1139)=1,ABS(SUMIFS(RAW_발주!$D:$D,RAW_발주!$C:$C,A1139,RAW_발주!$A:$A,C1139)-SUMIFS($W:$W,$A:$A,A1139,$C:$C,C1139)),0)</f>
        <v>0</v>
      </c>
    </row>
    <row r="1140" customFormat="false" ht="15" hidden="false" customHeight="true" outlineLevel="0" collapsed="false">
      <c r="A1140" s="45" t="s">
        <v>1663</v>
      </c>
      <c r="B1140" s="42" t="str">
        <f aca="false">IF(A1140="100","HK",IF(A1140="200","CN",IF(A1140="300","TW","홀세일")))</f>
        <v>홀세일</v>
      </c>
      <c r="C1140" s="45" t="s">
        <v>535</v>
      </c>
      <c r="D1140" s="46" t="n">
        <v>25</v>
      </c>
      <c r="E1140" s="46" t="n">
        <v>149000</v>
      </c>
      <c r="F1140" s="46" t="n">
        <v>27300</v>
      </c>
      <c r="G1140" s="42" t="n">
        <v>5.19</v>
      </c>
      <c r="H1140" s="42" t="n">
        <v>35.1</v>
      </c>
      <c r="I1140" s="42" t="n">
        <v>0</v>
      </c>
      <c r="J1140" s="46" t="n">
        <f aca="false">IF(N(E1140)&gt;0,E1140,IF(N(F1140)&gt;0,F1140*요약!$F$27,0))</f>
        <v>149000</v>
      </c>
      <c r="K1140" s="46" t="n">
        <f aca="false">IF(N(F1140)&gt;0,F1140,IF(N(E1140)&gt;0,E1140/요약!$F$27,0))</f>
        <v>27300</v>
      </c>
      <c r="L1140" s="46" t="n">
        <f aca="false">IF(B1140="CN",IF(N(I1140)&gt;0,I1140*요약!$G$27,K1140*(1+요약!$E$27)),IF(N(H1140)&gt;0,H1140*요약!$G$27,J1140*요약!$D$27))</f>
        <v>46332</v>
      </c>
      <c r="M1140" s="46" t="n">
        <f aca="false">D1140*J1140</f>
        <v>3725000</v>
      </c>
      <c r="N1140" s="46" t="n">
        <f aca="false">D1140*K1140</f>
        <v>682500</v>
      </c>
      <c r="O1140" s="46" t="n">
        <f aca="false">D1140*L1140</f>
        <v>1158300</v>
      </c>
      <c r="P1140" s="42" t="str">
        <f aca="false">TRIM(IF(N(E1140)&lt;=0,"택가보정 ","")&amp;IF(N(F1140)&lt;=0,"원가보정 ","")&amp;IF(AND(B1140&lt;&gt;"CN",N(H1140)&lt;=0),"공급가보정 ","")&amp;IF(AND(B1140="CN",N(I1140)&lt;=0),"중국공급가=원가+마진 ",""))</f>
        <v/>
      </c>
      <c r="Q1140" s="47" t="n">
        <f aca="false">IF(SUMIFS($W:$W,$A:$A,A1140,$C:$C,C1140)=0,0,SUMIFS(RAW_판매펀칭!$K:$K,RAW_판매펀칭!$P:$P,A1140,RAW_판매펀칭!$I:$I,C1140)*W1140/SUMIFS($W:$W,$A:$A,A1140,$C:$C,C1140))</f>
        <v>25</v>
      </c>
      <c r="R1140" s="47" t="n">
        <f aca="false">IF(OR(A1140="500",A1140="800",A1140="810"),0,MAX(W1140-Q1140,0))</f>
        <v>0</v>
      </c>
      <c r="S1140" s="47" t="n">
        <f aca="false">R1140*L1140</f>
        <v>0</v>
      </c>
      <c r="T1140" s="47" t="n">
        <f aca="false">R1140*J1140</f>
        <v>0</v>
      </c>
      <c r="U1140" s="47" t="n">
        <f aca="false">R1140*K1140</f>
        <v>0</v>
      </c>
      <c r="V1140" s="0" t="str">
        <f aca="false">IF(COUNTIFS($A$2:A1140,A1140,$C$2:C1140,C1140,$D$2:D1140,D1140)&gt;1,"중복","")</f>
        <v/>
      </c>
      <c r="W1140" s="0" t="n">
        <f aca="false">IF(V1140="중복",0,N(D1140))</f>
        <v>25</v>
      </c>
      <c r="X1140" s="0" t="n">
        <f aca="false">IF(COUNTIFS($A$2:A1140,A1140,$C$2:C1140,C1140)=1,ABS(SUMIFS(RAW_발주!$D:$D,RAW_발주!$C:$C,A1140,RAW_발주!$A:$A,C1140)-SUMIFS($W:$W,$A:$A,A1140,$C:$C,C1140)),0)</f>
        <v>0</v>
      </c>
    </row>
    <row r="1141" customFormat="false" ht="15" hidden="false" customHeight="true" outlineLevel="0" collapsed="false">
      <c r="A1141" s="45" t="s">
        <v>1663</v>
      </c>
      <c r="B1141" s="42" t="str">
        <f aca="false">IF(A1141="100","HK",IF(A1141="200","CN",IF(A1141="300","TW","홀세일")))</f>
        <v>홀세일</v>
      </c>
      <c r="C1141" s="45" t="s">
        <v>1342</v>
      </c>
      <c r="D1141" s="46" t="n">
        <v>40</v>
      </c>
      <c r="E1141" s="46" t="n">
        <v>129000</v>
      </c>
      <c r="F1141" s="46" t="n">
        <v>29400</v>
      </c>
      <c r="G1141" s="42" t="n">
        <v>4.22</v>
      </c>
      <c r="H1141" s="42" t="n">
        <v>30.4</v>
      </c>
      <c r="I1141" s="42" t="n">
        <v>0</v>
      </c>
      <c r="J1141" s="46" t="n">
        <f aca="false">IF(N(E1141)&gt;0,E1141,IF(N(F1141)&gt;0,F1141*요약!$F$27,0))</f>
        <v>129000</v>
      </c>
      <c r="K1141" s="46" t="n">
        <f aca="false">IF(N(F1141)&gt;0,F1141,IF(N(E1141)&gt;0,E1141/요약!$F$27,0))</f>
        <v>29400</v>
      </c>
      <c r="L1141" s="46" t="n">
        <f aca="false">IF(B1141="CN",IF(N(I1141)&gt;0,I1141*요약!$G$27,K1141*(1+요약!$E$27)),IF(N(H1141)&gt;0,H1141*요약!$G$27,J1141*요약!$D$27))</f>
        <v>40128</v>
      </c>
      <c r="M1141" s="46" t="n">
        <f aca="false">D1141*J1141</f>
        <v>5160000</v>
      </c>
      <c r="N1141" s="46" t="n">
        <f aca="false">D1141*K1141</f>
        <v>1176000</v>
      </c>
      <c r="O1141" s="46" t="n">
        <f aca="false">D1141*L1141</f>
        <v>1605120</v>
      </c>
      <c r="P1141" s="42" t="str">
        <f aca="false">TRIM(IF(N(E1141)&lt;=0,"택가보정 ","")&amp;IF(N(F1141)&lt;=0,"원가보정 ","")&amp;IF(AND(B1141&lt;&gt;"CN",N(H1141)&lt;=0),"공급가보정 ","")&amp;IF(AND(B1141="CN",N(I1141)&lt;=0),"중국공급가=원가+마진 ",""))</f>
        <v/>
      </c>
      <c r="Q1141" s="47" t="n">
        <f aca="false">IF(SUMIFS($W:$W,$A:$A,A1141,$C:$C,C1141)=0,0,SUMIFS(RAW_판매펀칭!$K:$K,RAW_판매펀칭!$P:$P,A1141,RAW_판매펀칭!$I:$I,C1141)*W1141/SUMIFS($W:$W,$A:$A,A1141,$C:$C,C1141))</f>
        <v>40</v>
      </c>
      <c r="R1141" s="47" t="n">
        <f aca="false">IF(OR(A1141="500",A1141="800",A1141="810"),0,MAX(W1141-Q1141,0))</f>
        <v>0</v>
      </c>
      <c r="S1141" s="47" t="n">
        <f aca="false">R1141*L1141</f>
        <v>0</v>
      </c>
      <c r="T1141" s="47" t="n">
        <f aca="false">R1141*J1141</f>
        <v>0</v>
      </c>
      <c r="U1141" s="47" t="n">
        <f aca="false">R1141*K1141</f>
        <v>0</v>
      </c>
      <c r="V1141" s="0" t="str">
        <f aca="false">IF(COUNTIFS($A$2:A1141,A1141,$C$2:C1141,C1141,$D$2:D1141,D1141)&gt;1,"중복","")</f>
        <v/>
      </c>
      <c r="W1141" s="0" t="n">
        <f aca="false">IF(V1141="중복",0,N(D1141))</f>
        <v>40</v>
      </c>
      <c r="X1141" s="0" t="n">
        <f aca="false">IF(COUNTIFS($A$2:A1141,A1141,$C$2:C1141,C1141)=1,ABS(SUMIFS(RAW_발주!$D:$D,RAW_발주!$C:$C,A1141,RAW_발주!$A:$A,C1141)-SUMIFS($W:$W,$A:$A,A1141,$C:$C,C1141)),0)</f>
        <v>0</v>
      </c>
    </row>
    <row r="1142" customFormat="false" ht="15" hidden="false" customHeight="true" outlineLevel="0" collapsed="false">
      <c r="A1142" s="45" t="s">
        <v>1665</v>
      </c>
      <c r="B1142" s="42" t="str">
        <f aca="false">IF(A1142="100","HK",IF(A1142="200","CN",IF(A1142="300","TW","홀세일")))</f>
        <v>홀세일</v>
      </c>
      <c r="C1142" s="45" t="s">
        <v>1342</v>
      </c>
      <c r="D1142" s="46" t="n">
        <v>216</v>
      </c>
      <c r="E1142" s="46" t="n">
        <v>129000</v>
      </c>
      <c r="F1142" s="46" t="n">
        <v>29400</v>
      </c>
      <c r="G1142" s="42" t="n">
        <v>4.22</v>
      </c>
      <c r="H1142" s="42" t="n">
        <v>30.4</v>
      </c>
      <c r="I1142" s="42" t="n">
        <v>0</v>
      </c>
      <c r="J1142" s="46" t="n">
        <f aca="false">IF(N(E1142)&gt;0,E1142,IF(N(F1142)&gt;0,F1142*요약!$F$27,0))</f>
        <v>129000</v>
      </c>
      <c r="K1142" s="46" t="n">
        <f aca="false">IF(N(F1142)&gt;0,F1142,IF(N(E1142)&gt;0,E1142/요약!$F$27,0))</f>
        <v>29400</v>
      </c>
      <c r="L1142" s="46" t="n">
        <f aca="false">IF(B1142="CN",IF(N(I1142)&gt;0,I1142*요약!$G$27,K1142*(1+요약!$E$27)),IF(N(H1142)&gt;0,H1142*요약!$G$27,J1142*요약!$D$27))</f>
        <v>40128</v>
      </c>
      <c r="M1142" s="46" t="n">
        <f aca="false">D1142*J1142</f>
        <v>27864000</v>
      </c>
      <c r="N1142" s="46" t="n">
        <f aca="false">D1142*K1142</f>
        <v>6350400</v>
      </c>
      <c r="O1142" s="46" t="n">
        <f aca="false">D1142*L1142</f>
        <v>8667648</v>
      </c>
      <c r="P1142" s="42" t="str">
        <f aca="false">TRIM(IF(N(E1142)&lt;=0,"택가보정 ","")&amp;IF(N(F1142)&lt;=0,"원가보정 ","")&amp;IF(AND(B1142&lt;&gt;"CN",N(H1142)&lt;=0),"공급가보정 ","")&amp;IF(AND(B1142="CN",N(I1142)&lt;=0),"중국공급가=원가+마진 ",""))</f>
        <v/>
      </c>
      <c r="Q1142" s="47" t="n">
        <f aca="false">IF(SUMIFS($W:$W,$A:$A,A1142,$C:$C,C1142)=0,0,SUMIFS(RAW_판매펀칭!$K:$K,RAW_판매펀칭!$P:$P,A1142,RAW_판매펀칭!$I:$I,C1142)*W1142/SUMIFS($W:$W,$A:$A,A1142,$C:$C,C1142))</f>
        <v>0</v>
      </c>
      <c r="R1142" s="47" t="n">
        <f aca="false">IF(OR(A1142="500",A1142="800",A1142="810"),0,MAX(W1142-Q1142,0))</f>
        <v>0</v>
      </c>
      <c r="S1142" s="47" t="n">
        <f aca="false">R1142*L1142</f>
        <v>0</v>
      </c>
      <c r="T1142" s="47" t="n">
        <f aca="false">R1142*J1142</f>
        <v>0</v>
      </c>
      <c r="U1142" s="47" t="n">
        <f aca="false">R1142*K1142</f>
        <v>0</v>
      </c>
      <c r="V1142" s="0" t="str">
        <f aca="false">IF(COUNTIFS($A$2:A1142,A1142,$C$2:C1142,C1142,$D$2:D1142,D1142)&gt;1,"중복","")</f>
        <v/>
      </c>
      <c r="W1142" s="0" t="n">
        <f aca="false">IF(V1142="중복",0,N(D1142))</f>
        <v>216</v>
      </c>
      <c r="X1142" s="0" t="n">
        <f aca="false">IF(COUNTIFS($A$2:A1142,A1142,$C$2:C1142,C1142)=1,ABS(SUMIFS(RAW_발주!$D:$D,RAW_발주!$C:$C,A1142,RAW_발주!$A:$A,C1142)-SUMIFS($W:$W,$A:$A,A1142,$C:$C,C1142)),0)</f>
        <v>0</v>
      </c>
    </row>
    <row r="1143" customFormat="false" ht="15" hidden="false" customHeight="true" outlineLevel="0" collapsed="false">
      <c r="A1143" s="45" t="s">
        <v>1660</v>
      </c>
      <c r="B1143" s="42" t="str">
        <f aca="false">IF(A1143="100","HK",IF(A1143="200","CN",IF(A1143="300","TW","홀세일")))</f>
        <v>CN</v>
      </c>
      <c r="C1143" s="45" t="s">
        <v>1083</v>
      </c>
      <c r="D1143" s="46" t="n">
        <v>232</v>
      </c>
      <c r="E1143" s="46" t="n">
        <v>129000</v>
      </c>
      <c r="F1143" s="46" t="n">
        <v>29610</v>
      </c>
      <c r="G1143" s="42" t="n">
        <v>4.75</v>
      </c>
      <c r="H1143" s="42" t="n">
        <v>31.3</v>
      </c>
      <c r="I1143" s="42" t="n">
        <v>19.1</v>
      </c>
      <c r="J1143" s="46" t="n">
        <f aca="false">IF(N(E1143)&gt;0,E1143,IF(N(F1143)&gt;0,F1143*요약!$F$27,0))</f>
        <v>129000</v>
      </c>
      <c r="K1143" s="46" t="n">
        <f aca="false">IF(N(F1143)&gt;0,F1143,IF(N(E1143)&gt;0,E1143/요약!$F$27,0))</f>
        <v>29610</v>
      </c>
      <c r="L1143" s="46" t="n">
        <f aca="false">IF(B1143="CN",IF(N(I1143)&gt;0,I1143*요약!$G$27,K1143*(1+요약!$E$27)),IF(N(H1143)&gt;0,H1143*요약!$G$27,J1143*요약!$D$27))</f>
        <v>25212</v>
      </c>
      <c r="M1143" s="46" t="n">
        <f aca="false">D1143*J1143</f>
        <v>29928000</v>
      </c>
      <c r="N1143" s="46" t="n">
        <f aca="false">D1143*K1143</f>
        <v>6869520</v>
      </c>
      <c r="O1143" s="46" t="n">
        <f aca="false">D1143*L1143</f>
        <v>5849184</v>
      </c>
      <c r="P1143" s="42" t="str">
        <f aca="false">TRIM(IF(N(E1143)&lt;=0,"택가보정 ","")&amp;IF(N(F1143)&lt;=0,"원가보정 ","")&amp;IF(AND(B1143&lt;&gt;"CN",N(H1143)&lt;=0),"공급가보정 ","")&amp;IF(AND(B1143="CN",N(I1143)&lt;=0),"중국공급가=원가+마진 ",""))</f>
        <v/>
      </c>
      <c r="Q1143" s="47" t="n">
        <f aca="false">IF(SUMIFS($W:$W,$A:$A,A1143,$C:$C,C1143)=0,0,SUMIFS(RAW_판매펀칭!$K:$K,RAW_판매펀칭!$P:$P,A1143,RAW_판매펀칭!$I:$I,C1143)*W1143/SUMIFS($W:$W,$A:$A,A1143,$C:$C,C1143))</f>
        <v>232</v>
      </c>
      <c r="R1143" s="47" t="n">
        <f aca="false">IF(OR(A1143="500",A1143="800",A1143="810"),0,MAX(W1143-Q1143,0))</f>
        <v>0</v>
      </c>
      <c r="S1143" s="47" t="n">
        <f aca="false">R1143*L1143</f>
        <v>0</v>
      </c>
      <c r="T1143" s="47" t="n">
        <f aca="false">R1143*J1143</f>
        <v>0</v>
      </c>
      <c r="U1143" s="47" t="n">
        <f aca="false">R1143*K1143</f>
        <v>0</v>
      </c>
      <c r="V1143" s="0" t="str">
        <f aca="false">IF(COUNTIFS($A$2:A1143,A1143,$C$2:C1143,C1143,$D$2:D1143,D1143)&gt;1,"중복","")</f>
        <v/>
      </c>
      <c r="W1143" s="0" t="n">
        <f aca="false">IF(V1143="중복",0,N(D1143))</f>
        <v>232</v>
      </c>
      <c r="X1143" s="0" t="n">
        <f aca="false">IF(COUNTIFS($A$2:A1143,A1143,$C$2:C1143,C1143)=1,ABS(SUMIFS(RAW_발주!$D:$D,RAW_발주!$C:$C,A1143,RAW_발주!$A:$A,C1143)-SUMIFS($W:$W,$A:$A,A1143,$C:$C,C1143)),0)</f>
        <v>0</v>
      </c>
    </row>
    <row r="1144" customFormat="false" ht="15" hidden="false" customHeight="true" outlineLevel="0" collapsed="false">
      <c r="A1144" s="45" t="s">
        <v>1662</v>
      </c>
      <c r="B1144" s="42" t="str">
        <f aca="false">IF(A1144="100","HK",IF(A1144="200","CN",IF(A1144="300","TW","홀세일")))</f>
        <v>홀세일</v>
      </c>
      <c r="C1144" s="45" t="s">
        <v>1083</v>
      </c>
      <c r="D1144" s="46" t="n">
        <v>150</v>
      </c>
      <c r="E1144" s="46" t="n">
        <v>129000</v>
      </c>
      <c r="F1144" s="46" t="n">
        <v>29610</v>
      </c>
      <c r="G1144" s="42" t="n">
        <v>4.75</v>
      </c>
      <c r="H1144" s="42" t="n">
        <v>31.3</v>
      </c>
      <c r="I1144" s="42" t="n">
        <v>19.1</v>
      </c>
      <c r="J1144" s="46" t="n">
        <f aca="false">IF(N(E1144)&gt;0,E1144,IF(N(F1144)&gt;0,F1144*요약!$F$27,0))</f>
        <v>129000</v>
      </c>
      <c r="K1144" s="46" t="n">
        <f aca="false">IF(N(F1144)&gt;0,F1144,IF(N(E1144)&gt;0,E1144/요약!$F$27,0))</f>
        <v>29610</v>
      </c>
      <c r="L1144" s="46" t="n">
        <f aca="false">IF(B1144="CN",IF(N(I1144)&gt;0,I1144*요약!$G$27,K1144*(1+요약!$E$27)),IF(N(H1144)&gt;0,H1144*요약!$G$27,J1144*요약!$D$27))</f>
        <v>41316</v>
      </c>
      <c r="M1144" s="46" t="n">
        <f aca="false">D1144*J1144</f>
        <v>19350000</v>
      </c>
      <c r="N1144" s="46" t="n">
        <f aca="false">D1144*K1144</f>
        <v>4441500</v>
      </c>
      <c r="O1144" s="46" t="n">
        <f aca="false">D1144*L1144</f>
        <v>6197400</v>
      </c>
      <c r="P1144" s="42" t="str">
        <f aca="false">TRIM(IF(N(E1144)&lt;=0,"택가보정 ","")&amp;IF(N(F1144)&lt;=0,"원가보정 ","")&amp;IF(AND(B1144&lt;&gt;"CN",N(H1144)&lt;=0),"공급가보정 ","")&amp;IF(AND(B1144="CN",N(I1144)&lt;=0),"중국공급가=원가+마진 ",""))</f>
        <v/>
      </c>
      <c r="Q1144" s="47" t="n">
        <f aca="false">IF(SUMIFS($W:$W,$A:$A,A1144,$C:$C,C1144)=0,0,SUMIFS(RAW_판매펀칭!$K:$K,RAW_판매펀칭!$P:$P,A1144,RAW_판매펀칭!$I:$I,C1144)*W1144/SUMIFS($W:$W,$A:$A,A1144,$C:$C,C1144))</f>
        <v>0</v>
      </c>
      <c r="R1144" s="47" t="n">
        <f aca="false">IF(OR(A1144="500",A1144="800",A1144="810"),0,MAX(W1144-Q1144,0))</f>
        <v>0</v>
      </c>
      <c r="S1144" s="47" t="n">
        <f aca="false">R1144*L1144</f>
        <v>0</v>
      </c>
      <c r="T1144" s="47" t="n">
        <f aca="false">R1144*J1144</f>
        <v>0</v>
      </c>
      <c r="U1144" s="47" t="n">
        <f aca="false">R1144*K1144</f>
        <v>0</v>
      </c>
      <c r="V1144" s="0" t="str">
        <f aca="false">IF(COUNTIFS($A$2:A1144,A1144,$C$2:C1144,C1144,$D$2:D1144,D1144)&gt;1,"중복","")</f>
        <v/>
      </c>
      <c r="W1144" s="0" t="n">
        <f aca="false">IF(V1144="중복",0,N(D1144))</f>
        <v>150</v>
      </c>
      <c r="X1144" s="0" t="n">
        <f aca="false">IF(COUNTIFS($A$2:A1144,A1144,$C$2:C1144,C1144)=1,ABS(SUMIFS(RAW_발주!$D:$D,RAW_발주!$C:$C,A1144,RAW_발주!$A:$A,C1144)-SUMIFS($W:$W,$A:$A,A1144,$C:$C,C1144)),0)</f>
        <v>0</v>
      </c>
    </row>
    <row r="1145" customFormat="false" ht="15" hidden="false" customHeight="true" outlineLevel="0" collapsed="false">
      <c r="A1145" s="45" t="s">
        <v>1661</v>
      </c>
      <c r="B1145" s="42" t="str">
        <f aca="false">IF(A1145="100","HK",IF(A1145="200","CN",IF(A1145="300","TW","홀세일")))</f>
        <v>TW</v>
      </c>
      <c r="C1145" s="45" t="s">
        <v>537</v>
      </c>
      <c r="D1145" s="46" t="n">
        <v>1600</v>
      </c>
      <c r="E1145" s="46" t="n">
        <v>89000</v>
      </c>
      <c r="F1145" s="46" t="n">
        <v>27000</v>
      </c>
      <c r="G1145" s="42" t="n">
        <v>3.3</v>
      </c>
      <c r="H1145" s="42" t="n">
        <v>21.6</v>
      </c>
      <c r="J1145" s="46" t="n">
        <f aca="false">IF(N(E1145)&gt;0,E1145,IF(N(F1145)&gt;0,F1145*요약!$F$27,0))</f>
        <v>89000</v>
      </c>
      <c r="K1145" s="46" t="n">
        <f aca="false">IF(N(F1145)&gt;0,F1145,IF(N(E1145)&gt;0,E1145/요약!$F$27,0))</f>
        <v>27000</v>
      </c>
      <c r="L1145" s="46" t="n">
        <f aca="false">IF(B1145="CN",IF(N(I1145)&gt;0,I1145*요약!$G$27,K1145*(1+요약!$E$27)),IF(N(H1145)&gt;0,H1145*요약!$G$27,J1145*요약!$D$27))</f>
        <v>28512</v>
      </c>
      <c r="M1145" s="46" t="n">
        <f aca="false">D1145*J1145</f>
        <v>142400000</v>
      </c>
      <c r="N1145" s="46" t="n">
        <f aca="false">D1145*K1145</f>
        <v>43200000</v>
      </c>
      <c r="O1145" s="46" t="n">
        <f aca="false">D1145*L1145</f>
        <v>45619200</v>
      </c>
      <c r="P1145" s="42" t="str">
        <f aca="false">TRIM(IF(N(E1145)&lt;=0,"택가보정 ","")&amp;IF(N(F1145)&lt;=0,"원가보정 ","")&amp;IF(AND(B1145&lt;&gt;"CN",N(H1145)&lt;=0),"공급가보정 ","")&amp;IF(AND(B1145="CN",N(I1145)&lt;=0),"중국공급가=원가+마진 ",""))</f>
        <v/>
      </c>
      <c r="Q1145" s="47" t="n">
        <f aca="false">IF(SUMIFS($W:$W,$A:$A,A1145,$C:$C,C1145)=0,0,SUMIFS(RAW_판매펀칭!$K:$K,RAW_판매펀칭!$P:$P,A1145,RAW_판매펀칭!$I:$I,C1145)*W1145/SUMIFS($W:$W,$A:$A,A1145,$C:$C,C1145))</f>
        <v>1600</v>
      </c>
      <c r="R1145" s="47" t="n">
        <f aca="false">IF(OR(A1145="500",A1145="800",A1145="810"),0,MAX(W1145-Q1145,0))</f>
        <v>0</v>
      </c>
      <c r="S1145" s="47" t="n">
        <f aca="false">R1145*L1145</f>
        <v>0</v>
      </c>
      <c r="T1145" s="47" t="n">
        <f aca="false">R1145*J1145</f>
        <v>0</v>
      </c>
      <c r="U1145" s="47" t="n">
        <f aca="false">R1145*K1145</f>
        <v>0</v>
      </c>
      <c r="V1145" s="0" t="str">
        <f aca="false">IF(COUNTIFS($A$2:A1145,A1145,$C$2:C1145,C1145,$D$2:D1145,D1145)&gt;1,"중복","")</f>
        <v/>
      </c>
      <c r="W1145" s="0" t="n">
        <f aca="false">IF(V1145="중복",0,N(D1145))</f>
        <v>1600</v>
      </c>
      <c r="X1145" s="0" t="n">
        <f aca="false">IF(COUNTIFS($A$2:A1145,A1145,$C$2:C1145,C1145)=1,ABS(SUMIFS(RAW_발주!$D:$D,RAW_발주!$C:$C,A1145,RAW_발주!$A:$A,C1145)-SUMIFS($W:$W,$A:$A,A1145,$C:$C,C1145)),0)</f>
        <v>0</v>
      </c>
    </row>
    <row r="1146" customFormat="false" ht="15" hidden="false" customHeight="true" outlineLevel="0" collapsed="false">
      <c r="A1146" s="45" t="s">
        <v>1660</v>
      </c>
      <c r="B1146" s="42" t="str">
        <f aca="false">IF(A1146="100","HK",IF(A1146="200","CN",IF(A1146="300","TW","홀세일")))</f>
        <v>CN</v>
      </c>
      <c r="C1146" s="45" t="s">
        <v>1085</v>
      </c>
      <c r="D1146" s="46" t="n">
        <v>212</v>
      </c>
      <c r="E1146" s="46" t="n">
        <v>99000</v>
      </c>
      <c r="F1146" s="46" t="n">
        <v>27100</v>
      </c>
      <c r="G1146" s="42" t="n">
        <v>3.46</v>
      </c>
      <c r="H1146" s="42" t="n">
        <v>25.7</v>
      </c>
      <c r="I1146" s="42" t="n">
        <v>20.8</v>
      </c>
      <c r="J1146" s="46" t="n">
        <f aca="false">IF(N(E1146)&gt;0,E1146,IF(N(F1146)&gt;0,F1146*요약!$F$27,0))</f>
        <v>99000</v>
      </c>
      <c r="K1146" s="46" t="n">
        <f aca="false">IF(N(F1146)&gt;0,F1146,IF(N(E1146)&gt;0,E1146/요약!$F$27,0))</f>
        <v>27100</v>
      </c>
      <c r="L1146" s="46" t="n">
        <f aca="false">IF(B1146="CN",IF(N(I1146)&gt;0,I1146*요약!$G$27,K1146*(1+요약!$E$27)),IF(N(H1146)&gt;0,H1146*요약!$G$27,J1146*요약!$D$27))</f>
        <v>27456</v>
      </c>
      <c r="M1146" s="46" t="n">
        <f aca="false">D1146*J1146</f>
        <v>20988000</v>
      </c>
      <c r="N1146" s="46" t="n">
        <f aca="false">D1146*K1146</f>
        <v>5745200</v>
      </c>
      <c r="O1146" s="46" t="n">
        <f aca="false">D1146*L1146</f>
        <v>5820672</v>
      </c>
      <c r="P1146" s="42" t="str">
        <f aca="false">TRIM(IF(N(E1146)&lt;=0,"택가보정 ","")&amp;IF(N(F1146)&lt;=0,"원가보정 ","")&amp;IF(AND(B1146&lt;&gt;"CN",N(H1146)&lt;=0),"공급가보정 ","")&amp;IF(AND(B1146="CN",N(I1146)&lt;=0),"중국공급가=원가+마진 ",""))</f>
        <v/>
      </c>
      <c r="Q1146" s="47" t="n">
        <f aca="false">IF(SUMIFS($W:$W,$A:$A,A1146,$C:$C,C1146)=0,0,SUMIFS(RAW_판매펀칭!$K:$K,RAW_판매펀칭!$P:$P,A1146,RAW_판매펀칭!$I:$I,C1146)*W1146/SUMIFS($W:$W,$A:$A,A1146,$C:$C,C1146))</f>
        <v>212</v>
      </c>
      <c r="R1146" s="47" t="n">
        <f aca="false">IF(OR(A1146="500",A1146="800",A1146="810"),0,MAX(W1146-Q1146,0))</f>
        <v>0</v>
      </c>
      <c r="S1146" s="47" t="n">
        <f aca="false">R1146*L1146</f>
        <v>0</v>
      </c>
      <c r="T1146" s="47" t="n">
        <f aca="false">R1146*J1146</f>
        <v>0</v>
      </c>
      <c r="U1146" s="47" t="n">
        <f aca="false">R1146*K1146</f>
        <v>0</v>
      </c>
      <c r="V1146" s="0" t="str">
        <f aca="false">IF(COUNTIFS($A$2:A1146,A1146,$C$2:C1146,C1146,$D$2:D1146,D1146)&gt;1,"중복","")</f>
        <v/>
      </c>
      <c r="W1146" s="0" t="n">
        <f aca="false">IF(V1146="중복",0,N(D1146))</f>
        <v>212</v>
      </c>
      <c r="X1146" s="0" t="n">
        <f aca="false">IF(COUNTIFS($A$2:A1146,A1146,$C$2:C1146,C1146)=1,ABS(SUMIFS(RAW_발주!$D:$D,RAW_발주!$C:$C,A1146,RAW_발주!$A:$A,C1146)-SUMIFS($W:$W,$A:$A,A1146,$C:$C,C1146)),0)</f>
        <v>0</v>
      </c>
    </row>
    <row r="1147" customFormat="false" ht="15" hidden="false" customHeight="true" outlineLevel="0" collapsed="false">
      <c r="A1147" s="45" t="s">
        <v>1660</v>
      </c>
      <c r="B1147" s="42" t="str">
        <f aca="false">IF(A1147="100","HK",IF(A1147="200","CN",IF(A1147="300","TW","홀세일")))</f>
        <v>CN</v>
      </c>
      <c r="C1147" s="45" t="s">
        <v>1087</v>
      </c>
      <c r="D1147" s="46" t="n">
        <v>162</v>
      </c>
      <c r="E1147" s="46" t="n">
        <v>119000</v>
      </c>
      <c r="F1147" s="46" t="n">
        <v>32000</v>
      </c>
      <c r="G1147" s="42" t="n">
        <v>3.38</v>
      </c>
      <c r="H1147" s="42" t="n">
        <v>34.3</v>
      </c>
      <c r="I1147" s="42" t="n">
        <v>25.5</v>
      </c>
      <c r="J1147" s="46" t="n">
        <f aca="false">IF(N(E1147)&gt;0,E1147,IF(N(F1147)&gt;0,F1147*요약!$F$27,0))</f>
        <v>119000</v>
      </c>
      <c r="K1147" s="46" t="n">
        <f aca="false">IF(N(F1147)&gt;0,F1147,IF(N(E1147)&gt;0,E1147/요약!$F$27,0))</f>
        <v>32000</v>
      </c>
      <c r="L1147" s="46" t="n">
        <f aca="false">IF(B1147="CN",IF(N(I1147)&gt;0,I1147*요약!$G$27,K1147*(1+요약!$E$27)),IF(N(H1147)&gt;0,H1147*요약!$G$27,J1147*요약!$D$27))</f>
        <v>33660</v>
      </c>
      <c r="M1147" s="46" t="n">
        <f aca="false">D1147*J1147</f>
        <v>19278000</v>
      </c>
      <c r="N1147" s="46" t="n">
        <f aca="false">D1147*K1147</f>
        <v>5184000</v>
      </c>
      <c r="O1147" s="46" t="n">
        <f aca="false">D1147*L1147</f>
        <v>5452920</v>
      </c>
      <c r="P1147" s="42" t="str">
        <f aca="false">TRIM(IF(N(E1147)&lt;=0,"택가보정 ","")&amp;IF(N(F1147)&lt;=0,"원가보정 ","")&amp;IF(AND(B1147&lt;&gt;"CN",N(H1147)&lt;=0),"공급가보정 ","")&amp;IF(AND(B1147="CN",N(I1147)&lt;=0),"중국공급가=원가+마진 ",""))</f>
        <v/>
      </c>
      <c r="Q1147" s="47" t="n">
        <f aca="false">IF(SUMIFS($W:$W,$A:$A,A1147,$C:$C,C1147)=0,0,SUMIFS(RAW_판매펀칭!$K:$K,RAW_판매펀칭!$P:$P,A1147,RAW_판매펀칭!$I:$I,C1147)*W1147/SUMIFS($W:$W,$A:$A,A1147,$C:$C,C1147))</f>
        <v>162</v>
      </c>
      <c r="R1147" s="47" t="n">
        <f aca="false">IF(OR(A1147="500",A1147="800",A1147="810"),0,MAX(W1147-Q1147,0))</f>
        <v>0</v>
      </c>
      <c r="S1147" s="47" t="n">
        <f aca="false">R1147*L1147</f>
        <v>0</v>
      </c>
      <c r="T1147" s="47" t="n">
        <f aca="false">R1147*J1147</f>
        <v>0</v>
      </c>
      <c r="U1147" s="47" t="n">
        <f aca="false">R1147*K1147</f>
        <v>0</v>
      </c>
      <c r="V1147" s="0" t="str">
        <f aca="false">IF(COUNTIFS($A$2:A1147,A1147,$C$2:C1147,C1147,$D$2:D1147,D1147)&gt;1,"중복","")</f>
        <v/>
      </c>
      <c r="W1147" s="0" t="n">
        <f aca="false">IF(V1147="중복",0,N(D1147))</f>
        <v>162</v>
      </c>
      <c r="X1147" s="0" t="n">
        <f aca="false">IF(COUNTIFS($A$2:A1147,A1147,$C$2:C1147,C1147)=1,ABS(SUMIFS(RAW_발주!$D:$D,RAW_발주!$C:$C,A1147,RAW_발주!$A:$A,C1147)-SUMIFS($W:$W,$A:$A,A1147,$C:$C,C1147)),0)</f>
        <v>0</v>
      </c>
    </row>
    <row r="1148" customFormat="false" ht="15" hidden="false" customHeight="true" outlineLevel="0" collapsed="false">
      <c r="A1148" s="45" t="s">
        <v>1661</v>
      </c>
      <c r="B1148" s="42" t="str">
        <f aca="false">IF(A1148="100","HK",IF(A1148="200","CN",IF(A1148="300","TW","홀세일")))</f>
        <v>TW</v>
      </c>
      <c r="C1148" s="45" t="s">
        <v>1087</v>
      </c>
      <c r="D1148" s="46" t="n">
        <v>220</v>
      </c>
      <c r="E1148" s="46" t="n">
        <v>119000</v>
      </c>
      <c r="F1148" s="46" t="n">
        <v>32000</v>
      </c>
      <c r="G1148" s="42" t="n">
        <v>3.38</v>
      </c>
      <c r="H1148" s="42" t="n">
        <v>34.3</v>
      </c>
      <c r="I1148" s="42" t="n">
        <v>25.5</v>
      </c>
      <c r="J1148" s="46" t="n">
        <f aca="false">IF(N(E1148)&gt;0,E1148,IF(N(F1148)&gt;0,F1148*요약!$F$27,0))</f>
        <v>119000</v>
      </c>
      <c r="K1148" s="46" t="n">
        <f aca="false">IF(N(F1148)&gt;0,F1148,IF(N(E1148)&gt;0,E1148/요약!$F$27,0))</f>
        <v>32000</v>
      </c>
      <c r="L1148" s="46" t="n">
        <f aca="false">IF(B1148="CN",IF(N(I1148)&gt;0,I1148*요약!$G$27,K1148*(1+요약!$E$27)),IF(N(H1148)&gt;0,H1148*요약!$G$27,J1148*요약!$D$27))</f>
        <v>45276</v>
      </c>
      <c r="M1148" s="46" t="n">
        <f aca="false">D1148*J1148</f>
        <v>26180000</v>
      </c>
      <c r="N1148" s="46" t="n">
        <f aca="false">D1148*K1148</f>
        <v>7040000</v>
      </c>
      <c r="O1148" s="46" t="n">
        <f aca="false">D1148*L1148</f>
        <v>9960720</v>
      </c>
      <c r="P1148" s="42" t="str">
        <f aca="false">TRIM(IF(N(E1148)&lt;=0,"택가보정 ","")&amp;IF(N(F1148)&lt;=0,"원가보정 ","")&amp;IF(AND(B1148&lt;&gt;"CN",N(H1148)&lt;=0),"공급가보정 ","")&amp;IF(AND(B1148="CN",N(I1148)&lt;=0),"중국공급가=원가+마진 ",""))</f>
        <v/>
      </c>
      <c r="Q1148" s="47" t="n">
        <f aca="false">IF(SUMIFS($W:$W,$A:$A,A1148,$C:$C,C1148)=0,0,SUMIFS(RAW_판매펀칭!$K:$K,RAW_판매펀칭!$P:$P,A1148,RAW_판매펀칭!$I:$I,C1148)*W1148/SUMIFS($W:$W,$A:$A,A1148,$C:$C,C1148))</f>
        <v>0</v>
      </c>
      <c r="R1148" s="47" t="n">
        <f aca="false">IF(OR(A1148="500",A1148="800",A1148="810"),0,MAX(W1148-Q1148,0))</f>
        <v>220</v>
      </c>
      <c r="S1148" s="47" t="n">
        <f aca="false">R1148*L1148</f>
        <v>9960720</v>
      </c>
      <c r="T1148" s="47" t="n">
        <f aca="false">R1148*J1148</f>
        <v>26180000</v>
      </c>
      <c r="U1148" s="47" t="n">
        <f aca="false">R1148*K1148</f>
        <v>7040000</v>
      </c>
      <c r="V1148" s="0" t="str">
        <f aca="false">IF(COUNTIFS($A$2:A1148,A1148,$C$2:C1148,C1148,$D$2:D1148,D1148)&gt;1,"중복","")</f>
        <v/>
      </c>
      <c r="W1148" s="0" t="n">
        <f aca="false">IF(V1148="중복",0,N(D1148))</f>
        <v>220</v>
      </c>
      <c r="X1148" s="0" t="n">
        <f aca="false">IF(COUNTIFS($A$2:A1148,A1148,$C$2:C1148,C1148)=1,ABS(SUMIFS(RAW_발주!$D:$D,RAW_발주!$C:$C,A1148,RAW_발주!$A:$A,C1148)-SUMIFS($W:$W,$A:$A,A1148,$C:$C,C1148)),0)</f>
        <v>0</v>
      </c>
    </row>
    <row r="1149" customFormat="false" ht="15" hidden="false" customHeight="true" outlineLevel="0" collapsed="false">
      <c r="A1149" s="45" t="s">
        <v>1659</v>
      </c>
      <c r="B1149" s="42" t="str">
        <f aca="false">IF(A1149="100","HK",IF(A1149="200","CN",IF(A1149="300","TW","홀세일")))</f>
        <v>HK</v>
      </c>
      <c r="C1149" s="45" t="s">
        <v>1700</v>
      </c>
      <c r="D1149" s="46" t="n">
        <v>260</v>
      </c>
      <c r="E1149" s="46" t="n">
        <v>139000</v>
      </c>
      <c r="F1149" s="46" t="n">
        <v>37000</v>
      </c>
      <c r="G1149" s="42" t="n">
        <v>3.42</v>
      </c>
      <c r="H1149" s="42" t="n">
        <v>40.1</v>
      </c>
      <c r="J1149" s="46" t="n">
        <f aca="false">IF(N(E1149)&gt;0,E1149,IF(N(F1149)&gt;0,F1149*요약!$F$27,0))</f>
        <v>139000</v>
      </c>
      <c r="K1149" s="46" t="n">
        <f aca="false">IF(N(F1149)&gt;0,F1149,IF(N(E1149)&gt;0,E1149/요약!$F$27,0))</f>
        <v>37000</v>
      </c>
      <c r="L1149" s="46" t="n">
        <f aca="false">IF(B1149="CN",IF(N(I1149)&gt;0,I1149*요약!$G$27,K1149*(1+요약!$E$27)),IF(N(H1149)&gt;0,H1149*요약!$G$27,J1149*요약!$D$27))</f>
        <v>52932</v>
      </c>
      <c r="M1149" s="46" t="n">
        <f aca="false">D1149*J1149</f>
        <v>36140000</v>
      </c>
      <c r="N1149" s="46" t="n">
        <f aca="false">D1149*K1149</f>
        <v>9620000</v>
      </c>
      <c r="O1149" s="46" t="n">
        <f aca="false">D1149*L1149</f>
        <v>13762320</v>
      </c>
      <c r="P1149" s="42" t="str">
        <f aca="false">TRIM(IF(N(E1149)&lt;=0,"택가보정 ","")&amp;IF(N(F1149)&lt;=0,"원가보정 ","")&amp;IF(AND(B1149&lt;&gt;"CN",N(H1149)&lt;=0),"공급가보정 ","")&amp;IF(AND(B1149="CN",N(I1149)&lt;=0),"중국공급가=원가+마진 ",""))</f>
        <v/>
      </c>
      <c r="Q1149" s="47" t="n">
        <f aca="false">IF(SUMIFS($W:$W,$A:$A,A1149,$C:$C,C1149)=0,0,SUMIFS(RAW_판매펀칭!$K:$K,RAW_판매펀칭!$P:$P,A1149,RAW_판매펀칭!$I:$I,C1149)*W1149/SUMIFS($W:$W,$A:$A,A1149,$C:$C,C1149))</f>
        <v>0</v>
      </c>
      <c r="R1149" s="47" t="n">
        <f aca="false">IF(OR(A1149="500",A1149="800",A1149="810"),0,MAX(W1149-Q1149,0))</f>
        <v>260</v>
      </c>
      <c r="S1149" s="47" t="n">
        <f aca="false">R1149*L1149</f>
        <v>13762320</v>
      </c>
      <c r="T1149" s="47" t="n">
        <f aca="false">R1149*J1149</f>
        <v>36140000</v>
      </c>
      <c r="U1149" s="47" t="n">
        <f aca="false">R1149*K1149</f>
        <v>9620000</v>
      </c>
      <c r="V1149" s="0" t="str">
        <f aca="false">IF(COUNTIFS($A$2:A1149,A1149,$C$2:C1149,C1149,$D$2:D1149,D1149)&gt;1,"중복","")</f>
        <v/>
      </c>
      <c r="W1149" s="0" t="n">
        <f aca="false">IF(V1149="중복",0,N(D1149))</f>
        <v>260</v>
      </c>
      <c r="X1149" s="0" t="n">
        <f aca="false">IF(COUNTIFS($A$2:A1149,A1149,$C$2:C1149,C1149)=1,ABS(SUMIFS(RAW_발주!$D:$D,RAW_발주!$C:$C,A1149,RAW_발주!$A:$A,C1149)-SUMIFS($W:$W,$A:$A,A1149,$C:$C,C1149)),0)</f>
        <v>0</v>
      </c>
    </row>
    <row r="1150" customFormat="false" ht="15" hidden="false" customHeight="true" outlineLevel="0" collapsed="false">
      <c r="A1150" s="45" t="s">
        <v>1661</v>
      </c>
      <c r="B1150" s="42" t="str">
        <f aca="false">IF(A1150="100","HK",IF(A1150="200","CN",IF(A1150="300","TW","홀세일")))</f>
        <v>TW</v>
      </c>
      <c r="C1150" s="45" t="s">
        <v>1700</v>
      </c>
      <c r="D1150" s="46" t="n">
        <v>600</v>
      </c>
      <c r="E1150" s="46" t="n">
        <v>139000</v>
      </c>
      <c r="F1150" s="46" t="n">
        <v>37000</v>
      </c>
      <c r="G1150" s="42" t="n">
        <v>3.42</v>
      </c>
      <c r="H1150" s="42" t="n">
        <v>40.1</v>
      </c>
      <c r="J1150" s="46" t="n">
        <f aca="false">IF(N(E1150)&gt;0,E1150,IF(N(F1150)&gt;0,F1150*요약!$F$27,0))</f>
        <v>139000</v>
      </c>
      <c r="K1150" s="46" t="n">
        <f aca="false">IF(N(F1150)&gt;0,F1150,IF(N(E1150)&gt;0,E1150/요약!$F$27,0))</f>
        <v>37000</v>
      </c>
      <c r="L1150" s="46" t="n">
        <f aca="false">IF(B1150="CN",IF(N(I1150)&gt;0,I1150*요약!$G$27,K1150*(1+요약!$E$27)),IF(N(H1150)&gt;0,H1150*요약!$G$27,J1150*요약!$D$27))</f>
        <v>52932</v>
      </c>
      <c r="M1150" s="46" t="n">
        <f aca="false">D1150*J1150</f>
        <v>83400000</v>
      </c>
      <c r="N1150" s="46" t="n">
        <f aca="false">D1150*K1150</f>
        <v>22200000</v>
      </c>
      <c r="O1150" s="46" t="n">
        <f aca="false">D1150*L1150</f>
        <v>31759200</v>
      </c>
      <c r="P1150" s="42" t="str">
        <f aca="false">TRIM(IF(N(E1150)&lt;=0,"택가보정 ","")&amp;IF(N(F1150)&lt;=0,"원가보정 ","")&amp;IF(AND(B1150&lt;&gt;"CN",N(H1150)&lt;=0),"공급가보정 ","")&amp;IF(AND(B1150="CN",N(I1150)&lt;=0),"중국공급가=원가+마진 ",""))</f>
        <v/>
      </c>
      <c r="Q1150" s="47" t="n">
        <f aca="false">IF(SUMIFS($W:$W,$A:$A,A1150,$C:$C,C1150)=0,0,SUMIFS(RAW_판매펀칭!$K:$K,RAW_판매펀칭!$P:$P,A1150,RAW_판매펀칭!$I:$I,C1150)*W1150/SUMIFS($W:$W,$A:$A,A1150,$C:$C,C1150))</f>
        <v>0</v>
      </c>
      <c r="R1150" s="47" t="n">
        <f aca="false">IF(OR(A1150="500",A1150="800",A1150="810"),0,MAX(W1150-Q1150,0))</f>
        <v>600</v>
      </c>
      <c r="S1150" s="47" t="n">
        <f aca="false">R1150*L1150</f>
        <v>31759200</v>
      </c>
      <c r="T1150" s="47" t="n">
        <f aca="false">R1150*J1150</f>
        <v>83400000</v>
      </c>
      <c r="U1150" s="47" t="n">
        <f aca="false">R1150*K1150</f>
        <v>22200000</v>
      </c>
      <c r="V1150" s="0" t="str">
        <f aca="false">IF(COUNTIFS($A$2:A1150,A1150,$C$2:C1150,C1150,$D$2:D1150,D1150)&gt;1,"중복","")</f>
        <v/>
      </c>
      <c r="W1150" s="0" t="n">
        <f aca="false">IF(V1150="중복",0,N(D1150))</f>
        <v>600</v>
      </c>
      <c r="X1150" s="0" t="n">
        <f aca="false">IF(COUNTIFS($A$2:A1150,A1150,$C$2:C1150,C1150)=1,ABS(SUMIFS(RAW_발주!$D:$D,RAW_발주!$C:$C,A1150,RAW_발주!$A:$A,C1150)-SUMIFS($W:$W,$A:$A,A1150,$C:$C,C1150)),0)</f>
        <v>0</v>
      </c>
    </row>
    <row r="1151" customFormat="false" ht="15" hidden="false" customHeight="true" outlineLevel="0" collapsed="false">
      <c r="A1151" s="45" t="s">
        <v>1667</v>
      </c>
      <c r="B1151" s="42" t="str">
        <f aca="false">IF(A1151="100","HK",IF(A1151="200","CN",IF(A1151="300","TW","홀세일")))</f>
        <v>홀세일</v>
      </c>
      <c r="C1151" s="45" t="s">
        <v>1700</v>
      </c>
      <c r="D1151" s="46" t="n">
        <v>523</v>
      </c>
      <c r="E1151" s="46" t="n">
        <v>139000</v>
      </c>
      <c r="F1151" s="46" t="n">
        <v>37000</v>
      </c>
      <c r="G1151" s="42" t="n">
        <v>3.42</v>
      </c>
      <c r="H1151" s="42" t="n">
        <v>40.1</v>
      </c>
      <c r="J1151" s="46" t="n">
        <f aca="false">IF(N(E1151)&gt;0,E1151,IF(N(F1151)&gt;0,F1151*요약!$F$27,0))</f>
        <v>139000</v>
      </c>
      <c r="K1151" s="46" t="n">
        <f aca="false">IF(N(F1151)&gt;0,F1151,IF(N(E1151)&gt;0,E1151/요약!$F$27,0))</f>
        <v>37000</v>
      </c>
      <c r="L1151" s="46" t="n">
        <f aca="false">IF(B1151="CN",IF(N(I1151)&gt;0,I1151*요약!$G$27,K1151*(1+요약!$E$27)),IF(N(H1151)&gt;0,H1151*요약!$G$27,J1151*요약!$D$27))</f>
        <v>52932</v>
      </c>
      <c r="M1151" s="46" t="n">
        <f aca="false">D1151*J1151</f>
        <v>72697000</v>
      </c>
      <c r="N1151" s="46" t="n">
        <f aca="false">D1151*K1151</f>
        <v>19351000</v>
      </c>
      <c r="O1151" s="46" t="n">
        <f aca="false">D1151*L1151</f>
        <v>27683436</v>
      </c>
      <c r="P1151" s="42" t="str">
        <f aca="false">TRIM(IF(N(E1151)&lt;=0,"택가보정 ","")&amp;IF(N(F1151)&lt;=0,"원가보정 ","")&amp;IF(AND(B1151&lt;&gt;"CN",N(H1151)&lt;=0),"공급가보정 ","")&amp;IF(AND(B1151="CN",N(I1151)&lt;=0),"중국공급가=원가+마진 ",""))</f>
        <v/>
      </c>
      <c r="Q1151" s="47" t="n">
        <f aca="false">IF(SUMIFS($W:$W,$A:$A,A1151,$C:$C,C1151)=0,0,SUMIFS(RAW_판매펀칭!$K:$K,RAW_판매펀칭!$P:$P,A1151,RAW_판매펀칭!$I:$I,C1151)*W1151/SUMIFS($W:$W,$A:$A,A1151,$C:$C,C1151))</f>
        <v>0</v>
      </c>
      <c r="R1151" s="47" t="n">
        <f aca="false">IF(OR(A1151="500",A1151="800",A1151="810"),0,MAX(W1151-Q1151,0))</f>
        <v>523</v>
      </c>
      <c r="S1151" s="47" t="n">
        <f aca="false">R1151*L1151</f>
        <v>27683436</v>
      </c>
      <c r="T1151" s="47" t="n">
        <f aca="false">R1151*J1151</f>
        <v>72697000</v>
      </c>
      <c r="U1151" s="47" t="n">
        <f aca="false">R1151*K1151</f>
        <v>19351000</v>
      </c>
      <c r="V1151" s="0" t="str">
        <f aca="false">IF(COUNTIFS($A$2:A1151,A1151,$C$2:C1151,C1151,$D$2:D1151,D1151)&gt;1,"중복","")</f>
        <v/>
      </c>
      <c r="W1151" s="0" t="n">
        <f aca="false">IF(V1151="중복",0,N(D1151))</f>
        <v>523</v>
      </c>
      <c r="X1151" s="0" t="n">
        <f aca="false">IF(COUNTIFS($A$2:A1151,A1151,$C$2:C1151,C1151)=1,ABS(SUMIFS(RAW_발주!$D:$D,RAW_발주!$C:$C,A1151,RAW_발주!$A:$A,C1151)-SUMIFS($W:$W,$A:$A,A1151,$C:$C,C1151)),0)</f>
        <v>0</v>
      </c>
    </row>
    <row r="1152" customFormat="false" ht="15" hidden="false" customHeight="true" outlineLevel="0" collapsed="false">
      <c r="A1152" s="45" t="s">
        <v>1660</v>
      </c>
      <c r="B1152" s="42" t="str">
        <f aca="false">IF(A1152="100","HK",IF(A1152="200","CN",IF(A1152="300","TW","홀세일")))</f>
        <v>CN</v>
      </c>
      <c r="C1152" s="45" t="s">
        <v>1089</v>
      </c>
      <c r="D1152" s="46" t="n">
        <v>152</v>
      </c>
      <c r="E1152" s="46" t="n">
        <v>109000</v>
      </c>
      <c r="F1152" s="46" t="n">
        <v>33000</v>
      </c>
      <c r="G1152" s="42" t="n">
        <v>3.45</v>
      </c>
      <c r="H1152" s="42" t="n">
        <v>31.5</v>
      </c>
      <c r="I1152" s="42" t="n">
        <v>22.9</v>
      </c>
      <c r="J1152" s="46" t="n">
        <f aca="false">IF(N(E1152)&gt;0,E1152,IF(N(F1152)&gt;0,F1152*요약!$F$27,0))</f>
        <v>109000</v>
      </c>
      <c r="K1152" s="46" t="n">
        <f aca="false">IF(N(F1152)&gt;0,F1152,IF(N(E1152)&gt;0,E1152/요약!$F$27,0))</f>
        <v>33000</v>
      </c>
      <c r="L1152" s="46" t="n">
        <f aca="false">IF(B1152="CN",IF(N(I1152)&gt;0,I1152*요약!$G$27,K1152*(1+요약!$E$27)),IF(N(H1152)&gt;0,H1152*요약!$G$27,J1152*요약!$D$27))</f>
        <v>30228</v>
      </c>
      <c r="M1152" s="46" t="n">
        <f aca="false">D1152*J1152</f>
        <v>16568000</v>
      </c>
      <c r="N1152" s="46" t="n">
        <f aca="false">D1152*K1152</f>
        <v>5016000</v>
      </c>
      <c r="O1152" s="46" t="n">
        <f aca="false">D1152*L1152</f>
        <v>4594656</v>
      </c>
      <c r="P1152" s="42" t="str">
        <f aca="false">TRIM(IF(N(E1152)&lt;=0,"택가보정 ","")&amp;IF(N(F1152)&lt;=0,"원가보정 ","")&amp;IF(AND(B1152&lt;&gt;"CN",N(H1152)&lt;=0),"공급가보정 ","")&amp;IF(AND(B1152="CN",N(I1152)&lt;=0),"중국공급가=원가+마진 ",""))</f>
        <v/>
      </c>
      <c r="Q1152" s="47" t="n">
        <f aca="false">IF(SUMIFS($W:$W,$A:$A,A1152,$C:$C,C1152)=0,0,SUMIFS(RAW_판매펀칭!$K:$K,RAW_판매펀칭!$P:$P,A1152,RAW_판매펀칭!$I:$I,C1152)*W1152/SUMIFS($W:$W,$A:$A,A1152,$C:$C,C1152))</f>
        <v>152</v>
      </c>
      <c r="R1152" s="47" t="n">
        <f aca="false">IF(OR(A1152="500",A1152="800",A1152="810"),0,MAX(W1152-Q1152,0))</f>
        <v>0</v>
      </c>
      <c r="S1152" s="47" t="n">
        <f aca="false">R1152*L1152</f>
        <v>0</v>
      </c>
      <c r="T1152" s="47" t="n">
        <f aca="false">R1152*J1152</f>
        <v>0</v>
      </c>
      <c r="U1152" s="47" t="n">
        <f aca="false">R1152*K1152</f>
        <v>0</v>
      </c>
      <c r="V1152" s="0" t="str">
        <f aca="false">IF(COUNTIFS($A$2:A1152,A1152,$C$2:C1152,C1152,$D$2:D1152,D1152)&gt;1,"중복","")</f>
        <v/>
      </c>
      <c r="W1152" s="0" t="n">
        <f aca="false">IF(V1152="중복",0,N(D1152))</f>
        <v>152</v>
      </c>
      <c r="X1152" s="0" t="n">
        <f aca="false">IF(COUNTIFS($A$2:A1152,A1152,$C$2:C1152,C1152)=1,ABS(SUMIFS(RAW_발주!$D:$D,RAW_발주!$C:$C,A1152,RAW_발주!$A:$A,C1152)-SUMIFS($W:$W,$A:$A,A1152,$C:$C,C1152)),0)</f>
        <v>0</v>
      </c>
    </row>
    <row r="1153" customFormat="false" ht="15" hidden="false" customHeight="true" outlineLevel="0" collapsed="false">
      <c r="A1153" s="45" t="s">
        <v>1663</v>
      </c>
      <c r="B1153" s="42" t="str">
        <f aca="false">IF(A1153="100","HK",IF(A1153="200","CN",IF(A1153="300","TW","홀세일")))</f>
        <v>홀세일</v>
      </c>
      <c r="C1153" s="45" t="s">
        <v>1089</v>
      </c>
      <c r="D1153" s="46" t="n">
        <v>70</v>
      </c>
      <c r="E1153" s="46" t="n">
        <v>109000</v>
      </c>
      <c r="F1153" s="46" t="n">
        <v>33000</v>
      </c>
      <c r="G1153" s="42" t="n">
        <v>3.45</v>
      </c>
      <c r="H1153" s="42" t="n">
        <v>31.5</v>
      </c>
      <c r="I1153" s="42" t="n">
        <v>22.9</v>
      </c>
      <c r="J1153" s="46" t="n">
        <f aca="false">IF(N(E1153)&gt;0,E1153,IF(N(F1153)&gt;0,F1153*요약!$F$27,0))</f>
        <v>109000</v>
      </c>
      <c r="K1153" s="46" t="n">
        <f aca="false">IF(N(F1153)&gt;0,F1153,IF(N(E1153)&gt;0,E1153/요약!$F$27,0))</f>
        <v>33000</v>
      </c>
      <c r="L1153" s="46" t="n">
        <f aca="false">IF(B1153="CN",IF(N(I1153)&gt;0,I1153*요약!$G$27,K1153*(1+요약!$E$27)),IF(N(H1153)&gt;0,H1153*요약!$G$27,J1153*요약!$D$27))</f>
        <v>41580</v>
      </c>
      <c r="M1153" s="46" t="n">
        <f aca="false">D1153*J1153</f>
        <v>7630000</v>
      </c>
      <c r="N1153" s="46" t="n">
        <f aca="false">D1153*K1153</f>
        <v>2310000</v>
      </c>
      <c r="O1153" s="46" t="n">
        <f aca="false">D1153*L1153</f>
        <v>2910600</v>
      </c>
      <c r="P1153" s="42" t="str">
        <f aca="false">TRIM(IF(N(E1153)&lt;=0,"택가보정 ","")&amp;IF(N(F1153)&lt;=0,"원가보정 ","")&amp;IF(AND(B1153&lt;&gt;"CN",N(H1153)&lt;=0),"공급가보정 ","")&amp;IF(AND(B1153="CN",N(I1153)&lt;=0),"중국공급가=원가+마진 ",""))</f>
        <v/>
      </c>
      <c r="Q1153" s="47" t="n">
        <f aca="false">IF(SUMIFS($W:$W,$A:$A,A1153,$C:$C,C1153)=0,0,SUMIFS(RAW_판매펀칭!$K:$K,RAW_판매펀칭!$P:$P,A1153,RAW_판매펀칭!$I:$I,C1153)*W1153/SUMIFS($W:$W,$A:$A,A1153,$C:$C,C1153))</f>
        <v>0</v>
      </c>
      <c r="R1153" s="47" t="n">
        <f aca="false">IF(OR(A1153="500",A1153="800",A1153="810"),0,MAX(W1153-Q1153,0))</f>
        <v>70</v>
      </c>
      <c r="S1153" s="47" t="n">
        <f aca="false">R1153*L1153</f>
        <v>2910600</v>
      </c>
      <c r="T1153" s="47" t="n">
        <f aca="false">R1153*J1153</f>
        <v>7630000</v>
      </c>
      <c r="U1153" s="47" t="n">
        <f aca="false">R1153*K1153</f>
        <v>2310000</v>
      </c>
      <c r="V1153" s="0" t="str">
        <f aca="false">IF(COUNTIFS($A$2:A1153,A1153,$C$2:C1153,C1153,$D$2:D1153,D1153)&gt;1,"중복","")</f>
        <v/>
      </c>
      <c r="W1153" s="0" t="n">
        <f aca="false">IF(V1153="중복",0,N(D1153))</f>
        <v>70</v>
      </c>
      <c r="X1153" s="0" t="n">
        <f aca="false">IF(COUNTIFS($A$2:A1153,A1153,$C$2:C1153,C1153)=1,ABS(SUMIFS(RAW_발주!$D:$D,RAW_발주!$C:$C,A1153,RAW_발주!$A:$A,C1153)-SUMIFS($W:$W,$A:$A,A1153,$C:$C,C1153)),0)</f>
        <v>0</v>
      </c>
    </row>
    <row r="1154" customFormat="false" ht="15" hidden="false" customHeight="true" outlineLevel="0" collapsed="false">
      <c r="A1154" s="45" t="s">
        <v>1659</v>
      </c>
      <c r="B1154" s="42" t="str">
        <f aca="false">IF(A1154="100","HK",IF(A1154="200","CN",IF(A1154="300","TW","홀세일")))</f>
        <v>HK</v>
      </c>
      <c r="C1154" s="45" t="s">
        <v>539</v>
      </c>
      <c r="D1154" s="46" t="n">
        <v>180</v>
      </c>
      <c r="E1154" s="46" t="n">
        <v>99000</v>
      </c>
      <c r="F1154" s="46" t="n">
        <v>25000</v>
      </c>
      <c r="G1154" s="42" t="n">
        <v>3.33</v>
      </c>
      <c r="H1154" s="42" t="n">
        <v>25.7</v>
      </c>
      <c r="J1154" s="46" t="n">
        <f aca="false">IF(N(E1154)&gt;0,E1154,IF(N(F1154)&gt;0,F1154*요약!$F$27,0))</f>
        <v>99000</v>
      </c>
      <c r="K1154" s="46" t="n">
        <f aca="false">IF(N(F1154)&gt;0,F1154,IF(N(E1154)&gt;0,E1154/요약!$F$27,0))</f>
        <v>25000</v>
      </c>
      <c r="L1154" s="46" t="n">
        <f aca="false">IF(B1154="CN",IF(N(I1154)&gt;0,I1154*요약!$G$27,K1154*(1+요약!$E$27)),IF(N(H1154)&gt;0,H1154*요약!$G$27,J1154*요약!$D$27))</f>
        <v>33924</v>
      </c>
      <c r="M1154" s="46" t="n">
        <f aca="false">D1154*J1154</f>
        <v>17820000</v>
      </c>
      <c r="N1154" s="46" t="n">
        <f aca="false">D1154*K1154</f>
        <v>4500000</v>
      </c>
      <c r="O1154" s="46" t="n">
        <f aca="false">D1154*L1154</f>
        <v>6106320</v>
      </c>
      <c r="P1154" s="42" t="str">
        <f aca="false">TRIM(IF(N(E1154)&lt;=0,"택가보정 ","")&amp;IF(N(F1154)&lt;=0,"원가보정 ","")&amp;IF(AND(B1154&lt;&gt;"CN",N(H1154)&lt;=0),"공급가보정 ","")&amp;IF(AND(B1154="CN",N(I1154)&lt;=0),"중국공급가=원가+마진 ",""))</f>
        <v/>
      </c>
      <c r="Q1154" s="47" t="n">
        <f aca="false">IF(SUMIFS($W:$W,$A:$A,A1154,$C:$C,C1154)=0,0,SUMIFS(RAW_판매펀칭!$K:$K,RAW_판매펀칭!$P:$P,A1154,RAW_판매펀칭!$I:$I,C1154)*W1154/SUMIFS($W:$W,$A:$A,A1154,$C:$C,C1154))</f>
        <v>180</v>
      </c>
      <c r="R1154" s="47" t="n">
        <f aca="false">IF(OR(A1154="500",A1154="800",A1154="810"),0,MAX(W1154-Q1154,0))</f>
        <v>0</v>
      </c>
      <c r="S1154" s="47" t="n">
        <f aca="false">R1154*L1154</f>
        <v>0</v>
      </c>
      <c r="T1154" s="47" t="n">
        <f aca="false">R1154*J1154</f>
        <v>0</v>
      </c>
      <c r="U1154" s="47" t="n">
        <f aca="false">R1154*K1154</f>
        <v>0</v>
      </c>
      <c r="V1154" s="0" t="str">
        <f aca="false">IF(COUNTIFS($A$2:A1154,A1154,$C$2:C1154,C1154,$D$2:D1154,D1154)&gt;1,"중복","")</f>
        <v/>
      </c>
      <c r="W1154" s="0" t="n">
        <f aca="false">IF(V1154="중복",0,N(D1154))</f>
        <v>180</v>
      </c>
      <c r="X1154" s="0" t="n">
        <f aca="false">IF(COUNTIFS($A$2:A1154,A1154,$C$2:C1154,C1154)=1,ABS(SUMIFS(RAW_발주!$D:$D,RAW_발주!$C:$C,A1154,RAW_발주!$A:$A,C1154)-SUMIFS($W:$W,$A:$A,A1154,$C:$C,C1154)),0)</f>
        <v>0</v>
      </c>
    </row>
    <row r="1155" customFormat="false" ht="15" hidden="false" customHeight="true" outlineLevel="0" collapsed="false">
      <c r="A1155" s="45" t="s">
        <v>1661</v>
      </c>
      <c r="B1155" s="42" t="str">
        <f aca="false">IF(A1155="100","HK",IF(A1155="200","CN",IF(A1155="300","TW","홀세일")))</f>
        <v>TW</v>
      </c>
      <c r="C1155" s="45" t="s">
        <v>539</v>
      </c>
      <c r="D1155" s="46" t="n">
        <v>370</v>
      </c>
      <c r="E1155" s="46" t="n">
        <v>99000</v>
      </c>
      <c r="F1155" s="46" t="n">
        <v>25000</v>
      </c>
      <c r="G1155" s="42" t="n">
        <v>3.33</v>
      </c>
      <c r="H1155" s="42" t="n">
        <v>25.7</v>
      </c>
      <c r="J1155" s="46" t="n">
        <f aca="false">IF(N(E1155)&gt;0,E1155,IF(N(F1155)&gt;0,F1155*요약!$F$27,0))</f>
        <v>99000</v>
      </c>
      <c r="K1155" s="46" t="n">
        <f aca="false">IF(N(F1155)&gt;0,F1155,IF(N(E1155)&gt;0,E1155/요약!$F$27,0))</f>
        <v>25000</v>
      </c>
      <c r="L1155" s="46" t="n">
        <f aca="false">IF(B1155="CN",IF(N(I1155)&gt;0,I1155*요약!$G$27,K1155*(1+요약!$E$27)),IF(N(H1155)&gt;0,H1155*요약!$G$27,J1155*요약!$D$27))</f>
        <v>33924</v>
      </c>
      <c r="M1155" s="46" t="n">
        <f aca="false">D1155*J1155</f>
        <v>36630000</v>
      </c>
      <c r="N1155" s="46" t="n">
        <f aca="false">D1155*K1155</f>
        <v>9250000</v>
      </c>
      <c r="O1155" s="46" t="n">
        <f aca="false">D1155*L1155</f>
        <v>12551880</v>
      </c>
      <c r="P1155" s="42" t="str">
        <f aca="false">TRIM(IF(N(E1155)&lt;=0,"택가보정 ","")&amp;IF(N(F1155)&lt;=0,"원가보정 ","")&amp;IF(AND(B1155&lt;&gt;"CN",N(H1155)&lt;=0),"공급가보정 ","")&amp;IF(AND(B1155="CN",N(I1155)&lt;=0),"중국공급가=원가+마진 ",""))</f>
        <v/>
      </c>
      <c r="Q1155" s="47" t="n">
        <f aca="false">IF(SUMIFS($W:$W,$A:$A,A1155,$C:$C,C1155)=0,0,SUMIFS(RAW_판매펀칭!$K:$K,RAW_판매펀칭!$P:$P,A1155,RAW_판매펀칭!$I:$I,C1155)*W1155/SUMIFS($W:$W,$A:$A,A1155,$C:$C,C1155))</f>
        <v>370</v>
      </c>
      <c r="R1155" s="47" t="n">
        <f aca="false">IF(OR(A1155="500",A1155="800",A1155="810"),0,MAX(W1155-Q1155,0))</f>
        <v>0</v>
      </c>
      <c r="S1155" s="47" t="n">
        <f aca="false">R1155*L1155</f>
        <v>0</v>
      </c>
      <c r="T1155" s="47" t="n">
        <f aca="false">R1155*J1155</f>
        <v>0</v>
      </c>
      <c r="U1155" s="47" t="n">
        <f aca="false">R1155*K1155</f>
        <v>0</v>
      </c>
      <c r="V1155" s="0" t="str">
        <f aca="false">IF(COUNTIFS($A$2:A1155,A1155,$C$2:C1155,C1155,$D$2:D1155,D1155)&gt;1,"중복","")</f>
        <v/>
      </c>
      <c r="W1155" s="0" t="n">
        <f aca="false">IF(V1155="중복",0,N(D1155))</f>
        <v>370</v>
      </c>
      <c r="X1155" s="0" t="n">
        <f aca="false">IF(COUNTIFS($A$2:A1155,A1155,$C$2:C1155,C1155)=1,ABS(SUMIFS(RAW_발주!$D:$D,RAW_발주!$C:$C,A1155,RAW_발주!$A:$A,C1155)-SUMIFS($W:$W,$A:$A,A1155,$C:$C,C1155)),0)</f>
        <v>0</v>
      </c>
    </row>
    <row r="1156" customFormat="false" ht="15" hidden="false" customHeight="true" outlineLevel="0" collapsed="false">
      <c r="A1156" s="45" t="s">
        <v>1661</v>
      </c>
      <c r="B1156" s="42" t="str">
        <f aca="false">IF(A1156="100","HK",IF(A1156="200","CN",IF(A1156="300","TW","홀세일")))</f>
        <v>TW</v>
      </c>
      <c r="C1156" s="45" t="s">
        <v>1701</v>
      </c>
      <c r="D1156" s="46" t="n">
        <v>150</v>
      </c>
      <c r="E1156" s="46"/>
      <c r="F1156" s="46" t="n">
        <v>32000</v>
      </c>
      <c r="G1156" s="42" t="n">
        <v>0</v>
      </c>
      <c r="J1156" s="46" t="n">
        <f aca="false">IF(N(E1156)&gt;0,E1156,IF(N(F1156)&gt;0,F1156*요약!$F$27,0))</f>
        <v>128000</v>
      </c>
      <c r="K1156" s="46" t="n">
        <f aca="false">IF(N(F1156)&gt;0,F1156,IF(N(E1156)&gt;0,E1156/요약!$F$27,0))</f>
        <v>32000</v>
      </c>
      <c r="L1156" s="46" t="n">
        <f aca="false">IF(B1156="CN",IF(N(I1156)&gt;0,I1156*요약!$G$27,K1156*(1+요약!$E$27)),IF(N(H1156)&gt;0,H1156*요약!$G$27,J1156*요약!$D$27))</f>
        <v>42240</v>
      </c>
      <c r="M1156" s="46" t="n">
        <f aca="false">D1156*J1156</f>
        <v>19200000</v>
      </c>
      <c r="N1156" s="46" t="n">
        <f aca="false">D1156*K1156</f>
        <v>4800000</v>
      </c>
      <c r="O1156" s="46" t="n">
        <f aca="false">D1156*L1156</f>
        <v>6336000</v>
      </c>
      <c r="P1156" s="42" t="str">
        <f aca="false">TRIM(IF(N(E1156)&lt;=0,"택가보정 ","")&amp;IF(N(F1156)&lt;=0,"원가보정 ","")&amp;IF(AND(B1156&lt;&gt;"CN",N(H1156)&lt;=0),"공급가보정 ","")&amp;IF(AND(B1156="CN",N(I1156)&lt;=0),"중국공급가=원가+마진 ",""))</f>
        <v>택가보정 공급가보정</v>
      </c>
      <c r="Q1156" s="47" t="n">
        <f aca="false">IF(SUMIFS($W:$W,$A:$A,A1156,$C:$C,C1156)=0,0,SUMIFS(RAW_판매펀칭!$K:$K,RAW_판매펀칭!$P:$P,A1156,RAW_판매펀칭!$I:$I,C1156)*W1156/SUMIFS($W:$W,$A:$A,A1156,$C:$C,C1156))</f>
        <v>0</v>
      </c>
      <c r="R1156" s="47" t="n">
        <f aca="false">IF(OR(A1156="500",A1156="800",A1156="810"),0,MAX(W1156-Q1156,0))</f>
        <v>150</v>
      </c>
      <c r="S1156" s="47" t="n">
        <f aca="false">R1156*L1156</f>
        <v>6336000</v>
      </c>
      <c r="T1156" s="47" t="n">
        <f aca="false">R1156*J1156</f>
        <v>19200000</v>
      </c>
      <c r="U1156" s="47" t="n">
        <f aca="false">R1156*K1156</f>
        <v>4800000</v>
      </c>
      <c r="V1156" s="0" t="str">
        <f aca="false">IF(COUNTIFS($A$2:A1156,A1156,$C$2:C1156,C1156,$D$2:D1156,D1156)&gt;1,"중복","")</f>
        <v/>
      </c>
      <c r="W1156" s="0" t="n">
        <f aca="false">IF(V1156="중복",0,N(D1156))</f>
        <v>150</v>
      </c>
      <c r="X1156" s="0" t="n">
        <f aca="false">IF(COUNTIFS($A$2:A1156,A1156,$C$2:C1156,C1156)=1,ABS(SUMIFS(RAW_발주!$D:$D,RAW_발주!$C:$C,A1156,RAW_발주!$A:$A,C1156)-SUMIFS($W:$W,$A:$A,A1156,$C:$C,C1156)),0)</f>
        <v>0</v>
      </c>
    </row>
    <row r="1157" customFormat="false" ht="15" hidden="false" customHeight="true" outlineLevel="0" collapsed="false">
      <c r="A1157" s="45" t="s">
        <v>1659</v>
      </c>
      <c r="B1157" s="42" t="str">
        <f aca="false">IF(A1157="100","HK",IF(A1157="200","CN",IF(A1157="300","TW","홀세일")))</f>
        <v>HK</v>
      </c>
      <c r="C1157" s="45" t="s">
        <v>541</v>
      </c>
      <c r="D1157" s="46" t="n">
        <v>90</v>
      </c>
      <c r="E1157" s="46" t="n">
        <v>159000</v>
      </c>
      <c r="F1157" s="46" t="n">
        <v>31101</v>
      </c>
      <c r="G1157" s="42" t="n">
        <v>4.07</v>
      </c>
      <c r="H1157" s="42" t="n">
        <v>37.4</v>
      </c>
      <c r="I1157" s="42" t="n">
        <v>25.5</v>
      </c>
      <c r="J1157" s="46" t="n">
        <f aca="false">IF(N(E1157)&gt;0,E1157,IF(N(F1157)&gt;0,F1157*요약!$F$27,0))</f>
        <v>159000</v>
      </c>
      <c r="K1157" s="46" t="n">
        <f aca="false">IF(N(F1157)&gt;0,F1157,IF(N(E1157)&gt;0,E1157/요약!$F$27,0))</f>
        <v>31101</v>
      </c>
      <c r="L1157" s="46" t="n">
        <f aca="false">IF(B1157="CN",IF(N(I1157)&gt;0,I1157*요약!$G$27,K1157*(1+요약!$E$27)),IF(N(H1157)&gt;0,H1157*요약!$G$27,J1157*요약!$D$27))</f>
        <v>49368</v>
      </c>
      <c r="M1157" s="46" t="n">
        <f aca="false">D1157*J1157</f>
        <v>14310000</v>
      </c>
      <c r="N1157" s="46" t="n">
        <f aca="false">D1157*K1157</f>
        <v>2799090</v>
      </c>
      <c r="O1157" s="46" t="n">
        <f aca="false">D1157*L1157</f>
        <v>4443120</v>
      </c>
      <c r="P1157" s="42" t="str">
        <f aca="false">TRIM(IF(N(E1157)&lt;=0,"택가보정 ","")&amp;IF(N(F1157)&lt;=0,"원가보정 ","")&amp;IF(AND(B1157&lt;&gt;"CN",N(H1157)&lt;=0),"공급가보정 ","")&amp;IF(AND(B1157="CN",N(I1157)&lt;=0),"중국공급가=원가+마진 ",""))</f>
        <v/>
      </c>
      <c r="Q1157" s="47" t="n">
        <f aca="false">IF(SUMIFS($W:$W,$A:$A,A1157,$C:$C,C1157)=0,0,SUMIFS(RAW_판매펀칭!$K:$K,RAW_판매펀칭!$P:$P,A1157,RAW_판매펀칭!$I:$I,C1157)*W1157/SUMIFS($W:$W,$A:$A,A1157,$C:$C,C1157))</f>
        <v>90</v>
      </c>
      <c r="R1157" s="47" t="n">
        <f aca="false">IF(OR(A1157="500",A1157="800",A1157="810"),0,MAX(W1157-Q1157,0))</f>
        <v>0</v>
      </c>
      <c r="S1157" s="47" t="n">
        <f aca="false">R1157*L1157</f>
        <v>0</v>
      </c>
      <c r="T1157" s="47" t="n">
        <f aca="false">R1157*J1157</f>
        <v>0</v>
      </c>
      <c r="U1157" s="47" t="n">
        <f aca="false">R1157*K1157</f>
        <v>0</v>
      </c>
      <c r="V1157" s="0" t="str">
        <f aca="false">IF(COUNTIFS($A$2:A1157,A1157,$C$2:C1157,C1157,$D$2:D1157,D1157)&gt;1,"중복","")</f>
        <v/>
      </c>
      <c r="W1157" s="0" t="n">
        <f aca="false">IF(V1157="중복",0,N(D1157))</f>
        <v>90</v>
      </c>
      <c r="X1157" s="0" t="n">
        <f aca="false">IF(COUNTIFS($A$2:A1157,A1157,$C$2:C1157,C1157)=1,ABS(SUMIFS(RAW_발주!$D:$D,RAW_발주!$C:$C,A1157,RAW_발주!$A:$A,C1157)-SUMIFS($W:$W,$A:$A,A1157,$C:$C,C1157)),0)</f>
        <v>0</v>
      </c>
    </row>
    <row r="1158" customFormat="false" ht="15" hidden="false" customHeight="true" outlineLevel="0" collapsed="false">
      <c r="A1158" s="45" t="s">
        <v>1660</v>
      </c>
      <c r="B1158" s="42" t="str">
        <f aca="false">IF(A1158="100","HK",IF(A1158="200","CN",IF(A1158="300","TW","홀세일")))</f>
        <v>CN</v>
      </c>
      <c r="C1158" s="45" t="s">
        <v>541</v>
      </c>
      <c r="D1158" s="46" t="n">
        <v>563</v>
      </c>
      <c r="E1158" s="46" t="n">
        <v>159000</v>
      </c>
      <c r="F1158" s="46" t="n">
        <v>31101</v>
      </c>
      <c r="G1158" s="42" t="n">
        <v>4.07</v>
      </c>
      <c r="H1158" s="42" t="n">
        <v>37.4</v>
      </c>
      <c r="I1158" s="42" t="n">
        <v>25.5</v>
      </c>
      <c r="J1158" s="46" t="n">
        <f aca="false">IF(N(E1158)&gt;0,E1158,IF(N(F1158)&gt;0,F1158*요약!$F$27,0))</f>
        <v>159000</v>
      </c>
      <c r="K1158" s="46" t="n">
        <f aca="false">IF(N(F1158)&gt;0,F1158,IF(N(E1158)&gt;0,E1158/요약!$F$27,0))</f>
        <v>31101</v>
      </c>
      <c r="L1158" s="46" t="n">
        <f aca="false">IF(B1158="CN",IF(N(I1158)&gt;0,I1158*요약!$G$27,K1158*(1+요약!$E$27)),IF(N(H1158)&gt;0,H1158*요약!$G$27,J1158*요약!$D$27))</f>
        <v>33660</v>
      </c>
      <c r="M1158" s="46" t="n">
        <f aca="false">D1158*J1158</f>
        <v>89517000</v>
      </c>
      <c r="N1158" s="46" t="n">
        <f aca="false">D1158*K1158</f>
        <v>17509863</v>
      </c>
      <c r="O1158" s="46" t="n">
        <f aca="false">D1158*L1158</f>
        <v>18950580</v>
      </c>
      <c r="P1158" s="42" t="str">
        <f aca="false">TRIM(IF(N(E1158)&lt;=0,"택가보정 ","")&amp;IF(N(F1158)&lt;=0,"원가보정 ","")&amp;IF(AND(B1158&lt;&gt;"CN",N(H1158)&lt;=0),"공급가보정 ","")&amp;IF(AND(B1158="CN",N(I1158)&lt;=0),"중국공급가=원가+마진 ",""))</f>
        <v/>
      </c>
      <c r="Q1158" s="47" t="n">
        <f aca="false">IF(SUMIFS($W:$W,$A:$A,A1158,$C:$C,C1158)=0,0,SUMIFS(RAW_판매펀칭!$K:$K,RAW_판매펀칭!$P:$P,A1158,RAW_판매펀칭!$I:$I,C1158)*W1158/SUMIFS($W:$W,$A:$A,A1158,$C:$C,C1158))</f>
        <v>560</v>
      </c>
      <c r="R1158" s="47" t="n">
        <f aca="false">IF(OR(A1158="500",A1158="800",A1158="810"),0,MAX(W1158-Q1158,0))</f>
        <v>3</v>
      </c>
      <c r="S1158" s="47" t="n">
        <f aca="false">R1158*L1158</f>
        <v>100980</v>
      </c>
      <c r="T1158" s="47" t="n">
        <f aca="false">R1158*J1158</f>
        <v>477000</v>
      </c>
      <c r="U1158" s="47" t="n">
        <f aca="false">R1158*K1158</f>
        <v>93303</v>
      </c>
      <c r="V1158" s="0" t="str">
        <f aca="false">IF(COUNTIFS($A$2:A1158,A1158,$C$2:C1158,C1158,$D$2:D1158,D1158)&gt;1,"중복","")</f>
        <v/>
      </c>
      <c r="W1158" s="0" t="n">
        <f aca="false">IF(V1158="중복",0,N(D1158))</f>
        <v>563</v>
      </c>
      <c r="X1158" s="0" t="n">
        <f aca="false">IF(COUNTIFS($A$2:A1158,A1158,$C$2:C1158,C1158)=1,ABS(SUMIFS(RAW_발주!$D:$D,RAW_발주!$C:$C,A1158,RAW_발주!$A:$A,C1158)-SUMIFS($W:$W,$A:$A,A1158,$C:$C,C1158)),0)</f>
        <v>0</v>
      </c>
    </row>
    <row r="1159" customFormat="false" ht="15" hidden="false" customHeight="true" outlineLevel="0" collapsed="false">
      <c r="A1159" s="45" t="s">
        <v>1660</v>
      </c>
      <c r="B1159" s="42" t="str">
        <f aca="false">IF(A1159="100","HK",IF(A1159="200","CN",IF(A1159="300","TW","홀세일")))</f>
        <v>CN</v>
      </c>
      <c r="C1159" s="45" t="s">
        <v>541</v>
      </c>
      <c r="D1159" s="46" t="n">
        <v>563</v>
      </c>
      <c r="E1159" s="46" t="n">
        <v>159000</v>
      </c>
      <c r="F1159" s="46" t="n">
        <v>31101</v>
      </c>
      <c r="G1159" s="42" t="n">
        <v>4.07</v>
      </c>
      <c r="H1159" s="42" t="n">
        <v>37.4</v>
      </c>
      <c r="I1159" s="42" t="n">
        <v>25.5</v>
      </c>
      <c r="J1159" s="46" t="n">
        <f aca="false">IF(N(E1159)&gt;0,E1159,IF(N(F1159)&gt;0,F1159*요약!$F$27,0))</f>
        <v>159000</v>
      </c>
      <c r="K1159" s="46" t="n">
        <f aca="false">IF(N(F1159)&gt;0,F1159,IF(N(E1159)&gt;0,E1159/요약!$F$27,0))</f>
        <v>31101</v>
      </c>
      <c r="L1159" s="46" t="n">
        <f aca="false">IF(B1159="CN",IF(N(I1159)&gt;0,I1159*요약!$G$27,K1159*(1+요약!$E$27)),IF(N(H1159)&gt;0,H1159*요약!$G$27,J1159*요약!$D$27))</f>
        <v>33660</v>
      </c>
      <c r="M1159" s="46" t="n">
        <f aca="false">D1159*J1159</f>
        <v>89517000</v>
      </c>
      <c r="N1159" s="46" t="n">
        <f aca="false">D1159*K1159</f>
        <v>17509863</v>
      </c>
      <c r="O1159" s="46" t="n">
        <f aca="false">D1159*L1159</f>
        <v>18950580</v>
      </c>
      <c r="P1159" s="42" t="str">
        <f aca="false">TRIM(IF(N(E1159)&lt;=0,"택가보정 ","")&amp;IF(N(F1159)&lt;=0,"원가보정 ","")&amp;IF(AND(B1159&lt;&gt;"CN",N(H1159)&lt;=0),"공급가보정 ","")&amp;IF(AND(B1159="CN",N(I1159)&lt;=0),"중국공급가=원가+마진 ",""))</f>
        <v/>
      </c>
      <c r="Q1159" s="47" t="n">
        <f aca="false">IF(SUMIFS($W:$W,$A:$A,A1159,$C:$C,C1159)=0,0,SUMIFS(RAW_판매펀칭!$K:$K,RAW_판매펀칭!$P:$P,A1159,RAW_판매펀칭!$I:$I,C1159)*W1159/SUMIFS($W:$W,$A:$A,A1159,$C:$C,C1159))</f>
        <v>0</v>
      </c>
      <c r="R1159" s="47" t="n">
        <f aca="false">IF(OR(A1159="500",A1159="800",A1159="810"),0,MAX(W1159-Q1159,0))</f>
        <v>0</v>
      </c>
      <c r="S1159" s="47" t="n">
        <f aca="false">R1159*L1159</f>
        <v>0</v>
      </c>
      <c r="T1159" s="47" t="n">
        <f aca="false">R1159*J1159</f>
        <v>0</v>
      </c>
      <c r="U1159" s="47" t="n">
        <f aca="false">R1159*K1159</f>
        <v>0</v>
      </c>
      <c r="V1159" s="0" t="str">
        <f aca="false">IF(COUNTIFS($A$2:A1159,A1159,$C$2:C1159,C1159,$D$2:D1159,D1159)&gt;1,"중복","")</f>
        <v>중복</v>
      </c>
      <c r="W1159" s="0" t="n">
        <f aca="false">IF(V1159="중복",0,N(D1159))</f>
        <v>0</v>
      </c>
      <c r="X1159" s="0" t="n">
        <f aca="false">IF(COUNTIFS($A$2:A1159,A1159,$C$2:C1159,C1159)=1,ABS(SUMIFS(RAW_발주!$D:$D,RAW_발주!$C:$C,A1159,RAW_발주!$A:$A,C1159)-SUMIFS($W:$W,$A:$A,A1159,$C:$C,C1159)),0)</f>
        <v>0</v>
      </c>
    </row>
    <row r="1160" customFormat="false" ht="15" hidden="false" customHeight="true" outlineLevel="0" collapsed="false">
      <c r="A1160" s="45" t="s">
        <v>1661</v>
      </c>
      <c r="B1160" s="42" t="str">
        <f aca="false">IF(A1160="100","HK",IF(A1160="200","CN",IF(A1160="300","TW","홀세일")))</f>
        <v>TW</v>
      </c>
      <c r="C1160" s="45" t="s">
        <v>541</v>
      </c>
      <c r="D1160" s="46" t="n">
        <v>150</v>
      </c>
      <c r="E1160" s="46" t="n">
        <v>159000</v>
      </c>
      <c r="F1160" s="46" t="n">
        <v>31101</v>
      </c>
      <c r="G1160" s="42" t="n">
        <v>4.07</v>
      </c>
      <c r="H1160" s="42" t="n">
        <v>37.4</v>
      </c>
      <c r="I1160" s="42" t="n">
        <v>25.5</v>
      </c>
      <c r="J1160" s="46" t="n">
        <f aca="false">IF(N(E1160)&gt;0,E1160,IF(N(F1160)&gt;0,F1160*요약!$F$27,0))</f>
        <v>159000</v>
      </c>
      <c r="K1160" s="46" t="n">
        <f aca="false">IF(N(F1160)&gt;0,F1160,IF(N(E1160)&gt;0,E1160/요약!$F$27,0))</f>
        <v>31101</v>
      </c>
      <c r="L1160" s="46" t="n">
        <f aca="false">IF(B1160="CN",IF(N(I1160)&gt;0,I1160*요약!$G$27,K1160*(1+요약!$E$27)),IF(N(H1160)&gt;0,H1160*요약!$G$27,J1160*요약!$D$27))</f>
        <v>49368</v>
      </c>
      <c r="M1160" s="46" t="n">
        <f aca="false">D1160*J1160</f>
        <v>23850000</v>
      </c>
      <c r="N1160" s="46" t="n">
        <f aca="false">D1160*K1160</f>
        <v>4665150</v>
      </c>
      <c r="O1160" s="46" t="n">
        <f aca="false">D1160*L1160</f>
        <v>7405200</v>
      </c>
      <c r="P1160" s="42" t="str">
        <f aca="false">TRIM(IF(N(E1160)&lt;=0,"택가보정 ","")&amp;IF(N(F1160)&lt;=0,"원가보정 ","")&amp;IF(AND(B1160&lt;&gt;"CN",N(H1160)&lt;=0),"공급가보정 ","")&amp;IF(AND(B1160="CN",N(I1160)&lt;=0),"중국공급가=원가+마진 ",""))</f>
        <v/>
      </c>
      <c r="Q1160" s="47" t="n">
        <f aca="false">IF(SUMIFS($W:$W,$A:$A,A1160,$C:$C,C1160)=0,0,SUMIFS(RAW_판매펀칭!$K:$K,RAW_판매펀칭!$P:$P,A1160,RAW_판매펀칭!$I:$I,C1160)*W1160/SUMIFS($W:$W,$A:$A,A1160,$C:$C,C1160))</f>
        <v>150</v>
      </c>
      <c r="R1160" s="47" t="n">
        <f aca="false">IF(OR(A1160="500",A1160="800",A1160="810"),0,MAX(W1160-Q1160,0))</f>
        <v>0</v>
      </c>
      <c r="S1160" s="47" t="n">
        <f aca="false">R1160*L1160</f>
        <v>0</v>
      </c>
      <c r="T1160" s="47" t="n">
        <f aca="false">R1160*J1160</f>
        <v>0</v>
      </c>
      <c r="U1160" s="47" t="n">
        <f aca="false">R1160*K1160</f>
        <v>0</v>
      </c>
      <c r="V1160" s="0" t="str">
        <f aca="false">IF(COUNTIFS($A$2:A1160,A1160,$C$2:C1160,C1160,$D$2:D1160,D1160)&gt;1,"중복","")</f>
        <v/>
      </c>
      <c r="W1160" s="0" t="n">
        <f aca="false">IF(V1160="중복",0,N(D1160))</f>
        <v>150</v>
      </c>
      <c r="X1160" s="0" t="n">
        <f aca="false">IF(COUNTIFS($A$2:A1160,A1160,$C$2:C1160,C1160)=1,ABS(SUMIFS(RAW_발주!$D:$D,RAW_발주!$C:$C,A1160,RAW_발주!$A:$A,C1160)-SUMIFS($W:$W,$A:$A,A1160,$C:$C,C1160)),0)</f>
        <v>0</v>
      </c>
    </row>
    <row r="1161" customFormat="false" ht="15" hidden="false" customHeight="true" outlineLevel="0" collapsed="false">
      <c r="A1161" s="45" t="s">
        <v>1663</v>
      </c>
      <c r="B1161" s="42" t="str">
        <f aca="false">IF(A1161="100","HK",IF(A1161="200","CN",IF(A1161="300","TW","홀세일")))</f>
        <v>홀세일</v>
      </c>
      <c r="C1161" s="45" t="s">
        <v>541</v>
      </c>
      <c r="D1161" s="46" t="n">
        <v>20</v>
      </c>
      <c r="E1161" s="46" t="n">
        <v>159000</v>
      </c>
      <c r="F1161" s="46" t="n">
        <v>31101</v>
      </c>
      <c r="G1161" s="42" t="n">
        <v>4.07</v>
      </c>
      <c r="H1161" s="42" t="n">
        <v>37.4</v>
      </c>
      <c r="I1161" s="42" t="n">
        <v>25.5</v>
      </c>
      <c r="J1161" s="46" t="n">
        <f aca="false">IF(N(E1161)&gt;0,E1161,IF(N(F1161)&gt;0,F1161*요약!$F$27,0))</f>
        <v>159000</v>
      </c>
      <c r="K1161" s="46" t="n">
        <f aca="false">IF(N(F1161)&gt;0,F1161,IF(N(E1161)&gt;0,E1161/요약!$F$27,0))</f>
        <v>31101</v>
      </c>
      <c r="L1161" s="46" t="n">
        <f aca="false">IF(B1161="CN",IF(N(I1161)&gt;0,I1161*요약!$G$27,K1161*(1+요약!$E$27)),IF(N(H1161)&gt;0,H1161*요약!$G$27,J1161*요약!$D$27))</f>
        <v>49368</v>
      </c>
      <c r="M1161" s="46" t="n">
        <f aca="false">D1161*J1161</f>
        <v>3180000</v>
      </c>
      <c r="N1161" s="46" t="n">
        <f aca="false">D1161*K1161</f>
        <v>622020</v>
      </c>
      <c r="O1161" s="46" t="n">
        <f aca="false">D1161*L1161</f>
        <v>987360</v>
      </c>
      <c r="P1161" s="42" t="str">
        <f aca="false">TRIM(IF(N(E1161)&lt;=0,"택가보정 ","")&amp;IF(N(F1161)&lt;=0,"원가보정 ","")&amp;IF(AND(B1161&lt;&gt;"CN",N(H1161)&lt;=0),"공급가보정 ","")&amp;IF(AND(B1161="CN",N(I1161)&lt;=0),"중국공급가=원가+마진 ",""))</f>
        <v/>
      </c>
      <c r="Q1161" s="47" t="n">
        <f aca="false">IF(SUMIFS($W:$W,$A:$A,A1161,$C:$C,C1161)=0,0,SUMIFS(RAW_판매펀칭!$K:$K,RAW_판매펀칭!$P:$P,A1161,RAW_판매펀칭!$I:$I,C1161)*W1161/SUMIFS($W:$W,$A:$A,A1161,$C:$C,C1161))</f>
        <v>20</v>
      </c>
      <c r="R1161" s="47" t="n">
        <f aca="false">IF(OR(A1161="500",A1161="800",A1161="810"),0,MAX(W1161-Q1161,0))</f>
        <v>0</v>
      </c>
      <c r="S1161" s="47" t="n">
        <f aca="false">R1161*L1161</f>
        <v>0</v>
      </c>
      <c r="T1161" s="47" t="n">
        <f aca="false">R1161*J1161</f>
        <v>0</v>
      </c>
      <c r="U1161" s="47" t="n">
        <f aca="false">R1161*K1161</f>
        <v>0</v>
      </c>
      <c r="V1161" s="0" t="str">
        <f aca="false">IF(COUNTIFS($A$2:A1161,A1161,$C$2:C1161,C1161,$D$2:D1161,D1161)&gt;1,"중복","")</f>
        <v/>
      </c>
      <c r="W1161" s="0" t="n">
        <f aca="false">IF(V1161="중복",0,N(D1161))</f>
        <v>20</v>
      </c>
      <c r="X1161" s="0" t="n">
        <f aca="false">IF(COUNTIFS($A$2:A1161,A1161,$C$2:C1161,C1161)=1,ABS(SUMIFS(RAW_발주!$D:$D,RAW_발주!$C:$C,A1161,RAW_발주!$A:$A,C1161)-SUMIFS($W:$W,$A:$A,A1161,$C:$C,C1161)),0)</f>
        <v>0</v>
      </c>
    </row>
    <row r="1162" customFormat="false" ht="15" hidden="false" customHeight="true" outlineLevel="0" collapsed="false">
      <c r="A1162" s="45" t="s">
        <v>1667</v>
      </c>
      <c r="B1162" s="42" t="str">
        <f aca="false">IF(A1162="100","HK",IF(A1162="200","CN",IF(A1162="300","TW","홀세일")))</f>
        <v>홀세일</v>
      </c>
      <c r="C1162" s="45" t="s">
        <v>541</v>
      </c>
      <c r="D1162" s="46" t="n">
        <v>81</v>
      </c>
      <c r="E1162" s="46" t="n">
        <v>159000</v>
      </c>
      <c r="F1162" s="46" t="n">
        <v>31101</v>
      </c>
      <c r="G1162" s="42" t="n">
        <v>4.07</v>
      </c>
      <c r="H1162" s="42" t="n">
        <v>37.4</v>
      </c>
      <c r="I1162" s="42" t="n">
        <v>25.5</v>
      </c>
      <c r="J1162" s="46" t="n">
        <f aca="false">IF(N(E1162)&gt;0,E1162,IF(N(F1162)&gt;0,F1162*요약!$F$27,0))</f>
        <v>159000</v>
      </c>
      <c r="K1162" s="46" t="n">
        <f aca="false">IF(N(F1162)&gt;0,F1162,IF(N(E1162)&gt;0,E1162/요약!$F$27,0))</f>
        <v>31101</v>
      </c>
      <c r="L1162" s="46" t="n">
        <f aca="false">IF(B1162="CN",IF(N(I1162)&gt;0,I1162*요약!$G$27,K1162*(1+요약!$E$27)),IF(N(H1162)&gt;0,H1162*요약!$G$27,J1162*요약!$D$27))</f>
        <v>49368</v>
      </c>
      <c r="M1162" s="46" t="n">
        <f aca="false">D1162*J1162</f>
        <v>12879000</v>
      </c>
      <c r="N1162" s="46" t="n">
        <f aca="false">D1162*K1162</f>
        <v>2519181</v>
      </c>
      <c r="O1162" s="46" t="n">
        <f aca="false">D1162*L1162</f>
        <v>3998808</v>
      </c>
      <c r="P1162" s="42" t="str">
        <f aca="false">TRIM(IF(N(E1162)&lt;=0,"택가보정 ","")&amp;IF(N(F1162)&lt;=0,"원가보정 ","")&amp;IF(AND(B1162&lt;&gt;"CN",N(H1162)&lt;=0),"공급가보정 ","")&amp;IF(AND(B1162="CN",N(I1162)&lt;=0),"중국공급가=원가+마진 ",""))</f>
        <v/>
      </c>
      <c r="Q1162" s="47" t="n">
        <f aca="false">IF(SUMIFS($W:$W,$A:$A,A1162,$C:$C,C1162)=0,0,SUMIFS(RAW_판매펀칭!$K:$K,RAW_판매펀칭!$P:$P,A1162,RAW_판매펀칭!$I:$I,C1162)*W1162/SUMIFS($W:$W,$A:$A,A1162,$C:$C,C1162))</f>
        <v>80</v>
      </c>
      <c r="R1162" s="47" t="n">
        <f aca="false">IF(OR(A1162="500",A1162="800",A1162="810"),0,MAX(W1162-Q1162,0))</f>
        <v>1</v>
      </c>
      <c r="S1162" s="47" t="n">
        <f aca="false">R1162*L1162</f>
        <v>49368</v>
      </c>
      <c r="T1162" s="47" t="n">
        <f aca="false">R1162*J1162</f>
        <v>159000</v>
      </c>
      <c r="U1162" s="47" t="n">
        <f aca="false">R1162*K1162</f>
        <v>31101</v>
      </c>
      <c r="V1162" s="0" t="str">
        <f aca="false">IF(COUNTIFS($A$2:A1162,A1162,$C$2:C1162,C1162,$D$2:D1162,D1162)&gt;1,"중복","")</f>
        <v/>
      </c>
      <c r="W1162" s="0" t="n">
        <f aca="false">IF(V1162="중복",0,N(D1162))</f>
        <v>81</v>
      </c>
      <c r="X1162" s="0" t="n">
        <f aca="false">IF(COUNTIFS($A$2:A1162,A1162,$C$2:C1162,C1162)=1,ABS(SUMIFS(RAW_발주!$D:$D,RAW_발주!$C:$C,A1162,RAW_발주!$A:$A,C1162)-SUMIFS($W:$W,$A:$A,A1162,$C:$C,C1162)),0)</f>
        <v>0</v>
      </c>
    </row>
    <row r="1163" customFormat="false" ht="15" hidden="false" customHeight="true" outlineLevel="0" collapsed="false">
      <c r="A1163" s="45" t="s">
        <v>1661</v>
      </c>
      <c r="B1163" s="42" t="str">
        <f aca="false">IF(A1163="100","HK",IF(A1163="200","CN",IF(A1163="300","TW","홀세일")))</f>
        <v>TW</v>
      </c>
      <c r="C1163" s="45" t="s">
        <v>543</v>
      </c>
      <c r="D1163" s="46" t="n">
        <v>300</v>
      </c>
      <c r="E1163" s="46" t="n">
        <v>159000</v>
      </c>
      <c r="F1163" s="46" t="n">
        <v>29500</v>
      </c>
      <c r="G1163" s="42" t="n">
        <v>4.52</v>
      </c>
      <c r="H1163" s="42" t="n">
        <v>37.4</v>
      </c>
      <c r="I1163" s="42" t="n">
        <v>0</v>
      </c>
      <c r="J1163" s="46" t="n">
        <f aca="false">IF(N(E1163)&gt;0,E1163,IF(N(F1163)&gt;0,F1163*요약!$F$27,0))</f>
        <v>159000</v>
      </c>
      <c r="K1163" s="46" t="n">
        <f aca="false">IF(N(F1163)&gt;0,F1163,IF(N(E1163)&gt;0,E1163/요약!$F$27,0))</f>
        <v>29500</v>
      </c>
      <c r="L1163" s="46" t="n">
        <f aca="false">IF(B1163="CN",IF(N(I1163)&gt;0,I1163*요약!$G$27,K1163*(1+요약!$E$27)),IF(N(H1163)&gt;0,H1163*요약!$G$27,J1163*요약!$D$27))</f>
        <v>49368</v>
      </c>
      <c r="M1163" s="46" t="n">
        <f aca="false">D1163*J1163</f>
        <v>47700000</v>
      </c>
      <c r="N1163" s="46" t="n">
        <f aca="false">D1163*K1163</f>
        <v>8850000</v>
      </c>
      <c r="O1163" s="46" t="n">
        <f aca="false">D1163*L1163</f>
        <v>14810400</v>
      </c>
      <c r="P1163" s="42" t="str">
        <f aca="false">TRIM(IF(N(E1163)&lt;=0,"택가보정 ","")&amp;IF(N(F1163)&lt;=0,"원가보정 ","")&amp;IF(AND(B1163&lt;&gt;"CN",N(H1163)&lt;=0),"공급가보정 ","")&amp;IF(AND(B1163="CN",N(I1163)&lt;=0),"중국공급가=원가+마진 ",""))</f>
        <v/>
      </c>
      <c r="Q1163" s="47" t="n">
        <f aca="false">IF(SUMIFS($W:$W,$A:$A,A1163,$C:$C,C1163)=0,0,SUMIFS(RAW_판매펀칭!$K:$K,RAW_판매펀칭!$P:$P,A1163,RAW_판매펀칭!$I:$I,C1163)*W1163/SUMIFS($W:$W,$A:$A,A1163,$C:$C,C1163))</f>
        <v>300</v>
      </c>
      <c r="R1163" s="47" t="n">
        <f aca="false">IF(OR(A1163="500",A1163="800",A1163="810"),0,MAX(W1163-Q1163,0))</f>
        <v>0</v>
      </c>
      <c r="S1163" s="47" t="n">
        <f aca="false">R1163*L1163</f>
        <v>0</v>
      </c>
      <c r="T1163" s="47" t="n">
        <f aca="false">R1163*J1163</f>
        <v>0</v>
      </c>
      <c r="U1163" s="47" t="n">
        <f aca="false">R1163*K1163</f>
        <v>0</v>
      </c>
      <c r="V1163" s="0" t="str">
        <f aca="false">IF(COUNTIFS($A$2:A1163,A1163,$C$2:C1163,C1163,$D$2:D1163,D1163)&gt;1,"중복","")</f>
        <v/>
      </c>
      <c r="W1163" s="0" t="n">
        <f aca="false">IF(V1163="중복",0,N(D1163))</f>
        <v>300</v>
      </c>
      <c r="X1163" s="0" t="n">
        <f aca="false">IF(COUNTIFS($A$2:A1163,A1163,$C$2:C1163,C1163)=1,ABS(SUMIFS(RAW_발주!$D:$D,RAW_발주!$C:$C,A1163,RAW_발주!$A:$A,C1163)-SUMIFS($W:$W,$A:$A,A1163,$C:$C,C1163)),0)</f>
        <v>0</v>
      </c>
    </row>
    <row r="1164" customFormat="false" ht="15" hidden="false" customHeight="true" outlineLevel="0" collapsed="false">
      <c r="A1164" s="45" t="s">
        <v>1665</v>
      </c>
      <c r="B1164" s="42" t="str">
        <f aca="false">IF(A1164="100","HK",IF(A1164="200","CN",IF(A1164="300","TW","홀세일")))</f>
        <v>홀세일</v>
      </c>
      <c r="C1164" s="45" t="s">
        <v>543</v>
      </c>
      <c r="D1164" s="46" t="n">
        <v>228</v>
      </c>
      <c r="E1164" s="46" t="n">
        <v>159000</v>
      </c>
      <c r="F1164" s="46" t="n">
        <v>29500</v>
      </c>
      <c r="G1164" s="42" t="n">
        <v>4.52</v>
      </c>
      <c r="H1164" s="42" t="n">
        <v>37.4</v>
      </c>
      <c r="I1164" s="42" t="n">
        <v>0</v>
      </c>
      <c r="J1164" s="46" t="n">
        <f aca="false">IF(N(E1164)&gt;0,E1164,IF(N(F1164)&gt;0,F1164*요약!$F$27,0))</f>
        <v>159000</v>
      </c>
      <c r="K1164" s="46" t="n">
        <f aca="false">IF(N(F1164)&gt;0,F1164,IF(N(E1164)&gt;0,E1164/요약!$F$27,0))</f>
        <v>29500</v>
      </c>
      <c r="L1164" s="46" t="n">
        <f aca="false">IF(B1164="CN",IF(N(I1164)&gt;0,I1164*요약!$G$27,K1164*(1+요약!$E$27)),IF(N(H1164)&gt;0,H1164*요약!$G$27,J1164*요약!$D$27))</f>
        <v>49368</v>
      </c>
      <c r="M1164" s="46" t="n">
        <f aca="false">D1164*J1164</f>
        <v>36252000</v>
      </c>
      <c r="N1164" s="46" t="n">
        <f aca="false">D1164*K1164</f>
        <v>6726000</v>
      </c>
      <c r="O1164" s="46" t="n">
        <f aca="false">D1164*L1164</f>
        <v>11255904</v>
      </c>
      <c r="P1164" s="42" t="str">
        <f aca="false">TRIM(IF(N(E1164)&lt;=0,"택가보정 ","")&amp;IF(N(F1164)&lt;=0,"원가보정 ","")&amp;IF(AND(B1164&lt;&gt;"CN",N(H1164)&lt;=0),"공급가보정 ","")&amp;IF(AND(B1164="CN",N(I1164)&lt;=0),"중국공급가=원가+마진 ",""))</f>
        <v/>
      </c>
      <c r="Q1164" s="47" t="n">
        <f aca="false">IF(SUMIFS($W:$W,$A:$A,A1164,$C:$C,C1164)=0,0,SUMIFS(RAW_판매펀칭!$K:$K,RAW_판매펀칭!$P:$P,A1164,RAW_판매펀칭!$I:$I,C1164)*W1164/SUMIFS($W:$W,$A:$A,A1164,$C:$C,C1164))</f>
        <v>0</v>
      </c>
      <c r="R1164" s="47" t="n">
        <f aca="false">IF(OR(A1164="500",A1164="800",A1164="810"),0,MAX(W1164-Q1164,0))</f>
        <v>0</v>
      </c>
      <c r="S1164" s="47" t="n">
        <f aca="false">R1164*L1164</f>
        <v>0</v>
      </c>
      <c r="T1164" s="47" t="n">
        <f aca="false">R1164*J1164</f>
        <v>0</v>
      </c>
      <c r="U1164" s="47" t="n">
        <f aca="false">R1164*K1164</f>
        <v>0</v>
      </c>
      <c r="V1164" s="0" t="str">
        <f aca="false">IF(COUNTIFS($A$2:A1164,A1164,$C$2:C1164,C1164,$D$2:D1164,D1164)&gt;1,"중복","")</f>
        <v/>
      </c>
      <c r="W1164" s="0" t="n">
        <f aca="false">IF(V1164="중복",0,N(D1164))</f>
        <v>228</v>
      </c>
      <c r="X1164" s="0" t="n">
        <f aca="false">IF(COUNTIFS($A$2:A1164,A1164,$C$2:C1164,C1164)=1,ABS(SUMIFS(RAW_발주!$D:$D,RAW_발주!$C:$C,A1164,RAW_발주!$A:$A,C1164)-SUMIFS($W:$W,$A:$A,A1164,$C:$C,C1164)),0)</f>
        <v>0</v>
      </c>
    </row>
    <row r="1165" customFormat="false" ht="15" hidden="false" customHeight="true" outlineLevel="0" collapsed="false">
      <c r="A1165" s="45" t="s">
        <v>1659</v>
      </c>
      <c r="B1165" s="42" t="str">
        <f aca="false">IF(A1165="100","HK",IF(A1165="200","CN",IF(A1165="300","TW","홀세일")))</f>
        <v>HK</v>
      </c>
      <c r="C1165" s="45" t="s">
        <v>934</v>
      </c>
      <c r="D1165" s="46" t="n">
        <v>90</v>
      </c>
      <c r="E1165" s="46" t="n">
        <v>129000</v>
      </c>
      <c r="F1165" s="46" t="n">
        <v>24403</v>
      </c>
      <c r="G1165" s="42" t="n">
        <v>3.65</v>
      </c>
      <c r="H1165" s="42" t="n">
        <v>30.4</v>
      </c>
      <c r="I1165" s="42" t="n">
        <v>21.5</v>
      </c>
      <c r="J1165" s="46" t="n">
        <f aca="false">IF(N(E1165)&gt;0,E1165,IF(N(F1165)&gt;0,F1165*요약!$F$27,0))</f>
        <v>129000</v>
      </c>
      <c r="K1165" s="46" t="n">
        <f aca="false">IF(N(F1165)&gt;0,F1165,IF(N(E1165)&gt;0,E1165/요약!$F$27,0))</f>
        <v>24403</v>
      </c>
      <c r="L1165" s="46" t="n">
        <f aca="false">IF(B1165="CN",IF(N(I1165)&gt;0,I1165*요약!$G$27,K1165*(1+요약!$E$27)),IF(N(H1165)&gt;0,H1165*요약!$G$27,J1165*요약!$D$27))</f>
        <v>40128</v>
      </c>
      <c r="M1165" s="46" t="n">
        <f aca="false">D1165*J1165</f>
        <v>11610000</v>
      </c>
      <c r="N1165" s="46" t="n">
        <f aca="false">D1165*K1165</f>
        <v>2196270</v>
      </c>
      <c r="O1165" s="46" t="n">
        <f aca="false">D1165*L1165</f>
        <v>3611520</v>
      </c>
      <c r="P1165" s="42" t="str">
        <f aca="false">TRIM(IF(N(E1165)&lt;=0,"택가보정 ","")&amp;IF(N(F1165)&lt;=0,"원가보정 ","")&amp;IF(AND(B1165&lt;&gt;"CN",N(H1165)&lt;=0),"공급가보정 ","")&amp;IF(AND(B1165="CN",N(I1165)&lt;=0),"중국공급가=원가+마진 ",""))</f>
        <v/>
      </c>
      <c r="Q1165" s="47" t="n">
        <f aca="false">IF(SUMIFS($W:$W,$A:$A,A1165,$C:$C,C1165)=0,0,SUMIFS(RAW_판매펀칭!$K:$K,RAW_판매펀칭!$P:$P,A1165,RAW_판매펀칭!$I:$I,C1165)*W1165/SUMIFS($W:$W,$A:$A,A1165,$C:$C,C1165))</f>
        <v>90</v>
      </c>
      <c r="R1165" s="47" t="n">
        <f aca="false">IF(OR(A1165="500",A1165="800",A1165="810"),0,MAX(W1165-Q1165,0))</f>
        <v>0</v>
      </c>
      <c r="S1165" s="47" t="n">
        <f aca="false">R1165*L1165</f>
        <v>0</v>
      </c>
      <c r="T1165" s="47" t="n">
        <f aca="false">R1165*J1165</f>
        <v>0</v>
      </c>
      <c r="U1165" s="47" t="n">
        <f aca="false">R1165*K1165</f>
        <v>0</v>
      </c>
      <c r="V1165" s="0" t="str">
        <f aca="false">IF(COUNTIFS($A$2:A1165,A1165,$C$2:C1165,C1165,$D$2:D1165,D1165)&gt;1,"중복","")</f>
        <v/>
      </c>
      <c r="W1165" s="0" t="n">
        <f aca="false">IF(V1165="중복",0,N(D1165))</f>
        <v>90</v>
      </c>
      <c r="X1165" s="0" t="n">
        <f aca="false">IF(COUNTIFS($A$2:A1165,A1165,$C$2:C1165,C1165)=1,ABS(SUMIFS(RAW_발주!$D:$D,RAW_발주!$C:$C,A1165,RAW_발주!$A:$A,C1165)-SUMIFS($W:$W,$A:$A,A1165,$C:$C,C1165)),0)</f>
        <v>0</v>
      </c>
    </row>
    <row r="1166" customFormat="false" ht="15" hidden="false" customHeight="true" outlineLevel="0" collapsed="false">
      <c r="A1166" s="45" t="s">
        <v>1660</v>
      </c>
      <c r="B1166" s="42" t="str">
        <f aca="false">IF(A1166="100","HK",IF(A1166="200","CN",IF(A1166="300","TW","홀세일")))</f>
        <v>CN</v>
      </c>
      <c r="C1166" s="45" t="s">
        <v>934</v>
      </c>
      <c r="D1166" s="46" t="n">
        <v>282</v>
      </c>
      <c r="E1166" s="46" t="n">
        <v>129000</v>
      </c>
      <c r="F1166" s="46" t="n">
        <v>24403</v>
      </c>
      <c r="G1166" s="42" t="n">
        <v>3.65</v>
      </c>
      <c r="H1166" s="42" t="n">
        <v>30.4</v>
      </c>
      <c r="I1166" s="42" t="n">
        <v>21.5</v>
      </c>
      <c r="J1166" s="46" t="n">
        <f aca="false">IF(N(E1166)&gt;0,E1166,IF(N(F1166)&gt;0,F1166*요약!$F$27,0))</f>
        <v>129000</v>
      </c>
      <c r="K1166" s="46" t="n">
        <f aca="false">IF(N(F1166)&gt;0,F1166,IF(N(E1166)&gt;0,E1166/요약!$F$27,0))</f>
        <v>24403</v>
      </c>
      <c r="L1166" s="46" t="n">
        <f aca="false">IF(B1166="CN",IF(N(I1166)&gt;0,I1166*요약!$G$27,K1166*(1+요약!$E$27)),IF(N(H1166)&gt;0,H1166*요약!$G$27,J1166*요약!$D$27))</f>
        <v>28380</v>
      </c>
      <c r="M1166" s="46" t="n">
        <f aca="false">D1166*J1166</f>
        <v>36378000</v>
      </c>
      <c r="N1166" s="46" t="n">
        <f aca="false">D1166*K1166</f>
        <v>6881646</v>
      </c>
      <c r="O1166" s="46" t="n">
        <f aca="false">D1166*L1166</f>
        <v>8003160</v>
      </c>
      <c r="P1166" s="42" t="str">
        <f aca="false">TRIM(IF(N(E1166)&lt;=0,"택가보정 ","")&amp;IF(N(F1166)&lt;=0,"원가보정 ","")&amp;IF(AND(B1166&lt;&gt;"CN",N(H1166)&lt;=0),"공급가보정 ","")&amp;IF(AND(B1166="CN",N(I1166)&lt;=0),"중국공급가=원가+마진 ",""))</f>
        <v/>
      </c>
      <c r="Q1166" s="47" t="n">
        <f aca="false">IF(SUMIFS($W:$W,$A:$A,A1166,$C:$C,C1166)=0,0,SUMIFS(RAW_판매펀칭!$K:$K,RAW_판매펀칭!$P:$P,A1166,RAW_판매펀칭!$I:$I,C1166)*W1166/SUMIFS($W:$W,$A:$A,A1166,$C:$C,C1166))</f>
        <v>282</v>
      </c>
      <c r="R1166" s="47" t="n">
        <f aca="false">IF(OR(A1166="500",A1166="800",A1166="810"),0,MAX(W1166-Q1166,0))</f>
        <v>0</v>
      </c>
      <c r="S1166" s="47" t="n">
        <f aca="false">R1166*L1166</f>
        <v>0</v>
      </c>
      <c r="T1166" s="47" t="n">
        <f aca="false">R1166*J1166</f>
        <v>0</v>
      </c>
      <c r="U1166" s="47" t="n">
        <f aca="false">R1166*K1166</f>
        <v>0</v>
      </c>
      <c r="V1166" s="0" t="str">
        <f aca="false">IF(COUNTIFS($A$2:A1166,A1166,$C$2:C1166,C1166,$D$2:D1166,D1166)&gt;1,"중복","")</f>
        <v/>
      </c>
      <c r="W1166" s="0" t="n">
        <f aca="false">IF(V1166="중복",0,N(D1166))</f>
        <v>282</v>
      </c>
      <c r="X1166" s="0" t="n">
        <f aca="false">IF(COUNTIFS($A$2:A1166,A1166,$C$2:C1166,C1166)=1,ABS(SUMIFS(RAW_발주!$D:$D,RAW_발주!$C:$C,A1166,RAW_발주!$A:$A,C1166)-SUMIFS($W:$W,$A:$A,A1166,$C:$C,C1166)),0)</f>
        <v>0</v>
      </c>
    </row>
    <row r="1167" customFormat="false" ht="15" hidden="false" customHeight="true" outlineLevel="0" collapsed="false">
      <c r="A1167" s="45" t="s">
        <v>1660</v>
      </c>
      <c r="B1167" s="42" t="str">
        <f aca="false">IF(A1167="100","HK",IF(A1167="200","CN",IF(A1167="300","TW","홀세일")))</f>
        <v>CN</v>
      </c>
      <c r="C1167" s="45" t="s">
        <v>934</v>
      </c>
      <c r="D1167" s="46" t="n">
        <v>282</v>
      </c>
      <c r="E1167" s="46" t="n">
        <v>129000</v>
      </c>
      <c r="F1167" s="46" t="n">
        <v>24403</v>
      </c>
      <c r="G1167" s="42" t="n">
        <v>3.65</v>
      </c>
      <c r="H1167" s="42" t="n">
        <v>30.4</v>
      </c>
      <c r="I1167" s="42" t="n">
        <v>21.5</v>
      </c>
      <c r="J1167" s="46" t="n">
        <f aca="false">IF(N(E1167)&gt;0,E1167,IF(N(F1167)&gt;0,F1167*요약!$F$27,0))</f>
        <v>129000</v>
      </c>
      <c r="K1167" s="46" t="n">
        <f aca="false">IF(N(F1167)&gt;0,F1167,IF(N(E1167)&gt;0,E1167/요약!$F$27,0))</f>
        <v>24403</v>
      </c>
      <c r="L1167" s="46" t="n">
        <f aca="false">IF(B1167="CN",IF(N(I1167)&gt;0,I1167*요약!$G$27,K1167*(1+요약!$E$27)),IF(N(H1167)&gt;0,H1167*요약!$G$27,J1167*요약!$D$27))</f>
        <v>28380</v>
      </c>
      <c r="M1167" s="46" t="n">
        <f aca="false">D1167*J1167</f>
        <v>36378000</v>
      </c>
      <c r="N1167" s="46" t="n">
        <f aca="false">D1167*K1167</f>
        <v>6881646</v>
      </c>
      <c r="O1167" s="46" t="n">
        <f aca="false">D1167*L1167</f>
        <v>8003160</v>
      </c>
      <c r="P1167" s="42" t="str">
        <f aca="false">TRIM(IF(N(E1167)&lt;=0,"택가보정 ","")&amp;IF(N(F1167)&lt;=0,"원가보정 ","")&amp;IF(AND(B1167&lt;&gt;"CN",N(H1167)&lt;=0),"공급가보정 ","")&amp;IF(AND(B1167="CN",N(I1167)&lt;=0),"중국공급가=원가+마진 ",""))</f>
        <v/>
      </c>
      <c r="Q1167" s="47" t="n">
        <f aca="false">IF(SUMIFS($W:$W,$A:$A,A1167,$C:$C,C1167)=0,0,SUMIFS(RAW_판매펀칭!$K:$K,RAW_판매펀칭!$P:$P,A1167,RAW_판매펀칭!$I:$I,C1167)*W1167/SUMIFS($W:$W,$A:$A,A1167,$C:$C,C1167))</f>
        <v>0</v>
      </c>
      <c r="R1167" s="47" t="n">
        <f aca="false">IF(OR(A1167="500",A1167="800",A1167="810"),0,MAX(W1167-Q1167,0))</f>
        <v>0</v>
      </c>
      <c r="S1167" s="47" t="n">
        <f aca="false">R1167*L1167</f>
        <v>0</v>
      </c>
      <c r="T1167" s="47" t="n">
        <f aca="false">R1167*J1167</f>
        <v>0</v>
      </c>
      <c r="U1167" s="47" t="n">
        <f aca="false">R1167*K1167</f>
        <v>0</v>
      </c>
      <c r="V1167" s="0" t="str">
        <f aca="false">IF(COUNTIFS($A$2:A1167,A1167,$C$2:C1167,C1167,$D$2:D1167,D1167)&gt;1,"중복","")</f>
        <v>중복</v>
      </c>
      <c r="W1167" s="0" t="n">
        <f aca="false">IF(V1167="중복",0,N(D1167))</f>
        <v>0</v>
      </c>
      <c r="X1167" s="0" t="n">
        <f aca="false">IF(COUNTIFS($A$2:A1167,A1167,$C$2:C1167,C1167)=1,ABS(SUMIFS(RAW_발주!$D:$D,RAW_발주!$C:$C,A1167,RAW_발주!$A:$A,C1167)-SUMIFS($W:$W,$A:$A,A1167,$C:$C,C1167)),0)</f>
        <v>0</v>
      </c>
    </row>
    <row r="1168" customFormat="false" ht="15" hidden="false" customHeight="true" outlineLevel="0" collapsed="false">
      <c r="A1168" s="45" t="s">
        <v>1663</v>
      </c>
      <c r="B1168" s="42" t="str">
        <f aca="false">IF(A1168="100","HK",IF(A1168="200","CN",IF(A1168="300","TW","홀세일")))</f>
        <v>홀세일</v>
      </c>
      <c r="C1168" s="45" t="s">
        <v>934</v>
      </c>
      <c r="D1168" s="46" t="n">
        <v>20</v>
      </c>
      <c r="E1168" s="46" t="n">
        <v>129000</v>
      </c>
      <c r="F1168" s="46" t="n">
        <v>24403</v>
      </c>
      <c r="G1168" s="42" t="n">
        <v>3.65</v>
      </c>
      <c r="H1168" s="42" t="n">
        <v>30.4</v>
      </c>
      <c r="I1168" s="42" t="n">
        <v>21.5</v>
      </c>
      <c r="J1168" s="46" t="n">
        <f aca="false">IF(N(E1168)&gt;0,E1168,IF(N(F1168)&gt;0,F1168*요약!$F$27,0))</f>
        <v>129000</v>
      </c>
      <c r="K1168" s="46" t="n">
        <f aca="false">IF(N(F1168)&gt;0,F1168,IF(N(E1168)&gt;0,E1168/요약!$F$27,0))</f>
        <v>24403</v>
      </c>
      <c r="L1168" s="46" t="n">
        <f aca="false">IF(B1168="CN",IF(N(I1168)&gt;0,I1168*요약!$G$27,K1168*(1+요약!$E$27)),IF(N(H1168)&gt;0,H1168*요약!$G$27,J1168*요약!$D$27))</f>
        <v>40128</v>
      </c>
      <c r="M1168" s="46" t="n">
        <f aca="false">D1168*J1168</f>
        <v>2580000</v>
      </c>
      <c r="N1168" s="46" t="n">
        <f aca="false">D1168*K1168</f>
        <v>488060</v>
      </c>
      <c r="O1168" s="46" t="n">
        <f aca="false">D1168*L1168</f>
        <v>802560</v>
      </c>
      <c r="P1168" s="42" t="str">
        <f aca="false">TRIM(IF(N(E1168)&lt;=0,"택가보정 ","")&amp;IF(N(F1168)&lt;=0,"원가보정 ","")&amp;IF(AND(B1168&lt;&gt;"CN",N(H1168)&lt;=0),"공급가보정 ","")&amp;IF(AND(B1168="CN",N(I1168)&lt;=0),"중국공급가=원가+마진 ",""))</f>
        <v/>
      </c>
      <c r="Q1168" s="47" t="n">
        <f aca="false">IF(SUMIFS($W:$W,$A:$A,A1168,$C:$C,C1168)=0,0,SUMIFS(RAW_판매펀칭!$K:$K,RAW_판매펀칭!$P:$P,A1168,RAW_판매펀칭!$I:$I,C1168)*W1168/SUMIFS($W:$W,$A:$A,A1168,$C:$C,C1168))</f>
        <v>20</v>
      </c>
      <c r="R1168" s="47" t="n">
        <f aca="false">IF(OR(A1168="500",A1168="800",A1168="810"),0,MAX(W1168-Q1168,0))</f>
        <v>0</v>
      </c>
      <c r="S1168" s="47" t="n">
        <f aca="false">R1168*L1168</f>
        <v>0</v>
      </c>
      <c r="T1168" s="47" t="n">
        <f aca="false">R1168*J1168</f>
        <v>0</v>
      </c>
      <c r="U1168" s="47" t="n">
        <f aca="false">R1168*K1168</f>
        <v>0</v>
      </c>
      <c r="V1168" s="0" t="str">
        <f aca="false">IF(COUNTIFS($A$2:A1168,A1168,$C$2:C1168,C1168,$D$2:D1168,D1168)&gt;1,"중복","")</f>
        <v/>
      </c>
      <c r="W1168" s="0" t="n">
        <f aca="false">IF(V1168="중복",0,N(D1168))</f>
        <v>20</v>
      </c>
      <c r="X1168" s="0" t="n">
        <f aca="false">IF(COUNTIFS($A$2:A1168,A1168,$C$2:C1168,C1168)=1,ABS(SUMIFS(RAW_발주!$D:$D,RAW_발주!$C:$C,A1168,RAW_발주!$A:$A,C1168)-SUMIFS($W:$W,$A:$A,A1168,$C:$C,C1168)),0)</f>
        <v>0</v>
      </c>
    </row>
    <row r="1169" customFormat="false" ht="15" hidden="false" customHeight="true" outlineLevel="0" collapsed="false">
      <c r="A1169" s="45" t="s">
        <v>1664</v>
      </c>
      <c r="B1169" s="42" t="str">
        <f aca="false">IF(A1169="100","HK",IF(A1169="200","CN",IF(A1169="300","TW","홀세일")))</f>
        <v>홀세일</v>
      </c>
      <c r="C1169" s="45" t="s">
        <v>934</v>
      </c>
      <c r="D1169" s="46" t="n">
        <v>60</v>
      </c>
      <c r="E1169" s="46" t="n">
        <v>129000</v>
      </c>
      <c r="F1169" s="46" t="n">
        <v>24403</v>
      </c>
      <c r="G1169" s="42" t="n">
        <v>3.65</v>
      </c>
      <c r="H1169" s="42" t="n">
        <v>30.4</v>
      </c>
      <c r="I1169" s="42" t="n">
        <v>21.5</v>
      </c>
      <c r="J1169" s="46" t="n">
        <f aca="false">IF(N(E1169)&gt;0,E1169,IF(N(F1169)&gt;0,F1169*요약!$F$27,0))</f>
        <v>129000</v>
      </c>
      <c r="K1169" s="46" t="n">
        <f aca="false">IF(N(F1169)&gt;0,F1169,IF(N(E1169)&gt;0,E1169/요약!$F$27,0))</f>
        <v>24403</v>
      </c>
      <c r="L1169" s="46" t="n">
        <f aca="false">IF(B1169="CN",IF(N(I1169)&gt;0,I1169*요약!$G$27,K1169*(1+요약!$E$27)),IF(N(H1169)&gt;0,H1169*요약!$G$27,J1169*요약!$D$27))</f>
        <v>40128</v>
      </c>
      <c r="M1169" s="46" t="n">
        <f aca="false">D1169*J1169</f>
        <v>7740000</v>
      </c>
      <c r="N1169" s="46" t="n">
        <f aca="false">D1169*K1169</f>
        <v>1464180</v>
      </c>
      <c r="O1169" s="46" t="n">
        <f aca="false">D1169*L1169</f>
        <v>2407680</v>
      </c>
      <c r="P1169" s="42" t="str">
        <f aca="false">TRIM(IF(N(E1169)&lt;=0,"택가보정 ","")&amp;IF(N(F1169)&lt;=0,"원가보정 ","")&amp;IF(AND(B1169&lt;&gt;"CN",N(H1169)&lt;=0),"공급가보정 ","")&amp;IF(AND(B1169="CN",N(I1169)&lt;=0),"중국공급가=원가+마진 ",""))</f>
        <v/>
      </c>
      <c r="Q1169" s="47" t="n">
        <f aca="false">IF(SUMIFS($W:$W,$A:$A,A1169,$C:$C,C1169)=0,0,SUMIFS(RAW_판매펀칭!$K:$K,RAW_판매펀칭!$P:$P,A1169,RAW_판매펀칭!$I:$I,C1169)*W1169/SUMIFS($W:$W,$A:$A,A1169,$C:$C,C1169))</f>
        <v>0</v>
      </c>
      <c r="R1169" s="47" t="n">
        <f aca="false">IF(OR(A1169="500",A1169="800",A1169="810"),0,MAX(W1169-Q1169,0))</f>
        <v>0</v>
      </c>
      <c r="S1169" s="47" t="n">
        <f aca="false">R1169*L1169</f>
        <v>0</v>
      </c>
      <c r="T1169" s="47" t="n">
        <f aca="false">R1169*J1169</f>
        <v>0</v>
      </c>
      <c r="U1169" s="47" t="n">
        <f aca="false">R1169*K1169</f>
        <v>0</v>
      </c>
      <c r="V1169" s="0" t="str">
        <f aca="false">IF(COUNTIFS($A$2:A1169,A1169,$C$2:C1169,C1169,$D$2:D1169,D1169)&gt;1,"중복","")</f>
        <v/>
      </c>
      <c r="W1169" s="0" t="n">
        <f aca="false">IF(V1169="중복",0,N(D1169))</f>
        <v>60</v>
      </c>
      <c r="X1169" s="0" t="n">
        <f aca="false">IF(COUNTIFS($A$2:A1169,A1169,$C$2:C1169,C1169)=1,ABS(SUMIFS(RAW_발주!$D:$D,RAW_발주!$C:$C,A1169,RAW_발주!$A:$A,C1169)-SUMIFS($W:$W,$A:$A,A1169,$C:$C,C1169)),0)</f>
        <v>0</v>
      </c>
    </row>
    <row r="1170" customFormat="false" ht="15.75" hidden="false" customHeight="true" outlineLevel="0" collapsed="false">
      <c r="A1170" s="45" t="s">
        <v>1660</v>
      </c>
      <c r="B1170" s="42" t="str">
        <f aca="false">IF(A1170="100","HK",IF(A1170="200","CN",IF(A1170="300","TW","홀세일")))</f>
        <v>CN</v>
      </c>
      <c r="C1170" s="45" t="s">
        <v>1702</v>
      </c>
      <c r="D1170" s="46" t="n">
        <v>130</v>
      </c>
      <c r="E1170" s="46" t="n">
        <v>179000</v>
      </c>
      <c r="F1170" s="46" t="n">
        <v>42300</v>
      </c>
      <c r="G1170" s="42" t="n">
        <v>4.07</v>
      </c>
      <c r="H1170" s="42" t="n">
        <v>43.4</v>
      </c>
      <c r="I1170" s="42" t="n">
        <v>0</v>
      </c>
      <c r="J1170" s="46" t="n">
        <f aca="false">IF(N(E1170)&gt;0,E1170,IF(N(F1170)&gt;0,F1170*요약!$F$27,0))</f>
        <v>179000</v>
      </c>
      <c r="K1170" s="46" t="n">
        <f aca="false">IF(N(F1170)&gt;0,F1170,IF(N(E1170)&gt;0,E1170/요약!$F$27,0))</f>
        <v>42300</v>
      </c>
      <c r="L1170" s="46" t="n">
        <f aca="false">IF(B1170="CN",IF(N(I1170)&gt;0,I1170*요약!$G$27,K1170*(1+요약!$E$27)),IF(N(H1170)&gt;0,H1170*요약!$G$27,J1170*요약!$D$27))</f>
        <v>44415</v>
      </c>
      <c r="M1170" s="46" t="n">
        <f aca="false">D1170*J1170</f>
        <v>23270000</v>
      </c>
      <c r="N1170" s="46" t="n">
        <f aca="false">D1170*K1170</f>
        <v>5499000</v>
      </c>
      <c r="O1170" s="46" t="n">
        <f aca="false">D1170*L1170</f>
        <v>5773950</v>
      </c>
      <c r="P1170" s="42" t="str">
        <f aca="false">TRIM(IF(N(E1170)&lt;=0,"택가보정 ","")&amp;IF(N(F1170)&lt;=0,"원가보정 ","")&amp;IF(AND(B1170&lt;&gt;"CN",N(H1170)&lt;=0),"공급가보정 ","")&amp;IF(AND(B1170="CN",N(I1170)&lt;=0),"중국공급가=원가+마진 ",""))</f>
        <v>중국공급가=원가+마진</v>
      </c>
      <c r="Q1170" s="47" t="n">
        <f aca="false">IF(SUMIFS($W:$W,$A:$A,A1170,$C:$C,C1170)=0,0,SUMIFS(RAW_판매펀칭!$K:$K,RAW_판매펀칭!$P:$P,A1170,RAW_판매펀칭!$I:$I,C1170)*W1170/SUMIFS($W:$W,$A:$A,A1170,$C:$C,C1170))</f>
        <v>0</v>
      </c>
      <c r="R1170" s="47" t="n">
        <f aca="false">IF(OR(A1170="500",A1170="800",A1170="810"),0,MAX(W1170-Q1170,0))</f>
        <v>130</v>
      </c>
      <c r="S1170" s="47" t="n">
        <f aca="false">R1170*L1170</f>
        <v>5773950</v>
      </c>
      <c r="T1170" s="47" t="n">
        <f aca="false">R1170*J1170</f>
        <v>23270000</v>
      </c>
      <c r="U1170" s="47" t="n">
        <f aca="false">R1170*K1170</f>
        <v>5499000</v>
      </c>
      <c r="V1170" s="0" t="str">
        <f aca="false">IF(COUNTIFS($A$2:A1170,A1170,$C$2:C1170,C1170,$D$2:D1170,D1170)&gt;1,"중복","")</f>
        <v/>
      </c>
      <c r="W1170" s="0" t="n">
        <f aca="false">IF(V1170="중복",0,N(D1170))</f>
        <v>130</v>
      </c>
      <c r="X1170" s="0" t="n">
        <f aca="false">IF(COUNTIFS($A$2:A1170,A1170,$C$2:C1170,C1170)=1,ABS(SUMIFS(RAW_발주!$D:$D,RAW_발주!$C:$C,A1170,RAW_발주!$A:$A,C1170)-SUMIFS($W:$W,$A:$A,A1170,$C:$C,C1170)),0)</f>
        <v>0</v>
      </c>
    </row>
    <row r="1171" customFormat="false" ht="15" hidden="false" customHeight="true" outlineLevel="0" collapsed="false">
      <c r="A1171" s="45" t="s">
        <v>1662</v>
      </c>
      <c r="B1171" s="42" t="str">
        <f aca="false">IF(A1171="100","HK",IF(A1171="200","CN",IF(A1171="300","TW","홀세일")))</f>
        <v>홀세일</v>
      </c>
      <c r="C1171" s="45" t="s">
        <v>1702</v>
      </c>
      <c r="D1171" s="46" t="n">
        <v>7</v>
      </c>
      <c r="E1171" s="46" t="n">
        <v>179000</v>
      </c>
      <c r="F1171" s="46" t="n">
        <v>42300</v>
      </c>
      <c r="G1171" s="42" t="n">
        <v>4.07</v>
      </c>
      <c r="H1171" s="42" t="n">
        <v>43.4</v>
      </c>
      <c r="I1171" s="42" t="n">
        <v>0</v>
      </c>
      <c r="J1171" s="46" t="n">
        <f aca="false">IF(N(E1171)&gt;0,E1171,IF(N(F1171)&gt;0,F1171*요약!$F$27,0))</f>
        <v>179000</v>
      </c>
      <c r="K1171" s="46" t="n">
        <f aca="false">IF(N(F1171)&gt;0,F1171,IF(N(E1171)&gt;0,E1171/요약!$F$27,0))</f>
        <v>42300</v>
      </c>
      <c r="L1171" s="46" t="n">
        <f aca="false">IF(B1171="CN",IF(N(I1171)&gt;0,I1171*요약!$G$27,K1171*(1+요약!$E$27)),IF(N(H1171)&gt;0,H1171*요약!$G$27,J1171*요약!$D$27))</f>
        <v>57288</v>
      </c>
      <c r="M1171" s="46" t="n">
        <f aca="false">D1171*J1171</f>
        <v>1253000</v>
      </c>
      <c r="N1171" s="46" t="n">
        <f aca="false">D1171*K1171</f>
        <v>296100</v>
      </c>
      <c r="O1171" s="46" t="n">
        <f aca="false">D1171*L1171</f>
        <v>401016</v>
      </c>
      <c r="P1171" s="42" t="str">
        <f aca="false">TRIM(IF(N(E1171)&lt;=0,"택가보정 ","")&amp;IF(N(F1171)&lt;=0,"원가보정 ","")&amp;IF(AND(B1171&lt;&gt;"CN",N(H1171)&lt;=0),"공급가보정 ","")&amp;IF(AND(B1171="CN",N(I1171)&lt;=0),"중국공급가=원가+마진 ",""))</f>
        <v/>
      </c>
      <c r="Q1171" s="47" t="n">
        <f aca="false">IF(SUMIFS($W:$W,$A:$A,A1171,$C:$C,C1171)=0,0,SUMIFS(RAW_판매펀칭!$K:$K,RAW_판매펀칭!$P:$P,A1171,RAW_판매펀칭!$I:$I,C1171)*W1171/SUMIFS($W:$W,$A:$A,A1171,$C:$C,C1171))</f>
        <v>0</v>
      </c>
      <c r="R1171" s="47" t="n">
        <f aca="false">IF(OR(A1171="500",A1171="800",A1171="810"),0,MAX(W1171-Q1171,0))</f>
        <v>0</v>
      </c>
      <c r="S1171" s="47" t="n">
        <f aca="false">R1171*L1171</f>
        <v>0</v>
      </c>
      <c r="T1171" s="47" t="n">
        <f aca="false">R1171*J1171</f>
        <v>0</v>
      </c>
      <c r="U1171" s="47" t="n">
        <f aca="false">R1171*K1171</f>
        <v>0</v>
      </c>
      <c r="V1171" s="0" t="str">
        <f aca="false">IF(COUNTIFS($A$2:A1171,A1171,$C$2:C1171,C1171,$D$2:D1171,D1171)&gt;1,"중복","")</f>
        <v/>
      </c>
      <c r="W1171" s="0" t="n">
        <f aca="false">IF(V1171="중복",0,N(D1171))</f>
        <v>7</v>
      </c>
      <c r="X1171" s="0" t="n">
        <f aca="false">IF(COUNTIFS($A$2:A1171,A1171,$C$2:C1171,C1171)=1,ABS(SUMIFS(RAW_발주!$D:$D,RAW_발주!$C:$C,A1171,RAW_발주!$A:$A,C1171)-SUMIFS($W:$W,$A:$A,A1171,$C:$C,C1171)),0)</f>
        <v>0</v>
      </c>
    </row>
    <row r="1172" customFormat="false" ht="15" hidden="false" customHeight="true" outlineLevel="0" collapsed="false">
      <c r="A1172" s="45" t="s">
        <v>1659</v>
      </c>
      <c r="B1172" s="42" t="str">
        <f aca="false">IF(A1172="100","HK",IF(A1172="200","CN",IF(A1172="300","TW","홀세일")))</f>
        <v>HK</v>
      </c>
      <c r="C1172" s="45" t="s">
        <v>936</v>
      </c>
      <c r="D1172" s="46" t="n">
        <v>70</v>
      </c>
      <c r="E1172" s="46" t="n">
        <v>169000</v>
      </c>
      <c r="F1172" s="46" t="n">
        <v>28300</v>
      </c>
      <c r="G1172" s="42" t="n">
        <v>3.81</v>
      </c>
      <c r="H1172" s="42" t="n">
        <v>39.8</v>
      </c>
      <c r="I1172" s="42" t="n">
        <v>0</v>
      </c>
      <c r="J1172" s="46" t="n">
        <f aca="false">IF(N(E1172)&gt;0,E1172,IF(N(F1172)&gt;0,F1172*요약!$F$27,0))</f>
        <v>169000</v>
      </c>
      <c r="K1172" s="46" t="n">
        <f aca="false">IF(N(F1172)&gt;0,F1172,IF(N(E1172)&gt;0,E1172/요약!$F$27,0))</f>
        <v>28300</v>
      </c>
      <c r="L1172" s="46" t="n">
        <f aca="false">IF(B1172="CN",IF(N(I1172)&gt;0,I1172*요약!$G$27,K1172*(1+요약!$E$27)),IF(N(H1172)&gt;0,H1172*요약!$G$27,J1172*요약!$D$27))</f>
        <v>52536</v>
      </c>
      <c r="M1172" s="46" t="n">
        <f aca="false">D1172*J1172</f>
        <v>11830000</v>
      </c>
      <c r="N1172" s="46" t="n">
        <f aca="false">D1172*K1172</f>
        <v>1981000</v>
      </c>
      <c r="O1172" s="46" t="n">
        <f aca="false">D1172*L1172</f>
        <v>3677520</v>
      </c>
      <c r="P1172" s="42" t="str">
        <f aca="false">TRIM(IF(N(E1172)&lt;=0,"택가보정 ","")&amp;IF(N(F1172)&lt;=0,"원가보정 ","")&amp;IF(AND(B1172&lt;&gt;"CN",N(H1172)&lt;=0),"공급가보정 ","")&amp;IF(AND(B1172="CN",N(I1172)&lt;=0),"중국공급가=원가+마진 ",""))</f>
        <v/>
      </c>
      <c r="Q1172" s="47" t="n">
        <f aca="false">IF(SUMIFS($W:$W,$A:$A,A1172,$C:$C,C1172)=0,0,SUMIFS(RAW_판매펀칭!$K:$K,RAW_판매펀칭!$P:$P,A1172,RAW_판매펀칭!$I:$I,C1172)*W1172/SUMIFS($W:$W,$A:$A,A1172,$C:$C,C1172))</f>
        <v>70</v>
      </c>
      <c r="R1172" s="47" t="n">
        <f aca="false">IF(OR(A1172="500",A1172="800",A1172="810"),0,MAX(W1172-Q1172,0))</f>
        <v>0</v>
      </c>
      <c r="S1172" s="47" t="n">
        <f aca="false">R1172*L1172</f>
        <v>0</v>
      </c>
      <c r="T1172" s="47" t="n">
        <f aca="false">R1172*J1172</f>
        <v>0</v>
      </c>
      <c r="U1172" s="47" t="n">
        <f aca="false">R1172*K1172</f>
        <v>0</v>
      </c>
      <c r="V1172" s="0" t="str">
        <f aca="false">IF(COUNTIFS($A$2:A1172,A1172,$C$2:C1172,C1172,$D$2:D1172,D1172)&gt;1,"중복","")</f>
        <v/>
      </c>
      <c r="W1172" s="0" t="n">
        <f aca="false">IF(V1172="중복",0,N(D1172))</f>
        <v>70</v>
      </c>
      <c r="X1172" s="0" t="n">
        <f aca="false">IF(COUNTIFS($A$2:A1172,A1172,$C$2:C1172,C1172)=1,ABS(SUMIFS(RAW_발주!$D:$D,RAW_발주!$C:$C,A1172,RAW_발주!$A:$A,C1172)-SUMIFS($W:$W,$A:$A,A1172,$C:$C,C1172)),0)</f>
        <v>0</v>
      </c>
    </row>
    <row r="1173" customFormat="false" ht="15" hidden="false" customHeight="true" outlineLevel="0" collapsed="false">
      <c r="A1173" s="45" t="s">
        <v>1667</v>
      </c>
      <c r="B1173" s="42" t="str">
        <f aca="false">IF(A1173="100","HK",IF(A1173="200","CN",IF(A1173="300","TW","홀세일")))</f>
        <v>홀세일</v>
      </c>
      <c r="C1173" s="45" t="s">
        <v>936</v>
      </c>
      <c r="D1173" s="46" t="n">
        <v>81</v>
      </c>
      <c r="E1173" s="46" t="n">
        <v>169000</v>
      </c>
      <c r="F1173" s="46" t="n">
        <v>28300</v>
      </c>
      <c r="G1173" s="42" t="n">
        <v>3.81</v>
      </c>
      <c r="H1173" s="42" t="n">
        <v>39.8</v>
      </c>
      <c r="I1173" s="42" t="n">
        <v>0</v>
      </c>
      <c r="J1173" s="46" t="n">
        <f aca="false">IF(N(E1173)&gt;0,E1173,IF(N(F1173)&gt;0,F1173*요약!$F$27,0))</f>
        <v>169000</v>
      </c>
      <c r="K1173" s="46" t="n">
        <f aca="false">IF(N(F1173)&gt;0,F1173,IF(N(E1173)&gt;0,E1173/요약!$F$27,0))</f>
        <v>28300</v>
      </c>
      <c r="L1173" s="46" t="n">
        <f aca="false">IF(B1173="CN",IF(N(I1173)&gt;0,I1173*요약!$G$27,K1173*(1+요약!$E$27)),IF(N(H1173)&gt;0,H1173*요약!$G$27,J1173*요약!$D$27))</f>
        <v>52536</v>
      </c>
      <c r="M1173" s="46" t="n">
        <f aca="false">D1173*J1173</f>
        <v>13689000</v>
      </c>
      <c r="N1173" s="46" t="n">
        <f aca="false">D1173*K1173</f>
        <v>2292300</v>
      </c>
      <c r="O1173" s="46" t="n">
        <f aca="false">D1173*L1173</f>
        <v>4255416</v>
      </c>
      <c r="P1173" s="42" t="str">
        <f aca="false">TRIM(IF(N(E1173)&lt;=0,"택가보정 ","")&amp;IF(N(F1173)&lt;=0,"원가보정 ","")&amp;IF(AND(B1173&lt;&gt;"CN",N(H1173)&lt;=0),"공급가보정 ","")&amp;IF(AND(B1173="CN",N(I1173)&lt;=0),"중국공급가=원가+마진 ",""))</f>
        <v/>
      </c>
      <c r="Q1173" s="47" t="n">
        <f aca="false">IF(SUMIFS($W:$W,$A:$A,A1173,$C:$C,C1173)=0,0,SUMIFS(RAW_판매펀칭!$K:$K,RAW_판매펀칭!$P:$P,A1173,RAW_판매펀칭!$I:$I,C1173)*W1173/SUMIFS($W:$W,$A:$A,A1173,$C:$C,C1173))</f>
        <v>80</v>
      </c>
      <c r="R1173" s="47" t="n">
        <f aca="false">IF(OR(A1173="500",A1173="800",A1173="810"),0,MAX(W1173-Q1173,0))</f>
        <v>1</v>
      </c>
      <c r="S1173" s="47" t="n">
        <f aca="false">R1173*L1173</f>
        <v>52536</v>
      </c>
      <c r="T1173" s="47" t="n">
        <f aca="false">R1173*J1173</f>
        <v>169000</v>
      </c>
      <c r="U1173" s="47" t="n">
        <f aca="false">R1173*K1173</f>
        <v>28300</v>
      </c>
      <c r="V1173" s="0" t="str">
        <f aca="false">IF(COUNTIFS($A$2:A1173,A1173,$C$2:C1173,C1173,$D$2:D1173,D1173)&gt;1,"중복","")</f>
        <v/>
      </c>
      <c r="W1173" s="0" t="n">
        <f aca="false">IF(V1173="중복",0,N(D1173))</f>
        <v>81</v>
      </c>
      <c r="X1173" s="0" t="n">
        <f aca="false">IF(COUNTIFS($A$2:A1173,A1173,$C$2:C1173,C1173)=1,ABS(SUMIFS(RAW_발주!$D:$D,RAW_발주!$C:$C,A1173,RAW_발주!$A:$A,C1173)-SUMIFS($W:$W,$A:$A,A1173,$C:$C,C1173)),0)</f>
        <v>0</v>
      </c>
    </row>
    <row r="1174" customFormat="false" ht="15" hidden="false" customHeight="true" outlineLevel="0" collapsed="false">
      <c r="A1174" s="45" t="s">
        <v>1660</v>
      </c>
      <c r="B1174" s="42" t="str">
        <f aca="false">IF(A1174="100","HK",IF(A1174="200","CN",IF(A1174="300","TW","홀세일")))</f>
        <v>CN</v>
      </c>
      <c r="C1174" s="45" t="s">
        <v>1091</v>
      </c>
      <c r="D1174" s="46" t="n">
        <v>121</v>
      </c>
      <c r="E1174" s="46" t="n">
        <v>169000</v>
      </c>
      <c r="F1174" s="46" t="n">
        <v>32200</v>
      </c>
      <c r="G1174" s="42" t="n">
        <v>4.77</v>
      </c>
      <c r="H1174" s="42" t="n">
        <v>41</v>
      </c>
      <c r="I1174" s="42" t="n">
        <v>24.9</v>
      </c>
      <c r="J1174" s="46" t="n">
        <f aca="false">IF(N(E1174)&gt;0,E1174,IF(N(F1174)&gt;0,F1174*요약!$F$27,0))</f>
        <v>169000</v>
      </c>
      <c r="K1174" s="46" t="n">
        <f aca="false">IF(N(F1174)&gt;0,F1174,IF(N(E1174)&gt;0,E1174/요약!$F$27,0))</f>
        <v>32200</v>
      </c>
      <c r="L1174" s="46" t="n">
        <f aca="false">IF(B1174="CN",IF(N(I1174)&gt;0,I1174*요약!$G$27,K1174*(1+요약!$E$27)),IF(N(H1174)&gt;0,H1174*요약!$G$27,J1174*요약!$D$27))</f>
        <v>32868</v>
      </c>
      <c r="M1174" s="46" t="n">
        <f aca="false">D1174*J1174</f>
        <v>20449000</v>
      </c>
      <c r="N1174" s="46" t="n">
        <f aca="false">D1174*K1174</f>
        <v>3896200</v>
      </c>
      <c r="O1174" s="46" t="n">
        <f aca="false">D1174*L1174</f>
        <v>3977028</v>
      </c>
      <c r="P1174" s="42" t="str">
        <f aca="false">TRIM(IF(N(E1174)&lt;=0,"택가보정 ","")&amp;IF(N(F1174)&lt;=0,"원가보정 ","")&amp;IF(AND(B1174&lt;&gt;"CN",N(H1174)&lt;=0),"공급가보정 ","")&amp;IF(AND(B1174="CN",N(I1174)&lt;=0),"중국공급가=원가+마진 ",""))</f>
        <v/>
      </c>
      <c r="Q1174" s="47" t="n">
        <f aca="false">IF(SUMIFS($W:$W,$A:$A,A1174,$C:$C,C1174)=0,0,SUMIFS(RAW_판매펀칭!$K:$K,RAW_판매펀칭!$P:$P,A1174,RAW_판매펀칭!$I:$I,C1174)*W1174/SUMIFS($W:$W,$A:$A,A1174,$C:$C,C1174))</f>
        <v>1</v>
      </c>
      <c r="R1174" s="47" t="n">
        <f aca="false">IF(OR(A1174="500",A1174="800",A1174="810"),0,MAX(W1174-Q1174,0))</f>
        <v>120</v>
      </c>
      <c r="S1174" s="47" t="n">
        <f aca="false">R1174*L1174</f>
        <v>3944160</v>
      </c>
      <c r="T1174" s="47" t="n">
        <f aca="false">R1174*J1174</f>
        <v>20280000</v>
      </c>
      <c r="U1174" s="47" t="n">
        <f aca="false">R1174*K1174</f>
        <v>3864000</v>
      </c>
      <c r="V1174" s="0" t="str">
        <f aca="false">IF(COUNTIFS($A$2:A1174,A1174,$C$2:C1174,C1174,$D$2:D1174,D1174)&gt;1,"중복","")</f>
        <v/>
      </c>
      <c r="W1174" s="0" t="n">
        <f aca="false">IF(V1174="중복",0,N(D1174))</f>
        <v>121</v>
      </c>
      <c r="X1174" s="0" t="n">
        <f aca="false">IF(COUNTIFS($A$2:A1174,A1174,$C$2:C1174,C1174)=1,ABS(SUMIFS(RAW_발주!$D:$D,RAW_발주!$C:$C,A1174,RAW_발주!$A:$A,C1174)-SUMIFS($W:$W,$A:$A,A1174,$C:$C,C1174)),0)</f>
        <v>0</v>
      </c>
    </row>
    <row r="1175" customFormat="false" ht="15" hidden="false" customHeight="true" outlineLevel="0" collapsed="false">
      <c r="A1175" s="45" t="s">
        <v>1663</v>
      </c>
      <c r="B1175" s="42" t="str">
        <f aca="false">IF(A1175="100","HK",IF(A1175="200","CN",IF(A1175="300","TW","홀세일")))</f>
        <v>홀세일</v>
      </c>
      <c r="C1175" s="45" t="s">
        <v>1344</v>
      </c>
      <c r="D1175" s="46" t="n">
        <v>35</v>
      </c>
      <c r="E1175" s="46" t="n">
        <v>99000</v>
      </c>
      <c r="F1175" s="46" t="n">
        <v>23000</v>
      </c>
      <c r="G1175" s="42" t="n">
        <v>4.11</v>
      </c>
      <c r="H1175" s="42" t="n">
        <v>24</v>
      </c>
      <c r="I1175" s="42" t="n">
        <v>0</v>
      </c>
      <c r="J1175" s="46" t="n">
        <f aca="false">IF(N(E1175)&gt;0,E1175,IF(N(F1175)&gt;0,F1175*요약!$F$27,0))</f>
        <v>99000</v>
      </c>
      <c r="K1175" s="46" t="n">
        <f aca="false">IF(N(F1175)&gt;0,F1175,IF(N(E1175)&gt;0,E1175/요약!$F$27,0))</f>
        <v>23000</v>
      </c>
      <c r="L1175" s="46" t="n">
        <f aca="false">IF(B1175="CN",IF(N(I1175)&gt;0,I1175*요약!$G$27,K1175*(1+요약!$E$27)),IF(N(H1175)&gt;0,H1175*요약!$G$27,J1175*요약!$D$27))</f>
        <v>31680</v>
      </c>
      <c r="M1175" s="46" t="n">
        <f aca="false">D1175*J1175</f>
        <v>3465000</v>
      </c>
      <c r="N1175" s="46" t="n">
        <f aca="false">D1175*K1175</f>
        <v>805000</v>
      </c>
      <c r="O1175" s="46" t="n">
        <f aca="false">D1175*L1175</f>
        <v>1108800</v>
      </c>
      <c r="P1175" s="42" t="str">
        <f aca="false">TRIM(IF(N(E1175)&lt;=0,"택가보정 ","")&amp;IF(N(F1175)&lt;=0,"원가보정 ","")&amp;IF(AND(B1175&lt;&gt;"CN",N(H1175)&lt;=0),"공급가보정 ","")&amp;IF(AND(B1175="CN",N(I1175)&lt;=0),"중국공급가=원가+마진 ",""))</f>
        <v/>
      </c>
      <c r="Q1175" s="47" t="n">
        <f aca="false">IF(SUMIFS($W:$W,$A:$A,A1175,$C:$C,C1175)=0,0,SUMIFS(RAW_판매펀칭!$K:$K,RAW_판매펀칭!$P:$P,A1175,RAW_판매펀칭!$I:$I,C1175)*W1175/SUMIFS($W:$W,$A:$A,A1175,$C:$C,C1175))</f>
        <v>35</v>
      </c>
      <c r="R1175" s="47" t="n">
        <f aca="false">IF(OR(A1175="500",A1175="800",A1175="810"),0,MAX(W1175-Q1175,0))</f>
        <v>0</v>
      </c>
      <c r="S1175" s="47" t="n">
        <f aca="false">R1175*L1175</f>
        <v>0</v>
      </c>
      <c r="T1175" s="47" t="n">
        <f aca="false">R1175*J1175</f>
        <v>0</v>
      </c>
      <c r="U1175" s="47" t="n">
        <f aca="false">R1175*K1175</f>
        <v>0</v>
      </c>
      <c r="V1175" s="0" t="str">
        <f aca="false">IF(COUNTIFS($A$2:A1175,A1175,$C$2:C1175,C1175,$D$2:D1175,D1175)&gt;1,"중복","")</f>
        <v/>
      </c>
      <c r="W1175" s="0" t="n">
        <f aca="false">IF(V1175="중복",0,N(D1175))</f>
        <v>35</v>
      </c>
      <c r="X1175" s="0" t="n">
        <f aca="false">IF(COUNTIFS($A$2:A1175,A1175,$C$2:C1175,C1175)=1,ABS(SUMIFS(RAW_발주!$D:$D,RAW_발주!$C:$C,A1175,RAW_발주!$A:$A,C1175)-SUMIFS($W:$W,$A:$A,A1175,$C:$C,C1175)),0)</f>
        <v>0</v>
      </c>
    </row>
    <row r="1176" customFormat="false" ht="15" hidden="false" customHeight="true" outlineLevel="0" collapsed="false">
      <c r="A1176" s="45" t="s">
        <v>1659</v>
      </c>
      <c r="B1176" s="42" t="str">
        <f aca="false">IF(A1176="100","HK",IF(A1176="200","CN",IF(A1176="300","TW","홀세일")))</f>
        <v>HK</v>
      </c>
      <c r="C1176" s="45" t="s">
        <v>938</v>
      </c>
      <c r="D1176" s="46" t="n">
        <v>160</v>
      </c>
      <c r="E1176" s="46" t="n">
        <v>169000</v>
      </c>
      <c r="F1176" s="46" t="n">
        <v>41050</v>
      </c>
      <c r="G1176" s="42" t="n">
        <v>4.38</v>
      </c>
      <c r="H1176" s="42" t="n">
        <v>42.3</v>
      </c>
      <c r="I1176" s="42" t="n">
        <v>0</v>
      </c>
      <c r="J1176" s="46" t="n">
        <f aca="false">IF(N(E1176)&gt;0,E1176,IF(N(F1176)&gt;0,F1176*요약!$F$27,0))</f>
        <v>169000</v>
      </c>
      <c r="K1176" s="46" t="n">
        <f aca="false">IF(N(F1176)&gt;0,F1176,IF(N(E1176)&gt;0,E1176/요약!$F$27,0))</f>
        <v>41050</v>
      </c>
      <c r="L1176" s="46" t="n">
        <f aca="false">IF(B1176="CN",IF(N(I1176)&gt;0,I1176*요약!$G$27,K1176*(1+요약!$E$27)),IF(N(H1176)&gt;0,H1176*요약!$G$27,J1176*요약!$D$27))</f>
        <v>55836</v>
      </c>
      <c r="M1176" s="46" t="n">
        <f aca="false">D1176*J1176</f>
        <v>27040000</v>
      </c>
      <c r="N1176" s="46" t="n">
        <f aca="false">D1176*K1176</f>
        <v>6568000</v>
      </c>
      <c r="O1176" s="46" t="n">
        <f aca="false">D1176*L1176</f>
        <v>8933760</v>
      </c>
      <c r="P1176" s="42" t="str">
        <f aca="false">TRIM(IF(N(E1176)&lt;=0,"택가보정 ","")&amp;IF(N(F1176)&lt;=0,"원가보정 ","")&amp;IF(AND(B1176&lt;&gt;"CN",N(H1176)&lt;=0),"공급가보정 ","")&amp;IF(AND(B1176="CN",N(I1176)&lt;=0),"중국공급가=원가+마진 ",""))</f>
        <v/>
      </c>
      <c r="Q1176" s="47" t="n">
        <f aca="false">IF(SUMIFS($W:$W,$A:$A,A1176,$C:$C,C1176)=0,0,SUMIFS(RAW_판매펀칭!$K:$K,RAW_판매펀칭!$P:$P,A1176,RAW_판매펀칭!$I:$I,C1176)*W1176/SUMIFS($W:$W,$A:$A,A1176,$C:$C,C1176))</f>
        <v>160</v>
      </c>
      <c r="R1176" s="47" t="n">
        <f aca="false">IF(OR(A1176="500",A1176="800",A1176="810"),0,MAX(W1176-Q1176,0))</f>
        <v>0</v>
      </c>
      <c r="S1176" s="47" t="n">
        <f aca="false">R1176*L1176</f>
        <v>0</v>
      </c>
      <c r="T1176" s="47" t="n">
        <f aca="false">R1176*J1176</f>
        <v>0</v>
      </c>
      <c r="U1176" s="47" t="n">
        <f aca="false">R1176*K1176</f>
        <v>0</v>
      </c>
      <c r="V1176" s="0" t="str">
        <f aca="false">IF(COUNTIFS($A$2:A1176,A1176,$C$2:C1176,C1176,$D$2:D1176,D1176)&gt;1,"중복","")</f>
        <v/>
      </c>
      <c r="W1176" s="0" t="n">
        <f aca="false">IF(V1176="중복",0,N(D1176))</f>
        <v>160</v>
      </c>
      <c r="X1176" s="0" t="n">
        <f aca="false">IF(COUNTIFS($A$2:A1176,A1176,$C$2:C1176,C1176)=1,ABS(SUMIFS(RAW_발주!$D:$D,RAW_발주!$C:$C,A1176,RAW_발주!$A:$A,C1176)-SUMIFS($W:$W,$A:$A,A1176,$C:$C,C1176)),0)</f>
        <v>0</v>
      </c>
    </row>
    <row r="1177" customFormat="false" ht="15" hidden="false" customHeight="true" outlineLevel="0" collapsed="false">
      <c r="A1177" s="45" t="s">
        <v>1659</v>
      </c>
      <c r="B1177" s="42" t="str">
        <f aca="false">IF(A1177="100","HK",IF(A1177="200","CN",IF(A1177="300","TW","홀세일")))</f>
        <v>HK</v>
      </c>
      <c r="C1177" s="45" t="s">
        <v>545</v>
      </c>
      <c r="D1177" s="46" t="n">
        <v>380</v>
      </c>
      <c r="E1177" s="46" t="n">
        <v>149000</v>
      </c>
      <c r="F1177" s="46" t="n">
        <v>29047</v>
      </c>
      <c r="G1177" s="42" t="n">
        <v>3.5</v>
      </c>
      <c r="H1177" s="42" t="n">
        <v>37.3</v>
      </c>
      <c r="I1177" s="42" t="n">
        <v>25.1</v>
      </c>
      <c r="J1177" s="46" t="n">
        <f aca="false">IF(N(E1177)&gt;0,E1177,IF(N(F1177)&gt;0,F1177*요약!$F$27,0))</f>
        <v>149000</v>
      </c>
      <c r="K1177" s="46" t="n">
        <f aca="false">IF(N(F1177)&gt;0,F1177,IF(N(E1177)&gt;0,E1177/요약!$F$27,0))</f>
        <v>29047</v>
      </c>
      <c r="L1177" s="46" t="n">
        <f aca="false">IF(B1177="CN",IF(N(I1177)&gt;0,I1177*요약!$G$27,K1177*(1+요약!$E$27)),IF(N(H1177)&gt;0,H1177*요약!$G$27,J1177*요약!$D$27))</f>
        <v>49236</v>
      </c>
      <c r="M1177" s="46" t="n">
        <f aca="false">D1177*J1177</f>
        <v>56620000</v>
      </c>
      <c r="N1177" s="46" t="n">
        <f aca="false">D1177*K1177</f>
        <v>11037860</v>
      </c>
      <c r="O1177" s="46" t="n">
        <f aca="false">D1177*L1177</f>
        <v>18709680</v>
      </c>
      <c r="P1177" s="42" t="str">
        <f aca="false">TRIM(IF(N(E1177)&lt;=0,"택가보정 ","")&amp;IF(N(F1177)&lt;=0,"원가보정 ","")&amp;IF(AND(B1177&lt;&gt;"CN",N(H1177)&lt;=0),"공급가보정 ","")&amp;IF(AND(B1177="CN",N(I1177)&lt;=0),"중국공급가=원가+마진 ",""))</f>
        <v/>
      </c>
      <c r="Q1177" s="47" t="n">
        <f aca="false">IF(SUMIFS($W:$W,$A:$A,A1177,$C:$C,C1177)=0,0,SUMIFS(RAW_판매펀칭!$K:$K,RAW_판매펀칭!$P:$P,A1177,RAW_판매펀칭!$I:$I,C1177)*W1177/SUMIFS($W:$W,$A:$A,A1177,$C:$C,C1177))</f>
        <v>380</v>
      </c>
      <c r="R1177" s="47" t="n">
        <f aca="false">IF(OR(A1177="500",A1177="800",A1177="810"),0,MAX(W1177-Q1177,0))</f>
        <v>0</v>
      </c>
      <c r="S1177" s="47" t="n">
        <f aca="false">R1177*L1177</f>
        <v>0</v>
      </c>
      <c r="T1177" s="47" t="n">
        <f aca="false">R1177*J1177</f>
        <v>0</v>
      </c>
      <c r="U1177" s="47" t="n">
        <f aca="false">R1177*K1177</f>
        <v>0</v>
      </c>
      <c r="V1177" s="0" t="str">
        <f aca="false">IF(COUNTIFS($A$2:A1177,A1177,$C$2:C1177,C1177,$D$2:D1177,D1177)&gt;1,"중복","")</f>
        <v/>
      </c>
      <c r="W1177" s="0" t="n">
        <f aca="false">IF(V1177="중복",0,N(D1177))</f>
        <v>380</v>
      </c>
      <c r="X1177" s="0" t="n">
        <f aca="false">IF(COUNTIFS($A$2:A1177,A1177,$C$2:C1177,C1177)=1,ABS(SUMIFS(RAW_발주!$D:$D,RAW_발주!$C:$C,A1177,RAW_발주!$A:$A,C1177)-SUMIFS($W:$W,$A:$A,A1177,$C:$C,C1177)),0)</f>
        <v>0</v>
      </c>
    </row>
    <row r="1178" customFormat="false" ht="15" hidden="false" customHeight="true" outlineLevel="0" collapsed="false">
      <c r="A1178" s="45" t="s">
        <v>1660</v>
      </c>
      <c r="B1178" s="42" t="str">
        <f aca="false">IF(A1178="100","HK",IF(A1178="200","CN",IF(A1178="300","TW","홀세일")))</f>
        <v>CN</v>
      </c>
      <c r="C1178" s="45" t="s">
        <v>545</v>
      </c>
      <c r="D1178" s="46" t="n">
        <v>613</v>
      </c>
      <c r="E1178" s="46" t="n">
        <v>149000</v>
      </c>
      <c r="F1178" s="46" t="n">
        <v>29047</v>
      </c>
      <c r="G1178" s="42" t="n">
        <v>3.5</v>
      </c>
      <c r="H1178" s="42" t="n">
        <v>37.3</v>
      </c>
      <c r="I1178" s="42" t="n">
        <v>25.1</v>
      </c>
      <c r="J1178" s="46" t="n">
        <f aca="false">IF(N(E1178)&gt;0,E1178,IF(N(F1178)&gt;0,F1178*요약!$F$27,0))</f>
        <v>149000</v>
      </c>
      <c r="K1178" s="46" t="n">
        <f aca="false">IF(N(F1178)&gt;0,F1178,IF(N(E1178)&gt;0,E1178/요약!$F$27,0))</f>
        <v>29047</v>
      </c>
      <c r="L1178" s="46" t="n">
        <f aca="false">IF(B1178="CN",IF(N(I1178)&gt;0,I1178*요약!$G$27,K1178*(1+요약!$E$27)),IF(N(H1178)&gt;0,H1178*요약!$G$27,J1178*요약!$D$27))</f>
        <v>33132</v>
      </c>
      <c r="M1178" s="46" t="n">
        <f aca="false">D1178*J1178</f>
        <v>91337000</v>
      </c>
      <c r="N1178" s="46" t="n">
        <f aca="false">D1178*K1178</f>
        <v>17805811</v>
      </c>
      <c r="O1178" s="46" t="n">
        <f aca="false">D1178*L1178</f>
        <v>20309916</v>
      </c>
      <c r="P1178" s="42" t="str">
        <f aca="false">TRIM(IF(N(E1178)&lt;=0,"택가보정 ","")&amp;IF(N(F1178)&lt;=0,"원가보정 ","")&amp;IF(AND(B1178&lt;&gt;"CN",N(H1178)&lt;=0),"공급가보정 ","")&amp;IF(AND(B1178="CN",N(I1178)&lt;=0),"중국공급가=원가+마진 ",""))</f>
        <v/>
      </c>
      <c r="Q1178" s="47" t="n">
        <f aca="false">IF(SUMIFS($W:$W,$A:$A,A1178,$C:$C,C1178)=0,0,SUMIFS(RAW_판매펀칭!$K:$K,RAW_판매펀칭!$P:$P,A1178,RAW_판매펀칭!$I:$I,C1178)*W1178/SUMIFS($W:$W,$A:$A,A1178,$C:$C,C1178))</f>
        <v>566</v>
      </c>
      <c r="R1178" s="47" t="n">
        <f aca="false">IF(OR(A1178="500",A1178="800",A1178="810"),0,MAX(W1178-Q1178,0))</f>
        <v>47</v>
      </c>
      <c r="S1178" s="47" t="n">
        <f aca="false">R1178*L1178</f>
        <v>1557204</v>
      </c>
      <c r="T1178" s="47" t="n">
        <f aca="false">R1178*J1178</f>
        <v>7003000</v>
      </c>
      <c r="U1178" s="47" t="n">
        <f aca="false">R1178*K1178</f>
        <v>1365209</v>
      </c>
      <c r="V1178" s="0" t="str">
        <f aca="false">IF(COUNTIFS($A$2:A1178,A1178,$C$2:C1178,C1178,$D$2:D1178,D1178)&gt;1,"중복","")</f>
        <v/>
      </c>
      <c r="W1178" s="0" t="n">
        <f aca="false">IF(V1178="중복",0,N(D1178))</f>
        <v>613</v>
      </c>
      <c r="X1178" s="0" t="n">
        <f aca="false">IF(COUNTIFS($A$2:A1178,A1178,$C$2:C1178,C1178)=1,ABS(SUMIFS(RAW_발주!$D:$D,RAW_발주!$C:$C,A1178,RAW_발주!$A:$A,C1178)-SUMIFS($W:$W,$A:$A,A1178,$C:$C,C1178)),0)</f>
        <v>0</v>
      </c>
    </row>
    <row r="1179" customFormat="false" ht="15" hidden="false" customHeight="true" outlineLevel="0" collapsed="false">
      <c r="A1179" s="45" t="s">
        <v>1661</v>
      </c>
      <c r="B1179" s="42" t="str">
        <f aca="false">IF(A1179="100","HK",IF(A1179="200","CN",IF(A1179="300","TW","홀세일")))</f>
        <v>TW</v>
      </c>
      <c r="C1179" s="45" t="s">
        <v>545</v>
      </c>
      <c r="D1179" s="46" t="n">
        <v>940</v>
      </c>
      <c r="E1179" s="46" t="n">
        <v>149000</v>
      </c>
      <c r="F1179" s="46" t="n">
        <v>29047</v>
      </c>
      <c r="G1179" s="42" t="n">
        <v>3.5</v>
      </c>
      <c r="H1179" s="42" t="n">
        <v>37.3</v>
      </c>
      <c r="I1179" s="42" t="n">
        <v>25.1</v>
      </c>
      <c r="J1179" s="46" t="n">
        <f aca="false">IF(N(E1179)&gt;0,E1179,IF(N(F1179)&gt;0,F1179*요약!$F$27,0))</f>
        <v>149000</v>
      </c>
      <c r="K1179" s="46" t="n">
        <f aca="false">IF(N(F1179)&gt;0,F1179,IF(N(E1179)&gt;0,E1179/요약!$F$27,0))</f>
        <v>29047</v>
      </c>
      <c r="L1179" s="46" t="n">
        <f aca="false">IF(B1179="CN",IF(N(I1179)&gt;0,I1179*요약!$G$27,K1179*(1+요약!$E$27)),IF(N(H1179)&gt;0,H1179*요약!$G$27,J1179*요약!$D$27))</f>
        <v>49236</v>
      </c>
      <c r="M1179" s="46" t="n">
        <f aca="false">D1179*J1179</f>
        <v>140060000</v>
      </c>
      <c r="N1179" s="46" t="n">
        <f aca="false">D1179*K1179</f>
        <v>27304180</v>
      </c>
      <c r="O1179" s="46" t="n">
        <f aca="false">D1179*L1179</f>
        <v>46281840</v>
      </c>
      <c r="P1179" s="42" t="str">
        <f aca="false">TRIM(IF(N(E1179)&lt;=0,"택가보정 ","")&amp;IF(N(F1179)&lt;=0,"원가보정 ","")&amp;IF(AND(B1179&lt;&gt;"CN",N(H1179)&lt;=0),"공급가보정 ","")&amp;IF(AND(B1179="CN",N(I1179)&lt;=0),"중국공급가=원가+마진 ",""))</f>
        <v/>
      </c>
      <c r="Q1179" s="47" t="n">
        <f aca="false">IF(SUMIFS($W:$W,$A:$A,A1179,$C:$C,C1179)=0,0,SUMIFS(RAW_판매펀칭!$K:$K,RAW_판매펀칭!$P:$P,A1179,RAW_판매펀칭!$I:$I,C1179)*W1179/SUMIFS($W:$W,$A:$A,A1179,$C:$C,C1179))</f>
        <v>940</v>
      </c>
      <c r="R1179" s="47" t="n">
        <f aca="false">IF(OR(A1179="500",A1179="800",A1179="810"),0,MAX(W1179-Q1179,0))</f>
        <v>0</v>
      </c>
      <c r="S1179" s="47" t="n">
        <f aca="false">R1179*L1179</f>
        <v>0</v>
      </c>
      <c r="T1179" s="47" t="n">
        <f aca="false">R1179*J1179</f>
        <v>0</v>
      </c>
      <c r="U1179" s="47" t="n">
        <f aca="false">R1179*K1179</f>
        <v>0</v>
      </c>
      <c r="V1179" s="0" t="str">
        <f aca="false">IF(COUNTIFS($A$2:A1179,A1179,$C$2:C1179,C1179,$D$2:D1179,D1179)&gt;1,"중복","")</f>
        <v/>
      </c>
      <c r="W1179" s="0" t="n">
        <f aca="false">IF(V1179="중복",0,N(D1179))</f>
        <v>940</v>
      </c>
      <c r="X1179" s="0" t="n">
        <f aca="false">IF(COUNTIFS($A$2:A1179,A1179,$C$2:C1179,C1179)=1,ABS(SUMIFS(RAW_발주!$D:$D,RAW_발주!$C:$C,A1179,RAW_발주!$A:$A,C1179)-SUMIFS($W:$W,$A:$A,A1179,$C:$C,C1179)),0)</f>
        <v>0</v>
      </c>
    </row>
    <row r="1180" customFormat="false" ht="15" hidden="false" customHeight="true" outlineLevel="0" collapsed="false">
      <c r="A1180" s="45" t="s">
        <v>1663</v>
      </c>
      <c r="B1180" s="42" t="str">
        <f aca="false">IF(A1180="100","HK",IF(A1180="200","CN",IF(A1180="300","TW","홀세일")))</f>
        <v>홀세일</v>
      </c>
      <c r="C1180" s="45" t="s">
        <v>545</v>
      </c>
      <c r="D1180" s="46" t="n">
        <v>30</v>
      </c>
      <c r="E1180" s="46" t="n">
        <v>149000</v>
      </c>
      <c r="F1180" s="46" t="n">
        <v>29047</v>
      </c>
      <c r="G1180" s="42" t="n">
        <v>3.5</v>
      </c>
      <c r="H1180" s="42" t="n">
        <v>37.3</v>
      </c>
      <c r="I1180" s="42" t="n">
        <v>25.1</v>
      </c>
      <c r="J1180" s="46" t="n">
        <f aca="false">IF(N(E1180)&gt;0,E1180,IF(N(F1180)&gt;0,F1180*요약!$F$27,0))</f>
        <v>149000</v>
      </c>
      <c r="K1180" s="46" t="n">
        <f aca="false">IF(N(F1180)&gt;0,F1180,IF(N(E1180)&gt;0,E1180/요약!$F$27,0))</f>
        <v>29047</v>
      </c>
      <c r="L1180" s="46" t="n">
        <f aca="false">IF(B1180="CN",IF(N(I1180)&gt;0,I1180*요약!$G$27,K1180*(1+요약!$E$27)),IF(N(H1180)&gt;0,H1180*요약!$G$27,J1180*요약!$D$27))</f>
        <v>49236</v>
      </c>
      <c r="M1180" s="46" t="n">
        <f aca="false">D1180*J1180</f>
        <v>4470000</v>
      </c>
      <c r="N1180" s="46" t="n">
        <f aca="false">D1180*K1180</f>
        <v>871410</v>
      </c>
      <c r="O1180" s="46" t="n">
        <f aca="false">D1180*L1180</f>
        <v>1477080</v>
      </c>
      <c r="P1180" s="42" t="str">
        <f aca="false">TRIM(IF(N(E1180)&lt;=0,"택가보정 ","")&amp;IF(N(F1180)&lt;=0,"원가보정 ","")&amp;IF(AND(B1180&lt;&gt;"CN",N(H1180)&lt;=0),"공급가보정 ","")&amp;IF(AND(B1180="CN",N(I1180)&lt;=0),"중국공급가=원가+마진 ",""))</f>
        <v/>
      </c>
      <c r="Q1180" s="47" t="n">
        <f aca="false">IF(SUMIFS($W:$W,$A:$A,A1180,$C:$C,C1180)=0,0,SUMIFS(RAW_판매펀칭!$K:$K,RAW_판매펀칭!$P:$P,A1180,RAW_판매펀칭!$I:$I,C1180)*W1180/SUMIFS($W:$W,$A:$A,A1180,$C:$C,C1180))</f>
        <v>30</v>
      </c>
      <c r="R1180" s="47" t="n">
        <f aca="false">IF(OR(A1180="500",A1180="800",A1180="810"),0,MAX(W1180-Q1180,0))</f>
        <v>0</v>
      </c>
      <c r="S1180" s="47" t="n">
        <f aca="false">R1180*L1180</f>
        <v>0</v>
      </c>
      <c r="T1180" s="47" t="n">
        <f aca="false">R1180*J1180</f>
        <v>0</v>
      </c>
      <c r="U1180" s="47" t="n">
        <f aca="false">R1180*K1180</f>
        <v>0</v>
      </c>
      <c r="V1180" s="0" t="str">
        <f aca="false">IF(COUNTIFS($A$2:A1180,A1180,$C$2:C1180,C1180,$D$2:D1180,D1180)&gt;1,"중복","")</f>
        <v/>
      </c>
      <c r="W1180" s="0" t="n">
        <f aca="false">IF(V1180="중복",0,N(D1180))</f>
        <v>30</v>
      </c>
      <c r="X1180" s="0" t="n">
        <f aca="false">IF(COUNTIFS($A$2:A1180,A1180,$C$2:C1180,C1180)=1,ABS(SUMIFS(RAW_발주!$D:$D,RAW_발주!$C:$C,A1180,RAW_발주!$A:$A,C1180)-SUMIFS($W:$W,$A:$A,A1180,$C:$C,C1180)),0)</f>
        <v>0</v>
      </c>
    </row>
    <row r="1181" customFormat="false" ht="15" hidden="false" customHeight="true" outlineLevel="0" collapsed="false">
      <c r="A1181" s="45" t="s">
        <v>1667</v>
      </c>
      <c r="B1181" s="42" t="str">
        <f aca="false">IF(A1181="100","HK",IF(A1181="200","CN",IF(A1181="300","TW","홀세일")))</f>
        <v>홀세일</v>
      </c>
      <c r="C1181" s="45" t="s">
        <v>545</v>
      </c>
      <c r="D1181" s="46" t="n">
        <v>51</v>
      </c>
      <c r="E1181" s="46" t="n">
        <v>149000</v>
      </c>
      <c r="F1181" s="46" t="n">
        <v>29047</v>
      </c>
      <c r="G1181" s="42" t="n">
        <v>3.5</v>
      </c>
      <c r="H1181" s="42" t="n">
        <v>37.3</v>
      </c>
      <c r="I1181" s="42" t="n">
        <v>25.1</v>
      </c>
      <c r="J1181" s="46" t="n">
        <f aca="false">IF(N(E1181)&gt;0,E1181,IF(N(F1181)&gt;0,F1181*요약!$F$27,0))</f>
        <v>149000</v>
      </c>
      <c r="K1181" s="46" t="n">
        <f aca="false">IF(N(F1181)&gt;0,F1181,IF(N(E1181)&gt;0,E1181/요약!$F$27,0))</f>
        <v>29047</v>
      </c>
      <c r="L1181" s="46" t="n">
        <f aca="false">IF(B1181="CN",IF(N(I1181)&gt;0,I1181*요약!$G$27,K1181*(1+요약!$E$27)),IF(N(H1181)&gt;0,H1181*요약!$G$27,J1181*요약!$D$27))</f>
        <v>49236</v>
      </c>
      <c r="M1181" s="46" t="n">
        <f aca="false">D1181*J1181</f>
        <v>7599000</v>
      </c>
      <c r="N1181" s="46" t="n">
        <f aca="false">D1181*K1181</f>
        <v>1481397</v>
      </c>
      <c r="O1181" s="46" t="n">
        <f aca="false">D1181*L1181</f>
        <v>2511036</v>
      </c>
      <c r="P1181" s="42" t="str">
        <f aca="false">TRIM(IF(N(E1181)&lt;=0,"택가보정 ","")&amp;IF(N(F1181)&lt;=0,"원가보정 ","")&amp;IF(AND(B1181&lt;&gt;"CN",N(H1181)&lt;=0),"공급가보정 ","")&amp;IF(AND(B1181="CN",N(I1181)&lt;=0),"중국공급가=원가+마진 ",""))</f>
        <v/>
      </c>
      <c r="Q1181" s="47" t="n">
        <f aca="false">IF(SUMIFS($W:$W,$A:$A,A1181,$C:$C,C1181)=0,0,SUMIFS(RAW_판매펀칭!$K:$K,RAW_판매펀칭!$P:$P,A1181,RAW_판매펀칭!$I:$I,C1181)*W1181/SUMIFS($W:$W,$A:$A,A1181,$C:$C,C1181))</f>
        <v>50</v>
      </c>
      <c r="R1181" s="47" t="n">
        <f aca="false">IF(OR(A1181="500",A1181="800",A1181="810"),0,MAX(W1181-Q1181,0))</f>
        <v>1</v>
      </c>
      <c r="S1181" s="47" t="n">
        <f aca="false">R1181*L1181</f>
        <v>49236</v>
      </c>
      <c r="T1181" s="47" t="n">
        <f aca="false">R1181*J1181</f>
        <v>149000</v>
      </c>
      <c r="U1181" s="47" t="n">
        <f aca="false">R1181*K1181</f>
        <v>29047</v>
      </c>
      <c r="V1181" s="0" t="str">
        <f aca="false">IF(COUNTIFS($A$2:A1181,A1181,$C$2:C1181,C1181,$D$2:D1181,D1181)&gt;1,"중복","")</f>
        <v/>
      </c>
      <c r="W1181" s="0" t="n">
        <f aca="false">IF(V1181="중복",0,N(D1181))</f>
        <v>51</v>
      </c>
      <c r="X1181" s="0" t="n">
        <f aca="false">IF(COUNTIFS($A$2:A1181,A1181,$C$2:C1181,C1181)=1,ABS(SUMIFS(RAW_발주!$D:$D,RAW_발주!$C:$C,A1181,RAW_발주!$A:$A,C1181)-SUMIFS($W:$W,$A:$A,A1181,$C:$C,C1181)),0)</f>
        <v>0</v>
      </c>
    </row>
    <row r="1182" customFormat="false" ht="15" hidden="false" customHeight="true" outlineLevel="0" collapsed="false">
      <c r="A1182" s="45" t="s">
        <v>1659</v>
      </c>
      <c r="B1182" s="42" t="str">
        <f aca="false">IF(A1182="100","HK",IF(A1182="200","CN",IF(A1182="300","TW","홀세일")))</f>
        <v>HK</v>
      </c>
      <c r="C1182" s="45" t="s">
        <v>940</v>
      </c>
      <c r="D1182" s="46" t="n">
        <v>80</v>
      </c>
      <c r="E1182" s="46" t="n">
        <v>219000</v>
      </c>
      <c r="F1182" s="46" t="n">
        <v>49135</v>
      </c>
      <c r="G1182" s="42" t="n">
        <v>4.4</v>
      </c>
      <c r="H1182" s="42" t="n">
        <v>54.9</v>
      </c>
      <c r="I1182" s="42" t="n">
        <v>0</v>
      </c>
      <c r="J1182" s="46" t="n">
        <f aca="false">IF(N(E1182)&gt;0,E1182,IF(N(F1182)&gt;0,F1182*요약!$F$27,0))</f>
        <v>219000</v>
      </c>
      <c r="K1182" s="46" t="n">
        <f aca="false">IF(N(F1182)&gt;0,F1182,IF(N(E1182)&gt;0,E1182/요약!$F$27,0))</f>
        <v>49135</v>
      </c>
      <c r="L1182" s="46" t="n">
        <f aca="false">IF(B1182="CN",IF(N(I1182)&gt;0,I1182*요약!$G$27,K1182*(1+요약!$E$27)),IF(N(H1182)&gt;0,H1182*요약!$G$27,J1182*요약!$D$27))</f>
        <v>72468</v>
      </c>
      <c r="M1182" s="46" t="n">
        <f aca="false">D1182*J1182</f>
        <v>17520000</v>
      </c>
      <c r="N1182" s="46" t="n">
        <f aca="false">D1182*K1182</f>
        <v>3930800</v>
      </c>
      <c r="O1182" s="46" t="n">
        <f aca="false">D1182*L1182</f>
        <v>5797440</v>
      </c>
      <c r="P1182" s="42" t="str">
        <f aca="false">TRIM(IF(N(E1182)&lt;=0,"택가보정 ","")&amp;IF(N(F1182)&lt;=0,"원가보정 ","")&amp;IF(AND(B1182&lt;&gt;"CN",N(H1182)&lt;=0),"공급가보정 ","")&amp;IF(AND(B1182="CN",N(I1182)&lt;=0),"중국공급가=원가+마진 ",""))</f>
        <v/>
      </c>
      <c r="Q1182" s="47" t="n">
        <f aca="false">IF(SUMIFS($W:$W,$A:$A,A1182,$C:$C,C1182)=0,0,SUMIFS(RAW_판매펀칭!$K:$K,RAW_판매펀칭!$P:$P,A1182,RAW_판매펀칭!$I:$I,C1182)*W1182/SUMIFS($W:$W,$A:$A,A1182,$C:$C,C1182))</f>
        <v>80</v>
      </c>
      <c r="R1182" s="47" t="n">
        <f aca="false">IF(OR(A1182="500",A1182="800",A1182="810"),0,MAX(W1182-Q1182,0))</f>
        <v>0</v>
      </c>
      <c r="S1182" s="47" t="n">
        <f aca="false">R1182*L1182</f>
        <v>0</v>
      </c>
      <c r="T1182" s="47" t="n">
        <f aca="false">R1182*J1182</f>
        <v>0</v>
      </c>
      <c r="U1182" s="47" t="n">
        <f aca="false">R1182*K1182</f>
        <v>0</v>
      </c>
      <c r="V1182" s="0" t="str">
        <f aca="false">IF(COUNTIFS($A$2:A1182,A1182,$C$2:C1182,C1182,$D$2:D1182,D1182)&gt;1,"중복","")</f>
        <v/>
      </c>
      <c r="W1182" s="0" t="n">
        <f aca="false">IF(V1182="중복",0,N(D1182))</f>
        <v>80</v>
      </c>
      <c r="X1182" s="0" t="n">
        <f aca="false">IF(COUNTIFS($A$2:A1182,A1182,$C$2:C1182,C1182)=1,ABS(SUMIFS(RAW_발주!$D:$D,RAW_발주!$C:$C,A1182,RAW_발주!$A:$A,C1182)-SUMIFS($W:$W,$A:$A,A1182,$C:$C,C1182)),0)</f>
        <v>0</v>
      </c>
    </row>
    <row r="1183" customFormat="false" ht="15" hidden="false" customHeight="true" outlineLevel="0" collapsed="false">
      <c r="A1183" s="45" t="s">
        <v>1667</v>
      </c>
      <c r="B1183" s="42" t="str">
        <f aca="false">IF(A1183="100","HK",IF(A1183="200","CN",IF(A1183="300","TW","홀세일")))</f>
        <v>홀세일</v>
      </c>
      <c r="C1183" s="45" t="s">
        <v>940</v>
      </c>
      <c r="D1183" s="46" t="n">
        <v>71</v>
      </c>
      <c r="E1183" s="46" t="n">
        <v>219000</v>
      </c>
      <c r="F1183" s="46" t="n">
        <v>49135</v>
      </c>
      <c r="G1183" s="42" t="n">
        <v>4.4</v>
      </c>
      <c r="H1183" s="42" t="n">
        <v>54.9</v>
      </c>
      <c r="I1183" s="42" t="n">
        <v>0</v>
      </c>
      <c r="J1183" s="46" t="n">
        <f aca="false">IF(N(E1183)&gt;0,E1183,IF(N(F1183)&gt;0,F1183*요약!$F$27,0))</f>
        <v>219000</v>
      </c>
      <c r="K1183" s="46" t="n">
        <f aca="false">IF(N(F1183)&gt;0,F1183,IF(N(E1183)&gt;0,E1183/요약!$F$27,0))</f>
        <v>49135</v>
      </c>
      <c r="L1183" s="46" t="n">
        <f aca="false">IF(B1183="CN",IF(N(I1183)&gt;0,I1183*요약!$G$27,K1183*(1+요약!$E$27)),IF(N(H1183)&gt;0,H1183*요약!$G$27,J1183*요약!$D$27))</f>
        <v>72468</v>
      </c>
      <c r="M1183" s="46" t="n">
        <f aca="false">D1183*J1183</f>
        <v>15549000</v>
      </c>
      <c r="N1183" s="46" t="n">
        <f aca="false">D1183*K1183</f>
        <v>3488585</v>
      </c>
      <c r="O1183" s="46" t="n">
        <f aca="false">D1183*L1183</f>
        <v>5145228</v>
      </c>
      <c r="P1183" s="42" t="str">
        <f aca="false">TRIM(IF(N(E1183)&lt;=0,"택가보정 ","")&amp;IF(N(F1183)&lt;=0,"원가보정 ","")&amp;IF(AND(B1183&lt;&gt;"CN",N(H1183)&lt;=0),"공급가보정 ","")&amp;IF(AND(B1183="CN",N(I1183)&lt;=0),"중국공급가=원가+마진 ",""))</f>
        <v/>
      </c>
      <c r="Q1183" s="47" t="n">
        <f aca="false">IF(SUMIFS($W:$W,$A:$A,A1183,$C:$C,C1183)=0,0,SUMIFS(RAW_판매펀칭!$K:$K,RAW_판매펀칭!$P:$P,A1183,RAW_판매펀칭!$I:$I,C1183)*W1183/SUMIFS($W:$W,$A:$A,A1183,$C:$C,C1183))</f>
        <v>70</v>
      </c>
      <c r="R1183" s="47" t="n">
        <f aca="false">IF(OR(A1183="500",A1183="800",A1183="810"),0,MAX(W1183-Q1183,0))</f>
        <v>1</v>
      </c>
      <c r="S1183" s="47" t="n">
        <f aca="false">R1183*L1183</f>
        <v>72468</v>
      </c>
      <c r="T1183" s="47" t="n">
        <f aca="false">R1183*J1183</f>
        <v>219000</v>
      </c>
      <c r="U1183" s="47" t="n">
        <f aca="false">R1183*K1183</f>
        <v>49135</v>
      </c>
      <c r="V1183" s="0" t="str">
        <f aca="false">IF(COUNTIFS($A$2:A1183,A1183,$C$2:C1183,C1183,$D$2:D1183,D1183)&gt;1,"중복","")</f>
        <v/>
      </c>
      <c r="W1183" s="0" t="n">
        <f aca="false">IF(V1183="중복",0,N(D1183))</f>
        <v>71</v>
      </c>
      <c r="X1183" s="0" t="n">
        <f aca="false">IF(COUNTIFS($A$2:A1183,A1183,$C$2:C1183,C1183)=1,ABS(SUMIFS(RAW_발주!$D:$D,RAW_발주!$C:$C,A1183,RAW_발주!$A:$A,C1183)-SUMIFS($W:$W,$A:$A,A1183,$C:$C,C1183)),0)</f>
        <v>0</v>
      </c>
    </row>
    <row r="1184" customFormat="false" ht="15" hidden="false" customHeight="true" outlineLevel="0" collapsed="false">
      <c r="A1184" s="45" t="s">
        <v>1659</v>
      </c>
      <c r="B1184" s="42" t="str">
        <f aca="false">IF(A1184="100","HK",IF(A1184="200","CN",IF(A1184="300","TW","홀세일")))</f>
        <v>HK</v>
      </c>
      <c r="C1184" s="45" t="s">
        <v>547</v>
      </c>
      <c r="D1184" s="46" t="n">
        <v>190</v>
      </c>
      <c r="E1184" s="46" t="n">
        <v>239000</v>
      </c>
      <c r="F1184" s="46" t="n">
        <v>53574</v>
      </c>
      <c r="G1184" s="42" t="n">
        <v>4.36</v>
      </c>
      <c r="H1184" s="42" t="n">
        <v>59.9</v>
      </c>
      <c r="I1184" s="42" t="n">
        <v>0</v>
      </c>
      <c r="J1184" s="46" t="n">
        <f aca="false">IF(N(E1184)&gt;0,E1184,IF(N(F1184)&gt;0,F1184*요약!$F$27,0))</f>
        <v>239000</v>
      </c>
      <c r="K1184" s="46" t="n">
        <f aca="false">IF(N(F1184)&gt;0,F1184,IF(N(E1184)&gt;0,E1184/요약!$F$27,0))</f>
        <v>53574</v>
      </c>
      <c r="L1184" s="46" t="n">
        <f aca="false">IF(B1184="CN",IF(N(I1184)&gt;0,I1184*요약!$G$27,K1184*(1+요약!$E$27)),IF(N(H1184)&gt;0,H1184*요약!$G$27,J1184*요약!$D$27))</f>
        <v>79068</v>
      </c>
      <c r="M1184" s="46" t="n">
        <f aca="false">D1184*J1184</f>
        <v>45410000</v>
      </c>
      <c r="N1184" s="46" t="n">
        <f aca="false">D1184*K1184</f>
        <v>10179060</v>
      </c>
      <c r="O1184" s="46" t="n">
        <f aca="false">D1184*L1184</f>
        <v>15022920</v>
      </c>
      <c r="P1184" s="42" t="str">
        <f aca="false">TRIM(IF(N(E1184)&lt;=0,"택가보정 ","")&amp;IF(N(F1184)&lt;=0,"원가보정 ","")&amp;IF(AND(B1184&lt;&gt;"CN",N(H1184)&lt;=0),"공급가보정 ","")&amp;IF(AND(B1184="CN",N(I1184)&lt;=0),"중국공급가=원가+마진 ",""))</f>
        <v/>
      </c>
      <c r="Q1184" s="47" t="n">
        <f aca="false">IF(SUMIFS($W:$W,$A:$A,A1184,$C:$C,C1184)=0,0,SUMIFS(RAW_판매펀칭!$K:$K,RAW_판매펀칭!$P:$P,A1184,RAW_판매펀칭!$I:$I,C1184)*W1184/SUMIFS($W:$W,$A:$A,A1184,$C:$C,C1184))</f>
        <v>190</v>
      </c>
      <c r="R1184" s="47" t="n">
        <f aca="false">IF(OR(A1184="500",A1184="800",A1184="810"),0,MAX(W1184-Q1184,0))</f>
        <v>0</v>
      </c>
      <c r="S1184" s="47" t="n">
        <f aca="false">R1184*L1184</f>
        <v>0</v>
      </c>
      <c r="T1184" s="47" t="n">
        <f aca="false">R1184*J1184</f>
        <v>0</v>
      </c>
      <c r="U1184" s="47" t="n">
        <f aca="false">R1184*K1184</f>
        <v>0</v>
      </c>
      <c r="V1184" s="0" t="str">
        <f aca="false">IF(COUNTIFS($A$2:A1184,A1184,$C$2:C1184,C1184,$D$2:D1184,D1184)&gt;1,"중복","")</f>
        <v/>
      </c>
      <c r="W1184" s="0" t="n">
        <f aca="false">IF(V1184="중복",0,N(D1184))</f>
        <v>190</v>
      </c>
      <c r="X1184" s="0" t="n">
        <f aca="false">IF(COUNTIFS($A$2:A1184,A1184,$C$2:C1184,C1184)=1,ABS(SUMIFS(RAW_발주!$D:$D,RAW_발주!$C:$C,A1184,RAW_발주!$A:$A,C1184)-SUMIFS($W:$W,$A:$A,A1184,$C:$C,C1184)),0)</f>
        <v>0</v>
      </c>
    </row>
    <row r="1185" customFormat="false" ht="15" hidden="false" customHeight="true" outlineLevel="0" collapsed="false">
      <c r="A1185" s="45" t="s">
        <v>1661</v>
      </c>
      <c r="B1185" s="42" t="str">
        <f aca="false">IF(A1185="100","HK",IF(A1185="200","CN",IF(A1185="300","TW","홀세일")))</f>
        <v>TW</v>
      </c>
      <c r="C1185" s="45" t="s">
        <v>547</v>
      </c>
      <c r="D1185" s="46" t="n">
        <v>50</v>
      </c>
      <c r="E1185" s="46" t="n">
        <v>239000</v>
      </c>
      <c r="F1185" s="46" t="n">
        <v>53574</v>
      </c>
      <c r="G1185" s="42" t="n">
        <v>4.36</v>
      </c>
      <c r="H1185" s="42" t="n">
        <v>59.9</v>
      </c>
      <c r="I1185" s="42" t="n">
        <v>0</v>
      </c>
      <c r="J1185" s="46" t="n">
        <f aca="false">IF(N(E1185)&gt;0,E1185,IF(N(F1185)&gt;0,F1185*요약!$F$27,0))</f>
        <v>239000</v>
      </c>
      <c r="K1185" s="46" t="n">
        <f aca="false">IF(N(F1185)&gt;0,F1185,IF(N(E1185)&gt;0,E1185/요약!$F$27,0))</f>
        <v>53574</v>
      </c>
      <c r="L1185" s="46" t="n">
        <f aca="false">IF(B1185="CN",IF(N(I1185)&gt;0,I1185*요약!$G$27,K1185*(1+요약!$E$27)),IF(N(H1185)&gt;0,H1185*요약!$G$27,J1185*요약!$D$27))</f>
        <v>79068</v>
      </c>
      <c r="M1185" s="46" t="n">
        <f aca="false">D1185*J1185</f>
        <v>11950000</v>
      </c>
      <c r="N1185" s="46" t="n">
        <f aca="false">D1185*K1185</f>
        <v>2678700</v>
      </c>
      <c r="O1185" s="46" t="n">
        <f aca="false">D1185*L1185</f>
        <v>3953400</v>
      </c>
      <c r="P1185" s="42" t="str">
        <f aca="false">TRIM(IF(N(E1185)&lt;=0,"택가보정 ","")&amp;IF(N(F1185)&lt;=0,"원가보정 ","")&amp;IF(AND(B1185&lt;&gt;"CN",N(H1185)&lt;=0),"공급가보정 ","")&amp;IF(AND(B1185="CN",N(I1185)&lt;=0),"중국공급가=원가+마진 ",""))</f>
        <v/>
      </c>
      <c r="Q1185" s="47" t="n">
        <f aca="false">IF(SUMIFS($W:$W,$A:$A,A1185,$C:$C,C1185)=0,0,SUMIFS(RAW_판매펀칭!$K:$K,RAW_판매펀칭!$P:$P,A1185,RAW_판매펀칭!$I:$I,C1185)*W1185/SUMIFS($W:$W,$A:$A,A1185,$C:$C,C1185))</f>
        <v>50</v>
      </c>
      <c r="R1185" s="47" t="n">
        <f aca="false">IF(OR(A1185="500",A1185="800",A1185="810"),0,MAX(W1185-Q1185,0))</f>
        <v>0</v>
      </c>
      <c r="S1185" s="47" t="n">
        <f aca="false">R1185*L1185</f>
        <v>0</v>
      </c>
      <c r="T1185" s="47" t="n">
        <f aca="false">R1185*J1185</f>
        <v>0</v>
      </c>
      <c r="U1185" s="47" t="n">
        <f aca="false">R1185*K1185</f>
        <v>0</v>
      </c>
      <c r="V1185" s="0" t="str">
        <f aca="false">IF(COUNTIFS($A$2:A1185,A1185,$C$2:C1185,C1185,$D$2:D1185,D1185)&gt;1,"중복","")</f>
        <v/>
      </c>
      <c r="W1185" s="0" t="n">
        <f aca="false">IF(V1185="중복",0,N(D1185))</f>
        <v>50</v>
      </c>
      <c r="X1185" s="0" t="n">
        <f aca="false">IF(COUNTIFS($A$2:A1185,A1185,$C$2:C1185,C1185)=1,ABS(SUMIFS(RAW_발주!$D:$D,RAW_발주!$C:$C,A1185,RAW_발주!$A:$A,C1185)-SUMIFS($W:$W,$A:$A,A1185,$C:$C,C1185)),0)</f>
        <v>0</v>
      </c>
    </row>
    <row r="1186" customFormat="false" ht="15" hidden="false" customHeight="true" outlineLevel="0" collapsed="false">
      <c r="A1186" s="45" t="s">
        <v>1663</v>
      </c>
      <c r="B1186" s="42" t="str">
        <f aca="false">IF(A1186="100","HK",IF(A1186="200","CN",IF(A1186="300","TW","홀세일")))</f>
        <v>홀세일</v>
      </c>
      <c r="C1186" s="45" t="s">
        <v>547</v>
      </c>
      <c r="D1186" s="46" t="n">
        <v>20</v>
      </c>
      <c r="E1186" s="46" t="n">
        <v>239000</v>
      </c>
      <c r="F1186" s="46" t="n">
        <v>53574</v>
      </c>
      <c r="G1186" s="42" t="n">
        <v>4.36</v>
      </c>
      <c r="H1186" s="42" t="n">
        <v>59.9</v>
      </c>
      <c r="I1186" s="42" t="n">
        <v>0</v>
      </c>
      <c r="J1186" s="46" t="n">
        <f aca="false">IF(N(E1186)&gt;0,E1186,IF(N(F1186)&gt;0,F1186*요약!$F$27,0))</f>
        <v>239000</v>
      </c>
      <c r="K1186" s="46" t="n">
        <f aca="false">IF(N(F1186)&gt;0,F1186,IF(N(E1186)&gt;0,E1186/요약!$F$27,0))</f>
        <v>53574</v>
      </c>
      <c r="L1186" s="46" t="n">
        <f aca="false">IF(B1186="CN",IF(N(I1186)&gt;0,I1186*요약!$G$27,K1186*(1+요약!$E$27)),IF(N(H1186)&gt;0,H1186*요약!$G$27,J1186*요약!$D$27))</f>
        <v>79068</v>
      </c>
      <c r="M1186" s="46" t="n">
        <f aca="false">D1186*J1186</f>
        <v>4780000</v>
      </c>
      <c r="N1186" s="46" t="n">
        <f aca="false">D1186*K1186</f>
        <v>1071480</v>
      </c>
      <c r="O1186" s="46" t="n">
        <f aca="false">D1186*L1186</f>
        <v>1581360</v>
      </c>
      <c r="P1186" s="42" t="str">
        <f aca="false">TRIM(IF(N(E1186)&lt;=0,"택가보정 ","")&amp;IF(N(F1186)&lt;=0,"원가보정 ","")&amp;IF(AND(B1186&lt;&gt;"CN",N(H1186)&lt;=0),"공급가보정 ","")&amp;IF(AND(B1186="CN",N(I1186)&lt;=0),"중국공급가=원가+마진 ",""))</f>
        <v/>
      </c>
      <c r="Q1186" s="47" t="n">
        <f aca="false">IF(SUMIFS($W:$W,$A:$A,A1186,$C:$C,C1186)=0,0,SUMIFS(RAW_판매펀칭!$K:$K,RAW_판매펀칭!$P:$P,A1186,RAW_판매펀칭!$I:$I,C1186)*W1186/SUMIFS($W:$W,$A:$A,A1186,$C:$C,C1186))</f>
        <v>20</v>
      </c>
      <c r="R1186" s="47" t="n">
        <f aca="false">IF(OR(A1186="500",A1186="800",A1186="810"),0,MAX(W1186-Q1186,0))</f>
        <v>0</v>
      </c>
      <c r="S1186" s="47" t="n">
        <f aca="false">R1186*L1186</f>
        <v>0</v>
      </c>
      <c r="T1186" s="47" t="n">
        <f aca="false">R1186*J1186</f>
        <v>0</v>
      </c>
      <c r="U1186" s="47" t="n">
        <f aca="false">R1186*K1186</f>
        <v>0</v>
      </c>
      <c r="V1186" s="0" t="str">
        <f aca="false">IF(COUNTIFS($A$2:A1186,A1186,$C$2:C1186,C1186,$D$2:D1186,D1186)&gt;1,"중복","")</f>
        <v/>
      </c>
      <c r="W1186" s="0" t="n">
        <f aca="false">IF(V1186="중복",0,N(D1186))</f>
        <v>20</v>
      </c>
      <c r="X1186" s="0" t="n">
        <f aca="false">IF(COUNTIFS($A$2:A1186,A1186,$C$2:C1186,C1186)=1,ABS(SUMIFS(RAW_발주!$D:$D,RAW_발주!$C:$C,A1186,RAW_발주!$A:$A,C1186)-SUMIFS($W:$W,$A:$A,A1186,$C:$C,C1186)),0)</f>
        <v>0</v>
      </c>
    </row>
    <row r="1187" customFormat="false" ht="15" hidden="false" customHeight="true" outlineLevel="0" collapsed="false">
      <c r="A1187" s="45" t="s">
        <v>1667</v>
      </c>
      <c r="B1187" s="42" t="str">
        <f aca="false">IF(A1187="100","HK",IF(A1187="200","CN",IF(A1187="300","TW","홀세일")))</f>
        <v>홀세일</v>
      </c>
      <c r="C1187" s="45" t="s">
        <v>547</v>
      </c>
      <c r="D1187" s="46" t="n">
        <v>51</v>
      </c>
      <c r="E1187" s="46" t="n">
        <v>239000</v>
      </c>
      <c r="F1187" s="46" t="n">
        <v>53574</v>
      </c>
      <c r="G1187" s="42" t="n">
        <v>4.36</v>
      </c>
      <c r="H1187" s="42" t="n">
        <v>59.9</v>
      </c>
      <c r="I1187" s="42" t="n">
        <v>0</v>
      </c>
      <c r="J1187" s="46" t="n">
        <f aca="false">IF(N(E1187)&gt;0,E1187,IF(N(F1187)&gt;0,F1187*요약!$F$27,0))</f>
        <v>239000</v>
      </c>
      <c r="K1187" s="46" t="n">
        <f aca="false">IF(N(F1187)&gt;0,F1187,IF(N(E1187)&gt;0,E1187/요약!$F$27,0))</f>
        <v>53574</v>
      </c>
      <c r="L1187" s="46" t="n">
        <f aca="false">IF(B1187="CN",IF(N(I1187)&gt;0,I1187*요약!$G$27,K1187*(1+요약!$E$27)),IF(N(H1187)&gt;0,H1187*요약!$G$27,J1187*요약!$D$27))</f>
        <v>79068</v>
      </c>
      <c r="M1187" s="46" t="n">
        <f aca="false">D1187*J1187</f>
        <v>12189000</v>
      </c>
      <c r="N1187" s="46" t="n">
        <f aca="false">D1187*K1187</f>
        <v>2732274</v>
      </c>
      <c r="O1187" s="46" t="n">
        <f aca="false">D1187*L1187</f>
        <v>4032468</v>
      </c>
      <c r="P1187" s="42" t="str">
        <f aca="false">TRIM(IF(N(E1187)&lt;=0,"택가보정 ","")&amp;IF(N(F1187)&lt;=0,"원가보정 ","")&amp;IF(AND(B1187&lt;&gt;"CN",N(H1187)&lt;=0),"공급가보정 ","")&amp;IF(AND(B1187="CN",N(I1187)&lt;=0),"중국공급가=원가+마진 ",""))</f>
        <v/>
      </c>
      <c r="Q1187" s="47" t="n">
        <f aca="false">IF(SUMIFS($W:$W,$A:$A,A1187,$C:$C,C1187)=0,0,SUMIFS(RAW_판매펀칭!$K:$K,RAW_판매펀칭!$P:$P,A1187,RAW_판매펀칭!$I:$I,C1187)*W1187/SUMIFS($W:$W,$A:$A,A1187,$C:$C,C1187))</f>
        <v>50</v>
      </c>
      <c r="R1187" s="47" t="n">
        <f aca="false">IF(OR(A1187="500",A1187="800",A1187="810"),0,MAX(W1187-Q1187,0))</f>
        <v>1</v>
      </c>
      <c r="S1187" s="47" t="n">
        <f aca="false">R1187*L1187</f>
        <v>79068</v>
      </c>
      <c r="T1187" s="47" t="n">
        <f aca="false">R1187*J1187</f>
        <v>239000</v>
      </c>
      <c r="U1187" s="47" t="n">
        <f aca="false">R1187*K1187</f>
        <v>53574</v>
      </c>
      <c r="V1187" s="0" t="str">
        <f aca="false">IF(COUNTIFS($A$2:A1187,A1187,$C$2:C1187,C1187,$D$2:D1187,D1187)&gt;1,"중복","")</f>
        <v/>
      </c>
      <c r="W1187" s="0" t="n">
        <f aca="false">IF(V1187="중복",0,N(D1187))</f>
        <v>51</v>
      </c>
      <c r="X1187" s="0" t="n">
        <f aca="false">IF(COUNTIFS($A$2:A1187,A1187,$C$2:C1187,C1187)=1,ABS(SUMIFS(RAW_발주!$D:$D,RAW_발주!$C:$C,A1187,RAW_발주!$A:$A,C1187)-SUMIFS($W:$W,$A:$A,A1187,$C:$C,C1187)),0)</f>
        <v>0</v>
      </c>
    </row>
    <row r="1188" customFormat="false" ht="15" hidden="false" customHeight="true" outlineLevel="0" collapsed="false">
      <c r="A1188" s="45" t="s">
        <v>1664</v>
      </c>
      <c r="B1188" s="42" t="str">
        <f aca="false">IF(A1188="100","HK",IF(A1188="200","CN",IF(A1188="300","TW","홀세일")))</f>
        <v>홀세일</v>
      </c>
      <c r="C1188" s="45" t="s">
        <v>547</v>
      </c>
      <c r="D1188" s="46" t="n">
        <v>60</v>
      </c>
      <c r="E1188" s="46" t="n">
        <v>239000</v>
      </c>
      <c r="F1188" s="46" t="n">
        <v>53574</v>
      </c>
      <c r="G1188" s="42" t="n">
        <v>4.36</v>
      </c>
      <c r="H1188" s="42" t="n">
        <v>59.9</v>
      </c>
      <c r="I1188" s="42" t="n">
        <v>0</v>
      </c>
      <c r="J1188" s="46" t="n">
        <f aca="false">IF(N(E1188)&gt;0,E1188,IF(N(F1188)&gt;0,F1188*요약!$F$27,0))</f>
        <v>239000</v>
      </c>
      <c r="K1188" s="46" t="n">
        <f aca="false">IF(N(F1188)&gt;0,F1188,IF(N(E1188)&gt;0,E1188/요약!$F$27,0))</f>
        <v>53574</v>
      </c>
      <c r="L1188" s="46" t="n">
        <f aca="false">IF(B1188="CN",IF(N(I1188)&gt;0,I1188*요약!$G$27,K1188*(1+요약!$E$27)),IF(N(H1188)&gt;0,H1188*요약!$G$27,J1188*요약!$D$27))</f>
        <v>79068</v>
      </c>
      <c r="M1188" s="46" t="n">
        <f aca="false">D1188*J1188</f>
        <v>14340000</v>
      </c>
      <c r="N1188" s="46" t="n">
        <f aca="false">D1188*K1188</f>
        <v>3214440</v>
      </c>
      <c r="O1188" s="46" t="n">
        <f aca="false">D1188*L1188</f>
        <v>4744080</v>
      </c>
      <c r="P1188" s="42" t="str">
        <f aca="false">TRIM(IF(N(E1188)&lt;=0,"택가보정 ","")&amp;IF(N(F1188)&lt;=0,"원가보정 ","")&amp;IF(AND(B1188&lt;&gt;"CN",N(H1188)&lt;=0),"공급가보정 ","")&amp;IF(AND(B1188="CN",N(I1188)&lt;=0),"중국공급가=원가+마진 ",""))</f>
        <v/>
      </c>
      <c r="Q1188" s="47" t="n">
        <f aca="false">IF(SUMIFS($W:$W,$A:$A,A1188,$C:$C,C1188)=0,0,SUMIFS(RAW_판매펀칭!$K:$K,RAW_판매펀칭!$P:$P,A1188,RAW_판매펀칭!$I:$I,C1188)*W1188/SUMIFS($W:$W,$A:$A,A1188,$C:$C,C1188))</f>
        <v>0</v>
      </c>
      <c r="R1188" s="47" t="n">
        <f aca="false">IF(OR(A1188="500",A1188="800",A1188="810"),0,MAX(W1188-Q1188,0))</f>
        <v>0</v>
      </c>
      <c r="S1188" s="47" t="n">
        <f aca="false">R1188*L1188</f>
        <v>0</v>
      </c>
      <c r="T1188" s="47" t="n">
        <f aca="false">R1188*J1188</f>
        <v>0</v>
      </c>
      <c r="U1188" s="47" t="n">
        <f aca="false">R1188*K1188</f>
        <v>0</v>
      </c>
      <c r="V1188" s="0" t="str">
        <f aca="false">IF(COUNTIFS($A$2:A1188,A1188,$C$2:C1188,C1188,$D$2:D1188,D1188)&gt;1,"중복","")</f>
        <v/>
      </c>
      <c r="W1188" s="0" t="n">
        <f aca="false">IF(V1188="중복",0,N(D1188))</f>
        <v>60</v>
      </c>
      <c r="X1188" s="0" t="n">
        <f aca="false">IF(COUNTIFS($A$2:A1188,A1188,$C$2:C1188,C1188)=1,ABS(SUMIFS(RAW_발주!$D:$D,RAW_발주!$C:$C,A1188,RAW_발주!$A:$A,C1188)-SUMIFS($W:$W,$A:$A,A1188,$C:$C,C1188)),0)</f>
        <v>0</v>
      </c>
    </row>
    <row r="1189" customFormat="false" ht="15" hidden="false" customHeight="true" outlineLevel="0" collapsed="false">
      <c r="A1189" s="45" t="s">
        <v>1659</v>
      </c>
      <c r="B1189" s="42" t="str">
        <f aca="false">IF(A1189="100","HK",IF(A1189="200","CN",IF(A1189="300","TW","홀세일")))</f>
        <v>HK</v>
      </c>
      <c r="C1189" s="45" t="s">
        <v>549</v>
      </c>
      <c r="D1189" s="46" t="n">
        <v>205</v>
      </c>
      <c r="E1189" s="46" t="n">
        <v>199000</v>
      </c>
      <c r="F1189" s="46" t="n">
        <v>59622</v>
      </c>
      <c r="G1189" s="42" t="n">
        <v>3.65</v>
      </c>
      <c r="H1189" s="42" t="n">
        <v>49.8</v>
      </c>
      <c r="I1189" s="42" t="n">
        <v>0</v>
      </c>
      <c r="J1189" s="46" t="n">
        <f aca="false">IF(N(E1189)&gt;0,E1189,IF(N(F1189)&gt;0,F1189*요약!$F$27,0))</f>
        <v>199000</v>
      </c>
      <c r="K1189" s="46" t="n">
        <f aca="false">IF(N(F1189)&gt;0,F1189,IF(N(E1189)&gt;0,E1189/요약!$F$27,0))</f>
        <v>59622</v>
      </c>
      <c r="L1189" s="46" t="n">
        <f aca="false">IF(B1189="CN",IF(N(I1189)&gt;0,I1189*요약!$G$27,K1189*(1+요약!$E$27)),IF(N(H1189)&gt;0,H1189*요약!$G$27,J1189*요약!$D$27))</f>
        <v>65736</v>
      </c>
      <c r="M1189" s="46" t="n">
        <f aca="false">D1189*J1189</f>
        <v>40795000</v>
      </c>
      <c r="N1189" s="46" t="n">
        <f aca="false">D1189*K1189</f>
        <v>12222510</v>
      </c>
      <c r="O1189" s="46" t="n">
        <f aca="false">D1189*L1189</f>
        <v>13475880</v>
      </c>
      <c r="P1189" s="42" t="str">
        <f aca="false">TRIM(IF(N(E1189)&lt;=0,"택가보정 ","")&amp;IF(N(F1189)&lt;=0,"원가보정 ","")&amp;IF(AND(B1189&lt;&gt;"CN",N(H1189)&lt;=0),"공급가보정 ","")&amp;IF(AND(B1189="CN",N(I1189)&lt;=0),"중국공급가=원가+마진 ",""))</f>
        <v/>
      </c>
      <c r="Q1189" s="47" t="n">
        <f aca="false">IF(SUMIFS($W:$W,$A:$A,A1189,$C:$C,C1189)=0,0,SUMIFS(RAW_판매펀칭!$K:$K,RAW_판매펀칭!$P:$P,A1189,RAW_판매펀칭!$I:$I,C1189)*W1189/SUMIFS($W:$W,$A:$A,A1189,$C:$C,C1189))</f>
        <v>205</v>
      </c>
      <c r="R1189" s="47" t="n">
        <f aca="false">IF(OR(A1189="500",A1189="800",A1189="810"),0,MAX(W1189-Q1189,0))</f>
        <v>0</v>
      </c>
      <c r="S1189" s="47" t="n">
        <f aca="false">R1189*L1189</f>
        <v>0</v>
      </c>
      <c r="T1189" s="47" t="n">
        <f aca="false">R1189*J1189</f>
        <v>0</v>
      </c>
      <c r="U1189" s="47" t="n">
        <f aca="false">R1189*K1189</f>
        <v>0</v>
      </c>
      <c r="V1189" s="0" t="str">
        <f aca="false">IF(COUNTIFS($A$2:A1189,A1189,$C$2:C1189,C1189,$D$2:D1189,D1189)&gt;1,"중복","")</f>
        <v/>
      </c>
      <c r="W1189" s="0" t="n">
        <f aca="false">IF(V1189="중복",0,N(D1189))</f>
        <v>205</v>
      </c>
      <c r="X1189" s="0" t="n">
        <f aca="false">IF(COUNTIFS($A$2:A1189,A1189,$C$2:C1189,C1189)=1,ABS(SUMIFS(RAW_발주!$D:$D,RAW_발주!$C:$C,A1189,RAW_발주!$A:$A,C1189)-SUMIFS($W:$W,$A:$A,A1189,$C:$C,C1189)),0)</f>
        <v>0</v>
      </c>
    </row>
    <row r="1190" customFormat="false" ht="15" hidden="false" customHeight="true" outlineLevel="0" collapsed="false">
      <c r="A1190" s="45" t="s">
        <v>1661</v>
      </c>
      <c r="B1190" s="42" t="str">
        <f aca="false">IF(A1190="100","HK",IF(A1190="200","CN",IF(A1190="300","TW","홀세일")))</f>
        <v>TW</v>
      </c>
      <c r="C1190" s="45" t="s">
        <v>549</v>
      </c>
      <c r="D1190" s="46" t="n">
        <v>300</v>
      </c>
      <c r="E1190" s="46" t="n">
        <v>199000</v>
      </c>
      <c r="F1190" s="46" t="n">
        <v>59622</v>
      </c>
      <c r="G1190" s="42" t="n">
        <v>3.65</v>
      </c>
      <c r="H1190" s="42" t="n">
        <v>49.8</v>
      </c>
      <c r="I1190" s="42" t="n">
        <v>0</v>
      </c>
      <c r="J1190" s="46" t="n">
        <f aca="false">IF(N(E1190)&gt;0,E1190,IF(N(F1190)&gt;0,F1190*요약!$F$27,0))</f>
        <v>199000</v>
      </c>
      <c r="K1190" s="46" t="n">
        <f aca="false">IF(N(F1190)&gt;0,F1190,IF(N(E1190)&gt;0,E1190/요약!$F$27,0))</f>
        <v>59622</v>
      </c>
      <c r="L1190" s="46" t="n">
        <f aca="false">IF(B1190="CN",IF(N(I1190)&gt;0,I1190*요약!$G$27,K1190*(1+요약!$E$27)),IF(N(H1190)&gt;0,H1190*요약!$G$27,J1190*요약!$D$27))</f>
        <v>65736</v>
      </c>
      <c r="M1190" s="46" t="n">
        <f aca="false">D1190*J1190</f>
        <v>59700000</v>
      </c>
      <c r="N1190" s="46" t="n">
        <f aca="false">D1190*K1190</f>
        <v>17886600</v>
      </c>
      <c r="O1190" s="46" t="n">
        <f aca="false">D1190*L1190</f>
        <v>19720800</v>
      </c>
      <c r="P1190" s="42" t="str">
        <f aca="false">TRIM(IF(N(E1190)&lt;=0,"택가보정 ","")&amp;IF(N(F1190)&lt;=0,"원가보정 ","")&amp;IF(AND(B1190&lt;&gt;"CN",N(H1190)&lt;=0),"공급가보정 ","")&amp;IF(AND(B1190="CN",N(I1190)&lt;=0),"중국공급가=원가+마진 ",""))</f>
        <v/>
      </c>
      <c r="Q1190" s="47" t="n">
        <f aca="false">IF(SUMIFS($W:$W,$A:$A,A1190,$C:$C,C1190)=0,0,SUMIFS(RAW_판매펀칭!$K:$K,RAW_판매펀칭!$P:$P,A1190,RAW_판매펀칭!$I:$I,C1190)*W1190/SUMIFS($W:$W,$A:$A,A1190,$C:$C,C1190))</f>
        <v>300</v>
      </c>
      <c r="R1190" s="47" t="n">
        <f aca="false">IF(OR(A1190="500",A1190="800",A1190="810"),0,MAX(W1190-Q1190,0))</f>
        <v>0</v>
      </c>
      <c r="S1190" s="47" t="n">
        <f aca="false">R1190*L1190</f>
        <v>0</v>
      </c>
      <c r="T1190" s="47" t="n">
        <f aca="false">R1190*J1190</f>
        <v>0</v>
      </c>
      <c r="U1190" s="47" t="n">
        <f aca="false">R1190*K1190</f>
        <v>0</v>
      </c>
      <c r="V1190" s="0" t="str">
        <f aca="false">IF(COUNTIFS($A$2:A1190,A1190,$C$2:C1190,C1190,$D$2:D1190,D1190)&gt;1,"중복","")</f>
        <v/>
      </c>
      <c r="W1190" s="0" t="n">
        <f aca="false">IF(V1190="중복",0,N(D1190))</f>
        <v>300</v>
      </c>
      <c r="X1190" s="0" t="n">
        <f aca="false">IF(COUNTIFS($A$2:A1190,A1190,$C$2:C1190,C1190)=1,ABS(SUMIFS(RAW_발주!$D:$D,RAW_발주!$C:$C,A1190,RAW_발주!$A:$A,C1190)-SUMIFS($W:$W,$A:$A,A1190,$C:$C,C1190)),0)</f>
        <v>0</v>
      </c>
    </row>
    <row r="1191" customFormat="false" ht="15" hidden="false" customHeight="true" outlineLevel="0" collapsed="false">
      <c r="A1191" s="45" t="s">
        <v>1659</v>
      </c>
      <c r="B1191" s="42" t="str">
        <f aca="false">IF(A1191="100","HK",IF(A1191="200","CN",IF(A1191="300","TW","홀세일")))</f>
        <v>HK</v>
      </c>
      <c r="C1191" s="45" t="s">
        <v>551</v>
      </c>
      <c r="D1191" s="46" t="n">
        <v>560</v>
      </c>
      <c r="E1191" s="46" t="n">
        <v>169000</v>
      </c>
      <c r="F1191" s="46" t="n">
        <v>37814</v>
      </c>
      <c r="G1191" s="42" t="n">
        <v>3.5</v>
      </c>
      <c r="H1191" s="42" t="n">
        <v>42.3</v>
      </c>
      <c r="I1191" s="42" t="n">
        <v>31.3</v>
      </c>
      <c r="J1191" s="46" t="n">
        <f aca="false">IF(N(E1191)&gt;0,E1191,IF(N(F1191)&gt;0,F1191*요약!$F$27,0))</f>
        <v>169000</v>
      </c>
      <c r="K1191" s="46" t="n">
        <f aca="false">IF(N(F1191)&gt;0,F1191,IF(N(E1191)&gt;0,E1191/요약!$F$27,0))</f>
        <v>37814</v>
      </c>
      <c r="L1191" s="46" t="n">
        <f aca="false">IF(B1191="CN",IF(N(I1191)&gt;0,I1191*요약!$G$27,K1191*(1+요약!$E$27)),IF(N(H1191)&gt;0,H1191*요약!$G$27,J1191*요약!$D$27))</f>
        <v>55836</v>
      </c>
      <c r="M1191" s="46" t="n">
        <f aca="false">D1191*J1191</f>
        <v>94640000</v>
      </c>
      <c r="N1191" s="46" t="n">
        <f aca="false">D1191*K1191</f>
        <v>21175840</v>
      </c>
      <c r="O1191" s="46" t="n">
        <f aca="false">D1191*L1191</f>
        <v>31268160</v>
      </c>
      <c r="P1191" s="42" t="str">
        <f aca="false">TRIM(IF(N(E1191)&lt;=0,"택가보정 ","")&amp;IF(N(F1191)&lt;=0,"원가보정 ","")&amp;IF(AND(B1191&lt;&gt;"CN",N(H1191)&lt;=0),"공급가보정 ","")&amp;IF(AND(B1191="CN",N(I1191)&lt;=0),"중국공급가=원가+마진 ",""))</f>
        <v/>
      </c>
      <c r="Q1191" s="47" t="n">
        <f aca="false">IF(SUMIFS($W:$W,$A:$A,A1191,$C:$C,C1191)=0,0,SUMIFS(RAW_판매펀칭!$K:$K,RAW_판매펀칭!$P:$P,A1191,RAW_판매펀칭!$I:$I,C1191)*W1191/SUMIFS($W:$W,$A:$A,A1191,$C:$C,C1191))</f>
        <v>551</v>
      </c>
      <c r="R1191" s="47" t="n">
        <f aca="false">IF(OR(A1191="500",A1191="800",A1191="810"),0,MAX(W1191-Q1191,0))</f>
        <v>9</v>
      </c>
      <c r="S1191" s="47" t="n">
        <f aca="false">R1191*L1191</f>
        <v>502524</v>
      </c>
      <c r="T1191" s="47" t="n">
        <f aca="false">R1191*J1191</f>
        <v>1521000</v>
      </c>
      <c r="U1191" s="47" t="n">
        <f aca="false">R1191*K1191</f>
        <v>340326</v>
      </c>
      <c r="V1191" s="0" t="str">
        <f aca="false">IF(COUNTIFS($A$2:A1191,A1191,$C$2:C1191,C1191,$D$2:D1191,D1191)&gt;1,"중복","")</f>
        <v/>
      </c>
      <c r="W1191" s="0" t="n">
        <f aca="false">IF(V1191="중복",0,N(D1191))</f>
        <v>560</v>
      </c>
      <c r="X1191" s="0" t="n">
        <f aca="false">IF(COUNTIFS($A$2:A1191,A1191,$C$2:C1191,C1191)=1,ABS(SUMIFS(RAW_발주!$D:$D,RAW_발주!$C:$C,A1191,RAW_발주!$A:$A,C1191)-SUMIFS($W:$W,$A:$A,A1191,$C:$C,C1191)),0)</f>
        <v>0</v>
      </c>
    </row>
    <row r="1192" customFormat="false" ht="15" hidden="false" customHeight="true" outlineLevel="0" collapsed="false">
      <c r="A1192" s="45" t="s">
        <v>1660</v>
      </c>
      <c r="B1192" s="42" t="str">
        <f aca="false">IF(A1192="100","HK",IF(A1192="200","CN",IF(A1192="300","TW","홀세일")))</f>
        <v>CN</v>
      </c>
      <c r="C1192" s="45" t="s">
        <v>551</v>
      </c>
      <c r="D1192" s="46" t="n">
        <v>673</v>
      </c>
      <c r="E1192" s="46" t="n">
        <v>169000</v>
      </c>
      <c r="F1192" s="46" t="n">
        <v>37814</v>
      </c>
      <c r="G1192" s="42" t="n">
        <v>3.5</v>
      </c>
      <c r="H1192" s="42" t="n">
        <v>42.3</v>
      </c>
      <c r="I1192" s="42" t="n">
        <v>31.3</v>
      </c>
      <c r="J1192" s="46" t="n">
        <f aca="false">IF(N(E1192)&gt;0,E1192,IF(N(F1192)&gt;0,F1192*요약!$F$27,0))</f>
        <v>169000</v>
      </c>
      <c r="K1192" s="46" t="n">
        <f aca="false">IF(N(F1192)&gt;0,F1192,IF(N(E1192)&gt;0,E1192/요약!$F$27,0))</f>
        <v>37814</v>
      </c>
      <c r="L1192" s="46" t="n">
        <f aca="false">IF(B1192="CN",IF(N(I1192)&gt;0,I1192*요약!$G$27,K1192*(1+요약!$E$27)),IF(N(H1192)&gt;0,H1192*요약!$G$27,J1192*요약!$D$27))</f>
        <v>41316</v>
      </c>
      <c r="M1192" s="46" t="n">
        <f aca="false">D1192*J1192</f>
        <v>113737000</v>
      </c>
      <c r="N1192" s="46" t="n">
        <f aca="false">D1192*K1192</f>
        <v>25448822</v>
      </c>
      <c r="O1192" s="46" t="n">
        <f aca="false">D1192*L1192</f>
        <v>27805668</v>
      </c>
      <c r="P1192" s="42" t="str">
        <f aca="false">TRIM(IF(N(E1192)&lt;=0,"택가보정 ","")&amp;IF(N(F1192)&lt;=0,"원가보정 ","")&amp;IF(AND(B1192&lt;&gt;"CN",N(H1192)&lt;=0),"공급가보정 ","")&amp;IF(AND(B1192="CN",N(I1192)&lt;=0),"중국공급가=원가+마진 ",""))</f>
        <v/>
      </c>
      <c r="Q1192" s="47" t="n">
        <f aca="false">IF(SUMIFS($W:$W,$A:$A,A1192,$C:$C,C1192)=0,0,SUMIFS(RAW_판매펀칭!$K:$K,RAW_판매펀칭!$P:$P,A1192,RAW_판매펀칭!$I:$I,C1192)*W1192/SUMIFS($W:$W,$A:$A,A1192,$C:$C,C1192))</f>
        <v>664</v>
      </c>
      <c r="R1192" s="47" t="n">
        <f aca="false">IF(OR(A1192="500",A1192="800",A1192="810"),0,MAX(W1192-Q1192,0))</f>
        <v>9</v>
      </c>
      <c r="S1192" s="47" t="n">
        <f aca="false">R1192*L1192</f>
        <v>371844</v>
      </c>
      <c r="T1192" s="47" t="n">
        <f aca="false">R1192*J1192</f>
        <v>1521000</v>
      </c>
      <c r="U1192" s="47" t="n">
        <f aca="false">R1192*K1192</f>
        <v>340326</v>
      </c>
      <c r="V1192" s="0" t="str">
        <f aca="false">IF(COUNTIFS($A$2:A1192,A1192,$C$2:C1192,C1192,$D$2:D1192,D1192)&gt;1,"중복","")</f>
        <v/>
      </c>
      <c r="W1192" s="0" t="n">
        <f aca="false">IF(V1192="중복",0,N(D1192))</f>
        <v>673</v>
      </c>
      <c r="X1192" s="0" t="n">
        <f aca="false">IF(COUNTIFS($A$2:A1192,A1192,$C$2:C1192,C1192)=1,ABS(SUMIFS(RAW_발주!$D:$D,RAW_발주!$C:$C,A1192,RAW_발주!$A:$A,C1192)-SUMIFS($W:$W,$A:$A,A1192,$C:$C,C1192)),0)</f>
        <v>0</v>
      </c>
    </row>
    <row r="1193" customFormat="false" ht="15" hidden="false" customHeight="true" outlineLevel="0" collapsed="false">
      <c r="A1193" s="45" t="s">
        <v>1661</v>
      </c>
      <c r="B1193" s="42" t="str">
        <f aca="false">IF(A1193="100","HK",IF(A1193="200","CN",IF(A1193="300","TW","홀세일")))</f>
        <v>TW</v>
      </c>
      <c r="C1193" s="45" t="s">
        <v>551</v>
      </c>
      <c r="D1193" s="46" t="n">
        <v>610</v>
      </c>
      <c r="E1193" s="46" t="n">
        <v>169000</v>
      </c>
      <c r="F1193" s="46" t="n">
        <v>37814</v>
      </c>
      <c r="G1193" s="42" t="n">
        <v>3.5</v>
      </c>
      <c r="H1193" s="42" t="n">
        <v>42.3</v>
      </c>
      <c r="I1193" s="42" t="n">
        <v>31.3</v>
      </c>
      <c r="J1193" s="46" t="n">
        <f aca="false">IF(N(E1193)&gt;0,E1193,IF(N(F1193)&gt;0,F1193*요약!$F$27,0))</f>
        <v>169000</v>
      </c>
      <c r="K1193" s="46" t="n">
        <f aca="false">IF(N(F1193)&gt;0,F1193,IF(N(E1193)&gt;0,E1193/요약!$F$27,0))</f>
        <v>37814</v>
      </c>
      <c r="L1193" s="46" t="n">
        <f aca="false">IF(B1193="CN",IF(N(I1193)&gt;0,I1193*요약!$G$27,K1193*(1+요약!$E$27)),IF(N(H1193)&gt;0,H1193*요약!$G$27,J1193*요약!$D$27))</f>
        <v>55836</v>
      </c>
      <c r="M1193" s="46" t="n">
        <f aca="false">D1193*J1193</f>
        <v>103090000</v>
      </c>
      <c r="N1193" s="46" t="n">
        <f aca="false">D1193*K1193</f>
        <v>23066540</v>
      </c>
      <c r="O1193" s="46" t="n">
        <f aca="false">D1193*L1193</f>
        <v>34059960</v>
      </c>
      <c r="P1193" s="42" t="str">
        <f aca="false">TRIM(IF(N(E1193)&lt;=0,"택가보정 ","")&amp;IF(N(F1193)&lt;=0,"원가보정 ","")&amp;IF(AND(B1193&lt;&gt;"CN",N(H1193)&lt;=0),"공급가보정 ","")&amp;IF(AND(B1193="CN",N(I1193)&lt;=0),"중국공급가=원가+마진 ",""))</f>
        <v/>
      </c>
      <c r="Q1193" s="47" t="n">
        <f aca="false">IF(SUMIFS($W:$W,$A:$A,A1193,$C:$C,C1193)=0,0,SUMIFS(RAW_판매펀칭!$K:$K,RAW_판매펀칭!$P:$P,A1193,RAW_판매펀칭!$I:$I,C1193)*W1193/SUMIFS($W:$W,$A:$A,A1193,$C:$C,C1193))</f>
        <v>605</v>
      </c>
      <c r="R1193" s="47" t="n">
        <f aca="false">IF(OR(A1193="500",A1193="800",A1193="810"),0,MAX(W1193-Q1193,0))</f>
        <v>5</v>
      </c>
      <c r="S1193" s="47" t="n">
        <f aca="false">R1193*L1193</f>
        <v>279180</v>
      </c>
      <c r="T1193" s="47" t="n">
        <f aca="false">R1193*J1193</f>
        <v>845000</v>
      </c>
      <c r="U1193" s="47" t="n">
        <f aca="false">R1193*K1193</f>
        <v>189070</v>
      </c>
      <c r="V1193" s="0" t="str">
        <f aca="false">IF(COUNTIFS($A$2:A1193,A1193,$C$2:C1193,C1193,$D$2:D1193,D1193)&gt;1,"중복","")</f>
        <v/>
      </c>
      <c r="W1193" s="0" t="n">
        <f aca="false">IF(V1193="중복",0,N(D1193))</f>
        <v>610</v>
      </c>
      <c r="X1193" s="0" t="n">
        <f aca="false">IF(COUNTIFS($A$2:A1193,A1193,$C$2:C1193,C1193)=1,ABS(SUMIFS(RAW_발주!$D:$D,RAW_발주!$C:$C,A1193,RAW_발주!$A:$A,C1193)-SUMIFS($W:$W,$A:$A,A1193,$C:$C,C1193)),0)</f>
        <v>0</v>
      </c>
    </row>
    <row r="1194" customFormat="false" ht="15" hidden="false" customHeight="true" outlineLevel="0" collapsed="false">
      <c r="A1194" s="45" t="s">
        <v>1663</v>
      </c>
      <c r="B1194" s="42" t="str">
        <f aca="false">IF(A1194="100","HK",IF(A1194="200","CN",IF(A1194="300","TW","홀세일")))</f>
        <v>홀세일</v>
      </c>
      <c r="C1194" s="45" t="s">
        <v>551</v>
      </c>
      <c r="D1194" s="46" t="n">
        <v>50</v>
      </c>
      <c r="E1194" s="46" t="n">
        <v>169000</v>
      </c>
      <c r="F1194" s="46" t="n">
        <v>37814</v>
      </c>
      <c r="G1194" s="42" t="n">
        <v>3.5</v>
      </c>
      <c r="H1194" s="42" t="n">
        <v>42.3</v>
      </c>
      <c r="I1194" s="42" t="n">
        <v>31.3</v>
      </c>
      <c r="J1194" s="46" t="n">
        <f aca="false">IF(N(E1194)&gt;0,E1194,IF(N(F1194)&gt;0,F1194*요약!$F$27,0))</f>
        <v>169000</v>
      </c>
      <c r="K1194" s="46" t="n">
        <f aca="false">IF(N(F1194)&gt;0,F1194,IF(N(E1194)&gt;0,E1194/요약!$F$27,0))</f>
        <v>37814</v>
      </c>
      <c r="L1194" s="46" t="n">
        <f aca="false">IF(B1194="CN",IF(N(I1194)&gt;0,I1194*요약!$G$27,K1194*(1+요약!$E$27)),IF(N(H1194)&gt;0,H1194*요약!$G$27,J1194*요약!$D$27))</f>
        <v>55836</v>
      </c>
      <c r="M1194" s="46" t="n">
        <f aca="false">D1194*J1194</f>
        <v>8450000</v>
      </c>
      <c r="N1194" s="46" t="n">
        <f aca="false">D1194*K1194</f>
        <v>1890700</v>
      </c>
      <c r="O1194" s="46" t="n">
        <f aca="false">D1194*L1194</f>
        <v>2791800</v>
      </c>
      <c r="P1194" s="42" t="str">
        <f aca="false">TRIM(IF(N(E1194)&lt;=0,"택가보정 ","")&amp;IF(N(F1194)&lt;=0,"원가보정 ","")&amp;IF(AND(B1194&lt;&gt;"CN",N(H1194)&lt;=0),"공급가보정 ","")&amp;IF(AND(B1194="CN",N(I1194)&lt;=0),"중국공급가=원가+마진 ",""))</f>
        <v/>
      </c>
      <c r="Q1194" s="47" t="n">
        <f aca="false">IF(SUMIFS($W:$W,$A:$A,A1194,$C:$C,C1194)=0,0,SUMIFS(RAW_판매펀칭!$K:$K,RAW_판매펀칭!$P:$P,A1194,RAW_판매펀칭!$I:$I,C1194)*W1194/SUMIFS($W:$W,$A:$A,A1194,$C:$C,C1194))</f>
        <v>50</v>
      </c>
      <c r="R1194" s="47" t="n">
        <f aca="false">IF(OR(A1194="500",A1194="800",A1194="810"),0,MAX(W1194-Q1194,0))</f>
        <v>0</v>
      </c>
      <c r="S1194" s="47" t="n">
        <f aca="false">R1194*L1194</f>
        <v>0</v>
      </c>
      <c r="T1194" s="47" t="n">
        <f aca="false">R1194*J1194</f>
        <v>0</v>
      </c>
      <c r="U1194" s="47" t="n">
        <f aca="false">R1194*K1194</f>
        <v>0</v>
      </c>
      <c r="V1194" s="0" t="str">
        <f aca="false">IF(COUNTIFS($A$2:A1194,A1194,$C$2:C1194,C1194,$D$2:D1194,D1194)&gt;1,"중복","")</f>
        <v/>
      </c>
      <c r="W1194" s="0" t="n">
        <f aca="false">IF(V1194="중복",0,N(D1194))</f>
        <v>50</v>
      </c>
      <c r="X1194" s="0" t="n">
        <f aca="false">IF(COUNTIFS($A$2:A1194,A1194,$C$2:C1194,C1194)=1,ABS(SUMIFS(RAW_발주!$D:$D,RAW_발주!$C:$C,A1194,RAW_발주!$A:$A,C1194)-SUMIFS($W:$W,$A:$A,A1194,$C:$C,C1194)),0)</f>
        <v>0</v>
      </c>
    </row>
    <row r="1195" customFormat="false" ht="15" hidden="false" customHeight="true" outlineLevel="0" collapsed="false">
      <c r="A1195" s="45" t="s">
        <v>1667</v>
      </c>
      <c r="B1195" s="42" t="str">
        <f aca="false">IF(A1195="100","HK",IF(A1195="200","CN",IF(A1195="300","TW","홀세일")))</f>
        <v>홀세일</v>
      </c>
      <c r="C1195" s="45" t="s">
        <v>551</v>
      </c>
      <c r="D1195" s="46" t="n">
        <v>142</v>
      </c>
      <c r="E1195" s="46" t="n">
        <v>169000</v>
      </c>
      <c r="F1195" s="46" t="n">
        <v>37814</v>
      </c>
      <c r="G1195" s="42" t="n">
        <v>3.5</v>
      </c>
      <c r="H1195" s="42" t="n">
        <v>42.3</v>
      </c>
      <c r="I1195" s="42" t="n">
        <v>31.3</v>
      </c>
      <c r="J1195" s="46" t="n">
        <f aca="false">IF(N(E1195)&gt;0,E1195,IF(N(F1195)&gt;0,F1195*요약!$F$27,0))</f>
        <v>169000</v>
      </c>
      <c r="K1195" s="46" t="n">
        <f aca="false">IF(N(F1195)&gt;0,F1195,IF(N(E1195)&gt;0,E1195/요약!$F$27,0))</f>
        <v>37814</v>
      </c>
      <c r="L1195" s="46" t="n">
        <f aca="false">IF(B1195="CN",IF(N(I1195)&gt;0,I1195*요약!$G$27,K1195*(1+요약!$E$27)),IF(N(H1195)&gt;0,H1195*요약!$G$27,J1195*요약!$D$27))</f>
        <v>55836</v>
      </c>
      <c r="M1195" s="46" t="n">
        <f aca="false">D1195*J1195</f>
        <v>23998000</v>
      </c>
      <c r="N1195" s="46" t="n">
        <f aca="false">D1195*K1195</f>
        <v>5369588</v>
      </c>
      <c r="O1195" s="46" t="n">
        <f aca="false">D1195*L1195</f>
        <v>7928712</v>
      </c>
      <c r="P1195" s="42" t="str">
        <f aca="false">TRIM(IF(N(E1195)&lt;=0,"택가보정 ","")&amp;IF(N(F1195)&lt;=0,"원가보정 ","")&amp;IF(AND(B1195&lt;&gt;"CN",N(H1195)&lt;=0),"공급가보정 ","")&amp;IF(AND(B1195="CN",N(I1195)&lt;=0),"중국공급가=원가+마진 ",""))</f>
        <v/>
      </c>
      <c r="Q1195" s="47" t="n">
        <f aca="false">IF(SUMIFS($W:$W,$A:$A,A1195,$C:$C,C1195)=0,0,SUMIFS(RAW_판매펀칭!$K:$K,RAW_판매펀칭!$P:$P,A1195,RAW_판매펀칭!$I:$I,C1195)*W1195/SUMIFS($W:$W,$A:$A,A1195,$C:$C,C1195))</f>
        <v>140</v>
      </c>
      <c r="R1195" s="47" t="n">
        <f aca="false">IF(OR(A1195="500",A1195="800",A1195="810"),0,MAX(W1195-Q1195,0))</f>
        <v>2</v>
      </c>
      <c r="S1195" s="47" t="n">
        <f aca="false">R1195*L1195</f>
        <v>111672</v>
      </c>
      <c r="T1195" s="47" t="n">
        <f aca="false">R1195*J1195</f>
        <v>338000</v>
      </c>
      <c r="U1195" s="47" t="n">
        <f aca="false">R1195*K1195</f>
        <v>75628</v>
      </c>
      <c r="V1195" s="0" t="str">
        <f aca="false">IF(COUNTIFS($A$2:A1195,A1195,$C$2:C1195,C1195,$D$2:D1195,D1195)&gt;1,"중복","")</f>
        <v/>
      </c>
      <c r="W1195" s="0" t="n">
        <f aca="false">IF(V1195="중복",0,N(D1195))</f>
        <v>142</v>
      </c>
      <c r="X1195" s="0" t="n">
        <f aca="false">IF(COUNTIFS($A$2:A1195,A1195,$C$2:C1195,C1195)=1,ABS(SUMIFS(RAW_발주!$D:$D,RAW_발주!$C:$C,A1195,RAW_발주!$A:$A,C1195)-SUMIFS($W:$W,$A:$A,A1195,$C:$C,C1195)),0)</f>
        <v>0</v>
      </c>
    </row>
    <row r="1196" customFormat="false" ht="15" hidden="false" customHeight="true" outlineLevel="0" collapsed="false">
      <c r="A1196" s="45" t="s">
        <v>1661</v>
      </c>
      <c r="B1196" s="42" t="str">
        <f aca="false">IF(A1196="100","HK",IF(A1196="200","CN",IF(A1196="300","TW","홀세일")))</f>
        <v>TW</v>
      </c>
      <c r="C1196" s="45" t="s">
        <v>553</v>
      </c>
      <c r="D1196" s="46" t="n">
        <v>350</v>
      </c>
      <c r="E1196" s="46" t="n">
        <v>179000</v>
      </c>
      <c r="F1196" s="46" t="n">
        <v>38702</v>
      </c>
      <c r="G1196" s="42" t="n">
        <v>3.51</v>
      </c>
      <c r="H1196" s="42" t="n">
        <v>44.8</v>
      </c>
      <c r="I1196" s="42" t="n">
        <v>0</v>
      </c>
      <c r="J1196" s="46" t="n">
        <f aca="false">IF(N(E1196)&gt;0,E1196,IF(N(F1196)&gt;0,F1196*요약!$F$27,0))</f>
        <v>179000</v>
      </c>
      <c r="K1196" s="46" t="n">
        <f aca="false">IF(N(F1196)&gt;0,F1196,IF(N(E1196)&gt;0,E1196/요약!$F$27,0))</f>
        <v>38702</v>
      </c>
      <c r="L1196" s="46" t="n">
        <f aca="false">IF(B1196="CN",IF(N(I1196)&gt;0,I1196*요약!$G$27,K1196*(1+요약!$E$27)),IF(N(H1196)&gt;0,H1196*요약!$G$27,J1196*요약!$D$27))</f>
        <v>59136</v>
      </c>
      <c r="M1196" s="46" t="n">
        <f aca="false">D1196*J1196</f>
        <v>62650000</v>
      </c>
      <c r="N1196" s="46" t="n">
        <f aca="false">D1196*K1196</f>
        <v>13545700</v>
      </c>
      <c r="O1196" s="46" t="n">
        <f aca="false">D1196*L1196</f>
        <v>20697600</v>
      </c>
      <c r="P1196" s="42" t="str">
        <f aca="false">TRIM(IF(N(E1196)&lt;=0,"택가보정 ","")&amp;IF(N(F1196)&lt;=0,"원가보정 ","")&amp;IF(AND(B1196&lt;&gt;"CN",N(H1196)&lt;=0),"공급가보정 ","")&amp;IF(AND(B1196="CN",N(I1196)&lt;=0),"중국공급가=원가+마진 ",""))</f>
        <v/>
      </c>
      <c r="Q1196" s="47" t="n">
        <f aca="false">IF(SUMIFS($W:$W,$A:$A,A1196,$C:$C,C1196)=0,0,SUMIFS(RAW_판매펀칭!$K:$K,RAW_판매펀칭!$P:$P,A1196,RAW_판매펀칭!$I:$I,C1196)*W1196/SUMIFS($W:$W,$A:$A,A1196,$C:$C,C1196))</f>
        <v>350</v>
      </c>
      <c r="R1196" s="47" t="n">
        <f aca="false">IF(OR(A1196="500",A1196="800",A1196="810"),0,MAX(W1196-Q1196,0))</f>
        <v>0</v>
      </c>
      <c r="S1196" s="47" t="n">
        <f aca="false">R1196*L1196</f>
        <v>0</v>
      </c>
      <c r="T1196" s="47" t="n">
        <f aca="false">R1196*J1196</f>
        <v>0</v>
      </c>
      <c r="U1196" s="47" t="n">
        <f aca="false">R1196*K1196</f>
        <v>0</v>
      </c>
      <c r="V1196" s="0" t="str">
        <f aca="false">IF(COUNTIFS($A$2:A1196,A1196,$C$2:C1196,C1196,$D$2:D1196,D1196)&gt;1,"중복","")</f>
        <v/>
      </c>
      <c r="W1196" s="0" t="n">
        <f aca="false">IF(V1196="중복",0,N(D1196))</f>
        <v>350</v>
      </c>
      <c r="X1196" s="0" t="n">
        <f aca="false">IF(COUNTIFS($A$2:A1196,A1196,$C$2:C1196,C1196)=1,ABS(SUMIFS(RAW_발주!$D:$D,RAW_발주!$C:$C,A1196,RAW_발주!$A:$A,C1196)-SUMIFS($W:$W,$A:$A,A1196,$C:$C,C1196)),0)</f>
        <v>0</v>
      </c>
    </row>
    <row r="1197" customFormat="false" ht="15" hidden="false" customHeight="true" outlineLevel="0" collapsed="false">
      <c r="A1197" s="45" t="s">
        <v>1663</v>
      </c>
      <c r="B1197" s="42" t="str">
        <f aca="false">IF(A1197="100","HK",IF(A1197="200","CN",IF(A1197="300","TW","홀세일")))</f>
        <v>홀세일</v>
      </c>
      <c r="C1197" s="45" t="s">
        <v>553</v>
      </c>
      <c r="D1197" s="46" t="n">
        <v>45</v>
      </c>
      <c r="E1197" s="46" t="n">
        <v>179000</v>
      </c>
      <c r="F1197" s="46" t="n">
        <v>38702</v>
      </c>
      <c r="G1197" s="42" t="n">
        <v>3.51</v>
      </c>
      <c r="H1197" s="42" t="n">
        <v>44.8</v>
      </c>
      <c r="I1197" s="42" t="n">
        <v>0</v>
      </c>
      <c r="J1197" s="46" t="n">
        <f aca="false">IF(N(E1197)&gt;0,E1197,IF(N(F1197)&gt;0,F1197*요약!$F$27,0))</f>
        <v>179000</v>
      </c>
      <c r="K1197" s="46" t="n">
        <f aca="false">IF(N(F1197)&gt;0,F1197,IF(N(E1197)&gt;0,E1197/요약!$F$27,0))</f>
        <v>38702</v>
      </c>
      <c r="L1197" s="46" t="n">
        <f aca="false">IF(B1197="CN",IF(N(I1197)&gt;0,I1197*요약!$G$27,K1197*(1+요약!$E$27)),IF(N(H1197)&gt;0,H1197*요약!$G$27,J1197*요약!$D$27))</f>
        <v>59136</v>
      </c>
      <c r="M1197" s="46" t="n">
        <f aca="false">D1197*J1197</f>
        <v>8055000</v>
      </c>
      <c r="N1197" s="46" t="n">
        <f aca="false">D1197*K1197</f>
        <v>1741590</v>
      </c>
      <c r="O1197" s="46" t="n">
        <f aca="false">D1197*L1197</f>
        <v>2661120</v>
      </c>
      <c r="P1197" s="42" t="str">
        <f aca="false">TRIM(IF(N(E1197)&lt;=0,"택가보정 ","")&amp;IF(N(F1197)&lt;=0,"원가보정 ","")&amp;IF(AND(B1197&lt;&gt;"CN",N(H1197)&lt;=0),"공급가보정 ","")&amp;IF(AND(B1197="CN",N(I1197)&lt;=0),"중국공급가=원가+마진 ",""))</f>
        <v/>
      </c>
      <c r="Q1197" s="47" t="n">
        <f aca="false">IF(SUMIFS($W:$W,$A:$A,A1197,$C:$C,C1197)=0,0,SUMIFS(RAW_판매펀칭!$K:$K,RAW_판매펀칭!$P:$P,A1197,RAW_판매펀칭!$I:$I,C1197)*W1197/SUMIFS($W:$W,$A:$A,A1197,$C:$C,C1197))</f>
        <v>45</v>
      </c>
      <c r="R1197" s="47" t="n">
        <f aca="false">IF(OR(A1197="500",A1197="800",A1197="810"),0,MAX(W1197-Q1197,0))</f>
        <v>0</v>
      </c>
      <c r="S1197" s="47" t="n">
        <f aca="false">R1197*L1197</f>
        <v>0</v>
      </c>
      <c r="T1197" s="47" t="n">
        <f aca="false">R1197*J1197</f>
        <v>0</v>
      </c>
      <c r="U1197" s="47" t="n">
        <f aca="false">R1197*K1197</f>
        <v>0</v>
      </c>
      <c r="V1197" s="0" t="str">
        <f aca="false">IF(COUNTIFS($A$2:A1197,A1197,$C$2:C1197,C1197,$D$2:D1197,D1197)&gt;1,"중복","")</f>
        <v/>
      </c>
      <c r="W1197" s="0" t="n">
        <f aca="false">IF(V1197="중복",0,N(D1197))</f>
        <v>45</v>
      </c>
      <c r="X1197" s="0" t="n">
        <f aca="false">IF(COUNTIFS($A$2:A1197,A1197,$C$2:C1197,C1197)=1,ABS(SUMIFS(RAW_발주!$D:$D,RAW_발주!$C:$C,A1197,RAW_발주!$A:$A,C1197)-SUMIFS($W:$W,$A:$A,A1197,$C:$C,C1197)),0)</f>
        <v>0</v>
      </c>
    </row>
    <row r="1198" customFormat="false" ht="15" hidden="false" customHeight="true" outlineLevel="0" collapsed="false">
      <c r="A1198" s="45" t="s">
        <v>1659</v>
      </c>
      <c r="B1198" s="42" t="str">
        <f aca="false">IF(A1198="100","HK",IF(A1198="200","CN",IF(A1198="300","TW","홀세일")))</f>
        <v>HK</v>
      </c>
      <c r="C1198" s="45" t="s">
        <v>1703</v>
      </c>
      <c r="D1198" s="46" t="n">
        <v>85</v>
      </c>
      <c r="E1198" s="46" t="n">
        <v>279000</v>
      </c>
      <c r="F1198" s="46" t="n">
        <v>61900</v>
      </c>
      <c r="G1198" s="42" t="n">
        <v>4.1</v>
      </c>
      <c r="H1198" s="42" t="n">
        <v>71.7</v>
      </c>
      <c r="I1198" s="42" t="n">
        <v>0</v>
      </c>
      <c r="J1198" s="46" t="n">
        <f aca="false">IF(N(E1198)&gt;0,E1198,IF(N(F1198)&gt;0,F1198*요약!$F$27,0))</f>
        <v>279000</v>
      </c>
      <c r="K1198" s="46" t="n">
        <f aca="false">IF(N(F1198)&gt;0,F1198,IF(N(E1198)&gt;0,E1198/요약!$F$27,0))</f>
        <v>61900</v>
      </c>
      <c r="L1198" s="46" t="n">
        <f aca="false">IF(B1198="CN",IF(N(I1198)&gt;0,I1198*요약!$G$27,K1198*(1+요약!$E$27)),IF(N(H1198)&gt;0,H1198*요약!$G$27,J1198*요약!$D$27))</f>
        <v>94644</v>
      </c>
      <c r="M1198" s="46" t="n">
        <f aca="false">D1198*J1198</f>
        <v>23715000</v>
      </c>
      <c r="N1198" s="46" t="n">
        <f aca="false">D1198*K1198</f>
        <v>5261500</v>
      </c>
      <c r="O1198" s="46" t="n">
        <f aca="false">D1198*L1198</f>
        <v>8044740</v>
      </c>
      <c r="P1198" s="42" t="str">
        <f aca="false">TRIM(IF(N(E1198)&lt;=0,"택가보정 ","")&amp;IF(N(F1198)&lt;=0,"원가보정 ","")&amp;IF(AND(B1198&lt;&gt;"CN",N(H1198)&lt;=0),"공급가보정 ","")&amp;IF(AND(B1198="CN",N(I1198)&lt;=0),"중국공급가=원가+마진 ",""))</f>
        <v/>
      </c>
      <c r="Q1198" s="47" t="n">
        <f aca="false">IF(SUMIFS($W:$W,$A:$A,A1198,$C:$C,C1198)=0,0,SUMIFS(RAW_판매펀칭!$K:$K,RAW_판매펀칭!$P:$P,A1198,RAW_판매펀칭!$I:$I,C1198)*W1198/SUMIFS($W:$W,$A:$A,A1198,$C:$C,C1198))</f>
        <v>0</v>
      </c>
      <c r="R1198" s="47" t="n">
        <f aca="false">IF(OR(A1198="500",A1198="800",A1198="810"),0,MAX(W1198-Q1198,0))</f>
        <v>85</v>
      </c>
      <c r="S1198" s="47" t="n">
        <f aca="false">R1198*L1198</f>
        <v>8044740</v>
      </c>
      <c r="T1198" s="47" t="n">
        <f aca="false">R1198*J1198</f>
        <v>23715000</v>
      </c>
      <c r="U1198" s="47" t="n">
        <f aca="false">R1198*K1198</f>
        <v>5261500</v>
      </c>
      <c r="V1198" s="0" t="str">
        <f aca="false">IF(COUNTIFS($A$2:A1198,A1198,$C$2:C1198,C1198,$D$2:D1198,D1198)&gt;1,"중복","")</f>
        <v/>
      </c>
      <c r="W1198" s="0" t="n">
        <f aca="false">IF(V1198="중복",0,N(D1198))</f>
        <v>85</v>
      </c>
      <c r="X1198" s="0" t="n">
        <f aca="false">IF(COUNTIFS($A$2:A1198,A1198,$C$2:C1198,C1198)=1,ABS(SUMIFS(RAW_발주!$D:$D,RAW_발주!$C:$C,A1198,RAW_발주!$A:$A,C1198)-SUMIFS($W:$W,$A:$A,A1198,$C:$C,C1198)),0)</f>
        <v>0</v>
      </c>
    </row>
    <row r="1199" customFormat="false" ht="15" hidden="false" customHeight="true" outlineLevel="0" collapsed="false">
      <c r="A1199" s="45" t="s">
        <v>1659</v>
      </c>
      <c r="B1199" s="42" t="str">
        <f aca="false">IF(A1199="100","HK",IF(A1199="200","CN",IF(A1199="300","TW","홀세일")))</f>
        <v>HK</v>
      </c>
      <c r="C1199" s="45" t="s">
        <v>942</v>
      </c>
      <c r="D1199" s="46" t="n">
        <v>160</v>
      </c>
      <c r="E1199" s="46" t="n">
        <v>279000</v>
      </c>
      <c r="F1199" s="46" t="n">
        <v>69034</v>
      </c>
      <c r="G1199" s="42" t="n">
        <v>4.82</v>
      </c>
      <c r="H1199" s="42" t="n">
        <v>69.9</v>
      </c>
      <c r="I1199" s="42" t="n">
        <v>0</v>
      </c>
      <c r="J1199" s="46" t="n">
        <f aca="false">IF(N(E1199)&gt;0,E1199,IF(N(F1199)&gt;0,F1199*요약!$F$27,0))</f>
        <v>279000</v>
      </c>
      <c r="K1199" s="46" t="n">
        <f aca="false">IF(N(F1199)&gt;0,F1199,IF(N(E1199)&gt;0,E1199/요약!$F$27,0))</f>
        <v>69034</v>
      </c>
      <c r="L1199" s="46" t="n">
        <f aca="false">IF(B1199="CN",IF(N(I1199)&gt;0,I1199*요약!$G$27,K1199*(1+요약!$E$27)),IF(N(H1199)&gt;0,H1199*요약!$G$27,J1199*요약!$D$27))</f>
        <v>92268</v>
      </c>
      <c r="M1199" s="46" t="n">
        <f aca="false">D1199*J1199</f>
        <v>44640000</v>
      </c>
      <c r="N1199" s="46" t="n">
        <f aca="false">D1199*K1199</f>
        <v>11045440</v>
      </c>
      <c r="O1199" s="46" t="n">
        <f aca="false">D1199*L1199</f>
        <v>14762880</v>
      </c>
      <c r="P1199" s="42" t="str">
        <f aca="false">TRIM(IF(N(E1199)&lt;=0,"택가보정 ","")&amp;IF(N(F1199)&lt;=0,"원가보정 ","")&amp;IF(AND(B1199&lt;&gt;"CN",N(H1199)&lt;=0),"공급가보정 ","")&amp;IF(AND(B1199="CN",N(I1199)&lt;=0),"중국공급가=원가+마진 ",""))</f>
        <v/>
      </c>
      <c r="Q1199" s="47" t="n">
        <f aca="false">IF(SUMIFS($W:$W,$A:$A,A1199,$C:$C,C1199)=0,0,SUMIFS(RAW_판매펀칭!$K:$K,RAW_판매펀칭!$P:$P,A1199,RAW_판매펀칭!$I:$I,C1199)*W1199/SUMIFS($W:$W,$A:$A,A1199,$C:$C,C1199))</f>
        <v>160</v>
      </c>
      <c r="R1199" s="47" t="n">
        <f aca="false">IF(OR(A1199="500",A1199="800",A1199="810"),0,MAX(W1199-Q1199,0))</f>
        <v>0</v>
      </c>
      <c r="S1199" s="47" t="n">
        <f aca="false">R1199*L1199</f>
        <v>0</v>
      </c>
      <c r="T1199" s="47" t="n">
        <f aca="false">R1199*J1199</f>
        <v>0</v>
      </c>
      <c r="U1199" s="47" t="n">
        <f aca="false">R1199*K1199</f>
        <v>0</v>
      </c>
      <c r="V1199" s="0" t="str">
        <f aca="false">IF(COUNTIFS($A$2:A1199,A1199,$C$2:C1199,C1199,$D$2:D1199,D1199)&gt;1,"중복","")</f>
        <v/>
      </c>
      <c r="W1199" s="0" t="n">
        <f aca="false">IF(V1199="중복",0,N(D1199))</f>
        <v>160</v>
      </c>
      <c r="X1199" s="0" t="n">
        <f aca="false">IF(COUNTIFS($A$2:A1199,A1199,$C$2:C1199,C1199)=1,ABS(SUMIFS(RAW_발주!$D:$D,RAW_발주!$C:$C,A1199,RAW_발주!$A:$A,C1199)-SUMIFS($W:$W,$A:$A,A1199,$C:$C,C1199)),0)</f>
        <v>0</v>
      </c>
    </row>
    <row r="1200" customFormat="false" ht="15" hidden="false" customHeight="true" outlineLevel="0" collapsed="false">
      <c r="A1200" s="45" t="s">
        <v>1661</v>
      </c>
      <c r="B1200" s="42" t="str">
        <f aca="false">IF(A1200="100","HK",IF(A1200="200","CN",IF(A1200="300","TW","홀세일")))</f>
        <v>TW</v>
      </c>
      <c r="C1200" s="45" t="s">
        <v>555</v>
      </c>
      <c r="D1200" s="46" t="n">
        <v>455</v>
      </c>
      <c r="E1200" s="46" t="n">
        <v>299000</v>
      </c>
      <c r="F1200" s="46" t="n">
        <v>56115</v>
      </c>
      <c r="G1200" s="42" t="n">
        <v>3.08</v>
      </c>
      <c r="H1200" s="42" t="n">
        <v>74.9</v>
      </c>
      <c r="I1200" s="42" t="n">
        <v>0</v>
      </c>
      <c r="J1200" s="46" t="n">
        <f aca="false">IF(N(E1200)&gt;0,E1200,IF(N(F1200)&gt;0,F1200*요약!$F$27,0))</f>
        <v>299000</v>
      </c>
      <c r="K1200" s="46" t="n">
        <f aca="false">IF(N(F1200)&gt;0,F1200,IF(N(E1200)&gt;0,E1200/요약!$F$27,0))</f>
        <v>56115</v>
      </c>
      <c r="L1200" s="46" t="n">
        <f aca="false">IF(B1200="CN",IF(N(I1200)&gt;0,I1200*요약!$G$27,K1200*(1+요약!$E$27)),IF(N(H1200)&gt;0,H1200*요약!$G$27,J1200*요약!$D$27))</f>
        <v>98868</v>
      </c>
      <c r="M1200" s="46" t="n">
        <f aca="false">D1200*J1200</f>
        <v>136045000</v>
      </c>
      <c r="N1200" s="46" t="n">
        <f aca="false">D1200*K1200</f>
        <v>25532325</v>
      </c>
      <c r="O1200" s="46" t="n">
        <f aca="false">D1200*L1200</f>
        <v>44984940</v>
      </c>
      <c r="P1200" s="42" t="str">
        <f aca="false">TRIM(IF(N(E1200)&lt;=0,"택가보정 ","")&amp;IF(N(F1200)&lt;=0,"원가보정 ","")&amp;IF(AND(B1200&lt;&gt;"CN",N(H1200)&lt;=0),"공급가보정 ","")&amp;IF(AND(B1200="CN",N(I1200)&lt;=0),"중국공급가=원가+마진 ",""))</f>
        <v/>
      </c>
      <c r="Q1200" s="47" t="n">
        <f aca="false">IF(SUMIFS($W:$W,$A:$A,A1200,$C:$C,C1200)=0,0,SUMIFS(RAW_판매펀칭!$K:$K,RAW_판매펀칭!$P:$P,A1200,RAW_판매펀칭!$I:$I,C1200)*W1200/SUMIFS($W:$W,$A:$A,A1200,$C:$C,C1200))</f>
        <v>455</v>
      </c>
      <c r="R1200" s="47" t="n">
        <f aca="false">IF(OR(A1200="500",A1200="800",A1200="810"),0,MAX(W1200-Q1200,0))</f>
        <v>0</v>
      </c>
      <c r="S1200" s="47" t="n">
        <f aca="false">R1200*L1200</f>
        <v>0</v>
      </c>
      <c r="T1200" s="47" t="n">
        <f aca="false">R1200*J1200</f>
        <v>0</v>
      </c>
      <c r="U1200" s="47" t="n">
        <f aca="false">R1200*K1200</f>
        <v>0</v>
      </c>
      <c r="V1200" s="0" t="str">
        <f aca="false">IF(COUNTIFS($A$2:A1200,A1200,$C$2:C1200,C1200,$D$2:D1200,D1200)&gt;1,"중복","")</f>
        <v/>
      </c>
      <c r="W1200" s="0" t="n">
        <f aca="false">IF(V1200="중복",0,N(D1200))</f>
        <v>455</v>
      </c>
      <c r="X1200" s="0" t="n">
        <f aca="false">IF(COUNTIFS($A$2:A1200,A1200,$C$2:C1200,C1200)=1,ABS(SUMIFS(RAW_발주!$D:$D,RAW_발주!$C:$C,A1200,RAW_발주!$A:$A,C1200)-SUMIFS($W:$W,$A:$A,A1200,$C:$C,C1200)),0)</f>
        <v>0</v>
      </c>
    </row>
    <row r="1201" customFormat="false" ht="15" hidden="false" customHeight="true" outlineLevel="0" collapsed="false">
      <c r="A1201" s="45" t="s">
        <v>1663</v>
      </c>
      <c r="B1201" s="42" t="str">
        <f aca="false">IF(A1201="100","HK",IF(A1201="200","CN",IF(A1201="300","TW","홀세일")))</f>
        <v>홀세일</v>
      </c>
      <c r="C1201" s="45" t="s">
        <v>555</v>
      </c>
      <c r="D1201" s="46" t="n">
        <v>50</v>
      </c>
      <c r="E1201" s="46" t="n">
        <v>299000</v>
      </c>
      <c r="F1201" s="46" t="n">
        <v>56115</v>
      </c>
      <c r="G1201" s="42" t="n">
        <v>3.08</v>
      </c>
      <c r="H1201" s="42" t="n">
        <v>74.9</v>
      </c>
      <c r="I1201" s="42" t="n">
        <v>0</v>
      </c>
      <c r="J1201" s="46" t="n">
        <f aca="false">IF(N(E1201)&gt;0,E1201,IF(N(F1201)&gt;0,F1201*요약!$F$27,0))</f>
        <v>299000</v>
      </c>
      <c r="K1201" s="46" t="n">
        <f aca="false">IF(N(F1201)&gt;0,F1201,IF(N(E1201)&gt;0,E1201/요약!$F$27,0))</f>
        <v>56115</v>
      </c>
      <c r="L1201" s="46" t="n">
        <f aca="false">IF(B1201="CN",IF(N(I1201)&gt;0,I1201*요약!$G$27,K1201*(1+요약!$E$27)),IF(N(H1201)&gt;0,H1201*요약!$G$27,J1201*요약!$D$27))</f>
        <v>98868</v>
      </c>
      <c r="M1201" s="46" t="n">
        <f aca="false">D1201*J1201</f>
        <v>14950000</v>
      </c>
      <c r="N1201" s="46" t="n">
        <f aca="false">D1201*K1201</f>
        <v>2805750</v>
      </c>
      <c r="O1201" s="46" t="n">
        <f aca="false">D1201*L1201</f>
        <v>4943400</v>
      </c>
      <c r="P1201" s="42" t="str">
        <f aca="false">TRIM(IF(N(E1201)&lt;=0,"택가보정 ","")&amp;IF(N(F1201)&lt;=0,"원가보정 ","")&amp;IF(AND(B1201&lt;&gt;"CN",N(H1201)&lt;=0),"공급가보정 ","")&amp;IF(AND(B1201="CN",N(I1201)&lt;=0),"중국공급가=원가+마진 ",""))</f>
        <v/>
      </c>
      <c r="Q1201" s="47" t="n">
        <f aca="false">IF(SUMIFS($W:$W,$A:$A,A1201,$C:$C,C1201)=0,0,SUMIFS(RAW_판매펀칭!$K:$K,RAW_판매펀칭!$P:$P,A1201,RAW_판매펀칭!$I:$I,C1201)*W1201/SUMIFS($W:$W,$A:$A,A1201,$C:$C,C1201))</f>
        <v>50</v>
      </c>
      <c r="R1201" s="47" t="n">
        <f aca="false">IF(OR(A1201="500",A1201="800",A1201="810"),0,MAX(W1201-Q1201,0))</f>
        <v>0</v>
      </c>
      <c r="S1201" s="47" t="n">
        <f aca="false">R1201*L1201</f>
        <v>0</v>
      </c>
      <c r="T1201" s="47" t="n">
        <f aca="false">R1201*J1201</f>
        <v>0</v>
      </c>
      <c r="U1201" s="47" t="n">
        <f aca="false">R1201*K1201</f>
        <v>0</v>
      </c>
      <c r="V1201" s="0" t="str">
        <f aca="false">IF(COUNTIFS($A$2:A1201,A1201,$C$2:C1201,C1201,$D$2:D1201,D1201)&gt;1,"중복","")</f>
        <v/>
      </c>
      <c r="W1201" s="0" t="n">
        <f aca="false">IF(V1201="중복",0,N(D1201))</f>
        <v>50</v>
      </c>
      <c r="X1201" s="0" t="n">
        <f aca="false">IF(COUNTIFS($A$2:A1201,A1201,$C$2:C1201,C1201)=1,ABS(SUMIFS(RAW_발주!$D:$D,RAW_발주!$C:$C,A1201,RAW_발주!$A:$A,C1201)-SUMIFS($W:$W,$A:$A,A1201,$C:$C,C1201)),0)</f>
        <v>0</v>
      </c>
    </row>
    <row r="1202" customFormat="false" ht="15" hidden="false" customHeight="true" outlineLevel="0" collapsed="false">
      <c r="A1202" s="45" t="s">
        <v>1659</v>
      </c>
      <c r="B1202" s="42" t="str">
        <f aca="false">IF(A1202="100","HK",IF(A1202="200","CN",IF(A1202="300","TW","홀세일")))</f>
        <v>HK</v>
      </c>
      <c r="C1202" s="45" t="s">
        <v>557</v>
      </c>
      <c r="D1202" s="46" t="n">
        <v>280</v>
      </c>
      <c r="E1202" s="46" t="n">
        <v>329000</v>
      </c>
      <c r="F1202" s="46" t="n">
        <v>71211</v>
      </c>
      <c r="G1202" s="42" t="n">
        <v>2.82</v>
      </c>
      <c r="H1202" s="42" t="n">
        <v>82.4</v>
      </c>
      <c r="I1202" s="42" t="n">
        <v>59</v>
      </c>
      <c r="J1202" s="46" t="n">
        <f aca="false">IF(N(E1202)&gt;0,E1202,IF(N(F1202)&gt;0,F1202*요약!$F$27,0))</f>
        <v>329000</v>
      </c>
      <c r="K1202" s="46" t="n">
        <f aca="false">IF(N(F1202)&gt;0,F1202,IF(N(E1202)&gt;0,E1202/요약!$F$27,0))</f>
        <v>71211</v>
      </c>
      <c r="L1202" s="46" t="n">
        <f aca="false">IF(B1202="CN",IF(N(I1202)&gt;0,I1202*요약!$G$27,K1202*(1+요약!$E$27)),IF(N(H1202)&gt;0,H1202*요약!$G$27,J1202*요약!$D$27))</f>
        <v>108768</v>
      </c>
      <c r="M1202" s="46" t="n">
        <f aca="false">D1202*J1202</f>
        <v>92120000</v>
      </c>
      <c r="N1202" s="46" t="n">
        <f aca="false">D1202*K1202</f>
        <v>19939080</v>
      </c>
      <c r="O1202" s="46" t="n">
        <f aca="false">D1202*L1202</f>
        <v>30455040</v>
      </c>
      <c r="P1202" s="42" t="str">
        <f aca="false">TRIM(IF(N(E1202)&lt;=0,"택가보정 ","")&amp;IF(N(F1202)&lt;=0,"원가보정 ","")&amp;IF(AND(B1202&lt;&gt;"CN",N(H1202)&lt;=0),"공급가보정 ","")&amp;IF(AND(B1202="CN",N(I1202)&lt;=0),"중국공급가=원가+마진 ",""))</f>
        <v/>
      </c>
      <c r="Q1202" s="47" t="n">
        <f aca="false">IF(SUMIFS($W:$W,$A:$A,A1202,$C:$C,C1202)=0,0,SUMIFS(RAW_판매펀칭!$K:$K,RAW_판매펀칭!$P:$P,A1202,RAW_판매펀칭!$I:$I,C1202)*W1202/SUMIFS($W:$W,$A:$A,A1202,$C:$C,C1202))</f>
        <v>280</v>
      </c>
      <c r="R1202" s="47" t="n">
        <f aca="false">IF(OR(A1202="500",A1202="800",A1202="810"),0,MAX(W1202-Q1202,0))</f>
        <v>0</v>
      </c>
      <c r="S1202" s="47" t="n">
        <f aca="false">R1202*L1202</f>
        <v>0</v>
      </c>
      <c r="T1202" s="47" t="n">
        <f aca="false">R1202*J1202</f>
        <v>0</v>
      </c>
      <c r="U1202" s="47" t="n">
        <f aca="false">R1202*K1202</f>
        <v>0</v>
      </c>
      <c r="V1202" s="0" t="str">
        <f aca="false">IF(COUNTIFS($A$2:A1202,A1202,$C$2:C1202,C1202,$D$2:D1202,D1202)&gt;1,"중복","")</f>
        <v/>
      </c>
      <c r="W1202" s="0" t="n">
        <f aca="false">IF(V1202="중복",0,N(D1202))</f>
        <v>280</v>
      </c>
      <c r="X1202" s="0" t="n">
        <f aca="false">IF(COUNTIFS($A$2:A1202,A1202,$C$2:C1202,C1202)=1,ABS(SUMIFS(RAW_발주!$D:$D,RAW_발주!$C:$C,A1202,RAW_발주!$A:$A,C1202)-SUMIFS($W:$W,$A:$A,A1202,$C:$C,C1202)),0)</f>
        <v>0</v>
      </c>
    </row>
    <row r="1203" customFormat="false" ht="15" hidden="false" customHeight="true" outlineLevel="0" collapsed="false">
      <c r="A1203" s="45" t="s">
        <v>1660</v>
      </c>
      <c r="B1203" s="42" t="str">
        <f aca="false">IF(A1203="100","HK",IF(A1203="200","CN",IF(A1203="300","TW","홀세일")))</f>
        <v>CN</v>
      </c>
      <c r="C1203" s="45" t="s">
        <v>557</v>
      </c>
      <c r="D1203" s="46" t="n">
        <v>242</v>
      </c>
      <c r="E1203" s="46" t="n">
        <v>329000</v>
      </c>
      <c r="F1203" s="46" t="n">
        <v>71211</v>
      </c>
      <c r="G1203" s="42" t="n">
        <v>2.82</v>
      </c>
      <c r="H1203" s="42" t="n">
        <v>82.4</v>
      </c>
      <c r="I1203" s="42" t="n">
        <v>59</v>
      </c>
      <c r="J1203" s="46" t="n">
        <f aca="false">IF(N(E1203)&gt;0,E1203,IF(N(F1203)&gt;0,F1203*요약!$F$27,0))</f>
        <v>329000</v>
      </c>
      <c r="K1203" s="46" t="n">
        <f aca="false">IF(N(F1203)&gt;0,F1203,IF(N(E1203)&gt;0,E1203/요약!$F$27,0))</f>
        <v>71211</v>
      </c>
      <c r="L1203" s="46" t="n">
        <f aca="false">IF(B1203="CN",IF(N(I1203)&gt;0,I1203*요약!$G$27,K1203*(1+요약!$E$27)),IF(N(H1203)&gt;0,H1203*요약!$G$27,J1203*요약!$D$27))</f>
        <v>77880</v>
      </c>
      <c r="M1203" s="46" t="n">
        <f aca="false">D1203*J1203</f>
        <v>79618000</v>
      </c>
      <c r="N1203" s="46" t="n">
        <f aca="false">D1203*K1203</f>
        <v>17233062</v>
      </c>
      <c r="O1203" s="46" t="n">
        <f aca="false">D1203*L1203</f>
        <v>18846960</v>
      </c>
      <c r="P1203" s="42" t="str">
        <f aca="false">TRIM(IF(N(E1203)&lt;=0,"택가보정 ","")&amp;IF(N(F1203)&lt;=0,"원가보정 ","")&amp;IF(AND(B1203&lt;&gt;"CN",N(H1203)&lt;=0),"공급가보정 ","")&amp;IF(AND(B1203="CN",N(I1203)&lt;=0),"중국공급가=원가+마진 ",""))</f>
        <v/>
      </c>
      <c r="Q1203" s="47" t="n">
        <f aca="false">IF(SUMIFS($W:$W,$A:$A,A1203,$C:$C,C1203)=0,0,SUMIFS(RAW_판매펀칭!$K:$K,RAW_판매펀칭!$P:$P,A1203,RAW_판매펀칭!$I:$I,C1203)*W1203/SUMIFS($W:$W,$A:$A,A1203,$C:$C,C1203))</f>
        <v>222</v>
      </c>
      <c r="R1203" s="47" t="n">
        <f aca="false">IF(OR(A1203="500",A1203="800",A1203="810"),0,MAX(W1203-Q1203,0))</f>
        <v>20</v>
      </c>
      <c r="S1203" s="47" t="n">
        <f aca="false">R1203*L1203</f>
        <v>1557600</v>
      </c>
      <c r="T1203" s="47" t="n">
        <f aca="false">R1203*J1203</f>
        <v>6580000</v>
      </c>
      <c r="U1203" s="47" t="n">
        <f aca="false">R1203*K1203</f>
        <v>1424220</v>
      </c>
      <c r="V1203" s="0" t="str">
        <f aca="false">IF(COUNTIFS($A$2:A1203,A1203,$C$2:C1203,C1203,$D$2:D1203,D1203)&gt;1,"중복","")</f>
        <v/>
      </c>
      <c r="W1203" s="0" t="n">
        <f aca="false">IF(V1203="중복",0,N(D1203))</f>
        <v>242</v>
      </c>
      <c r="X1203" s="0" t="n">
        <f aca="false">IF(COUNTIFS($A$2:A1203,A1203,$C$2:C1203,C1203)=1,ABS(SUMIFS(RAW_발주!$D:$D,RAW_발주!$C:$C,A1203,RAW_발주!$A:$A,C1203)-SUMIFS($W:$W,$A:$A,A1203,$C:$C,C1203)),0)</f>
        <v>0</v>
      </c>
    </row>
    <row r="1204" customFormat="false" ht="15" hidden="false" customHeight="true" outlineLevel="0" collapsed="false">
      <c r="A1204" s="45" t="s">
        <v>1661</v>
      </c>
      <c r="B1204" s="42" t="str">
        <f aca="false">IF(A1204="100","HK",IF(A1204="200","CN",IF(A1204="300","TW","홀세일")))</f>
        <v>TW</v>
      </c>
      <c r="C1204" s="45" t="s">
        <v>557</v>
      </c>
      <c r="D1204" s="46" t="n">
        <v>160</v>
      </c>
      <c r="E1204" s="46" t="n">
        <v>329000</v>
      </c>
      <c r="F1204" s="46" t="n">
        <v>71211</v>
      </c>
      <c r="G1204" s="42" t="n">
        <v>2.82</v>
      </c>
      <c r="H1204" s="42" t="n">
        <v>82.4</v>
      </c>
      <c r="I1204" s="42" t="n">
        <v>59</v>
      </c>
      <c r="J1204" s="46" t="n">
        <f aca="false">IF(N(E1204)&gt;0,E1204,IF(N(F1204)&gt;0,F1204*요약!$F$27,0))</f>
        <v>329000</v>
      </c>
      <c r="K1204" s="46" t="n">
        <f aca="false">IF(N(F1204)&gt;0,F1204,IF(N(E1204)&gt;0,E1204/요약!$F$27,0))</f>
        <v>71211</v>
      </c>
      <c r="L1204" s="46" t="n">
        <f aca="false">IF(B1204="CN",IF(N(I1204)&gt;0,I1204*요약!$G$27,K1204*(1+요약!$E$27)),IF(N(H1204)&gt;0,H1204*요약!$G$27,J1204*요약!$D$27))</f>
        <v>108768</v>
      </c>
      <c r="M1204" s="46" t="n">
        <f aca="false">D1204*J1204</f>
        <v>52640000</v>
      </c>
      <c r="N1204" s="46" t="n">
        <f aca="false">D1204*K1204</f>
        <v>11393760</v>
      </c>
      <c r="O1204" s="46" t="n">
        <f aca="false">D1204*L1204</f>
        <v>17402880</v>
      </c>
      <c r="P1204" s="42" t="str">
        <f aca="false">TRIM(IF(N(E1204)&lt;=0,"택가보정 ","")&amp;IF(N(F1204)&lt;=0,"원가보정 ","")&amp;IF(AND(B1204&lt;&gt;"CN",N(H1204)&lt;=0),"공급가보정 ","")&amp;IF(AND(B1204="CN",N(I1204)&lt;=0),"중국공급가=원가+마진 ",""))</f>
        <v/>
      </c>
      <c r="Q1204" s="47" t="n">
        <f aca="false">IF(SUMIFS($W:$W,$A:$A,A1204,$C:$C,C1204)=0,0,SUMIFS(RAW_판매펀칭!$K:$K,RAW_판매펀칭!$P:$P,A1204,RAW_판매펀칭!$I:$I,C1204)*W1204/SUMIFS($W:$W,$A:$A,A1204,$C:$C,C1204))</f>
        <v>160</v>
      </c>
      <c r="R1204" s="47" t="n">
        <f aca="false">IF(OR(A1204="500",A1204="800",A1204="810"),0,MAX(W1204-Q1204,0))</f>
        <v>0</v>
      </c>
      <c r="S1204" s="47" t="n">
        <f aca="false">R1204*L1204</f>
        <v>0</v>
      </c>
      <c r="T1204" s="47" t="n">
        <f aca="false">R1204*J1204</f>
        <v>0</v>
      </c>
      <c r="U1204" s="47" t="n">
        <f aca="false">R1204*K1204</f>
        <v>0</v>
      </c>
      <c r="V1204" s="0" t="str">
        <f aca="false">IF(COUNTIFS($A$2:A1204,A1204,$C$2:C1204,C1204,$D$2:D1204,D1204)&gt;1,"중복","")</f>
        <v/>
      </c>
      <c r="W1204" s="0" t="n">
        <f aca="false">IF(V1204="중복",0,N(D1204))</f>
        <v>160</v>
      </c>
      <c r="X1204" s="0" t="n">
        <f aca="false">IF(COUNTIFS($A$2:A1204,A1204,$C$2:C1204,C1204)=1,ABS(SUMIFS(RAW_발주!$D:$D,RAW_발주!$C:$C,A1204,RAW_발주!$A:$A,C1204)-SUMIFS($W:$W,$A:$A,A1204,$C:$C,C1204)),0)</f>
        <v>0</v>
      </c>
    </row>
    <row r="1205" customFormat="false" ht="15" hidden="false" customHeight="true" outlineLevel="0" collapsed="false">
      <c r="A1205" s="45" t="s">
        <v>1663</v>
      </c>
      <c r="B1205" s="42" t="str">
        <f aca="false">IF(A1205="100","HK",IF(A1205="200","CN",IF(A1205="300","TW","홀세일")))</f>
        <v>홀세일</v>
      </c>
      <c r="C1205" s="45" t="s">
        <v>557</v>
      </c>
      <c r="D1205" s="46" t="n">
        <v>15</v>
      </c>
      <c r="E1205" s="46" t="n">
        <v>329000</v>
      </c>
      <c r="F1205" s="46" t="n">
        <v>71211</v>
      </c>
      <c r="G1205" s="42" t="n">
        <v>2.82</v>
      </c>
      <c r="H1205" s="42" t="n">
        <v>82.4</v>
      </c>
      <c r="I1205" s="42" t="n">
        <v>59</v>
      </c>
      <c r="J1205" s="46" t="n">
        <f aca="false">IF(N(E1205)&gt;0,E1205,IF(N(F1205)&gt;0,F1205*요약!$F$27,0))</f>
        <v>329000</v>
      </c>
      <c r="K1205" s="46" t="n">
        <f aca="false">IF(N(F1205)&gt;0,F1205,IF(N(E1205)&gt;0,E1205/요약!$F$27,0))</f>
        <v>71211</v>
      </c>
      <c r="L1205" s="46" t="n">
        <f aca="false">IF(B1205="CN",IF(N(I1205)&gt;0,I1205*요약!$G$27,K1205*(1+요약!$E$27)),IF(N(H1205)&gt;0,H1205*요약!$G$27,J1205*요약!$D$27))</f>
        <v>108768</v>
      </c>
      <c r="M1205" s="46" t="n">
        <f aca="false">D1205*J1205</f>
        <v>4935000</v>
      </c>
      <c r="N1205" s="46" t="n">
        <f aca="false">D1205*K1205</f>
        <v>1068165</v>
      </c>
      <c r="O1205" s="46" t="n">
        <f aca="false">D1205*L1205</f>
        <v>1631520</v>
      </c>
      <c r="P1205" s="42" t="str">
        <f aca="false">TRIM(IF(N(E1205)&lt;=0,"택가보정 ","")&amp;IF(N(F1205)&lt;=0,"원가보정 ","")&amp;IF(AND(B1205&lt;&gt;"CN",N(H1205)&lt;=0),"공급가보정 ","")&amp;IF(AND(B1205="CN",N(I1205)&lt;=0),"중국공급가=원가+마진 ",""))</f>
        <v/>
      </c>
      <c r="Q1205" s="47" t="n">
        <f aca="false">IF(SUMIFS($W:$W,$A:$A,A1205,$C:$C,C1205)=0,0,SUMIFS(RAW_판매펀칭!$K:$K,RAW_판매펀칭!$P:$P,A1205,RAW_판매펀칭!$I:$I,C1205)*W1205/SUMIFS($W:$W,$A:$A,A1205,$C:$C,C1205))</f>
        <v>15</v>
      </c>
      <c r="R1205" s="47" t="n">
        <f aca="false">IF(OR(A1205="500",A1205="800",A1205="810"),0,MAX(W1205-Q1205,0))</f>
        <v>0</v>
      </c>
      <c r="S1205" s="47" t="n">
        <f aca="false">R1205*L1205</f>
        <v>0</v>
      </c>
      <c r="T1205" s="47" t="n">
        <f aca="false">R1205*J1205</f>
        <v>0</v>
      </c>
      <c r="U1205" s="47" t="n">
        <f aca="false">R1205*K1205</f>
        <v>0</v>
      </c>
      <c r="V1205" s="0" t="str">
        <f aca="false">IF(COUNTIFS($A$2:A1205,A1205,$C$2:C1205,C1205,$D$2:D1205,D1205)&gt;1,"중복","")</f>
        <v/>
      </c>
      <c r="W1205" s="0" t="n">
        <f aca="false">IF(V1205="중복",0,N(D1205))</f>
        <v>15</v>
      </c>
      <c r="X1205" s="0" t="n">
        <f aca="false">IF(COUNTIFS($A$2:A1205,A1205,$C$2:C1205,C1205)=1,ABS(SUMIFS(RAW_발주!$D:$D,RAW_발주!$C:$C,A1205,RAW_발주!$A:$A,C1205)-SUMIFS($W:$W,$A:$A,A1205,$C:$C,C1205)),0)</f>
        <v>0</v>
      </c>
    </row>
    <row r="1206" customFormat="false" ht="15" hidden="false" customHeight="true" outlineLevel="0" collapsed="false">
      <c r="A1206" s="45" t="s">
        <v>1659</v>
      </c>
      <c r="B1206" s="42" t="str">
        <f aca="false">IF(A1206="100","HK",IF(A1206="200","CN",IF(A1206="300","TW","홀세일")))</f>
        <v>HK</v>
      </c>
      <c r="C1206" s="45" t="s">
        <v>1704</v>
      </c>
      <c r="D1206" s="46" t="n">
        <v>160</v>
      </c>
      <c r="E1206" s="46"/>
      <c r="F1206" s="46" t="n">
        <v>87600</v>
      </c>
      <c r="G1206" s="42" t="n">
        <v>0</v>
      </c>
      <c r="H1206" s="42" t="n">
        <v>89.9</v>
      </c>
      <c r="J1206" s="46" t="n">
        <f aca="false">IF(N(E1206)&gt;0,E1206,IF(N(F1206)&gt;0,F1206*요약!$F$27,0))</f>
        <v>350400</v>
      </c>
      <c r="K1206" s="46" t="n">
        <f aca="false">IF(N(F1206)&gt;0,F1206,IF(N(E1206)&gt;0,E1206/요약!$F$27,0))</f>
        <v>87600</v>
      </c>
      <c r="L1206" s="46" t="n">
        <f aca="false">IF(B1206="CN",IF(N(I1206)&gt;0,I1206*요약!$G$27,K1206*(1+요약!$E$27)),IF(N(H1206)&gt;0,H1206*요약!$G$27,J1206*요약!$D$27))</f>
        <v>118668</v>
      </c>
      <c r="M1206" s="46" t="n">
        <f aca="false">D1206*J1206</f>
        <v>56064000</v>
      </c>
      <c r="N1206" s="46" t="n">
        <f aca="false">D1206*K1206</f>
        <v>14016000</v>
      </c>
      <c r="O1206" s="46" t="n">
        <f aca="false">D1206*L1206</f>
        <v>18986880</v>
      </c>
      <c r="P1206" s="42" t="str">
        <f aca="false">TRIM(IF(N(E1206)&lt;=0,"택가보정 ","")&amp;IF(N(F1206)&lt;=0,"원가보정 ","")&amp;IF(AND(B1206&lt;&gt;"CN",N(H1206)&lt;=0),"공급가보정 ","")&amp;IF(AND(B1206="CN",N(I1206)&lt;=0),"중국공급가=원가+마진 ",""))</f>
        <v>택가보정</v>
      </c>
      <c r="Q1206" s="47" t="n">
        <f aca="false">IF(SUMIFS($W:$W,$A:$A,A1206,$C:$C,C1206)=0,0,SUMIFS(RAW_판매펀칭!$K:$K,RAW_판매펀칭!$P:$P,A1206,RAW_판매펀칭!$I:$I,C1206)*W1206/SUMIFS($W:$W,$A:$A,A1206,$C:$C,C1206))</f>
        <v>0</v>
      </c>
      <c r="R1206" s="47" t="n">
        <f aca="false">IF(OR(A1206="500",A1206="800",A1206="810"),0,MAX(W1206-Q1206,0))</f>
        <v>160</v>
      </c>
      <c r="S1206" s="47" t="n">
        <f aca="false">R1206*L1206</f>
        <v>18986880</v>
      </c>
      <c r="T1206" s="47" t="n">
        <f aca="false">R1206*J1206</f>
        <v>56064000</v>
      </c>
      <c r="U1206" s="47" t="n">
        <f aca="false">R1206*K1206</f>
        <v>14016000</v>
      </c>
      <c r="V1206" s="0" t="str">
        <f aca="false">IF(COUNTIFS($A$2:A1206,A1206,$C$2:C1206,C1206,$D$2:D1206,D1206)&gt;1,"중복","")</f>
        <v/>
      </c>
      <c r="W1206" s="0" t="n">
        <f aca="false">IF(V1206="중복",0,N(D1206))</f>
        <v>160</v>
      </c>
      <c r="X1206" s="0" t="n">
        <f aca="false">IF(COUNTIFS($A$2:A1206,A1206,$C$2:C1206,C1206)=1,ABS(SUMIFS(RAW_발주!$D:$D,RAW_발주!$C:$C,A1206,RAW_발주!$A:$A,C1206)-SUMIFS($W:$W,$A:$A,A1206,$C:$C,C1206)),0)</f>
        <v>0</v>
      </c>
    </row>
    <row r="1207" customFormat="false" ht="15" hidden="false" customHeight="true" outlineLevel="0" collapsed="false">
      <c r="A1207" s="45" t="s">
        <v>1661</v>
      </c>
      <c r="B1207" s="42" t="str">
        <f aca="false">IF(A1207="100","HK",IF(A1207="200","CN",IF(A1207="300","TW","홀세일")))</f>
        <v>TW</v>
      </c>
      <c r="C1207" s="45" t="s">
        <v>1704</v>
      </c>
      <c r="D1207" s="46" t="n">
        <v>50</v>
      </c>
      <c r="E1207" s="46"/>
      <c r="F1207" s="46" t="n">
        <v>87600</v>
      </c>
      <c r="G1207" s="42" t="n">
        <v>0</v>
      </c>
      <c r="H1207" s="42" t="n">
        <v>89.9</v>
      </c>
      <c r="J1207" s="46" t="n">
        <f aca="false">IF(N(E1207)&gt;0,E1207,IF(N(F1207)&gt;0,F1207*요약!$F$27,0))</f>
        <v>350400</v>
      </c>
      <c r="K1207" s="46" t="n">
        <f aca="false">IF(N(F1207)&gt;0,F1207,IF(N(E1207)&gt;0,E1207/요약!$F$27,0))</f>
        <v>87600</v>
      </c>
      <c r="L1207" s="46" t="n">
        <f aca="false">IF(B1207="CN",IF(N(I1207)&gt;0,I1207*요약!$G$27,K1207*(1+요약!$E$27)),IF(N(H1207)&gt;0,H1207*요약!$G$27,J1207*요약!$D$27))</f>
        <v>118668</v>
      </c>
      <c r="M1207" s="46" t="n">
        <f aca="false">D1207*J1207</f>
        <v>17520000</v>
      </c>
      <c r="N1207" s="46" t="n">
        <f aca="false">D1207*K1207</f>
        <v>4380000</v>
      </c>
      <c r="O1207" s="46" t="n">
        <f aca="false">D1207*L1207</f>
        <v>5933400</v>
      </c>
      <c r="P1207" s="42" t="str">
        <f aca="false">TRIM(IF(N(E1207)&lt;=0,"택가보정 ","")&amp;IF(N(F1207)&lt;=0,"원가보정 ","")&amp;IF(AND(B1207&lt;&gt;"CN",N(H1207)&lt;=0),"공급가보정 ","")&amp;IF(AND(B1207="CN",N(I1207)&lt;=0),"중국공급가=원가+마진 ",""))</f>
        <v>택가보정</v>
      </c>
      <c r="Q1207" s="47" t="n">
        <f aca="false">IF(SUMIFS($W:$W,$A:$A,A1207,$C:$C,C1207)=0,0,SUMIFS(RAW_판매펀칭!$K:$K,RAW_판매펀칭!$P:$P,A1207,RAW_판매펀칭!$I:$I,C1207)*W1207/SUMIFS($W:$W,$A:$A,A1207,$C:$C,C1207))</f>
        <v>0</v>
      </c>
      <c r="R1207" s="47" t="n">
        <f aca="false">IF(OR(A1207="500",A1207="800",A1207="810"),0,MAX(W1207-Q1207,0))</f>
        <v>50</v>
      </c>
      <c r="S1207" s="47" t="n">
        <f aca="false">R1207*L1207</f>
        <v>5933400</v>
      </c>
      <c r="T1207" s="47" t="n">
        <f aca="false">R1207*J1207</f>
        <v>17520000</v>
      </c>
      <c r="U1207" s="47" t="n">
        <f aca="false">R1207*K1207</f>
        <v>4380000</v>
      </c>
      <c r="V1207" s="0" t="str">
        <f aca="false">IF(COUNTIFS($A$2:A1207,A1207,$C$2:C1207,C1207,$D$2:D1207,D1207)&gt;1,"중복","")</f>
        <v/>
      </c>
      <c r="W1207" s="0" t="n">
        <f aca="false">IF(V1207="중복",0,N(D1207))</f>
        <v>50</v>
      </c>
      <c r="X1207" s="0" t="n">
        <f aca="false">IF(COUNTIFS($A$2:A1207,A1207,$C$2:C1207,C1207)=1,ABS(SUMIFS(RAW_발주!$D:$D,RAW_발주!$C:$C,A1207,RAW_발주!$A:$A,C1207)-SUMIFS($W:$W,$A:$A,A1207,$C:$C,C1207)),0)</f>
        <v>0</v>
      </c>
    </row>
    <row r="1208" customFormat="false" ht="15" hidden="false" customHeight="true" outlineLevel="0" collapsed="false">
      <c r="A1208" s="45" t="s">
        <v>1659</v>
      </c>
      <c r="B1208" s="42" t="str">
        <f aca="false">IF(A1208="100","HK",IF(A1208="200","CN",IF(A1208="300","TW","홀세일")))</f>
        <v>HK</v>
      </c>
      <c r="C1208" s="45" t="s">
        <v>559</v>
      </c>
      <c r="D1208" s="46" t="n">
        <v>300</v>
      </c>
      <c r="E1208" s="46" t="n">
        <v>399000</v>
      </c>
      <c r="F1208" s="46" t="n">
        <v>108051</v>
      </c>
      <c r="G1208" s="42" t="n">
        <v>3.08</v>
      </c>
      <c r="H1208" s="42" t="n">
        <v>99.9</v>
      </c>
      <c r="I1208" s="42" t="n">
        <v>0</v>
      </c>
      <c r="J1208" s="46" t="n">
        <f aca="false">IF(N(E1208)&gt;0,E1208,IF(N(F1208)&gt;0,F1208*요약!$F$27,0))</f>
        <v>399000</v>
      </c>
      <c r="K1208" s="46" t="n">
        <f aca="false">IF(N(F1208)&gt;0,F1208,IF(N(E1208)&gt;0,E1208/요약!$F$27,0))</f>
        <v>108051</v>
      </c>
      <c r="L1208" s="46" t="n">
        <f aca="false">IF(B1208="CN",IF(N(I1208)&gt;0,I1208*요약!$G$27,K1208*(1+요약!$E$27)),IF(N(H1208)&gt;0,H1208*요약!$G$27,J1208*요약!$D$27))</f>
        <v>131868</v>
      </c>
      <c r="M1208" s="46" t="n">
        <f aca="false">D1208*J1208</f>
        <v>119700000</v>
      </c>
      <c r="N1208" s="46" t="n">
        <f aca="false">D1208*K1208</f>
        <v>32415300</v>
      </c>
      <c r="O1208" s="46" t="n">
        <f aca="false">D1208*L1208</f>
        <v>39560400</v>
      </c>
      <c r="P1208" s="42" t="str">
        <f aca="false">TRIM(IF(N(E1208)&lt;=0,"택가보정 ","")&amp;IF(N(F1208)&lt;=0,"원가보정 ","")&amp;IF(AND(B1208&lt;&gt;"CN",N(H1208)&lt;=0),"공급가보정 ","")&amp;IF(AND(B1208="CN",N(I1208)&lt;=0),"중국공급가=원가+마진 ",""))</f>
        <v/>
      </c>
      <c r="Q1208" s="47" t="n">
        <f aca="false">IF(SUMIFS($W:$W,$A:$A,A1208,$C:$C,C1208)=0,0,SUMIFS(RAW_판매펀칭!$K:$K,RAW_판매펀칭!$P:$P,A1208,RAW_판매펀칭!$I:$I,C1208)*W1208/SUMIFS($W:$W,$A:$A,A1208,$C:$C,C1208))</f>
        <v>300</v>
      </c>
      <c r="R1208" s="47" t="n">
        <f aca="false">IF(OR(A1208="500",A1208="800",A1208="810"),0,MAX(W1208-Q1208,0))</f>
        <v>0</v>
      </c>
      <c r="S1208" s="47" t="n">
        <f aca="false">R1208*L1208</f>
        <v>0</v>
      </c>
      <c r="T1208" s="47" t="n">
        <f aca="false">R1208*J1208</f>
        <v>0</v>
      </c>
      <c r="U1208" s="47" t="n">
        <f aca="false">R1208*K1208</f>
        <v>0</v>
      </c>
      <c r="V1208" s="0" t="str">
        <f aca="false">IF(COUNTIFS($A$2:A1208,A1208,$C$2:C1208,C1208,$D$2:D1208,D1208)&gt;1,"중복","")</f>
        <v/>
      </c>
      <c r="W1208" s="0" t="n">
        <f aca="false">IF(V1208="중복",0,N(D1208))</f>
        <v>300</v>
      </c>
      <c r="X1208" s="0" t="n">
        <f aca="false">IF(COUNTIFS($A$2:A1208,A1208,$C$2:C1208,C1208)=1,ABS(SUMIFS(RAW_발주!$D:$D,RAW_발주!$C:$C,A1208,RAW_발주!$A:$A,C1208)-SUMIFS($W:$W,$A:$A,A1208,$C:$C,C1208)),0)</f>
        <v>0</v>
      </c>
    </row>
    <row r="1209" customFormat="false" ht="15" hidden="false" customHeight="true" outlineLevel="0" collapsed="false">
      <c r="A1209" s="45" t="s">
        <v>1661</v>
      </c>
      <c r="B1209" s="42" t="str">
        <f aca="false">IF(A1209="100","HK",IF(A1209="200","CN",IF(A1209="300","TW","홀세일")))</f>
        <v>TW</v>
      </c>
      <c r="C1209" s="45" t="s">
        <v>559</v>
      </c>
      <c r="D1209" s="46" t="n">
        <v>250</v>
      </c>
      <c r="E1209" s="46" t="n">
        <v>399000</v>
      </c>
      <c r="F1209" s="46" t="n">
        <v>108051</v>
      </c>
      <c r="G1209" s="42" t="n">
        <v>3.08</v>
      </c>
      <c r="H1209" s="42" t="n">
        <v>99.9</v>
      </c>
      <c r="I1209" s="42" t="n">
        <v>0</v>
      </c>
      <c r="J1209" s="46" t="n">
        <f aca="false">IF(N(E1209)&gt;0,E1209,IF(N(F1209)&gt;0,F1209*요약!$F$27,0))</f>
        <v>399000</v>
      </c>
      <c r="K1209" s="46" t="n">
        <f aca="false">IF(N(F1209)&gt;0,F1209,IF(N(E1209)&gt;0,E1209/요약!$F$27,0))</f>
        <v>108051</v>
      </c>
      <c r="L1209" s="46" t="n">
        <f aca="false">IF(B1209="CN",IF(N(I1209)&gt;0,I1209*요약!$G$27,K1209*(1+요약!$E$27)),IF(N(H1209)&gt;0,H1209*요약!$G$27,J1209*요약!$D$27))</f>
        <v>131868</v>
      </c>
      <c r="M1209" s="46" t="n">
        <f aca="false">D1209*J1209</f>
        <v>99750000</v>
      </c>
      <c r="N1209" s="46" t="n">
        <f aca="false">D1209*K1209</f>
        <v>27012750</v>
      </c>
      <c r="O1209" s="46" t="n">
        <f aca="false">D1209*L1209</f>
        <v>32967000</v>
      </c>
      <c r="P1209" s="42" t="str">
        <f aca="false">TRIM(IF(N(E1209)&lt;=0,"택가보정 ","")&amp;IF(N(F1209)&lt;=0,"원가보정 ","")&amp;IF(AND(B1209&lt;&gt;"CN",N(H1209)&lt;=0),"공급가보정 ","")&amp;IF(AND(B1209="CN",N(I1209)&lt;=0),"중국공급가=원가+마진 ",""))</f>
        <v/>
      </c>
      <c r="Q1209" s="47" t="n">
        <f aca="false">IF(SUMIFS($W:$W,$A:$A,A1209,$C:$C,C1209)=0,0,SUMIFS(RAW_판매펀칭!$K:$K,RAW_판매펀칭!$P:$P,A1209,RAW_판매펀칭!$I:$I,C1209)*W1209/SUMIFS($W:$W,$A:$A,A1209,$C:$C,C1209))</f>
        <v>250</v>
      </c>
      <c r="R1209" s="47" t="n">
        <f aca="false">IF(OR(A1209="500",A1209="800",A1209="810"),0,MAX(W1209-Q1209,0))</f>
        <v>0</v>
      </c>
      <c r="S1209" s="47" t="n">
        <f aca="false">R1209*L1209</f>
        <v>0</v>
      </c>
      <c r="T1209" s="47" t="n">
        <f aca="false">R1209*J1209</f>
        <v>0</v>
      </c>
      <c r="U1209" s="47" t="n">
        <f aca="false">R1209*K1209</f>
        <v>0</v>
      </c>
      <c r="V1209" s="0" t="str">
        <f aca="false">IF(COUNTIFS($A$2:A1209,A1209,$C$2:C1209,C1209,$D$2:D1209,D1209)&gt;1,"중복","")</f>
        <v/>
      </c>
      <c r="W1209" s="0" t="n">
        <f aca="false">IF(V1209="중복",0,N(D1209))</f>
        <v>250</v>
      </c>
      <c r="X1209" s="0" t="n">
        <f aca="false">IF(COUNTIFS($A$2:A1209,A1209,$C$2:C1209,C1209)=1,ABS(SUMIFS(RAW_발주!$D:$D,RAW_발주!$C:$C,A1209,RAW_발주!$A:$A,C1209)-SUMIFS($W:$W,$A:$A,A1209,$C:$C,C1209)),0)</f>
        <v>0</v>
      </c>
    </row>
    <row r="1210" customFormat="false" ht="15" hidden="false" customHeight="true" outlineLevel="0" collapsed="false">
      <c r="A1210" s="45" t="s">
        <v>1663</v>
      </c>
      <c r="B1210" s="42" t="str">
        <f aca="false">IF(A1210="100","HK",IF(A1210="200","CN",IF(A1210="300","TW","홀세일")))</f>
        <v>홀세일</v>
      </c>
      <c r="C1210" s="45" t="s">
        <v>559</v>
      </c>
      <c r="D1210" s="46" t="n">
        <v>15</v>
      </c>
      <c r="E1210" s="46" t="n">
        <v>399000</v>
      </c>
      <c r="F1210" s="46" t="n">
        <v>108051</v>
      </c>
      <c r="G1210" s="42" t="n">
        <v>3.08</v>
      </c>
      <c r="H1210" s="42" t="n">
        <v>99.9</v>
      </c>
      <c r="I1210" s="42" t="n">
        <v>0</v>
      </c>
      <c r="J1210" s="46" t="n">
        <f aca="false">IF(N(E1210)&gt;0,E1210,IF(N(F1210)&gt;0,F1210*요약!$F$27,0))</f>
        <v>399000</v>
      </c>
      <c r="K1210" s="46" t="n">
        <f aca="false">IF(N(F1210)&gt;0,F1210,IF(N(E1210)&gt;0,E1210/요약!$F$27,0))</f>
        <v>108051</v>
      </c>
      <c r="L1210" s="46" t="n">
        <f aca="false">IF(B1210="CN",IF(N(I1210)&gt;0,I1210*요약!$G$27,K1210*(1+요약!$E$27)),IF(N(H1210)&gt;0,H1210*요약!$G$27,J1210*요약!$D$27))</f>
        <v>131868</v>
      </c>
      <c r="M1210" s="46" t="n">
        <f aca="false">D1210*J1210</f>
        <v>5985000</v>
      </c>
      <c r="N1210" s="46" t="n">
        <f aca="false">D1210*K1210</f>
        <v>1620765</v>
      </c>
      <c r="O1210" s="46" t="n">
        <f aca="false">D1210*L1210</f>
        <v>1978020</v>
      </c>
      <c r="P1210" s="42" t="str">
        <f aca="false">TRIM(IF(N(E1210)&lt;=0,"택가보정 ","")&amp;IF(N(F1210)&lt;=0,"원가보정 ","")&amp;IF(AND(B1210&lt;&gt;"CN",N(H1210)&lt;=0),"공급가보정 ","")&amp;IF(AND(B1210="CN",N(I1210)&lt;=0),"중국공급가=원가+마진 ",""))</f>
        <v/>
      </c>
      <c r="Q1210" s="47" t="n">
        <f aca="false">IF(SUMIFS($W:$W,$A:$A,A1210,$C:$C,C1210)=0,0,SUMIFS(RAW_판매펀칭!$K:$K,RAW_판매펀칭!$P:$P,A1210,RAW_판매펀칭!$I:$I,C1210)*W1210/SUMIFS($W:$W,$A:$A,A1210,$C:$C,C1210))</f>
        <v>15</v>
      </c>
      <c r="R1210" s="47" t="n">
        <f aca="false">IF(OR(A1210="500",A1210="800",A1210="810"),0,MAX(W1210-Q1210,0))</f>
        <v>0</v>
      </c>
      <c r="S1210" s="47" t="n">
        <f aca="false">R1210*L1210</f>
        <v>0</v>
      </c>
      <c r="T1210" s="47" t="n">
        <f aca="false">R1210*J1210</f>
        <v>0</v>
      </c>
      <c r="U1210" s="47" t="n">
        <f aca="false">R1210*K1210</f>
        <v>0</v>
      </c>
      <c r="V1210" s="0" t="str">
        <f aca="false">IF(COUNTIFS($A$2:A1210,A1210,$C$2:C1210,C1210,$D$2:D1210,D1210)&gt;1,"중복","")</f>
        <v/>
      </c>
      <c r="W1210" s="0" t="n">
        <f aca="false">IF(V1210="중복",0,N(D1210))</f>
        <v>15</v>
      </c>
      <c r="X1210" s="0" t="n">
        <f aca="false">IF(COUNTIFS($A$2:A1210,A1210,$C$2:C1210,C1210)=1,ABS(SUMIFS(RAW_발주!$D:$D,RAW_발주!$C:$C,A1210,RAW_발주!$A:$A,C1210)-SUMIFS($W:$W,$A:$A,A1210,$C:$C,C1210)),0)</f>
        <v>0</v>
      </c>
    </row>
    <row r="1211" customFormat="false" ht="15" hidden="false" customHeight="true" outlineLevel="0" collapsed="false">
      <c r="A1211" s="45" t="s">
        <v>1659</v>
      </c>
      <c r="B1211" s="42" t="str">
        <f aca="false">IF(A1211="100","HK",IF(A1211="200","CN",IF(A1211="300","TW","홀세일")))</f>
        <v>HK</v>
      </c>
      <c r="C1211" s="45" t="s">
        <v>1093</v>
      </c>
      <c r="D1211" s="46" t="n">
        <v>240</v>
      </c>
      <c r="E1211" s="46" t="n">
        <v>499000</v>
      </c>
      <c r="F1211" s="46" t="n">
        <v>122077</v>
      </c>
      <c r="G1211" s="42" t="n">
        <v>3.11</v>
      </c>
      <c r="H1211" s="42" t="n">
        <v>124.9</v>
      </c>
      <c r="I1211" s="42" t="n">
        <v>93.6</v>
      </c>
      <c r="J1211" s="46" t="n">
        <f aca="false">IF(N(E1211)&gt;0,E1211,IF(N(F1211)&gt;0,F1211*요약!$F$27,0))</f>
        <v>499000</v>
      </c>
      <c r="K1211" s="46" t="n">
        <f aca="false">IF(N(F1211)&gt;0,F1211,IF(N(E1211)&gt;0,E1211/요약!$F$27,0))</f>
        <v>122077</v>
      </c>
      <c r="L1211" s="46" t="n">
        <f aca="false">IF(B1211="CN",IF(N(I1211)&gt;0,I1211*요약!$G$27,K1211*(1+요약!$E$27)),IF(N(H1211)&gt;0,H1211*요약!$G$27,J1211*요약!$D$27))</f>
        <v>164868</v>
      </c>
      <c r="M1211" s="46" t="n">
        <f aca="false">D1211*J1211</f>
        <v>119760000</v>
      </c>
      <c r="N1211" s="46" t="n">
        <f aca="false">D1211*K1211</f>
        <v>29298480</v>
      </c>
      <c r="O1211" s="46" t="n">
        <f aca="false">D1211*L1211</f>
        <v>39568320</v>
      </c>
      <c r="P1211" s="42" t="str">
        <f aca="false">TRIM(IF(N(E1211)&lt;=0,"택가보정 ","")&amp;IF(N(F1211)&lt;=0,"원가보정 ","")&amp;IF(AND(B1211&lt;&gt;"CN",N(H1211)&lt;=0),"공급가보정 ","")&amp;IF(AND(B1211="CN",N(I1211)&lt;=0),"중국공급가=원가+마진 ",""))</f>
        <v/>
      </c>
      <c r="Q1211" s="47" t="n">
        <f aca="false">IF(SUMIFS($W:$W,$A:$A,A1211,$C:$C,C1211)=0,0,SUMIFS(RAW_판매펀칭!$K:$K,RAW_판매펀칭!$P:$P,A1211,RAW_판매펀칭!$I:$I,C1211)*W1211/SUMIFS($W:$W,$A:$A,A1211,$C:$C,C1211))</f>
        <v>0</v>
      </c>
      <c r="R1211" s="47" t="n">
        <f aca="false">IF(OR(A1211="500",A1211="800",A1211="810"),0,MAX(W1211-Q1211,0))</f>
        <v>240</v>
      </c>
      <c r="S1211" s="47" t="n">
        <f aca="false">R1211*L1211</f>
        <v>39568320</v>
      </c>
      <c r="T1211" s="47" t="n">
        <f aca="false">R1211*J1211</f>
        <v>119760000</v>
      </c>
      <c r="U1211" s="47" t="n">
        <f aca="false">R1211*K1211</f>
        <v>29298480</v>
      </c>
      <c r="V1211" s="0" t="str">
        <f aca="false">IF(COUNTIFS($A$2:A1211,A1211,$C$2:C1211,C1211,$D$2:D1211,D1211)&gt;1,"중복","")</f>
        <v/>
      </c>
      <c r="W1211" s="0" t="n">
        <f aca="false">IF(V1211="중복",0,N(D1211))</f>
        <v>240</v>
      </c>
      <c r="X1211" s="0" t="n">
        <f aca="false">IF(COUNTIFS($A$2:A1211,A1211,$C$2:C1211,C1211)=1,ABS(SUMIFS(RAW_발주!$D:$D,RAW_발주!$C:$C,A1211,RAW_발주!$A:$A,C1211)-SUMIFS($W:$W,$A:$A,A1211,$C:$C,C1211)),0)</f>
        <v>0</v>
      </c>
    </row>
    <row r="1212" customFormat="false" ht="15" hidden="false" customHeight="true" outlineLevel="0" collapsed="false">
      <c r="A1212" s="45" t="s">
        <v>1660</v>
      </c>
      <c r="B1212" s="42" t="str">
        <f aca="false">IF(A1212="100","HK",IF(A1212="200","CN",IF(A1212="300","TW","홀세일")))</f>
        <v>CN</v>
      </c>
      <c r="C1212" s="45" t="s">
        <v>1093</v>
      </c>
      <c r="D1212" s="46" t="n">
        <v>422</v>
      </c>
      <c r="E1212" s="46" t="n">
        <v>499000</v>
      </c>
      <c r="F1212" s="46" t="n">
        <v>122077</v>
      </c>
      <c r="G1212" s="42" t="n">
        <v>3.11</v>
      </c>
      <c r="H1212" s="42" t="n">
        <v>124.9</v>
      </c>
      <c r="I1212" s="42" t="n">
        <v>93.6</v>
      </c>
      <c r="J1212" s="46" t="n">
        <f aca="false">IF(N(E1212)&gt;0,E1212,IF(N(F1212)&gt;0,F1212*요약!$F$27,0))</f>
        <v>499000</v>
      </c>
      <c r="K1212" s="46" t="n">
        <f aca="false">IF(N(F1212)&gt;0,F1212,IF(N(E1212)&gt;0,E1212/요약!$F$27,0))</f>
        <v>122077</v>
      </c>
      <c r="L1212" s="46" t="n">
        <f aca="false">IF(B1212="CN",IF(N(I1212)&gt;0,I1212*요약!$G$27,K1212*(1+요약!$E$27)),IF(N(H1212)&gt;0,H1212*요약!$G$27,J1212*요약!$D$27))</f>
        <v>123552</v>
      </c>
      <c r="M1212" s="46" t="n">
        <f aca="false">D1212*J1212</f>
        <v>210578000</v>
      </c>
      <c r="N1212" s="46" t="n">
        <f aca="false">D1212*K1212</f>
        <v>51516494</v>
      </c>
      <c r="O1212" s="46" t="n">
        <f aca="false">D1212*L1212</f>
        <v>52138944</v>
      </c>
      <c r="P1212" s="42" t="str">
        <f aca="false">TRIM(IF(N(E1212)&lt;=0,"택가보정 ","")&amp;IF(N(F1212)&lt;=0,"원가보정 ","")&amp;IF(AND(B1212&lt;&gt;"CN",N(H1212)&lt;=0),"공급가보정 ","")&amp;IF(AND(B1212="CN",N(I1212)&lt;=0),"중국공급가=원가+마진 ",""))</f>
        <v/>
      </c>
      <c r="Q1212" s="47" t="n">
        <f aca="false">IF(SUMIFS($W:$W,$A:$A,A1212,$C:$C,C1212)=0,0,SUMIFS(RAW_판매펀칭!$K:$K,RAW_판매펀칭!$P:$P,A1212,RAW_판매펀칭!$I:$I,C1212)*W1212/SUMIFS($W:$W,$A:$A,A1212,$C:$C,C1212))</f>
        <v>407</v>
      </c>
      <c r="R1212" s="47" t="n">
        <f aca="false">IF(OR(A1212="500",A1212="800",A1212="810"),0,MAX(W1212-Q1212,0))</f>
        <v>15</v>
      </c>
      <c r="S1212" s="47" t="n">
        <f aca="false">R1212*L1212</f>
        <v>1853280</v>
      </c>
      <c r="T1212" s="47" t="n">
        <f aca="false">R1212*J1212</f>
        <v>7485000</v>
      </c>
      <c r="U1212" s="47" t="n">
        <f aca="false">R1212*K1212</f>
        <v>1831155</v>
      </c>
      <c r="V1212" s="0" t="str">
        <f aca="false">IF(COUNTIFS($A$2:A1212,A1212,$C$2:C1212,C1212,$D$2:D1212,D1212)&gt;1,"중복","")</f>
        <v/>
      </c>
      <c r="W1212" s="0" t="n">
        <f aca="false">IF(V1212="중복",0,N(D1212))</f>
        <v>422</v>
      </c>
      <c r="X1212" s="0" t="n">
        <f aca="false">IF(COUNTIFS($A$2:A1212,A1212,$C$2:C1212,C1212)=1,ABS(SUMIFS(RAW_발주!$D:$D,RAW_발주!$C:$C,A1212,RAW_발주!$A:$A,C1212)-SUMIFS($W:$W,$A:$A,A1212,$C:$C,C1212)),0)</f>
        <v>0</v>
      </c>
    </row>
    <row r="1213" customFormat="false" ht="15" hidden="false" customHeight="true" outlineLevel="0" collapsed="false">
      <c r="A1213" s="45" t="s">
        <v>1660</v>
      </c>
      <c r="B1213" s="42" t="str">
        <f aca="false">IF(A1213="100","HK",IF(A1213="200","CN",IF(A1213="300","TW","홀세일")))</f>
        <v>CN</v>
      </c>
      <c r="C1213" s="45" t="s">
        <v>1093</v>
      </c>
      <c r="D1213" s="46" t="n">
        <v>422</v>
      </c>
      <c r="E1213" s="46" t="n">
        <v>499000</v>
      </c>
      <c r="F1213" s="46" t="n">
        <v>122077</v>
      </c>
      <c r="G1213" s="42" t="n">
        <v>3.11</v>
      </c>
      <c r="H1213" s="42" t="n">
        <v>124.9</v>
      </c>
      <c r="I1213" s="42" t="n">
        <v>93.6</v>
      </c>
      <c r="J1213" s="46" t="n">
        <f aca="false">IF(N(E1213)&gt;0,E1213,IF(N(F1213)&gt;0,F1213*요약!$F$27,0))</f>
        <v>499000</v>
      </c>
      <c r="K1213" s="46" t="n">
        <f aca="false">IF(N(F1213)&gt;0,F1213,IF(N(E1213)&gt;0,E1213/요약!$F$27,0))</f>
        <v>122077</v>
      </c>
      <c r="L1213" s="46" t="n">
        <f aca="false">IF(B1213="CN",IF(N(I1213)&gt;0,I1213*요약!$G$27,K1213*(1+요약!$E$27)),IF(N(H1213)&gt;0,H1213*요약!$G$27,J1213*요약!$D$27))</f>
        <v>123552</v>
      </c>
      <c r="M1213" s="46" t="n">
        <f aca="false">D1213*J1213</f>
        <v>210578000</v>
      </c>
      <c r="N1213" s="46" t="n">
        <f aca="false">D1213*K1213</f>
        <v>51516494</v>
      </c>
      <c r="O1213" s="46" t="n">
        <f aca="false">D1213*L1213</f>
        <v>52138944</v>
      </c>
      <c r="P1213" s="42" t="str">
        <f aca="false">TRIM(IF(N(E1213)&lt;=0,"택가보정 ","")&amp;IF(N(F1213)&lt;=0,"원가보정 ","")&amp;IF(AND(B1213&lt;&gt;"CN",N(H1213)&lt;=0),"공급가보정 ","")&amp;IF(AND(B1213="CN",N(I1213)&lt;=0),"중국공급가=원가+마진 ",""))</f>
        <v/>
      </c>
      <c r="Q1213" s="47" t="n">
        <f aca="false">IF(SUMIFS($W:$W,$A:$A,A1213,$C:$C,C1213)=0,0,SUMIFS(RAW_판매펀칭!$K:$K,RAW_판매펀칭!$P:$P,A1213,RAW_판매펀칭!$I:$I,C1213)*W1213/SUMIFS($W:$W,$A:$A,A1213,$C:$C,C1213))</f>
        <v>0</v>
      </c>
      <c r="R1213" s="47" t="n">
        <f aca="false">IF(OR(A1213="500",A1213="800",A1213="810"),0,MAX(W1213-Q1213,0))</f>
        <v>0</v>
      </c>
      <c r="S1213" s="47" t="n">
        <f aca="false">R1213*L1213</f>
        <v>0</v>
      </c>
      <c r="T1213" s="47" t="n">
        <f aca="false">R1213*J1213</f>
        <v>0</v>
      </c>
      <c r="U1213" s="47" t="n">
        <f aca="false">R1213*K1213</f>
        <v>0</v>
      </c>
      <c r="V1213" s="0" t="str">
        <f aca="false">IF(COUNTIFS($A$2:A1213,A1213,$C$2:C1213,C1213,$D$2:D1213,D1213)&gt;1,"중복","")</f>
        <v>중복</v>
      </c>
      <c r="W1213" s="0" t="n">
        <f aca="false">IF(V1213="중복",0,N(D1213))</f>
        <v>0</v>
      </c>
      <c r="X1213" s="0" t="n">
        <f aca="false">IF(COUNTIFS($A$2:A1213,A1213,$C$2:C1213,C1213)=1,ABS(SUMIFS(RAW_발주!$D:$D,RAW_발주!$C:$C,A1213,RAW_발주!$A:$A,C1213)-SUMIFS($W:$W,$A:$A,A1213,$C:$C,C1213)),0)</f>
        <v>0</v>
      </c>
    </row>
    <row r="1214" customFormat="false" ht="15" hidden="false" customHeight="true" outlineLevel="0" collapsed="false">
      <c r="A1214" s="45" t="s">
        <v>1661</v>
      </c>
      <c r="B1214" s="42" t="str">
        <f aca="false">IF(A1214="100","HK",IF(A1214="200","CN",IF(A1214="300","TW","홀세일")))</f>
        <v>TW</v>
      </c>
      <c r="C1214" s="45" t="s">
        <v>1093</v>
      </c>
      <c r="D1214" s="46" t="n">
        <v>200</v>
      </c>
      <c r="E1214" s="46" t="n">
        <v>499000</v>
      </c>
      <c r="F1214" s="46" t="n">
        <v>122077</v>
      </c>
      <c r="G1214" s="42" t="n">
        <v>3.11</v>
      </c>
      <c r="H1214" s="42" t="n">
        <v>124.9</v>
      </c>
      <c r="I1214" s="42" t="n">
        <v>93.6</v>
      </c>
      <c r="J1214" s="46" t="n">
        <f aca="false">IF(N(E1214)&gt;0,E1214,IF(N(F1214)&gt;0,F1214*요약!$F$27,0))</f>
        <v>499000</v>
      </c>
      <c r="K1214" s="46" t="n">
        <f aca="false">IF(N(F1214)&gt;0,F1214,IF(N(E1214)&gt;0,E1214/요약!$F$27,0))</f>
        <v>122077</v>
      </c>
      <c r="L1214" s="46" t="n">
        <f aca="false">IF(B1214="CN",IF(N(I1214)&gt;0,I1214*요약!$G$27,K1214*(1+요약!$E$27)),IF(N(H1214)&gt;0,H1214*요약!$G$27,J1214*요약!$D$27))</f>
        <v>164868</v>
      </c>
      <c r="M1214" s="46" t="n">
        <f aca="false">D1214*J1214</f>
        <v>99800000</v>
      </c>
      <c r="N1214" s="46" t="n">
        <f aca="false">D1214*K1214</f>
        <v>24415400</v>
      </c>
      <c r="O1214" s="46" t="n">
        <f aca="false">D1214*L1214</f>
        <v>32973600</v>
      </c>
      <c r="P1214" s="42" t="str">
        <f aca="false">TRIM(IF(N(E1214)&lt;=0,"택가보정 ","")&amp;IF(N(F1214)&lt;=0,"원가보정 ","")&amp;IF(AND(B1214&lt;&gt;"CN",N(H1214)&lt;=0),"공급가보정 ","")&amp;IF(AND(B1214="CN",N(I1214)&lt;=0),"중국공급가=원가+마진 ",""))</f>
        <v/>
      </c>
      <c r="Q1214" s="47" t="n">
        <f aca="false">IF(SUMIFS($W:$W,$A:$A,A1214,$C:$C,C1214)=0,0,SUMIFS(RAW_판매펀칭!$K:$K,RAW_판매펀칭!$P:$P,A1214,RAW_판매펀칭!$I:$I,C1214)*W1214/SUMIFS($W:$W,$A:$A,A1214,$C:$C,C1214))</f>
        <v>0</v>
      </c>
      <c r="R1214" s="47" t="n">
        <f aca="false">IF(OR(A1214="500",A1214="800",A1214="810"),0,MAX(W1214-Q1214,0))</f>
        <v>200</v>
      </c>
      <c r="S1214" s="47" t="n">
        <f aca="false">R1214*L1214</f>
        <v>32973600</v>
      </c>
      <c r="T1214" s="47" t="n">
        <f aca="false">R1214*J1214</f>
        <v>99800000</v>
      </c>
      <c r="U1214" s="47" t="n">
        <f aca="false">R1214*K1214</f>
        <v>24415400</v>
      </c>
      <c r="V1214" s="0" t="str">
        <f aca="false">IF(COUNTIFS($A$2:A1214,A1214,$C$2:C1214,C1214,$D$2:D1214,D1214)&gt;1,"중복","")</f>
        <v/>
      </c>
      <c r="W1214" s="0" t="n">
        <f aca="false">IF(V1214="중복",0,N(D1214))</f>
        <v>200</v>
      </c>
      <c r="X1214" s="0" t="n">
        <f aca="false">IF(COUNTIFS($A$2:A1214,A1214,$C$2:C1214,C1214)=1,ABS(SUMIFS(RAW_발주!$D:$D,RAW_발주!$C:$C,A1214,RAW_발주!$A:$A,C1214)-SUMIFS($W:$W,$A:$A,A1214,$C:$C,C1214)),0)</f>
        <v>0</v>
      </c>
    </row>
    <row r="1215" customFormat="false" ht="15" hidden="false" customHeight="true" outlineLevel="0" collapsed="false">
      <c r="A1215" s="45" t="s">
        <v>1667</v>
      </c>
      <c r="B1215" s="42" t="str">
        <f aca="false">IF(A1215="100","HK",IF(A1215="200","CN",IF(A1215="300","TW","홀세일")))</f>
        <v>홀세일</v>
      </c>
      <c r="C1215" s="45" t="s">
        <v>1093</v>
      </c>
      <c r="D1215" s="46" t="n">
        <v>122</v>
      </c>
      <c r="E1215" s="46" t="n">
        <v>499000</v>
      </c>
      <c r="F1215" s="46" t="n">
        <v>122077</v>
      </c>
      <c r="G1215" s="42" t="n">
        <v>3.11</v>
      </c>
      <c r="H1215" s="42" t="n">
        <v>124.9</v>
      </c>
      <c r="I1215" s="42" t="n">
        <v>93.6</v>
      </c>
      <c r="J1215" s="46" t="n">
        <f aca="false">IF(N(E1215)&gt;0,E1215,IF(N(F1215)&gt;0,F1215*요약!$F$27,0))</f>
        <v>499000</v>
      </c>
      <c r="K1215" s="46" t="n">
        <f aca="false">IF(N(F1215)&gt;0,F1215,IF(N(E1215)&gt;0,E1215/요약!$F$27,0))</f>
        <v>122077</v>
      </c>
      <c r="L1215" s="46" t="n">
        <f aca="false">IF(B1215="CN",IF(N(I1215)&gt;0,I1215*요약!$G$27,K1215*(1+요약!$E$27)),IF(N(H1215)&gt;0,H1215*요약!$G$27,J1215*요약!$D$27))</f>
        <v>164868</v>
      </c>
      <c r="M1215" s="46" t="n">
        <f aca="false">D1215*J1215</f>
        <v>60878000</v>
      </c>
      <c r="N1215" s="46" t="n">
        <f aca="false">D1215*K1215</f>
        <v>14893394</v>
      </c>
      <c r="O1215" s="46" t="n">
        <f aca="false">D1215*L1215</f>
        <v>20113896</v>
      </c>
      <c r="P1215" s="42" t="str">
        <f aca="false">TRIM(IF(N(E1215)&lt;=0,"택가보정 ","")&amp;IF(N(F1215)&lt;=0,"원가보정 ","")&amp;IF(AND(B1215&lt;&gt;"CN",N(H1215)&lt;=0),"공급가보정 ","")&amp;IF(AND(B1215="CN",N(I1215)&lt;=0),"중국공급가=원가+마진 ",""))</f>
        <v/>
      </c>
      <c r="Q1215" s="47" t="n">
        <f aca="false">IF(SUMIFS($W:$W,$A:$A,A1215,$C:$C,C1215)=0,0,SUMIFS(RAW_판매펀칭!$K:$K,RAW_판매펀칭!$P:$P,A1215,RAW_판매펀칭!$I:$I,C1215)*W1215/SUMIFS($W:$W,$A:$A,A1215,$C:$C,C1215))</f>
        <v>0</v>
      </c>
      <c r="R1215" s="47" t="n">
        <f aca="false">IF(OR(A1215="500",A1215="800",A1215="810"),0,MAX(W1215-Q1215,0))</f>
        <v>122</v>
      </c>
      <c r="S1215" s="47" t="n">
        <f aca="false">R1215*L1215</f>
        <v>20113896</v>
      </c>
      <c r="T1215" s="47" t="n">
        <f aca="false">R1215*J1215</f>
        <v>60878000</v>
      </c>
      <c r="U1215" s="47" t="n">
        <f aca="false">R1215*K1215</f>
        <v>14893394</v>
      </c>
      <c r="V1215" s="0" t="str">
        <f aca="false">IF(COUNTIFS($A$2:A1215,A1215,$C$2:C1215,C1215,$D$2:D1215,D1215)&gt;1,"중복","")</f>
        <v/>
      </c>
      <c r="W1215" s="0" t="n">
        <f aca="false">IF(V1215="중복",0,N(D1215))</f>
        <v>122</v>
      </c>
      <c r="X1215" s="0" t="n">
        <f aca="false">IF(COUNTIFS($A$2:A1215,A1215,$C$2:C1215,C1215)=1,ABS(SUMIFS(RAW_발주!$D:$D,RAW_발주!$C:$C,A1215,RAW_발주!$A:$A,C1215)-SUMIFS($W:$W,$A:$A,A1215,$C:$C,C1215)),0)</f>
        <v>0</v>
      </c>
    </row>
    <row r="1216" customFormat="false" ht="15" hidden="false" customHeight="true" outlineLevel="0" collapsed="false">
      <c r="A1216" s="45" t="s">
        <v>1659</v>
      </c>
      <c r="B1216" s="42" t="str">
        <f aca="false">IF(A1216="100","HK",IF(A1216="200","CN",IF(A1216="300","TW","홀세일")))</f>
        <v>HK</v>
      </c>
      <c r="C1216" s="45" t="s">
        <v>561</v>
      </c>
      <c r="D1216" s="46" t="n">
        <v>160</v>
      </c>
      <c r="E1216" s="46" t="n">
        <v>359000</v>
      </c>
      <c r="F1216" s="46" t="n">
        <v>84600</v>
      </c>
      <c r="G1216" s="42" t="n">
        <v>3.5</v>
      </c>
      <c r="H1216" s="42" t="n">
        <v>89.9</v>
      </c>
      <c r="I1216" s="42" t="n">
        <v>0</v>
      </c>
      <c r="J1216" s="46" t="n">
        <f aca="false">IF(N(E1216)&gt;0,E1216,IF(N(F1216)&gt;0,F1216*요약!$F$27,0))</f>
        <v>359000</v>
      </c>
      <c r="K1216" s="46" t="n">
        <f aca="false">IF(N(F1216)&gt;0,F1216,IF(N(E1216)&gt;0,E1216/요약!$F$27,0))</f>
        <v>84600</v>
      </c>
      <c r="L1216" s="46" t="n">
        <f aca="false">IF(B1216="CN",IF(N(I1216)&gt;0,I1216*요약!$G$27,K1216*(1+요약!$E$27)),IF(N(H1216)&gt;0,H1216*요약!$G$27,J1216*요약!$D$27))</f>
        <v>118668</v>
      </c>
      <c r="M1216" s="46" t="n">
        <f aca="false">D1216*J1216</f>
        <v>57440000</v>
      </c>
      <c r="N1216" s="46" t="n">
        <f aca="false">D1216*K1216</f>
        <v>13536000</v>
      </c>
      <c r="O1216" s="46" t="n">
        <f aca="false">D1216*L1216</f>
        <v>18986880</v>
      </c>
      <c r="P1216" s="42" t="str">
        <f aca="false">TRIM(IF(N(E1216)&lt;=0,"택가보정 ","")&amp;IF(N(F1216)&lt;=0,"원가보정 ","")&amp;IF(AND(B1216&lt;&gt;"CN",N(H1216)&lt;=0),"공급가보정 ","")&amp;IF(AND(B1216="CN",N(I1216)&lt;=0),"중국공급가=원가+마진 ",""))</f>
        <v/>
      </c>
      <c r="Q1216" s="47" t="n">
        <f aca="false">IF(SUMIFS($W:$W,$A:$A,A1216,$C:$C,C1216)=0,0,SUMIFS(RAW_판매펀칭!$K:$K,RAW_판매펀칭!$P:$P,A1216,RAW_판매펀칭!$I:$I,C1216)*W1216/SUMIFS($W:$W,$A:$A,A1216,$C:$C,C1216))</f>
        <v>160</v>
      </c>
      <c r="R1216" s="47" t="n">
        <f aca="false">IF(OR(A1216="500",A1216="800",A1216="810"),0,MAX(W1216-Q1216,0))</f>
        <v>0</v>
      </c>
      <c r="S1216" s="47" t="n">
        <f aca="false">R1216*L1216</f>
        <v>0</v>
      </c>
      <c r="T1216" s="47" t="n">
        <f aca="false">R1216*J1216</f>
        <v>0</v>
      </c>
      <c r="U1216" s="47" t="n">
        <f aca="false">R1216*K1216</f>
        <v>0</v>
      </c>
      <c r="V1216" s="0" t="str">
        <f aca="false">IF(COUNTIFS($A$2:A1216,A1216,$C$2:C1216,C1216,$D$2:D1216,D1216)&gt;1,"중복","")</f>
        <v/>
      </c>
      <c r="W1216" s="0" t="n">
        <f aca="false">IF(V1216="중복",0,N(D1216))</f>
        <v>160</v>
      </c>
      <c r="X1216" s="0" t="n">
        <f aca="false">IF(COUNTIFS($A$2:A1216,A1216,$C$2:C1216,C1216)=1,ABS(SUMIFS(RAW_발주!$D:$D,RAW_발주!$C:$C,A1216,RAW_발주!$A:$A,C1216)-SUMIFS($W:$W,$A:$A,A1216,$C:$C,C1216)),0)</f>
        <v>0</v>
      </c>
    </row>
    <row r="1217" customFormat="false" ht="15" hidden="false" customHeight="true" outlineLevel="0" collapsed="false">
      <c r="A1217" s="45" t="s">
        <v>1661</v>
      </c>
      <c r="B1217" s="42" t="str">
        <f aca="false">IF(A1217="100","HK",IF(A1217="200","CN",IF(A1217="300","TW","홀세일")))</f>
        <v>TW</v>
      </c>
      <c r="C1217" s="45" t="s">
        <v>561</v>
      </c>
      <c r="D1217" s="46" t="n">
        <v>180</v>
      </c>
      <c r="E1217" s="46" t="n">
        <v>359000</v>
      </c>
      <c r="F1217" s="46" t="n">
        <v>84600</v>
      </c>
      <c r="G1217" s="42" t="n">
        <v>3.5</v>
      </c>
      <c r="H1217" s="42" t="n">
        <v>89.9</v>
      </c>
      <c r="I1217" s="42" t="n">
        <v>0</v>
      </c>
      <c r="J1217" s="46" t="n">
        <f aca="false">IF(N(E1217)&gt;0,E1217,IF(N(F1217)&gt;0,F1217*요약!$F$27,0))</f>
        <v>359000</v>
      </c>
      <c r="K1217" s="46" t="n">
        <f aca="false">IF(N(F1217)&gt;0,F1217,IF(N(E1217)&gt;0,E1217/요약!$F$27,0))</f>
        <v>84600</v>
      </c>
      <c r="L1217" s="46" t="n">
        <f aca="false">IF(B1217="CN",IF(N(I1217)&gt;0,I1217*요약!$G$27,K1217*(1+요약!$E$27)),IF(N(H1217)&gt;0,H1217*요약!$G$27,J1217*요약!$D$27))</f>
        <v>118668</v>
      </c>
      <c r="M1217" s="46" t="n">
        <f aca="false">D1217*J1217</f>
        <v>64620000</v>
      </c>
      <c r="N1217" s="46" t="n">
        <f aca="false">D1217*K1217</f>
        <v>15228000</v>
      </c>
      <c r="O1217" s="46" t="n">
        <f aca="false">D1217*L1217</f>
        <v>21360240</v>
      </c>
      <c r="P1217" s="42" t="str">
        <f aca="false">TRIM(IF(N(E1217)&lt;=0,"택가보정 ","")&amp;IF(N(F1217)&lt;=0,"원가보정 ","")&amp;IF(AND(B1217&lt;&gt;"CN",N(H1217)&lt;=0),"공급가보정 ","")&amp;IF(AND(B1217="CN",N(I1217)&lt;=0),"중국공급가=원가+마진 ",""))</f>
        <v/>
      </c>
      <c r="Q1217" s="47" t="n">
        <f aca="false">IF(SUMIFS($W:$W,$A:$A,A1217,$C:$C,C1217)=0,0,SUMIFS(RAW_판매펀칭!$K:$K,RAW_판매펀칭!$P:$P,A1217,RAW_판매펀칭!$I:$I,C1217)*W1217/SUMIFS($W:$W,$A:$A,A1217,$C:$C,C1217))</f>
        <v>180</v>
      </c>
      <c r="R1217" s="47" t="n">
        <f aca="false">IF(OR(A1217="500",A1217="800",A1217="810"),0,MAX(W1217-Q1217,0))</f>
        <v>0</v>
      </c>
      <c r="S1217" s="47" t="n">
        <f aca="false">R1217*L1217</f>
        <v>0</v>
      </c>
      <c r="T1217" s="47" t="n">
        <f aca="false">R1217*J1217</f>
        <v>0</v>
      </c>
      <c r="U1217" s="47" t="n">
        <f aca="false">R1217*K1217</f>
        <v>0</v>
      </c>
      <c r="V1217" s="0" t="str">
        <f aca="false">IF(COUNTIFS($A$2:A1217,A1217,$C$2:C1217,C1217,$D$2:D1217,D1217)&gt;1,"중복","")</f>
        <v/>
      </c>
      <c r="W1217" s="0" t="n">
        <f aca="false">IF(V1217="중복",0,N(D1217))</f>
        <v>180</v>
      </c>
      <c r="X1217" s="0" t="n">
        <f aca="false">IF(COUNTIFS($A$2:A1217,A1217,$C$2:C1217,C1217)=1,ABS(SUMIFS(RAW_발주!$D:$D,RAW_발주!$C:$C,A1217,RAW_발주!$A:$A,C1217)-SUMIFS($W:$W,$A:$A,A1217,$C:$C,C1217)),0)</f>
        <v>0</v>
      </c>
    </row>
    <row r="1218" customFormat="false" ht="15" hidden="false" customHeight="true" outlineLevel="0" collapsed="false">
      <c r="A1218" s="45" t="s">
        <v>1661</v>
      </c>
      <c r="B1218" s="42" t="str">
        <f aca="false">IF(A1218="100","HK",IF(A1218="200","CN",IF(A1218="300","TW","홀세일")))</f>
        <v>TW</v>
      </c>
      <c r="C1218" s="45" t="s">
        <v>1705</v>
      </c>
      <c r="D1218" s="46" t="n">
        <v>315</v>
      </c>
      <c r="E1218" s="46"/>
      <c r="F1218" s="46" t="n">
        <v>96500</v>
      </c>
      <c r="G1218" s="42" t="n">
        <v>0</v>
      </c>
      <c r="J1218" s="46" t="n">
        <f aca="false">IF(N(E1218)&gt;0,E1218,IF(N(F1218)&gt;0,F1218*요약!$F$27,0))</f>
        <v>386000</v>
      </c>
      <c r="K1218" s="46" t="n">
        <f aca="false">IF(N(F1218)&gt;0,F1218,IF(N(E1218)&gt;0,E1218/요약!$F$27,0))</f>
        <v>96500</v>
      </c>
      <c r="L1218" s="46" t="n">
        <f aca="false">IF(B1218="CN",IF(N(I1218)&gt;0,I1218*요약!$G$27,K1218*(1+요약!$E$27)),IF(N(H1218)&gt;0,H1218*요약!$G$27,J1218*요약!$D$27))</f>
        <v>127380</v>
      </c>
      <c r="M1218" s="46" t="n">
        <f aca="false">D1218*J1218</f>
        <v>121590000</v>
      </c>
      <c r="N1218" s="46" t="n">
        <f aca="false">D1218*K1218</f>
        <v>30397500</v>
      </c>
      <c r="O1218" s="46" t="n">
        <f aca="false">D1218*L1218</f>
        <v>40124700</v>
      </c>
      <c r="P1218" s="42" t="str">
        <f aca="false">TRIM(IF(N(E1218)&lt;=0,"택가보정 ","")&amp;IF(N(F1218)&lt;=0,"원가보정 ","")&amp;IF(AND(B1218&lt;&gt;"CN",N(H1218)&lt;=0),"공급가보정 ","")&amp;IF(AND(B1218="CN",N(I1218)&lt;=0),"중국공급가=원가+마진 ",""))</f>
        <v>택가보정 공급가보정</v>
      </c>
      <c r="Q1218" s="47" t="n">
        <f aca="false">IF(SUMIFS($W:$W,$A:$A,A1218,$C:$C,C1218)=0,0,SUMIFS(RAW_판매펀칭!$K:$K,RAW_판매펀칭!$P:$P,A1218,RAW_판매펀칭!$I:$I,C1218)*W1218/SUMIFS($W:$W,$A:$A,A1218,$C:$C,C1218))</f>
        <v>0</v>
      </c>
      <c r="R1218" s="47" t="n">
        <f aca="false">IF(OR(A1218="500",A1218="800",A1218="810"),0,MAX(W1218-Q1218,0))</f>
        <v>315</v>
      </c>
      <c r="S1218" s="47" t="n">
        <f aca="false">R1218*L1218</f>
        <v>40124700</v>
      </c>
      <c r="T1218" s="47" t="n">
        <f aca="false">R1218*J1218</f>
        <v>121590000</v>
      </c>
      <c r="U1218" s="47" t="n">
        <f aca="false">R1218*K1218</f>
        <v>30397500</v>
      </c>
      <c r="V1218" s="0" t="str">
        <f aca="false">IF(COUNTIFS($A$2:A1218,A1218,$C$2:C1218,C1218,$D$2:D1218,D1218)&gt;1,"중복","")</f>
        <v/>
      </c>
      <c r="W1218" s="0" t="n">
        <f aca="false">IF(V1218="중복",0,N(D1218))</f>
        <v>315</v>
      </c>
      <c r="X1218" s="0" t="n">
        <f aca="false">IF(COUNTIFS($A$2:A1218,A1218,$C$2:C1218,C1218)=1,ABS(SUMIFS(RAW_발주!$D:$D,RAW_발주!$C:$C,A1218,RAW_발주!$A:$A,C1218)-SUMIFS($W:$W,$A:$A,A1218,$C:$C,C1218)),0)</f>
        <v>0</v>
      </c>
    </row>
    <row r="1219" customFormat="false" ht="15" hidden="false" customHeight="true" outlineLevel="0" collapsed="false">
      <c r="A1219" s="45" t="s">
        <v>1659</v>
      </c>
      <c r="B1219" s="42" t="str">
        <f aca="false">IF(A1219="100","HK",IF(A1219="200","CN",IF(A1219="300","TW","홀세일")))</f>
        <v>HK</v>
      </c>
      <c r="C1219" s="45" t="s">
        <v>563</v>
      </c>
      <c r="D1219" s="46" t="n">
        <v>50</v>
      </c>
      <c r="E1219" s="46" t="n">
        <v>459000</v>
      </c>
      <c r="F1219" s="46" t="n">
        <v>114611</v>
      </c>
      <c r="G1219" s="42" t="n">
        <v>3.48</v>
      </c>
      <c r="H1219" s="42" t="n">
        <v>117.9</v>
      </c>
      <c r="I1219" s="42" t="n">
        <v>94.7</v>
      </c>
      <c r="J1219" s="46" t="n">
        <f aca="false">IF(N(E1219)&gt;0,E1219,IF(N(F1219)&gt;0,F1219*요약!$F$27,0))</f>
        <v>459000</v>
      </c>
      <c r="K1219" s="46" t="n">
        <f aca="false">IF(N(F1219)&gt;0,F1219,IF(N(E1219)&gt;0,E1219/요약!$F$27,0))</f>
        <v>114611</v>
      </c>
      <c r="L1219" s="46" t="n">
        <f aca="false">IF(B1219="CN",IF(N(I1219)&gt;0,I1219*요약!$G$27,K1219*(1+요약!$E$27)),IF(N(H1219)&gt;0,H1219*요약!$G$27,J1219*요약!$D$27))</f>
        <v>155628</v>
      </c>
      <c r="M1219" s="46" t="n">
        <f aca="false">D1219*J1219</f>
        <v>22950000</v>
      </c>
      <c r="N1219" s="46" t="n">
        <f aca="false">D1219*K1219</f>
        <v>5730550</v>
      </c>
      <c r="O1219" s="46" t="n">
        <f aca="false">D1219*L1219</f>
        <v>7781400</v>
      </c>
      <c r="P1219" s="42" t="str">
        <f aca="false">TRIM(IF(N(E1219)&lt;=0,"택가보정 ","")&amp;IF(N(F1219)&lt;=0,"원가보정 ","")&amp;IF(AND(B1219&lt;&gt;"CN",N(H1219)&lt;=0),"공급가보정 ","")&amp;IF(AND(B1219="CN",N(I1219)&lt;=0),"중국공급가=원가+마진 ",""))</f>
        <v/>
      </c>
      <c r="Q1219" s="47" t="n">
        <f aca="false">IF(SUMIFS($W:$W,$A:$A,A1219,$C:$C,C1219)=0,0,SUMIFS(RAW_판매펀칭!$K:$K,RAW_판매펀칭!$P:$P,A1219,RAW_판매펀칭!$I:$I,C1219)*W1219/SUMIFS($W:$W,$A:$A,A1219,$C:$C,C1219))</f>
        <v>50</v>
      </c>
      <c r="R1219" s="47" t="n">
        <f aca="false">IF(OR(A1219="500",A1219="800",A1219="810"),0,MAX(W1219-Q1219,0))</f>
        <v>0</v>
      </c>
      <c r="S1219" s="47" t="n">
        <f aca="false">R1219*L1219</f>
        <v>0</v>
      </c>
      <c r="T1219" s="47" t="n">
        <f aca="false">R1219*J1219</f>
        <v>0</v>
      </c>
      <c r="U1219" s="47" t="n">
        <f aca="false">R1219*K1219</f>
        <v>0</v>
      </c>
      <c r="V1219" s="0" t="str">
        <f aca="false">IF(COUNTIFS($A$2:A1219,A1219,$C$2:C1219,C1219,$D$2:D1219,D1219)&gt;1,"중복","")</f>
        <v/>
      </c>
      <c r="W1219" s="0" t="n">
        <f aca="false">IF(V1219="중복",0,N(D1219))</f>
        <v>50</v>
      </c>
      <c r="X1219" s="0" t="n">
        <f aca="false">IF(COUNTIFS($A$2:A1219,A1219,$C$2:C1219,C1219)=1,ABS(SUMIFS(RAW_발주!$D:$D,RAW_발주!$C:$C,A1219,RAW_발주!$A:$A,C1219)-SUMIFS($W:$W,$A:$A,A1219,$C:$C,C1219)),0)</f>
        <v>0</v>
      </c>
    </row>
    <row r="1220" customFormat="false" ht="15" hidden="false" customHeight="true" outlineLevel="0" collapsed="false">
      <c r="A1220" s="45" t="s">
        <v>1660</v>
      </c>
      <c r="B1220" s="42" t="str">
        <f aca="false">IF(A1220="100","HK",IF(A1220="200","CN",IF(A1220="300","TW","홀세일")))</f>
        <v>CN</v>
      </c>
      <c r="C1220" s="45" t="s">
        <v>563</v>
      </c>
      <c r="D1220" s="46" t="n">
        <v>62</v>
      </c>
      <c r="E1220" s="46" t="n">
        <v>459000</v>
      </c>
      <c r="F1220" s="46" t="n">
        <v>114611</v>
      </c>
      <c r="G1220" s="42" t="n">
        <v>3.48</v>
      </c>
      <c r="H1220" s="42" t="n">
        <v>117.9</v>
      </c>
      <c r="I1220" s="42" t="n">
        <v>94.7</v>
      </c>
      <c r="J1220" s="46" t="n">
        <f aca="false">IF(N(E1220)&gt;0,E1220,IF(N(F1220)&gt;0,F1220*요약!$F$27,0))</f>
        <v>459000</v>
      </c>
      <c r="K1220" s="46" t="n">
        <f aca="false">IF(N(F1220)&gt;0,F1220,IF(N(E1220)&gt;0,E1220/요약!$F$27,0))</f>
        <v>114611</v>
      </c>
      <c r="L1220" s="46" t="n">
        <f aca="false">IF(B1220="CN",IF(N(I1220)&gt;0,I1220*요약!$G$27,K1220*(1+요약!$E$27)),IF(N(H1220)&gt;0,H1220*요약!$G$27,J1220*요약!$D$27))</f>
        <v>125004</v>
      </c>
      <c r="M1220" s="46" t="n">
        <f aca="false">D1220*J1220</f>
        <v>28458000</v>
      </c>
      <c r="N1220" s="46" t="n">
        <f aca="false">D1220*K1220</f>
        <v>7105882</v>
      </c>
      <c r="O1220" s="46" t="n">
        <f aca="false">D1220*L1220</f>
        <v>7750248</v>
      </c>
      <c r="P1220" s="42" t="str">
        <f aca="false">TRIM(IF(N(E1220)&lt;=0,"택가보정 ","")&amp;IF(N(F1220)&lt;=0,"원가보정 ","")&amp;IF(AND(B1220&lt;&gt;"CN",N(H1220)&lt;=0),"공급가보정 ","")&amp;IF(AND(B1220="CN",N(I1220)&lt;=0),"중국공급가=원가+마진 ",""))</f>
        <v/>
      </c>
      <c r="Q1220" s="47" t="n">
        <f aca="false">IF(SUMIFS($W:$W,$A:$A,A1220,$C:$C,C1220)=0,0,SUMIFS(RAW_판매펀칭!$K:$K,RAW_판매펀칭!$P:$P,A1220,RAW_판매펀칭!$I:$I,C1220)*W1220/SUMIFS($W:$W,$A:$A,A1220,$C:$C,C1220))</f>
        <v>2</v>
      </c>
      <c r="R1220" s="47" t="n">
        <f aca="false">IF(OR(A1220="500",A1220="800",A1220="810"),0,MAX(W1220-Q1220,0))</f>
        <v>60</v>
      </c>
      <c r="S1220" s="47" t="n">
        <f aca="false">R1220*L1220</f>
        <v>7500240</v>
      </c>
      <c r="T1220" s="47" t="n">
        <f aca="false">R1220*J1220</f>
        <v>27540000</v>
      </c>
      <c r="U1220" s="47" t="n">
        <f aca="false">R1220*K1220</f>
        <v>6876660</v>
      </c>
      <c r="V1220" s="0" t="str">
        <f aca="false">IF(COUNTIFS($A$2:A1220,A1220,$C$2:C1220,C1220,$D$2:D1220,D1220)&gt;1,"중복","")</f>
        <v/>
      </c>
      <c r="W1220" s="0" t="n">
        <f aca="false">IF(V1220="중복",0,N(D1220))</f>
        <v>62</v>
      </c>
      <c r="X1220" s="0" t="n">
        <f aca="false">IF(COUNTIFS($A$2:A1220,A1220,$C$2:C1220,C1220)=1,ABS(SUMIFS(RAW_발주!$D:$D,RAW_발주!$C:$C,A1220,RAW_발주!$A:$A,C1220)-SUMIFS($W:$W,$A:$A,A1220,$C:$C,C1220)),0)</f>
        <v>0</v>
      </c>
    </row>
    <row r="1221" customFormat="false" ht="15" hidden="false" customHeight="true" outlineLevel="0" collapsed="false">
      <c r="A1221" s="45" t="s">
        <v>1661</v>
      </c>
      <c r="B1221" s="42" t="str">
        <f aca="false">IF(A1221="100","HK",IF(A1221="200","CN",IF(A1221="300","TW","홀세일")))</f>
        <v>TW</v>
      </c>
      <c r="C1221" s="45" t="s">
        <v>563</v>
      </c>
      <c r="D1221" s="46" t="n">
        <v>100</v>
      </c>
      <c r="E1221" s="46" t="n">
        <v>459000</v>
      </c>
      <c r="F1221" s="46" t="n">
        <v>114611</v>
      </c>
      <c r="G1221" s="42" t="n">
        <v>3.48</v>
      </c>
      <c r="H1221" s="42" t="n">
        <v>117.9</v>
      </c>
      <c r="I1221" s="42" t="n">
        <v>94.7</v>
      </c>
      <c r="J1221" s="46" t="n">
        <f aca="false">IF(N(E1221)&gt;0,E1221,IF(N(F1221)&gt;0,F1221*요약!$F$27,0))</f>
        <v>459000</v>
      </c>
      <c r="K1221" s="46" t="n">
        <f aca="false">IF(N(F1221)&gt;0,F1221,IF(N(E1221)&gt;0,E1221/요약!$F$27,0))</f>
        <v>114611</v>
      </c>
      <c r="L1221" s="46" t="n">
        <f aca="false">IF(B1221="CN",IF(N(I1221)&gt;0,I1221*요약!$G$27,K1221*(1+요약!$E$27)),IF(N(H1221)&gt;0,H1221*요약!$G$27,J1221*요약!$D$27))</f>
        <v>155628</v>
      </c>
      <c r="M1221" s="46" t="n">
        <f aca="false">D1221*J1221</f>
        <v>45900000</v>
      </c>
      <c r="N1221" s="46" t="n">
        <f aca="false">D1221*K1221</f>
        <v>11461100</v>
      </c>
      <c r="O1221" s="46" t="n">
        <f aca="false">D1221*L1221</f>
        <v>15562800</v>
      </c>
      <c r="P1221" s="42" t="str">
        <f aca="false">TRIM(IF(N(E1221)&lt;=0,"택가보정 ","")&amp;IF(N(F1221)&lt;=0,"원가보정 ","")&amp;IF(AND(B1221&lt;&gt;"CN",N(H1221)&lt;=0),"공급가보정 ","")&amp;IF(AND(B1221="CN",N(I1221)&lt;=0),"중국공급가=원가+마진 ",""))</f>
        <v/>
      </c>
      <c r="Q1221" s="47" t="n">
        <f aca="false">IF(SUMIFS($W:$W,$A:$A,A1221,$C:$C,C1221)=0,0,SUMIFS(RAW_판매펀칭!$K:$K,RAW_판매펀칭!$P:$P,A1221,RAW_판매펀칭!$I:$I,C1221)*W1221/SUMIFS($W:$W,$A:$A,A1221,$C:$C,C1221))</f>
        <v>100</v>
      </c>
      <c r="R1221" s="47" t="n">
        <f aca="false">IF(OR(A1221="500",A1221="800",A1221="810"),0,MAX(W1221-Q1221,0))</f>
        <v>0</v>
      </c>
      <c r="S1221" s="47" t="n">
        <f aca="false">R1221*L1221</f>
        <v>0</v>
      </c>
      <c r="T1221" s="47" t="n">
        <f aca="false">R1221*J1221</f>
        <v>0</v>
      </c>
      <c r="U1221" s="47" t="n">
        <f aca="false">R1221*K1221</f>
        <v>0</v>
      </c>
      <c r="V1221" s="0" t="str">
        <f aca="false">IF(COUNTIFS($A$2:A1221,A1221,$C$2:C1221,C1221,$D$2:D1221,D1221)&gt;1,"중복","")</f>
        <v/>
      </c>
      <c r="W1221" s="0" t="n">
        <f aca="false">IF(V1221="중복",0,N(D1221))</f>
        <v>100</v>
      </c>
      <c r="X1221" s="0" t="n">
        <f aca="false">IF(COUNTIFS($A$2:A1221,A1221,$C$2:C1221,C1221)=1,ABS(SUMIFS(RAW_발주!$D:$D,RAW_발주!$C:$C,A1221,RAW_발주!$A:$A,C1221)-SUMIFS($W:$W,$A:$A,A1221,$C:$C,C1221)),0)</f>
        <v>0</v>
      </c>
    </row>
    <row r="1222" customFormat="false" ht="15" hidden="false" customHeight="true" outlineLevel="0" collapsed="false">
      <c r="A1222" s="45" t="s">
        <v>1667</v>
      </c>
      <c r="B1222" s="42" t="str">
        <f aca="false">IF(A1222="100","HK",IF(A1222="200","CN",IF(A1222="300","TW","홀세일")))</f>
        <v>홀세일</v>
      </c>
      <c r="C1222" s="45" t="s">
        <v>563</v>
      </c>
      <c r="D1222" s="46" t="n">
        <v>50</v>
      </c>
      <c r="E1222" s="46" t="n">
        <v>459000</v>
      </c>
      <c r="F1222" s="46" t="n">
        <v>114611</v>
      </c>
      <c r="G1222" s="42" t="n">
        <v>3.48</v>
      </c>
      <c r="H1222" s="42" t="n">
        <v>117.9</v>
      </c>
      <c r="I1222" s="42" t="n">
        <v>94.7</v>
      </c>
      <c r="J1222" s="46" t="n">
        <f aca="false">IF(N(E1222)&gt;0,E1222,IF(N(F1222)&gt;0,F1222*요약!$F$27,0))</f>
        <v>459000</v>
      </c>
      <c r="K1222" s="46" t="n">
        <f aca="false">IF(N(F1222)&gt;0,F1222,IF(N(E1222)&gt;0,E1222/요약!$F$27,0))</f>
        <v>114611</v>
      </c>
      <c r="L1222" s="46" t="n">
        <f aca="false">IF(B1222="CN",IF(N(I1222)&gt;0,I1222*요약!$G$27,K1222*(1+요약!$E$27)),IF(N(H1222)&gt;0,H1222*요약!$G$27,J1222*요약!$D$27))</f>
        <v>155628</v>
      </c>
      <c r="M1222" s="46" t="n">
        <f aca="false">D1222*J1222</f>
        <v>22950000</v>
      </c>
      <c r="N1222" s="46" t="n">
        <f aca="false">D1222*K1222</f>
        <v>5730550</v>
      </c>
      <c r="O1222" s="46" t="n">
        <f aca="false">D1222*L1222</f>
        <v>7781400</v>
      </c>
      <c r="P1222" s="42" t="str">
        <f aca="false">TRIM(IF(N(E1222)&lt;=0,"택가보정 ","")&amp;IF(N(F1222)&lt;=0,"원가보정 ","")&amp;IF(AND(B1222&lt;&gt;"CN",N(H1222)&lt;=0),"공급가보정 ","")&amp;IF(AND(B1222="CN",N(I1222)&lt;=0),"중국공급가=원가+마진 ",""))</f>
        <v/>
      </c>
      <c r="Q1222" s="47" t="n">
        <f aca="false">IF(SUMIFS($W:$W,$A:$A,A1222,$C:$C,C1222)=0,0,SUMIFS(RAW_판매펀칭!$K:$K,RAW_판매펀칭!$P:$P,A1222,RAW_판매펀칭!$I:$I,C1222)*W1222/SUMIFS($W:$W,$A:$A,A1222,$C:$C,C1222))</f>
        <v>0</v>
      </c>
      <c r="R1222" s="47" t="n">
        <f aca="false">IF(OR(A1222="500",A1222="800",A1222="810"),0,MAX(W1222-Q1222,0))</f>
        <v>50</v>
      </c>
      <c r="S1222" s="47" t="n">
        <f aca="false">R1222*L1222</f>
        <v>7781400</v>
      </c>
      <c r="T1222" s="47" t="n">
        <f aca="false">R1222*J1222</f>
        <v>22950000</v>
      </c>
      <c r="U1222" s="47" t="n">
        <f aca="false">R1222*K1222</f>
        <v>5730550</v>
      </c>
      <c r="V1222" s="0" t="str">
        <f aca="false">IF(COUNTIFS($A$2:A1222,A1222,$C$2:C1222,C1222,$D$2:D1222,D1222)&gt;1,"중복","")</f>
        <v/>
      </c>
      <c r="W1222" s="0" t="n">
        <f aca="false">IF(V1222="중복",0,N(D1222))</f>
        <v>50</v>
      </c>
      <c r="X1222" s="0" t="n">
        <f aca="false">IF(COUNTIFS($A$2:A1222,A1222,$C$2:C1222,C1222)=1,ABS(SUMIFS(RAW_발주!$D:$D,RAW_발주!$C:$C,A1222,RAW_발주!$A:$A,C1222)-SUMIFS($W:$W,$A:$A,A1222,$C:$C,C1222)),0)</f>
        <v>0</v>
      </c>
    </row>
    <row r="1223" customFormat="false" ht="15" hidden="false" customHeight="true" outlineLevel="0" collapsed="false">
      <c r="A1223" s="45" t="s">
        <v>1659</v>
      </c>
      <c r="B1223" s="42" t="str">
        <f aca="false">IF(A1223="100","HK",IF(A1223="200","CN",IF(A1223="300","TW","홀세일")))</f>
        <v>HK</v>
      </c>
      <c r="C1223" s="45" t="s">
        <v>1095</v>
      </c>
      <c r="D1223" s="46" t="n">
        <v>60</v>
      </c>
      <c r="E1223" s="46" t="n">
        <v>299000</v>
      </c>
      <c r="F1223" s="46" t="n">
        <v>90600</v>
      </c>
      <c r="G1223" s="42" t="n">
        <v>3.13</v>
      </c>
      <c r="H1223" s="42" t="n">
        <v>76.8</v>
      </c>
      <c r="I1223" s="42" t="n">
        <v>69.9</v>
      </c>
      <c r="J1223" s="46" t="n">
        <f aca="false">IF(N(E1223)&gt;0,E1223,IF(N(F1223)&gt;0,F1223*요약!$F$27,0))</f>
        <v>299000</v>
      </c>
      <c r="K1223" s="46" t="n">
        <f aca="false">IF(N(F1223)&gt;0,F1223,IF(N(E1223)&gt;0,E1223/요약!$F$27,0))</f>
        <v>90600</v>
      </c>
      <c r="L1223" s="46" t="n">
        <f aca="false">IF(B1223="CN",IF(N(I1223)&gt;0,I1223*요약!$G$27,K1223*(1+요약!$E$27)),IF(N(H1223)&gt;0,H1223*요약!$G$27,J1223*요약!$D$27))</f>
        <v>101376</v>
      </c>
      <c r="M1223" s="46" t="n">
        <f aca="false">D1223*J1223</f>
        <v>17940000</v>
      </c>
      <c r="N1223" s="46" t="n">
        <f aca="false">D1223*K1223</f>
        <v>5436000</v>
      </c>
      <c r="O1223" s="46" t="n">
        <f aca="false">D1223*L1223</f>
        <v>6082560</v>
      </c>
      <c r="P1223" s="42" t="str">
        <f aca="false">TRIM(IF(N(E1223)&lt;=0,"택가보정 ","")&amp;IF(N(F1223)&lt;=0,"원가보정 ","")&amp;IF(AND(B1223&lt;&gt;"CN",N(H1223)&lt;=0),"공급가보정 ","")&amp;IF(AND(B1223="CN",N(I1223)&lt;=0),"중국공급가=원가+마진 ",""))</f>
        <v/>
      </c>
      <c r="Q1223" s="47" t="n">
        <f aca="false">IF(SUMIFS($W:$W,$A:$A,A1223,$C:$C,C1223)=0,0,SUMIFS(RAW_판매펀칭!$K:$K,RAW_판매펀칭!$P:$P,A1223,RAW_판매펀칭!$I:$I,C1223)*W1223/SUMIFS($W:$W,$A:$A,A1223,$C:$C,C1223))</f>
        <v>0</v>
      </c>
      <c r="R1223" s="47" t="n">
        <f aca="false">IF(OR(A1223="500",A1223="800",A1223="810"),0,MAX(W1223-Q1223,0))</f>
        <v>60</v>
      </c>
      <c r="S1223" s="47" t="n">
        <f aca="false">R1223*L1223</f>
        <v>6082560</v>
      </c>
      <c r="T1223" s="47" t="n">
        <f aca="false">R1223*J1223</f>
        <v>17940000</v>
      </c>
      <c r="U1223" s="47" t="n">
        <f aca="false">R1223*K1223</f>
        <v>5436000</v>
      </c>
      <c r="V1223" s="0" t="str">
        <f aca="false">IF(COUNTIFS($A$2:A1223,A1223,$C$2:C1223,C1223,$D$2:D1223,D1223)&gt;1,"중복","")</f>
        <v/>
      </c>
      <c r="W1223" s="0" t="n">
        <f aca="false">IF(V1223="중복",0,N(D1223))</f>
        <v>60</v>
      </c>
      <c r="X1223" s="0" t="n">
        <f aca="false">IF(COUNTIFS($A$2:A1223,A1223,$C$2:C1223,C1223)=1,ABS(SUMIFS(RAW_발주!$D:$D,RAW_발주!$C:$C,A1223,RAW_발주!$A:$A,C1223)-SUMIFS($W:$W,$A:$A,A1223,$C:$C,C1223)),0)</f>
        <v>0</v>
      </c>
    </row>
    <row r="1224" customFormat="false" ht="15" hidden="false" customHeight="true" outlineLevel="0" collapsed="false">
      <c r="A1224" s="45" t="s">
        <v>1660</v>
      </c>
      <c r="B1224" s="42" t="str">
        <f aca="false">IF(A1224="100","HK",IF(A1224="200","CN",IF(A1224="300","TW","홀세일")))</f>
        <v>CN</v>
      </c>
      <c r="C1224" s="45" t="s">
        <v>1095</v>
      </c>
      <c r="D1224" s="46" t="n">
        <v>204</v>
      </c>
      <c r="E1224" s="46" t="n">
        <v>299000</v>
      </c>
      <c r="F1224" s="46" t="n">
        <v>90600</v>
      </c>
      <c r="G1224" s="42" t="n">
        <v>3.13</v>
      </c>
      <c r="H1224" s="42" t="n">
        <v>76.8</v>
      </c>
      <c r="I1224" s="42" t="n">
        <v>69.9</v>
      </c>
      <c r="J1224" s="46" t="n">
        <f aca="false">IF(N(E1224)&gt;0,E1224,IF(N(F1224)&gt;0,F1224*요약!$F$27,0))</f>
        <v>299000</v>
      </c>
      <c r="K1224" s="46" t="n">
        <f aca="false">IF(N(F1224)&gt;0,F1224,IF(N(E1224)&gt;0,E1224/요약!$F$27,0))</f>
        <v>90600</v>
      </c>
      <c r="L1224" s="46" t="n">
        <f aca="false">IF(B1224="CN",IF(N(I1224)&gt;0,I1224*요약!$G$27,K1224*(1+요약!$E$27)),IF(N(H1224)&gt;0,H1224*요약!$G$27,J1224*요약!$D$27))</f>
        <v>92268</v>
      </c>
      <c r="M1224" s="46" t="n">
        <f aca="false">D1224*J1224</f>
        <v>60996000</v>
      </c>
      <c r="N1224" s="46" t="n">
        <f aca="false">D1224*K1224</f>
        <v>18482400</v>
      </c>
      <c r="O1224" s="46" t="n">
        <f aca="false">D1224*L1224</f>
        <v>18822672</v>
      </c>
      <c r="P1224" s="42" t="str">
        <f aca="false">TRIM(IF(N(E1224)&lt;=0,"택가보정 ","")&amp;IF(N(F1224)&lt;=0,"원가보정 ","")&amp;IF(AND(B1224&lt;&gt;"CN",N(H1224)&lt;=0),"공급가보정 ","")&amp;IF(AND(B1224="CN",N(I1224)&lt;=0),"중국공급가=원가+마진 ",""))</f>
        <v/>
      </c>
      <c r="Q1224" s="47" t="n">
        <f aca="false">IF(SUMIFS($W:$W,$A:$A,A1224,$C:$C,C1224)=0,0,SUMIFS(RAW_판매펀칭!$K:$K,RAW_판매펀칭!$P:$P,A1224,RAW_판매펀칭!$I:$I,C1224)*W1224/SUMIFS($W:$W,$A:$A,A1224,$C:$C,C1224))</f>
        <v>3</v>
      </c>
      <c r="R1224" s="47" t="n">
        <f aca="false">IF(OR(A1224="500",A1224="800",A1224="810"),0,MAX(W1224-Q1224,0))</f>
        <v>201</v>
      </c>
      <c r="S1224" s="47" t="n">
        <f aca="false">R1224*L1224</f>
        <v>18545868</v>
      </c>
      <c r="T1224" s="47" t="n">
        <f aca="false">R1224*J1224</f>
        <v>60099000</v>
      </c>
      <c r="U1224" s="47" t="n">
        <f aca="false">R1224*K1224</f>
        <v>18210600</v>
      </c>
      <c r="V1224" s="0" t="str">
        <f aca="false">IF(COUNTIFS($A$2:A1224,A1224,$C$2:C1224,C1224,$D$2:D1224,D1224)&gt;1,"중복","")</f>
        <v/>
      </c>
      <c r="W1224" s="0" t="n">
        <f aca="false">IF(V1224="중복",0,N(D1224))</f>
        <v>204</v>
      </c>
      <c r="X1224" s="0" t="n">
        <f aca="false">IF(COUNTIFS($A$2:A1224,A1224,$C$2:C1224,C1224)=1,ABS(SUMIFS(RAW_발주!$D:$D,RAW_발주!$C:$C,A1224,RAW_발주!$A:$A,C1224)-SUMIFS($W:$W,$A:$A,A1224,$C:$C,C1224)),0)</f>
        <v>0</v>
      </c>
    </row>
    <row r="1225" customFormat="false" ht="15" hidden="false" customHeight="true" outlineLevel="0" collapsed="false">
      <c r="A1225" s="45" t="s">
        <v>1661</v>
      </c>
      <c r="B1225" s="42" t="str">
        <f aca="false">IF(A1225="100","HK",IF(A1225="200","CN",IF(A1225="300","TW","홀세일")))</f>
        <v>TW</v>
      </c>
      <c r="C1225" s="45" t="s">
        <v>1095</v>
      </c>
      <c r="D1225" s="46" t="n">
        <v>120</v>
      </c>
      <c r="E1225" s="46" t="n">
        <v>299000</v>
      </c>
      <c r="F1225" s="46" t="n">
        <v>90600</v>
      </c>
      <c r="G1225" s="42" t="n">
        <v>3.13</v>
      </c>
      <c r="H1225" s="42" t="n">
        <v>76.8</v>
      </c>
      <c r="I1225" s="42" t="n">
        <v>69.9</v>
      </c>
      <c r="J1225" s="46" t="n">
        <f aca="false">IF(N(E1225)&gt;0,E1225,IF(N(F1225)&gt;0,F1225*요약!$F$27,0))</f>
        <v>299000</v>
      </c>
      <c r="K1225" s="46" t="n">
        <f aca="false">IF(N(F1225)&gt;0,F1225,IF(N(E1225)&gt;0,E1225/요약!$F$27,0))</f>
        <v>90600</v>
      </c>
      <c r="L1225" s="46" t="n">
        <f aca="false">IF(B1225="CN",IF(N(I1225)&gt;0,I1225*요약!$G$27,K1225*(1+요약!$E$27)),IF(N(H1225)&gt;0,H1225*요약!$G$27,J1225*요약!$D$27))</f>
        <v>101376</v>
      </c>
      <c r="M1225" s="46" t="n">
        <f aca="false">D1225*J1225</f>
        <v>35880000</v>
      </c>
      <c r="N1225" s="46" t="n">
        <f aca="false">D1225*K1225</f>
        <v>10872000</v>
      </c>
      <c r="O1225" s="46" t="n">
        <f aca="false">D1225*L1225</f>
        <v>12165120</v>
      </c>
      <c r="P1225" s="42" t="str">
        <f aca="false">TRIM(IF(N(E1225)&lt;=0,"택가보정 ","")&amp;IF(N(F1225)&lt;=0,"원가보정 ","")&amp;IF(AND(B1225&lt;&gt;"CN",N(H1225)&lt;=0),"공급가보정 ","")&amp;IF(AND(B1225="CN",N(I1225)&lt;=0),"중국공급가=원가+마진 ",""))</f>
        <v/>
      </c>
      <c r="Q1225" s="47" t="n">
        <f aca="false">IF(SUMIFS($W:$W,$A:$A,A1225,$C:$C,C1225)=0,0,SUMIFS(RAW_판매펀칭!$K:$K,RAW_판매펀칭!$P:$P,A1225,RAW_판매펀칭!$I:$I,C1225)*W1225/SUMIFS($W:$W,$A:$A,A1225,$C:$C,C1225))</f>
        <v>0</v>
      </c>
      <c r="R1225" s="47" t="n">
        <f aca="false">IF(OR(A1225="500",A1225="800",A1225="810"),0,MAX(W1225-Q1225,0))</f>
        <v>120</v>
      </c>
      <c r="S1225" s="47" t="n">
        <f aca="false">R1225*L1225</f>
        <v>12165120</v>
      </c>
      <c r="T1225" s="47" t="n">
        <f aca="false">R1225*J1225</f>
        <v>35880000</v>
      </c>
      <c r="U1225" s="47" t="n">
        <f aca="false">R1225*K1225</f>
        <v>10872000</v>
      </c>
      <c r="V1225" s="0" t="str">
        <f aca="false">IF(COUNTIFS($A$2:A1225,A1225,$C$2:C1225,C1225,$D$2:D1225,D1225)&gt;1,"중복","")</f>
        <v/>
      </c>
      <c r="W1225" s="0" t="n">
        <f aca="false">IF(V1225="중복",0,N(D1225))</f>
        <v>120</v>
      </c>
      <c r="X1225" s="0" t="n">
        <f aca="false">IF(COUNTIFS($A$2:A1225,A1225,$C$2:C1225,C1225)=1,ABS(SUMIFS(RAW_발주!$D:$D,RAW_발주!$C:$C,A1225,RAW_발주!$A:$A,C1225)-SUMIFS($W:$W,$A:$A,A1225,$C:$C,C1225)),0)</f>
        <v>0</v>
      </c>
    </row>
    <row r="1226" customFormat="false" ht="15" hidden="false" customHeight="true" outlineLevel="0" collapsed="false">
      <c r="A1226" s="45" t="s">
        <v>1659</v>
      </c>
      <c r="B1226" s="42" t="str">
        <f aca="false">IF(A1226="100","HK",IF(A1226="200","CN",IF(A1226="300","TW","홀세일")))</f>
        <v>HK</v>
      </c>
      <c r="C1226" s="45" t="s">
        <v>565</v>
      </c>
      <c r="D1226" s="46" t="n">
        <v>200</v>
      </c>
      <c r="E1226" s="46" t="n">
        <v>439000</v>
      </c>
      <c r="F1226" s="46" t="n">
        <v>103984</v>
      </c>
      <c r="G1226" s="42" t="n">
        <v>3.66</v>
      </c>
      <c r="H1226" s="42" t="n">
        <v>109.9</v>
      </c>
      <c r="I1226" s="42" t="n">
        <v>75.1</v>
      </c>
      <c r="J1226" s="46" t="n">
        <f aca="false">IF(N(E1226)&gt;0,E1226,IF(N(F1226)&gt;0,F1226*요약!$F$27,0))</f>
        <v>439000</v>
      </c>
      <c r="K1226" s="46" t="n">
        <f aca="false">IF(N(F1226)&gt;0,F1226,IF(N(E1226)&gt;0,E1226/요약!$F$27,0))</f>
        <v>103984</v>
      </c>
      <c r="L1226" s="46" t="n">
        <f aca="false">IF(B1226="CN",IF(N(I1226)&gt;0,I1226*요약!$G$27,K1226*(1+요약!$E$27)),IF(N(H1226)&gt;0,H1226*요약!$G$27,J1226*요약!$D$27))</f>
        <v>145068</v>
      </c>
      <c r="M1226" s="46" t="n">
        <f aca="false">D1226*J1226</f>
        <v>87800000</v>
      </c>
      <c r="N1226" s="46" t="n">
        <f aca="false">D1226*K1226</f>
        <v>20796800</v>
      </c>
      <c r="O1226" s="46" t="n">
        <f aca="false">D1226*L1226</f>
        <v>29013600</v>
      </c>
      <c r="P1226" s="42" t="str">
        <f aca="false">TRIM(IF(N(E1226)&lt;=0,"택가보정 ","")&amp;IF(N(F1226)&lt;=0,"원가보정 ","")&amp;IF(AND(B1226&lt;&gt;"CN",N(H1226)&lt;=0),"공급가보정 ","")&amp;IF(AND(B1226="CN",N(I1226)&lt;=0),"중국공급가=원가+마진 ",""))</f>
        <v/>
      </c>
      <c r="Q1226" s="47" t="n">
        <f aca="false">IF(SUMIFS($W:$W,$A:$A,A1226,$C:$C,C1226)=0,0,SUMIFS(RAW_판매펀칭!$K:$K,RAW_판매펀칭!$P:$P,A1226,RAW_판매펀칭!$I:$I,C1226)*W1226/SUMIFS($W:$W,$A:$A,A1226,$C:$C,C1226))</f>
        <v>0</v>
      </c>
      <c r="R1226" s="47" t="n">
        <f aca="false">IF(OR(A1226="500",A1226="800",A1226="810"),0,MAX(W1226-Q1226,0))</f>
        <v>200</v>
      </c>
      <c r="S1226" s="47" t="n">
        <f aca="false">R1226*L1226</f>
        <v>29013600</v>
      </c>
      <c r="T1226" s="47" t="n">
        <f aca="false">R1226*J1226</f>
        <v>87800000</v>
      </c>
      <c r="U1226" s="47" t="n">
        <f aca="false">R1226*K1226</f>
        <v>20796800</v>
      </c>
      <c r="V1226" s="0" t="str">
        <f aca="false">IF(COUNTIFS($A$2:A1226,A1226,$C$2:C1226,C1226,$D$2:D1226,D1226)&gt;1,"중복","")</f>
        <v/>
      </c>
      <c r="W1226" s="0" t="n">
        <f aca="false">IF(V1226="중복",0,N(D1226))</f>
        <v>200</v>
      </c>
      <c r="X1226" s="0" t="n">
        <f aca="false">IF(COUNTIFS($A$2:A1226,A1226,$C$2:C1226,C1226)=1,ABS(SUMIFS(RAW_발주!$D:$D,RAW_발주!$C:$C,A1226,RAW_발주!$A:$A,C1226)-SUMIFS($W:$W,$A:$A,A1226,$C:$C,C1226)),0)</f>
        <v>0</v>
      </c>
    </row>
    <row r="1227" customFormat="false" ht="15" hidden="false" customHeight="true" outlineLevel="0" collapsed="false">
      <c r="A1227" s="45" t="s">
        <v>1660</v>
      </c>
      <c r="B1227" s="42" t="str">
        <f aca="false">IF(A1227="100","HK",IF(A1227="200","CN",IF(A1227="300","TW","홀세일")))</f>
        <v>CN</v>
      </c>
      <c r="C1227" s="45" t="s">
        <v>565</v>
      </c>
      <c r="D1227" s="46" t="n">
        <v>462</v>
      </c>
      <c r="E1227" s="46" t="n">
        <v>439000</v>
      </c>
      <c r="F1227" s="46" t="n">
        <v>103984</v>
      </c>
      <c r="G1227" s="42" t="n">
        <v>3.66</v>
      </c>
      <c r="H1227" s="42" t="n">
        <v>109.9</v>
      </c>
      <c r="I1227" s="42" t="n">
        <v>75.1</v>
      </c>
      <c r="J1227" s="46" t="n">
        <f aca="false">IF(N(E1227)&gt;0,E1227,IF(N(F1227)&gt;0,F1227*요약!$F$27,0))</f>
        <v>439000</v>
      </c>
      <c r="K1227" s="46" t="n">
        <f aca="false">IF(N(F1227)&gt;0,F1227,IF(N(E1227)&gt;0,E1227/요약!$F$27,0))</f>
        <v>103984</v>
      </c>
      <c r="L1227" s="46" t="n">
        <f aca="false">IF(B1227="CN",IF(N(I1227)&gt;0,I1227*요약!$G$27,K1227*(1+요약!$E$27)),IF(N(H1227)&gt;0,H1227*요약!$G$27,J1227*요약!$D$27))</f>
        <v>99132</v>
      </c>
      <c r="M1227" s="46" t="n">
        <f aca="false">D1227*J1227</f>
        <v>202818000</v>
      </c>
      <c r="N1227" s="46" t="n">
        <f aca="false">D1227*K1227</f>
        <v>48040608</v>
      </c>
      <c r="O1227" s="46" t="n">
        <f aca="false">D1227*L1227</f>
        <v>45798984</v>
      </c>
      <c r="P1227" s="42" t="str">
        <f aca="false">TRIM(IF(N(E1227)&lt;=0,"택가보정 ","")&amp;IF(N(F1227)&lt;=0,"원가보정 ","")&amp;IF(AND(B1227&lt;&gt;"CN",N(H1227)&lt;=0),"공급가보정 ","")&amp;IF(AND(B1227="CN",N(I1227)&lt;=0),"중국공급가=원가+마진 ",""))</f>
        <v/>
      </c>
      <c r="Q1227" s="47" t="n">
        <f aca="false">IF(SUMIFS($W:$W,$A:$A,A1227,$C:$C,C1227)=0,0,SUMIFS(RAW_판매펀칭!$K:$K,RAW_판매펀칭!$P:$P,A1227,RAW_판매펀칭!$I:$I,C1227)*W1227/SUMIFS($W:$W,$A:$A,A1227,$C:$C,C1227))</f>
        <v>462</v>
      </c>
      <c r="R1227" s="47" t="n">
        <f aca="false">IF(OR(A1227="500",A1227="800",A1227="810"),0,MAX(W1227-Q1227,0))</f>
        <v>0</v>
      </c>
      <c r="S1227" s="47" t="n">
        <f aca="false">R1227*L1227</f>
        <v>0</v>
      </c>
      <c r="T1227" s="47" t="n">
        <f aca="false">R1227*J1227</f>
        <v>0</v>
      </c>
      <c r="U1227" s="47" t="n">
        <f aca="false">R1227*K1227</f>
        <v>0</v>
      </c>
      <c r="V1227" s="0" t="str">
        <f aca="false">IF(COUNTIFS($A$2:A1227,A1227,$C$2:C1227,C1227,$D$2:D1227,D1227)&gt;1,"중복","")</f>
        <v/>
      </c>
      <c r="W1227" s="0" t="n">
        <f aca="false">IF(V1227="중복",0,N(D1227))</f>
        <v>462</v>
      </c>
      <c r="X1227" s="0" t="n">
        <f aca="false">IF(COUNTIFS($A$2:A1227,A1227,$C$2:C1227,C1227)=1,ABS(SUMIFS(RAW_발주!$D:$D,RAW_발주!$C:$C,A1227,RAW_발주!$A:$A,C1227)-SUMIFS($W:$W,$A:$A,A1227,$C:$C,C1227)),0)</f>
        <v>0</v>
      </c>
    </row>
    <row r="1228" customFormat="false" ht="15" hidden="false" customHeight="true" outlineLevel="0" collapsed="false">
      <c r="A1228" s="45" t="s">
        <v>1661</v>
      </c>
      <c r="B1228" s="42" t="str">
        <f aca="false">IF(A1228="100","HK",IF(A1228="200","CN",IF(A1228="300","TW","홀세일")))</f>
        <v>TW</v>
      </c>
      <c r="C1228" s="45" t="s">
        <v>565</v>
      </c>
      <c r="D1228" s="46" t="n">
        <v>600</v>
      </c>
      <c r="E1228" s="46" t="n">
        <v>439000</v>
      </c>
      <c r="F1228" s="46" t="n">
        <v>103984</v>
      </c>
      <c r="G1228" s="42" t="n">
        <v>3.66</v>
      </c>
      <c r="H1228" s="42" t="n">
        <v>109.9</v>
      </c>
      <c r="I1228" s="42" t="n">
        <v>75.1</v>
      </c>
      <c r="J1228" s="46" t="n">
        <f aca="false">IF(N(E1228)&gt;0,E1228,IF(N(F1228)&gt;0,F1228*요약!$F$27,0))</f>
        <v>439000</v>
      </c>
      <c r="K1228" s="46" t="n">
        <f aca="false">IF(N(F1228)&gt;0,F1228,IF(N(E1228)&gt;0,E1228/요약!$F$27,0))</f>
        <v>103984</v>
      </c>
      <c r="L1228" s="46" t="n">
        <f aca="false">IF(B1228="CN",IF(N(I1228)&gt;0,I1228*요약!$G$27,K1228*(1+요약!$E$27)),IF(N(H1228)&gt;0,H1228*요약!$G$27,J1228*요약!$D$27))</f>
        <v>145068</v>
      </c>
      <c r="M1228" s="46" t="n">
        <f aca="false">D1228*J1228</f>
        <v>263400000</v>
      </c>
      <c r="N1228" s="46" t="n">
        <f aca="false">D1228*K1228</f>
        <v>62390400</v>
      </c>
      <c r="O1228" s="46" t="n">
        <f aca="false">D1228*L1228</f>
        <v>87040800</v>
      </c>
      <c r="P1228" s="42" t="str">
        <f aca="false">TRIM(IF(N(E1228)&lt;=0,"택가보정 ","")&amp;IF(N(F1228)&lt;=0,"원가보정 ","")&amp;IF(AND(B1228&lt;&gt;"CN",N(H1228)&lt;=0),"공급가보정 ","")&amp;IF(AND(B1228="CN",N(I1228)&lt;=0),"중국공급가=원가+마진 ",""))</f>
        <v/>
      </c>
      <c r="Q1228" s="47" t="n">
        <f aca="false">IF(SUMIFS($W:$W,$A:$A,A1228,$C:$C,C1228)=0,0,SUMIFS(RAW_판매펀칭!$K:$K,RAW_판매펀칭!$P:$P,A1228,RAW_판매펀칭!$I:$I,C1228)*W1228/SUMIFS($W:$W,$A:$A,A1228,$C:$C,C1228))</f>
        <v>600</v>
      </c>
      <c r="R1228" s="47" t="n">
        <f aca="false">IF(OR(A1228="500",A1228="800",A1228="810"),0,MAX(W1228-Q1228,0))</f>
        <v>0</v>
      </c>
      <c r="S1228" s="47" t="n">
        <f aca="false">R1228*L1228</f>
        <v>0</v>
      </c>
      <c r="T1228" s="47" t="n">
        <f aca="false">R1228*J1228</f>
        <v>0</v>
      </c>
      <c r="U1228" s="47" t="n">
        <f aca="false">R1228*K1228</f>
        <v>0</v>
      </c>
      <c r="V1228" s="0" t="str">
        <f aca="false">IF(COUNTIFS($A$2:A1228,A1228,$C$2:C1228,C1228,$D$2:D1228,D1228)&gt;1,"중복","")</f>
        <v/>
      </c>
      <c r="W1228" s="0" t="n">
        <f aca="false">IF(V1228="중복",0,N(D1228))</f>
        <v>600</v>
      </c>
      <c r="X1228" s="0" t="n">
        <f aca="false">IF(COUNTIFS($A$2:A1228,A1228,$C$2:C1228,C1228)=1,ABS(SUMIFS(RAW_발주!$D:$D,RAW_발주!$C:$C,A1228,RAW_발주!$A:$A,C1228)-SUMIFS($W:$W,$A:$A,A1228,$C:$C,C1228)),0)</f>
        <v>0</v>
      </c>
    </row>
    <row r="1229" customFormat="false" ht="15" hidden="false" customHeight="true" outlineLevel="0" collapsed="false">
      <c r="A1229" s="45" t="s">
        <v>1667</v>
      </c>
      <c r="B1229" s="42" t="str">
        <f aca="false">IF(A1229="100","HK",IF(A1229="200","CN",IF(A1229="300","TW","홀세일")))</f>
        <v>홀세일</v>
      </c>
      <c r="C1229" s="45" t="s">
        <v>565</v>
      </c>
      <c r="D1229" s="46" t="n">
        <v>112</v>
      </c>
      <c r="E1229" s="46" t="n">
        <v>439000</v>
      </c>
      <c r="F1229" s="46" t="n">
        <v>103984</v>
      </c>
      <c r="G1229" s="42" t="n">
        <v>3.66</v>
      </c>
      <c r="H1229" s="42" t="n">
        <v>109.9</v>
      </c>
      <c r="I1229" s="42" t="n">
        <v>75.1</v>
      </c>
      <c r="J1229" s="46" t="n">
        <f aca="false">IF(N(E1229)&gt;0,E1229,IF(N(F1229)&gt;0,F1229*요약!$F$27,0))</f>
        <v>439000</v>
      </c>
      <c r="K1229" s="46" t="n">
        <f aca="false">IF(N(F1229)&gt;0,F1229,IF(N(E1229)&gt;0,E1229/요약!$F$27,0))</f>
        <v>103984</v>
      </c>
      <c r="L1229" s="46" t="n">
        <f aca="false">IF(B1229="CN",IF(N(I1229)&gt;0,I1229*요약!$G$27,K1229*(1+요약!$E$27)),IF(N(H1229)&gt;0,H1229*요약!$G$27,J1229*요약!$D$27))</f>
        <v>145068</v>
      </c>
      <c r="M1229" s="46" t="n">
        <f aca="false">D1229*J1229</f>
        <v>49168000</v>
      </c>
      <c r="N1229" s="46" t="n">
        <f aca="false">D1229*K1229</f>
        <v>11646208</v>
      </c>
      <c r="O1229" s="46" t="n">
        <f aca="false">D1229*L1229</f>
        <v>16247616</v>
      </c>
      <c r="P1229" s="42" t="str">
        <f aca="false">TRIM(IF(N(E1229)&lt;=0,"택가보정 ","")&amp;IF(N(F1229)&lt;=0,"원가보정 ","")&amp;IF(AND(B1229&lt;&gt;"CN",N(H1229)&lt;=0),"공급가보정 ","")&amp;IF(AND(B1229="CN",N(I1229)&lt;=0),"중국공급가=원가+마진 ",""))</f>
        <v/>
      </c>
      <c r="Q1229" s="47" t="n">
        <f aca="false">IF(SUMIFS($W:$W,$A:$A,A1229,$C:$C,C1229)=0,0,SUMIFS(RAW_판매펀칭!$K:$K,RAW_판매펀칭!$P:$P,A1229,RAW_판매펀칭!$I:$I,C1229)*W1229/SUMIFS($W:$W,$A:$A,A1229,$C:$C,C1229))</f>
        <v>110</v>
      </c>
      <c r="R1229" s="47" t="n">
        <f aca="false">IF(OR(A1229="500",A1229="800",A1229="810"),0,MAX(W1229-Q1229,0))</f>
        <v>2</v>
      </c>
      <c r="S1229" s="47" t="n">
        <f aca="false">R1229*L1229</f>
        <v>290136</v>
      </c>
      <c r="T1229" s="47" t="n">
        <f aca="false">R1229*J1229</f>
        <v>878000</v>
      </c>
      <c r="U1229" s="47" t="n">
        <f aca="false">R1229*K1229</f>
        <v>207968</v>
      </c>
      <c r="V1229" s="0" t="str">
        <f aca="false">IF(COUNTIFS($A$2:A1229,A1229,$C$2:C1229,C1229,$D$2:D1229,D1229)&gt;1,"중복","")</f>
        <v/>
      </c>
      <c r="W1229" s="0" t="n">
        <f aca="false">IF(V1229="중복",0,N(D1229))</f>
        <v>112</v>
      </c>
      <c r="X1229" s="0" t="n">
        <f aca="false">IF(COUNTIFS($A$2:A1229,A1229,$C$2:C1229,C1229)=1,ABS(SUMIFS(RAW_발주!$D:$D,RAW_발주!$C:$C,A1229,RAW_발주!$A:$A,C1229)-SUMIFS($W:$W,$A:$A,A1229,$C:$C,C1229)),0)</f>
        <v>0</v>
      </c>
    </row>
    <row r="1230" customFormat="false" ht="15.75" hidden="false" customHeight="true" outlineLevel="0" collapsed="false">
      <c r="A1230" s="45" t="s">
        <v>1660</v>
      </c>
      <c r="B1230" s="42" t="str">
        <f aca="false">IF(A1230="100","HK",IF(A1230="200","CN",IF(A1230="300","TW","홀세일")))</f>
        <v>CN</v>
      </c>
      <c r="C1230" s="45" t="s">
        <v>1706</v>
      </c>
      <c r="D1230" s="46" t="n">
        <v>120</v>
      </c>
      <c r="E1230" s="46" t="n">
        <v>399000</v>
      </c>
      <c r="F1230" s="46" t="n">
        <v>90400</v>
      </c>
      <c r="G1230" s="42" t="n">
        <v>4.01</v>
      </c>
      <c r="H1230" s="42" t="n">
        <v>102.5</v>
      </c>
      <c r="I1230" s="42" t="n">
        <v>0</v>
      </c>
      <c r="J1230" s="46" t="n">
        <f aca="false">IF(N(E1230)&gt;0,E1230,IF(N(F1230)&gt;0,F1230*요약!$F$27,0))</f>
        <v>399000</v>
      </c>
      <c r="K1230" s="46" t="n">
        <f aca="false">IF(N(F1230)&gt;0,F1230,IF(N(E1230)&gt;0,E1230/요약!$F$27,0))</f>
        <v>90400</v>
      </c>
      <c r="L1230" s="46" t="n">
        <f aca="false">IF(B1230="CN",IF(N(I1230)&gt;0,I1230*요약!$G$27,K1230*(1+요약!$E$27)),IF(N(H1230)&gt;0,H1230*요약!$G$27,J1230*요약!$D$27))</f>
        <v>94920</v>
      </c>
      <c r="M1230" s="46" t="n">
        <f aca="false">D1230*J1230</f>
        <v>47880000</v>
      </c>
      <c r="N1230" s="46" t="n">
        <f aca="false">D1230*K1230</f>
        <v>10848000</v>
      </c>
      <c r="O1230" s="46" t="n">
        <f aca="false">D1230*L1230</f>
        <v>11390400</v>
      </c>
      <c r="P1230" s="42" t="str">
        <f aca="false">TRIM(IF(N(E1230)&lt;=0,"택가보정 ","")&amp;IF(N(F1230)&lt;=0,"원가보정 ","")&amp;IF(AND(B1230&lt;&gt;"CN",N(H1230)&lt;=0),"공급가보정 ","")&amp;IF(AND(B1230="CN",N(I1230)&lt;=0),"중국공급가=원가+마진 ",""))</f>
        <v>중국공급가=원가+마진</v>
      </c>
      <c r="Q1230" s="47" t="n">
        <f aca="false">IF(SUMIFS($W:$W,$A:$A,A1230,$C:$C,C1230)=0,0,SUMIFS(RAW_판매펀칭!$K:$K,RAW_판매펀칭!$P:$P,A1230,RAW_판매펀칭!$I:$I,C1230)*W1230/SUMIFS($W:$W,$A:$A,A1230,$C:$C,C1230))</f>
        <v>0</v>
      </c>
      <c r="R1230" s="47" t="n">
        <f aca="false">IF(OR(A1230="500",A1230="800",A1230="810"),0,MAX(W1230-Q1230,0))</f>
        <v>120</v>
      </c>
      <c r="S1230" s="47" t="n">
        <f aca="false">R1230*L1230</f>
        <v>11390400</v>
      </c>
      <c r="T1230" s="47" t="n">
        <f aca="false">R1230*J1230</f>
        <v>47880000</v>
      </c>
      <c r="U1230" s="47" t="n">
        <f aca="false">R1230*K1230</f>
        <v>10848000</v>
      </c>
      <c r="V1230" s="0" t="str">
        <f aca="false">IF(COUNTIFS($A$2:A1230,A1230,$C$2:C1230,C1230,$D$2:D1230,D1230)&gt;1,"중복","")</f>
        <v/>
      </c>
      <c r="W1230" s="0" t="n">
        <f aca="false">IF(V1230="중복",0,N(D1230))</f>
        <v>120</v>
      </c>
      <c r="X1230" s="0" t="n">
        <f aca="false">IF(COUNTIFS($A$2:A1230,A1230,$C$2:C1230,C1230)=1,ABS(SUMIFS(RAW_발주!$D:$D,RAW_발주!$C:$C,A1230,RAW_발주!$A:$A,C1230)-SUMIFS($W:$W,$A:$A,A1230,$C:$C,C1230)),0)</f>
        <v>0</v>
      </c>
    </row>
    <row r="1231" customFormat="false" ht="15" hidden="false" customHeight="true" outlineLevel="0" collapsed="false">
      <c r="A1231" s="45" t="s">
        <v>1661</v>
      </c>
      <c r="B1231" s="42" t="str">
        <f aca="false">IF(A1231="100","HK",IF(A1231="200","CN",IF(A1231="300","TW","홀세일")))</f>
        <v>TW</v>
      </c>
      <c r="C1231" s="45" t="s">
        <v>1706</v>
      </c>
      <c r="D1231" s="46" t="n">
        <v>450</v>
      </c>
      <c r="E1231" s="46" t="n">
        <v>399000</v>
      </c>
      <c r="F1231" s="46" t="n">
        <v>90400</v>
      </c>
      <c r="G1231" s="42" t="n">
        <v>4.01</v>
      </c>
      <c r="H1231" s="42" t="n">
        <v>102.5</v>
      </c>
      <c r="I1231" s="42" t="n">
        <v>0</v>
      </c>
      <c r="J1231" s="46" t="n">
        <f aca="false">IF(N(E1231)&gt;0,E1231,IF(N(F1231)&gt;0,F1231*요약!$F$27,0))</f>
        <v>399000</v>
      </c>
      <c r="K1231" s="46" t="n">
        <f aca="false">IF(N(F1231)&gt;0,F1231,IF(N(E1231)&gt;0,E1231/요약!$F$27,0))</f>
        <v>90400</v>
      </c>
      <c r="L1231" s="46" t="n">
        <f aca="false">IF(B1231="CN",IF(N(I1231)&gt;0,I1231*요약!$G$27,K1231*(1+요약!$E$27)),IF(N(H1231)&gt;0,H1231*요약!$G$27,J1231*요약!$D$27))</f>
        <v>135300</v>
      </c>
      <c r="M1231" s="46" t="n">
        <f aca="false">D1231*J1231</f>
        <v>179550000</v>
      </c>
      <c r="N1231" s="46" t="n">
        <f aca="false">D1231*K1231</f>
        <v>40680000</v>
      </c>
      <c r="O1231" s="46" t="n">
        <f aca="false">D1231*L1231</f>
        <v>60885000</v>
      </c>
      <c r="P1231" s="42" t="str">
        <f aca="false">TRIM(IF(N(E1231)&lt;=0,"택가보정 ","")&amp;IF(N(F1231)&lt;=0,"원가보정 ","")&amp;IF(AND(B1231&lt;&gt;"CN",N(H1231)&lt;=0),"공급가보정 ","")&amp;IF(AND(B1231="CN",N(I1231)&lt;=0),"중국공급가=원가+마진 ",""))</f>
        <v/>
      </c>
      <c r="Q1231" s="47" t="n">
        <f aca="false">IF(SUMIFS($W:$W,$A:$A,A1231,$C:$C,C1231)=0,0,SUMIFS(RAW_판매펀칭!$K:$K,RAW_판매펀칭!$P:$P,A1231,RAW_판매펀칭!$I:$I,C1231)*W1231/SUMIFS($W:$W,$A:$A,A1231,$C:$C,C1231))</f>
        <v>0</v>
      </c>
      <c r="R1231" s="47" t="n">
        <f aca="false">IF(OR(A1231="500",A1231="800",A1231="810"),0,MAX(W1231-Q1231,0))</f>
        <v>450</v>
      </c>
      <c r="S1231" s="47" t="n">
        <f aca="false">R1231*L1231</f>
        <v>60885000</v>
      </c>
      <c r="T1231" s="47" t="n">
        <f aca="false">R1231*J1231</f>
        <v>179550000</v>
      </c>
      <c r="U1231" s="47" t="n">
        <f aca="false">R1231*K1231</f>
        <v>40680000</v>
      </c>
      <c r="V1231" s="0" t="str">
        <f aca="false">IF(COUNTIFS($A$2:A1231,A1231,$C$2:C1231,C1231,$D$2:D1231,D1231)&gt;1,"중복","")</f>
        <v/>
      </c>
      <c r="W1231" s="0" t="n">
        <f aca="false">IF(V1231="중복",0,N(D1231))</f>
        <v>450</v>
      </c>
      <c r="X1231" s="0" t="n">
        <f aca="false">IF(COUNTIFS($A$2:A1231,A1231,$C$2:C1231,C1231)=1,ABS(SUMIFS(RAW_발주!$D:$D,RAW_발주!$C:$C,A1231,RAW_발주!$A:$A,C1231)-SUMIFS($W:$W,$A:$A,A1231,$C:$C,C1231)),0)</f>
        <v>0</v>
      </c>
    </row>
    <row r="1232" customFormat="false" ht="15" hidden="false" customHeight="true" outlineLevel="0" collapsed="false">
      <c r="A1232" s="45" t="s">
        <v>1662</v>
      </c>
      <c r="B1232" s="42" t="str">
        <f aca="false">IF(A1232="100","HK",IF(A1232="200","CN",IF(A1232="300","TW","홀세일")))</f>
        <v>홀세일</v>
      </c>
      <c r="C1232" s="45" t="s">
        <v>1706</v>
      </c>
      <c r="D1232" s="46" t="n">
        <v>20</v>
      </c>
      <c r="E1232" s="46" t="n">
        <v>399000</v>
      </c>
      <c r="F1232" s="46" t="n">
        <v>90400</v>
      </c>
      <c r="G1232" s="42" t="n">
        <v>4.01</v>
      </c>
      <c r="H1232" s="42" t="n">
        <v>102.5</v>
      </c>
      <c r="I1232" s="42" t="n">
        <v>0</v>
      </c>
      <c r="J1232" s="46" t="n">
        <f aca="false">IF(N(E1232)&gt;0,E1232,IF(N(F1232)&gt;0,F1232*요약!$F$27,0))</f>
        <v>399000</v>
      </c>
      <c r="K1232" s="46" t="n">
        <f aca="false">IF(N(F1232)&gt;0,F1232,IF(N(E1232)&gt;0,E1232/요약!$F$27,0))</f>
        <v>90400</v>
      </c>
      <c r="L1232" s="46" t="n">
        <f aca="false">IF(B1232="CN",IF(N(I1232)&gt;0,I1232*요약!$G$27,K1232*(1+요약!$E$27)),IF(N(H1232)&gt;0,H1232*요약!$G$27,J1232*요약!$D$27))</f>
        <v>135300</v>
      </c>
      <c r="M1232" s="46" t="n">
        <f aca="false">D1232*J1232</f>
        <v>7980000</v>
      </c>
      <c r="N1232" s="46" t="n">
        <f aca="false">D1232*K1232</f>
        <v>1808000</v>
      </c>
      <c r="O1232" s="46" t="n">
        <f aca="false">D1232*L1232</f>
        <v>2706000</v>
      </c>
      <c r="P1232" s="42" t="str">
        <f aca="false">TRIM(IF(N(E1232)&lt;=0,"택가보정 ","")&amp;IF(N(F1232)&lt;=0,"원가보정 ","")&amp;IF(AND(B1232&lt;&gt;"CN",N(H1232)&lt;=0),"공급가보정 ","")&amp;IF(AND(B1232="CN",N(I1232)&lt;=0),"중국공급가=원가+마진 ",""))</f>
        <v/>
      </c>
      <c r="Q1232" s="47" t="n">
        <f aca="false">IF(SUMIFS($W:$W,$A:$A,A1232,$C:$C,C1232)=0,0,SUMIFS(RAW_판매펀칭!$K:$K,RAW_판매펀칭!$P:$P,A1232,RAW_판매펀칭!$I:$I,C1232)*W1232/SUMIFS($W:$W,$A:$A,A1232,$C:$C,C1232))</f>
        <v>0</v>
      </c>
      <c r="R1232" s="47" t="n">
        <f aca="false">IF(OR(A1232="500",A1232="800",A1232="810"),0,MAX(W1232-Q1232,0))</f>
        <v>0</v>
      </c>
      <c r="S1232" s="47" t="n">
        <f aca="false">R1232*L1232</f>
        <v>0</v>
      </c>
      <c r="T1232" s="47" t="n">
        <f aca="false">R1232*J1232</f>
        <v>0</v>
      </c>
      <c r="U1232" s="47" t="n">
        <f aca="false">R1232*K1232</f>
        <v>0</v>
      </c>
      <c r="V1232" s="0" t="str">
        <f aca="false">IF(COUNTIFS($A$2:A1232,A1232,$C$2:C1232,C1232,$D$2:D1232,D1232)&gt;1,"중복","")</f>
        <v/>
      </c>
      <c r="W1232" s="0" t="n">
        <f aca="false">IF(V1232="중복",0,N(D1232))</f>
        <v>20</v>
      </c>
      <c r="X1232" s="0" t="n">
        <f aca="false">IF(COUNTIFS($A$2:A1232,A1232,$C$2:C1232,C1232)=1,ABS(SUMIFS(RAW_발주!$D:$D,RAW_발주!$C:$C,A1232,RAW_발주!$A:$A,C1232)-SUMIFS($W:$W,$A:$A,A1232,$C:$C,C1232)),0)</f>
        <v>0</v>
      </c>
    </row>
    <row r="1233" customFormat="false" ht="15" hidden="false" customHeight="true" outlineLevel="0" collapsed="false">
      <c r="A1233" s="45" t="s">
        <v>1659</v>
      </c>
      <c r="B1233" s="42" t="str">
        <f aca="false">IF(A1233="100","HK",IF(A1233="200","CN",IF(A1233="300","TW","홀세일")))</f>
        <v>HK</v>
      </c>
      <c r="C1233" s="45" t="s">
        <v>567</v>
      </c>
      <c r="D1233" s="46" t="n">
        <v>200</v>
      </c>
      <c r="E1233" s="46" t="n">
        <v>379000</v>
      </c>
      <c r="F1233" s="46" t="n">
        <v>57807</v>
      </c>
      <c r="G1233" s="42" t="n">
        <v>4.18</v>
      </c>
      <c r="H1233" s="42" t="n">
        <v>94.9</v>
      </c>
      <c r="I1233" s="42" t="n">
        <v>0</v>
      </c>
      <c r="J1233" s="46" t="n">
        <f aca="false">IF(N(E1233)&gt;0,E1233,IF(N(F1233)&gt;0,F1233*요약!$F$27,0))</f>
        <v>379000</v>
      </c>
      <c r="K1233" s="46" t="n">
        <f aca="false">IF(N(F1233)&gt;0,F1233,IF(N(E1233)&gt;0,E1233/요약!$F$27,0))</f>
        <v>57807</v>
      </c>
      <c r="L1233" s="46" t="n">
        <f aca="false">IF(B1233="CN",IF(N(I1233)&gt;0,I1233*요약!$G$27,K1233*(1+요약!$E$27)),IF(N(H1233)&gt;0,H1233*요약!$G$27,J1233*요약!$D$27))</f>
        <v>125268</v>
      </c>
      <c r="M1233" s="46" t="n">
        <f aca="false">D1233*J1233</f>
        <v>75800000</v>
      </c>
      <c r="N1233" s="46" t="n">
        <f aca="false">D1233*K1233</f>
        <v>11561400</v>
      </c>
      <c r="O1233" s="46" t="n">
        <f aca="false">D1233*L1233</f>
        <v>25053600</v>
      </c>
      <c r="P1233" s="42" t="str">
        <f aca="false">TRIM(IF(N(E1233)&lt;=0,"택가보정 ","")&amp;IF(N(F1233)&lt;=0,"원가보정 ","")&amp;IF(AND(B1233&lt;&gt;"CN",N(H1233)&lt;=0),"공급가보정 ","")&amp;IF(AND(B1233="CN",N(I1233)&lt;=0),"중국공급가=원가+마진 ",""))</f>
        <v/>
      </c>
      <c r="Q1233" s="47" t="n">
        <f aca="false">IF(SUMIFS($W:$W,$A:$A,A1233,$C:$C,C1233)=0,0,SUMIFS(RAW_판매펀칭!$K:$K,RAW_판매펀칭!$P:$P,A1233,RAW_판매펀칭!$I:$I,C1233)*W1233/SUMIFS($W:$W,$A:$A,A1233,$C:$C,C1233))</f>
        <v>200</v>
      </c>
      <c r="R1233" s="47" t="n">
        <f aca="false">IF(OR(A1233="500",A1233="800",A1233="810"),0,MAX(W1233-Q1233,0))</f>
        <v>0</v>
      </c>
      <c r="S1233" s="47" t="n">
        <f aca="false">R1233*L1233</f>
        <v>0</v>
      </c>
      <c r="T1233" s="47" t="n">
        <f aca="false">R1233*J1233</f>
        <v>0</v>
      </c>
      <c r="U1233" s="47" t="n">
        <f aca="false">R1233*K1233</f>
        <v>0</v>
      </c>
      <c r="V1233" s="0" t="str">
        <f aca="false">IF(COUNTIFS($A$2:A1233,A1233,$C$2:C1233,C1233,$D$2:D1233,D1233)&gt;1,"중복","")</f>
        <v/>
      </c>
      <c r="W1233" s="0" t="n">
        <f aca="false">IF(V1233="중복",0,N(D1233))</f>
        <v>200</v>
      </c>
      <c r="X1233" s="0" t="n">
        <f aca="false">IF(COUNTIFS($A$2:A1233,A1233,$C$2:C1233,C1233)=1,ABS(SUMIFS(RAW_발주!$D:$D,RAW_발주!$C:$C,A1233,RAW_발주!$A:$A,C1233)-SUMIFS($W:$W,$A:$A,A1233,$C:$C,C1233)),0)</f>
        <v>0</v>
      </c>
    </row>
    <row r="1234" customFormat="false" ht="15" hidden="false" customHeight="true" outlineLevel="0" collapsed="false">
      <c r="A1234" s="45" t="s">
        <v>1661</v>
      </c>
      <c r="B1234" s="42" t="str">
        <f aca="false">IF(A1234="100","HK",IF(A1234="200","CN",IF(A1234="300","TW","홀세일")))</f>
        <v>TW</v>
      </c>
      <c r="C1234" s="45" t="s">
        <v>567</v>
      </c>
      <c r="D1234" s="46" t="n">
        <v>350</v>
      </c>
      <c r="E1234" s="46" t="n">
        <v>379000</v>
      </c>
      <c r="F1234" s="46" t="n">
        <v>57807</v>
      </c>
      <c r="G1234" s="42" t="n">
        <v>4.18</v>
      </c>
      <c r="H1234" s="42" t="n">
        <v>94.9</v>
      </c>
      <c r="I1234" s="42" t="n">
        <v>0</v>
      </c>
      <c r="J1234" s="46" t="n">
        <f aca="false">IF(N(E1234)&gt;0,E1234,IF(N(F1234)&gt;0,F1234*요약!$F$27,0))</f>
        <v>379000</v>
      </c>
      <c r="K1234" s="46" t="n">
        <f aca="false">IF(N(F1234)&gt;0,F1234,IF(N(E1234)&gt;0,E1234/요약!$F$27,0))</f>
        <v>57807</v>
      </c>
      <c r="L1234" s="46" t="n">
        <f aca="false">IF(B1234="CN",IF(N(I1234)&gt;0,I1234*요약!$G$27,K1234*(1+요약!$E$27)),IF(N(H1234)&gt;0,H1234*요약!$G$27,J1234*요약!$D$27))</f>
        <v>125268</v>
      </c>
      <c r="M1234" s="46" t="n">
        <f aca="false">D1234*J1234</f>
        <v>132650000</v>
      </c>
      <c r="N1234" s="46" t="n">
        <f aca="false">D1234*K1234</f>
        <v>20232450</v>
      </c>
      <c r="O1234" s="46" t="n">
        <f aca="false">D1234*L1234</f>
        <v>43843800</v>
      </c>
      <c r="P1234" s="42" t="str">
        <f aca="false">TRIM(IF(N(E1234)&lt;=0,"택가보정 ","")&amp;IF(N(F1234)&lt;=0,"원가보정 ","")&amp;IF(AND(B1234&lt;&gt;"CN",N(H1234)&lt;=0),"공급가보정 ","")&amp;IF(AND(B1234="CN",N(I1234)&lt;=0),"중국공급가=원가+마진 ",""))</f>
        <v/>
      </c>
      <c r="Q1234" s="47" t="n">
        <f aca="false">IF(SUMIFS($W:$W,$A:$A,A1234,$C:$C,C1234)=0,0,SUMIFS(RAW_판매펀칭!$K:$K,RAW_판매펀칭!$P:$P,A1234,RAW_판매펀칭!$I:$I,C1234)*W1234/SUMIFS($W:$W,$A:$A,A1234,$C:$C,C1234))</f>
        <v>350</v>
      </c>
      <c r="R1234" s="47" t="n">
        <f aca="false">IF(OR(A1234="500",A1234="800",A1234="810"),0,MAX(W1234-Q1234,0))</f>
        <v>0</v>
      </c>
      <c r="S1234" s="47" t="n">
        <f aca="false">R1234*L1234</f>
        <v>0</v>
      </c>
      <c r="T1234" s="47" t="n">
        <f aca="false">R1234*J1234</f>
        <v>0</v>
      </c>
      <c r="U1234" s="47" t="n">
        <f aca="false">R1234*K1234</f>
        <v>0</v>
      </c>
      <c r="V1234" s="0" t="str">
        <f aca="false">IF(COUNTIFS($A$2:A1234,A1234,$C$2:C1234,C1234,$D$2:D1234,D1234)&gt;1,"중복","")</f>
        <v/>
      </c>
      <c r="W1234" s="0" t="n">
        <f aca="false">IF(V1234="중복",0,N(D1234))</f>
        <v>350</v>
      </c>
      <c r="X1234" s="0" t="n">
        <f aca="false">IF(COUNTIFS($A$2:A1234,A1234,$C$2:C1234,C1234)=1,ABS(SUMIFS(RAW_발주!$D:$D,RAW_발주!$C:$C,A1234,RAW_발주!$A:$A,C1234)-SUMIFS($W:$W,$A:$A,A1234,$C:$C,C1234)),0)</f>
        <v>0</v>
      </c>
    </row>
    <row r="1235" customFormat="false" ht="15" hidden="false" customHeight="true" outlineLevel="0" collapsed="false">
      <c r="A1235" s="45" t="s">
        <v>1659</v>
      </c>
      <c r="B1235" s="42" t="str">
        <f aca="false">IF(A1235="100","HK",IF(A1235="200","CN",IF(A1235="300","TW","홀세일")))</f>
        <v>HK</v>
      </c>
      <c r="C1235" s="45" t="s">
        <v>944</v>
      </c>
      <c r="D1235" s="46" t="n">
        <v>240</v>
      </c>
      <c r="E1235" s="46" t="n">
        <v>199000</v>
      </c>
      <c r="F1235" s="46" t="n">
        <v>54869</v>
      </c>
      <c r="G1235" s="42" t="n">
        <v>2.93</v>
      </c>
      <c r="H1235" s="42" t="n">
        <v>49.8</v>
      </c>
      <c r="I1235" s="42" t="n">
        <v>0</v>
      </c>
      <c r="J1235" s="46" t="n">
        <f aca="false">IF(N(E1235)&gt;0,E1235,IF(N(F1235)&gt;0,F1235*요약!$F$27,0))</f>
        <v>199000</v>
      </c>
      <c r="K1235" s="46" t="n">
        <f aca="false">IF(N(F1235)&gt;0,F1235,IF(N(E1235)&gt;0,E1235/요약!$F$27,0))</f>
        <v>54869</v>
      </c>
      <c r="L1235" s="46" t="n">
        <f aca="false">IF(B1235="CN",IF(N(I1235)&gt;0,I1235*요약!$G$27,K1235*(1+요약!$E$27)),IF(N(H1235)&gt;0,H1235*요약!$G$27,J1235*요약!$D$27))</f>
        <v>65736</v>
      </c>
      <c r="M1235" s="46" t="n">
        <f aca="false">D1235*J1235</f>
        <v>47760000</v>
      </c>
      <c r="N1235" s="46" t="n">
        <f aca="false">D1235*K1235</f>
        <v>13168560</v>
      </c>
      <c r="O1235" s="46" t="n">
        <f aca="false">D1235*L1235</f>
        <v>15776640</v>
      </c>
      <c r="P1235" s="42" t="str">
        <f aca="false">TRIM(IF(N(E1235)&lt;=0,"택가보정 ","")&amp;IF(N(F1235)&lt;=0,"원가보정 ","")&amp;IF(AND(B1235&lt;&gt;"CN",N(H1235)&lt;=0),"공급가보정 ","")&amp;IF(AND(B1235="CN",N(I1235)&lt;=0),"중국공급가=원가+마진 ",""))</f>
        <v/>
      </c>
      <c r="Q1235" s="47" t="n">
        <f aca="false">IF(SUMIFS($W:$W,$A:$A,A1235,$C:$C,C1235)=0,0,SUMIFS(RAW_판매펀칭!$K:$K,RAW_판매펀칭!$P:$P,A1235,RAW_판매펀칭!$I:$I,C1235)*W1235/SUMIFS($W:$W,$A:$A,A1235,$C:$C,C1235))</f>
        <v>240</v>
      </c>
      <c r="R1235" s="47" t="n">
        <f aca="false">IF(OR(A1235="500",A1235="800",A1235="810"),0,MAX(W1235-Q1235,0))</f>
        <v>0</v>
      </c>
      <c r="S1235" s="47" t="n">
        <f aca="false">R1235*L1235</f>
        <v>0</v>
      </c>
      <c r="T1235" s="47" t="n">
        <f aca="false">R1235*J1235</f>
        <v>0</v>
      </c>
      <c r="U1235" s="47" t="n">
        <f aca="false">R1235*K1235</f>
        <v>0</v>
      </c>
      <c r="V1235" s="0" t="str">
        <f aca="false">IF(COUNTIFS($A$2:A1235,A1235,$C$2:C1235,C1235,$D$2:D1235,D1235)&gt;1,"중복","")</f>
        <v/>
      </c>
      <c r="W1235" s="0" t="n">
        <f aca="false">IF(V1235="중복",0,N(D1235))</f>
        <v>240</v>
      </c>
      <c r="X1235" s="0" t="n">
        <f aca="false">IF(COUNTIFS($A$2:A1235,A1235,$C$2:C1235,C1235)=1,ABS(SUMIFS(RAW_발주!$D:$D,RAW_발주!$C:$C,A1235,RAW_발주!$A:$A,C1235)-SUMIFS($W:$W,$A:$A,A1235,$C:$C,C1235)),0)</f>
        <v>0</v>
      </c>
    </row>
    <row r="1236" customFormat="false" ht="15" hidden="false" customHeight="true" outlineLevel="0" collapsed="false">
      <c r="A1236" s="45" t="s">
        <v>1659</v>
      </c>
      <c r="B1236" s="42" t="str">
        <f aca="false">IF(A1236="100","HK",IF(A1236="200","CN",IF(A1236="300","TW","홀세일")))</f>
        <v>HK</v>
      </c>
      <c r="C1236" s="45" t="s">
        <v>1707</v>
      </c>
      <c r="D1236" s="46" t="n">
        <v>130</v>
      </c>
      <c r="E1236" s="46" t="n">
        <v>359000</v>
      </c>
      <c r="F1236" s="46" t="n">
        <v>101900</v>
      </c>
      <c r="G1236" s="42" t="n">
        <v>3.2</v>
      </c>
      <c r="H1236" s="42" t="n">
        <v>92.2</v>
      </c>
      <c r="I1236" s="42" t="n">
        <v>0</v>
      </c>
      <c r="J1236" s="46" t="n">
        <f aca="false">IF(N(E1236)&gt;0,E1236,IF(N(F1236)&gt;0,F1236*요약!$F$27,0))</f>
        <v>359000</v>
      </c>
      <c r="K1236" s="46" t="n">
        <f aca="false">IF(N(F1236)&gt;0,F1236,IF(N(E1236)&gt;0,E1236/요약!$F$27,0))</f>
        <v>101900</v>
      </c>
      <c r="L1236" s="46" t="n">
        <f aca="false">IF(B1236="CN",IF(N(I1236)&gt;0,I1236*요약!$G$27,K1236*(1+요약!$E$27)),IF(N(H1236)&gt;0,H1236*요약!$G$27,J1236*요약!$D$27))</f>
        <v>121704</v>
      </c>
      <c r="M1236" s="46" t="n">
        <f aca="false">D1236*J1236</f>
        <v>46670000</v>
      </c>
      <c r="N1236" s="46" t="n">
        <f aca="false">D1236*K1236</f>
        <v>13247000</v>
      </c>
      <c r="O1236" s="46" t="n">
        <f aca="false">D1236*L1236</f>
        <v>15821520</v>
      </c>
      <c r="P1236" s="42" t="str">
        <f aca="false">TRIM(IF(N(E1236)&lt;=0,"택가보정 ","")&amp;IF(N(F1236)&lt;=0,"원가보정 ","")&amp;IF(AND(B1236&lt;&gt;"CN",N(H1236)&lt;=0),"공급가보정 ","")&amp;IF(AND(B1236="CN",N(I1236)&lt;=0),"중국공급가=원가+마진 ",""))</f>
        <v/>
      </c>
      <c r="Q1236" s="47" t="n">
        <f aca="false">IF(SUMIFS($W:$W,$A:$A,A1236,$C:$C,C1236)=0,0,SUMIFS(RAW_판매펀칭!$K:$K,RAW_판매펀칭!$P:$P,A1236,RAW_판매펀칭!$I:$I,C1236)*W1236/SUMIFS($W:$W,$A:$A,A1236,$C:$C,C1236))</f>
        <v>0</v>
      </c>
      <c r="R1236" s="47" t="n">
        <f aca="false">IF(OR(A1236="500",A1236="800",A1236="810"),0,MAX(W1236-Q1236,0))</f>
        <v>130</v>
      </c>
      <c r="S1236" s="47" t="n">
        <f aca="false">R1236*L1236</f>
        <v>15821520</v>
      </c>
      <c r="T1236" s="47" t="n">
        <f aca="false">R1236*J1236</f>
        <v>46670000</v>
      </c>
      <c r="U1236" s="47" t="n">
        <f aca="false">R1236*K1236</f>
        <v>13247000</v>
      </c>
      <c r="V1236" s="0" t="str">
        <f aca="false">IF(COUNTIFS($A$2:A1236,A1236,$C$2:C1236,C1236,$D$2:D1236,D1236)&gt;1,"중복","")</f>
        <v/>
      </c>
      <c r="W1236" s="0" t="n">
        <f aca="false">IF(V1236="중복",0,N(D1236))</f>
        <v>130</v>
      </c>
      <c r="X1236" s="0" t="n">
        <f aca="false">IF(COUNTIFS($A$2:A1236,A1236,$C$2:C1236,C1236)=1,ABS(SUMIFS(RAW_발주!$D:$D,RAW_발주!$C:$C,A1236,RAW_발주!$A:$A,C1236)-SUMIFS($W:$W,$A:$A,A1236,$C:$C,C1236)),0)</f>
        <v>0</v>
      </c>
    </row>
    <row r="1237" customFormat="false" ht="15" hidden="false" customHeight="true" outlineLevel="0" collapsed="false">
      <c r="A1237" s="45" t="s">
        <v>1659</v>
      </c>
      <c r="B1237" s="42" t="str">
        <f aca="false">IF(A1237="100","HK",IF(A1237="200","CN",IF(A1237="300","TW","홀세일")))</f>
        <v>HK</v>
      </c>
      <c r="C1237" s="45" t="s">
        <v>1707</v>
      </c>
      <c r="D1237" s="46" t="n">
        <v>130</v>
      </c>
      <c r="E1237" s="46" t="n">
        <v>359000</v>
      </c>
      <c r="F1237" s="46" t="n">
        <v>101900</v>
      </c>
      <c r="G1237" s="42" t="n">
        <v>3.2</v>
      </c>
      <c r="H1237" s="42" t="n">
        <v>92.2</v>
      </c>
      <c r="I1237" s="42" t="n">
        <v>0</v>
      </c>
      <c r="J1237" s="46" t="n">
        <f aca="false">IF(N(E1237)&gt;0,E1237,IF(N(F1237)&gt;0,F1237*요약!$F$27,0))</f>
        <v>359000</v>
      </c>
      <c r="K1237" s="46" t="n">
        <f aca="false">IF(N(F1237)&gt;0,F1237,IF(N(E1237)&gt;0,E1237/요약!$F$27,0))</f>
        <v>101900</v>
      </c>
      <c r="L1237" s="46" t="n">
        <f aca="false">IF(B1237="CN",IF(N(I1237)&gt;0,I1237*요약!$G$27,K1237*(1+요약!$E$27)),IF(N(H1237)&gt;0,H1237*요약!$G$27,J1237*요약!$D$27))</f>
        <v>121704</v>
      </c>
      <c r="M1237" s="46" t="n">
        <f aca="false">D1237*J1237</f>
        <v>46670000</v>
      </c>
      <c r="N1237" s="46" t="n">
        <f aca="false">D1237*K1237</f>
        <v>13247000</v>
      </c>
      <c r="O1237" s="46" t="n">
        <f aca="false">D1237*L1237</f>
        <v>15821520</v>
      </c>
      <c r="P1237" s="42" t="str">
        <f aca="false">TRIM(IF(N(E1237)&lt;=0,"택가보정 ","")&amp;IF(N(F1237)&lt;=0,"원가보정 ","")&amp;IF(AND(B1237&lt;&gt;"CN",N(H1237)&lt;=0),"공급가보정 ","")&amp;IF(AND(B1237="CN",N(I1237)&lt;=0),"중국공급가=원가+마진 ",""))</f>
        <v/>
      </c>
      <c r="Q1237" s="47" t="n">
        <f aca="false">IF(SUMIFS($W:$W,$A:$A,A1237,$C:$C,C1237)=0,0,SUMIFS(RAW_판매펀칭!$K:$K,RAW_판매펀칭!$P:$P,A1237,RAW_판매펀칭!$I:$I,C1237)*W1237/SUMIFS($W:$W,$A:$A,A1237,$C:$C,C1237))</f>
        <v>0</v>
      </c>
      <c r="R1237" s="47" t="n">
        <f aca="false">IF(OR(A1237="500",A1237="800",A1237="810"),0,MAX(W1237-Q1237,0))</f>
        <v>0</v>
      </c>
      <c r="S1237" s="47" t="n">
        <f aca="false">R1237*L1237</f>
        <v>0</v>
      </c>
      <c r="T1237" s="47" t="n">
        <f aca="false">R1237*J1237</f>
        <v>0</v>
      </c>
      <c r="U1237" s="47" t="n">
        <f aca="false">R1237*K1237</f>
        <v>0</v>
      </c>
      <c r="V1237" s="0" t="str">
        <f aca="false">IF(COUNTIFS($A$2:A1237,A1237,$C$2:C1237,C1237,$D$2:D1237,D1237)&gt;1,"중복","")</f>
        <v>중복</v>
      </c>
      <c r="W1237" s="0" t="n">
        <f aca="false">IF(V1237="중복",0,N(D1237))</f>
        <v>0</v>
      </c>
      <c r="X1237" s="0" t="n">
        <f aca="false">IF(COUNTIFS($A$2:A1237,A1237,$C$2:C1237,C1237)=1,ABS(SUMIFS(RAW_발주!$D:$D,RAW_발주!$C:$C,A1237,RAW_발주!$A:$A,C1237)-SUMIFS($W:$W,$A:$A,A1237,$C:$C,C1237)),0)</f>
        <v>0</v>
      </c>
    </row>
    <row r="1238" customFormat="false" ht="15" hidden="false" customHeight="true" outlineLevel="0" collapsed="false">
      <c r="A1238" s="45" t="s">
        <v>1659</v>
      </c>
      <c r="B1238" s="42" t="str">
        <f aca="false">IF(A1238="100","HK",IF(A1238="200","CN",IF(A1238="300","TW","홀세일")))</f>
        <v>HK</v>
      </c>
      <c r="C1238" s="45" t="s">
        <v>1708</v>
      </c>
      <c r="D1238" s="46" t="n">
        <v>160</v>
      </c>
      <c r="E1238" s="46" t="n">
        <v>690000</v>
      </c>
      <c r="F1238" s="46" t="n">
        <v>168300</v>
      </c>
      <c r="G1238" s="42" t="n">
        <v>3.61</v>
      </c>
      <c r="H1238" s="42" t="n">
        <v>172.7</v>
      </c>
      <c r="I1238" s="42" t="n">
        <v>0</v>
      </c>
      <c r="J1238" s="46" t="n">
        <f aca="false">IF(N(E1238)&gt;0,E1238,IF(N(F1238)&gt;0,F1238*요약!$F$27,0))</f>
        <v>690000</v>
      </c>
      <c r="K1238" s="46" t="n">
        <f aca="false">IF(N(F1238)&gt;0,F1238,IF(N(E1238)&gt;0,E1238/요약!$F$27,0))</f>
        <v>168300</v>
      </c>
      <c r="L1238" s="46" t="n">
        <f aca="false">IF(B1238="CN",IF(N(I1238)&gt;0,I1238*요약!$G$27,K1238*(1+요약!$E$27)),IF(N(H1238)&gt;0,H1238*요약!$G$27,J1238*요약!$D$27))</f>
        <v>227964</v>
      </c>
      <c r="M1238" s="46" t="n">
        <f aca="false">D1238*J1238</f>
        <v>110400000</v>
      </c>
      <c r="N1238" s="46" t="n">
        <f aca="false">D1238*K1238</f>
        <v>26928000</v>
      </c>
      <c r="O1238" s="46" t="n">
        <f aca="false">D1238*L1238</f>
        <v>36474240</v>
      </c>
      <c r="P1238" s="42" t="str">
        <f aca="false">TRIM(IF(N(E1238)&lt;=0,"택가보정 ","")&amp;IF(N(F1238)&lt;=0,"원가보정 ","")&amp;IF(AND(B1238&lt;&gt;"CN",N(H1238)&lt;=0),"공급가보정 ","")&amp;IF(AND(B1238="CN",N(I1238)&lt;=0),"중국공급가=원가+마진 ",""))</f>
        <v/>
      </c>
      <c r="Q1238" s="47" t="n">
        <f aca="false">IF(SUMIFS($W:$W,$A:$A,A1238,$C:$C,C1238)=0,0,SUMIFS(RAW_판매펀칭!$K:$K,RAW_판매펀칭!$P:$P,A1238,RAW_판매펀칭!$I:$I,C1238)*W1238/SUMIFS($W:$W,$A:$A,A1238,$C:$C,C1238))</f>
        <v>0</v>
      </c>
      <c r="R1238" s="47" t="n">
        <f aca="false">IF(OR(A1238="500",A1238="800",A1238="810"),0,MAX(W1238-Q1238,0))</f>
        <v>160</v>
      </c>
      <c r="S1238" s="47" t="n">
        <f aca="false">R1238*L1238</f>
        <v>36474240</v>
      </c>
      <c r="T1238" s="47" t="n">
        <f aca="false">R1238*J1238</f>
        <v>110400000</v>
      </c>
      <c r="U1238" s="47" t="n">
        <f aca="false">R1238*K1238</f>
        <v>26928000</v>
      </c>
      <c r="V1238" s="0" t="str">
        <f aca="false">IF(COUNTIFS($A$2:A1238,A1238,$C$2:C1238,C1238,$D$2:D1238,D1238)&gt;1,"중복","")</f>
        <v/>
      </c>
      <c r="W1238" s="0" t="n">
        <f aca="false">IF(V1238="중복",0,N(D1238))</f>
        <v>160</v>
      </c>
      <c r="X1238" s="0" t="n">
        <f aca="false">IF(COUNTIFS($A$2:A1238,A1238,$C$2:C1238,C1238)=1,ABS(SUMIFS(RAW_발주!$D:$D,RAW_발주!$C:$C,A1238,RAW_발주!$A:$A,C1238)-SUMIFS($W:$W,$A:$A,A1238,$C:$C,C1238)),0)</f>
        <v>0</v>
      </c>
    </row>
    <row r="1239" customFormat="false" ht="15" hidden="false" customHeight="true" outlineLevel="0" collapsed="false">
      <c r="A1239" s="45" t="s">
        <v>1661</v>
      </c>
      <c r="B1239" s="42" t="str">
        <f aca="false">IF(A1239="100","HK",IF(A1239="200","CN",IF(A1239="300","TW","홀세일")))</f>
        <v>TW</v>
      </c>
      <c r="C1239" s="45" t="s">
        <v>1708</v>
      </c>
      <c r="D1239" s="46" t="n">
        <v>170</v>
      </c>
      <c r="E1239" s="46" t="n">
        <v>690000</v>
      </c>
      <c r="F1239" s="46" t="n">
        <v>168300</v>
      </c>
      <c r="G1239" s="42" t="n">
        <v>3.61</v>
      </c>
      <c r="H1239" s="42" t="n">
        <v>172.7</v>
      </c>
      <c r="I1239" s="42" t="n">
        <v>0</v>
      </c>
      <c r="J1239" s="46" t="n">
        <f aca="false">IF(N(E1239)&gt;0,E1239,IF(N(F1239)&gt;0,F1239*요약!$F$27,0))</f>
        <v>690000</v>
      </c>
      <c r="K1239" s="46" t="n">
        <f aca="false">IF(N(F1239)&gt;0,F1239,IF(N(E1239)&gt;0,E1239/요약!$F$27,0))</f>
        <v>168300</v>
      </c>
      <c r="L1239" s="46" t="n">
        <f aca="false">IF(B1239="CN",IF(N(I1239)&gt;0,I1239*요약!$G$27,K1239*(1+요약!$E$27)),IF(N(H1239)&gt;0,H1239*요약!$G$27,J1239*요약!$D$27))</f>
        <v>227964</v>
      </c>
      <c r="M1239" s="46" t="n">
        <f aca="false">D1239*J1239</f>
        <v>117300000</v>
      </c>
      <c r="N1239" s="46" t="n">
        <f aca="false">D1239*K1239</f>
        <v>28611000</v>
      </c>
      <c r="O1239" s="46" t="n">
        <f aca="false">D1239*L1239</f>
        <v>38753880</v>
      </c>
      <c r="P1239" s="42" t="str">
        <f aca="false">TRIM(IF(N(E1239)&lt;=0,"택가보정 ","")&amp;IF(N(F1239)&lt;=0,"원가보정 ","")&amp;IF(AND(B1239&lt;&gt;"CN",N(H1239)&lt;=0),"공급가보정 ","")&amp;IF(AND(B1239="CN",N(I1239)&lt;=0),"중국공급가=원가+마진 ",""))</f>
        <v/>
      </c>
      <c r="Q1239" s="47" t="n">
        <f aca="false">IF(SUMIFS($W:$W,$A:$A,A1239,$C:$C,C1239)=0,0,SUMIFS(RAW_판매펀칭!$K:$K,RAW_판매펀칭!$P:$P,A1239,RAW_판매펀칭!$I:$I,C1239)*W1239/SUMIFS($W:$W,$A:$A,A1239,$C:$C,C1239))</f>
        <v>0</v>
      </c>
      <c r="R1239" s="47" t="n">
        <f aca="false">IF(OR(A1239="500",A1239="800",A1239="810"),0,MAX(W1239-Q1239,0))</f>
        <v>170</v>
      </c>
      <c r="S1239" s="47" t="n">
        <f aca="false">R1239*L1239</f>
        <v>38753880</v>
      </c>
      <c r="T1239" s="47" t="n">
        <f aca="false">R1239*J1239</f>
        <v>117300000</v>
      </c>
      <c r="U1239" s="47" t="n">
        <f aca="false">R1239*K1239</f>
        <v>28611000</v>
      </c>
      <c r="V1239" s="0" t="str">
        <f aca="false">IF(COUNTIFS($A$2:A1239,A1239,$C$2:C1239,C1239,$D$2:D1239,D1239)&gt;1,"중복","")</f>
        <v/>
      </c>
      <c r="W1239" s="0" t="n">
        <f aca="false">IF(V1239="중복",0,N(D1239))</f>
        <v>170</v>
      </c>
      <c r="X1239" s="0" t="n">
        <f aca="false">IF(COUNTIFS($A$2:A1239,A1239,$C$2:C1239,C1239)=1,ABS(SUMIFS(RAW_발주!$D:$D,RAW_발주!$C:$C,A1239,RAW_발주!$A:$A,C1239)-SUMIFS($W:$W,$A:$A,A1239,$C:$C,C1239)),0)</f>
        <v>0</v>
      </c>
    </row>
    <row r="1240" customFormat="false" ht="15" hidden="false" customHeight="true" outlineLevel="0" collapsed="false">
      <c r="A1240" s="45" t="s">
        <v>1659</v>
      </c>
      <c r="B1240" s="42" t="str">
        <f aca="false">IF(A1240="100","HK",IF(A1240="200","CN",IF(A1240="300","TW","홀세일")))</f>
        <v>HK</v>
      </c>
      <c r="C1240" s="45" t="s">
        <v>1709</v>
      </c>
      <c r="D1240" s="46" t="n">
        <v>175</v>
      </c>
      <c r="E1240" s="46" t="n">
        <v>790000</v>
      </c>
      <c r="F1240" s="46" t="n">
        <v>196800</v>
      </c>
      <c r="G1240" s="42" t="n">
        <v>3.5</v>
      </c>
      <c r="H1240" s="42" t="n">
        <v>197.7</v>
      </c>
      <c r="I1240" s="42" t="n">
        <v>0</v>
      </c>
      <c r="J1240" s="46" t="n">
        <f aca="false">IF(N(E1240)&gt;0,E1240,IF(N(F1240)&gt;0,F1240*요약!$F$27,0))</f>
        <v>790000</v>
      </c>
      <c r="K1240" s="46" t="n">
        <f aca="false">IF(N(F1240)&gt;0,F1240,IF(N(E1240)&gt;0,E1240/요약!$F$27,0))</f>
        <v>196800</v>
      </c>
      <c r="L1240" s="46" t="n">
        <f aca="false">IF(B1240="CN",IF(N(I1240)&gt;0,I1240*요약!$G$27,K1240*(1+요약!$E$27)),IF(N(H1240)&gt;0,H1240*요약!$G$27,J1240*요약!$D$27))</f>
        <v>260964</v>
      </c>
      <c r="M1240" s="46" t="n">
        <f aca="false">D1240*J1240</f>
        <v>138250000</v>
      </c>
      <c r="N1240" s="46" t="n">
        <f aca="false">D1240*K1240</f>
        <v>34440000</v>
      </c>
      <c r="O1240" s="46" t="n">
        <f aca="false">D1240*L1240</f>
        <v>45668700</v>
      </c>
      <c r="P1240" s="42" t="str">
        <f aca="false">TRIM(IF(N(E1240)&lt;=0,"택가보정 ","")&amp;IF(N(F1240)&lt;=0,"원가보정 ","")&amp;IF(AND(B1240&lt;&gt;"CN",N(H1240)&lt;=0),"공급가보정 ","")&amp;IF(AND(B1240="CN",N(I1240)&lt;=0),"중국공급가=원가+마진 ",""))</f>
        <v/>
      </c>
      <c r="Q1240" s="47" t="n">
        <f aca="false">IF(SUMIFS($W:$W,$A:$A,A1240,$C:$C,C1240)=0,0,SUMIFS(RAW_판매펀칭!$K:$K,RAW_판매펀칭!$P:$P,A1240,RAW_판매펀칭!$I:$I,C1240)*W1240/SUMIFS($W:$W,$A:$A,A1240,$C:$C,C1240))</f>
        <v>0</v>
      </c>
      <c r="R1240" s="47" t="n">
        <f aca="false">IF(OR(A1240="500",A1240="800",A1240="810"),0,MAX(W1240-Q1240,0))</f>
        <v>175</v>
      </c>
      <c r="S1240" s="47" t="n">
        <f aca="false">R1240*L1240</f>
        <v>45668700</v>
      </c>
      <c r="T1240" s="47" t="n">
        <f aca="false">R1240*J1240</f>
        <v>138250000</v>
      </c>
      <c r="U1240" s="47" t="n">
        <f aca="false">R1240*K1240</f>
        <v>34440000</v>
      </c>
      <c r="V1240" s="0" t="str">
        <f aca="false">IF(COUNTIFS($A$2:A1240,A1240,$C$2:C1240,C1240,$D$2:D1240,D1240)&gt;1,"중복","")</f>
        <v/>
      </c>
      <c r="W1240" s="0" t="n">
        <f aca="false">IF(V1240="중복",0,N(D1240))</f>
        <v>175</v>
      </c>
      <c r="X1240" s="0" t="n">
        <f aca="false">IF(COUNTIFS($A$2:A1240,A1240,$C$2:C1240,C1240)=1,ABS(SUMIFS(RAW_발주!$D:$D,RAW_발주!$C:$C,A1240,RAW_발주!$A:$A,C1240)-SUMIFS($W:$W,$A:$A,A1240,$C:$C,C1240)),0)</f>
        <v>0</v>
      </c>
    </row>
    <row r="1241" customFormat="false" ht="15" hidden="false" customHeight="true" outlineLevel="0" collapsed="false">
      <c r="A1241" s="45" t="s">
        <v>1663</v>
      </c>
      <c r="B1241" s="42" t="str">
        <f aca="false">IF(A1241="100","HK",IF(A1241="200","CN",IF(A1241="300","TW","홀세일")))</f>
        <v>홀세일</v>
      </c>
      <c r="C1241" s="45" t="s">
        <v>1709</v>
      </c>
      <c r="D1241" s="46" t="n">
        <v>20</v>
      </c>
      <c r="E1241" s="46" t="n">
        <v>790000</v>
      </c>
      <c r="F1241" s="46" t="n">
        <v>196800</v>
      </c>
      <c r="G1241" s="42" t="n">
        <v>3.5</v>
      </c>
      <c r="H1241" s="42" t="n">
        <v>197.7</v>
      </c>
      <c r="I1241" s="42" t="n">
        <v>0</v>
      </c>
      <c r="J1241" s="46" t="n">
        <f aca="false">IF(N(E1241)&gt;0,E1241,IF(N(F1241)&gt;0,F1241*요약!$F$27,0))</f>
        <v>790000</v>
      </c>
      <c r="K1241" s="46" t="n">
        <f aca="false">IF(N(F1241)&gt;0,F1241,IF(N(E1241)&gt;0,E1241/요약!$F$27,0))</f>
        <v>196800</v>
      </c>
      <c r="L1241" s="46" t="n">
        <f aca="false">IF(B1241="CN",IF(N(I1241)&gt;0,I1241*요약!$G$27,K1241*(1+요약!$E$27)),IF(N(H1241)&gt;0,H1241*요약!$G$27,J1241*요약!$D$27))</f>
        <v>260964</v>
      </c>
      <c r="M1241" s="46" t="n">
        <f aca="false">D1241*J1241</f>
        <v>15800000</v>
      </c>
      <c r="N1241" s="46" t="n">
        <f aca="false">D1241*K1241</f>
        <v>3936000</v>
      </c>
      <c r="O1241" s="46" t="n">
        <f aca="false">D1241*L1241</f>
        <v>5219280</v>
      </c>
      <c r="P1241" s="42" t="str">
        <f aca="false">TRIM(IF(N(E1241)&lt;=0,"택가보정 ","")&amp;IF(N(F1241)&lt;=0,"원가보정 ","")&amp;IF(AND(B1241&lt;&gt;"CN",N(H1241)&lt;=0),"공급가보정 ","")&amp;IF(AND(B1241="CN",N(I1241)&lt;=0),"중국공급가=원가+마진 ",""))</f>
        <v/>
      </c>
      <c r="Q1241" s="47" t="n">
        <f aca="false">IF(SUMIFS($W:$W,$A:$A,A1241,$C:$C,C1241)=0,0,SUMIFS(RAW_판매펀칭!$K:$K,RAW_판매펀칭!$P:$P,A1241,RAW_판매펀칭!$I:$I,C1241)*W1241/SUMIFS($W:$W,$A:$A,A1241,$C:$C,C1241))</f>
        <v>0</v>
      </c>
      <c r="R1241" s="47" t="n">
        <f aca="false">IF(OR(A1241="500",A1241="800",A1241="810"),0,MAX(W1241-Q1241,0))</f>
        <v>20</v>
      </c>
      <c r="S1241" s="47" t="n">
        <f aca="false">R1241*L1241</f>
        <v>5219280</v>
      </c>
      <c r="T1241" s="47" t="n">
        <f aca="false">R1241*J1241</f>
        <v>15800000</v>
      </c>
      <c r="U1241" s="47" t="n">
        <f aca="false">R1241*K1241</f>
        <v>3936000</v>
      </c>
      <c r="V1241" s="0" t="str">
        <f aca="false">IF(COUNTIFS($A$2:A1241,A1241,$C$2:C1241,C1241,$D$2:D1241,D1241)&gt;1,"중복","")</f>
        <v/>
      </c>
      <c r="W1241" s="0" t="n">
        <f aca="false">IF(V1241="중복",0,N(D1241))</f>
        <v>20</v>
      </c>
      <c r="X1241" s="0" t="n">
        <f aca="false">IF(COUNTIFS($A$2:A1241,A1241,$C$2:C1241,C1241)=1,ABS(SUMIFS(RAW_발주!$D:$D,RAW_발주!$C:$C,A1241,RAW_발주!$A:$A,C1241)-SUMIFS($W:$W,$A:$A,A1241,$C:$C,C1241)),0)</f>
        <v>0</v>
      </c>
    </row>
    <row r="1242" customFormat="false" ht="15" hidden="false" customHeight="true" outlineLevel="0" collapsed="false">
      <c r="A1242" s="45" t="s">
        <v>1659</v>
      </c>
      <c r="B1242" s="42" t="str">
        <f aca="false">IF(A1242="100","HK",IF(A1242="200","CN",IF(A1242="300","TW","홀세일")))</f>
        <v>HK</v>
      </c>
      <c r="C1242" s="45" t="s">
        <v>569</v>
      </c>
      <c r="D1242" s="46" t="n">
        <v>360</v>
      </c>
      <c r="E1242" s="46" t="n">
        <v>189000</v>
      </c>
      <c r="F1242" s="46" t="n">
        <v>42200</v>
      </c>
      <c r="G1242" s="42" t="n">
        <v>3.06</v>
      </c>
      <c r="H1242" s="42" t="n">
        <v>47.3</v>
      </c>
      <c r="I1242" s="42" t="n">
        <v>34.7</v>
      </c>
      <c r="J1242" s="46" t="n">
        <f aca="false">IF(N(E1242)&gt;0,E1242,IF(N(F1242)&gt;0,F1242*요약!$F$27,0))</f>
        <v>189000</v>
      </c>
      <c r="K1242" s="46" t="n">
        <f aca="false">IF(N(F1242)&gt;0,F1242,IF(N(E1242)&gt;0,E1242/요약!$F$27,0))</f>
        <v>42200</v>
      </c>
      <c r="L1242" s="46" t="n">
        <f aca="false">IF(B1242="CN",IF(N(I1242)&gt;0,I1242*요약!$G$27,K1242*(1+요약!$E$27)),IF(N(H1242)&gt;0,H1242*요약!$G$27,J1242*요약!$D$27))</f>
        <v>62436</v>
      </c>
      <c r="M1242" s="46" t="n">
        <f aca="false">D1242*J1242</f>
        <v>68040000</v>
      </c>
      <c r="N1242" s="46" t="n">
        <f aca="false">D1242*K1242</f>
        <v>15192000</v>
      </c>
      <c r="O1242" s="46" t="n">
        <f aca="false">D1242*L1242</f>
        <v>22476960</v>
      </c>
      <c r="P1242" s="42" t="str">
        <f aca="false">TRIM(IF(N(E1242)&lt;=0,"택가보정 ","")&amp;IF(N(F1242)&lt;=0,"원가보정 ","")&amp;IF(AND(B1242&lt;&gt;"CN",N(H1242)&lt;=0),"공급가보정 ","")&amp;IF(AND(B1242="CN",N(I1242)&lt;=0),"중국공급가=원가+마진 ",""))</f>
        <v/>
      </c>
      <c r="Q1242" s="47" t="n">
        <f aca="false">IF(SUMIFS($W:$W,$A:$A,A1242,$C:$C,C1242)=0,0,SUMIFS(RAW_판매펀칭!$K:$K,RAW_판매펀칭!$P:$P,A1242,RAW_판매펀칭!$I:$I,C1242)*W1242/SUMIFS($W:$W,$A:$A,A1242,$C:$C,C1242))</f>
        <v>360</v>
      </c>
      <c r="R1242" s="47" t="n">
        <f aca="false">IF(OR(A1242="500",A1242="800",A1242="810"),0,MAX(W1242-Q1242,0))</f>
        <v>0</v>
      </c>
      <c r="S1242" s="47" t="n">
        <f aca="false">R1242*L1242</f>
        <v>0</v>
      </c>
      <c r="T1242" s="47" t="n">
        <f aca="false">R1242*J1242</f>
        <v>0</v>
      </c>
      <c r="U1242" s="47" t="n">
        <f aca="false">R1242*K1242</f>
        <v>0</v>
      </c>
      <c r="V1242" s="0" t="str">
        <f aca="false">IF(COUNTIFS($A$2:A1242,A1242,$C$2:C1242,C1242,$D$2:D1242,D1242)&gt;1,"중복","")</f>
        <v/>
      </c>
      <c r="W1242" s="0" t="n">
        <f aca="false">IF(V1242="중복",0,N(D1242))</f>
        <v>360</v>
      </c>
      <c r="X1242" s="0" t="n">
        <f aca="false">IF(COUNTIFS($A$2:A1242,A1242,$C$2:C1242,C1242)=1,ABS(SUMIFS(RAW_발주!$D:$D,RAW_발주!$C:$C,A1242,RAW_발주!$A:$A,C1242)-SUMIFS($W:$W,$A:$A,A1242,$C:$C,C1242)),0)</f>
        <v>0</v>
      </c>
    </row>
    <row r="1243" customFormat="false" ht="15" hidden="false" customHeight="true" outlineLevel="0" collapsed="false">
      <c r="A1243" s="45" t="s">
        <v>1660</v>
      </c>
      <c r="B1243" s="42" t="str">
        <f aca="false">IF(A1243="100","HK",IF(A1243="200","CN",IF(A1243="300","TW","홀세일")))</f>
        <v>CN</v>
      </c>
      <c r="C1243" s="45" t="s">
        <v>569</v>
      </c>
      <c r="D1243" s="46" t="n">
        <v>81</v>
      </c>
      <c r="E1243" s="46" t="n">
        <v>189000</v>
      </c>
      <c r="F1243" s="46" t="n">
        <v>42200</v>
      </c>
      <c r="G1243" s="42" t="n">
        <v>3.06</v>
      </c>
      <c r="H1243" s="42" t="n">
        <v>47.3</v>
      </c>
      <c r="I1243" s="42" t="n">
        <v>34.7</v>
      </c>
      <c r="J1243" s="46" t="n">
        <f aca="false">IF(N(E1243)&gt;0,E1243,IF(N(F1243)&gt;0,F1243*요약!$F$27,0))</f>
        <v>189000</v>
      </c>
      <c r="K1243" s="46" t="n">
        <f aca="false">IF(N(F1243)&gt;0,F1243,IF(N(E1243)&gt;0,E1243/요약!$F$27,0))</f>
        <v>42200</v>
      </c>
      <c r="L1243" s="46" t="n">
        <f aca="false">IF(B1243="CN",IF(N(I1243)&gt;0,I1243*요약!$G$27,K1243*(1+요약!$E$27)),IF(N(H1243)&gt;0,H1243*요약!$G$27,J1243*요약!$D$27))</f>
        <v>45804</v>
      </c>
      <c r="M1243" s="46" t="n">
        <f aca="false">D1243*J1243</f>
        <v>15309000</v>
      </c>
      <c r="N1243" s="46" t="n">
        <f aca="false">D1243*K1243</f>
        <v>3418200</v>
      </c>
      <c r="O1243" s="46" t="n">
        <f aca="false">D1243*L1243</f>
        <v>3710124</v>
      </c>
      <c r="P1243" s="42" t="str">
        <f aca="false">TRIM(IF(N(E1243)&lt;=0,"택가보정 ","")&amp;IF(N(F1243)&lt;=0,"원가보정 ","")&amp;IF(AND(B1243&lt;&gt;"CN",N(H1243)&lt;=0),"공급가보정 ","")&amp;IF(AND(B1243="CN",N(I1243)&lt;=0),"중국공급가=원가+마진 ",""))</f>
        <v/>
      </c>
      <c r="Q1243" s="47" t="n">
        <f aca="false">IF(SUMIFS($W:$W,$A:$A,A1243,$C:$C,C1243)=0,0,SUMIFS(RAW_판매펀칭!$K:$K,RAW_판매펀칭!$P:$P,A1243,RAW_판매펀칭!$I:$I,C1243)*W1243/SUMIFS($W:$W,$A:$A,A1243,$C:$C,C1243))</f>
        <v>116</v>
      </c>
      <c r="R1243" s="47" t="n">
        <f aca="false">IF(OR(A1243="500",A1243="800",A1243="810"),0,MAX(W1243-Q1243,0))</f>
        <v>0</v>
      </c>
      <c r="S1243" s="47" t="n">
        <f aca="false">R1243*L1243</f>
        <v>0</v>
      </c>
      <c r="T1243" s="47" t="n">
        <f aca="false">R1243*J1243</f>
        <v>0</v>
      </c>
      <c r="U1243" s="47" t="n">
        <f aca="false">R1243*K1243</f>
        <v>0</v>
      </c>
      <c r="V1243" s="0" t="str">
        <f aca="false">IF(COUNTIFS($A$2:A1243,A1243,$C$2:C1243,C1243,$D$2:D1243,D1243)&gt;1,"중복","")</f>
        <v/>
      </c>
      <c r="W1243" s="0" t="n">
        <f aca="false">IF(V1243="중복",0,N(D1243))</f>
        <v>81</v>
      </c>
      <c r="X1243" s="0" t="n">
        <f aca="false">IF(COUNTIFS($A$2:A1243,A1243,$C$2:C1243,C1243)=1,ABS(SUMIFS(RAW_발주!$D:$D,RAW_발주!$C:$C,A1243,RAW_발주!$A:$A,C1243)-SUMIFS($W:$W,$A:$A,A1243,$C:$C,C1243)),0)</f>
        <v>0</v>
      </c>
    </row>
    <row r="1244" customFormat="false" ht="15" hidden="false" customHeight="true" outlineLevel="0" collapsed="false">
      <c r="A1244" s="45" t="s">
        <v>1661</v>
      </c>
      <c r="B1244" s="42" t="str">
        <f aca="false">IF(A1244="100","HK",IF(A1244="200","CN",IF(A1244="300","TW","홀세일")))</f>
        <v>TW</v>
      </c>
      <c r="C1244" s="45" t="s">
        <v>569</v>
      </c>
      <c r="D1244" s="46" t="n">
        <v>600</v>
      </c>
      <c r="E1244" s="46" t="n">
        <v>189000</v>
      </c>
      <c r="F1244" s="46" t="n">
        <v>42200</v>
      </c>
      <c r="G1244" s="42" t="n">
        <v>3.06</v>
      </c>
      <c r="H1244" s="42" t="n">
        <v>47.3</v>
      </c>
      <c r="I1244" s="42" t="n">
        <v>34.7</v>
      </c>
      <c r="J1244" s="46" t="n">
        <f aca="false">IF(N(E1244)&gt;0,E1244,IF(N(F1244)&gt;0,F1244*요약!$F$27,0))</f>
        <v>189000</v>
      </c>
      <c r="K1244" s="46" t="n">
        <f aca="false">IF(N(F1244)&gt;0,F1244,IF(N(E1244)&gt;0,E1244/요약!$F$27,0))</f>
        <v>42200</v>
      </c>
      <c r="L1244" s="46" t="n">
        <f aca="false">IF(B1244="CN",IF(N(I1244)&gt;0,I1244*요약!$G$27,K1244*(1+요약!$E$27)),IF(N(H1244)&gt;0,H1244*요약!$G$27,J1244*요약!$D$27))</f>
        <v>62436</v>
      </c>
      <c r="M1244" s="46" t="n">
        <f aca="false">D1244*J1244</f>
        <v>113400000</v>
      </c>
      <c r="N1244" s="46" t="n">
        <f aca="false">D1244*K1244</f>
        <v>25320000</v>
      </c>
      <c r="O1244" s="46" t="n">
        <f aca="false">D1244*L1244</f>
        <v>37461600</v>
      </c>
      <c r="P1244" s="42" t="str">
        <f aca="false">TRIM(IF(N(E1244)&lt;=0,"택가보정 ","")&amp;IF(N(F1244)&lt;=0,"원가보정 ","")&amp;IF(AND(B1244&lt;&gt;"CN",N(H1244)&lt;=0),"공급가보정 ","")&amp;IF(AND(B1244="CN",N(I1244)&lt;=0),"중국공급가=원가+마진 ",""))</f>
        <v/>
      </c>
      <c r="Q1244" s="47" t="n">
        <f aca="false">IF(SUMIFS($W:$W,$A:$A,A1244,$C:$C,C1244)=0,0,SUMIFS(RAW_판매펀칭!$K:$K,RAW_판매펀칭!$P:$P,A1244,RAW_판매펀칭!$I:$I,C1244)*W1244/SUMIFS($W:$W,$A:$A,A1244,$C:$C,C1244))</f>
        <v>540</v>
      </c>
      <c r="R1244" s="47" t="n">
        <f aca="false">IF(OR(A1244="500",A1244="800",A1244="810"),0,MAX(W1244-Q1244,0))</f>
        <v>60</v>
      </c>
      <c r="S1244" s="47" t="n">
        <f aca="false">R1244*L1244</f>
        <v>3746160</v>
      </c>
      <c r="T1244" s="47" t="n">
        <f aca="false">R1244*J1244</f>
        <v>11340000</v>
      </c>
      <c r="U1244" s="47" t="n">
        <f aca="false">R1244*K1244</f>
        <v>2532000</v>
      </c>
      <c r="V1244" s="0" t="str">
        <f aca="false">IF(COUNTIFS($A$2:A1244,A1244,$C$2:C1244,C1244,$D$2:D1244,D1244)&gt;1,"중복","")</f>
        <v/>
      </c>
      <c r="W1244" s="0" t="n">
        <f aca="false">IF(V1244="중복",0,N(D1244))</f>
        <v>600</v>
      </c>
      <c r="X1244" s="0" t="n">
        <f aca="false">IF(COUNTIFS($A$2:A1244,A1244,$C$2:C1244,C1244)=1,ABS(SUMIFS(RAW_발주!$D:$D,RAW_발주!$C:$C,A1244,RAW_발주!$A:$A,C1244)-SUMIFS($W:$W,$A:$A,A1244,$C:$C,C1244)),0)</f>
        <v>0</v>
      </c>
    </row>
    <row r="1245" customFormat="false" ht="15" hidden="false" customHeight="true" outlineLevel="0" collapsed="false">
      <c r="A1245" s="45" t="s">
        <v>1662</v>
      </c>
      <c r="B1245" s="42" t="str">
        <f aca="false">IF(A1245="100","HK",IF(A1245="200","CN",IF(A1245="300","TW","홀세일")))</f>
        <v>홀세일</v>
      </c>
      <c r="C1245" s="45" t="s">
        <v>569</v>
      </c>
      <c r="D1245" s="46" t="n">
        <v>100</v>
      </c>
      <c r="E1245" s="46" t="n">
        <v>189000</v>
      </c>
      <c r="F1245" s="46" t="n">
        <v>42200</v>
      </c>
      <c r="G1245" s="42" t="n">
        <v>3.06</v>
      </c>
      <c r="H1245" s="42" t="n">
        <v>47.3</v>
      </c>
      <c r="I1245" s="42" t="n">
        <v>34.7</v>
      </c>
      <c r="J1245" s="46" t="n">
        <f aca="false">IF(N(E1245)&gt;0,E1245,IF(N(F1245)&gt;0,F1245*요약!$F$27,0))</f>
        <v>189000</v>
      </c>
      <c r="K1245" s="46" t="n">
        <f aca="false">IF(N(F1245)&gt;0,F1245,IF(N(E1245)&gt;0,E1245/요약!$F$27,0))</f>
        <v>42200</v>
      </c>
      <c r="L1245" s="46" t="n">
        <f aca="false">IF(B1245="CN",IF(N(I1245)&gt;0,I1245*요약!$G$27,K1245*(1+요약!$E$27)),IF(N(H1245)&gt;0,H1245*요약!$G$27,J1245*요약!$D$27))</f>
        <v>62436</v>
      </c>
      <c r="M1245" s="46" t="n">
        <f aca="false">D1245*J1245</f>
        <v>18900000</v>
      </c>
      <c r="N1245" s="46" t="n">
        <f aca="false">D1245*K1245</f>
        <v>4220000</v>
      </c>
      <c r="O1245" s="46" t="n">
        <f aca="false">D1245*L1245</f>
        <v>6243600</v>
      </c>
      <c r="P1245" s="42" t="str">
        <f aca="false">TRIM(IF(N(E1245)&lt;=0,"택가보정 ","")&amp;IF(N(F1245)&lt;=0,"원가보정 ","")&amp;IF(AND(B1245&lt;&gt;"CN",N(H1245)&lt;=0),"공급가보정 ","")&amp;IF(AND(B1245="CN",N(I1245)&lt;=0),"중국공급가=원가+마진 ",""))</f>
        <v/>
      </c>
      <c r="Q1245" s="47" t="n">
        <f aca="false">IF(SUMIFS($W:$W,$A:$A,A1245,$C:$C,C1245)=0,0,SUMIFS(RAW_판매펀칭!$K:$K,RAW_판매펀칭!$P:$P,A1245,RAW_판매펀칭!$I:$I,C1245)*W1245/SUMIFS($W:$W,$A:$A,A1245,$C:$C,C1245))</f>
        <v>0</v>
      </c>
      <c r="R1245" s="47" t="n">
        <f aca="false">IF(OR(A1245="500",A1245="800",A1245="810"),0,MAX(W1245-Q1245,0))</f>
        <v>0</v>
      </c>
      <c r="S1245" s="47" t="n">
        <f aca="false">R1245*L1245</f>
        <v>0</v>
      </c>
      <c r="T1245" s="47" t="n">
        <f aca="false">R1245*J1245</f>
        <v>0</v>
      </c>
      <c r="U1245" s="47" t="n">
        <f aca="false">R1245*K1245</f>
        <v>0</v>
      </c>
      <c r="V1245" s="0" t="str">
        <f aca="false">IF(COUNTIFS($A$2:A1245,A1245,$C$2:C1245,C1245,$D$2:D1245,D1245)&gt;1,"중복","")</f>
        <v/>
      </c>
      <c r="W1245" s="0" t="n">
        <f aca="false">IF(V1245="중복",0,N(D1245))</f>
        <v>100</v>
      </c>
      <c r="X1245" s="0" t="n">
        <f aca="false">IF(COUNTIFS($A$2:A1245,A1245,$C$2:C1245,C1245)=1,ABS(SUMIFS(RAW_발주!$D:$D,RAW_발주!$C:$C,A1245,RAW_발주!$A:$A,C1245)-SUMIFS($W:$W,$A:$A,A1245,$C:$C,C1245)),0)</f>
        <v>0</v>
      </c>
    </row>
    <row r="1246" customFormat="false" ht="15" hidden="false" customHeight="true" outlineLevel="0" collapsed="false">
      <c r="A1246" s="45" t="s">
        <v>1663</v>
      </c>
      <c r="B1246" s="42" t="str">
        <f aca="false">IF(A1246="100","HK",IF(A1246="200","CN",IF(A1246="300","TW","홀세일")))</f>
        <v>홀세일</v>
      </c>
      <c r="C1246" s="45" t="s">
        <v>569</v>
      </c>
      <c r="D1246" s="46" t="n">
        <v>20</v>
      </c>
      <c r="E1246" s="46" t="n">
        <v>189000</v>
      </c>
      <c r="F1246" s="46" t="n">
        <v>42200</v>
      </c>
      <c r="G1246" s="42" t="n">
        <v>3.06</v>
      </c>
      <c r="H1246" s="42" t="n">
        <v>47.3</v>
      </c>
      <c r="I1246" s="42" t="n">
        <v>34.7</v>
      </c>
      <c r="J1246" s="46" t="n">
        <f aca="false">IF(N(E1246)&gt;0,E1246,IF(N(F1246)&gt;0,F1246*요약!$F$27,0))</f>
        <v>189000</v>
      </c>
      <c r="K1246" s="46" t="n">
        <f aca="false">IF(N(F1246)&gt;0,F1246,IF(N(E1246)&gt;0,E1246/요약!$F$27,0))</f>
        <v>42200</v>
      </c>
      <c r="L1246" s="46" t="n">
        <f aca="false">IF(B1246="CN",IF(N(I1246)&gt;0,I1246*요약!$G$27,K1246*(1+요약!$E$27)),IF(N(H1246)&gt;0,H1246*요약!$G$27,J1246*요약!$D$27))</f>
        <v>62436</v>
      </c>
      <c r="M1246" s="46" t="n">
        <f aca="false">D1246*J1246</f>
        <v>3780000</v>
      </c>
      <c r="N1246" s="46" t="n">
        <f aca="false">D1246*K1246</f>
        <v>844000</v>
      </c>
      <c r="O1246" s="46" t="n">
        <f aca="false">D1246*L1246</f>
        <v>1248720</v>
      </c>
      <c r="P1246" s="42" t="str">
        <f aca="false">TRIM(IF(N(E1246)&lt;=0,"택가보정 ","")&amp;IF(N(F1246)&lt;=0,"원가보정 ","")&amp;IF(AND(B1246&lt;&gt;"CN",N(H1246)&lt;=0),"공급가보정 ","")&amp;IF(AND(B1246="CN",N(I1246)&lt;=0),"중국공급가=원가+마진 ",""))</f>
        <v/>
      </c>
      <c r="Q1246" s="47" t="n">
        <f aca="false">IF(SUMIFS($W:$W,$A:$A,A1246,$C:$C,C1246)=0,0,SUMIFS(RAW_판매펀칭!$K:$K,RAW_판매펀칭!$P:$P,A1246,RAW_판매펀칭!$I:$I,C1246)*W1246/SUMIFS($W:$W,$A:$A,A1246,$C:$C,C1246))</f>
        <v>20</v>
      </c>
      <c r="R1246" s="47" t="n">
        <f aca="false">IF(OR(A1246="500",A1246="800",A1246="810"),0,MAX(W1246-Q1246,0))</f>
        <v>0</v>
      </c>
      <c r="S1246" s="47" t="n">
        <f aca="false">R1246*L1246</f>
        <v>0</v>
      </c>
      <c r="T1246" s="47" t="n">
        <f aca="false">R1246*J1246</f>
        <v>0</v>
      </c>
      <c r="U1246" s="47" t="n">
        <f aca="false">R1246*K1246</f>
        <v>0</v>
      </c>
      <c r="V1246" s="0" t="str">
        <f aca="false">IF(COUNTIFS($A$2:A1246,A1246,$C$2:C1246,C1246,$D$2:D1246,D1246)&gt;1,"중복","")</f>
        <v/>
      </c>
      <c r="W1246" s="0" t="n">
        <f aca="false">IF(V1246="중복",0,N(D1246))</f>
        <v>20</v>
      </c>
      <c r="X1246" s="0" t="n">
        <f aca="false">IF(COUNTIFS($A$2:A1246,A1246,$C$2:C1246,C1246)=1,ABS(SUMIFS(RAW_발주!$D:$D,RAW_발주!$C:$C,A1246,RAW_발주!$A:$A,C1246)-SUMIFS($W:$W,$A:$A,A1246,$C:$C,C1246)),0)</f>
        <v>0</v>
      </c>
    </row>
    <row r="1247" customFormat="false" ht="15" hidden="false" customHeight="true" outlineLevel="0" collapsed="false">
      <c r="A1247" s="45" t="s">
        <v>1661</v>
      </c>
      <c r="B1247" s="42" t="str">
        <f aca="false">IF(A1247="100","HK",IF(A1247="200","CN",IF(A1247="300","TW","홀세일")))</f>
        <v>TW</v>
      </c>
      <c r="C1247" s="45" t="s">
        <v>571</v>
      </c>
      <c r="D1247" s="46" t="n">
        <v>50</v>
      </c>
      <c r="E1247" s="46" t="n">
        <v>219000</v>
      </c>
      <c r="F1247" s="46" t="n">
        <v>52800</v>
      </c>
      <c r="G1247" s="42" t="n">
        <v>3.29</v>
      </c>
      <c r="H1247" s="42" t="n">
        <v>54.9</v>
      </c>
      <c r="I1247" s="42" t="n">
        <v>0</v>
      </c>
      <c r="J1247" s="46" t="n">
        <f aca="false">IF(N(E1247)&gt;0,E1247,IF(N(F1247)&gt;0,F1247*요약!$F$27,0))</f>
        <v>219000</v>
      </c>
      <c r="K1247" s="46" t="n">
        <f aca="false">IF(N(F1247)&gt;0,F1247,IF(N(E1247)&gt;0,E1247/요약!$F$27,0))</f>
        <v>52800</v>
      </c>
      <c r="L1247" s="46" t="n">
        <f aca="false">IF(B1247="CN",IF(N(I1247)&gt;0,I1247*요약!$G$27,K1247*(1+요약!$E$27)),IF(N(H1247)&gt;0,H1247*요약!$G$27,J1247*요약!$D$27))</f>
        <v>72468</v>
      </c>
      <c r="M1247" s="46" t="n">
        <f aca="false">D1247*J1247</f>
        <v>10950000</v>
      </c>
      <c r="N1247" s="46" t="n">
        <f aca="false">D1247*K1247</f>
        <v>2640000</v>
      </c>
      <c r="O1247" s="46" t="n">
        <f aca="false">D1247*L1247</f>
        <v>3623400</v>
      </c>
      <c r="P1247" s="42" t="str">
        <f aca="false">TRIM(IF(N(E1247)&lt;=0,"택가보정 ","")&amp;IF(N(F1247)&lt;=0,"원가보정 ","")&amp;IF(AND(B1247&lt;&gt;"CN",N(H1247)&lt;=0),"공급가보정 ","")&amp;IF(AND(B1247="CN",N(I1247)&lt;=0),"중국공급가=원가+마진 ",""))</f>
        <v/>
      </c>
      <c r="Q1247" s="47" t="n">
        <f aca="false">IF(SUMIFS($W:$W,$A:$A,A1247,$C:$C,C1247)=0,0,SUMIFS(RAW_판매펀칭!$K:$K,RAW_판매펀칭!$P:$P,A1247,RAW_판매펀칭!$I:$I,C1247)*W1247/SUMIFS($W:$W,$A:$A,A1247,$C:$C,C1247))</f>
        <v>50</v>
      </c>
      <c r="R1247" s="47" t="n">
        <f aca="false">IF(OR(A1247="500",A1247="800",A1247="810"),0,MAX(W1247-Q1247,0))</f>
        <v>0</v>
      </c>
      <c r="S1247" s="47" t="n">
        <f aca="false">R1247*L1247</f>
        <v>0</v>
      </c>
      <c r="T1247" s="47" t="n">
        <f aca="false">R1247*J1247</f>
        <v>0</v>
      </c>
      <c r="U1247" s="47" t="n">
        <f aca="false">R1247*K1247</f>
        <v>0</v>
      </c>
      <c r="V1247" s="0" t="str">
        <f aca="false">IF(COUNTIFS($A$2:A1247,A1247,$C$2:C1247,C1247,$D$2:D1247,D1247)&gt;1,"중복","")</f>
        <v/>
      </c>
      <c r="W1247" s="0" t="n">
        <f aca="false">IF(V1247="중복",0,N(D1247))</f>
        <v>50</v>
      </c>
      <c r="X1247" s="0" t="n">
        <f aca="false">IF(COUNTIFS($A$2:A1247,A1247,$C$2:C1247,C1247)=1,ABS(SUMIFS(RAW_발주!$D:$D,RAW_발주!$C:$C,A1247,RAW_발주!$A:$A,C1247)-SUMIFS($W:$W,$A:$A,A1247,$C:$C,C1247)),0)</f>
        <v>0</v>
      </c>
    </row>
    <row r="1248" customFormat="false" ht="15" hidden="false" customHeight="true" outlineLevel="0" collapsed="false">
      <c r="A1248" s="45" t="s">
        <v>1663</v>
      </c>
      <c r="B1248" s="42" t="str">
        <f aca="false">IF(A1248="100","HK",IF(A1248="200","CN",IF(A1248="300","TW","홀세일")))</f>
        <v>홀세일</v>
      </c>
      <c r="C1248" s="45" t="s">
        <v>571</v>
      </c>
      <c r="D1248" s="46" t="n">
        <v>15</v>
      </c>
      <c r="E1248" s="46" t="n">
        <v>219000</v>
      </c>
      <c r="F1248" s="46" t="n">
        <v>52800</v>
      </c>
      <c r="G1248" s="42" t="n">
        <v>3.29</v>
      </c>
      <c r="H1248" s="42" t="n">
        <v>54.9</v>
      </c>
      <c r="I1248" s="42" t="n">
        <v>0</v>
      </c>
      <c r="J1248" s="46" t="n">
        <f aca="false">IF(N(E1248)&gt;0,E1248,IF(N(F1248)&gt;0,F1248*요약!$F$27,0))</f>
        <v>219000</v>
      </c>
      <c r="K1248" s="46" t="n">
        <f aca="false">IF(N(F1248)&gt;0,F1248,IF(N(E1248)&gt;0,E1248/요약!$F$27,0))</f>
        <v>52800</v>
      </c>
      <c r="L1248" s="46" t="n">
        <f aca="false">IF(B1248="CN",IF(N(I1248)&gt;0,I1248*요약!$G$27,K1248*(1+요약!$E$27)),IF(N(H1248)&gt;0,H1248*요약!$G$27,J1248*요약!$D$27))</f>
        <v>72468</v>
      </c>
      <c r="M1248" s="46" t="n">
        <f aca="false">D1248*J1248</f>
        <v>3285000</v>
      </c>
      <c r="N1248" s="46" t="n">
        <f aca="false">D1248*K1248</f>
        <v>792000</v>
      </c>
      <c r="O1248" s="46" t="n">
        <f aca="false">D1248*L1248</f>
        <v>1087020</v>
      </c>
      <c r="P1248" s="42" t="str">
        <f aca="false">TRIM(IF(N(E1248)&lt;=0,"택가보정 ","")&amp;IF(N(F1248)&lt;=0,"원가보정 ","")&amp;IF(AND(B1248&lt;&gt;"CN",N(H1248)&lt;=0),"공급가보정 ","")&amp;IF(AND(B1248="CN",N(I1248)&lt;=0),"중국공급가=원가+마진 ",""))</f>
        <v/>
      </c>
      <c r="Q1248" s="47" t="n">
        <f aca="false">IF(SUMIFS($W:$W,$A:$A,A1248,$C:$C,C1248)=0,0,SUMIFS(RAW_판매펀칭!$K:$K,RAW_판매펀칭!$P:$P,A1248,RAW_판매펀칭!$I:$I,C1248)*W1248/SUMIFS($W:$W,$A:$A,A1248,$C:$C,C1248))</f>
        <v>15</v>
      </c>
      <c r="R1248" s="47" t="n">
        <f aca="false">IF(OR(A1248="500",A1248="800",A1248="810"),0,MAX(W1248-Q1248,0))</f>
        <v>0</v>
      </c>
      <c r="S1248" s="47" t="n">
        <f aca="false">R1248*L1248</f>
        <v>0</v>
      </c>
      <c r="T1248" s="47" t="n">
        <f aca="false">R1248*J1248</f>
        <v>0</v>
      </c>
      <c r="U1248" s="47" t="n">
        <f aca="false">R1248*K1248</f>
        <v>0</v>
      </c>
      <c r="V1248" s="0" t="str">
        <f aca="false">IF(COUNTIFS($A$2:A1248,A1248,$C$2:C1248,C1248,$D$2:D1248,D1248)&gt;1,"중복","")</f>
        <v/>
      </c>
      <c r="W1248" s="0" t="n">
        <f aca="false">IF(V1248="중복",0,N(D1248))</f>
        <v>15</v>
      </c>
      <c r="X1248" s="0" t="n">
        <f aca="false">IF(COUNTIFS($A$2:A1248,A1248,$C$2:C1248,C1248)=1,ABS(SUMIFS(RAW_발주!$D:$D,RAW_발주!$C:$C,A1248,RAW_발주!$A:$A,C1248)-SUMIFS($W:$W,$A:$A,A1248,$C:$C,C1248)),0)</f>
        <v>0</v>
      </c>
    </row>
    <row r="1249" customFormat="false" ht="15" hidden="false" customHeight="true" outlineLevel="0" collapsed="false">
      <c r="A1249" s="45" t="s">
        <v>1667</v>
      </c>
      <c r="B1249" s="42" t="str">
        <f aca="false">IF(A1249="100","HK",IF(A1249="200","CN",IF(A1249="300","TW","홀세일")))</f>
        <v>홀세일</v>
      </c>
      <c r="C1249" s="45" t="s">
        <v>1413</v>
      </c>
      <c r="D1249" s="46" t="n">
        <v>51</v>
      </c>
      <c r="E1249" s="46" t="n">
        <v>199000</v>
      </c>
      <c r="F1249" s="46" t="n">
        <v>42800</v>
      </c>
      <c r="G1249" s="42" t="n">
        <v>3.5</v>
      </c>
      <c r="H1249" s="42" t="n">
        <v>49.8</v>
      </c>
      <c r="I1249" s="42" t="n">
        <v>0</v>
      </c>
      <c r="J1249" s="46" t="n">
        <f aca="false">IF(N(E1249)&gt;0,E1249,IF(N(F1249)&gt;0,F1249*요약!$F$27,0))</f>
        <v>199000</v>
      </c>
      <c r="K1249" s="46" t="n">
        <f aca="false">IF(N(F1249)&gt;0,F1249,IF(N(E1249)&gt;0,E1249/요약!$F$27,0))</f>
        <v>42800</v>
      </c>
      <c r="L1249" s="46" t="n">
        <f aca="false">IF(B1249="CN",IF(N(I1249)&gt;0,I1249*요약!$G$27,K1249*(1+요약!$E$27)),IF(N(H1249)&gt;0,H1249*요약!$G$27,J1249*요약!$D$27))</f>
        <v>65736</v>
      </c>
      <c r="M1249" s="46" t="n">
        <f aca="false">D1249*J1249</f>
        <v>10149000</v>
      </c>
      <c r="N1249" s="46" t="n">
        <f aca="false">D1249*K1249</f>
        <v>2182800</v>
      </c>
      <c r="O1249" s="46" t="n">
        <f aca="false">D1249*L1249</f>
        <v>3352536</v>
      </c>
      <c r="P1249" s="42" t="str">
        <f aca="false">TRIM(IF(N(E1249)&lt;=0,"택가보정 ","")&amp;IF(N(F1249)&lt;=0,"원가보정 ","")&amp;IF(AND(B1249&lt;&gt;"CN",N(H1249)&lt;=0),"공급가보정 ","")&amp;IF(AND(B1249="CN",N(I1249)&lt;=0),"중국공급가=원가+마진 ",""))</f>
        <v/>
      </c>
      <c r="Q1249" s="47" t="n">
        <f aca="false">IF(SUMIFS($W:$W,$A:$A,A1249,$C:$C,C1249)=0,0,SUMIFS(RAW_판매펀칭!$K:$K,RAW_판매펀칭!$P:$P,A1249,RAW_판매펀칭!$I:$I,C1249)*W1249/SUMIFS($W:$W,$A:$A,A1249,$C:$C,C1249))</f>
        <v>50</v>
      </c>
      <c r="R1249" s="47" t="n">
        <f aca="false">IF(OR(A1249="500",A1249="800",A1249="810"),0,MAX(W1249-Q1249,0))</f>
        <v>1</v>
      </c>
      <c r="S1249" s="47" t="n">
        <f aca="false">R1249*L1249</f>
        <v>65736</v>
      </c>
      <c r="T1249" s="47" t="n">
        <f aca="false">R1249*J1249</f>
        <v>199000</v>
      </c>
      <c r="U1249" s="47" t="n">
        <f aca="false">R1249*K1249</f>
        <v>42800</v>
      </c>
      <c r="V1249" s="0" t="str">
        <f aca="false">IF(COUNTIFS($A$2:A1249,A1249,$C$2:C1249,C1249,$D$2:D1249,D1249)&gt;1,"중복","")</f>
        <v/>
      </c>
      <c r="W1249" s="0" t="n">
        <f aca="false">IF(V1249="중복",0,N(D1249))</f>
        <v>51</v>
      </c>
      <c r="X1249" s="0" t="n">
        <f aca="false">IF(COUNTIFS($A$2:A1249,A1249,$C$2:C1249,C1249)=1,ABS(SUMIFS(RAW_발주!$D:$D,RAW_발주!$C:$C,A1249,RAW_발주!$A:$A,C1249)-SUMIFS($W:$W,$A:$A,A1249,$C:$C,C1249)),0)</f>
        <v>0</v>
      </c>
    </row>
    <row r="1250" customFormat="false" ht="15" hidden="false" customHeight="true" outlineLevel="0" collapsed="false">
      <c r="A1250" s="45" t="s">
        <v>1659</v>
      </c>
      <c r="B1250" s="42" t="str">
        <f aca="false">IF(A1250="100","HK",IF(A1250="200","CN",IF(A1250="300","TW","홀세일")))</f>
        <v>HK</v>
      </c>
      <c r="C1250" s="45" t="s">
        <v>1097</v>
      </c>
      <c r="D1250" s="46" t="n">
        <v>65</v>
      </c>
      <c r="E1250" s="46" t="n">
        <v>249000</v>
      </c>
      <c r="F1250" s="46" t="n">
        <v>81823</v>
      </c>
      <c r="G1250" s="42" t="n">
        <v>3.01</v>
      </c>
      <c r="H1250" s="42" t="n">
        <v>64</v>
      </c>
      <c r="I1250" s="42" t="n">
        <v>65</v>
      </c>
      <c r="J1250" s="46" t="n">
        <f aca="false">IF(N(E1250)&gt;0,E1250,IF(N(F1250)&gt;0,F1250*요약!$F$27,0))</f>
        <v>249000</v>
      </c>
      <c r="K1250" s="46" t="n">
        <f aca="false">IF(N(F1250)&gt;0,F1250,IF(N(E1250)&gt;0,E1250/요약!$F$27,0))</f>
        <v>81823</v>
      </c>
      <c r="L1250" s="46" t="n">
        <f aca="false">IF(B1250="CN",IF(N(I1250)&gt;0,I1250*요약!$G$27,K1250*(1+요약!$E$27)),IF(N(H1250)&gt;0,H1250*요약!$G$27,J1250*요약!$D$27))</f>
        <v>84480</v>
      </c>
      <c r="M1250" s="46" t="n">
        <f aca="false">D1250*J1250</f>
        <v>16185000</v>
      </c>
      <c r="N1250" s="46" t="n">
        <f aca="false">D1250*K1250</f>
        <v>5318495</v>
      </c>
      <c r="O1250" s="46" t="n">
        <f aca="false">D1250*L1250</f>
        <v>5491200</v>
      </c>
      <c r="P1250" s="42" t="str">
        <f aca="false">TRIM(IF(N(E1250)&lt;=0,"택가보정 ","")&amp;IF(N(F1250)&lt;=0,"원가보정 ","")&amp;IF(AND(B1250&lt;&gt;"CN",N(H1250)&lt;=0),"공급가보정 ","")&amp;IF(AND(B1250="CN",N(I1250)&lt;=0),"중국공급가=원가+마진 ",""))</f>
        <v/>
      </c>
      <c r="Q1250" s="47" t="n">
        <f aca="false">IF(SUMIFS($W:$W,$A:$A,A1250,$C:$C,C1250)=0,0,SUMIFS(RAW_판매펀칭!$K:$K,RAW_판매펀칭!$P:$P,A1250,RAW_판매펀칭!$I:$I,C1250)*W1250/SUMIFS($W:$W,$A:$A,A1250,$C:$C,C1250))</f>
        <v>0</v>
      </c>
      <c r="R1250" s="47" t="n">
        <f aca="false">IF(OR(A1250="500",A1250="800",A1250="810"),0,MAX(W1250-Q1250,0))</f>
        <v>65</v>
      </c>
      <c r="S1250" s="47" t="n">
        <f aca="false">R1250*L1250</f>
        <v>5491200</v>
      </c>
      <c r="T1250" s="47" t="n">
        <f aca="false">R1250*J1250</f>
        <v>16185000</v>
      </c>
      <c r="U1250" s="47" t="n">
        <f aca="false">R1250*K1250</f>
        <v>5318495</v>
      </c>
      <c r="V1250" s="0" t="str">
        <f aca="false">IF(COUNTIFS($A$2:A1250,A1250,$C$2:C1250,C1250,$D$2:D1250,D1250)&gt;1,"중복","")</f>
        <v/>
      </c>
      <c r="W1250" s="0" t="n">
        <f aca="false">IF(V1250="중복",0,N(D1250))</f>
        <v>65</v>
      </c>
      <c r="X1250" s="0" t="n">
        <f aca="false">IF(COUNTIFS($A$2:A1250,A1250,$C$2:C1250,C1250)=1,ABS(SUMIFS(RAW_발주!$D:$D,RAW_발주!$C:$C,A1250,RAW_발주!$A:$A,C1250)-SUMIFS($W:$W,$A:$A,A1250,$C:$C,C1250)),0)</f>
        <v>0</v>
      </c>
    </row>
    <row r="1251" customFormat="false" ht="15" hidden="false" customHeight="true" outlineLevel="0" collapsed="false">
      <c r="A1251" s="45" t="s">
        <v>1660</v>
      </c>
      <c r="B1251" s="42" t="str">
        <f aca="false">IF(A1251="100","HK",IF(A1251="200","CN",IF(A1251="300","TW","홀세일")))</f>
        <v>CN</v>
      </c>
      <c r="C1251" s="45" t="s">
        <v>1097</v>
      </c>
      <c r="D1251" s="46" t="n">
        <v>203</v>
      </c>
      <c r="E1251" s="46" t="n">
        <v>249000</v>
      </c>
      <c r="F1251" s="46" t="n">
        <v>81823</v>
      </c>
      <c r="G1251" s="42" t="n">
        <v>3.01</v>
      </c>
      <c r="H1251" s="42" t="n">
        <v>64</v>
      </c>
      <c r="I1251" s="42" t="n">
        <v>65</v>
      </c>
      <c r="J1251" s="46" t="n">
        <f aca="false">IF(N(E1251)&gt;0,E1251,IF(N(F1251)&gt;0,F1251*요약!$F$27,0))</f>
        <v>249000</v>
      </c>
      <c r="K1251" s="46" t="n">
        <f aca="false">IF(N(F1251)&gt;0,F1251,IF(N(E1251)&gt;0,E1251/요약!$F$27,0))</f>
        <v>81823</v>
      </c>
      <c r="L1251" s="46" t="n">
        <f aca="false">IF(B1251="CN",IF(N(I1251)&gt;0,I1251*요약!$G$27,K1251*(1+요약!$E$27)),IF(N(H1251)&gt;0,H1251*요약!$G$27,J1251*요약!$D$27))</f>
        <v>85800</v>
      </c>
      <c r="M1251" s="46" t="n">
        <f aca="false">D1251*J1251</f>
        <v>50547000</v>
      </c>
      <c r="N1251" s="46" t="n">
        <f aca="false">D1251*K1251</f>
        <v>16610069</v>
      </c>
      <c r="O1251" s="46" t="n">
        <f aca="false">D1251*L1251</f>
        <v>17417400</v>
      </c>
      <c r="P1251" s="42" t="str">
        <f aca="false">TRIM(IF(N(E1251)&lt;=0,"택가보정 ","")&amp;IF(N(F1251)&lt;=0,"원가보정 ","")&amp;IF(AND(B1251&lt;&gt;"CN",N(H1251)&lt;=0),"공급가보정 ","")&amp;IF(AND(B1251="CN",N(I1251)&lt;=0),"중국공급가=원가+마진 ",""))</f>
        <v/>
      </c>
      <c r="Q1251" s="47" t="n">
        <f aca="false">IF(SUMIFS($W:$W,$A:$A,A1251,$C:$C,C1251)=0,0,SUMIFS(RAW_판매펀칭!$K:$K,RAW_판매펀칭!$P:$P,A1251,RAW_판매펀칭!$I:$I,C1251)*W1251/SUMIFS($W:$W,$A:$A,A1251,$C:$C,C1251))</f>
        <v>3</v>
      </c>
      <c r="R1251" s="47" t="n">
        <f aca="false">IF(OR(A1251="500",A1251="800",A1251="810"),0,MAX(W1251-Q1251,0))</f>
        <v>200</v>
      </c>
      <c r="S1251" s="47" t="n">
        <f aca="false">R1251*L1251</f>
        <v>17160000</v>
      </c>
      <c r="T1251" s="47" t="n">
        <f aca="false">R1251*J1251</f>
        <v>49800000</v>
      </c>
      <c r="U1251" s="47" t="n">
        <f aca="false">R1251*K1251</f>
        <v>16364600</v>
      </c>
      <c r="V1251" s="0" t="str">
        <f aca="false">IF(COUNTIFS($A$2:A1251,A1251,$C$2:C1251,C1251,$D$2:D1251,D1251)&gt;1,"중복","")</f>
        <v/>
      </c>
      <c r="W1251" s="0" t="n">
        <f aca="false">IF(V1251="중복",0,N(D1251))</f>
        <v>203</v>
      </c>
      <c r="X1251" s="0" t="n">
        <f aca="false">IF(COUNTIFS($A$2:A1251,A1251,$C$2:C1251,C1251)=1,ABS(SUMIFS(RAW_발주!$D:$D,RAW_발주!$C:$C,A1251,RAW_발주!$A:$A,C1251)-SUMIFS($W:$W,$A:$A,A1251,$C:$C,C1251)),0)</f>
        <v>0</v>
      </c>
    </row>
    <row r="1252" customFormat="false" ht="15" hidden="false" customHeight="true" outlineLevel="0" collapsed="false">
      <c r="A1252" s="45" t="s">
        <v>1661</v>
      </c>
      <c r="B1252" s="42" t="str">
        <f aca="false">IF(A1252="100","HK",IF(A1252="200","CN",IF(A1252="300","TW","홀세일")))</f>
        <v>TW</v>
      </c>
      <c r="C1252" s="45" t="s">
        <v>1097</v>
      </c>
      <c r="D1252" s="46" t="n">
        <v>120</v>
      </c>
      <c r="E1252" s="46" t="n">
        <v>249000</v>
      </c>
      <c r="F1252" s="46" t="n">
        <v>81823</v>
      </c>
      <c r="G1252" s="42" t="n">
        <v>3.01</v>
      </c>
      <c r="H1252" s="42" t="n">
        <v>64</v>
      </c>
      <c r="I1252" s="42" t="n">
        <v>65</v>
      </c>
      <c r="J1252" s="46" t="n">
        <f aca="false">IF(N(E1252)&gt;0,E1252,IF(N(F1252)&gt;0,F1252*요약!$F$27,0))</f>
        <v>249000</v>
      </c>
      <c r="K1252" s="46" t="n">
        <f aca="false">IF(N(F1252)&gt;0,F1252,IF(N(E1252)&gt;0,E1252/요약!$F$27,0))</f>
        <v>81823</v>
      </c>
      <c r="L1252" s="46" t="n">
        <f aca="false">IF(B1252="CN",IF(N(I1252)&gt;0,I1252*요약!$G$27,K1252*(1+요약!$E$27)),IF(N(H1252)&gt;0,H1252*요약!$G$27,J1252*요약!$D$27))</f>
        <v>84480</v>
      </c>
      <c r="M1252" s="46" t="n">
        <f aca="false">D1252*J1252</f>
        <v>29880000</v>
      </c>
      <c r="N1252" s="46" t="n">
        <f aca="false">D1252*K1252</f>
        <v>9818760</v>
      </c>
      <c r="O1252" s="46" t="n">
        <f aca="false">D1252*L1252</f>
        <v>10137600</v>
      </c>
      <c r="P1252" s="42" t="str">
        <f aca="false">TRIM(IF(N(E1252)&lt;=0,"택가보정 ","")&amp;IF(N(F1252)&lt;=0,"원가보정 ","")&amp;IF(AND(B1252&lt;&gt;"CN",N(H1252)&lt;=0),"공급가보정 ","")&amp;IF(AND(B1252="CN",N(I1252)&lt;=0),"중국공급가=원가+마진 ",""))</f>
        <v/>
      </c>
      <c r="Q1252" s="47" t="n">
        <f aca="false">IF(SUMIFS($W:$W,$A:$A,A1252,$C:$C,C1252)=0,0,SUMIFS(RAW_판매펀칭!$K:$K,RAW_판매펀칭!$P:$P,A1252,RAW_판매펀칭!$I:$I,C1252)*W1252/SUMIFS($W:$W,$A:$A,A1252,$C:$C,C1252))</f>
        <v>0</v>
      </c>
      <c r="R1252" s="47" t="n">
        <f aca="false">IF(OR(A1252="500",A1252="800",A1252="810"),0,MAX(W1252-Q1252,0))</f>
        <v>120</v>
      </c>
      <c r="S1252" s="47" t="n">
        <f aca="false">R1252*L1252</f>
        <v>10137600</v>
      </c>
      <c r="T1252" s="47" t="n">
        <f aca="false">R1252*J1252</f>
        <v>29880000</v>
      </c>
      <c r="U1252" s="47" t="n">
        <f aca="false">R1252*K1252</f>
        <v>9818760</v>
      </c>
      <c r="V1252" s="0" t="str">
        <f aca="false">IF(COUNTIFS($A$2:A1252,A1252,$C$2:C1252,C1252,$D$2:D1252,D1252)&gt;1,"중복","")</f>
        <v/>
      </c>
      <c r="W1252" s="0" t="n">
        <f aca="false">IF(V1252="중복",0,N(D1252))</f>
        <v>120</v>
      </c>
      <c r="X1252" s="0" t="n">
        <f aca="false">IF(COUNTIFS($A$2:A1252,A1252,$C$2:C1252,C1252)=1,ABS(SUMIFS(RAW_발주!$D:$D,RAW_발주!$C:$C,A1252,RAW_발주!$A:$A,C1252)-SUMIFS($W:$W,$A:$A,A1252,$C:$C,C1252)),0)</f>
        <v>0</v>
      </c>
    </row>
    <row r="1253" customFormat="false" ht="15" hidden="false" customHeight="true" outlineLevel="0" collapsed="false">
      <c r="A1253" s="45" t="s">
        <v>1667</v>
      </c>
      <c r="B1253" s="42" t="str">
        <f aca="false">IF(A1253="100","HK",IF(A1253="200","CN",IF(A1253="300","TW","홀세일")))</f>
        <v>홀세일</v>
      </c>
      <c r="C1253" s="45" t="s">
        <v>1097</v>
      </c>
      <c r="D1253" s="46" t="n">
        <v>50</v>
      </c>
      <c r="E1253" s="46" t="n">
        <v>249000</v>
      </c>
      <c r="F1253" s="46" t="n">
        <v>81823</v>
      </c>
      <c r="G1253" s="42" t="n">
        <v>3.01</v>
      </c>
      <c r="H1253" s="42" t="n">
        <v>64</v>
      </c>
      <c r="I1253" s="42" t="n">
        <v>65</v>
      </c>
      <c r="J1253" s="46" t="n">
        <f aca="false">IF(N(E1253)&gt;0,E1253,IF(N(F1253)&gt;0,F1253*요약!$F$27,0))</f>
        <v>249000</v>
      </c>
      <c r="K1253" s="46" t="n">
        <f aca="false">IF(N(F1253)&gt;0,F1253,IF(N(E1253)&gt;0,E1253/요약!$F$27,0))</f>
        <v>81823</v>
      </c>
      <c r="L1253" s="46" t="n">
        <f aca="false">IF(B1253="CN",IF(N(I1253)&gt;0,I1253*요약!$G$27,K1253*(1+요약!$E$27)),IF(N(H1253)&gt;0,H1253*요약!$G$27,J1253*요약!$D$27))</f>
        <v>84480</v>
      </c>
      <c r="M1253" s="46" t="n">
        <f aca="false">D1253*J1253</f>
        <v>12450000</v>
      </c>
      <c r="N1253" s="46" t="n">
        <f aca="false">D1253*K1253</f>
        <v>4091150</v>
      </c>
      <c r="O1253" s="46" t="n">
        <f aca="false">D1253*L1253</f>
        <v>4224000</v>
      </c>
      <c r="P1253" s="42" t="str">
        <f aca="false">TRIM(IF(N(E1253)&lt;=0,"택가보정 ","")&amp;IF(N(F1253)&lt;=0,"원가보정 ","")&amp;IF(AND(B1253&lt;&gt;"CN",N(H1253)&lt;=0),"공급가보정 ","")&amp;IF(AND(B1253="CN",N(I1253)&lt;=0),"중국공급가=원가+마진 ",""))</f>
        <v/>
      </c>
      <c r="Q1253" s="47" t="n">
        <f aca="false">IF(SUMIFS($W:$W,$A:$A,A1253,$C:$C,C1253)=0,0,SUMIFS(RAW_판매펀칭!$K:$K,RAW_판매펀칭!$P:$P,A1253,RAW_판매펀칭!$I:$I,C1253)*W1253/SUMIFS($W:$W,$A:$A,A1253,$C:$C,C1253))</f>
        <v>0</v>
      </c>
      <c r="R1253" s="47" t="n">
        <f aca="false">IF(OR(A1253="500",A1253="800",A1253="810"),0,MAX(W1253-Q1253,0))</f>
        <v>50</v>
      </c>
      <c r="S1253" s="47" t="n">
        <f aca="false">R1253*L1253</f>
        <v>4224000</v>
      </c>
      <c r="T1253" s="47" t="n">
        <f aca="false">R1253*J1253</f>
        <v>12450000</v>
      </c>
      <c r="U1253" s="47" t="n">
        <f aca="false">R1253*K1253</f>
        <v>4091150</v>
      </c>
      <c r="V1253" s="0" t="str">
        <f aca="false">IF(COUNTIFS($A$2:A1253,A1253,$C$2:C1253,C1253,$D$2:D1253,D1253)&gt;1,"중복","")</f>
        <v/>
      </c>
      <c r="W1253" s="0" t="n">
        <f aca="false">IF(V1253="중복",0,N(D1253))</f>
        <v>50</v>
      </c>
      <c r="X1253" s="0" t="n">
        <f aca="false">IF(COUNTIFS($A$2:A1253,A1253,$C$2:C1253,C1253)=1,ABS(SUMIFS(RAW_발주!$D:$D,RAW_발주!$C:$C,A1253,RAW_발주!$A:$A,C1253)-SUMIFS($W:$W,$A:$A,A1253,$C:$C,C1253)),0)</f>
        <v>0</v>
      </c>
    </row>
    <row r="1254" customFormat="false" ht="15" hidden="false" customHeight="true" outlineLevel="0" collapsed="false">
      <c r="A1254" s="45" t="s">
        <v>1659</v>
      </c>
      <c r="B1254" s="42" t="str">
        <f aca="false">IF(A1254="100","HK",IF(A1254="200","CN",IF(A1254="300","TW","홀세일")))</f>
        <v>HK</v>
      </c>
      <c r="C1254" s="45" t="s">
        <v>573</v>
      </c>
      <c r="D1254" s="46" t="n">
        <v>400</v>
      </c>
      <c r="E1254" s="46" t="n">
        <v>199000</v>
      </c>
      <c r="F1254" s="46" t="n">
        <v>46500</v>
      </c>
      <c r="G1254" s="42" t="n">
        <v>3.87</v>
      </c>
      <c r="H1254" s="42" t="n">
        <v>49.8</v>
      </c>
      <c r="I1254" s="42" t="n">
        <v>0</v>
      </c>
      <c r="J1254" s="46" t="n">
        <f aca="false">IF(N(E1254)&gt;0,E1254,IF(N(F1254)&gt;0,F1254*요약!$F$27,0))</f>
        <v>199000</v>
      </c>
      <c r="K1254" s="46" t="n">
        <f aca="false">IF(N(F1254)&gt;0,F1254,IF(N(E1254)&gt;0,E1254/요약!$F$27,0))</f>
        <v>46500</v>
      </c>
      <c r="L1254" s="46" t="n">
        <f aca="false">IF(B1254="CN",IF(N(I1254)&gt;0,I1254*요약!$G$27,K1254*(1+요약!$E$27)),IF(N(H1254)&gt;0,H1254*요약!$G$27,J1254*요약!$D$27))</f>
        <v>65736</v>
      </c>
      <c r="M1254" s="46" t="n">
        <f aca="false">D1254*J1254</f>
        <v>79600000</v>
      </c>
      <c r="N1254" s="46" t="n">
        <f aca="false">D1254*K1254</f>
        <v>18600000</v>
      </c>
      <c r="O1254" s="46" t="n">
        <f aca="false">D1254*L1254</f>
        <v>26294400</v>
      </c>
      <c r="P1254" s="42" t="str">
        <f aca="false">TRIM(IF(N(E1254)&lt;=0,"택가보정 ","")&amp;IF(N(F1254)&lt;=0,"원가보정 ","")&amp;IF(AND(B1254&lt;&gt;"CN",N(H1254)&lt;=0),"공급가보정 ","")&amp;IF(AND(B1254="CN",N(I1254)&lt;=0),"중국공급가=원가+마진 ",""))</f>
        <v/>
      </c>
      <c r="Q1254" s="47" t="n">
        <f aca="false">IF(SUMIFS($W:$W,$A:$A,A1254,$C:$C,C1254)=0,0,SUMIFS(RAW_판매펀칭!$K:$K,RAW_판매펀칭!$P:$P,A1254,RAW_판매펀칭!$I:$I,C1254)*W1254/SUMIFS($W:$W,$A:$A,A1254,$C:$C,C1254))</f>
        <v>400</v>
      </c>
      <c r="R1254" s="47" t="n">
        <f aca="false">IF(OR(A1254="500",A1254="800",A1254="810"),0,MAX(W1254-Q1254,0))</f>
        <v>0</v>
      </c>
      <c r="S1254" s="47" t="n">
        <f aca="false">R1254*L1254</f>
        <v>0</v>
      </c>
      <c r="T1254" s="47" t="n">
        <f aca="false">R1254*J1254</f>
        <v>0</v>
      </c>
      <c r="U1254" s="47" t="n">
        <f aca="false">R1254*K1254</f>
        <v>0</v>
      </c>
      <c r="V1254" s="0" t="str">
        <f aca="false">IF(COUNTIFS($A$2:A1254,A1254,$C$2:C1254,C1254,$D$2:D1254,D1254)&gt;1,"중복","")</f>
        <v/>
      </c>
      <c r="W1254" s="0" t="n">
        <f aca="false">IF(V1254="중복",0,N(D1254))</f>
        <v>400</v>
      </c>
      <c r="X1254" s="0" t="n">
        <f aca="false">IF(COUNTIFS($A$2:A1254,A1254,$C$2:C1254,C1254)=1,ABS(SUMIFS(RAW_발주!$D:$D,RAW_발주!$C:$C,A1254,RAW_발주!$A:$A,C1254)-SUMIFS($W:$W,$A:$A,A1254,$C:$C,C1254)),0)</f>
        <v>0</v>
      </c>
    </row>
    <row r="1255" customFormat="false" ht="15" hidden="false" customHeight="true" outlineLevel="0" collapsed="false">
      <c r="A1255" s="45" t="s">
        <v>1661</v>
      </c>
      <c r="B1255" s="42" t="str">
        <f aca="false">IF(A1255="100","HK",IF(A1255="200","CN",IF(A1255="300","TW","홀세일")))</f>
        <v>TW</v>
      </c>
      <c r="C1255" s="45" t="s">
        <v>573</v>
      </c>
      <c r="D1255" s="46" t="n">
        <v>360</v>
      </c>
      <c r="E1255" s="46" t="n">
        <v>199000</v>
      </c>
      <c r="F1255" s="46" t="n">
        <v>46500</v>
      </c>
      <c r="G1255" s="42" t="n">
        <v>3.87</v>
      </c>
      <c r="H1255" s="42" t="n">
        <v>49.8</v>
      </c>
      <c r="I1255" s="42" t="n">
        <v>0</v>
      </c>
      <c r="J1255" s="46" t="n">
        <f aca="false">IF(N(E1255)&gt;0,E1255,IF(N(F1255)&gt;0,F1255*요약!$F$27,0))</f>
        <v>199000</v>
      </c>
      <c r="K1255" s="46" t="n">
        <f aca="false">IF(N(F1255)&gt;0,F1255,IF(N(E1255)&gt;0,E1255/요약!$F$27,0))</f>
        <v>46500</v>
      </c>
      <c r="L1255" s="46" t="n">
        <f aca="false">IF(B1255="CN",IF(N(I1255)&gt;0,I1255*요약!$G$27,K1255*(1+요약!$E$27)),IF(N(H1255)&gt;0,H1255*요약!$G$27,J1255*요약!$D$27))</f>
        <v>65736</v>
      </c>
      <c r="M1255" s="46" t="n">
        <f aca="false">D1255*J1255</f>
        <v>71640000</v>
      </c>
      <c r="N1255" s="46" t="n">
        <f aca="false">D1255*K1255</f>
        <v>16740000</v>
      </c>
      <c r="O1255" s="46" t="n">
        <f aca="false">D1255*L1255</f>
        <v>23664960</v>
      </c>
      <c r="P1255" s="42" t="str">
        <f aca="false">TRIM(IF(N(E1255)&lt;=0,"택가보정 ","")&amp;IF(N(F1255)&lt;=0,"원가보정 ","")&amp;IF(AND(B1255&lt;&gt;"CN",N(H1255)&lt;=0),"공급가보정 ","")&amp;IF(AND(B1255="CN",N(I1255)&lt;=0),"중국공급가=원가+마진 ",""))</f>
        <v/>
      </c>
      <c r="Q1255" s="47" t="n">
        <f aca="false">IF(SUMIFS($W:$W,$A:$A,A1255,$C:$C,C1255)=0,0,SUMIFS(RAW_판매펀칭!$K:$K,RAW_판매펀칭!$P:$P,A1255,RAW_판매펀칭!$I:$I,C1255)*W1255/SUMIFS($W:$W,$A:$A,A1255,$C:$C,C1255))</f>
        <v>360</v>
      </c>
      <c r="R1255" s="47" t="n">
        <f aca="false">IF(OR(A1255="500",A1255="800",A1255="810"),0,MAX(W1255-Q1255,0))</f>
        <v>0</v>
      </c>
      <c r="S1255" s="47" t="n">
        <f aca="false">R1255*L1255</f>
        <v>0</v>
      </c>
      <c r="T1255" s="47" t="n">
        <f aca="false">R1255*J1255</f>
        <v>0</v>
      </c>
      <c r="U1255" s="47" t="n">
        <f aca="false">R1255*K1255</f>
        <v>0</v>
      </c>
      <c r="V1255" s="0" t="str">
        <f aca="false">IF(COUNTIFS($A$2:A1255,A1255,$C$2:C1255,C1255,$D$2:D1255,D1255)&gt;1,"중복","")</f>
        <v/>
      </c>
      <c r="W1255" s="0" t="n">
        <f aca="false">IF(V1255="중복",0,N(D1255))</f>
        <v>360</v>
      </c>
      <c r="X1255" s="0" t="n">
        <f aca="false">IF(COUNTIFS($A$2:A1255,A1255,$C$2:C1255,C1255)=1,ABS(SUMIFS(RAW_발주!$D:$D,RAW_발주!$C:$C,A1255,RAW_발주!$A:$A,C1255)-SUMIFS($W:$W,$A:$A,A1255,$C:$C,C1255)),0)</f>
        <v>0</v>
      </c>
    </row>
    <row r="1256" customFormat="false" ht="15" hidden="false" customHeight="true" outlineLevel="0" collapsed="false">
      <c r="A1256" s="45" t="s">
        <v>1663</v>
      </c>
      <c r="B1256" s="42" t="str">
        <f aca="false">IF(A1256="100","HK",IF(A1256="200","CN",IF(A1256="300","TW","홀세일")))</f>
        <v>홀세일</v>
      </c>
      <c r="C1256" s="45" t="s">
        <v>573</v>
      </c>
      <c r="D1256" s="46" t="n">
        <v>20</v>
      </c>
      <c r="E1256" s="46" t="n">
        <v>199000</v>
      </c>
      <c r="F1256" s="46" t="n">
        <v>46500</v>
      </c>
      <c r="G1256" s="42" t="n">
        <v>3.87</v>
      </c>
      <c r="H1256" s="42" t="n">
        <v>49.8</v>
      </c>
      <c r="I1256" s="42" t="n">
        <v>0</v>
      </c>
      <c r="J1256" s="46" t="n">
        <f aca="false">IF(N(E1256)&gt;0,E1256,IF(N(F1256)&gt;0,F1256*요약!$F$27,0))</f>
        <v>199000</v>
      </c>
      <c r="K1256" s="46" t="n">
        <f aca="false">IF(N(F1256)&gt;0,F1256,IF(N(E1256)&gt;0,E1256/요약!$F$27,0))</f>
        <v>46500</v>
      </c>
      <c r="L1256" s="46" t="n">
        <f aca="false">IF(B1256="CN",IF(N(I1256)&gt;0,I1256*요약!$G$27,K1256*(1+요약!$E$27)),IF(N(H1256)&gt;0,H1256*요약!$G$27,J1256*요약!$D$27))</f>
        <v>65736</v>
      </c>
      <c r="M1256" s="46" t="n">
        <f aca="false">D1256*J1256</f>
        <v>3980000</v>
      </c>
      <c r="N1256" s="46" t="n">
        <f aca="false">D1256*K1256</f>
        <v>930000</v>
      </c>
      <c r="O1256" s="46" t="n">
        <f aca="false">D1256*L1256</f>
        <v>1314720</v>
      </c>
      <c r="P1256" s="42" t="str">
        <f aca="false">TRIM(IF(N(E1256)&lt;=0,"택가보정 ","")&amp;IF(N(F1256)&lt;=0,"원가보정 ","")&amp;IF(AND(B1256&lt;&gt;"CN",N(H1256)&lt;=0),"공급가보정 ","")&amp;IF(AND(B1256="CN",N(I1256)&lt;=0),"중국공급가=원가+마진 ",""))</f>
        <v/>
      </c>
      <c r="Q1256" s="47" t="n">
        <f aca="false">IF(SUMIFS($W:$W,$A:$A,A1256,$C:$C,C1256)=0,0,SUMIFS(RAW_판매펀칭!$K:$K,RAW_판매펀칭!$P:$P,A1256,RAW_판매펀칭!$I:$I,C1256)*W1256/SUMIFS($W:$W,$A:$A,A1256,$C:$C,C1256))</f>
        <v>20</v>
      </c>
      <c r="R1256" s="47" t="n">
        <f aca="false">IF(OR(A1256="500",A1256="800",A1256="810"),0,MAX(W1256-Q1256,0))</f>
        <v>0</v>
      </c>
      <c r="S1256" s="47" t="n">
        <f aca="false">R1256*L1256</f>
        <v>0</v>
      </c>
      <c r="T1256" s="47" t="n">
        <f aca="false">R1256*J1256</f>
        <v>0</v>
      </c>
      <c r="U1256" s="47" t="n">
        <f aca="false">R1256*K1256</f>
        <v>0</v>
      </c>
      <c r="V1256" s="0" t="str">
        <f aca="false">IF(COUNTIFS($A$2:A1256,A1256,$C$2:C1256,C1256,$D$2:D1256,D1256)&gt;1,"중복","")</f>
        <v/>
      </c>
      <c r="W1256" s="0" t="n">
        <f aca="false">IF(V1256="중복",0,N(D1256))</f>
        <v>20</v>
      </c>
      <c r="X1256" s="0" t="n">
        <f aca="false">IF(COUNTIFS($A$2:A1256,A1256,$C$2:C1256,C1256)=1,ABS(SUMIFS(RAW_발주!$D:$D,RAW_발주!$C:$C,A1256,RAW_발주!$A:$A,C1256)-SUMIFS($W:$W,$A:$A,A1256,$C:$C,C1256)),0)</f>
        <v>0</v>
      </c>
    </row>
    <row r="1257" customFormat="false" ht="15" hidden="false" customHeight="true" outlineLevel="0" collapsed="false">
      <c r="A1257" s="45" t="s">
        <v>1659</v>
      </c>
      <c r="B1257" s="42" t="str">
        <f aca="false">IF(A1257="100","HK",IF(A1257="200","CN",IF(A1257="300","TW","홀세일")))</f>
        <v>HK</v>
      </c>
      <c r="C1257" s="45" t="s">
        <v>575</v>
      </c>
      <c r="D1257" s="46" t="n">
        <v>80</v>
      </c>
      <c r="E1257" s="46" t="n">
        <v>149000</v>
      </c>
      <c r="F1257" s="46" t="n">
        <v>32700</v>
      </c>
      <c r="G1257" s="42" t="n">
        <v>3.23</v>
      </c>
      <c r="H1257" s="42" t="n">
        <v>37.3</v>
      </c>
      <c r="I1257" s="42" t="n">
        <v>0</v>
      </c>
      <c r="J1257" s="46" t="n">
        <f aca="false">IF(N(E1257)&gt;0,E1257,IF(N(F1257)&gt;0,F1257*요약!$F$27,0))</f>
        <v>149000</v>
      </c>
      <c r="K1257" s="46" t="n">
        <f aca="false">IF(N(F1257)&gt;0,F1257,IF(N(E1257)&gt;0,E1257/요약!$F$27,0))</f>
        <v>32700</v>
      </c>
      <c r="L1257" s="46" t="n">
        <f aca="false">IF(B1257="CN",IF(N(I1257)&gt;0,I1257*요약!$G$27,K1257*(1+요약!$E$27)),IF(N(H1257)&gt;0,H1257*요약!$G$27,J1257*요약!$D$27))</f>
        <v>49236</v>
      </c>
      <c r="M1257" s="46" t="n">
        <f aca="false">D1257*J1257</f>
        <v>11920000</v>
      </c>
      <c r="N1257" s="46" t="n">
        <f aca="false">D1257*K1257</f>
        <v>2616000</v>
      </c>
      <c r="O1257" s="46" t="n">
        <f aca="false">D1257*L1257</f>
        <v>3938880</v>
      </c>
      <c r="P1257" s="42" t="str">
        <f aca="false">TRIM(IF(N(E1257)&lt;=0,"택가보정 ","")&amp;IF(N(F1257)&lt;=0,"원가보정 ","")&amp;IF(AND(B1257&lt;&gt;"CN",N(H1257)&lt;=0),"공급가보정 ","")&amp;IF(AND(B1257="CN",N(I1257)&lt;=0),"중국공급가=원가+마진 ",""))</f>
        <v/>
      </c>
      <c r="Q1257" s="47" t="n">
        <f aca="false">IF(SUMIFS($W:$W,$A:$A,A1257,$C:$C,C1257)=0,0,SUMIFS(RAW_판매펀칭!$K:$K,RAW_판매펀칭!$P:$P,A1257,RAW_판매펀칭!$I:$I,C1257)*W1257/SUMIFS($W:$W,$A:$A,A1257,$C:$C,C1257))</f>
        <v>80</v>
      </c>
      <c r="R1257" s="47" t="n">
        <f aca="false">IF(OR(A1257="500",A1257="800",A1257="810"),0,MAX(W1257-Q1257,0))</f>
        <v>0</v>
      </c>
      <c r="S1257" s="47" t="n">
        <f aca="false">R1257*L1257</f>
        <v>0</v>
      </c>
      <c r="T1257" s="47" t="n">
        <f aca="false">R1257*J1257</f>
        <v>0</v>
      </c>
      <c r="U1257" s="47" t="n">
        <f aca="false">R1257*K1257</f>
        <v>0</v>
      </c>
      <c r="V1257" s="0" t="str">
        <f aca="false">IF(COUNTIFS($A$2:A1257,A1257,$C$2:C1257,C1257,$D$2:D1257,D1257)&gt;1,"중복","")</f>
        <v/>
      </c>
      <c r="W1257" s="0" t="n">
        <f aca="false">IF(V1257="중복",0,N(D1257))</f>
        <v>80</v>
      </c>
      <c r="X1257" s="0" t="n">
        <f aca="false">IF(COUNTIFS($A$2:A1257,A1257,$C$2:C1257,C1257)=1,ABS(SUMIFS(RAW_발주!$D:$D,RAW_발주!$C:$C,A1257,RAW_발주!$A:$A,C1257)-SUMIFS($W:$W,$A:$A,A1257,$C:$C,C1257)),0)</f>
        <v>0</v>
      </c>
    </row>
    <row r="1258" customFormat="false" ht="15" hidden="false" customHeight="true" outlineLevel="0" collapsed="false">
      <c r="A1258" s="45" t="s">
        <v>1661</v>
      </c>
      <c r="B1258" s="42" t="str">
        <f aca="false">IF(A1258="100","HK",IF(A1258="200","CN",IF(A1258="300","TW","홀세일")))</f>
        <v>TW</v>
      </c>
      <c r="C1258" s="45" t="s">
        <v>575</v>
      </c>
      <c r="D1258" s="46" t="n">
        <v>70</v>
      </c>
      <c r="E1258" s="46" t="n">
        <v>149000</v>
      </c>
      <c r="F1258" s="46" t="n">
        <v>32700</v>
      </c>
      <c r="G1258" s="42" t="n">
        <v>3.23</v>
      </c>
      <c r="H1258" s="42" t="n">
        <v>37.3</v>
      </c>
      <c r="I1258" s="42" t="n">
        <v>0</v>
      </c>
      <c r="J1258" s="46" t="n">
        <f aca="false">IF(N(E1258)&gt;0,E1258,IF(N(F1258)&gt;0,F1258*요약!$F$27,0))</f>
        <v>149000</v>
      </c>
      <c r="K1258" s="46" t="n">
        <f aca="false">IF(N(F1258)&gt;0,F1258,IF(N(E1258)&gt;0,E1258/요약!$F$27,0))</f>
        <v>32700</v>
      </c>
      <c r="L1258" s="46" t="n">
        <f aca="false">IF(B1258="CN",IF(N(I1258)&gt;0,I1258*요약!$G$27,K1258*(1+요약!$E$27)),IF(N(H1258)&gt;0,H1258*요약!$G$27,J1258*요약!$D$27))</f>
        <v>49236</v>
      </c>
      <c r="M1258" s="46" t="n">
        <f aca="false">D1258*J1258</f>
        <v>10430000</v>
      </c>
      <c r="N1258" s="46" t="n">
        <f aca="false">D1258*K1258</f>
        <v>2289000</v>
      </c>
      <c r="O1258" s="46" t="n">
        <f aca="false">D1258*L1258</f>
        <v>3446520</v>
      </c>
      <c r="P1258" s="42" t="str">
        <f aca="false">TRIM(IF(N(E1258)&lt;=0,"택가보정 ","")&amp;IF(N(F1258)&lt;=0,"원가보정 ","")&amp;IF(AND(B1258&lt;&gt;"CN",N(H1258)&lt;=0),"공급가보정 ","")&amp;IF(AND(B1258="CN",N(I1258)&lt;=0),"중국공급가=원가+마진 ",""))</f>
        <v/>
      </c>
      <c r="Q1258" s="47" t="n">
        <f aca="false">IF(SUMIFS($W:$W,$A:$A,A1258,$C:$C,C1258)=0,0,SUMIFS(RAW_판매펀칭!$K:$K,RAW_판매펀칭!$P:$P,A1258,RAW_판매펀칭!$I:$I,C1258)*W1258/SUMIFS($W:$W,$A:$A,A1258,$C:$C,C1258))</f>
        <v>70</v>
      </c>
      <c r="R1258" s="47" t="n">
        <f aca="false">IF(OR(A1258="500",A1258="800",A1258="810"),0,MAX(W1258-Q1258,0))</f>
        <v>0</v>
      </c>
      <c r="S1258" s="47" t="n">
        <f aca="false">R1258*L1258</f>
        <v>0</v>
      </c>
      <c r="T1258" s="47" t="n">
        <f aca="false">R1258*J1258</f>
        <v>0</v>
      </c>
      <c r="U1258" s="47" t="n">
        <f aca="false">R1258*K1258</f>
        <v>0</v>
      </c>
      <c r="V1258" s="0" t="str">
        <f aca="false">IF(COUNTIFS($A$2:A1258,A1258,$C$2:C1258,C1258,$D$2:D1258,D1258)&gt;1,"중복","")</f>
        <v/>
      </c>
      <c r="W1258" s="0" t="n">
        <f aca="false">IF(V1258="중복",0,N(D1258))</f>
        <v>70</v>
      </c>
      <c r="X1258" s="0" t="n">
        <f aca="false">IF(COUNTIFS($A$2:A1258,A1258,$C$2:C1258,C1258)=1,ABS(SUMIFS(RAW_발주!$D:$D,RAW_발주!$C:$C,A1258,RAW_발주!$A:$A,C1258)-SUMIFS($W:$W,$A:$A,A1258,$C:$C,C1258)),0)</f>
        <v>0</v>
      </c>
    </row>
    <row r="1259" customFormat="false" ht="15" hidden="false" customHeight="true" outlineLevel="0" collapsed="false">
      <c r="A1259" s="45" t="s">
        <v>1663</v>
      </c>
      <c r="B1259" s="42" t="str">
        <f aca="false">IF(A1259="100","HK",IF(A1259="200","CN",IF(A1259="300","TW","홀세일")))</f>
        <v>홀세일</v>
      </c>
      <c r="C1259" s="45" t="s">
        <v>575</v>
      </c>
      <c r="D1259" s="46" t="n">
        <v>20</v>
      </c>
      <c r="E1259" s="46" t="n">
        <v>149000</v>
      </c>
      <c r="F1259" s="46" t="n">
        <v>32700</v>
      </c>
      <c r="G1259" s="42" t="n">
        <v>3.23</v>
      </c>
      <c r="H1259" s="42" t="n">
        <v>37.3</v>
      </c>
      <c r="I1259" s="42" t="n">
        <v>0</v>
      </c>
      <c r="J1259" s="46" t="n">
        <f aca="false">IF(N(E1259)&gt;0,E1259,IF(N(F1259)&gt;0,F1259*요약!$F$27,0))</f>
        <v>149000</v>
      </c>
      <c r="K1259" s="46" t="n">
        <f aca="false">IF(N(F1259)&gt;0,F1259,IF(N(E1259)&gt;0,E1259/요약!$F$27,0))</f>
        <v>32700</v>
      </c>
      <c r="L1259" s="46" t="n">
        <f aca="false">IF(B1259="CN",IF(N(I1259)&gt;0,I1259*요약!$G$27,K1259*(1+요약!$E$27)),IF(N(H1259)&gt;0,H1259*요약!$G$27,J1259*요약!$D$27))</f>
        <v>49236</v>
      </c>
      <c r="M1259" s="46" t="n">
        <f aca="false">D1259*J1259</f>
        <v>2980000</v>
      </c>
      <c r="N1259" s="46" t="n">
        <f aca="false">D1259*K1259</f>
        <v>654000</v>
      </c>
      <c r="O1259" s="46" t="n">
        <f aca="false">D1259*L1259</f>
        <v>984720</v>
      </c>
      <c r="P1259" s="42" t="str">
        <f aca="false">TRIM(IF(N(E1259)&lt;=0,"택가보정 ","")&amp;IF(N(F1259)&lt;=0,"원가보정 ","")&amp;IF(AND(B1259&lt;&gt;"CN",N(H1259)&lt;=0),"공급가보정 ","")&amp;IF(AND(B1259="CN",N(I1259)&lt;=0),"중국공급가=원가+마진 ",""))</f>
        <v/>
      </c>
      <c r="Q1259" s="47" t="n">
        <f aca="false">IF(SUMIFS($W:$W,$A:$A,A1259,$C:$C,C1259)=0,0,SUMIFS(RAW_판매펀칭!$K:$K,RAW_판매펀칭!$P:$P,A1259,RAW_판매펀칭!$I:$I,C1259)*W1259/SUMIFS($W:$W,$A:$A,A1259,$C:$C,C1259))</f>
        <v>20</v>
      </c>
      <c r="R1259" s="47" t="n">
        <f aca="false">IF(OR(A1259="500",A1259="800",A1259="810"),0,MAX(W1259-Q1259,0))</f>
        <v>0</v>
      </c>
      <c r="S1259" s="47" t="n">
        <f aca="false">R1259*L1259</f>
        <v>0</v>
      </c>
      <c r="T1259" s="47" t="n">
        <f aca="false">R1259*J1259</f>
        <v>0</v>
      </c>
      <c r="U1259" s="47" t="n">
        <f aca="false">R1259*K1259</f>
        <v>0</v>
      </c>
      <c r="V1259" s="0" t="str">
        <f aca="false">IF(COUNTIFS($A$2:A1259,A1259,$C$2:C1259,C1259,$D$2:D1259,D1259)&gt;1,"중복","")</f>
        <v/>
      </c>
      <c r="W1259" s="0" t="n">
        <f aca="false">IF(V1259="중복",0,N(D1259))</f>
        <v>20</v>
      </c>
      <c r="X1259" s="0" t="n">
        <f aca="false">IF(COUNTIFS($A$2:A1259,A1259,$C$2:C1259,C1259)=1,ABS(SUMIFS(RAW_발주!$D:$D,RAW_발주!$C:$C,A1259,RAW_발주!$A:$A,C1259)-SUMIFS($W:$W,$A:$A,A1259,$C:$C,C1259)),0)</f>
        <v>0</v>
      </c>
    </row>
    <row r="1260" customFormat="false" ht="15" hidden="false" customHeight="true" outlineLevel="0" collapsed="false">
      <c r="A1260" s="45" t="s">
        <v>1665</v>
      </c>
      <c r="B1260" s="42" t="str">
        <f aca="false">IF(A1260="100","HK",IF(A1260="200","CN",IF(A1260="300","TW","홀세일")))</f>
        <v>홀세일</v>
      </c>
      <c r="C1260" s="45" t="s">
        <v>1710</v>
      </c>
      <c r="D1260" s="46" t="n">
        <v>204</v>
      </c>
      <c r="E1260" s="46" t="n">
        <v>159000</v>
      </c>
      <c r="F1260" s="46" t="n">
        <v>32800</v>
      </c>
      <c r="G1260" s="42" t="n">
        <v>3.65</v>
      </c>
      <c r="H1260" s="42" t="n">
        <v>37.4</v>
      </c>
      <c r="I1260" s="42" t="n">
        <v>0</v>
      </c>
      <c r="J1260" s="46" t="n">
        <f aca="false">IF(N(E1260)&gt;0,E1260,IF(N(F1260)&gt;0,F1260*요약!$F$27,0))</f>
        <v>159000</v>
      </c>
      <c r="K1260" s="46" t="n">
        <f aca="false">IF(N(F1260)&gt;0,F1260,IF(N(E1260)&gt;0,E1260/요약!$F$27,0))</f>
        <v>32800</v>
      </c>
      <c r="L1260" s="46" t="n">
        <f aca="false">IF(B1260="CN",IF(N(I1260)&gt;0,I1260*요약!$G$27,K1260*(1+요약!$E$27)),IF(N(H1260)&gt;0,H1260*요약!$G$27,J1260*요약!$D$27))</f>
        <v>49368</v>
      </c>
      <c r="M1260" s="46" t="n">
        <f aca="false">D1260*J1260</f>
        <v>32436000</v>
      </c>
      <c r="N1260" s="46" t="n">
        <f aca="false">D1260*K1260</f>
        <v>6691200</v>
      </c>
      <c r="O1260" s="46" t="n">
        <f aca="false">D1260*L1260</f>
        <v>10071072</v>
      </c>
      <c r="P1260" s="42" t="str">
        <f aca="false">TRIM(IF(N(E1260)&lt;=0,"택가보정 ","")&amp;IF(N(F1260)&lt;=0,"원가보정 ","")&amp;IF(AND(B1260&lt;&gt;"CN",N(H1260)&lt;=0),"공급가보정 ","")&amp;IF(AND(B1260="CN",N(I1260)&lt;=0),"중국공급가=원가+마진 ",""))</f>
        <v/>
      </c>
      <c r="Q1260" s="47" t="n">
        <f aca="false">IF(SUMIFS($W:$W,$A:$A,A1260,$C:$C,C1260)=0,0,SUMIFS(RAW_판매펀칭!$K:$K,RAW_판매펀칭!$P:$P,A1260,RAW_판매펀칭!$I:$I,C1260)*W1260/SUMIFS($W:$W,$A:$A,A1260,$C:$C,C1260))</f>
        <v>0</v>
      </c>
      <c r="R1260" s="47" t="n">
        <f aca="false">IF(OR(A1260="500",A1260="800",A1260="810"),0,MAX(W1260-Q1260,0))</f>
        <v>0</v>
      </c>
      <c r="S1260" s="47" t="n">
        <f aca="false">R1260*L1260</f>
        <v>0</v>
      </c>
      <c r="T1260" s="47" t="n">
        <f aca="false">R1260*J1260</f>
        <v>0</v>
      </c>
      <c r="U1260" s="47" t="n">
        <f aca="false">R1260*K1260</f>
        <v>0</v>
      </c>
      <c r="V1260" s="0" t="str">
        <f aca="false">IF(COUNTIFS($A$2:A1260,A1260,$C$2:C1260,C1260,$D$2:D1260,D1260)&gt;1,"중복","")</f>
        <v/>
      </c>
      <c r="W1260" s="0" t="n">
        <f aca="false">IF(V1260="중복",0,N(D1260))</f>
        <v>204</v>
      </c>
      <c r="X1260" s="0" t="n">
        <f aca="false">IF(COUNTIFS($A$2:A1260,A1260,$C$2:C1260,C1260)=1,ABS(SUMIFS(RAW_발주!$D:$D,RAW_발주!$C:$C,A1260,RAW_발주!$A:$A,C1260)-SUMIFS($W:$W,$A:$A,A1260,$C:$C,C1260)),0)</f>
        <v>0</v>
      </c>
    </row>
    <row r="1261" customFormat="false" ht="15" hidden="false" customHeight="true" outlineLevel="0" collapsed="false">
      <c r="A1261" s="45" t="s">
        <v>1660</v>
      </c>
      <c r="B1261" s="42" t="str">
        <f aca="false">IF(A1261="100","HK",IF(A1261="200","CN",IF(A1261="300","TW","홀세일")))</f>
        <v>CN</v>
      </c>
      <c r="C1261" s="45" t="s">
        <v>577</v>
      </c>
      <c r="D1261" s="46" t="n">
        <v>478</v>
      </c>
      <c r="E1261" s="46" t="n">
        <v>199000</v>
      </c>
      <c r="F1261" s="46" t="n">
        <v>44602</v>
      </c>
      <c r="G1261" s="42" t="n">
        <v>4.4</v>
      </c>
      <c r="H1261" s="42" t="n">
        <v>46.8</v>
      </c>
      <c r="I1261" s="42" t="n">
        <v>37.6</v>
      </c>
      <c r="J1261" s="46" t="n">
        <f aca="false">IF(N(E1261)&gt;0,E1261,IF(N(F1261)&gt;0,F1261*요약!$F$27,0))</f>
        <v>199000</v>
      </c>
      <c r="K1261" s="46" t="n">
        <f aca="false">IF(N(F1261)&gt;0,F1261,IF(N(E1261)&gt;0,E1261/요약!$F$27,0))</f>
        <v>44602</v>
      </c>
      <c r="L1261" s="46" t="n">
        <f aca="false">IF(B1261="CN",IF(N(I1261)&gt;0,I1261*요약!$G$27,K1261*(1+요약!$E$27)),IF(N(H1261)&gt;0,H1261*요약!$G$27,J1261*요약!$D$27))</f>
        <v>49632</v>
      </c>
      <c r="M1261" s="46" t="n">
        <f aca="false">D1261*J1261</f>
        <v>95122000</v>
      </c>
      <c r="N1261" s="46" t="n">
        <f aca="false">D1261*K1261</f>
        <v>21319756</v>
      </c>
      <c r="O1261" s="46" t="n">
        <f aca="false">D1261*L1261</f>
        <v>23724096</v>
      </c>
      <c r="P1261" s="42" t="str">
        <f aca="false">TRIM(IF(N(E1261)&lt;=0,"택가보정 ","")&amp;IF(N(F1261)&lt;=0,"원가보정 ","")&amp;IF(AND(B1261&lt;&gt;"CN",N(H1261)&lt;=0),"공급가보정 ","")&amp;IF(AND(B1261="CN",N(I1261)&lt;=0),"중국공급가=원가+마진 ",""))</f>
        <v/>
      </c>
      <c r="Q1261" s="47" t="n">
        <f aca="false">IF(SUMIFS($W:$W,$A:$A,A1261,$C:$C,C1261)=0,0,SUMIFS(RAW_판매펀칭!$K:$K,RAW_판매펀칭!$P:$P,A1261,RAW_판매펀칭!$I:$I,C1261)*W1261/SUMIFS($W:$W,$A:$A,A1261,$C:$C,C1261))</f>
        <v>473</v>
      </c>
      <c r="R1261" s="47" t="n">
        <f aca="false">IF(OR(A1261="500",A1261="800",A1261="810"),0,MAX(W1261-Q1261,0))</f>
        <v>5</v>
      </c>
      <c r="S1261" s="47" t="n">
        <f aca="false">R1261*L1261</f>
        <v>248160</v>
      </c>
      <c r="T1261" s="47" t="n">
        <f aca="false">R1261*J1261</f>
        <v>995000</v>
      </c>
      <c r="U1261" s="47" t="n">
        <f aca="false">R1261*K1261</f>
        <v>223010</v>
      </c>
      <c r="V1261" s="0" t="str">
        <f aca="false">IF(COUNTIFS($A$2:A1261,A1261,$C$2:C1261,C1261,$D$2:D1261,D1261)&gt;1,"중복","")</f>
        <v/>
      </c>
      <c r="W1261" s="0" t="n">
        <f aca="false">IF(V1261="중복",0,N(D1261))</f>
        <v>478</v>
      </c>
      <c r="X1261" s="0" t="n">
        <f aca="false">IF(COUNTIFS($A$2:A1261,A1261,$C$2:C1261,C1261)=1,ABS(SUMIFS(RAW_발주!$D:$D,RAW_발주!$C:$C,A1261,RAW_발주!$A:$A,C1261)-SUMIFS($W:$W,$A:$A,A1261,$C:$C,C1261)),0)</f>
        <v>0</v>
      </c>
    </row>
    <row r="1262" customFormat="false" ht="15" hidden="false" customHeight="true" outlineLevel="0" collapsed="false">
      <c r="A1262" s="45" t="s">
        <v>1660</v>
      </c>
      <c r="B1262" s="42" t="str">
        <f aca="false">IF(A1262="100","HK",IF(A1262="200","CN",IF(A1262="300","TW","홀세일")))</f>
        <v>CN</v>
      </c>
      <c r="C1262" s="45" t="s">
        <v>577</v>
      </c>
      <c r="D1262" s="46" t="n">
        <v>478</v>
      </c>
      <c r="E1262" s="46" t="n">
        <v>199000</v>
      </c>
      <c r="F1262" s="46" t="n">
        <v>44602</v>
      </c>
      <c r="G1262" s="42" t="n">
        <v>4.4</v>
      </c>
      <c r="H1262" s="42" t="n">
        <v>46.8</v>
      </c>
      <c r="I1262" s="42" t="n">
        <v>37.6</v>
      </c>
      <c r="J1262" s="46" t="n">
        <f aca="false">IF(N(E1262)&gt;0,E1262,IF(N(F1262)&gt;0,F1262*요약!$F$27,0))</f>
        <v>199000</v>
      </c>
      <c r="K1262" s="46" t="n">
        <f aca="false">IF(N(F1262)&gt;0,F1262,IF(N(E1262)&gt;0,E1262/요약!$F$27,0))</f>
        <v>44602</v>
      </c>
      <c r="L1262" s="46" t="n">
        <f aca="false">IF(B1262="CN",IF(N(I1262)&gt;0,I1262*요약!$G$27,K1262*(1+요약!$E$27)),IF(N(H1262)&gt;0,H1262*요약!$G$27,J1262*요약!$D$27))</f>
        <v>49632</v>
      </c>
      <c r="M1262" s="46" t="n">
        <f aca="false">D1262*J1262</f>
        <v>95122000</v>
      </c>
      <c r="N1262" s="46" t="n">
        <f aca="false">D1262*K1262</f>
        <v>21319756</v>
      </c>
      <c r="O1262" s="46" t="n">
        <f aca="false">D1262*L1262</f>
        <v>23724096</v>
      </c>
      <c r="P1262" s="42" t="str">
        <f aca="false">TRIM(IF(N(E1262)&lt;=0,"택가보정 ","")&amp;IF(N(F1262)&lt;=0,"원가보정 ","")&amp;IF(AND(B1262&lt;&gt;"CN",N(H1262)&lt;=0),"공급가보정 ","")&amp;IF(AND(B1262="CN",N(I1262)&lt;=0),"중국공급가=원가+마진 ",""))</f>
        <v/>
      </c>
      <c r="Q1262" s="47" t="n">
        <f aca="false">IF(SUMIFS($W:$W,$A:$A,A1262,$C:$C,C1262)=0,0,SUMIFS(RAW_판매펀칭!$K:$K,RAW_판매펀칭!$P:$P,A1262,RAW_판매펀칭!$I:$I,C1262)*W1262/SUMIFS($W:$W,$A:$A,A1262,$C:$C,C1262))</f>
        <v>0</v>
      </c>
      <c r="R1262" s="47" t="n">
        <f aca="false">IF(OR(A1262="500",A1262="800",A1262="810"),0,MAX(W1262-Q1262,0))</f>
        <v>0</v>
      </c>
      <c r="S1262" s="47" t="n">
        <f aca="false">R1262*L1262</f>
        <v>0</v>
      </c>
      <c r="T1262" s="47" t="n">
        <f aca="false">R1262*J1262</f>
        <v>0</v>
      </c>
      <c r="U1262" s="47" t="n">
        <f aca="false">R1262*K1262</f>
        <v>0</v>
      </c>
      <c r="V1262" s="0" t="str">
        <f aca="false">IF(COUNTIFS($A$2:A1262,A1262,$C$2:C1262,C1262,$D$2:D1262,D1262)&gt;1,"중복","")</f>
        <v>중복</v>
      </c>
      <c r="W1262" s="0" t="n">
        <f aca="false">IF(V1262="중복",0,N(D1262))</f>
        <v>0</v>
      </c>
      <c r="X1262" s="0" t="n">
        <f aca="false">IF(COUNTIFS($A$2:A1262,A1262,$C$2:C1262,C1262)=1,ABS(SUMIFS(RAW_발주!$D:$D,RAW_발주!$C:$C,A1262,RAW_발주!$A:$A,C1262)-SUMIFS($W:$W,$A:$A,A1262,$C:$C,C1262)),0)</f>
        <v>0</v>
      </c>
    </row>
    <row r="1263" customFormat="false" ht="15" hidden="false" customHeight="true" outlineLevel="0" collapsed="false">
      <c r="A1263" s="45" t="s">
        <v>1661</v>
      </c>
      <c r="B1263" s="42" t="str">
        <f aca="false">IF(A1263="100","HK",IF(A1263="200","CN",IF(A1263="300","TW","홀세일")))</f>
        <v>TW</v>
      </c>
      <c r="C1263" s="45" t="s">
        <v>577</v>
      </c>
      <c r="D1263" s="46" t="n">
        <v>360</v>
      </c>
      <c r="E1263" s="46" t="n">
        <v>199000</v>
      </c>
      <c r="F1263" s="46" t="n">
        <v>44602</v>
      </c>
      <c r="G1263" s="42" t="n">
        <v>4.4</v>
      </c>
      <c r="H1263" s="42" t="n">
        <v>46.8</v>
      </c>
      <c r="I1263" s="42" t="n">
        <v>37.6</v>
      </c>
      <c r="J1263" s="46" t="n">
        <f aca="false">IF(N(E1263)&gt;0,E1263,IF(N(F1263)&gt;0,F1263*요약!$F$27,0))</f>
        <v>199000</v>
      </c>
      <c r="K1263" s="46" t="n">
        <f aca="false">IF(N(F1263)&gt;0,F1263,IF(N(E1263)&gt;0,E1263/요약!$F$27,0))</f>
        <v>44602</v>
      </c>
      <c r="L1263" s="46" t="n">
        <f aca="false">IF(B1263="CN",IF(N(I1263)&gt;0,I1263*요약!$G$27,K1263*(1+요약!$E$27)),IF(N(H1263)&gt;0,H1263*요약!$G$27,J1263*요약!$D$27))</f>
        <v>61776</v>
      </c>
      <c r="M1263" s="46" t="n">
        <f aca="false">D1263*J1263</f>
        <v>71640000</v>
      </c>
      <c r="N1263" s="46" t="n">
        <f aca="false">D1263*K1263</f>
        <v>16056720</v>
      </c>
      <c r="O1263" s="46" t="n">
        <f aca="false">D1263*L1263</f>
        <v>22239360</v>
      </c>
      <c r="P1263" s="42" t="str">
        <f aca="false">TRIM(IF(N(E1263)&lt;=0,"택가보정 ","")&amp;IF(N(F1263)&lt;=0,"원가보정 ","")&amp;IF(AND(B1263&lt;&gt;"CN",N(H1263)&lt;=0),"공급가보정 ","")&amp;IF(AND(B1263="CN",N(I1263)&lt;=0),"중국공급가=원가+마진 ",""))</f>
        <v/>
      </c>
      <c r="Q1263" s="47" t="n">
        <f aca="false">IF(SUMIFS($W:$W,$A:$A,A1263,$C:$C,C1263)=0,0,SUMIFS(RAW_판매펀칭!$K:$K,RAW_판매펀칭!$P:$P,A1263,RAW_판매펀칭!$I:$I,C1263)*W1263/SUMIFS($W:$W,$A:$A,A1263,$C:$C,C1263))</f>
        <v>360</v>
      </c>
      <c r="R1263" s="47" t="n">
        <f aca="false">IF(OR(A1263="500",A1263="800",A1263="810"),0,MAX(W1263-Q1263,0))</f>
        <v>0</v>
      </c>
      <c r="S1263" s="47" t="n">
        <f aca="false">R1263*L1263</f>
        <v>0</v>
      </c>
      <c r="T1263" s="47" t="n">
        <f aca="false">R1263*J1263</f>
        <v>0</v>
      </c>
      <c r="U1263" s="47" t="n">
        <f aca="false">R1263*K1263</f>
        <v>0</v>
      </c>
      <c r="V1263" s="0" t="str">
        <f aca="false">IF(COUNTIFS($A$2:A1263,A1263,$C$2:C1263,C1263,$D$2:D1263,D1263)&gt;1,"중복","")</f>
        <v/>
      </c>
      <c r="W1263" s="0" t="n">
        <f aca="false">IF(V1263="중복",0,N(D1263))</f>
        <v>360</v>
      </c>
      <c r="X1263" s="0" t="n">
        <f aca="false">IF(COUNTIFS($A$2:A1263,A1263,$C$2:C1263,C1263)=1,ABS(SUMIFS(RAW_발주!$D:$D,RAW_발주!$C:$C,A1263,RAW_발주!$A:$A,C1263)-SUMIFS($W:$W,$A:$A,A1263,$C:$C,C1263)),0)</f>
        <v>0</v>
      </c>
    </row>
    <row r="1264" customFormat="false" ht="15" hidden="false" customHeight="true" outlineLevel="0" collapsed="false">
      <c r="A1264" s="45" t="s">
        <v>1667</v>
      </c>
      <c r="B1264" s="42" t="str">
        <f aca="false">IF(A1264="100","HK",IF(A1264="200","CN",IF(A1264="300","TW","홀세일")))</f>
        <v>홀세일</v>
      </c>
      <c r="C1264" s="45" t="s">
        <v>577</v>
      </c>
      <c r="D1264" s="46" t="n">
        <v>142</v>
      </c>
      <c r="E1264" s="46" t="n">
        <v>199000</v>
      </c>
      <c r="F1264" s="46" t="n">
        <v>44602</v>
      </c>
      <c r="G1264" s="42" t="n">
        <v>4.4</v>
      </c>
      <c r="H1264" s="42" t="n">
        <v>46.8</v>
      </c>
      <c r="I1264" s="42" t="n">
        <v>37.6</v>
      </c>
      <c r="J1264" s="46" t="n">
        <f aca="false">IF(N(E1264)&gt;0,E1264,IF(N(F1264)&gt;0,F1264*요약!$F$27,0))</f>
        <v>199000</v>
      </c>
      <c r="K1264" s="46" t="n">
        <f aca="false">IF(N(F1264)&gt;0,F1264,IF(N(E1264)&gt;0,E1264/요약!$F$27,0))</f>
        <v>44602</v>
      </c>
      <c r="L1264" s="46" t="n">
        <f aca="false">IF(B1264="CN",IF(N(I1264)&gt;0,I1264*요약!$G$27,K1264*(1+요약!$E$27)),IF(N(H1264)&gt;0,H1264*요약!$G$27,J1264*요약!$D$27))</f>
        <v>61776</v>
      </c>
      <c r="M1264" s="46" t="n">
        <f aca="false">D1264*J1264</f>
        <v>28258000</v>
      </c>
      <c r="N1264" s="46" t="n">
        <f aca="false">D1264*K1264</f>
        <v>6333484</v>
      </c>
      <c r="O1264" s="46" t="n">
        <f aca="false">D1264*L1264</f>
        <v>8772192</v>
      </c>
      <c r="P1264" s="42" t="str">
        <f aca="false">TRIM(IF(N(E1264)&lt;=0,"택가보정 ","")&amp;IF(N(F1264)&lt;=0,"원가보정 ","")&amp;IF(AND(B1264&lt;&gt;"CN",N(H1264)&lt;=0),"공급가보정 ","")&amp;IF(AND(B1264="CN",N(I1264)&lt;=0),"중국공급가=원가+마진 ",""))</f>
        <v/>
      </c>
      <c r="Q1264" s="47" t="n">
        <f aca="false">IF(SUMIFS($W:$W,$A:$A,A1264,$C:$C,C1264)=0,0,SUMIFS(RAW_판매펀칭!$K:$K,RAW_판매펀칭!$P:$P,A1264,RAW_판매펀칭!$I:$I,C1264)*W1264/SUMIFS($W:$W,$A:$A,A1264,$C:$C,C1264))</f>
        <v>140</v>
      </c>
      <c r="R1264" s="47" t="n">
        <f aca="false">IF(OR(A1264="500",A1264="800",A1264="810"),0,MAX(W1264-Q1264,0))</f>
        <v>2</v>
      </c>
      <c r="S1264" s="47" t="n">
        <f aca="false">R1264*L1264</f>
        <v>123552</v>
      </c>
      <c r="T1264" s="47" t="n">
        <f aca="false">R1264*J1264</f>
        <v>398000</v>
      </c>
      <c r="U1264" s="47" t="n">
        <f aca="false">R1264*K1264</f>
        <v>89204</v>
      </c>
      <c r="V1264" s="0" t="str">
        <f aca="false">IF(COUNTIFS($A$2:A1264,A1264,$C$2:C1264,C1264,$D$2:D1264,D1264)&gt;1,"중복","")</f>
        <v/>
      </c>
      <c r="W1264" s="0" t="n">
        <f aca="false">IF(V1264="중복",0,N(D1264))</f>
        <v>142</v>
      </c>
      <c r="X1264" s="0" t="n">
        <f aca="false">IF(COUNTIFS($A$2:A1264,A1264,$C$2:C1264,C1264)=1,ABS(SUMIFS(RAW_발주!$D:$D,RAW_발주!$C:$C,A1264,RAW_발주!$A:$A,C1264)-SUMIFS($W:$W,$A:$A,A1264,$C:$C,C1264)),0)</f>
        <v>0</v>
      </c>
    </row>
    <row r="1265" customFormat="false" ht="15" hidden="false" customHeight="true" outlineLevel="0" collapsed="false">
      <c r="A1265" s="45" t="s">
        <v>1666</v>
      </c>
      <c r="B1265" s="42" t="str">
        <f aca="false">IF(A1265="100","HK",IF(A1265="200","CN",IF(A1265="300","TW","홀세일")))</f>
        <v>홀세일</v>
      </c>
      <c r="C1265" s="45" t="s">
        <v>577</v>
      </c>
      <c r="D1265" s="46" t="n">
        <v>45</v>
      </c>
      <c r="E1265" s="46" t="n">
        <v>199000</v>
      </c>
      <c r="F1265" s="46" t="n">
        <v>44602</v>
      </c>
      <c r="G1265" s="42" t="n">
        <v>4.4</v>
      </c>
      <c r="H1265" s="42" t="n">
        <v>46.8</v>
      </c>
      <c r="I1265" s="42" t="n">
        <v>37.6</v>
      </c>
      <c r="J1265" s="46" t="n">
        <f aca="false">IF(N(E1265)&gt;0,E1265,IF(N(F1265)&gt;0,F1265*요약!$F$27,0))</f>
        <v>199000</v>
      </c>
      <c r="K1265" s="46" t="n">
        <f aca="false">IF(N(F1265)&gt;0,F1265,IF(N(E1265)&gt;0,E1265/요약!$F$27,0))</f>
        <v>44602</v>
      </c>
      <c r="L1265" s="46" t="n">
        <f aca="false">IF(B1265="CN",IF(N(I1265)&gt;0,I1265*요약!$G$27,K1265*(1+요약!$E$27)),IF(N(H1265)&gt;0,H1265*요약!$G$27,J1265*요약!$D$27))</f>
        <v>61776</v>
      </c>
      <c r="M1265" s="46" t="n">
        <f aca="false">D1265*J1265</f>
        <v>8955000</v>
      </c>
      <c r="N1265" s="46" t="n">
        <f aca="false">D1265*K1265</f>
        <v>2007090</v>
      </c>
      <c r="O1265" s="46" t="n">
        <f aca="false">D1265*L1265</f>
        <v>2779920</v>
      </c>
      <c r="P1265" s="42" t="str">
        <f aca="false">TRIM(IF(N(E1265)&lt;=0,"택가보정 ","")&amp;IF(N(F1265)&lt;=0,"원가보정 ","")&amp;IF(AND(B1265&lt;&gt;"CN",N(H1265)&lt;=0),"공급가보정 ","")&amp;IF(AND(B1265="CN",N(I1265)&lt;=0),"중국공급가=원가+마진 ",""))</f>
        <v/>
      </c>
      <c r="Q1265" s="47" t="n">
        <f aca="false">IF(SUMIFS($W:$W,$A:$A,A1265,$C:$C,C1265)=0,0,SUMIFS(RAW_판매펀칭!$K:$K,RAW_판매펀칭!$P:$P,A1265,RAW_판매펀칭!$I:$I,C1265)*W1265/SUMIFS($W:$W,$A:$A,A1265,$C:$C,C1265))</f>
        <v>45</v>
      </c>
      <c r="R1265" s="47" t="n">
        <f aca="false">IF(OR(A1265="500",A1265="800",A1265="810"),0,MAX(W1265-Q1265,0))</f>
        <v>0</v>
      </c>
      <c r="S1265" s="47" t="n">
        <f aca="false">R1265*L1265</f>
        <v>0</v>
      </c>
      <c r="T1265" s="47" t="n">
        <f aca="false">R1265*J1265</f>
        <v>0</v>
      </c>
      <c r="U1265" s="47" t="n">
        <f aca="false">R1265*K1265</f>
        <v>0</v>
      </c>
      <c r="V1265" s="0" t="str">
        <f aca="false">IF(COUNTIFS($A$2:A1265,A1265,$C$2:C1265,C1265,$D$2:D1265,D1265)&gt;1,"중복","")</f>
        <v/>
      </c>
      <c r="W1265" s="0" t="n">
        <f aca="false">IF(V1265="중복",0,N(D1265))</f>
        <v>45</v>
      </c>
      <c r="X1265" s="0" t="n">
        <f aca="false">IF(COUNTIFS($A$2:A1265,A1265,$C$2:C1265,C1265)=1,ABS(SUMIFS(RAW_발주!$D:$D,RAW_발주!$C:$C,A1265,RAW_발주!$A:$A,C1265)-SUMIFS($W:$W,$A:$A,A1265,$C:$C,C1265)),0)</f>
        <v>0</v>
      </c>
    </row>
    <row r="1266" customFormat="false" ht="15" hidden="false" customHeight="true" outlineLevel="0" collapsed="false">
      <c r="A1266" s="45" t="s">
        <v>1659</v>
      </c>
      <c r="B1266" s="42" t="str">
        <f aca="false">IF(A1266="100","HK",IF(A1266="200","CN",IF(A1266="300","TW","홀세일")))</f>
        <v>HK</v>
      </c>
      <c r="C1266" s="45" t="s">
        <v>946</v>
      </c>
      <c r="D1266" s="46" t="n">
        <v>200</v>
      </c>
      <c r="E1266" s="46" t="n">
        <v>159000</v>
      </c>
      <c r="F1266" s="46" t="n">
        <v>33400</v>
      </c>
      <c r="G1266" s="42" t="n">
        <v>4.08</v>
      </c>
      <c r="H1266" s="42" t="n">
        <v>37.4</v>
      </c>
      <c r="I1266" s="42" t="n">
        <v>26</v>
      </c>
      <c r="J1266" s="46" t="n">
        <f aca="false">IF(N(E1266)&gt;0,E1266,IF(N(F1266)&gt;0,F1266*요약!$F$27,0))</f>
        <v>159000</v>
      </c>
      <c r="K1266" s="46" t="n">
        <f aca="false">IF(N(F1266)&gt;0,F1266,IF(N(E1266)&gt;0,E1266/요약!$F$27,0))</f>
        <v>33400</v>
      </c>
      <c r="L1266" s="46" t="n">
        <f aca="false">IF(B1266="CN",IF(N(I1266)&gt;0,I1266*요약!$G$27,K1266*(1+요약!$E$27)),IF(N(H1266)&gt;0,H1266*요약!$G$27,J1266*요약!$D$27))</f>
        <v>49368</v>
      </c>
      <c r="M1266" s="46" t="n">
        <f aca="false">D1266*J1266</f>
        <v>31800000</v>
      </c>
      <c r="N1266" s="46" t="n">
        <f aca="false">D1266*K1266</f>
        <v>6680000</v>
      </c>
      <c r="O1266" s="46" t="n">
        <f aca="false">D1266*L1266</f>
        <v>9873600</v>
      </c>
      <c r="P1266" s="42" t="str">
        <f aca="false">TRIM(IF(N(E1266)&lt;=0,"택가보정 ","")&amp;IF(N(F1266)&lt;=0,"원가보정 ","")&amp;IF(AND(B1266&lt;&gt;"CN",N(H1266)&lt;=0),"공급가보정 ","")&amp;IF(AND(B1266="CN",N(I1266)&lt;=0),"중국공급가=원가+마진 ",""))</f>
        <v/>
      </c>
      <c r="Q1266" s="47" t="n">
        <f aca="false">IF(SUMIFS($W:$W,$A:$A,A1266,$C:$C,C1266)=0,0,SUMIFS(RAW_판매펀칭!$K:$K,RAW_판매펀칭!$P:$P,A1266,RAW_판매펀칭!$I:$I,C1266)*W1266/SUMIFS($W:$W,$A:$A,A1266,$C:$C,C1266))</f>
        <v>200</v>
      </c>
      <c r="R1266" s="47" t="n">
        <f aca="false">IF(OR(A1266="500",A1266="800",A1266="810"),0,MAX(W1266-Q1266,0))</f>
        <v>0</v>
      </c>
      <c r="S1266" s="47" t="n">
        <f aca="false">R1266*L1266</f>
        <v>0</v>
      </c>
      <c r="T1266" s="47" t="n">
        <f aca="false">R1266*J1266</f>
        <v>0</v>
      </c>
      <c r="U1266" s="47" t="n">
        <f aca="false">R1266*K1266</f>
        <v>0</v>
      </c>
      <c r="V1266" s="0" t="str">
        <f aca="false">IF(COUNTIFS($A$2:A1266,A1266,$C$2:C1266,C1266,$D$2:D1266,D1266)&gt;1,"중복","")</f>
        <v/>
      </c>
      <c r="W1266" s="0" t="n">
        <f aca="false">IF(V1266="중복",0,N(D1266))</f>
        <v>200</v>
      </c>
      <c r="X1266" s="0" t="n">
        <f aca="false">IF(COUNTIFS($A$2:A1266,A1266,$C$2:C1266,C1266)=1,ABS(SUMIFS(RAW_발주!$D:$D,RAW_발주!$C:$C,A1266,RAW_발주!$A:$A,C1266)-SUMIFS($W:$W,$A:$A,A1266,$C:$C,C1266)),0)</f>
        <v>0</v>
      </c>
    </row>
    <row r="1267" customFormat="false" ht="15" hidden="false" customHeight="true" outlineLevel="0" collapsed="false">
      <c r="A1267" s="45" t="s">
        <v>1660</v>
      </c>
      <c r="B1267" s="42" t="str">
        <f aca="false">IF(A1267="100","HK",IF(A1267="200","CN",IF(A1267="300","TW","홀세일")))</f>
        <v>CN</v>
      </c>
      <c r="C1267" s="45" t="s">
        <v>946</v>
      </c>
      <c r="D1267" s="46" t="n">
        <v>302</v>
      </c>
      <c r="E1267" s="46" t="n">
        <v>159000</v>
      </c>
      <c r="F1267" s="46" t="n">
        <v>33400</v>
      </c>
      <c r="G1267" s="42" t="n">
        <v>4.08</v>
      </c>
      <c r="H1267" s="42" t="n">
        <v>37.4</v>
      </c>
      <c r="I1267" s="42" t="n">
        <v>26</v>
      </c>
      <c r="J1267" s="46" t="n">
        <f aca="false">IF(N(E1267)&gt;0,E1267,IF(N(F1267)&gt;0,F1267*요약!$F$27,0))</f>
        <v>159000</v>
      </c>
      <c r="K1267" s="46" t="n">
        <f aca="false">IF(N(F1267)&gt;0,F1267,IF(N(E1267)&gt;0,E1267/요약!$F$27,0))</f>
        <v>33400</v>
      </c>
      <c r="L1267" s="46" t="n">
        <f aca="false">IF(B1267="CN",IF(N(I1267)&gt;0,I1267*요약!$G$27,K1267*(1+요약!$E$27)),IF(N(H1267)&gt;0,H1267*요약!$G$27,J1267*요약!$D$27))</f>
        <v>34320</v>
      </c>
      <c r="M1267" s="46" t="n">
        <f aca="false">D1267*J1267</f>
        <v>48018000</v>
      </c>
      <c r="N1267" s="46" t="n">
        <f aca="false">D1267*K1267</f>
        <v>10086800</v>
      </c>
      <c r="O1267" s="46" t="n">
        <f aca="false">D1267*L1267</f>
        <v>10364640</v>
      </c>
      <c r="P1267" s="42" t="str">
        <f aca="false">TRIM(IF(N(E1267)&lt;=0,"택가보정 ","")&amp;IF(N(F1267)&lt;=0,"원가보정 ","")&amp;IF(AND(B1267&lt;&gt;"CN",N(H1267)&lt;=0),"공급가보정 ","")&amp;IF(AND(B1267="CN",N(I1267)&lt;=0),"중국공급가=원가+마진 ",""))</f>
        <v/>
      </c>
      <c r="Q1267" s="47" t="n">
        <f aca="false">IF(SUMIFS($W:$W,$A:$A,A1267,$C:$C,C1267)=0,0,SUMIFS(RAW_판매펀칭!$K:$K,RAW_판매펀칭!$P:$P,A1267,RAW_판매펀칭!$I:$I,C1267)*W1267/SUMIFS($W:$W,$A:$A,A1267,$C:$C,C1267))</f>
        <v>302</v>
      </c>
      <c r="R1267" s="47" t="n">
        <f aca="false">IF(OR(A1267="500",A1267="800",A1267="810"),0,MAX(W1267-Q1267,0))</f>
        <v>0</v>
      </c>
      <c r="S1267" s="47" t="n">
        <f aca="false">R1267*L1267</f>
        <v>0</v>
      </c>
      <c r="T1267" s="47" t="n">
        <f aca="false">R1267*J1267</f>
        <v>0</v>
      </c>
      <c r="U1267" s="47" t="n">
        <f aca="false">R1267*K1267</f>
        <v>0</v>
      </c>
      <c r="V1267" s="0" t="str">
        <f aca="false">IF(COUNTIFS($A$2:A1267,A1267,$C$2:C1267,C1267,$D$2:D1267,D1267)&gt;1,"중복","")</f>
        <v/>
      </c>
      <c r="W1267" s="0" t="n">
        <f aca="false">IF(V1267="중복",0,N(D1267))</f>
        <v>302</v>
      </c>
      <c r="X1267" s="0" t="n">
        <f aca="false">IF(COUNTIFS($A$2:A1267,A1267,$C$2:C1267,C1267)=1,ABS(SUMIFS(RAW_발주!$D:$D,RAW_발주!$C:$C,A1267,RAW_발주!$A:$A,C1267)-SUMIFS($W:$W,$A:$A,A1267,$C:$C,C1267)),0)</f>
        <v>0</v>
      </c>
    </row>
    <row r="1268" customFormat="false" ht="15" hidden="false" customHeight="true" outlineLevel="0" collapsed="false">
      <c r="A1268" s="45" t="s">
        <v>1663</v>
      </c>
      <c r="B1268" s="42" t="str">
        <f aca="false">IF(A1268="100","HK",IF(A1268="200","CN",IF(A1268="300","TW","홀세일")))</f>
        <v>홀세일</v>
      </c>
      <c r="C1268" s="45" t="s">
        <v>946</v>
      </c>
      <c r="D1268" s="46" t="n">
        <v>20</v>
      </c>
      <c r="E1268" s="46" t="n">
        <v>159000</v>
      </c>
      <c r="F1268" s="46" t="n">
        <v>33400</v>
      </c>
      <c r="G1268" s="42" t="n">
        <v>4.08</v>
      </c>
      <c r="H1268" s="42" t="n">
        <v>37.4</v>
      </c>
      <c r="I1268" s="42" t="n">
        <v>26</v>
      </c>
      <c r="J1268" s="46" t="n">
        <f aca="false">IF(N(E1268)&gt;0,E1268,IF(N(F1268)&gt;0,F1268*요약!$F$27,0))</f>
        <v>159000</v>
      </c>
      <c r="K1268" s="46" t="n">
        <f aca="false">IF(N(F1268)&gt;0,F1268,IF(N(E1268)&gt;0,E1268/요약!$F$27,0))</f>
        <v>33400</v>
      </c>
      <c r="L1268" s="46" t="n">
        <f aca="false">IF(B1268="CN",IF(N(I1268)&gt;0,I1268*요약!$G$27,K1268*(1+요약!$E$27)),IF(N(H1268)&gt;0,H1268*요약!$G$27,J1268*요약!$D$27))</f>
        <v>49368</v>
      </c>
      <c r="M1268" s="46" t="n">
        <f aca="false">D1268*J1268</f>
        <v>3180000</v>
      </c>
      <c r="N1268" s="46" t="n">
        <f aca="false">D1268*K1268</f>
        <v>668000</v>
      </c>
      <c r="O1268" s="46" t="n">
        <f aca="false">D1268*L1268</f>
        <v>987360</v>
      </c>
      <c r="P1268" s="42" t="str">
        <f aca="false">TRIM(IF(N(E1268)&lt;=0,"택가보정 ","")&amp;IF(N(F1268)&lt;=0,"원가보정 ","")&amp;IF(AND(B1268&lt;&gt;"CN",N(H1268)&lt;=0),"공급가보정 ","")&amp;IF(AND(B1268="CN",N(I1268)&lt;=0),"중국공급가=원가+마진 ",""))</f>
        <v/>
      </c>
      <c r="Q1268" s="47" t="n">
        <f aca="false">IF(SUMIFS($W:$W,$A:$A,A1268,$C:$C,C1268)=0,0,SUMIFS(RAW_판매펀칭!$K:$K,RAW_판매펀칭!$P:$P,A1268,RAW_판매펀칭!$I:$I,C1268)*W1268/SUMIFS($W:$W,$A:$A,A1268,$C:$C,C1268))</f>
        <v>20</v>
      </c>
      <c r="R1268" s="47" t="n">
        <f aca="false">IF(OR(A1268="500",A1268="800",A1268="810"),0,MAX(W1268-Q1268,0))</f>
        <v>0</v>
      </c>
      <c r="S1268" s="47" t="n">
        <f aca="false">R1268*L1268</f>
        <v>0</v>
      </c>
      <c r="T1268" s="47" t="n">
        <f aca="false">R1268*J1268</f>
        <v>0</v>
      </c>
      <c r="U1268" s="47" t="n">
        <f aca="false">R1268*K1268</f>
        <v>0</v>
      </c>
      <c r="V1268" s="0" t="str">
        <f aca="false">IF(COUNTIFS($A$2:A1268,A1268,$C$2:C1268,C1268,$D$2:D1268,D1268)&gt;1,"중복","")</f>
        <v/>
      </c>
      <c r="W1268" s="0" t="n">
        <f aca="false">IF(V1268="중복",0,N(D1268))</f>
        <v>20</v>
      </c>
      <c r="X1268" s="0" t="n">
        <f aca="false">IF(COUNTIFS($A$2:A1268,A1268,$C$2:C1268,C1268)=1,ABS(SUMIFS(RAW_발주!$D:$D,RAW_발주!$C:$C,A1268,RAW_발주!$A:$A,C1268)-SUMIFS($W:$W,$A:$A,A1268,$C:$C,C1268)),0)</f>
        <v>0</v>
      </c>
    </row>
    <row r="1269" customFormat="false" ht="15" hidden="false" customHeight="true" outlineLevel="0" collapsed="false">
      <c r="A1269" s="45" t="s">
        <v>1659</v>
      </c>
      <c r="B1269" s="42" t="str">
        <f aca="false">IF(A1269="100","HK",IF(A1269="200","CN",IF(A1269="300","TW","홀세일")))</f>
        <v>HK</v>
      </c>
      <c r="C1269" s="45" t="s">
        <v>948</v>
      </c>
      <c r="D1269" s="46" t="n">
        <v>180</v>
      </c>
      <c r="E1269" s="46" t="n">
        <v>119000</v>
      </c>
      <c r="F1269" s="46" t="n">
        <v>23000</v>
      </c>
      <c r="G1269" s="42" t="n">
        <v>4.33</v>
      </c>
      <c r="H1269" s="42" t="n">
        <v>28.9</v>
      </c>
      <c r="I1269" s="42" t="n">
        <v>0</v>
      </c>
      <c r="J1269" s="46" t="n">
        <f aca="false">IF(N(E1269)&gt;0,E1269,IF(N(F1269)&gt;0,F1269*요약!$F$27,0))</f>
        <v>119000</v>
      </c>
      <c r="K1269" s="46" t="n">
        <f aca="false">IF(N(F1269)&gt;0,F1269,IF(N(E1269)&gt;0,E1269/요약!$F$27,0))</f>
        <v>23000</v>
      </c>
      <c r="L1269" s="46" t="n">
        <f aca="false">IF(B1269="CN",IF(N(I1269)&gt;0,I1269*요약!$G$27,K1269*(1+요약!$E$27)),IF(N(H1269)&gt;0,H1269*요약!$G$27,J1269*요약!$D$27))</f>
        <v>38148</v>
      </c>
      <c r="M1269" s="46" t="n">
        <f aca="false">D1269*J1269</f>
        <v>21420000</v>
      </c>
      <c r="N1269" s="46" t="n">
        <f aca="false">D1269*K1269</f>
        <v>4140000</v>
      </c>
      <c r="O1269" s="46" t="n">
        <f aca="false">D1269*L1269</f>
        <v>6866640</v>
      </c>
      <c r="P1269" s="42" t="str">
        <f aca="false">TRIM(IF(N(E1269)&lt;=0,"택가보정 ","")&amp;IF(N(F1269)&lt;=0,"원가보정 ","")&amp;IF(AND(B1269&lt;&gt;"CN",N(H1269)&lt;=0),"공급가보정 ","")&amp;IF(AND(B1269="CN",N(I1269)&lt;=0),"중국공급가=원가+마진 ",""))</f>
        <v/>
      </c>
      <c r="Q1269" s="47" t="n">
        <f aca="false">IF(SUMIFS($W:$W,$A:$A,A1269,$C:$C,C1269)=0,0,SUMIFS(RAW_판매펀칭!$K:$K,RAW_판매펀칭!$P:$P,A1269,RAW_판매펀칭!$I:$I,C1269)*W1269/SUMIFS($W:$W,$A:$A,A1269,$C:$C,C1269))</f>
        <v>180</v>
      </c>
      <c r="R1269" s="47" t="n">
        <f aca="false">IF(OR(A1269="500",A1269="800",A1269="810"),0,MAX(W1269-Q1269,0))</f>
        <v>0</v>
      </c>
      <c r="S1269" s="47" t="n">
        <f aca="false">R1269*L1269</f>
        <v>0</v>
      </c>
      <c r="T1269" s="47" t="n">
        <f aca="false">R1269*J1269</f>
        <v>0</v>
      </c>
      <c r="U1269" s="47" t="n">
        <f aca="false">R1269*K1269</f>
        <v>0</v>
      </c>
      <c r="V1269" s="0" t="str">
        <f aca="false">IF(COUNTIFS($A$2:A1269,A1269,$C$2:C1269,C1269,$D$2:D1269,D1269)&gt;1,"중복","")</f>
        <v/>
      </c>
      <c r="W1269" s="0" t="n">
        <f aca="false">IF(V1269="중복",0,N(D1269))</f>
        <v>180</v>
      </c>
      <c r="X1269" s="0" t="n">
        <f aca="false">IF(COUNTIFS($A$2:A1269,A1269,$C$2:C1269,C1269)=1,ABS(SUMIFS(RAW_발주!$D:$D,RAW_발주!$C:$C,A1269,RAW_발주!$A:$A,C1269)-SUMIFS($W:$W,$A:$A,A1269,$C:$C,C1269)),0)</f>
        <v>0</v>
      </c>
    </row>
    <row r="1270" customFormat="false" ht="15" hidden="false" customHeight="true" outlineLevel="0" collapsed="false">
      <c r="A1270" s="45" t="s">
        <v>1661</v>
      </c>
      <c r="B1270" s="42" t="str">
        <f aca="false">IF(A1270="100","HK",IF(A1270="200","CN",IF(A1270="300","TW","홀세일")))</f>
        <v>TW</v>
      </c>
      <c r="C1270" s="45" t="s">
        <v>579</v>
      </c>
      <c r="D1270" s="46" t="n">
        <v>100</v>
      </c>
      <c r="E1270" s="46" t="n">
        <v>129000</v>
      </c>
      <c r="F1270" s="46" t="n">
        <v>29900</v>
      </c>
      <c r="G1270" s="42" t="n">
        <v>3.77</v>
      </c>
      <c r="H1270" s="42" t="n">
        <v>30.4</v>
      </c>
      <c r="I1270" s="42" t="n">
        <v>0</v>
      </c>
      <c r="J1270" s="46" t="n">
        <f aca="false">IF(N(E1270)&gt;0,E1270,IF(N(F1270)&gt;0,F1270*요약!$F$27,0))</f>
        <v>129000</v>
      </c>
      <c r="K1270" s="46" t="n">
        <f aca="false">IF(N(F1270)&gt;0,F1270,IF(N(E1270)&gt;0,E1270/요약!$F$27,0))</f>
        <v>29900</v>
      </c>
      <c r="L1270" s="46" t="n">
        <f aca="false">IF(B1270="CN",IF(N(I1270)&gt;0,I1270*요약!$G$27,K1270*(1+요약!$E$27)),IF(N(H1270)&gt;0,H1270*요약!$G$27,J1270*요약!$D$27))</f>
        <v>40128</v>
      </c>
      <c r="M1270" s="46" t="n">
        <f aca="false">D1270*J1270</f>
        <v>12900000</v>
      </c>
      <c r="N1270" s="46" t="n">
        <f aca="false">D1270*K1270</f>
        <v>2990000</v>
      </c>
      <c r="O1270" s="46" t="n">
        <f aca="false">D1270*L1270</f>
        <v>4012800</v>
      </c>
      <c r="P1270" s="42" t="str">
        <f aca="false">TRIM(IF(N(E1270)&lt;=0,"택가보정 ","")&amp;IF(N(F1270)&lt;=0,"원가보정 ","")&amp;IF(AND(B1270&lt;&gt;"CN",N(H1270)&lt;=0),"공급가보정 ","")&amp;IF(AND(B1270="CN",N(I1270)&lt;=0),"중국공급가=원가+마진 ",""))</f>
        <v/>
      </c>
      <c r="Q1270" s="47" t="n">
        <f aca="false">IF(SUMIFS($W:$W,$A:$A,A1270,$C:$C,C1270)=0,0,SUMIFS(RAW_판매펀칭!$K:$K,RAW_판매펀칭!$P:$P,A1270,RAW_판매펀칭!$I:$I,C1270)*W1270/SUMIFS($W:$W,$A:$A,A1270,$C:$C,C1270))</f>
        <v>100</v>
      </c>
      <c r="R1270" s="47" t="n">
        <f aca="false">IF(OR(A1270="500",A1270="800",A1270="810"),0,MAX(W1270-Q1270,0))</f>
        <v>0</v>
      </c>
      <c r="S1270" s="47" t="n">
        <f aca="false">R1270*L1270</f>
        <v>0</v>
      </c>
      <c r="T1270" s="47" t="n">
        <f aca="false">R1270*J1270</f>
        <v>0</v>
      </c>
      <c r="U1270" s="47" t="n">
        <f aca="false">R1270*K1270</f>
        <v>0</v>
      </c>
      <c r="V1270" s="0" t="str">
        <f aca="false">IF(COUNTIFS($A$2:A1270,A1270,$C$2:C1270,C1270,$D$2:D1270,D1270)&gt;1,"중복","")</f>
        <v/>
      </c>
      <c r="W1270" s="0" t="n">
        <f aca="false">IF(V1270="중복",0,N(D1270))</f>
        <v>100</v>
      </c>
      <c r="X1270" s="0" t="n">
        <f aca="false">IF(COUNTIFS($A$2:A1270,A1270,$C$2:C1270,C1270)=1,ABS(SUMIFS(RAW_발주!$D:$D,RAW_발주!$C:$C,A1270,RAW_발주!$A:$A,C1270)-SUMIFS($W:$W,$A:$A,A1270,$C:$C,C1270)),0)</f>
        <v>0</v>
      </c>
    </row>
    <row r="1271" customFormat="false" ht="15" hidden="false" customHeight="true" outlineLevel="0" collapsed="false">
      <c r="A1271" s="45" t="s">
        <v>1665</v>
      </c>
      <c r="B1271" s="42" t="str">
        <f aca="false">IF(A1271="100","HK",IF(A1271="200","CN",IF(A1271="300","TW","홀세일")))</f>
        <v>홀세일</v>
      </c>
      <c r="C1271" s="45" t="s">
        <v>579</v>
      </c>
      <c r="D1271" s="46" t="n">
        <v>204</v>
      </c>
      <c r="E1271" s="46" t="n">
        <v>129000</v>
      </c>
      <c r="F1271" s="46" t="n">
        <v>29900</v>
      </c>
      <c r="G1271" s="42" t="n">
        <v>3.77</v>
      </c>
      <c r="H1271" s="42" t="n">
        <v>30.4</v>
      </c>
      <c r="I1271" s="42" t="n">
        <v>0</v>
      </c>
      <c r="J1271" s="46" t="n">
        <f aca="false">IF(N(E1271)&gt;0,E1271,IF(N(F1271)&gt;0,F1271*요약!$F$27,0))</f>
        <v>129000</v>
      </c>
      <c r="K1271" s="46" t="n">
        <f aca="false">IF(N(F1271)&gt;0,F1271,IF(N(E1271)&gt;0,E1271/요약!$F$27,0))</f>
        <v>29900</v>
      </c>
      <c r="L1271" s="46" t="n">
        <f aca="false">IF(B1271="CN",IF(N(I1271)&gt;0,I1271*요약!$G$27,K1271*(1+요약!$E$27)),IF(N(H1271)&gt;0,H1271*요약!$G$27,J1271*요약!$D$27))</f>
        <v>40128</v>
      </c>
      <c r="M1271" s="46" t="n">
        <f aca="false">D1271*J1271</f>
        <v>26316000</v>
      </c>
      <c r="N1271" s="46" t="n">
        <f aca="false">D1271*K1271</f>
        <v>6099600</v>
      </c>
      <c r="O1271" s="46" t="n">
        <f aca="false">D1271*L1271</f>
        <v>8186112</v>
      </c>
      <c r="P1271" s="42" t="str">
        <f aca="false">TRIM(IF(N(E1271)&lt;=0,"택가보정 ","")&amp;IF(N(F1271)&lt;=0,"원가보정 ","")&amp;IF(AND(B1271&lt;&gt;"CN",N(H1271)&lt;=0),"공급가보정 ","")&amp;IF(AND(B1271="CN",N(I1271)&lt;=0),"중국공급가=원가+마진 ",""))</f>
        <v/>
      </c>
      <c r="Q1271" s="47" t="n">
        <f aca="false">IF(SUMIFS($W:$W,$A:$A,A1271,$C:$C,C1271)=0,0,SUMIFS(RAW_판매펀칭!$K:$K,RAW_판매펀칭!$P:$P,A1271,RAW_판매펀칭!$I:$I,C1271)*W1271/SUMIFS($W:$W,$A:$A,A1271,$C:$C,C1271))</f>
        <v>0</v>
      </c>
      <c r="R1271" s="47" t="n">
        <f aca="false">IF(OR(A1271="500",A1271="800",A1271="810"),0,MAX(W1271-Q1271,0))</f>
        <v>0</v>
      </c>
      <c r="S1271" s="47" t="n">
        <f aca="false">R1271*L1271</f>
        <v>0</v>
      </c>
      <c r="T1271" s="47" t="n">
        <f aca="false">R1271*J1271</f>
        <v>0</v>
      </c>
      <c r="U1271" s="47" t="n">
        <f aca="false">R1271*K1271</f>
        <v>0</v>
      </c>
      <c r="V1271" s="0" t="str">
        <f aca="false">IF(COUNTIFS($A$2:A1271,A1271,$C$2:C1271,C1271,$D$2:D1271,D1271)&gt;1,"중복","")</f>
        <v/>
      </c>
      <c r="W1271" s="0" t="n">
        <f aca="false">IF(V1271="중복",0,N(D1271))</f>
        <v>204</v>
      </c>
      <c r="X1271" s="0" t="n">
        <f aca="false">IF(COUNTIFS($A$2:A1271,A1271,$C$2:C1271,C1271)=1,ABS(SUMIFS(RAW_발주!$D:$D,RAW_발주!$C:$C,A1271,RAW_발주!$A:$A,C1271)-SUMIFS($W:$W,$A:$A,A1271,$C:$C,C1271)),0)</f>
        <v>0</v>
      </c>
    </row>
    <row r="1272" customFormat="false" ht="15" hidden="false" customHeight="true" outlineLevel="0" collapsed="false">
      <c r="A1272" s="45" t="s">
        <v>1663</v>
      </c>
      <c r="B1272" s="42" t="str">
        <f aca="false">IF(A1272="100","HK",IF(A1272="200","CN",IF(A1272="300","TW","홀세일")))</f>
        <v>홀세일</v>
      </c>
      <c r="C1272" s="45" t="s">
        <v>1346</v>
      </c>
      <c r="D1272" s="46" t="n">
        <v>40</v>
      </c>
      <c r="E1272" s="46" t="n">
        <v>149000</v>
      </c>
      <c r="F1272" s="46" t="n">
        <v>25600</v>
      </c>
      <c r="G1272" s="42" t="n">
        <v>5.07</v>
      </c>
      <c r="H1272" s="42" t="n">
        <v>36.1</v>
      </c>
      <c r="I1272" s="42" t="n">
        <v>0</v>
      </c>
      <c r="J1272" s="46" t="n">
        <f aca="false">IF(N(E1272)&gt;0,E1272,IF(N(F1272)&gt;0,F1272*요약!$F$27,0))</f>
        <v>149000</v>
      </c>
      <c r="K1272" s="46" t="n">
        <f aca="false">IF(N(F1272)&gt;0,F1272,IF(N(E1272)&gt;0,E1272/요약!$F$27,0))</f>
        <v>25600</v>
      </c>
      <c r="L1272" s="46" t="n">
        <f aca="false">IF(B1272="CN",IF(N(I1272)&gt;0,I1272*요약!$G$27,K1272*(1+요약!$E$27)),IF(N(H1272)&gt;0,H1272*요약!$G$27,J1272*요약!$D$27))</f>
        <v>47652</v>
      </c>
      <c r="M1272" s="46" t="n">
        <f aca="false">D1272*J1272</f>
        <v>5960000</v>
      </c>
      <c r="N1272" s="46" t="n">
        <f aca="false">D1272*K1272</f>
        <v>1024000</v>
      </c>
      <c r="O1272" s="46" t="n">
        <f aca="false">D1272*L1272</f>
        <v>1906080</v>
      </c>
      <c r="P1272" s="42" t="str">
        <f aca="false">TRIM(IF(N(E1272)&lt;=0,"택가보정 ","")&amp;IF(N(F1272)&lt;=0,"원가보정 ","")&amp;IF(AND(B1272&lt;&gt;"CN",N(H1272)&lt;=0),"공급가보정 ","")&amp;IF(AND(B1272="CN",N(I1272)&lt;=0),"중국공급가=원가+마진 ",""))</f>
        <v/>
      </c>
      <c r="Q1272" s="47" t="n">
        <f aca="false">IF(SUMIFS($W:$W,$A:$A,A1272,$C:$C,C1272)=0,0,SUMIFS(RAW_판매펀칭!$K:$K,RAW_판매펀칭!$P:$P,A1272,RAW_판매펀칭!$I:$I,C1272)*W1272/SUMIFS($W:$W,$A:$A,A1272,$C:$C,C1272))</f>
        <v>40</v>
      </c>
      <c r="R1272" s="47" t="n">
        <f aca="false">IF(OR(A1272="500",A1272="800",A1272="810"),0,MAX(W1272-Q1272,0))</f>
        <v>0</v>
      </c>
      <c r="S1272" s="47" t="n">
        <f aca="false">R1272*L1272</f>
        <v>0</v>
      </c>
      <c r="T1272" s="47" t="n">
        <f aca="false">R1272*J1272</f>
        <v>0</v>
      </c>
      <c r="U1272" s="47" t="n">
        <f aca="false">R1272*K1272</f>
        <v>0</v>
      </c>
      <c r="V1272" s="0" t="str">
        <f aca="false">IF(COUNTIFS($A$2:A1272,A1272,$C$2:C1272,C1272,$D$2:D1272,D1272)&gt;1,"중복","")</f>
        <v/>
      </c>
      <c r="W1272" s="0" t="n">
        <f aca="false">IF(V1272="중복",0,N(D1272))</f>
        <v>40</v>
      </c>
      <c r="X1272" s="0" t="n">
        <f aca="false">IF(COUNTIFS($A$2:A1272,A1272,$C$2:C1272,C1272)=1,ABS(SUMIFS(RAW_발주!$D:$D,RAW_발주!$C:$C,A1272,RAW_발주!$A:$A,C1272)-SUMIFS($W:$W,$A:$A,A1272,$C:$C,C1272)),0)</f>
        <v>0</v>
      </c>
    </row>
    <row r="1273" customFormat="false" ht="15" hidden="false" customHeight="true" outlineLevel="0" collapsed="false">
      <c r="A1273" s="45" t="s">
        <v>1660</v>
      </c>
      <c r="B1273" s="42" t="str">
        <f aca="false">IF(A1273="100","HK",IF(A1273="200","CN",IF(A1273="300","TW","홀세일")))</f>
        <v>CN</v>
      </c>
      <c r="C1273" s="45" t="s">
        <v>1099</v>
      </c>
      <c r="D1273" s="46" t="n">
        <v>272</v>
      </c>
      <c r="E1273" s="46" t="n">
        <v>109000</v>
      </c>
      <c r="F1273" s="46" t="n">
        <v>24500</v>
      </c>
      <c r="G1273" s="42" t="n">
        <v>4.11</v>
      </c>
      <c r="H1273" s="42" t="n">
        <v>26.4</v>
      </c>
      <c r="I1273" s="42" t="n">
        <v>18.6</v>
      </c>
      <c r="J1273" s="46" t="n">
        <f aca="false">IF(N(E1273)&gt;0,E1273,IF(N(F1273)&gt;0,F1273*요약!$F$27,0))</f>
        <v>109000</v>
      </c>
      <c r="K1273" s="46" t="n">
        <f aca="false">IF(N(F1273)&gt;0,F1273,IF(N(E1273)&gt;0,E1273/요약!$F$27,0))</f>
        <v>24500</v>
      </c>
      <c r="L1273" s="46" t="n">
        <f aca="false">IF(B1273="CN",IF(N(I1273)&gt;0,I1273*요약!$G$27,K1273*(1+요약!$E$27)),IF(N(H1273)&gt;0,H1273*요약!$G$27,J1273*요약!$D$27))</f>
        <v>24552</v>
      </c>
      <c r="M1273" s="46" t="n">
        <f aca="false">D1273*J1273</f>
        <v>29648000</v>
      </c>
      <c r="N1273" s="46" t="n">
        <f aca="false">D1273*K1273</f>
        <v>6664000</v>
      </c>
      <c r="O1273" s="46" t="n">
        <f aca="false">D1273*L1273</f>
        <v>6678144</v>
      </c>
      <c r="P1273" s="42" t="str">
        <f aca="false">TRIM(IF(N(E1273)&lt;=0,"택가보정 ","")&amp;IF(N(F1273)&lt;=0,"원가보정 ","")&amp;IF(AND(B1273&lt;&gt;"CN",N(H1273)&lt;=0),"공급가보정 ","")&amp;IF(AND(B1273="CN",N(I1273)&lt;=0),"중국공급가=원가+마진 ",""))</f>
        <v/>
      </c>
      <c r="Q1273" s="47" t="n">
        <f aca="false">IF(SUMIFS($W:$W,$A:$A,A1273,$C:$C,C1273)=0,0,SUMIFS(RAW_판매펀칭!$K:$K,RAW_판매펀칭!$P:$P,A1273,RAW_판매펀칭!$I:$I,C1273)*W1273/SUMIFS($W:$W,$A:$A,A1273,$C:$C,C1273))</f>
        <v>272</v>
      </c>
      <c r="R1273" s="47" t="n">
        <f aca="false">IF(OR(A1273="500",A1273="800",A1273="810"),0,MAX(W1273-Q1273,0))</f>
        <v>0</v>
      </c>
      <c r="S1273" s="47" t="n">
        <f aca="false">R1273*L1273</f>
        <v>0</v>
      </c>
      <c r="T1273" s="47" t="n">
        <f aca="false">R1273*J1273</f>
        <v>0</v>
      </c>
      <c r="U1273" s="47" t="n">
        <f aca="false">R1273*K1273</f>
        <v>0</v>
      </c>
      <c r="V1273" s="0" t="str">
        <f aca="false">IF(COUNTIFS($A$2:A1273,A1273,$C$2:C1273,C1273,$D$2:D1273,D1273)&gt;1,"중복","")</f>
        <v/>
      </c>
      <c r="W1273" s="0" t="n">
        <f aca="false">IF(V1273="중복",0,N(D1273))</f>
        <v>272</v>
      </c>
      <c r="X1273" s="0" t="n">
        <f aca="false">IF(COUNTIFS($A$2:A1273,A1273,$C$2:C1273,C1273)=1,ABS(SUMIFS(RAW_발주!$D:$D,RAW_발주!$C:$C,A1273,RAW_발주!$A:$A,C1273)-SUMIFS($W:$W,$A:$A,A1273,$C:$C,C1273)),0)</f>
        <v>0</v>
      </c>
    </row>
    <row r="1274" customFormat="false" ht="15" hidden="false" customHeight="true" outlineLevel="0" collapsed="false">
      <c r="A1274" s="45" t="s">
        <v>1663</v>
      </c>
      <c r="B1274" s="42" t="str">
        <f aca="false">IF(A1274="100","HK",IF(A1274="200","CN",IF(A1274="300","TW","홀세일")))</f>
        <v>홀세일</v>
      </c>
      <c r="C1274" s="45" t="s">
        <v>1348</v>
      </c>
      <c r="D1274" s="46" t="n">
        <v>30</v>
      </c>
      <c r="E1274" s="46" t="n">
        <v>99000</v>
      </c>
      <c r="F1274" s="46" t="n">
        <v>18700</v>
      </c>
      <c r="G1274" s="42" t="n">
        <v>3.9</v>
      </c>
      <c r="H1274" s="42" t="n">
        <v>23.3</v>
      </c>
      <c r="I1274" s="42" t="n">
        <v>0</v>
      </c>
      <c r="J1274" s="46" t="n">
        <f aca="false">IF(N(E1274)&gt;0,E1274,IF(N(F1274)&gt;0,F1274*요약!$F$27,0))</f>
        <v>99000</v>
      </c>
      <c r="K1274" s="46" t="n">
        <f aca="false">IF(N(F1274)&gt;0,F1274,IF(N(E1274)&gt;0,E1274/요약!$F$27,0))</f>
        <v>18700</v>
      </c>
      <c r="L1274" s="46" t="n">
        <f aca="false">IF(B1274="CN",IF(N(I1274)&gt;0,I1274*요약!$G$27,K1274*(1+요약!$E$27)),IF(N(H1274)&gt;0,H1274*요약!$G$27,J1274*요약!$D$27))</f>
        <v>30756</v>
      </c>
      <c r="M1274" s="46" t="n">
        <f aca="false">D1274*J1274</f>
        <v>2970000</v>
      </c>
      <c r="N1274" s="46" t="n">
        <f aca="false">D1274*K1274</f>
        <v>561000</v>
      </c>
      <c r="O1274" s="46" t="n">
        <f aca="false">D1274*L1274</f>
        <v>922680</v>
      </c>
      <c r="P1274" s="42" t="str">
        <f aca="false">TRIM(IF(N(E1274)&lt;=0,"택가보정 ","")&amp;IF(N(F1274)&lt;=0,"원가보정 ","")&amp;IF(AND(B1274&lt;&gt;"CN",N(H1274)&lt;=0),"공급가보정 ","")&amp;IF(AND(B1274="CN",N(I1274)&lt;=0),"중국공급가=원가+마진 ",""))</f>
        <v/>
      </c>
      <c r="Q1274" s="47" t="n">
        <f aca="false">IF(SUMIFS($W:$W,$A:$A,A1274,$C:$C,C1274)=0,0,SUMIFS(RAW_판매펀칭!$K:$K,RAW_판매펀칭!$P:$P,A1274,RAW_판매펀칭!$I:$I,C1274)*W1274/SUMIFS($W:$W,$A:$A,A1274,$C:$C,C1274))</f>
        <v>30</v>
      </c>
      <c r="R1274" s="47" t="n">
        <f aca="false">IF(OR(A1274="500",A1274="800",A1274="810"),0,MAX(W1274-Q1274,0))</f>
        <v>0</v>
      </c>
      <c r="S1274" s="47" t="n">
        <f aca="false">R1274*L1274</f>
        <v>0</v>
      </c>
      <c r="T1274" s="47" t="n">
        <f aca="false">R1274*J1274</f>
        <v>0</v>
      </c>
      <c r="U1274" s="47" t="n">
        <f aca="false">R1274*K1274</f>
        <v>0</v>
      </c>
      <c r="V1274" s="0" t="str">
        <f aca="false">IF(COUNTIFS($A$2:A1274,A1274,$C$2:C1274,C1274,$D$2:D1274,D1274)&gt;1,"중복","")</f>
        <v/>
      </c>
      <c r="W1274" s="0" t="n">
        <f aca="false">IF(V1274="중복",0,N(D1274))</f>
        <v>30</v>
      </c>
      <c r="X1274" s="0" t="n">
        <f aca="false">IF(COUNTIFS($A$2:A1274,A1274,$C$2:C1274,C1274)=1,ABS(SUMIFS(RAW_발주!$D:$D,RAW_발주!$C:$C,A1274,RAW_발주!$A:$A,C1274)-SUMIFS($W:$W,$A:$A,A1274,$C:$C,C1274)),0)</f>
        <v>0</v>
      </c>
    </row>
    <row r="1275" customFormat="false" ht="15" hidden="false" customHeight="true" outlineLevel="0" collapsed="false">
      <c r="A1275" s="45" t="s">
        <v>1664</v>
      </c>
      <c r="B1275" s="42" t="str">
        <f aca="false">IF(A1275="100","HK",IF(A1275="200","CN",IF(A1275="300","TW","홀세일")))</f>
        <v>홀세일</v>
      </c>
      <c r="C1275" s="45" t="s">
        <v>1348</v>
      </c>
      <c r="D1275" s="46" t="n">
        <v>60</v>
      </c>
      <c r="E1275" s="46" t="n">
        <v>99000</v>
      </c>
      <c r="F1275" s="46" t="n">
        <v>18700</v>
      </c>
      <c r="G1275" s="42" t="n">
        <v>3.9</v>
      </c>
      <c r="H1275" s="42" t="n">
        <v>23.3</v>
      </c>
      <c r="I1275" s="42" t="n">
        <v>0</v>
      </c>
      <c r="J1275" s="46" t="n">
        <f aca="false">IF(N(E1275)&gt;0,E1275,IF(N(F1275)&gt;0,F1275*요약!$F$27,0))</f>
        <v>99000</v>
      </c>
      <c r="K1275" s="46" t="n">
        <f aca="false">IF(N(F1275)&gt;0,F1275,IF(N(E1275)&gt;0,E1275/요약!$F$27,0))</f>
        <v>18700</v>
      </c>
      <c r="L1275" s="46" t="n">
        <f aca="false">IF(B1275="CN",IF(N(I1275)&gt;0,I1275*요약!$G$27,K1275*(1+요약!$E$27)),IF(N(H1275)&gt;0,H1275*요약!$G$27,J1275*요약!$D$27))</f>
        <v>30756</v>
      </c>
      <c r="M1275" s="46" t="n">
        <f aca="false">D1275*J1275</f>
        <v>5940000</v>
      </c>
      <c r="N1275" s="46" t="n">
        <f aca="false">D1275*K1275</f>
        <v>1122000</v>
      </c>
      <c r="O1275" s="46" t="n">
        <f aca="false">D1275*L1275</f>
        <v>1845360</v>
      </c>
      <c r="P1275" s="42" t="str">
        <f aca="false">TRIM(IF(N(E1275)&lt;=0,"택가보정 ","")&amp;IF(N(F1275)&lt;=0,"원가보정 ","")&amp;IF(AND(B1275&lt;&gt;"CN",N(H1275)&lt;=0),"공급가보정 ","")&amp;IF(AND(B1275="CN",N(I1275)&lt;=0),"중국공급가=원가+마진 ",""))</f>
        <v/>
      </c>
      <c r="Q1275" s="47" t="n">
        <f aca="false">IF(SUMIFS($W:$W,$A:$A,A1275,$C:$C,C1275)=0,0,SUMIFS(RAW_판매펀칭!$K:$K,RAW_판매펀칭!$P:$P,A1275,RAW_판매펀칭!$I:$I,C1275)*W1275/SUMIFS($W:$W,$A:$A,A1275,$C:$C,C1275))</f>
        <v>0</v>
      </c>
      <c r="R1275" s="47" t="n">
        <f aca="false">IF(OR(A1275="500",A1275="800",A1275="810"),0,MAX(W1275-Q1275,0))</f>
        <v>0</v>
      </c>
      <c r="S1275" s="47" t="n">
        <f aca="false">R1275*L1275</f>
        <v>0</v>
      </c>
      <c r="T1275" s="47" t="n">
        <f aca="false">R1275*J1275</f>
        <v>0</v>
      </c>
      <c r="U1275" s="47" t="n">
        <f aca="false">R1275*K1275</f>
        <v>0</v>
      </c>
      <c r="V1275" s="0" t="str">
        <f aca="false">IF(COUNTIFS($A$2:A1275,A1275,$C$2:C1275,C1275,$D$2:D1275,D1275)&gt;1,"중복","")</f>
        <v/>
      </c>
      <c r="W1275" s="0" t="n">
        <f aca="false">IF(V1275="중복",0,N(D1275))</f>
        <v>60</v>
      </c>
      <c r="X1275" s="0" t="n">
        <f aca="false">IF(COUNTIFS($A$2:A1275,A1275,$C$2:C1275,C1275)=1,ABS(SUMIFS(RAW_발주!$D:$D,RAW_발주!$C:$C,A1275,RAW_발주!$A:$A,C1275)-SUMIFS($W:$W,$A:$A,A1275,$C:$C,C1275)),0)</f>
        <v>0</v>
      </c>
    </row>
    <row r="1276" customFormat="false" ht="15" hidden="false" customHeight="true" outlineLevel="0" collapsed="false">
      <c r="A1276" s="45" t="s">
        <v>1665</v>
      </c>
      <c r="B1276" s="42" t="str">
        <f aca="false">IF(A1276="100","HK",IF(A1276="200","CN",IF(A1276="300","TW","홀세일")))</f>
        <v>홀세일</v>
      </c>
      <c r="C1276" s="45" t="s">
        <v>1711</v>
      </c>
      <c r="D1276" s="46" t="n">
        <v>204</v>
      </c>
      <c r="E1276" s="46" t="n">
        <v>109000</v>
      </c>
      <c r="F1276" s="46" t="n">
        <v>21600</v>
      </c>
      <c r="G1276" s="42" t="n">
        <v>3.82</v>
      </c>
      <c r="H1276" s="42" t="n">
        <v>25.7</v>
      </c>
      <c r="I1276" s="42" t="n">
        <v>0</v>
      </c>
      <c r="J1276" s="46" t="n">
        <f aca="false">IF(N(E1276)&gt;0,E1276,IF(N(F1276)&gt;0,F1276*요약!$F$27,0))</f>
        <v>109000</v>
      </c>
      <c r="K1276" s="46" t="n">
        <f aca="false">IF(N(F1276)&gt;0,F1276,IF(N(E1276)&gt;0,E1276/요약!$F$27,0))</f>
        <v>21600</v>
      </c>
      <c r="L1276" s="46" t="n">
        <f aca="false">IF(B1276="CN",IF(N(I1276)&gt;0,I1276*요약!$G$27,K1276*(1+요약!$E$27)),IF(N(H1276)&gt;0,H1276*요약!$G$27,J1276*요약!$D$27))</f>
        <v>33924</v>
      </c>
      <c r="M1276" s="46" t="n">
        <f aca="false">D1276*J1276</f>
        <v>22236000</v>
      </c>
      <c r="N1276" s="46" t="n">
        <f aca="false">D1276*K1276</f>
        <v>4406400</v>
      </c>
      <c r="O1276" s="46" t="n">
        <f aca="false">D1276*L1276</f>
        <v>6920496</v>
      </c>
      <c r="P1276" s="42" t="str">
        <f aca="false">TRIM(IF(N(E1276)&lt;=0,"택가보정 ","")&amp;IF(N(F1276)&lt;=0,"원가보정 ","")&amp;IF(AND(B1276&lt;&gt;"CN",N(H1276)&lt;=0),"공급가보정 ","")&amp;IF(AND(B1276="CN",N(I1276)&lt;=0),"중국공급가=원가+마진 ",""))</f>
        <v/>
      </c>
      <c r="Q1276" s="47" t="n">
        <f aca="false">IF(SUMIFS($W:$W,$A:$A,A1276,$C:$C,C1276)=0,0,SUMIFS(RAW_판매펀칭!$K:$K,RAW_판매펀칭!$P:$P,A1276,RAW_판매펀칭!$I:$I,C1276)*W1276/SUMIFS($W:$W,$A:$A,A1276,$C:$C,C1276))</f>
        <v>0</v>
      </c>
      <c r="R1276" s="47" t="n">
        <f aca="false">IF(OR(A1276="500",A1276="800",A1276="810"),0,MAX(W1276-Q1276,0))</f>
        <v>0</v>
      </c>
      <c r="S1276" s="47" t="n">
        <f aca="false">R1276*L1276</f>
        <v>0</v>
      </c>
      <c r="T1276" s="47" t="n">
        <f aca="false">R1276*J1276</f>
        <v>0</v>
      </c>
      <c r="U1276" s="47" t="n">
        <f aca="false">R1276*K1276</f>
        <v>0</v>
      </c>
      <c r="V1276" s="0" t="str">
        <f aca="false">IF(COUNTIFS($A$2:A1276,A1276,$C$2:C1276,C1276,$D$2:D1276,D1276)&gt;1,"중복","")</f>
        <v/>
      </c>
      <c r="W1276" s="0" t="n">
        <f aca="false">IF(V1276="중복",0,N(D1276))</f>
        <v>204</v>
      </c>
      <c r="X1276" s="0" t="n">
        <f aca="false">IF(COUNTIFS($A$2:A1276,A1276,$C$2:C1276,C1276)=1,ABS(SUMIFS(RAW_발주!$D:$D,RAW_발주!$C:$C,A1276,RAW_발주!$A:$A,C1276)-SUMIFS($W:$W,$A:$A,A1276,$C:$C,C1276)),0)</f>
        <v>0</v>
      </c>
    </row>
    <row r="1277" customFormat="false" ht="15.75" hidden="false" customHeight="true" outlineLevel="0" collapsed="false">
      <c r="A1277" s="45" t="s">
        <v>1660</v>
      </c>
      <c r="B1277" s="42" t="str">
        <f aca="false">IF(A1277="100","HK",IF(A1277="200","CN",IF(A1277="300","TW","홀세일")))</f>
        <v>CN</v>
      </c>
      <c r="C1277" s="45" t="s">
        <v>1350</v>
      </c>
      <c r="D1277" s="46" t="n">
        <v>172</v>
      </c>
      <c r="E1277" s="46" t="n">
        <v>19000</v>
      </c>
      <c r="F1277" s="46" t="n">
        <v>4920</v>
      </c>
      <c r="G1277" s="42" t="n">
        <v>3.36</v>
      </c>
      <c r="H1277" s="42" t="n">
        <v>5.1</v>
      </c>
      <c r="J1277" s="46" t="n">
        <f aca="false">IF(N(E1277)&gt;0,E1277,IF(N(F1277)&gt;0,F1277*요약!$F$27,0))</f>
        <v>19000</v>
      </c>
      <c r="K1277" s="46" t="n">
        <f aca="false">IF(N(F1277)&gt;0,F1277,IF(N(E1277)&gt;0,E1277/요약!$F$27,0))</f>
        <v>4920</v>
      </c>
      <c r="L1277" s="46" t="n">
        <f aca="false">IF(B1277="CN",IF(N(I1277)&gt;0,I1277*요약!$G$27,K1277*(1+요약!$E$27)),IF(N(H1277)&gt;0,H1277*요약!$G$27,J1277*요약!$D$27))</f>
        <v>5166</v>
      </c>
      <c r="M1277" s="46" t="n">
        <f aca="false">D1277*J1277</f>
        <v>3268000</v>
      </c>
      <c r="N1277" s="46" t="n">
        <f aca="false">D1277*K1277</f>
        <v>846240</v>
      </c>
      <c r="O1277" s="46" t="n">
        <f aca="false">D1277*L1277</f>
        <v>888552</v>
      </c>
      <c r="P1277" s="42" t="str">
        <f aca="false">TRIM(IF(N(E1277)&lt;=0,"택가보정 ","")&amp;IF(N(F1277)&lt;=0,"원가보정 ","")&amp;IF(AND(B1277&lt;&gt;"CN",N(H1277)&lt;=0),"공급가보정 ","")&amp;IF(AND(B1277="CN",N(I1277)&lt;=0),"중국공급가=원가+마진 ",""))</f>
        <v>중국공급가=원가+마진</v>
      </c>
      <c r="Q1277" s="47" t="n">
        <f aca="false">IF(SUMIFS($W:$W,$A:$A,A1277,$C:$C,C1277)=0,0,SUMIFS(RAW_판매펀칭!$K:$K,RAW_판매펀칭!$P:$P,A1277,RAW_판매펀칭!$I:$I,C1277)*W1277/SUMIFS($W:$W,$A:$A,A1277,$C:$C,C1277))</f>
        <v>0</v>
      </c>
      <c r="R1277" s="47" t="n">
        <f aca="false">IF(OR(A1277="500",A1277="800",A1277="810"),0,MAX(W1277-Q1277,0))</f>
        <v>172</v>
      </c>
      <c r="S1277" s="47" t="n">
        <f aca="false">R1277*L1277</f>
        <v>888552</v>
      </c>
      <c r="T1277" s="47" t="n">
        <f aca="false">R1277*J1277</f>
        <v>3268000</v>
      </c>
      <c r="U1277" s="47" t="n">
        <f aca="false">R1277*K1277</f>
        <v>846240</v>
      </c>
      <c r="V1277" s="0" t="str">
        <f aca="false">IF(COUNTIFS($A$2:A1277,A1277,$C$2:C1277,C1277,$D$2:D1277,D1277)&gt;1,"중복","")</f>
        <v/>
      </c>
      <c r="W1277" s="0" t="n">
        <f aca="false">IF(V1277="중복",0,N(D1277))</f>
        <v>172</v>
      </c>
      <c r="X1277" s="0" t="n">
        <f aca="false">IF(COUNTIFS($A$2:A1277,A1277,$C$2:C1277,C1277)=1,ABS(SUMIFS(RAW_발주!$D:$D,RAW_발주!$C:$C,A1277,RAW_발주!$A:$A,C1277)-SUMIFS($W:$W,$A:$A,A1277,$C:$C,C1277)),0)</f>
        <v>0</v>
      </c>
    </row>
    <row r="1278" customFormat="false" ht="15" hidden="false" customHeight="true" outlineLevel="0" collapsed="false">
      <c r="A1278" s="45" t="s">
        <v>1661</v>
      </c>
      <c r="B1278" s="42" t="str">
        <f aca="false">IF(A1278="100","HK",IF(A1278="200","CN",IF(A1278="300","TW","홀세일")))</f>
        <v>TW</v>
      </c>
      <c r="C1278" s="45" t="s">
        <v>1350</v>
      </c>
      <c r="D1278" s="46" t="n">
        <v>750</v>
      </c>
      <c r="E1278" s="46" t="n">
        <v>19000</v>
      </c>
      <c r="F1278" s="46" t="n">
        <v>4920</v>
      </c>
      <c r="G1278" s="42" t="n">
        <v>3.36</v>
      </c>
      <c r="H1278" s="42" t="n">
        <v>5.1</v>
      </c>
      <c r="J1278" s="46" t="n">
        <f aca="false">IF(N(E1278)&gt;0,E1278,IF(N(F1278)&gt;0,F1278*요약!$F$27,0))</f>
        <v>19000</v>
      </c>
      <c r="K1278" s="46" t="n">
        <f aca="false">IF(N(F1278)&gt;0,F1278,IF(N(E1278)&gt;0,E1278/요약!$F$27,0))</f>
        <v>4920</v>
      </c>
      <c r="L1278" s="46" t="n">
        <f aca="false">IF(B1278="CN",IF(N(I1278)&gt;0,I1278*요약!$G$27,K1278*(1+요약!$E$27)),IF(N(H1278)&gt;0,H1278*요약!$G$27,J1278*요약!$D$27))</f>
        <v>6732</v>
      </c>
      <c r="M1278" s="46" t="n">
        <f aca="false">D1278*J1278</f>
        <v>14250000</v>
      </c>
      <c r="N1278" s="46" t="n">
        <f aca="false">D1278*K1278</f>
        <v>3690000</v>
      </c>
      <c r="O1278" s="46" t="n">
        <f aca="false">D1278*L1278</f>
        <v>5049000</v>
      </c>
      <c r="P1278" s="42" t="str">
        <f aca="false">TRIM(IF(N(E1278)&lt;=0,"택가보정 ","")&amp;IF(N(F1278)&lt;=0,"원가보정 ","")&amp;IF(AND(B1278&lt;&gt;"CN",N(H1278)&lt;=0),"공급가보정 ","")&amp;IF(AND(B1278="CN",N(I1278)&lt;=0),"중국공급가=원가+마진 ",""))</f>
        <v/>
      </c>
      <c r="Q1278" s="47" t="n">
        <f aca="false">IF(SUMIFS($W:$W,$A:$A,A1278,$C:$C,C1278)=0,0,SUMIFS(RAW_판매펀칭!$K:$K,RAW_판매펀칭!$P:$P,A1278,RAW_판매펀칭!$I:$I,C1278)*W1278/SUMIFS($W:$W,$A:$A,A1278,$C:$C,C1278))</f>
        <v>0</v>
      </c>
      <c r="R1278" s="47" t="n">
        <f aca="false">IF(OR(A1278="500",A1278="800",A1278="810"),0,MAX(W1278-Q1278,0))</f>
        <v>750</v>
      </c>
      <c r="S1278" s="47" t="n">
        <f aca="false">R1278*L1278</f>
        <v>5049000</v>
      </c>
      <c r="T1278" s="47" t="n">
        <f aca="false">R1278*J1278</f>
        <v>14250000</v>
      </c>
      <c r="U1278" s="47" t="n">
        <f aca="false">R1278*K1278</f>
        <v>3690000</v>
      </c>
      <c r="V1278" s="0" t="str">
        <f aca="false">IF(COUNTIFS($A$2:A1278,A1278,$C$2:C1278,C1278,$D$2:D1278,D1278)&gt;1,"중복","")</f>
        <v/>
      </c>
      <c r="W1278" s="0" t="n">
        <f aca="false">IF(V1278="중복",0,N(D1278))</f>
        <v>750</v>
      </c>
      <c r="X1278" s="0" t="n">
        <f aca="false">IF(COUNTIFS($A$2:A1278,A1278,$C$2:C1278,C1278)=1,ABS(SUMIFS(RAW_발주!$D:$D,RAW_발주!$C:$C,A1278,RAW_발주!$A:$A,C1278)-SUMIFS($W:$W,$A:$A,A1278,$C:$C,C1278)),0)</f>
        <v>0</v>
      </c>
    </row>
    <row r="1279" customFormat="false" ht="15" hidden="false" customHeight="true" outlineLevel="0" collapsed="false">
      <c r="A1279" s="45" t="s">
        <v>1662</v>
      </c>
      <c r="B1279" s="42" t="str">
        <f aca="false">IF(A1279="100","HK",IF(A1279="200","CN",IF(A1279="300","TW","홀세일")))</f>
        <v>홀세일</v>
      </c>
      <c r="C1279" s="45" t="s">
        <v>1350</v>
      </c>
      <c r="D1279" s="46" t="n">
        <v>45</v>
      </c>
      <c r="E1279" s="46" t="n">
        <v>19000</v>
      </c>
      <c r="F1279" s="46" t="n">
        <v>4920</v>
      </c>
      <c r="G1279" s="42" t="n">
        <v>3.36</v>
      </c>
      <c r="H1279" s="42" t="n">
        <v>5.1</v>
      </c>
      <c r="J1279" s="46" t="n">
        <f aca="false">IF(N(E1279)&gt;0,E1279,IF(N(F1279)&gt;0,F1279*요약!$F$27,0))</f>
        <v>19000</v>
      </c>
      <c r="K1279" s="46" t="n">
        <f aca="false">IF(N(F1279)&gt;0,F1279,IF(N(E1279)&gt;0,E1279/요약!$F$27,0))</f>
        <v>4920</v>
      </c>
      <c r="L1279" s="46" t="n">
        <f aca="false">IF(B1279="CN",IF(N(I1279)&gt;0,I1279*요약!$G$27,K1279*(1+요약!$E$27)),IF(N(H1279)&gt;0,H1279*요약!$G$27,J1279*요약!$D$27))</f>
        <v>6732</v>
      </c>
      <c r="M1279" s="46" t="n">
        <f aca="false">D1279*J1279</f>
        <v>855000</v>
      </c>
      <c r="N1279" s="46" t="n">
        <f aca="false">D1279*K1279</f>
        <v>221400</v>
      </c>
      <c r="O1279" s="46" t="n">
        <f aca="false">D1279*L1279</f>
        <v>302940</v>
      </c>
      <c r="P1279" s="42" t="str">
        <f aca="false">TRIM(IF(N(E1279)&lt;=0,"택가보정 ","")&amp;IF(N(F1279)&lt;=0,"원가보정 ","")&amp;IF(AND(B1279&lt;&gt;"CN",N(H1279)&lt;=0),"공급가보정 ","")&amp;IF(AND(B1279="CN",N(I1279)&lt;=0),"중국공급가=원가+마진 ",""))</f>
        <v/>
      </c>
      <c r="Q1279" s="47" t="n">
        <f aca="false">IF(SUMIFS($W:$W,$A:$A,A1279,$C:$C,C1279)=0,0,SUMIFS(RAW_판매펀칭!$K:$K,RAW_판매펀칭!$P:$P,A1279,RAW_판매펀칭!$I:$I,C1279)*W1279/SUMIFS($W:$W,$A:$A,A1279,$C:$C,C1279))</f>
        <v>0</v>
      </c>
      <c r="R1279" s="47" t="n">
        <f aca="false">IF(OR(A1279="500",A1279="800",A1279="810"),0,MAX(W1279-Q1279,0))</f>
        <v>0</v>
      </c>
      <c r="S1279" s="47" t="n">
        <f aca="false">R1279*L1279</f>
        <v>0</v>
      </c>
      <c r="T1279" s="47" t="n">
        <f aca="false">R1279*J1279</f>
        <v>0</v>
      </c>
      <c r="U1279" s="47" t="n">
        <f aca="false">R1279*K1279</f>
        <v>0</v>
      </c>
      <c r="V1279" s="0" t="str">
        <f aca="false">IF(COUNTIFS($A$2:A1279,A1279,$C$2:C1279,C1279,$D$2:D1279,D1279)&gt;1,"중복","")</f>
        <v/>
      </c>
      <c r="W1279" s="0" t="n">
        <f aca="false">IF(V1279="중복",0,N(D1279))</f>
        <v>45</v>
      </c>
      <c r="X1279" s="0" t="n">
        <f aca="false">IF(COUNTIFS($A$2:A1279,A1279,$C$2:C1279,C1279)=1,ABS(SUMIFS(RAW_발주!$D:$D,RAW_발주!$C:$C,A1279,RAW_발주!$A:$A,C1279)-SUMIFS($W:$W,$A:$A,A1279,$C:$C,C1279)),0)</f>
        <v>0</v>
      </c>
    </row>
    <row r="1280" customFormat="false" ht="15" hidden="false" customHeight="true" outlineLevel="0" collapsed="false">
      <c r="A1280" s="45" t="s">
        <v>1663</v>
      </c>
      <c r="B1280" s="42" t="str">
        <f aca="false">IF(A1280="100","HK",IF(A1280="200","CN",IF(A1280="300","TW","홀세일")))</f>
        <v>홀세일</v>
      </c>
      <c r="C1280" s="45" t="s">
        <v>1350</v>
      </c>
      <c r="D1280" s="46" t="n">
        <v>120</v>
      </c>
      <c r="E1280" s="46" t="n">
        <v>19000</v>
      </c>
      <c r="F1280" s="46" t="n">
        <v>4920</v>
      </c>
      <c r="G1280" s="42" t="n">
        <v>3.36</v>
      </c>
      <c r="H1280" s="42" t="n">
        <v>5.1</v>
      </c>
      <c r="J1280" s="46" t="n">
        <f aca="false">IF(N(E1280)&gt;0,E1280,IF(N(F1280)&gt;0,F1280*요약!$F$27,0))</f>
        <v>19000</v>
      </c>
      <c r="K1280" s="46" t="n">
        <f aca="false">IF(N(F1280)&gt;0,F1280,IF(N(E1280)&gt;0,E1280/요약!$F$27,0))</f>
        <v>4920</v>
      </c>
      <c r="L1280" s="46" t="n">
        <f aca="false">IF(B1280="CN",IF(N(I1280)&gt;0,I1280*요약!$G$27,K1280*(1+요약!$E$27)),IF(N(H1280)&gt;0,H1280*요약!$G$27,J1280*요약!$D$27))</f>
        <v>6732</v>
      </c>
      <c r="M1280" s="46" t="n">
        <f aca="false">D1280*J1280</f>
        <v>2280000</v>
      </c>
      <c r="N1280" s="46" t="n">
        <f aca="false">D1280*K1280</f>
        <v>590400</v>
      </c>
      <c r="O1280" s="46" t="n">
        <f aca="false">D1280*L1280</f>
        <v>807840</v>
      </c>
      <c r="P1280" s="42" t="str">
        <f aca="false">TRIM(IF(N(E1280)&lt;=0,"택가보정 ","")&amp;IF(N(F1280)&lt;=0,"원가보정 ","")&amp;IF(AND(B1280&lt;&gt;"CN",N(H1280)&lt;=0),"공급가보정 ","")&amp;IF(AND(B1280="CN",N(I1280)&lt;=0),"중국공급가=원가+마진 ",""))</f>
        <v/>
      </c>
      <c r="Q1280" s="47" t="n">
        <f aca="false">IF(SUMIFS($W:$W,$A:$A,A1280,$C:$C,C1280)=0,0,SUMIFS(RAW_판매펀칭!$K:$K,RAW_판매펀칭!$P:$P,A1280,RAW_판매펀칭!$I:$I,C1280)*W1280/SUMIFS($W:$W,$A:$A,A1280,$C:$C,C1280))</f>
        <v>120</v>
      </c>
      <c r="R1280" s="47" t="n">
        <f aca="false">IF(OR(A1280="500",A1280="800",A1280="810"),0,MAX(W1280-Q1280,0))</f>
        <v>0</v>
      </c>
      <c r="S1280" s="47" t="n">
        <f aca="false">R1280*L1280</f>
        <v>0</v>
      </c>
      <c r="T1280" s="47" t="n">
        <f aca="false">R1280*J1280</f>
        <v>0</v>
      </c>
      <c r="U1280" s="47" t="n">
        <f aca="false">R1280*K1280</f>
        <v>0</v>
      </c>
      <c r="V1280" s="0" t="str">
        <f aca="false">IF(COUNTIFS($A$2:A1280,A1280,$C$2:C1280,C1280,$D$2:D1280,D1280)&gt;1,"중복","")</f>
        <v/>
      </c>
      <c r="W1280" s="0" t="n">
        <f aca="false">IF(V1280="중복",0,N(D1280))</f>
        <v>120</v>
      </c>
      <c r="X1280" s="0" t="n">
        <f aca="false">IF(COUNTIFS($A$2:A1280,A1280,$C$2:C1280,C1280)=1,ABS(SUMIFS(RAW_발주!$D:$D,RAW_발주!$C:$C,A1280,RAW_발주!$A:$A,C1280)-SUMIFS($W:$W,$A:$A,A1280,$C:$C,C1280)),0)</f>
        <v>0</v>
      </c>
    </row>
    <row r="1281" customFormat="false" ht="15" hidden="false" customHeight="true" outlineLevel="0" collapsed="false">
      <c r="A1281" s="45" t="s">
        <v>1667</v>
      </c>
      <c r="B1281" s="42" t="str">
        <f aca="false">IF(A1281="100","HK",IF(A1281="200","CN",IF(A1281="300","TW","홀세일")))</f>
        <v>홀세일</v>
      </c>
      <c r="C1281" s="45" t="s">
        <v>1350</v>
      </c>
      <c r="D1281" s="46" t="n">
        <v>603</v>
      </c>
      <c r="E1281" s="46" t="n">
        <v>19000</v>
      </c>
      <c r="F1281" s="46" t="n">
        <v>4920</v>
      </c>
      <c r="G1281" s="42" t="n">
        <v>3.36</v>
      </c>
      <c r="H1281" s="42" t="n">
        <v>5.1</v>
      </c>
      <c r="J1281" s="46" t="n">
        <f aca="false">IF(N(E1281)&gt;0,E1281,IF(N(F1281)&gt;0,F1281*요약!$F$27,0))</f>
        <v>19000</v>
      </c>
      <c r="K1281" s="46" t="n">
        <f aca="false">IF(N(F1281)&gt;0,F1281,IF(N(E1281)&gt;0,E1281/요약!$F$27,0))</f>
        <v>4920</v>
      </c>
      <c r="L1281" s="46" t="n">
        <f aca="false">IF(B1281="CN",IF(N(I1281)&gt;0,I1281*요약!$G$27,K1281*(1+요약!$E$27)),IF(N(H1281)&gt;0,H1281*요약!$G$27,J1281*요약!$D$27))</f>
        <v>6732</v>
      </c>
      <c r="M1281" s="46" t="n">
        <f aca="false">D1281*J1281</f>
        <v>11457000</v>
      </c>
      <c r="N1281" s="46" t="n">
        <f aca="false">D1281*K1281</f>
        <v>2966760</v>
      </c>
      <c r="O1281" s="46" t="n">
        <f aca="false">D1281*L1281</f>
        <v>4059396</v>
      </c>
      <c r="P1281" s="42" t="str">
        <f aca="false">TRIM(IF(N(E1281)&lt;=0,"택가보정 ","")&amp;IF(N(F1281)&lt;=0,"원가보정 ","")&amp;IF(AND(B1281&lt;&gt;"CN",N(H1281)&lt;=0),"공급가보정 ","")&amp;IF(AND(B1281="CN",N(I1281)&lt;=0),"중국공급가=원가+마진 ",""))</f>
        <v/>
      </c>
      <c r="Q1281" s="47" t="n">
        <f aca="false">IF(SUMIFS($W:$W,$A:$A,A1281,$C:$C,C1281)=0,0,SUMIFS(RAW_판매펀칭!$K:$K,RAW_판매펀칭!$P:$P,A1281,RAW_판매펀칭!$I:$I,C1281)*W1281/SUMIFS($W:$W,$A:$A,A1281,$C:$C,C1281))</f>
        <v>303</v>
      </c>
      <c r="R1281" s="47" t="n">
        <f aca="false">IF(OR(A1281="500",A1281="800",A1281="810"),0,MAX(W1281-Q1281,0))</f>
        <v>300</v>
      </c>
      <c r="S1281" s="47" t="n">
        <f aca="false">R1281*L1281</f>
        <v>2019600</v>
      </c>
      <c r="T1281" s="47" t="n">
        <f aca="false">R1281*J1281</f>
        <v>5700000</v>
      </c>
      <c r="U1281" s="47" t="n">
        <f aca="false">R1281*K1281</f>
        <v>1476000</v>
      </c>
      <c r="V1281" s="0" t="str">
        <f aca="false">IF(COUNTIFS($A$2:A1281,A1281,$C$2:C1281,C1281,$D$2:D1281,D1281)&gt;1,"중복","")</f>
        <v/>
      </c>
      <c r="W1281" s="0" t="n">
        <f aca="false">IF(V1281="중복",0,N(D1281))</f>
        <v>603</v>
      </c>
      <c r="X1281" s="0" t="n">
        <f aca="false">IF(COUNTIFS($A$2:A1281,A1281,$C$2:C1281,C1281)=1,ABS(SUMIFS(RAW_발주!$D:$D,RAW_발주!$C:$C,A1281,RAW_발주!$A:$A,C1281)-SUMIFS($W:$W,$A:$A,A1281,$C:$C,C1281)),0)</f>
        <v>0</v>
      </c>
    </row>
    <row r="1282" customFormat="false" ht="15" hidden="false" customHeight="true" outlineLevel="0" collapsed="false">
      <c r="A1282" s="45" t="s">
        <v>1664</v>
      </c>
      <c r="B1282" s="42" t="str">
        <f aca="false">IF(A1282="100","HK",IF(A1282="200","CN",IF(A1282="300","TW","홀세일")))</f>
        <v>홀세일</v>
      </c>
      <c r="C1282" s="45" t="s">
        <v>1350</v>
      </c>
      <c r="D1282" s="46" t="n">
        <v>20</v>
      </c>
      <c r="E1282" s="46" t="n">
        <v>19000</v>
      </c>
      <c r="F1282" s="46" t="n">
        <v>4920</v>
      </c>
      <c r="G1282" s="42" t="n">
        <v>3.36</v>
      </c>
      <c r="H1282" s="42" t="n">
        <v>5.1</v>
      </c>
      <c r="J1282" s="46" t="n">
        <f aca="false">IF(N(E1282)&gt;0,E1282,IF(N(F1282)&gt;0,F1282*요약!$F$27,0))</f>
        <v>19000</v>
      </c>
      <c r="K1282" s="46" t="n">
        <f aca="false">IF(N(F1282)&gt;0,F1282,IF(N(E1282)&gt;0,E1282/요약!$F$27,0))</f>
        <v>4920</v>
      </c>
      <c r="L1282" s="46" t="n">
        <f aca="false">IF(B1282="CN",IF(N(I1282)&gt;0,I1282*요약!$G$27,K1282*(1+요약!$E$27)),IF(N(H1282)&gt;0,H1282*요약!$G$27,J1282*요약!$D$27))</f>
        <v>6732</v>
      </c>
      <c r="M1282" s="46" t="n">
        <f aca="false">D1282*J1282</f>
        <v>380000</v>
      </c>
      <c r="N1282" s="46" t="n">
        <f aca="false">D1282*K1282</f>
        <v>98400</v>
      </c>
      <c r="O1282" s="46" t="n">
        <f aca="false">D1282*L1282</f>
        <v>134640</v>
      </c>
      <c r="P1282" s="42" t="str">
        <f aca="false">TRIM(IF(N(E1282)&lt;=0,"택가보정 ","")&amp;IF(N(F1282)&lt;=0,"원가보정 ","")&amp;IF(AND(B1282&lt;&gt;"CN",N(H1282)&lt;=0),"공급가보정 ","")&amp;IF(AND(B1282="CN",N(I1282)&lt;=0),"중국공급가=원가+마진 ",""))</f>
        <v/>
      </c>
      <c r="Q1282" s="47" t="n">
        <f aca="false">IF(SUMIFS($W:$W,$A:$A,A1282,$C:$C,C1282)=0,0,SUMIFS(RAW_판매펀칭!$K:$K,RAW_판매펀칭!$P:$P,A1282,RAW_판매펀칭!$I:$I,C1282)*W1282/SUMIFS($W:$W,$A:$A,A1282,$C:$C,C1282))</f>
        <v>20</v>
      </c>
      <c r="R1282" s="47" t="n">
        <f aca="false">IF(OR(A1282="500",A1282="800",A1282="810"),0,MAX(W1282-Q1282,0))</f>
        <v>0</v>
      </c>
      <c r="S1282" s="47" t="n">
        <f aca="false">R1282*L1282</f>
        <v>0</v>
      </c>
      <c r="T1282" s="47" t="n">
        <f aca="false">R1282*J1282</f>
        <v>0</v>
      </c>
      <c r="U1282" s="47" t="n">
        <f aca="false">R1282*K1282</f>
        <v>0</v>
      </c>
      <c r="V1282" s="0" t="str">
        <f aca="false">IF(COUNTIFS($A$2:A1282,A1282,$C$2:C1282,C1282,$D$2:D1282,D1282)&gt;1,"중복","")</f>
        <v/>
      </c>
      <c r="W1282" s="0" t="n">
        <f aca="false">IF(V1282="중복",0,N(D1282))</f>
        <v>20</v>
      </c>
      <c r="X1282" s="0" t="n">
        <f aca="false">IF(COUNTIFS($A$2:A1282,A1282,$C$2:C1282,C1282)=1,ABS(SUMIFS(RAW_발주!$D:$D,RAW_발주!$C:$C,A1282,RAW_발주!$A:$A,C1282)-SUMIFS($W:$W,$A:$A,A1282,$C:$C,C1282)),0)</f>
        <v>0</v>
      </c>
    </row>
    <row r="1283" customFormat="false" ht="15.75" hidden="false" customHeight="true" outlineLevel="0" collapsed="false">
      <c r="A1283" s="45" t="s">
        <v>1660</v>
      </c>
      <c r="B1283" s="42" t="str">
        <f aca="false">IF(A1283="100","HK",IF(A1283="200","CN",IF(A1283="300","TW","홀세일")))</f>
        <v>CN</v>
      </c>
      <c r="C1283" s="45" t="s">
        <v>581</v>
      </c>
      <c r="D1283" s="46" t="n">
        <v>630</v>
      </c>
      <c r="E1283" s="46" t="n">
        <v>29000</v>
      </c>
      <c r="F1283" s="46" t="n">
        <v>6136</v>
      </c>
      <c r="G1283" s="42" t="n">
        <v>4.11</v>
      </c>
      <c r="H1283" s="42" t="n">
        <v>7.7</v>
      </c>
      <c r="J1283" s="46" t="n">
        <f aca="false">IF(N(E1283)&gt;0,E1283,IF(N(F1283)&gt;0,F1283*요약!$F$27,0))</f>
        <v>29000</v>
      </c>
      <c r="K1283" s="46" t="n">
        <f aca="false">IF(N(F1283)&gt;0,F1283,IF(N(E1283)&gt;0,E1283/요약!$F$27,0))</f>
        <v>6136</v>
      </c>
      <c r="L1283" s="46" t="n">
        <f aca="false">IF(B1283="CN",IF(N(I1283)&gt;0,I1283*요약!$G$27,K1283*(1+요약!$E$27)),IF(N(H1283)&gt;0,H1283*요약!$G$27,J1283*요약!$D$27))</f>
        <v>6442.8</v>
      </c>
      <c r="M1283" s="46" t="n">
        <f aca="false">D1283*J1283</f>
        <v>18270000</v>
      </c>
      <c r="N1283" s="46" t="n">
        <f aca="false">D1283*K1283</f>
        <v>3865680</v>
      </c>
      <c r="O1283" s="46" t="n">
        <f aca="false">D1283*L1283</f>
        <v>4058964</v>
      </c>
      <c r="P1283" s="42" t="str">
        <f aca="false">TRIM(IF(N(E1283)&lt;=0,"택가보정 ","")&amp;IF(N(F1283)&lt;=0,"원가보정 ","")&amp;IF(AND(B1283&lt;&gt;"CN",N(H1283)&lt;=0),"공급가보정 ","")&amp;IF(AND(B1283="CN",N(I1283)&lt;=0),"중국공급가=원가+마진 ",""))</f>
        <v>중국공급가=원가+마진</v>
      </c>
      <c r="Q1283" s="47" t="n">
        <f aca="false">IF(SUMIFS($W:$W,$A:$A,A1283,$C:$C,C1283)=0,0,SUMIFS(RAW_판매펀칭!$K:$K,RAW_판매펀칭!$P:$P,A1283,RAW_판매펀칭!$I:$I,C1283)*W1283/SUMIFS($W:$W,$A:$A,A1283,$C:$C,C1283))</f>
        <v>0</v>
      </c>
      <c r="R1283" s="47" t="n">
        <f aca="false">IF(OR(A1283="500",A1283="800",A1283="810"),0,MAX(W1283-Q1283,0))</f>
        <v>630</v>
      </c>
      <c r="S1283" s="47" t="n">
        <f aca="false">R1283*L1283</f>
        <v>4058964</v>
      </c>
      <c r="T1283" s="47" t="n">
        <f aca="false">R1283*J1283</f>
        <v>18270000</v>
      </c>
      <c r="U1283" s="47" t="n">
        <f aca="false">R1283*K1283</f>
        <v>3865680</v>
      </c>
      <c r="V1283" s="0" t="str">
        <f aca="false">IF(COUNTIFS($A$2:A1283,A1283,$C$2:C1283,C1283,$D$2:D1283,D1283)&gt;1,"중복","")</f>
        <v/>
      </c>
      <c r="W1283" s="0" t="n">
        <f aca="false">IF(V1283="중복",0,N(D1283))</f>
        <v>630</v>
      </c>
      <c r="X1283" s="0" t="n">
        <f aca="false">IF(COUNTIFS($A$2:A1283,A1283,$C$2:C1283,C1283)=1,ABS(SUMIFS(RAW_발주!$D:$D,RAW_발주!$C:$C,A1283,RAW_발주!$A:$A,C1283)-SUMIFS($W:$W,$A:$A,A1283,$C:$C,C1283)),0)</f>
        <v>0</v>
      </c>
    </row>
    <row r="1284" customFormat="false" ht="15" hidden="false" customHeight="true" outlineLevel="0" collapsed="false">
      <c r="A1284" s="45" t="s">
        <v>1661</v>
      </c>
      <c r="B1284" s="42" t="str">
        <f aca="false">IF(A1284="100","HK",IF(A1284="200","CN",IF(A1284="300","TW","홀세일")))</f>
        <v>TW</v>
      </c>
      <c r="C1284" s="45" t="s">
        <v>581</v>
      </c>
      <c r="D1284" s="46" t="n">
        <v>600</v>
      </c>
      <c r="E1284" s="46" t="n">
        <v>29000</v>
      </c>
      <c r="F1284" s="46" t="n">
        <v>6136</v>
      </c>
      <c r="G1284" s="42" t="n">
        <v>4.11</v>
      </c>
      <c r="H1284" s="42" t="n">
        <v>7.7</v>
      </c>
      <c r="J1284" s="46" t="n">
        <f aca="false">IF(N(E1284)&gt;0,E1284,IF(N(F1284)&gt;0,F1284*요약!$F$27,0))</f>
        <v>29000</v>
      </c>
      <c r="K1284" s="46" t="n">
        <f aca="false">IF(N(F1284)&gt;0,F1284,IF(N(E1284)&gt;0,E1284/요약!$F$27,0))</f>
        <v>6136</v>
      </c>
      <c r="L1284" s="46" t="n">
        <f aca="false">IF(B1284="CN",IF(N(I1284)&gt;0,I1284*요약!$G$27,K1284*(1+요약!$E$27)),IF(N(H1284)&gt;0,H1284*요약!$G$27,J1284*요약!$D$27))</f>
        <v>10164</v>
      </c>
      <c r="M1284" s="46" t="n">
        <f aca="false">D1284*J1284</f>
        <v>17400000</v>
      </c>
      <c r="N1284" s="46" t="n">
        <f aca="false">D1284*K1284</f>
        <v>3681600</v>
      </c>
      <c r="O1284" s="46" t="n">
        <f aca="false">D1284*L1284</f>
        <v>6098400</v>
      </c>
      <c r="P1284" s="42" t="str">
        <f aca="false">TRIM(IF(N(E1284)&lt;=0,"택가보정 ","")&amp;IF(N(F1284)&lt;=0,"원가보정 ","")&amp;IF(AND(B1284&lt;&gt;"CN",N(H1284)&lt;=0),"공급가보정 ","")&amp;IF(AND(B1284="CN",N(I1284)&lt;=0),"중국공급가=원가+마진 ",""))</f>
        <v/>
      </c>
      <c r="Q1284" s="47" t="n">
        <f aca="false">IF(SUMIFS($W:$W,$A:$A,A1284,$C:$C,C1284)=0,0,SUMIFS(RAW_판매펀칭!$K:$K,RAW_판매펀칭!$P:$P,A1284,RAW_판매펀칭!$I:$I,C1284)*W1284/SUMIFS($W:$W,$A:$A,A1284,$C:$C,C1284))</f>
        <v>300</v>
      </c>
      <c r="R1284" s="47" t="n">
        <f aca="false">IF(OR(A1284="500",A1284="800",A1284="810"),0,MAX(W1284-Q1284,0))</f>
        <v>300</v>
      </c>
      <c r="S1284" s="47" t="n">
        <f aca="false">R1284*L1284</f>
        <v>3049200</v>
      </c>
      <c r="T1284" s="47" t="n">
        <f aca="false">R1284*J1284</f>
        <v>8700000</v>
      </c>
      <c r="U1284" s="47" t="n">
        <f aca="false">R1284*K1284</f>
        <v>1840800</v>
      </c>
      <c r="V1284" s="0" t="str">
        <f aca="false">IF(COUNTIFS($A$2:A1284,A1284,$C$2:C1284,C1284,$D$2:D1284,D1284)&gt;1,"중복","")</f>
        <v/>
      </c>
      <c r="W1284" s="0" t="n">
        <f aca="false">IF(V1284="중복",0,N(D1284))</f>
        <v>600</v>
      </c>
      <c r="X1284" s="0" t="n">
        <f aca="false">IF(COUNTIFS($A$2:A1284,A1284,$C$2:C1284,C1284)=1,ABS(SUMIFS(RAW_발주!$D:$D,RAW_발주!$C:$C,A1284,RAW_발주!$A:$A,C1284)-SUMIFS($W:$W,$A:$A,A1284,$C:$C,C1284)),0)</f>
        <v>0</v>
      </c>
    </row>
    <row r="1285" customFormat="false" ht="15" hidden="false" customHeight="true" outlineLevel="0" collapsed="false">
      <c r="A1285" s="45" t="s">
        <v>1662</v>
      </c>
      <c r="B1285" s="42" t="str">
        <f aca="false">IF(A1285="100","HK",IF(A1285="200","CN",IF(A1285="300","TW","홀세일")))</f>
        <v>홀세일</v>
      </c>
      <c r="C1285" s="45" t="s">
        <v>581</v>
      </c>
      <c r="D1285" s="46" t="n">
        <v>90</v>
      </c>
      <c r="E1285" s="46" t="n">
        <v>29000</v>
      </c>
      <c r="F1285" s="46" t="n">
        <v>6136</v>
      </c>
      <c r="G1285" s="42" t="n">
        <v>4.11</v>
      </c>
      <c r="H1285" s="42" t="n">
        <v>7.7</v>
      </c>
      <c r="J1285" s="46" t="n">
        <f aca="false">IF(N(E1285)&gt;0,E1285,IF(N(F1285)&gt;0,F1285*요약!$F$27,0))</f>
        <v>29000</v>
      </c>
      <c r="K1285" s="46" t="n">
        <f aca="false">IF(N(F1285)&gt;0,F1285,IF(N(E1285)&gt;0,E1285/요약!$F$27,0))</f>
        <v>6136</v>
      </c>
      <c r="L1285" s="46" t="n">
        <f aca="false">IF(B1285="CN",IF(N(I1285)&gt;0,I1285*요약!$G$27,K1285*(1+요약!$E$27)),IF(N(H1285)&gt;0,H1285*요약!$G$27,J1285*요약!$D$27))</f>
        <v>10164</v>
      </c>
      <c r="M1285" s="46" t="n">
        <f aca="false">D1285*J1285</f>
        <v>2610000</v>
      </c>
      <c r="N1285" s="46" t="n">
        <f aca="false">D1285*K1285</f>
        <v>552240</v>
      </c>
      <c r="O1285" s="46" t="n">
        <f aca="false">D1285*L1285</f>
        <v>914760</v>
      </c>
      <c r="P1285" s="42" t="str">
        <f aca="false">TRIM(IF(N(E1285)&lt;=0,"택가보정 ","")&amp;IF(N(F1285)&lt;=0,"원가보정 ","")&amp;IF(AND(B1285&lt;&gt;"CN",N(H1285)&lt;=0),"공급가보정 ","")&amp;IF(AND(B1285="CN",N(I1285)&lt;=0),"중국공급가=원가+마진 ",""))</f>
        <v/>
      </c>
      <c r="Q1285" s="47" t="n">
        <f aca="false">IF(SUMIFS($W:$W,$A:$A,A1285,$C:$C,C1285)=0,0,SUMIFS(RAW_판매펀칭!$K:$K,RAW_판매펀칭!$P:$P,A1285,RAW_판매펀칭!$I:$I,C1285)*W1285/SUMIFS($W:$W,$A:$A,A1285,$C:$C,C1285))</f>
        <v>0</v>
      </c>
      <c r="R1285" s="47" t="n">
        <f aca="false">IF(OR(A1285="500",A1285="800",A1285="810"),0,MAX(W1285-Q1285,0))</f>
        <v>0</v>
      </c>
      <c r="S1285" s="47" t="n">
        <f aca="false">R1285*L1285</f>
        <v>0</v>
      </c>
      <c r="T1285" s="47" t="n">
        <f aca="false">R1285*J1285</f>
        <v>0</v>
      </c>
      <c r="U1285" s="47" t="n">
        <f aca="false">R1285*K1285</f>
        <v>0</v>
      </c>
      <c r="V1285" s="0" t="str">
        <f aca="false">IF(COUNTIFS($A$2:A1285,A1285,$C$2:C1285,C1285,$D$2:D1285,D1285)&gt;1,"중복","")</f>
        <v/>
      </c>
      <c r="W1285" s="0" t="n">
        <f aca="false">IF(V1285="중복",0,N(D1285))</f>
        <v>90</v>
      </c>
      <c r="X1285" s="0" t="n">
        <f aca="false">IF(COUNTIFS($A$2:A1285,A1285,$C$2:C1285,C1285)=1,ABS(SUMIFS(RAW_발주!$D:$D,RAW_발주!$C:$C,A1285,RAW_발주!$A:$A,C1285)-SUMIFS($W:$W,$A:$A,A1285,$C:$C,C1285)),0)</f>
        <v>0</v>
      </c>
    </row>
    <row r="1286" customFormat="false" ht="15" hidden="false" customHeight="true" outlineLevel="0" collapsed="false">
      <c r="A1286" s="45" t="s">
        <v>1663</v>
      </c>
      <c r="B1286" s="42" t="str">
        <f aca="false">IF(A1286="100","HK",IF(A1286="200","CN",IF(A1286="300","TW","홀세일")))</f>
        <v>홀세일</v>
      </c>
      <c r="C1286" s="45" t="s">
        <v>581</v>
      </c>
      <c r="D1286" s="46" t="n">
        <v>170</v>
      </c>
      <c r="E1286" s="46" t="n">
        <v>29000</v>
      </c>
      <c r="F1286" s="46" t="n">
        <v>6136</v>
      </c>
      <c r="G1286" s="42" t="n">
        <v>4.11</v>
      </c>
      <c r="H1286" s="42" t="n">
        <v>7.7</v>
      </c>
      <c r="J1286" s="46" t="n">
        <f aca="false">IF(N(E1286)&gt;0,E1286,IF(N(F1286)&gt;0,F1286*요약!$F$27,0))</f>
        <v>29000</v>
      </c>
      <c r="K1286" s="46" t="n">
        <f aca="false">IF(N(F1286)&gt;0,F1286,IF(N(E1286)&gt;0,E1286/요약!$F$27,0))</f>
        <v>6136</v>
      </c>
      <c r="L1286" s="46" t="n">
        <f aca="false">IF(B1286="CN",IF(N(I1286)&gt;0,I1286*요약!$G$27,K1286*(1+요약!$E$27)),IF(N(H1286)&gt;0,H1286*요약!$G$27,J1286*요약!$D$27))</f>
        <v>10164</v>
      </c>
      <c r="M1286" s="46" t="n">
        <f aca="false">D1286*J1286</f>
        <v>4930000</v>
      </c>
      <c r="N1286" s="46" t="n">
        <f aca="false">D1286*K1286</f>
        <v>1043120</v>
      </c>
      <c r="O1286" s="46" t="n">
        <f aca="false">D1286*L1286</f>
        <v>1727880</v>
      </c>
      <c r="P1286" s="42" t="str">
        <f aca="false">TRIM(IF(N(E1286)&lt;=0,"택가보정 ","")&amp;IF(N(F1286)&lt;=0,"원가보정 ","")&amp;IF(AND(B1286&lt;&gt;"CN",N(H1286)&lt;=0),"공급가보정 ","")&amp;IF(AND(B1286="CN",N(I1286)&lt;=0),"중국공급가=원가+마진 ",""))</f>
        <v/>
      </c>
      <c r="Q1286" s="47" t="n">
        <f aca="false">IF(SUMIFS($W:$W,$A:$A,A1286,$C:$C,C1286)=0,0,SUMIFS(RAW_판매펀칭!$K:$K,RAW_판매펀칭!$P:$P,A1286,RAW_판매펀칭!$I:$I,C1286)*W1286/SUMIFS($W:$W,$A:$A,A1286,$C:$C,C1286))</f>
        <v>170</v>
      </c>
      <c r="R1286" s="47" t="n">
        <f aca="false">IF(OR(A1286="500",A1286="800",A1286="810"),0,MAX(W1286-Q1286,0))</f>
        <v>0</v>
      </c>
      <c r="S1286" s="47" t="n">
        <f aca="false">R1286*L1286</f>
        <v>0</v>
      </c>
      <c r="T1286" s="47" t="n">
        <f aca="false">R1286*J1286</f>
        <v>0</v>
      </c>
      <c r="U1286" s="47" t="n">
        <f aca="false">R1286*K1286</f>
        <v>0</v>
      </c>
      <c r="V1286" s="0" t="str">
        <f aca="false">IF(COUNTIFS($A$2:A1286,A1286,$C$2:C1286,C1286,$D$2:D1286,D1286)&gt;1,"중복","")</f>
        <v/>
      </c>
      <c r="W1286" s="0" t="n">
        <f aca="false">IF(V1286="중복",0,N(D1286))</f>
        <v>170</v>
      </c>
      <c r="X1286" s="0" t="n">
        <f aca="false">IF(COUNTIFS($A$2:A1286,A1286,$C$2:C1286,C1286)=1,ABS(SUMIFS(RAW_발주!$D:$D,RAW_발주!$C:$C,A1286,RAW_발주!$A:$A,C1286)-SUMIFS($W:$W,$A:$A,A1286,$C:$C,C1286)),0)</f>
        <v>0</v>
      </c>
    </row>
    <row r="1287" customFormat="false" ht="15" hidden="false" customHeight="true" outlineLevel="0" collapsed="false">
      <c r="A1287" s="45" t="s">
        <v>1667</v>
      </c>
      <c r="B1287" s="42" t="str">
        <f aca="false">IF(A1287="100","HK",IF(A1287="200","CN",IF(A1287="300","TW","홀세일")))</f>
        <v>홀세일</v>
      </c>
      <c r="C1287" s="45" t="s">
        <v>581</v>
      </c>
      <c r="D1287" s="46" t="n">
        <v>303</v>
      </c>
      <c r="E1287" s="46" t="n">
        <v>29000</v>
      </c>
      <c r="F1287" s="46" t="n">
        <v>6136</v>
      </c>
      <c r="G1287" s="42" t="n">
        <v>4.11</v>
      </c>
      <c r="H1287" s="42" t="n">
        <v>7.7</v>
      </c>
      <c r="J1287" s="46" t="n">
        <f aca="false">IF(N(E1287)&gt;0,E1287,IF(N(F1287)&gt;0,F1287*요약!$F$27,0))</f>
        <v>29000</v>
      </c>
      <c r="K1287" s="46" t="n">
        <f aca="false">IF(N(F1287)&gt;0,F1287,IF(N(E1287)&gt;0,E1287/요약!$F$27,0))</f>
        <v>6136</v>
      </c>
      <c r="L1287" s="46" t="n">
        <f aca="false">IF(B1287="CN",IF(N(I1287)&gt;0,I1287*요약!$G$27,K1287*(1+요약!$E$27)),IF(N(H1287)&gt;0,H1287*요약!$G$27,J1287*요약!$D$27))</f>
        <v>10164</v>
      </c>
      <c r="M1287" s="46" t="n">
        <f aca="false">D1287*J1287</f>
        <v>8787000</v>
      </c>
      <c r="N1287" s="46" t="n">
        <f aca="false">D1287*K1287</f>
        <v>1859208</v>
      </c>
      <c r="O1287" s="46" t="n">
        <f aca="false">D1287*L1287</f>
        <v>3079692</v>
      </c>
      <c r="P1287" s="42" t="str">
        <f aca="false">TRIM(IF(N(E1287)&lt;=0,"택가보정 ","")&amp;IF(N(F1287)&lt;=0,"원가보정 ","")&amp;IF(AND(B1287&lt;&gt;"CN",N(H1287)&lt;=0),"공급가보정 ","")&amp;IF(AND(B1287="CN",N(I1287)&lt;=0),"중국공급가=원가+마진 ",""))</f>
        <v/>
      </c>
      <c r="Q1287" s="47" t="n">
        <f aca="false">IF(SUMIFS($W:$W,$A:$A,A1287,$C:$C,C1287)=0,0,SUMIFS(RAW_판매펀칭!$K:$K,RAW_판매펀칭!$P:$P,A1287,RAW_판매펀칭!$I:$I,C1287)*W1287/SUMIFS($W:$W,$A:$A,A1287,$C:$C,C1287))</f>
        <v>303</v>
      </c>
      <c r="R1287" s="47" t="n">
        <f aca="false">IF(OR(A1287="500",A1287="800",A1287="810"),0,MAX(W1287-Q1287,0))</f>
        <v>0</v>
      </c>
      <c r="S1287" s="47" t="n">
        <f aca="false">R1287*L1287</f>
        <v>0</v>
      </c>
      <c r="T1287" s="47" t="n">
        <f aca="false">R1287*J1287</f>
        <v>0</v>
      </c>
      <c r="U1287" s="47" t="n">
        <f aca="false">R1287*K1287</f>
        <v>0</v>
      </c>
      <c r="V1287" s="0" t="str">
        <f aca="false">IF(COUNTIFS($A$2:A1287,A1287,$C$2:C1287,C1287,$D$2:D1287,D1287)&gt;1,"중복","")</f>
        <v/>
      </c>
      <c r="W1287" s="0" t="n">
        <f aca="false">IF(V1287="중복",0,N(D1287))</f>
        <v>303</v>
      </c>
      <c r="X1287" s="0" t="n">
        <f aca="false">IF(COUNTIFS($A$2:A1287,A1287,$C$2:C1287,C1287)=1,ABS(SUMIFS(RAW_발주!$D:$D,RAW_발주!$C:$C,A1287,RAW_발주!$A:$A,C1287)-SUMIFS($W:$W,$A:$A,A1287,$C:$C,C1287)),0)</f>
        <v>0</v>
      </c>
    </row>
    <row r="1288" customFormat="false" ht="15" hidden="false" customHeight="true" outlineLevel="0" collapsed="false">
      <c r="A1288" s="45" t="s">
        <v>1664</v>
      </c>
      <c r="B1288" s="42" t="str">
        <f aca="false">IF(A1288="100","HK",IF(A1288="200","CN",IF(A1288="300","TW","홀세일")))</f>
        <v>홀세일</v>
      </c>
      <c r="C1288" s="45" t="s">
        <v>581</v>
      </c>
      <c r="D1288" s="46" t="n">
        <v>15</v>
      </c>
      <c r="E1288" s="46" t="n">
        <v>29000</v>
      </c>
      <c r="F1288" s="46" t="n">
        <v>6136</v>
      </c>
      <c r="G1288" s="42" t="n">
        <v>4.11</v>
      </c>
      <c r="H1288" s="42" t="n">
        <v>7.7</v>
      </c>
      <c r="J1288" s="46" t="n">
        <f aca="false">IF(N(E1288)&gt;0,E1288,IF(N(F1288)&gt;0,F1288*요약!$F$27,0))</f>
        <v>29000</v>
      </c>
      <c r="K1288" s="46" t="n">
        <f aca="false">IF(N(F1288)&gt;0,F1288,IF(N(E1288)&gt;0,E1288/요약!$F$27,0))</f>
        <v>6136</v>
      </c>
      <c r="L1288" s="46" t="n">
        <f aca="false">IF(B1288="CN",IF(N(I1288)&gt;0,I1288*요약!$G$27,K1288*(1+요약!$E$27)),IF(N(H1288)&gt;0,H1288*요약!$G$27,J1288*요약!$D$27))</f>
        <v>10164</v>
      </c>
      <c r="M1288" s="46" t="n">
        <f aca="false">D1288*J1288</f>
        <v>435000</v>
      </c>
      <c r="N1288" s="46" t="n">
        <f aca="false">D1288*K1288</f>
        <v>92040</v>
      </c>
      <c r="O1288" s="46" t="n">
        <f aca="false">D1288*L1288</f>
        <v>152460</v>
      </c>
      <c r="P1288" s="42" t="str">
        <f aca="false">TRIM(IF(N(E1288)&lt;=0,"택가보정 ","")&amp;IF(N(F1288)&lt;=0,"원가보정 ","")&amp;IF(AND(B1288&lt;&gt;"CN",N(H1288)&lt;=0),"공급가보정 ","")&amp;IF(AND(B1288="CN",N(I1288)&lt;=0),"중국공급가=원가+마진 ",""))</f>
        <v/>
      </c>
      <c r="Q1288" s="47" t="n">
        <f aca="false">IF(SUMIFS($W:$W,$A:$A,A1288,$C:$C,C1288)=0,0,SUMIFS(RAW_판매펀칭!$K:$K,RAW_판매펀칭!$P:$P,A1288,RAW_판매펀칭!$I:$I,C1288)*W1288/SUMIFS($W:$W,$A:$A,A1288,$C:$C,C1288))</f>
        <v>15</v>
      </c>
      <c r="R1288" s="47" t="n">
        <f aca="false">IF(OR(A1288="500",A1288="800",A1288="810"),0,MAX(W1288-Q1288,0))</f>
        <v>0</v>
      </c>
      <c r="S1288" s="47" t="n">
        <f aca="false">R1288*L1288</f>
        <v>0</v>
      </c>
      <c r="T1288" s="47" t="n">
        <f aca="false">R1288*J1288</f>
        <v>0</v>
      </c>
      <c r="U1288" s="47" t="n">
        <f aca="false">R1288*K1288</f>
        <v>0</v>
      </c>
      <c r="V1288" s="0" t="str">
        <f aca="false">IF(COUNTIFS($A$2:A1288,A1288,$C$2:C1288,C1288,$D$2:D1288,D1288)&gt;1,"중복","")</f>
        <v/>
      </c>
      <c r="W1288" s="0" t="n">
        <f aca="false">IF(V1288="중복",0,N(D1288))</f>
        <v>15</v>
      </c>
      <c r="X1288" s="0" t="n">
        <f aca="false">IF(COUNTIFS($A$2:A1288,A1288,$C$2:C1288,C1288)=1,ABS(SUMIFS(RAW_발주!$D:$D,RAW_발주!$C:$C,A1288,RAW_발주!$A:$A,C1288)-SUMIFS($W:$W,$A:$A,A1288,$C:$C,C1288)),0)</f>
        <v>0</v>
      </c>
    </row>
    <row r="1289" customFormat="false" ht="15" hidden="false" customHeight="true" outlineLevel="0" collapsed="false">
      <c r="A1289" s="45" t="s">
        <v>1661</v>
      </c>
      <c r="B1289" s="42" t="str">
        <f aca="false">IF(A1289="100","HK",IF(A1289="200","CN",IF(A1289="300","TW","홀세일")))</f>
        <v>TW</v>
      </c>
      <c r="C1289" s="45" t="s">
        <v>1447</v>
      </c>
      <c r="D1289" s="46" t="n">
        <v>400</v>
      </c>
      <c r="E1289" s="46" t="n">
        <v>19000</v>
      </c>
      <c r="F1289" s="46" t="n">
        <v>4461</v>
      </c>
      <c r="G1289" s="42" t="n">
        <v>3.67</v>
      </c>
      <c r="H1289" s="42" t="n">
        <v>5.1</v>
      </c>
      <c r="J1289" s="46" t="n">
        <f aca="false">IF(N(E1289)&gt;0,E1289,IF(N(F1289)&gt;0,F1289*요약!$F$27,0))</f>
        <v>19000</v>
      </c>
      <c r="K1289" s="46" t="n">
        <f aca="false">IF(N(F1289)&gt;0,F1289,IF(N(E1289)&gt;0,E1289/요약!$F$27,0))</f>
        <v>4461</v>
      </c>
      <c r="L1289" s="46" t="n">
        <f aca="false">IF(B1289="CN",IF(N(I1289)&gt;0,I1289*요약!$G$27,K1289*(1+요약!$E$27)),IF(N(H1289)&gt;0,H1289*요약!$G$27,J1289*요약!$D$27))</f>
        <v>6732</v>
      </c>
      <c r="M1289" s="46" t="n">
        <f aca="false">D1289*J1289</f>
        <v>7600000</v>
      </c>
      <c r="N1289" s="46" t="n">
        <f aca="false">D1289*K1289</f>
        <v>1784400</v>
      </c>
      <c r="O1289" s="46" t="n">
        <f aca="false">D1289*L1289</f>
        <v>2692800</v>
      </c>
      <c r="P1289" s="42" t="str">
        <f aca="false">TRIM(IF(N(E1289)&lt;=0,"택가보정 ","")&amp;IF(N(F1289)&lt;=0,"원가보정 ","")&amp;IF(AND(B1289&lt;&gt;"CN",N(H1289)&lt;=0),"공급가보정 ","")&amp;IF(AND(B1289="CN",N(I1289)&lt;=0),"중국공급가=원가+마진 ",""))</f>
        <v/>
      </c>
      <c r="Q1289" s="47" t="n">
        <f aca="false">IF(SUMIFS($W:$W,$A:$A,A1289,$C:$C,C1289)=0,0,SUMIFS(RAW_판매펀칭!$K:$K,RAW_판매펀칭!$P:$P,A1289,RAW_판매펀칭!$I:$I,C1289)*W1289/SUMIFS($W:$W,$A:$A,A1289,$C:$C,C1289))</f>
        <v>0</v>
      </c>
      <c r="R1289" s="47" t="n">
        <f aca="false">IF(OR(A1289="500",A1289="800",A1289="810"),0,MAX(W1289-Q1289,0))</f>
        <v>400</v>
      </c>
      <c r="S1289" s="47" t="n">
        <f aca="false">R1289*L1289</f>
        <v>2692800</v>
      </c>
      <c r="T1289" s="47" t="n">
        <f aca="false">R1289*J1289</f>
        <v>7600000</v>
      </c>
      <c r="U1289" s="47" t="n">
        <f aca="false">R1289*K1289</f>
        <v>1784400</v>
      </c>
      <c r="V1289" s="0" t="str">
        <f aca="false">IF(COUNTIFS($A$2:A1289,A1289,$C$2:C1289,C1289,$D$2:D1289,D1289)&gt;1,"중복","")</f>
        <v/>
      </c>
      <c r="W1289" s="0" t="n">
        <f aca="false">IF(V1289="중복",0,N(D1289))</f>
        <v>400</v>
      </c>
      <c r="X1289" s="0" t="n">
        <f aca="false">IF(COUNTIFS($A$2:A1289,A1289,$C$2:C1289,C1289)=1,ABS(SUMIFS(RAW_발주!$D:$D,RAW_발주!$C:$C,A1289,RAW_발주!$A:$A,C1289)-SUMIFS($W:$W,$A:$A,A1289,$C:$C,C1289)),0)</f>
        <v>0</v>
      </c>
    </row>
    <row r="1290" customFormat="false" ht="15" hidden="false" customHeight="true" outlineLevel="0" collapsed="false">
      <c r="A1290" s="45" t="s">
        <v>1664</v>
      </c>
      <c r="B1290" s="42" t="str">
        <f aca="false">IF(A1290="100","HK",IF(A1290="200","CN",IF(A1290="300","TW","홀세일")))</f>
        <v>홀세일</v>
      </c>
      <c r="C1290" s="45" t="s">
        <v>1447</v>
      </c>
      <c r="D1290" s="46" t="n">
        <v>20</v>
      </c>
      <c r="E1290" s="46" t="n">
        <v>19000</v>
      </c>
      <c r="F1290" s="46" t="n">
        <v>4461</v>
      </c>
      <c r="G1290" s="42" t="n">
        <v>3.67</v>
      </c>
      <c r="H1290" s="42" t="n">
        <v>5.1</v>
      </c>
      <c r="J1290" s="46" t="n">
        <f aca="false">IF(N(E1290)&gt;0,E1290,IF(N(F1290)&gt;0,F1290*요약!$F$27,0))</f>
        <v>19000</v>
      </c>
      <c r="K1290" s="46" t="n">
        <f aca="false">IF(N(F1290)&gt;0,F1290,IF(N(E1290)&gt;0,E1290/요약!$F$27,0))</f>
        <v>4461</v>
      </c>
      <c r="L1290" s="46" t="n">
        <f aca="false">IF(B1290="CN",IF(N(I1290)&gt;0,I1290*요약!$G$27,K1290*(1+요약!$E$27)),IF(N(H1290)&gt;0,H1290*요약!$G$27,J1290*요약!$D$27))</f>
        <v>6732</v>
      </c>
      <c r="M1290" s="46" t="n">
        <f aca="false">D1290*J1290</f>
        <v>380000</v>
      </c>
      <c r="N1290" s="46" t="n">
        <f aca="false">D1290*K1290</f>
        <v>89220</v>
      </c>
      <c r="O1290" s="46" t="n">
        <f aca="false">D1290*L1290</f>
        <v>134640</v>
      </c>
      <c r="P1290" s="42" t="str">
        <f aca="false">TRIM(IF(N(E1290)&lt;=0,"택가보정 ","")&amp;IF(N(F1290)&lt;=0,"원가보정 ","")&amp;IF(AND(B1290&lt;&gt;"CN",N(H1290)&lt;=0),"공급가보정 ","")&amp;IF(AND(B1290="CN",N(I1290)&lt;=0),"중국공급가=원가+마진 ",""))</f>
        <v/>
      </c>
      <c r="Q1290" s="47" t="n">
        <f aca="false">IF(SUMIFS($W:$W,$A:$A,A1290,$C:$C,C1290)=0,0,SUMIFS(RAW_판매펀칭!$K:$K,RAW_판매펀칭!$P:$P,A1290,RAW_판매펀칭!$I:$I,C1290)*W1290/SUMIFS($W:$W,$A:$A,A1290,$C:$C,C1290))</f>
        <v>20</v>
      </c>
      <c r="R1290" s="47" t="n">
        <f aca="false">IF(OR(A1290="500",A1290="800",A1290="810"),0,MAX(W1290-Q1290,0))</f>
        <v>0</v>
      </c>
      <c r="S1290" s="47" t="n">
        <f aca="false">R1290*L1290</f>
        <v>0</v>
      </c>
      <c r="T1290" s="47" t="n">
        <f aca="false">R1290*J1290</f>
        <v>0</v>
      </c>
      <c r="U1290" s="47" t="n">
        <f aca="false">R1290*K1290</f>
        <v>0</v>
      </c>
      <c r="V1290" s="0" t="str">
        <f aca="false">IF(COUNTIFS($A$2:A1290,A1290,$C$2:C1290,C1290,$D$2:D1290,D1290)&gt;1,"중복","")</f>
        <v/>
      </c>
      <c r="W1290" s="0" t="n">
        <f aca="false">IF(V1290="중복",0,N(D1290))</f>
        <v>20</v>
      </c>
      <c r="X1290" s="0" t="n">
        <f aca="false">IF(COUNTIFS($A$2:A1290,A1290,$C$2:C1290,C1290)=1,ABS(SUMIFS(RAW_발주!$D:$D,RAW_발주!$C:$C,A1290,RAW_발주!$A:$A,C1290)-SUMIFS($W:$W,$A:$A,A1290,$C:$C,C1290)),0)</f>
        <v>0</v>
      </c>
    </row>
    <row r="1291" customFormat="false" ht="15.75" hidden="false" customHeight="true" outlineLevel="0" collapsed="false">
      <c r="A1291" s="45" t="s">
        <v>1660</v>
      </c>
      <c r="B1291" s="42" t="str">
        <f aca="false">IF(A1291="100","HK",IF(A1291="200","CN",IF(A1291="300","TW","홀세일")))</f>
        <v>CN</v>
      </c>
      <c r="C1291" s="45" t="s">
        <v>1449</v>
      </c>
      <c r="D1291" s="46" t="n">
        <v>172</v>
      </c>
      <c r="E1291" s="46" t="n">
        <v>29000</v>
      </c>
      <c r="F1291" s="46" t="n">
        <v>7012</v>
      </c>
      <c r="G1291" s="42" t="n">
        <v>3.62</v>
      </c>
      <c r="H1291" s="42" t="n">
        <v>7.7</v>
      </c>
      <c r="J1291" s="46" t="n">
        <f aca="false">IF(N(E1291)&gt;0,E1291,IF(N(F1291)&gt;0,F1291*요약!$F$27,0))</f>
        <v>29000</v>
      </c>
      <c r="K1291" s="46" t="n">
        <f aca="false">IF(N(F1291)&gt;0,F1291,IF(N(E1291)&gt;0,E1291/요약!$F$27,0))</f>
        <v>7012</v>
      </c>
      <c r="L1291" s="46" t="n">
        <f aca="false">IF(B1291="CN",IF(N(I1291)&gt;0,I1291*요약!$G$27,K1291*(1+요약!$E$27)),IF(N(H1291)&gt;0,H1291*요약!$G$27,J1291*요약!$D$27))</f>
        <v>7362.6</v>
      </c>
      <c r="M1291" s="46" t="n">
        <f aca="false">D1291*J1291</f>
        <v>4988000</v>
      </c>
      <c r="N1291" s="46" t="n">
        <f aca="false">D1291*K1291</f>
        <v>1206064</v>
      </c>
      <c r="O1291" s="46" t="n">
        <f aca="false">D1291*L1291</f>
        <v>1266367.2</v>
      </c>
      <c r="P1291" s="42" t="str">
        <f aca="false">TRIM(IF(N(E1291)&lt;=0,"택가보정 ","")&amp;IF(N(F1291)&lt;=0,"원가보정 ","")&amp;IF(AND(B1291&lt;&gt;"CN",N(H1291)&lt;=0),"공급가보정 ","")&amp;IF(AND(B1291="CN",N(I1291)&lt;=0),"중국공급가=원가+마진 ",""))</f>
        <v>중국공급가=원가+마진</v>
      </c>
      <c r="Q1291" s="47" t="n">
        <f aca="false">IF(SUMIFS($W:$W,$A:$A,A1291,$C:$C,C1291)=0,0,SUMIFS(RAW_판매펀칭!$K:$K,RAW_판매펀칭!$P:$P,A1291,RAW_판매펀칭!$I:$I,C1291)*W1291/SUMIFS($W:$W,$A:$A,A1291,$C:$C,C1291))</f>
        <v>0</v>
      </c>
      <c r="R1291" s="47" t="n">
        <f aca="false">IF(OR(A1291="500",A1291="800",A1291="810"),0,MAX(W1291-Q1291,0))</f>
        <v>172</v>
      </c>
      <c r="S1291" s="47" t="n">
        <f aca="false">R1291*L1291</f>
        <v>1266367.2</v>
      </c>
      <c r="T1291" s="47" t="n">
        <f aca="false">R1291*J1291</f>
        <v>4988000</v>
      </c>
      <c r="U1291" s="47" t="n">
        <f aca="false">R1291*K1291</f>
        <v>1206064</v>
      </c>
      <c r="V1291" s="0" t="str">
        <f aca="false">IF(COUNTIFS($A$2:A1291,A1291,$C$2:C1291,C1291,$D$2:D1291,D1291)&gt;1,"중복","")</f>
        <v/>
      </c>
      <c r="W1291" s="0" t="n">
        <f aca="false">IF(V1291="중복",0,N(D1291))</f>
        <v>172</v>
      </c>
      <c r="X1291" s="0" t="n">
        <f aca="false">IF(COUNTIFS($A$2:A1291,A1291,$C$2:C1291,C1291)=1,ABS(SUMIFS(RAW_발주!$D:$D,RAW_발주!$C:$C,A1291,RAW_발주!$A:$A,C1291)-SUMIFS($W:$W,$A:$A,A1291,$C:$C,C1291)),0)</f>
        <v>0</v>
      </c>
    </row>
    <row r="1292" customFormat="false" ht="15" hidden="false" customHeight="true" outlineLevel="0" collapsed="false">
      <c r="A1292" s="45" t="s">
        <v>1661</v>
      </c>
      <c r="B1292" s="42" t="str">
        <f aca="false">IF(A1292="100","HK",IF(A1292="200","CN",IF(A1292="300","TW","홀세일")))</f>
        <v>TW</v>
      </c>
      <c r="C1292" s="45" t="s">
        <v>1449</v>
      </c>
      <c r="D1292" s="46" t="n">
        <v>400</v>
      </c>
      <c r="E1292" s="46" t="n">
        <v>29000</v>
      </c>
      <c r="F1292" s="46" t="n">
        <v>7012</v>
      </c>
      <c r="G1292" s="42" t="n">
        <v>3.62</v>
      </c>
      <c r="H1292" s="42" t="n">
        <v>7.7</v>
      </c>
      <c r="J1292" s="46" t="n">
        <f aca="false">IF(N(E1292)&gt;0,E1292,IF(N(F1292)&gt;0,F1292*요약!$F$27,0))</f>
        <v>29000</v>
      </c>
      <c r="K1292" s="46" t="n">
        <f aca="false">IF(N(F1292)&gt;0,F1292,IF(N(E1292)&gt;0,E1292/요약!$F$27,0))</f>
        <v>7012</v>
      </c>
      <c r="L1292" s="46" t="n">
        <f aca="false">IF(B1292="CN",IF(N(I1292)&gt;0,I1292*요약!$G$27,K1292*(1+요약!$E$27)),IF(N(H1292)&gt;0,H1292*요약!$G$27,J1292*요약!$D$27))</f>
        <v>10164</v>
      </c>
      <c r="M1292" s="46" t="n">
        <f aca="false">D1292*J1292</f>
        <v>11600000</v>
      </c>
      <c r="N1292" s="46" t="n">
        <f aca="false">D1292*K1292</f>
        <v>2804800</v>
      </c>
      <c r="O1292" s="46" t="n">
        <f aca="false">D1292*L1292</f>
        <v>4065600</v>
      </c>
      <c r="P1292" s="42" t="str">
        <f aca="false">TRIM(IF(N(E1292)&lt;=0,"택가보정 ","")&amp;IF(N(F1292)&lt;=0,"원가보정 ","")&amp;IF(AND(B1292&lt;&gt;"CN",N(H1292)&lt;=0),"공급가보정 ","")&amp;IF(AND(B1292="CN",N(I1292)&lt;=0),"중국공급가=원가+마진 ",""))</f>
        <v/>
      </c>
      <c r="Q1292" s="47" t="n">
        <f aca="false">IF(SUMIFS($W:$W,$A:$A,A1292,$C:$C,C1292)=0,0,SUMIFS(RAW_판매펀칭!$K:$K,RAW_판매펀칭!$P:$P,A1292,RAW_판매펀칭!$I:$I,C1292)*W1292/SUMIFS($W:$W,$A:$A,A1292,$C:$C,C1292))</f>
        <v>0</v>
      </c>
      <c r="R1292" s="47" t="n">
        <f aca="false">IF(OR(A1292="500",A1292="800",A1292="810"),0,MAX(W1292-Q1292,0))</f>
        <v>400</v>
      </c>
      <c r="S1292" s="47" t="n">
        <f aca="false">R1292*L1292</f>
        <v>4065600</v>
      </c>
      <c r="T1292" s="47" t="n">
        <f aca="false">R1292*J1292</f>
        <v>11600000</v>
      </c>
      <c r="U1292" s="47" t="n">
        <f aca="false">R1292*K1292</f>
        <v>2804800</v>
      </c>
      <c r="V1292" s="0" t="str">
        <f aca="false">IF(COUNTIFS($A$2:A1292,A1292,$C$2:C1292,C1292,$D$2:D1292,D1292)&gt;1,"중복","")</f>
        <v/>
      </c>
      <c r="W1292" s="0" t="n">
        <f aca="false">IF(V1292="중복",0,N(D1292))</f>
        <v>400</v>
      </c>
      <c r="X1292" s="0" t="n">
        <f aca="false">IF(COUNTIFS($A$2:A1292,A1292,$C$2:C1292,C1292)=1,ABS(SUMIFS(RAW_발주!$D:$D,RAW_발주!$C:$C,A1292,RAW_발주!$A:$A,C1292)-SUMIFS($W:$W,$A:$A,A1292,$C:$C,C1292)),0)</f>
        <v>0</v>
      </c>
    </row>
    <row r="1293" customFormat="false" ht="15" hidden="false" customHeight="true" outlineLevel="0" collapsed="false">
      <c r="A1293" s="45" t="s">
        <v>1664</v>
      </c>
      <c r="B1293" s="42" t="str">
        <f aca="false">IF(A1293="100","HK",IF(A1293="200","CN",IF(A1293="300","TW","홀세일")))</f>
        <v>홀세일</v>
      </c>
      <c r="C1293" s="45" t="s">
        <v>1449</v>
      </c>
      <c r="D1293" s="46" t="n">
        <v>10</v>
      </c>
      <c r="E1293" s="46" t="n">
        <v>29000</v>
      </c>
      <c r="F1293" s="46" t="n">
        <v>7012</v>
      </c>
      <c r="G1293" s="42" t="n">
        <v>3.62</v>
      </c>
      <c r="H1293" s="42" t="n">
        <v>7.7</v>
      </c>
      <c r="J1293" s="46" t="n">
        <f aca="false">IF(N(E1293)&gt;0,E1293,IF(N(F1293)&gt;0,F1293*요약!$F$27,0))</f>
        <v>29000</v>
      </c>
      <c r="K1293" s="46" t="n">
        <f aca="false">IF(N(F1293)&gt;0,F1293,IF(N(E1293)&gt;0,E1293/요약!$F$27,0))</f>
        <v>7012</v>
      </c>
      <c r="L1293" s="46" t="n">
        <f aca="false">IF(B1293="CN",IF(N(I1293)&gt;0,I1293*요약!$G$27,K1293*(1+요약!$E$27)),IF(N(H1293)&gt;0,H1293*요약!$G$27,J1293*요약!$D$27))</f>
        <v>10164</v>
      </c>
      <c r="M1293" s="46" t="n">
        <f aca="false">D1293*J1293</f>
        <v>290000</v>
      </c>
      <c r="N1293" s="46" t="n">
        <f aca="false">D1293*K1293</f>
        <v>70120</v>
      </c>
      <c r="O1293" s="46" t="n">
        <f aca="false">D1293*L1293</f>
        <v>101640</v>
      </c>
      <c r="P1293" s="42" t="str">
        <f aca="false">TRIM(IF(N(E1293)&lt;=0,"택가보정 ","")&amp;IF(N(F1293)&lt;=0,"원가보정 ","")&amp;IF(AND(B1293&lt;&gt;"CN",N(H1293)&lt;=0),"공급가보정 ","")&amp;IF(AND(B1293="CN",N(I1293)&lt;=0),"중국공급가=원가+마진 ",""))</f>
        <v/>
      </c>
      <c r="Q1293" s="47" t="n">
        <f aca="false">IF(SUMIFS($W:$W,$A:$A,A1293,$C:$C,C1293)=0,0,SUMIFS(RAW_판매펀칭!$K:$K,RAW_판매펀칭!$P:$P,A1293,RAW_판매펀칭!$I:$I,C1293)*W1293/SUMIFS($W:$W,$A:$A,A1293,$C:$C,C1293))</f>
        <v>10</v>
      </c>
      <c r="R1293" s="47" t="n">
        <f aca="false">IF(OR(A1293="500",A1293="800",A1293="810"),0,MAX(W1293-Q1293,0))</f>
        <v>0</v>
      </c>
      <c r="S1293" s="47" t="n">
        <f aca="false">R1293*L1293</f>
        <v>0</v>
      </c>
      <c r="T1293" s="47" t="n">
        <f aca="false">R1293*J1293</f>
        <v>0</v>
      </c>
      <c r="U1293" s="47" t="n">
        <f aca="false">R1293*K1293</f>
        <v>0</v>
      </c>
      <c r="V1293" s="0" t="str">
        <f aca="false">IF(COUNTIFS($A$2:A1293,A1293,$C$2:C1293,C1293,$D$2:D1293,D1293)&gt;1,"중복","")</f>
        <v/>
      </c>
      <c r="W1293" s="0" t="n">
        <f aca="false">IF(V1293="중복",0,N(D1293))</f>
        <v>10</v>
      </c>
      <c r="X1293" s="0" t="n">
        <f aca="false">IF(COUNTIFS($A$2:A1293,A1293,$C$2:C1293,C1293)=1,ABS(SUMIFS(RAW_발주!$D:$D,RAW_발주!$C:$C,A1293,RAW_발주!$A:$A,C1293)-SUMIFS($W:$W,$A:$A,A1293,$C:$C,C1293)),0)</f>
        <v>0</v>
      </c>
    </row>
    <row r="1294" customFormat="false" ht="15" hidden="false" customHeight="true" outlineLevel="0" collapsed="false">
      <c r="A1294" s="45" t="s">
        <v>1661</v>
      </c>
      <c r="B1294" s="42" t="str">
        <f aca="false">IF(A1294="100","HK",IF(A1294="200","CN",IF(A1294="300","TW","홀세일")))</f>
        <v>TW</v>
      </c>
      <c r="C1294" s="45" t="s">
        <v>583</v>
      </c>
      <c r="D1294" s="46" t="n">
        <v>180</v>
      </c>
      <c r="E1294" s="46" t="n">
        <v>49000</v>
      </c>
      <c r="F1294" s="46" t="n">
        <v>11699</v>
      </c>
      <c r="G1294" s="42" t="n">
        <v>3.65</v>
      </c>
      <c r="H1294" s="42" t="n">
        <v>13.1</v>
      </c>
      <c r="J1294" s="46" t="n">
        <f aca="false">IF(N(E1294)&gt;0,E1294,IF(N(F1294)&gt;0,F1294*요약!$F$27,0))</f>
        <v>49000</v>
      </c>
      <c r="K1294" s="46" t="n">
        <f aca="false">IF(N(F1294)&gt;0,F1294,IF(N(E1294)&gt;0,E1294/요약!$F$27,0))</f>
        <v>11699</v>
      </c>
      <c r="L1294" s="46" t="n">
        <f aca="false">IF(B1294="CN",IF(N(I1294)&gt;0,I1294*요약!$G$27,K1294*(1+요약!$E$27)),IF(N(H1294)&gt;0,H1294*요약!$G$27,J1294*요약!$D$27))</f>
        <v>17292</v>
      </c>
      <c r="M1294" s="46" t="n">
        <f aca="false">D1294*J1294</f>
        <v>8820000</v>
      </c>
      <c r="N1294" s="46" t="n">
        <f aca="false">D1294*K1294</f>
        <v>2105820</v>
      </c>
      <c r="O1294" s="46" t="n">
        <f aca="false">D1294*L1294</f>
        <v>3112560</v>
      </c>
      <c r="P1294" s="42" t="str">
        <f aca="false">TRIM(IF(N(E1294)&lt;=0,"택가보정 ","")&amp;IF(N(F1294)&lt;=0,"원가보정 ","")&amp;IF(AND(B1294&lt;&gt;"CN",N(H1294)&lt;=0),"공급가보정 ","")&amp;IF(AND(B1294="CN",N(I1294)&lt;=0),"중국공급가=원가+마진 ",""))</f>
        <v/>
      </c>
      <c r="Q1294" s="47" t="n">
        <f aca="false">IF(SUMIFS($W:$W,$A:$A,A1294,$C:$C,C1294)=0,0,SUMIFS(RAW_판매펀칭!$K:$K,RAW_판매펀칭!$P:$P,A1294,RAW_판매펀칭!$I:$I,C1294)*W1294/SUMIFS($W:$W,$A:$A,A1294,$C:$C,C1294))</f>
        <v>180</v>
      </c>
      <c r="R1294" s="47" t="n">
        <f aca="false">IF(OR(A1294="500",A1294="800",A1294="810"),0,MAX(W1294-Q1294,0))</f>
        <v>0</v>
      </c>
      <c r="S1294" s="47" t="n">
        <f aca="false">R1294*L1294</f>
        <v>0</v>
      </c>
      <c r="T1294" s="47" t="n">
        <f aca="false">R1294*J1294</f>
        <v>0</v>
      </c>
      <c r="U1294" s="47" t="n">
        <f aca="false">R1294*K1294</f>
        <v>0</v>
      </c>
      <c r="V1294" s="0" t="str">
        <f aca="false">IF(COUNTIFS($A$2:A1294,A1294,$C$2:C1294,C1294,$D$2:D1294,D1294)&gt;1,"중복","")</f>
        <v/>
      </c>
      <c r="W1294" s="0" t="n">
        <f aca="false">IF(V1294="중복",0,N(D1294))</f>
        <v>180</v>
      </c>
      <c r="X1294" s="0" t="n">
        <f aca="false">IF(COUNTIFS($A$2:A1294,A1294,$C$2:C1294,C1294)=1,ABS(SUMIFS(RAW_발주!$D:$D,RAW_발주!$C:$C,A1294,RAW_발주!$A:$A,C1294)-SUMIFS($W:$W,$A:$A,A1294,$C:$C,C1294)),0)</f>
        <v>0</v>
      </c>
    </row>
    <row r="1295" customFormat="false" ht="15.75" hidden="false" customHeight="true" outlineLevel="0" collapsed="false">
      <c r="A1295" s="45" t="s">
        <v>1660</v>
      </c>
      <c r="B1295" s="42" t="str">
        <f aca="false">IF(A1295="100","HK",IF(A1295="200","CN",IF(A1295="300","TW","홀세일")))</f>
        <v>CN</v>
      </c>
      <c r="C1295" s="45" t="s">
        <v>1451</v>
      </c>
      <c r="D1295" s="46" t="n">
        <v>81</v>
      </c>
      <c r="E1295" s="46" t="n">
        <v>199000</v>
      </c>
      <c r="F1295" s="46" t="n">
        <v>47202</v>
      </c>
      <c r="G1295" s="42" t="n">
        <v>3.59</v>
      </c>
      <c r="H1295" s="42" t="n">
        <v>52.9</v>
      </c>
      <c r="J1295" s="46" t="n">
        <f aca="false">IF(N(E1295)&gt;0,E1295,IF(N(F1295)&gt;0,F1295*요약!$F$27,0))</f>
        <v>199000</v>
      </c>
      <c r="K1295" s="46" t="n">
        <f aca="false">IF(N(F1295)&gt;0,F1295,IF(N(E1295)&gt;0,E1295/요약!$F$27,0))</f>
        <v>47202</v>
      </c>
      <c r="L1295" s="46" t="n">
        <f aca="false">IF(B1295="CN",IF(N(I1295)&gt;0,I1295*요약!$G$27,K1295*(1+요약!$E$27)),IF(N(H1295)&gt;0,H1295*요약!$G$27,J1295*요약!$D$27))</f>
        <v>49562.1</v>
      </c>
      <c r="M1295" s="46" t="n">
        <f aca="false">D1295*J1295</f>
        <v>16119000</v>
      </c>
      <c r="N1295" s="46" t="n">
        <f aca="false">D1295*K1295</f>
        <v>3823362</v>
      </c>
      <c r="O1295" s="46" t="n">
        <f aca="false">D1295*L1295</f>
        <v>4014530.1</v>
      </c>
      <c r="P1295" s="42" t="str">
        <f aca="false">TRIM(IF(N(E1295)&lt;=0,"택가보정 ","")&amp;IF(N(F1295)&lt;=0,"원가보정 ","")&amp;IF(AND(B1295&lt;&gt;"CN",N(H1295)&lt;=0),"공급가보정 ","")&amp;IF(AND(B1295="CN",N(I1295)&lt;=0),"중국공급가=원가+마진 ",""))</f>
        <v>중국공급가=원가+마진</v>
      </c>
      <c r="Q1295" s="47" t="n">
        <f aca="false">IF(SUMIFS($W:$W,$A:$A,A1295,$C:$C,C1295)=0,0,SUMIFS(RAW_판매펀칭!$K:$K,RAW_판매펀칭!$P:$P,A1295,RAW_판매펀칭!$I:$I,C1295)*W1295/SUMIFS($W:$W,$A:$A,A1295,$C:$C,C1295))</f>
        <v>0</v>
      </c>
      <c r="R1295" s="47" t="n">
        <f aca="false">IF(OR(A1295="500",A1295="800",A1295="810"),0,MAX(W1295-Q1295,0))</f>
        <v>81</v>
      </c>
      <c r="S1295" s="47" t="n">
        <f aca="false">R1295*L1295</f>
        <v>4014530.1</v>
      </c>
      <c r="T1295" s="47" t="n">
        <f aca="false">R1295*J1295</f>
        <v>16119000</v>
      </c>
      <c r="U1295" s="47" t="n">
        <f aca="false">R1295*K1295</f>
        <v>3823362</v>
      </c>
      <c r="V1295" s="0" t="str">
        <f aca="false">IF(COUNTIFS($A$2:A1295,A1295,$C$2:C1295,C1295,$D$2:D1295,D1295)&gt;1,"중복","")</f>
        <v/>
      </c>
      <c r="W1295" s="0" t="n">
        <f aca="false">IF(V1295="중복",0,N(D1295))</f>
        <v>81</v>
      </c>
      <c r="X1295" s="0" t="n">
        <f aca="false">IF(COUNTIFS($A$2:A1295,A1295,$C$2:C1295,C1295)=1,ABS(SUMIFS(RAW_발주!$D:$D,RAW_발주!$C:$C,A1295,RAW_발주!$A:$A,C1295)-SUMIFS($W:$W,$A:$A,A1295,$C:$C,C1295)),0)</f>
        <v>0</v>
      </c>
    </row>
    <row r="1296" customFormat="false" ht="15" hidden="false" customHeight="true" outlineLevel="0" collapsed="false">
      <c r="A1296" s="45" t="s">
        <v>1664</v>
      </c>
      <c r="B1296" s="42" t="str">
        <f aca="false">IF(A1296="100","HK",IF(A1296="200","CN",IF(A1296="300","TW","홀세일")))</f>
        <v>홀세일</v>
      </c>
      <c r="C1296" s="45" t="s">
        <v>1451</v>
      </c>
      <c r="D1296" s="46" t="n">
        <v>5</v>
      </c>
      <c r="E1296" s="46" t="n">
        <v>199000</v>
      </c>
      <c r="F1296" s="46" t="n">
        <v>47202</v>
      </c>
      <c r="G1296" s="42" t="n">
        <v>3.59</v>
      </c>
      <c r="H1296" s="42" t="n">
        <v>52.9</v>
      </c>
      <c r="J1296" s="46" t="n">
        <f aca="false">IF(N(E1296)&gt;0,E1296,IF(N(F1296)&gt;0,F1296*요약!$F$27,0))</f>
        <v>199000</v>
      </c>
      <c r="K1296" s="46" t="n">
        <f aca="false">IF(N(F1296)&gt;0,F1296,IF(N(E1296)&gt;0,E1296/요약!$F$27,0))</f>
        <v>47202</v>
      </c>
      <c r="L1296" s="46" t="n">
        <f aca="false">IF(B1296="CN",IF(N(I1296)&gt;0,I1296*요약!$G$27,K1296*(1+요약!$E$27)),IF(N(H1296)&gt;0,H1296*요약!$G$27,J1296*요약!$D$27))</f>
        <v>69828</v>
      </c>
      <c r="M1296" s="46" t="n">
        <f aca="false">D1296*J1296</f>
        <v>995000</v>
      </c>
      <c r="N1296" s="46" t="n">
        <f aca="false">D1296*K1296</f>
        <v>236010</v>
      </c>
      <c r="O1296" s="46" t="n">
        <f aca="false">D1296*L1296</f>
        <v>349140</v>
      </c>
      <c r="P1296" s="42" t="str">
        <f aca="false">TRIM(IF(N(E1296)&lt;=0,"택가보정 ","")&amp;IF(N(F1296)&lt;=0,"원가보정 ","")&amp;IF(AND(B1296&lt;&gt;"CN",N(H1296)&lt;=0),"공급가보정 ","")&amp;IF(AND(B1296="CN",N(I1296)&lt;=0),"중국공급가=원가+마진 ",""))</f>
        <v/>
      </c>
      <c r="Q1296" s="47" t="n">
        <f aca="false">IF(SUMIFS($W:$W,$A:$A,A1296,$C:$C,C1296)=0,0,SUMIFS(RAW_판매펀칭!$K:$K,RAW_판매펀칭!$P:$P,A1296,RAW_판매펀칭!$I:$I,C1296)*W1296/SUMIFS($W:$W,$A:$A,A1296,$C:$C,C1296))</f>
        <v>5</v>
      </c>
      <c r="R1296" s="47" t="n">
        <f aca="false">IF(OR(A1296="500",A1296="800",A1296="810"),0,MAX(W1296-Q1296,0))</f>
        <v>0</v>
      </c>
      <c r="S1296" s="47" t="n">
        <f aca="false">R1296*L1296</f>
        <v>0</v>
      </c>
      <c r="T1296" s="47" t="n">
        <f aca="false">R1296*J1296</f>
        <v>0</v>
      </c>
      <c r="U1296" s="47" t="n">
        <f aca="false">R1296*K1296</f>
        <v>0</v>
      </c>
      <c r="V1296" s="0" t="str">
        <f aca="false">IF(COUNTIFS($A$2:A1296,A1296,$C$2:C1296,C1296,$D$2:D1296,D1296)&gt;1,"중복","")</f>
        <v/>
      </c>
      <c r="W1296" s="0" t="n">
        <f aca="false">IF(V1296="중복",0,N(D1296))</f>
        <v>5</v>
      </c>
      <c r="X1296" s="0" t="n">
        <f aca="false">IF(COUNTIFS($A$2:A1296,A1296,$C$2:C1296,C1296)=1,ABS(SUMIFS(RAW_발주!$D:$D,RAW_발주!$C:$C,A1296,RAW_발주!$A:$A,C1296)-SUMIFS($W:$W,$A:$A,A1296,$C:$C,C1296)),0)</f>
        <v>0</v>
      </c>
    </row>
    <row r="1297" customFormat="false" ht="15" hidden="false" customHeight="true" outlineLevel="0" collapsed="false">
      <c r="A1297" s="45" t="s">
        <v>1667</v>
      </c>
      <c r="B1297" s="42" t="str">
        <f aca="false">IF(A1297="100","HK",IF(A1297="200","CN",IF(A1297="300","TW","홀세일")))</f>
        <v>홀세일</v>
      </c>
      <c r="C1297" s="45" t="s">
        <v>1415</v>
      </c>
      <c r="D1297" s="46" t="n">
        <v>61</v>
      </c>
      <c r="E1297" s="46" t="n">
        <v>189000</v>
      </c>
      <c r="F1297" s="46" t="n">
        <v>43603</v>
      </c>
      <c r="G1297" s="42" t="n">
        <v>3.69</v>
      </c>
      <c r="H1297" s="42" t="n">
        <v>50.2</v>
      </c>
      <c r="J1297" s="46" t="n">
        <f aca="false">IF(N(E1297)&gt;0,E1297,IF(N(F1297)&gt;0,F1297*요약!$F$27,0))</f>
        <v>189000</v>
      </c>
      <c r="K1297" s="46" t="n">
        <f aca="false">IF(N(F1297)&gt;0,F1297,IF(N(E1297)&gt;0,E1297/요약!$F$27,0))</f>
        <v>43603</v>
      </c>
      <c r="L1297" s="46" t="n">
        <f aca="false">IF(B1297="CN",IF(N(I1297)&gt;0,I1297*요약!$G$27,K1297*(1+요약!$E$27)),IF(N(H1297)&gt;0,H1297*요약!$G$27,J1297*요약!$D$27))</f>
        <v>66264</v>
      </c>
      <c r="M1297" s="46" t="n">
        <f aca="false">D1297*J1297</f>
        <v>11529000</v>
      </c>
      <c r="N1297" s="46" t="n">
        <f aca="false">D1297*K1297</f>
        <v>2659783</v>
      </c>
      <c r="O1297" s="46" t="n">
        <f aca="false">D1297*L1297</f>
        <v>4042104</v>
      </c>
      <c r="P1297" s="42" t="str">
        <f aca="false">TRIM(IF(N(E1297)&lt;=0,"택가보정 ","")&amp;IF(N(F1297)&lt;=0,"원가보정 ","")&amp;IF(AND(B1297&lt;&gt;"CN",N(H1297)&lt;=0),"공급가보정 ","")&amp;IF(AND(B1297="CN",N(I1297)&lt;=0),"중국공급가=원가+마진 ",""))</f>
        <v/>
      </c>
      <c r="Q1297" s="47" t="n">
        <f aca="false">IF(SUMIFS($W:$W,$A:$A,A1297,$C:$C,C1297)=0,0,SUMIFS(RAW_판매펀칭!$K:$K,RAW_판매펀칭!$P:$P,A1297,RAW_판매펀칭!$I:$I,C1297)*W1297/SUMIFS($W:$W,$A:$A,A1297,$C:$C,C1297))</f>
        <v>61</v>
      </c>
      <c r="R1297" s="47" t="n">
        <f aca="false">IF(OR(A1297="500",A1297="800",A1297="810"),0,MAX(W1297-Q1297,0))</f>
        <v>0</v>
      </c>
      <c r="S1297" s="47" t="n">
        <f aca="false">R1297*L1297</f>
        <v>0</v>
      </c>
      <c r="T1297" s="47" t="n">
        <f aca="false">R1297*J1297</f>
        <v>0</v>
      </c>
      <c r="U1297" s="47" t="n">
        <f aca="false">R1297*K1297</f>
        <v>0</v>
      </c>
      <c r="V1297" s="0" t="str">
        <f aca="false">IF(COUNTIFS($A$2:A1297,A1297,$C$2:C1297,C1297,$D$2:D1297,D1297)&gt;1,"중복","")</f>
        <v/>
      </c>
      <c r="W1297" s="0" t="n">
        <f aca="false">IF(V1297="중복",0,N(D1297))</f>
        <v>61</v>
      </c>
      <c r="X1297" s="0" t="n">
        <f aca="false">IF(COUNTIFS($A$2:A1297,A1297,$C$2:C1297,C1297)=1,ABS(SUMIFS(RAW_발주!$D:$D,RAW_발주!$C:$C,A1297,RAW_발주!$A:$A,C1297)-SUMIFS($W:$W,$A:$A,A1297,$C:$C,C1297)),0)</f>
        <v>0</v>
      </c>
    </row>
    <row r="1298" customFormat="false" ht="15" hidden="false" customHeight="true" outlineLevel="0" collapsed="false">
      <c r="A1298" s="45" t="s">
        <v>1664</v>
      </c>
      <c r="B1298" s="42" t="str">
        <f aca="false">IF(A1298="100","HK",IF(A1298="200","CN",IF(A1298="300","TW","홀세일")))</f>
        <v>홀세일</v>
      </c>
      <c r="C1298" s="45" t="s">
        <v>1415</v>
      </c>
      <c r="D1298" s="46" t="n">
        <v>5</v>
      </c>
      <c r="E1298" s="46" t="n">
        <v>189000</v>
      </c>
      <c r="F1298" s="46" t="n">
        <v>43603</v>
      </c>
      <c r="G1298" s="42" t="n">
        <v>3.69</v>
      </c>
      <c r="H1298" s="42" t="n">
        <v>50.2</v>
      </c>
      <c r="J1298" s="46" t="n">
        <f aca="false">IF(N(E1298)&gt;0,E1298,IF(N(F1298)&gt;0,F1298*요약!$F$27,0))</f>
        <v>189000</v>
      </c>
      <c r="K1298" s="46" t="n">
        <f aca="false">IF(N(F1298)&gt;0,F1298,IF(N(E1298)&gt;0,E1298/요약!$F$27,0))</f>
        <v>43603</v>
      </c>
      <c r="L1298" s="46" t="n">
        <f aca="false">IF(B1298="CN",IF(N(I1298)&gt;0,I1298*요약!$G$27,K1298*(1+요약!$E$27)),IF(N(H1298)&gt;0,H1298*요약!$G$27,J1298*요약!$D$27))</f>
        <v>66264</v>
      </c>
      <c r="M1298" s="46" t="n">
        <f aca="false">D1298*J1298</f>
        <v>945000</v>
      </c>
      <c r="N1298" s="46" t="n">
        <f aca="false">D1298*K1298</f>
        <v>218015</v>
      </c>
      <c r="O1298" s="46" t="n">
        <f aca="false">D1298*L1298</f>
        <v>331320</v>
      </c>
      <c r="P1298" s="42" t="str">
        <f aca="false">TRIM(IF(N(E1298)&lt;=0,"택가보정 ","")&amp;IF(N(F1298)&lt;=0,"원가보정 ","")&amp;IF(AND(B1298&lt;&gt;"CN",N(H1298)&lt;=0),"공급가보정 ","")&amp;IF(AND(B1298="CN",N(I1298)&lt;=0),"중국공급가=원가+마진 ",""))</f>
        <v/>
      </c>
      <c r="Q1298" s="47" t="n">
        <f aca="false">IF(SUMIFS($W:$W,$A:$A,A1298,$C:$C,C1298)=0,0,SUMIFS(RAW_판매펀칭!$K:$K,RAW_판매펀칭!$P:$P,A1298,RAW_판매펀칭!$I:$I,C1298)*W1298/SUMIFS($W:$W,$A:$A,A1298,$C:$C,C1298))</f>
        <v>5</v>
      </c>
      <c r="R1298" s="47" t="n">
        <f aca="false">IF(OR(A1298="500",A1298="800",A1298="810"),0,MAX(W1298-Q1298,0))</f>
        <v>0</v>
      </c>
      <c r="S1298" s="47" t="n">
        <f aca="false">R1298*L1298</f>
        <v>0</v>
      </c>
      <c r="T1298" s="47" t="n">
        <f aca="false">R1298*J1298</f>
        <v>0</v>
      </c>
      <c r="U1298" s="47" t="n">
        <f aca="false">R1298*K1298</f>
        <v>0</v>
      </c>
      <c r="V1298" s="0" t="str">
        <f aca="false">IF(COUNTIFS($A$2:A1298,A1298,$C$2:C1298,C1298,$D$2:D1298,D1298)&gt;1,"중복","")</f>
        <v/>
      </c>
      <c r="W1298" s="0" t="n">
        <f aca="false">IF(V1298="중복",0,N(D1298))</f>
        <v>5</v>
      </c>
      <c r="X1298" s="0" t="n">
        <f aca="false">IF(COUNTIFS($A$2:A1298,A1298,$C$2:C1298,C1298)=1,ABS(SUMIFS(RAW_발주!$D:$D,RAW_발주!$C:$C,A1298,RAW_발주!$A:$A,C1298)-SUMIFS($W:$W,$A:$A,A1298,$C:$C,C1298)),0)</f>
        <v>0</v>
      </c>
    </row>
    <row r="1299" customFormat="false" ht="15.75" hidden="false" customHeight="true" outlineLevel="0" collapsed="false">
      <c r="A1299" s="45" t="s">
        <v>1660</v>
      </c>
      <c r="B1299" s="42" t="str">
        <f aca="false">IF(A1299="100","HK",IF(A1299="200","CN",IF(A1299="300","TW","홀세일")))</f>
        <v>CN</v>
      </c>
      <c r="C1299" s="45" t="s">
        <v>587</v>
      </c>
      <c r="D1299" s="46" t="n">
        <v>61</v>
      </c>
      <c r="E1299" s="46" t="n">
        <v>199000</v>
      </c>
      <c r="F1299" s="46" t="n">
        <v>47678</v>
      </c>
      <c r="G1299" s="42" t="n">
        <v>3.56</v>
      </c>
      <c r="H1299" s="42" t="n">
        <v>52.9</v>
      </c>
      <c r="J1299" s="46" t="n">
        <f aca="false">IF(N(E1299)&gt;0,E1299,IF(N(F1299)&gt;0,F1299*요약!$F$27,0))</f>
        <v>199000</v>
      </c>
      <c r="K1299" s="46" t="n">
        <f aca="false">IF(N(F1299)&gt;0,F1299,IF(N(E1299)&gt;0,E1299/요약!$F$27,0))</f>
        <v>47678</v>
      </c>
      <c r="L1299" s="46" t="n">
        <f aca="false">IF(B1299="CN",IF(N(I1299)&gt;0,I1299*요약!$G$27,K1299*(1+요약!$E$27)),IF(N(H1299)&gt;0,H1299*요약!$G$27,J1299*요약!$D$27))</f>
        <v>50061.9</v>
      </c>
      <c r="M1299" s="46" t="n">
        <f aca="false">D1299*J1299</f>
        <v>12139000</v>
      </c>
      <c r="N1299" s="46" t="n">
        <f aca="false">D1299*K1299</f>
        <v>2908358</v>
      </c>
      <c r="O1299" s="46" t="n">
        <f aca="false">D1299*L1299</f>
        <v>3053775.9</v>
      </c>
      <c r="P1299" s="42" t="str">
        <f aca="false">TRIM(IF(N(E1299)&lt;=0,"택가보정 ","")&amp;IF(N(F1299)&lt;=0,"원가보정 ","")&amp;IF(AND(B1299&lt;&gt;"CN",N(H1299)&lt;=0),"공급가보정 ","")&amp;IF(AND(B1299="CN",N(I1299)&lt;=0),"중국공급가=원가+마진 ",""))</f>
        <v>중국공급가=원가+마진</v>
      </c>
      <c r="Q1299" s="47" t="n">
        <f aca="false">IF(SUMIFS($W:$W,$A:$A,A1299,$C:$C,C1299)=0,0,SUMIFS(RAW_판매펀칭!$K:$K,RAW_판매펀칭!$P:$P,A1299,RAW_판매펀칭!$I:$I,C1299)*W1299/SUMIFS($W:$W,$A:$A,A1299,$C:$C,C1299))</f>
        <v>0</v>
      </c>
      <c r="R1299" s="47" t="n">
        <f aca="false">IF(OR(A1299="500",A1299="800",A1299="810"),0,MAX(W1299-Q1299,0))</f>
        <v>61</v>
      </c>
      <c r="S1299" s="47" t="n">
        <f aca="false">R1299*L1299</f>
        <v>3053775.9</v>
      </c>
      <c r="T1299" s="47" t="n">
        <f aca="false">R1299*J1299</f>
        <v>12139000</v>
      </c>
      <c r="U1299" s="47" t="n">
        <f aca="false">R1299*K1299</f>
        <v>2908358</v>
      </c>
      <c r="V1299" s="0" t="str">
        <f aca="false">IF(COUNTIFS($A$2:A1299,A1299,$C$2:C1299,C1299,$D$2:D1299,D1299)&gt;1,"중복","")</f>
        <v/>
      </c>
      <c r="W1299" s="0" t="n">
        <f aca="false">IF(V1299="중복",0,N(D1299))</f>
        <v>61</v>
      </c>
      <c r="X1299" s="0" t="n">
        <f aca="false">IF(COUNTIFS($A$2:A1299,A1299,$C$2:C1299,C1299)=1,ABS(SUMIFS(RAW_발주!$D:$D,RAW_발주!$C:$C,A1299,RAW_발주!$A:$A,C1299)-SUMIFS($W:$W,$A:$A,A1299,$C:$C,C1299)),0)</f>
        <v>0</v>
      </c>
    </row>
    <row r="1300" customFormat="false" ht="15" hidden="false" customHeight="true" outlineLevel="0" collapsed="false">
      <c r="A1300" s="45" t="s">
        <v>1661</v>
      </c>
      <c r="B1300" s="42" t="str">
        <f aca="false">IF(A1300="100","HK",IF(A1300="200","CN",IF(A1300="300","TW","홀세일")))</f>
        <v>TW</v>
      </c>
      <c r="C1300" s="45" t="s">
        <v>587</v>
      </c>
      <c r="D1300" s="46" t="n">
        <v>80</v>
      </c>
      <c r="E1300" s="46" t="n">
        <v>199000</v>
      </c>
      <c r="F1300" s="46" t="n">
        <v>47678</v>
      </c>
      <c r="G1300" s="42" t="n">
        <v>3.56</v>
      </c>
      <c r="H1300" s="42" t="n">
        <v>52.9</v>
      </c>
      <c r="J1300" s="46" t="n">
        <f aca="false">IF(N(E1300)&gt;0,E1300,IF(N(F1300)&gt;0,F1300*요약!$F$27,0))</f>
        <v>199000</v>
      </c>
      <c r="K1300" s="46" t="n">
        <f aca="false">IF(N(F1300)&gt;0,F1300,IF(N(E1300)&gt;0,E1300/요약!$F$27,0))</f>
        <v>47678</v>
      </c>
      <c r="L1300" s="46" t="n">
        <f aca="false">IF(B1300="CN",IF(N(I1300)&gt;0,I1300*요약!$G$27,K1300*(1+요약!$E$27)),IF(N(H1300)&gt;0,H1300*요약!$G$27,J1300*요약!$D$27))</f>
        <v>69828</v>
      </c>
      <c r="M1300" s="46" t="n">
        <f aca="false">D1300*J1300</f>
        <v>15920000</v>
      </c>
      <c r="N1300" s="46" t="n">
        <f aca="false">D1300*K1300</f>
        <v>3814240</v>
      </c>
      <c r="O1300" s="46" t="n">
        <f aca="false">D1300*L1300</f>
        <v>5586240</v>
      </c>
      <c r="P1300" s="42" t="str">
        <f aca="false">TRIM(IF(N(E1300)&lt;=0,"택가보정 ","")&amp;IF(N(F1300)&lt;=0,"원가보정 ","")&amp;IF(AND(B1300&lt;&gt;"CN",N(H1300)&lt;=0),"공급가보정 ","")&amp;IF(AND(B1300="CN",N(I1300)&lt;=0),"중국공급가=원가+마진 ",""))</f>
        <v/>
      </c>
      <c r="Q1300" s="47" t="n">
        <f aca="false">IF(SUMIFS($W:$W,$A:$A,A1300,$C:$C,C1300)=0,0,SUMIFS(RAW_판매펀칭!$K:$K,RAW_판매펀칭!$P:$P,A1300,RAW_판매펀칭!$I:$I,C1300)*W1300/SUMIFS($W:$W,$A:$A,A1300,$C:$C,C1300))</f>
        <v>80</v>
      </c>
      <c r="R1300" s="47" t="n">
        <f aca="false">IF(OR(A1300="500",A1300="800",A1300="810"),0,MAX(W1300-Q1300,0))</f>
        <v>0</v>
      </c>
      <c r="S1300" s="47" t="n">
        <f aca="false">R1300*L1300</f>
        <v>0</v>
      </c>
      <c r="T1300" s="47" t="n">
        <f aca="false">R1300*J1300</f>
        <v>0</v>
      </c>
      <c r="U1300" s="47" t="n">
        <f aca="false">R1300*K1300</f>
        <v>0</v>
      </c>
      <c r="V1300" s="0" t="str">
        <f aca="false">IF(COUNTIFS($A$2:A1300,A1300,$C$2:C1300,C1300,$D$2:D1300,D1300)&gt;1,"중복","")</f>
        <v/>
      </c>
      <c r="W1300" s="0" t="n">
        <f aca="false">IF(V1300="중복",0,N(D1300))</f>
        <v>80</v>
      </c>
      <c r="X1300" s="0" t="n">
        <f aca="false">IF(COUNTIFS($A$2:A1300,A1300,$C$2:C1300,C1300)=1,ABS(SUMIFS(RAW_발주!$D:$D,RAW_발주!$C:$C,A1300,RAW_발주!$A:$A,C1300)-SUMIFS($W:$W,$A:$A,A1300,$C:$C,C1300)),0)</f>
        <v>0</v>
      </c>
    </row>
    <row r="1301" customFormat="false" ht="15" hidden="false" customHeight="true" outlineLevel="0" collapsed="false">
      <c r="A1301" s="45" t="s">
        <v>1662</v>
      </c>
      <c r="B1301" s="42" t="str">
        <f aca="false">IF(A1301="100","HK",IF(A1301="200","CN",IF(A1301="300","TW","홀세일")))</f>
        <v>홀세일</v>
      </c>
      <c r="C1301" s="45" t="s">
        <v>587</v>
      </c>
      <c r="D1301" s="46" t="n">
        <v>15</v>
      </c>
      <c r="E1301" s="46" t="n">
        <v>199000</v>
      </c>
      <c r="F1301" s="46" t="n">
        <v>47678</v>
      </c>
      <c r="G1301" s="42" t="n">
        <v>3.56</v>
      </c>
      <c r="H1301" s="42" t="n">
        <v>52.9</v>
      </c>
      <c r="J1301" s="46" t="n">
        <f aca="false">IF(N(E1301)&gt;0,E1301,IF(N(F1301)&gt;0,F1301*요약!$F$27,0))</f>
        <v>199000</v>
      </c>
      <c r="K1301" s="46" t="n">
        <f aca="false">IF(N(F1301)&gt;0,F1301,IF(N(E1301)&gt;0,E1301/요약!$F$27,0))</f>
        <v>47678</v>
      </c>
      <c r="L1301" s="46" t="n">
        <f aca="false">IF(B1301="CN",IF(N(I1301)&gt;0,I1301*요약!$G$27,K1301*(1+요약!$E$27)),IF(N(H1301)&gt;0,H1301*요약!$G$27,J1301*요약!$D$27))</f>
        <v>69828</v>
      </c>
      <c r="M1301" s="46" t="n">
        <f aca="false">D1301*J1301</f>
        <v>2985000</v>
      </c>
      <c r="N1301" s="46" t="n">
        <f aca="false">D1301*K1301</f>
        <v>715170</v>
      </c>
      <c r="O1301" s="46" t="n">
        <f aca="false">D1301*L1301</f>
        <v>1047420</v>
      </c>
      <c r="P1301" s="42" t="str">
        <f aca="false">TRIM(IF(N(E1301)&lt;=0,"택가보정 ","")&amp;IF(N(F1301)&lt;=0,"원가보정 ","")&amp;IF(AND(B1301&lt;&gt;"CN",N(H1301)&lt;=0),"공급가보정 ","")&amp;IF(AND(B1301="CN",N(I1301)&lt;=0),"중국공급가=원가+마진 ",""))</f>
        <v/>
      </c>
      <c r="Q1301" s="47" t="n">
        <f aca="false">IF(SUMIFS($W:$W,$A:$A,A1301,$C:$C,C1301)=0,0,SUMIFS(RAW_판매펀칭!$K:$K,RAW_판매펀칭!$P:$P,A1301,RAW_판매펀칭!$I:$I,C1301)*W1301/SUMIFS($W:$W,$A:$A,A1301,$C:$C,C1301))</f>
        <v>0</v>
      </c>
      <c r="R1301" s="47" t="n">
        <f aca="false">IF(OR(A1301="500",A1301="800",A1301="810"),0,MAX(W1301-Q1301,0))</f>
        <v>0</v>
      </c>
      <c r="S1301" s="47" t="n">
        <f aca="false">R1301*L1301</f>
        <v>0</v>
      </c>
      <c r="T1301" s="47" t="n">
        <f aca="false">R1301*J1301</f>
        <v>0</v>
      </c>
      <c r="U1301" s="47" t="n">
        <f aca="false">R1301*K1301</f>
        <v>0</v>
      </c>
      <c r="V1301" s="0" t="str">
        <f aca="false">IF(COUNTIFS($A$2:A1301,A1301,$C$2:C1301,C1301,$D$2:D1301,D1301)&gt;1,"중복","")</f>
        <v/>
      </c>
      <c r="W1301" s="0" t="n">
        <f aca="false">IF(V1301="중복",0,N(D1301))</f>
        <v>15</v>
      </c>
      <c r="X1301" s="0" t="n">
        <f aca="false">IF(COUNTIFS($A$2:A1301,A1301,$C$2:C1301,C1301)=1,ABS(SUMIFS(RAW_발주!$D:$D,RAW_발주!$C:$C,A1301,RAW_발주!$A:$A,C1301)-SUMIFS($W:$W,$A:$A,A1301,$C:$C,C1301)),0)</f>
        <v>0</v>
      </c>
    </row>
    <row r="1302" customFormat="false" ht="15" hidden="false" customHeight="true" outlineLevel="0" collapsed="false">
      <c r="A1302" s="45" t="s">
        <v>1663</v>
      </c>
      <c r="B1302" s="42" t="str">
        <f aca="false">IF(A1302="100","HK",IF(A1302="200","CN",IF(A1302="300","TW","홀세일")))</f>
        <v>홀세일</v>
      </c>
      <c r="C1302" s="45" t="s">
        <v>587</v>
      </c>
      <c r="D1302" s="46" t="n">
        <v>10</v>
      </c>
      <c r="E1302" s="46" t="n">
        <v>199000</v>
      </c>
      <c r="F1302" s="46" t="n">
        <v>47678</v>
      </c>
      <c r="G1302" s="42" t="n">
        <v>3.56</v>
      </c>
      <c r="H1302" s="42" t="n">
        <v>52.9</v>
      </c>
      <c r="J1302" s="46" t="n">
        <f aca="false">IF(N(E1302)&gt;0,E1302,IF(N(F1302)&gt;0,F1302*요약!$F$27,0))</f>
        <v>199000</v>
      </c>
      <c r="K1302" s="46" t="n">
        <f aca="false">IF(N(F1302)&gt;0,F1302,IF(N(E1302)&gt;0,E1302/요약!$F$27,0))</f>
        <v>47678</v>
      </c>
      <c r="L1302" s="46" t="n">
        <f aca="false">IF(B1302="CN",IF(N(I1302)&gt;0,I1302*요약!$G$27,K1302*(1+요약!$E$27)),IF(N(H1302)&gt;0,H1302*요약!$G$27,J1302*요약!$D$27))</f>
        <v>69828</v>
      </c>
      <c r="M1302" s="46" t="n">
        <f aca="false">D1302*J1302</f>
        <v>1990000</v>
      </c>
      <c r="N1302" s="46" t="n">
        <f aca="false">D1302*K1302</f>
        <v>476780</v>
      </c>
      <c r="O1302" s="46" t="n">
        <f aca="false">D1302*L1302</f>
        <v>698280</v>
      </c>
      <c r="P1302" s="42" t="str">
        <f aca="false">TRIM(IF(N(E1302)&lt;=0,"택가보정 ","")&amp;IF(N(F1302)&lt;=0,"원가보정 ","")&amp;IF(AND(B1302&lt;&gt;"CN",N(H1302)&lt;=0),"공급가보정 ","")&amp;IF(AND(B1302="CN",N(I1302)&lt;=0),"중국공급가=원가+마진 ",""))</f>
        <v/>
      </c>
      <c r="Q1302" s="47" t="n">
        <f aca="false">IF(SUMIFS($W:$W,$A:$A,A1302,$C:$C,C1302)=0,0,SUMIFS(RAW_판매펀칭!$K:$K,RAW_판매펀칭!$P:$P,A1302,RAW_판매펀칭!$I:$I,C1302)*W1302/SUMIFS($W:$W,$A:$A,A1302,$C:$C,C1302))</f>
        <v>10</v>
      </c>
      <c r="R1302" s="47" t="n">
        <f aca="false">IF(OR(A1302="500",A1302="800",A1302="810"),0,MAX(W1302-Q1302,0))</f>
        <v>0</v>
      </c>
      <c r="S1302" s="47" t="n">
        <f aca="false">R1302*L1302</f>
        <v>0</v>
      </c>
      <c r="T1302" s="47" t="n">
        <f aca="false">R1302*J1302</f>
        <v>0</v>
      </c>
      <c r="U1302" s="47" t="n">
        <f aca="false">R1302*K1302</f>
        <v>0</v>
      </c>
      <c r="V1302" s="0" t="str">
        <f aca="false">IF(COUNTIFS($A$2:A1302,A1302,$C$2:C1302,C1302,$D$2:D1302,D1302)&gt;1,"중복","")</f>
        <v/>
      </c>
      <c r="W1302" s="0" t="n">
        <f aca="false">IF(V1302="중복",0,N(D1302))</f>
        <v>10</v>
      </c>
      <c r="X1302" s="0" t="n">
        <f aca="false">IF(COUNTIFS($A$2:A1302,A1302,$C$2:C1302,C1302)=1,ABS(SUMIFS(RAW_발주!$D:$D,RAW_발주!$C:$C,A1302,RAW_발주!$A:$A,C1302)-SUMIFS($W:$W,$A:$A,A1302,$C:$C,C1302)),0)</f>
        <v>0</v>
      </c>
    </row>
    <row r="1303" customFormat="false" ht="15" hidden="false" customHeight="true" outlineLevel="0" collapsed="false">
      <c r="A1303" s="45" t="s">
        <v>1667</v>
      </c>
      <c r="B1303" s="42" t="str">
        <f aca="false">IF(A1303="100","HK",IF(A1303="200","CN",IF(A1303="300","TW","홀세일")))</f>
        <v>홀세일</v>
      </c>
      <c r="C1303" s="45" t="s">
        <v>587</v>
      </c>
      <c r="D1303" s="46" t="n">
        <v>61</v>
      </c>
      <c r="E1303" s="46" t="n">
        <v>199000</v>
      </c>
      <c r="F1303" s="46" t="n">
        <v>47678</v>
      </c>
      <c r="G1303" s="42" t="n">
        <v>3.56</v>
      </c>
      <c r="H1303" s="42" t="n">
        <v>52.9</v>
      </c>
      <c r="J1303" s="46" t="n">
        <f aca="false">IF(N(E1303)&gt;0,E1303,IF(N(F1303)&gt;0,F1303*요약!$F$27,0))</f>
        <v>199000</v>
      </c>
      <c r="K1303" s="46" t="n">
        <f aca="false">IF(N(F1303)&gt;0,F1303,IF(N(E1303)&gt;0,E1303/요약!$F$27,0))</f>
        <v>47678</v>
      </c>
      <c r="L1303" s="46" t="n">
        <f aca="false">IF(B1303="CN",IF(N(I1303)&gt;0,I1303*요약!$G$27,K1303*(1+요약!$E$27)),IF(N(H1303)&gt;0,H1303*요약!$G$27,J1303*요약!$D$27))</f>
        <v>69828</v>
      </c>
      <c r="M1303" s="46" t="n">
        <f aca="false">D1303*J1303</f>
        <v>12139000</v>
      </c>
      <c r="N1303" s="46" t="n">
        <f aca="false">D1303*K1303</f>
        <v>2908358</v>
      </c>
      <c r="O1303" s="46" t="n">
        <f aca="false">D1303*L1303</f>
        <v>4259508</v>
      </c>
      <c r="P1303" s="42" t="str">
        <f aca="false">TRIM(IF(N(E1303)&lt;=0,"택가보정 ","")&amp;IF(N(F1303)&lt;=0,"원가보정 ","")&amp;IF(AND(B1303&lt;&gt;"CN",N(H1303)&lt;=0),"공급가보정 ","")&amp;IF(AND(B1303="CN",N(I1303)&lt;=0),"중국공급가=원가+마진 ",""))</f>
        <v/>
      </c>
      <c r="Q1303" s="47" t="n">
        <f aca="false">IF(SUMIFS($W:$W,$A:$A,A1303,$C:$C,C1303)=0,0,SUMIFS(RAW_판매펀칭!$K:$K,RAW_판매펀칭!$P:$P,A1303,RAW_판매펀칭!$I:$I,C1303)*W1303/SUMIFS($W:$W,$A:$A,A1303,$C:$C,C1303))</f>
        <v>61</v>
      </c>
      <c r="R1303" s="47" t="n">
        <f aca="false">IF(OR(A1303="500",A1303="800",A1303="810"),0,MAX(W1303-Q1303,0))</f>
        <v>0</v>
      </c>
      <c r="S1303" s="47" t="n">
        <f aca="false">R1303*L1303</f>
        <v>0</v>
      </c>
      <c r="T1303" s="47" t="n">
        <f aca="false">R1303*J1303</f>
        <v>0</v>
      </c>
      <c r="U1303" s="47" t="n">
        <f aca="false">R1303*K1303</f>
        <v>0</v>
      </c>
      <c r="V1303" s="0" t="str">
        <f aca="false">IF(COUNTIFS($A$2:A1303,A1303,$C$2:C1303,C1303,$D$2:D1303,D1303)&gt;1,"중복","")</f>
        <v/>
      </c>
      <c r="W1303" s="0" t="n">
        <f aca="false">IF(V1303="중복",0,N(D1303))</f>
        <v>61</v>
      </c>
      <c r="X1303" s="0" t="n">
        <f aca="false">IF(COUNTIFS($A$2:A1303,A1303,$C$2:C1303,C1303)=1,ABS(SUMIFS(RAW_발주!$D:$D,RAW_발주!$C:$C,A1303,RAW_발주!$A:$A,C1303)-SUMIFS($W:$W,$A:$A,A1303,$C:$C,C1303)),0)</f>
        <v>0</v>
      </c>
    </row>
    <row r="1304" customFormat="false" ht="15" hidden="false" customHeight="true" outlineLevel="0" collapsed="false">
      <c r="A1304" s="45" t="s">
        <v>1664</v>
      </c>
      <c r="B1304" s="42" t="str">
        <f aca="false">IF(A1304="100","HK",IF(A1304="200","CN",IF(A1304="300","TW","홀세일")))</f>
        <v>홀세일</v>
      </c>
      <c r="C1304" s="45" t="s">
        <v>587</v>
      </c>
      <c r="D1304" s="46" t="n">
        <v>5</v>
      </c>
      <c r="E1304" s="46" t="n">
        <v>199000</v>
      </c>
      <c r="F1304" s="46" t="n">
        <v>47678</v>
      </c>
      <c r="G1304" s="42" t="n">
        <v>3.56</v>
      </c>
      <c r="H1304" s="42" t="n">
        <v>52.9</v>
      </c>
      <c r="J1304" s="46" t="n">
        <f aca="false">IF(N(E1304)&gt;0,E1304,IF(N(F1304)&gt;0,F1304*요약!$F$27,0))</f>
        <v>199000</v>
      </c>
      <c r="K1304" s="46" t="n">
        <f aca="false">IF(N(F1304)&gt;0,F1304,IF(N(E1304)&gt;0,E1304/요약!$F$27,0))</f>
        <v>47678</v>
      </c>
      <c r="L1304" s="46" t="n">
        <f aca="false">IF(B1304="CN",IF(N(I1304)&gt;0,I1304*요약!$G$27,K1304*(1+요약!$E$27)),IF(N(H1304)&gt;0,H1304*요약!$G$27,J1304*요약!$D$27))</f>
        <v>69828</v>
      </c>
      <c r="M1304" s="46" t="n">
        <f aca="false">D1304*J1304</f>
        <v>995000</v>
      </c>
      <c r="N1304" s="46" t="n">
        <f aca="false">D1304*K1304</f>
        <v>238390</v>
      </c>
      <c r="O1304" s="46" t="n">
        <f aca="false">D1304*L1304</f>
        <v>349140</v>
      </c>
      <c r="P1304" s="42" t="str">
        <f aca="false">TRIM(IF(N(E1304)&lt;=0,"택가보정 ","")&amp;IF(N(F1304)&lt;=0,"원가보정 ","")&amp;IF(AND(B1304&lt;&gt;"CN",N(H1304)&lt;=0),"공급가보정 ","")&amp;IF(AND(B1304="CN",N(I1304)&lt;=0),"중국공급가=원가+마진 ",""))</f>
        <v/>
      </c>
      <c r="Q1304" s="47" t="n">
        <f aca="false">IF(SUMIFS($W:$W,$A:$A,A1304,$C:$C,C1304)=0,0,SUMIFS(RAW_판매펀칭!$K:$K,RAW_판매펀칭!$P:$P,A1304,RAW_판매펀칭!$I:$I,C1304)*W1304/SUMIFS($W:$W,$A:$A,A1304,$C:$C,C1304))</f>
        <v>5</v>
      </c>
      <c r="R1304" s="47" t="n">
        <f aca="false">IF(OR(A1304="500",A1304="800",A1304="810"),0,MAX(W1304-Q1304,0))</f>
        <v>0</v>
      </c>
      <c r="S1304" s="47" t="n">
        <f aca="false">R1304*L1304</f>
        <v>0</v>
      </c>
      <c r="T1304" s="47" t="n">
        <f aca="false">R1304*J1304</f>
        <v>0</v>
      </c>
      <c r="U1304" s="47" t="n">
        <f aca="false">R1304*K1304</f>
        <v>0</v>
      </c>
      <c r="V1304" s="0" t="str">
        <f aca="false">IF(COUNTIFS($A$2:A1304,A1304,$C$2:C1304,C1304,$D$2:D1304,D1304)&gt;1,"중복","")</f>
        <v/>
      </c>
      <c r="W1304" s="0" t="n">
        <f aca="false">IF(V1304="중복",0,N(D1304))</f>
        <v>5</v>
      </c>
      <c r="X1304" s="0" t="n">
        <f aca="false">IF(COUNTIFS($A$2:A1304,A1304,$C$2:C1304,C1304)=1,ABS(SUMIFS(RAW_발주!$D:$D,RAW_발주!$C:$C,A1304,RAW_발주!$A:$A,C1304)-SUMIFS($W:$W,$A:$A,A1304,$C:$C,C1304)),0)</f>
        <v>0</v>
      </c>
    </row>
    <row r="1305" customFormat="false" ht="15" hidden="false" customHeight="true" outlineLevel="0" collapsed="false">
      <c r="A1305" s="45" t="s">
        <v>1663</v>
      </c>
      <c r="B1305" s="42" t="str">
        <f aca="false">IF(A1305="100","HK",IF(A1305="200","CN",IF(A1305="300","TW","홀세일")))</f>
        <v>홀세일</v>
      </c>
      <c r="C1305" s="45" t="s">
        <v>1354</v>
      </c>
      <c r="D1305" s="46" t="n">
        <v>10</v>
      </c>
      <c r="E1305" s="46" t="n">
        <v>149000</v>
      </c>
      <c r="F1305" s="46" t="n">
        <v>33700</v>
      </c>
      <c r="G1305" s="42" t="n">
        <v>3.76</v>
      </c>
      <c r="H1305" s="42" t="n">
        <v>39.6</v>
      </c>
      <c r="J1305" s="46" t="n">
        <f aca="false">IF(N(E1305)&gt;0,E1305,IF(N(F1305)&gt;0,F1305*요약!$F$27,0))</f>
        <v>149000</v>
      </c>
      <c r="K1305" s="46" t="n">
        <f aca="false">IF(N(F1305)&gt;0,F1305,IF(N(E1305)&gt;0,E1305/요약!$F$27,0))</f>
        <v>33700</v>
      </c>
      <c r="L1305" s="46" t="n">
        <f aca="false">IF(B1305="CN",IF(N(I1305)&gt;0,I1305*요약!$G$27,K1305*(1+요약!$E$27)),IF(N(H1305)&gt;0,H1305*요약!$G$27,J1305*요약!$D$27))</f>
        <v>52272</v>
      </c>
      <c r="M1305" s="46" t="n">
        <f aca="false">D1305*J1305</f>
        <v>1490000</v>
      </c>
      <c r="N1305" s="46" t="n">
        <f aca="false">D1305*K1305</f>
        <v>337000</v>
      </c>
      <c r="O1305" s="46" t="n">
        <f aca="false">D1305*L1305</f>
        <v>522720</v>
      </c>
      <c r="P1305" s="42" t="str">
        <f aca="false">TRIM(IF(N(E1305)&lt;=0,"택가보정 ","")&amp;IF(N(F1305)&lt;=0,"원가보정 ","")&amp;IF(AND(B1305&lt;&gt;"CN",N(H1305)&lt;=0),"공급가보정 ","")&amp;IF(AND(B1305="CN",N(I1305)&lt;=0),"중국공급가=원가+마진 ",""))</f>
        <v/>
      </c>
      <c r="Q1305" s="47" t="n">
        <f aca="false">IF(SUMIFS($W:$W,$A:$A,A1305,$C:$C,C1305)=0,0,SUMIFS(RAW_판매펀칭!$K:$K,RAW_판매펀칭!$P:$P,A1305,RAW_판매펀칭!$I:$I,C1305)*W1305/SUMIFS($W:$W,$A:$A,A1305,$C:$C,C1305))</f>
        <v>10</v>
      </c>
      <c r="R1305" s="47" t="n">
        <f aca="false">IF(OR(A1305="500",A1305="800",A1305="810"),0,MAX(W1305-Q1305,0))</f>
        <v>0</v>
      </c>
      <c r="S1305" s="47" t="n">
        <f aca="false">R1305*L1305</f>
        <v>0</v>
      </c>
      <c r="T1305" s="47" t="n">
        <f aca="false">R1305*J1305</f>
        <v>0</v>
      </c>
      <c r="U1305" s="47" t="n">
        <f aca="false">R1305*K1305</f>
        <v>0</v>
      </c>
      <c r="V1305" s="0" t="str">
        <f aca="false">IF(COUNTIFS($A$2:A1305,A1305,$C$2:C1305,C1305,$D$2:D1305,D1305)&gt;1,"중복","")</f>
        <v/>
      </c>
      <c r="W1305" s="0" t="n">
        <f aca="false">IF(V1305="중복",0,N(D1305))</f>
        <v>10</v>
      </c>
      <c r="X1305" s="0" t="n">
        <f aca="false">IF(COUNTIFS($A$2:A1305,A1305,$C$2:C1305,C1305)=1,ABS(SUMIFS(RAW_발주!$D:$D,RAW_발주!$C:$C,A1305,RAW_발주!$A:$A,C1305)-SUMIFS($W:$W,$A:$A,A1305,$C:$C,C1305)),0)</f>
        <v>0</v>
      </c>
    </row>
    <row r="1306" customFormat="false" ht="15.75" hidden="false" customHeight="true" outlineLevel="0" collapsed="false">
      <c r="A1306" s="45" t="s">
        <v>1660</v>
      </c>
      <c r="B1306" s="42" t="str">
        <f aca="false">IF(A1306="100","HK",IF(A1306="200","CN",IF(A1306="300","TW","홀세일")))</f>
        <v>CN</v>
      </c>
      <c r="C1306" s="45" t="s">
        <v>1101</v>
      </c>
      <c r="D1306" s="46" t="n">
        <v>242</v>
      </c>
      <c r="E1306" s="46" t="n">
        <v>99000</v>
      </c>
      <c r="F1306" s="46" t="n">
        <v>23511</v>
      </c>
      <c r="G1306" s="42" t="n">
        <v>3.59</v>
      </c>
      <c r="H1306" s="42" t="n">
        <v>26.3</v>
      </c>
      <c r="J1306" s="46" t="n">
        <f aca="false">IF(N(E1306)&gt;0,E1306,IF(N(F1306)&gt;0,F1306*요약!$F$27,0))</f>
        <v>99000</v>
      </c>
      <c r="K1306" s="46" t="n">
        <f aca="false">IF(N(F1306)&gt;0,F1306,IF(N(E1306)&gt;0,E1306/요약!$F$27,0))</f>
        <v>23511</v>
      </c>
      <c r="L1306" s="46" t="n">
        <f aca="false">IF(B1306="CN",IF(N(I1306)&gt;0,I1306*요약!$G$27,K1306*(1+요약!$E$27)),IF(N(H1306)&gt;0,H1306*요약!$G$27,J1306*요약!$D$27))</f>
        <v>24686.55</v>
      </c>
      <c r="M1306" s="46" t="n">
        <f aca="false">D1306*J1306</f>
        <v>23958000</v>
      </c>
      <c r="N1306" s="46" t="n">
        <f aca="false">D1306*K1306</f>
        <v>5689662</v>
      </c>
      <c r="O1306" s="46" t="n">
        <f aca="false">D1306*L1306</f>
        <v>5974145.1</v>
      </c>
      <c r="P1306" s="42" t="str">
        <f aca="false">TRIM(IF(N(E1306)&lt;=0,"택가보정 ","")&amp;IF(N(F1306)&lt;=0,"원가보정 ","")&amp;IF(AND(B1306&lt;&gt;"CN",N(H1306)&lt;=0),"공급가보정 ","")&amp;IF(AND(B1306="CN",N(I1306)&lt;=0),"중국공급가=원가+마진 ",""))</f>
        <v>중국공급가=원가+마진</v>
      </c>
      <c r="Q1306" s="47" t="n">
        <f aca="false">IF(SUMIFS($W:$W,$A:$A,A1306,$C:$C,C1306)=0,0,SUMIFS(RAW_판매펀칭!$K:$K,RAW_판매펀칭!$P:$P,A1306,RAW_판매펀칭!$I:$I,C1306)*W1306/SUMIFS($W:$W,$A:$A,A1306,$C:$C,C1306))</f>
        <v>240</v>
      </c>
      <c r="R1306" s="47" t="n">
        <f aca="false">IF(OR(A1306="500",A1306="800",A1306="810"),0,MAX(W1306-Q1306,0))</f>
        <v>2</v>
      </c>
      <c r="S1306" s="47" t="n">
        <f aca="false">R1306*L1306</f>
        <v>49373.1</v>
      </c>
      <c r="T1306" s="47" t="n">
        <f aca="false">R1306*J1306</f>
        <v>198000</v>
      </c>
      <c r="U1306" s="47" t="n">
        <f aca="false">R1306*K1306</f>
        <v>47022</v>
      </c>
      <c r="V1306" s="0" t="str">
        <f aca="false">IF(COUNTIFS($A$2:A1306,A1306,$C$2:C1306,C1306,$D$2:D1306,D1306)&gt;1,"중복","")</f>
        <v/>
      </c>
      <c r="W1306" s="0" t="n">
        <f aca="false">IF(V1306="중복",0,N(D1306))</f>
        <v>242</v>
      </c>
      <c r="X1306" s="0" t="n">
        <f aca="false">IF(COUNTIFS($A$2:A1306,A1306,$C$2:C1306,C1306)=1,ABS(SUMIFS(RAW_발주!$D:$D,RAW_발주!$C:$C,A1306,RAW_발주!$A:$A,C1306)-SUMIFS($W:$W,$A:$A,A1306,$C:$C,C1306)),0)</f>
        <v>0</v>
      </c>
    </row>
    <row r="1307" customFormat="false" ht="15" hidden="false" customHeight="true" outlineLevel="0" collapsed="false">
      <c r="A1307" s="45" t="s">
        <v>1663</v>
      </c>
      <c r="B1307" s="42" t="str">
        <f aca="false">IF(A1307="100","HK",IF(A1307="200","CN",IF(A1307="300","TW","홀세일")))</f>
        <v>홀세일</v>
      </c>
      <c r="C1307" s="45" t="s">
        <v>1101</v>
      </c>
      <c r="D1307" s="46" t="n">
        <v>10</v>
      </c>
      <c r="E1307" s="46" t="n">
        <v>99000</v>
      </c>
      <c r="F1307" s="46" t="n">
        <v>23511</v>
      </c>
      <c r="G1307" s="42" t="n">
        <v>3.59</v>
      </c>
      <c r="H1307" s="42" t="n">
        <v>26.3</v>
      </c>
      <c r="J1307" s="46" t="n">
        <f aca="false">IF(N(E1307)&gt;0,E1307,IF(N(F1307)&gt;0,F1307*요약!$F$27,0))</f>
        <v>99000</v>
      </c>
      <c r="K1307" s="46" t="n">
        <f aca="false">IF(N(F1307)&gt;0,F1307,IF(N(E1307)&gt;0,E1307/요약!$F$27,0))</f>
        <v>23511</v>
      </c>
      <c r="L1307" s="46" t="n">
        <f aca="false">IF(B1307="CN",IF(N(I1307)&gt;0,I1307*요약!$G$27,K1307*(1+요약!$E$27)),IF(N(H1307)&gt;0,H1307*요약!$G$27,J1307*요약!$D$27))</f>
        <v>34716</v>
      </c>
      <c r="M1307" s="46" t="n">
        <f aca="false">D1307*J1307</f>
        <v>990000</v>
      </c>
      <c r="N1307" s="46" t="n">
        <f aca="false">D1307*K1307</f>
        <v>235110</v>
      </c>
      <c r="O1307" s="46" t="n">
        <f aca="false">D1307*L1307</f>
        <v>347160</v>
      </c>
      <c r="P1307" s="42" t="str">
        <f aca="false">TRIM(IF(N(E1307)&lt;=0,"택가보정 ","")&amp;IF(N(F1307)&lt;=0,"원가보정 ","")&amp;IF(AND(B1307&lt;&gt;"CN",N(H1307)&lt;=0),"공급가보정 ","")&amp;IF(AND(B1307="CN",N(I1307)&lt;=0),"중국공급가=원가+마진 ",""))</f>
        <v/>
      </c>
      <c r="Q1307" s="47" t="n">
        <f aca="false">IF(SUMIFS($W:$W,$A:$A,A1307,$C:$C,C1307)=0,0,SUMIFS(RAW_판매펀칭!$K:$K,RAW_판매펀칭!$P:$P,A1307,RAW_판매펀칭!$I:$I,C1307)*W1307/SUMIFS($W:$W,$A:$A,A1307,$C:$C,C1307))</f>
        <v>30</v>
      </c>
      <c r="R1307" s="47" t="n">
        <f aca="false">IF(OR(A1307="500",A1307="800",A1307="810"),0,MAX(W1307-Q1307,0))</f>
        <v>0</v>
      </c>
      <c r="S1307" s="47" t="n">
        <f aca="false">R1307*L1307</f>
        <v>0</v>
      </c>
      <c r="T1307" s="47" t="n">
        <f aca="false">R1307*J1307</f>
        <v>0</v>
      </c>
      <c r="U1307" s="47" t="n">
        <f aca="false">R1307*K1307</f>
        <v>0</v>
      </c>
      <c r="V1307" s="0" t="str">
        <f aca="false">IF(COUNTIFS($A$2:A1307,A1307,$C$2:C1307,C1307,$D$2:D1307,D1307)&gt;1,"중복","")</f>
        <v/>
      </c>
      <c r="W1307" s="0" t="n">
        <f aca="false">IF(V1307="중복",0,N(D1307))</f>
        <v>10</v>
      </c>
      <c r="X1307" s="0" t="n">
        <f aca="false">IF(COUNTIFS($A$2:A1307,A1307,$C$2:C1307,C1307)=1,ABS(SUMIFS(RAW_발주!$D:$D,RAW_발주!$C:$C,A1307,RAW_발주!$A:$A,C1307)-SUMIFS($W:$W,$A:$A,A1307,$C:$C,C1307)),0)</f>
        <v>0</v>
      </c>
    </row>
    <row r="1308" customFormat="false" ht="15" hidden="false" customHeight="true" outlineLevel="0" collapsed="false">
      <c r="A1308" s="45" t="s">
        <v>1664</v>
      </c>
      <c r="B1308" s="42" t="str">
        <f aca="false">IF(A1308="100","HK",IF(A1308="200","CN",IF(A1308="300","TW","홀세일")))</f>
        <v>홀세일</v>
      </c>
      <c r="C1308" s="45" t="s">
        <v>1101</v>
      </c>
      <c r="D1308" s="46" t="n">
        <v>10</v>
      </c>
      <c r="E1308" s="46" t="n">
        <v>99000</v>
      </c>
      <c r="F1308" s="46" t="n">
        <v>23511</v>
      </c>
      <c r="G1308" s="42" t="n">
        <v>3.59</v>
      </c>
      <c r="H1308" s="42" t="n">
        <v>26.3</v>
      </c>
      <c r="J1308" s="46" t="n">
        <f aca="false">IF(N(E1308)&gt;0,E1308,IF(N(F1308)&gt;0,F1308*요약!$F$27,0))</f>
        <v>99000</v>
      </c>
      <c r="K1308" s="46" t="n">
        <f aca="false">IF(N(F1308)&gt;0,F1308,IF(N(E1308)&gt;0,E1308/요약!$F$27,0))</f>
        <v>23511</v>
      </c>
      <c r="L1308" s="46" t="n">
        <f aca="false">IF(B1308="CN",IF(N(I1308)&gt;0,I1308*요약!$G$27,K1308*(1+요약!$E$27)),IF(N(H1308)&gt;0,H1308*요약!$G$27,J1308*요약!$D$27))</f>
        <v>34716</v>
      </c>
      <c r="M1308" s="46" t="n">
        <f aca="false">D1308*J1308</f>
        <v>990000</v>
      </c>
      <c r="N1308" s="46" t="n">
        <f aca="false">D1308*K1308</f>
        <v>235110</v>
      </c>
      <c r="O1308" s="46" t="n">
        <f aca="false">D1308*L1308</f>
        <v>347160</v>
      </c>
      <c r="P1308" s="42" t="str">
        <f aca="false">TRIM(IF(N(E1308)&lt;=0,"택가보정 ","")&amp;IF(N(F1308)&lt;=0,"원가보정 ","")&amp;IF(AND(B1308&lt;&gt;"CN",N(H1308)&lt;=0),"공급가보정 ","")&amp;IF(AND(B1308="CN",N(I1308)&lt;=0),"중국공급가=원가+마진 ",""))</f>
        <v/>
      </c>
      <c r="Q1308" s="47" t="n">
        <f aca="false">IF(SUMIFS($W:$W,$A:$A,A1308,$C:$C,C1308)=0,0,SUMIFS(RAW_판매펀칭!$K:$K,RAW_판매펀칭!$P:$P,A1308,RAW_판매펀칭!$I:$I,C1308)*W1308/SUMIFS($W:$W,$A:$A,A1308,$C:$C,C1308))</f>
        <v>10</v>
      </c>
      <c r="R1308" s="47" t="n">
        <f aca="false">IF(OR(A1308="500",A1308="800",A1308="810"),0,MAX(W1308-Q1308,0))</f>
        <v>0</v>
      </c>
      <c r="S1308" s="47" t="n">
        <f aca="false">R1308*L1308</f>
        <v>0</v>
      </c>
      <c r="T1308" s="47" t="n">
        <f aca="false">R1308*J1308</f>
        <v>0</v>
      </c>
      <c r="U1308" s="47" t="n">
        <f aca="false">R1308*K1308</f>
        <v>0</v>
      </c>
      <c r="V1308" s="0" t="str">
        <f aca="false">IF(COUNTIFS($A$2:A1308,A1308,$C$2:C1308,C1308,$D$2:D1308,D1308)&gt;1,"중복","")</f>
        <v/>
      </c>
      <c r="W1308" s="0" t="n">
        <f aca="false">IF(V1308="중복",0,N(D1308))</f>
        <v>10</v>
      </c>
      <c r="X1308" s="0" t="n">
        <f aca="false">IF(COUNTIFS($A$2:A1308,A1308,$C$2:C1308,C1308)=1,ABS(SUMIFS(RAW_발주!$D:$D,RAW_발주!$C:$C,A1308,RAW_발주!$A:$A,C1308)-SUMIFS($W:$W,$A:$A,A1308,$C:$C,C1308)),0)</f>
        <v>0</v>
      </c>
    </row>
    <row r="1309" customFormat="false" ht="15" hidden="false" customHeight="true" outlineLevel="0" collapsed="false">
      <c r="A1309" s="45" t="s">
        <v>1664</v>
      </c>
      <c r="B1309" s="42" t="str">
        <f aca="false">IF(A1309="100","HK",IF(A1309="200","CN",IF(A1309="300","TW","홀세일")))</f>
        <v>홀세일</v>
      </c>
      <c r="C1309" s="45" t="s">
        <v>1101</v>
      </c>
      <c r="D1309" s="46" t="n">
        <v>10</v>
      </c>
      <c r="E1309" s="46" t="n">
        <v>99000</v>
      </c>
      <c r="F1309" s="46" t="n">
        <v>23511</v>
      </c>
      <c r="G1309" s="42" t="n">
        <v>3.59</v>
      </c>
      <c r="H1309" s="42" t="n">
        <v>26.3</v>
      </c>
      <c r="J1309" s="46" t="n">
        <f aca="false">IF(N(E1309)&gt;0,E1309,IF(N(F1309)&gt;0,F1309*요약!$F$27,0))</f>
        <v>99000</v>
      </c>
      <c r="K1309" s="46" t="n">
        <f aca="false">IF(N(F1309)&gt;0,F1309,IF(N(E1309)&gt;0,E1309/요약!$F$27,0))</f>
        <v>23511</v>
      </c>
      <c r="L1309" s="46" t="n">
        <f aca="false">IF(B1309="CN",IF(N(I1309)&gt;0,I1309*요약!$G$27,K1309*(1+요약!$E$27)),IF(N(H1309)&gt;0,H1309*요약!$G$27,J1309*요약!$D$27))</f>
        <v>34716</v>
      </c>
      <c r="M1309" s="46" t="n">
        <f aca="false">D1309*J1309</f>
        <v>990000</v>
      </c>
      <c r="N1309" s="46" t="n">
        <f aca="false">D1309*K1309</f>
        <v>235110</v>
      </c>
      <c r="O1309" s="46" t="n">
        <f aca="false">D1309*L1309</f>
        <v>347160</v>
      </c>
      <c r="P1309" s="42" t="str">
        <f aca="false">TRIM(IF(N(E1309)&lt;=0,"택가보정 ","")&amp;IF(N(F1309)&lt;=0,"원가보정 ","")&amp;IF(AND(B1309&lt;&gt;"CN",N(H1309)&lt;=0),"공급가보정 ","")&amp;IF(AND(B1309="CN",N(I1309)&lt;=0),"중국공급가=원가+마진 ",""))</f>
        <v/>
      </c>
      <c r="Q1309" s="47" t="n">
        <f aca="false">IF(SUMIFS($W:$W,$A:$A,A1309,$C:$C,C1309)=0,0,SUMIFS(RAW_판매펀칭!$K:$K,RAW_판매펀칭!$P:$P,A1309,RAW_판매펀칭!$I:$I,C1309)*W1309/SUMIFS($W:$W,$A:$A,A1309,$C:$C,C1309))</f>
        <v>0</v>
      </c>
      <c r="R1309" s="47" t="n">
        <f aca="false">IF(OR(A1309="500",A1309="800",A1309="810"),0,MAX(W1309-Q1309,0))</f>
        <v>0</v>
      </c>
      <c r="S1309" s="47" t="n">
        <f aca="false">R1309*L1309</f>
        <v>0</v>
      </c>
      <c r="T1309" s="47" t="n">
        <f aca="false">R1309*J1309</f>
        <v>0</v>
      </c>
      <c r="U1309" s="47" t="n">
        <f aca="false">R1309*K1309</f>
        <v>0</v>
      </c>
      <c r="V1309" s="0" t="str">
        <f aca="false">IF(COUNTIFS($A$2:A1309,A1309,$C$2:C1309,C1309,$D$2:D1309,D1309)&gt;1,"중복","")</f>
        <v>중복</v>
      </c>
      <c r="W1309" s="0" t="n">
        <f aca="false">IF(V1309="중복",0,N(D1309))</f>
        <v>0</v>
      </c>
      <c r="X1309" s="0" t="n">
        <f aca="false">IF(COUNTIFS($A$2:A1309,A1309,$C$2:C1309,C1309)=1,ABS(SUMIFS(RAW_발주!$D:$D,RAW_발주!$C:$C,A1309,RAW_발주!$A:$A,C1309)-SUMIFS($W:$W,$A:$A,A1309,$C:$C,C1309)),0)</f>
        <v>0</v>
      </c>
    </row>
    <row r="1310" customFormat="false" ht="15" hidden="false" customHeight="true" outlineLevel="0" collapsed="false">
      <c r="A1310" s="45" t="s">
        <v>1665</v>
      </c>
      <c r="B1310" s="42" t="str">
        <f aca="false">IF(A1310="100","HK",IF(A1310="200","CN",IF(A1310="300","TW","홀세일")))</f>
        <v>홀세일</v>
      </c>
      <c r="C1310" s="45" t="s">
        <v>1101</v>
      </c>
      <c r="D1310" s="46" t="n">
        <v>54</v>
      </c>
      <c r="E1310" s="46" t="n">
        <v>99000</v>
      </c>
      <c r="F1310" s="46" t="n">
        <v>23511</v>
      </c>
      <c r="G1310" s="42" t="n">
        <v>3.59</v>
      </c>
      <c r="H1310" s="42" t="n">
        <v>26.3</v>
      </c>
      <c r="J1310" s="46" t="n">
        <f aca="false">IF(N(E1310)&gt;0,E1310,IF(N(F1310)&gt;0,F1310*요약!$F$27,0))</f>
        <v>99000</v>
      </c>
      <c r="K1310" s="46" t="n">
        <f aca="false">IF(N(F1310)&gt;0,F1310,IF(N(E1310)&gt;0,E1310/요약!$F$27,0))</f>
        <v>23511</v>
      </c>
      <c r="L1310" s="46" t="n">
        <f aca="false">IF(B1310="CN",IF(N(I1310)&gt;0,I1310*요약!$G$27,K1310*(1+요약!$E$27)),IF(N(H1310)&gt;0,H1310*요약!$G$27,J1310*요약!$D$27))</f>
        <v>34716</v>
      </c>
      <c r="M1310" s="46" t="n">
        <f aca="false">D1310*J1310</f>
        <v>5346000</v>
      </c>
      <c r="N1310" s="46" t="n">
        <f aca="false">D1310*K1310</f>
        <v>1269594</v>
      </c>
      <c r="O1310" s="46" t="n">
        <f aca="false">D1310*L1310</f>
        <v>1874664</v>
      </c>
      <c r="P1310" s="42" t="str">
        <f aca="false">TRIM(IF(N(E1310)&lt;=0,"택가보정 ","")&amp;IF(N(F1310)&lt;=0,"원가보정 ","")&amp;IF(AND(B1310&lt;&gt;"CN",N(H1310)&lt;=0),"공급가보정 ","")&amp;IF(AND(B1310="CN",N(I1310)&lt;=0),"중국공급가=원가+마진 ",""))</f>
        <v/>
      </c>
      <c r="Q1310" s="47" t="n">
        <f aca="false">IF(SUMIFS($W:$W,$A:$A,A1310,$C:$C,C1310)=0,0,SUMIFS(RAW_판매펀칭!$K:$K,RAW_판매펀칭!$P:$P,A1310,RAW_판매펀칭!$I:$I,C1310)*W1310/SUMIFS($W:$W,$A:$A,A1310,$C:$C,C1310))</f>
        <v>54</v>
      </c>
      <c r="R1310" s="47" t="n">
        <f aca="false">IF(OR(A1310="500",A1310="800",A1310="810"),0,MAX(W1310-Q1310,0))</f>
        <v>0</v>
      </c>
      <c r="S1310" s="47" t="n">
        <f aca="false">R1310*L1310</f>
        <v>0</v>
      </c>
      <c r="T1310" s="47" t="n">
        <f aca="false">R1310*J1310</f>
        <v>0</v>
      </c>
      <c r="U1310" s="47" t="n">
        <f aca="false">R1310*K1310</f>
        <v>0</v>
      </c>
      <c r="V1310" s="0" t="str">
        <f aca="false">IF(COUNTIFS($A$2:A1310,A1310,$C$2:C1310,C1310,$D$2:D1310,D1310)&gt;1,"중복","")</f>
        <v/>
      </c>
      <c r="W1310" s="0" t="n">
        <f aca="false">IF(V1310="중복",0,N(D1310))</f>
        <v>54</v>
      </c>
      <c r="X1310" s="0" t="n">
        <f aca="false">IF(COUNTIFS($A$2:A1310,A1310,$C$2:C1310,C1310)=1,ABS(SUMIFS(RAW_발주!$D:$D,RAW_발주!$C:$C,A1310,RAW_발주!$A:$A,C1310)-SUMIFS($W:$W,$A:$A,A1310,$C:$C,C1310)),0)</f>
        <v>0</v>
      </c>
    </row>
    <row r="1311" customFormat="false" ht="15" hidden="false" customHeight="true" outlineLevel="0" collapsed="false">
      <c r="A1311" s="45" t="s">
        <v>1659</v>
      </c>
      <c r="B1311" s="42" t="str">
        <f aca="false">IF(A1311="100","HK",IF(A1311="200","CN",IF(A1311="300","TW","홀세일")))</f>
        <v>HK</v>
      </c>
      <c r="C1311" s="45" t="s">
        <v>585</v>
      </c>
      <c r="D1311" s="46" t="n">
        <v>300</v>
      </c>
      <c r="E1311" s="46" t="n">
        <v>119000</v>
      </c>
      <c r="F1311" s="46" t="n">
        <v>23399</v>
      </c>
      <c r="G1311" s="42" t="n">
        <v>4.4</v>
      </c>
      <c r="H1311" s="42" t="n">
        <v>31.6</v>
      </c>
      <c r="J1311" s="46" t="n">
        <f aca="false">IF(N(E1311)&gt;0,E1311,IF(N(F1311)&gt;0,F1311*요약!$F$27,0))</f>
        <v>119000</v>
      </c>
      <c r="K1311" s="46" t="n">
        <f aca="false">IF(N(F1311)&gt;0,F1311,IF(N(E1311)&gt;0,E1311/요약!$F$27,0))</f>
        <v>23399</v>
      </c>
      <c r="L1311" s="46" t="n">
        <f aca="false">IF(B1311="CN",IF(N(I1311)&gt;0,I1311*요약!$G$27,K1311*(1+요약!$E$27)),IF(N(H1311)&gt;0,H1311*요약!$G$27,J1311*요약!$D$27))</f>
        <v>41712</v>
      </c>
      <c r="M1311" s="46" t="n">
        <f aca="false">D1311*J1311</f>
        <v>35700000</v>
      </c>
      <c r="N1311" s="46" t="n">
        <f aca="false">D1311*K1311</f>
        <v>7019700</v>
      </c>
      <c r="O1311" s="46" t="n">
        <f aca="false">D1311*L1311</f>
        <v>12513600</v>
      </c>
      <c r="P1311" s="42" t="str">
        <f aca="false">TRIM(IF(N(E1311)&lt;=0,"택가보정 ","")&amp;IF(N(F1311)&lt;=0,"원가보정 ","")&amp;IF(AND(B1311&lt;&gt;"CN",N(H1311)&lt;=0),"공급가보정 ","")&amp;IF(AND(B1311="CN",N(I1311)&lt;=0),"중국공급가=원가+마진 ",""))</f>
        <v/>
      </c>
      <c r="Q1311" s="47" t="n">
        <f aca="false">IF(SUMIFS($W:$W,$A:$A,A1311,$C:$C,C1311)=0,0,SUMIFS(RAW_판매펀칭!$K:$K,RAW_판매펀칭!$P:$P,A1311,RAW_판매펀칭!$I:$I,C1311)*W1311/SUMIFS($W:$W,$A:$A,A1311,$C:$C,C1311))</f>
        <v>300</v>
      </c>
      <c r="R1311" s="47" t="n">
        <f aca="false">IF(OR(A1311="500",A1311="800",A1311="810"),0,MAX(W1311-Q1311,0))</f>
        <v>0</v>
      </c>
      <c r="S1311" s="47" t="n">
        <f aca="false">R1311*L1311</f>
        <v>0</v>
      </c>
      <c r="T1311" s="47" t="n">
        <f aca="false">R1311*J1311</f>
        <v>0</v>
      </c>
      <c r="U1311" s="47" t="n">
        <f aca="false">R1311*K1311</f>
        <v>0</v>
      </c>
      <c r="V1311" s="0" t="str">
        <f aca="false">IF(COUNTIFS($A$2:A1311,A1311,$C$2:C1311,C1311,$D$2:D1311,D1311)&gt;1,"중복","")</f>
        <v/>
      </c>
      <c r="W1311" s="0" t="n">
        <f aca="false">IF(V1311="중복",0,N(D1311))</f>
        <v>300</v>
      </c>
      <c r="X1311" s="0" t="n">
        <f aca="false">IF(COUNTIFS($A$2:A1311,A1311,$C$2:C1311,C1311)=1,ABS(SUMIFS(RAW_발주!$D:$D,RAW_발주!$C:$C,A1311,RAW_발주!$A:$A,C1311)-SUMIFS($W:$W,$A:$A,A1311,$C:$C,C1311)),0)</f>
        <v>0</v>
      </c>
    </row>
    <row r="1312" customFormat="false" ht="15.75" hidden="false" customHeight="true" outlineLevel="0" collapsed="false">
      <c r="A1312" s="45" t="s">
        <v>1660</v>
      </c>
      <c r="B1312" s="42" t="str">
        <f aca="false">IF(A1312="100","HK",IF(A1312="200","CN",IF(A1312="300","TW","홀세일")))</f>
        <v>CN</v>
      </c>
      <c r="C1312" s="45" t="s">
        <v>585</v>
      </c>
      <c r="D1312" s="46" t="n">
        <v>583</v>
      </c>
      <c r="E1312" s="46" t="n">
        <v>119000</v>
      </c>
      <c r="F1312" s="46" t="n">
        <v>23399</v>
      </c>
      <c r="G1312" s="42" t="n">
        <v>4.4</v>
      </c>
      <c r="H1312" s="42" t="n">
        <v>31.6</v>
      </c>
      <c r="J1312" s="46" t="n">
        <f aca="false">IF(N(E1312)&gt;0,E1312,IF(N(F1312)&gt;0,F1312*요약!$F$27,0))</f>
        <v>119000</v>
      </c>
      <c r="K1312" s="46" t="n">
        <f aca="false">IF(N(F1312)&gt;0,F1312,IF(N(E1312)&gt;0,E1312/요약!$F$27,0))</f>
        <v>23399</v>
      </c>
      <c r="L1312" s="46" t="n">
        <f aca="false">IF(B1312="CN",IF(N(I1312)&gt;0,I1312*요약!$G$27,K1312*(1+요약!$E$27)),IF(N(H1312)&gt;0,H1312*요약!$G$27,J1312*요약!$D$27))</f>
        <v>24568.95</v>
      </c>
      <c r="M1312" s="46" t="n">
        <f aca="false">D1312*J1312</f>
        <v>69377000</v>
      </c>
      <c r="N1312" s="46" t="n">
        <f aca="false">D1312*K1312</f>
        <v>13641617</v>
      </c>
      <c r="O1312" s="46" t="n">
        <f aca="false">D1312*L1312</f>
        <v>14323697.85</v>
      </c>
      <c r="P1312" s="42" t="str">
        <f aca="false">TRIM(IF(N(E1312)&lt;=0,"택가보정 ","")&amp;IF(N(F1312)&lt;=0,"원가보정 ","")&amp;IF(AND(B1312&lt;&gt;"CN",N(H1312)&lt;=0),"공급가보정 ","")&amp;IF(AND(B1312="CN",N(I1312)&lt;=0),"중국공급가=원가+마진 ",""))</f>
        <v>중국공급가=원가+마진</v>
      </c>
      <c r="Q1312" s="47" t="n">
        <f aca="false">IF(SUMIFS($W:$W,$A:$A,A1312,$C:$C,C1312)=0,0,SUMIFS(RAW_판매펀칭!$K:$K,RAW_판매펀칭!$P:$P,A1312,RAW_판매펀칭!$I:$I,C1312)*W1312/SUMIFS($W:$W,$A:$A,A1312,$C:$C,C1312))</f>
        <v>580</v>
      </c>
      <c r="R1312" s="47" t="n">
        <f aca="false">IF(OR(A1312="500",A1312="800",A1312="810"),0,MAX(W1312-Q1312,0))</f>
        <v>3</v>
      </c>
      <c r="S1312" s="47" t="n">
        <f aca="false">R1312*L1312</f>
        <v>73706.85</v>
      </c>
      <c r="T1312" s="47" t="n">
        <f aca="false">R1312*J1312</f>
        <v>357000</v>
      </c>
      <c r="U1312" s="47" t="n">
        <f aca="false">R1312*K1312</f>
        <v>70197</v>
      </c>
      <c r="V1312" s="0" t="str">
        <f aca="false">IF(COUNTIFS($A$2:A1312,A1312,$C$2:C1312,C1312,$D$2:D1312,D1312)&gt;1,"중복","")</f>
        <v/>
      </c>
      <c r="W1312" s="0" t="n">
        <f aca="false">IF(V1312="중복",0,N(D1312))</f>
        <v>583</v>
      </c>
      <c r="X1312" s="0" t="n">
        <f aca="false">IF(COUNTIFS($A$2:A1312,A1312,$C$2:C1312,C1312)=1,ABS(SUMIFS(RAW_발주!$D:$D,RAW_발주!$C:$C,A1312,RAW_발주!$A:$A,C1312)-SUMIFS($W:$W,$A:$A,A1312,$C:$C,C1312)),0)</f>
        <v>0</v>
      </c>
    </row>
    <row r="1313" customFormat="false" ht="15" hidden="false" customHeight="true" outlineLevel="0" collapsed="false">
      <c r="A1313" s="45" t="s">
        <v>1661</v>
      </c>
      <c r="B1313" s="42" t="str">
        <f aca="false">IF(A1313="100","HK",IF(A1313="200","CN",IF(A1313="300","TW","홀세일")))</f>
        <v>TW</v>
      </c>
      <c r="C1313" s="45" t="s">
        <v>585</v>
      </c>
      <c r="D1313" s="46" t="n">
        <v>200</v>
      </c>
      <c r="E1313" s="46" t="n">
        <v>119000</v>
      </c>
      <c r="F1313" s="46" t="n">
        <v>23399</v>
      </c>
      <c r="G1313" s="42" t="n">
        <v>4.4</v>
      </c>
      <c r="H1313" s="42" t="n">
        <v>31.6</v>
      </c>
      <c r="J1313" s="46" t="n">
        <f aca="false">IF(N(E1313)&gt;0,E1313,IF(N(F1313)&gt;0,F1313*요약!$F$27,0))</f>
        <v>119000</v>
      </c>
      <c r="K1313" s="46" t="n">
        <f aca="false">IF(N(F1313)&gt;0,F1313,IF(N(E1313)&gt;0,E1313/요약!$F$27,0))</f>
        <v>23399</v>
      </c>
      <c r="L1313" s="46" t="n">
        <f aca="false">IF(B1313="CN",IF(N(I1313)&gt;0,I1313*요약!$G$27,K1313*(1+요약!$E$27)),IF(N(H1313)&gt;0,H1313*요약!$G$27,J1313*요약!$D$27))</f>
        <v>41712</v>
      </c>
      <c r="M1313" s="46" t="n">
        <f aca="false">D1313*J1313</f>
        <v>23800000</v>
      </c>
      <c r="N1313" s="46" t="n">
        <f aca="false">D1313*K1313</f>
        <v>4679800</v>
      </c>
      <c r="O1313" s="46" t="n">
        <f aca="false">D1313*L1313</f>
        <v>8342400</v>
      </c>
      <c r="P1313" s="42" t="str">
        <f aca="false">TRIM(IF(N(E1313)&lt;=0,"택가보정 ","")&amp;IF(N(F1313)&lt;=0,"원가보정 ","")&amp;IF(AND(B1313&lt;&gt;"CN",N(H1313)&lt;=0),"공급가보정 ","")&amp;IF(AND(B1313="CN",N(I1313)&lt;=0),"중국공급가=원가+마진 ",""))</f>
        <v/>
      </c>
      <c r="Q1313" s="47" t="n">
        <f aca="false">IF(SUMIFS($W:$W,$A:$A,A1313,$C:$C,C1313)=0,0,SUMIFS(RAW_판매펀칭!$K:$K,RAW_판매펀칭!$P:$P,A1313,RAW_판매펀칭!$I:$I,C1313)*W1313/SUMIFS($W:$W,$A:$A,A1313,$C:$C,C1313))</f>
        <v>200</v>
      </c>
      <c r="R1313" s="47" t="n">
        <f aca="false">IF(OR(A1313="500",A1313="800",A1313="810"),0,MAX(W1313-Q1313,0))</f>
        <v>0</v>
      </c>
      <c r="S1313" s="47" t="n">
        <f aca="false">R1313*L1313</f>
        <v>0</v>
      </c>
      <c r="T1313" s="47" t="n">
        <f aca="false">R1313*J1313</f>
        <v>0</v>
      </c>
      <c r="U1313" s="47" t="n">
        <f aca="false">R1313*K1313</f>
        <v>0</v>
      </c>
      <c r="V1313" s="0" t="str">
        <f aca="false">IF(COUNTIFS($A$2:A1313,A1313,$C$2:C1313,C1313,$D$2:D1313,D1313)&gt;1,"중복","")</f>
        <v/>
      </c>
      <c r="W1313" s="0" t="n">
        <f aca="false">IF(V1313="중복",0,N(D1313))</f>
        <v>200</v>
      </c>
      <c r="X1313" s="0" t="n">
        <f aca="false">IF(COUNTIFS($A$2:A1313,A1313,$C$2:C1313,C1313)=1,ABS(SUMIFS(RAW_발주!$D:$D,RAW_발주!$C:$C,A1313,RAW_발주!$A:$A,C1313)-SUMIFS($W:$W,$A:$A,A1313,$C:$C,C1313)),0)</f>
        <v>0</v>
      </c>
    </row>
    <row r="1314" customFormat="false" ht="15" hidden="false" customHeight="true" outlineLevel="0" collapsed="false">
      <c r="A1314" s="45" t="s">
        <v>1664</v>
      </c>
      <c r="B1314" s="42" t="str">
        <f aca="false">IF(A1314="100","HK",IF(A1314="200","CN",IF(A1314="300","TW","홀세일")))</f>
        <v>홀세일</v>
      </c>
      <c r="C1314" s="45" t="s">
        <v>585</v>
      </c>
      <c r="D1314" s="46" t="n">
        <v>30</v>
      </c>
      <c r="E1314" s="46" t="n">
        <v>119000</v>
      </c>
      <c r="F1314" s="46" t="n">
        <v>23399</v>
      </c>
      <c r="G1314" s="42" t="n">
        <v>4.4</v>
      </c>
      <c r="H1314" s="42" t="n">
        <v>31.6</v>
      </c>
      <c r="J1314" s="46" t="n">
        <f aca="false">IF(N(E1314)&gt;0,E1314,IF(N(F1314)&gt;0,F1314*요약!$F$27,0))</f>
        <v>119000</v>
      </c>
      <c r="K1314" s="46" t="n">
        <f aca="false">IF(N(F1314)&gt;0,F1314,IF(N(E1314)&gt;0,E1314/요약!$F$27,0))</f>
        <v>23399</v>
      </c>
      <c r="L1314" s="46" t="n">
        <f aca="false">IF(B1314="CN",IF(N(I1314)&gt;0,I1314*요약!$G$27,K1314*(1+요약!$E$27)),IF(N(H1314)&gt;0,H1314*요약!$G$27,J1314*요약!$D$27))</f>
        <v>41712</v>
      </c>
      <c r="M1314" s="46" t="n">
        <f aca="false">D1314*J1314</f>
        <v>3570000</v>
      </c>
      <c r="N1314" s="46" t="n">
        <f aca="false">D1314*K1314</f>
        <v>701970</v>
      </c>
      <c r="O1314" s="46" t="n">
        <f aca="false">D1314*L1314</f>
        <v>1251360</v>
      </c>
      <c r="P1314" s="42" t="str">
        <f aca="false">TRIM(IF(N(E1314)&lt;=0,"택가보정 ","")&amp;IF(N(F1314)&lt;=0,"원가보정 ","")&amp;IF(AND(B1314&lt;&gt;"CN",N(H1314)&lt;=0),"공급가보정 ","")&amp;IF(AND(B1314="CN",N(I1314)&lt;=0),"중국공급가=원가+마진 ",""))</f>
        <v/>
      </c>
      <c r="Q1314" s="47" t="n">
        <f aca="false">IF(SUMIFS($W:$W,$A:$A,A1314,$C:$C,C1314)=0,0,SUMIFS(RAW_판매펀칭!$K:$K,RAW_판매펀칭!$P:$P,A1314,RAW_판매펀칭!$I:$I,C1314)*W1314/SUMIFS($W:$W,$A:$A,A1314,$C:$C,C1314))</f>
        <v>30</v>
      </c>
      <c r="R1314" s="47" t="n">
        <f aca="false">IF(OR(A1314="500",A1314="800",A1314="810"),0,MAX(W1314-Q1314,0))</f>
        <v>0</v>
      </c>
      <c r="S1314" s="47" t="n">
        <f aca="false">R1314*L1314</f>
        <v>0</v>
      </c>
      <c r="T1314" s="47" t="n">
        <f aca="false">R1314*J1314</f>
        <v>0</v>
      </c>
      <c r="U1314" s="47" t="n">
        <f aca="false">R1314*K1314</f>
        <v>0</v>
      </c>
      <c r="V1314" s="0" t="str">
        <f aca="false">IF(COUNTIFS($A$2:A1314,A1314,$C$2:C1314,C1314,$D$2:D1314,D1314)&gt;1,"중복","")</f>
        <v/>
      </c>
      <c r="W1314" s="0" t="n">
        <f aca="false">IF(V1314="중복",0,N(D1314))</f>
        <v>30</v>
      </c>
      <c r="X1314" s="0" t="n">
        <f aca="false">IF(COUNTIFS($A$2:A1314,A1314,$C$2:C1314,C1314)=1,ABS(SUMIFS(RAW_발주!$D:$D,RAW_발주!$C:$C,A1314,RAW_발주!$A:$A,C1314)-SUMIFS($W:$W,$A:$A,A1314,$C:$C,C1314)),0)</f>
        <v>0</v>
      </c>
    </row>
    <row r="1315" customFormat="false" ht="15" hidden="false" customHeight="true" outlineLevel="0" collapsed="false">
      <c r="A1315" s="45" t="s">
        <v>1664</v>
      </c>
      <c r="B1315" s="42" t="str">
        <f aca="false">IF(A1315="100","HK",IF(A1315="200","CN",IF(A1315="300","TW","홀세일")))</f>
        <v>홀세일</v>
      </c>
      <c r="C1315" s="45" t="s">
        <v>585</v>
      </c>
      <c r="D1315" s="46" t="n">
        <v>30</v>
      </c>
      <c r="E1315" s="46" t="n">
        <v>119000</v>
      </c>
      <c r="F1315" s="46" t="n">
        <v>23399</v>
      </c>
      <c r="G1315" s="42" t="n">
        <v>4.4</v>
      </c>
      <c r="H1315" s="42" t="n">
        <v>31.6</v>
      </c>
      <c r="J1315" s="46" t="n">
        <f aca="false">IF(N(E1315)&gt;0,E1315,IF(N(F1315)&gt;0,F1315*요약!$F$27,0))</f>
        <v>119000</v>
      </c>
      <c r="K1315" s="46" t="n">
        <f aca="false">IF(N(F1315)&gt;0,F1315,IF(N(E1315)&gt;0,E1315/요약!$F$27,0))</f>
        <v>23399</v>
      </c>
      <c r="L1315" s="46" t="n">
        <f aca="false">IF(B1315="CN",IF(N(I1315)&gt;0,I1315*요약!$G$27,K1315*(1+요약!$E$27)),IF(N(H1315)&gt;0,H1315*요약!$G$27,J1315*요약!$D$27))</f>
        <v>41712</v>
      </c>
      <c r="M1315" s="46" t="n">
        <f aca="false">D1315*J1315</f>
        <v>3570000</v>
      </c>
      <c r="N1315" s="46" t="n">
        <f aca="false">D1315*K1315</f>
        <v>701970</v>
      </c>
      <c r="O1315" s="46" t="n">
        <f aca="false">D1315*L1315</f>
        <v>1251360</v>
      </c>
      <c r="P1315" s="42" t="str">
        <f aca="false">TRIM(IF(N(E1315)&lt;=0,"택가보정 ","")&amp;IF(N(F1315)&lt;=0,"원가보정 ","")&amp;IF(AND(B1315&lt;&gt;"CN",N(H1315)&lt;=0),"공급가보정 ","")&amp;IF(AND(B1315="CN",N(I1315)&lt;=0),"중국공급가=원가+마진 ",""))</f>
        <v/>
      </c>
      <c r="Q1315" s="47" t="n">
        <f aca="false">IF(SUMIFS($W:$W,$A:$A,A1315,$C:$C,C1315)=0,0,SUMIFS(RAW_판매펀칭!$K:$K,RAW_판매펀칭!$P:$P,A1315,RAW_판매펀칭!$I:$I,C1315)*W1315/SUMIFS($W:$W,$A:$A,A1315,$C:$C,C1315))</f>
        <v>0</v>
      </c>
      <c r="R1315" s="47" t="n">
        <f aca="false">IF(OR(A1315="500",A1315="800",A1315="810"),0,MAX(W1315-Q1315,0))</f>
        <v>0</v>
      </c>
      <c r="S1315" s="47" t="n">
        <f aca="false">R1315*L1315</f>
        <v>0</v>
      </c>
      <c r="T1315" s="47" t="n">
        <f aca="false">R1315*J1315</f>
        <v>0</v>
      </c>
      <c r="U1315" s="47" t="n">
        <f aca="false">R1315*K1315</f>
        <v>0</v>
      </c>
      <c r="V1315" s="0" t="str">
        <f aca="false">IF(COUNTIFS($A$2:A1315,A1315,$C$2:C1315,C1315,$D$2:D1315,D1315)&gt;1,"중복","")</f>
        <v>중복</v>
      </c>
      <c r="W1315" s="0" t="n">
        <f aca="false">IF(V1315="중복",0,N(D1315))</f>
        <v>0</v>
      </c>
      <c r="X1315" s="0" t="n">
        <f aca="false">IF(COUNTIFS($A$2:A1315,A1315,$C$2:C1315,C1315)=1,ABS(SUMIFS(RAW_발주!$D:$D,RAW_발주!$C:$C,A1315,RAW_발주!$A:$A,C1315)-SUMIFS($W:$W,$A:$A,A1315,$C:$C,C1315)),0)</f>
        <v>0</v>
      </c>
    </row>
    <row r="1316" customFormat="false" ht="15" hidden="false" customHeight="true" outlineLevel="0" collapsed="false">
      <c r="A1316" s="45" t="s">
        <v>1659</v>
      </c>
      <c r="B1316" s="42" t="str">
        <f aca="false">IF(A1316="100","HK",IF(A1316="200","CN",IF(A1316="300","TW","홀세일")))</f>
        <v>HK</v>
      </c>
      <c r="C1316" s="45" t="s">
        <v>589</v>
      </c>
      <c r="D1316" s="46" t="n">
        <v>210</v>
      </c>
      <c r="E1316" s="46" t="n">
        <v>149000</v>
      </c>
      <c r="F1316" s="46" t="n">
        <v>37358</v>
      </c>
      <c r="G1316" s="42" t="n">
        <v>3.5</v>
      </c>
      <c r="H1316" s="42" t="n">
        <v>39.6</v>
      </c>
      <c r="J1316" s="46" t="n">
        <f aca="false">IF(N(E1316)&gt;0,E1316,IF(N(F1316)&gt;0,F1316*요약!$F$27,0))</f>
        <v>149000</v>
      </c>
      <c r="K1316" s="46" t="n">
        <f aca="false">IF(N(F1316)&gt;0,F1316,IF(N(E1316)&gt;0,E1316/요약!$F$27,0))</f>
        <v>37358</v>
      </c>
      <c r="L1316" s="46" t="n">
        <f aca="false">IF(B1316="CN",IF(N(I1316)&gt;0,I1316*요약!$G$27,K1316*(1+요약!$E$27)),IF(N(H1316)&gt;0,H1316*요약!$G$27,J1316*요약!$D$27))</f>
        <v>52272</v>
      </c>
      <c r="M1316" s="46" t="n">
        <f aca="false">D1316*J1316</f>
        <v>31290000</v>
      </c>
      <c r="N1316" s="46" t="n">
        <f aca="false">D1316*K1316</f>
        <v>7845180</v>
      </c>
      <c r="O1316" s="46" t="n">
        <f aca="false">D1316*L1316</f>
        <v>10977120</v>
      </c>
      <c r="P1316" s="42" t="str">
        <f aca="false">TRIM(IF(N(E1316)&lt;=0,"택가보정 ","")&amp;IF(N(F1316)&lt;=0,"원가보정 ","")&amp;IF(AND(B1316&lt;&gt;"CN",N(H1316)&lt;=0),"공급가보정 ","")&amp;IF(AND(B1316="CN",N(I1316)&lt;=0),"중국공급가=원가+마진 ",""))</f>
        <v/>
      </c>
      <c r="Q1316" s="47" t="n">
        <f aca="false">IF(SUMIFS($W:$W,$A:$A,A1316,$C:$C,C1316)=0,0,SUMIFS(RAW_판매펀칭!$K:$K,RAW_판매펀칭!$P:$P,A1316,RAW_판매펀칭!$I:$I,C1316)*W1316/SUMIFS($W:$W,$A:$A,A1316,$C:$C,C1316))</f>
        <v>210</v>
      </c>
      <c r="R1316" s="47" t="n">
        <f aca="false">IF(OR(A1316="500",A1316="800",A1316="810"),0,MAX(W1316-Q1316,0))</f>
        <v>0</v>
      </c>
      <c r="S1316" s="47" t="n">
        <f aca="false">R1316*L1316</f>
        <v>0</v>
      </c>
      <c r="T1316" s="47" t="n">
        <f aca="false">R1316*J1316</f>
        <v>0</v>
      </c>
      <c r="U1316" s="47" t="n">
        <f aca="false">R1316*K1316</f>
        <v>0</v>
      </c>
      <c r="V1316" s="0" t="str">
        <f aca="false">IF(COUNTIFS($A$2:A1316,A1316,$C$2:C1316,C1316,$D$2:D1316,D1316)&gt;1,"중복","")</f>
        <v/>
      </c>
      <c r="W1316" s="0" t="n">
        <f aca="false">IF(V1316="중복",0,N(D1316))</f>
        <v>210</v>
      </c>
      <c r="X1316" s="0" t="n">
        <f aca="false">IF(COUNTIFS($A$2:A1316,A1316,$C$2:C1316,C1316)=1,ABS(SUMIFS(RAW_발주!$D:$D,RAW_발주!$C:$C,A1316,RAW_발주!$A:$A,C1316)-SUMIFS($W:$W,$A:$A,A1316,$C:$C,C1316)),0)</f>
        <v>0</v>
      </c>
    </row>
    <row r="1317" customFormat="false" ht="15.75" hidden="false" customHeight="true" outlineLevel="0" collapsed="false">
      <c r="A1317" s="45" t="s">
        <v>1660</v>
      </c>
      <c r="B1317" s="42" t="str">
        <f aca="false">IF(A1317="100","HK",IF(A1317="200","CN",IF(A1317="300","TW","홀세일")))</f>
        <v>CN</v>
      </c>
      <c r="C1317" s="45" t="s">
        <v>589</v>
      </c>
      <c r="D1317" s="46" t="n">
        <v>192</v>
      </c>
      <c r="E1317" s="46" t="n">
        <v>149000</v>
      </c>
      <c r="F1317" s="46" t="n">
        <v>37358</v>
      </c>
      <c r="G1317" s="42" t="n">
        <v>3.5</v>
      </c>
      <c r="H1317" s="42" t="n">
        <v>39.6</v>
      </c>
      <c r="J1317" s="46" t="n">
        <f aca="false">IF(N(E1317)&gt;0,E1317,IF(N(F1317)&gt;0,F1317*요약!$F$27,0))</f>
        <v>149000</v>
      </c>
      <c r="K1317" s="46" t="n">
        <f aca="false">IF(N(F1317)&gt;0,F1317,IF(N(E1317)&gt;0,E1317/요약!$F$27,0))</f>
        <v>37358</v>
      </c>
      <c r="L1317" s="46" t="n">
        <f aca="false">IF(B1317="CN",IF(N(I1317)&gt;0,I1317*요약!$G$27,K1317*(1+요약!$E$27)),IF(N(H1317)&gt;0,H1317*요약!$G$27,J1317*요약!$D$27))</f>
        <v>39225.9</v>
      </c>
      <c r="M1317" s="46" t="n">
        <f aca="false">D1317*J1317</f>
        <v>28608000</v>
      </c>
      <c r="N1317" s="46" t="n">
        <f aca="false">D1317*K1317</f>
        <v>7172736</v>
      </c>
      <c r="O1317" s="46" t="n">
        <f aca="false">D1317*L1317</f>
        <v>7531372.8</v>
      </c>
      <c r="P1317" s="42" t="str">
        <f aca="false">TRIM(IF(N(E1317)&lt;=0,"택가보정 ","")&amp;IF(N(F1317)&lt;=0,"원가보정 ","")&amp;IF(AND(B1317&lt;&gt;"CN",N(H1317)&lt;=0),"공급가보정 ","")&amp;IF(AND(B1317="CN",N(I1317)&lt;=0),"중국공급가=원가+마진 ",""))</f>
        <v>중국공급가=원가+마진</v>
      </c>
      <c r="Q1317" s="47" t="n">
        <f aca="false">IF(SUMIFS($W:$W,$A:$A,A1317,$C:$C,C1317)=0,0,SUMIFS(RAW_판매펀칭!$K:$K,RAW_판매펀칭!$P:$P,A1317,RAW_판매펀칭!$I:$I,C1317)*W1317/SUMIFS($W:$W,$A:$A,A1317,$C:$C,C1317))</f>
        <v>192</v>
      </c>
      <c r="R1317" s="47" t="n">
        <f aca="false">IF(OR(A1317="500",A1317="800",A1317="810"),0,MAX(W1317-Q1317,0))</f>
        <v>0</v>
      </c>
      <c r="S1317" s="47" t="n">
        <f aca="false">R1317*L1317</f>
        <v>0</v>
      </c>
      <c r="T1317" s="47" t="n">
        <f aca="false">R1317*J1317</f>
        <v>0</v>
      </c>
      <c r="U1317" s="47" t="n">
        <f aca="false">R1317*K1317</f>
        <v>0</v>
      </c>
      <c r="V1317" s="0" t="str">
        <f aca="false">IF(COUNTIFS($A$2:A1317,A1317,$C$2:C1317,C1317,$D$2:D1317,D1317)&gt;1,"중복","")</f>
        <v/>
      </c>
      <c r="W1317" s="0" t="n">
        <f aca="false">IF(V1317="중복",0,N(D1317))</f>
        <v>192</v>
      </c>
      <c r="X1317" s="0" t="n">
        <f aca="false">IF(COUNTIFS($A$2:A1317,A1317,$C$2:C1317,C1317)=1,ABS(SUMIFS(RAW_발주!$D:$D,RAW_발주!$C:$C,A1317,RAW_발주!$A:$A,C1317)-SUMIFS($W:$W,$A:$A,A1317,$C:$C,C1317)),0)</f>
        <v>0</v>
      </c>
    </row>
    <row r="1318" customFormat="false" ht="15" hidden="false" customHeight="true" outlineLevel="0" collapsed="false">
      <c r="A1318" s="45" t="s">
        <v>1661</v>
      </c>
      <c r="B1318" s="42" t="str">
        <f aca="false">IF(A1318="100","HK",IF(A1318="200","CN",IF(A1318="300","TW","홀세일")))</f>
        <v>TW</v>
      </c>
      <c r="C1318" s="45" t="s">
        <v>589</v>
      </c>
      <c r="D1318" s="46" t="n">
        <v>230</v>
      </c>
      <c r="E1318" s="46" t="n">
        <v>149000</v>
      </c>
      <c r="F1318" s="46" t="n">
        <v>37358</v>
      </c>
      <c r="G1318" s="42" t="n">
        <v>3.5</v>
      </c>
      <c r="H1318" s="42" t="n">
        <v>39.6</v>
      </c>
      <c r="J1318" s="46" t="n">
        <f aca="false">IF(N(E1318)&gt;0,E1318,IF(N(F1318)&gt;0,F1318*요약!$F$27,0))</f>
        <v>149000</v>
      </c>
      <c r="K1318" s="46" t="n">
        <f aca="false">IF(N(F1318)&gt;0,F1318,IF(N(E1318)&gt;0,E1318/요약!$F$27,0))</f>
        <v>37358</v>
      </c>
      <c r="L1318" s="46" t="n">
        <f aca="false">IF(B1318="CN",IF(N(I1318)&gt;0,I1318*요약!$G$27,K1318*(1+요약!$E$27)),IF(N(H1318)&gt;0,H1318*요약!$G$27,J1318*요약!$D$27))</f>
        <v>52272</v>
      </c>
      <c r="M1318" s="46" t="n">
        <f aca="false">D1318*J1318</f>
        <v>34270000</v>
      </c>
      <c r="N1318" s="46" t="n">
        <f aca="false">D1318*K1318</f>
        <v>8592340</v>
      </c>
      <c r="O1318" s="46" t="n">
        <f aca="false">D1318*L1318</f>
        <v>12022560</v>
      </c>
      <c r="P1318" s="42" t="str">
        <f aca="false">TRIM(IF(N(E1318)&lt;=0,"택가보정 ","")&amp;IF(N(F1318)&lt;=0,"원가보정 ","")&amp;IF(AND(B1318&lt;&gt;"CN",N(H1318)&lt;=0),"공급가보정 ","")&amp;IF(AND(B1318="CN",N(I1318)&lt;=0),"중국공급가=원가+마진 ",""))</f>
        <v/>
      </c>
      <c r="Q1318" s="47" t="n">
        <f aca="false">IF(SUMIFS($W:$W,$A:$A,A1318,$C:$C,C1318)=0,0,SUMIFS(RAW_판매펀칭!$K:$K,RAW_판매펀칭!$P:$P,A1318,RAW_판매펀칭!$I:$I,C1318)*W1318/SUMIFS($W:$W,$A:$A,A1318,$C:$C,C1318))</f>
        <v>230</v>
      </c>
      <c r="R1318" s="47" t="n">
        <f aca="false">IF(OR(A1318="500",A1318="800",A1318="810"),0,MAX(W1318-Q1318,0))</f>
        <v>0</v>
      </c>
      <c r="S1318" s="47" t="n">
        <f aca="false">R1318*L1318</f>
        <v>0</v>
      </c>
      <c r="T1318" s="47" t="n">
        <f aca="false">R1318*J1318</f>
        <v>0</v>
      </c>
      <c r="U1318" s="47" t="n">
        <f aca="false">R1318*K1318</f>
        <v>0</v>
      </c>
      <c r="V1318" s="0" t="str">
        <f aca="false">IF(COUNTIFS($A$2:A1318,A1318,$C$2:C1318,C1318,$D$2:D1318,D1318)&gt;1,"중복","")</f>
        <v/>
      </c>
      <c r="W1318" s="0" t="n">
        <f aca="false">IF(V1318="중복",0,N(D1318))</f>
        <v>230</v>
      </c>
      <c r="X1318" s="0" t="n">
        <f aca="false">IF(COUNTIFS($A$2:A1318,A1318,$C$2:C1318,C1318)=1,ABS(SUMIFS(RAW_발주!$D:$D,RAW_발주!$C:$C,A1318,RAW_발주!$A:$A,C1318)-SUMIFS($W:$W,$A:$A,A1318,$C:$C,C1318)),0)</f>
        <v>0</v>
      </c>
    </row>
    <row r="1319" customFormat="false" ht="15" hidden="false" customHeight="true" outlineLevel="0" collapsed="false">
      <c r="A1319" s="45" t="s">
        <v>1662</v>
      </c>
      <c r="B1319" s="42" t="str">
        <f aca="false">IF(A1319="100","HK",IF(A1319="200","CN",IF(A1319="300","TW","홀세일")))</f>
        <v>홀세일</v>
      </c>
      <c r="C1319" s="45" t="s">
        <v>589</v>
      </c>
      <c r="D1319" s="46" t="n">
        <v>15</v>
      </c>
      <c r="E1319" s="46" t="n">
        <v>149000</v>
      </c>
      <c r="F1319" s="46" t="n">
        <v>37358</v>
      </c>
      <c r="G1319" s="42" t="n">
        <v>3.5</v>
      </c>
      <c r="H1319" s="42" t="n">
        <v>39.6</v>
      </c>
      <c r="J1319" s="46" t="n">
        <f aca="false">IF(N(E1319)&gt;0,E1319,IF(N(F1319)&gt;0,F1319*요약!$F$27,0))</f>
        <v>149000</v>
      </c>
      <c r="K1319" s="46" t="n">
        <f aca="false">IF(N(F1319)&gt;0,F1319,IF(N(E1319)&gt;0,E1319/요약!$F$27,0))</f>
        <v>37358</v>
      </c>
      <c r="L1319" s="46" t="n">
        <f aca="false">IF(B1319="CN",IF(N(I1319)&gt;0,I1319*요약!$G$27,K1319*(1+요약!$E$27)),IF(N(H1319)&gt;0,H1319*요약!$G$27,J1319*요약!$D$27))</f>
        <v>52272</v>
      </c>
      <c r="M1319" s="46" t="n">
        <f aca="false">D1319*J1319</f>
        <v>2235000</v>
      </c>
      <c r="N1319" s="46" t="n">
        <f aca="false">D1319*K1319</f>
        <v>560370</v>
      </c>
      <c r="O1319" s="46" t="n">
        <f aca="false">D1319*L1319</f>
        <v>784080</v>
      </c>
      <c r="P1319" s="42" t="str">
        <f aca="false">TRIM(IF(N(E1319)&lt;=0,"택가보정 ","")&amp;IF(N(F1319)&lt;=0,"원가보정 ","")&amp;IF(AND(B1319&lt;&gt;"CN",N(H1319)&lt;=0),"공급가보정 ","")&amp;IF(AND(B1319="CN",N(I1319)&lt;=0),"중국공급가=원가+마진 ",""))</f>
        <v/>
      </c>
      <c r="Q1319" s="47" t="n">
        <f aca="false">IF(SUMIFS($W:$W,$A:$A,A1319,$C:$C,C1319)=0,0,SUMIFS(RAW_판매펀칭!$K:$K,RAW_판매펀칭!$P:$P,A1319,RAW_판매펀칭!$I:$I,C1319)*W1319/SUMIFS($W:$W,$A:$A,A1319,$C:$C,C1319))</f>
        <v>0</v>
      </c>
      <c r="R1319" s="47" t="n">
        <f aca="false">IF(OR(A1319="500",A1319="800",A1319="810"),0,MAX(W1319-Q1319,0))</f>
        <v>0</v>
      </c>
      <c r="S1319" s="47" t="n">
        <f aca="false">R1319*L1319</f>
        <v>0</v>
      </c>
      <c r="T1319" s="47" t="n">
        <f aca="false">R1319*J1319</f>
        <v>0</v>
      </c>
      <c r="U1319" s="47" t="n">
        <f aca="false">R1319*K1319</f>
        <v>0</v>
      </c>
      <c r="V1319" s="0" t="str">
        <f aca="false">IF(COUNTIFS($A$2:A1319,A1319,$C$2:C1319,C1319,$D$2:D1319,D1319)&gt;1,"중복","")</f>
        <v/>
      </c>
      <c r="W1319" s="0" t="n">
        <f aca="false">IF(V1319="중복",0,N(D1319))</f>
        <v>15</v>
      </c>
      <c r="X1319" s="0" t="n">
        <f aca="false">IF(COUNTIFS($A$2:A1319,A1319,$C$2:C1319,C1319)=1,ABS(SUMIFS(RAW_발주!$D:$D,RAW_발주!$C:$C,A1319,RAW_발주!$A:$A,C1319)-SUMIFS($W:$W,$A:$A,A1319,$C:$C,C1319)),0)</f>
        <v>0</v>
      </c>
    </row>
    <row r="1320" customFormat="false" ht="15" hidden="false" customHeight="true" outlineLevel="0" collapsed="false">
      <c r="A1320" s="45" t="s">
        <v>1667</v>
      </c>
      <c r="B1320" s="42" t="str">
        <f aca="false">IF(A1320="100","HK",IF(A1320="200","CN",IF(A1320="300","TW","홀세일")))</f>
        <v>홀세일</v>
      </c>
      <c r="C1320" s="45" t="s">
        <v>589</v>
      </c>
      <c r="D1320" s="46" t="n">
        <v>102</v>
      </c>
      <c r="E1320" s="46" t="n">
        <v>149000</v>
      </c>
      <c r="F1320" s="46" t="n">
        <v>37358</v>
      </c>
      <c r="G1320" s="42" t="n">
        <v>3.5</v>
      </c>
      <c r="H1320" s="42" t="n">
        <v>39.6</v>
      </c>
      <c r="J1320" s="46" t="n">
        <f aca="false">IF(N(E1320)&gt;0,E1320,IF(N(F1320)&gt;0,F1320*요약!$F$27,0))</f>
        <v>149000</v>
      </c>
      <c r="K1320" s="46" t="n">
        <f aca="false">IF(N(F1320)&gt;0,F1320,IF(N(E1320)&gt;0,E1320/요약!$F$27,0))</f>
        <v>37358</v>
      </c>
      <c r="L1320" s="46" t="n">
        <f aca="false">IF(B1320="CN",IF(N(I1320)&gt;0,I1320*요약!$G$27,K1320*(1+요약!$E$27)),IF(N(H1320)&gt;0,H1320*요약!$G$27,J1320*요약!$D$27))</f>
        <v>52272</v>
      </c>
      <c r="M1320" s="46" t="n">
        <f aca="false">D1320*J1320</f>
        <v>15198000</v>
      </c>
      <c r="N1320" s="46" t="n">
        <f aca="false">D1320*K1320</f>
        <v>3810516</v>
      </c>
      <c r="O1320" s="46" t="n">
        <f aca="false">D1320*L1320</f>
        <v>5331744</v>
      </c>
      <c r="P1320" s="42" t="str">
        <f aca="false">TRIM(IF(N(E1320)&lt;=0,"택가보정 ","")&amp;IF(N(F1320)&lt;=0,"원가보정 ","")&amp;IF(AND(B1320&lt;&gt;"CN",N(H1320)&lt;=0),"공급가보정 ","")&amp;IF(AND(B1320="CN",N(I1320)&lt;=0),"중국공급가=원가+마진 ",""))</f>
        <v/>
      </c>
      <c r="Q1320" s="47" t="n">
        <f aca="false">IF(SUMIFS($W:$W,$A:$A,A1320,$C:$C,C1320)=0,0,SUMIFS(RAW_판매펀칭!$K:$K,RAW_판매펀칭!$P:$P,A1320,RAW_판매펀칭!$I:$I,C1320)*W1320/SUMIFS($W:$W,$A:$A,A1320,$C:$C,C1320))</f>
        <v>102</v>
      </c>
      <c r="R1320" s="47" t="n">
        <f aca="false">IF(OR(A1320="500",A1320="800",A1320="810"),0,MAX(W1320-Q1320,0))</f>
        <v>0</v>
      </c>
      <c r="S1320" s="47" t="n">
        <f aca="false">R1320*L1320</f>
        <v>0</v>
      </c>
      <c r="T1320" s="47" t="n">
        <f aca="false">R1320*J1320</f>
        <v>0</v>
      </c>
      <c r="U1320" s="47" t="n">
        <f aca="false">R1320*K1320</f>
        <v>0</v>
      </c>
      <c r="V1320" s="0" t="str">
        <f aca="false">IF(COUNTIFS($A$2:A1320,A1320,$C$2:C1320,C1320,$D$2:D1320,D1320)&gt;1,"중복","")</f>
        <v/>
      </c>
      <c r="W1320" s="0" t="n">
        <f aca="false">IF(V1320="중복",0,N(D1320))</f>
        <v>102</v>
      </c>
      <c r="X1320" s="0" t="n">
        <f aca="false">IF(COUNTIFS($A$2:A1320,A1320,$C$2:C1320,C1320)=1,ABS(SUMIFS(RAW_발주!$D:$D,RAW_발주!$C:$C,A1320,RAW_발주!$A:$A,C1320)-SUMIFS($W:$W,$A:$A,A1320,$C:$C,C1320)),0)</f>
        <v>0</v>
      </c>
    </row>
    <row r="1321" customFormat="false" ht="15" hidden="false" customHeight="true" outlineLevel="0" collapsed="false">
      <c r="A1321" s="45" t="s">
        <v>1659</v>
      </c>
      <c r="B1321" s="42" t="str">
        <f aca="false">IF(A1321="100","HK",IF(A1321="200","CN",IF(A1321="300","TW","홀세일")))</f>
        <v>HK</v>
      </c>
      <c r="C1321" s="45" t="s">
        <v>950</v>
      </c>
      <c r="D1321" s="46" t="n">
        <v>210</v>
      </c>
      <c r="E1321" s="46" t="n">
        <v>119000</v>
      </c>
      <c r="F1321" s="46" t="n">
        <v>28858</v>
      </c>
      <c r="G1321" s="42" t="n">
        <v>3.65</v>
      </c>
      <c r="H1321" s="42" t="n">
        <v>31.6</v>
      </c>
      <c r="J1321" s="46" t="n">
        <f aca="false">IF(N(E1321)&gt;0,E1321,IF(N(F1321)&gt;0,F1321*요약!$F$27,0))</f>
        <v>119000</v>
      </c>
      <c r="K1321" s="46" t="n">
        <f aca="false">IF(N(F1321)&gt;0,F1321,IF(N(E1321)&gt;0,E1321/요약!$F$27,0))</f>
        <v>28858</v>
      </c>
      <c r="L1321" s="46" t="n">
        <f aca="false">IF(B1321="CN",IF(N(I1321)&gt;0,I1321*요약!$G$27,K1321*(1+요약!$E$27)),IF(N(H1321)&gt;0,H1321*요약!$G$27,J1321*요약!$D$27))</f>
        <v>41712</v>
      </c>
      <c r="M1321" s="46" t="n">
        <f aca="false">D1321*J1321</f>
        <v>24990000</v>
      </c>
      <c r="N1321" s="46" t="n">
        <f aca="false">D1321*K1321</f>
        <v>6060180</v>
      </c>
      <c r="O1321" s="46" t="n">
        <f aca="false">D1321*L1321</f>
        <v>8759520</v>
      </c>
      <c r="P1321" s="42" t="str">
        <f aca="false">TRIM(IF(N(E1321)&lt;=0,"택가보정 ","")&amp;IF(N(F1321)&lt;=0,"원가보정 ","")&amp;IF(AND(B1321&lt;&gt;"CN",N(H1321)&lt;=0),"공급가보정 ","")&amp;IF(AND(B1321="CN",N(I1321)&lt;=0),"중국공급가=원가+마진 ",""))</f>
        <v/>
      </c>
      <c r="Q1321" s="47" t="n">
        <f aca="false">IF(SUMIFS($W:$W,$A:$A,A1321,$C:$C,C1321)=0,0,SUMIFS(RAW_판매펀칭!$K:$K,RAW_판매펀칭!$P:$P,A1321,RAW_판매펀칭!$I:$I,C1321)*W1321/SUMIFS($W:$W,$A:$A,A1321,$C:$C,C1321))</f>
        <v>210</v>
      </c>
      <c r="R1321" s="47" t="n">
        <f aca="false">IF(OR(A1321="500",A1321="800",A1321="810"),0,MAX(W1321-Q1321,0))</f>
        <v>0</v>
      </c>
      <c r="S1321" s="47" t="n">
        <f aca="false">R1321*L1321</f>
        <v>0</v>
      </c>
      <c r="T1321" s="47" t="n">
        <f aca="false">R1321*J1321</f>
        <v>0</v>
      </c>
      <c r="U1321" s="47" t="n">
        <f aca="false">R1321*K1321</f>
        <v>0</v>
      </c>
      <c r="V1321" s="0" t="str">
        <f aca="false">IF(COUNTIFS($A$2:A1321,A1321,$C$2:C1321,C1321,$D$2:D1321,D1321)&gt;1,"중복","")</f>
        <v/>
      </c>
      <c r="W1321" s="0" t="n">
        <f aca="false">IF(V1321="중복",0,N(D1321))</f>
        <v>210</v>
      </c>
      <c r="X1321" s="0" t="n">
        <f aca="false">IF(COUNTIFS($A$2:A1321,A1321,$C$2:C1321,C1321)=1,ABS(SUMIFS(RAW_발주!$D:$D,RAW_발주!$C:$C,A1321,RAW_발주!$A:$A,C1321)-SUMIFS($W:$W,$A:$A,A1321,$C:$C,C1321)),0)</f>
        <v>0</v>
      </c>
    </row>
    <row r="1322" customFormat="false" ht="15.75" hidden="false" customHeight="true" outlineLevel="0" collapsed="false">
      <c r="A1322" s="45" t="s">
        <v>1660</v>
      </c>
      <c r="B1322" s="42" t="str">
        <f aca="false">IF(A1322="100","HK",IF(A1322="200","CN",IF(A1322="300","TW","홀세일")))</f>
        <v>CN</v>
      </c>
      <c r="C1322" s="45" t="s">
        <v>950</v>
      </c>
      <c r="D1322" s="46" t="n">
        <v>538</v>
      </c>
      <c r="E1322" s="46" t="n">
        <v>119000</v>
      </c>
      <c r="F1322" s="46" t="n">
        <v>28858</v>
      </c>
      <c r="G1322" s="42" t="n">
        <v>3.65</v>
      </c>
      <c r="H1322" s="42" t="n">
        <v>31.6</v>
      </c>
      <c r="J1322" s="46" t="n">
        <f aca="false">IF(N(E1322)&gt;0,E1322,IF(N(F1322)&gt;0,F1322*요약!$F$27,0))</f>
        <v>119000</v>
      </c>
      <c r="K1322" s="46" t="n">
        <f aca="false">IF(N(F1322)&gt;0,F1322,IF(N(E1322)&gt;0,E1322/요약!$F$27,0))</f>
        <v>28858</v>
      </c>
      <c r="L1322" s="46" t="n">
        <f aca="false">IF(B1322="CN",IF(N(I1322)&gt;0,I1322*요약!$G$27,K1322*(1+요약!$E$27)),IF(N(H1322)&gt;0,H1322*요약!$G$27,J1322*요약!$D$27))</f>
        <v>30300.9</v>
      </c>
      <c r="M1322" s="46" t="n">
        <f aca="false">D1322*J1322</f>
        <v>64022000</v>
      </c>
      <c r="N1322" s="46" t="n">
        <f aca="false">D1322*K1322</f>
        <v>15525604</v>
      </c>
      <c r="O1322" s="46" t="n">
        <f aca="false">D1322*L1322</f>
        <v>16301884.2</v>
      </c>
      <c r="P1322" s="42" t="str">
        <f aca="false">TRIM(IF(N(E1322)&lt;=0,"택가보정 ","")&amp;IF(N(F1322)&lt;=0,"원가보정 ","")&amp;IF(AND(B1322&lt;&gt;"CN",N(H1322)&lt;=0),"공급가보정 ","")&amp;IF(AND(B1322="CN",N(I1322)&lt;=0),"중국공급가=원가+마진 ",""))</f>
        <v>중국공급가=원가+마진</v>
      </c>
      <c r="Q1322" s="47" t="n">
        <f aca="false">IF(SUMIFS($W:$W,$A:$A,A1322,$C:$C,C1322)=0,0,SUMIFS(RAW_판매펀칭!$K:$K,RAW_판매펀칭!$P:$P,A1322,RAW_판매펀칭!$I:$I,C1322)*W1322/SUMIFS($W:$W,$A:$A,A1322,$C:$C,C1322))</f>
        <v>535</v>
      </c>
      <c r="R1322" s="47" t="n">
        <f aca="false">IF(OR(A1322="500",A1322="800",A1322="810"),0,MAX(W1322-Q1322,0))</f>
        <v>3</v>
      </c>
      <c r="S1322" s="47" t="n">
        <f aca="false">R1322*L1322</f>
        <v>90902.7</v>
      </c>
      <c r="T1322" s="47" t="n">
        <f aca="false">R1322*J1322</f>
        <v>357000</v>
      </c>
      <c r="U1322" s="47" t="n">
        <f aca="false">R1322*K1322</f>
        <v>86574</v>
      </c>
      <c r="V1322" s="0" t="str">
        <f aca="false">IF(COUNTIFS($A$2:A1322,A1322,$C$2:C1322,C1322,$D$2:D1322,D1322)&gt;1,"중복","")</f>
        <v/>
      </c>
      <c r="W1322" s="0" t="n">
        <f aca="false">IF(V1322="중복",0,N(D1322))</f>
        <v>538</v>
      </c>
      <c r="X1322" s="0" t="n">
        <f aca="false">IF(COUNTIFS($A$2:A1322,A1322,$C$2:C1322,C1322)=1,ABS(SUMIFS(RAW_발주!$D:$D,RAW_발주!$C:$C,A1322,RAW_발주!$A:$A,C1322)-SUMIFS($W:$W,$A:$A,A1322,$C:$C,C1322)),0)</f>
        <v>0</v>
      </c>
    </row>
    <row r="1323" customFormat="false" ht="15" hidden="false" customHeight="true" outlineLevel="0" collapsed="false">
      <c r="A1323" s="45" t="s">
        <v>1662</v>
      </c>
      <c r="B1323" s="42" t="str">
        <f aca="false">IF(A1323="100","HK",IF(A1323="200","CN",IF(A1323="300","TW","홀세일")))</f>
        <v>홀세일</v>
      </c>
      <c r="C1323" s="45" t="s">
        <v>950</v>
      </c>
      <c r="D1323" s="46" t="n">
        <v>15</v>
      </c>
      <c r="E1323" s="46" t="n">
        <v>119000</v>
      </c>
      <c r="F1323" s="46" t="n">
        <v>28858</v>
      </c>
      <c r="G1323" s="42" t="n">
        <v>3.65</v>
      </c>
      <c r="H1323" s="42" t="n">
        <v>31.6</v>
      </c>
      <c r="J1323" s="46" t="n">
        <f aca="false">IF(N(E1323)&gt;0,E1323,IF(N(F1323)&gt;0,F1323*요약!$F$27,0))</f>
        <v>119000</v>
      </c>
      <c r="K1323" s="46" t="n">
        <f aca="false">IF(N(F1323)&gt;0,F1323,IF(N(E1323)&gt;0,E1323/요약!$F$27,0))</f>
        <v>28858</v>
      </c>
      <c r="L1323" s="46" t="n">
        <f aca="false">IF(B1323="CN",IF(N(I1323)&gt;0,I1323*요약!$G$27,K1323*(1+요약!$E$27)),IF(N(H1323)&gt;0,H1323*요약!$G$27,J1323*요약!$D$27))</f>
        <v>41712</v>
      </c>
      <c r="M1323" s="46" t="n">
        <f aca="false">D1323*J1323</f>
        <v>1785000</v>
      </c>
      <c r="N1323" s="46" t="n">
        <f aca="false">D1323*K1323</f>
        <v>432870</v>
      </c>
      <c r="O1323" s="46" t="n">
        <f aca="false">D1323*L1323</f>
        <v>625680</v>
      </c>
      <c r="P1323" s="42" t="str">
        <f aca="false">TRIM(IF(N(E1323)&lt;=0,"택가보정 ","")&amp;IF(N(F1323)&lt;=0,"원가보정 ","")&amp;IF(AND(B1323&lt;&gt;"CN",N(H1323)&lt;=0),"공급가보정 ","")&amp;IF(AND(B1323="CN",N(I1323)&lt;=0),"중국공급가=원가+마진 ",""))</f>
        <v/>
      </c>
      <c r="Q1323" s="47" t="n">
        <f aca="false">IF(SUMIFS($W:$W,$A:$A,A1323,$C:$C,C1323)=0,0,SUMIFS(RAW_판매펀칭!$K:$K,RAW_판매펀칭!$P:$P,A1323,RAW_판매펀칭!$I:$I,C1323)*W1323/SUMIFS($W:$W,$A:$A,A1323,$C:$C,C1323))</f>
        <v>0</v>
      </c>
      <c r="R1323" s="47" t="n">
        <f aca="false">IF(OR(A1323="500",A1323="800",A1323="810"),0,MAX(W1323-Q1323,0))</f>
        <v>0</v>
      </c>
      <c r="S1323" s="47" t="n">
        <f aca="false">R1323*L1323</f>
        <v>0</v>
      </c>
      <c r="T1323" s="47" t="n">
        <f aca="false">R1323*J1323</f>
        <v>0</v>
      </c>
      <c r="U1323" s="47" t="n">
        <f aca="false">R1323*K1323</f>
        <v>0</v>
      </c>
      <c r="V1323" s="0" t="str">
        <f aca="false">IF(COUNTIFS($A$2:A1323,A1323,$C$2:C1323,C1323,$D$2:D1323,D1323)&gt;1,"중복","")</f>
        <v/>
      </c>
      <c r="W1323" s="0" t="n">
        <f aca="false">IF(V1323="중복",0,N(D1323))</f>
        <v>15</v>
      </c>
      <c r="X1323" s="0" t="n">
        <f aca="false">IF(COUNTIFS($A$2:A1323,A1323,$C$2:C1323,C1323)=1,ABS(SUMIFS(RAW_발주!$D:$D,RAW_발주!$C:$C,A1323,RAW_발주!$A:$A,C1323)-SUMIFS($W:$W,$A:$A,A1323,$C:$C,C1323)),0)</f>
        <v>0</v>
      </c>
    </row>
    <row r="1324" customFormat="false" ht="15" hidden="false" customHeight="true" outlineLevel="0" collapsed="false">
      <c r="A1324" s="45" t="s">
        <v>1667</v>
      </c>
      <c r="B1324" s="42" t="str">
        <f aca="false">IF(A1324="100","HK",IF(A1324="200","CN",IF(A1324="300","TW","홀세일")))</f>
        <v>홀세일</v>
      </c>
      <c r="C1324" s="45" t="s">
        <v>950</v>
      </c>
      <c r="D1324" s="46" t="n">
        <v>41</v>
      </c>
      <c r="E1324" s="46" t="n">
        <v>119000</v>
      </c>
      <c r="F1324" s="46" t="n">
        <v>28858</v>
      </c>
      <c r="G1324" s="42" t="n">
        <v>3.65</v>
      </c>
      <c r="H1324" s="42" t="n">
        <v>31.6</v>
      </c>
      <c r="J1324" s="46" t="n">
        <f aca="false">IF(N(E1324)&gt;0,E1324,IF(N(F1324)&gt;0,F1324*요약!$F$27,0))</f>
        <v>119000</v>
      </c>
      <c r="K1324" s="46" t="n">
        <f aca="false">IF(N(F1324)&gt;0,F1324,IF(N(E1324)&gt;0,E1324/요약!$F$27,0))</f>
        <v>28858</v>
      </c>
      <c r="L1324" s="46" t="n">
        <f aca="false">IF(B1324="CN",IF(N(I1324)&gt;0,I1324*요약!$G$27,K1324*(1+요약!$E$27)),IF(N(H1324)&gt;0,H1324*요약!$G$27,J1324*요약!$D$27))</f>
        <v>41712</v>
      </c>
      <c r="M1324" s="46" t="n">
        <f aca="false">D1324*J1324</f>
        <v>4879000</v>
      </c>
      <c r="N1324" s="46" t="n">
        <f aca="false">D1324*K1324</f>
        <v>1183178</v>
      </c>
      <c r="O1324" s="46" t="n">
        <f aca="false">D1324*L1324</f>
        <v>1710192</v>
      </c>
      <c r="P1324" s="42" t="str">
        <f aca="false">TRIM(IF(N(E1324)&lt;=0,"택가보정 ","")&amp;IF(N(F1324)&lt;=0,"원가보정 ","")&amp;IF(AND(B1324&lt;&gt;"CN",N(H1324)&lt;=0),"공급가보정 ","")&amp;IF(AND(B1324="CN",N(I1324)&lt;=0),"중국공급가=원가+마진 ",""))</f>
        <v/>
      </c>
      <c r="Q1324" s="47" t="n">
        <f aca="false">IF(SUMIFS($W:$W,$A:$A,A1324,$C:$C,C1324)=0,0,SUMIFS(RAW_판매펀칭!$K:$K,RAW_판매펀칭!$P:$P,A1324,RAW_판매펀칭!$I:$I,C1324)*W1324/SUMIFS($W:$W,$A:$A,A1324,$C:$C,C1324))</f>
        <v>41</v>
      </c>
      <c r="R1324" s="47" t="n">
        <f aca="false">IF(OR(A1324="500",A1324="800",A1324="810"),0,MAX(W1324-Q1324,0))</f>
        <v>0</v>
      </c>
      <c r="S1324" s="47" t="n">
        <f aca="false">R1324*L1324</f>
        <v>0</v>
      </c>
      <c r="T1324" s="47" t="n">
        <f aca="false">R1324*J1324</f>
        <v>0</v>
      </c>
      <c r="U1324" s="47" t="n">
        <f aca="false">R1324*K1324</f>
        <v>0</v>
      </c>
      <c r="V1324" s="0" t="str">
        <f aca="false">IF(COUNTIFS($A$2:A1324,A1324,$C$2:C1324,C1324,$D$2:D1324,D1324)&gt;1,"중복","")</f>
        <v/>
      </c>
      <c r="W1324" s="0" t="n">
        <f aca="false">IF(V1324="중복",0,N(D1324))</f>
        <v>41</v>
      </c>
      <c r="X1324" s="0" t="n">
        <f aca="false">IF(COUNTIFS($A$2:A1324,A1324,$C$2:C1324,C1324)=1,ABS(SUMIFS(RAW_발주!$D:$D,RAW_발주!$C:$C,A1324,RAW_발주!$A:$A,C1324)-SUMIFS($W:$W,$A:$A,A1324,$C:$C,C1324)),0)</f>
        <v>0</v>
      </c>
    </row>
    <row r="1325" customFormat="false" ht="15" hidden="false" customHeight="true" outlineLevel="0" collapsed="false">
      <c r="A1325" s="45" t="s">
        <v>1664</v>
      </c>
      <c r="B1325" s="42" t="str">
        <f aca="false">IF(A1325="100","HK",IF(A1325="200","CN",IF(A1325="300","TW","홀세일")))</f>
        <v>홀세일</v>
      </c>
      <c r="C1325" s="45" t="s">
        <v>950</v>
      </c>
      <c r="D1325" s="46" t="n">
        <v>10</v>
      </c>
      <c r="E1325" s="46" t="n">
        <v>119000</v>
      </c>
      <c r="F1325" s="46" t="n">
        <v>28858</v>
      </c>
      <c r="G1325" s="42" t="n">
        <v>3.65</v>
      </c>
      <c r="H1325" s="42" t="n">
        <v>31.6</v>
      </c>
      <c r="J1325" s="46" t="n">
        <f aca="false">IF(N(E1325)&gt;0,E1325,IF(N(F1325)&gt;0,F1325*요약!$F$27,0))</f>
        <v>119000</v>
      </c>
      <c r="K1325" s="46" t="n">
        <f aca="false">IF(N(F1325)&gt;0,F1325,IF(N(E1325)&gt;0,E1325/요약!$F$27,0))</f>
        <v>28858</v>
      </c>
      <c r="L1325" s="46" t="n">
        <f aca="false">IF(B1325="CN",IF(N(I1325)&gt;0,I1325*요약!$G$27,K1325*(1+요약!$E$27)),IF(N(H1325)&gt;0,H1325*요약!$G$27,J1325*요약!$D$27))</f>
        <v>41712</v>
      </c>
      <c r="M1325" s="46" t="n">
        <f aca="false">D1325*J1325</f>
        <v>1190000</v>
      </c>
      <c r="N1325" s="46" t="n">
        <f aca="false">D1325*K1325</f>
        <v>288580</v>
      </c>
      <c r="O1325" s="46" t="n">
        <f aca="false">D1325*L1325</f>
        <v>417120</v>
      </c>
      <c r="P1325" s="42" t="str">
        <f aca="false">TRIM(IF(N(E1325)&lt;=0,"택가보정 ","")&amp;IF(N(F1325)&lt;=0,"원가보정 ","")&amp;IF(AND(B1325&lt;&gt;"CN",N(H1325)&lt;=0),"공급가보정 ","")&amp;IF(AND(B1325="CN",N(I1325)&lt;=0),"중국공급가=원가+마진 ",""))</f>
        <v/>
      </c>
      <c r="Q1325" s="47" t="n">
        <f aca="false">IF(SUMIFS($W:$W,$A:$A,A1325,$C:$C,C1325)=0,0,SUMIFS(RAW_판매펀칭!$K:$K,RAW_판매펀칭!$P:$P,A1325,RAW_판매펀칭!$I:$I,C1325)*W1325/SUMIFS($W:$W,$A:$A,A1325,$C:$C,C1325))</f>
        <v>10</v>
      </c>
      <c r="R1325" s="47" t="n">
        <f aca="false">IF(OR(A1325="500",A1325="800",A1325="810"),0,MAX(W1325-Q1325,0))</f>
        <v>0</v>
      </c>
      <c r="S1325" s="47" t="n">
        <f aca="false">R1325*L1325</f>
        <v>0</v>
      </c>
      <c r="T1325" s="47" t="n">
        <f aca="false">R1325*J1325</f>
        <v>0</v>
      </c>
      <c r="U1325" s="47" t="n">
        <f aca="false">R1325*K1325</f>
        <v>0</v>
      </c>
      <c r="V1325" s="0" t="str">
        <f aca="false">IF(COUNTIFS($A$2:A1325,A1325,$C$2:C1325,C1325,$D$2:D1325,D1325)&gt;1,"중복","")</f>
        <v/>
      </c>
      <c r="W1325" s="0" t="n">
        <f aca="false">IF(V1325="중복",0,N(D1325))</f>
        <v>10</v>
      </c>
      <c r="X1325" s="0" t="n">
        <f aca="false">IF(COUNTIFS($A$2:A1325,A1325,$C$2:C1325,C1325)=1,ABS(SUMIFS(RAW_발주!$D:$D,RAW_발주!$C:$C,A1325,RAW_발주!$A:$A,C1325)-SUMIFS($W:$W,$A:$A,A1325,$C:$C,C1325)),0)</f>
        <v>0</v>
      </c>
    </row>
    <row r="1326" customFormat="false" ht="15" hidden="false" customHeight="true" outlineLevel="0" collapsed="false">
      <c r="A1326" s="45" t="s">
        <v>1664</v>
      </c>
      <c r="B1326" s="42" t="str">
        <f aca="false">IF(A1326="100","HK",IF(A1326="200","CN",IF(A1326="300","TW","홀세일")))</f>
        <v>홀세일</v>
      </c>
      <c r="C1326" s="45" t="s">
        <v>950</v>
      </c>
      <c r="D1326" s="46" t="n">
        <v>10</v>
      </c>
      <c r="E1326" s="46" t="n">
        <v>119000</v>
      </c>
      <c r="F1326" s="46" t="n">
        <v>28858</v>
      </c>
      <c r="G1326" s="42" t="n">
        <v>3.65</v>
      </c>
      <c r="H1326" s="42" t="n">
        <v>31.6</v>
      </c>
      <c r="J1326" s="46" t="n">
        <f aca="false">IF(N(E1326)&gt;0,E1326,IF(N(F1326)&gt;0,F1326*요약!$F$27,0))</f>
        <v>119000</v>
      </c>
      <c r="K1326" s="46" t="n">
        <f aca="false">IF(N(F1326)&gt;0,F1326,IF(N(E1326)&gt;0,E1326/요약!$F$27,0))</f>
        <v>28858</v>
      </c>
      <c r="L1326" s="46" t="n">
        <f aca="false">IF(B1326="CN",IF(N(I1326)&gt;0,I1326*요약!$G$27,K1326*(1+요약!$E$27)),IF(N(H1326)&gt;0,H1326*요약!$G$27,J1326*요약!$D$27))</f>
        <v>41712</v>
      </c>
      <c r="M1326" s="46" t="n">
        <f aca="false">D1326*J1326</f>
        <v>1190000</v>
      </c>
      <c r="N1326" s="46" t="n">
        <f aca="false">D1326*K1326</f>
        <v>288580</v>
      </c>
      <c r="O1326" s="46" t="n">
        <f aca="false">D1326*L1326</f>
        <v>417120</v>
      </c>
      <c r="P1326" s="42" t="str">
        <f aca="false">TRIM(IF(N(E1326)&lt;=0,"택가보정 ","")&amp;IF(N(F1326)&lt;=0,"원가보정 ","")&amp;IF(AND(B1326&lt;&gt;"CN",N(H1326)&lt;=0),"공급가보정 ","")&amp;IF(AND(B1326="CN",N(I1326)&lt;=0),"중국공급가=원가+마진 ",""))</f>
        <v/>
      </c>
      <c r="Q1326" s="47" t="n">
        <f aca="false">IF(SUMIFS($W:$W,$A:$A,A1326,$C:$C,C1326)=0,0,SUMIFS(RAW_판매펀칭!$K:$K,RAW_판매펀칭!$P:$P,A1326,RAW_판매펀칭!$I:$I,C1326)*W1326/SUMIFS($W:$W,$A:$A,A1326,$C:$C,C1326))</f>
        <v>0</v>
      </c>
      <c r="R1326" s="47" t="n">
        <f aca="false">IF(OR(A1326="500",A1326="800",A1326="810"),0,MAX(W1326-Q1326,0))</f>
        <v>0</v>
      </c>
      <c r="S1326" s="47" t="n">
        <f aca="false">R1326*L1326</f>
        <v>0</v>
      </c>
      <c r="T1326" s="47" t="n">
        <f aca="false">R1326*J1326</f>
        <v>0</v>
      </c>
      <c r="U1326" s="47" t="n">
        <f aca="false">R1326*K1326</f>
        <v>0</v>
      </c>
      <c r="V1326" s="0" t="str">
        <f aca="false">IF(COUNTIFS($A$2:A1326,A1326,$C$2:C1326,C1326,$D$2:D1326,D1326)&gt;1,"중복","")</f>
        <v>중복</v>
      </c>
      <c r="W1326" s="0" t="n">
        <f aca="false">IF(V1326="중복",0,N(D1326))</f>
        <v>0</v>
      </c>
      <c r="X1326" s="0" t="n">
        <f aca="false">IF(COUNTIFS($A$2:A1326,A1326,$C$2:C1326,C1326)=1,ABS(SUMIFS(RAW_발주!$D:$D,RAW_발주!$C:$C,A1326,RAW_발주!$A:$A,C1326)-SUMIFS($W:$W,$A:$A,A1326,$C:$C,C1326)),0)</f>
        <v>0</v>
      </c>
    </row>
    <row r="1327" customFormat="false" ht="15" hidden="false" customHeight="true" outlineLevel="0" collapsed="false">
      <c r="A1327" s="45" t="s">
        <v>1663</v>
      </c>
      <c r="B1327" s="42" t="str">
        <f aca="false">IF(A1327="100","HK",IF(A1327="200","CN",IF(A1327="300","TW","홀세일")))</f>
        <v>홀세일</v>
      </c>
      <c r="C1327" s="45" t="s">
        <v>1352</v>
      </c>
      <c r="D1327" s="46" t="n">
        <v>5</v>
      </c>
      <c r="E1327" s="46" t="n">
        <v>349000</v>
      </c>
      <c r="F1327" s="46" t="n">
        <v>76465</v>
      </c>
      <c r="G1327" s="42" t="n">
        <v>3.94</v>
      </c>
      <c r="H1327" s="42" t="n">
        <v>92.7</v>
      </c>
      <c r="J1327" s="46" t="n">
        <f aca="false">IF(N(E1327)&gt;0,E1327,IF(N(F1327)&gt;0,F1327*요약!$F$27,0))</f>
        <v>349000</v>
      </c>
      <c r="K1327" s="46" t="n">
        <f aca="false">IF(N(F1327)&gt;0,F1327,IF(N(E1327)&gt;0,E1327/요약!$F$27,0))</f>
        <v>76465</v>
      </c>
      <c r="L1327" s="46" t="n">
        <f aca="false">IF(B1327="CN",IF(N(I1327)&gt;0,I1327*요약!$G$27,K1327*(1+요약!$E$27)),IF(N(H1327)&gt;0,H1327*요약!$G$27,J1327*요약!$D$27))</f>
        <v>122364</v>
      </c>
      <c r="M1327" s="46" t="n">
        <f aca="false">D1327*J1327</f>
        <v>1745000</v>
      </c>
      <c r="N1327" s="46" t="n">
        <f aca="false">D1327*K1327</f>
        <v>382325</v>
      </c>
      <c r="O1327" s="46" t="n">
        <f aca="false">D1327*L1327</f>
        <v>611820</v>
      </c>
      <c r="P1327" s="42" t="str">
        <f aca="false">TRIM(IF(N(E1327)&lt;=0,"택가보정 ","")&amp;IF(N(F1327)&lt;=0,"원가보정 ","")&amp;IF(AND(B1327&lt;&gt;"CN",N(H1327)&lt;=0),"공급가보정 ","")&amp;IF(AND(B1327="CN",N(I1327)&lt;=0),"중국공급가=원가+마진 ",""))</f>
        <v/>
      </c>
      <c r="Q1327" s="47" t="n">
        <f aca="false">IF(SUMIFS($W:$W,$A:$A,A1327,$C:$C,C1327)=0,0,SUMIFS(RAW_판매펀칭!$K:$K,RAW_판매펀칭!$P:$P,A1327,RAW_판매펀칭!$I:$I,C1327)*W1327/SUMIFS($W:$W,$A:$A,A1327,$C:$C,C1327))</f>
        <v>5</v>
      </c>
      <c r="R1327" s="47" t="n">
        <f aca="false">IF(OR(A1327="500",A1327="800",A1327="810"),0,MAX(W1327-Q1327,0))</f>
        <v>0</v>
      </c>
      <c r="S1327" s="47" t="n">
        <f aca="false">R1327*L1327</f>
        <v>0</v>
      </c>
      <c r="T1327" s="47" t="n">
        <f aca="false">R1327*J1327</f>
        <v>0</v>
      </c>
      <c r="U1327" s="47" t="n">
        <f aca="false">R1327*K1327</f>
        <v>0</v>
      </c>
      <c r="V1327" s="0" t="str">
        <f aca="false">IF(COUNTIFS($A$2:A1327,A1327,$C$2:C1327,C1327,$D$2:D1327,D1327)&gt;1,"중복","")</f>
        <v/>
      </c>
      <c r="W1327" s="0" t="n">
        <f aca="false">IF(V1327="중복",0,N(D1327))</f>
        <v>5</v>
      </c>
      <c r="X1327" s="0" t="n">
        <f aca="false">IF(COUNTIFS($A$2:A1327,A1327,$C$2:C1327,C1327)=1,ABS(SUMIFS(RAW_발주!$D:$D,RAW_발주!$C:$C,A1327,RAW_발주!$A:$A,C1327)-SUMIFS($W:$W,$A:$A,A1327,$C:$C,C1327)),0)</f>
        <v>0</v>
      </c>
    </row>
    <row r="1328" customFormat="false" ht="15" hidden="false" customHeight="true" outlineLevel="0" collapsed="false">
      <c r="A1328" s="45" t="s">
        <v>1667</v>
      </c>
      <c r="B1328" s="42" t="str">
        <f aca="false">IF(A1328="100","HK",IF(A1328="200","CN",IF(A1328="300","TW","홀세일")))</f>
        <v>홀세일</v>
      </c>
      <c r="C1328" s="45" t="s">
        <v>1352</v>
      </c>
      <c r="D1328" s="46" t="n">
        <v>102</v>
      </c>
      <c r="E1328" s="46" t="n">
        <v>349000</v>
      </c>
      <c r="F1328" s="46" t="n">
        <v>76465</v>
      </c>
      <c r="G1328" s="42" t="n">
        <v>3.94</v>
      </c>
      <c r="H1328" s="42" t="n">
        <v>92.7</v>
      </c>
      <c r="J1328" s="46" t="n">
        <f aca="false">IF(N(E1328)&gt;0,E1328,IF(N(F1328)&gt;0,F1328*요약!$F$27,0))</f>
        <v>349000</v>
      </c>
      <c r="K1328" s="46" t="n">
        <f aca="false">IF(N(F1328)&gt;0,F1328,IF(N(E1328)&gt;0,E1328/요약!$F$27,0))</f>
        <v>76465</v>
      </c>
      <c r="L1328" s="46" t="n">
        <f aca="false">IF(B1328="CN",IF(N(I1328)&gt;0,I1328*요약!$G$27,K1328*(1+요약!$E$27)),IF(N(H1328)&gt;0,H1328*요약!$G$27,J1328*요약!$D$27))</f>
        <v>122364</v>
      </c>
      <c r="M1328" s="46" t="n">
        <f aca="false">D1328*J1328</f>
        <v>35598000</v>
      </c>
      <c r="N1328" s="46" t="n">
        <f aca="false">D1328*K1328</f>
        <v>7799430</v>
      </c>
      <c r="O1328" s="46" t="n">
        <f aca="false">D1328*L1328</f>
        <v>12481128</v>
      </c>
      <c r="P1328" s="42" t="str">
        <f aca="false">TRIM(IF(N(E1328)&lt;=0,"택가보정 ","")&amp;IF(N(F1328)&lt;=0,"원가보정 ","")&amp;IF(AND(B1328&lt;&gt;"CN",N(H1328)&lt;=0),"공급가보정 ","")&amp;IF(AND(B1328="CN",N(I1328)&lt;=0),"중국공급가=원가+마진 ",""))</f>
        <v/>
      </c>
      <c r="Q1328" s="47" t="n">
        <f aca="false">IF(SUMIFS($W:$W,$A:$A,A1328,$C:$C,C1328)=0,0,SUMIFS(RAW_판매펀칭!$K:$K,RAW_판매펀칭!$P:$P,A1328,RAW_판매펀칭!$I:$I,C1328)*W1328/SUMIFS($W:$W,$A:$A,A1328,$C:$C,C1328))</f>
        <v>102</v>
      </c>
      <c r="R1328" s="47" t="n">
        <f aca="false">IF(OR(A1328="500",A1328="800",A1328="810"),0,MAX(W1328-Q1328,0))</f>
        <v>0</v>
      </c>
      <c r="S1328" s="47" t="n">
        <f aca="false">R1328*L1328</f>
        <v>0</v>
      </c>
      <c r="T1328" s="47" t="n">
        <f aca="false">R1328*J1328</f>
        <v>0</v>
      </c>
      <c r="U1328" s="47" t="n">
        <f aca="false">R1328*K1328</f>
        <v>0</v>
      </c>
      <c r="V1328" s="0" t="str">
        <f aca="false">IF(COUNTIFS($A$2:A1328,A1328,$C$2:C1328,C1328,$D$2:D1328,D1328)&gt;1,"중복","")</f>
        <v/>
      </c>
      <c r="W1328" s="0" t="n">
        <f aca="false">IF(V1328="중복",0,N(D1328))</f>
        <v>102</v>
      </c>
      <c r="X1328" s="0" t="n">
        <f aca="false">IF(COUNTIFS($A$2:A1328,A1328,$C$2:C1328,C1328)=1,ABS(SUMIFS(RAW_발주!$D:$D,RAW_발주!$C:$C,A1328,RAW_발주!$A:$A,C1328)-SUMIFS($W:$W,$A:$A,A1328,$C:$C,C1328)),0)</f>
        <v>0</v>
      </c>
    </row>
    <row r="1329" customFormat="false" ht="15" hidden="false" customHeight="true" outlineLevel="0" collapsed="false">
      <c r="A1329" s="45" t="s">
        <v>1664</v>
      </c>
      <c r="B1329" s="42" t="str">
        <f aca="false">IF(A1329="100","HK",IF(A1329="200","CN",IF(A1329="300","TW","홀세일")))</f>
        <v>홀세일</v>
      </c>
      <c r="C1329" s="45" t="s">
        <v>1352</v>
      </c>
      <c r="D1329" s="46" t="n">
        <v>10</v>
      </c>
      <c r="E1329" s="46" t="n">
        <v>349000</v>
      </c>
      <c r="F1329" s="46" t="n">
        <v>76465</v>
      </c>
      <c r="G1329" s="42" t="n">
        <v>3.94</v>
      </c>
      <c r="H1329" s="42" t="n">
        <v>92.7</v>
      </c>
      <c r="J1329" s="46" t="n">
        <f aca="false">IF(N(E1329)&gt;0,E1329,IF(N(F1329)&gt;0,F1329*요약!$F$27,0))</f>
        <v>349000</v>
      </c>
      <c r="K1329" s="46" t="n">
        <f aca="false">IF(N(F1329)&gt;0,F1329,IF(N(E1329)&gt;0,E1329/요약!$F$27,0))</f>
        <v>76465</v>
      </c>
      <c r="L1329" s="46" t="n">
        <f aca="false">IF(B1329="CN",IF(N(I1329)&gt;0,I1329*요약!$G$27,K1329*(1+요약!$E$27)),IF(N(H1329)&gt;0,H1329*요약!$G$27,J1329*요약!$D$27))</f>
        <v>122364</v>
      </c>
      <c r="M1329" s="46" t="n">
        <f aca="false">D1329*J1329</f>
        <v>3490000</v>
      </c>
      <c r="N1329" s="46" t="n">
        <f aca="false">D1329*K1329</f>
        <v>764650</v>
      </c>
      <c r="O1329" s="46" t="n">
        <f aca="false">D1329*L1329</f>
        <v>1223640</v>
      </c>
      <c r="P1329" s="42" t="str">
        <f aca="false">TRIM(IF(N(E1329)&lt;=0,"택가보정 ","")&amp;IF(N(F1329)&lt;=0,"원가보정 ","")&amp;IF(AND(B1329&lt;&gt;"CN",N(H1329)&lt;=0),"공급가보정 ","")&amp;IF(AND(B1329="CN",N(I1329)&lt;=0),"중국공급가=원가+마진 ",""))</f>
        <v/>
      </c>
      <c r="Q1329" s="47" t="n">
        <f aca="false">IF(SUMIFS($W:$W,$A:$A,A1329,$C:$C,C1329)=0,0,SUMIFS(RAW_판매펀칭!$K:$K,RAW_판매펀칭!$P:$P,A1329,RAW_판매펀칭!$I:$I,C1329)*W1329/SUMIFS($W:$W,$A:$A,A1329,$C:$C,C1329))</f>
        <v>10</v>
      </c>
      <c r="R1329" s="47" t="n">
        <f aca="false">IF(OR(A1329="500",A1329="800",A1329="810"),0,MAX(W1329-Q1329,0))</f>
        <v>0</v>
      </c>
      <c r="S1329" s="47" t="n">
        <f aca="false">R1329*L1329</f>
        <v>0</v>
      </c>
      <c r="T1329" s="47" t="n">
        <f aca="false">R1329*J1329</f>
        <v>0</v>
      </c>
      <c r="U1329" s="47" t="n">
        <f aca="false">R1329*K1329</f>
        <v>0</v>
      </c>
      <c r="V1329" s="0" t="str">
        <f aca="false">IF(COUNTIFS($A$2:A1329,A1329,$C$2:C1329,C1329,$D$2:D1329,D1329)&gt;1,"중복","")</f>
        <v/>
      </c>
      <c r="W1329" s="0" t="n">
        <f aca="false">IF(V1329="중복",0,N(D1329))</f>
        <v>10</v>
      </c>
      <c r="X1329" s="0" t="n">
        <f aca="false">IF(COUNTIFS($A$2:A1329,A1329,$C$2:C1329,C1329)=1,ABS(SUMIFS(RAW_발주!$D:$D,RAW_발주!$C:$C,A1329,RAW_발주!$A:$A,C1329)-SUMIFS($W:$W,$A:$A,A1329,$C:$C,C1329)),0)</f>
        <v>0</v>
      </c>
    </row>
    <row r="1330" customFormat="false" ht="15" hidden="false" customHeight="true" outlineLevel="0" collapsed="false">
      <c r="A1330" s="45" t="s">
        <v>1664</v>
      </c>
      <c r="B1330" s="42" t="str">
        <f aca="false">IF(A1330="100","HK",IF(A1330="200","CN",IF(A1330="300","TW","홀세일")))</f>
        <v>홀세일</v>
      </c>
      <c r="C1330" s="45" t="s">
        <v>1352</v>
      </c>
      <c r="D1330" s="46" t="n">
        <v>10</v>
      </c>
      <c r="E1330" s="46" t="n">
        <v>349000</v>
      </c>
      <c r="F1330" s="46" t="n">
        <v>76465</v>
      </c>
      <c r="G1330" s="42" t="n">
        <v>3.94</v>
      </c>
      <c r="H1330" s="42" t="n">
        <v>92.7</v>
      </c>
      <c r="J1330" s="46" t="n">
        <f aca="false">IF(N(E1330)&gt;0,E1330,IF(N(F1330)&gt;0,F1330*요약!$F$27,0))</f>
        <v>349000</v>
      </c>
      <c r="K1330" s="46" t="n">
        <f aca="false">IF(N(F1330)&gt;0,F1330,IF(N(E1330)&gt;0,E1330/요약!$F$27,0))</f>
        <v>76465</v>
      </c>
      <c r="L1330" s="46" t="n">
        <f aca="false">IF(B1330="CN",IF(N(I1330)&gt;0,I1330*요약!$G$27,K1330*(1+요약!$E$27)),IF(N(H1330)&gt;0,H1330*요약!$G$27,J1330*요약!$D$27))</f>
        <v>122364</v>
      </c>
      <c r="M1330" s="46" t="n">
        <f aca="false">D1330*J1330</f>
        <v>3490000</v>
      </c>
      <c r="N1330" s="46" t="n">
        <f aca="false">D1330*K1330</f>
        <v>764650</v>
      </c>
      <c r="O1330" s="46" t="n">
        <f aca="false">D1330*L1330</f>
        <v>1223640</v>
      </c>
      <c r="P1330" s="42" t="str">
        <f aca="false">TRIM(IF(N(E1330)&lt;=0,"택가보정 ","")&amp;IF(N(F1330)&lt;=0,"원가보정 ","")&amp;IF(AND(B1330&lt;&gt;"CN",N(H1330)&lt;=0),"공급가보정 ","")&amp;IF(AND(B1330="CN",N(I1330)&lt;=0),"중국공급가=원가+마진 ",""))</f>
        <v/>
      </c>
      <c r="Q1330" s="47" t="n">
        <f aca="false">IF(SUMIFS($W:$W,$A:$A,A1330,$C:$C,C1330)=0,0,SUMIFS(RAW_판매펀칭!$K:$K,RAW_판매펀칭!$P:$P,A1330,RAW_판매펀칭!$I:$I,C1330)*W1330/SUMIFS($W:$W,$A:$A,A1330,$C:$C,C1330))</f>
        <v>0</v>
      </c>
      <c r="R1330" s="47" t="n">
        <f aca="false">IF(OR(A1330="500",A1330="800",A1330="810"),0,MAX(W1330-Q1330,0))</f>
        <v>0</v>
      </c>
      <c r="S1330" s="47" t="n">
        <f aca="false">R1330*L1330</f>
        <v>0</v>
      </c>
      <c r="T1330" s="47" t="n">
        <f aca="false">R1330*J1330</f>
        <v>0</v>
      </c>
      <c r="U1330" s="47" t="n">
        <f aca="false">R1330*K1330</f>
        <v>0</v>
      </c>
      <c r="V1330" s="0" t="str">
        <f aca="false">IF(COUNTIFS($A$2:A1330,A1330,$C$2:C1330,C1330,$D$2:D1330,D1330)&gt;1,"중복","")</f>
        <v>중복</v>
      </c>
      <c r="W1330" s="0" t="n">
        <f aca="false">IF(V1330="중복",0,N(D1330))</f>
        <v>0</v>
      </c>
      <c r="X1330" s="0" t="n">
        <f aca="false">IF(COUNTIFS($A$2:A1330,A1330,$C$2:C1330,C1330)=1,ABS(SUMIFS(RAW_발주!$D:$D,RAW_발주!$C:$C,A1330,RAW_발주!$A:$A,C1330)-SUMIFS($W:$W,$A:$A,A1330,$C:$C,C1330)),0)</f>
        <v>0</v>
      </c>
    </row>
    <row r="1331" customFormat="false" ht="15" hidden="false" customHeight="true" outlineLevel="0" collapsed="false">
      <c r="A1331" s="45" t="s">
        <v>1659</v>
      </c>
      <c r="B1331" s="42" t="str">
        <f aca="false">IF(A1331="100","HK",IF(A1331="200","CN",IF(A1331="300","TW","홀세일")))</f>
        <v>HK</v>
      </c>
      <c r="C1331" s="45" t="s">
        <v>952</v>
      </c>
      <c r="D1331" s="46" t="n">
        <v>60</v>
      </c>
      <c r="E1331" s="46" t="n">
        <v>69000</v>
      </c>
      <c r="F1331" s="46" t="n">
        <v>16412</v>
      </c>
      <c r="G1331" s="42" t="n">
        <v>2.55</v>
      </c>
      <c r="H1331" s="42" t="n">
        <v>18.4</v>
      </c>
      <c r="J1331" s="46" t="n">
        <f aca="false">IF(N(E1331)&gt;0,E1331,IF(N(F1331)&gt;0,F1331*요약!$F$27,0))</f>
        <v>69000</v>
      </c>
      <c r="K1331" s="46" t="n">
        <f aca="false">IF(N(F1331)&gt;0,F1331,IF(N(E1331)&gt;0,E1331/요약!$F$27,0))</f>
        <v>16412</v>
      </c>
      <c r="L1331" s="46" t="n">
        <f aca="false">IF(B1331="CN",IF(N(I1331)&gt;0,I1331*요약!$G$27,K1331*(1+요약!$E$27)),IF(N(H1331)&gt;0,H1331*요약!$G$27,J1331*요약!$D$27))</f>
        <v>24288</v>
      </c>
      <c r="M1331" s="46" t="n">
        <f aca="false">D1331*J1331</f>
        <v>4140000</v>
      </c>
      <c r="N1331" s="46" t="n">
        <f aca="false">D1331*K1331</f>
        <v>984720</v>
      </c>
      <c r="O1331" s="46" t="n">
        <f aca="false">D1331*L1331</f>
        <v>1457280</v>
      </c>
      <c r="P1331" s="42" t="str">
        <f aca="false">TRIM(IF(N(E1331)&lt;=0,"택가보정 ","")&amp;IF(N(F1331)&lt;=0,"원가보정 ","")&amp;IF(AND(B1331&lt;&gt;"CN",N(H1331)&lt;=0),"공급가보정 ","")&amp;IF(AND(B1331="CN",N(I1331)&lt;=0),"중국공급가=원가+마진 ",""))</f>
        <v/>
      </c>
      <c r="Q1331" s="47" t="n">
        <f aca="false">IF(SUMIFS($W:$W,$A:$A,A1331,$C:$C,C1331)=0,0,SUMIFS(RAW_판매펀칭!$K:$K,RAW_판매펀칭!$P:$P,A1331,RAW_판매펀칭!$I:$I,C1331)*W1331/SUMIFS($W:$W,$A:$A,A1331,$C:$C,C1331))</f>
        <v>60</v>
      </c>
      <c r="R1331" s="47" t="n">
        <f aca="false">IF(OR(A1331="500",A1331="800",A1331="810"),0,MAX(W1331-Q1331,0))</f>
        <v>0</v>
      </c>
      <c r="S1331" s="47" t="n">
        <f aca="false">R1331*L1331</f>
        <v>0</v>
      </c>
      <c r="T1331" s="47" t="n">
        <f aca="false">R1331*J1331</f>
        <v>0</v>
      </c>
      <c r="U1331" s="47" t="n">
        <f aca="false">R1331*K1331</f>
        <v>0</v>
      </c>
      <c r="V1331" s="0" t="str">
        <f aca="false">IF(COUNTIFS($A$2:A1331,A1331,$C$2:C1331,C1331,$D$2:D1331,D1331)&gt;1,"중복","")</f>
        <v/>
      </c>
      <c r="W1331" s="0" t="n">
        <f aca="false">IF(V1331="중복",0,N(D1331))</f>
        <v>60</v>
      </c>
      <c r="X1331" s="0" t="n">
        <f aca="false">IF(COUNTIFS($A$2:A1331,A1331,$C$2:C1331,C1331)=1,ABS(SUMIFS(RAW_발주!$D:$D,RAW_발주!$C:$C,A1331,RAW_발주!$A:$A,C1331)-SUMIFS($W:$W,$A:$A,A1331,$C:$C,C1331)),0)</f>
        <v>0</v>
      </c>
    </row>
    <row r="1332" customFormat="false" ht="15" hidden="false" customHeight="true" outlineLevel="0" collapsed="false">
      <c r="A1332" s="45" t="s">
        <v>1667</v>
      </c>
      <c r="B1332" s="42" t="str">
        <f aca="false">IF(A1332="100","HK",IF(A1332="200","CN",IF(A1332="300","TW","홀세일")))</f>
        <v>홀세일</v>
      </c>
      <c r="C1332" s="45" t="s">
        <v>952</v>
      </c>
      <c r="D1332" s="46" t="n">
        <v>125</v>
      </c>
      <c r="E1332" s="46" t="n">
        <v>69000</v>
      </c>
      <c r="F1332" s="46" t="n">
        <v>16412</v>
      </c>
      <c r="G1332" s="42" t="n">
        <v>2.55</v>
      </c>
      <c r="H1332" s="42" t="n">
        <v>18.4</v>
      </c>
      <c r="J1332" s="46" t="n">
        <f aca="false">IF(N(E1332)&gt;0,E1332,IF(N(F1332)&gt;0,F1332*요약!$F$27,0))</f>
        <v>69000</v>
      </c>
      <c r="K1332" s="46" t="n">
        <f aca="false">IF(N(F1332)&gt;0,F1332,IF(N(E1332)&gt;0,E1332/요약!$F$27,0))</f>
        <v>16412</v>
      </c>
      <c r="L1332" s="46" t="n">
        <f aca="false">IF(B1332="CN",IF(N(I1332)&gt;0,I1332*요약!$G$27,K1332*(1+요약!$E$27)),IF(N(H1332)&gt;0,H1332*요약!$G$27,J1332*요약!$D$27))</f>
        <v>24288</v>
      </c>
      <c r="M1332" s="46" t="n">
        <f aca="false">D1332*J1332</f>
        <v>8625000</v>
      </c>
      <c r="N1332" s="46" t="n">
        <f aca="false">D1332*K1332</f>
        <v>2051500</v>
      </c>
      <c r="O1332" s="46" t="n">
        <f aca="false">D1332*L1332</f>
        <v>3036000</v>
      </c>
      <c r="P1332" s="42" t="str">
        <f aca="false">TRIM(IF(N(E1332)&lt;=0,"택가보정 ","")&amp;IF(N(F1332)&lt;=0,"원가보정 ","")&amp;IF(AND(B1332&lt;&gt;"CN",N(H1332)&lt;=0),"공급가보정 ","")&amp;IF(AND(B1332="CN",N(I1332)&lt;=0),"중국공급가=원가+마진 ",""))</f>
        <v/>
      </c>
      <c r="Q1332" s="47" t="n">
        <f aca="false">IF(SUMIFS($W:$W,$A:$A,A1332,$C:$C,C1332)=0,0,SUMIFS(RAW_판매펀칭!$K:$K,RAW_판매펀칭!$P:$P,A1332,RAW_판매펀칭!$I:$I,C1332)*W1332/SUMIFS($W:$W,$A:$A,A1332,$C:$C,C1332))</f>
        <v>125</v>
      </c>
      <c r="R1332" s="47" t="n">
        <f aca="false">IF(OR(A1332="500",A1332="800",A1332="810"),0,MAX(W1332-Q1332,0))</f>
        <v>0</v>
      </c>
      <c r="S1332" s="47" t="n">
        <f aca="false">R1332*L1332</f>
        <v>0</v>
      </c>
      <c r="T1332" s="47" t="n">
        <f aca="false">R1332*J1332</f>
        <v>0</v>
      </c>
      <c r="U1332" s="47" t="n">
        <f aca="false">R1332*K1332</f>
        <v>0</v>
      </c>
      <c r="V1332" s="0" t="str">
        <f aca="false">IF(COUNTIFS($A$2:A1332,A1332,$C$2:C1332,C1332,$D$2:D1332,D1332)&gt;1,"중복","")</f>
        <v/>
      </c>
      <c r="W1332" s="0" t="n">
        <f aca="false">IF(V1332="중복",0,N(D1332))</f>
        <v>125</v>
      </c>
      <c r="X1332" s="0" t="n">
        <f aca="false">IF(COUNTIFS($A$2:A1332,A1332,$C$2:C1332,C1332)=1,ABS(SUMIFS(RAW_발주!$D:$D,RAW_발주!$C:$C,A1332,RAW_발주!$A:$A,C1332)-SUMIFS($W:$W,$A:$A,A1332,$C:$C,C1332)),0)</f>
        <v>0</v>
      </c>
    </row>
    <row r="1333" customFormat="false" ht="15" hidden="false" customHeight="true" outlineLevel="0" collapsed="false">
      <c r="A1333" s="45" t="s">
        <v>1659</v>
      </c>
      <c r="B1333" s="42" t="str">
        <f aca="false">IF(A1333="100","HK",IF(A1333="200","CN",IF(A1333="300","TW","홀세일")))</f>
        <v>HK</v>
      </c>
      <c r="C1333" s="45" t="s">
        <v>954</v>
      </c>
      <c r="D1333" s="46" t="n">
        <v>60</v>
      </c>
      <c r="E1333" s="46" t="n">
        <v>179000</v>
      </c>
      <c r="F1333" s="46" t="n">
        <v>45082</v>
      </c>
      <c r="G1333" s="42" t="n">
        <v>3.54</v>
      </c>
      <c r="H1333" s="42" t="n">
        <v>47.6</v>
      </c>
      <c r="J1333" s="46" t="n">
        <f aca="false">IF(N(E1333)&gt;0,E1333,IF(N(F1333)&gt;0,F1333*요약!$F$27,0))</f>
        <v>179000</v>
      </c>
      <c r="K1333" s="46" t="n">
        <f aca="false">IF(N(F1333)&gt;0,F1333,IF(N(E1333)&gt;0,E1333/요약!$F$27,0))</f>
        <v>45082</v>
      </c>
      <c r="L1333" s="46" t="n">
        <f aca="false">IF(B1333="CN",IF(N(I1333)&gt;0,I1333*요약!$G$27,K1333*(1+요약!$E$27)),IF(N(H1333)&gt;0,H1333*요약!$G$27,J1333*요약!$D$27))</f>
        <v>62832</v>
      </c>
      <c r="M1333" s="46" t="n">
        <f aca="false">D1333*J1333</f>
        <v>10740000</v>
      </c>
      <c r="N1333" s="46" t="n">
        <f aca="false">D1333*K1333</f>
        <v>2704920</v>
      </c>
      <c r="O1333" s="46" t="n">
        <f aca="false">D1333*L1333</f>
        <v>3769920</v>
      </c>
      <c r="P1333" s="42" t="str">
        <f aca="false">TRIM(IF(N(E1333)&lt;=0,"택가보정 ","")&amp;IF(N(F1333)&lt;=0,"원가보정 ","")&amp;IF(AND(B1333&lt;&gt;"CN",N(H1333)&lt;=0),"공급가보정 ","")&amp;IF(AND(B1333="CN",N(I1333)&lt;=0),"중국공급가=원가+마진 ",""))</f>
        <v/>
      </c>
      <c r="Q1333" s="47" t="n">
        <f aca="false">IF(SUMIFS($W:$W,$A:$A,A1333,$C:$C,C1333)=0,0,SUMIFS(RAW_판매펀칭!$K:$K,RAW_판매펀칭!$P:$P,A1333,RAW_판매펀칭!$I:$I,C1333)*W1333/SUMIFS($W:$W,$A:$A,A1333,$C:$C,C1333))</f>
        <v>60</v>
      </c>
      <c r="R1333" s="47" t="n">
        <f aca="false">IF(OR(A1333="500",A1333="800",A1333="810"),0,MAX(W1333-Q1333,0))</f>
        <v>0</v>
      </c>
      <c r="S1333" s="47" t="n">
        <f aca="false">R1333*L1333</f>
        <v>0</v>
      </c>
      <c r="T1333" s="47" t="n">
        <f aca="false">R1333*J1333</f>
        <v>0</v>
      </c>
      <c r="U1333" s="47" t="n">
        <f aca="false">R1333*K1333</f>
        <v>0</v>
      </c>
      <c r="V1333" s="0" t="str">
        <f aca="false">IF(COUNTIFS($A$2:A1333,A1333,$C$2:C1333,C1333,$D$2:D1333,D1333)&gt;1,"중복","")</f>
        <v/>
      </c>
      <c r="W1333" s="0" t="n">
        <f aca="false">IF(V1333="중복",0,N(D1333))</f>
        <v>60</v>
      </c>
      <c r="X1333" s="0" t="n">
        <f aca="false">IF(COUNTIFS($A$2:A1333,A1333,$C$2:C1333,C1333)=1,ABS(SUMIFS(RAW_발주!$D:$D,RAW_발주!$C:$C,A1333,RAW_발주!$A:$A,C1333)-SUMIFS($W:$W,$A:$A,A1333,$C:$C,C1333)),0)</f>
        <v>0</v>
      </c>
    </row>
    <row r="1334" customFormat="false" ht="15.75" hidden="false" customHeight="true" outlineLevel="0" collapsed="false">
      <c r="A1334" s="45" t="s">
        <v>1660</v>
      </c>
      <c r="B1334" s="42" t="str">
        <f aca="false">IF(A1334="100","HK",IF(A1334="200","CN",IF(A1334="300","TW","홀세일")))</f>
        <v>CN</v>
      </c>
      <c r="C1334" s="45" t="s">
        <v>954</v>
      </c>
      <c r="D1334" s="46" t="n">
        <v>242</v>
      </c>
      <c r="E1334" s="46" t="n">
        <v>179000</v>
      </c>
      <c r="F1334" s="46" t="n">
        <v>45082</v>
      </c>
      <c r="G1334" s="42" t="n">
        <v>3.54</v>
      </c>
      <c r="H1334" s="42" t="n">
        <v>47.6</v>
      </c>
      <c r="J1334" s="46" t="n">
        <f aca="false">IF(N(E1334)&gt;0,E1334,IF(N(F1334)&gt;0,F1334*요약!$F$27,0))</f>
        <v>179000</v>
      </c>
      <c r="K1334" s="46" t="n">
        <f aca="false">IF(N(F1334)&gt;0,F1334,IF(N(E1334)&gt;0,E1334/요약!$F$27,0))</f>
        <v>45082</v>
      </c>
      <c r="L1334" s="46" t="n">
        <f aca="false">IF(B1334="CN",IF(N(I1334)&gt;0,I1334*요약!$G$27,K1334*(1+요약!$E$27)),IF(N(H1334)&gt;0,H1334*요약!$G$27,J1334*요약!$D$27))</f>
        <v>47336.1</v>
      </c>
      <c r="M1334" s="46" t="n">
        <f aca="false">D1334*J1334</f>
        <v>43318000</v>
      </c>
      <c r="N1334" s="46" t="n">
        <f aca="false">D1334*K1334</f>
        <v>10909844</v>
      </c>
      <c r="O1334" s="46" t="n">
        <f aca="false">D1334*L1334</f>
        <v>11455336.2</v>
      </c>
      <c r="P1334" s="42" t="str">
        <f aca="false">TRIM(IF(N(E1334)&lt;=0,"택가보정 ","")&amp;IF(N(F1334)&lt;=0,"원가보정 ","")&amp;IF(AND(B1334&lt;&gt;"CN",N(H1334)&lt;=0),"공급가보정 ","")&amp;IF(AND(B1334="CN",N(I1334)&lt;=0),"중국공급가=원가+마진 ",""))</f>
        <v>중국공급가=원가+마진</v>
      </c>
      <c r="Q1334" s="47" t="n">
        <f aca="false">IF(SUMIFS($W:$W,$A:$A,A1334,$C:$C,C1334)=0,0,SUMIFS(RAW_판매펀칭!$K:$K,RAW_판매펀칭!$P:$P,A1334,RAW_판매펀칭!$I:$I,C1334)*W1334/SUMIFS($W:$W,$A:$A,A1334,$C:$C,C1334))</f>
        <v>242</v>
      </c>
      <c r="R1334" s="47" t="n">
        <f aca="false">IF(OR(A1334="500",A1334="800",A1334="810"),0,MAX(W1334-Q1334,0))</f>
        <v>0</v>
      </c>
      <c r="S1334" s="47" t="n">
        <f aca="false">R1334*L1334</f>
        <v>0</v>
      </c>
      <c r="T1334" s="47" t="n">
        <f aca="false">R1334*J1334</f>
        <v>0</v>
      </c>
      <c r="U1334" s="47" t="n">
        <f aca="false">R1334*K1334</f>
        <v>0</v>
      </c>
      <c r="V1334" s="0" t="str">
        <f aca="false">IF(COUNTIFS($A$2:A1334,A1334,$C$2:C1334,C1334,$D$2:D1334,D1334)&gt;1,"중복","")</f>
        <v/>
      </c>
      <c r="W1334" s="0" t="n">
        <f aca="false">IF(V1334="중복",0,N(D1334))</f>
        <v>242</v>
      </c>
      <c r="X1334" s="0" t="n">
        <f aca="false">IF(COUNTIFS($A$2:A1334,A1334,$C$2:C1334,C1334)=1,ABS(SUMIFS(RAW_발주!$D:$D,RAW_발주!$C:$C,A1334,RAW_발주!$A:$A,C1334)-SUMIFS($W:$W,$A:$A,A1334,$C:$C,C1334)),0)</f>
        <v>0</v>
      </c>
    </row>
    <row r="1335" customFormat="false" ht="15" hidden="false" customHeight="true" outlineLevel="0" collapsed="false">
      <c r="A1335" s="45" t="s">
        <v>1667</v>
      </c>
      <c r="B1335" s="42" t="str">
        <f aca="false">IF(A1335="100","HK",IF(A1335="200","CN",IF(A1335="300","TW","홀세일")))</f>
        <v>홀세일</v>
      </c>
      <c r="C1335" s="45" t="s">
        <v>954</v>
      </c>
      <c r="D1335" s="46" t="n">
        <v>80</v>
      </c>
      <c r="E1335" s="46" t="n">
        <v>179000</v>
      </c>
      <c r="F1335" s="46" t="n">
        <v>45082</v>
      </c>
      <c r="G1335" s="42" t="n">
        <v>3.54</v>
      </c>
      <c r="H1335" s="42" t="n">
        <v>47.6</v>
      </c>
      <c r="J1335" s="46" t="n">
        <f aca="false">IF(N(E1335)&gt;0,E1335,IF(N(F1335)&gt;0,F1335*요약!$F$27,0))</f>
        <v>179000</v>
      </c>
      <c r="K1335" s="46" t="n">
        <f aca="false">IF(N(F1335)&gt;0,F1335,IF(N(E1335)&gt;0,E1335/요약!$F$27,0))</f>
        <v>45082</v>
      </c>
      <c r="L1335" s="46" t="n">
        <f aca="false">IF(B1335="CN",IF(N(I1335)&gt;0,I1335*요약!$G$27,K1335*(1+요약!$E$27)),IF(N(H1335)&gt;0,H1335*요약!$G$27,J1335*요약!$D$27))</f>
        <v>62832</v>
      </c>
      <c r="M1335" s="46" t="n">
        <f aca="false">D1335*J1335</f>
        <v>14320000</v>
      </c>
      <c r="N1335" s="46" t="n">
        <f aca="false">D1335*K1335</f>
        <v>3606560</v>
      </c>
      <c r="O1335" s="46" t="n">
        <f aca="false">D1335*L1335</f>
        <v>5026560</v>
      </c>
      <c r="P1335" s="42" t="str">
        <f aca="false">TRIM(IF(N(E1335)&lt;=0,"택가보정 ","")&amp;IF(N(F1335)&lt;=0,"원가보정 ","")&amp;IF(AND(B1335&lt;&gt;"CN",N(H1335)&lt;=0),"공급가보정 ","")&amp;IF(AND(B1335="CN",N(I1335)&lt;=0),"중국공급가=원가+마진 ",""))</f>
        <v/>
      </c>
      <c r="Q1335" s="47" t="n">
        <f aca="false">IF(SUMIFS($W:$W,$A:$A,A1335,$C:$C,C1335)=0,0,SUMIFS(RAW_판매펀칭!$K:$K,RAW_판매펀칭!$P:$P,A1335,RAW_판매펀칭!$I:$I,C1335)*W1335/SUMIFS($W:$W,$A:$A,A1335,$C:$C,C1335))</f>
        <v>80</v>
      </c>
      <c r="R1335" s="47" t="n">
        <f aca="false">IF(OR(A1335="500",A1335="800",A1335="810"),0,MAX(W1335-Q1335,0))</f>
        <v>0</v>
      </c>
      <c r="S1335" s="47" t="n">
        <f aca="false">R1335*L1335</f>
        <v>0</v>
      </c>
      <c r="T1335" s="47" t="n">
        <f aca="false">R1335*J1335</f>
        <v>0</v>
      </c>
      <c r="U1335" s="47" t="n">
        <f aca="false">R1335*K1335</f>
        <v>0</v>
      </c>
      <c r="V1335" s="0" t="str">
        <f aca="false">IF(COUNTIFS($A$2:A1335,A1335,$C$2:C1335,C1335,$D$2:D1335,D1335)&gt;1,"중복","")</f>
        <v/>
      </c>
      <c r="W1335" s="0" t="n">
        <f aca="false">IF(V1335="중복",0,N(D1335))</f>
        <v>80</v>
      </c>
      <c r="X1335" s="0" t="n">
        <f aca="false">IF(COUNTIFS($A$2:A1335,A1335,$C$2:C1335,C1335)=1,ABS(SUMIFS(RAW_발주!$D:$D,RAW_발주!$C:$C,A1335,RAW_발주!$A:$A,C1335)-SUMIFS($W:$W,$A:$A,A1335,$C:$C,C1335)),0)</f>
        <v>0</v>
      </c>
    </row>
    <row r="1336" customFormat="false" ht="15" hidden="false" customHeight="true" outlineLevel="0" collapsed="false">
      <c r="A1336" s="45" t="s">
        <v>1659</v>
      </c>
      <c r="B1336" s="42" t="str">
        <f aca="false">IF(A1336="100","HK",IF(A1336="200","CN",IF(A1336="300","TW","홀세일")))</f>
        <v>HK</v>
      </c>
      <c r="C1336" s="45" t="s">
        <v>591</v>
      </c>
      <c r="D1336" s="46" t="n">
        <v>200</v>
      </c>
      <c r="E1336" s="46" t="n">
        <v>129000</v>
      </c>
      <c r="F1336" s="46" t="n">
        <v>30236</v>
      </c>
      <c r="G1336" s="42" t="n">
        <v>3.64</v>
      </c>
      <c r="H1336" s="42" t="n">
        <v>34.3</v>
      </c>
      <c r="J1336" s="46" t="n">
        <f aca="false">IF(N(E1336)&gt;0,E1336,IF(N(F1336)&gt;0,F1336*요약!$F$27,0))</f>
        <v>129000</v>
      </c>
      <c r="K1336" s="46" t="n">
        <f aca="false">IF(N(F1336)&gt;0,F1336,IF(N(E1336)&gt;0,E1336/요약!$F$27,0))</f>
        <v>30236</v>
      </c>
      <c r="L1336" s="46" t="n">
        <f aca="false">IF(B1336="CN",IF(N(I1336)&gt;0,I1336*요약!$G$27,K1336*(1+요약!$E$27)),IF(N(H1336)&gt;0,H1336*요약!$G$27,J1336*요약!$D$27))</f>
        <v>45276</v>
      </c>
      <c r="M1336" s="46" t="n">
        <f aca="false">D1336*J1336</f>
        <v>25800000</v>
      </c>
      <c r="N1336" s="46" t="n">
        <f aca="false">D1336*K1336</f>
        <v>6047200</v>
      </c>
      <c r="O1336" s="46" t="n">
        <f aca="false">D1336*L1336</f>
        <v>9055200</v>
      </c>
      <c r="P1336" s="42" t="str">
        <f aca="false">TRIM(IF(N(E1336)&lt;=0,"택가보정 ","")&amp;IF(N(F1336)&lt;=0,"원가보정 ","")&amp;IF(AND(B1336&lt;&gt;"CN",N(H1336)&lt;=0),"공급가보정 ","")&amp;IF(AND(B1336="CN",N(I1336)&lt;=0),"중국공급가=원가+마진 ",""))</f>
        <v/>
      </c>
      <c r="Q1336" s="47" t="n">
        <f aca="false">IF(SUMIFS($W:$W,$A:$A,A1336,$C:$C,C1336)=0,0,SUMIFS(RAW_판매펀칭!$K:$K,RAW_판매펀칭!$P:$P,A1336,RAW_판매펀칭!$I:$I,C1336)*W1336/SUMIFS($W:$W,$A:$A,A1336,$C:$C,C1336))</f>
        <v>0</v>
      </c>
      <c r="R1336" s="47" t="n">
        <f aca="false">IF(OR(A1336="500",A1336="800",A1336="810"),0,MAX(W1336-Q1336,0))</f>
        <v>200</v>
      </c>
      <c r="S1336" s="47" t="n">
        <f aca="false">R1336*L1336</f>
        <v>9055200</v>
      </c>
      <c r="T1336" s="47" t="n">
        <f aca="false">R1336*J1336</f>
        <v>25800000</v>
      </c>
      <c r="U1336" s="47" t="n">
        <f aca="false">R1336*K1336</f>
        <v>6047200</v>
      </c>
      <c r="V1336" s="0" t="str">
        <f aca="false">IF(COUNTIFS($A$2:A1336,A1336,$C$2:C1336,C1336,$D$2:D1336,D1336)&gt;1,"중복","")</f>
        <v/>
      </c>
      <c r="W1336" s="0" t="n">
        <f aca="false">IF(V1336="중복",0,N(D1336))</f>
        <v>200</v>
      </c>
      <c r="X1336" s="0" t="n">
        <f aca="false">IF(COUNTIFS($A$2:A1336,A1336,$C$2:C1336,C1336)=1,ABS(SUMIFS(RAW_발주!$D:$D,RAW_발주!$C:$C,A1336,RAW_발주!$A:$A,C1336)-SUMIFS($W:$W,$A:$A,A1336,$C:$C,C1336)),0)</f>
        <v>0</v>
      </c>
    </row>
    <row r="1337" customFormat="false" ht="15" hidden="false" customHeight="true" outlineLevel="0" collapsed="false">
      <c r="A1337" s="45" t="s">
        <v>1661</v>
      </c>
      <c r="B1337" s="42" t="str">
        <f aca="false">IF(A1337="100","HK",IF(A1337="200","CN",IF(A1337="300","TW","홀세일")))</f>
        <v>TW</v>
      </c>
      <c r="C1337" s="45" t="s">
        <v>591</v>
      </c>
      <c r="D1337" s="46" t="n">
        <v>30</v>
      </c>
      <c r="E1337" s="46" t="n">
        <v>129000</v>
      </c>
      <c r="F1337" s="46" t="n">
        <v>30236</v>
      </c>
      <c r="G1337" s="42" t="n">
        <v>3.64</v>
      </c>
      <c r="H1337" s="42" t="n">
        <v>34.3</v>
      </c>
      <c r="J1337" s="46" t="n">
        <f aca="false">IF(N(E1337)&gt;0,E1337,IF(N(F1337)&gt;0,F1337*요약!$F$27,0))</f>
        <v>129000</v>
      </c>
      <c r="K1337" s="46" t="n">
        <f aca="false">IF(N(F1337)&gt;0,F1337,IF(N(E1337)&gt;0,E1337/요약!$F$27,0))</f>
        <v>30236</v>
      </c>
      <c r="L1337" s="46" t="n">
        <f aca="false">IF(B1337="CN",IF(N(I1337)&gt;0,I1337*요약!$G$27,K1337*(1+요약!$E$27)),IF(N(H1337)&gt;0,H1337*요약!$G$27,J1337*요약!$D$27))</f>
        <v>45276</v>
      </c>
      <c r="M1337" s="46" t="n">
        <f aca="false">D1337*J1337</f>
        <v>3870000</v>
      </c>
      <c r="N1337" s="46" t="n">
        <f aca="false">D1337*K1337</f>
        <v>907080</v>
      </c>
      <c r="O1337" s="46" t="n">
        <f aca="false">D1337*L1337</f>
        <v>1358280</v>
      </c>
      <c r="P1337" s="42" t="str">
        <f aca="false">TRIM(IF(N(E1337)&lt;=0,"택가보정 ","")&amp;IF(N(F1337)&lt;=0,"원가보정 ","")&amp;IF(AND(B1337&lt;&gt;"CN",N(H1337)&lt;=0),"공급가보정 ","")&amp;IF(AND(B1337="CN",N(I1337)&lt;=0),"중국공급가=원가+마진 ",""))</f>
        <v/>
      </c>
      <c r="Q1337" s="47" t="n">
        <f aca="false">IF(SUMIFS($W:$W,$A:$A,A1337,$C:$C,C1337)=0,0,SUMIFS(RAW_판매펀칭!$K:$K,RAW_판매펀칭!$P:$P,A1337,RAW_판매펀칭!$I:$I,C1337)*W1337/SUMIFS($W:$W,$A:$A,A1337,$C:$C,C1337))</f>
        <v>30</v>
      </c>
      <c r="R1337" s="47" t="n">
        <f aca="false">IF(OR(A1337="500",A1337="800",A1337="810"),0,MAX(W1337-Q1337,0))</f>
        <v>0</v>
      </c>
      <c r="S1337" s="47" t="n">
        <f aca="false">R1337*L1337</f>
        <v>0</v>
      </c>
      <c r="T1337" s="47" t="n">
        <f aca="false">R1337*J1337</f>
        <v>0</v>
      </c>
      <c r="U1337" s="47" t="n">
        <f aca="false">R1337*K1337</f>
        <v>0</v>
      </c>
      <c r="V1337" s="0" t="str">
        <f aca="false">IF(COUNTIFS($A$2:A1337,A1337,$C$2:C1337,C1337,$D$2:D1337,D1337)&gt;1,"중복","")</f>
        <v/>
      </c>
      <c r="W1337" s="0" t="n">
        <f aca="false">IF(V1337="중복",0,N(D1337))</f>
        <v>30</v>
      </c>
      <c r="X1337" s="0" t="n">
        <f aca="false">IF(COUNTIFS($A$2:A1337,A1337,$C$2:C1337,C1337)=1,ABS(SUMIFS(RAW_발주!$D:$D,RAW_발주!$C:$C,A1337,RAW_발주!$A:$A,C1337)-SUMIFS($W:$W,$A:$A,A1337,$C:$C,C1337)),0)</f>
        <v>0</v>
      </c>
    </row>
    <row r="1338" customFormat="false" ht="15" hidden="false" customHeight="true" outlineLevel="0" collapsed="false">
      <c r="A1338" s="45" t="s">
        <v>1667</v>
      </c>
      <c r="B1338" s="42" t="str">
        <f aca="false">IF(A1338="100","HK",IF(A1338="200","CN",IF(A1338="300","TW","홀세일")))</f>
        <v>홀세일</v>
      </c>
      <c r="C1338" s="45" t="s">
        <v>591</v>
      </c>
      <c r="D1338" s="46" t="n">
        <v>92</v>
      </c>
      <c r="E1338" s="46" t="n">
        <v>129000</v>
      </c>
      <c r="F1338" s="46" t="n">
        <v>30236</v>
      </c>
      <c r="G1338" s="42" t="n">
        <v>3.64</v>
      </c>
      <c r="H1338" s="42" t="n">
        <v>34.3</v>
      </c>
      <c r="J1338" s="46" t="n">
        <f aca="false">IF(N(E1338)&gt;0,E1338,IF(N(F1338)&gt;0,F1338*요약!$F$27,0))</f>
        <v>129000</v>
      </c>
      <c r="K1338" s="46" t="n">
        <f aca="false">IF(N(F1338)&gt;0,F1338,IF(N(E1338)&gt;0,E1338/요약!$F$27,0))</f>
        <v>30236</v>
      </c>
      <c r="L1338" s="46" t="n">
        <f aca="false">IF(B1338="CN",IF(N(I1338)&gt;0,I1338*요약!$G$27,K1338*(1+요약!$E$27)),IF(N(H1338)&gt;0,H1338*요약!$G$27,J1338*요약!$D$27))</f>
        <v>45276</v>
      </c>
      <c r="M1338" s="46" t="n">
        <f aca="false">D1338*J1338</f>
        <v>11868000</v>
      </c>
      <c r="N1338" s="46" t="n">
        <f aca="false">D1338*K1338</f>
        <v>2781712</v>
      </c>
      <c r="O1338" s="46" t="n">
        <f aca="false">D1338*L1338</f>
        <v>4165392</v>
      </c>
      <c r="P1338" s="42" t="str">
        <f aca="false">TRIM(IF(N(E1338)&lt;=0,"택가보정 ","")&amp;IF(N(F1338)&lt;=0,"원가보정 ","")&amp;IF(AND(B1338&lt;&gt;"CN",N(H1338)&lt;=0),"공급가보정 ","")&amp;IF(AND(B1338="CN",N(I1338)&lt;=0),"중국공급가=원가+마진 ",""))</f>
        <v/>
      </c>
      <c r="Q1338" s="47" t="n">
        <f aca="false">IF(SUMIFS($W:$W,$A:$A,A1338,$C:$C,C1338)=0,0,SUMIFS(RAW_판매펀칭!$K:$K,RAW_판매펀칭!$P:$P,A1338,RAW_판매펀칭!$I:$I,C1338)*W1338/SUMIFS($W:$W,$A:$A,A1338,$C:$C,C1338))</f>
        <v>92</v>
      </c>
      <c r="R1338" s="47" t="n">
        <f aca="false">IF(OR(A1338="500",A1338="800",A1338="810"),0,MAX(W1338-Q1338,0))</f>
        <v>0</v>
      </c>
      <c r="S1338" s="47" t="n">
        <f aca="false">R1338*L1338</f>
        <v>0</v>
      </c>
      <c r="T1338" s="47" t="n">
        <f aca="false">R1338*J1338</f>
        <v>0</v>
      </c>
      <c r="U1338" s="47" t="n">
        <f aca="false">R1338*K1338</f>
        <v>0</v>
      </c>
      <c r="V1338" s="0" t="str">
        <f aca="false">IF(COUNTIFS($A$2:A1338,A1338,$C$2:C1338,C1338,$D$2:D1338,D1338)&gt;1,"중복","")</f>
        <v/>
      </c>
      <c r="W1338" s="0" t="n">
        <f aca="false">IF(V1338="중복",0,N(D1338))</f>
        <v>92</v>
      </c>
      <c r="X1338" s="0" t="n">
        <f aca="false">IF(COUNTIFS($A$2:A1338,A1338,$C$2:C1338,C1338)=1,ABS(SUMIFS(RAW_발주!$D:$D,RAW_발주!$C:$C,A1338,RAW_발주!$A:$A,C1338)-SUMIFS($W:$W,$A:$A,A1338,$C:$C,C1338)),0)</f>
        <v>0</v>
      </c>
    </row>
    <row r="1339" customFormat="false" ht="15" hidden="false" customHeight="true" outlineLevel="0" collapsed="false">
      <c r="A1339" s="45" t="s">
        <v>1664</v>
      </c>
      <c r="B1339" s="42" t="str">
        <f aca="false">IF(A1339="100","HK",IF(A1339="200","CN",IF(A1339="300","TW","홀세일")))</f>
        <v>홀세일</v>
      </c>
      <c r="C1339" s="45" t="s">
        <v>591</v>
      </c>
      <c r="D1339" s="46" t="n">
        <v>90</v>
      </c>
      <c r="E1339" s="46" t="n">
        <v>129000</v>
      </c>
      <c r="F1339" s="46" t="n">
        <v>30236</v>
      </c>
      <c r="G1339" s="42" t="n">
        <v>3.64</v>
      </c>
      <c r="H1339" s="42" t="n">
        <v>34.3</v>
      </c>
      <c r="J1339" s="46" t="n">
        <f aca="false">IF(N(E1339)&gt;0,E1339,IF(N(F1339)&gt;0,F1339*요약!$F$27,0))</f>
        <v>129000</v>
      </c>
      <c r="K1339" s="46" t="n">
        <f aca="false">IF(N(F1339)&gt;0,F1339,IF(N(E1339)&gt;0,E1339/요약!$F$27,0))</f>
        <v>30236</v>
      </c>
      <c r="L1339" s="46" t="n">
        <f aca="false">IF(B1339="CN",IF(N(I1339)&gt;0,I1339*요약!$G$27,K1339*(1+요약!$E$27)),IF(N(H1339)&gt;0,H1339*요약!$G$27,J1339*요약!$D$27))</f>
        <v>45276</v>
      </c>
      <c r="M1339" s="46" t="n">
        <f aca="false">D1339*J1339</f>
        <v>11610000</v>
      </c>
      <c r="N1339" s="46" t="n">
        <f aca="false">D1339*K1339</f>
        <v>2721240</v>
      </c>
      <c r="O1339" s="46" t="n">
        <f aca="false">D1339*L1339</f>
        <v>4074840</v>
      </c>
      <c r="P1339" s="42" t="str">
        <f aca="false">TRIM(IF(N(E1339)&lt;=0,"택가보정 ","")&amp;IF(N(F1339)&lt;=0,"원가보정 ","")&amp;IF(AND(B1339&lt;&gt;"CN",N(H1339)&lt;=0),"공급가보정 ","")&amp;IF(AND(B1339="CN",N(I1339)&lt;=0),"중국공급가=원가+마진 ",""))</f>
        <v/>
      </c>
      <c r="Q1339" s="47" t="n">
        <f aca="false">IF(SUMIFS($W:$W,$A:$A,A1339,$C:$C,C1339)=0,0,SUMIFS(RAW_판매펀칭!$K:$K,RAW_판매펀칭!$P:$P,A1339,RAW_판매펀칭!$I:$I,C1339)*W1339/SUMIFS($W:$W,$A:$A,A1339,$C:$C,C1339))</f>
        <v>90</v>
      </c>
      <c r="R1339" s="47" t="n">
        <f aca="false">IF(OR(A1339="500",A1339="800",A1339="810"),0,MAX(W1339-Q1339,0))</f>
        <v>0</v>
      </c>
      <c r="S1339" s="47" t="n">
        <f aca="false">R1339*L1339</f>
        <v>0</v>
      </c>
      <c r="T1339" s="47" t="n">
        <f aca="false">R1339*J1339</f>
        <v>0</v>
      </c>
      <c r="U1339" s="47" t="n">
        <f aca="false">R1339*K1339</f>
        <v>0</v>
      </c>
      <c r="V1339" s="0" t="str">
        <f aca="false">IF(COUNTIFS($A$2:A1339,A1339,$C$2:C1339,C1339,$D$2:D1339,D1339)&gt;1,"중복","")</f>
        <v/>
      </c>
      <c r="W1339" s="0" t="n">
        <f aca="false">IF(V1339="중복",0,N(D1339))</f>
        <v>90</v>
      </c>
      <c r="X1339" s="0" t="n">
        <f aca="false">IF(COUNTIFS($A$2:A1339,A1339,$C$2:C1339,C1339)=1,ABS(SUMIFS(RAW_발주!$D:$D,RAW_발주!$C:$C,A1339,RAW_발주!$A:$A,C1339)-SUMIFS($W:$W,$A:$A,A1339,$C:$C,C1339)),0)</f>
        <v>0</v>
      </c>
    </row>
    <row r="1340" customFormat="false" ht="15" hidden="false" customHeight="true" outlineLevel="0" collapsed="false">
      <c r="A1340" s="45" t="s">
        <v>1665</v>
      </c>
      <c r="B1340" s="42" t="str">
        <f aca="false">IF(A1340="100","HK",IF(A1340="200","CN",IF(A1340="300","TW","홀세일")))</f>
        <v>홀세일</v>
      </c>
      <c r="C1340" s="45" t="s">
        <v>591</v>
      </c>
      <c r="D1340" s="46" t="n">
        <v>48</v>
      </c>
      <c r="E1340" s="46" t="n">
        <v>129000</v>
      </c>
      <c r="F1340" s="46" t="n">
        <v>30236</v>
      </c>
      <c r="G1340" s="42" t="n">
        <v>3.64</v>
      </c>
      <c r="H1340" s="42" t="n">
        <v>34.3</v>
      </c>
      <c r="J1340" s="46" t="n">
        <f aca="false">IF(N(E1340)&gt;0,E1340,IF(N(F1340)&gt;0,F1340*요약!$F$27,0))</f>
        <v>129000</v>
      </c>
      <c r="K1340" s="46" t="n">
        <f aca="false">IF(N(F1340)&gt;0,F1340,IF(N(E1340)&gt;0,E1340/요약!$F$27,0))</f>
        <v>30236</v>
      </c>
      <c r="L1340" s="46" t="n">
        <f aca="false">IF(B1340="CN",IF(N(I1340)&gt;0,I1340*요약!$G$27,K1340*(1+요약!$E$27)),IF(N(H1340)&gt;0,H1340*요약!$G$27,J1340*요약!$D$27))</f>
        <v>45276</v>
      </c>
      <c r="M1340" s="46" t="n">
        <f aca="false">D1340*J1340</f>
        <v>6192000</v>
      </c>
      <c r="N1340" s="46" t="n">
        <f aca="false">D1340*K1340</f>
        <v>1451328</v>
      </c>
      <c r="O1340" s="46" t="n">
        <f aca="false">D1340*L1340</f>
        <v>2173248</v>
      </c>
      <c r="P1340" s="42" t="str">
        <f aca="false">TRIM(IF(N(E1340)&lt;=0,"택가보정 ","")&amp;IF(N(F1340)&lt;=0,"원가보정 ","")&amp;IF(AND(B1340&lt;&gt;"CN",N(H1340)&lt;=0),"공급가보정 ","")&amp;IF(AND(B1340="CN",N(I1340)&lt;=0),"중국공급가=원가+마진 ",""))</f>
        <v/>
      </c>
      <c r="Q1340" s="47" t="n">
        <f aca="false">IF(SUMIFS($W:$W,$A:$A,A1340,$C:$C,C1340)=0,0,SUMIFS(RAW_판매펀칭!$K:$K,RAW_판매펀칭!$P:$P,A1340,RAW_판매펀칭!$I:$I,C1340)*W1340/SUMIFS($W:$W,$A:$A,A1340,$C:$C,C1340))</f>
        <v>48</v>
      </c>
      <c r="R1340" s="47" t="n">
        <f aca="false">IF(OR(A1340="500",A1340="800",A1340="810"),0,MAX(W1340-Q1340,0))</f>
        <v>0</v>
      </c>
      <c r="S1340" s="47" t="n">
        <f aca="false">R1340*L1340</f>
        <v>0</v>
      </c>
      <c r="T1340" s="47" t="n">
        <f aca="false">R1340*J1340</f>
        <v>0</v>
      </c>
      <c r="U1340" s="47" t="n">
        <f aca="false">R1340*K1340</f>
        <v>0</v>
      </c>
      <c r="V1340" s="0" t="str">
        <f aca="false">IF(COUNTIFS($A$2:A1340,A1340,$C$2:C1340,C1340,$D$2:D1340,D1340)&gt;1,"중복","")</f>
        <v/>
      </c>
      <c r="W1340" s="0" t="n">
        <f aca="false">IF(V1340="중복",0,N(D1340))</f>
        <v>48</v>
      </c>
      <c r="X1340" s="0" t="n">
        <f aca="false">IF(COUNTIFS($A$2:A1340,A1340,$C$2:C1340,C1340)=1,ABS(SUMIFS(RAW_발주!$D:$D,RAW_발주!$C:$C,A1340,RAW_발주!$A:$A,C1340)-SUMIFS($W:$W,$A:$A,A1340,$C:$C,C1340)),0)</f>
        <v>0</v>
      </c>
    </row>
    <row r="1341" customFormat="false" ht="15.75" hidden="false" customHeight="true" outlineLevel="0" collapsed="false">
      <c r="A1341" s="45" t="s">
        <v>1660</v>
      </c>
      <c r="B1341" s="42" t="str">
        <f aca="false">IF(A1341="100","HK",IF(A1341="200","CN",IF(A1341="300","TW","홀세일")))</f>
        <v>CN</v>
      </c>
      <c r="C1341" s="45" t="s">
        <v>1105</v>
      </c>
      <c r="D1341" s="46" t="n">
        <v>112</v>
      </c>
      <c r="E1341" s="46" t="n">
        <v>109000</v>
      </c>
      <c r="F1341" s="46" t="n">
        <v>26971</v>
      </c>
      <c r="G1341" s="42" t="n">
        <v>3.44</v>
      </c>
      <c r="H1341" s="42" t="n">
        <v>29</v>
      </c>
      <c r="J1341" s="46" t="n">
        <f aca="false">IF(N(E1341)&gt;0,E1341,IF(N(F1341)&gt;0,F1341*요약!$F$27,0))</f>
        <v>109000</v>
      </c>
      <c r="K1341" s="46" t="n">
        <f aca="false">IF(N(F1341)&gt;0,F1341,IF(N(E1341)&gt;0,E1341/요약!$F$27,0))</f>
        <v>26971</v>
      </c>
      <c r="L1341" s="46" t="n">
        <f aca="false">IF(B1341="CN",IF(N(I1341)&gt;0,I1341*요약!$G$27,K1341*(1+요약!$E$27)),IF(N(H1341)&gt;0,H1341*요약!$G$27,J1341*요약!$D$27))</f>
        <v>28319.55</v>
      </c>
      <c r="M1341" s="46" t="n">
        <f aca="false">D1341*J1341</f>
        <v>12208000</v>
      </c>
      <c r="N1341" s="46" t="n">
        <f aca="false">D1341*K1341</f>
        <v>3020752</v>
      </c>
      <c r="O1341" s="46" t="n">
        <f aca="false">D1341*L1341</f>
        <v>3171789.6</v>
      </c>
      <c r="P1341" s="42" t="str">
        <f aca="false">TRIM(IF(N(E1341)&lt;=0,"택가보정 ","")&amp;IF(N(F1341)&lt;=0,"원가보정 ","")&amp;IF(AND(B1341&lt;&gt;"CN",N(H1341)&lt;=0),"공급가보정 ","")&amp;IF(AND(B1341="CN",N(I1341)&lt;=0),"중국공급가=원가+마진 ",""))</f>
        <v>중국공급가=원가+마진</v>
      </c>
      <c r="Q1341" s="47" t="n">
        <f aca="false">IF(SUMIFS($W:$W,$A:$A,A1341,$C:$C,C1341)=0,0,SUMIFS(RAW_판매펀칭!$K:$K,RAW_판매펀칭!$P:$P,A1341,RAW_판매펀칭!$I:$I,C1341)*W1341/SUMIFS($W:$W,$A:$A,A1341,$C:$C,C1341))</f>
        <v>110</v>
      </c>
      <c r="R1341" s="47" t="n">
        <f aca="false">IF(OR(A1341="500",A1341="800",A1341="810"),0,MAX(W1341-Q1341,0))</f>
        <v>2</v>
      </c>
      <c r="S1341" s="47" t="n">
        <f aca="false">R1341*L1341</f>
        <v>56639.1</v>
      </c>
      <c r="T1341" s="47" t="n">
        <f aca="false">R1341*J1341</f>
        <v>218000</v>
      </c>
      <c r="U1341" s="47" t="n">
        <f aca="false">R1341*K1341</f>
        <v>53942</v>
      </c>
      <c r="V1341" s="0" t="str">
        <f aca="false">IF(COUNTIFS($A$2:A1341,A1341,$C$2:C1341,C1341,$D$2:D1341,D1341)&gt;1,"중복","")</f>
        <v/>
      </c>
      <c r="W1341" s="0" t="n">
        <f aca="false">IF(V1341="중복",0,N(D1341))</f>
        <v>112</v>
      </c>
      <c r="X1341" s="0" t="n">
        <f aca="false">IF(COUNTIFS($A$2:A1341,A1341,$C$2:C1341,C1341)=1,ABS(SUMIFS(RAW_발주!$D:$D,RAW_발주!$C:$C,A1341,RAW_발주!$A:$A,C1341)-SUMIFS($W:$W,$A:$A,A1341,$C:$C,C1341)),0)</f>
        <v>0</v>
      </c>
    </row>
    <row r="1342" customFormat="false" ht="15" hidden="false" customHeight="true" outlineLevel="0" collapsed="false">
      <c r="A1342" s="45" t="s">
        <v>1663</v>
      </c>
      <c r="B1342" s="42" t="str">
        <f aca="false">IF(A1342="100","HK",IF(A1342="200","CN",IF(A1342="300","TW","홀세일")))</f>
        <v>홀세일</v>
      </c>
      <c r="C1342" s="45" t="s">
        <v>1105</v>
      </c>
      <c r="D1342" s="46" t="n">
        <v>35</v>
      </c>
      <c r="E1342" s="46" t="n">
        <v>109000</v>
      </c>
      <c r="F1342" s="46" t="n">
        <v>26971</v>
      </c>
      <c r="G1342" s="42" t="n">
        <v>3.44</v>
      </c>
      <c r="H1342" s="42" t="n">
        <v>29</v>
      </c>
      <c r="J1342" s="46" t="n">
        <f aca="false">IF(N(E1342)&gt;0,E1342,IF(N(F1342)&gt;0,F1342*요약!$F$27,0))</f>
        <v>109000</v>
      </c>
      <c r="K1342" s="46" t="n">
        <f aca="false">IF(N(F1342)&gt;0,F1342,IF(N(E1342)&gt;0,E1342/요약!$F$27,0))</f>
        <v>26971</v>
      </c>
      <c r="L1342" s="46" t="n">
        <f aca="false">IF(B1342="CN",IF(N(I1342)&gt;0,I1342*요약!$G$27,K1342*(1+요약!$E$27)),IF(N(H1342)&gt;0,H1342*요약!$G$27,J1342*요약!$D$27))</f>
        <v>38280</v>
      </c>
      <c r="M1342" s="46" t="n">
        <f aca="false">D1342*J1342</f>
        <v>3815000</v>
      </c>
      <c r="N1342" s="46" t="n">
        <f aca="false">D1342*K1342</f>
        <v>943985</v>
      </c>
      <c r="O1342" s="46" t="n">
        <f aca="false">D1342*L1342</f>
        <v>1339800</v>
      </c>
      <c r="P1342" s="42" t="str">
        <f aca="false">TRIM(IF(N(E1342)&lt;=0,"택가보정 ","")&amp;IF(N(F1342)&lt;=0,"원가보정 ","")&amp;IF(AND(B1342&lt;&gt;"CN",N(H1342)&lt;=0),"공급가보정 ","")&amp;IF(AND(B1342="CN",N(I1342)&lt;=0),"중국공급가=원가+마진 ",""))</f>
        <v/>
      </c>
      <c r="Q1342" s="47" t="n">
        <f aca="false">IF(SUMIFS($W:$W,$A:$A,A1342,$C:$C,C1342)=0,0,SUMIFS(RAW_판매펀칭!$K:$K,RAW_판매펀칭!$P:$P,A1342,RAW_판매펀칭!$I:$I,C1342)*W1342/SUMIFS($W:$W,$A:$A,A1342,$C:$C,C1342))</f>
        <v>35</v>
      </c>
      <c r="R1342" s="47" t="n">
        <f aca="false">IF(OR(A1342="500",A1342="800",A1342="810"),0,MAX(W1342-Q1342,0))</f>
        <v>0</v>
      </c>
      <c r="S1342" s="47" t="n">
        <f aca="false">R1342*L1342</f>
        <v>0</v>
      </c>
      <c r="T1342" s="47" t="n">
        <f aca="false">R1342*J1342</f>
        <v>0</v>
      </c>
      <c r="U1342" s="47" t="n">
        <f aca="false">R1342*K1342</f>
        <v>0</v>
      </c>
      <c r="V1342" s="0" t="str">
        <f aca="false">IF(COUNTIFS($A$2:A1342,A1342,$C$2:C1342,C1342,$D$2:D1342,D1342)&gt;1,"중복","")</f>
        <v/>
      </c>
      <c r="W1342" s="0" t="n">
        <f aca="false">IF(V1342="중복",0,N(D1342))</f>
        <v>35</v>
      </c>
      <c r="X1342" s="0" t="n">
        <f aca="false">IF(COUNTIFS($A$2:A1342,A1342,$C$2:C1342,C1342)=1,ABS(SUMIFS(RAW_발주!$D:$D,RAW_발주!$C:$C,A1342,RAW_발주!$A:$A,C1342)-SUMIFS($W:$W,$A:$A,A1342,$C:$C,C1342)),0)</f>
        <v>0</v>
      </c>
    </row>
    <row r="1343" customFormat="false" ht="15" hidden="false" customHeight="true" outlineLevel="0" collapsed="false">
      <c r="A1343" s="45" t="s">
        <v>1664</v>
      </c>
      <c r="B1343" s="42" t="str">
        <f aca="false">IF(A1343="100","HK",IF(A1343="200","CN",IF(A1343="300","TW","홀세일")))</f>
        <v>홀세일</v>
      </c>
      <c r="C1343" s="45" t="s">
        <v>1105</v>
      </c>
      <c r="D1343" s="46" t="n">
        <v>65</v>
      </c>
      <c r="E1343" s="46" t="n">
        <v>109000</v>
      </c>
      <c r="F1343" s="46" t="n">
        <v>26971</v>
      </c>
      <c r="G1343" s="42" t="n">
        <v>3.44</v>
      </c>
      <c r="H1343" s="42" t="n">
        <v>29</v>
      </c>
      <c r="J1343" s="46" t="n">
        <f aca="false">IF(N(E1343)&gt;0,E1343,IF(N(F1343)&gt;0,F1343*요약!$F$27,0))</f>
        <v>109000</v>
      </c>
      <c r="K1343" s="46" t="n">
        <f aca="false">IF(N(F1343)&gt;0,F1343,IF(N(E1343)&gt;0,E1343/요약!$F$27,0))</f>
        <v>26971</v>
      </c>
      <c r="L1343" s="46" t="n">
        <f aca="false">IF(B1343="CN",IF(N(I1343)&gt;0,I1343*요약!$G$27,K1343*(1+요약!$E$27)),IF(N(H1343)&gt;0,H1343*요약!$G$27,J1343*요약!$D$27))</f>
        <v>38280</v>
      </c>
      <c r="M1343" s="46" t="n">
        <f aca="false">D1343*J1343</f>
        <v>7085000</v>
      </c>
      <c r="N1343" s="46" t="n">
        <f aca="false">D1343*K1343</f>
        <v>1753115</v>
      </c>
      <c r="O1343" s="46" t="n">
        <f aca="false">D1343*L1343</f>
        <v>2488200</v>
      </c>
      <c r="P1343" s="42" t="str">
        <f aca="false">TRIM(IF(N(E1343)&lt;=0,"택가보정 ","")&amp;IF(N(F1343)&lt;=0,"원가보정 ","")&amp;IF(AND(B1343&lt;&gt;"CN",N(H1343)&lt;=0),"공급가보정 ","")&amp;IF(AND(B1343="CN",N(I1343)&lt;=0),"중국공급가=원가+마진 ",""))</f>
        <v/>
      </c>
      <c r="Q1343" s="47" t="n">
        <f aca="false">IF(SUMIFS($W:$W,$A:$A,A1343,$C:$C,C1343)=0,0,SUMIFS(RAW_판매펀칭!$K:$K,RAW_판매펀칭!$P:$P,A1343,RAW_판매펀칭!$I:$I,C1343)*W1343/SUMIFS($W:$W,$A:$A,A1343,$C:$C,C1343))</f>
        <v>65</v>
      </c>
      <c r="R1343" s="47" t="n">
        <f aca="false">IF(OR(A1343="500",A1343="800",A1343="810"),0,MAX(W1343-Q1343,0))</f>
        <v>0</v>
      </c>
      <c r="S1343" s="47" t="n">
        <f aca="false">R1343*L1343</f>
        <v>0</v>
      </c>
      <c r="T1343" s="47" t="n">
        <f aca="false">R1343*J1343</f>
        <v>0</v>
      </c>
      <c r="U1343" s="47" t="n">
        <f aca="false">R1343*K1343</f>
        <v>0</v>
      </c>
      <c r="V1343" s="0" t="str">
        <f aca="false">IF(COUNTIFS($A$2:A1343,A1343,$C$2:C1343,C1343,$D$2:D1343,D1343)&gt;1,"중복","")</f>
        <v/>
      </c>
      <c r="W1343" s="0" t="n">
        <f aca="false">IF(V1343="중복",0,N(D1343))</f>
        <v>65</v>
      </c>
      <c r="X1343" s="0" t="n">
        <f aca="false">IF(COUNTIFS($A$2:A1343,A1343,$C$2:C1343,C1343)=1,ABS(SUMIFS(RAW_발주!$D:$D,RAW_발주!$C:$C,A1343,RAW_발주!$A:$A,C1343)-SUMIFS($W:$W,$A:$A,A1343,$C:$C,C1343)),0)</f>
        <v>0</v>
      </c>
    </row>
    <row r="1344" customFormat="false" ht="15" hidden="false" customHeight="true" outlineLevel="0" collapsed="false">
      <c r="A1344" s="45" t="s">
        <v>1661</v>
      </c>
      <c r="B1344" s="42" t="str">
        <f aca="false">IF(A1344="100","HK",IF(A1344="200","CN",IF(A1344="300","TW","홀세일")))</f>
        <v>TW</v>
      </c>
      <c r="C1344" s="45" t="s">
        <v>593</v>
      </c>
      <c r="D1344" s="46" t="n">
        <v>250</v>
      </c>
      <c r="E1344" s="46" t="n">
        <v>119000</v>
      </c>
      <c r="F1344" s="46" t="n">
        <v>28514</v>
      </c>
      <c r="G1344" s="42" t="n">
        <v>3.61</v>
      </c>
      <c r="H1344" s="42" t="n">
        <v>31.6</v>
      </c>
      <c r="J1344" s="46" t="n">
        <f aca="false">IF(N(E1344)&gt;0,E1344,IF(N(F1344)&gt;0,F1344*요약!$F$27,0))</f>
        <v>119000</v>
      </c>
      <c r="K1344" s="46" t="n">
        <f aca="false">IF(N(F1344)&gt;0,F1344,IF(N(E1344)&gt;0,E1344/요약!$F$27,0))</f>
        <v>28514</v>
      </c>
      <c r="L1344" s="46" t="n">
        <f aca="false">IF(B1344="CN",IF(N(I1344)&gt;0,I1344*요약!$G$27,K1344*(1+요약!$E$27)),IF(N(H1344)&gt;0,H1344*요약!$G$27,J1344*요약!$D$27))</f>
        <v>41712</v>
      </c>
      <c r="M1344" s="46" t="n">
        <f aca="false">D1344*J1344</f>
        <v>29750000</v>
      </c>
      <c r="N1344" s="46" t="n">
        <f aca="false">D1344*K1344</f>
        <v>7128500</v>
      </c>
      <c r="O1344" s="46" t="n">
        <f aca="false">D1344*L1344</f>
        <v>10428000</v>
      </c>
      <c r="P1344" s="42" t="str">
        <f aca="false">TRIM(IF(N(E1344)&lt;=0,"택가보정 ","")&amp;IF(N(F1344)&lt;=0,"원가보정 ","")&amp;IF(AND(B1344&lt;&gt;"CN",N(H1344)&lt;=0),"공급가보정 ","")&amp;IF(AND(B1344="CN",N(I1344)&lt;=0),"중국공급가=원가+마진 ",""))</f>
        <v/>
      </c>
      <c r="Q1344" s="47" t="n">
        <f aca="false">IF(SUMIFS($W:$W,$A:$A,A1344,$C:$C,C1344)=0,0,SUMIFS(RAW_판매펀칭!$K:$K,RAW_판매펀칭!$P:$P,A1344,RAW_판매펀칭!$I:$I,C1344)*W1344/SUMIFS($W:$W,$A:$A,A1344,$C:$C,C1344))</f>
        <v>250</v>
      </c>
      <c r="R1344" s="47" t="n">
        <f aca="false">IF(OR(A1344="500",A1344="800",A1344="810"),0,MAX(W1344-Q1344,0))</f>
        <v>0</v>
      </c>
      <c r="S1344" s="47" t="n">
        <f aca="false">R1344*L1344</f>
        <v>0</v>
      </c>
      <c r="T1344" s="47" t="n">
        <f aca="false">R1344*J1344</f>
        <v>0</v>
      </c>
      <c r="U1344" s="47" t="n">
        <f aca="false">R1344*K1344</f>
        <v>0</v>
      </c>
      <c r="V1344" s="0" t="str">
        <f aca="false">IF(COUNTIFS($A$2:A1344,A1344,$C$2:C1344,C1344,$D$2:D1344,D1344)&gt;1,"중복","")</f>
        <v/>
      </c>
      <c r="W1344" s="0" t="n">
        <f aca="false">IF(V1344="중복",0,N(D1344))</f>
        <v>250</v>
      </c>
      <c r="X1344" s="0" t="n">
        <f aca="false">IF(COUNTIFS($A$2:A1344,A1344,$C$2:C1344,C1344)=1,ABS(SUMIFS(RAW_발주!$D:$D,RAW_발주!$C:$C,A1344,RAW_발주!$A:$A,C1344)-SUMIFS($W:$W,$A:$A,A1344,$C:$C,C1344)),0)</f>
        <v>0</v>
      </c>
    </row>
    <row r="1345" customFormat="false" ht="15" hidden="false" customHeight="true" outlineLevel="0" collapsed="false">
      <c r="A1345" s="45" t="s">
        <v>1663</v>
      </c>
      <c r="B1345" s="42" t="str">
        <f aca="false">IF(A1345="100","HK",IF(A1345="200","CN",IF(A1345="300","TW","홀세일")))</f>
        <v>홀세일</v>
      </c>
      <c r="C1345" s="45" t="s">
        <v>593</v>
      </c>
      <c r="D1345" s="46" t="n">
        <v>40</v>
      </c>
      <c r="E1345" s="46" t="n">
        <v>119000</v>
      </c>
      <c r="F1345" s="46" t="n">
        <v>28514</v>
      </c>
      <c r="G1345" s="42" t="n">
        <v>3.61</v>
      </c>
      <c r="H1345" s="42" t="n">
        <v>31.6</v>
      </c>
      <c r="J1345" s="46" t="n">
        <f aca="false">IF(N(E1345)&gt;0,E1345,IF(N(F1345)&gt;0,F1345*요약!$F$27,0))</f>
        <v>119000</v>
      </c>
      <c r="K1345" s="46" t="n">
        <f aca="false">IF(N(F1345)&gt;0,F1345,IF(N(E1345)&gt;0,E1345/요약!$F$27,0))</f>
        <v>28514</v>
      </c>
      <c r="L1345" s="46" t="n">
        <f aca="false">IF(B1345="CN",IF(N(I1345)&gt;0,I1345*요약!$G$27,K1345*(1+요약!$E$27)),IF(N(H1345)&gt;0,H1345*요약!$G$27,J1345*요약!$D$27))</f>
        <v>41712</v>
      </c>
      <c r="M1345" s="46" t="n">
        <f aca="false">D1345*J1345</f>
        <v>4760000</v>
      </c>
      <c r="N1345" s="46" t="n">
        <f aca="false">D1345*K1345</f>
        <v>1140560</v>
      </c>
      <c r="O1345" s="46" t="n">
        <f aca="false">D1345*L1345</f>
        <v>1668480</v>
      </c>
      <c r="P1345" s="42" t="str">
        <f aca="false">TRIM(IF(N(E1345)&lt;=0,"택가보정 ","")&amp;IF(N(F1345)&lt;=0,"원가보정 ","")&amp;IF(AND(B1345&lt;&gt;"CN",N(H1345)&lt;=0),"공급가보정 ","")&amp;IF(AND(B1345="CN",N(I1345)&lt;=0),"중국공급가=원가+마진 ",""))</f>
        <v/>
      </c>
      <c r="Q1345" s="47" t="n">
        <f aca="false">IF(SUMIFS($W:$W,$A:$A,A1345,$C:$C,C1345)=0,0,SUMIFS(RAW_판매펀칭!$K:$K,RAW_판매펀칭!$P:$P,A1345,RAW_판매펀칭!$I:$I,C1345)*W1345/SUMIFS($W:$W,$A:$A,A1345,$C:$C,C1345))</f>
        <v>40</v>
      </c>
      <c r="R1345" s="47" t="n">
        <f aca="false">IF(OR(A1345="500",A1345="800",A1345="810"),0,MAX(W1345-Q1345,0))</f>
        <v>0</v>
      </c>
      <c r="S1345" s="47" t="n">
        <f aca="false">R1345*L1345</f>
        <v>0</v>
      </c>
      <c r="T1345" s="47" t="n">
        <f aca="false">R1345*J1345</f>
        <v>0</v>
      </c>
      <c r="U1345" s="47" t="n">
        <f aca="false">R1345*K1345</f>
        <v>0</v>
      </c>
      <c r="V1345" s="0" t="str">
        <f aca="false">IF(COUNTIFS($A$2:A1345,A1345,$C$2:C1345,C1345,$D$2:D1345,D1345)&gt;1,"중복","")</f>
        <v/>
      </c>
      <c r="W1345" s="0" t="n">
        <f aca="false">IF(V1345="중복",0,N(D1345))</f>
        <v>40</v>
      </c>
      <c r="X1345" s="0" t="n">
        <f aca="false">IF(COUNTIFS($A$2:A1345,A1345,$C$2:C1345,C1345)=1,ABS(SUMIFS(RAW_발주!$D:$D,RAW_발주!$C:$C,A1345,RAW_발주!$A:$A,C1345)-SUMIFS($W:$W,$A:$A,A1345,$C:$C,C1345)),0)</f>
        <v>0</v>
      </c>
    </row>
    <row r="1346" customFormat="false" ht="15" hidden="false" customHeight="true" outlineLevel="0" collapsed="false">
      <c r="A1346" s="45" t="s">
        <v>1667</v>
      </c>
      <c r="B1346" s="42" t="str">
        <f aca="false">IF(A1346="100","HK",IF(A1346="200","CN",IF(A1346="300","TW","홀세일")))</f>
        <v>홀세일</v>
      </c>
      <c r="C1346" s="45" t="s">
        <v>593</v>
      </c>
      <c r="D1346" s="46" t="n">
        <v>92</v>
      </c>
      <c r="E1346" s="46" t="n">
        <v>119000</v>
      </c>
      <c r="F1346" s="46" t="n">
        <v>28514</v>
      </c>
      <c r="G1346" s="42" t="n">
        <v>3.61</v>
      </c>
      <c r="H1346" s="42" t="n">
        <v>31.6</v>
      </c>
      <c r="J1346" s="46" t="n">
        <f aca="false">IF(N(E1346)&gt;0,E1346,IF(N(F1346)&gt;0,F1346*요약!$F$27,0))</f>
        <v>119000</v>
      </c>
      <c r="K1346" s="46" t="n">
        <f aca="false">IF(N(F1346)&gt;0,F1346,IF(N(E1346)&gt;0,E1346/요약!$F$27,0))</f>
        <v>28514</v>
      </c>
      <c r="L1346" s="46" t="n">
        <f aca="false">IF(B1346="CN",IF(N(I1346)&gt;0,I1346*요약!$G$27,K1346*(1+요약!$E$27)),IF(N(H1346)&gt;0,H1346*요약!$G$27,J1346*요약!$D$27))</f>
        <v>41712</v>
      </c>
      <c r="M1346" s="46" t="n">
        <f aca="false">D1346*J1346</f>
        <v>10948000</v>
      </c>
      <c r="N1346" s="46" t="n">
        <f aca="false">D1346*K1346</f>
        <v>2623288</v>
      </c>
      <c r="O1346" s="46" t="n">
        <f aca="false">D1346*L1346</f>
        <v>3837504</v>
      </c>
      <c r="P1346" s="42" t="str">
        <f aca="false">TRIM(IF(N(E1346)&lt;=0,"택가보정 ","")&amp;IF(N(F1346)&lt;=0,"원가보정 ","")&amp;IF(AND(B1346&lt;&gt;"CN",N(H1346)&lt;=0),"공급가보정 ","")&amp;IF(AND(B1346="CN",N(I1346)&lt;=0),"중국공급가=원가+마진 ",""))</f>
        <v/>
      </c>
      <c r="Q1346" s="47" t="n">
        <f aca="false">IF(SUMIFS($W:$W,$A:$A,A1346,$C:$C,C1346)=0,0,SUMIFS(RAW_판매펀칭!$K:$K,RAW_판매펀칭!$P:$P,A1346,RAW_판매펀칭!$I:$I,C1346)*W1346/SUMIFS($W:$W,$A:$A,A1346,$C:$C,C1346))</f>
        <v>92</v>
      </c>
      <c r="R1346" s="47" t="n">
        <f aca="false">IF(OR(A1346="500",A1346="800",A1346="810"),0,MAX(W1346-Q1346,0))</f>
        <v>0</v>
      </c>
      <c r="S1346" s="47" t="n">
        <f aca="false">R1346*L1346</f>
        <v>0</v>
      </c>
      <c r="T1346" s="47" t="n">
        <f aca="false">R1346*J1346</f>
        <v>0</v>
      </c>
      <c r="U1346" s="47" t="n">
        <f aca="false">R1346*K1346</f>
        <v>0</v>
      </c>
      <c r="V1346" s="0" t="str">
        <f aca="false">IF(COUNTIFS($A$2:A1346,A1346,$C$2:C1346,C1346,$D$2:D1346,D1346)&gt;1,"중복","")</f>
        <v/>
      </c>
      <c r="W1346" s="0" t="n">
        <f aca="false">IF(V1346="중복",0,N(D1346))</f>
        <v>92</v>
      </c>
      <c r="X1346" s="0" t="n">
        <f aca="false">IF(COUNTIFS($A$2:A1346,A1346,$C$2:C1346,C1346)=1,ABS(SUMIFS(RAW_발주!$D:$D,RAW_발주!$C:$C,A1346,RAW_발주!$A:$A,C1346)-SUMIFS($W:$W,$A:$A,A1346,$C:$C,C1346)),0)</f>
        <v>0</v>
      </c>
    </row>
    <row r="1347" customFormat="false" ht="15" hidden="false" customHeight="true" outlineLevel="0" collapsed="false">
      <c r="A1347" s="45" t="s">
        <v>1664</v>
      </c>
      <c r="B1347" s="42" t="str">
        <f aca="false">IF(A1347="100","HK",IF(A1347="200","CN",IF(A1347="300","TW","홀세일")))</f>
        <v>홀세일</v>
      </c>
      <c r="C1347" s="45" t="s">
        <v>593</v>
      </c>
      <c r="D1347" s="46" t="n">
        <v>55</v>
      </c>
      <c r="E1347" s="46" t="n">
        <v>119000</v>
      </c>
      <c r="F1347" s="46" t="n">
        <v>28514</v>
      </c>
      <c r="G1347" s="42" t="n">
        <v>3.61</v>
      </c>
      <c r="H1347" s="42" t="n">
        <v>31.6</v>
      </c>
      <c r="J1347" s="46" t="n">
        <f aca="false">IF(N(E1347)&gt;0,E1347,IF(N(F1347)&gt;0,F1347*요약!$F$27,0))</f>
        <v>119000</v>
      </c>
      <c r="K1347" s="46" t="n">
        <f aca="false">IF(N(F1347)&gt;0,F1347,IF(N(E1347)&gt;0,E1347/요약!$F$27,0))</f>
        <v>28514</v>
      </c>
      <c r="L1347" s="46" t="n">
        <f aca="false">IF(B1347="CN",IF(N(I1347)&gt;0,I1347*요약!$G$27,K1347*(1+요약!$E$27)),IF(N(H1347)&gt;0,H1347*요약!$G$27,J1347*요약!$D$27))</f>
        <v>41712</v>
      </c>
      <c r="M1347" s="46" t="n">
        <f aca="false">D1347*J1347</f>
        <v>6545000</v>
      </c>
      <c r="N1347" s="46" t="n">
        <f aca="false">D1347*K1347</f>
        <v>1568270</v>
      </c>
      <c r="O1347" s="46" t="n">
        <f aca="false">D1347*L1347</f>
        <v>2294160</v>
      </c>
      <c r="P1347" s="42" t="str">
        <f aca="false">TRIM(IF(N(E1347)&lt;=0,"택가보정 ","")&amp;IF(N(F1347)&lt;=0,"원가보정 ","")&amp;IF(AND(B1347&lt;&gt;"CN",N(H1347)&lt;=0),"공급가보정 ","")&amp;IF(AND(B1347="CN",N(I1347)&lt;=0),"중국공급가=원가+마진 ",""))</f>
        <v/>
      </c>
      <c r="Q1347" s="47" t="n">
        <f aca="false">IF(SUMIFS($W:$W,$A:$A,A1347,$C:$C,C1347)=0,0,SUMIFS(RAW_판매펀칭!$K:$K,RAW_판매펀칭!$P:$P,A1347,RAW_판매펀칭!$I:$I,C1347)*W1347/SUMIFS($W:$W,$A:$A,A1347,$C:$C,C1347))</f>
        <v>55</v>
      </c>
      <c r="R1347" s="47" t="n">
        <f aca="false">IF(OR(A1347="500",A1347="800",A1347="810"),0,MAX(W1347-Q1347,0))</f>
        <v>0</v>
      </c>
      <c r="S1347" s="47" t="n">
        <f aca="false">R1347*L1347</f>
        <v>0</v>
      </c>
      <c r="T1347" s="47" t="n">
        <f aca="false">R1347*J1347</f>
        <v>0</v>
      </c>
      <c r="U1347" s="47" t="n">
        <f aca="false">R1347*K1347</f>
        <v>0</v>
      </c>
      <c r="V1347" s="0" t="str">
        <f aca="false">IF(COUNTIFS($A$2:A1347,A1347,$C$2:C1347,C1347,$D$2:D1347,D1347)&gt;1,"중복","")</f>
        <v/>
      </c>
      <c r="W1347" s="0" t="n">
        <f aca="false">IF(V1347="중복",0,N(D1347))</f>
        <v>55</v>
      </c>
      <c r="X1347" s="0" t="n">
        <f aca="false">IF(COUNTIFS($A$2:A1347,A1347,$C$2:C1347,C1347)=1,ABS(SUMIFS(RAW_발주!$D:$D,RAW_발주!$C:$C,A1347,RAW_발주!$A:$A,C1347)-SUMIFS($W:$W,$A:$A,A1347,$C:$C,C1347)),0)</f>
        <v>0</v>
      </c>
    </row>
    <row r="1348" customFormat="false" ht="15" hidden="false" customHeight="true" outlineLevel="0" collapsed="false">
      <c r="A1348" s="45" t="s">
        <v>1667</v>
      </c>
      <c r="B1348" s="42" t="str">
        <f aca="false">IF(A1348="100","HK",IF(A1348="200","CN",IF(A1348="300","TW","홀세일")))</f>
        <v>홀세일</v>
      </c>
      <c r="C1348" s="45" t="s">
        <v>1425</v>
      </c>
      <c r="D1348" s="46" t="n">
        <v>301</v>
      </c>
      <c r="E1348" s="46" t="n">
        <v>89000</v>
      </c>
      <c r="F1348" s="46" t="n">
        <v>20067</v>
      </c>
      <c r="G1348" s="42" t="n">
        <v>3.78</v>
      </c>
      <c r="H1348" s="42" t="n">
        <v>23.7</v>
      </c>
      <c r="J1348" s="46" t="n">
        <f aca="false">IF(N(E1348)&gt;0,E1348,IF(N(F1348)&gt;0,F1348*요약!$F$27,0))</f>
        <v>89000</v>
      </c>
      <c r="K1348" s="46" t="n">
        <f aca="false">IF(N(F1348)&gt;0,F1348,IF(N(E1348)&gt;0,E1348/요약!$F$27,0))</f>
        <v>20067</v>
      </c>
      <c r="L1348" s="46" t="n">
        <f aca="false">IF(B1348="CN",IF(N(I1348)&gt;0,I1348*요약!$G$27,K1348*(1+요약!$E$27)),IF(N(H1348)&gt;0,H1348*요약!$G$27,J1348*요약!$D$27))</f>
        <v>31284</v>
      </c>
      <c r="M1348" s="46" t="n">
        <f aca="false">D1348*J1348</f>
        <v>26789000</v>
      </c>
      <c r="N1348" s="46" t="n">
        <f aca="false">D1348*K1348</f>
        <v>6040167</v>
      </c>
      <c r="O1348" s="46" t="n">
        <f aca="false">D1348*L1348</f>
        <v>9416484</v>
      </c>
      <c r="P1348" s="42" t="str">
        <f aca="false">TRIM(IF(N(E1348)&lt;=0,"택가보정 ","")&amp;IF(N(F1348)&lt;=0,"원가보정 ","")&amp;IF(AND(B1348&lt;&gt;"CN",N(H1348)&lt;=0),"공급가보정 ","")&amp;IF(AND(B1348="CN",N(I1348)&lt;=0),"중국공급가=원가+마진 ",""))</f>
        <v/>
      </c>
      <c r="Q1348" s="47" t="n">
        <f aca="false">IF(SUMIFS($W:$W,$A:$A,A1348,$C:$C,C1348)=0,0,SUMIFS(RAW_판매펀칭!$K:$K,RAW_판매펀칭!$P:$P,A1348,RAW_판매펀칭!$I:$I,C1348)*W1348/SUMIFS($W:$W,$A:$A,A1348,$C:$C,C1348))</f>
        <v>101</v>
      </c>
      <c r="R1348" s="47" t="n">
        <f aca="false">IF(OR(A1348="500",A1348="800",A1348="810"),0,MAX(W1348-Q1348,0))</f>
        <v>200</v>
      </c>
      <c r="S1348" s="47" t="n">
        <f aca="false">R1348*L1348</f>
        <v>6256800</v>
      </c>
      <c r="T1348" s="47" t="n">
        <f aca="false">R1348*J1348</f>
        <v>17800000</v>
      </c>
      <c r="U1348" s="47" t="n">
        <f aca="false">R1348*K1348</f>
        <v>4013400</v>
      </c>
      <c r="V1348" s="0" t="str">
        <f aca="false">IF(COUNTIFS($A$2:A1348,A1348,$C$2:C1348,C1348,$D$2:D1348,D1348)&gt;1,"중복","")</f>
        <v/>
      </c>
      <c r="W1348" s="0" t="n">
        <f aca="false">IF(V1348="중복",0,N(D1348))</f>
        <v>301</v>
      </c>
      <c r="X1348" s="0" t="n">
        <f aca="false">IF(COUNTIFS($A$2:A1348,A1348,$C$2:C1348,C1348)=1,ABS(SUMIFS(RAW_발주!$D:$D,RAW_발주!$C:$C,A1348,RAW_발주!$A:$A,C1348)-SUMIFS($W:$W,$A:$A,A1348,$C:$C,C1348)),0)</f>
        <v>0</v>
      </c>
    </row>
    <row r="1349" customFormat="false" ht="15" hidden="false" customHeight="true" outlineLevel="0" collapsed="false">
      <c r="A1349" s="45" t="s">
        <v>1662</v>
      </c>
      <c r="B1349" s="42" t="str">
        <f aca="false">IF(A1349="100","HK",IF(A1349="200","CN",IF(A1349="300","TW","홀세일")))</f>
        <v>홀세일</v>
      </c>
      <c r="C1349" s="45" t="s">
        <v>1358</v>
      </c>
      <c r="D1349" s="46" t="n">
        <v>20</v>
      </c>
      <c r="E1349" s="46" t="n">
        <v>89000</v>
      </c>
      <c r="F1349" s="46" t="n">
        <v>21671</v>
      </c>
      <c r="G1349" s="42" t="n">
        <v>3.5</v>
      </c>
      <c r="H1349" s="42" t="n">
        <v>23.7</v>
      </c>
      <c r="J1349" s="46" t="n">
        <f aca="false">IF(N(E1349)&gt;0,E1349,IF(N(F1349)&gt;0,F1349*요약!$F$27,0))</f>
        <v>89000</v>
      </c>
      <c r="K1349" s="46" t="n">
        <f aca="false">IF(N(F1349)&gt;0,F1349,IF(N(E1349)&gt;0,E1349/요약!$F$27,0))</f>
        <v>21671</v>
      </c>
      <c r="L1349" s="46" t="n">
        <f aca="false">IF(B1349="CN",IF(N(I1349)&gt;0,I1349*요약!$G$27,K1349*(1+요약!$E$27)),IF(N(H1349)&gt;0,H1349*요약!$G$27,J1349*요약!$D$27))</f>
        <v>31284</v>
      </c>
      <c r="M1349" s="46" t="n">
        <f aca="false">D1349*J1349</f>
        <v>1780000</v>
      </c>
      <c r="N1349" s="46" t="n">
        <f aca="false">D1349*K1349</f>
        <v>433420</v>
      </c>
      <c r="O1349" s="46" t="n">
        <f aca="false">D1349*L1349</f>
        <v>625680</v>
      </c>
      <c r="P1349" s="42" t="str">
        <f aca="false">TRIM(IF(N(E1349)&lt;=0,"택가보정 ","")&amp;IF(N(F1349)&lt;=0,"원가보정 ","")&amp;IF(AND(B1349&lt;&gt;"CN",N(H1349)&lt;=0),"공급가보정 ","")&amp;IF(AND(B1349="CN",N(I1349)&lt;=0),"중국공급가=원가+마진 ",""))</f>
        <v/>
      </c>
      <c r="Q1349" s="47" t="n">
        <f aca="false">IF(SUMIFS($W:$W,$A:$A,A1349,$C:$C,C1349)=0,0,SUMIFS(RAW_판매펀칭!$K:$K,RAW_판매펀칭!$P:$P,A1349,RAW_판매펀칭!$I:$I,C1349)*W1349/SUMIFS($W:$W,$A:$A,A1349,$C:$C,C1349))</f>
        <v>0</v>
      </c>
      <c r="R1349" s="47" t="n">
        <f aca="false">IF(OR(A1349="500",A1349="800",A1349="810"),0,MAX(W1349-Q1349,0))</f>
        <v>0</v>
      </c>
      <c r="S1349" s="47" t="n">
        <f aca="false">R1349*L1349</f>
        <v>0</v>
      </c>
      <c r="T1349" s="47" t="n">
        <f aca="false">R1349*J1349</f>
        <v>0</v>
      </c>
      <c r="U1349" s="47" t="n">
        <f aca="false">R1349*K1349</f>
        <v>0</v>
      </c>
      <c r="V1349" s="0" t="str">
        <f aca="false">IF(COUNTIFS($A$2:A1349,A1349,$C$2:C1349,C1349,$D$2:D1349,D1349)&gt;1,"중복","")</f>
        <v/>
      </c>
      <c r="W1349" s="0" t="n">
        <f aca="false">IF(V1349="중복",0,N(D1349))</f>
        <v>20</v>
      </c>
      <c r="X1349" s="0" t="n">
        <f aca="false">IF(COUNTIFS($A$2:A1349,A1349,$C$2:C1349,C1349)=1,ABS(SUMIFS(RAW_발주!$D:$D,RAW_발주!$C:$C,A1349,RAW_발주!$A:$A,C1349)-SUMIFS($W:$W,$A:$A,A1349,$C:$C,C1349)),0)</f>
        <v>0</v>
      </c>
    </row>
    <row r="1350" customFormat="false" ht="15" hidden="false" customHeight="true" outlineLevel="0" collapsed="false">
      <c r="A1350" s="45" t="s">
        <v>1667</v>
      </c>
      <c r="B1350" s="42" t="str">
        <f aca="false">IF(A1350="100","HK",IF(A1350="200","CN",IF(A1350="300","TW","홀세일")))</f>
        <v>홀세일</v>
      </c>
      <c r="C1350" s="45" t="s">
        <v>1358</v>
      </c>
      <c r="D1350" s="46" t="n">
        <v>301</v>
      </c>
      <c r="E1350" s="46" t="n">
        <v>89000</v>
      </c>
      <c r="F1350" s="46" t="n">
        <v>21671</v>
      </c>
      <c r="G1350" s="42" t="n">
        <v>3.5</v>
      </c>
      <c r="H1350" s="42" t="n">
        <v>23.7</v>
      </c>
      <c r="J1350" s="46" t="n">
        <f aca="false">IF(N(E1350)&gt;0,E1350,IF(N(F1350)&gt;0,F1350*요약!$F$27,0))</f>
        <v>89000</v>
      </c>
      <c r="K1350" s="46" t="n">
        <f aca="false">IF(N(F1350)&gt;0,F1350,IF(N(E1350)&gt;0,E1350/요약!$F$27,0))</f>
        <v>21671</v>
      </c>
      <c r="L1350" s="46" t="n">
        <f aca="false">IF(B1350="CN",IF(N(I1350)&gt;0,I1350*요약!$G$27,K1350*(1+요약!$E$27)),IF(N(H1350)&gt;0,H1350*요약!$G$27,J1350*요약!$D$27))</f>
        <v>31284</v>
      </c>
      <c r="M1350" s="46" t="n">
        <f aca="false">D1350*J1350</f>
        <v>26789000</v>
      </c>
      <c r="N1350" s="46" t="n">
        <f aca="false">D1350*K1350</f>
        <v>6522971</v>
      </c>
      <c r="O1350" s="46" t="n">
        <f aca="false">D1350*L1350</f>
        <v>9416484</v>
      </c>
      <c r="P1350" s="42" t="str">
        <f aca="false">TRIM(IF(N(E1350)&lt;=0,"택가보정 ","")&amp;IF(N(F1350)&lt;=0,"원가보정 ","")&amp;IF(AND(B1350&lt;&gt;"CN",N(H1350)&lt;=0),"공급가보정 ","")&amp;IF(AND(B1350="CN",N(I1350)&lt;=0),"중국공급가=원가+마진 ",""))</f>
        <v/>
      </c>
      <c r="Q1350" s="47" t="n">
        <f aca="false">IF(SUMIFS($W:$W,$A:$A,A1350,$C:$C,C1350)=0,0,SUMIFS(RAW_판매펀칭!$K:$K,RAW_판매펀칭!$P:$P,A1350,RAW_판매펀칭!$I:$I,C1350)*W1350/SUMIFS($W:$W,$A:$A,A1350,$C:$C,C1350))</f>
        <v>101</v>
      </c>
      <c r="R1350" s="47" t="n">
        <f aca="false">IF(OR(A1350="500",A1350="800",A1350="810"),0,MAX(W1350-Q1350,0))</f>
        <v>200</v>
      </c>
      <c r="S1350" s="47" t="n">
        <f aca="false">R1350*L1350</f>
        <v>6256800</v>
      </c>
      <c r="T1350" s="47" t="n">
        <f aca="false">R1350*J1350</f>
        <v>17800000</v>
      </c>
      <c r="U1350" s="47" t="n">
        <f aca="false">R1350*K1350</f>
        <v>4334200</v>
      </c>
      <c r="V1350" s="0" t="str">
        <f aca="false">IF(COUNTIFS($A$2:A1350,A1350,$C$2:C1350,C1350,$D$2:D1350,D1350)&gt;1,"중복","")</f>
        <v/>
      </c>
      <c r="W1350" s="0" t="n">
        <f aca="false">IF(V1350="중복",0,N(D1350))</f>
        <v>301</v>
      </c>
      <c r="X1350" s="0" t="n">
        <f aca="false">IF(COUNTIFS($A$2:A1350,A1350,$C$2:C1350,C1350)=1,ABS(SUMIFS(RAW_발주!$D:$D,RAW_발주!$C:$C,A1350,RAW_발주!$A:$A,C1350)-SUMIFS($W:$W,$A:$A,A1350,$C:$C,C1350)),0)</f>
        <v>0</v>
      </c>
    </row>
    <row r="1351" customFormat="false" ht="15" hidden="false" customHeight="true" outlineLevel="0" collapsed="false">
      <c r="A1351" s="45" t="s">
        <v>1659</v>
      </c>
      <c r="B1351" s="42" t="str">
        <f aca="false">IF(A1351="100","HK",IF(A1351="200","CN",IF(A1351="300","TW","홀세일")))</f>
        <v>HK</v>
      </c>
      <c r="C1351" s="45" t="s">
        <v>595</v>
      </c>
      <c r="D1351" s="46" t="n">
        <v>150</v>
      </c>
      <c r="E1351" s="46" t="n">
        <v>59000</v>
      </c>
      <c r="F1351" s="46" t="n">
        <v>13590</v>
      </c>
      <c r="G1351" s="42" t="n">
        <v>3.71</v>
      </c>
      <c r="H1351" s="42" t="n">
        <v>15.7</v>
      </c>
      <c r="J1351" s="46" t="n">
        <f aca="false">IF(N(E1351)&gt;0,E1351,IF(N(F1351)&gt;0,F1351*요약!$F$27,0))</f>
        <v>59000</v>
      </c>
      <c r="K1351" s="46" t="n">
        <f aca="false">IF(N(F1351)&gt;0,F1351,IF(N(E1351)&gt;0,E1351/요약!$F$27,0))</f>
        <v>13590</v>
      </c>
      <c r="L1351" s="46" t="n">
        <f aca="false">IF(B1351="CN",IF(N(I1351)&gt;0,I1351*요약!$G$27,K1351*(1+요약!$E$27)),IF(N(H1351)&gt;0,H1351*요약!$G$27,J1351*요약!$D$27))</f>
        <v>20724</v>
      </c>
      <c r="M1351" s="46" t="n">
        <f aca="false">D1351*J1351</f>
        <v>8850000</v>
      </c>
      <c r="N1351" s="46" t="n">
        <f aca="false">D1351*K1351</f>
        <v>2038500</v>
      </c>
      <c r="O1351" s="46" t="n">
        <f aca="false">D1351*L1351</f>
        <v>3108600</v>
      </c>
      <c r="P1351" s="42" t="str">
        <f aca="false">TRIM(IF(N(E1351)&lt;=0,"택가보정 ","")&amp;IF(N(F1351)&lt;=0,"원가보정 ","")&amp;IF(AND(B1351&lt;&gt;"CN",N(H1351)&lt;=0),"공급가보정 ","")&amp;IF(AND(B1351="CN",N(I1351)&lt;=0),"중국공급가=원가+마진 ",""))</f>
        <v/>
      </c>
      <c r="Q1351" s="47" t="n">
        <f aca="false">IF(SUMIFS($W:$W,$A:$A,A1351,$C:$C,C1351)=0,0,SUMIFS(RAW_판매펀칭!$K:$K,RAW_판매펀칭!$P:$P,A1351,RAW_판매펀칭!$I:$I,C1351)*W1351/SUMIFS($W:$W,$A:$A,A1351,$C:$C,C1351))</f>
        <v>0</v>
      </c>
      <c r="R1351" s="47" t="n">
        <f aca="false">IF(OR(A1351="500",A1351="800",A1351="810"),0,MAX(W1351-Q1351,0))</f>
        <v>150</v>
      </c>
      <c r="S1351" s="47" t="n">
        <f aca="false">R1351*L1351</f>
        <v>3108600</v>
      </c>
      <c r="T1351" s="47" t="n">
        <f aca="false">R1351*J1351</f>
        <v>8850000</v>
      </c>
      <c r="U1351" s="47" t="n">
        <f aca="false">R1351*K1351</f>
        <v>2038500</v>
      </c>
      <c r="V1351" s="0" t="str">
        <f aca="false">IF(COUNTIFS($A$2:A1351,A1351,$C$2:C1351,C1351,$D$2:D1351,D1351)&gt;1,"중복","")</f>
        <v/>
      </c>
      <c r="W1351" s="0" t="n">
        <f aca="false">IF(V1351="중복",0,N(D1351))</f>
        <v>150</v>
      </c>
      <c r="X1351" s="0" t="n">
        <f aca="false">IF(COUNTIFS($A$2:A1351,A1351,$C$2:C1351,C1351)=1,ABS(SUMIFS(RAW_발주!$D:$D,RAW_발주!$C:$C,A1351,RAW_발주!$A:$A,C1351)-SUMIFS($W:$W,$A:$A,A1351,$C:$C,C1351)),0)</f>
        <v>0</v>
      </c>
    </row>
    <row r="1352" customFormat="false" ht="15" hidden="false" customHeight="true" outlineLevel="0" collapsed="false">
      <c r="A1352" s="45" t="s">
        <v>1661</v>
      </c>
      <c r="B1352" s="42" t="str">
        <f aca="false">IF(A1352="100","HK",IF(A1352="200","CN",IF(A1352="300","TW","홀세일")))</f>
        <v>TW</v>
      </c>
      <c r="C1352" s="45" t="s">
        <v>595</v>
      </c>
      <c r="D1352" s="46" t="n">
        <v>250</v>
      </c>
      <c r="E1352" s="46" t="n">
        <v>59000</v>
      </c>
      <c r="F1352" s="46" t="n">
        <v>13590</v>
      </c>
      <c r="G1352" s="42" t="n">
        <v>3.71</v>
      </c>
      <c r="H1352" s="42" t="n">
        <v>15.7</v>
      </c>
      <c r="J1352" s="46" t="n">
        <f aca="false">IF(N(E1352)&gt;0,E1352,IF(N(F1352)&gt;0,F1352*요약!$F$27,0))</f>
        <v>59000</v>
      </c>
      <c r="K1352" s="46" t="n">
        <f aca="false">IF(N(F1352)&gt;0,F1352,IF(N(E1352)&gt;0,E1352/요약!$F$27,0))</f>
        <v>13590</v>
      </c>
      <c r="L1352" s="46" t="n">
        <f aca="false">IF(B1352="CN",IF(N(I1352)&gt;0,I1352*요약!$G$27,K1352*(1+요약!$E$27)),IF(N(H1352)&gt;0,H1352*요약!$G$27,J1352*요약!$D$27))</f>
        <v>20724</v>
      </c>
      <c r="M1352" s="46" t="n">
        <f aca="false">D1352*J1352</f>
        <v>14750000</v>
      </c>
      <c r="N1352" s="46" t="n">
        <f aca="false">D1352*K1352</f>
        <v>3397500</v>
      </c>
      <c r="O1352" s="46" t="n">
        <f aca="false">D1352*L1352</f>
        <v>5181000</v>
      </c>
      <c r="P1352" s="42" t="str">
        <f aca="false">TRIM(IF(N(E1352)&lt;=0,"택가보정 ","")&amp;IF(N(F1352)&lt;=0,"원가보정 ","")&amp;IF(AND(B1352&lt;&gt;"CN",N(H1352)&lt;=0),"공급가보정 ","")&amp;IF(AND(B1352="CN",N(I1352)&lt;=0),"중국공급가=원가+마진 ",""))</f>
        <v/>
      </c>
      <c r="Q1352" s="47" t="n">
        <f aca="false">IF(SUMIFS($W:$W,$A:$A,A1352,$C:$C,C1352)=0,0,SUMIFS(RAW_판매펀칭!$K:$K,RAW_판매펀칭!$P:$P,A1352,RAW_판매펀칭!$I:$I,C1352)*W1352/SUMIFS($W:$W,$A:$A,A1352,$C:$C,C1352))</f>
        <v>250</v>
      </c>
      <c r="R1352" s="47" t="n">
        <f aca="false">IF(OR(A1352="500",A1352="800",A1352="810"),0,MAX(W1352-Q1352,0))</f>
        <v>0</v>
      </c>
      <c r="S1352" s="47" t="n">
        <f aca="false">R1352*L1352</f>
        <v>0</v>
      </c>
      <c r="T1352" s="47" t="n">
        <f aca="false">R1352*J1352</f>
        <v>0</v>
      </c>
      <c r="U1352" s="47" t="n">
        <f aca="false">R1352*K1352</f>
        <v>0</v>
      </c>
      <c r="V1352" s="0" t="str">
        <f aca="false">IF(COUNTIFS($A$2:A1352,A1352,$C$2:C1352,C1352,$D$2:D1352,D1352)&gt;1,"중복","")</f>
        <v/>
      </c>
      <c r="W1352" s="0" t="n">
        <f aca="false">IF(V1352="중복",0,N(D1352))</f>
        <v>250</v>
      </c>
      <c r="X1352" s="0" t="n">
        <f aca="false">IF(COUNTIFS($A$2:A1352,A1352,$C$2:C1352,C1352)=1,ABS(SUMIFS(RAW_발주!$D:$D,RAW_발주!$C:$C,A1352,RAW_발주!$A:$A,C1352)-SUMIFS($W:$W,$A:$A,A1352,$C:$C,C1352)),0)</f>
        <v>0</v>
      </c>
    </row>
    <row r="1353" customFormat="false" ht="15" hidden="false" customHeight="true" outlineLevel="0" collapsed="false">
      <c r="A1353" s="45" t="s">
        <v>1663</v>
      </c>
      <c r="B1353" s="42" t="str">
        <f aca="false">IF(A1353="100","HK",IF(A1353="200","CN",IF(A1353="300","TW","홀세일")))</f>
        <v>홀세일</v>
      </c>
      <c r="C1353" s="45" t="s">
        <v>595</v>
      </c>
      <c r="D1353" s="46" t="n">
        <v>35</v>
      </c>
      <c r="E1353" s="46" t="n">
        <v>59000</v>
      </c>
      <c r="F1353" s="46" t="n">
        <v>13590</v>
      </c>
      <c r="G1353" s="42" t="n">
        <v>3.71</v>
      </c>
      <c r="H1353" s="42" t="n">
        <v>15.7</v>
      </c>
      <c r="J1353" s="46" t="n">
        <f aca="false">IF(N(E1353)&gt;0,E1353,IF(N(F1353)&gt;0,F1353*요약!$F$27,0))</f>
        <v>59000</v>
      </c>
      <c r="K1353" s="46" t="n">
        <f aca="false">IF(N(F1353)&gt;0,F1353,IF(N(E1353)&gt;0,E1353/요약!$F$27,0))</f>
        <v>13590</v>
      </c>
      <c r="L1353" s="46" t="n">
        <f aca="false">IF(B1353="CN",IF(N(I1353)&gt;0,I1353*요약!$G$27,K1353*(1+요약!$E$27)),IF(N(H1353)&gt;0,H1353*요약!$G$27,J1353*요약!$D$27))</f>
        <v>20724</v>
      </c>
      <c r="M1353" s="46" t="n">
        <f aca="false">D1353*J1353</f>
        <v>2065000</v>
      </c>
      <c r="N1353" s="46" t="n">
        <f aca="false">D1353*K1353</f>
        <v>475650</v>
      </c>
      <c r="O1353" s="46" t="n">
        <f aca="false">D1353*L1353</f>
        <v>725340</v>
      </c>
      <c r="P1353" s="42" t="str">
        <f aca="false">TRIM(IF(N(E1353)&lt;=0,"택가보정 ","")&amp;IF(N(F1353)&lt;=0,"원가보정 ","")&amp;IF(AND(B1353&lt;&gt;"CN",N(H1353)&lt;=0),"공급가보정 ","")&amp;IF(AND(B1353="CN",N(I1353)&lt;=0),"중국공급가=원가+마진 ",""))</f>
        <v/>
      </c>
      <c r="Q1353" s="47" t="n">
        <f aca="false">IF(SUMIFS($W:$W,$A:$A,A1353,$C:$C,C1353)=0,0,SUMIFS(RAW_판매펀칭!$K:$K,RAW_판매펀칭!$P:$P,A1353,RAW_판매펀칭!$I:$I,C1353)*W1353/SUMIFS($W:$W,$A:$A,A1353,$C:$C,C1353))</f>
        <v>35</v>
      </c>
      <c r="R1353" s="47" t="n">
        <f aca="false">IF(OR(A1353="500",A1353="800",A1353="810"),0,MAX(W1353-Q1353,0))</f>
        <v>0</v>
      </c>
      <c r="S1353" s="47" t="n">
        <f aca="false">R1353*L1353</f>
        <v>0</v>
      </c>
      <c r="T1353" s="47" t="n">
        <f aca="false">R1353*J1353</f>
        <v>0</v>
      </c>
      <c r="U1353" s="47" t="n">
        <f aca="false">R1353*K1353</f>
        <v>0</v>
      </c>
      <c r="V1353" s="0" t="str">
        <f aca="false">IF(COUNTIFS($A$2:A1353,A1353,$C$2:C1353,C1353,$D$2:D1353,D1353)&gt;1,"중복","")</f>
        <v/>
      </c>
      <c r="W1353" s="0" t="n">
        <f aca="false">IF(V1353="중복",0,N(D1353))</f>
        <v>35</v>
      </c>
      <c r="X1353" s="0" t="n">
        <f aca="false">IF(COUNTIFS($A$2:A1353,A1353,$C$2:C1353,C1353)=1,ABS(SUMIFS(RAW_발주!$D:$D,RAW_발주!$C:$C,A1353,RAW_발주!$A:$A,C1353)-SUMIFS($W:$W,$A:$A,A1353,$C:$C,C1353)),0)</f>
        <v>0</v>
      </c>
    </row>
    <row r="1354" customFormat="false" ht="15" hidden="false" customHeight="true" outlineLevel="0" collapsed="false">
      <c r="A1354" s="45" t="s">
        <v>1667</v>
      </c>
      <c r="B1354" s="42" t="str">
        <f aca="false">IF(A1354="100","HK",IF(A1354="200","CN",IF(A1354="300","TW","홀세일")))</f>
        <v>홀세일</v>
      </c>
      <c r="C1354" s="45" t="s">
        <v>595</v>
      </c>
      <c r="D1354" s="46" t="n">
        <v>121</v>
      </c>
      <c r="E1354" s="46" t="n">
        <v>59000</v>
      </c>
      <c r="F1354" s="46" t="n">
        <v>13590</v>
      </c>
      <c r="G1354" s="42" t="n">
        <v>3.71</v>
      </c>
      <c r="H1354" s="42" t="n">
        <v>15.7</v>
      </c>
      <c r="J1354" s="46" t="n">
        <f aca="false">IF(N(E1354)&gt;0,E1354,IF(N(F1354)&gt;0,F1354*요약!$F$27,0))</f>
        <v>59000</v>
      </c>
      <c r="K1354" s="46" t="n">
        <f aca="false">IF(N(F1354)&gt;0,F1354,IF(N(E1354)&gt;0,E1354/요약!$F$27,0))</f>
        <v>13590</v>
      </c>
      <c r="L1354" s="46" t="n">
        <f aca="false">IF(B1354="CN",IF(N(I1354)&gt;0,I1354*요약!$G$27,K1354*(1+요약!$E$27)),IF(N(H1354)&gt;0,H1354*요약!$G$27,J1354*요약!$D$27))</f>
        <v>20724</v>
      </c>
      <c r="M1354" s="46" t="n">
        <f aca="false">D1354*J1354</f>
        <v>7139000</v>
      </c>
      <c r="N1354" s="46" t="n">
        <f aca="false">D1354*K1354</f>
        <v>1644390</v>
      </c>
      <c r="O1354" s="46" t="n">
        <f aca="false">D1354*L1354</f>
        <v>2507604</v>
      </c>
      <c r="P1354" s="42" t="str">
        <f aca="false">TRIM(IF(N(E1354)&lt;=0,"택가보정 ","")&amp;IF(N(F1354)&lt;=0,"원가보정 ","")&amp;IF(AND(B1354&lt;&gt;"CN",N(H1354)&lt;=0),"공급가보정 ","")&amp;IF(AND(B1354="CN",N(I1354)&lt;=0),"중국공급가=원가+마진 ",""))</f>
        <v/>
      </c>
      <c r="Q1354" s="47" t="n">
        <f aca="false">IF(SUMIFS($W:$W,$A:$A,A1354,$C:$C,C1354)=0,0,SUMIFS(RAW_판매펀칭!$K:$K,RAW_판매펀칭!$P:$P,A1354,RAW_판매펀칭!$I:$I,C1354)*W1354/SUMIFS($W:$W,$A:$A,A1354,$C:$C,C1354))</f>
        <v>121</v>
      </c>
      <c r="R1354" s="47" t="n">
        <f aca="false">IF(OR(A1354="500",A1354="800",A1354="810"),0,MAX(W1354-Q1354,0))</f>
        <v>0</v>
      </c>
      <c r="S1354" s="47" t="n">
        <f aca="false">R1354*L1354</f>
        <v>0</v>
      </c>
      <c r="T1354" s="47" t="n">
        <f aca="false">R1354*J1354</f>
        <v>0</v>
      </c>
      <c r="U1354" s="47" t="n">
        <f aca="false">R1354*K1354</f>
        <v>0</v>
      </c>
      <c r="V1354" s="0" t="str">
        <f aca="false">IF(COUNTIFS($A$2:A1354,A1354,$C$2:C1354,C1354,$D$2:D1354,D1354)&gt;1,"중복","")</f>
        <v/>
      </c>
      <c r="W1354" s="0" t="n">
        <f aca="false">IF(V1354="중복",0,N(D1354))</f>
        <v>121</v>
      </c>
      <c r="X1354" s="0" t="n">
        <f aca="false">IF(COUNTIFS($A$2:A1354,A1354,$C$2:C1354,C1354)=1,ABS(SUMIFS(RAW_발주!$D:$D,RAW_발주!$C:$C,A1354,RAW_발주!$A:$A,C1354)-SUMIFS($W:$W,$A:$A,A1354,$C:$C,C1354)),0)</f>
        <v>0</v>
      </c>
    </row>
    <row r="1355" customFormat="false" ht="15" hidden="false" customHeight="true" outlineLevel="0" collapsed="false">
      <c r="A1355" s="45" t="s">
        <v>1659</v>
      </c>
      <c r="B1355" s="42" t="str">
        <f aca="false">IF(A1355="100","HK",IF(A1355="200","CN",IF(A1355="300","TW","홀세일")))</f>
        <v>HK</v>
      </c>
      <c r="C1355" s="45" t="s">
        <v>597</v>
      </c>
      <c r="D1355" s="46" t="n">
        <v>250</v>
      </c>
      <c r="E1355" s="46" t="n">
        <v>69000</v>
      </c>
      <c r="F1355" s="46" t="n">
        <v>16854</v>
      </c>
      <c r="G1355" s="42" t="n">
        <v>3.49</v>
      </c>
      <c r="H1355" s="42" t="n">
        <v>18.4</v>
      </c>
      <c r="J1355" s="46" t="n">
        <f aca="false">IF(N(E1355)&gt;0,E1355,IF(N(F1355)&gt;0,F1355*요약!$F$27,0))</f>
        <v>69000</v>
      </c>
      <c r="K1355" s="46" t="n">
        <f aca="false">IF(N(F1355)&gt;0,F1355,IF(N(E1355)&gt;0,E1355/요약!$F$27,0))</f>
        <v>16854</v>
      </c>
      <c r="L1355" s="46" t="n">
        <f aca="false">IF(B1355="CN",IF(N(I1355)&gt;0,I1355*요약!$G$27,K1355*(1+요약!$E$27)),IF(N(H1355)&gt;0,H1355*요약!$G$27,J1355*요약!$D$27))</f>
        <v>24288</v>
      </c>
      <c r="M1355" s="46" t="n">
        <f aca="false">D1355*J1355</f>
        <v>17250000</v>
      </c>
      <c r="N1355" s="46" t="n">
        <f aca="false">D1355*K1355</f>
        <v>4213500</v>
      </c>
      <c r="O1355" s="46" t="n">
        <f aca="false">D1355*L1355</f>
        <v>6072000</v>
      </c>
      <c r="P1355" s="42" t="str">
        <f aca="false">TRIM(IF(N(E1355)&lt;=0,"택가보정 ","")&amp;IF(N(F1355)&lt;=0,"원가보정 ","")&amp;IF(AND(B1355&lt;&gt;"CN",N(H1355)&lt;=0),"공급가보정 ","")&amp;IF(AND(B1355="CN",N(I1355)&lt;=0),"중국공급가=원가+마진 ",""))</f>
        <v/>
      </c>
      <c r="Q1355" s="47" t="n">
        <f aca="false">IF(SUMIFS($W:$W,$A:$A,A1355,$C:$C,C1355)=0,0,SUMIFS(RAW_판매펀칭!$K:$K,RAW_판매펀칭!$P:$P,A1355,RAW_판매펀칭!$I:$I,C1355)*W1355/SUMIFS($W:$W,$A:$A,A1355,$C:$C,C1355))</f>
        <v>0</v>
      </c>
      <c r="R1355" s="47" t="n">
        <f aca="false">IF(OR(A1355="500",A1355="800",A1355="810"),0,MAX(W1355-Q1355,0))</f>
        <v>250</v>
      </c>
      <c r="S1355" s="47" t="n">
        <f aca="false">R1355*L1355</f>
        <v>6072000</v>
      </c>
      <c r="T1355" s="47" t="n">
        <f aca="false">R1355*J1355</f>
        <v>17250000</v>
      </c>
      <c r="U1355" s="47" t="n">
        <f aca="false">R1355*K1355</f>
        <v>4213500</v>
      </c>
      <c r="V1355" s="0" t="str">
        <f aca="false">IF(COUNTIFS($A$2:A1355,A1355,$C$2:C1355,C1355,$D$2:D1355,D1355)&gt;1,"중복","")</f>
        <v/>
      </c>
      <c r="W1355" s="0" t="n">
        <f aca="false">IF(V1355="중복",0,N(D1355))</f>
        <v>250</v>
      </c>
      <c r="X1355" s="0" t="n">
        <f aca="false">IF(COUNTIFS($A$2:A1355,A1355,$C$2:C1355,C1355)=1,ABS(SUMIFS(RAW_발주!$D:$D,RAW_발주!$C:$C,A1355,RAW_발주!$A:$A,C1355)-SUMIFS($W:$W,$A:$A,A1355,$C:$C,C1355)),0)</f>
        <v>0</v>
      </c>
    </row>
    <row r="1356" customFormat="false" ht="15" hidden="false" customHeight="true" outlineLevel="0" collapsed="false">
      <c r="A1356" s="45" t="s">
        <v>1661</v>
      </c>
      <c r="B1356" s="42" t="str">
        <f aca="false">IF(A1356="100","HK",IF(A1356="200","CN",IF(A1356="300","TW","홀세일")))</f>
        <v>TW</v>
      </c>
      <c r="C1356" s="45" t="s">
        <v>597</v>
      </c>
      <c r="D1356" s="46" t="n">
        <v>350</v>
      </c>
      <c r="E1356" s="46" t="n">
        <v>69000</v>
      </c>
      <c r="F1356" s="46" t="n">
        <v>16854</v>
      </c>
      <c r="G1356" s="42" t="n">
        <v>3.49</v>
      </c>
      <c r="H1356" s="42" t="n">
        <v>18.4</v>
      </c>
      <c r="J1356" s="46" t="n">
        <f aca="false">IF(N(E1356)&gt;0,E1356,IF(N(F1356)&gt;0,F1356*요약!$F$27,0))</f>
        <v>69000</v>
      </c>
      <c r="K1356" s="46" t="n">
        <f aca="false">IF(N(F1356)&gt;0,F1356,IF(N(E1356)&gt;0,E1356/요약!$F$27,0))</f>
        <v>16854</v>
      </c>
      <c r="L1356" s="46" t="n">
        <f aca="false">IF(B1356="CN",IF(N(I1356)&gt;0,I1356*요약!$G$27,K1356*(1+요약!$E$27)),IF(N(H1356)&gt;0,H1356*요약!$G$27,J1356*요약!$D$27))</f>
        <v>24288</v>
      </c>
      <c r="M1356" s="46" t="n">
        <f aca="false">D1356*J1356</f>
        <v>24150000</v>
      </c>
      <c r="N1356" s="46" t="n">
        <f aca="false">D1356*K1356</f>
        <v>5898900</v>
      </c>
      <c r="O1356" s="46" t="n">
        <f aca="false">D1356*L1356</f>
        <v>8500800</v>
      </c>
      <c r="P1356" s="42" t="str">
        <f aca="false">TRIM(IF(N(E1356)&lt;=0,"택가보정 ","")&amp;IF(N(F1356)&lt;=0,"원가보정 ","")&amp;IF(AND(B1356&lt;&gt;"CN",N(H1356)&lt;=0),"공급가보정 ","")&amp;IF(AND(B1356="CN",N(I1356)&lt;=0),"중국공급가=원가+마진 ",""))</f>
        <v/>
      </c>
      <c r="Q1356" s="47" t="n">
        <f aca="false">IF(SUMIFS($W:$W,$A:$A,A1356,$C:$C,C1356)=0,0,SUMIFS(RAW_판매펀칭!$K:$K,RAW_판매펀칭!$P:$P,A1356,RAW_판매펀칭!$I:$I,C1356)*W1356/SUMIFS($W:$W,$A:$A,A1356,$C:$C,C1356))</f>
        <v>350</v>
      </c>
      <c r="R1356" s="47" t="n">
        <f aca="false">IF(OR(A1356="500",A1356="800",A1356="810"),0,MAX(W1356-Q1356,0))</f>
        <v>0</v>
      </c>
      <c r="S1356" s="47" t="n">
        <f aca="false">R1356*L1356</f>
        <v>0</v>
      </c>
      <c r="T1356" s="47" t="n">
        <f aca="false">R1356*J1356</f>
        <v>0</v>
      </c>
      <c r="U1356" s="47" t="n">
        <f aca="false">R1356*K1356</f>
        <v>0</v>
      </c>
      <c r="V1356" s="0" t="str">
        <f aca="false">IF(COUNTIFS($A$2:A1356,A1356,$C$2:C1356,C1356,$D$2:D1356,D1356)&gt;1,"중복","")</f>
        <v/>
      </c>
      <c r="W1356" s="0" t="n">
        <f aca="false">IF(V1356="중복",0,N(D1356))</f>
        <v>350</v>
      </c>
      <c r="X1356" s="0" t="n">
        <f aca="false">IF(COUNTIFS($A$2:A1356,A1356,$C$2:C1356,C1356)=1,ABS(SUMIFS(RAW_발주!$D:$D,RAW_발주!$C:$C,A1356,RAW_발주!$A:$A,C1356)-SUMIFS($W:$W,$A:$A,A1356,$C:$C,C1356)),0)</f>
        <v>0</v>
      </c>
    </row>
    <row r="1357" customFormat="false" ht="15" hidden="false" customHeight="true" outlineLevel="0" collapsed="false">
      <c r="A1357" s="45" t="s">
        <v>1662</v>
      </c>
      <c r="B1357" s="42" t="str">
        <f aca="false">IF(A1357="100","HK",IF(A1357="200","CN",IF(A1357="300","TW","홀세일")))</f>
        <v>홀세일</v>
      </c>
      <c r="C1357" s="45" t="s">
        <v>597</v>
      </c>
      <c r="D1357" s="46" t="n">
        <v>20</v>
      </c>
      <c r="E1357" s="46" t="n">
        <v>69000</v>
      </c>
      <c r="F1357" s="46" t="n">
        <v>16854</v>
      </c>
      <c r="G1357" s="42" t="n">
        <v>3.49</v>
      </c>
      <c r="H1357" s="42" t="n">
        <v>18.4</v>
      </c>
      <c r="J1357" s="46" t="n">
        <f aca="false">IF(N(E1357)&gt;0,E1357,IF(N(F1357)&gt;0,F1357*요약!$F$27,0))</f>
        <v>69000</v>
      </c>
      <c r="K1357" s="46" t="n">
        <f aca="false">IF(N(F1357)&gt;0,F1357,IF(N(E1357)&gt;0,E1357/요약!$F$27,0))</f>
        <v>16854</v>
      </c>
      <c r="L1357" s="46" t="n">
        <f aca="false">IF(B1357="CN",IF(N(I1357)&gt;0,I1357*요약!$G$27,K1357*(1+요약!$E$27)),IF(N(H1357)&gt;0,H1357*요약!$G$27,J1357*요약!$D$27))</f>
        <v>24288</v>
      </c>
      <c r="M1357" s="46" t="n">
        <f aca="false">D1357*J1357</f>
        <v>1380000</v>
      </c>
      <c r="N1357" s="46" t="n">
        <f aca="false">D1357*K1357</f>
        <v>337080</v>
      </c>
      <c r="O1357" s="46" t="n">
        <f aca="false">D1357*L1357</f>
        <v>485760</v>
      </c>
      <c r="P1357" s="42" t="str">
        <f aca="false">TRIM(IF(N(E1357)&lt;=0,"택가보정 ","")&amp;IF(N(F1357)&lt;=0,"원가보정 ","")&amp;IF(AND(B1357&lt;&gt;"CN",N(H1357)&lt;=0),"공급가보정 ","")&amp;IF(AND(B1357="CN",N(I1357)&lt;=0),"중국공급가=원가+마진 ",""))</f>
        <v/>
      </c>
      <c r="Q1357" s="47" t="n">
        <f aca="false">IF(SUMIFS($W:$W,$A:$A,A1357,$C:$C,C1357)=0,0,SUMIFS(RAW_판매펀칭!$K:$K,RAW_판매펀칭!$P:$P,A1357,RAW_판매펀칭!$I:$I,C1357)*W1357/SUMIFS($W:$W,$A:$A,A1357,$C:$C,C1357))</f>
        <v>0</v>
      </c>
      <c r="R1357" s="47" t="n">
        <f aca="false">IF(OR(A1357="500",A1357="800",A1357="810"),0,MAX(W1357-Q1357,0))</f>
        <v>0</v>
      </c>
      <c r="S1357" s="47" t="n">
        <f aca="false">R1357*L1357</f>
        <v>0</v>
      </c>
      <c r="T1357" s="47" t="n">
        <f aca="false">R1357*J1357</f>
        <v>0</v>
      </c>
      <c r="U1357" s="47" t="n">
        <f aca="false">R1357*K1357</f>
        <v>0</v>
      </c>
      <c r="V1357" s="0" t="str">
        <f aca="false">IF(COUNTIFS($A$2:A1357,A1357,$C$2:C1357,C1357,$D$2:D1357,D1357)&gt;1,"중복","")</f>
        <v/>
      </c>
      <c r="W1357" s="0" t="n">
        <f aca="false">IF(V1357="중복",0,N(D1357))</f>
        <v>20</v>
      </c>
      <c r="X1357" s="0" t="n">
        <f aca="false">IF(COUNTIFS($A$2:A1357,A1357,$C$2:C1357,C1357)=1,ABS(SUMIFS(RAW_발주!$D:$D,RAW_발주!$C:$C,A1357,RAW_발주!$A:$A,C1357)-SUMIFS($W:$W,$A:$A,A1357,$C:$C,C1357)),0)</f>
        <v>0</v>
      </c>
    </row>
    <row r="1358" customFormat="false" ht="15" hidden="false" customHeight="true" outlineLevel="0" collapsed="false">
      <c r="A1358" s="45" t="s">
        <v>1663</v>
      </c>
      <c r="B1358" s="42" t="str">
        <f aca="false">IF(A1358="100","HK",IF(A1358="200","CN",IF(A1358="300","TW","홀세일")))</f>
        <v>홀세일</v>
      </c>
      <c r="C1358" s="45" t="s">
        <v>597</v>
      </c>
      <c r="D1358" s="46" t="n">
        <v>50</v>
      </c>
      <c r="E1358" s="46" t="n">
        <v>69000</v>
      </c>
      <c r="F1358" s="46" t="n">
        <v>16854</v>
      </c>
      <c r="G1358" s="42" t="n">
        <v>3.49</v>
      </c>
      <c r="H1358" s="42" t="n">
        <v>18.4</v>
      </c>
      <c r="J1358" s="46" t="n">
        <f aca="false">IF(N(E1358)&gt;0,E1358,IF(N(F1358)&gt;0,F1358*요약!$F$27,0))</f>
        <v>69000</v>
      </c>
      <c r="K1358" s="46" t="n">
        <f aca="false">IF(N(F1358)&gt;0,F1358,IF(N(E1358)&gt;0,E1358/요약!$F$27,0))</f>
        <v>16854</v>
      </c>
      <c r="L1358" s="46" t="n">
        <f aca="false">IF(B1358="CN",IF(N(I1358)&gt;0,I1358*요약!$G$27,K1358*(1+요약!$E$27)),IF(N(H1358)&gt;0,H1358*요약!$G$27,J1358*요약!$D$27))</f>
        <v>24288</v>
      </c>
      <c r="M1358" s="46" t="n">
        <f aca="false">D1358*J1358</f>
        <v>3450000</v>
      </c>
      <c r="N1358" s="46" t="n">
        <f aca="false">D1358*K1358</f>
        <v>842700</v>
      </c>
      <c r="O1358" s="46" t="n">
        <f aca="false">D1358*L1358</f>
        <v>1214400</v>
      </c>
      <c r="P1358" s="42" t="str">
        <f aca="false">TRIM(IF(N(E1358)&lt;=0,"택가보정 ","")&amp;IF(N(F1358)&lt;=0,"원가보정 ","")&amp;IF(AND(B1358&lt;&gt;"CN",N(H1358)&lt;=0),"공급가보정 ","")&amp;IF(AND(B1358="CN",N(I1358)&lt;=0),"중국공급가=원가+마진 ",""))</f>
        <v/>
      </c>
      <c r="Q1358" s="47" t="n">
        <f aca="false">IF(SUMIFS($W:$W,$A:$A,A1358,$C:$C,C1358)=0,0,SUMIFS(RAW_판매펀칭!$K:$K,RAW_판매펀칭!$P:$P,A1358,RAW_판매펀칭!$I:$I,C1358)*W1358/SUMIFS($W:$W,$A:$A,A1358,$C:$C,C1358))</f>
        <v>50</v>
      </c>
      <c r="R1358" s="47" t="n">
        <f aca="false">IF(OR(A1358="500",A1358="800",A1358="810"),0,MAX(W1358-Q1358,0))</f>
        <v>0</v>
      </c>
      <c r="S1358" s="47" t="n">
        <f aca="false">R1358*L1358</f>
        <v>0</v>
      </c>
      <c r="T1358" s="47" t="n">
        <f aca="false">R1358*J1358</f>
        <v>0</v>
      </c>
      <c r="U1358" s="47" t="n">
        <f aca="false">R1358*K1358</f>
        <v>0</v>
      </c>
      <c r="V1358" s="0" t="str">
        <f aca="false">IF(COUNTIFS($A$2:A1358,A1358,$C$2:C1358,C1358,$D$2:D1358,D1358)&gt;1,"중복","")</f>
        <v/>
      </c>
      <c r="W1358" s="0" t="n">
        <f aca="false">IF(V1358="중복",0,N(D1358))</f>
        <v>50</v>
      </c>
      <c r="X1358" s="0" t="n">
        <f aca="false">IF(COUNTIFS($A$2:A1358,A1358,$C$2:C1358,C1358)=1,ABS(SUMIFS(RAW_발주!$D:$D,RAW_발주!$C:$C,A1358,RAW_발주!$A:$A,C1358)-SUMIFS($W:$W,$A:$A,A1358,$C:$C,C1358)),0)</f>
        <v>0</v>
      </c>
    </row>
    <row r="1359" customFormat="false" ht="15" hidden="false" customHeight="true" outlineLevel="0" collapsed="false">
      <c r="A1359" s="45" t="s">
        <v>1667</v>
      </c>
      <c r="B1359" s="42" t="str">
        <f aca="false">IF(A1359="100","HK",IF(A1359="200","CN",IF(A1359="300","TW","홀세일")))</f>
        <v>홀세일</v>
      </c>
      <c r="C1359" s="45" t="s">
        <v>597</v>
      </c>
      <c r="D1359" s="46" t="n">
        <v>61</v>
      </c>
      <c r="E1359" s="46" t="n">
        <v>69000</v>
      </c>
      <c r="F1359" s="46" t="n">
        <v>16854</v>
      </c>
      <c r="G1359" s="42" t="n">
        <v>3.49</v>
      </c>
      <c r="H1359" s="42" t="n">
        <v>18.4</v>
      </c>
      <c r="J1359" s="46" t="n">
        <f aca="false">IF(N(E1359)&gt;0,E1359,IF(N(F1359)&gt;0,F1359*요약!$F$27,0))</f>
        <v>69000</v>
      </c>
      <c r="K1359" s="46" t="n">
        <f aca="false">IF(N(F1359)&gt;0,F1359,IF(N(E1359)&gt;0,E1359/요약!$F$27,0))</f>
        <v>16854</v>
      </c>
      <c r="L1359" s="46" t="n">
        <f aca="false">IF(B1359="CN",IF(N(I1359)&gt;0,I1359*요약!$G$27,K1359*(1+요약!$E$27)),IF(N(H1359)&gt;0,H1359*요약!$G$27,J1359*요약!$D$27))</f>
        <v>24288</v>
      </c>
      <c r="M1359" s="46" t="n">
        <f aca="false">D1359*J1359</f>
        <v>4209000</v>
      </c>
      <c r="N1359" s="46" t="n">
        <f aca="false">D1359*K1359</f>
        <v>1028094</v>
      </c>
      <c r="O1359" s="46" t="n">
        <f aca="false">D1359*L1359</f>
        <v>1481568</v>
      </c>
      <c r="P1359" s="42" t="str">
        <f aca="false">TRIM(IF(N(E1359)&lt;=0,"택가보정 ","")&amp;IF(N(F1359)&lt;=0,"원가보정 ","")&amp;IF(AND(B1359&lt;&gt;"CN",N(H1359)&lt;=0),"공급가보정 ","")&amp;IF(AND(B1359="CN",N(I1359)&lt;=0),"중국공급가=원가+마진 ",""))</f>
        <v/>
      </c>
      <c r="Q1359" s="47" t="n">
        <f aca="false">IF(SUMIFS($W:$W,$A:$A,A1359,$C:$C,C1359)=0,0,SUMIFS(RAW_판매펀칭!$K:$K,RAW_판매펀칭!$P:$P,A1359,RAW_판매펀칭!$I:$I,C1359)*W1359/SUMIFS($W:$W,$A:$A,A1359,$C:$C,C1359))</f>
        <v>61</v>
      </c>
      <c r="R1359" s="47" t="n">
        <f aca="false">IF(OR(A1359="500",A1359="800",A1359="810"),0,MAX(W1359-Q1359,0))</f>
        <v>0</v>
      </c>
      <c r="S1359" s="47" t="n">
        <f aca="false">R1359*L1359</f>
        <v>0</v>
      </c>
      <c r="T1359" s="47" t="n">
        <f aca="false">R1359*J1359</f>
        <v>0</v>
      </c>
      <c r="U1359" s="47" t="n">
        <f aca="false">R1359*K1359</f>
        <v>0</v>
      </c>
      <c r="V1359" s="0" t="str">
        <f aca="false">IF(COUNTIFS($A$2:A1359,A1359,$C$2:C1359,C1359,$D$2:D1359,D1359)&gt;1,"중복","")</f>
        <v/>
      </c>
      <c r="W1359" s="0" t="n">
        <f aca="false">IF(V1359="중복",0,N(D1359))</f>
        <v>61</v>
      </c>
      <c r="X1359" s="0" t="n">
        <f aca="false">IF(COUNTIFS($A$2:A1359,A1359,$C$2:C1359,C1359)=1,ABS(SUMIFS(RAW_발주!$D:$D,RAW_발주!$C:$C,A1359,RAW_발주!$A:$A,C1359)-SUMIFS($W:$W,$A:$A,A1359,$C:$C,C1359)),0)</f>
        <v>0</v>
      </c>
    </row>
    <row r="1360" customFormat="false" ht="15" hidden="false" customHeight="true" outlineLevel="0" collapsed="false">
      <c r="A1360" s="45" t="s">
        <v>1665</v>
      </c>
      <c r="B1360" s="42" t="str">
        <f aca="false">IF(A1360="100","HK",IF(A1360="200","CN",IF(A1360="300","TW","홀세일")))</f>
        <v>홀세일</v>
      </c>
      <c r="C1360" s="45" t="s">
        <v>597</v>
      </c>
      <c r="D1360" s="46" t="n">
        <v>96</v>
      </c>
      <c r="E1360" s="46" t="n">
        <v>69000</v>
      </c>
      <c r="F1360" s="46" t="n">
        <v>16854</v>
      </c>
      <c r="G1360" s="42" t="n">
        <v>3.49</v>
      </c>
      <c r="H1360" s="42" t="n">
        <v>18.4</v>
      </c>
      <c r="J1360" s="46" t="n">
        <f aca="false">IF(N(E1360)&gt;0,E1360,IF(N(F1360)&gt;0,F1360*요약!$F$27,0))</f>
        <v>69000</v>
      </c>
      <c r="K1360" s="46" t="n">
        <f aca="false">IF(N(F1360)&gt;0,F1360,IF(N(E1360)&gt;0,E1360/요약!$F$27,0))</f>
        <v>16854</v>
      </c>
      <c r="L1360" s="46" t="n">
        <f aca="false">IF(B1360="CN",IF(N(I1360)&gt;0,I1360*요약!$G$27,K1360*(1+요약!$E$27)),IF(N(H1360)&gt;0,H1360*요약!$G$27,J1360*요약!$D$27))</f>
        <v>24288</v>
      </c>
      <c r="M1360" s="46" t="n">
        <f aca="false">D1360*J1360</f>
        <v>6624000</v>
      </c>
      <c r="N1360" s="46" t="n">
        <f aca="false">D1360*K1360</f>
        <v>1617984</v>
      </c>
      <c r="O1360" s="46" t="n">
        <f aca="false">D1360*L1360</f>
        <v>2331648</v>
      </c>
      <c r="P1360" s="42" t="str">
        <f aca="false">TRIM(IF(N(E1360)&lt;=0,"택가보정 ","")&amp;IF(N(F1360)&lt;=0,"원가보정 ","")&amp;IF(AND(B1360&lt;&gt;"CN",N(H1360)&lt;=0),"공급가보정 ","")&amp;IF(AND(B1360="CN",N(I1360)&lt;=0),"중국공급가=원가+마진 ",""))</f>
        <v/>
      </c>
      <c r="Q1360" s="47" t="n">
        <f aca="false">IF(SUMIFS($W:$W,$A:$A,A1360,$C:$C,C1360)=0,0,SUMIFS(RAW_판매펀칭!$K:$K,RAW_판매펀칭!$P:$P,A1360,RAW_판매펀칭!$I:$I,C1360)*W1360/SUMIFS($W:$W,$A:$A,A1360,$C:$C,C1360))</f>
        <v>96</v>
      </c>
      <c r="R1360" s="47" t="n">
        <f aca="false">IF(OR(A1360="500",A1360="800",A1360="810"),0,MAX(W1360-Q1360,0))</f>
        <v>0</v>
      </c>
      <c r="S1360" s="47" t="n">
        <f aca="false">R1360*L1360</f>
        <v>0</v>
      </c>
      <c r="T1360" s="47" t="n">
        <f aca="false">R1360*J1360</f>
        <v>0</v>
      </c>
      <c r="U1360" s="47" t="n">
        <f aca="false">R1360*K1360</f>
        <v>0</v>
      </c>
      <c r="V1360" s="0" t="str">
        <f aca="false">IF(COUNTIFS($A$2:A1360,A1360,$C$2:C1360,C1360,$D$2:D1360,D1360)&gt;1,"중복","")</f>
        <v/>
      </c>
      <c r="W1360" s="0" t="n">
        <f aca="false">IF(V1360="중복",0,N(D1360))</f>
        <v>96</v>
      </c>
      <c r="X1360" s="0" t="n">
        <f aca="false">IF(COUNTIFS($A$2:A1360,A1360,$C$2:C1360,C1360)=1,ABS(SUMIFS(RAW_발주!$D:$D,RAW_발주!$C:$C,A1360,RAW_발주!$A:$A,C1360)-SUMIFS($W:$W,$A:$A,A1360,$C:$C,C1360)),0)</f>
        <v>0</v>
      </c>
    </row>
    <row r="1361" customFormat="false" ht="15" hidden="false" customHeight="true" outlineLevel="0" collapsed="false">
      <c r="A1361" s="45" t="s">
        <v>1662</v>
      </c>
      <c r="B1361" s="42" t="str">
        <f aca="false">IF(A1361="100","HK",IF(A1361="200","CN",IF(A1361="300","TW","홀세일")))</f>
        <v>홀세일</v>
      </c>
      <c r="C1361" s="45" t="s">
        <v>1417</v>
      </c>
      <c r="D1361" s="46" t="n">
        <v>45</v>
      </c>
      <c r="E1361" s="46" t="n">
        <v>69000</v>
      </c>
      <c r="F1361" s="46" t="n">
        <v>16878</v>
      </c>
      <c r="G1361" s="42" t="n">
        <v>3.49</v>
      </c>
      <c r="H1361" s="42" t="n">
        <v>18.4</v>
      </c>
      <c r="J1361" s="46" t="n">
        <f aca="false">IF(N(E1361)&gt;0,E1361,IF(N(F1361)&gt;0,F1361*요약!$F$27,0))</f>
        <v>69000</v>
      </c>
      <c r="K1361" s="46" t="n">
        <f aca="false">IF(N(F1361)&gt;0,F1361,IF(N(E1361)&gt;0,E1361/요약!$F$27,0))</f>
        <v>16878</v>
      </c>
      <c r="L1361" s="46" t="n">
        <f aca="false">IF(B1361="CN",IF(N(I1361)&gt;0,I1361*요약!$G$27,K1361*(1+요약!$E$27)),IF(N(H1361)&gt;0,H1361*요약!$G$27,J1361*요약!$D$27))</f>
        <v>24288</v>
      </c>
      <c r="M1361" s="46" t="n">
        <f aca="false">D1361*J1361</f>
        <v>3105000</v>
      </c>
      <c r="N1361" s="46" t="n">
        <f aca="false">D1361*K1361</f>
        <v>759510</v>
      </c>
      <c r="O1361" s="46" t="n">
        <f aca="false">D1361*L1361</f>
        <v>1092960</v>
      </c>
      <c r="P1361" s="42" t="str">
        <f aca="false">TRIM(IF(N(E1361)&lt;=0,"택가보정 ","")&amp;IF(N(F1361)&lt;=0,"원가보정 ","")&amp;IF(AND(B1361&lt;&gt;"CN",N(H1361)&lt;=0),"공급가보정 ","")&amp;IF(AND(B1361="CN",N(I1361)&lt;=0),"중국공급가=원가+마진 ",""))</f>
        <v/>
      </c>
      <c r="Q1361" s="47" t="n">
        <f aca="false">IF(SUMIFS($W:$W,$A:$A,A1361,$C:$C,C1361)=0,0,SUMIFS(RAW_판매펀칭!$K:$K,RAW_판매펀칭!$P:$P,A1361,RAW_판매펀칭!$I:$I,C1361)*W1361/SUMIFS($W:$W,$A:$A,A1361,$C:$C,C1361))</f>
        <v>0</v>
      </c>
      <c r="R1361" s="47" t="n">
        <f aca="false">IF(OR(A1361="500",A1361="800",A1361="810"),0,MAX(W1361-Q1361,0))</f>
        <v>0</v>
      </c>
      <c r="S1361" s="47" t="n">
        <f aca="false">R1361*L1361</f>
        <v>0</v>
      </c>
      <c r="T1361" s="47" t="n">
        <f aca="false">R1361*J1361</f>
        <v>0</v>
      </c>
      <c r="U1361" s="47" t="n">
        <f aca="false">R1361*K1361</f>
        <v>0</v>
      </c>
      <c r="V1361" s="0" t="str">
        <f aca="false">IF(COUNTIFS($A$2:A1361,A1361,$C$2:C1361,C1361,$D$2:D1361,D1361)&gt;1,"중복","")</f>
        <v/>
      </c>
      <c r="W1361" s="0" t="n">
        <f aca="false">IF(V1361="중복",0,N(D1361))</f>
        <v>45</v>
      </c>
      <c r="X1361" s="0" t="n">
        <f aca="false">IF(COUNTIFS($A$2:A1361,A1361,$C$2:C1361,C1361)=1,ABS(SUMIFS(RAW_발주!$D:$D,RAW_발주!$C:$C,A1361,RAW_발주!$A:$A,C1361)-SUMIFS($W:$W,$A:$A,A1361,$C:$C,C1361)),0)</f>
        <v>0</v>
      </c>
    </row>
    <row r="1362" customFormat="false" ht="15" hidden="false" customHeight="true" outlineLevel="0" collapsed="false">
      <c r="A1362" s="45" t="s">
        <v>1667</v>
      </c>
      <c r="B1362" s="42" t="str">
        <f aca="false">IF(A1362="100","HK",IF(A1362="200","CN",IF(A1362="300","TW","홀세일")))</f>
        <v>홀세일</v>
      </c>
      <c r="C1362" s="45" t="s">
        <v>1417</v>
      </c>
      <c r="D1362" s="46" t="n">
        <v>152</v>
      </c>
      <c r="E1362" s="46" t="n">
        <v>69000</v>
      </c>
      <c r="F1362" s="46" t="n">
        <v>16878</v>
      </c>
      <c r="G1362" s="42" t="n">
        <v>3.49</v>
      </c>
      <c r="H1362" s="42" t="n">
        <v>18.4</v>
      </c>
      <c r="J1362" s="46" t="n">
        <f aca="false">IF(N(E1362)&gt;0,E1362,IF(N(F1362)&gt;0,F1362*요약!$F$27,0))</f>
        <v>69000</v>
      </c>
      <c r="K1362" s="46" t="n">
        <f aca="false">IF(N(F1362)&gt;0,F1362,IF(N(E1362)&gt;0,E1362/요약!$F$27,0))</f>
        <v>16878</v>
      </c>
      <c r="L1362" s="46" t="n">
        <f aca="false">IF(B1362="CN",IF(N(I1362)&gt;0,I1362*요약!$G$27,K1362*(1+요약!$E$27)),IF(N(H1362)&gt;0,H1362*요약!$G$27,J1362*요약!$D$27))</f>
        <v>24288</v>
      </c>
      <c r="M1362" s="46" t="n">
        <f aca="false">D1362*J1362</f>
        <v>10488000</v>
      </c>
      <c r="N1362" s="46" t="n">
        <f aca="false">D1362*K1362</f>
        <v>2565456</v>
      </c>
      <c r="O1362" s="46" t="n">
        <f aca="false">D1362*L1362</f>
        <v>3691776</v>
      </c>
      <c r="P1362" s="42" t="str">
        <f aca="false">TRIM(IF(N(E1362)&lt;=0,"택가보정 ","")&amp;IF(N(F1362)&lt;=0,"원가보정 ","")&amp;IF(AND(B1362&lt;&gt;"CN",N(H1362)&lt;=0),"공급가보정 ","")&amp;IF(AND(B1362="CN",N(I1362)&lt;=0),"중국공급가=원가+마진 ",""))</f>
        <v/>
      </c>
      <c r="Q1362" s="47" t="n">
        <f aca="false">IF(SUMIFS($W:$W,$A:$A,A1362,$C:$C,C1362)=0,0,SUMIFS(RAW_판매펀칭!$K:$K,RAW_판매펀칭!$P:$P,A1362,RAW_판매펀칭!$I:$I,C1362)*W1362/SUMIFS($W:$W,$A:$A,A1362,$C:$C,C1362))</f>
        <v>152</v>
      </c>
      <c r="R1362" s="47" t="n">
        <f aca="false">IF(OR(A1362="500",A1362="800",A1362="810"),0,MAX(W1362-Q1362,0))</f>
        <v>0</v>
      </c>
      <c r="S1362" s="47" t="n">
        <f aca="false">R1362*L1362</f>
        <v>0</v>
      </c>
      <c r="T1362" s="47" t="n">
        <f aca="false">R1362*J1362</f>
        <v>0</v>
      </c>
      <c r="U1362" s="47" t="n">
        <f aca="false">R1362*K1362</f>
        <v>0</v>
      </c>
      <c r="V1362" s="0" t="str">
        <f aca="false">IF(COUNTIFS($A$2:A1362,A1362,$C$2:C1362,C1362,$D$2:D1362,D1362)&gt;1,"중복","")</f>
        <v/>
      </c>
      <c r="W1362" s="0" t="n">
        <f aca="false">IF(V1362="중복",0,N(D1362))</f>
        <v>152</v>
      </c>
      <c r="X1362" s="0" t="n">
        <f aca="false">IF(COUNTIFS($A$2:A1362,A1362,$C$2:C1362,C1362)=1,ABS(SUMIFS(RAW_발주!$D:$D,RAW_발주!$C:$C,A1362,RAW_발주!$A:$A,C1362)-SUMIFS($W:$W,$A:$A,A1362,$C:$C,C1362)),0)</f>
        <v>0</v>
      </c>
    </row>
    <row r="1363" customFormat="false" ht="15" hidden="false" customHeight="true" outlineLevel="0" collapsed="false">
      <c r="A1363" s="45" t="s">
        <v>1661</v>
      </c>
      <c r="B1363" s="42" t="str">
        <f aca="false">IF(A1363="100","HK",IF(A1363="200","CN",IF(A1363="300","TW","홀세일")))</f>
        <v>TW</v>
      </c>
      <c r="C1363" s="45" t="s">
        <v>613</v>
      </c>
      <c r="D1363" s="46" t="n">
        <v>300</v>
      </c>
      <c r="E1363" s="46" t="n">
        <v>99000</v>
      </c>
      <c r="F1363" s="46" t="n">
        <v>19075</v>
      </c>
      <c r="G1363" s="42" t="n">
        <v>4.45</v>
      </c>
      <c r="H1363" s="42" t="n">
        <v>26.3</v>
      </c>
      <c r="J1363" s="46" t="n">
        <f aca="false">IF(N(E1363)&gt;0,E1363,IF(N(F1363)&gt;0,F1363*요약!$F$27,0))</f>
        <v>99000</v>
      </c>
      <c r="K1363" s="46" t="n">
        <f aca="false">IF(N(F1363)&gt;0,F1363,IF(N(E1363)&gt;0,E1363/요약!$F$27,0))</f>
        <v>19075</v>
      </c>
      <c r="L1363" s="46" t="n">
        <f aca="false">IF(B1363="CN",IF(N(I1363)&gt;0,I1363*요약!$G$27,K1363*(1+요약!$E$27)),IF(N(H1363)&gt;0,H1363*요약!$G$27,J1363*요약!$D$27))</f>
        <v>34716</v>
      </c>
      <c r="M1363" s="46" t="n">
        <f aca="false">D1363*J1363</f>
        <v>29700000</v>
      </c>
      <c r="N1363" s="46" t="n">
        <f aca="false">D1363*K1363</f>
        <v>5722500</v>
      </c>
      <c r="O1363" s="46" t="n">
        <f aca="false">D1363*L1363</f>
        <v>10414800</v>
      </c>
      <c r="P1363" s="42" t="str">
        <f aca="false">TRIM(IF(N(E1363)&lt;=0,"택가보정 ","")&amp;IF(N(F1363)&lt;=0,"원가보정 ","")&amp;IF(AND(B1363&lt;&gt;"CN",N(H1363)&lt;=0),"공급가보정 ","")&amp;IF(AND(B1363="CN",N(I1363)&lt;=0),"중국공급가=원가+마진 ",""))</f>
        <v/>
      </c>
      <c r="Q1363" s="47" t="n">
        <f aca="false">IF(SUMIFS($W:$W,$A:$A,A1363,$C:$C,C1363)=0,0,SUMIFS(RAW_판매펀칭!$K:$K,RAW_판매펀칭!$P:$P,A1363,RAW_판매펀칭!$I:$I,C1363)*W1363/SUMIFS($W:$W,$A:$A,A1363,$C:$C,C1363))</f>
        <v>420</v>
      </c>
      <c r="R1363" s="47" t="n">
        <f aca="false">IF(OR(A1363="500",A1363="800",A1363="810"),0,MAX(W1363-Q1363,0))</f>
        <v>0</v>
      </c>
      <c r="S1363" s="47" t="n">
        <f aca="false">R1363*L1363</f>
        <v>0</v>
      </c>
      <c r="T1363" s="47" t="n">
        <f aca="false">R1363*J1363</f>
        <v>0</v>
      </c>
      <c r="U1363" s="47" t="n">
        <f aca="false">R1363*K1363</f>
        <v>0</v>
      </c>
      <c r="V1363" s="0" t="str">
        <f aca="false">IF(COUNTIFS($A$2:A1363,A1363,$C$2:C1363,C1363,$D$2:D1363,D1363)&gt;1,"중복","")</f>
        <v/>
      </c>
      <c r="W1363" s="0" t="n">
        <f aca="false">IF(V1363="중복",0,N(D1363))</f>
        <v>300</v>
      </c>
      <c r="X1363" s="0" t="n">
        <f aca="false">IF(COUNTIFS($A$2:A1363,A1363,$C$2:C1363,C1363)=1,ABS(SUMIFS(RAW_발주!$D:$D,RAW_발주!$C:$C,A1363,RAW_발주!$A:$A,C1363)-SUMIFS($W:$W,$A:$A,A1363,$C:$C,C1363)),0)</f>
        <v>0</v>
      </c>
    </row>
    <row r="1364" customFormat="false" ht="15" hidden="false" customHeight="true" outlineLevel="0" collapsed="false">
      <c r="A1364" s="45" t="s">
        <v>1662</v>
      </c>
      <c r="B1364" s="42" t="str">
        <f aca="false">IF(A1364="100","HK",IF(A1364="200","CN",IF(A1364="300","TW","홀세일")))</f>
        <v>홀세일</v>
      </c>
      <c r="C1364" s="45" t="s">
        <v>613</v>
      </c>
      <c r="D1364" s="46" t="n">
        <v>25</v>
      </c>
      <c r="E1364" s="46" t="n">
        <v>99000</v>
      </c>
      <c r="F1364" s="46" t="n">
        <v>19075</v>
      </c>
      <c r="G1364" s="42" t="n">
        <v>4.45</v>
      </c>
      <c r="H1364" s="42" t="n">
        <v>26.3</v>
      </c>
      <c r="J1364" s="46" t="n">
        <f aca="false">IF(N(E1364)&gt;0,E1364,IF(N(F1364)&gt;0,F1364*요약!$F$27,0))</f>
        <v>99000</v>
      </c>
      <c r="K1364" s="46" t="n">
        <f aca="false">IF(N(F1364)&gt;0,F1364,IF(N(E1364)&gt;0,E1364/요약!$F$27,0))</f>
        <v>19075</v>
      </c>
      <c r="L1364" s="46" t="n">
        <f aca="false">IF(B1364="CN",IF(N(I1364)&gt;0,I1364*요약!$G$27,K1364*(1+요약!$E$27)),IF(N(H1364)&gt;0,H1364*요약!$G$27,J1364*요약!$D$27))</f>
        <v>34716</v>
      </c>
      <c r="M1364" s="46" t="n">
        <f aca="false">D1364*J1364</f>
        <v>2475000</v>
      </c>
      <c r="N1364" s="46" t="n">
        <f aca="false">D1364*K1364</f>
        <v>476875</v>
      </c>
      <c r="O1364" s="46" t="n">
        <f aca="false">D1364*L1364</f>
        <v>867900</v>
      </c>
      <c r="P1364" s="42" t="str">
        <f aca="false">TRIM(IF(N(E1364)&lt;=0,"택가보정 ","")&amp;IF(N(F1364)&lt;=0,"원가보정 ","")&amp;IF(AND(B1364&lt;&gt;"CN",N(H1364)&lt;=0),"공급가보정 ","")&amp;IF(AND(B1364="CN",N(I1364)&lt;=0),"중국공급가=원가+마진 ",""))</f>
        <v/>
      </c>
      <c r="Q1364" s="47" t="n">
        <f aca="false">IF(SUMIFS($W:$W,$A:$A,A1364,$C:$C,C1364)=0,0,SUMIFS(RAW_판매펀칭!$K:$K,RAW_판매펀칭!$P:$P,A1364,RAW_판매펀칭!$I:$I,C1364)*W1364/SUMIFS($W:$W,$A:$A,A1364,$C:$C,C1364))</f>
        <v>0</v>
      </c>
      <c r="R1364" s="47" t="n">
        <f aca="false">IF(OR(A1364="500",A1364="800",A1364="810"),0,MAX(W1364-Q1364,0))</f>
        <v>0</v>
      </c>
      <c r="S1364" s="47" t="n">
        <f aca="false">R1364*L1364</f>
        <v>0</v>
      </c>
      <c r="T1364" s="47" t="n">
        <f aca="false">R1364*J1364</f>
        <v>0</v>
      </c>
      <c r="U1364" s="47" t="n">
        <f aca="false">R1364*K1364</f>
        <v>0</v>
      </c>
      <c r="V1364" s="0" t="str">
        <f aca="false">IF(COUNTIFS($A$2:A1364,A1364,$C$2:C1364,C1364,$D$2:D1364,D1364)&gt;1,"중복","")</f>
        <v/>
      </c>
      <c r="W1364" s="0" t="n">
        <f aca="false">IF(V1364="중복",0,N(D1364))</f>
        <v>25</v>
      </c>
      <c r="X1364" s="0" t="n">
        <f aca="false">IF(COUNTIFS($A$2:A1364,A1364,$C$2:C1364,C1364)=1,ABS(SUMIFS(RAW_발주!$D:$D,RAW_발주!$C:$C,A1364,RAW_발주!$A:$A,C1364)-SUMIFS($W:$W,$A:$A,A1364,$C:$C,C1364)),0)</f>
        <v>0</v>
      </c>
    </row>
    <row r="1365" customFormat="false" ht="15" hidden="false" customHeight="true" outlineLevel="0" collapsed="false">
      <c r="A1365" s="45" t="s">
        <v>1663</v>
      </c>
      <c r="B1365" s="42" t="str">
        <f aca="false">IF(A1365="100","HK",IF(A1365="200","CN",IF(A1365="300","TW","홀세일")))</f>
        <v>홀세일</v>
      </c>
      <c r="C1365" s="45" t="s">
        <v>613</v>
      </c>
      <c r="D1365" s="46" t="n">
        <v>40</v>
      </c>
      <c r="E1365" s="46" t="n">
        <v>99000</v>
      </c>
      <c r="F1365" s="46" t="n">
        <v>19075</v>
      </c>
      <c r="G1365" s="42" t="n">
        <v>4.45</v>
      </c>
      <c r="H1365" s="42" t="n">
        <v>26.3</v>
      </c>
      <c r="J1365" s="46" t="n">
        <f aca="false">IF(N(E1365)&gt;0,E1365,IF(N(F1365)&gt;0,F1365*요약!$F$27,0))</f>
        <v>99000</v>
      </c>
      <c r="K1365" s="46" t="n">
        <f aca="false">IF(N(F1365)&gt;0,F1365,IF(N(E1365)&gt;0,E1365/요약!$F$27,0))</f>
        <v>19075</v>
      </c>
      <c r="L1365" s="46" t="n">
        <f aca="false">IF(B1365="CN",IF(N(I1365)&gt;0,I1365*요약!$G$27,K1365*(1+요약!$E$27)),IF(N(H1365)&gt;0,H1365*요약!$G$27,J1365*요약!$D$27))</f>
        <v>34716</v>
      </c>
      <c r="M1365" s="46" t="n">
        <f aca="false">D1365*J1365</f>
        <v>3960000</v>
      </c>
      <c r="N1365" s="46" t="n">
        <f aca="false">D1365*K1365</f>
        <v>763000</v>
      </c>
      <c r="O1365" s="46" t="n">
        <f aca="false">D1365*L1365</f>
        <v>1388640</v>
      </c>
      <c r="P1365" s="42" t="str">
        <f aca="false">TRIM(IF(N(E1365)&lt;=0,"택가보정 ","")&amp;IF(N(F1365)&lt;=0,"원가보정 ","")&amp;IF(AND(B1365&lt;&gt;"CN",N(H1365)&lt;=0),"공급가보정 ","")&amp;IF(AND(B1365="CN",N(I1365)&lt;=0),"중국공급가=원가+마진 ",""))</f>
        <v/>
      </c>
      <c r="Q1365" s="47" t="n">
        <f aca="false">IF(SUMIFS($W:$W,$A:$A,A1365,$C:$C,C1365)=0,0,SUMIFS(RAW_판매펀칭!$K:$K,RAW_판매펀칭!$P:$P,A1365,RAW_판매펀칭!$I:$I,C1365)*W1365/SUMIFS($W:$W,$A:$A,A1365,$C:$C,C1365))</f>
        <v>40</v>
      </c>
      <c r="R1365" s="47" t="n">
        <f aca="false">IF(OR(A1365="500",A1365="800",A1365="810"),0,MAX(W1365-Q1365,0))</f>
        <v>0</v>
      </c>
      <c r="S1365" s="47" t="n">
        <f aca="false">R1365*L1365</f>
        <v>0</v>
      </c>
      <c r="T1365" s="47" t="n">
        <f aca="false">R1365*J1365</f>
        <v>0</v>
      </c>
      <c r="U1365" s="47" t="n">
        <f aca="false">R1365*K1365</f>
        <v>0</v>
      </c>
      <c r="V1365" s="0" t="str">
        <f aca="false">IF(COUNTIFS($A$2:A1365,A1365,$C$2:C1365,C1365,$D$2:D1365,D1365)&gt;1,"중복","")</f>
        <v/>
      </c>
      <c r="W1365" s="0" t="n">
        <f aca="false">IF(V1365="중복",0,N(D1365))</f>
        <v>40</v>
      </c>
      <c r="X1365" s="0" t="n">
        <f aca="false">IF(COUNTIFS($A$2:A1365,A1365,$C$2:C1365,C1365)=1,ABS(SUMIFS(RAW_발주!$D:$D,RAW_발주!$C:$C,A1365,RAW_발주!$A:$A,C1365)-SUMIFS($W:$W,$A:$A,A1365,$C:$C,C1365)),0)</f>
        <v>0</v>
      </c>
    </row>
    <row r="1366" customFormat="false" ht="15" hidden="false" customHeight="true" outlineLevel="0" collapsed="false">
      <c r="A1366" s="45" t="s">
        <v>1659</v>
      </c>
      <c r="B1366" s="42" t="str">
        <f aca="false">IF(A1366="100","HK",IF(A1366="200","CN",IF(A1366="300","TW","홀세일")))</f>
        <v>HK</v>
      </c>
      <c r="C1366" s="45" t="s">
        <v>599</v>
      </c>
      <c r="D1366" s="46" t="n">
        <v>300</v>
      </c>
      <c r="E1366" s="46" t="n">
        <v>79000</v>
      </c>
      <c r="F1366" s="46" t="n">
        <v>19588</v>
      </c>
      <c r="G1366" s="42" t="n">
        <v>3.71</v>
      </c>
      <c r="H1366" s="42" t="n">
        <v>21</v>
      </c>
      <c r="J1366" s="46" t="n">
        <f aca="false">IF(N(E1366)&gt;0,E1366,IF(N(F1366)&gt;0,F1366*요약!$F$27,0))</f>
        <v>79000</v>
      </c>
      <c r="K1366" s="46" t="n">
        <f aca="false">IF(N(F1366)&gt;0,F1366,IF(N(E1366)&gt;0,E1366/요약!$F$27,0))</f>
        <v>19588</v>
      </c>
      <c r="L1366" s="46" t="n">
        <f aca="false">IF(B1366="CN",IF(N(I1366)&gt;0,I1366*요약!$G$27,K1366*(1+요약!$E$27)),IF(N(H1366)&gt;0,H1366*요약!$G$27,J1366*요약!$D$27))</f>
        <v>27720</v>
      </c>
      <c r="M1366" s="46" t="n">
        <f aca="false">D1366*J1366</f>
        <v>23700000</v>
      </c>
      <c r="N1366" s="46" t="n">
        <f aca="false">D1366*K1366</f>
        <v>5876400</v>
      </c>
      <c r="O1366" s="46" t="n">
        <f aca="false">D1366*L1366</f>
        <v>8316000</v>
      </c>
      <c r="P1366" s="42" t="str">
        <f aca="false">TRIM(IF(N(E1366)&lt;=0,"택가보정 ","")&amp;IF(N(F1366)&lt;=0,"원가보정 ","")&amp;IF(AND(B1366&lt;&gt;"CN",N(H1366)&lt;=0),"공급가보정 ","")&amp;IF(AND(B1366="CN",N(I1366)&lt;=0),"중국공급가=원가+마진 ",""))</f>
        <v/>
      </c>
      <c r="Q1366" s="47" t="n">
        <f aca="false">IF(SUMIFS($W:$W,$A:$A,A1366,$C:$C,C1366)=0,0,SUMIFS(RAW_판매펀칭!$K:$K,RAW_판매펀칭!$P:$P,A1366,RAW_판매펀칭!$I:$I,C1366)*W1366/SUMIFS($W:$W,$A:$A,A1366,$C:$C,C1366))</f>
        <v>300</v>
      </c>
      <c r="R1366" s="47" t="n">
        <f aca="false">IF(OR(A1366="500",A1366="800",A1366="810"),0,MAX(W1366-Q1366,0))</f>
        <v>0</v>
      </c>
      <c r="S1366" s="47" t="n">
        <f aca="false">R1366*L1366</f>
        <v>0</v>
      </c>
      <c r="T1366" s="47" t="n">
        <f aca="false">R1366*J1366</f>
        <v>0</v>
      </c>
      <c r="U1366" s="47" t="n">
        <f aca="false">R1366*K1366</f>
        <v>0</v>
      </c>
      <c r="V1366" s="0" t="str">
        <f aca="false">IF(COUNTIFS($A$2:A1366,A1366,$C$2:C1366,C1366,$D$2:D1366,D1366)&gt;1,"중복","")</f>
        <v/>
      </c>
      <c r="W1366" s="0" t="n">
        <f aca="false">IF(V1366="중복",0,N(D1366))</f>
        <v>300</v>
      </c>
      <c r="X1366" s="0" t="n">
        <f aca="false">IF(COUNTIFS($A$2:A1366,A1366,$C$2:C1366,C1366)=1,ABS(SUMIFS(RAW_발주!$D:$D,RAW_발주!$C:$C,A1366,RAW_발주!$A:$A,C1366)-SUMIFS($W:$W,$A:$A,A1366,$C:$C,C1366)),0)</f>
        <v>0</v>
      </c>
    </row>
    <row r="1367" customFormat="false" ht="15.75" hidden="false" customHeight="true" outlineLevel="0" collapsed="false">
      <c r="A1367" s="45" t="s">
        <v>1660</v>
      </c>
      <c r="B1367" s="42" t="str">
        <f aca="false">IF(A1367="100","HK",IF(A1367="200","CN",IF(A1367="300","TW","홀세일")))</f>
        <v>CN</v>
      </c>
      <c r="C1367" s="45" t="s">
        <v>599</v>
      </c>
      <c r="D1367" s="46" t="n">
        <v>102</v>
      </c>
      <c r="E1367" s="46" t="n">
        <v>79000</v>
      </c>
      <c r="F1367" s="46" t="n">
        <v>19588</v>
      </c>
      <c r="G1367" s="42" t="n">
        <v>3.71</v>
      </c>
      <c r="H1367" s="42" t="n">
        <v>21</v>
      </c>
      <c r="J1367" s="46" t="n">
        <f aca="false">IF(N(E1367)&gt;0,E1367,IF(N(F1367)&gt;0,F1367*요약!$F$27,0))</f>
        <v>79000</v>
      </c>
      <c r="K1367" s="46" t="n">
        <f aca="false">IF(N(F1367)&gt;0,F1367,IF(N(E1367)&gt;0,E1367/요약!$F$27,0))</f>
        <v>19588</v>
      </c>
      <c r="L1367" s="46" t="n">
        <f aca="false">IF(B1367="CN",IF(N(I1367)&gt;0,I1367*요약!$G$27,K1367*(1+요약!$E$27)),IF(N(H1367)&gt;0,H1367*요약!$G$27,J1367*요약!$D$27))</f>
        <v>20567.4</v>
      </c>
      <c r="M1367" s="46" t="n">
        <f aca="false">D1367*J1367</f>
        <v>8058000</v>
      </c>
      <c r="N1367" s="46" t="n">
        <f aca="false">D1367*K1367</f>
        <v>1997976</v>
      </c>
      <c r="O1367" s="46" t="n">
        <f aca="false">D1367*L1367</f>
        <v>2097874.8</v>
      </c>
      <c r="P1367" s="42" t="str">
        <f aca="false">TRIM(IF(N(E1367)&lt;=0,"택가보정 ","")&amp;IF(N(F1367)&lt;=0,"원가보정 ","")&amp;IF(AND(B1367&lt;&gt;"CN",N(H1367)&lt;=0),"공급가보정 ","")&amp;IF(AND(B1367="CN",N(I1367)&lt;=0),"중국공급가=원가+마진 ",""))</f>
        <v>중국공급가=원가+마진</v>
      </c>
      <c r="Q1367" s="47" t="n">
        <f aca="false">IF(SUMIFS($W:$W,$A:$A,A1367,$C:$C,C1367)=0,0,SUMIFS(RAW_판매펀칭!$K:$K,RAW_판매펀칭!$P:$P,A1367,RAW_판매펀칭!$I:$I,C1367)*W1367/SUMIFS($W:$W,$A:$A,A1367,$C:$C,C1367))</f>
        <v>100</v>
      </c>
      <c r="R1367" s="47" t="n">
        <f aca="false">IF(OR(A1367="500",A1367="800",A1367="810"),0,MAX(W1367-Q1367,0))</f>
        <v>2</v>
      </c>
      <c r="S1367" s="47" t="n">
        <f aca="false">R1367*L1367</f>
        <v>41134.8</v>
      </c>
      <c r="T1367" s="47" t="n">
        <f aca="false">R1367*J1367</f>
        <v>158000</v>
      </c>
      <c r="U1367" s="47" t="n">
        <f aca="false">R1367*K1367</f>
        <v>39176</v>
      </c>
      <c r="V1367" s="0" t="str">
        <f aca="false">IF(COUNTIFS($A$2:A1367,A1367,$C$2:C1367,C1367,$D$2:D1367,D1367)&gt;1,"중복","")</f>
        <v/>
      </c>
      <c r="W1367" s="0" t="n">
        <f aca="false">IF(V1367="중복",0,N(D1367))</f>
        <v>102</v>
      </c>
      <c r="X1367" s="0" t="n">
        <f aca="false">IF(COUNTIFS($A$2:A1367,A1367,$C$2:C1367,C1367)=1,ABS(SUMIFS(RAW_발주!$D:$D,RAW_발주!$C:$C,A1367,RAW_발주!$A:$A,C1367)-SUMIFS($W:$W,$A:$A,A1367,$C:$C,C1367)),0)</f>
        <v>0</v>
      </c>
    </row>
    <row r="1368" customFormat="false" ht="15" hidden="false" customHeight="true" outlineLevel="0" collapsed="false">
      <c r="A1368" s="45" t="s">
        <v>1661</v>
      </c>
      <c r="B1368" s="42" t="str">
        <f aca="false">IF(A1368="100","HK",IF(A1368="200","CN",IF(A1368="300","TW","홀세일")))</f>
        <v>TW</v>
      </c>
      <c r="C1368" s="45" t="s">
        <v>599</v>
      </c>
      <c r="D1368" s="46" t="n">
        <v>180</v>
      </c>
      <c r="E1368" s="46" t="n">
        <v>79000</v>
      </c>
      <c r="F1368" s="46" t="n">
        <v>19588</v>
      </c>
      <c r="G1368" s="42" t="n">
        <v>3.71</v>
      </c>
      <c r="H1368" s="42" t="n">
        <v>21</v>
      </c>
      <c r="J1368" s="46" t="n">
        <f aca="false">IF(N(E1368)&gt;0,E1368,IF(N(F1368)&gt;0,F1368*요약!$F$27,0))</f>
        <v>79000</v>
      </c>
      <c r="K1368" s="46" t="n">
        <f aca="false">IF(N(F1368)&gt;0,F1368,IF(N(E1368)&gt;0,E1368/요약!$F$27,0))</f>
        <v>19588</v>
      </c>
      <c r="L1368" s="46" t="n">
        <f aca="false">IF(B1368="CN",IF(N(I1368)&gt;0,I1368*요약!$G$27,K1368*(1+요약!$E$27)),IF(N(H1368)&gt;0,H1368*요약!$G$27,J1368*요약!$D$27))</f>
        <v>27720</v>
      </c>
      <c r="M1368" s="46" t="n">
        <f aca="false">D1368*J1368</f>
        <v>14220000</v>
      </c>
      <c r="N1368" s="46" t="n">
        <f aca="false">D1368*K1368</f>
        <v>3525840</v>
      </c>
      <c r="O1368" s="46" t="n">
        <f aca="false">D1368*L1368</f>
        <v>4989600</v>
      </c>
      <c r="P1368" s="42" t="str">
        <f aca="false">TRIM(IF(N(E1368)&lt;=0,"택가보정 ","")&amp;IF(N(F1368)&lt;=0,"원가보정 ","")&amp;IF(AND(B1368&lt;&gt;"CN",N(H1368)&lt;=0),"공급가보정 ","")&amp;IF(AND(B1368="CN",N(I1368)&lt;=0),"중국공급가=원가+마진 ",""))</f>
        <v/>
      </c>
      <c r="Q1368" s="47" t="n">
        <f aca="false">IF(SUMIFS($W:$W,$A:$A,A1368,$C:$C,C1368)=0,0,SUMIFS(RAW_판매펀칭!$K:$K,RAW_판매펀칭!$P:$P,A1368,RAW_판매펀칭!$I:$I,C1368)*W1368/SUMIFS($W:$W,$A:$A,A1368,$C:$C,C1368))</f>
        <v>180</v>
      </c>
      <c r="R1368" s="47" t="n">
        <f aca="false">IF(OR(A1368="500",A1368="800",A1368="810"),0,MAX(W1368-Q1368,0))</f>
        <v>0</v>
      </c>
      <c r="S1368" s="47" t="n">
        <f aca="false">R1368*L1368</f>
        <v>0</v>
      </c>
      <c r="T1368" s="47" t="n">
        <f aca="false">R1368*J1368</f>
        <v>0</v>
      </c>
      <c r="U1368" s="47" t="n">
        <f aca="false">R1368*K1368</f>
        <v>0</v>
      </c>
      <c r="V1368" s="0" t="str">
        <f aca="false">IF(COUNTIFS($A$2:A1368,A1368,$C$2:C1368,C1368,$D$2:D1368,D1368)&gt;1,"중복","")</f>
        <v/>
      </c>
      <c r="W1368" s="0" t="n">
        <f aca="false">IF(V1368="중복",0,N(D1368))</f>
        <v>180</v>
      </c>
      <c r="X1368" s="0" t="n">
        <f aca="false">IF(COUNTIFS($A$2:A1368,A1368,$C$2:C1368,C1368)=1,ABS(SUMIFS(RAW_발주!$D:$D,RAW_발주!$C:$C,A1368,RAW_발주!$A:$A,C1368)-SUMIFS($W:$W,$A:$A,A1368,$C:$C,C1368)),0)</f>
        <v>0</v>
      </c>
    </row>
    <row r="1369" customFormat="false" ht="15" hidden="false" customHeight="true" outlineLevel="0" collapsed="false">
      <c r="A1369" s="45" t="s">
        <v>1663</v>
      </c>
      <c r="B1369" s="42" t="str">
        <f aca="false">IF(A1369="100","HK",IF(A1369="200","CN",IF(A1369="300","TW","홀세일")))</f>
        <v>홀세일</v>
      </c>
      <c r="C1369" s="45" t="s">
        <v>599</v>
      </c>
      <c r="D1369" s="46" t="n">
        <v>20</v>
      </c>
      <c r="E1369" s="46" t="n">
        <v>79000</v>
      </c>
      <c r="F1369" s="46" t="n">
        <v>19588</v>
      </c>
      <c r="G1369" s="42" t="n">
        <v>3.71</v>
      </c>
      <c r="H1369" s="42" t="n">
        <v>21</v>
      </c>
      <c r="J1369" s="46" t="n">
        <f aca="false">IF(N(E1369)&gt;0,E1369,IF(N(F1369)&gt;0,F1369*요약!$F$27,0))</f>
        <v>79000</v>
      </c>
      <c r="K1369" s="46" t="n">
        <f aca="false">IF(N(F1369)&gt;0,F1369,IF(N(E1369)&gt;0,E1369/요약!$F$27,0))</f>
        <v>19588</v>
      </c>
      <c r="L1369" s="46" t="n">
        <f aca="false">IF(B1369="CN",IF(N(I1369)&gt;0,I1369*요약!$G$27,K1369*(1+요약!$E$27)),IF(N(H1369)&gt;0,H1369*요약!$G$27,J1369*요약!$D$27))</f>
        <v>27720</v>
      </c>
      <c r="M1369" s="46" t="n">
        <f aca="false">D1369*J1369</f>
        <v>1580000</v>
      </c>
      <c r="N1369" s="46" t="n">
        <f aca="false">D1369*K1369</f>
        <v>391760</v>
      </c>
      <c r="O1369" s="46" t="n">
        <f aca="false">D1369*L1369</f>
        <v>554400</v>
      </c>
      <c r="P1369" s="42" t="str">
        <f aca="false">TRIM(IF(N(E1369)&lt;=0,"택가보정 ","")&amp;IF(N(F1369)&lt;=0,"원가보정 ","")&amp;IF(AND(B1369&lt;&gt;"CN",N(H1369)&lt;=0),"공급가보정 ","")&amp;IF(AND(B1369="CN",N(I1369)&lt;=0),"중국공급가=원가+마진 ",""))</f>
        <v/>
      </c>
      <c r="Q1369" s="47" t="n">
        <f aca="false">IF(SUMIFS($W:$W,$A:$A,A1369,$C:$C,C1369)=0,0,SUMIFS(RAW_판매펀칭!$K:$K,RAW_판매펀칭!$P:$P,A1369,RAW_판매펀칭!$I:$I,C1369)*W1369/SUMIFS($W:$W,$A:$A,A1369,$C:$C,C1369))</f>
        <v>20</v>
      </c>
      <c r="R1369" s="47" t="n">
        <f aca="false">IF(OR(A1369="500",A1369="800",A1369="810"),0,MAX(W1369-Q1369,0))</f>
        <v>0</v>
      </c>
      <c r="S1369" s="47" t="n">
        <f aca="false">R1369*L1369</f>
        <v>0</v>
      </c>
      <c r="T1369" s="47" t="n">
        <f aca="false">R1369*J1369</f>
        <v>0</v>
      </c>
      <c r="U1369" s="47" t="n">
        <f aca="false">R1369*K1369</f>
        <v>0</v>
      </c>
      <c r="V1369" s="0" t="str">
        <f aca="false">IF(COUNTIFS($A$2:A1369,A1369,$C$2:C1369,C1369,$D$2:D1369,D1369)&gt;1,"중복","")</f>
        <v/>
      </c>
      <c r="W1369" s="0" t="n">
        <f aca="false">IF(V1369="중복",0,N(D1369))</f>
        <v>20</v>
      </c>
      <c r="X1369" s="0" t="n">
        <f aca="false">IF(COUNTIFS($A$2:A1369,A1369,$C$2:C1369,C1369)=1,ABS(SUMIFS(RAW_발주!$D:$D,RAW_발주!$C:$C,A1369,RAW_발주!$A:$A,C1369)-SUMIFS($W:$W,$A:$A,A1369,$C:$C,C1369)),0)</f>
        <v>0</v>
      </c>
    </row>
    <row r="1370" customFormat="false" ht="15" hidden="false" customHeight="true" outlineLevel="0" collapsed="false">
      <c r="A1370" s="45" t="s">
        <v>1664</v>
      </c>
      <c r="B1370" s="42" t="str">
        <f aca="false">IF(A1370="100","HK",IF(A1370="200","CN",IF(A1370="300","TW","홀세일")))</f>
        <v>홀세일</v>
      </c>
      <c r="C1370" s="45" t="s">
        <v>599</v>
      </c>
      <c r="D1370" s="46" t="n">
        <v>20</v>
      </c>
      <c r="E1370" s="46" t="n">
        <v>79000</v>
      </c>
      <c r="F1370" s="46" t="n">
        <v>19588</v>
      </c>
      <c r="G1370" s="42" t="n">
        <v>3.71</v>
      </c>
      <c r="H1370" s="42" t="n">
        <v>21</v>
      </c>
      <c r="J1370" s="46" t="n">
        <f aca="false">IF(N(E1370)&gt;0,E1370,IF(N(F1370)&gt;0,F1370*요약!$F$27,0))</f>
        <v>79000</v>
      </c>
      <c r="K1370" s="46" t="n">
        <f aca="false">IF(N(F1370)&gt;0,F1370,IF(N(E1370)&gt;0,E1370/요약!$F$27,0))</f>
        <v>19588</v>
      </c>
      <c r="L1370" s="46" t="n">
        <f aca="false">IF(B1370="CN",IF(N(I1370)&gt;0,I1370*요약!$G$27,K1370*(1+요약!$E$27)),IF(N(H1370)&gt;0,H1370*요약!$G$27,J1370*요약!$D$27))</f>
        <v>27720</v>
      </c>
      <c r="M1370" s="46" t="n">
        <f aca="false">D1370*J1370</f>
        <v>1580000</v>
      </c>
      <c r="N1370" s="46" t="n">
        <f aca="false">D1370*K1370</f>
        <v>391760</v>
      </c>
      <c r="O1370" s="46" t="n">
        <f aca="false">D1370*L1370</f>
        <v>554400</v>
      </c>
      <c r="P1370" s="42" t="str">
        <f aca="false">TRIM(IF(N(E1370)&lt;=0,"택가보정 ","")&amp;IF(N(F1370)&lt;=0,"원가보정 ","")&amp;IF(AND(B1370&lt;&gt;"CN",N(H1370)&lt;=0),"공급가보정 ","")&amp;IF(AND(B1370="CN",N(I1370)&lt;=0),"중국공급가=원가+마진 ",""))</f>
        <v/>
      </c>
      <c r="Q1370" s="47" t="n">
        <f aca="false">IF(SUMIFS($W:$W,$A:$A,A1370,$C:$C,C1370)=0,0,SUMIFS(RAW_판매펀칭!$K:$K,RAW_판매펀칭!$P:$P,A1370,RAW_판매펀칭!$I:$I,C1370)*W1370/SUMIFS($W:$W,$A:$A,A1370,$C:$C,C1370))</f>
        <v>20</v>
      </c>
      <c r="R1370" s="47" t="n">
        <f aca="false">IF(OR(A1370="500",A1370="800",A1370="810"),0,MAX(W1370-Q1370,0))</f>
        <v>0</v>
      </c>
      <c r="S1370" s="47" t="n">
        <f aca="false">R1370*L1370</f>
        <v>0</v>
      </c>
      <c r="T1370" s="47" t="n">
        <f aca="false">R1370*J1370</f>
        <v>0</v>
      </c>
      <c r="U1370" s="47" t="n">
        <f aca="false">R1370*K1370</f>
        <v>0</v>
      </c>
      <c r="V1370" s="0" t="str">
        <f aca="false">IF(COUNTIFS($A$2:A1370,A1370,$C$2:C1370,C1370,$D$2:D1370,D1370)&gt;1,"중복","")</f>
        <v/>
      </c>
      <c r="W1370" s="0" t="n">
        <f aca="false">IF(V1370="중복",0,N(D1370))</f>
        <v>20</v>
      </c>
      <c r="X1370" s="0" t="n">
        <f aca="false">IF(COUNTIFS($A$2:A1370,A1370,$C$2:C1370,C1370)=1,ABS(SUMIFS(RAW_발주!$D:$D,RAW_발주!$C:$C,A1370,RAW_발주!$A:$A,C1370)-SUMIFS($W:$W,$A:$A,A1370,$C:$C,C1370)),0)</f>
        <v>0</v>
      </c>
    </row>
    <row r="1371" customFormat="false" ht="15" hidden="false" customHeight="true" outlineLevel="0" collapsed="false">
      <c r="A1371" s="45" t="s">
        <v>1664</v>
      </c>
      <c r="B1371" s="42" t="str">
        <f aca="false">IF(A1371="100","HK",IF(A1371="200","CN",IF(A1371="300","TW","홀세일")))</f>
        <v>홀세일</v>
      </c>
      <c r="C1371" s="45" t="s">
        <v>599</v>
      </c>
      <c r="D1371" s="46" t="n">
        <v>20</v>
      </c>
      <c r="E1371" s="46" t="n">
        <v>79000</v>
      </c>
      <c r="F1371" s="46" t="n">
        <v>19588</v>
      </c>
      <c r="G1371" s="42" t="n">
        <v>3.71</v>
      </c>
      <c r="H1371" s="42" t="n">
        <v>21</v>
      </c>
      <c r="J1371" s="46" t="n">
        <f aca="false">IF(N(E1371)&gt;0,E1371,IF(N(F1371)&gt;0,F1371*요약!$F$27,0))</f>
        <v>79000</v>
      </c>
      <c r="K1371" s="46" t="n">
        <f aca="false">IF(N(F1371)&gt;0,F1371,IF(N(E1371)&gt;0,E1371/요약!$F$27,0))</f>
        <v>19588</v>
      </c>
      <c r="L1371" s="46" t="n">
        <f aca="false">IF(B1371="CN",IF(N(I1371)&gt;0,I1371*요약!$G$27,K1371*(1+요약!$E$27)),IF(N(H1371)&gt;0,H1371*요약!$G$27,J1371*요약!$D$27))</f>
        <v>27720</v>
      </c>
      <c r="M1371" s="46" t="n">
        <f aca="false">D1371*J1371</f>
        <v>1580000</v>
      </c>
      <c r="N1371" s="46" t="n">
        <f aca="false">D1371*K1371</f>
        <v>391760</v>
      </c>
      <c r="O1371" s="46" t="n">
        <f aca="false">D1371*L1371</f>
        <v>554400</v>
      </c>
      <c r="P1371" s="42" t="str">
        <f aca="false">TRIM(IF(N(E1371)&lt;=0,"택가보정 ","")&amp;IF(N(F1371)&lt;=0,"원가보정 ","")&amp;IF(AND(B1371&lt;&gt;"CN",N(H1371)&lt;=0),"공급가보정 ","")&amp;IF(AND(B1371="CN",N(I1371)&lt;=0),"중국공급가=원가+마진 ",""))</f>
        <v/>
      </c>
      <c r="Q1371" s="47" t="n">
        <f aca="false">IF(SUMIFS($W:$W,$A:$A,A1371,$C:$C,C1371)=0,0,SUMIFS(RAW_판매펀칭!$K:$K,RAW_판매펀칭!$P:$P,A1371,RAW_판매펀칭!$I:$I,C1371)*W1371/SUMIFS($W:$W,$A:$A,A1371,$C:$C,C1371))</f>
        <v>0</v>
      </c>
      <c r="R1371" s="47" t="n">
        <f aca="false">IF(OR(A1371="500",A1371="800",A1371="810"),0,MAX(W1371-Q1371,0))</f>
        <v>0</v>
      </c>
      <c r="S1371" s="47" t="n">
        <f aca="false">R1371*L1371</f>
        <v>0</v>
      </c>
      <c r="T1371" s="47" t="n">
        <f aca="false">R1371*J1371</f>
        <v>0</v>
      </c>
      <c r="U1371" s="47" t="n">
        <f aca="false">R1371*K1371</f>
        <v>0</v>
      </c>
      <c r="V1371" s="0" t="str">
        <f aca="false">IF(COUNTIFS($A$2:A1371,A1371,$C$2:C1371,C1371,$D$2:D1371,D1371)&gt;1,"중복","")</f>
        <v>중복</v>
      </c>
      <c r="W1371" s="0" t="n">
        <f aca="false">IF(V1371="중복",0,N(D1371))</f>
        <v>0</v>
      </c>
      <c r="X1371" s="0" t="n">
        <f aca="false">IF(COUNTIFS($A$2:A1371,A1371,$C$2:C1371,C1371)=1,ABS(SUMIFS(RAW_발주!$D:$D,RAW_발주!$C:$C,A1371,RAW_발주!$A:$A,C1371)-SUMIFS($W:$W,$A:$A,A1371,$C:$C,C1371)),0)</f>
        <v>0</v>
      </c>
    </row>
    <row r="1372" customFormat="false" ht="15" hidden="false" customHeight="true" outlineLevel="0" collapsed="false">
      <c r="A1372" s="45" t="s">
        <v>1659</v>
      </c>
      <c r="B1372" s="42" t="str">
        <f aca="false">IF(A1372="100","HK",IF(A1372="200","CN",IF(A1372="300","TW","홀세일")))</f>
        <v>HK</v>
      </c>
      <c r="C1372" s="45" t="s">
        <v>956</v>
      </c>
      <c r="D1372" s="46" t="n">
        <v>500</v>
      </c>
      <c r="E1372" s="46" t="n">
        <v>89000</v>
      </c>
      <c r="F1372" s="46" t="n">
        <v>18545</v>
      </c>
      <c r="G1372" s="42" t="n">
        <v>4.13</v>
      </c>
      <c r="H1372" s="42" t="n">
        <v>23.7</v>
      </c>
      <c r="J1372" s="46" t="n">
        <f aca="false">IF(N(E1372)&gt;0,E1372,IF(N(F1372)&gt;0,F1372*요약!$F$27,0))</f>
        <v>89000</v>
      </c>
      <c r="K1372" s="46" t="n">
        <f aca="false">IF(N(F1372)&gt;0,F1372,IF(N(E1372)&gt;0,E1372/요약!$F$27,0))</f>
        <v>18545</v>
      </c>
      <c r="L1372" s="46" t="n">
        <f aca="false">IF(B1372="CN",IF(N(I1372)&gt;0,I1372*요약!$G$27,K1372*(1+요약!$E$27)),IF(N(H1372)&gt;0,H1372*요약!$G$27,J1372*요약!$D$27))</f>
        <v>31284</v>
      </c>
      <c r="M1372" s="46" t="n">
        <f aca="false">D1372*J1372</f>
        <v>44500000</v>
      </c>
      <c r="N1372" s="46" t="n">
        <f aca="false">D1372*K1372</f>
        <v>9272500</v>
      </c>
      <c r="O1372" s="46" t="n">
        <f aca="false">D1372*L1372</f>
        <v>15642000</v>
      </c>
      <c r="P1372" s="42" t="str">
        <f aca="false">TRIM(IF(N(E1372)&lt;=0,"택가보정 ","")&amp;IF(N(F1372)&lt;=0,"원가보정 ","")&amp;IF(AND(B1372&lt;&gt;"CN",N(H1372)&lt;=0),"공급가보정 ","")&amp;IF(AND(B1372="CN",N(I1372)&lt;=0),"중국공급가=원가+마진 ",""))</f>
        <v/>
      </c>
      <c r="Q1372" s="47" t="n">
        <f aca="false">IF(SUMIFS($W:$W,$A:$A,A1372,$C:$C,C1372)=0,0,SUMIFS(RAW_판매펀칭!$K:$K,RAW_판매펀칭!$P:$P,A1372,RAW_판매펀칭!$I:$I,C1372)*W1372/SUMIFS($W:$W,$A:$A,A1372,$C:$C,C1372))</f>
        <v>500</v>
      </c>
      <c r="R1372" s="47" t="n">
        <f aca="false">IF(OR(A1372="500",A1372="800",A1372="810"),0,MAX(W1372-Q1372,0))</f>
        <v>0</v>
      </c>
      <c r="S1372" s="47" t="n">
        <f aca="false">R1372*L1372</f>
        <v>0</v>
      </c>
      <c r="T1372" s="47" t="n">
        <f aca="false">R1372*J1372</f>
        <v>0</v>
      </c>
      <c r="U1372" s="47" t="n">
        <f aca="false">R1372*K1372</f>
        <v>0</v>
      </c>
      <c r="V1372" s="0" t="str">
        <f aca="false">IF(COUNTIFS($A$2:A1372,A1372,$C$2:C1372,C1372,$D$2:D1372,D1372)&gt;1,"중복","")</f>
        <v/>
      </c>
      <c r="W1372" s="0" t="n">
        <f aca="false">IF(V1372="중복",0,N(D1372))</f>
        <v>500</v>
      </c>
      <c r="X1372" s="0" t="n">
        <f aca="false">IF(COUNTIFS($A$2:A1372,A1372,$C$2:C1372,C1372)=1,ABS(SUMIFS(RAW_발주!$D:$D,RAW_발주!$C:$C,A1372,RAW_발주!$A:$A,C1372)-SUMIFS($W:$W,$A:$A,A1372,$C:$C,C1372)),0)</f>
        <v>0</v>
      </c>
    </row>
    <row r="1373" customFormat="false" ht="15" hidden="false" customHeight="true" outlineLevel="0" collapsed="false">
      <c r="A1373" s="45" t="s">
        <v>1663</v>
      </c>
      <c r="B1373" s="42" t="str">
        <f aca="false">IF(A1373="100","HK",IF(A1373="200","CN",IF(A1373="300","TW","홀세일")))</f>
        <v>홀세일</v>
      </c>
      <c r="C1373" s="45" t="s">
        <v>956</v>
      </c>
      <c r="D1373" s="46" t="n">
        <v>50</v>
      </c>
      <c r="E1373" s="46" t="n">
        <v>89000</v>
      </c>
      <c r="F1373" s="46" t="n">
        <v>18545</v>
      </c>
      <c r="G1373" s="42" t="n">
        <v>4.13</v>
      </c>
      <c r="H1373" s="42" t="n">
        <v>23.7</v>
      </c>
      <c r="J1373" s="46" t="n">
        <f aca="false">IF(N(E1373)&gt;0,E1373,IF(N(F1373)&gt;0,F1373*요약!$F$27,0))</f>
        <v>89000</v>
      </c>
      <c r="K1373" s="46" t="n">
        <f aca="false">IF(N(F1373)&gt;0,F1373,IF(N(E1373)&gt;0,E1373/요약!$F$27,0))</f>
        <v>18545</v>
      </c>
      <c r="L1373" s="46" t="n">
        <f aca="false">IF(B1373="CN",IF(N(I1373)&gt;0,I1373*요약!$G$27,K1373*(1+요약!$E$27)),IF(N(H1373)&gt;0,H1373*요약!$G$27,J1373*요약!$D$27))</f>
        <v>31284</v>
      </c>
      <c r="M1373" s="46" t="n">
        <f aca="false">D1373*J1373</f>
        <v>4450000</v>
      </c>
      <c r="N1373" s="46" t="n">
        <f aca="false">D1373*K1373</f>
        <v>927250</v>
      </c>
      <c r="O1373" s="46" t="n">
        <f aca="false">D1373*L1373</f>
        <v>1564200</v>
      </c>
      <c r="P1373" s="42" t="str">
        <f aca="false">TRIM(IF(N(E1373)&lt;=0,"택가보정 ","")&amp;IF(N(F1373)&lt;=0,"원가보정 ","")&amp;IF(AND(B1373&lt;&gt;"CN",N(H1373)&lt;=0),"공급가보정 ","")&amp;IF(AND(B1373="CN",N(I1373)&lt;=0),"중국공급가=원가+마진 ",""))</f>
        <v/>
      </c>
      <c r="Q1373" s="47" t="n">
        <f aca="false">IF(SUMIFS($W:$W,$A:$A,A1373,$C:$C,C1373)=0,0,SUMIFS(RAW_판매펀칭!$K:$K,RAW_판매펀칭!$P:$P,A1373,RAW_판매펀칭!$I:$I,C1373)*W1373/SUMIFS($W:$W,$A:$A,A1373,$C:$C,C1373))</f>
        <v>50</v>
      </c>
      <c r="R1373" s="47" t="n">
        <f aca="false">IF(OR(A1373="500",A1373="800",A1373="810"),0,MAX(W1373-Q1373,0))</f>
        <v>0</v>
      </c>
      <c r="S1373" s="47" t="n">
        <f aca="false">R1373*L1373</f>
        <v>0</v>
      </c>
      <c r="T1373" s="47" t="n">
        <f aca="false">R1373*J1373</f>
        <v>0</v>
      </c>
      <c r="U1373" s="47" t="n">
        <f aca="false">R1373*K1373</f>
        <v>0</v>
      </c>
      <c r="V1373" s="0" t="str">
        <f aca="false">IF(COUNTIFS($A$2:A1373,A1373,$C$2:C1373,C1373,$D$2:D1373,D1373)&gt;1,"중복","")</f>
        <v/>
      </c>
      <c r="W1373" s="0" t="n">
        <f aca="false">IF(V1373="중복",0,N(D1373))</f>
        <v>50</v>
      </c>
      <c r="X1373" s="0" t="n">
        <f aca="false">IF(COUNTIFS($A$2:A1373,A1373,$C$2:C1373,C1373)=1,ABS(SUMIFS(RAW_발주!$D:$D,RAW_발주!$C:$C,A1373,RAW_발주!$A:$A,C1373)-SUMIFS($W:$W,$A:$A,A1373,$C:$C,C1373)),0)</f>
        <v>0</v>
      </c>
    </row>
    <row r="1374" customFormat="false" ht="15" hidden="false" customHeight="true" outlineLevel="0" collapsed="false">
      <c r="A1374" s="45" t="s">
        <v>1667</v>
      </c>
      <c r="B1374" s="42" t="str">
        <f aca="false">IF(A1374="100","HK",IF(A1374="200","CN",IF(A1374="300","TW","홀세일")))</f>
        <v>홀세일</v>
      </c>
      <c r="C1374" s="45" t="s">
        <v>956</v>
      </c>
      <c r="D1374" s="46" t="n">
        <v>92</v>
      </c>
      <c r="E1374" s="46" t="n">
        <v>89000</v>
      </c>
      <c r="F1374" s="46" t="n">
        <v>18545</v>
      </c>
      <c r="G1374" s="42" t="n">
        <v>4.13</v>
      </c>
      <c r="H1374" s="42" t="n">
        <v>23.7</v>
      </c>
      <c r="J1374" s="46" t="n">
        <f aca="false">IF(N(E1374)&gt;0,E1374,IF(N(F1374)&gt;0,F1374*요약!$F$27,0))</f>
        <v>89000</v>
      </c>
      <c r="K1374" s="46" t="n">
        <f aca="false">IF(N(F1374)&gt;0,F1374,IF(N(E1374)&gt;0,E1374/요약!$F$27,0))</f>
        <v>18545</v>
      </c>
      <c r="L1374" s="46" t="n">
        <f aca="false">IF(B1374="CN",IF(N(I1374)&gt;0,I1374*요약!$G$27,K1374*(1+요약!$E$27)),IF(N(H1374)&gt;0,H1374*요약!$G$27,J1374*요약!$D$27))</f>
        <v>31284</v>
      </c>
      <c r="M1374" s="46" t="n">
        <f aca="false">D1374*J1374</f>
        <v>8188000</v>
      </c>
      <c r="N1374" s="46" t="n">
        <f aca="false">D1374*K1374</f>
        <v>1706140</v>
      </c>
      <c r="O1374" s="46" t="n">
        <f aca="false">D1374*L1374</f>
        <v>2878128</v>
      </c>
      <c r="P1374" s="42" t="str">
        <f aca="false">TRIM(IF(N(E1374)&lt;=0,"택가보정 ","")&amp;IF(N(F1374)&lt;=0,"원가보정 ","")&amp;IF(AND(B1374&lt;&gt;"CN",N(H1374)&lt;=0),"공급가보정 ","")&amp;IF(AND(B1374="CN",N(I1374)&lt;=0),"중국공급가=원가+마진 ",""))</f>
        <v/>
      </c>
      <c r="Q1374" s="47" t="n">
        <f aca="false">IF(SUMIFS($W:$W,$A:$A,A1374,$C:$C,C1374)=0,0,SUMIFS(RAW_판매펀칭!$K:$K,RAW_판매펀칭!$P:$P,A1374,RAW_판매펀칭!$I:$I,C1374)*W1374/SUMIFS($W:$W,$A:$A,A1374,$C:$C,C1374))</f>
        <v>92</v>
      </c>
      <c r="R1374" s="47" t="n">
        <f aca="false">IF(OR(A1374="500",A1374="800",A1374="810"),0,MAX(W1374-Q1374,0))</f>
        <v>0</v>
      </c>
      <c r="S1374" s="47" t="n">
        <f aca="false">R1374*L1374</f>
        <v>0</v>
      </c>
      <c r="T1374" s="47" t="n">
        <f aca="false">R1374*J1374</f>
        <v>0</v>
      </c>
      <c r="U1374" s="47" t="n">
        <f aca="false">R1374*K1374</f>
        <v>0</v>
      </c>
      <c r="V1374" s="0" t="str">
        <f aca="false">IF(COUNTIFS($A$2:A1374,A1374,$C$2:C1374,C1374,$D$2:D1374,D1374)&gt;1,"중복","")</f>
        <v/>
      </c>
      <c r="W1374" s="0" t="n">
        <f aca="false">IF(V1374="중복",0,N(D1374))</f>
        <v>92</v>
      </c>
      <c r="X1374" s="0" t="n">
        <f aca="false">IF(COUNTIFS($A$2:A1374,A1374,$C$2:C1374,C1374)=1,ABS(SUMIFS(RAW_발주!$D:$D,RAW_발주!$C:$C,A1374,RAW_발주!$A:$A,C1374)-SUMIFS($W:$W,$A:$A,A1374,$C:$C,C1374)),0)</f>
        <v>0</v>
      </c>
    </row>
    <row r="1375" customFormat="false" ht="15" hidden="false" customHeight="true" outlineLevel="0" collapsed="false">
      <c r="A1375" s="45" t="s">
        <v>1665</v>
      </c>
      <c r="B1375" s="42" t="str">
        <f aca="false">IF(A1375="100","HK",IF(A1375="200","CN",IF(A1375="300","TW","홀세일")))</f>
        <v>홀세일</v>
      </c>
      <c r="C1375" s="45" t="s">
        <v>956</v>
      </c>
      <c r="D1375" s="46" t="n">
        <v>48</v>
      </c>
      <c r="E1375" s="46" t="n">
        <v>89000</v>
      </c>
      <c r="F1375" s="46" t="n">
        <v>18545</v>
      </c>
      <c r="G1375" s="42" t="n">
        <v>4.13</v>
      </c>
      <c r="H1375" s="42" t="n">
        <v>23.7</v>
      </c>
      <c r="J1375" s="46" t="n">
        <f aca="false">IF(N(E1375)&gt;0,E1375,IF(N(F1375)&gt;0,F1375*요약!$F$27,0))</f>
        <v>89000</v>
      </c>
      <c r="K1375" s="46" t="n">
        <f aca="false">IF(N(F1375)&gt;0,F1375,IF(N(E1375)&gt;0,E1375/요약!$F$27,0))</f>
        <v>18545</v>
      </c>
      <c r="L1375" s="46" t="n">
        <f aca="false">IF(B1375="CN",IF(N(I1375)&gt;0,I1375*요약!$G$27,K1375*(1+요약!$E$27)),IF(N(H1375)&gt;0,H1375*요약!$G$27,J1375*요약!$D$27))</f>
        <v>31284</v>
      </c>
      <c r="M1375" s="46" t="n">
        <f aca="false">D1375*J1375</f>
        <v>4272000</v>
      </c>
      <c r="N1375" s="46" t="n">
        <f aca="false">D1375*K1375</f>
        <v>890160</v>
      </c>
      <c r="O1375" s="46" t="n">
        <f aca="false">D1375*L1375</f>
        <v>1501632</v>
      </c>
      <c r="P1375" s="42" t="str">
        <f aca="false">TRIM(IF(N(E1375)&lt;=0,"택가보정 ","")&amp;IF(N(F1375)&lt;=0,"원가보정 ","")&amp;IF(AND(B1375&lt;&gt;"CN",N(H1375)&lt;=0),"공급가보정 ","")&amp;IF(AND(B1375="CN",N(I1375)&lt;=0),"중국공급가=원가+마진 ",""))</f>
        <v/>
      </c>
      <c r="Q1375" s="47" t="n">
        <f aca="false">IF(SUMIFS($W:$W,$A:$A,A1375,$C:$C,C1375)=0,0,SUMIFS(RAW_판매펀칭!$K:$K,RAW_판매펀칭!$P:$P,A1375,RAW_판매펀칭!$I:$I,C1375)*W1375/SUMIFS($W:$W,$A:$A,A1375,$C:$C,C1375))</f>
        <v>48</v>
      </c>
      <c r="R1375" s="47" t="n">
        <f aca="false">IF(OR(A1375="500",A1375="800",A1375="810"),0,MAX(W1375-Q1375,0))</f>
        <v>0</v>
      </c>
      <c r="S1375" s="47" t="n">
        <f aca="false">R1375*L1375</f>
        <v>0</v>
      </c>
      <c r="T1375" s="47" t="n">
        <f aca="false">R1375*J1375</f>
        <v>0</v>
      </c>
      <c r="U1375" s="47" t="n">
        <f aca="false">R1375*K1375</f>
        <v>0</v>
      </c>
      <c r="V1375" s="0" t="str">
        <f aca="false">IF(COUNTIFS($A$2:A1375,A1375,$C$2:C1375,C1375,$D$2:D1375,D1375)&gt;1,"중복","")</f>
        <v/>
      </c>
      <c r="W1375" s="0" t="n">
        <f aca="false">IF(V1375="중복",0,N(D1375))</f>
        <v>48</v>
      </c>
      <c r="X1375" s="0" t="n">
        <f aca="false">IF(COUNTIFS($A$2:A1375,A1375,$C$2:C1375,C1375)=1,ABS(SUMIFS(RAW_발주!$D:$D,RAW_발주!$C:$C,A1375,RAW_발주!$A:$A,C1375)-SUMIFS($W:$W,$A:$A,A1375,$C:$C,C1375)),0)</f>
        <v>0</v>
      </c>
    </row>
    <row r="1376" customFormat="false" ht="15" hidden="false" customHeight="true" outlineLevel="0" collapsed="false">
      <c r="A1376" s="45" t="s">
        <v>1659</v>
      </c>
      <c r="B1376" s="42" t="str">
        <f aca="false">IF(A1376="100","HK",IF(A1376="200","CN",IF(A1376="300","TW","홀세일")))</f>
        <v>HK</v>
      </c>
      <c r="C1376" s="45" t="s">
        <v>601</v>
      </c>
      <c r="D1376" s="46" t="n">
        <v>550</v>
      </c>
      <c r="E1376" s="46" t="n">
        <v>79000</v>
      </c>
      <c r="F1376" s="46" t="n">
        <v>17927</v>
      </c>
      <c r="G1376" s="42" t="n">
        <v>3.84</v>
      </c>
      <c r="H1376" s="42" t="n">
        <v>21</v>
      </c>
      <c r="J1376" s="46" t="n">
        <f aca="false">IF(N(E1376)&gt;0,E1376,IF(N(F1376)&gt;0,F1376*요약!$F$27,0))</f>
        <v>79000</v>
      </c>
      <c r="K1376" s="46" t="n">
        <f aca="false">IF(N(F1376)&gt;0,F1376,IF(N(E1376)&gt;0,E1376/요약!$F$27,0))</f>
        <v>17927</v>
      </c>
      <c r="L1376" s="46" t="n">
        <f aca="false">IF(B1376="CN",IF(N(I1376)&gt;0,I1376*요약!$G$27,K1376*(1+요약!$E$27)),IF(N(H1376)&gt;0,H1376*요약!$G$27,J1376*요약!$D$27))</f>
        <v>27720</v>
      </c>
      <c r="M1376" s="46" t="n">
        <f aca="false">D1376*J1376</f>
        <v>43450000</v>
      </c>
      <c r="N1376" s="46" t="n">
        <f aca="false">D1376*K1376</f>
        <v>9859850</v>
      </c>
      <c r="O1376" s="46" t="n">
        <f aca="false">D1376*L1376</f>
        <v>15246000</v>
      </c>
      <c r="P1376" s="42" t="str">
        <f aca="false">TRIM(IF(N(E1376)&lt;=0,"택가보정 ","")&amp;IF(N(F1376)&lt;=0,"원가보정 ","")&amp;IF(AND(B1376&lt;&gt;"CN",N(H1376)&lt;=0),"공급가보정 ","")&amp;IF(AND(B1376="CN",N(I1376)&lt;=0),"중국공급가=원가+마진 ",""))</f>
        <v/>
      </c>
      <c r="Q1376" s="47" t="n">
        <f aca="false">IF(SUMIFS($W:$W,$A:$A,A1376,$C:$C,C1376)=0,0,SUMIFS(RAW_판매펀칭!$K:$K,RAW_판매펀칭!$P:$P,A1376,RAW_판매펀칭!$I:$I,C1376)*W1376/SUMIFS($W:$W,$A:$A,A1376,$C:$C,C1376))</f>
        <v>550</v>
      </c>
      <c r="R1376" s="47" t="n">
        <f aca="false">IF(OR(A1376="500",A1376="800",A1376="810"),0,MAX(W1376-Q1376,0))</f>
        <v>0</v>
      </c>
      <c r="S1376" s="47" t="n">
        <f aca="false">R1376*L1376</f>
        <v>0</v>
      </c>
      <c r="T1376" s="47" t="n">
        <f aca="false">R1376*J1376</f>
        <v>0</v>
      </c>
      <c r="U1376" s="47" t="n">
        <f aca="false">R1376*K1376</f>
        <v>0</v>
      </c>
      <c r="V1376" s="0" t="str">
        <f aca="false">IF(COUNTIFS($A$2:A1376,A1376,$C$2:C1376,C1376,$D$2:D1376,D1376)&gt;1,"중복","")</f>
        <v/>
      </c>
      <c r="W1376" s="0" t="n">
        <f aca="false">IF(V1376="중복",0,N(D1376))</f>
        <v>550</v>
      </c>
      <c r="X1376" s="0" t="n">
        <f aca="false">IF(COUNTIFS($A$2:A1376,A1376,$C$2:C1376,C1376)=1,ABS(SUMIFS(RAW_발주!$D:$D,RAW_발주!$C:$C,A1376,RAW_발주!$A:$A,C1376)-SUMIFS($W:$W,$A:$A,A1376,$C:$C,C1376)),0)</f>
        <v>0</v>
      </c>
    </row>
    <row r="1377" customFormat="false" ht="15.75" hidden="false" customHeight="true" outlineLevel="0" collapsed="false">
      <c r="A1377" s="45" t="s">
        <v>1660</v>
      </c>
      <c r="B1377" s="42" t="str">
        <f aca="false">IF(A1377="100","HK",IF(A1377="200","CN",IF(A1377="300","TW","홀세일")))</f>
        <v>CN</v>
      </c>
      <c r="C1377" s="45" t="s">
        <v>601</v>
      </c>
      <c r="D1377" s="46" t="n">
        <v>553</v>
      </c>
      <c r="E1377" s="46" t="n">
        <v>79000</v>
      </c>
      <c r="F1377" s="46" t="n">
        <v>17927</v>
      </c>
      <c r="G1377" s="42" t="n">
        <v>3.84</v>
      </c>
      <c r="H1377" s="42" t="n">
        <v>21</v>
      </c>
      <c r="J1377" s="46" t="n">
        <f aca="false">IF(N(E1377)&gt;0,E1377,IF(N(F1377)&gt;0,F1377*요약!$F$27,0))</f>
        <v>79000</v>
      </c>
      <c r="K1377" s="46" t="n">
        <f aca="false">IF(N(F1377)&gt;0,F1377,IF(N(E1377)&gt;0,E1377/요약!$F$27,0))</f>
        <v>17927</v>
      </c>
      <c r="L1377" s="46" t="n">
        <f aca="false">IF(B1377="CN",IF(N(I1377)&gt;0,I1377*요약!$G$27,K1377*(1+요약!$E$27)),IF(N(H1377)&gt;0,H1377*요약!$G$27,J1377*요약!$D$27))</f>
        <v>18823.35</v>
      </c>
      <c r="M1377" s="46" t="n">
        <f aca="false">D1377*J1377</f>
        <v>43687000</v>
      </c>
      <c r="N1377" s="46" t="n">
        <f aca="false">D1377*K1377</f>
        <v>9913631</v>
      </c>
      <c r="O1377" s="46" t="n">
        <f aca="false">D1377*L1377</f>
        <v>10409312.55</v>
      </c>
      <c r="P1377" s="42" t="str">
        <f aca="false">TRIM(IF(N(E1377)&lt;=0,"택가보정 ","")&amp;IF(N(F1377)&lt;=0,"원가보정 ","")&amp;IF(AND(B1377&lt;&gt;"CN",N(H1377)&lt;=0),"공급가보정 ","")&amp;IF(AND(B1377="CN",N(I1377)&lt;=0),"중국공급가=원가+마진 ",""))</f>
        <v>중국공급가=원가+마진</v>
      </c>
      <c r="Q1377" s="47" t="n">
        <f aca="false">IF(SUMIFS($W:$W,$A:$A,A1377,$C:$C,C1377)=0,0,SUMIFS(RAW_판매펀칭!$K:$K,RAW_판매펀칭!$P:$P,A1377,RAW_판매펀칭!$I:$I,C1377)*W1377/SUMIFS($W:$W,$A:$A,A1377,$C:$C,C1377))</f>
        <v>553</v>
      </c>
      <c r="R1377" s="47" t="n">
        <f aca="false">IF(OR(A1377="500",A1377="800",A1377="810"),0,MAX(W1377-Q1377,0))</f>
        <v>0</v>
      </c>
      <c r="S1377" s="47" t="n">
        <f aca="false">R1377*L1377</f>
        <v>0</v>
      </c>
      <c r="T1377" s="47" t="n">
        <f aca="false">R1377*J1377</f>
        <v>0</v>
      </c>
      <c r="U1377" s="47" t="n">
        <f aca="false">R1377*K1377</f>
        <v>0</v>
      </c>
      <c r="V1377" s="0" t="str">
        <f aca="false">IF(COUNTIFS($A$2:A1377,A1377,$C$2:C1377,C1377,$D$2:D1377,D1377)&gt;1,"중복","")</f>
        <v/>
      </c>
      <c r="W1377" s="0" t="n">
        <f aca="false">IF(V1377="중복",0,N(D1377))</f>
        <v>553</v>
      </c>
      <c r="X1377" s="0" t="n">
        <f aca="false">IF(COUNTIFS($A$2:A1377,A1377,$C$2:C1377,C1377)=1,ABS(SUMIFS(RAW_발주!$D:$D,RAW_발주!$C:$C,A1377,RAW_발주!$A:$A,C1377)-SUMIFS($W:$W,$A:$A,A1377,$C:$C,C1377)),0)</f>
        <v>0</v>
      </c>
    </row>
    <row r="1378" customFormat="false" ht="15.75" hidden="false" customHeight="true" outlineLevel="0" collapsed="false">
      <c r="A1378" s="45" t="s">
        <v>1660</v>
      </c>
      <c r="B1378" s="42" t="str">
        <f aca="false">IF(A1378="100","HK",IF(A1378="200","CN",IF(A1378="300","TW","홀세일")))</f>
        <v>CN</v>
      </c>
      <c r="C1378" s="45" t="s">
        <v>601</v>
      </c>
      <c r="D1378" s="46" t="n">
        <v>553</v>
      </c>
      <c r="E1378" s="46" t="n">
        <v>79000</v>
      </c>
      <c r="F1378" s="46" t="n">
        <v>17927</v>
      </c>
      <c r="G1378" s="42" t="n">
        <v>3.84</v>
      </c>
      <c r="H1378" s="42" t="n">
        <v>21</v>
      </c>
      <c r="J1378" s="46" t="n">
        <f aca="false">IF(N(E1378)&gt;0,E1378,IF(N(F1378)&gt;0,F1378*요약!$F$27,0))</f>
        <v>79000</v>
      </c>
      <c r="K1378" s="46" t="n">
        <f aca="false">IF(N(F1378)&gt;0,F1378,IF(N(E1378)&gt;0,E1378/요약!$F$27,0))</f>
        <v>17927</v>
      </c>
      <c r="L1378" s="46" t="n">
        <f aca="false">IF(B1378="CN",IF(N(I1378)&gt;0,I1378*요약!$G$27,K1378*(1+요약!$E$27)),IF(N(H1378)&gt;0,H1378*요약!$G$27,J1378*요약!$D$27))</f>
        <v>18823.35</v>
      </c>
      <c r="M1378" s="46" t="n">
        <f aca="false">D1378*J1378</f>
        <v>43687000</v>
      </c>
      <c r="N1378" s="46" t="n">
        <f aca="false">D1378*K1378</f>
        <v>9913631</v>
      </c>
      <c r="O1378" s="46" t="n">
        <f aca="false">D1378*L1378</f>
        <v>10409312.55</v>
      </c>
      <c r="P1378" s="42" t="str">
        <f aca="false">TRIM(IF(N(E1378)&lt;=0,"택가보정 ","")&amp;IF(N(F1378)&lt;=0,"원가보정 ","")&amp;IF(AND(B1378&lt;&gt;"CN",N(H1378)&lt;=0),"공급가보정 ","")&amp;IF(AND(B1378="CN",N(I1378)&lt;=0),"중국공급가=원가+마진 ",""))</f>
        <v>중국공급가=원가+마진</v>
      </c>
      <c r="Q1378" s="47" t="n">
        <f aca="false">IF(SUMIFS($W:$W,$A:$A,A1378,$C:$C,C1378)=0,0,SUMIFS(RAW_판매펀칭!$K:$K,RAW_판매펀칭!$P:$P,A1378,RAW_판매펀칭!$I:$I,C1378)*W1378/SUMIFS($W:$W,$A:$A,A1378,$C:$C,C1378))</f>
        <v>0</v>
      </c>
      <c r="R1378" s="47" t="n">
        <f aca="false">IF(OR(A1378="500",A1378="800",A1378="810"),0,MAX(W1378-Q1378,0))</f>
        <v>0</v>
      </c>
      <c r="S1378" s="47" t="n">
        <f aca="false">R1378*L1378</f>
        <v>0</v>
      </c>
      <c r="T1378" s="47" t="n">
        <f aca="false">R1378*J1378</f>
        <v>0</v>
      </c>
      <c r="U1378" s="47" t="n">
        <f aca="false">R1378*K1378</f>
        <v>0</v>
      </c>
      <c r="V1378" s="0" t="str">
        <f aca="false">IF(COUNTIFS($A$2:A1378,A1378,$C$2:C1378,C1378,$D$2:D1378,D1378)&gt;1,"중복","")</f>
        <v>중복</v>
      </c>
      <c r="W1378" s="0" t="n">
        <f aca="false">IF(V1378="중복",0,N(D1378))</f>
        <v>0</v>
      </c>
      <c r="X1378" s="0" t="n">
        <f aca="false">IF(COUNTIFS($A$2:A1378,A1378,$C$2:C1378,C1378)=1,ABS(SUMIFS(RAW_발주!$D:$D,RAW_발주!$C:$C,A1378,RAW_발주!$A:$A,C1378)-SUMIFS($W:$W,$A:$A,A1378,$C:$C,C1378)),0)</f>
        <v>0</v>
      </c>
    </row>
    <row r="1379" customFormat="false" ht="15" hidden="false" customHeight="true" outlineLevel="0" collapsed="false">
      <c r="A1379" s="45" t="s">
        <v>1661</v>
      </c>
      <c r="B1379" s="42" t="str">
        <f aca="false">IF(A1379="100","HK",IF(A1379="200","CN",IF(A1379="300","TW","홀세일")))</f>
        <v>TW</v>
      </c>
      <c r="C1379" s="45" t="s">
        <v>601</v>
      </c>
      <c r="D1379" s="46" t="n">
        <v>350</v>
      </c>
      <c r="E1379" s="46" t="n">
        <v>79000</v>
      </c>
      <c r="F1379" s="46" t="n">
        <v>17927</v>
      </c>
      <c r="G1379" s="42" t="n">
        <v>3.84</v>
      </c>
      <c r="H1379" s="42" t="n">
        <v>21</v>
      </c>
      <c r="J1379" s="46" t="n">
        <f aca="false">IF(N(E1379)&gt;0,E1379,IF(N(F1379)&gt;0,F1379*요약!$F$27,0))</f>
        <v>79000</v>
      </c>
      <c r="K1379" s="46" t="n">
        <f aca="false">IF(N(F1379)&gt;0,F1379,IF(N(E1379)&gt;0,E1379/요약!$F$27,0))</f>
        <v>17927</v>
      </c>
      <c r="L1379" s="46" t="n">
        <f aca="false">IF(B1379="CN",IF(N(I1379)&gt;0,I1379*요약!$G$27,K1379*(1+요약!$E$27)),IF(N(H1379)&gt;0,H1379*요약!$G$27,J1379*요약!$D$27))</f>
        <v>27720</v>
      </c>
      <c r="M1379" s="46" t="n">
        <f aca="false">D1379*J1379</f>
        <v>27650000</v>
      </c>
      <c r="N1379" s="46" t="n">
        <f aca="false">D1379*K1379</f>
        <v>6274450</v>
      </c>
      <c r="O1379" s="46" t="n">
        <f aca="false">D1379*L1379</f>
        <v>9702000</v>
      </c>
      <c r="P1379" s="42" t="str">
        <f aca="false">TRIM(IF(N(E1379)&lt;=0,"택가보정 ","")&amp;IF(N(F1379)&lt;=0,"원가보정 ","")&amp;IF(AND(B1379&lt;&gt;"CN",N(H1379)&lt;=0),"공급가보정 ","")&amp;IF(AND(B1379="CN",N(I1379)&lt;=0),"중국공급가=원가+마진 ",""))</f>
        <v/>
      </c>
      <c r="Q1379" s="47" t="n">
        <f aca="false">IF(SUMIFS($W:$W,$A:$A,A1379,$C:$C,C1379)=0,0,SUMIFS(RAW_판매펀칭!$K:$K,RAW_판매펀칭!$P:$P,A1379,RAW_판매펀칭!$I:$I,C1379)*W1379/SUMIFS($W:$W,$A:$A,A1379,$C:$C,C1379))</f>
        <v>350</v>
      </c>
      <c r="R1379" s="47" t="n">
        <f aca="false">IF(OR(A1379="500",A1379="800",A1379="810"),0,MAX(W1379-Q1379,0))</f>
        <v>0</v>
      </c>
      <c r="S1379" s="47" t="n">
        <f aca="false">R1379*L1379</f>
        <v>0</v>
      </c>
      <c r="T1379" s="47" t="n">
        <f aca="false">R1379*J1379</f>
        <v>0</v>
      </c>
      <c r="U1379" s="47" t="n">
        <f aca="false">R1379*K1379</f>
        <v>0</v>
      </c>
      <c r="V1379" s="0" t="str">
        <f aca="false">IF(COUNTIFS($A$2:A1379,A1379,$C$2:C1379,C1379,$D$2:D1379,D1379)&gt;1,"중복","")</f>
        <v/>
      </c>
      <c r="W1379" s="0" t="n">
        <f aca="false">IF(V1379="중복",0,N(D1379))</f>
        <v>350</v>
      </c>
      <c r="X1379" s="0" t="n">
        <f aca="false">IF(COUNTIFS($A$2:A1379,A1379,$C$2:C1379,C1379)=1,ABS(SUMIFS(RAW_발주!$D:$D,RAW_발주!$C:$C,A1379,RAW_발주!$A:$A,C1379)-SUMIFS($W:$W,$A:$A,A1379,$C:$C,C1379)),0)</f>
        <v>0</v>
      </c>
    </row>
    <row r="1380" customFormat="false" ht="15" hidden="false" customHeight="true" outlineLevel="0" collapsed="false">
      <c r="A1380" s="45" t="s">
        <v>1663</v>
      </c>
      <c r="B1380" s="42" t="str">
        <f aca="false">IF(A1380="100","HK",IF(A1380="200","CN",IF(A1380="300","TW","홀세일")))</f>
        <v>홀세일</v>
      </c>
      <c r="C1380" s="45" t="s">
        <v>601</v>
      </c>
      <c r="D1380" s="46" t="n">
        <v>10</v>
      </c>
      <c r="E1380" s="46" t="n">
        <v>79000</v>
      </c>
      <c r="F1380" s="46" t="n">
        <v>17927</v>
      </c>
      <c r="G1380" s="42" t="n">
        <v>3.84</v>
      </c>
      <c r="H1380" s="42" t="n">
        <v>21</v>
      </c>
      <c r="J1380" s="46" t="n">
        <f aca="false">IF(N(E1380)&gt;0,E1380,IF(N(F1380)&gt;0,F1380*요약!$F$27,0))</f>
        <v>79000</v>
      </c>
      <c r="K1380" s="46" t="n">
        <f aca="false">IF(N(F1380)&gt;0,F1380,IF(N(E1380)&gt;0,E1380/요약!$F$27,0))</f>
        <v>17927</v>
      </c>
      <c r="L1380" s="46" t="n">
        <f aca="false">IF(B1380="CN",IF(N(I1380)&gt;0,I1380*요약!$G$27,K1380*(1+요약!$E$27)),IF(N(H1380)&gt;0,H1380*요약!$G$27,J1380*요약!$D$27))</f>
        <v>27720</v>
      </c>
      <c r="M1380" s="46" t="n">
        <f aca="false">D1380*J1380</f>
        <v>790000</v>
      </c>
      <c r="N1380" s="46" t="n">
        <f aca="false">D1380*K1380</f>
        <v>179270</v>
      </c>
      <c r="O1380" s="46" t="n">
        <f aca="false">D1380*L1380</f>
        <v>277200</v>
      </c>
      <c r="P1380" s="42" t="str">
        <f aca="false">TRIM(IF(N(E1380)&lt;=0,"택가보정 ","")&amp;IF(N(F1380)&lt;=0,"원가보정 ","")&amp;IF(AND(B1380&lt;&gt;"CN",N(H1380)&lt;=0),"공급가보정 ","")&amp;IF(AND(B1380="CN",N(I1380)&lt;=0),"중국공급가=원가+마진 ",""))</f>
        <v/>
      </c>
      <c r="Q1380" s="47" t="n">
        <f aca="false">IF(SUMIFS($W:$W,$A:$A,A1380,$C:$C,C1380)=0,0,SUMIFS(RAW_판매펀칭!$K:$K,RAW_판매펀칭!$P:$P,A1380,RAW_판매펀칭!$I:$I,C1380)*W1380/SUMIFS($W:$W,$A:$A,A1380,$C:$C,C1380))</f>
        <v>10</v>
      </c>
      <c r="R1380" s="47" t="n">
        <f aca="false">IF(OR(A1380="500",A1380="800",A1380="810"),0,MAX(W1380-Q1380,0))</f>
        <v>0</v>
      </c>
      <c r="S1380" s="47" t="n">
        <f aca="false">R1380*L1380</f>
        <v>0</v>
      </c>
      <c r="T1380" s="47" t="n">
        <f aca="false">R1380*J1380</f>
        <v>0</v>
      </c>
      <c r="U1380" s="47" t="n">
        <f aca="false">R1380*K1380</f>
        <v>0</v>
      </c>
      <c r="V1380" s="0" t="str">
        <f aca="false">IF(COUNTIFS($A$2:A1380,A1380,$C$2:C1380,C1380,$D$2:D1380,D1380)&gt;1,"중복","")</f>
        <v/>
      </c>
      <c r="W1380" s="0" t="n">
        <f aca="false">IF(V1380="중복",0,N(D1380))</f>
        <v>10</v>
      </c>
      <c r="X1380" s="0" t="n">
        <f aca="false">IF(COUNTIFS($A$2:A1380,A1380,$C$2:C1380,C1380)=1,ABS(SUMIFS(RAW_발주!$D:$D,RAW_발주!$C:$C,A1380,RAW_발주!$A:$A,C1380)-SUMIFS($W:$W,$A:$A,A1380,$C:$C,C1380)),0)</f>
        <v>0</v>
      </c>
    </row>
    <row r="1381" customFormat="false" ht="15" hidden="false" customHeight="true" outlineLevel="0" collapsed="false">
      <c r="A1381" s="45" t="s">
        <v>1667</v>
      </c>
      <c r="B1381" s="42" t="str">
        <f aca="false">IF(A1381="100","HK",IF(A1381="200","CN",IF(A1381="300","TW","홀세일")))</f>
        <v>홀세일</v>
      </c>
      <c r="C1381" s="45" t="s">
        <v>601</v>
      </c>
      <c r="D1381" s="46" t="n">
        <v>443</v>
      </c>
      <c r="E1381" s="46" t="n">
        <v>79000</v>
      </c>
      <c r="F1381" s="46" t="n">
        <v>17927</v>
      </c>
      <c r="G1381" s="42" t="n">
        <v>3.84</v>
      </c>
      <c r="H1381" s="42" t="n">
        <v>21</v>
      </c>
      <c r="J1381" s="46" t="n">
        <f aca="false">IF(N(E1381)&gt;0,E1381,IF(N(F1381)&gt;0,F1381*요약!$F$27,0))</f>
        <v>79000</v>
      </c>
      <c r="K1381" s="46" t="n">
        <f aca="false">IF(N(F1381)&gt;0,F1381,IF(N(E1381)&gt;0,E1381/요약!$F$27,0))</f>
        <v>17927</v>
      </c>
      <c r="L1381" s="46" t="n">
        <f aca="false">IF(B1381="CN",IF(N(I1381)&gt;0,I1381*요약!$G$27,K1381*(1+요약!$E$27)),IF(N(H1381)&gt;0,H1381*요약!$G$27,J1381*요약!$D$27))</f>
        <v>27720</v>
      </c>
      <c r="M1381" s="46" t="n">
        <f aca="false">D1381*J1381</f>
        <v>34997000</v>
      </c>
      <c r="N1381" s="46" t="n">
        <f aca="false">D1381*K1381</f>
        <v>7941661</v>
      </c>
      <c r="O1381" s="46" t="n">
        <f aca="false">D1381*L1381</f>
        <v>12279960</v>
      </c>
      <c r="P1381" s="42" t="str">
        <f aca="false">TRIM(IF(N(E1381)&lt;=0,"택가보정 ","")&amp;IF(N(F1381)&lt;=0,"원가보정 ","")&amp;IF(AND(B1381&lt;&gt;"CN",N(H1381)&lt;=0),"공급가보정 ","")&amp;IF(AND(B1381="CN",N(I1381)&lt;=0),"중국공급가=원가+마진 ",""))</f>
        <v/>
      </c>
      <c r="Q1381" s="47" t="n">
        <f aca="false">IF(SUMIFS($W:$W,$A:$A,A1381,$C:$C,C1381)=0,0,SUMIFS(RAW_판매펀칭!$K:$K,RAW_판매펀칭!$P:$P,A1381,RAW_판매펀칭!$I:$I,C1381)*W1381/SUMIFS($W:$W,$A:$A,A1381,$C:$C,C1381))</f>
        <v>243</v>
      </c>
      <c r="R1381" s="47" t="n">
        <f aca="false">IF(OR(A1381="500",A1381="800",A1381="810"),0,MAX(W1381-Q1381,0))</f>
        <v>200</v>
      </c>
      <c r="S1381" s="47" t="n">
        <f aca="false">R1381*L1381</f>
        <v>5544000</v>
      </c>
      <c r="T1381" s="47" t="n">
        <f aca="false">R1381*J1381</f>
        <v>15800000</v>
      </c>
      <c r="U1381" s="47" t="n">
        <f aca="false">R1381*K1381</f>
        <v>3585400</v>
      </c>
      <c r="V1381" s="0" t="str">
        <f aca="false">IF(COUNTIFS($A$2:A1381,A1381,$C$2:C1381,C1381,$D$2:D1381,D1381)&gt;1,"중복","")</f>
        <v/>
      </c>
      <c r="W1381" s="0" t="n">
        <f aca="false">IF(V1381="중복",0,N(D1381))</f>
        <v>443</v>
      </c>
      <c r="X1381" s="0" t="n">
        <f aca="false">IF(COUNTIFS($A$2:A1381,A1381,$C$2:C1381,C1381)=1,ABS(SUMIFS(RAW_발주!$D:$D,RAW_발주!$C:$C,A1381,RAW_발주!$A:$A,C1381)-SUMIFS($W:$W,$A:$A,A1381,$C:$C,C1381)),0)</f>
        <v>0</v>
      </c>
    </row>
    <row r="1382" customFormat="false" ht="15" hidden="false" customHeight="true" outlineLevel="0" collapsed="false">
      <c r="A1382" s="45" t="s">
        <v>1665</v>
      </c>
      <c r="B1382" s="42" t="str">
        <f aca="false">IF(A1382="100","HK",IF(A1382="200","CN",IF(A1382="300","TW","홀세일")))</f>
        <v>홀세일</v>
      </c>
      <c r="C1382" s="45" t="s">
        <v>601</v>
      </c>
      <c r="D1382" s="46" t="n">
        <v>48</v>
      </c>
      <c r="E1382" s="46" t="n">
        <v>79000</v>
      </c>
      <c r="F1382" s="46" t="n">
        <v>17927</v>
      </c>
      <c r="G1382" s="42" t="n">
        <v>3.84</v>
      </c>
      <c r="H1382" s="42" t="n">
        <v>21</v>
      </c>
      <c r="J1382" s="46" t="n">
        <f aca="false">IF(N(E1382)&gt;0,E1382,IF(N(F1382)&gt;0,F1382*요약!$F$27,0))</f>
        <v>79000</v>
      </c>
      <c r="K1382" s="46" t="n">
        <f aca="false">IF(N(F1382)&gt;0,F1382,IF(N(E1382)&gt;0,E1382/요약!$F$27,0))</f>
        <v>17927</v>
      </c>
      <c r="L1382" s="46" t="n">
        <f aca="false">IF(B1382="CN",IF(N(I1382)&gt;0,I1382*요약!$G$27,K1382*(1+요약!$E$27)),IF(N(H1382)&gt;0,H1382*요약!$G$27,J1382*요약!$D$27))</f>
        <v>27720</v>
      </c>
      <c r="M1382" s="46" t="n">
        <f aca="false">D1382*J1382</f>
        <v>3792000</v>
      </c>
      <c r="N1382" s="46" t="n">
        <f aca="false">D1382*K1382</f>
        <v>860496</v>
      </c>
      <c r="O1382" s="46" t="n">
        <f aca="false">D1382*L1382</f>
        <v>1330560</v>
      </c>
      <c r="P1382" s="42" t="str">
        <f aca="false">TRIM(IF(N(E1382)&lt;=0,"택가보정 ","")&amp;IF(N(F1382)&lt;=0,"원가보정 ","")&amp;IF(AND(B1382&lt;&gt;"CN",N(H1382)&lt;=0),"공급가보정 ","")&amp;IF(AND(B1382="CN",N(I1382)&lt;=0),"중국공급가=원가+마진 ",""))</f>
        <v/>
      </c>
      <c r="Q1382" s="47" t="n">
        <f aca="false">IF(SUMIFS($W:$W,$A:$A,A1382,$C:$C,C1382)=0,0,SUMIFS(RAW_판매펀칭!$K:$K,RAW_판매펀칭!$P:$P,A1382,RAW_판매펀칭!$I:$I,C1382)*W1382/SUMIFS($W:$W,$A:$A,A1382,$C:$C,C1382))</f>
        <v>48</v>
      </c>
      <c r="R1382" s="47" t="n">
        <f aca="false">IF(OR(A1382="500",A1382="800",A1382="810"),0,MAX(W1382-Q1382,0))</f>
        <v>0</v>
      </c>
      <c r="S1382" s="47" t="n">
        <f aca="false">R1382*L1382</f>
        <v>0</v>
      </c>
      <c r="T1382" s="47" t="n">
        <f aca="false">R1382*J1382</f>
        <v>0</v>
      </c>
      <c r="U1382" s="47" t="n">
        <f aca="false">R1382*K1382</f>
        <v>0</v>
      </c>
      <c r="V1382" s="0" t="str">
        <f aca="false">IF(COUNTIFS($A$2:A1382,A1382,$C$2:C1382,C1382,$D$2:D1382,D1382)&gt;1,"중복","")</f>
        <v/>
      </c>
      <c r="W1382" s="0" t="n">
        <f aca="false">IF(V1382="중복",0,N(D1382))</f>
        <v>48</v>
      </c>
      <c r="X1382" s="0" t="n">
        <f aca="false">IF(COUNTIFS($A$2:A1382,A1382,$C$2:C1382,C1382)=1,ABS(SUMIFS(RAW_발주!$D:$D,RAW_발주!$C:$C,A1382,RAW_발주!$A:$A,C1382)-SUMIFS($W:$W,$A:$A,A1382,$C:$C,C1382)),0)</f>
        <v>0</v>
      </c>
    </row>
    <row r="1383" customFormat="false" ht="15" hidden="false" customHeight="true" outlineLevel="0" collapsed="false">
      <c r="A1383" s="45" t="s">
        <v>1667</v>
      </c>
      <c r="B1383" s="42" t="str">
        <f aca="false">IF(A1383="100","HK",IF(A1383="200","CN",IF(A1383="300","TW","홀세일")))</f>
        <v>홀세일</v>
      </c>
      <c r="C1383" s="45" t="s">
        <v>1419</v>
      </c>
      <c r="D1383" s="46" t="n">
        <v>92</v>
      </c>
      <c r="E1383" s="46" t="n">
        <v>79000</v>
      </c>
      <c r="F1383" s="46" t="n">
        <v>15133</v>
      </c>
      <c r="G1383" s="42" t="n">
        <v>4.45</v>
      </c>
      <c r="H1383" s="42" t="n">
        <v>21</v>
      </c>
      <c r="J1383" s="46" t="n">
        <f aca="false">IF(N(E1383)&gt;0,E1383,IF(N(F1383)&gt;0,F1383*요약!$F$27,0))</f>
        <v>79000</v>
      </c>
      <c r="K1383" s="46" t="n">
        <f aca="false">IF(N(F1383)&gt;0,F1383,IF(N(E1383)&gt;0,E1383/요약!$F$27,0))</f>
        <v>15133</v>
      </c>
      <c r="L1383" s="46" t="n">
        <f aca="false">IF(B1383="CN",IF(N(I1383)&gt;0,I1383*요약!$G$27,K1383*(1+요약!$E$27)),IF(N(H1383)&gt;0,H1383*요약!$G$27,J1383*요약!$D$27))</f>
        <v>27720</v>
      </c>
      <c r="M1383" s="46" t="n">
        <f aca="false">D1383*J1383</f>
        <v>7268000</v>
      </c>
      <c r="N1383" s="46" t="n">
        <f aca="false">D1383*K1383</f>
        <v>1392236</v>
      </c>
      <c r="O1383" s="46" t="n">
        <f aca="false">D1383*L1383</f>
        <v>2550240</v>
      </c>
      <c r="P1383" s="42" t="str">
        <f aca="false">TRIM(IF(N(E1383)&lt;=0,"택가보정 ","")&amp;IF(N(F1383)&lt;=0,"원가보정 ","")&amp;IF(AND(B1383&lt;&gt;"CN",N(H1383)&lt;=0),"공급가보정 ","")&amp;IF(AND(B1383="CN",N(I1383)&lt;=0),"중국공급가=원가+마진 ",""))</f>
        <v/>
      </c>
      <c r="Q1383" s="47" t="n">
        <f aca="false">IF(SUMIFS($W:$W,$A:$A,A1383,$C:$C,C1383)=0,0,SUMIFS(RAW_판매펀칭!$K:$K,RAW_판매펀칭!$P:$P,A1383,RAW_판매펀칭!$I:$I,C1383)*W1383/SUMIFS($W:$W,$A:$A,A1383,$C:$C,C1383))</f>
        <v>92</v>
      </c>
      <c r="R1383" s="47" t="n">
        <f aca="false">IF(OR(A1383="500",A1383="800",A1383="810"),0,MAX(W1383-Q1383,0))</f>
        <v>0</v>
      </c>
      <c r="S1383" s="47" t="n">
        <f aca="false">R1383*L1383</f>
        <v>0</v>
      </c>
      <c r="T1383" s="47" t="n">
        <f aca="false">R1383*J1383</f>
        <v>0</v>
      </c>
      <c r="U1383" s="47" t="n">
        <f aca="false">R1383*K1383</f>
        <v>0</v>
      </c>
      <c r="V1383" s="0" t="str">
        <f aca="false">IF(COUNTIFS($A$2:A1383,A1383,$C$2:C1383,C1383,$D$2:D1383,D1383)&gt;1,"중복","")</f>
        <v/>
      </c>
      <c r="W1383" s="0" t="n">
        <f aca="false">IF(V1383="중복",0,N(D1383))</f>
        <v>92</v>
      </c>
      <c r="X1383" s="0" t="n">
        <f aca="false">IF(COUNTIFS($A$2:A1383,A1383,$C$2:C1383,C1383)=1,ABS(SUMIFS(RAW_발주!$D:$D,RAW_발주!$C:$C,A1383,RAW_발주!$A:$A,C1383)-SUMIFS($W:$W,$A:$A,A1383,$C:$C,C1383)),0)</f>
        <v>0</v>
      </c>
    </row>
    <row r="1384" customFormat="false" ht="15" hidden="false" customHeight="true" outlineLevel="0" collapsed="false">
      <c r="A1384" s="45" t="s">
        <v>1661</v>
      </c>
      <c r="B1384" s="42" t="str">
        <f aca="false">IF(A1384="100","HK",IF(A1384="200","CN",IF(A1384="300","TW","홀세일")))</f>
        <v>TW</v>
      </c>
      <c r="C1384" s="45" t="s">
        <v>603</v>
      </c>
      <c r="D1384" s="46" t="n">
        <v>300</v>
      </c>
      <c r="E1384" s="46" t="n">
        <v>69000</v>
      </c>
      <c r="F1384" s="46" t="n">
        <v>14737</v>
      </c>
      <c r="G1384" s="42" t="n">
        <v>4.02</v>
      </c>
      <c r="H1384" s="42" t="n">
        <v>18.4</v>
      </c>
      <c r="J1384" s="46" t="n">
        <f aca="false">IF(N(E1384)&gt;0,E1384,IF(N(F1384)&gt;0,F1384*요약!$F$27,0))</f>
        <v>69000</v>
      </c>
      <c r="K1384" s="46" t="n">
        <f aca="false">IF(N(F1384)&gt;0,F1384,IF(N(E1384)&gt;0,E1384/요약!$F$27,0))</f>
        <v>14737</v>
      </c>
      <c r="L1384" s="46" t="n">
        <f aca="false">IF(B1384="CN",IF(N(I1384)&gt;0,I1384*요약!$G$27,K1384*(1+요약!$E$27)),IF(N(H1384)&gt;0,H1384*요약!$G$27,J1384*요약!$D$27))</f>
        <v>24288</v>
      </c>
      <c r="M1384" s="46" t="n">
        <f aca="false">D1384*J1384</f>
        <v>20700000</v>
      </c>
      <c r="N1384" s="46" t="n">
        <f aca="false">D1384*K1384</f>
        <v>4421100</v>
      </c>
      <c r="O1384" s="46" t="n">
        <f aca="false">D1384*L1384</f>
        <v>7286400</v>
      </c>
      <c r="P1384" s="42" t="str">
        <f aca="false">TRIM(IF(N(E1384)&lt;=0,"택가보정 ","")&amp;IF(N(F1384)&lt;=0,"원가보정 ","")&amp;IF(AND(B1384&lt;&gt;"CN",N(H1384)&lt;=0),"공급가보정 ","")&amp;IF(AND(B1384="CN",N(I1384)&lt;=0),"중국공급가=원가+마진 ",""))</f>
        <v/>
      </c>
      <c r="Q1384" s="47" t="n">
        <f aca="false">IF(SUMIFS($W:$W,$A:$A,A1384,$C:$C,C1384)=0,0,SUMIFS(RAW_판매펀칭!$K:$K,RAW_판매펀칭!$P:$P,A1384,RAW_판매펀칭!$I:$I,C1384)*W1384/SUMIFS($W:$W,$A:$A,A1384,$C:$C,C1384))</f>
        <v>300</v>
      </c>
      <c r="R1384" s="47" t="n">
        <f aca="false">IF(OR(A1384="500",A1384="800",A1384="810"),0,MAX(W1384-Q1384,0))</f>
        <v>0</v>
      </c>
      <c r="S1384" s="47" t="n">
        <f aca="false">R1384*L1384</f>
        <v>0</v>
      </c>
      <c r="T1384" s="47" t="n">
        <f aca="false">R1384*J1384</f>
        <v>0</v>
      </c>
      <c r="U1384" s="47" t="n">
        <f aca="false">R1384*K1384</f>
        <v>0</v>
      </c>
      <c r="V1384" s="0" t="str">
        <f aca="false">IF(COUNTIFS($A$2:A1384,A1384,$C$2:C1384,C1384,$D$2:D1384,D1384)&gt;1,"중복","")</f>
        <v/>
      </c>
      <c r="W1384" s="0" t="n">
        <f aca="false">IF(V1384="중복",0,N(D1384))</f>
        <v>300</v>
      </c>
      <c r="X1384" s="0" t="n">
        <f aca="false">IF(COUNTIFS($A$2:A1384,A1384,$C$2:C1384,C1384)=1,ABS(SUMIFS(RAW_발주!$D:$D,RAW_발주!$C:$C,A1384,RAW_발주!$A:$A,C1384)-SUMIFS($W:$W,$A:$A,A1384,$C:$C,C1384)),0)</f>
        <v>0</v>
      </c>
    </row>
    <row r="1385" customFormat="false" ht="15" hidden="false" customHeight="true" outlineLevel="0" collapsed="false">
      <c r="A1385" s="45" t="s">
        <v>1663</v>
      </c>
      <c r="B1385" s="42" t="str">
        <f aca="false">IF(A1385="100","HK",IF(A1385="200","CN",IF(A1385="300","TW","홀세일")))</f>
        <v>홀세일</v>
      </c>
      <c r="C1385" s="45" t="s">
        <v>603</v>
      </c>
      <c r="D1385" s="46" t="n">
        <v>40</v>
      </c>
      <c r="E1385" s="46" t="n">
        <v>69000</v>
      </c>
      <c r="F1385" s="46" t="n">
        <v>14737</v>
      </c>
      <c r="G1385" s="42" t="n">
        <v>4.02</v>
      </c>
      <c r="H1385" s="42" t="n">
        <v>18.4</v>
      </c>
      <c r="J1385" s="46" t="n">
        <f aca="false">IF(N(E1385)&gt;0,E1385,IF(N(F1385)&gt;0,F1385*요약!$F$27,0))</f>
        <v>69000</v>
      </c>
      <c r="K1385" s="46" t="n">
        <f aca="false">IF(N(F1385)&gt;0,F1385,IF(N(E1385)&gt;0,E1385/요약!$F$27,0))</f>
        <v>14737</v>
      </c>
      <c r="L1385" s="46" t="n">
        <f aca="false">IF(B1385="CN",IF(N(I1385)&gt;0,I1385*요약!$G$27,K1385*(1+요약!$E$27)),IF(N(H1385)&gt;0,H1385*요약!$G$27,J1385*요약!$D$27))</f>
        <v>24288</v>
      </c>
      <c r="M1385" s="46" t="n">
        <f aca="false">D1385*J1385</f>
        <v>2760000</v>
      </c>
      <c r="N1385" s="46" t="n">
        <f aca="false">D1385*K1385</f>
        <v>589480</v>
      </c>
      <c r="O1385" s="46" t="n">
        <f aca="false">D1385*L1385</f>
        <v>971520</v>
      </c>
      <c r="P1385" s="42" t="str">
        <f aca="false">TRIM(IF(N(E1385)&lt;=0,"택가보정 ","")&amp;IF(N(F1385)&lt;=0,"원가보정 ","")&amp;IF(AND(B1385&lt;&gt;"CN",N(H1385)&lt;=0),"공급가보정 ","")&amp;IF(AND(B1385="CN",N(I1385)&lt;=0),"중국공급가=원가+마진 ",""))</f>
        <v/>
      </c>
      <c r="Q1385" s="47" t="n">
        <f aca="false">IF(SUMIFS($W:$W,$A:$A,A1385,$C:$C,C1385)=0,0,SUMIFS(RAW_판매펀칭!$K:$K,RAW_판매펀칭!$P:$P,A1385,RAW_판매펀칭!$I:$I,C1385)*W1385/SUMIFS($W:$W,$A:$A,A1385,$C:$C,C1385))</f>
        <v>40</v>
      </c>
      <c r="R1385" s="47" t="n">
        <f aca="false">IF(OR(A1385="500",A1385="800",A1385="810"),0,MAX(W1385-Q1385,0))</f>
        <v>0</v>
      </c>
      <c r="S1385" s="47" t="n">
        <f aca="false">R1385*L1385</f>
        <v>0</v>
      </c>
      <c r="T1385" s="47" t="n">
        <f aca="false">R1385*J1385</f>
        <v>0</v>
      </c>
      <c r="U1385" s="47" t="n">
        <f aca="false">R1385*K1385</f>
        <v>0</v>
      </c>
      <c r="V1385" s="0" t="str">
        <f aca="false">IF(COUNTIFS($A$2:A1385,A1385,$C$2:C1385,C1385,$D$2:D1385,D1385)&gt;1,"중복","")</f>
        <v/>
      </c>
      <c r="W1385" s="0" t="n">
        <f aca="false">IF(V1385="중복",0,N(D1385))</f>
        <v>40</v>
      </c>
      <c r="X1385" s="0" t="n">
        <f aca="false">IF(COUNTIFS($A$2:A1385,A1385,$C$2:C1385,C1385)=1,ABS(SUMIFS(RAW_발주!$D:$D,RAW_발주!$C:$C,A1385,RAW_발주!$A:$A,C1385)-SUMIFS($W:$W,$A:$A,A1385,$C:$C,C1385)),0)</f>
        <v>0</v>
      </c>
    </row>
    <row r="1386" customFormat="false" ht="15" hidden="false" customHeight="true" outlineLevel="0" collapsed="false">
      <c r="A1386" s="45" t="s">
        <v>1667</v>
      </c>
      <c r="B1386" s="42" t="str">
        <f aca="false">IF(A1386="100","HK",IF(A1386="200","CN",IF(A1386="300","TW","홀세일")))</f>
        <v>홀세일</v>
      </c>
      <c r="C1386" s="45" t="s">
        <v>603</v>
      </c>
      <c r="D1386" s="46" t="n">
        <v>92</v>
      </c>
      <c r="E1386" s="46" t="n">
        <v>69000</v>
      </c>
      <c r="F1386" s="46" t="n">
        <v>14737</v>
      </c>
      <c r="G1386" s="42" t="n">
        <v>4.02</v>
      </c>
      <c r="H1386" s="42" t="n">
        <v>18.4</v>
      </c>
      <c r="J1386" s="46" t="n">
        <f aca="false">IF(N(E1386)&gt;0,E1386,IF(N(F1386)&gt;0,F1386*요약!$F$27,0))</f>
        <v>69000</v>
      </c>
      <c r="K1386" s="46" t="n">
        <f aca="false">IF(N(F1386)&gt;0,F1386,IF(N(E1386)&gt;0,E1386/요약!$F$27,0))</f>
        <v>14737</v>
      </c>
      <c r="L1386" s="46" t="n">
        <f aca="false">IF(B1386="CN",IF(N(I1386)&gt;0,I1386*요약!$G$27,K1386*(1+요약!$E$27)),IF(N(H1386)&gt;0,H1386*요약!$G$27,J1386*요약!$D$27))</f>
        <v>24288</v>
      </c>
      <c r="M1386" s="46" t="n">
        <f aca="false">D1386*J1386</f>
        <v>6348000</v>
      </c>
      <c r="N1386" s="46" t="n">
        <f aca="false">D1386*K1386</f>
        <v>1355804</v>
      </c>
      <c r="O1386" s="46" t="n">
        <f aca="false">D1386*L1386</f>
        <v>2234496</v>
      </c>
      <c r="P1386" s="42" t="str">
        <f aca="false">TRIM(IF(N(E1386)&lt;=0,"택가보정 ","")&amp;IF(N(F1386)&lt;=0,"원가보정 ","")&amp;IF(AND(B1386&lt;&gt;"CN",N(H1386)&lt;=0),"공급가보정 ","")&amp;IF(AND(B1386="CN",N(I1386)&lt;=0),"중국공급가=원가+마진 ",""))</f>
        <v/>
      </c>
      <c r="Q1386" s="47" t="n">
        <f aca="false">IF(SUMIFS($W:$W,$A:$A,A1386,$C:$C,C1386)=0,0,SUMIFS(RAW_판매펀칭!$K:$K,RAW_판매펀칭!$P:$P,A1386,RAW_판매펀칭!$I:$I,C1386)*W1386/SUMIFS($W:$W,$A:$A,A1386,$C:$C,C1386))</f>
        <v>92</v>
      </c>
      <c r="R1386" s="47" t="n">
        <f aca="false">IF(OR(A1386="500",A1386="800",A1386="810"),0,MAX(W1386-Q1386,0))</f>
        <v>0</v>
      </c>
      <c r="S1386" s="47" t="n">
        <f aca="false">R1386*L1386</f>
        <v>0</v>
      </c>
      <c r="T1386" s="47" t="n">
        <f aca="false">R1386*J1386</f>
        <v>0</v>
      </c>
      <c r="U1386" s="47" t="n">
        <f aca="false">R1386*K1386</f>
        <v>0</v>
      </c>
      <c r="V1386" s="0" t="str">
        <f aca="false">IF(COUNTIFS($A$2:A1386,A1386,$C$2:C1386,C1386,$D$2:D1386,D1386)&gt;1,"중복","")</f>
        <v/>
      </c>
      <c r="W1386" s="0" t="n">
        <f aca="false">IF(V1386="중복",0,N(D1386))</f>
        <v>92</v>
      </c>
      <c r="X1386" s="0" t="n">
        <f aca="false">IF(COUNTIFS($A$2:A1386,A1386,$C$2:C1386,C1386)=1,ABS(SUMIFS(RAW_발주!$D:$D,RAW_발주!$C:$C,A1386,RAW_발주!$A:$A,C1386)-SUMIFS($W:$W,$A:$A,A1386,$C:$C,C1386)),0)</f>
        <v>0</v>
      </c>
    </row>
    <row r="1387" customFormat="false" ht="15" hidden="false" customHeight="true" outlineLevel="0" collapsed="false">
      <c r="A1387" s="45" t="s">
        <v>1659</v>
      </c>
      <c r="B1387" s="42" t="str">
        <f aca="false">IF(A1387="100","HK",IF(A1387="200","CN",IF(A1387="300","TW","홀세일")))</f>
        <v>HK</v>
      </c>
      <c r="C1387" s="45" t="s">
        <v>605</v>
      </c>
      <c r="D1387" s="46" t="n">
        <v>300</v>
      </c>
      <c r="E1387" s="46" t="n">
        <v>69000</v>
      </c>
      <c r="F1387" s="46" t="n">
        <v>14584</v>
      </c>
      <c r="G1387" s="42" t="n">
        <v>4.07</v>
      </c>
      <c r="H1387" s="42" t="n">
        <v>18.4</v>
      </c>
      <c r="J1387" s="46" t="n">
        <f aca="false">IF(N(E1387)&gt;0,E1387,IF(N(F1387)&gt;0,F1387*요약!$F$27,0))</f>
        <v>69000</v>
      </c>
      <c r="K1387" s="46" t="n">
        <f aca="false">IF(N(F1387)&gt;0,F1387,IF(N(E1387)&gt;0,E1387/요약!$F$27,0))</f>
        <v>14584</v>
      </c>
      <c r="L1387" s="46" t="n">
        <f aca="false">IF(B1387="CN",IF(N(I1387)&gt;0,I1387*요약!$G$27,K1387*(1+요약!$E$27)),IF(N(H1387)&gt;0,H1387*요약!$G$27,J1387*요약!$D$27))</f>
        <v>24288</v>
      </c>
      <c r="M1387" s="46" t="n">
        <f aca="false">D1387*J1387</f>
        <v>20700000</v>
      </c>
      <c r="N1387" s="46" t="n">
        <f aca="false">D1387*K1387</f>
        <v>4375200</v>
      </c>
      <c r="O1387" s="46" t="n">
        <f aca="false">D1387*L1387</f>
        <v>7286400</v>
      </c>
      <c r="P1387" s="42" t="str">
        <f aca="false">TRIM(IF(N(E1387)&lt;=0,"택가보정 ","")&amp;IF(N(F1387)&lt;=0,"원가보정 ","")&amp;IF(AND(B1387&lt;&gt;"CN",N(H1387)&lt;=0),"공급가보정 ","")&amp;IF(AND(B1387="CN",N(I1387)&lt;=0),"중국공급가=원가+마진 ",""))</f>
        <v/>
      </c>
      <c r="Q1387" s="47" t="n">
        <f aca="false">IF(SUMIFS($W:$W,$A:$A,A1387,$C:$C,C1387)=0,0,SUMIFS(RAW_판매펀칭!$K:$K,RAW_판매펀칭!$P:$P,A1387,RAW_판매펀칭!$I:$I,C1387)*W1387/SUMIFS($W:$W,$A:$A,A1387,$C:$C,C1387))</f>
        <v>300</v>
      </c>
      <c r="R1387" s="47" t="n">
        <f aca="false">IF(OR(A1387="500",A1387="800",A1387="810"),0,MAX(W1387-Q1387,0))</f>
        <v>0</v>
      </c>
      <c r="S1387" s="47" t="n">
        <f aca="false">R1387*L1387</f>
        <v>0</v>
      </c>
      <c r="T1387" s="47" t="n">
        <f aca="false">R1387*J1387</f>
        <v>0</v>
      </c>
      <c r="U1387" s="47" t="n">
        <f aca="false">R1387*K1387</f>
        <v>0</v>
      </c>
      <c r="V1387" s="0" t="str">
        <f aca="false">IF(COUNTIFS($A$2:A1387,A1387,$C$2:C1387,C1387,$D$2:D1387,D1387)&gt;1,"중복","")</f>
        <v/>
      </c>
      <c r="W1387" s="0" t="n">
        <f aca="false">IF(V1387="중복",0,N(D1387))</f>
        <v>300</v>
      </c>
      <c r="X1387" s="0" t="n">
        <f aca="false">IF(COUNTIFS($A$2:A1387,A1387,$C$2:C1387,C1387)=1,ABS(SUMIFS(RAW_발주!$D:$D,RAW_발주!$C:$C,A1387,RAW_발주!$A:$A,C1387)-SUMIFS($W:$W,$A:$A,A1387,$C:$C,C1387)),0)</f>
        <v>0</v>
      </c>
    </row>
    <row r="1388" customFormat="false" ht="15.75" hidden="false" customHeight="true" outlineLevel="0" collapsed="false">
      <c r="A1388" s="45" t="s">
        <v>1660</v>
      </c>
      <c r="B1388" s="42" t="str">
        <f aca="false">IF(A1388="100","HK",IF(A1388="200","CN",IF(A1388="300","TW","홀세일")))</f>
        <v>CN</v>
      </c>
      <c r="C1388" s="45" t="s">
        <v>605</v>
      </c>
      <c r="D1388" s="46" t="n">
        <v>223</v>
      </c>
      <c r="E1388" s="46" t="n">
        <v>69000</v>
      </c>
      <c r="F1388" s="46" t="n">
        <v>14584</v>
      </c>
      <c r="G1388" s="42" t="n">
        <v>4.07</v>
      </c>
      <c r="H1388" s="42" t="n">
        <v>18.4</v>
      </c>
      <c r="J1388" s="46" t="n">
        <f aca="false">IF(N(E1388)&gt;0,E1388,IF(N(F1388)&gt;0,F1388*요약!$F$27,0))</f>
        <v>69000</v>
      </c>
      <c r="K1388" s="46" t="n">
        <f aca="false">IF(N(F1388)&gt;0,F1388,IF(N(E1388)&gt;0,E1388/요약!$F$27,0))</f>
        <v>14584</v>
      </c>
      <c r="L1388" s="46" t="n">
        <f aca="false">IF(B1388="CN",IF(N(I1388)&gt;0,I1388*요약!$G$27,K1388*(1+요약!$E$27)),IF(N(H1388)&gt;0,H1388*요약!$G$27,J1388*요약!$D$27))</f>
        <v>15313.2</v>
      </c>
      <c r="M1388" s="46" t="n">
        <f aca="false">D1388*J1388</f>
        <v>15387000</v>
      </c>
      <c r="N1388" s="46" t="n">
        <f aca="false">D1388*K1388</f>
        <v>3252232</v>
      </c>
      <c r="O1388" s="46" t="n">
        <f aca="false">D1388*L1388</f>
        <v>3414843.6</v>
      </c>
      <c r="P1388" s="42" t="str">
        <f aca="false">TRIM(IF(N(E1388)&lt;=0,"택가보정 ","")&amp;IF(N(F1388)&lt;=0,"원가보정 ","")&amp;IF(AND(B1388&lt;&gt;"CN",N(H1388)&lt;=0),"공급가보정 ","")&amp;IF(AND(B1388="CN",N(I1388)&lt;=0),"중국공급가=원가+마진 ",""))</f>
        <v>중국공급가=원가+마진</v>
      </c>
      <c r="Q1388" s="47" t="n">
        <f aca="false">IF(SUMIFS($W:$W,$A:$A,A1388,$C:$C,C1388)=0,0,SUMIFS(RAW_판매펀칭!$K:$K,RAW_판매펀칭!$P:$P,A1388,RAW_판매펀칭!$I:$I,C1388)*W1388/SUMIFS($W:$W,$A:$A,A1388,$C:$C,C1388))</f>
        <v>220</v>
      </c>
      <c r="R1388" s="47" t="n">
        <f aca="false">IF(OR(A1388="500",A1388="800",A1388="810"),0,MAX(W1388-Q1388,0))</f>
        <v>3</v>
      </c>
      <c r="S1388" s="47" t="n">
        <f aca="false">R1388*L1388</f>
        <v>45939.6</v>
      </c>
      <c r="T1388" s="47" t="n">
        <f aca="false">R1388*J1388</f>
        <v>207000</v>
      </c>
      <c r="U1388" s="47" t="n">
        <f aca="false">R1388*K1388</f>
        <v>43752</v>
      </c>
      <c r="V1388" s="0" t="str">
        <f aca="false">IF(COUNTIFS($A$2:A1388,A1388,$C$2:C1388,C1388,$D$2:D1388,D1388)&gt;1,"중복","")</f>
        <v/>
      </c>
      <c r="W1388" s="0" t="n">
        <f aca="false">IF(V1388="중복",0,N(D1388))</f>
        <v>223</v>
      </c>
      <c r="X1388" s="0" t="n">
        <f aca="false">IF(COUNTIFS($A$2:A1388,A1388,$C$2:C1388,C1388)=1,ABS(SUMIFS(RAW_발주!$D:$D,RAW_발주!$C:$C,A1388,RAW_발주!$A:$A,C1388)-SUMIFS($W:$W,$A:$A,A1388,$C:$C,C1388)),0)</f>
        <v>0</v>
      </c>
    </row>
    <row r="1389" customFormat="false" ht="15" hidden="false" customHeight="true" outlineLevel="0" collapsed="false">
      <c r="A1389" s="45" t="s">
        <v>1661</v>
      </c>
      <c r="B1389" s="42" t="str">
        <f aca="false">IF(A1389="100","HK",IF(A1389="200","CN",IF(A1389="300","TW","홀세일")))</f>
        <v>TW</v>
      </c>
      <c r="C1389" s="45" t="s">
        <v>605</v>
      </c>
      <c r="D1389" s="46" t="n">
        <v>4230</v>
      </c>
      <c r="E1389" s="46" t="n">
        <v>69000</v>
      </c>
      <c r="F1389" s="46" t="n">
        <v>14584</v>
      </c>
      <c r="G1389" s="42" t="n">
        <v>4.07</v>
      </c>
      <c r="H1389" s="42" t="n">
        <v>18.4</v>
      </c>
      <c r="J1389" s="46" t="n">
        <f aca="false">IF(N(E1389)&gt;0,E1389,IF(N(F1389)&gt;0,F1389*요약!$F$27,0))</f>
        <v>69000</v>
      </c>
      <c r="K1389" s="46" t="n">
        <f aca="false">IF(N(F1389)&gt;0,F1389,IF(N(E1389)&gt;0,E1389/요약!$F$27,0))</f>
        <v>14584</v>
      </c>
      <c r="L1389" s="46" t="n">
        <f aca="false">IF(B1389="CN",IF(N(I1389)&gt;0,I1389*요약!$G$27,K1389*(1+요약!$E$27)),IF(N(H1389)&gt;0,H1389*요약!$G$27,J1389*요약!$D$27))</f>
        <v>24288</v>
      </c>
      <c r="M1389" s="46" t="n">
        <f aca="false">D1389*J1389</f>
        <v>291870000</v>
      </c>
      <c r="N1389" s="46" t="n">
        <f aca="false">D1389*K1389</f>
        <v>61690320</v>
      </c>
      <c r="O1389" s="46" t="n">
        <f aca="false">D1389*L1389</f>
        <v>102738240</v>
      </c>
      <c r="P1389" s="42" t="str">
        <f aca="false">TRIM(IF(N(E1389)&lt;=0,"택가보정 ","")&amp;IF(N(F1389)&lt;=0,"원가보정 ","")&amp;IF(AND(B1389&lt;&gt;"CN",N(H1389)&lt;=0),"공급가보정 ","")&amp;IF(AND(B1389="CN",N(I1389)&lt;=0),"중국공급가=원가+마진 ",""))</f>
        <v/>
      </c>
      <c r="Q1389" s="47" t="n">
        <f aca="false">IF(SUMIFS($W:$W,$A:$A,A1389,$C:$C,C1389)=0,0,SUMIFS(RAW_판매펀칭!$K:$K,RAW_판매펀칭!$P:$P,A1389,RAW_판매펀칭!$I:$I,C1389)*W1389/SUMIFS($W:$W,$A:$A,A1389,$C:$C,C1389))</f>
        <v>350</v>
      </c>
      <c r="R1389" s="47" t="n">
        <f aca="false">IF(OR(A1389="500",A1389="800",A1389="810"),0,MAX(W1389-Q1389,0))</f>
        <v>3880</v>
      </c>
      <c r="S1389" s="47" t="n">
        <f aca="false">R1389*L1389</f>
        <v>94237440</v>
      </c>
      <c r="T1389" s="47" t="n">
        <f aca="false">R1389*J1389</f>
        <v>267720000</v>
      </c>
      <c r="U1389" s="47" t="n">
        <f aca="false">R1389*K1389</f>
        <v>56585920</v>
      </c>
      <c r="V1389" s="0" t="str">
        <f aca="false">IF(COUNTIFS($A$2:A1389,A1389,$C$2:C1389,C1389,$D$2:D1389,D1389)&gt;1,"중복","")</f>
        <v/>
      </c>
      <c r="W1389" s="0" t="n">
        <f aca="false">IF(V1389="중복",0,N(D1389))</f>
        <v>4230</v>
      </c>
      <c r="X1389" s="0" t="n">
        <f aca="false">IF(COUNTIFS($A$2:A1389,A1389,$C$2:C1389,C1389)=1,ABS(SUMIFS(RAW_발주!$D:$D,RAW_발주!$C:$C,A1389,RAW_발주!$A:$A,C1389)-SUMIFS($W:$W,$A:$A,A1389,$C:$C,C1389)),0)</f>
        <v>0</v>
      </c>
    </row>
    <row r="1390" customFormat="false" ht="15" hidden="false" customHeight="true" outlineLevel="0" collapsed="false">
      <c r="A1390" s="45" t="s">
        <v>1659</v>
      </c>
      <c r="B1390" s="42" t="str">
        <f aca="false">IF(A1390="100","HK",IF(A1390="200","CN",IF(A1390="300","TW","홀세일")))</f>
        <v>HK</v>
      </c>
      <c r="C1390" s="45" t="s">
        <v>958</v>
      </c>
      <c r="D1390" s="46" t="n">
        <v>350</v>
      </c>
      <c r="E1390" s="46" t="n">
        <v>49000</v>
      </c>
      <c r="F1390" s="46" t="n">
        <v>11771</v>
      </c>
      <c r="G1390" s="42" t="n">
        <v>3.59</v>
      </c>
      <c r="H1390" s="42" t="n">
        <v>13.1</v>
      </c>
      <c r="J1390" s="46" t="n">
        <f aca="false">IF(N(E1390)&gt;0,E1390,IF(N(F1390)&gt;0,F1390*요약!$F$27,0))</f>
        <v>49000</v>
      </c>
      <c r="K1390" s="46" t="n">
        <f aca="false">IF(N(F1390)&gt;0,F1390,IF(N(E1390)&gt;0,E1390/요약!$F$27,0))</f>
        <v>11771</v>
      </c>
      <c r="L1390" s="46" t="n">
        <f aca="false">IF(B1390="CN",IF(N(I1390)&gt;0,I1390*요약!$G$27,K1390*(1+요약!$E$27)),IF(N(H1390)&gt;0,H1390*요약!$G$27,J1390*요약!$D$27))</f>
        <v>17292</v>
      </c>
      <c r="M1390" s="46" t="n">
        <f aca="false">D1390*J1390</f>
        <v>17150000</v>
      </c>
      <c r="N1390" s="46" t="n">
        <f aca="false">D1390*K1390</f>
        <v>4119850</v>
      </c>
      <c r="O1390" s="46" t="n">
        <f aca="false">D1390*L1390</f>
        <v>6052200</v>
      </c>
      <c r="P1390" s="42" t="str">
        <f aca="false">TRIM(IF(N(E1390)&lt;=0,"택가보정 ","")&amp;IF(N(F1390)&lt;=0,"원가보정 ","")&amp;IF(AND(B1390&lt;&gt;"CN",N(H1390)&lt;=0),"공급가보정 ","")&amp;IF(AND(B1390="CN",N(I1390)&lt;=0),"중국공급가=원가+마진 ",""))</f>
        <v/>
      </c>
      <c r="Q1390" s="47" t="n">
        <f aca="false">IF(SUMIFS($W:$W,$A:$A,A1390,$C:$C,C1390)=0,0,SUMIFS(RAW_판매펀칭!$K:$K,RAW_판매펀칭!$P:$P,A1390,RAW_판매펀칭!$I:$I,C1390)*W1390/SUMIFS($W:$W,$A:$A,A1390,$C:$C,C1390))</f>
        <v>350</v>
      </c>
      <c r="R1390" s="47" t="n">
        <f aca="false">IF(OR(A1390="500",A1390="800",A1390="810"),0,MAX(W1390-Q1390,0))</f>
        <v>0</v>
      </c>
      <c r="S1390" s="47" t="n">
        <f aca="false">R1390*L1390</f>
        <v>0</v>
      </c>
      <c r="T1390" s="47" t="n">
        <f aca="false">R1390*J1390</f>
        <v>0</v>
      </c>
      <c r="U1390" s="47" t="n">
        <f aca="false">R1390*K1390</f>
        <v>0</v>
      </c>
      <c r="V1390" s="0" t="str">
        <f aca="false">IF(COUNTIFS($A$2:A1390,A1390,$C$2:C1390,C1390,$D$2:D1390,D1390)&gt;1,"중복","")</f>
        <v/>
      </c>
      <c r="W1390" s="0" t="n">
        <f aca="false">IF(V1390="중복",0,N(D1390))</f>
        <v>350</v>
      </c>
      <c r="X1390" s="0" t="n">
        <f aca="false">IF(COUNTIFS($A$2:A1390,A1390,$C$2:C1390,C1390)=1,ABS(SUMIFS(RAW_발주!$D:$D,RAW_발주!$C:$C,A1390,RAW_발주!$A:$A,C1390)-SUMIFS($W:$W,$A:$A,A1390,$C:$C,C1390)),0)</f>
        <v>0</v>
      </c>
    </row>
    <row r="1391" customFormat="false" ht="15" hidden="false" customHeight="true" outlineLevel="0" collapsed="false">
      <c r="A1391" s="45" t="s">
        <v>1662</v>
      </c>
      <c r="B1391" s="42" t="str">
        <f aca="false">IF(A1391="100","HK",IF(A1391="200","CN",IF(A1391="300","TW","홀세일")))</f>
        <v>홀세일</v>
      </c>
      <c r="C1391" s="45" t="s">
        <v>958</v>
      </c>
      <c r="D1391" s="46" t="n">
        <v>15</v>
      </c>
      <c r="E1391" s="46" t="n">
        <v>49000</v>
      </c>
      <c r="F1391" s="46" t="n">
        <v>11771</v>
      </c>
      <c r="G1391" s="42" t="n">
        <v>3.59</v>
      </c>
      <c r="H1391" s="42" t="n">
        <v>13.1</v>
      </c>
      <c r="J1391" s="46" t="n">
        <f aca="false">IF(N(E1391)&gt;0,E1391,IF(N(F1391)&gt;0,F1391*요약!$F$27,0))</f>
        <v>49000</v>
      </c>
      <c r="K1391" s="46" t="n">
        <f aca="false">IF(N(F1391)&gt;0,F1391,IF(N(E1391)&gt;0,E1391/요약!$F$27,0))</f>
        <v>11771</v>
      </c>
      <c r="L1391" s="46" t="n">
        <f aca="false">IF(B1391="CN",IF(N(I1391)&gt;0,I1391*요약!$G$27,K1391*(1+요약!$E$27)),IF(N(H1391)&gt;0,H1391*요약!$G$27,J1391*요약!$D$27))</f>
        <v>17292</v>
      </c>
      <c r="M1391" s="46" t="n">
        <f aca="false">D1391*J1391</f>
        <v>735000</v>
      </c>
      <c r="N1391" s="46" t="n">
        <f aca="false">D1391*K1391</f>
        <v>176565</v>
      </c>
      <c r="O1391" s="46" t="n">
        <f aca="false">D1391*L1391</f>
        <v>259380</v>
      </c>
      <c r="P1391" s="42" t="str">
        <f aca="false">TRIM(IF(N(E1391)&lt;=0,"택가보정 ","")&amp;IF(N(F1391)&lt;=0,"원가보정 ","")&amp;IF(AND(B1391&lt;&gt;"CN",N(H1391)&lt;=0),"공급가보정 ","")&amp;IF(AND(B1391="CN",N(I1391)&lt;=0),"중국공급가=원가+마진 ",""))</f>
        <v/>
      </c>
      <c r="Q1391" s="47" t="n">
        <f aca="false">IF(SUMIFS($W:$W,$A:$A,A1391,$C:$C,C1391)=0,0,SUMIFS(RAW_판매펀칭!$K:$K,RAW_판매펀칭!$P:$P,A1391,RAW_판매펀칭!$I:$I,C1391)*W1391/SUMIFS($W:$W,$A:$A,A1391,$C:$C,C1391))</f>
        <v>0</v>
      </c>
      <c r="R1391" s="47" t="n">
        <f aca="false">IF(OR(A1391="500",A1391="800",A1391="810"),0,MAX(W1391-Q1391,0))</f>
        <v>0</v>
      </c>
      <c r="S1391" s="47" t="n">
        <f aca="false">R1391*L1391</f>
        <v>0</v>
      </c>
      <c r="T1391" s="47" t="n">
        <f aca="false">R1391*J1391</f>
        <v>0</v>
      </c>
      <c r="U1391" s="47" t="n">
        <f aca="false">R1391*K1391</f>
        <v>0</v>
      </c>
      <c r="V1391" s="0" t="str">
        <f aca="false">IF(COUNTIFS($A$2:A1391,A1391,$C$2:C1391,C1391,$D$2:D1391,D1391)&gt;1,"중복","")</f>
        <v/>
      </c>
      <c r="W1391" s="0" t="n">
        <f aca="false">IF(V1391="중복",0,N(D1391))</f>
        <v>15</v>
      </c>
      <c r="X1391" s="0" t="n">
        <f aca="false">IF(COUNTIFS($A$2:A1391,A1391,$C$2:C1391,C1391)=1,ABS(SUMIFS(RAW_발주!$D:$D,RAW_발주!$C:$C,A1391,RAW_발주!$A:$A,C1391)-SUMIFS($W:$W,$A:$A,A1391,$C:$C,C1391)),0)</f>
        <v>0</v>
      </c>
    </row>
    <row r="1392" customFormat="false" ht="15.75" hidden="false" customHeight="true" outlineLevel="0" collapsed="false">
      <c r="A1392" s="45" t="s">
        <v>1660</v>
      </c>
      <c r="B1392" s="42" t="str">
        <f aca="false">IF(A1392="100","HK",IF(A1392="200","CN",IF(A1392="300","TW","홀세일")))</f>
        <v>CN</v>
      </c>
      <c r="C1392" s="45" t="s">
        <v>1107</v>
      </c>
      <c r="D1392" s="46" t="n">
        <v>519</v>
      </c>
      <c r="E1392" s="46" t="n">
        <v>39000</v>
      </c>
      <c r="F1392" s="46" t="n">
        <v>10090</v>
      </c>
      <c r="G1392" s="42" t="n">
        <v>3.38</v>
      </c>
      <c r="H1392" s="42" t="n">
        <v>10.4</v>
      </c>
      <c r="J1392" s="46" t="n">
        <f aca="false">IF(N(E1392)&gt;0,E1392,IF(N(F1392)&gt;0,F1392*요약!$F$27,0))</f>
        <v>39000</v>
      </c>
      <c r="K1392" s="46" t="n">
        <f aca="false">IF(N(F1392)&gt;0,F1392,IF(N(E1392)&gt;0,E1392/요약!$F$27,0))</f>
        <v>10090</v>
      </c>
      <c r="L1392" s="46" t="n">
        <f aca="false">IF(B1392="CN",IF(N(I1392)&gt;0,I1392*요약!$G$27,K1392*(1+요약!$E$27)),IF(N(H1392)&gt;0,H1392*요약!$G$27,J1392*요약!$D$27))</f>
        <v>10594.5</v>
      </c>
      <c r="M1392" s="46" t="n">
        <f aca="false">D1392*J1392</f>
        <v>20241000</v>
      </c>
      <c r="N1392" s="46" t="n">
        <f aca="false">D1392*K1392</f>
        <v>5236710</v>
      </c>
      <c r="O1392" s="46" t="n">
        <f aca="false">D1392*L1392</f>
        <v>5498545.5</v>
      </c>
      <c r="P1392" s="42" t="str">
        <f aca="false">TRIM(IF(N(E1392)&lt;=0,"택가보정 ","")&amp;IF(N(F1392)&lt;=0,"원가보정 ","")&amp;IF(AND(B1392&lt;&gt;"CN",N(H1392)&lt;=0),"공급가보정 ","")&amp;IF(AND(B1392="CN",N(I1392)&lt;=0),"중국공급가=원가+마진 ",""))</f>
        <v>중국공급가=원가+마진</v>
      </c>
      <c r="Q1392" s="47" t="n">
        <f aca="false">IF(SUMIFS($W:$W,$A:$A,A1392,$C:$C,C1392)=0,0,SUMIFS(RAW_판매펀칭!$K:$K,RAW_판매펀칭!$P:$P,A1392,RAW_판매펀칭!$I:$I,C1392)*W1392/SUMIFS($W:$W,$A:$A,A1392,$C:$C,C1392))</f>
        <v>515</v>
      </c>
      <c r="R1392" s="47" t="n">
        <f aca="false">IF(OR(A1392="500",A1392="800",A1392="810"),0,MAX(W1392-Q1392,0))</f>
        <v>4</v>
      </c>
      <c r="S1392" s="47" t="n">
        <f aca="false">R1392*L1392</f>
        <v>42378</v>
      </c>
      <c r="T1392" s="47" t="n">
        <f aca="false">R1392*J1392</f>
        <v>156000</v>
      </c>
      <c r="U1392" s="47" t="n">
        <f aca="false">R1392*K1392</f>
        <v>40360</v>
      </c>
      <c r="V1392" s="0" t="str">
        <f aca="false">IF(COUNTIFS($A$2:A1392,A1392,$C$2:C1392,C1392,$D$2:D1392,D1392)&gt;1,"중복","")</f>
        <v/>
      </c>
      <c r="W1392" s="0" t="n">
        <f aca="false">IF(V1392="중복",0,N(D1392))</f>
        <v>519</v>
      </c>
      <c r="X1392" s="0" t="n">
        <f aca="false">IF(COUNTIFS($A$2:A1392,A1392,$C$2:C1392,C1392)=1,ABS(SUMIFS(RAW_발주!$D:$D,RAW_발주!$C:$C,A1392,RAW_발주!$A:$A,C1392)-SUMIFS($W:$W,$A:$A,A1392,$C:$C,C1392)),0)</f>
        <v>0</v>
      </c>
    </row>
    <row r="1393" customFormat="false" ht="15" hidden="false" customHeight="true" outlineLevel="0" collapsed="false">
      <c r="A1393" s="45" t="s">
        <v>1662</v>
      </c>
      <c r="B1393" s="42" t="str">
        <f aca="false">IF(A1393="100","HK",IF(A1393="200","CN",IF(A1393="300","TW","홀세일")))</f>
        <v>홀세일</v>
      </c>
      <c r="C1393" s="45" t="s">
        <v>1421</v>
      </c>
      <c r="D1393" s="46" t="n">
        <v>25</v>
      </c>
      <c r="E1393" s="46" t="n">
        <v>199000</v>
      </c>
      <c r="F1393" s="46" t="n">
        <v>43254</v>
      </c>
      <c r="G1393" s="42" t="n">
        <v>3.96</v>
      </c>
      <c r="H1393" s="42" t="n">
        <v>52.9</v>
      </c>
      <c r="J1393" s="46" t="n">
        <f aca="false">IF(N(E1393)&gt;0,E1393,IF(N(F1393)&gt;0,F1393*요약!$F$27,0))</f>
        <v>199000</v>
      </c>
      <c r="K1393" s="46" t="n">
        <f aca="false">IF(N(F1393)&gt;0,F1393,IF(N(E1393)&gt;0,E1393/요약!$F$27,0))</f>
        <v>43254</v>
      </c>
      <c r="L1393" s="46" t="n">
        <f aca="false">IF(B1393="CN",IF(N(I1393)&gt;0,I1393*요약!$G$27,K1393*(1+요약!$E$27)),IF(N(H1393)&gt;0,H1393*요약!$G$27,J1393*요약!$D$27))</f>
        <v>69828</v>
      </c>
      <c r="M1393" s="46" t="n">
        <f aca="false">D1393*J1393</f>
        <v>4975000</v>
      </c>
      <c r="N1393" s="46" t="n">
        <f aca="false">D1393*K1393</f>
        <v>1081350</v>
      </c>
      <c r="O1393" s="46" t="n">
        <f aca="false">D1393*L1393</f>
        <v>1745700</v>
      </c>
      <c r="P1393" s="42" t="str">
        <f aca="false">TRIM(IF(N(E1393)&lt;=0,"택가보정 ","")&amp;IF(N(F1393)&lt;=0,"원가보정 ","")&amp;IF(AND(B1393&lt;&gt;"CN",N(H1393)&lt;=0),"공급가보정 ","")&amp;IF(AND(B1393="CN",N(I1393)&lt;=0),"중국공급가=원가+마진 ",""))</f>
        <v/>
      </c>
      <c r="Q1393" s="47" t="n">
        <f aca="false">IF(SUMIFS($W:$W,$A:$A,A1393,$C:$C,C1393)=0,0,SUMIFS(RAW_판매펀칭!$K:$K,RAW_판매펀칭!$P:$P,A1393,RAW_판매펀칭!$I:$I,C1393)*W1393/SUMIFS($W:$W,$A:$A,A1393,$C:$C,C1393))</f>
        <v>0</v>
      </c>
      <c r="R1393" s="47" t="n">
        <f aca="false">IF(OR(A1393="500",A1393="800",A1393="810"),0,MAX(W1393-Q1393,0))</f>
        <v>0</v>
      </c>
      <c r="S1393" s="47" t="n">
        <f aca="false">R1393*L1393</f>
        <v>0</v>
      </c>
      <c r="T1393" s="47" t="n">
        <f aca="false">R1393*J1393</f>
        <v>0</v>
      </c>
      <c r="U1393" s="47" t="n">
        <f aca="false">R1393*K1393</f>
        <v>0</v>
      </c>
      <c r="V1393" s="0" t="str">
        <f aca="false">IF(COUNTIFS($A$2:A1393,A1393,$C$2:C1393,C1393,$D$2:D1393,D1393)&gt;1,"중복","")</f>
        <v/>
      </c>
      <c r="W1393" s="0" t="n">
        <f aca="false">IF(V1393="중복",0,N(D1393))</f>
        <v>25</v>
      </c>
      <c r="X1393" s="0" t="n">
        <f aca="false">IF(COUNTIFS($A$2:A1393,A1393,$C$2:C1393,C1393)=1,ABS(SUMIFS(RAW_발주!$D:$D,RAW_발주!$C:$C,A1393,RAW_발주!$A:$A,C1393)-SUMIFS($W:$W,$A:$A,A1393,$C:$C,C1393)),0)</f>
        <v>0</v>
      </c>
    </row>
    <row r="1394" customFormat="false" ht="15" hidden="false" customHeight="true" outlineLevel="0" collapsed="false">
      <c r="A1394" s="45" t="s">
        <v>1667</v>
      </c>
      <c r="B1394" s="42" t="str">
        <f aca="false">IF(A1394="100","HK",IF(A1394="200","CN",IF(A1394="300","TW","홀세일")))</f>
        <v>홀세일</v>
      </c>
      <c r="C1394" s="45" t="s">
        <v>1421</v>
      </c>
      <c r="D1394" s="46" t="n">
        <v>122</v>
      </c>
      <c r="E1394" s="46" t="n">
        <v>199000</v>
      </c>
      <c r="F1394" s="46" t="n">
        <v>43254</v>
      </c>
      <c r="G1394" s="42" t="n">
        <v>3.96</v>
      </c>
      <c r="H1394" s="42" t="n">
        <v>52.9</v>
      </c>
      <c r="J1394" s="46" t="n">
        <f aca="false">IF(N(E1394)&gt;0,E1394,IF(N(F1394)&gt;0,F1394*요약!$F$27,0))</f>
        <v>199000</v>
      </c>
      <c r="K1394" s="46" t="n">
        <f aca="false">IF(N(F1394)&gt;0,F1394,IF(N(E1394)&gt;0,E1394/요약!$F$27,0))</f>
        <v>43254</v>
      </c>
      <c r="L1394" s="46" t="n">
        <f aca="false">IF(B1394="CN",IF(N(I1394)&gt;0,I1394*요약!$G$27,K1394*(1+요약!$E$27)),IF(N(H1394)&gt;0,H1394*요약!$G$27,J1394*요약!$D$27))</f>
        <v>69828</v>
      </c>
      <c r="M1394" s="46" t="n">
        <f aca="false">D1394*J1394</f>
        <v>24278000</v>
      </c>
      <c r="N1394" s="46" t="n">
        <f aca="false">D1394*K1394</f>
        <v>5276988</v>
      </c>
      <c r="O1394" s="46" t="n">
        <f aca="false">D1394*L1394</f>
        <v>8519016</v>
      </c>
      <c r="P1394" s="42" t="str">
        <f aca="false">TRIM(IF(N(E1394)&lt;=0,"택가보정 ","")&amp;IF(N(F1394)&lt;=0,"원가보정 ","")&amp;IF(AND(B1394&lt;&gt;"CN",N(H1394)&lt;=0),"공급가보정 ","")&amp;IF(AND(B1394="CN",N(I1394)&lt;=0),"중국공급가=원가+마진 ",""))</f>
        <v/>
      </c>
      <c r="Q1394" s="47" t="n">
        <f aca="false">IF(SUMIFS($W:$W,$A:$A,A1394,$C:$C,C1394)=0,0,SUMIFS(RAW_판매펀칭!$K:$K,RAW_판매펀칭!$P:$P,A1394,RAW_판매펀칭!$I:$I,C1394)*W1394/SUMIFS($W:$W,$A:$A,A1394,$C:$C,C1394))</f>
        <v>122</v>
      </c>
      <c r="R1394" s="47" t="n">
        <f aca="false">IF(OR(A1394="500",A1394="800",A1394="810"),0,MAX(W1394-Q1394,0))</f>
        <v>0</v>
      </c>
      <c r="S1394" s="47" t="n">
        <f aca="false">R1394*L1394</f>
        <v>0</v>
      </c>
      <c r="T1394" s="47" t="n">
        <f aca="false">R1394*J1394</f>
        <v>0</v>
      </c>
      <c r="U1394" s="47" t="n">
        <f aca="false">R1394*K1394</f>
        <v>0</v>
      </c>
      <c r="V1394" s="0" t="str">
        <f aca="false">IF(COUNTIFS($A$2:A1394,A1394,$C$2:C1394,C1394,$D$2:D1394,D1394)&gt;1,"중복","")</f>
        <v/>
      </c>
      <c r="W1394" s="0" t="n">
        <f aca="false">IF(V1394="중복",0,N(D1394))</f>
        <v>122</v>
      </c>
      <c r="X1394" s="0" t="n">
        <f aca="false">IF(COUNTIFS($A$2:A1394,A1394,$C$2:C1394,C1394)=1,ABS(SUMIFS(RAW_발주!$D:$D,RAW_발주!$C:$C,A1394,RAW_발주!$A:$A,C1394)-SUMIFS($W:$W,$A:$A,A1394,$C:$C,C1394)),0)</f>
        <v>0</v>
      </c>
    </row>
    <row r="1395" customFormat="false" ht="15" hidden="false" customHeight="true" outlineLevel="0" collapsed="false">
      <c r="A1395" s="45" t="s">
        <v>1659</v>
      </c>
      <c r="B1395" s="42" t="str">
        <f aca="false">IF(A1395="100","HK",IF(A1395="200","CN",IF(A1395="300","TW","홀세일")))</f>
        <v>HK</v>
      </c>
      <c r="C1395" s="45" t="s">
        <v>607</v>
      </c>
      <c r="D1395" s="46" t="n">
        <v>550</v>
      </c>
      <c r="E1395" s="46" t="n">
        <v>79000</v>
      </c>
      <c r="F1395" s="46" t="n">
        <v>17524</v>
      </c>
      <c r="G1395" s="42" t="n">
        <v>3.95</v>
      </c>
      <c r="H1395" s="42" t="n">
        <v>21</v>
      </c>
      <c r="J1395" s="46" t="n">
        <f aca="false">IF(N(E1395)&gt;0,E1395,IF(N(F1395)&gt;0,F1395*요약!$F$27,0))</f>
        <v>79000</v>
      </c>
      <c r="K1395" s="46" t="n">
        <f aca="false">IF(N(F1395)&gt;0,F1395,IF(N(E1395)&gt;0,E1395/요약!$F$27,0))</f>
        <v>17524</v>
      </c>
      <c r="L1395" s="46" t="n">
        <f aca="false">IF(B1395="CN",IF(N(I1395)&gt;0,I1395*요약!$G$27,K1395*(1+요약!$E$27)),IF(N(H1395)&gt;0,H1395*요약!$G$27,J1395*요약!$D$27))</f>
        <v>27720</v>
      </c>
      <c r="M1395" s="46" t="n">
        <f aca="false">D1395*J1395</f>
        <v>43450000</v>
      </c>
      <c r="N1395" s="46" t="n">
        <f aca="false">D1395*K1395</f>
        <v>9638200</v>
      </c>
      <c r="O1395" s="46" t="n">
        <f aca="false">D1395*L1395</f>
        <v>15246000</v>
      </c>
      <c r="P1395" s="42" t="str">
        <f aca="false">TRIM(IF(N(E1395)&lt;=0,"택가보정 ","")&amp;IF(N(F1395)&lt;=0,"원가보정 ","")&amp;IF(AND(B1395&lt;&gt;"CN",N(H1395)&lt;=0),"공급가보정 ","")&amp;IF(AND(B1395="CN",N(I1395)&lt;=0),"중국공급가=원가+마진 ",""))</f>
        <v/>
      </c>
      <c r="Q1395" s="47" t="n">
        <f aca="false">IF(SUMIFS($W:$W,$A:$A,A1395,$C:$C,C1395)=0,0,SUMIFS(RAW_판매펀칭!$K:$K,RAW_판매펀칭!$P:$P,A1395,RAW_판매펀칭!$I:$I,C1395)*W1395/SUMIFS($W:$W,$A:$A,A1395,$C:$C,C1395))</f>
        <v>550</v>
      </c>
      <c r="R1395" s="47" t="n">
        <f aca="false">IF(OR(A1395="500",A1395="800",A1395="810"),0,MAX(W1395-Q1395,0))</f>
        <v>0</v>
      </c>
      <c r="S1395" s="47" t="n">
        <f aca="false">R1395*L1395</f>
        <v>0</v>
      </c>
      <c r="T1395" s="47" t="n">
        <f aca="false">R1395*J1395</f>
        <v>0</v>
      </c>
      <c r="U1395" s="47" t="n">
        <f aca="false">R1395*K1395</f>
        <v>0</v>
      </c>
      <c r="V1395" s="0" t="str">
        <f aca="false">IF(COUNTIFS($A$2:A1395,A1395,$C$2:C1395,C1395,$D$2:D1395,D1395)&gt;1,"중복","")</f>
        <v/>
      </c>
      <c r="W1395" s="0" t="n">
        <f aca="false">IF(V1395="중복",0,N(D1395))</f>
        <v>550</v>
      </c>
      <c r="X1395" s="0" t="n">
        <f aca="false">IF(COUNTIFS($A$2:A1395,A1395,$C$2:C1395,C1395)=1,ABS(SUMIFS(RAW_발주!$D:$D,RAW_발주!$C:$C,A1395,RAW_발주!$A:$A,C1395)-SUMIFS($W:$W,$A:$A,A1395,$C:$C,C1395)),0)</f>
        <v>0</v>
      </c>
    </row>
    <row r="1396" customFormat="false" ht="15" hidden="false" customHeight="true" outlineLevel="0" collapsed="false">
      <c r="A1396" s="45" t="s">
        <v>1661</v>
      </c>
      <c r="B1396" s="42" t="str">
        <f aca="false">IF(A1396="100","HK",IF(A1396="200","CN",IF(A1396="300","TW","홀세일")))</f>
        <v>TW</v>
      </c>
      <c r="C1396" s="45" t="s">
        <v>607</v>
      </c>
      <c r="D1396" s="46" t="n">
        <v>600</v>
      </c>
      <c r="E1396" s="46" t="n">
        <v>79000</v>
      </c>
      <c r="F1396" s="46" t="n">
        <v>17524</v>
      </c>
      <c r="G1396" s="42" t="n">
        <v>3.95</v>
      </c>
      <c r="H1396" s="42" t="n">
        <v>21</v>
      </c>
      <c r="J1396" s="46" t="n">
        <f aca="false">IF(N(E1396)&gt;0,E1396,IF(N(F1396)&gt;0,F1396*요약!$F$27,0))</f>
        <v>79000</v>
      </c>
      <c r="K1396" s="46" t="n">
        <f aca="false">IF(N(F1396)&gt;0,F1396,IF(N(E1396)&gt;0,E1396/요약!$F$27,0))</f>
        <v>17524</v>
      </c>
      <c r="L1396" s="46" t="n">
        <f aca="false">IF(B1396="CN",IF(N(I1396)&gt;0,I1396*요약!$G$27,K1396*(1+요약!$E$27)),IF(N(H1396)&gt;0,H1396*요약!$G$27,J1396*요약!$D$27))</f>
        <v>27720</v>
      </c>
      <c r="M1396" s="46" t="n">
        <f aca="false">D1396*J1396</f>
        <v>47400000</v>
      </c>
      <c r="N1396" s="46" t="n">
        <f aca="false">D1396*K1396</f>
        <v>10514400</v>
      </c>
      <c r="O1396" s="46" t="n">
        <f aca="false">D1396*L1396</f>
        <v>16632000</v>
      </c>
      <c r="P1396" s="42" t="str">
        <f aca="false">TRIM(IF(N(E1396)&lt;=0,"택가보정 ","")&amp;IF(N(F1396)&lt;=0,"원가보정 ","")&amp;IF(AND(B1396&lt;&gt;"CN",N(H1396)&lt;=0),"공급가보정 ","")&amp;IF(AND(B1396="CN",N(I1396)&lt;=0),"중국공급가=원가+마진 ",""))</f>
        <v/>
      </c>
      <c r="Q1396" s="47" t="n">
        <f aca="false">IF(SUMIFS($W:$W,$A:$A,A1396,$C:$C,C1396)=0,0,SUMIFS(RAW_판매펀칭!$K:$K,RAW_판매펀칭!$P:$P,A1396,RAW_판매펀칭!$I:$I,C1396)*W1396/SUMIFS($W:$W,$A:$A,A1396,$C:$C,C1396))</f>
        <v>600</v>
      </c>
      <c r="R1396" s="47" t="n">
        <f aca="false">IF(OR(A1396="500",A1396="800",A1396="810"),0,MAX(W1396-Q1396,0))</f>
        <v>0</v>
      </c>
      <c r="S1396" s="47" t="n">
        <f aca="false">R1396*L1396</f>
        <v>0</v>
      </c>
      <c r="T1396" s="47" t="n">
        <f aca="false">R1396*J1396</f>
        <v>0</v>
      </c>
      <c r="U1396" s="47" t="n">
        <f aca="false">R1396*K1396</f>
        <v>0</v>
      </c>
      <c r="V1396" s="0" t="str">
        <f aca="false">IF(COUNTIFS($A$2:A1396,A1396,$C$2:C1396,C1396,$D$2:D1396,D1396)&gt;1,"중복","")</f>
        <v/>
      </c>
      <c r="W1396" s="0" t="n">
        <f aca="false">IF(V1396="중복",0,N(D1396))</f>
        <v>600</v>
      </c>
      <c r="X1396" s="0" t="n">
        <f aca="false">IF(COUNTIFS($A$2:A1396,A1396,$C$2:C1396,C1396)=1,ABS(SUMIFS(RAW_발주!$D:$D,RAW_발주!$C:$C,A1396,RAW_발주!$A:$A,C1396)-SUMIFS($W:$W,$A:$A,A1396,$C:$C,C1396)),0)</f>
        <v>0</v>
      </c>
    </row>
    <row r="1397" customFormat="false" ht="15" hidden="false" customHeight="true" outlineLevel="0" collapsed="false">
      <c r="A1397" s="45" t="s">
        <v>1662</v>
      </c>
      <c r="B1397" s="42" t="str">
        <f aca="false">IF(A1397="100","HK",IF(A1397="200","CN",IF(A1397="300","TW","홀세일")))</f>
        <v>홀세일</v>
      </c>
      <c r="C1397" s="45" t="s">
        <v>607</v>
      </c>
      <c r="D1397" s="46" t="n">
        <v>10</v>
      </c>
      <c r="E1397" s="46" t="n">
        <v>79000</v>
      </c>
      <c r="F1397" s="46" t="n">
        <v>17524</v>
      </c>
      <c r="G1397" s="42" t="n">
        <v>3.95</v>
      </c>
      <c r="H1397" s="42" t="n">
        <v>21</v>
      </c>
      <c r="J1397" s="46" t="n">
        <f aca="false">IF(N(E1397)&gt;0,E1397,IF(N(F1397)&gt;0,F1397*요약!$F$27,0))</f>
        <v>79000</v>
      </c>
      <c r="K1397" s="46" t="n">
        <f aca="false">IF(N(F1397)&gt;0,F1397,IF(N(E1397)&gt;0,E1397/요약!$F$27,0))</f>
        <v>17524</v>
      </c>
      <c r="L1397" s="46" t="n">
        <f aca="false">IF(B1397="CN",IF(N(I1397)&gt;0,I1397*요약!$G$27,K1397*(1+요약!$E$27)),IF(N(H1397)&gt;0,H1397*요약!$G$27,J1397*요약!$D$27))</f>
        <v>27720</v>
      </c>
      <c r="M1397" s="46" t="n">
        <f aca="false">D1397*J1397</f>
        <v>790000</v>
      </c>
      <c r="N1397" s="46" t="n">
        <f aca="false">D1397*K1397</f>
        <v>175240</v>
      </c>
      <c r="O1397" s="46" t="n">
        <f aca="false">D1397*L1397</f>
        <v>277200</v>
      </c>
      <c r="P1397" s="42" t="str">
        <f aca="false">TRIM(IF(N(E1397)&lt;=0,"택가보정 ","")&amp;IF(N(F1397)&lt;=0,"원가보정 ","")&amp;IF(AND(B1397&lt;&gt;"CN",N(H1397)&lt;=0),"공급가보정 ","")&amp;IF(AND(B1397="CN",N(I1397)&lt;=0),"중국공급가=원가+마진 ",""))</f>
        <v/>
      </c>
      <c r="Q1397" s="47" t="n">
        <f aca="false">IF(SUMIFS($W:$W,$A:$A,A1397,$C:$C,C1397)=0,0,SUMIFS(RAW_판매펀칭!$K:$K,RAW_판매펀칭!$P:$P,A1397,RAW_판매펀칭!$I:$I,C1397)*W1397/SUMIFS($W:$W,$A:$A,A1397,$C:$C,C1397))</f>
        <v>0</v>
      </c>
      <c r="R1397" s="47" t="n">
        <f aca="false">IF(OR(A1397="500",A1397="800",A1397="810"),0,MAX(W1397-Q1397,0))</f>
        <v>0</v>
      </c>
      <c r="S1397" s="47" t="n">
        <f aca="false">R1397*L1397</f>
        <v>0</v>
      </c>
      <c r="T1397" s="47" t="n">
        <f aca="false">R1397*J1397</f>
        <v>0</v>
      </c>
      <c r="U1397" s="47" t="n">
        <f aca="false">R1397*K1397</f>
        <v>0</v>
      </c>
      <c r="V1397" s="0" t="str">
        <f aca="false">IF(COUNTIFS($A$2:A1397,A1397,$C$2:C1397,C1397,$D$2:D1397,D1397)&gt;1,"중복","")</f>
        <v/>
      </c>
      <c r="W1397" s="0" t="n">
        <f aca="false">IF(V1397="중복",0,N(D1397))</f>
        <v>10</v>
      </c>
      <c r="X1397" s="0" t="n">
        <f aca="false">IF(COUNTIFS($A$2:A1397,A1397,$C$2:C1397,C1397)=1,ABS(SUMIFS(RAW_발주!$D:$D,RAW_발주!$C:$C,A1397,RAW_발주!$A:$A,C1397)-SUMIFS($W:$W,$A:$A,A1397,$C:$C,C1397)),0)</f>
        <v>0</v>
      </c>
    </row>
    <row r="1398" customFormat="false" ht="15" hidden="false" customHeight="true" outlineLevel="0" collapsed="false">
      <c r="A1398" s="45" t="s">
        <v>1667</v>
      </c>
      <c r="B1398" s="42" t="str">
        <f aca="false">IF(A1398="100","HK",IF(A1398="200","CN",IF(A1398="300","TW","홀세일")))</f>
        <v>홀세일</v>
      </c>
      <c r="C1398" s="45" t="s">
        <v>607</v>
      </c>
      <c r="D1398" s="46" t="n">
        <v>123</v>
      </c>
      <c r="E1398" s="46" t="n">
        <v>79000</v>
      </c>
      <c r="F1398" s="46" t="n">
        <v>17524</v>
      </c>
      <c r="G1398" s="42" t="n">
        <v>3.95</v>
      </c>
      <c r="H1398" s="42" t="n">
        <v>21</v>
      </c>
      <c r="J1398" s="46" t="n">
        <f aca="false">IF(N(E1398)&gt;0,E1398,IF(N(F1398)&gt;0,F1398*요약!$F$27,0))</f>
        <v>79000</v>
      </c>
      <c r="K1398" s="46" t="n">
        <f aca="false">IF(N(F1398)&gt;0,F1398,IF(N(E1398)&gt;0,E1398/요약!$F$27,0))</f>
        <v>17524</v>
      </c>
      <c r="L1398" s="46" t="n">
        <f aca="false">IF(B1398="CN",IF(N(I1398)&gt;0,I1398*요약!$G$27,K1398*(1+요약!$E$27)),IF(N(H1398)&gt;0,H1398*요약!$G$27,J1398*요약!$D$27))</f>
        <v>27720</v>
      </c>
      <c r="M1398" s="46" t="n">
        <f aca="false">D1398*J1398</f>
        <v>9717000</v>
      </c>
      <c r="N1398" s="46" t="n">
        <f aca="false">D1398*K1398</f>
        <v>2155452</v>
      </c>
      <c r="O1398" s="46" t="n">
        <f aca="false">D1398*L1398</f>
        <v>3409560</v>
      </c>
      <c r="P1398" s="42" t="str">
        <f aca="false">TRIM(IF(N(E1398)&lt;=0,"택가보정 ","")&amp;IF(N(F1398)&lt;=0,"원가보정 ","")&amp;IF(AND(B1398&lt;&gt;"CN",N(H1398)&lt;=0),"공급가보정 ","")&amp;IF(AND(B1398="CN",N(I1398)&lt;=0),"중국공급가=원가+마진 ",""))</f>
        <v/>
      </c>
      <c r="Q1398" s="47" t="n">
        <f aca="false">IF(SUMIFS($W:$W,$A:$A,A1398,$C:$C,C1398)=0,0,SUMIFS(RAW_판매펀칭!$K:$K,RAW_판매펀칭!$P:$P,A1398,RAW_판매펀칭!$I:$I,C1398)*W1398/SUMIFS($W:$W,$A:$A,A1398,$C:$C,C1398))</f>
        <v>123</v>
      </c>
      <c r="R1398" s="47" t="n">
        <f aca="false">IF(OR(A1398="500",A1398="800",A1398="810"),0,MAX(W1398-Q1398,0))</f>
        <v>0</v>
      </c>
      <c r="S1398" s="47" t="n">
        <f aca="false">R1398*L1398</f>
        <v>0</v>
      </c>
      <c r="T1398" s="47" t="n">
        <f aca="false">R1398*J1398</f>
        <v>0</v>
      </c>
      <c r="U1398" s="47" t="n">
        <f aca="false">R1398*K1398</f>
        <v>0</v>
      </c>
      <c r="V1398" s="0" t="str">
        <f aca="false">IF(COUNTIFS($A$2:A1398,A1398,$C$2:C1398,C1398,$D$2:D1398,D1398)&gt;1,"중복","")</f>
        <v/>
      </c>
      <c r="W1398" s="0" t="n">
        <f aca="false">IF(V1398="중복",0,N(D1398))</f>
        <v>123</v>
      </c>
      <c r="X1398" s="0" t="n">
        <f aca="false">IF(COUNTIFS($A$2:A1398,A1398,$C$2:C1398,C1398)=1,ABS(SUMIFS(RAW_발주!$D:$D,RAW_발주!$C:$C,A1398,RAW_발주!$A:$A,C1398)-SUMIFS($W:$W,$A:$A,A1398,$C:$C,C1398)),0)</f>
        <v>0</v>
      </c>
    </row>
    <row r="1399" customFormat="false" ht="15" hidden="false" customHeight="true" outlineLevel="0" collapsed="false">
      <c r="A1399" s="45" t="s">
        <v>1659</v>
      </c>
      <c r="B1399" s="42" t="str">
        <f aca="false">IF(A1399="100","HK",IF(A1399="200","CN",IF(A1399="300","TW","홀세일")))</f>
        <v>HK</v>
      </c>
      <c r="C1399" s="45" t="s">
        <v>609</v>
      </c>
      <c r="D1399" s="46" t="n">
        <v>250</v>
      </c>
      <c r="E1399" s="46" t="n">
        <v>59000</v>
      </c>
      <c r="F1399" s="46" t="n">
        <v>15500</v>
      </c>
      <c r="G1399" s="42" t="n">
        <v>3.28</v>
      </c>
      <c r="H1399" s="42" t="n">
        <v>15.7</v>
      </c>
      <c r="J1399" s="46" t="n">
        <f aca="false">IF(N(E1399)&gt;0,E1399,IF(N(F1399)&gt;0,F1399*요약!$F$27,0))</f>
        <v>59000</v>
      </c>
      <c r="K1399" s="46" t="n">
        <f aca="false">IF(N(F1399)&gt;0,F1399,IF(N(E1399)&gt;0,E1399/요약!$F$27,0))</f>
        <v>15500</v>
      </c>
      <c r="L1399" s="46" t="n">
        <f aca="false">IF(B1399="CN",IF(N(I1399)&gt;0,I1399*요약!$G$27,K1399*(1+요약!$E$27)),IF(N(H1399)&gt;0,H1399*요약!$G$27,J1399*요약!$D$27))</f>
        <v>20724</v>
      </c>
      <c r="M1399" s="46" t="n">
        <f aca="false">D1399*J1399</f>
        <v>14750000</v>
      </c>
      <c r="N1399" s="46" t="n">
        <f aca="false">D1399*K1399</f>
        <v>3875000</v>
      </c>
      <c r="O1399" s="46" t="n">
        <f aca="false">D1399*L1399</f>
        <v>5181000</v>
      </c>
      <c r="P1399" s="42" t="str">
        <f aca="false">TRIM(IF(N(E1399)&lt;=0,"택가보정 ","")&amp;IF(N(F1399)&lt;=0,"원가보정 ","")&amp;IF(AND(B1399&lt;&gt;"CN",N(H1399)&lt;=0),"공급가보정 ","")&amp;IF(AND(B1399="CN",N(I1399)&lt;=0),"중국공급가=원가+마진 ",""))</f>
        <v/>
      </c>
      <c r="Q1399" s="47" t="n">
        <f aca="false">IF(SUMIFS($W:$W,$A:$A,A1399,$C:$C,C1399)=0,0,SUMIFS(RAW_판매펀칭!$K:$K,RAW_판매펀칭!$P:$P,A1399,RAW_판매펀칭!$I:$I,C1399)*W1399/SUMIFS($W:$W,$A:$A,A1399,$C:$C,C1399))</f>
        <v>250</v>
      </c>
      <c r="R1399" s="47" t="n">
        <f aca="false">IF(OR(A1399="500",A1399="800",A1399="810"),0,MAX(W1399-Q1399,0))</f>
        <v>0</v>
      </c>
      <c r="S1399" s="47" t="n">
        <f aca="false">R1399*L1399</f>
        <v>0</v>
      </c>
      <c r="T1399" s="47" t="n">
        <f aca="false">R1399*J1399</f>
        <v>0</v>
      </c>
      <c r="U1399" s="47" t="n">
        <f aca="false">R1399*K1399</f>
        <v>0</v>
      </c>
      <c r="V1399" s="0" t="str">
        <f aca="false">IF(COUNTIFS($A$2:A1399,A1399,$C$2:C1399,C1399,$D$2:D1399,D1399)&gt;1,"중복","")</f>
        <v/>
      </c>
      <c r="W1399" s="0" t="n">
        <f aca="false">IF(V1399="중복",0,N(D1399))</f>
        <v>250</v>
      </c>
      <c r="X1399" s="0" t="n">
        <f aca="false">IF(COUNTIFS($A$2:A1399,A1399,$C$2:C1399,C1399)=1,ABS(SUMIFS(RAW_발주!$D:$D,RAW_발주!$C:$C,A1399,RAW_발주!$A:$A,C1399)-SUMIFS($W:$W,$A:$A,A1399,$C:$C,C1399)),0)</f>
        <v>0</v>
      </c>
    </row>
    <row r="1400" customFormat="false" ht="15" hidden="false" customHeight="true" outlineLevel="0" collapsed="false">
      <c r="A1400" s="45" t="s">
        <v>1661</v>
      </c>
      <c r="B1400" s="42" t="str">
        <f aca="false">IF(A1400="100","HK",IF(A1400="200","CN",IF(A1400="300","TW","홀세일")))</f>
        <v>TW</v>
      </c>
      <c r="C1400" s="45" t="s">
        <v>609</v>
      </c>
      <c r="D1400" s="46" t="n">
        <v>350</v>
      </c>
      <c r="E1400" s="46" t="n">
        <v>59000</v>
      </c>
      <c r="F1400" s="46" t="n">
        <v>15500</v>
      </c>
      <c r="G1400" s="42" t="n">
        <v>3.28</v>
      </c>
      <c r="H1400" s="42" t="n">
        <v>15.7</v>
      </c>
      <c r="J1400" s="46" t="n">
        <f aca="false">IF(N(E1400)&gt;0,E1400,IF(N(F1400)&gt;0,F1400*요약!$F$27,0))</f>
        <v>59000</v>
      </c>
      <c r="K1400" s="46" t="n">
        <f aca="false">IF(N(F1400)&gt;0,F1400,IF(N(E1400)&gt;0,E1400/요약!$F$27,0))</f>
        <v>15500</v>
      </c>
      <c r="L1400" s="46" t="n">
        <f aca="false">IF(B1400="CN",IF(N(I1400)&gt;0,I1400*요약!$G$27,K1400*(1+요약!$E$27)),IF(N(H1400)&gt;0,H1400*요약!$G$27,J1400*요약!$D$27))</f>
        <v>20724</v>
      </c>
      <c r="M1400" s="46" t="n">
        <f aca="false">D1400*J1400</f>
        <v>20650000</v>
      </c>
      <c r="N1400" s="46" t="n">
        <f aca="false">D1400*K1400</f>
        <v>5425000</v>
      </c>
      <c r="O1400" s="46" t="n">
        <f aca="false">D1400*L1400</f>
        <v>7253400</v>
      </c>
      <c r="P1400" s="42" t="str">
        <f aca="false">TRIM(IF(N(E1400)&lt;=0,"택가보정 ","")&amp;IF(N(F1400)&lt;=0,"원가보정 ","")&amp;IF(AND(B1400&lt;&gt;"CN",N(H1400)&lt;=0),"공급가보정 ","")&amp;IF(AND(B1400="CN",N(I1400)&lt;=0),"중국공급가=원가+마진 ",""))</f>
        <v/>
      </c>
      <c r="Q1400" s="47" t="n">
        <f aca="false">IF(SUMIFS($W:$W,$A:$A,A1400,$C:$C,C1400)=0,0,SUMIFS(RAW_판매펀칭!$K:$K,RAW_판매펀칭!$P:$P,A1400,RAW_판매펀칭!$I:$I,C1400)*W1400/SUMIFS($W:$W,$A:$A,A1400,$C:$C,C1400))</f>
        <v>350</v>
      </c>
      <c r="R1400" s="47" t="n">
        <f aca="false">IF(OR(A1400="500",A1400="800",A1400="810"),0,MAX(W1400-Q1400,0))</f>
        <v>0</v>
      </c>
      <c r="S1400" s="47" t="n">
        <f aca="false">R1400*L1400</f>
        <v>0</v>
      </c>
      <c r="T1400" s="47" t="n">
        <f aca="false">R1400*J1400</f>
        <v>0</v>
      </c>
      <c r="U1400" s="47" t="n">
        <f aca="false">R1400*K1400</f>
        <v>0</v>
      </c>
      <c r="V1400" s="0" t="str">
        <f aca="false">IF(COUNTIFS($A$2:A1400,A1400,$C$2:C1400,C1400,$D$2:D1400,D1400)&gt;1,"중복","")</f>
        <v/>
      </c>
      <c r="W1400" s="0" t="n">
        <f aca="false">IF(V1400="중복",0,N(D1400))</f>
        <v>350</v>
      </c>
      <c r="X1400" s="0" t="n">
        <f aca="false">IF(COUNTIFS($A$2:A1400,A1400,$C$2:C1400,C1400)=1,ABS(SUMIFS(RAW_발주!$D:$D,RAW_발주!$C:$C,A1400,RAW_발주!$A:$A,C1400)-SUMIFS($W:$W,$A:$A,A1400,$C:$C,C1400)),0)</f>
        <v>0</v>
      </c>
    </row>
    <row r="1401" customFormat="false" ht="15" hidden="false" customHeight="true" outlineLevel="0" collapsed="false">
      <c r="A1401" s="45" t="s">
        <v>1663</v>
      </c>
      <c r="B1401" s="42" t="str">
        <f aca="false">IF(A1401="100","HK",IF(A1401="200","CN",IF(A1401="300","TW","홀세일")))</f>
        <v>홀세일</v>
      </c>
      <c r="C1401" s="45" t="s">
        <v>609</v>
      </c>
      <c r="D1401" s="46" t="n">
        <v>10</v>
      </c>
      <c r="E1401" s="46" t="n">
        <v>59000</v>
      </c>
      <c r="F1401" s="46" t="n">
        <v>15500</v>
      </c>
      <c r="G1401" s="42" t="n">
        <v>3.28</v>
      </c>
      <c r="H1401" s="42" t="n">
        <v>15.7</v>
      </c>
      <c r="J1401" s="46" t="n">
        <f aca="false">IF(N(E1401)&gt;0,E1401,IF(N(F1401)&gt;0,F1401*요약!$F$27,0))</f>
        <v>59000</v>
      </c>
      <c r="K1401" s="46" t="n">
        <f aca="false">IF(N(F1401)&gt;0,F1401,IF(N(E1401)&gt;0,E1401/요약!$F$27,0))</f>
        <v>15500</v>
      </c>
      <c r="L1401" s="46" t="n">
        <f aca="false">IF(B1401="CN",IF(N(I1401)&gt;0,I1401*요약!$G$27,K1401*(1+요약!$E$27)),IF(N(H1401)&gt;0,H1401*요약!$G$27,J1401*요약!$D$27))</f>
        <v>20724</v>
      </c>
      <c r="M1401" s="46" t="n">
        <f aca="false">D1401*J1401</f>
        <v>590000</v>
      </c>
      <c r="N1401" s="46" t="n">
        <f aca="false">D1401*K1401</f>
        <v>155000</v>
      </c>
      <c r="O1401" s="46" t="n">
        <f aca="false">D1401*L1401</f>
        <v>207240</v>
      </c>
      <c r="P1401" s="42" t="str">
        <f aca="false">TRIM(IF(N(E1401)&lt;=0,"택가보정 ","")&amp;IF(N(F1401)&lt;=0,"원가보정 ","")&amp;IF(AND(B1401&lt;&gt;"CN",N(H1401)&lt;=0),"공급가보정 ","")&amp;IF(AND(B1401="CN",N(I1401)&lt;=0),"중국공급가=원가+마진 ",""))</f>
        <v/>
      </c>
      <c r="Q1401" s="47" t="n">
        <f aca="false">IF(SUMIFS($W:$W,$A:$A,A1401,$C:$C,C1401)=0,0,SUMIFS(RAW_판매펀칭!$K:$K,RAW_판매펀칭!$P:$P,A1401,RAW_판매펀칭!$I:$I,C1401)*W1401/SUMIFS($W:$W,$A:$A,A1401,$C:$C,C1401))</f>
        <v>10</v>
      </c>
      <c r="R1401" s="47" t="n">
        <f aca="false">IF(OR(A1401="500",A1401="800",A1401="810"),0,MAX(W1401-Q1401,0))</f>
        <v>0</v>
      </c>
      <c r="S1401" s="47" t="n">
        <f aca="false">R1401*L1401</f>
        <v>0</v>
      </c>
      <c r="T1401" s="47" t="n">
        <f aca="false">R1401*J1401</f>
        <v>0</v>
      </c>
      <c r="U1401" s="47" t="n">
        <f aca="false">R1401*K1401</f>
        <v>0</v>
      </c>
      <c r="V1401" s="0" t="str">
        <f aca="false">IF(COUNTIFS($A$2:A1401,A1401,$C$2:C1401,C1401,$D$2:D1401,D1401)&gt;1,"중복","")</f>
        <v/>
      </c>
      <c r="W1401" s="0" t="n">
        <f aca="false">IF(V1401="중복",0,N(D1401))</f>
        <v>10</v>
      </c>
      <c r="X1401" s="0" t="n">
        <f aca="false">IF(COUNTIFS($A$2:A1401,A1401,$C$2:C1401,C1401)=1,ABS(SUMIFS(RAW_발주!$D:$D,RAW_발주!$C:$C,A1401,RAW_발주!$A:$A,C1401)-SUMIFS($W:$W,$A:$A,A1401,$C:$C,C1401)),0)</f>
        <v>0</v>
      </c>
    </row>
    <row r="1402" customFormat="false" ht="15" hidden="false" customHeight="true" outlineLevel="0" collapsed="false">
      <c r="A1402" s="45" t="s">
        <v>1667</v>
      </c>
      <c r="B1402" s="42" t="str">
        <f aca="false">IF(A1402="100","HK",IF(A1402="200","CN",IF(A1402="300","TW","홀세일")))</f>
        <v>홀세일</v>
      </c>
      <c r="C1402" s="45" t="s">
        <v>609</v>
      </c>
      <c r="D1402" s="46" t="n">
        <v>31</v>
      </c>
      <c r="E1402" s="46" t="n">
        <v>59000</v>
      </c>
      <c r="F1402" s="46" t="n">
        <v>15500</v>
      </c>
      <c r="G1402" s="42" t="n">
        <v>3.28</v>
      </c>
      <c r="H1402" s="42" t="n">
        <v>15.7</v>
      </c>
      <c r="J1402" s="46" t="n">
        <f aca="false">IF(N(E1402)&gt;0,E1402,IF(N(F1402)&gt;0,F1402*요약!$F$27,0))</f>
        <v>59000</v>
      </c>
      <c r="K1402" s="46" t="n">
        <f aca="false">IF(N(F1402)&gt;0,F1402,IF(N(E1402)&gt;0,E1402/요약!$F$27,0))</f>
        <v>15500</v>
      </c>
      <c r="L1402" s="46" t="n">
        <f aca="false">IF(B1402="CN",IF(N(I1402)&gt;0,I1402*요약!$G$27,K1402*(1+요약!$E$27)),IF(N(H1402)&gt;0,H1402*요약!$G$27,J1402*요약!$D$27))</f>
        <v>20724</v>
      </c>
      <c r="M1402" s="46" t="n">
        <f aca="false">D1402*J1402</f>
        <v>1829000</v>
      </c>
      <c r="N1402" s="46" t="n">
        <f aca="false">D1402*K1402</f>
        <v>480500</v>
      </c>
      <c r="O1402" s="46" t="n">
        <f aca="false">D1402*L1402</f>
        <v>642444</v>
      </c>
      <c r="P1402" s="42" t="str">
        <f aca="false">TRIM(IF(N(E1402)&lt;=0,"택가보정 ","")&amp;IF(N(F1402)&lt;=0,"원가보정 ","")&amp;IF(AND(B1402&lt;&gt;"CN",N(H1402)&lt;=0),"공급가보정 ","")&amp;IF(AND(B1402="CN",N(I1402)&lt;=0),"중국공급가=원가+마진 ",""))</f>
        <v/>
      </c>
      <c r="Q1402" s="47" t="n">
        <f aca="false">IF(SUMIFS($W:$W,$A:$A,A1402,$C:$C,C1402)=0,0,SUMIFS(RAW_판매펀칭!$K:$K,RAW_판매펀칭!$P:$P,A1402,RAW_판매펀칭!$I:$I,C1402)*W1402/SUMIFS($W:$W,$A:$A,A1402,$C:$C,C1402))</f>
        <v>31</v>
      </c>
      <c r="R1402" s="47" t="n">
        <f aca="false">IF(OR(A1402="500",A1402="800",A1402="810"),0,MAX(W1402-Q1402,0))</f>
        <v>0</v>
      </c>
      <c r="S1402" s="47" t="n">
        <f aca="false">R1402*L1402</f>
        <v>0</v>
      </c>
      <c r="T1402" s="47" t="n">
        <f aca="false">R1402*J1402</f>
        <v>0</v>
      </c>
      <c r="U1402" s="47" t="n">
        <f aca="false">R1402*K1402</f>
        <v>0</v>
      </c>
      <c r="V1402" s="0" t="str">
        <f aca="false">IF(COUNTIFS($A$2:A1402,A1402,$C$2:C1402,C1402,$D$2:D1402,D1402)&gt;1,"중복","")</f>
        <v/>
      </c>
      <c r="W1402" s="0" t="n">
        <f aca="false">IF(V1402="중복",0,N(D1402))</f>
        <v>31</v>
      </c>
      <c r="X1402" s="0" t="n">
        <f aca="false">IF(COUNTIFS($A$2:A1402,A1402,$C$2:C1402,C1402)=1,ABS(SUMIFS(RAW_발주!$D:$D,RAW_발주!$C:$C,A1402,RAW_발주!$A:$A,C1402)-SUMIFS($W:$W,$A:$A,A1402,$C:$C,C1402)),0)</f>
        <v>0</v>
      </c>
    </row>
    <row r="1403" customFormat="false" ht="15" hidden="false" customHeight="true" outlineLevel="0" collapsed="false">
      <c r="A1403" s="45" t="s">
        <v>1664</v>
      </c>
      <c r="B1403" s="42" t="str">
        <f aca="false">IF(A1403="100","HK",IF(A1403="200","CN",IF(A1403="300","TW","홀세일")))</f>
        <v>홀세일</v>
      </c>
      <c r="C1403" s="45" t="s">
        <v>609</v>
      </c>
      <c r="D1403" s="46" t="n">
        <v>30</v>
      </c>
      <c r="E1403" s="46" t="n">
        <v>59000</v>
      </c>
      <c r="F1403" s="46" t="n">
        <v>15500</v>
      </c>
      <c r="G1403" s="42" t="n">
        <v>3.28</v>
      </c>
      <c r="H1403" s="42" t="n">
        <v>15.7</v>
      </c>
      <c r="J1403" s="46" t="n">
        <f aca="false">IF(N(E1403)&gt;0,E1403,IF(N(F1403)&gt;0,F1403*요약!$F$27,0))</f>
        <v>59000</v>
      </c>
      <c r="K1403" s="46" t="n">
        <f aca="false">IF(N(F1403)&gt;0,F1403,IF(N(E1403)&gt;0,E1403/요약!$F$27,0))</f>
        <v>15500</v>
      </c>
      <c r="L1403" s="46" t="n">
        <f aca="false">IF(B1403="CN",IF(N(I1403)&gt;0,I1403*요약!$G$27,K1403*(1+요약!$E$27)),IF(N(H1403)&gt;0,H1403*요약!$G$27,J1403*요약!$D$27))</f>
        <v>20724</v>
      </c>
      <c r="M1403" s="46" t="n">
        <f aca="false">D1403*J1403</f>
        <v>1770000</v>
      </c>
      <c r="N1403" s="46" t="n">
        <f aca="false">D1403*K1403</f>
        <v>465000</v>
      </c>
      <c r="O1403" s="46" t="n">
        <f aca="false">D1403*L1403</f>
        <v>621720</v>
      </c>
      <c r="P1403" s="42" t="str">
        <f aca="false">TRIM(IF(N(E1403)&lt;=0,"택가보정 ","")&amp;IF(N(F1403)&lt;=0,"원가보정 ","")&amp;IF(AND(B1403&lt;&gt;"CN",N(H1403)&lt;=0),"공급가보정 ","")&amp;IF(AND(B1403="CN",N(I1403)&lt;=0),"중국공급가=원가+마진 ",""))</f>
        <v/>
      </c>
      <c r="Q1403" s="47" t="n">
        <f aca="false">IF(SUMIFS($W:$W,$A:$A,A1403,$C:$C,C1403)=0,0,SUMIFS(RAW_판매펀칭!$K:$K,RAW_판매펀칭!$P:$P,A1403,RAW_판매펀칭!$I:$I,C1403)*W1403/SUMIFS($W:$W,$A:$A,A1403,$C:$C,C1403))</f>
        <v>30</v>
      </c>
      <c r="R1403" s="47" t="n">
        <f aca="false">IF(OR(A1403="500",A1403="800",A1403="810"),0,MAX(W1403-Q1403,0))</f>
        <v>0</v>
      </c>
      <c r="S1403" s="47" t="n">
        <f aca="false">R1403*L1403</f>
        <v>0</v>
      </c>
      <c r="T1403" s="47" t="n">
        <f aca="false">R1403*J1403</f>
        <v>0</v>
      </c>
      <c r="U1403" s="47" t="n">
        <f aca="false">R1403*K1403</f>
        <v>0</v>
      </c>
      <c r="V1403" s="0" t="str">
        <f aca="false">IF(COUNTIFS($A$2:A1403,A1403,$C$2:C1403,C1403,$D$2:D1403,D1403)&gt;1,"중복","")</f>
        <v/>
      </c>
      <c r="W1403" s="0" t="n">
        <f aca="false">IF(V1403="중복",0,N(D1403))</f>
        <v>30</v>
      </c>
      <c r="X1403" s="0" t="n">
        <f aca="false">IF(COUNTIFS($A$2:A1403,A1403,$C$2:C1403,C1403)=1,ABS(SUMIFS(RAW_발주!$D:$D,RAW_발주!$C:$C,A1403,RAW_발주!$A:$A,C1403)-SUMIFS($W:$W,$A:$A,A1403,$C:$C,C1403)),0)</f>
        <v>0</v>
      </c>
    </row>
    <row r="1404" customFormat="false" ht="15" hidden="false" customHeight="true" outlineLevel="0" collapsed="false">
      <c r="A1404" s="45" t="s">
        <v>1664</v>
      </c>
      <c r="B1404" s="42" t="str">
        <f aca="false">IF(A1404="100","HK",IF(A1404="200","CN",IF(A1404="300","TW","홀세일")))</f>
        <v>홀세일</v>
      </c>
      <c r="C1404" s="45" t="s">
        <v>609</v>
      </c>
      <c r="D1404" s="46" t="n">
        <v>30</v>
      </c>
      <c r="E1404" s="46" t="n">
        <v>59000</v>
      </c>
      <c r="F1404" s="46" t="n">
        <v>15500</v>
      </c>
      <c r="G1404" s="42" t="n">
        <v>3.28</v>
      </c>
      <c r="H1404" s="42" t="n">
        <v>15.7</v>
      </c>
      <c r="J1404" s="46" t="n">
        <f aca="false">IF(N(E1404)&gt;0,E1404,IF(N(F1404)&gt;0,F1404*요약!$F$27,0))</f>
        <v>59000</v>
      </c>
      <c r="K1404" s="46" t="n">
        <f aca="false">IF(N(F1404)&gt;0,F1404,IF(N(E1404)&gt;0,E1404/요약!$F$27,0))</f>
        <v>15500</v>
      </c>
      <c r="L1404" s="46" t="n">
        <f aca="false">IF(B1404="CN",IF(N(I1404)&gt;0,I1404*요약!$G$27,K1404*(1+요약!$E$27)),IF(N(H1404)&gt;0,H1404*요약!$G$27,J1404*요약!$D$27))</f>
        <v>20724</v>
      </c>
      <c r="M1404" s="46" t="n">
        <f aca="false">D1404*J1404</f>
        <v>1770000</v>
      </c>
      <c r="N1404" s="46" t="n">
        <f aca="false">D1404*K1404</f>
        <v>465000</v>
      </c>
      <c r="O1404" s="46" t="n">
        <f aca="false">D1404*L1404</f>
        <v>621720</v>
      </c>
      <c r="P1404" s="42" t="str">
        <f aca="false">TRIM(IF(N(E1404)&lt;=0,"택가보정 ","")&amp;IF(N(F1404)&lt;=0,"원가보정 ","")&amp;IF(AND(B1404&lt;&gt;"CN",N(H1404)&lt;=0),"공급가보정 ","")&amp;IF(AND(B1404="CN",N(I1404)&lt;=0),"중국공급가=원가+마진 ",""))</f>
        <v/>
      </c>
      <c r="Q1404" s="47" t="n">
        <f aca="false">IF(SUMIFS($W:$W,$A:$A,A1404,$C:$C,C1404)=0,0,SUMIFS(RAW_판매펀칭!$K:$K,RAW_판매펀칭!$P:$P,A1404,RAW_판매펀칭!$I:$I,C1404)*W1404/SUMIFS($W:$W,$A:$A,A1404,$C:$C,C1404))</f>
        <v>0</v>
      </c>
      <c r="R1404" s="47" t="n">
        <f aca="false">IF(OR(A1404="500",A1404="800",A1404="810"),0,MAX(W1404-Q1404,0))</f>
        <v>0</v>
      </c>
      <c r="S1404" s="47" t="n">
        <f aca="false">R1404*L1404</f>
        <v>0</v>
      </c>
      <c r="T1404" s="47" t="n">
        <f aca="false">R1404*J1404</f>
        <v>0</v>
      </c>
      <c r="U1404" s="47" t="n">
        <f aca="false">R1404*K1404</f>
        <v>0</v>
      </c>
      <c r="V1404" s="0" t="str">
        <f aca="false">IF(COUNTIFS($A$2:A1404,A1404,$C$2:C1404,C1404,$D$2:D1404,D1404)&gt;1,"중복","")</f>
        <v>중복</v>
      </c>
      <c r="W1404" s="0" t="n">
        <f aca="false">IF(V1404="중복",0,N(D1404))</f>
        <v>0</v>
      </c>
      <c r="X1404" s="0" t="n">
        <f aca="false">IF(COUNTIFS($A$2:A1404,A1404,$C$2:C1404,C1404)=1,ABS(SUMIFS(RAW_발주!$D:$D,RAW_발주!$C:$C,A1404,RAW_발주!$A:$A,C1404)-SUMIFS($W:$W,$A:$A,A1404,$C:$C,C1404)),0)</f>
        <v>0</v>
      </c>
    </row>
    <row r="1405" customFormat="false" ht="15" hidden="false" customHeight="true" outlineLevel="0" collapsed="false">
      <c r="A1405" s="45" t="s">
        <v>1661</v>
      </c>
      <c r="B1405" s="42" t="str">
        <f aca="false">IF(A1405="100","HK",IF(A1405="200","CN",IF(A1405="300","TW","홀세일")))</f>
        <v>TW</v>
      </c>
      <c r="C1405" s="45" t="s">
        <v>615</v>
      </c>
      <c r="D1405" s="46" t="n">
        <v>350</v>
      </c>
      <c r="E1405" s="46" t="n">
        <v>79000</v>
      </c>
      <c r="F1405" s="46" t="n">
        <v>19301</v>
      </c>
      <c r="G1405" s="42" t="n">
        <v>3.53</v>
      </c>
      <c r="H1405" s="42" t="n">
        <v>21</v>
      </c>
      <c r="J1405" s="46" t="n">
        <f aca="false">IF(N(E1405)&gt;0,E1405,IF(N(F1405)&gt;0,F1405*요약!$F$27,0))</f>
        <v>79000</v>
      </c>
      <c r="K1405" s="46" t="n">
        <f aca="false">IF(N(F1405)&gt;0,F1405,IF(N(E1405)&gt;0,E1405/요약!$F$27,0))</f>
        <v>19301</v>
      </c>
      <c r="L1405" s="46" t="n">
        <f aca="false">IF(B1405="CN",IF(N(I1405)&gt;0,I1405*요약!$G$27,K1405*(1+요약!$E$27)),IF(N(H1405)&gt;0,H1405*요약!$G$27,J1405*요약!$D$27))</f>
        <v>27720</v>
      </c>
      <c r="M1405" s="46" t="n">
        <f aca="false">D1405*J1405</f>
        <v>27650000</v>
      </c>
      <c r="N1405" s="46" t="n">
        <f aca="false">D1405*K1405</f>
        <v>6755350</v>
      </c>
      <c r="O1405" s="46" t="n">
        <f aca="false">D1405*L1405</f>
        <v>9702000</v>
      </c>
      <c r="P1405" s="42" t="str">
        <f aca="false">TRIM(IF(N(E1405)&lt;=0,"택가보정 ","")&amp;IF(N(F1405)&lt;=0,"원가보정 ","")&amp;IF(AND(B1405&lt;&gt;"CN",N(H1405)&lt;=0),"공급가보정 ","")&amp;IF(AND(B1405="CN",N(I1405)&lt;=0),"중국공급가=원가+마진 ",""))</f>
        <v/>
      </c>
      <c r="Q1405" s="47" t="n">
        <f aca="false">IF(SUMIFS($W:$W,$A:$A,A1405,$C:$C,C1405)=0,0,SUMIFS(RAW_판매펀칭!$K:$K,RAW_판매펀칭!$P:$P,A1405,RAW_판매펀칭!$I:$I,C1405)*W1405/SUMIFS($W:$W,$A:$A,A1405,$C:$C,C1405))</f>
        <v>350</v>
      </c>
      <c r="R1405" s="47" t="n">
        <f aca="false">IF(OR(A1405="500",A1405="800",A1405="810"),0,MAX(W1405-Q1405,0))</f>
        <v>0</v>
      </c>
      <c r="S1405" s="47" t="n">
        <f aca="false">R1405*L1405</f>
        <v>0</v>
      </c>
      <c r="T1405" s="47" t="n">
        <f aca="false">R1405*J1405</f>
        <v>0</v>
      </c>
      <c r="U1405" s="47" t="n">
        <f aca="false">R1405*K1405</f>
        <v>0</v>
      </c>
      <c r="V1405" s="0" t="str">
        <f aca="false">IF(COUNTIFS($A$2:A1405,A1405,$C$2:C1405,C1405,$D$2:D1405,D1405)&gt;1,"중복","")</f>
        <v/>
      </c>
      <c r="W1405" s="0" t="n">
        <f aca="false">IF(V1405="중복",0,N(D1405))</f>
        <v>350</v>
      </c>
      <c r="X1405" s="0" t="n">
        <f aca="false">IF(COUNTIFS($A$2:A1405,A1405,$C$2:C1405,C1405)=1,ABS(SUMIFS(RAW_발주!$D:$D,RAW_발주!$C:$C,A1405,RAW_발주!$A:$A,C1405)-SUMIFS($W:$W,$A:$A,A1405,$C:$C,C1405)),0)</f>
        <v>0</v>
      </c>
    </row>
    <row r="1406" customFormat="false" ht="15" hidden="false" customHeight="true" outlineLevel="0" collapsed="false">
      <c r="A1406" s="45" t="s">
        <v>1663</v>
      </c>
      <c r="B1406" s="42" t="str">
        <f aca="false">IF(A1406="100","HK",IF(A1406="200","CN",IF(A1406="300","TW","홀세일")))</f>
        <v>홀세일</v>
      </c>
      <c r="C1406" s="45" t="s">
        <v>615</v>
      </c>
      <c r="D1406" s="46" t="n">
        <v>5</v>
      </c>
      <c r="E1406" s="46" t="n">
        <v>79000</v>
      </c>
      <c r="F1406" s="46" t="n">
        <v>19301</v>
      </c>
      <c r="G1406" s="42" t="n">
        <v>3.53</v>
      </c>
      <c r="H1406" s="42" t="n">
        <v>21</v>
      </c>
      <c r="J1406" s="46" t="n">
        <f aca="false">IF(N(E1406)&gt;0,E1406,IF(N(F1406)&gt;0,F1406*요약!$F$27,0))</f>
        <v>79000</v>
      </c>
      <c r="K1406" s="46" t="n">
        <f aca="false">IF(N(F1406)&gt;0,F1406,IF(N(E1406)&gt;0,E1406/요약!$F$27,0))</f>
        <v>19301</v>
      </c>
      <c r="L1406" s="46" t="n">
        <f aca="false">IF(B1406="CN",IF(N(I1406)&gt;0,I1406*요약!$G$27,K1406*(1+요약!$E$27)),IF(N(H1406)&gt;0,H1406*요약!$G$27,J1406*요약!$D$27))</f>
        <v>27720</v>
      </c>
      <c r="M1406" s="46" t="n">
        <f aca="false">D1406*J1406</f>
        <v>395000</v>
      </c>
      <c r="N1406" s="46" t="n">
        <f aca="false">D1406*K1406</f>
        <v>96505</v>
      </c>
      <c r="O1406" s="46" t="n">
        <f aca="false">D1406*L1406</f>
        <v>138600</v>
      </c>
      <c r="P1406" s="42" t="str">
        <f aca="false">TRIM(IF(N(E1406)&lt;=0,"택가보정 ","")&amp;IF(N(F1406)&lt;=0,"원가보정 ","")&amp;IF(AND(B1406&lt;&gt;"CN",N(H1406)&lt;=0),"공급가보정 ","")&amp;IF(AND(B1406="CN",N(I1406)&lt;=0),"중국공급가=원가+마진 ",""))</f>
        <v/>
      </c>
      <c r="Q1406" s="47" t="n">
        <f aca="false">IF(SUMIFS($W:$W,$A:$A,A1406,$C:$C,C1406)=0,0,SUMIFS(RAW_판매펀칭!$K:$K,RAW_판매펀칭!$P:$P,A1406,RAW_판매펀칭!$I:$I,C1406)*W1406/SUMIFS($W:$W,$A:$A,A1406,$C:$C,C1406))</f>
        <v>5</v>
      </c>
      <c r="R1406" s="47" t="n">
        <f aca="false">IF(OR(A1406="500",A1406="800",A1406="810"),0,MAX(W1406-Q1406,0))</f>
        <v>0</v>
      </c>
      <c r="S1406" s="47" t="n">
        <f aca="false">R1406*L1406</f>
        <v>0</v>
      </c>
      <c r="T1406" s="47" t="n">
        <f aca="false">R1406*J1406</f>
        <v>0</v>
      </c>
      <c r="U1406" s="47" t="n">
        <f aca="false">R1406*K1406</f>
        <v>0</v>
      </c>
      <c r="V1406" s="0" t="str">
        <f aca="false">IF(COUNTIFS($A$2:A1406,A1406,$C$2:C1406,C1406,$D$2:D1406,D1406)&gt;1,"중복","")</f>
        <v/>
      </c>
      <c r="W1406" s="0" t="n">
        <f aca="false">IF(V1406="중복",0,N(D1406))</f>
        <v>5</v>
      </c>
      <c r="X1406" s="0" t="n">
        <f aca="false">IF(COUNTIFS($A$2:A1406,A1406,$C$2:C1406,C1406)=1,ABS(SUMIFS(RAW_발주!$D:$D,RAW_발주!$C:$C,A1406,RAW_발주!$A:$A,C1406)-SUMIFS($W:$W,$A:$A,A1406,$C:$C,C1406)),0)</f>
        <v>0</v>
      </c>
    </row>
    <row r="1407" customFormat="false" ht="15" hidden="false" customHeight="true" outlineLevel="0" collapsed="false">
      <c r="A1407" s="45" t="s">
        <v>1667</v>
      </c>
      <c r="B1407" s="42" t="str">
        <f aca="false">IF(A1407="100","HK",IF(A1407="200","CN",IF(A1407="300","TW","홀세일")))</f>
        <v>홀세일</v>
      </c>
      <c r="C1407" s="45" t="s">
        <v>615</v>
      </c>
      <c r="D1407" s="46" t="n">
        <v>92</v>
      </c>
      <c r="E1407" s="46" t="n">
        <v>79000</v>
      </c>
      <c r="F1407" s="46" t="n">
        <v>19301</v>
      </c>
      <c r="G1407" s="42" t="n">
        <v>3.53</v>
      </c>
      <c r="H1407" s="42" t="n">
        <v>21</v>
      </c>
      <c r="J1407" s="46" t="n">
        <f aca="false">IF(N(E1407)&gt;0,E1407,IF(N(F1407)&gt;0,F1407*요약!$F$27,0))</f>
        <v>79000</v>
      </c>
      <c r="K1407" s="46" t="n">
        <f aca="false">IF(N(F1407)&gt;0,F1407,IF(N(E1407)&gt;0,E1407/요약!$F$27,0))</f>
        <v>19301</v>
      </c>
      <c r="L1407" s="46" t="n">
        <f aca="false">IF(B1407="CN",IF(N(I1407)&gt;0,I1407*요약!$G$27,K1407*(1+요약!$E$27)),IF(N(H1407)&gt;0,H1407*요약!$G$27,J1407*요약!$D$27))</f>
        <v>27720</v>
      </c>
      <c r="M1407" s="46" t="n">
        <f aca="false">D1407*J1407</f>
        <v>7268000</v>
      </c>
      <c r="N1407" s="46" t="n">
        <f aca="false">D1407*K1407</f>
        <v>1775692</v>
      </c>
      <c r="O1407" s="46" t="n">
        <f aca="false">D1407*L1407</f>
        <v>2550240</v>
      </c>
      <c r="P1407" s="42" t="str">
        <f aca="false">TRIM(IF(N(E1407)&lt;=0,"택가보정 ","")&amp;IF(N(F1407)&lt;=0,"원가보정 ","")&amp;IF(AND(B1407&lt;&gt;"CN",N(H1407)&lt;=0),"공급가보정 ","")&amp;IF(AND(B1407="CN",N(I1407)&lt;=0),"중국공급가=원가+마진 ",""))</f>
        <v/>
      </c>
      <c r="Q1407" s="47" t="n">
        <f aca="false">IF(SUMIFS($W:$W,$A:$A,A1407,$C:$C,C1407)=0,0,SUMIFS(RAW_판매펀칭!$K:$K,RAW_판매펀칭!$P:$P,A1407,RAW_판매펀칭!$I:$I,C1407)*W1407/SUMIFS($W:$W,$A:$A,A1407,$C:$C,C1407))</f>
        <v>92</v>
      </c>
      <c r="R1407" s="47" t="n">
        <f aca="false">IF(OR(A1407="500",A1407="800",A1407="810"),0,MAX(W1407-Q1407,0))</f>
        <v>0</v>
      </c>
      <c r="S1407" s="47" t="n">
        <f aca="false">R1407*L1407</f>
        <v>0</v>
      </c>
      <c r="T1407" s="47" t="n">
        <f aca="false">R1407*J1407</f>
        <v>0</v>
      </c>
      <c r="U1407" s="47" t="n">
        <f aca="false">R1407*K1407</f>
        <v>0</v>
      </c>
      <c r="V1407" s="0" t="str">
        <f aca="false">IF(COUNTIFS($A$2:A1407,A1407,$C$2:C1407,C1407,$D$2:D1407,D1407)&gt;1,"중복","")</f>
        <v/>
      </c>
      <c r="W1407" s="0" t="n">
        <f aca="false">IF(V1407="중복",0,N(D1407))</f>
        <v>92</v>
      </c>
      <c r="X1407" s="0" t="n">
        <f aca="false">IF(COUNTIFS($A$2:A1407,A1407,$C$2:C1407,C1407)=1,ABS(SUMIFS(RAW_발주!$D:$D,RAW_발주!$C:$C,A1407,RAW_발주!$A:$A,C1407)-SUMIFS($W:$W,$A:$A,A1407,$C:$C,C1407)),0)</f>
        <v>0</v>
      </c>
    </row>
    <row r="1408" customFormat="false" ht="15" hidden="false" customHeight="true" outlineLevel="0" collapsed="false">
      <c r="A1408" s="45" t="s">
        <v>1666</v>
      </c>
      <c r="B1408" s="42" t="str">
        <f aca="false">IF(A1408="100","HK",IF(A1408="200","CN",IF(A1408="300","TW","홀세일")))</f>
        <v>홀세일</v>
      </c>
      <c r="C1408" s="45" t="s">
        <v>615</v>
      </c>
      <c r="D1408" s="46" t="n">
        <v>300</v>
      </c>
      <c r="E1408" s="46" t="n">
        <v>79000</v>
      </c>
      <c r="F1408" s="46" t="n">
        <v>19301</v>
      </c>
      <c r="G1408" s="42" t="n">
        <v>3.53</v>
      </c>
      <c r="H1408" s="42" t="n">
        <v>21</v>
      </c>
      <c r="J1408" s="46" t="n">
        <f aca="false">IF(N(E1408)&gt;0,E1408,IF(N(F1408)&gt;0,F1408*요약!$F$27,0))</f>
        <v>79000</v>
      </c>
      <c r="K1408" s="46" t="n">
        <f aca="false">IF(N(F1408)&gt;0,F1408,IF(N(E1408)&gt;0,E1408/요약!$F$27,0))</f>
        <v>19301</v>
      </c>
      <c r="L1408" s="46" t="n">
        <f aca="false">IF(B1408="CN",IF(N(I1408)&gt;0,I1408*요약!$G$27,K1408*(1+요약!$E$27)),IF(N(H1408)&gt;0,H1408*요약!$G$27,J1408*요약!$D$27))</f>
        <v>27720</v>
      </c>
      <c r="M1408" s="46" t="n">
        <f aca="false">D1408*J1408</f>
        <v>23700000</v>
      </c>
      <c r="N1408" s="46" t="n">
        <f aca="false">D1408*K1408</f>
        <v>5790300</v>
      </c>
      <c r="O1408" s="46" t="n">
        <f aca="false">D1408*L1408</f>
        <v>8316000</v>
      </c>
      <c r="P1408" s="42" t="str">
        <f aca="false">TRIM(IF(N(E1408)&lt;=0,"택가보정 ","")&amp;IF(N(F1408)&lt;=0,"원가보정 ","")&amp;IF(AND(B1408&lt;&gt;"CN",N(H1408)&lt;=0),"공급가보정 ","")&amp;IF(AND(B1408="CN",N(I1408)&lt;=0),"중국공급가=원가+마진 ",""))</f>
        <v/>
      </c>
      <c r="Q1408" s="47" t="n">
        <f aca="false">IF(SUMIFS($W:$W,$A:$A,A1408,$C:$C,C1408)=0,0,SUMIFS(RAW_판매펀칭!$K:$K,RAW_판매펀칭!$P:$P,A1408,RAW_판매펀칭!$I:$I,C1408)*W1408/SUMIFS($W:$W,$A:$A,A1408,$C:$C,C1408))</f>
        <v>300</v>
      </c>
      <c r="R1408" s="47" t="n">
        <f aca="false">IF(OR(A1408="500",A1408="800",A1408="810"),0,MAX(W1408-Q1408,0))</f>
        <v>0</v>
      </c>
      <c r="S1408" s="47" t="n">
        <f aca="false">R1408*L1408</f>
        <v>0</v>
      </c>
      <c r="T1408" s="47" t="n">
        <f aca="false">R1408*J1408</f>
        <v>0</v>
      </c>
      <c r="U1408" s="47" t="n">
        <f aca="false">R1408*K1408</f>
        <v>0</v>
      </c>
      <c r="V1408" s="0" t="str">
        <f aca="false">IF(COUNTIFS($A$2:A1408,A1408,$C$2:C1408,C1408,$D$2:D1408,D1408)&gt;1,"중복","")</f>
        <v/>
      </c>
      <c r="W1408" s="0" t="n">
        <f aca="false">IF(V1408="중복",0,N(D1408))</f>
        <v>300</v>
      </c>
      <c r="X1408" s="0" t="n">
        <f aca="false">IF(COUNTIFS($A$2:A1408,A1408,$C$2:C1408,C1408)=1,ABS(SUMIFS(RAW_발주!$D:$D,RAW_발주!$C:$C,A1408,RAW_발주!$A:$A,C1408)-SUMIFS($W:$W,$A:$A,A1408,$C:$C,C1408)),0)</f>
        <v>0</v>
      </c>
    </row>
    <row r="1409" customFormat="false" ht="15" hidden="false" customHeight="true" outlineLevel="0" collapsed="false">
      <c r="A1409" s="45" t="s">
        <v>1662</v>
      </c>
      <c r="B1409" s="42" t="str">
        <f aca="false">IF(A1409="100","HK",IF(A1409="200","CN",IF(A1409="300","TW","홀세일")))</f>
        <v>홀세일</v>
      </c>
      <c r="C1409" s="45" t="s">
        <v>1427</v>
      </c>
      <c r="D1409" s="46" t="n">
        <v>15</v>
      </c>
      <c r="E1409" s="46" t="n">
        <v>69000</v>
      </c>
      <c r="F1409" s="46" t="n">
        <v>16564</v>
      </c>
      <c r="G1409" s="42" t="n">
        <v>3.55</v>
      </c>
      <c r="H1409" s="42" t="n">
        <v>18.4</v>
      </c>
      <c r="J1409" s="46" t="n">
        <f aca="false">IF(N(E1409)&gt;0,E1409,IF(N(F1409)&gt;0,F1409*요약!$F$27,0))</f>
        <v>69000</v>
      </c>
      <c r="K1409" s="46" t="n">
        <f aca="false">IF(N(F1409)&gt;0,F1409,IF(N(E1409)&gt;0,E1409/요약!$F$27,0))</f>
        <v>16564</v>
      </c>
      <c r="L1409" s="46" t="n">
        <f aca="false">IF(B1409="CN",IF(N(I1409)&gt;0,I1409*요약!$G$27,K1409*(1+요약!$E$27)),IF(N(H1409)&gt;0,H1409*요약!$G$27,J1409*요약!$D$27))</f>
        <v>24288</v>
      </c>
      <c r="M1409" s="46" t="n">
        <f aca="false">D1409*J1409</f>
        <v>1035000</v>
      </c>
      <c r="N1409" s="46" t="n">
        <f aca="false">D1409*K1409</f>
        <v>248460</v>
      </c>
      <c r="O1409" s="46" t="n">
        <f aca="false">D1409*L1409</f>
        <v>364320</v>
      </c>
      <c r="P1409" s="42" t="str">
        <f aca="false">TRIM(IF(N(E1409)&lt;=0,"택가보정 ","")&amp;IF(N(F1409)&lt;=0,"원가보정 ","")&amp;IF(AND(B1409&lt;&gt;"CN",N(H1409)&lt;=0),"공급가보정 ","")&amp;IF(AND(B1409="CN",N(I1409)&lt;=0),"중국공급가=원가+마진 ",""))</f>
        <v/>
      </c>
      <c r="Q1409" s="47" t="n">
        <f aca="false">IF(SUMIFS($W:$W,$A:$A,A1409,$C:$C,C1409)=0,0,SUMIFS(RAW_판매펀칭!$K:$K,RAW_판매펀칭!$P:$P,A1409,RAW_판매펀칭!$I:$I,C1409)*W1409/SUMIFS($W:$W,$A:$A,A1409,$C:$C,C1409))</f>
        <v>0</v>
      </c>
      <c r="R1409" s="47" t="n">
        <f aca="false">IF(OR(A1409="500",A1409="800",A1409="810"),0,MAX(W1409-Q1409,0))</f>
        <v>0</v>
      </c>
      <c r="S1409" s="47" t="n">
        <f aca="false">R1409*L1409</f>
        <v>0</v>
      </c>
      <c r="T1409" s="47" t="n">
        <f aca="false">R1409*J1409</f>
        <v>0</v>
      </c>
      <c r="U1409" s="47" t="n">
        <f aca="false">R1409*K1409</f>
        <v>0</v>
      </c>
      <c r="V1409" s="0" t="str">
        <f aca="false">IF(COUNTIFS($A$2:A1409,A1409,$C$2:C1409,C1409,$D$2:D1409,D1409)&gt;1,"중복","")</f>
        <v/>
      </c>
      <c r="W1409" s="0" t="n">
        <f aca="false">IF(V1409="중복",0,N(D1409))</f>
        <v>15</v>
      </c>
      <c r="X1409" s="0" t="n">
        <f aca="false">IF(COUNTIFS($A$2:A1409,A1409,$C$2:C1409,C1409)=1,ABS(SUMIFS(RAW_발주!$D:$D,RAW_발주!$C:$C,A1409,RAW_발주!$A:$A,C1409)-SUMIFS($W:$W,$A:$A,A1409,$C:$C,C1409)),0)</f>
        <v>0</v>
      </c>
    </row>
    <row r="1410" customFormat="false" ht="15" hidden="false" customHeight="true" outlineLevel="0" collapsed="false">
      <c r="A1410" s="45" t="s">
        <v>1667</v>
      </c>
      <c r="B1410" s="42" t="str">
        <f aca="false">IF(A1410="100","HK",IF(A1410="200","CN",IF(A1410="300","TW","홀세일")))</f>
        <v>홀세일</v>
      </c>
      <c r="C1410" s="45" t="s">
        <v>1427</v>
      </c>
      <c r="D1410" s="46" t="n">
        <v>262</v>
      </c>
      <c r="E1410" s="46" t="n">
        <v>69000</v>
      </c>
      <c r="F1410" s="46" t="n">
        <v>16564</v>
      </c>
      <c r="G1410" s="42" t="n">
        <v>3.55</v>
      </c>
      <c r="H1410" s="42" t="n">
        <v>18.4</v>
      </c>
      <c r="J1410" s="46" t="n">
        <f aca="false">IF(N(E1410)&gt;0,E1410,IF(N(F1410)&gt;0,F1410*요약!$F$27,0))</f>
        <v>69000</v>
      </c>
      <c r="K1410" s="46" t="n">
        <f aca="false">IF(N(F1410)&gt;0,F1410,IF(N(E1410)&gt;0,E1410/요약!$F$27,0))</f>
        <v>16564</v>
      </c>
      <c r="L1410" s="46" t="n">
        <f aca="false">IF(B1410="CN",IF(N(I1410)&gt;0,I1410*요약!$G$27,K1410*(1+요약!$E$27)),IF(N(H1410)&gt;0,H1410*요약!$G$27,J1410*요약!$D$27))</f>
        <v>24288</v>
      </c>
      <c r="M1410" s="46" t="n">
        <f aca="false">D1410*J1410</f>
        <v>18078000</v>
      </c>
      <c r="N1410" s="46" t="n">
        <f aca="false">D1410*K1410</f>
        <v>4339768</v>
      </c>
      <c r="O1410" s="46" t="n">
        <f aca="false">D1410*L1410</f>
        <v>6363456</v>
      </c>
      <c r="P1410" s="42" t="str">
        <f aca="false">TRIM(IF(N(E1410)&lt;=0,"택가보정 ","")&amp;IF(N(F1410)&lt;=0,"원가보정 ","")&amp;IF(AND(B1410&lt;&gt;"CN",N(H1410)&lt;=0),"공급가보정 ","")&amp;IF(AND(B1410="CN",N(I1410)&lt;=0),"중국공급가=원가+마진 ",""))</f>
        <v/>
      </c>
      <c r="Q1410" s="47" t="n">
        <f aca="false">IF(SUMIFS($W:$W,$A:$A,A1410,$C:$C,C1410)=0,0,SUMIFS(RAW_판매펀칭!$K:$K,RAW_판매펀칭!$P:$P,A1410,RAW_판매펀칭!$I:$I,C1410)*W1410/SUMIFS($W:$W,$A:$A,A1410,$C:$C,C1410))</f>
        <v>62</v>
      </c>
      <c r="R1410" s="47" t="n">
        <f aca="false">IF(OR(A1410="500",A1410="800",A1410="810"),0,MAX(W1410-Q1410,0))</f>
        <v>200</v>
      </c>
      <c r="S1410" s="47" t="n">
        <f aca="false">R1410*L1410</f>
        <v>4857600</v>
      </c>
      <c r="T1410" s="47" t="n">
        <f aca="false">R1410*J1410</f>
        <v>13800000</v>
      </c>
      <c r="U1410" s="47" t="n">
        <f aca="false">R1410*K1410</f>
        <v>3312800</v>
      </c>
      <c r="V1410" s="0" t="str">
        <f aca="false">IF(COUNTIFS($A$2:A1410,A1410,$C$2:C1410,C1410,$D$2:D1410,D1410)&gt;1,"중복","")</f>
        <v/>
      </c>
      <c r="W1410" s="0" t="n">
        <f aca="false">IF(V1410="중복",0,N(D1410))</f>
        <v>262</v>
      </c>
      <c r="X1410" s="0" t="n">
        <f aca="false">IF(COUNTIFS($A$2:A1410,A1410,$C$2:C1410,C1410)=1,ABS(SUMIFS(RAW_발주!$D:$D,RAW_발주!$C:$C,A1410,RAW_발주!$A:$A,C1410)-SUMIFS($W:$W,$A:$A,A1410,$C:$C,C1410)),0)</f>
        <v>0</v>
      </c>
    </row>
    <row r="1411" customFormat="false" ht="15" hidden="false" customHeight="true" outlineLevel="0" collapsed="false">
      <c r="A1411" s="45" t="s">
        <v>1659</v>
      </c>
      <c r="B1411" s="42" t="str">
        <f aca="false">IF(A1411="100","HK",IF(A1411="200","CN",IF(A1411="300","TW","홀세일")))</f>
        <v>HK</v>
      </c>
      <c r="C1411" s="45" t="s">
        <v>960</v>
      </c>
      <c r="D1411" s="46" t="n">
        <v>350</v>
      </c>
      <c r="E1411" s="46" t="n">
        <v>79000</v>
      </c>
      <c r="F1411" s="46" t="n">
        <v>20018</v>
      </c>
      <c r="G1411" s="42" t="n">
        <v>3.44</v>
      </c>
      <c r="H1411" s="42" t="n">
        <v>21</v>
      </c>
      <c r="J1411" s="46" t="n">
        <f aca="false">IF(N(E1411)&gt;0,E1411,IF(N(F1411)&gt;0,F1411*요약!$F$27,0))</f>
        <v>79000</v>
      </c>
      <c r="K1411" s="46" t="n">
        <f aca="false">IF(N(F1411)&gt;0,F1411,IF(N(E1411)&gt;0,E1411/요약!$F$27,0))</f>
        <v>20018</v>
      </c>
      <c r="L1411" s="46" t="n">
        <f aca="false">IF(B1411="CN",IF(N(I1411)&gt;0,I1411*요약!$G$27,K1411*(1+요약!$E$27)),IF(N(H1411)&gt;0,H1411*요약!$G$27,J1411*요약!$D$27))</f>
        <v>27720</v>
      </c>
      <c r="M1411" s="46" t="n">
        <f aca="false">D1411*J1411</f>
        <v>27650000</v>
      </c>
      <c r="N1411" s="46" t="n">
        <f aca="false">D1411*K1411</f>
        <v>7006300</v>
      </c>
      <c r="O1411" s="46" t="n">
        <f aca="false">D1411*L1411</f>
        <v>9702000</v>
      </c>
      <c r="P1411" s="42" t="str">
        <f aca="false">TRIM(IF(N(E1411)&lt;=0,"택가보정 ","")&amp;IF(N(F1411)&lt;=0,"원가보정 ","")&amp;IF(AND(B1411&lt;&gt;"CN",N(H1411)&lt;=0),"공급가보정 ","")&amp;IF(AND(B1411="CN",N(I1411)&lt;=0),"중국공급가=원가+마진 ",""))</f>
        <v/>
      </c>
      <c r="Q1411" s="47" t="n">
        <f aca="false">IF(SUMIFS($W:$W,$A:$A,A1411,$C:$C,C1411)=0,0,SUMIFS(RAW_판매펀칭!$K:$K,RAW_판매펀칭!$P:$P,A1411,RAW_판매펀칭!$I:$I,C1411)*W1411/SUMIFS($W:$W,$A:$A,A1411,$C:$C,C1411))</f>
        <v>350</v>
      </c>
      <c r="R1411" s="47" t="n">
        <f aca="false">IF(OR(A1411="500",A1411="800",A1411="810"),0,MAX(W1411-Q1411,0))</f>
        <v>0</v>
      </c>
      <c r="S1411" s="47" t="n">
        <f aca="false">R1411*L1411</f>
        <v>0</v>
      </c>
      <c r="T1411" s="47" t="n">
        <f aca="false">R1411*J1411</f>
        <v>0</v>
      </c>
      <c r="U1411" s="47" t="n">
        <f aca="false">R1411*K1411</f>
        <v>0</v>
      </c>
      <c r="V1411" s="0" t="str">
        <f aca="false">IF(COUNTIFS($A$2:A1411,A1411,$C$2:C1411,C1411,$D$2:D1411,D1411)&gt;1,"중복","")</f>
        <v/>
      </c>
      <c r="W1411" s="0" t="n">
        <f aca="false">IF(V1411="중복",0,N(D1411))</f>
        <v>350</v>
      </c>
      <c r="X1411" s="0" t="n">
        <f aca="false">IF(COUNTIFS($A$2:A1411,A1411,$C$2:C1411,C1411)=1,ABS(SUMIFS(RAW_발주!$D:$D,RAW_발주!$C:$C,A1411,RAW_발주!$A:$A,C1411)-SUMIFS($W:$W,$A:$A,A1411,$C:$C,C1411)),0)</f>
        <v>0</v>
      </c>
    </row>
    <row r="1412" customFormat="false" ht="15" hidden="false" customHeight="true" outlineLevel="0" collapsed="false">
      <c r="A1412" s="45" t="s">
        <v>1667</v>
      </c>
      <c r="B1412" s="42" t="str">
        <f aca="false">IF(A1412="100","HK",IF(A1412="200","CN",IF(A1412="300","TW","홀세일")))</f>
        <v>홀세일</v>
      </c>
      <c r="C1412" s="45" t="s">
        <v>960</v>
      </c>
      <c r="D1412" s="46" t="n">
        <v>61</v>
      </c>
      <c r="E1412" s="46" t="n">
        <v>79000</v>
      </c>
      <c r="F1412" s="46" t="n">
        <v>20018</v>
      </c>
      <c r="G1412" s="42" t="n">
        <v>3.44</v>
      </c>
      <c r="H1412" s="42" t="n">
        <v>21</v>
      </c>
      <c r="J1412" s="46" t="n">
        <f aca="false">IF(N(E1412)&gt;0,E1412,IF(N(F1412)&gt;0,F1412*요약!$F$27,0))</f>
        <v>79000</v>
      </c>
      <c r="K1412" s="46" t="n">
        <f aca="false">IF(N(F1412)&gt;0,F1412,IF(N(E1412)&gt;0,E1412/요약!$F$27,0))</f>
        <v>20018</v>
      </c>
      <c r="L1412" s="46" t="n">
        <f aca="false">IF(B1412="CN",IF(N(I1412)&gt;0,I1412*요약!$G$27,K1412*(1+요약!$E$27)),IF(N(H1412)&gt;0,H1412*요약!$G$27,J1412*요약!$D$27))</f>
        <v>27720</v>
      </c>
      <c r="M1412" s="46" t="n">
        <f aca="false">D1412*J1412</f>
        <v>4819000</v>
      </c>
      <c r="N1412" s="46" t="n">
        <f aca="false">D1412*K1412</f>
        <v>1221098</v>
      </c>
      <c r="O1412" s="46" t="n">
        <f aca="false">D1412*L1412</f>
        <v>1690920</v>
      </c>
      <c r="P1412" s="42" t="str">
        <f aca="false">TRIM(IF(N(E1412)&lt;=0,"택가보정 ","")&amp;IF(N(F1412)&lt;=0,"원가보정 ","")&amp;IF(AND(B1412&lt;&gt;"CN",N(H1412)&lt;=0),"공급가보정 ","")&amp;IF(AND(B1412="CN",N(I1412)&lt;=0),"중국공급가=원가+마진 ",""))</f>
        <v/>
      </c>
      <c r="Q1412" s="47" t="n">
        <f aca="false">IF(SUMIFS($W:$W,$A:$A,A1412,$C:$C,C1412)=0,0,SUMIFS(RAW_판매펀칭!$K:$K,RAW_판매펀칭!$P:$P,A1412,RAW_판매펀칭!$I:$I,C1412)*W1412/SUMIFS($W:$W,$A:$A,A1412,$C:$C,C1412))</f>
        <v>61</v>
      </c>
      <c r="R1412" s="47" t="n">
        <f aca="false">IF(OR(A1412="500",A1412="800",A1412="810"),0,MAX(W1412-Q1412,0))</f>
        <v>0</v>
      </c>
      <c r="S1412" s="47" t="n">
        <f aca="false">R1412*L1412</f>
        <v>0</v>
      </c>
      <c r="T1412" s="47" t="n">
        <f aca="false">R1412*J1412</f>
        <v>0</v>
      </c>
      <c r="U1412" s="47" t="n">
        <f aca="false">R1412*K1412</f>
        <v>0</v>
      </c>
      <c r="V1412" s="0" t="str">
        <f aca="false">IF(COUNTIFS($A$2:A1412,A1412,$C$2:C1412,C1412,$D$2:D1412,D1412)&gt;1,"중복","")</f>
        <v/>
      </c>
      <c r="W1412" s="0" t="n">
        <f aca="false">IF(V1412="중복",0,N(D1412))</f>
        <v>61</v>
      </c>
      <c r="X1412" s="0" t="n">
        <f aca="false">IF(COUNTIFS($A$2:A1412,A1412,$C$2:C1412,C1412)=1,ABS(SUMIFS(RAW_발주!$D:$D,RAW_발주!$C:$C,A1412,RAW_발주!$A:$A,C1412)-SUMIFS($W:$W,$A:$A,A1412,$C:$C,C1412)),0)</f>
        <v>0</v>
      </c>
    </row>
    <row r="1413" customFormat="false" ht="15" hidden="false" customHeight="true" outlineLevel="0" collapsed="false">
      <c r="A1413" s="45" t="s">
        <v>1664</v>
      </c>
      <c r="B1413" s="42" t="str">
        <f aca="false">IF(A1413="100","HK",IF(A1413="200","CN",IF(A1413="300","TW","홀세일")))</f>
        <v>홀세일</v>
      </c>
      <c r="C1413" s="45" t="s">
        <v>960</v>
      </c>
      <c r="D1413" s="46" t="n">
        <v>20</v>
      </c>
      <c r="E1413" s="46" t="n">
        <v>79000</v>
      </c>
      <c r="F1413" s="46" t="n">
        <v>20018</v>
      </c>
      <c r="G1413" s="42" t="n">
        <v>3.44</v>
      </c>
      <c r="H1413" s="42" t="n">
        <v>21</v>
      </c>
      <c r="J1413" s="46" t="n">
        <f aca="false">IF(N(E1413)&gt;0,E1413,IF(N(F1413)&gt;0,F1413*요약!$F$27,0))</f>
        <v>79000</v>
      </c>
      <c r="K1413" s="46" t="n">
        <f aca="false">IF(N(F1413)&gt;0,F1413,IF(N(E1413)&gt;0,E1413/요약!$F$27,0))</f>
        <v>20018</v>
      </c>
      <c r="L1413" s="46" t="n">
        <f aca="false">IF(B1413="CN",IF(N(I1413)&gt;0,I1413*요약!$G$27,K1413*(1+요약!$E$27)),IF(N(H1413)&gt;0,H1413*요약!$G$27,J1413*요약!$D$27))</f>
        <v>27720</v>
      </c>
      <c r="M1413" s="46" t="n">
        <f aca="false">D1413*J1413</f>
        <v>1580000</v>
      </c>
      <c r="N1413" s="46" t="n">
        <f aca="false">D1413*K1413</f>
        <v>400360</v>
      </c>
      <c r="O1413" s="46" t="n">
        <f aca="false">D1413*L1413</f>
        <v>554400</v>
      </c>
      <c r="P1413" s="42" t="str">
        <f aca="false">TRIM(IF(N(E1413)&lt;=0,"택가보정 ","")&amp;IF(N(F1413)&lt;=0,"원가보정 ","")&amp;IF(AND(B1413&lt;&gt;"CN",N(H1413)&lt;=0),"공급가보정 ","")&amp;IF(AND(B1413="CN",N(I1413)&lt;=0),"중국공급가=원가+마진 ",""))</f>
        <v/>
      </c>
      <c r="Q1413" s="47" t="n">
        <f aca="false">IF(SUMIFS($W:$W,$A:$A,A1413,$C:$C,C1413)=0,0,SUMIFS(RAW_판매펀칭!$K:$K,RAW_판매펀칭!$P:$P,A1413,RAW_판매펀칭!$I:$I,C1413)*W1413/SUMIFS($W:$W,$A:$A,A1413,$C:$C,C1413))</f>
        <v>20</v>
      </c>
      <c r="R1413" s="47" t="n">
        <f aca="false">IF(OR(A1413="500",A1413="800",A1413="810"),0,MAX(W1413-Q1413,0))</f>
        <v>0</v>
      </c>
      <c r="S1413" s="47" t="n">
        <f aca="false">R1413*L1413</f>
        <v>0</v>
      </c>
      <c r="T1413" s="47" t="n">
        <f aca="false">R1413*J1413</f>
        <v>0</v>
      </c>
      <c r="U1413" s="47" t="n">
        <f aca="false">R1413*K1413</f>
        <v>0</v>
      </c>
      <c r="V1413" s="0" t="str">
        <f aca="false">IF(COUNTIFS($A$2:A1413,A1413,$C$2:C1413,C1413,$D$2:D1413,D1413)&gt;1,"중복","")</f>
        <v/>
      </c>
      <c r="W1413" s="0" t="n">
        <f aca="false">IF(V1413="중복",0,N(D1413))</f>
        <v>20</v>
      </c>
      <c r="X1413" s="0" t="n">
        <f aca="false">IF(COUNTIFS($A$2:A1413,A1413,$C$2:C1413,C1413)=1,ABS(SUMIFS(RAW_발주!$D:$D,RAW_발주!$C:$C,A1413,RAW_발주!$A:$A,C1413)-SUMIFS($W:$W,$A:$A,A1413,$C:$C,C1413)),0)</f>
        <v>0</v>
      </c>
    </row>
    <row r="1414" customFormat="false" ht="15" hidden="false" customHeight="true" outlineLevel="0" collapsed="false">
      <c r="A1414" s="45" t="s">
        <v>1664</v>
      </c>
      <c r="B1414" s="42" t="str">
        <f aca="false">IF(A1414="100","HK",IF(A1414="200","CN",IF(A1414="300","TW","홀세일")))</f>
        <v>홀세일</v>
      </c>
      <c r="C1414" s="45" t="s">
        <v>960</v>
      </c>
      <c r="D1414" s="46" t="n">
        <v>20</v>
      </c>
      <c r="E1414" s="46" t="n">
        <v>79000</v>
      </c>
      <c r="F1414" s="46" t="n">
        <v>20018</v>
      </c>
      <c r="G1414" s="42" t="n">
        <v>3.44</v>
      </c>
      <c r="H1414" s="42" t="n">
        <v>21</v>
      </c>
      <c r="J1414" s="46" t="n">
        <f aca="false">IF(N(E1414)&gt;0,E1414,IF(N(F1414)&gt;0,F1414*요약!$F$27,0))</f>
        <v>79000</v>
      </c>
      <c r="K1414" s="46" t="n">
        <f aca="false">IF(N(F1414)&gt;0,F1414,IF(N(E1414)&gt;0,E1414/요약!$F$27,0))</f>
        <v>20018</v>
      </c>
      <c r="L1414" s="46" t="n">
        <f aca="false">IF(B1414="CN",IF(N(I1414)&gt;0,I1414*요약!$G$27,K1414*(1+요약!$E$27)),IF(N(H1414)&gt;0,H1414*요약!$G$27,J1414*요약!$D$27))</f>
        <v>27720</v>
      </c>
      <c r="M1414" s="46" t="n">
        <f aca="false">D1414*J1414</f>
        <v>1580000</v>
      </c>
      <c r="N1414" s="46" t="n">
        <f aca="false">D1414*K1414</f>
        <v>400360</v>
      </c>
      <c r="O1414" s="46" t="n">
        <f aca="false">D1414*L1414</f>
        <v>554400</v>
      </c>
      <c r="P1414" s="42" t="str">
        <f aca="false">TRIM(IF(N(E1414)&lt;=0,"택가보정 ","")&amp;IF(N(F1414)&lt;=0,"원가보정 ","")&amp;IF(AND(B1414&lt;&gt;"CN",N(H1414)&lt;=0),"공급가보정 ","")&amp;IF(AND(B1414="CN",N(I1414)&lt;=0),"중국공급가=원가+마진 ",""))</f>
        <v/>
      </c>
      <c r="Q1414" s="47" t="n">
        <f aca="false">IF(SUMIFS($W:$W,$A:$A,A1414,$C:$C,C1414)=0,0,SUMIFS(RAW_판매펀칭!$K:$K,RAW_판매펀칭!$P:$P,A1414,RAW_판매펀칭!$I:$I,C1414)*W1414/SUMIFS($W:$W,$A:$A,A1414,$C:$C,C1414))</f>
        <v>0</v>
      </c>
      <c r="R1414" s="47" t="n">
        <f aca="false">IF(OR(A1414="500",A1414="800",A1414="810"),0,MAX(W1414-Q1414,0))</f>
        <v>0</v>
      </c>
      <c r="S1414" s="47" t="n">
        <f aca="false">R1414*L1414</f>
        <v>0</v>
      </c>
      <c r="T1414" s="47" t="n">
        <f aca="false">R1414*J1414</f>
        <v>0</v>
      </c>
      <c r="U1414" s="47" t="n">
        <f aca="false">R1414*K1414</f>
        <v>0</v>
      </c>
      <c r="V1414" s="0" t="str">
        <f aca="false">IF(COUNTIFS($A$2:A1414,A1414,$C$2:C1414,C1414,$D$2:D1414,D1414)&gt;1,"중복","")</f>
        <v>중복</v>
      </c>
      <c r="W1414" s="0" t="n">
        <f aca="false">IF(V1414="중복",0,N(D1414))</f>
        <v>0</v>
      </c>
      <c r="X1414" s="0" t="n">
        <f aca="false">IF(COUNTIFS($A$2:A1414,A1414,$C$2:C1414,C1414)=1,ABS(SUMIFS(RAW_발주!$D:$D,RAW_발주!$C:$C,A1414,RAW_발주!$A:$A,C1414)-SUMIFS($W:$W,$A:$A,A1414,$C:$C,C1414)),0)</f>
        <v>0</v>
      </c>
    </row>
    <row r="1415" customFormat="false" ht="15" hidden="false" customHeight="true" outlineLevel="0" collapsed="false">
      <c r="A1415" s="45" t="s">
        <v>1659</v>
      </c>
      <c r="B1415" s="42" t="str">
        <f aca="false">IF(A1415="100","HK",IF(A1415="200","CN",IF(A1415="300","TW","홀세일")))</f>
        <v>HK</v>
      </c>
      <c r="C1415" s="45" t="s">
        <v>611</v>
      </c>
      <c r="D1415" s="46" t="n">
        <v>350</v>
      </c>
      <c r="E1415" s="46" t="n">
        <v>69000</v>
      </c>
      <c r="F1415" s="46" t="n">
        <v>17274</v>
      </c>
      <c r="G1415" s="42" t="n">
        <v>3.43</v>
      </c>
      <c r="H1415" s="42" t="n">
        <v>18.4</v>
      </c>
      <c r="J1415" s="46" t="n">
        <f aca="false">IF(N(E1415)&gt;0,E1415,IF(N(F1415)&gt;0,F1415*요약!$F$27,0))</f>
        <v>69000</v>
      </c>
      <c r="K1415" s="46" t="n">
        <f aca="false">IF(N(F1415)&gt;0,F1415,IF(N(E1415)&gt;0,E1415/요약!$F$27,0))</f>
        <v>17274</v>
      </c>
      <c r="L1415" s="46" t="n">
        <f aca="false">IF(B1415="CN",IF(N(I1415)&gt;0,I1415*요약!$G$27,K1415*(1+요약!$E$27)),IF(N(H1415)&gt;0,H1415*요약!$G$27,J1415*요약!$D$27))</f>
        <v>24288</v>
      </c>
      <c r="M1415" s="46" t="n">
        <f aca="false">D1415*J1415</f>
        <v>24150000</v>
      </c>
      <c r="N1415" s="46" t="n">
        <f aca="false">D1415*K1415</f>
        <v>6045900</v>
      </c>
      <c r="O1415" s="46" t="n">
        <f aca="false">D1415*L1415</f>
        <v>8500800</v>
      </c>
      <c r="P1415" s="42" t="str">
        <f aca="false">TRIM(IF(N(E1415)&lt;=0,"택가보정 ","")&amp;IF(N(F1415)&lt;=0,"원가보정 ","")&amp;IF(AND(B1415&lt;&gt;"CN",N(H1415)&lt;=0),"공급가보정 ","")&amp;IF(AND(B1415="CN",N(I1415)&lt;=0),"중국공급가=원가+마진 ",""))</f>
        <v/>
      </c>
      <c r="Q1415" s="47" t="n">
        <f aca="false">IF(SUMIFS($W:$W,$A:$A,A1415,$C:$C,C1415)=0,0,SUMIFS(RAW_판매펀칭!$K:$K,RAW_판매펀칭!$P:$P,A1415,RAW_판매펀칭!$I:$I,C1415)*W1415/SUMIFS($W:$W,$A:$A,A1415,$C:$C,C1415))</f>
        <v>350</v>
      </c>
      <c r="R1415" s="47" t="n">
        <f aca="false">IF(OR(A1415="500",A1415="800",A1415="810"),0,MAX(W1415-Q1415,0))</f>
        <v>0</v>
      </c>
      <c r="S1415" s="47" t="n">
        <f aca="false">R1415*L1415</f>
        <v>0</v>
      </c>
      <c r="T1415" s="47" t="n">
        <f aca="false">R1415*J1415</f>
        <v>0</v>
      </c>
      <c r="U1415" s="47" t="n">
        <f aca="false">R1415*K1415</f>
        <v>0</v>
      </c>
      <c r="V1415" s="0" t="str">
        <f aca="false">IF(COUNTIFS($A$2:A1415,A1415,$C$2:C1415,C1415,$D$2:D1415,D1415)&gt;1,"중복","")</f>
        <v/>
      </c>
      <c r="W1415" s="0" t="n">
        <f aca="false">IF(V1415="중복",0,N(D1415))</f>
        <v>350</v>
      </c>
      <c r="X1415" s="0" t="n">
        <f aca="false">IF(COUNTIFS($A$2:A1415,A1415,$C$2:C1415,C1415)=1,ABS(SUMIFS(RAW_발주!$D:$D,RAW_발주!$C:$C,A1415,RAW_발주!$A:$A,C1415)-SUMIFS($W:$W,$A:$A,A1415,$C:$C,C1415)),0)</f>
        <v>0</v>
      </c>
    </row>
    <row r="1416" customFormat="false" ht="15.75" hidden="false" customHeight="true" outlineLevel="0" collapsed="false">
      <c r="A1416" s="45" t="s">
        <v>1660</v>
      </c>
      <c r="B1416" s="42" t="str">
        <f aca="false">IF(A1416="100","HK",IF(A1416="200","CN",IF(A1416="300","TW","홀세일")))</f>
        <v>CN</v>
      </c>
      <c r="C1416" s="45" t="s">
        <v>611</v>
      </c>
      <c r="D1416" s="46" t="n">
        <v>123</v>
      </c>
      <c r="E1416" s="46" t="n">
        <v>69000</v>
      </c>
      <c r="F1416" s="46" t="n">
        <v>17274</v>
      </c>
      <c r="G1416" s="42" t="n">
        <v>3.43</v>
      </c>
      <c r="H1416" s="42" t="n">
        <v>18.4</v>
      </c>
      <c r="J1416" s="46" t="n">
        <f aca="false">IF(N(E1416)&gt;0,E1416,IF(N(F1416)&gt;0,F1416*요약!$F$27,0))</f>
        <v>69000</v>
      </c>
      <c r="K1416" s="46" t="n">
        <f aca="false">IF(N(F1416)&gt;0,F1416,IF(N(E1416)&gt;0,E1416/요약!$F$27,0))</f>
        <v>17274</v>
      </c>
      <c r="L1416" s="46" t="n">
        <f aca="false">IF(B1416="CN",IF(N(I1416)&gt;0,I1416*요약!$G$27,K1416*(1+요약!$E$27)),IF(N(H1416)&gt;0,H1416*요약!$G$27,J1416*요약!$D$27))</f>
        <v>18137.7</v>
      </c>
      <c r="M1416" s="46" t="n">
        <f aca="false">D1416*J1416</f>
        <v>8487000</v>
      </c>
      <c r="N1416" s="46" t="n">
        <f aca="false">D1416*K1416</f>
        <v>2124702</v>
      </c>
      <c r="O1416" s="46" t="n">
        <f aca="false">D1416*L1416</f>
        <v>2230937.1</v>
      </c>
      <c r="P1416" s="42" t="str">
        <f aca="false">TRIM(IF(N(E1416)&lt;=0,"택가보정 ","")&amp;IF(N(F1416)&lt;=0,"원가보정 ","")&amp;IF(AND(B1416&lt;&gt;"CN",N(H1416)&lt;=0),"공급가보정 ","")&amp;IF(AND(B1416="CN",N(I1416)&lt;=0),"중국공급가=원가+마진 ",""))</f>
        <v>중국공급가=원가+마진</v>
      </c>
      <c r="Q1416" s="47" t="n">
        <f aca="false">IF(SUMIFS($W:$W,$A:$A,A1416,$C:$C,C1416)=0,0,SUMIFS(RAW_판매펀칭!$K:$K,RAW_판매펀칭!$P:$P,A1416,RAW_판매펀칭!$I:$I,C1416)*W1416/SUMIFS($W:$W,$A:$A,A1416,$C:$C,C1416))</f>
        <v>120</v>
      </c>
      <c r="R1416" s="47" t="n">
        <f aca="false">IF(OR(A1416="500",A1416="800",A1416="810"),0,MAX(W1416-Q1416,0))</f>
        <v>3</v>
      </c>
      <c r="S1416" s="47" t="n">
        <f aca="false">R1416*L1416</f>
        <v>54413.1</v>
      </c>
      <c r="T1416" s="47" t="n">
        <f aca="false">R1416*J1416</f>
        <v>207000</v>
      </c>
      <c r="U1416" s="47" t="n">
        <f aca="false">R1416*K1416</f>
        <v>51822</v>
      </c>
      <c r="V1416" s="0" t="str">
        <f aca="false">IF(COUNTIFS($A$2:A1416,A1416,$C$2:C1416,C1416,$D$2:D1416,D1416)&gt;1,"중복","")</f>
        <v/>
      </c>
      <c r="W1416" s="0" t="n">
        <f aca="false">IF(V1416="중복",0,N(D1416))</f>
        <v>123</v>
      </c>
      <c r="X1416" s="0" t="n">
        <f aca="false">IF(COUNTIFS($A$2:A1416,A1416,$C$2:C1416,C1416)=1,ABS(SUMIFS(RAW_발주!$D:$D,RAW_발주!$C:$C,A1416,RAW_발주!$A:$A,C1416)-SUMIFS($W:$W,$A:$A,A1416,$C:$C,C1416)),0)</f>
        <v>0</v>
      </c>
    </row>
    <row r="1417" customFormat="false" ht="15" hidden="false" customHeight="true" outlineLevel="0" collapsed="false">
      <c r="A1417" s="45" t="s">
        <v>1661</v>
      </c>
      <c r="B1417" s="42" t="str">
        <f aca="false">IF(A1417="100","HK",IF(A1417="200","CN",IF(A1417="300","TW","홀세일")))</f>
        <v>TW</v>
      </c>
      <c r="C1417" s="45" t="s">
        <v>611</v>
      </c>
      <c r="D1417" s="46" t="n">
        <v>200</v>
      </c>
      <c r="E1417" s="46" t="n">
        <v>69000</v>
      </c>
      <c r="F1417" s="46" t="n">
        <v>17274</v>
      </c>
      <c r="G1417" s="42" t="n">
        <v>3.43</v>
      </c>
      <c r="H1417" s="42" t="n">
        <v>18.4</v>
      </c>
      <c r="J1417" s="46" t="n">
        <f aca="false">IF(N(E1417)&gt;0,E1417,IF(N(F1417)&gt;0,F1417*요약!$F$27,0))</f>
        <v>69000</v>
      </c>
      <c r="K1417" s="46" t="n">
        <f aca="false">IF(N(F1417)&gt;0,F1417,IF(N(E1417)&gt;0,E1417/요약!$F$27,0))</f>
        <v>17274</v>
      </c>
      <c r="L1417" s="46" t="n">
        <f aca="false">IF(B1417="CN",IF(N(I1417)&gt;0,I1417*요약!$G$27,K1417*(1+요약!$E$27)),IF(N(H1417)&gt;0,H1417*요약!$G$27,J1417*요약!$D$27))</f>
        <v>24288</v>
      </c>
      <c r="M1417" s="46" t="n">
        <f aca="false">D1417*J1417</f>
        <v>13800000</v>
      </c>
      <c r="N1417" s="46" t="n">
        <f aca="false">D1417*K1417</f>
        <v>3454800</v>
      </c>
      <c r="O1417" s="46" t="n">
        <f aca="false">D1417*L1417</f>
        <v>4857600</v>
      </c>
      <c r="P1417" s="42" t="str">
        <f aca="false">TRIM(IF(N(E1417)&lt;=0,"택가보정 ","")&amp;IF(N(F1417)&lt;=0,"원가보정 ","")&amp;IF(AND(B1417&lt;&gt;"CN",N(H1417)&lt;=0),"공급가보정 ","")&amp;IF(AND(B1417="CN",N(I1417)&lt;=0),"중국공급가=원가+마진 ",""))</f>
        <v/>
      </c>
      <c r="Q1417" s="47" t="n">
        <f aca="false">IF(SUMIFS($W:$W,$A:$A,A1417,$C:$C,C1417)=0,0,SUMIFS(RAW_판매펀칭!$K:$K,RAW_판매펀칭!$P:$P,A1417,RAW_판매펀칭!$I:$I,C1417)*W1417/SUMIFS($W:$W,$A:$A,A1417,$C:$C,C1417))</f>
        <v>200</v>
      </c>
      <c r="R1417" s="47" t="n">
        <f aca="false">IF(OR(A1417="500",A1417="800",A1417="810"),0,MAX(W1417-Q1417,0))</f>
        <v>0</v>
      </c>
      <c r="S1417" s="47" t="n">
        <f aca="false">R1417*L1417</f>
        <v>0</v>
      </c>
      <c r="T1417" s="47" t="n">
        <f aca="false">R1417*J1417</f>
        <v>0</v>
      </c>
      <c r="U1417" s="47" t="n">
        <f aca="false">R1417*K1417</f>
        <v>0</v>
      </c>
      <c r="V1417" s="0" t="str">
        <f aca="false">IF(COUNTIFS($A$2:A1417,A1417,$C$2:C1417,C1417,$D$2:D1417,D1417)&gt;1,"중복","")</f>
        <v/>
      </c>
      <c r="W1417" s="0" t="n">
        <f aca="false">IF(V1417="중복",0,N(D1417))</f>
        <v>200</v>
      </c>
      <c r="X1417" s="0" t="n">
        <f aca="false">IF(COUNTIFS($A$2:A1417,A1417,$C$2:C1417,C1417)=1,ABS(SUMIFS(RAW_발주!$D:$D,RAW_발주!$C:$C,A1417,RAW_발주!$A:$A,C1417)-SUMIFS($W:$W,$A:$A,A1417,$C:$C,C1417)),0)</f>
        <v>0</v>
      </c>
    </row>
    <row r="1418" customFormat="false" ht="15" hidden="false" customHeight="true" outlineLevel="0" collapsed="false">
      <c r="A1418" s="45" t="s">
        <v>1663</v>
      </c>
      <c r="B1418" s="42" t="str">
        <f aca="false">IF(A1418="100","HK",IF(A1418="200","CN",IF(A1418="300","TW","홀세일")))</f>
        <v>홀세일</v>
      </c>
      <c r="C1418" s="45" t="s">
        <v>611</v>
      </c>
      <c r="D1418" s="46" t="n">
        <v>20</v>
      </c>
      <c r="E1418" s="46" t="n">
        <v>69000</v>
      </c>
      <c r="F1418" s="46" t="n">
        <v>17274</v>
      </c>
      <c r="G1418" s="42" t="n">
        <v>3.43</v>
      </c>
      <c r="H1418" s="42" t="n">
        <v>18.4</v>
      </c>
      <c r="J1418" s="46" t="n">
        <f aca="false">IF(N(E1418)&gt;0,E1418,IF(N(F1418)&gt;0,F1418*요약!$F$27,0))</f>
        <v>69000</v>
      </c>
      <c r="K1418" s="46" t="n">
        <f aca="false">IF(N(F1418)&gt;0,F1418,IF(N(E1418)&gt;0,E1418/요약!$F$27,0))</f>
        <v>17274</v>
      </c>
      <c r="L1418" s="46" t="n">
        <f aca="false">IF(B1418="CN",IF(N(I1418)&gt;0,I1418*요약!$G$27,K1418*(1+요약!$E$27)),IF(N(H1418)&gt;0,H1418*요약!$G$27,J1418*요약!$D$27))</f>
        <v>24288</v>
      </c>
      <c r="M1418" s="46" t="n">
        <f aca="false">D1418*J1418</f>
        <v>1380000</v>
      </c>
      <c r="N1418" s="46" t="n">
        <f aca="false">D1418*K1418</f>
        <v>345480</v>
      </c>
      <c r="O1418" s="46" t="n">
        <f aca="false">D1418*L1418</f>
        <v>485760</v>
      </c>
      <c r="P1418" s="42" t="str">
        <f aca="false">TRIM(IF(N(E1418)&lt;=0,"택가보정 ","")&amp;IF(N(F1418)&lt;=0,"원가보정 ","")&amp;IF(AND(B1418&lt;&gt;"CN",N(H1418)&lt;=0),"공급가보정 ","")&amp;IF(AND(B1418="CN",N(I1418)&lt;=0),"중국공급가=원가+마진 ",""))</f>
        <v/>
      </c>
      <c r="Q1418" s="47" t="n">
        <f aca="false">IF(SUMIFS($W:$W,$A:$A,A1418,$C:$C,C1418)=0,0,SUMIFS(RAW_판매펀칭!$K:$K,RAW_판매펀칭!$P:$P,A1418,RAW_판매펀칭!$I:$I,C1418)*W1418/SUMIFS($W:$W,$A:$A,A1418,$C:$C,C1418))</f>
        <v>20</v>
      </c>
      <c r="R1418" s="47" t="n">
        <f aca="false">IF(OR(A1418="500",A1418="800",A1418="810"),0,MAX(W1418-Q1418,0))</f>
        <v>0</v>
      </c>
      <c r="S1418" s="47" t="n">
        <f aca="false">R1418*L1418</f>
        <v>0</v>
      </c>
      <c r="T1418" s="47" t="n">
        <f aca="false">R1418*J1418</f>
        <v>0</v>
      </c>
      <c r="U1418" s="47" t="n">
        <f aca="false">R1418*K1418</f>
        <v>0</v>
      </c>
      <c r="V1418" s="0" t="str">
        <f aca="false">IF(COUNTIFS($A$2:A1418,A1418,$C$2:C1418,C1418,$D$2:D1418,D1418)&gt;1,"중복","")</f>
        <v/>
      </c>
      <c r="W1418" s="0" t="n">
        <f aca="false">IF(V1418="중복",0,N(D1418))</f>
        <v>20</v>
      </c>
      <c r="X1418" s="0" t="n">
        <f aca="false">IF(COUNTIFS($A$2:A1418,A1418,$C$2:C1418,C1418)=1,ABS(SUMIFS(RAW_발주!$D:$D,RAW_발주!$C:$C,A1418,RAW_발주!$A:$A,C1418)-SUMIFS($W:$W,$A:$A,A1418,$C:$C,C1418)),0)</f>
        <v>0</v>
      </c>
    </row>
    <row r="1419" customFormat="false" ht="15" hidden="false" customHeight="true" outlineLevel="0" collapsed="false">
      <c r="A1419" s="45" t="s">
        <v>1664</v>
      </c>
      <c r="B1419" s="42" t="str">
        <f aca="false">IF(A1419="100","HK",IF(A1419="200","CN",IF(A1419="300","TW","홀세일")))</f>
        <v>홀세일</v>
      </c>
      <c r="C1419" s="45" t="s">
        <v>611</v>
      </c>
      <c r="D1419" s="46" t="n">
        <v>20</v>
      </c>
      <c r="E1419" s="46" t="n">
        <v>69000</v>
      </c>
      <c r="F1419" s="46" t="n">
        <v>17274</v>
      </c>
      <c r="G1419" s="42" t="n">
        <v>3.43</v>
      </c>
      <c r="H1419" s="42" t="n">
        <v>18.4</v>
      </c>
      <c r="J1419" s="46" t="n">
        <f aca="false">IF(N(E1419)&gt;0,E1419,IF(N(F1419)&gt;0,F1419*요약!$F$27,0))</f>
        <v>69000</v>
      </c>
      <c r="K1419" s="46" t="n">
        <f aca="false">IF(N(F1419)&gt;0,F1419,IF(N(E1419)&gt;0,E1419/요약!$F$27,0))</f>
        <v>17274</v>
      </c>
      <c r="L1419" s="46" t="n">
        <f aca="false">IF(B1419="CN",IF(N(I1419)&gt;0,I1419*요약!$G$27,K1419*(1+요약!$E$27)),IF(N(H1419)&gt;0,H1419*요약!$G$27,J1419*요약!$D$27))</f>
        <v>24288</v>
      </c>
      <c r="M1419" s="46" t="n">
        <f aca="false">D1419*J1419</f>
        <v>1380000</v>
      </c>
      <c r="N1419" s="46" t="n">
        <f aca="false">D1419*K1419</f>
        <v>345480</v>
      </c>
      <c r="O1419" s="46" t="n">
        <f aca="false">D1419*L1419</f>
        <v>485760</v>
      </c>
      <c r="P1419" s="42" t="str">
        <f aca="false">TRIM(IF(N(E1419)&lt;=0,"택가보정 ","")&amp;IF(N(F1419)&lt;=0,"원가보정 ","")&amp;IF(AND(B1419&lt;&gt;"CN",N(H1419)&lt;=0),"공급가보정 ","")&amp;IF(AND(B1419="CN",N(I1419)&lt;=0),"중국공급가=원가+마진 ",""))</f>
        <v/>
      </c>
      <c r="Q1419" s="47" t="n">
        <f aca="false">IF(SUMIFS($W:$W,$A:$A,A1419,$C:$C,C1419)=0,0,SUMIFS(RAW_판매펀칭!$K:$K,RAW_판매펀칭!$P:$P,A1419,RAW_판매펀칭!$I:$I,C1419)*W1419/SUMIFS($W:$W,$A:$A,A1419,$C:$C,C1419))</f>
        <v>20</v>
      </c>
      <c r="R1419" s="47" t="n">
        <f aca="false">IF(OR(A1419="500",A1419="800",A1419="810"),0,MAX(W1419-Q1419,0))</f>
        <v>0</v>
      </c>
      <c r="S1419" s="47" t="n">
        <f aca="false">R1419*L1419</f>
        <v>0</v>
      </c>
      <c r="T1419" s="47" t="n">
        <f aca="false">R1419*J1419</f>
        <v>0</v>
      </c>
      <c r="U1419" s="47" t="n">
        <f aca="false">R1419*K1419</f>
        <v>0</v>
      </c>
      <c r="V1419" s="0" t="str">
        <f aca="false">IF(COUNTIFS($A$2:A1419,A1419,$C$2:C1419,C1419,$D$2:D1419,D1419)&gt;1,"중복","")</f>
        <v/>
      </c>
      <c r="W1419" s="0" t="n">
        <f aca="false">IF(V1419="중복",0,N(D1419))</f>
        <v>20</v>
      </c>
      <c r="X1419" s="0" t="n">
        <f aca="false">IF(COUNTIFS($A$2:A1419,A1419,$C$2:C1419,C1419)=1,ABS(SUMIFS(RAW_발주!$D:$D,RAW_발주!$C:$C,A1419,RAW_발주!$A:$A,C1419)-SUMIFS($W:$W,$A:$A,A1419,$C:$C,C1419)),0)</f>
        <v>0</v>
      </c>
    </row>
    <row r="1420" customFormat="false" ht="15" hidden="false" customHeight="true" outlineLevel="0" collapsed="false">
      <c r="A1420" s="45" t="s">
        <v>1664</v>
      </c>
      <c r="B1420" s="42" t="str">
        <f aca="false">IF(A1420="100","HK",IF(A1420="200","CN",IF(A1420="300","TW","홀세일")))</f>
        <v>홀세일</v>
      </c>
      <c r="C1420" s="45" t="s">
        <v>611</v>
      </c>
      <c r="D1420" s="46" t="n">
        <v>20</v>
      </c>
      <c r="E1420" s="46" t="n">
        <v>69000</v>
      </c>
      <c r="F1420" s="46" t="n">
        <v>17274</v>
      </c>
      <c r="G1420" s="42" t="n">
        <v>3.43</v>
      </c>
      <c r="H1420" s="42" t="n">
        <v>18.4</v>
      </c>
      <c r="J1420" s="46" t="n">
        <f aca="false">IF(N(E1420)&gt;0,E1420,IF(N(F1420)&gt;0,F1420*요약!$F$27,0))</f>
        <v>69000</v>
      </c>
      <c r="K1420" s="46" t="n">
        <f aca="false">IF(N(F1420)&gt;0,F1420,IF(N(E1420)&gt;0,E1420/요약!$F$27,0))</f>
        <v>17274</v>
      </c>
      <c r="L1420" s="46" t="n">
        <f aca="false">IF(B1420="CN",IF(N(I1420)&gt;0,I1420*요약!$G$27,K1420*(1+요약!$E$27)),IF(N(H1420)&gt;0,H1420*요약!$G$27,J1420*요약!$D$27))</f>
        <v>24288</v>
      </c>
      <c r="M1420" s="46" t="n">
        <f aca="false">D1420*J1420</f>
        <v>1380000</v>
      </c>
      <c r="N1420" s="46" t="n">
        <f aca="false">D1420*K1420</f>
        <v>345480</v>
      </c>
      <c r="O1420" s="46" t="n">
        <f aca="false">D1420*L1420</f>
        <v>485760</v>
      </c>
      <c r="P1420" s="42" t="str">
        <f aca="false">TRIM(IF(N(E1420)&lt;=0,"택가보정 ","")&amp;IF(N(F1420)&lt;=0,"원가보정 ","")&amp;IF(AND(B1420&lt;&gt;"CN",N(H1420)&lt;=0),"공급가보정 ","")&amp;IF(AND(B1420="CN",N(I1420)&lt;=0),"중국공급가=원가+마진 ",""))</f>
        <v/>
      </c>
      <c r="Q1420" s="47" t="n">
        <f aca="false">IF(SUMIFS($W:$W,$A:$A,A1420,$C:$C,C1420)=0,0,SUMIFS(RAW_판매펀칭!$K:$K,RAW_판매펀칭!$P:$P,A1420,RAW_판매펀칭!$I:$I,C1420)*W1420/SUMIFS($W:$W,$A:$A,A1420,$C:$C,C1420))</f>
        <v>0</v>
      </c>
      <c r="R1420" s="47" t="n">
        <f aca="false">IF(OR(A1420="500",A1420="800",A1420="810"),0,MAX(W1420-Q1420,0))</f>
        <v>0</v>
      </c>
      <c r="S1420" s="47" t="n">
        <f aca="false">R1420*L1420</f>
        <v>0</v>
      </c>
      <c r="T1420" s="47" t="n">
        <f aca="false">R1420*J1420</f>
        <v>0</v>
      </c>
      <c r="U1420" s="47" t="n">
        <f aca="false">R1420*K1420</f>
        <v>0</v>
      </c>
      <c r="V1420" s="0" t="str">
        <f aca="false">IF(COUNTIFS($A$2:A1420,A1420,$C$2:C1420,C1420,$D$2:D1420,D1420)&gt;1,"중복","")</f>
        <v>중복</v>
      </c>
      <c r="W1420" s="0" t="n">
        <f aca="false">IF(V1420="중복",0,N(D1420))</f>
        <v>0</v>
      </c>
      <c r="X1420" s="0" t="n">
        <f aca="false">IF(COUNTIFS($A$2:A1420,A1420,$C$2:C1420,C1420)=1,ABS(SUMIFS(RAW_발주!$D:$D,RAW_발주!$C:$C,A1420,RAW_발주!$A:$A,C1420)-SUMIFS($W:$W,$A:$A,A1420,$C:$C,C1420)),0)</f>
        <v>0</v>
      </c>
    </row>
    <row r="1421" customFormat="false" ht="15" hidden="false" customHeight="true" outlineLevel="0" collapsed="false">
      <c r="A1421" s="45" t="s">
        <v>1665</v>
      </c>
      <c r="B1421" s="42" t="str">
        <f aca="false">IF(A1421="100","HK",IF(A1421="200","CN",IF(A1421="300","TW","홀세일")))</f>
        <v>홀세일</v>
      </c>
      <c r="C1421" s="45" t="s">
        <v>611</v>
      </c>
      <c r="D1421" s="46" t="n">
        <v>48</v>
      </c>
      <c r="E1421" s="46" t="n">
        <v>69000</v>
      </c>
      <c r="F1421" s="46" t="n">
        <v>17274</v>
      </c>
      <c r="G1421" s="42" t="n">
        <v>3.43</v>
      </c>
      <c r="H1421" s="42" t="n">
        <v>18.4</v>
      </c>
      <c r="J1421" s="46" t="n">
        <f aca="false">IF(N(E1421)&gt;0,E1421,IF(N(F1421)&gt;0,F1421*요약!$F$27,0))</f>
        <v>69000</v>
      </c>
      <c r="K1421" s="46" t="n">
        <f aca="false">IF(N(F1421)&gt;0,F1421,IF(N(E1421)&gt;0,E1421/요약!$F$27,0))</f>
        <v>17274</v>
      </c>
      <c r="L1421" s="46" t="n">
        <f aca="false">IF(B1421="CN",IF(N(I1421)&gt;0,I1421*요약!$G$27,K1421*(1+요약!$E$27)),IF(N(H1421)&gt;0,H1421*요약!$G$27,J1421*요약!$D$27))</f>
        <v>24288</v>
      </c>
      <c r="M1421" s="46" t="n">
        <f aca="false">D1421*J1421</f>
        <v>3312000</v>
      </c>
      <c r="N1421" s="46" t="n">
        <f aca="false">D1421*K1421</f>
        <v>829152</v>
      </c>
      <c r="O1421" s="46" t="n">
        <f aca="false">D1421*L1421</f>
        <v>1165824</v>
      </c>
      <c r="P1421" s="42" t="str">
        <f aca="false">TRIM(IF(N(E1421)&lt;=0,"택가보정 ","")&amp;IF(N(F1421)&lt;=0,"원가보정 ","")&amp;IF(AND(B1421&lt;&gt;"CN",N(H1421)&lt;=0),"공급가보정 ","")&amp;IF(AND(B1421="CN",N(I1421)&lt;=0),"중국공급가=원가+마진 ",""))</f>
        <v/>
      </c>
      <c r="Q1421" s="47" t="n">
        <f aca="false">IF(SUMIFS($W:$W,$A:$A,A1421,$C:$C,C1421)=0,0,SUMIFS(RAW_판매펀칭!$K:$K,RAW_판매펀칭!$P:$P,A1421,RAW_판매펀칭!$I:$I,C1421)*W1421/SUMIFS($W:$W,$A:$A,A1421,$C:$C,C1421))</f>
        <v>48</v>
      </c>
      <c r="R1421" s="47" t="n">
        <f aca="false">IF(OR(A1421="500",A1421="800",A1421="810"),0,MAX(W1421-Q1421,0))</f>
        <v>0</v>
      </c>
      <c r="S1421" s="47" t="n">
        <f aca="false">R1421*L1421</f>
        <v>0</v>
      </c>
      <c r="T1421" s="47" t="n">
        <f aca="false">R1421*J1421</f>
        <v>0</v>
      </c>
      <c r="U1421" s="47" t="n">
        <f aca="false">R1421*K1421</f>
        <v>0</v>
      </c>
      <c r="V1421" s="0" t="str">
        <f aca="false">IF(COUNTIFS($A$2:A1421,A1421,$C$2:C1421,C1421,$D$2:D1421,D1421)&gt;1,"중복","")</f>
        <v/>
      </c>
      <c r="W1421" s="0" t="n">
        <f aca="false">IF(V1421="중복",0,N(D1421))</f>
        <v>48</v>
      </c>
      <c r="X1421" s="0" t="n">
        <f aca="false">IF(COUNTIFS($A$2:A1421,A1421,$C$2:C1421,C1421)=1,ABS(SUMIFS(RAW_발주!$D:$D,RAW_발주!$C:$C,A1421,RAW_발주!$A:$A,C1421)-SUMIFS($W:$W,$A:$A,A1421,$C:$C,C1421)),0)</f>
        <v>0</v>
      </c>
    </row>
    <row r="1422" customFormat="false" ht="15" hidden="false" customHeight="true" outlineLevel="0" collapsed="false">
      <c r="A1422" s="45" t="s">
        <v>1659</v>
      </c>
      <c r="B1422" s="42" t="str">
        <f aca="false">IF(A1422="100","HK",IF(A1422="200","CN",IF(A1422="300","TW","홀세일")))</f>
        <v>HK</v>
      </c>
      <c r="C1422" s="45" t="s">
        <v>962</v>
      </c>
      <c r="D1422" s="46" t="n">
        <v>100</v>
      </c>
      <c r="E1422" s="46" t="n">
        <v>39000</v>
      </c>
      <c r="F1422" s="46" t="n">
        <v>9311</v>
      </c>
      <c r="G1422" s="42" t="n">
        <v>2.55</v>
      </c>
      <c r="H1422" s="42" t="n">
        <v>10.4</v>
      </c>
      <c r="J1422" s="46" t="n">
        <f aca="false">IF(N(E1422)&gt;0,E1422,IF(N(F1422)&gt;0,F1422*요약!$F$27,0))</f>
        <v>39000</v>
      </c>
      <c r="K1422" s="46" t="n">
        <f aca="false">IF(N(F1422)&gt;0,F1422,IF(N(E1422)&gt;0,E1422/요약!$F$27,0))</f>
        <v>9311</v>
      </c>
      <c r="L1422" s="46" t="n">
        <f aca="false">IF(B1422="CN",IF(N(I1422)&gt;0,I1422*요약!$G$27,K1422*(1+요약!$E$27)),IF(N(H1422)&gt;0,H1422*요약!$G$27,J1422*요약!$D$27))</f>
        <v>13728</v>
      </c>
      <c r="M1422" s="46" t="n">
        <f aca="false">D1422*J1422</f>
        <v>3900000</v>
      </c>
      <c r="N1422" s="46" t="n">
        <f aca="false">D1422*K1422</f>
        <v>931100</v>
      </c>
      <c r="O1422" s="46" t="n">
        <f aca="false">D1422*L1422</f>
        <v>1372800</v>
      </c>
      <c r="P1422" s="42" t="str">
        <f aca="false">TRIM(IF(N(E1422)&lt;=0,"택가보정 ","")&amp;IF(N(F1422)&lt;=0,"원가보정 ","")&amp;IF(AND(B1422&lt;&gt;"CN",N(H1422)&lt;=0),"공급가보정 ","")&amp;IF(AND(B1422="CN",N(I1422)&lt;=0),"중국공급가=원가+마진 ",""))</f>
        <v/>
      </c>
      <c r="Q1422" s="47" t="n">
        <f aca="false">IF(SUMIFS($W:$W,$A:$A,A1422,$C:$C,C1422)=0,0,SUMIFS(RAW_판매펀칭!$K:$K,RAW_판매펀칭!$P:$P,A1422,RAW_판매펀칭!$I:$I,C1422)*W1422/SUMIFS($W:$W,$A:$A,A1422,$C:$C,C1422))</f>
        <v>100</v>
      </c>
      <c r="R1422" s="47" t="n">
        <f aca="false">IF(OR(A1422="500",A1422="800",A1422="810"),0,MAX(W1422-Q1422,0))</f>
        <v>0</v>
      </c>
      <c r="S1422" s="47" t="n">
        <f aca="false">R1422*L1422</f>
        <v>0</v>
      </c>
      <c r="T1422" s="47" t="n">
        <f aca="false">R1422*J1422</f>
        <v>0</v>
      </c>
      <c r="U1422" s="47" t="n">
        <f aca="false">R1422*K1422</f>
        <v>0</v>
      </c>
      <c r="V1422" s="0" t="str">
        <f aca="false">IF(COUNTIFS($A$2:A1422,A1422,$C$2:C1422,C1422,$D$2:D1422,D1422)&gt;1,"중복","")</f>
        <v/>
      </c>
      <c r="W1422" s="0" t="n">
        <f aca="false">IF(V1422="중복",0,N(D1422))</f>
        <v>100</v>
      </c>
      <c r="X1422" s="0" t="n">
        <f aca="false">IF(COUNTIFS($A$2:A1422,A1422,$C$2:C1422,C1422)=1,ABS(SUMIFS(RAW_발주!$D:$D,RAW_발주!$C:$C,A1422,RAW_발주!$A:$A,C1422)-SUMIFS($W:$W,$A:$A,A1422,$C:$C,C1422)),0)</f>
        <v>0</v>
      </c>
    </row>
    <row r="1423" customFormat="false" ht="15" hidden="false" customHeight="true" outlineLevel="0" collapsed="false">
      <c r="A1423" s="45" t="s">
        <v>1667</v>
      </c>
      <c r="B1423" s="42" t="str">
        <f aca="false">IF(A1423="100","HK",IF(A1423="200","CN",IF(A1423="300","TW","홀세일")))</f>
        <v>홀세일</v>
      </c>
      <c r="C1423" s="45" t="s">
        <v>962</v>
      </c>
      <c r="D1423" s="46" t="n">
        <v>190</v>
      </c>
      <c r="E1423" s="46" t="n">
        <v>39000</v>
      </c>
      <c r="F1423" s="46" t="n">
        <v>9311</v>
      </c>
      <c r="G1423" s="42" t="n">
        <v>2.55</v>
      </c>
      <c r="H1423" s="42" t="n">
        <v>10.4</v>
      </c>
      <c r="J1423" s="46" t="n">
        <f aca="false">IF(N(E1423)&gt;0,E1423,IF(N(F1423)&gt;0,F1423*요약!$F$27,0))</f>
        <v>39000</v>
      </c>
      <c r="K1423" s="46" t="n">
        <f aca="false">IF(N(F1423)&gt;0,F1423,IF(N(E1423)&gt;0,E1423/요약!$F$27,0))</f>
        <v>9311</v>
      </c>
      <c r="L1423" s="46" t="n">
        <f aca="false">IF(B1423="CN",IF(N(I1423)&gt;0,I1423*요약!$G$27,K1423*(1+요약!$E$27)),IF(N(H1423)&gt;0,H1423*요약!$G$27,J1423*요약!$D$27))</f>
        <v>13728</v>
      </c>
      <c r="M1423" s="46" t="n">
        <f aca="false">D1423*J1423</f>
        <v>7410000</v>
      </c>
      <c r="N1423" s="46" t="n">
        <f aca="false">D1423*K1423</f>
        <v>1769090</v>
      </c>
      <c r="O1423" s="46" t="n">
        <f aca="false">D1423*L1423</f>
        <v>2608320</v>
      </c>
      <c r="P1423" s="42" t="str">
        <f aca="false">TRIM(IF(N(E1423)&lt;=0,"택가보정 ","")&amp;IF(N(F1423)&lt;=0,"원가보정 ","")&amp;IF(AND(B1423&lt;&gt;"CN",N(H1423)&lt;=0),"공급가보정 ","")&amp;IF(AND(B1423="CN",N(I1423)&lt;=0),"중국공급가=원가+마진 ",""))</f>
        <v/>
      </c>
      <c r="Q1423" s="47" t="n">
        <f aca="false">IF(SUMIFS($W:$W,$A:$A,A1423,$C:$C,C1423)=0,0,SUMIFS(RAW_판매펀칭!$K:$K,RAW_판매펀칭!$P:$P,A1423,RAW_판매펀칭!$I:$I,C1423)*W1423/SUMIFS($W:$W,$A:$A,A1423,$C:$C,C1423))</f>
        <v>190</v>
      </c>
      <c r="R1423" s="47" t="n">
        <f aca="false">IF(OR(A1423="500",A1423="800",A1423="810"),0,MAX(W1423-Q1423,0))</f>
        <v>0</v>
      </c>
      <c r="S1423" s="47" t="n">
        <f aca="false">R1423*L1423</f>
        <v>0</v>
      </c>
      <c r="T1423" s="47" t="n">
        <f aca="false">R1423*J1423</f>
        <v>0</v>
      </c>
      <c r="U1423" s="47" t="n">
        <f aca="false">R1423*K1423</f>
        <v>0</v>
      </c>
      <c r="V1423" s="0" t="str">
        <f aca="false">IF(COUNTIFS($A$2:A1423,A1423,$C$2:C1423,C1423,$D$2:D1423,D1423)&gt;1,"중복","")</f>
        <v/>
      </c>
      <c r="W1423" s="0" t="n">
        <f aca="false">IF(V1423="중복",0,N(D1423))</f>
        <v>190</v>
      </c>
      <c r="X1423" s="0" t="n">
        <f aca="false">IF(COUNTIFS($A$2:A1423,A1423,$C$2:C1423,C1423)=1,ABS(SUMIFS(RAW_발주!$D:$D,RAW_발주!$C:$C,A1423,RAW_발주!$A:$A,C1423)-SUMIFS($W:$W,$A:$A,A1423,$C:$C,C1423)),0)</f>
        <v>0</v>
      </c>
    </row>
    <row r="1424" customFormat="false" ht="15" hidden="false" customHeight="true" outlineLevel="0" collapsed="false">
      <c r="A1424" s="45" t="s">
        <v>1659</v>
      </c>
      <c r="B1424" s="42" t="str">
        <f aca="false">IF(A1424="100","HK",IF(A1424="200","CN",IF(A1424="300","TW","홀세일")))</f>
        <v>HK</v>
      </c>
      <c r="C1424" s="45" t="s">
        <v>964</v>
      </c>
      <c r="D1424" s="46" t="n">
        <v>100</v>
      </c>
      <c r="E1424" s="46" t="n">
        <v>49000</v>
      </c>
      <c r="F1424" s="46" t="n">
        <v>12043</v>
      </c>
      <c r="G1424" s="42" t="n">
        <v>1.98</v>
      </c>
      <c r="H1424" s="42" t="n">
        <v>13.1</v>
      </c>
      <c r="J1424" s="46" t="n">
        <f aca="false">IF(N(E1424)&gt;0,E1424,IF(N(F1424)&gt;0,F1424*요약!$F$27,0))</f>
        <v>49000</v>
      </c>
      <c r="K1424" s="46" t="n">
        <f aca="false">IF(N(F1424)&gt;0,F1424,IF(N(E1424)&gt;0,E1424/요약!$F$27,0))</f>
        <v>12043</v>
      </c>
      <c r="L1424" s="46" t="n">
        <f aca="false">IF(B1424="CN",IF(N(I1424)&gt;0,I1424*요약!$G$27,K1424*(1+요약!$E$27)),IF(N(H1424)&gt;0,H1424*요약!$G$27,J1424*요약!$D$27))</f>
        <v>17292</v>
      </c>
      <c r="M1424" s="46" t="n">
        <f aca="false">D1424*J1424</f>
        <v>4900000</v>
      </c>
      <c r="N1424" s="46" t="n">
        <f aca="false">D1424*K1424</f>
        <v>1204300</v>
      </c>
      <c r="O1424" s="46" t="n">
        <f aca="false">D1424*L1424</f>
        <v>1729200</v>
      </c>
      <c r="P1424" s="42" t="str">
        <f aca="false">TRIM(IF(N(E1424)&lt;=0,"택가보정 ","")&amp;IF(N(F1424)&lt;=0,"원가보정 ","")&amp;IF(AND(B1424&lt;&gt;"CN",N(H1424)&lt;=0),"공급가보정 ","")&amp;IF(AND(B1424="CN",N(I1424)&lt;=0),"중국공급가=원가+마진 ",""))</f>
        <v/>
      </c>
      <c r="Q1424" s="47" t="n">
        <f aca="false">IF(SUMIFS($W:$W,$A:$A,A1424,$C:$C,C1424)=0,0,SUMIFS(RAW_판매펀칭!$K:$K,RAW_판매펀칭!$P:$P,A1424,RAW_판매펀칭!$I:$I,C1424)*W1424/SUMIFS($W:$W,$A:$A,A1424,$C:$C,C1424))</f>
        <v>100</v>
      </c>
      <c r="R1424" s="47" t="n">
        <f aca="false">IF(OR(A1424="500",A1424="800",A1424="810"),0,MAX(W1424-Q1424,0))</f>
        <v>0</v>
      </c>
      <c r="S1424" s="47" t="n">
        <f aca="false">R1424*L1424</f>
        <v>0</v>
      </c>
      <c r="T1424" s="47" t="n">
        <f aca="false">R1424*J1424</f>
        <v>0</v>
      </c>
      <c r="U1424" s="47" t="n">
        <f aca="false">R1424*K1424</f>
        <v>0</v>
      </c>
      <c r="V1424" s="0" t="str">
        <f aca="false">IF(COUNTIFS($A$2:A1424,A1424,$C$2:C1424,C1424,$D$2:D1424,D1424)&gt;1,"중복","")</f>
        <v/>
      </c>
      <c r="W1424" s="0" t="n">
        <f aca="false">IF(V1424="중복",0,N(D1424))</f>
        <v>100</v>
      </c>
      <c r="X1424" s="0" t="n">
        <f aca="false">IF(COUNTIFS($A$2:A1424,A1424,$C$2:C1424,C1424)=1,ABS(SUMIFS(RAW_발주!$D:$D,RAW_발주!$C:$C,A1424,RAW_발주!$A:$A,C1424)-SUMIFS($W:$W,$A:$A,A1424,$C:$C,C1424)),0)</f>
        <v>0</v>
      </c>
    </row>
    <row r="1425" customFormat="false" ht="15" hidden="false" customHeight="true" outlineLevel="0" collapsed="false">
      <c r="A1425" s="45" t="s">
        <v>1667</v>
      </c>
      <c r="B1425" s="42" t="str">
        <f aca="false">IF(A1425="100","HK",IF(A1425="200","CN",IF(A1425="300","TW","홀세일")))</f>
        <v>홀세일</v>
      </c>
      <c r="C1425" s="45" t="s">
        <v>964</v>
      </c>
      <c r="D1425" s="46" t="n">
        <v>190</v>
      </c>
      <c r="E1425" s="46" t="n">
        <v>49000</v>
      </c>
      <c r="F1425" s="46" t="n">
        <v>12043</v>
      </c>
      <c r="G1425" s="42" t="n">
        <v>1.98</v>
      </c>
      <c r="H1425" s="42" t="n">
        <v>13.1</v>
      </c>
      <c r="J1425" s="46" t="n">
        <f aca="false">IF(N(E1425)&gt;0,E1425,IF(N(F1425)&gt;0,F1425*요약!$F$27,0))</f>
        <v>49000</v>
      </c>
      <c r="K1425" s="46" t="n">
        <f aca="false">IF(N(F1425)&gt;0,F1425,IF(N(E1425)&gt;0,E1425/요약!$F$27,0))</f>
        <v>12043</v>
      </c>
      <c r="L1425" s="46" t="n">
        <f aca="false">IF(B1425="CN",IF(N(I1425)&gt;0,I1425*요약!$G$27,K1425*(1+요약!$E$27)),IF(N(H1425)&gt;0,H1425*요약!$G$27,J1425*요약!$D$27))</f>
        <v>17292</v>
      </c>
      <c r="M1425" s="46" t="n">
        <f aca="false">D1425*J1425</f>
        <v>9310000</v>
      </c>
      <c r="N1425" s="46" t="n">
        <f aca="false">D1425*K1425</f>
        <v>2288170</v>
      </c>
      <c r="O1425" s="46" t="n">
        <f aca="false">D1425*L1425</f>
        <v>3285480</v>
      </c>
      <c r="P1425" s="42" t="str">
        <f aca="false">TRIM(IF(N(E1425)&lt;=0,"택가보정 ","")&amp;IF(N(F1425)&lt;=0,"원가보정 ","")&amp;IF(AND(B1425&lt;&gt;"CN",N(H1425)&lt;=0),"공급가보정 ","")&amp;IF(AND(B1425="CN",N(I1425)&lt;=0),"중국공급가=원가+마진 ",""))</f>
        <v/>
      </c>
      <c r="Q1425" s="47" t="n">
        <f aca="false">IF(SUMIFS($W:$W,$A:$A,A1425,$C:$C,C1425)=0,0,SUMIFS(RAW_판매펀칭!$K:$K,RAW_판매펀칭!$P:$P,A1425,RAW_판매펀칭!$I:$I,C1425)*W1425/SUMIFS($W:$W,$A:$A,A1425,$C:$C,C1425))</f>
        <v>190</v>
      </c>
      <c r="R1425" s="47" t="n">
        <f aca="false">IF(OR(A1425="500",A1425="800",A1425="810"),0,MAX(W1425-Q1425,0))</f>
        <v>0</v>
      </c>
      <c r="S1425" s="47" t="n">
        <f aca="false">R1425*L1425</f>
        <v>0</v>
      </c>
      <c r="T1425" s="47" t="n">
        <f aca="false">R1425*J1425</f>
        <v>0</v>
      </c>
      <c r="U1425" s="47" t="n">
        <f aca="false">R1425*K1425</f>
        <v>0</v>
      </c>
      <c r="V1425" s="0" t="str">
        <f aca="false">IF(COUNTIFS($A$2:A1425,A1425,$C$2:C1425,C1425,$D$2:D1425,D1425)&gt;1,"중복","")</f>
        <v/>
      </c>
      <c r="W1425" s="0" t="n">
        <f aca="false">IF(V1425="중복",0,N(D1425))</f>
        <v>190</v>
      </c>
      <c r="X1425" s="0" t="n">
        <f aca="false">IF(COUNTIFS($A$2:A1425,A1425,$C$2:C1425,C1425)=1,ABS(SUMIFS(RAW_발주!$D:$D,RAW_발주!$C:$C,A1425,RAW_발주!$A:$A,C1425)-SUMIFS($W:$W,$A:$A,A1425,$C:$C,C1425)),0)</f>
        <v>0</v>
      </c>
    </row>
    <row r="1426" customFormat="false" ht="15" hidden="false" customHeight="true" outlineLevel="0" collapsed="false">
      <c r="A1426" s="45" t="s">
        <v>1667</v>
      </c>
      <c r="B1426" s="42" t="str">
        <f aca="false">IF(A1426="100","HK",IF(A1426="200","CN",IF(A1426="300","TW","홀세일")))</f>
        <v>홀세일</v>
      </c>
      <c r="C1426" s="45" t="s">
        <v>1423</v>
      </c>
      <c r="D1426" s="46" t="n">
        <v>190</v>
      </c>
      <c r="E1426" s="46" t="n">
        <v>59000</v>
      </c>
      <c r="F1426" s="46" t="n">
        <v>13538</v>
      </c>
      <c r="G1426" s="42" t="n">
        <v>2.35</v>
      </c>
      <c r="H1426" s="42" t="n">
        <v>15.7</v>
      </c>
      <c r="J1426" s="46" t="n">
        <f aca="false">IF(N(E1426)&gt;0,E1426,IF(N(F1426)&gt;0,F1426*요약!$F$27,0))</f>
        <v>59000</v>
      </c>
      <c r="K1426" s="46" t="n">
        <f aca="false">IF(N(F1426)&gt;0,F1426,IF(N(E1426)&gt;0,E1426/요약!$F$27,0))</f>
        <v>13538</v>
      </c>
      <c r="L1426" s="46" t="n">
        <f aca="false">IF(B1426="CN",IF(N(I1426)&gt;0,I1426*요약!$G$27,K1426*(1+요약!$E$27)),IF(N(H1426)&gt;0,H1426*요약!$G$27,J1426*요약!$D$27))</f>
        <v>20724</v>
      </c>
      <c r="M1426" s="46" t="n">
        <f aca="false">D1426*J1426</f>
        <v>11210000</v>
      </c>
      <c r="N1426" s="46" t="n">
        <f aca="false">D1426*K1426</f>
        <v>2572220</v>
      </c>
      <c r="O1426" s="46" t="n">
        <f aca="false">D1426*L1426</f>
        <v>3937560</v>
      </c>
      <c r="P1426" s="42" t="str">
        <f aca="false">TRIM(IF(N(E1426)&lt;=0,"택가보정 ","")&amp;IF(N(F1426)&lt;=0,"원가보정 ","")&amp;IF(AND(B1426&lt;&gt;"CN",N(H1426)&lt;=0),"공급가보정 ","")&amp;IF(AND(B1426="CN",N(I1426)&lt;=0),"중국공급가=원가+마진 ",""))</f>
        <v/>
      </c>
      <c r="Q1426" s="47" t="n">
        <f aca="false">IF(SUMIFS($W:$W,$A:$A,A1426,$C:$C,C1426)=0,0,SUMIFS(RAW_판매펀칭!$K:$K,RAW_판매펀칭!$P:$P,A1426,RAW_판매펀칭!$I:$I,C1426)*W1426/SUMIFS($W:$W,$A:$A,A1426,$C:$C,C1426))</f>
        <v>190</v>
      </c>
      <c r="R1426" s="47" t="n">
        <f aca="false">IF(OR(A1426="500",A1426="800",A1426="810"),0,MAX(W1426-Q1426,0))</f>
        <v>0</v>
      </c>
      <c r="S1426" s="47" t="n">
        <f aca="false">R1426*L1426</f>
        <v>0</v>
      </c>
      <c r="T1426" s="47" t="n">
        <f aca="false">R1426*J1426</f>
        <v>0</v>
      </c>
      <c r="U1426" s="47" t="n">
        <f aca="false">R1426*K1426</f>
        <v>0</v>
      </c>
      <c r="V1426" s="0" t="str">
        <f aca="false">IF(COUNTIFS($A$2:A1426,A1426,$C$2:C1426,C1426,$D$2:D1426,D1426)&gt;1,"중복","")</f>
        <v/>
      </c>
      <c r="W1426" s="0" t="n">
        <f aca="false">IF(V1426="중복",0,N(D1426))</f>
        <v>190</v>
      </c>
      <c r="X1426" s="0" t="n">
        <f aca="false">IF(COUNTIFS($A$2:A1426,A1426,$C$2:C1426,C1426)=1,ABS(SUMIFS(RAW_발주!$D:$D,RAW_발주!$C:$C,A1426,RAW_발주!$A:$A,C1426)-SUMIFS($W:$W,$A:$A,A1426,$C:$C,C1426)),0)</f>
        <v>0</v>
      </c>
    </row>
    <row r="1427" customFormat="false" ht="15" hidden="false" customHeight="true" outlineLevel="0" collapsed="false">
      <c r="A1427" s="45" t="s">
        <v>1659</v>
      </c>
      <c r="B1427" s="42" t="str">
        <f aca="false">IF(A1427="100","HK",IF(A1427="200","CN",IF(A1427="300","TW","홀세일")))</f>
        <v>HK</v>
      </c>
      <c r="C1427" s="45" t="s">
        <v>966</v>
      </c>
      <c r="D1427" s="46" t="n">
        <v>80</v>
      </c>
      <c r="E1427" s="46" t="n">
        <v>59000</v>
      </c>
      <c r="F1427" s="46" t="n">
        <v>15231</v>
      </c>
      <c r="G1427" s="42" t="n">
        <v>2.95</v>
      </c>
      <c r="H1427" s="42" t="n">
        <v>15.7</v>
      </c>
      <c r="J1427" s="46" t="n">
        <f aca="false">IF(N(E1427)&gt;0,E1427,IF(N(F1427)&gt;0,F1427*요약!$F$27,0))</f>
        <v>59000</v>
      </c>
      <c r="K1427" s="46" t="n">
        <f aca="false">IF(N(F1427)&gt;0,F1427,IF(N(E1427)&gt;0,E1427/요약!$F$27,0))</f>
        <v>15231</v>
      </c>
      <c r="L1427" s="46" t="n">
        <f aca="false">IF(B1427="CN",IF(N(I1427)&gt;0,I1427*요약!$G$27,K1427*(1+요약!$E$27)),IF(N(H1427)&gt;0,H1427*요약!$G$27,J1427*요약!$D$27))</f>
        <v>20724</v>
      </c>
      <c r="M1427" s="46" t="n">
        <f aca="false">D1427*J1427</f>
        <v>4720000</v>
      </c>
      <c r="N1427" s="46" t="n">
        <f aca="false">D1427*K1427</f>
        <v>1218480</v>
      </c>
      <c r="O1427" s="46" t="n">
        <f aca="false">D1427*L1427</f>
        <v>1657920</v>
      </c>
      <c r="P1427" s="42" t="str">
        <f aca="false">TRIM(IF(N(E1427)&lt;=0,"택가보정 ","")&amp;IF(N(F1427)&lt;=0,"원가보정 ","")&amp;IF(AND(B1427&lt;&gt;"CN",N(H1427)&lt;=0),"공급가보정 ","")&amp;IF(AND(B1427="CN",N(I1427)&lt;=0),"중국공급가=원가+마진 ",""))</f>
        <v/>
      </c>
      <c r="Q1427" s="47" t="n">
        <f aca="false">IF(SUMIFS($W:$W,$A:$A,A1427,$C:$C,C1427)=0,0,SUMIFS(RAW_판매펀칭!$K:$K,RAW_판매펀칭!$P:$P,A1427,RAW_판매펀칭!$I:$I,C1427)*W1427/SUMIFS($W:$W,$A:$A,A1427,$C:$C,C1427))</f>
        <v>80</v>
      </c>
      <c r="R1427" s="47" t="n">
        <f aca="false">IF(OR(A1427="500",A1427="800",A1427="810"),0,MAX(W1427-Q1427,0))</f>
        <v>0</v>
      </c>
      <c r="S1427" s="47" t="n">
        <f aca="false">R1427*L1427</f>
        <v>0</v>
      </c>
      <c r="T1427" s="47" t="n">
        <f aca="false">R1427*J1427</f>
        <v>0</v>
      </c>
      <c r="U1427" s="47" t="n">
        <f aca="false">R1427*K1427</f>
        <v>0</v>
      </c>
      <c r="V1427" s="0" t="str">
        <f aca="false">IF(COUNTIFS($A$2:A1427,A1427,$C$2:C1427,C1427,$D$2:D1427,D1427)&gt;1,"중복","")</f>
        <v/>
      </c>
      <c r="W1427" s="0" t="n">
        <f aca="false">IF(V1427="중복",0,N(D1427))</f>
        <v>80</v>
      </c>
      <c r="X1427" s="0" t="n">
        <f aca="false">IF(COUNTIFS($A$2:A1427,A1427,$C$2:C1427,C1427)=1,ABS(SUMIFS(RAW_발주!$D:$D,RAW_발주!$C:$C,A1427,RAW_발주!$A:$A,C1427)-SUMIFS($W:$W,$A:$A,A1427,$C:$C,C1427)),0)</f>
        <v>0</v>
      </c>
    </row>
    <row r="1428" customFormat="false" ht="15.75" hidden="false" customHeight="true" outlineLevel="0" collapsed="false">
      <c r="A1428" s="45" t="s">
        <v>1660</v>
      </c>
      <c r="B1428" s="42" t="str">
        <f aca="false">IF(A1428="100","HK",IF(A1428="200","CN",IF(A1428="300","TW","홀세일")))</f>
        <v>CN</v>
      </c>
      <c r="C1428" s="45" t="s">
        <v>966</v>
      </c>
      <c r="D1428" s="46" t="n">
        <v>112</v>
      </c>
      <c r="E1428" s="46" t="n">
        <v>59000</v>
      </c>
      <c r="F1428" s="46" t="n">
        <v>15231</v>
      </c>
      <c r="G1428" s="42" t="n">
        <v>2.95</v>
      </c>
      <c r="H1428" s="42" t="n">
        <v>15.7</v>
      </c>
      <c r="J1428" s="46" t="n">
        <f aca="false">IF(N(E1428)&gt;0,E1428,IF(N(F1428)&gt;0,F1428*요약!$F$27,0))</f>
        <v>59000</v>
      </c>
      <c r="K1428" s="46" t="n">
        <f aca="false">IF(N(F1428)&gt;0,F1428,IF(N(E1428)&gt;0,E1428/요약!$F$27,0))</f>
        <v>15231</v>
      </c>
      <c r="L1428" s="46" t="n">
        <f aca="false">IF(B1428="CN",IF(N(I1428)&gt;0,I1428*요약!$G$27,K1428*(1+요약!$E$27)),IF(N(H1428)&gt;0,H1428*요약!$G$27,J1428*요약!$D$27))</f>
        <v>15992.55</v>
      </c>
      <c r="M1428" s="46" t="n">
        <f aca="false">D1428*J1428</f>
        <v>6608000</v>
      </c>
      <c r="N1428" s="46" t="n">
        <f aca="false">D1428*K1428</f>
        <v>1705872</v>
      </c>
      <c r="O1428" s="46" t="n">
        <f aca="false">D1428*L1428</f>
        <v>1791165.6</v>
      </c>
      <c r="P1428" s="42" t="str">
        <f aca="false">TRIM(IF(N(E1428)&lt;=0,"택가보정 ","")&amp;IF(N(F1428)&lt;=0,"원가보정 ","")&amp;IF(AND(B1428&lt;&gt;"CN",N(H1428)&lt;=0),"공급가보정 ","")&amp;IF(AND(B1428="CN",N(I1428)&lt;=0),"중국공급가=원가+마진 ",""))</f>
        <v>중국공급가=원가+마진</v>
      </c>
      <c r="Q1428" s="47" t="n">
        <f aca="false">IF(SUMIFS($W:$W,$A:$A,A1428,$C:$C,C1428)=0,0,SUMIFS(RAW_판매펀칭!$K:$K,RAW_판매펀칭!$P:$P,A1428,RAW_판매펀칭!$I:$I,C1428)*W1428/SUMIFS($W:$W,$A:$A,A1428,$C:$C,C1428))</f>
        <v>112</v>
      </c>
      <c r="R1428" s="47" t="n">
        <f aca="false">IF(OR(A1428="500",A1428="800",A1428="810"),0,MAX(W1428-Q1428,0))</f>
        <v>0</v>
      </c>
      <c r="S1428" s="47" t="n">
        <f aca="false">R1428*L1428</f>
        <v>0</v>
      </c>
      <c r="T1428" s="47" t="n">
        <f aca="false">R1428*J1428</f>
        <v>0</v>
      </c>
      <c r="U1428" s="47" t="n">
        <f aca="false">R1428*K1428</f>
        <v>0</v>
      </c>
      <c r="V1428" s="0" t="str">
        <f aca="false">IF(COUNTIFS($A$2:A1428,A1428,$C$2:C1428,C1428,$D$2:D1428,D1428)&gt;1,"중복","")</f>
        <v/>
      </c>
      <c r="W1428" s="0" t="n">
        <f aca="false">IF(V1428="중복",0,N(D1428))</f>
        <v>112</v>
      </c>
      <c r="X1428" s="0" t="n">
        <f aca="false">IF(COUNTIFS($A$2:A1428,A1428,$C$2:C1428,C1428)=1,ABS(SUMIFS(RAW_발주!$D:$D,RAW_발주!$C:$C,A1428,RAW_발주!$A:$A,C1428)-SUMIFS($W:$W,$A:$A,A1428,$C:$C,C1428)),0)</f>
        <v>0</v>
      </c>
    </row>
    <row r="1429" customFormat="false" ht="15" hidden="false" customHeight="true" outlineLevel="0" collapsed="false">
      <c r="A1429" s="45" t="s">
        <v>1667</v>
      </c>
      <c r="B1429" s="42" t="str">
        <f aca="false">IF(A1429="100","HK",IF(A1429="200","CN",IF(A1429="300","TW","홀세일")))</f>
        <v>홀세일</v>
      </c>
      <c r="C1429" s="45" t="s">
        <v>966</v>
      </c>
      <c r="D1429" s="46" t="n">
        <v>90</v>
      </c>
      <c r="E1429" s="46" t="n">
        <v>59000</v>
      </c>
      <c r="F1429" s="46" t="n">
        <v>15231</v>
      </c>
      <c r="G1429" s="42" t="n">
        <v>2.95</v>
      </c>
      <c r="H1429" s="42" t="n">
        <v>15.7</v>
      </c>
      <c r="J1429" s="46" t="n">
        <f aca="false">IF(N(E1429)&gt;0,E1429,IF(N(F1429)&gt;0,F1429*요약!$F$27,0))</f>
        <v>59000</v>
      </c>
      <c r="K1429" s="46" t="n">
        <f aca="false">IF(N(F1429)&gt;0,F1429,IF(N(E1429)&gt;0,E1429/요약!$F$27,0))</f>
        <v>15231</v>
      </c>
      <c r="L1429" s="46" t="n">
        <f aca="false">IF(B1429="CN",IF(N(I1429)&gt;0,I1429*요약!$G$27,K1429*(1+요약!$E$27)),IF(N(H1429)&gt;0,H1429*요약!$G$27,J1429*요약!$D$27))</f>
        <v>20724</v>
      </c>
      <c r="M1429" s="46" t="n">
        <f aca="false">D1429*J1429</f>
        <v>5310000</v>
      </c>
      <c r="N1429" s="46" t="n">
        <f aca="false">D1429*K1429</f>
        <v>1370790</v>
      </c>
      <c r="O1429" s="46" t="n">
        <f aca="false">D1429*L1429</f>
        <v>1865160</v>
      </c>
      <c r="P1429" s="42" t="str">
        <f aca="false">TRIM(IF(N(E1429)&lt;=0,"택가보정 ","")&amp;IF(N(F1429)&lt;=0,"원가보정 ","")&amp;IF(AND(B1429&lt;&gt;"CN",N(H1429)&lt;=0),"공급가보정 ","")&amp;IF(AND(B1429="CN",N(I1429)&lt;=0),"중국공급가=원가+마진 ",""))</f>
        <v/>
      </c>
      <c r="Q1429" s="47" t="n">
        <f aca="false">IF(SUMIFS($W:$W,$A:$A,A1429,$C:$C,C1429)=0,0,SUMIFS(RAW_판매펀칭!$K:$K,RAW_판매펀칭!$P:$P,A1429,RAW_판매펀칭!$I:$I,C1429)*W1429/SUMIFS($W:$W,$A:$A,A1429,$C:$C,C1429))</f>
        <v>90</v>
      </c>
      <c r="R1429" s="47" t="n">
        <f aca="false">IF(OR(A1429="500",A1429="800",A1429="810"),0,MAX(W1429-Q1429,0))</f>
        <v>0</v>
      </c>
      <c r="S1429" s="47" t="n">
        <f aca="false">R1429*L1429</f>
        <v>0</v>
      </c>
      <c r="T1429" s="47" t="n">
        <f aca="false">R1429*J1429</f>
        <v>0</v>
      </c>
      <c r="U1429" s="47" t="n">
        <f aca="false">R1429*K1429</f>
        <v>0</v>
      </c>
      <c r="V1429" s="0" t="str">
        <f aca="false">IF(COUNTIFS($A$2:A1429,A1429,$C$2:C1429,C1429,$D$2:D1429,D1429)&gt;1,"중복","")</f>
        <v/>
      </c>
      <c r="W1429" s="0" t="n">
        <f aca="false">IF(V1429="중복",0,N(D1429))</f>
        <v>90</v>
      </c>
      <c r="X1429" s="0" t="n">
        <f aca="false">IF(COUNTIFS($A$2:A1429,A1429,$C$2:C1429,C1429)=1,ABS(SUMIFS(RAW_발주!$D:$D,RAW_발주!$C:$C,A1429,RAW_발주!$A:$A,C1429)-SUMIFS($W:$W,$A:$A,A1429,$C:$C,C1429)),0)</f>
        <v>0</v>
      </c>
    </row>
    <row r="1430" customFormat="false" ht="15" hidden="false" customHeight="true" outlineLevel="0" collapsed="false">
      <c r="A1430" s="45" t="s">
        <v>1659</v>
      </c>
      <c r="B1430" s="42" t="str">
        <f aca="false">IF(A1430="100","HK",IF(A1430="200","CN",IF(A1430="300","TW","홀세일")))</f>
        <v>HK</v>
      </c>
      <c r="C1430" s="45" t="s">
        <v>619</v>
      </c>
      <c r="D1430" s="46" t="n">
        <v>530</v>
      </c>
      <c r="E1430" s="46" t="n">
        <v>39000</v>
      </c>
      <c r="F1430" s="46" t="n">
        <v>8927</v>
      </c>
      <c r="G1430" s="42" t="n">
        <v>3.66</v>
      </c>
      <c r="H1430" s="42" t="n">
        <v>10.4</v>
      </c>
      <c r="J1430" s="46" t="n">
        <f aca="false">IF(N(E1430)&gt;0,E1430,IF(N(F1430)&gt;0,F1430*요약!$F$27,0))</f>
        <v>39000</v>
      </c>
      <c r="K1430" s="46" t="n">
        <f aca="false">IF(N(F1430)&gt;0,F1430,IF(N(E1430)&gt;0,E1430/요약!$F$27,0))</f>
        <v>8927</v>
      </c>
      <c r="L1430" s="46" t="n">
        <f aca="false">IF(B1430="CN",IF(N(I1430)&gt;0,I1430*요약!$G$27,K1430*(1+요약!$E$27)),IF(N(H1430)&gt;0,H1430*요약!$G$27,J1430*요약!$D$27))</f>
        <v>13728</v>
      </c>
      <c r="M1430" s="46" t="n">
        <f aca="false">D1430*J1430</f>
        <v>20670000</v>
      </c>
      <c r="N1430" s="46" t="n">
        <f aca="false">D1430*K1430</f>
        <v>4731310</v>
      </c>
      <c r="O1430" s="46" t="n">
        <f aca="false">D1430*L1430</f>
        <v>7275840</v>
      </c>
      <c r="P1430" s="42" t="str">
        <f aca="false">TRIM(IF(N(E1430)&lt;=0,"택가보정 ","")&amp;IF(N(F1430)&lt;=0,"원가보정 ","")&amp;IF(AND(B1430&lt;&gt;"CN",N(H1430)&lt;=0),"공급가보정 ","")&amp;IF(AND(B1430="CN",N(I1430)&lt;=0),"중국공급가=원가+마진 ",""))</f>
        <v/>
      </c>
      <c r="Q1430" s="47" t="n">
        <f aca="false">IF(SUMIFS($W:$W,$A:$A,A1430,$C:$C,C1430)=0,0,SUMIFS(RAW_판매펀칭!$K:$K,RAW_판매펀칭!$P:$P,A1430,RAW_판매펀칭!$I:$I,C1430)*W1430/SUMIFS($W:$W,$A:$A,A1430,$C:$C,C1430))</f>
        <v>530</v>
      </c>
      <c r="R1430" s="47" t="n">
        <f aca="false">IF(OR(A1430="500",A1430="800",A1430="810"),0,MAX(W1430-Q1430,0))</f>
        <v>0</v>
      </c>
      <c r="S1430" s="47" t="n">
        <f aca="false">R1430*L1430</f>
        <v>0</v>
      </c>
      <c r="T1430" s="47" t="n">
        <f aca="false">R1430*J1430</f>
        <v>0</v>
      </c>
      <c r="U1430" s="47" t="n">
        <f aca="false">R1430*K1430</f>
        <v>0</v>
      </c>
      <c r="V1430" s="0" t="str">
        <f aca="false">IF(COUNTIFS($A$2:A1430,A1430,$C$2:C1430,C1430,$D$2:D1430,D1430)&gt;1,"중복","")</f>
        <v/>
      </c>
      <c r="W1430" s="0" t="n">
        <f aca="false">IF(V1430="중복",0,N(D1430))</f>
        <v>530</v>
      </c>
      <c r="X1430" s="0" t="n">
        <f aca="false">IF(COUNTIFS($A$2:A1430,A1430,$C$2:C1430,C1430)=1,ABS(SUMIFS(RAW_발주!$D:$D,RAW_발주!$C:$C,A1430,RAW_발주!$A:$A,C1430)-SUMIFS($W:$W,$A:$A,A1430,$C:$C,C1430)),0)</f>
        <v>0</v>
      </c>
    </row>
    <row r="1431" customFormat="false" ht="15.75" hidden="false" customHeight="true" outlineLevel="0" collapsed="false">
      <c r="A1431" s="45" t="s">
        <v>1660</v>
      </c>
      <c r="B1431" s="42" t="str">
        <f aca="false">IF(A1431="100","HK",IF(A1431="200","CN",IF(A1431="300","TW","홀세일")))</f>
        <v>CN</v>
      </c>
      <c r="C1431" s="45" t="s">
        <v>619</v>
      </c>
      <c r="D1431" s="46" t="n">
        <v>474</v>
      </c>
      <c r="E1431" s="46" t="n">
        <v>39000</v>
      </c>
      <c r="F1431" s="46" t="n">
        <v>8927</v>
      </c>
      <c r="G1431" s="42" t="n">
        <v>3.66</v>
      </c>
      <c r="H1431" s="42" t="n">
        <v>10.4</v>
      </c>
      <c r="J1431" s="46" t="n">
        <f aca="false">IF(N(E1431)&gt;0,E1431,IF(N(F1431)&gt;0,F1431*요약!$F$27,0))</f>
        <v>39000</v>
      </c>
      <c r="K1431" s="46" t="n">
        <f aca="false">IF(N(F1431)&gt;0,F1431,IF(N(E1431)&gt;0,E1431/요약!$F$27,0))</f>
        <v>8927</v>
      </c>
      <c r="L1431" s="46" t="n">
        <f aca="false">IF(B1431="CN",IF(N(I1431)&gt;0,I1431*요약!$G$27,K1431*(1+요약!$E$27)),IF(N(H1431)&gt;0,H1431*요약!$G$27,J1431*요약!$D$27))</f>
        <v>9373.35</v>
      </c>
      <c r="M1431" s="46" t="n">
        <f aca="false">D1431*J1431</f>
        <v>18486000</v>
      </c>
      <c r="N1431" s="46" t="n">
        <f aca="false">D1431*K1431</f>
        <v>4231398</v>
      </c>
      <c r="O1431" s="46" t="n">
        <f aca="false">D1431*L1431</f>
        <v>4442967.9</v>
      </c>
      <c r="P1431" s="42" t="str">
        <f aca="false">TRIM(IF(N(E1431)&lt;=0,"택가보정 ","")&amp;IF(N(F1431)&lt;=0,"원가보정 ","")&amp;IF(AND(B1431&lt;&gt;"CN",N(H1431)&lt;=0),"공급가보정 ","")&amp;IF(AND(B1431="CN",N(I1431)&lt;=0),"중국공급가=원가+마진 ",""))</f>
        <v>중국공급가=원가+마진</v>
      </c>
      <c r="Q1431" s="47" t="n">
        <f aca="false">IF(SUMIFS($W:$W,$A:$A,A1431,$C:$C,C1431)=0,0,SUMIFS(RAW_판매펀칭!$K:$K,RAW_판매펀칭!$P:$P,A1431,RAW_판매펀칭!$I:$I,C1431)*W1431/SUMIFS($W:$W,$A:$A,A1431,$C:$C,C1431))</f>
        <v>0</v>
      </c>
      <c r="R1431" s="47" t="n">
        <f aca="false">IF(OR(A1431="500",A1431="800",A1431="810"),0,MAX(W1431-Q1431,0))</f>
        <v>474</v>
      </c>
      <c r="S1431" s="47" t="n">
        <f aca="false">R1431*L1431</f>
        <v>4442967.9</v>
      </c>
      <c r="T1431" s="47" t="n">
        <f aca="false">R1431*J1431</f>
        <v>18486000</v>
      </c>
      <c r="U1431" s="47" t="n">
        <f aca="false">R1431*K1431</f>
        <v>4231398</v>
      </c>
      <c r="V1431" s="0" t="str">
        <f aca="false">IF(COUNTIFS($A$2:A1431,A1431,$C$2:C1431,C1431,$D$2:D1431,D1431)&gt;1,"중복","")</f>
        <v/>
      </c>
      <c r="W1431" s="0" t="n">
        <f aca="false">IF(V1431="중복",0,N(D1431))</f>
        <v>474</v>
      </c>
      <c r="X1431" s="0" t="n">
        <f aca="false">IF(COUNTIFS($A$2:A1431,A1431,$C$2:C1431,C1431)=1,ABS(SUMIFS(RAW_발주!$D:$D,RAW_발주!$C:$C,A1431,RAW_발주!$A:$A,C1431)-SUMIFS($W:$W,$A:$A,A1431,$C:$C,C1431)),0)</f>
        <v>0</v>
      </c>
    </row>
    <row r="1432" customFormat="false" ht="15" hidden="false" customHeight="true" outlineLevel="0" collapsed="false">
      <c r="A1432" s="45" t="s">
        <v>1661</v>
      </c>
      <c r="B1432" s="42" t="str">
        <f aca="false">IF(A1432="100","HK",IF(A1432="200","CN",IF(A1432="300","TW","홀세일")))</f>
        <v>TW</v>
      </c>
      <c r="C1432" s="45" t="s">
        <v>619</v>
      </c>
      <c r="D1432" s="46" t="n">
        <v>690</v>
      </c>
      <c r="E1432" s="46" t="n">
        <v>39000</v>
      </c>
      <c r="F1432" s="46" t="n">
        <v>8927</v>
      </c>
      <c r="G1432" s="42" t="n">
        <v>3.66</v>
      </c>
      <c r="H1432" s="42" t="n">
        <v>10.4</v>
      </c>
      <c r="J1432" s="46" t="n">
        <f aca="false">IF(N(E1432)&gt;0,E1432,IF(N(F1432)&gt;0,F1432*요약!$F$27,0))</f>
        <v>39000</v>
      </c>
      <c r="K1432" s="46" t="n">
        <f aca="false">IF(N(F1432)&gt;0,F1432,IF(N(E1432)&gt;0,E1432/요약!$F$27,0))</f>
        <v>8927</v>
      </c>
      <c r="L1432" s="46" t="n">
        <f aca="false">IF(B1432="CN",IF(N(I1432)&gt;0,I1432*요약!$G$27,K1432*(1+요약!$E$27)),IF(N(H1432)&gt;0,H1432*요약!$G$27,J1432*요약!$D$27))</f>
        <v>13728</v>
      </c>
      <c r="M1432" s="46" t="n">
        <f aca="false">D1432*J1432</f>
        <v>26910000</v>
      </c>
      <c r="N1432" s="46" t="n">
        <f aca="false">D1432*K1432</f>
        <v>6159630</v>
      </c>
      <c r="O1432" s="46" t="n">
        <f aca="false">D1432*L1432</f>
        <v>9472320</v>
      </c>
      <c r="P1432" s="42" t="str">
        <f aca="false">TRIM(IF(N(E1432)&lt;=0,"택가보정 ","")&amp;IF(N(F1432)&lt;=0,"원가보정 ","")&amp;IF(AND(B1432&lt;&gt;"CN",N(H1432)&lt;=0),"공급가보정 ","")&amp;IF(AND(B1432="CN",N(I1432)&lt;=0),"중국공급가=원가+마진 ",""))</f>
        <v/>
      </c>
      <c r="Q1432" s="47" t="n">
        <f aca="false">IF(SUMIFS($W:$W,$A:$A,A1432,$C:$C,C1432)=0,0,SUMIFS(RAW_판매펀칭!$K:$K,RAW_판매펀칭!$P:$P,A1432,RAW_판매펀칭!$I:$I,C1432)*W1432/SUMIFS($W:$W,$A:$A,A1432,$C:$C,C1432))</f>
        <v>690</v>
      </c>
      <c r="R1432" s="47" t="n">
        <f aca="false">IF(OR(A1432="500",A1432="800",A1432="810"),0,MAX(W1432-Q1432,0))</f>
        <v>0</v>
      </c>
      <c r="S1432" s="47" t="n">
        <f aca="false">R1432*L1432</f>
        <v>0</v>
      </c>
      <c r="T1432" s="47" t="n">
        <f aca="false">R1432*J1432</f>
        <v>0</v>
      </c>
      <c r="U1432" s="47" t="n">
        <f aca="false">R1432*K1432</f>
        <v>0</v>
      </c>
      <c r="V1432" s="0" t="str">
        <f aca="false">IF(COUNTIFS($A$2:A1432,A1432,$C$2:C1432,C1432,$D$2:D1432,D1432)&gt;1,"중복","")</f>
        <v/>
      </c>
      <c r="W1432" s="0" t="n">
        <f aca="false">IF(V1432="중복",0,N(D1432))</f>
        <v>690</v>
      </c>
      <c r="X1432" s="0" t="n">
        <f aca="false">IF(COUNTIFS($A$2:A1432,A1432,$C$2:C1432,C1432)=1,ABS(SUMIFS(RAW_발주!$D:$D,RAW_발주!$C:$C,A1432,RAW_발주!$A:$A,C1432)-SUMIFS($W:$W,$A:$A,A1432,$C:$C,C1432)),0)</f>
        <v>0</v>
      </c>
    </row>
    <row r="1433" customFormat="false" ht="15" hidden="false" customHeight="true" outlineLevel="0" collapsed="false">
      <c r="A1433" s="45" t="s">
        <v>1662</v>
      </c>
      <c r="B1433" s="42" t="str">
        <f aca="false">IF(A1433="100","HK",IF(A1433="200","CN",IF(A1433="300","TW","홀세일")))</f>
        <v>홀세일</v>
      </c>
      <c r="C1433" s="45" t="s">
        <v>619</v>
      </c>
      <c r="D1433" s="46" t="n">
        <v>140</v>
      </c>
      <c r="E1433" s="46" t="n">
        <v>39000</v>
      </c>
      <c r="F1433" s="46" t="n">
        <v>8927</v>
      </c>
      <c r="G1433" s="42" t="n">
        <v>3.66</v>
      </c>
      <c r="H1433" s="42" t="n">
        <v>10.4</v>
      </c>
      <c r="J1433" s="46" t="n">
        <f aca="false">IF(N(E1433)&gt;0,E1433,IF(N(F1433)&gt;0,F1433*요약!$F$27,0))</f>
        <v>39000</v>
      </c>
      <c r="K1433" s="46" t="n">
        <f aca="false">IF(N(F1433)&gt;0,F1433,IF(N(E1433)&gt;0,E1433/요약!$F$27,0))</f>
        <v>8927</v>
      </c>
      <c r="L1433" s="46" t="n">
        <f aca="false">IF(B1433="CN",IF(N(I1433)&gt;0,I1433*요약!$G$27,K1433*(1+요약!$E$27)),IF(N(H1433)&gt;0,H1433*요약!$G$27,J1433*요약!$D$27))</f>
        <v>13728</v>
      </c>
      <c r="M1433" s="46" t="n">
        <f aca="false">D1433*J1433</f>
        <v>5460000</v>
      </c>
      <c r="N1433" s="46" t="n">
        <f aca="false">D1433*K1433</f>
        <v>1249780</v>
      </c>
      <c r="O1433" s="46" t="n">
        <f aca="false">D1433*L1433</f>
        <v>1921920</v>
      </c>
      <c r="P1433" s="42" t="str">
        <f aca="false">TRIM(IF(N(E1433)&lt;=0,"택가보정 ","")&amp;IF(N(F1433)&lt;=0,"원가보정 ","")&amp;IF(AND(B1433&lt;&gt;"CN",N(H1433)&lt;=0),"공급가보정 ","")&amp;IF(AND(B1433="CN",N(I1433)&lt;=0),"중국공급가=원가+마진 ",""))</f>
        <v/>
      </c>
      <c r="Q1433" s="47" t="n">
        <f aca="false">IF(SUMIFS($W:$W,$A:$A,A1433,$C:$C,C1433)=0,0,SUMIFS(RAW_판매펀칭!$K:$K,RAW_판매펀칭!$P:$P,A1433,RAW_판매펀칭!$I:$I,C1433)*W1433/SUMIFS($W:$W,$A:$A,A1433,$C:$C,C1433))</f>
        <v>0</v>
      </c>
      <c r="R1433" s="47" t="n">
        <f aca="false">IF(OR(A1433="500",A1433="800",A1433="810"),0,MAX(W1433-Q1433,0))</f>
        <v>0</v>
      </c>
      <c r="S1433" s="47" t="n">
        <f aca="false">R1433*L1433</f>
        <v>0</v>
      </c>
      <c r="T1433" s="47" t="n">
        <f aca="false">R1433*J1433</f>
        <v>0</v>
      </c>
      <c r="U1433" s="47" t="n">
        <f aca="false">R1433*K1433</f>
        <v>0</v>
      </c>
      <c r="V1433" s="0" t="str">
        <f aca="false">IF(COUNTIFS($A$2:A1433,A1433,$C$2:C1433,C1433,$D$2:D1433,D1433)&gt;1,"중복","")</f>
        <v/>
      </c>
      <c r="W1433" s="0" t="n">
        <f aca="false">IF(V1433="중복",0,N(D1433))</f>
        <v>140</v>
      </c>
      <c r="X1433" s="0" t="n">
        <f aca="false">IF(COUNTIFS($A$2:A1433,A1433,$C$2:C1433,C1433)=1,ABS(SUMIFS(RAW_발주!$D:$D,RAW_발주!$C:$C,A1433,RAW_발주!$A:$A,C1433)-SUMIFS($W:$W,$A:$A,A1433,$C:$C,C1433)),0)</f>
        <v>0</v>
      </c>
    </row>
    <row r="1434" customFormat="false" ht="15" hidden="false" customHeight="true" outlineLevel="0" collapsed="false">
      <c r="A1434" s="45" t="s">
        <v>1663</v>
      </c>
      <c r="B1434" s="42" t="str">
        <f aca="false">IF(A1434="100","HK",IF(A1434="200","CN",IF(A1434="300","TW","홀세일")))</f>
        <v>홀세일</v>
      </c>
      <c r="C1434" s="45" t="s">
        <v>619</v>
      </c>
      <c r="D1434" s="46" t="n">
        <v>180</v>
      </c>
      <c r="E1434" s="46" t="n">
        <v>39000</v>
      </c>
      <c r="F1434" s="46" t="n">
        <v>8927</v>
      </c>
      <c r="G1434" s="42" t="n">
        <v>3.66</v>
      </c>
      <c r="H1434" s="42" t="n">
        <v>10.4</v>
      </c>
      <c r="J1434" s="46" t="n">
        <f aca="false">IF(N(E1434)&gt;0,E1434,IF(N(F1434)&gt;0,F1434*요약!$F$27,0))</f>
        <v>39000</v>
      </c>
      <c r="K1434" s="46" t="n">
        <f aca="false">IF(N(F1434)&gt;0,F1434,IF(N(E1434)&gt;0,E1434/요약!$F$27,0))</f>
        <v>8927</v>
      </c>
      <c r="L1434" s="46" t="n">
        <f aca="false">IF(B1434="CN",IF(N(I1434)&gt;0,I1434*요약!$G$27,K1434*(1+요약!$E$27)),IF(N(H1434)&gt;0,H1434*요약!$G$27,J1434*요약!$D$27))</f>
        <v>13728</v>
      </c>
      <c r="M1434" s="46" t="n">
        <f aca="false">D1434*J1434</f>
        <v>7020000</v>
      </c>
      <c r="N1434" s="46" t="n">
        <f aca="false">D1434*K1434</f>
        <v>1606860</v>
      </c>
      <c r="O1434" s="46" t="n">
        <f aca="false">D1434*L1434</f>
        <v>2471040</v>
      </c>
      <c r="P1434" s="42" t="str">
        <f aca="false">TRIM(IF(N(E1434)&lt;=0,"택가보정 ","")&amp;IF(N(F1434)&lt;=0,"원가보정 ","")&amp;IF(AND(B1434&lt;&gt;"CN",N(H1434)&lt;=0),"공급가보정 ","")&amp;IF(AND(B1434="CN",N(I1434)&lt;=0),"중국공급가=원가+마진 ",""))</f>
        <v/>
      </c>
      <c r="Q1434" s="47" t="n">
        <f aca="false">IF(SUMIFS($W:$W,$A:$A,A1434,$C:$C,C1434)=0,0,SUMIFS(RAW_판매펀칭!$K:$K,RAW_판매펀칭!$P:$P,A1434,RAW_판매펀칭!$I:$I,C1434)*W1434/SUMIFS($W:$W,$A:$A,A1434,$C:$C,C1434))</f>
        <v>180</v>
      </c>
      <c r="R1434" s="47" t="n">
        <f aca="false">IF(OR(A1434="500",A1434="800",A1434="810"),0,MAX(W1434-Q1434,0))</f>
        <v>0</v>
      </c>
      <c r="S1434" s="47" t="n">
        <f aca="false">R1434*L1434</f>
        <v>0</v>
      </c>
      <c r="T1434" s="47" t="n">
        <f aca="false">R1434*J1434</f>
        <v>0</v>
      </c>
      <c r="U1434" s="47" t="n">
        <f aca="false">R1434*K1434</f>
        <v>0</v>
      </c>
      <c r="V1434" s="0" t="str">
        <f aca="false">IF(COUNTIFS($A$2:A1434,A1434,$C$2:C1434,C1434,$D$2:D1434,D1434)&gt;1,"중복","")</f>
        <v/>
      </c>
      <c r="W1434" s="0" t="n">
        <f aca="false">IF(V1434="중복",0,N(D1434))</f>
        <v>180</v>
      </c>
      <c r="X1434" s="0" t="n">
        <f aca="false">IF(COUNTIFS($A$2:A1434,A1434,$C$2:C1434,C1434)=1,ABS(SUMIFS(RAW_발주!$D:$D,RAW_발주!$C:$C,A1434,RAW_발주!$A:$A,C1434)-SUMIFS($W:$W,$A:$A,A1434,$C:$C,C1434)),0)</f>
        <v>0</v>
      </c>
    </row>
    <row r="1435" customFormat="false" ht="15" hidden="false" customHeight="true" outlineLevel="0" collapsed="false">
      <c r="A1435" s="45" t="s">
        <v>1667</v>
      </c>
      <c r="B1435" s="42" t="str">
        <f aca="false">IF(A1435="100","HK",IF(A1435="200","CN",IF(A1435="300","TW","홀세일")))</f>
        <v>홀세일</v>
      </c>
      <c r="C1435" s="45" t="s">
        <v>619</v>
      </c>
      <c r="D1435" s="46" t="n">
        <v>203</v>
      </c>
      <c r="E1435" s="46" t="n">
        <v>39000</v>
      </c>
      <c r="F1435" s="46" t="n">
        <v>8927</v>
      </c>
      <c r="G1435" s="42" t="n">
        <v>3.66</v>
      </c>
      <c r="H1435" s="42" t="n">
        <v>10.4</v>
      </c>
      <c r="J1435" s="46" t="n">
        <f aca="false">IF(N(E1435)&gt;0,E1435,IF(N(F1435)&gt;0,F1435*요약!$F$27,0))</f>
        <v>39000</v>
      </c>
      <c r="K1435" s="46" t="n">
        <f aca="false">IF(N(F1435)&gt;0,F1435,IF(N(E1435)&gt;0,E1435/요약!$F$27,0))</f>
        <v>8927</v>
      </c>
      <c r="L1435" s="46" t="n">
        <f aca="false">IF(B1435="CN",IF(N(I1435)&gt;0,I1435*요약!$G$27,K1435*(1+요약!$E$27)),IF(N(H1435)&gt;0,H1435*요약!$G$27,J1435*요약!$D$27))</f>
        <v>13728</v>
      </c>
      <c r="M1435" s="46" t="n">
        <f aca="false">D1435*J1435</f>
        <v>7917000</v>
      </c>
      <c r="N1435" s="46" t="n">
        <f aca="false">D1435*K1435</f>
        <v>1812181</v>
      </c>
      <c r="O1435" s="46" t="n">
        <f aca="false">D1435*L1435</f>
        <v>2786784</v>
      </c>
      <c r="P1435" s="42" t="str">
        <f aca="false">TRIM(IF(N(E1435)&lt;=0,"택가보정 ","")&amp;IF(N(F1435)&lt;=0,"원가보정 ","")&amp;IF(AND(B1435&lt;&gt;"CN",N(H1435)&lt;=0),"공급가보정 ","")&amp;IF(AND(B1435="CN",N(I1435)&lt;=0),"중국공급가=원가+마진 ",""))</f>
        <v/>
      </c>
      <c r="Q1435" s="47" t="n">
        <f aca="false">IF(SUMIFS($W:$W,$A:$A,A1435,$C:$C,C1435)=0,0,SUMIFS(RAW_판매펀칭!$K:$K,RAW_판매펀칭!$P:$P,A1435,RAW_판매펀칭!$I:$I,C1435)*W1435/SUMIFS($W:$W,$A:$A,A1435,$C:$C,C1435))</f>
        <v>203</v>
      </c>
      <c r="R1435" s="47" t="n">
        <f aca="false">IF(OR(A1435="500",A1435="800",A1435="810"),0,MAX(W1435-Q1435,0))</f>
        <v>0</v>
      </c>
      <c r="S1435" s="47" t="n">
        <f aca="false">R1435*L1435</f>
        <v>0</v>
      </c>
      <c r="T1435" s="47" t="n">
        <f aca="false">R1435*J1435</f>
        <v>0</v>
      </c>
      <c r="U1435" s="47" t="n">
        <f aca="false">R1435*K1435</f>
        <v>0</v>
      </c>
      <c r="V1435" s="0" t="str">
        <f aca="false">IF(COUNTIFS($A$2:A1435,A1435,$C$2:C1435,C1435,$D$2:D1435,D1435)&gt;1,"중복","")</f>
        <v/>
      </c>
      <c r="W1435" s="0" t="n">
        <f aca="false">IF(V1435="중복",0,N(D1435))</f>
        <v>203</v>
      </c>
      <c r="X1435" s="0" t="n">
        <f aca="false">IF(COUNTIFS($A$2:A1435,A1435,$C$2:C1435,C1435)=1,ABS(SUMIFS(RAW_발주!$D:$D,RAW_발주!$C:$C,A1435,RAW_발주!$A:$A,C1435)-SUMIFS($W:$W,$A:$A,A1435,$C:$C,C1435)),0)</f>
        <v>0</v>
      </c>
    </row>
    <row r="1436" customFormat="false" ht="15" hidden="false" customHeight="true" outlineLevel="0" collapsed="false">
      <c r="A1436" s="45" t="s">
        <v>1664</v>
      </c>
      <c r="B1436" s="42" t="str">
        <f aca="false">IF(A1436="100","HK",IF(A1436="200","CN",IF(A1436="300","TW","홀세일")))</f>
        <v>홀세일</v>
      </c>
      <c r="C1436" s="45" t="s">
        <v>619</v>
      </c>
      <c r="D1436" s="46" t="n">
        <v>90</v>
      </c>
      <c r="E1436" s="46" t="n">
        <v>39000</v>
      </c>
      <c r="F1436" s="46" t="n">
        <v>8927</v>
      </c>
      <c r="G1436" s="42" t="n">
        <v>3.66</v>
      </c>
      <c r="H1436" s="42" t="n">
        <v>10.4</v>
      </c>
      <c r="J1436" s="46" t="n">
        <f aca="false">IF(N(E1436)&gt;0,E1436,IF(N(F1436)&gt;0,F1436*요약!$F$27,0))</f>
        <v>39000</v>
      </c>
      <c r="K1436" s="46" t="n">
        <f aca="false">IF(N(F1436)&gt;0,F1436,IF(N(E1436)&gt;0,E1436/요약!$F$27,0))</f>
        <v>8927</v>
      </c>
      <c r="L1436" s="46" t="n">
        <f aca="false">IF(B1436="CN",IF(N(I1436)&gt;0,I1436*요약!$G$27,K1436*(1+요약!$E$27)),IF(N(H1436)&gt;0,H1436*요약!$G$27,J1436*요약!$D$27))</f>
        <v>13728</v>
      </c>
      <c r="M1436" s="46" t="n">
        <f aca="false">D1436*J1436</f>
        <v>3510000</v>
      </c>
      <c r="N1436" s="46" t="n">
        <f aca="false">D1436*K1436</f>
        <v>803430</v>
      </c>
      <c r="O1436" s="46" t="n">
        <f aca="false">D1436*L1436</f>
        <v>1235520</v>
      </c>
      <c r="P1436" s="42" t="str">
        <f aca="false">TRIM(IF(N(E1436)&lt;=0,"택가보정 ","")&amp;IF(N(F1436)&lt;=0,"원가보정 ","")&amp;IF(AND(B1436&lt;&gt;"CN",N(H1436)&lt;=0),"공급가보정 ","")&amp;IF(AND(B1436="CN",N(I1436)&lt;=0),"중국공급가=원가+마진 ",""))</f>
        <v/>
      </c>
      <c r="Q1436" s="47" t="n">
        <f aca="false">IF(SUMIFS($W:$W,$A:$A,A1436,$C:$C,C1436)=0,0,SUMIFS(RAW_판매펀칭!$K:$K,RAW_판매펀칭!$P:$P,A1436,RAW_판매펀칭!$I:$I,C1436)*W1436/SUMIFS($W:$W,$A:$A,A1436,$C:$C,C1436))</f>
        <v>90</v>
      </c>
      <c r="R1436" s="47" t="n">
        <f aca="false">IF(OR(A1436="500",A1436="800",A1436="810"),0,MAX(W1436-Q1436,0))</f>
        <v>0</v>
      </c>
      <c r="S1436" s="47" t="n">
        <f aca="false">R1436*L1436</f>
        <v>0</v>
      </c>
      <c r="T1436" s="47" t="n">
        <f aca="false">R1436*J1436</f>
        <v>0</v>
      </c>
      <c r="U1436" s="47" t="n">
        <f aca="false">R1436*K1436</f>
        <v>0</v>
      </c>
      <c r="V1436" s="0" t="str">
        <f aca="false">IF(COUNTIFS($A$2:A1436,A1436,$C$2:C1436,C1436,$D$2:D1436,D1436)&gt;1,"중복","")</f>
        <v/>
      </c>
      <c r="W1436" s="0" t="n">
        <f aca="false">IF(V1436="중복",0,N(D1436))</f>
        <v>90</v>
      </c>
      <c r="X1436" s="0" t="n">
        <f aca="false">IF(COUNTIFS($A$2:A1436,A1436,$C$2:C1436,C1436)=1,ABS(SUMIFS(RAW_발주!$D:$D,RAW_발주!$C:$C,A1436,RAW_발주!$A:$A,C1436)-SUMIFS($W:$W,$A:$A,A1436,$C:$C,C1436)),0)</f>
        <v>0</v>
      </c>
    </row>
    <row r="1437" customFormat="false" ht="15" hidden="false" customHeight="true" outlineLevel="0" collapsed="false">
      <c r="A1437" s="45" t="s">
        <v>1665</v>
      </c>
      <c r="B1437" s="42" t="str">
        <f aca="false">IF(A1437="100","HK",IF(A1437="200","CN",IF(A1437="300","TW","홀세일")))</f>
        <v>홀세일</v>
      </c>
      <c r="C1437" s="45" t="s">
        <v>619</v>
      </c>
      <c r="D1437" s="46" t="n">
        <v>168</v>
      </c>
      <c r="E1437" s="46" t="n">
        <v>39000</v>
      </c>
      <c r="F1437" s="46" t="n">
        <v>8927</v>
      </c>
      <c r="G1437" s="42" t="n">
        <v>3.66</v>
      </c>
      <c r="H1437" s="42" t="n">
        <v>10.4</v>
      </c>
      <c r="J1437" s="46" t="n">
        <f aca="false">IF(N(E1437)&gt;0,E1437,IF(N(F1437)&gt;0,F1437*요약!$F$27,0))</f>
        <v>39000</v>
      </c>
      <c r="K1437" s="46" t="n">
        <f aca="false">IF(N(F1437)&gt;0,F1437,IF(N(E1437)&gt;0,E1437/요약!$F$27,0))</f>
        <v>8927</v>
      </c>
      <c r="L1437" s="46" t="n">
        <f aca="false">IF(B1437="CN",IF(N(I1437)&gt;0,I1437*요약!$G$27,K1437*(1+요약!$E$27)),IF(N(H1437)&gt;0,H1437*요약!$G$27,J1437*요약!$D$27))</f>
        <v>13728</v>
      </c>
      <c r="M1437" s="46" t="n">
        <f aca="false">D1437*J1437</f>
        <v>6552000</v>
      </c>
      <c r="N1437" s="46" t="n">
        <f aca="false">D1437*K1437</f>
        <v>1499736</v>
      </c>
      <c r="O1437" s="46" t="n">
        <f aca="false">D1437*L1437</f>
        <v>2306304</v>
      </c>
      <c r="P1437" s="42" t="str">
        <f aca="false">TRIM(IF(N(E1437)&lt;=0,"택가보정 ","")&amp;IF(N(F1437)&lt;=0,"원가보정 ","")&amp;IF(AND(B1437&lt;&gt;"CN",N(H1437)&lt;=0),"공급가보정 ","")&amp;IF(AND(B1437="CN",N(I1437)&lt;=0),"중국공급가=원가+마진 ",""))</f>
        <v/>
      </c>
      <c r="Q1437" s="47" t="n">
        <f aca="false">IF(SUMIFS($W:$W,$A:$A,A1437,$C:$C,C1437)=0,0,SUMIFS(RAW_판매펀칭!$K:$K,RAW_판매펀칭!$P:$P,A1437,RAW_판매펀칭!$I:$I,C1437)*W1437/SUMIFS($W:$W,$A:$A,A1437,$C:$C,C1437))</f>
        <v>0</v>
      </c>
      <c r="R1437" s="47" t="n">
        <f aca="false">IF(OR(A1437="500",A1437="800",A1437="810"),0,MAX(W1437-Q1437,0))</f>
        <v>0</v>
      </c>
      <c r="S1437" s="47" t="n">
        <f aca="false">R1437*L1437</f>
        <v>0</v>
      </c>
      <c r="T1437" s="47" t="n">
        <f aca="false">R1437*J1437</f>
        <v>0</v>
      </c>
      <c r="U1437" s="47" t="n">
        <f aca="false">R1437*K1437</f>
        <v>0</v>
      </c>
      <c r="V1437" s="0" t="str">
        <f aca="false">IF(COUNTIFS($A$2:A1437,A1437,$C$2:C1437,C1437,$D$2:D1437,D1437)&gt;1,"중복","")</f>
        <v/>
      </c>
      <c r="W1437" s="0" t="n">
        <f aca="false">IF(V1437="중복",0,N(D1437))</f>
        <v>168</v>
      </c>
      <c r="X1437" s="0" t="n">
        <f aca="false">IF(COUNTIFS($A$2:A1437,A1437,$C$2:C1437,C1437)=1,ABS(SUMIFS(RAW_발주!$D:$D,RAW_발주!$C:$C,A1437,RAW_발주!$A:$A,C1437)-SUMIFS($W:$W,$A:$A,A1437,$C:$C,C1437)),0)</f>
        <v>0</v>
      </c>
    </row>
    <row r="1438" customFormat="false" ht="15" hidden="false" customHeight="true" outlineLevel="0" collapsed="false">
      <c r="A1438" s="45" t="s">
        <v>1659</v>
      </c>
      <c r="B1438" s="42" t="str">
        <f aca="false">IF(A1438="100","HK",IF(A1438="200","CN",IF(A1438="300","TW","홀세일")))</f>
        <v>HK</v>
      </c>
      <c r="C1438" s="45" t="s">
        <v>621</v>
      </c>
      <c r="D1438" s="46" t="n">
        <v>470</v>
      </c>
      <c r="E1438" s="46" t="n">
        <v>39000</v>
      </c>
      <c r="F1438" s="46" t="n">
        <v>8619</v>
      </c>
      <c r="G1438" s="42" t="n">
        <v>3.81</v>
      </c>
      <c r="H1438" s="42" t="n">
        <v>10.4</v>
      </c>
      <c r="I1438" s="42" t="n">
        <v>7.5</v>
      </c>
      <c r="J1438" s="46" t="n">
        <f aca="false">IF(N(E1438)&gt;0,E1438,IF(N(F1438)&gt;0,F1438*요약!$F$27,0))</f>
        <v>39000</v>
      </c>
      <c r="K1438" s="46" t="n">
        <f aca="false">IF(N(F1438)&gt;0,F1438,IF(N(E1438)&gt;0,E1438/요약!$F$27,0))</f>
        <v>8619</v>
      </c>
      <c r="L1438" s="46" t="n">
        <f aca="false">IF(B1438="CN",IF(N(I1438)&gt;0,I1438*요약!$G$27,K1438*(1+요약!$E$27)),IF(N(H1438)&gt;0,H1438*요약!$G$27,J1438*요약!$D$27))</f>
        <v>13728</v>
      </c>
      <c r="M1438" s="46" t="n">
        <f aca="false">D1438*J1438</f>
        <v>18330000</v>
      </c>
      <c r="N1438" s="46" t="n">
        <f aca="false">D1438*K1438</f>
        <v>4050930</v>
      </c>
      <c r="O1438" s="46" t="n">
        <f aca="false">D1438*L1438</f>
        <v>6452160</v>
      </c>
      <c r="P1438" s="42" t="str">
        <f aca="false">TRIM(IF(N(E1438)&lt;=0,"택가보정 ","")&amp;IF(N(F1438)&lt;=0,"원가보정 ","")&amp;IF(AND(B1438&lt;&gt;"CN",N(H1438)&lt;=0),"공급가보정 ","")&amp;IF(AND(B1438="CN",N(I1438)&lt;=0),"중국공급가=원가+마진 ",""))</f>
        <v/>
      </c>
      <c r="Q1438" s="47" t="n">
        <f aca="false">IF(SUMIFS($W:$W,$A:$A,A1438,$C:$C,C1438)=0,0,SUMIFS(RAW_판매펀칭!$K:$K,RAW_판매펀칭!$P:$P,A1438,RAW_판매펀칭!$I:$I,C1438)*W1438/SUMIFS($W:$W,$A:$A,A1438,$C:$C,C1438))</f>
        <v>470</v>
      </c>
      <c r="R1438" s="47" t="n">
        <f aca="false">IF(OR(A1438="500",A1438="800",A1438="810"),0,MAX(W1438-Q1438,0))</f>
        <v>0</v>
      </c>
      <c r="S1438" s="47" t="n">
        <f aca="false">R1438*L1438</f>
        <v>0</v>
      </c>
      <c r="T1438" s="47" t="n">
        <f aca="false">R1438*J1438</f>
        <v>0</v>
      </c>
      <c r="U1438" s="47" t="n">
        <f aca="false">R1438*K1438</f>
        <v>0</v>
      </c>
      <c r="V1438" s="0" t="str">
        <f aca="false">IF(COUNTIFS($A$2:A1438,A1438,$C$2:C1438,C1438,$D$2:D1438,D1438)&gt;1,"중복","")</f>
        <v/>
      </c>
      <c r="W1438" s="0" t="n">
        <f aca="false">IF(V1438="중복",0,N(D1438))</f>
        <v>470</v>
      </c>
      <c r="X1438" s="0" t="n">
        <f aca="false">IF(COUNTIFS($A$2:A1438,A1438,$C$2:C1438,C1438)=1,ABS(SUMIFS(RAW_발주!$D:$D,RAW_발주!$C:$C,A1438,RAW_발주!$A:$A,C1438)-SUMIFS($W:$W,$A:$A,A1438,$C:$C,C1438)),0)</f>
        <v>0</v>
      </c>
    </row>
    <row r="1439" customFormat="false" ht="15" hidden="false" customHeight="true" outlineLevel="0" collapsed="false">
      <c r="A1439" s="45" t="s">
        <v>1660</v>
      </c>
      <c r="B1439" s="42" t="str">
        <f aca="false">IF(A1439="100","HK",IF(A1439="200","CN",IF(A1439="300","TW","홀세일")))</f>
        <v>CN</v>
      </c>
      <c r="C1439" s="45" t="s">
        <v>621</v>
      </c>
      <c r="D1439" s="46" t="n">
        <v>803</v>
      </c>
      <c r="E1439" s="46" t="n">
        <v>39000</v>
      </c>
      <c r="F1439" s="46" t="n">
        <v>8619</v>
      </c>
      <c r="G1439" s="42" t="n">
        <v>3.81</v>
      </c>
      <c r="H1439" s="42" t="n">
        <v>10.4</v>
      </c>
      <c r="I1439" s="42" t="n">
        <v>7.5</v>
      </c>
      <c r="J1439" s="46" t="n">
        <f aca="false">IF(N(E1439)&gt;0,E1439,IF(N(F1439)&gt;0,F1439*요약!$F$27,0))</f>
        <v>39000</v>
      </c>
      <c r="K1439" s="46" t="n">
        <f aca="false">IF(N(F1439)&gt;0,F1439,IF(N(E1439)&gt;0,E1439/요약!$F$27,0))</f>
        <v>8619</v>
      </c>
      <c r="L1439" s="46" t="n">
        <f aca="false">IF(B1439="CN",IF(N(I1439)&gt;0,I1439*요약!$G$27,K1439*(1+요약!$E$27)),IF(N(H1439)&gt;0,H1439*요약!$G$27,J1439*요약!$D$27))</f>
        <v>9900</v>
      </c>
      <c r="M1439" s="46" t="n">
        <f aca="false">D1439*J1439</f>
        <v>31317000</v>
      </c>
      <c r="N1439" s="46" t="n">
        <f aca="false">D1439*K1439</f>
        <v>6921057</v>
      </c>
      <c r="O1439" s="46" t="n">
        <f aca="false">D1439*L1439</f>
        <v>7949700</v>
      </c>
      <c r="P1439" s="42" t="str">
        <f aca="false">TRIM(IF(N(E1439)&lt;=0,"택가보정 ","")&amp;IF(N(F1439)&lt;=0,"원가보정 ","")&amp;IF(AND(B1439&lt;&gt;"CN",N(H1439)&lt;=0),"공급가보정 ","")&amp;IF(AND(B1439="CN",N(I1439)&lt;=0),"중국공급가=원가+마진 ",""))</f>
        <v/>
      </c>
      <c r="Q1439" s="47" t="n">
        <f aca="false">IF(SUMIFS($W:$W,$A:$A,A1439,$C:$C,C1439)=0,0,SUMIFS(RAW_판매펀칭!$K:$K,RAW_판매펀칭!$P:$P,A1439,RAW_판매펀칭!$I:$I,C1439)*W1439/SUMIFS($W:$W,$A:$A,A1439,$C:$C,C1439))</f>
        <v>800</v>
      </c>
      <c r="R1439" s="47" t="n">
        <f aca="false">IF(OR(A1439="500",A1439="800",A1439="810"),0,MAX(W1439-Q1439,0))</f>
        <v>3</v>
      </c>
      <c r="S1439" s="47" t="n">
        <f aca="false">R1439*L1439</f>
        <v>29700</v>
      </c>
      <c r="T1439" s="47" t="n">
        <f aca="false">R1439*J1439</f>
        <v>117000</v>
      </c>
      <c r="U1439" s="47" t="n">
        <f aca="false">R1439*K1439</f>
        <v>25857</v>
      </c>
      <c r="V1439" s="0" t="str">
        <f aca="false">IF(COUNTIFS($A$2:A1439,A1439,$C$2:C1439,C1439,$D$2:D1439,D1439)&gt;1,"중복","")</f>
        <v/>
      </c>
      <c r="W1439" s="0" t="n">
        <f aca="false">IF(V1439="중복",0,N(D1439))</f>
        <v>803</v>
      </c>
      <c r="X1439" s="0" t="n">
        <f aca="false">IF(COUNTIFS($A$2:A1439,A1439,$C$2:C1439,C1439)=1,ABS(SUMIFS(RAW_발주!$D:$D,RAW_발주!$C:$C,A1439,RAW_발주!$A:$A,C1439)-SUMIFS($W:$W,$A:$A,A1439,$C:$C,C1439)),0)</f>
        <v>0</v>
      </c>
    </row>
    <row r="1440" customFormat="false" ht="15" hidden="false" customHeight="true" outlineLevel="0" collapsed="false">
      <c r="A1440" s="45" t="s">
        <v>1661</v>
      </c>
      <c r="B1440" s="42" t="str">
        <f aca="false">IF(A1440="100","HK",IF(A1440="200","CN",IF(A1440="300","TW","홀세일")))</f>
        <v>TW</v>
      </c>
      <c r="C1440" s="45" t="s">
        <v>621</v>
      </c>
      <c r="D1440" s="46" t="n">
        <v>550</v>
      </c>
      <c r="E1440" s="46" t="n">
        <v>39000</v>
      </c>
      <c r="F1440" s="46" t="n">
        <v>8619</v>
      </c>
      <c r="G1440" s="42" t="n">
        <v>3.81</v>
      </c>
      <c r="H1440" s="42" t="n">
        <v>10.4</v>
      </c>
      <c r="I1440" s="42" t="n">
        <v>7.5</v>
      </c>
      <c r="J1440" s="46" t="n">
        <f aca="false">IF(N(E1440)&gt;0,E1440,IF(N(F1440)&gt;0,F1440*요약!$F$27,0))</f>
        <v>39000</v>
      </c>
      <c r="K1440" s="46" t="n">
        <f aca="false">IF(N(F1440)&gt;0,F1440,IF(N(E1440)&gt;0,E1440/요약!$F$27,0))</f>
        <v>8619</v>
      </c>
      <c r="L1440" s="46" t="n">
        <f aca="false">IF(B1440="CN",IF(N(I1440)&gt;0,I1440*요약!$G$27,K1440*(1+요약!$E$27)),IF(N(H1440)&gt;0,H1440*요약!$G$27,J1440*요약!$D$27))</f>
        <v>13728</v>
      </c>
      <c r="M1440" s="46" t="n">
        <f aca="false">D1440*J1440</f>
        <v>21450000</v>
      </c>
      <c r="N1440" s="46" t="n">
        <f aca="false">D1440*K1440</f>
        <v>4740450</v>
      </c>
      <c r="O1440" s="46" t="n">
        <f aca="false">D1440*L1440</f>
        <v>7550400</v>
      </c>
      <c r="P1440" s="42" t="str">
        <f aca="false">TRIM(IF(N(E1440)&lt;=0,"택가보정 ","")&amp;IF(N(F1440)&lt;=0,"원가보정 ","")&amp;IF(AND(B1440&lt;&gt;"CN",N(H1440)&lt;=0),"공급가보정 ","")&amp;IF(AND(B1440="CN",N(I1440)&lt;=0),"중국공급가=원가+마진 ",""))</f>
        <v/>
      </c>
      <c r="Q1440" s="47" t="n">
        <f aca="false">IF(SUMIFS($W:$W,$A:$A,A1440,$C:$C,C1440)=0,0,SUMIFS(RAW_판매펀칭!$K:$K,RAW_판매펀칭!$P:$P,A1440,RAW_판매펀칭!$I:$I,C1440)*W1440/SUMIFS($W:$W,$A:$A,A1440,$C:$C,C1440))</f>
        <v>550</v>
      </c>
      <c r="R1440" s="47" t="n">
        <f aca="false">IF(OR(A1440="500",A1440="800",A1440="810"),0,MAX(W1440-Q1440,0))</f>
        <v>0</v>
      </c>
      <c r="S1440" s="47" t="n">
        <f aca="false">R1440*L1440</f>
        <v>0</v>
      </c>
      <c r="T1440" s="47" t="n">
        <f aca="false">R1440*J1440</f>
        <v>0</v>
      </c>
      <c r="U1440" s="47" t="n">
        <f aca="false">R1440*K1440</f>
        <v>0</v>
      </c>
      <c r="V1440" s="0" t="str">
        <f aca="false">IF(COUNTIFS($A$2:A1440,A1440,$C$2:C1440,C1440,$D$2:D1440,D1440)&gt;1,"중복","")</f>
        <v/>
      </c>
      <c r="W1440" s="0" t="n">
        <f aca="false">IF(V1440="중복",0,N(D1440))</f>
        <v>550</v>
      </c>
      <c r="X1440" s="0" t="n">
        <f aca="false">IF(COUNTIFS($A$2:A1440,A1440,$C$2:C1440,C1440)=1,ABS(SUMIFS(RAW_발주!$D:$D,RAW_발주!$C:$C,A1440,RAW_발주!$A:$A,C1440)-SUMIFS($W:$W,$A:$A,A1440,$C:$C,C1440)),0)</f>
        <v>0</v>
      </c>
    </row>
    <row r="1441" customFormat="false" ht="15" hidden="false" customHeight="true" outlineLevel="0" collapsed="false">
      <c r="A1441" s="45" t="s">
        <v>1662</v>
      </c>
      <c r="B1441" s="42" t="str">
        <f aca="false">IF(A1441="100","HK",IF(A1441="200","CN",IF(A1441="300","TW","홀세일")))</f>
        <v>홀세일</v>
      </c>
      <c r="C1441" s="45" t="s">
        <v>621</v>
      </c>
      <c r="D1441" s="46" t="n">
        <v>80</v>
      </c>
      <c r="E1441" s="46" t="n">
        <v>39000</v>
      </c>
      <c r="F1441" s="46" t="n">
        <v>8619</v>
      </c>
      <c r="G1441" s="42" t="n">
        <v>3.81</v>
      </c>
      <c r="H1441" s="42" t="n">
        <v>10.4</v>
      </c>
      <c r="I1441" s="42" t="n">
        <v>7.5</v>
      </c>
      <c r="J1441" s="46" t="n">
        <f aca="false">IF(N(E1441)&gt;0,E1441,IF(N(F1441)&gt;0,F1441*요약!$F$27,0))</f>
        <v>39000</v>
      </c>
      <c r="K1441" s="46" t="n">
        <f aca="false">IF(N(F1441)&gt;0,F1441,IF(N(E1441)&gt;0,E1441/요약!$F$27,0))</f>
        <v>8619</v>
      </c>
      <c r="L1441" s="46" t="n">
        <f aca="false">IF(B1441="CN",IF(N(I1441)&gt;0,I1441*요약!$G$27,K1441*(1+요약!$E$27)),IF(N(H1441)&gt;0,H1441*요약!$G$27,J1441*요약!$D$27))</f>
        <v>13728</v>
      </c>
      <c r="M1441" s="46" t="n">
        <f aca="false">D1441*J1441</f>
        <v>3120000</v>
      </c>
      <c r="N1441" s="46" t="n">
        <f aca="false">D1441*K1441</f>
        <v>689520</v>
      </c>
      <c r="O1441" s="46" t="n">
        <f aca="false">D1441*L1441</f>
        <v>1098240</v>
      </c>
      <c r="P1441" s="42" t="str">
        <f aca="false">TRIM(IF(N(E1441)&lt;=0,"택가보정 ","")&amp;IF(N(F1441)&lt;=0,"원가보정 ","")&amp;IF(AND(B1441&lt;&gt;"CN",N(H1441)&lt;=0),"공급가보정 ","")&amp;IF(AND(B1441="CN",N(I1441)&lt;=0),"중국공급가=원가+마진 ",""))</f>
        <v/>
      </c>
      <c r="Q1441" s="47" t="n">
        <f aca="false">IF(SUMIFS($W:$W,$A:$A,A1441,$C:$C,C1441)=0,0,SUMIFS(RAW_판매펀칭!$K:$K,RAW_판매펀칭!$P:$P,A1441,RAW_판매펀칭!$I:$I,C1441)*W1441/SUMIFS($W:$W,$A:$A,A1441,$C:$C,C1441))</f>
        <v>0</v>
      </c>
      <c r="R1441" s="47" t="n">
        <f aca="false">IF(OR(A1441="500",A1441="800",A1441="810"),0,MAX(W1441-Q1441,0))</f>
        <v>0</v>
      </c>
      <c r="S1441" s="47" t="n">
        <f aca="false">R1441*L1441</f>
        <v>0</v>
      </c>
      <c r="T1441" s="47" t="n">
        <f aca="false">R1441*J1441</f>
        <v>0</v>
      </c>
      <c r="U1441" s="47" t="n">
        <f aca="false">R1441*K1441</f>
        <v>0</v>
      </c>
      <c r="V1441" s="0" t="str">
        <f aca="false">IF(COUNTIFS($A$2:A1441,A1441,$C$2:C1441,C1441,$D$2:D1441,D1441)&gt;1,"중복","")</f>
        <v/>
      </c>
      <c r="W1441" s="0" t="n">
        <f aca="false">IF(V1441="중복",0,N(D1441))</f>
        <v>80</v>
      </c>
      <c r="X1441" s="0" t="n">
        <f aca="false">IF(COUNTIFS($A$2:A1441,A1441,$C$2:C1441,C1441)=1,ABS(SUMIFS(RAW_발주!$D:$D,RAW_발주!$C:$C,A1441,RAW_발주!$A:$A,C1441)-SUMIFS($W:$W,$A:$A,A1441,$C:$C,C1441)),0)</f>
        <v>0</v>
      </c>
    </row>
    <row r="1442" customFormat="false" ht="15" hidden="false" customHeight="true" outlineLevel="0" collapsed="false">
      <c r="A1442" s="45" t="s">
        <v>1663</v>
      </c>
      <c r="B1442" s="42" t="str">
        <f aca="false">IF(A1442="100","HK",IF(A1442="200","CN",IF(A1442="300","TW","홀세일")))</f>
        <v>홀세일</v>
      </c>
      <c r="C1442" s="45" t="s">
        <v>621</v>
      </c>
      <c r="D1442" s="46" t="n">
        <v>140</v>
      </c>
      <c r="E1442" s="46" t="n">
        <v>39000</v>
      </c>
      <c r="F1442" s="46" t="n">
        <v>8619</v>
      </c>
      <c r="G1442" s="42" t="n">
        <v>3.81</v>
      </c>
      <c r="H1442" s="42" t="n">
        <v>10.4</v>
      </c>
      <c r="I1442" s="42" t="n">
        <v>7.5</v>
      </c>
      <c r="J1442" s="46" t="n">
        <f aca="false">IF(N(E1442)&gt;0,E1442,IF(N(F1442)&gt;0,F1442*요약!$F$27,0))</f>
        <v>39000</v>
      </c>
      <c r="K1442" s="46" t="n">
        <f aca="false">IF(N(F1442)&gt;0,F1442,IF(N(E1442)&gt;0,E1442/요약!$F$27,0))</f>
        <v>8619</v>
      </c>
      <c r="L1442" s="46" t="n">
        <f aca="false">IF(B1442="CN",IF(N(I1442)&gt;0,I1442*요약!$G$27,K1442*(1+요약!$E$27)),IF(N(H1442)&gt;0,H1442*요약!$G$27,J1442*요약!$D$27))</f>
        <v>13728</v>
      </c>
      <c r="M1442" s="46" t="n">
        <f aca="false">D1442*J1442</f>
        <v>5460000</v>
      </c>
      <c r="N1442" s="46" t="n">
        <f aca="false">D1442*K1442</f>
        <v>1206660</v>
      </c>
      <c r="O1442" s="46" t="n">
        <f aca="false">D1442*L1442</f>
        <v>1921920</v>
      </c>
      <c r="P1442" s="42" t="str">
        <f aca="false">TRIM(IF(N(E1442)&lt;=0,"택가보정 ","")&amp;IF(N(F1442)&lt;=0,"원가보정 ","")&amp;IF(AND(B1442&lt;&gt;"CN",N(H1442)&lt;=0),"공급가보정 ","")&amp;IF(AND(B1442="CN",N(I1442)&lt;=0),"중국공급가=원가+마진 ",""))</f>
        <v/>
      </c>
      <c r="Q1442" s="47" t="n">
        <f aca="false">IF(SUMIFS($W:$W,$A:$A,A1442,$C:$C,C1442)=0,0,SUMIFS(RAW_판매펀칭!$K:$K,RAW_판매펀칭!$P:$P,A1442,RAW_판매펀칭!$I:$I,C1442)*W1442/SUMIFS($W:$W,$A:$A,A1442,$C:$C,C1442))</f>
        <v>140</v>
      </c>
      <c r="R1442" s="47" t="n">
        <f aca="false">IF(OR(A1442="500",A1442="800",A1442="810"),0,MAX(W1442-Q1442,0))</f>
        <v>0</v>
      </c>
      <c r="S1442" s="47" t="n">
        <f aca="false">R1442*L1442</f>
        <v>0</v>
      </c>
      <c r="T1442" s="47" t="n">
        <f aca="false">R1442*J1442</f>
        <v>0</v>
      </c>
      <c r="U1442" s="47" t="n">
        <f aca="false">R1442*K1442</f>
        <v>0</v>
      </c>
      <c r="V1442" s="0" t="str">
        <f aca="false">IF(COUNTIFS($A$2:A1442,A1442,$C$2:C1442,C1442,$D$2:D1442,D1442)&gt;1,"중복","")</f>
        <v/>
      </c>
      <c r="W1442" s="0" t="n">
        <f aca="false">IF(V1442="중복",0,N(D1442))</f>
        <v>140</v>
      </c>
      <c r="X1442" s="0" t="n">
        <f aca="false">IF(COUNTIFS($A$2:A1442,A1442,$C$2:C1442,C1442)=1,ABS(SUMIFS(RAW_발주!$D:$D,RAW_발주!$C:$C,A1442,RAW_발주!$A:$A,C1442)-SUMIFS($W:$W,$A:$A,A1442,$C:$C,C1442)),0)</f>
        <v>0</v>
      </c>
    </row>
    <row r="1443" customFormat="false" ht="15" hidden="false" customHeight="true" outlineLevel="0" collapsed="false">
      <c r="A1443" s="45" t="s">
        <v>1667</v>
      </c>
      <c r="B1443" s="42" t="str">
        <f aca="false">IF(A1443="100","HK",IF(A1443="200","CN",IF(A1443="300","TW","홀세일")))</f>
        <v>홀세일</v>
      </c>
      <c r="C1443" s="45" t="s">
        <v>621</v>
      </c>
      <c r="D1443" s="46" t="n">
        <v>642</v>
      </c>
      <c r="E1443" s="46" t="n">
        <v>39000</v>
      </c>
      <c r="F1443" s="46" t="n">
        <v>8619</v>
      </c>
      <c r="G1443" s="42" t="n">
        <v>3.81</v>
      </c>
      <c r="H1443" s="42" t="n">
        <v>10.4</v>
      </c>
      <c r="I1443" s="42" t="n">
        <v>7.5</v>
      </c>
      <c r="J1443" s="46" t="n">
        <f aca="false">IF(N(E1443)&gt;0,E1443,IF(N(F1443)&gt;0,F1443*요약!$F$27,0))</f>
        <v>39000</v>
      </c>
      <c r="K1443" s="46" t="n">
        <f aca="false">IF(N(F1443)&gt;0,F1443,IF(N(E1443)&gt;0,E1443/요약!$F$27,0))</f>
        <v>8619</v>
      </c>
      <c r="L1443" s="46" t="n">
        <f aca="false">IF(B1443="CN",IF(N(I1443)&gt;0,I1443*요약!$G$27,K1443*(1+요약!$E$27)),IF(N(H1443)&gt;0,H1443*요약!$G$27,J1443*요약!$D$27))</f>
        <v>13728</v>
      </c>
      <c r="M1443" s="46" t="n">
        <f aca="false">D1443*J1443</f>
        <v>25038000</v>
      </c>
      <c r="N1443" s="46" t="n">
        <f aca="false">D1443*K1443</f>
        <v>5533398</v>
      </c>
      <c r="O1443" s="46" t="n">
        <f aca="false">D1443*L1443</f>
        <v>8813376</v>
      </c>
      <c r="P1443" s="42" t="str">
        <f aca="false">TRIM(IF(N(E1443)&lt;=0,"택가보정 ","")&amp;IF(N(F1443)&lt;=0,"원가보정 ","")&amp;IF(AND(B1443&lt;&gt;"CN",N(H1443)&lt;=0),"공급가보정 ","")&amp;IF(AND(B1443="CN",N(I1443)&lt;=0),"중국공급가=원가+마진 ",""))</f>
        <v/>
      </c>
      <c r="Q1443" s="47" t="n">
        <f aca="false">IF(SUMIFS($W:$W,$A:$A,A1443,$C:$C,C1443)=0,0,SUMIFS(RAW_판매펀칭!$K:$K,RAW_판매펀칭!$P:$P,A1443,RAW_판매펀칭!$I:$I,C1443)*W1443/SUMIFS($W:$W,$A:$A,A1443,$C:$C,C1443))</f>
        <v>642</v>
      </c>
      <c r="R1443" s="47" t="n">
        <f aca="false">IF(OR(A1443="500",A1443="800",A1443="810"),0,MAX(W1443-Q1443,0))</f>
        <v>0</v>
      </c>
      <c r="S1443" s="47" t="n">
        <f aca="false">R1443*L1443</f>
        <v>0</v>
      </c>
      <c r="T1443" s="47" t="n">
        <f aca="false">R1443*J1443</f>
        <v>0</v>
      </c>
      <c r="U1443" s="47" t="n">
        <f aca="false">R1443*K1443</f>
        <v>0</v>
      </c>
      <c r="V1443" s="0" t="str">
        <f aca="false">IF(COUNTIFS($A$2:A1443,A1443,$C$2:C1443,C1443,$D$2:D1443,D1443)&gt;1,"중복","")</f>
        <v/>
      </c>
      <c r="W1443" s="0" t="n">
        <f aca="false">IF(V1443="중복",0,N(D1443))</f>
        <v>642</v>
      </c>
      <c r="X1443" s="0" t="n">
        <f aca="false">IF(COUNTIFS($A$2:A1443,A1443,$C$2:C1443,C1443)=1,ABS(SUMIFS(RAW_발주!$D:$D,RAW_발주!$C:$C,A1443,RAW_발주!$A:$A,C1443)-SUMIFS($W:$W,$A:$A,A1443,$C:$C,C1443)),0)</f>
        <v>0</v>
      </c>
    </row>
    <row r="1444" customFormat="false" ht="15" hidden="false" customHeight="true" outlineLevel="0" collapsed="false">
      <c r="A1444" s="45" t="s">
        <v>1664</v>
      </c>
      <c r="B1444" s="42" t="str">
        <f aca="false">IF(A1444="100","HK",IF(A1444="200","CN",IF(A1444="300","TW","홀세일")))</f>
        <v>홀세일</v>
      </c>
      <c r="C1444" s="45" t="s">
        <v>621</v>
      </c>
      <c r="D1444" s="46" t="n">
        <v>105</v>
      </c>
      <c r="E1444" s="46" t="n">
        <v>39000</v>
      </c>
      <c r="F1444" s="46" t="n">
        <v>8619</v>
      </c>
      <c r="G1444" s="42" t="n">
        <v>3.81</v>
      </c>
      <c r="H1444" s="42" t="n">
        <v>10.4</v>
      </c>
      <c r="I1444" s="42" t="n">
        <v>7.5</v>
      </c>
      <c r="J1444" s="46" t="n">
        <f aca="false">IF(N(E1444)&gt;0,E1444,IF(N(F1444)&gt;0,F1444*요약!$F$27,0))</f>
        <v>39000</v>
      </c>
      <c r="K1444" s="46" t="n">
        <f aca="false">IF(N(F1444)&gt;0,F1444,IF(N(E1444)&gt;0,E1444/요약!$F$27,0))</f>
        <v>8619</v>
      </c>
      <c r="L1444" s="46" t="n">
        <f aca="false">IF(B1444="CN",IF(N(I1444)&gt;0,I1444*요약!$G$27,K1444*(1+요약!$E$27)),IF(N(H1444)&gt;0,H1444*요약!$G$27,J1444*요약!$D$27))</f>
        <v>13728</v>
      </c>
      <c r="M1444" s="46" t="n">
        <f aca="false">D1444*J1444</f>
        <v>4095000</v>
      </c>
      <c r="N1444" s="46" t="n">
        <f aca="false">D1444*K1444</f>
        <v>904995</v>
      </c>
      <c r="O1444" s="46" t="n">
        <f aca="false">D1444*L1444</f>
        <v>1441440</v>
      </c>
      <c r="P1444" s="42" t="str">
        <f aca="false">TRIM(IF(N(E1444)&lt;=0,"택가보정 ","")&amp;IF(N(F1444)&lt;=0,"원가보정 ","")&amp;IF(AND(B1444&lt;&gt;"CN",N(H1444)&lt;=0),"공급가보정 ","")&amp;IF(AND(B1444="CN",N(I1444)&lt;=0),"중국공급가=원가+마진 ",""))</f>
        <v/>
      </c>
      <c r="Q1444" s="47" t="n">
        <f aca="false">IF(SUMIFS($W:$W,$A:$A,A1444,$C:$C,C1444)=0,0,SUMIFS(RAW_판매펀칭!$K:$K,RAW_판매펀칭!$P:$P,A1444,RAW_판매펀칭!$I:$I,C1444)*W1444/SUMIFS($W:$W,$A:$A,A1444,$C:$C,C1444))</f>
        <v>105</v>
      </c>
      <c r="R1444" s="47" t="n">
        <f aca="false">IF(OR(A1444="500",A1444="800",A1444="810"),0,MAX(W1444-Q1444,0))</f>
        <v>0</v>
      </c>
      <c r="S1444" s="47" t="n">
        <f aca="false">R1444*L1444</f>
        <v>0</v>
      </c>
      <c r="T1444" s="47" t="n">
        <f aca="false">R1444*J1444</f>
        <v>0</v>
      </c>
      <c r="U1444" s="47" t="n">
        <f aca="false">R1444*K1444</f>
        <v>0</v>
      </c>
      <c r="V1444" s="0" t="str">
        <f aca="false">IF(COUNTIFS($A$2:A1444,A1444,$C$2:C1444,C1444,$D$2:D1444,D1444)&gt;1,"중복","")</f>
        <v/>
      </c>
      <c r="W1444" s="0" t="n">
        <f aca="false">IF(V1444="중복",0,N(D1444))</f>
        <v>105</v>
      </c>
      <c r="X1444" s="0" t="n">
        <f aca="false">IF(COUNTIFS($A$2:A1444,A1444,$C$2:C1444,C1444)=1,ABS(SUMIFS(RAW_발주!$D:$D,RAW_발주!$C:$C,A1444,RAW_발주!$A:$A,C1444)-SUMIFS($W:$W,$A:$A,A1444,$C:$C,C1444)),0)</f>
        <v>0</v>
      </c>
    </row>
    <row r="1445" customFormat="false" ht="15.75" hidden="false" customHeight="true" outlineLevel="0" collapsed="false">
      <c r="A1445" s="45" t="s">
        <v>1660</v>
      </c>
      <c r="B1445" s="42" t="str">
        <f aca="false">IF(A1445="100","HK",IF(A1445="200","CN",IF(A1445="300","TW","홀세일")))</f>
        <v>CN</v>
      </c>
      <c r="C1445" s="45" t="s">
        <v>623</v>
      </c>
      <c r="D1445" s="46" t="n">
        <v>182</v>
      </c>
      <c r="E1445" s="46" t="n">
        <v>49000</v>
      </c>
      <c r="F1445" s="46" t="n">
        <v>11098</v>
      </c>
      <c r="G1445" s="42" t="n">
        <v>3.68</v>
      </c>
      <c r="H1445" s="42" t="n">
        <v>13.1</v>
      </c>
      <c r="J1445" s="46" t="n">
        <f aca="false">IF(N(E1445)&gt;0,E1445,IF(N(F1445)&gt;0,F1445*요약!$F$27,0))</f>
        <v>49000</v>
      </c>
      <c r="K1445" s="46" t="n">
        <f aca="false">IF(N(F1445)&gt;0,F1445,IF(N(E1445)&gt;0,E1445/요약!$F$27,0))</f>
        <v>11098</v>
      </c>
      <c r="L1445" s="46" t="n">
        <f aca="false">IF(B1445="CN",IF(N(I1445)&gt;0,I1445*요약!$G$27,K1445*(1+요약!$E$27)),IF(N(H1445)&gt;0,H1445*요약!$G$27,J1445*요약!$D$27))</f>
        <v>11652.9</v>
      </c>
      <c r="M1445" s="46" t="n">
        <f aca="false">D1445*J1445</f>
        <v>8918000</v>
      </c>
      <c r="N1445" s="46" t="n">
        <f aca="false">D1445*K1445</f>
        <v>2019836</v>
      </c>
      <c r="O1445" s="46" t="n">
        <f aca="false">D1445*L1445</f>
        <v>2120827.8</v>
      </c>
      <c r="P1445" s="42" t="str">
        <f aca="false">TRIM(IF(N(E1445)&lt;=0,"택가보정 ","")&amp;IF(N(F1445)&lt;=0,"원가보정 ","")&amp;IF(AND(B1445&lt;&gt;"CN",N(H1445)&lt;=0),"공급가보정 ","")&amp;IF(AND(B1445="CN",N(I1445)&lt;=0),"중국공급가=원가+마진 ",""))</f>
        <v>중국공급가=원가+마진</v>
      </c>
      <c r="Q1445" s="47" t="n">
        <f aca="false">IF(SUMIFS($W:$W,$A:$A,A1445,$C:$C,C1445)=0,0,SUMIFS(RAW_판매펀칭!$K:$K,RAW_판매펀칭!$P:$P,A1445,RAW_판매펀칭!$I:$I,C1445)*W1445/SUMIFS($W:$W,$A:$A,A1445,$C:$C,C1445))</f>
        <v>0</v>
      </c>
      <c r="R1445" s="47" t="n">
        <f aca="false">IF(OR(A1445="500",A1445="800",A1445="810"),0,MAX(W1445-Q1445,0))</f>
        <v>182</v>
      </c>
      <c r="S1445" s="47" t="n">
        <f aca="false">R1445*L1445</f>
        <v>2120827.8</v>
      </c>
      <c r="T1445" s="47" t="n">
        <f aca="false">R1445*J1445</f>
        <v>8918000</v>
      </c>
      <c r="U1445" s="47" t="n">
        <f aca="false">R1445*K1445</f>
        <v>2019836</v>
      </c>
      <c r="V1445" s="0" t="str">
        <f aca="false">IF(COUNTIFS($A$2:A1445,A1445,$C$2:C1445,C1445,$D$2:D1445,D1445)&gt;1,"중복","")</f>
        <v/>
      </c>
      <c r="W1445" s="0" t="n">
        <f aca="false">IF(V1445="중복",0,N(D1445))</f>
        <v>182</v>
      </c>
      <c r="X1445" s="0" t="n">
        <f aca="false">IF(COUNTIFS($A$2:A1445,A1445,$C$2:C1445,C1445)=1,ABS(SUMIFS(RAW_발주!$D:$D,RAW_발주!$C:$C,A1445,RAW_발주!$A:$A,C1445)-SUMIFS($W:$W,$A:$A,A1445,$C:$C,C1445)),0)</f>
        <v>0</v>
      </c>
    </row>
    <row r="1446" customFormat="false" ht="15" hidden="false" customHeight="true" outlineLevel="0" collapsed="false">
      <c r="A1446" s="45" t="s">
        <v>1661</v>
      </c>
      <c r="B1446" s="42" t="str">
        <f aca="false">IF(A1446="100","HK",IF(A1446="200","CN",IF(A1446="300","TW","홀세일")))</f>
        <v>TW</v>
      </c>
      <c r="C1446" s="45" t="s">
        <v>623</v>
      </c>
      <c r="D1446" s="46" t="n">
        <v>250</v>
      </c>
      <c r="E1446" s="46" t="n">
        <v>49000</v>
      </c>
      <c r="F1446" s="46" t="n">
        <v>11098</v>
      </c>
      <c r="G1446" s="42" t="n">
        <v>3.68</v>
      </c>
      <c r="H1446" s="42" t="n">
        <v>13.1</v>
      </c>
      <c r="J1446" s="46" t="n">
        <f aca="false">IF(N(E1446)&gt;0,E1446,IF(N(F1446)&gt;0,F1446*요약!$F$27,0))</f>
        <v>49000</v>
      </c>
      <c r="K1446" s="46" t="n">
        <f aca="false">IF(N(F1446)&gt;0,F1446,IF(N(E1446)&gt;0,E1446/요약!$F$27,0))</f>
        <v>11098</v>
      </c>
      <c r="L1446" s="46" t="n">
        <f aca="false">IF(B1446="CN",IF(N(I1446)&gt;0,I1446*요약!$G$27,K1446*(1+요약!$E$27)),IF(N(H1446)&gt;0,H1446*요약!$G$27,J1446*요약!$D$27))</f>
        <v>17292</v>
      </c>
      <c r="M1446" s="46" t="n">
        <f aca="false">D1446*J1446</f>
        <v>12250000</v>
      </c>
      <c r="N1446" s="46" t="n">
        <f aca="false">D1446*K1446</f>
        <v>2774500</v>
      </c>
      <c r="O1446" s="46" t="n">
        <f aca="false">D1446*L1446</f>
        <v>4323000</v>
      </c>
      <c r="P1446" s="42" t="str">
        <f aca="false">TRIM(IF(N(E1446)&lt;=0,"택가보정 ","")&amp;IF(N(F1446)&lt;=0,"원가보정 ","")&amp;IF(AND(B1446&lt;&gt;"CN",N(H1446)&lt;=0),"공급가보정 ","")&amp;IF(AND(B1446="CN",N(I1446)&lt;=0),"중국공급가=원가+마진 ",""))</f>
        <v/>
      </c>
      <c r="Q1446" s="47" t="n">
        <f aca="false">IF(SUMIFS($W:$W,$A:$A,A1446,$C:$C,C1446)=0,0,SUMIFS(RAW_판매펀칭!$K:$K,RAW_판매펀칭!$P:$P,A1446,RAW_판매펀칭!$I:$I,C1446)*W1446/SUMIFS($W:$W,$A:$A,A1446,$C:$C,C1446))</f>
        <v>250</v>
      </c>
      <c r="R1446" s="47" t="n">
        <f aca="false">IF(OR(A1446="500",A1446="800",A1446="810"),0,MAX(W1446-Q1446,0))</f>
        <v>0</v>
      </c>
      <c r="S1446" s="47" t="n">
        <f aca="false">R1446*L1446</f>
        <v>0</v>
      </c>
      <c r="T1446" s="47" t="n">
        <f aca="false">R1446*J1446</f>
        <v>0</v>
      </c>
      <c r="U1446" s="47" t="n">
        <f aca="false">R1446*K1446</f>
        <v>0</v>
      </c>
      <c r="V1446" s="0" t="str">
        <f aca="false">IF(COUNTIFS($A$2:A1446,A1446,$C$2:C1446,C1446,$D$2:D1446,D1446)&gt;1,"중복","")</f>
        <v/>
      </c>
      <c r="W1446" s="0" t="n">
        <f aca="false">IF(V1446="중복",0,N(D1446))</f>
        <v>250</v>
      </c>
      <c r="X1446" s="0" t="n">
        <f aca="false">IF(COUNTIFS($A$2:A1446,A1446,$C$2:C1446,C1446)=1,ABS(SUMIFS(RAW_발주!$D:$D,RAW_발주!$C:$C,A1446,RAW_발주!$A:$A,C1446)-SUMIFS($W:$W,$A:$A,A1446,$C:$C,C1446)),0)</f>
        <v>0</v>
      </c>
    </row>
    <row r="1447" customFormat="false" ht="15" hidden="false" customHeight="true" outlineLevel="0" collapsed="false">
      <c r="A1447" s="45" t="s">
        <v>1662</v>
      </c>
      <c r="B1447" s="42" t="str">
        <f aca="false">IF(A1447="100","HK",IF(A1447="200","CN",IF(A1447="300","TW","홀세일")))</f>
        <v>홀세일</v>
      </c>
      <c r="C1447" s="45" t="s">
        <v>623</v>
      </c>
      <c r="D1447" s="46" t="n">
        <v>40</v>
      </c>
      <c r="E1447" s="46" t="n">
        <v>49000</v>
      </c>
      <c r="F1447" s="46" t="n">
        <v>11098</v>
      </c>
      <c r="G1447" s="42" t="n">
        <v>3.68</v>
      </c>
      <c r="H1447" s="42" t="n">
        <v>13.1</v>
      </c>
      <c r="J1447" s="46" t="n">
        <f aca="false">IF(N(E1447)&gt;0,E1447,IF(N(F1447)&gt;0,F1447*요약!$F$27,0))</f>
        <v>49000</v>
      </c>
      <c r="K1447" s="46" t="n">
        <f aca="false">IF(N(F1447)&gt;0,F1447,IF(N(E1447)&gt;0,E1447/요약!$F$27,0))</f>
        <v>11098</v>
      </c>
      <c r="L1447" s="46" t="n">
        <f aca="false">IF(B1447="CN",IF(N(I1447)&gt;0,I1447*요약!$G$27,K1447*(1+요약!$E$27)),IF(N(H1447)&gt;0,H1447*요약!$G$27,J1447*요약!$D$27))</f>
        <v>17292</v>
      </c>
      <c r="M1447" s="46" t="n">
        <f aca="false">D1447*J1447</f>
        <v>1960000</v>
      </c>
      <c r="N1447" s="46" t="n">
        <f aca="false">D1447*K1447</f>
        <v>443920</v>
      </c>
      <c r="O1447" s="46" t="n">
        <f aca="false">D1447*L1447</f>
        <v>691680</v>
      </c>
      <c r="P1447" s="42" t="str">
        <f aca="false">TRIM(IF(N(E1447)&lt;=0,"택가보정 ","")&amp;IF(N(F1447)&lt;=0,"원가보정 ","")&amp;IF(AND(B1447&lt;&gt;"CN",N(H1447)&lt;=0),"공급가보정 ","")&amp;IF(AND(B1447="CN",N(I1447)&lt;=0),"중국공급가=원가+마진 ",""))</f>
        <v/>
      </c>
      <c r="Q1447" s="47" t="n">
        <f aca="false">IF(SUMIFS($W:$W,$A:$A,A1447,$C:$C,C1447)=0,0,SUMIFS(RAW_판매펀칭!$K:$K,RAW_판매펀칭!$P:$P,A1447,RAW_판매펀칭!$I:$I,C1447)*W1447/SUMIFS($W:$W,$A:$A,A1447,$C:$C,C1447))</f>
        <v>0</v>
      </c>
      <c r="R1447" s="47" t="n">
        <f aca="false">IF(OR(A1447="500",A1447="800",A1447="810"),0,MAX(W1447-Q1447,0))</f>
        <v>0</v>
      </c>
      <c r="S1447" s="47" t="n">
        <f aca="false">R1447*L1447</f>
        <v>0</v>
      </c>
      <c r="T1447" s="47" t="n">
        <f aca="false">R1447*J1447</f>
        <v>0</v>
      </c>
      <c r="U1447" s="47" t="n">
        <f aca="false">R1447*K1447</f>
        <v>0</v>
      </c>
      <c r="V1447" s="0" t="str">
        <f aca="false">IF(COUNTIFS($A$2:A1447,A1447,$C$2:C1447,C1447,$D$2:D1447,D1447)&gt;1,"중복","")</f>
        <v/>
      </c>
      <c r="W1447" s="0" t="n">
        <f aca="false">IF(V1447="중복",0,N(D1447))</f>
        <v>40</v>
      </c>
      <c r="X1447" s="0" t="n">
        <f aca="false">IF(COUNTIFS($A$2:A1447,A1447,$C$2:C1447,C1447)=1,ABS(SUMIFS(RAW_발주!$D:$D,RAW_발주!$C:$C,A1447,RAW_발주!$A:$A,C1447)-SUMIFS($W:$W,$A:$A,A1447,$C:$C,C1447)),0)</f>
        <v>0</v>
      </c>
    </row>
    <row r="1448" customFormat="false" ht="15" hidden="false" customHeight="true" outlineLevel="0" collapsed="false">
      <c r="A1448" s="45" t="s">
        <v>1664</v>
      </c>
      <c r="B1448" s="42" t="str">
        <f aca="false">IF(A1448="100","HK",IF(A1448="200","CN",IF(A1448="300","TW","홀세일")))</f>
        <v>홀세일</v>
      </c>
      <c r="C1448" s="45" t="s">
        <v>623</v>
      </c>
      <c r="D1448" s="46" t="n">
        <v>65</v>
      </c>
      <c r="E1448" s="46" t="n">
        <v>49000</v>
      </c>
      <c r="F1448" s="46" t="n">
        <v>11098</v>
      </c>
      <c r="G1448" s="42" t="n">
        <v>3.68</v>
      </c>
      <c r="H1448" s="42" t="n">
        <v>13.1</v>
      </c>
      <c r="J1448" s="46" t="n">
        <f aca="false">IF(N(E1448)&gt;0,E1448,IF(N(F1448)&gt;0,F1448*요약!$F$27,0))</f>
        <v>49000</v>
      </c>
      <c r="K1448" s="46" t="n">
        <f aca="false">IF(N(F1448)&gt;0,F1448,IF(N(E1448)&gt;0,E1448/요약!$F$27,0))</f>
        <v>11098</v>
      </c>
      <c r="L1448" s="46" t="n">
        <f aca="false">IF(B1448="CN",IF(N(I1448)&gt;0,I1448*요약!$G$27,K1448*(1+요약!$E$27)),IF(N(H1448)&gt;0,H1448*요약!$G$27,J1448*요약!$D$27))</f>
        <v>17292</v>
      </c>
      <c r="M1448" s="46" t="n">
        <f aca="false">D1448*J1448</f>
        <v>3185000</v>
      </c>
      <c r="N1448" s="46" t="n">
        <f aca="false">D1448*K1448</f>
        <v>721370</v>
      </c>
      <c r="O1448" s="46" t="n">
        <f aca="false">D1448*L1448</f>
        <v>1123980</v>
      </c>
      <c r="P1448" s="42" t="str">
        <f aca="false">TRIM(IF(N(E1448)&lt;=0,"택가보정 ","")&amp;IF(N(F1448)&lt;=0,"원가보정 ","")&amp;IF(AND(B1448&lt;&gt;"CN",N(H1448)&lt;=0),"공급가보정 ","")&amp;IF(AND(B1448="CN",N(I1448)&lt;=0),"중국공급가=원가+마진 ",""))</f>
        <v/>
      </c>
      <c r="Q1448" s="47" t="n">
        <f aca="false">IF(SUMIFS($W:$W,$A:$A,A1448,$C:$C,C1448)=0,0,SUMIFS(RAW_판매펀칭!$K:$K,RAW_판매펀칭!$P:$P,A1448,RAW_판매펀칭!$I:$I,C1448)*W1448/SUMIFS($W:$W,$A:$A,A1448,$C:$C,C1448))</f>
        <v>65</v>
      </c>
      <c r="R1448" s="47" t="n">
        <f aca="false">IF(OR(A1448="500",A1448="800",A1448="810"),0,MAX(W1448-Q1448,0))</f>
        <v>0</v>
      </c>
      <c r="S1448" s="47" t="n">
        <f aca="false">R1448*L1448</f>
        <v>0</v>
      </c>
      <c r="T1448" s="47" t="n">
        <f aca="false">R1448*J1448</f>
        <v>0</v>
      </c>
      <c r="U1448" s="47" t="n">
        <f aca="false">R1448*K1448</f>
        <v>0</v>
      </c>
      <c r="V1448" s="0" t="str">
        <f aca="false">IF(COUNTIFS($A$2:A1448,A1448,$C$2:C1448,C1448,$D$2:D1448,D1448)&gt;1,"중복","")</f>
        <v/>
      </c>
      <c r="W1448" s="0" t="n">
        <f aca="false">IF(V1448="중복",0,N(D1448))</f>
        <v>65</v>
      </c>
      <c r="X1448" s="0" t="n">
        <f aca="false">IF(COUNTIFS($A$2:A1448,A1448,$C$2:C1448,C1448)=1,ABS(SUMIFS(RAW_발주!$D:$D,RAW_발주!$C:$C,A1448,RAW_발주!$A:$A,C1448)-SUMIFS($W:$W,$A:$A,A1448,$C:$C,C1448)),0)</f>
        <v>0</v>
      </c>
    </row>
    <row r="1449" customFormat="false" ht="15" hidden="false" customHeight="true" outlineLevel="0" collapsed="false">
      <c r="A1449" s="45" t="s">
        <v>1659</v>
      </c>
      <c r="B1449" s="42" t="str">
        <f aca="false">IF(A1449="100","HK",IF(A1449="200","CN",IF(A1449="300","TW","홀세일")))</f>
        <v>HK</v>
      </c>
      <c r="C1449" s="45" t="s">
        <v>968</v>
      </c>
      <c r="D1449" s="46" t="n">
        <v>200</v>
      </c>
      <c r="E1449" s="46" t="n">
        <v>49000</v>
      </c>
      <c r="F1449" s="46" t="n">
        <v>12064</v>
      </c>
      <c r="G1449" s="42" t="n">
        <v>3.37</v>
      </c>
      <c r="H1449" s="42" t="n">
        <v>13.1</v>
      </c>
      <c r="J1449" s="46" t="n">
        <f aca="false">IF(N(E1449)&gt;0,E1449,IF(N(F1449)&gt;0,F1449*요약!$F$27,0))</f>
        <v>49000</v>
      </c>
      <c r="K1449" s="46" t="n">
        <f aca="false">IF(N(F1449)&gt;0,F1449,IF(N(E1449)&gt;0,E1449/요약!$F$27,0))</f>
        <v>12064</v>
      </c>
      <c r="L1449" s="46" t="n">
        <f aca="false">IF(B1449="CN",IF(N(I1449)&gt;0,I1449*요약!$G$27,K1449*(1+요약!$E$27)),IF(N(H1449)&gt;0,H1449*요약!$G$27,J1449*요약!$D$27))</f>
        <v>17292</v>
      </c>
      <c r="M1449" s="46" t="n">
        <f aca="false">D1449*J1449</f>
        <v>9800000</v>
      </c>
      <c r="N1449" s="46" t="n">
        <f aca="false">D1449*K1449</f>
        <v>2412800</v>
      </c>
      <c r="O1449" s="46" t="n">
        <f aca="false">D1449*L1449</f>
        <v>3458400</v>
      </c>
      <c r="P1449" s="42" t="str">
        <f aca="false">TRIM(IF(N(E1449)&lt;=0,"택가보정 ","")&amp;IF(N(F1449)&lt;=0,"원가보정 ","")&amp;IF(AND(B1449&lt;&gt;"CN",N(H1449)&lt;=0),"공급가보정 ","")&amp;IF(AND(B1449="CN",N(I1449)&lt;=0),"중국공급가=원가+마진 ",""))</f>
        <v/>
      </c>
      <c r="Q1449" s="47" t="n">
        <f aca="false">IF(SUMIFS($W:$W,$A:$A,A1449,$C:$C,C1449)=0,0,SUMIFS(RAW_판매펀칭!$K:$K,RAW_판매펀칭!$P:$P,A1449,RAW_판매펀칭!$I:$I,C1449)*W1449/SUMIFS($W:$W,$A:$A,A1449,$C:$C,C1449))</f>
        <v>200</v>
      </c>
      <c r="R1449" s="47" t="n">
        <f aca="false">IF(OR(A1449="500",A1449="800",A1449="810"),0,MAX(W1449-Q1449,0))</f>
        <v>0</v>
      </c>
      <c r="S1449" s="47" t="n">
        <f aca="false">R1449*L1449</f>
        <v>0</v>
      </c>
      <c r="T1449" s="47" t="n">
        <f aca="false">R1449*J1449</f>
        <v>0</v>
      </c>
      <c r="U1449" s="47" t="n">
        <f aca="false">R1449*K1449</f>
        <v>0</v>
      </c>
      <c r="V1449" s="0" t="str">
        <f aca="false">IF(COUNTIFS($A$2:A1449,A1449,$C$2:C1449,C1449,$D$2:D1449,D1449)&gt;1,"중복","")</f>
        <v/>
      </c>
      <c r="W1449" s="0" t="n">
        <f aca="false">IF(V1449="중복",0,N(D1449))</f>
        <v>200</v>
      </c>
      <c r="X1449" s="0" t="n">
        <f aca="false">IF(COUNTIFS($A$2:A1449,A1449,$C$2:C1449,C1449)=1,ABS(SUMIFS(RAW_발주!$D:$D,RAW_발주!$C:$C,A1449,RAW_발주!$A:$A,C1449)-SUMIFS($W:$W,$A:$A,A1449,$C:$C,C1449)),0)</f>
        <v>0</v>
      </c>
    </row>
    <row r="1450" customFormat="false" ht="15" hidden="false" customHeight="true" outlineLevel="0" collapsed="false">
      <c r="A1450" s="45" t="s">
        <v>1662</v>
      </c>
      <c r="B1450" s="42" t="str">
        <f aca="false">IF(A1450="100","HK",IF(A1450="200","CN",IF(A1450="300","TW","홀세일")))</f>
        <v>홀세일</v>
      </c>
      <c r="C1450" s="45" t="s">
        <v>968</v>
      </c>
      <c r="D1450" s="46" t="n">
        <v>40</v>
      </c>
      <c r="E1450" s="46" t="n">
        <v>49000</v>
      </c>
      <c r="F1450" s="46" t="n">
        <v>12064</v>
      </c>
      <c r="G1450" s="42" t="n">
        <v>3.37</v>
      </c>
      <c r="H1450" s="42" t="n">
        <v>13.1</v>
      </c>
      <c r="J1450" s="46" t="n">
        <f aca="false">IF(N(E1450)&gt;0,E1450,IF(N(F1450)&gt;0,F1450*요약!$F$27,0))</f>
        <v>49000</v>
      </c>
      <c r="K1450" s="46" t="n">
        <f aca="false">IF(N(F1450)&gt;0,F1450,IF(N(E1450)&gt;0,E1450/요약!$F$27,0))</f>
        <v>12064</v>
      </c>
      <c r="L1450" s="46" t="n">
        <f aca="false">IF(B1450="CN",IF(N(I1450)&gt;0,I1450*요약!$G$27,K1450*(1+요약!$E$27)),IF(N(H1450)&gt;0,H1450*요약!$G$27,J1450*요약!$D$27))</f>
        <v>17292</v>
      </c>
      <c r="M1450" s="46" t="n">
        <f aca="false">D1450*J1450</f>
        <v>1960000</v>
      </c>
      <c r="N1450" s="46" t="n">
        <f aca="false">D1450*K1450</f>
        <v>482560</v>
      </c>
      <c r="O1450" s="46" t="n">
        <f aca="false">D1450*L1450</f>
        <v>691680</v>
      </c>
      <c r="P1450" s="42" t="str">
        <f aca="false">TRIM(IF(N(E1450)&lt;=0,"택가보정 ","")&amp;IF(N(F1450)&lt;=0,"원가보정 ","")&amp;IF(AND(B1450&lt;&gt;"CN",N(H1450)&lt;=0),"공급가보정 ","")&amp;IF(AND(B1450="CN",N(I1450)&lt;=0),"중국공급가=원가+마진 ",""))</f>
        <v/>
      </c>
      <c r="Q1450" s="47" t="n">
        <f aca="false">IF(SUMIFS($W:$W,$A:$A,A1450,$C:$C,C1450)=0,0,SUMIFS(RAW_판매펀칭!$K:$K,RAW_판매펀칭!$P:$P,A1450,RAW_판매펀칭!$I:$I,C1450)*W1450/SUMIFS($W:$W,$A:$A,A1450,$C:$C,C1450))</f>
        <v>0</v>
      </c>
      <c r="R1450" s="47" t="n">
        <f aca="false">IF(OR(A1450="500",A1450="800",A1450="810"),0,MAX(W1450-Q1450,0))</f>
        <v>0</v>
      </c>
      <c r="S1450" s="47" t="n">
        <f aca="false">R1450*L1450</f>
        <v>0</v>
      </c>
      <c r="T1450" s="47" t="n">
        <f aca="false">R1450*J1450</f>
        <v>0</v>
      </c>
      <c r="U1450" s="47" t="n">
        <f aca="false">R1450*K1450</f>
        <v>0</v>
      </c>
      <c r="V1450" s="0" t="str">
        <f aca="false">IF(COUNTIFS($A$2:A1450,A1450,$C$2:C1450,C1450,$D$2:D1450,D1450)&gt;1,"중복","")</f>
        <v/>
      </c>
      <c r="W1450" s="0" t="n">
        <f aca="false">IF(V1450="중복",0,N(D1450))</f>
        <v>40</v>
      </c>
      <c r="X1450" s="0" t="n">
        <f aca="false">IF(COUNTIFS($A$2:A1450,A1450,$C$2:C1450,C1450)=1,ABS(SUMIFS(RAW_발주!$D:$D,RAW_발주!$C:$C,A1450,RAW_발주!$A:$A,C1450)-SUMIFS($W:$W,$A:$A,A1450,$C:$C,C1450)),0)</f>
        <v>0</v>
      </c>
    </row>
    <row r="1451" customFormat="false" ht="15" hidden="false" customHeight="true" outlineLevel="0" collapsed="false">
      <c r="A1451" s="45" t="s">
        <v>1664</v>
      </c>
      <c r="B1451" s="42" t="str">
        <f aca="false">IF(A1451="100","HK",IF(A1451="200","CN",IF(A1451="300","TW","홀세일")))</f>
        <v>홀세일</v>
      </c>
      <c r="C1451" s="45" t="s">
        <v>968</v>
      </c>
      <c r="D1451" s="46" t="n">
        <v>25</v>
      </c>
      <c r="E1451" s="46" t="n">
        <v>49000</v>
      </c>
      <c r="F1451" s="46" t="n">
        <v>12064</v>
      </c>
      <c r="G1451" s="42" t="n">
        <v>3.37</v>
      </c>
      <c r="H1451" s="42" t="n">
        <v>13.1</v>
      </c>
      <c r="J1451" s="46" t="n">
        <f aca="false">IF(N(E1451)&gt;0,E1451,IF(N(F1451)&gt;0,F1451*요약!$F$27,0))</f>
        <v>49000</v>
      </c>
      <c r="K1451" s="46" t="n">
        <f aca="false">IF(N(F1451)&gt;0,F1451,IF(N(E1451)&gt;0,E1451/요약!$F$27,0))</f>
        <v>12064</v>
      </c>
      <c r="L1451" s="46" t="n">
        <f aca="false">IF(B1451="CN",IF(N(I1451)&gt;0,I1451*요약!$G$27,K1451*(1+요약!$E$27)),IF(N(H1451)&gt;0,H1451*요약!$G$27,J1451*요약!$D$27))</f>
        <v>17292</v>
      </c>
      <c r="M1451" s="46" t="n">
        <f aca="false">D1451*J1451</f>
        <v>1225000</v>
      </c>
      <c r="N1451" s="46" t="n">
        <f aca="false">D1451*K1451</f>
        <v>301600</v>
      </c>
      <c r="O1451" s="46" t="n">
        <f aca="false">D1451*L1451</f>
        <v>432300</v>
      </c>
      <c r="P1451" s="42" t="str">
        <f aca="false">TRIM(IF(N(E1451)&lt;=0,"택가보정 ","")&amp;IF(N(F1451)&lt;=0,"원가보정 ","")&amp;IF(AND(B1451&lt;&gt;"CN",N(H1451)&lt;=0),"공급가보정 ","")&amp;IF(AND(B1451="CN",N(I1451)&lt;=0),"중국공급가=원가+마진 ",""))</f>
        <v/>
      </c>
      <c r="Q1451" s="47" t="n">
        <f aca="false">IF(SUMIFS($W:$W,$A:$A,A1451,$C:$C,C1451)=0,0,SUMIFS(RAW_판매펀칭!$K:$K,RAW_판매펀칭!$P:$P,A1451,RAW_판매펀칭!$I:$I,C1451)*W1451/SUMIFS($W:$W,$A:$A,A1451,$C:$C,C1451))</f>
        <v>25</v>
      </c>
      <c r="R1451" s="47" t="n">
        <f aca="false">IF(OR(A1451="500",A1451="800",A1451="810"),0,MAX(W1451-Q1451,0))</f>
        <v>0</v>
      </c>
      <c r="S1451" s="47" t="n">
        <f aca="false">R1451*L1451</f>
        <v>0</v>
      </c>
      <c r="T1451" s="47" t="n">
        <f aca="false">R1451*J1451</f>
        <v>0</v>
      </c>
      <c r="U1451" s="47" t="n">
        <f aca="false">R1451*K1451</f>
        <v>0</v>
      </c>
      <c r="V1451" s="0" t="str">
        <f aca="false">IF(COUNTIFS($A$2:A1451,A1451,$C$2:C1451,C1451,$D$2:D1451,D1451)&gt;1,"중복","")</f>
        <v/>
      </c>
      <c r="W1451" s="0" t="n">
        <f aca="false">IF(V1451="중복",0,N(D1451))</f>
        <v>25</v>
      </c>
      <c r="X1451" s="0" t="n">
        <f aca="false">IF(COUNTIFS($A$2:A1451,A1451,$C$2:C1451,C1451)=1,ABS(SUMIFS(RAW_발주!$D:$D,RAW_발주!$C:$C,A1451,RAW_발주!$A:$A,C1451)-SUMIFS($W:$W,$A:$A,A1451,$C:$C,C1451)),0)</f>
        <v>0</v>
      </c>
    </row>
    <row r="1452" customFormat="false" ht="15.75" hidden="false" customHeight="true" outlineLevel="0" collapsed="false">
      <c r="A1452" s="45" t="s">
        <v>1660</v>
      </c>
      <c r="B1452" s="42" t="str">
        <f aca="false">IF(A1452="100","HK",IF(A1452="200","CN",IF(A1452="300","TW","홀세일")))</f>
        <v>CN</v>
      </c>
      <c r="C1452" s="45" t="s">
        <v>625</v>
      </c>
      <c r="D1452" s="46" t="n">
        <v>162</v>
      </c>
      <c r="E1452" s="46" t="n">
        <v>59000</v>
      </c>
      <c r="F1452" s="46" t="n">
        <v>13378</v>
      </c>
      <c r="G1452" s="42" t="n">
        <v>3.69</v>
      </c>
      <c r="H1452" s="42" t="n">
        <v>15.7</v>
      </c>
      <c r="J1452" s="46" t="n">
        <f aca="false">IF(N(E1452)&gt;0,E1452,IF(N(F1452)&gt;0,F1452*요약!$F$27,0))</f>
        <v>59000</v>
      </c>
      <c r="K1452" s="46" t="n">
        <f aca="false">IF(N(F1452)&gt;0,F1452,IF(N(E1452)&gt;0,E1452/요약!$F$27,0))</f>
        <v>13378</v>
      </c>
      <c r="L1452" s="46" t="n">
        <f aca="false">IF(B1452="CN",IF(N(I1452)&gt;0,I1452*요약!$G$27,K1452*(1+요약!$E$27)),IF(N(H1452)&gt;0,H1452*요약!$G$27,J1452*요약!$D$27))</f>
        <v>14046.9</v>
      </c>
      <c r="M1452" s="46" t="n">
        <f aca="false">D1452*J1452</f>
        <v>9558000</v>
      </c>
      <c r="N1452" s="46" t="n">
        <f aca="false">D1452*K1452</f>
        <v>2167236</v>
      </c>
      <c r="O1452" s="46" t="n">
        <f aca="false">D1452*L1452</f>
        <v>2275597.8</v>
      </c>
      <c r="P1452" s="42" t="str">
        <f aca="false">TRIM(IF(N(E1452)&lt;=0,"택가보정 ","")&amp;IF(N(F1452)&lt;=0,"원가보정 ","")&amp;IF(AND(B1452&lt;&gt;"CN",N(H1452)&lt;=0),"공급가보정 ","")&amp;IF(AND(B1452="CN",N(I1452)&lt;=0),"중국공급가=원가+마진 ",""))</f>
        <v>중국공급가=원가+마진</v>
      </c>
      <c r="Q1452" s="47" t="n">
        <f aca="false">IF(SUMIFS($W:$W,$A:$A,A1452,$C:$C,C1452)=0,0,SUMIFS(RAW_판매펀칭!$K:$K,RAW_판매펀칭!$P:$P,A1452,RAW_판매펀칭!$I:$I,C1452)*W1452/SUMIFS($W:$W,$A:$A,A1452,$C:$C,C1452))</f>
        <v>160</v>
      </c>
      <c r="R1452" s="47" t="n">
        <f aca="false">IF(OR(A1452="500",A1452="800",A1452="810"),0,MAX(W1452-Q1452,0))</f>
        <v>2</v>
      </c>
      <c r="S1452" s="47" t="n">
        <f aca="false">R1452*L1452</f>
        <v>28093.8</v>
      </c>
      <c r="T1452" s="47" t="n">
        <f aca="false">R1452*J1452</f>
        <v>118000</v>
      </c>
      <c r="U1452" s="47" t="n">
        <f aca="false">R1452*K1452</f>
        <v>26756</v>
      </c>
      <c r="V1452" s="0" t="str">
        <f aca="false">IF(COUNTIFS($A$2:A1452,A1452,$C$2:C1452,C1452,$D$2:D1452,D1452)&gt;1,"중복","")</f>
        <v/>
      </c>
      <c r="W1452" s="0" t="n">
        <f aca="false">IF(V1452="중복",0,N(D1452))</f>
        <v>162</v>
      </c>
      <c r="X1452" s="0" t="n">
        <f aca="false">IF(COUNTIFS($A$2:A1452,A1452,$C$2:C1452,C1452)=1,ABS(SUMIFS(RAW_발주!$D:$D,RAW_발주!$C:$C,A1452,RAW_발주!$A:$A,C1452)-SUMIFS($W:$W,$A:$A,A1452,$C:$C,C1452)),0)</f>
        <v>0</v>
      </c>
    </row>
    <row r="1453" customFormat="false" ht="15" hidden="false" customHeight="true" outlineLevel="0" collapsed="false">
      <c r="A1453" s="45" t="s">
        <v>1661</v>
      </c>
      <c r="B1453" s="42" t="str">
        <f aca="false">IF(A1453="100","HK",IF(A1453="200","CN",IF(A1453="300","TW","홀세일")))</f>
        <v>TW</v>
      </c>
      <c r="C1453" s="45" t="s">
        <v>625</v>
      </c>
      <c r="D1453" s="46" t="n">
        <v>350</v>
      </c>
      <c r="E1453" s="46" t="n">
        <v>59000</v>
      </c>
      <c r="F1453" s="46" t="n">
        <v>13378</v>
      </c>
      <c r="G1453" s="42" t="n">
        <v>3.69</v>
      </c>
      <c r="H1453" s="42" t="n">
        <v>15.7</v>
      </c>
      <c r="J1453" s="46" t="n">
        <f aca="false">IF(N(E1453)&gt;0,E1453,IF(N(F1453)&gt;0,F1453*요약!$F$27,0))</f>
        <v>59000</v>
      </c>
      <c r="K1453" s="46" t="n">
        <f aca="false">IF(N(F1453)&gt;0,F1453,IF(N(E1453)&gt;0,E1453/요약!$F$27,0))</f>
        <v>13378</v>
      </c>
      <c r="L1453" s="46" t="n">
        <f aca="false">IF(B1453="CN",IF(N(I1453)&gt;0,I1453*요약!$G$27,K1453*(1+요약!$E$27)),IF(N(H1453)&gt;0,H1453*요약!$G$27,J1453*요약!$D$27))</f>
        <v>20724</v>
      </c>
      <c r="M1453" s="46" t="n">
        <f aca="false">D1453*J1453</f>
        <v>20650000</v>
      </c>
      <c r="N1453" s="46" t="n">
        <f aca="false">D1453*K1453</f>
        <v>4682300</v>
      </c>
      <c r="O1453" s="46" t="n">
        <f aca="false">D1453*L1453</f>
        <v>7253400</v>
      </c>
      <c r="P1453" s="42" t="str">
        <f aca="false">TRIM(IF(N(E1453)&lt;=0,"택가보정 ","")&amp;IF(N(F1453)&lt;=0,"원가보정 ","")&amp;IF(AND(B1453&lt;&gt;"CN",N(H1453)&lt;=0),"공급가보정 ","")&amp;IF(AND(B1453="CN",N(I1453)&lt;=0),"중국공급가=원가+마진 ",""))</f>
        <v/>
      </c>
      <c r="Q1453" s="47" t="n">
        <f aca="false">IF(SUMIFS($W:$W,$A:$A,A1453,$C:$C,C1453)=0,0,SUMIFS(RAW_판매펀칭!$K:$K,RAW_판매펀칭!$P:$P,A1453,RAW_판매펀칭!$I:$I,C1453)*W1453/SUMIFS($W:$W,$A:$A,A1453,$C:$C,C1453))</f>
        <v>350</v>
      </c>
      <c r="R1453" s="47" t="n">
        <f aca="false">IF(OR(A1453="500",A1453="800",A1453="810"),0,MAX(W1453-Q1453,0))</f>
        <v>0</v>
      </c>
      <c r="S1453" s="47" t="n">
        <f aca="false">R1453*L1453</f>
        <v>0</v>
      </c>
      <c r="T1453" s="47" t="n">
        <f aca="false">R1453*J1453</f>
        <v>0</v>
      </c>
      <c r="U1453" s="47" t="n">
        <f aca="false">R1453*K1453</f>
        <v>0</v>
      </c>
      <c r="V1453" s="0" t="str">
        <f aca="false">IF(COUNTIFS($A$2:A1453,A1453,$C$2:C1453,C1453,$D$2:D1453,D1453)&gt;1,"중복","")</f>
        <v/>
      </c>
      <c r="W1453" s="0" t="n">
        <f aca="false">IF(V1453="중복",0,N(D1453))</f>
        <v>350</v>
      </c>
      <c r="X1453" s="0" t="n">
        <f aca="false">IF(COUNTIFS($A$2:A1453,A1453,$C$2:C1453,C1453)=1,ABS(SUMIFS(RAW_발주!$D:$D,RAW_발주!$C:$C,A1453,RAW_발주!$A:$A,C1453)-SUMIFS($W:$W,$A:$A,A1453,$C:$C,C1453)),0)</f>
        <v>0</v>
      </c>
    </row>
    <row r="1454" customFormat="false" ht="15" hidden="false" customHeight="true" outlineLevel="0" collapsed="false">
      <c r="A1454" s="45" t="s">
        <v>1662</v>
      </c>
      <c r="B1454" s="42" t="str">
        <f aca="false">IF(A1454="100","HK",IF(A1454="200","CN",IF(A1454="300","TW","홀세일")))</f>
        <v>홀세일</v>
      </c>
      <c r="C1454" s="45" t="s">
        <v>625</v>
      </c>
      <c r="D1454" s="46" t="n">
        <v>130</v>
      </c>
      <c r="E1454" s="46" t="n">
        <v>59000</v>
      </c>
      <c r="F1454" s="46" t="n">
        <v>13378</v>
      </c>
      <c r="G1454" s="42" t="n">
        <v>3.69</v>
      </c>
      <c r="H1454" s="42" t="n">
        <v>15.7</v>
      </c>
      <c r="J1454" s="46" t="n">
        <f aca="false">IF(N(E1454)&gt;0,E1454,IF(N(F1454)&gt;0,F1454*요약!$F$27,0))</f>
        <v>59000</v>
      </c>
      <c r="K1454" s="46" t="n">
        <f aca="false">IF(N(F1454)&gt;0,F1454,IF(N(E1454)&gt;0,E1454/요약!$F$27,0))</f>
        <v>13378</v>
      </c>
      <c r="L1454" s="46" t="n">
        <f aca="false">IF(B1454="CN",IF(N(I1454)&gt;0,I1454*요약!$G$27,K1454*(1+요약!$E$27)),IF(N(H1454)&gt;0,H1454*요약!$G$27,J1454*요약!$D$27))</f>
        <v>20724</v>
      </c>
      <c r="M1454" s="46" t="n">
        <f aca="false">D1454*J1454</f>
        <v>7670000</v>
      </c>
      <c r="N1454" s="46" t="n">
        <f aca="false">D1454*K1454</f>
        <v>1739140</v>
      </c>
      <c r="O1454" s="46" t="n">
        <f aca="false">D1454*L1454</f>
        <v>2694120</v>
      </c>
      <c r="P1454" s="42" t="str">
        <f aca="false">TRIM(IF(N(E1454)&lt;=0,"택가보정 ","")&amp;IF(N(F1454)&lt;=0,"원가보정 ","")&amp;IF(AND(B1454&lt;&gt;"CN",N(H1454)&lt;=0),"공급가보정 ","")&amp;IF(AND(B1454="CN",N(I1454)&lt;=0),"중국공급가=원가+마진 ",""))</f>
        <v/>
      </c>
      <c r="Q1454" s="47" t="n">
        <f aca="false">IF(SUMIFS($W:$W,$A:$A,A1454,$C:$C,C1454)=0,0,SUMIFS(RAW_판매펀칭!$K:$K,RAW_판매펀칭!$P:$P,A1454,RAW_판매펀칭!$I:$I,C1454)*W1454/SUMIFS($W:$W,$A:$A,A1454,$C:$C,C1454))</f>
        <v>0</v>
      </c>
      <c r="R1454" s="47" t="n">
        <f aca="false">IF(OR(A1454="500",A1454="800",A1454="810"),0,MAX(W1454-Q1454,0))</f>
        <v>0</v>
      </c>
      <c r="S1454" s="47" t="n">
        <f aca="false">R1454*L1454</f>
        <v>0</v>
      </c>
      <c r="T1454" s="47" t="n">
        <f aca="false">R1454*J1454</f>
        <v>0</v>
      </c>
      <c r="U1454" s="47" t="n">
        <f aca="false">R1454*K1454</f>
        <v>0</v>
      </c>
      <c r="V1454" s="0" t="str">
        <f aca="false">IF(COUNTIFS($A$2:A1454,A1454,$C$2:C1454,C1454,$D$2:D1454,D1454)&gt;1,"중복","")</f>
        <v/>
      </c>
      <c r="W1454" s="0" t="n">
        <f aca="false">IF(V1454="중복",0,N(D1454))</f>
        <v>130</v>
      </c>
      <c r="X1454" s="0" t="n">
        <f aca="false">IF(COUNTIFS($A$2:A1454,A1454,$C$2:C1454,C1454)=1,ABS(SUMIFS(RAW_발주!$D:$D,RAW_발주!$C:$C,A1454,RAW_발주!$A:$A,C1454)-SUMIFS($W:$W,$A:$A,A1454,$C:$C,C1454)),0)</f>
        <v>0</v>
      </c>
    </row>
    <row r="1455" customFormat="false" ht="15" hidden="false" customHeight="true" outlineLevel="0" collapsed="false">
      <c r="A1455" s="45" t="s">
        <v>1667</v>
      </c>
      <c r="B1455" s="42" t="str">
        <f aca="false">IF(A1455="100","HK",IF(A1455="200","CN",IF(A1455="300","TW","홀세일")))</f>
        <v>홀세일</v>
      </c>
      <c r="C1455" s="45" t="s">
        <v>625</v>
      </c>
      <c r="D1455" s="46" t="n">
        <v>843</v>
      </c>
      <c r="E1455" s="46" t="n">
        <v>59000</v>
      </c>
      <c r="F1455" s="46" t="n">
        <v>13378</v>
      </c>
      <c r="G1455" s="42" t="n">
        <v>3.69</v>
      </c>
      <c r="H1455" s="42" t="n">
        <v>15.7</v>
      </c>
      <c r="J1455" s="46" t="n">
        <f aca="false">IF(N(E1455)&gt;0,E1455,IF(N(F1455)&gt;0,F1455*요약!$F$27,0))</f>
        <v>59000</v>
      </c>
      <c r="K1455" s="46" t="n">
        <f aca="false">IF(N(F1455)&gt;0,F1455,IF(N(E1455)&gt;0,E1455/요약!$F$27,0))</f>
        <v>13378</v>
      </c>
      <c r="L1455" s="46" t="n">
        <f aca="false">IF(B1455="CN",IF(N(I1455)&gt;0,I1455*요약!$G$27,K1455*(1+요약!$E$27)),IF(N(H1455)&gt;0,H1455*요약!$G$27,J1455*요약!$D$27))</f>
        <v>20724</v>
      </c>
      <c r="M1455" s="46" t="n">
        <f aca="false">D1455*J1455</f>
        <v>49737000</v>
      </c>
      <c r="N1455" s="46" t="n">
        <f aca="false">D1455*K1455</f>
        <v>11277654</v>
      </c>
      <c r="O1455" s="46" t="n">
        <f aca="false">D1455*L1455</f>
        <v>17470332</v>
      </c>
      <c r="P1455" s="42" t="str">
        <f aca="false">TRIM(IF(N(E1455)&lt;=0,"택가보정 ","")&amp;IF(N(F1455)&lt;=0,"원가보정 ","")&amp;IF(AND(B1455&lt;&gt;"CN",N(H1455)&lt;=0),"공급가보정 ","")&amp;IF(AND(B1455="CN",N(I1455)&lt;=0),"중국공급가=원가+마진 ",""))</f>
        <v/>
      </c>
      <c r="Q1455" s="47" t="n">
        <f aca="false">IF(SUMIFS($W:$W,$A:$A,A1455,$C:$C,C1455)=0,0,SUMIFS(RAW_판매펀칭!$K:$K,RAW_판매펀칭!$P:$P,A1455,RAW_판매펀칭!$I:$I,C1455)*W1455/SUMIFS($W:$W,$A:$A,A1455,$C:$C,C1455))</f>
        <v>243</v>
      </c>
      <c r="R1455" s="47" t="n">
        <f aca="false">IF(OR(A1455="500",A1455="800",A1455="810"),0,MAX(W1455-Q1455,0))</f>
        <v>600</v>
      </c>
      <c r="S1455" s="47" t="n">
        <f aca="false">R1455*L1455</f>
        <v>12434400</v>
      </c>
      <c r="T1455" s="47" t="n">
        <f aca="false">R1455*J1455</f>
        <v>35400000</v>
      </c>
      <c r="U1455" s="47" t="n">
        <f aca="false">R1455*K1455</f>
        <v>8026800</v>
      </c>
      <c r="V1455" s="0" t="str">
        <f aca="false">IF(COUNTIFS($A$2:A1455,A1455,$C$2:C1455,C1455,$D$2:D1455,D1455)&gt;1,"중복","")</f>
        <v/>
      </c>
      <c r="W1455" s="0" t="n">
        <f aca="false">IF(V1455="중복",0,N(D1455))</f>
        <v>843</v>
      </c>
      <c r="X1455" s="0" t="n">
        <f aca="false">IF(COUNTIFS($A$2:A1455,A1455,$C$2:C1455,C1455)=1,ABS(SUMIFS(RAW_발주!$D:$D,RAW_발주!$C:$C,A1455,RAW_발주!$A:$A,C1455)-SUMIFS($W:$W,$A:$A,A1455,$C:$C,C1455)),0)</f>
        <v>0</v>
      </c>
    </row>
    <row r="1456" customFormat="false" ht="15" hidden="false" customHeight="true" outlineLevel="0" collapsed="false">
      <c r="A1456" s="45" t="s">
        <v>1664</v>
      </c>
      <c r="B1456" s="42" t="str">
        <f aca="false">IF(A1456="100","HK",IF(A1456="200","CN",IF(A1456="300","TW","홀세일")))</f>
        <v>홀세일</v>
      </c>
      <c r="C1456" s="45" t="s">
        <v>625</v>
      </c>
      <c r="D1456" s="46" t="n">
        <v>70</v>
      </c>
      <c r="E1456" s="46" t="n">
        <v>59000</v>
      </c>
      <c r="F1456" s="46" t="n">
        <v>13378</v>
      </c>
      <c r="G1456" s="42" t="n">
        <v>3.69</v>
      </c>
      <c r="H1456" s="42" t="n">
        <v>15.7</v>
      </c>
      <c r="J1456" s="46" t="n">
        <f aca="false">IF(N(E1456)&gt;0,E1456,IF(N(F1456)&gt;0,F1456*요약!$F$27,0))</f>
        <v>59000</v>
      </c>
      <c r="K1456" s="46" t="n">
        <f aca="false">IF(N(F1456)&gt;0,F1456,IF(N(E1456)&gt;0,E1456/요약!$F$27,0))</f>
        <v>13378</v>
      </c>
      <c r="L1456" s="46" t="n">
        <f aca="false">IF(B1456="CN",IF(N(I1456)&gt;0,I1456*요약!$G$27,K1456*(1+요약!$E$27)),IF(N(H1456)&gt;0,H1456*요약!$G$27,J1456*요약!$D$27))</f>
        <v>20724</v>
      </c>
      <c r="M1456" s="46" t="n">
        <f aca="false">D1456*J1456</f>
        <v>4130000</v>
      </c>
      <c r="N1456" s="46" t="n">
        <f aca="false">D1456*K1456</f>
        <v>936460</v>
      </c>
      <c r="O1456" s="46" t="n">
        <f aca="false">D1456*L1456</f>
        <v>1450680</v>
      </c>
      <c r="P1456" s="42" t="str">
        <f aca="false">TRIM(IF(N(E1456)&lt;=0,"택가보정 ","")&amp;IF(N(F1456)&lt;=0,"원가보정 ","")&amp;IF(AND(B1456&lt;&gt;"CN",N(H1456)&lt;=0),"공급가보정 ","")&amp;IF(AND(B1456="CN",N(I1456)&lt;=0),"중국공급가=원가+마진 ",""))</f>
        <v/>
      </c>
      <c r="Q1456" s="47" t="n">
        <f aca="false">IF(SUMIFS($W:$W,$A:$A,A1456,$C:$C,C1456)=0,0,SUMIFS(RAW_판매펀칭!$K:$K,RAW_판매펀칭!$P:$P,A1456,RAW_판매펀칭!$I:$I,C1456)*W1456/SUMIFS($W:$W,$A:$A,A1456,$C:$C,C1456))</f>
        <v>70</v>
      </c>
      <c r="R1456" s="47" t="n">
        <f aca="false">IF(OR(A1456="500",A1456="800",A1456="810"),0,MAX(W1456-Q1456,0))</f>
        <v>0</v>
      </c>
      <c r="S1456" s="47" t="n">
        <f aca="false">R1456*L1456</f>
        <v>0</v>
      </c>
      <c r="T1456" s="47" t="n">
        <f aca="false">R1456*J1456</f>
        <v>0</v>
      </c>
      <c r="U1456" s="47" t="n">
        <f aca="false">R1456*K1456</f>
        <v>0</v>
      </c>
      <c r="V1456" s="0" t="str">
        <f aca="false">IF(COUNTIFS($A$2:A1456,A1456,$C$2:C1456,C1456,$D$2:D1456,D1456)&gt;1,"중복","")</f>
        <v/>
      </c>
      <c r="W1456" s="0" t="n">
        <f aca="false">IF(V1456="중복",0,N(D1456))</f>
        <v>70</v>
      </c>
      <c r="X1456" s="0" t="n">
        <f aca="false">IF(COUNTIFS($A$2:A1456,A1456,$C$2:C1456,C1456)=1,ABS(SUMIFS(RAW_발주!$D:$D,RAW_발주!$C:$C,A1456,RAW_발주!$A:$A,C1456)-SUMIFS($W:$W,$A:$A,A1456,$C:$C,C1456)),0)</f>
        <v>0</v>
      </c>
    </row>
    <row r="1457" customFormat="false" ht="15" hidden="false" customHeight="true" outlineLevel="0" collapsed="false">
      <c r="A1457" s="45" t="s">
        <v>1664</v>
      </c>
      <c r="B1457" s="42" t="str">
        <f aca="false">IF(A1457="100","HK",IF(A1457="200","CN",IF(A1457="300","TW","홀세일")))</f>
        <v>홀세일</v>
      </c>
      <c r="C1457" s="45" t="s">
        <v>625</v>
      </c>
      <c r="D1457" s="46" t="n">
        <v>70</v>
      </c>
      <c r="E1457" s="46" t="n">
        <v>59000</v>
      </c>
      <c r="F1457" s="46" t="n">
        <v>13378</v>
      </c>
      <c r="G1457" s="42" t="n">
        <v>3.69</v>
      </c>
      <c r="H1457" s="42" t="n">
        <v>15.7</v>
      </c>
      <c r="J1457" s="46" t="n">
        <f aca="false">IF(N(E1457)&gt;0,E1457,IF(N(F1457)&gt;0,F1457*요약!$F$27,0))</f>
        <v>59000</v>
      </c>
      <c r="K1457" s="46" t="n">
        <f aca="false">IF(N(F1457)&gt;0,F1457,IF(N(E1457)&gt;0,E1457/요약!$F$27,0))</f>
        <v>13378</v>
      </c>
      <c r="L1457" s="46" t="n">
        <f aca="false">IF(B1457="CN",IF(N(I1457)&gt;0,I1457*요약!$G$27,K1457*(1+요약!$E$27)),IF(N(H1457)&gt;0,H1457*요약!$G$27,J1457*요약!$D$27))</f>
        <v>20724</v>
      </c>
      <c r="M1457" s="46" t="n">
        <f aca="false">D1457*J1457</f>
        <v>4130000</v>
      </c>
      <c r="N1457" s="46" t="n">
        <f aca="false">D1457*K1457</f>
        <v>936460</v>
      </c>
      <c r="O1457" s="46" t="n">
        <f aca="false">D1457*L1457</f>
        <v>1450680</v>
      </c>
      <c r="P1457" s="42" t="str">
        <f aca="false">TRIM(IF(N(E1457)&lt;=0,"택가보정 ","")&amp;IF(N(F1457)&lt;=0,"원가보정 ","")&amp;IF(AND(B1457&lt;&gt;"CN",N(H1457)&lt;=0),"공급가보정 ","")&amp;IF(AND(B1457="CN",N(I1457)&lt;=0),"중국공급가=원가+마진 ",""))</f>
        <v/>
      </c>
      <c r="Q1457" s="47" t="n">
        <f aca="false">IF(SUMIFS($W:$W,$A:$A,A1457,$C:$C,C1457)=0,0,SUMIFS(RAW_판매펀칭!$K:$K,RAW_판매펀칭!$P:$P,A1457,RAW_판매펀칭!$I:$I,C1457)*W1457/SUMIFS($W:$W,$A:$A,A1457,$C:$C,C1457))</f>
        <v>0</v>
      </c>
      <c r="R1457" s="47" t="n">
        <f aca="false">IF(OR(A1457="500",A1457="800",A1457="810"),0,MAX(W1457-Q1457,0))</f>
        <v>0</v>
      </c>
      <c r="S1457" s="47" t="n">
        <f aca="false">R1457*L1457</f>
        <v>0</v>
      </c>
      <c r="T1457" s="47" t="n">
        <f aca="false">R1457*J1457</f>
        <v>0</v>
      </c>
      <c r="U1457" s="47" t="n">
        <f aca="false">R1457*K1457</f>
        <v>0</v>
      </c>
      <c r="V1457" s="0" t="str">
        <f aca="false">IF(COUNTIFS($A$2:A1457,A1457,$C$2:C1457,C1457,$D$2:D1457,D1457)&gt;1,"중복","")</f>
        <v>중복</v>
      </c>
      <c r="W1457" s="0" t="n">
        <f aca="false">IF(V1457="중복",0,N(D1457))</f>
        <v>0</v>
      </c>
      <c r="X1457" s="0" t="n">
        <f aca="false">IF(COUNTIFS($A$2:A1457,A1457,$C$2:C1457,C1457)=1,ABS(SUMIFS(RAW_발주!$D:$D,RAW_발주!$C:$C,A1457,RAW_발주!$A:$A,C1457)-SUMIFS($W:$W,$A:$A,A1457,$C:$C,C1457)),0)</f>
        <v>0</v>
      </c>
    </row>
    <row r="1458" customFormat="false" ht="15" hidden="false" customHeight="true" outlineLevel="0" collapsed="false">
      <c r="A1458" s="45" t="s">
        <v>1665</v>
      </c>
      <c r="B1458" s="42" t="str">
        <f aca="false">IF(A1458="100","HK",IF(A1458="200","CN",IF(A1458="300","TW","홀세일")))</f>
        <v>홀세일</v>
      </c>
      <c r="C1458" s="45" t="s">
        <v>625</v>
      </c>
      <c r="D1458" s="46" t="n">
        <v>168</v>
      </c>
      <c r="E1458" s="46" t="n">
        <v>59000</v>
      </c>
      <c r="F1458" s="46" t="n">
        <v>13378</v>
      </c>
      <c r="G1458" s="42" t="n">
        <v>3.69</v>
      </c>
      <c r="H1458" s="42" t="n">
        <v>15.7</v>
      </c>
      <c r="J1458" s="46" t="n">
        <f aca="false">IF(N(E1458)&gt;0,E1458,IF(N(F1458)&gt;0,F1458*요약!$F$27,0))</f>
        <v>59000</v>
      </c>
      <c r="K1458" s="46" t="n">
        <f aca="false">IF(N(F1458)&gt;0,F1458,IF(N(E1458)&gt;0,E1458/요약!$F$27,0))</f>
        <v>13378</v>
      </c>
      <c r="L1458" s="46" t="n">
        <f aca="false">IF(B1458="CN",IF(N(I1458)&gt;0,I1458*요약!$G$27,K1458*(1+요약!$E$27)),IF(N(H1458)&gt;0,H1458*요약!$G$27,J1458*요약!$D$27))</f>
        <v>20724</v>
      </c>
      <c r="M1458" s="46" t="n">
        <f aca="false">D1458*J1458</f>
        <v>9912000</v>
      </c>
      <c r="N1458" s="46" t="n">
        <f aca="false">D1458*K1458</f>
        <v>2247504</v>
      </c>
      <c r="O1458" s="46" t="n">
        <f aca="false">D1458*L1458</f>
        <v>3481632</v>
      </c>
      <c r="P1458" s="42" t="str">
        <f aca="false">TRIM(IF(N(E1458)&lt;=0,"택가보정 ","")&amp;IF(N(F1458)&lt;=0,"원가보정 ","")&amp;IF(AND(B1458&lt;&gt;"CN",N(H1458)&lt;=0),"공급가보정 ","")&amp;IF(AND(B1458="CN",N(I1458)&lt;=0),"중국공급가=원가+마진 ",""))</f>
        <v/>
      </c>
      <c r="Q1458" s="47" t="n">
        <f aca="false">IF(SUMIFS($W:$W,$A:$A,A1458,$C:$C,C1458)=0,0,SUMIFS(RAW_판매펀칭!$K:$K,RAW_판매펀칭!$P:$P,A1458,RAW_판매펀칭!$I:$I,C1458)*W1458/SUMIFS($W:$W,$A:$A,A1458,$C:$C,C1458))</f>
        <v>0</v>
      </c>
      <c r="R1458" s="47" t="n">
        <f aca="false">IF(OR(A1458="500",A1458="800",A1458="810"),0,MAX(W1458-Q1458,0))</f>
        <v>0</v>
      </c>
      <c r="S1458" s="47" t="n">
        <f aca="false">R1458*L1458</f>
        <v>0</v>
      </c>
      <c r="T1458" s="47" t="n">
        <f aca="false">R1458*J1458</f>
        <v>0</v>
      </c>
      <c r="U1458" s="47" t="n">
        <f aca="false">R1458*K1458</f>
        <v>0</v>
      </c>
      <c r="V1458" s="0" t="str">
        <f aca="false">IF(COUNTIFS($A$2:A1458,A1458,$C$2:C1458,C1458,$D$2:D1458,D1458)&gt;1,"중복","")</f>
        <v/>
      </c>
      <c r="W1458" s="0" t="n">
        <f aca="false">IF(V1458="중복",0,N(D1458))</f>
        <v>168</v>
      </c>
      <c r="X1458" s="0" t="n">
        <f aca="false">IF(COUNTIFS($A$2:A1458,A1458,$C$2:C1458,C1458)=1,ABS(SUMIFS(RAW_발주!$D:$D,RAW_발주!$C:$C,A1458,RAW_발주!$A:$A,C1458)-SUMIFS($W:$W,$A:$A,A1458,$C:$C,C1458)),0)</f>
        <v>0</v>
      </c>
    </row>
    <row r="1459" customFormat="false" ht="15" hidden="false" customHeight="true" outlineLevel="0" collapsed="false">
      <c r="A1459" s="45" t="s">
        <v>1659</v>
      </c>
      <c r="B1459" s="42" t="str">
        <f aca="false">IF(A1459="100","HK",IF(A1459="200","CN",IF(A1459="300","TW","홀세일")))</f>
        <v>HK</v>
      </c>
      <c r="C1459" s="45" t="s">
        <v>627</v>
      </c>
      <c r="D1459" s="46" t="n">
        <v>130</v>
      </c>
      <c r="E1459" s="46" t="n">
        <v>79000</v>
      </c>
      <c r="F1459" s="46" t="n">
        <v>19000</v>
      </c>
      <c r="G1459" s="42" t="n">
        <v>3.78</v>
      </c>
      <c r="H1459" s="42" t="n">
        <v>21</v>
      </c>
      <c r="J1459" s="46" t="n">
        <f aca="false">IF(N(E1459)&gt;0,E1459,IF(N(F1459)&gt;0,F1459*요약!$F$27,0))</f>
        <v>79000</v>
      </c>
      <c r="K1459" s="46" t="n">
        <f aca="false">IF(N(F1459)&gt;0,F1459,IF(N(E1459)&gt;0,E1459/요약!$F$27,0))</f>
        <v>19000</v>
      </c>
      <c r="L1459" s="46" t="n">
        <f aca="false">IF(B1459="CN",IF(N(I1459)&gt;0,I1459*요약!$G$27,K1459*(1+요약!$E$27)),IF(N(H1459)&gt;0,H1459*요약!$G$27,J1459*요약!$D$27))</f>
        <v>27720</v>
      </c>
      <c r="M1459" s="46" t="n">
        <f aca="false">D1459*J1459</f>
        <v>10270000</v>
      </c>
      <c r="N1459" s="46" t="n">
        <f aca="false">D1459*K1459</f>
        <v>2470000</v>
      </c>
      <c r="O1459" s="46" t="n">
        <f aca="false">D1459*L1459</f>
        <v>3603600</v>
      </c>
      <c r="P1459" s="42" t="str">
        <f aca="false">TRIM(IF(N(E1459)&lt;=0,"택가보정 ","")&amp;IF(N(F1459)&lt;=0,"원가보정 ","")&amp;IF(AND(B1459&lt;&gt;"CN",N(H1459)&lt;=0),"공급가보정 ","")&amp;IF(AND(B1459="CN",N(I1459)&lt;=0),"중국공급가=원가+마진 ",""))</f>
        <v/>
      </c>
      <c r="Q1459" s="47" t="n">
        <f aca="false">IF(SUMIFS($W:$W,$A:$A,A1459,$C:$C,C1459)=0,0,SUMIFS(RAW_판매펀칭!$K:$K,RAW_판매펀칭!$P:$P,A1459,RAW_판매펀칭!$I:$I,C1459)*W1459/SUMIFS($W:$W,$A:$A,A1459,$C:$C,C1459))</f>
        <v>130</v>
      </c>
      <c r="R1459" s="47" t="n">
        <f aca="false">IF(OR(A1459="500",A1459="800",A1459="810"),0,MAX(W1459-Q1459,0))</f>
        <v>0</v>
      </c>
      <c r="S1459" s="47" t="n">
        <f aca="false">R1459*L1459</f>
        <v>0</v>
      </c>
      <c r="T1459" s="47" t="n">
        <f aca="false">R1459*J1459</f>
        <v>0</v>
      </c>
      <c r="U1459" s="47" t="n">
        <f aca="false">R1459*K1459</f>
        <v>0</v>
      </c>
      <c r="V1459" s="0" t="str">
        <f aca="false">IF(COUNTIFS($A$2:A1459,A1459,$C$2:C1459,C1459,$D$2:D1459,D1459)&gt;1,"중복","")</f>
        <v/>
      </c>
      <c r="W1459" s="0" t="n">
        <f aca="false">IF(V1459="중복",0,N(D1459))</f>
        <v>130</v>
      </c>
      <c r="X1459" s="0" t="n">
        <f aca="false">IF(COUNTIFS($A$2:A1459,A1459,$C$2:C1459,C1459)=1,ABS(SUMIFS(RAW_발주!$D:$D,RAW_발주!$C:$C,A1459,RAW_발주!$A:$A,C1459)-SUMIFS($W:$W,$A:$A,A1459,$C:$C,C1459)),0)</f>
        <v>0</v>
      </c>
    </row>
    <row r="1460" customFormat="false" ht="15.75" hidden="false" customHeight="true" outlineLevel="0" collapsed="false">
      <c r="A1460" s="45" t="s">
        <v>1660</v>
      </c>
      <c r="B1460" s="42" t="str">
        <f aca="false">IF(A1460="100","HK",IF(A1460="200","CN",IF(A1460="300","TW","홀세일")))</f>
        <v>CN</v>
      </c>
      <c r="C1460" s="45" t="s">
        <v>627</v>
      </c>
      <c r="D1460" s="46" t="n">
        <v>81</v>
      </c>
      <c r="E1460" s="46" t="n">
        <v>79000</v>
      </c>
      <c r="F1460" s="46" t="n">
        <v>19000</v>
      </c>
      <c r="G1460" s="42" t="n">
        <v>3.78</v>
      </c>
      <c r="H1460" s="42" t="n">
        <v>21</v>
      </c>
      <c r="J1460" s="46" t="n">
        <f aca="false">IF(N(E1460)&gt;0,E1460,IF(N(F1460)&gt;0,F1460*요약!$F$27,0))</f>
        <v>79000</v>
      </c>
      <c r="K1460" s="46" t="n">
        <f aca="false">IF(N(F1460)&gt;0,F1460,IF(N(E1460)&gt;0,E1460/요약!$F$27,0))</f>
        <v>19000</v>
      </c>
      <c r="L1460" s="46" t="n">
        <f aca="false">IF(B1460="CN",IF(N(I1460)&gt;0,I1460*요약!$G$27,K1460*(1+요약!$E$27)),IF(N(H1460)&gt;0,H1460*요약!$G$27,J1460*요약!$D$27))</f>
        <v>19950</v>
      </c>
      <c r="M1460" s="46" t="n">
        <f aca="false">D1460*J1460</f>
        <v>6399000</v>
      </c>
      <c r="N1460" s="46" t="n">
        <f aca="false">D1460*K1460</f>
        <v>1539000</v>
      </c>
      <c r="O1460" s="46" t="n">
        <f aca="false">D1460*L1460</f>
        <v>1615950</v>
      </c>
      <c r="P1460" s="42" t="str">
        <f aca="false">TRIM(IF(N(E1460)&lt;=0,"택가보정 ","")&amp;IF(N(F1460)&lt;=0,"원가보정 ","")&amp;IF(AND(B1460&lt;&gt;"CN",N(H1460)&lt;=0),"공급가보정 ","")&amp;IF(AND(B1460="CN",N(I1460)&lt;=0),"중국공급가=원가+마진 ",""))</f>
        <v>중국공급가=원가+마진</v>
      </c>
      <c r="Q1460" s="47" t="n">
        <f aca="false">IF(SUMIFS($W:$W,$A:$A,A1460,$C:$C,C1460)=0,0,SUMIFS(RAW_판매펀칭!$K:$K,RAW_판매펀칭!$P:$P,A1460,RAW_판매펀칭!$I:$I,C1460)*W1460/SUMIFS($W:$W,$A:$A,A1460,$C:$C,C1460))</f>
        <v>80</v>
      </c>
      <c r="R1460" s="47" t="n">
        <f aca="false">IF(OR(A1460="500",A1460="800",A1460="810"),0,MAX(W1460-Q1460,0))</f>
        <v>1</v>
      </c>
      <c r="S1460" s="47" t="n">
        <f aca="false">R1460*L1460</f>
        <v>19950</v>
      </c>
      <c r="T1460" s="47" t="n">
        <f aca="false">R1460*J1460</f>
        <v>79000</v>
      </c>
      <c r="U1460" s="47" t="n">
        <f aca="false">R1460*K1460</f>
        <v>19000</v>
      </c>
      <c r="V1460" s="0" t="str">
        <f aca="false">IF(COUNTIFS($A$2:A1460,A1460,$C$2:C1460,C1460,$D$2:D1460,D1460)&gt;1,"중복","")</f>
        <v/>
      </c>
      <c r="W1460" s="0" t="n">
        <f aca="false">IF(V1460="중복",0,N(D1460))</f>
        <v>81</v>
      </c>
      <c r="X1460" s="0" t="n">
        <f aca="false">IF(COUNTIFS($A$2:A1460,A1460,$C$2:C1460,C1460)=1,ABS(SUMIFS(RAW_발주!$D:$D,RAW_발주!$C:$C,A1460,RAW_발주!$A:$A,C1460)-SUMIFS($W:$W,$A:$A,A1460,$C:$C,C1460)),0)</f>
        <v>0</v>
      </c>
    </row>
    <row r="1461" customFormat="false" ht="15" hidden="false" customHeight="true" outlineLevel="0" collapsed="false">
      <c r="A1461" s="45" t="s">
        <v>1661</v>
      </c>
      <c r="B1461" s="42" t="str">
        <f aca="false">IF(A1461="100","HK",IF(A1461="200","CN",IF(A1461="300","TW","홀세일")))</f>
        <v>TW</v>
      </c>
      <c r="C1461" s="45" t="s">
        <v>627</v>
      </c>
      <c r="D1461" s="46" t="n">
        <v>250</v>
      </c>
      <c r="E1461" s="46" t="n">
        <v>79000</v>
      </c>
      <c r="F1461" s="46" t="n">
        <v>19000</v>
      </c>
      <c r="G1461" s="42" t="n">
        <v>3.78</v>
      </c>
      <c r="H1461" s="42" t="n">
        <v>21</v>
      </c>
      <c r="J1461" s="46" t="n">
        <f aca="false">IF(N(E1461)&gt;0,E1461,IF(N(F1461)&gt;0,F1461*요약!$F$27,0))</f>
        <v>79000</v>
      </c>
      <c r="K1461" s="46" t="n">
        <f aca="false">IF(N(F1461)&gt;0,F1461,IF(N(E1461)&gt;0,E1461/요약!$F$27,0))</f>
        <v>19000</v>
      </c>
      <c r="L1461" s="46" t="n">
        <f aca="false">IF(B1461="CN",IF(N(I1461)&gt;0,I1461*요약!$G$27,K1461*(1+요약!$E$27)),IF(N(H1461)&gt;0,H1461*요약!$G$27,J1461*요약!$D$27))</f>
        <v>27720</v>
      </c>
      <c r="M1461" s="46" t="n">
        <f aca="false">D1461*J1461</f>
        <v>19750000</v>
      </c>
      <c r="N1461" s="46" t="n">
        <f aca="false">D1461*K1461</f>
        <v>4750000</v>
      </c>
      <c r="O1461" s="46" t="n">
        <f aca="false">D1461*L1461</f>
        <v>6930000</v>
      </c>
      <c r="P1461" s="42" t="str">
        <f aca="false">TRIM(IF(N(E1461)&lt;=0,"택가보정 ","")&amp;IF(N(F1461)&lt;=0,"원가보정 ","")&amp;IF(AND(B1461&lt;&gt;"CN",N(H1461)&lt;=0),"공급가보정 ","")&amp;IF(AND(B1461="CN",N(I1461)&lt;=0),"중국공급가=원가+마진 ",""))</f>
        <v/>
      </c>
      <c r="Q1461" s="47" t="n">
        <f aca="false">IF(SUMIFS($W:$W,$A:$A,A1461,$C:$C,C1461)=0,0,SUMIFS(RAW_판매펀칭!$K:$K,RAW_판매펀칭!$P:$P,A1461,RAW_판매펀칭!$I:$I,C1461)*W1461/SUMIFS($W:$W,$A:$A,A1461,$C:$C,C1461))</f>
        <v>250</v>
      </c>
      <c r="R1461" s="47" t="n">
        <f aca="false">IF(OR(A1461="500",A1461="800",A1461="810"),0,MAX(W1461-Q1461,0))</f>
        <v>0</v>
      </c>
      <c r="S1461" s="47" t="n">
        <f aca="false">R1461*L1461</f>
        <v>0</v>
      </c>
      <c r="T1461" s="47" t="n">
        <f aca="false">R1461*J1461</f>
        <v>0</v>
      </c>
      <c r="U1461" s="47" t="n">
        <f aca="false">R1461*K1461</f>
        <v>0</v>
      </c>
      <c r="V1461" s="0" t="str">
        <f aca="false">IF(COUNTIFS($A$2:A1461,A1461,$C$2:C1461,C1461,$D$2:D1461,D1461)&gt;1,"중복","")</f>
        <v/>
      </c>
      <c r="W1461" s="0" t="n">
        <f aca="false">IF(V1461="중복",0,N(D1461))</f>
        <v>250</v>
      </c>
      <c r="X1461" s="0" t="n">
        <f aca="false">IF(COUNTIFS($A$2:A1461,A1461,$C$2:C1461,C1461)=1,ABS(SUMIFS(RAW_발주!$D:$D,RAW_발주!$C:$C,A1461,RAW_발주!$A:$A,C1461)-SUMIFS($W:$W,$A:$A,A1461,$C:$C,C1461)),0)</f>
        <v>0</v>
      </c>
    </row>
    <row r="1462" customFormat="false" ht="15" hidden="false" customHeight="true" outlineLevel="0" collapsed="false">
      <c r="A1462" s="45" t="s">
        <v>1662</v>
      </c>
      <c r="B1462" s="42" t="str">
        <f aca="false">IF(A1462="100","HK",IF(A1462="200","CN",IF(A1462="300","TW","홀세일")))</f>
        <v>홀세일</v>
      </c>
      <c r="C1462" s="45" t="s">
        <v>627</v>
      </c>
      <c r="D1462" s="46" t="n">
        <v>40</v>
      </c>
      <c r="E1462" s="46" t="n">
        <v>79000</v>
      </c>
      <c r="F1462" s="46" t="n">
        <v>19000</v>
      </c>
      <c r="G1462" s="42" t="n">
        <v>3.78</v>
      </c>
      <c r="H1462" s="42" t="n">
        <v>21</v>
      </c>
      <c r="J1462" s="46" t="n">
        <f aca="false">IF(N(E1462)&gt;0,E1462,IF(N(F1462)&gt;0,F1462*요약!$F$27,0))</f>
        <v>79000</v>
      </c>
      <c r="K1462" s="46" t="n">
        <f aca="false">IF(N(F1462)&gt;0,F1462,IF(N(E1462)&gt;0,E1462/요약!$F$27,0))</f>
        <v>19000</v>
      </c>
      <c r="L1462" s="46" t="n">
        <f aca="false">IF(B1462="CN",IF(N(I1462)&gt;0,I1462*요약!$G$27,K1462*(1+요약!$E$27)),IF(N(H1462)&gt;0,H1462*요약!$G$27,J1462*요약!$D$27))</f>
        <v>27720</v>
      </c>
      <c r="M1462" s="46" t="n">
        <f aca="false">D1462*J1462</f>
        <v>3160000</v>
      </c>
      <c r="N1462" s="46" t="n">
        <f aca="false">D1462*K1462</f>
        <v>760000</v>
      </c>
      <c r="O1462" s="46" t="n">
        <f aca="false">D1462*L1462</f>
        <v>1108800</v>
      </c>
      <c r="P1462" s="42" t="str">
        <f aca="false">TRIM(IF(N(E1462)&lt;=0,"택가보정 ","")&amp;IF(N(F1462)&lt;=0,"원가보정 ","")&amp;IF(AND(B1462&lt;&gt;"CN",N(H1462)&lt;=0),"공급가보정 ","")&amp;IF(AND(B1462="CN",N(I1462)&lt;=0),"중국공급가=원가+마진 ",""))</f>
        <v/>
      </c>
      <c r="Q1462" s="47" t="n">
        <f aca="false">IF(SUMIFS($W:$W,$A:$A,A1462,$C:$C,C1462)=0,0,SUMIFS(RAW_판매펀칭!$K:$K,RAW_판매펀칭!$P:$P,A1462,RAW_판매펀칭!$I:$I,C1462)*W1462/SUMIFS($W:$W,$A:$A,A1462,$C:$C,C1462))</f>
        <v>0</v>
      </c>
      <c r="R1462" s="47" t="n">
        <f aca="false">IF(OR(A1462="500",A1462="800",A1462="810"),0,MAX(W1462-Q1462,0))</f>
        <v>0</v>
      </c>
      <c r="S1462" s="47" t="n">
        <f aca="false">R1462*L1462</f>
        <v>0</v>
      </c>
      <c r="T1462" s="47" t="n">
        <f aca="false">R1462*J1462</f>
        <v>0</v>
      </c>
      <c r="U1462" s="47" t="n">
        <f aca="false">R1462*K1462</f>
        <v>0</v>
      </c>
      <c r="V1462" s="0" t="str">
        <f aca="false">IF(COUNTIFS($A$2:A1462,A1462,$C$2:C1462,C1462,$D$2:D1462,D1462)&gt;1,"중복","")</f>
        <v/>
      </c>
      <c r="W1462" s="0" t="n">
        <f aca="false">IF(V1462="중복",0,N(D1462))</f>
        <v>40</v>
      </c>
      <c r="X1462" s="0" t="n">
        <f aca="false">IF(COUNTIFS($A$2:A1462,A1462,$C$2:C1462,C1462)=1,ABS(SUMIFS(RAW_발주!$D:$D,RAW_발주!$C:$C,A1462,RAW_발주!$A:$A,C1462)-SUMIFS($W:$W,$A:$A,A1462,$C:$C,C1462)),0)</f>
        <v>0</v>
      </c>
    </row>
    <row r="1463" customFormat="false" ht="15" hidden="false" customHeight="true" outlineLevel="0" collapsed="false">
      <c r="A1463" s="45" t="s">
        <v>1663</v>
      </c>
      <c r="B1463" s="42" t="str">
        <f aca="false">IF(A1463="100","HK",IF(A1463="200","CN",IF(A1463="300","TW","홀세일")))</f>
        <v>홀세일</v>
      </c>
      <c r="C1463" s="45" t="s">
        <v>627</v>
      </c>
      <c r="D1463" s="46" t="n">
        <v>15</v>
      </c>
      <c r="E1463" s="46" t="n">
        <v>79000</v>
      </c>
      <c r="F1463" s="46" t="n">
        <v>19000</v>
      </c>
      <c r="G1463" s="42" t="n">
        <v>3.78</v>
      </c>
      <c r="H1463" s="42" t="n">
        <v>21</v>
      </c>
      <c r="J1463" s="46" t="n">
        <f aca="false">IF(N(E1463)&gt;0,E1463,IF(N(F1463)&gt;0,F1463*요약!$F$27,0))</f>
        <v>79000</v>
      </c>
      <c r="K1463" s="46" t="n">
        <f aca="false">IF(N(F1463)&gt;0,F1463,IF(N(E1463)&gt;0,E1463/요약!$F$27,0))</f>
        <v>19000</v>
      </c>
      <c r="L1463" s="46" t="n">
        <f aca="false">IF(B1463="CN",IF(N(I1463)&gt;0,I1463*요약!$G$27,K1463*(1+요약!$E$27)),IF(N(H1463)&gt;0,H1463*요약!$G$27,J1463*요약!$D$27))</f>
        <v>27720</v>
      </c>
      <c r="M1463" s="46" t="n">
        <f aca="false">D1463*J1463</f>
        <v>1185000</v>
      </c>
      <c r="N1463" s="46" t="n">
        <f aca="false">D1463*K1463</f>
        <v>285000</v>
      </c>
      <c r="O1463" s="46" t="n">
        <f aca="false">D1463*L1463</f>
        <v>415800</v>
      </c>
      <c r="P1463" s="42" t="str">
        <f aca="false">TRIM(IF(N(E1463)&lt;=0,"택가보정 ","")&amp;IF(N(F1463)&lt;=0,"원가보정 ","")&amp;IF(AND(B1463&lt;&gt;"CN",N(H1463)&lt;=0),"공급가보정 ","")&amp;IF(AND(B1463="CN",N(I1463)&lt;=0),"중국공급가=원가+마진 ",""))</f>
        <v/>
      </c>
      <c r="Q1463" s="47" t="n">
        <f aca="false">IF(SUMIFS($W:$W,$A:$A,A1463,$C:$C,C1463)=0,0,SUMIFS(RAW_판매펀칭!$K:$K,RAW_판매펀칭!$P:$P,A1463,RAW_판매펀칭!$I:$I,C1463)*W1463/SUMIFS($W:$W,$A:$A,A1463,$C:$C,C1463))</f>
        <v>15</v>
      </c>
      <c r="R1463" s="47" t="n">
        <f aca="false">IF(OR(A1463="500",A1463="800",A1463="810"),0,MAX(W1463-Q1463,0))</f>
        <v>0</v>
      </c>
      <c r="S1463" s="47" t="n">
        <f aca="false">R1463*L1463</f>
        <v>0</v>
      </c>
      <c r="T1463" s="47" t="n">
        <f aca="false">R1463*J1463</f>
        <v>0</v>
      </c>
      <c r="U1463" s="47" t="n">
        <f aca="false">R1463*K1463</f>
        <v>0</v>
      </c>
      <c r="V1463" s="0" t="str">
        <f aca="false">IF(COUNTIFS($A$2:A1463,A1463,$C$2:C1463,C1463,$D$2:D1463,D1463)&gt;1,"중복","")</f>
        <v/>
      </c>
      <c r="W1463" s="0" t="n">
        <f aca="false">IF(V1463="중복",0,N(D1463))</f>
        <v>15</v>
      </c>
      <c r="X1463" s="0" t="n">
        <f aca="false">IF(COUNTIFS($A$2:A1463,A1463,$C$2:C1463,C1463)=1,ABS(SUMIFS(RAW_발주!$D:$D,RAW_발주!$C:$C,A1463,RAW_발주!$A:$A,C1463)-SUMIFS($W:$W,$A:$A,A1463,$C:$C,C1463)),0)</f>
        <v>0</v>
      </c>
    </row>
    <row r="1464" customFormat="false" ht="15" hidden="false" customHeight="true" outlineLevel="0" collapsed="false">
      <c r="A1464" s="45" t="s">
        <v>1667</v>
      </c>
      <c r="B1464" s="42" t="str">
        <f aca="false">IF(A1464="100","HK",IF(A1464="200","CN",IF(A1464="300","TW","홀세일")))</f>
        <v>홀세일</v>
      </c>
      <c r="C1464" s="45" t="s">
        <v>627</v>
      </c>
      <c r="D1464" s="46" t="n">
        <v>121</v>
      </c>
      <c r="E1464" s="46" t="n">
        <v>79000</v>
      </c>
      <c r="F1464" s="46" t="n">
        <v>19000</v>
      </c>
      <c r="G1464" s="42" t="n">
        <v>3.78</v>
      </c>
      <c r="H1464" s="42" t="n">
        <v>21</v>
      </c>
      <c r="J1464" s="46" t="n">
        <f aca="false">IF(N(E1464)&gt;0,E1464,IF(N(F1464)&gt;0,F1464*요약!$F$27,0))</f>
        <v>79000</v>
      </c>
      <c r="K1464" s="46" t="n">
        <f aca="false">IF(N(F1464)&gt;0,F1464,IF(N(E1464)&gt;0,E1464/요약!$F$27,0))</f>
        <v>19000</v>
      </c>
      <c r="L1464" s="46" t="n">
        <f aca="false">IF(B1464="CN",IF(N(I1464)&gt;0,I1464*요약!$G$27,K1464*(1+요약!$E$27)),IF(N(H1464)&gt;0,H1464*요약!$G$27,J1464*요약!$D$27))</f>
        <v>27720</v>
      </c>
      <c r="M1464" s="46" t="n">
        <f aca="false">D1464*J1464</f>
        <v>9559000</v>
      </c>
      <c r="N1464" s="46" t="n">
        <f aca="false">D1464*K1464</f>
        <v>2299000</v>
      </c>
      <c r="O1464" s="46" t="n">
        <f aca="false">D1464*L1464</f>
        <v>3354120</v>
      </c>
      <c r="P1464" s="42" t="str">
        <f aca="false">TRIM(IF(N(E1464)&lt;=0,"택가보정 ","")&amp;IF(N(F1464)&lt;=0,"원가보정 ","")&amp;IF(AND(B1464&lt;&gt;"CN",N(H1464)&lt;=0),"공급가보정 ","")&amp;IF(AND(B1464="CN",N(I1464)&lt;=0),"중국공급가=원가+마진 ",""))</f>
        <v/>
      </c>
      <c r="Q1464" s="47" t="n">
        <f aca="false">IF(SUMIFS($W:$W,$A:$A,A1464,$C:$C,C1464)=0,0,SUMIFS(RAW_판매펀칭!$K:$K,RAW_판매펀칭!$P:$P,A1464,RAW_판매펀칭!$I:$I,C1464)*W1464/SUMIFS($W:$W,$A:$A,A1464,$C:$C,C1464))</f>
        <v>121</v>
      </c>
      <c r="R1464" s="47" t="n">
        <f aca="false">IF(OR(A1464="500",A1464="800",A1464="810"),0,MAX(W1464-Q1464,0))</f>
        <v>0</v>
      </c>
      <c r="S1464" s="47" t="n">
        <f aca="false">R1464*L1464</f>
        <v>0</v>
      </c>
      <c r="T1464" s="47" t="n">
        <f aca="false">R1464*J1464</f>
        <v>0</v>
      </c>
      <c r="U1464" s="47" t="n">
        <f aca="false">R1464*K1464</f>
        <v>0</v>
      </c>
      <c r="V1464" s="0" t="str">
        <f aca="false">IF(COUNTIFS($A$2:A1464,A1464,$C$2:C1464,C1464,$D$2:D1464,D1464)&gt;1,"중복","")</f>
        <v/>
      </c>
      <c r="W1464" s="0" t="n">
        <f aca="false">IF(V1464="중복",0,N(D1464))</f>
        <v>121</v>
      </c>
      <c r="X1464" s="0" t="n">
        <f aca="false">IF(COUNTIFS($A$2:A1464,A1464,$C$2:C1464,C1464)=1,ABS(SUMIFS(RAW_발주!$D:$D,RAW_발주!$C:$C,A1464,RAW_발주!$A:$A,C1464)-SUMIFS($W:$W,$A:$A,A1464,$C:$C,C1464)),0)</f>
        <v>0</v>
      </c>
    </row>
    <row r="1465" customFormat="false" ht="15" hidden="false" customHeight="true" outlineLevel="0" collapsed="false">
      <c r="A1465" s="45" t="s">
        <v>1664</v>
      </c>
      <c r="B1465" s="42" t="str">
        <f aca="false">IF(A1465="100","HK",IF(A1465="200","CN",IF(A1465="300","TW","홀세일")))</f>
        <v>홀세일</v>
      </c>
      <c r="C1465" s="45" t="s">
        <v>627</v>
      </c>
      <c r="D1465" s="46" t="n">
        <v>15</v>
      </c>
      <c r="E1465" s="46" t="n">
        <v>79000</v>
      </c>
      <c r="F1465" s="46" t="n">
        <v>19000</v>
      </c>
      <c r="G1465" s="42" t="n">
        <v>3.78</v>
      </c>
      <c r="H1465" s="42" t="n">
        <v>21</v>
      </c>
      <c r="J1465" s="46" t="n">
        <f aca="false">IF(N(E1465)&gt;0,E1465,IF(N(F1465)&gt;0,F1465*요약!$F$27,0))</f>
        <v>79000</v>
      </c>
      <c r="K1465" s="46" t="n">
        <f aca="false">IF(N(F1465)&gt;0,F1465,IF(N(E1465)&gt;0,E1465/요약!$F$27,0))</f>
        <v>19000</v>
      </c>
      <c r="L1465" s="46" t="n">
        <f aca="false">IF(B1465="CN",IF(N(I1465)&gt;0,I1465*요약!$G$27,K1465*(1+요약!$E$27)),IF(N(H1465)&gt;0,H1465*요약!$G$27,J1465*요약!$D$27))</f>
        <v>27720</v>
      </c>
      <c r="M1465" s="46" t="n">
        <f aca="false">D1465*J1465</f>
        <v>1185000</v>
      </c>
      <c r="N1465" s="46" t="n">
        <f aca="false">D1465*K1465</f>
        <v>285000</v>
      </c>
      <c r="O1465" s="46" t="n">
        <f aca="false">D1465*L1465</f>
        <v>415800</v>
      </c>
      <c r="P1465" s="42" t="str">
        <f aca="false">TRIM(IF(N(E1465)&lt;=0,"택가보정 ","")&amp;IF(N(F1465)&lt;=0,"원가보정 ","")&amp;IF(AND(B1465&lt;&gt;"CN",N(H1465)&lt;=0),"공급가보정 ","")&amp;IF(AND(B1465="CN",N(I1465)&lt;=0),"중국공급가=원가+마진 ",""))</f>
        <v/>
      </c>
      <c r="Q1465" s="47" t="n">
        <f aca="false">IF(SUMIFS($W:$W,$A:$A,A1465,$C:$C,C1465)=0,0,SUMIFS(RAW_판매펀칭!$K:$K,RAW_판매펀칭!$P:$P,A1465,RAW_판매펀칭!$I:$I,C1465)*W1465/SUMIFS($W:$W,$A:$A,A1465,$C:$C,C1465))</f>
        <v>15</v>
      </c>
      <c r="R1465" s="47" t="n">
        <f aca="false">IF(OR(A1465="500",A1465="800",A1465="810"),0,MAX(W1465-Q1465,0))</f>
        <v>0</v>
      </c>
      <c r="S1465" s="47" t="n">
        <f aca="false">R1465*L1465</f>
        <v>0</v>
      </c>
      <c r="T1465" s="47" t="n">
        <f aca="false">R1465*J1465</f>
        <v>0</v>
      </c>
      <c r="U1465" s="47" t="n">
        <f aca="false">R1465*K1465</f>
        <v>0</v>
      </c>
      <c r="V1465" s="0" t="str">
        <f aca="false">IF(COUNTIFS($A$2:A1465,A1465,$C$2:C1465,C1465,$D$2:D1465,D1465)&gt;1,"중복","")</f>
        <v/>
      </c>
      <c r="W1465" s="0" t="n">
        <f aca="false">IF(V1465="중복",0,N(D1465))</f>
        <v>15</v>
      </c>
      <c r="X1465" s="0" t="n">
        <f aca="false">IF(COUNTIFS($A$2:A1465,A1465,$C$2:C1465,C1465)=1,ABS(SUMIFS(RAW_발주!$D:$D,RAW_발주!$C:$C,A1465,RAW_발주!$A:$A,C1465)-SUMIFS($W:$W,$A:$A,A1465,$C:$C,C1465)),0)</f>
        <v>0</v>
      </c>
    </row>
    <row r="1466" customFormat="false" ht="15" hidden="false" customHeight="true" outlineLevel="0" collapsed="false">
      <c r="A1466" s="45" t="s">
        <v>1664</v>
      </c>
      <c r="B1466" s="42" t="str">
        <f aca="false">IF(A1466="100","HK",IF(A1466="200","CN",IF(A1466="300","TW","홀세일")))</f>
        <v>홀세일</v>
      </c>
      <c r="C1466" s="45" t="s">
        <v>627</v>
      </c>
      <c r="D1466" s="46" t="n">
        <v>15</v>
      </c>
      <c r="E1466" s="46" t="n">
        <v>79000</v>
      </c>
      <c r="F1466" s="46" t="n">
        <v>19000</v>
      </c>
      <c r="G1466" s="42" t="n">
        <v>3.78</v>
      </c>
      <c r="H1466" s="42" t="n">
        <v>21</v>
      </c>
      <c r="J1466" s="46" t="n">
        <f aca="false">IF(N(E1466)&gt;0,E1466,IF(N(F1466)&gt;0,F1466*요약!$F$27,0))</f>
        <v>79000</v>
      </c>
      <c r="K1466" s="46" t="n">
        <f aca="false">IF(N(F1466)&gt;0,F1466,IF(N(E1466)&gt;0,E1466/요약!$F$27,0))</f>
        <v>19000</v>
      </c>
      <c r="L1466" s="46" t="n">
        <f aca="false">IF(B1466="CN",IF(N(I1466)&gt;0,I1466*요약!$G$27,K1466*(1+요약!$E$27)),IF(N(H1466)&gt;0,H1466*요약!$G$27,J1466*요약!$D$27))</f>
        <v>27720</v>
      </c>
      <c r="M1466" s="46" t="n">
        <f aca="false">D1466*J1466</f>
        <v>1185000</v>
      </c>
      <c r="N1466" s="46" t="n">
        <f aca="false">D1466*K1466</f>
        <v>285000</v>
      </c>
      <c r="O1466" s="46" t="n">
        <f aca="false">D1466*L1466</f>
        <v>415800</v>
      </c>
      <c r="P1466" s="42" t="str">
        <f aca="false">TRIM(IF(N(E1466)&lt;=0,"택가보정 ","")&amp;IF(N(F1466)&lt;=0,"원가보정 ","")&amp;IF(AND(B1466&lt;&gt;"CN",N(H1466)&lt;=0),"공급가보정 ","")&amp;IF(AND(B1466="CN",N(I1466)&lt;=0),"중국공급가=원가+마진 ",""))</f>
        <v/>
      </c>
      <c r="Q1466" s="47" t="n">
        <f aca="false">IF(SUMIFS($W:$W,$A:$A,A1466,$C:$C,C1466)=0,0,SUMIFS(RAW_판매펀칭!$K:$K,RAW_판매펀칭!$P:$P,A1466,RAW_판매펀칭!$I:$I,C1466)*W1466/SUMIFS($W:$W,$A:$A,A1466,$C:$C,C1466))</f>
        <v>0</v>
      </c>
      <c r="R1466" s="47" t="n">
        <f aca="false">IF(OR(A1466="500",A1466="800",A1466="810"),0,MAX(W1466-Q1466,0))</f>
        <v>0</v>
      </c>
      <c r="S1466" s="47" t="n">
        <f aca="false">R1466*L1466</f>
        <v>0</v>
      </c>
      <c r="T1466" s="47" t="n">
        <f aca="false">R1466*J1466</f>
        <v>0</v>
      </c>
      <c r="U1466" s="47" t="n">
        <f aca="false">R1466*K1466</f>
        <v>0</v>
      </c>
      <c r="V1466" s="0" t="str">
        <f aca="false">IF(COUNTIFS($A$2:A1466,A1466,$C$2:C1466,C1466,$D$2:D1466,D1466)&gt;1,"중복","")</f>
        <v>중복</v>
      </c>
      <c r="W1466" s="0" t="n">
        <f aca="false">IF(V1466="중복",0,N(D1466))</f>
        <v>0</v>
      </c>
      <c r="X1466" s="0" t="n">
        <f aca="false">IF(COUNTIFS($A$2:A1466,A1466,$C$2:C1466,C1466)=1,ABS(SUMIFS(RAW_발주!$D:$D,RAW_발주!$C:$C,A1466,RAW_발주!$A:$A,C1466)-SUMIFS($W:$W,$A:$A,A1466,$C:$C,C1466)),0)</f>
        <v>0</v>
      </c>
    </row>
    <row r="1467" customFormat="false" ht="15" hidden="false" customHeight="true" outlineLevel="0" collapsed="false">
      <c r="A1467" s="45" t="s">
        <v>1659</v>
      </c>
      <c r="B1467" s="42" t="str">
        <f aca="false">IF(A1467="100","HK",IF(A1467="200","CN",IF(A1467="300","TW","홀세일")))</f>
        <v>HK</v>
      </c>
      <c r="C1467" s="45" t="s">
        <v>629</v>
      </c>
      <c r="D1467" s="46" t="n">
        <v>230</v>
      </c>
      <c r="E1467" s="46" t="n">
        <v>49000</v>
      </c>
      <c r="F1467" s="46" t="n">
        <v>11104</v>
      </c>
      <c r="G1467" s="42" t="n">
        <v>3.68</v>
      </c>
      <c r="H1467" s="42" t="n">
        <v>13.1</v>
      </c>
      <c r="J1467" s="46" t="n">
        <f aca="false">IF(N(E1467)&gt;0,E1467,IF(N(F1467)&gt;0,F1467*요약!$F$27,0))</f>
        <v>49000</v>
      </c>
      <c r="K1467" s="46" t="n">
        <f aca="false">IF(N(F1467)&gt;0,F1467,IF(N(E1467)&gt;0,E1467/요약!$F$27,0))</f>
        <v>11104</v>
      </c>
      <c r="L1467" s="46" t="n">
        <f aca="false">IF(B1467="CN",IF(N(I1467)&gt;0,I1467*요약!$G$27,K1467*(1+요약!$E$27)),IF(N(H1467)&gt;0,H1467*요약!$G$27,J1467*요약!$D$27))</f>
        <v>17292</v>
      </c>
      <c r="M1467" s="46" t="n">
        <f aca="false">D1467*J1467</f>
        <v>11270000</v>
      </c>
      <c r="N1467" s="46" t="n">
        <f aca="false">D1467*K1467</f>
        <v>2553920</v>
      </c>
      <c r="O1467" s="46" t="n">
        <f aca="false">D1467*L1467</f>
        <v>3977160</v>
      </c>
      <c r="P1467" s="42" t="str">
        <f aca="false">TRIM(IF(N(E1467)&lt;=0,"택가보정 ","")&amp;IF(N(F1467)&lt;=0,"원가보정 ","")&amp;IF(AND(B1467&lt;&gt;"CN",N(H1467)&lt;=0),"공급가보정 ","")&amp;IF(AND(B1467="CN",N(I1467)&lt;=0),"중국공급가=원가+마진 ",""))</f>
        <v/>
      </c>
      <c r="Q1467" s="47" t="n">
        <f aca="false">IF(SUMIFS($W:$W,$A:$A,A1467,$C:$C,C1467)=0,0,SUMIFS(RAW_판매펀칭!$K:$K,RAW_판매펀칭!$P:$P,A1467,RAW_판매펀칭!$I:$I,C1467)*W1467/SUMIFS($W:$W,$A:$A,A1467,$C:$C,C1467))</f>
        <v>230</v>
      </c>
      <c r="R1467" s="47" t="n">
        <f aca="false">IF(OR(A1467="500",A1467="800",A1467="810"),0,MAX(W1467-Q1467,0))</f>
        <v>0</v>
      </c>
      <c r="S1467" s="47" t="n">
        <f aca="false">R1467*L1467</f>
        <v>0</v>
      </c>
      <c r="T1467" s="47" t="n">
        <f aca="false">R1467*J1467</f>
        <v>0</v>
      </c>
      <c r="U1467" s="47" t="n">
        <f aca="false">R1467*K1467</f>
        <v>0</v>
      </c>
      <c r="V1467" s="0" t="str">
        <f aca="false">IF(COUNTIFS($A$2:A1467,A1467,$C$2:C1467,C1467,$D$2:D1467,D1467)&gt;1,"중복","")</f>
        <v/>
      </c>
      <c r="W1467" s="0" t="n">
        <f aca="false">IF(V1467="중복",0,N(D1467))</f>
        <v>230</v>
      </c>
      <c r="X1467" s="0" t="n">
        <f aca="false">IF(COUNTIFS($A$2:A1467,A1467,$C$2:C1467,C1467)=1,ABS(SUMIFS(RAW_발주!$D:$D,RAW_발주!$C:$C,A1467,RAW_발주!$A:$A,C1467)-SUMIFS($W:$W,$A:$A,A1467,$C:$C,C1467)),0)</f>
        <v>0</v>
      </c>
    </row>
    <row r="1468" customFormat="false" ht="15" hidden="false" customHeight="true" outlineLevel="0" collapsed="false">
      <c r="A1468" s="45" t="s">
        <v>1661</v>
      </c>
      <c r="B1468" s="42" t="str">
        <f aca="false">IF(A1468="100","HK",IF(A1468="200","CN",IF(A1468="300","TW","홀세일")))</f>
        <v>TW</v>
      </c>
      <c r="C1468" s="45" t="s">
        <v>629</v>
      </c>
      <c r="D1468" s="46" t="n">
        <v>180</v>
      </c>
      <c r="E1468" s="46" t="n">
        <v>49000</v>
      </c>
      <c r="F1468" s="46" t="n">
        <v>11104</v>
      </c>
      <c r="G1468" s="42" t="n">
        <v>3.68</v>
      </c>
      <c r="H1468" s="42" t="n">
        <v>13.1</v>
      </c>
      <c r="J1468" s="46" t="n">
        <f aca="false">IF(N(E1468)&gt;0,E1468,IF(N(F1468)&gt;0,F1468*요약!$F$27,0))</f>
        <v>49000</v>
      </c>
      <c r="K1468" s="46" t="n">
        <f aca="false">IF(N(F1468)&gt;0,F1468,IF(N(E1468)&gt;0,E1468/요약!$F$27,0))</f>
        <v>11104</v>
      </c>
      <c r="L1468" s="46" t="n">
        <f aca="false">IF(B1468="CN",IF(N(I1468)&gt;0,I1468*요약!$G$27,K1468*(1+요약!$E$27)),IF(N(H1468)&gt;0,H1468*요약!$G$27,J1468*요약!$D$27))</f>
        <v>17292</v>
      </c>
      <c r="M1468" s="46" t="n">
        <f aca="false">D1468*J1468</f>
        <v>8820000</v>
      </c>
      <c r="N1468" s="46" t="n">
        <f aca="false">D1468*K1468</f>
        <v>1998720</v>
      </c>
      <c r="O1468" s="46" t="n">
        <f aca="false">D1468*L1468</f>
        <v>3112560</v>
      </c>
      <c r="P1468" s="42" t="str">
        <f aca="false">TRIM(IF(N(E1468)&lt;=0,"택가보정 ","")&amp;IF(N(F1468)&lt;=0,"원가보정 ","")&amp;IF(AND(B1468&lt;&gt;"CN",N(H1468)&lt;=0),"공급가보정 ","")&amp;IF(AND(B1468="CN",N(I1468)&lt;=0),"중국공급가=원가+마진 ",""))</f>
        <v/>
      </c>
      <c r="Q1468" s="47" t="n">
        <f aca="false">IF(SUMIFS($W:$W,$A:$A,A1468,$C:$C,C1468)=0,0,SUMIFS(RAW_판매펀칭!$K:$K,RAW_판매펀칭!$P:$P,A1468,RAW_판매펀칭!$I:$I,C1468)*W1468/SUMIFS($W:$W,$A:$A,A1468,$C:$C,C1468))</f>
        <v>180</v>
      </c>
      <c r="R1468" s="47" t="n">
        <f aca="false">IF(OR(A1468="500",A1468="800",A1468="810"),0,MAX(W1468-Q1468,0))</f>
        <v>0</v>
      </c>
      <c r="S1468" s="47" t="n">
        <f aca="false">R1468*L1468</f>
        <v>0</v>
      </c>
      <c r="T1468" s="47" t="n">
        <f aca="false">R1468*J1468</f>
        <v>0</v>
      </c>
      <c r="U1468" s="47" t="n">
        <f aca="false">R1468*K1468</f>
        <v>0</v>
      </c>
      <c r="V1468" s="0" t="str">
        <f aca="false">IF(COUNTIFS($A$2:A1468,A1468,$C$2:C1468,C1468,$D$2:D1468,D1468)&gt;1,"중복","")</f>
        <v/>
      </c>
      <c r="W1468" s="0" t="n">
        <f aca="false">IF(V1468="중복",0,N(D1468))</f>
        <v>180</v>
      </c>
      <c r="X1468" s="0" t="n">
        <f aca="false">IF(COUNTIFS($A$2:A1468,A1468,$C$2:C1468,C1468)=1,ABS(SUMIFS(RAW_발주!$D:$D,RAW_발주!$C:$C,A1468,RAW_발주!$A:$A,C1468)-SUMIFS($W:$W,$A:$A,A1468,$C:$C,C1468)),0)</f>
        <v>0</v>
      </c>
    </row>
    <row r="1469" customFormat="false" ht="15" hidden="false" customHeight="true" outlineLevel="0" collapsed="false">
      <c r="A1469" s="45" t="s">
        <v>1662</v>
      </c>
      <c r="B1469" s="42" t="str">
        <f aca="false">IF(A1469="100","HK",IF(A1469="200","CN",IF(A1469="300","TW","홀세일")))</f>
        <v>홀세일</v>
      </c>
      <c r="C1469" s="45" t="s">
        <v>629</v>
      </c>
      <c r="D1469" s="46" t="n">
        <v>70</v>
      </c>
      <c r="E1469" s="46" t="n">
        <v>49000</v>
      </c>
      <c r="F1469" s="46" t="n">
        <v>11104</v>
      </c>
      <c r="G1469" s="42" t="n">
        <v>3.68</v>
      </c>
      <c r="H1469" s="42" t="n">
        <v>13.1</v>
      </c>
      <c r="J1469" s="46" t="n">
        <f aca="false">IF(N(E1469)&gt;0,E1469,IF(N(F1469)&gt;0,F1469*요약!$F$27,0))</f>
        <v>49000</v>
      </c>
      <c r="K1469" s="46" t="n">
        <f aca="false">IF(N(F1469)&gt;0,F1469,IF(N(E1469)&gt;0,E1469/요약!$F$27,0))</f>
        <v>11104</v>
      </c>
      <c r="L1469" s="46" t="n">
        <f aca="false">IF(B1469="CN",IF(N(I1469)&gt;0,I1469*요약!$G$27,K1469*(1+요약!$E$27)),IF(N(H1469)&gt;0,H1469*요약!$G$27,J1469*요약!$D$27))</f>
        <v>17292</v>
      </c>
      <c r="M1469" s="46" t="n">
        <f aca="false">D1469*J1469</f>
        <v>3430000</v>
      </c>
      <c r="N1469" s="46" t="n">
        <f aca="false">D1469*K1469</f>
        <v>777280</v>
      </c>
      <c r="O1469" s="46" t="n">
        <f aca="false">D1469*L1469</f>
        <v>1210440</v>
      </c>
      <c r="P1469" s="42" t="str">
        <f aca="false">TRIM(IF(N(E1469)&lt;=0,"택가보정 ","")&amp;IF(N(F1469)&lt;=0,"원가보정 ","")&amp;IF(AND(B1469&lt;&gt;"CN",N(H1469)&lt;=0),"공급가보정 ","")&amp;IF(AND(B1469="CN",N(I1469)&lt;=0),"중국공급가=원가+마진 ",""))</f>
        <v/>
      </c>
      <c r="Q1469" s="47" t="n">
        <f aca="false">IF(SUMIFS($W:$W,$A:$A,A1469,$C:$C,C1469)=0,0,SUMIFS(RAW_판매펀칭!$K:$K,RAW_판매펀칭!$P:$P,A1469,RAW_판매펀칭!$I:$I,C1469)*W1469/SUMIFS($W:$W,$A:$A,A1469,$C:$C,C1469))</f>
        <v>0</v>
      </c>
      <c r="R1469" s="47" t="n">
        <f aca="false">IF(OR(A1469="500",A1469="800",A1469="810"),0,MAX(W1469-Q1469,0))</f>
        <v>0</v>
      </c>
      <c r="S1469" s="47" t="n">
        <f aca="false">R1469*L1469</f>
        <v>0</v>
      </c>
      <c r="T1469" s="47" t="n">
        <f aca="false">R1469*J1469</f>
        <v>0</v>
      </c>
      <c r="U1469" s="47" t="n">
        <f aca="false">R1469*K1469</f>
        <v>0</v>
      </c>
      <c r="V1469" s="0" t="str">
        <f aca="false">IF(COUNTIFS($A$2:A1469,A1469,$C$2:C1469,C1469,$D$2:D1469,D1469)&gt;1,"중복","")</f>
        <v/>
      </c>
      <c r="W1469" s="0" t="n">
        <f aca="false">IF(V1469="중복",0,N(D1469))</f>
        <v>70</v>
      </c>
      <c r="X1469" s="0" t="n">
        <f aca="false">IF(COUNTIFS($A$2:A1469,A1469,$C$2:C1469,C1469)=1,ABS(SUMIFS(RAW_발주!$D:$D,RAW_발주!$C:$C,A1469,RAW_발주!$A:$A,C1469)-SUMIFS($W:$W,$A:$A,A1469,$C:$C,C1469)),0)</f>
        <v>0</v>
      </c>
    </row>
    <row r="1470" customFormat="false" ht="15" hidden="false" customHeight="true" outlineLevel="0" collapsed="false">
      <c r="A1470" s="45" t="s">
        <v>1663</v>
      </c>
      <c r="B1470" s="42" t="str">
        <f aca="false">IF(A1470="100","HK",IF(A1470="200","CN",IF(A1470="300","TW","홀세일")))</f>
        <v>홀세일</v>
      </c>
      <c r="C1470" s="45" t="s">
        <v>629</v>
      </c>
      <c r="D1470" s="46" t="n">
        <v>30</v>
      </c>
      <c r="E1470" s="46" t="n">
        <v>49000</v>
      </c>
      <c r="F1470" s="46" t="n">
        <v>11104</v>
      </c>
      <c r="G1470" s="42" t="n">
        <v>3.68</v>
      </c>
      <c r="H1470" s="42" t="n">
        <v>13.1</v>
      </c>
      <c r="J1470" s="46" t="n">
        <f aca="false">IF(N(E1470)&gt;0,E1470,IF(N(F1470)&gt;0,F1470*요약!$F$27,0))</f>
        <v>49000</v>
      </c>
      <c r="K1470" s="46" t="n">
        <f aca="false">IF(N(F1470)&gt;0,F1470,IF(N(E1470)&gt;0,E1470/요약!$F$27,0))</f>
        <v>11104</v>
      </c>
      <c r="L1470" s="46" t="n">
        <f aca="false">IF(B1470="CN",IF(N(I1470)&gt;0,I1470*요약!$G$27,K1470*(1+요약!$E$27)),IF(N(H1470)&gt;0,H1470*요약!$G$27,J1470*요약!$D$27))</f>
        <v>17292</v>
      </c>
      <c r="M1470" s="46" t="n">
        <f aca="false">D1470*J1470</f>
        <v>1470000</v>
      </c>
      <c r="N1470" s="46" t="n">
        <f aca="false">D1470*K1470</f>
        <v>333120</v>
      </c>
      <c r="O1470" s="46" t="n">
        <f aca="false">D1470*L1470</f>
        <v>518760</v>
      </c>
      <c r="P1470" s="42" t="str">
        <f aca="false">TRIM(IF(N(E1470)&lt;=0,"택가보정 ","")&amp;IF(N(F1470)&lt;=0,"원가보정 ","")&amp;IF(AND(B1470&lt;&gt;"CN",N(H1470)&lt;=0),"공급가보정 ","")&amp;IF(AND(B1470="CN",N(I1470)&lt;=0),"중국공급가=원가+마진 ",""))</f>
        <v/>
      </c>
      <c r="Q1470" s="47" t="n">
        <f aca="false">IF(SUMIFS($W:$W,$A:$A,A1470,$C:$C,C1470)=0,0,SUMIFS(RAW_판매펀칭!$K:$K,RAW_판매펀칭!$P:$P,A1470,RAW_판매펀칭!$I:$I,C1470)*W1470/SUMIFS($W:$W,$A:$A,A1470,$C:$C,C1470))</f>
        <v>30</v>
      </c>
      <c r="R1470" s="47" t="n">
        <f aca="false">IF(OR(A1470="500",A1470="800",A1470="810"),0,MAX(W1470-Q1470,0))</f>
        <v>0</v>
      </c>
      <c r="S1470" s="47" t="n">
        <f aca="false">R1470*L1470</f>
        <v>0</v>
      </c>
      <c r="T1470" s="47" t="n">
        <f aca="false">R1470*J1470</f>
        <v>0</v>
      </c>
      <c r="U1470" s="47" t="n">
        <f aca="false">R1470*K1470</f>
        <v>0</v>
      </c>
      <c r="V1470" s="0" t="str">
        <f aca="false">IF(COUNTIFS($A$2:A1470,A1470,$C$2:C1470,C1470,$D$2:D1470,D1470)&gt;1,"중복","")</f>
        <v/>
      </c>
      <c r="W1470" s="0" t="n">
        <f aca="false">IF(V1470="중복",0,N(D1470))</f>
        <v>30</v>
      </c>
      <c r="X1470" s="0" t="n">
        <f aca="false">IF(COUNTIFS($A$2:A1470,A1470,$C$2:C1470,C1470)=1,ABS(SUMIFS(RAW_발주!$D:$D,RAW_발주!$C:$C,A1470,RAW_발주!$A:$A,C1470)-SUMIFS($W:$W,$A:$A,A1470,$C:$C,C1470)),0)</f>
        <v>0</v>
      </c>
    </row>
    <row r="1471" customFormat="false" ht="15" hidden="false" customHeight="true" outlineLevel="0" collapsed="false">
      <c r="A1471" s="45" t="s">
        <v>1667</v>
      </c>
      <c r="B1471" s="42" t="str">
        <f aca="false">IF(A1471="100","HK",IF(A1471="200","CN",IF(A1471="300","TW","홀세일")))</f>
        <v>홀세일</v>
      </c>
      <c r="C1471" s="45" t="s">
        <v>629</v>
      </c>
      <c r="D1471" s="46" t="n">
        <v>61</v>
      </c>
      <c r="E1471" s="46" t="n">
        <v>49000</v>
      </c>
      <c r="F1471" s="46" t="n">
        <v>11104</v>
      </c>
      <c r="G1471" s="42" t="n">
        <v>3.68</v>
      </c>
      <c r="H1471" s="42" t="n">
        <v>13.1</v>
      </c>
      <c r="J1471" s="46" t="n">
        <f aca="false">IF(N(E1471)&gt;0,E1471,IF(N(F1471)&gt;0,F1471*요약!$F$27,0))</f>
        <v>49000</v>
      </c>
      <c r="K1471" s="46" t="n">
        <f aca="false">IF(N(F1471)&gt;0,F1471,IF(N(E1471)&gt;0,E1471/요약!$F$27,0))</f>
        <v>11104</v>
      </c>
      <c r="L1471" s="46" t="n">
        <f aca="false">IF(B1471="CN",IF(N(I1471)&gt;0,I1471*요약!$G$27,K1471*(1+요약!$E$27)),IF(N(H1471)&gt;0,H1471*요약!$G$27,J1471*요약!$D$27))</f>
        <v>17292</v>
      </c>
      <c r="M1471" s="46" t="n">
        <f aca="false">D1471*J1471</f>
        <v>2989000</v>
      </c>
      <c r="N1471" s="46" t="n">
        <f aca="false">D1471*K1471</f>
        <v>677344</v>
      </c>
      <c r="O1471" s="46" t="n">
        <f aca="false">D1471*L1471</f>
        <v>1054812</v>
      </c>
      <c r="P1471" s="42" t="str">
        <f aca="false">TRIM(IF(N(E1471)&lt;=0,"택가보정 ","")&amp;IF(N(F1471)&lt;=0,"원가보정 ","")&amp;IF(AND(B1471&lt;&gt;"CN",N(H1471)&lt;=0),"공급가보정 ","")&amp;IF(AND(B1471="CN",N(I1471)&lt;=0),"중국공급가=원가+마진 ",""))</f>
        <v/>
      </c>
      <c r="Q1471" s="47" t="n">
        <f aca="false">IF(SUMIFS($W:$W,$A:$A,A1471,$C:$C,C1471)=0,0,SUMIFS(RAW_판매펀칭!$K:$K,RAW_판매펀칭!$P:$P,A1471,RAW_판매펀칭!$I:$I,C1471)*W1471/SUMIFS($W:$W,$A:$A,A1471,$C:$C,C1471))</f>
        <v>61</v>
      </c>
      <c r="R1471" s="47" t="n">
        <f aca="false">IF(OR(A1471="500",A1471="800",A1471="810"),0,MAX(W1471-Q1471,0))</f>
        <v>0</v>
      </c>
      <c r="S1471" s="47" t="n">
        <f aca="false">R1471*L1471</f>
        <v>0</v>
      </c>
      <c r="T1471" s="47" t="n">
        <f aca="false">R1471*J1471</f>
        <v>0</v>
      </c>
      <c r="U1471" s="47" t="n">
        <f aca="false">R1471*K1471</f>
        <v>0</v>
      </c>
      <c r="V1471" s="0" t="str">
        <f aca="false">IF(COUNTIFS($A$2:A1471,A1471,$C$2:C1471,C1471,$D$2:D1471,D1471)&gt;1,"중복","")</f>
        <v/>
      </c>
      <c r="W1471" s="0" t="n">
        <f aca="false">IF(V1471="중복",0,N(D1471))</f>
        <v>61</v>
      </c>
      <c r="X1471" s="0" t="n">
        <f aca="false">IF(COUNTIFS($A$2:A1471,A1471,$C$2:C1471,C1471)=1,ABS(SUMIFS(RAW_발주!$D:$D,RAW_발주!$C:$C,A1471,RAW_발주!$A:$A,C1471)-SUMIFS($W:$W,$A:$A,A1471,$C:$C,C1471)),0)</f>
        <v>0</v>
      </c>
    </row>
    <row r="1472" customFormat="false" ht="15" hidden="false" customHeight="true" outlineLevel="0" collapsed="false">
      <c r="A1472" s="45" t="s">
        <v>1665</v>
      </c>
      <c r="B1472" s="42" t="str">
        <f aca="false">IF(A1472="100","HK",IF(A1472="200","CN",IF(A1472="300","TW","홀세일")))</f>
        <v>홀세일</v>
      </c>
      <c r="C1472" s="45" t="s">
        <v>629</v>
      </c>
      <c r="D1472" s="46" t="n">
        <v>168</v>
      </c>
      <c r="E1472" s="46" t="n">
        <v>49000</v>
      </c>
      <c r="F1472" s="46" t="n">
        <v>11104</v>
      </c>
      <c r="G1472" s="42" t="n">
        <v>3.68</v>
      </c>
      <c r="H1472" s="42" t="n">
        <v>13.1</v>
      </c>
      <c r="J1472" s="46" t="n">
        <f aca="false">IF(N(E1472)&gt;0,E1472,IF(N(F1472)&gt;0,F1472*요약!$F$27,0))</f>
        <v>49000</v>
      </c>
      <c r="K1472" s="46" t="n">
        <f aca="false">IF(N(F1472)&gt;0,F1472,IF(N(E1472)&gt;0,E1472/요약!$F$27,0))</f>
        <v>11104</v>
      </c>
      <c r="L1472" s="46" t="n">
        <f aca="false">IF(B1472="CN",IF(N(I1472)&gt;0,I1472*요약!$G$27,K1472*(1+요약!$E$27)),IF(N(H1472)&gt;0,H1472*요약!$G$27,J1472*요약!$D$27))</f>
        <v>17292</v>
      </c>
      <c r="M1472" s="46" t="n">
        <f aca="false">D1472*J1472</f>
        <v>8232000</v>
      </c>
      <c r="N1472" s="46" t="n">
        <f aca="false">D1472*K1472</f>
        <v>1865472</v>
      </c>
      <c r="O1472" s="46" t="n">
        <f aca="false">D1472*L1472</f>
        <v>2905056</v>
      </c>
      <c r="P1472" s="42" t="str">
        <f aca="false">TRIM(IF(N(E1472)&lt;=0,"택가보정 ","")&amp;IF(N(F1472)&lt;=0,"원가보정 ","")&amp;IF(AND(B1472&lt;&gt;"CN",N(H1472)&lt;=0),"공급가보정 ","")&amp;IF(AND(B1472="CN",N(I1472)&lt;=0),"중국공급가=원가+마진 ",""))</f>
        <v/>
      </c>
      <c r="Q1472" s="47" t="n">
        <f aca="false">IF(SUMIFS($W:$W,$A:$A,A1472,$C:$C,C1472)=0,0,SUMIFS(RAW_판매펀칭!$K:$K,RAW_판매펀칭!$P:$P,A1472,RAW_판매펀칭!$I:$I,C1472)*W1472/SUMIFS($W:$W,$A:$A,A1472,$C:$C,C1472))</f>
        <v>168</v>
      </c>
      <c r="R1472" s="47" t="n">
        <f aca="false">IF(OR(A1472="500",A1472="800",A1472="810"),0,MAX(W1472-Q1472,0))</f>
        <v>0</v>
      </c>
      <c r="S1472" s="47" t="n">
        <f aca="false">R1472*L1472</f>
        <v>0</v>
      </c>
      <c r="T1472" s="47" t="n">
        <f aca="false">R1472*J1472</f>
        <v>0</v>
      </c>
      <c r="U1472" s="47" t="n">
        <f aca="false">R1472*K1472</f>
        <v>0</v>
      </c>
      <c r="V1472" s="0" t="str">
        <f aca="false">IF(COUNTIFS($A$2:A1472,A1472,$C$2:C1472,C1472,$D$2:D1472,D1472)&gt;1,"중복","")</f>
        <v/>
      </c>
      <c r="W1472" s="0" t="n">
        <f aca="false">IF(V1472="중복",0,N(D1472))</f>
        <v>168</v>
      </c>
      <c r="X1472" s="0" t="n">
        <f aca="false">IF(COUNTIFS($A$2:A1472,A1472,$C$2:C1472,C1472)=1,ABS(SUMIFS(RAW_발주!$D:$D,RAW_발주!$C:$C,A1472,RAW_발주!$A:$A,C1472)-SUMIFS($W:$W,$A:$A,A1472,$C:$C,C1472)),0)</f>
        <v>0</v>
      </c>
    </row>
    <row r="1473" customFormat="false" ht="15" hidden="false" customHeight="true" outlineLevel="0" collapsed="false">
      <c r="A1473" s="45" t="s">
        <v>1663</v>
      </c>
      <c r="B1473" s="42" t="str">
        <f aca="false">IF(A1473="100","HK",IF(A1473="200","CN",IF(A1473="300","TW","홀세일")))</f>
        <v>홀세일</v>
      </c>
      <c r="C1473" s="45" t="s">
        <v>1360</v>
      </c>
      <c r="D1473" s="46" t="n">
        <v>20</v>
      </c>
      <c r="E1473" s="46" t="n">
        <v>79000</v>
      </c>
      <c r="F1473" s="46" t="n">
        <v>16700</v>
      </c>
      <c r="G1473" s="42" t="n">
        <v>3.91</v>
      </c>
      <c r="H1473" s="42" t="n">
        <v>21</v>
      </c>
      <c r="J1473" s="46" t="n">
        <f aca="false">IF(N(E1473)&gt;0,E1473,IF(N(F1473)&gt;0,F1473*요약!$F$27,0))</f>
        <v>79000</v>
      </c>
      <c r="K1473" s="46" t="n">
        <f aca="false">IF(N(F1473)&gt;0,F1473,IF(N(E1473)&gt;0,E1473/요약!$F$27,0))</f>
        <v>16700</v>
      </c>
      <c r="L1473" s="46" t="n">
        <f aca="false">IF(B1473="CN",IF(N(I1473)&gt;0,I1473*요약!$G$27,K1473*(1+요약!$E$27)),IF(N(H1473)&gt;0,H1473*요약!$G$27,J1473*요약!$D$27))</f>
        <v>27720</v>
      </c>
      <c r="M1473" s="46" t="n">
        <f aca="false">D1473*J1473</f>
        <v>1580000</v>
      </c>
      <c r="N1473" s="46" t="n">
        <f aca="false">D1473*K1473</f>
        <v>334000</v>
      </c>
      <c r="O1473" s="46" t="n">
        <f aca="false">D1473*L1473</f>
        <v>554400</v>
      </c>
      <c r="P1473" s="42" t="str">
        <f aca="false">TRIM(IF(N(E1473)&lt;=0,"택가보정 ","")&amp;IF(N(F1473)&lt;=0,"원가보정 ","")&amp;IF(AND(B1473&lt;&gt;"CN",N(H1473)&lt;=0),"공급가보정 ","")&amp;IF(AND(B1473="CN",N(I1473)&lt;=0),"중국공급가=원가+마진 ",""))</f>
        <v/>
      </c>
      <c r="Q1473" s="47" t="n">
        <f aca="false">IF(SUMIFS($W:$W,$A:$A,A1473,$C:$C,C1473)=0,0,SUMIFS(RAW_판매펀칭!$K:$K,RAW_판매펀칭!$P:$P,A1473,RAW_판매펀칭!$I:$I,C1473)*W1473/SUMIFS($W:$W,$A:$A,A1473,$C:$C,C1473))</f>
        <v>20</v>
      </c>
      <c r="R1473" s="47" t="n">
        <f aca="false">IF(OR(A1473="500",A1473="800",A1473="810"),0,MAX(W1473-Q1473,0))</f>
        <v>0</v>
      </c>
      <c r="S1473" s="47" t="n">
        <f aca="false">R1473*L1473</f>
        <v>0</v>
      </c>
      <c r="T1473" s="47" t="n">
        <f aca="false">R1473*J1473</f>
        <v>0</v>
      </c>
      <c r="U1473" s="47" t="n">
        <f aca="false">R1473*K1473</f>
        <v>0</v>
      </c>
      <c r="V1473" s="0" t="str">
        <f aca="false">IF(COUNTIFS($A$2:A1473,A1473,$C$2:C1473,C1473,$D$2:D1473,D1473)&gt;1,"중복","")</f>
        <v/>
      </c>
      <c r="W1473" s="0" t="n">
        <f aca="false">IF(V1473="중복",0,N(D1473))</f>
        <v>20</v>
      </c>
      <c r="X1473" s="0" t="n">
        <f aca="false">IF(COUNTIFS($A$2:A1473,A1473,$C$2:C1473,C1473)=1,ABS(SUMIFS(RAW_발주!$D:$D,RAW_발주!$C:$C,A1473,RAW_발주!$A:$A,C1473)-SUMIFS($W:$W,$A:$A,A1473,$C:$C,C1473)),0)</f>
        <v>0</v>
      </c>
    </row>
    <row r="1474" customFormat="false" ht="15" hidden="false" customHeight="true" outlineLevel="0" collapsed="false">
      <c r="A1474" s="45" t="s">
        <v>1664</v>
      </c>
      <c r="B1474" s="42" t="str">
        <f aca="false">IF(A1474="100","HK",IF(A1474="200","CN",IF(A1474="300","TW","홀세일")))</f>
        <v>홀세일</v>
      </c>
      <c r="C1474" s="45" t="s">
        <v>1360</v>
      </c>
      <c r="D1474" s="46" t="n">
        <v>20</v>
      </c>
      <c r="E1474" s="46" t="n">
        <v>79000</v>
      </c>
      <c r="F1474" s="46" t="n">
        <v>16700</v>
      </c>
      <c r="G1474" s="42" t="n">
        <v>3.91</v>
      </c>
      <c r="H1474" s="42" t="n">
        <v>21</v>
      </c>
      <c r="J1474" s="46" t="n">
        <f aca="false">IF(N(E1474)&gt;0,E1474,IF(N(F1474)&gt;0,F1474*요약!$F$27,0))</f>
        <v>79000</v>
      </c>
      <c r="K1474" s="46" t="n">
        <f aca="false">IF(N(F1474)&gt;0,F1474,IF(N(E1474)&gt;0,E1474/요약!$F$27,0))</f>
        <v>16700</v>
      </c>
      <c r="L1474" s="46" t="n">
        <f aca="false">IF(B1474="CN",IF(N(I1474)&gt;0,I1474*요약!$G$27,K1474*(1+요약!$E$27)),IF(N(H1474)&gt;0,H1474*요약!$G$27,J1474*요약!$D$27))</f>
        <v>27720</v>
      </c>
      <c r="M1474" s="46" t="n">
        <f aca="false">D1474*J1474</f>
        <v>1580000</v>
      </c>
      <c r="N1474" s="46" t="n">
        <f aca="false">D1474*K1474</f>
        <v>334000</v>
      </c>
      <c r="O1474" s="46" t="n">
        <f aca="false">D1474*L1474</f>
        <v>554400</v>
      </c>
      <c r="P1474" s="42" t="str">
        <f aca="false">TRIM(IF(N(E1474)&lt;=0,"택가보정 ","")&amp;IF(N(F1474)&lt;=0,"원가보정 ","")&amp;IF(AND(B1474&lt;&gt;"CN",N(H1474)&lt;=0),"공급가보정 ","")&amp;IF(AND(B1474="CN",N(I1474)&lt;=0),"중국공급가=원가+마진 ",""))</f>
        <v/>
      </c>
      <c r="Q1474" s="47" t="n">
        <f aca="false">IF(SUMIFS($W:$W,$A:$A,A1474,$C:$C,C1474)=0,0,SUMIFS(RAW_판매펀칭!$K:$K,RAW_판매펀칭!$P:$P,A1474,RAW_판매펀칭!$I:$I,C1474)*W1474/SUMIFS($W:$W,$A:$A,A1474,$C:$C,C1474))</f>
        <v>20</v>
      </c>
      <c r="R1474" s="47" t="n">
        <f aca="false">IF(OR(A1474="500",A1474="800",A1474="810"),0,MAX(W1474-Q1474,0))</f>
        <v>0</v>
      </c>
      <c r="S1474" s="47" t="n">
        <f aca="false">R1474*L1474</f>
        <v>0</v>
      </c>
      <c r="T1474" s="47" t="n">
        <f aca="false">R1474*J1474</f>
        <v>0</v>
      </c>
      <c r="U1474" s="47" t="n">
        <f aca="false">R1474*K1474</f>
        <v>0</v>
      </c>
      <c r="V1474" s="0" t="str">
        <f aca="false">IF(COUNTIFS($A$2:A1474,A1474,$C$2:C1474,C1474,$D$2:D1474,D1474)&gt;1,"중복","")</f>
        <v/>
      </c>
      <c r="W1474" s="0" t="n">
        <f aca="false">IF(V1474="중복",0,N(D1474))</f>
        <v>20</v>
      </c>
      <c r="X1474" s="0" t="n">
        <f aca="false">IF(COUNTIFS($A$2:A1474,A1474,$C$2:C1474,C1474)=1,ABS(SUMIFS(RAW_발주!$D:$D,RAW_발주!$C:$C,A1474,RAW_발주!$A:$A,C1474)-SUMIFS($W:$W,$A:$A,A1474,$C:$C,C1474)),0)</f>
        <v>0</v>
      </c>
    </row>
    <row r="1475" customFormat="false" ht="15" hidden="false" customHeight="true" outlineLevel="0" collapsed="false">
      <c r="A1475" s="45" t="s">
        <v>1664</v>
      </c>
      <c r="B1475" s="42" t="str">
        <f aca="false">IF(A1475="100","HK",IF(A1475="200","CN",IF(A1475="300","TW","홀세일")))</f>
        <v>홀세일</v>
      </c>
      <c r="C1475" s="45" t="s">
        <v>1360</v>
      </c>
      <c r="D1475" s="46" t="n">
        <v>20</v>
      </c>
      <c r="E1475" s="46" t="n">
        <v>79000</v>
      </c>
      <c r="F1475" s="46" t="n">
        <v>16700</v>
      </c>
      <c r="G1475" s="42" t="n">
        <v>3.91</v>
      </c>
      <c r="H1475" s="42" t="n">
        <v>21</v>
      </c>
      <c r="J1475" s="46" t="n">
        <f aca="false">IF(N(E1475)&gt;0,E1475,IF(N(F1475)&gt;0,F1475*요약!$F$27,0))</f>
        <v>79000</v>
      </c>
      <c r="K1475" s="46" t="n">
        <f aca="false">IF(N(F1475)&gt;0,F1475,IF(N(E1475)&gt;0,E1475/요약!$F$27,0))</f>
        <v>16700</v>
      </c>
      <c r="L1475" s="46" t="n">
        <f aca="false">IF(B1475="CN",IF(N(I1475)&gt;0,I1475*요약!$G$27,K1475*(1+요약!$E$27)),IF(N(H1475)&gt;0,H1475*요약!$G$27,J1475*요약!$D$27))</f>
        <v>27720</v>
      </c>
      <c r="M1475" s="46" t="n">
        <f aca="false">D1475*J1475</f>
        <v>1580000</v>
      </c>
      <c r="N1475" s="46" t="n">
        <f aca="false">D1475*K1475</f>
        <v>334000</v>
      </c>
      <c r="O1475" s="46" t="n">
        <f aca="false">D1475*L1475</f>
        <v>554400</v>
      </c>
      <c r="P1475" s="42" t="str">
        <f aca="false">TRIM(IF(N(E1475)&lt;=0,"택가보정 ","")&amp;IF(N(F1475)&lt;=0,"원가보정 ","")&amp;IF(AND(B1475&lt;&gt;"CN",N(H1475)&lt;=0),"공급가보정 ","")&amp;IF(AND(B1475="CN",N(I1475)&lt;=0),"중국공급가=원가+마진 ",""))</f>
        <v/>
      </c>
      <c r="Q1475" s="47" t="n">
        <f aca="false">IF(SUMIFS($W:$W,$A:$A,A1475,$C:$C,C1475)=0,0,SUMIFS(RAW_판매펀칭!$K:$K,RAW_판매펀칭!$P:$P,A1475,RAW_판매펀칭!$I:$I,C1475)*W1475/SUMIFS($W:$W,$A:$A,A1475,$C:$C,C1475))</f>
        <v>0</v>
      </c>
      <c r="R1475" s="47" t="n">
        <f aca="false">IF(OR(A1475="500",A1475="800",A1475="810"),0,MAX(W1475-Q1475,0))</f>
        <v>0</v>
      </c>
      <c r="S1475" s="47" t="n">
        <f aca="false">R1475*L1475</f>
        <v>0</v>
      </c>
      <c r="T1475" s="47" t="n">
        <f aca="false">R1475*J1475</f>
        <v>0</v>
      </c>
      <c r="U1475" s="47" t="n">
        <f aca="false">R1475*K1475</f>
        <v>0</v>
      </c>
      <c r="V1475" s="0" t="str">
        <f aca="false">IF(COUNTIFS($A$2:A1475,A1475,$C$2:C1475,C1475,$D$2:D1475,D1475)&gt;1,"중복","")</f>
        <v>중복</v>
      </c>
      <c r="W1475" s="0" t="n">
        <f aca="false">IF(V1475="중복",0,N(D1475))</f>
        <v>0</v>
      </c>
      <c r="X1475" s="0" t="n">
        <f aca="false">IF(COUNTIFS($A$2:A1475,A1475,$C$2:C1475,C1475)=1,ABS(SUMIFS(RAW_발주!$D:$D,RAW_발주!$C:$C,A1475,RAW_발주!$A:$A,C1475)-SUMIFS($W:$W,$A:$A,A1475,$C:$C,C1475)),0)</f>
        <v>0</v>
      </c>
    </row>
    <row r="1476" customFormat="false" ht="15" hidden="false" customHeight="true" outlineLevel="0" collapsed="false">
      <c r="A1476" s="45" t="s">
        <v>1662</v>
      </c>
      <c r="B1476" s="42" t="str">
        <f aca="false">IF(A1476="100","HK",IF(A1476="200","CN",IF(A1476="300","TW","홀세일")))</f>
        <v>홀세일</v>
      </c>
      <c r="C1476" s="45" t="s">
        <v>1362</v>
      </c>
      <c r="D1476" s="46" t="n">
        <v>20</v>
      </c>
      <c r="E1476" s="46" t="n">
        <v>49000</v>
      </c>
      <c r="F1476" s="46" t="n">
        <v>9900</v>
      </c>
      <c r="G1476" s="42" t="n">
        <v>4.02</v>
      </c>
      <c r="H1476" s="42" t="n">
        <v>13.1</v>
      </c>
      <c r="J1476" s="46" t="n">
        <f aca="false">IF(N(E1476)&gt;0,E1476,IF(N(F1476)&gt;0,F1476*요약!$F$27,0))</f>
        <v>49000</v>
      </c>
      <c r="K1476" s="46" t="n">
        <f aca="false">IF(N(F1476)&gt;0,F1476,IF(N(E1476)&gt;0,E1476/요약!$F$27,0))</f>
        <v>9900</v>
      </c>
      <c r="L1476" s="46" t="n">
        <f aca="false">IF(B1476="CN",IF(N(I1476)&gt;0,I1476*요약!$G$27,K1476*(1+요약!$E$27)),IF(N(H1476)&gt;0,H1476*요약!$G$27,J1476*요약!$D$27))</f>
        <v>17292</v>
      </c>
      <c r="M1476" s="46" t="n">
        <f aca="false">D1476*J1476</f>
        <v>980000</v>
      </c>
      <c r="N1476" s="46" t="n">
        <f aca="false">D1476*K1476</f>
        <v>198000</v>
      </c>
      <c r="O1476" s="46" t="n">
        <f aca="false">D1476*L1476</f>
        <v>345840</v>
      </c>
      <c r="P1476" s="42" t="str">
        <f aca="false">TRIM(IF(N(E1476)&lt;=0,"택가보정 ","")&amp;IF(N(F1476)&lt;=0,"원가보정 ","")&amp;IF(AND(B1476&lt;&gt;"CN",N(H1476)&lt;=0),"공급가보정 ","")&amp;IF(AND(B1476="CN",N(I1476)&lt;=0),"중국공급가=원가+마진 ",""))</f>
        <v/>
      </c>
      <c r="Q1476" s="47" t="n">
        <f aca="false">IF(SUMIFS($W:$W,$A:$A,A1476,$C:$C,C1476)=0,0,SUMIFS(RAW_판매펀칭!$K:$K,RAW_판매펀칭!$P:$P,A1476,RAW_판매펀칭!$I:$I,C1476)*W1476/SUMIFS($W:$W,$A:$A,A1476,$C:$C,C1476))</f>
        <v>0</v>
      </c>
      <c r="R1476" s="47" t="n">
        <f aca="false">IF(OR(A1476="500",A1476="800",A1476="810"),0,MAX(W1476-Q1476,0))</f>
        <v>0</v>
      </c>
      <c r="S1476" s="47" t="n">
        <f aca="false">R1476*L1476</f>
        <v>0</v>
      </c>
      <c r="T1476" s="47" t="n">
        <f aca="false">R1476*J1476</f>
        <v>0</v>
      </c>
      <c r="U1476" s="47" t="n">
        <f aca="false">R1476*K1476</f>
        <v>0</v>
      </c>
      <c r="V1476" s="0" t="str">
        <f aca="false">IF(COUNTIFS($A$2:A1476,A1476,$C$2:C1476,C1476,$D$2:D1476,D1476)&gt;1,"중복","")</f>
        <v/>
      </c>
      <c r="W1476" s="0" t="n">
        <f aca="false">IF(V1476="중복",0,N(D1476))</f>
        <v>20</v>
      </c>
      <c r="X1476" s="0" t="n">
        <f aca="false">IF(COUNTIFS($A$2:A1476,A1476,$C$2:C1476,C1476)=1,ABS(SUMIFS(RAW_발주!$D:$D,RAW_발주!$C:$C,A1476,RAW_발주!$A:$A,C1476)-SUMIFS($W:$W,$A:$A,A1476,$C:$C,C1476)),0)</f>
        <v>0</v>
      </c>
    </row>
    <row r="1477" customFormat="false" ht="15" hidden="false" customHeight="true" outlineLevel="0" collapsed="false">
      <c r="A1477" s="45" t="s">
        <v>1663</v>
      </c>
      <c r="B1477" s="42" t="str">
        <f aca="false">IF(A1477="100","HK",IF(A1477="200","CN",IF(A1477="300","TW","홀세일")))</f>
        <v>홀세일</v>
      </c>
      <c r="C1477" s="45" t="s">
        <v>1362</v>
      </c>
      <c r="D1477" s="46" t="n">
        <v>40</v>
      </c>
      <c r="E1477" s="46" t="n">
        <v>49000</v>
      </c>
      <c r="F1477" s="46" t="n">
        <v>9900</v>
      </c>
      <c r="G1477" s="42" t="n">
        <v>4.02</v>
      </c>
      <c r="H1477" s="42" t="n">
        <v>13.1</v>
      </c>
      <c r="J1477" s="46" t="n">
        <f aca="false">IF(N(E1477)&gt;0,E1477,IF(N(F1477)&gt;0,F1477*요약!$F$27,0))</f>
        <v>49000</v>
      </c>
      <c r="K1477" s="46" t="n">
        <f aca="false">IF(N(F1477)&gt;0,F1477,IF(N(E1477)&gt;0,E1477/요약!$F$27,0))</f>
        <v>9900</v>
      </c>
      <c r="L1477" s="46" t="n">
        <f aca="false">IF(B1477="CN",IF(N(I1477)&gt;0,I1477*요약!$G$27,K1477*(1+요약!$E$27)),IF(N(H1477)&gt;0,H1477*요약!$G$27,J1477*요약!$D$27))</f>
        <v>17292</v>
      </c>
      <c r="M1477" s="46" t="n">
        <f aca="false">D1477*J1477</f>
        <v>1960000</v>
      </c>
      <c r="N1477" s="46" t="n">
        <f aca="false">D1477*K1477</f>
        <v>396000</v>
      </c>
      <c r="O1477" s="46" t="n">
        <f aca="false">D1477*L1477</f>
        <v>691680</v>
      </c>
      <c r="P1477" s="42" t="str">
        <f aca="false">TRIM(IF(N(E1477)&lt;=0,"택가보정 ","")&amp;IF(N(F1477)&lt;=0,"원가보정 ","")&amp;IF(AND(B1477&lt;&gt;"CN",N(H1477)&lt;=0),"공급가보정 ","")&amp;IF(AND(B1477="CN",N(I1477)&lt;=0),"중국공급가=원가+마진 ",""))</f>
        <v/>
      </c>
      <c r="Q1477" s="47" t="n">
        <f aca="false">IF(SUMIFS($W:$W,$A:$A,A1477,$C:$C,C1477)=0,0,SUMIFS(RAW_판매펀칭!$K:$K,RAW_판매펀칭!$P:$P,A1477,RAW_판매펀칭!$I:$I,C1477)*W1477/SUMIFS($W:$W,$A:$A,A1477,$C:$C,C1477))</f>
        <v>40</v>
      </c>
      <c r="R1477" s="47" t="n">
        <f aca="false">IF(OR(A1477="500",A1477="800",A1477="810"),0,MAX(W1477-Q1477,0))</f>
        <v>0</v>
      </c>
      <c r="S1477" s="47" t="n">
        <f aca="false">R1477*L1477</f>
        <v>0</v>
      </c>
      <c r="T1477" s="47" t="n">
        <f aca="false">R1477*J1477</f>
        <v>0</v>
      </c>
      <c r="U1477" s="47" t="n">
        <f aca="false">R1477*K1477</f>
        <v>0</v>
      </c>
      <c r="V1477" s="0" t="str">
        <f aca="false">IF(COUNTIFS($A$2:A1477,A1477,$C$2:C1477,C1477,$D$2:D1477,D1477)&gt;1,"중복","")</f>
        <v/>
      </c>
      <c r="W1477" s="0" t="n">
        <f aca="false">IF(V1477="중복",0,N(D1477))</f>
        <v>40</v>
      </c>
      <c r="X1477" s="0" t="n">
        <f aca="false">IF(COUNTIFS($A$2:A1477,A1477,$C$2:C1477,C1477)=1,ABS(SUMIFS(RAW_발주!$D:$D,RAW_발주!$C:$C,A1477,RAW_발주!$A:$A,C1477)-SUMIFS($W:$W,$A:$A,A1477,$C:$C,C1477)),0)</f>
        <v>0</v>
      </c>
    </row>
    <row r="1478" customFormat="false" ht="15" hidden="false" customHeight="true" outlineLevel="0" collapsed="false">
      <c r="A1478" s="45" t="s">
        <v>1665</v>
      </c>
      <c r="B1478" s="42" t="str">
        <f aca="false">IF(A1478="100","HK",IF(A1478="200","CN",IF(A1478="300","TW","홀세일")))</f>
        <v>홀세일</v>
      </c>
      <c r="C1478" s="45" t="s">
        <v>1362</v>
      </c>
      <c r="D1478" s="46" t="n">
        <v>288</v>
      </c>
      <c r="E1478" s="46" t="n">
        <v>49000</v>
      </c>
      <c r="F1478" s="46" t="n">
        <v>9900</v>
      </c>
      <c r="G1478" s="42" t="n">
        <v>4.02</v>
      </c>
      <c r="H1478" s="42" t="n">
        <v>13.1</v>
      </c>
      <c r="J1478" s="46" t="n">
        <f aca="false">IF(N(E1478)&gt;0,E1478,IF(N(F1478)&gt;0,F1478*요약!$F$27,0))</f>
        <v>49000</v>
      </c>
      <c r="K1478" s="46" t="n">
        <f aca="false">IF(N(F1478)&gt;0,F1478,IF(N(E1478)&gt;0,E1478/요약!$F$27,0))</f>
        <v>9900</v>
      </c>
      <c r="L1478" s="46" t="n">
        <f aca="false">IF(B1478="CN",IF(N(I1478)&gt;0,I1478*요약!$G$27,K1478*(1+요약!$E$27)),IF(N(H1478)&gt;0,H1478*요약!$G$27,J1478*요약!$D$27))</f>
        <v>17292</v>
      </c>
      <c r="M1478" s="46" t="n">
        <f aca="false">D1478*J1478</f>
        <v>14112000</v>
      </c>
      <c r="N1478" s="46" t="n">
        <f aca="false">D1478*K1478</f>
        <v>2851200</v>
      </c>
      <c r="O1478" s="46" t="n">
        <f aca="false">D1478*L1478</f>
        <v>4980096</v>
      </c>
      <c r="P1478" s="42" t="str">
        <f aca="false">TRIM(IF(N(E1478)&lt;=0,"택가보정 ","")&amp;IF(N(F1478)&lt;=0,"원가보정 ","")&amp;IF(AND(B1478&lt;&gt;"CN",N(H1478)&lt;=0),"공급가보정 ","")&amp;IF(AND(B1478="CN",N(I1478)&lt;=0),"중국공급가=원가+마진 ",""))</f>
        <v/>
      </c>
      <c r="Q1478" s="47" t="n">
        <f aca="false">IF(SUMIFS($W:$W,$A:$A,A1478,$C:$C,C1478)=0,0,SUMIFS(RAW_판매펀칭!$K:$K,RAW_판매펀칭!$P:$P,A1478,RAW_판매펀칭!$I:$I,C1478)*W1478/SUMIFS($W:$W,$A:$A,A1478,$C:$C,C1478))</f>
        <v>0</v>
      </c>
      <c r="R1478" s="47" t="n">
        <f aca="false">IF(OR(A1478="500",A1478="800",A1478="810"),0,MAX(W1478-Q1478,0))</f>
        <v>0</v>
      </c>
      <c r="S1478" s="47" t="n">
        <f aca="false">R1478*L1478</f>
        <v>0</v>
      </c>
      <c r="T1478" s="47" t="n">
        <f aca="false">R1478*J1478</f>
        <v>0</v>
      </c>
      <c r="U1478" s="47" t="n">
        <f aca="false">R1478*K1478</f>
        <v>0</v>
      </c>
      <c r="V1478" s="0" t="str">
        <f aca="false">IF(COUNTIFS($A$2:A1478,A1478,$C$2:C1478,C1478,$D$2:D1478,D1478)&gt;1,"중복","")</f>
        <v/>
      </c>
      <c r="W1478" s="0" t="n">
        <f aca="false">IF(V1478="중복",0,N(D1478))</f>
        <v>288</v>
      </c>
      <c r="X1478" s="0" t="n">
        <f aca="false">IF(COUNTIFS($A$2:A1478,A1478,$C$2:C1478,C1478)=1,ABS(SUMIFS(RAW_발주!$D:$D,RAW_발주!$C:$C,A1478,RAW_발주!$A:$A,C1478)-SUMIFS($W:$W,$A:$A,A1478,$C:$C,C1478)),0)</f>
        <v>0</v>
      </c>
    </row>
    <row r="1479" customFormat="false" ht="15" hidden="false" customHeight="true" outlineLevel="0" collapsed="false">
      <c r="A1479" s="45" t="s">
        <v>1659</v>
      </c>
      <c r="B1479" s="42" t="str">
        <f aca="false">IF(A1479="100","HK",IF(A1479="200","CN",IF(A1479="300","TW","홀세일")))</f>
        <v>HK</v>
      </c>
      <c r="C1479" s="45" t="s">
        <v>631</v>
      </c>
      <c r="D1479" s="46" t="n">
        <v>200</v>
      </c>
      <c r="E1479" s="46" t="n">
        <v>59000</v>
      </c>
      <c r="F1479" s="46" t="n">
        <v>15386</v>
      </c>
      <c r="G1479" s="42" t="n">
        <v>3.25</v>
      </c>
      <c r="H1479" s="42" t="n">
        <v>15.7</v>
      </c>
      <c r="J1479" s="46" t="n">
        <f aca="false">IF(N(E1479)&gt;0,E1479,IF(N(F1479)&gt;0,F1479*요약!$F$27,0))</f>
        <v>59000</v>
      </c>
      <c r="K1479" s="46" t="n">
        <f aca="false">IF(N(F1479)&gt;0,F1479,IF(N(E1479)&gt;0,E1479/요약!$F$27,0))</f>
        <v>15386</v>
      </c>
      <c r="L1479" s="46" t="n">
        <f aca="false">IF(B1479="CN",IF(N(I1479)&gt;0,I1479*요약!$G$27,K1479*(1+요약!$E$27)),IF(N(H1479)&gt;0,H1479*요약!$G$27,J1479*요약!$D$27))</f>
        <v>20724</v>
      </c>
      <c r="M1479" s="46" t="n">
        <f aca="false">D1479*J1479</f>
        <v>11800000</v>
      </c>
      <c r="N1479" s="46" t="n">
        <f aca="false">D1479*K1479</f>
        <v>3077200</v>
      </c>
      <c r="O1479" s="46" t="n">
        <f aca="false">D1479*L1479</f>
        <v>4144800</v>
      </c>
      <c r="P1479" s="42" t="str">
        <f aca="false">TRIM(IF(N(E1479)&lt;=0,"택가보정 ","")&amp;IF(N(F1479)&lt;=0,"원가보정 ","")&amp;IF(AND(B1479&lt;&gt;"CN",N(H1479)&lt;=0),"공급가보정 ","")&amp;IF(AND(B1479="CN",N(I1479)&lt;=0),"중국공급가=원가+마진 ",""))</f>
        <v/>
      </c>
      <c r="Q1479" s="47" t="n">
        <f aca="false">IF(SUMIFS($W:$W,$A:$A,A1479,$C:$C,C1479)=0,0,SUMIFS(RAW_판매펀칭!$K:$K,RAW_판매펀칭!$P:$P,A1479,RAW_판매펀칭!$I:$I,C1479)*W1479/SUMIFS($W:$W,$A:$A,A1479,$C:$C,C1479))</f>
        <v>200</v>
      </c>
      <c r="R1479" s="47" t="n">
        <f aca="false">IF(OR(A1479="500",A1479="800",A1479="810"),0,MAX(W1479-Q1479,0))</f>
        <v>0</v>
      </c>
      <c r="S1479" s="47" t="n">
        <f aca="false">R1479*L1479</f>
        <v>0</v>
      </c>
      <c r="T1479" s="47" t="n">
        <f aca="false">R1479*J1479</f>
        <v>0</v>
      </c>
      <c r="U1479" s="47" t="n">
        <f aca="false">R1479*K1479</f>
        <v>0</v>
      </c>
      <c r="V1479" s="0" t="str">
        <f aca="false">IF(COUNTIFS($A$2:A1479,A1479,$C$2:C1479,C1479,$D$2:D1479,D1479)&gt;1,"중복","")</f>
        <v/>
      </c>
      <c r="W1479" s="0" t="n">
        <f aca="false">IF(V1479="중복",0,N(D1479))</f>
        <v>200</v>
      </c>
      <c r="X1479" s="0" t="n">
        <f aca="false">IF(COUNTIFS($A$2:A1479,A1479,$C$2:C1479,C1479)=1,ABS(SUMIFS(RAW_발주!$D:$D,RAW_발주!$C:$C,A1479,RAW_발주!$A:$A,C1479)-SUMIFS($W:$W,$A:$A,A1479,$C:$C,C1479)),0)</f>
        <v>0</v>
      </c>
    </row>
    <row r="1480" customFormat="false" ht="15" hidden="false" customHeight="true" outlineLevel="0" collapsed="false">
      <c r="A1480" s="45" t="s">
        <v>1661</v>
      </c>
      <c r="B1480" s="42" t="str">
        <f aca="false">IF(A1480="100","HK",IF(A1480="200","CN",IF(A1480="300","TW","홀세일")))</f>
        <v>TW</v>
      </c>
      <c r="C1480" s="45" t="s">
        <v>631</v>
      </c>
      <c r="D1480" s="46" t="n">
        <v>150</v>
      </c>
      <c r="E1480" s="46" t="n">
        <v>59000</v>
      </c>
      <c r="F1480" s="46" t="n">
        <v>15386</v>
      </c>
      <c r="G1480" s="42" t="n">
        <v>3.25</v>
      </c>
      <c r="H1480" s="42" t="n">
        <v>15.7</v>
      </c>
      <c r="J1480" s="46" t="n">
        <f aca="false">IF(N(E1480)&gt;0,E1480,IF(N(F1480)&gt;0,F1480*요약!$F$27,0))</f>
        <v>59000</v>
      </c>
      <c r="K1480" s="46" t="n">
        <f aca="false">IF(N(F1480)&gt;0,F1480,IF(N(E1480)&gt;0,E1480/요약!$F$27,0))</f>
        <v>15386</v>
      </c>
      <c r="L1480" s="46" t="n">
        <f aca="false">IF(B1480="CN",IF(N(I1480)&gt;0,I1480*요약!$G$27,K1480*(1+요약!$E$27)),IF(N(H1480)&gt;0,H1480*요약!$G$27,J1480*요약!$D$27))</f>
        <v>20724</v>
      </c>
      <c r="M1480" s="46" t="n">
        <f aca="false">D1480*J1480</f>
        <v>8850000</v>
      </c>
      <c r="N1480" s="46" t="n">
        <f aca="false">D1480*K1480</f>
        <v>2307900</v>
      </c>
      <c r="O1480" s="46" t="n">
        <f aca="false">D1480*L1480</f>
        <v>3108600</v>
      </c>
      <c r="P1480" s="42" t="str">
        <f aca="false">TRIM(IF(N(E1480)&lt;=0,"택가보정 ","")&amp;IF(N(F1480)&lt;=0,"원가보정 ","")&amp;IF(AND(B1480&lt;&gt;"CN",N(H1480)&lt;=0),"공급가보정 ","")&amp;IF(AND(B1480="CN",N(I1480)&lt;=0),"중국공급가=원가+마진 ",""))</f>
        <v/>
      </c>
      <c r="Q1480" s="47" t="n">
        <f aca="false">IF(SUMIFS($W:$W,$A:$A,A1480,$C:$C,C1480)=0,0,SUMIFS(RAW_판매펀칭!$K:$K,RAW_판매펀칭!$P:$P,A1480,RAW_판매펀칭!$I:$I,C1480)*W1480/SUMIFS($W:$W,$A:$A,A1480,$C:$C,C1480))</f>
        <v>150</v>
      </c>
      <c r="R1480" s="47" t="n">
        <f aca="false">IF(OR(A1480="500",A1480="800",A1480="810"),0,MAX(W1480-Q1480,0))</f>
        <v>0</v>
      </c>
      <c r="S1480" s="47" t="n">
        <f aca="false">R1480*L1480</f>
        <v>0</v>
      </c>
      <c r="T1480" s="47" t="n">
        <f aca="false">R1480*J1480</f>
        <v>0</v>
      </c>
      <c r="U1480" s="47" t="n">
        <f aca="false">R1480*K1480</f>
        <v>0</v>
      </c>
      <c r="V1480" s="0" t="str">
        <f aca="false">IF(COUNTIFS($A$2:A1480,A1480,$C$2:C1480,C1480,$D$2:D1480,D1480)&gt;1,"중복","")</f>
        <v/>
      </c>
      <c r="W1480" s="0" t="n">
        <f aca="false">IF(V1480="중복",0,N(D1480))</f>
        <v>150</v>
      </c>
      <c r="X1480" s="0" t="n">
        <f aca="false">IF(COUNTIFS($A$2:A1480,A1480,$C$2:C1480,C1480)=1,ABS(SUMIFS(RAW_발주!$D:$D,RAW_발주!$C:$C,A1480,RAW_발주!$A:$A,C1480)-SUMIFS($W:$W,$A:$A,A1480,$C:$C,C1480)),0)</f>
        <v>0</v>
      </c>
    </row>
    <row r="1481" customFormat="false" ht="15" hidden="false" customHeight="true" outlineLevel="0" collapsed="false">
      <c r="A1481" s="45" t="s">
        <v>1662</v>
      </c>
      <c r="B1481" s="42" t="str">
        <f aca="false">IF(A1481="100","HK",IF(A1481="200","CN",IF(A1481="300","TW","홀세일")))</f>
        <v>홀세일</v>
      </c>
      <c r="C1481" s="45" t="s">
        <v>631</v>
      </c>
      <c r="D1481" s="46" t="n">
        <v>65</v>
      </c>
      <c r="E1481" s="46" t="n">
        <v>59000</v>
      </c>
      <c r="F1481" s="46" t="n">
        <v>15386</v>
      </c>
      <c r="G1481" s="42" t="n">
        <v>3.25</v>
      </c>
      <c r="H1481" s="42" t="n">
        <v>15.7</v>
      </c>
      <c r="J1481" s="46" t="n">
        <f aca="false">IF(N(E1481)&gt;0,E1481,IF(N(F1481)&gt;0,F1481*요약!$F$27,0))</f>
        <v>59000</v>
      </c>
      <c r="K1481" s="46" t="n">
        <f aca="false">IF(N(F1481)&gt;0,F1481,IF(N(E1481)&gt;0,E1481/요약!$F$27,0))</f>
        <v>15386</v>
      </c>
      <c r="L1481" s="46" t="n">
        <f aca="false">IF(B1481="CN",IF(N(I1481)&gt;0,I1481*요약!$G$27,K1481*(1+요약!$E$27)),IF(N(H1481)&gt;0,H1481*요약!$G$27,J1481*요약!$D$27))</f>
        <v>20724</v>
      </c>
      <c r="M1481" s="46" t="n">
        <f aca="false">D1481*J1481</f>
        <v>3835000</v>
      </c>
      <c r="N1481" s="46" t="n">
        <f aca="false">D1481*K1481</f>
        <v>1000090</v>
      </c>
      <c r="O1481" s="46" t="n">
        <f aca="false">D1481*L1481</f>
        <v>1347060</v>
      </c>
      <c r="P1481" s="42" t="str">
        <f aca="false">TRIM(IF(N(E1481)&lt;=0,"택가보정 ","")&amp;IF(N(F1481)&lt;=0,"원가보정 ","")&amp;IF(AND(B1481&lt;&gt;"CN",N(H1481)&lt;=0),"공급가보정 ","")&amp;IF(AND(B1481="CN",N(I1481)&lt;=0),"중국공급가=원가+마진 ",""))</f>
        <v/>
      </c>
      <c r="Q1481" s="47" t="n">
        <f aca="false">IF(SUMIFS($W:$W,$A:$A,A1481,$C:$C,C1481)=0,0,SUMIFS(RAW_판매펀칭!$K:$K,RAW_판매펀칭!$P:$P,A1481,RAW_판매펀칭!$I:$I,C1481)*W1481/SUMIFS($W:$W,$A:$A,A1481,$C:$C,C1481))</f>
        <v>0</v>
      </c>
      <c r="R1481" s="47" t="n">
        <f aca="false">IF(OR(A1481="500",A1481="800",A1481="810"),0,MAX(W1481-Q1481,0))</f>
        <v>0</v>
      </c>
      <c r="S1481" s="47" t="n">
        <f aca="false">R1481*L1481</f>
        <v>0</v>
      </c>
      <c r="T1481" s="47" t="n">
        <f aca="false">R1481*J1481</f>
        <v>0</v>
      </c>
      <c r="U1481" s="47" t="n">
        <f aca="false">R1481*K1481</f>
        <v>0</v>
      </c>
      <c r="V1481" s="0" t="str">
        <f aca="false">IF(COUNTIFS($A$2:A1481,A1481,$C$2:C1481,C1481,$D$2:D1481,D1481)&gt;1,"중복","")</f>
        <v/>
      </c>
      <c r="W1481" s="0" t="n">
        <f aca="false">IF(V1481="중복",0,N(D1481))</f>
        <v>65</v>
      </c>
      <c r="X1481" s="0" t="n">
        <f aca="false">IF(COUNTIFS($A$2:A1481,A1481,$C$2:C1481,C1481)=1,ABS(SUMIFS(RAW_발주!$D:$D,RAW_발주!$C:$C,A1481,RAW_발주!$A:$A,C1481)-SUMIFS($W:$W,$A:$A,A1481,$C:$C,C1481)),0)</f>
        <v>0</v>
      </c>
    </row>
    <row r="1482" customFormat="false" ht="15" hidden="false" customHeight="true" outlineLevel="0" collapsed="false">
      <c r="A1482" s="45" t="s">
        <v>1667</v>
      </c>
      <c r="B1482" s="42" t="str">
        <f aca="false">IF(A1482="100","HK",IF(A1482="200","CN",IF(A1482="300","TW","홀세일")))</f>
        <v>홀세일</v>
      </c>
      <c r="C1482" s="45" t="s">
        <v>631</v>
      </c>
      <c r="D1482" s="46" t="n">
        <v>122</v>
      </c>
      <c r="E1482" s="46" t="n">
        <v>59000</v>
      </c>
      <c r="F1482" s="46" t="n">
        <v>15386</v>
      </c>
      <c r="G1482" s="42" t="n">
        <v>3.25</v>
      </c>
      <c r="H1482" s="42" t="n">
        <v>15.7</v>
      </c>
      <c r="J1482" s="46" t="n">
        <f aca="false">IF(N(E1482)&gt;0,E1482,IF(N(F1482)&gt;0,F1482*요약!$F$27,0))</f>
        <v>59000</v>
      </c>
      <c r="K1482" s="46" t="n">
        <f aca="false">IF(N(F1482)&gt;0,F1482,IF(N(E1482)&gt;0,E1482/요약!$F$27,0))</f>
        <v>15386</v>
      </c>
      <c r="L1482" s="46" t="n">
        <f aca="false">IF(B1482="CN",IF(N(I1482)&gt;0,I1482*요약!$G$27,K1482*(1+요약!$E$27)),IF(N(H1482)&gt;0,H1482*요약!$G$27,J1482*요약!$D$27))</f>
        <v>20724</v>
      </c>
      <c r="M1482" s="46" t="n">
        <f aca="false">D1482*J1482</f>
        <v>7198000</v>
      </c>
      <c r="N1482" s="46" t="n">
        <f aca="false">D1482*K1482</f>
        <v>1877092</v>
      </c>
      <c r="O1482" s="46" t="n">
        <f aca="false">D1482*L1482</f>
        <v>2528328</v>
      </c>
      <c r="P1482" s="42" t="str">
        <f aca="false">TRIM(IF(N(E1482)&lt;=0,"택가보정 ","")&amp;IF(N(F1482)&lt;=0,"원가보정 ","")&amp;IF(AND(B1482&lt;&gt;"CN",N(H1482)&lt;=0),"공급가보정 ","")&amp;IF(AND(B1482="CN",N(I1482)&lt;=0),"중국공급가=원가+마진 ",""))</f>
        <v/>
      </c>
      <c r="Q1482" s="47" t="n">
        <f aca="false">IF(SUMIFS($W:$W,$A:$A,A1482,$C:$C,C1482)=0,0,SUMIFS(RAW_판매펀칭!$K:$K,RAW_판매펀칭!$P:$P,A1482,RAW_판매펀칭!$I:$I,C1482)*W1482/SUMIFS($W:$W,$A:$A,A1482,$C:$C,C1482))</f>
        <v>122</v>
      </c>
      <c r="R1482" s="47" t="n">
        <f aca="false">IF(OR(A1482="500",A1482="800",A1482="810"),0,MAX(W1482-Q1482,0))</f>
        <v>0</v>
      </c>
      <c r="S1482" s="47" t="n">
        <f aca="false">R1482*L1482</f>
        <v>0</v>
      </c>
      <c r="T1482" s="47" t="n">
        <f aca="false">R1482*J1482</f>
        <v>0</v>
      </c>
      <c r="U1482" s="47" t="n">
        <f aca="false">R1482*K1482</f>
        <v>0</v>
      </c>
      <c r="V1482" s="0" t="str">
        <f aca="false">IF(COUNTIFS($A$2:A1482,A1482,$C$2:C1482,C1482,$D$2:D1482,D1482)&gt;1,"중복","")</f>
        <v/>
      </c>
      <c r="W1482" s="0" t="n">
        <f aca="false">IF(V1482="중복",0,N(D1482))</f>
        <v>122</v>
      </c>
      <c r="X1482" s="0" t="n">
        <f aca="false">IF(COUNTIFS($A$2:A1482,A1482,$C$2:C1482,C1482)=1,ABS(SUMIFS(RAW_발주!$D:$D,RAW_발주!$C:$C,A1482,RAW_발주!$A:$A,C1482)-SUMIFS($W:$W,$A:$A,A1482,$C:$C,C1482)),0)</f>
        <v>0</v>
      </c>
    </row>
    <row r="1483" customFormat="false" ht="15" hidden="false" customHeight="true" outlineLevel="0" collapsed="false">
      <c r="A1483" s="45" t="s">
        <v>1664</v>
      </c>
      <c r="B1483" s="42" t="str">
        <f aca="false">IF(A1483="100","HK",IF(A1483="200","CN",IF(A1483="300","TW","홀세일")))</f>
        <v>홀세일</v>
      </c>
      <c r="C1483" s="45" t="s">
        <v>631</v>
      </c>
      <c r="D1483" s="46" t="n">
        <v>10</v>
      </c>
      <c r="E1483" s="46" t="n">
        <v>59000</v>
      </c>
      <c r="F1483" s="46" t="n">
        <v>15386</v>
      </c>
      <c r="G1483" s="42" t="n">
        <v>3.25</v>
      </c>
      <c r="H1483" s="42" t="n">
        <v>15.7</v>
      </c>
      <c r="J1483" s="46" t="n">
        <f aca="false">IF(N(E1483)&gt;0,E1483,IF(N(F1483)&gt;0,F1483*요약!$F$27,0))</f>
        <v>59000</v>
      </c>
      <c r="K1483" s="46" t="n">
        <f aca="false">IF(N(F1483)&gt;0,F1483,IF(N(E1483)&gt;0,E1483/요약!$F$27,0))</f>
        <v>15386</v>
      </c>
      <c r="L1483" s="46" t="n">
        <f aca="false">IF(B1483="CN",IF(N(I1483)&gt;0,I1483*요약!$G$27,K1483*(1+요약!$E$27)),IF(N(H1483)&gt;0,H1483*요약!$G$27,J1483*요약!$D$27))</f>
        <v>20724</v>
      </c>
      <c r="M1483" s="46" t="n">
        <f aca="false">D1483*J1483</f>
        <v>590000</v>
      </c>
      <c r="N1483" s="46" t="n">
        <f aca="false">D1483*K1483</f>
        <v>153860</v>
      </c>
      <c r="O1483" s="46" t="n">
        <f aca="false">D1483*L1483</f>
        <v>207240</v>
      </c>
      <c r="P1483" s="42" t="str">
        <f aca="false">TRIM(IF(N(E1483)&lt;=0,"택가보정 ","")&amp;IF(N(F1483)&lt;=0,"원가보정 ","")&amp;IF(AND(B1483&lt;&gt;"CN",N(H1483)&lt;=0),"공급가보정 ","")&amp;IF(AND(B1483="CN",N(I1483)&lt;=0),"중국공급가=원가+마진 ",""))</f>
        <v/>
      </c>
      <c r="Q1483" s="47" t="n">
        <f aca="false">IF(SUMIFS($W:$W,$A:$A,A1483,$C:$C,C1483)=0,0,SUMIFS(RAW_판매펀칭!$K:$K,RAW_판매펀칭!$P:$P,A1483,RAW_판매펀칭!$I:$I,C1483)*W1483/SUMIFS($W:$W,$A:$A,A1483,$C:$C,C1483))</f>
        <v>10</v>
      </c>
      <c r="R1483" s="47" t="n">
        <f aca="false">IF(OR(A1483="500",A1483="800",A1483="810"),0,MAX(W1483-Q1483,0))</f>
        <v>0</v>
      </c>
      <c r="S1483" s="47" t="n">
        <f aca="false">R1483*L1483</f>
        <v>0</v>
      </c>
      <c r="T1483" s="47" t="n">
        <f aca="false">R1483*J1483</f>
        <v>0</v>
      </c>
      <c r="U1483" s="47" t="n">
        <f aca="false">R1483*K1483</f>
        <v>0</v>
      </c>
      <c r="V1483" s="0" t="str">
        <f aca="false">IF(COUNTIFS($A$2:A1483,A1483,$C$2:C1483,C1483,$D$2:D1483,D1483)&gt;1,"중복","")</f>
        <v/>
      </c>
      <c r="W1483" s="0" t="n">
        <f aca="false">IF(V1483="중복",0,N(D1483))</f>
        <v>10</v>
      </c>
      <c r="X1483" s="0" t="n">
        <f aca="false">IF(COUNTIFS($A$2:A1483,A1483,$C$2:C1483,C1483)=1,ABS(SUMIFS(RAW_발주!$D:$D,RAW_발주!$C:$C,A1483,RAW_발주!$A:$A,C1483)-SUMIFS($W:$W,$A:$A,A1483,$C:$C,C1483)),0)</f>
        <v>0</v>
      </c>
    </row>
    <row r="1484" customFormat="false" ht="15" hidden="false" customHeight="true" outlineLevel="0" collapsed="false">
      <c r="A1484" s="45" t="s">
        <v>1664</v>
      </c>
      <c r="B1484" s="42" t="str">
        <f aca="false">IF(A1484="100","HK",IF(A1484="200","CN",IF(A1484="300","TW","홀세일")))</f>
        <v>홀세일</v>
      </c>
      <c r="C1484" s="45" t="s">
        <v>631</v>
      </c>
      <c r="D1484" s="46" t="n">
        <v>10</v>
      </c>
      <c r="E1484" s="46" t="n">
        <v>59000</v>
      </c>
      <c r="F1484" s="46" t="n">
        <v>15386</v>
      </c>
      <c r="G1484" s="42" t="n">
        <v>3.25</v>
      </c>
      <c r="H1484" s="42" t="n">
        <v>15.7</v>
      </c>
      <c r="J1484" s="46" t="n">
        <f aca="false">IF(N(E1484)&gt;0,E1484,IF(N(F1484)&gt;0,F1484*요약!$F$27,0))</f>
        <v>59000</v>
      </c>
      <c r="K1484" s="46" t="n">
        <f aca="false">IF(N(F1484)&gt;0,F1484,IF(N(E1484)&gt;0,E1484/요약!$F$27,0))</f>
        <v>15386</v>
      </c>
      <c r="L1484" s="46" t="n">
        <f aca="false">IF(B1484="CN",IF(N(I1484)&gt;0,I1484*요약!$G$27,K1484*(1+요약!$E$27)),IF(N(H1484)&gt;0,H1484*요약!$G$27,J1484*요약!$D$27))</f>
        <v>20724</v>
      </c>
      <c r="M1484" s="46" t="n">
        <f aca="false">D1484*J1484</f>
        <v>590000</v>
      </c>
      <c r="N1484" s="46" t="n">
        <f aca="false">D1484*K1484</f>
        <v>153860</v>
      </c>
      <c r="O1484" s="46" t="n">
        <f aca="false">D1484*L1484</f>
        <v>207240</v>
      </c>
      <c r="P1484" s="42" t="str">
        <f aca="false">TRIM(IF(N(E1484)&lt;=0,"택가보정 ","")&amp;IF(N(F1484)&lt;=0,"원가보정 ","")&amp;IF(AND(B1484&lt;&gt;"CN",N(H1484)&lt;=0),"공급가보정 ","")&amp;IF(AND(B1484="CN",N(I1484)&lt;=0),"중국공급가=원가+마진 ",""))</f>
        <v/>
      </c>
      <c r="Q1484" s="47" t="n">
        <f aca="false">IF(SUMIFS($W:$W,$A:$A,A1484,$C:$C,C1484)=0,0,SUMIFS(RAW_판매펀칭!$K:$K,RAW_판매펀칭!$P:$P,A1484,RAW_판매펀칭!$I:$I,C1484)*W1484/SUMIFS($W:$W,$A:$A,A1484,$C:$C,C1484))</f>
        <v>0</v>
      </c>
      <c r="R1484" s="47" t="n">
        <f aca="false">IF(OR(A1484="500",A1484="800",A1484="810"),0,MAX(W1484-Q1484,0))</f>
        <v>0</v>
      </c>
      <c r="S1484" s="47" t="n">
        <f aca="false">R1484*L1484</f>
        <v>0</v>
      </c>
      <c r="T1484" s="47" t="n">
        <f aca="false">R1484*J1484</f>
        <v>0</v>
      </c>
      <c r="U1484" s="47" t="n">
        <f aca="false">R1484*K1484</f>
        <v>0</v>
      </c>
      <c r="V1484" s="0" t="str">
        <f aca="false">IF(COUNTIFS($A$2:A1484,A1484,$C$2:C1484,C1484,$D$2:D1484,D1484)&gt;1,"중복","")</f>
        <v>중복</v>
      </c>
      <c r="W1484" s="0" t="n">
        <f aca="false">IF(V1484="중복",0,N(D1484))</f>
        <v>0</v>
      </c>
      <c r="X1484" s="0" t="n">
        <f aca="false">IF(COUNTIFS($A$2:A1484,A1484,$C$2:C1484,C1484)=1,ABS(SUMIFS(RAW_발주!$D:$D,RAW_발주!$C:$C,A1484,RAW_발주!$A:$A,C1484)-SUMIFS($W:$W,$A:$A,A1484,$C:$C,C1484)),0)</f>
        <v>0</v>
      </c>
    </row>
    <row r="1485" customFormat="false" ht="15" hidden="false" customHeight="true" outlineLevel="0" collapsed="false">
      <c r="A1485" s="45" t="s">
        <v>1659</v>
      </c>
      <c r="B1485" s="42" t="str">
        <f aca="false">IF(A1485="100","HK",IF(A1485="200","CN",IF(A1485="300","TW","홀세일")))</f>
        <v>HK</v>
      </c>
      <c r="C1485" s="45" t="s">
        <v>970</v>
      </c>
      <c r="D1485" s="46" t="n">
        <v>200</v>
      </c>
      <c r="E1485" s="46" t="n">
        <v>79000</v>
      </c>
      <c r="F1485" s="46" t="n">
        <v>17910</v>
      </c>
      <c r="G1485" s="42" t="n">
        <v>3.75</v>
      </c>
      <c r="H1485" s="42" t="n">
        <v>21</v>
      </c>
      <c r="J1485" s="46" t="n">
        <f aca="false">IF(N(E1485)&gt;0,E1485,IF(N(F1485)&gt;0,F1485*요약!$F$27,0))</f>
        <v>79000</v>
      </c>
      <c r="K1485" s="46" t="n">
        <f aca="false">IF(N(F1485)&gt;0,F1485,IF(N(E1485)&gt;0,E1485/요약!$F$27,0))</f>
        <v>17910</v>
      </c>
      <c r="L1485" s="46" t="n">
        <f aca="false">IF(B1485="CN",IF(N(I1485)&gt;0,I1485*요약!$G$27,K1485*(1+요약!$E$27)),IF(N(H1485)&gt;0,H1485*요약!$G$27,J1485*요약!$D$27))</f>
        <v>27720</v>
      </c>
      <c r="M1485" s="46" t="n">
        <f aca="false">D1485*J1485</f>
        <v>15800000</v>
      </c>
      <c r="N1485" s="46" t="n">
        <f aca="false">D1485*K1485</f>
        <v>3582000</v>
      </c>
      <c r="O1485" s="46" t="n">
        <f aca="false">D1485*L1485</f>
        <v>5544000</v>
      </c>
      <c r="P1485" s="42" t="str">
        <f aca="false">TRIM(IF(N(E1485)&lt;=0,"택가보정 ","")&amp;IF(N(F1485)&lt;=0,"원가보정 ","")&amp;IF(AND(B1485&lt;&gt;"CN",N(H1485)&lt;=0),"공급가보정 ","")&amp;IF(AND(B1485="CN",N(I1485)&lt;=0),"중국공급가=원가+마진 ",""))</f>
        <v/>
      </c>
      <c r="Q1485" s="47" t="n">
        <f aca="false">IF(SUMIFS($W:$W,$A:$A,A1485,$C:$C,C1485)=0,0,SUMIFS(RAW_판매펀칭!$K:$K,RAW_판매펀칭!$P:$P,A1485,RAW_판매펀칭!$I:$I,C1485)*W1485/SUMIFS($W:$W,$A:$A,A1485,$C:$C,C1485))</f>
        <v>200</v>
      </c>
      <c r="R1485" s="47" t="n">
        <f aca="false">IF(OR(A1485="500",A1485="800",A1485="810"),0,MAX(W1485-Q1485,0))</f>
        <v>0</v>
      </c>
      <c r="S1485" s="47" t="n">
        <f aca="false">R1485*L1485</f>
        <v>0</v>
      </c>
      <c r="T1485" s="47" t="n">
        <f aca="false">R1485*J1485</f>
        <v>0</v>
      </c>
      <c r="U1485" s="47" t="n">
        <f aca="false">R1485*K1485</f>
        <v>0</v>
      </c>
      <c r="V1485" s="0" t="str">
        <f aca="false">IF(COUNTIFS($A$2:A1485,A1485,$C$2:C1485,C1485,$D$2:D1485,D1485)&gt;1,"중복","")</f>
        <v/>
      </c>
      <c r="W1485" s="0" t="n">
        <f aca="false">IF(V1485="중복",0,N(D1485))</f>
        <v>200</v>
      </c>
      <c r="X1485" s="0" t="n">
        <f aca="false">IF(COUNTIFS($A$2:A1485,A1485,$C$2:C1485,C1485)=1,ABS(SUMIFS(RAW_발주!$D:$D,RAW_발주!$C:$C,A1485,RAW_발주!$A:$A,C1485)-SUMIFS($W:$W,$A:$A,A1485,$C:$C,C1485)),0)</f>
        <v>0</v>
      </c>
    </row>
    <row r="1486" customFormat="false" ht="15.75" hidden="false" customHeight="true" outlineLevel="0" collapsed="false">
      <c r="A1486" s="45" t="s">
        <v>1660</v>
      </c>
      <c r="B1486" s="42" t="str">
        <f aca="false">IF(A1486="100","HK",IF(A1486="200","CN",IF(A1486="300","TW","홀세일")))</f>
        <v>CN</v>
      </c>
      <c r="C1486" s="45" t="s">
        <v>970</v>
      </c>
      <c r="D1486" s="46" t="n">
        <v>141</v>
      </c>
      <c r="E1486" s="46" t="n">
        <v>79000</v>
      </c>
      <c r="F1486" s="46" t="n">
        <v>17910</v>
      </c>
      <c r="G1486" s="42" t="n">
        <v>3.75</v>
      </c>
      <c r="H1486" s="42" t="n">
        <v>21</v>
      </c>
      <c r="J1486" s="46" t="n">
        <f aca="false">IF(N(E1486)&gt;0,E1486,IF(N(F1486)&gt;0,F1486*요약!$F$27,0))</f>
        <v>79000</v>
      </c>
      <c r="K1486" s="46" t="n">
        <f aca="false">IF(N(F1486)&gt;0,F1486,IF(N(E1486)&gt;0,E1486/요약!$F$27,0))</f>
        <v>17910</v>
      </c>
      <c r="L1486" s="46" t="n">
        <f aca="false">IF(B1486="CN",IF(N(I1486)&gt;0,I1486*요약!$G$27,K1486*(1+요약!$E$27)),IF(N(H1486)&gt;0,H1486*요약!$G$27,J1486*요약!$D$27))</f>
        <v>18805.5</v>
      </c>
      <c r="M1486" s="46" t="n">
        <f aca="false">D1486*J1486</f>
        <v>11139000</v>
      </c>
      <c r="N1486" s="46" t="n">
        <f aca="false">D1486*K1486</f>
        <v>2525310</v>
      </c>
      <c r="O1486" s="46" t="n">
        <f aca="false">D1486*L1486</f>
        <v>2651575.5</v>
      </c>
      <c r="P1486" s="42" t="str">
        <f aca="false">TRIM(IF(N(E1486)&lt;=0,"택가보정 ","")&amp;IF(N(F1486)&lt;=0,"원가보정 ","")&amp;IF(AND(B1486&lt;&gt;"CN",N(H1486)&lt;=0),"공급가보정 ","")&amp;IF(AND(B1486="CN",N(I1486)&lt;=0),"중국공급가=원가+마진 ",""))</f>
        <v>중국공급가=원가+마진</v>
      </c>
      <c r="Q1486" s="47" t="n">
        <f aca="false">IF(SUMIFS($W:$W,$A:$A,A1486,$C:$C,C1486)=0,0,SUMIFS(RAW_판매펀칭!$K:$K,RAW_판매펀칭!$P:$P,A1486,RAW_판매펀칭!$I:$I,C1486)*W1486/SUMIFS($W:$W,$A:$A,A1486,$C:$C,C1486))</f>
        <v>141</v>
      </c>
      <c r="R1486" s="47" t="n">
        <f aca="false">IF(OR(A1486="500",A1486="800",A1486="810"),0,MAX(W1486-Q1486,0))</f>
        <v>0</v>
      </c>
      <c r="S1486" s="47" t="n">
        <f aca="false">R1486*L1486</f>
        <v>0</v>
      </c>
      <c r="T1486" s="47" t="n">
        <f aca="false">R1486*J1486</f>
        <v>0</v>
      </c>
      <c r="U1486" s="47" t="n">
        <f aca="false">R1486*K1486</f>
        <v>0</v>
      </c>
      <c r="V1486" s="0" t="str">
        <f aca="false">IF(COUNTIFS($A$2:A1486,A1486,$C$2:C1486,C1486,$D$2:D1486,D1486)&gt;1,"중복","")</f>
        <v/>
      </c>
      <c r="W1486" s="0" t="n">
        <f aca="false">IF(V1486="중복",0,N(D1486))</f>
        <v>141</v>
      </c>
      <c r="X1486" s="0" t="n">
        <f aca="false">IF(COUNTIFS($A$2:A1486,A1486,$C$2:C1486,C1486)=1,ABS(SUMIFS(RAW_발주!$D:$D,RAW_발주!$C:$C,A1486,RAW_발주!$A:$A,C1486)-SUMIFS($W:$W,$A:$A,A1486,$C:$C,C1486)),0)</f>
        <v>0</v>
      </c>
    </row>
    <row r="1487" customFormat="false" ht="15" hidden="false" customHeight="true" outlineLevel="0" collapsed="false">
      <c r="A1487" s="45" t="s">
        <v>1662</v>
      </c>
      <c r="B1487" s="42" t="str">
        <f aca="false">IF(A1487="100","HK",IF(A1487="200","CN",IF(A1487="300","TW","홀세일")))</f>
        <v>홀세일</v>
      </c>
      <c r="C1487" s="45" t="s">
        <v>970</v>
      </c>
      <c r="D1487" s="46" t="n">
        <v>70</v>
      </c>
      <c r="E1487" s="46" t="n">
        <v>79000</v>
      </c>
      <c r="F1487" s="46" t="n">
        <v>17910</v>
      </c>
      <c r="G1487" s="42" t="n">
        <v>3.75</v>
      </c>
      <c r="H1487" s="42" t="n">
        <v>21</v>
      </c>
      <c r="J1487" s="46" t="n">
        <f aca="false">IF(N(E1487)&gt;0,E1487,IF(N(F1487)&gt;0,F1487*요약!$F$27,0))</f>
        <v>79000</v>
      </c>
      <c r="K1487" s="46" t="n">
        <f aca="false">IF(N(F1487)&gt;0,F1487,IF(N(E1487)&gt;0,E1487/요약!$F$27,0))</f>
        <v>17910</v>
      </c>
      <c r="L1487" s="46" t="n">
        <f aca="false">IF(B1487="CN",IF(N(I1487)&gt;0,I1487*요약!$G$27,K1487*(1+요약!$E$27)),IF(N(H1487)&gt;0,H1487*요약!$G$27,J1487*요약!$D$27))</f>
        <v>27720</v>
      </c>
      <c r="M1487" s="46" t="n">
        <f aca="false">D1487*J1487</f>
        <v>5530000</v>
      </c>
      <c r="N1487" s="46" t="n">
        <f aca="false">D1487*K1487</f>
        <v>1253700</v>
      </c>
      <c r="O1487" s="46" t="n">
        <f aca="false">D1487*L1487</f>
        <v>1940400</v>
      </c>
      <c r="P1487" s="42" t="str">
        <f aca="false">TRIM(IF(N(E1487)&lt;=0,"택가보정 ","")&amp;IF(N(F1487)&lt;=0,"원가보정 ","")&amp;IF(AND(B1487&lt;&gt;"CN",N(H1487)&lt;=0),"공급가보정 ","")&amp;IF(AND(B1487="CN",N(I1487)&lt;=0),"중국공급가=원가+마진 ",""))</f>
        <v/>
      </c>
      <c r="Q1487" s="47" t="n">
        <f aca="false">IF(SUMIFS($W:$W,$A:$A,A1487,$C:$C,C1487)=0,0,SUMIFS(RAW_판매펀칭!$K:$K,RAW_판매펀칭!$P:$P,A1487,RAW_판매펀칭!$I:$I,C1487)*W1487/SUMIFS($W:$W,$A:$A,A1487,$C:$C,C1487))</f>
        <v>0</v>
      </c>
      <c r="R1487" s="47" t="n">
        <f aca="false">IF(OR(A1487="500",A1487="800",A1487="810"),0,MAX(W1487-Q1487,0))</f>
        <v>0</v>
      </c>
      <c r="S1487" s="47" t="n">
        <f aca="false">R1487*L1487</f>
        <v>0</v>
      </c>
      <c r="T1487" s="47" t="n">
        <f aca="false">R1487*J1487</f>
        <v>0</v>
      </c>
      <c r="U1487" s="47" t="n">
        <f aca="false">R1487*K1487</f>
        <v>0</v>
      </c>
      <c r="V1487" s="0" t="str">
        <f aca="false">IF(COUNTIFS($A$2:A1487,A1487,$C$2:C1487,C1487,$D$2:D1487,D1487)&gt;1,"중복","")</f>
        <v/>
      </c>
      <c r="W1487" s="0" t="n">
        <f aca="false">IF(V1487="중복",0,N(D1487))</f>
        <v>70</v>
      </c>
      <c r="X1487" s="0" t="n">
        <f aca="false">IF(COUNTIFS($A$2:A1487,A1487,$C$2:C1487,C1487)=1,ABS(SUMIFS(RAW_발주!$D:$D,RAW_발주!$C:$C,A1487,RAW_발주!$A:$A,C1487)-SUMIFS($W:$W,$A:$A,A1487,$C:$C,C1487)),0)</f>
        <v>0</v>
      </c>
    </row>
    <row r="1488" customFormat="false" ht="15" hidden="false" customHeight="true" outlineLevel="0" collapsed="false">
      <c r="A1488" s="45" t="s">
        <v>1663</v>
      </c>
      <c r="B1488" s="42" t="str">
        <f aca="false">IF(A1488="100","HK",IF(A1488="200","CN",IF(A1488="300","TW","홀세일")))</f>
        <v>홀세일</v>
      </c>
      <c r="C1488" s="45" t="s">
        <v>970</v>
      </c>
      <c r="D1488" s="46" t="n">
        <v>10</v>
      </c>
      <c r="E1488" s="46" t="n">
        <v>79000</v>
      </c>
      <c r="F1488" s="46" t="n">
        <v>17910</v>
      </c>
      <c r="G1488" s="42" t="n">
        <v>3.75</v>
      </c>
      <c r="H1488" s="42" t="n">
        <v>21</v>
      </c>
      <c r="J1488" s="46" t="n">
        <f aca="false">IF(N(E1488)&gt;0,E1488,IF(N(F1488)&gt;0,F1488*요약!$F$27,0))</f>
        <v>79000</v>
      </c>
      <c r="K1488" s="46" t="n">
        <f aca="false">IF(N(F1488)&gt;0,F1488,IF(N(E1488)&gt;0,E1488/요약!$F$27,0))</f>
        <v>17910</v>
      </c>
      <c r="L1488" s="46" t="n">
        <f aca="false">IF(B1488="CN",IF(N(I1488)&gt;0,I1488*요약!$G$27,K1488*(1+요약!$E$27)),IF(N(H1488)&gt;0,H1488*요약!$G$27,J1488*요약!$D$27))</f>
        <v>27720</v>
      </c>
      <c r="M1488" s="46" t="n">
        <f aca="false">D1488*J1488</f>
        <v>790000</v>
      </c>
      <c r="N1488" s="46" t="n">
        <f aca="false">D1488*K1488</f>
        <v>179100</v>
      </c>
      <c r="O1488" s="46" t="n">
        <f aca="false">D1488*L1488</f>
        <v>277200</v>
      </c>
      <c r="P1488" s="42" t="str">
        <f aca="false">TRIM(IF(N(E1488)&lt;=0,"택가보정 ","")&amp;IF(N(F1488)&lt;=0,"원가보정 ","")&amp;IF(AND(B1488&lt;&gt;"CN",N(H1488)&lt;=0),"공급가보정 ","")&amp;IF(AND(B1488="CN",N(I1488)&lt;=0),"중국공급가=원가+마진 ",""))</f>
        <v/>
      </c>
      <c r="Q1488" s="47" t="n">
        <f aca="false">IF(SUMIFS($W:$W,$A:$A,A1488,$C:$C,C1488)=0,0,SUMIFS(RAW_판매펀칭!$K:$K,RAW_판매펀칭!$P:$P,A1488,RAW_판매펀칭!$I:$I,C1488)*W1488/SUMIFS($W:$W,$A:$A,A1488,$C:$C,C1488))</f>
        <v>10</v>
      </c>
      <c r="R1488" s="47" t="n">
        <f aca="false">IF(OR(A1488="500",A1488="800",A1488="810"),0,MAX(W1488-Q1488,0))</f>
        <v>0</v>
      </c>
      <c r="S1488" s="47" t="n">
        <f aca="false">R1488*L1488</f>
        <v>0</v>
      </c>
      <c r="T1488" s="47" t="n">
        <f aca="false">R1488*J1488</f>
        <v>0</v>
      </c>
      <c r="U1488" s="47" t="n">
        <f aca="false">R1488*K1488</f>
        <v>0</v>
      </c>
      <c r="V1488" s="0" t="str">
        <f aca="false">IF(COUNTIFS($A$2:A1488,A1488,$C$2:C1488,C1488,$D$2:D1488,D1488)&gt;1,"중복","")</f>
        <v/>
      </c>
      <c r="W1488" s="0" t="n">
        <f aca="false">IF(V1488="중복",0,N(D1488))</f>
        <v>10</v>
      </c>
      <c r="X1488" s="0" t="n">
        <f aca="false">IF(COUNTIFS($A$2:A1488,A1488,$C$2:C1488,C1488)=1,ABS(SUMIFS(RAW_발주!$D:$D,RAW_발주!$C:$C,A1488,RAW_발주!$A:$A,C1488)-SUMIFS($W:$W,$A:$A,A1488,$C:$C,C1488)),0)</f>
        <v>0</v>
      </c>
    </row>
    <row r="1489" customFormat="false" ht="15" hidden="false" customHeight="true" outlineLevel="0" collapsed="false">
      <c r="A1489" s="45" t="s">
        <v>1667</v>
      </c>
      <c r="B1489" s="42" t="str">
        <f aca="false">IF(A1489="100","HK",IF(A1489="200","CN",IF(A1489="300","TW","홀세일")))</f>
        <v>홀세일</v>
      </c>
      <c r="C1489" s="45" t="s">
        <v>970</v>
      </c>
      <c r="D1489" s="46" t="n">
        <v>121</v>
      </c>
      <c r="E1489" s="46" t="n">
        <v>79000</v>
      </c>
      <c r="F1489" s="46" t="n">
        <v>17910</v>
      </c>
      <c r="G1489" s="42" t="n">
        <v>3.75</v>
      </c>
      <c r="H1489" s="42" t="n">
        <v>21</v>
      </c>
      <c r="J1489" s="46" t="n">
        <f aca="false">IF(N(E1489)&gt;0,E1489,IF(N(F1489)&gt;0,F1489*요약!$F$27,0))</f>
        <v>79000</v>
      </c>
      <c r="K1489" s="46" t="n">
        <f aca="false">IF(N(F1489)&gt;0,F1489,IF(N(E1489)&gt;0,E1489/요약!$F$27,0))</f>
        <v>17910</v>
      </c>
      <c r="L1489" s="46" t="n">
        <f aca="false">IF(B1489="CN",IF(N(I1489)&gt;0,I1489*요약!$G$27,K1489*(1+요약!$E$27)),IF(N(H1489)&gt;0,H1489*요약!$G$27,J1489*요약!$D$27))</f>
        <v>27720</v>
      </c>
      <c r="M1489" s="46" t="n">
        <f aca="false">D1489*J1489</f>
        <v>9559000</v>
      </c>
      <c r="N1489" s="46" t="n">
        <f aca="false">D1489*K1489</f>
        <v>2167110</v>
      </c>
      <c r="O1489" s="46" t="n">
        <f aca="false">D1489*L1489</f>
        <v>3354120</v>
      </c>
      <c r="P1489" s="42" t="str">
        <f aca="false">TRIM(IF(N(E1489)&lt;=0,"택가보정 ","")&amp;IF(N(F1489)&lt;=0,"원가보정 ","")&amp;IF(AND(B1489&lt;&gt;"CN",N(H1489)&lt;=0),"공급가보정 ","")&amp;IF(AND(B1489="CN",N(I1489)&lt;=0),"중국공급가=원가+마진 ",""))</f>
        <v/>
      </c>
      <c r="Q1489" s="47" t="n">
        <f aca="false">IF(SUMIFS($W:$W,$A:$A,A1489,$C:$C,C1489)=0,0,SUMIFS(RAW_판매펀칭!$K:$K,RAW_판매펀칭!$P:$P,A1489,RAW_판매펀칭!$I:$I,C1489)*W1489/SUMIFS($W:$W,$A:$A,A1489,$C:$C,C1489))</f>
        <v>121</v>
      </c>
      <c r="R1489" s="47" t="n">
        <f aca="false">IF(OR(A1489="500",A1489="800",A1489="810"),0,MAX(W1489-Q1489,0))</f>
        <v>0</v>
      </c>
      <c r="S1489" s="47" t="n">
        <f aca="false">R1489*L1489</f>
        <v>0</v>
      </c>
      <c r="T1489" s="47" t="n">
        <f aca="false">R1489*J1489</f>
        <v>0</v>
      </c>
      <c r="U1489" s="47" t="n">
        <f aca="false">R1489*K1489</f>
        <v>0</v>
      </c>
      <c r="V1489" s="0" t="str">
        <f aca="false">IF(COUNTIFS($A$2:A1489,A1489,$C$2:C1489,C1489,$D$2:D1489,D1489)&gt;1,"중복","")</f>
        <v/>
      </c>
      <c r="W1489" s="0" t="n">
        <f aca="false">IF(V1489="중복",0,N(D1489))</f>
        <v>121</v>
      </c>
      <c r="X1489" s="0" t="n">
        <f aca="false">IF(COUNTIFS($A$2:A1489,A1489,$C$2:C1489,C1489)=1,ABS(SUMIFS(RAW_발주!$D:$D,RAW_발주!$C:$C,A1489,RAW_발주!$A:$A,C1489)-SUMIFS($W:$W,$A:$A,A1489,$C:$C,C1489)),0)</f>
        <v>0</v>
      </c>
    </row>
    <row r="1490" customFormat="false" ht="15" hidden="false" customHeight="true" outlineLevel="0" collapsed="false">
      <c r="A1490" s="45" t="s">
        <v>1664</v>
      </c>
      <c r="B1490" s="42" t="str">
        <f aca="false">IF(A1490="100","HK",IF(A1490="200","CN",IF(A1490="300","TW","홀세일")))</f>
        <v>홀세일</v>
      </c>
      <c r="C1490" s="45" t="s">
        <v>970</v>
      </c>
      <c r="D1490" s="46" t="n">
        <v>10</v>
      </c>
      <c r="E1490" s="46" t="n">
        <v>79000</v>
      </c>
      <c r="F1490" s="46" t="n">
        <v>17910</v>
      </c>
      <c r="G1490" s="42" t="n">
        <v>3.75</v>
      </c>
      <c r="H1490" s="42" t="n">
        <v>21</v>
      </c>
      <c r="J1490" s="46" t="n">
        <f aca="false">IF(N(E1490)&gt;0,E1490,IF(N(F1490)&gt;0,F1490*요약!$F$27,0))</f>
        <v>79000</v>
      </c>
      <c r="K1490" s="46" t="n">
        <f aca="false">IF(N(F1490)&gt;0,F1490,IF(N(E1490)&gt;0,E1490/요약!$F$27,0))</f>
        <v>17910</v>
      </c>
      <c r="L1490" s="46" t="n">
        <f aca="false">IF(B1490="CN",IF(N(I1490)&gt;0,I1490*요약!$G$27,K1490*(1+요약!$E$27)),IF(N(H1490)&gt;0,H1490*요약!$G$27,J1490*요약!$D$27))</f>
        <v>27720</v>
      </c>
      <c r="M1490" s="46" t="n">
        <f aca="false">D1490*J1490</f>
        <v>790000</v>
      </c>
      <c r="N1490" s="46" t="n">
        <f aca="false">D1490*K1490</f>
        <v>179100</v>
      </c>
      <c r="O1490" s="46" t="n">
        <f aca="false">D1490*L1490</f>
        <v>277200</v>
      </c>
      <c r="P1490" s="42" t="str">
        <f aca="false">TRIM(IF(N(E1490)&lt;=0,"택가보정 ","")&amp;IF(N(F1490)&lt;=0,"원가보정 ","")&amp;IF(AND(B1490&lt;&gt;"CN",N(H1490)&lt;=0),"공급가보정 ","")&amp;IF(AND(B1490="CN",N(I1490)&lt;=0),"중국공급가=원가+마진 ",""))</f>
        <v/>
      </c>
      <c r="Q1490" s="47" t="n">
        <f aca="false">IF(SUMIFS($W:$W,$A:$A,A1490,$C:$C,C1490)=0,0,SUMIFS(RAW_판매펀칭!$K:$K,RAW_판매펀칭!$P:$P,A1490,RAW_판매펀칭!$I:$I,C1490)*W1490/SUMIFS($W:$W,$A:$A,A1490,$C:$C,C1490))</f>
        <v>10</v>
      </c>
      <c r="R1490" s="47" t="n">
        <f aca="false">IF(OR(A1490="500",A1490="800",A1490="810"),0,MAX(W1490-Q1490,0))</f>
        <v>0</v>
      </c>
      <c r="S1490" s="47" t="n">
        <f aca="false">R1490*L1490</f>
        <v>0</v>
      </c>
      <c r="T1490" s="47" t="n">
        <f aca="false">R1490*J1490</f>
        <v>0</v>
      </c>
      <c r="U1490" s="47" t="n">
        <f aca="false">R1490*K1490</f>
        <v>0</v>
      </c>
      <c r="V1490" s="0" t="str">
        <f aca="false">IF(COUNTIFS($A$2:A1490,A1490,$C$2:C1490,C1490,$D$2:D1490,D1490)&gt;1,"중복","")</f>
        <v/>
      </c>
      <c r="W1490" s="0" t="n">
        <f aca="false">IF(V1490="중복",0,N(D1490))</f>
        <v>10</v>
      </c>
      <c r="X1490" s="0" t="n">
        <f aca="false">IF(COUNTIFS($A$2:A1490,A1490,$C$2:C1490,C1490)=1,ABS(SUMIFS(RAW_발주!$D:$D,RAW_발주!$C:$C,A1490,RAW_발주!$A:$A,C1490)-SUMIFS($W:$W,$A:$A,A1490,$C:$C,C1490)),0)</f>
        <v>0</v>
      </c>
    </row>
    <row r="1491" customFormat="false" ht="15" hidden="false" customHeight="true" outlineLevel="0" collapsed="false">
      <c r="A1491" s="45" t="s">
        <v>1664</v>
      </c>
      <c r="B1491" s="42" t="str">
        <f aca="false">IF(A1491="100","HK",IF(A1491="200","CN",IF(A1491="300","TW","홀세일")))</f>
        <v>홀세일</v>
      </c>
      <c r="C1491" s="45" t="s">
        <v>970</v>
      </c>
      <c r="D1491" s="46" t="n">
        <v>10</v>
      </c>
      <c r="E1491" s="46" t="n">
        <v>79000</v>
      </c>
      <c r="F1491" s="46" t="n">
        <v>17910</v>
      </c>
      <c r="G1491" s="42" t="n">
        <v>3.75</v>
      </c>
      <c r="H1491" s="42" t="n">
        <v>21</v>
      </c>
      <c r="J1491" s="46" t="n">
        <f aca="false">IF(N(E1491)&gt;0,E1491,IF(N(F1491)&gt;0,F1491*요약!$F$27,0))</f>
        <v>79000</v>
      </c>
      <c r="K1491" s="46" t="n">
        <f aca="false">IF(N(F1491)&gt;0,F1491,IF(N(E1491)&gt;0,E1491/요약!$F$27,0))</f>
        <v>17910</v>
      </c>
      <c r="L1491" s="46" t="n">
        <f aca="false">IF(B1491="CN",IF(N(I1491)&gt;0,I1491*요약!$G$27,K1491*(1+요약!$E$27)),IF(N(H1491)&gt;0,H1491*요약!$G$27,J1491*요약!$D$27))</f>
        <v>27720</v>
      </c>
      <c r="M1491" s="46" t="n">
        <f aca="false">D1491*J1491</f>
        <v>790000</v>
      </c>
      <c r="N1491" s="46" t="n">
        <f aca="false">D1491*K1491</f>
        <v>179100</v>
      </c>
      <c r="O1491" s="46" t="n">
        <f aca="false">D1491*L1491</f>
        <v>277200</v>
      </c>
      <c r="P1491" s="42" t="str">
        <f aca="false">TRIM(IF(N(E1491)&lt;=0,"택가보정 ","")&amp;IF(N(F1491)&lt;=0,"원가보정 ","")&amp;IF(AND(B1491&lt;&gt;"CN",N(H1491)&lt;=0),"공급가보정 ","")&amp;IF(AND(B1491="CN",N(I1491)&lt;=0),"중국공급가=원가+마진 ",""))</f>
        <v/>
      </c>
      <c r="Q1491" s="47" t="n">
        <f aca="false">IF(SUMIFS($W:$W,$A:$A,A1491,$C:$C,C1491)=0,0,SUMIFS(RAW_판매펀칭!$K:$K,RAW_판매펀칭!$P:$P,A1491,RAW_판매펀칭!$I:$I,C1491)*W1491/SUMIFS($W:$W,$A:$A,A1491,$C:$C,C1491))</f>
        <v>0</v>
      </c>
      <c r="R1491" s="47" t="n">
        <f aca="false">IF(OR(A1491="500",A1491="800",A1491="810"),0,MAX(W1491-Q1491,0))</f>
        <v>0</v>
      </c>
      <c r="S1491" s="47" t="n">
        <f aca="false">R1491*L1491</f>
        <v>0</v>
      </c>
      <c r="T1491" s="47" t="n">
        <f aca="false">R1491*J1491</f>
        <v>0</v>
      </c>
      <c r="U1491" s="47" t="n">
        <f aca="false">R1491*K1491</f>
        <v>0</v>
      </c>
      <c r="V1491" s="0" t="str">
        <f aca="false">IF(COUNTIFS($A$2:A1491,A1491,$C$2:C1491,C1491,$D$2:D1491,D1491)&gt;1,"중복","")</f>
        <v>중복</v>
      </c>
      <c r="W1491" s="0" t="n">
        <f aca="false">IF(V1491="중복",0,N(D1491))</f>
        <v>0</v>
      </c>
      <c r="X1491" s="0" t="n">
        <f aca="false">IF(COUNTIFS($A$2:A1491,A1491,$C$2:C1491,C1491)=1,ABS(SUMIFS(RAW_발주!$D:$D,RAW_발주!$C:$C,A1491,RAW_발주!$A:$A,C1491)-SUMIFS($W:$W,$A:$A,A1491,$C:$C,C1491)),0)</f>
        <v>0</v>
      </c>
    </row>
    <row r="1492" customFormat="false" ht="15" hidden="false" customHeight="true" outlineLevel="0" collapsed="false">
      <c r="A1492" s="45" t="s">
        <v>1665</v>
      </c>
      <c r="B1492" s="42" t="str">
        <f aca="false">IF(A1492="100","HK",IF(A1492="200","CN",IF(A1492="300","TW","홀세일")))</f>
        <v>홀세일</v>
      </c>
      <c r="C1492" s="45" t="s">
        <v>970</v>
      </c>
      <c r="D1492" s="46" t="n">
        <v>96</v>
      </c>
      <c r="E1492" s="46" t="n">
        <v>79000</v>
      </c>
      <c r="F1492" s="46" t="n">
        <v>17910</v>
      </c>
      <c r="G1492" s="42" t="n">
        <v>3.75</v>
      </c>
      <c r="H1492" s="42" t="n">
        <v>21</v>
      </c>
      <c r="J1492" s="46" t="n">
        <f aca="false">IF(N(E1492)&gt;0,E1492,IF(N(F1492)&gt;0,F1492*요약!$F$27,0))</f>
        <v>79000</v>
      </c>
      <c r="K1492" s="46" t="n">
        <f aca="false">IF(N(F1492)&gt;0,F1492,IF(N(E1492)&gt;0,E1492/요약!$F$27,0))</f>
        <v>17910</v>
      </c>
      <c r="L1492" s="46" t="n">
        <f aca="false">IF(B1492="CN",IF(N(I1492)&gt;0,I1492*요약!$G$27,K1492*(1+요약!$E$27)),IF(N(H1492)&gt;0,H1492*요약!$G$27,J1492*요약!$D$27))</f>
        <v>27720</v>
      </c>
      <c r="M1492" s="46" t="n">
        <f aca="false">D1492*J1492</f>
        <v>7584000</v>
      </c>
      <c r="N1492" s="46" t="n">
        <f aca="false">D1492*K1492</f>
        <v>1719360</v>
      </c>
      <c r="O1492" s="46" t="n">
        <f aca="false">D1492*L1492</f>
        <v>2661120</v>
      </c>
      <c r="P1492" s="42" t="str">
        <f aca="false">TRIM(IF(N(E1492)&lt;=0,"택가보정 ","")&amp;IF(N(F1492)&lt;=0,"원가보정 ","")&amp;IF(AND(B1492&lt;&gt;"CN",N(H1492)&lt;=0),"공급가보정 ","")&amp;IF(AND(B1492="CN",N(I1492)&lt;=0),"중국공급가=원가+마진 ",""))</f>
        <v/>
      </c>
      <c r="Q1492" s="47" t="n">
        <f aca="false">IF(SUMIFS($W:$W,$A:$A,A1492,$C:$C,C1492)=0,0,SUMIFS(RAW_판매펀칭!$K:$K,RAW_판매펀칭!$P:$P,A1492,RAW_판매펀칭!$I:$I,C1492)*W1492/SUMIFS($W:$W,$A:$A,A1492,$C:$C,C1492))</f>
        <v>96</v>
      </c>
      <c r="R1492" s="47" t="n">
        <f aca="false">IF(OR(A1492="500",A1492="800",A1492="810"),0,MAX(W1492-Q1492,0))</f>
        <v>0</v>
      </c>
      <c r="S1492" s="47" t="n">
        <f aca="false">R1492*L1492</f>
        <v>0</v>
      </c>
      <c r="T1492" s="47" t="n">
        <f aca="false">R1492*J1492</f>
        <v>0</v>
      </c>
      <c r="U1492" s="47" t="n">
        <f aca="false">R1492*K1492</f>
        <v>0</v>
      </c>
      <c r="V1492" s="0" t="str">
        <f aca="false">IF(COUNTIFS($A$2:A1492,A1492,$C$2:C1492,C1492,$D$2:D1492,D1492)&gt;1,"중복","")</f>
        <v/>
      </c>
      <c r="W1492" s="0" t="n">
        <f aca="false">IF(V1492="중복",0,N(D1492))</f>
        <v>96</v>
      </c>
      <c r="X1492" s="0" t="n">
        <f aca="false">IF(COUNTIFS($A$2:A1492,A1492,$C$2:C1492,C1492)=1,ABS(SUMIFS(RAW_발주!$D:$D,RAW_발주!$C:$C,A1492,RAW_발주!$A:$A,C1492)-SUMIFS($W:$W,$A:$A,A1492,$C:$C,C1492)),0)</f>
        <v>0</v>
      </c>
    </row>
    <row r="1493" customFormat="false" ht="15" hidden="false" customHeight="true" outlineLevel="0" collapsed="false">
      <c r="A1493" s="45" t="s">
        <v>1662</v>
      </c>
      <c r="B1493" s="42" t="str">
        <f aca="false">IF(A1493="100","HK",IF(A1493="200","CN",IF(A1493="300","TW","홀세일")))</f>
        <v>홀세일</v>
      </c>
      <c r="C1493" s="45" t="s">
        <v>1364</v>
      </c>
      <c r="D1493" s="46" t="n">
        <v>20</v>
      </c>
      <c r="E1493" s="46" t="n">
        <v>79000</v>
      </c>
      <c r="F1493" s="46" t="n">
        <v>17898</v>
      </c>
      <c r="G1493" s="42" t="n">
        <v>3.75</v>
      </c>
      <c r="H1493" s="42" t="n">
        <v>21</v>
      </c>
      <c r="J1493" s="46" t="n">
        <f aca="false">IF(N(E1493)&gt;0,E1493,IF(N(F1493)&gt;0,F1493*요약!$F$27,0))</f>
        <v>79000</v>
      </c>
      <c r="K1493" s="46" t="n">
        <f aca="false">IF(N(F1493)&gt;0,F1493,IF(N(E1493)&gt;0,E1493/요약!$F$27,0))</f>
        <v>17898</v>
      </c>
      <c r="L1493" s="46" t="n">
        <f aca="false">IF(B1493="CN",IF(N(I1493)&gt;0,I1493*요약!$G$27,K1493*(1+요약!$E$27)),IF(N(H1493)&gt;0,H1493*요약!$G$27,J1493*요약!$D$27))</f>
        <v>27720</v>
      </c>
      <c r="M1493" s="46" t="n">
        <f aca="false">D1493*J1493</f>
        <v>1580000</v>
      </c>
      <c r="N1493" s="46" t="n">
        <f aca="false">D1493*K1493</f>
        <v>357960</v>
      </c>
      <c r="O1493" s="46" t="n">
        <f aca="false">D1493*L1493</f>
        <v>554400</v>
      </c>
      <c r="P1493" s="42" t="str">
        <f aca="false">TRIM(IF(N(E1493)&lt;=0,"택가보정 ","")&amp;IF(N(F1493)&lt;=0,"원가보정 ","")&amp;IF(AND(B1493&lt;&gt;"CN",N(H1493)&lt;=0),"공급가보정 ","")&amp;IF(AND(B1493="CN",N(I1493)&lt;=0),"중국공급가=원가+마진 ",""))</f>
        <v/>
      </c>
      <c r="Q1493" s="47" t="n">
        <f aca="false">IF(SUMIFS($W:$W,$A:$A,A1493,$C:$C,C1493)=0,0,SUMIFS(RAW_판매펀칭!$K:$K,RAW_판매펀칭!$P:$P,A1493,RAW_판매펀칭!$I:$I,C1493)*W1493/SUMIFS($W:$W,$A:$A,A1493,$C:$C,C1493))</f>
        <v>0</v>
      </c>
      <c r="R1493" s="47" t="n">
        <f aca="false">IF(OR(A1493="500",A1493="800",A1493="810"),0,MAX(W1493-Q1493,0))</f>
        <v>0</v>
      </c>
      <c r="S1493" s="47" t="n">
        <f aca="false">R1493*L1493</f>
        <v>0</v>
      </c>
      <c r="T1493" s="47" t="n">
        <f aca="false">R1493*J1493</f>
        <v>0</v>
      </c>
      <c r="U1493" s="47" t="n">
        <f aca="false">R1493*K1493</f>
        <v>0</v>
      </c>
      <c r="V1493" s="0" t="str">
        <f aca="false">IF(COUNTIFS($A$2:A1493,A1493,$C$2:C1493,C1493,$D$2:D1493,D1493)&gt;1,"중복","")</f>
        <v/>
      </c>
      <c r="W1493" s="0" t="n">
        <f aca="false">IF(V1493="중복",0,N(D1493))</f>
        <v>20</v>
      </c>
      <c r="X1493" s="0" t="n">
        <f aca="false">IF(COUNTIFS($A$2:A1493,A1493,$C$2:C1493,C1493)=1,ABS(SUMIFS(RAW_발주!$D:$D,RAW_발주!$C:$C,A1493,RAW_발주!$A:$A,C1493)-SUMIFS($W:$W,$A:$A,A1493,$C:$C,C1493)),0)</f>
        <v>0</v>
      </c>
    </row>
    <row r="1494" customFormat="false" ht="15" hidden="false" customHeight="true" outlineLevel="0" collapsed="false">
      <c r="A1494" s="45" t="s">
        <v>1663</v>
      </c>
      <c r="B1494" s="42" t="str">
        <f aca="false">IF(A1494="100","HK",IF(A1494="200","CN",IF(A1494="300","TW","홀세일")))</f>
        <v>홀세일</v>
      </c>
      <c r="C1494" s="45" t="s">
        <v>1364</v>
      </c>
      <c r="D1494" s="46" t="n">
        <v>60</v>
      </c>
      <c r="E1494" s="46" t="n">
        <v>79000</v>
      </c>
      <c r="F1494" s="46" t="n">
        <v>17898</v>
      </c>
      <c r="G1494" s="42" t="n">
        <v>3.75</v>
      </c>
      <c r="H1494" s="42" t="n">
        <v>21</v>
      </c>
      <c r="J1494" s="46" t="n">
        <f aca="false">IF(N(E1494)&gt;0,E1494,IF(N(F1494)&gt;0,F1494*요약!$F$27,0))</f>
        <v>79000</v>
      </c>
      <c r="K1494" s="46" t="n">
        <f aca="false">IF(N(F1494)&gt;0,F1494,IF(N(E1494)&gt;0,E1494/요약!$F$27,0))</f>
        <v>17898</v>
      </c>
      <c r="L1494" s="46" t="n">
        <f aca="false">IF(B1494="CN",IF(N(I1494)&gt;0,I1494*요약!$G$27,K1494*(1+요약!$E$27)),IF(N(H1494)&gt;0,H1494*요약!$G$27,J1494*요약!$D$27))</f>
        <v>27720</v>
      </c>
      <c r="M1494" s="46" t="n">
        <f aca="false">D1494*J1494</f>
        <v>4740000</v>
      </c>
      <c r="N1494" s="46" t="n">
        <f aca="false">D1494*K1494</f>
        <v>1073880</v>
      </c>
      <c r="O1494" s="46" t="n">
        <f aca="false">D1494*L1494</f>
        <v>1663200</v>
      </c>
      <c r="P1494" s="42" t="str">
        <f aca="false">TRIM(IF(N(E1494)&lt;=0,"택가보정 ","")&amp;IF(N(F1494)&lt;=0,"원가보정 ","")&amp;IF(AND(B1494&lt;&gt;"CN",N(H1494)&lt;=0),"공급가보정 ","")&amp;IF(AND(B1494="CN",N(I1494)&lt;=0),"중국공급가=원가+마진 ",""))</f>
        <v/>
      </c>
      <c r="Q1494" s="47" t="n">
        <f aca="false">IF(SUMIFS($W:$W,$A:$A,A1494,$C:$C,C1494)=0,0,SUMIFS(RAW_판매펀칭!$K:$K,RAW_판매펀칭!$P:$P,A1494,RAW_판매펀칭!$I:$I,C1494)*W1494/SUMIFS($W:$W,$A:$A,A1494,$C:$C,C1494))</f>
        <v>60</v>
      </c>
      <c r="R1494" s="47" t="n">
        <f aca="false">IF(OR(A1494="500",A1494="800",A1494="810"),0,MAX(W1494-Q1494,0))</f>
        <v>0</v>
      </c>
      <c r="S1494" s="47" t="n">
        <f aca="false">R1494*L1494</f>
        <v>0</v>
      </c>
      <c r="T1494" s="47" t="n">
        <f aca="false">R1494*J1494</f>
        <v>0</v>
      </c>
      <c r="U1494" s="47" t="n">
        <f aca="false">R1494*K1494</f>
        <v>0</v>
      </c>
      <c r="V1494" s="0" t="str">
        <f aca="false">IF(COUNTIFS($A$2:A1494,A1494,$C$2:C1494,C1494,$D$2:D1494,D1494)&gt;1,"중복","")</f>
        <v/>
      </c>
      <c r="W1494" s="0" t="n">
        <f aca="false">IF(V1494="중복",0,N(D1494))</f>
        <v>60</v>
      </c>
      <c r="X1494" s="0" t="n">
        <f aca="false">IF(COUNTIFS($A$2:A1494,A1494,$C$2:C1494,C1494)=1,ABS(SUMIFS(RAW_발주!$D:$D,RAW_발주!$C:$C,A1494,RAW_발주!$A:$A,C1494)-SUMIFS($W:$W,$A:$A,A1494,$C:$C,C1494)),0)</f>
        <v>0</v>
      </c>
    </row>
    <row r="1495" customFormat="false" ht="15" hidden="false" customHeight="true" outlineLevel="0" collapsed="false">
      <c r="A1495" s="45" t="s">
        <v>1667</v>
      </c>
      <c r="B1495" s="42" t="str">
        <f aca="false">IF(A1495="100","HK",IF(A1495="200","CN",IF(A1495="300","TW","홀세일")))</f>
        <v>홀세일</v>
      </c>
      <c r="C1495" s="45" t="s">
        <v>1364</v>
      </c>
      <c r="D1495" s="46" t="n">
        <v>122</v>
      </c>
      <c r="E1495" s="46" t="n">
        <v>79000</v>
      </c>
      <c r="F1495" s="46" t="n">
        <v>17898</v>
      </c>
      <c r="G1495" s="42" t="n">
        <v>3.75</v>
      </c>
      <c r="H1495" s="42" t="n">
        <v>21</v>
      </c>
      <c r="J1495" s="46" t="n">
        <f aca="false">IF(N(E1495)&gt;0,E1495,IF(N(F1495)&gt;0,F1495*요약!$F$27,0))</f>
        <v>79000</v>
      </c>
      <c r="K1495" s="46" t="n">
        <f aca="false">IF(N(F1495)&gt;0,F1495,IF(N(E1495)&gt;0,E1495/요약!$F$27,0))</f>
        <v>17898</v>
      </c>
      <c r="L1495" s="46" t="n">
        <f aca="false">IF(B1495="CN",IF(N(I1495)&gt;0,I1495*요약!$G$27,K1495*(1+요약!$E$27)),IF(N(H1495)&gt;0,H1495*요약!$G$27,J1495*요약!$D$27))</f>
        <v>27720</v>
      </c>
      <c r="M1495" s="46" t="n">
        <f aca="false">D1495*J1495</f>
        <v>9638000</v>
      </c>
      <c r="N1495" s="46" t="n">
        <f aca="false">D1495*K1495</f>
        <v>2183556</v>
      </c>
      <c r="O1495" s="46" t="n">
        <f aca="false">D1495*L1495</f>
        <v>3381840</v>
      </c>
      <c r="P1495" s="42" t="str">
        <f aca="false">TRIM(IF(N(E1495)&lt;=0,"택가보정 ","")&amp;IF(N(F1495)&lt;=0,"원가보정 ","")&amp;IF(AND(B1495&lt;&gt;"CN",N(H1495)&lt;=0),"공급가보정 ","")&amp;IF(AND(B1495="CN",N(I1495)&lt;=0),"중국공급가=원가+마진 ",""))</f>
        <v/>
      </c>
      <c r="Q1495" s="47" t="n">
        <f aca="false">IF(SUMIFS($W:$W,$A:$A,A1495,$C:$C,C1495)=0,0,SUMIFS(RAW_판매펀칭!$K:$K,RAW_판매펀칭!$P:$P,A1495,RAW_판매펀칭!$I:$I,C1495)*W1495/SUMIFS($W:$W,$A:$A,A1495,$C:$C,C1495))</f>
        <v>122</v>
      </c>
      <c r="R1495" s="47" t="n">
        <f aca="false">IF(OR(A1495="500",A1495="800",A1495="810"),0,MAX(W1495-Q1495,0))</f>
        <v>0</v>
      </c>
      <c r="S1495" s="47" t="n">
        <f aca="false">R1495*L1495</f>
        <v>0</v>
      </c>
      <c r="T1495" s="47" t="n">
        <f aca="false">R1495*J1495</f>
        <v>0</v>
      </c>
      <c r="U1495" s="47" t="n">
        <f aca="false">R1495*K1495</f>
        <v>0</v>
      </c>
      <c r="V1495" s="0" t="str">
        <f aca="false">IF(COUNTIFS($A$2:A1495,A1495,$C$2:C1495,C1495,$D$2:D1495,D1495)&gt;1,"중복","")</f>
        <v/>
      </c>
      <c r="W1495" s="0" t="n">
        <f aca="false">IF(V1495="중복",0,N(D1495))</f>
        <v>122</v>
      </c>
      <c r="X1495" s="0" t="n">
        <f aca="false">IF(COUNTIFS($A$2:A1495,A1495,$C$2:C1495,C1495)=1,ABS(SUMIFS(RAW_발주!$D:$D,RAW_발주!$C:$C,A1495,RAW_발주!$A:$A,C1495)-SUMIFS($W:$W,$A:$A,A1495,$C:$C,C1495)),0)</f>
        <v>0</v>
      </c>
    </row>
    <row r="1496" customFormat="false" ht="15" hidden="false" customHeight="true" outlineLevel="0" collapsed="false">
      <c r="A1496" s="45" t="s">
        <v>1664</v>
      </c>
      <c r="B1496" s="42" t="str">
        <f aca="false">IF(A1496="100","HK",IF(A1496="200","CN",IF(A1496="300","TW","홀세일")))</f>
        <v>홀세일</v>
      </c>
      <c r="C1496" s="45" t="s">
        <v>1364</v>
      </c>
      <c r="D1496" s="46" t="n">
        <v>10</v>
      </c>
      <c r="E1496" s="46" t="n">
        <v>79000</v>
      </c>
      <c r="F1496" s="46" t="n">
        <v>17898</v>
      </c>
      <c r="G1496" s="42" t="n">
        <v>3.75</v>
      </c>
      <c r="H1496" s="42" t="n">
        <v>21</v>
      </c>
      <c r="J1496" s="46" t="n">
        <f aca="false">IF(N(E1496)&gt;0,E1496,IF(N(F1496)&gt;0,F1496*요약!$F$27,0))</f>
        <v>79000</v>
      </c>
      <c r="K1496" s="46" t="n">
        <f aca="false">IF(N(F1496)&gt;0,F1496,IF(N(E1496)&gt;0,E1496/요약!$F$27,0))</f>
        <v>17898</v>
      </c>
      <c r="L1496" s="46" t="n">
        <f aca="false">IF(B1496="CN",IF(N(I1496)&gt;0,I1496*요약!$G$27,K1496*(1+요약!$E$27)),IF(N(H1496)&gt;0,H1496*요약!$G$27,J1496*요약!$D$27))</f>
        <v>27720</v>
      </c>
      <c r="M1496" s="46" t="n">
        <f aca="false">D1496*J1496</f>
        <v>790000</v>
      </c>
      <c r="N1496" s="46" t="n">
        <f aca="false">D1496*K1496</f>
        <v>178980</v>
      </c>
      <c r="O1496" s="46" t="n">
        <f aca="false">D1496*L1496</f>
        <v>277200</v>
      </c>
      <c r="P1496" s="42" t="str">
        <f aca="false">TRIM(IF(N(E1496)&lt;=0,"택가보정 ","")&amp;IF(N(F1496)&lt;=0,"원가보정 ","")&amp;IF(AND(B1496&lt;&gt;"CN",N(H1496)&lt;=0),"공급가보정 ","")&amp;IF(AND(B1496="CN",N(I1496)&lt;=0),"중국공급가=원가+마진 ",""))</f>
        <v/>
      </c>
      <c r="Q1496" s="47" t="n">
        <f aca="false">IF(SUMIFS($W:$W,$A:$A,A1496,$C:$C,C1496)=0,0,SUMIFS(RAW_판매펀칭!$K:$K,RAW_판매펀칭!$P:$P,A1496,RAW_판매펀칭!$I:$I,C1496)*W1496/SUMIFS($W:$W,$A:$A,A1496,$C:$C,C1496))</f>
        <v>10</v>
      </c>
      <c r="R1496" s="47" t="n">
        <f aca="false">IF(OR(A1496="500",A1496="800",A1496="810"),0,MAX(W1496-Q1496,0))</f>
        <v>0</v>
      </c>
      <c r="S1496" s="47" t="n">
        <f aca="false">R1496*L1496</f>
        <v>0</v>
      </c>
      <c r="T1496" s="47" t="n">
        <f aca="false">R1496*J1496</f>
        <v>0</v>
      </c>
      <c r="U1496" s="47" t="n">
        <f aca="false">R1496*K1496</f>
        <v>0</v>
      </c>
      <c r="V1496" s="0" t="str">
        <f aca="false">IF(COUNTIFS($A$2:A1496,A1496,$C$2:C1496,C1496,$D$2:D1496,D1496)&gt;1,"중복","")</f>
        <v/>
      </c>
      <c r="W1496" s="0" t="n">
        <f aca="false">IF(V1496="중복",0,N(D1496))</f>
        <v>10</v>
      </c>
      <c r="X1496" s="0" t="n">
        <f aca="false">IF(COUNTIFS($A$2:A1496,A1496,$C$2:C1496,C1496)=1,ABS(SUMIFS(RAW_발주!$D:$D,RAW_발주!$C:$C,A1496,RAW_발주!$A:$A,C1496)-SUMIFS($W:$W,$A:$A,A1496,$C:$C,C1496)),0)</f>
        <v>0</v>
      </c>
    </row>
    <row r="1497" customFormat="false" ht="15" hidden="false" customHeight="true" outlineLevel="0" collapsed="false">
      <c r="A1497" s="45" t="s">
        <v>1664</v>
      </c>
      <c r="B1497" s="42" t="str">
        <f aca="false">IF(A1497="100","HK",IF(A1497="200","CN",IF(A1497="300","TW","홀세일")))</f>
        <v>홀세일</v>
      </c>
      <c r="C1497" s="45" t="s">
        <v>1364</v>
      </c>
      <c r="D1497" s="46" t="n">
        <v>10</v>
      </c>
      <c r="E1497" s="46" t="n">
        <v>79000</v>
      </c>
      <c r="F1497" s="46" t="n">
        <v>17898</v>
      </c>
      <c r="G1497" s="42" t="n">
        <v>3.75</v>
      </c>
      <c r="H1497" s="42" t="n">
        <v>21</v>
      </c>
      <c r="J1497" s="46" t="n">
        <f aca="false">IF(N(E1497)&gt;0,E1497,IF(N(F1497)&gt;0,F1497*요약!$F$27,0))</f>
        <v>79000</v>
      </c>
      <c r="K1497" s="46" t="n">
        <f aca="false">IF(N(F1497)&gt;0,F1497,IF(N(E1497)&gt;0,E1497/요약!$F$27,0))</f>
        <v>17898</v>
      </c>
      <c r="L1497" s="46" t="n">
        <f aca="false">IF(B1497="CN",IF(N(I1497)&gt;0,I1497*요약!$G$27,K1497*(1+요약!$E$27)),IF(N(H1497)&gt;0,H1497*요약!$G$27,J1497*요약!$D$27))</f>
        <v>27720</v>
      </c>
      <c r="M1497" s="46" t="n">
        <f aca="false">D1497*J1497</f>
        <v>790000</v>
      </c>
      <c r="N1497" s="46" t="n">
        <f aca="false">D1497*K1497</f>
        <v>178980</v>
      </c>
      <c r="O1497" s="46" t="n">
        <f aca="false">D1497*L1497</f>
        <v>277200</v>
      </c>
      <c r="P1497" s="42" t="str">
        <f aca="false">TRIM(IF(N(E1497)&lt;=0,"택가보정 ","")&amp;IF(N(F1497)&lt;=0,"원가보정 ","")&amp;IF(AND(B1497&lt;&gt;"CN",N(H1497)&lt;=0),"공급가보정 ","")&amp;IF(AND(B1497="CN",N(I1497)&lt;=0),"중국공급가=원가+마진 ",""))</f>
        <v/>
      </c>
      <c r="Q1497" s="47" t="n">
        <f aca="false">IF(SUMIFS($W:$W,$A:$A,A1497,$C:$C,C1497)=0,0,SUMIFS(RAW_판매펀칭!$K:$K,RAW_판매펀칭!$P:$P,A1497,RAW_판매펀칭!$I:$I,C1497)*W1497/SUMIFS($W:$W,$A:$A,A1497,$C:$C,C1497))</f>
        <v>0</v>
      </c>
      <c r="R1497" s="47" t="n">
        <f aca="false">IF(OR(A1497="500",A1497="800",A1497="810"),0,MAX(W1497-Q1497,0))</f>
        <v>0</v>
      </c>
      <c r="S1497" s="47" t="n">
        <f aca="false">R1497*L1497</f>
        <v>0</v>
      </c>
      <c r="T1497" s="47" t="n">
        <f aca="false">R1497*J1497</f>
        <v>0</v>
      </c>
      <c r="U1497" s="47" t="n">
        <f aca="false">R1497*K1497</f>
        <v>0</v>
      </c>
      <c r="V1497" s="0" t="str">
        <f aca="false">IF(COUNTIFS($A$2:A1497,A1497,$C$2:C1497,C1497,$D$2:D1497,D1497)&gt;1,"중복","")</f>
        <v>중복</v>
      </c>
      <c r="W1497" s="0" t="n">
        <f aca="false">IF(V1497="중복",0,N(D1497))</f>
        <v>0</v>
      </c>
      <c r="X1497" s="0" t="n">
        <f aca="false">IF(COUNTIFS($A$2:A1497,A1497,$C$2:C1497,C1497)=1,ABS(SUMIFS(RAW_발주!$D:$D,RAW_발주!$C:$C,A1497,RAW_발주!$A:$A,C1497)-SUMIFS($W:$W,$A:$A,A1497,$C:$C,C1497)),0)</f>
        <v>0</v>
      </c>
    </row>
    <row r="1498" customFormat="false" ht="15" hidden="false" customHeight="true" outlineLevel="0" collapsed="false">
      <c r="A1498" s="45" t="s">
        <v>1666</v>
      </c>
      <c r="B1498" s="42" t="str">
        <f aca="false">IF(A1498="100","HK",IF(A1498="200","CN",IF(A1498="300","TW","홀세일")))</f>
        <v>홀세일</v>
      </c>
      <c r="C1498" s="45" t="s">
        <v>1364</v>
      </c>
      <c r="D1498" s="46" t="n">
        <v>200</v>
      </c>
      <c r="E1498" s="46" t="n">
        <v>79000</v>
      </c>
      <c r="F1498" s="46" t="n">
        <v>17898</v>
      </c>
      <c r="G1498" s="42" t="n">
        <v>3.75</v>
      </c>
      <c r="H1498" s="42" t="n">
        <v>21</v>
      </c>
      <c r="J1498" s="46" t="n">
        <f aca="false">IF(N(E1498)&gt;0,E1498,IF(N(F1498)&gt;0,F1498*요약!$F$27,0))</f>
        <v>79000</v>
      </c>
      <c r="K1498" s="46" t="n">
        <f aca="false">IF(N(F1498)&gt;0,F1498,IF(N(E1498)&gt;0,E1498/요약!$F$27,0))</f>
        <v>17898</v>
      </c>
      <c r="L1498" s="46" t="n">
        <f aca="false">IF(B1498="CN",IF(N(I1498)&gt;0,I1498*요약!$G$27,K1498*(1+요약!$E$27)),IF(N(H1498)&gt;0,H1498*요약!$G$27,J1498*요약!$D$27))</f>
        <v>27720</v>
      </c>
      <c r="M1498" s="46" t="n">
        <f aca="false">D1498*J1498</f>
        <v>15800000</v>
      </c>
      <c r="N1498" s="46" t="n">
        <f aca="false">D1498*K1498</f>
        <v>3579600</v>
      </c>
      <c r="O1498" s="46" t="n">
        <f aca="false">D1498*L1498</f>
        <v>5544000</v>
      </c>
      <c r="P1498" s="42" t="str">
        <f aca="false">TRIM(IF(N(E1498)&lt;=0,"택가보정 ","")&amp;IF(N(F1498)&lt;=0,"원가보정 ","")&amp;IF(AND(B1498&lt;&gt;"CN",N(H1498)&lt;=0),"공급가보정 ","")&amp;IF(AND(B1498="CN",N(I1498)&lt;=0),"중국공급가=원가+마진 ",""))</f>
        <v/>
      </c>
      <c r="Q1498" s="47" t="n">
        <f aca="false">IF(SUMIFS($W:$W,$A:$A,A1498,$C:$C,C1498)=0,0,SUMIFS(RAW_판매펀칭!$K:$K,RAW_판매펀칭!$P:$P,A1498,RAW_판매펀칭!$I:$I,C1498)*W1498/SUMIFS($W:$W,$A:$A,A1498,$C:$C,C1498))</f>
        <v>200</v>
      </c>
      <c r="R1498" s="47" t="n">
        <f aca="false">IF(OR(A1498="500",A1498="800",A1498="810"),0,MAX(W1498-Q1498,0))</f>
        <v>0</v>
      </c>
      <c r="S1498" s="47" t="n">
        <f aca="false">R1498*L1498</f>
        <v>0</v>
      </c>
      <c r="T1498" s="47" t="n">
        <f aca="false">R1498*J1498</f>
        <v>0</v>
      </c>
      <c r="U1498" s="47" t="n">
        <f aca="false">R1498*K1498</f>
        <v>0</v>
      </c>
      <c r="V1498" s="0" t="str">
        <f aca="false">IF(COUNTIFS($A$2:A1498,A1498,$C$2:C1498,C1498,$D$2:D1498,D1498)&gt;1,"중복","")</f>
        <v/>
      </c>
      <c r="W1498" s="0" t="n">
        <f aca="false">IF(V1498="중복",0,N(D1498))</f>
        <v>200</v>
      </c>
      <c r="X1498" s="0" t="n">
        <f aca="false">IF(COUNTIFS($A$2:A1498,A1498,$C$2:C1498,C1498)=1,ABS(SUMIFS(RAW_발주!$D:$D,RAW_발주!$C:$C,A1498,RAW_발주!$A:$A,C1498)-SUMIFS($W:$W,$A:$A,A1498,$C:$C,C1498)),0)</f>
        <v>0</v>
      </c>
    </row>
    <row r="1499" customFormat="false" ht="15.75" hidden="false" customHeight="true" outlineLevel="0" collapsed="false">
      <c r="A1499" s="45" t="s">
        <v>1660</v>
      </c>
      <c r="B1499" s="42" t="str">
        <f aca="false">IF(A1499="100","HK",IF(A1499="200","CN",IF(A1499="300","TW","홀세일")))</f>
        <v>CN</v>
      </c>
      <c r="C1499" s="45" t="s">
        <v>1109</v>
      </c>
      <c r="D1499" s="46" t="n">
        <v>81</v>
      </c>
      <c r="E1499" s="46" t="n">
        <v>89000</v>
      </c>
      <c r="F1499" s="46" t="n">
        <v>23000</v>
      </c>
      <c r="G1499" s="42" t="n">
        <v>3.52</v>
      </c>
      <c r="H1499" s="42" t="n">
        <v>23.7</v>
      </c>
      <c r="J1499" s="46" t="n">
        <f aca="false">IF(N(E1499)&gt;0,E1499,IF(N(F1499)&gt;0,F1499*요약!$F$27,0))</f>
        <v>89000</v>
      </c>
      <c r="K1499" s="46" t="n">
        <f aca="false">IF(N(F1499)&gt;0,F1499,IF(N(E1499)&gt;0,E1499/요약!$F$27,0))</f>
        <v>23000</v>
      </c>
      <c r="L1499" s="46" t="n">
        <f aca="false">IF(B1499="CN",IF(N(I1499)&gt;0,I1499*요약!$G$27,K1499*(1+요약!$E$27)),IF(N(H1499)&gt;0,H1499*요약!$G$27,J1499*요약!$D$27))</f>
        <v>24150</v>
      </c>
      <c r="M1499" s="46" t="n">
        <f aca="false">D1499*J1499</f>
        <v>7209000</v>
      </c>
      <c r="N1499" s="46" t="n">
        <f aca="false">D1499*K1499</f>
        <v>1863000</v>
      </c>
      <c r="O1499" s="46" t="n">
        <f aca="false">D1499*L1499</f>
        <v>1956150</v>
      </c>
      <c r="P1499" s="42" t="str">
        <f aca="false">TRIM(IF(N(E1499)&lt;=0,"택가보정 ","")&amp;IF(N(F1499)&lt;=0,"원가보정 ","")&amp;IF(AND(B1499&lt;&gt;"CN",N(H1499)&lt;=0),"공급가보정 ","")&amp;IF(AND(B1499="CN",N(I1499)&lt;=0),"중국공급가=원가+마진 ",""))</f>
        <v>중국공급가=원가+마진</v>
      </c>
      <c r="Q1499" s="47" t="n">
        <f aca="false">IF(SUMIFS($W:$W,$A:$A,A1499,$C:$C,C1499)=0,0,SUMIFS(RAW_판매펀칭!$K:$K,RAW_판매펀칭!$P:$P,A1499,RAW_판매펀칭!$I:$I,C1499)*W1499/SUMIFS($W:$W,$A:$A,A1499,$C:$C,C1499))</f>
        <v>80</v>
      </c>
      <c r="R1499" s="47" t="n">
        <f aca="false">IF(OR(A1499="500",A1499="800",A1499="810"),0,MAX(W1499-Q1499,0))</f>
        <v>1</v>
      </c>
      <c r="S1499" s="47" t="n">
        <f aca="false">R1499*L1499</f>
        <v>24150</v>
      </c>
      <c r="T1499" s="47" t="n">
        <f aca="false">R1499*J1499</f>
        <v>89000</v>
      </c>
      <c r="U1499" s="47" t="n">
        <f aca="false">R1499*K1499</f>
        <v>23000</v>
      </c>
      <c r="V1499" s="0" t="str">
        <f aca="false">IF(COUNTIFS($A$2:A1499,A1499,$C$2:C1499,C1499,$D$2:D1499,D1499)&gt;1,"중복","")</f>
        <v/>
      </c>
      <c r="W1499" s="0" t="n">
        <f aca="false">IF(V1499="중복",0,N(D1499))</f>
        <v>81</v>
      </c>
      <c r="X1499" s="0" t="n">
        <f aca="false">IF(COUNTIFS($A$2:A1499,A1499,$C$2:C1499,C1499)=1,ABS(SUMIFS(RAW_발주!$D:$D,RAW_발주!$C:$C,A1499,RAW_발주!$A:$A,C1499)-SUMIFS($W:$W,$A:$A,A1499,$C:$C,C1499)),0)</f>
        <v>0</v>
      </c>
    </row>
    <row r="1500" customFormat="false" ht="15" hidden="false" customHeight="true" outlineLevel="0" collapsed="false">
      <c r="A1500" s="45" t="s">
        <v>1662</v>
      </c>
      <c r="B1500" s="42" t="str">
        <f aca="false">IF(A1500="100","HK",IF(A1500="200","CN",IF(A1500="300","TW","홀세일")))</f>
        <v>홀세일</v>
      </c>
      <c r="C1500" s="45" t="s">
        <v>1109</v>
      </c>
      <c r="D1500" s="46" t="n">
        <v>35</v>
      </c>
      <c r="E1500" s="46" t="n">
        <v>89000</v>
      </c>
      <c r="F1500" s="46" t="n">
        <v>23000</v>
      </c>
      <c r="G1500" s="42" t="n">
        <v>3.52</v>
      </c>
      <c r="H1500" s="42" t="n">
        <v>23.7</v>
      </c>
      <c r="J1500" s="46" t="n">
        <f aca="false">IF(N(E1500)&gt;0,E1500,IF(N(F1500)&gt;0,F1500*요약!$F$27,0))</f>
        <v>89000</v>
      </c>
      <c r="K1500" s="46" t="n">
        <f aca="false">IF(N(F1500)&gt;0,F1500,IF(N(E1500)&gt;0,E1500/요약!$F$27,0))</f>
        <v>23000</v>
      </c>
      <c r="L1500" s="46" t="n">
        <f aca="false">IF(B1500="CN",IF(N(I1500)&gt;0,I1500*요약!$G$27,K1500*(1+요약!$E$27)),IF(N(H1500)&gt;0,H1500*요약!$G$27,J1500*요약!$D$27))</f>
        <v>31284</v>
      </c>
      <c r="M1500" s="46" t="n">
        <f aca="false">D1500*J1500</f>
        <v>3115000</v>
      </c>
      <c r="N1500" s="46" t="n">
        <f aca="false">D1500*K1500</f>
        <v>805000</v>
      </c>
      <c r="O1500" s="46" t="n">
        <f aca="false">D1500*L1500</f>
        <v>1094940</v>
      </c>
      <c r="P1500" s="42" t="str">
        <f aca="false">TRIM(IF(N(E1500)&lt;=0,"택가보정 ","")&amp;IF(N(F1500)&lt;=0,"원가보정 ","")&amp;IF(AND(B1500&lt;&gt;"CN",N(H1500)&lt;=0),"공급가보정 ","")&amp;IF(AND(B1500="CN",N(I1500)&lt;=0),"중국공급가=원가+마진 ",""))</f>
        <v/>
      </c>
      <c r="Q1500" s="47" t="n">
        <f aca="false">IF(SUMIFS($W:$W,$A:$A,A1500,$C:$C,C1500)=0,0,SUMIFS(RAW_판매펀칭!$K:$K,RAW_판매펀칭!$P:$P,A1500,RAW_판매펀칭!$I:$I,C1500)*W1500/SUMIFS($W:$W,$A:$A,A1500,$C:$C,C1500))</f>
        <v>0</v>
      </c>
      <c r="R1500" s="47" t="n">
        <f aca="false">IF(OR(A1500="500",A1500="800",A1500="810"),0,MAX(W1500-Q1500,0))</f>
        <v>0</v>
      </c>
      <c r="S1500" s="47" t="n">
        <f aca="false">R1500*L1500</f>
        <v>0</v>
      </c>
      <c r="T1500" s="47" t="n">
        <f aca="false">R1500*J1500</f>
        <v>0</v>
      </c>
      <c r="U1500" s="47" t="n">
        <f aca="false">R1500*K1500</f>
        <v>0</v>
      </c>
      <c r="V1500" s="0" t="str">
        <f aca="false">IF(COUNTIFS($A$2:A1500,A1500,$C$2:C1500,C1500,$D$2:D1500,D1500)&gt;1,"중복","")</f>
        <v/>
      </c>
      <c r="W1500" s="0" t="n">
        <f aca="false">IF(V1500="중복",0,N(D1500))</f>
        <v>35</v>
      </c>
      <c r="X1500" s="0" t="n">
        <f aca="false">IF(COUNTIFS($A$2:A1500,A1500,$C$2:C1500,C1500)=1,ABS(SUMIFS(RAW_발주!$D:$D,RAW_발주!$C:$C,A1500,RAW_발주!$A:$A,C1500)-SUMIFS($W:$W,$A:$A,A1500,$C:$C,C1500)),0)</f>
        <v>0</v>
      </c>
    </row>
    <row r="1501" customFormat="false" ht="15" hidden="false" customHeight="true" outlineLevel="0" collapsed="false">
      <c r="A1501" s="45" t="s">
        <v>1667</v>
      </c>
      <c r="B1501" s="42" t="str">
        <f aca="false">IF(A1501="100","HK",IF(A1501="200","CN",IF(A1501="300","TW","홀세일")))</f>
        <v>홀세일</v>
      </c>
      <c r="C1501" s="45" t="s">
        <v>1109</v>
      </c>
      <c r="D1501" s="46" t="n">
        <v>81</v>
      </c>
      <c r="E1501" s="46" t="n">
        <v>89000</v>
      </c>
      <c r="F1501" s="46" t="n">
        <v>23000</v>
      </c>
      <c r="G1501" s="42" t="n">
        <v>3.52</v>
      </c>
      <c r="H1501" s="42" t="n">
        <v>23.7</v>
      </c>
      <c r="J1501" s="46" t="n">
        <f aca="false">IF(N(E1501)&gt;0,E1501,IF(N(F1501)&gt;0,F1501*요약!$F$27,0))</f>
        <v>89000</v>
      </c>
      <c r="K1501" s="46" t="n">
        <f aca="false">IF(N(F1501)&gt;0,F1501,IF(N(E1501)&gt;0,E1501/요약!$F$27,0))</f>
        <v>23000</v>
      </c>
      <c r="L1501" s="46" t="n">
        <f aca="false">IF(B1501="CN",IF(N(I1501)&gt;0,I1501*요약!$G$27,K1501*(1+요약!$E$27)),IF(N(H1501)&gt;0,H1501*요약!$G$27,J1501*요약!$D$27))</f>
        <v>31284</v>
      </c>
      <c r="M1501" s="46" t="n">
        <f aca="false">D1501*J1501</f>
        <v>7209000</v>
      </c>
      <c r="N1501" s="46" t="n">
        <f aca="false">D1501*K1501</f>
        <v>1863000</v>
      </c>
      <c r="O1501" s="46" t="n">
        <f aca="false">D1501*L1501</f>
        <v>2534004</v>
      </c>
      <c r="P1501" s="42" t="str">
        <f aca="false">TRIM(IF(N(E1501)&lt;=0,"택가보정 ","")&amp;IF(N(F1501)&lt;=0,"원가보정 ","")&amp;IF(AND(B1501&lt;&gt;"CN",N(H1501)&lt;=0),"공급가보정 ","")&amp;IF(AND(B1501="CN",N(I1501)&lt;=0),"중국공급가=원가+마진 ",""))</f>
        <v/>
      </c>
      <c r="Q1501" s="47" t="n">
        <f aca="false">IF(SUMIFS($W:$W,$A:$A,A1501,$C:$C,C1501)=0,0,SUMIFS(RAW_판매펀칭!$K:$K,RAW_판매펀칭!$P:$P,A1501,RAW_판매펀칭!$I:$I,C1501)*W1501/SUMIFS($W:$W,$A:$A,A1501,$C:$C,C1501))</f>
        <v>81</v>
      </c>
      <c r="R1501" s="47" t="n">
        <f aca="false">IF(OR(A1501="500",A1501="800",A1501="810"),0,MAX(W1501-Q1501,0))</f>
        <v>0</v>
      </c>
      <c r="S1501" s="47" t="n">
        <f aca="false">R1501*L1501</f>
        <v>0</v>
      </c>
      <c r="T1501" s="47" t="n">
        <f aca="false">R1501*J1501</f>
        <v>0</v>
      </c>
      <c r="U1501" s="47" t="n">
        <f aca="false">R1501*K1501</f>
        <v>0</v>
      </c>
      <c r="V1501" s="0" t="str">
        <f aca="false">IF(COUNTIFS($A$2:A1501,A1501,$C$2:C1501,C1501,$D$2:D1501,D1501)&gt;1,"중복","")</f>
        <v/>
      </c>
      <c r="W1501" s="0" t="n">
        <f aca="false">IF(V1501="중복",0,N(D1501))</f>
        <v>81</v>
      </c>
      <c r="X1501" s="0" t="n">
        <f aca="false">IF(COUNTIFS($A$2:A1501,A1501,$C$2:C1501,C1501)=1,ABS(SUMIFS(RAW_발주!$D:$D,RAW_발주!$C:$C,A1501,RAW_발주!$A:$A,C1501)-SUMIFS($W:$W,$A:$A,A1501,$C:$C,C1501)),0)</f>
        <v>0</v>
      </c>
    </row>
    <row r="1502" customFormat="false" ht="15" hidden="false" customHeight="true" outlineLevel="0" collapsed="false">
      <c r="A1502" s="45" t="s">
        <v>1664</v>
      </c>
      <c r="B1502" s="42" t="str">
        <f aca="false">IF(A1502="100","HK",IF(A1502="200","CN",IF(A1502="300","TW","홀세일")))</f>
        <v>홀세일</v>
      </c>
      <c r="C1502" s="45" t="s">
        <v>1109</v>
      </c>
      <c r="D1502" s="46" t="n">
        <v>10</v>
      </c>
      <c r="E1502" s="46" t="n">
        <v>89000</v>
      </c>
      <c r="F1502" s="46" t="n">
        <v>23000</v>
      </c>
      <c r="G1502" s="42" t="n">
        <v>3.52</v>
      </c>
      <c r="H1502" s="42" t="n">
        <v>23.7</v>
      </c>
      <c r="J1502" s="46" t="n">
        <f aca="false">IF(N(E1502)&gt;0,E1502,IF(N(F1502)&gt;0,F1502*요약!$F$27,0))</f>
        <v>89000</v>
      </c>
      <c r="K1502" s="46" t="n">
        <f aca="false">IF(N(F1502)&gt;0,F1502,IF(N(E1502)&gt;0,E1502/요약!$F$27,0))</f>
        <v>23000</v>
      </c>
      <c r="L1502" s="46" t="n">
        <f aca="false">IF(B1502="CN",IF(N(I1502)&gt;0,I1502*요약!$G$27,K1502*(1+요약!$E$27)),IF(N(H1502)&gt;0,H1502*요약!$G$27,J1502*요약!$D$27))</f>
        <v>31284</v>
      </c>
      <c r="M1502" s="46" t="n">
        <f aca="false">D1502*J1502</f>
        <v>890000</v>
      </c>
      <c r="N1502" s="46" t="n">
        <f aca="false">D1502*K1502</f>
        <v>230000</v>
      </c>
      <c r="O1502" s="46" t="n">
        <f aca="false">D1502*L1502</f>
        <v>312840</v>
      </c>
      <c r="P1502" s="42" t="str">
        <f aca="false">TRIM(IF(N(E1502)&lt;=0,"택가보정 ","")&amp;IF(N(F1502)&lt;=0,"원가보정 ","")&amp;IF(AND(B1502&lt;&gt;"CN",N(H1502)&lt;=0),"공급가보정 ","")&amp;IF(AND(B1502="CN",N(I1502)&lt;=0),"중국공급가=원가+마진 ",""))</f>
        <v/>
      </c>
      <c r="Q1502" s="47" t="n">
        <f aca="false">IF(SUMIFS($W:$W,$A:$A,A1502,$C:$C,C1502)=0,0,SUMIFS(RAW_판매펀칭!$K:$K,RAW_판매펀칭!$P:$P,A1502,RAW_판매펀칭!$I:$I,C1502)*W1502/SUMIFS($W:$W,$A:$A,A1502,$C:$C,C1502))</f>
        <v>10</v>
      </c>
      <c r="R1502" s="47" t="n">
        <f aca="false">IF(OR(A1502="500",A1502="800",A1502="810"),0,MAX(W1502-Q1502,0))</f>
        <v>0</v>
      </c>
      <c r="S1502" s="47" t="n">
        <f aca="false">R1502*L1502</f>
        <v>0</v>
      </c>
      <c r="T1502" s="47" t="n">
        <f aca="false">R1502*J1502</f>
        <v>0</v>
      </c>
      <c r="U1502" s="47" t="n">
        <f aca="false">R1502*K1502</f>
        <v>0</v>
      </c>
      <c r="V1502" s="0" t="str">
        <f aca="false">IF(COUNTIFS($A$2:A1502,A1502,$C$2:C1502,C1502,$D$2:D1502,D1502)&gt;1,"중복","")</f>
        <v/>
      </c>
      <c r="W1502" s="0" t="n">
        <f aca="false">IF(V1502="중복",0,N(D1502))</f>
        <v>10</v>
      </c>
      <c r="X1502" s="0" t="n">
        <f aca="false">IF(COUNTIFS($A$2:A1502,A1502,$C$2:C1502,C1502)=1,ABS(SUMIFS(RAW_발주!$D:$D,RAW_발주!$C:$C,A1502,RAW_발주!$A:$A,C1502)-SUMIFS($W:$W,$A:$A,A1502,$C:$C,C1502)),0)</f>
        <v>0</v>
      </c>
    </row>
    <row r="1503" customFormat="false" ht="15" hidden="false" customHeight="true" outlineLevel="0" collapsed="false">
      <c r="A1503" s="45" t="s">
        <v>1664</v>
      </c>
      <c r="B1503" s="42" t="str">
        <f aca="false">IF(A1503="100","HK",IF(A1503="200","CN",IF(A1503="300","TW","홀세일")))</f>
        <v>홀세일</v>
      </c>
      <c r="C1503" s="45" t="s">
        <v>1109</v>
      </c>
      <c r="D1503" s="46" t="n">
        <v>10</v>
      </c>
      <c r="E1503" s="46" t="n">
        <v>89000</v>
      </c>
      <c r="F1503" s="46" t="n">
        <v>23000</v>
      </c>
      <c r="G1503" s="42" t="n">
        <v>3.52</v>
      </c>
      <c r="H1503" s="42" t="n">
        <v>23.7</v>
      </c>
      <c r="J1503" s="46" t="n">
        <f aca="false">IF(N(E1503)&gt;0,E1503,IF(N(F1503)&gt;0,F1503*요약!$F$27,0))</f>
        <v>89000</v>
      </c>
      <c r="K1503" s="46" t="n">
        <f aca="false">IF(N(F1503)&gt;0,F1503,IF(N(E1503)&gt;0,E1503/요약!$F$27,0))</f>
        <v>23000</v>
      </c>
      <c r="L1503" s="46" t="n">
        <f aca="false">IF(B1503="CN",IF(N(I1503)&gt;0,I1503*요약!$G$27,K1503*(1+요약!$E$27)),IF(N(H1503)&gt;0,H1503*요약!$G$27,J1503*요약!$D$27))</f>
        <v>31284</v>
      </c>
      <c r="M1503" s="46" t="n">
        <f aca="false">D1503*J1503</f>
        <v>890000</v>
      </c>
      <c r="N1503" s="46" t="n">
        <f aca="false">D1503*K1503</f>
        <v>230000</v>
      </c>
      <c r="O1503" s="46" t="n">
        <f aca="false">D1503*L1503</f>
        <v>312840</v>
      </c>
      <c r="P1503" s="42" t="str">
        <f aca="false">TRIM(IF(N(E1503)&lt;=0,"택가보정 ","")&amp;IF(N(F1503)&lt;=0,"원가보정 ","")&amp;IF(AND(B1503&lt;&gt;"CN",N(H1503)&lt;=0),"공급가보정 ","")&amp;IF(AND(B1503="CN",N(I1503)&lt;=0),"중국공급가=원가+마진 ",""))</f>
        <v/>
      </c>
      <c r="Q1503" s="47" t="n">
        <f aca="false">IF(SUMIFS($W:$W,$A:$A,A1503,$C:$C,C1503)=0,0,SUMIFS(RAW_판매펀칭!$K:$K,RAW_판매펀칭!$P:$P,A1503,RAW_판매펀칭!$I:$I,C1503)*W1503/SUMIFS($W:$W,$A:$A,A1503,$C:$C,C1503))</f>
        <v>0</v>
      </c>
      <c r="R1503" s="47" t="n">
        <f aca="false">IF(OR(A1503="500",A1503="800",A1503="810"),0,MAX(W1503-Q1503,0))</f>
        <v>0</v>
      </c>
      <c r="S1503" s="47" t="n">
        <f aca="false">R1503*L1503</f>
        <v>0</v>
      </c>
      <c r="T1503" s="47" t="n">
        <f aca="false">R1503*J1503</f>
        <v>0</v>
      </c>
      <c r="U1503" s="47" t="n">
        <f aca="false">R1503*K1503</f>
        <v>0</v>
      </c>
      <c r="V1503" s="0" t="str">
        <f aca="false">IF(COUNTIFS($A$2:A1503,A1503,$C$2:C1503,C1503,$D$2:D1503,D1503)&gt;1,"중복","")</f>
        <v>중복</v>
      </c>
      <c r="W1503" s="0" t="n">
        <f aca="false">IF(V1503="중복",0,N(D1503))</f>
        <v>0</v>
      </c>
      <c r="X1503" s="0" t="n">
        <f aca="false">IF(COUNTIFS($A$2:A1503,A1503,$C$2:C1503,C1503)=1,ABS(SUMIFS(RAW_발주!$D:$D,RAW_발주!$C:$C,A1503,RAW_발주!$A:$A,C1503)-SUMIFS($W:$W,$A:$A,A1503,$C:$C,C1503)),0)</f>
        <v>0</v>
      </c>
    </row>
    <row r="1504" customFormat="false" ht="15" hidden="false" customHeight="true" outlineLevel="0" collapsed="false">
      <c r="A1504" s="45" t="s">
        <v>1665</v>
      </c>
      <c r="B1504" s="42" t="str">
        <f aca="false">IF(A1504="100","HK",IF(A1504="200","CN",IF(A1504="300","TW","홀세일")))</f>
        <v>홀세일</v>
      </c>
      <c r="C1504" s="45" t="s">
        <v>1109</v>
      </c>
      <c r="D1504" s="46" t="n">
        <v>96</v>
      </c>
      <c r="E1504" s="46" t="n">
        <v>89000</v>
      </c>
      <c r="F1504" s="46" t="n">
        <v>23000</v>
      </c>
      <c r="G1504" s="42" t="n">
        <v>3.52</v>
      </c>
      <c r="H1504" s="42" t="n">
        <v>23.7</v>
      </c>
      <c r="J1504" s="46" t="n">
        <f aca="false">IF(N(E1504)&gt;0,E1504,IF(N(F1504)&gt;0,F1504*요약!$F$27,0))</f>
        <v>89000</v>
      </c>
      <c r="K1504" s="46" t="n">
        <f aca="false">IF(N(F1504)&gt;0,F1504,IF(N(E1504)&gt;0,E1504/요약!$F$27,0))</f>
        <v>23000</v>
      </c>
      <c r="L1504" s="46" t="n">
        <f aca="false">IF(B1504="CN",IF(N(I1504)&gt;0,I1504*요약!$G$27,K1504*(1+요약!$E$27)),IF(N(H1504)&gt;0,H1504*요약!$G$27,J1504*요약!$D$27))</f>
        <v>31284</v>
      </c>
      <c r="M1504" s="46" t="n">
        <f aca="false">D1504*J1504</f>
        <v>8544000</v>
      </c>
      <c r="N1504" s="46" t="n">
        <f aca="false">D1504*K1504</f>
        <v>2208000</v>
      </c>
      <c r="O1504" s="46" t="n">
        <f aca="false">D1504*L1504</f>
        <v>3003264</v>
      </c>
      <c r="P1504" s="42" t="str">
        <f aca="false">TRIM(IF(N(E1504)&lt;=0,"택가보정 ","")&amp;IF(N(F1504)&lt;=0,"원가보정 ","")&amp;IF(AND(B1504&lt;&gt;"CN",N(H1504)&lt;=0),"공급가보정 ","")&amp;IF(AND(B1504="CN",N(I1504)&lt;=0),"중국공급가=원가+마진 ",""))</f>
        <v/>
      </c>
      <c r="Q1504" s="47" t="n">
        <f aca="false">IF(SUMIFS($W:$W,$A:$A,A1504,$C:$C,C1504)=0,0,SUMIFS(RAW_판매펀칭!$K:$K,RAW_판매펀칭!$P:$P,A1504,RAW_판매펀칭!$I:$I,C1504)*W1504/SUMIFS($W:$W,$A:$A,A1504,$C:$C,C1504))</f>
        <v>0</v>
      </c>
      <c r="R1504" s="47" t="n">
        <f aca="false">IF(OR(A1504="500",A1504="800",A1504="810"),0,MAX(W1504-Q1504,0))</f>
        <v>0</v>
      </c>
      <c r="S1504" s="47" t="n">
        <f aca="false">R1504*L1504</f>
        <v>0</v>
      </c>
      <c r="T1504" s="47" t="n">
        <f aca="false">R1504*J1504</f>
        <v>0</v>
      </c>
      <c r="U1504" s="47" t="n">
        <f aca="false">R1504*K1504</f>
        <v>0</v>
      </c>
      <c r="V1504" s="0" t="str">
        <f aca="false">IF(COUNTIFS($A$2:A1504,A1504,$C$2:C1504,C1504,$D$2:D1504,D1504)&gt;1,"중복","")</f>
        <v/>
      </c>
      <c r="W1504" s="0" t="n">
        <f aca="false">IF(V1504="중복",0,N(D1504))</f>
        <v>96</v>
      </c>
      <c r="X1504" s="0" t="n">
        <f aca="false">IF(COUNTIFS($A$2:A1504,A1504,$C$2:C1504,C1504)=1,ABS(SUMIFS(RAW_발주!$D:$D,RAW_발주!$C:$C,A1504,RAW_발주!$A:$A,C1504)-SUMIFS($W:$W,$A:$A,A1504,$C:$C,C1504)),0)</f>
        <v>0</v>
      </c>
    </row>
    <row r="1505" customFormat="false" ht="15" hidden="false" customHeight="true" outlineLevel="0" collapsed="false">
      <c r="A1505" s="45" t="s">
        <v>1662</v>
      </c>
      <c r="B1505" s="42" t="str">
        <f aca="false">IF(A1505="100","HK",IF(A1505="200","CN",IF(A1505="300","TW","홀세일")))</f>
        <v>홀세일</v>
      </c>
      <c r="C1505" s="45" t="s">
        <v>1366</v>
      </c>
      <c r="D1505" s="46" t="n">
        <v>20</v>
      </c>
      <c r="E1505" s="46" t="n">
        <v>59000</v>
      </c>
      <c r="F1505" s="46" t="n">
        <v>14400</v>
      </c>
      <c r="G1505" s="42" t="n">
        <v>3.48</v>
      </c>
      <c r="H1505" s="42" t="n">
        <v>15.7</v>
      </c>
      <c r="J1505" s="46" t="n">
        <f aca="false">IF(N(E1505)&gt;0,E1505,IF(N(F1505)&gt;0,F1505*요약!$F$27,0))</f>
        <v>59000</v>
      </c>
      <c r="K1505" s="46" t="n">
        <f aca="false">IF(N(F1505)&gt;0,F1505,IF(N(E1505)&gt;0,E1505/요약!$F$27,0))</f>
        <v>14400</v>
      </c>
      <c r="L1505" s="46" t="n">
        <f aca="false">IF(B1505="CN",IF(N(I1505)&gt;0,I1505*요약!$G$27,K1505*(1+요약!$E$27)),IF(N(H1505)&gt;0,H1505*요약!$G$27,J1505*요약!$D$27))</f>
        <v>20724</v>
      </c>
      <c r="M1505" s="46" t="n">
        <f aca="false">D1505*J1505</f>
        <v>1180000</v>
      </c>
      <c r="N1505" s="46" t="n">
        <f aca="false">D1505*K1505</f>
        <v>288000</v>
      </c>
      <c r="O1505" s="46" t="n">
        <f aca="false">D1505*L1505</f>
        <v>414480</v>
      </c>
      <c r="P1505" s="42" t="str">
        <f aca="false">TRIM(IF(N(E1505)&lt;=0,"택가보정 ","")&amp;IF(N(F1505)&lt;=0,"원가보정 ","")&amp;IF(AND(B1505&lt;&gt;"CN",N(H1505)&lt;=0),"공급가보정 ","")&amp;IF(AND(B1505="CN",N(I1505)&lt;=0),"중국공급가=원가+마진 ",""))</f>
        <v/>
      </c>
      <c r="Q1505" s="47" t="n">
        <f aca="false">IF(SUMIFS($W:$W,$A:$A,A1505,$C:$C,C1505)=0,0,SUMIFS(RAW_판매펀칭!$K:$K,RAW_판매펀칭!$P:$P,A1505,RAW_판매펀칭!$I:$I,C1505)*W1505/SUMIFS($W:$W,$A:$A,A1505,$C:$C,C1505))</f>
        <v>0</v>
      </c>
      <c r="R1505" s="47" t="n">
        <f aca="false">IF(OR(A1505="500",A1505="800",A1505="810"),0,MAX(W1505-Q1505,0))</f>
        <v>0</v>
      </c>
      <c r="S1505" s="47" t="n">
        <f aca="false">R1505*L1505</f>
        <v>0</v>
      </c>
      <c r="T1505" s="47" t="n">
        <f aca="false">R1505*J1505</f>
        <v>0</v>
      </c>
      <c r="U1505" s="47" t="n">
        <f aca="false">R1505*K1505</f>
        <v>0</v>
      </c>
      <c r="V1505" s="0" t="str">
        <f aca="false">IF(COUNTIFS($A$2:A1505,A1505,$C$2:C1505,C1505,$D$2:D1505,D1505)&gt;1,"중복","")</f>
        <v/>
      </c>
      <c r="W1505" s="0" t="n">
        <f aca="false">IF(V1505="중복",0,N(D1505))</f>
        <v>20</v>
      </c>
      <c r="X1505" s="0" t="n">
        <f aca="false">IF(COUNTIFS($A$2:A1505,A1505,$C$2:C1505,C1505)=1,ABS(SUMIFS(RAW_발주!$D:$D,RAW_발주!$C:$C,A1505,RAW_발주!$A:$A,C1505)-SUMIFS($W:$W,$A:$A,A1505,$C:$C,C1505)),0)</f>
        <v>0</v>
      </c>
    </row>
    <row r="1506" customFormat="false" ht="15" hidden="false" customHeight="true" outlineLevel="0" collapsed="false">
      <c r="A1506" s="45" t="s">
        <v>1663</v>
      </c>
      <c r="B1506" s="42" t="str">
        <f aca="false">IF(A1506="100","HK",IF(A1506="200","CN",IF(A1506="300","TW","홀세일")))</f>
        <v>홀세일</v>
      </c>
      <c r="C1506" s="45" t="s">
        <v>1366</v>
      </c>
      <c r="D1506" s="46" t="n">
        <v>20</v>
      </c>
      <c r="E1506" s="46" t="n">
        <v>59000</v>
      </c>
      <c r="F1506" s="46" t="n">
        <v>14400</v>
      </c>
      <c r="G1506" s="42" t="n">
        <v>3.48</v>
      </c>
      <c r="H1506" s="42" t="n">
        <v>15.7</v>
      </c>
      <c r="J1506" s="46" t="n">
        <f aca="false">IF(N(E1506)&gt;0,E1506,IF(N(F1506)&gt;0,F1506*요약!$F$27,0))</f>
        <v>59000</v>
      </c>
      <c r="K1506" s="46" t="n">
        <f aca="false">IF(N(F1506)&gt;0,F1506,IF(N(E1506)&gt;0,E1506/요약!$F$27,0))</f>
        <v>14400</v>
      </c>
      <c r="L1506" s="46" t="n">
        <f aca="false">IF(B1506="CN",IF(N(I1506)&gt;0,I1506*요약!$G$27,K1506*(1+요약!$E$27)),IF(N(H1506)&gt;0,H1506*요약!$G$27,J1506*요약!$D$27))</f>
        <v>20724</v>
      </c>
      <c r="M1506" s="46" t="n">
        <f aca="false">D1506*J1506</f>
        <v>1180000</v>
      </c>
      <c r="N1506" s="46" t="n">
        <f aca="false">D1506*K1506</f>
        <v>288000</v>
      </c>
      <c r="O1506" s="46" t="n">
        <f aca="false">D1506*L1506</f>
        <v>414480</v>
      </c>
      <c r="P1506" s="42" t="str">
        <f aca="false">TRIM(IF(N(E1506)&lt;=0,"택가보정 ","")&amp;IF(N(F1506)&lt;=0,"원가보정 ","")&amp;IF(AND(B1506&lt;&gt;"CN",N(H1506)&lt;=0),"공급가보정 ","")&amp;IF(AND(B1506="CN",N(I1506)&lt;=0),"중국공급가=원가+마진 ",""))</f>
        <v/>
      </c>
      <c r="Q1506" s="47" t="n">
        <f aca="false">IF(SUMIFS($W:$W,$A:$A,A1506,$C:$C,C1506)=0,0,SUMIFS(RAW_판매펀칭!$K:$K,RAW_판매펀칭!$P:$P,A1506,RAW_판매펀칭!$I:$I,C1506)*W1506/SUMIFS($W:$W,$A:$A,A1506,$C:$C,C1506))</f>
        <v>20</v>
      </c>
      <c r="R1506" s="47" t="n">
        <f aca="false">IF(OR(A1506="500",A1506="800",A1506="810"),0,MAX(W1506-Q1506,0))</f>
        <v>0</v>
      </c>
      <c r="S1506" s="47" t="n">
        <f aca="false">R1506*L1506</f>
        <v>0</v>
      </c>
      <c r="T1506" s="47" t="n">
        <f aca="false">R1506*J1506</f>
        <v>0</v>
      </c>
      <c r="U1506" s="47" t="n">
        <f aca="false">R1506*K1506</f>
        <v>0</v>
      </c>
      <c r="V1506" s="0" t="str">
        <f aca="false">IF(COUNTIFS($A$2:A1506,A1506,$C$2:C1506,C1506,$D$2:D1506,D1506)&gt;1,"중복","")</f>
        <v/>
      </c>
      <c r="W1506" s="0" t="n">
        <f aca="false">IF(V1506="중복",0,N(D1506))</f>
        <v>20</v>
      </c>
      <c r="X1506" s="0" t="n">
        <f aca="false">IF(COUNTIFS($A$2:A1506,A1506,$C$2:C1506,C1506)=1,ABS(SUMIFS(RAW_발주!$D:$D,RAW_발주!$C:$C,A1506,RAW_발주!$A:$A,C1506)-SUMIFS($W:$W,$A:$A,A1506,$C:$C,C1506)),0)</f>
        <v>0</v>
      </c>
    </row>
    <row r="1507" customFormat="false" ht="15.75" hidden="false" customHeight="true" outlineLevel="0" collapsed="false">
      <c r="A1507" s="45" t="s">
        <v>1660</v>
      </c>
      <c r="B1507" s="42" t="str">
        <f aca="false">IF(A1507="100","HK",IF(A1507="200","CN",IF(A1507="300","TW","홀세일")))</f>
        <v>CN</v>
      </c>
      <c r="C1507" s="45" t="s">
        <v>633</v>
      </c>
      <c r="D1507" s="46" t="n">
        <v>162</v>
      </c>
      <c r="E1507" s="46" t="n">
        <v>79000</v>
      </c>
      <c r="F1507" s="46" t="n">
        <v>19947</v>
      </c>
      <c r="G1507" s="42" t="n">
        <v>3.48</v>
      </c>
      <c r="H1507" s="42" t="n">
        <v>21</v>
      </c>
      <c r="J1507" s="46" t="n">
        <f aca="false">IF(N(E1507)&gt;0,E1507,IF(N(F1507)&gt;0,F1507*요약!$F$27,0))</f>
        <v>79000</v>
      </c>
      <c r="K1507" s="46" t="n">
        <f aca="false">IF(N(F1507)&gt;0,F1507,IF(N(E1507)&gt;0,E1507/요약!$F$27,0))</f>
        <v>19947</v>
      </c>
      <c r="L1507" s="46" t="n">
        <f aca="false">IF(B1507="CN",IF(N(I1507)&gt;0,I1507*요약!$G$27,K1507*(1+요약!$E$27)),IF(N(H1507)&gt;0,H1507*요약!$G$27,J1507*요약!$D$27))</f>
        <v>20944.35</v>
      </c>
      <c r="M1507" s="46" t="n">
        <f aca="false">D1507*J1507</f>
        <v>12798000</v>
      </c>
      <c r="N1507" s="46" t="n">
        <f aca="false">D1507*K1507</f>
        <v>3231414</v>
      </c>
      <c r="O1507" s="46" t="n">
        <f aca="false">D1507*L1507</f>
        <v>3392984.7</v>
      </c>
      <c r="P1507" s="42" t="str">
        <f aca="false">TRIM(IF(N(E1507)&lt;=0,"택가보정 ","")&amp;IF(N(F1507)&lt;=0,"원가보정 ","")&amp;IF(AND(B1507&lt;&gt;"CN",N(H1507)&lt;=0),"공급가보정 ","")&amp;IF(AND(B1507="CN",N(I1507)&lt;=0),"중국공급가=원가+마진 ",""))</f>
        <v>중국공급가=원가+마진</v>
      </c>
      <c r="Q1507" s="47" t="n">
        <f aca="false">IF(SUMIFS($W:$W,$A:$A,A1507,$C:$C,C1507)=0,0,SUMIFS(RAW_판매펀칭!$K:$K,RAW_판매펀칭!$P:$P,A1507,RAW_판매펀칭!$I:$I,C1507)*W1507/SUMIFS($W:$W,$A:$A,A1507,$C:$C,C1507))</f>
        <v>160</v>
      </c>
      <c r="R1507" s="47" t="n">
        <f aca="false">IF(OR(A1507="500",A1507="800",A1507="810"),0,MAX(W1507-Q1507,0))</f>
        <v>2</v>
      </c>
      <c r="S1507" s="47" t="n">
        <f aca="false">R1507*L1507</f>
        <v>41888.7</v>
      </c>
      <c r="T1507" s="47" t="n">
        <f aca="false">R1507*J1507</f>
        <v>158000</v>
      </c>
      <c r="U1507" s="47" t="n">
        <f aca="false">R1507*K1507</f>
        <v>39894</v>
      </c>
      <c r="V1507" s="0" t="str">
        <f aca="false">IF(COUNTIFS($A$2:A1507,A1507,$C$2:C1507,C1507,$D$2:D1507,D1507)&gt;1,"중복","")</f>
        <v/>
      </c>
      <c r="W1507" s="0" t="n">
        <f aca="false">IF(V1507="중복",0,N(D1507))</f>
        <v>162</v>
      </c>
      <c r="X1507" s="0" t="n">
        <f aca="false">IF(COUNTIFS($A$2:A1507,A1507,$C$2:C1507,C1507)=1,ABS(SUMIFS(RAW_발주!$D:$D,RAW_발주!$C:$C,A1507,RAW_발주!$A:$A,C1507)-SUMIFS($W:$W,$A:$A,A1507,$C:$C,C1507)),0)</f>
        <v>0</v>
      </c>
    </row>
    <row r="1508" customFormat="false" ht="15" hidden="false" customHeight="true" outlineLevel="0" collapsed="false">
      <c r="A1508" s="45" t="s">
        <v>1661</v>
      </c>
      <c r="B1508" s="42" t="str">
        <f aca="false">IF(A1508="100","HK",IF(A1508="200","CN",IF(A1508="300","TW","홀세일")))</f>
        <v>TW</v>
      </c>
      <c r="C1508" s="45" t="s">
        <v>633</v>
      </c>
      <c r="D1508" s="46" t="n">
        <v>400</v>
      </c>
      <c r="E1508" s="46" t="n">
        <v>79000</v>
      </c>
      <c r="F1508" s="46" t="n">
        <v>19947</v>
      </c>
      <c r="G1508" s="42" t="n">
        <v>3.48</v>
      </c>
      <c r="H1508" s="42" t="n">
        <v>21</v>
      </c>
      <c r="J1508" s="46" t="n">
        <f aca="false">IF(N(E1508)&gt;0,E1508,IF(N(F1508)&gt;0,F1508*요약!$F$27,0))</f>
        <v>79000</v>
      </c>
      <c r="K1508" s="46" t="n">
        <f aca="false">IF(N(F1508)&gt;0,F1508,IF(N(E1508)&gt;0,E1508/요약!$F$27,0))</f>
        <v>19947</v>
      </c>
      <c r="L1508" s="46" t="n">
        <f aca="false">IF(B1508="CN",IF(N(I1508)&gt;0,I1508*요약!$G$27,K1508*(1+요약!$E$27)),IF(N(H1508)&gt;0,H1508*요약!$G$27,J1508*요약!$D$27))</f>
        <v>27720</v>
      </c>
      <c r="M1508" s="46" t="n">
        <f aca="false">D1508*J1508</f>
        <v>31600000</v>
      </c>
      <c r="N1508" s="46" t="n">
        <f aca="false">D1508*K1508</f>
        <v>7978800</v>
      </c>
      <c r="O1508" s="46" t="n">
        <f aca="false">D1508*L1508</f>
        <v>11088000</v>
      </c>
      <c r="P1508" s="42" t="str">
        <f aca="false">TRIM(IF(N(E1508)&lt;=0,"택가보정 ","")&amp;IF(N(F1508)&lt;=0,"원가보정 ","")&amp;IF(AND(B1508&lt;&gt;"CN",N(H1508)&lt;=0),"공급가보정 ","")&amp;IF(AND(B1508="CN",N(I1508)&lt;=0),"중국공급가=원가+마진 ",""))</f>
        <v/>
      </c>
      <c r="Q1508" s="47" t="n">
        <f aca="false">IF(SUMIFS($W:$W,$A:$A,A1508,$C:$C,C1508)=0,0,SUMIFS(RAW_판매펀칭!$K:$K,RAW_판매펀칭!$P:$P,A1508,RAW_판매펀칭!$I:$I,C1508)*W1508/SUMIFS($W:$W,$A:$A,A1508,$C:$C,C1508))</f>
        <v>400</v>
      </c>
      <c r="R1508" s="47" t="n">
        <f aca="false">IF(OR(A1508="500",A1508="800",A1508="810"),0,MAX(W1508-Q1508,0))</f>
        <v>0</v>
      </c>
      <c r="S1508" s="47" t="n">
        <f aca="false">R1508*L1508</f>
        <v>0</v>
      </c>
      <c r="T1508" s="47" t="n">
        <f aca="false">R1508*J1508</f>
        <v>0</v>
      </c>
      <c r="U1508" s="47" t="n">
        <f aca="false">R1508*K1508</f>
        <v>0</v>
      </c>
      <c r="V1508" s="0" t="str">
        <f aca="false">IF(COUNTIFS($A$2:A1508,A1508,$C$2:C1508,C1508,$D$2:D1508,D1508)&gt;1,"중복","")</f>
        <v/>
      </c>
      <c r="W1508" s="0" t="n">
        <f aca="false">IF(V1508="중복",0,N(D1508))</f>
        <v>400</v>
      </c>
      <c r="X1508" s="0" t="n">
        <f aca="false">IF(COUNTIFS($A$2:A1508,A1508,$C$2:C1508,C1508)=1,ABS(SUMIFS(RAW_발주!$D:$D,RAW_발주!$C:$C,A1508,RAW_발주!$A:$A,C1508)-SUMIFS($W:$W,$A:$A,A1508,$C:$C,C1508)),0)</f>
        <v>0</v>
      </c>
    </row>
    <row r="1509" customFormat="false" ht="15" hidden="false" customHeight="true" outlineLevel="0" collapsed="false">
      <c r="A1509" s="45" t="s">
        <v>1662</v>
      </c>
      <c r="B1509" s="42" t="str">
        <f aca="false">IF(A1509="100","HK",IF(A1509="200","CN",IF(A1509="300","TW","홀세일")))</f>
        <v>홀세일</v>
      </c>
      <c r="C1509" s="45" t="s">
        <v>633</v>
      </c>
      <c r="D1509" s="46" t="n">
        <v>15</v>
      </c>
      <c r="E1509" s="46" t="n">
        <v>79000</v>
      </c>
      <c r="F1509" s="46" t="n">
        <v>19947</v>
      </c>
      <c r="G1509" s="42" t="n">
        <v>3.48</v>
      </c>
      <c r="H1509" s="42" t="n">
        <v>21</v>
      </c>
      <c r="J1509" s="46" t="n">
        <f aca="false">IF(N(E1509)&gt;0,E1509,IF(N(F1509)&gt;0,F1509*요약!$F$27,0))</f>
        <v>79000</v>
      </c>
      <c r="K1509" s="46" t="n">
        <f aca="false">IF(N(F1509)&gt;0,F1509,IF(N(E1509)&gt;0,E1509/요약!$F$27,0))</f>
        <v>19947</v>
      </c>
      <c r="L1509" s="46" t="n">
        <f aca="false">IF(B1509="CN",IF(N(I1509)&gt;0,I1509*요약!$G$27,K1509*(1+요약!$E$27)),IF(N(H1509)&gt;0,H1509*요약!$G$27,J1509*요약!$D$27))</f>
        <v>27720</v>
      </c>
      <c r="M1509" s="46" t="n">
        <f aca="false">D1509*J1509</f>
        <v>1185000</v>
      </c>
      <c r="N1509" s="46" t="n">
        <f aca="false">D1509*K1509</f>
        <v>299205</v>
      </c>
      <c r="O1509" s="46" t="n">
        <f aca="false">D1509*L1509</f>
        <v>415800</v>
      </c>
      <c r="P1509" s="42" t="str">
        <f aca="false">TRIM(IF(N(E1509)&lt;=0,"택가보정 ","")&amp;IF(N(F1509)&lt;=0,"원가보정 ","")&amp;IF(AND(B1509&lt;&gt;"CN",N(H1509)&lt;=0),"공급가보정 ","")&amp;IF(AND(B1509="CN",N(I1509)&lt;=0),"중국공급가=원가+마진 ",""))</f>
        <v/>
      </c>
      <c r="Q1509" s="47" t="n">
        <f aca="false">IF(SUMIFS($W:$W,$A:$A,A1509,$C:$C,C1509)=0,0,SUMIFS(RAW_판매펀칭!$K:$K,RAW_판매펀칭!$P:$P,A1509,RAW_판매펀칭!$I:$I,C1509)*W1509/SUMIFS($W:$W,$A:$A,A1509,$C:$C,C1509))</f>
        <v>0</v>
      </c>
      <c r="R1509" s="47" t="n">
        <f aca="false">IF(OR(A1509="500",A1509="800",A1509="810"),0,MAX(W1509-Q1509,0))</f>
        <v>0</v>
      </c>
      <c r="S1509" s="47" t="n">
        <f aca="false">R1509*L1509</f>
        <v>0</v>
      </c>
      <c r="T1509" s="47" t="n">
        <f aca="false">R1509*J1509</f>
        <v>0</v>
      </c>
      <c r="U1509" s="47" t="n">
        <f aca="false">R1509*K1509</f>
        <v>0</v>
      </c>
      <c r="V1509" s="0" t="str">
        <f aca="false">IF(COUNTIFS($A$2:A1509,A1509,$C$2:C1509,C1509,$D$2:D1509,D1509)&gt;1,"중복","")</f>
        <v/>
      </c>
      <c r="W1509" s="0" t="n">
        <f aca="false">IF(V1509="중복",0,N(D1509))</f>
        <v>15</v>
      </c>
      <c r="X1509" s="0" t="n">
        <f aca="false">IF(COUNTIFS($A$2:A1509,A1509,$C$2:C1509,C1509)=1,ABS(SUMIFS(RAW_발주!$D:$D,RAW_발주!$C:$C,A1509,RAW_발주!$A:$A,C1509)-SUMIFS($W:$W,$A:$A,A1509,$C:$C,C1509)),0)</f>
        <v>0</v>
      </c>
    </row>
    <row r="1510" customFormat="false" ht="15" hidden="false" customHeight="true" outlineLevel="0" collapsed="false">
      <c r="A1510" s="45" t="s">
        <v>1663</v>
      </c>
      <c r="B1510" s="42" t="str">
        <f aca="false">IF(A1510="100","HK",IF(A1510="200","CN",IF(A1510="300","TW","홀세일")))</f>
        <v>홀세일</v>
      </c>
      <c r="C1510" s="45" t="s">
        <v>633</v>
      </c>
      <c r="D1510" s="46" t="n">
        <v>20</v>
      </c>
      <c r="E1510" s="46" t="n">
        <v>79000</v>
      </c>
      <c r="F1510" s="46" t="n">
        <v>19947</v>
      </c>
      <c r="G1510" s="42" t="n">
        <v>3.48</v>
      </c>
      <c r="H1510" s="42" t="n">
        <v>21</v>
      </c>
      <c r="J1510" s="46" t="n">
        <f aca="false">IF(N(E1510)&gt;0,E1510,IF(N(F1510)&gt;0,F1510*요약!$F$27,0))</f>
        <v>79000</v>
      </c>
      <c r="K1510" s="46" t="n">
        <f aca="false">IF(N(F1510)&gt;0,F1510,IF(N(E1510)&gt;0,E1510/요약!$F$27,0))</f>
        <v>19947</v>
      </c>
      <c r="L1510" s="46" t="n">
        <f aca="false">IF(B1510="CN",IF(N(I1510)&gt;0,I1510*요약!$G$27,K1510*(1+요약!$E$27)),IF(N(H1510)&gt;0,H1510*요약!$G$27,J1510*요약!$D$27))</f>
        <v>27720</v>
      </c>
      <c r="M1510" s="46" t="n">
        <f aca="false">D1510*J1510</f>
        <v>1580000</v>
      </c>
      <c r="N1510" s="46" t="n">
        <f aca="false">D1510*K1510</f>
        <v>398940</v>
      </c>
      <c r="O1510" s="46" t="n">
        <f aca="false">D1510*L1510</f>
        <v>554400</v>
      </c>
      <c r="P1510" s="42" t="str">
        <f aca="false">TRIM(IF(N(E1510)&lt;=0,"택가보정 ","")&amp;IF(N(F1510)&lt;=0,"원가보정 ","")&amp;IF(AND(B1510&lt;&gt;"CN",N(H1510)&lt;=0),"공급가보정 ","")&amp;IF(AND(B1510="CN",N(I1510)&lt;=0),"중국공급가=원가+마진 ",""))</f>
        <v/>
      </c>
      <c r="Q1510" s="47" t="n">
        <f aca="false">IF(SUMIFS($W:$W,$A:$A,A1510,$C:$C,C1510)=0,0,SUMIFS(RAW_판매펀칭!$K:$K,RAW_판매펀칭!$P:$P,A1510,RAW_판매펀칭!$I:$I,C1510)*W1510/SUMIFS($W:$W,$A:$A,A1510,$C:$C,C1510))</f>
        <v>20</v>
      </c>
      <c r="R1510" s="47" t="n">
        <f aca="false">IF(OR(A1510="500",A1510="800",A1510="810"),0,MAX(W1510-Q1510,0))</f>
        <v>0</v>
      </c>
      <c r="S1510" s="47" t="n">
        <f aca="false">R1510*L1510</f>
        <v>0</v>
      </c>
      <c r="T1510" s="47" t="n">
        <f aca="false">R1510*J1510</f>
        <v>0</v>
      </c>
      <c r="U1510" s="47" t="n">
        <f aca="false">R1510*K1510</f>
        <v>0</v>
      </c>
      <c r="V1510" s="0" t="str">
        <f aca="false">IF(COUNTIFS($A$2:A1510,A1510,$C$2:C1510,C1510,$D$2:D1510,D1510)&gt;1,"중복","")</f>
        <v/>
      </c>
      <c r="W1510" s="0" t="n">
        <f aca="false">IF(V1510="중복",0,N(D1510))</f>
        <v>20</v>
      </c>
      <c r="X1510" s="0" t="n">
        <f aca="false">IF(COUNTIFS($A$2:A1510,A1510,$C$2:C1510,C1510)=1,ABS(SUMIFS(RAW_발주!$D:$D,RAW_발주!$C:$C,A1510,RAW_발주!$A:$A,C1510)-SUMIFS($W:$W,$A:$A,A1510,$C:$C,C1510)),0)</f>
        <v>0</v>
      </c>
    </row>
    <row r="1511" customFormat="false" ht="15" hidden="false" customHeight="true" outlineLevel="0" collapsed="false">
      <c r="A1511" s="45" t="s">
        <v>1667</v>
      </c>
      <c r="B1511" s="42" t="str">
        <f aca="false">IF(A1511="100","HK",IF(A1511="200","CN",IF(A1511="300","TW","홀세일")))</f>
        <v>홀세일</v>
      </c>
      <c r="C1511" s="45" t="s">
        <v>633</v>
      </c>
      <c r="D1511" s="46" t="n">
        <v>122</v>
      </c>
      <c r="E1511" s="46" t="n">
        <v>79000</v>
      </c>
      <c r="F1511" s="46" t="n">
        <v>19947</v>
      </c>
      <c r="G1511" s="42" t="n">
        <v>3.48</v>
      </c>
      <c r="H1511" s="42" t="n">
        <v>21</v>
      </c>
      <c r="J1511" s="46" t="n">
        <f aca="false">IF(N(E1511)&gt;0,E1511,IF(N(F1511)&gt;0,F1511*요약!$F$27,0))</f>
        <v>79000</v>
      </c>
      <c r="K1511" s="46" t="n">
        <f aca="false">IF(N(F1511)&gt;0,F1511,IF(N(E1511)&gt;0,E1511/요약!$F$27,0))</f>
        <v>19947</v>
      </c>
      <c r="L1511" s="46" t="n">
        <f aca="false">IF(B1511="CN",IF(N(I1511)&gt;0,I1511*요약!$G$27,K1511*(1+요약!$E$27)),IF(N(H1511)&gt;0,H1511*요약!$G$27,J1511*요약!$D$27))</f>
        <v>27720</v>
      </c>
      <c r="M1511" s="46" t="n">
        <f aca="false">D1511*J1511</f>
        <v>9638000</v>
      </c>
      <c r="N1511" s="46" t="n">
        <f aca="false">D1511*K1511</f>
        <v>2433534</v>
      </c>
      <c r="O1511" s="46" t="n">
        <f aca="false">D1511*L1511</f>
        <v>3381840</v>
      </c>
      <c r="P1511" s="42" t="str">
        <f aca="false">TRIM(IF(N(E1511)&lt;=0,"택가보정 ","")&amp;IF(N(F1511)&lt;=0,"원가보정 ","")&amp;IF(AND(B1511&lt;&gt;"CN",N(H1511)&lt;=0),"공급가보정 ","")&amp;IF(AND(B1511="CN",N(I1511)&lt;=0),"중국공급가=원가+마진 ",""))</f>
        <v/>
      </c>
      <c r="Q1511" s="47" t="n">
        <f aca="false">IF(SUMIFS($W:$W,$A:$A,A1511,$C:$C,C1511)=0,0,SUMIFS(RAW_판매펀칭!$K:$K,RAW_판매펀칭!$P:$P,A1511,RAW_판매펀칭!$I:$I,C1511)*W1511/SUMIFS($W:$W,$A:$A,A1511,$C:$C,C1511))</f>
        <v>122</v>
      </c>
      <c r="R1511" s="47" t="n">
        <f aca="false">IF(OR(A1511="500",A1511="800",A1511="810"),0,MAX(W1511-Q1511,0))</f>
        <v>0</v>
      </c>
      <c r="S1511" s="47" t="n">
        <f aca="false">R1511*L1511</f>
        <v>0</v>
      </c>
      <c r="T1511" s="47" t="n">
        <f aca="false">R1511*J1511</f>
        <v>0</v>
      </c>
      <c r="U1511" s="47" t="n">
        <f aca="false">R1511*K1511</f>
        <v>0</v>
      </c>
      <c r="V1511" s="0" t="str">
        <f aca="false">IF(COUNTIFS($A$2:A1511,A1511,$C$2:C1511,C1511,$D$2:D1511,D1511)&gt;1,"중복","")</f>
        <v/>
      </c>
      <c r="W1511" s="0" t="n">
        <f aca="false">IF(V1511="중복",0,N(D1511))</f>
        <v>122</v>
      </c>
      <c r="X1511" s="0" t="n">
        <f aca="false">IF(COUNTIFS($A$2:A1511,A1511,$C$2:C1511,C1511)=1,ABS(SUMIFS(RAW_발주!$D:$D,RAW_발주!$C:$C,A1511,RAW_발주!$A:$A,C1511)-SUMIFS($W:$W,$A:$A,A1511,$C:$C,C1511)),0)</f>
        <v>0</v>
      </c>
    </row>
    <row r="1512" customFormat="false" ht="15" hidden="false" customHeight="true" outlineLevel="0" collapsed="false">
      <c r="A1512" s="45" t="s">
        <v>1659</v>
      </c>
      <c r="B1512" s="42" t="str">
        <f aca="false">IF(A1512="100","HK",IF(A1512="200","CN",IF(A1512="300","TW","홀세일")))</f>
        <v>HK</v>
      </c>
      <c r="C1512" s="45" t="s">
        <v>635</v>
      </c>
      <c r="D1512" s="46" t="n">
        <v>280</v>
      </c>
      <c r="E1512" s="46" t="n">
        <v>21000</v>
      </c>
      <c r="F1512" s="46" t="n">
        <v>4105</v>
      </c>
      <c r="G1512" s="42" t="n">
        <v>4.66</v>
      </c>
      <c r="H1512" s="42" t="n">
        <v>5.6</v>
      </c>
      <c r="J1512" s="46" t="n">
        <f aca="false">IF(N(E1512)&gt;0,E1512,IF(N(F1512)&gt;0,F1512*요약!$F$27,0))</f>
        <v>21000</v>
      </c>
      <c r="K1512" s="46" t="n">
        <f aca="false">IF(N(F1512)&gt;0,F1512,IF(N(E1512)&gt;0,E1512/요약!$F$27,0))</f>
        <v>4105</v>
      </c>
      <c r="L1512" s="46" t="n">
        <f aca="false">IF(B1512="CN",IF(N(I1512)&gt;0,I1512*요약!$G$27,K1512*(1+요약!$E$27)),IF(N(H1512)&gt;0,H1512*요약!$G$27,J1512*요약!$D$27))</f>
        <v>7392</v>
      </c>
      <c r="M1512" s="46" t="n">
        <f aca="false">D1512*J1512</f>
        <v>5880000</v>
      </c>
      <c r="N1512" s="46" t="n">
        <f aca="false">D1512*K1512</f>
        <v>1149400</v>
      </c>
      <c r="O1512" s="46" t="n">
        <f aca="false">D1512*L1512</f>
        <v>2069760</v>
      </c>
      <c r="P1512" s="42" t="str">
        <f aca="false">TRIM(IF(N(E1512)&lt;=0,"택가보정 ","")&amp;IF(N(F1512)&lt;=0,"원가보정 ","")&amp;IF(AND(B1512&lt;&gt;"CN",N(H1512)&lt;=0),"공급가보정 ","")&amp;IF(AND(B1512="CN",N(I1512)&lt;=0),"중국공급가=원가+마진 ",""))</f>
        <v/>
      </c>
      <c r="Q1512" s="47" t="n">
        <f aca="false">IF(SUMIFS($W:$W,$A:$A,A1512,$C:$C,C1512)=0,0,SUMIFS(RAW_판매펀칭!$K:$K,RAW_판매펀칭!$P:$P,A1512,RAW_판매펀칭!$I:$I,C1512)*W1512/SUMIFS($W:$W,$A:$A,A1512,$C:$C,C1512))</f>
        <v>280</v>
      </c>
      <c r="R1512" s="47" t="n">
        <f aca="false">IF(OR(A1512="500",A1512="800",A1512="810"),0,MAX(W1512-Q1512,0))</f>
        <v>0</v>
      </c>
      <c r="S1512" s="47" t="n">
        <f aca="false">R1512*L1512</f>
        <v>0</v>
      </c>
      <c r="T1512" s="47" t="n">
        <f aca="false">R1512*J1512</f>
        <v>0</v>
      </c>
      <c r="U1512" s="47" t="n">
        <f aca="false">R1512*K1512</f>
        <v>0</v>
      </c>
      <c r="V1512" s="0" t="str">
        <f aca="false">IF(COUNTIFS($A$2:A1512,A1512,$C$2:C1512,C1512,$D$2:D1512,D1512)&gt;1,"중복","")</f>
        <v/>
      </c>
      <c r="W1512" s="0" t="n">
        <f aca="false">IF(V1512="중복",0,N(D1512))</f>
        <v>280</v>
      </c>
      <c r="X1512" s="0" t="n">
        <f aca="false">IF(COUNTIFS($A$2:A1512,A1512,$C$2:C1512,C1512)=1,ABS(SUMIFS(RAW_발주!$D:$D,RAW_발주!$C:$C,A1512,RAW_발주!$A:$A,C1512)-SUMIFS($W:$W,$A:$A,A1512,$C:$C,C1512)),0)</f>
        <v>0</v>
      </c>
    </row>
    <row r="1513" customFormat="false" ht="15" hidden="false" customHeight="true" outlineLevel="0" collapsed="false">
      <c r="A1513" s="45" t="s">
        <v>1661</v>
      </c>
      <c r="B1513" s="42" t="str">
        <f aca="false">IF(A1513="100","HK",IF(A1513="200","CN",IF(A1513="300","TW","홀세일")))</f>
        <v>TW</v>
      </c>
      <c r="C1513" s="45" t="s">
        <v>635</v>
      </c>
      <c r="D1513" s="46" t="n">
        <v>700</v>
      </c>
      <c r="E1513" s="46" t="n">
        <v>21000</v>
      </c>
      <c r="F1513" s="46" t="n">
        <v>4105</v>
      </c>
      <c r="G1513" s="42" t="n">
        <v>4.66</v>
      </c>
      <c r="H1513" s="42" t="n">
        <v>5.6</v>
      </c>
      <c r="J1513" s="46" t="n">
        <f aca="false">IF(N(E1513)&gt;0,E1513,IF(N(F1513)&gt;0,F1513*요약!$F$27,0))</f>
        <v>21000</v>
      </c>
      <c r="K1513" s="46" t="n">
        <f aca="false">IF(N(F1513)&gt;0,F1513,IF(N(E1513)&gt;0,E1513/요약!$F$27,0))</f>
        <v>4105</v>
      </c>
      <c r="L1513" s="46" t="n">
        <f aca="false">IF(B1513="CN",IF(N(I1513)&gt;0,I1513*요약!$G$27,K1513*(1+요약!$E$27)),IF(N(H1513)&gt;0,H1513*요약!$G$27,J1513*요약!$D$27))</f>
        <v>7392</v>
      </c>
      <c r="M1513" s="46" t="n">
        <f aca="false">D1513*J1513</f>
        <v>14700000</v>
      </c>
      <c r="N1513" s="46" t="n">
        <f aca="false">D1513*K1513</f>
        <v>2873500</v>
      </c>
      <c r="O1513" s="46" t="n">
        <f aca="false">D1513*L1513</f>
        <v>5174400</v>
      </c>
      <c r="P1513" s="42" t="str">
        <f aca="false">TRIM(IF(N(E1513)&lt;=0,"택가보정 ","")&amp;IF(N(F1513)&lt;=0,"원가보정 ","")&amp;IF(AND(B1513&lt;&gt;"CN",N(H1513)&lt;=0),"공급가보정 ","")&amp;IF(AND(B1513="CN",N(I1513)&lt;=0),"중국공급가=원가+마진 ",""))</f>
        <v/>
      </c>
      <c r="Q1513" s="47" t="n">
        <f aca="false">IF(SUMIFS($W:$W,$A:$A,A1513,$C:$C,C1513)=0,0,SUMIFS(RAW_판매펀칭!$K:$K,RAW_판매펀칭!$P:$P,A1513,RAW_판매펀칭!$I:$I,C1513)*W1513/SUMIFS($W:$W,$A:$A,A1513,$C:$C,C1513))</f>
        <v>700</v>
      </c>
      <c r="R1513" s="47" t="n">
        <f aca="false">IF(OR(A1513="500",A1513="800",A1513="810"),0,MAX(W1513-Q1513,0))</f>
        <v>0</v>
      </c>
      <c r="S1513" s="47" t="n">
        <f aca="false">R1513*L1513</f>
        <v>0</v>
      </c>
      <c r="T1513" s="47" t="n">
        <f aca="false">R1513*J1513</f>
        <v>0</v>
      </c>
      <c r="U1513" s="47" t="n">
        <f aca="false">R1513*K1513</f>
        <v>0</v>
      </c>
      <c r="V1513" s="0" t="str">
        <f aca="false">IF(COUNTIFS($A$2:A1513,A1513,$C$2:C1513,C1513,$D$2:D1513,D1513)&gt;1,"중복","")</f>
        <v/>
      </c>
      <c r="W1513" s="0" t="n">
        <f aca="false">IF(V1513="중복",0,N(D1513))</f>
        <v>700</v>
      </c>
      <c r="X1513" s="0" t="n">
        <f aca="false">IF(COUNTIFS($A$2:A1513,A1513,$C$2:C1513,C1513)=1,ABS(SUMIFS(RAW_발주!$D:$D,RAW_발주!$C:$C,A1513,RAW_발주!$A:$A,C1513)-SUMIFS($W:$W,$A:$A,A1513,$C:$C,C1513)),0)</f>
        <v>0</v>
      </c>
    </row>
    <row r="1514" customFormat="false" ht="15" hidden="false" customHeight="true" outlineLevel="0" collapsed="false">
      <c r="A1514" s="45" t="s">
        <v>1662</v>
      </c>
      <c r="B1514" s="42" t="str">
        <f aca="false">IF(A1514="100","HK",IF(A1514="200","CN",IF(A1514="300","TW","홀세일")))</f>
        <v>홀세일</v>
      </c>
      <c r="C1514" s="45" t="s">
        <v>635</v>
      </c>
      <c r="D1514" s="46" t="n">
        <v>60</v>
      </c>
      <c r="E1514" s="46" t="n">
        <v>21000</v>
      </c>
      <c r="F1514" s="46" t="n">
        <v>4105</v>
      </c>
      <c r="G1514" s="42" t="n">
        <v>4.66</v>
      </c>
      <c r="H1514" s="42" t="n">
        <v>5.6</v>
      </c>
      <c r="J1514" s="46" t="n">
        <f aca="false">IF(N(E1514)&gt;0,E1514,IF(N(F1514)&gt;0,F1514*요약!$F$27,0))</f>
        <v>21000</v>
      </c>
      <c r="K1514" s="46" t="n">
        <f aca="false">IF(N(F1514)&gt;0,F1514,IF(N(E1514)&gt;0,E1514/요약!$F$27,0))</f>
        <v>4105</v>
      </c>
      <c r="L1514" s="46" t="n">
        <f aca="false">IF(B1514="CN",IF(N(I1514)&gt;0,I1514*요약!$G$27,K1514*(1+요약!$E$27)),IF(N(H1514)&gt;0,H1514*요약!$G$27,J1514*요약!$D$27))</f>
        <v>7392</v>
      </c>
      <c r="M1514" s="46" t="n">
        <f aca="false">D1514*J1514</f>
        <v>1260000</v>
      </c>
      <c r="N1514" s="46" t="n">
        <f aca="false">D1514*K1514</f>
        <v>246300</v>
      </c>
      <c r="O1514" s="46" t="n">
        <f aca="false">D1514*L1514</f>
        <v>443520</v>
      </c>
      <c r="P1514" s="42" t="str">
        <f aca="false">TRIM(IF(N(E1514)&lt;=0,"택가보정 ","")&amp;IF(N(F1514)&lt;=0,"원가보정 ","")&amp;IF(AND(B1514&lt;&gt;"CN",N(H1514)&lt;=0),"공급가보정 ","")&amp;IF(AND(B1514="CN",N(I1514)&lt;=0),"중국공급가=원가+마진 ",""))</f>
        <v/>
      </c>
      <c r="Q1514" s="47" t="n">
        <f aca="false">IF(SUMIFS($W:$W,$A:$A,A1514,$C:$C,C1514)=0,0,SUMIFS(RAW_판매펀칭!$K:$K,RAW_판매펀칭!$P:$P,A1514,RAW_판매펀칭!$I:$I,C1514)*W1514/SUMIFS($W:$W,$A:$A,A1514,$C:$C,C1514))</f>
        <v>0</v>
      </c>
      <c r="R1514" s="47" t="n">
        <f aca="false">IF(OR(A1514="500",A1514="800",A1514="810"),0,MAX(W1514-Q1514,0))</f>
        <v>0</v>
      </c>
      <c r="S1514" s="47" t="n">
        <f aca="false">R1514*L1514</f>
        <v>0</v>
      </c>
      <c r="T1514" s="47" t="n">
        <f aca="false">R1514*J1514</f>
        <v>0</v>
      </c>
      <c r="U1514" s="47" t="n">
        <f aca="false">R1514*K1514</f>
        <v>0</v>
      </c>
      <c r="V1514" s="0" t="str">
        <f aca="false">IF(COUNTIFS($A$2:A1514,A1514,$C$2:C1514,C1514,$D$2:D1514,D1514)&gt;1,"중복","")</f>
        <v/>
      </c>
      <c r="W1514" s="0" t="n">
        <f aca="false">IF(V1514="중복",0,N(D1514))</f>
        <v>60</v>
      </c>
      <c r="X1514" s="0" t="n">
        <f aca="false">IF(COUNTIFS($A$2:A1514,A1514,$C$2:C1514,C1514)=1,ABS(SUMIFS(RAW_발주!$D:$D,RAW_발주!$C:$C,A1514,RAW_발주!$A:$A,C1514)-SUMIFS($W:$W,$A:$A,A1514,$C:$C,C1514)),0)</f>
        <v>0</v>
      </c>
    </row>
    <row r="1515" customFormat="false" ht="15" hidden="false" customHeight="true" outlineLevel="0" collapsed="false">
      <c r="A1515" s="45" t="s">
        <v>1663</v>
      </c>
      <c r="B1515" s="42" t="str">
        <f aca="false">IF(A1515="100","HK",IF(A1515="200","CN",IF(A1515="300","TW","홀세일")))</f>
        <v>홀세일</v>
      </c>
      <c r="C1515" s="45" t="s">
        <v>635</v>
      </c>
      <c r="D1515" s="46" t="n">
        <v>100</v>
      </c>
      <c r="E1515" s="46" t="n">
        <v>21000</v>
      </c>
      <c r="F1515" s="46" t="n">
        <v>4105</v>
      </c>
      <c r="G1515" s="42" t="n">
        <v>4.66</v>
      </c>
      <c r="H1515" s="42" t="n">
        <v>5.6</v>
      </c>
      <c r="J1515" s="46" t="n">
        <f aca="false">IF(N(E1515)&gt;0,E1515,IF(N(F1515)&gt;0,F1515*요약!$F$27,0))</f>
        <v>21000</v>
      </c>
      <c r="K1515" s="46" t="n">
        <f aca="false">IF(N(F1515)&gt;0,F1515,IF(N(E1515)&gt;0,E1515/요약!$F$27,0))</f>
        <v>4105</v>
      </c>
      <c r="L1515" s="46" t="n">
        <f aca="false">IF(B1515="CN",IF(N(I1515)&gt;0,I1515*요약!$G$27,K1515*(1+요약!$E$27)),IF(N(H1515)&gt;0,H1515*요약!$G$27,J1515*요약!$D$27))</f>
        <v>7392</v>
      </c>
      <c r="M1515" s="46" t="n">
        <f aca="false">D1515*J1515</f>
        <v>2100000</v>
      </c>
      <c r="N1515" s="46" t="n">
        <f aca="false">D1515*K1515</f>
        <v>410500</v>
      </c>
      <c r="O1515" s="46" t="n">
        <f aca="false">D1515*L1515</f>
        <v>739200</v>
      </c>
      <c r="P1515" s="42" t="str">
        <f aca="false">TRIM(IF(N(E1515)&lt;=0,"택가보정 ","")&amp;IF(N(F1515)&lt;=0,"원가보정 ","")&amp;IF(AND(B1515&lt;&gt;"CN",N(H1515)&lt;=0),"공급가보정 ","")&amp;IF(AND(B1515="CN",N(I1515)&lt;=0),"중국공급가=원가+마진 ",""))</f>
        <v/>
      </c>
      <c r="Q1515" s="47" t="n">
        <f aca="false">IF(SUMIFS($W:$W,$A:$A,A1515,$C:$C,C1515)=0,0,SUMIFS(RAW_판매펀칭!$K:$K,RAW_판매펀칭!$P:$P,A1515,RAW_판매펀칭!$I:$I,C1515)*W1515/SUMIFS($W:$W,$A:$A,A1515,$C:$C,C1515))</f>
        <v>100</v>
      </c>
      <c r="R1515" s="47" t="n">
        <f aca="false">IF(OR(A1515="500",A1515="800",A1515="810"),0,MAX(W1515-Q1515,0))</f>
        <v>0</v>
      </c>
      <c r="S1515" s="47" t="n">
        <f aca="false">R1515*L1515</f>
        <v>0</v>
      </c>
      <c r="T1515" s="47" t="n">
        <f aca="false">R1515*J1515</f>
        <v>0</v>
      </c>
      <c r="U1515" s="47" t="n">
        <f aca="false">R1515*K1515</f>
        <v>0</v>
      </c>
      <c r="V1515" s="0" t="str">
        <f aca="false">IF(COUNTIFS($A$2:A1515,A1515,$C$2:C1515,C1515,$D$2:D1515,D1515)&gt;1,"중복","")</f>
        <v/>
      </c>
      <c r="W1515" s="0" t="n">
        <f aca="false">IF(V1515="중복",0,N(D1515))</f>
        <v>100</v>
      </c>
      <c r="X1515" s="0" t="n">
        <f aca="false">IF(COUNTIFS($A$2:A1515,A1515,$C$2:C1515,C1515)=1,ABS(SUMIFS(RAW_발주!$D:$D,RAW_발주!$C:$C,A1515,RAW_발주!$A:$A,C1515)-SUMIFS($W:$W,$A:$A,A1515,$C:$C,C1515)),0)</f>
        <v>0</v>
      </c>
    </row>
    <row r="1516" customFormat="false" ht="15" hidden="false" customHeight="true" outlineLevel="0" collapsed="false">
      <c r="A1516" s="45" t="s">
        <v>1667</v>
      </c>
      <c r="B1516" s="42" t="str">
        <f aca="false">IF(A1516="100","HK",IF(A1516="200","CN",IF(A1516="300","TW","홀세일")))</f>
        <v>홀세일</v>
      </c>
      <c r="C1516" s="45" t="s">
        <v>635</v>
      </c>
      <c r="D1516" s="46" t="n">
        <v>122</v>
      </c>
      <c r="E1516" s="46" t="n">
        <v>21000</v>
      </c>
      <c r="F1516" s="46" t="n">
        <v>4105</v>
      </c>
      <c r="G1516" s="42" t="n">
        <v>4.66</v>
      </c>
      <c r="H1516" s="42" t="n">
        <v>5.6</v>
      </c>
      <c r="J1516" s="46" t="n">
        <f aca="false">IF(N(E1516)&gt;0,E1516,IF(N(F1516)&gt;0,F1516*요약!$F$27,0))</f>
        <v>21000</v>
      </c>
      <c r="K1516" s="46" t="n">
        <f aca="false">IF(N(F1516)&gt;0,F1516,IF(N(E1516)&gt;0,E1516/요약!$F$27,0))</f>
        <v>4105</v>
      </c>
      <c r="L1516" s="46" t="n">
        <f aca="false">IF(B1516="CN",IF(N(I1516)&gt;0,I1516*요약!$G$27,K1516*(1+요약!$E$27)),IF(N(H1516)&gt;0,H1516*요약!$G$27,J1516*요약!$D$27))</f>
        <v>7392</v>
      </c>
      <c r="M1516" s="46" t="n">
        <f aca="false">D1516*J1516</f>
        <v>2562000</v>
      </c>
      <c r="N1516" s="46" t="n">
        <f aca="false">D1516*K1516</f>
        <v>500810</v>
      </c>
      <c r="O1516" s="46" t="n">
        <f aca="false">D1516*L1516</f>
        <v>901824</v>
      </c>
      <c r="P1516" s="42" t="str">
        <f aca="false">TRIM(IF(N(E1516)&lt;=0,"택가보정 ","")&amp;IF(N(F1516)&lt;=0,"원가보정 ","")&amp;IF(AND(B1516&lt;&gt;"CN",N(H1516)&lt;=0),"공급가보정 ","")&amp;IF(AND(B1516="CN",N(I1516)&lt;=0),"중국공급가=원가+마진 ",""))</f>
        <v/>
      </c>
      <c r="Q1516" s="47" t="n">
        <f aca="false">IF(SUMIFS($W:$W,$A:$A,A1516,$C:$C,C1516)=0,0,SUMIFS(RAW_판매펀칭!$K:$K,RAW_판매펀칭!$P:$P,A1516,RAW_판매펀칭!$I:$I,C1516)*W1516/SUMIFS($W:$W,$A:$A,A1516,$C:$C,C1516))</f>
        <v>122</v>
      </c>
      <c r="R1516" s="47" t="n">
        <f aca="false">IF(OR(A1516="500",A1516="800",A1516="810"),0,MAX(W1516-Q1516,0))</f>
        <v>0</v>
      </c>
      <c r="S1516" s="47" t="n">
        <f aca="false">R1516*L1516</f>
        <v>0</v>
      </c>
      <c r="T1516" s="47" t="n">
        <f aca="false">R1516*J1516</f>
        <v>0</v>
      </c>
      <c r="U1516" s="47" t="n">
        <f aca="false">R1516*K1516</f>
        <v>0</v>
      </c>
      <c r="V1516" s="0" t="str">
        <f aca="false">IF(COUNTIFS($A$2:A1516,A1516,$C$2:C1516,C1516,$D$2:D1516,D1516)&gt;1,"중복","")</f>
        <v/>
      </c>
      <c r="W1516" s="0" t="n">
        <f aca="false">IF(V1516="중복",0,N(D1516))</f>
        <v>122</v>
      </c>
      <c r="X1516" s="0" t="n">
        <f aca="false">IF(COUNTIFS($A$2:A1516,A1516,$C$2:C1516,C1516)=1,ABS(SUMIFS(RAW_발주!$D:$D,RAW_발주!$C:$C,A1516,RAW_발주!$A:$A,C1516)-SUMIFS($W:$W,$A:$A,A1516,$C:$C,C1516)),0)</f>
        <v>0</v>
      </c>
    </row>
    <row r="1517" customFormat="false" ht="15" hidden="false" customHeight="true" outlineLevel="0" collapsed="false">
      <c r="A1517" s="45" t="s">
        <v>1664</v>
      </c>
      <c r="B1517" s="42" t="str">
        <f aca="false">IF(A1517="100","HK",IF(A1517="200","CN",IF(A1517="300","TW","홀세일")))</f>
        <v>홀세일</v>
      </c>
      <c r="C1517" s="45" t="s">
        <v>635</v>
      </c>
      <c r="D1517" s="46" t="n">
        <v>80</v>
      </c>
      <c r="E1517" s="46" t="n">
        <v>21000</v>
      </c>
      <c r="F1517" s="46" t="n">
        <v>4105</v>
      </c>
      <c r="G1517" s="42" t="n">
        <v>4.66</v>
      </c>
      <c r="H1517" s="42" t="n">
        <v>5.6</v>
      </c>
      <c r="J1517" s="46" t="n">
        <f aca="false">IF(N(E1517)&gt;0,E1517,IF(N(F1517)&gt;0,F1517*요약!$F$27,0))</f>
        <v>21000</v>
      </c>
      <c r="K1517" s="46" t="n">
        <f aca="false">IF(N(F1517)&gt;0,F1517,IF(N(E1517)&gt;0,E1517/요약!$F$27,0))</f>
        <v>4105</v>
      </c>
      <c r="L1517" s="46" t="n">
        <f aca="false">IF(B1517="CN",IF(N(I1517)&gt;0,I1517*요약!$G$27,K1517*(1+요약!$E$27)),IF(N(H1517)&gt;0,H1517*요약!$G$27,J1517*요약!$D$27))</f>
        <v>7392</v>
      </c>
      <c r="M1517" s="46" t="n">
        <f aca="false">D1517*J1517</f>
        <v>1680000</v>
      </c>
      <c r="N1517" s="46" t="n">
        <f aca="false">D1517*K1517</f>
        <v>328400</v>
      </c>
      <c r="O1517" s="46" t="n">
        <f aca="false">D1517*L1517</f>
        <v>591360</v>
      </c>
      <c r="P1517" s="42" t="str">
        <f aca="false">TRIM(IF(N(E1517)&lt;=0,"택가보정 ","")&amp;IF(N(F1517)&lt;=0,"원가보정 ","")&amp;IF(AND(B1517&lt;&gt;"CN",N(H1517)&lt;=0),"공급가보정 ","")&amp;IF(AND(B1517="CN",N(I1517)&lt;=0),"중국공급가=원가+마진 ",""))</f>
        <v/>
      </c>
      <c r="Q1517" s="47" t="n">
        <f aca="false">IF(SUMIFS($W:$W,$A:$A,A1517,$C:$C,C1517)=0,0,SUMIFS(RAW_판매펀칭!$K:$K,RAW_판매펀칭!$P:$P,A1517,RAW_판매펀칭!$I:$I,C1517)*W1517/SUMIFS($W:$W,$A:$A,A1517,$C:$C,C1517))</f>
        <v>0</v>
      </c>
      <c r="R1517" s="47" t="n">
        <f aca="false">IF(OR(A1517="500",A1517="800",A1517="810"),0,MAX(W1517-Q1517,0))</f>
        <v>0</v>
      </c>
      <c r="S1517" s="47" t="n">
        <f aca="false">R1517*L1517</f>
        <v>0</v>
      </c>
      <c r="T1517" s="47" t="n">
        <f aca="false">R1517*J1517</f>
        <v>0</v>
      </c>
      <c r="U1517" s="47" t="n">
        <f aca="false">R1517*K1517</f>
        <v>0</v>
      </c>
      <c r="V1517" s="0" t="str">
        <f aca="false">IF(COUNTIFS($A$2:A1517,A1517,$C$2:C1517,C1517,$D$2:D1517,D1517)&gt;1,"중복","")</f>
        <v/>
      </c>
      <c r="W1517" s="0" t="n">
        <f aca="false">IF(V1517="중복",0,N(D1517))</f>
        <v>80</v>
      </c>
      <c r="X1517" s="0" t="n">
        <f aca="false">IF(COUNTIFS($A$2:A1517,A1517,$C$2:C1517,C1517)=1,ABS(SUMIFS(RAW_발주!$D:$D,RAW_발주!$C:$C,A1517,RAW_발주!$A:$A,C1517)-SUMIFS($W:$W,$A:$A,A1517,$C:$C,C1517)),0)</f>
        <v>0</v>
      </c>
    </row>
    <row r="1518" customFormat="false" ht="15" hidden="false" customHeight="true" outlineLevel="0" collapsed="false">
      <c r="A1518" s="45" t="s">
        <v>1666</v>
      </c>
      <c r="B1518" s="42" t="str">
        <f aca="false">IF(A1518="100","HK",IF(A1518="200","CN",IF(A1518="300","TW","홀세일")))</f>
        <v>홀세일</v>
      </c>
      <c r="C1518" s="45" t="s">
        <v>635</v>
      </c>
      <c r="D1518" s="46" t="n">
        <v>200</v>
      </c>
      <c r="E1518" s="46" t="n">
        <v>21000</v>
      </c>
      <c r="F1518" s="46" t="n">
        <v>4105</v>
      </c>
      <c r="G1518" s="42" t="n">
        <v>4.66</v>
      </c>
      <c r="H1518" s="42" t="n">
        <v>5.6</v>
      </c>
      <c r="J1518" s="46" t="n">
        <f aca="false">IF(N(E1518)&gt;0,E1518,IF(N(F1518)&gt;0,F1518*요약!$F$27,0))</f>
        <v>21000</v>
      </c>
      <c r="K1518" s="46" t="n">
        <f aca="false">IF(N(F1518)&gt;0,F1518,IF(N(E1518)&gt;0,E1518/요약!$F$27,0))</f>
        <v>4105</v>
      </c>
      <c r="L1518" s="46" t="n">
        <f aca="false">IF(B1518="CN",IF(N(I1518)&gt;0,I1518*요약!$G$27,K1518*(1+요약!$E$27)),IF(N(H1518)&gt;0,H1518*요약!$G$27,J1518*요약!$D$27))</f>
        <v>7392</v>
      </c>
      <c r="M1518" s="46" t="n">
        <f aca="false">D1518*J1518</f>
        <v>4200000</v>
      </c>
      <c r="N1518" s="46" t="n">
        <f aca="false">D1518*K1518</f>
        <v>821000</v>
      </c>
      <c r="O1518" s="46" t="n">
        <f aca="false">D1518*L1518</f>
        <v>1478400</v>
      </c>
      <c r="P1518" s="42" t="str">
        <f aca="false">TRIM(IF(N(E1518)&lt;=0,"택가보정 ","")&amp;IF(N(F1518)&lt;=0,"원가보정 ","")&amp;IF(AND(B1518&lt;&gt;"CN",N(H1518)&lt;=0),"공급가보정 ","")&amp;IF(AND(B1518="CN",N(I1518)&lt;=0),"중국공급가=원가+마진 ",""))</f>
        <v/>
      </c>
      <c r="Q1518" s="47" t="n">
        <f aca="false">IF(SUMIFS($W:$W,$A:$A,A1518,$C:$C,C1518)=0,0,SUMIFS(RAW_판매펀칭!$K:$K,RAW_판매펀칭!$P:$P,A1518,RAW_판매펀칭!$I:$I,C1518)*W1518/SUMIFS($W:$W,$A:$A,A1518,$C:$C,C1518))</f>
        <v>200</v>
      </c>
      <c r="R1518" s="47" t="n">
        <f aca="false">IF(OR(A1518="500",A1518="800",A1518="810"),0,MAX(W1518-Q1518,0))</f>
        <v>0</v>
      </c>
      <c r="S1518" s="47" t="n">
        <f aca="false">R1518*L1518</f>
        <v>0</v>
      </c>
      <c r="T1518" s="47" t="n">
        <f aca="false">R1518*J1518</f>
        <v>0</v>
      </c>
      <c r="U1518" s="47" t="n">
        <f aca="false">R1518*K1518</f>
        <v>0</v>
      </c>
      <c r="V1518" s="0" t="str">
        <f aca="false">IF(COUNTIFS($A$2:A1518,A1518,$C$2:C1518,C1518,$D$2:D1518,D1518)&gt;1,"중복","")</f>
        <v/>
      </c>
      <c r="W1518" s="0" t="n">
        <f aca="false">IF(V1518="중복",0,N(D1518))</f>
        <v>200</v>
      </c>
      <c r="X1518" s="0" t="n">
        <f aca="false">IF(COUNTIFS($A$2:A1518,A1518,$C$2:C1518,C1518)=1,ABS(SUMIFS(RAW_발주!$D:$D,RAW_발주!$C:$C,A1518,RAW_발주!$A:$A,C1518)-SUMIFS($W:$W,$A:$A,A1518,$C:$C,C1518)),0)</f>
        <v>0</v>
      </c>
    </row>
    <row r="1519" customFormat="false" ht="15" hidden="false" customHeight="true" outlineLevel="0" collapsed="false">
      <c r="A1519" s="45" t="s">
        <v>1659</v>
      </c>
      <c r="B1519" s="42" t="str">
        <f aca="false">IF(A1519="100","HK",IF(A1519="200","CN",IF(A1519="300","TW","홀세일")))</f>
        <v>HK</v>
      </c>
      <c r="C1519" s="45" t="s">
        <v>637</v>
      </c>
      <c r="D1519" s="46" t="n">
        <v>280</v>
      </c>
      <c r="E1519" s="46" t="n">
        <v>19000</v>
      </c>
      <c r="F1519" s="46" t="n">
        <v>3510</v>
      </c>
      <c r="G1519" s="42" t="n">
        <v>4.94</v>
      </c>
      <c r="H1519" s="42" t="n">
        <v>5.1</v>
      </c>
      <c r="J1519" s="46" t="n">
        <f aca="false">IF(N(E1519)&gt;0,E1519,IF(N(F1519)&gt;0,F1519*요약!$F$27,0))</f>
        <v>19000</v>
      </c>
      <c r="K1519" s="46" t="n">
        <f aca="false">IF(N(F1519)&gt;0,F1519,IF(N(E1519)&gt;0,E1519/요약!$F$27,0))</f>
        <v>3510</v>
      </c>
      <c r="L1519" s="46" t="n">
        <f aca="false">IF(B1519="CN",IF(N(I1519)&gt;0,I1519*요약!$G$27,K1519*(1+요약!$E$27)),IF(N(H1519)&gt;0,H1519*요약!$G$27,J1519*요약!$D$27))</f>
        <v>6732</v>
      </c>
      <c r="M1519" s="46" t="n">
        <f aca="false">D1519*J1519</f>
        <v>5320000</v>
      </c>
      <c r="N1519" s="46" t="n">
        <f aca="false">D1519*K1519</f>
        <v>982800</v>
      </c>
      <c r="O1519" s="46" t="n">
        <f aca="false">D1519*L1519</f>
        <v>1884960</v>
      </c>
      <c r="P1519" s="42" t="str">
        <f aca="false">TRIM(IF(N(E1519)&lt;=0,"택가보정 ","")&amp;IF(N(F1519)&lt;=0,"원가보정 ","")&amp;IF(AND(B1519&lt;&gt;"CN",N(H1519)&lt;=0),"공급가보정 ","")&amp;IF(AND(B1519="CN",N(I1519)&lt;=0),"중국공급가=원가+마진 ",""))</f>
        <v/>
      </c>
      <c r="Q1519" s="47" t="n">
        <f aca="false">IF(SUMIFS($W:$W,$A:$A,A1519,$C:$C,C1519)=0,0,SUMIFS(RAW_판매펀칭!$K:$K,RAW_판매펀칭!$P:$P,A1519,RAW_판매펀칭!$I:$I,C1519)*W1519/SUMIFS($W:$W,$A:$A,A1519,$C:$C,C1519))</f>
        <v>280</v>
      </c>
      <c r="R1519" s="47" t="n">
        <f aca="false">IF(OR(A1519="500",A1519="800",A1519="810"),0,MAX(W1519-Q1519,0))</f>
        <v>0</v>
      </c>
      <c r="S1519" s="47" t="n">
        <f aca="false">R1519*L1519</f>
        <v>0</v>
      </c>
      <c r="T1519" s="47" t="n">
        <f aca="false">R1519*J1519</f>
        <v>0</v>
      </c>
      <c r="U1519" s="47" t="n">
        <f aca="false">R1519*K1519</f>
        <v>0</v>
      </c>
      <c r="V1519" s="0" t="str">
        <f aca="false">IF(COUNTIFS($A$2:A1519,A1519,$C$2:C1519,C1519,$D$2:D1519,D1519)&gt;1,"중복","")</f>
        <v/>
      </c>
      <c r="W1519" s="0" t="n">
        <f aca="false">IF(V1519="중복",0,N(D1519))</f>
        <v>280</v>
      </c>
      <c r="X1519" s="0" t="n">
        <f aca="false">IF(COUNTIFS($A$2:A1519,A1519,$C$2:C1519,C1519)=1,ABS(SUMIFS(RAW_발주!$D:$D,RAW_발주!$C:$C,A1519,RAW_발주!$A:$A,C1519)-SUMIFS($W:$W,$A:$A,A1519,$C:$C,C1519)),0)</f>
        <v>0</v>
      </c>
    </row>
    <row r="1520" customFormat="false" ht="15.75" hidden="false" customHeight="true" outlineLevel="0" collapsed="false">
      <c r="A1520" s="45" t="s">
        <v>1660</v>
      </c>
      <c r="B1520" s="42" t="str">
        <f aca="false">IF(A1520="100","HK",IF(A1520="200","CN",IF(A1520="300","TW","홀세일")))</f>
        <v>CN</v>
      </c>
      <c r="C1520" s="45" t="s">
        <v>637</v>
      </c>
      <c r="D1520" s="46" t="n">
        <v>151</v>
      </c>
      <c r="E1520" s="46" t="n">
        <v>19000</v>
      </c>
      <c r="F1520" s="46" t="n">
        <v>3510</v>
      </c>
      <c r="G1520" s="42" t="n">
        <v>4.94</v>
      </c>
      <c r="H1520" s="42" t="n">
        <v>5.1</v>
      </c>
      <c r="J1520" s="46" t="n">
        <f aca="false">IF(N(E1520)&gt;0,E1520,IF(N(F1520)&gt;0,F1520*요약!$F$27,0))</f>
        <v>19000</v>
      </c>
      <c r="K1520" s="46" t="n">
        <f aca="false">IF(N(F1520)&gt;0,F1520,IF(N(E1520)&gt;0,E1520/요약!$F$27,0))</f>
        <v>3510</v>
      </c>
      <c r="L1520" s="46" t="n">
        <f aca="false">IF(B1520="CN",IF(N(I1520)&gt;0,I1520*요약!$G$27,K1520*(1+요약!$E$27)),IF(N(H1520)&gt;0,H1520*요약!$G$27,J1520*요약!$D$27))</f>
        <v>3685.5</v>
      </c>
      <c r="M1520" s="46" t="n">
        <f aca="false">D1520*J1520</f>
        <v>2869000</v>
      </c>
      <c r="N1520" s="46" t="n">
        <f aca="false">D1520*K1520</f>
        <v>530010</v>
      </c>
      <c r="O1520" s="46" t="n">
        <f aca="false">D1520*L1520</f>
        <v>556510.5</v>
      </c>
      <c r="P1520" s="42" t="str">
        <f aca="false">TRIM(IF(N(E1520)&lt;=0,"택가보정 ","")&amp;IF(N(F1520)&lt;=0,"원가보정 ","")&amp;IF(AND(B1520&lt;&gt;"CN",N(H1520)&lt;=0),"공급가보정 ","")&amp;IF(AND(B1520="CN",N(I1520)&lt;=0),"중국공급가=원가+마진 ",""))</f>
        <v>중국공급가=원가+마진</v>
      </c>
      <c r="Q1520" s="47" t="n">
        <f aca="false">IF(SUMIFS($W:$W,$A:$A,A1520,$C:$C,C1520)=0,0,SUMIFS(RAW_판매펀칭!$K:$K,RAW_판매펀칭!$P:$P,A1520,RAW_판매펀칭!$I:$I,C1520)*W1520/SUMIFS($W:$W,$A:$A,A1520,$C:$C,C1520))</f>
        <v>150</v>
      </c>
      <c r="R1520" s="47" t="n">
        <f aca="false">IF(OR(A1520="500",A1520="800",A1520="810"),0,MAX(W1520-Q1520,0))</f>
        <v>1</v>
      </c>
      <c r="S1520" s="47" t="n">
        <f aca="false">R1520*L1520</f>
        <v>3685.5</v>
      </c>
      <c r="T1520" s="47" t="n">
        <f aca="false">R1520*J1520</f>
        <v>19000</v>
      </c>
      <c r="U1520" s="47" t="n">
        <f aca="false">R1520*K1520</f>
        <v>3510</v>
      </c>
      <c r="V1520" s="0" t="str">
        <f aca="false">IF(COUNTIFS($A$2:A1520,A1520,$C$2:C1520,C1520,$D$2:D1520,D1520)&gt;1,"중복","")</f>
        <v/>
      </c>
      <c r="W1520" s="0" t="n">
        <f aca="false">IF(V1520="중복",0,N(D1520))</f>
        <v>151</v>
      </c>
      <c r="X1520" s="0" t="n">
        <f aca="false">IF(COUNTIFS($A$2:A1520,A1520,$C$2:C1520,C1520)=1,ABS(SUMIFS(RAW_발주!$D:$D,RAW_발주!$C:$C,A1520,RAW_발주!$A:$A,C1520)-SUMIFS($W:$W,$A:$A,A1520,$C:$C,C1520)),0)</f>
        <v>0</v>
      </c>
    </row>
    <row r="1521" customFormat="false" ht="15" hidden="false" customHeight="true" outlineLevel="0" collapsed="false">
      <c r="A1521" s="45" t="s">
        <v>1661</v>
      </c>
      <c r="B1521" s="42" t="str">
        <f aca="false">IF(A1521="100","HK",IF(A1521="200","CN",IF(A1521="300","TW","홀세일")))</f>
        <v>TW</v>
      </c>
      <c r="C1521" s="45" t="s">
        <v>637</v>
      </c>
      <c r="D1521" s="46" t="n">
        <v>400</v>
      </c>
      <c r="E1521" s="46" t="n">
        <v>19000</v>
      </c>
      <c r="F1521" s="46" t="n">
        <v>3510</v>
      </c>
      <c r="G1521" s="42" t="n">
        <v>4.94</v>
      </c>
      <c r="H1521" s="42" t="n">
        <v>5.1</v>
      </c>
      <c r="J1521" s="46" t="n">
        <f aca="false">IF(N(E1521)&gt;0,E1521,IF(N(F1521)&gt;0,F1521*요약!$F$27,0))</f>
        <v>19000</v>
      </c>
      <c r="K1521" s="46" t="n">
        <f aca="false">IF(N(F1521)&gt;0,F1521,IF(N(E1521)&gt;0,E1521/요약!$F$27,0))</f>
        <v>3510</v>
      </c>
      <c r="L1521" s="46" t="n">
        <f aca="false">IF(B1521="CN",IF(N(I1521)&gt;0,I1521*요약!$G$27,K1521*(1+요약!$E$27)),IF(N(H1521)&gt;0,H1521*요약!$G$27,J1521*요약!$D$27))</f>
        <v>6732</v>
      </c>
      <c r="M1521" s="46" t="n">
        <f aca="false">D1521*J1521</f>
        <v>7600000</v>
      </c>
      <c r="N1521" s="46" t="n">
        <f aca="false">D1521*K1521</f>
        <v>1404000</v>
      </c>
      <c r="O1521" s="46" t="n">
        <f aca="false">D1521*L1521</f>
        <v>2692800</v>
      </c>
      <c r="P1521" s="42" t="str">
        <f aca="false">TRIM(IF(N(E1521)&lt;=0,"택가보정 ","")&amp;IF(N(F1521)&lt;=0,"원가보정 ","")&amp;IF(AND(B1521&lt;&gt;"CN",N(H1521)&lt;=0),"공급가보정 ","")&amp;IF(AND(B1521="CN",N(I1521)&lt;=0),"중국공급가=원가+마진 ",""))</f>
        <v/>
      </c>
      <c r="Q1521" s="47" t="n">
        <f aca="false">IF(SUMIFS($W:$W,$A:$A,A1521,$C:$C,C1521)=0,0,SUMIFS(RAW_판매펀칭!$K:$K,RAW_판매펀칭!$P:$P,A1521,RAW_판매펀칭!$I:$I,C1521)*W1521/SUMIFS($W:$W,$A:$A,A1521,$C:$C,C1521))</f>
        <v>400</v>
      </c>
      <c r="R1521" s="47" t="n">
        <f aca="false">IF(OR(A1521="500",A1521="800",A1521="810"),0,MAX(W1521-Q1521,0))</f>
        <v>0</v>
      </c>
      <c r="S1521" s="47" t="n">
        <f aca="false">R1521*L1521</f>
        <v>0</v>
      </c>
      <c r="T1521" s="47" t="n">
        <f aca="false">R1521*J1521</f>
        <v>0</v>
      </c>
      <c r="U1521" s="47" t="n">
        <f aca="false">R1521*K1521</f>
        <v>0</v>
      </c>
      <c r="V1521" s="0" t="str">
        <f aca="false">IF(COUNTIFS($A$2:A1521,A1521,$C$2:C1521,C1521,$D$2:D1521,D1521)&gt;1,"중복","")</f>
        <v/>
      </c>
      <c r="W1521" s="0" t="n">
        <f aca="false">IF(V1521="중복",0,N(D1521))</f>
        <v>400</v>
      </c>
      <c r="X1521" s="0" t="n">
        <f aca="false">IF(COUNTIFS($A$2:A1521,A1521,$C$2:C1521,C1521)=1,ABS(SUMIFS(RAW_발주!$D:$D,RAW_발주!$C:$C,A1521,RAW_발주!$A:$A,C1521)-SUMIFS($W:$W,$A:$A,A1521,$C:$C,C1521)),0)</f>
        <v>0</v>
      </c>
    </row>
    <row r="1522" customFormat="false" ht="15" hidden="false" customHeight="true" outlineLevel="0" collapsed="false">
      <c r="A1522" s="45" t="s">
        <v>1663</v>
      </c>
      <c r="B1522" s="42" t="str">
        <f aca="false">IF(A1522="100","HK",IF(A1522="200","CN",IF(A1522="300","TW","홀세일")))</f>
        <v>홀세일</v>
      </c>
      <c r="C1522" s="45" t="s">
        <v>637</v>
      </c>
      <c r="D1522" s="46" t="n">
        <v>50</v>
      </c>
      <c r="E1522" s="46" t="n">
        <v>19000</v>
      </c>
      <c r="F1522" s="46" t="n">
        <v>3510</v>
      </c>
      <c r="G1522" s="42" t="n">
        <v>4.94</v>
      </c>
      <c r="H1522" s="42" t="n">
        <v>5.1</v>
      </c>
      <c r="J1522" s="46" t="n">
        <f aca="false">IF(N(E1522)&gt;0,E1522,IF(N(F1522)&gt;0,F1522*요약!$F$27,0))</f>
        <v>19000</v>
      </c>
      <c r="K1522" s="46" t="n">
        <f aca="false">IF(N(F1522)&gt;0,F1522,IF(N(E1522)&gt;0,E1522/요약!$F$27,0))</f>
        <v>3510</v>
      </c>
      <c r="L1522" s="46" t="n">
        <f aca="false">IF(B1522="CN",IF(N(I1522)&gt;0,I1522*요약!$G$27,K1522*(1+요약!$E$27)),IF(N(H1522)&gt;0,H1522*요약!$G$27,J1522*요약!$D$27))</f>
        <v>6732</v>
      </c>
      <c r="M1522" s="46" t="n">
        <f aca="false">D1522*J1522</f>
        <v>950000</v>
      </c>
      <c r="N1522" s="46" t="n">
        <f aca="false">D1522*K1522</f>
        <v>175500</v>
      </c>
      <c r="O1522" s="46" t="n">
        <f aca="false">D1522*L1522</f>
        <v>336600</v>
      </c>
      <c r="P1522" s="42" t="str">
        <f aca="false">TRIM(IF(N(E1522)&lt;=0,"택가보정 ","")&amp;IF(N(F1522)&lt;=0,"원가보정 ","")&amp;IF(AND(B1522&lt;&gt;"CN",N(H1522)&lt;=0),"공급가보정 ","")&amp;IF(AND(B1522="CN",N(I1522)&lt;=0),"중국공급가=원가+마진 ",""))</f>
        <v/>
      </c>
      <c r="Q1522" s="47" t="n">
        <f aca="false">IF(SUMIFS($W:$W,$A:$A,A1522,$C:$C,C1522)=0,0,SUMIFS(RAW_판매펀칭!$K:$K,RAW_판매펀칭!$P:$P,A1522,RAW_판매펀칭!$I:$I,C1522)*W1522/SUMIFS($W:$W,$A:$A,A1522,$C:$C,C1522))</f>
        <v>50</v>
      </c>
      <c r="R1522" s="47" t="n">
        <f aca="false">IF(OR(A1522="500",A1522="800",A1522="810"),0,MAX(W1522-Q1522,0))</f>
        <v>0</v>
      </c>
      <c r="S1522" s="47" t="n">
        <f aca="false">R1522*L1522</f>
        <v>0</v>
      </c>
      <c r="T1522" s="47" t="n">
        <f aca="false">R1522*J1522</f>
        <v>0</v>
      </c>
      <c r="U1522" s="47" t="n">
        <f aca="false">R1522*K1522</f>
        <v>0</v>
      </c>
      <c r="V1522" s="0" t="str">
        <f aca="false">IF(COUNTIFS($A$2:A1522,A1522,$C$2:C1522,C1522,$D$2:D1522,D1522)&gt;1,"중복","")</f>
        <v/>
      </c>
      <c r="W1522" s="0" t="n">
        <f aca="false">IF(V1522="중복",0,N(D1522))</f>
        <v>50</v>
      </c>
      <c r="X1522" s="0" t="n">
        <f aca="false">IF(COUNTIFS($A$2:A1522,A1522,$C$2:C1522,C1522)=1,ABS(SUMIFS(RAW_발주!$D:$D,RAW_발주!$C:$C,A1522,RAW_발주!$A:$A,C1522)-SUMIFS($W:$W,$A:$A,A1522,$C:$C,C1522)),0)</f>
        <v>0</v>
      </c>
    </row>
    <row r="1523" customFormat="false" ht="15" hidden="false" customHeight="true" outlineLevel="0" collapsed="false">
      <c r="A1523" s="45" t="s">
        <v>1664</v>
      </c>
      <c r="B1523" s="42" t="str">
        <f aca="false">IF(A1523="100","HK",IF(A1523="200","CN",IF(A1523="300","TW","홀세일")))</f>
        <v>홀세일</v>
      </c>
      <c r="C1523" s="45" t="s">
        <v>637</v>
      </c>
      <c r="D1523" s="46" t="n">
        <v>80</v>
      </c>
      <c r="E1523" s="46" t="n">
        <v>19000</v>
      </c>
      <c r="F1523" s="46" t="n">
        <v>3510</v>
      </c>
      <c r="G1523" s="42" t="n">
        <v>4.94</v>
      </c>
      <c r="H1523" s="42" t="n">
        <v>5.1</v>
      </c>
      <c r="J1523" s="46" t="n">
        <f aca="false">IF(N(E1523)&gt;0,E1523,IF(N(F1523)&gt;0,F1523*요약!$F$27,0))</f>
        <v>19000</v>
      </c>
      <c r="K1523" s="46" t="n">
        <f aca="false">IF(N(F1523)&gt;0,F1523,IF(N(E1523)&gt;0,E1523/요약!$F$27,0))</f>
        <v>3510</v>
      </c>
      <c r="L1523" s="46" t="n">
        <f aca="false">IF(B1523="CN",IF(N(I1523)&gt;0,I1523*요약!$G$27,K1523*(1+요약!$E$27)),IF(N(H1523)&gt;0,H1523*요약!$G$27,J1523*요약!$D$27))</f>
        <v>6732</v>
      </c>
      <c r="M1523" s="46" t="n">
        <f aca="false">D1523*J1523</f>
        <v>1520000</v>
      </c>
      <c r="N1523" s="46" t="n">
        <f aca="false">D1523*K1523</f>
        <v>280800</v>
      </c>
      <c r="O1523" s="46" t="n">
        <f aca="false">D1523*L1523</f>
        <v>538560</v>
      </c>
      <c r="P1523" s="42" t="str">
        <f aca="false">TRIM(IF(N(E1523)&lt;=0,"택가보정 ","")&amp;IF(N(F1523)&lt;=0,"원가보정 ","")&amp;IF(AND(B1523&lt;&gt;"CN",N(H1523)&lt;=0),"공급가보정 ","")&amp;IF(AND(B1523="CN",N(I1523)&lt;=0),"중국공급가=원가+마진 ",""))</f>
        <v/>
      </c>
      <c r="Q1523" s="47" t="n">
        <f aca="false">IF(SUMIFS($W:$W,$A:$A,A1523,$C:$C,C1523)=0,0,SUMIFS(RAW_판매펀칭!$K:$K,RAW_판매펀칭!$P:$P,A1523,RAW_판매펀칭!$I:$I,C1523)*W1523/SUMIFS($W:$W,$A:$A,A1523,$C:$C,C1523))</f>
        <v>0</v>
      </c>
      <c r="R1523" s="47" t="n">
        <f aca="false">IF(OR(A1523="500",A1523="800",A1523="810"),0,MAX(W1523-Q1523,0))</f>
        <v>0</v>
      </c>
      <c r="S1523" s="47" t="n">
        <f aca="false">R1523*L1523</f>
        <v>0</v>
      </c>
      <c r="T1523" s="47" t="n">
        <f aca="false">R1523*J1523</f>
        <v>0</v>
      </c>
      <c r="U1523" s="47" t="n">
        <f aca="false">R1523*K1523</f>
        <v>0</v>
      </c>
      <c r="V1523" s="0" t="str">
        <f aca="false">IF(COUNTIFS($A$2:A1523,A1523,$C$2:C1523,C1523,$D$2:D1523,D1523)&gt;1,"중복","")</f>
        <v/>
      </c>
      <c r="W1523" s="0" t="n">
        <f aca="false">IF(V1523="중복",0,N(D1523))</f>
        <v>80</v>
      </c>
      <c r="X1523" s="0" t="n">
        <f aca="false">IF(COUNTIFS($A$2:A1523,A1523,$C$2:C1523,C1523)=1,ABS(SUMIFS(RAW_발주!$D:$D,RAW_발주!$C:$C,A1523,RAW_발주!$A:$A,C1523)-SUMIFS($W:$W,$A:$A,A1523,$C:$C,C1523)),0)</f>
        <v>0</v>
      </c>
    </row>
    <row r="1524" customFormat="false" ht="15" hidden="false" customHeight="true" outlineLevel="0" collapsed="false">
      <c r="A1524" s="45" t="s">
        <v>1659</v>
      </c>
      <c r="B1524" s="42" t="str">
        <f aca="false">IF(A1524="100","HK",IF(A1524="200","CN",IF(A1524="300","TW","홀세일")))</f>
        <v>HK</v>
      </c>
      <c r="C1524" s="45" t="s">
        <v>639</v>
      </c>
      <c r="D1524" s="46" t="n">
        <v>280</v>
      </c>
      <c r="E1524" s="46" t="n">
        <v>19900</v>
      </c>
      <c r="F1524" s="46" t="n">
        <v>3800</v>
      </c>
      <c r="G1524" s="42" t="n">
        <v>4.76</v>
      </c>
      <c r="H1524" s="42" t="n">
        <v>5.3</v>
      </c>
      <c r="J1524" s="46" t="n">
        <f aca="false">IF(N(E1524)&gt;0,E1524,IF(N(F1524)&gt;0,F1524*요약!$F$27,0))</f>
        <v>19900</v>
      </c>
      <c r="K1524" s="46" t="n">
        <f aca="false">IF(N(F1524)&gt;0,F1524,IF(N(E1524)&gt;0,E1524/요약!$F$27,0))</f>
        <v>3800</v>
      </c>
      <c r="L1524" s="46" t="n">
        <f aca="false">IF(B1524="CN",IF(N(I1524)&gt;0,I1524*요약!$G$27,K1524*(1+요약!$E$27)),IF(N(H1524)&gt;0,H1524*요약!$G$27,J1524*요약!$D$27))</f>
        <v>6996</v>
      </c>
      <c r="M1524" s="46" t="n">
        <f aca="false">D1524*J1524</f>
        <v>5572000</v>
      </c>
      <c r="N1524" s="46" t="n">
        <f aca="false">D1524*K1524</f>
        <v>1064000</v>
      </c>
      <c r="O1524" s="46" t="n">
        <f aca="false">D1524*L1524</f>
        <v>1958880</v>
      </c>
      <c r="P1524" s="42" t="str">
        <f aca="false">TRIM(IF(N(E1524)&lt;=0,"택가보정 ","")&amp;IF(N(F1524)&lt;=0,"원가보정 ","")&amp;IF(AND(B1524&lt;&gt;"CN",N(H1524)&lt;=0),"공급가보정 ","")&amp;IF(AND(B1524="CN",N(I1524)&lt;=0),"중국공급가=원가+마진 ",""))</f>
        <v/>
      </c>
      <c r="Q1524" s="47" t="n">
        <f aca="false">IF(SUMIFS($W:$W,$A:$A,A1524,$C:$C,C1524)=0,0,SUMIFS(RAW_판매펀칭!$K:$K,RAW_판매펀칭!$P:$P,A1524,RAW_판매펀칭!$I:$I,C1524)*W1524/SUMIFS($W:$W,$A:$A,A1524,$C:$C,C1524))</f>
        <v>280</v>
      </c>
      <c r="R1524" s="47" t="n">
        <f aca="false">IF(OR(A1524="500",A1524="800",A1524="810"),0,MAX(W1524-Q1524,0))</f>
        <v>0</v>
      </c>
      <c r="S1524" s="47" t="n">
        <f aca="false">R1524*L1524</f>
        <v>0</v>
      </c>
      <c r="T1524" s="47" t="n">
        <f aca="false">R1524*J1524</f>
        <v>0</v>
      </c>
      <c r="U1524" s="47" t="n">
        <f aca="false">R1524*K1524</f>
        <v>0</v>
      </c>
      <c r="V1524" s="0" t="str">
        <f aca="false">IF(COUNTIFS($A$2:A1524,A1524,$C$2:C1524,C1524,$D$2:D1524,D1524)&gt;1,"중복","")</f>
        <v/>
      </c>
      <c r="W1524" s="0" t="n">
        <f aca="false">IF(V1524="중복",0,N(D1524))</f>
        <v>280</v>
      </c>
      <c r="X1524" s="0" t="n">
        <f aca="false">IF(COUNTIFS($A$2:A1524,A1524,$C$2:C1524,C1524)=1,ABS(SUMIFS(RAW_발주!$D:$D,RAW_발주!$C:$C,A1524,RAW_발주!$A:$A,C1524)-SUMIFS($W:$W,$A:$A,A1524,$C:$C,C1524)),0)</f>
        <v>0</v>
      </c>
    </row>
    <row r="1525" customFormat="false" ht="15.75" hidden="false" customHeight="true" outlineLevel="0" collapsed="false">
      <c r="A1525" s="45" t="s">
        <v>1660</v>
      </c>
      <c r="B1525" s="42" t="str">
        <f aca="false">IF(A1525="100","HK",IF(A1525="200","CN",IF(A1525="300","TW","홀세일")))</f>
        <v>CN</v>
      </c>
      <c r="C1525" s="45" t="s">
        <v>639</v>
      </c>
      <c r="D1525" s="46" t="n">
        <v>302</v>
      </c>
      <c r="E1525" s="46" t="n">
        <v>19900</v>
      </c>
      <c r="F1525" s="46" t="n">
        <v>3800</v>
      </c>
      <c r="G1525" s="42" t="n">
        <v>4.76</v>
      </c>
      <c r="H1525" s="42" t="n">
        <v>5.3</v>
      </c>
      <c r="J1525" s="46" t="n">
        <f aca="false">IF(N(E1525)&gt;0,E1525,IF(N(F1525)&gt;0,F1525*요약!$F$27,0))</f>
        <v>19900</v>
      </c>
      <c r="K1525" s="46" t="n">
        <f aca="false">IF(N(F1525)&gt;0,F1525,IF(N(E1525)&gt;0,E1525/요약!$F$27,0))</f>
        <v>3800</v>
      </c>
      <c r="L1525" s="46" t="n">
        <f aca="false">IF(B1525="CN",IF(N(I1525)&gt;0,I1525*요약!$G$27,K1525*(1+요약!$E$27)),IF(N(H1525)&gt;0,H1525*요약!$G$27,J1525*요약!$D$27))</f>
        <v>3990</v>
      </c>
      <c r="M1525" s="46" t="n">
        <f aca="false">D1525*J1525</f>
        <v>6009800</v>
      </c>
      <c r="N1525" s="46" t="n">
        <f aca="false">D1525*K1525</f>
        <v>1147600</v>
      </c>
      <c r="O1525" s="46" t="n">
        <f aca="false">D1525*L1525</f>
        <v>1204980</v>
      </c>
      <c r="P1525" s="42" t="str">
        <f aca="false">TRIM(IF(N(E1525)&lt;=0,"택가보정 ","")&amp;IF(N(F1525)&lt;=0,"원가보정 ","")&amp;IF(AND(B1525&lt;&gt;"CN",N(H1525)&lt;=0),"공급가보정 ","")&amp;IF(AND(B1525="CN",N(I1525)&lt;=0),"중국공급가=원가+마진 ",""))</f>
        <v>중국공급가=원가+마진</v>
      </c>
      <c r="Q1525" s="47" t="n">
        <f aca="false">IF(SUMIFS($W:$W,$A:$A,A1525,$C:$C,C1525)=0,0,SUMIFS(RAW_판매펀칭!$K:$K,RAW_판매펀칭!$P:$P,A1525,RAW_판매펀칭!$I:$I,C1525)*W1525/SUMIFS($W:$W,$A:$A,A1525,$C:$C,C1525))</f>
        <v>300</v>
      </c>
      <c r="R1525" s="47" t="n">
        <f aca="false">IF(OR(A1525="500",A1525="800",A1525="810"),0,MAX(W1525-Q1525,0))</f>
        <v>2</v>
      </c>
      <c r="S1525" s="47" t="n">
        <f aca="false">R1525*L1525</f>
        <v>7980</v>
      </c>
      <c r="T1525" s="47" t="n">
        <f aca="false">R1525*J1525</f>
        <v>39800</v>
      </c>
      <c r="U1525" s="47" t="n">
        <f aca="false">R1525*K1525</f>
        <v>7600</v>
      </c>
      <c r="V1525" s="0" t="str">
        <f aca="false">IF(COUNTIFS($A$2:A1525,A1525,$C$2:C1525,C1525,$D$2:D1525,D1525)&gt;1,"중복","")</f>
        <v/>
      </c>
      <c r="W1525" s="0" t="n">
        <f aca="false">IF(V1525="중복",0,N(D1525))</f>
        <v>302</v>
      </c>
      <c r="X1525" s="0" t="n">
        <f aca="false">IF(COUNTIFS($A$2:A1525,A1525,$C$2:C1525,C1525)=1,ABS(SUMIFS(RAW_발주!$D:$D,RAW_발주!$C:$C,A1525,RAW_발주!$A:$A,C1525)-SUMIFS($W:$W,$A:$A,A1525,$C:$C,C1525)),0)</f>
        <v>0</v>
      </c>
    </row>
    <row r="1526" customFormat="false" ht="15" hidden="false" customHeight="true" outlineLevel="0" collapsed="false">
      <c r="A1526" s="45" t="s">
        <v>1661</v>
      </c>
      <c r="B1526" s="42" t="str">
        <f aca="false">IF(A1526="100","HK",IF(A1526="200","CN",IF(A1526="300","TW","홀세일")))</f>
        <v>TW</v>
      </c>
      <c r="C1526" s="45" t="s">
        <v>639</v>
      </c>
      <c r="D1526" s="46" t="n">
        <v>600</v>
      </c>
      <c r="E1526" s="46" t="n">
        <v>19900</v>
      </c>
      <c r="F1526" s="46" t="n">
        <v>3800</v>
      </c>
      <c r="G1526" s="42" t="n">
        <v>4.76</v>
      </c>
      <c r="H1526" s="42" t="n">
        <v>5.3</v>
      </c>
      <c r="J1526" s="46" t="n">
        <f aca="false">IF(N(E1526)&gt;0,E1526,IF(N(F1526)&gt;0,F1526*요약!$F$27,0))</f>
        <v>19900</v>
      </c>
      <c r="K1526" s="46" t="n">
        <f aca="false">IF(N(F1526)&gt;0,F1526,IF(N(E1526)&gt;0,E1526/요약!$F$27,0))</f>
        <v>3800</v>
      </c>
      <c r="L1526" s="46" t="n">
        <f aca="false">IF(B1526="CN",IF(N(I1526)&gt;0,I1526*요약!$G$27,K1526*(1+요약!$E$27)),IF(N(H1526)&gt;0,H1526*요약!$G$27,J1526*요약!$D$27))</f>
        <v>6996</v>
      </c>
      <c r="M1526" s="46" t="n">
        <f aca="false">D1526*J1526</f>
        <v>11940000</v>
      </c>
      <c r="N1526" s="46" t="n">
        <f aca="false">D1526*K1526</f>
        <v>2280000</v>
      </c>
      <c r="O1526" s="46" t="n">
        <f aca="false">D1526*L1526</f>
        <v>4197600</v>
      </c>
      <c r="P1526" s="42" t="str">
        <f aca="false">TRIM(IF(N(E1526)&lt;=0,"택가보정 ","")&amp;IF(N(F1526)&lt;=0,"원가보정 ","")&amp;IF(AND(B1526&lt;&gt;"CN",N(H1526)&lt;=0),"공급가보정 ","")&amp;IF(AND(B1526="CN",N(I1526)&lt;=0),"중국공급가=원가+마진 ",""))</f>
        <v/>
      </c>
      <c r="Q1526" s="47" t="n">
        <f aca="false">IF(SUMIFS($W:$W,$A:$A,A1526,$C:$C,C1526)=0,0,SUMIFS(RAW_판매펀칭!$K:$K,RAW_판매펀칭!$P:$P,A1526,RAW_판매펀칭!$I:$I,C1526)*W1526/SUMIFS($W:$W,$A:$A,A1526,$C:$C,C1526))</f>
        <v>600</v>
      </c>
      <c r="R1526" s="47" t="n">
        <f aca="false">IF(OR(A1526="500",A1526="800",A1526="810"),0,MAX(W1526-Q1526,0))</f>
        <v>0</v>
      </c>
      <c r="S1526" s="47" t="n">
        <f aca="false">R1526*L1526</f>
        <v>0</v>
      </c>
      <c r="T1526" s="47" t="n">
        <f aca="false">R1526*J1526</f>
        <v>0</v>
      </c>
      <c r="U1526" s="47" t="n">
        <f aca="false">R1526*K1526</f>
        <v>0</v>
      </c>
      <c r="V1526" s="0" t="str">
        <f aca="false">IF(COUNTIFS($A$2:A1526,A1526,$C$2:C1526,C1526,$D$2:D1526,D1526)&gt;1,"중복","")</f>
        <v/>
      </c>
      <c r="W1526" s="0" t="n">
        <f aca="false">IF(V1526="중복",0,N(D1526))</f>
        <v>600</v>
      </c>
      <c r="X1526" s="0" t="n">
        <f aca="false">IF(COUNTIFS($A$2:A1526,A1526,$C$2:C1526,C1526)=1,ABS(SUMIFS(RAW_발주!$D:$D,RAW_발주!$C:$C,A1526,RAW_발주!$A:$A,C1526)-SUMIFS($W:$W,$A:$A,A1526,$C:$C,C1526)),0)</f>
        <v>0</v>
      </c>
    </row>
    <row r="1527" customFormat="false" ht="15" hidden="false" customHeight="true" outlineLevel="0" collapsed="false">
      <c r="A1527" s="45" t="s">
        <v>1664</v>
      </c>
      <c r="B1527" s="42" t="str">
        <f aca="false">IF(A1527="100","HK",IF(A1527="200","CN",IF(A1527="300","TW","홀세일")))</f>
        <v>홀세일</v>
      </c>
      <c r="C1527" s="45" t="s">
        <v>639</v>
      </c>
      <c r="D1527" s="46" t="n">
        <v>40</v>
      </c>
      <c r="E1527" s="46" t="n">
        <v>19900</v>
      </c>
      <c r="F1527" s="46" t="n">
        <v>3800</v>
      </c>
      <c r="G1527" s="42" t="n">
        <v>4.76</v>
      </c>
      <c r="H1527" s="42" t="n">
        <v>5.3</v>
      </c>
      <c r="J1527" s="46" t="n">
        <f aca="false">IF(N(E1527)&gt;0,E1527,IF(N(F1527)&gt;0,F1527*요약!$F$27,0))</f>
        <v>19900</v>
      </c>
      <c r="K1527" s="46" t="n">
        <f aca="false">IF(N(F1527)&gt;0,F1527,IF(N(E1527)&gt;0,E1527/요약!$F$27,0))</f>
        <v>3800</v>
      </c>
      <c r="L1527" s="46" t="n">
        <f aca="false">IF(B1527="CN",IF(N(I1527)&gt;0,I1527*요약!$G$27,K1527*(1+요약!$E$27)),IF(N(H1527)&gt;0,H1527*요약!$G$27,J1527*요약!$D$27))</f>
        <v>6996</v>
      </c>
      <c r="M1527" s="46" t="n">
        <f aca="false">D1527*J1527</f>
        <v>796000</v>
      </c>
      <c r="N1527" s="46" t="n">
        <f aca="false">D1527*K1527</f>
        <v>152000</v>
      </c>
      <c r="O1527" s="46" t="n">
        <f aca="false">D1527*L1527</f>
        <v>279840</v>
      </c>
      <c r="P1527" s="42" t="str">
        <f aca="false">TRIM(IF(N(E1527)&lt;=0,"택가보정 ","")&amp;IF(N(F1527)&lt;=0,"원가보정 ","")&amp;IF(AND(B1527&lt;&gt;"CN",N(H1527)&lt;=0),"공급가보정 ","")&amp;IF(AND(B1527="CN",N(I1527)&lt;=0),"중국공급가=원가+마진 ",""))</f>
        <v/>
      </c>
      <c r="Q1527" s="47" t="n">
        <f aca="false">IF(SUMIFS($W:$W,$A:$A,A1527,$C:$C,C1527)=0,0,SUMIFS(RAW_판매펀칭!$K:$K,RAW_판매펀칭!$P:$P,A1527,RAW_판매펀칭!$I:$I,C1527)*W1527/SUMIFS($W:$W,$A:$A,A1527,$C:$C,C1527))</f>
        <v>0</v>
      </c>
      <c r="R1527" s="47" t="n">
        <f aca="false">IF(OR(A1527="500",A1527="800",A1527="810"),0,MAX(W1527-Q1527,0))</f>
        <v>0</v>
      </c>
      <c r="S1527" s="47" t="n">
        <f aca="false">R1527*L1527</f>
        <v>0</v>
      </c>
      <c r="T1527" s="47" t="n">
        <f aca="false">R1527*J1527</f>
        <v>0</v>
      </c>
      <c r="U1527" s="47" t="n">
        <f aca="false">R1527*K1527</f>
        <v>0</v>
      </c>
      <c r="V1527" s="0" t="str">
        <f aca="false">IF(COUNTIFS($A$2:A1527,A1527,$C$2:C1527,C1527,$D$2:D1527,D1527)&gt;1,"중복","")</f>
        <v/>
      </c>
      <c r="W1527" s="0" t="n">
        <f aca="false">IF(V1527="중복",0,N(D1527))</f>
        <v>40</v>
      </c>
      <c r="X1527" s="0" t="n">
        <f aca="false">IF(COUNTIFS($A$2:A1527,A1527,$C$2:C1527,C1527)=1,ABS(SUMIFS(RAW_발주!$D:$D,RAW_발주!$C:$C,A1527,RAW_발주!$A:$A,C1527)-SUMIFS($W:$W,$A:$A,A1527,$C:$C,C1527)),0)</f>
        <v>0</v>
      </c>
    </row>
    <row r="1528" customFormat="false" ht="15" hidden="false" customHeight="true" outlineLevel="0" collapsed="false">
      <c r="A1528" s="45" t="s">
        <v>1659</v>
      </c>
      <c r="B1528" s="42" t="str">
        <f aca="false">IF(A1528="100","HK",IF(A1528="200","CN",IF(A1528="300","TW","홀세일")))</f>
        <v>HK</v>
      </c>
      <c r="C1528" s="45" t="s">
        <v>641</v>
      </c>
      <c r="D1528" s="46" t="n">
        <v>340</v>
      </c>
      <c r="E1528" s="46" t="n">
        <v>10900</v>
      </c>
      <c r="F1528" s="46" t="n">
        <v>2603</v>
      </c>
      <c r="G1528" s="42" t="n">
        <v>3.81</v>
      </c>
      <c r="H1528" s="42" t="n">
        <v>2.9</v>
      </c>
      <c r="J1528" s="46" t="n">
        <f aca="false">IF(N(E1528)&gt;0,E1528,IF(N(F1528)&gt;0,F1528*요약!$F$27,0))</f>
        <v>10900</v>
      </c>
      <c r="K1528" s="46" t="n">
        <f aca="false">IF(N(F1528)&gt;0,F1528,IF(N(E1528)&gt;0,E1528/요약!$F$27,0))</f>
        <v>2603</v>
      </c>
      <c r="L1528" s="46" t="n">
        <f aca="false">IF(B1528="CN",IF(N(I1528)&gt;0,I1528*요약!$G$27,K1528*(1+요약!$E$27)),IF(N(H1528)&gt;0,H1528*요약!$G$27,J1528*요약!$D$27))</f>
        <v>3828</v>
      </c>
      <c r="M1528" s="46" t="n">
        <f aca="false">D1528*J1528</f>
        <v>3706000</v>
      </c>
      <c r="N1528" s="46" t="n">
        <f aca="false">D1528*K1528</f>
        <v>885020</v>
      </c>
      <c r="O1528" s="46" t="n">
        <f aca="false">D1528*L1528</f>
        <v>1301520</v>
      </c>
      <c r="P1528" s="42" t="str">
        <f aca="false">TRIM(IF(N(E1528)&lt;=0,"택가보정 ","")&amp;IF(N(F1528)&lt;=0,"원가보정 ","")&amp;IF(AND(B1528&lt;&gt;"CN",N(H1528)&lt;=0),"공급가보정 ","")&amp;IF(AND(B1528="CN",N(I1528)&lt;=0),"중국공급가=원가+마진 ",""))</f>
        <v/>
      </c>
      <c r="Q1528" s="47" t="n">
        <f aca="false">IF(SUMIFS($W:$W,$A:$A,A1528,$C:$C,C1528)=0,0,SUMIFS(RAW_판매펀칭!$K:$K,RAW_판매펀칭!$P:$P,A1528,RAW_판매펀칭!$I:$I,C1528)*W1528/SUMIFS($W:$W,$A:$A,A1528,$C:$C,C1528))</f>
        <v>340</v>
      </c>
      <c r="R1528" s="47" t="n">
        <f aca="false">IF(OR(A1528="500",A1528="800",A1528="810"),0,MAX(W1528-Q1528,0))</f>
        <v>0</v>
      </c>
      <c r="S1528" s="47" t="n">
        <f aca="false">R1528*L1528</f>
        <v>0</v>
      </c>
      <c r="T1528" s="47" t="n">
        <f aca="false">R1528*J1528</f>
        <v>0</v>
      </c>
      <c r="U1528" s="47" t="n">
        <f aca="false">R1528*K1528</f>
        <v>0</v>
      </c>
      <c r="V1528" s="0" t="str">
        <f aca="false">IF(COUNTIFS($A$2:A1528,A1528,$C$2:C1528,C1528,$D$2:D1528,D1528)&gt;1,"중복","")</f>
        <v/>
      </c>
      <c r="W1528" s="0" t="n">
        <f aca="false">IF(V1528="중복",0,N(D1528))</f>
        <v>340</v>
      </c>
      <c r="X1528" s="0" t="n">
        <f aca="false">IF(COUNTIFS($A$2:A1528,A1528,$C$2:C1528,C1528)=1,ABS(SUMIFS(RAW_발주!$D:$D,RAW_발주!$C:$C,A1528,RAW_발주!$A:$A,C1528)-SUMIFS($W:$W,$A:$A,A1528,$C:$C,C1528)),0)</f>
        <v>0</v>
      </c>
    </row>
    <row r="1529" customFormat="false" ht="15.75" hidden="false" customHeight="true" outlineLevel="0" collapsed="false">
      <c r="A1529" s="45" t="s">
        <v>1660</v>
      </c>
      <c r="B1529" s="42" t="str">
        <f aca="false">IF(A1529="100","HK",IF(A1529="200","CN",IF(A1529="300","TW","홀세일")))</f>
        <v>CN</v>
      </c>
      <c r="C1529" s="45" t="s">
        <v>641</v>
      </c>
      <c r="D1529" s="46" t="n">
        <v>393</v>
      </c>
      <c r="E1529" s="46" t="n">
        <v>10900</v>
      </c>
      <c r="F1529" s="46" t="n">
        <v>2603</v>
      </c>
      <c r="G1529" s="42" t="n">
        <v>3.81</v>
      </c>
      <c r="H1529" s="42" t="n">
        <v>2.9</v>
      </c>
      <c r="J1529" s="46" t="n">
        <f aca="false">IF(N(E1529)&gt;0,E1529,IF(N(F1529)&gt;0,F1529*요약!$F$27,0))</f>
        <v>10900</v>
      </c>
      <c r="K1529" s="46" t="n">
        <f aca="false">IF(N(F1529)&gt;0,F1529,IF(N(E1529)&gt;0,E1529/요약!$F$27,0))</f>
        <v>2603</v>
      </c>
      <c r="L1529" s="46" t="n">
        <f aca="false">IF(B1529="CN",IF(N(I1529)&gt;0,I1529*요약!$G$27,K1529*(1+요약!$E$27)),IF(N(H1529)&gt;0,H1529*요약!$G$27,J1529*요약!$D$27))</f>
        <v>2733.15</v>
      </c>
      <c r="M1529" s="46" t="n">
        <f aca="false">D1529*J1529</f>
        <v>4283700</v>
      </c>
      <c r="N1529" s="46" t="n">
        <f aca="false">D1529*K1529</f>
        <v>1022979</v>
      </c>
      <c r="O1529" s="46" t="n">
        <f aca="false">D1529*L1529</f>
        <v>1074127.95</v>
      </c>
      <c r="P1529" s="42" t="str">
        <f aca="false">TRIM(IF(N(E1529)&lt;=0,"택가보정 ","")&amp;IF(N(F1529)&lt;=0,"원가보정 ","")&amp;IF(AND(B1529&lt;&gt;"CN",N(H1529)&lt;=0),"공급가보정 ","")&amp;IF(AND(B1529="CN",N(I1529)&lt;=0),"중국공급가=원가+마진 ",""))</f>
        <v>중국공급가=원가+마진</v>
      </c>
      <c r="Q1529" s="47" t="n">
        <f aca="false">IF(SUMIFS($W:$W,$A:$A,A1529,$C:$C,C1529)=0,0,SUMIFS(RAW_판매펀칭!$K:$K,RAW_판매펀칭!$P:$P,A1529,RAW_판매펀칭!$I:$I,C1529)*W1529/SUMIFS($W:$W,$A:$A,A1529,$C:$C,C1529))</f>
        <v>390</v>
      </c>
      <c r="R1529" s="47" t="n">
        <f aca="false">IF(OR(A1529="500",A1529="800",A1529="810"),0,MAX(W1529-Q1529,0))</f>
        <v>3</v>
      </c>
      <c r="S1529" s="47" t="n">
        <f aca="false">R1529*L1529</f>
        <v>8199.45</v>
      </c>
      <c r="T1529" s="47" t="n">
        <f aca="false">R1529*J1529</f>
        <v>32700</v>
      </c>
      <c r="U1529" s="47" t="n">
        <f aca="false">R1529*K1529</f>
        <v>7809</v>
      </c>
      <c r="V1529" s="0" t="str">
        <f aca="false">IF(COUNTIFS($A$2:A1529,A1529,$C$2:C1529,C1529,$D$2:D1529,D1529)&gt;1,"중복","")</f>
        <v/>
      </c>
      <c r="W1529" s="0" t="n">
        <f aca="false">IF(V1529="중복",0,N(D1529))</f>
        <v>393</v>
      </c>
      <c r="X1529" s="0" t="n">
        <f aca="false">IF(COUNTIFS($A$2:A1529,A1529,$C$2:C1529,C1529)=1,ABS(SUMIFS(RAW_발주!$D:$D,RAW_발주!$C:$C,A1529,RAW_발주!$A:$A,C1529)-SUMIFS($W:$W,$A:$A,A1529,$C:$C,C1529)),0)</f>
        <v>0</v>
      </c>
    </row>
    <row r="1530" customFormat="false" ht="15" hidden="false" customHeight="true" outlineLevel="0" collapsed="false">
      <c r="A1530" s="45" t="s">
        <v>1661</v>
      </c>
      <c r="B1530" s="42" t="str">
        <f aca="false">IF(A1530="100","HK",IF(A1530="200","CN",IF(A1530="300","TW","홀세일")))</f>
        <v>TW</v>
      </c>
      <c r="C1530" s="45" t="s">
        <v>641</v>
      </c>
      <c r="D1530" s="46" t="n">
        <v>1000</v>
      </c>
      <c r="E1530" s="46" t="n">
        <v>10900</v>
      </c>
      <c r="F1530" s="46" t="n">
        <v>2603</v>
      </c>
      <c r="G1530" s="42" t="n">
        <v>3.81</v>
      </c>
      <c r="H1530" s="42" t="n">
        <v>2.9</v>
      </c>
      <c r="J1530" s="46" t="n">
        <f aca="false">IF(N(E1530)&gt;0,E1530,IF(N(F1530)&gt;0,F1530*요약!$F$27,0))</f>
        <v>10900</v>
      </c>
      <c r="K1530" s="46" t="n">
        <f aca="false">IF(N(F1530)&gt;0,F1530,IF(N(E1530)&gt;0,E1530/요약!$F$27,0))</f>
        <v>2603</v>
      </c>
      <c r="L1530" s="46" t="n">
        <f aca="false">IF(B1530="CN",IF(N(I1530)&gt;0,I1530*요약!$G$27,K1530*(1+요약!$E$27)),IF(N(H1530)&gt;0,H1530*요약!$G$27,J1530*요약!$D$27))</f>
        <v>3828</v>
      </c>
      <c r="M1530" s="46" t="n">
        <f aca="false">D1530*J1530</f>
        <v>10900000</v>
      </c>
      <c r="N1530" s="46" t="n">
        <f aca="false">D1530*K1530</f>
        <v>2603000</v>
      </c>
      <c r="O1530" s="46" t="n">
        <f aca="false">D1530*L1530</f>
        <v>3828000</v>
      </c>
      <c r="P1530" s="42" t="str">
        <f aca="false">TRIM(IF(N(E1530)&lt;=0,"택가보정 ","")&amp;IF(N(F1530)&lt;=0,"원가보정 ","")&amp;IF(AND(B1530&lt;&gt;"CN",N(H1530)&lt;=0),"공급가보정 ","")&amp;IF(AND(B1530="CN",N(I1530)&lt;=0),"중국공급가=원가+마진 ",""))</f>
        <v/>
      </c>
      <c r="Q1530" s="47" t="n">
        <f aca="false">IF(SUMIFS($W:$W,$A:$A,A1530,$C:$C,C1530)=0,0,SUMIFS(RAW_판매펀칭!$K:$K,RAW_판매펀칭!$P:$P,A1530,RAW_판매펀칭!$I:$I,C1530)*W1530/SUMIFS($W:$W,$A:$A,A1530,$C:$C,C1530))</f>
        <v>1000</v>
      </c>
      <c r="R1530" s="47" t="n">
        <f aca="false">IF(OR(A1530="500",A1530="800",A1530="810"),0,MAX(W1530-Q1530,0))</f>
        <v>0</v>
      </c>
      <c r="S1530" s="47" t="n">
        <f aca="false">R1530*L1530</f>
        <v>0</v>
      </c>
      <c r="T1530" s="47" t="n">
        <f aca="false">R1530*J1530</f>
        <v>0</v>
      </c>
      <c r="U1530" s="47" t="n">
        <f aca="false">R1530*K1530</f>
        <v>0</v>
      </c>
      <c r="V1530" s="0" t="str">
        <f aca="false">IF(COUNTIFS($A$2:A1530,A1530,$C$2:C1530,C1530,$D$2:D1530,D1530)&gt;1,"중복","")</f>
        <v/>
      </c>
      <c r="W1530" s="0" t="n">
        <f aca="false">IF(V1530="중복",0,N(D1530))</f>
        <v>1000</v>
      </c>
      <c r="X1530" s="0" t="n">
        <f aca="false">IF(COUNTIFS($A$2:A1530,A1530,$C$2:C1530,C1530)=1,ABS(SUMIFS(RAW_발주!$D:$D,RAW_발주!$C:$C,A1530,RAW_발주!$A:$A,C1530)-SUMIFS($W:$W,$A:$A,A1530,$C:$C,C1530)),0)</f>
        <v>0</v>
      </c>
    </row>
    <row r="1531" customFormat="false" ht="15" hidden="false" customHeight="true" outlineLevel="0" collapsed="false">
      <c r="A1531" s="45" t="s">
        <v>1662</v>
      </c>
      <c r="B1531" s="42" t="str">
        <f aca="false">IF(A1531="100","HK",IF(A1531="200","CN",IF(A1531="300","TW","홀세일")))</f>
        <v>홀세일</v>
      </c>
      <c r="C1531" s="45" t="s">
        <v>641</v>
      </c>
      <c r="D1531" s="46" t="n">
        <v>60</v>
      </c>
      <c r="E1531" s="46" t="n">
        <v>10900</v>
      </c>
      <c r="F1531" s="46" t="n">
        <v>2603</v>
      </c>
      <c r="G1531" s="42" t="n">
        <v>3.81</v>
      </c>
      <c r="H1531" s="42" t="n">
        <v>2.9</v>
      </c>
      <c r="J1531" s="46" t="n">
        <f aca="false">IF(N(E1531)&gt;0,E1531,IF(N(F1531)&gt;0,F1531*요약!$F$27,0))</f>
        <v>10900</v>
      </c>
      <c r="K1531" s="46" t="n">
        <f aca="false">IF(N(F1531)&gt;0,F1531,IF(N(E1531)&gt;0,E1531/요약!$F$27,0))</f>
        <v>2603</v>
      </c>
      <c r="L1531" s="46" t="n">
        <f aca="false">IF(B1531="CN",IF(N(I1531)&gt;0,I1531*요약!$G$27,K1531*(1+요약!$E$27)),IF(N(H1531)&gt;0,H1531*요약!$G$27,J1531*요약!$D$27))</f>
        <v>3828</v>
      </c>
      <c r="M1531" s="46" t="n">
        <f aca="false">D1531*J1531</f>
        <v>654000</v>
      </c>
      <c r="N1531" s="46" t="n">
        <f aca="false">D1531*K1531</f>
        <v>156180</v>
      </c>
      <c r="O1531" s="46" t="n">
        <f aca="false">D1531*L1531</f>
        <v>229680</v>
      </c>
      <c r="P1531" s="42" t="str">
        <f aca="false">TRIM(IF(N(E1531)&lt;=0,"택가보정 ","")&amp;IF(N(F1531)&lt;=0,"원가보정 ","")&amp;IF(AND(B1531&lt;&gt;"CN",N(H1531)&lt;=0),"공급가보정 ","")&amp;IF(AND(B1531="CN",N(I1531)&lt;=0),"중국공급가=원가+마진 ",""))</f>
        <v/>
      </c>
      <c r="Q1531" s="47" t="n">
        <f aca="false">IF(SUMIFS($W:$W,$A:$A,A1531,$C:$C,C1531)=0,0,SUMIFS(RAW_판매펀칭!$K:$K,RAW_판매펀칭!$P:$P,A1531,RAW_판매펀칭!$I:$I,C1531)*W1531/SUMIFS($W:$W,$A:$A,A1531,$C:$C,C1531))</f>
        <v>0</v>
      </c>
      <c r="R1531" s="47" t="n">
        <f aca="false">IF(OR(A1531="500",A1531="800",A1531="810"),0,MAX(W1531-Q1531,0))</f>
        <v>0</v>
      </c>
      <c r="S1531" s="47" t="n">
        <f aca="false">R1531*L1531</f>
        <v>0</v>
      </c>
      <c r="T1531" s="47" t="n">
        <f aca="false">R1531*J1531</f>
        <v>0</v>
      </c>
      <c r="U1531" s="47" t="n">
        <f aca="false">R1531*K1531</f>
        <v>0</v>
      </c>
      <c r="V1531" s="0" t="str">
        <f aca="false">IF(COUNTIFS($A$2:A1531,A1531,$C$2:C1531,C1531,$D$2:D1531,D1531)&gt;1,"중복","")</f>
        <v/>
      </c>
      <c r="W1531" s="0" t="n">
        <f aca="false">IF(V1531="중복",0,N(D1531))</f>
        <v>60</v>
      </c>
      <c r="X1531" s="0" t="n">
        <f aca="false">IF(COUNTIFS($A$2:A1531,A1531,$C$2:C1531,C1531)=1,ABS(SUMIFS(RAW_발주!$D:$D,RAW_발주!$C:$C,A1531,RAW_발주!$A:$A,C1531)-SUMIFS($W:$W,$A:$A,A1531,$C:$C,C1531)),0)</f>
        <v>0</v>
      </c>
    </row>
    <row r="1532" customFormat="false" ht="15" hidden="false" customHeight="true" outlineLevel="0" collapsed="false">
      <c r="A1532" s="45" t="s">
        <v>1663</v>
      </c>
      <c r="B1532" s="42" t="str">
        <f aca="false">IF(A1532="100","HK",IF(A1532="200","CN",IF(A1532="300","TW","홀세일")))</f>
        <v>홀세일</v>
      </c>
      <c r="C1532" s="45" t="s">
        <v>641</v>
      </c>
      <c r="D1532" s="46" t="n">
        <v>100</v>
      </c>
      <c r="E1532" s="46" t="n">
        <v>10900</v>
      </c>
      <c r="F1532" s="46" t="n">
        <v>2603</v>
      </c>
      <c r="G1532" s="42" t="n">
        <v>3.81</v>
      </c>
      <c r="H1532" s="42" t="n">
        <v>2.9</v>
      </c>
      <c r="J1532" s="46" t="n">
        <f aca="false">IF(N(E1532)&gt;0,E1532,IF(N(F1532)&gt;0,F1532*요약!$F$27,0))</f>
        <v>10900</v>
      </c>
      <c r="K1532" s="46" t="n">
        <f aca="false">IF(N(F1532)&gt;0,F1532,IF(N(E1532)&gt;0,E1532/요약!$F$27,0))</f>
        <v>2603</v>
      </c>
      <c r="L1532" s="46" t="n">
        <f aca="false">IF(B1532="CN",IF(N(I1532)&gt;0,I1532*요약!$G$27,K1532*(1+요약!$E$27)),IF(N(H1532)&gt;0,H1532*요약!$G$27,J1532*요약!$D$27))</f>
        <v>3828</v>
      </c>
      <c r="M1532" s="46" t="n">
        <f aca="false">D1532*J1532</f>
        <v>1090000</v>
      </c>
      <c r="N1532" s="46" t="n">
        <f aca="false">D1532*K1532</f>
        <v>260300</v>
      </c>
      <c r="O1532" s="46" t="n">
        <f aca="false">D1532*L1532</f>
        <v>382800</v>
      </c>
      <c r="P1532" s="42" t="str">
        <f aca="false">TRIM(IF(N(E1532)&lt;=0,"택가보정 ","")&amp;IF(N(F1532)&lt;=0,"원가보정 ","")&amp;IF(AND(B1532&lt;&gt;"CN",N(H1532)&lt;=0),"공급가보정 ","")&amp;IF(AND(B1532="CN",N(I1532)&lt;=0),"중국공급가=원가+마진 ",""))</f>
        <v/>
      </c>
      <c r="Q1532" s="47" t="n">
        <f aca="false">IF(SUMIFS($W:$W,$A:$A,A1532,$C:$C,C1532)=0,0,SUMIFS(RAW_판매펀칭!$K:$K,RAW_판매펀칭!$P:$P,A1532,RAW_판매펀칭!$I:$I,C1532)*W1532/SUMIFS($W:$W,$A:$A,A1532,$C:$C,C1532))</f>
        <v>100</v>
      </c>
      <c r="R1532" s="47" t="n">
        <f aca="false">IF(OR(A1532="500",A1532="800",A1532="810"),0,MAX(W1532-Q1532,0))</f>
        <v>0</v>
      </c>
      <c r="S1532" s="47" t="n">
        <f aca="false">R1532*L1532</f>
        <v>0</v>
      </c>
      <c r="T1532" s="47" t="n">
        <f aca="false">R1532*J1532</f>
        <v>0</v>
      </c>
      <c r="U1532" s="47" t="n">
        <f aca="false">R1532*K1532</f>
        <v>0</v>
      </c>
      <c r="V1532" s="0" t="str">
        <f aca="false">IF(COUNTIFS($A$2:A1532,A1532,$C$2:C1532,C1532,$D$2:D1532,D1532)&gt;1,"중복","")</f>
        <v/>
      </c>
      <c r="W1532" s="0" t="n">
        <f aca="false">IF(V1532="중복",0,N(D1532))</f>
        <v>100</v>
      </c>
      <c r="X1532" s="0" t="n">
        <f aca="false">IF(COUNTIFS($A$2:A1532,A1532,$C$2:C1532,C1532)=1,ABS(SUMIFS(RAW_발주!$D:$D,RAW_발주!$C:$C,A1532,RAW_발주!$A:$A,C1532)-SUMIFS($W:$W,$A:$A,A1532,$C:$C,C1532)),0)</f>
        <v>0</v>
      </c>
    </row>
    <row r="1533" customFormat="false" ht="15" hidden="false" customHeight="true" outlineLevel="0" collapsed="false">
      <c r="A1533" s="45" t="s">
        <v>1664</v>
      </c>
      <c r="B1533" s="42" t="str">
        <f aca="false">IF(A1533="100","HK",IF(A1533="200","CN",IF(A1533="300","TW","홀세일")))</f>
        <v>홀세일</v>
      </c>
      <c r="C1533" s="45" t="s">
        <v>641</v>
      </c>
      <c r="D1533" s="46" t="n">
        <v>40</v>
      </c>
      <c r="E1533" s="46" t="n">
        <v>10900</v>
      </c>
      <c r="F1533" s="46" t="n">
        <v>2603</v>
      </c>
      <c r="G1533" s="42" t="n">
        <v>3.81</v>
      </c>
      <c r="H1533" s="42" t="n">
        <v>2.9</v>
      </c>
      <c r="J1533" s="46" t="n">
        <f aca="false">IF(N(E1533)&gt;0,E1533,IF(N(F1533)&gt;0,F1533*요약!$F$27,0))</f>
        <v>10900</v>
      </c>
      <c r="K1533" s="46" t="n">
        <f aca="false">IF(N(F1533)&gt;0,F1533,IF(N(E1533)&gt;0,E1533/요약!$F$27,0))</f>
        <v>2603</v>
      </c>
      <c r="L1533" s="46" t="n">
        <f aca="false">IF(B1533="CN",IF(N(I1533)&gt;0,I1533*요약!$G$27,K1533*(1+요약!$E$27)),IF(N(H1533)&gt;0,H1533*요약!$G$27,J1533*요약!$D$27))</f>
        <v>3828</v>
      </c>
      <c r="M1533" s="46" t="n">
        <f aca="false">D1533*J1533</f>
        <v>436000</v>
      </c>
      <c r="N1533" s="46" t="n">
        <f aca="false">D1533*K1533</f>
        <v>104120</v>
      </c>
      <c r="O1533" s="46" t="n">
        <f aca="false">D1533*L1533</f>
        <v>153120</v>
      </c>
      <c r="P1533" s="42" t="str">
        <f aca="false">TRIM(IF(N(E1533)&lt;=0,"택가보정 ","")&amp;IF(N(F1533)&lt;=0,"원가보정 ","")&amp;IF(AND(B1533&lt;&gt;"CN",N(H1533)&lt;=0),"공급가보정 ","")&amp;IF(AND(B1533="CN",N(I1533)&lt;=0),"중국공급가=원가+마진 ",""))</f>
        <v/>
      </c>
      <c r="Q1533" s="47" t="n">
        <f aca="false">IF(SUMIFS($W:$W,$A:$A,A1533,$C:$C,C1533)=0,0,SUMIFS(RAW_판매펀칭!$K:$K,RAW_판매펀칭!$P:$P,A1533,RAW_판매펀칭!$I:$I,C1533)*W1533/SUMIFS($W:$W,$A:$A,A1533,$C:$C,C1533))</f>
        <v>0</v>
      </c>
      <c r="R1533" s="47" t="n">
        <f aca="false">IF(OR(A1533="500",A1533="800",A1533="810"),0,MAX(W1533-Q1533,0))</f>
        <v>0</v>
      </c>
      <c r="S1533" s="47" t="n">
        <f aca="false">R1533*L1533</f>
        <v>0</v>
      </c>
      <c r="T1533" s="47" t="n">
        <f aca="false">R1533*J1533</f>
        <v>0</v>
      </c>
      <c r="U1533" s="47" t="n">
        <f aca="false">R1533*K1533</f>
        <v>0</v>
      </c>
      <c r="V1533" s="0" t="str">
        <f aca="false">IF(COUNTIFS($A$2:A1533,A1533,$C$2:C1533,C1533,$D$2:D1533,D1533)&gt;1,"중복","")</f>
        <v/>
      </c>
      <c r="W1533" s="0" t="n">
        <f aca="false">IF(V1533="중복",0,N(D1533))</f>
        <v>40</v>
      </c>
      <c r="X1533" s="0" t="n">
        <f aca="false">IF(COUNTIFS($A$2:A1533,A1533,$C$2:C1533,C1533)=1,ABS(SUMIFS(RAW_발주!$D:$D,RAW_발주!$C:$C,A1533,RAW_발주!$A:$A,C1533)-SUMIFS($W:$W,$A:$A,A1533,$C:$C,C1533)),0)</f>
        <v>0</v>
      </c>
    </row>
    <row r="1534" customFormat="false" ht="15" hidden="false" customHeight="true" outlineLevel="0" collapsed="false">
      <c r="A1534" s="45" t="s">
        <v>1659</v>
      </c>
      <c r="B1534" s="42" t="str">
        <f aca="false">IF(A1534="100","HK",IF(A1534="200","CN",IF(A1534="300","TW","홀세일")))</f>
        <v>HK</v>
      </c>
      <c r="C1534" s="45" t="s">
        <v>643</v>
      </c>
      <c r="D1534" s="46" t="n">
        <v>170</v>
      </c>
      <c r="E1534" s="46" t="n">
        <v>10900</v>
      </c>
      <c r="F1534" s="46" t="n">
        <v>2200</v>
      </c>
      <c r="G1534" s="42" t="n">
        <v>4.5</v>
      </c>
      <c r="H1534" s="42" t="n">
        <v>2.9</v>
      </c>
      <c r="J1534" s="46" t="n">
        <f aca="false">IF(N(E1534)&gt;0,E1534,IF(N(F1534)&gt;0,F1534*요약!$F$27,0))</f>
        <v>10900</v>
      </c>
      <c r="K1534" s="46" t="n">
        <f aca="false">IF(N(F1534)&gt;0,F1534,IF(N(E1534)&gt;0,E1534/요약!$F$27,0))</f>
        <v>2200</v>
      </c>
      <c r="L1534" s="46" t="n">
        <f aca="false">IF(B1534="CN",IF(N(I1534)&gt;0,I1534*요약!$G$27,K1534*(1+요약!$E$27)),IF(N(H1534)&gt;0,H1534*요약!$G$27,J1534*요약!$D$27))</f>
        <v>3828</v>
      </c>
      <c r="M1534" s="46" t="n">
        <f aca="false">D1534*J1534</f>
        <v>1853000</v>
      </c>
      <c r="N1534" s="46" t="n">
        <f aca="false">D1534*K1534</f>
        <v>374000</v>
      </c>
      <c r="O1534" s="46" t="n">
        <f aca="false">D1534*L1534</f>
        <v>650760</v>
      </c>
      <c r="P1534" s="42" t="str">
        <f aca="false">TRIM(IF(N(E1534)&lt;=0,"택가보정 ","")&amp;IF(N(F1534)&lt;=0,"원가보정 ","")&amp;IF(AND(B1534&lt;&gt;"CN",N(H1534)&lt;=0),"공급가보정 ","")&amp;IF(AND(B1534="CN",N(I1534)&lt;=0),"중국공급가=원가+마진 ",""))</f>
        <v/>
      </c>
      <c r="Q1534" s="47" t="n">
        <f aca="false">IF(SUMIFS($W:$W,$A:$A,A1534,$C:$C,C1534)=0,0,SUMIFS(RAW_판매펀칭!$K:$K,RAW_판매펀칭!$P:$P,A1534,RAW_판매펀칭!$I:$I,C1534)*W1534/SUMIFS($W:$W,$A:$A,A1534,$C:$C,C1534))</f>
        <v>170</v>
      </c>
      <c r="R1534" s="47" t="n">
        <f aca="false">IF(OR(A1534="500",A1534="800",A1534="810"),0,MAX(W1534-Q1534,0))</f>
        <v>0</v>
      </c>
      <c r="S1534" s="47" t="n">
        <f aca="false">R1534*L1534</f>
        <v>0</v>
      </c>
      <c r="T1534" s="47" t="n">
        <f aca="false">R1534*J1534</f>
        <v>0</v>
      </c>
      <c r="U1534" s="47" t="n">
        <f aca="false">R1534*K1534</f>
        <v>0</v>
      </c>
      <c r="V1534" s="0" t="str">
        <f aca="false">IF(COUNTIFS($A$2:A1534,A1534,$C$2:C1534,C1534,$D$2:D1534,D1534)&gt;1,"중복","")</f>
        <v/>
      </c>
      <c r="W1534" s="0" t="n">
        <f aca="false">IF(V1534="중복",0,N(D1534))</f>
        <v>170</v>
      </c>
      <c r="X1534" s="0" t="n">
        <f aca="false">IF(COUNTIFS($A$2:A1534,A1534,$C$2:C1534,C1534)=1,ABS(SUMIFS(RAW_발주!$D:$D,RAW_발주!$C:$C,A1534,RAW_발주!$A:$A,C1534)-SUMIFS($W:$W,$A:$A,A1534,$C:$C,C1534)),0)</f>
        <v>0</v>
      </c>
    </row>
    <row r="1535" customFormat="false" ht="15" hidden="false" customHeight="true" outlineLevel="0" collapsed="false">
      <c r="A1535" s="45" t="s">
        <v>1661</v>
      </c>
      <c r="B1535" s="42" t="str">
        <f aca="false">IF(A1535="100","HK",IF(A1535="200","CN",IF(A1535="300","TW","홀세일")))</f>
        <v>TW</v>
      </c>
      <c r="C1535" s="45" t="s">
        <v>643</v>
      </c>
      <c r="D1535" s="46" t="n">
        <v>500</v>
      </c>
      <c r="E1535" s="46" t="n">
        <v>10900</v>
      </c>
      <c r="F1535" s="46" t="n">
        <v>2200</v>
      </c>
      <c r="G1535" s="42" t="n">
        <v>4.5</v>
      </c>
      <c r="H1535" s="42" t="n">
        <v>2.9</v>
      </c>
      <c r="J1535" s="46" t="n">
        <f aca="false">IF(N(E1535)&gt;0,E1535,IF(N(F1535)&gt;0,F1535*요약!$F$27,0))</f>
        <v>10900</v>
      </c>
      <c r="K1535" s="46" t="n">
        <f aca="false">IF(N(F1535)&gt;0,F1535,IF(N(E1535)&gt;0,E1535/요약!$F$27,0))</f>
        <v>2200</v>
      </c>
      <c r="L1535" s="46" t="n">
        <f aca="false">IF(B1535="CN",IF(N(I1535)&gt;0,I1535*요약!$G$27,K1535*(1+요약!$E$27)),IF(N(H1535)&gt;0,H1535*요약!$G$27,J1535*요약!$D$27))</f>
        <v>3828</v>
      </c>
      <c r="M1535" s="46" t="n">
        <f aca="false">D1535*J1535</f>
        <v>5450000</v>
      </c>
      <c r="N1535" s="46" t="n">
        <f aca="false">D1535*K1535</f>
        <v>1100000</v>
      </c>
      <c r="O1535" s="46" t="n">
        <f aca="false">D1535*L1535</f>
        <v>1914000</v>
      </c>
      <c r="P1535" s="42" t="str">
        <f aca="false">TRIM(IF(N(E1535)&lt;=0,"택가보정 ","")&amp;IF(N(F1535)&lt;=0,"원가보정 ","")&amp;IF(AND(B1535&lt;&gt;"CN",N(H1535)&lt;=0),"공급가보정 ","")&amp;IF(AND(B1535="CN",N(I1535)&lt;=0),"중국공급가=원가+마진 ",""))</f>
        <v/>
      </c>
      <c r="Q1535" s="47" t="n">
        <f aca="false">IF(SUMIFS($W:$W,$A:$A,A1535,$C:$C,C1535)=0,0,SUMIFS(RAW_판매펀칭!$K:$K,RAW_판매펀칭!$P:$P,A1535,RAW_판매펀칭!$I:$I,C1535)*W1535/SUMIFS($W:$W,$A:$A,A1535,$C:$C,C1535))</f>
        <v>500</v>
      </c>
      <c r="R1535" s="47" t="n">
        <f aca="false">IF(OR(A1535="500",A1535="800",A1535="810"),0,MAX(W1535-Q1535,0))</f>
        <v>0</v>
      </c>
      <c r="S1535" s="47" t="n">
        <f aca="false">R1535*L1535</f>
        <v>0</v>
      </c>
      <c r="T1535" s="47" t="n">
        <f aca="false">R1535*J1535</f>
        <v>0</v>
      </c>
      <c r="U1535" s="47" t="n">
        <f aca="false">R1535*K1535</f>
        <v>0</v>
      </c>
      <c r="V1535" s="0" t="str">
        <f aca="false">IF(COUNTIFS($A$2:A1535,A1535,$C$2:C1535,C1535,$D$2:D1535,D1535)&gt;1,"중복","")</f>
        <v/>
      </c>
      <c r="W1535" s="0" t="n">
        <f aca="false">IF(V1535="중복",0,N(D1535))</f>
        <v>500</v>
      </c>
      <c r="X1535" s="0" t="n">
        <f aca="false">IF(COUNTIFS($A$2:A1535,A1535,$C$2:C1535,C1535)=1,ABS(SUMIFS(RAW_발주!$D:$D,RAW_발주!$C:$C,A1535,RAW_발주!$A:$A,C1535)-SUMIFS($W:$W,$A:$A,A1535,$C:$C,C1535)),0)</f>
        <v>0</v>
      </c>
    </row>
    <row r="1536" customFormat="false" ht="15" hidden="false" customHeight="true" outlineLevel="0" collapsed="false">
      <c r="A1536" s="45" t="s">
        <v>1664</v>
      </c>
      <c r="B1536" s="42" t="str">
        <f aca="false">IF(A1536="100","HK",IF(A1536="200","CN",IF(A1536="300","TW","홀세일")))</f>
        <v>홀세일</v>
      </c>
      <c r="C1536" s="45" t="s">
        <v>643</v>
      </c>
      <c r="D1536" s="46" t="n">
        <v>20</v>
      </c>
      <c r="E1536" s="46" t="n">
        <v>10900</v>
      </c>
      <c r="F1536" s="46" t="n">
        <v>2200</v>
      </c>
      <c r="G1536" s="42" t="n">
        <v>4.5</v>
      </c>
      <c r="H1536" s="42" t="n">
        <v>2.9</v>
      </c>
      <c r="J1536" s="46" t="n">
        <f aca="false">IF(N(E1536)&gt;0,E1536,IF(N(F1536)&gt;0,F1536*요약!$F$27,0))</f>
        <v>10900</v>
      </c>
      <c r="K1536" s="46" t="n">
        <f aca="false">IF(N(F1536)&gt;0,F1536,IF(N(E1536)&gt;0,E1536/요약!$F$27,0))</f>
        <v>2200</v>
      </c>
      <c r="L1536" s="46" t="n">
        <f aca="false">IF(B1536="CN",IF(N(I1536)&gt;0,I1536*요약!$G$27,K1536*(1+요약!$E$27)),IF(N(H1536)&gt;0,H1536*요약!$G$27,J1536*요약!$D$27))</f>
        <v>3828</v>
      </c>
      <c r="M1536" s="46" t="n">
        <f aca="false">D1536*J1536</f>
        <v>218000</v>
      </c>
      <c r="N1536" s="46" t="n">
        <f aca="false">D1536*K1536</f>
        <v>44000</v>
      </c>
      <c r="O1536" s="46" t="n">
        <f aca="false">D1536*L1536</f>
        <v>76560</v>
      </c>
      <c r="P1536" s="42" t="str">
        <f aca="false">TRIM(IF(N(E1536)&lt;=0,"택가보정 ","")&amp;IF(N(F1536)&lt;=0,"원가보정 ","")&amp;IF(AND(B1536&lt;&gt;"CN",N(H1536)&lt;=0),"공급가보정 ","")&amp;IF(AND(B1536="CN",N(I1536)&lt;=0),"중국공급가=원가+마진 ",""))</f>
        <v/>
      </c>
      <c r="Q1536" s="47" t="n">
        <f aca="false">IF(SUMIFS($W:$W,$A:$A,A1536,$C:$C,C1536)=0,0,SUMIFS(RAW_판매펀칭!$K:$K,RAW_판매펀칭!$P:$P,A1536,RAW_판매펀칭!$I:$I,C1536)*W1536/SUMIFS($W:$W,$A:$A,A1536,$C:$C,C1536))</f>
        <v>0</v>
      </c>
      <c r="R1536" s="47" t="n">
        <f aca="false">IF(OR(A1536="500",A1536="800",A1536="810"),0,MAX(W1536-Q1536,0))</f>
        <v>0</v>
      </c>
      <c r="S1536" s="47" t="n">
        <f aca="false">R1536*L1536</f>
        <v>0</v>
      </c>
      <c r="T1536" s="47" t="n">
        <f aca="false">R1536*J1536</f>
        <v>0</v>
      </c>
      <c r="U1536" s="47" t="n">
        <f aca="false">R1536*K1536</f>
        <v>0</v>
      </c>
      <c r="V1536" s="0" t="str">
        <f aca="false">IF(COUNTIFS($A$2:A1536,A1536,$C$2:C1536,C1536,$D$2:D1536,D1536)&gt;1,"중복","")</f>
        <v/>
      </c>
      <c r="W1536" s="0" t="n">
        <f aca="false">IF(V1536="중복",0,N(D1536))</f>
        <v>20</v>
      </c>
      <c r="X1536" s="0" t="n">
        <f aca="false">IF(COUNTIFS($A$2:A1536,A1536,$C$2:C1536,C1536)=1,ABS(SUMIFS(RAW_발주!$D:$D,RAW_발주!$C:$C,A1536,RAW_발주!$A:$A,C1536)-SUMIFS($W:$W,$A:$A,A1536,$C:$C,C1536)),0)</f>
        <v>0</v>
      </c>
    </row>
    <row r="1537" customFormat="false" ht="15" hidden="false" customHeight="true" outlineLevel="0" collapsed="false">
      <c r="A1537" s="45" t="s">
        <v>1666</v>
      </c>
      <c r="B1537" s="42" t="str">
        <f aca="false">IF(A1537="100","HK",IF(A1537="200","CN",IF(A1537="300","TW","홀세일")))</f>
        <v>홀세일</v>
      </c>
      <c r="C1537" s="45" t="s">
        <v>643</v>
      </c>
      <c r="D1537" s="46" t="n">
        <v>200</v>
      </c>
      <c r="E1537" s="46" t="n">
        <v>10900</v>
      </c>
      <c r="F1537" s="46" t="n">
        <v>2200</v>
      </c>
      <c r="G1537" s="42" t="n">
        <v>4.5</v>
      </c>
      <c r="H1537" s="42" t="n">
        <v>2.9</v>
      </c>
      <c r="J1537" s="46" t="n">
        <f aca="false">IF(N(E1537)&gt;0,E1537,IF(N(F1537)&gt;0,F1537*요약!$F$27,0))</f>
        <v>10900</v>
      </c>
      <c r="K1537" s="46" t="n">
        <f aca="false">IF(N(F1537)&gt;0,F1537,IF(N(E1537)&gt;0,E1537/요약!$F$27,0))</f>
        <v>2200</v>
      </c>
      <c r="L1537" s="46" t="n">
        <f aca="false">IF(B1537="CN",IF(N(I1537)&gt;0,I1537*요약!$G$27,K1537*(1+요약!$E$27)),IF(N(H1537)&gt;0,H1537*요약!$G$27,J1537*요약!$D$27))</f>
        <v>3828</v>
      </c>
      <c r="M1537" s="46" t="n">
        <f aca="false">D1537*J1537</f>
        <v>2180000</v>
      </c>
      <c r="N1537" s="46" t="n">
        <f aca="false">D1537*K1537</f>
        <v>440000</v>
      </c>
      <c r="O1537" s="46" t="n">
        <f aca="false">D1537*L1537</f>
        <v>765600</v>
      </c>
      <c r="P1537" s="42" t="str">
        <f aca="false">TRIM(IF(N(E1537)&lt;=0,"택가보정 ","")&amp;IF(N(F1537)&lt;=0,"원가보정 ","")&amp;IF(AND(B1537&lt;&gt;"CN",N(H1537)&lt;=0),"공급가보정 ","")&amp;IF(AND(B1537="CN",N(I1537)&lt;=0),"중국공급가=원가+마진 ",""))</f>
        <v/>
      </c>
      <c r="Q1537" s="47" t="n">
        <f aca="false">IF(SUMIFS($W:$W,$A:$A,A1537,$C:$C,C1537)=0,0,SUMIFS(RAW_판매펀칭!$K:$K,RAW_판매펀칭!$P:$P,A1537,RAW_판매펀칭!$I:$I,C1537)*W1537/SUMIFS($W:$W,$A:$A,A1537,$C:$C,C1537))</f>
        <v>200</v>
      </c>
      <c r="R1537" s="47" t="n">
        <f aca="false">IF(OR(A1537="500",A1537="800",A1537="810"),0,MAX(W1537-Q1537,0))</f>
        <v>0</v>
      </c>
      <c r="S1537" s="47" t="n">
        <f aca="false">R1537*L1537</f>
        <v>0</v>
      </c>
      <c r="T1537" s="47" t="n">
        <f aca="false">R1537*J1537</f>
        <v>0</v>
      </c>
      <c r="U1537" s="47" t="n">
        <f aca="false">R1537*K1537</f>
        <v>0</v>
      </c>
      <c r="V1537" s="0" t="str">
        <f aca="false">IF(COUNTIFS($A$2:A1537,A1537,$C$2:C1537,C1537,$D$2:D1537,D1537)&gt;1,"중복","")</f>
        <v/>
      </c>
      <c r="W1537" s="0" t="n">
        <f aca="false">IF(V1537="중복",0,N(D1537))</f>
        <v>200</v>
      </c>
      <c r="X1537" s="0" t="n">
        <f aca="false">IF(COUNTIFS($A$2:A1537,A1537,$C$2:C1537,C1537)=1,ABS(SUMIFS(RAW_발주!$D:$D,RAW_발주!$C:$C,A1537,RAW_발주!$A:$A,C1537)-SUMIFS($W:$W,$A:$A,A1537,$C:$C,C1537)),0)</f>
        <v>0</v>
      </c>
    </row>
    <row r="1538" customFormat="false" ht="15.75" hidden="false" customHeight="true" outlineLevel="0" collapsed="false">
      <c r="A1538" s="45" t="s">
        <v>1660</v>
      </c>
      <c r="B1538" s="42" t="str">
        <f aca="false">IF(A1538="100","HK",IF(A1538="200","CN",IF(A1538="300","TW","홀세일")))</f>
        <v>CN</v>
      </c>
      <c r="C1538" s="45" t="s">
        <v>645</v>
      </c>
      <c r="D1538" s="46" t="n">
        <v>82</v>
      </c>
      <c r="E1538" s="46" t="n">
        <v>129000</v>
      </c>
      <c r="F1538" s="46" t="n">
        <v>30891</v>
      </c>
      <c r="G1538" s="42" t="n">
        <v>3.62</v>
      </c>
      <c r="H1538" s="42" t="n">
        <v>34.3</v>
      </c>
      <c r="J1538" s="46" t="n">
        <f aca="false">IF(N(E1538)&gt;0,E1538,IF(N(F1538)&gt;0,F1538*요약!$F$27,0))</f>
        <v>129000</v>
      </c>
      <c r="K1538" s="46" t="n">
        <f aca="false">IF(N(F1538)&gt;0,F1538,IF(N(E1538)&gt;0,E1538/요약!$F$27,0))</f>
        <v>30891</v>
      </c>
      <c r="L1538" s="46" t="n">
        <f aca="false">IF(B1538="CN",IF(N(I1538)&gt;0,I1538*요약!$G$27,K1538*(1+요약!$E$27)),IF(N(H1538)&gt;0,H1538*요약!$G$27,J1538*요약!$D$27))</f>
        <v>32435.55</v>
      </c>
      <c r="M1538" s="46" t="n">
        <f aca="false">D1538*J1538</f>
        <v>10578000</v>
      </c>
      <c r="N1538" s="46" t="n">
        <f aca="false">D1538*K1538</f>
        <v>2533062</v>
      </c>
      <c r="O1538" s="46" t="n">
        <f aca="false">D1538*L1538</f>
        <v>2659715.1</v>
      </c>
      <c r="P1538" s="42" t="str">
        <f aca="false">TRIM(IF(N(E1538)&lt;=0,"택가보정 ","")&amp;IF(N(F1538)&lt;=0,"원가보정 ","")&amp;IF(AND(B1538&lt;&gt;"CN",N(H1538)&lt;=0),"공급가보정 ","")&amp;IF(AND(B1538="CN",N(I1538)&lt;=0),"중국공급가=원가+마진 ",""))</f>
        <v>중국공급가=원가+마진</v>
      </c>
      <c r="Q1538" s="47" t="n">
        <f aca="false">IF(SUMIFS($W:$W,$A:$A,A1538,$C:$C,C1538)=0,0,SUMIFS(RAW_판매펀칭!$K:$K,RAW_판매펀칭!$P:$P,A1538,RAW_판매펀칭!$I:$I,C1538)*W1538/SUMIFS($W:$W,$A:$A,A1538,$C:$C,C1538))</f>
        <v>80</v>
      </c>
      <c r="R1538" s="47" t="n">
        <f aca="false">IF(OR(A1538="500",A1538="800",A1538="810"),0,MAX(W1538-Q1538,0))</f>
        <v>2</v>
      </c>
      <c r="S1538" s="47" t="n">
        <f aca="false">R1538*L1538</f>
        <v>64871.1</v>
      </c>
      <c r="T1538" s="47" t="n">
        <f aca="false">R1538*J1538</f>
        <v>258000</v>
      </c>
      <c r="U1538" s="47" t="n">
        <f aca="false">R1538*K1538</f>
        <v>61782</v>
      </c>
      <c r="V1538" s="0" t="str">
        <f aca="false">IF(COUNTIFS($A$2:A1538,A1538,$C$2:C1538,C1538,$D$2:D1538,D1538)&gt;1,"중복","")</f>
        <v/>
      </c>
      <c r="W1538" s="0" t="n">
        <f aca="false">IF(V1538="중복",0,N(D1538))</f>
        <v>82</v>
      </c>
      <c r="X1538" s="0" t="n">
        <f aca="false">IF(COUNTIFS($A$2:A1538,A1538,$C$2:C1538,C1538)=1,ABS(SUMIFS(RAW_발주!$D:$D,RAW_발주!$C:$C,A1538,RAW_발주!$A:$A,C1538)-SUMIFS($W:$W,$A:$A,A1538,$C:$C,C1538)),0)</f>
        <v>0</v>
      </c>
    </row>
    <row r="1539" customFormat="false" ht="15" hidden="false" customHeight="true" outlineLevel="0" collapsed="false">
      <c r="A1539" s="45" t="s">
        <v>1661</v>
      </c>
      <c r="B1539" s="42" t="str">
        <f aca="false">IF(A1539="100","HK",IF(A1539="200","CN",IF(A1539="300","TW","홀세일")))</f>
        <v>TW</v>
      </c>
      <c r="C1539" s="45" t="s">
        <v>645</v>
      </c>
      <c r="D1539" s="46" t="n">
        <v>150</v>
      </c>
      <c r="E1539" s="46" t="n">
        <v>129000</v>
      </c>
      <c r="F1539" s="46" t="n">
        <v>30891</v>
      </c>
      <c r="G1539" s="42" t="n">
        <v>3.62</v>
      </c>
      <c r="H1539" s="42" t="n">
        <v>34.3</v>
      </c>
      <c r="J1539" s="46" t="n">
        <f aca="false">IF(N(E1539)&gt;0,E1539,IF(N(F1539)&gt;0,F1539*요약!$F$27,0))</f>
        <v>129000</v>
      </c>
      <c r="K1539" s="46" t="n">
        <f aca="false">IF(N(F1539)&gt;0,F1539,IF(N(E1539)&gt;0,E1539/요약!$F$27,0))</f>
        <v>30891</v>
      </c>
      <c r="L1539" s="46" t="n">
        <f aca="false">IF(B1539="CN",IF(N(I1539)&gt;0,I1539*요약!$G$27,K1539*(1+요약!$E$27)),IF(N(H1539)&gt;0,H1539*요약!$G$27,J1539*요약!$D$27))</f>
        <v>45276</v>
      </c>
      <c r="M1539" s="46" t="n">
        <f aca="false">D1539*J1539</f>
        <v>19350000</v>
      </c>
      <c r="N1539" s="46" t="n">
        <f aca="false">D1539*K1539</f>
        <v>4633650</v>
      </c>
      <c r="O1539" s="46" t="n">
        <f aca="false">D1539*L1539</f>
        <v>6791400</v>
      </c>
      <c r="P1539" s="42" t="str">
        <f aca="false">TRIM(IF(N(E1539)&lt;=0,"택가보정 ","")&amp;IF(N(F1539)&lt;=0,"원가보정 ","")&amp;IF(AND(B1539&lt;&gt;"CN",N(H1539)&lt;=0),"공급가보정 ","")&amp;IF(AND(B1539="CN",N(I1539)&lt;=0),"중국공급가=원가+마진 ",""))</f>
        <v/>
      </c>
      <c r="Q1539" s="47" t="n">
        <f aca="false">IF(SUMIFS($W:$W,$A:$A,A1539,$C:$C,C1539)=0,0,SUMIFS(RAW_판매펀칭!$K:$K,RAW_판매펀칭!$P:$P,A1539,RAW_판매펀칭!$I:$I,C1539)*W1539/SUMIFS($W:$W,$A:$A,A1539,$C:$C,C1539))</f>
        <v>150</v>
      </c>
      <c r="R1539" s="47" t="n">
        <f aca="false">IF(OR(A1539="500",A1539="800",A1539="810"),0,MAX(W1539-Q1539,0))</f>
        <v>0</v>
      </c>
      <c r="S1539" s="47" t="n">
        <f aca="false">R1539*L1539</f>
        <v>0</v>
      </c>
      <c r="T1539" s="47" t="n">
        <f aca="false">R1539*J1539</f>
        <v>0</v>
      </c>
      <c r="U1539" s="47" t="n">
        <f aca="false">R1539*K1539</f>
        <v>0</v>
      </c>
      <c r="V1539" s="0" t="str">
        <f aca="false">IF(COUNTIFS($A$2:A1539,A1539,$C$2:C1539,C1539,$D$2:D1539,D1539)&gt;1,"중복","")</f>
        <v/>
      </c>
      <c r="W1539" s="0" t="n">
        <f aca="false">IF(V1539="중복",0,N(D1539))</f>
        <v>150</v>
      </c>
      <c r="X1539" s="0" t="n">
        <f aca="false">IF(COUNTIFS($A$2:A1539,A1539,$C$2:C1539,C1539)=1,ABS(SUMIFS(RAW_발주!$D:$D,RAW_발주!$C:$C,A1539,RAW_발주!$A:$A,C1539)-SUMIFS($W:$W,$A:$A,A1539,$C:$C,C1539)),0)</f>
        <v>0</v>
      </c>
    </row>
    <row r="1540" customFormat="false" ht="15" hidden="false" customHeight="true" outlineLevel="0" collapsed="false">
      <c r="A1540" s="45" t="s">
        <v>1662</v>
      </c>
      <c r="B1540" s="42" t="str">
        <f aca="false">IF(A1540="100","HK",IF(A1540="200","CN",IF(A1540="300","TW","홀세일")))</f>
        <v>홀세일</v>
      </c>
      <c r="C1540" s="45" t="s">
        <v>645</v>
      </c>
      <c r="D1540" s="46" t="n">
        <v>10</v>
      </c>
      <c r="E1540" s="46" t="n">
        <v>129000</v>
      </c>
      <c r="F1540" s="46" t="n">
        <v>30891</v>
      </c>
      <c r="G1540" s="42" t="n">
        <v>3.62</v>
      </c>
      <c r="H1540" s="42" t="n">
        <v>34.3</v>
      </c>
      <c r="J1540" s="46" t="n">
        <f aca="false">IF(N(E1540)&gt;0,E1540,IF(N(F1540)&gt;0,F1540*요약!$F$27,0))</f>
        <v>129000</v>
      </c>
      <c r="K1540" s="46" t="n">
        <f aca="false">IF(N(F1540)&gt;0,F1540,IF(N(E1540)&gt;0,E1540/요약!$F$27,0))</f>
        <v>30891</v>
      </c>
      <c r="L1540" s="46" t="n">
        <f aca="false">IF(B1540="CN",IF(N(I1540)&gt;0,I1540*요약!$G$27,K1540*(1+요약!$E$27)),IF(N(H1540)&gt;0,H1540*요약!$G$27,J1540*요약!$D$27))</f>
        <v>45276</v>
      </c>
      <c r="M1540" s="46" t="n">
        <f aca="false">D1540*J1540</f>
        <v>1290000</v>
      </c>
      <c r="N1540" s="46" t="n">
        <f aca="false">D1540*K1540</f>
        <v>308910</v>
      </c>
      <c r="O1540" s="46" t="n">
        <f aca="false">D1540*L1540</f>
        <v>452760</v>
      </c>
      <c r="P1540" s="42" t="str">
        <f aca="false">TRIM(IF(N(E1540)&lt;=0,"택가보정 ","")&amp;IF(N(F1540)&lt;=0,"원가보정 ","")&amp;IF(AND(B1540&lt;&gt;"CN",N(H1540)&lt;=0),"공급가보정 ","")&amp;IF(AND(B1540="CN",N(I1540)&lt;=0),"중국공급가=원가+마진 ",""))</f>
        <v/>
      </c>
      <c r="Q1540" s="47" t="n">
        <f aca="false">IF(SUMIFS($W:$W,$A:$A,A1540,$C:$C,C1540)=0,0,SUMIFS(RAW_판매펀칭!$K:$K,RAW_판매펀칭!$P:$P,A1540,RAW_판매펀칭!$I:$I,C1540)*W1540/SUMIFS($W:$W,$A:$A,A1540,$C:$C,C1540))</f>
        <v>0</v>
      </c>
      <c r="R1540" s="47" t="n">
        <f aca="false">IF(OR(A1540="500",A1540="800",A1540="810"),0,MAX(W1540-Q1540,0))</f>
        <v>0</v>
      </c>
      <c r="S1540" s="47" t="n">
        <f aca="false">R1540*L1540</f>
        <v>0</v>
      </c>
      <c r="T1540" s="47" t="n">
        <f aca="false">R1540*J1540</f>
        <v>0</v>
      </c>
      <c r="U1540" s="47" t="n">
        <f aca="false">R1540*K1540</f>
        <v>0</v>
      </c>
      <c r="V1540" s="0" t="str">
        <f aca="false">IF(COUNTIFS($A$2:A1540,A1540,$C$2:C1540,C1540,$D$2:D1540,D1540)&gt;1,"중복","")</f>
        <v/>
      </c>
      <c r="W1540" s="0" t="n">
        <f aca="false">IF(V1540="중복",0,N(D1540))</f>
        <v>10</v>
      </c>
      <c r="X1540" s="0" t="n">
        <f aca="false">IF(COUNTIFS($A$2:A1540,A1540,$C$2:C1540,C1540)=1,ABS(SUMIFS(RAW_발주!$D:$D,RAW_발주!$C:$C,A1540,RAW_발주!$A:$A,C1540)-SUMIFS($W:$W,$A:$A,A1540,$C:$C,C1540)),0)</f>
        <v>0</v>
      </c>
    </row>
    <row r="1541" customFormat="false" ht="15" hidden="false" customHeight="true" outlineLevel="0" collapsed="false">
      <c r="A1541" s="45" t="s">
        <v>1663</v>
      </c>
      <c r="B1541" s="42" t="str">
        <f aca="false">IF(A1541="100","HK",IF(A1541="200","CN",IF(A1541="300","TW","홀세일")))</f>
        <v>홀세일</v>
      </c>
      <c r="C1541" s="45" t="s">
        <v>645</v>
      </c>
      <c r="D1541" s="46" t="n">
        <v>20</v>
      </c>
      <c r="E1541" s="46" t="n">
        <v>129000</v>
      </c>
      <c r="F1541" s="46" t="n">
        <v>30891</v>
      </c>
      <c r="G1541" s="42" t="n">
        <v>3.62</v>
      </c>
      <c r="H1541" s="42" t="n">
        <v>34.3</v>
      </c>
      <c r="J1541" s="46" t="n">
        <f aca="false">IF(N(E1541)&gt;0,E1541,IF(N(F1541)&gt;0,F1541*요약!$F$27,0))</f>
        <v>129000</v>
      </c>
      <c r="K1541" s="46" t="n">
        <f aca="false">IF(N(F1541)&gt;0,F1541,IF(N(E1541)&gt;0,E1541/요약!$F$27,0))</f>
        <v>30891</v>
      </c>
      <c r="L1541" s="46" t="n">
        <f aca="false">IF(B1541="CN",IF(N(I1541)&gt;0,I1541*요약!$G$27,K1541*(1+요약!$E$27)),IF(N(H1541)&gt;0,H1541*요약!$G$27,J1541*요약!$D$27))</f>
        <v>45276</v>
      </c>
      <c r="M1541" s="46" t="n">
        <f aca="false">D1541*J1541</f>
        <v>2580000</v>
      </c>
      <c r="N1541" s="46" t="n">
        <f aca="false">D1541*K1541</f>
        <v>617820</v>
      </c>
      <c r="O1541" s="46" t="n">
        <f aca="false">D1541*L1541</f>
        <v>905520</v>
      </c>
      <c r="P1541" s="42" t="str">
        <f aca="false">TRIM(IF(N(E1541)&lt;=0,"택가보정 ","")&amp;IF(N(F1541)&lt;=0,"원가보정 ","")&amp;IF(AND(B1541&lt;&gt;"CN",N(H1541)&lt;=0),"공급가보정 ","")&amp;IF(AND(B1541="CN",N(I1541)&lt;=0),"중국공급가=원가+마진 ",""))</f>
        <v/>
      </c>
      <c r="Q1541" s="47" t="n">
        <f aca="false">IF(SUMIFS($W:$W,$A:$A,A1541,$C:$C,C1541)=0,0,SUMIFS(RAW_판매펀칭!$K:$K,RAW_판매펀칭!$P:$P,A1541,RAW_판매펀칭!$I:$I,C1541)*W1541/SUMIFS($W:$W,$A:$A,A1541,$C:$C,C1541))</f>
        <v>20</v>
      </c>
      <c r="R1541" s="47" t="n">
        <f aca="false">IF(OR(A1541="500",A1541="800",A1541="810"),0,MAX(W1541-Q1541,0))</f>
        <v>0</v>
      </c>
      <c r="S1541" s="47" t="n">
        <f aca="false">R1541*L1541</f>
        <v>0</v>
      </c>
      <c r="T1541" s="47" t="n">
        <f aca="false">R1541*J1541</f>
        <v>0</v>
      </c>
      <c r="U1541" s="47" t="n">
        <f aca="false">R1541*K1541</f>
        <v>0</v>
      </c>
      <c r="V1541" s="0" t="str">
        <f aca="false">IF(COUNTIFS($A$2:A1541,A1541,$C$2:C1541,C1541,$D$2:D1541,D1541)&gt;1,"중복","")</f>
        <v/>
      </c>
      <c r="W1541" s="0" t="n">
        <f aca="false">IF(V1541="중복",0,N(D1541))</f>
        <v>20</v>
      </c>
      <c r="X1541" s="0" t="n">
        <f aca="false">IF(COUNTIFS($A$2:A1541,A1541,$C$2:C1541,C1541)=1,ABS(SUMIFS(RAW_발주!$D:$D,RAW_발주!$C:$C,A1541,RAW_발주!$A:$A,C1541)-SUMIFS($W:$W,$A:$A,A1541,$C:$C,C1541)),0)</f>
        <v>0</v>
      </c>
    </row>
    <row r="1542" customFormat="false" ht="15" hidden="false" customHeight="true" outlineLevel="0" collapsed="false">
      <c r="A1542" s="45" t="s">
        <v>1667</v>
      </c>
      <c r="B1542" s="42" t="str">
        <f aca="false">IF(A1542="100","HK",IF(A1542="200","CN",IF(A1542="300","TW","홀세일")))</f>
        <v>홀세일</v>
      </c>
      <c r="C1542" s="45" t="s">
        <v>645</v>
      </c>
      <c r="D1542" s="46" t="n">
        <v>102</v>
      </c>
      <c r="E1542" s="46" t="n">
        <v>129000</v>
      </c>
      <c r="F1542" s="46" t="n">
        <v>30891</v>
      </c>
      <c r="G1542" s="42" t="n">
        <v>3.62</v>
      </c>
      <c r="H1542" s="42" t="n">
        <v>34.3</v>
      </c>
      <c r="J1542" s="46" t="n">
        <f aca="false">IF(N(E1542)&gt;0,E1542,IF(N(F1542)&gt;0,F1542*요약!$F$27,0))</f>
        <v>129000</v>
      </c>
      <c r="K1542" s="46" t="n">
        <f aca="false">IF(N(F1542)&gt;0,F1542,IF(N(E1542)&gt;0,E1542/요약!$F$27,0))</f>
        <v>30891</v>
      </c>
      <c r="L1542" s="46" t="n">
        <f aca="false">IF(B1542="CN",IF(N(I1542)&gt;0,I1542*요약!$G$27,K1542*(1+요약!$E$27)),IF(N(H1542)&gt;0,H1542*요약!$G$27,J1542*요약!$D$27))</f>
        <v>45276</v>
      </c>
      <c r="M1542" s="46" t="n">
        <f aca="false">D1542*J1542</f>
        <v>13158000</v>
      </c>
      <c r="N1542" s="46" t="n">
        <f aca="false">D1542*K1542</f>
        <v>3150882</v>
      </c>
      <c r="O1542" s="46" t="n">
        <f aca="false">D1542*L1542</f>
        <v>4618152</v>
      </c>
      <c r="P1542" s="42" t="str">
        <f aca="false">TRIM(IF(N(E1542)&lt;=0,"택가보정 ","")&amp;IF(N(F1542)&lt;=0,"원가보정 ","")&amp;IF(AND(B1542&lt;&gt;"CN",N(H1542)&lt;=0),"공급가보정 ","")&amp;IF(AND(B1542="CN",N(I1542)&lt;=0),"중국공급가=원가+마진 ",""))</f>
        <v/>
      </c>
      <c r="Q1542" s="47" t="n">
        <f aca="false">IF(SUMIFS($W:$W,$A:$A,A1542,$C:$C,C1542)=0,0,SUMIFS(RAW_판매펀칭!$K:$K,RAW_판매펀칭!$P:$P,A1542,RAW_판매펀칭!$I:$I,C1542)*W1542/SUMIFS($W:$W,$A:$A,A1542,$C:$C,C1542))</f>
        <v>102</v>
      </c>
      <c r="R1542" s="47" t="n">
        <f aca="false">IF(OR(A1542="500",A1542="800",A1542="810"),0,MAX(W1542-Q1542,0))</f>
        <v>0</v>
      </c>
      <c r="S1542" s="47" t="n">
        <f aca="false">R1542*L1542</f>
        <v>0</v>
      </c>
      <c r="T1542" s="47" t="n">
        <f aca="false">R1542*J1542</f>
        <v>0</v>
      </c>
      <c r="U1542" s="47" t="n">
        <f aca="false">R1542*K1542</f>
        <v>0</v>
      </c>
      <c r="V1542" s="0" t="str">
        <f aca="false">IF(COUNTIFS($A$2:A1542,A1542,$C$2:C1542,C1542,$D$2:D1542,D1542)&gt;1,"중복","")</f>
        <v/>
      </c>
      <c r="W1542" s="0" t="n">
        <f aca="false">IF(V1542="중복",0,N(D1542))</f>
        <v>102</v>
      </c>
      <c r="X1542" s="0" t="n">
        <f aca="false">IF(COUNTIFS($A$2:A1542,A1542,$C$2:C1542,C1542)=1,ABS(SUMIFS(RAW_발주!$D:$D,RAW_발주!$C:$C,A1542,RAW_발주!$A:$A,C1542)-SUMIFS($W:$W,$A:$A,A1542,$C:$C,C1542)),0)</f>
        <v>0</v>
      </c>
    </row>
    <row r="1543" customFormat="false" ht="15" hidden="false" customHeight="true" outlineLevel="0" collapsed="false">
      <c r="A1543" s="45" t="s">
        <v>1664</v>
      </c>
      <c r="B1543" s="42" t="str">
        <f aca="false">IF(A1543="100","HK",IF(A1543="200","CN",IF(A1543="300","TW","홀세일")))</f>
        <v>홀세일</v>
      </c>
      <c r="C1543" s="45" t="s">
        <v>645</v>
      </c>
      <c r="D1543" s="46" t="n">
        <v>20</v>
      </c>
      <c r="E1543" s="46" t="n">
        <v>129000</v>
      </c>
      <c r="F1543" s="46" t="n">
        <v>30891</v>
      </c>
      <c r="G1543" s="42" t="n">
        <v>3.62</v>
      </c>
      <c r="H1543" s="42" t="n">
        <v>34.3</v>
      </c>
      <c r="J1543" s="46" t="n">
        <f aca="false">IF(N(E1543)&gt;0,E1543,IF(N(F1543)&gt;0,F1543*요약!$F$27,0))</f>
        <v>129000</v>
      </c>
      <c r="K1543" s="46" t="n">
        <f aca="false">IF(N(F1543)&gt;0,F1543,IF(N(E1543)&gt;0,E1543/요약!$F$27,0))</f>
        <v>30891</v>
      </c>
      <c r="L1543" s="46" t="n">
        <f aca="false">IF(B1543="CN",IF(N(I1543)&gt;0,I1543*요약!$G$27,K1543*(1+요약!$E$27)),IF(N(H1543)&gt;0,H1543*요약!$G$27,J1543*요약!$D$27))</f>
        <v>45276</v>
      </c>
      <c r="M1543" s="46" t="n">
        <f aca="false">D1543*J1543</f>
        <v>2580000</v>
      </c>
      <c r="N1543" s="46" t="n">
        <f aca="false">D1543*K1543</f>
        <v>617820</v>
      </c>
      <c r="O1543" s="46" t="n">
        <f aca="false">D1543*L1543</f>
        <v>905520</v>
      </c>
      <c r="P1543" s="42" t="str">
        <f aca="false">TRIM(IF(N(E1543)&lt;=0,"택가보정 ","")&amp;IF(N(F1543)&lt;=0,"원가보정 ","")&amp;IF(AND(B1543&lt;&gt;"CN",N(H1543)&lt;=0),"공급가보정 ","")&amp;IF(AND(B1543="CN",N(I1543)&lt;=0),"중국공급가=원가+마진 ",""))</f>
        <v/>
      </c>
      <c r="Q1543" s="47" t="n">
        <f aca="false">IF(SUMIFS($W:$W,$A:$A,A1543,$C:$C,C1543)=0,0,SUMIFS(RAW_판매펀칭!$K:$K,RAW_판매펀칭!$P:$P,A1543,RAW_판매펀칭!$I:$I,C1543)*W1543/SUMIFS($W:$W,$A:$A,A1543,$C:$C,C1543))</f>
        <v>20</v>
      </c>
      <c r="R1543" s="47" t="n">
        <f aca="false">IF(OR(A1543="500",A1543="800",A1543="810"),0,MAX(W1543-Q1543,0))</f>
        <v>0</v>
      </c>
      <c r="S1543" s="47" t="n">
        <f aca="false">R1543*L1543</f>
        <v>0</v>
      </c>
      <c r="T1543" s="47" t="n">
        <f aca="false">R1543*J1543</f>
        <v>0</v>
      </c>
      <c r="U1543" s="47" t="n">
        <f aca="false">R1543*K1543</f>
        <v>0</v>
      </c>
      <c r="V1543" s="0" t="str">
        <f aca="false">IF(COUNTIFS($A$2:A1543,A1543,$C$2:C1543,C1543,$D$2:D1543,D1543)&gt;1,"중복","")</f>
        <v/>
      </c>
      <c r="W1543" s="0" t="n">
        <f aca="false">IF(V1543="중복",0,N(D1543))</f>
        <v>20</v>
      </c>
      <c r="X1543" s="0" t="n">
        <f aca="false">IF(COUNTIFS($A$2:A1543,A1543,$C$2:C1543,C1543)=1,ABS(SUMIFS(RAW_발주!$D:$D,RAW_발주!$C:$C,A1543,RAW_발주!$A:$A,C1543)-SUMIFS($W:$W,$A:$A,A1543,$C:$C,C1543)),0)</f>
        <v>0</v>
      </c>
    </row>
    <row r="1544" customFormat="false" ht="15" hidden="false" customHeight="true" outlineLevel="0" collapsed="false">
      <c r="A1544" s="45" t="s">
        <v>1664</v>
      </c>
      <c r="B1544" s="42" t="str">
        <f aca="false">IF(A1544="100","HK",IF(A1544="200","CN",IF(A1544="300","TW","홀세일")))</f>
        <v>홀세일</v>
      </c>
      <c r="C1544" s="45" t="s">
        <v>645</v>
      </c>
      <c r="D1544" s="46" t="n">
        <v>20</v>
      </c>
      <c r="E1544" s="46" t="n">
        <v>129000</v>
      </c>
      <c r="F1544" s="46" t="n">
        <v>30891</v>
      </c>
      <c r="G1544" s="42" t="n">
        <v>3.62</v>
      </c>
      <c r="H1544" s="42" t="n">
        <v>34.3</v>
      </c>
      <c r="J1544" s="46" t="n">
        <f aca="false">IF(N(E1544)&gt;0,E1544,IF(N(F1544)&gt;0,F1544*요약!$F$27,0))</f>
        <v>129000</v>
      </c>
      <c r="K1544" s="46" t="n">
        <f aca="false">IF(N(F1544)&gt;0,F1544,IF(N(E1544)&gt;0,E1544/요약!$F$27,0))</f>
        <v>30891</v>
      </c>
      <c r="L1544" s="46" t="n">
        <f aca="false">IF(B1544="CN",IF(N(I1544)&gt;0,I1544*요약!$G$27,K1544*(1+요약!$E$27)),IF(N(H1544)&gt;0,H1544*요약!$G$27,J1544*요약!$D$27))</f>
        <v>45276</v>
      </c>
      <c r="M1544" s="46" t="n">
        <f aca="false">D1544*J1544</f>
        <v>2580000</v>
      </c>
      <c r="N1544" s="46" t="n">
        <f aca="false">D1544*K1544</f>
        <v>617820</v>
      </c>
      <c r="O1544" s="46" t="n">
        <f aca="false">D1544*L1544</f>
        <v>905520</v>
      </c>
      <c r="P1544" s="42" t="str">
        <f aca="false">TRIM(IF(N(E1544)&lt;=0,"택가보정 ","")&amp;IF(N(F1544)&lt;=0,"원가보정 ","")&amp;IF(AND(B1544&lt;&gt;"CN",N(H1544)&lt;=0),"공급가보정 ","")&amp;IF(AND(B1544="CN",N(I1544)&lt;=0),"중국공급가=원가+마진 ",""))</f>
        <v/>
      </c>
      <c r="Q1544" s="47" t="n">
        <f aca="false">IF(SUMIFS($W:$W,$A:$A,A1544,$C:$C,C1544)=0,0,SUMIFS(RAW_판매펀칭!$K:$K,RAW_판매펀칭!$P:$P,A1544,RAW_판매펀칭!$I:$I,C1544)*W1544/SUMIFS($W:$W,$A:$A,A1544,$C:$C,C1544))</f>
        <v>0</v>
      </c>
      <c r="R1544" s="47" t="n">
        <f aca="false">IF(OR(A1544="500",A1544="800",A1544="810"),0,MAX(W1544-Q1544,0))</f>
        <v>0</v>
      </c>
      <c r="S1544" s="47" t="n">
        <f aca="false">R1544*L1544</f>
        <v>0</v>
      </c>
      <c r="T1544" s="47" t="n">
        <f aca="false">R1544*J1544</f>
        <v>0</v>
      </c>
      <c r="U1544" s="47" t="n">
        <f aca="false">R1544*K1544</f>
        <v>0</v>
      </c>
      <c r="V1544" s="0" t="str">
        <f aca="false">IF(COUNTIFS($A$2:A1544,A1544,$C$2:C1544,C1544,$D$2:D1544,D1544)&gt;1,"중복","")</f>
        <v>중복</v>
      </c>
      <c r="W1544" s="0" t="n">
        <f aca="false">IF(V1544="중복",0,N(D1544))</f>
        <v>0</v>
      </c>
      <c r="X1544" s="0" t="n">
        <f aca="false">IF(COUNTIFS($A$2:A1544,A1544,$C$2:C1544,C1544)=1,ABS(SUMIFS(RAW_발주!$D:$D,RAW_발주!$C:$C,A1544,RAW_발주!$A:$A,C1544)-SUMIFS($W:$W,$A:$A,A1544,$C:$C,C1544)),0)</f>
        <v>0</v>
      </c>
    </row>
    <row r="1545" customFormat="false" ht="15" hidden="false" customHeight="true" outlineLevel="0" collapsed="false">
      <c r="A1545" s="45" t="s">
        <v>1666</v>
      </c>
      <c r="B1545" s="42" t="str">
        <f aca="false">IF(A1545="100","HK",IF(A1545="200","CN",IF(A1545="300","TW","홀세일")))</f>
        <v>홀세일</v>
      </c>
      <c r="C1545" s="45" t="s">
        <v>645</v>
      </c>
      <c r="D1545" s="46" t="n">
        <v>300</v>
      </c>
      <c r="E1545" s="46" t="n">
        <v>129000</v>
      </c>
      <c r="F1545" s="46" t="n">
        <v>30891</v>
      </c>
      <c r="G1545" s="42" t="n">
        <v>3.62</v>
      </c>
      <c r="H1545" s="42" t="n">
        <v>34.3</v>
      </c>
      <c r="J1545" s="46" t="n">
        <f aca="false">IF(N(E1545)&gt;0,E1545,IF(N(F1545)&gt;0,F1545*요약!$F$27,0))</f>
        <v>129000</v>
      </c>
      <c r="K1545" s="46" t="n">
        <f aca="false">IF(N(F1545)&gt;0,F1545,IF(N(E1545)&gt;0,E1545/요약!$F$27,0))</f>
        <v>30891</v>
      </c>
      <c r="L1545" s="46" t="n">
        <f aca="false">IF(B1545="CN",IF(N(I1545)&gt;0,I1545*요약!$G$27,K1545*(1+요약!$E$27)),IF(N(H1545)&gt;0,H1545*요약!$G$27,J1545*요약!$D$27))</f>
        <v>45276</v>
      </c>
      <c r="M1545" s="46" t="n">
        <f aca="false">D1545*J1545</f>
        <v>38700000</v>
      </c>
      <c r="N1545" s="46" t="n">
        <f aca="false">D1545*K1545</f>
        <v>9267300</v>
      </c>
      <c r="O1545" s="46" t="n">
        <f aca="false">D1545*L1545</f>
        <v>13582800</v>
      </c>
      <c r="P1545" s="42" t="str">
        <f aca="false">TRIM(IF(N(E1545)&lt;=0,"택가보정 ","")&amp;IF(N(F1545)&lt;=0,"원가보정 ","")&amp;IF(AND(B1545&lt;&gt;"CN",N(H1545)&lt;=0),"공급가보정 ","")&amp;IF(AND(B1545="CN",N(I1545)&lt;=0),"중국공급가=원가+마진 ",""))</f>
        <v/>
      </c>
      <c r="Q1545" s="47" t="n">
        <f aca="false">IF(SUMIFS($W:$W,$A:$A,A1545,$C:$C,C1545)=0,0,SUMIFS(RAW_판매펀칭!$K:$K,RAW_판매펀칭!$P:$P,A1545,RAW_판매펀칭!$I:$I,C1545)*W1545/SUMIFS($W:$W,$A:$A,A1545,$C:$C,C1545))</f>
        <v>300</v>
      </c>
      <c r="R1545" s="47" t="n">
        <f aca="false">IF(OR(A1545="500",A1545="800",A1545="810"),0,MAX(W1545-Q1545,0))</f>
        <v>0</v>
      </c>
      <c r="S1545" s="47" t="n">
        <f aca="false">R1545*L1545</f>
        <v>0</v>
      </c>
      <c r="T1545" s="47" t="n">
        <f aca="false">R1545*J1545</f>
        <v>0</v>
      </c>
      <c r="U1545" s="47" t="n">
        <f aca="false">R1545*K1545</f>
        <v>0</v>
      </c>
      <c r="V1545" s="0" t="str">
        <f aca="false">IF(COUNTIFS($A$2:A1545,A1545,$C$2:C1545,C1545,$D$2:D1545,D1545)&gt;1,"중복","")</f>
        <v/>
      </c>
      <c r="W1545" s="0" t="n">
        <f aca="false">IF(V1545="중복",0,N(D1545))</f>
        <v>300</v>
      </c>
      <c r="X1545" s="0" t="n">
        <f aca="false">IF(COUNTIFS($A$2:A1545,A1545,$C$2:C1545,C1545)=1,ABS(SUMIFS(RAW_발주!$D:$D,RAW_발주!$C:$C,A1545,RAW_발주!$A:$A,C1545)-SUMIFS($W:$W,$A:$A,A1545,$C:$C,C1545)),0)</f>
        <v>0</v>
      </c>
    </row>
    <row r="1546" customFormat="false" ht="15.75" hidden="false" customHeight="true" outlineLevel="0" collapsed="false">
      <c r="A1546" s="45" t="s">
        <v>1660</v>
      </c>
      <c r="B1546" s="42" t="str">
        <f aca="false">IF(A1546="100","HK",IF(A1546="200","CN",IF(A1546="300","TW","홀세일")))</f>
        <v>CN</v>
      </c>
      <c r="C1546" s="45" t="s">
        <v>647</v>
      </c>
      <c r="D1546" s="46" t="n">
        <v>52</v>
      </c>
      <c r="E1546" s="46" t="n">
        <v>129000</v>
      </c>
      <c r="F1546" s="46" t="n">
        <v>30298</v>
      </c>
      <c r="G1546" s="42" t="n">
        <v>3.68</v>
      </c>
      <c r="H1546" s="42" t="n">
        <v>34.3</v>
      </c>
      <c r="J1546" s="46" t="n">
        <f aca="false">IF(N(E1546)&gt;0,E1546,IF(N(F1546)&gt;0,F1546*요약!$F$27,0))</f>
        <v>129000</v>
      </c>
      <c r="K1546" s="46" t="n">
        <f aca="false">IF(N(F1546)&gt;0,F1546,IF(N(E1546)&gt;0,E1546/요약!$F$27,0))</f>
        <v>30298</v>
      </c>
      <c r="L1546" s="46" t="n">
        <f aca="false">IF(B1546="CN",IF(N(I1546)&gt;0,I1546*요약!$G$27,K1546*(1+요약!$E$27)),IF(N(H1546)&gt;0,H1546*요약!$G$27,J1546*요약!$D$27))</f>
        <v>31812.9</v>
      </c>
      <c r="M1546" s="46" t="n">
        <f aca="false">D1546*J1546</f>
        <v>6708000</v>
      </c>
      <c r="N1546" s="46" t="n">
        <f aca="false">D1546*K1546</f>
        <v>1575496</v>
      </c>
      <c r="O1546" s="46" t="n">
        <f aca="false">D1546*L1546</f>
        <v>1654270.8</v>
      </c>
      <c r="P1546" s="42" t="str">
        <f aca="false">TRIM(IF(N(E1546)&lt;=0,"택가보정 ","")&amp;IF(N(F1546)&lt;=0,"원가보정 ","")&amp;IF(AND(B1546&lt;&gt;"CN",N(H1546)&lt;=0),"공급가보정 ","")&amp;IF(AND(B1546="CN",N(I1546)&lt;=0),"중국공급가=원가+마진 ",""))</f>
        <v>중국공급가=원가+마진</v>
      </c>
      <c r="Q1546" s="47" t="n">
        <f aca="false">IF(SUMIFS($W:$W,$A:$A,A1546,$C:$C,C1546)=0,0,SUMIFS(RAW_판매펀칭!$K:$K,RAW_판매펀칭!$P:$P,A1546,RAW_판매펀칭!$I:$I,C1546)*W1546/SUMIFS($W:$W,$A:$A,A1546,$C:$C,C1546))</f>
        <v>50</v>
      </c>
      <c r="R1546" s="47" t="n">
        <f aca="false">IF(OR(A1546="500",A1546="800",A1546="810"),0,MAX(W1546-Q1546,0))</f>
        <v>2</v>
      </c>
      <c r="S1546" s="47" t="n">
        <f aca="false">R1546*L1546</f>
        <v>63625.8</v>
      </c>
      <c r="T1546" s="47" t="n">
        <f aca="false">R1546*J1546</f>
        <v>258000</v>
      </c>
      <c r="U1546" s="47" t="n">
        <f aca="false">R1546*K1546</f>
        <v>60596</v>
      </c>
      <c r="V1546" s="0" t="str">
        <f aca="false">IF(COUNTIFS($A$2:A1546,A1546,$C$2:C1546,C1546,$D$2:D1546,D1546)&gt;1,"중복","")</f>
        <v/>
      </c>
      <c r="W1546" s="0" t="n">
        <f aca="false">IF(V1546="중복",0,N(D1546))</f>
        <v>52</v>
      </c>
      <c r="X1546" s="0" t="n">
        <f aca="false">IF(COUNTIFS($A$2:A1546,A1546,$C$2:C1546,C1546)=1,ABS(SUMIFS(RAW_발주!$D:$D,RAW_발주!$C:$C,A1546,RAW_발주!$A:$A,C1546)-SUMIFS($W:$W,$A:$A,A1546,$C:$C,C1546)),0)</f>
        <v>0</v>
      </c>
    </row>
    <row r="1547" customFormat="false" ht="15" hidden="false" customHeight="true" outlineLevel="0" collapsed="false">
      <c r="A1547" s="45" t="s">
        <v>1661</v>
      </c>
      <c r="B1547" s="42" t="str">
        <f aca="false">IF(A1547="100","HK",IF(A1547="200","CN",IF(A1547="300","TW","홀세일")))</f>
        <v>TW</v>
      </c>
      <c r="C1547" s="45" t="s">
        <v>647</v>
      </c>
      <c r="D1547" s="46" t="n">
        <v>120</v>
      </c>
      <c r="E1547" s="46" t="n">
        <v>129000</v>
      </c>
      <c r="F1547" s="46" t="n">
        <v>30298</v>
      </c>
      <c r="G1547" s="42" t="n">
        <v>3.68</v>
      </c>
      <c r="H1547" s="42" t="n">
        <v>34.3</v>
      </c>
      <c r="J1547" s="46" t="n">
        <f aca="false">IF(N(E1547)&gt;0,E1547,IF(N(F1547)&gt;0,F1547*요약!$F$27,0))</f>
        <v>129000</v>
      </c>
      <c r="K1547" s="46" t="n">
        <f aca="false">IF(N(F1547)&gt;0,F1547,IF(N(E1547)&gt;0,E1547/요약!$F$27,0))</f>
        <v>30298</v>
      </c>
      <c r="L1547" s="46" t="n">
        <f aca="false">IF(B1547="CN",IF(N(I1547)&gt;0,I1547*요약!$G$27,K1547*(1+요약!$E$27)),IF(N(H1547)&gt;0,H1547*요약!$G$27,J1547*요약!$D$27))</f>
        <v>45276</v>
      </c>
      <c r="M1547" s="46" t="n">
        <f aca="false">D1547*J1547</f>
        <v>15480000</v>
      </c>
      <c r="N1547" s="46" t="n">
        <f aca="false">D1547*K1547</f>
        <v>3635760</v>
      </c>
      <c r="O1547" s="46" t="n">
        <f aca="false">D1547*L1547</f>
        <v>5433120</v>
      </c>
      <c r="P1547" s="42" t="str">
        <f aca="false">TRIM(IF(N(E1547)&lt;=0,"택가보정 ","")&amp;IF(N(F1547)&lt;=0,"원가보정 ","")&amp;IF(AND(B1547&lt;&gt;"CN",N(H1547)&lt;=0),"공급가보정 ","")&amp;IF(AND(B1547="CN",N(I1547)&lt;=0),"중국공급가=원가+마진 ",""))</f>
        <v/>
      </c>
      <c r="Q1547" s="47" t="n">
        <f aca="false">IF(SUMIFS($W:$W,$A:$A,A1547,$C:$C,C1547)=0,0,SUMIFS(RAW_판매펀칭!$K:$K,RAW_판매펀칭!$P:$P,A1547,RAW_판매펀칭!$I:$I,C1547)*W1547/SUMIFS($W:$W,$A:$A,A1547,$C:$C,C1547))</f>
        <v>120</v>
      </c>
      <c r="R1547" s="47" t="n">
        <f aca="false">IF(OR(A1547="500",A1547="800",A1547="810"),0,MAX(W1547-Q1547,0))</f>
        <v>0</v>
      </c>
      <c r="S1547" s="47" t="n">
        <f aca="false">R1547*L1547</f>
        <v>0</v>
      </c>
      <c r="T1547" s="47" t="n">
        <f aca="false">R1547*J1547</f>
        <v>0</v>
      </c>
      <c r="U1547" s="47" t="n">
        <f aca="false">R1547*K1547</f>
        <v>0</v>
      </c>
      <c r="V1547" s="0" t="str">
        <f aca="false">IF(COUNTIFS($A$2:A1547,A1547,$C$2:C1547,C1547,$D$2:D1547,D1547)&gt;1,"중복","")</f>
        <v/>
      </c>
      <c r="W1547" s="0" t="n">
        <f aca="false">IF(V1547="중복",0,N(D1547))</f>
        <v>120</v>
      </c>
      <c r="X1547" s="0" t="n">
        <f aca="false">IF(COUNTIFS($A$2:A1547,A1547,$C$2:C1547,C1547)=1,ABS(SUMIFS(RAW_발주!$D:$D,RAW_발주!$C:$C,A1547,RAW_발주!$A:$A,C1547)-SUMIFS($W:$W,$A:$A,A1547,$C:$C,C1547)),0)</f>
        <v>0</v>
      </c>
    </row>
    <row r="1548" customFormat="false" ht="15" hidden="false" customHeight="true" outlineLevel="0" collapsed="false">
      <c r="A1548" s="45" t="s">
        <v>1662</v>
      </c>
      <c r="B1548" s="42" t="str">
        <f aca="false">IF(A1548="100","HK",IF(A1548="200","CN",IF(A1548="300","TW","홀세일")))</f>
        <v>홀세일</v>
      </c>
      <c r="C1548" s="45" t="s">
        <v>647</v>
      </c>
      <c r="D1548" s="46" t="n">
        <v>10</v>
      </c>
      <c r="E1548" s="46" t="n">
        <v>129000</v>
      </c>
      <c r="F1548" s="46" t="n">
        <v>30298</v>
      </c>
      <c r="G1548" s="42" t="n">
        <v>3.68</v>
      </c>
      <c r="H1548" s="42" t="n">
        <v>34.3</v>
      </c>
      <c r="J1548" s="46" t="n">
        <f aca="false">IF(N(E1548)&gt;0,E1548,IF(N(F1548)&gt;0,F1548*요약!$F$27,0))</f>
        <v>129000</v>
      </c>
      <c r="K1548" s="46" t="n">
        <f aca="false">IF(N(F1548)&gt;0,F1548,IF(N(E1548)&gt;0,E1548/요약!$F$27,0))</f>
        <v>30298</v>
      </c>
      <c r="L1548" s="46" t="n">
        <f aca="false">IF(B1548="CN",IF(N(I1548)&gt;0,I1548*요약!$G$27,K1548*(1+요약!$E$27)),IF(N(H1548)&gt;0,H1548*요약!$G$27,J1548*요약!$D$27))</f>
        <v>45276</v>
      </c>
      <c r="M1548" s="46" t="n">
        <f aca="false">D1548*J1548</f>
        <v>1290000</v>
      </c>
      <c r="N1548" s="46" t="n">
        <f aca="false">D1548*K1548</f>
        <v>302980</v>
      </c>
      <c r="O1548" s="46" t="n">
        <f aca="false">D1548*L1548</f>
        <v>452760</v>
      </c>
      <c r="P1548" s="42" t="str">
        <f aca="false">TRIM(IF(N(E1548)&lt;=0,"택가보정 ","")&amp;IF(N(F1548)&lt;=0,"원가보정 ","")&amp;IF(AND(B1548&lt;&gt;"CN",N(H1548)&lt;=0),"공급가보정 ","")&amp;IF(AND(B1548="CN",N(I1548)&lt;=0),"중국공급가=원가+마진 ",""))</f>
        <v/>
      </c>
      <c r="Q1548" s="47" t="n">
        <f aca="false">IF(SUMIFS($W:$W,$A:$A,A1548,$C:$C,C1548)=0,0,SUMIFS(RAW_판매펀칭!$K:$K,RAW_판매펀칭!$P:$P,A1548,RAW_판매펀칭!$I:$I,C1548)*W1548/SUMIFS($W:$W,$A:$A,A1548,$C:$C,C1548))</f>
        <v>0</v>
      </c>
      <c r="R1548" s="47" t="n">
        <f aca="false">IF(OR(A1548="500",A1548="800",A1548="810"),0,MAX(W1548-Q1548,0))</f>
        <v>0</v>
      </c>
      <c r="S1548" s="47" t="n">
        <f aca="false">R1548*L1548</f>
        <v>0</v>
      </c>
      <c r="T1548" s="47" t="n">
        <f aca="false">R1548*J1548</f>
        <v>0</v>
      </c>
      <c r="U1548" s="47" t="n">
        <f aca="false">R1548*K1548</f>
        <v>0</v>
      </c>
      <c r="V1548" s="0" t="str">
        <f aca="false">IF(COUNTIFS($A$2:A1548,A1548,$C$2:C1548,C1548,$D$2:D1548,D1548)&gt;1,"중복","")</f>
        <v/>
      </c>
      <c r="W1548" s="0" t="n">
        <f aca="false">IF(V1548="중복",0,N(D1548))</f>
        <v>10</v>
      </c>
      <c r="X1548" s="0" t="n">
        <f aca="false">IF(COUNTIFS($A$2:A1548,A1548,$C$2:C1548,C1548)=1,ABS(SUMIFS(RAW_발주!$D:$D,RAW_발주!$C:$C,A1548,RAW_발주!$A:$A,C1548)-SUMIFS($W:$W,$A:$A,A1548,$C:$C,C1548)),0)</f>
        <v>0</v>
      </c>
    </row>
    <row r="1549" customFormat="false" ht="15" hidden="false" customHeight="true" outlineLevel="0" collapsed="false">
      <c r="A1549" s="45" t="s">
        <v>1663</v>
      </c>
      <c r="B1549" s="42" t="str">
        <f aca="false">IF(A1549="100","HK",IF(A1549="200","CN",IF(A1549="300","TW","홀세일")))</f>
        <v>홀세일</v>
      </c>
      <c r="C1549" s="45" t="s">
        <v>647</v>
      </c>
      <c r="D1549" s="46" t="n">
        <v>40</v>
      </c>
      <c r="E1549" s="46" t="n">
        <v>129000</v>
      </c>
      <c r="F1549" s="46" t="n">
        <v>30298</v>
      </c>
      <c r="G1549" s="42" t="n">
        <v>3.68</v>
      </c>
      <c r="H1549" s="42" t="n">
        <v>34.3</v>
      </c>
      <c r="J1549" s="46" t="n">
        <f aca="false">IF(N(E1549)&gt;0,E1549,IF(N(F1549)&gt;0,F1549*요약!$F$27,0))</f>
        <v>129000</v>
      </c>
      <c r="K1549" s="46" t="n">
        <f aca="false">IF(N(F1549)&gt;0,F1549,IF(N(E1549)&gt;0,E1549/요약!$F$27,0))</f>
        <v>30298</v>
      </c>
      <c r="L1549" s="46" t="n">
        <f aca="false">IF(B1549="CN",IF(N(I1549)&gt;0,I1549*요약!$G$27,K1549*(1+요약!$E$27)),IF(N(H1549)&gt;0,H1549*요약!$G$27,J1549*요약!$D$27))</f>
        <v>45276</v>
      </c>
      <c r="M1549" s="46" t="n">
        <f aca="false">D1549*J1549</f>
        <v>5160000</v>
      </c>
      <c r="N1549" s="46" t="n">
        <f aca="false">D1549*K1549</f>
        <v>1211920</v>
      </c>
      <c r="O1549" s="46" t="n">
        <f aca="false">D1549*L1549</f>
        <v>1811040</v>
      </c>
      <c r="P1549" s="42" t="str">
        <f aca="false">TRIM(IF(N(E1549)&lt;=0,"택가보정 ","")&amp;IF(N(F1549)&lt;=0,"원가보정 ","")&amp;IF(AND(B1549&lt;&gt;"CN",N(H1549)&lt;=0),"공급가보정 ","")&amp;IF(AND(B1549="CN",N(I1549)&lt;=0),"중국공급가=원가+마진 ",""))</f>
        <v/>
      </c>
      <c r="Q1549" s="47" t="n">
        <f aca="false">IF(SUMIFS($W:$W,$A:$A,A1549,$C:$C,C1549)=0,0,SUMIFS(RAW_판매펀칭!$K:$K,RAW_판매펀칭!$P:$P,A1549,RAW_판매펀칭!$I:$I,C1549)*W1549/SUMIFS($W:$W,$A:$A,A1549,$C:$C,C1549))</f>
        <v>40</v>
      </c>
      <c r="R1549" s="47" t="n">
        <f aca="false">IF(OR(A1549="500",A1549="800",A1549="810"),0,MAX(W1549-Q1549,0))</f>
        <v>0</v>
      </c>
      <c r="S1549" s="47" t="n">
        <f aca="false">R1549*L1549</f>
        <v>0</v>
      </c>
      <c r="T1549" s="47" t="n">
        <f aca="false">R1549*J1549</f>
        <v>0</v>
      </c>
      <c r="U1549" s="47" t="n">
        <f aca="false">R1549*K1549</f>
        <v>0</v>
      </c>
      <c r="V1549" s="0" t="str">
        <f aca="false">IF(COUNTIFS($A$2:A1549,A1549,$C$2:C1549,C1549,$D$2:D1549,D1549)&gt;1,"중복","")</f>
        <v/>
      </c>
      <c r="W1549" s="0" t="n">
        <f aca="false">IF(V1549="중복",0,N(D1549))</f>
        <v>40</v>
      </c>
      <c r="X1549" s="0" t="n">
        <f aca="false">IF(COUNTIFS($A$2:A1549,A1549,$C$2:C1549,C1549)=1,ABS(SUMIFS(RAW_발주!$D:$D,RAW_발주!$C:$C,A1549,RAW_발주!$A:$A,C1549)-SUMIFS($W:$W,$A:$A,A1549,$C:$C,C1549)),0)</f>
        <v>0</v>
      </c>
    </row>
    <row r="1550" customFormat="false" ht="15" hidden="false" customHeight="true" outlineLevel="0" collapsed="false">
      <c r="A1550" s="45" t="s">
        <v>1667</v>
      </c>
      <c r="B1550" s="42" t="str">
        <f aca="false">IF(A1550="100","HK",IF(A1550="200","CN",IF(A1550="300","TW","홀세일")))</f>
        <v>홀세일</v>
      </c>
      <c r="C1550" s="45" t="s">
        <v>647</v>
      </c>
      <c r="D1550" s="46" t="n">
        <v>122</v>
      </c>
      <c r="E1550" s="46" t="n">
        <v>129000</v>
      </c>
      <c r="F1550" s="46" t="n">
        <v>30298</v>
      </c>
      <c r="G1550" s="42" t="n">
        <v>3.68</v>
      </c>
      <c r="H1550" s="42" t="n">
        <v>34.3</v>
      </c>
      <c r="J1550" s="46" t="n">
        <f aca="false">IF(N(E1550)&gt;0,E1550,IF(N(F1550)&gt;0,F1550*요약!$F$27,0))</f>
        <v>129000</v>
      </c>
      <c r="K1550" s="46" t="n">
        <f aca="false">IF(N(F1550)&gt;0,F1550,IF(N(E1550)&gt;0,E1550/요약!$F$27,0))</f>
        <v>30298</v>
      </c>
      <c r="L1550" s="46" t="n">
        <f aca="false">IF(B1550="CN",IF(N(I1550)&gt;0,I1550*요약!$G$27,K1550*(1+요약!$E$27)),IF(N(H1550)&gt;0,H1550*요약!$G$27,J1550*요약!$D$27))</f>
        <v>45276</v>
      </c>
      <c r="M1550" s="46" t="n">
        <f aca="false">D1550*J1550</f>
        <v>15738000</v>
      </c>
      <c r="N1550" s="46" t="n">
        <f aca="false">D1550*K1550</f>
        <v>3696356</v>
      </c>
      <c r="O1550" s="46" t="n">
        <f aca="false">D1550*L1550</f>
        <v>5523672</v>
      </c>
      <c r="P1550" s="42" t="str">
        <f aca="false">TRIM(IF(N(E1550)&lt;=0,"택가보정 ","")&amp;IF(N(F1550)&lt;=0,"원가보정 ","")&amp;IF(AND(B1550&lt;&gt;"CN",N(H1550)&lt;=0),"공급가보정 ","")&amp;IF(AND(B1550="CN",N(I1550)&lt;=0),"중국공급가=원가+마진 ",""))</f>
        <v/>
      </c>
      <c r="Q1550" s="47" t="n">
        <f aca="false">IF(SUMIFS($W:$W,$A:$A,A1550,$C:$C,C1550)=0,0,SUMIFS(RAW_판매펀칭!$K:$K,RAW_판매펀칭!$P:$P,A1550,RAW_판매펀칭!$I:$I,C1550)*W1550/SUMIFS($W:$W,$A:$A,A1550,$C:$C,C1550))</f>
        <v>122</v>
      </c>
      <c r="R1550" s="47" t="n">
        <f aca="false">IF(OR(A1550="500",A1550="800",A1550="810"),0,MAX(W1550-Q1550,0))</f>
        <v>0</v>
      </c>
      <c r="S1550" s="47" t="n">
        <f aca="false">R1550*L1550</f>
        <v>0</v>
      </c>
      <c r="T1550" s="47" t="n">
        <f aca="false">R1550*J1550</f>
        <v>0</v>
      </c>
      <c r="U1550" s="47" t="n">
        <f aca="false">R1550*K1550</f>
        <v>0</v>
      </c>
      <c r="V1550" s="0" t="str">
        <f aca="false">IF(COUNTIFS($A$2:A1550,A1550,$C$2:C1550,C1550,$D$2:D1550,D1550)&gt;1,"중복","")</f>
        <v/>
      </c>
      <c r="W1550" s="0" t="n">
        <f aca="false">IF(V1550="중복",0,N(D1550))</f>
        <v>122</v>
      </c>
      <c r="X1550" s="0" t="n">
        <f aca="false">IF(COUNTIFS($A$2:A1550,A1550,$C$2:C1550,C1550)=1,ABS(SUMIFS(RAW_발주!$D:$D,RAW_발주!$C:$C,A1550,RAW_발주!$A:$A,C1550)-SUMIFS($W:$W,$A:$A,A1550,$C:$C,C1550)),0)</f>
        <v>0</v>
      </c>
    </row>
    <row r="1551" customFormat="false" ht="15" hidden="false" customHeight="true" outlineLevel="0" collapsed="false">
      <c r="A1551" s="45" t="s">
        <v>1664</v>
      </c>
      <c r="B1551" s="42" t="str">
        <f aca="false">IF(A1551="100","HK",IF(A1551="200","CN",IF(A1551="300","TW","홀세일")))</f>
        <v>홀세일</v>
      </c>
      <c r="C1551" s="45" t="s">
        <v>647</v>
      </c>
      <c r="D1551" s="46" t="n">
        <v>20</v>
      </c>
      <c r="E1551" s="46" t="n">
        <v>129000</v>
      </c>
      <c r="F1551" s="46" t="n">
        <v>30298</v>
      </c>
      <c r="G1551" s="42" t="n">
        <v>3.68</v>
      </c>
      <c r="H1551" s="42" t="n">
        <v>34.3</v>
      </c>
      <c r="J1551" s="46" t="n">
        <f aca="false">IF(N(E1551)&gt;0,E1551,IF(N(F1551)&gt;0,F1551*요약!$F$27,0))</f>
        <v>129000</v>
      </c>
      <c r="K1551" s="46" t="n">
        <f aca="false">IF(N(F1551)&gt;0,F1551,IF(N(E1551)&gt;0,E1551/요약!$F$27,0))</f>
        <v>30298</v>
      </c>
      <c r="L1551" s="46" t="n">
        <f aca="false">IF(B1551="CN",IF(N(I1551)&gt;0,I1551*요약!$G$27,K1551*(1+요약!$E$27)),IF(N(H1551)&gt;0,H1551*요약!$G$27,J1551*요약!$D$27))</f>
        <v>45276</v>
      </c>
      <c r="M1551" s="46" t="n">
        <f aca="false">D1551*J1551</f>
        <v>2580000</v>
      </c>
      <c r="N1551" s="46" t="n">
        <f aca="false">D1551*K1551</f>
        <v>605960</v>
      </c>
      <c r="O1551" s="46" t="n">
        <f aca="false">D1551*L1551</f>
        <v>905520</v>
      </c>
      <c r="P1551" s="42" t="str">
        <f aca="false">TRIM(IF(N(E1551)&lt;=0,"택가보정 ","")&amp;IF(N(F1551)&lt;=0,"원가보정 ","")&amp;IF(AND(B1551&lt;&gt;"CN",N(H1551)&lt;=0),"공급가보정 ","")&amp;IF(AND(B1551="CN",N(I1551)&lt;=0),"중국공급가=원가+마진 ",""))</f>
        <v/>
      </c>
      <c r="Q1551" s="47" t="n">
        <f aca="false">IF(SUMIFS($W:$W,$A:$A,A1551,$C:$C,C1551)=0,0,SUMIFS(RAW_판매펀칭!$K:$K,RAW_판매펀칭!$P:$P,A1551,RAW_판매펀칭!$I:$I,C1551)*W1551/SUMIFS($W:$W,$A:$A,A1551,$C:$C,C1551))</f>
        <v>20</v>
      </c>
      <c r="R1551" s="47" t="n">
        <f aca="false">IF(OR(A1551="500",A1551="800",A1551="810"),0,MAX(W1551-Q1551,0))</f>
        <v>0</v>
      </c>
      <c r="S1551" s="47" t="n">
        <f aca="false">R1551*L1551</f>
        <v>0</v>
      </c>
      <c r="T1551" s="47" t="n">
        <f aca="false">R1551*J1551</f>
        <v>0</v>
      </c>
      <c r="U1551" s="47" t="n">
        <f aca="false">R1551*K1551</f>
        <v>0</v>
      </c>
      <c r="V1551" s="0" t="str">
        <f aca="false">IF(COUNTIFS($A$2:A1551,A1551,$C$2:C1551,C1551,$D$2:D1551,D1551)&gt;1,"중복","")</f>
        <v/>
      </c>
      <c r="W1551" s="0" t="n">
        <f aca="false">IF(V1551="중복",0,N(D1551))</f>
        <v>20</v>
      </c>
      <c r="X1551" s="0" t="n">
        <f aca="false">IF(COUNTIFS($A$2:A1551,A1551,$C$2:C1551,C1551)=1,ABS(SUMIFS(RAW_발주!$D:$D,RAW_발주!$C:$C,A1551,RAW_발주!$A:$A,C1551)-SUMIFS($W:$W,$A:$A,A1551,$C:$C,C1551)),0)</f>
        <v>0</v>
      </c>
    </row>
    <row r="1552" customFormat="false" ht="15" hidden="false" customHeight="true" outlineLevel="0" collapsed="false">
      <c r="A1552" s="45" t="s">
        <v>1664</v>
      </c>
      <c r="B1552" s="42" t="str">
        <f aca="false">IF(A1552="100","HK",IF(A1552="200","CN",IF(A1552="300","TW","홀세일")))</f>
        <v>홀세일</v>
      </c>
      <c r="C1552" s="45" t="s">
        <v>647</v>
      </c>
      <c r="D1552" s="46" t="n">
        <v>20</v>
      </c>
      <c r="E1552" s="46" t="n">
        <v>129000</v>
      </c>
      <c r="F1552" s="46" t="n">
        <v>30298</v>
      </c>
      <c r="G1552" s="42" t="n">
        <v>3.68</v>
      </c>
      <c r="H1552" s="42" t="n">
        <v>34.3</v>
      </c>
      <c r="J1552" s="46" t="n">
        <f aca="false">IF(N(E1552)&gt;0,E1552,IF(N(F1552)&gt;0,F1552*요약!$F$27,0))</f>
        <v>129000</v>
      </c>
      <c r="K1552" s="46" t="n">
        <f aca="false">IF(N(F1552)&gt;0,F1552,IF(N(E1552)&gt;0,E1552/요약!$F$27,0))</f>
        <v>30298</v>
      </c>
      <c r="L1552" s="46" t="n">
        <f aca="false">IF(B1552="CN",IF(N(I1552)&gt;0,I1552*요약!$G$27,K1552*(1+요약!$E$27)),IF(N(H1552)&gt;0,H1552*요약!$G$27,J1552*요약!$D$27))</f>
        <v>45276</v>
      </c>
      <c r="M1552" s="46" t="n">
        <f aca="false">D1552*J1552</f>
        <v>2580000</v>
      </c>
      <c r="N1552" s="46" t="n">
        <f aca="false">D1552*K1552</f>
        <v>605960</v>
      </c>
      <c r="O1552" s="46" t="n">
        <f aca="false">D1552*L1552</f>
        <v>905520</v>
      </c>
      <c r="P1552" s="42" t="str">
        <f aca="false">TRIM(IF(N(E1552)&lt;=0,"택가보정 ","")&amp;IF(N(F1552)&lt;=0,"원가보정 ","")&amp;IF(AND(B1552&lt;&gt;"CN",N(H1552)&lt;=0),"공급가보정 ","")&amp;IF(AND(B1552="CN",N(I1552)&lt;=0),"중국공급가=원가+마진 ",""))</f>
        <v/>
      </c>
      <c r="Q1552" s="47" t="n">
        <f aca="false">IF(SUMIFS($W:$W,$A:$A,A1552,$C:$C,C1552)=0,0,SUMIFS(RAW_판매펀칭!$K:$K,RAW_판매펀칭!$P:$P,A1552,RAW_판매펀칭!$I:$I,C1552)*W1552/SUMIFS($W:$W,$A:$A,A1552,$C:$C,C1552))</f>
        <v>0</v>
      </c>
      <c r="R1552" s="47" t="n">
        <f aca="false">IF(OR(A1552="500",A1552="800",A1552="810"),0,MAX(W1552-Q1552,0))</f>
        <v>0</v>
      </c>
      <c r="S1552" s="47" t="n">
        <f aca="false">R1552*L1552</f>
        <v>0</v>
      </c>
      <c r="T1552" s="47" t="n">
        <f aca="false">R1552*J1552</f>
        <v>0</v>
      </c>
      <c r="U1552" s="47" t="n">
        <f aca="false">R1552*K1552</f>
        <v>0</v>
      </c>
      <c r="V1552" s="0" t="str">
        <f aca="false">IF(COUNTIFS($A$2:A1552,A1552,$C$2:C1552,C1552,$D$2:D1552,D1552)&gt;1,"중복","")</f>
        <v>중복</v>
      </c>
      <c r="W1552" s="0" t="n">
        <f aca="false">IF(V1552="중복",0,N(D1552))</f>
        <v>0</v>
      </c>
      <c r="X1552" s="0" t="n">
        <f aca="false">IF(COUNTIFS($A$2:A1552,A1552,$C$2:C1552,C1552)=1,ABS(SUMIFS(RAW_발주!$D:$D,RAW_발주!$C:$C,A1552,RAW_발주!$A:$A,C1552)-SUMIFS($W:$W,$A:$A,A1552,$C:$C,C1552)),0)</f>
        <v>0</v>
      </c>
    </row>
    <row r="1553" customFormat="false" ht="15" hidden="false" customHeight="true" outlineLevel="0" collapsed="false">
      <c r="A1553" s="45" t="s">
        <v>1666</v>
      </c>
      <c r="B1553" s="42" t="str">
        <f aca="false">IF(A1553="100","HK",IF(A1553="200","CN",IF(A1553="300","TW","홀세일")))</f>
        <v>홀세일</v>
      </c>
      <c r="C1553" s="45" t="s">
        <v>647</v>
      </c>
      <c r="D1553" s="46" t="n">
        <v>350</v>
      </c>
      <c r="E1553" s="46" t="n">
        <v>129000</v>
      </c>
      <c r="F1553" s="46" t="n">
        <v>30298</v>
      </c>
      <c r="G1553" s="42" t="n">
        <v>3.68</v>
      </c>
      <c r="H1553" s="42" t="n">
        <v>34.3</v>
      </c>
      <c r="J1553" s="46" t="n">
        <f aca="false">IF(N(E1553)&gt;0,E1553,IF(N(F1553)&gt;0,F1553*요약!$F$27,0))</f>
        <v>129000</v>
      </c>
      <c r="K1553" s="46" t="n">
        <f aca="false">IF(N(F1553)&gt;0,F1553,IF(N(E1553)&gt;0,E1553/요약!$F$27,0))</f>
        <v>30298</v>
      </c>
      <c r="L1553" s="46" t="n">
        <f aca="false">IF(B1553="CN",IF(N(I1553)&gt;0,I1553*요약!$G$27,K1553*(1+요약!$E$27)),IF(N(H1553)&gt;0,H1553*요약!$G$27,J1553*요약!$D$27))</f>
        <v>45276</v>
      </c>
      <c r="M1553" s="46" t="n">
        <f aca="false">D1553*J1553</f>
        <v>45150000</v>
      </c>
      <c r="N1553" s="46" t="n">
        <f aca="false">D1553*K1553</f>
        <v>10604300</v>
      </c>
      <c r="O1553" s="46" t="n">
        <f aca="false">D1553*L1553</f>
        <v>15846600</v>
      </c>
      <c r="P1553" s="42" t="str">
        <f aca="false">TRIM(IF(N(E1553)&lt;=0,"택가보정 ","")&amp;IF(N(F1553)&lt;=0,"원가보정 ","")&amp;IF(AND(B1553&lt;&gt;"CN",N(H1553)&lt;=0),"공급가보정 ","")&amp;IF(AND(B1553="CN",N(I1553)&lt;=0),"중국공급가=원가+마진 ",""))</f>
        <v/>
      </c>
      <c r="Q1553" s="47" t="n">
        <f aca="false">IF(SUMIFS($W:$W,$A:$A,A1553,$C:$C,C1553)=0,0,SUMIFS(RAW_판매펀칭!$K:$K,RAW_판매펀칭!$P:$P,A1553,RAW_판매펀칭!$I:$I,C1553)*W1553/SUMIFS($W:$W,$A:$A,A1553,$C:$C,C1553))</f>
        <v>350</v>
      </c>
      <c r="R1553" s="47" t="n">
        <f aca="false">IF(OR(A1553="500",A1553="800",A1553="810"),0,MAX(W1553-Q1553,0))</f>
        <v>0</v>
      </c>
      <c r="S1553" s="47" t="n">
        <f aca="false">R1553*L1553</f>
        <v>0</v>
      </c>
      <c r="T1553" s="47" t="n">
        <f aca="false">R1553*J1553</f>
        <v>0</v>
      </c>
      <c r="U1553" s="47" t="n">
        <f aca="false">R1553*K1553</f>
        <v>0</v>
      </c>
      <c r="V1553" s="0" t="str">
        <f aca="false">IF(COUNTIFS($A$2:A1553,A1553,$C$2:C1553,C1553,$D$2:D1553,D1553)&gt;1,"중복","")</f>
        <v/>
      </c>
      <c r="W1553" s="0" t="n">
        <f aca="false">IF(V1553="중복",0,N(D1553))</f>
        <v>350</v>
      </c>
      <c r="X1553" s="0" t="n">
        <f aca="false">IF(COUNTIFS($A$2:A1553,A1553,$C$2:C1553,C1553)=1,ABS(SUMIFS(RAW_발주!$D:$D,RAW_발주!$C:$C,A1553,RAW_발주!$A:$A,C1553)-SUMIFS($W:$W,$A:$A,A1553,$C:$C,C1553)),0)</f>
        <v>0</v>
      </c>
    </row>
    <row r="1554" customFormat="false" ht="15" hidden="false" customHeight="true" outlineLevel="0" collapsed="false">
      <c r="A1554" s="45" t="s">
        <v>1663</v>
      </c>
      <c r="B1554" s="42" t="str">
        <f aca="false">IF(A1554="100","HK",IF(A1554="200","CN",IF(A1554="300","TW","홀세일")))</f>
        <v>홀세일</v>
      </c>
      <c r="C1554" s="45" t="s">
        <v>1368</v>
      </c>
      <c r="D1554" s="46" t="n">
        <v>10</v>
      </c>
      <c r="E1554" s="46" t="n">
        <v>79000</v>
      </c>
      <c r="F1554" s="46" t="n">
        <v>19500</v>
      </c>
      <c r="G1554" s="42" t="n">
        <v>3.5</v>
      </c>
      <c r="H1554" s="42" t="n">
        <v>21</v>
      </c>
      <c r="J1554" s="46" t="n">
        <f aca="false">IF(N(E1554)&gt;0,E1554,IF(N(F1554)&gt;0,F1554*요약!$F$27,0))</f>
        <v>79000</v>
      </c>
      <c r="K1554" s="46" t="n">
        <f aca="false">IF(N(F1554)&gt;0,F1554,IF(N(E1554)&gt;0,E1554/요약!$F$27,0))</f>
        <v>19500</v>
      </c>
      <c r="L1554" s="46" t="n">
        <f aca="false">IF(B1554="CN",IF(N(I1554)&gt;0,I1554*요약!$G$27,K1554*(1+요약!$E$27)),IF(N(H1554)&gt;0,H1554*요약!$G$27,J1554*요약!$D$27))</f>
        <v>27720</v>
      </c>
      <c r="M1554" s="46" t="n">
        <f aca="false">D1554*J1554</f>
        <v>790000</v>
      </c>
      <c r="N1554" s="46" t="n">
        <f aca="false">D1554*K1554</f>
        <v>195000</v>
      </c>
      <c r="O1554" s="46" t="n">
        <f aca="false">D1554*L1554</f>
        <v>277200</v>
      </c>
      <c r="P1554" s="42" t="str">
        <f aca="false">TRIM(IF(N(E1554)&lt;=0,"택가보정 ","")&amp;IF(N(F1554)&lt;=0,"원가보정 ","")&amp;IF(AND(B1554&lt;&gt;"CN",N(H1554)&lt;=0),"공급가보정 ","")&amp;IF(AND(B1554="CN",N(I1554)&lt;=0),"중국공급가=원가+마진 ",""))</f>
        <v/>
      </c>
      <c r="Q1554" s="47" t="n">
        <f aca="false">IF(SUMIFS($W:$W,$A:$A,A1554,$C:$C,C1554)=0,0,SUMIFS(RAW_판매펀칭!$K:$K,RAW_판매펀칭!$P:$P,A1554,RAW_판매펀칭!$I:$I,C1554)*W1554/SUMIFS($W:$W,$A:$A,A1554,$C:$C,C1554))</f>
        <v>10</v>
      </c>
      <c r="R1554" s="47" t="n">
        <f aca="false">IF(OR(A1554="500",A1554="800",A1554="810"),0,MAX(W1554-Q1554,0))</f>
        <v>0</v>
      </c>
      <c r="S1554" s="47" t="n">
        <f aca="false">R1554*L1554</f>
        <v>0</v>
      </c>
      <c r="T1554" s="47" t="n">
        <f aca="false">R1554*J1554</f>
        <v>0</v>
      </c>
      <c r="U1554" s="47" t="n">
        <f aca="false">R1554*K1554</f>
        <v>0</v>
      </c>
      <c r="V1554" s="0" t="str">
        <f aca="false">IF(COUNTIFS($A$2:A1554,A1554,$C$2:C1554,C1554,$D$2:D1554,D1554)&gt;1,"중복","")</f>
        <v/>
      </c>
      <c r="W1554" s="0" t="n">
        <f aca="false">IF(V1554="중복",0,N(D1554))</f>
        <v>10</v>
      </c>
      <c r="X1554" s="0" t="n">
        <f aca="false">IF(COUNTIFS($A$2:A1554,A1554,$C$2:C1554,C1554)=1,ABS(SUMIFS(RAW_발주!$D:$D,RAW_발주!$C:$C,A1554,RAW_발주!$A:$A,C1554)-SUMIFS($W:$W,$A:$A,A1554,$C:$C,C1554)),0)</f>
        <v>0</v>
      </c>
    </row>
    <row r="1555" customFormat="false" ht="15" hidden="false" customHeight="true" outlineLevel="0" collapsed="false">
      <c r="A1555" s="45" t="s">
        <v>1667</v>
      </c>
      <c r="B1555" s="42" t="str">
        <f aca="false">IF(A1555="100","HK",IF(A1555="200","CN",IF(A1555="300","TW","홀세일")))</f>
        <v>홀세일</v>
      </c>
      <c r="C1555" s="45" t="s">
        <v>1429</v>
      </c>
      <c r="D1555" s="46" t="n">
        <v>262</v>
      </c>
      <c r="E1555" s="46" t="n">
        <v>39000</v>
      </c>
      <c r="F1555" s="46" t="n">
        <v>9036</v>
      </c>
      <c r="G1555" s="42" t="n">
        <v>3.68</v>
      </c>
      <c r="H1555" s="42" t="n">
        <v>10.4</v>
      </c>
      <c r="J1555" s="46" t="n">
        <f aca="false">IF(N(E1555)&gt;0,E1555,IF(N(F1555)&gt;0,F1555*요약!$F$27,0))</f>
        <v>39000</v>
      </c>
      <c r="K1555" s="46" t="n">
        <f aca="false">IF(N(F1555)&gt;0,F1555,IF(N(E1555)&gt;0,E1555/요약!$F$27,0))</f>
        <v>9036</v>
      </c>
      <c r="L1555" s="46" t="n">
        <f aca="false">IF(B1555="CN",IF(N(I1555)&gt;0,I1555*요약!$G$27,K1555*(1+요약!$E$27)),IF(N(H1555)&gt;0,H1555*요약!$G$27,J1555*요약!$D$27))</f>
        <v>13728</v>
      </c>
      <c r="M1555" s="46" t="n">
        <f aca="false">D1555*J1555</f>
        <v>10218000</v>
      </c>
      <c r="N1555" s="46" t="n">
        <f aca="false">D1555*K1555</f>
        <v>2367432</v>
      </c>
      <c r="O1555" s="46" t="n">
        <f aca="false">D1555*L1555</f>
        <v>3596736</v>
      </c>
      <c r="P1555" s="42" t="str">
        <f aca="false">TRIM(IF(N(E1555)&lt;=0,"택가보정 ","")&amp;IF(N(F1555)&lt;=0,"원가보정 ","")&amp;IF(AND(B1555&lt;&gt;"CN",N(H1555)&lt;=0),"공급가보정 ","")&amp;IF(AND(B1555="CN",N(I1555)&lt;=0),"중국공급가=원가+마진 ",""))</f>
        <v/>
      </c>
      <c r="Q1555" s="47" t="n">
        <f aca="false">IF(SUMIFS($W:$W,$A:$A,A1555,$C:$C,C1555)=0,0,SUMIFS(RAW_판매펀칭!$K:$K,RAW_판매펀칭!$P:$P,A1555,RAW_판매펀칭!$I:$I,C1555)*W1555/SUMIFS($W:$W,$A:$A,A1555,$C:$C,C1555))</f>
        <v>62</v>
      </c>
      <c r="R1555" s="47" t="n">
        <f aca="false">IF(OR(A1555="500",A1555="800",A1555="810"),0,MAX(W1555-Q1555,0))</f>
        <v>200</v>
      </c>
      <c r="S1555" s="47" t="n">
        <f aca="false">R1555*L1555</f>
        <v>2745600</v>
      </c>
      <c r="T1555" s="47" t="n">
        <f aca="false">R1555*J1555</f>
        <v>7800000</v>
      </c>
      <c r="U1555" s="47" t="n">
        <f aca="false">R1555*K1555</f>
        <v>1807200</v>
      </c>
      <c r="V1555" s="0" t="str">
        <f aca="false">IF(COUNTIFS($A$2:A1555,A1555,$C$2:C1555,C1555,$D$2:D1555,D1555)&gt;1,"중복","")</f>
        <v/>
      </c>
      <c r="W1555" s="0" t="n">
        <f aca="false">IF(V1555="중복",0,N(D1555))</f>
        <v>262</v>
      </c>
      <c r="X1555" s="0" t="n">
        <f aca="false">IF(COUNTIFS($A$2:A1555,A1555,$C$2:C1555,C1555)=1,ABS(SUMIFS(RAW_발주!$D:$D,RAW_발주!$C:$C,A1555,RAW_발주!$A:$A,C1555)-SUMIFS($W:$W,$A:$A,A1555,$C:$C,C1555)),0)</f>
        <v>0</v>
      </c>
    </row>
    <row r="1556" customFormat="false" ht="15" hidden="false" customHeight="true" outlineLevel="0" collapsed="false">
      <c r="A1556" s="45" t="s">
        <v>1661</v>
      </c>
      <c r="B1556" s="42" t="str">
        <f aca="false">IF(A1556="100","HK",IF(A1556="200","CN",IF(A1556="300","TW","홀세일")))</f>
        <v>TW</v>
      </c>
      <c r="C1556" s="45" t="s">
        <v>650</v>
      </c>
      <c r="D1556" s="46" t="n">
        <v>1500</v>
      </c>
      <c r="E1556" s="46"/>
      <c r="F1556" s="46" t="n">
        <v>4900</v>
      </c>
      <c r="G1556" s="42" t="n">
        <v>0</v>
      </c>
      <c r="J1556" s="46" t="n">
        <f aca="false">IF(N(E1556)&gt;0,E1556,IF(N(F1556)&gt;0,F1556*요약!$F$27,0))</f>
        <v>19600</v>
      </c>
      <c r="K1556" s="46" t="n">
        <f aca="false">IF(N(F1556)&gt;0,F1556,IF(N(E1556)&gt;0,E1556/요약!$F$27,0))</f>
        <v>4900</v>
      </c>
      <c r="L1556" s="46" t="n">
        <f aca="false">IF(B1556="CN",IF(N(I1556)&gt;0,I1556*요약!$G$27,K1556*(1+요약!$E$27)),IF(N(H1556)&gt;0,H1556*요약!$G$27,J1556*요약!$D$27))</f>
        <v>6468</v>
      </c>
      <c r="M1556" s="46" t="n">
        <f aca="false">D1556*J1556</f>
        <v>29400000</v>
      </c>
      <c r="N1556" s="46" t="n">
        <f aca="false">D1556*K1556</f>
        <v>7350000</v>
      </c>
      <c r="O1556" s="46" t="n">
        <f aca="false">D1556*L1556</f>
        <v>9702000</v>
      </c>
      <c r="P1556" s="42" t="str">
        <f aca="false">TRIM(IF(N(E1556)&lt;=0,"택가보정 ","")&amp;IF(N(F1556)&lt;=0,"원가보정 ","")&amp;IF(AND(B1556&lt;&gt;"CN",N(H1556)&lt;=0),"공급가보정 ","")&amp;IF(AND(B1556="CN",N(I1556)&lt;=0),"중국공급가=원가+마진 ",""))</f>
        <v>택가보정 공급가보정</v>
      </c>
      <c r="Q1556" s="47" t="n">
        <f aca="false">IF(SUMIFS($W:$W,$A:$A,A1556,$C:$C,C1556)=0,0,SUMIFS(RAW_판매펀칭!$K:$K,RAW_판매펀칭!$P:$P,A1556,RAW_판매펀칭!$I:$I,C1556)*W1556/SUMIFS($W:$W,$A:$A,A1556,$C:$C,C1556))</f>
        <v>1500</v>
      </c>
      <c r="R1556" s="47" t="n">
        <f aca="false">IF(OR(A1556="500",A1556="800",A1556="810"),0,MAX(W1556-Q1556,0))</f>
        <v>0</v>
      </c>
      <c r="S1556" s="47" t="n">
        <f aca="false">R1556*L1556</f>
        <v>0</v>
      </c>
      <c r="T1556" s="47" t="n">
        <f aca="false">R1556*J1556</f>
        <v>0</v>
      </c>
      <c r="U1556" s="47" t="n">
        <f aca="false">R1556*K1556</f>
        <v>0</v>
      </c>
      <c r="V1556" s="0" t="str">
        <f aca="false">IF(COUNTIFS($A$2:A1556,A1556,$C$2:C1556,C1556,$D$2:D1556,D1556)&gt;1,"중복","")</f>
        <v/>
      </c>
      <c r="W1556" s="0" t="n">
        <f aca="false">IF(V1556="중복",0,N(D1556))</f>
        <v>1500</v>
      </c>
      <c r="X1556" s="0" t="n">
        <f aca="false">IF(COUNTIFS($A$2:A1556,A1556,$C$2:C1556,C1556)=1,ABS(SUMIFS(RAW_발주!$D:$D,RAW_발주!$C:$C,A1556,RAW_발주!$A:$A,C1556)-SUMIFS($W:$W,$A:$A,A1556,$C:$C,C1556)),0)</f>
        <v>0</v>
      </c>
    </row>
    <row r="1557" customFormat="false" ht="15.75" hidden="false" customHeight="true" outlineLevel="0" collapsed="false">
      <c r="A1557" s="45" t="s">
        <v>1660</v>
      </c>
      <c r="B1557" s="42" t="str">
        <f aca="false">IF(A1557="100","HK",IF(A1557="200","CN",IF(A1557="300","TW","홀세일")))</f>
        <v>CN</v>
      </c>
      <c r="C1557" s="45" t="s">
        <v>1112</v>
      </c>
      <c r="D1557" s="46" t="n">
        <v>600</v>
      </c>
      <c r="E1557" s="46" t="n">
        <v>85000</v>
      </c>
      <c r="F1557" s="46" t="n">
        <v>34489</v>
      </c>
      <c r="G1557" s="42" t="n">
        <v>2.03</v>
      </c>
      <c r="H1557" s="42" t="n">
        <v>38.7</v>
      </c>
      <c r="J1557" s="46" t="n">
        <f aca="false">IF(N(E1557)&gt;0,E1557,IF(N(F1557)&gt;0,F1557*요약!$F$27,0))</f>
        <v>85000</v>
      </c>
      <c r="K1557" s="46" t="n">
        <f aca="false">IF(N(F1557)&gt;0,F1557,IF(N(E1557)&gt;0,E1557/요약!$F$27,0))</f>
        <v>34489</v>
      </c>
      <c r="L1557" s="46" t="n">
        <f aca="false">IF(B1557="CN",IF(N(I1557)&gt;0,I1557*요약!$G$27,K1557*(1+요약!$E$27)),IF(N(H1557)&gt;0,H1557*요약!$G$27,J1557*요약!$D$27))</f>
        <v>36213.45</v>
      </c>
      <c r="M1557" s="46" t="n">
        <f aca="false">D1557*J1557</f>
        <v>51000000</v>
      </c>
      <c r="N1557" s="46" t="n">
        <f aca="false">D1557*K1557</f>
        <v>20693400</v>
      </c>
      <c r="O1557" s="46" t="n">
        <f aca="false">D1557*L1557</f>
        <v>21728070</v>
      </c>
      <c r="P1557" s="42" t="str">
        <f aca="false">TRIM(IF(N(E1557)&lt;=0,"택가보정 ","")&amp;IF(N(F1557)&lt;=0,"원가보정 ","")&amp;IF(AND(B1557&lt;&gt;"CN",N(H1557)&lt;=0),"공급가보정 ","")&amp;IF(AND(B1557="CN",N(I1557)&lt;=0),"중국공급가=원가+마진 ",""))</f>
        <v>중국공급가=원가+마진</v>
      </c>
      <c r="Q1557" s="47" t="n">
        <f aca="false">IF(SUMIFS($W:$W,$A:$A,A1557,$C:$C,C1557)=0,0,SUMIFS(RAW_판매펀칭!$K:$K,RAW_판매펀칭!$P:$P,A1557,RAW_판매펀칭!$I:$I,C1557)*W1557/SUMIFS($W:$W,$A:$A,A1557,$C:$C,C1557))</f>
        <v>600</v>
      </c>
      <c r="R1557" s="47" t="n">
        <f aca="false">IF(OR(A1557="500",A1557="800",A1557="810"),0,MAX(W1557-Q1557,0))</f>
        <v>0</v>
      </c>
      <c r="S1557" s="47" t="n">
        <f aca="false">R1557*L1557</f>
        <v>0</v>
      </c>
      <c r="T1557" s="47" t="n">
        <f aca="false">R1557*J1557</f>
        <v>0</v>
      </c>
      <c r="U1557" s="47" t="n">
        <f aca="false">R1557*K1557</f>
        <v>0</v>
      </c>
      <c r="V1557" s="0" t="str">
        <f aca="false">IF(COUNTIFS($A$2:A1557,A1557,$C$2:C1557,C1557,$D$2:D1557,D1557)&gt;1,"중복","")</f>
        <v/>
      </c>
      <c r="W1557" s="0" t="n">
        <f aca="false">IF(V1557="중복",0,N(D1557))</f>
        <v>600</v>
      </c>
      <c r="X1557" s="0" t="n">
        <f aca="false">IF(COUNTIFS($A$2:A1557,A1557,$C$2:C1557,C1557)=1,ABS(SUMIFS(RAW_발주!$D:$D,RAW_발주!$C:$C,A1557,RAW_발주!$A:$A,C1557)-SUMIFS($W:$W,$A:$A,A1557,$C:$C,C1557)),0)</f>
        <v>0</v>
      </c>
    </row>
    <row r="1558" customFormat="false" ht="15.75" hidden="false" customHeight="true" outlineLevel="0" collapsed="false">
      <c r="A1558" s="45" t="s">
        <v>1660</v>
      </c>
      <c r="B1558" s="42" t="str">
        <f aca="false">IF(A1558="100","HK",IF(A1558="200","CN",IF(A1558="300","TW","홀세일")))</f>
        <v>CN</v>
      </c>
      <c r="C1558" s="45" t="s">
        <v>1114</v>
      </c>
      <c r="D1558" s="46" t="n">
        <v>700</v>
      </c>
      <c r="E1558" s="46" t="n">
        <v>45000</v>
      </c>
      <c r="F1558" s="46" t="n">
        <v>11844</v>
      </c>
      <c r="G1558" s="42" t="n">
        <v>3.15</v>
      </c>
      <c r="H1558" s="42" t="n">
        <v>20.5</v>
      </c>
      <c r="J1558" s="46" t="n">
        <f aca="false">IF(N(E1558)&gt;0,E1558,IF(N(F1558)&gt;0,F1558*요약!$F$27,0))</f>
        <v>45000</v>
      </c>
      <c r="K1558" s="46" t="n">
        <f aca="false">IF(N(F1558)&gt;0,F1558,IF(N(E1558)&gt;0,E1558/요약!$F$27,0))</f>
        <v>11844</v>
      </c>
      <c r="L1558" s="46" t="n">
        <f aca="false">IF(B1558="CN",IF(N(I1558)&gt;0,I1558*요약!$G$27,K1558*(1+요약!$E$27)),IF(N(H1558)&gt;0,H1558*요약!$G$27,J1558*요약!$D$27))</f>
        <v>12436.2</v>
      </c>
      <c r="M1558" s="46" t="n">
        <f aca="false">D1558*J1558</f>
        <v>31500000</v>
      </c>
      <c r="N1558" s="46" t="n">
        <f aca="false">D1558*K1558</f>
        <v>8290800</v>
      </c>
      <c r="O1558" s="46" t="n">
        <f aca="false">D1558*L1558</f>
        <v>8705340</v>
      </c>
      <c r="P1558" s="42" t="str">
        <f aca="false">TRIM(IF(N(E1558)&lt;=0,"택가보정 ","")&amp;IF(N(F1558)&lt;=0,"원가보정 ","")&amp;IF(AND(B1558&lt;&gt;"CN",N(H1558)&lt;=0),"공급가보정 ","")&amp;IF(AND(B1558="CN",N(I1558)&lt;=0),"중국공급가=원가+마진 ",""))</f>
        <v>중국공급가=원가+마진</v>
      </c>
      <c r="Q1558" s="47" t="n">
        <f aca="false">IF(SUMIFS($W:$W,$A:$A,A1558,$C:$C,C1558)=0,0,SUMIFS(RAW_판매펀칭!$K:$K,RAW_판매펀칭!$P:$P,A1558,RAW_판매펀칭!$I:$I,C1558)*W1558/SUMIFS($W:$W,$A:$A,A1558,$C:$C,C1558))</f>
        <v>700</v>
      </c>
      <c r="R1558" s="47" t="n">
        <f aca="false">IF(OR(A1558="500",A1558="800",A1558="810"),0,MAX(W1558-Q1558,0))</f>
        <v>0</v>
      </c>
      <c r="S1558" s="47" t="n">
        <f aca="false">R1558*L1558</f>
        <v>0</v>
      </c>
      <c r="T1558" s="47" t="n">
        <f aca="false">R1558*J1558</f>
        <v>0</v>
      </c>
      <c r="U1558" s="47" t="n">
        <f aca="false">R1558*K1558</f>
        <v>0</v>
      </c>
      <c r="V1558" s="0" t="str">
        <f aca="false">IF(COUNTIFS($A$2:A1558,A1558,$C$2:C1558,C1558,$D$2:D1558,D1558)&gt;1,"중복","")</f>
        <v/>
      </c>
      <c r="W1558" s="0" t="n">
        <f aca="false">IF(V1558="중복",0,N(D1558))</f>
        <v>700</v>
      </c>
      <c r="X1558" s="0" t="n">
        <f aca="false">IF(COUNTIFS($A$2:A1558,A1558,$C$2:C1558,C1558)=1,ABS(SUMIFS(RAW_발주!$D:$D,RAW_발주!$C:$C,A1558,RAW_발주!$A:$A,C1558)-SUMIFS($W:$W,$A:$A,A1558,$C:$C,C1558)),0)</f>
        <v>0</v>
      </c>
    </row>
    <row r="1559" customFormat="false" ht="15" hidden="false" customHeight="true" outlineLevel="0" collapsed="false">
      <c r="A1559" s="45" t="s">
        <v>1665</v>
      </c>
      <c r="B1559" s="42" t="str">
        <f aca="false">IF(A1559="100","HK",IF(A1559="200","CN",IF(A1559="300","TW","홀세일")))</f>
        <v>홀세일</v>
      </c>
      <c r="C1559" s="45" t="s">
        <v>1114</v>
      </c>
      <c r="D1559" s="46" t="n">
        <v>300</v>
      </c>
      <c r="E1559" s="46" t="n">
        <v>45000</v>
      </c>
      <c r="F1559" s="46" t="n">
        <v>11844</v>
      </c>
      <c r="G1559" s="42" t="n">
        <v>3.15</v>
      </c>
      <c r="H1559" s="42" t="n">
        <v>20.5</v>
      </c>
      <c r="J1559" s="46" t="n">
        <f aca="false">IF(N(E1559)&gt;0,E1559,IF(N(F1559)&gt;0,F1559*요약!$F$27,0))</f>
        <v>45000</v>
      </c>
      <c r="K1559" s="46" t="n">
        <f aca="false">IF(N(F1559)&gt;0,F1559,IF(N(E1559)&gt;0,E1559/요약!$F$27,0))</f>
        <v>11844</v>
      </c>
      <c r="L1559" s="46" t="n">
        <f aca="false">IF(B1559="CN",IF(N(I1559)&gt;0,I1559*요약!$G$27,K1559*(1+요약!$E$27)),IF(N(H1559)&gt;0,H1559*요약!$G$27,J1559*요약!$D$27))</f>
        <v>27060</v>
      </c>
      <c r="M1559" s="46" t="n">
        <f aca="false">D1559*J1559</f>
        <v>13500000</v>
      </c>
      <c r="N1559" s="46" t="n">
        <f aca="false">D1559*K1559</f>
        <v>3553200</v>
      </c>
      <c r="O1559" s="46" t="n">
        <f aca="false">D1559*L1559</f>
        <v>8118000</v>
      </c>
      <c r="P1559" s="42" t="str">
        <f aca="false">TRIM(IF(N(E1559)&lt;=0,"택가보정 ","")&amp;IF(N(F1559)&lt;=0,"원가보정 ","")&amp;IF(AND(B1559&lt;&gt;"CN",N(H1559)&lt;=0),"공급가보정 ","")&amp;IF(AND(B1559="CN",N(I1559)&lt;=0),"중국공급가=원가+마진 ",""))</f>
        <v/>
      </c>
      <c r="Q1559" s="47" t="n">
        <f aca="false">IF(SUMIFS($W:$W,$A:$A,A1559,$C:$C,C1559)=0,0,SUMIFS(RAW_판매펀칭!$K:$K,RAW_판매펀칭!$P:$P,A1559,RAW_판매펀칭!$I:$I,C1559)*W1559/SUMIFS($W:$W,$A:$A,A1559,$C:$C,C1559))</f>
        <v>300</v>
      </c>
      <c r="R1559" s="47" t="n">
        <f aca="false">IF(OR(A1559="500",A1559="800",A1559="810"),0,MAX(W1559-Q1559,0))</f>
        <v>0</v>
      </c>
      <c r="S1559" s="47" t="n">
        <f aca="false">R1559*L1559</f>
        <v>0</v>
      </c>
      <c r="T1559" s="47" t="n">
        <f aca="false">R1559*J1559</f>
        <v>0</v>
      </c>
      <c r="U1559" s="47" t="n">
        <f aca="false">R1559*K1559</f>
        <v>0</v>
      </c>
      <c r="V1559" s="0" t="str">
        <f aca="false">IF(COUNTIFS($A$2:A1559,A1559,$C$2:C1559,C1559,$D$2:D1559,D1559)&gt;1,"중복","")</f>
        <v/>
      </c>
      <c r="W1559" s="0" t="n">
        <f aca="false">IF(V1559="중복",0,N(D1559))</f>
        <v>300</v>
      </c>
      <c r="X1559" s="0" t="n">
        <f aca="false">IF(COUNTIFS($A$2:A1559,A1559,$C$2:C1559,C1559)=1,ABS(SUMIFS(RAW_발주!$D:$D,RAW_발주!$C:$C,A1559,RAW_발주!$A:$A,C1559)-SUMIFS($W:$W,$A:$A,A1559,$C:$C,C1559)),0)</f>
        <v>0</v>
      </c>
    </row>
    <row r="1560" customFormat="false" ht="15.75" hidden="false" customHeight="true" outlineLevel="0" collapsed="false">
      <c r="A1560" s="45" t="s">
        <v>1660</v>
      </c>
      <c r="B1560" s="42" t="str">
        <f aca="false">IF(A1560="100","HK",IF(A1560="200","CN",IF(A1560="300","TW","홀세일")))</f>
        <v>CN</v>
      </c>
      <c r="C1560" s="45" t="s">
        <v>1116</v>
      </c>
      <c r="D1560" s="46" t="n">
        <v>1300</v>
      </c>
      <c r="E1560" s="46" t="n">
        <v>29000</v>
      </c>
      <c r="F1560" s="46" t="n">
        <v>8675</v>
      </c>
      <c r="G1560" s="42" t="n">
        <v>2.51</v>
      </c>
      <c r="H1560" s="42" t="n">
        <v>13.2</v>
      </c>
      <c r="J1560" s="46" t="n">
        <f aca="false">IF(N(E1560)&gt;0,E1560,IF(N(F1560)&gt;0,F1560*요약!$F$27,0))</f>
        <v>29000</v>
      </c>
      <c r="K1560" s="46" t="n">
        <f aca="false">IF(N(F1560)&gt;0,F1560,IF(N(E1560)&gt;0,E1560/요약!$F$27,0))</f>
        <v>8675</v>
      </c>
      <c r="L1560" s="46" t="n">
        <f aca="false">IF(B1560="CN",IF(N(I1560)&gt;0,I1560*요약!$G$27,K1560*(1+요약!$E$27)),IF(N(H1560)&gt;0,H1560*요약!$G$27,J1560*요약!$D$27))</f>
        <v>9108.75</v>
      </c>
      <c r="M1560" s="46" t="n">
        <f aca="false">D1560*J1560</f>
        <v>37700000</v>
      </c>
      <c r="N1560" s="46" t="n">
        <f aca="false">D1560*K1560</f>
        <v>11277500</v>
      </c>
      <c r="O1560" s="46" t="n">
        <f aca="false">D1560*L1560</f>
        <v>11841375</v>
      </c>
      <c r="P1560" s="42" t="str">
        <f aca="false">TRIM(IF(N(E1560)&lt;=0,"택가보정 ","")&amp;IF(N(F1560)&lt;=0,"원가보정 ","")&amp;IF(AND(B1560&lt;&gt;"CN",N(H1560)&lt;=0),"공급가보정 ","")&amp;IF(AND(B1560="CN",N(I1560)&lt;=0),"중국공급가=원가+마진 ",""))</f>
        <v>중국공급가=원가+마진</v>
      </c>
      <c r="Q1560" s="47" t="n">
        <f aca="false">IF(SUMIFS($W:$W,$A:$A,A1560,$C:$C,C1560)=0,0,SUMIFS(RAW_판매펀칭!$K:$K,RAW_판매펀칭!$P:$P,A1560,RAW_판매펀칭!$I:$I,C1560)*W1560/SUMIFS($W:$W,$A:$A,A1560,$C:$C,C1560))</f>
        <v>1300</v>
      </c>
      <c r="R1560" s="47" t="n">
        <f aca="false">IF(OR(A1560="500",A1560="800",A1560="810"),0,MAX(W1560-Q1560,0))</f>
        <v>0</v>
      </c>
      <c r="S1560" s="47" t="n">
        <f aca="false">R1560*L1560</f>
        <v>0</v>
      </c>
      <c r="T1560" s="47" t="n">
        <f aca="false">R1560*J1560</f>
        <v>0</v>
      </c>
      <c r="U1560" s="47" t="n">
        <f aca="false">R1560*K1560</f>
        <v>0</v>
      </c>
      <c r="V1560" s="0" t="str">
        <f aca="false">IF(COUNTIFS($A$2:A1560,A1560,$C$2:C1560,C1560,$D$2:D1560,D1560)&gt;1,"중복","")</f>
        <v/>
      </c>
      <c r="W1560" s="0" t="n">
        <f aca="false">IF(V1560="중복",0,N(D1560))</f>
        <v>1300</v>
      </c>
      <c r="X1560" s="0" t="n">
        <f aca="false">IF(COUNTIFS($A$2:A1560,A1560,$C$2:C1560,C1560)=1,ABS(SUMIFS(RAW_발주!$D:$D,RAW_발주!$C:$C,A1560,RAW_발주!$A:$A,C1560)-SUMIFS($W:$W,$A:$A,A1560,$C:$C,C1560)),0)</f>
        <v>0</v>
      </c>
    </row>
    <row r="1561" customFormat="false" ht="15" hidden="false" customHeight="true" outlineLevel="0" collapsed="false">
      <c r="A1561" s="45" t="s">
        <v>1663</v>
      </c>
      <c r="B1561" s="42" t="str">
        <f aca="false">IF(A1561="100","HK",IF(A1561="200","CN",IF(A1561="300","TW","홀세일")))</f>
        <v>홀세일</v>
      </c>
      <c r="C1561" s="45" t="s">
        <v>1116</v>
      </c>
      <c r="D1561" s="46" t="n">
        <v>40</v>
      </c>
      <c r="E1561" s="46" t="n">
        <v>29000</v>
      </c>
      <c r="F1561" s="46" t="n">
        <v>8675</v>
      </c>
      <c r="G1561" s="42" t="n">
        <v>2.51</v>
      </c>
      <c r="H1561" s="42" t="n">
        <v>13.2</v>
      </c>
      <c r="J1561" s="46" t="n">
        <f aca="false">IF(N(E1561)&gt;0,E1561,IF(N(F1561)&gt;0,F1561*요약!$F$27,0))</f>
        <v>29000</v>
      </c>
      <c r="K1561" s="46" t="n">
        <f aca="false">IF(N(F1561)&gt;0,F1561,IF(N(E1561)&gt;0,E1561/요약!$F$27,0))</f>
        <v>8675</v>
      </c>
      <c r="L1561" s="46" t="n">
        <f aca="false">IF(B1561="CN",IF(N(I1561)&gt;0,I1561*요약!$G$27,K1561*(1+요약!$E$27)),IF(N(H1561)&gt;0,H1561*요약!$G$27,J1561*요약!$D$27))</f>
        <v>17424</v>
      </c>
      <c r="M1561" s="46" t="n">
        <f aca="false">D1561*J1561</f>
        <v>1160000</v>
      </c>
      <c r="N1561" s="46" t="n">
        <f aca="false">D1561*K1561</f>
        <v>347000</v>
      </c>
      <c r="O1561" s="46" t="n">
        <f aca="false">D1561*L1561</f>
        <v>696960</v>
      </c>
      <c r="P1561" s="42" t="str">
        <f aca="false">TRIM(IF(N(E1561)&lt;=0,"택가보정 ","")&amp;IF(N(F1561)&lt;=0,"원가보정 ","")&amp;IF(AND(B1561&lt;&gt;"CN",N(H1561)&lt;=0),"공급가보정 ","")&amp;IF(AND(B1561="CN",N(I1561)&lt;=0),"중국공급가=원가+마진 ",""))</f>
        <v/>
      </c>
      <c r="Q1561" s="47" t="n">
        <f aca="false">IF(SUMIFS($W:$W,$A:$A,A1561,$C:$C,C1561)=0,0,SUMIFS(RAW_판매펀칭!$K:$K,RAW_판매펀칭!$P:$P,A1561,RAW_판매펀칭!$I:$I,C1561)*W1561/SUMIFS($W:$W,$A:$A,A1561,$C:$C,C1561))</f>
        <v>40</v>
      </c>
      <c r="R1561" s="47" t="n">
        <f aca="false">IF(OR(A1561="500",A1561="800",A1561="810"),0,MAX(W1561-Q1561,0))</f>
        <v>0</v>
      </c>
      <c r="S1561" s="47" t="n">
        <f aca="false">R1561*L1561</f>
        <v>0</v>
      </c>
      <c r="T1561" s="47" t="n">
        <f aca="false">R1561*J1561</f>
        <v>0</v>
      </c>
      <c r="U1561" s="47" t="n">
        <f aca="false">R1561*K1561</f>
        <v>0</v>
      </c>
      <c r="V1561" s="0" t="str">
        <f aca="false">IF(COUNTIFS($A$2:A1561,A1561,$C$2:C1561,C1561,$D$2:D1561,D1561)&gt;1,"중복","")</f>
        <v/>
      </c>
      <c r="W1561" s="0" t="n">
        <f aca="false">IF(V1561="중복",0,N(D1561))</f>
        <v>40</v>
      </c>
      <c r="X1561" s="0" t="n">
        <f aca="false">IF(COUNTIFS($A$2:A1561,A1561,$C$2:C1561,C1561)=1,ABS(SUMIFS(RAW_발주!$D:$D,RAW_발주!$C:$C,A1561,RAW_발주!$A:$A,C1561)-SUMIFS($W:$W,$A:$A,A1561,$C:$C,C1561)),0)</f>
        <v>0</v>
      </c>
    </row>
    <row r="1562" customFormat="false" ht="15" hidden="false" customHeight="true" outlineLevel="0" collapsed="false">
      <c r="A1562" s="45" t="s">
        <v>1659</v>
      </c>
      <c r="B1562" s="42" t="str">
        <f aca="false">IF(A1562="100","HK",IF(A1562="200","CN",IF(A1562="300","TW","홀세일")))</f>
        <v>HK</v>
      </c>
      <c r="C1562" s="45" t="s">
        <v>1118</v>
      </c>
      <c r="D1562" s="46" t="n">
        <v>100</v>
      </c>
      <c r="E1562" s="46" t="n">
        <v>245000</v>
      </c>
      <c r="F1562" s="46" t="n">
        <v>54278</v>
      </c>
      <c r="G1562" s="42" t="n">
        <v>4.12</v>
      </c>
      <c r="H1562" s="42" t="n">
        <v>83.6</v>
      </c>
      <c r="J1562" s="46" t="n">
        <f aca="false">IF(N(E1562)&gt;0,E1562,IF(N(F1562)&gt;0,F1562*요약!$F$27,0))</f>
        <v>245000</v>
      </c>
      <c r="K1562" s="46" t="n">
        <f aca="false">IF(N(F1562)&gt;0,F1562,IF(N(E1562)&gt;0,E1562/요약!$F$27,0))</f>
        <v>54278</v>
      </c>
      <c r="L1562" s="46" t="n">
        <f aca="false">IF(B1562="CN",IF(N(I1562)&gt;0,I1562*요약!$G$27,K1562*(1+요약!$E$27)),IF(N(H1562)&gt;0,H1562*요약!$G$27,J1562*요약!$D$27))</f>
        <v>110352</v>
      </c>
      <c r="M1562" s="46" t="n">
        <f aca="false">D1562*J1562</f>
        <v>24500000</v>
      </c>
      <c r="N1562" s="46" t="n">
        <f aca="false">D1562*K1562</f>
        <v>5427800</v>
      </c>
      <c r="O1562" s="46" t="n">
        <f aca="false">D1562*L1562</f>
        <v>11035200</v>
      </c>
      <c r="P1562" s="42" t="str">
        <f aca="false">TRIM(IF(N(E1562)&lt;=0,"택가보정 ","")&amp;IF(N(F1562)&lt;=0,"원가보정 ","")&amp;IF(AND(B1562&lt;&gt;"CN",N(H1562)&lt;=0),"공급가보정 ","")&amp;IF(AND(B1562="CN",N(I1562)&lt;=0),"중국공급가=원가+마진 ",""))</f>
        <v/>
      </c>
      <c r="Q1562" s="47" t="n">
        <f aca="false">IF(SUMIFS($W:$W,$A:$A,A1562,$C:$C,C1562)=0,0,SUMIFS(RAW_판매펀칭!$K:$K,RAW_판매펀칭!$P:$P,A1562,RAW_판매펀칭!$I:$I,C1562)*W1562/SUMIFS($W:$W,$A:$A,A1562,$C:$C,C1562))</f>
        <v>0</v>
      </c>
      <c r="R1562" s="47" t="n">
        <f aca="false">IF(OR(A1562="500",A1562="800",A1562="810"),0,MAX(W1562-Q1562,0))</f>
        <v>100</v>
      </c>
      <c r="S1562" s="47" t="n">
        <f aca="false">R1562*L1562</f>
        <v>11035200</v>
      </c>
      <c r="T1562" s="47" t="n">
        <f aca="false">R1562*J1562</f>
        <v>24500000</v>
      </c>
      <c r="U1562" s="47" t="n">
        <f aca="false">R1562*K1562</f>
        <v>5427800</v>
      </c>
      <c r="V1562" s="0" t="str">
        <f aca="false">IF(COUNTIFS($A$2:A1562,A1562,$C$2:C1562,C1562,$D$2:D1562,D1562)&gt;1,"중복","")</f>
        <v/>
      </c>
      <c r="W1562" s="0" t="n">
        <f aca="false">IF(V1562="중복",0,N(D1562))</f>
        <v>100</v>
      </c>
      <c r="X1562" s="0" t="n">
        <f aca="false">IF(COUNTIFS($A$2:A1562,A1562,$C$2:C1562,C1562)=1,ABS(SUMIFS(RAW_발주!$D:$D,RAW_발주!$C:$C,A1562,RAW_발주!$A:$A,C1562)-SUMIFS($W:$W,$A:$A,A1562,$C:$C,C1562)),0)</f>
        <v>0</v>
      </c>
    </row>
    <row r="1563" customFormat="false" ht="15.75" hidden="false" customHeight="true" outlineLevel="0" collapsed="false">
      <c r="A1563" s="45" t="s">
        <v>1660</v>
      </c>
      <c r="B1563" s="42" t="str">
        <f aca="false">IF(A1563="100","HK",IF(A1563="200","CN",IF(A1563="300","TW","홀세일")))</f>
        <v>CN</v>
      </c>
      <c r="C1563" s="45" t="s">
        <v>1118</v>
      </c>
      <c r="D1563" s="46" t="n">
        <v>120</v>
      </c>
      <c r="E1563" s="46" t="n">
        <v>245000</v>
      </c>
      <c r="F1563" s="46" t="n">
        <v>54278</v>
      </c>
      <c r="G1563" s="42" t="n">
        <v>4.12</v>
      </c>
      <c r="H1563" s="42" t="n">
        <v>83.6</v>
      </c>
      <c r="J1563" s="46" t="n">
        <f aca="false">IF(N(E1563)&gt;0,E1563,IF(N(F1563)&gt;0,F1563*요약!$F$27,0))</f>
        <v>245000</v>
      </c>
      <c r="K1563" s="46" t="n">
        <f aca="false">IF(N(F1563)&gt;0,F1563,IF(N(E1563)&gt;0,E1563/요약!$F$27,0))</f>
        <v>54278</v>
      </c>
      <c r="L1563" s="46" t="n">
        <f aca="false">IF(B1563="CN",IF(N(I1563)&gt;0,I1563*요약!$G$27,K1563*(1+요약!$E$27)),IF(N(H1563)&gt;0,H1563*요약!$G$27,J1563*요약!$D$27))</f>
        <v>56991.9</v>
      </c>
      <c r="M1563" s="46" t="n">
        <f aca="false">D1563*J1563</f>
        <v>29400000</v>
      </c>
      <c r="N1563" s="46" t="n">
        <f aca="false">D1563*K1563</f>
        <v>6513360</v>
      </c>
      <c r="O1563" s="46" t="n">
        <f aca="false">D1563*L1563</f>
        <v>6839028</v>
      </c>
      <c r="P1563" s="42" t="str">
        <f aca="false">TRIM(IF(N(E1563)&lt;=0,"택가보정 ","")&amp;IF(N(F1563)&lt;=0,"원가보정 ","")&amp;IF(AND(B1563&lt;&gt;"CN",N(H1563)&lt;=0),"공급가보정 ","")&amp;IF(AND(B1563="CN",N(I1563)&lt;=0),"중국공급가=원가+마진 ",""))</f>
        <v>중국공급가=원가+마진</v>
      </c>
      <c r="Q1563" s="47" t="n">
        <f aca="false">IF(SUMIFS($W:$W,$A:$A,A1563,$C:$C,C1563)=0,0,SUMIFS(RAW_판매펀칭!$K:$K,RAW_판매펀칭!$P:$P,A1563,RAW_판매펀칭!$I:$I,C1563)*W1563/SUMIFS($W:$W,$A:$A,A1563,$C:$C,C1563))</f>
        <v>140</v>
      </c>
      <c r="R1563" s="47" t="n">
        <f aca="false">IF(OR(A1563="500",A1563="800",A1563="810"),0,MAX(W1563-Q1563,0))</f>
        <v>0</v>
      </c>
      <c r="S1563" s="47" t="n">
        <f aca="false">R1563*L1563</f>
        <v>0</v>
      </c>
      <c r="T1563" s="47" t="n">
        <f aca="false">R1563*J1563</f>
        <v>0</v>
      </c>
      <c r="U1563" s="47" t="n">
        <f aca="false">R1563*K1563</f>
        <v>0</v>
      </c>
      <c r="V1563" s="0" t="str">
        <f aca="false">IF(COUNTIFS($A$2:A1563,A1563,$C$2:C1563,C1563,$D$2:D1563,D1563)&gt;1,"중복","")</f>
        <v/>
      </c>
      <c r="W1563" s="0" t="n">
        <f aca="false">IF(V1563="중복",0,N(D1563))</f>
        <v>120</v>
      </c>
      <c r="X1563" s="0" t="n">
        <f aca="false">IF(COUNTIFS($A$2:A1563,A1563,$C$2:C1563,C1563)=1,ABS(SUMIFS(RAW_발주!$D:$D,RAW_발주!$C:$C,A1563,RAW_발주!$A:$A,C1563)-SUMIFS($W:$W,$A:$A,A1563,$C:$C,C1563)),0)</f>
        <v>0</v>
      </c>
    </row>
    <row r="1564" customFormat="false" ht="15" hidden="false" customHeight="true" outlineLevel="0" collapsed="false">
      <c r="A1564" s="45" t="s">
        <v>1663</v>
      </c>
      <c r="B1564" s="42" t="str">
        <f aca="false">IF(A1564="100","HK",IF(A1564="200","CN",IF(A1564="300","TW","홀세일")))</f>
        <v>홀세일</v>
      </c>
      <c r="C1564" s="45" t="s">
        <v>1118</v>
      </c>
      <c r="D1564" s="46" t="n">
        <v>15</v>
      </c>
      <c r="E1564" s="46" t="n">
        <v>245000</v>
      </c>
      <c r="F1564" s="46" t="n">
        <v>54278</v>
      </c>
      <c r="G1564" s="42" t="n">
        <v>4.12</v>
      </c>
      <c r="H1564" s="42" t="n">
        <v>83.6</v>
      </c>
      <c r="J1564" s="46" t="n">
        <f aca="false">IF(N(E1564)&gt;0,E1564,IF(N(F1564)&gt;0,F1564*요약!$F$27,0))</f>
        <v>245000</v>
      </c>
      <c r="K1564" s="46" t="n">
        <f aca="false">IF(N(F1564)&gt;0,F1564,IF(N(E1564)&gt;0,E1564/요약!$F$27,0))</f>
        <v>54278</v>
      </c>
      <c r="L1564" s="46" t="n">
        <f aca="false">IF(B1564="CN",IF(N(I1564)&gt;0,I1564*요약!$G$27,K1564*(1+요약!$E$27)),IF(N(H1564)&gt;0,H1564*요약!$G$27,J1564*요약!$D$27))</f>
        <v>110352</v>
      </c>
      <c r="M1564" s="46" t="n">
        <f aca="false">D1564*J1564</f>
        <v>3675000</v>
      </c>
      <c r="N1564" s="46" t="n">
        <f aca="false">D1564*K1564</f>
        <v>814170</v>
      </c>
      <c r="O1564" s="46" t="n">
        <f aca="false">D1564*L1564</f>
        <v>1655280</v>
      </c>
      <c r="P1564" s="42" t="str">
        <f aca="false">TRIM(IF(N(E1564)&lt;=0,"택가보정 ","")&amp;IF(N(F1564)&lt;=0,"원가보정 ","")&amp;IF(AND(B1564&lt;&gt;"CN",N(H1564)&lt;=0),"공급가보정 ","")&amp;IF(AND(B1564="CN",N(I1564)&lt;=0),"중국공급가=원가+마진 ",""))</f>
        <v/>
      </c>
      <c r="Q1564" s="47" t="n">
        <f aca="false">IF(SUMIFS($W:$W,$A:$A,A1564,$C:$C,C1564)=0,0,SUMIFS(RAW_판매펀칭!$K:$K,RAW_판매펀칭!$P:$P,A1564,RAW_판매펀칭!$I:$I,C1564)*W1564/SUMIFS($W:$W,$A:$A,A1564,$C:$C,C1564))</f>
        <v>15</v>
      </c>
      <c r="R1564" s="47" t="n">
        <f aca="false">IF(OR(A1564="500",A1564="800",A1564="810"),0,MAX(W1564-Q1564,0))</f>
        <v>0</v>
      </c>
      <c r="S1564" s="47" t="n">
        <f aca="false">R1564*L1564</f>
        <v>0</v>
      </c>
      <c r="T1564" s="47" t="n">
        <f aca="false">R1564*J1564</f>
        <v>0</v>
      </c>
      <c r="U1564" s="47" t="n">
        <f aca="false">R1564*K1564</f>
        <v>0</v>
      </c>
      <c r="V1564" s="0" t="str">
        <f aca="false">IF(COUNTIFS($A$2:A1564,A1564,$C$2:C1564,C1564,$D$2:D1564,D1564)&gt;1,"중복","")</f>
        <v/>
      </c>
      <c r="W1564" s="0" t="n">
        <f aca="false">IF(V1564="중복",0,N(D1564))</f>
        <v>15</v>
      </c>
      <c r="X1564" s="0" t="n">
        <f aca="false">IF(COUNTIFS($A$2:A1564,A1564,$C$2:C1564,C1564)=1,ABS(SUMIFS(RAW_발주!$D:$D,RAW_발주!$C:$C,A1564,RAW_발주!$A:$A,C1564)-SUMIFS($W:$W,$A:$A,A1564,$C:$C,C1564)),0)</f>
        <v>0</v>
      </c>
    </row>
    <row r="1565" customFormat="false" ht="15" hidden="false" customHeight="true" outlineLevel="0" collapsed="false">
      <c r="A1565" s="45" t="s">
        <v>1667</v>
      </c>
      <c r="B1565" s="42" t="str">
        <f aca="false">IF(A1565="100","HK",IF(A1565="200","CN",IF(A1565="300","TW","홀세일")))</f>
        <v>홀세일</v>
      </c>
      <c r="C1565" s="45" t="s">
        <v>1118</v>
      </c>
      <c r="D1565" s="46" t="n">
        <v>30</v>
      </c>
      <c r="E1565" s="46" t="n">
        <v>245000</v>
      </c>
      <c r="F1565" s="46" t="n">
        <v>54278</v>
      </c>
      <c r="G1565" s="42" t="n">
        <v>4.12</v>
      </c>
      <c r="H1565" s="42" t="n">
        <v>83.6</v>
      </c>
      <c r="J1565" s="46" t="n">
        <f aca="false">IF(N(E1565)&gt;0,E1565,IF(N(F1565)&gt;0,F1565*요약!$F$27,0))</f>
        <v>245000</v>
      </c>
      <c r="K1565" s="46" t="n">
        <f aca="false">IF(N(F1565)&gt;0,F1565,IF(N(E1565)&gt;0,E1565/요약!$F$27,0))</f>
        <v>54278</v>
      </c>
      <c r="L1565" s="46" t="n">
        <f aca="false">IF(B1565="CN",IF(N(I1565)&gt;0,I1565*요약!$G$27,K1565*(1+요약!$E$27)),IF(N(H1565)&gt;0,H1565*요약!$G$27,J1565*요약!$D$27))</f>
        <v>110352</v>
      </c>
      <c r="M1565" s="46" t="n">
        <f aca="false">D1565*J1565</f>
        <v>7350000</v>
      </c>
      <c r="N1565" s="46" t="n">
        <f aca="false">D1565*K1565</f>
        <v>1628340</v>
      </c>
      <c r="O1565" s="46" t="n">
        <f aca="false">D1565*L1565</f>
        <v>3310560</v>
      </c>
      <c r="P1565" s="42" t="str">
        <f aca="false">TRIM(IF(N(E1565)&lt;=0,"택가보정 ","")&amp;IF(N(F1565)&lt;=0,"원가보정 ","")&amp;IF(AND(B1565&lt;&gt;"CN",N(H1565)&lt;=0),"공급가보정 ","")&amp;IF(AND(B1565="CN",N(I1565)&lt;=0),"중국공급가=원가+마진 ",""))</f>
        <v/>
      </c>
      <c r="Q1565" s="47" t="n">
        <f aca="false">IF(SUMIFS($W:$W,$A:$A,A1565,$C:$C,C1565)=0,0,SUMIFS(RAW_판매펀칭!$K:$K,RAW_판매펀칭!$P:$P,A1565,RAW_판매펀칭!$I:$I,C1565)*W1565/SUMIFS($W:$W,$A:$A,A1565,$C:$C,C1565))</f>
        <v>0</v>
      </c>
      <c r="R1565" s="47" t="n">
        <f aca="false">IF(OR(A1565="500",A1565="800",A1565="810"),0,MAX(W1565-Q1565,0))</f>
        <v>30</v>
      </c>
      <c r="S1565" s="47" t="n">
        <f aca="false">R1565*L1565</f>
        <v>3310560</v>
      </c>
      <c r="T1565" s="47" t="n">
        <f aca="false">R1565*J1565</f>
        <v>7350000</v>
      </c>
      <c r="U1565" s="47" t="n">
        <f aca="false">R1565*K1565</f>
        <v>1628340</v>
      </c>
      <c r="V1565" s="0" t="str">
        <f aca="false">IF(COUNTIFS($A$2:A1565,A1565,$C$2:C1565,C1565,$D$2:D1565,D1565)&gt;1,"중복","")</f>
        <v/>
      </c>
      <c r="W1565" s="0" t="n">
        <f aca="false">IF(V1565="중복",0,N(D1565))</f>
        <v>30</v>
      </c>
      <c r="X1565" s="0" t="n">
        <f aca="false">IF(COUNTIFS($A$2:A1565,A1565,$C$2:C1565,C1565)=1,ABS(SUMIFS(RAW_발주!$D:$D,RAW_발주!$C:$C,A1565,RAW_발주!$A:$A,C1565)-SUMIFS($W:$W,$A:$A,A1565,$C:$C,C1565)),0)</f>
        <v>0</v>
      </c>
    </row>
    <row r="1566" customFormat="false" ht="15" hidden="false" customHeight="true" outlineLevel="0" collapsed="false">
      <c r="A1566" s="45" t="s">
        <v>1659</v>
      </c>
      <c r="B1566" s="42" t="str">
        <f aca="false">IF(A1566="100","HK",IF(A1566="200","CN",IF(A1566="300","TW","홀세일")))</f>
        <v>HK</v>
      </c>
      <c r="C1566" s="45" t="s">
        <v>1120</v>
      </c>
      <c r="D1566" s="46" t="n">
        <v>180</v>
      </c>
      <c r="E1566" s="46" t="n">
        <v>345000</v>
      </c>
      <c r="F1566" s="46" t="n">
        <v>87504</v>
      </c>
      <c r="G1566" s="42" t="n">
        <v>3.65</v>
      </c>
      <c r="H1566" s="42" t="n">
        <v>117.8</v>
      </c>
      <c r="J1566" s="46" t="n">
        <f aca="false">IF(N(E1566)&gt;0,E1566,IF(N(F1566)&gt;0,F1566*요약!$F$27,0))</f>
        <v>345000</v>
      </c>
      <c r="K1566" s="46" t="n">
        <f aca="false">IF(N(F1566)&gt;0,F1566,IF(N(E1566)&gt;0,E1566/요약!$F$27,0))</f>
        <v>87504</v>
      </c>
      <c r="L1566" s="46" t="n">
        <f aca="false">IF(B1566="CN",IF(N(I1566)&gt;0,I1566*요약!$G$27,K1566*(1+요약!$E$27)),IF(N(H1566)&gt;0,H1566*요약!$G$27,J1566*요약!$D$27))</f>
        <v>155496</v>
      </c>
      <c r="M1566" s="46" t="n">
        <f aca="false">D1566*J1566</f>
        <v>62100000</v>
      </c>
      <c r="N1566" s="46" t="n">
        <f aca="false">D1566*K1566</f>
        <v>15750720</v>
      </c>
      <c r="O1566" s="46" t="n">
        <f aca="false">D1566*L1566</f>
        <v>27989280</v>
      </c>
      <c r="P1566" s="42" t="str">
        <f aca="false">TRIM(IF(N(E1566)&lt;=0,"택가보정 ","")&amp;IF(N(F1566)&lt;=0,"원가보정 ","")&amp;IF(AND(B1566&lt;&gt;"CN",N(H1566)&lt;=0),"공급가보정 ","")&amp;IF(AND(B1566="CN",N(I1566)&lt;=0),"중국공급가=원가+마진 ",""))</f>
        <v/>
      </c>
      <c r="Q1566" s="47" t="n">
        <f aca="false">IF(SUMIFS($W:$W,$A:$A,A1566,$C:$C,C1566)=0,0,SUMIFS(RAW_판매펀칭!$K:$K,RAW_판매펀칭!$P:$P,A1566,RAW_판매펀칭!$I:$I,C1566)*W1566/SUMIFS($W:$W,$A:$A,A1566,$C:$C,C1566))</f>
        <v>0</v>
      </c>
      <c r="R1566" s="47" t="n">
        <f aca="false">IF(OR(A1566="500",A1566="800",A1566="810"),0,MAX(W1566-Q1566,0))</f>
        <v>180</v>
      </c>
      <c r="S1566" s="47" t="n">
        <f aca="false">R1566*L1566</f>
        <v>27989280</v>
      </c>
      <c r="T1566" s="47" t="n">
        <f aca="false">R1566*J1566</f>
        <v>62100000</v>
      </c>
      <c r="U1566" s="47" t="n">
        <f aca="false">R1566*K1566</f>
        <v>15750720</v>
      </c>
      <c r="V1566" s="0" t="str">
        <f aca="false">IF(COUNTIFS($A$2:A1566,A1566,$C$2:C1566,C1566,$D$2:D1566,D1566)&gt;1,"중복","")</f>
        <v/>
      </c>
      <c r="W1566" s="0" t="n">
        <f aca="false">IF(V1566="중복",0,N(D1566))</f>
        <v>180</v>
      </c>
      <c r="X1566" s="0" t="n">
        <f aca="false">IF(COUNTIFS($A$2:A1566,A1566,$C$2:C1566,C1566)=1,ABS(SUMIFS(RAW_발주!$D:$D,RAW_발주!$C:$C,A1566,RAW_발주!$A:$A,C1566)-SUMIFS($W:$W,$A:$A,A1566,$C:$C,C1566)),0)</f>
        <v>0</v>
      </c>
    </row>
    <row r="1567" customFormat="false" ht="15.75" hidden="false" customHeight="true" outlineLevel="0" collapsed="false">
      <c r="A1567" s="45" t="s">
        <v>1660</v>
      </c>
      <c r="B1567" s="42" t="str">
        <f aca="false">IF(A1567="100","HK",IF(A1567="200","CN",IF(A1567="300","TW","홀세일")))</f>
        <v>CN</v>
      </c>
      <c r="C1567" s="45" t="s">
        <v>1120</v>
      </c>
      <c r="D1567" s="46" t="n">
        <v>50</v>
      </c>
      <c r="E1567" s="46" t="n">
        <v>345000</v>
      </c>
      <c r="F1567" s="46" t="n">
        <v>87504</v>
      </c>
      <c r="G1567" s="42" t="n">
        <v>3.65</v>
      </c>
      <c r="H1567" s="42" t="n">
        <v>117.8</v>
      </c>
      <c r="J1567" s="46" t="n">
        <f aca="false">IF(N(E1567)&gt;0,E1567,IF(N(F1567)&gt;0,F1567*요약!$F$27,0))</f>
        <v>345000</v>
      </c>
      <c r="K1567" s="46" t="n">
        <f aca="false">IF(N(F1567)&gt;0,F1567,IF(N(E1567)&gt;0,E1567/요약!$F$27,0))</f>
        <v>87504</v>
      </c>
      <c r="L1567" s="46" t="n">
        <f aca="false">IF(B1567="CN",IF(N(I1567)&gt;0,I1567*요약!$G$27,K1567*(1+요약!$E$27)),IF(N(H1567)&gt;0,H1567*요약!$G$27,J1567*요약!$D$27))</f>
        <v>91879.2</v>
      </c>
      <c r="M1567" s="46" t="n">
        <f aca="false">D1567*J1567</f>
        <v>17250000</v>
      </c>
      <c r="N1567" s="46" t="n">
        <f aca="false">D1567*K1567</f>
        <v>4375200</v>
      </c>
      <c r="O1567" s="46" t="n">
        <f aca="false">D1567*L1567</f>
        <v>4593960</v>
      </c>
      <c r="P1567" s="42" t="str">
        <f aca="false">TRIM(IF(N(E1567)&lt;=0,"택가보정 ","")&amp;IF(N(F1567)&lt;=0,"원가보정 ","")&amp;IF(AND(B1567&lt;&gt;"CN",N(H1567)&lt;=0),"공급가보정 ","")&amp;IF(AND(B1567="CN",N(I1567)&lt;=0),"중국공급가=원가+마진 ",""))</f>
        <v>중국공급가=원가+마진</v>
      </c>
      <c r="Q1567" s="47" t="n">
        <f aca="false">IF(SUMIFS($W:$W,$A:$A,A1567,$C:$C,C1567)=0,0,SUMIFS(RAW_판매펀칭!$K:$K,RAW_판매펀칭!$P:$P,A1567,RAW_판매펀칭!$I:$I,C1567)*W1567/SUMIFS($W:$W,$A:$A,A1567,$C:$C,C1567))</f>
        <v>60</v>
      </c>
      <c r="R1567" s="47" t="n">
        <f aca="false">IF(OR(A1567="500",A1567="800",A1567="810"),0,MAX(W1567-Q1567,0))</f>
        <v>0</v>
      </c>
      <c r="S1567" s="47" t="n">
        <f aca="false">R1567*L1567</f>
        <v>0</v>
      </c>
      <c r="T1567" s="47" t="n">
        <f aca="false">R1567*J1567</f>
        <v>0</v>
      </c>
      <c r="U1567" s="47" t="n">
        <f aca="false">R1567*K1567</f>
        <v>0</v>
      </c>
      <c r="V1567" s="0" t="str">
        <f aca="false">IF(COUNTIFS($A$2:A1567,A1567,$C$2:C1567,C1567,$D$2:D1567,D1567)&gt;1,"중복","")</f>
        <v/>
      </c>
      <c r="W1567" s="0" t="n">
        <f aca="false">IF(V1567="중복",0,N(D1567))</f>
        <v>50</v>
      </c>
      <c r="X1567" s="0" t="n">
        <f aca="false">IF(COUNTIFS($A$2:A1567,A1567,$C$2:C1567,C1567)=1,ABS(SUMIFS(RAW_발주!$D:$D,RAW_발주!$C:$C,A1567,RAW_발주!$A:$A,C1567)-SUMIFS($W:$W,$A:$A,A1567,$C:$C,C1567)),0)</f>
        <v>0</v>
      </c>
    </row>
    <row r="1568" customFormat="false" ht="15" hidden="false" customHeight="true" outlineLevel="0" collapsed="false">
      <c r="A1568" s="45" t="s">
        <v>1667</v>
      </c>
      <c r="B1568" s="42" t="str">
        <f aca="false">IF(A1568="100","HK",IF(A1568="200","CN",IF(A1568="300","TW","홀세일")))</f>
        <v>홀세일</v>
      </c>
      <c r="C1568" s="45" t="s">
        <v>1120</v>
      </c>
      <c r="D1568" s="46" t="n">
        <v>40</v>
      </c>
      <c r="E1568" s="46" t="n">
        <v>345000</v>
      </c>
      <c r="F1568" s="46" t="n">
        <v>87504</v>
      </c>
      <c r="G1568" s="42" t="n">
        <v>3.65</v>
      </c>
      <c r="H1568" s="42" t="n">
        <v>117.8</v>
      </c>
      <c r="J1568" s="46" t="n">
        <f aca="false">IF(N(E1568)&gt;0,E1568,IF(N(F1568)&gt;0,F1568*요약!$F$27,0))</f>
        <v>345000</v>
      </c>
      <c r="K1568" s="46" t="n">
        <f aca="false">IF(N(F1568)&gt;0,F1568,IF(N(E1568)&gt;0,E1568/요약!$F$27,0))</f>
        <v>87504</v>
      </c>
      <c r="L1568" s="46" t="n">
        <f aca="false">IF(B1568="CN",IF(N(I1568)&gt;0,I1568*요약!$G$27,K1568*(1+요약!$E$27)),IF(N(H1568)&gt;0,H1568*요약!$G$27,J1568*요약!$D$27))</f>
        <v>155496</v>
      </c>
      <c r="M1568" s="46" t="n">
        <f aca="false">D1568*J1568</f>
        <v>13800000</v>
      </c>
      <c r="N1568" s="46" t="n">
        <f aca="false">D1568*K1568</f>
        <v>3500160</v>
      </c>
      <c r="O1568" s="46" t="n">
        <f aca="false">D1568*L1568</f>
        <v>6219840</v>
      </c>
      <c r="P1568" s="42" t="str">
        <f aca="false">TRIM(IF(N(E1568)&lt;=0,"택가보정 ","")&amp;IF(N(F1568)&lt;=0,"원가보정 ","")&amp;IF(AND(B1568&lt;&gt;"CN",N(H1568)&lt;=0),"공급가보정 ","")&amp;IF(AND(B1568="CN",N(I1568)&lt;=0),"중국공급가=원가+마진 ",""))</f>
        <v/>
      </c>
      <c r="Q1568" s="47" t="n">
        <f aca="false">IF(SUMIFS($W:$W,$A:$A,A1568,$C:$C,C1568)=0,0,SUMIFS(RAW_판매펀칭!$K:$K,RAW_판매펀칭!$P:$P,A1568,RAW_판매펀칭!$I:$I,C1568)*W1568/SUMIFS($W:$W,$A:$A,A1568,$C:$C,C1568))</f>
        <v>30</v>
      </c>
      <c r="R1568" s="47" t="n">
        <f aca="false">IF(OR(A1568="500",A1568="800",A1568="810"),0,MAX(W1568-Q1568,0))</f>
        <v>10</v>
      </c>
      <c r="S1568" s="47" t="n">
        <f aca="false">R1568*L1568</f>
        <v>1554960</v>
      </c>
      <c r="T1568" s="47" t="n">
        <f aca="false">R1568*J1568</f>
        <v>3450000</v>
      </c>
      <c r="U1568" s="47" t="n">
        <f aca="false">R1568*K1568</f>
        <v>875040</v>
      </c>
      <c r="V1568" s="0" t="str">
        <f aca="false">IF(COUNTIFS($A$2:A1568,A1568,$C$2:C1568,C1568,$D$2:D1568,D1568)&gt;1,"중복","")</f>
        <v/>
      </c>
      <c r="W1568" s="0" t="n">
        <f aca="false">IF(V1568="중복",0,N(D1568))</f>
        <v>40</v>
      </c>
      <c r="X1568" s="0" t="n">
        <f aca="false">IF(COUNTIFS($A$2:A1568,A1568,$C$2:C1568,C1568)=1,ABS(SUMIFS(RAW_발주!$D:$D,RAW_발주!$C:$C,A1568,RAW_발주!$A:$A,C1568)-SUMIFS($W:$W,$A:$A,A1568,$C:$C,C1568)),0)</f>
        <v>0</v>
      </c>
    </row>
    <row r="1569" customFormat="false" ht="15" hidden="false" customHeight="true" outlineLevel="0" collapsed="false">
      <c r="A1569" s="45" t="s">
        <v>1659</v>
      </c>
      <c r="B1569" s="42" t="str">
        <f aca="false">IF(A1569="100","HK",IF(A1569="200","CN",IF(A1569="300","TW","홀세일")))</f>
        <v>HK</v>
      </c>
      <c r="C1569" s="45" t="s">
        <v>1712</v>
      </c>
      <c r="D1569" s="46" t="n">
        <v>140</v>
      </c>
      <c r="E1569" s="46" t="n">
        <v>219000</v>
      </c>
      <c r="F1569" s="46" t="n">
        <v>47845</v>
      </c>
      <c r="G1569" s="42" t="n">
        <v>3.98</v>
      </c>
      <c r="H1569" s="42" t="n">
        <v>74.8</v>
      </c>
      <c r="J1569" s="46" t="n">
        <f aca="false">IF(N(E1569)&gt;0,E1569,IF(N(F1569)&gt;0,F1569*요약!$F$27,0))</f>
        <v>219000</v>
      </c>
      <c r="K1569" s="46" t="n">
        <f aca="false">IF(N(F1569)&gt;0,F1569,IF(N(E1569)&gt;0,E1569/요약!$F$27,0))</f>
        <v>47845</v>
      </c>
      <c r="L1569" s="46" t="n">
        <f aca="false">IF(B1569="CN",IF(N(I1569)&gt;0,I1569*요약!$G$27,K1569*(1+요약!$E$27)),IF(N(H1569)&gt;0,H1569*요약!$G$27,J1569*요약!$D$27))</f>
        <v>98736</v>
      </c>
      <c r="M1569" s="46" t="n">
        <f aca="false">D1569*J1569</f>
        <v>30660000</v>
      </c>
      <c r="N1569" s="46" t="n">
        <f aca="false">D1569*K1569</f>
        <v>6698300</v>
      </c>
      <c r="O1569" s="46" t="n">
        <f aca="false">D1569*L1569</f>
        <v>13823040</v>
      </c>
      <c r="P1569" s="42" t="str">
        <f aca="false">TRIM(IF(N(E1569)&lt;=0,"택가보정 ","")&amp;IF(N(F1569)&lt;=0,"원가보정 ","")&amp;IF(AND(B1569&lt;&gt;"CN",N(H1569)&lt;=0),"공급가보정 ","")&amp;IF(AND(B1569="CN",N(I1569)&lt;=0),"중국공급가=원가+마진 ",""))</f>
        <v/>
      </c>
      <c r="Q1569" s="47" t="n">
        <f aca="false">IF(SUMIFS($W:$W,$A:$A,A1569,$C:$C,C1569)=0,0,SUMIFS(RAW_판매펀칭!$K:$K,RAW_판매펀칭!$P:$P,A1569,RAW_판매펀칭!$I:$I,C1569)*W1569/SUMIFS($W:$W,$A:$A,A1569,$C:$C,C1569))</f>
        <v>0</v>
      </c>
      <c r="R1569" s="47" t="n">
        <f aca="false">IF(OR(A1569="500",A1569="800",A1569="810"),0,MAX(W1569-Q1569,0))</f>
        <v>140</v>
      </c>
      <c r="S1569" s="47" t="n">
        <f aca="false">R1569*L1569</f>
        <v>13823040</v>
      </c>
      <c r="T1569" s="47" t="n">
        <f aca="false">R1569*J1569</f>
        <v>30660000</v>
      </c>
      <c r="U1569" s="47" t="n">
        <f aca="false">R1569*K1569</f>
        <v>6698300</v>
      </c>
      <c r="V1569" s="0" t="str">
        <f aca="false">IF(COUNTIFS($A$2:A1569,A1569,$C$2:C1569,C1569,$D$2:D1569,D1569)&gt;1,"중복","")</f>
        <v/>
      </c>
      <c r="W1569" s="0" t="n">
        <f aca="false">IF(V1569="중복",0,N(D1569))</f>
        <v>140</v>
      </c>
      <c r="X1569" s="0" t="n">
        <f aca="false">IF(COUNTIFS($A$2:A1569,A1569,$C$2:C1569,C1569)=1,ABS(SUMIFS(RAW_발주!$D:$D,RAW_발주!$C:$C,A1569,RAW_발주!$A:$A,C1569)-SUMIFS($W:$W,$A:$A,A1569,$C:$C,C1569)),0)</f>
        <v>0</v>
      </c>
    </row>
    <row r="1570" customFormat="false" ht="15" hidden="false" customHeight="true" outlineLevel="0" collapsed="false">
      <c r="A1570" s="45" t="s">
        <v>1659</v>
      </c>
      <c r="B1570" s="42" t="str">
        <f aca="false">IF(A1570="100","HK",IF(A1570="200","CN",IF(A1570="300","TW","홀세일")))</f>
        <v>HK</v>
      </c>
      <c r="C1570" s="45" t="s">
        <v>1713</v>
      </c>
      <c r="D1570" s="46" t="n">
        <v>140</v>
      </c>
      <c r="E1570" s="46" t="n">
        <v>279000</v>
      </c>
      <c r="F1570" s="46" t="n">
        <v>62056</v>
      </c>
      <c r="G1570" s="42" t="n">
        <v>4.16</v>
      </c>
      <c r="H1570" s="42" t="n">
        <v>95.3</v>
      </c>
      <c r="J1570" s="46" t="n">
        <f aca="false">IF(N(E1570)&gt;0,E1570,IF(N(F1570)&gt;0,F1570*요약!$F$27,0))</f>
        <v>279000</v>
      </c>
      <c r="K1570" s="46" t="n">
        <f aca="false">IF(N(F1570)&gt;0,F1570,IF(N(E1570)&gt;0,E1570/요약!$F$27,0))</f>
        <v>62056</v>
      </c>
      <c r="L1570" s="46" t="n">
        <f aca="false">IF(B1570="CN",IF(N(I1570)&gt;0,I1570*요약!$G$27,K1570*(1+요약!$E$27)),IF(N(H1570)&gt;0,H1570*요약!$G$27,J1570*요약!$D$27))</f>
        <v>125796</v>
      </c>
      <c r="M1570" s="46" t="n">
        <f aca="false">D1570*J1570</f>
        <v>39060000</v>
      </c>
      <c r="N1570" s="46" t="n">
        <f aca="false">D1570*K1570</f>
        <v>8687840</v>
      </c>
      <c r="O1570" s="46" t="n">
        <f aca="false">D1570*L1570</f>
        <v>17611440</v>
      </c>
      <c r="P1570" s="42" t="str">
        <f aca="false">TRIM(IF(N(E1570)&lt;=0,"택가보정 ","")&amp;IF(N(F1570)&lt;=0,"원가보정 ","")&amp;IF(AND(B1570&lt;&gt;"CN",N(H1570)&lt;=0),"공급가보정 ","")&amp;IF(AND(B1570="CN",N(I1570)&lt;=0),"중국공급가=원가+마진 ",""))</f>
        <v/>
      </c>
      <c r="Q1570" s="47" t="n">
        <f aca="false">IF(SUMIFS($W:$W,$A:$A,A1570,$C:$C,C1570)=0,0,SUMIFS(RAW_판매펀칭!$K:$K,RAW_판매펀칭!$P:$P,A1570,RAW_판매펀칭!$I:$I,C1570)*W1570/SUMIFS($W:$W,$A:$A,A1570,$C:$C,C1570))</f>
        <v>0</v>
      </c>
      <c r="R1570" s="47" t="n">
        <f aca="false">IF(OR(A1570="500",A1570="800",A1570="810"),0,MAX(W1570-Q1570,0))</f>
        <v>140</v>
      </c>
      <c r="S1570" s="47" t="n">
        <f aca="false">R1570*L1570</f>
        <v>17611440</v>
      </c>
      <c r="T1570" s="47" t="n">
        <f aca="false">R1570*J1570</f>
        <v>39060000</v>
      </c>
      <c r="U1570" s="47" t="n">
        <f aca="false">R1570*K1570</f>
        <v>8687840</v>
      </c>
      <c r="V1570" s="0" t="str">
        <f aca="false">IF(COUNTIFS($A$2:A1570,A1570,$C$2:C1570,C1570,$D$2:D1570,D1570)&gt;1,"중복","")</f>
        <v/>
      </c>
      <c r="W1570" s="0" t="n">
        <f aca="false">IF(V1570="중복",0,N(D1570))</f>
        <v>140</v>
      </c>
      <c r="X1570" s="0" t="n">
        <f aca="false">IF(COUNTIFS($A$2:A1570,A1570,$C$2:C1570,C1570)=1,ABS(SUMIFS(RAW_발주!$D:$D,RAW_발주!$C:$C,A1570,RAW_발주!$A:$A,C1570)-SUMIFS($W:$W,$A:$A,A1570,$C:$C,C1570)),0)</f>
        <v>0</v>
      </c>
    </row>
    <row r="1571" customFormat="false" ht="15" hidden="false" customHeight="true" outlineLevel="0" collapsed="false">
      <c r="A1571" s="45" t="s">
        <v>1659</v>
      </c>
      <c r="B1571" s="42" t="str">
        <f aca="false">IF(A1571="100","HK",IF(A1571="200","CN",IF(A1571="300","TW","홀세일")))</f>
        <v>HK</v>
      </c>
      <c r="C1571" s="45" t="s">
        <v>1370</v>
      </c>
      <c r="D1571" s="46" t="n">
        <v>60</v>
      </c>
      <c r="E1571" s="46" t="n">
        <v>298000</v>
      </c>
      <c r="F1571" s="46" t="n">
        <v>74790</v>
      </c>
      <c r="G1571" s="42" t="n">
        <v>3.93</v>
      </c>
      <c r="H1571" s="42" t="n">
        <v>101.7</v>
      </c>
      <c r="J1571" s="46" t="n">
        <f aca="false">IF(N(E1571)&gt;0,E1571,IF(N(F1571)&gt;0,F1571*요약!$F$27,0))</f>
        <v>298000</v>
      </c>
      <c r="K1571" s="46" t="n">
        <f aca="false">IF(N(F1571)&gt;0,F1571,IF(N(E1571)&gt;0,E1571/요약!$F$27,0))</f>
        <v>74790</v>
      </c>
      <c r="L1571" s="46" t="n">
        <f aca="false">IF(B1571="CN",IF(N(I1571)&gt;0,I1571*요약!$G$27,K1571*(1+요약!$E$27)),IF(N(H1571)&gt;0,H1571*요약!$G$27,J1571*요약!$D$27))</f>
        <v>134244</v>
      </c>
      <c r="M1571" s="46" t="n">
        <f aca="false">D1571*J1571</f>
        <v>17880000</v>
      </c>
      <c r="N1571" s="46" t="n">
        <f aca="false">D1571*K1571</f>
        <v>4487400</v>
      </c>
      <c r="O1571" s="46" t="n">
        <f aca="false">D1571*L1571</f>
        <v>8054640</v>
      </c>
      <c r="P1571" s="42" t="str">
        <f aca="false">TRIM(IF(N(E1571)&lt;=0,"택가보정 ","")&amp;IF(N(F1571)&lt;=0,"원가보정 ","")&amp;IF(AND(B1571&lt;&gt;"CN",N(H1571)&lt;=0),"공급가보정 ","")&amp;IF(AND(B1571="CN",N(I1571)&lt;=0),"중국공급가=원가+마진 ",""))</f>
        <v/>
      </c>
      <c r="Q1571" s="47" t="n">
        <f aca="false">IF(SUMIFS($W:$W,$A:$A,A1571,$C:$C,C1571)=0,0,SUMIFS(RAW_판매펀칭!$K:$K,RAW_판매펀칭!$P:$P,A1571,RAW_판매펀칭!$I:$I,C1571)*W1571/SUMIFS($W:$W,$A:$A,A1571,$C:$C,C1571))</f>
        <v>0</v>
      </c>
      <c r="R1571" s="47" t="n">
        <f aca="false">IF(OR(A1571="500",A1571="800",A1571="810"),0,MAX(W1571-Q1571,0))</f>
        <v>60</v>
      </c>
      <c r="S1571" s="47" t="n">
        <f aca="false">R1571*L1571</f>
        <v>8054640</v>
      </c>
      <c r="T1571" s="47" t="n">
        <f aca="false">R1571*J1571</f>
        <v>17880000</v>
      </c>
      <c r="U1571" s="47" t="n">
        <f aca="false">R1571*K1571</f>
        <v>4487400</v>
      </c>
      <c r="V1571" s="0" t="str">
        <f aca="false">IF(COUNTIFS($A$2:A1571,A1571,$C$2:C1571,C1571,$D$2:D1571,D1571)&gt;1,"중복","")</f>
        <v/>
      </c>
      <c r="W1571" s="0" t="n">
        <f aca="false">IF(V1571="중복",0,N(D1571))</f>
        <v>60</v>
      </c>
      <c r="X1571" s="0" t="n">
        <f aca="false">IF(COUNTIFS($A$2:A1571,A1571,$C$2:C1571,C1571)=1,ABS(SUMIFS(RAW_발주!$D:$D,RAW_발주!$C:$C,A1571,RAW_발주!$A:$A,C1571)-SUMIFS($W:$W,$A:$A,A1571,$C:$C,C1571)),0)</f>
        <v>0</v>
      </c>
    </row>
    <row r="1572" customFormat="false" ht="15.75" hidden="false" customHeight="true" outlineLevel="0" collapsed="false">
      <c r="A1572" s="45" t="s">
        <v>1660</v>
      </c>
      <c r="B1572" s="42" t="str">
        <f aca="false">IF(A1572="100","HK",IF(A1572="200","CN",IF(A1572="300","TW","홀세일")))</f>
        <v>CN</v>
      </c>
      <c r="C1572" s="45" t="s">
        <v>1370</v>
      </c>
      <c r="D1572" s="46" t="n">
        <v>30</v>
      </c>
      <c r="E1572" s="46" t="n">
        <v>298000</v>
      </c>
      <c r="F1572" s="46" t="n">
        <v>74790</v>
      </c>
      <c r="G1572" s="42" t="n">
        <v>3.93</v>
      </c>
      <c r="H1572" s="42" t="n">
        <v>101.7</v>
      </c>
      <c r="J1572" s="46" t="n">
        <f aca="false">IF(N(E1572)&gt;0,E1572,IF(N(F1572)&gt;0,F1572*요약!$F$27,0))</f>
        <v>298000</v>
      </c>
      <c r="K1572" s="46" t="n">
        <f aca="false">IF(N(F1572)&gt;0,F1572,IF(N(E1572)&gt;0,E1572/요약!$F$27,0))</f>
        <v>74790</v>
      </c>
      <c r="L1572" s="46" t="n">
        <f aca="false">IF(B1572="CN",IF(N(I1572)&gt;0,I1572*요약!$G$27,K1572*(1+요약!$E$27)),IF(N(H1572)&gt;0,H1572*요약!$G$27,J1572*요약!$D$27))</f>
        <v>78529.5</v>
      </c>
      <c r="M1572" s="46" t="n">
        <f aca="false">D1572*J1572</f>
        <v>8940000</v>
      </c>
      <c r="N1572" s="46" t="n">
        <f aca="false">D1572*K1572</f>
        <v>2243700</v>
      </c>
      <c r="O1572" s="46" t="n">
        <f aca="false">D1572*L1572</f>
        <v>2355885</v>
      </c>
      <c r="P1572" s="42" t="str">
        <f aca="false">TRIM(IF(N(E1572)&lt;=0,"택가보정 ","")&amp;IF(N(F1572)&lt;=0,"원가보정 ","")&amp;IF(AND(B1572&lt;&gt;"CN",N(H1572)&lt;=0),"공급가보정 ","")&amp;IF(AND(B1572="CN",N(I1572)&lt;=0),"중국공급가=원가+마진 ",""))</f>
        <v>중국공급가=원가+마진</v>
      </c>
      <c r="Q1572" s="47" t="n">
        <f aca="false">IF(SUMIFS($W:$W,$A:$A,A1572,$C:$C,C1572)=0,0,SUMIFS(RAW_판매펀칭!$K:$K,RAW_판매펀칭!$P:$P,A1572,RAW_판매펀칭!$I:$I,C1572)*W1572/SUMIFS($W:$W,$A:$A,A1572,$C:$C,C1572))</f>
        <v>0</v>
      </c>
      <c r="R1572" s="47" t="n">
        <f aca="false">IF(OR(A1572="500",A1572="800",A1572="810"),0,MAX(W1572-Q1572,0))</f>
        <v>30</v>
      </c>
      <c r="S1572" s="47" t="n">
        <f aca="false">R1572*L1572</f>
        <v>2355885</v>
      </c>
      <c r="T1572" s="47" t="n">
        <f aca="false">R1572*J1572</f>
        <v>8940000</v>
      </c>
      <c r="U1572" s="47" t="n">
        <f aca="false">R1572*K1572</f>
        <v>2243700</v>
      </c>
      <c r="V1572" s="0" t="str">
        <f aca="false">IF(COUNTIFS($A$2:A1572,A1572,$C$2:C1572,C1572,$D$2:D1572,D1572)&gt;1,"중복","")</f>
        <v/>
      </c>
      <c r="W1572" s="0" t="n">
        <f aca="false">IF(V1572="중복",0,N(D1572))</f>
        <v>30</v>
      </c>
      <c r="X1572" s="0" t="n">
        <f aca="false">IF(COUNTIFS($A$2:A1572,A1572,$C$2:C1572,C1572)=1,ABS(SUMIFS(RAW_발주!$D:$D,RAW_발주!$C:$C,A1572,RAW_발주!$A:$A,C1572)-SUMIFS($W:$W,$A:$A,A1572,$C:$C,C1572)),0)</f>
        <v>0</v>
      </c>
    </row>
    <row r="1573" customFormat="false" ht="15" hidden="false" customHeight="true" outlineLevel="0" collapsed="false">
      <c r="A1573" s="45" t="s">
        <v>1662</v>
      </c>
      <c r="B1573" s="42" t="str">
        <f aca="false">IF(A1573="100","HK",IF(A1573="200","CN",IF(A1573="300","TW","홀세일")))</f>
        <v>홀세일</v>
      </c>
      <c r="C1573" s="45" t="s">
        <v>1370</v>
      </c>
      <c r="D1573" s="46" t="n">
        <v>10</v>
      </c>
      <c r="E1573" s="46" t="n">
        <v>298000</v>
      </c>
      <c r="F1573" s="46" t="n">
        <v>74790</v>
      </c>
      <c r="G1573" s="42" t="n">
        <v>3.93</v>
      </c>
      <c r="H1573" s="42" t="n">
        <v>101.7</v>
      </c>
      <c r="J1573" s="46" t="n">
        <f aca="false">IF(N(E1573)&gt;0,E1573,IF(N(F1573)&gt;0,F1573*요약!$F$27,0))</f>
        <v>298000</v>
      </c>
      <c r="K1573" s="46" t="n">
        <f aca="false">IF(N(F1573)&gt;0,F1573,IF(N(E1573)&gt;0,E1573/요약!$F$27,0))</f>
        <v>74790</v>
      </c>
      <c r="L1573" s="46" t="n">
        <f aca="false">IF(B1573="CN",IF(N(I1573)&gt;0,I1573*요약!$G$27,K1573*(1+요약!$E$27)),IF(N(H1573)&gt;0,H1573*요약!$G$27,J1573*요약!$D$27))</f>
        <v>134244</v>
      </c>
      <c r="M1573" s="46" t="n">
        <f aca="false">D1573*J1573</f>
        <v>2980000</v>
      </c>
      <c r="N1573" s="46" t="n">
        <f aca="false">D1573*K1573</f>
        <v>747900</v>
      </c>
      <c r="O1573" s="46" t="n">
        <f aca="false">D1573*L1573</f>
        <v>1342440</v>
      </c>
      <c r="P1573" s="42" t="str">
        <f aca="false">TRIM(IF(N(E1573)&lt;=0,"택가보정 ","")&amp;IF(N(F1573)&lt;=0,"원가보정 ","")&amp;IF(AND(B1573&lt;&gt;"CN",N(H1573)&lt;=0),"공급가보정 ","")&amp;IF(AND(B1573="CN",N(I1573)&lt;=0),"중국공급가=원가+마진 ",""))</f>
        <v/>
      </c>
      <c r="Q1573" s="47" t="n">
        <f aca="false">IF(SUMIFS($W:$W,$A:$A,A1573,$C:$C,C1573)=0,0,SUMIFS(RAW_판매펀칭!$K:$K,RAW_판매펀칭!$P:$P,A1573,RAW_판매펀칭!$I:$I,C1573)*W1573/SUMIFS($W:$W,$A:$A,A1573,$C:$C,C1573))</f>
        <v>0</v>
      </c>
      <c r="R1573" s="47" t="n">
        <f aca="false">IF(OR(A1573="500",A1573="800",A1573="810"),0,MAX(W1573-Q1573,0))</f>
        <v>0</v>
      </c>
      <c r="S1573" s="47" t="n">
        <f aca="false">R1573*L1573</f>
        <v>0</v>
      </c>
      <c r="T1573" s="47" t="n">
        <f aca="false">R1573*J1573</f>
        <v>0</v>
      </c>
      <c r="U1573" s="47" t="n">
        <f aca="false">R1573*K1573</f>
        <v>0</v>
      </c>
      <c r="V1573" s="0" t="str">
        <f aca="false">IF(COUNTIFS($A$2:A1573,A1573,$C$2:C1573,C1573,$D$2:D1573,D1573)&gt;1,"중복","")</f>
        <v/>
      </c>
      <c r="W1573" s="0" t="n">
        <f aca="false">IF(V1573="중복",0,N(D1573))</f>
        <v>10</v>
      </c>
      <c r="X1573" s="0" t="n">
        <f aca="false">IF(COUNTIFS($A$2:A1573,A1573,$C$2:C1573,C1573)=1,ABS(SUMIFS(RAW_발주!$D:$D,RAW_발주!$C:$C,A1573,RAW_발주!$A:$A,C1573)-SUMIFS($W:$W,$A:$A,A1573,$C:$C,C1573)),0)</f>
        <v>0</v>
      </c>
    </row>
    <row r="1574" customFormat="false" ht="15" hidden="false" customHeight="true" outlineLevel="0" collapsed="false">
      <c r="A1574" s="45" t="s">
        <v>1663</v>
      </c>
      <c r="B1574" s="42" t="str">
        <f aca="false">IF(A1574="100","HK",IF(A1574="200","CN",IF(A1574="300","TW","홀세일")))</f>
        <v>홀세일</v>
      </c>
      <c r="C1574" s="45" t="s">
        <v>1370</v>
      </c>
      <c r="D1574" s="46" t="n">
        <v>10</v>
      </c>
      <c r="E1574" s="46" t="n">
        <v>298000</v>
      </c>
      <c r="F1574" s="46" t="n">
        <v>74790</v>
      </c>
      <c r="G1574" s="42" t="n">
        <v>3.93</v>
      </c>
      <c r="H1574" s="42" t="n">
        <v>101.7</v>
      </c>
      <c r="J1574" s="46" t="n">
        <f aca="false">IF(N(E1574)&gt;0,E1574,IF(N(F1574)&gt;0,F1574*요약!$F$27,0))</f>
        <v>298000</v>
      </c>
      <c r="K1574" s="46" t="n">
        <f aca="false">IF(N(F1574)&gt;0,F1574,IF(N(E1574)&gt;0,E1574/요약!$F$27,0))</f>
        <v>74790</v>
      </c>
      <c r="L1574" s="46" t="n">
        <f aca="false">IF(B1574="CN",IF(N(I1574)&gt;0,I1574*요약!$G$27,K1574*(1+요약!$E$27)),IF(N(H1574)&gt;0,H1574*요약!$G$27,J1574*요약!$D$27))</f>
        <v>134244</v>
      </c>
      <c r="M1574" s="46" t="n">
        <f aca="false">D1574*J1574</f>
        <v>2980000</v>
      </c>
      <c r="N1574" s="46" t="n">
        <f aca="false">D1574*K1574</f>
        <v>747900</v>
      </c>
      <c r="O1574" s="46" t="n">
        <f aca="false">D1574*L1574</f>
        <v>1342440</v>
      </c>
      <c r="P1574" s="42" t="str">
        <f aca="false">TRIM(IF(N(E1574)&lt;=0,"택가보정 ","")&amp;IF(N(F1574)&lt;=0,"원가보정 ","")&amp;IF(AND(B1574&lt;&gt;"CN",N(H1574)&lt;=0),"공급가보정 ","")&amp;IF(AND(B1574="CN",N(I1574)&lt;=0),"중국공급가=원가+마진 ",""))</f>
        <v/>
      </c>
      <c r="Q1574" s="47" t="n">
        <f aca="false">IF(SUMIFS($W:$W,$A:$A,A1574,$C:$C,C1574)=0,0,SUMIFS(RAW_판매펀칭!$K:$K,RAW_판매펀칭!$P:$P,A1574,RAW_판매펀칭!$I:$I,C1574)*W1574/SUMIFS($W:$W,$A:$A,A1574,$C:$C,C1574))</f>
        <v>10</v>
      </c>
      <c r="R1574" s="47" t="n">
        <f aca="false">IF(OR(A1574="500",A1574="800",A1574="810"),0,MAX(W1574-Q1574,0))</f>
        <v>0</v>
      </c>
      <c r="S1574" s="47" t="n">
        <f aca="false">R1574*L1574</f>
        <v>0</v>
      </c>
      <c r="T1574" s="47" t="n">
        <f aca="false">R1574*J1574</f>
        <v>0</v>
      </c>
      <c r="U1574" s="47" t="n">
        <f aca="false">R1574*K1574</f>
        <v>0</v>
      </c>
      <c r="V1574" s="0" t="str">
        <f aca="false">IF(COUNTIFS($A$2:A1574,A1574,$C$2:C1574,C1574,$D$2:D1574,D1574)&gt;1,"중복","")</f>
        <v/>
      </c>
      <c r="W1574" s="0" t="n">
        <f aca="false">IF(V1574="중복",0,N(D1574))</f>
        <v>10</v>
      </c>
      <c r="X1574" s="0" t="n">
        <f aca="false">IF(COUNTIFS($A$2:A1574,A1574,$C$2:C1574,C1574)=1,ABS(SUMIFS(RAW_발주!$D:$D,RAW_발주!$C:$C,A1574,RAW_발주!$A:$A,C1574)-SUMIFS($W:$W,$A:$A,A1574,$C:$C,C1574)),0)</f>
        <v>0</v>
      </c>
    </row>
    <row r="1575" customFormat="false" ht="15" hidden="false" customHeight="true" outlineLevel="0" collapsed="false">
      <c r="A1575" s="45" t="s">
        <v>1667</v>
      </c>
      <c r="B1575" s="42" t="str">
        <f aca="false">IF(A1575="100","HK",IF(A1575="200","CN",IF(A1575="300","TW","홀세일")))</f>
        <v>홀세일</v>
      </c>
      <c r="C1575" s="45" t="s">
        <v>1370</v>
      </c>
      <c r="D1575" s="46" t="n">
        <v>20</v>
      </c>
      <c r="E1575" s="46" t="n">
        <v>298000</v>
      </c>
      <c r="F1575" s="46" t="n">
        <v>74790</v>
      </c>
      <c r="G1575" s="42" t="n">
        <v>3.93</v>
      </c>
      <c r="H1575" s="42" t="n">
        <v>101.7</v>
      </c>
      <c r="J1575" s="46" t="n">
        <f aca="false">IF(N(E1575)&gt;0,E1575,IF(N(F1575)&gt;0,F1575*요약!$F$27,0))</f>
        <v>298000</v>
      </c>
      <c r="K1575" s="46" t="n">
        <f aca="false">IF(N(F1575)&gt;0,F1575,IF(N(E1575)&gt;0,E1575/요약!$F$27,0))</f>
        <v>74790</v>
      </c>
      <c r="L1575" s="46" t="n">
        <f aca="false">IF(B1575="CN",IF(N(I1575)&gt;0,I1575*요약!$G$27,K1575*(1+요약!$E$27)),IF(N(H1575)&gt;0,H1575*요약!$G$27,J1575*요약!$D$27))</f>
        <v>134244</v>
      </c>
      <c r="M1575" s="46" t="n">
        <f aca="false">D1575*J1575</f>
        <v>5960000</v>
      </c>
      <c r="N1575" s="46" t="n">
        <f aca="false">D1575*K1575</f>
        <v>1495800</v>
      </c>
      <c r="O1575" s="46" t="n">
        <f aca="false">D1575*L1575</f>
        <v>2684880</v>
      </c>
      <c r="P1575" s="42" t="str">
        <f aca="false">TRIM(IF(N(E1575)&lt;=0,"택가보정 ","")&amp;IF(N(F1575)&lt;=0,"원가보정 ","")&amp;IF(AND(B1575&lt;&gt;"CN",N(H1575)&lt;=0),"공급가보정 ","")&amp;IF(AND(B1575="CN",N(I1575)&lt;=0),"중국공급가=원가+마진 ",""))</f>
        <v/>
      </c>
      <c r="Q1575" s="47" t="n">
        <f aca="false">IF(SUMIFS($W:$W,$A:$A,A1575,$C:$C,C1575)=0,0,SUMIFS(RAW_판매펀칭!$K:$K,RAW_판매펀칭!$P:$P,A1575,RAW_판매펀칭!$I:$I,C1575)*W1575/SUMIFS($W:$W,$A:$A,A1575,$C:$C,C1575))</f>
        <v>0</v>
      </c>
      <c r="R1575" s="47" t="n">
        <f aca="false">IF(OR(A1575="500",A1575="800",A1575="810"),0,MAX(W1575-Q1575,0))</f>
        <v>20</v>
      </c>
      <c r="S1575" s="47" t="n">
        <f aca="false">R1575*L1575</f>
        <v>2684880</v>
      </c>
      <c r="T1575" s="47" t="n">
        <f aca="false">R1575*J1575</f>
        <v>5960000</v>
      </c>
      <c r="U1575" s="47" t="n">
        <f aca="false">R1575*K1575</f>
        <v>1495800</v>
      </c>
      <c r="V1575" s="0" t="str">
        <f aca="false">IF(COUNTIFS($A$2:A1575,A1575,$C$2:C1575,C1575,$D$2:D1575,D1575)&gt;1,"중복","")</f>
        <v/>
      </c>
      <c r="W1575" s="0" t="n">
        <f aca="false">IF(V1575="중복",0,N(D1575))</f>
        <v>20</v>
      </c>
      <c r="X1575" s="0" t="n">
        <f aca="false">IF(COUNTIFS($A$2:A1575,A1575,$C$2:C1575,C1575)=1,ABS(SUMIFS(RAW_발주!$D:$D,RAW_발주!$C:$C,A1575,RAW_발주!$A:$A,C1575)-SUMIFS($W:$W,$A:$A,A1575,$C:$C,C1575)),0)</f>
        <v>0</v>
      </c>
    </row>
    <row r="1576" customFormat="false" ht="15" hidden="false" customHeight="true" outlineLevel="0" collapsed="false">
      <c r="A1576" s="45" t="s">
        <v>1664</v>
      </c>
      <c r="B1576" s="42" t="str">
        <f aca="false">IF(A1576="100","HK",IF(A1576="200","CN",IF(A1576="300","TW","홀세일")))</f>
        <v>홀세일</v>
      </c>
      <c r="C1576" s="45" t="s">
        <v>1370</v>
      </c>
      <c r="D1576" s="46" t="n">
        <v>15</v>
      </c>
      <c r="E1576" s="46" t="n">
        <v>298000</v>
      </c>
      <c r="F1576" s="46" t="n">
        <v>74790</v>
      </c>
      <c r="G1576" s="42" t="n">
        <v>3.93</v>
      </c>
      <c r="H1576" s="42" t="n">
        <v>101.7</v>
      </c>
      <c r="J1576" s="46" t="n">
        <f aca="false">IF(N(E1576)&gt;0,E1576,IF(N(F1576)&gt;0,F1576*요약!$F$27,0))</f>
        <v>298000</v>
      </c>
      <c r="K1576" s="46" t="n">
        <f aca="false">IF(N(F1576)&gt;0,F1576,IF(N(E1576)&gt;0,E1576/요약!$F$27,0))</f>
        <v>74790</v>
      </c>
      <c r="L1576" s="46" t="n">
        <f aca="false">IF(B1576="CN",IF(N(I1576)&gt;0,I1576*요약!$G$27,K1576*(1+요약!$E$27)),IF(N(H1576)&gt;0,H1576*요약!$G$27,J1576*요약!$D$27))</f>
        <v>134244</v>
      </c>
      <c r="M1576" s="46" t="n">
        <f aca="false">D1576*J1576</f>
        <v>4470000</v>
      </c>
      <c r="N1576" s="46" t="n">
        <f aca="false">D1576*K1576</f>
        <v>1121850</v>
      </c>
      <c r="O1576" s="46" t="n">
        <f aca="false">D1576*L1576</f>
        <v>2013660</v>
      </c>
      <c r="P1576" s="42" t="str">
        <f aca="false">TRIM(IF(N(E1576)&lt;=0,"택가보정 ","")&amp;IF(N(F1576)&lt;=0,"원가보정 ","")&amp;IF(AND(B1576&lt;&gt;"CN",N(H1576)&lt;=0),"공급가보정 ","")&amp;IF(AND(B1576="CN",N(I1576)&lt;=0),"중국공급가=원가+마진 ",""))</f>
        <v/>
      </c>
      <c r="Q1576" s="47" t="n">
        <f aca="false">IF(SUMIFS($W:$W,$A:$A,A1576,$C:$C,C1576)=0,0,SUMIFS(RAW_판매펀칭!$K:$K,RAW_판매펀칭!$P:$P,A1576,RAW_판매펀칭!$I:$I,C1576)*W1576/SUMIFS($W:$W,$A:$A,A1576,$C:$C,C1576))</f>
        <v>0</v>
      </c>
      <c r="R1576" s="47" t="n">
        <f aca="false">IF(OR(A1576="500",A1576="800",A1576="810"),0,MAX(W1576-Q1576,0))</f>
        <v>0</v>
      </c>
      <c r="S1576" s="47" t="n">
        <f aca="false">R1576*L1576</f>
        <v>0</v>
      </c>
      <c r="T1576" s="47" t="n">
        <f aca="false">R1576*J1576</f>
        <v>0</v>
      </c>
      <c r="U1576" s="47" t="n">
        <f aca="false">R1576*K1576</f>
        <v>0</v>
      </c>
      <c r="V1576" s="0" t="str">
        <f aca="false">IF(COUNTIFS($A$2:A1576,A1576,$C$2:C1576,C1576,$D$2:D1576,D1576)&gt;1,"중복","")</f>
        <v/>
      </c>
      <c r="W1576" s="0" t="n">
        <f aca="false">IF(V1576="중복",0,N(D1576))</f>
        <v>15</v>
      </c>
      <c r="X1576" s="0" t="n">
        <f aca="false">IF(COUNTIFS($A$2:A1576,A1576,$C$2:C1576,C1576)=1,ABS(SUMIFS(RAW_발주!$D:$D,RAW_발주!$C:$C,A1576,RAW_발주!$A:$A,C1576)-SUMIFS($W:$W,$A:$A,A1576,$C:$C,C1576)),0)</f>
        <v>0</v>
      </c>
    </row>
    <row r="1577" customFormat="false" ht="15" hidden="false" customHeight="true" outlineLevel="0" collapsed="false">
      <c r="A1577" s="45" t="s">
        <v>1659</v>
      </c>
      <c r="B1577" s="42" t="str">
        <f aca="false">IF(A1577="100","HK",IF(A1577="200","CN",IF(A1577="300","TW","홀세일")))</f>
        <v>HK</v>
      </c>
      <c r="C1577" s="45" t="s">
        <v>1122</v>
      </c>
      <c r="D1577" s="46" t="n">
        <v>100</v>
      </c>
      <c r="E1577" s="46" t="n">
        <v>309000</v>
      </c>
      <c r="F1577" s="46" t="n">
        <v>71630</v>
      </c>
      <c r="G1577" s="42" t="n">
        <v>3.85</v>
      </c>
      <c r="H1577" s="42" t="n">
        <v>105.5</v>
      </c>
      <c r="J1577" s="46" t="n">
        <f aca="false">IF(N(E1577)&gt;0,E1577,IF(N(F1577)&gt;0,F1577*요약!$F$27,0))</f>
        <v>309000</v>
      </c>
      <c r="K1577" s="46" t="n">
        <f aca="false">IF(N(F1577)&gt;0,F1577,IF(N(E1577)&gt;0,E1577/요약!$F$27,0))</f>
        <v>71630</v>
      </c>
      <c r="L1577" s="46" t="n">
        <f aca="false">IF(B1577="CN",IF(N(I1577)&gt;0,I1577*요약!$G$27,K1577*(1+요약!$E$27)),IF(N(H1577)&gt;0,H1577*요약!$G$27,J1577*요약!$D$27))</f>
        <v>139260</v>
      </c>
      <c r="M1577" s="46" t="n">
        <f aca="false">D1577*J1577</f>
        <v>30900000</v>
      </c>
      <c r="N1577" s="46" t="n">
        <f aca="false">D1577*K1577</f>
        <v>7163000</v>
      </c>
      <c r="O1577" s="46" t="n">
        <f aca="false">D1577*L1577</f>
        <v>13926000</v>
      </c>
      <c r="P1577" s="42" t="str">
        <f aca="false">TRIM(IF(N(E1577)&lt;=0,"택가보정 ","")&amp;IF(N(F1577)&lt;=0,"원가보정 ","")&amp;IF(AND(B1577&lt;&gt;"CN",N(H1577)&lt;=0),"공급가보정 ","")&amp;IF(AND(B1577="CN",N(I1577)&lt;=0),"중국공급가=원가+마진 ",""))</f>
        <v/>
      </c>
      <c r="Q1577" s="47" t="n">
        <f aca="false">IF(SUMIFS($W:$W,$A:$A,A1577,$C:$C,C1577)=0,0,SUMIFS(RAW_판매펀칭!$K:$K,RAW_판매펀칭!$P:$P,A1577,RAW_판매펀칭!$I:$I,C1577)*W1577/SUMIFS($W:$W,$A:$A,A1577,$C:$C,C1577))</f>
        <v>0</v>
      </c>
      <c r="R1577" s="47" t="n">
        <f aca="false">IF(OR(A1577="500",A1577="800",A1577="810"),0,MAX(W1577-Q1577,0))</f>
        <v>100</v>
      </c>
      <c r="S1577" s="47" t="n">
        <f aca="false">R1577*L1577</f>
        <v>13926000</v>
      </c>
      <c r="T1577" s="47" t="n">
        <f aca="false">R1577*J1577</f>
        <v>30900000</v>
      </c>
      <c r="U1577" s="47" t="n">
        <f aca="false">R1577*K1577</f>
        <v>7163000</v>
      </c>
      <c r="V1577" s="0" t="str">
        <f aca="false">IF(COUNTIFS($A$2:A1577,A1577,$C$2:C1577,C1577,$D$2:D1577,D1577)&gt;1,"중복","")</f>
        <v/>
      </c>
      <c r="W1577" s="0" t="n">
        <f aca="false">IF(V1577="중복",0,N(D1577))</f>
        <v>100</v>
      </c>
      <c r="X1577" s="0" t="n">
        <f aca="false">IF(COUNTIFS($A$2:A1577,A1577,$C$2:C1577,C1577)=1,ABS(SUMIFS(RAW_발주!$D:$D,RAW_발주!$C:$C,A1577,RAW_발주!$A:$A,C1577)-SUMIFS($W:$W,$A:$A,A1577,$C:$C,C1577)),0)</f>
        <v>0</v>
      </c>
    </row>
    <row r="1578" customFormat="false" ht="15.75" hidden="false" customHeight="true" outlineLevel="0" collapsed="false">
      <c r="A1578" s="45" t="s">
        <v>1660</v>
      </c>
      <c r="B1578" s="42" t="str">
        <f aca="false">IF(A1578="100","HK",IF(A1578="200","CN",IF(A1578="300","TW","홀세일")))</f>
        <v>CN</v>
      </c>
      <c r="C1578" s="45" t="s">
        <v>1122</v>
      </c>
      <c r="D1578" s="46" t="n">
        <v>60</v>
      </c>
      <c r="E1578" s="46" t="n">
        <v>309000</v>
      </c>
      <c r="F1578" s="46" t="n">
        <v>71630</v>
      </c>
      <c r="G1578" s="42" t="n">
        <v>3.85</v>
      </c>
      <c r="H1578" s="42" t="n">
        <v>105.5</v>
      </c>
      <c r="J1578" s="46" t="n">
        <f aca="false">IF(N(E1578)&gt;0,E1578,IF(N(F1578)&gt;0,F1578*요약!$F$27,0))</f>
        <v>309000</v>
      </c>
      <c r="K1578" s="46" t="n">
        <f aca="false">IF(N(F1578)&gt;0,F1578,IF(N(E1578)&gt;0,E1578/요약!$F$27,0))</f>
        <v>71630</v>
      </c>
      <c r="L1578" s="46" t="n">
        <f aca="false">IF(B1578="CN",IF(N(I1578)&gt;0,I1578*요약!$G$27,K1578*(1+요약!$E$27)),IF(N(H1578)&gt;0,H1578*요약!$G$27,J1578*요약!$D$27))</f>
        <v>75211.5</v>
      </c>
      <c r="M1578" s="46" t="n">
        <f aca="false">D1578*J1578</f>
        <v>18540000</v>
      </c>
      <c r="N1578" s="46" t="n">
        <f aca="false">D1578*K1578</f>
        <v>4297800</v>
      </c>
      <c r="O1578" s="46" t="n">
        <f aca="false">D1578*L1578</f>
        <v>4512690</v>
      </c>
      <c r="P1578" s="42" t="str">
        <f aca="false">TRIM(IF(N(E1578)&lt;=0,"택가보정 ","")&amp;IF(N(F1578)&lt;=0,"원가보정 ","")&amp;IF(AND(B1578&lt;&gt;"CN",N(H1578)&lt;=0),"공급가보정 ","")&amp;IF(AND(B1578="CN",N(I1578)&lt;=0),"중국공급가=원가+마진 ",""))</f>
        <v>중국공급가=원가+마진</v>
      </c>
      <c r="Q1578" s="47" t="n">
        <f aca="false">IF(SUMIFS($W:$W,$A:$A,A1578,$C:$C,C1578)=0,0,SUMIFS(RAW_판매펀칭!$K:$K,RAW_판매펀칭!$P:$P,A1578,RAW_판매펀칭!$I:$I,C1578)*W1578/SUMIFS($W:$W,$A:$A,A1578,$C:$C,C1578))</f>
        <v>60</v>
      </c>
      <c r="R1578" s="47" t="n">
        <f aca="false">IF(OR(A1578="500",A1578="800",A1578="810"),0,MAX(W1578-Q1578,0))</f>
        <v>0</v>
      </c>
      <c r="S1578" s="47" t="n">
        <f aca="false">R1578*L1578</f>
        <v>0</v>
      </c>
      <c r="T1578" s="47" t="n">
        <f aca="false">R1578*J1578</f>
        <v>0</v>
      </c>
      <c r="U1578" s="47" t="n">
        <f aca="false">R1578*K1578</f>
        <v>0</v>
      </c>
      <c r="V1578" s="0" t="str">
        <f aca="false">IF(COUNTIFS($A$2:A1578,A1578,$C$2:C1578,C1578,$D$2:D1578,D1578)&gt;1,"중복","")</f>
        <v/>
      </c>
      <c r="W1578" s="0" t="n">
        <f aca="false">IF(V1578="중복",0,N(D1578))</f>
        <v>60</v>
      </c>
      <c r="X1578" s="0" t="n">
        <f aca="false">IF(COUNTIFS($A$2:A1578,A1578,$C$2:C1578,C1578)=1,ABS(SUMIFS(RAW_발주!$D:$D,RAW_발주!$C:$C,A1578,RAW_발주!$A:$A,C1578)-SUMIFS($W:$W,$A:$A,A1578,$C:$C,C1578)),0)</f>
        <v>0</v>
      </c>
    </row>
    <row r="1579" customFormat="false" ht="15" hidden="false" customHeight="true" outlineLevel="0" collapsed="false">
      <c r="A1579" s="45" t="s">
        <v>1663</v>
      </c>
      <c r="B1579" s="42" t="str">
        <f aca="false">IF(A1579="100","HK",IF(A1579="200","CN",IF(A1579="300","TW","홀세일")))</f>
        <v>홀세일</v>
      </c>
      <c r="C1579" s="45" t="s">
        <v>1122</v>
      </c>
      <c r="D1579" s="46" t="n">
        <v>5</v>
      </c>
      <c r="E1579" s="46" t="n">
        <v>309000</v>
      </c>
      <c r="F1579" s="46" t="n">
        <v>71630</v>
      </c>
      <c r="G1579" s="42" t="n">
        <v>3.85</v>
      </c>
      <c r="H1579" s="42" t="n">
        <v>105.5</v>
      </c>
      <c r="J1579" s="46" t="n">
        <f aca="false">IF(N(E1579)&gt;0,E1579,IF(N(F1579)&gt;0,F1579*요약!$F$27,0))</f>
        <v>309000</v>
      </c>
      <c r="K1579" s="46" t="n">
        <f aca="false">IF(N(F1579)&gt;0,F1579,IF(N(E1579)&gt;0,E1579/요약!$F$27,0))</f>
        <v>71630</v>
      </c>
      <c r="L1579" s="46" t="n">
        <f aca="false">IF(B1579="CN",IF(N(I1579)&gt;0,I1579*요약!$G$27,K1579*(1+요약!$E$27)),IF(N(H1579)&gt;0,H1579*요약!$G$27,J1579*요약!$D$27))</f>
        <v>139260</v>
      </c>
      <c r="M1579" s="46" t="n">
        <f aca="false">D1579*J1579</f>
        <v>1545000</v>
      </c>
      <c r="N1579" s="46" t="n">
        <f aca="false">D1579*K1579</f>
        <v>358150</v>
      </c>
      <c r="O1579" s="46" t="n">
        <f aca="false">D1579*L1579</f>
        <v>696300</v>
      </c>
      <c r="P1579" s="42" t="str">
        <f aca="false">TRIM(IF(N(E1579)&lt;=0,"택가보정 ","")&amp;IF(N(F1579)&lt;=0,"원가보정 ","")&amp;IF(AND(B1579&lt;&gt;"CN",N(H1579)&lt;=0),"공급가보정 ","")&amp;IF(AND(B1579="CN",N(I1579)&lt;=0),"중국공급가=원가+마진 ",""))</f>
        <v/>
      </c>
      <c r="Q1579" s="47" t="n">
        <f aca="false">IF(SUMIFS($W:$W,$A:$A,A1579,$C:$C,C1579)=0,0,SUMIFS(RAW_판매펀칭!$K:$K,RAW_판매펀칭!$P:$P,A1579,RAW_판매펀칭!$I:$I,C1579)*W1579/SUMIFS($W:$W,$A:$A,A1579,$C:$C,C1579))</f>
        <v>5</v>
      </c>
      <c r="R1579" s="47" t="n">
        <f aca="false">IF(OR(A1579="500",A1579="800",A1579="810"),0,MAX(W1579-Q1579,0))</f>
        <v>0</v>
      </c>
      <c r="S1579" s="47" t="n">
        <f aca="false">R1579*L1579</f>
        <v>0</v>
      </c>
      <c r="T1579" s="47" t="n">
        <f aca="false">R1579*J1579</f>
        <v>0</v>
      </c>
      <c r="U1579" s="47" t="n">
        <f aca="false">R1579*K1579</f>
        <v>0</v>
      </c>
      <c r="V1579" s="0" t="str">
        <f aca="false">IF(COUNTIFS($A$2:A1579,A1579,$C$2:C1579,C1579,$D$2:D1579,D1579)&gt;1,"중복","")</f>
        <v/>
      </c>
      <c r="W1579" s="0" t="n">
        <f aca="false">IF(V1579="중복",0,N(D1579))</f>
        <v>5</v>
      </c>
      <c r="X1579" s="0" t="n">
        <f aca="false">IF(COUNTIFS($A$2:A1579,A1579,$C$2:C1579,C1579)=1,ABS(SUMIFS(RAW_발주!$D:$D,RAW_발주!$C:$C,A1579,RAW_발주!$A:$A,C1579)-SUMIFS($W:$W,$A:$A,A1579,$C:$C,C1579)),0)</f>
        <v>0</v>
      </c>
    </row>
    <row r="1580" customFormat="false" ht="15" hidden="false" customHeight="true" outlineLevel="0" collapsed="false">
      <c r="A1580" s="45" t="s">
        <v>1667</v>
      </c>
      <c r="B1580" s="42" t="str">
        <f aca="false">IF(A1580="100","HK",IF(A1580="200","CN",IF(A1580="300","TW","홀세일")))</f>
        <v>홀세일</v>
      </c>
      <c r="C1580" s="45" t="s">
        <v>1122</v>
      </c>
      <c r="D1580" s="46" t="n">
        <v>40</v>
      </c>
      <c r="E1580" s="46" t="n">
        <v>309000</v>
      </c>
      <c r="F1580" s="46" t="n">
        <v>71630</v>
      </c>
      <c r="G1580" s="42" t="n">
        <v>3.85</v>
      </c>
      <c r="H1580" s="42" t="n">
        <v>105.5</v>
      </c>
      <c r="J1580" s="46" t="n">
        <f aca="false">IF(N(E1580)&gt;0,E1580,IF(N(F1580)&gt;0,F1580*요약!$F$27,0))</f>
        <v>309000</v>
      </c>
      <c r="K1580" s="46" t="n">
        <f aca="false">IF(N(F1580)&gt;0,F1580,IF(N(E1580)&gt;0,E1580/요약!$F$27,0))</f>
        <v>71630</v>
      </c>
      <c r="L1580" s="46" t="n">
        <f aca="false">IF(B1580="CN",IF(N(I1580)&gt;0,I1580*요약!$G$27,K1580*(1+요약!$E$27)),IF(N(H1580)&gt;0,H1580*요약!$G$27,J1580*요약!$D$27))</f>
        <v>139260</v>
      </c>
      <c r="M1580" s="46" t="n">
        <f aca="false">D1580*J1580</f>
        <v>12360000</v>
      </c>
      <c r="N1580" s="46" t="n">
        <f aca="false">D1580*K1580</f>
        <v>2865200</v>
      </c>
      <c r="O1580" s="46" t="n">
        <f aca="false">D1580*L1580</f>
        <v>5570400</v>
      </c>
      <c r="P1580" s="42" t="str">
        <f aca="false">TRIM(IF(N(E1580)&lt;=0,"택가보정 ","")&amp;IF(N(F1580)&lt;=0,"원가보정 ","")&amp;IF(AND(B1580&lt;&gt;"CN",N(H1580)&lt;=0),"공급가보정 ","")&amp;IF(AND(B1580="CN",N(I1580)&lt;=0),"중국공급가=원가+마진 ",""))</f>
        <v/>
      </c>
      <c r="Q1580" s="47" t="n">
        <f aca="false">IF(SUMIFS($W:$W,$A:$A,A1580,$C:$C,C1580)=0,0,SUMIFS(RAW_판매펀칭!$K:$K,RAW_판매펀칭!$P:$P,A1580,RAW_판매펀칭!$I:$I,C1580)*W1580/SUMIFS($W:$W,$A:$A,A1580,$C:$C,C1580))</f>
        <v>0</v>
      </c>
      <c r="R1580" s="47" t="n">
        <f aca="false">IF(OR(A1580="500",A1580="800",A1580="810"),0,MAX(W1580-Q1580,0))</f>
        <v>40</v>
      </c>
      <c r="S1580" s="47" t="n">
        <f aca="false">R1580*L1580</f>
        <v>5570400</v>
      </c>
      <c r="T1580" s="47" t="n">
        <f aca="false">R1580*J1580</f>
        <v>12360000</v>
      </c>
      <c r="U1580" s="47" t="n">
        <f aca="false">R1580*K1580</f>
        <v>2865200</v>
      </c>
      <c r="V1580" s="0" t="str">
        <f aca="false">IF(COUNTIFS($A$2:A1580,A1580,$C$2:C1580,C1580,$D$2:D1580,D1580)&gt;1,"중복","")</f>
        <v/>
      </c>
      <c r="W1580" s="0" t="n">
        <f aca="false">IF(V1580="중복",0,N(D1580))</f>
        <v>40</v>
      </c>
      <c r="X1580" s="0" t="n">
        <f aca="false">IF(COUNTIFS($A$2:A1580,A1580,$C$2:C1580,C1580)=1,ABS(SUMIFS(RAW_발주!$D:$D,RAW_발주!$C:$C,A1580,RAW_발주!$A:$A,C1580)-SUMIFS($W:$W,$A:$A,A1580,$C:$C,C1580)),0)</f>
        <v>0</v>
      </c>
    </row>
    <row r="1581" customFormat="false" ht="15" hidden="false" customHeight="true" outlineLevel="0" collapsed="false">
      <c r="A1581" s="45" t="s">
        <v>1664</v>
      </c>
      <c r="B1581" s="42" t="str">
        <f aca="false">IF(A1581="100","HK",IF(A1581="200","CN",IF(A1581="300","TW","홀세일")))</f>
        <v>홀세일</v>
      </c>
      <c r="C1581" s="45" t="s">
        <v>1122</v>
      </c>
      <c r="D1581" s="46" t="n">
        <v>30</v>
      </c>
      <c r="E1581" s="46" t="n">
        <v>309000</v>
      </c>
      <c r="F1581" s="46" t="n">
        <v>71630</v>
      </c>
      <c r="G1581" s="42" t="n">
        <v>3.85</v>
      </c>
      <c r="H1581" s="42" t="n">
        <v>105.5</v>
      </c>
      <c r="J1581" s="46" t="n">
        <f aca="false">IF(N(E1581)&gt;0,E1581,IF(N(F1581)&gt;0,F1581*요약!$F$27,0))</f>
        <v>309000</v>
      </c>
      <c r="K1581" s="46" t="n">
        <f aca="false">IF(N(F1581)&gt;0,F1581,IF(N(E1581)&gt;0,E1581/요약!$F$27,0))</f>
        <v>71630</v>
      </c>
      <c r="L1581" s="46" t="n">
        <f aca="false">IF(B1581="CN",IF(N(I1581)&gt;0,I1581*요약!$G$27,K1581*(1+요약!$E$27)),IF(N(H1581)&gt;0,H1581*요약!$G$27,J1581*요약!$D$27))</f>
        <v>139260</v>
      </c>
      <c r="M1581" s="46" t="n">
        <f aca="false">D1581*J1581</f>
        <v>9270000</v>
      </c>
      <c r="N1581" s="46" t="n">
        <f aca="false">D1581*K1581</f>
        <v>2148900</v>
      </c>
      <c r="O1581" s="46" t="n">
        <f aca="false">D1581*L1581</f>
        <v>4177800</v>
      </c>
      <c r="P1581" s="42" t="str">
        <f aca="false">TRIM(IF(N(E1581)&lt;=0,"택가보정 ","")&amp;IF(N(F1581)&lt;=0,"원가보정 ","")&amp;IF(AND(B1581&lt;&gt;"CN",N(H1581)&lt;=0),"공급가보정 ","")&amp;IF(AND(B1581="CN",N(I1581)&lt;=0),"중국공급가=원가+마진 ",""))</f>
        <v/>
      </c>
      <c r="Q1581" s="47" t="n">
        <f aca="false">IF(SUMIFS($W:$W,$A:$A,A1581,$C:$C,C1581)=0,0,SUMIFS(RAW_판매펀칭!$K:$K,RAW_판매펀칭!$P:$P,A1581,RAW_판매펀칭!$I:$I,C1581)*W1581/SUMIFS($W:$W,$A:$A,A1581,$C:$C,C1581))</f>
        <v>0</v>
      </c>
      <c r="R1581" s="47" t="n">
        <f aca="false">IF(OR(A1581="500",A1581="800",A1581="810"),0,MAX(W1581-Q1581,0))</f>
        <v>0</v>
      </c>
      <c r="S1581" s="47" t="n">
        <f aca="false">R1581*L1581</f>
        <v>0</v>
      </c>
      <c r="T1581" s="47" t="n">
        <f aca="false">R1581*J1581</f>
        <v>0</v>
      </c>
      <c r="U1581" s="47" t="n">
        <f aca="false">R1581*K1581</f>
        <v>0</v>
      </c>
      <c r="V1581" s="0" t="str">
        <f aca="false">IF(COUNTIFS($A$2:A1581,A1581,$C$2:C1581,C1581,$D$2:D1581,D1581)&gt;1,"중복","")</f>
        <v/>
      </c>
      <c r="W1581" s="0" t="n">
        <f aca="false">IF(V1581="중복",0,N(D1581))</f>
        <v>30</v>
      </c>
      <c r="X1581" s="0" t="n">
        <f aca="false">IF(COUNTIFS($A$2:A1581,A1581,$C$2:C1581,C1581)=1,ABS(SUMIFS(RAW_발주!$D:$D,RAW_발주!$C:$C,A1581,RAW_발주!$A:$A,C1581)-SUMIFS($W:$W,$A:$A,A1581,$C:$C,C1581)),0)</f>
        <v>0</v>
      </c>
    </row>
    <row r="1582" customFormat="false" ht="15.75" hidden="false" customHeight="true" outlineLevel="0" collapsed="false">
      <c r="A1582" s="45" t="s">
        <v>1660</v>
      </c>
      <c r="B1582" s="42" t="str">
        <f aca="false">IF(A1582="100","HK",IF(A1582="200","CN",IF(A1582="300","TW","홀세일")))</f>
        <v>CN</v>
      </c>
      <c r="C1582" s="45" t="s">
        <v>1431</v>
      </c>
      <c r="D1582" s="46" t="n">
        <v>162</v>
      </c>
      <c r="E1582" s="46" t="n">
        <v>279000</v>
      </c>
      <c r="F1582" s="46" t="n">
        <v>70220</v>
      </c>
      <c r="G1582" s="42" t="n">
        <v>3.43</v>
      </c>
      <c r="H1582" s="42" t="n">
        <v>74.1</v>
      </c>
      <c r="I1582" s="42" t="n">
        <v>0</v>
      </c>
      <c r="J1582" s="46" t="n">
        <f aca="false">IF(N(E1582)&gt;0,E1582,IF(N(F1582)&gt;0,F1582*요약!$F$27,0))</f>
        <v>279000</v>
      </c>
      <c r="K1582" s="46" t="n">
        <f aca="false">IF(N(F1582)&gt;0,F1582,IF(N(E1582)&gt;0,E1582/요약!$F$27,0))</f>
        <v>70220</v>
      </c>
      <c r="L1582" s="46" t="n">
        <f aca="false">IF(B1582="CN",IF(N(I1582)&gt;0,I1582*요약!$G$27,K1582*(1+요약!$E$27)),IF(N(H1582)&gt;0,H1582*요약!$G$27,J1582*요약!$D$27))</f>
        <v>73731</v>
      </c>
      <c r="M1582" s="46" t="n">
        <f aca="false">D1582*J1582</f>
        <v>45198000</v>
      </c>
      <c r="N1582" s="46" t="n">
        <f aca="false">D1582*K1582</f>
        <v>11375640</v>
      </c>
      <c r="O1582" s="46" t="n">
        <f aca="false">D1582*L1582</f>
        <v>11944422</v>
      </c>
      <c r="P1582" s="42" t="str">
        <f aca="false">TRIM(IF(N(E1582)&lt;=0,"택가보정 ","")&amp;IF(N(F1582)&lt;=0,"원가보정 ","")&amp;IF(AND(B1582&lt;&gt;"CN",N(H1582)&lt;=0),"공급가보정 ","")&amp;IF(AND(B1582="CN",N(I1582)&lt;=0),"중국공급가=원가+마진 ",""))</f>
        <v>중국공급가=원가+마진</v>
      </c>
      <c r="Q1582" s="47" t="n">
        <f aca="false">IF(SUMIFS($W:$W,$A:$A,A1582,$C:$C,C1582)=0,0,SUMIFS(RAW_판매펀칭!$K:$K,RAW_판매펀칭!$P:$P,A1582,RAW_판매펀칭!$I:$I,C1582)*W1582/SUMIFS($W:$W,$A:$A,A1582,$C:$C,C1582))</f>
        <v>0</v>
      </c>
      <c r="R1582" s="47" t="n">
        <f aca="false">IF(OR(A1582="500",A1582="800",A1582="810"),0,MAX(W1582-Q1582,0))</f>
        <v>162</v>
      </c>
      <c r="S1582" s="47" t="n">
        <f aca="false">R1582*L1582</f>
        <v>11944422</v>
      </c>
      <c r="T1582" s="47" t="n">
        <f aca="false">R1582*J1582</f>
        <v>45198000</v>
      </c>
      <c r="U1582" s="47" t="n">
        <f aca="false">R1582*K1582</f>
        <v>11375640</v>
      </c>
      <c r="V1582" s="0" t="str">
        <f aca="false">IF(COUNTIFS($A$2:A1582,A1582,$C$2:C1582,C1582,$D$2:D1582,D1582)&gt;1,"중복","")</f>
        <v/>
      </c>
      <c r="W1582" s="0" t="n">
        <f aca="false">IF(V1582="중복",0,N(D1582))</f>
        <v>162</v>
      </c>
      <c r="X1582" s="0" t="n">
        <f aca="false">IF(COUNTIFS($A$2:A1582,A1582,$C$2:C1582,C1582)=1,ABS(SUMIFS(RAW_발주!$D:$D,RAW_발주!$C:$C,A1582,RAW_발주!$A:$A,C1582)-SUMIFS($W:$W,$A:$A,A1582,$C:$C,C1582)),0)</f>
        <v>0</v>
      </c>
    </row>
    <row r="1583" customFormat="false" ht="15" hidden="false" customHeight="true" outlineLevel="0" collapsed="false">
      <c r="A1583" s="45" t="s">
        <v>1661</v>
      </c>
      <c r="B1583" s="42" t="str">
        <f aca="false">IF(A1583="100","HK",IF(A1583="200","CN",IF(A1583="300","TW","홀세일")))</f>
        <v>TW</v>
      </c>
      <c r="C1583" s="45" t="s">
        <v>1431</v>
      </c>
      <c r="D1583" s="46" t="n">
        <v>100</v>
      </c>
      <c r="E1583" s="46" t="n">
        <v>279000</v>
      </c>
      <c r="F1583" s="46" t="n">
        <v>70220</v>
      </c>
      <c r="G1583" s="42" t="n">
        <v>3.43</v>
      </c>
      <c r="H1583" s="42" t="n">
        <v>74.1</v>
      </c>
      <c r="I1583" s="42" t="n">
        <v>0</v>
      </c>
      <c r="J1583" s="46" t="n">
        <f aca="false">IF(N(E1583)&gt;0,E1583,IF(N(F1583)&gt;0,F1583*요약!$F$27,0))</f>
        <v>279000</v>
      </c>
      <c r="K1583" s="46" t="n">
        <f aca="false">IF(N(F1583)&gt;0,F1583,IF(N(E1583)&gt;0,E1583/요약!$F$27,0))</f>
        <v>70220</v>
      </c>
      <c r="L1583" s="46" t="n">
        <f aca="false">IF(B1583="CN",IF(N(I1583)&gt;0,I1583*요약!$G$27,K1583*(1+요약!$E$27)),IF(N(H1583)&gt;0,H1583*요약!$G$27,J1583*요약!$D$27))</f>
        <v>97812</v>
      </c>
      <c r="M1583" s="46" t="n">
        <f aca="false">D1583*J1583</f>
        <v>27900000</v>
      </c>
      <c r="N1583" s="46" t="n">
        <f aca="false">D1583*K1583</f>
        <v>7022000</v>
      </c>
      <c r="O1583" s="46" t="n">
        <f aca="false">D1583*L1583</f>
        <v>9781200</v>
      </c>
      <c r="P1583" s="42" t="str">
        <f aca="false">TRIM(IF(N(E1583)&lt;=0,"택가보정 ","")&amp;IF(N(F1583)&lt;=0,"원가보정 ","")&amp;IF(AND(B1583&lt;&gt;"CN",N(H1583)&lt;=0),"공급가보정 ","")&amp;IF(AND(B1583="CN",N(I1583)&lt;=0),"중국공급가=원가+마진 ",""))</f>
        <v/>
      </c>
      <c r="Q1583" s="47" t="n">
        <f aca="false">IF(SUMIFS($W:$W,$A:$A,A1583,$C:$C,C1583)=0,0,SUMIFS(RAW_판매펀칭!$K:$K,RAW_판매펀칭!$P:$P,A1583,RAW_판매펀칭!$I:$I,C1583)*W1583/SUMIFS($W:$W,$A:$A,A1583,$C:$C,C1583))</f>
        <v>0</v>
      </c>
      <c r="R1583" s="47" t="n">
        <f aca="false">IF(OR(A1583="500",A1583="800",A1583="810"),0,MAX(W1583-Q1583,0))</f>
        <v>100</v>
      </c>
      <c r="S1583" s="47" t="n">
        <f aca="false">R1583*L1583</f>
        <v>9781200</v>
      </c>
      <c r="T1583" s="47" t="n">
        <f aca="false">R1583*J1583</f>
        <v>27900000</v>
      </c>
      <c r="U1583" s="47" t="n">
        <f aca="false">R1583*K1583</f>
        <v>7022000</v>
      </c>
      <c r="V1583" s="0" t="str">
        <f aca="false">IF(COUNTIFS($A$2:A1583,A1583,$C$2:C1583,C1583,$D$2:D1583,D1583)&gt;1,"중복","")</f>
        <v/>
      </c>
      <c r="W1583" s="0" t="n">
        <f aca="false">IF(V1583="중복",0,N(D1583))</f>
        <v>100</v>
      </c>
      <c r="X1583" s="0" t="n">
        <f aca="false">IF(COUNTIFS($A$2:A1583,A1583,$C$2:C1583,C1583)=1,ABS(SUMIFS(RAW_발주!$D:$D,RAW_발주!$C:$C,A1583,RAW_발주!$A:$A,C1583)-SUMIFS($W:$W,$A:$A,A1583,$C:$C,C1583)),0)</f>
        <v>0</v>
      </c>
    </row>
    <row r="1584" customFormat="false" ht="15" hidden="false" customHeight="true" outlineLevel="0" collapsed="false">
      <c r="A1584" s="45" t="s">
        <v>1663</v>
      </c>
      <c r="B1584" s="42" t="str">
        <f aca="false">IF(A1584="100","HK",IF(A1584="200","CN",IF(A1584="300","TW","홀세일")))</f>
        <v>홀세일</v>
      </c>
      <c r="C1584" s="45" t="s">
        <v>1431</v>
      </c>
      <c r="D1584" s="46" t="n">
        <v>30</v>
      </c>
      <c r="E1584" s="46" t="n">
        <v>279000</v>
      </c>
      <c r="F1584" s="46" t="n">
        <v>70220</v>
      </c>
      <c r="G1584" s="42" t="n">
        <v>3.43</v>
      </c>
      <c r="H1584" s="42" t="n">
        <v>74.1</v>
      </c>
      <c r="I1584" s="42" t="n">
        <v>0</v>
      </c>
      <c r="J1584" s="46" t="n">
        <f aca="false">IF(N(E1584)&gt;0,E1584,IF(N(F1584)&gt;0,F1584*요약!$F$27,0))</f>
        <v>279000</v>
      </c>
      <c r="K1584" s="46" t="n">
        <f aca="false">IF(N(F1584)&gt;0,F1584,IF(N(E1584)&gt;0,E1584/요약!$F$27,0))</f>
        <v>70220</v>
      </c>
      <c r="L1584" s="46" t="n">
        <f aca="false">IF(B1584="CN",IF(N(I1584)&gt;0,I1584*요약!$G$27,K1584*(1+요약!$E$27)),IF(N(H1584)&gt;0,H1584*요약!$G$27,J1584*요약!$D$27))</f>
        <v>97812</v>
      </c>
      <c r="M1584" s="46" t="n">
        <f aca="false">D1584*J1584</f>
        <v>8370000</v>
      </c>
      <c r="N1584" s="46" t="n">
        <f aca="false">D1584*K1584</f>
        <v>2106600</v>
      </c>
      <c r="O1584" s="46" t="n">
        <f aca="false">D1584*L1584</f>
        <v>2934360</v>
      </c>
      <c r="P1584" s="42" t="str">
        <f aca="false">TRIM(IF(N(E1584)&lt;=0,"택가보정 ","")&amp;IF(N(F1584)&lt;=0,"원가보정 ","")&amp;IF(AND(B1584&lt;&gt;"CN",N(H1584)&lt;=0),"공급가보정 ","")&amp;IF(AND(B1584="CN",N(I1584)&lt;=0),"중국공급가=원가+마진 ",""))</f>
        <v/>
      </c>
      <c r="Q1584" s="47" t="n">
        <f aca="false">IF(SUMIFS($W:$W,$A:$A,A1584,$C:$C,C1584)=0,0,SUMIFS(RAW_판매펀칭!$K:$K,RAW_판매펀칭!$P:$P,A1584,RAW_판매펀칭!$I:$I,C1584)*W1584/SUMIFS($W:$W,$A:$A,A1584,$C:$C,C1584))</f>
        <v>0</v>
      </c>
      <c r="R1584" s="47" t="n">
        <f aca="false">IF(OR(A1584="500",A1584="800",A1584="810"),0,MAX(W1584-Q1584,0))</f>
        <v>30</v>
      </c>
      <c r="S1584" s="47" t="n">
        <f aca="false">R1584*L1584</f>
        <v>2934360</v>
      </c>
      <c r="T1584" s="47" t="n">
        <f aca="false">R1584*J1584</f>
        <v>8370000</v>
      </c>
      <c r="U1584" s="47" t="n">
        <f aca="false">R1584*K1584</f>
        <v>2106600</v>
      </c>
      <c r="V1584" s="0" t="str">
        <f aca="false">IF(COUNTIFS($A$2:A1584,A1584,$C$2:C1584,C1584,$D$2:D1584,D1584)&gt;1,"중복","")</f>
        <v/>
      </c>
      <c r="W1584" s="0" t="n">
        <f aca="false">IF(V1584="중복",0,N(D1584))</f>
        <v>30</v>
      </c>
      <c r="X1584" s="0" t="n">
        <f aca="false">IF(COUNTIFS($A$2:A1584,A1584,$C$2:C1584,C1584)=1,ABS(SUMIFS(RAW_발주!$D:$D,RAW_발주!$C:$C,A1584,RAW_발주!$A:$A,C1584)-SUMIFS($W:$W,$A:$A,A1584,$C:$C,C1584)),0)</f>
        <v>0</v>
      </c>
    </row>
    <row r="1585" customFormat="false" ht="15" hidden="false" customHeight="true" outlineLevel="0" collapsed="false">
      <c r="A1585" s="45" t="s">
        <v>1667</v>
      </c>
      <c r="B1585" s="42" t="str">
        <f aca="false">IF(A1585="100","HK",IF(A1585="200","CN",IF(A1585="300","TW","홀세일")))</f>
        <v>홀세일</v>
      </c>
      <c r="C1585" s="45" t="s">
        <v>1431</v>
      </c>
      <c r="D1585" s="46" t="n">
        <v>92</v>
      </c>
      <c r="E1585" s="46" t="n">
        <v>279000</v>
      </c>
      <c r="F1585" s="46" t="n">
        <v>70220</v>
      </c>
      <c r="G1585" s="42" t="n">
        <v>3.43</v>
      </c>
      <c r="H1585" s="42" t="n">
        <v>74.1</v>
      </c>
      <c r="I1585" s="42" t="n">
        <v>0</v>
      </c>
      <c r="J1585" s="46" t="n">
        <f aca="false">IF(N(E1585)&gt;0,E1585,IF(N(F1585)&gt;0,F1585*요약!$F$27,0))</f>
        <v>279000</v>
      </c>
      <c r="K1585" s="46" t="n">
        <f aca="false">IF(N(F1585)&gt;0,F1585,IF(N(E1585)&gt;0,E1585/요약!$F$27,0))</f>
        <v>70220</v>
      </c>
      <c r="L1585" s="46" t="n">
        <f aca="false">IF(B1585="CN",IF(N(I1585)&gt;0,I1585*요약!$G$27,K1585*(1+요약!$E$27)),IF(N(H1585)&gt;0,H1585*요약!$G$27,J1585*요약!$D$27))</f>
        <v>97812</v>
      </c>
      <c r="M1585" s="46" t="n">
        <f aca="false">D1585*J1585</f>
        <v>25668000</v>
      </c>
      <c r="N1585" s="46" t="n">
        <f aca="false">D1585*K1585</f>
        <v>6460240</v>
      </c>
      <c r="O1585" s="46" t="n">
        <f aca="false">D1585*L1585</f>
        <v>8998704</v>
      </c>
      <c r="P1585" s="42" t="str">
        <f aca="false">TRIM(IF(N(E1585)&lt;=0,"택가보정 ","")&amp;IF(N(F1585)&lt;=0,"원가보정 ","")&amp;IF(AND(B1585&lt;&gt;"CN",N(H1585)&lt;=0),"공급가보정 ","")&amp;IF(AND(B1585="CN",N(I1585)&lt;=0),"중국공급가=원가+마진 ",""))</f>
        <v/>
      </c>
      <c r="Q1585" s="47" t="n">
        <f aca="false">IF(SUMIFS($W:$W,$A:$A,A1585,$C:$C,C1585)=0,0,SUMIFS(RAW_판매펀칭!$K:$K,RAW_판매펀칭!$P:$P,A1585,RAW_판매펀칭!$I:$I,C1585)*W1585/SUMIFS($W:$W,$A:$A,A1585,$C:$C,C1585))</f>
        <v>92</v>
      </c>
      <c r="R1585" s="47" t="n">
        <f aca="false">IF(OR(A1585="500",A1585="800",A1585="810"),0,MAX(W1585-Q1585,0))</f>
        <v>0</v>
      </c>
      <c r="S1585" s="47" t="n">
        <f aca="false">R1585*L1585</f>
        <v>0</v>
      </c>
      <c r="T1585" s="47" t="n">
        <f aca="false">R1585*J1585</f>
        <v>0</v>
      </c>
      <c r="U1585" s="47" t="n">
        <f aca="false">R1585*K1585</f>
        <v>0</v>
      </c>
      <c r="V1585" s="0" t="str">
        <f aca="false">IF(COUNTIFS($A$2:A1585,A1585,$C$2:C1585,C1585,$D$2:D1585,D1585)&gt;1,"중복","")</f>
        <v/>
      </c>
      <c r="W1585" s="0" t="n">
        <f aca="false">IF(V1585="중복",0,N(D1585))</f>
        <v>92</v>
      </c>
      <c r="X1585" s="0" t="n">
        <f aca="false">IF(COUNTIFS($A$2:A1585,A1585,$C$2:C1585,C1585)=1,ABS(SUMIFS(RAW_발주!$D:$D,RAW_발주!$C:$C,A1585,RAW_발주!$A:$A,C1585)-SUMIFS($W:$W,$A:$A,A1585,$C:$C,C1585)),0)</f>
        <v>0</v>
      </c>
    </row>
    <row r="1586" customFormat="false" ht="15" hidden="false" customHeight="true" outlineLevel="0" collapsed="false">
      <c r="A1586" s="45" t="s">
        <v>1664</v>
      </c>
      <c r="B1586" s="42" t="str">
        <f aca="false">IF(A1586="100","HK",IF(A1586="200","CN",IF(A1586="300","TW","홀세일")))</f>
        <v>홀세일</v>
      </c>
      <c r="C1586" s="45" t="s">
        <v>1431</v>
      </c>
      <c r="D1586" s="46" t="n">
        <v>60</v>
      </c>
      <c r="E1586" s="46" t="n">
        <v>279000</v>
      </c>
      <c r="F1586" s="46" t="n">
        <v>70220</v>
      </c>
      <c r="G1586" s="42" t="n">
        <v>3.43</v>
      </c>
      <c r="H1586" s="42" t="n">
        <v>74.1</v>
      </c>
      <c r="I1586" s="42" t="n">
        <v>0</v>
      </c>
      <c r="J1586" s="46" t="n">
        <f aca="false">IF(N(E1586)&gt;0,E1586,IF(N(F1586)&gt;0,F1586*요약!$F$27,0))</f>
        <v>279000</v>
      </c>
      <c r="K1586" s="46" t="n">
        <f aca="false">IF(N(F1586)&gt;0,F1586,IF(N(E1586)&gt;0,E1586/요약!$F$27,0))</f>
        <v>70220</v>
      </c>
      <c r="L1586" s="46" t="n">
        <f aca="false">IF(B1586="CN",IF(N(I1586)&gt;0,I1586*요약!$G$27,K1586*(1+요약!$E$27)),IF(N(H1586)&gt;0,H1586*요약!$G$27,J1586*요약!$D$27))</f>
        <v>97812</v>
      </c>
      <c r="M1586" s="46" t="n">
        <f aca="false">D1586*J1586</f>
        <v>16740000</v>
      </c>
      <c r="N1586" s="46" t="n">
        <f aca="false">D1586*K1586</f>
        <v>4213200</v>
      </c>
      <c r="O1586" s="46" t="n">
        <f aca="false">D1586*L1586</f>
        <v>5868720</v>
      </c>
      <c r="P1586" s="42" t="str">
        <f aca="false">TRIM(IF(N(E1586)&lt;=0,"택가보정 ","")&amp;IF(N(F1586)&lt;=0,"원가보정 ","")&amp;IF(AND(B1586&lt;&gt;"CN",N(H1586)&lt;=0),"공급가보정 ","")&amp;IF(AND(B1586="CN",N(I1586)&lt;=0),"중국공급가=원가+마진 ",""))</f>
        <v/>
      </c>
      <c r="Q1586" s="47" t="n">
        <f aca="false">IF(SUMIFS($W:$W,$A:$A,A1586,$C:$C,C1586)=0,0,SUMIFS(RAW_판매펀칭!$K:$K,RAW_판매펀칭!$P:$P,A1586,RAW_판매펀칭!$I:$I,C1586)*W1586/SUMIFS($W:$W,$A:$A,A1586,$C:$C,C1586))</f>
        <v>0</v>
      </c>
      <c r="R1586" s="47" t="n">
        <f aca="false">IF(OR(A1586="500",A1586="800",A1586="810"),0,MAX(W1586-Q1586,0))</f>
        <v>0</v>
      </c>
      <c r="S1586" s="47" t="n">
        <f aca="false">R1586*L1586</f>
        <v>0</v>
      </c>
      <c r="T1586" s="47" t="n">
        <f aca="false">R1586*J1586</f>
        <v>0</v>
      </c>
      <c r="U1586" s="47" t="n">
        <f aca="false">R1586*K1586</f>
        <v>0</v>
      </c>
      <c r="V1586" s="0" t="str">
        <f aca="false">IF(COUNTIFS($A$2:A1586,A1586,$C$2:C1586,C1586,$D$2:D1586,D1586)&gt;1,"중복","")</f>
        <v/>
      </c>
      <c r="W1586" s="0" t="n">
        <f aca="false">IF(V1586="중복",0,N(D1586))</f>
        <v>60</v>
      </c>
      <c r="X1586" s="0" t="n">
        <f aca="false">IF(COUNTIFS($A$2:A1586,A1586,$C$2:C1586,C1586)=1,ABS(SUMIFS(RAW_발주!$D:$D,RAW_발주!$C:$C,A1586,RAW_발주!$A:$A,C1586)-SUMIFS($W:$W,$A:$A,A1586,$C:$C,C1586)),0)</f>
        <v>0</v>
      </c>
    </row>
    <row r="1587" customFormat="false" ht="15" hidden="false" customHeight="true" outlineLevel="0" collapsed="false">
      <c r="A1587" s="45" t="s">
        <v>1659</v>
      </c>
      <c r="B1587" s="42" t="str">
        <f aca="false">IF(A1587="100","HK",IF(A1587="200","CN",IF(A1587="300","TW","홀세일")))</f>
        <v>HK</v>
      </c>
      <c r="C1587" s="45" t="s">
        <v>652</v>
      </c>
      <c r="D1587" s="46" t="n">
        <v>240</v>
      </c>
      <c r="E1587" s="46" t="n">
        <v>499000</v>
      </c>
      <c r="F1587" s="46" t="n">
        <v>157900</v>
      </c>
      <c r="G1587" s="42" t="n">
        <v>3.07</v>
      </c>
      <c r="H1587" s="42" t="n">
        <v>132.5</v>
      </c>
      <c r="I1587" s="42" t="n">
        <v>0</v>
      </c>
      <c r="J1587" s="46" t="n">
        <f aca="false">IF(N(E1587)&gt;0,E1587,IF(N(F1587)&gt;0,F1587*요약!$F$27,0))</f>
        <v>499000</v>
      </c>
      <c r="K1587" s="46" t="n">
        <f aca="false">IF(N(F1587)&gt;0,F1587,IF(N(E1587)&gt;0,E1587/요약!$F$27,0))</f>
        <v>157900</v>
      </c>
      <c r="L1587" s="46" t="n">
        <f aca="false">IF(B1587="CN",IF(N(I1587)&gt;0,I1587*요약!$G$27,K1587*(1+요약!$E$27)),IF(N(H1587)&gt;0,H1587*요약!$G$27,J1587*요약!$D$27))</f>
        <v>174900</v>
      </c>
      <c r="M1587" s="46" t="n">
        <f aca="false">D1587*J1587</f>
        <v>119760000</v>
      </c>
      <c r="N1587" s="46" t="n">
        <f aca="false">D1587*K1587</f>
        <v>37896000</v>
      </c>
      <c r="O1587" s="46" t="n">
        <f aca="false">D1587*L1587</f>
        <v>41976000</v>
      </c>
      <c r="P1587" s="42" t="str">
        <f aca="false">TRIM(IF(N(E1587)&lt;=0,"택가보정 ","")&amp;IF(N(F1587)&lt;=0,"원가보정 ","")&amp;IF(AND(B1587&lt;&gt;"CN",N(H1587)&lt;=0),"공급가보정 ","")&amp;IF(AND(B1587="CN",N(I1587)&lt;=0),"중국공급가=원가+마진 ",""))</f>
        <v/>
      </c>
      <c r="Q1587" s="47" t="n">
        <f aca="false">IF(SUMIFS($W:$W,$A:$A,A1587,$C:$C,C1587)=0,0,SUMIFS(RAW_판매펀칭!$K:$K,RAW_판매펀칭!$P:$P,A1587,RAW_판매펀칭!$I:$I,C1587)*W1587/SUMIFS($W:$W,$A:$A,A1587,$C:$C,C1587))</f>
        <v>240</v>
      </c>
      <c r="R1587" s="47" t="n">
        <f aca="false">IF(OR(A1587="500",A1587="800",A1587="810"),0,MAX(W1587-Q1587,0))</f>
        <v>0</v>
      </c>
      <c r="S1587" s="47" t="n">
        <f aca="false">R1587*L1587</f>
        <v>0</v>
      </c>
      <c r="T1587" s="47" t="n">
        <f aca="false">R1587*J1587</f>
        <v>0</v>
      </c>
      <c r="U1587" s="47" t="n">
        <f aca="false">R1587*K1587</f>
        <v>0</v>
      </c>
      <c r="V1587" s="0" t="str">
        <f aca="false">IF(COUNTIFS($A$2:A1587,A1587,$C$2:C1587,C1587,$D$2:D1587,D1587)&gt;1,"중복","")</f>
        <v/>
      </c>
      <c r="W1587" s="0" t="n">
        <f aca="false">IF(V1587="중복",0,N(D1587))</f>
        <v>240</v>
      </c>
      <c r="X1587" s="0" t="n">
        <f aca="false">IF(COUNTIFS($A$2:A1587,A1587,$C$2:C1587,C1587)=1,ABS(SUMIFS(RAW_발주!$D:$D,RAW_발주!$C:$C,A1587,RAW_발주!$A:$A,C1587)-SUMIFS($W:$W,$A:$A,A1587,$C:$C,C1587)),0)</f>
        <v>0</v>
      </c>
    </row>
    <row r="1588" customFormat="false" ht="15" hidden="false" customHeight="true" outlineLevel="0" collapsed="false">
      <c r="A1588" s="45" t="s">
        <v>1661</v>
      </c>
      <c r="B1588" s="42" t="str">
        <f aca="false">IF(A1588="100","HK",IF(A1588="200","CN",IF(A1588="300","TW","홀세일")))</f>
        <v>TW</v>
      </c>
      <c r="C1588" s="45" t="s">
        <v>652</v>
      </c>
      <c r="D1588" s="46" t="n">
        <v>340</v>
      </c>
      <c r="E1588" s="46" t="n">
        <v>499000</v>
      </c>
      <c r="F1588" s="46" t="n">
        <v>157900</v>
      </c>
      <c r="G1588" s="42" t="n">
        <v>3.07</v>
      </c>
      <c r="H1588" s="42" t="n">
        <v>132.5</v>
      </c>
      <c r="I1588" s="42" t="n">
        <v>0</v>
      </c>
      <c r="J1588" s="46" t="n">
        <f aca="false">IF(N(E1588)&gt;0,E1588,IF(N(F1588)&gt;0,F1588*요약!$F$27,0))</f>
        <v>499000</v>
      </c>
      <c r="K1588" s="46" t="n">
        <f aca="false">IF(N(F1588)&gt;0,F1588,IF(N(E1588)&gt;0,E1588/요약!$F$27,0))</f>
        <v>157900</v>
      </c>
      <c r="L1588" s="46" t="n">
        <f aca="false">IF(B1588="CN",IF(N(I1588)&gt;0,I1588*요약!$G$27,K1588*(1+요약!$E$27)),IF(N(H1588)&gt;0,H1588*요약!$G$27,J1588*요약!$D$27))</f>
        <v>174900</v>
      </c>
      <c r="M1588" s="46" t="n">
        <f aca="false">D1588*J1588</f>
        <v>169660000</v>
      </c>
      <c r="N1588" s="46" t="n">
        <f aca="false">D1588*K1588</f>
        <v>53686000</v>
      </c>
      <c r="O1588" s="46" t="n">
        <f aca="false">D1588*L1588</f>
        <v>59466000</v>
      </c>
      <c r="P1588" s="42" t="str">
        <f aca="false">TRIM(IF(N(E1588)&lt;=0,"택가보정 ","")&amp;IF(N(F1588)&lt;=0,"원가보정 ","")&amp;IF(AND(B1588&lt;&gt;"CN",N(H1588)&lt;=0),"공급가보정 ","")&amp;IF(AND(B1588="CN",N(I1588)&lt;=0),"중국공급가=원가+마진 ",""))</f>
        <v/>
      </c>
      <c r="Q1588" s="47" t="n">
        <f aca="false">IF(SUMIFS($W:$W,$A:$A,A1588,$C:$C,C1588)=0,0,SUMIFS(RAW_판매펀칭!$K:$K,RAW_판매펀칭!$P:$P,A1588,RAW_판매펀칭!$I:$I,C1588)*W1588/SUMIFS($W:$W,$A:$A,A1588,$C:$C,C1588))</f>
        <v>340</v>
      </c>
      <c r="R1588" s="47" t="n">
        <f aca="false">IF(OR(A1588="500",A1588="800",A1588="810"),0,MAX(W1588-Q1588,0))</f>
        <v>0</v>
      </c>
      <c r="S1588" s="47" t="n">
        <f aca="false">R1588*L1588</f>
        <v>0</v>
      </c>
      <c r="T1588" s="47" t="n">
        <f aca="false">R1588*J1588</f>
        <v>0</v>
      </c>
      <c r="U1588" s="47" t="n">
        <f aca="false">R1588*K1588</f>
        <v>0</v>
      </c>
      <c r="V1588" s="0" t="str">
        <f aca="false">IF(COUNTIFS($A$2:A1588,A1588,$C$2:C1588,C1588,$D$2:D1588,D1588)&gt;1,"중복","")</f>
        <v/>
      </c>
      <c r="W1588" s="0" t="n">
        <f aca="false">IF(V1588="중복",0,N(D1588))</f>
        <v>340</v>
      </c>
      <c r="X1588" s="0" t="n">
        <f aca="false">IF(COUNTIFS($A$2:A1588,A1588,$C$2:C1588,C1588)=1,ABS(SUMIFS(RAW_발주!$D:$D,RAW_발주!$C:$C,A1588,RAW_발주!$A:$A,C1588)-SUMIFS($W:$W,$A:$A,A1588,$C:$C,C1588)),0)</f>
        <v>0</v>
      </c>
    </row>
    <row r="1589" customFormat="false" ht="15" hidden="false" customHeight="true" outlineLevel="0" collapsed="false">
      <c r="A1589" s="45" t="s">
        <v>1663</v>
      </c>
      <c r="B1589" s="42" t="str">
        <f aca="false">IF(A1589="100","HK",IF(A1589="200","CN",IF(A1589="300","TW","홀세일")))</f>
        <v>홀세일</v>
      </c>
      <c r="C1589" s="45" t="s">
        <v>652</v>
      </c>
      <c r="D1589" s="46" t="n">
        <v>30</v>
      </c>
      <c r="E1589" s="46" t="n">
        <v>499000</v>
      </c>
      <c r="F1589" s="46" t="n">
        <v>157900</v>
      </c>
      <c r="G1589" s="42" t="n">
        <v>3.07</v>
      </c>
      <c r="H1589" s="42" t="n">
        <v>132.5</v>
      </c>
      <c r="I1589" s="42" t="n">
        <v>0</v>
      </c>
      <c r="J1589" s="46" t="n">
        <f aca="false">IF(N(E1589)&gt;0,E1589,IF(N(F1589)&gt;0,F1589*요약!$F$27,0))</f>
        <v>499000</v>
      </c>
      <c r="K1589" s="46" t="n">
        <f aca="false">IF(N(F1589)&gt;0,F1589,IF(N(E1589)&gt;0,E1589/요약!$F$27,0))</f>
        <v>157900</v>
      </c>
      <c r="L1589" s="46" t="n">
        <f aca="false">IF(B1589="CN",IF(N(I1589)&gt;0,I1589*요약!$G$27,K1589*(1+요약!$E$27)),IF(N(H1589)&gt;0,H1589*요약!$G$27,J1589*요약!$D$27))</f>
        <v>174900</v>
      </c>
      <c r="M1589" s="46" t="n">
        <f aca="false">D1589*J1589</f>
        <v>14970000</v>
      </c>
      <c r="N1589" s="46" t="n">
        <f aca="false">D1589*K1589</f>
        <v>4737000</v>
      </c>
      <c r="O1589" s="46" t="n">
        <f aca="false">D1589*L1589</f>
        <v>5247000</v>
      </c>
      <c r="P1589" s="42" t="str">
        <f aca="false">TRIM(IF(N(E1589)&lt;=0,"택가보정 ","")&amp;IF(N(F1589)&lt;=0,"원가보정 ","")&amp;IF(AND(B1589&lt;&gt;"CN",N(H1589)&lt;=0),"공급가보정 ","")&amp;IF(AND(B1589="CN",N(I1589)&lt;=0),"중국공급가=원가+마진 ",""))</f>
        <v/>
      </c>
      <c r="Q1589" s="47" t="n">
        <f aca="false">IF(SUMIFS($W:$W,$A:$A,A1589,$C:$C,C1589)=0,0,SUMIFS(RAW_판매펀칭!$K:$K,RAW_판매펀칭!$P:$P,A1589,RAW_판매펀칭!$I:$I,C1589)*W1589/SUMIFS($W:$W,$A:$A,A1589,$C:$C,C1589))</f>
        <v>30</v>
      </c>
      <c r="R1589" s="47" t="n">
        <f aca="false">IF(OR(A1589="500",A1589="800",A1589="810"),0,MAX(W1589-Q1589,0))</f>
        <v>0</v>
      </c>
      <c r="S1589" s="47" t="n">
        <f aca="false">R1589*L1589</f>
        <v>0</v>
      </c>
      <c r="T1589" s="47" t="n">
        <f aca="false">R1589*J1589</f>
        <v>0</v>
      </c>
      <c r="U1589" s="47" t="n">
        <f aca="false">R1589*K1589</f>
        <v>0</v>
      </c>
      <c r="V1589" s="0" t="str">
        <f aca="false">IF(COUNTIFS($A$2:A1589,A1589,$C$2:C1589,C1589,$D$2:D1589,D1589)&gt;1,"중복","")</f>
        <v/>
      </c>
      <c r="W1589" s="0" t="n">
        <f aca="false">IF(V1589="중복",0,N(D1589))</f>
        <v>30</v>
      </c>
      <c r="X1589" s="0" t="n">
        <f aca="false">IF(COUNTIFS($A$2:A1589,A1589,$C$2:C1589,C1589)=1,ABS(SUMIFS(RAW_발주!$D:$D,RAW_발주!$C:$C,A1589,RAW_발주!$A:$A,C1589)-SUMIFS($W:$W,$A:$A,A1589,$C:$C,C1589)),0)</f>
        <v>0</v>
      </c>
    </row>
    <row r="1590" customFormat="false" ht="15" hidden="false" customHeight="true" outlineLevel="0" collapsed="false">
      <c r="A1590" s="45" t="s">
        <v>1664</v>
      </c>
      <c r="B1590" s="42" t="str">
        <f aca="false">IF(A1590="100","HK",IF(A1590="200","CN",IF(A1590="300","TW","홀세일")))</f>
        <v>홀세일</v>
      </c>
      <c r="C1590" s="45" t="s">
        <v>652</v>
      </c>
      <c r="D1590" s="46" t="n">
        <v>60</v>
      </c>
      <c r="E1590" s="46" t="n">
        <v>499000</v>
      </c>
      <c r="F1590" s="46" t="n">
        <v>157900</v>
      </c>
      <c r="G1590" s="42" t="n">
        <v>3.07</v>
      </c>
      <c r="H1590" s="42" t="n">
        <v>132.5</v>
      </c>
      <c r="I1590" s="42" t="n">
        <v>0</v>
      </c>
      <c r="J1590" s="46" t="n">
        <f aca="false">IF(N(E1590)&gt;0,E1590,IF(N(F1590)&gt;0,F1590*요약!$F$27,0))</f>
        <v>499000</v>
      </c>
      <c r="K1590" s="46" t="n">
        <f aca="false">IF(N(F1590)&gt;0,F1590,IF(N(E1590)&gt;0,E1590/요약!$F$27,0))</f>
        <v>157900</v>
      </c>
      <c r="L1590" s="46" t="n">
        <f aca="false">IF(B1590="CN",IF(N(I1590)&gt;0,I1590*요약!$G$27,K1590*(1+요약!$E$27)),IF(N(H1590)&gt;0,H1590*요약!$G$27,J1590*요약!$D$27))</f>
        <v>174900</v>
      </c>
      <c r="M1590" s="46" t="n">
        <f aca="false">D1590*J1590</f>
        <v>29940000</v>
      </c>
      <c r="N1590" s="46" t="n">
        <f aca="false">D1590*K1590</f>
        <v>9474000</v>
      </c>
      <c r="O1590" s="46" t="n">
        <f aca="false">D1590*L1590</f>
        <v>10494000</v>
      </c>
      <c r="P1590" s="42" t="str">
        <f aca="false">TRIM(IF(N(E1590)&lt;=0,"택가보정 ","")&amp;IF(N(F1590)&lt;=0,"원가보정 ","")&amp;IF(AND(B1590&lt;&gt;"CN",N(H1590)&lt;=0),"공급가보정 ","")&amp;IF(AND(B1590="CN",N(I1590)&lt;=0),"중국공급가=원가+마진 ",""))</f>
        <v/>
      </c>
      <c r="Q1590" s="47" t="n">
        <f aca="false">IF(SUMIFS($W:$W,$A:$A,A1590,$C:$C,C1590)=0,0,SUMIFS(RAW_판매펀칭!$K:$K,RAW_판매펀칭!$P:$P,A1590,RAW_판매펀칭!$I:$I,C1590)*W1590/SUMIFS($W:$W,$A:$A,A1590,$C:$C,C1590))</f>
        <v>0</v>
      </c>
      <c r="R1590" s="47" t="n">
        <f aca="false">IF(OR(A1590="500",A1590="800",A1590="810"),0,MAX(W1590-Q1590,0))</f>
        <v>0</v>
      </c>
      <c r="S1590" s="47" t="n">
        <f aca="false">R1590*L1590</f>
        <v>0</v>
      </c>
      <c r="T1590" s="47" t="n">
        <f aca="false">R1590*J1590</f>
        <v>0</v>
      </c>
      <c r="U1590" s="47" t="n">
        <f aca="false">R1590*K1590</f>
        <v>0</v>
      </c>
      <c r="V1590" s="0" t="str">
        <f aca="false">IF(COUNTIFS($A$2:A1590,A1590,$C$2:C1590,C1590,$D$2:D1590,D1590)&gt;1,"중복","")</f>
        <v/>
      </c>
      <c r="W1590" s="0" t="n">
        <f aca="false">IF(V1590="중복",0,N(D1590))</f>
        <v>60</v>
      </c>
      <c r="X1590" s="0" t="n">
        <f aca="false">IF(COUNTIFS($A$2:A1590,A1590,$C$2:C1590,C1590)=1,ABS(SUMIFS(RAW_발주!$D:$D,RAW_발주!$C:$C,A1590,RAW_발주!$A:$A,C1590)-SUMIFS($W:$W,$A:$A,A1590,$C:$C,C1590)),0)</f>
        <v>0</v>
      </c>
    </row>
    <row r="1591" customFormat="false" ht="15" hidden="false" customHeight="true" outlineLevel="0" collapsed="false">
      <c r="A1591" s="45" t="s">
        <v>1659</v>
      </c>
      <c r="B1591" s="42" t="str">
        <f aca="false">IF(A1591="100","HK",IF(A1591="200","CN",IF(A1591="300","TW","홀세일")))</f>
        <v>HK</v>
      </c>
      <c r="C1591" s="45" t="s">
        <v>1433</v>
      </c>
      <c r="D1591" s="46" t="n">
        <v>450</v>
      </c>
      <c r="E1591" s="46" t="n">
        <v>299000</v>
      </c>
      <c r="F1591" s="46" t="n">
        <v>74621</v>
      </c>
      <c r="G1591" s="42" t="n">
        <v>3.52</v>
      </c>
      <c r="H1591" s="42" t="n">
        <v>79.4</v>
      </c>
      <c r="I1591" s="42" t="n">
        <v>0</v>
      </c>
      <c r="J1591" s="46" t="n">
        <f aca="false">IF(N(E1591)&gt;0,E1591,IF(N(F1591)&gt;0,F1591*요약!$F$27,0))</f>
        <v>299000</v>
      </c>
      <c r="K1591" s="46" t="n">
        <f aca="false">IF(N(F1591)&gt;0,F1591,IF(N(E1591)&gt;0,E1591/요약!$F$27,0))</f>
        <v>74621</v>
      </c>
      <c r="L1591" s="46" t="n">
        <f aca="false">IF(B1591="CN",IF(N(I1591)&gt;0,I1591*요약!$G$27,K1591*(1+요약!$E$27)),IF(N(H1591)&gt;0,H1591*요약!$G$27,J1591*요약!$D$27))</f>
        <v>104808</v>
      </c>
      <c r="M1591" s="46" t="n">
        <f aca="false">D1591*J1591</f>
        <v>134550000</v>
      </c>
      <c r="N1591" s="46" t="n">
        <f aca="false">D1591*K1591</f>
        <v>33579450</v>
      </c>
      <c r="O1591" s="46" t="n">
        <f aca="false">D1591*L1591</f>
        <v>47163600</v>
      </c>
      <c r="P1591" s="42" t="str">
        <f aca="false">TRIM(IF(N(E1591)&lt;=0,"택가보정 ","")&amp;IF(N(F1591)&lt;=0,"원가보정 ","")&amp;IF(AND(B1591&lt;&gt;"CN",N(H1591)&lt;=0),"공급가보정 ","")&amp;IF(AND(B1591="CN",N(I1591)&lt;=0),"중국공급가=원가+마진 ",""))</f>
        <v/>
      </c>
      <c r="Q1591" s="47" t="n">
        <f aca="false">IF(SUMIFS($W:$W,$A:$A,A1591,$C:$C,C1591)=0,0,SUMIFS(RAW_판매펀칭!$K:$K,RAW_판매펀칭!$P:$P,A1591,RAW_판매펀칭!$I:$I,C1591)*W1591/SUMIFS($W:$W,$A:$A,A1591,$C:$C,C1591))</f>
        <v>0</v>
      </c>
      <c r="R1591" s="47" t="n">
        <f aca="false">IF(OR(A1591="500",A1591="800",A1591="810"),0,MAX(W1591-Q1591,0))</f>
        <v>450</v>
      </c>
      <c r="S1591" s="47" t="n">
        <f aca="false">R1591*L1591</f>
        <v>47163600</v>
      </c>
      <c r="T1591" s="47" t="n">
        <f aca="false">R1591*J1591</f>
        <v>134550000</v>
      </c>
      <c r="U1591" s="47" t="n">
        <f aca="false">R1591*K1591</f>
        <v>33579450</v>
      </c>
      <c r="V1591" s="0" t="str">
        <f aca="false">IF(COUNTIFS($A$2:A1591,A1591,$C$2:C1591,C1591,$D$2:D1591,D1591)&gt;1,"중복","")</f>
        <v/>
      </c>
      <c r="W1591" s="0" t="n">
        <f aca="false">IF(V1591="중복",0,N(D1591))</f>
        <v>450</v>
      </c>
      <c r="X1591" s="0" t="n">
        <f aca="false">IF(COUNTIFS($A$2:A1591,A1591,$C$2:C1591,C1591)=1,ABS(SUMIFS(RAW_발주!$D:$D,RAW_발주!$C:$C,A1591,RAW_발주!$A:$A,C1591)-SUMIFS($W:$W,$A:$A,A1591,$C:$C,C1591)),0)</f>
        <v>0</v>
      </c>
    </row>
    <row r="1592" customFormat="false" ht="15.75" hidden="false" customHeight="true" outlineLevel="0" collapsed="false">
      <c r="A1592" s="45" t="s">
        <v>1660</v>
      </c>
      <c r="B1592" s="42" t="str">
        <f aca="false">IF(A1592="100","HK",IF(A1592="200","CN",IF(A1592="300","TW","홀세일")))</f>
        <v>CN</v>
      </c>
      <c r="C1592" s="45" t="s">
        <v>1433</v>
      </c>
      <c r="D1592" s="46" t="n">
        <v>403</v>
      </c>
      <c r="E1592" s="46" t="n">
        <v>299000</v>
      </c>
      <c r="F1592" s="46" t="n">
        <v>74621</v>
      </c>
      <c r="G1592" s="42" t="n">
        <v>3.52</v>
      </c>
      <c r="H1592" s="42" t="n">
        <v>79.4</v>
      </c>
      <c r="I1592" s="42" t="n">
        <v>0</v>
      </c>
      <c r="J1592" s="46" t="n">
        <f aca="false">IF(N(E1592)&gt;0,E1592,IF(N(F1592)&gt;0,F1592*요약!$F$27,0))</f>
        <v>299000</v>
      </c>
      <c r="K1592" s="46" t="n">
        <f aca="false">IF(N(F1592)&gt;0,F1592,IF(N(E1592)&gt;0,E1592/요약!$F$27,0))</f>
        <v>74621</v>
      </c>
      <c r="L1592" s="46" t="n">
        <f aca="false">IF(B1592="CN",IF(N(I1592)&gt;0,I1592*요약!$G$27,K1592*(1+요약!$E$27)),IF(N(H1592)&gt;0,H1592*요약!$G$27,J1592*요약!$D$27))</f>
        <v>78352.05</v>
      </c>
      <c r="M1592" s="46" t="n">
        <f aca="false">D1592*J1592</f>
        <v>120497000</v>
      </c>
      <c r="N1592" s="46" t="n">
        <f aca="false">D1592*K1592</f>
        <v>30072263</v>
      </c>
      <c r="O1592" s="46" t="n">
        <f aca="false">D1592*L1592</f>
        <v>31575876.15</v>
      </c>
      <c r="P1592" s="42" t="str">
        <f aca="false">TRIM(IF(N(E1592)&lt;=0,"택가보정 ","")&amp;IF(N(F1592)&lt;=0,"원가보정 ","")&amp;IF(AND(B1592&lt;&gt;"CN",N(H1592)&lt;=0),"공급가보정 ","")&amp;IF(AND(B1592="CN",N(I1592)&lt;=0),"중국공급가=원가+마진 ",""))</f>
        <v>중국공급가=원가+마진</v>
      </c>
      <c r="Q1592" s="47" t="n">
        <f aca="false">IF(SUMIFS($W:$W,$A:$A,A1592,$C:$C,C1592)=0,0,SUMIFS(RAW_판매펀칭!$K:$K,RAW_판매펀칭!$P:$P,A1592,RAW_판매펀칭!$I:$I,C1592)*W1592/SUMIFS($W:$W,$A:$A,A1592,$C:$C,C1592))</f>
        <v>0</v>
      </c>
      <c r="R1592" s="47" t="n">
        <f aca="false">IF(OR(A1592="500",A1592="800",A1592="810"),0,MAX(W1592-Q1592,0))</f>
        <v>403</v>
      </c>
      <c r="S1592" s="47" t="n">
        <f aca="false">R1592*L1592</f>
        <v>31575876.15</v>
      </c>
      <c r="T1592" s="47" t="n">
        <f aca="false">R1592*J1592</f>
        <v>120497000</v>
      </c>
      <c r="U1592" s="47" t="n">
        <f aca="false">R1592*K1592</f>
        <v>30072263</v>
      </c>
      <c r="V1592" s="0" t="str">
        <f aca="false">IF(COUNTIFS($A$2:A1592,A1592,$C$2:C1592,C1592,$D$2:D1592,D1592)&gt;1,"중복","")</f>
        <v/>
      </c>
      <c r="W1592" s="0" t="n">
        <f aca="false">IF(V1592="중복",0,N(D1592))</f>
        <v>403</v>
      </c>
      <c r="X1592" s="0" t="n">
        <f aca="false">IF(COUNTIFS($A$2:A1592,A1592,$C$2:C1592,C1592)=1,ABS(SUMIFS(RAW_발주!$D:$D,RAW_발주!$C:$C,A1592,RAW_발주!$A:$A,C1592)-SUMIFS($W:$W,$A:$A,A1592,$C:$C,C1592)),0)</f>
        <v>0</v>
      </c>
    </row>
    <row r="1593" customFormat="false" ht="15" hidden="false" customHeight="true" outlineLevel="0" collapsed="false">
      <c r="A1593" s="45" t="s">
        <v>1661</v>
      </c>
      <c r="B1593" s="42" t="str">
        <f aca="false">IF(A1593="100","HK",IF(A1593="200","CN",IF(A1593="300","TW","홀세일")))</f>
        <v>TW</v>
      </c>
      <c r="C1593" s="45" t="s">
        <v>1433</v>
      </c>
      <c r="D1593" s="46" t="n">
        <v>500</v>
      </c>
      <c r="E1593" s="46" t="n">
        <v>299000</v>
      </c>
      <c r="F1593" s="46" t="n">
        <v>74621</v>
      </c>
      <c r="G1593" s="42" t="n">
        <v>3.52</v>
      </c>
      <c r="H1593" s="42" t="n">
        <v>79.4</v>
      </c>
      <c r="I1593" s="42" t="n">
        <v>0</v>
      </c>
      <c r="J1593" s="46" t="n">
        <f aca="false">IF(N(E1593)&gt;0,E1593,IF(N(F1593)&gt;0,F1593*요약!$F$27,0))</f>
        <v>299000</v>
      </c>
      <c r="K1593" s="46" t="n">
        <f aca="false">IF(N(F1593)&gt;0,F1593,IF(N(E1593)&gt;0,E1593/요약!$F$27,0))</f>
        <v>74621</v>
      </c>
      <c r="L1593" s="46" t="n">
        <f aca="false">IF(B1593="CN",IF(N(I1593)&gt;0,I1593*요약!$G$27,K1593*(1+요약!$E$27)),IF(N(H1593)&gt;0,H1593*요약!$G$27,J1593*요약!$D$27))</f>
        <v>104808</v>
      </c>
      <c r="M1593" s="46" t="n">
        <f aca="false">D1593*J1593</f>
        <v>149500000</v>
      </c>
      <c r="N1593" s="46" t="n">
        <f aca="false">D1593*K1593</f>
        <v>37310500</v>
      </c>
      <c r="O1593" s="46" t="n">
        <f aca="false">D1593*L1593</f>
        <v>52404000</v>
      </c>
      <c r="P1593" s="42" t="str">
        <f aca="false">TRIM(IF(N(E1593)&lt;=0,"택가보정 ","")&amp;IF(N(F1593)&lt;=0,"원가보정 ","")&amp;IF(AND(B1593&lt;&gt;"CN",N(H1593)&lt;=0),"공급가보정 ","")&amp;IF(AND(B1593="CN",N(I1593)&lt;=0),"중국공급가=원가+마진 ",""))</f>
        <v/>
      </c>
      <c r="Q1593" s="47" t="n">
        <f aca="false">IF(SUMIFS($W:$W,$A:$A,A1593,$C:$C,C1593)=0,0,SUMIFS(RAW_판매펀칭!$K:$K,RAW_판매펀칭!$P:$P,A1593,RAW_판매펀칭!$I:$I,C1593)*W1593/SUMIFS($W:$W,$A:$A,A1593,$C:$C,C1593))</f>
        <v>0</v>
      </c>
      <c r="R1593" s="47" t="n">
        <f aca="false">IF(OR(A1593="500",A1593="800",A1593="810"),0,MAX(W1593-Q1593,0))</f>
        <v>500</v>
      </c>
      <c r="S1593" s="47" t="n">
        <f aca="false">R1593*L1593</f>
        <v>52404000</v>
      </c>
      <c r="T1593" s="47" t="n">
        <f aca="false">R1593*J1593</f>
        <v>149500000</v>
      </c>
      <c r="U1593" s="47" t="n">
        <f aca="false">R1593*K1593</f>
        <v>37310500</v>
      </c>
      <c r="V1593" s="0" t="str">
        <f aca="false">IF(COUNTIFS($A$2:A1593,A1593,$C$2:C1593,C1593,$D$2:D1593,D1593)&gt;1,"중복","")</f>
        <v/>
      </c>
      <c r="W1593" s="0" t="n">
        <f aca="false">IF(V1593="중복",0,N(D1593))</f>
        <v>500</v>
      </c>
      <c r="X1593" s="0" t="n">
        <f aca="false">IF(COUNTIFS($A$2:A1593,A1593,$C$2:C1593,C1593)=1,ABS(SUMIFS(RAW_발주!$D:$D,RAW_발주!$C:$C,A1593,RAW_발주!$A:$A,C1593)-SUMIFS($W:$W,$A:$A,A1593,$C:$C,C1593)),0)</f>
        <v>0</v>
      </c>
    </row>
    <row r="1594" customFormat="false" ht="15" hidden="false" customHeight="true" outlineLevel="0" collapsed="false">
      <c r="A1594" s="45" t="s">
        <v>1663</v>
      </c>
      <c r="B1594" s="42" t="str">
        <f aca="false">IF(A1594="100","HK",IF(A1594="200","CN",IF(A1594="300","TW","홀세일")))</f>
        <v>홀세일</v>
      </c>
      <c r="C1594" s="45" t="s">
        <v>1433</v>
      </c>
      <c r="D1594" s="46" t="n">
        <v>30</v>
      </c>
      <c r="E1594" s="46" t="n">
        <v>299000</v>
      </c>
      <c r="F1594" s="46" t="n">
        <v>74621</v>
      </c>
      <c r="G1594" s="42" t="n">
        <v>3.52</v>
      </c>
      <c r="H1594" s="42" t="n">
        <v>79.4</v>
      </c>
      <c r="I1594" s="42" t="n">
        <v>0</v>
      </c>
      <c r="J1594" s="46" t="n">
        <f aca="false">IF(N(E1594)&gt;0,E1594,IF(N(F1594)&gt;0,F1594*요약!$F$27,0))</f>
        <v>299000</v>
      </c>
      <c r="K1594" s="46" t="n">
        <f aca="false">IF(N(F1594)&gt;0,F1594,IF(N(E1594)&gt;0,E1594/요약!$F$27,0))</f>
        <v>74621</v>
      </c>
      <c r="L1594" s="46" t="n">
        <f aca="false">IF(B1594="CN",IF(N(I1594)&gt;0,I1594*요약!$G$27,K1594*(1+요약!$E$27)),IF(N(H1594)&gt;0,H1594*요약!$G$27,J1594*요약!$D$27))</f>
        <v>104808</v>
      </c>
      <c r="M1594" s="46" t="n">
        <f aca="false">D1594*J1594</f>
        <v>8970000</v>
      </c>
      <c r="N1594" s="46" t="n">
        <f aca="false">D1594*K1594</f>
        <v>2238630</v>
      </c>
      <c r="O1594" s="46" t="n">
        <f aca="false">D1594*L1594</f>
        <v>3144240</v>
      </c>
      <c r="P1594" s="42" t="str">
        <f aca="false">TRIM(IF(N(E1594)&lt;=0,"택가보정 ","")&amp;IF(N(F1594)&lt;=0,"원가보정 ","")&amp;IF(AND(B1594&lt;&gt;"CN",N(H1594)&lt;=0),"공급가보정 ","")&amp;IF(AND(B1594="CN",N(I1594)&lt;=0),"중국공급가=원가+마진 ",""))</f>
        <v/>
      </c>
      <c r="Q1594" s="47" t="n">
        <f aca="false">IF(SUMIFS($W:$W,$A:$A,A1594,$C:$C,C1594)=0,0,SUMIFS(RAW_판매펀칭!$K:$K,RAW_판매펀칭!$P:$P,A1594,RAW_판매펀칭!$I:$I,C1594)*W1594/SUMIFS($W:$W,$A:$A,A1594,$C:$C,C1594))</f>
        <v>0</v>
      </c>
      <c r="R1594" s="47" t="n">
        <f aca="false">IF(OR(A1594="500",A1594="800",A1594="810"),0,MAX(W1594-Q1594,0))</f>
        <v>30</v>
      </c>
      <c r="S1594" s="47" t="n">
        <f aca="false">R1594*L1594</f>
        <v>3144240</v>
      </c>
      <c r="T1594" s="47" t="n">
        <f aca="false">R1594*J1594</f>
        <v>8970000</v>
      </c>
      <c r="U1594" s="47" t="n">
        <f aca="false">R1594*K1594</f>
        <v>2238630</v>
      </c>
      <c r="V1594" s="0" t="str">
        <f aca="false">IF(COUNTIFS($A$2:A1594,A1594,$C$2:C1594,C1594,$D$2:D1594,D1594)&gt;1,"중복","")</f>
        <v/>
      </c>
      <c r="W1594" s="0" t="n">
        <f aca="false">IF(V1594="중복",0,N(D1594))</f>
        <v>30</v>
      </c>
      <c r="X1594" s="0" t="n">
        <f aca="false">IF(COUNTIFS($A$2:A1594,A1594,$C$2:C1594,C1594)=1,ABS(SUMIFS(RAW_발주!$D:$D,RAW_발주!$C:$C,A1594,RAW_발주!$A:$A,C1594)-SUMIFS($W:$W,$A:$A,A1594,$C:$C,C1594)),0)</f>
        <v>0</v>
      </c>
    </row>
    <row r="1595" customFormat="false" ht="15" hidden="false" customHeight="true" outlineLevel="0" collapsed="false">
      <c r="A1595" s="45" t="s">
        <v>1667</v>
      </c>
      <c r="B1595" s="42" t="str">
        <f aca="false">IF(A1595="100","HK",IF(A1595="200","CN",IF(A1595="300","TW","홀세일")))</f>
        <v>홀세일</v>
      </c>
      <c r="C1595" s="45" t="s">
        <v>1433</v>
      </c>
      <c r="D1595" s="46" t="n">
        <v>122</v>
      </c>
      <c r="E1595" s="46" t="n">
        <v>299000</v>
      </c>
      <c r="F1595" s="46" t="n">
        <v>74621</v>
      </c>
      <c r="G1595" s="42" t="n">
        <v>3.52</v>
      </c>
      <c r="H1595" s="42" t="n">
        <v>79.4</v>
      </c>
      <c r="I1595" s="42" t="n">
        <v>0</v>
      </c>
      <c r="J1595" s="46" t="n">
        <f aca="false">IF(N(E1595)&gt;0,E1595,IF(N(F1595)&gt;0,F1595*요약!$F$27,0))</f>
        <v>299000</v>
      </c>
      <c r="K1595" s="46" t="n">
        <f aca="false">IF(N(F1595)&gt;0,F1595,IF(N(E1595)&gt;0,E1595/요약!$F$27,0))</f>
        <v>74621</v>
      </c>
      <c r="L1595" s="46" t="n">
        <f aca="false">IF(B1595="CN",IF(N(I1595)&gt;0,I1595*요약!$G$27,K1595*(1+요약!$E$27)),IF(N(H1595)&gt;0,H1595*요약!$G$27,J1595*요약!$D$27))</f>
        <v>104808</v>
      </c>
      <c r="M1595" s="46" t="n">
        <f aca="false">D1595*J1595</f>
        <v>36478000</v>
      </c>
      <c r="N1595" s="46" t="n">
        <f aca="false">D1595*K1595</f>
        <v>9103762</v>
      </c>
      <c r="O1595" s="46" t="n">
        <f aca="false">D1595*L1595</f>
        <v>12786576</v>
      </c>
      <c r="P1595" s="42" t="str">
        <f aca="false">TRIM(IF(N(E1595)&lt;=0,"택가보정 ","")&amp;IF(N(F1595)&lt;=0,"원가보정 ","")&amp;IF(AND(B1595&lt;&gt;"CN",N(H1595)&lt;=0),"공급가보정 ","")&amp;IF(AND(B1595="CN",N(I1595)&lt;=0),"중국공급가=원가+마진 ",""))</f>
        <v/>
      </c>
      <c r="Q1595" s="47" t="n">
        <f aca="false">IF(SUMIFS($W:$W,$A:$A,A1595,$C:$C,C1595)=0,0,SUMIFS(RAW_판매펀칭!$K:$K,RAW_판매펀칭!$P:$P,A1595,RAW_판매펀칭!$I:$I,C1595)*W1595/SUMIFS($W:$W,$A:$A,A1595,$C:$C,C1595))</f>
        <v>122</v>
      </c>
      <c r="R1595" s="47" t="n">
        <f aca="false">IF(OR(A1595="500",A1595="800",A1595="810"),0,MAX(W1595-Q1595,0))</f>
        <v>0</v>
      </c>
      <c r="S1595" s="47" t="n">
        <f aca="false">R1595*L1595</f>
        <v>0</v>
      </c>
      <c r="T1595" s="47" t="n">
        <f aca="false">R1595*J1595</f>
        <v>0</v>
      </c>
      <c r="U1595" s="47" t="n">
        <f aca="false">R1595*K1595</f>
        <v>0</v>
      </c>
      <c r="V1595" s="0" t="str">
        <f aca="false">IF(COUNTIFS($A$2:A1595,A1595,$C$2:C1595,C1595,$D$2:D1595,D1595)&gt;1,"중복","")</f>
        <v/>
      </c>
      <c r="W1595" s="0" t="n">
        <f aca="false">IF(V1595="중복",0,N(D1595))</f>
        <v>122</v>
      </c>
      <c r="X1595" s="0" t="n">
        <f aca="false">IF(COUNTIFS($A$2:A1595,A1595,$C$2:C1595,C1595)=1,ABS(SUMIFS(RAW_발주!$D:$D,RAW_발주!$C:$C,A1595,RAW_발주!$A:$A,C1595)-SUMIFS($W:$W,$A:$A,A1595,$C:$C,C1595)),0)</f>
        <v>0</v>
      </c>
    </row>
    <row r="1596" customFormat="false" ht="15" hidden="false" customHeight="true" outlineLevel="0" collapsed="false">
      <c r="A1596" s="45" t="s">
        <v>1664</v>
      </c>
      <c r="B1596" s="42" t="str">
        <f aca="false">IF(A1596="100","HK",IF(A1596="200","CN",IF(A1596="300","TW","홀세일")))</f>
        <v>홀세일</v>
      </c>
      <c r="C1596" s="45" t="s">
        <v>1433</v>
      </c>
      <c r="D1596" s="46" t="n">
        <v>60</v>
      </c>
      <c r="E1596" s="46" t="n">
        <v>299000</v>
      </c>
      <c r="F1596" s="46" t="n">
        <v>74621</v>
      </c>
      <c r="G1596" s="42" t="n">
        <v>3.52</v>
      </c>
      <c r="H1596" s="42" t="n">
        <v>79.4</v>
      </c>
      <c r="I1596" s="42" t="n">
        <v>0</v>
      </c>
      <c r="J1596" s="46" t="n">
        <f aca="false">IF(N(E1596)&gt;0,E1596,IF(N(F1596)&gt;0,F1596*요약!$F$27,0))</f>
        <v>299000</v>
      </c>
      <c r="K1596" s="46" t="n">
        <f aca="false">IF(N(F1596)&gt;0,F1596,IF(N(E1596)&gt;0,E1596/요약!$F$27,0))</f>
        <v>74621</v>
      </c>
      <c r="L1596" s="46" t="n">
        <f aca="false">IF(B1596="CN",IF(N(I1596)&gt;0,I1596*요약!$G$27,K1596*(1+요약!$E$27)),IF(N(H1596)&gt;0,H1596*요약!$G$27,J1596*요약!$D$27))</f>
        <v>104808</v>
      </c>
      <c r="M1596" s="46" t="n">
        <f aca="false">D1596*J1596</f>
        <v>17940000</v>
      </c>
      <c r="N1596" s="46" t="n">
        <f aca="false">D1596*K1596</f>
        <v>4477260</v>
      </c>
      <c r="O1596" s="46" t="n">
        <f aca="false">D1596*L1596</f>
        <v>6288480</v>
      </c>
      <c r="P1596" s="42" t="str">
        <f aca="false">TRIM(IF(N(E1596)&lt;=0,"택가보정 ","")&amp;IF(N(F1596)&lt;=0,"원가보정 ","")&amp;IF(AND(B1596&lt;&gt;"CN",N(H1596)&lt;=0),"공급가보정 ","")&amp;IF(AND(B1596="CN",N(I1596)&lt;=0),"중국공급가=원가+마진 ",""))</f>
        <v/>
      </c>
      <c r="Q1596" s="47" t="n">
        <f aca="false">IF(SUMIFS($W:$W,$A:$A,A1596,$C:$C,C1596)=0,0,SUMIFS(RAW_판매펀칭!$K:$K,RAW_판매펀칭!$P:$P,A1596,RAW_판매펀칭!$I:$I,C1596)*W1596/SUMIFS($W:$W,$A:$A,A1596,$C:$C,C1596))</f>
        <v>0</v>
      </c>
      <c r="R1596" s="47" t="n">
        <f aca="false">IF(OR(A1596="500",A1596="800",A1596="810"),0,MAX(W1596-Q1596,0))</f>
        <v>0</v>
      </c>
      <c r="S1596" s="47" t="n">
        <f aca="false">R1596*L1596</f>
        <v>0</v>
      </c>
      <c r="T1596" s="47" t="n">
        <f aca="false">R1596*J1596</f>
        <v>0</v>
      </c>
      <c r="U1596" s="47" t="n">
        <f aca="false">R1596*K1596</f>
        <v>0</v>
      </c>
      <c r="V1596" s="0" t="str">
        <f aca="false">IF(COUNTIFS($A$2:A1596,A1596,$C$2:C1596,C1596,$D$2:D1596,D1596)&gt;1,"중복","")</f>
        <v/>
      </c>
      <c r="W1596" s="0" t="n">
        <f aca="false">IF(V1596="중복",0,N(D1596))</f>
        <v>60</v>
      </c>
      <c r="X1596" s="0" t="n">
        <f aca="false">IF(COUNTIFS($A$2:A1596,A1596,$C$2:C1596,C1596)=1,ABS(SUMIFS(RAW_발주!$D:$D,RAW_발주!$C:$C,A1596,RAW_발주!$A:$A,C1596)-SUMIFS($W:$W,$A:$A,A1596,$C:$C,C1596)),0)</f>
        <v>0</v>
      </c>
    </row>
    <row r="1597" customFormat="false" ht="15" hidden="false" customHeight="true" outlineLevel="0" collapsed="false">
      <c r="A1597" s="45" t="s">
        <v>1663</v>
      </c>
      <c r="B1597" s="42" t="str">
        <f aca="false">IF(A1597="100","HK",IF(A1597="200","CN",IF(A1597="300","TW","홀세일")))</f>
        <v>홀세일</v>
      </c>
      <c r="C1597" s="45" t="s">
        <v>1714</v>
      </c>
      <c r="D1597" s="46" t="n">
        <v>140</v>
      </c>
      <c r="E1597" s="46" t="n">
        <v>69000</v>
      </c>
      <c r="F1597" s="46" t="n">
        <v>16608</v>
      </c>
      <c r="G1597" s="42" t="n">
        <v>3.58</v>
      </c>
      <c r="H1597" s="42" t="n">
        <v>0</v>
      </c>
      <c r="I1597" s="42" t="n">
        <v>0</v>
      </c>
      <c r="J1597" s="46" t="n">
        <f aca="false">IF(N(E1597)&gt;0,E1597,IF(N(F1597)&gt;0,F1597*요약!$F$27,0))</f>
        <v>69000</v>
      </c>
      <c r="K1597" s="46" t="n">
        <f aca="false">IF(N(F1597)&gt;0,F1597,IF(N(E1597)&gt;0,E1597/요약!$F$27,0))</f>
        <v>16608</v>
      </c>
      <c r="L1597" s="46" t="n">
        <f aca="false">IF(B1597="CN",IF(N(I1597)&gt;0,I1597*요약!$G$27,K1597*(1+요약!$E$27)),IF(N(H1597)&gt;0,H1597*요약!$G$27,J1597*요약!$D$27))</f>
        <v>22770</v>
      </c>
      <c r="M1597" s="46" t="n">
        <f aca="false">D1597*J1597</f>
        <v>9660000</v>
      </c>
      <c r="N1597" s="46" t="n">
        <f aca="false">D1597*K1597</f>
        <v>2325120</v>
      </c>
      <c r="O1597" s="46" t="n">
        <f aca="false">D1597*L1597</f>
        <v>3187800</v>
      </c>
      <c r="P1597" s="42" t="str">
        <f aca="false">TRIM(IF(N(E1597)&lt;=0,"택가보정 ","")&amp;IF(N(F1597)&lt;=0,"원가보정 ","")&amp;IF(AND(B1597&lt;&gt;"CN",N(H1597)&lt;=0),"공급가보정 ","")&amp;IF(AND(B1597="CN",N(I1597)&lt;=0),"중국공급가=원가+마진 ",""))</f>
        <v>공급가보정</v>
      </c>
      <c r="Q1597" s="47" t="n">
        <f aca="false">IF(SUMIFS($W:$W,$A:$A,A1597,$C:$C,C1597)=0,0,SUMIFS(RAW_판매펀칭!$K:$K,RAW_판매펀칭!$P:$P,A1597,RAW_판매펀칭!$I:$I,C1597)*W1597/SUMIFS($W:$W,$A:$A,A1597,$C:$C,C1597))</f>
        <v>0</v>
      </c>
      <c r="R1597" s="47" t="n">
        <f aca="false">IF(OR(A1597="500",A1597="800",A1597="810"),0,MAX(W1597-Q1597,0))</f>
        <v>140</v>
      </c>
      <c r="S1597" s="47" t="n">
        <f aca="false">R1597*L1597</f>
        <v>3187800</v>
      </c>
      <c r="T1597" s="47" t="n">
        <f aca="false">R1597*J1597</f>
        <v>9660000</v>
      </c>
      <c r="U1597" s="47" t="n">
        <f aca="false">R1597*K1597</f>
        <v>2325120</v>
      </c>
      <c r="V1597" s="0" t="str">
        <f aca="false">IF(COUNTIFS($A$2:A1597,A1597,$C$2:C1597,C1597,$D$2:D1597,D1597)&gt;1,"중복","")</f>
        <v/>
      </c>
      <c r="W1597" s="0" t="n">
        <f aca="false">IF(V1597="중복",0,N(D1597))</f>
        <v>140</v>
      </c>
      <c r="X1597" s="0" t="n">
        <f aca="false">IF(COUNTIFS($A$2:A1597,A1597,$C$2:C1597,C1597)=1,ABS(SUMIFS(RAW_발주!$D:$D,RAW_발주!$C:$C,A1597,RAW_발주!$A:$A,C1597)-SUMIFS($W:$W,$A:$A,A1597,$C:$C,C1597)),0)</f>
        <v>0</v>
      </c>
    </row>
    <row r="1598" customFormat="false" ht="15" hidden="false" customHeight="true" outlineLevel="0" collapsed="false">
      <c r="A1598" s="45" t="s">
        <v>1661</v>
      </c>
      <c r="B1598" s="42" t="str">
        <f aca="false">IF(A1598="100","HK",IF(A1598="200","CN",IF(A1598="300","TW","홀세일")))</f>
        <v>TW</v>
      </c>
      <c r="C1598" s="45" t="s">
        <v>654</v>
      </c>
      <c r="D1598" s="46" t="n">
        <v>1050</v>
      </c>
      <c r="E1598" s="46" t="n">
        <v>49000</v>
      </c>
      <c r="F1598" s="46" t="n">
        <v>8409</v>
      </c>
      <c r="G1598" s="42" t="n">
        <v>4.16</v>
      </c>
      <c r="H1598" s="42" t="n">
        <v>12.3</v>
      </c>
      <c r="I1598" s="42" t="n">
        <v>0</v>
      </c>
      <c r="J1598" s="46" t="n">
        <f aca="false">IF(N(E1598)&gt;0,E1598,IF(N(F1598)&gt;0,F1598*요약!$F$27,0))</f>
        <v>49000</v>
      </c>
      <c r="K1598" s="46" t="n">
        <f aca="false">IF(N(F1598)&gt;0,F1598,IF(N(E1598)&gt;0,E1598/요약!$F$27,0))</f>
        <v>8409</v>
      </c>
      <c r="L1598" s="46" t="n">
        <f aca="false">IF(B1598="CN",IF(N(I1598)&gt;0,I1598*요약!$G$27,K1598*(1+요약!$E$27)),IF(N(H1598)&gt;0,H1598*요약!$G$27,J1598*요약!$D$27))</f>
        <v>16236</v>
      </c>
      <c r="M1598" s="46" t="n">
        <f aca="false">D1598*J1598</f>
        <v>51450000</v>
      </c>
      <c r="N1598" s="46" t="n">
        <f aca="false">D1598*K1598</f>
        <v>8829450</v>
      </c>
      <c r="O1598" s="46" t="n">
        <f aca="false">D1598*L1598</f>
        <v>17047800</v>
      </c>
      <c r="P1598" s="42" t="str">
        <f aca="false">TRIM(IF(N(E1598)&lt;=0,"택가보정 ","")&amp;IF(N(F1598)&lt;=0,"원가보정 ","")&amp;IF(AND(B1598&lt;&gt;"CN",N(H1598)&lt;=0),"공급가보정 ","")&amp;IF(AND(B1598="CN",N(I1598)&lt;=0),"중국공급가=원가+마진 ",""))</f>
        <v/>
      </c>
      <c r="Q1598" s="47" t="n">
        <f aca="false">IF(SUMIFS($W:$W,$A:$A,A1598,$C:$C,C1598)=0,0,SUMIFS(RAW_판매펀칭!$K:$K,RAW_판매펀칭!$P:$P,A1598,RAW_판매펀칭!$I:$I,C1598)*W1598/SUMIFS($W:$W,$A:$A,A1598,$C:$C,C1598))</f>
        <v>1500</v>
      </c>
      <c r="R1598" s="47" t="n">
        <f aca="false">IF(OR(A1598="500",A1598="800",A1598="810"),0,MAX(W1598-Q1598,0))</f>
        <v>0</v>
      </c>
      <c r="S1598" s="47" t="n">
        <f aca="false">R1598*L1598</f>
        <v>0</v>
      </c>
      <c r="T1598" s="47" t="n">
        <f aca="false">R1598*J1598</f>
        <v>0</v>
      </c>
      <c r="U1598" s="47" t="n">
        <f aca="false">R1598*K1598</f>
        <v>0</v>
      </c>
      <c r="V1598" s="0" t="str">
        <f aca="false">IF(COUNTIFS($A$2:A1598,A1598,$C$2:C1598,C1598,$D$2:D1598,D1598)&gt;1,"중복","")</f>
        <v/>
      </c>
      <c r="W1598" s="0" t="n">
        <f aca="false">IF(V1598="중복",0,N(D1598))</f>
        <v>1050</v>
      </c>
      <c r="X1598" s="0" t="n">
        <f aca="false">IF(COUNTIFS($A$2:A1598,A1598,$C$2:C1598,C1598)=1,ABS(SUMIFS(RAW_발주!$D:$D,RAW_발주!$C:$C,A1598,RAW_발주!$A:$A,C1598)-SUMIFS($W:$W,$A:$A,A1598,$C:$C,C1598)),0)</f>
        <v>0</v>
      </c>
    </row>
    <row r="1599" customFormat="false" ht="15" hidden="false" customHeight="true" outlineLevel="0" collapsed="false">
      <c r="A1599" s="45" t="s">
        <v>1663</v>
      </c>
      <c r="B1599" s="42" t="str">
        <f aca="false">IF(A1599="100","HK",IF(A1599="200","CN",IF(A1599="300","TW","홀세일")))</f>
        <v>홀세일</v>
      </c>
      <c r="C1599" s="45" t="s">
        <v>654</v>
      </c>
      <c r="D1599" s="46" t="n">
        <v>305</v>
      </c>
      <c r="E1599" s="46" t="n">
        <v>49000</v>
      </c>
      <c r="F1599" s="46" t="n">
        <v>8409</v>
      </c>
      <c r="G1599" s="42" t="n">
        <v>4.16</v>
      </c>
      <c r="H1599" s="42" t="n">
        <v>12.3</v>
      </c>
      <c r="I1599" s="42" t="n">
        <v>0</v>
      </c>
      <c r="J1599" s="46" t="n">
        <f aca="false">IF(N(E1599)&gt;0,E1599,IF(N(F1599)&gt;0,F1599*요약!$F$27,0))</f>
        <v>49000</v>
      </c>
      <c r="K1599" s="46" t="n">
        <f aca="false">IF(N(F1599)&gt;0,F1599,IF(N(E1599)&gt;0,E1599/요약!$F$27,0))</f>
        <v>8409</v>
      </c>
      <c r="L1599" s="46" t="n">
        <f aca="false">IF(B1599="CN",IF(N(I1599)&gt;0,I1599*요약!$G$27,K1599*(1+요약!$E$27)),IF(N(H1599)&gt;0,H1599*요약!$G$27,J1599*요약!$D$27))</f>
        <v>16236</v>
      </c>
      <c r="M1599" s="46" t="n">
        <f aca="false">D1599*J1599</f>
        <v>14945000</v>
      </c>
      <c r="N1599" s="46" t="n">
        <f aca="false">D1599*K1599</f>
        <v>2564745</v>
      </c>
      <c r="O1599" s="46" t="n">
        <f aca="false">D1599*L1599</f>
        <v>4951980</v>
      </c>
      <c r="P1599" s="42" t="str">
        <f aca="false">TRIM(IF(N(E1599)&lt;=0,"택가보정 ","")&amp;IF(N(F1599)&lt;=0,"원가보정 ","")&amp;IF(AND(B1599&lt;&gt;"CN",N(H1599)&lt;=0),"공급가보정 ","")&amp;IF(AND(B1599="CN",N(I1599)&lt;=0),"중국공급가=원가+마진 ",""))</f>
        <v/>
      </c>
      <c r="Q1599" s="47" t="n">
        <f aca="false">IF(SUMIFS($W:$W,$A:$A,A1599,$C:$C,C1599)=0,0,SUMIFS(RAW_판매펀칭!$K:$K,RAW_판매펀칭!$P:$P,A1599,RAW_판매펀칭!$I:$I,C1599)*W1599/SUMIFS($W:$W,$A:$A,A1599,$C:$C,C1599))</f>
        <v>305</v>
      </c>
      <c r="R1599" s="47" t="n">
        <f aca="false">IF(OR(A1599="500",A1599="800",A1599="810"),0,MAX(W1599-Q1599,0))</f>
        <v>0</v>
      </c>
      <c r="S1599" s="47" t="n">
        <f aca="false">R1599*L1599</f>
        <v>0</v>
      </c>
      <c r="T1599" s="47" t="n">
        <f aca="false">R1599*J1599</f>
        <v>0</v>
      </c>
      <c r="U1599" s="47" t="n">
        <f aca="false">R1599*K1599</f>
        <v>0</v>
      </c>
      <c r="V1599" s="0" t="str">
        <f aca="false">IF(COUNTIFS($A$2:A1599,A1599,$C$2:C1599,C1599,$D$2:D1599,D1599)&gt;1,"중복","")</f>
        <v/>
      </c>
      <c r="W1599" s="0" t="n">
        <f aca="false">IF(V1599="중복",0,N(D1599))</f>
        <v>305</v>
      </c>
      <c r="X1599" s="0" t="n">
        <f aca="false">IF(COUNTIFS($A$2:A1599,A1599,$C$2:C1599,C1599)=1,ABS(SUMIFS(RAW_발주!$D:$D,RAW_발주!$C:$C,A1599,RAW_발주!$A:$A,C1599)-SUMIFS($W:$W,$A:$A,A1599,$C:$C,C1599)),0)</f>
        <v>0</v>
      </c>
    </row>
    <row r="1600" customFormat="false" ht="15" hidden="false" customHeight="true" outlineLevel="0" collapsed="false">
      <c r="A1600" s="45" t="s">
        <v>1664</v>
      </c>
      <c r="B1600" s="42" t="str">
        <f aca="false">IF(A1600="100","HK",IF(A1600="200","CN",IF(A1600="300","TW","홀세일")))</f>
        <v>홀세일</v>
      </c>
      <c r="C1600" s="45" t="s">
        <v>654</v>
      </c>
      <c r="D1600" s="46" t="n">
        <v>100</v>
      </c>
      <c r="E1600" s="46" t="n">
        <v>49000</v>
      </c>
      <c r="F1600" s="46" t="n">
        <v>8409</v>
      </c>
      <c r="G1600" s="42" t="n">
        <v>4.16</v>
      </c>
      <c r="H1600" s="42" t="n">
        <v>12.3</v>
      </c>
      <c r="I1600" s="42" t="n">
        <v>0</v>
      </c>
      <c r="J1600" s="46" t="n">
        <f aca="false">IF(N(E1600)&gt;0,E1600,IF(N(F1600)&gt;0,F1600*요약!$F$27,0))</f>
        <v>49000</v>
      </c>
      <c r="K1600" s="46" t="n">
        <f aca="false">IF(N(F1600)&gt;0,F1600,IF(N(E1600)&gt;0,E1600/요약!$F$27,0))</f>
        <v>8409</v>
      </c>
      <c r="L1600" s="46" t="n">
        <f aca="false">IF(B1600="CN",IF(N(I1600)&gt;0,I1600*요약!$G$27,K1600*(1+요약!$E$27)),IF(N(H1600)&gt;0,H1600*요약!$G$27,J1600*요약!$D$27))</f>
        <v>16236</v>
      </c>
      <c r="M1600" s="46" t="n">
        <f aca="false">D1600*J1600</f>
        <v>4900000</v>
      </c>
      <c r="N1600" s="46" t="n">
        <f aca="false">D1600*K1600</f>
        <v>840900</v>
      </c>
      <c r="O1600" s="46" t="n">
        <f aca="false">D1600*L1600</f>
        <v>1623600</v>
      </c>
      <c r="P1600" s="42" t="str">
        <f aca="false">TRIM(IF(N(E1600)&lt;=0,"택가보정 ","")&amp;IF(N(F1600)&lt;=0,"원가보정 ","")&amp;IF(AND(B1600&lt;&gt;"CN",N(H1600)&lt;=0),"공급가보정 ","")&amp;IF(AND(B1600="CN",N(I1600)&lt;=0),"중국공급가=원가+마진 ",""))</f>
        <v/>
      </c>
      <c r="Q1600" s="47" t="n">
        <f aca="false">IF(SUMIFS($W:$W,$A:$A,A1600,$C:$C,C1600)=0,0,SUMIFS(RAW_판매펀칭!$K:$K,RAW_판매펀칭!$P:$P,A1600,RAW_판매펀칭!$I:$I,C1600)*W1600/SUMIFS($W:$W,$A:$A,A1600,$C:$C,C1600))</f>
        <v>0</v>
      </c>
      <c r="R1600" s="47" t="n">
        <f aca="false">IF(OR(A1600="500",A1600="800",A1600="810"),0,MAX(W1600-Q1600,0))</f>
        <v>0</v>
      </c>
      <c r="S1600" s="47" t="n">
        <f aca="false">R1600*L1600</f>
        <v>0</v>
      </c>
      <c r="T1600" s="47" t="n">
        <f aca="false">R1600*J1600</f>
        <v>0</v>
      </c>
      <c r="U1600" s="47" t="n">
        <f aca="false">R1600*K1600</f>
        <v>0</v>
      </c>
      <c r="V1600" s="0" t="str">
        <f aca="false">IF(COUNTIFS($A$2:A1600,A1600,$C$2:C1600,C1600,$D$2:D1600,D1600)&gt;1,"중복","")</f>
        <v/>
      </c>
      <c r="W1600" s="0" t="n">
        <f aca="false">IF(V1600="중복",0,N(D1600))</f>
        <v>100</v>
      </c>
      <c r="X1600" s="0" t="n">
        <f aca="false">IF(COUNTIFS($A$2:A1600,A1600,$C$2:C1600,C1600)=1,ABS(SUMIFS(RAW_발주!$D:$D,RAW_발주!$C:$C,A1600,RAW_발주!$A:$A,C1600)-SUMIFS($W:$W,$A:$A,A1600,$C:$C,C1600)),0)</f>
        <v>0</v>
      </c>
    </row>
    <row r="1601" customFormat="false" ht="15" hidden="false" customHeight="true" outlineLevel="0" collapsed="false">
      <c r="A1601" s="45" t="s">
        <v>1663</v>
      </c>
      <c r="B1601" s="42" t="str">
        <f aca="false">IF(A1601="100","HK",IF(A1601="200","CN",IF(A1601="300","TW","홀세일")))</f>
        <v>홀세일</v>
      </c>
      <c r="C1601" s="45" t="s">
        <v>1372</v>
      </c>
      <c r="D1601" s="46" t="n">
        <v>80</v>
      </c>
      <c r="E1601" s="46" t="n">
        <v>49000</v>
      </c>
      <c r="F1601" s="46" t="n">
        <v>9200</v>
      </c>
      <c r="G1601" s="42" t="n">
        <v>4.28</v>
      </c>
      <c r="H1601" s="42" t="n">
        <v>12.3</v>
      </c>
      <c r="I1601" s="42" t="n">
        <v>0</v>
      </c>
      <c r="J1601" s="46" t="n">
        <f aca="false">IF(N(E1601)&gt;0,E1601,IF(N(F1601)&gt;0,F1601*요약!$F$27,0))</f>
        <v>49000</v>
      </c>
      <c r="K1601" s="46" t="n">
        <f aca="false">IF(N(F1601)&gt;0,F1601,IF(N(E1601)&gt;0,E1601/요약!$F$27,0))</f>
        <v>9200</v>
      </c>
      <c r="L1601" s="46" t="n">
        <f aca="false">IF(B1601="CN",IF(N(I1601)&gt;0,I1601*요약!$G$27,K1601*(1+요약!$E$27)),IF(N(H1601)&gt;0,H1601*요약!$G$27,J1601*요약!$D$27))</f>
        <v>16236</v>
      </c>
      <c r="M1601" s="46" t="n">
        <f aca="false">D1601*J1601</f>
        <v>3920000</v>
      </c>
      <c r="N1601" s="46" t="n">
        <f aca="false">D1601*K1601</f>
        <v>736000</v>
      </c>
      <c r="O1601" s="46" t="n">
        <f aca="false">D1601*L1601</f>
        <v>1298880</v>
      </c>
      <c r="P1601" s="42" t="str">
        <f aca="false">TRIM(IF(N(E1601)&lt;=0,"택가보정 ","")&amp;IF(N(F1601)&lt;=0,"원가보정 ","")&amp;IF(AND(B1601&lt;&gt;"CN",N(H1601)&lt;=0),"공급가보정 ","")&amp;IF(AND(B1601="CN",N(I1601)&lt;=0),"중국공급가=원가+마진 ",""))</f>
        <v/>
      </c>
      <c r="Q1601" s="47" t="n">
        <f aca="false">IF(SUMIFS($W:$W,$A:$A,A1601,$C:$C,C1601)=0,0,SUMIFS(RAW_판매펀칭!$K:$K,RAW_판매펀칭!$P:$P,A1601,RAW_판매펀칭!$I:$I,C1601)*W1601/SUMIFS($W:$W,$A:$A,A1601,$C:$C,C1601))</f>
        <v>80</v>
      </c>
      <c r="R1601" s="47" t="n">
        <f aca="false">IF(OR(A1601="500",A1601="800",A1601="810"),0,MAX(W1601-Q1601,0))</f>
        <v>0</v>
      </c>
      <c r="S1601" s="47" t="n">
        <f aca="false">R1601*L1601</f>
        <v>0</v>
      </c>
      <c r="T1601" s="47" t="n">
        <f aca="false">R1601*J1601</f>
        <v>0</v>
      </c>
      <c r="U1601" s="47" t="n">
        <f aca="false">R1601*K1601</f>
        <v>0</v>
      </c>
      <c r="V1601" s="0" t="str">
        <f aca="false">IF(COUNTIFS($A$2:A1601,A1601,$C$2:C1601,C1601,$D$2:D1601,D1601)&gt;1,"중복","")</f>
        <v/>
      </c>
      <c r="W1601" s="0" t="n">
        <f aca="false">IF(V1601="중복",0,N(D1601))</f>
        <v>80</v>
      </c>
      <c r="X1601" s="0" t="n">
        <f aca="false">IF(COUNTIFS($A$2:A1601,A1601,$C$2:C1601,C1601)=1,ABS(SUMIFS(RAW_발주!$D:$D,RAW_발주!$C:$C,A1601,RAW_발주!$A:$A,C1601)-SUMIFS($W:$W,$A:$A,A1601,$C:$C,C1601)),0)</f>
        <v>0</v>
      </c>
    </row>
    <row r="1602" customFormat="false" ht="15" hidden="false" customHeight="true" outlineLevel="0" collapsed="false">
      <c r="A1602" s="45" t="s">
        <v>1664</v>
      </c>
      <c r="B1602" s="42" t="str">
        <f aca="false">IF(A1602="100","HK",IF(A1602="200","CN",IF(A1602="300","TW","홀세일")))</f>
        <v>홀세일</v>
      </c>
      <c r="C1602" s="45" t="s">
        <v>1372</v>
      </c>
      <c r="D1602" s="46" t="n">
        <v>95</v>
      </c>
      <c r="E1602" s="46" t="n">
        <v>49000</v>
      </c>
      <c r="F1602" s="46" t="n">
        <v>9200</v>
      </c>
      <c r="G1602" s="42" t="n">
        <v>4.28</v>
      </c>
      <c r="H1602" s="42" t="n">
        <v>12.3</v>
      </c>
      <c r="I1602" s="42" t="n">
        <v>0</v>
      </c>
      <c r="J1602" s="46" t="n">
        <f aca="false">IF(N(E1602)&gt;0,E1602,IF(N(F1602)&gt;0,F1602*요약!$F$27,0))</f>
        <v>49000</v>
      </c>
      <c r="K1602" s="46" t="n">
        <f aca="false">IF(N(F1602)&gt;0,F1602,IF(N(E1602)&gt;0,E1602/요약!$F$27,0))</f>
        <v>9200</v>
      </c>
      <c r="L1602" s="46" t="n">
        <f aca="false">IF(B1602="CN",IF(N(I1602)&gt;0,I1602*요약!$G$27,K1602*(1+요약!$E$27)),IF(N(H1602)&gt;0,H1602*요약!$G$27,J1602*요약!$D$27))</f>
        <v>16236</v>
      </c>
      <c r="M1602" s="46" t="n">
        <f aca="false">D1602*J1602</f>
        <v>4655000</v>
      </c>
      <c r="N1602" s="46" t="n">
        <f aca="false">D1602*K1602</f>
        <v>874000</v>
      </c>
      <c r="O1602" s="46" t="n">
        <f aca="false">D1602*L1602</f>
        <v>1542420</v>
      </c>
      <c r="P1602" s="42" t="str">
        <f aca="false">TRIM(IF(N(E1602)&lt;=0,"택가보정 ","")&amp;IF(N(F1602)&lt;=0,"원가보정 ","")&amp;IF(AND(B1602&lt;&gt;"CN",N(H1602)&lt;=0),"공급가보정 ","")&amp;IF(AND(B1602="CN",N(I1602)&lt;=0),"중국공급가=원가+마진 ",""))</f>
        <v/>
      </c>
      <c r="Q1602" s="47" t="n">
        <f aca="false">IF(SUMIFS($W:$W,$A:$A,A1602,$C:$C,C1602)=0,0,SUMIFS(RAW_판매펀칭!$K:$K,RAW_판매펀칭!$P:$P,A1602,RAW_판매펀칭!$I:$I,C1602)*W1602/SUMIFS($W:$W,$A:$A,A1602,$C:$C,C1602))</f>
        <v>0</v>
      </c>
      <c r="R1602" s="47" t="n">
        <f aca="false">IF(OR(A1602="500",A1602="800",A1602="810"),0,MAX(W1602-Q1602,0))</f>
        <v>0</v>
      </c>
      <c r="S1602" s="47" t="n">
        <f aca="false">R1602*L1602</f>
        <v>0</v>
      </c>
      <c r="T1602" s="47" t="n">
        <f aca="false">R1602*J1602</f>
        <v>0</v>
      </c>
      <c r="U1602" s="47" t="n">
        <f aca="false">R1602*K1602</f>
        <v>0</v>
      </c>
      <c r="V1602" s="0" t="str">
        <f aca="false">IF(COUNTIFS($A$2:A1602,A1602,$C$2:C1602,C1602,$D$2:D1602,D1602)&gt;1,"중복","")</f>
        <v/>
      </c>
      <c r="W1602" s="0" t="n">
        <f aca="false">IF(V1602="중복",0,N(D1602))</f>
        <v>95</v>
      </c>
      <c r="X1602" s="0" t="n">
        <f aca="false">IF(COUNTIFS($A$2:A1602,A1602,$C$2:C1602,C1602)=1,ABS(SUMIFS(RAW_발주!$D:$D,RAW_발주!$C:$C,A1602,RAW_발주!$A:$A,C1602)-SUMIFS($W:$W,$A:$A,A1602,$C:$C,C1602)),0)</f>
        <v>0</v>
      </c>
    </row>
    <row r="1603" customFormat="false" ht="15" hidden="false" customHeight="true" outlineLevel="0" collapsed="false">
      <c r="A1603" s="45" t="s">
        <v>1665</v>
      </c>
      <c r="B1603" s="42" t="str">
        <f aca="false">IF(A1603="100","HK",IF(A1603="200","CN",IF(A1603="300","TW","홀세일")))</f>
        <v>홀세일</v>
      </c>
      <c r="C1603" s="45" t="s">
        <v>1372</v>
      </c>
      <c r="D1603" s="46" t="n">
        <v>432</v>
      </c>
      <c r="E1603" s="46" t="n">
        <v>49000</v>
      </c>
      <c r="F1603" s="46" t="n">
        <v>9200</v>
      </c>
      <c r="G1603" s="42" t="n">
        <v>4.28</v>
      </c>
      <c r="H1603" s="42" t="n">
        <v>12.3</v>
      </c>
      <c r="I1603" s="42" t="n">
        <v>0</v>
      </c>
      <c r="J1603" s="46" t="n">
        <f aca="false">IF(N(E1603)&gt;0,E1603,IF(N(F1603)&gt;0,F1603*요약!$F$27,0))</f>
        <v>49000</v>
      </c>
      <c r="K1603" s="46" t="n">
        <f aca="false">IF(N(F1603)&gt;0,F1603,IF(N(E1603)&gt;0,E1603/요약!$F$27,0))</f>
        <v>9200</v>
      </c>
      <c r="L1603" s="46" t="n">
        <f aca="false">IF(B1603="CN",IF(N(I1603)&gt;0,I1603*요약!$G$27,K1603*(1+요약!$E$27)),IF(N(H1603)&gt;0,H1603*요약!$G$27,J1603*요약!$D$27))</f>
        <v>16236</v>
      </c>
      <c r="M1603" s="46" t="n">
        <f aca="false">D1603*J1603</f>
        <v>21168000</v>
      </c>
      <c r="N1603" s="46" t="n">
        <f aca="false">D1603*K1603</f>
        <v>3974400</v>
      </c>
      <c r="O1603" s="46" t="n">
        <f aca="false">D1603*L1603</f>
        <v>7013952</v>
      </c>
      <c r="P1603" s="42" t="str">
        <f aca="false">TRIM(IF(N(E1603)&lt;=0,"택가보정 ","")&amp;IF(N(F1603)&lt;=0,"원가보정 ","")&amp;IF(AND(B1603&lt;&gt;"CN",N(H1603)&lt;=0),"공급가보정 ","")&amp;IF(AND(B1603="CN",N(I1603)&lt;=0),"중국공급가=원가+마진 ",""))</f>
        <v/>
      </c>
      <c r="Q1603" s="47" t="n">
        <f aca="false">IF(SUMIFS($W:$W,$A:$A,A1603,$C:$C,C1603)=0,0,SUMIFS(RAW_판매펀칭!$K:$K,RAW_판매펀칭!$P:$P,A1603,RAW_판매펀칭!$I:$I,C1603)*W1603/SUMIFS($W:$W,$A:$A,A1603,$C:$C,C1603))</f>
        <v>432</v>
      </c>
      <c r="R1603" s="47" t="n">
        <f aca="false">IF(OR(A1603="500",A1603="800",A1603="810"),0,MAX(W1603-Q1603,0))</f>
        <v>0</v>
      </c>
      <c r="S1603" s="47" t="n">
        <f aca="false">R1603*L1603</f>
        <v>0</v>
      </c>
      <c r="T1603" s="47" t="n">
        <f aca="false">R1603*J1603</f>
        <v>0</v>
      </c>
      <c r="U1603" s="47" t="n">
        <f aca="false">R1603*K1603</f>
        <v>0</v>
      </c>
      <c r="V1603" s="0" t="str">
        <f aca="false">IF(COUNTIFS($A$2:A1603,A1603,$C$2:C1603,C1603,$D$2:D1603,D1603)&gt;1,"중복","")</f>
        <v/>
      </c>
      <c r="W1603" s="0" t="n">
        <f aca="false">IF(V1603="중복",0,N(D1603))</f>
        <v>432</v>
      </c>
      <c r="X1603" s="0" t="n">
        <f aca="false">IF(COUNTIFS($A$2:A1603,A1603,$C$2:C1603,C1603)=1,ABS(SUMIFS(RAW_발주!$D:$D,RAW_발주!$C:$C,A1603,RAW_발주!$A:$A,C1603)-SUMIFS($W:$W,$A:$A,A1603,$C:$C,C1603)),0)</f>
        <v>0</v>
      </c>
    </row>
    <row r="1604" customFormat="false" ht="15" hidden="false" customHeight="true" outlineLevel="0" collapsed="false">
      <c r="A1604" s="45" t="s">
        <v>1664</v>
      </c>
      <c r="B1604" s="42" t="str">
        <f aca="false">IF(A1604="100","HK",IF(A1604="200","CN",IF(A1604="300","TW","홀세일")))</f>
        <v>홀세일</v>
      </c>
      <c r="C1604" s="45" t="s">
        <v>1715</v>
      </c>
      <c r="D1604" s="46" t="n">
        <v>65</v>
      </c>
      <c r="E1604" s="46" t="n">
        <v>49000</v>
      </c>
      <c r="F1604" s="46" t="n">
        <v>12474</v>
      </c>
      <c r="G1604" s="42" t="n">
        <v>3.23</v>
      </c>
      <c r="H1604" s="42" t="n">
        <v>12.3</v>
      </c>
      <c r="I1604" s="42" t="n">
        <v>0</v>
      </c>
      <c r="J1604" s="46" t="n">
        <f aca="false">IF(N(E1604)&gt;0,E1604,IF(N(F1604)&gt;0,F1604*요약!$F$27,0))</f>
        <v>49000</v>
      </c>
      <c r="K1604" s="46" t="n">
        <f aca="false">IF(N(F1604)&gt;0,F1604,IF(N(E1604)&gt;0,E1604/요약!$F$27,0))</f>
        <v>12474</v>
      </c>
      <c r="L1604" s="46" t="n">
        <f aca="false">IF(B1604="CN",IF(N(I1604)&gt;0,I1604*요약!$G$27,K1604*(1+요약!$E$27)),IF(N(H1604)&gt;0,H1604*요약!$G$27,J1604*요약!$D$27))</f>
        <v>16236</v>
      </c>
      <c r="M1604" s="46" t="n">
        <f aca="false">D1604*J1604</f>
        <v>3185000</v>
      </c>
      <c r="N1604" s="46" t="n">
        <f aca="false">D1604*K1604</f>
        <v>810810</v>
      </c>
      <c r="O1604" s="46" t="n">
        <f aca="false">D1604*L1604</f>
        <v>1055340</v>
      </c>
      <c r="P1604" s="42" t="str">
        <f aca="false">TRIM(IF(N(E1604)&lt;=0,"택가보정 ","")&amp;IF(N(F1604)&lt;=0,"원가보정 ","")&amp;IF(AND(B1604&lt;&gt;"CN",N(H1604)&lt;=0),"공급가보정 ","")&amp;IF(AND(B1604="CN",N(I1604)&lt;=0),"중국공급가=원가+마진 ",""))</f>
        <v/>
      </c>
      <c r="Q1604" s="47" t="n">
        <f aca="false">IF(SUMIFS($W:$W,$A:$A,A1604,$C:$C,C1604)=0,0,SUMIFS(RAW_판매펀칭!$K:$K,RAW_판매펀칭!$P:$P,A1604,RAW_판매펀칭!$I:$I,C1604)*W1604/SUMIFS($W:$W,$A:$A,A1604,$C:$C,C1604))</f>
        <v>0</v>
      </c>
      <c r="R1604" s="47" t="n">
        <f aca="false">IF(OR(A1604="500",A1604="800",A1604="810"),0,MAX(W1604-Q1604,0))</f>
        <v>0</v>
      </c>
      <c r="S1604" s="47" t="n">
        <f aca="false">R1604*L1604</f>
        <v>0</v>
      </c>
      <c r="T1604" s="47" t="n">
        <f aca="false">R1604*J1604</f>
        <v>0</v>
      </c>
      <c r="U1604" s="47" t="n">
        <f aca="false">R1604*K1604</f>
        <v>0</v>
      </c>
      <c r="V1604" s="0" t="str">
        <f aca="false">IF(COUNTIFS($A$2:A1604,A1604,$C$2:C1604,C1604,$D$2:D1604,D1604)&gt;1,"중복","")</f>
        <v/>
      </c>
      <c r="W1604" s="0" t="n">
        <f aca="false">IF(V1604="중복",0,N(D1604))</f>
        <v>65</v>
      </c>
      <c r="X1604" s="0" t="n">
        <f aca="false">IF(COUNTIFS($A$2:A1604,A1604,$C$2:C1604,C1604)=1,ABS(SUMIFS(RAW_발주!$D:$D,RAW_발주!$C:$C,A1604,RAW_발주!$A:$A,C1604)-SUMIFS($W:$W,$A:$A,A1604,$C:$C,C1604)),0)</f>
        <v>0</v>
      </c>
    </row>
    <row r="1605" customFormat="false" ht="15" hidden="false" customHeight="true" outlineLevel="0" collapsed="false">
      <c r="A1605" s="45" t="s">
        <v>1661</v>
      </c>
      <c r="B1605" s="42" t="str">
        <f aca="false">IF(A1605="100","HK",IF(A1605="200","CN",IF(A1605="300","TW","홀세일")))</f>
        <v>TW</v>
      </c>
      <c r="C1605" s="45" t="s">
        <v>656</v>
      </c>
      <c r="D1605" s="46" t="n">
        <v>180</v>
      </c>
      <c r="E1605" s="46" t="n">
        <v>39000</v>
      </c>
      <c r="F1605" s="46" t="n">
        <v>10488</v>
      </c>
      <c r="G1605" s="42" t="n">
        <v>3.31</v>
      </c>
      <c r="H1605" s="42" t="n">
        <v>9.8</v>
      </c>
      <c r="I1605" s="42" t="n">
        <v>0</v>
      </c>
      <c r="J1605" s="46" t="n">
        <f aca="false">IF(N(E1605)&gt;0,E1605,IF(N(F1605)&gt;0,F1605*요약!$F$27,0))</f>
        <v>39000</v>
      </c>
      <c r="K1605" s="46" t="n">
        <f aca="false">IF(N(F1605)&gt;0,F1605,IF(N(E1605)&gt;0,E1605/요약!$F$27,0))</f>
        <v>10488</v>
      </c>
      <c r="L1605" s="46" t="n">
        <f aca="false">IF(B1605="CN",IF(N(I1605)&gt;0,I1605*요약!$G$27,K1605*(1+요약!$E$27)),IF(N(H1605)&gt;0,H1605*요약!$G$27,J1605*요약!$D$27))</f>
        <v>12936</v>
      </c>
      <c r="M1605" s="46" t="n">
        <f aca="false">D1605*J1605</f>
        <v>7020000</v>
      </c>
      <c r="N1605" s="46" t="n">
        <f aca="false">D1605*K1605</f>
        <v>1887840</v>
      </c>
      <c r="O1605" s="46" t="n">
        <f aca="false">D1605*L1605</f>
        <v>2328480</v>
      </c>
      <c r="P1605" s="42" t="str">
        <f aca="false">TRIM(IF(N(E1605)&lt;=0,"택가보정 ","")&amp;IF(N(F1605)&lt;=0,"원가보정 ","")&amp;IF(AND(B1605&lt;&gt;"CN",N(H1605)&lt;=0),"공급가보정 ","")&amp;IF(AND(B1605="CN",N(I1605)&lt;=0),"중국공급가=원가+마진 ",""))</f>
        <v/>
      </c>
      <c r="Q1605" s="47" t="n">
        <f aca="false">IF(SUMIFS($W:$W,$A:$A,A1605,$C:$C,C1605)=0,0,SUMIFS(RAW_판매펀칭!$K:$K,RAW_판매펀칭!$P:$P,A1605,RAW_판매펀칭!$I:$I,C1605)*W1605/SUMIFS($W:$W,$A:$A,A1605,$C:$C,C1605))</f>
        <v>180</v>
      </c>
      <c r="R1605" s="47" t="n">
        <f aca="false">IF(OR(A1605="500",A1605="800",A1605="810"),0,MAX(W1605-Q1605,0))</f>
        <v>0</v>
      </c>
      <c r="S1605" s="47" t="n">
        <f aca="false">R1605*L1605</f>
        <v>0</v>
      </c>
      <c r="T1605" s="47" t="n">
        <f aca="false">R1605*J1605</f>
        <v>0</v>
      </c>
      <c r="U1605" s="47" t="n">
        <f aca="false">R1605*K1605</f>
        <v>0</v>
      </c>
      <c r="V1605" s="0" t="str">
        <f aca="false">IF(COUNTIFS($A$2:A1605,A1605,$C$2:C1605,C1605,$D$2:D1605,D1605)&gt;1,"중복","")</f>
        <v/>
      </c>
      <c r="W1605" s="0" t="n">
        <f aca="false">IF(V1605="중복",0,N(D1605))</f>
        <v>180</v>
      </c>
      <c r="X1605" s="0" t="n">
        <f aca="false">IF(COUNTIFS($A$2:A1605,A1605,$C$2:C1605,C1605)=1,ABS(SUMIFS(RAW_발주!$D:$D,RAW_발주!$C:$C,A1605,RAW_발주!$A:$A,C1605)-SUMIFS($W:$W,$A:$A,A1605,$C:$C,C1605)),0)</f>
        <v>0</v>
      </c>
    </row>
    <row r="1606" customFormat="false" ht="15" hidden="false" customHeight="true" outlineLevel="0" collapsed="false">
      <c r="A1606" s="45" t="s">
        <v>1664</v>
      </c>
      <c r="B1606" s="42" t="str">
        <f aca="false">IF(A1606="100","HK",IF(A1606="200","CN",IF(A1606="300","TW","홀세일")))</f>
        <v>홀세일</v>
      </c>
      <c r="C1606" s="45" t="s">
        <v>656</v>
      </c>
      <c r="D1606" s="46" t="n">
        <v>110</v>
      </c>
      <c r="E1606" s="46" t="n">
        <v>39000</v>
      </c>
      <c r="F1606" s="46" t="n">
        <v>10488</v>
      </c>
      <c r="G1606" s="42" t="n">
        <v>3.31</v>
      </c>
      <c r="H1606" s="42" t="n">
        <v>9.8</v>
      </c>
      <c r="I1606" s="42" t="n">
        <v>0</v>
      </c>
      <c r="J1606" s="46" t="n">
        <f aca="false">IF(N(E1606)&gt;0,E1606,IF(N(F1606)&gt;0,F1606*요약!$F$27,0))</f>
        <v>39000</v>
      </c>
      <c r="K1606" s="46" t="n">
        <f aca="false">IF(N(F1606)&gt;0,F1606,IF(N(E1606)&gt;0,E1606/요약!$F$27,0))</f>
        <v>10488</v>
      </c>
      <c r="L1606" s="46" t="n">
        <f aca="false">IF(B1606="CN",IF(N(I1606)&gt;0,I1606*요약!$G$27,K1606*(1+요약!$E$27)),IF(N(H1606)&gt;0,H1606*요약!$G$27,J1606*요약!$D$27))</f>
        <v>12936</v>
      </c>
      <c r="M1606" s="46" t="n">
        <f aca="false">D1606*J1606</f>
        <v>4290000</v>
      </c>
      <c r="N1606" s="46" t="n">
        <f aca="false">D1606*K1606</f>
        <v>1153680</v>
      </c>
      <c r="O1606" s="46" t="n">
        <f aca="false">D1606*L1606</f>
        <v>1422960</v>
      </c>
      <c r="P1606" s="42" t="str">
        <f aca="false">TRIM(IF(N(E1606)&lt;=0,"택가보정 ","")&amp;IF(N(F1606)&lt;=0,"원가보정 ","")&amp;IF(AND(B1606&lt;&gt;"CN",N(H1606)&lt;=0),"공급가보정 ","")&amp;IF(AND(B1606="CN",N(I1606)&lt;=0),"중국공급가=원가+마진 ",""))</f>
        <v/>
      </c>
      <c r="Q1606" s="47" t="n">
        <f aca="false">IF(SUMIFS($W:$W,$A:$A,A1606,$C:$C,C1606)=0,0,SUMIFS(RAW_판매펀칭!$K:$K,RAW_판매펀칭!$P:$P,A1606,RAW_판매펀칭!$I:$I,C1606)*W1606/SUMIFS($W:$W,$A:$A,A1606,$C:$C,C1606))</f>
        <v>0</v>
      </c>
      <c r="R1606" s="47" t="n">
        <f aca="false">IF(OR(A1606="500",A1606="800",A1606="810"),0,MAX(W1606-Q1606,0))</f>
        <v>0</v>
      </c>
      <c r="S1606" s="47" t="n">
        <f aca="false">R1606*L1606</f>
        <v>0</v>
      </c>
      <c r="T1606" s="47" t="n">
        <f aca="false">R1606*J1606</f>
        <v>0</v>
      </c>
      <c r="U1606" s="47" t="n">
        <f aca="false">R1606*K1606</f>
        <v>0</v>
      </c>
      <c r="V1606" s="0" t="str">
        <f aca="false">IF(COUNTIFS($A$2:A1606,A1606,$C$2:C1606,C1606,$D$2:D1606,D1606)&gt;1,"중복","")</f>
        <v/>
      </c>
      <c r="W1606" s="0" t="n">
        <f aca="false">IF(V1606="중복",0,N(D1606))</f>
        <v>110</v>
      </c>
      <c r="X1606" s="0" t="n">
        <f aca="false">IF(COUNTIFS($A$2:A1606,A1606,$C$2:C1606,C1606)=1,ABS(SUMIFS(RAW_발주!$D:$D,RAW_발주!$C:$C,A1606,RAW_발주!$A:$A,C1606)-SUMIFS($W:$W,$A:$A,A1606,$C:$C,C1606)),0)</f>
        <v>0</v>
      </c>
    </row>
    <row r="1607" customFormat="false" ht="15" hidden="false" customHeight="true" outlineLevel="0" collapsed="false">
      <c r="A1607" s="45" t="s">
        <v>1659</v>
      </c>
      <c r="B1607" s="42" t="str">
        <f aca="false">IF(A1607="100","HK",IF(A1607="200","CN",IF(A1607="300","TW","홀세일")))</f>
        <v>HK</v>
      </c>
      <c r="C1607" s="45" t="s">
        <v>658</v>
      </c>
      <c r="D1607" s="46" t="n">
        <v>260</v>
      </c>
      <c r="E1607" s="46" t="n">
        <v>139000</v>
      </c>
      <c r="F1607" s="46" t="n">
        <v>34000</v>
      </c>
      <c r="G1607" s="42" t="n">
        <v>3.4</v>
      </c>
      <c r="H1607" s="42" t="n">
        <v>40.1</v>
      </c>
      <c r="J1607" s="46" t="n">
        <f aca="false">IF(N(E1607)&gt;0,E1607,IF(N(F1607)&gt;0,F1607*요약!$F$27,0))</f>
        <v>139000</v>
      </c>
      <c r="K1607" s="46" t="n">
        <f aca="false">IF(N(F1607)&gt;0,F1607,IF(N(E1607)&gt;0,E1607/요약!$F$27,0))</f>
        <v>34000</v>
      </c>
      <c r="L1607" s="46" t="n">
        <f aca="false">IF(B1607="CN",IF(N(I1607)&gt;0,I1607*요약!$G$27,K1607*(1+요약!$E$27)),IF(N(H1607)&gt;0,H1607*요약!$G$27,J1607*요약!$D$27))</f>
        <v>52932</v>
      </c>
      <c r="M1607" s="46" t="n">
        <f aca="false">D1607*J1607</f>
        <v>36140000</v>
      </c>
      <c r="N1607" s="46" t="n">
        <f aca="false">D1607*K1607</f>
        <v>8840000</v>
      </c>
      <c r="O1607" s="46" t="n">
        <f aca="false">D1607*L1607</f>
        <v>13762320</v>
      </c>
      <c r="P1607" s="42" t="str">
        <f aca="false">TRIM(IF(N(E1607)&lt;=0,"택가보정 ","")&amp;IF(N(F1607)&lt;=0,"원가보정 ","")&amp;IF(AND(B1607&lt;&gt;"CN",N(H1607)&lt;=0),"공급가보정 ","")&amp;IF(AND(B1607="CN",N(I1607)&lt;=0),"중국공급가=원가+마진 ",""))</f>
        <v/>
      </c>
      <c r="Q1607" s="47" t="n">
        <f aca="false">IF(SUMIFS($W:$W,$A:$A,A1607,$C:$C,C1607)=0,0,SUMIFS(RAW_판매펀칭!$K:$K,RAW_판매펀칭!$P:$P,A1607,RAW_판매펀칭!$I:$I,C1607)*W1607/SUMIFS($W:$W,$A:$A,A1607,$C:$C,C1607))</f>
        <v>260</v>
      </c>
      <c r="R1607" s="47" t="n">
        <f aca="false">IF(OR(A1607="500",A1607="800",A1607="810"),0,MAX(W1607-Q1607,0))</f>
        <v>0</v>
      </c>
      <c r="S1607" s="47" t="n">
        <f aca="false">R1607*L1607</f>
        <v>0</v>
      </c>
      <c r="T1607" s="47" t="n">
        <f aca="false">R1607*J1607</f>
        <v>0</v>
      </c>
      <c r="U1607" s="47" t="n">
        <f aca="false">R1607*K1607</f>
        <v>0</v>
      </c>
      <c r="V1607" s="0" t="str">
        <f aca="false">IF(COUNTIFS($A$2:A1607,A1607,$C$2:C1607,C1607,$D$2:D1607,D1607)&gt;1,"중복","")</f>
        <v/>
      </c>
      <c r="W1607" s="0" t="n">
        <f aca="false">IF(V1607="중복",0,N(D1607))</f>
        <v>260</v>
      </c>
      <c r="X1607" s="0" t="n">
        <f aca="false">IF(COUNTIFS($A$2:A1607,A1607,$C$2:C1607,C1607)=1,ABS(SUMIFS(RAW_발주!$D:$D,RAW_발주!$C:$C,A1607,RAW_발주!$A:$A,C1607)-SUMIFS($W:$W,$A:$A,A1607,$C:$C,C1607)),0)</f>
        <v>0</v>
      </c>
    </row>
    <row r="1608" customFormat="false" ht="15.75" hidden="false" customHeight="true" outlineLevel="0" collapsed="false">
      <c r="A1608" s="45" t="s">
        <v>1660</v>
      </c>
      <c r="B1608" s="42" t="str">
        <f aca="false">IF(A1608="100","HK",IF(A1608="200","CN",IF(A1608="300","TW","홀세일")))</f>
        <v>CN</v>
      </c>
      <c r="C1608" s="45" t="s">
        <v>658</v>
      </c>
      <c r="D1608" s="46" t="n">
        <v>517</v>
      </c>
      <c r="E1608" s="46" t="n">
        <v>139000</v>
      </c>
      <c r="F1608" s="46" t="n">
        <v>34000</v>
      </c>
      <c r="G1608" s="42" t="n">
        <v>3.4</v>
      </c>
      <c r="H1608" s="42" t="n">
        <v>40.1</v>
      </c>
      <c r="J1608" s="46" t="n">
        <f aca="false">IF(N(E1608)&gt;0,E1608,IF(N(F1608)&gt;0,F1608*요약!$F$27,0))</f>
        <v>139000</v>
      </c>
      <c r="K1608" s="46" t="n">
        <f aca="false">IF(N(F1608)&gt;0,F1608,IF(N(E1608)&gt;0,E1608/요약!$F$27,0))</f>
        <v>34000</v>
      </c>
      <c r="L1608" s="46" t="n">
        <f aca="false">IF(B1608="CN",IF(N(I1608)&gt;0,I1608*요약!$G$27,K1608*(1+요약!$E$27)),IF(N(H1608)&gt;0,H1608*요약!$G$27,J1608*요약!$D$27))</f>
        <v>35700</v>
      </c>
      <c r="M1608" s="46" t="n">
        <f aca="false">D1608*J1608</f>
        <v>71863000</v>
      </c>
      <c r="N1608" s="46" t="n">
        <f aca="false">D1608*K1608</f>
        <v>17578000</v>
      </c>
      <c r="O1608" s="46" t="n">
        <f aca="false">D1608*L1608</f>
        <v>18456900</v>
      </c>
      <c r="P1608" s="42" t="str">
        <f aca="false">TRIM(IF(N(E1608)&lt;=0,"택가보정 ","")&amp;IF(N(F1608)&lt;=0,"원가보정 ","")&amp;IF(AND(B1608&lt;&gt;"CN",N(H1608)&lt;=0),"공급가보정 ","")&amp;IF(AND(B1608="CN",N(I1608)&lt;=0),"중국공급가=원가+마진 ",""))</f>
        <v>중국공급가=원가+마진</v>
      </c>
      <c r="Q1608" s="47" t="n">
        <f aca="false">IF(SUMIFS($W:$W,$A:$A,A1608,$C:$C,C1608)=0,0,SUMIFS(RAW_판매펀칭!$K:$K,RAW_판매펀칭!$P:$P,A1608,RAW_판매펀칭!$I:$I,C1608)*W1608/SUMIFS($W:$W,$A:$A,A1608,$C:$C,C1608))</f>
        <v>515</v>
      </c>
      <c r="R1608" s="47" t="n">
        <f aca="false">IF(OR(A1608="500",A1608="800",A1608="810"),0,MAX(W1608-Q1608,0))</f>
        <v>2</v>
      </c>
      <c r="S1608" s="47" t="n">
        <f aca="false">R1608*L1608</f>
        <v>71400</v>
      </c>
      <c r="T1608" s="47" t="n">
        <f aca="false">R1608*J1608</f>
        <v>278000</v>
      </c>
      <c r="U1608" s="47" t="n">
        <f aca="false">R1608*K1608</f>
        <v>68000</v>
      </c>
      <c r="V1608" s="0" t="str">
        <f aca="false">IF(COUNTIFS($A$2:A1608,A1608,$C$2:C1608,C1608,$D$2:D1608,D1608)&gt;1,"중복","")</f>
        <v/>
      </c>
      <c r="W1608" s="0" t="n">
        <f aca="false">IF(V1608="중복",0,N(D1608))</f>
        <v>517</v>
      </c>
      <c r="X1608" s="0" t="n">
        <f aca="false">IF(COUNTIFS($A$2:A1608,A1608,$C$2:C1608,C1608)=1,ABS(SUMIFS(RAW_발주!$D:$D,RAW_발주!$C:$C,A1608,RAW_발주!$A:$A,C1608)-SUMIFS($W:$W,$A:$A,A1608,$C:$C,C1608)),0)</f>
        <v>0</v>
      </c>
    </row>
    <row r="1609" customFormat="false" ht="15.75" hidden="false" customHeight="true" outlineLevel="0" collapsed="false">
      <c r="A1609" s="45" t="s">
        <v>1660</v>
      </c>
      <c r="B1609" s="42" t="str">
        <f aca="false">IF(A1609="100","HK",IF(A1609="200","CN",IF(A1609="300","TW","홀세일")))</f>
        <v>CN</v>
      </c>
      <c r="C1609" s="45" t="s">
        <v>658</v>
      </c>
      <c r="D1609" s="46" t="n">
        <v>517</v>
      </c>
      <c r="E1609" s="46" t="n">
        <v>139000</v>
      </c>
      <c r="F1609" s="46" t="n">
        <v>34000</v>
      </c>
      <c r="G1609" s="42" t="n">
        <v>3.4</v>
      </c>
      <c r="H1609" s="42" t="n">
        <v>40.1</v>
      </c>
      <c r="J1609" s="46" t="n">
        <f aca="false">IF(N(E1609)&gt;0,E1609,IF(N(F1609)&gt;0,F1609*요약!$F$27,0))</f>
        <v>139000</v>
      </c>
      <c r="K1609" s="46" t="n">
        <f aca="false">IF(N(F1609)&gt;0,F1609,IF(N(E1609)&gt;0,E1609/요약!$F$27,0))</f>
        <v>34000</v>
      </c>
      <c r="L1609" s="46" t="n">
        <f aca="false">IF(B1609="CN",IF(N(I1609)&gt;0,I1609*요약!$G$27,K1609*(1+요약!$E$27)),IF(N(H1609)&gt;0,H1609*요약!$G$27,J1609*요약!$D$27))</f>
        <v>35700</v>
      </c>
      <c r="M1609" s="46" t="n">
        <f aca="false">D1609*J1609</f>
        <v>71863000</v>
      </c>
      <c r="N1609" s="46" t="n">
        <f aca="false">D1609*K1609</f>
        <v>17578000</v>
      </c>
      <c r="O1609" s="46" t="n">
        <f aca="false">D1609*L1609</f>
        <v>18456900</v>
      </c>
      <c r="P1609" s="42" t="str">
        <f aca="false">TRIM(IF(N(E1609)&lt;=0,"택가보정 ","")&amp;IF(N(F1609)&lt;=0,"원가보정 ","")&amp;IF(AND(B1609&lt;&gt;"CN",N(H1609)&lt;=0),"공급가보정 ","")&amp;IF(AND(B1609="CN",N(I1609)&lt;=0),"중국공급가=원가+마진 ",""))</f>
        <v>중국공급가=원가+마진</v>
      </c>
      <c r="Q1609" s="47" t="n">
        <f aca="false">IF(SUMIFS($W:$W,$A:$A,A1609,$C:$C,C1609)=0,0,SUMIFS(RAW_판매펀칭!$K:$K,RAW_판매펀칭!$P:$P,A1609,RAW_판매펀칭!$I:$I,C1609)*W1609/SUMIFS($W:$W,$A:$A,A1609,$C:$C,C1609))</f>
        <v>0</v>
      </c>
      <c r="R1609" s="47" t="n">
        <f aca="false">IF(OR(A1609="500",A1609="800",A1609="810"),0,MAX(W1609-Q1609,0))</f>
        <v>0</v>
      </c>
      <c r="S1609" s="47" t="n">
        <f aca="false">R1609*L1609</f>
        <v>0</v>
      </c>
      <c r="T1609" s="47" t="n">
        <f aca="false">R1609*J1609</f>
        <v>0</v>
      </c>
      <c r="U1609" s="47" t="n">
        <f aca="false">R1609*K1609</f>
        <v>0</v>
      </c>
      <c r="V1609" s="0" t="str">
        <f aca="false">IF(COUNTIFS($A$2:A1609,A1609,$C$2:C1609,C1609,$D$2:D1609,D1609)&gt;1,"중복","")</f>
        <v>중복</v>
      </c>
      <c r="W1609" s="0" t="n">
        <f aca="false">IF(V1609="중복",0,N(D1609))</f>
        <v>0</v>
      </c>
      <c r="X1609" s="0" t="n">
        <f aca="false">IF(COUNTIFS($A$2:A1609,A1609,$C$2:C1609,C1609)=1,ABS(SUMIFS(RAW_발주!$D:$D,RAW_발주!$C:$C,A1609,RAW_발주!$A:$A,C1609)-SUMIFS($W:$W,$A:$A,A1609,$C:$C,C1609)),0)</f>
        <v>0</v>
      </c>
    </row>
    <row r="1610" customFormat="false" ht="15" hidden="false" customHeight="true" outlineLevel="0" collapsed="false">
      <c r="A1610" s="45" t="s">
        <v>1661</v>
      </c>
      <c r="B1610" s="42" t="str">
        <f aca="false">IF(A1610="100","HK",IF(A1610="200","CN",IF(A1610="300","TW","홀세일")))</f>
        <v>TW</v>
      </c>
      <c r="C1610" s="45" t="s">
        <v>658</v>
      </c>
      <c r="D1610" s="46" t="n">
        <v>950</v>
      </c>
      <c r="E1610" s="46" t="n">
        <v>139000</v>
      </c>
      <c r="F1610" s="46" t="n">
        <v>34000</v>
      </c>
      <c r="G1610" s="42" t="n">
        <v>3.4</v>
      </c>
      <c r="H1610" s="42" t="n">
        <v>40.1</v>
      </c>
      <c r="J1610" s="46" t="n">
        <f aca="false">IF(N(E1610)&gt;0,E1610,IF(N(F1610)&gt;0,F1610*요약!$F$27,0))</f>
        <v>139000</v>
      </c>
      <c r="K1610" s="46" t="n">
        <f aca="false">IF(N(F1610)&gt;0,F1610,IF(N(E1610)&gt;0,E1610/요약!$F$27,0))</f>
        <v>34000</v>
      </c>
      <c r="L1610" s="46" t="n">
        <f aca="false">IF(B1610="CN",IF(N(I1610)&gt;0,I1610*요약!$G$27,K1610*(1+요약!$E$27)),IF(N(H1610)&gt;0,H1610*요약!$G$27,J1610*요약!$D$27))</f>
        <v>52932</v>
      </c>
      <c r="M1610" s="46" t="n">
        <f aca="false">D1610*J1610</f>
        <v>132050000</v>
      </c>
      <c r="N1610" s="46" t="n">
        <f aca="false">D1610*K1610</f>
        <v>32300000</v>
      </c>
      <c r="O1610" s="46" t="n">
        <f aca="false">D1610*L1610</f>
        <v>50285400</v>
      </c>
      <c r="P1610" s="42" t="str">
        <f aca="false">TRIM(IF(N(E1610)&lt;=0,"택가보정 ","")&amp;IF(N(F1610)&lt;=0,"원가보정 ","")&amp;IF(AND(B1610&lt;&gt;"CN",N(H1610)&lt;=0),"공급가보정 ","")&amp;IF(AND(B1610="CN",N(I1610)&lt;=0),"중국공급가=원가+마진 ",""))</f>
        <v/>
      </c>
      <c r="Q1610" s="47" t="n">
        <f aca="false">IF(SUMIFS($W:$W,$A:$A,A1610,$C:$C,C1610)=0,0,SUMIFS(RAW_판매펀칭!$K:$K,RAW_판매펀칭!$P:$P,A1610,RAW_판매펀칭!$I:$I,C1610)*W1610/SUMIFS($W:$W,$A:$A,A1610,$C:$C,C1610))</f>
        <v>950</v>
      </c>
      <c r="R1610" s="47" t="n">
        <f aca="false">IF(OR(A1610="500",A1610="800",A1610="810"),0,MAX(W1610-Q1610,0))</f>
        <v>0</v>
      </c>
      <c r="S1610" s="47" t="n">
        <f aca="false">R1610*L1610</f>
        <v>0</v>
      </c>
      <c r="T1610" s="47" t="n">
        <f aca="false">R1610*J1610</f>
        <v>0</v>
      </c>
      <c r="U1610" s="47" t="n">
        <f aca="false">R1610*K1610</f>
        <v>0</v>
      </c>
      <c r="V1610" s="0" t="str">
        <f aca="false">IF(COUNTIFS($A$2:A1610,A1610,$C$2:C1610,C1610,$D$2:D1610,D1610)&gt;1,"중복","")</f>
        <v/>
      </c>
      <c r="W1610" s="0" t="n">
        <f aca="false">IF(V1610="중복",0,N(D1610))</f>
        <v>950</v>
      </c>
      <c r="X1610" s="0" t="n">
        <f aca="false">IF(COUNTIFS($A$2:A1610,A1610,$C$2:C1610,C1610)=1,ABS(SUMIFS(RAW_발주!$D:$D,RAW_발주!$C:$C,A1610,RAW_발주!$A:$A,C1610)-SUMIFS($W:$W,$A:$A,A1610,$C:$C,C1610)),0)</f>
        <v>0</v>
      </c>
    </row>
    <row r="1611" customFormat="false" ht="15" hidden="false" customHeight="true" outlineLevel="0" collapsed="false">
      <c r="A1611" s="45" t="s">
        <v>1661</v>
      </c>
      <c r="B1611" s="42" t="str">
        <f aca="false">IF(A1611="100","HK",IF(A1611="200","CN",IF(A1611="300","TW","홀세일")))</f>
        <v>TW</v>
      </c>
      <c r="C1611" s="45" t="s">
        <v>658</v>
      </c>
      <c r="D1611" s="46" t="n">
        <v>950</v>
      </c>
      <c r="E1611" s="46" t="n">
        <v>139000</v>
      </c>
      <c r="F1611" s="46" t="n">
        <v>34000</v>
      </c>
      <c r="G1611" s="42" t="n">
        <v>3.4</v>
      </c>
      <c r="H1611" s="42" t="n">
        <v>40.1</v>
      </c>
      <c r="J1611" s="46" t="n">
        <f aca="false">IF(N(E1611)&gt;0,E1611,IF(N(F1611)&gt;0,F1611*요약!$F$27,0))</f>
        <v>139000</v>
      </c>
      <c r="K1611" s="46" t="n">
        <f aca="false">IF(N(F1611)&gt;0,F1611,IF(N(E1611)&gt;0,E1611/요약!$F$27,0))</f>
        <v>34000</v>
      </c>
      <c r="L1611" s="46" t="n">
        <f aca="false">IF(B1611="CN",IF(N(I1611)&gt;0,I1611*요약!$G$27,K1611*(1+요약!$E$27)),IF(N(H1611)&gt;0,H1611*요약!$G$27,J1611*요약!$D$27))</f>
        <v>52932</v>
      </c>
      <c r="M1611" s="46" t="n">
        <f aca="false">D1611*J1611</f>
        <v>132050000</v>
      </c>
      <c r="N1611" s="46" t="n">
        <f aca="false">D1611*K1611</f>
        <v>32300000</v>
      </c>
      <c r="O1611" s="46" t="n">
        <f aca="false">D1611*L1611</f>
        <v>50285400</v>
      </c>
      <c r="P1611" s="42" t="str">
        <f aca="false">TRIM(IF(N(E1611)&lt;=0,"택가보정 ","")&amp;IF(N(F1611)&lt;=0,"원가보정 ","")&amp;IF(AND(B1611&lt;&gt;"CN",N(H1611)&lt;=0),"공급가보정 ","")&amp;IF(AND(B1611="CN",N(I1611)&lt;=0),"중국공급가=원가+마진 ",""))</f>
        <v/>
      </c>
      <c r="Q1611" s="47" t="n">
        <f aca="false">IF(SUMIFS($W:$W,$A:$A,A1611,$C:$C,C1611)=0,0,SUMIFS(RAW_판매펀칭!$K:$K,RAW_판매펀칭!$P:$P,A1611,RAW_판매펀칭!$I:$I,C1611)*W1611/SUMIFS($W:$W,$A:$A,A1611,$C:$C,C1611))</f>
        <v>0</v>
      </c>
      <c r="R1611" s="47" t="n">
        <f aca="false">IF(OR(A1611="500",A1611="800",A1611="810"),0,MAX(W1611-Q1611,0))</f>
        <v>0</v>
      </c>
      <c r="S1611" s="47" t="n">
        <f aca="false">R1611*L1611</f>
        <v>0</v>
      </c>
      <c r="T1611" s="47" t="n">
        <f aca="false">R1611*J1611</f>
        <v>0</v>
      </c>
      <c r="U1611" s="47" t="n">
        <f aca="false">R1611*K1611</f>
        <v>0</v>
      </c>
      <c r="V1611" s="0" t="str">
        <f aca="false">IF(COUNTIFS($A$2:A1611,A1611,$C$2:C1611,C1611,$D$2:D1611,D1611)&gt;1,"중복","")</f>
        <v>중복</v>
      </c>
      <c r="W1611" s="0" t="n">
        <f aca="false">IF(V1611="중복",0,N(D1611))</f>
        <v>0</v>
      </c>
      <c r="X1611" s="0" t="n">
        <f aca="false">IF(COUNTIFS($A$2:A1611,A1611,$C$2:C1611,C1611)=1,ABS(SUMIFS(RAW_발주!$D:$D,RAW_발주!$C:$C,A1611,RAW_발주!$A:$A,C1611)-SUMIFS($W:$W,$A:$A,A1611,$C:$C,C1611)),0)</f>
        <v>0</v>
      </c>
    </row>
    <row r="1612" customFormat="false" ht="15" hidden="false" customHeight="true" outlineLevel="0" collapsed="false">
      <c r="A1612" s="45" t="s">
        <v>1662</v>
      </c>
      <c r="B1612" s="42" t="str">
        <f aca="false">IF(A1612="100","HK",IF(A1612="200","CN",IF(A1612="300","TW","홀세일")))</f>
        <v>홀세일</v>
      </c>
      <c r="C1612" s="45" t="s">
        <v>658</v>
      </c>
      <c r="D1612" s="46" t="n">
        <v>30</v>
      </c>
      <c r="E1612" s="46" t="n">
        <v>139000</v>
      </c>
      <c r="F1612" s="46" t="n">
        <v>34000</v>
      </c>
      <c r="G1612" s="42" t="n">
        <v>3.4</v>
      </c>
      <c r="H1612" s="42" t="n">
        <v>40.1</v>
      </c>
      <c r="J1612" s="46" t="n">
        <f aca="false">IF(N(E1612)&gt;0,E1612,IF(N(F1612)&gt;0,F1612*요약!$F$27,0))</f>
        <v>139000</v>
      </c>
      <c r="K1612" s="46" t="n">
        <f aca="false">IF(N(F1612)&gt;0,F1612,IF(N(E1612)&gt;0,E1612/요약!$F$27,0))</f>
        <v>34000</v>
      </c>
      <c r="L1612" s="46" t="n">
        <f aca="false">IF(B1612="CN",IF(N(I1612)&gt;0,I1612*요약!$G$27,K1612*(1+요약!$E$27)),IF(N(H1612)&gt;0,H1612*요약!$G$27,J1612*요약!$D$27))</f>
        <v>52932</v>
      </c>
      <c r="M1612" s="46" t="n">
        <f aca="false">D1612*J1612</f>
        <v>4170000</v>
      </c>
      <c r="N1612" s="46" t="n">
        <f aca="false">D1612*K1612</f>
        <v>1020000</v>
      </c>
      <c r="O1612" s="46" t="n">
        <f aca="false">D1612*L1612</f>
        <v>1587960</v>
      </c>
      <c r="P1612" s="42" t="str">
        <f aca="false">TRIM(IF(N(E1612)&lt;=0,"택가보정 ","")&amp;IF(N(F1612)&lt;=0,"원가보정 ","")&amp;IF(AND(B1612&lt;&gt;"CN",N(H1612)&lt;=0),"공급가보정 ","")&amp;IF(AND(B1612="CN",N(I1612)&lt;=0),"중국공급가=원가+마진 ",""))</f>
        <v/>
      </c>
      <c r="Q1612" s="47" t="n">
        <f aca="false">IF(SUMIFS($W:$W,$A:$A,A1612,$C:$C,C1612)=0,0,SUMIFS(RAW_판매펀칭!$K:$K,RAW_판매펀칭!$P:$P,A1612,RAW_판매펀칭!$I:$I,C1612)*W1612/SUMIFS($W:$W,$A:$A,A1612,$C:$C,C1612))</f>
        <v>0</v>
      </c>
      <c r="R1612" s="47" t="n">
        <f aca="false">IF(OR(A1612="500",A1612="800",A1612="810"),0,MAX(W1612-Q1612,0))</f>
        <v>0</v>
      </c>
      <c r="S1612" s="47" t="n">
        <f aca="false">R1612*L1612</f>
        <v>0</v>
      </c>
      <c r="T1612" s="47" t="n">
        <f aca="false">R1612*J1612</f>
        <v>0</v>
      </c>
      <c r="U1612" s="47" t="n">
        <f aca="false">R1612*K1612</f>
        <v>0</v>
      </c>
      <c r="V1612" s="0" t="str">
        <f aca="false">IF(COUNTIFS($A$2:A1612,A1612,$C$2:C1612,C1612,$D$2:D1612,D1612)&gt;1,"중복","")</f>
        <v/>
      </c>
      <c r="W1612" s="0" t="n">
        <f aca="false">IF(V1612="중복",0,N(D1612))</f>
        <v>30</v>
      </c>
      <c r="X1612" s="0" t="n">
        <f aca="false">IF(COUNTIFS($A$2:A1612,A1612,$C$2:C1612,C1612)=1,ABS(SUMIFS(RAW_발주!$D:$D,RAW_발주!$C:$C,A1612,RAW_발주!$A:$A,C1612)-SUMIFS($W:$W,$A:$A,A1612,$C:$C,C1612)),0)</f>
        <v>0</v>
      </c>
    </row>
    <row r="1613" customFormat="false" ht="15" hidden="false" customHeight="true" outlineLevel="0" collapsed="false">
      <c r="A1613" s="45" t="s">
        <v>1659</v>
      </c>
      <c r="B1613" s="42" t="str">
        <f aca="false">IF(A1613="100","HK",IF(A1613="200","CN",IF(A1613="300","TW","홀세일")))</f>
        <v>HK</v>
      </c>
      <c r="C1613" s="45" t="s">
        <v>972</v>
      </c>
      <c r="D1613" s="46" t="n">
        <v>390</v>
      </c>
      <c r="E1613" s="46" t="n">
        <v>129000</v>
      </c>
      <c r="F1613" s="46" t="n">
        <v>31730</v>
      </c>
      <c r="G1613" s="42" t="n">
        <v>3.4</v>
      </c>
      <c r="H1613" s="42" t="n">
        <v>37.2</v>
      </c>
      <c r="J1613" s="46" t="n">
        <f aca="false">IF(N(E1613)&gt;0,E1613,IF(N(F1613)&gt;0,F1613*요약!$F$27,0))</f>
        <v>129000</v>
      </c>
      <c r="K1613" s="46" t="n">
        <f aca="false">IF(N(F1613)&gt;0,F1613,IF(N(E1613)&gt;0,E1613/요약!$F$27,0))</f>
        <v>31730</v>
      </c>
      <c r="L1613" s="46" t="n">
        <f aca="false">IF(B1613="CN",IF(N(I1613)&gt;0,I1613*요약!$G$27,K1613*(1+요약!$E$27)),IF(N(H1613)&gt;0,H1613*요약!$G$27,J1613*요약!$D$27))</f>
        <v>49104</v>
      </c>
      <c r="M1613" s="46" t="n">
        <f aca="false">D1613*J1613</f>
        <v>50310000</v>
      </c>
      <c r="N1613" s="46" t="n">
        <f aca="false">D1613*K1613</f>
        <v>12374700</v>
      </c>
      <c r="O1613" s="46" t="n">
        <f aca="false">D1613*L1613</f>
        <v>19150560</v>
      </c>
      <c r="P1613" s="42" t="str">
        <f aca="false">TRIM(IF(N(E1613)&lt;=0,"택가보정 ","")&amp;IF(N(F1613)&lt;=0,"원가보정 ","")&amp;IF(AND(B1613&lt;&gt;"CN",N(H1613)&lt;=0),"공급가보정 ","")&amp;IF(AND(B1613="CN",N(I1613)&lt;=0),"중국공급가=원가+마진 ",""))</f>
        <v/>
      </c>
      <c r="Q1613" s="47" t="n">
        <f aca="false">IF(SUMIFS($W:$W,$A:$A,A1613,$C:$C,C1613)=0,0,SUMIFS(RAW_판매펀칭!$K:$K,RAW_판매펀칭!$P:$P,A1613,RAW_판매펀칭!$I:$I,C1613)*W1613/SUMIFS($W:$W,$A:$A,A1613,$C:$C,C1613))</f>
        <v>390</v>
      </c>
      <c r="R1613" s="47" t="n">
        <f aca="false">IF(OR(A1613="500",A1613="800",A1613="810"),0,MAX(W1613-Q1613,0))</f>
        <v>0</v>
      </c>
      <c r="S1613" s="47" t="n">
        <f aca="false">R1613*L1613</f>
        <v>0</v>
      </c>
      <c r="T1613" s="47" t="n">
        <f aca="false">R1613*J1613</f>
        <v>0</v>
      </c>
      <c r="U1613" s="47" t="n">
        <f aca="false">R1613*K1613</f>
        <v>0</v>
      </c>
      <c r="V1613" s="0" t="str">
        <f aca="false">IF(COUNTIFS($A$2:A1613,A1613,$C$2:C1613,C1613,$D$2:D1613,D1613)&gt;1,"중복","")</f>
        <v/>
      </c>
      <c r="W1613" s="0" t="n">
        <f aca="false">IF(V1613="중복",0,N(D1613))</f>
        <v>390</v>
      </c>
      <c r="X1613" s="0" t="n">
        <f aca="false">IF(COUNTIFS($A$2:A1613,A1613,$C$2:C1613,C1613)=1,ABS(SUMIFS(RAW_발주!$D:$D,RAW_발주!$C:$C,A1613,RAW_발주!$A:$A,C1613)-SUMIFS($W:$W,$A:$A,A1613,$C:$C,C1613)),0)</f>
        <v>0</v>
      </c>
    </row>
    <row r="1614" customFormat="false" ht="15" hidden="false" customHeight="true" outlineLevel="0" collapsed="false">
      <c r="A1614" s="45" t="s">
        <v>1667</v>
      </c>
      <c r="B1614" s="42" t="str">
        <f aca="false">IF(A1614="100","HK",IF(A1614="200","CN",IF(A1614="300","TW","홀세일")))</f>
        <v>홀세일</v>
      </c>
      <c r="C1614" s="45" t="s">
        <v>1435</v>
      </c>
      <c r="D1614" s="46" t="n">
        <v>120</v>
      </c>
      <c r="E1614" s="46" t="n">
        <v>129000</v>
      </c>
      <c r="F1614" s="46" t="n">
        <v>34500</v>
      </c>
      <c r="G1614" s="42" t="n">
        <v>3.66</v>
      </c>
      <c r="H1614" s="42" t="n">
        <v>37.2</v>
      </c>
      <c r="J1614" s="46" t="n">
        <f aca="false">IF(N(E1614)&gt;0,E1614,IF(N(F1614)&gt;0,F1614*요약!$F$27,0))</f>
        <v>129000</v>
      </c>
      <c r="K1614" s="46" t="n">
        <f aca="false">IF(N(F1614)&gt;0,F1614,IF(N(E1614)&gt;0,E1614/요약!$F$27,0))</f>
        <v>34500</v>
      </c>
      <c r="L1614" s="46" t="n">
        <f aca="false">IF(B1614="CN",IF(N(I1614)&gt;0,I1614*요약!$G$27,K1614*(1+요약!$E$27)),IF(N(H1614)&gt;0,H1614*요약!$G$27,J1614*요약!$D$27))</f>
        <v>49104</v>
      </c>
      <c r="M1614" s="46" t="n">
        <f aca="false">D1614*J1614</f>
        <v>15480000</v>
      </c>
      <c r="N1614" s="46" t="n">
        <f aca="false">D1614*K1614</f>
        <v>4140000</v>
      </c>
      <c r="O1614" s="46" t="n">
        <f aca="false">D1614*L1614</f>
        <v>5892480</v>
      </c>
      <c r="P1614" s="42" t="str">
        <f aca="false">TRIM(IF(N(E1614)&lt;=0,"택가보정 ","")&amp;IF(N(F1614)&lt;=0,"원가보정 ","")&amp;IF(AND(B1614&lt;&gt;"CN",N(H1614)&lt;=0),"공급가보정 ","")&amp;IF(AND(B1614="CN",N(I1614)&lt;=0),"중국공급가=원가+마진 ",""))</f>
        <v/>
      </c>
      <c r="Q1614" s="47" t="n">
        <f aca="false">IF(SUMIFS($W:$W,$A:$A,A1614,$C:$C,C1614)=0,0,SUMIFS(RAW_판매펀칭!$K:$K,RAW_판매펀칭!$P:$P,A1614,RAW_판매펀칭!$I:$I,C1614)*W1614/SUMIFS($W:$W,$A:$A,A1614,$C:$C,C1614))</f>
        <v>120</v>
      </c>
      <c r="R1614" s="47" t="n">
        <f aca="false">IF(OR(A1614="500",A1614="800",A1614="810"),0,MAX(W1614-Q1614,0))</f>
        <v>0</v>
      </c>
      <c r="S1614" s="47" t="n">
        <f aca="false">R1614*L1614</f>
        <v>0</v>
      </c>
      <c r="T1614" s="47" t="n">
        <f aca="false">R1614*J1614</f>
        <v>0</v>
      </c>
      <c r="U1614" s="47" t="n">
        <f aca="false">R1614*K1614</f>
        <v>0</v>
      </c>
      <c r="V1614" s="0" t="str">
        <f aca="false">IF(COUNTIFS($A$2:A1614,A1614,$C$2:C1614,C1614,$D$2:D1614,D1614)&gt;1,"중복","")</f>
        <v/>
      </c>
      <c r="W1614" s="0" t="n">
        <f aca="false">IF(V1614="중복",0,N(D1614))</f>
        <v>120</v>
      </c>
      <c r="X1614" s="0" t="n">
        <f aca="false">IF(COUNTIFS($A$2:A1614,A1614,$C$2:C1614,C1614)=1,ABS(SUMIFS(RAW_발주!$D:$D,RAW_발주!$C:$C,A1614,RAW_발주!$A:$A,C1614)-SUMIFS($W:$W,$A:$A,A1614,$C:$C,C1614)),0)</f>
        <v>0</v>
      </c>
    </row>
    <row r="1615" customFormat="false" ht="15" hidden="false" customHeight="true" outlineLevel="0" collapsed="false">
      <c r="A1615" s="45" t="s">
        <v>1667</v>
      </c>
      <c r="B1615" s="42" t="str">
        <f aca="false">IF(A1615="100","HK",IF(A1615="200","CN",IF(A1615="300","TW","홀세일")))</f>
        <v>홀세일</v>
      </c>
      <c r="C1615" s="45" t="s">
        <v>1437</v>
      </c>
      <c r="D1615" s="46" t="n">
        <v>60</v>
      </c>
      <c r="E1615" s="46" t="n">
        <v>119000</v>
      </c>
      <c r="F1615" s="46" t="n">
        <v>32000</v>
      </c>
      <c r="G1615" s="42" t="n">
        <v>3.49</v>
      </c>
      <c r="H1615" s="42" t="n">
        <v>34.3</v>
      </c>
      <c r="J1615" s="46" t="n">
        <f aca="false">IF(N(E1615)&gt;0,E1615,IF(N(F1615)&gt;0,F1615*요약!$F$27,0))</f>
        <v>119000</v>
      </c>
      <c r="K1615" s="46" t="n">
        <f aca="false">IF(N(F1615)&gt;0,F1615,IF(N(E1615)&gt;0,E1615/요약!$F$27,0))</f>
        <v>32000</v>
      </c>
      <c r="L1615" s="46" t="n">
        <f aca="false">IF(B1615="CN",IF(N(I1615)&gt;0,I1615*요약!$G$27,K1615*(1+요약!$E$27)),IF(N(H1615)&gt;0,H1615*요약!$G$27,J1615*요약!$D$27))</f>
        <v>45276</v>
      </c>
      <c r="M1615" s="46" t="n">
        <f aca="false">D1615*J1615</f>
        <v>7140000</v>
      </c>
      <c r="N1615" s="46" t="n">
        <f aca="false">D1615*K1615</f>
        <v>1920000</v>
      </c>
      <c r="O1615" s="46" t="n">
        <f aca="false">D1615*L1615</f>
        <v>2716560</v>
      </c>
      <c r="P1615" s="42" t="str">
        <f aca="false">TRIM(IF(N(E1615)&lt;=0,"택가보정 ","")&amp;IF(N(F1615)&lt;=0,"원가보정 ","")&amp;IF(AND(B1615&lt;&gt;"CN",N(H1615)&lt;=0),"공급가보정 ","")&amp;IF(AND(B1615="CN",N(I1615)&lt;=0),"중국공급가=원가+마진 ",""))</f>
        <v/>
      </c>
      <c r="Q1615" s="47" t="n">
        <f aca="false">IF(SUMIFS($W:$W,$A:$A,A1615,$C:$C,C1615)=0,0,SUMIFS(RAW_판매펀칭!$K:$K,RAW_판매펀칭!$P:$P,A1615,RAW_판매펀칭!$I:$I,C1615)*W1615/SUMIFS($W:$W,$A:$A,A1615,$C:$C,C1615))</f>
        <v>60</v>
      </c>
      <c r="R1615" s="47" t="n">
        <f aca="false">IF(OR(A1615="500",A1615="800",A1615="810"),0,MAX(W1615-Q1615,0))</f>
        <v>0</v>
      </c>
      <c r="S1615" s="47" t="n">
        <f aca="false">R1615*L1615</f>
        <v>0</v>
      </c>
      <c r="T1615" s="47" t="n">
        <f aca="false">R1615*J1615</f>
        <v>0</v>
      </c>
      <c r="U1615" s="47" t="n">
        <f aca="false">R1615*K1615</f>
        <v>0</v>
      </c>
      <c r="V1615" s="0" t="str">
        <f aca="false">IF(COUNTIFS($A$2:A1615,A1615,$C$2:C1615,C1615,$D$2:D1615,D1615)&gt;1,"중복","")</f>
        <v/>
      </c>
      <c r="W1615" s="0" t="n">
        <f aca="false">IF(V1615="중복",0,N(D1615))</f>
        <v>60</v>
      </c>
      <c r="X1615" s="0" t="n">
        <f aca="false">IF(COUNTIFS($A$2:A1615,A1615,$C$2:C1615,C1615)=1,ABS(SUMIFS(RAW_발주!$D:$D,RAW_발주!$C:$C,A1615,RAW_발주!$A:$A,C1615)-SUMIFS($W:$W,$A:$A,A1615,$C:$C,C1615)),0)</f>
        <v>0</v>
      </c>
    </row>
    <row r="1616" customFormat="false" ht="15" hidden="false" customHeight="true" outlineLevel="0" collapsed="false">
      <c r="A1616" s="45" t="s">
        <v>1659</v>
      </c>
      <c r="B1616" s="42" t="str">
        <f aca="false">IF(A1616="100","HK",IF(A1616="200","CN",IF(A1616="300","TW","홀세일")))</f>
        <v>HK</v>
      </c>
      <c r="C1616" s="45" t="s">
        <v>974</v>
      </c>
      <c r="D1616" s="46" t="n">
        <v>190</v>
      </c>
      <c r="E1616" s="46" t="n">
        <v>119000</v>
      </c>
      <c r="F1616" s="46" t="n">
        <v>31200</v>
      </c>
      <c r="G1616" s="42" t="n">
        <v>3.4</v>
      </c>
      <c r="H1616" s="42" t="n">
        <v>34.3</v>
      </c>
      <c r="J1616" s="46" t="n">
        <f aca="false">IF(N(E1616)&gt;0,E1616,IF(N(F1616)&gt;0,F1616*요약!$F$27,0))</f>
        <v>119000</v>
      </c>
      <c r="K1616" s="46" t="n">
        <f aca="false">IF(N(F1616)&gt;0,F1616,IF(N(E1616)&gt;0,E1616/요약!$F$27,0))</f>
        <v>31200</v>
      </c>
      <c r="L1616" s="46" t="n">
        <f aca="false">IF(B1616="CN",IF(N(I1616)&gt;0,I1616*요약!$G$27,K1616*(1+요약!$E$27)),IF(N(H1616)&gt;0,H1616*요약!$G$27,J1616*요약!$D$27))</f>
        <v>45276</v>
      </c>
      <c r="M1616" s="46" t="n">
        <f aca="false">D1616*J1616</f>
        <v>22610000</v>
      </c>
      <c r="N1616" s="46" t="n">
        <f aca="false">D1616*K1616</f>
        <v>5928000</v>
      </c>
      <c r="O1616" s="46" t="n">
        <f aca="false">D1616*L1616</f>
        <v>8602440</v>
      </c>
      <c r="P1616" s="42" t="str">
        <f aca="false">TRIM(IF(N(E1616)&lt;=0,"택가보정 ","")&amp;IF(N(F1616)&lt;=0,"원가보정 ","")&amp;IF(AND(B1616&lt;&gt;"CN",N(H1616)&lt;=0),"공급가보정 ","")&amp;IF(AND(B1616="CN",N(I1616)&lt;=0),"중국공급가=원가+마진 ",""))</f>
        <v/>
      </c>
      <c r="Q1616" s="47" t="n">
        <f aca="false">IF(SUMIFS($W:$W,$A:$A,A1616,$C:$C,C1616)=0,0,SUMIFS(RAW_판매펀칭!$K:$K,RAW_판매펀칭!$P:$P,A1616,RAW_판매펀칭!$I:$I,C1616)*W1616/SUMIFS($W:$W,$A:$A,A1616,$C:$C,C1616))</f>
        <v>190</v>
      </c>
      <c r="R1616" s="47" t="n">
        <f aca="false">IF(OR(A1616="500",A1616="800",A1616="810"),0,MAX(W1616-Q1616,0))</f>
        <v>0</v>
      </c>
      <c r="S1616" s="47" t="n">
        <f aca="false">R1616*L1616</f>
        <v>0</v>
      </c>
      <c r="T1616" s="47" t="n">
        <f aca="false">R1616*J1616</f>
        <v>0</v>
      </c>
      <c r="U1616" s="47" t="n">
        <f aca="false">R1616*K1616</f>
        <v>0</v>
      </c>
      <c r="V1616" s="0" t="str">
        <f aca="false">IF(COUNTIFS($A$2:A1616,A1616,$C$2:C1616,C1616,$D$2:D1616,D1616)&gt;1,"중복","")</f>
        <v/>
      </c>
      <c r="W1616" s="0" t="n">
        <f aca="false">IF(V1616="중복",0,N(D1616))</f>
        <v>190</v>
      </c>
      <c r="X1616" s="0" t="n">
        <f aca="false">IF(COUNTIFS($A$2:A1616,A1616,$C$2:C1616,C1616)=1,ABS(SUMIFS(RAW_발주!$D:$D,RAW_발주!$C:$C,A1616,RAW_발주!$A:$A,C1616)-SUMIFS($W:$W,$A:$A,A1616,$C:$C,C1616)),0)</f>
        <v>0</v>
      </c>
    </row>
    <row r="1617" customFormat="false" ht="15" hidden="false" customHeight="true" outlineLevel="0" collapsed="false">
      <c r="A1617" s="45" t="s">
        <v>1667</v>
      </c>
      <c r="B1617" s="42" t="str">
        <f aca="false">IF(A1617="100","HK",IF(A1617="200","CN",IF(A1617="300","TW","홀세일")))</f>
        <v>홀세일</v>
      </c>
      <c r="C1617" s="45" t="s">
        <v>1439</v>
      </c>
      <c r="D1617" s="46" t="n">
        <v>62</v>
      </c>
      <c r="E1617" s="46" t="n">
        <v>139000</v>
      </c>
      <c r="F1617" s="46" t="n">
        <v>35500</v>
      </c>
      <c r="G1617" s="42" t="n">
        <v>3.64</v>
      </c>
      <c r="H1617" s="42" t="n">
        <v>40.1</v>
      </c>
      <c r="J1617" s="46" t="n">
        <f aca="false">IF(N(E1617)&gt;0,E1617,IF(N(F1617)&gt;0,F1617*요약!$F$27,0))</f>
        <v>139000</v>
      </c>
      <c r="K1617" s="46" t="n">
        <f aca="false">IF(N(F1617)&gt;0,F1617,IF(N(E1617)&gt;0,E1617/요약!$F$27,0))</f>
        <v>35500</v>
      </c>
      <c r="L1617" s="46" t="n">
        <f aca="false">IF(B1617="CN",IF(N(I1617)&gt;0,I1617*요약!$G$27,K1617*(1+요약!$E$27)),IF(N(H1617)&gt;0,H1617*요약!$G$27,J1617*요약!$D$27))</f>
        <v>52932</v>
      </c>
      <c r="M1617" s="46" t="n">
        <f aca="false">D1617*J1617</f>
        <v>8618000</v>
      </c>
      <c r="N1617" s="46" t="n">
        <f aca="false">D1617*K1617</f>
        <v>2201000</v>
      </c>
      <c r="O1617" s="46" t="n">
        <f aca="false">D1617*L1617</f>
        <v>3281784</v>
      </c>
      <c r="P1617" s="42" t="str">
        <f aca="false">TRIM(IF(N(E1617)&lt;=0,"택가보정 ","")&amp;IF(N(F1617)&lt;=0,"원가보정 ","")&amp;IF(AND(B1617&lt;&gt;"CN",N(H1617)&lt;=0),"공급가보정 ","")&amp;IF(AND(B1617="CN",N(I1617)&lt;=0),"중국공급가=원가+마진 ",""))</f>
        <v/>
      </c>
      <c r="Q1617" s="47" t="n">
        <f aca="false">IF(SUMIFS($W:$W,$A:$A,A1617,$C:$C,C1617)=0,0,SUMIFS(RAW_판매펀칭!$K:$K,RAW_판매펀칭!$P:$P,A1617,RAW_판매펀칭!$I:$I,C1617)*W1617/SUMIFS($W:$W,$A:$A,A1617,$C:$C,C1617))</f>
        <v>62</v>
      </c>
      <c r="R1617" s="47" t="n">
        <f aca="false">IF(OR(A1617="500",A1617="800",A1617="810"),0,MAX(W1617-Q1617,0))</f>
        <v>0</v>
      </c>
      <c r="S1617" s="47" t="n">
        <f aca="false">R1617*L1617</f>
        <v>0</v>
      </c>
      <c r="T1617" s="47" t="n">
        <f aca="false">R1617*J1617</f>
        <v>0</v>
      </c>
      <c r="U1617" s="47" t="n">
        <f aca="false">R1617*K1617</f>
        <v>0</v>
      </c>
      <c r="V1617" s="0" t="str">
        <f aca="false">IF(COUNTIFS($A$2:A1617,A1617,$C$2:C1617,C1617,$D$2:D1617,D1617)&gt;1,"중복","")</f>
        <v/>
      </c>
      <c r="W1617" s="0" t="n">
        <f aca="false">IF(V1617="중복",0,N(D1617))</f>
        <v>62</v>
      </c>
      <c r="X1617" s="0" t="n">
        <f aca="false">IF(COUNTIFS($A$2:A1617,A1617,$C$2:C1617,C1617)=1,ABS(SUMIFS(RAW_발주!$D:$D,RAW_발주!$C:$C,A1617,RAW_발주!$A:$A,C1617)-SUMIFS($W:$W,$A:$A,A1617,$C:$C,C1617)),0)</f>
        <v>0</v>
      </c>
    </row>
    <row r="1618" customFormat="false" ht="15" hidden="false" customHeight="true" outlineLevel="0" collapsed="false">
      <c r="A1618" s="45" t="s">
        <v>1659</v>
      </c>
      <c r="B1618" s="42" t="str">
        <f aca="false">IF(A1618="100","HK",IF(A1618="200","CN",IF(A1618="300","TW","홀세일")))</f>
        <v>HK</v>
      </c>
      <c r="C1618" s="45" t="s">
        <v>660</v>
      </c>
      <c r="D1618" s="46" t="n">
        <v>130</v>
      </c>
      <c r="E1618" s="46" t="n">
        <v>99000</v>
      </c>
      <c r="F1618" s="46" t="n">
        <v>32992</v>
      </c>
      <c r="G1618" s="42" t="n">
        <v>2.65</v>
      </c>
      <c r="H1618" s="42" t="n">
        <v>28.6</v>
      </c>
      <c r="J1618" s="46" t="n">
        <f aca="false">IF(N(E1618)&gt;0,E1618,IF(N(F1618)&gt;0,F1618*요약!$F$27,0))</f>
        <v>99000</v>
      </c>
      <c r="K1618" s="46" t="n">
        <f aca="false">IF(N(F1618)&gt;0,F1618,IF(N(E1618)&gt;0,E1618/요약!$F$27,0))</f>
        <v>32992</v>
      </c>
      <c r="L1618" s="46" t="n">
        <f aca="false">IF(B1618="CN",IF(N(I1618)&gt;0,I1618*요약!$G$27,K1618*(1+요약!$E$27)),IF(N(H1618)&gt;0,H1618*요약!$G$27,J1618*요약!$D$27))</f>
        <v>37752</v>
      </c>
      <c r="M1618" s="46" t="n">
        <f aca="false">D1618*J1618</f>
        <v>12870000</v>
      </c>
      <c r="N1618" s="46" t="n">
        <f aca="false">D1618*K1618</f>
        <v>4288960</v>
      </c>
      <c r="O1618" s="46" t="n">
        <f aca="false">D1618*L1618</f>
        <v>4907760</v>
      </c>
      <c r="P1618" s="42" t="str">
        <f aca="false">TRIM(IF(N(E1618)&lt;=0,"택가보정 ","")&amp;IF(N(F1618)&lt;=0,"원가보정 ","")&amp;IF(AND(B1618&lt;&gt;"CN",N(H1618)&lt;=0),"공급가보정 ","")&amp;IF(AND(B1618="CN",N(I1618)&lt;=0),"중국공급가=원가+마진 ",""))</f>
        <v/>
      </c>
      <c r="Q1618" s="47" t="n">
        <f aca="false">IF(SUMIFS($W:$W,$A:$A,A1618,$C:$C,C1618)=0,0,SUMIFS(RAW_판매펀칭!$K:$K,RAW_판매펀칭!$P:$P,A1618,RAW_판매펀칭!$I:$I,C1618)*W1618/SUMIFS($W:$W,$A:$A,A1618,$C:$C,C1618))</f>
        <v>130</v>
      </c>
      <c r="R1618" s="47" t="n">
        <f aca="false">IF(OR(A1618="500",A1618="800",A1618="810"),0,MAX(W1618-Q1618,0))</f>
        <v>0</v>
      </c>
      <c r="S1618" s="47" t="n">
        <f aca="false">R1618*L1618</f>
        <v>0</v>
      </c>
      <c r="T1618" s="47" t="n">
        <f aca="false">R1618*J1618</f>
        <v>0</v>
      </c>
      <c r="U1618" s="47" t="n">
        <f aca="false">R1618*K1618</f>
        <v>0</v>
      </c>
      <c r="V1618" s="0" t="str">
        <f aca="false">IF(COUNTIFS($A$2:A1618,A1618,$C$2:C1618,C1618,$D$2:D1618,D1618)&gt;1,"중복","")</f>
        <v/>
      </c>
      <c r="W1618" s="0" t="n">
        <f aca="false">IF(V1618="중복",0,N(D1618))</f>
        <v>130</v>
      </c>
      <c r="X1618" s="0" t="n">
        <f aca="false">IF(COUNTIFS($A$2:A1618,A1618,$C$2:C1618,C1618)=1,ABS(SUMIFS(RAW_발주!$D:$D,RAW_발주!$C:$C,A1618,RAW_발주!$A:$A,C1618)-SUMIFS($W:$W,$A:$A,A1618,$C:$C,C1618)),0)</f>
        <v>0</v>
      </c>
    </row>
    <row r="1619" customFormat="false" ht="15" hidden="false" customHeight="true" outlineLevel="0" collapsed="false">
      <c r="A1619" s="45" t="s">
        <v>1661</v>
      </c>
      <c r="B1619" s="42" t="str">
        <f aca="false">IF(A1619="100","HK",IF(A1619="200","CN",IF(A1619="300","TW","홀세일")))</f>
        <v>TW</v>
      </c>
      <c r="C1619" s="45" t="s">
        <v>660</v>
      </c>
      <c r="D1619" s="46" t="n">
        <v>310</v>
      </c>
      <c r="E1619" s="46" t="n">
        <v>99000</v>
      </c>
      <c r="F1619" s="46" t="n">
        <v>32992</v>
      </c>
      <c r="G1619" s="42" t="n">
        <v>2.65</v>
      </c>
      <c r="H1619" s="42" t="n">
        <v>28.6</v>
      </c>
      <c r="J1619" s="46" t="n">
        <f aca="false">IF(N(E1619)&gt;0,E1619,IF(N(F1619)&gt;0,F1619*요약!$F$27,0))</f>
        <v>99000</v>
      </c>
      <c r="K1619" s="46" t="n">
        <f aca="false">IF(N(F1619)&gt;0,F1619,IF(N(E1619)&gt;0,E1619/요약!$F$27,0))</f>
        <v>32992</v>
      </c>
      <c r="L1619" s="46" t="n">
        <f aca="false">IF(B1619="CN",IF(N(I1619)&gt;0,I1619*요약!$G$27,K1619*(1+요약!$E$27)),IF(N(H1619)&gt;0,H1619*요약!$G$27,J1619*요약!$D$27))</f>
        <v>37752</v>
      </c>
      <c r="M1619" s="46" t="n">
        <f aca="false">D1619*J1619</f>
        <v>30690000</v>
      </c>
      <c r="N1619" s="46" t="n">
        <f aca="false">D1619*K1619</f>
        <v>10227520</v>
      </c>
      <c r="O1619" s="46" t="n">
        <f aca="false">D1619*L1619</f>
        <v>11703120</v>
      </c>
      <c r="P1619" s="42" t="str">
        <f aca="false">TRIM(IF(N(E1619)&lt;=0,"택가보정 ","")&amp;IF(N(F1619)&lt;=0,"원가보정 ","")&amp;IF(AND(B1619&lt;&gt;"CN",N(H1619)&lt;=0),"공급가보정 ","")&amp;IF(AND(B1619="CN",N(I1619)&lt;=0),"중국공급가=원가+마진 ",""))</f>
        <v/>
      </c>
      <c r="Q1619" s="47" t="n">
        <f aca="false">IF(SUMIFS($W:$W,$A:$A,A1619,$C:$C,C1619)=0,0,SUMIFS(RAW_판매펀칭!$K:$K,RAW_판매펀칭!$P:$P,A1619,RAW_판매펀칭!$I:$I,C1619)*W1619/SUMIFS($W:$W,$A:$A,A1619,$C:$C,C1619))</f>
        <v>310</v>
      </c>
      <c r="R1619" s="47" t="n">
        <f aca="false">IF(OR(A1619="500",A1619="800",A1619="810"),0,MAX(W1619-Q1619,0))</f>
        <v>0</v>
      </c>
      <c r="S1619" s="47" t="n">
        <f aca="false">R1619*L1619</f>
        <v>0</v>
      </c>
      <c r="T1619" s="47" t="n">
        <f aca="false">R1619*J1619</f>
        <v>0</v>
      </c>
      <c r="U1619" s="47" t="n">
        <f aca="false">R1619*K1619</f>
        <v>0</v>
      </c>
      <c r="V1619" s="0" t="str">
        <f aca="false">IF(COUNTIFS($A$2:A1619,A1619,$C$2:C1619,C1619,$D$2:D1619,D1619)&gt;1,"중복","")</f>
        <v/>
      </c>
      <c r="W1619" s="0" t="n">
        <f aca="false">IF(V1619="중복",0,N(D1619))</f>
        <v>310</v>
      </c>
      <c r="X1619" s="0" t="n">
        <f aca="false">IF(COUNTIFS($A$2:A1619,A1619,$C$2:C1619,C1619)=1,ABS(SUMIFS(RAW_발주!$D:$D,RAW_발주!$C:$C,A1619,RAW_발주!$A:$A,C1619)-SUMIFS($W:$W,$A:$A,A1619,$C:$C,C1619)),0)</f>
        <v>0</v>
      </c>
    </row>
    <row r="1620" customFormat="false" ht="15" hidden="false" customHeight="true" outlineLevel="0" collapsed="false">
      <c r="A1620" s="45" t="s">
        <v>1659</v>
      </c>
      <c r="B1620" s="42" t="str">
        <f aca="false">IF(A1620="100","HK",IF(A1620="200","CN",IF(A1620="300","TW","홀세일")))</f>
        <v>HK</v>
      </c>
      <c r="C1620" s="45" t="s">
        <v>662</v>
      </c>
      <c r="D1620" s="46" t="n">
        <v>240</v>
      </c>
      <c r="E1620" s="46" t="n">
        <v>399000</v>
      </c>
      <c r="F1620" s="46" t="n">
        <v>117915</v>
      </c>
      <c r="G1620" s="42" t="n">
        <v>3.07</v>
      </c>
      <c r="H1620" s="42" t="n">
        <v>105.9</v>
      </c>
      <c r="J1620" s="46" t="n">
        <f aca="false">IF(N(E1620)&gt;0,E1620,IF(N(F1620)&gt;0,F1620*요약!$F$27,0))</f>
        <v>399000</v>
      </c>
      <c r="K1620" s="46" t="n">
        <f aca="false">IF(N(F1620)&gt;0,F1620,IF(N(E1620)&gt;0,E1620/요약!$F$27,0))</f>
        <v>117915</v>
      </c>
      <c r="L1620" s="46" t="n">
        <f aca="false">IF(B1620="CN",IF(N(I1620)&gt;0,I1620*요약!$G$27,K1620*(1+요약!$E$27)),IF(N(H1620)&gt;0,H1620*요약!$G$27,J1620*요약!$D$27))</f>
        <v>139788</v>
      </c>
      <c r="M1620" s="46" t="n">
        <f aca="false">D1620*J1620</f>
        <v>95760000</v>
      </c>
      <c r="N1620" s="46" t="n">
        <f aca="false">D1620*K1620</f>
        <v>28299600</v>
      </c>
      <c r="O1620" s="46" t="n">
        <f aca="false">D1620*L1620</f>
        <v>33549120</v>
      </c>
      <c r="P1620" s="42" t="str">
        <f aca="false">TRIM(IF(N(E1620)&lt;=0,"택가보정 ","")&amp;IF(N(F1620)&lt;=0,"원가보정 ","")&amp;IF(AND(B1620&lt;&gt;"CN",N(H1620)&lt;=0),"공급가보정 ","")&amp;IF(AND(B1620="CN",N(I1620)&lt;=0),"중국공급가=원가+마진 ",""))</f>
        <v/>
      </c>
      <c r="Q1620" s="47" t="n">
        <f aca="false">IF(SUMIFS($W:$W,$A:$A,A1620,$C:$C,C1620)=0,0,SUMIFS(RAW_판매펀칭!$K:$K,RAW_판매펀칭!$P:$P,A1620,RAW_판매펀칭!$I:$I,C1620)*W1620/SUMIFS($W:$W,$A:$A,A1620,$C:$C,C1620))</f>
        <v>240</v>
      </c>
      <c r="R1620" s="47" t="n">
        <f aca="false">IF(OR(A1620="500",A1620="800",A1620="810"),0,MAX(W1620-Q1620,0))</f>
        <v>0</v>
      </c>
      <c r="S1620" s="47" t="n">
        <f aca="false">R1620*L1620</f>
        <v>0</v>
      </c>
      <c r="T1620" s="47" t="n">
        <f aca="false">R1620*J1620</f>
        <v>0</v>
      </c>
      <c r="U1620" s="47" t="n">
        <f aca="false">R1620*K1620</f>
        <v>0</v>
      </c>
      <c r="V1620" s="0" t="str">
        <f aca="false">IF(COUNTIFS($A$2:A1620,A1620,$C$2:C1620,C1620,$D$2:D1620,D1620)&gt;1,"중복","")</f>
        <v/>
      </c>
      <c r="W1620" s="0" t="n">
        <f aca="false">IF(V1620="중복",0,N(D1620))</f>
        <v>240</v>
      </c>
      <c r="X1620" s="0" t="n">
        <f aca="false">IF(COUNTIFS($A$2:A1620,A1620,$C$2:C1620,C1620)=1,ABS(SUMIFS(RAW_발주!$D:$D,RAW_발주!$C:$C,A1620,RAW_발주!$A:$A,C1620)-SUMIFS($W:$W,$A:$A,A1620,$C:$C,C1620)),0)</f>
        <v>0</v>
      </c>
    </row>
    <row r="1621" customFormat="false" ht="15.75" hidden="false" customHeight="true" outlineLevel="0" collapsed="false">
      <c r="A1621" s="45" t="s">
        <v>1660</v>
      </c>
      <c r="B1621" s="42" t="str">
        <f aca="false">IF(A1621="100","HK",IF(A1621="200","CN",IF(A1621="300","TW","홀세일")))</f>
        <v>CN</v>
      </c>
      <c r="C1621" s="45" t="s">
        <v>662</v>
      </c>
      <c r="D1621" s="46" t="n">
        <v>242</v>
      </c>
      <c r="E1621" s="46" t="n">
        <v>399000</v>
      </c>
      <c r="F1621" s="46" t="n">
        <v>117915</v>
      </c>
      <c r="G1621" s="42" t="n">
        <v>3.07</v>
      </c>
      <c r="H1621" s="42" t="n">
        <v>105.9</v>
      </c>
      <c r="J1621" s="46" t="n">
        <f aca="false">IF(N(E1621)&gt;0,E1621,IF(N(F1621)&gt;0,F1621*요약!$F$27,0))</f>
        <v>399000</v>
      </c>
      <c r="K1621" s="46" t="n">
        <f aca="false">IF(N(F1621)&gt;0,F1621,IF(N(E1621)&gt;0,E1621/요약!$F$27,0))</f>
        <v>117915</v>
      </c>
      <c r="L1621" s="46" t="n">
        <f aca="false">IF(B1621="CN",IF(N(I1621)&gt;0,I1621*요약!$G$27,K1621*(1+요약!$E$27)),IF(N(H1621)&gt;0,H1621*요약!$G$27,J1621*요약!$D$27))</f>
        <v>123810.75</v>
      </c>
      <c r="M1621" s="46" t="n">
        <f aca="false">D1621*J1621</f>
        <v>96558000</v>
      </c>
      <c r="N1621" s="46" t="n">
        <f aca="false">D1621*K1621</f>
        <v>28535430</v>
      </c>
      <c r="O1621" s="46" t="n">
        <f aca="false">D1621*L1621</f>
        <v>29962201.5</v>
      </c>
      <c r="P1621" s="42" t="str">
        <f aca="false">TRIM(IF(N(E1621)&lt;=0,"택가보정 ","")&amp;IF(N(F1621)&lt;=0,"원가보정 ","")&amp;IF(AND(B1621&lt;&gt;"CN",N(H1621)&lt;=0),"공급가보정 ","")&amp;IF(AND(B1621="CN",N(I1621)&lt;=0),"중국공급가=원가+마진 ",""))</f>
        <v>중국공급가=원가+마진</v>
      </c>
      <c r="Q1621" s="47" t="n">
        <f aca="false">IF(SUMIFS($W:$W,$A:$A,A1621,$C:$C,C1621)=0,0,SUMIFS(RAW_판매펀칭!$K:$K,RAW_판매펀칭!$P:$P,A1621,RAW_판매펀칭!$I:$I,C1621)*W1621/SUMIFS($W:$W,$A:$A,A1621,$C:$C,C1621))</f>
        <v>242</v>
      </c>
      <c r="R1621" s="47" t="n">
        <f aca="false">IF(OR(A1621="500",A1621="800",A1621="810"),0,MAX(W1621-Q1621,0))</f>
        <v>0</v>
      </c>
      <c r="S1621" s="47" t="n">
        <f aca="false">R1621*L1621</f>
        <v>0</v>
      </c>
      <c r="T1621" s="47" t="n">
        <f aca="false">R1621*J1621</f>
        <v>0</v>
      </c>
      <c r="U1621" s="47" t="n">
        <f aca="false">R1621*K1621</f>
        <v>0</v>
      </c>
      <c r="V1621" s="0" t="str">
        <f aca="false">IF(COUNTIFS($A$2:A1621,A1621,$C$2:C1621,C1621,$D$2:D1621,D1621)&gt;1,"중복","")</f>
        <v/>
      </c>
      <c r="W1621" s="0" t="n">
        <f aca="false">IF(V1621="중복",0,N(D1621))</f>
        <v>242</v>
      </c>
      <c r="X1621" s="0" t="n">
        <f aca="false">IF(COUNTIFS($A$2:A1621,A1621,$C$2:C1621,C1621)=1,ABS(SUMIFS(RAW_발주!$D:$D,RAW_발주!$C:$C,A1621,RAW_발주!$A:$A,C1621)-SUMIFS($W:$W,$A:$A,A1621,$C:$C,C1621)),0)</f>
        <v>0</v>
      </c>
    </row>
    <row r="1622" customFormat="false" ht="15" hidden="false" customHeight="true" outlineLevel="0" collapsed="false">
      <c r="A1622" s="45" t="s">
        <v>1661</v>
      </c>
      <c r="B1622" s="42" t="str">
        <f aca="false">IF(A1622="100","HK",IF(A1622="200","CN",IF(A1622="300","TW","홀세일")))</f>
        <v>TW</v>
      </c>
      <c r="C1622" s="45" t="s">
        <v>662</v>
      </c>
      <c r="D1622" s="46" t="n">
        <v>300</v>
      </c>
      <c r="E1622" s="46" t="n">
        <v>399000</v>
      </c>
      <c r="F1622" s="46" t="n">
        <v>117915</v>
      </c>
      <c r="G1622" s="42" t="n">
        <v>3.07</v>
      </c>
      <c r="H1622" s="42" t="n">
        <v>105.9</v>
      </c>
      <c r="J1622" s="46" t="n">
        <f aca="false">IF(N(E1622)&gt;0,E1622,IF(N(F1622)&gt;0,F1622*요약!$F$27,0))</f>
        <v>399000</v>
      </c>
      <c r="K1622" s="46" t="n">
        <f aca="false">IF(N(F1622)&gt;0,F1622,IF(N(E1622)&gt;0,E1622/요약!$F$27,0))</f>
        <v>117915</v>
      </c>
      <c r="L1622" s="46" t="n">
        <f aca="false">IF(B1622="CN",IF(N(I1622)&gt;0,I1622*요약!$G$27,K1622*(1+요약!$E$27)),IF(N(H1622)&gt;0,H1622*요약!$G$27,J1622*요약!$D$27))</f>
        <v>139788</v>
      </c>
      <c r="M1622" s="46" t="n">
        <f aca="false">D1622*J1622</f>
        <v>119700000</v>
      </c>
      <c r="N1622" s="46" t="n">
        <f aca="false">D1622*K1622</f>
        <v>35374500</v>
      </c>
      <c r="O1622" s="46" t="n">
        <f aca="false">D1622*L1622</f>
        <v>41936400</v>
      </c>
      <c r="P1622" s="42" t="str">
        <f aca="false">TRIM(IF(N(E1622)&lt;=0,"택가보정 ","")&amp;IF(N(F1622)&lt;=0,"원가보정 ","")&amp;IF(AND(B1622&lt;&gt;"CN",N(H1622)&lt;=0),"공급가보정 ","")&amp;IF(AND(B1622="CN",N(I1622)&lt;=0),"중국공급가=원가+마진 ",""))</f>
        <v/>
      </c>
      <c r="Q1622" s="47" t="n">
        <f aca="false">IF(SUMIFS($W:$W,$A:$A,A1622,$C:$C,C1622)=0,0,SUMIFS(RAW_판매펀칭!$K:$K,RAW_판매펀칭!$P:$P,A1622,RAW_판매펀칭!$I:$I,C1622)*W1622/SUMIFS($W:$W,$A:$A,A1622,$C:$C,C1622))</f>
        <v>300</v>
      </c>
      <c r="R1622" s="47" t="n">
        <f aca="false">IF(OR(A1622="500",A1622="800",A1622="810"),0,MAX(W1622-Q1622,0))</f>
        <v>0</v>
      </c>
      <c r="S1622" s="47" t="n">
        <f aca="false">R1622*L1622</f>
        <v>0</v>
      </c>
      <c r="T1622" s="47" t="n">
        <f aca="false">R1622*J1622</f>
        <v>0</v>
      </c>
      <c r="U1622" s="47" t="n">
        <f aca="false">R1622*K1622</f>
        <v>0</v>
      </c>
      <c r="V1622" s="0" t="str">
        <f aca="false">IF(COUNTIFS($A$2:A1622,A1622,$C$2:C1622,C1622,$D$2:D1622,D1622)&gt;1,"중복","")</f>
        <v/>
      </c>
      <c r="W1622" s="0" t="n">
        <f aca="false">IF(V1622="중복",0,N(D1622))</f>
        <v>300</v>
      </c>
      <c r="X1622" s="0" t="n">
        <f aca="false">IF(COUNTIFS($A$2:A1622,A1622,$C$2:C1622,C1622)=1,ABS(SUMIFS(RAW_발주!$D:$D,RAW_발주!$C:$C,A1622,RAW_발주!$A:$A,C1622)-SUMIFS($W:$W,$A:$A,A1622,$C:$C,C1622)),0)</f>
        <v>0</v>
      </c>
    </row>
    <row r="1623" customFormat="false" ht="15" hidden="false" customHeight="true" outlineLevel="0" collapsed="false">
      <c r="A1623" s="45" t="s">
        <v>1663</v>
      </c>
      <c r="B1623" s="42" t="str">
        <f aca="false">IF(A1623="100","HK",IF(A1623="200","CN",IF(A1623="300","TW","홀세일")))</f>
        <v>홀세일</v>
      </c>
      <c r="C1623" s="45" t="s">
        <v>662</v>
      </c>
      <c r="D1623" s="46" t="n">
        <v>15</v>
      </c>
      <c r="E1623" s="46" t="n">
        <v>399000</v>
      </c>
      <c r="F1623" s="46" t="n">
        <v>117915</v>
      </c>
      <c r="G1623" s="42" t="n">
        <v>3.07</v>
      </c>
      <c r="H1623" s="42" t="n">
        <v>105.9</v>
      </c>
      <c r="J1623" s="46" t="n">
        <f aca="false">IF(N(E1623)&gt;0,E1623,IF(N(F1623)&gt;0,F1623*요약!$F$27,0))</f>
        <v>399000</v>
      </c>
      <c r="K1623" s="46" t="n">
        <f aca="false">IF(N(F1623)&gt;0,F1623,IF(N(E1623)&gt;0,E1623/요약!$F$27,0))</f>
        <v>117915</v>
      </c>
      <c r="L1623" s="46" t="n">
        <f aca="false">IF(B1623="CN",IF(N(I1623)&gt;0,I1623*요약!$G$27,K1623*(1+요약!$E$27)),IF(N(H1623)&gt;0,H1623*요약!$G$27,J1623*요약!$D$27))</f>
        <v>139788</v>
      </c>
      <c r="M1623" s="46" t="n">
        <f aca="false">D1623*J1623</f>
        <v>5985000</v>
      </c>
      <c r="N1623" s="46" t="n">
        <f aca="false">D1623*K1623</f>
        <v>1768725</v>
      </c>
      <c r="O1623" s="46" t="n">
        <f aca="false">D1623*L1623</f>
        <v>2096820</v>
      </c>
      <c r="P1623" s="42" t="str">
        <f aca="false">TRIM(IF(N(E1623)&lt;=0,"택가보정 ","")&amp;IF(N(F1623)&lt;=0,"원가보정 ","")&amp;IF(AND(B1623&lt;&gt;"CN",N(H1623)&lt;=0),"공급가보정 ","")&amp;IF(AND(B1623="CN",N(I1623)&lt;=0),"중국공급가=원가+마진 ",""))</f>
        <v/>
      </c>
      <c r="Q1623" s="47" t="n">
        <f aca="false">IF(SUMIFS($W:$W,$A:$A,A1623,$C:$C,C1623)=0,0,SUMIFS(RAW_판매펀칭!$K:$K,RAW_판매펀칭!$P:$P,A1623,RAW_판매펀칭!$I:$I,C1623)*W1623/SUMIFS($W:$W,$A:$A,A1623,$C:$C,C1623))</f>
        <v>15</v>
      </c>
      <c r="R1623" s="47" t="n">
        <f aca="false">IF(OR(A1623="500",A1623="800",A1623="810"),0,MAX(W1623-Q1623,0))</f>
        <v>0</v>
      </c>
      <c r="S1623" s="47" t="n">
        <f aca="false">R1623*L1623</f>
        <v>0</v>
      </c>
      <c r="T1623" s="47" t="n">
        <f aca="false">R1623*J1623</f>
        <v>0</v>
      </c>
      <c r="U1623" s="47" t="n">
        <f aca="false">R1623*K1623</f>
        <v>0</v>
      </c>
      <c r="V1623" s="0" t="str">
        <f aca="false">IF(COUNTIFS($A$2:A1623,A1623,$C$2:C1623,C1623,$D$2:D1623,D1623)&gt;1,"중복","")</f>
        <v/>
      </c>
      <c r="W1623" s="0" t="n">
        <f aca="false">IF(V1623="중복",0,N(D1623))</f>
        <v>15</v>
      </c>
      <c r="X1623" s="0" t="n">
        <f aca="false">IF(COUNTIFS($A$2:A1623,A1623,$C$2:C1623,C1623)=1,ABS(SUMIFS(RAW_발주!$D:$D,RAW_발주!$C:$C,A1623,RAW_발주!$A:$A,C1623)-SUMIFS($W:$W,$A:$A,A1623,$C:$C,C1623)),0)</f>
        <v>0</v>
      </c>
    </row>
    <row r="1624" customFormat="false" ht="15" hidden="false" customHeight="true" outlineLevel="0" collapsed="false">
      <c r="A1624" s="45" t="s">
        <v>1667</v>
      </c>
      <c r="B1624" s="42" t="str">
        <f aca="false">IF(A1624="100","HK",IF(A1624="200","CN",IF(A1624="300","TW","홀세일")))</f>
        <v>홀세일</v>
      </c>
      <c r="C1624" s="45" t="s">
        <v>662</v>
      </c>
      <c r="D1624" s="46" t="n">
        <v>72</v>
      </c>
      <c r="E1624" s="46" t="n">
        <v>399000</v>
      </c>
      <c r="F1624" s="46" t="n">
        <v>117915</v>
      </c>
      <c r="G1624" s="42" t="n">
        <v>3.07</v>
      </c>
      <c r="H1624" s="42" t="n">
        <v>105.9</v>
      </c>
      <c r="J1624" s="46" t="n">
        <f aca="false">IF(N(E1624)&gt;0,E1624,IF(N(F1624)&gt;0,F1624*요약!$F$27,0))</f>
        <v>399000</v>
      </c>
      <c r="K1624" s="46" t="n">
        <f aca="false">IF(N(F1624)&gt;0,F1624,IF(N(E1624)&gt;0,E1624/요약!$F$27,0))</f>
        <v>117915</v>
      </c>
      <c r="L1624" s="46" t="n">
        <f aca="false">IF(B1624="CN",IF(N(I1624)&gt;0,I1624*요약!$G$27,K1624*(1+요약!$E$27)),IF(N(H1624)&gt;0,H1624*요약!$G$27,J1624*요약!$D$27))</f>
        <v>139788</v>
      </c>
      <c r="M1624" s="46" t="n">
        <f aca="false">D1624*J1624</f>
        <v>28728000</v>
      </c>
      <c r="N1624" s="46" t="n">
        <f aca="false">D1624*K1624</f>
        <v>8489880</v>
      </c>
      <c r="O1624" s="46" t="n">
        <f aca="false">D1624*L1624</f>
        <v>10064736</v>
      </c>
      <c r="P1624" s="42" t="str">
        <f aca="false">TRIM(IF(N(E1624)&lt;=0,"택가보정 ","")&amp;IF(N(F1624)&lt;=0,"원가보정 ","")&amp;IF(AND(B1624&lt;&gt;"CN",N(H1624)&lt;=0),"공급가보정 ","")&amp;IF(AND(B1624="CN",N(I1624)&lt;=0),"중국공급가=원가+마진 ",""))</f>
        <v/>
      </c>
      <c r="Q1624" s="47" t="n">
        <f aca="false">IF(SUMIFS($W:$W,$A:$A,A1624,$C:$C,C1624)=0,0,SUMIFS(RAW_판매펀칭!$K:$K,RAW_판매펀칭!$P:$P,A1624,RAW_판매펀칭!$I:$I,C1624)*W1624/SUMIFS($W:$W,$A:$A,A1624,$C:$C,C1624))</f>
        <v>72</v>
      </c>
      <c r="R1624" s="47" t="n">
        <f aca="false">IF(OR(A1624="500",A1624="800",A1624="810"),0,MAX(W1624-Q1624,0))</f>
        <v>0</v>
      </c>
      <c r="S1624" s="47" t="n">
        <f aca="false">R1624*L1624</f>
        <v>0</v>
      </c>
      <c r="T1624" s="47" t="n">
        <f aca="false">R1624*J1624</f>
        <v>0</v>
      </c>
      <c r="U1624" s="47" t="n">
        <f aca="false">R1624*K1624</f>
        <v>0</v>
      </c>
      <c r="V1624" s="0" t="str">
        <f aca="false">IF(COUNTIFS($A$2:A1624,A1624,$C$2:C1624,C1624,$D$2:D1624,D1624)&gt;1,"중복","")</f>
        <v/>
      </c>
      <c r="W1624" s="0" t="n">
        <f aca="false">IF(V1624="중복",0,N(D1624))</f>
        <v>72</v>
      </c>
      <c r="X1624" s="0" t="n">
        <f aca="false">IF(COUNTIFS($A$2:A1624,A1624,$C$2:C1624,C1624)=1,ABS(SUMIFS(RAW_발주!$D:$D,RAW_발주!$C:$C,A1624,RAW_발주!$A:$A,C1624)-SUMIFS($W:$W,$A:$A,A1624,$C:$C,C1624)),0)</f>
        <v>0</v>
      </c>
    </row>
    <row r="1625" customFormat="false" ht="15" hidden="false" customHeight="true" outlineLevel="0" collapsed="false">
      <c r="A1625" s="45" t="s">
        <v>1664</v>
      </c>
      <c r="B1625" s="42" t="str">
        <f aca="false">IF(A1625="100","HK",IF(A1625="200","CN",IF(A1625="300","TW","홀세일")))</f>
        <v>홀세일</v>
      </c>
      <c r="C1625" s="45" t="s">
        <v>662</v>
      </c>
      <c r="D1625" s="46" t="n">
        <v>60</v>
      </c>
      <c r="E1625" s="46" t="n">
        <v>399000</v>
      </c>
      <c r="F1625" s="46" t="n">
        <v>117915</v>
      </c>
      <c r="G1625" s="42" t="n">
        <v>3.07</v>
      </c>
      <c r="H1625" s="42" t="n">
        <v>105.9</v>
      </c>
      <c r="J1625" s="46" t="n">
        <f aca="false">IF(N(E1625)&gt;0,E1625,IF(N(F1625)&gt;0,F1625*요약!$F$27,0))</f>
        <v>399000</v>
      </c>
      <c r="K1625" s="46" t="n">
        <f aca="false">IF(N(F1625)&gt;0,F1625,IF(N(E1625)&gt;0,E1625/요약!$F$27,0))</f>
        <v>117915</v>
      </c>
      <c r="L1625" s="46" t="n">
        <f aca="false">IF(B1625="CN",IF(N(I1625)&gt;0,I1625*요약!$G$27,K1625*(1+요약!$E$27)),IF(N(H1625)&gt;0,H1625*요약!$G$27,J1625*요약!$D$27))</f>
        <v>139788</v>
      </c>
      <c r="M1625" s="46" t="n">
        <f aca="false">D1625*J1625</f>
        <v>23940000</v>
      </c>
      <c r="N1625" s="46" t="n">
        <f aca="false">D1625*K1625</f>
        <v>7074900</v>
      </c>
      <c r="O1625" s="46" t="n">
        <f aca="false">D1625*L1625</f>
        <v>8387280</v>
      </c>
      <c r="P1625" s="42" t="str">
        <f aca="false">TRIM(IF(N(E1625)&lt;=0,"택가보정 ","")&amp;IF(N(F1625)&lt;=0,"원가보정 ","")&amp;IF(AND(B1625&lt;&gt;"CN",N(H1625)&lt;=0),"공급가보정 ","")&amp;IF(AND(B1625="CN",N(I1625)&lt;=0),"중국공급가=원가+마진 ",""))</f>
        <v/>
      </c>
      <c r="Q1625" s="47" t="n">
        <f aca="false">IF(SUMIFS($W:$W,$A:$A,A1625,$C:$C,C1625)=0,0,SUMIFS(RAW_판매펀칭!$K:$K,RAW_판매펀칭!$P:$P,A1625,RAW_판매펀칭!$I:$I,C1625)*W1625/SUMIFS($W:$W,$A:$A,A1625,$C:$C,C1625))</f>
        <v>0</v>
      </c>
      <c r="R1625" s="47" t="n">
        <f aca="false">IF(OR(A1625="500",A1625="800",A1625="810"),0,MAX(W1625-Q1625,0))</f>
        <v>0</v>
      </c>
      <c r="S1625" s="47" t="n">
        <f aca="false">R1625*L1625</f>
        <v>0</v>
      </c>
      <c r="T1625" s="47" t="n">
        <f aca="false">R1625*J1625</f>
        <v>0</v>
      </c>
      <c r="U1625" s="47" t="n">
        <f aca="false">R1625*K1625</f>
        <v>0</v>
      </c>
      <c r="V1625" s="0" t="str">
        <f aca="false">IF(COUNTIFS($A$2:A1625,A1625,$C$2:C1625,C1625,$D$2:D1625,D1625)&gt;1,"중복","")</f>
        <v/>
      </c>
      <c r="W1625" s="0" t="n">
        <f aca="false">IF(V1625="중복",0,N(D1625))</f>
        <v>60</v>
      </c>
      <c r="X1625" s="0" t="n">
        <f aca="false">IF(COUNTIFS($A$2:A1625,A1625,$C$2:C1625,C1625)=1,ABS(SUMIFS(RAW_발주!$D:$D,RAW_발주!$C:$C,A1625,RAW_발주!$A:$A,C1625)-SUMIFS($W:$W,$A:$A,A1625,$C:$C,C1625)),0)</f>
        <v>0</v>
      </c>
    </row>
    <row r="1626" customFormat="false" ht="15" hidden="false" customHeight="true" outlineLevel="0" collapsed="false">
      <c r="A1626" s="45" t="s">
        <v>1664</v>
      </c>
      <c r="B1626" s="42" t="str">
        <f aca="false">IF(A1626="100","HK",IF(A1626="200","CN",IF(A1626="300","TW","홀세일")))</f>
        <v>홀세일</v>
      </c>
      <c r="C1626" s="45" t="s">
        <v>1716</v>
      </c>
      <c r="D1626" s="46" t="n">
        <v>90</v>
      </c>
      <c r="E1626" s="46" t="n">
        <v>49000</v>
      </c>
      <c r="F1626" s="46" t="n">
        <v>7000</v>
      </c>
      <c r="G1626" s="42" t="n">
        <v>5.24</v>
      </c>
      <c r="H1626" s="42" t="n">
        <v>12.3</v>
      </c>
      <c r="J1626" s="46" t="n">
        <f aca="false">IF(N(E1626)&gt;0,E1626,IF(N(F1626)&gt;0,F1626*요약!$F$27,0))</f>
        <v>49000</v>
      </c>
      <c r="K1626" s="46" t="n">
        <f aca="false">IF(N(F1626)&gt;0,F1626,IF(N(E1626)&gt;0,E1626/요약!$F$27,0))</f>
        <v>7000</v>
      </c>
      <c r="L1626" s="46" t="n">
        <f aca="false">IF(B1626="CN",IF(N(I1626)&gt;0,I1626*요약!$G$27,K1626*(1+요약!$E$27)),IF(N(H1626)&gt;0,H1626*요약!$G$27,J1626*요약!$D$27))</f>
        <v>16236</v>
      </c>
      <c r="M1626" s="46" t="n">
        <f aca="false">D1626*J1626</f>
        <v>4410000</v>
      </c>
      <c r="N1626" s="46" t="n">
        <f aca="false">D1626*K1626</f>
        <v>630000</v>
      </c>
      <c r="O1626" s="46" t="n">
        <f aca="false">D1626*L1626</f>
        <v>1461240</v>
      </c>
      <c r="P1626" s="42" t="str">
        <f aca="false">TRIM(IF(N(E1626)&lt;=0,"택가보정 ","")&amp;IF(N(F1626)&lt;=0,"원가보정 ","")&amp;IF(AND(B1626&lt;&gt;"CN",N(H1626)&lt;=0),"공급가보정 ","")&amp;IF(AND(B1626="CN",N(I1626)&lt;=0),"중국공급가=원가+마진 ",""))</f>
        <v/>
      </c>
      <c r="Q1626" s="47" t="n">
        <f aca="false">IF(SUMIFS($W:$W,$A:$A,A1626,$C:$C,C1626)=0,0,SUMIFS(RAW_판매펀칭!$K:$K,RAW_판매펀칭!$P:$P,A1626,RAW_판매펀칭!$I:$I,C1626)*W1626/SUMIFS($W:$W,$A:$A,A1626,$C:$C,C1626))</f>
        <v>0</v>
      </c>
      <c r="R1626" s="47" t="n">
        <f aca="false">IF(OR(A1626="500",A1626="800",A1626="810"),0,MAX(W1626-Q1626,0))</f>
        <v>0</v>
      </c>
      <c r="S1626" s="47" t="n">
        <f aca="false">R1626*L1626</f>
        <v>0</v>
      </c>
      <c r="T1626" s="47" t="n">
        <f aca="false">R1626*J1626</f>
        <v>0</v>
      </c>
      <c r="U1626" s="47" t="n">
        <f aca="false">R1626*K1626</f>
        <v>0</v>
      </c>
      <c r="V1626" s="0" t="str">
        <f aca="false">IF(COUNTIFS($A$2:A1626,A1626,$C$2:C1626,C1626,$D$2:D1626,D1626)&gt;1,"중복","")</f>
        <v/>
      </c>
      <c r="W1626" s="0" t="n">
        <f aca="false">IF(V1626="중복",0,N(D1626))</f>
        <v>90</v>
      </c>
      <c r="X1626" s="0" t="n">
        <f aca="false">IF(COUNTIFS($A$2:A1626,A1626,$C$2:C1626,C1626)=1,ABS(SUMIFS(RAW_발주!$D:$D,RAW_발주!$C:$C,A1626,RAW_발주!$A:$A,C1626)-SUMIFS($W:$W,$A:$A,A1626,$C:$C,C1626)),0)</f>
        <v>0</v>
      </c>
    </row>
    <row r="1627" customFormat="false" ht="15.75" hidden="false" customHeight="true" outlineLevel="0" collapsed="false">
      <c r="A1627" s="45" t="s">
        <v>1660</v>
      </c>
      <c r="B1627" s="42" t="str">
        <f aca="false">IF(A1627="100","HK",IF(A1627="200","CN",IF(A1627="300","TW","홀세일")))</f>
        <v>CN</v>
      </c>
      <c r="C1627" s="45" t="s">
        <v>1124</v>
      </c>
      <c r="D1627" s="46" t="n">
        <v>357</v>
      </c>
      <c r="E1627" s="46"/>
      <c r="F1627" s="46" t="n">
        <v>38296</v>
      </c>
      <c r="G1627" s="42" t="n">
        <v>0</v>
      </c>
      <c r="J1627" s="46" t="n">
        <f aca="false">IF(N(E1627)&gt;0,E1627,IF(N(F1627)&gt;0,F1627*요약!$F$27,0))</f>
        <v>153184</v>
      </c>
      <c r="K1627" s="46" t="n">
        <f aca="false">IF(N(F1627)&gt;0,F1627,IF(N(E1627)&gt;0,E1627/요약!$F$27,0))</f>
        <v>38296</v>
      </c>
      <c r="L1627" s="46" t="n">
        <f aca="false">IF(B1627="CN",IF(N(I1627)&gt;0,I1627*요약!$G$27,K1627*(1+요약!$E$27)),IF(N(H1627)&gt;0,H1627*요약!$G$27,J1627*요약!$D$27))</f>
        <v>40210.8</v>
      </c>
      <c r="M1627" s="46" t="n">
        <f aca="false">D1627*J1627</f>
        <v>54686688</v>
      </c>
      <c r="N1627" s="46" t="n">
        <f aca="false">D1627*K1627</f>
        <v>13671672</v>
      </c>
      <c r="O1627" s="46" t="n">
        <f aca="false">D1627*L1627</f>
        <v>14355255.6</v>
      </c>
      <c r="P1627" s="42" t="str">
        <f aca="false">TRIM(IF(N(E1627)&lt;=0,"택가보정 ","")&amp;IF(N(F1627)&lt;=0,"원가보정 ","")&amp;IF(AND(B1627&lt;&gt;"CN",N(H1627)&lt;=0),"공급가보정 ","")&amp;IF(AND(B1627="CN",N(I1627)&lt;=0),"중국공급가=원가+마진 ",""))</f>
        <v>택가보정 중국공급가=원가+마진</v>
      </c>
      <c r="Q1627" s="47" t="n">
        <f aca="false">IF(SUMIFS($W:$W,$A:$A,A1627,$C:$C,C1627)=0,0,SUMIFS(RAW_판매펀칭!$K:$K,RAW_판매펀칭!$P:$P,A1627,RAW_판매펀칭!$I:$I,C1627)*W1627/SUMIFS($W:$W,$A:$A,A1627,$C:$C,C1627))</f>
        <v>354</v>
      </c>
      <c r="R1627" s="47" t="n">
        <f aca="false">IF(OR(A1627="500",A1627="800",A1627="810"),0,MAX(W1627-Q1627,0))</f>
        <v>3</v>
      </c>
      <c r="S1627" s="47" t="n">
        <f aca="false">R1627*L1627</f>
        <v>120632.4</v>
      </c>
      <c r="T1627" s="47" t="n">
        <f aca="false">R1627*J1627</f>
        <v>459552</v>
      </c>
      <c r="U1627" s="47" t="n">
        <f aca="false">R1627*K1627</f>
        <v>114888</v>
      </c>
      <c r="V1627" s="0" t="str">
        <f aca="false">IF(COUNTIFS($A$2:A1627,A1627,$C$2:C1627,C1627,$D$2:D1627,D1627)&gt;1,"중복","")</f>
        <v/>
      </c>
      <c r="W1627" s="0" t="n">
        <f aca="false">IF(V1627="중복",0,N(D1627))</f>
        <v>357</v>
      </c>
      <c r="X1627" s="0" t="n">
        <f aca="false">IF(COUNTIFS($A$2:A1627,A1627,$C$2:C1627,C1627)=1,ABS(SUMIFS(RAW_발주!$D:$D,RAW_발주!$C:$C,A1627,RAW_발주!$A:$A,C1627)-SUMIFS($W:$W,$A:$A,A1627,$C:$C,C1627)),0)</f>
        <v>0</v>
      </c>
    </row>
    <row r="1628" customFormat="false" ht="15.75" hidden="false" customHeight="true" outlineLevel="0" collapsed="false">
      <c r="A1628" s="45" t="s">
        <v>1660</v>
      </c>
      <c r="B1628" s="42" t="str">
        <f aca="false">IF(A1628="100","HK",IF(A1628="200","CN",IF(A1628="300","TW","홀세일")))</f>
        <v>CN</v>
      </c>
      <c r="C1628" s="45" t="s">
        <v>1717</v>
      </c>
      <c r="D1628" s="46" t="n">
        <v>427</v>
      </c>
      <c r="E1628" s="46" t="n">
        <v>499000</v>
      </c>
      <c r="F1628" s="46" t="n">
        <v>135022</v>
      </c>
      <c r="G1628" s="42" t="n">
        <v>3</v>
      </c>
      <c r="H1628" s="42" t="n">
        <v>124.9</v>
      </c>
      <c r="J1628" s="46" t="n">
        <f aca="false">IF(N(E1628)&gt;0,E1628,IF(N(F1628)&gt;0,F1628*요약!$F$27,0))</f>
        <v>499000</v>
      </c>
      <c r="K1628" s="46" t="n">
        <f aca="false">IF(N(F1628)&gt;0,F1628,IF(N(E1628)&gt;0,E1628/요약!$F$27,0))</f>
        <v>135022</v>
      </c>
      <c r="L1628" s="46" t="n">
        <f aca="false">IF(B1628="CN",IF(N(I1628)&gt;0,I1628*요약!$G$27,K1628*(1+요약!$E$27)),IF(N(H1628)&gt;0,H1628*요약!$G$27,J1628*요약!$D$27))</f>
        <v>141773.1</v>
      </c>
      <c r="M1628" s="46" t="n">
        <f aca="false">D1628*J1628</f>
        <v>213073000</v>
      </c>
      <c r="N1628" s="46" t="n">
        <f aca="false">D1628*K1628</f>
        <v>57654394</v>
      </c>
      <c r="O1628" s="46" t="n">
        <f aca="false">D1628*L1628</f>
        <v>60537113.7</v>
      </c>
      <c r="P1628" s="42" t="str">
        <f aca="false">TRIM(IF(N(E1628)&lt;=0,"택가보정 ","")&amp;IF(N(F1628)&lt;=0,"원가보정 ","")&amp;IF(AND(B1628&lt;&gt;"CN",N(H1628)&lt;=0),"공급가보정 ","")&amp;IF(AND(B1628="CN",N(I1628)&lt;=0),"중국공급가=원가+마진 ",""))</f>
        <v>중국공급가=원가+마진</v>
      </c>
      <c r="Q1628" s="47" t="n">
        <f aca="false">IF(SUMIFS($W:$W,$A:$A,A1628,$C:$C,C1628)=0,0,SUMIFS(RAW_판매펀칭!$K:$K,RAW_판매펀칭!$P:$P,A1628,RAW_판매펀칭!$I:$I,C1628)*W1628/SUMIFS($W:$W,$A:$A,A1628,$C:$C,C1628))</f>
        <v>0</v>
      </c>
      <c r="R1628" s="47" t="n">
        <f aca="false">IF(OR(A1628="500",A1628="800",A1628="810"),0,MAX(W1628-Q1628,0))</f>
        <v>427</v>
      </c>
      <c r="S1628" s="47" t="n">
        <f aca="false">R1628*L1628</f>
        <v>60537113.7</v>
      </c>
      <c r="T1628" s="47" t="n">
        <f aca="false">R1628*J1628</f>
        <v>213073000</v>
      </c>
      <c r="U1628" s="47" t="n">
        <f aca="false">R1628*K1628</f>
        <v>57654394</v>
      </c>
      <c r="V1628" s="0" t="str">
        <f aca="false">IF(COUNTIFS($A$2:A1628,A1628,$C$2:C1628,C1628,$D$2:D1628,D1628)&gt;1,"중복","")</f>
        <v/>
      </c>
      <c r="W1628" s="0" t="n">
        <f aca="false">IF(V1628="중복",0,N(D1628))</f>
        <v>427</v>
      </c>
      <c r="X1628" s="0" t="n">
        <f aca="false">IF(COUNTIFS($A$2:A1628,A1628,$C$2:C1628,C1628)=1,ABS(SUMIFS(RAW_발주!$D:$D,RAW_발주!$C:$C,A1628,RAW_발주!$A:$A,C1628)-SUMIFS($W:$W,$A:$A,A1628,$C:$C,C1628)),0)</f>
        <v>0</v>
      </c>
    </row>
    <row r="1629" customFormat="false" ht="15.75" hidden="false" customHeight="true" outlineLevel="0" collapsed="false">
      <c r="A1629" s="45" t="s">
        <v>1660</v>
      </c>
      <c r="B1629" s="42" t="str">
        <f aca="false">IF(A1629="100","HK",IF(A1629="200","CN",IF(A1629="300","TW","홀세일")))</f>
        <v>CN</v>
      </c>
      <c r="C1629" s="45" t="s">
        <v>1125</v>
      </c>
      <c r="D1629" s="46" t="n">
        <v>352</v>
      </c>
      <c r="E1629" s="46"/>
      <c r="F1629" s="46" t="n">
        <v>36500</v>
      </c>
      <c r="G1629" s="42" t="n">
        <v>0</v>
      </c>
      <c r="J1629" s="46" t="n">
        <f aca="false">IF(N(E1629)&gt;0,E1629,IF(N(F1629)&gt;0,F1629*요약!$F$27,0))</f>
        <v>146000</v>
      </c>
      <c r="K1629" s="46" t="n">
        <f aca="false">IF(N(F1629)&gt;0,F1629,IF(N(E1629)&gt;0,E1629/요약!$F$27,0))</f>
        <v>36500</v>
      </c>
      <c r="L1629" s="46" t="n">
        <f aca="false">IF(B1629="CN",IF(N(I1629)&gt;0,I1629*요약!$G$27,K1629*(1+요약!$E$27)),IF(N(H1629)&gt;0,H1629*요약!$G$27,J1629*요약!$D$27))</f>
        <v>38325</v>
      </c>
      <c r="M1629" s="46" t="n">
        <f aca="false">D1629*J1629</f>
        <v>51392000</v>
      </c>
      <c r="N1629" s="46" t="n">
        <f aca="false">D1629*K1629</f>
        <v>12848000</v>
      </c>
      <c r="O1629" s="46" t="n">
        <f aca="false">D1629*L1629</f>
        <v>13490400</v>
      </c>
      <c r="P1629" s="42" t="str">
        <f aca="false">TRIM(IF(N(E1629)&lt;=0,"택가보정 ","")&amp;IF(N(F1629)&lt;=0,"원가보정 ","")&amp;IF(AND(B1629&lt;&gt;"CN",N(H1629)&lt;=0),"공급가보정 ","")&amp;IF(AND(B1629="CN",N(I1629)&lt;=0),"중국공급가=원가+마진 ",""))</f>
        <v>택가보정 중국공급가=원가+마진</v>
      </c>
      <c r="Q1629" s="47" t="n">
        <f aca="false">IF(SUMIFS($W:$W,$A:$A,A1629,$C:$C,C1629)=0,0,SUMIFS(RAW_판매펀칭!$K:$K,RAW_판매펀칭!$P:$P,A1629,RAW_판매펀칭!$I:$I,C1629)*W1629/SUMIFS($W:$W,$A:$A,A1629,$C:$C,C1629))</f>
        <v>2</v>
      </c>
      <c r="R1629" s="47" t="n">
        <f aca="false">IF(OR(A1629="500",A1629="800",A1629="810"),0,MAX(W1629-Q1629,0))</f>
        <v>350</v>
      </c>
      <c r="S1629" s="47" t="n">
        <f aca="false">R1629*L1629</f>
        <v>13413750</v>
      </c>
      <c r="T1629" s="47" t="n">
        <f aca="false">R1629*J1629</f>
        <v>51100000</v>
      </c>
      <c r="U1629" s="47" t="n">
        <f aca="false">R1629*K1629</f>
        <v>12775000</v>
      </c>
      <c r="V1629" s="0" t="str">
        <f aca="false">IF(COUNTIFS($A$2:A1629,A1629,$C$2:C1629,C1629,$D$2:D1629,D1629)&gt;1,"중복","")</f>
        <v/>
      </c>
      <c r="W1629" s="0" t="n">
        <f aca="false">IF(V1629="중복",0,N(D1629))</f>
        <v>352</v>
      </c>
      <c r="X1629" s="0" t="n">
        <f aca="false">IF(COUNTIFS($A$2:A1629,A1629,$C$2:C1629,C1629)=1,ABS(SUMIFS(RAW_발주!$D:$D,RAW_발주!$C:$C,A1629,RAW_발주!$A:$A,C1629)-SUMIFS($W:$W,$A:$A,A1629,$C:$C,C1629)),0)</f>
        <v>0</v>
      </c>
    </row>
    <row r="1630" customFormat="false" ht="15" hidden="false" customHeight="true" outlineLevel="0" collapsed="false">
      <c r="A1630" s="45" t="s">
        <v>1659</v>
      </c>
      <c r="B1630" s="42" t="str">
        <f aca="false">IF(A1630="100","HK",IF(A1630="200","CN",IF(A1630="300","TW","홀세일")))</f>
        <v>HK</v>
      </c>
      <c r="C1630" s="45" t="s">
        <v>1718</v>
      </c>
      <c r="D1630" s="46" t="n">
        <v>90</v>
      </c>
      <c r="E1630" s="46" t="n">
        <v>189000</v>
      </c>
      <c r="F1630" s="46" t="n">
        <v>59300</v>
      </c>
      <c r="G1630" s="42" t="n">
        <v>3.06</v>
      </c>
      <c r="H1630" s="42" t="n">
        <v>47.3</v>
      </c>
      <c r="J1630" s="46" t="n">
        <f aca="false">IF(N(E1630)&gt;0,E1630,IF(N(F1630)&gt;0,F1630*요약!$F$27,0))</f>
        <v>189000</v>
      </c>
      <c r="K1630" s="46" t="n">
        <f aca="false">IF(N(F1630)&gt;0,F1630,IF(N(E1630)&gt;0,E1630/요약!$F$27,0))</f>
        <v>59300</v>
      </c>
      <c r="L1630" s="46" t="n">
        <f aca="false">IF(B1630="CN",IF(N(I1630)&gt;0,I1630*요약!$G$27,K1630*(1+요약!$E$27)),IF(N(H1630)&gt;0,H1630*요약!$G$27,J1630*요약!$D$27))</f>
        <v>62436</v>
      </c>
      <c r="M1630" s="46" t="n">
        <f aca="false">D1630*J1630</f>
        <v>17010000</v>
      </c>
      <c r="N1630" s="46" t="n">
        <f aca="false">D1630*K1630</f>
        <v>5337000</v>
      </c>
      <c r="O1630" s="46" t="n">
        <f aca="false">D1630*L1630</f>
        <v>5619240</v>
      </c>
      <c r="P1630" s="42" t="str">
        <f aca="false">TRIM(IF(N(E1630)&lt;=0,"택가보정 ","")&amp;IF(N(F1630)&lt;=0,"원가보정 ","")&amp;IF(AND(B1630&lt;&gt;"CN",N(H1630)&lt;=0),"공급가보정 ","")&amp;IF(AND(B1630="CN",N(I1630)&lt;=0),"중국공급가=원가+마진 ",""))</f>
        <v/>
      </c>
      <c r="Q1630" s="47" t="n">
        <f aca="false">IF(SUMIFS($W:$W,$A:$A,A1630,$C:$C,C1630)=0,0,SUMIFS(RAW_판매펀칭!$K:$K,RAW_판매펀칭!$P:$P,A1630,RAW_판매펀칭!$I:$I,C1630)*W1630/SUMIFS($W:$W,$A:$A,A1630,$C:$C,C1630))</f>
        <v>0</v>
      </c>
      <c r="R1630" s="47" t="n">
        <f aca="false">IF(OR(A1630="500",A1630="800",A1630="810"),0,MAX(W1630-Q1630,0))</f>
        <v>90</v>
      </c>
      <c r="S1630" s="47" t="n">
        <f aca="false">R1630*L1630</f>
        <v>5619240</v>
      </c>
      <c r="T1630" s="47" t="n">
        <f aca="false">R1630*J1630</f>
        <v>17010000</v>
      </c>
      <c r="U1630" s="47" t="n">
        <f aca="false">R1630*K1630</f>
        <v>5337000</v>
      </c>
      <c r="V1630" s="0" t="str">
        <f aca="false">IF(COUNTIFS($A$2:A1630,A1630,$C$2:C1630,C1630,$D$2:D1630,D1630)&gt;1,"중복","")</f>
        <v/>
      </c>
      <c r="W1630" s="0" t="n">
        <f aca="false">IF(V1630="중복",0,N(D1630))</f>
        <v>90</v>
      </c>
      <c r="X1630" s="0" t="n">
        <f aca="false">IF(COUNTIFS($A$2:A1630,A1630,$C$2:C1630,C1630)=1,ABS(SUMIFS(RAW_발주!$D:$D,RAW_발주!$C:$C,A1630,RAW_발주!$A:$A,C1630)-SUMIFS($W:$W,$A:$A,A1630,$C:$C,C1630)),0)</f>
        <v>0</v>
      </c>
    </row>
    <row r="1631" customFormat="false" ht="15" hidden="false" customHeight="true" outlineLevel="0" collapsed="false">
      <c r="A1631" s="45" t="s">
        <v>1661</v>
      </c>
      <c r="B1631" s="42" t="str">
        <f aca="false">IF(A1631="100","HK",IF(A1631="200","CN",IF(A1631="300","TW","홀세일")))</f>
        <v>TW</v>
      </c>
      <c r="C1631" s="45" t="s">
        <v>1718</v>
      </c>
      <c r="D1631" s="46" t="n">
        <v>150</v>
      </c>
      <c r="E1631" s="46" t="n">
        <v>189000</v>
      </c>
      <c r="F1631" s="46" t="n">
        <v>59300</v>
      </c>
      <c r="G1631" s="42" t="n">
        <v>3.06</v>
      </c>
      <c r="H1631" s="42" t="n">
        <v>47.3</v>
      </c>
      <c r="J1631" s="46" t="n">
        <f aca="false">IF(N(E1631)&gt;0,E1631,IF(N(F1631)&gt;0,F1631*요약!$F$27,0))</f>
        <v>189000</v>
      </c>
      <c r="K1631" s="46" t="n">
        <f aca="false">IF(N(F1631)&gt;0,F1631,IF(N(E1631)&gt;0,E1631/요약!$F$27,0))</f>
        <v>59300</v>
      </c>
      <c r="L1631" s="46" t="n">
        <f aca="false">IF(B1631="CN",IF(N(I1631)&gt;0,I1631*요약!$G$27,K1631*(1+요약!$E$27)),IF(N(H1631)&gt;0,H1631*요약!$G$27,J1631*요약!$D$27))</f>
        <v>62436</v>
      </c>
      <c r="M1631" s="46" t="n">
        <f aca="false">D1631*J1631</f>
        <v>28350000</v>
      </c>
      <c r="N1631" s="46" t="n">
        <f aca="false">D1631*K1631</f>
        <v>8895000</v>
      </c>
      <c r="O1631" s="46" t="n">
        <f aca="false">D1631*L1631</f>
        <v>9365400</v>
      </c>
      <c r="P1631" s="42" t="str">
        <f aca="false">TRIM(IF(N(E1631)&lt;=0,"택가보정 ","")&amp;IF(N(F1631)&lt;=0,"원가보정 ","")&amp;IF(AND(B1631&lt;&gt;"CN",N(H1631)&lt;=0),"공급가보정 ","")&amp;IF(AND(B1631="CN",N(I1631)&lt;=0),"중국공급가=원가+마진 ",""))</f>
        <v/>
      </c>
      <c r="Q1631" s="47" t="n">
        <f aca="false">IF(SUMIFS($W:$W,$A:$A,A1631,$C:$C,C1631)=0,0,SUMIFS(RAW_판매펀칭!$K:$K,RAW_판매펀칭!$P:$P,A1631,RAW_판매펀칭!$I:$I,C1631)*W1631/SUMIFS($W:$W,$A:$A,A1631,$C:$C,C1631))</f>
        <v>0</v>
      </c>
      <c r="R1631" s="47" t="n">
        <f aca="false">IF(OR(A1631="500",A1631="800",A1631="810"),0,MAX(W1631-Q1631,0))</f>
        <v>150</v>
      </c>
      <c r="S1631" s="47" t="n">
        <f aca="false">R1631*L1631</f>
        <v>9365400</v>
      </c>
      <c r="T1631" s="47" t="n">
        <f aca="false">R1631*J1631</f>
        <v>28350000</v>
      </c>
      <c r="U1631" s="47" t="n">
        <f aca="false">R1631*K1631</f>
        <v>8895000</v>
      </c>
      <c r="V1631" s="0" t="str">
        <f aca="false">IF(COUNTIFS($A$2:A1631,A1631,$C$2:C1631,C1631,$D$2:D1631,D1631)&gt;1,"중복","")</f>
        <v/>
      </c>
      <c r="W1631" s="0" t="n">
        <f aca="false">IF(V1631="중복",0,N(D1631))</f>
        <v>150</v>
      </c>
      <c r="X1631" s="0" t="n">
        <f aca="false">IF(COUNTIFS($A$2:A1631,A1631,$C$2:C1631,C1631)=1,ABS(SUMIFS(RAW_발주!$D:$D,RAW_발주!$C:$C,A1631,RAW_발주!$A:$A,C1631)-SUMIFS($W:$W,$A:$A,A1631,$C:$C,C1631)),0)</f>
        <v>0</v>
      </c>
    </row>
    <row r="1632" customFormat="false" ht="15.75" hidden="false" customHeight="true" outlineLevel="0" collapsed="false">
      <c r="A1632" s="45" t="s">
        <v>1660</v>
      </c>
      <c r="B1632" s="42" t="str">
        <f aca="false">IF(A1632="100","HK",IF(A1632="200","CN",IF(A1632="300","TW","홀세일")))</f>
        <v>CN</v>
      </c>
      <c r="C1632" s="45" t="s">
        <v>1127</v>
      </c>
      <c r="D1632" s="46" t="n">
        <v>453</v>
      </c>
      <c r="E1632" s="46"/>
      <c r="F1632" s="46" t="n">
        <v>55000</v>
      </c>
      <c r="G1632" s="42" t="n">
        <v>0</v>
      </c>
      <c r="J1632" s="46" t="n">
        <f aca="false">IF(N(E1632)&gt;0,E1632,IF(N(F1632)&gt;0,F1632*요약!$F$27,0))</f>
        <v>220000</v>
      </c>
      <c r="K1632" s="46" t="n">
        <f aca="false">IF(N(F1632)&gt;0,F1632,IF(N(E1632)&gt;0,E1632/요약!$F$27,0))</f>
        <v>55000</v>
      </c>
      <c r="L1632" s="46" t="n">
        <f aca="false">IF(B1632="CN",IF(N(I1632)&gt;0,I1632*요약!$G$27,K1632*(1+요약!$E$27)),IF(N(H1632)&gt;0,H1632*요약!$G$27,J1632*요약!$D$27))</f>
        <v>57750</v>
      </c>
      <c r="M1632" s="46" t="n">
        <f aca="false">D1632*J1632</f>
        <v>99660000</v>
      </c>
      <c r="N1632" s="46" t="n">
        <f aca="false">D1632*K1632</f>
        <v>24915000</v>
      </c>
      <c r="O1632" s="46" t="n">
        <f aca="false">D1632*L1632</f>
        <v>26160750</v>
      </c>
      <c r="P1632" s="42" t="str">
        <f aca="false">TRIM(IF(N(E1632)&lt;=0,"택가보정 ","")&amp;IF(N(F1632)&lt;=0,"원가보정 ","")&amp;IF(AND(B1632&lt;&gt;"CN",N(H1632)&lt;=0),"공급가보정 ","")&amp;IF(AND(B1632="CN",N(I1632)&lt;=0),"중국공급가=원가+마진 ",""))</f>
        <v>택가보정 중국공급가=원가+마진</v>
      </c>
      <c r="Q1632" s="47" t="n">
        <f aca="false">IF(SUMIFS($W:$W,$A:$A,A1632,$C:$C,C1632)=0,0,SUMIFS(RAW_판매펀칭!$K:$K,RAW_판매펀칭!$P:$P,A1632,RAW_판매펀칭!$I:$I,C1632)*W1632/SUMIFS($W:$W,$A:$A,A1632,$C:$C,C1632))</f>
        <v>8</v>
      </c>
      <c r="R1632" s="47" t="n">
        <f aca="false">IF(OR(A1632="500",A1632="800",A1632="810"),0,MAX(W1632-Q1632,0))</f>
        <v>445</v>
      </c>
      <c r="S1632" s="47" t="n">
        <f aca="false">R1632*L1632</f>
        <v>25698750</v>
      </c>
      <c r="T1632" s="47" t="n">
        <f aca="false">R1632*J1632</f>
        <v>97900000</v>
      </c>
      <c r="U1632" s="47" t="n">
        <f aca="false">R1632*K1632</f>
        <v>24475000</v>
      </c>
      <c r="V1632" s="0" t="str">
        <f aca="false">IF(COUNTIFS($A$2:A1632,A1632,$C$2:C1632,C1632,$D$2:D1632,D1632)&gt;1,"중복","")</f>
        <v/>
      </c>
      <c r="W1632" s="0" t="n">
        <f aca="false">IF(V1632="중복",0,N(D1632))</f>
        <v>453</v>
      </c>
      <c r="X1632" s="0" t="n">
        <f aca="false">IF(COUNTIFS($A$2:A1632,A1632,$C$2:C1632,C1632)=1,ABS(SUMIFS(RAW_발주!$D:$D,RAW_발주!$C:$C,A1632,RAW_발주!$A:$A,C1632)-SUMIFS($W:$W,$A:$A,A1632,$C:$C,C1632)),0)</f>
        <v>0</v>
      </c>
    </row>
    <row r="1633" customFormat="false" ht="15" hidden="false" customHeight="true" outlineLevel="0" collapsed="false">
      <c r="A1633" s="45" t="s">
        <v>1659</v>
      </c>
      <c r="B1633" s="42" t="str">
        <f aca="false">IF(A1633="100","HK",IF(A1633="200","CN",IF(A1633="300","TW","홀세일")))</f>
        <v>HK</v>
      </c>
      <c r="C1633" s="45" t="s">
        <v>976</v>
      </c>
      <c r="D1633" s="46" t="n">
        <v>400</v>
      </c>
      <c r="E1633" s="46"/>
      <c r="F1633" s="46" t="n">
        <v>39084</v>
      </c>
      <c r="G1633" s="42" t="n">
        <v>0</v>
      </c>
      <c r="H1633" s="42" t="n">
        <v>47.6</v>
      </c>
      <c r="J1633" s="46" t="n">
        <f aca="false">IF(N(E1633)&gt;0,E1633,IF(N(F1633)&gt;0,F1633*요약!$F$27,0))</f>
        <v>156336</v>
      </c>
      <c r="K1633" s="46" t="n">
        <f aca="false">IF(N(F1633)&gt;0,F1633,IF(N(E1633)&gt;0,E1633/요약!$F$27,0))</f>
        <v>39084</v>
      </c>
      <c r="L1633" s="46" t="n">
        <f aca="false">IF(B1633="CN",IF(N(I1633)&gt;0,I1633*요약!$G$27,K1633*(1+요약!$E$27)),IF(N(H1633)&gt;0,H1633*요약!$G$27,J1633*요약!$D$27))</f>
        <v>62832</v>
      </c>
      <c r="M1633" s="46" t="n">
        <f aca="false">D1633*J1633</f>
        <v>62534400</v>
      </c>
      <c r="N1633" s="46" t="n">
        <f aca="false">D1633*K1633</f>
        <v>15633600</v>
      </c>
      <c r="O1633" s="46" t="n">
        <f aca="false">D1633*L1633</f>
        <v>25132800</v>
      </c>
      <c r="P1633" s="42" t="str">
        <f aca="false">TRIM(IF(N(E1633)&lt;=0,"택가보정 ","")&amp;IF(N(F1633)&lt;=0,"원가보정 ","")&amp;IF(AND(B1633&lt;&gt;"CN",N(H1633)&lt;=0),"공급가보정 ","")&amp;IF(AND(B1633="CN",N(I1633)&lt;=0),"중국공급가=원가+마진 ",""))</f>
        <v>택가보정</v>
      </c>
      <c r="Q1633" s="47" t="n">
        <f aca="false">IF(SUMIFS($W:$W,$A:$A,A1633,$C:$C,C1633)=0,0,SUMIFS(RAW_판매펀칭!$K:$K,RAW_판매펀칭!$P:$P,A1633,RAW_판매펀칭!$I:$I,C1633)*W1633/SUMIFS($W:$W,$A:$A,A1633,$C:$C,C1633))</f>
        <v>389</v>
      </c>
      <c r="R1633" s="47" t="n">
        <f aca="false">IF(OR(A1633="500",A1633="800",A1633="810"),0,MAX(W1633-Q1633,0))</f>
        <v>11</v>
      </c>
      <c r="S1633" s="47" t="n">
        <f aca="false">R1633*L1633</f>
        <v>691152</v>
      </c>
      <c r="T1633" s="47" t="n">
        <f aca="false">R1633*J1633</f>
        <v>1719696</v>
      </c>
      <c r="U1633" s="47" t="n">
        <f aca="false">R1633*K1633</f>
        <v>429924</v>
      </c>
      <c r="V1633" s="0" t="str">
        <f aca="false">IF(COUNTIFS($A$2:A1633,A1633,$C$2:C1633,C1633,$D$2:D1633,D1633)&gt;1,"중복","")</f>
        <v/>
      </c>
      <c r="W1633" s="0" t="n">
        <f aca="false">IF(V1633="중복",0,N(D1633))</f>
        <v>400</v>
      </c>
      <c r="X1633" s="0" t="n">
        <f aca="false">IF(COUNTIFS($A$2:A1633,A1633,$C$2:C1633,C1633)=1,ABS(SUMIFS(RAW_발주!$D:$D,RAW_발주!$C:$C,A1633,RAW_발주!$A:$A,C1633)-SUMIFS($W:$W,$A:$A,A1633,$C:$C,C1633)),0)</f>
        <v>0</v>
      </c>
    </row>
    <row r="1634" customFormat="false" ht="15.75" hidden="false" customHeight="true" outlineLevel="0" collapsed="false">
      <c r="A1634" s="45" t="s">
        <v>1660</v>
      </c>
      <c r="B1634" s="42" t="str">
        <f aca="false">IF(A1634="100","HK",IF(A1634="200","CN",IF(A1634="300","TW","홀세일")))</f>
        <v>CN</v>
      </c>
      <c r="C1634" s="45" t="s">
        <v>976</v>
      </c>
      <c r="D1634" s="46" t="n">
        <v>222</v>
      </c>
      <c r="E1634" s="46"/>
      <c r="F1634" s="46" t="n">
        <v>39084</v>
      </c>
      <c r="G1634" s="42" t="n">
        <v>0</v>
      </c>
      <c r="H1634" s="42" t="n">
        <v>47.6</v>
      </c>
      <c r="J1634" s="46" t="n">
        <f aca="false">IF(N(E1634)&gt;0,E1634,IF(N(F1634)&gt;0,F1634*요약!$F$27,0))</f>
        <v>156336</v>
      </c>
      <c r="K1634" s="46" t="n">
        <f aca="false">IF(N(F1634)&gt;0,F1634,IF(N(E1634)&gt;0,E1634/요약!$F$27,0))</f>
        <v>39084</v>
      </c>
      <c r="L1634" s="46" t="n">
        <f aca="false">IF(B1634="CN",IF(N(I1634)&gt;0,I1634*요약!$G$27,K1634*(1+요약!$E$27)),IF(N(H1634)&gt;0,H1634*요약!$G$27,J1634*요약!$D$27))</f>
        <v>41038.2</v>
      </c>
      <c r="M1634" s="46" t="n">
        <f aca="false">D1634*J1634</f>
        <v>34706592</v>
      </c>
      <c r="N1634" s="46" t="n">
        <f aca="false">D1634*K1634</f>
        <v>8676648</v>
      </c>
      <c r="O1634" s="46" t="n">
        <f aca="false">D1634*L1634</f>
        <v>9110480.4</v>
      </c>
      <c r="P1634" s="42" t="str">
        <f aca="false">TRIM(IF(N(E1634)&lt;=0,"택가보정 ","")&amp;IF(N(F1634)&lt;=0,"원가보정 ","")&amp;IF(AND(B1634&lt;&gt;"CN",N(H1634)&lt;=0),"공급가보정 ","")&amp;IF(AND(B1634="CN",N(I1634)&lt;=0),"중국공급가=원가+마진 ",""))</f>
        <v>택가보정 중국공급가=원가+마진</v>
      </c>
      <c r="Q1634" s="47" t="n">
        <f aca="false">IF(SUMIFS($W:$W,$A:$A,A1634,$C:$C,C1634)=0,0,SUMIFS(RAW_판매펀칭!$K:$K,RAW_판매펀칭!$P:$P,A1634,RAW_판매펀칭!$I:$I,C1634)*W1634/SUMIFS($W:$W,$A:$A,A1634,$C:$C,C1634))</f>
        <v>222</v>
      </c>
      <c r="R1634" s="47" t="n">
        <f aca="false">IF(OR(A1634="500",A1634="800",A1634="810"),0,MAX(W1634-Q1634,0))</f>
        <v>0</v>
      </c>
      <c r="S1634" s="47" t="n">
        <f aca="false">R1634*L1634</f>
        <v>0</v>
      </c>
      <c r="T1634" s="47" t="n">
        <f aca="false">R1634*J1634</f>
        <v>0</v>
      </c>
      <c r="U1634" s="47" t="n">
        <f aca="false">R1634*K1634</f>
        <v>0</v>
      </c>
      <c r="V1634" s="0" t="str">
        <f aca="false">IF(COUNTIFS($A$2:A1634,A1634,$C$2:C1634,C1634,$D$2:D1634,D1634)&gt;1,"중복","")</f>
        <v/>
      </c>
      <c r="W1634" s="0" t="n">
        <f aca="false">IF(V1634="중복",0,N(D1634))</f>
        <v>222</v>
      </c>
      <c r="X1634" s="0" t="n">
        <f aca="false">IF(COUNTIFS($A$2:A1634,A1634,$C$2:C1634,C1634)=1,ABS(SUMIFS(RAW_발주!$D:$D,RAW_발주!$C:$C,A1634,RAW_발주!$A:$A,C1634)-SUMIFS($W:$W,$A:$A,A1634,$C:$C,C1634)),0)</f>
        <v>0</v>
      </c>
    </row>
    <row r="1635" customFormat="false" ht="15" hidden="false" customHeight="true" outlineLevel="0" collapsed="false">
      <c r="A1635" s="45" t="s">
        <v>1661</v>
      </c>
      <c r="B1635" s="42" t="str">
        <f aca="false">IF(A1635="100","HK",IF(A1635="200","CN",IF(A1635="300","TW","홀세일")))</f>
        <v>TW</v>
      </c>
      <c r="C1635" s="45" t="s">
        <v>1719</v>
      </c>
      <c r="D1635" s="46" t="n">
        <v>250</v>
      </c>
      <c r="E1635" s="46" t="n">
        <v>229000</v>
      </c>
      <c r="F1635" s="46" t="n">
        <v>65000</v>
      </c>
      <c r="G1635" s="42" t="n">
        <v>3.2</v>
      </c>
      <c r="H1635" s="42" t="n">
        <v>60.8</v>
      </c>
      <c r="J1635" s="46" t="n">
        <f aca="false">IF(N(E1635)&gt;0,E1635,IF(N(F1635)&gt;0,F1635*요약!$F$27,0))</f>
        <v>229000</v>
      </c>
      <c r="K1635" s="46" t="n">
        <f aca="false">IF(N(F1635)&gt;0,F1635,IF(N(E1635)&gt;0,E1635/요약!$F$27,0))</f>
        <v>65000</v>
      </c>
      <c r="L1635" s="46" t="n">
        <f aca="false">IF(B1635="CN",IF(N(I1635)&gt;0,I1635*요약!$G$27,K1635*(1+요약!$E$27)),IF(N(H1635)&gt;0,H1635*요약!$G$27,J1635*요약!$D$27))</f>
        <v>80256</v>
      </c>
      <c r="M1635" s="46" t="n">
        <f aca="false">D1635*J1635</f>
        <v>57250000</v>
      </c>
      <c r="N1635" s="46" t="n">
        <f aca="false">D1635*K1635</f>
        <v>16250000</v>
      </c>
      <c r="O1635" s="46" t="n">
        <f aca="false">D1635*L1635</f>
        <v>20064000</v>
      </c>
      <c r="P1635" s="42" t="str">
        <f aca="false">TRIM(IF(N(E1635)&lt;=0,"택가보정 ","")&amp;IF(N(F1635)&lt;=0,"원가보정 ","")&amp;IF(AND(B1635&lt;&gt;"CN",N(H1635)&lt;=0),"공급가보정 ","")&amp;IF(AND(B1635="CN",N(I1635)&lt;=0),"중국공급가=원가+마진 ",""))</f>
        <v/>
      </c>
      <c r="Q1635" s="47" t="n">
        <f aca="false">IF(SUMIFS($W:$W,$A:$A,A1635,$C:$C,C1635)=0,0,SUMIFS(RAW_판매펀칭!$K:$K,RAW_판매펀칭!$P:$P,A1635,RAW_판매펀칭!$I:$I,C1635)*W1635/SUMIFS($W:$W,$A:$A,A1635,$C:$C,C1635))</f>
        <v>0</v>
      </c>
      <c r="R1635" s="47" t="n">
        <f aca="false">IF(OR(A1635="500",A1635="800",A1635="810"),0,MAX(W1635-Q1635,0))</f>
        <v>250</v>
      </c>
      <c r="S1635" s="47" t="n">
        <f aca="false">R1635*L1635</f>
        <v>20064000</v>
      </c>
      <c r="T1635" s="47" t="n">
        <f aca="false">R1635*J1635</f>
        <v>57250000</v>
      </c>
      <c r="U1635" s="47" t="n">
        <f aca="false">R1635*K1635</f>
        <v>16250000</v>
      </c>
      <c r="V1635" s="0" t="str">
        <f aca="false">IF(COUNTIFS($A$2:A1635,A1635,$C$2:C1635,C1635,$D$2:D1635,D1635)&gt;1,"중복","")</f>
        <v/>
      </c>
      <c r="W1635" s="0" t="n">
        <f aca="false">IF(V1635="중복",0,N(D1635))</f>
        <v>250</v>
      </c>
      <c r="X1635" s="0" t="n">
        <f aca="false">IF(COUNTIFS($A$2:A1635,A1635,$C$2:C1635,C1635)=1,ABS(SUMIFS(RAW_발주!$D:$D,RAW_발주!$C:$C,A1635,RAW_발주!$A:$A,C1635)-SUMIFS($W:$W,$A:$A,A1635,$C:$C,C1635)),0)</f>
        <v>0</v>
      </c>
    </row>
    <row r="1636" customFormat="false" ht="15" hidden="false" customHeight="true" outlineLevel="0" collapsed="false">
      <c r="A1636" s="45" t="s">
        <v>1659</v>
      </c>
      <c r="B1636" s="42" t="str">
        <f aca="false">IF(A1636="100","HK",IF(A1636="200","CN",IF(A1636="300","TW","홀세일")))</f>
        <v>HK</v>
      </c>
      <c r="C1636" s="45" t="s">
        <v>1720</v>
      </c>
      <c r="D1636" s="46" t="n">
        <v>250</v>
      </c>
      <c r="E1636" s="46" t="n">
        <v>229000</v>
      </c>
      <c r="F1636" s="46" t="n">
        <v>64100</v>
      </c>
      <c r="G1636" s="42" t="n">
        <v>3.1</v>
      </c>
      <c r="H1636" s="42" t="n">
        <v>60.8</v>
      </c>
      <c r="J1636" s="46" t="n">
        <f aca="false">IF(N(E1636)&gt;0,E1636,IF(N(F1636)&gt;0,F1636*요약!$F$27,0))</f>
        <v>229000</v>
      </c>
      <c r="K1636" s="46" t="n">
        <f aca="false">IF(N(F1636)&gt;0,F1636,IF(N(E1636)&gt;0,E1636/요약!$F$27,0))</f>
        <v>64100</v>
      </c>
      <c r="L1636" s="46" t="n">
        <f aca="false">IF(B1636="CN",IF(N(I1636)&gt;0,I1636*요약!$G$27,K1636*(1+요약!$E$27)),IF(N(H1636)&gt;0,H1636*요약!$G$27,J1636*요약!$D$27))</f>
        <v>80256</v>
      </c>
      <c r="M1636" s="46" t="n">
        <f aca="false">D1636*J1636</f>
        <v>57250000</v>
      </c>
      <c r="N1636" s="46" t="n">
        <f aca="false">D1636*K1636</f>
        <v>16025000</v>
      </c>
      <c r="O1636" s="46" t="n">
        <f aca="false">D1636*L1636</f>
        <v>20064000</v>
      </c>
      <c r="P1636" s="42" t="str">
        <f aca="false">TRIM(IF(N(E1636)&lt;=0,"택가보정 ","")&amp;IF(N(F1636)&lt;=0,"원가보정 ","")&amp;IF(AND(B1636&lt;&gt;"CN",N(H1636)&lt;=0),"공급가보정 ","")&amp;IF(AND(B1636="CN",N(I1636)&lt;=0),"중국공급가=원가+마진 ",""))</f>
        <v/>
      </c>
      <c r="Q1636" s="47" t="n">
        <f aca="false">IF(SUMIFS($W:$W,$A:$A,A1636,$C:$C,C1636)=0,0,SUMIFS(RAW_판매펀칭!$K:$K,RAW_판매펀칭!$P:$P,A1636,RAW_판매펀칭!$I:$I,C1636)*W1636/SUMIFS($W:$W,$A:$A,A1636,$C:$C,C1636))</f>
        <v>0</v>
      </c>
      <c r="R1636" s="47" t="n">
        <f aca="false">IF(OR(A1636="500",A1636="800",A1636="810"),0,MAX(W1636-Q1636,0))</f>
        <v>250</v>
      </c>
      <c r="S1636" s="47" t="n">
        <f aca="false">R1636*L1636</f>
        <v>20064000</v>
      </c>
      <c r="T1636" s="47" t="n">
        <f aca="false">R1636*J1636</f>
        <v>57250000</v>
      </c>
      <c r="U1636" s="47" t="n">
        <f aca="false">R1636*K1636</f>
        <v>16025000</v>
      </c>
      <c r="V1636" s="0" t="str">
        <f aca="false">IF(COUNTIFS($A$2:A1636,A1636,$C$2:C1636,C1636,$D$2:D1636,D1636)&gt;1,"중복","")</f>
        <v/>
      </c>
      <c r="W1636" s="0" t="n">
        <f aca="false">IF(V1636="중복",0,N(D1636))</f>
        <v>250</v>
      </c>
      <c r="X1636" s="0" t="n">
        <f aca="false">IF(COUNTIFS($A$2:A1636,A1636,$C$2:C1636,C1636)=1,ABS(SUMIFS(RAW_발주!$D:$D,RAW_발주!$C:$C,A1636,RAW_발주!$A:$A,C1636)-SUMIFS($W:$W,$A:$A,A1636,$C:$C,C1636)),0)</f>
        <v>0</v>
      </c>
    </row>
    <row r="1637" customFormat="false" ht="15" hidden="false" customHeight="true" outlineLevel="0" collapsed="false">
      <c r="A1637" s="45" t="s">
        <v>1661</v>
      </c>
      <c r="B1637" s="42" t="str">
        <f aca="false">IF(A1637="100","HK",IF(A1637="200","CN",IF(A1637="300","TW","홀세일")))</f>
        <v>TW</v>
      </c>
      <c r="C1637" s="45" t="s">
        <v>1720</v>
      </c>
      <c r="D1637" s="46" t="n">
        <v>260</v>
      </c>
      <c r="E1637" s="46" t="n">
        <v>229000</v>
      </c>
      <c r="F1637" s="46" t="n">
        <v>64100</v>
      </c>
      <c r="G1637" s="42" t="n">
        <v>3.1</v>
      </c>
      <c r="H1637" s="42" t="n">
        <v>60.8</v>
      </c>
      <c r="J1637" s="46" t="n">
        <f aca="false">IF(N(E1637)&gt;0,E1637,IF(N(F1637)&gt;0,F1637*요약!$F$27,0))</f>
        <v>229000</v>
      </c>
      <c r="K1637" s="46" t="n">
        <f aca="false">IF(N(F1637)&gt;0,F1637,IF(N(E1637)&gt;0,E1637/요약!$F$27,0))</f>
        <v>64100</v>
      </c>
      <c r="L1637" s="46" t="n">
        <f aca="false">IF(B1637="CN",IF(N(I1637)&gt;0,I1637*요약!$G$27,K1637*(1+요약!$E$27)),IF(N(H1637)&gt;0,H1637*요약!$G$27,J1637*요약!$D$27))</f>
        <v>80256</v>
      </c>
      <c r="M1637" s="46" t="n">
        <f aca="false">D1637*J1637</f>
        <v>59540000</v>
      </c>
      <c r="N1637" s="46" t="n">
        <f aca="false">D1637*K1637</f>
        <v>16666000</v>
      </c>
      <c r="O1637" s="46" t="n">
        <f aca="false">D1637*L1637</f>
        <v>20866560</v>
      </c>
      <c r="P1637" s="42" t="str">
        <f aca="false">TRIM(IF(N(E1637)&lt;=0,"택가보정 ","")&amp;IF(N(F1637)&lt;=0,"원가보정 ","")&amp;IF(AND(B1637&lt;&gt;"CN",N(H1637)&lt;=0),"공급가보정 ","")&amp;IF(AND(B1637="CN",N(I1637)&lt;=0),"중국공급가=원가+마진 ",""))</f>
        <v/>
      </c>
      <c r="Q1637" s="47" t="n">
        <f aca="false">IF(SUMIFS($W:$W,$A:$A,A1637,$C:$C,C1637)=0,0,SUMIFS(RAW_판매펀칭!$K:$K,RAW_판매펀칭!$P:$P,A1637,RAW_판매펀칭!$I:$I,C1637)*W1637/SUMIFS($W:$W,$A:$A,A1637,$C:$C,C1637))</f>
        <v>0</v>
      </c>
      <c r="R1637" s="47" t="n">
        <f aca="false">IF(OR(A1637="500",A1637="800",A1637="810"),0,MAX(W1637-Q1637,0))</f>
        <v>260</v>
      </c>
      <c r="S1637" s="47" t="n">
        <f aca="false">R1637*L1637</f>
        <v>20866560</v>
      </c>
      <c r="T1637" s="47" t="n">
        <f aca="false">R1637*J1637</f>
        <v>59540000</v>
      </c>
      <c r="U1637" s="47" t="n">
        <f aca="false">R1637*K1637</f>
        <v>16666000</v>
      </c>
      <c r="V1637" s="0" t="str">
        <f aca="false">IF(COUNTIFS($A$2:A1637,A1637,$C$2:C1637,C1637,$D$2:D1637,D1637)&gt;1,"중복","")</f>
        <v/>
      </c>
      <c r="W1637" s="0" t="n">
        <f aca="false">IF(V1637="중복",0,N(D1637))</f>
        <v>260</v>
      </c>
      <c r="X1637" s="0" t="n">
        <f aca="false">IF(COUNTIFS($A$2:A1637,A1637,$C$2:C1637,C1637)=1,ABS(SUMIFS(RAW_발주!$D:$D,RAW_발주!$C:$C,A1637,RAW_발주!$A:$A,C1637)-SUMIFS($W:$W,$A:$A,A1637,$C:$C,C1637)),0)</f>
        <v>0</v>
      </c>
    </row>
    <row r="1638" customFormat="false" ht="15" hidden="false" customHeight="true" outlineLevel="0" collapsed="false">
      <c r="A1638" s="45" t="s">
        <v>1661</v>
      </c>
      <c r="B1638" s="42" t="str">
        <f aca="false">IF(A1638="100","HK",IF(A1638="200","CN",IF(A1638="300","TW","홀세일")))</f>
        <v>TW</v>
      </c>
      <c r="C1638" s="45" t="s">
        <v>1721</v>
      </c>
      <c r="D1638" s="46" t="n">
        <v>4419</v>
      </c>
      <c r="E1638" s="46"/>
      <c r="F1638" s="46"/>
      <c r="G1638" s="42" t="n">
        <v>0</v>
      </c>
      <c r="J1638" s="46" t="n">
        <f aca="false">IF(N(E1638)&gt;0,E1638,IF(N(F1638)&gt;0,F1638*요약!$F$27,0))</f>
        <v>0</v>
      </c>
      <c r="K1638" s="46" t="n">
        <f aca="false">IF(N(F1638)&gt;0,F1638,IF(N(E1638)&gt;0,E1638/요약!$F$27,0))</f>
        <v>0</v>
      </c>
      <c r="L1638" s="46" t="n">
        <f aca="false">IF(B1638="CN",IF(N(I1638)&gt;0,I1638*요약!$G$27,K1638*(1+요약!$E$27)),IF(N(H1638)&gt;0,H1638*요약!$G$27,J1638*요약!$D$27))</f>
        <v>0</v>
      </c>
      <c r="M1638" s="46" t="n">
        <f aca="false">D1638*J1638</f>
        <v>0</v>
      </c>
      <c r="N1638" s="46" t="n">
        <f aca="false">D1638*K1638</f>
        <v>0</v>
      </c>
      <c r="O1638" s="46" t="n">
        <f aca="false">D1638*L1638</f>
        <v>0</v>
      </c>
      <c r="P1638" s="42" t="str">
        <f aca="false">TRIM(IF(N(E1638)&lt;=0,"택가보정 ","")&amp;IF(N(F1638)&lt;=0,"원가보정 ","")&amp;IF(AND(B1638&lt;&gt;"CN",N(H1638)&lt;=0),"공급가보정 ","")&amp;IF(AND(B1638="CN",N(I1638)&lt;=0),"중국공급가=원가+마진 ",""))</f>
        <v>택가보정 원가보정 공급가보정</v>
      </c>
      <c r="Q1638" s="47" t="n">
        <f aca="false">IF(SUMIFS($W:$W,$A:$A,A1638,$C:$C,C1638)=0,0,SUMIFS(RAW_판매펀칭!$K:$K,RAW_판매펀칭!$P:$P,A1638,RAW_판매펀칭!$I:$I,C1638)*W1638/SUMIFS($W:$W,$A:$A,A1638,$C:$C,C1638))</f>
        <v>0</v>
      </c>
      <c r="R1638" s="47" t="n">
        <f aca="false">IF(OR(A1638="500",A1638="800",A1638="810"),0,MAX(W1638-Q1638,0))</f>
        <v>4419</v>
      </c>
      <c r="S1638" s="47" t="n">
        <f aca="false">R1638*L1638</f>
        <v>0</v>
      </c>
      <c r="T1638" s="47" t="n">
        <f aca="false">R1638*J1638</f>
        <v>0</v>
      </c>
      <c r="U1638" s="47" t="n">
        <f aca="false">R1638*K1638</f>
        <v>0</v>
      </c>
      <c r="V1638" s="0" t="str">
        <f aca="false">IF(COUNTIFS($A$2:A1638,A1638,$C$2:C1638,C1638,$D$2:D1638,D1638)&gt;1,"중복","")</f>
        <v/>
      </c>
      <c r="W1638" s="0" t="n">
        <f aca="false">IF(V1638="중복",0,N(D1638))</f>
        <v>4419</v>
      </c>
      <c r="X1638" s="0" t="n">
        <f aca="false">IF(COUNTIFS($A$2:A1638,A1638,$C$2:C1638,C1638)=1,ABS(SUMIFS(RAW_발주!$D:$D,RAW_발주!$C:$C,A1638,RAW_발주!$A:$A,C1638)-SUMIFS($W:$W,$A:$A,A1638,$C:$C,C1638)),0)</f>
        <v>0</v>
      </c>
    </row>
    <row r="1639" customFormat="false" ht="15" hidden="false" customHeight="true" outlineLevel="0" collapsed="false">
      <c r="A1639" s="45" t="s">
        <v>1665</v>
      </c>
      <c r="B1639" s="42" t="str">
        <f aca="false">IF(A1639="100","HK",IF(A1639="200","CN",IF(A1639="300","TW","홀세일")))</f>
        <v>홀세일</v>
      </c>
      <c r="C1639" s="45" t="s">
        <v>1477</v>
      </c>
      <c r="D1639" s="46" t="n">
        <v>744</v>
      </c>
      <c r="E1639" s="46" t="n">
        <v>159000</v>
      </c>
      <c r="F1639" s="46" t="n">
        <v>43400</v>
      </c>
      <c r="G1639" s="42" t="n">
        <v>0</v>
      </c>
      <c r="H1639" s="42" t="n">
        <v>39.8</v>
      </c>
      <c r="J1639" s="46" t="n">
        <f aca="false">IF(N(E1639)&gt;0,E1639,IF(N(F1639)&gt;0,F1639*요약!$F$27,0))</f>
        <v>159000</v>
      </c>
      <c r="K1639" s="46" t="n">
        <f aca="false">IF(N(F1639)&gt;0,F1639,IF(N(E1639)&gt;0,E1639/요약!$F$27,0))</f>
        <v>43400</v>
      </c>
      <c r="L1639" s="46" t="n">
        <f aca="false">IF(B1639="CN",IF(N(I1639)&gt;0,I1639*요약!$G$27,K1639*(1+요약!$E$27)),IF(N(H1639)&gt;0,H1639*요약!$G$27,J1639*요약!$D$27))</f>
        <v>52536</v>
      </c>
      <c r="M1639" s="46" t="n">
        <f aca="false">D1639*J1639</f>
        <v>118296000</v>
      </c>
      <c r="N1639" s="46" t="n">
        <f aca="false">D1639*K1639</f>
        <v>32289600</v>
      </c>
      <c r="O1639" s="46" t="n">
        <f aca="false">D1639*L1639</f>
        <v>39086784</v>
      </c>
      <c r="P1639" s="42" t="str">
        <f aca="false">TRIM(IF(N(E1639)&lt;=0,"택가보정 ","")&amp;IF(N(F1639)&lt;=0,"원가보정 ","")&amp;IF(AND(B1639&lt;&gt;"CN",N(H1639)&lt;=0),"공급가보정 ","")&amp;IF(AND(B1639="CN",N(I1639)&lt;=0),"중국공급가=원가+마진 ",""))</f>
        <v/>
      </c>
      <c r="Q1639" s="47" t="n">
        <f aca="false">IF(SUMIFS($W:$W,$A:$A,A1639,$C:$C,C1639)=0,0,SUMIFS(RAW_판매펀칭!$K:$K,RAW_판매펀칭!$P:$P,A1639,RAW_판매펀칭!$I:$I,C1639)*W1639/SUMIFS($W:$W,$A:$A,A1639,$C:$C,C1639))</f>
        <v>744</v>
      </c>
      <c r="R1639" s="47" t="n">
        <f aca="false">IF(OR(A1639="500",A1639="800",A1639="810"),0,MAX(W1639-Q1639,0))</f>
        <v>0</v>
      </c>
      <c r="S1639" s="47" t="n">
        <f aca="false">R1639*L1639</f>
        <v>0</v>
      </c>
      <c r="T1639" s="47" t="n">
        <f aca="false">R1639*J1639</f>
        <v>0</v>
      </c>
      <c r="U1639" s="47" t="n">
        <f aca="false">R1639*K1639</f>
        <v>0</v>
      </c>
      <c r="V1639" s="0" t="str">
        <f aca="false">IF(COUNTIFS($A$2:A1639,A1639,$C$2:C1639,C1639,$D$2:D1639,D1639)&gt;1,"중복","")</f>
        <v/>
      </c>
      <c r="W1639" s="0" t="n">
        <f aca="false">IF(V1639="중복",0,N(D1639))</f>
        <v>744</v>
      </c>
      <c r="X1639" s="0" t="n">
        <f aca="false">IF(COUNTIFS($A$2:A1639,A1639,$C$2:C1639,C1639)=1,ABS(SUMIFS(RAW_발주!$D:$D,RAW_발주!$C:$C,A1639,RAW_발주!$A:$A,C1639)-SUMIFS($W:$W,$A:$A,A1639,$C:$C,C1639)),0)</f>
        <v>0</v>
      </c>
    </row>
    <row r="1640" customFormat="false" ht="15.75" hidden="false" customHeight="true" outlineLevel="0" collapsed="false">
      <c r="A1640" s="45" t="s">
        <v>1660</v>
      </c>
      <c r="B1640" s="42" t="str">
        <f aca="false">IF(A1640="100","HK",IF(A1640="200","CN",IF(A1640="300","TW","홀세일")))</f>
        <v>CN</v>
      </c>
      <c r="C1640" s="45" t="s">
        <v>1722</v>
      </c>
      <c r="D1640" s="46" t="n">
        <v>386</v>
      </c>
      <c r="E1640" s="46" t="n">
        <v>139000</v>
      </c>
      <c r="F1640" s="46" t="n">
        <v>30030</v>
      </c>
      <c r="G1640" s="42" t="n">
        <v>3.66</v>
      </c>
      <c r="H1640" s="42" t="n">
        <v>34.8</v>
      </c>
      <c r="J1640" s="46" t="n">
        <f aca="false">IF(N(E1640)&gt;0,E1640,IF(N(F1640)&gt;0,F1640*요약!$F$27,0))</f>
        <v>139000</v>
      </c>
      <c r="K1640" s="46" t="n">
        <f aca="false">IF(N(F1640)&gt;0,F1640,IF(N(E1640)&gt;0,E1640/요약!$F$27,0))</f>
        <v>30030</v>
      </c>
      <c r="L1640" s="46" t="n">
        <f aca="false">IF(B1640="CN",IF(N(I1640)&gt;0,I1640*요약!$G$27,K1640*(1+요약!$E$27)),IF(N(H1640)&gt;0,H1640*요약!$G$27,J1640*요약!$D$27))</f>
        <v>31531.5</v>
      </c>
      <c r="M1640" s="46" t="n">
        <f aca="false">D1640*J1640</f>
        <v>53654000</v>
      </c>
      <c r="N1640" s="46" t="n">
        <f aca="false">D1640*K1640</f>
        <v>11591580</v>
      </c>
      <c r="O1640" s="46" t="n">
        <f aca="false">D1640*L1640</f>
        <v>12171159</v>
      </c>
      <c r="P1640" s="42" t="str">
        <f aca="false">TRIM(IF(N(E1640)&lt;=0,"택가보정 ","")&amp;IF(N(F1640)&lt;=0,"원가보정 ","")&amp;IF(AND(B1640&lt;&gt;"CN",N(H1640)&lt;=0),"공급가보정 ","")&amp;IF(AND(B1640="CN",N(I1640)&lt;=0),"중국공급가=원가+마진 ",""))</f>
        <v>중국공급가=원가+마진</v>
      </c>
      <c r="Q1640" s="47" t="n">
        <f aca="false">IF(SUMIFS($W:$W,$A:$A,A1640,$C:$C,C1640)=0,0,SUMIFS(RAW_판매펀칭!$K:$K,RAW_판매펀칭!$P:$P,A1640,RAW_판매펀칭!$I:$I,C1640)*W1640/SUMIFS($W:$W,$A:$A,A1640,$C:$C,C1640))</f>
        <v>0</v>
      </c>
      <c r="R1640" s="47" t="n">
        <f aca="false">IF(OR(A1640="500",A1640="800",A1640="810"),0,MAX(W1640-Q1640,0))</f>
        <v>386</v>
      </c>
      <c r="S1640" s="47" t="n">
        <f aca="false">R1640*L1640</f>
        <v>12171159</v>
      </c>
      <c r="T1640" s="47" t="n">
        <f aca="false">R1640*J1640</f>
        <v>53654000</v>
      </c>
      <c r="U1640" s="47" t="n">
        <f aca="false">R1640*K1640</f>
        <v>11591580</v>
      </c>
      <c r="V1640" s="0" t="str">
        <f aca="false">IF(COUNTIFS($A$2:A1640,A1640,$C$2:C1640,C1640,$D$2:D1640,D1640)&gt;1,"중복","")</f>
        <v/>
      </c>
      <c r="W1640" s="0" t="n">
        <f aca="false">IF(V1640="중복",0,N(D1640))</f>
        <v>386</v>
      </c>
      <c r="X1640" s="0" t="n">
        <f aca="false">IF(COUNTIFS($A$2:A1640,A1640,$C$2:C1640,C1640)=1,ABS(SUMIFS(RAW_발주!$D:$D,RAW_발주!$C:$C,A1640,RAW_발주!$A:$A,C1640)-SUMIFS($W:$W,$A:$A,A1640,$C:$C,C1640)),0)</f>
        <v>0</v>
      </c>
    </row>
    <row r="1641" customFormat="false" ht="15" hidden="false" customHeight="true" outlineLevel="0" collapsed="false">
      <c r="A1641" s="45" t="s">
        <v>1659</v>
      </c>
      <c r="B1641" s="42" t="str">
        <f aca="false">IF(A1641="100","HK",IF(A1641="200","CN",IF(A1641="300","TW","홀세일")))</f>
        <v>HK</v>
      </c>
      <c r="C1641" s="45" t="s">
        <v>1723</v>
      </c>
      <c r="D1641" s="46" t="n">
        <v>180</v>
      </c>
      <c r="E1641" s="46" t="n">
        <v>139000</v>
      </c>
      <c r="F1641" s="46" t="n">
        <v>30500</v>
      </c>
      <c r="G1641" s="42" t="n">
        <v>3.66</v>
      </c>
      <c r="H1641" s="42" t="n">
        <v>34.8</v>
      </c>
      <c r="J1641" s="46" t="n">
        <f aca="false">IF(N(E1641)&gt;0,E1641,IF(N(F1641)&gt;0,F1641*요약!$F$27,0))</f>
        <v>139000</v>
      </c>
      <c r="K1641" s="46" t="n">
        <f aca="false">IF(N(F1641)&gt;0,F1641,IF(N(E1641)&gt;0,E1641/요약!$F$27,0))</f>
        <v>30500</v>
      </c>
      <c r="L1641" s="46" t="n">
        <f aca="false">IF(B1641="CN",IF(N(I1641)&gt;0,I1641*요약!$G$27,K1641*(1+요약!$E$27)),IF(N(H1641)&gt;0,H1641*요약!$G$27,J1641*요약!$D$27))</f>
        <v>45936</v>
      </c>
      <c r="M1641" s="46" t="n">
        <f aca="false">D1641*J1641</f>
        <v>25020000</v>
      </c>
      <c r="N1641" s="46" t="n">
        <f aca="false">D1641*K1641</f>
        <v>5490000</v>
      </c>
      <c r="O1641" s="46" t="n">
        <f aca="false">D1641*L1641</f>
        <v>8268480</v>
      </c>
      <c r="P1641" s="42" t="str">
        <f aca="false">TRIM(IF(N(E1641)&lt;=0,"택가보정 ","")&amp;IF(N(F1641)&lt;=0,"원가보정 ","")&amp;IF(AND(B1641&lt;&gt;"CN",N(H1641)&lt;=0),"공급가보정 ","")&amp;IF(AND(B1641="CN",N(I1641)&lt;=0),"중국공급가=원가+마진 ",""))</f>
        <v/>
      </c>
      <c r="Q1641" s="47" t="n">
        <f aca="false">IF(SUMIFS($W:$W,$A:$A,A1641,$C:$C,C1641)=0,0,SUMIFS(RAW_판매펀칭!$K:$K,RAW_판매펀칭!$P:$P,A1641,RAW_판매펀칭!$I:$I,C1641)*W1641/SUMIFS($W:$W,$A:$A,A1641,$C:$C,C1641))</f>
        <v>0</v>
      </c>
      <c r="R1641" s="47" t="n">
        <f aca="false">IF(OR(A1641="500",A1641="800",A1641="810"),0,MAX(W1641-Q1641,0))</f>
        <v>180</v>
      </c>
      <c r="S1641" s="47" t="n">
        <f aca="false">R1641*L1641</f>
        <v>8268480</v>
      </c>
      <c r="T1641" s="47" t="n">
        <f aca="false">R1641*J1641</f>
        <v>25020000</v>
      </c>
      <c r="U1641" s="47" t="n">
        <f aca="false">R1641*K1641</f>
        <v>5490000</v>
      </c>
      <c r="V1641" s="0" t="str">
        <f aca="false">IF(COUNTIFS($A$2:A1641,A1641,$C$2:C1641,C1641,$D$2:D1641,D1641)&gt;1,"중복","")</f>
        <v/>
      </c>
      <c r="W1641" s="0" t="n">
        <f aca="false">IF(V1641="중복",0,N(D1641))</f>
        <v>180</v>
      </c>
      <c r="X1641" s="0" t="n">
        <f aca="false">IF(COUNTIFS($A$2:A1641,A1641,$C$2:C1641,C1641)=1,ABS(SUMIFS(RAW_발주!$D:$D,RAW_발주!$C:$C,A1641,RAW_발주!$A:$A,C1641)-SUMIFS($W:$W,$A:$A,A1641,$C:$C,C1641)),0)</f>
        <v>0</v>
      </c>
    </row>
    <row r="1642" customFormat="false" ht="15" hidden="false" customHeight="true" outlineLevel="0" collapsed="false">
      <c r="A1642" s="45" t="s">
        <v>1661</v>
      </c>
      <c r="B1642" s="42" t="str">
        <f aca="false">IF(A1642="100","HK",IF(A1642="200","CN",IF(A1642="300","TW","홀세일")))</f>
        <v>TW</v>
      </c>
      <c r="C1642" s="45" t="s">
        <v>1723</v>
      </c>
      <c r="D1642" s="46" t="n">
        <v>160</v>
      </c>
      <c r="E1642" s="46" t="n">
        <v>139000</v>
      </c>
      <c r="F1642" s="46" t="n">
        <v>30500</v>
      </c>
      <c r="G1642" s="42" t="n">
        <v>3.66</v>
      </c>
      <c r="H1642" s="42" t="n">
        <v>34.8</v>
      </c>
      <c r="J1642" s="46" t="n">
        <f aca="false">IF(N(E1642)&gt;0,E1642,IF(N(F1642)&gt;0,F1642*요약!$F$27,0))</f>
        <v>139000</v>
      </c>
      <c r="K1642" s="46" t="n">
        <f aca="false">IF(N(F1642)&gt;0,F1642,IF(N(E1642)&gt;0,E1642/요약!$F$27,0))</f>
        <v>30500</v>
      </c>
      <c r="L1642" s="46" t="n">
        <f aca="false">IF(B1642="CN",IF(N(I1642)&gt;0,I1642*요약!$G$27,K1642*(1+요약!$E$27)),IF(N(H1642)&gt;0,H1642*요약!$G$27,J1642*요약!$D$27))</f>
        <v>45936</v>
      </c>
      <c r="M1642" s="46" t="n">
        <f aca="false">D1642*J1642</f>
        <v>22240000</v>
      </c>
      <c r="N1642" s="46" t="n">
        <f aca="false">D1642*K1642</f>
        <v>4880000</v>
      </c>
      <c r="O1642" s="46" t="n">
        <f aca="false">D1642*L1642</f>
        <v>7349760</v>
      </c>
      <c r="P1642" s="42" t="str">
        <f aca="false">TRIM(IF(N(E1642)&lt;=0,"택가보정 ","")&amp;IF(N(F1642)&lt;=0,"원가보정 ","")&amp;IF(AND(B1642&lt;&gt;"CN",N(H1642)&lt;=0),"공급가보정 ","")&amp;IF(AND(B1642="CN",N(I1642)&lt;=0),"중국공급가=원가+마진 ",""))</f>
        <v/>
      </c>
      <c r="Q1642" s="47" t="n">
        <f aca="false">IF(SUMIFS($W:$W,$A:$A,A1642,$C:$C,C1642)=0,0,SUMIFS(RAW_판매펀칭!$K:$K,RAW_판매펀칭!$P:$P,A1642,RAW_판매펀칭!$I:$I,C1642)*W1642/SUMIFS($W:$W,$A:$A,A1642,$C:$C,C1642))</f>
        <v>0</v>
      </c>
      <c r="R1642" s="47" t="n">
        <f aca="false">IF(OR(A1642="500",A1642="800",A1642="810"),0,MAX(W1642-Q1642,0))</f>
        <v>160</v>
      </c>
      <c r="S1642" s="47" t="n">
        <f aca="false">R1642*L1642</f>
        <v>7349760</v>
      </c>
      <c r="T1642" s="47" t="n">
        <f aca="false">R1642*J1642</f>
        <v>22240000</v>
      </c>
      <c r="U1642" s="47" t="n">
        <f aca="false">R1642*K1642</f>
        <v>4880000</v>
      </c>
      <c r="V1642" s="0" t="str">
        <f aca="false">IF(COUNTIFS($A$2:A1642,A1642,$C$2:C1642,C1642,$D$2:D1642,D1642)&gt;1,"중복","")</f>
        <v/>
      </c>
      <c r="W1642" s="0" t="n">
        <f aca="false">IF(V1642="중복",0,N(D1642))</f>
        <v>160</v>
      </c>
      <c r="X1642" s="0" t="n">
        <f aca="false">IF(COUNTIFS($A$2:A1642,A1642,$C$2:C1642,C1642)=1,ABS(SUMIFS(RAW_발주!$D:$D,RAW_발주!$C:$C,A1642,RAW_발주!$A:$A,C1642)-SUMIFS($W:$W,$A:$A,A1642,$C:$C,C1642)),0)</f>
        <v>0</v>
      </c>
    </row>
    <row r="1643" customFormat="false" ht="15" hidden="false" customHeight="true" outlineLevel="0" collapsed="false">
      <c r="A1643" s="45" t="s">
        <v>1663</v>
      </c>
      <c r="B1643" s="42" t="str">
        <f aca="false">IF(A1643="100","HK",IF(A1643="200","CN",IF(A1643="300","TW","홀세일")))</f>
        <v>홀세일</v>
      </c>
      <c r="C1643" s="45" t="s">
        <v>1723</v>
      </c>
      <c r="D1643" s="46" t="n">
        <v>40</v>
      </c>
      <c r="E1643" s="46" t="n">
        <v>139000</v>
      </c>
      <c r="F1643" s="46" t="n">
        <v>30500</v>
      </c>
      <c r="G1643" s="42" t="n">
        <v>3.66</v>
      </c>
      <c r="H1643" s="42" t="n">
        <v>34.8</v>
      </c>
      <c r="J1643" s="46" t="n">
        <f aca="false">IF(N(E1643)&gt;0,E1643,IF(N(F1643)&gt;0,F1643*요약!$F$27,0))</f>
        <v>139000</v>
      </c>
      <c r="K1643" s="46" t="n">
        <f aca="false">IF(N(F1643)&gt;0,F1643,IF(N(E1643)&gt;0,E1643/요약!$F$27,0))</f>
        <v>30500</v>
      </c>
      <c r="L1643" s="46" t="n">
        <f aca="false">IF(B1643="CN",IF(N(I1643)&gt;0,I1643*요약!$G$27,K1643*(1+요약!$E$27)),IF(N(H1643)&gt;0,H1643*요약!$G$27,J1643*요약!$D$27))</f>
        <v>45936</v>
      </c>
      <c r="M1643" s="46" t="n">
        <f aca="false">D1643*J1643</f>
        <v>5560000</v>
      </c>
      <c r="N1643" s="46" t="n">
        <f aca="false">D1643*K1643</f>
        <v>1220000</v>
      </c>
      <c r="O1643" s="46" t="n">
        <f aca="false">D1643*L1643</f>
        <v>1837440</v>
      </c>
      <c r="P1643" s="42" t="str">
        <f aca="false">TRIM(IF(N(E1643)&lt;=0,"택가보정 ","")&amp;IF(N(F1643)&lt;=0,"원가보정 ","")&amp;IF(AND(B1643&lt;&gt;"CN",N(H1643)&lt;=0),"공급가보정 ","")&amp;IF(AND(B1643="CN",N(I1643)&lt;=0),"중국공급가=원가+마진 ",""))</f>
        <v/>
      </c>
      <c r="Q1643" s="47" t="n">
        <f aca="false">IF(SUMIFS($W:$W,$A:$A,A1643,$C:$C,C1643)=0,0,SUMIFS(RAW_판매펀칭!$K:$K,RAW_판매펀칭!$P:$P,A1643,RAW_판매펀칭!$I:$I,C1643)*W1643/SUMIFS($W:$W,$A:$A,A1643,$C:$C,C1643))</f>
        <v>0</v>
      </c>
      <c r="R1643" s="47" t="n">
        <f aca="false">IF(OR(A1643="500",A1643="800",A1643="810"),0,MAX(W1643-Q1643,0))</f>
        <v>40</v>
      </c>
      <c r="S1643" s="47" t="n">
        <f aca="false">R1643*L1643</f>
        <v>1837440</v>
      </c>
      <c r="T1643" s="47" t="n">
        <f aca="false">R1643*J1643</f>
        <v>5560000</v>
      </c>
      <c r="U1643" s="47" t="n">
        <f aca="false">R1643*K1643</f>
        <v>1220000</v>
      </c>
      <c r="V1643" s="0" t="str">
        <f aca="false">IF(COUNTIFS($A$2:A1643,A1643,$C$2:C1643,C1643,$D$2:D1643,D1643)&gt;1,"중복","")</f>
        <v/>
      </c>
      <c r="W1643" s="0" t="n">
        <f aca="false">IF(V1643="중복",0,N(D1643))</f>
        <v>40</v>
      </c>
      <c r="X1643" s="0" t="n">
        <f aca="false">IF(COUNTIFS($A$2:A1643,A1643,$C$2:C1643,C1643)=1,ABS(SUMIFS(RAW_발주!$D:$D,RAW_발주!$C:$C,A1643,RAW_발주!$A:$A,C1643)-SUMIFS($W:$W,$A:$A,A1643,$C:$C,C1643)),0)</f>
        <v>0</v>
      </c>
    </row>
    <row r="1644" customFormat="false" ht="15" hidden="false" customHeight="true" outlineLevel="0" collapsed="false">
      <c r="A1644" s="45" t="s">
        <v>1659</v>
      </c>
      <c r="B1644" s="42" t="str">
        <f aca="false">IF(A1644="100","HK",IF(A1644="200","CN",IF(A1644="300","TW","홀세일")))</f>
        <v>HK</v>
      </c>
      <c r="C1644" s="45" t="s">
        <v>1724</v>
      </c>
      <c r="D1644" s="46" t="n">
        <v>240</v>
      </c>
      <c r="E1644" s="46" t="n">
        <v>99000</v>
      </c>
      <c r="F1644" s="46" t="n">
        <v>21300</v>
      </c>
      <c r="G1644" s="42" t="n">
        <v>3.54</v>
      </c>
      <c r="H1644" s="42" t="n">
        <v>24.8</v>
      </c>
      <c r="J1644" s="46" t="n">
        <f aca="false">IF(N(E1644)&gt;0,E1644,IF(N(F1644)&gt;0,F1644*요약!$F$27,0))</f>
        <v>99000</v>
      </c>
      <c r="K1644" s="46" t="n">
        <f aca="false">IF(N(F1644)&gt;0,F1644,IF(N(E1644)&gt;0,E1644/요약!$F$27,0))</f>
        <v>21300</v>
      </c>
      <c r="L1644" s="46" t="n">
        <f aca="false">IF(B1644="CN",IF(N(I1644)&gt;0,I1644*요약!$G$27,K1644*(1+요약!$E$27)),IF(N(H1644)&gt;0,H1644*요약!$G$27,J1644*요약!$D$27))</f>
        <v>32736</v>
      </c>
      <c r="M1644" s="46" t="n">
        <f aca="false">D1644*J1644</f>
        <v>23760000</v>
      </c>
      <c r="N1644" s="46" t="n">
        <f aca="false">D1644*K1644</f>
        <v>5112000</v>
      </c>
      <c r="O1644" s="46" t="n">
        <f aca="false">D1644*L1644</f>
        <v>7856640</v>
      </c>
      <c r="P1644" s="42" t="str">
        <f aca="false">TRIM(IF(N(E1644)&lt;=0,"택가보정 ","")&amp;IF(N(F1644)&lt;=0,"원가보정 ","")&amp;IF(AND(B1644&lt;&gt;"CN",N(H1644)&lt;=0),"공급가보정 ","")&amp;IF(AND(B1644="CN",N(I1644)&lt;=0),"중국공급가=원가+마진 ",""))</f>
        <v/>
      </c>
      <c r="Q1644" s="47" t="n">
        <f aca="false">IF(SUMIFS($W:$W,$A:$A,A1644,$C:$C,C1644)=0,0,SUMIFS(RAW_판매펀칭!$K:$K,RAW_판매펀칭!$P:$P,A1644,RAW_판매펀칭!$I:$I,C1644)*W1644/SUMIFS($W:$W,$A:$A,A1644,$C:$C,C1644))</f>
        <v>0</v>
      </c>
      <c r="R1644" s="47" t="n">
        <f aca="false">IF(OR(A1644="500",A1644="800",A1644="810"),0,MAX(W1644-Q1644,0))</f>
        <v>240</v>
      </c>
      <c r="S1644" s="47" t="n">
        <f aca="false">R1644*L1644</f>
        <v>7856640</v>
      </c>
      <c r="T1644" s="47" t="n">
        <f aca="false">R1644*J1644</f>
        <v>23760000</v>
      </c>
      <c r="U1644" s="47" t="n">
        <f aca="false">R1644*K1644</f>
        <v>5112000</v>
      </c>
      <c r="V1644" s="0" t="str">
        <f aca="false">IF(COUNTIFS($A$2:A1644,A1644,$C$2:C1644,C1644,$D$2:D1644,D1644)&gt;1,"중복","")</f>
        <v/>
      </c>
      <c r="W1644" s="0" t="n">
        <f aca="false">IF(V1644="중복",0,N(D1644))</f>
        <v>240</v>
      </c>
      <c r="X1644" s="0" t="n">
        <f aca="false">IF(COUNTIFS($A$2:A1644,A1644,$C$2:C1644,C1644)=1,ABS(SUMIFS(RAW_발주!$D:$D,RAW_발주!$C:$C,A1644,RAW_발주!$A:$A,C1644)-SUMIFS($W:$W,$A:$A,A1644,$C:$C,C1644)),0)</f>
        <v>0</v>
      </c>
    </row>
    <row r="1645" customFormat="false" ht="15" hidden="false" customHeight="true" outlineLevel="0" collapsed="false">
      <c r="A1645" s="45" t="s">
        <v>1665</v>
      </c>
      <c r="B1645" s="42" t="str">
        <f aca="false">IF(A1645="100","HK",IF(A1645="200","CN",IF(A1645="300","TW","홀세일")))</f>
        <v>홀세일</v>
      </c>
      <c r="C1645" s="45" t="s">
        <v>1479</v>
      </c>
      <c r="D1645" s="46" t="n">
        <v>900</v>
      </c>
      <c r="E1645" s="46" t="n">
        <v>119000</v>
      </c>
      <c r="F1645" s="46" t="n">
        <v>25800</v>
      </c>
      <c r="G1645" s="42" t="n">
        <v>0</v>
      </c>
      <c r="H1645" s="42" t="n">
        <v>29.8</v>
      </c>
      <c r="J1645" s="46" t="n">
        <f aca="false">IF(N(E1645)&gt;0,E1645,IF(N(F1645)&gt;0,F1645*요약!$F$27,0))</f>
        <v>119000</v>
      </c>
      <c r="K1645" s="46" t="n">
        <f aca="false">IF(N(F1645)&gt;0,F1645,IF(N(E1645)&gt;0,E1645/요약!$F$27,0))</f>
        <v>25800</v>
      </c>
      <c r="L1645" s="46" t="n">
        <f aca="false">IF(B1645="CN",IF(N(I1645)&gt;0,I1645*요약!$G$27,K1645*(1+요약!$E$27)),IF(N(H1645)&gt;0,H1645*요약!$G$27,J1645*요약!$D$27))</f>
        <v>39336</v>
      </c>
      <c r="M1645" s="46" t="n">
        <f aca="false">D1645*J1645</f>
        <v>107100000</v>
      </c>
      <c r="N1645" s="46" t="n">
        <f aca="false">D1645*K1645</f>
        <v>23220000</v>
      </c>
      <c r="O1645" s="46" t="n">
        <f aca="false">D1645*L1645</f>
        <v>35402400</v>
      </c>
      <c r="P1645" s="42" t="str">
        <f aca="false">TRIM(IF(N(E1645)&lt;=0,"택가보정 ","")&amp;IF(N(F1645)&lt;=0,"원가보정 ","")&amp;IF(AND(B1645&lt;&gt;"CN",N(H1645)&lt;=0),"공급가보정 ","")&amp;IF(AND(B1645="CN",N(I1645)&lt;=0),"중국공급가=원가+마진 ",""))</f>
        <v/>
      </c>
      <c r="Q1645" s="47" t="n">
        <f aca="false">IF(SUMIFS($W:$W,$A:$A,A1645,$C:$C,C1645)=0,0,SUMIFS(RAW_판매펀칭!$K:$K,RAW_판매펀칭!$P:$P,A1645,RAW_판매펀칭!$I:$I,C1645)*W1645/SUMIFS($W:$W,$A:$A,A1645,$C:$C,C1645))</f>
        <v>896</v>
      </c>
      <c r="R1645" s="47" t="n">
        <f aca="false">IF(OR(A1645="500",A1645="800",A1645="810"),0,MAX(W1645-Q1645,0))</f>
        <v>0</v>
      </c>
      <c r="S1645" s="47" t="n">
        <f aca="false">R1645*L1645</f>
        <v>0</v>
      </c>
      <c r="T1645" s="47" t="n">
        <f aca="false">R1645*J1645</f>
        <v>0</v>
      </c>
      <c r="U1645" s="47" t="n">
        <f aca="false">R1645*K1645</f>
        <v>0</v>
      </c>
      <c r="V1645" s="0" t="str">
        <f aca="false">IF(COUNTIFS($A$2:A1645,A1645,$C$2:C1645,C1645,$D$2:D1645,D1645)&gt;1,"중복","")</f>
        <v/>
      </c>
      <c r="W1645" s="0" t="n">
        <f aca="false">IF(V1645="중복",0,N(D1645))</f>
        <v>900</v>
      </c>
      <c r="X1645" s="0" t="n">
        <f aca="false">IF(COUNTIFS($A$2:A1645,A1645,$C$2:C1645,C1645)=1,ABS(SUMIFS(RAW_발주!$D:$D,RAW_발주!$C:$C,A1645,RAW_발주!$A:$A,C1645)-SUMIFS($W:$W,$A:$A,A1645,$C:$C,C1645)),0)</f>
        <v>0</v>
      </c>
    </row>
    <row r="1646" customFormat="false" ht="15" hidden="false" customHeight="true" outlineLevel="0" collapsed="false">
      <c r="A1646" s="45" t="s">
        <v>1659</v>
      </c>
      <c r="B1646" s="42" t="str">
        <f aca="false">IF(A1646="100","HK",IF(A1646="200","CN",IF(A1646="300","TW","홀세일")))</f>
        <v>HK</v>
      </c>
      <c r="C1646" s="45" t="s">
        <v>1725</v>
      </c>
      <c r="D1646" s="46" t="n">
        <v>225</v>
      </c>
      <c r="E1646" s="46" t="n">
        <v>69000</v>
      </c>
      <c r="F1646" s="46" t="n">
        <v>18772</v>
      </c>
      <c r="G1646" s="42" t="n">
        <v>3.73</v>
      </c>
      <c r="H1646" s="42" t="n">
        <v>17.3</v>
      </c>
      <c r="J1646" s="46" t="n">
        <f aca="false">IF(N(E1646)&gt;0,E1646,IF(N(F1646)&gt;0,F1646*요약!$F$27,0))</f>
        <v>69000</v>
      </c>
      <c r="K1646" s="46" t="n">
        <f aca="false">IF(N(F1646)&gt;0,F1646,IF(N(E1646)&gt;0,E1646/요약!$F$27,0))</f>
        <v>18772</v>
      </c>
      <c r="L1646" s="46" t="n">
        <f aca="false">IF(B1646="CN",IF(N(I1646)&gt;0,I1646*요약!$G$27,K1646*(1+요약!$E$27)),IF(N(H1646)&gt;0,H1646*요약!$G$27,J1646*요약!$D$27))</f>
        <v>22836</v>
      </c>
      <c r="M1646" s="46" t="n">
        <f aca="false">D1646*J1646</f>
        <v>15525000</v>
      </c>
      <c r="N1646" s="46" t="n">
        <f aca="false">D1646*K1646</f>
        <v>4223700</v>
      </c>
      <c r="O1646" s="46" t="n">
        <f aca="false">D1646*L1646</f>
        <v>5138100</v>
      </c>
      <c r="P1646" s="42" t="str">
        <f aca="false">TRIM(IF(N(E1646)&lt;=0,"택가보정 ","")&amp;IF(N(F1646)&lt;=0,"원가보정 ","")&amp;IF(AND(B1646&lt;&gt;"CN",N(H1646)&lt;=0),"공급가보정 ","")&amp;IF(AND(B1646="CN",N(I1646)&lt;=0),"중국공급가=원가+마진 ",""))</f>
        <v/>
      </c>
      <c r="Q1646" s="47" t="n">
        <f aca="false">IF(SUMIFS($W:$W,$A:$A,A1646,$C:$C,C1646)=0,0,SUMIFS(RAW_판매펀칭!$K:$K,RAW_판매펀칭!$P:$P,A1646,RAW_판매펀칭!$I:$I,C1646)*W1646/SUMIFS($W:$W,$A:$A,A1646,$C:$C,C1646))</f>
        <v>0</v>
      </c>
      <c r="R1646" s="47" t="n">
        <f aca="false">IF(OR(A1646="500",A1646="800",A1646="810"),0,MAX(W1646-Q1646,0))</f>
        <v>225</v>
      </c>
      <c r="S1646" s="47" t="n">
        <f aca="false">R1646*L1646</f>
        <v>5138100</v>
      </c>
      <c r="T1646" s="47" t="n">
        <f aca="false">R1646*J1646</f>
        <v>15525000</v>
      </c>
      <c r="U1646" s="47" t="n">
        <f aca="false">R1646*K1646</f>
        <v>4223700</v>
      </c>
      <c r="V1646" s="0" t="str">
        <f aca="false">IF(COUNTIFS($A$2:A1646,A1646,$C$2:C1646,C1646,$D$2:D1646,D1646)&gt;1,"중복","")</f>
        <v/>
      </c>
      <c r="W1646" s="0" t="n">
        <f aca="false">IF(V1646="중복",0,N(D1646))</f>
        <v>225</v>
      </c>
      <c r="X1646" s="0" t="n">
        <f aca="false">IF(COUNTIFS($A$2:A1646,A1646,$C$2:C1646,C1646)=1,ABS(SUMIFS(RAW_발주!$D:$D,RAW_발주!$C:$C,A1646,RAW_발주!$A:$A,C1646)-SUMIFS($W:$W,$A:$A,A1646,$C:$C,C1646)),0)</f>
        <v>0</v>
      </c>
    </row>
    <row r="1647" customFormat="false" ht="15.75" hidden="false" customHeight="true" outlineLevel="0" collapsed="false">
      <c r="A1647" s="45" t="s">
        <v>1660</v>
      </c>
      <c r="B1647" s="42" t="str">
        <f aca="false">IF(A1647="100","HK",IF(A1647="200","CN",IF(A1647="300","TW","홀세일")))</f>
        <v>CN</v>
      </c>
      <c r="C1647" s="45" t="s">
        <v>1725</v>
      </c>
      <c r="D1647" s="46" t="n">
        <v>583</v>
      </c>
      <c r="E1647" s="46" t="n">
        <v>69000</v>
      </c>
      <c r="F1647" s="46" t="n">
        <v>18772</v>
      </c>
      <c r="G1647" s="42" t="n">
        <v>3.73</v>
      </c>
      <c r="H1647" s="42" t="n">
        <v>17.3</v>
      </c>
      <c r="J1647" s="46" t="n">
        <f aca="false">IF(N(E1647)&gt;0,E1647,IF(N(F1647)&gt;0,F1647*요약!$F$27,0))</f>
        <v>69000</v>
      </c>
      <c r="K1647" s="46" t="n">
        <f aca="false">IF(N(F1647)&gt;0,F1647,IF(N(E1647)&gt;0,E1647/요약!$F$27,0))</f>
        <v>18772</v>
      </c>
      <c r="L1647" s="46" t="n">
        <f aca="false">IF(B1647="CN",IF(N(I1647)&gt;0,I1647*요약!$G$27,K1647*(1+요약!$E$27)),IF(N(H1647)&gt;0,H1647*요약!$G$27,J1647*요약!$D$27))</f>
        <v>19710.6</v>
      </c>
      <c r="M1647" s="46" t="n">
        <f aca="false">D1647*J1647</f>
        <v>40227000</v>
      </c>
      <c r="N1647" s="46" t="n">
        <f aca="false">D1647*K1647</f>
        <v>10944076</v>
      </c>
      <c r="O1647" s="46" t="n">
        <f aca="false">D1647*L1647</f>
        <v>11491279.8</v>
      </c>
      <c r="P1647" s="42" t="str">
        <f aca="false">TRIM(IF(N(E1647)&lt;=0,"택가보정 ","")&amp;IF(N(F1647)&lt;=0,"원가보정 ","")&amp;IF(AND(B1647&lt;&gt;"CN",N(H1647)&lt;=0),"공급가보정 ","")&amp;IF(AND(B1647="CN",N(I1647)&lt;=0),"중국공급가=원가+마진 ",""))</f>
        <v>중국공급가=원가+마진</v>
      </c>
      <c r="Q1647" s="47" t="n">
        <f aca="false">IF(SUMIFS($W:$W,$A:$A,A1647,$C:$C,C1647)=0,0,SUMIFS(RAW_판매펀칭!$K:$K,RAW_판매펀칭!$P:$P,A1647,RAW_판매펀칭!$I:$I,C1647)*W1647/SUMIFS($W:$W,$A:$A,A1647,$C:$C,C1647))</f>
        <v>0</v>
      </c>
      <c r="R1647" s="47" t="n">
        <f aca="false">IF(OR(A1647="500",A1647="800",A1647="810"),0,MAX(W1647-Q1647,0))</f>
        <v>583</v>
      </c>
      <c r="S1647" s="47" t="n">
        <f aca="false">R1647*L1647</f>
        <v>11491279.8</v>
      </c>
      <c r="T1647" s="47" t="n">
        <f aca="false">R1647*J1647</f>
        <v>40227000</v>
      </c>
      <c r="U1647" s="47" t="n">
        <f aca="false">R1647*K1647</f>
        <v>10944076</v>
      </c>
      <c r="V1647" s="0" t="str">
        <f aca="false">IF(COUNTIFS($A$2:A1647,A1647,$C$2:C1647,C1647,$D$2:D1647,D1647)&gt;1,"중복","")</f>
        <v/>
      </c>
      <c r="W1647" s="0" t="n">
        <f aca="false">IF(V1647="중복",0,N(D1647))</f>
        <v>583</v>
      </c>
      <c r="X1647" s="0" t="n">
        <f aca="false">IF(COUNTIFS($A$2:A1647,A1647,$C$2:C1647,C1647)=1,ABS(SUMIFS(RAW_발주!$D:$D,RAW_발주!$C:$C,A1647,RAW_발주!$A:$A,C1647)-SUMIFS($W:$W,$A:$A,A1647,$C:$C,C1647)),0)</f>
        <v>0</v>
      </c>
    </row>
    <row r="1648" customFormat="false" ht="15.75" hidden="false" customHeight="true" outlineLevel="0" collapsed="false">
      <c r="A1648" s="45" t="s">
        <v>1660</v>
      </c>
      <c r="B1648" s="42" t="str">
        <f aca="false">IF(A1648="100","HK",IF(A1648="200","CN",IF(A1648="300","TW","홀세일")))</f>
        <v>CN</v>
      </c>
      <c r="C1648" s="45" t="s">
        <v>1726</v>
      </c>
      <c r="D1648" s="46" t="n">
        <v>262</v>
      </c>
      <c r="E1648" s="46" t="n">
        <v>59000</v>
      </c>
      <c r="F1648" s="46" t="n">
        <v>17395</v>
      </c>
      <c r="G1648" s="42" t="n">
        <v>4.39</v>
      </c>
      <c r="H1648" s="42" t="n">
        <v>14.8</v>
      </c>
      <c r="J1648" s="46" t="n">
        <f aca="false">IF(N(E1648)&gt;0,E1648,IF(N(F1648)&gt;0,F1648*요약!$F$27,0))</f>
        <v>59000</v>
      </c>
      <c r="K1648" s="46" t="n">
        <f aca="false">IF(N(F1648)&gt;0,F1648,IF(N(E1648)&gt;0,E1648/요약!$F$27,0))</f>
        <v>17395</v>
      </c>
      <c r="L1648" s="46" t="n">
        <f aca="false">IF(B1648="CN",IF(N(I1648)&gt;0,I1648*요약!$G$27,K1648*(1+요약!$E$27)),IF(N(H1648)&gt;0,H1648*요약!$G$27,J1648*요약!$D$27))</f>
        <v>18264.75</v>
      </c>
      <c r="M1648" s="46" t="n">
        <f aca="false">D1648*J1648</f>
        <v>15458000</v>
      </c>
      <c r="N1648" s="46" t="n">
        <f aca="false">D1648*K1648</f>
        <v>4557490</v>
      </c>
      <c r="O1648" s="46" t="n">
        <f aca="false">D1648*L1648</f>
        <v>4785364.5</v>
      </c>
      <c r="P1648" s="42" t="str">
        <f aca="false">TRIM(IF(N(E1648)&lt;=0,"택가보정 ","")&amp;IF(N(F1648)&lt;=0,"원가보정 ","")&amp;IF(AND(B1648&lt;&gt;"CN",N(H1648)&lt;=0),"공급가보정 ","")&amp;IF(AND(B1648="CN",N(I1648)&lt;=0),"중국공급가=원가+마진 ",""))</f>
        <v>중국공급가=원가+마진</v>
      </c>
      <c r="Q1648" s="47" t="n">
        <f aca="false">IF(SUMIFS($W:$W,$A:$A,A1648,$C:$C,C1648)=0,0,SUMIFS(RAW_판매펀칭!$K:$K,RAW_판매펀칭!$P:$P,A1648,RAW_판매펀칭!$I:$I,C1648)*W1648/SUMIFS($W:$W,$A:$A,A1648,$C:$C,C1648))</f>
        <v>0</v>
      </c>
      <c r="R1648" s="47" t="n">
        <f aca="false">IF(OR(A1648="500",A1648="800",A1648="810"),0,MAX(W1648-Q1648,0))</f>
        <v>262</v>
      </c>
      <c r="S1648" s="47" t="n">
        <f aca="false">R1648*L1648</f>
        <v>4785364.5</v>
      </c>
      <c r="T1648" s="47" t="n">
        <f aca="false">R1648*J1648</f>
        <v>15458000</v>
      </c>
      <c r="U1648" s="47" t="n">
        <f aca="false">R1648*K1648</f>
        <v>4557490</v>
      </c>
      <c r="V1648" s="0" t="str">
        <f aca="false">IF(COUNTIFS($A$2:A1648,A1648,$C$2:C1648,C1648,$D$2:D1648,D1648)&gt;1,"중복","")</f>
        <v/>
      </c>
      <c r="W1648" s="0" t="n">
        <f aca="false">IF(V1648="중복",0,N(D1648))</f>
        <v>262</v>
      </c>
      <c r="X1648" s="0" t="n">
        <f aca="false">IF(COUNTIFS($A$2:A1648,A1648,$C$2:C1648,C1648)=1,ABS(SUMIFS(RAW_발주!$D:$D,RAW_발주!$C:$C,A1648,RAW_발주!$A:$A,C1648)-SUMIFS($W:$W,$A:$A,A1648,$C:$C,C1648)),0)</f>
        <v>0</v>
      </c>
    </row>
    <row r="1649" customFormat="false" ht="15" hidden="false" customHeight="true" outlineLevel="0" collapsed="false">
      <c r="A1649" s="45" t="s">
        <v>1659</v>
      </c>
      <c r="B1649" s="42" t="str">
        <f aca="false">IF(A1649="100","HK",IF(A1649="200","CN",IF(A1649="300","TW","홀세일")))</f>
        <v>HK</v>
      </c>
      <c r="C1649" s="45" t="s">
        <v>1727</v>
      </c>
      <c r="D1649" s="46" t="n">
        <v>350</v>
      </c>
      <c r="E1649" s="46" t="n">
        <v>59000</v>
      </c>
      <c r="F1649" s="46" t="n">
        <v>15100</v>
      </c>
      <c r="G1649" s="42" t="n">
        <v>4.39</v>
      </c>
      <c r="H1649" s="42" t="n">
        <v>17.3</v>
      </c>
      <c r="J1649" s="46" t="n">
        <f aca="false">IF(N(E1649)&gt;0,E1649,IF(N(F1649)&gt;0,F1649*요약!$F$27,0))</f>
        <v>59000</v>
      </c>
      <c r="K1649" s="46" t="n">
        <f aca="false">IF(N(F1649)&gt;0,F1649,IF(N(E1649)&gt;0,E1649/요약!$F$27,0))</f>
        <v>15100</v>
      </c>
      <c r="L1649" s="46" t="n">
        <f aca="false">IF(B1649="CN",IF(N(I1649)&gt;0,I1649*요약!$G$27,K1649*(1+요약!$E$27)),IF(N(H1649)&gt;0,H1649*요약!$G$27,J1649*요약!$D$27))</f>
        <v>22836</v>
      </c>
      <c r="M1649" s="46" t="n">
        <f aca="false">D1649*J1649</f>
        <v>20650000</v>
      </c>
      <c r="N1649" s="46" t="n">
        <f aca="false">D1649*K1649</f>
        <v>5285000</v>
      </c>
      <c r="O1649" s="46" t="n">
        <f aca="false">D1649*L1649</f>
        <v>7992600</v>
      </c>
      <c r="P1649" s="42" t="str">
        <f aca="false">TRIM(IF(N(E1649)&lt;=0,"택가보정 ","")&amp;IF(N(F1649)&lt;=0,"원가보정 ","")&amp;IF(AND(B1649&lt;&gt;"CN",N(H1649)&lt;=0),"공급가보정 ","")&amp;IF(AND(B1649="CN",N(I1649)&lt;=0),"중국공급가=원가+마진 ",""))</f>
        <v/>
      </c>
      <c r="Q1649" s="47" t="n">
        <f aca="false">IF(SUMIFS($W:$W,$A:$A,A1649,$C:$C,C1649)=0,0,SUMIFS(RAW_판매펀칭!$K:$K,RAW_판매펀칭!$P:$P,A1649,RAW_판매펀칭!$I:$I,C1649)*W1649/SUMIFS($W:$W,$A:$A,A1649,$C:$C,C1649))</f>
        <v>0</v>
      </c>
      <c r="R1649" s="47" t="n">
        <f aca="false">IF(OR(A1649="500",A1649="800",A1649="810"),0,MAX(W1649-Q1649,0))</f>
        <v>350</v>
      </c>
      <c r="S1649" s="47" t="n">
        <f aca="false">R1649*L1649</f>
        <v>7992600</v>
      </c>
      <c r="T1649" s="47" t="n">
        <f aca="false">R1649*J1649</f>
        <v>20650000</v>
      </c>
      <c r="U1649" s="47" t="n">
        <f aca="false">R1649*K1649</f>
        <v>5285000</v>
      </c>
      <c r="V1649" s="0" t="str">
        <f aca="false">IF(COUNTIFS($A$2:A1649,A1649,$C$2:C1649,C1649,$D$2:D1649,D1649)&gt;1,"중복","")</f>
        <v/>
      </c>
      <c r="W1649" s="0" t="n">
        <f aca="false">IF(V1649="중복",0,N(D1649))</f>
        <v>350</v>
      </c>
      <c r="X1649" s="0" t="n">
        <f aca="false">IF(COUNTIFS($A$2:A1649,A1649,$C$2:C1649,C1649)=1,ABS(SUMIFS(RAW_발주!$D:$D,RAW_발주!$C:$C,A1649,RAW_발주!$A:$A,C1649)-SUMIFS($W:$W,$A:$A,A1649,$C:$C,C1649)),0)</f>
        <v>0</v>
      </c>
    </row>
    <row r="1650" customFormat="false" ht="15" hidden="false" customHeight="true" outlineLevel="0" collapsed="false">
      <c r="A1650" s="45" t="s">
        <v>1663</v>
      </c>
      <c r="B1650" s="42" t="str">
        <f aca="false">IF(A1650="100","HK",IF(A1650="200","CN",IF(A1650="300","TW","홀세일")))</f>
        <v>홀세일</v>
      </c>
      <c r="C1650" s="45" t="s">
        <v>1727</v>
      </c>
      <c r="D1650" s="46" t="n">
        <v>120</v>
      </c>
      <c r="E1650" s="46" t="n">
        <v>59000</v>
      </c>
      <c r="F1650" s="46" t="n">
        <v>15100</v>
      </c>
      <c r="G1650" s="42" t="n">
        <v>4.39</v>
      </c>
      <c r="H1650" s="42" t="n">
        <v>17.3</v>
      </c>
      <c r="J1650" s="46" t="n">
        <f aca="false">IF(N(E1650)&gt;0,E1650,IF(N(F1650)&gt;0,F1650*요약!$F$27,0))</f>
        <v>59000</v>
      </c>
      <c r="K1650" s="46" t="n">
        <f aca="false">IF(N(F1650)&gt;0,F1650,IF(N(E1650)&gt;0,E1650/요약!$F$27,0))</f>
        <v>15100</v>
      </c>
      <c r="L1650" s="46" t="n">
        <f aca="false">IF(B1650="CN",IF(N(I1650)&gt;0,I1650*요약!$G$27,K1650*(1+요약!$E$27)),IF(N(H1650)&gt;0,H1650*요약!$G$27,J1650*요약!$D$27))</f>
        <v>22836</v>
      </c>
      <c r="M1650" s="46" t="n">
        <f aca="false">D1650*J1650</f>
        <v>7080000</v>
      </c>
      <c r="N1650" s="46" t="n">
        <f aca="false">D1650*K1650</f>
        <v>1812000</v>
      </c>
      <c r="O1650" s="46" t="n">
        <f aca="false">D1650*L1650</f>
        <v>2740320</v>
      </c>
      <c r="P1650" s="42" t="str">
        <f aca="false">TRIM(IF(N(E1650)&lt;=0,"택가보정 ","")&amp;IF(N(F1650)&lt;=0,"원가보정 ","")&amp;IF(AND(B1650&lt;&gt;"CN",N(H1650)&lt;=0),"공급가보정 ","")&amp;IF(AND(B1650="CN",N(I1650)&lt;=0),"중국공급가=원가+마진 ",""))</f>
        <v/>
      </c>
      <c r="Q1650" s="47" t="n">
        <f aca="false">IF(SUMIFS($W:$W,$A:$A,A1650,$C:$C,C1650)=0,0,SUMIFS(RAW_판매펀칭!$K:$K,RAW_판매펀칭!$P:$P,A1650,RAW_판매펀칭!$I:$I,C1650)*W1650/SUMIFS($W:$W,$A:$A,A1650,$C:$C,C1650))</f>
        <v>0</v>
      </c>
      <c r="R1650" s="47" t="n">
        <f aca="false">IF(OR(A1650="500",A1650="800",A1650="810"),0,MAX(W1650-Q1650,0))</f>
        <v>120</v>
      </c>
      <c r="S1650" s="47" t="n">
        <f aca="false">R1650*L1650</f>
        <v>2740320</v>
      </c>
      <c r="T1650" s="47" t="n">
        <f aca="false">R1650*J1650</f>
        <v>7080000</v>
      </c>
      <c r="U1650" s="47" t="n">
        <f aca="false">R1650*K1650</f>
        <v>1812000</v>
      </c>
      <c r="V1650" s="0" t="str">
        <f aca="false">IF(COUNTIFS($A$2:A1650,A1650,$C$2:C1650,C1650,$D$2:D1650,D1650)&gt;1,"중복","")</f>
        <v/>
      </c>
      <c r="W1650" s="0" t="n">
        <f aca="false">IF(V1650="중복",0,N(D1650))</f>
        <v>120</v>
      </c>
      <c r="X1650" s="0" t="n">
        <f aca="false">IF(COUNTIFS($A$2:A1650,A1650,$C$2:C1650,C1650)=1,ABS(SUMIFS(RAW_발주!$D:$D,RAW_발주!$C:$C,A1650,RAW_발주!$A:$A,C1650)-SUMIFS($W:$W,$A:$A,A1650,$C:$C,C1650)),0)</f>
        <v>0</v>
      </c>
    </row>
    <row r="1651" customFormat="false" ht="15" hidden="false" customHeight="true" outlineLevel="0" collapsed="false">
      <c r="A1651" s="45" t="s">
        <v>1661</v>
      </c>
      <c r="B1651" s="42" t="str">
        <f aca="false">IF(A1651="100","HK",IF(A1651="200","CN",IF(A1651="300","TW","홀세일")))</f>
        <v>TW</v>
      </c>
      <c r="C1651" s="45" t="s">
        <v>1728</v>
      </c>
      <c r="D1651" s="46" t="n">
        <v>210</v>
      </c>
      <c r="E1651" s="46" t="n">
        <v>69000</v>
      </c>
      <c r="F1651" s="46" t="n">
        <v>13100</v>
      </c>
      <c r="G1651" s="42" t="n">
        <v>3.19</v>
      </c>
      <c r="H1651" s="42" t="n">
        <v>14.8</v>
      </c>
      <c r="J1651" s="46" t="n">
        <f aca="false">IF(N(E1651)&gt;0,E1651,IF(N(F1651)&gt;0,F1651*요약!$F$27,0))</f>
        <v>69000</v>
      </c>
      <c r="K1651" s="46" t="n">
        <f aca="false">IF(N(F1651)&gt;0,F1651,IF(N(E1651)&gt;0,E1651/요약!$F$27,0))</f>
        <v>13100</v>
      </c>
      <c r="L1651" s="46" t="n">
        <f aca="false">IF(B1651="CN",IF(N(I1651)&gt;0,I1651*요약!$G$27,K1651*(1+요약!$E$27)),IF(N(H1651)&gt;0,H1651*요약!$G$27,J1651*요약!$D$27))</f>
        <v>19536</v>
      </c>
      <c r="M1651" s="46" t="n">
        <f aca="false">D1651*J1651</f>
        <v>14490000</v>
      </c>
      <c r="N1651" s="46" t="n">
        <f aca="false">D1651*K1651</f>
        <v>2751000</v>
      </c>
      <c r="O1651" s="46" t="n">
        <f aca="false">D1651*L1651</f>
        <v>4102560</v>
      </c>
      <c r="P1651" s="42" t="str">
        <f aca="false">TRIM(IF(N(E1651)&lt;=0,"택가보정 ","")&amp;IF(N(F1651)&lt;=0,"원가보정 ","")&amp;IF(AND(B1651&lt;&gt;"CN",N(H1651)&lt;=0),"공급가보정 ","")&amp;IF(AND(B1651="CN",N(I1651)&lt;=0),"중국공급가=원가+마진 ",""))</f>
        <v/>
      </c>
      <c r="Q1651" s="47" t="n">
        <f aca="false">IF(SUMIFS($W:$W,$A:$A,A1651,$C:$C,C1651)=0,0,SUMIFS(RAW_판매펀칭!$K:$K,RAW_판매펀칭!$P:$P,A1651,RAW_판매펀칭!$I:$I,C1651)*W1651/SUMIFS($W:$W,$A:$A,A1651,$C:$C,C1651))</f>
        <v>0</v>
      </c>
      <c r="R1651" s="47" t="n">
        <f aca="false">IF(OR(A1651="500",A1651="800",A1651="810"),0,MAX(W1651-Q1651,0))</f>
        <v>210</v>
      </c>
      <c r="S1651" s="47" t="n">
        <f aca="false">R1651*L1651</f>
        <v>4102560</v>
      </c>
      <c r="T1651" s="47" t="n">
        <f aca="false">R1651*J1651</f>
        <v>14490000</v>
      </c>
      <c r="U1651" s="47" t="n">
        <f aca="false">R1651*K1651</f>
        <v>2751000</v>
      </c>
      <c r="V1651" s="0" t="str">
        <f aca="false">IF(COUNTIFS($A$2:A1651,A1651,$C$2:C1651,C1651,$D$2:D1651,D1651)&gt;1,"중복","")</f>
        <v/>
      </c>
      <c r="W1651" s="0" t="n">
        <f aca="false">IF(V1651="중복",0,N(D1651))</f>
        <v>210</v>
      </c>
      <c r="X1651" s="0" t="n">
        <f aca="false">IF(COUNTIFS($A$2:A1651,A1651,$C$2:C1651,C1651)=1,ABS(SUMIFS(RAW_발주!$D:$D,RAW_발주!$C:$C,A1651,RAW_발주!$A:$A,C1651)-SUMIFS($W:$W,$A:$A,A1651,$C:$C,C1651)),0)</f>
        <v>0</v>
      </c>
    </row>
    <row r="1652" customFormat="false" ht="15" hidden="false" customHeight="true" outlineLevel="0" collapsed="false">
      <c r="A1652" s="45" t="s">
        <v>1663</v>
      </c>
      <c r="B1652" s="42" t="str">
        <f aca="false">IF(A1652="100","HK",IF(A1652="200","CN",IF(A1652="300","TW","홀세일")))</f>
        <v>홀세일</v>
      </c>
      <c r="C1652" s="45" t="s">
        <v>1728</v>
      </c>
      <c r="D1652" s="46" t="n">
        <v>30</v>
      </c>
      <c r="E1652" s="46" t="n">
        <v>69000</v>
      </c>
      <c r="F1652" s="46" t="n">
        <v>13100</v>
      </c>
      <c r="G1652" s="42" t="n">
        <v>3.19</v>
      </c>
      <c r="H1652" s="42" t="n">
        <v>14.8</v>
      </c>
      <c r="J1652" s="46" t="n">
        <f aca="false">IF(N(E1652)&gt;0,E1652,IF(N(F1652)&gt;0,F1652*요약!$F$27,0))</f>
        <v>69000</v>
      </c>
      <c r="K1652" s="46" t="n">
        <f aca="false">IF(N(F1652)&gt;0,F1652,IF(N(E1652)&gt;0,E1652/요약!$F$27,0))</f>
        <v>13100</v>
      </c>
      <c r="L1652" s="46" t="n">
        <f aca="false">IF(B1652="CN",IF(N(I1652)&gt;0,I1652*요약!$G$27,K1652*(1+요약!$E$27)),IF(N(H1652)&gt;0,H1652*요약!$G$27,J1652*요약!$D$27))</f>
        <v>19536</v>
      </c>
      <c r="M1652" s="46" t="n">
        <f aca="false">D1652*J1652</f>
        <v>2070000</v>
      </c>
      <c r="N1652" s="46" t="n">
        <f aca="false">D1652*K1652</f>
        <v>393000</v>
      </c>
      <c r="O1652" s="46" t="n">
        <f aca="false">D1652*L1652</f>
        <v>586080</v>
      </c>
      <c r="P1652" s="42" t="str">
        <f aca="false">TRIM(IF(N(E1652)&lt;=0,"택가보정 ","")&amp;IF(N(F1652)&lt;=0,"원가보정 ","")&amp;IF(AND(B1652&lt;&gt;"CN",N(H1652)&lt;=0),"공급가보정 ","")&amp;IF(AND(B1652="CN",N(I1652)&lt;=0),"중국공급가=원가+마진 ",""))</f>
        <v/>
      </c>
      <c r="Q1652" s="47" t="n">
        <f aca="false">IF(SUMIFS($W:$W,$A:$A,A1652,$C:$C,C1652)=0,0,SUMIFS(RAW_판매펀칭!$K:$K,RAW_판매펀칭!$P:$P,A1652,RAW_판매펀칭!$I:$I,C1652)*W1652/SUMIFS($W:$W,$A:$A,A1652,$C:$C,C1652))</f>
        <v>0</v>
      </c>
      <c r="R1652" s="47" t="n">
        <f aca="false">IF(OR(A1652="500",A1652="800",A1652="810"),0,MAX(W1652-Q1652,0))</f>
        <v>30</v>
      </c>
      <c r="S1652" s="47" t="n">
        <f aca="false">R1652*L1652</f>
        <v>586080</v>
      </c>
      <c r="T1652" s="47" t="n">
        <f aca="false">R1652*J1652</f>
        <v>2070000</v>
      </c>
      <c r="U1652" s="47" t="n">
        <f aca="false">R1652*K1652</f>
        <v>393000</v>
      </c>
      <c r="V1652" s="0" t="str">
        <f aca="false">IF(COUNTIFS($A$2:A1652,A1652,$C$2:C1652,C1652,$D$2:D1652,D1652)&gt;1,"중복","")</f>
        <v/>
      </c>
      <c r="W1652" s="0" t="n">
        <f aca="false">IF(V1652="중복",0,N(D1652))</f>
        <v>30</v>
      </c>
      <c r="X1652" s="0" t="n">
        <f aca="false">IF(COUNTIFS($A$2:A1652,A1652,$C$2:C1652,C1652)=1,ABS(SUMIFS(RAW_발주!$D:$D,RAW_발주!$C:$C,A1652,RAW_발주!$A:$A,C1652)-SUMIFS($W:$W,$A:$A,A1652,$C:$C,C1652)),0)</f>
        <v>0</v>
      </c>
    </row>
    <row r="1653" customFormat="false" ht="15.75" hidden="false" customHeight="true" outlineLevel="0" collapsed="false">
      <c r="A1653" s="45" t="s">
        <v>1660</v>
      </c>
      <c r="B1653" s="42" t="str">
        <f aca="false">IF(A1653="100","HK",IF(A1653="200","CN",IF(A1653="300","TW","홀세일")))</f>
        <v>CN</v>
      </c>
      <c r="C1653" s="45" t="s">
        <v>1129</v>
      </c>
      <c r="D1653" s="46" t="n">
        <v>126</v>
      </c>
      <c r="E1653" s="46" t="n">
        <v>139000</v>
      </c>
      <c r="F1653" s="46" t="n">
        <v>21200</v>
      </c>
      <c r="G1653" s="42" t="n">
        <v>1.94</v>
      </c>
      <c r="H1653" s="42" t="n">
        <v>34.8</v>
      </c>
      <c r="J1653" s="46" t="n">
        <f aca="false">IF(N(E1653)&gt;0,E1653,IF(N(F1653)&gt;0,F1653*요약!$F$27,0))</f>
        <v>139000</v>
      </c>
      <c r="K1653" s="46" t="n">
        <f aca="false">IF(N(F1653)&gt;0,F1653,IF(N(E1653)&gt;0,E1653/요약!$F$27,0))</f>
        <v>21200</v>
      </c>
      <c r="L1653" s="46" t="n">
        <f aca="false">IF(B1653="CN",IF(N(I1653)&gt;0,I1653*요약!$G$27,K1653*(1+요약!$E$27)),IF(N(H1653)&gt;0,H1653*요약!$G$27,J1653*요약!$D$27))</f>
        <v>22260</v>
      </c>
      <c r="M1653" s="46" t="n">
        <f aca="false">D1653*J1653</f>
        <v>17514000</v>
      </c>
      <c r="N1653" s="46" t="n">
        <f aca="false">D1653*K1653</f>
        <v>2671200</v>
      </c>
      <c r="O1653" s="46" t="n">
        <f aca="false">D1653*L1653</f>
        <v>2804760</v>
      </c>
      <c r="P1653" s="42" t="str">
        <f aca="false">TRIM(IF(N(E1653)&lt;=0,"택가보정 ","")&amp;IF(N(F1653)&lt;=0,"원가보정 ","")&amp;IF(AND(B1653&lt;&gt;"CN",N(H1653)&lt;=0),"공급가보정 ","")&amp;IF(AND(B1653="CN",N(I1653)&lt;=0),"중국공급가=원가+마진 ",""))</f>
        <v>중국공급가=원가+마진</v>
      </c>
      <c r="Q1653" s="47" t="n">
        <f aca="false">IF(SUMIFS($W:$W,$A:$A,A1653,$C:$C,C1653)=0,0,SUMIFS(RAW_판매펀칭!$K:$K,RAW_판매펀칭!$P:$P,A1653,RAW_판매펀칭!$I:$I,C1653)*W1653/SUMIFS($W:$W,$A:$A,A1653,$C:$C,C1653))</f>
        <v>126</v>
      </c>
      <c r="R1653" s="47" t="n">
        <f aca="false">IF(OR(A1653="500",A1653="800",A1653="810"),0,MAX(W1653-Q1653,0))</f>
        <v>0</v>
      </c>
      <c r="S1653" s="47" t="n">
        <f aca="false">R1653*L1653</f>
        <v>0</v>
      </c>
      <c r="T1653" s="47" t="n">
        <f aca="false">R1653*J1653</f>
        <v>0</v>
      </c>
      <c r="U1653" s="47" t="n">
        <f aca="false">R1653*K1653</f>
        <v>0</v>
      </c>
      <c r="V1653" s="0" t="str">
        <f aca="false">IF(COUNTIFS($A$2:A1653,A1653,$C$2:C1653,C1653,$D$2:D1653,D1653)&gt;1,"중복","")</f>
        <v/>
      </c>
      <c r="W1653" s="0" t="n">
        <f aca="false">IF(V1653="중복",0,N(D1653))</f>
        <v>126</v>
      </c>
      <c r="X1653" s="0" t="n">
        <f aca="false">IF(COUNTIFS($A$2:A1653,A1653,$C$2:C1653,C1653)=1,ABS(SUMIFS(RAW_발주!$D:$D,RAW_발주!$C:$C,A1653,RAW_발주!$A:$A,C1653)-SUMIFS($W:$W,$A:$A,A1653,$C:$C,C1653)),0)</f>
        <v>0</v>
      </c>
    </row>
    <row r="1654" customFormat="false" ht="15.75" hidden="false" customHeight="true" outlineLevel="0" collapsed="false">
      <c r="A1654" s="45" t="s">
        <v>1660</v>
      </c>
      <c r="B1654" s="42" t="str">
        <f aca="false">IF(A1654="100","HK",IF(A1654="200","CN",IF(A1654="300","TW","홀세일")))</f>
        <v>CN</v>
      </c>
      <c r="C1654" s="45" t="s">
        <v>1729</v>
      </c>
      <c r="D1654" s="46" t="n">
        <v>563</v>
      </c>
      <c r="E1654" s="46" t="n">
        <v>299000</v>
      </c>
      <c r="F1654" s="46" t="n">
        <v>85519</v>
      </c>
      <c r="G1654" s="42" t="n">
        <v>3.06</v>
      </c>
      <c r="H1654" s="42" t="n">
        <v>74.9</v>
      </c>
      <c r="J1654" s="46" t="n">
        <f aca="false">IF(N(E1654)&gt;0,E1654,IF(N(F1654)&gt;0,F1654*요약!$F$27,0))</f>
        <v>299000</v>
      </c>
      <c r="K1654" s="46" t="n">
        <f aca="false">IF(N(F1654)&gt;0,F1654,IF(N(E1654)&gt;0,E1654/요약!$F$27,0))</f>
        <v>85519</v>
      </c>
      <c r="L1654" s="46" t="n">
        <f aca="false">IF(B1654="CN",IF(N(I1654)&gt;0,I1654*요약!$G$27,K1654*(1+요약!$E$27)),IF(N(H1654)&gt;0,H1654*요약!$G$27,J1654*요약!$D$27))</f>
        <v>89794.95</v>
      </c>
      <c r="M1654" s="46" t="n">
        <f aca="false">D1654*J1654</f>
        <v>168337000</v>
      </c>
      <c r="N1654" s="46" t="n">
        <f aca="false">D1654*K1654</f>
        <v>48147197</v>
      </c>
      <c r="O1654" s="46" t="n">
        <f aca="false">D1654*L1654</f>
        <v>50554556.85</v>
      </c>
      <c r="P1654" s="42" t="str">
        <f aca="false">TRIM(IF(N(E1654)&lt;=0,"택가보정 ","")&amp;IF(N(F1654)&lt;=0,"원가보정 ","")&amp;IF(AND(B1654&lt;&gt;"CN",N(H1654)&lt;=0),"공급가보정 ","")&amp;IF(AND(B1654="CN",N(I1654)&lt;=0),"중국공급가=원가+마진 ",""))</f>
        <v>중국공급가=원가+마진</v>
      </c>
      <c r="Q1654" s="47" t="n">
        <f aca="false">IF(SUMIFS($W:$W,$A:$A,A1654,$C:$C,C1654)=0,0,SUMIFS(RAW_판매펀칭!$K:$K,RAW_판매펀칭!$P:$P,A1654,RAW_판매펀칭!$I:$I,C1654)*W1654/SUMIFS($W:$W,$A:$A,A1654,$C:$C,C1654))</f>
        <v>0</v>
      </c>
      <c r="R1654" s="47" t="n">
        <f aca="false">IF(OR(A1654="500",A1654="800",A1654="810"),0,MAX(W1654-Q1654,0))</f>
        <v>563</v>
      </c>
      <c r="S1654" s="47" t="n">
        <f aca="false">R1654*L1654</f>
        <v>50554556.85</v>
      </c>
      <c r="T1654" s="47" t="n">
        <f aca="false">R1654*J1654</f>
        <v>168337000</v>
      </c>
      <c r="U1654" s="47" t="n">
        <f aca="false">R1654*K1654</f>
        <v>48147197</v>
      </c>
      <c r="V1654" s="0" t="str">
        <f aca="false">IF(COUNTIFS($A$2:A1654,A1654,$C$2:C1654,C1654,$D$2:D1654,D1654)&gt;1,"중복","")</f>
        <v/>
      </c>
      <c r="W1654" s="0" t="n">
        <f aca="false">IF(V1654="중복",0,N(D1654))</f>
        <v>563</v>
      </c>
      <c r="X1654" s="0" t="n">
        <f aca="false">IF(COUNTIFS($A$2:A1654,A1654,$C$2:C1654,C1654)=1,ABS(SUMIFS(RAW_발주!$D:$D,RAW_발주!$C:$C,A1654,RAW_발주!$A:$A,C1654)-SUMIFS($W:$W,$A:$A,A1654,$C:$C,C1654)),0)</f>
        <v>0</v>
      </c>
    </row>
    <row r="1655" customFormat="false" ht="15" hidden="false" customHeight="true" outlineLevel="0" collapsed="false">
      <c r="A1655" s="45" t="s">
        <v>1659</v>
      </c>
      <c r="B1655" s="42" t="str">
        <f aca="false">IF(A1655="100","HK",IF(A1655="200","CN",IF(A1655="300","TW","홀세일")))</f>
        <v>HK</v>
      </c>
      <c r="C1655" s="45" t="s">
        <v>1730</v>
      </c>
      <c r="D1655" s="46" t="n">
        <v>395</v>
      </c>
      <c r="E1655" s="46" t="n">
        <v>229000</v>
      </c>
      <c r="F1655" s="46" t="n">
        <v>58090</v>
      </c>
      <c r="G1655" s="42" t="n">
        <v>3.01</v>
      </c>
      <c r="H1655" s="42" t="n">
        <v>57.4</v>
      </c>
      <c r="J1655" s="46" t="n">
        <f aca="false">IF(N(E1655)&gt;0,E1655,IF(N(F1655)&gt;0,F1655*요약!$F$27,0))</f>
        <v>229000</v>
      </c>
      <c r="K1655" s="46" t="n">
        <f aca="false">IF(N(F1655)&gt;0,F1655,IF(N(E1655)&gt;0,E1655/요약!$F$27,0))</f>
        <v>58090</v>
      </c>
      <c r="L1655" s="46" t="n">
        <f aca="false">IF(B1655="CN",IF(N(I1655)&gt;0,I1655*요약!$G$27,K1655*(1+요약!$E$27)),IF(N(H1655)&gt;0,H1655*요약!$G$27,J1655*요약!$D$27))</f>
        <v>75768</v>
      </c>
      <c r="M1655" s="46" t="n">
        <f aca="false">D1655*J1655</f>
        <v>90455000</v>
      </c>
      <c r="N1655" s="46" t="n">
        <f aca="false">D1655*K1655</f>
        <v>22945550</v>
      </c>
      <c r="O1655" s="46" t="n">
        <f aca="false">D1655*L1655</f>
        <v>29928360</v>
      </c>
      <c r="P1655" s="42" t="str">
        <f aca="false">TRIM(IF(N(E1655)&lt;=0,"택가보정 ","")&amp;IF(N(F1655)&lt;=0,"원가보정 ","")&amp;IF(AND(B1655&lt;&gt;"CN",N(H1655)&lt;=0),"공급가보정 ","")&amp;IF(AND(B1655="CN",N(I1655)&lt;=0),"중국공급가=원가+마진 ",""))</f>
        <v/>
      </c>
      <c r="Q1655" s="47" t="n">
        <f aca="false">IF(SUMIFS($W:$W,$A:$A,A1655,$C:$C,C1655)=0,0,SUMIFS(RAW_판매펀칭!$K:$K,RAW_판매펀칭!$P:$P,A1655,RAW_판매펀칭!$I:$I,C1655)*W1655/SUMIFS($W:$W,$A:$A,A1655,$C:$C,C1655))</f>
        <v>0</v>
      </c>
      <c r="R1655" s="47" t="n">
        <f aca="false">IF(OR(A1655="500",A1655="800",A1655="810"),0,MAX(W1655-Q1655,0))</f>
        <v>395</v>
      </c>
      <c r="S1655" s="47" t="n">
        <f aca="false">R1655*L1655</f>
        <v>29928360</v>
      </c>
      <c r="T1655" s="47" t="n">
        <f aca="false">R1655*J1655</f>
        <v>90455000</v>
      </c>
      <c r="U1655" s="47" t="n">
        <f aca="false">R1655*K1655</f>
        <v>22945550</v>
      </c>
      <c r="V1655" s="0" t="str">
        <f aca="false">IF(COUNTIFS($A$2:A1655,A1655,$C$2:C1655,C1655,$D$2:D1655,D1655)&gt;1,"중복","")</f>
        <v/>
      </c>
      <c r="W1655" s="0" t="n">
        <f aca="false">IF(V1655="중복",0,N(D1655))</f>
        <v>395</v>
      </c>
      <c r="X1655" s="0" t="n">
        <f aca="false">IF(COUNTIFS($A$2:A1655,A1655,$C$2:C1655,C1655)=1,ABS(SUMIFS(RAW_발주!$D:$D,RAW_발주!$C:$C,A1655,RAW_발주!$A:$A,C1655)-SUMIFS($W:$W,$A:$A,A1655,$C:$C,C1655)),0)</f>
        <v>0</v>
      </c>
    </row>
    <row r="1656" customFormat="false" ht="15.75" hidden="false" customHeight="true" outlineLevel="0" collapsed="false">
      <c r="A1656" s="45" t="s">
        <v>1660</v>
      </c>
      <c r="B1656" s="42" t="str">
        <f aca="false">IF(A1656="100","HK",IF(A1656="200","CN",IF(A1656="300","TW","홀세일")))</f>
        <v>CN</v>
      </c>
      <c r="C1656" s="45" t="s">
        <v>1730</v>
      </c>
      <c r="D1656" s="46" t="n">
        <v>703</v>
      </c>
      <c r="E1656" s="46" t="n">
        <v>229000</v>
      </c>
      <c r="F1656" s="46" t="n">
        <v>58090</v>
      </c>
      <c r="G1656" s="42" t="n">
        <v>3.01</v>
      </c>
      <c r="H1656" s="42" t="n">
        <v>57.4</v>
      </c>
      <c r="J1656" s="46" t="n">
        <f aca="false">IF(N(E1656)&gt;0,E1656,IF(N(F1656)&gt;0,F1656*요약!$F$27,0))</f>
        <v>229000</v>
      </c>
      <c r="K1656" s="46" t="n">
        <f aca="false">IF(N(F1656)&gt;0,F1656,IF(N(E1656)&gt;0,E1656/요약!$F$27,0))</f>
        <v>58090</v>
      </c>
      <c r="L1656" s="46" t="n">
        <f aca="false">IF(B1656="CN",IF(N(I1656)&gt;0,I1656*요약!$G$27,K1656*(1+요약!$E$27)),IF(N(H1656)&gt;0,H1656*요약!$G$27,J1656*요약!$D$27))</f>
        <v>60994.5</v>
      </c>
      <c r="M1656" s="46" t="n">
        <f aca="false">D1656*J1656</f>
        <v>160987000</v>
      </c>
      <c r="N1656" s="46" t="n">
        <f aca="false">D1656*K1656</f>
        <v>40837270</v>
      </c>
      <c r="O1656" s="46" t="n">
        <f aca="false">D1656*L1656</f>
        <v>42879133.5</v>
      </c>
      <c r="P1656" s="42" t="str">
        <f aca="false">TRIM(IF(N(E1656)&lt;=0,"택가보정 ","")&amp;IF(N(F1656)&lt;=0,"원가보정 ","")&amp;IF(AND(B1656&lt;&gt;"CN",N(H1656)&lt;=0),"공급가보정 ","")&amp;IF(AND(B1656="CN",N(I1656)&lt;=0),"중국공급가=원가+마진 ",""))</f>
        <v>중국공급가=원가+마진</v>
      </c>
      <c r="Q1656" s="47" t="n">
        <f aca="false">IF(SUMIFS($W:$W,$A:$A,A1656,$C:$C,C1656)=0,0,SUMIFS(RAW_판매펀칭!$K:$K,RAW_판매펀칭!$P:$P,A1656,RAW_판매펀칭!$I:$I,C1656)*W1656/SUMIFS($W:$W,$A:$A,A1656,$C:$C,C1656))</f>
        <v>0</v>
      </c>
      <c r="R1656" s="47" t="n">
        <f aca="false">IF(OR(A1656="500",A1656="800",A1656="810"),0,MAX(W1656-Q1656,0))</f>
        <v>703</v>
      </c>
      <c r="S1656" s="47" t="n">
        <f aca="false">R1656*L1656</f>
        <v>42879133.5</v>
      </c>
      <c r="T1656" s="47" t="n">
        <f aca="false">R1656*J1656</f>
        <v>160987000</v>
      </c>
      <c r="U1656" s="47" t="n">
        <f aca="false">R1656*K1656</f>
        <v>40837270</v>
      </c>
      <c r="V1656" s="0" t="str">
        <f aca="false">IF(COUNTIFS($A$2:A1656,A1656,$C$2:C1656,C1656,$D$2:D1656,D1656)&gt;1,"중복","")</f>
        <v/>
      </c>
      <c r="W1656" s="0" t="n">
        <f aca="false">IF(V1656="중복",0,N(D1656))</f>
        <v>703</v>
      </c>
      <c r="X1656" s="0" t="n">
        <f aca="false">IF(COUNTIFS($A$2:A1656,A1656,$C$2:C1656,C1656)=1,ABS(SUMIFS(RAW_발주!$D:$D,RAW_발주!$C:$C,A1656,RAW_발주!$A:$A,C1656)-SUMIFS($W:$W,$A:$A,A1656,$C:$C,C1656)),0)</f>
        <v>0</v>
      </c>
    </row>
    <row r="1657" customFormat="false" ht="15" hidden="false" customHeight="true" outlineLevel="0" collapsed="false">
      <c r="A1657" s="45" t="s">
        <v>1661</v>
      </c>
      <c r="B1657" s="42" t="str">
        <f aca="false">IF(A1657="100","HK",IF(A1657="200","CN",IF(A1657="300","TW","홀세일")))</f>
        <v>TW</v>
      </c>
      <c r="C1657" s="45" t="s">
        <v>1730</v>
      </c>
      <c r="D1657" s="46" t="n">
        <v>440</v>
      </c>
      <c r="E1657" s="46" t="n">
        <v>229000</v>
      </c>
      <c r="F1657" s="46" t="n">
        <v>58090</v>
      </c>
      <c r="G1657" s="42" t="n">
        <v>3.01</v>
      </c>
      <c r="H1657" s="42" t="n">
        <v>57.4</v>
      </c>
      <c r="J1657" s="46" t="n">
        <f aca="false">IF(N(E1657)&gt;0,E1657,IF(N(F1657)&gt;0,F1657*요약!$F$27,0))</f>
        <v>229000</v>
      </c>
      <c r="K1657" s="46" t="n">
        <f aca="false">IF(N(F1657)&gt;0,F1657,IF(N(E1657)&gt;0,E1657/요약!$F$27,0))</f>
        <v>58090</v>
      </c>
      <c r="L1657" s="46" t="n">
        <f aca="false">IF(B1657="CN",IF(N(I1657)&gt;0,I1657*요약!$G$27,K1657*(1+요약!$E$27)),IF(N(H1657)&gt;0,H1657*요약!$G$27,J1657*요약!$D$27))</f>
        <v>75768</v>
      </c>
      <c r="M1657" s="46" t="n">
        <f aca="false">D1657*J1657</f>
        <v>100760000</v>
      </c>
      <c r="N1657" s="46" t="n">
        <f aca="false">D1657*K1657</f>
        <v>25559600</v>
      </c>
      <c r="O1657" s="46" t="n">
        <f aca="false">D1657*L1657</f>
        <v>33337920</v>
      </c>
      <c r="P1657" s="42" t="str">
        <f aca="false">TRIM(IF(N(E1657)&lt;=0,"택가보정 ","")&amp;IF(N(F1657)&lt;=0,"원가보정 ","")&amp;IF(AND(B1657&lt;&gt;"CN",N(H1657)&lt;=0),"공급가보정 ","")&amp;IF(AND(B1657="CN",N(I1657)&lt;=0),"중국공급가=원가+마진 ",""))</f>
        <v/>
      </c>
      <c r="Q1657" s="47" t="n">
        <f aca="false">IF(SUMIFS($W:$W,$A:$A,A1657,$C:$C,C1657)=0,0,SUMIFS(RAW_판매펀칭!$K:$K,RAW_판매펀칭!$P:$P,A1657,RAW_판매펀칭!$I:$I,C1657)*W1657/SUMIFS($W:$W,$A:$A,A1657,$C:$C,C1657))</f>
        <v>0</v>
      </c>
      <c r="R1657" s="47" t="n">
        <f aca="false">IF(OR(A1657="500",A1657="800",A1657="810"),0,MAX(W1657-Q1657,0))</f>
        <v>440</v>
      </c>
      <c r="S1657" s="47" t="n">
        <f aca="false">R1657*L1657</f>
        <v>33337920</v>
      </c>
      <c r="T1657" s="47" t="n">
        <f aca="false">R1657*J1657</f>
        <v>100760000</v>
      </c>
      <c r="U1657" s="47" t="n">
        <f aca="false">R1657*K1657</f>
        <v>25559600</v>
      </c>
      <c r="V1657" s="0" t="str">
        <f aca="false">IF(COUNTIFS($A$2:A1657,A1657,$C$2:C1657,C1657,$D$2:D1657,D1657)&gt;1,"중복","")</f>
        <v/>
      </c>
      <c r="W1657" s="0" t="n">
        <f aca="false">IF(V1657="중복",0,N(D1657))</f>
        <v>440</v>
      </c>
      <c r="X1657" s="0" t="n">
        <f aca="false">IF(COUNTIFS($A$2:A1657,A1657,$C$2:C1657,C1657)=1,ABS(SUMIFS(RAW_발주!$D:$D,RAW_발주!$C:$C,A1657,RAW_발주!$A:$A,C1657)-SUMIFS($W:$W,$A:$A,A1657,$C:$C,C1657)),0)</f>
        <v>0</v>
      </c>
    </row>
    <row r="1658" customFormat="false" ht="15" hidden="false" customHeight="true" outlineLevel="0" collapsed="false">
      <c r="A1658" s="45" t="s">
        <v>1663</v>
      </c>
      <c r="B1658" s="42" t="str">
        <f aca="false">IF(A1658="100","HK",IF(A1658="200","CN",IF(A1658="300","TW","홀세일")))</f>
        <v>홀세일</v>
      </c>
      <c r="C1658" s="45" t="s">
        <v>1730</v>
      </c>
      <c r="D1658" s="46" t="n">
        <v>20</v>
      </c>
      <c r="E1658" s="46" t="n">
        <v>229000</v>
      </c>
      <c r="F1658" s="46" t="n">
        <v>58090</v>
      </c>
      <c r="G1658" s="42" t="n">
        <v>3.01</v>
      </c>
      <c r="H1658" s="42" t="n">
        <v>57.4</v>
      </c>
      <c r="J1658" s="46" t="n">
        <f aca="false">IF(N(E1658)&gt;0,E1658,IF(N(F1658)&gt;0,F1658*요약!$F$27,0))</f>
        <v>229000</v>
      </c>
      <c r="K1658" s="46" t="n">
        <f aca="false">IF(N(F1658)&gt;0,F1658,IF(N(E1658)&gt;0,E1658/요약!$F$27,0))</f>
        <v>58090</v>
      </c>
      <c r="L1658" s="46" t="n">
        <f aca="false">IF(B1658="CN",IF(N(I1658)&gt;0,I1658*요약!$G$27,K1658*(1+요약!$E$27)),IF(N(H1658)&gt;0,H1658*요약!$G$27,J1658*요약!$D$27))</f>
        <v>75768</v>
      </c>
      <c r="M1658" s="46" t="n">
        <f aca="false">D1658*J1658</f>
        <v>4580000</v>
      </c>
      <c r="N1658" s="46" t="n">
        <f aca="false">D1658*K1658</f>
        <v>1161800</v>
      </c>
      <c r="O1658" s="46" t="n">
        <f aca="false">D1658*L1658</f>
        <v>1515360</v>
      </c>
      <c r="P1658" s="42" t="str">
        <f aca="false">TRIM(IF(N(E1658)&lt;=0,"택가보정 ","")&amp;IF(N(F1658)&lt;=0,"원가보정 ","")&amp;IF(AND(B1658&lt;&gt;"CN",N(H1658)&lt;=0),"공급가보정 ","")&amp;IF(AND(B1658="CN",N(I1658)&lt;=0),"중국공급가=원가+마진 ",""))</f>
        <v/>
      </c>
      <c r="Q1658" s="47" t="n">
        <f aca="false">IF(SUMIFS($W:$W,$A:$A,A1658,$C:$C,C1658)=0,0,SUMIFS(RAW_판매펀칭!$K:$K,RAW_판매펀칭!$P:$P,A1658,RAW_판매펀칭!$I:$I,C1658)*W1658/SUMIFS($W:$W,$A:$A,A1658,$C:$C,C1658))</f>
        <v>0</v>
      </c>
      <c r="R1658" s="47" t="n">
        <f aca="false">IF(OR(A1658="500",A1658="800",A1658="810"),0,MAX(W1658-Q1658,0))</f>
        <v>20</v>
      </c>
      <c r="S1658" s="47" t="n">
        <f aca="false">R1658*L1658</f>
        <v>1515360</v>
      </c>
      <c r="T1658" s="47" t="n">
        <f aca="false">R1658*J1658</f>
        <v>4580000</v>
      </c>
      <c r="U1658" s="47" t="n">
        <f aca="false">R1658*K1658</f>
        <v>1161800</v>
      </c>
      <c r="V1658" s="0" t="str">
        <f aca="false">IF(COUNTIFS($A$2:A1658,A1658,$C$2:C1658,C1658,$D$2:D1658,D1658)&gt;1,"중복","")</f>
        <v/>
      </c>
      <c r="W1658" s="0" t="n">
        <f aca="false">IF(V1658="중복",0,N(D1658))</f>
        <v>20</v>
      </c>
      <c r="X1658" s="0" t="n">
        <f aca="false">IF(COUNTIFS($A$2:A1658,A1658,$C$2:C1658,C1658)=1,ABS(SUMIFS(RAW_발주!$D:$D,RAW_발주!$C:$C,A1658,RAW_발주!$A:$A,C1658)-SUMIFS($W:$W,$A:$A,A1658,$C:$C,C1658)),0)</f>
        <v>0</v>
      </c>
    </row>
    <row r="1659" customFormat="false" ht="15" hidden="false" customHeight="true" outlineLevel="0" collapsed="false">
      <c r="A1659" s="45" t="s">
        <v>1664</v>
      </c>
      <c r="B1659" s="42" t="str">
        <f aca="false">IF(A1659="100","HK",IF(A1659="200","CN",IF(A1659="300","TW","홀세일")))</f>
        <v>홀세일</v>
      </c>
      <c r="C1659" s="45" t="s">
        <v>1730</v>
      </c>
      <c r="D1659" s="46" t="n">
        <v>30</v>
      </c>
      <c r="E1659" s="46" t="n">
        <v>229000</v>
      </c>
      <c r="F1659" s="46" t="n">
        <v>58090</v>
      </c>
      <c r="G1659" s="42" t="n">
        <v>3.01</v>
      </c>
      <c r="H1659" s="42" t="n">
        <v>57.4</v>
      </c>
      <c r="J1659" s="46" t="n">
        <f aca="false">IF(N(E1659)&gt;0,E1659,IF(N(F1659)&gt;0,F1659*요약!$F$27,0))</f>
        <v>229000</v>
      </c>
      <c r="K1659" s="46" t="n">
        <f aca="false">IF(N(F1659)&gt;0,F1659,IF(N(E1659)&gt;0,E1659/요약!$F$27,0))</f>
        <v>58090</v>
      </c>
      <c r="L1659" s="46" t="n">
        <f aca="false">IF(B1659="CN",IF(N(I1659)&gt;0,I1659*요약!$G$27,K1659*(1+요약!$E$27)),IF(N(H1659)&gt;0,H1659*요약!$G$27,J1659*요약!$D$27))</f>
        <v>75768</v>
      </c>
      <c r="M1659" s="46" t="n">
        <f aca="false">D1659*J1659</f>
        <v>6870000</v>
      </c>
      <c r="N1659" s="46" t="n">
        <f aca="false">D1659*K1659</f>
        <v>1742700</v>
      </c>
      <c r="O1659" s="46" t="n">
        <f aca="false">D1659*L1659</f>
        <v>2273040</v>
      </c>
      <c r="P1659" s="42" t="str">
        <f aca="false">TRIM(IF(N(E1659)&lt;=0,"택가보정 ","")&amp;IF(N(F1659)&lt;=0,"원가보정 ","")&amp;IF(AND(B1659&lt;&gt;"CN",N(H1659)&lt;=0),"공급가보정 ","")&amp;IF(AND(B1659="CN",N(I1659)&lt;=0),"중국공급가=원가+마진 ",""))</f>
        <v/>
      </c>
      <c r="Q1659" s="47" t="n">
        <f aca="false">IF(SUMIFS($W:$W,$A:$A,A1659,$C:$C,C1659)=0,0,SUMIFS(RAW_판매펀칭!$K:$K,RAW_판매펀칭!$P:$P,A1659,RAW_판매펀칭!$I:$I,C1659)*W1659/SUMIFS($W:$W,$A:$A,A1659,$C:$C,C1659))</f>
        <v>0</v>
      </c>
      <c r="R1659" s="47" t="n">
        <f aca="false">IF(OR(A1659="500",A1659="800",A1659="810"),0,MAX(W1659-Q1659,0))</f>
        <v>0</v>
      </c>
      <c r="S1659" s="47" t="n">
        <f aca="false">R1659*L1659</f>
        <v>0</v>
      </c>
      <c r="T1659" s="47" t="n">
        <f aca="false">R1659*J1659</f>
        <v>0</v>
      </c>
      <c r="U1659" s="47" t="n">
        <f aca="false">R1659*K1659</f>
        <v>0</v>
      </c>
      <c r="V1659" s="0" t="str">
        <f aca="false">IF(COUNTIFS($A$2:A1659,A1659,$C$2:C1659,C1659,$D$2:D1659,D1659)&gt;1,"중복","")</f>
        <v/>
      </c>
      <c r="W1659" s="0" t="n">
        <f aca="false">IF(V1659="중복",0,N(D1659))</f>
        <v>30</v>
      </c>
      <c r="X1659" s="0" t="n">
        <f aca="false">IF(COUNTIFS($A$2:A1659,A1659,$C$2:C1659,C1659)=1,ABS(SUMIFS(RAW_발주!$D:$D,RAW_발주!$C:$C,A1659,RAW_발주!$A:$A,C1659)-SUMIFS($W:$W,$A:$A,A1659,$C:$C,C1659)),0)</f>
        <v>0</v>
      </c>
    </row>
    <row r="1660" customFormat="false" ht="15.75" hidden="false" customHeight="true" outlineLevel="0" collapsed="false">
      <c r="A1660" s="45" t="s">
        <v>1660</v>
      </c>
      <c r="B1660" s="42" t="str">
        <f aca="false">IF(A1660="100","HK",IF(A1660="200","CN",IF(A1660="300","TW","홀세일")))</f>
        <v>CN</v>
      </c>
      <c r="C1660" s="45" t="s">
        <v>1731</v>
      </c>
      <c r="D1660" s="46" t="n">
        <v>423</v>
      </c>
      <c r="E1660" s="46" t="n">
        <v>499000</v>
      </c>
      <c r="F1660" s="46" t="n">
        <v>124576</v>
      </c>
      <c r="G1660" s="42" t="n">
        <v>3.43</v>
      </c>
      <c r="H1660" s="42" t="n">
        <v>124.9</v>
      </c>
      <c r="J1660" s="46" t="n">
        <f aca="false">IF(N(E1660)&gt;0,E1660,IF(N(F1660)&gt;0,F1660*요약!$F$27,0))</f>
        <v>499000</v>
      </c>
      <c r="K1660" s="46" t="n">
        <f aca="false">IF(N(F1660)&gt;0,F1660,IF(N(E1660)&gt;0,E1660/요약!$F$27,0))</f>
        <v>124576</v>
      </c>
      <c r="L1660" s="46" t="n">
        <f aca="false">IF(B1660="CN",IF(N(I1660)&gt;0,I1660*요약!$G$27,K1660*(1+요약!$E$27)),IF(N(H1660)&gt;0,H1660*요약!$G$27,J1660*요약!$D$27))</f>
        <v>130804.8</v>
      </c>
      <c r="M1660" s="46" t="n">
        <f aca="false">D1660*J1660</f>
        <v>211077000</v>
      </c>
      <c r="N1660" s="46" t="n">
        <f aca="false">D1660*K1660</f>
        <v>52695648</v>
      </c>
      <c r="O1660" s="46" t="n">
        <f aca="false">D1660*L1660</f>
        <v>55330430.4</v>
      </c>
      <c r="P1660" s="42" t="str">
        <f aca="false">TRIM(IF(N(E1660)&lt;=0,"택가보정 ","")&amp;IF(N(F1660)&lt;=0,"원가보정 ","")&amp;IF(AND(B1660&lt;&gt;"CN",N(H1660)&lt;=0),"공급가보정 ","")&amp;IF(AND(B1660="CN",N(I1660)&lt;=0),"중국공급가=원가+마진 ",""))</f>
        <v>중국공급가=원가+마진</v>
      </c>
      <c r="Q1660" s="47" t="n">
        <f aca="false">IF(SUMIFS($W:$W,$A:$A,A1660,$C:$C,C1660)=0,0,SUMIFS(RAW_판매펀칭!$K:$K,RAW_판매펀칭!$P:$P,A1660,RAW_판매펀칭!$I:$I,C1660)*W1660/SUMIFS($W:$W,$A:$A,A1660,$C:$C,C1660))</f>
        <v>0</v>
      </c>
      <c r="R1660" s="47" t="n">
        <f aca="false">IF(OR(A1660="500",A1660="800",A1660="810"),0,MAX(W1660-Q1660,0))</f>
        <v>423</v>
      </c>
      <c r="S1660" s="47" t="n">
        <f aca="false">R1660*L1660</f>
        <v>55330430.4</v>
      </c>
      <c r="T1660" s="47" t="n">
        <f aca="false">R1660*J1660</f>
        <v>211077000</v>
      </c>
      <c r="U1660" s="47" t="n">
        <f aca="false">R1660*K1660</f>
        <v>52695648</v>
      </c>
      <c r="V1660" s="0" t="str">
        <f aca="false">IF(COUNTIFS($A$2:A1660,A1660,$C$2:C1660,C1660,$D$2:D1660,D1660)&gt;1,"중복","")</f>
        <v/>
      </c>
      <c r="W1660" s="0" t="n">
        <f aca="false">IF(V1660="중복",0,N(D1660))</f>
        <v>423</v>
      </c>
      <c r="X1660" s="0" t="n">
        <f aca="false">IF(COUNTIFS($A$2:A1660,A1660,$C$2:C1660,C1660)=1,ABS(SUMIFS(RAW_발주!$D:$D,RAW_발주!$C:$C,A1660,RAW_발주!$A:$A,C1660)-SUMIFS($W:$W,$A:$A,A1660,$C:$C,C1660)),0)</f>
        <v>0</v>
      </c>
    </row>
    <row r="1661" customFormat="false" ht="15.75" hidden="false" customHeight="true" outlineLevel="0" collapsed="false">
      <c r="A1661" s="45" t="s">
        <v>1660</v>
      </c>
      <c r="B1661" s="42" t="str">
        <f aca="false">IF(A1661="100","HK",IF(A1661="200","CN",IF(A1661="300","TW","홀세일")))</f>
        <v>CN</v>
      </c>
      <c r="C1661" s="45" t="s">
        <v>665</v>
      </c>
      <c r="D1661" s="46" t="n">
        <v>317</v>
      </c>
      <c r="E1661" s="46"/>
      <c r="F1661" s="46" t="n">
        <v>19800</v>
      </c>
      <c r="G1661" s="42" t="n">
        <v>0</v>
      </c>
      <c r="H1661" s="42" t="n">
        <v>23.7</v>
      </c>
      <c r="J1661" s="46" t="n">
        <f aca="false">IF(N(E1661)&gt;0,E1661,IF(N(F1661)&gt;0,F1661*요약!$F$27,0))</f>
        <v>79200</v>
      </c>
      <c r="K1661" s="46" t="n">
        <f aca="false">IF(N(F1661)&gt;0,F1661,IF(N(E1661)&gt;0,E1661/요약!$F$27,0))</f>
        <v>19800</v>
      </c>
      <c r="L1661" s="46" t="n">
        <f aca="false">IF(B1661="CN",IF(N(I1661)&gt;0,I1661*요약!$G$27,K1661*(1+요약!$E$27)),IF(N(H1661)&gt;0,H1661*요약!$G$27,J1661*요약!$D$27))</f>
        <v>20790</v>
      </c>
      <c r="M1661" s="46" t="n">
        <f aca="false">D1661*J1661</f>
        <v>25106400</v>
      </c>
      <c r="N1661" s="46" t="n">
        <f aca="false">D1661*K1661</f>
        <v>6276600</v>
      </c>
      <c r="O1661" s="46" t="n">
        <f aca="false">D1661*L1661</f>
        <v>6590430</v>
      </c>
      <c r="P1661" s="42" t="str">
        <f aca="false">TRIM(IF(N(E1661)&lt;=0,"택가보정 ","")&amp;IF(N(F1661)&lt;=0,"원가보정 ","")&amp;IF(AND(B1661&lt;&gt;"CN",N(H1661)&lt;=0),"공급가보정 ","")&amp;IF(AND(B1661="CN",N(I1661)&lt;=0),"중국공급가=원가+마진 ",""))</f>
        <v>택가보정 중국공급가=원가+마진</v>
      </c>
      <c r="Q1661" s="47" t="n">
        <f aca="false">IF(SUMIFS($W:$W,$A:$A,A1661,$C:$C,C1661)=0,0,SUMIFS(RAW_판매펀칭!$K:$K,RAW_판매펀칭!$P:$P,A1661,RAW_판매펀칭!$I:$I,C1661)*W1661/SUMIFS($W:$W,$A:$A,A1661,$C:$C,C1661))</f>
        <v>0</v>
      </c>
      <c r="R1661" s="47" t="n">
        <f aca="false">IF(OR(A1661="500",A1661="800",A1661="810"),0,MAX(W1661-Q1661,0))</f>
        <v>317</v>
      </c>
      <c r="S1661" s="47" t="n">
        <f aca="false">R1661*L1661</f>
        <v>6590430</v>
      </c>
      <c r="T1661" s="47" t="n">
        <f aca="false">R1661*J1661</f>
        <v>25106400</v>
      </c>
      <c r="U1661" s="47" t="n">
        <f aca="false">R1661*K1661</f>
        <v>6276600</v>
      </c>
      <c r="V1661" s="0" t="str">
        <f aca="false">IF(COUNTIFS($A$2:A1661,A1661,$C$2:C1661,C1661,$D$2:D1661,D1661)&gt;1,"중복","")</f>
        <v/>
      </c>
      <c r="W1661" s="0" t="n">
        <f aca="false">IF(V1661="중복",0,N(D1661))</f>
        <v>317</v>
      </c>
      <c r="X1661" s="0" t="n">
        <f aca="false">IF(COUNTIFS($A$2:A1661,A1661,$C$2:C1661,C1661)=1,ABS(SUMIFS(RAW_발주!$D:$D,RAW_발주!$C:$C,A1661,RAW_발주!$A:$A,C1661)-SUMIFS($W:$W,$A:$A,A1661,$C:$C,C1661)),0)</f>
        <v>0</v>
      </c>
    </row>
    <row r="1662" customFormat="false" ht="15" hidden="false" customHeight="true" outlineLevel="0" collapsed="false">
      <c r="A1662" s="45" t="s">
        <v>1661</v>
      </c>
      <c r="B1662" s="42" t="str">
        <f aca="false">IF(A1662="100","HK",IF(A1662="200","CN",IF(A1662="300","TW","홀세일")))</f>
        <v>TW</v>
      </c>
      <c r="C1662" s="45" t="s">
        <v>665</v>
      </c>
      <c r="D1662" s="46" t="n">
        <v>100</v>
      </c>
      <c r="E1662" s="46"/>
      <c r="F1662" s="46" t="n">
        <v>19800</v>
      </c>
      <c r="G1662" s="42" t="n">
        <v>0</v>
      </c>
      <c r="H1662" s="42" t="n">
        <v>23.7</v>
      </c>
      <c r="J1662" s="46" t="n">
        <f aca="false">IF(N(E1662)&gt;0,E1662,IF(N(F1662)&gt;0,F1662*요약!$F$27,0))</f>
        <v>79200</v>
      </c>
      <c r="K1662" s="46" t="n">
        <f aca="false">IF(N(F1662)&gt;0,F1662,IF(N(E1662)&gt;0,E1662/요약!$F$27,0))</f>
        <v>19800</v>
      </c>
      <c r="L1662" s="46" t="n">
        <f aca="false">IF(B1662="CN",IF(N(I1662)&gt;0,I1662*요약!$G$27,K1662*(1+요약!$E$27)),IF(N(H1662)&gt;0,H1662*요약!$G$27,J1662*요약!$D$27))</f>
        <v>31284</v>
      </c>
      <c r="M1662" s="46" t="n">
        <f aca="false">D1662*J1662</f>
        <v>7920000</v>
      </c>
      <c r="N1662" s="46" t="n">
        <f aca="false">D1662*K1662</f>
        <v>1980000</v>
      </c>
      <c r="O1662" s="46" t="n">
        <f aca="false">D1662*L1662</f>
        <v>3128400</v>
      </c>
      <c r="P1662" s="42" t="str">
        <f aca="false">TRIM(IF(N(E1662)&lt;=0,"택가보정 ","")&amp;IF(N(F1662)&lt;=0,"원가보정 ","")&amp;IF(AND(B1662&lt;&gt;"CN",N(H1662)&lt;=0),"공급가보정 ","")&amp;IF(AND(B1662="CN",N(I1662)&lt;=0),"중국공급가=원가+마진 ",""))</f>
        <v>택가보정</v>
      </c>
      <c r="Q1662" s="47" t="n">
        <f aca="false">IF(SUMIFS($W:$W,$A:$A,A1662,$C:$C,C1662)=0,0,SUMIFS(RAW_판매펀칭!$K:$K,RAW_판매펀칭!$P:$P,A1662,RAW_판매펀칭!$I:$I,C1662)*W1662/SUMIFS($W:$W,$A:$A,A1662,$C:$C,C1662))</f>
        <v>100</v>
      </c>
      <c r="R1662" s="47" t="n">
        <f aca="false">IF(OR(A1662="500",A1662="800",A1662="810"),0,MAX(W1662-Q1662,0))</f>
        <v>0</v>
      </c>
      <c r="S1662" s="47" t="n">
        <f aca="false">R1662*L1662</f>
        <v>0</v>
      </c>
      <c r="T1662" s="47" t="n">
        <f aca="false">R1662*J1662</f>
        <v>0</v>
      </c>
      <c r="U1662" s="47" t="n">
        <f aca="false">R1662*K1662</f>
        <v>0</v>
      </c>
      <c r="V1662" s="0" t="str">
        <f aca="false">IF(COUNTIFS($A$2:A1662,A1662,$C$2:C1662,C1662,$D$2:D1662,D1662)&gt;1,"중복","")</f>
        <v/>
      </c>
      <c r="W1662" s="0" t="n">
        <f aca="false">IF(V1662="중복",0,N(D1662))</f>
        <v>100</v>
      </c>
      <c r="X1662" s="0" t="n">
        <f aca="false">IF(COUNTIFS($A$2:A1662,A1662,$C$2:C1662,C1662)=1,ABS(SUMIFS(RAW_발주!$D:$D,RAW_발주!$C:$C,A1662,RAW_발주!$A:$A,C1662)-SUMIFS($W:$W,$A:$A,A1662,$C:$C,C1662)),0)</f>
        <v>0</v>
      </c>
    </row>
    <row r="1663" customFormat="false" ht="15" hidden="false" customHeight="true" outlineLevel="0" collapsed="false">
      <c r="A1663" s="45" t="s">
        <v>1659</v>
      </c>
      <c r="B1663" s="42" t="str">
        <f aca="false">IF(A1663="100","HK",IF(A1663="200","CN",IF(A1663="300","TW","홀세일")))</f>
        <v>HK</v>
      </c>
      <c r="C1663" s="45" t="s">
        <v>667</v>
      </c>
      <c r="D1663" s="46" t="n">
        <v>240</v>
      </c>
      <c r="E1663" s="46"/>
      <c r="F1663" s="46" t="n">
        <v>30100</v>
      </c>
      <c r="G1663" s="42" t="n">
        <v>0</v>
      </c>
      <c r="H1663" s="42" t="n">
        <v>26.3</v>
      </c>
      <c r="J1663" s="46" t="n">
        <f aca="false">IF(N(E1663)&gt;0,E1663,IF(N(F1663)&gt;0,F1663*요약!$F$27,0))</f>
        <v>120400</v>
      </c>
      <c r="K1663" s="46" t="n">
        <f aca="false">IF(N(F1663)&gt;0,F1663,IF(N(E1663)&gt;0,E1663/요약!$F$27,0))</f>
        <v>30100</v>
      </c>
      <c r="L1663" s="46" t="n">
        <f aca="false">IF(B1663="CN",IF(N(I1663)&gt;0,I1663*요약!$G$27,K1663*(1+요약!$E$27)),IF(N(H1663)&gt;0,H1663*요약!$G$27,J1663*요약!$D$27))</f>
        <v>34716</v>
      </c>
      <c r="M1663" s="46" t="n">
        <f aca="false">D1663*J1663</f>
        <v>28896000</v>
      </c>
      <c r="N1663" s="46" t="n">
        <f aca="false">D1663*K1663</f>
        <v>7224000</v>
      </c>
      <c r="O1663" s="46" t="n">
        <f aca="false">D1663*L1663</f>
        <v>8331840</v>
      </c>
      <c r="P1663" s="42" t="str">
        <f aca="false">TRIM(IF(N(E1663)&lt;=0,"택가보정 ","")&amp;IF(N(F1663)&lt;=0,"원가보정 ","")&amp;IF(AND(B1663&lt;&gt;"CN",N(H1663)&lt;=0),"공급가보정 ","")&amp;IF(AND(B1663="CN",N(I1663)&lt;=0),"중국공급가=원가+마진 ",""))</f>
        <v>택가보정</v>
      </c>
      <c r="Q1663" s="47" t="n">
        <f aca="false">IF(SUMIFS($W:$W,$A:$A,A1663,$C:$C,C1663)=0,0,SUMIFS(RAW_판매펀칭!$K:$K,RAW_판매펀칭!$P:$P,A1663,RAW_판매펀칭!$I:$I,C1663)*W1663/SUMIFS($W:$W,$A:$A,A1663,$C:$C,C1663))</f>
        <v>240</v>
      </c>
      <c r="R1663" s="47" t="n">
        <f aca="false">IF(OR(A1663="500",A1663="800",A1663="810"),0,MAX(W1663-Q1663,0))</f>
        <v>0</v>
      </c>
      <c r="S1663" s="47" t="n">
        <f aca="false">R1663*L1663</f>
        <v>0</v>
      </c>
      <c r="T1663" s="47" t="n">
        <f aca="false">R1663*J1663</f>
        <v>0</v>
      </c>
      <c r="U1663" s="47" t="n">
        <f aca="false">R1663*K1663</f>
        <v>0</v>
      </c>
      <c r="V1663" s="0" t="str">
        <f aca="false">IF(COUNTIFS($A$2:A1663,A1663,$C$2:C1663,C1663,$D$2:D1663,D1663)&gt;1,"중복","")</f>
        <v/>
      </c>
      <c r="W1663" s="0" t="n">
        <f aca="false">IF(V1663="중복",0,N(D1663))</f>
        <v>240</v>
      </c>
      <c r="X1663" s="0" t="n">
        <f aca="false">IF(COUNTIFS($A$2:A1663,A1663,$C$2:C1663,C1663)=1,ABS(SUMIFS(RAW_발주!$D:$D,RAW_발주!$C:$C,A1663,RAW_발주!$A:$A,C1663)-SUMIFS($W:$W,$A:$A,A1663,$C:$C,C1663)),0)</f>
        <v>0</v>
      </c>
    </row>
    <row r="1664" customFormat="false" ht="15.75" hidden="false" customHeight="true" outlineLevel="0" collapsed="false">
      <c r="A1664" s="45" t="s">
        <v>1660</v>
      </c>
      <c r="B1664" s="42" t="str">
        <f aca="false">IF(A1664="100","HK",IF(A1664="200","CN",IF(A1664="300","TW","홀세일")))</f>
        <v>CN</v>
      </c>
      <c r="C1664" s="45" t="s">
        <v>667</v>
      </c>
      <c r="D1664" s="46" t="n">
        <v>367</v>
      </c>
      <c r="E1664" s="46"/>
      <c r="F1664" s="46" t="n">
        <v>30100</v>
      </c>
      <c r="G1664" s="42" t="n">
        <v>0</v>
      </c>
      <c r="H1664" s="42" t="n">
        <v>26.3</v>
      </c>
      <c r="J1664" s="46" t="n">
        <f aca="false">IF(N(E1664)&gt;0,E1664,IF(N(F1664)&gt;0,F1664*요약!$F$27,0))</f>
        <v>120400</v>
      </c>
      <c r="K1664" s="46" t="n">
        <f aca="false">IF(N(F1664)&gt;0,F1664,IF(N(E1664)&gt;0,E1664/요약!$F$27,0))</f>
        <v>30100</v>
      </c>
      <c r="L1664" s="46" t="n">
        <f aca="false">IF(B1664="CN",IF(N(I1664)&gt;0,I1664*요약!$G$27,K1664*(1+요약!$E$27)),IF(N(H1664)&gt;0,H1664*요약!$G$27,J1664*요약!$D$27))</f>
        <v>31605</v>
      </c>
      <c r="M1664" s="46" t="n">
        <f aca="false">D1664*J1664</f>
        <v>44186800</v>
      </c>
      <c r="N1664" s="46" t="n">
        <f aca="false">D1664*K1664</f>
        <v>11046700</v>
      </c>
      <c r="O1664" s="46" t="n">
        <f aca="false">D1664*L1664</f>
        <v>11599035</v>
      </c>
      <c r="P1664" s="42" t="str">
        <f aca="false">TRIM(IF(N(E1664)&lt;=0,"택가보정 ","")&amp;IF(N(F1664)&lt;=0,"원가보정 ","")&amp;IF(AND(B1664&lt;&gt;"CN",N(H1664)&lt;=0),"공급가보정 ","")&amp;IF(AND(B1664="CN",N(I1664)&lt;=0),"중국공급가=원가+마진 ",""))</f>
        <v>택가보정 중국공급가=원가+마진</v>
      </c>
      <c r="Q1664" s="47" t="n">
        <f aca="false">IF(SUMIFS($W:$W,$A:$A,A1664,$C:$C,C1664)=0,0,SUMIFS(RAW_판매펀칭!$K:$K,RAW_판매펀칭!$P:$P,A1664,RAW_판매펀칭!$I:$I,C1664)*W1664/SUMIFS($W:$W,$A:$A,A1664,$C:$C,C1664))</f>
        <v>367</v>
      </c>
      <c r="R1664" s="47" t="n">
        <f aca="false">IF(OR(A1664="500",A1664="800",A1664="810"),0,MAX(W1664-Q1664,0))</f>
        <v>0</v>
      </c>
      <c r="S1664" s="47" t="n">
        <f aca="false">R1664*L1664</f>
        <v>0</v>
      </c>
      <c r="T1664" s="47" t="n">
        <f aca="false">R1664*J1664</f>
        <v>0</v>
      </c>
      <c r="U1664" s="47" t="n">
        <f aca="false">R1664*K1664</f>
        <v>0</v>
      </c>
      <c r="V1664" s="0" t="str">
        <f aca="false">IF(COUNTIFS($A$2:A1664,A1664,$C$2:C1664,C1664,$D$2:D1664,D1664)&gt;1,"중복","")</f>
        <v/>
      </c>
      <c r="W1664" s="0" t="n">
        <f aca="false">IF(V1664="중복",0,N(D1664))</f>
        <v>367</v>
      </c>
      <c r="X1664" s="0" t="n">
        <f aca="false">IF(COUNTIFS($A$2:A1664,A1664,$C$2:C1664,C1664)=1,ABS(SUMIFS(RAW_발주!$D:$D,RAW_발주!$C:$C,A1664,RAW_발주!$A:$A,C1664)-SUMIFS($W:$W,$A:$A,A1664,$C:$C,C1664)),0)</f>
        <v>0</v>
      </c>
    </row>
    <row r="1665" customFormat="false" ht="15.75" hidden="false" customHeight="true" outlineLevel="0" collapsed="false">
      <c r="A1665" s="45" t="s">
        <v>1660</v>
      </c>
      <c r="B1665" s="42" t="str">
        <f aca="false">IF(A1665="100","HK",IF(A1665="200","CN",IF(A1665="300","TW","홀세일")))</f>
        <v>CN</v>
      </c>
      <c r="C1665" s="45" t="s">
        <v>667</v>
      </c>
      <c r="D1665" s="46" t="n">
        <v>367</v>
      </c>
      <c r="E1665" s="46"/>
      <c r="F1665" s="46" t="n">
        <v>30100</v>
      </c>
      <c r="G1665" s="42" t="n">
        <v>0</v>
      </c>
      <c r="H1665" s="42" t="n">
        <v>26.3</v>
      </c>
      <c r="J1665" s="46" t="n">
        <f aca="false">IF(N(E1665)&gt;0,E1665,IF(N(F1665)&gt;0,F1665*요약!$F$27,0))</f>
        <v>120400</v>
      </c>
      <c r="K1665" s="46" t="n">
        <f aca="false">IF(N(F1665)&gt;0,F1665,IF(N(E1665)&gt;0,E1665/요약!$F$27,0))</f>
        <v>30100</v>
      </c>
      <c r="L1665" s="46" t="n">
        <f aca="false">IF(B1665="CN",IF(N(I1665)&gt;0,I1665*요약!$G$27,K1665*(1+요약!$E$27)),IF(N(H1665)&gt;0,H1665*요약!$G$27,J1665*요약!$D$27))</f>
        <v>31605</v>
      </c>
      <c r="M1665" s="46" t="n">
        <f aca="false">D1665*J1665</f>
        <v>44186800</v>
      </c>
      <c r="N1665" s="46" t="n">
        <f aca="false">D1665*K1665</f>
        <v>11046700</v>
      </c>
      <c r="O1665" s="46" t="n">
        <f aca="false">D1665*L1665</f>
        <v>11599035</v>
      </c>
      <c r="P1665" s="42" t="str">
        <f aca="false">TRIM(IF(N(E1665)&lt;=0,"택가보정 ","")&amp;IF(N(F1665)&lt;=0,"원가보정 ","")&amp;IF(AND(B1665&lt;&gt;"CN",N(H1665)&lt;=0),"공급가보정 ","")&amp;IF(AND(B1665="CN",N(I1665)&lt;=0),"중국공급가=원가+마진 ",""))</f>
        <v>택가보정 중국공급가=원가+마진</v>
      </c>
      <c r="Q1665" s="47" t="n">
        <f aca="false">IF(SUMIFS($W:$W,$A:$A,A1665,$C:$C,C1665)=0,0,SUMIFS(RAW_판매펀칭!$K:$K,RAW_판매펀칭!$P:$P,A1665,RAW_판매펀칭!$I:$I,C1665)*W1665/SUMIFS($W:$W,$A:$A,A1665,$C:$C,C1665))</f>
        <v>0</v>
      </c>
      <c r="R1665" s="47" t="n">
        <f aca="false">IF(OR(A1665="500",A1665="800",A1665="810"),0,MAX(W1665-Q1665,0))</f>
        <v>0</v>
      </c>
      <c r="S1665" s="47" t="n">
        <f aca="false">R1665*L1665</f>
        <v>0</v>
      </c>
      <c r="T1665" s="47" t="n">
        <f aca="false">R1665*J1665</f>
        <v>0</v>
      </c>
      <c r="U1665" s="47" t="n">
        <f aca="false">R1665*K1665</f>
        <v>0</v>
      </c>
      <c r="V1665" s="0" t="str">
        <f aca="false">IF(COUNTIFS($A$2:A1665,A1665,$C$2:C1665,C1665,$D$2:D1665,D1665)&gt;1,"중복","")</f>
        <v>중복</v>
      </c>
      <c r="W1665" s="0" t="n">
        <f aca="false">IF(V1665="중복",0,N(D1665))</f>
        <v>0</v>
      </c>
      <c r="X1665" s="0" t="n">
        <f aca="false">IF(COUNTIFS($A$2:A1665,A1665,$C$2:C1665,C1665)=1,ABS(SUMIFS(RAW_발주!$D:$D,RAW_발주!$C:$C,A1665,RAW_발주!$A:$A,C1665)-SUMIFS($W:$W,$A:$A,A1665,$C:$C,C1665)),0)</f>
        <v>0</v>
      </c>
    </row>
    <row r="1666" customFormat="false" ht="15" hidden="false" customHeight="true" outlineLevel="0" collapsed="false">
      <c r="A1666" s="45" t="s">
        <v>1661</v>
      </c>
      <c r="B1666" s="42" t="str">
        <f aca="false">IF(A1666="100","HK",IF(A1666="200","CN",IF(A1666="300","TW","홀세일")))</f>
        <v>TW</v>
      </c>
      <c r="C1666" s="45" t="s">
        <v>667</v>
      </c>
      <c r="D1666" s="46" t="n">
        <v>1000</v>
      </c>
      <c r="E1666" s="46"/>
      <c r="F1666" s="46" t="n">
        <v>30100</v>
      </c>
      <c r="G1666" s="42" t="n">
        <v>0</v>
      </c>
      <c r="H1666" s="42" t="n">
        <v>26.3</v>
      </c>
      <c r="J1666" s="46" t="n">
        <f aca="false">IF(N(E1666)&gt;0,E1666,IF(N(F1666)&gt;0,F1666*요약!$F$27,0))</f>
        <v>120400</v>
      </c>
      <c r="K1666" s="46" t="n">
        <f aca="false">IF(N(F1666)&gt;0,F1666,IF(N(E1666)&gt;0,E1666/요약!$F$27,0))</f>
        <v>30100</v>
      </c>
      <c r="L1666" s="46" t="n">
        <f aca="false">IF(B1666="CN",IF(N(I1666)&gt;0,I1666*요약!$G$27,K1666*(1+요약!$E$27)),IF(N(H1666)&gt;0,H1666*요약!$G$27,J1666*요약!$D$27))</f>
        <v>34716</v>
      </c>
      <c r="M1666" s="46" t="n">
        <f aca="false">D1666*J1666</f>
        <v>120400000</v>
      </c>
      <c r="N1666" s="46" t="n">
        <f aca="false">D1666*K1666</f>
        <v>30100000</v>
      </c>
      <c r="O1666" s="46" t="n">
        <f aca="false">D1666*L1666</f>
        <v>34716000</v>
      </c>
      <c r="P1666" s="42" t="str">
        <f aca="false">TRIM(IF(N(E1666)&lt;=0,"택가보정 ","")&amp;IF(N(F1666)&lt;=0,"원가보정 ","")&amp;IF(AND(B1666&lt;&gt;"CN",N(H1666)&lt;=0),"공급가보정 ","")&amp;IF(AND(B1666="CN",N(I1666)&lt;=0),"중국공급가=원가+마진 ",""))</f>
        <v>택가보정</v>
      </c>
      <c r="Q1666" s="47" t="n">
        <f aca="false">IF(SUMIFS($W:$W,$A:$A,A1666,$C:$C,C1666)=0,0,SUMIFS(RAW_판매펀칭!$K:$K,RAW_판매펀칭!$P:$P,A1666,RAW_판매펀칭!$I:$I,C1666)*W1666/SUMIFS($W:$W,$A:$A,A1666,$C:$C,C1666))</f>
        <v>935</v>
      </c>
      <c r="R1666" s="47" t="n">
        <f aca="false">IF(OR(A1666="500",A1666="800",A1666="810"),0,MAX(W1666-Q1666,0))</f>
        <v>65</v>
      </c>
      <c r="S1666" s="47" t="n">
        <f aca="false">R1666*L1666</f>
        <v>2256540</v>
      </c>
      <c r="T1666" s="47" t="n">
        <f aca="false">R1666*J1666</f>
        <v>7826000</v>
      </c>
      <c r="U1666" s="47" t="n">
        <f aca="false">R1666*K1666</f>
        <v>1956500</v>
      </c>
      <c r="V1666" s="0" t="str">
        <f aca="false">IF(COUNTIFS($A$2:A1666,A1666,$C$2:C1666,C1666,$D$2:D1666,D1666)&gt;1,"중복","")</f>
        <v/>
      </c>
      <c r="W1666" s="0" t="n">
        <f aca="false">IF(V1666="중복",0,N(D1666))</f>
        <v>1000</v>
      </c>
      <c r="X1666" s="0" t="n">
        <f aca="false">IF(COUNTIFS($A$2:A1666,A1666,$C$2:C1666,C1666)=1,ABS(SUMIFS(RAW_발주!$D:$D,RAW_발주!$C:$C,A1666,RAW_발주!$A:$A,C1666)-SUMIFS($W:$W,$A:$A,A1666,$C:$C,C1666)),0)</f>
        <v>0</v>
      </c>
    </row>
    <row r="1667" customFormat="false" ht="15.75" hidden="false" customHeight="true" outlineLevel="0" collapsed="false">
      <c r="A1667" s="45" t="s">
        <v>1660</v>
      </c>
      <c r="B1667" s="42" t="str">
        <f aca="false">IF(A1667="100","HK",IF(A1667="200","CN",IF(A1667="300","TW","홀세일")))</f>
        <v>CN</v>
      </c>
      <c r="C1667" s="45" t="s">
        <v>1131</v>
      </c>
      <c r="D1667" s="46" t="n">
        <v>312</v>
      </c>
      <c r="E1667" s="46"/>
      <c r="F1667" s="46" t="n">
        <v>29201</v>
      </c>
      <c r="G1667" s="42" t="n">
        <v>0</v>
      </c>
      <c r="J1667" s="46" t="n">
        <f aca="false">IF(N(E1667)&gt;0,E1667,IF(N(F1667)&gt;0,F1667*요약!$F$27,0))</f>
        <v>116804</v>
      </c>
      <c r="K1667" s="46" t="n">
        <f aca="false">IF(N(F1667)&gt;0,F1667,IF(N(E1667)&gt;0,E1667/요약!$F$27,0))</f>
        <v>29201</v>
      </c>
      <c r="L1667" s="46" t="n">
        <f aca="false">IF(B1667="CN",IF(N(I1667)&gt;0,I1667*요약!$G$27,K1667*(1+요약!$E$27)),IF(N(H1667)&gt;0,H1667*요약!$G$27,J1667*요약!$D$27))</f>
        <v>30661.05</v>
      </c>
      <c r="M1667" s="46" t="n">
        <f aca="false">D1667*J1667</f>
        <v>36442848</v>
      </c>
      <c r="N1667" s="46" t="n">
        <f aca="false">D1667*K1667</f>
        <v>9110712</v>
      </c>
      <c r="O1667" s="46" t="n">
        <f aca="false">D1667*L1667</f>
        <v>9566247.6</v>
      </c>
      <c r="P1667" s="42" t="str">
        <f aca="false">TRIM(IF(N(E1667)&lt;=0,"택가보정 ","")&amp;IF(N(F1667)&lt;=0,"원가보정 ","")&amp;IF(AND(B1667&lt;&gt;"CN",N(H1667)&lt;=0),"공급가보정 ","")&amp;IF(AND(B1667="CN",N(I1667)&lt;=0),"중국공급가=원가+마진 ",""))</f>
        <v>택가보정 중국공급가=원가+마진</v>
      </c>
      <c r="Q1667" s="47" t="n">
        <f aca="false">IF(SUMIFS($W:$W,$A:$A,A1667,$C:$C,C1667)=0,0,SUMIFS(RAW_판매펀칭!$K:$K,RAW_판매펀칭!$P:$P,A1667,RAW_판매펀칭!$I:$I,C1667)*W1667/SUMIFS($W:$W,$A:$A,A1667,$C:$C,C1667))</f>
        <v>312</v>
      </c>
      <c r="R1667" s="47" t="n">
        <f aca="false">IF(OR(A1667="500",A1667="800",A1667="810"),0,MAX(W1667-Q1667,0))</f>
        <v>0</v>
      </c>
      <c r="S1667" s="47" t="n">
        <f aca="false">R1667*L1667</f>
        <v>0</v>
      </c>
      <c r="T1667" s="47" t="n">
        <f aca="false">R1667*J1667</f>
        <v>0</v>
      </c>
      <c r="U1667" s="47" t="n">
        <f aca="false">R1667*K1667</f>
        <v>0</v>
      </c>
      <c r="V1667" s="0" t="str">
        <f aca="false">IF(COUNTIFS($A$2:A1667,A1667,$C$2:C1667,C1667,$D$2:D1667,D1667)&gt;1,"중복","")</f>
        <v/>
      </c>
      <c r="W1667" s="0" t="n">
        <f aca="false">IF(V1667="중복",0,N(D1667))</f>
        <v>312</v>
      </c>
      <c r="X1667" s="0" t="n">
        <f aca="false">IF(COUNTIFS($A$2:A1667,A1667,$C$2:C1667,C1667)=1,ABS(SUMIFS(RAW_발주!$D:$D,RAW_발주!$C:$C,A1667,RAW_발주!$A:$A,C1667)-SUMIFS($W:$W,$A:$A,A1667,$C:$C,C1667)),0)</f>
        <v>0</v>
      </c>
    </row>
    <row r="1668" customFormat="false" ht="15.75" hidden="false" customHeight="true" outlineLevel="0" collapsed="false">
      <c r="A1668" s="45" t="s">
        <v>1660</v>
      </c>
      <c r="B1668" s="42" t="str">
        <f aca="false">IF(A1668="100","HK",IF(A1668="200","CN",IF(A1668="300","TW","홀세일")))</f>
        <v>CN</v>
      </c>
      <c r="C1668" s="45" t="s">
        <v>1133</v>
      </c>
      <c r="D1668" s="46" t="n">
        <v>713</v>
      </c>
      <c r="E1668" s="46"/>
      <c r="F1668" s="46" t="n">
        <v>32692</v>
      </c>
      <c r="G1668" s="42" t="n">
        <v>0</v>
      </c>
      <c r="J1668" s="46" t="n">
        <f aca="false">IF(N(E1668)&gt;0,E1668,IF(N(F1668)&gt;0,F1668*요약!$F$27,0))</f>
        <v>130768</v>
      </c>
      <c r="K1668" s="46" t="n">
        <f aca="false">IF(N(F1668)&gt;0,F1668,IF(N(E1668)&gt;0,E1668/요약!$F$27,0))</f>
        <v>32692</v>
      </c>
      <c r="L1668" s="46" t="n">
        <f aca="false">IF(B1668="CN",IF(N(I1668)&gt;0,I1668*요약!$G$27,K1668*(1+요약!$E$27)),IF(N(H1668)&gt;0,H1668*요약!$G$27,J1668*요약!$D$27))</f>
        <v>34326.6</v>
      </c>
      <c r="M1668" s="46" t="n">
        <f aca="false">D1668*J1668</f>
        <v>93237584</v>
      </c>
      <c r="N1668" s="46" t="n">
        <f aca="false">D1668*K1668</f>
        <v>23309396</v>
      </c>
      <c r="O1668" s="46" t="n">
        <f aca="false">D1668*L1668</f>
        <v>24474865.8</v>
      </c>
      <c r="P1668" s="42" t="str">
        <f aca="false">TRIM(IF(N(E1668)&lt;=0,"택가보정 ","")&amp;IF(N(F1668)&lt;=0,"원가보정 ","")&amp;IF(AND(B1668&lt;&gt;"CN",N(H1668)&lt;=0),"공급가보정 ","")&amp;IF(AND(B1668="CN",N(I1668)&lt;=0),"중국공급가=원가+마진 ",""))</f>
        <v>택가보정 중국공급가=원가+마진</v>
      </c>
      <c r="Q1668" s="47" t="n">
        <f aca="false">IF(SUMIFS($W:$W,$A:$A,A1668,$C:$C,C1668)=0,0,SUMIFS(RAW_판매펀칭!$K:$K,RAW_판매펀칭!$P:$P,A1668,RAW_판매펀칭!$I:$I,C1668)*W1668/SUMIFS($W:$W,$A:$A,A1668,$C:$C,C1668))</f>
        <v>703</v>
      </c>
      <c r="R1668" s="47" t="n">
        <f aca="false">IF(OR(A1668="500",A1668="800",A1668="810"),0,MAX(W1668-Q1668,0))</f>
        <v>10</v>
      </c>
      <c r="S1668" s="47" t="n">
        <f aca="false">R1668*L1668</f>
        <v>343266</v>
      </c>
      <c r="T1668" s="47" t="n">
        <f aca="false">R1668*J1668</f>
        <v>1307680</v>
      </c>
      <c r="U1668" s="47" t="n">
        <f aca="false">R1668*K1668</f>
        <v>326920</v>
      </c>
      <c r="V1668" s="0" t="str">
        <f aca="false">IF(COUNTIFS($A$2:A1668,A1668,$C$2:C1668,C1668,$D$2:D1668,D1668)&gt;1,"중복","")</f>
        <v/>
      </c>
      <c r="W1668" s="0" t="n">
        <f aca="false">IF(V1668="중복",0,N(D1668))</f>
        <v>713</v>
      </c>
      <c r="X1668" s="0" t="n">
        <f aca="false">IF(COUNTIFS($A$2:A1668,A1668,$C$2:C1668,C1668)=1,ABS(SUMIFS(RAW_발주!$D:$D,RAW_발주!$C:$C,A1668,RAW_발주!$A:$A,C1668)-SUMIFS($W:$W,$A:$A,A1668,$C:$C,C1668)),0)</f>
        <v>0</v>
      </c>
    </row>
    <row r="1669" customFormat="false" ht="15.75" hidden="false" customHeight="true" outlineLevel="0" collapsed="false">
      <c r="A1669" s="45" t="s">
        <v>1660</v>
      </c>
      <c r="B1669" s="42" t="str">
        <f aca="false">IF(A1669="100","HK",IF(A1669="200","CN",IF(A1669="300","TW","홀세일")))</f>
        <v>CN</v>
      </c>
      <c r="C1669" s="45" t="s">
        <v>1134</v>
      </c>
      <c r="D1669" s="46" t="n">
        <v>342</v>
      </c>
      <c r="E1669" s="46"/>
      <c r="F1669" s="46" t="n">
        <v>33602</v>
      </c>
      <c r="G1669" s="42" t="n">
        <v>0</v>
      </c>
      <c r="J1669" s="46" t="n">
        <f aca="false">IF(N(E1669)&gt;0,E1669,IF(N(F1669)&gt;0,F1669*요약!$F$27,0))</f>
        <v>134408</v>
      </c>
      <c r="K1669" s="46" t="n">
        <f aca="false">IF(N(F1669)&gt;0,F1669,IF(N(E1669)&gt;0,E1669/요약!$F$27,0))</f>
        <v>33602</v>
      </c>
      <c r="L1669" s="46" t="n">
        <f aca="false">IF(B1669="CN",IF(N(I1669)&gt;0,I1669*요약!$G$27,K1669*(1+요약!$E$27)),IF(N(H1669)&gt;0,H1669*요약!$G$27,J1669*요약!$D$27))</f>
        <v>35282.1</v>
      </c>
      <c r="M1669" s="46" t="n">
        <f aca="false">D1669*J1669</f>
        <v>45967536</v>
      </c>
      <c r="N1669" s="46" t="n">
        <f aca="false">D1669*K1669</f>
        <v>11491884</v>
      </c>
      <c r="O1669" s="46" t="n">
        <f aca="false">D1669*L1669</f>
        <v>12066478.2</v>
      </c>
      <c r="P1669" s="42" t="str">
        <f aca="false">TRIM(IF(N(E1669)&lt;=0,"택가보정 ","")&amp;IF(N(F1669)&lt;=0,"원가보정 ","")&amp;IF(AND(B1669&lt;&gt;"CN",N(H1669)&lt;=0),"공급가보정 ","")&amp;IF(AND(B1669="CN",N(I1669)&lt;=0),"중국공급가=원가+마진 ",""))</f>
        <v>택가보정 중국공급가=원가+마진</v>
      </c>
      <c r="Q1669" s="47" t="n">
        <f aca="false">IF(SUMIFS($W:$W,$A:$A,A1669,$C:$C,C1669)=0,0,SUMIFS(RAW_판매펀칭!$K:$K,RAW_판매펀칭!$P:$P,A1669,RAW_판매펀칭!$I:$I,C1669)*W1669/SUMIFS($W:$W,$A:$A,A1669,$C:$C,C1669))</f>
        <v>294</v>
      </c>
      <c r="R1669" s="47" t="n">
        <f aca="false">IF(OR(A1669="500",A1669="800",A1669="810"),0,MAX(W1669-Q1669,0))</f>
        <v>48</v>
      </c>
      <c r="S1669" s="47" t="n">
        <f aca="false">R1669*L1669</f>
        <v>1693540.8</v>
      </c>
      <c r="T1669" s="47" t="n">
        <f aca="false">R1669*J1669</f>
        <v>6451584</v>
      </c>
      <c r="U1669" s="47" t="n">
        <f aca="false">R1669*K1669</f>
        <v>1612896</v>
      </c>
      <c r="V1669" s="0" t="str">
        <f aca="false">IF(COUNTIFS($A$2:A1669,A1669,$C$2:C1669,C1669,$D$2:D1669,D1669)&gt;1,"중복","")</f>
        <v/>
      </c>
      <c r="W1669" s="0" t="n">
        <f aca="false">IF(V1669="중복",0,N(D1669))</f>
        <v>342</v>
      </c>
      <c r="X1669" s="0" t="n">
        <f aca="false">IF(COUNTIFS($A$2:A1669,A1669,$C$2:C1669,C1669)=1,ABS(SUMIFS(RAW_발주!$D:$D,RAW_발주!$C:$C,A1669,RAW_발주!$A:$A,C1669)-SUMIFS($W:$W,$A:$A,A1669,$C:$C,C1669)),0)</f>
        <v>0</v>
      </c>
    </row>
    <row r="1670" customFormat="false" ht="15.75" hidden="false" customHeight="true" outlineLevel="0" collapsed="false">
      <c r="A1670" s="45" t="s">
        <v>1660</v>
      </c>
      <c r="B1670" s="42" t="str">
        <f aca="false">IF(A1670="100","HK",IF(A1670="200","CN",IF(A1670="300","TW","홀세일")))</f>
        <v>CN</v>
      </c>
      <c r="C1670" s="45" t="s">
        <v>1135</v>
      </c>
      <c r="D1670" s="46" t="n">
        <v>202</v>
      </c>
      <c r="E1670" s="46" t="n">
        <v>89000</v>
      </c>
      <c r="F1670" s="46" t="n">
        <v>26704</v>
      </c>
      <c r="G1670" s="42" t="n">
        <v>3.69</v>
      </c>
      <c r="H1670" s="42" t="n">
        <v>22.3</v>
      </c>
      <c r="J1670" s="46" t="n">
        <f aca="false">IF(N(E1670)&gt;0,E1670,IF(N(F1670)&gt;0,F1670*요약!$F$27,0))</f>
        <v>89000</v>
      </c>
      <c r="K1670" s="46" t="n">
        <f aca="false">IF(N(F1670)&gt;0,F1670,IF(N(E1670)&gt;0,E1670/요약!$F$27,0))</f>
        <v>26704</v>
      </c>
      <c r="L1670" s="46" t="n">
        <f aca="false">IF(B1670="CN",IF(N(I1670)&gt;0,I1670*요약!$G$27,K1670*(1+요약!$E$27)),IF(N(H1670)&gt;0,H1670*요약!$G$27,J1670*요약!$D$27))</f>
        <v>28039.2</v>
      </c>
      <c r="M1670" s="46" t="n">
        <f aca="false">D1670*J1670</f>
        <v>17978000</v>
      </c>
      <c r="N1670" s="46" t="n">
        <f aca="false">D1670*K1670</f>
        <v>5394208</v>
      </c>
      <c r="O1670" s="46" t="n">
        <f aca="false">D1670*L1670</f>
        <v>5663918.4</v>
      </c>
      <c r="P1670" s="42" t="str">
        <f aca="false">TRIM(IF(N(E1670)&lt;=0,"택가보정 ","")&amp;IF(N(F1670)&lt;=0,"원가보정 ","")&amp;IF(AND(B1670&lt;&gt;"CN",N(H1670)&lt;=0),"공급가보정 ","")&amp;IF(AND(B1670="CN",N(I1670)&lt;=0),"중국공급가=원가+마진 ",""))</f>
        <v>중국공급가=원가+마진</v>
      </c>
      <c r="Q1670" s="47" t="n">
        <f aca="false">IF(SUMIFS($W:$W,$A:$A,A1670,$C:$C,C1670)=0,0,SUMIFS(RAW_판매펀칭!$K:$K,RAW_판매펀칭!$P:$P,A1670,RAW_판매펀칭!$I:$I,C1670)*W1670/SUMIFS($W:$W,$A:$A,A1670,$C:$C,C1670))</f>
        <v>111</v>
      </c>
      <c r="R1670" s="47" t="n">
        <f aca="false">IF(OR(A1670="500",A1670="800",A1670="810"),0,MAX(W1670-Q1670,0))</f>
        <v>91</v>
      </c>
      <c r="S1670" s="47" t="n">
        <f aca="false">R1670*L1670</f>
        <v>2551567.2</v>
      </c>
      <c r="T1670" s="47" t="n">
        <f aca="false">R1670*J1670</f>
        <v>8099000</v>
      </c>
      <c r="U1670" s="47" t="n">
        <f aca="false">R1670*K1670</f>
        <v>2430064</v>
      </c>
      <c r="V1670" s="0" t="str">
        <f aca="false">IF(COUNTIFS($A$2:A1670,A1670,$C$2:C1670,C1670,$D$2:D1670,D1670)&gt;1,"중복","")</f>
        <v/>
      </c>
      <c r="W1670" s="0" t="n">
        <f aca="false">IF(V1670="중복",0,N(D1670))</f>
        <v>202</v>
      </c>
      <c r="X1670" s="0" t="n">
        <f aca="false">IF(COUNTIFS($A$2:A1670,A1670,$C$2:C1670,C1670)=1,ABS(SUMIFS(RAW_발주!$D:$D,RAW_발주!$C:$C,A1670,RAW_발주!$A:$A,C1670)-SUMIFS($W:$W,$A:$A,A1670,$C:$C,C1670)),0)</f>
        <v>0</v>
      </c>
    </row>
    <row r="1671" customFormat="false" ht="15" hidden="false" customHeight="true" outlineLevel="0" collapsed="false">
      <c r="A1671" s="45" t="s">
        <v>1659</v>
      </c>
      <c r="B1671" s="42" t="str">
        <f aca="false">IF(A1671="100","HK",IF(A1671="200","CN",IF(A1671="300","TW","홀세일")))</f>
        <v>HK</v>
      </c>
      <c r="C1671" s="45" t="s">
        <v>977</v>
      </c>
      <c r="D1671" s="46" t="n">
        <v>240</v>
      </c>
      <c r="E1671" s="46"/>
      <c r="F1671" s="46" t="n">
        <v>38400</v>
      </c>
      <c r="G1671" s="42" t="n">
        <v>0</v>
      </c>
      <c r="H1671" s="42" t="n">
        <v>31.6</v>
      </c>
      <c r="J1671" s="46" t="n">
        <f aca="false">IF(N(E1671)&gt;0,E1671,IF(N(F1671)&gt;0,F1671*요약!$F$27,0))</f>
        <v>153600</v>
      </c>
      <c r="K1671" s="46" t="n">
        <f aca="false">IF(N(F1671)&gt;0,F1671,IF(N(E1671)&gt;0,E1671/요약!$F$27,0))</f>
        <v>38400</v>
      </c>
      <c r="L1671" s="46" t="n">
        <f aca="false">IF(B1671="CN",IF(N(I1671)&gt;0,I1671*요약!$G$27,K1671*(1+요약!$E$27)),IF(N(H1671)&gt;0,H1671*요약!$G$27,J1671*요약!$D$27))</f>
        <v>41712</v>
      </c>
      <c r="M1671" s="46" t="n">
        <f aca="false">D1671*J1671</f>
        <v>36864000</v>
      </c>
      <c r="N1671" s="46" t="n">
        <f aca="false">D1671*K1671</f>
        <v>9216000</v>
      </c>
      <c r="O1671" s="46" t="n">
        <f aca="false">D1671*L1671</f>
        <v>10010880</v>
      </c>
      <c r="P1671" s="42" t="str">
        <f aca="false">TRIM(IF(N(E1671)&lt;=0,"택가보정 ","")&amp;IF(N(F1671)&lt;=0,"원가보정 ","")&amp;IF(AND(B1671&lt;&gt;"CN",N(H1671)&lt;=0),"공급가보정 ","")&amp;IF(AND(B1671="CN",N(I1671)&lt;=0),"중국공급가=원가+마진 ",""))</f>
        <v>택가보정</v>
      </c>
      <c r="Q1671" s="47" t="n">
        <f aca="false">IF(SUMIFS($W:$W,$A:$A,A1671,$C:$C,C1671)=0,0,SUMIFS(RAW_판매펀칭!$K:$K,RAW_판매펀칭!$P:$P,A1671,RAW_판매펀칭!$I:$I,C1671)*W1671/SUMIFS($W:$W,$A:$A,A1671,$C:$C,C1671))</f>
        <v>240</v>
      </c>
      <c r="R1671" s="47" t="n">
        <f aca="false">IF(OR(A1671="500",A1671="800",A1671="810"),0,MAX(W1671-Q1671,0))</f>
        <v>0</v>
      </c>
      <c r="S1671" s="47" t="n">
        <f aca="false">R1671*L1671</f>
        <v>0</v>
      </c>
      <c r="T1671" s="47" t="n">
        <f aca="false">R1671*J1671</f>
        <v>0</v>
      </c>
      <c r="U1671" s="47" t="n">
        <f aca="false">R1671*K1671</f>
        <v>0</v>
      </c>
      <c r="V1671" s="0" t="str">
        <f aca="false">IF(COUNTIFS($A$2:A1671,A1671,$C$2:C1671,C1671,$D$2:D1671,D1671)&gt;1,"중복","")</f>
        <v/>
      </c>
      <c r="W1671" s="0" t="n">
        <f aca="false">IF(V1671="중복",0,N(D1671))</f>
        <v>240</v>
      </c>
      <c r="X1671" s="0" t="n">
        <f aca="false">IF(COUNTIFS($A$2:A1671,A1671,$C$2:C1671,C1671)=1,ABS(SUMIFS(RAW_발주!$D:$D,RAW_발주!$C:$C,A1671,RAW_발주!$A:$A,C1671)-SUMIFS($W:$W,$A:$A,A1671,$C:$C,C1671)),0)</f>
        <v>0</v>
      </c>
    </row>
    <row r="1672" customFormat="false" ht="15.75" hidden="false" customHeight="true" outlineLevel="0" collapsed="false">
      <c r="A1672" s="45" t="s">
        <v>1660</v>
      </c>
      <c r="B1672" s="42" t="str">
        <f aca="false">IF(A1672="100","HK",IF(A1672="200","CN",IF(A1672="300","TW","홀세일")))</f>
        <v>CN</v>
      </c>
      <c r="C1672" s="45" t="s">
        <v>977</v>
      </c>
      <c r="D1672" s="46" t="n">
        <v>513</v>
      </c>
      <c r="E1672" s="46"/>
      <c r="F1672" s="46" t="n">
        <v>38400</v>
      </c>
      <c r="G1672" s="42" t="n">
        <v>0</v>
      </c>
      <c r="H1672" s="42" t="n">
        <v>31.6</v>
      </c>
      <c r="J1672" s="46" t="n">
        <f aca="false">IF(N(E1672)&gt;0,E1672,IF(N(F1672)&gt;0,F1672*요약!$F$27,0))</f>
        <v>153600</v>
      </c>
      <c r="K1672" s="46" t="n">
        <f aca="false">IF(N(F1672)&gt;0,F1672,IF(N(E1672)&gt;0,E1672/요약!$F$27,0))</f>
        <v>38400</v>
      </c>
      <c r="L1672" s="46" t="n">
        <f aca="false">IF(B1672="CN",IF(N(I1672)&gt;0,I1672*요약!$G$27,K1672*(1+요약!$E$27)),IF(N(H1672)&gt;0,H1672*요약!$G$27,J1672*요약!$D$27))</f>
        <v>40320</v>
      </c>
      <c r="M1672" s="46" t="n">
        <f aca="false">D1672*J1672</f>
        <v>78796800</v>
      </c>
      <c r="N1672" s="46" t="n">
        <f aca="false">D1672*K1672</f>
        <v>19699200</v>
      </c>
      <c r="O1672" s="46" t="n">
        <f aca="false">D1672*L1672</f>
        <v>20684160</v>
      </c>
      <c r="P1672" s="42" t="str">
        <f aca="false">TRIM(IF(N(E1672)&lt;=0,"택가보정 ","")&amp;IF(N(F1672)&lt;=0,"원가보정 ","")&amp;IF(AND(B1672&lt;&gt;"CN",N(H1672)&lt;=0),"공급가보정 ","")&amp;IF(AND(B1672="CN",N(I1672)&lt;=0),"중국공급가=원가+마진 ",""))</f>
        <v>택가보정 중국공급가=원가+마진</v>
      </c>
      <c r="Q1672" s="47" t="n">
        <f aca="false">IF(SUMIFS($W:$W,$A:$A,A1672,$C:$C,C1672)=0,0,SUMIFS(RAW_판매펀칭!$K:$K,RAW_판매펀칭!$P:$P,A1672,RAW_판매펀칭!$I:$I,C1672)*W1672/SUMIFS($W:$W,$A:$A,A1672,$C:$C,C1672))</f>
        <v>513</v>
      </c>
      <c r="R1672" s="47" t="n">
        <f aca="false">IF(OR(A1672="500",A1672="800",A1672="810"),0,MAX(W1672-Q1672,0))</f>
        <v>0</v>
      </c>
      <c r="S1672" s="47" t="n">
        <f aca="false">R1672*L1672</f>
        <v>0</v>
      </c>
      <c r="T1672" s="47" t="n">
        <f aca="false">R1672*J1672</f>
        <v>0</v>
      </c>
      <c r="U1672" s="47" t="n">
        <f aca="false">R1672*K1672</f>
        <v>0</v>
      </c>
      <c r="V1672" s="0" t="str">
        <f aca="false">IF(COUNTIFS($A$2:A1672,A1672,$C$2:C1672,C1672,$D$2:D1672,D1672)&gt;1,"중복","")</f>
        <v/>
      </c>
      <c r="W1672" s="0" t="n">
        <f aca="false">IF(V1672="중복",0,N(D1672))</f>
        <v>513</v>
      </c>
      <c r="X1672" s="0" t="n">
        <f aca="false">IF(COUNTIFS($A$2:A1672,A1672,$C$2:C1672,C1672)=1,ABS(SUMIFS(RAW_발주!$D:$D,RAW_발주!$C:$C,A1672,RAW_발주!$A:$A,C1672)-SUMIFS($W:$W,$A:$A,A1672,$C:$C,C1672)),0)</f>
        <v>0</v>
      </c>
    </row>
    <row r="1673" customFormat="false" ht="15" hidden="false" customHeight="true" outlineLevel="0" collapsed="false">
      <c r="A1673" s="45" t="s">
        <v>1664</v>
      </c>
      <c r="B1673" s="42" t="str">
        <f aca="false">IF(A1673="100","HK",IF(A1673="200","CN",IF(A1673="300","TW","홀세일")))</f>
        <v>홀세일</v>
      </c>
      <c r="C1673" s="45" t="s">
        <v>977</v>
      </c>
      <c r="D1673" s="46" t="n">
        <v>60</v>
      </c>
      <c r="E1673" s="46"/>
      <c r="F1673" s="46" t="n">
        <v>38400</v>
      </c>
      <c r="G1673" s="42" t="n">
        <v>0</v>
      </c>
      <c r="H1673" s="42" t="n">
        <v>31.6</v>
      </c>
      <c r="J1673" s="46" t="n">
        <f aca="false">IF(N(E1673)&gt;0,E1673,IF(N(F1673)&gt;0,F1673*요약!$F$27,0))</f>
        <v>153600</v>
      </c>
      <c r="K1673" s="46" t="n">
        <f aca="false">IF(N(F1673)&gt;0,F1673,IF(N(E1673)&gt;0,E1673/요약!$F$27,0))</f>
        <v>38400</v>
      </c>
      <c r="L1673" s="46" t="n">
        <f aca="false">IF(B1673="CN",IF(N(I1673)&gt;0,I1673*요약!$G$27,K1673*(1+요약!$E$27)),IF(N(H1673)&gt;0,H1673*요약!$G$27,J1673*요약!$D$27))</f>
        <v>41712</v>
      </c>
      <c r="M1673" s="46" t="n">
        <f aca="false">D1673*J1673</f>
        <v>9216000</v>
      </c>
      <c r="N1673" s="46" t="n">
        <f aca="false">D1673*K1673</f>
        <v>2304000</v>
      </c>
      <c r="O1673" s="46" t="n">
        <f aca="false">D1673*L1673</f>
        <v>2502720</v>
      </c>
      <c r="P1673" s="42" t="str">
        <f aca="false">TRIM(IF(N(E1673)&lt;=0,"택가보정 ","")&amp;IF(N(F1673)&lt;=0,"원가보정 ","")&amp;IF(AND(B1673&lt;&gt;"CN",N(H1673)&lt;=0),"공급가보정 ","")&amp;IF(AND(B1673="CN",N(I1673)&lt;=0),"중국공급가=원가+마진 ",""))</f>
        <v>택가보정</v>
      </c>
      <c r="Q1673" s="47" t="n">
        <f aca="false">IF(SUMIFS($W:$W,$A:$A,A1673,$C:$C,C1673)=0,0,SUMIFS(RAW_판매펀칭!$K:$K,RAW_판매펀칭!$P:$P,A1673,RAW_판매펀칭!$I:$I,C1673)*W1673/SUMIFS($W:$W,$A:$A,A1673,$C:$C,C1673))</f>
        <v>0</v>
      </c>
      <c r="R1673" s="47" t="n">
        <f aca="false">IF(OR(A1673="500",A1673="800",A1673="810"),0,MAX(W1673-Q1673,0))</f>
        <v>0</v>
      </c>
      <c r="S1673" s="47" t="n">
        <f aca="false">R1673*L1673</f>
        <v>0</v>
      </c>
      <c r="T1673" s="47" t="n">
        <f aca="false">R1673*J1673</f>
        <v>0</v>
      </c>
      <c r="U1673" s="47" t="n">
        <f aca="false">R1673*K1673</f>
        <v>0</v>
      </c>
      <c r="V1673" s="0" t="str">
        <f aca="false">IF(COUNTIFS($A$2:A1673,A1673,$C$2:C1673,C1673,$D$2:D1673,D1673)&gt;1,"중복","")</f>
        <v/>
      </c>
      <c r="W1673" s="0" t="n">
        <f aca="false">IF(V1673="중복",0,N(D1673))</f>
        <v>60</v>
      </c>
      <c r="X1673" s="0" t="n">
        <f aca="false">IF(COUNTIFS($A$2:A1673,A1673,$C$2:C1673,C1673)=1,ABS(SUMIFS(RAW_발주!$D:$D,RAW_발주!$C:$C,A1673,RAW_발주!$A:$A,C1673)-SUMIFS($W:$W,$A:$A,A1673,$C:$C,C1673)),0)</f>
        <v>0</v>
      </c>
    </row>
    <row r="1674" customFormat="false" ht="15.75" hidden="false" customHeight="true" outlineLevel="0" collapsed="false">
      <c r="A1674" s="45" t="s">
        <v>1660</v>
      </c>
      <c r="B1674" s="42" t="str">
        <f aca="false">IF(A1674="100","HK",IF(A1674="200","CN",IF(A1674="300","TW","홀세일")))</f>
        <v>CN</v>
      </c>
      <c r="C1674" s="45" t="s">
        <v>1137</v>
      </c>
      <c r="D1674" s="46" t="n">
        <v>578</v>
      </c>
      <c r="E1674" s="46" t="n">
        <v>99000</v>
      </c>
      <c r="F1674" s="46" t="n">
        <v>22510</v>
      </c>
      <c r="G1674" s="42" t="n">
        <v>4.35</v>
      </c>
      <c r="H1674" s="42" t="n">
        <v>24.8</v>
      </c>
      <c r="J1674" s="46" t="n">
        <f aca="false">IF(N(E1674)&gt;0,E1674,IF(N(F1674)&gt;0,F1674*요약!$F$27,0))</f>
        <v>99000</v>
      </c>
      <c r="K1674" s="46" t="n">
        <f aca="false">IF(N(F1674)&gt;0,F1674,IF(N(E1674)&gt;0,E1674/요약!$F$27,0))</f>
        <v>22510</v>
      </c>
      <c r="L1674" s="46" t="n">
        <f aca="false">IF(B1674="CN",IF(N(I1674)&gt;0,I1674*요약!$G$27,K1674*(1+요약!$E$27)),IF(N(H1674)&gt;0,H1674*요약!$G$27,J1674*요약!$D$27))</f>
        <v>23635.5</v>
      </c>
      <c r="M1674" s="46" t="n">
        <f aca="false">D1674*J1674</f>
        <v>57222000</v>
      </c>
      <c r="N1674" s="46" t="n">
        <f aca="false">D1674*K1674</f>
        <v>13010780</v>
      </c>
      <c r="O1674" s="46" t="n">
        <f aca="false">D1674*L1674</f>
        <v>13661319</v>
      </c>
      <c r="P1674" s="42" t="str">
        <f aca="false">TRIM(IF(N(E1674)&lt;=0,"택가보정 ","")&amp;IF(N(F1674)&lt;=0,"원가보정 ","")&amp;IF(AND(B1674&lt;&gt;"CN",N(H1674)&lt;=0),"공급가보정 ","")&amp;IF(AND(B1674="CN",N(I1674)&lt;=0),"중국공급가=원가+마진 ",""))</f>
        <v>중국공급가=원가+마진</v>
      </c>
      <c r="Q1674" s="47" t="n">
        <f aca="false">IF(SUMIFS($W:$W,$A:$A,A1674,$C:$C,C1674)=0,0,SUMIFS(RAW_판매펀칭!$K:$K,RAW_판매펀칭!$P:$P,A1674,RAW_판매펀칭!$I:$I,C1674)*W1674/SUMIFS($W:$W,$A:$A,A1674,$C:$C,C1674))</f>
        <v>515</v>
      </c>
      <c r="R1674" s="47" t="n">
        <f aca="false">IF(OR(A1674="500",A1674="800",A1674="810"),0,MAX(W1674-Q1674,0))</f>
        <v>63</v>
      </c>
      <c r="S1674" s="47" t="n">
        <f aca="false">R1674*L1674</f>
        <v>1489036.5</v>
      </c>
      <c r="T1674" s="47" t="n">
        <f aca="false">R1674*J1674</f>
        <v>6237000</v>
      </c>
      <c r="U1674" s="47" t="n">
        <f aca="false">R1674*K1674</f>
        <v>1418130</v>
      </c>
      <c r="V1674" s="0" t="str">
        <f aca="false">IF(COUNTIFS($A$2:A1674,A1674,$C$2:C1674,C1674,$D$2:D1674,D1674)&gt;1,"중복","")</f>
        <v/>
      </c>
      <c r="W1674" s="0" t="n">
        <f aca="false">IF(V1674="중복",0,N(D1674))</f>
        <v>578</v>
      </c>
      <c r="X1674" s="0" t="n">
        <f aca="false">IF(COUNTIFS($A$2:A1674,A1674,$C$2:C1674,C1674)=1,ABS(SUMIFS(RAW_발주!$D:$D,RAW_발주!$C:$C,A1674,RAW_발주!$A:$A,C1674)-SUMIFS($W:$W,$A:$A,A1674,$C:$C,C1674)),0)</f>
        <v>0</v>
      </c>
    </row>
    <row r="1675" customFormat="false" ht="15.75" hidden="false" customHeight="true" outlineLevel="0" collapsed="false">
      <c r="A1675" s="45" t="s">
        <v>1660</v>
      </c>
      <c r="B1675" s="42" t="str">
        <f aca="false">IF(A1675="100","HK",IF(A1675="200","CN",IF(A1675="300","TW","홀세일")))</f>
        <v>CN</v>
      </c>
      <c r="C1675" s="45" t="s">
        <v>1139</v>
      </c>
      <c r="D1675" s="46" t="n">
        <v>1426</v>
      </c>
      <c r="E1675" s="46"/>
      <c r="F1675" s="46" t="n">
        <v>24200</v>
      </c>
      <c r="G1675" s="42" t="n">
        <v>0</v>
      </c>
      <c r="J1675" s="46" t="n">
        <f aca="false">IF(N(E1675)&gt;0,E1675,IF(N(F1675)&gt;0,F1675*요약!$F$27,0))</f>
        <v>96800</v>
      </c>
      <c r="K1675" s="46" t="n">
        <f aca="false">IF(N(F1675)&gt;0,F1675,IF(N(E1675)&gt;0,E1675/요약!$F$27,0))</f>
        <v>24200</v>
      </c>
      <c r="L1675" s="46" t="n">
        <f aca="false">IF(B1675="CN",IF(N(I1675)&gt;0,I1675*요약!$G$27,K1675*(1+요약!$E$27)),IF(N(H1675)&gt;0,H1675*요약!$G$27,J1675*요약!$D$27))</f>
        <v>25410</v>
      </c>
      <c r="M1675" s="46" t="n">
        <f aca="false">D1675*J1675</f>
        <v>138036800</v>
      </c>
      <c r="N1675" s="46" t="n">
        <f aca="false">D1675*K1675</f>
        <v>34509200</v>
      </c>
      <c r="O1675" s="46" t="n">
        <f aca="false">D1675*L1675</f>
        <v>36234660</v>
      </c>
      <c r="P1675" s="42" t="str">
        <f aca="false">TRIM(IF(N(E1675)&lt;=0,"택가보정 ","")&amp;IF(N(F1675)&lt;=0,"원가보정 ","")&amp;IF(AND(B1675&lt;&gt;"CN",N(H1675)&lt;=0),"공급가보정 ","")&amp;IF(AND(B1675="CN",N(I1675)&lt;=0),"중국공급가=원가+마진 ",""))</f>
        <v>택가보정 중국공급가=원가+마진</v>
      </c>
      <c r="Q1675" s="47" t="n">
        <f aca="false">IF(SUMIFS($W:$W,$A:$A,A1675,$C:$C,C1675)=0,0,SUMIFS(RAW_판매펀칭!$K:$K,RAW_판매펀칭!$P:$P,A1675,RAW_판매펀칭!$I:$I,C1675)*W1675/SUMIFS($W:$W,$A:$A,A1675,$C:$C,C1675))</f>
        <v>1426</v>
      </c>
      <c r="R1675" s="47" t="n">
        <f aca="false">IF(OR(A1675="500",A1675="800",A1675="810"),0,MAX(W1675-Q1675,0))</f>
        <v>0</v>
      </c>
      <c r="S1675" s="47" t="n">
        <f aca="false">R1675*L1675</f>
        <v>0</v>
      </c>
      <c r="T1675" s="47" t="n">
        <f aca="false">R1675*J1675</f>
        <v>0</v>
      </c>
      <c r="U1675" s="47" t="n">
        <f aca="false">R1675*K1675</f>
        <v>0</v>
      </c>
      <c r="V1675" s="0" t="str">
        <f aca="false">IF(COUNTIFS($A$2:A1675,A1675,$C$2:C1675,C1675,$D$2:D1675,D1675)&gt;1,"중복","")</f>
        <v/>
      </c>
      <c r="W1675" s="0" t="n">
        <f aca="false">IF(V1675="중복",0,N(D1675))</f>
        <v>1426</v>
      </c>
      <c r="X1675" s="0" t="n">
        <f aca="false">IF(COUNTIFS($A$2:A1675,A1675,$C$2:C1675,C1675)=1,ABS(SUMIFS(RAW_발주!$D:$D,RAW_발주!$C:$C,A1675,RAW_발주!$A:$A,C1675)-SUMIFS($W:$W,$A:$A,A1675,$C:$C,C1675)),0)</f>
        <v>0</v>
      </c>
    </row>
    <row r="1676" customFormat="false" ht="15.75" hidden="false" customHeight="true" outlineLevel="0" collapsed="false">
      <c r="A1676" s="45" t="s">
        <v>1660</v>
      </c>
      <c r="B1676" s="42" t="str">
        <f aca="false">IF(A1676="100","HK",IF(A1676="200","CN",IF(A1676="300","TW","홀세일")))</f>
        <v>CN</v>
      </c>
      <c r="C1676" s="45" t="s">
        <v>1140</v>
      </c>
      <c r="D1676" s="46" t="n">
        <v>678</v>
      </c>
      <c r="E1676" s="46"/>
      <c r="F1676" s="46" t="n">
        <v>28200</v>
      </c>
      <c r="G1676" s="42" t="n">
        <v>0</v>
      </c>
      <c r="J1676" s="46" t="n">
        <f aca="false">IF(N(E1676)&gt;0,E1676,IF(N(F1676)&gt;0,F1676*요약!$F$27,0))</f>
        <v>112800</v>
      </c>
      <c r="K1676" s="46" t="n">
        <f aca="false">IF(N(F1676)&gt;0,F1676,IF(N(E1676)&gt;0,E1676/요약!$F$27,0))</f>
        <v>28200</v>
      </c>
      <c r="L1676" s="46" t="n">
        <f aca="false">IF(B1676="CN",IF(N(I1676)&gt;0,I1676*요약!$G$27,K1676*(1+요약!$E$27)),IF(N(H1676)&gt;0,H1676*요약!$G$27,J1676*요약!$D$27))</f>
        <v>29610</v>
      </c>
      <c r="M1676" s="46" t="n">
        <f aca="false">D1676*J1676</f>
        <v>76478400</v>
      </c>
      <c r="N1676" s="46" t="n">
        <f aca="false">D1676*K1676</f>
        <v>19119600</v>
      </c>
      <c r="O1676" s="46" t="n">
        <f aca="false">D1676*L1676</f>
        <v>20075580</v>
      </c>
      <c r="P1676" s="42" t="str">
        <f aca="false">TRIM(IF(N(E1676)&lt;=0,"택가보정 ","")&amp;IF(N(F1676)&lt;=0,"원가보정 ","")&amp;IF(AND(B1676&lt;&gt;"CN",N(H1676)&lt;=0),"공급가보정 ","")&amp;IF(AND(B1676="CN",N(I1676)&lt;=0),"중국공급가=원가+마진 ",""))</f>
        <v>택가보정 중국공급가=원가+마진</v>
      </c>
      <c r="Q1676" s="47" t="n">
        <f aca="false">IF(SUMIFS($W:$W,$A:$A,A1676,$C:$C,C1676)=0,0,SUMIFS(RAW_판매펀칭!$K:$K,RAW_판매펀칭!$P:$P,A1676,RAW_판매펀칭!$I:$I,C1676)*W1676/SUMIFS($W:$W,$A:$A,A1676,$C:$C,C1676))</f>
        <v>653</v>
      </c>
      <c r="R1676" s="47" t="n">
        <f aca="false">IF(OR(A1676="500",A1676="800",A1676="810"),0,MAX(W1676-Q1676,0))</f>
        <v>25</v>
      </c>
      <c r="S1676" s="47" t="n">
        <f aca="false">R1676*L1676</f>
        <v>740250</v>
      </c>
      <c r="T1676" s="47" t="n">
        <f aca="false">R1676*J1676</f>
        <v>2820000</v>
      </c>
      <c r="U1676" s="47" t="n">
        <f aca="false">R1676*K1676</f>
        <v>705000</v>
      </c>
      <c r="V1676" s="0" t="str">
        <f aca="false">IF(COUNTIFS($A$2:A1676,A1676,$C$2:C1676,C1676,$D$2:D1676,D1676)&gt;1,"중복","")</f>
        <v/>
      </c>
      <c r="W1676" s="0" t="n">
        <f aca="false">IF(V1676="중복",0,N(D1676))</f>
        <v>678</v>
      </c>
      <c r="X1676" s="0" t="n">
        <f aca="false">IF(COUNTIFS($A$2:A1676,A1676,$C$2:C1676,C1676)=1,ABS(SUMIFS(RAW_발주!$D:$D,RAW_발주!$C:$C,A1676,RAW_발주!$A:$A,C1676)-SUMIFS($W:$W,$A:$A,A1676,$C:$C,C1676)),0)</f>
        <v>0</v>
      </c>
    </row>
    <row r="1677" customFormat="false" ht="15.75" hidden="false" customHeight="true" outlineLevel="0" collapsed="false">
      <c r="A1677" s="45" t="s">
        <v>1660</v>
      </c>
      <c r="B1677" s="42" t="str">
        <f aca="false">IF(A1677="100","HK",IF(A1677="200","CN",IF(A1677="300","TW","홀세일")))</f>
        <v>CN</v>
      </c>
      <c r="C1677" s="45" t="s">
        <v>669</v>
      </c>
      <c r="D1677" s="46" t="n">
        <v>1024</v>
      </c>
      <c r="E1677" s="46" t="n">
        <v>159000</v>
      </c>
      <c r="F1677" s="46" t="n">
        <v>47877</v>
      </c>
      <c r="G1677" s="42" t="n">
        <v>4.16</v>
      </c>
      <c r="H1677" s="42" t="n">
        <v>42.2</v>
      </c>
      <c r="J1677" s="46" t="n">
        <f aca="false">IF(N(E1677)&gt;0,E1677,IF(N(F1677)&gt;0,F1677*요약!$F$27,0))</f>
        <v>159000</v>
      </c>
      <c r="K1677" s="46" t="n">
        <f aca="false">IF(N(F1677)&gt;0,F1677,IF(N(E1677)&gt;0,E1677/요약!$F$27,0))</f>
        <v>47877</v>
      </c>
      <c r="L1677" s="46" t="n">
        <f aca="false">IF(B1677="CN",IF(N(I1677)&gt;0,I1677*요약!$G$27,K1677*(1+요약!$E$27)),IF(N(H1677)&gt;0,H1677*요약!$G$27,J1677*요약!$D$27))</f>
        <v>50270.85</v>
      </c>
      <c r="M1677" s="46" t="n">
        <f aca="false">D1677*J1677</f>
        <v>162816000</v>
      </c>
      <c r="N1677" s="46" t="n">
        <f aca="false">D1677*K1677</f>
        <v>49026048</v>
      </c>
      <c r="O1677" s="46" t="n">
        <f aca="false">D1677*L1677</f>
        <v>51477350.4</v>
      </c>
      <c r="P1677" s="42" t="str">
        <f aca="false">TRIM(IF(N(E1677)&lt;=0,"택가보정 ","")&amp;IF(N(F1677)&lt;=0,"원가보정 ","")&amp;IF(AND(B1677&lt;&gt;"CN",N(H1677)&lt;=0),"공급가보정 ","")&amp;IF(AND(B1677="CN",N(I1677)&lt;=0),"중국공급가=원가+마진 ",""))</f>
        <v>중국공급가=원가+마진</v>
      </c>
      <c r="Q1677" s="47" t="n">
        <f aca="false">IF(SUMIFS($W:$W,$A:$A,A1677,$C:$C,C1677)=0,0,SUMIFS(RAW_판매펀칭!$K:$K,RAW_판매펀칭!$P:$P,A1677,RAW_판매펀칭!$I:$I,C1677)*W1677/SUMIFS($W:$W,$A:$A,A1677,$C:$C,C1677))</f>
        <v>959</v>
      </c>
      <c r="R1677" s="47" t="n">
        <f aca="false">IF(OR(A1677="500",A1677="800",A1677="810"),0,MAX(W1677-Q1677,0))</f>
        <v>65</v>
      </c>
      <c r="S1677" s="47" t="n">
        <f aca="false">R1677*L1677</f>
        <v>3267605.25</v>
      </c>
      <c r="T1677" s="47" t="n">
        <f aca="false">R1677*J1677</f>
        <v>10335000</v>
      </c>
      <c r="U1677" s="47" t="n">
        <f aca="false">R1677*K1677</f>
        <v>3112005</v>
      </c>
      <c r="V1677" s="0" t="str">
        <f aca="false">IF(COUNTIFS($A$2:A1677,A1677,$C$2:C1677,C1677,$D$2:D1677,D1677)&gt;1,"중복","")</f>
        <v/>
      </c>
      <c r="W1677" s="0" t="n">
        <f aca="false">IF(V1677="중복",0,N(D1677))</f>
        <v>1024</v>
      </c>
      <c r="X1677" s="0" t="n">
        <f aca="false">IF(COUNTIFS($A$2:A1677,A1677,$C$2:C1677,C1677)=1,ABS(SUMIFS(RAW_발주!$D:$D,RAW_발주!$C:$C,A1677,RAW_발주!$A:$A,C1677)-SUMIFS($W:$W,$A:$A,A1677,$C:$C,C1677)),0)</f>
        <v>0</v>
      </c>
    </row>
    <row r="1678" customFormat="false" ht="15" hidden="false" customHeight="true" outlineLevel="0" collapsed="false">
      <c r="A1678" s="45" t="s">
        <v>1661</v>
      </c>
      <c r="B1678" s="42" t="str">
        <f aca="false">IF(A1678="100","HK",IF(A1678="200","CN",IF(A1678="300","TW","홀세일")))</f>
        <v>TW</v>
      </c>
      <c r="C1678" s="45" t="s">
        <v>669</v>
      </c>
      <c r="D1678" s="46" t="n">
        <v>300</v>
      </c>
      <c r="E1678" s="46" t="n">
        <v>159000</v>
      </c>
      <c r="F1678" s="46" t="n">
        <v>47877</v>
      </c>
      <c r="G1678" s="42" t="n">
        <v>4.16</v>
      </c>
      <c r="H1678" s="42" t="n">
        <v>42.2</v>
      </c>
      <c r="J1678" s="46" t="n">
        <f aca="false">IF(N(E1678)&gt;0,E1678,IF(N(F1678)&gt;0,F1678*요약!$F$27,0))</f>
        <v>159000</v>
      </c>
      <c r="K1678" s="46" t="n">
        <f aca="false">IF(N(F1678)&gt;0,F1678,IF(N(E1678)&gt;0,E1678/요약!$F$27,0))</f>
        <v>47877</v>
      </c>
      <c r="L1678" s="46" t="n">
        <f aca="false">IF(B1678="CN",IF(N(I1678)&gt;0,I1678*요약!$G$27,K1678*(1+요약!$E$27)),IF(N(H1678)&gt;0,H1678*요약!$G$27,J1678*요약!$D$27))</f>
        <v>55704</v>
      </c>
      <c r="M1678" s="46" t="n">
        <f aca="false">D1678*J1678</f>
        <v>47700000</v>
      </c>
      <c r="N1678" s="46" t="n">
        <f aca="false">D1678*K1678</f>
        <v>14363100</v>
      </c>
      <c r="O1678" s="46" t="n">
        <f aca="false">D1678*L1678</f>
        <v>16711200</v>
      </c>
      <c r="P1678" s="42" t="str">
        <f aca="false">TRIM(IF(N(E1678)&lt;=0,"택가보정 ","")&amp;IF(N(F1678)&lt;=0,"원가보정 ","")&amp;IF(AND(B1678&lt;&gt;"CN",N(H1678)&lt;=0),"공급가보정 ","")&amp;IF(AND(B1678="CN",N(I1678)&lt;=0),"중국공급가=원가+마진 ",""))</f>
        <v/>
      </c>
      <c r="Q1678" s="47" t="n">
        <f aca="false">IF(SUMIFS($W:$W,$A:$A,A1678,$C:$C,C1678)=0,0,SUMIFS(RAW_판매펀칭!$K:$K,RAW_판매펀칭!$P:$P,A1678,RAW_판매펀칭!$I:$I,C1678)*W1678/SUMIFS($W:$W,$A:$A,A1678,$C:$C,C1678))</f>
        <v>300</v>
      </c>
      <c r="R1678" s="47" t="n">
        <f aca="false">IF(OR(A1678="500",A1678="800",A1678="810"),0,MAX(W1678-Q1678,0))</f>
        <v>0</v>
      </c>
      <c r="S1678" s="47" t="n">
        <f aca="false">R1678*L1678</f>
        <v>0</v>
      </c>
      <c r="T1678" s="47" t="n">
        <f aca="false">R1678*J1678</f>
        <v>0</v>
      </c>
      <c r="U1678" s="47" t="n">
        <f aca="false">R1678*K1678</f>
        <v>0</v>
      </c>
      <c r="V1678" s="0" t="str">
        <f aca="false">IF(COUNTIFS($A$2:A1678,A1678,$C$2:C1678,C1678,$D$2:D1678,D1678)&gt;1,"중복","")</f>
        <v/>
      </c>
      <c r="W1678" s="0" t="n">
        <f aca="false">IF(V1678="중복",0,N(D1678))</f>
        <v>300</v>
      </c>
      <c r="X1678" s="0" t="n">
        <f aca="false">IF(COUNTIFS($A$2:A1678,A1678,$C$2:C1678,C1678)=1,ABS(SUMIFS(RAW_발주!$D:$D,RAW_발주!$C:$C,A1678,RAW_발주!$A:$A,C1678)-SUMIFS($W:$W,$A:$A,A1678,$C:$C,C1678)),0)</f>
        <v>0</v>
      </c>
    </row>
    <row r="1679" customFormat="false" ht="15.75" hidden="false" customHeight="true" outlineLevel="0" collapsed="false">
      <c r="A1679" s="45" t="s">
        <v>1660</v>
      </c>
      <c r="B1679" s="42" t="str">
        <f aca="false">IF(A1679="100","HK",IF(A1679="200","CN",IF(A1679="300","TW","홀세일")))</f>
        <v>CN</v>
      </c>
      <c r="C1679" s="45" t="s">
        <v>1141</v>
      </c>
      <c r="D1679" s="46" t="n">
        <v>387</v>
      </c>
      <c r="E1679" s="46" t="n">
        <v>129000</v>
      </c>
      <c r="F1679" s="46" t="n">
        <v>43043</v>
      </c>
      <c r="G1679" s="42" t="n">
        <v>4.48</v>
      </c>
      <c r="H1679" s="42" t="n">
        <v>34.3</v>
      </c>
      <c r="J1679" s="46" t="n">
        <f aca="false">IF(N(E1679)&gt;0,E1679,IF(N(F1679)&gt;0,F1679*요약!$F$27,0))</f>
        <v>129000</v>
      </c>
      <c r="K1679" s="46" t="n">
        <f aca="false">IF(N(F1679)&gt;0,F1679,IF(N(E1679)&gt;0,E1679/요약!$F$27,0))</f>
        <v>43043</v>
      </c>
      <c r="L1679" s="46" t="n">
        <f aca="false">IF(B1679="CN",IF(N(I1679)&gt;0,I1679*요약!$G$27,K1679*(1+요약!$E$27)),IF(N(H1679)&gt;0,H1679*요약!$G$27,J1679*요약!$D$27))</f>
        <v>45195.15</v>
      </c>
      <c r="M1679" s="46" t="n">
        <f aca="false">D1679*J1679</f>
        <v>49923000</v>
      </c>
      <c r="N1679" s="46" t="n">
        <f aca="false">D1679*K1679</f>
        <v>16657641</v>
      </c>
      <c r="O1679" s="46" t="n">
        <f aca="false">D1679*L1679</f>
        <v>17490523.05</v>
      </c>
      <c r="P1679" s="42" t="str">
        <f aca="false">TRIM(IF(N(E1679)&lt;=0,"택가보정 ","")&amp;IF(N(F1679)&lt;=0,"원가보정 ","")&amp;IF(AND(B1679&lt;&gt;"CN",N(H1679)&lt;=0),"공급가보정 ","")&amp;IF(AND(B1679="CN",N(I1679)&lt;=0),"중국공급가=원가+마진 ",""))</f>
        <v>중국공급가=원가+마진</v>
      </c>
      <c r="Q1679" s="47" t="n">
        <f aca="false">IF(SUMIFS($W:$W,$A:$A,A1679,$C:$C,C1679)=0,0,SUMIFS(RAW_판매펀칭!$K:$K,RAW_판매펀칭!$P:$P,A1679,RAW_판매펀칭!$I:$I,C1679)*W1679/SUMIFS($W:$W,$A:$A,A1679,$C:$C,C1679))</f>
        <v>361</v>
      </c>
      <c r="R1679" s="47" t="n">
        <f aca="false">IF(OR(A1679="500",A1679="800",A1679="810"),0,MAX(W1679-Q1679,0))</f>
        <v>26</v>
      </c>
      <c r="S1679" s="47" t="n">
        <f aca="false">R1679*L1679</f>
        <v>1175073.9</v>
      </c>
      <c r="T1679" s="47" t="n">
        <f aca="false">R1679*J1679</f>
        <v>3354000</v>
      </c>
      <c r="U1679" s="47" t="n">
        <f aca="false">R1679*K1679</f>
        <v>1119118</v>
      </c>
      <c r="V1679" s="0" t="str">
        <f aca="false">IF(COUNTIFS($A$2:A1679,A1679,$C$2:C1679,C1679,$D$2:D1679,D1679)&gt;1,"중복","")</f>
        <v/>
      </c>
      <c r="W1679" s="0" t="n">
        <f aca="false">IF(V1679="중복",0,N(D1679))</f>
        <v>387</v>
      </c>
      <c r="X1679" s="0" t="n">
        <f aca="false">IF(COUNTIFS($A$2:A1679,A1679,$C$2:C1679,C1679)=1,ABS(SUMIFS(RAW_발주!$D:$D,RAW_발주!$C:$C,A1679,RAW_발주!$A:$A,C1679)-SUMIFS($W:$W,$A:$A,A1679,$C:$C,C1679)),0)</f>
        <v>0</v>
      </c>
    </row>
    <row r="1680" customFormat="false" ht="15.75" hidden="false" customHeight="true" outlineLevel="0" collapsed="false">
      <c r="A1680" s="45" t="s">
        <v>1660</v>
      </c>
      <c r="B1680" s="42" t="str">
        <f aca="false">IF(A1680="100","HK",IF(A1680="200","CN",IF(A1680="300","TW","홀세일")))</f>
        <v>CN</v>
      </c>
      <c r="C1680" s="45" t="s">
        <v>1143</v>
      </c>
      <c r="D1680" s="46" t="n">
        <v>1208</v>
      </c>
      <c r="E1680" s="46"/>
      <c r="F1680" s="46" t="n">
        <v>40400</v>
      </c>
      <c r="G1680" s="42" t="n">
        <v>0</v>
      </c>
      <c r="J1680" s="46" t="n">
        <f aca="false">IF(N(E1680)&gt;0,E1680,IF(N(F1680)&gt;0,F1680*요약!$F$27,0))</f>
        <v>161600</v>
      </c>
      <c r="K1680" s="46" t="n">
        <f aca="false">IF(N(F1680)&gt;0,F1680,IF(N(E1680)&gt;0,E1680/요약!$F$27,0))</f>
        <v>40400</v>
      </c>
      <c r="L1680" s="46" t="n">
        <f aca="false">IF(B1680="CN",IF(N(I1680)&gt;0,I1680*요약!$G$27,K1680*(1+요약!$E$27)),IF(N(H1680)&gt;0,H1680*요약!$G$27,J1680*요약!$D$27))</f>
        <v>42420</v>
      </c>
      <c r="M1680" s="46" t="n">
        <f aca="false">D1680*J1680</f>
        <v>195212800</v>
      </c>
      <c r="N1680" s="46" t="n">
        <f aca="false">D1680*K1680</f>
        <v>48803200</v>
      </c>
      <c r="O1680" s="46" t="n">
        <f aca="false">D1680*L1680</f>
        <v>51243360</v>
      </c>
      <c r="P1680" s="42" t="str">
        <f aca="false">TRIM(IF(N(E1680)&lt;=0,"택가보정 ","")&amp;IF(N(F1680)&lt;=0,"원가보정 ","")&amp;IF(AND(B1680&lt;&gt;"CN",N(H1680)&lt;=0),"공급가보정 ","")&amp;IF(AND(B1680="CN",N(I1680)&lt;=0),"중국공급가=원가+마진 ",""))</f>
        <v>택가보정 중국공급가=원가+마진</v>
      </c>
      <c r="Q1680" s="47" t="n">
        <f aca="false">IF(SUMIFS($W:$W,$A:$A,A1680,$C:$C,C1680)=0,0,SUMIFS(RAW_판매펀칭!$K:$K,RAW_판매펀칭!$P:$P,A1680,RAW_판매펀칭!$I:$I,C1680)*W1680/SUMIFS($W:$W,$A:$A,A1680,$C:$C,C1680))</f>
        <v>1200</v>
      </c>
      <c r="R1680" s="47" t="n">
        <f aca="false">IF(OR(A1680="500",A1680="800",A1680="810"),0,MAX(W1680-Q1680,0))</f>
        <v>8</v>
      </c>
      <c r="S1680" s="47" t="n">
        <f aca="false">R1680*L1680</f>
        <v>339360</v>
      </c>
      <c r="T1680" s="47" t="n">
        <f aca="false">R1680*J1680</f>
        <v>1292800</v>
      </c>
      <c r="U1680" s="47" t="n">
        <f aca="false">R1680*K1680</f>
        <v>323200</v>
      </c>
      <c r="V1680" s="0" t="str">
        <f aca="false">IF(COUNTIFS($A$2:A1680,A1680,$C$2:C1680,C1680,$D$2:D1680,D1680)&gt;1,"중복","")</f>
        <v/>
      </c>
      <c r="W1680" s="0" t="n">
        <f aca="false">IF(V1680="중복",0,N(D1680))</f>
        <v>1208</v>
      </c>
      <c r="X1680" s="0" t="n">
        <f aca="false">IF(COUNTIFS($A$2:A1680,A1680,$C$2:C1680,C1680)=1,ABS(SUMIFS(RAW_발주!$D:$D,RAW_발주!$C:$C,A1680,RAW_발주!$A:$A,C1680)-SUMIFS($W:$W,$A:$A,A1680,$C:$C,C1680)),0)</f>
        <v>0</v>
      </c>
    </row>
    <row r="1681" customFormat="false" ht="15" hidden="false" customHeight="true" outlineLevel="0" collapsed="false">
      <c r="A1681" s="45" t="s">
        <v>1659</v>
      </c>
      <c r="B1681" s="42" t="str">
        <f aca="false">IF(A1681="100","HK",IF(A1681="200","CN",IF(A1681="300","TW","홀세일")))</f>
        <v>HK</v>
      </c>
      <c r="C1681" s="45" t="s">
        <v>979</v>
      </c>
      <c r="D1681" s="46" t="n">
        <v>750</v>
      </c>
      <c r="E1681" s="46"/>
      <c r="F1681" s="46" t="n">
        <v>32940</v>
      </c>
      <c r="G1681" s="42" t="n">
        <v>0</v>
      </c>
      <c r="H1681" s="42" t="n">
        <v>37.3</v>
      </c>
      <c r="J1681" s="46" t="n">
        <f aca="false">IF(N(E1681)&gt;0,E1681,IF(N(F1681)&gt;0,F1681*요약!$F$27,0))</f>
        <v>131760</v>
      </c>
      <c r="K1681" s="46" t="n">
        <f aca="false">IF(N(F1681)&gt;0,F1681,IF(N(E1681)&gt;0,E1681/요약!$F$27,0))</f>
        <v>32940</v>
      </c>
      <c r="L1681" s="46" t="n">
        <f aca="false">IF(B1681="CN",IF(N(I1681)&gt;0,I1681*요약!$G$27,K1681*(1+요약!$E$27)),IF(N(H1681)&gt;0,H1681*요약!$G$27,J1681*요약!$D$27))</f>
        <v>49236</v>
      </c>
      <c r="M1681" s="46" t="n">
        <f aca="false">D1681*J1681</f>
        <v>98820000</v>
      </c>
      <c r="N1681" s="46" t="n">
        <f aca="false">D1681*K1681</f>
        <v>24705000</v>
      </c>
      <c r="O1681" s="46" t="n">
        <f aca="false">D1681*L1681</f>
        <v>36927000</v>
      </c>
      <c r="P1681" s="42" t="str">
        <f aca="false">TRIM(IF(N(E1681)&lt;=0,"택가보정 ","")&amp;IF(N(F1681)&lt;=0,"원가보정 ","")&amp;IF(AND(B1681&lt;&gt;"CN",N(H1681)&lt;=0),"공급가보정 ","")&amp;IF(AND(B1681="CN",N(I1681)&lt;=0),"중국공급가=원가+마진 ",""))</f>
        <v>택가보정</v>
      </c>
      <c r="Q1681" s="47" t="n">
        <f aca="false">IF(SUMIFS($W:$W,$A:$A,A1681,$C:$C,C1681)=0,0,SUMIFS(RAW_판매펀칭!$K:$K,RAW_판매펀칭!$P:$P,A1681,RAW_판매펀칭!$I:$I,C1681)*W1681/SUMIFS($W:$W,$A:$A,A1681,$C:$C,C1681))</f>
        <v>747</v>
      </c>
      <c r="R1681" s="47" t="n">
        <f aca="false">IF(OR(A1681="500",A1681="800",A1681="810"),0,MAX(W1681-Q1681,0))</f>
        <v>3</v>
      </c>
      <c r="S1681" s="47" t="n">
        <f aca="false">R1681*L1681</f>
        <v>147708</v>
      </c>
      <c r="T1681" s="47" t="n">
        <f aca="false">R1681*J1681</f>
        <v>395280</v>
      </c>
      <c r="U1681" s="47" t="n">
        <f aca="false">R1681*K1681</f>
        <v>98820</v>
      </c>
      <c r="V1681" s="0" t="str">
        <f aca="false">IF(COUNTIFS($A$2:A1681,A1681,$C$2:C1681,C1681,$D$2:D1681,D1681)&gt;1,"중복","")</f>
        <v/>
      </c>
      <c r="W1681" s="0" t="n">
        <f aca="false">IF(V1681="중복",0,N(D1681))</f>
        <v>750</v>
      </c>
      <c r="X1681" s="0" t="n">
        <f aca="false">IF(COUNTIFS($A$2:A1681,A1681,$C$2:C1681,C1681)=1,ABS(SUMIFS(RAW_발주!$D:$D,RAW_발주!$C:$C,A1681,RAW_발주!$A:$A,C1681)-SUMIFS($W:$W,$A:$A,A1681,$C:$C,C1681)),0)</f>
        <v>0</v>
      </c>
    </row>
    <row r="1682" customFormat="false" ht="15.75" hidden="false" customHeight="true" outlineLevel="0" collapsed="false">
      <c r="A1682" s="45" t="s">
        <v>1660</v>
      </c>
      <c r="B1682" s="42" t="str">
        <f aca="false">IF(A1682="100","HK",IF(A1682="200","CN",IF(A1682="300","TW","홀세일")))</f>
        <v>CN</v>
      </c>
      <c r="C1682" s="45" t="s">
        <v>979</v>
      </c>
      <c r="D1682" s="46" t="n">
        <v>1668</v>
      </c>
      <c r="E1682" s="46"/>
      <c r="F1682" s="46" t="n">
        <v>32940</v>
      </c>
      <c r="G1682" s="42" t="n">
        <v>0</v>
      </c>
      <c r="H1682" s="42" t="n">
        <v>37.3</v>
      </c>
      <c r="J1682" s="46" t="n">
        <f aca="false">IF(N(E1682)&gt;0,E1682,IF(N(F1682)&gt;0,F1682*요약!$F$27,0))</f>
        <v>131760</v>
      </c>
      <c r="K1682" s="46" t="n">
        <f aca="false">IF(N(F1682)&gt;0,F1682,IF(N(E1682)&gt;0,E1682/요약!$F$27,0))</f>
        <v>32940</v>
      </c>
      <c r="L1682" s="46" t="n">
        <f aca="false">IF(B1682="CN",IF(N(I1682)&gt;0,I1682*요약!$G$27,K1682*(1+요약!$E$27)),IF(N(H1682)&gt;0,H1682*요약!$G$27,J1682*요약!$D$27))</f>
        <v>34587</v>
      </c>
      <c r="M1682" s="46" t="n">
        <f aca="false">D1682*J1682</f>
        <v>219775680</v>
      </c>
      <c r="N1682" s="46" t="n">
        <f aca="false">D1682*K1682</f>
        <v>54943920</v>
      </c>
      <c r="O1682" s="46" t="n">
        <f aca="false">D1682*L1682</f>
        <v>57691116</v>
      </c>
      <c r="P1682" s="42" t="str">
        <f aca="false">TRIM(IF(N(E1682)&lt;=0,"택가보정 ","")&amp;IF(N(F1682)&lt;=0,"원가보정 ","")&amp;IF(AND(B1682&lt;&gt;"CN",N(H1682)&lt;=0),"공급가보정 ","")&amp;IF(AND(B1682="CN",N(I1682)&lt;=0),"중국공급가=원가+마진 ",""))</f>
        <v>택가보정 중국공급가=원가+마진</v>
      </c>
      <c r="Q1682" s="47" t="n">
        <f aca="false">IF(SUMIFS($W:$W,$A:$A,A1682,$C:$C,C1682)=0,0,SUMIFS(RAW_판매펀칭!$K:$K,RAW_판매펀칭!$P:$P,A1682,RAW_판매펀칭!$I:$I,C1682)*W1682/SUMIFS($W:$W,$A:$A,A1682,$C:$C,C1682))</f>
        <v>1659</v>
      </c>
      <c r="R1682" s="47" t="n">
        <f aca="false">IF(OR(A1682="500",A1682="800",A1682="810"),0,MAX(W1682-Q1682,0))</f>
        <v>9</v>
      </c>
      <c r="S1682" s="47" t="n">
        <f aca="false">R1682*L1682</f>
        <v>311283</v>
      </c>
      <c r="T1682" s="47" t="n">
        <f aca="false">R1682*J1682</f>
        <v>1185840</v>
      </c>
      <c r="U1682" s="47" t="n">
        <f aca="false">R1682*K1682</f>
        <v>296460</v>
      </c>
      <c r="V1682" s="0" t="str">
        <f aca="false">IF(COUNTIFS($A$2:A1682,A1682,$C$2:C1682,C1682,$D$2:D1682,D1682)&gt;1,"중복","")</f>
        <v/>
      </c>
      <c r="W1682" s="0" t="n">
        <f aca="false">IF(V1682="중복",0,N(D1682))</f>
        <v>1668</v>
      </c>
      <c r="X1682" s="0" t="n">
        <f aca="false">IF(COUNTIFS($A$2:A1682,A1682,$C$2:C1682,C1682)=1,ABS(SUMIFS(RAW_발주!$D:$D,RAW_발주!$C:$C,A1682,RAW_발주!$A:$A,C1682)-SUMIFS($W:$W,$A:$A,A1682,$C:$C,C1682)),0)</f>
        <v>0</v>
      </c>
    </row>
    <row r="1683" customFormat="false" ht="15" hidden="false" customHeight="true" outlineLevel="0" collapsed="false">
      <c r="A1683" s="45" t="s">
        <v>1665</v>
      </c>
      <c r="B1683" s="42" t="str">
        <f aca="false">IF(A1683="100","HK",IF(A1683="200","CN",IF(A1683="300","TW","홀세일")))</f>
        <v>홀세일</v>
      </c>
      <c r="C1683" s="45" t="s">
        <v>1481</v>
      </c>
      <c r="D1683" s="46" t="n">
        <v>720</v>
      </c>
      <c r="E1683" s="46" t="n">
        <v>89000</v>
      </c>
      <c r="F1683" s="46" t="n">
        <v>14300</v>
      </c>
      <c r="G1683" s="42" t="n">
        <v>0</v>
      </c>
      <c r="H1683" s="42" t="n">
        <v>22.3</v>
      </c>
      <c r="J1683" s="46" t="n">
        <f aca="false">IF(N(E1683)&gt;0,E1683,IF(N(F1683)&gt;0,F1683*요약!$F$27,0))</f>
        <v>89000</v>
      </c>
      <c r="K1683" s="46" t="n">
        <f aca="false">IF(N(F1683)&gt;0,F1683,IF(N(E1683)&gt;0,E1683/요약!$F$27,0))</f>
        <v>14300</v>
      </c>
      <c r="L1683" s="46" t="n">
        <f aca="false">IF(B1683="CN",IF(N(I1683)&gt;0,I1683*요약!$G$27,K1683*(1+요약!$E$27)),IF(N(H1683)&gt;0,H1683*요약!$G$27,J1683*요약!$D$27))</f>
        <v>29436</v>
      </c>
      <c r="M1683" s="46" t="n">
        <f aca="false">D1683*J1683</f>
        <v>64080000</v>
      </c>
      <c r="N1683" s="46" t="n">
        <f aca="false">D1683*K1683</f>
        <v>10296000</v>
      </c>
      <c r="O1683" s="46" t="n">
        <f aca="false">D1683*L1683</f>
        <v>21193920</v>
      </c>
      <c r="P1683" s="42" t="str">
        <f aca="false">TRIM(IF(N(E1683)&lt;=0,"택가보정 ","")&amp;IF(N(F1683)&lt;=0,"원가보정 ","")&amp;IF(AND(B1683&lt;&gt;"CN",N(H1683)&lt;=0),"공급가보정 ","")&amp;IF(AND(B1683="CN",N(I1683)&lt;=0),"중국공급가=원가+마진 ",""))</f>
        <v/>
      </c>
      <c r="Q1683" s="47" t="n">
        <f aca="false">IF(SUMIFS($W:$W,$A:$A,A1683,$C:$C,C1683)=0,0,SUMIFS(RAW_판매펀칭!$K:$K,RAW_판매펀칭!$P:$P,A1683,RAW_판매펀칭!$I:$I,C1683)*W1683/SUMIFS($W:$W,$A:$A,A1683,$C:$C,C1683))</f>
        <v>706</v>
      </c>
      <c r="R1683" s="47" t="n">
        <f aca="false">IF(OR(A1683="500",A1683="800",A1683="810"),0,MAX(W1683-Q1683,0))</f>
        <v>0</v>
      </c>
      <c r="S1683" s="47" t="n">
        <f aca="false">R1683*L1683</f>
        <v>0</v>
      </c>
      <c r="T1683" s="47" t="n">
        <f aca="false">R1683*J1683</f>
        <v>0</v>
      </c>
      <c r="U1683" s="47" t="n">
        <f aca="false">R1683*K1683</f>
        <v>0</v>
      </c>
      <c r="V1683" s="0" t="str">
        <f aca="false">IF(COUNTIFS($A$2:A1683,A1683,$C$2:C1683,C1683,$D$2:D1683,D1683)&gt;1,"중복","")</f>
        <v/>
      </c>
      <c r="W1683" s="0" t="n">
        <f aca="false">IF(V1683="중복",0,N(D1683))</f>
        <v>720</v>
      </c>
      <c r="X1683" s="0" t="n">
        <f aca="false">IF(COUNTIFS($A$2:A1683,A1683,$C$2:C1683,C1683)=1,ABS(SUMIFS(RAW_발주!$D:$D,RAW_발주!$C:$C,A1683,RAW_발주!$A:$A,C1683)-SUMIFS($W:$W,$A:$A,A1683,$C:$C,C1683)),0)</f>
        <v>0</v>
      </c>
    </row>
    <row r="1684" customFormat="false" ht="15" hidden="false" customHeight="true" outlineLevel="0" collapsed="false">
      <c r="A1684" s="45" t="s">
        <v>1659</v>
      </c>
      <c r="B1684" s="42" t="str">
        <f aca="false">IF(A1684="100","HK",IF(A1684="200","CN",IF(A1684="300","TW","홀세일")))</f>
        <v>HK</v>
      </c>
      <c r="C1684" s="45" t="s">
        <v>980</v>
      </c>
      <c r="D1684" s="46" t="n">
        <v>720</v>
      </c>
      <c r="E1684" s="46"/>
      <c r="F1684" s="46" t="n">
        <v>20896</v>
      </c>
      <c r="G1684" s="42" t="n">
        <v>0</v>
      </c>
      <c r="H1684" s="42" t="n">
        <v>22.3</v>
      </c>
      <c r="J1684" s="46" t="n">
        <f aca="false">IF(N(E1684)&gt;0,E1684,IF(N(F1684)&gt;0,F1684*요약!$F$27,0))</f>
        <v>83584</v>
      </c>
      <c r="K1684" s="46" t="n">
        <f aca="false">IF(N(F1684)&gt;0,F1684,IF(N(E1684)&gt;0,E1684/요약!$F$27,0))</f>
        <v>20896</v>
      </c>
      <c r="L1684" s="46" t="n">
        <f aca="false">IF(B1684="CN",IF(N(I1684)&gt;0,I1684*요약!$G$27,K1684*(1+요약!$E$27)),IF(N(H1684)&gt;0,H1684*요약!$G$27,J1684*요약!$D$27))</f>
        <v>29436</v>
      </c>
      <c r="M1684" s="46" t="n">
        <f aca="false">D1684*J1684</f>
        <v>60180480</v>
      </c>
      <c r="N1684" s="46" t="n">
        <f aca="false">D1684*K1684</f>
        <v>15045120</v>
      </c>
      <c r="O1684" s="46" t="n">
        <f aca="false">D1684*L1684</f>
        <v>21193920</v>
      </c>
      <c r="P1684" s="42" t="str">
        <f aca="false">TRIM(IF(N(E1684)&lt;=0,"택가보정 ","")&amp;IF(N(F1684)&lt;=0,"원가보정 ","")&amp;IF(AND(B1684&lt;&gt;"CN",N(H1684)&lt;=0),"공급가보정 ","")&amp;IF(AND(B1684="CN",N(I1684)&lt;=0),"중국공급가=원가+마진 ",""))</f>
        <v>택가보정</v>
      </c>
      <c r="Q1684" s="47" t="n">
        <f aca="false">IF(SUMIFS($W:$W,$A:$A,A1684,$C:$C,C1684)=0,0,SUMIFS(RAW_판매펀칭!$K:$K,RAW_판매펀칭!$P:$P,A1684,RAW_판매펀칭!$I:$I,C1684)*W1684/SUMIFS($W:$W,$A:$A,A1684,$C:$C,C1684))</f>
        <v>720</v>
      </c>
      <c r="R1684" s="47" t="n">
        <f aca="false">IF(OR(A1684="500",A1684="800",A1684="810"),0,MAX(W1684-Q1684,0))</f>
        <v>0</v>
      </c>
      <c r="S1684" s="47" t="n">
        <f aca="false">R1684*L1684</f>
        <v>0</v>
      </c>
      <c r="T1684" s="47" t="n">
        <f aca="false">R1684*J1684</f>
        <v>0</v>
      </c>
      <c r="U1684" s="47" t="n">
        <f aca="false">R1684*K1684</f>
        <v>0</v>
      </c>
      <c r="V1684" s="0" t="str">
        <f aca="false">IF(COUNTIFS($A$2:A1684,A1684,$C$2:C1684,C1684,$D$2:D1684,D1684)&gt;1,"중복","")</f>
        <v/>
      </c>
      <c r="W1684" s="0" t="n">
        <f aca="false">IF(V1684="중복",0,N(D1684))</f>
        <v>720</v>
      </c>
      <c r="X1684" s="0" t="n">
        <f aca="false">IF(COUNTIFS($A$2:A1684,A1684,$C$2:C1684,C1684)=1,ABS(SUMIFS(RAW_발주!$D:$D,RAW_발주!$C:$C,A1684,RAW_발주!$A:$A,C1684)-SUMIFS($W:$W,$A:$A,A1684,$C:$C,C1684)),0)</f>
        <v>0</v>
      </c>
    </row>
    <row r="1685" customFormat="false" ht="15.75" hidden="false" customHeight="true" outlineLevel="0" collapsed="false">
      <c r="A1685" s="45" t="s">
        <v>1660</v>
      </c>
      <c r="B1685" s="42" t="str">
        <f aca="false">IF(A1685="100","HK",IF(A1685="200","CN",IF(A1685="300","TW","홀세일")))</f>
        <v>CN</v>
      </c>
      <c r="C1685" s="45" t="s">
        <v>980</v>
      </c>
      <c r="D1685" s="46" t="n">
        <v>664</v>
      </c>
      <c r="E1685" s="46"/>
      <c r="F1685" s="46" t="n">
        <v>20896</v>
      </c>
      <c r="G1685" s="42" t="n">
        <v>0</v>
      </c>
      <c r="H1685" s="42" t="n">
        <v>22.3</v>
      </c>
      <c r="J1685" s="46" t="n">
        <f aca="false">IF(N(E1685)&gt;0,E1685,IF(N(F1685)&gt;0,F1685*요약!$F$27,0))</f>
        <v>83584</v>
      </c>
      <c r="K1685" s="46" t="n">
        <f aca="false">IF(N(F1685)&gt;0,F1685,IF(N(E1685)&gt;0,E1685/요약!$F$27,0))</f>
        <v>20896</v>
      </c>
      <c r="L1685" s="46" t="n">
        <f aca="false">IF(B1685="CN",IF(N(I1685)&gt;0,I1685*요약!$G$27,K1685*(1+요약!$E$27)),IF(N(H1685)&gt;0,H1685*요약!$G$27,J1685*요약!$D$27))</f>
        <v>21940.8</v>
      </c>
      <c r="M1685" s="46" t="n">
        <f aca="false">D1685*J1685</f>
        <v>55499776</v>
      </c>
      <c r="N1685" s="46" t="n">
        <f aca="false">D1685*K1685</f>
        <v>13874944</v>
      </c>
      <c r="O1685" s="46" t="n">
        <f aca="false">D1685*L1685</f>
        <v>14568691.2</v>
      </c>
      <c r="P1685" s="42" t="str">
        <f aca="false">TRIM(IF(N(E1685)&lt;=0,"택가보정 ","")&amp;IF(N(F1685)&lt;=0,"원가보정 ","")&amp;IF(AND(B1685&lt;&gt;"CN",N(H1685)&lt;=0),"공급가보정 ","")&amp;IF(AND(B1685="CN",N(I1685)&lt;=0),"중국공급가=원가+마진 ",""))</f>
        <v>택가보정 중국공급가=원가+마진</v>
      </c>
      <c r="Q1685" s="47" t="n">
        <f aca="false">IF(SUMIFS($W:$W,$A:$A,A1685,$C:$C,C1685)=0,0,SUMIFS(RAW_판매펀칭!$K:$K,RAW_판매펀칭!$P:$P,A1685,RAW_판매펀칭!$I:$I,C1685)*W1685/SUMIFS($W:$W,$A:$A,A1685,$C:$C,C1685))</f>
        <v>664</v>
      </c>
      <c r="R1685" s="47" t="n">
        <f aca="false">IF(OR(A1685="500",A1685="800",A1685="810"),0,MAX(W1685-Q1685,0))</f>
        <v>0</v>
      </c>
      <c r="S1685" s="47" t="n">
        <f aca="false">R1685*L1685</f>
        <v>0</v>
      </c>
      <c r="T1685" s="47" t="n">
        <f aca="false">R1685*J1685</f>
        <v>0</v>
      </c>
      <c r="U1685" s="47" t="n">
        <f aca="false">R1685*K1685</f>
        <v>0</v>
      </c>
      <c r="V1685" s="0" t="str">
        <f aca="false">IF(COUNTIFS($A$2:A1685,A1685,$C$2:C1685,C1685,$D$2:D1685,D1685)&gt;1,"중복","")</f>
        <v/>
      </c>
      <c r="W1685" s="0" t="n">
        <f aca="false">IF(V1685="중복",0,N(D1685))</f>
        <v>664</v>
      </c>
      <c r="X1685" s="0" t="n">
        <f aca="false">IF(COUNTIFS($A$2:A1685,A1685,$C$2:C1685,C1685)=1,ABS(SUMIFS(RAW_발주!$D:$D,RAW_발주!$C:$C,A1685,RAW_발주!$A:$A,C1685)-SUMIFS($W:$W,$A:$A,A1685,$C:$C,C1685)),0)</f>
        <v>0</v>
      </c>
    </row>
    <row r="1686" customFormat="false" ht="15" hidden="false" customHeight="true" outlineLevel="0" collapsed="false">
      <c r="A1686" s="45" t="s">
        <v>1659</v>
      </c>
      <c r="B1686" s="42" t="str">
        <f aca="false">IF(A1686="100","HK",IF(A1686="200","CN",IF(A1686="300","TW","홀세일")))</f>
        <v>HK</v>
      </c>
      <c r="C1686" s="45" t="s">
        <v>671</v>
      </c>
      <c r="D1686" s="46" t="n">
        <v>100</v>
      </c>
      <c r="E1686" s="46"/>
      <c r="F1686" s="46" t="n">
        <v>17100</v>
      </c>
      <c r="G1686" s="42" t="n">
        <v>0</v>
      </c>
      <c r="H1686" s="42" t="n">
        <v>18.4</v>
      </c>
      <c r="J1686" s="46" t="n">
        <f aca="false">IF(N(E1686)&gt;0,E1686,IF(N(F1686)&gt;0,F1686*요약!$F$27,0))</f>
        <v>68400</v>
      </c>
      <c r="K1686" s="46" t="n">
        <f aca="false">IF(N(F1686)&gt;0,F1686,IF(N(E1686)&gt;0,E1686/요약!$F$27,0))</f>
        <v>17100</v>
      </c>
      <c r="L1686" s="46" t="n">
        <f aca="false">IF(B1686="CN",IF(N(I1686)&gt;0,I1686*요약!$G$27,K1686*(1+요약!$E$27)),IF(N(H1686)&gt;0,H1686*요약!$G$27,J1686*요약!$D$27))</f>
        <v>24288</v>
      </c>
      <c r="M1686" s="46" t="n">
        <f aca="false">D1686*J1686</f>
        <v>6840000</v>
      </c>
      <c r="N1686" s="46" t="n">
        <f aca="false">D1686*K1686</f>
        <v>1710000</v>
      </c>
      <c r="O1686" s="46" t="n">
        <f aca="false">D1686*L1686</f>
        <v>2428800</v>
      </c>
      <c r="P1686" s="42" t="str">
        <f aca="false">TRIM(IF(N(E1686)&lt;=0,"택가보정 ","")&amp;IF(N(F1686)&lt;=0,"원가보정 ","")&amp;IF(AND(B1686&lt;&gt;"CN",N(H1686)&lt;=0),"공급가보정 ","")&amp;IF(AND(B1686="CN",N(I1686)&lt;=0),"중국공급가=원가+마진 ",""))</f>
        <v>택가보정</v>
      </c>
      <c r="Q1686" s="47" t="n">
        <f aca="false">IF(SUMIFS($W:$W,$A:$A,A1686,$C:$C,C1686)=0,0,SUMIFS(RAW_판매펀칭!$K:$K,RAW_판매펀칭!$P:$P,A1686,RAW_판매펀칭!$I:$I,C1686)*W1686/SUMIFS($W:$W,$A:$A,A1686,$C:$C,C1686))</f>
        <v>100</v>
      </c>
      <c r="R1686" s="47" t="n">
        <f aca="false">IF(OR(A1686="500",A1686="800",A1686="810"),0,MAX(W1686-Q1686,0))</f>
        <v>0</v>
      </c>
      <c r="S1686" s="47" t="n">
        <f aca="false">R1686*L1686</f>
        <v>0</v>
      </c>
      <c r="T1686" s="47" t="n">
        <f aca="false">R1686*J1686</f>
        <v>0</v>
      </c>
      <c r="U1686" s="47" t="n">
        <f aca="false">R1686*K1686</f>
        <v>0</v>
      </c>
      <c r="V1686" s="0" t="str">
        <f aca="false">IF(COUNTIFS($A$2:A1686,A1686,$C$2:C1686,C1686,$D$2:D1686,D1686)&gt;1,"중복","")</f>
        <v/>
      </c>
      <c r="W1686" s="0" t="n">
        <f aca="false">IF(V1686="중복",0,N(D1686))</f>
        <v>100</v>
      </c>
      <c r="X1686" s="0" t="n">
        <f aca="false">IF(COUNTIFS($A$2:A1686,A1686,$C$2:C1686,C1686)=1,ABS(SUMIFS(RAW_발주!$D:$D,RAW_발주!$C:$C,A1686,RAW_발주!$A:$A,C1686)-SUMIFS($W:$W,$A:$A,A1686,$C:$C,C1686)),0)</f>
        <v>0</v>
      </c>
    </row>
    <row r="1687" customFormat="false" ht="15.75" hidden="false" customHeight="true" outlineLevel="0" collapsed="false">
      <c r="A1687" s="45" t="s">
        <v>1660</v>
      </c>
      <c r="B1687" s="42" t="str">
        <f aca="false">IF(A1687="100","HK",IF(A1687="200","CN",IF(A1687="300","TW","홀세일")))</f>
        <v>CN</v>
      </c>
      <c r="C1687" s="45" t="s">
        <v>671</v>
      </c>
      <c r="D1687" s="46" t="n">
        <v>302</v>
      </c>
      <c r="E1687" s="46"/>
      <c r="F1687" s="46" t="n">
        <v>17100</v>
      </c>
      <c r="G1687" s="42" t="n">
        <v>0</v>
      </c>
      <c r="H1687" s="42" t="n">
        <v>18.4</v>
      </c>
      <c r="J1687" s="46" t="n">
        <f aca="false">IF(N(E1687)&gt;0,E1687,IF(N(F1687)&gt;0,F1687*요약!$F$27,0))</f>
        <v>68400</v>
      </c>
      <c r="K1687" s="46" t="n">
        <f aca="false">IF(N(F1687)&gt;0,F1687,IF(N(E1687)&gt;0,E1687/요약!$F$27,0))</f>
        <v>17100</v>
      </c>
      <c r="L1687" s="46" t="n">
        <f aca="false">IF(B1687="CN",IF(N(I1687)&gt;0,I1687*요약!$G$27,K1687*(1+요약!$E$27)),IF(N(H1687)&gt;0,H1687*요약!$G$27,J1687*요약!$D$27))</f>
        <v>17955</v>
      </c>
      <c r="M1687" s="46" t="n">
        <f aca="false">D1687*J1687</f>
        <v>20656800</v>
      </c>
      <c r="N1687" s="46" t="n">
        <f aca="false">D1687*K1687</f>
        <v>5164200</v>
      </c>
      <c r="O1687" s="46" t="n">
        <f aca="false">D1687*L1687</f>
        <v>5422410</v>
      </c>
      <c r="P1687" s="42" t="str">
        <f aca="false">TRIM(IF(N(E1687)&lt;=0,"택가보정 ","")&amp;IF(N(F1687)&lt;=0,"원가보정 ","")&amp;IF(AND(B1687&lt;&gt;"CN",N(H1687)&lt;=0),"공급가보정 ","")&amp;IF(AND(B1687="CN",N(I1687)&lt;=0),"중국공급가=원가+마진 ",""))</f>
        <v>택가보정 중국공급가=원가+마진</v>
      </c>
      <c r="Q1687" s="47" t="n">
        <f aca="false">IF(SUMIFS($W:$W,$A:$A,A1687,$C:$C,C1687)=0,0,SUMIFS(RAW_판매펀칭!$K:$K,RAW_판매펀칭!$P:$P,A1687,RAW_판매펀칭!$I:$I,C1687)*W1687/SUMIFS($W:$W,$A:$A,A1687,$C:$C,C1687))</f>
        <v>302</v>
      </c>
      <c r="R1687" s="47" t="n">
        <f aca="false">IF(OR(A1687="500",A1687="800",A1687="810"),0,MAX(W1687-Q1687,0))</f>
        <v>0</v>
      </c>
      <c r="S1687" s="47" t="n">
        <f aca="false">R1687*L1687</f>
        <v>0</v>
      </c>
      <c r="T1687" s="47" t="n">
        <f aca="false">R1687*J1687</f>
        <v>0</v>
      </c>
      <c r="U1687" s="47" t="n">
        <f aca="false">R1687*K1687</f>
        <v>0</v>
      </c>
      <c r="V1687" s="0" t="str">
        <f aca="false">IF(COUNTIFS($A$2:A1687,A1687,$C$2:C1687,C1687,$D$2:D1687,D1687)&gt;1,"중복","")</f>
        <v/>
      </c>
      <c r="W1687" s="0" t="n">
        <f aca="false">IF(V1687="중복",0,N(D1687))</f>
        <v>302</v>
      </c>
      <c r="X1687" s="0" t="n">
        <f aca="false">IF(COUNTIFS($A$2:A1687,A1687,$C$2:C1687,C1687)=1,ABS(SUMIFS(RAW_발주!$D:$D,RAW_발주!$C:$C,A1687,RAW_발주!$A:$A,C1687)-SUMIFS($W:$W,$A:$A,A1687,$C:$C,C1687)),0)</f>
        <v>0</v>
      </c>
    </row>
    <row r="1688" customFormat="false" ht="15" hidden="false" customHeight="true" outlineLevel="0" collapsed="false">
      <c r="A1688" s="45" t="s">
        <v>1661</v>
      </c>
      <c r="B1688" s="42" t="str">
        <f aca="false">IF(A1688="100","HK",IF(A1688="200","CN",IF(A1688="300","TW","홀세일")))</f>
        <v>TW</v>
      </c>
      <c r="C1688" s="45" t="s">
        <v>671</v>
      </c>
      <c r="D1688" s="46" t="n">
        <v>680</v>
      </c>
      <c r="E1688" s="46"/>
      <c r="F1688" s="46" t="n">
        <v>17100</v>
      </c>
      <c r="G1688" s="42" t="n">
        <v>0</v>
      </c>
      <c r="H1688" s="42" t="n">
        <v>18.4</v>
      </c>
      <c r="J1688" s="46" t="n">
        <f aca="false">IF(N(E1688)&gt;0,E1688,IF(N(F1688)&gt;0,F1688*요약!$F$27,0))</f>
        <v>68400</v>
      </c>
      <c r="K1688" s="46" t="n">
        <f aca="false">IF(N(F1688)&gt;0,F1688,IF(N(E1688)&gt;0,E1688/요약!$F$27,0))</f>
        <v>17100</v>
      </c>
      <c r="L1688" s="46" t="n">
        <f aca="false">IF(B1688="CN",IF(N(I1688)&gt;0,I1688*요약!$G$27,K1688*(1+요약!$E$27)),IF(N(H1688)&gt;0,H1688*요약!$G$27,J1688*요약!$D$27))</f>
        <v>24288</v>
      </c>
      <c r="M1688" s="46" t="n">
        <f aca="false">D1688*J1688</f>
        <v>46512000</v>
      </c>
      <c r="N1688" s="46" t="n">
        <f aca="false">D1688*K1688</f>
        <v>11628000</v>
      </c>
      <c r="O1688" s="46" t="n">
        <f aca="false">D1688*L1688</f>
        <v>16515840</v>
      </c>
      <c r="P1688" s="42" t="str">
        <f aca="false">TRIM(IF(N(E1688)&lt;=0,"택가보정 ","")&amp;IF(N(F1688)&lt;=0,"원가보정 ","")&amp;IF(AND(B1688&lt;&gt;"CN",N(H1688)&lt;=0),"공급가보정 ","")&amp;IF(AND(B1688="CN",N(I1688)&lt;=0),"중국공급가=원가+마진 ",""))</f>
        <v>택가보정</v>
      </c>
      <c r="Q1688" s="47" t="n">
        <f aca="false">IF(SUMIFS($W:$W,$A:$A,A1688,$C:$C,C1688)=0,0,SUMIFS(RAW_판매펀칭!$K:$K,RAW_판매펀칭!$P:$P,A1688,RAW_판매펀칭!$I:$I,C1688)*W1688/SUMIFS($W:$W,$A:$A,A1688,$C:$C,C1688))</f>
        <v>680</v>
      </c>
      <c r="R1688" s="47" t="n">
        <f aca="false">IF(OR(A1688="500",A1688="800",A1688="810"),0,MAX(W1688-Q1688,0))</f>
        <v>0</v>
      </c>
      <c r="S1688" s="47" t="n">
        <f aca="false">R1688*L1688</f>
        <v>0</v>
      </c>
      <c r="T1688" s="47" t="n">
        <f aca="false">R1688*J1688</f>
        <v>0</v>
      </c>
      <c r="U1688" s="47" t="n">
        <f aca="false">R1688*K1688</f>
        <v>0</v>
      </c>
      <c r="V1688" s="0" t="str">
        <f aca="false">IF(COUNTIFS($A$2:A1688,A1688,$C$2:C1688,C1688,$D$2:D1688,D1688)&gt;1,"중복","")</f>
        <v/>
      </c>
      <c r="W1688" s="0" t="n">
        <f aca="false">IF(V1688="중복",0,N(D1688))</f>
        <v>680</v>
      </c>
      <c r="X1688" s="0" t="n">
        <f aca="false">IF(COUNTIFS($A$2:A1688,A1688,$C$2:C1688,C1688)=1,ABS(SUMIFS(RAW_발주!$D:$D,RAW_발주!$C:$C,A1688,RAW_발주!$A:$A,C1688)-SUMIFS($W:$W,$A:$A,A1688,$C:$C,C1688)),0)</f>
        <v>0</v>
      </c>
    </row>
    <row r="1689" customFormat="false" ht="15" hidden="false" customHeight="true" outlineLevel="0" collapsed="false">
      <c r="A1689" s="45" t="s">
        <v>1667</v>
      </c>
      <c r="B1689" s="42" t="str">
        <f aca="false">IF(A1689="100","HK",IF(A1689="200","CN",IF(A1689="300","TW","홀세일")))</f>
        <v>홀세일</v>
      </c>
      <c r="C1689" s="45" t="s">
        <v>1441</v>
      </c>
      <c r="D1689" s="46" t="n">
        <v>1340</v>
      </c>
      <c r="E1689" s="46" t="n">
        <v>59000</v>
      </c>
      <c r="F1689" s="46" t="n">
        <v>13300</v>
      </c>
      <c r="G1689" s="42" t="n">
        <v>0</v>
      </c>
      <c r="H1689" s="42" t="n">
        <v>14.8</v>
      </c>
      <c r="J1689" s="46" t="n">
        <f aca="false">IF(N(E1689)&gt;0,E1689,IF(N(F1689)&gt;0,F1689*요약!$F$27,0))</f>
        <v>59000</v>
      </c>
      <c r="K1689" s="46" t="n">
        <f aca="false">IF(N(F1689)&gt;0,F1689,IF(N(E1689)&gt;0,E1689/요약!$F$27,0))</f>
        <v>13300</v>
      </c>
      <c r="L1689" s="46" t="n">
        <f aca="false">IF(B1689="CN",IF(N(I1689)&gt;0,I1689*요약!$G$27,K1689*(1+요약!$E$27)),IF(N(H1689)&gt;0,H1689*요약!$G$27,J1689*요약!$D$27))</f>
        <v>19536</v>
      </c>
      <c r="M1689" s="46" t="n">
        <f aca="false">D1689*J1689</f>
        <v>79060000</v>
      </c>
      <c r="N1689" s="46" t="n">
        <f aca="false">D1689*K1689</f>
        <v>17822000</v>
      </c>
      <c r="O1689" s="46" t="n">
        <f aca="false">D1689*L1689</f>
        <v>26178240</v>
      </c>
      <c r="P1689" s="42" t="str">
        <f aca="false">TRIM(IF(N(E1689)&lt;=0,"택가보정 ","")&amp;IF(N(F1689)&lt;=0,"원가보정 ","")&amp;IF(AND(B1689&lt;&gt;"CN",N(H1689)&lt;=0),"공급가보정 ","")&amp;IF(AND(B1689="CN",N(I1689)&lt;=0),"중국공급가=원가+마진 ",""))</f>
        <v/>
      </c>
      <c r="Q1689" s="47" t="n">
        <f aca="false">IF(SUMIFS($W:$W,$A:$A,A1689,$C:$C,C1689)=0,0,SUMIFS(RAW_판매펀칭!$K:$K,RAW_판매펀칭!$P:$P,A1689,RAW_판매펀칭!$I:$I,C1689)*W1689/SUMIFS($W:$W,$A:$A,A1689,$C:$C,C1689))</f>
        <v>140</v>
      </c>
      <c r="R1689" s="47" t="n">
        <f aca="false">IF(OR(A1689="500",A1689="800",A1689="810"),0,MAX(W1689-Q1689,0))</f>
        <v>1200</v>
      </c>
      <c r="S1689" s="47" t="n">
        <f aca="false">R1689*L1689</f>
        <v>23443200</v>
      </c>
      <c r="T1689" s="47" t="n">
        <f aca="false">R1689*J1689</f>
        <v>70800000</v>
      </c>
      <c r="U1689" s="47" t="n">
        <f aca="false">R1689*K1689</f>
        <v>15960000</v>
      </c>
      <c r="V1689" s="0" t="str">
        <f aca="false">IF(COUNTIFS($A$2:A1689,A1689,$C$2:C1689,C1689,$D$2:D1689,D1689)&gt;1,"중복","")</f>
        <v/>
      </c>
      <c r="W1689" s="0" t="n">
        <f aca="false">IF(V1689="중복",0,N(D1689))</f>
        <v>1340</v>
      </c>
      <c r="X1689" s="0" t="n">
        <f aca="false">IF(COUNTIFS($A$2:A1689,A1689,$C$2:C1689,C1689)=1,ABS(SUMIFS(RAW_발주!$D:$D,RAW_발주!$C:$C,A1689,RAW_발주!$A:$A,C1689)-SUMIFS($W:$W,$A:$A,A1689,$C:$C,C1689)),0)</f>
        <v>0</v>
      </c>
    </row>
    <row r="1690" customFormat="false" ht="15" hidden="false" customHeight="true" outlineLevel="0" collapsed="false">
      <c r="A1690" s="45" t="s">
        <v>1664</v>
      </c>
      <c r="B1690" s="42" t="str">
        <f aca="false">IF(A1690="100","HK",IF(A1690="200","CN",IF(A1690="300","TW","홀세일")))</f>
        <v>홀세일</v>
      </c>
      <c r="C1690" s="45" t="s">
        <v>1441</v>
      </c>
      <c r="D1690" s="46" t="n">
        <v>130</v>
      </c>
      <c r="E1690" s="46" t="n">
        <v>59000</v>
      </c>
      <c r="F1690" s="46" t="n">
        <v>13300</v>
      </c>
      <c r="G1690" s="42" t="n">
        <v>0</v>
      </c>
      <c r="H1690" s="42" t="n">
        <v>14.8</v>
      </c>
      <c r="J1690" s="46" t="n">
        <f aca="false">IF(N(E1690)&gt;0,E1690,IF(N(F1690)&gt;0,F1690*요약!$F$27,0))</f>
        <v>59000</v>
      </c>
      <c r="K1690" s="46" t="n">
        <f aca="false">IF(N(F1690)&gt;0,F1690,IF(N(E1690)&gt;0,E1690/요약!$F$27,0))</f>
        <v>13300</v>
      </c>
      <c r="L1690" s="46" t="n">
        <f aca="false">IF(B1690="CN",IF(N(I1690)&gt;0,I1690*요약!$G$27,K1690*(1+요약!$E$27)),IF(N(H1690)&gt;0,H1690*요약!$G$27,J1690*요약!$D$27))</f>
        <v>19536</v>
      </c>
      <c r="M1690" s="46" t="n">
        <f aca="false">D1690*J1690</f>
        <v>7670000</v>
      </c>
      <c r="N1690" s="46" t="n">
        <f aca="false">D1690*K1690</f>
        <v>1729000</v>
      </c>
      <c r="O1690" s="46" t="n">
        <f aca="false">D1690*L1690</f>
        <v>2539680</v>
      </c>
      <c r="P1690" s="42" t="str">
        <f aca="false">TRIM(IF(N(E1690)&lt;=0,"택가보정 ","")&amp;IF(N(F1690)&lt;=0,"원가보정 ","")&amp;IF(AND(B1690&lt;&gt;"CN",N(H1690)&lt;=0),"공급가보정 ","")&amp;IF(AND(B1690="CN",N(I1690)&lt;=0),"중국공급가=원가+마진 ",""))</f>
        <v/>
      </c>
      <c r="Q1690" s="47" t="n">
        <f aca="false">IF(SUMIFS($W:$W,$A:$A,A1690,$C:$C,C1690)=0,0,SUMIFS(RAW_판매펀칭!$K:$K,RAW_판매펀칭!$P:$P,A1690,RAW_판매펀칭!$I:$I,C1690)*W1690/SUMIFS($W:$W,$A:$A,A1690,$C:$C,C1690))</f>
        <v>0</v>
      </c>
      <c r="R1690" s="47" t="n">
        <f aca="false">IF(OR(A1690="500",A1690="800",A1690="810"),0,MAX(W1690-Q1690,0))</f>
        <v>0</v>
      </c>
      <c r="S1690" s="47" t="n">
        <f aca="false">R1690*L1690</f>
        <v>0</v>
      </c>
      <c r="T1690" s="47" t="n">
        <f aca="false">R1690*J1690</f>
        <v>0</v>
      </c>
      <c r="U1690" s="47" t="n">
        <f aca="false">R1690*K1690</f>
        <v>0</v>
      </c>
      <c r="V1690" s="0" t="str">
        <f aca="false">IF(COUNTIFS($A$2:A1690,A1690,$C$2:C1690,C1690,$D$2:D1690,D1690)&gt;1,"중복","")</f>
        <v/>
      </c>
      <c r="W1690" s="0" t="n">
        <f aca="false">IF(V1690="중복",0,N(D1690))</f>
        <v>130</v>
      </c>
      <c r="X1690" s="0" t="n">
        <f aca="false">IF(COUNTIFS($A$2:A1690,A1690,$C$2:C1690,C1690)=1,ABS(SUMIFS(RAW_발주!$D:$D,RAW_발주!$C:$C,A1690,RAW_발주!$A:$A,C1690)-SUMIFS($W:$W,$A:$A,A1690,$C:$C,C1690)),0)</f>
        <v>0</v>
      </c>
    </row>
    <row r="1691" customFormat="false" ht="15" hidden="false" customHeight="true" outlineLevel="0" collapsed="false">
      <c r="A1691" s="45" t="s">
        <v>1665</v>
      </c>
      <c r="B1691" s="42" t="str">
        <f aca="false">IF(A1691="100","HK",IF(A1691="200","CN",IF(A1691="300","TW","홀세일")))</f>
        <v>홀세일</v>
      </c>
      <c r="C1691" s="45" t="s">
        <v>1441</v>
      </c>
      <c r="D1691" s="46" t="n">
        <v>708</v>
      </c>
      <c r="E1691" s="46" t="n">
        <v>59000</v>
      </c>
      <c r="F1691" s="46" t="n">
        <v>13300</v>
      </c>
      <c r="G1691" s="42" t="n">
        <v>0</v>
      </c>
      <c r="H1691" s="42" t="n">
        <v>14.8</v>
      </c>
      <c r="J1691" s="46" t="n">
        <f aca="false">IF(N(E1691)&gt;0,E1691,IF(N(F1691)&gt;0,F1691*요약!$F$27,0))</f>
        <v>59000</v>
      </c>
      <c r="K1691" s="46" t="n">
        <f aca="false">IF(N(F1691)&gt;0,F1691,IF(N(E1691)&gt;0,E1691/요약!$F$27,0))</f>
        <v>13300</v>
      </c>
      <c r="L1691" s="46" t="n">
        <f aca="false">IF(B1691="CN",IF(N(I1691)&gt;0,I1691*요약!$G$27,K1691*(1+요약!$E$27)),IF(N(H1691)&gt;0,H1691*요약!$G$27,J1691*요약!$D$27))</f>
        <v>19536</v>
      </c>
      <c r="M1691" s="46" t="n">
        <f aca="false">D1691*J1691</f>
        <v>41772000</v>
      </c>
      <c r="N1691" s="46" t="n">
        <f aca="false">D1691*K1691</f>
        <v>9416400</v>
      </c>
      <c r="O1691" s="46" t="n">
        <f aca="false">D1691*L1691</f>
        <v>13831488</v>
      </c>
      <c r="P1691" s="42" t="str">
        <f aca="false">TRIM(IF(N(E1691)&lt;=0,"택가보정 ","")&amp;IF(N(F1691)&lt;=0,"원가보정 ","")&amp;IF(AND(B1691&lt;&gt;"CN",N(H1691)&lt;=0),"공급가보정 ","")&amp;IF(AND(B1691="CN",N(I1691)&lt;=0),"중국공급가=원가+마진 ",""))</f>
        <v/>
      </c>
      <c r="Q1691" s="47" t="n">
        <f aca="false">IF(SUMIFS($W:$W,$A:$A,A1691,$C:$C,C1691)=0,0,SUMIFS(RAW_판매펀칭!$K:$K,RAW_판매펀칭!$P:$P,A1691,RAW_판매펀칭!$I:$I,C1691)*W1691/SUMIFS($W:$W,$A:$A,A1691,$C:$C,C1691))</f>
        <v>0</v>
      </c>
      <c r="R1691" s="47" t="n">
        <f aca="false">IF(OR(A1691="500",A1691="800",A1691="810"),0,MAX(W1691-Q1691,0))</f>
        <v>0</v>
      </c>
      <c r="S1691" s="47" t="n">
        <f aca="false">R1691*L1691</f>
        <v>0</v>
      </c>
      <c r="T1691" s="47" t="n">
        <f aca="false">R1691*J1691</f>
        <v>0</v>
      </c>
      <c r="U1691" s="47" t="n">
        <f aca="false">R1691*K1691</f>
        <v>0</v>
      </c>
      <c r="V1691" s="0" t="str">
        <f aca="false">IF(COUNTIFS($A$2:A1691,A1691,$C$2:C1691,C1691,$D$2:D1691,D1691)&gt;1,"중복","")</f>
        <v/>
      </c>
      <c r="W1691" s="0" t="n">
        <f aca="false">IF(V1691="중복",0,N(D1691))</f>
        <v>708</v>
      </c>
      <c r="X1691" s="0" t="n">
        <f aca="false">IF(COUNTIFS($A$2:A1691,A1691,$C$2:C1691,C1691)=1,ABS(SUMIFS(RAW_발주!$D:$D,RAW_발주!$C:$C,A1691,RAW_발주!$A:$A,C1691)-SUMIFS($W:$W,$A:$A,A1691,$C:$C,C1691)),0)</f>
        <v>0</v>
      </c>
    </row>
    <row r="1692" customFormat="false" ht="15" hidden="false" customHeight="true" outlineLevel="0" collapsed="false">
      <c r="A1692" s="45" t="s">
        <v>1665</v>
      </c>
      <c r="B1692" s="42" t="str">
        <f aca="false">IF(A1692="100","HK",IF(A1692="200","CN",IF(A1692="300","TW","홀세일")))</f>
        <v>홀세일</v>
      </c>
      <c r="C1692" s="45" t="s">
        <v>1732</v>
      </c>
      <c r="D1692" s="46" t="n">
        <v>420</v>
      </c>
      <c r="E1692" s="46"/>
      <c r="F1692" s="46" t="n">
        <v>21200</v>
      </c>
      <c r="G1692" s="42" t="n">
        <v>0</v>
      </c>
      <c r="J1692" s="46" t="n">
        <f aca="false">IF(N(E1692)&gt;0,E1692,IF(N(F1692)&gt;0,F1692*요약!$F$27,0))</f>
        <v>84800</v>
      </c>
      <c r="K1692" s="46" t="n">
        <f aca="false">IF(N(F1692)&gt;0,F1692,IF(N(E1692)&gt;0,E1692/요약!$F$27,0))</f>
        <v>21200</v>
      </c>
      <c r="L1692" s="46" t="n">
        <f aca="false">IF(B1692="CN",IF(N(I1692)&gt;0,I1692*요약!$G$27,K1692*(1+요약!$E$27)),IF(N(H1692)&gt;0,H1692*요약!$G$27,J1692*요약!$D$27))</f>
        <v>27984</v>
      </c>
      <c r="M1692" s="46" t="n">
        <f aca="false">D1692*J1692</f>
        <v>35616000</v>
      </c>
      <c r="N1692" s="46" t="n">
        <f aca="false">D1692*K1692</f>
        <v>8904000</v>
      </c>
      <c r="O1692" s="46" t="n">
        <f aca="false">D1692*L1692</f>
        <v>11753280</v>
      </c>
      <c r="P1692" s="42" t="str">
        <f aca="false">TRIM(IF(N(E1692)&lt;=0,"택가보정 ","")&amp;IF(N(F1692)&lt;=0,"원가보정 ","")&amp;IF(AND(B1692&lt;&gt;"CN",N(H1692)&lt;=0),"공급가보정 ","")&amp;IF(AND(B1692="CN",N(I1692)&lt;=0),"중국공급가=원가+마진 ",""))</f>
        <v>택가보정 공급가보정</v>
      </c>
      <c r="Q1692" s="47" t="n">
        <f aca="false">IF(SUMIFS($W:$W,$A:$A,A1692,$C:$C,C1692)=0,0,SUMIFS(RAW_판매펀칭!$K:$K,RAW_판매펀칭!$P:$P,A1692,RAW_판매펀칭!$I:$I,C1692)*W1692/SUMIFS($W:$W,$A:$A,A1692,$C:$C,C1692))</f>
        <v>0</v>
      </c>
      <c r="R1692" s="47" t="n">
        <f aca="false">IF(OR(A1692="500",A1692="800",A1692="810"),0,MAX(W1692-Q1692,0))</f>
        <v>0</v>
      </c>
      <c r="S1692" s="47" t="n">
        <f aca="false">R1692*L1692</f>
        <v>0</v>
      </c>
      <c r="T1692" s="47" t="n">
        <f aca="false">R1692*J1692</f>
        <v>0</v>
      </c>
      <c r="U1692" s="47" t="n">
        <f aca="false">R1692*K1692</f>
        <v>0</v>
      </c>
      <c r="V1692" s="0" t="str">
        <f aca="false">IF(COUNTIFS($A$2:A1692,A1692,$C$2:C1692,C1692,$D$2:D1692,D1692)&gt;1,"중복","")</f>
        <v/>
      </c>
      <c r="W1692" s="0" t="n">
        <f aca="false">IF(V1692="중복",0,N(D1692))</f>
        <v>420</v>
      </c>
      <c r="X1692" s="0" t="n">
        <f aca="false">IF(COUNTIFS($A$2:A1692,A1692,$C$2:C1692,C1692)=1,ABS(SUMIFS(RAW_발주!$D:$D,RAW_발주!$C:$C,A1692,RAW_발주!$A:$A,C1692)-SUMIFS($W:$W,$A:$A,A1692,$C:$C,C1692)),0)</f>
        <v>0</v>
      </c>
    </row>
    <row r="1693" customFormat="false" ht="15" hidden="false" customHeight="true" outlineLevel="0" collapsed="false">
      <c r="A1693" s="45" t="s">
        <v>1663</v>
      </c>
      <c r="B1693" s="42" t="str">
        <f aca="false">IF(A1693="100","HK",IF(A1693="200","CN",IF(A1693="300","TW","홀세일")))</f>
        <v>홀세일</v>
      </c>
      <c r="C1693" s="45" t="s">
        <v>1374</v>
      </c>
      <c r="D1693" s="46" t="n">
        <v>180</v>
      </c>
      <c r="E1693" s="46" t="n">
        <v>59000</v>
      </c>
      <c r="F1693" s="46" t="n">
        <v>14200</v>
      </c>
      <c r="G1693" s="42" t="n">
        <v>0</v>
      </c>
      <c r="H1693" s="42" t="n">
        <v>14.8</v>
      </c>
      <c r="J1693" s="46" t="n">
        <f aca="false">IF(N(E1693)&gt;0,E1693,IF(N(F1693)&gt;0,F1693*요약!$F$27,0))</f>
        <v>59000</v>
      </c>
      <c r="K1693" s="46" t="n">
        <f aca="false">IF(N(F1693)&gt;0,F1693,IF(N(E1693)&gt;0,E1693/요약!$F$27,0))</f>
        <v>14200</v>
      </c>
      <c r="L1693" s="46" t="n">
        <f aca="false">IF(B1693="CN",IF(N(I1693)&gt;0,I1693*요약!$G$27,K1693*(1+요약!$E$27)),IF(N(H1693)&gt;0,H1693*요약!$G$27,J1693*요약!$D$27))</f>
        <v>19536</v>
      </c>
      <c r="M1693" s="46" t="n">
        <f aca="false">D1693*J1693</f>
        <v>10620000</v>
      </c>
      <c r="N1693" s="46" t="n">
        <f aca="false">D1693*K1693</f>
        <v>2556000</v>
      </c>
      <c r="O1693" s="46" t="n">
        <f aca="false">D1693*L1693</f>
        <v>3516480</v>
      </c>
      <c r="P1693" s="42" t="str">
        <f aca="false">TRIM(IF(N(E1693)&lt;=0,"택가보정 ","")&amp;IF(N(F1693)&lt;=0,"원가보정 ","")&amp;IF(AND(B1693&lt;&gt;"CN",N(H1693)&lt;=0),"공급가보정 ","")&amp;IF(AND(B1693="CN",N(I1693)&lt;=0),"중국공급가=원가+마진 ",""))</f>
        <v/>
      </c>
      <c r="Q1693" s="47" t="n">
        <f aca="false">IF(SUMIFS($W:$W,$A:$A,A1693,$C:$C,C1693)=0,0,SUMIFS(RAW_판매펀칭!$K:$K,RAW_판매펀칭!$P:$P,A1693,RAW_판매펀칭!$I:$I,C1693)*W1693/SUMIFS($W:$W,$A:$A,A1693,$C:$C,C1693))</f>
        <v>180</v>
      </c>
      <c r="R1693" s="47" t="n">
        <f aca="false">IF(OR(A1693="500",A1693="800",A1693="810"),0,MAX(W1693-Q1693,0))</f>
        <v>0</v>
      </c>
      <c r="S1693" s="47" t="n">
        <f aca="false">R1693*L1693</f>
        <v>0</v>
      </c>
      <c r="T1693" s="47" t="n">
        <f aca="false">R1693*J1693</f>
        <v>0</v>
      </c>
      <c r="U1693" s="47" t="n">
        <f aca="false">R1693*K1693</f>
        <v>0</v>
      </c>
      <c r="V1693" s="0" t="str">
        <f aca="false">IF(COUNTIFS($A$2:A1693,A1693,$C$2:C1693,C1693,$D$2:D1693,D1693)&gt;1,"중복","")</f>
        <v/>
      </c>
      <c r="W1693" s="0" t="n">
        <f aca="false">IF(V1693="중복",0,N(D1693))</f>
        <v>180</v>
      </c>
      <c r="X1693" s="0" t="n">
        <f aca="false">IF(COUNTIFS($A$2:A1693,A1693,$C$2:C1693,C1693)=1,ABS(SUMIFS(RAW_발주!$D:$D,RAW_발주!$C:$C,A1693,RAW_발주!$A:$A,C1693)-SUMIFS($W:$W,$A:$A,A1693,$C:$C,C1693)),0)</f>
        <v>0</v>
      </c>
    </row>
    <row r="1694" customFormat="false" ht="15" hidden="false" customHeight="true" outlineLevel="0" collapsed="false">
      <c r="A1694" s="45" t="s">
        <v>1665</v>
      </c>
      <c r="B1694" s="42" t="str">
        <f aca="false">IF(A1694="100","HK",IF(A1694="200","CN",IF(A1694="300","TW","홀세일")))</f>
        <v>홀세일</v>
      </c>
      <c r="C1694" s="45" t="s">
        <v>1374</v>
      </c>
      <c r="D1694" s="46" t="n">
        <v>1074</v>
      </c>
      <c r="E1694" s="46" t="n">
        <v>59000</v>
      </c>
      <c r="F1694" s="46" t="n">
        <v>14200</v>
      </c>
      <c r="G1694" s="42" t="n">
        <v>0</v>
      </c>
      <c r="H1694" s="42" t="n">
        <v>14.8</v>
      </c>
      <c r="J1694" s="46" t="n">
        <f aca="false">IF(N(E1694)&gt;0,E1694,IF(N(F1694)&gt;0,F1694*요약!$F$27,0))</f>
        <v>59000</v>
      </c>
      <c r="K1694" s="46" t="n">
        <f aca="false">IF(N(F1694)&gt;0,F1694,IF(N(E1694)&gt;0,E1694/요약!$F$27,0))</f>
        <v>14200</v>
      </c>
      <c r="L1694" s="46" t="n">
        <f aca="false">IF(B1694="CN",IF(N(I1694)&gt;0,I1694*요약!$G$27,K1694*(1+요약!$E$27)),IF(N(H1694)&gt;0,H1694*요약!$G$27,J1694*요약!$D$27))</f>
        <v>19536</v>
      </c>
      <c r="M1694" s="46" t="n">
        <f aca="false">D1694*J1694</f>
        <v>63366000</v>
      </c>
      <c r="N1694" s="46" t="n">
        <f aca="false">D1694*K1694</f>
        <v>15250800</v>
      </c>
      <c r="O1694" s="46" t="n">
        <f aca="false">D1694*L1694</f>
        <v>20981664</v>
      </c>
      <c r="P1694" s="42" t="str">
        <f aca="false">TRIM(IF(N(E1694)&lt;=0,"택가보정 ","")&amp;IF(N(F1694)&lt;=0,"원가보정 ","")&amp;IF(AND(B1694&lt;&gt;"CN",N(H1694)&lt;=0),"공급가보정 ","")&amp;IF(AND(B1694="CN",N(I1694)&lt;=0),"중국공급가=원가+마진 ",""))</f>
        <v/>
      </c>
      <c r="Q1694" s="47" t="n">
        <f aca="false">IF(SUMIFS($W:$W,$A:$A,A1694,$C:$C,C1694)=0,0,SUMIFS(RAW_판매펀칭!$K:$K,RAW_판매펀칭!$P:$P,A1694,RAW_판매펀칭!$I:$I,C1694)*W1694/SUMIFS($W:$W,$A:$A,A1694,$C:$C,C1694))</f>
        <v>0</v>
      </c>
      <c r="R1694" s="47" t="n">
        <f aca="false">IF(OR(A1694="500",A1694="800",A1694="810"),0,MAX(W1694-Q1694,0))</f>
        <v>0</v>
      </c>
      <c r="S1694" s="47" t="n">
        <f aca="false">R1694*L1694</f>
        <v>0</v>
      </c>
      <c r="T1694" s="47" t="n">
        <f aca="false">R1694*J1694</f>
        <v>0</v>
      </c>
      <c r="U1694" s="47" t="n">
        <f aca="false">R1694*K1694</f>
        <v>0</v>
      </c>
      <c r="V1694" s="0" t="str">
        <f aca="false">IF(COUNTIFS($A$2:A1694,A1694,$C$2:C1694,C1694,$D$2:D1694,D1694)&gt;1,"중복","")</f>
        <v/>
      </c>
      <c r="W1694" s="0" t="n">
        <f aca="false">IF(V1694="중복",0,N(D1694))</f>
        <v>1074</v>
      </c>
      <c r="X1694" s="0" t="n">
        <f aca="false">IF(COUNTIFS($A$2:A1694,A1694,$C$2:C1694,C1694)=1,ABS(SUMIFS(RAW_발주!$D:$D,RAW_발주!$C:$C,A1694,RAW_발주!$A:$A,C1694)-SUMIFS($W:$W,$A:$A,A1694,$C:$C,C1694)),0)</f>
        <v>0</v>
      </c>
    </row>
    <row r="1695" customFormat="false" ht="15" hidden="false" customHeight="true" outlineLevel="0" collapsed="false">
      <c r="A1695" s="45" t="s">
        <v>1665</v>
      </c>
      <c r="B1695" s="42" t="str">
        <f aca="false">IF(A1695="100","HK",IF(A1695="200","CN",IF(A1695="300","TW","홀세일")))</f>
        <v>홀세일</v>
      </c>
      <c r="C1695" s="45" t="s">
        <v>1483</v>
      </c>
      <c r="D1695" s="46" t="n">
        <v>576</v>
      </c>
      <c r="E1695" s="46" t="n">
        <v>69000</v>
      </c>
      <c r="F1695" s="46" t="n">
        <v>17100</v>
      </c>
      <c r="G1695" s="42" t="n">
        <v>0</v>
      </c>
      <c r="H1695" s="42" t="n">
        <v>17.3</v>
      </c>
      <c r="J1695" s="46" t="n">
        <f aca="false">IF(N(E1695)&gt;0,E1695,IF(N(F1695)&gt;0,F1695*요약!$F$27,0))</f>
        <v>69000</v>
      </c>
      <c r="K1695" s="46" t="n">
        <f aca="false">IF(N(F1695)&gt;0,F1695,IF(N(E1695)&gt;0,E1695/요약!$F$27,0))</f>
        <v>17100</v>
      </c>
      <c r="L1695" s="46" t="n">
        <f aca="false">IF(B1695="CN",IF(N(I1695)&gt;0,I1695*요약!$G$27,K1695*(1+요약!$E$27)),IF(N(H1695)&gt;0,H1695*요약!$G$27,J1695*요약!$D$27))</f>
        <v>22836</v>
      </c>
      <c r="M1695" s="46" t="n">
        <f aca="false">D1695*J1695</f>
        <v>39744000</v>
      </c>
      <c r="N1695" s="46" t="n">
        <f aca="false">D1695*K1695</f>
        <v>9849600</v>
      </c>
      <c r="O1695" s="46" t="n">
        <f aca="false">D1695*L1695</f>
        <v>13153536</v>
      </c>
      <c r="P1695" s="42" t="str">
        <f aca="false">TRIM(IF(N(E1695)&lt;=0,"택가보정 ","")&amp;IF(N(F1695)&lt;=0,"원가보정 ","")&amp;IF(AND(B1695&lt;&gt;"CN",N(H1695)&lt;=0),"공급가보정 ","")&amp;IF(AND(B1695="CN",N(I1695)&lt;=0),"중국공급가=원가+마진 ",""))</f>
        <v/>
      </c>
      <c r="Q1695" s="47" t="n">
        <f aca="false">IF(SUMIFS($W:$W,$A:$A,A1695,$C:$C,C1695)=0,0,SUMIFS(RAW_판매펀칭!$K:$K,RAW_판매펀칭!$P:$P,A1695,RAW_판매펀칭!$I:$I,C1695)*W1695/SUMIFS($W:$W,$A:$A,A1695,$C:$C,C1695))</f>
        <v>573</v>
      </c>
      <c r="R1695" s="47" t="n">
        <f aca="false">IF(OR(A1695="500",A1695="800",A1695="810"),0,MAX(W1695-Q1695,0))</f>
        <v>0</v>
      </c>
      <c r="S1695" s="47" t="n">
        <f aca="false">R1695*L1695</f>
        <v>0</v>
      </c>
      <c r="T1695" s="47" t="n">
        <f aca="false">R1695*J1695</f>
        <v>0</v>
      </c>
      <c r="U1695" s="47" t="n">
        <f aca="false">R1695*K1695</f>
        <v>0</v>
      </c>
      <c r="V1695" s="0" t="str">
        <f aca="false">IF(COUNTIFS($A$2:A1695,A1695,$C$2:C1695,C1695,$D$2:D1695,D1695)&gt;1,"중복","")</f>
        <v/>
      </c>
      <c r="W1695" s="0" t="n">
        <f aca="false">IF(V1695="중복",0,N(D1695))</f>
        <v>576</v>
      </c>
      <c r="X1695" s="0" t="n">
        <f aca="false">IF(COUNTIFS($A$2:A1695,A1695,$C$2:C1695,C1695)=1,ABS(SUMIFS(RAW_발주!$D:$D,RAW_발주!$C:$C,A1695,RAW_발주!$A:$A,C1695)-SUMIFS($W:$W,$A:$A,A1695,$C:$C,C1695)),0)</f>
        <v>0</v>
      </c>
    </row>
    <row r="1696" customFormat="false" ht="15" hidden="false" customHeight="true" outlineLevel="0" collapsed="false">
      <c r="A1696" s="45" t="s">
        <v>1661</v>
      </c>
      <c r="B1696" s="42" t="str">
        <f aca="false">IF(A1696="100","HK",IF(A1696="200","CN",IF(A1696="300","TW","홀세일")))</f>
        <v>TW</v>
      </c>
      <c r="C1696" s="45" t="s">
        <v>676</v>
      </c>
      <c r="D1696" s="46" t="n">
        <v>800</v>
      </c>
      <c r="E1696" s="46" t="n">
        <v>69000</v>
      </c>
      <c r="F1696" s="46" t="n">
        <v>15500</v>
      </c>
      <c r="G1696" s="42" t="n">
        <v>3.85</v>
      </c>
      <c r="H1696" s="42" t="n">
        <v>17.3</v>
      </c>
      <c r="J1696" s="46" t="n">
        <f aca="false">IF(N(E1696)&gt;0,E1696,IF(N(F1696)&gt;0,F1696*요약!$F$27,0))</f>
        <v>69000</v>
      </c>
      <c r="K1696" s="46" t="n">
        <f aca="false">IF(N(F1696)&gt;0,F1696,IF(N(E1696)&gt;0,E1696/요약!$F$27,0))</f>
        <v>15500</v>
      </c>
      <c r="L1696" s="46" t="n">
        <f aca="false">IF(B1696="CN",IF(N(I1696)&gt;0,I1696*요약!$G$27,K1696*(1+요약!$E$27)),IF(N(H1696)&gt;0,H1696*요약!$G$27,J1696*요약!$D$27))</f>
        <v>22836</v>
      </c>
      <c r="M1696" s="46" t="n">
        <f aca="false">D1696*J1696</f>
        <v>55200000</v>
      </c>
      <c r="N1696" s="46" t="n">
        <f aca="false">D1696*K1696</f>
        <v>12400000</v>
      </c>
      <c r="O1696" s="46" t="n">
        <f aca="false">D1696*L1696</f>
        <v>18268800</v>
      </c>
      <c r="P1696" s="42" t="str">
        <f aca="false">TRIM(IF(N(E1696)&lt;=0,"택가보정 ","")&amp;IF(N(F1696)&lt;=0,"원가보정 ","")&amp;IF(AND(B1696&lt;&gt;"CN",N(H1696)&lt;=0),"공급가보정 ","")&amp;IF(AND(B1696="CN",N(I1696)&lt;=0),"중국공급가=원가+마진 ",""))</f>
        <v/>
      </c>
      <c r="Q1696" s="47" t="n">
        <f aca="false">IF(SUMIFS($W:$W,$A:$A,A1696,$C:$C,C1696)=0,0,SUMIFS(RAW_판매펀칭!$K:$K,RAW_판매펀칭!$P:$P,A1696,RAW_판매펀칭!$I:$I,C1696)*W1696/SUMIFS($W:$W,$A:$A,A1696,$C:$C,C1696))</f>
        <v>800</v>
      </c>
      <c r="R1696" s="47" t="n">
        <f aca="false">IF(OR(A1696="500",A1696="800",A1696="810"),0,MAX(W1696-Q1696,0))</f>
        <v>0</v>
      </c>
      <c r="S1696" s="47" t="n">
        <f aca="false">R1696*L1696</f>
        <v>0</v>
      </c>
      <c r="T1696" s="47" t="n">
        <f aca="false">R1696*J1696</f>
        <v>0</v>
      </c>
      <c r="U1696" s="47" t="n">
        <f aca="false">R1696*K1696</f>
        <v>0</v>
      </c>
      <c r="V1696" s="0" t="str">
        <f aca="false">IF(COUNTIFS($A$2:A1696,A1696,$C$2:C1696,C1696,$D$2:D1696,D1696)&gt;1,"중복","")</f>
        <v/>
      </c>
      <c r="W1696" s="0" t="n">
        <f aca="false">IF(V1696="중복",0,N(D1696))</f>
        <v>800</v>
      </c>
      <c r="X1696" s="0" t="n">
        <f aca="false">IF(COUNTIFS($A$2:A1696,A1696,$C$2:C1696,C1696)=1,ABS(SUMIFS(RAW_발주!$D:$D,RAW_발주!$C:$C,A1696,RAW_발주!$A:$A,C1696)-SUMIFS($W:$W,$A:$A,A1696,$C:$C,C1696)),0)</f>
        <v>0</v>
      </c>
    </row>
    <row r="1697" customFormat="false" ht="15" hidden="false" customHeight="true" outlineLevel="0" collapsed="false">
      <c r="A1697" s="45" t="s">
        <v>1661</v>
      </c>
      <c r="B1697" s="42" t="str">
        <f aca="false">IF(A1697="100","HK",IF(A1697="200","CN",IF(A1697="300","TW","홀세일")))</f>
        <v>TW</v>
      </c>
      <c r="C1697" s="45" t="s">
        <v>678</v>
      </c>
      <c r="D1697" s="46" t="n">
        <v>850</v>
      </c>
      <c r="E1697" s="46"/>
      <c r="F1697" s="46" t="n">
        <v>10500</v>
      </c>
      <c r="G1697" s="42" t="n">
        <v>4.58</v>
      </c>
      <c r="H1697" s="42" t="n">
        <v>14.8</v>
      </c>
      <c r="J1697" s="46" t="n">
        <f aca="false">IF(N(E1697)&gt;0,E1697,IF(N(F1697)&gt;0,F1697*요약!$F$27,0))</f>
        <v>42000</v>
      </c>
      <c r="K1697" s="46" t="n">
        <f aca="false">IF(N(F1697)&gt;0,F1697,IF(N(E1697)&gt;0,E1697/요약!$F$27,0))</f>
        <v>10500</v>
      </c>
      <c r="L1697" s="46" t="n">
        <f aca="false">IF(B1697="CN",IF(N(I1697)&gt;0,I1697*요약!$G$27,K1697*(1+요약!$E$27)),IF(N(H1697)&gt;0,H1697*요약!$G$27,J1697*요약!$D$27))</f>
        <v>19536</v>
      </c>
      <c r="M1697" s="46" t="n">
        <f aca="false">D1697*J1697</f>
        <v>35700000</v>
      </c>
      <c r="N1697" s="46" t="n">
        <f aca="false">D1697*K1697</f>
        <v>8925000</v>
      </c>
      <c r="O1697" s="46" t="n">
        <f aca="false">D1697*L1697</f>
        <v>16605600</v>
      </c>
      <c r="P1697" s="42" t="str">
        <f aca="false">TRIM(IF(N(E1697)&lt;=0,"택가보정 ","")&amp;IF(N(F1697)&lt;=0,"원가보정 ","")&amp;IF(AND(B1697&lt;&gt;"CN",N(H1697)&lt;=0),"공급가보정 ","")&amp;IF(AND(B1697="CN",N(I1697)&lt;=0),"중국공급가=원가+마진 ",""))</f>
        <v>택가보정</v>
      </c>
      <c r="Q1697" s="47" t="n">
        <f aca="false">IF(SUMIFS($W:$W,$A:$A,A1697,$C:$C,C1697)=0,0,SUMIFS(RAW_판매펀칭!$K:$K,RAW_판매펀칭!$P:$P,A1697,RAW_판매펀칭!$I:$I,C1697)*W1697/SUMIFS($W:$W,$A:$A,A1697,$C:$C,C1697))</f>
        <v>850</v>
      </c>
      <c r="R1697" s="47" t="n">
        <f aca="false">IF(OR(A1697="500",A1697="800",A1697="810"),0,MAX(W1697-Q1697,0))</f>
        <v>0</v>
      </c>
      <c r="S1697" s="47" t="n">
        <f aca="false">R1697*L1697</f>
        <v>0</v>
      </c>
      <c r="T1697" s="47" t="n">
        <f aca="false">R1697*J1697</f>
        <v>0</v>
      </c>
      <c r="U1697" s="47" t="n">
        <f aca="false">R1697*K1697</f>
        <v>0</v>
      </c>
      <c r="V1697" s="0" t="str">
        <f aca="false">IF(COUNTIFS($A$2:A1697,A1697,$C$2:C1697,C1697,$D$2:D1697,D1697)&gt;1,"중복","")</f>
        <v/>
      </c>
      <c r="W1697" s="0" t="n">
        <f aca="false">IF(V1697="중복",0,N(D1697))</f>
        <v>850</v>
      </c>
      <c r="X1697" s="0" t="n">
        <f aca="false">IF(COUNTIFS($A$2:A1697,A1697,$C$2:C1697,C1697)=1,ABS(SUMIFS(RAW_발주!$D:$D,RAW_발주!$C:$C,A1697,RAW_발주!$A:$A,C1697)-SUMIFS($W:$W,$A:$A,A1697,$C:$C,C1697)),0)</f>
        <v>0</v>
      </c>
    </row>
    <row r="1698" customFormat="false" ht="15" hidden="false" customHeight="true" outlineLevel="0" collapsed="false">
      <c r="A1698" s="45" t="s">
        <v>1661</v>
      </c>
      <c r="B1698" s="42" t="str">
        <f aca="false">IF(A1698="100","HK",IF(A1698="200","CN",IF(A1698="300","TW","홀세일")))</f>
        <v>TW</v>
      </c>
      <c r="C1698" s="45" t="s">
        <v>680</v>
      </c>
      <c r="D1698" s="46" t="n">
        <v>800</v>
      </c>
      <c r="E1698" s="46" t="n">
        <v>59000</v>
      </c>
      <c r="F1698" s="46" t="n">
        <v>10500</v>
      </c>
      <c r="G1698" s="42" t="n">
        <v>4.47</v>
      </c>
      <c r="H1698" s="42" t="n">
        <v>14.8</v>
      </c>
      <c r="J1698" s="46" t="n">
        <f aca="false">IF(N(E1698)&gt;0,E1698,IF(N(F1698)&gt;0,F1698*요약!$F$27,0))</f>
        <v>59000</v>
      </c>
      <c r="K1698" s="46" t="n">
        <f aca="false">IF(N(F1698)&gt;0,F1698,IF(N(E1698)&gt;0,E1698/요약!$F$27,0))</f>
        <v>10500</v>
      </c>
      <c r="L1698" s="46" t="n">
        <f aca="false">IF(B1698="CN",IF(N(I1698)&gt;0,I1698*요약!$G$27,K1698*(1+요약!$E$27)),IF(N(H1698)&gt;0,H1698*요약!$G$27,J1698*요약!$D$27))</f>
        <v>19536</v>
      </c>
      <c r="M1698" s="46" t="n">
        <f aca="false">D1698*J1698</f>
        <v>47200000</v>
      </c>
      <c r="N1698" s="46" t="n">
        <f aca="false">D1698*K1698</f>
        <v>8400000</v>
      </c>
      <c r="O1698" s="46" t="n">
        <f aca="false">D1698*L1698</f>
        <v>15628800</v>
      </c>
      <c r="P1698" s="42" t="str">
        <f aca="false">TRIM(IF(N(E1698)&lt;=0,"택가보정 ","")&amp;IF(N(F1698)&lt;=0,"원가보정 ","")&amp;IF(AND(B1698&lt;&gt;"CN",N(H1698)&lt;=0),"공급가보정 ","")&amp;IF(AND(B1698="CN",N(I1698)&lt;=0),"중국공급가=원가+마진 ",""))</f>
        <v/>
      </c>
      <c r="Q1698" s="47" t="n">
        <f aca="false">IF(SUMIFS($W:$W,$A:$A,A1698,$C:$C,C1698)=0,0,SUMIFS(RAW_판매펀칭!$K:$K,RAW_판매펀칭!$P:$P,A1698,RAW_판매펀칭!$I:$I,C1698)*W1698/SUMIFS($W:$W,$A:$A,A1698,$C:$C,C1698))</f>
        <v>800</v>
      </c>
      <c r="R1698" s="47" t="n">
        <f aca="false">IF(OR(A1698="500",A1698="800",A1698="810"),0,MAX(W1698-Q1698,0))</f>
        <v>0</v>
      </c>
      <c r="S1698" s="47" t="n">
        <f aca="false">R1698*L1698</f>
        <v>0</v>
      </c>
      <c r="T1698" s="47" t="n">
        <f aca="false">R1698*J1698</f>
        <v>0</v>
      </c>
      <c r="U1698" s="47" t="n">
        <f aca="false">R1698*K1698</f>
        <v>0</v>
      </c>
      <c r="V1698" s="0" t="str">
        <f aca="false">IF(COUNTIFS($A$2:A1698,A1698,$C$2:C1698,C1698,$D$2:D1698,D1698)&gt;1,"중복","")</f>
        <v/>
      </c>
      <c r="W1698" s="0" t="n">
        <f aca="false">IF(V1698="중복",0,N(D1698))</f>
        <v>800</v>
      </c>
      <c r="X1698" s="0" t="n">
        <f aca="false">IF(COUNTIFS($A$2:A1698,A1698,$C$2:C1698,C1698)=1,ABS(SUMIFS(RAW_발주!$D:$D,RAW_발주!$C:$C,A1698,RAW_발주!$A:$A,C1698)-SUMIFS($W:$W,$A:$A,A1698,$C:$C,C1698)),0)</f>
        <v>0</v>
      </c>
    </row>
    <row r="1699" customFormat="false" ht="15" hidden="false" customHeight="true" outlineLevel="0" collapsed="false">
      <c r="A1699" s="45" t="s">
        <v>1661</v>
      </c>
      <c r="B1699" s="42" t="str">
        <f aca="false">IF(A1699="100","HK",IF(A1699="200","CN",IF(A1699="300","TW","홀세일")))</f>
        <v>TW</v>
      </c>
      <c r="C1699" s="45" t="s">
        <v>682</v>
      </c>
      <c r="D1699" s="46" t="n">
        <v>800</v>
      </c>
      <c r="E1699" s="46" t="n">
        <v>69000</v>
      </c>
      <c r="F1699" s="46" t="n">
        <v>14600</v>
      </c>
      <c r="G1699" s="42" t="n">
        <v>3.97</v>
      </c>
      <c r="H1699" s="42" t="n">
        <v>17.3</v>
      </c>
      <c r="J1699" s="46" t="n">
        <f aca="false">IF(N(E1699)&gt;0,E1699,IF(N(F1699)&gt;0,F1699*요약!$F$27,0))</f>
        <v>69000</v>
      </c>
      <c r="K1699" s="46" t="n">
        <f aca="false">IF(N(F1699)&gt;0,F1699,IF(N(E1699)&gt;0,E1699/요약!$F$27,0))</f>
        <v>14600</v>
      </c>
      <c r="L1699" s="46" t="n">
        <f aca="false">IF(B1699="CN",IF(N(I1699)&gt;0,I1699*요약!$G$27,K1699*(1+요약!$E$27)),IF(N(H1699)&gt;0,H1699*요약!$G$27,J1699*요약!$D$27))</f>
        <v>22836</v>
      </c>
      <c r="M1699" s="46" t="n">
        <f aca="false">D1699*J1699</f>
        <v>55200000</v>
      </c>
      <c r="N1699" s="46" t="n">
        <f aca="false">D1699*K1699</f>
        <v>11680000</v>
      </c>
      <c r="O1699" s="46" t="n">
        <f aca="false">D1699*L1699</f>
        <v>18268800</v>
      </c>
      <c r="P1699" s="42" t="str">
        <f aca="false">TRIM(IF(N(E1699)&lt;=0,"택가보정 ","")&amp;IF(N(F1699)&lt;=0,"원가보정 ","")&amp;IF(AND(B1699&lt;&gt;"CN",N(H1699)&lt;=0),"공급가보정 ","")&amp;IF(AND(B1699="CN",N(I1699)&lt;=0),"중국공급가=원가+마진 ",""))</f>
        <v/>
      </c>
      <c r="Q1699" s="47" t="n">
        <f aca="false">IF(SUMIFS($W:$W,$A:$A,A1699,$C:$C,C1699)=0,0,SUMIFS(RAW_판매펀칭!$K:$K,RAW_판매펀칭!$P:$P,A1699,RAW_판매펀칭!$I:$I,C1699)*W1699/SUMIFS($W:$W,$A:$A,A1699,$C:$C,C1699))</f>
        <v>800</v>
      </c>
      <c r="R1699" s="47" t="n">
        <f aca="false">IF(OR(A1699="500",A1699="800",A1699="810"),0,MAX(W1699-Q1699,0))</f>
        <v>0</v>
      </c>
      <c r="S1699" s="47" t="n">
        <f aca="false">R1699*L1699</f>
        <v>0</v>
      </c>
      <c r="T1699" s="47" t="n">
        <f aca="false">R1699*J1699</f>
        <v>0</v>
      </c>
      <c r="U1699" s="47" t="n">
        <f aca="false">R1699*K1699</f>
        <v>0</v>
      </c>
      <c r="V1699" s="0" t="str">
        <f aca="false">IF(COUNTIFS($A$2:A1699,A1699,$C$2:C1699,C1699,$D$2:D1699,D1699)&gt;1,"중복","")</f>
        <v/>
      </c>
      <c r="W1699" s="0" t="n">
        <f aca="false">IF(V1699="중복",0,N(D1699))</f>
        <v>800</v>
      </c>
      <c r="X1699" s="0" t="n">
        <f aca="false">IF(COUNTIFS($A$2:A1699,A1699,$C$2:C1699,C1699)=1,ABS(SUMIFS(RAW_발주!$D:$D,RAW_발주!$C:$C,A1699,RAW_발주!$A:$A,C1699)-SUMIFS($W:$W,$A:$A,A1699,$C:$C,C1699)),0)</f>
        <v>0</v>
      </c>
    </row>
    <row r="1700" customFormat="false" ht="15" hidden="false" customHeight="true" outlineLevel="0" collapsed="false">
      <c r="A1700" s="45" t="s">
        <v>1661</v>
      </c>
      <c r="B1700" s="42" t="str">
        <f aca="false">IF(A1700="100","HK",IF(A1700="200","CN",IF(A1700="300","TW","홀세일")))</f>
        <v>TW</v>
      </c>
      <c r="C1700" s="45" t="s">
        <v>684</v>
      </c>
      <c r="D1700" s="46" t="n">
        <v>800</v>
      </c>
      <c r="E1700" s="46" t="n">
        <v>69000</v>
      </c>
      <c r="F1700" s="46" t="n">
        <v>14300</v>
      </c>
      <c r="G1700" s="42" t="n">
        <v>3.97</v>
      </c>
      <c r="H1700" s="42" t="n">
        <v>17.3</v>
      </c>
      <c r="J1700" s="46" t="n">
        <f aca="false">IF(N(E1700)&gt;0,E1700,IF(N(F1700)&gt;0,F1700*요약!$F$27,0))</f>
        <v>69000</v>
      </c>
      <c r="K1700" s="46" t="n">
        <f aca="false">IF(N(F1700)&gt;0,F1700,IF(N(E1700)&gt;0,E1700/요약!$F$27,0))</f>
        <v>14300</v>
      </c>
      <c r="L1700" s="46" t="n">
        <f aca="false">IF(B1700="CN",IF(N(I1700)&gt;0,I1700*요약!$G$27,K1700*(1+요약!$E$27)),IF(N(H1700)&gt;0,H1700*요약!$G$27,J1700*요약!$D$27))</f>
        <v>22836</v>
      </c>
      <c r="M1700" s="46" t="n">
        <f aca="false">D1700*J1700</f>
        <v>55200000</v>
      </c>
      <c r="N1700" s="46" t="n">
        <f aca="false">D1700*K1700</f>
        <v>11440000</v>
      </c>
      <c r="O1700" s="46" t="n">
        <f aca="false">D1700*L1700</f>
        <v>18268800</v>
      </c>
      <c r="P1700" s="42" t="str">
        <f aca="false">TRIM(IF(N(E1700)&lt;=0,"택가보정 ","")&amp;IF(N(F1700)&lt;=0,"원가보정 ","")&amp;IF(AND(B1700&lt;&gt;"CN",N(H1700)&lt;=0),"공급가보정 ","")&amp;IF(AND(B1700="CN",N(I1700)&lt;=0),"중국공급가=원가+마진 ",""))</f>
        <v/>
      </c>
      <c r="Q1700" s="47" t="n">
        <f aca="false">IF(SUMIFS($W:$W,$A:$A,A1700,$C:$C,C1700)=0,0,SUMIFS(RAW_판매펀칭!$K:$K,RAW_판매펀칭!$P:$P,A1700,RAW_판매펀칭!$I:$I,C1700)*W1700/SUMIFS($W:$W,$A:$A,A1700,$C:$C,C1700))</f>
        <v>800</v>
      </c>
      <c r="R1700" s="47" t="n">
        <f aca="false">IF(OR(A1700="500",A1700="800",A1700="810"),0,MAX(W1700-Q1700,0))</f>
        <v>0</v>
      </c>
      <c r="S1700" s="47" t="n">
        <f aca="false">R1700*L1700</f>
        <v>0</v>
      </c>
      <c r="T1700" s="47" t="n">
        <f aca="false">R1700*J1700</f>
        <v>0</v>
      </c>
      <c r="U1700" s="47" t="n">
        <f aca="false">R1700*K1700</f>
        <v>0</v>
      </c>
      <c r="V1700" s="0" t="str">
        <f aca="false">IF(COUNTIFS($A$2:A1700,A1700,$C$2:C1700,C1700,$D$2:D1700,D1700)&gt;1,"중복","")</f>
        <v/>
      </c>
      <c r="W1700" s="0" t="n">
        <f aca="false">IF(V1700="중복",0,N(D1700))</f>
        <v>800</v>
      </c>
      <c r="X1700" s="0" t="n">
        <f aca="false">IF(COUNTIFS($A$2:A1700,A1700,$C$2:C1700,C1700)=1,ABS(SUMIFS(RAW_발주!$D:$D,RAW_발주!$C:$C,A1700,RAW_발주!$A:$A,C1700)-SUMIFS($W:$W,$A:$A,A1700,$C:$C,C1700)),0)</f>
        <v>0</v>
      </c>
    </row>
    <row r="1701" customFormat="false" ht="15" hidden="false" customHeight="true" outlineLevel="0" collapsed="false">
      <c r="A1701" s="45" t="s">
        <v>1661</v>
      </c>
      <c r="B1701" s="42" t="str">
        <f aca="false">IF(A1701="100","HK",IF(A1701="200","CN",IF(A1701="300","TW","홀세일")))</f>
        <v>TW</v>
      </c>
      <c r="C1701" s="45" t="s">
        <v>686</v>
      </c>
      <c r="D1701" s="46" t="n">
        <v>800</v>
      </c>
      <c r="E1701" s="46" t="n">
        <v>69000</v>
      </c>
      <c r="F1701" s="46" t="n">
        <v>15200</v>
      </c>
      <c r="G1701" s="42" t="n">
        <v>3.97</v>
      </c>
      <c r="H1701" s="42" t="n">
        <v>17.3</v>
      </c>
      <c r="J1701" s="46" t="n">
        <f aca="false">IF(N(E1701)&gt;0,E1701,IF(N(F1701)&gt;0,F1701*요약!$F$27,0))</f>
        <v>69000</v>
      </c>
      <c r="K1701" s="46" t="n">
        <f aca="false">IF(N(F1701)&gt;0,F1701,IF(N(E1701)&gt;0,E1701/요약!$F$27,0))</f>
        <v>15200</v>
      </c>
      <c r="L1701" s="46" t="n">
        <f aca="false">IF(B1701="CN",IF(N(I1701)&gt;0,I1701*요약!$G$27,K1701*(1+요약!$E$27)),IF(N(H1701)&gt;0,H1701*요약!$G$27,J1701*요약!$D$27))</f>
        <v>22836</v>
      </c>
      <c r="M1701" s="46" t="n">
        <f aca="false">D1701*J1701</f>
        <v>55200000</v>
      </c>
      <c r="N1701" s="46" t="n">
        <f aca="false">D1701*K1701</f>
        <v>12160000</v>
      </c>
      <c r="O1701" s="46" t="n">
        <f aca="false">D1701*L1701</f>
        <v>18268800</v>
      </c>
      <c r="P1701" s="42" t="str">
        <f aca="false">TRIM(IF(N(E1701)&lt;=0,"택가보정 ","")&amp;IF(N(F1701)&lt;=0,"원가보정 ","")&amp;IF(AND(B1701&lt;&gt;"CN",N(H1701)&lt;=0),"공급가보정 ","")&amp;IF(AND(B1701="CN",N(I1701)&lt;=0),"중국공급가=원가+마진 ",""))</f>
        <v/>
      </c>
      <c r="Q1701" s="47" t="n">
        <f aca="false">IF(SUMIFS($W:$W,$A:$A,A1701,$C:$C,C1701)=0,0,SUMIFS(RAW_판매펀칭!$K:$K,RAW_판매펀칭!$P:$P,A1701,RAW_판매펀칭!$I:$I,C1701)*W1701/SUMIFS($W:$W,$A:$A,A1701,$C:$C,C1701))</f>
        <v>800</v>
      </c>
      <c r="R1701" s="47" t="n">
        <f aca="false">IF(OR(A1701="500",A1701="800",A1701="810"),0,MAX(W1701-Q1701,0))</f>
        <v>0</v>
      </c>
      <c r="S1701" s="47" t="n">
        <f aca="false">R1701*L1701</f>
        <v>0</v>
      </c>
      <c r="T1701" s="47" t="n">
        <f aca="false">R1701*J1701</f>
        <v>0</v>
      </c>
      <c r="U1701" s="47" t="n">
        <f aca="false">R1701*K1701</f>
        <v>0</v>
      </c>
      <c r="V1701" s="0" t="str">
        <f aca="false">IF(COUNTIFS($A$2:A1701,A1701,$C$2:C1701,C1701,$D$2:D1701,D1701)&gt;1,"중복","")</f>
        <v/>
      </c>
      <c r="W1701" s="0" t="n">
        <f aca="false">IF(V1701="중복",0,N(D1701))</f>
        <v>800</v>
      </c>
      <c r="X1701" s="0" t="n">
        <f aca="false">IF(COUNTIFS($A$2:A1701,A1701,$C$2:C1701,C1701)=1,ABS(SUMIFS(RAW_발주!$D:$D,RAW_발주!$C:$C,A1701,RAW_발주!$A:$A,C1701)-SUMIFS($W:$W,$A:$A,A1701,$C:$C,C1701)),0)</f>
        <v>0</v>
      </c>
    </row>
    <row r="1702" customFormat="false" ht="15" hidden="false" customHeight="true" outlineLevel="0" collapsed="false">
      <c r="A1702" s="45" t="s">
        <v>1659</v>
      </c>
      <c r="B1702" s="42" t="str">
        <f aca="false">IF(A1702="100","HK",IF(A1702="200","CN",IF(A1702="300","TW","홀세일")))</f>
        <v>HK</v>
      </c>
      <c r="C1702" s="45" t="s">
        <v>993</v>
      </c>
      <c r="D1702" s="46" t="n">
        <v>800</v>
      </c>
      <c r="E1702" s="46" t="n">
        <v>69000</v>
      </c>
      <c r="F1702" s="46" t="n">
        <v>14000</v>
      </c>
      <c r="G1702" s="42" t="n">
        <v>4.18</v>
      </c>
      <c r="H1702" s="42" t="n">
        <v>17.3</v>
      </c>
      <c r="J1702" s="46" t="n">
        <f aca="false">IF(N(E1702)&gt;0,E1702,IF(N(F1702)&gt;0,F1702*요약!$F$27,0))</f>
        <v>69000</v>
      </c>
      <c r="K1702" s="46" t="n">
        <f aca="false">IF(N(F1702)&gt;0,F1702,IF(N(E1702)&gt;0,E1702/요약!$F$27,0))</f>
        <v>14000</v>
      </c>
      <c r="L1702" s="46" t="n">
        <f aca="false">IF(B1702="CN",IF(N(I1702)&gt;0,I1702*요약!$G$27,K1702*(1+요약!$E$27)),IF(N(H1702)&gt;0,H1702*요약!$G$27,J1702*요약!$D$27))</f>
        <v>22836</v>
      </c>
      <c r="M1702" s="46" t="n">
        <f aca="false">D1702*J1702</f>
        <v>55200000</v>
      </c>
      <c r="N1702" s="46" t="n">
        <f aca="false">D1702*K1702</f>
        <v>11200000</v>
      </c>
      <c r="O1702" s="46" t="n">
        <f aca="false">D1702*L1702</f>
        <v>18268800</v>
      </c>
      <c r="P1702" s="42" t="str">
        <f aca="false">TRIM(IF(N(E1702)&lt;=0,"택가보정 ","")&amp;IF(N(F1702)&lt;=0,"원가보정 ","")&amp;IF(AND(B1702&lt;&gt;"CN",N(H1702)&lt;=0),"공급가보정 ","")&amp;IF(AND(B1702="CN",N(I1702)&lt;=0),"중국공급가=원가+마진 ",""))</f>
        <v/>
      </c>
      <c r="Q1702" s="47" t="n">
        <f aca="false">IF(SUMIFS($W:$W,$A:$A,A1702,$C:$C,C1702)=0,0,SUMIFS(RAW_판매펀칭!$K:$K,RAW_판매펀칭!$P:$P,A1702,RAW_판매펀칭!$I:$I,C1702)*W1702/SUMIFS($W:$W,$A:$A,A1702,$C:$C,C1702))</f>
        <v>790</v>
      </c>
      <c r="R1702" s="47" t="n">
        <f aca="false">IF(OR(A1702="500",A1702="800",A1702="810"),0,MAX(W1702-Q1702,0))</f>
        <v>10</v>
      </c>
      <c r="S1702" s="47" t="n">
        <f aca="false">R1702*L1702</f>
        <v>228360</v>
      </c>
      <c r="T1702" s="47" t="n">
        <f aca="false">R1702*J1702</f>
        <v>690000</v>
      </c>
      <c r="U1702" s="47" t="n">
        <f aca="false">R1702*K1702</f>
        <v>140000</v>
      </c>
      <c r="V1702" s="0" t="str">
        <f aca="false">IF(COUNTIFS($A$2:A1702,A1702,$C$2:C1702,C1702,$D$2:D1702,D1702)&gt;1,"중복","")</f>
        <v/>
      </c>
      <c r="W1702" s="0" t="n">
        <f aca="false">IF(V1702="중복",0,N(D1702))</f>
        <v>800</v>
      </c>
      <c r="X1702" s="0" t="n">
        <f aca="false">IF(COUNTIFS($A$2:A1702,A1702,$C$2:C1702,C1702)=1,ABS(SUMIFS(RAW_발주!$D:$D,RAW_발주!$C:$C,A1702,RAW_발주!$A:$A,C1702)-SUMIFS($W:$W,$A:$A,A1702,$C:$C,C1702)),0)</f>
        <v>0</v>
      </c>
    </row>
    <row r="1703" customFormat="false" ht="15" hidden="false" customHeight="true" outlineLevel="0" collapsed="false">
      <c r="A1703" s="45" t="s">
        <v>1659</v>
      </c>
      <c r="B1703" s="42" t="str">
        <f aca="false">IF(A1703="100","HK",IF(A1703="200","CN",IF(A1703="300","TW","홀세일")))</f>
        <v>HK</v>
      </c>
      <c r="C1703" s="45" t="s">
        <v>995</v>
      </c>
      <c r="D1703" s="46" t="n">
        <v>400</v>
      </c>
      <c r="E1703" s="46" t="n">
        <v>59000</v>
      </c>
      <c r="F1703" s="46" t="n">
        <v>12000</v>
      </c>
      <c r="G1703" s="42" t="n">
        <v>4.13</v>
      </c>
      <c r="H1703" s="42" t="n">
        <v>14.8</v>
      </c>
      <c r="J1703" s="46" t="n">
        <f aca="false">IF(N(E1703)&gt;0,E1703,IF(N(F1703)&gt;0,F1703*요약!$F$27,0))</f>
        <v>59000</v>
      </c>
      <c r="K1703" s="46" t="n">
        <f aca="false">IF(N(F1703)&gt;0,F1703,IF(N(E1703)&gt;0,E1703/요약!$F$27,0))</f>
        <v>12000</v>
      </c>
      <c r="L1703" s="46" t="n">
        <f aca="false">IF(B1703="CN",IF(N(I1703)&gt;0,I1703*요약!$G$27,K1703*(1+요약!$E$27)),IF(N(H1703)&gt;0,H1703*요약!$G$27,J1703*요약!$D$27))</f>
        <v>19536</v>
      </c>
      <c r="M1703" s="46" t="n">
        <f aca="false">D1703*J1703</f>
        <v>23600000</v>
      </c>
      <c r="N1703" s="46" t="n">
        <f aca="false">D1703*K1703</f>
        <v>4800000</v>
      </c>
      <c r="O1703" s="46" t="n">
        <f aca="false">D1703*L1703</f>
        <v>7814400</v>
      </c>
      <c r="P1703" s="42" t="str">
        <f aca="false">TRIM(IF(N(E1703)&lt;=0,"택가보정 ","")&amp;IF(N(F1703)&lt;=0,"원가보정 ","")&amp;IF(AND(B1703&lt;&gt;"CN",N(H1703)&lt;=0),"공급가보정 ","")&amp;IF(AND(B1703="CN",N(I1703)&lt;=0),"중국공급가=원가+마진 ",""))</f>
        <v/>
      </c>
      <c r="Q1703" s="47" t="n">
        <f aca="false">IF(SUMIFS($W:$W,$A:$A,A1703,$C:$C,C1703)=0,0,SUMIFS(RAW_판매펀칭!$K:$K,RAW_판매펀칭!$P:$P,A1703,RAW_판매펀칭!$I:$I,C1703)*W1703/SUMIFS($W:$W,$A:$A,A1703,$C:$C,C1703))</f>
        <v>400</v>
      </c>
      <c r="R1703" s="47" t="n">
        <f aca="false">IF(OR(A1703="500",A1703="800",A1703="810"),0,MAX(W1703-Q1703,0))</f>
        <v>0</v>
      </c>
      <c r="S1703" s="47" t="n">
        <f aca="false">R1703*L1703</f>
        <v>0</v>
      </c>
      <c r="T1703" s="47" t="n">
        <f aca="false">R1703*J1703</f>
        <v>0</v>
      </c>
      <c r="U1703" s="47" t="n">
        <f aca="false">R1703*K1703</f>
        <v>0</v>
      </c>
      <c r="V1703" s="0" t="str">
        <f aca="false">IF(COUNTIFS($A$2:A1703,A1703,$C$2:C1703,C1703,$D$2:D1703,D1703)&gt;1,"중복","")</f>
        <v/>
      </c>
      <c r="W1703" s="0" t="n">
        <f aca="false">IF(V1703="중복",0,N(D1703))</f>
        <v>400</v>
      </c>
      <c r="X1703" s="0" t="n">
        <f aca="false">IF(COUNTIFS($A$2:A1703,A1703,$C$2:C1703,C1703)=1,ABS(SUMIFS(RAW_발주!$D:$D,RAW_발주!$C:$C,A1703,RAW_발주!$A:$A,C1703)-SUMIFS($W:$W,$A:$A,A1703,$C:$C,C1703)),0)</f>
        <v>0</v>
      </c>
    </row>
    <row r="1704" customFormat="false" ht="15" hidden="false" customHeight="true" outlineLevel="0" collapsed="false">
      <c r="A1704" s="45" t="s">
        <v>1659</v>
      </c>
      <c r="B1704" s="42" t="str">
        <f aca="false">IF(A1704="100","HK",IF(A1704="200","CN",IF(A1704="300","TW","홀세일")))</f>
        <v>HK</v>
      </c>
      <c r="C1704" s="45" t="s">
        <v>997</v>
      </c>
      <c r="D1704" s="46" t="n">
        <v>400</v>
      </c>
      <c r="E1704" s="46" t="n">
        <v>59000</v>
      </c>
      <c r="F1704" s="46" t="n">
        <v>10300</v>
      </c>
      <c r="G1704" s="42" t="n">
        <v>4.51</v>
      </c>
      <c r="H1704" s="42" t="n">
        <v>14.8</v>
      </c>
      <c r="J1704" s="46" t="n">
        <f aca="false">IF(N(E1704)&gt;0,E1704,IF(N(F1704)&gt;0,F1704*요약!$F$27,0))</f>
        <v>59000</v>
      </c>
      <c r="K1704" s="46" t="n">
        <f aca="false">IF(N(F1704)&gt;0,F1704,IF(N(E1704)&gt;0,E1704/요약!$F$27,0))</f>
        <v>10300</v>
      </c>
      <c r="L1704" s="46" t="n">
        <f aca="false">IF(B1704="CN",IF(N(I1704)&gt;0,I1704*요약!$G$27,K1704*(1+요약!$E$27)),IF(N(H1704)&gt;0,H1704*요약!$G$27,J1704*요약!$D$27))</f>
        <v>19536</v>
      </c>
      <c r="M1704" s="46" t="n">
        <f aca="false">D1704*J1704</f>
        <v>23600000</v>
      </c>
      <c r="N1704" s="46" t="n">
        <f aca="false">D1704*K1704</f>
        <v>4120000</v>
      </c>
      <c r="O1704" s="46" t="n">
        <f aca="false">D1704*L1704</f>
        <v>7814400</v>
      </c>
      <c r="P1704" s="42" t="str">
        <f aca="false">TRIM(IF(N(E1704)&lt;=0,"택가보정 ","")&amp;IF(N(F1704)&lt;=0,"원가보정 ","")&amp;IF(AND(B1704&lt;&gt;"CN",N(H1704)&lt;=0),"공급가보정 ","")&amp;IF(AND(B1704="CN",N(I1704)&lt;=0),"중국공급가=원가+마진 ",""))</f>
        <v/>
      </c>
      <c r="Q1704" s="47" t="n">
        <f aca="false">IF(SUMIFS($W:$W,$A:$A,A1704,$C:$C,C1704)=0,0,SUMIFS(RAW_판매펀칭!$K:$K,RAW_판매펀칭!$P:$P,A1704,RAW_판매펀칭!$I:$I,C1704)*W1704/SUMIFS($W:$W,$A:$A,A1704,$C:$C,C1704))</f>
        <v>400</v>
      </c>
      <c r="R1704" s="47" t="n">
        <f aca="false">IF(OR(A1704="500",A1704="800",A1704="810"),0,MAX(W1704-Q1704,0))</f>
        <v>0</v>
      </c>
      <c r="S1704" s="47" t="n">
        <f aca="false">R1704*L1704</f>
        <v>0</v>
      </c>
      <c r="T1704" s="47" t="n">
        <f aca="false">R1704*J1704</f>
        <v>0</v>
      </c>
      <c r="U1704" s="47" t="n">
        <f aca="false">R1704*K1704</f>
        <v>0</v>
      </c>
      <c r="V1704" s="0" t="str">
        <f aca="false">IF(COUNTIFS($A$2:A1704,A1704,$C$2:C1704,C1704,$D$2:D1704,D1704)&gt;1,"중복","")</f>
        <v/>
      </c>
      <c r="W1704" s="0" t="n">
        <f aca="false">IF(V1704="중복",0,N(D1704))</f>
        <v>400</v>
      </c>
      <c r="X1704" s="0" t="n">
        <f aca="false">IF(COUNTIFS($A$2:A1704,A1704,$C$2:C1704,C1704)=1,ABS(SUMIFS(RAW_발주!$D:$D,RAW_발주!$C:$C,A1704,RAW_발주!$A:$A,C1704)-SUMIFS($W:$W,$A:$A,A1704,$C:$C,C1704)),0)</f>
        <v>0</v>
      </c>
    </row>
    <row r="1705" customFormat="false" ht="15" hidden="false" customHeight="true" outlineLevel="0" collapsed="false">
      <c r="A1705" s="45" t="s">
        <v>1659</v>
      </c>
      <c r="B1705" s="42" t="str">
        <f aca="false">IF(A1705="100","HK",IF(A1705="200","CN",IF(A1705="300","TW","홀세일")))</f>
        <v>HK</v>
      </c>
      <c r="C1705" s="45" t="s">
        <v>999</v>
      </c>
      <c r="D1705" s="46" t="n">
        <v>400</v>
      </c>
      <c r="E1705" s="46" t="n">
        <v>59000</v>
      </c>
      <c r="F1705" s="46" t="n">
        <v>11500</v>
      </c>
      <c r="G1705" s="42" t="n">
        <v>4.75</v>
      </c>
      <c r="H1705" s="42" t="n">
        <v>14.8</v>
      </c>
      <c r="J1705" s="46" t="n">
        <f aca="false">IF(N(E1705)&gt;0,E1705,IF(N(F1705)&gt;0,F1705*요약!$F$27,0))</f>
        <v>59000</v>
      </c>
      <c r="K1705" s="46" t="n">
        <f aca="false">IF(N(F1705)&gt;0,F1705,IF(N(E1705)&gt;0,E1705/요약!$F$27,0))</f>
        <v>11500</v>
      </c>
      <c r="L1705" s="46" t="n">
        <f aca="false">IF(B1705="CN",IF(N(I1705)&gt;0,I1705*요약!$G$27,K1705*(1+요약!$E$27)),IF(N(H1705)&gt;0,H1705*요약!$G$27,J1705*요약!$D$27))</f>
        <v>19536</v>
      </c>
      <c r="M1705" s="46" t="n">
        <f aca="false">D1705*J1705</f>
        <v>23600000</v>
      </c>
      <c r="N1705" s="46" t="n">
        <f aca="false">D1705*K1705</f>
        <v>4600000</v>
      </c>
      <c r="O1705" s="46" t="n">
        <f aca="false">D1705*L1705</f>
        <v>7814400</v>
      </c>
      <c r="P1705" s="42" t="str">
        <f aca="false">TRIM(IF(N(E1705)&lt;=0,"택가보정 ","")&amp;IF(N(F1705)&lt;=0,"원가보정 ","")&amp;IF(AND(B1705&lt;&gt;"CN",N(H1705)&lt;=0),"공급가보정 ","")&amp;IF(AND(B1705="CN",N(I1705)&lt;=0),"중국공급가=원가+마진 ",""))</f>
        <v/>
      </c>
      <c r="Q1705" s="47" t="n">
        <f aca="false">IF(SUMIFS($W:$W,$A:$A,A1705,$C:$C,C1705)=0,0,SUMIFS(RAW_판매펀칭!$K:$K,RAW_판매펀칭!$P:$P,A1705,RAW_판매펀칭!$I:$I,C1705)*W1705/SUMIFS($W:$W,$A:$A,A1705,$C:$C,C1705))</f>
        <v>400</v>
      </c>
      <c r="R1705" s="47" t="n">
        <f aca="false">IF(OR(A1705="500",A1705="800",A1705="810"),0,MAX(W1705-Q1705,0))</f>
        <v>0</v>
      </c>
      <c r="S1705" s="47" t="n">
        <f aca="false">R1705*L1705</f>
        <v>0</v>
      </c>
      <c r="T1705" s="47" t="n">
        <f aca="false">R1705*J1705</f>
        <v>0</v>
      </c>
      <c r="U1705" s="47" t="n">
        <f aca="false">R1705*K1705</f>
        <v>0</v>
      </c>
      <c r="V1705" s="0" t="str">
        <f aca="false">IF(COUNTIFS($A$2:A1705,A1705,$C$2:C1705,C1705,$D$2:D1705,D1705)&gt;1,"중복","")</f>
        <v/>
      </c>
      <c r="W1705" s="0" t="n">
        <f aca="false">IF(V1705="중복",0,N(D1705))</f>
        <v>400</v>
      </c>
      <c r="X1705" s="0" t="n">
        <f aca="false">IF(COUNTIFS($A$2:A1705,A1705,$C$2:C1705,C1705)=1,ABS(SUMIFS(RAW_발주!$D:$D,RAW_발주!$C:$C,A1705,RAW_발주!$A:$A,C1705)-SUMIFS($W:$W,$A:$A,A1705,$C:$C,C1705)),0)</f>
        <v>0</v>
      </c>
    </row>
    <row r="1706" customFormat="false" ht="15" hidden="false" customHeight="true" outlineLevel="0" collapsed="false">
      <c r="A1706" s="45" t="s">
        <v>1659</v>
      </c>
      <c r="B1706" s="42" t="str">
        <f aca="false">IF(A1706="100","HK",IF(A1706="200","CN",IF(A1706="300","TW","홀세일")))</f>
        <v>HK</v>
      </c>
      <c r="C1706" s="45" t="s">
        <v>1001</v>
      </c>
      <c r="D1706" s="46" t="n">
        <v>400</v>
      </c>
      <c r="E1706" s="46" t="n">
        <v>59000</v>
      </c>
      <c r="F1706" s="46" t="n">
        <v>10300</v>
      </c>
      <c r="G1706" s="42" t="n">
        <v>4.75</v>
      </c>
      <c r="H1706" s="42" t="n">
        <v>14.8</v>
      </c>
      <c r="J1706" s="46" t="n">
        <f aca="false">IF(N(E1706)&gt;0,E1706,IF(N(F1706)&gt;0,F1706*요약!$F$27,0))</f>
        <v>59000</v>
      </c>
      <c r="K1706" s="46" t="n">
        <f aca="false">IF(N(F1706)&gt;0,F1706,IF(N(E1706)&gt;0,E1706/요약!$F$27,0))</f>
        <v>10300</v>
      </c>
      <c r="L1706" s="46" t="n">
        <f aca="false">IF(B1706="CN",IF(N(I1706)&gt;0,I1706*요약!$G$27,K1706*(1+요약!$E$27)),IF(N(H1706)&gt;0,H1706*요약!$G$27,J1706*요약!$D$27))</f>
        <v>19536</v>
      </c>
      <c r="M1706" s="46" t="n">
        <f aca="false">D1706*J1706</f>
        <v>23600000</v>
      </c>
      <c r="N1706" s="46" t="n">
        <f aca="false">D1706*K1706</f>
        <v>4120000</v>
      </c>
      <c r="O1706" s="46" t="n">
        <f aca="false">D1706*L1706</f>
        <v>7814400</v>
      </c>
      <c r="P1706" s="42" t="str">
        <f aca="false">TRIM(IF(N(E1706)&lt;=0,"택가보정 ","")&amp;IF(N(F1706)&lt;=0,"원가보정 ","")&amp;IF(AND(B1706&lt;&gt;"CN",N(H1706)&lt;=0),"공급가보정 ","")&amp;IF(AND(B1706="CN",N(I1706)&lt;=0),"중국공급가=원가+마진 ",""))</f>
        <v/>
      </c>
      <c r="Q1706" s="47" t="n">
        <f aca="false">IF(SUMIFS($W:$W,$A:$A,A1706,$C:$C,C1706)=0,0,SUMIFS(RAW_판매펀칭!$K:$K,RAW_판매펀칭!$P:$P,A1706,RAW_판매펀칭!$I:$I,C1706)*W1706/SUMIFS($W:$W,$A:$A,A1706,$C:$C,C1706))</f>
        <v>400</v>
      </c>
      <c r="R1706" s="47" t="n">
        <f aca="false">IF(OR(A1706="500",A1706="800",A1706="810"),0,MAX(W1706-Q1706,0))</f>
        <v>0</v>
      </c>
      <c r="S1706" s="47" t="n">
        <f aca="false">R1706*L1706</f>
        <v>0</v>
      </c>
      <c r="T1706" s="47" t="n">
        <f aca="false">R1706*J1706</f>
        <v>0</v>
      </c>
      <c r="U1706" s="47" t="n">
        <f aca="false">R1706*K1706</f>
        <v>0</v>
      </c>
      <c r="V1706" s="0" t="str">
        <f aca="false">IF(COUNTIFS($A$2:A1706,A1706,$C$2:C1706,C1706,$D$2:D1706,D1706)&gt;1,"중복","")</f>
        <v/>
      </c>
      <c r="W1706" s="0" t="n">
        <f aca="false">IF(V1706="중복",0,N(D1706))</f>
        <v>400</v>
      </c>
      <c r="X1706" s="0" t="n">
        <f aca="false">IF(COUNTIFS($A$2:A1706,A1706,$C$2:C1706,C1706)=1,ABS(SUMIFS(RAW_발주!$D:$D,RAW_발주!$C:$C,A1706,RAW_발주!$A:$A,C1706)-SUMIFS($W:$W,$A:$A,A1706,$C:$C,C1706)),0)</f>
        <v>0</v>
      </c>
    </row>
    <row r="1707" customFormat="false" ht="15" hidden="false" customHeight="true" outlineLevel="0" collapsed="false">
      <c r="A1707" s="45" t="s">
        <v>1659</v>
      </c>
      <c r="B1707" s="42" t="str">
        <f aca="false">IF(A1707="100","HK",IF(A1707="200","CN",IF(A1707="300","TW","홀세일")))</f>
        <v>HK</v>
      </c>
      <c r="C1707" s="45" t="s">
        <v>981</v>
      </c>
      <c r="D1707" s="46" t="n">
        <v>400</v>
      </c>
      <c r="E1707" s="46" t="n">
        <v>69000</v>
      </c>
      <c r="F1707" s="46" t="n">
        <v>10300</v>
      </c>
      <c r="G1707" s="42" t="n">
        <v>0</v>
      </c>
      <c r="H1707" s="42" t="n">
        <v>17.3</v>
      </c>
      <c r="J1707" s="46" t="n">
        <f aca="false">IF(N(E1707)&gt;0,E1707,IF(N(F1707)&gt;0,F1707*요약!$F$27,0))</f>
        <v>69000</v>
      </c>
      <c r="K1707" s="46" t="n">
        <f aca="false">IF(N(F1707)&gt;0,F1707,IF(N(E1707)&gt;0,E1707/요약!$F$27,0))</f>
        <v>10300</v>
      </c>
      <c r="L1707" s="46" t="n">
        <f aca="false">IF(B1707="CN",IF(N(I1707)&gt;0,I1707*요약!$G$27,K1707*(1+요약!$E$27)),IF(N(H1707)&gt;0,H1707*요약!$G$27,J1707*요약!$D$27))</f>
        <v>22836</v>
      </c>
      <c r="M1707" s="46" t="n">
        <f aca="false">D1707*J1707</f>
        <v>27600000</v>
      </c>
      <c r="N1707" s="46" t="n">
        <f aca="false">D1707*K1707</f>
        <v>4120000</v>
      </c>
      <c r="O1707" s="46" t="n">
        <f aca="false">D1707*L1707</f>
        <v>9134400</v>
      </c>
      <c r="P1707" s="42" t="str">
        <f aca="false">TRIM(IF(N(E1707)&lt;=0,"택가보정 ","")&amp;IF(N(F1707)&lt;=0,"원가보정 ","")&amp;IF(AND(B1707&lt;&gt;"CN",N(H1707)&lt;=0),"공급가보정 ","")&amp;IF(AND(B1707="CN",N(I1707)&lt;=0),"중국공급가=원가+마진 ",""))</f>
        <v/>
      </c>
      <c r="Q1707" s="47" t="n">
        <f aca="false">IF(SUMIFS($W:$W,$A:$A,A1707,$C:$C,C1707)=0,0,SUMIFS(RAW_판매펀칭!$K:$K,RAW_판매펀칭!$P:$P,A1707,RAW_판매펀칭!$I:$I,C1707)*W1707/SUMIFS($W:$W,$A:$A,A1707,$C:$C,C1707))</f>
        <v>400</v>
      </c>
      <c r="R1707" s="47" t="n">
        <f aca="false">IF(OR(A1707="500",A1707="800",A1707="810"),0,MAX(W1707-Q1707,0))</f>
        <v>0</v>
      </c>
      <c r="S1707" s="47" t="n">
        <f aca="false">R1707*L1707</f>
        <v>0</v>
      </c>
      <c r="T1707" s="47" t="n">
        <f aca="false">R1707*J1707</f>
        <v>0</v>
      </c>
      <c r="U1707" s="47" t="n">
        <f aca="false">R1707*K1707</f>
        <v>0</v>
      </c>
      <c r="V1707" s="0" t="str">
        <f aca="false">IF(COUNTIFS($A$2:A1707,A1707,$C$2:C1707,C1707,$D$2:D1707,D1707)&gt;1,"중복","")</f>
        <v/>
      </c>
      <c r="W1707" s="0" t="n">
        <f aca="false">IF(V1707="중복",0,N(D1707))</f>
        <v>400</v>
      </c>
      <c r="X1707" s="0" t="n">
        <f aca="false">IF(COUNTIFS($A$2:A1707,A1707,$C$2:C1707,C1707)=1,ABS(SUMIFS(RAW_발주!$D:$D,RAW_발주!$C:$C,A1707,RAW_발주!$A:$A,C1707)-SUMIFS($W:$W,$A:$A,A1707,$C:$C,C1707)),0)</f>
        <v>0</v>
      </c>
    </row>
    <row r="1708" customFormat="false" ht="15" hidden="false" customHeight="true" outlineLevel="0" collapsed="false">
      <c r="A1708" s="45" t="s">
        <v>1659</v>
      </c>
      <c r="B1708" s="42" t="str">
        <f aca="false">IF(A1708="100","HK",IF(A1708="200","CN",IF(A1708="300","TW","홀세일")))</f>
        <v>HK</v>
      </c>
      <c r="C1708" s="45" t="s">
        <v>983</v>
      </c>
      <c r="D1708" s="46" t="n">
        <v>400</v>
      </c>
      <c r="E1708" s="46" t="n">
        <v>69000</v>
      </c>
      <c r="F1708" s="46" t="n">
        <v>10300</v>
      </c>
      <c r="G1708" s="42" t="n">
        <v>0</v>
      </c>
      <c r="H1708" s="42" t="n">
        <v>17.3</v>
      </c>
      <c r="J1708" s="46" t="n">
        <f aca="false">IF(N(E1708)&gt;0,E1708,IF(N(F1708)&gt;0,F1708*요약!$F$27,0))</f>
        <v>69000</v>
      </c>
      <c r="K1708" s="46" t="n">
        <f aca="false">IF(N(F1708)&gt;0,F1708,IF(N(E1708)&gt;0,E1708/요약!$F$27,0))</f>
        <v>10300</v>
      </c>
      <c r="L1708" s="46" t="n">
        <f aca="false">IF(B1708="CN",IF(N(I1708)&gt;0,I1708*요약!$G$27,K1708*(1+요약!$E$27)),IF(N(H1708)&gt;0,H1708*요약!$G$27,J1708*요약!$D$27))</f>
        <v>22836</v>
      </c>
      <c r="M1708" s="46" t="n">
        <f aca="false">D1708*J1708</f>
        <v>27600000</v>
      </c>
      <c r="N1708" s="46" t="n">
        <f aca="false">D1708*K1708</f>
        <v>4120000</v>
      </c>
      <c r="O1708" s="46" t="n">
        <f aca="false">D1708*L1708</f>
        <v>9134400</v>
      </c>
      <c r="P1708" s="42" t="str">
        <f aca="false">TRIM(IF(N(E1708)&lt;=0,"택가보정 ","")&amp;IF(N(F1708)&lt;=0,"원가보정 ","")&amp;IF(AND(B1708&lt;&gt;"CN",N(H1708)&lt;=0),"공급가보정 ","")&amp;IF(AND(B1708="CN",N(I1708)&lt;=0),"중국공급가=원가+마진 ",""))</f>
        <v/>
      </c>
      <c r="Q1708" s="47" t="n">
        <f aca="false">IF(SUMIFS($W:$W,$A:$A,A1708,$C:$C,C1708)=0,0,SUMIFS(RAW_판매펀칭!$K:$K,RAW_판매펀칭!$P:$P,A1708,RAW_판매펀칭!$I:$I,C1708)*W1708/SUMIFS($W:$W,$A:$A,A1708,$C:$C,C1708))</f>
        <v>400</v>
      </c>
      <c r="R1708" s="47" t="n">
        <f aca="false">IF(OR(A1708="500",A1708="800",A1708="810"),0,MAX(W1708-Q1708,0))</f>
        <v>0</v>
      </c>
      <c r="S1708" s="47" t="n">
        <f aca="false">R1708*L1708</f>
        <v>0</v>
      </c>
      <c r="T1708" s="47" t="n">
        <f aca="false">R1708*J1708</f>
        <v>0</v>
      </c>
      <c r="U1708" s="47" t="n">
        <f aca="false">R1708*K1708</f>
        <v>0</v>
      </c>
      <c r="V1708" s="0" t="str">
        <f aca="false">IF(COUNTIFS($A$2:A1708,A1708,$C$2:C1708,C1708,$D$2:D1708,D1708)&gt;1,"중복","")</f>
        <v/>
      </c>
      <c r="W1708" s="0" t="n">
        <f aca="false">IF(V1708="중복",0,N(D1708))</f>
        <v>400</v>
      </c>
      <c r="X1708" s="0" t="n">
        <f aca="false">IF(COUNTIFS($A$2:A1708,A1708,$C$2:C1708,C1708)=1,ABS(SUMIFS(RAW_발주!$D:$D,RAW_발주!$C:$C,A1708,RAW_발주!$A:$A,C1708)-SUMIFS($W:$W,$A:$A,A1708,$C:$C,C1708)),0)</f>
        <v>0</v>
      </c>
    </row>
    <row r="1709" customFormat="false" ht="15" hidden="false" customHeight="true" outlineLevel="0" collapsed="false">
      <c r="A1709" s="45" t="s">
        <v>1659</v>
      </c>
      <c r="B1709" s="42" t="str">
        <f aca="false">IF(A1709="100","HK",IF(A1709="200","CN",IF(A1709="300","TW","홀세일")))</f>
        <v>HK</v>
      </c>
      <c r="C1709" s="45" t="s">
        <v>985</v>
      </c>
      <c r="D1709" s="46" t="n">
        <v>400</v>
      </c>
      <c r="E1709" s="46" t="n">
        <v>69000</v>
      </c>
      <c r="F1709" s="46" t="n">
        <v>10400</v>
      </c>
      <c r="G1709" s="42" t="n">
        <v>0</v>
      </c>
      <c r="H1709" s="42" t="n">
        <v>17.3</v>
      </c>
      <c r="J1709" s="46" t="n">
        <f aca="false">IF(N(E1709)&gt;0,E1709,IF(N(F1709)&gt;0,F1709*요약!$F$27,0))</f>
        <v>69000</v>
      </c>
      <c r="K1709" s="46" t="n">
        <f aca="false">IF(N(F1709)&gt;0,F1709,IF(N(E1709)&gt;0,E1709/요약!$F$27,0))</f>
        <v>10400</v>
      </c>
      <c r="L1709" s="46" t="n">
        <f aca="false">IF(B1709="CN",IF(N(I1709)&gt;0,I1709*요약!$G$27,K1709*(1+요약!$E$27)),IF(N(H1709)&gt;0,H1709*요약!$G$27,J1709*요약!$D$27))</f>
        <v>22836</v>
      </c>
      <c r="M1709" s="46" t="n">
        <f aca="false">D1709*J1709</f>
        <v>27600000</v>
      </c>
      <c r="N1709" s="46" t="n">
        <f aca="false">D1709*K1709</f>
        <v>4160000</v>
      </c>
      <c r="O1709" s="46" t="n">
        <f aca="false">D1709*L1709</f>
        <v>9134400</v>
      </c>
      <c r="P1709" s="42" t="str">
        <f aca="false">TRIM(IF(N(E1709)&lt;=0,"택가보정 ","")&amp;IF(N(F1709)&lt;=0,"원가보정 ","")&amp;IF(AND(B1709&lt;&gt;"CN",N(H1709)&lt;=0),"공급가보정 ","")&amp;IF(AND(B1709="CN",N(I1709)&lt;=0),"중국공급가=원가+마진 ",""))</f>
        <v/>
      </c>
      <c r="Q1709" s="47" t="n">
        <f aca="false">IF(SUMIFS($W:$W,$A:$A,A1709,$C:$C,C1709)=0,0,SUMIFS(RAW_판매펀칭!$K:$K,RAW_판매펀칭!$P:$P,A1709,RAW_판매펀칭!$I:$I,C1709)*W1709/SUMIFS($W:$W,$A:$A,A1709,$C:$C,C1709))</f>
        <v>400</v>
      </c>
      <c r="R1709" s="47" t="n">
        <f aca="false">IF(OR(A1709="500",A1709="800",A1709="810"),0,MAX(W1709-Q1709,0))</f>
        <v>0</v>
      </c>
      <c r="S1709" s="47" t="n">
        <f aca="false">R1709*L1709</f>
        <v>0</v>
      </c>
      <c r="T1709" s="47" t="n">
        <f aca="false">R1709*J1709</f>
        <v>0</v>
      </c>
      <c r="U1709" s="47" t="n">
        <f aca="false">R1709*K1709</f>
        <v>0</v>
      </c>
      <c r="V1709" s="0" t="str">
        <f aca="false">IF(COUNTIFS($A$2:A1709,A1709,$C$2:C1709,C1709,$D$2:D1709,D1709)&gt;1,"중복","")</f>
        <v/>
      </c>
      <c r="W1709" s="0" t="n">
        <f aca="false">IF(V1709="중복",0,N(D1709))</f>
        <v>400</v>
      </c>
      <c r="X1709" s="0" t="n">
        <f aca="false">IF(COUNTIFS($A$2:A1709,A1709,$C$2:C1709,C1709)=1,ABS(SUMIFS(RAW_발주!$D:$D,RAW_발주!$C:$C,A1709,RAW_발주!$A:$A,C1709)-SUMIFS($W:$W,$A:$A,A1709,$C:$C,C1709)),0)</f>
        <v>0</v>
      </c>
    </row>
    <row r="1710" customFormat="false" ht="15" hidden="false" customHeight="true" outlineLevel="0" collapsed="false">
      <c r="A1710" s="45" t="s">
        <v>1659</v>
      </c>
      <c r="B1710" s="42" t="str">
        <f aca="false">IF(A1710="100","HK",IF(A1710="200","CN",IF(A1710="300","TW","홀세일")))</f>
        <v>HK</v>
      </c>
      <c r="C1710" s="45" t="s">
        <v>987</v>
      </c>
      <c r="D1710" s="46" t="n">
        <v>400</v>
      </c>
      <c r="E1710" s="46" t="n">
        <v>69000</v>
      </c>
      <c r="F1710" s="46" t="n">
        <v>11000</v>
      </c>
      <c r="G1710" s="42" t="n">
        <v>0</v>
      </c>
      <c r="H1710" s="42" t="n">
        <v>17.3</v>
      </c>
      <c r="J1710" s="46" t="n">
        <f aca="false">IF(N(E1710)&gt;0,E1710,IF(N(F1710)&gt;0,F1710*요약!$F$27,0))</f>
        <v>69000</v>
      </c>
      <c r="K1710" s="46" t="n">
        <f aca="false">IF(N(F1710)&gt;0,F1710,IF(N(E1710)&gt;0,E1710/요약!$F$27,0))</f>
        <v>11000</v>
      </c>
      <c r="L1710" s="46" t="n">
        <f aca="false">IF(B1710="CN",IF(N(I1710)&gt;0,I1710*요약!$G$27,K1710*(1+요약!$E$27)),IF(N(H1710)&gt;0,H1710*요약!$G$27,J1710*요약!$D$27))</f>
        <v>22836</v>
      </c>
      <c r="M1710" s="46" t="n">
        <f aca="false">D1710*J1710</f>
        <v>27600000</v>
      </c>
      <c r="N1710" s="46" t="n">
        <f aca="false">D1710*K1710</f>
        <v>4400000</v>
      </c>
      <c r="O1710" s="46" t="n">
        <f aca="false">D1710*L1710</f>
        <v>9134400</v>
      </c>
      <c r="P1710" s="42" t="str">
        <f aca="false">TRIM(IF(N(E1710)&lt;=0,"택가보정 ","")&amp;IF(N(F1710)&lt;=0,"원가보정 ","")&amp;IF(AND(B1710&lt;&gt;"CN",N(H1710)&lt;=0),"공급가보정 ","")&amp;IF(AND(B1710="CN",N(I1710)&lt;=0),"중국공급가=원가+마진 ",""))</f>
        <v/>
      </c>
      <c r="Q1710" s="47" t="n">
        <f aca="false">IF(SUMIFS($W:$W,$A:$A,A1710,$C:$C,C1710)=0,0,SUMIFS(RAW_판매펀칭!$K:$K,RAW_판매펀칭!$P:$P,A1710,RAW_판매펀칭!$I:$I,C1710)*W1710/SUMIFS($W:$W,$A:$A,A1710,$C:$C,C1710))</f>
        <v>400</v>
      </c>
      <c r="R1710" s="47" t="n">
        <f aca="false">IF(OR(A1710="500",A1710="800",A1710="810"),0,MAX(W1710-Q1710,0))</f>
        <v>0</v>
      </c>
      <c r="S1710" s="47" t="n">
        <f aca="false">R1710*L1710</f>
        <v>0</v>
      </c>
      <c r="T1710" s="47" t="n">
        <f aca="false">R1710*J1710</f>
        <v>0</v>
      </c>
      <c r="U1710" s="47" t="n">
        <f aca="false">R1710*K1710</f>
        <v>0</v>
      </c>
      <c r="V1710" s="0" t="str">
        <f aca="false">IF(COUNTIFS($A$2:A1710,A1710,$C$2:C1710,C1710,$D$2:D1710,D1710)&gt;1,"중복","")</f>
        <v/>
      </c>
      <c r="W1710" s="0" t="n">
        <f aca="false">IF(V1710="중복",0,N(D1710))</f>
        <v>400</v>
      </c>
      <c r="X1710" s="0" t="n">
        <f aca="false">IF(COUNTIFS($A$2:A1710,A1710,$C$2:C1710,C1710)=1,ABS(SUMIFS(RAW_발주!$D:$D,RAW_발주!$C:$C,A1710,RAW_발주!$A:$A,C1710)-SUMIFS($W:$W,$A:$A,A1710,$C:$C,C1710)),0)</f>
        <v>0</v>
      </c>
    </row>
    <row r="1711" customFormat="false" ht="15" hidden="false" customHeight="true" outlineLevel="0" collapsed="false">
      <c r="A1711" s="45" t="s">
        <v>1659</v>
      </c>
      <c r="B1711" s="42" t="str">
        <f aca="false">IF(A1711="100","HK",IF(A1711="200","CN",IF(A1711="300","TW","홀세일")))</f>
        <v>HK</v>
      </c>
      <c r="C1711" s="45" t="s">
        <v>989</v>
      </c>
      <c r="D1711" s="46" t="n">
        <v>400</v>
      </c>
      <c r="E1711" s="46" t="n">
        <v>69000</v>
      </c>
      <c r="F1711" s="46" t="n">
        <v>14800</v>
      </c>
      <c r="G1711" s="42" t="n">
        <v>0</v>
      </c>
      <c r="H1711" s="42" t="n">
        <v>17.3</v>
      </c>
      <c r="J1711" s="46" t="n">
        <f aca="false">IF(N(E1711)&gt;0,E1711,IF(N(F1711)&gt;0,F1711*요약!$F$27,0))</f>
        <v>69000</v>
      </c>
      <c r="K1711" s="46" t="n">
        <f aca="false">IF(N(F1711)&gt;0,F1711,IF(N(E1711)&gt;0,E1711/요약!$F$27,0))</f>
        <v>14800</v>
      </c>
      <c r="L1711" s="46" t="n">
        <f aca="false">IF(B1711="CN",IF(N(I1711)&gt;0,I1711*요약!$G$27,K1711*(1+요약!$E$27)),IF(N(H1711)&gt;0,H1711*요약!$G$27,J1711*요약!$D$27))</f>
        <v>22836</v>
      </c>
      <c r="M1711" s="46" t="n">
        <f aca="false">D1711*J1711</f>
        <v>27600000</v>
      </c>
      <c r="N1711" s="46" t="n">
        <f aca="false">D1711*K1711</f>
        <v>5920000</v>
      </c>
      <c r="O1711" s="46" t="n">
        <f aca="false">D1711*L1711</f>
        <v>9134400</v>
      </c>
      <c r="P1711" s="42" t="str">
        <f aca="false">TRIM(IF(N(E1711)&lt;=0,"택가보정 ","")&amp;IF(N(F1711)&lt;=0,"원가보정 ","")&amp;IF(AND(B1711&lt;&gt;"CN",N(H1711)&lt;=0),"공급가보정 ","")&amp;IF(AND(B1711="CN",N(I1711)&lt;=0),"중국공급가=원가+마진 ",""))</f>
        <v/>
      </c>
      <c r="Q1711" s="47" t="n">
        <f aca="false">IF(SUMIFS($W:$W,$A:$A,A1711,$C:$C,C1711)=0,0,SUMIFS(RAW_판매펀칭!$K:$K,RAW_판매펀칭!$P:$P,A1711,RAW_판매펀칭!$I:$I,C1711)*W1711/SUMIFS($W:$W,$A:$A,A1711,$C:$C,C1711))</f>
        <v>400</v>
      </c>
      <c r="R1711" s="47" t="n">
        <f aca="false">IF(OR(A1711="500",A1711="800",A1711="810"),0,MAX(W1711-Q1711,0))</f>
        <v>0</v>
      </c>
      <c r="S1711" s="47" t="n">
        <f aca="false">R1711*L1711</f>
        <v>0</v>
      </c>
      <c r="T1711" s="47" t="n">
        <f aca="false">R1711*J1711</f>
        <v>0</v>
      </c>
      <c r="U1711" s="47" t="n">
        <f aca="false">R1711*K1711</f>
        <v>0</v>
      </c>
      <c r="V1711" s="0" t="str">
        <f aca="false">IF(COUNTIFS($A$2:A1711,A1711,$C$2:C1711,C1711,$D$2:D1711,D1711)&gt;1,"중복","")</f>
        <v/>
      </c>
      <c r="W1711" s="0" t="n">
        <f aca="false">IF(V1711="중복",0,N(D1711))</f>
        <v>400</v>
      </c>
      <c r="X1711" s="0" t="n">
        <f aca="false">IF(COUNTIFS($A$2:A1711,A1711,$C$2:C1711,C1711)=1,ABS(SUMIFS(RAW_발주!$D:$D,RAW_발주!$C:$C,A1711,RAW_발주!$A:$A,C1711)-SUMIFS($W:$W,$A:$A,A1711,$C:$C,C1711)),0)</f>
        <v>0</v>
      </c>
    </row>
    <row r="1712" customFormat="false" ht="15" hidden="false" customHeight="true" outlineLevel="0" collapsed="false">
      <c r="A1712" s="45" t="s">
        <v>1659</v>
      </c>
      <c r="B1712" s="42" t="str">
        <f aca="false">IF(A1712="100","HK",IF(A1712="200","CN",IF(A1712="300","TW","홀세일")))</f>
        <v>HK</v>
      </c>
      <c r="C1712" s="45" t="s">
        <v>991</v>
      </c>
      <c r="D1712" s="46" t="n">
        <v>400</v>
      </c>
      <c r="E1712" s="46" t="n">
        <v>69000</v>
      </c>
      <c r="F1712" s="46" t="n">
        <v>15000</v>
      </c>
      <c r="G1712" s="42" t="n">
        <v>0</v>
      </c>
      <c r="H1712" s="42" t="n">
        <v>17.3</v>
      </c>
      <c r="J1712" s="46" t="n">
        <f aca="false">IF(N(E1712)&gt;0,E1712,IF(N(F1712)&gt;0,F1712*요약!$F$27,0))</f>
        <v>69000</v>
      </c>
      <c r="K1712" s="46" t="n">
        <f aca="false">IF(N(F1712)&gt;0,F1712,IF(N(E1712)&gt;0,E1712/요약!$F$27,0))</f>
        <v>15000</v>
      </c>
      <c r="L1712" s="46" t="n">
        <f aca="false">IF(B1712="CN",IF(N(I1712)&gt;0,I1712*요약!$G$27,K1712*(1+요약!$E$27)),IF(N(H1712)&gt;0,H1712*요약!$G$27,J1712*요약!$D$27))</f>
        <v>22836</v>
      </c>
      <c r="M1712" s="46" t="n">
        <f aca="false">D1712*J1712</f>
        <v>27600000</v>
      </c>
      <c r="N1712" s="46" t="n">
        <f aca="false">D1712*K1712</f>
        <v>6000000</v>
      </c>
      <c r="O1712" s="46" t="n">
        <f aca="false">D1712*L1712</f>
        <v>9134400</v>
      </c>
      <c r="P1712" s="42" t="str">
        <f aca="false">TRIM(IF(N(E1712)&lt;=0,"택가보정 ","")&amp;IF(N(F1712)&lt;=0,"원가보정 ","")&amp;IF(AND(B1712&lt;&gt;"CN",N(H1712)&lt;=0),"공급가보정 ","")&amp;IF(AND(B1712="CN",N(I1712)&lt;=0),"중국공급가=원가+마진 ",""))</f>
        <v/>
      </c>
      <c r="Q1712" s="47" t="n">
        <f aca="false">IF(SUMIFS($W:$W,$A:$A,A1712,$C:$C,C1712)=0,0,SUMIFS(RAW_판매펀칭!$K:$K,RAW_판매펀칭!$P:$P,A1712,RAW_판매펀칭!$I:$I,C1712)*W1712/SUMIFS($W:$W,$A:$A,A1712,$C:$C,C1712))</f>
        <v>395</v>
      </c>
      <c r="R1712" s="47" t="n">
        <f aca="false">IF(OR(A1712="500",A1712="800",A1712="810"),0,MAX(W1712-Q1712,0))</f>
        <v>5</v>
      </c>
      <c r="S1712" s="47" t="n">
        <f aca="false">R1712*L1712</f>
        <v>114180</v>
      </c>
      <c r="T1712" s="47" t="n">
        <f aca="false">R1712*J1712</f>
        <v>345000</v>
      </c>
      <c r="U1712" s="47" t="n">
        <f aca="false">R1712*K1712</f>
        <v>75000</v>
      </c>
      <c r="V1712" s="0" t="str">
        <f aca="false">IF(COUNTIFS($A$2:A1712,A1712,$C$2:C1712,C1712,$D$2:D1712,D1712)&gt;1,"중복","")</f>
        <v/>
      </c>
      <c r="W1712" s="0" t="n">
        <f aca="false">IF(V1712="중복",0,N(D1712))</f>
        <v>400</v>
      </c>
      <c r="X1712" s="0" t="n">
        <f aca="false">IF(COUNTIFS($A$2:A1712,A1712,$C$2:C1712,C1712)=1,ABS(SUMIFS(RAW_발주!$D:$D,RAW_발주!$C:$C,A1712,RAW_발주!$A:$A,C1712)-SUMIFS($W:$W,$A:$A,A1712,$C:$C,C1712)),0)</f>
        <v>0</v>
      </c>
    </row>
    <row r="1713" customFormat="false" ht="15.75" hidden="false" customHeight="true" outlineLevel="0" collapsed="false">
      <c r="A1713" s="45" t="s">
        <v>1660</v>
      </c>
      <c r="B1713" s="42" t="str">
        <f aca="false">IF(A1713="100","HK",IF(A1713="200","CN",IF(A1713="300","TW","홀세일")))</f>
        <v>CN</v>
      </c>
      <c r="C1713" s="45" t="s">
        <v>1144</v>
      </c>
      <c r="D1713" s="46" t="n">
        <v>763</v>
      </c>
      <c r="E1713" s="46"/>
      <c r="F1713" s="46" t="n">
        <v>17205</v>
      </c>
      <c r="G1713" s="42" t="n">
        <v>0</v>
      </c>
      <c r="J1713" s="46" t="n">
        <f aca="false">IF(N(E1713)&gt;0,E1713,IF(N(F1713)&gt;0,F1713*요약!$F$27,0))</f>
        <v>68820</v>
      </c>
      <c r="K1713" s="46" t="n">
        <f aca="false">IF(N(F1713)&gt;0,F1713,IF(N(E1713)&gt;0,E1713/요약!$F$27,0))</f>
        <v>17205</v>
      </c>
      <c r="L1713" s="46" t="n">
        <f aca="false">IF(B1713="CN",IF(N(I1713)&gt;0,I1713*요약!$G$27,K1713*(1+요약!$E$27)),IF(N(H1713)&gt;0,H1713*요약!$G$27,J1713*요약!$D$27))</f>
        <v>18065.25</v>
      </c>
      <c r="M1713" s="46" t="n">
        <f aca="false">D1713*J1713</f>
        <v>52509660</v>
      </c>
      <c r="N1713" s="46" t="n">
        <f aca="false">D1713*K1713</f>
        <v>13127415</v>
      </c>
      <c r="O1713" s="46" t="n">
        <f aca="false">D1713*L1713</f>
        <v>13783785.75</v>
      </c>
      <c r="P1713" s="42" t="str">
        <f aca="false">TRIM(IF(N(E1713)&lt;=0,"택가보정 ","")&amp;IF(N(F1713)&lt;=0,"원가보정 ","")&amp;IF(AND(B1713&lt;&gt;"CN",N(H1713)&lt;=0),"공급가보정 ","")&amp;IF(AND(B1713="CN",N(I1713)&lt;=0),"중국공급가=원가+마진 ",""))</f>
        <v>택가보정 중국공급가=원가+마진</v>
      </c>
      <c r="Q1713" s="47" t="n">
        <f aca="false">IF(SUMIFS($W:$W,$A:$A,A1713,$C:$C,C1713)=0,0,SUMIFS(RAW_판매펀칭!$K:$K,RAW_판매펀칭!$P:$P,A1713,RAW_판매펀칭!$I:$I,C1713)*W1713/SUMIFS($W:$W,$A:$A,A1713,$C:$C,C1713))</f>
        <v>763</v>
      </c>
      <c r="R1713" s="47" t="n">
        <f aca="false">IF(OR(A1713="500",A1713="800",A1713="810"),0,MAX(W1713-Q1713,0))</f>
        <v>0</v>
      </c>
      <c r="S1713" s="47" t="n">
        <f aca="false">R1713*L1713</f>
        <v>0</v>
      </c>
      <c r="T1713" s="47" t="n">
        <f aca="false">R1713*J1713</f>
        <v>0</v>
      </c>
      <c r="U1713" s="47" t="n">
        <f aca="false">R1713*K1713</f>
        <v>0</v>
      </c>
      <c r="V1713" s="0" t="str">
        <f aca="false">IF(COUNTIFS($A$2:A1713,A1713,$C$2:C1713,C1713,$D$2:D1713,D1713)&gt;1,"중복","")</f>
        <v/>
      </c>
      <c r="W1713" s="0" t="n">
        <f aca="false">IF(V1713="중복",0,N(D1713))</f>
        <v>763</v>
      </c>
      <c r="X1713" s="0" t="n">
        <f aca="false">IF(COUNTIFS($A$2:A1713,A1713,$C$2:C1713,C1713)=1,ABS(SUMIFS(RAW_발주!$D:$D,RAW_발주!$C:$C,A1713,RAW_발주!$A:$A,C1713)-SUMIFS($W:$W,$A:$A,A1713,$C:$C,C1713)),0)</f>
        <v>0</v>
      </c>
    </row>
    <row r="1714" customFormat="false" ht="15.75" hidden="false" customHeight="true" outlineLevel="0" collapsed="false">
      <c r="A1714" s="45" t="s">
        <v>1660</v>
      </c>
      <c r="B1714" s="42" t="str">
        <f aca="false">IF(A1714="100","HK",IF(A1714="200","CN",IF(A1714="300","TW","홀세일")))</f>
        <v>CN</v>
      </c>
      <c r="C1714" s="45" t="s">
        <v>1146</v>
      </c>
      <c r="D1714" s="46" t="n">
        <v>552</v>
      </c>
      <c r="E1714" s="46"/>
      <c r="F1714" s="46" t="n">
        <v>13404</v>
      </c>
      <c r="G1714" s="42" t="n">
        <v>0</v>
      </c>
      <c r="J1714" s="46" t="n">
        <f aca="false">IF(N(E1714)&gt;0,E1714,IF(N(F1714)&gt;0,F1714*요약!$F$27,0))</f>
        <v>53616</v>
      </c>
      <c r="K1714" s="46" t="n">
        <f aca="false">IF(N(F1714)&gt;0,F1714,IF(N(E1714)&gt;0,E1714/요약!$F$27,0))</f>
        <v>13404</v>
      </c>
      <c r="L1714" s="46" t="n">
        <f aca="false">IF(B1714="CN",IF(N(I1714)&gt;0,I1714*요약!$G$27,K1714*(1+요약!$E$27)),IF(N(H1714)&gt;0,H1714*요약!$G$27,J1714*요약!$D$27))</f>
        <v>14074.2</v>
      </c>
      <c r="M1714" s="46" t="n">
        <f aca="false">D1714*J1714</f>
        <v>29596032</v>
      </c>
      <c r="N1714" s="46" t="n">
        <f aca="false">D1714*K1714</f>
        <v>7399008</v>
      </c>
      <c r="O1714" s="46" t="n">
        <f aca="false">D1714*L1714</f>
        <v>7768958.4</v>
      </c>
      <c r="P1714" s="42" t="str">
        <f aca="false">TRIM(IF(N(E1714)&lt;=0,"택가보정 ","")&amp;IF(N(F1714)&lt;=0,"원가보정 ","")&amp;IF(AND(B1714&lt;&gt;"CN",N(H1714)&lt;=0),"공급가보정 ","")&amp;IF(AND(B1714="CN",N(I1714)&lt;=0),"중국공급가=원가+마진 ",""))</f>
        <v>택가보정 중국공급가=원가+마진</v>
      </c>
      <c r="Q1714" s="47" t="n">
        <f aca="false">IF(SUMIFS($W:$W,$A:$A,A1714,$C:$C,C1714)=0,0,SUMIFS(RAW_판매펀칭!$K:$K,RAW_판매펀칭!$P:$P,A1714,RAW_판매펀칭!$I:$I,C1714)*W1714/SUMIFS($W:$W,$A:$A,A1714,$C:$C,C1714))</f>
        <v>552</v>
      </c>
      <c r="R1714" s="47" t="n">
        <f aca="false">IF(OR(A1714="500",A1714="800",A1714="810"),0,MAX(W1714-Q1714,0))</f>
        <v>0</v>
      </c>
      <c r="S1714" s="47" t="n">
        <f aca="false">R1714*L1714</f>
        <v>0</v>
      </c>
      <c r="T1714" s="47" t="n">
        <f aca="false">R1714*J1714</f>
        <v>0</v>
      </c>
      <c r="U1714" s="47" t="n">
        <f aca="false">R1714*K1714</f>
        <v>0</v>
      </c>
      <c r="V1714" s="0" t="str">
        <f aca="false">IF(COUNTIFS($A$2:A1714,A1714,$C$2:C1714,C1714,$D$2:D1714,D1714)&gt;1,"중복","")</f>
        <v/>
      </c>
      <c r="W1714" s="0" t="n">
        <f aca="false">IF(V1714="중복",0,N(D1714))</f>
        <v>552</v>
      </c>
      <c r="X1714" s="0" t="n">
        <f aca="false">IF(COUNTIFS($A$2:A1714,A1714,$C$2:C1714,C1714)=1,ABS(SUMIFS(RAW_발주!$D:$D,RAW_발주!$C:$C,A1714,RAW_발주!$A:$A,C1714)-SUMIFS($W:$W,$A:$A,A1714,$C:$C,C1714)),0)</f>
        <v>0</v>
      </c>
    </row>
    <row r="1715" customFormat="false" ht="15" hidden="false" customHeight="true" outlineLevel="0" collapsed="false">
      <c r="A1715" s="45" t="s">
        <v>1659</v>
      </c>
      <c r="B1715" s="42" t="str">
        <f aca="false">IF(A1715="100","HK",IF(A1715="200","CN",IF(A1715="300","TW","홀세일")))</f>
        <v>HK</v>
      </c>
      <c r="C1715" s="45" t="s">
        <v>674</v>
      </c>
      <c r="D1715" s="46" t="n">
        <v>70</v>
      </c>
      <c r="E1715" s="46" t="n">
        <v>32000</v>
      </c>
      <c r="F1715" s="46" t="n">
        <v>8300</v>
      </c>
      <c r="G1715" s="42" t="n">
        <v>3.34</v>
      </c>
      <c r="H1715" s="42" t="n">
        <v>8.1</v>
      </c>
      <c r="J1715" s="46" t="n">
        <f aca="false">IF(N(E1715)&gt;0,E1715,IF(N(F1715)&gt;0,F1715*요약!$F$27,0))</f>
        <v>32000</v>
      </c>
      <c r="K1715" s="46" t="n">
        <f aca="false">IF(N(F1715)&gt;0,F1715,IF(N(E1715)&gt;0,E1715/요약!$F$27,0))</f>
        <v>8300</v>
      </c>
      <c r="L1715" s="46" t="n">
        <f aca="false">IF(B1715="CN",IF(N(I1715)&gt;0,I1715*요약!$G$27,K1715*(1+요약!$E$27)),IF(N(H1715)&gt;0,H1715*요약!$G$27,J1715*요약!$D$27))</f>
        <v>10692</v>
      </c>
      <c r="M1715" s="46" t="n">
        <f aca="false">D1715*J1715</f>
        <v>2240000</v>
      </c>
      <c r="N1715" s="46" t="n">
        <f aca="false">D1715*K1715</f>
        <v>581000</v>
      </c>
      <c r="O1715" s="46" t="n">
        <f aca="false">D1715*L1715</f>
        <v>748440</v>
      </c>
      <c r="P1715" s="42" t="str">
        <f aca="false">TRIM(IF(N(E1715)&lt;=0,"택가보정 ","")&amp;IF(N(F1715)&lt;=0,"원가보정 ","")&amp;IF(AND(B1715&lt;&gt;"CN",N(H1715)&lt;=0),"공급가보정 ","")&amp;IF(AND(B1715="CN",N(I1715)&lt;=0),"중국공급가=원가+마진 ",""))</f>
        <v/>
      </c>
      <c r="Q1715" s="47" t="n">
        <f aca="false">IF(SUMIFS($W:$W,$A:$A,A1715,$C:$C,C1715)=0,0,SUMIFS(RAW_판매펀칭!$K:$K,RAW_판매펀칭!$P:$P,A1715,RAW_판매펀칭!$I:$I,C1715)*W1715/SUMIFS($W:$W,$A:$A,A1715,$C:$C,C1715))</f>
        <v>0</v>
      </c>
      <c r="R1715" s="47" t="n">
        <f aca="false">IF(OR(A1715="500",A1715="800",A1715="810"),0,MAX(W1715-Q1715,0))</f>
        <v>70</v>
      </c>
      <c r="S1715" s="47" t="n">
        <f aca="false">R1715*L1715</f>
        <v>748440</v>
      </c>
      <c r="T1715" s="47" t="n">
        <f aca="false">R1715*J1715</f>
        <v>2240000</v>
      </c>
      <c r="U1715" s="47" t="n">
        <f aca="false">R1715*K1715</f>
        <v>581000</v>
      </c>
      <c r="V1715" s="0" t="str">
        <f aca="false">IF(COUNTIFS($A$2:A1715,A1715,$C$2:C1715,C1715,$D$2:D1715,D1715)&gt;1,"중복","")</f>
        <v/>
      </c>
      <c r="W1715" s="0" t="n">
        <f aca="false">IF(V1715="중복",0,N(D1715))</f>
        <v>70</v>
      </c>
      <c r="X1715" s="0" t="n">
        <f aca="false">IF(COUNTIFS($A$2:A1715,A1715,$C$2:C1715,C1715)=1,ABS(SUMIFS(RAW_발주!$D:$D,RAW_발주!$C:$C,A1715,RAW_발주!$A:$A,C1715)-SUMIFS($W:$W,$A:$A,A1715,$C:$C,C1715)),0)</f>
        <v>0</v>
      </c>
    </row>
    <row r="1716" customFormat="false" ht="15" hidden="false" customHeight="true" outlineLevel="0" collapsed="false">
      <c r="A1716" s="45" t="s">
        <v>1661</v>
      </c>
      <c r="B1716" s="42" t="str">
        <f aca="false">IF(A1716="100","HK",IF(A1716="200","CN",IF(A1716="300","TW","홀세일")))</f>
        <v>TW</v>
      </c>
      <c r="C1716" s="45" t="s">
        <v>674</v>
      </c>
      <c r="D1716" s="46" t="n">
        <v>500</v>
      </c>
      <c r="E1716" s="46" t="n">
        <v>32000</v>
      </c>
      <c r="F1716" s="46" t="n">
        <v>8300</v>
      </c>
      <c r="G1716" s="42" t="n">
        <v>3.34</v>
      </c>
      <c r="H1716" s="42" t="n">
        <v>8.1</v>
      </c>
      <c r="J1716" s="46" t="n">
        <f aca="false">IF(N(E1716)&gt;0,E1716,IF(N(F1716)&gt;0,F1716*요약!$F$27,0))</f>
        <v>32000</v>
      </c>
      <c r="K1716" s="46" t="n">
        <f aca="false">IF(N(F1716)&gt;0,F1716,IF(N(E1716)&gt;0,E1716/요약!$F$27,0))</f>
        <v>8300</v>
      </c>
      <c r="L1716" s="46" t="n">
        <f aca="false">IF(B1716="CN",IF(N(I1716)&gt;0,I1716*요약!$G$27,K1716*(1+요약!$E$27)),IF(N(H1716)&gt;0,H1716*요약!$G$27,J1716*요약!$D$27))</f>
        <v>10692</v>
      </c>
      <c r="M1716" s="46" t="n">
        <f aca="false">D1716*J1716</f>
        <v>16000000</v>
      </c>
      <c r="N1716" s="46" t="n">
        <f aca="false">D1716*K1716</f>
        <v>4150000</v>
      </c>
      <c r="O1716" s="46" t="n">
        <f aca="false">D1716*L1716</f>
        <v>5346000</v>
      </c>
      <c r="P1716" s="42" t="str">
        <f aca="false">TRIM(IF(N(E1716)&lt;=0,"택가보정 ","")&amp;IF(N(F1716)&lt;=0,"원가보정 ","")&amp;IF(AND(B1716&lt;&gt;"CN",N(H1716)&lt;=0),"공급가보정 ","")&amp;IF(AND(B1716="CN",N(I1716)&lt;=0),"중국공급가=원가+마진 ",""))</f>
        <v/>
      </c>
      <c r="Q1716" s="47" t="n">
        <f aca="false">IF(SUMIFS($W:$W,$A:$A,A1716,$C:$C,C1716)=0,0,SUMIFS(RAW_판매펀칭!$K:$K,RAW_판매펀칭!$P:$P,A1716,RAW_판매펀칭!$I:$I,C1716)*W1716/SUMIFS($W:$W,$A:$A,A1716,$C:$C,C1716))</f>
        <v>500</v>
      </c>
      <c r="R1716" s="47" t="n">
        <f aca="false">IF(OR(A1716="500",A1716="800",A1716="810"),0,MAX(W1716-Q1716,0))</f>
        <v>0</v>
      </c>
      <c r="S1716" s="47" t="n">
        <f aca="false">R1716*L1716</f>
        <v>0</v>
      </c>
      <c r="T1716" s="47" t="n">
        <f aca="false">R1716*J1716</f>
        <v>0</v>
      </c>
      <c r="U1716" s="47" t="n">
        <f aca="false">R1716*K1716</f>
        <v>0</v>
      </c>
      <c r="V1716" s="0" t="str">
        <f aca="false">IF(COUNTIFS($A$2:A1716,A1716,$C$2:C1716,C1716,$D$2:D1716,D1716)&gt;1,"중복","")</f>
        <v/>
      </c>
      <c r="W1716" s="0" t="n">
        <f aca="false">IF(V1716="중복",0,N(D1716))</f>
        <v>500</v>
      </c>
      <c r="X1716" s="0" t="n">
        <f aca="false">IF(COUNTIFS($A$2:A1716,A1716,$C$2:C1716,C1716)=1,ABS(SUMIFS(RAW_발주!$D:$D,RAW_발주!$C:$C,A1716,RAW_발주!$A:$A,C1716)-SUMIFS($W:$W,$A:$A,A1716,$C:$C,C1716)),0)</f>
        <v>0</v>
      </c>
    </row>
    <row r="1717" customFormat="false" ht="15" hidden="false" customHeight="true" outlineLevel="0" collapsed="false">
      <c r="A1717" s="45" t="s">
        <v>1662</v>
      </c>
      <c r="B1717" s="42" t="str">
        <f aca="false">IF(A1717="100","HK",IF(A1717="200","CN",IF(A1717="300","TW","홀세일")))</f>
        <v>홀세일</v>
      </c>
      <c r="C1717" s="45" t="s">
        <v>674</v>
      </c>
      <c r="D1717" s="46" t="n">
        <v>430</v>
      </c>
      <c r="E1717" s="46" t="n">
        <v>32000</v>
      </c>
      <c r="F1717" s="46" t="n">
        <v>8300</v>
      </c>
      <c r="G1717" s="42" t="n">
        <v>3.34</v>
      </c>
      <c r="H1717" s="42" t="n">
        <v>8.1</v>
      </c>
      <c r="J1717" s="46" t="n">
        <f aca="false">IF(N(E1717)&gt;0,E1717,IF(N(F1717)&gt;0,F1717*요약!$F$27,0))</f>
        <v>32000</v>
      </c>
      <c r="K1717" s="46" t="n">
        <f aca="false">IF(N(F1717)&gt;0,F1717,IF(N(E1717)&gt;0,E1717/요약!$F$27,0))</f>
        <v>8300</v>
      </c>
      <c r="L1717" s="46" t="n">
        <f aca="false">IF(B1717="CN",IF(N(I1717)&gt;0,I1717*요약!$G$27,K1717*(1+요약!$E$27)),IF(N(H1717)&gt;0,H1717*요약!$G$27,J1717*요약!$D$27))</f>
        <v>10692</v>
      </c>
      <c r="M1717" s="46" t="n">
        <f aca="false">D1717*J1717</f>
        <v>13760000</v>
      </c>
      <c r="N1717" s="46" t="n">
        <f aca="false">D1717*K1717</f>
        <v>3569000</v>
      </c>
      <c r="O1717" s="46" t="n">
        <f aca="false">D1717*L1717</f>
        <v>4597560</v>
      </c>
      <c r="P1717" s="42" t="str">
        <f aca="false">TRIM(IF(N(E1717)&lt;=0,"택가보정 ","")&amp;IF(N(F1717)&lt;=0,"원가보정 ","")&amp;IF(AND(B1717&lt;&gt;"CN",N(H1717)&lt;=0),"공급가보정 ","")&amp;IF(AND(B1717="CN",N(I1717)&lt;=0),"중국공급가=원가+마진 ",""))</f>
        <v/>
      </c>
      <c r="Q1717" s="47" t="n">
        <f aca="false">IF(SUMIFS($W:$W,$A:$A,A1717,$C:$C,C1717)=0,0,SUMIFS(RAW_판매펀칭!$K:$K,RAW_판매펀칭!$P:$P,A1717,RAW_판매펀칭!$I:$I,C1717)*W1717/SUMIFS($W:$W,$A:$A,A1717,$C:$C,C1717))</f>
        <v>0</v>
      </c>
      <c r="R1717" s="47" t="n">
        <f aca="false">IF(OR(A1717="500",A1717="800",A1717="810"),0,MAX(W1717-Q1717,0))</f>
        <v>0</v>
      </c>
      <c r="S1717" s="47" t="n">
        <f aca="false">R1717*L1717</f>
        <v>0</v>
      </c>
      <c r="T1717" s="47" t="n">
        <f aca="false">R1717*J1717</f>
        <v>0</v>
      </c>
      <c r="U1717" s="47" t="n">
        <f aca="false">R1717*K1717</f>
        <v>0</v>
      </c>
      <c r="V1717" s="0" t="str">
        <f aca="false">IF(COUNTIFS($A$2:A1717,A1717,$C$2:C1717,C1717,$D$2:D1717,D1717)&gt;1,"중복","")</f>
        <v/>
      </c>
      <c r="W1717" s="0" t="n">
        <f aca="false">IF(V1717="중복",0,N(D1717))</f>
        <v>430</v>
      </c>
      <c r="X1717" s="0" t="n">
        <f aca="false">IF(COUNTIFS($A$2:A1717,A1717,$C$2:C1717,C1717)=1,ABS(SUMIFS(RAW_발주!$D:$D,RAW_발주!$C:$C,A1717,RAW_발주!$A:$A,C1717)-SUMIFS($W:$W,$A:$A,A1717,$C:$C,C1717)),0)</f>
        <v>0</v>
      </c>
    </row>
    <row r="1718" customFormat="false" ht="15" hidden="false" customHeight="true" outlineLevel="0" collapsed="false">
      <c r="A1718" s="45" t="s">
        <v>1664</v>
      </c>
      <c r="B1718" s="42" t="str">
        <f aca="false">IF(A1718="100","HK",IF(A1718="200","CN",IF(A1718="300","TW","홀세일")))</f>
        <v>홀세일</v>
      </c>
      <c r="C1718" s="45" t="s">
        <v>674</v>
      </c>
      <c r="D1718" s="46" t="n">
        <v>210</v>
      </c>
      <c r="E1718" s="46" t="n">
        <v>32000</v>
      </c>
      <c r="F1718" s="46" t="n">
        <v>8300</v>
      </c>
      <c r="G1718" s="42" t="n">
        <v>3.34</v>
      </c>
      <c r="H1718" s="42" t="n">
        <v>8.1</v>
      </c>
      <c r="J1718" s="46" t="n">
        <f aca="false">IF(N(E1718)&gt;0,E1718,IF(N(F1718)&gt;0,F1718*요약!$F$27,0))</f>
        <v>32000</v>
      </c>
      <c r="K1718" s="46" t="n">
        <f aca="false">IF(N(F1718)&gt;0,F1718,IF(N(E1718)&gt;0,E1718/요약!$F$27,0))</f>
        <v>8300</v>
      </c>
      <c r="L1718" s="46" t="n">
        <f aca="false">IF(B1718="CN",IF(N(I1718)&gt;0,I1718*요약!$G$27,K1718*(1+요약!$E$27)),IF(N(H1718)&gt;0,H1718*요약!$G$27,J1718*요약!$D$27))</f>
        <v>10692</v>
      </c>
      <c r="M1718" s="46" t="n">
        <f aca="false">D1718*J1718</f>
        <v>6720000</v>
      </c>
      <c r="N1718" s="46" t="n">
        <f aca="false">D1718*K1718</f>
        <v>1743000</v>
      </c>
      <c r="O1718" s="46" t="n">
        <f aca="false">D1718*L1718</f>
        <v>2245320</v>
      </c>
      <c r="P1718" s="42" t="str">
        <f aca="false">TRIM(IF(N(E1718)&lt;=0,"택가보정 ","")&amp;IF(N(F1718)&lt;=0,"원가보정 ","")&amp;IF(AND(B1718&lt;&gt;"CN",N(H1718)&lt;=0),"공급가보정 ","")&amp;IF(AND(B1718="CN",N(I1718)&lt;=0),"중국공급가=원가+마진 ",""))</f>
        <v/>
      </c>
      <c r="Q1718" s="47" t="n">
        <f aca="false">IF(SUMIFS($W:$W,$A:$A,A1718,$C:$C,C1718)=0,0,SUMIFS(RAW_판매펀칭!$K:$K,RAW_판매펀칭!$P:$P,A1718,RAW_판매펀칭!$I:$I,C1718)*W1718/SUMIFS($W:$W,$A:$A,A1718,$C:$C,C1718))</f>
        <v>0</v>
      </c>
      <c r="R1718" s="47" t="n">
        <f aca="false">IF(OR(A1718="500",A1718="800",A1718="810"),0,MAX(W1718-Q1718,0))</f>
        <v>0</v>
      </c>
      <c r="S1718" s="47" t="n">
        <f aca="false">R1718*L1718</f>
        <v>0</v>
      </c>
      <c r="T1718" s="47" t="n">
        <f aca="false">R1718*J1718</f>
        <v>0</v>
      </c>
      <c r="U1718" s="47" t="n">
        <f aca="false">R1718*K1718</f>
        <v>0</v>
      </c>
      <c r="V1718" s="0" t="str">
        <f aca="false">IF(COUNTIFS($A$2:A1718,A1718,$C$2:C1718,C1718,$D$2:D1718,D1718)&gt;1,"중복","")</f>
        <v/>
      </c>
      <c r="W1718" s="0" t="n">
        <f aca="false">IF(V1718="중복",0,N(D1718))</f>
        <v>210</v>
      </c>
      <c r="X1718" s="0" t="n">
        <f aca="false">IF(COUNTIFS($A$2:A1718,A1718,$C$2:C1718,C1718)=1,ABS(SUMIFS(RAW_발주!$D:$D,RAW_발주!$C:$C,A1718,RAW_발주!$A:$A,C1718)-SUMIFS($W:$W,$A:$A,A1718,$C:$C,C1718)),0)</f>
        <v>0</v>
      </c>
    </row>
    <row r="1719" customFormat="false" ht="15" hidden="false" customHeight="true" outlineLevel="0" collapsed="false">
      <c r="A1719" s="45" t="s">
        <v>1665</v>
      </c>
      <c r="B1719" s="42" t="str">
        <f aca="false">IF(A1719="100","HK",IF(A1719="200","CN",IF(A1719="300","TW","홀세일")))</f>
        <v>홀세일</v>
      </c>
      <c r="C1719" s="45" t="s">
        <v>674</v>
      </c>
      <c r="D1719" s="46" t="n">
        <v>204</v>
      </c>
      <c r="E1719" s="46" t="n">
        <v>32000</v>
      </c>
      <c r="F1719" s="46" t="n">
        <v>8300</v>
      </c>
      <c r="G1719" s="42" t="n">
        <v>3.34</v>
      </c>
      <c r="H1719" s="42" t="n">
        <v>8.1</v>
      </c>
      <c r="J1719" s="46" t="n">
        <f aca="false">IF(N(E1719)&gt;0,E1719,IF(N(F1719)&gt;0,F1719*요약!$F$27,0))</f>
        <v>32000</v>
      </c>
      <c r="K1719" s="46" t="n">
        <f aca="false">IF(N(F1719)&gt;0,F1719,IF(N(E1719)&gt;0,E1719/요약!$F$27,0))</f>
        <v>8300</v>
      </c>
      <c r="L1719" s="46" t="n">
        <f aca="false">IF(B1719="CN",IF(N(I1719)&gt;0,I1719*요약!$G$27,K1719*(1+요약!$E$27)),IF(N(H1719)&gt;0,H1719*요약!$G$27,J1719*요약!$D$27))</f>
        <v>10692</v>
      </c>
      <c r="M1719" s="46" t="n">
        <f aca="false">D1719*J1719</f>
        <v>6528000</v>
      </c>
      <c r="N1719" s="46" t="n">
        <f aca="false">D1719*K1719</f>
        <v>1693200</v>
      </c>
      <c r="O1719" s="46" t="n">
        <f aca="false">D1719*L1719</f>
        <v>2181168</v>
      </c>
      <c r="P1719" s="42" t="str">
        <f aca="false">TRIM(IF(N(E1719)&lt;=0,"택가보정 ","")&amp;IF(N(F1719)&lt;=0,"원가보정 ","")&amp;IF(AND(B1719&lt;&gt;"CN",N(H1719)&lt;=0),"공급가보정 ","")&amp;IF(AND(B1719="CN",N(I1719)&lt;=0),"중국공급가=원가+마진 ",""))</f>
        <v/>
      </c>
      <c r="Q1719" s="47" t="n">
        <f aca="false">IF(SUMIFS($W:$W,$A:$A,A1719,$C:$C,C1719)=0,0,SUMIFS(RAW_판매펀칭!$K:$K,RAW_판매펀칭!$P:$P,A1719,RAW_판매펀칭!$I:$I,C1719)*W1719/SUMIFS($W:$W,$A:$A,A1719,$C:$C,C1719))</f>
        <v>0</v>
      </c>
      <c r="R1719" s="47" t="n">
        <f aca="false">IF(OR(A1719="500",A1719="800",A1719="810"),0,MAX(W1719-Q1719,0))</f>
        <v>0</v>
      </c>
      <c r="S1719" s="47" t="n">
        <f aca="false">R1719*L1719</f>
        <v>0</v>
      </c>
      <c r="T1719" s="47" t="n">
        <f aca="false">R1719*J1719</f>
        <v>0</v>
      </c>
      <c r="U1719" s="47" t="n">
        <f aca="false">R1719*K1719</f>
        <v>0</v>
      </c>
      <c r="V1719" s="0" t="str">
        <f aca="false">IF(COUNTIFS($A$2:A1719,A1719,$C$2:C1719,C1719,$D$2:D1719,D1719)&gt;1,"중복","")</f>
        <v/>
      </c>
      <c r="W1719" s="0" t="n">
        <f aca="false">IF(V1719="중복",0,N(D1719))</f>
        <v>204</v>
      </c>
      <c r="X1719" s="0" t="n">
        <f aca="false">IF(COUNTIFS($A$2:A1719,A1719,$C$2:C1719,C1719)=1,ABS(SUMIFS(RAW_발주!$D:$D,RAW_발주!$C:$C,A1719,RAW_발주!$A:$A,C1719)-SUMIFS($W:$W,$A:$A,A1719,$C:$C,C1719)),0)</f>
        <v>0</v>
      </c>
    </row>
    <row r="1720" customFormat="false" ht="15" hidden="false" customHeight="true" outlineLevel="0" collapsed="false">
      <c r="A1720" s="45" t="s">
        <v>1666</v>
      </c>
      <c r="B1720" s="42" t="str">
        <f aca="false">IF(A1720="100","HK",IF(A1720="200","CN",IF(A1720="300","TW","홀세일")))</f>
        <v>홀세일</v>
      </c>
      <c r="C1720" s="45" t="s">
        <v>674</v>
      </c>
      <c r="D1720" s="46" t="n">
        <v>2000</v>
      </c>
      <c r="E1720" s="46" t="n">
        <v>32000</v>
      </c>
      <c r="F1720" s="46" t="n">
        <v>8300</v>
      </c>
      <c r="G1720" s="42" t="n">
        <v>3.34</v>
      </c>
      <c r="H1720" s="42" t="n">
        <v>8.1</v>
      </c>
      <c r="J1720" s="46" t="n">
        <f aca="false">IF(N(E1720)&gt;0,E1720,IF(N(F1720)&gt;0,F1720*요약!$F$27,0))</f>
        <v>32000</v>
      </c>
      <c r="K1720" s="46" t="n">
        <f aca="false">IF(N(F1720)&gt;0,F1720,IF(N(E1720)&gt;0,E1720/요약!$F$27,0))</f>
        <v>8300</v>
      </c>
      <c r="L1720" s="46" t="n">
        <f aca="false">IF(B1720="CN",IF(N(I1720)&gt;0,I1720*요약!$G$27,K1720*(1+요약!$E$27)),IF(N(H1720)&gt;0,H1720*요약!$G$27,J1720*요약!$D$27))</f>
        <v>10692</v>
      </c>
      <c r="M1720" s="46" t="n">
        <f aca="false">D1720*J1720</f>
        <v>64000000</v>
      </c>
      <c r="N1720" s="46" t="n">
        <f aca="false">D1720*K1720</f>
        <v>16600000</v>
      </c>
      <c r="O1720" s="46" t="n">
        <f aca="false">D1720*L1720</f>
        <v>21384000</v>
      </c>
      <c r="P1720" s="42" t="str">
        <f aca="false">TRIM(IF(N(E1720)&lt;=0,"택가보정 ","")&amp;IF(N(F1720)&lt;=0,"원가보정 ","")&amp;IF(AND(B1720&lt;&gt;"CN",N(H1720)&lt;=0),"공급가보정 ","")&amp;IF(AND(B1720="CN",N(I1720)&lt;=0),"중국공급가=원가+마진 ",""))</f>
        <v/>
      </c>
      <c r="Q1720" s="47" t="n">
        <f aca="false">IF(SUMIFS($W:$W,$A:$A,A1720,$C:$C,C1720)=0,0,SUMIFS(RAW_판매펀칭!$K:$K,RAW_판매펀칭!$P:$P,A1720,RAW_판매펀칭!$I:$I,C1720)*W1720/SUMIFS($W:$W,$A:$A,A1720,$C:$C,C1720))</f>
        <v>1994</v>
      </c>
      <c r="R1720" s="47" t="n">
        <f aca="false">IF(OR(A1720="500",A1720="800",A1720="810"),0,MAX(W1720-Q1720,0))</f>
        <v>6</v>
      </c>
      <c r="S1720" s="47" t="n">
        <f aca="false">R1720*L1720</f>
        <v>64152</v>
      </c>
      <c r="T1720" s="47" t="n">
        <f aca="false">R1720*J1720</f>
        <v>192000</v>
      </c>
      <c r="U1720" s="47" t="n">
        <f aca="false">R1720*K1720</f>
        <v>49800</v>
      </c>
      <c r="V1720" s="0" t="str">
        <f aca="false">IF(COUNTIFS($A$2:A1720,A1720,$C$2:C1720,C1720,$D$2:D1720,D1720)&gt;1,"중복","")</f>
        <v/>
      </c>
      <c r="W1720" s="0" t="n">
        <f aca="false">IF(V1720="중복",0,N(D1720))</f>
        <v>2000</v>
      </c>
      <c r="X1720" s="0" t="n">
        <f aca="false">IF(COUNTIFS($A$2:A1720,A1720,$C$2:C1720,C1720)=1,ABS(SUMIFS(RAW_발주!$D:$D,RAW_발주!$C:$C,A1720,RAW_발주!$A:$A,C1720)-SUMIFS($W:$W,$A:$A,A1720,$C:$C,C1720)),0)</f>
        <v>0</v>
      </c>
    </row>
    <row r="1721" customFormat="false" ht="15" hidden="false" customHeight="true" outlineLevel="0" collapsed="false">
      <c r="A1721" s="45" t="s">
        <v>1662</v>
      </c>
      <c r="B1721" s="42" t="str">
        <f aca="false">IF(A1721="100","HK",IF(A1721="200","CN",IF(A1721="300","TW","홀세일")))</f>
        <v>홀세일</v>
      </c>
      <c r="C1721" s="45" t="s">
        <v>1602</v>
      </c>
      <c r="D1721" s="46" t="n">
        <v>400</v>
      </c>
      <c r="E1721" s="46" t="n">
        <v>34000</v>
      </c>
      <c r="F1721" s="46" t="n">
        <v>9500</v>
      </c>
      <c r="G1721" s="42" t="n">
        <v>3.12</v>
      </c>
      <c r="H1721" s="42" t="n">
        <v>8.6</v>
      </c>
      <c r="J1721" s="46" t="n">
        <f aca="false">IF(N(E1721)&gt;0,E1721,IF(N(F1721)&gt;0,F1721*요약!$F$27,0))</f>
        <v>34000</v>
      </c>
      <c r="K1721" s="46" t="n">
        <f aca="false">IF(N(F1721)&gt;0,F1721,IF(N(E1721)&gt;0,E1721/요약!$F$27,0))</f>
        <v>9500</v>
      </c>
      <c r="L1721" s="46" t="n">
        <f aca="false">IF(B1721="CN",IF(N(I1721)&gt;0,I1721*요약!$G$27,K1721*(1+요약!$E$27)),IF(N(H1721)&gt;0,H1721*요약!$G$27,J1721*요약!$D$27))</f>
        <v>11352</v>
      </c>
      <c r="M1721" s="46" t="n">
        <f aca="false">D1721*J1721</f>
        <v>13600000</v>
      </c>
      <c r="N1721" s="46" t="n">
        <f aca="false">D1721*K1721</f>
        <v>3800000</v>
      </c>
      <c r="O1721" s="46" t="n">
        <f aca="false">D1721*L1721</f>
        <v>4540800</v>
      </c>
      <c r="P1721" s="42" t="str">
        <f aca="false">TRIM(IF(N(E1721)&lt;=0,"택가보정 ","")&amp;IF(N(F1721)&lt;=0,"원가보정 ","")&amp;IF(AND(B1721&lt;&gt;"CN",N(H1721)&lt;=0),"공급가보정 ","")&amp;IF(AND(B1721="CN",N(I1721)&lt;=0),"중국공급가=원가+마진 ",""))</f>
        <v/>
      </c>
      <c r="Q1721" s="47" t="n">
        <f aca="false">IF(SUMIFS($W:$W,$A:$A,A1721,$C:$C,C1721)=0,0,SUMIFS(RAW_판매펀칭!$K:$K,RAW_판매펀칭!$P:$P,A1721,RAW_판매펀칭!$I:$I,C1721)*W1721/SUMIFS($W:$W,$A:$A,A1721,$C:$C,C1721))</f>
        <v>0</v>
      </c>
      <c r="R1721" s="47" t="n">
        <f aca="false">IF(OR(A1721="500",A1721="800",A1721="810"),0,MAX(W1721-Q1721,0))</f>
        <v>0</v>
      </c>
      <c r="S1721" s="47" t="n">
        <f aca="false">R1721*L1721</f>
        <v>0</v>
      </c>
      <c r="T1721" s="47" t="n">
        <f aca="false">R1721*J1721</f>
        <v>0</v>
      </c>
      <c r="U1721" s="47" t="n">
        <f aca="false">R1721*K1721</f>
        <v>0</v>
      </c>
      <c r="V1721" s="0" t="str">
        <f aca="false">IF(COUNTIFS($A$2:A1721,A1721,$C$2:C1721,C1721,$D$2:D1721,D1721)&gt;1,"중복","")</f>
        <v/>
      </c>
      <c r="W1721" s="0" t="n">
        <f aca="false">IF(V1721="중복",0,N(D1721))</f>
        <v>400</v>
      </c>
      <c r="X1721" s="0" t="n">
        <f aca="false">IF(COUNTIFS($A$2:A1721,A1721,$C$2:C1721,C1721)=1,ABS(SUMIFS(RAW_발주!$D:$D,RAW_발주!$C:$C,A1721,RAW_발주!$A:$A,C1721)-SUMIFS($W:$W,$A:$A,A1721,$C:$C,C1721)),0)</f>
        <v>0</v>
      </c>
    </row>
    <row r="1722" customFormat="false" ht="15" hidden="false" customHeight="true" outlineLevel="0" collapsed="false">
      <c r="A1722" s="45" t="s">
        <v>1665</v>
      </c>
      <c r="B1722" s="42" t="str">
        <f aca="false">IF(A1722="100","HK",IF(A1722="200","CN",IF(A1722="300","TW","홀세일")))</f>
        <v>홀세일</v>
      </c>
      <c r="C1722" s="45" t="s">
        <v>1602</v>
      </c>
      <c r="D1722" s="46" t="n">
        <v>216</v>
      </c>
      <c r="E1722" s="46" t="n">
        <v>34000</v>
      </c>
      <c r="F1722" s="46" t="n">
        <v>9500</v>
      </c>
      <c r="G1722" s="42" t="n">
        <v>3.12</v>
      </c>
      <c r="H1722" s="42" t="n">
        <v>8.6</v>
      </c>
      <c r="J1722" s="46" t="n">
        <f aca="false">IF(N(E1722)&gt;0,E1722,IF(N(F1722)&gt;0,F1722*요약!$F$27,0))</f>
        <v>34000</v>
      </c>
      <c r="K1722" s="46" t="n">
        <f aca="false">IF(N(F1722)&gt;0,F1722,IF(N(E1722)&gt;0,E1722/요약!$F$27,0))</f>
        <v>9500</v>
      </c>
      <c r="L1722" s="46" t="n">
        <f aca="false">IF(B1722="CN",IF(N(I1722)&gt;0,I1722*요약!$G$27,K1722*(1+요약!$E$27)),IF(N(H1722)&gt;0,H1722*요약!$G$27,J1722*요약!$D$27))</f>
        <v>11352</v>
      </c>
      <c r="M1722" s="46" t="n">
        <f aca="false">D1722*J1722</f>
        <v>7344000</v>
      </c>
      <c r="N1722" s="46" t="n">
        <f aca="false">D1722*K1722</f>
        <v>2052000</v>
      </c>
      <c r="O1722" s="46" t="n">
        <f aca="false">D1722*L1722</f>
        <v>2452032</v>
      </c>
      <c r="P1722" s="42" t="str">
        <f aca="false">TRIM(IF(N(E1722)&lt;=0,"택가보정 ","")&amp;IF(N(F1722)&lt;=0,"원가보정 ","")&amp;IF(AND(B1722&lt;&gt;"CN",N(H1722)&lt;=0),"공급가보정 ","")&amp;IF(AND(B1722="CN",N(I1722)&lt;=0),"중국공급가=원가+마진 ",""))</f>
        <v/>
      </c>
      <c r="Q1722" s="47" t="n">
        <f aca="false">IF(SUMIFS($W:$W,$A:$A,A1722,$C:$C,C1722)=0,0,SUMIFS(RAW_판매펀칭!$K:$K,RAW_판매펀칭!$P:$P,A1722,RAW_판매펀칭!$I:$I,C1722)*W1722/SUMIFS($W:$W,$A:$A,A1722,$C:$C,C1722))</f>
        <v>0</v>
      </c>
      <c r="R1722" s="47" t="n">
        <f aca="false">IF(OR(A1722="500",A1722="800",A1722="810"),0,MAX(W1722-Q1722,0))</f>
        <v>0</v>
      </c>
      <c r="S1722" s="47" t="n">
        <f aca="false">R1722*L1722</f>
        <v>0</v>
      </c>
      <c r="T1722" s="47" t="n">
        <f aca="false">R1722*J1722</f>
        <v>0</v>
      </c>
      <c r="U1722" s="47" t="n">
        <f aca="false">R1722*K1722</f>
        <v>0</v>
      </c>
      <c r="V1722" s="0" t="str">
        <f aca="false">IF(COUNTIFS($A$2:A1722,A1722,$C$2:C1722,C1722,$D$2:D1722,D1722)&gt;1,"중복","")</f>
        <v/>
      </c>
      <c r="W1722" s="0" t="n">
        <f aca="false">IF(V1722="중복",0,N(D1722))</f>
        <v>216</v>
      </c>
      <c r="X1722" s="0" t="n">
        <f aca="false">IF(COUNTIFS($A$2:A1722,A1722,$C$2:C1722,C1722)=1,ABS(SUMIFS(RAW_발주!$D:$D,RAW_발주!$C:$C,A1722,RAW_발주!$A:$A,C1722)-SUMIFS($W:$W,$A:$A,A1722,$C:$C,C1722)),0)</f>
        <v>0</v>
      </c>
    </row>
    <row r="1723" customFormat="false" ht="15" hidden="false" customHeight="true" outlineLevel="0" collapsed="false">
      <c r="A1723" s="45" t="s">
        <v>1666</v>
      </c>
      <c r="B1723" s="42" t="str">
        <f aca="false">IF(A1723="100","HK",IF(A1723="200","CN",IF(A1723="300","TW","홀세일")))</f>
        <v>홀세일</v>
      </c>
      <c r="C1723" s="45" t="s">
        <v>1602</v>
      </c>
      <c r="D1723" s="46" t="n">
        <v>1000</v>
      </c>
      <c r="E1723" s="46" t="n">
        <v>34000</v>
      </c>
      <c r="F1723" s="46" t="n">
        <v>9500</v>
      </c>
      <c r="G1723" s="42" t="n">
        <v>3.12</v>
      </c>
      <c r="H1723" s="42" t="n">
        <v>8.6</v>
      </c>
      <c r="J1723" s="46" t="n">
        <f aca="false">IF(N(E1723)&gt;0,E1723,IF(N(F1723)&gt;0,F1723*요약!$F$27,0))</f>
        <v>34000</v>
      </c>
      <c r="K1723" s="46" t="n">
        <f aca="false">IF(N(F1723)&gt;0,F1723,IF(N(E1723)&gt;0,E1723/요약!$F$27,0))</f>
        <v>9500</v>
      </c>
      <c r="L1723" s="46" t="n">
        <f aca="false">IF(B1723="CN",IF(N(I1723)&gt;0,I1723*요약!$G$27,K1723*(1+요약!$E$27)),IF(N(H1723)&gt;0,H1723*요약!$G$27,J1723*요약!$D$27))</f>
        <v>11352</v>
      </c>
      <c r="M1723" s="46" t="n">
        <f aca="false">D1723*J1723</f>
        <v>34000000</v>
      </c>
      <c r="N1723" s="46" t="n">
        <f aca="false">D1723*K1723</f>
        <v>9500000</v>
      </c>
      <c r="O1723" s="46" t="n">
        <f aca="false">D1723*L1723</f>
        <v>11352000</v>
      </c>
      <c r="P1723" s="42" t="str">
        <f aca="false">TRIM(IF(N(E1723)&lt;=0,"택가보정 ","")&amp;IF(N(F1723)&lt;=0,"원가보정 ","")&amp;IF(AND(B1723&lt;&gt;"CN",N(H1723)&lt;=0),"공급가보정 ","")&amp;IF(AND(B1723="CN",N(I1723)&lt;=0),"중국공급가=원가+마진 ",""))</f>
        <v/>
      </c>
      <c r="Q1723" s="47" t="n">
        <f aca="false">IF(SUMIFS($W:$W,$A:$A,A1723,$C:$C,C1723)=0,0,SUMIFS(RAW_판매펀칭!$K:$K,RAW_판매펀칭!$P:$P,A1723,RAW_판매펀칭!$I:$I,C1723)*W1723/SUMIFS($W:$W,$A:$A,A1723,$C:$C,C1723))</f>
        <v>988</v>
      </c>
      <c r="R1723" s="47" t="n">
        <f aca="false">IF(OR(A1723="500",A1723="800",A1723="810"),0,MAX(W1723-Q1723,0))</f>
        <v>12</v>
      </c>
      <c r="S1723" s="47" t="n">
        <f aca="false">R1723*L1723</f>
        <v>136224</v>
      </c>
      <c r="T1723" s="47" t="n">
        <f aca="false">R1723*J1723</f>
        <v>408000</v>
      </c>
      <c r="U1723" s="47" t="n">
        <f aca="false">R1723*K1723</f>
        <v>114000</v>
      </c>
      <c r="V1723" s="0" t="str">
        <f aca="false">IF(COUNTIFS($A$2:A1723,A1723,$C$2:C1723,C1723,$D$2:D1723,D1723)&gt;1,"중복","")</f>
        <v/>
      </c>
      <c r="W1723" s="0" t="n">
        <f aca="false">IF(V1723="중복",0,N(D1723))</f>
        <v>1000</v>
      </c>
      <c r="X1723" s="0" t="n">
        <f aca="false">IF(COUNTIFS($A$2:A1723,A1723,$C$2:C1723,C1723)=1,ABS(SUMIFS(RAW_발주!$D:$D,RAW_발주!$C:$C,A1723,RAW_발주!$A:$A,C1723)-SUMIFS($W:$W,$A:$A,A1723,$C:$C,C1723)),0)</f>
        <v>0</v>
      </c>
    </row>
    <row r="1724" customFormat="false" ht="15" hidden="false" customHeight="true" outlineLevel="0" collapsed="false">
      <c r="A1724" s="45" t="s">
        <v>1659</v>
      </c>
      <c r="B1724" s="42" t="str">
        <f aca="false">IF(A1724="100","HK",IF(A1724="200","CN",IF(A1724="300","TW","홀세일")))</f>
        <v>HK</v>
      </c>
      <c r="C1724" s="45" t="s">
        <v>1376</v>
      </c>
      <c r="D1724" s="46" t="n">
        <v>100</v>
      </c>
      <c r="E1724" s="46" t="n">
        <v>36000</v>
      </c>
      <c r="F1724" s="46" t="n">
        <v>10000</v>
      </c>
      <c r="G1724" s="42" t="n">
        <v>3.15</v>
      </c>
      <c r="H1724" s="42" t="n">
        <v>9.1</v>
      </c>
      <c r="J1724" s="46" t="n">
        <f aca="false">IF(N(E1724)&gt;0,E1724,IF(N(F1724)&gt;0,F1724*요약!$F$27,0))</f>
        <v>36000</v>
      </c>
      <c r="K1724" s="46" t="n">
        <f aca="false">IF(N(F1724)&gt;0,F1724,IF(N(E1724)&gt;0,E1724/요약!$F$27,0))</f>
        <v>10000</v>
      </c>
      <c r="L1724" s="46" t="n">
        <f aca="false">IF(B1724="CN",IF(N(I1724)&gt;0,I1724*요약!$G$27,K1724*(1+요약!$E$27)),IF(N(H1724)&gt;0,H1724*요약!$G$27,J1724*요약!$D$27))</f>
        <v>12012</v>
      </c>
      <c r="M1724" s="46" t="n">
        <f aca="false">D1724*J1724</f>
        <v>3600000</v>
      </c>
      <c r="N1724" s="46" t="n">
        <f aca="false">D1724*K1724</f>
        <v>1000000</v>
      </c>
      <c r="O1724" s="46" t="n">
        <f aca="false">D1724*L1724</f>
        <v>1201200</v>
      </c>
      <c r="P1724" s="42" t="str">
        <f aca="false">TRIM(IF(N(E1724)&lt;=0,"택가보정 ","")&amp;IF(N(F1724)&lt;=0,"원가보정 ","")&amp;IF(AND(B1724&lt;&gt;"CN",N(H1724)&lt;=0),"공급가보정 ","")&amp;IF(AND(B1724="CN",N(I1724)&lt;=0),"중국공급가=원가+마진 ",""))</f>
        <v/>
      </c>
      <c r="Q1724" s="47" t="n">
        <f aca="false">IF(SUMIFS($W:$W,$A:$A,A1724,$C:$C,C1724)=0,0,SUMIFS(RAW_판매펀칭!$K:$K,RAW_판매펀칭!$P:$P,A1724,RAW_판매펀칭!$I:$I,C1724)*W1724/SUMIFS($W:$W,$A:$A,A1724,$C:$C,C1724))</f>
        <v>0</v>
      </c>
      <c r="R1724" s="47" t="n">
        <f aca="false">IF(OR(A1724="500",A1724="800",A1724="810"),0,MAX(W1724-Q1724,0))</f>
        <v>100</v>
      </c>
      <c r="S1724" s="47" t="n">
        <f aca="false">R1724*L1724</f>
        <v>1201200</v>
      </c>
      <c r="T1724" s="47" t="n">
        <f aca="false">R1724*J1724</f>
        <v>3600000</v>
      </c>
      <c r="U1724" s="47" t="n">
        <f aca="false">R1724*K1724</f>
        <v>1000000</v>
      </c>
      <c r="V1724" s="0" t="str">
        <f aca="false">IF(COUNTIFS($A$2:A1724,A1724,$C$2:C1724,C1724,$D$2:D1724,D1724)&gt;1,"중복","")</f>
        <v/>
      </c>
      <c r="W1724" s="0" t="n">
        <f aca="false">IF(V1724="중복",0,N(D1724))</f>
        <v>100</v>
      </c>
      <c r="X1724" s="0" t="n">
        <f aca="false">IF(COUNTIFS($A$2:A1724,A1724,$C$2:C1724,C1724)=1,ABS(SUMIFS(RAW_발주!$D:$D,RAW_발주!$C:$C,A1724,RAW_발주!$A:$A,C1724)-SUMIFS($W:$W,$A:$A,A1724,$C:$C,C1724)),0)</f>
        <v>0</v>
      </c>
    </row>
    <row r="1725" customFormat="false" ht="15" hidden="false" customHeight="true" outlineLevel="0" collapsed="false">
      <c r="A1725" s="45" t="s">
        <v>1662</v>
      </c>
      <c r="B1725" s="42" t="str">
        <f aca="false">IF(A1725="100","HK",IF(A1725="200","CN",IF(A1725="300","TW","홀세일")))</f>
        <v>홀세일</v>
      </c>
      <c r="C1725" s="45" t="s">
        <v>1376</v>
      </c>
      <c r="D1725" s="46" t="n">
        <v>1500</v>
      </c>
      <c r="E1725" s="46" t="n">
        <v>36000</v>
      </c>
      <c r="F1725" s="46" t="n">
        <v>10000</v>
      </c>
      <c r="G1725" s="42" t="n">
        <v>3.15</v>
      </c>
      <c r="H1725" s="42" t="n">
        <v>9.1</v>
      </c>
      <c r="J1725" s="46" t="n">
        <f aca="false">IF(N(E1725)&gt;0,E1725,IF(N(F1725)&gt;0,F1725*요약!$F$27,0))</f>
        <v>36000</v>
      </c>
      <c r="K1725" s="46" t="n">
        <f aca="false">IF(N(F1725)&gt;0,F1725,IF(N(E1725)&gt;0,E1725/요약!$F$27,0))</f>
        <v>10000</v>
      </c>
      <c r="L1725" s="46" t="n">
        <f aca="false">IF(B1725="CN",IF(N(I1725)&gt;0,I1725*요약!$G$27,K1725*(1+요약!$E$27)),IF(N(H1725)&gt;0,H1725*요약!$G$27,J1725*요약!$D$27))</f>
        <v>12012</v>
      </c>
      <c r="M1725" s="46" t="n">
        <f aca="false">D1725*J1725</f>
        <v>54000000</v>
      </c>
      <c r="N1725" s="46" t="n">
        <f aca="false">D1725*K1725</f>
        <v>15000000</v>
      </c>
      <c r="O1725" s="46" t="n">
        <f aca="false">D1725*L1725</f>
        <v>18018000</v>
      </c>
      <c r="P1725" s="42" t="str">
        <f aca="false">TRIM(IF(N(E1725)&lt;=0,"택가보정 ","")&amp;IF(N(F1725)&lt;=0,"원가보정 ","")&amp;IF(AND(B1725&lt;&gt;"CN",N(H1725)&lt;=0),"공급가보정 ","")&amp;IF(AND(B1725="CN",N(I1725)&lt;=0),"중국공급가=원가+마진 ",""))</f>
        <v/>
      </c>
      <c r="Q1725" s="47" t="n">
        <f aca="false">IF(SUMIFS($W:$W,$A:$A,A1725,$C:$C,C1725)=0,0,SUMIFS(RAW_판매펀칭!$K:$K,RAW_판매펀칭!$P:$P,A1725,RAW_판매펀칭!$I:$I,C1725)*W1725/SUMIFS($W:$W,$A:$A,A1725,$C:$C,C1725))</f>
        <v>0</v>
      </c>
      <c r="R1725" s="47" t="n">
        <f aca="false">IF(OR(A1725="500",A1725="800",A1725="810"),0,MAX(W1725-Q1725,0))</f>
        <v>0</v>
      </c>
      <c r="S1725" s="47" t="n">
        <f aca="false">R1725*L1725</f>
        <v>0</v>
      </c>
      <c r="T1725" s="47" t="n">
        <f aca="false">R1725*J1725</f>
        <v>0</v>
      </c>
      <c r="U1725" s="47" t="n">
        <f aca="false">R1725*K1725</f>
        <v>0</v>
      </c>
      <c r="V1725" s="0" t="str">
        <f aca="false">IF(COUNTIFS($A$2:A1725,A1725,$C$2:C1725,C1725,$D$2:D1725,D1725)&gt;1,"중복","")</f>
        <v/>
      </c>
      <c r="W1725" s="0" t="n">
        <f aca="false">IF(V1725="중복",0,N(D1725))</f>
        <v>1500</v>
      </c>
      <c r="X1725" s="0" t="n">
        <f aca="false">IF(COUNTIFS($A$2:A1725,A1725,$C$2:C1725,C1725)=1,ABS(SUMIFS(RAW_발주!$D:$D,RAW_발주!$C:$C,A1725,RAW_발주!$A:$A,C1725)-SUMIFS($W:$W,$A:$A,A1725,$C:$C,C1725)),0)</f>
        <v>0</v>
      </c>
    </row>
    <row r="1726" customFormat="false" ht="15" hidden="false" customHeight="true" outlineLevel="0" collapsed="false">
      <c r="A1726" s="45" t="s">
        <v>1663</v>
      </c>
      <c r="B1726" s="42" t="str">
        <f aca="false">IF(A1726="100","HK",IF(A1726="200","CN",IF(A1726="300","TW","홀세일")))</f>
        <v>홀세일</v>
      </c>
      <c r="C1726" s="45" t="s">
        <v>1376</v>
      </c>
      <c r="D1726" s="46" t="n">
        <v>135</v>
      </c>
      <c r="E1726" s="46" t="n">
        <v>36000</v>
      </c>
      <c r="F1726" s="46" t="n">
        <v>10000</v>
      </c>
      <c r="G1726" s="42" t="n">
        <v>3.15</v>
      </c>
      <c r="H1726" s="42" t="n">
        <v>9.1</v>
      </c>
      <c r="J1726" s="46" t="n">
        <f aca="false">IF(N(E1726)&gt;0,E1726,IF(N(F1726)&gt;0,F1726*요약!$F$27,0))</f>
        <v>36000</v>
      </c>
      <c r="K1726" s="46" t="n">
        <f aca="false">IF(N(F1726)&gt;0,F1726,IF(N(E1726)&gt;0,E1726/요약!$F$27,0))</f>
        <v>10000</v>
      </c>
      <c r="L1726" s="46" t="n">
        <f aca="false">IF(B1726="CN",IF(N(I1726)&gt;0,I1726*요약!$G$27,K1726*(1+요약!$E$27)),IF(N(H1726)&gt;0,H1726*요약!$G$27,J1726*요약!$D$27))</f>
        <v>12012</v>
      </c>
      <c r="M1726" s="46" t="n">
        <f aca="false">D1726*J1726</f>
        <v>4860000</v>
      </c>
      <c r="N1726" s="46" t="n">
        <f aca="false">D1726*K1726</f>
        <v>1350000</v>
      </c>
      <c r="O1726" s="46" t="n">
        <f aca="false">D1726*L1726</f>
        <v>1621620</v>
      </c>
      <c r="P1726" s="42" t="str">
        <f aca="false">TRIM(IF(N(E1726)&lt;=0,"택가보정 ","")&amp;IF(N(F1726)&lt;=0,"원가보정 ","")&amp;IF(AND(B1726&lt;&gt;"CN",N(H1726)&lt;=0),"공급가보정 ","")&amp;IF(AND(B1726="CN",N(I1726)&lt;=0),"중국공급가=원가+마진 ",""))</f>
        <v/>
      </c>
      <c r="Q1726" s="47" t="n">
        <f aca="false">IF(SUMIFS($W:$W,$A:$A,A1726,$C:$C,C1726)=0,0,SUMIFS(RAW_판매펀칭!$K:$K,RAW_판매펀칭!$P:$P,A1726,RAW_판매펀칭!$I:$I,C1726)*W1726/SUMIFS($W:$W,$A:$A,A1726,$C:$C,C1726))</f>
        <v>135</v>
      </c>
      <c r="R1726" s="47" t="n">
        <f aca="false">IF(OR(A1726="500",A1726="800",A1726="810"),0,MAX(W1726-Q1726,0))</f>
        <v>0</v>
      </c>
      <c r="S1726" s="47" t="n">
        <f aca="false">R1726*L1726</f>
        <v>0</v>
      </c>
      <c r="T1726" s="47" t="n">
        <f aca="false">R1726*J1726</f>
        <v>0</v>
      </c>
      <c r="U1726" s="47" t="n">
        <f aca="false">R1726*K1726</f>
        <v>0</v>
      </c>
      <c r="V1726" s="0" t="str">
        <f aca="false">IF(COUNTIFS($A$2:A1726,A1726,$C$2:C1726,C1726,$D$2:D1726,D1726)&gt;1,"중복","")</f>
        <v/>
      </c>
      <c r="W1726" s="0" t="n">
        <f aca="false">IF(V1726="중복",0,N(D1726))</f>
        <v>135</v>
      </c>
      <c r="X1726" s="0" t="n">
        <f aca="false">IF(COUNTIFS($A$2:A1726,A1726,$C$2:C1726,C1726)=1,ABS(SUMIFS(RAW_발주!$D:$D,RAW_발주!$C:$C,A1726,RAW_발주!$A:$A,C1726)-SUMIFS($W:$W,$A:$A,A1726,$C:$C,C1726)),0)</f>
        <v>0</v>
      </c>
    </row>
    <row r="1727" customFormat="false" ht="15" hidden="false" customHeight="true" outlineLevel="0" collapsed="false">
      <c r="A1727" s="45" t="s">
        <v>1665</v>
      </c>
      <c r="B1727" s="42" t="str">
        <f aca="false">IF(A1727="100","HK",IF(A1727="200","CN",IF(A1727="300","TW","홀세일")))</f>
        <v>홀세일</v>
      </c>
      <c r="C1727" s="45" t="s">
        <v>1376</v>
      </c>
      <c r="D1727" s="46" t="n">
        <v>240</v>
      </c>
      <c r="E1727" s="46" t="n">
        <v>36000</v>
      </c>
      <c r="F1727" s="46" t="n">
        <v>10000</v>
      </c>
      <c r="G1727" s="42" t="n">
        <v>3.15</v>
      </c>
      <c r="H1727" s="42" t="n">
        <v>9.1</v>
      </c>
      <c r="J1727" s="46" t="n">
        <f aca="false">IF(N(E1727)&gt;0,E1727,IF(N(F1727)&gt;0,F1727*요약!$F$27,0))</f>
        <v>36000</v>
      </c>
      <c r="K1727" s="46" t="n">
        <f aca="false">IF(N(F1727)&gt;0,F1727,IF(N(E1727)&gt;0,E1727/요약!$F$27,0))</f>
        <v>10000</v>
      </c>
      <c r="L1727" s="46" t="n">
        <f aca="false">IF(B1727="CN",IF(N(I1727)&gt;0,I1727*요약!$G$27,K1727*(1+요약!$E$27)),IF(N(H1727)&gt;0,H1727*요약!$G$27,J1727*요약!$D$27))</f>
        <v>12012</v>
      </c>
      <c r="M1727" s="46" t="n">
        <f aca="false">D1727*J1727</f>
        <v>8640000</v>
      </c>
      <c r="N1727" s="46" t="n">
        <f aca="false">D1727*K1727</f>
        <v>2400000</v>
      </c>
      <c r="O1727" s="46" t="n">
        <f aca="false">D1727*L1727</f>
        <v>2882880</v>
      </c>
      <c r="P1727" s="42" t="str">
        <f aca="false">TRIM(IF(N(E1727)&lt;=0,"택가보정 ","")&amp;IF(N(F1727)&lt;=0,"원가보정 ","")&amp;IF(AND(B1727&lt;&gt;"CN",N(H1727)&lt;=0),"공급가보정 ","")&amp;IF(AND(B1727="CN",N(I1727)&lt;=0),"중국공급가=원가+마진 ",""))</f>
        <v/>
      </c>
      <c r="Q1727" s="47" t="n">
        <f aca="false">IF(SUMIFS($W:$W,$A:$A,A1727,$C:$C,C1727)=0,0,SUMIFS(RAW_판매펀칭!$K:$K,RAW_판매펀칭!$P:$P,A1727,RAW_판매펀칭!$I:$I,C1727)*W1727/SUMIFS($W:$W,$A:$A,A1727,$C:$C,C1727))</f>
        <v>0</v>
      </c>
      <c r="R1727" s="47" t="n">
        <f aca="false">IF(OR(A1727="500",A1727="800",A1727="810"),0,MAX(W1727-Q1727,0))</f>
        <v>0</v>
      </c>
      <c r="S1727" s="47" t="n">
        <f aca="false">R1727*L1727</f>
        <v>0</v>
      </c>
      <c r="T1727" s="47" t="n">
        <f aca="false">R1727*J1727</f>
        <v>0</v>
      </c>
      <c r="U1727" s="47" t="n">
        <f aca="false">R1727*K1727</f>
        <v>0</v>
      </c>
      <c r="V1727" s="0" t="str">
        <f aca="false">IF(COUNTIFS($A$2:A1727,A1727,$C$2:C1727,C1727,$D$2:D1727,D1727)&gt;1,"중복","")</f>
        <v/>
      </c>
      <c r="W1727" s="0" t="n">
        <f aca="false">IF(V1727="중복",0,N(D1727))</f>
        <v>240</v>
      </c>
      <c r="X1727" s="0" t="n">
        <f aca="false">IF(COUNTIFS($A$2:A1727,A1727,$C$2:C1727,C1727)=1,ABS(SUMIFS(RAW_발주!$D:$D,RAW_발주!$C:$C,A1727,RAW_발주!$A:$A,C1727)-SUMIFS($W:$W,$A:$A,A1727,$C:$C,C1727)),0)</f>
        <v>0</v>
      </c>
    </row>
    <row r="1728" customFormat="false" ht="15" hidden="false" customHeight="true" outlineLevel="0" collapsed="false">
      <c r="A1728" s="45" t="s">
        <v>1666</v>
      </c>
      <c r="B1728" s="42" t="str">
        <f aca="false">IF(A1728="100","HK",IF(A1728="200","CN",IF(A1728="300","TW","홀세일")))</f>
        <v>홀세일</v>
      </c>
      <c r="C1728" s="45" t="s">
        <v>1376</v>
      </c>
      <c r="D1728" s="46" t="n">
        <v>3000</v>
      </c>
      <c r="E1728" s="46" t="n">
        <v>36000</v>
      </c>
      <c r="F1728" s="46" t="n">
        <v>10000</v>
      </c>
      <c r="G1728" s="42" t="n">
        <v>3.15</v>
      </c>
      <c r="H1728" s="42" t="n">
        <v>9.1</v>
      </c>
      <c r="J1728" s="46" t="n">
        <f aca="false">IF(N(E1728)&gt;0,E1728,IF(N(F1728)&gt;0,F1728*요약!$F$27,0))</f>
        <v>36000</v>
      </c>
      <c r="K1728" s="46" t="n">
        <f aca="false">IF(N(F1728)&gt;0,F1728,IF(N(E1728)&gt;0,E1728/요약!$F$27,0))</f>
        <v>10000</v>
      </c>
      <c r="L1728" s="46" t="n">
        <f aca="false">IF(B1728="CN",IF(N(I1728)&gt;0,I1728*요약!$G$27,K1728*(1+요약!$E$27)),IF(N(H1728)&gt;0,H1728*요약!$G$27,J1728*요약!$D$27))</f>
        <v>12012</v>
      </c>
      <c r="M1728" s="46" t="n">
        <f aca="false">D1728*J1728</f>
        <v>108000000</v>
      </c>
      <c r="N1728" s="46" t="n">
        <f aca="false">D1728*K1728</f>
        <v>30000000</v>
      </c>
      <c r="O1728" s="46" t="n">
        <f aca="false">D1728*L1728</f>
        <v>36036000</v>
      </c>
      <c r="P1728" s="42" t="str">
        <f aca="false">TRIM(IF(N(E1728)&lt;=0,"택가보정 ","")&amp;IF(N(F1728)&lt;=0,"원가보정 ","")&amp;IF(AND(B1728&lt;&gt;"CN",N(H1728)&lt;=0),"공급가보정 ","")&amp;IF(AND(B1728="CN",N(I1728)&lt;=0),"중국공급가=원가+마진 ",""))</f>
        <v/>
      </c>
      <c r="Q1728" s="47" t="n">
        <f aca="false">IF(SUMIFS($W:$W,$A:$A,A1728,$C:$C,C1728)=0,0,SUMIFS(RAW_판매펀칭!$K:$K,RAW_판매펀칭!$P:$P,A1728,RAW_판매펀칭!$I:$I,C1728)*W1728/SUMIFS($W:$W,$A:$A,A1728,$C:$C,C1728))</f>
        <v>2943</v>
      </c>
      <c r="R1728" s="47" t="n">
        <f aca="false">IF(OR(A1728="500",A1728="800",A1728="810"),0,MAX(W1728-Q1728,0))</f>
        <v>57</v>
      </c>
      <c r="S1728" s="47" t="n">
        <f aca="false">R1728*L1728</f>
        <v>684684</v>
      </c>
      <c r="T1728" s="47" t="n">
        <f aca="false">R1728*J1728</f>
        <v>2052000</v>
      </c>
      <c r="U1728" s="47" t="n">
        <f aca="false">R1728*K1728</f>
        <v>570000</v>
      </c>
      <c r="V1728" s="0" t="str">
        <f aca="false">IF(COUNTIFS($A$2:A1728,A1728,$C$2:C1728,C1728,$D$2:D1728,D1728)&gt;1,"중복","")</f>
        <v/>
      </c>
      <c r="W1728" s="0" t="n">
        <f aca="false">IF(V1728="중복",0,N(D1728))</f>
        <v>3000</v>
      </c>
      <c r="X1728" s="0" t="n">
        <f aca="false">IF(COUNTIFS($A$2:A1728,A1728,$C$2:C1728,C1728)=1,ABS(SUMIFS(RAW_발주!$D:$D,RAW_발주!$C:$C,A1728,RAW_발주!$A:$A,C1728)-SUMIFS($W:$W,$A:$A,A1728,$C:$C,C1728)),0)</f>
        <v>0</v>
      </c>
    </row>
    <row r="1729" customFormat="false" ht="15" hidden="false" customHeight="true" outlineLevel="0" collapsed="false">
      <c r="A1729" s="45" t="s">
        <v>1662</v>
      </c>
      <c r="B1729" s="42" t="str">
        <f aca="false">IF(A1729="100","HK",IF(A1729="200","CN",IF(A1729="300","TW","홀세일")))</f>
        <v>홀세일</v>
      </c>
      <c r="C1729" s="45" t="s">
        <v>1378</v>
      </c>
      <c r="D1729" s="46" t="n">
        <v>1600</v>
      </c>
      <c r="E1729" s="46" t="n">
        <v>36000</v>
      </c>
      <c r="F1729" s="46" t="n">
        <v>10100</v>
      </c>
      <c r="G1729" s="42" t="n">
        <v>3.15</v>
      </c>
      <c r="H1729" s="42" t="n">
        <v>9.1</v>
      </c>
      <c r="J1729" s="46" t="n">
        <f aca="false">IF(N(E1729)&gt;0,E1729,IF(N(F1729)&gt;0,F1729*요약!$F$27,0))</f>
        <v>36000</v>
      </c>
      <c r="K1729" s="46" t="n">
        <f aca="false">IF(N(F1729)&gt;0,F1729,IF(N(E1729)&gt;0,E1729/요약!$F$27,0))</f>
        <v>10100</v>
      </c>
      <c r="L1729" s="46" t="n">
        <f aca="false">IF(B1729="CN",IF(N(I1729)&gt;0,I1729*요약!$G$27,K1729*(1+요약!$E$27)),IF(N(H1729)&gt;0,H1729*요약!$G$27,J1729*요약!$D$27))</f>
        <v>12012</v>
      </c>
      <c r="M1729" s="46" t="n">
        <f aca="false">D1729*J1729</f>
        <v>57600000</v>
      </c>
      <c r="N1729" s="46" t="n">
        <f aca="false">D1729*K1729</f>
        <v>16160000</v>
      </c>
      <c r="O1729" s="46" t="n">
        <f aca="false">D1729*L1729</f>
        <v>19219200</v>
      </c>
      <c r="P1729" s="42" t="str">
        <f aca="false">TRIM(IF(N(E1729)&lt;=0,"택가보정 ","")&amp;IF(N(F1729)&lt;=0,"원가보정 ","")&amp;IF(AND(B1729&lt;&gt;"CN",N(H1729)&lt;=0),"공급가보정 ","")&amp;IF(AND(B1729="CN",N(I1729)&lt;=0),"중국공급가=원가+마진 ",""))</f>
        <v/>
      </c>
      <c r="Q1729" s="47" t="n">
        <f aca="false">IF(SUMIFS($W:$W,$A:$A,A1729,$C:$C,C1729)=0,0,SUMIFS(RAW_판매펀칭!$K:$K,RAW_판매펀칭!$P:$P,A1729,RAW_판매펀칭!$I:$I,C1729)*W1729/SUMIFS($W:$W,$A:$A,A1729,$C:$C,C1729))</f>
        <v>0</v>
      </c>
      <c r="R1729" s="47" t="n">
        <f aca="false">IF(OR(A1729="500",A1729="800",A1729="810"),0,MAX(W1729-Q1729,0))</f>
        <v>0</v>
      </c>
      <c r="S1729" s="47" t="n">
        <f aca="false">R1729*L1729</f>
        <v>0</v>
      </c>
      <c r="T1729" s="47" t="n">
        <f aca="false">R1729*J1729</f>
        <v>0</v>
      </c>
      <c r="U1729" s="47" t="n">
        <f aca="false">R1729*K1729</f>
        <v>0</v>
      </c>
      <c r="V1729" s="0" t="str">
        <f aca="false">IF(COUNTIFS($A$2:A1729,A1729,$C$2:C1729,C1729,$D$2:D1729,D1729)&gt;1,"중복","")</f>
        <v/>
      </c>
      <c r="W1729" s="0" t="n">
        <f aca="false">IF(V1729="중복",0,N(D1729))</f>
        <v>1600</v>
      </c>
      <c r="X1729" s="0" t="n">
        <f aca="false">IF(COUNTIFS($A$2:A1729,A1729,$C$2:C1729,C1729)=1,ABS(SUMIFS(RAW_발주!$D:$D,RAW_발주!$C:$C,A1729,RAW_발주!$A:$A,C1729)-SUMIFS($W:$W,$A:$A,A1729,$C:$C,C1729)),0)</f>
        <v>0</v>
      </c>
    </row>
    <row r="1730" customFormat="false" ht="15" hidden="false" customHeight="true" outlineLevel="0" collapsed="false">
      <c r="A1730" s="45" t="s">
        <v>1663</v>
      </c>
      <c r="B1730" s="42" t="str">
        <f aca="false">IF(A1730="100","HK",IF(A1730="200","CN",IF(A1730="300","TW","홀세일")))</f>
        <v>홀세일</v>
      </c>
      <c r="C1730" s="45" t="s">
        <v>1378</v>
      </c>
      <c r="D1730" s="46" t="n">
        <v>70</v>
      </c>
      <c r="E1730" s="46" t="n">
        <v>36000</v>
      </c>
      <c r="F1730" s="46" t="n">
        <v>10100</v>
      </c>
      <c r="G1730" s="42" t="n">
        <v>3.15</v>
      </c>
      <c r="H1730" s="42" t="n">
        <v>9.1</v>
      </c>
      <c r="J1730" s="46" t="n">
        <f aca="false">IF(N(E1730)&gt;0,E1730,IF(N(F1730)&gt;0,F1730*요약!$F$27,0))</f>
        <v>36000</v>
      </c>
      <c r="K1730" s="46" t="n">
        <f aca="false">IF(N(F1730)&gt;0,F1730,IF(N(E1730)&gt;0,E1730/요약!$F$27,0))</f>
        <v>10100</v>
      </c>
      <c r="L1730" s="46" t="n">
        <f aca="false">IF(B1730="CN",IF(N(I1730)&gt;0,I1730*요약!$G$27,K1730*(1+요약!$E$27)),IF(N(H1730)&gt;0,H1730*요약!$G$27,J1730*요약!$D$27))</f>
        <v>12012</v>
      </c>
      <c r="M1730" s="46" t="n">
        <f aca="false">D1730*J1730</f>
        <v>2520000</v>
      </c>
      <c r="N1730" s="46" t="n">
        <f aca="false">D1730*K1730</f>
        <v>707000</v>
      </c>
      <c r="O1730" s="46" t="n">
        <f aca="false">D1730*L1730</f>
        <v>840840</v>
      </c>
      <c r="P1730" s="42" t="str">
        <f aca="false">TRIM(IF(N(E1730)&lt;=0,"택가보정 ","")&amp;IF(N(F1730)&lt;=0,"원가보정 ","")&amp;IF(AND(B1730&lt;&gt;"CN",N(H1730)&lt;=0),"공급가보정 ","")&amp;IF(AND(B1730="CN",N(I1730)&lt;=0),"중국공급가=원가+마진 ",""))</f>
        <v/>
      </c>
      <c r="Q1730" s="47" t="n">
        <f aca="false">IF(SUMIFS($W:$W,$A:$A,A1730,$C:$C,C1730)=0,0,SUMIFS(RAW_판매펀칭!$K:$K,RAW_판매펀칭!$P:$P,A1730,RAW_판매펀칭!$I:$I,C1730)*W1730/SUMIFS($W:$W,$A:$A,A1730,$C:$C,C1730))</f>
        <v>70</v>
      </c>
      <c r="R1730" s="47" t="n">
        <f aca="false">IF(OR(A1730="500",A1730="800",A1730="810"),0,MAX(W1730-Q1730,0))</f>
        <v>0</v>
      </c>
      <c r="S1730" s="47" t="n">
        <f aca="false">R1730*L1730</f>
        <v>0</v>
      </c>
      <c r="T1730" s="47" t="n">
        <f aca="false">R1730*J1730</f>
        <v>0</v>
      </c>
      <c r="U1730" s="47" t="n">
        <f aca="false">R1730*K1730</f>
        <v>0</v>
      </c>
      <c r="V1730" s="0" t="str">
        <f aca="false">IF(COUNTIFS($A$2:A1730,A1730,$C$2:C1730,C1730,$D$2:D1730,D1730)&gt;1,"중복","")</f>
        <v/>
      </c>
      <c r="W1730" s="0" t="n">
        <f aca="false">IF(V1730="중복",0,N(D1730))</f>
        <v>70</v>
      </c>
      <c r="X1730" s="0" t="n">
        <f aca="false">IF(COUNTIFS($A$2:A1730,A1730,$C$2:C1730,C1730)=1,ABS(SUMIFS(RAW_발주!$D:$D,RAW_발주!$C:$C,A1730,RAW_발주!$A:$A,C1730)-SUMIFS($W:$W,$A:$A,A1730,$C:$C,C1730)),0)</f>
        <v>0</v>
      </c>
    </row>
    <row r="1731" customFormat="false" ht="15" hidden="false" customHeight="true" outlineLevel="0" collapsed="false">
      <c r="A1731" s="45" t="s">
        <v>1665</v>
      </c>
      <c r="B1731" s="42" t="str">
        <f aca="false">IF(A1731="100","HK",IF(A1731="200","CN",IF(A1731="300","TW","홀세일")))</f>
        <v>홀세일</v>
      </c>
      <c r="C1731" s="45" t="s">
        <v>1378</v>
      </c>
      <c r="D1731" s="46" t="n">
        <v>204</v>
      </c>
      <c r="E1731" s="46" t="n">
        <v>36000</v>
      </c>
      <c r="F1731" s="46" t="n">
        <v>10100</v>
      </c>
      <c r="G1731" s="42" t="n">
        <v>3.15</v>
      </c>
      <c r="H1731" s="42" t="n">
        <v>9.1</v>
      </c>
      <c r="J1731" s="46" t="n">
        <f aca="false">IF(N(E1731)&gt;0,E1731,IF(N(F1731)&gt;0,F1731*요약!$F$27,0))</f>
        <v>36000</v>
      </c>
      <c r="K1731" s="46" t="n">
        <f aca="false">IF(N(F1731)&gt;0,F1731,IF(N(E1731)&gt;0,E1731/요약!$F$27,0))</f>
        <v>10100</v>
      </c>
      <c r="L1731" s="46" t="n">
        <f aca="false">IF(B1731="CN",IF(N(I1731)&gt;0,I1731*요약!$G$27,K1731*(1+요약!$E$27)),IF(N(H1731)&gt;0,H1731*요약!$G$27,J1731*요약!$D$27))</f>
        <v>12012</v>
      </c>
      <c r="M1731" s="46" t="n">
        <f aca="false">D1731*J1731</f>
        <v>7344000</v>
      </c>
      <c r="N1731" s="46" t="n">
        <f aca="false">D1731*K1731</f>
        <v>2060400</v>
      </c>
      <c r="O1731" s="46" t="n">
        <f aca="false">D1731*L1731</f>
        <v>2450448</v>
      </c>
      <c r="P1731" s="42" t="str">
        <f aca="false">TRIM(IF(N(E1731)&lt;=0,"택가보정 ","")&amp;IF(N(F1731)&lt;=0,"원가보정 ","")&amp;IF(AND(B1731&lt;&gt;"CN",N(H1731)&lt;=0),"공급가보정 ","")&amp;IF(AND(B1731="CN",N(I1731)&lt;=0),"중국공급가=원가+마진 ",""))</f>
        <v/>
      </c>
      <c r="Q1731" s="47" t="n">
        <f aca="false">IF(SUMIFS($W:$W,$A:$A,A1731,$C:$C,C1731)=0,0,SUMIFS(RAW_판매펀칭!$K:$K,RAW_판매펀칭!$P:$P,A1731,RAW_판매펀칭!$I:$I,C1731)*W1731/SUMIFS($W:$W,$A:$A,A1731,$C:$C,C1731))</f>
        <v>0</v>
      </c>
      <c r="R1731" s="47" t="n">
        <f aca="false">IF(OR(A1731="500",A1731="800",A1731="810"),0,MAX(W1731-Q1731,0))</f>
        <v>0</v>
      </c>
      <c r="S1731" s="47" t="n">
        <f aca="false">R1731*L1731</f>
        <v>0</v>
      </c>
      <c r="T1731" s="47" t="n">
        <f aca="false">R1731*J1731</f>
        <v>0</v>
      </c>
      <c r="U1731" s="47" t="n">
        <f aca="false">R1731*K1731</f>
        <v>0</v>
      </c>
      <c r="V1731" s="0" t="str">
        <f aca="false">IF(COUNTIFS($A$2:A1731,A1731,$C$2:C1731,C1731,$D$2:D1731,D1731)&gt;1,"중복","")</f>
        <v/>
      </c>
      <c r="W1731" s="0" t="n">
        <f aca="false">IF(V1731="중복",0,N(D1731))</f>
        <v>204</v>
      </c>
      <c r="X1731" s="0" t="n">
        <f aca="false">IF(COUNTIFS($A$2:A1731,A1731,$C$2:C1731,C1731)=1,ABS(SUMIFS(RAW_발주!$D:$D,RAW_발주!$C:$C,A1731,RAW_발주!$A:$A,C1731)-SUMIFS($W:$W,$A:$A,A1731,$C:$C,C1731)),0)</f>
        <v>0</v>
      </c>
    </row>
    <row r="1732" customFormat="false" ht="15" hidden="false" customHeight="true" outlineLevel="0" collapsed="false">
      <c r="A1732" s="45" t="s">
        <v>1666</v>
      </c>
      <c r="B1732" s="42" t="str">
        <f aca="false">IF(A1732="100","HK",IF(A1732="200","CN",IF(A1732="300","TW","홀세일")))</f>
        <v>홀세일</v>
      </c>
      <c r="C1732" s="45" t="s">
        <v>1378</v>
      </c>
      <c r="D1732" s="46" t="n">
        <v>3000</v>
      </c>
      <c r="E1732" s="46" t="n">
        <v>36000</v>
      </c>
      <c r="F1732" s="46" t="n">
        <v>10100</v>
      </c>
      <c r="G1732" s="42" t="n">
        <v>3.15</v>
      </c>
      <c r="H1732" s="42" t="n">
        <v>9.1</v>
      </c>
      <c r="J1732" s="46" t="n">
        <f aca="false">IF(N(E1732)&gt;0,E1732,IF(N(F1732)&gt;0,F1732*요약!$F$27,0))</f>
        <v>36000</v>
      </c>
      <c r="K1732" s="46" t="n">
        <f aca="false">IF(N(F1732)&gt;0,F1732,IF(N(E1732)&gt;0,E1732/요약!$F$27,0))</f>
        <v>10100</v>
      </c>
      <c r="L1732" s="46" t="n">
        <f aca="false">IF(B1732="CN",IF(N(I1732)&gt;0,I1732*요약!$G$27,K1732*(1+요약!$E$27)),IF(N(H1732)&gt;0,H1732*요약!$G$27,J1732*요약!$D$27))</f>
        <v>12012</v>
      </c>
      <c r="M1732" s="46" t="n">
        <f aca="false">D1732*J1732</f>
        <v>108000000</v>
      </c>
      <c r="N1732" s="46" t="n">
        <f aca="false">D1732*K1732</f>
        <v>30300000</v>
      </c>
      <c r="O1732" s="46" t="n">
        <f aca="false">D1732*L1732</f>
        <v>36036000</v>
      </c>
      <c r="P1732" s="42" t="str">
        <f aca="false">TRIM(IF(N(E1732)&lt;=0,"택가보정 ","")&amp;IF(N(F1732)&lt;=0,"원가보정 ","")&amp;IF(AND(B1732&lt;&gt;"CN",N(H1732)&lt;=0),"공급가보정 ","")&amp;IF(AND(B1732="CN",N(I1732)&lt;=0),"중국공급가=원가+마진 ",""))</f>
        <v/>
      </c>
      <c r="Q1732" s="47" t="n">
        <f aca="false">IF(SUMIFS($W:$W,$A:$A,A1732,$C:$C,C1732)=0,0,SUMIFS(RAW_판매펀칭!$K:$K,RAW_판매펀칭!$P:$P,A1732,RAW_판매펀칭!$I:$I,C1732)*W1732/SUMIFS($W:$W,$A:$A,A1732,$C:$C,C1732))</f>
        <v>2974</v>
      </c>
      <c r="R1732" s="47" t="n">
        <f aca="false">IF(OR(A1732="500",A1732="800",A1732="810"),0,MAX(W1732-Q1732,0))</f>
        <v>26</v>
      </c>
      <c r="S1732" s="47" t="n">
        <f aca="false">R1732*L1732</f>
        <v>312312</v>
      </c>
      <c r="T1732" s="47" t="n">
        <f aca="false">R1732*J1732</f>
        <v>936000</v>
      </c>
      <c r="U1732" s="47" t="n">
        <f aca="false">R1732*K1732</f>
        <v>262600</v>
      </c>
      <c r="V1732" s="0" t="str">
        <f aca="false">IF(COUNTIFS($A$2:A1732,A1732,$C$2:C1732,C1732,$D$2:D1732,D1732)&gt;1,"중복","")</f>
        <v/>
      </c>
      <c r="W1732" s="0" t="n">
        <f aca="false">IF(V1732="중복",0,N(D1732))</f>
        <v>3000</v>
      </c>
      <c r="X1732" s="0" t="n">
        <f aca="false">IF(COUNTIFS($A$2:A1732,A1732,$C$2:C1732,C1732)=1,ABS(SUMIFS(RAW_발주!$D:$D,RAW_발주!$C:$C,A1732,RAW_발주!$A:$A,C1732)-SUMIFS($W:$W,$A:$A,A1732,$C:$C,C1732)),0)</f>
        <v>0</v>
      </c>
    </row>
    <row r="1733" customFormat="false" ht="15" hidden="false" customHeight="true" outlineLevel="0" collapsed="false">
      <c r="A1733" s="45" t="s">
        <v>1662</v>
      </c>
      <c r="B1733" s="42" t="str">
        <f aca="false">IF(A1733="100","HK",IF(A1733="200","CN",IF(A1733="300","TW","홀세일")))</f>
        <v>홀세일</v>
      </c>
      <c r="C1733" s="45" t="s">
        <v>1380</v>
      </c>
      <c r="D1733" s="46" t="n">
        <v>1600</v>
      </c>
      <c r="E1733" s="46" t="n">
        <v>36000</v>
      </c>
      <c r="F1733" s="46" t="n">
        <v>9800</v>
      </c>
      <c r="G1733" s="42" t="n">
        <v>3.15</v>
      </c>
      <c r="H1733" s="42" t="n">
        <v>9.1</v>
      </c>
      <c r="J1733" s="46" t="n">
        <f aca="false">IF(N(E1733)&gt;0,E1733,IF(N(F1733)&gt;0,F1733*요약!$F$27,0))</f>
        <v>36000</v>
      </c>
      <c r="K1733" s="46" t="n">
        <f aca="false">IF(N(F1733)&gt;0,F1733,IF(N(E1733)&gt;0,E1733/요약!$F$27,0))</f>
        <v>9800</v>
      </c>
      <c r="L1733" s="46" t="n">
        <f aca="false">IF(B1733="CN",IF(N(I1733)&gt;0,I1733*요약!$G$27,K1733*(1+요약!$E$27)),IF(N(H1733)&gt;0,H1733*요약!$G$27,J1733*요약!$D$27))</f>
        <v>12012</v>
      </c>
      <c r="M1733" s="46" t="n">
        <f aca="false">D1733*J1733</f>
        <v>57600000</v>
      </c>
      <c r="N1733" s="46" t="n">
        <f aca="false">D1733*K1733</f>
        <v>15680000</v>
      </c>
      <c r="O1733" s="46" t="n">
        <f aca="false">D1733*L1733</f>
        <v>19219200</v>
      </c>
      <c r="P1733" s="42" t="str">
        <f aca="false">TRIM(IF(N(E1733)&lt;=0,"택가보정 ","")&amp;IF(N(F1733)&lt;=0,"원가보정 ","")&amp;IF(AND(B1733&lt;&gt;"CN",N(H1733)&lt;=0),"공급가보정 ","")&amp;IF(AND(B1733="CN",N(I1733)&lt;=0),"중국공급가=원가+마진 ",""))</f>
        <v/>
      </c>
      <c r="Q1733" s="47" t="n">
        <f aca="false">IF(SUMIFS($W:$W,$A:$A,A1733,$C:$C,C1733)=0,0,SUMIFS(RAW_판매펀칭!$K:$K,RAW_판매펀칭!$P:$P,A1733,RAW_판매펀칭!$I:$I,C1733)*W1733/SUMIFS($W:$W,$A:$A,A1733,$C:$C,C1733))</f>
        <v>0</v>
      </c>
      <c r="R1733" s="47" t="n">
        <f aca="false">IF(OR(A1733="500",A1733="800",A1733="810"),0,MAX(W1733-Q1733,0))</f>
        <v>0</v>
      </c>
      <c r="S1733" s="47" t="n">
        <f aca="false">R1733*L1733</f>
        <v>0</v>
      </c>
      <c r="T1733" s="47" t="n">
        <f aca="false">R1733*J1733</f>
        <v>0</v>
      </c>
      <c r="U1733" s="47" t="n">
        <f aca="false">R1733*K1733</f>
        <v>0</v>
      </c>
      <c r="V1733" s="0" t="str">
        <f aca="false">IF(COUNTIFS($A$2:A1733,A1733,$C$2:C1733,C1733,$D$2:D1733,D1733)&gt;1,"중복","")</f>
        <v/>
      </c>
      <c r="W1733" s="0" t="n">
        <f aca="false">IF(V1733="중복",0,N(D1733))</f>
        <v>1600</v>
      </c>
      <c r="X1733" s="0" t="n">
        <f aca="false">IF(COUNTIFS($A$2:A1733,A1733,$C$2:C1733,C1733)=1,ABS(SUMIFS(RAW_발주!$D:$D,RAW_발주!$C:$C,A1733,RAW_발주!$A:$A,C1733)-SUMIFS($W:$W,$A:$A,A1733,$C:$C,C1733)),0)</f>
        <v>0</v>
      </c>
    </row>
    <row r="1734" customFormat="false" ht="15" hidden="false" customHeight="true" outlineLevel="0" collapsed="false">
      <c r="A1734" s="45" t="s">
        <v>1663</v>
      </c>
      <c r="B1734" s="42" t="str">
        <f aca="false">IF(A1734="100","HK",IF(A1734="200","CN",IF(A1734="300","TW","홀세일")))</f>
        <v>홀세일</v>
      </c>
      <c r="C1734" s="45" t="s">
        <v>1380</v>
      </c>
      <c r="D1734" s="46" t="n">
        <v>90</v>
      </c>
      <c r="E1734" s="46" t="n">
        <v>36000</v>
      </c>
      <c r="F1734" s="46" t="n">
        <v>9800</v>
      </c>
      <c r="G1734" s="42" t="n">
        <v>3.15</v>
      </c>
      <c r="H1734" s="42" t="n">
        <v>9.1</v>
      </c>
      <c r="J1734" s="46" t="n">
        <f aca="false">IF(N(E1734)&gt;0,E1734,IF(N(F1734)&gt;0,F1734*요약!$F$27,0))</f>
        <v>36000</v>
      </c>
      <c r="K1734" s="46" t="n">
        <f aca="false">IF(N(F1734)&gt;0,F1734,IF(N(E1734)&gt;0,E1734/요약!$F$27,0))</f>
        <v>9800</v>
      </c>
      <c r="L1734" s="46" t="n">
        <f aca="false">IF(B1734="CN",IF(N(I1734)&gt;0,I1734*요약!$G$27,K1734*(1+요약!$E$27)),IF(N(H1734)&gt;0,H1734*요약!$G$27,J1734*요약!$D$27))</f>
        <v>12012</v>
      </c>
      <c r="M1734" s="46" t="n">
        <f aca="false">D1734*J1734</f>
        <v>3240000</v>
      </c>
      <c r="N1734" s="46" t="n">
        <f aca="false">D1734*K1734</f>
        <v>882000</v>
      </c>
      <c r="O1734" s="46" t="n">
        <f aca="false">D1734*L1734</f>
        <v>1081080</v>
      </c>
      <c r="P1734" s="42" t="str">
        <f aca="false">TRIM(IF(N(E1734)&lt;=0,"택가보정 ","")&amp;IF(N(F1734)&lt;=0,"원가보정 ","")&amp;IF(AND(B1734&lt;&gt;"CN",N(H1734)&lt;=0),"공급가보정 ","")&amp;IF(AND(B1734="CN",N(I1734)&lt;=0),"중국공급가=원가+마진 ",""))</f>
        <v/>
      </c>
      <c r="Q1734" s="47" t="n">
        <f aca="false">IF(SUMIFS($W:$W,$A:$A,A1734,$C:$C,C1734)=0,0,SUMIFS(RAW_판매펀칭!$K:$K,RAW_판매펀칭!$P:$P,A1734,RAW_판매펀칭!$I:$I,C1734)*W1734/SUMIFS($W:$W,$A:$A,A1734,$C:$C,C1734))</f>
        <v>90</v>
      </c>
      <c r="R1734" s="47" t="n">
        <f aca="false">IF(OR(A1734="500",A1734="800",A1734="810"),0,MAX(W1734-Q1734,0))</f>
        <v>0</v>
      </c>
      <c r="S1734" s="47" t="n">
        <f aca="false">R1734*L1734</f>
        <v>0</v>
      </c>
      <c r="T1734" s="47" t="n">
        <f aca="false">R1734*J1734</f>
        <v>0</v>
      </c>
      <c r="U1734" s="47" t="n">
        <f aca="false">R1734*K1734</f>
        <v>0</v>
      </c>
      <c r="V1734" s="0" t="str">
        <f aca="false">IF(COUNTIFS($A$2:A1734,A1734,$C$2:C1734,C1734,$D$2:D1734,D1734)&gt;1,"중복","")</f>
        <v/>
      </c>
      <c r="W1734" s="0" t="n">
        <f aca="false">IF(V1734="중복",0,N(D1734))</f>
        <v>90</v>
      </c>
      <c r="X1734" s="0" t="n">
        <f aca="false">IF(COUNTIFS($A$2:A1734,A1734,$C$2:C1734,C1734)=1,ABS(SUMIFS(RAW_발주!$D:$D,RAW_발주!$C:$C,A1734,RAW_발주!$A:$A,C1734)-SUMIFS($W:$W,$A:$A,A1734,$C:$C,C1734)),0)</f>
        <v>0</v>
      </c>
    </row>
    <row r="1735" customFormat="false" ht="15" hidden="false" customHeight="true" outlineLevel="0" collapsed="false">
      <c r="A1735" s="45" t="s">
        <v>1664</v>
      </c>
      <c r="B1735" s="42" t="str">
        <f aca="false">IF(A1735="100","HK",IF(A1735="200","CN",IF(A1735="300","TW","홀세일")))</f>
        <v>홀세일</v>
      </c>
      <c r="C1735" s="45" t="s">
        <v>1380</v>
      </c>
      <c r="D1735" s="46" t="n">
        <v>30</v>
      </c>
      <c r="E1735" s="46" t="n">
        <v>36000</v>
      </c>
      <c r="F1735" s="46" t="n">
        <v>9800</v>
      </c>
      <c r="G1735" s="42" t="n">
        <v>3.15</v>
      </c>
      <c r="H1735" s="42" t="n">
        <v>9.1</v>
      </c>
      <c r="J1735" s="46" t="n">
        <f aca="false">IF(N(E1735)&gt;0,E1735,IF(N(F1735)&gt;0,F1735*요약!$F$27,0))</f>
        <v>36000</v>
      </c>
      <c r="K1735" s="46" t="n">
        <f aca="false">IF(N(F1735)&gt;0,F1735,IF(N(E1735)&gt;0,E1735/요약!$F$27,0))</f>
        <v>9800</v>
      </c>
      <c r="L1735" s="46" t="n">
        <f aca="false">IF(B1735="CN",IF(N(I1735)&gt;0,I1735*요약!$G$27,K1735*(1+요약!$E$27)),IF(N(H1735)&gt;0,H1735*요약!$G$27,J1735*요약!$D$27))</f>
        <v>12012</v>
      </c>
      <c r="M1735" s="46" t="n">
        <f aca="false">D1735*J1735</f>
        <v>1080000</v>
      </c>
      <c r="N1735" s="46" t="n">
        <f aca="false">D1735*K1735</f>
        <v>294000</v>
      </c>
      <c r="O1735" s="46" t="n">
        <f aca="false">D1735*L1735</f>
        <v>360360</v>
      </c>
      <c r="P1735" s="42" t="str">
        <f aca="false">TRIM(IF(N(E1735)&lt;=0,"택가보정 ","")&amp;IF(N(F1735)&lt;=0,"원가보정 ","")&amp;IF(AND(B1735&lt;&gt;"CN",N(H1735)&lt;=0),"공급가보정 ","")&amp;IF(AND(B1735="CN",N(I1735)&lt;=0),"중국공급가=원가+마진 ",""))</f>
        <v/>
      </c>
      <c r="Q1735" s="47" t="n">
        <f aca="false">IF(SUMIFS($W:$W,$A:$A,A1735,$C:$C,C1735)=0,0,SUMIFS(RAW_판매펀칭!$K:$K,RAW_판매펀칭!$P:$P,A1735,RAW_판매펀칭!$I:$I,C1735)*W1735/SUMIFS($W:$W,$A:$A,A1735,$C:$C,C1735))</f>
        <v>0</v>
      </c>
      <c r="R1735" s="47" t="n">
        <f aca="false">IF(OR(A1735="500",A1735="800",A1735="810"),0,MAX(W1735-Q1735,0))</f>
        <v>0</v>
      </c>
      <c r="S1735" s="47" t="n">
        <f aca="false">R1735*L1735</f>
        <v>0</v>
      </c>
      <c r="T1735" s="47" t="n">
        <f aca="false">R1735*J1735</f>
        <v>0</v>
      </c>
      <c r="U1735" s="47" t="n">
        <f aca="false">R1735*K1735</f>
        <v>0</v>
      </c>
      <c r="V1735" s="0" t="str">
        <f aca="false">IF(COUNTIFS($A$2:A1735,A1735,$C$2:C1735,C1735,$D$2:D1735,D1735)&gt;1,"중복","")</f>
        <v/>
      </c>
      <c r="W1735" s="0" t="n">
        <f aca="false">IF(V1735="중복",0,N(D1735))</f>
        <v>30</v>
      </c>
      <c r="X1735" s="0" t="n">
        <f aca="false">IF(COUNTIFS($A$2:A1735,A1735,$C$2:C1735,C1735)=1,ABS(SUMIFS(RAW_발주!$D:$D,RAW_발주!$C:$C,A1735,RAW_발주!$A:$A,C1735)-SUMIFS($W:$W,$A:$A,A1735,$C:$C,C1735)),0)</f>
        <v>0</v>
      </c>
    </row>
    <row r="1736" customFormat="false" ht="15" hidden="false" customHeight="true" outlineLevel="0" collapsed="false">
      <c r="A1736" s="45" t="s">
        <v>1665</v>
      </c>
      <c r="B1736" s="42" t="str">
        <f aca="false">IF(A1736="100","HK",IF(A1736="200","CN",IF(A1736="300","TW","홀세일")))</f>
        <v>홀세일</v>
      </c>
      <c r="C1736" s="45" t="s">
        <v>1380</v>
      </c>
      <c r="D1736" s="46" t="n">
        <v>276</v>
      </c>
      <c r="E1736" s="46" t="n">
        <v>36000</v>
      </c>
      <c r="F1736" s="46" t="n">
        <v>9800</v>
      </c>
      <c r="G1736" s="42" t="n">
        <v>3.15</v>
      </c>
      <c r="H1736" s="42" t="n">
        <v>9.1</v>
      </c>
      <c r="J1736" s="46" t="n">
        <f aca="false">IF(N(E1736)&gt;0,E1736,IF(N(F1736)&gt;0,F1736*요약!$F$27,0))</f>
        <v>36000</v>
      </c>
      <c r="K1736" s="46" t="n">
        <f aca="false">IF(N(F1736)&gt;0,F1736,IF(N(E1736)&gt;0,E1736/요약!$F$27,0))</f>
        <v>9800</v>
      </c>
      <c r="L1736" s="46" t="n">
        <f aca="false">IF(B1736="CN",IF(N(I1736)&gt;0,I1736*요약!$G$27,K1736*(1+요약!$E$27)),IF(N(H1736)&gt;0,H1736*요약!$G$27,J1736*요약!$D$27))</f>
        <v>12012</v>
      </c>
      <c r="M1736" s="46" t="n">
        <f aca="false">D1736*J1736</f>
        <v>9936000</v>
      </c>
      <c r="N1736" s="46" t="n">
        <f aca="false">D1736*K1736</f>
        <v>2704800</v>
      </c>
      <c r="O1736" s="46" t="n">
        <f aca="false">D1736*L1736</f>
        <v>3315312</v>
      </c>
      <c r="P1736" s="42" t="str">
        <f aca="false">TRIM(IF(N(E1736)&lt;=0,"택가보정 ","")&amp;IF(N(F1736)&lt;=0,"원가보정 ","")&amp;IF(AND(B1736&lt;&gt;"CN",N(H1736)&lt;=0),"공급가보정 ","")&amp;IF(AND(B1736="CN",N(I1736)&lt;=0),"중국공급가=원가+마진 ",""))</f>
        <v/>
      </c>
      <c r="Q1736" s="47" t="n">
        <f aca="false">IF(SUMIFS($W:$W,$A:$A,A1736,$C:$C,C1736)=0,0,SUMIFS(RAW_판매펀칭!$K:$K,RAW_판매펀칭!$P:$P,A1736,RAW_판매펀칭!$I:$I,C1736)*W1736/SUMIFS($W:$W,$A:$A,A1736,$C:$C,C1736))</f>
        <v>0</v>
      </c>
      <c r="R1736" s="47" t="n">
        <f aca="false">IF(OR(A1736="500",A1736="800",A1736="810"),0,MAX(W1736-Q1736,0))</f>
        <v>0</v>
      </c>
      <c r="S1736" s="47" t="n">
        <f aca="false">R1736*L1736</f>
        <v>0</v>
      </c>
      <c r="T1736" s="47" t="n">
        <f aca="false">R1736*J1736</f>
        <v>0</v>
      </c>
      <c r="U1736" s="47" t="n">
        <f aca="false">R1736*K1736</f>
        <v>0</v>
      </c>
      <c r="V1736" s="0" t="str">
        <f aca="false">IF(COUNTIFS($A$2:A1736,A1736,$C$2:C1736,C1736,$D$2:D1736,D1736)&gt;1,"중복","")</f>
        <v/>
      </c>
      <c r="W1736" s="0" t="n">
        <f aca="false">IF(V1736="중복",0,N(D1736))</f>
        <v>276</v>
      </c>
      <c r="X1736" s="0" t="n">
        <f aca="false">IF(COUNTIFS($A$2:A1736,A1736,$C$2:C1736,C1736)=1,ABS(SUMIFS(RAW_발주!$D:$D,RAW_발주!$C:$C,A1736,RAW_발주!$A:$A,C1736)-SUMIFS($W:$W,$A:$A,A1736,$C:$C,C1736)),0)</f>
        <v>0</v>
      </c>
    </row>
    <row r="1737" customFormat="false" ht="15" hidden="false" customHeight="true" outlineLevel="0" collapsed="false">
      <c r="A1737" s="45" t="s">
        <v>1666</v>
      </c>
      <c r="B1737" s="42" t="str">
        <f aca="false">IF(A1737="100","HK",IF(A1737="200","CN",IF(A1737="300","TW","홀세일")))</f>
        <v>홀세일</v>
      </c>
      <c r="C1737" s="45" t="s">
        <v>1380</v>
      </c>
      <c r="D1737" s="46" t="n">
        <v>3000</v>
      </c>
      <c r="E1737" s="46" t="n">
        <v>36000</v>
      </c>
      <c r="F1737" s="46" t="n">
        <v>9800</v>
      </c>
      <c r="G1737" s="42" t="n">
        <v>3.15</v>
      </c>
      <c r="H1737" s="42" t="n">
        <v>9.1</v>
      </c>
      <c r="J1737" s="46" t="n">
        <f aca="false">IF(N(E1737)&gt;0,E1737,IF(N(F1737)&gt;0,F1737*요약!$F$27,0))</f>
        <v>36000</v>
      </c>
      <c r="K1737" s="46" t="n">
        <f aca="false">IF(N(F1737)&gt;0,F1737,IF(N(E1737)&gt;0,E1737/요약!$F$27,0))</f>
        <v>9800</v>
      </c>
      <c r="L1737" s="46" t="n">
        <f aca="false">IF(B1737="CN",IF(N(I1737)&gt;0,I1737*요약!$G$27,K1737*(1+요약!$E$27)),IF(N(H1737)&gt;0,H1737*요약!$G$27,J1737*요약!$D$27))</f>
        <v>12012</v>
      </c>
      <c r="M1737" s="46" t="n">
        <f aca="false">D1737*J1737</f>
        <v>108000000</v>
      </c>
      <c r="N1737" s="46" t="n">
        <f aca="false">D1737*K1737</f>
        <v>29400000</v>
      </c>
      <c r="O1737" s="46" t="n">
        <f aca="false">D1737*L1737</f>
        <v>36036000</v>
      </c>
      <c r="P1737" s="42" t="str">
        <f aca="false">TRIM(IF(N(E1737)&lt;=0,"택가보정 ","")&amp;IF(N(F1737)&lt;=0,"원가보정 ","")&amp;IF(AND(B1737&lt;&gt;"CN",N(H1737)&lt;=0),"공급가보정 ","")&amp;IF(AND(B1737="CN",N(I1737)&lt;=0),"중국공급가=원가+마진 ",""))</f>
        <v/>
      </c>
      <c r="Q1737" s="47" t="n">
        <f aca="false">IF(SUMIFS($W:$W,$A:$A,A1737,$C:$C,C1737)=0,0,SUMIFS(RAW_판매펀칭!$K:$K,RAW_판매펀칭!$P:$P,A1737,RAW_판매펀칭!$I:$I,C1737)*W1737/SUMIFS($W:$W,$A:$A,A1737,$C:$C,C1737))</f>
        <v>2967</v>
      </c>
      <c r="R1737" s="47" t="n">
        <f aca="false">IF(OR(A1737="500",A1737="800",A1737="810"),0,MAX(W1737-Q1737,0))</f>
        <v>33</v>
      </c>
      <c r="S1737" s="47" t="n">
        <f aca="false">R1737*L1737</f>
        <v>396396</v>
      </c>
      <c r="T1737" s="47" t="n">
        <f aca="false">R1737*J1737</f>
        <v>1188000</v>
      </c>
      <c r="U1737" s="47" t="n">
        <f aca="false">R1737*K1737</f>
        <v>323400</v>
      </c>
      <c r="V1737" s="0" t="str">
        <f aca="false">IF(COUNTIFS($A$2:A1737,A1737,$C$2:C1737,C1737,$D$2:D1737,D1737)&gt;1,"중복","")</f>
        <v/>
      </c>
      <c r="W1737" s="0" t="n">
        <f aca="false">IF(V1737="중복",0,N(D1737))</f>
        <v>3000</v>
      </c>
      <c r="X1737" s="0" t="n">
        <f aca="false">IF(COUNTIFS($A$2:A1737,A1737,$C$2:C1737,C1737)=1,ABS(SUMIFS(RAW_발주!$D:$D,RAW_발주!$C:$C,A1737,RAW_발주!$A:$A,C1737)-SUMIFS($W:$W,$A:$A,A1737,$C:$C,C1737)),0)</f>
        <v>0</v>
      </c>
    </row>
    <row r="1738" customFormat="false" ht="15" hidden="false" customHeight="true" outlineLevel="0" collapsed="false">
      <c r="A1738" s="45" t="s">
        <v>1659</v>
      </c>
      <c r="B1738" s="42" t="str">
        <f aca="false">IF(A1738="100","HK",IF(A1738="200","CN",IF(A1738="300","TW","홀세일")))</f>
        <v>HK</v>
      </c>
      <c r="C1738" s="45" t="s">
        <v>1003</v>
      </c>
      <c r="D1738" s="46" t="n">
        <v>400</v>
      </c>
      <c r="E1738" s="46"/>
      <c r="F1738" s="46" t="n">
        <v>10800</v>
      </c>
      <c r="G1738" s="42" t="n">
        <v>0</v>
      </c>
      <c r="J1738" s="46" t="n">
        <f aca="false">IF(N(E1738)&gt;0,E1738,IF(N(F1738)&gt;0,F1738*요약!$F$27,0))</f>
        <v>43200</v>
      </c>
      <c r="K1738" s="46" t="n">
        <f aca="false">IF(N(F1738)&gt;0,F1738,IF(N(E1738)&gt;0,E1738/요약!$F$27,0))</f>
        <v>10800</v>
      </c>
      <c r="L1738" s="46" t="n">
        <f aca="false">IF(B1738="CN",IF(N(I1738)&gt;0,I1738*요약!$G$27,K1738*(1+요약!$E$27)),IF(N(H1738)&gt;0,H1738*요약!$G$27,J1738*요약!$D$27))</f>
        <v>14256</v>
      </c>
      <c r="M1738" s="46" t="n">
        <f aca="false">D1738*J1738</f>
        <v>17280000</v>
      </c>
      <c r="N1738" s="46" t="n">
        <f aca="false">D1738*K1738</f>
        <v>4320000</v>
      </c>
      <c r="O1738" s="46" t="n">
        <f aca="false">D1738*L1738</f>
        <v>5702400</v>
      </c>
      <c r="P1738" s="42" t="str">
        <f aca="false">TRIM(IF(N(E1738)&lt;=0,"택가보정 ","")&amp;IF(N(F1738)&lt;=0,"원가보정 ","")&amp;IF(AND(B1738&lt;&gt;"CN",N(H1738)&lt;=0),"공급가보정 ","")&amp;IF(AND(B1738="CN",N(I1738)&lt;=0),"중국공급가=원가+마진 ",""))</f>
        <v>택가보정 공급가보정</v>
      </c>
      <c r="Q1738" s="47" t="n">
        <f aca="false">IF(SUMIFS($W:$W,$A:$A,A1738,$C:$C,C1738)=0,0,SUMIFS(RAW_판매펀칭!$K:$K,RAW_판매펀칭!$P:$P,A1738,RAW_판매펀칭!$I:$I,C1738)*W1738/SUMIFS($W:$W,$A:$A,A1738,$C:$C,C1738))</f>
        <v>400</v>
      </c>
      <c r="R1738" s="47" t="n">
        <f aca="false">IF(OR(A1738="500",A1738="800",A1738="810"),0,MAX(W1738-Q1738,0))</f>
        <v>0</v>
      </c>
      <c r="S1738" s="47" t="n">
        <f aca="false">R1738*L1738</f>
        <v>0</v>
      </c>
      <c r="T1738" s="47" t="n">
        <f aca="false">R1738*J1738</f>
        <v>0</v>
      </c>
      <c r="U1738" s="47" t="n">
        <f aca="false">R1738*K1738</f>
        <v>0</v>
      </c>
      <c r="V1738" s="0" t="str">
        <f aca="false">IF(COUNTIFS($A$2:A1738,A1738,$C$2:C1738,C1738,$D$2:D1738,D1738)&gt;1,"중복","")</f>
        <v/>
      </c>
      <c r="W1738" s="0" t="n">
        <f aca="false">IF(V1738="중복",0,N(D1738))</f>
        <v>400</v>
      </c>
      <c r="X1738" s="0" t="n">
        <f aca="false">IF(COUNTIFS($A$2:A1738,A1738,$C$2:C1738,C1738)=1,ABS(SUMIFS(RAW_발주!$D:$D,RAW_발주!$C:$C,A1738,RAW_발주!$A:$A,C1738)-SUMIFS($W:$W,$A:$A,A1738,$C:$C,C1738)),0)</f>
        <v>0</v>
      </c>
    </row>
    <row r="1739" customFormat="false" ht="15.75" hidden="false" customHeight="true" outlineLevel="0" collapsed="false">
      <c r="A1739" s="45" t="s">
        <v>1660</v>
      </c>
      <c r="B1739" s="42" t="str">
        <f aca="false">IF(A1739="100","HK",IF(A1739="200","CN",IF(A1739="300","TW","홀세일")))</f>
        <v>CN</v>
      </c>
      <c r="C1739" s="45" t="s">
        <v>688</v>
      </c>
      <c r="D1739" s="46" t="n">
        <v>497</v>
      </c>
      <c r="E1739" s="46" t="n">
        <v>159000</v>
      </c>
      <c r="F1739" s="46" t="n">
        <v>43658</v>
      </c>
      <c r="G1739" s="42" t="n">
        <v>9.15</v>
      </c>
      <c r="H1739" s="42" t="n">
        <v>39.8</v>
      </c>
      <c r="J1739" s="46" t="n">
        <f aca="false">IF(N(E1739)&gt;0,E1739,IF(N(F1739)&gt;0,F1739*요약!$F$27,0))</f>
        <v>159000</v>
      </c>
      <c r="K1739" s="46" t="n">
        <f aca="false">IF(N(F1739)&gt;0,F1739,IF(N(E1739)&gt;0,E1739/요약!$F$27,0))</f>
        <v>43658</v>
      </c>
      <c r="L1739" s="46" t="n">
        <f aca="false">IF(B1739="CN",IF(N(I1739)&gt;0,I1739*요약!$G$27,K1739*(1+요약!$E$27)),IF(N(H1739)&gt;0,H1739*요약!$G$27,J1739*요약!$D$27))</f>
        <v>45840.9</v>
      </c>
      <c r="M1739" s="46" t="n">
        <f aca="false">D1739*J1739</f>
        <v>79023000</v>
      </c>
      <c r="N1739" s="46" t="n">
        <f aca="false">D1739*K1739</f>
        <v>21698026</v>
      </c>
      <c r="O1739" s="46" t="n">
        <f aca="false">D1739*L1739</f>
        <v>22782927.3</v>
      </c>
      <c r="P1739" s="42" t="str">
        <f aca="false">TRIM(IF(N(E1739)&lt;=0,"택가보정 ","")&amp;IF(N(F1739)&lt;=0,"원가보정 ","")&amp;IF(AND(B1739&lt;&gt;"CN",N(H1739)&lt;=0),"공급가보정 ","")&amp;IF(AND(B1739="CN",N(I1739)&lt;=0),"중국공급가=원가+마진 ",""))</f>
        <v>중국공급가=원가+마진</v>
      </c>
      <c r="Q1739" s="47" t="n">
        <f aca="false">IF(SUMIFS($W:$W,$A:$A,A1739,$C:$C,C1739)=0,0,SUMIFS(RAW_판매펀칭!$K:$K,RAW_판매펀칭!$P:$P,A1739,RAW_판매펀칭!$I:$I,C1739)*W1739/SUMIFS($W:$W,$A:$A,A1739,$C:$C,C1739))</f>
        <v>497</v>
      </c>
      <c r="R1739" s="47" t="n">
        <f aca="false">IF(OR(A1739="500",A1739="800",A1739="810"),0,MAX(W1739-Q1739,0))</f>
        <v>0</v>
      </c>
      <c r="S1739" s="47" t="n">
        <f aca="false">R1739*L1739</f>
        <v>0</v>
      </c>
      <c r="T1739" s="47" t="n">
        <f aca="false">R1739*J1739</f>
        <v>0</v>
      </c>
      <c r="U1739" s="47" t="n">
        <f aca="false">R1739*K1739</f>
        <v>0</v>
      </c>
      <c r="V1739" s="0" t="str">
        <f aca="false">IF(COUNTIFS($A$2:A1739,A1739,$C$2:C1739,C1739,$D$2:D1739,D1739)&gt;1,"중복","")</f>
        <v/>
      </c>
      <c r="W1739" s="0" t="n">
        <f aca="false">IF(V1739="중복",0,N(D1739))</f>
        <v>497</v>
      </c>
      <c r="X1739" s="0" t="n">
        <f aca="false">IF(COUNTIFS($A$2:A1739,A1739,$C$2:C1739,C1739)=1,ABS(SUMIFS(RAW_발주!$D:$D,RAW_발주!$C:$C,A1739,RAW_발주!$A:$A,C1739)-SUMIFS($W:$W,$A:$A,A1739,$C:$C,C1739)),0)</f>
        <v>0</v>
      </c>
    </row>
    <row r="1740" customFormat="false" ht="15" hidden="false" customHeight="true" outlineLevel="0" collapsed="false">
      <c r="A1740" s="45" t="s">
        <v>1661</v>
      </c>
      <c r="B1740" s="42" t="str">
        <f aca="false">IF(A1740="100","HK",IF(A1740="200","CN",IF(A1740="300","TW","홀세일")))</f>
        <v>TW</v>
      </c>
      <c r="C1740" s="45" t="s">
        <v>688</v>
      </c>
      <c r="D1740" s="46" t="n">
        <v>320</v>
      </c>
      <c r="E1740" s="46" t="n">
        <v>159000</v>
      </c>
      <c r="F1740" s="46" t="n">
        <v>43658</v>
      </c>
      <c r="G1740" s="42" t="n">
        <v>9.15</v>
      </c>
      <c r="H1740" s="42" t="n">
        <v>39.8</v>
      </c>
      <c r="J1740" s="46" t="n">
        <f aca="false">IF(N(E1740)&gt;0,E1740,IF(N(F1740)&gt;0,F1740*요약!$F$27,0))</f>
        <v>159000</v>
      </c>
      <c r="K1740" s="46" t="n">
        <f aca="false">IF(N(F1740)&gt;0,F1740,IF(N(E1740)&gt;0,E1740/요약!$F$27,0))</f>
        <v>43658</v>
      </c>
      <c r="L1740" s="46" t="n">
        <f aca="false">IF(B1740="CN",IF(N(I1740)&gt;0,I1740*요약!$G$27,K1740*(1+요약!$E$27)),IF(N(H1740)&gt;0,H1740*요약!$G$27,J1740*요약!$D$27))</f>
        <v>52536</v>
      </c>
      <c r="M1740" s="46" t="n">
        <f aca="false">D1740*J1740</f>
        <v>50880000</v>
      </c>
      <c r="N1740" s="46" t="n">
        <f aca="false">D1740*K1740</f>
        <v>13970560</v>
      </c>
      <c r="O1740" s="46" t="n">
        <f aca="false">D1740*L1740</f>
        <v>16811520</v>
      </c>
      <c r="P1740" s="42" t="str">
        <f aca="false">TRIM(IF(N(E1740)&lt;=0,"택가보정 ","")&amp;IF(N(F1740)&lt;=0,"원가보정 ","")&amp;IF(AND(B1740&lt;&gt;"CN",N(H1740)&lt;=0),"공급가보정 ","")&amp;IF(AND(B1740="CN",N(I1740)&lt;=0),"중국공급가=원가+마진 ",""))</f>
        <v/>
      </c>
      <c r="Q1740" s="47" t="n">
        <f aca="false">IF(SUMIFS($W:$W,$A:$A,A1740,$C:$C,C1740)=0,0,SUMIFS(RAW_판매펀칭!$K:$K,RAW_판매펀칭!$P:$P,A1740,RAW_판매펀칭!$I:$I,C1740)*W1740/SUMIFS($W:$W,$A:$A,A1740,$C:$C,C1740))</f>
        <v>320</v>
      </c>
      <c r="R1740" s="47" t="n">
        <f aca="false">IF(OR(A1740="500",A1740="800",A1740="810"),0,MAX(W1740-Q1740,0))</f>
        <v>0</v>
      </c>
      <c r="S1740" s="47" t="n">
        <f aca="false">R1740*L1740</f>
        <v>0</v>
      </c>
      <c r="T1740" s="47" t="n">
        <f aca="false">R1740*J1740</f>
        <v>0</v>
      </c>
      <c r="U1740" s="47" t="n">
        <f aca="false">R1740*K1740</f>
        <v>0</v>
      </c>
      <c r="V1740" s="0" t="str">
        <f aca="false">IF(COUNTIFS($A$2:A1740,A1740,$C$2:C1740,C1740,$D$2:D1740,D1740)&gt;1,"중복","")</f>
        <v/>
      </c>
      <c r="W1740" s="0" t="n">
        <f aca="false">IF(V1740="중복",0,N(D1740))</f>
        <v>320</v>
      </c>
      <c r="X1740" s="0" t="n">
        <f aca="false">IF(COUNTIFS($A$2:A1740,A1740,$C$2:C1740,C1740)=1,ABS(SUMIFS(RAW_발주!$D:$D,RAW_발주!$C:$C,A1740,RAW_발주!$A:$A,C1740)-SUMIFS($W:$W,$A:$A,A1740,$C:$C,C1740)),0)</f>
        <v>0</v>
      </c>
    </row>
    <row r="1741" customFormat="false" ht="15" hidden="false" customHeight="true" outlineLevel="0" collapsed="false">
      <c r="A1741" s="45" t="s">
        <v>1663</v>
      </c>
      <c r="B1741" s="42" t="str">
        <f aca="false">IF(A1741="100","HK",IF(A1741="200","CN",IF(A1741="300","TW","홀세일")))</f>
        <v>홀세일</v>
      </c>
      <c r="C1741" s="45" t="s">
        <v>688</v>
      </c>
      <c r="D1741" s="46" t="n">
        <v>20</v>
      </c>
      <c r="E1741" s="46" t="n">
        <v>159000</v>
      </c>
      <c r="F1741" s="46" t="n">
        <v>43658</v>
      </c>
      <c r="G1741" s="42" t="n">
        <v>9.15</v>
      </c>
      <c r="H1741" s="42" t="n">
        <v>39.8</v>
      </c>
      <c r="J1741" s="46" t="n">
        <f aca="false">IF(N(E1741)&gt;0,E1741,IF(N(F1741)&gt;0,F1741*요약!$F$27,0))</f>
        <v>159000</v>
      </c>
      <c r="K1741" s="46" t="n">
        <f aca="false">IF(N(F1741)&gt;0,F1741,IF(N(E1741)&gt;0,E1741/요약!$F$27,0))</f>
        <v>43658</v>
      </c>
      <c r="L1741" s="46" t="n">
        <f aca="false">IF(B1741="CN",IF(N(I1741)&gt;0,I1741*요약!$G$27,K1741*(1+요약!$E$27)),IF(N(H1741)&gt;0,H1741*요약!$G$27,J1741*요약!$D$27))</f>
        <v>52536</v>
      </c>
      <c r="M1741" s="46" t="n">
        <f aca="false">D1741*J1741</f>
        <v>3180000</v>
      </c>
      <c r="N1741" s="46" t="n">
        <f aca="false">D1741*K1741</f>
        <v>873160</v>
      </c>
      <c r="O1741" s="46" t="n">
        <f aca="false">D1741*L1741</f>
        <v>1050720</v>
      </c>
      <c r="P1741" s="42" t="str">
        <f aca="false">TRIM(IF(N(E1741)&lt;=0,"택가보정 ","")&amp;IF(N(F1741)&lt;=0,"원가보정 ","")&amp;IF(AND(B1741&lt;&gt;"CN",N(H1741)&lt;=0),"공급가보정 ","")&amp;IF(AND(B1741="CN",N(I1741)&lt;=0),"중국공급가=원가+마진 ",""))</f>
        <v/>
      </c>
      <c r="Q1741" s="47" t="n">
        <f aca="false">IF(SUMIFS($W:$W,$A:$A,A1741,$C:$C,C1741)=0,0,SUMIFS(RAW_판매펀칭!$K:$K,RAW_판매펀칭!$P:$P,A1741,RAW_판매펀칭!$I:$I,C1741)*W1741/SUMIFS($W:$W,$A:$A,A1741,$C:$C,C1741))</f>
        <v>20</v>
      </c>
      <c r="R1741" s="47" t="n">
        <f aca="false">IF(OR(A1741="500",A1741="800",A1741="810"),0,MAX(W1741-Q1741,0))</f>
        <v>0</v>
      </c>
      <c r="S1741" s="47" t="n">
        <f aca="false">R1741*L1741</f>
        <v>0</v>
      </c>
      <c r="T1741" s="47" t="n">
        <f aca="false">R1741*J1741</f>
        <v>0</v>
      </c>
      <c r="U1741" s="47" t="n">
        <f aca="false">R1741*K1741</f>
        <v>0</v>
      </c>
      <c r="V1741" s="0" t="str">
        <f aca="false">IF(COUNTIFS($A$2:A1741,A1741,$C$2:C1741,C1741,$D$2:D1741,D1741)&gt;1,"중복","")</f>
        <v/>
      </c>
      <c r="W1741" s="0" t="n">
        <f aca="false">IF(V1741="중복",0,N(D1741))</f>
        <v>20</v>
      </c>
      <c r="X1741" s="0" t="n">
        <f aca="false">IF(COUNTIFS($A$2:A1741,A1741,$C$2:C1741,C1741)=1,ABS(SUMIFS(RAW_발주!$D:$D,RAW_발주!$C:$C,A1741,RAW_발주!$A:$A,C1741)-SUMIFS($W:$W,$A:$A,A1741,$C:$C,C1741)),0)</f>
        <v>0</v>
      </c>
    </row>
    <row r="1742" customFormat="false" ht="15" hidden="false" customHeight="true" outlineLevel="0" collapsed="false">
      <c r="A1742" s="45" t="s">
        <v>1659</v>
      </c>
      <c r="B1742" s="42" t="str">
        <f aca="false">IF(A1742="100","HK",IF(A1742="200","CN",IF(A1742="300","TW","홀세일")))</f>
        <v>HK</v>
      </c>
      <c r="C1742" s="45" t="s">
        <v>690</v>
      </c>
      <c r="D1742" s="46" t="n">
        <v>310</v>
      </c>
      <c r="E1742" s="46"/>
      <c r="F1742" s="46" t="n">
        <v>35305</v>
      </c>
      <c r="G1742" s="42" t="n">
        <v>0</v>
      </c>
      <c r="H1742" s="42" t="n">
        <v>34.3</v>
      </c>
      <c r="J1742" s="46" t="n">
        <f aca="false">IF(N(E1742)&gt;0,E1742,IF(N(F1742)&gt;0,F1742*요약!$F$27,0))</f>
        <v>141220</v>
      </c>
      <c r="K1742" s="46" t="n">
        <f aca="false">IF(N(F1742)&gt;0,F1742,IF(N(E1742)&gt;0,E1742/요약!$F$27,0))</f>
        <v>35305</v>
      </c>
      <c r="L1742" s="46" t="n">
        <f aca="false">IF(B1742="CN",IF(N(I1742)&gt;0,I1742*요약!$G$27,K1742*(1+요약!$E$27)),IF(N(H1742)&gt;0,H1742*요약!$G$27,J1742*요약!$D$27))</f>
        <v>45276</v>
      </c>
      <c r="M1742" s="46" t="n">
        <f aca="false">D1742*J1742</f>
        <v>43778200</v>
      </c>
      <c r="N1742" s="46" t="n">
        <f aca="false">D1742*K1742</f>
        <v>10944550</v>
      </c>
      <c r="O1742" s="46" t="n">
        <f aca="false">D1742*L1742</f>
        <v>14035560</v>
      </c>
      <c r="P1742" s="42" t="str">
        <f aca="false">TRIM(IF(N(E1742)&lt;=0,"택가보정 ","")&amp;IF(N(F1742)&lt;=0,"원가보정 ","")&amp;IF(AND(B1742&lt;&gt;"CN",N(H1742)&lt;=0),"공급가보정 ","")&amp;IF(AND(B1742="CN",N(I1742)&lt;=0),"중국공급가=원가+마진 ",""))</f>
        <v>택가보정</v>
      </c>
      <c r="Q1742" s="47" t="n">
        <f aca="false">IF(SUMIFS($W:$W,$A:$A,A1742,$C:$C,C1742)=0,0,SUMIFS(RAW_판매펀칭!$K:$K,RAW_판매펀칭!$P:$P,A1742,RAW_판매펀칭!$I:$I,C1742)*W1742/SUMIFS($W:$W,$A:$A,A1742,$C:$C,C1742))</f>
        <v>310</v>
      </c>
      <c r="R1742" s="47" t="n">
        <f aca="false">IF(OR(A1742="500",A1742="800",A1742="810"),0,MAX(W1742-Q1742,0))</f>
        <v>0</v>
      </c>
      <c r="S1742" s="47" t="n">
        <f aca="false">R1742*L1742</f>
        <v>0</v>
      </c>
      <c r="T1742" s="47" t="n">
        <f aca="false">R1742*J1742</f>
        <v>0</v>
      </c>
      <c r="U1742" s="47" t="n">
        <f aca="false">R1742*K1742</f>
        <v>0</v>
      </c>
      <c r="V1742" s="0" t="str">
        <f aca="false">IF(COUNTIFS($A$2:A1742,A1742,$C$2:C1742,C1742,$D$2:D1742,D1742)&gt;1,"중복","")</f>
        <v/>
      </c>
      <c r="W1742" s="0" t="n">
        <f aca="false">IF(V1742="중복",0,N(D1742))</f>
        <v>310</v>
      </c>
      <c r="X1742" s="0" t="n">
        <f aca="false">IF(COUNTIFS($A$2:A1742,A1742,$C$2:C1742,C1742)=1,ABS(SUMIFS(RAW_발주!$D:$D,RAW_발주!$C:$C,A1742,RAW_발주!$A:$A,C1742)-SUMIFS($W:$W,$A:$A,A1742,$C:$C,C1742)),0)</f>
        <v>0</v>
      </c>
    </row>
    <row r="1743" customFormat="false" ht="15.75" hidden="false" customHeight="true" outlineLevel="0" collapsed="false">
      <c r="A1743" s="45" t="s">
        <v>1660</v>
      </c>
      <c r="B1743" s="42" t="str">
        <f aca="false">IF(A1743="100","HK",IF(A1743="200","CN",IF(A1743="300","TW","홀세일")))</f>
        <v>CN</v>
      </c>
      <c r="C1743" s="45" t="s">
        <v>690</v>
      </c>
      <c r="D1743" s="46" t="n">
        <v>748</v>
      </c>
      <c r="E1743" s="46"/>
      <c r="F1743" s="46" t="n">
        <v>35305</v>
      </c>
      <c r="G1743" s="42" t="n">
        <v>0</v>
      </c>
      <c r="H1743" s="42" t="n">
        <v>34.3</v>
      </c>
      <c r="J1743" s="46" t="n">
        <f aca="false">IF(N(E1743)&gt;0,E1743,IF(N(F1743)&gt;0,F1743*요약!$F$27,0))</f>
        <v>141220</v>
      </c>
      <c r="K1743" s="46" t="n">
        <f aca="false">IF(N(F1743)&gt;0,F1743,IF(N(E1743)&gt;0,E1743/요약!$F$27,0))</f>
        <v>35305</v>
      </c>
      <c r="L1743" s="46" t="n">
        <f aca="false">IF(B1743="CN",IF(N(I1743)&gt;0,I1743*요약!$G$27,K1743*(1+요약!$E$27)),IF(N(H1743)&gt;0,H1743*요약!$G$27,J1743*요약!$D$27))</f>
        <v>37070.25</v>
      </c>
      <c r="M1743" s="46" t="n">
        <f aca="false">D1743*J1743</f>
        <v>105632560</v>
      </c>
      <c r="N1743" s="46" t="n">
        <f aca="false">D1743*K1743</f>
        <v>26408140</v>
      </c>
      <c r="O1743" s="46" t="n">
        <f aca="false">D1743*L1743</f>
        <v>27728547</v>
      </c>
      <c r="P1743" s="42" t="str">
        <f aca="false">TRIM(IF(N(E1743)&lt;=0,"택가보정 ","")&amp;IF(N(F1743)&lt;=0,"원가보정 ","")&amp;IF(AND(B1743&lt;&gt;"CN",N(H1743)&lt;=0),"공급가보정 ","")&amp;IF(AND(B1743="CN",N(I1743)&lt;=0),"중국공급가=원가+마진 ",""))</f>
        <v>택가보정 중국공급가=원가+마진</v>
      </c>
      <c r="Q1743" s="47" t="n">
        <f aca="false">IF(SUMIFS($W:$W,$A:$A,A1743,$C:$C,C1743)=0,0,SUMIFS(RAW_판매펀칭!$K:$K,RAW_판매펀칭!$P:$P,A1743,RAW_판매펀칭!$I:$I,C1743)*W1743/SUMIFS($W:$W,$A:$A,A1743,$C:$C,C1743))</f>
        <v>745</v>
      </c>
      <c r="R1743" s="47" t="n">
        <f aca="false">IF(OR(A1743="500",A1743="800",A1743="810"),0,MAX(W1743-Q1743,0))</f>
        <v>3</v>
      </c>
      <c r="S1743" s="47" t="n">
        <f aca="false">R1743*L1743</f>
        <v>111210.75</v>
      </c>
      <c r="T1743" s="47" t="n">
        <f aca="false">R1743*J1743</f>
        <v>423660</v>
      </c>
      <c r="U1743" s="47" t="n">
        <f aca="false">R1743*K1743</f>
        <v>105915</v>
      </c>
      <c r="V1743" s="0" t="str">
        <f aca="false">IF(COUNTIFS($A$2:A1743,A1743,$C$2:C1743,C1743,$D$2:D1743,D1743)&gt;1,"중복","")</f>
        <v/>
      </c>
      <c r="W1743" s="0" t="n">
        <f aca="false">IF(V1743="중복",0,N(D1743))</f>
        <v>748</v>
      </c>
      <c r="X1743" s="0" t="n">
        <f aca="false">IF(COUNTIFS($A$2:A1743,A1743,$C$2:C1743,C1743)=1,ABS(SUMIFS(RAW_발주!$D:$D,RAW_발주!$C:$C,A1743,RAW_발주!$A:$A,C1743)-SUMIFS($W:$W,$A:$A,A1743,$C:$C,C1743)),0)</f>
        <v>0</v>
      </c>
    </row>
    <row r="1744" customFormat="false" ht="15" hidden="false" customHeight="true" outlineLevel="0" collapsed="false">
      <c r="A1744" s="45" t="s">
        <v>1661</v>
      </c>
      <c r="B1744" s="42" t="str">
        <f aca="false">IF(A1744="100","HK",IF(A1744="200","CN",IF(A1744="300","TW","홀세일")))</f>
        <v>TW</v>
      </c>
      <c r="C1744" s="45" t="s">
        <v>690</v>
      </c>
      <c r="D1744" s="46" t="n">
        <v>360</v>
      </c>
      <c r="E1744" s="46"/>
      <c r="F1744" s="46" t="n">
        <v>35305</v>
      </c>
      <c r="G1744" s="42" t="n">
        <v>0</v>
      </c>
      <c r="H1744" s="42" t="n">
        <v>34.3</v>
      </c>
      <c r="J1744" s="46" t="n">
        <f aca="false">IF(N(E1744)&gt;0,E1744,IF(N(F1744)&gt;0,F1744*요약!$F$27,0))</f>
        <v>141220</v>
      </c>
      <c r="K1744" s="46" t="n">
        <f aca="false">IF(N(F1744)&gt;0,F1744,IF(N(E1744)&gt;0,E1744/요약!$F$27,0))</f>
        <v>35305</v>
      </c>
      <c r="L1744" s="46" t="n">
        <f aca="false">IF(B1744="CN",IF(N(I1744)&gt;0,I1744*요약!$G$27,K1744*(1+요약!$E$27)),IF(N(H1744)&gt;0,H1744*요약!$G$27,J1744*요약!$D$27))</f>
        <v>45276</v>
      </c>
      <c r="M1744" s="46" t="n">
        <f aca="false">D1744*J1744</f>
        <v>50839200</v>
      </c>
      <c r="N1744" s="46" t="n">
        <f aca="false">D1744*K1744</f>
        <v>12709800</v>
      </c>
      <c r="O1744" s="46" t="n">
        <f aca="false">D1744*L1744</f>
        <v>16299360</v>
      </c>
      <c r="P1744" s="42" t="str">
        <f aca="false">TRIM(IF(N(E1744)&lt;=0,"택가보정 ","")&amp;IF(N(F1744)&lt;=0,"원가보정 ","")&amp;IF(AND(B1744&lt;&gt;"CN",N(H1744)&lt;=0),"공급가보정 ","")&amp;IF(AND(B1744="CN",N(I1744)&lt;=0),"중국공급가=원가+마진 ",""))</f>
        <v>택가보정</v>
      </c>
      <c r="Q1744" s="47" t="n">
        <f aca="false">IF(SUMIFS($W:$W,$A:$A,A1744,$C:$C,C1744)=0,0,SUMIFS(RAW_판매펀칭!$K:$K,RAW_판매펀칭!$P:$P,A1744,RAW_판매펀칭!$I:$I,C1744)*W1744/SUMIFS($W:$W,$A:$A,A1744,$C:$C,C1744))</f>
        <v>360</v>
      </c>
      <c r="R1744" s="47" t="n">
        <f aca="false">IF(OR(A1744="500",A1744="800",A1744="810"),0,MAX(W1744-Q1744,0))</f>
        <v>0</v>
      </c>
      <c r="S1744" s="47" t="n">
        <f aca="false">R1744*L1744</f>
        <v>0</v>
      </c>
      <c r="T1744" s="47" t="n">
        <f aca="false">R1744*J1744</f>
        <v>0</v>
      </c>
      <c r="U1744" s="47" t="n">
        <f aca="false">R1744*K1744</f>
        <v>0</v>
      </c>
      <c r="V1744" s="0" t="str">
        <f aca="false">IF(COUNTIFS($A$2:A1744,A1744,$C$2:C1744,C1744,$D$2:D1744,D1744)&gt;1,"중복","")</f>
        <v/>
      </c>
      <c r="W1744" s="0" t="n">
        <f aca="false">IF(V1744="중복",0,N(D1744))</f>
        <v>360</v>
      </c>
      <c r="X1744" s="0" t="n">
        <f aca="false">IF(COUNTIFS($A$2:A1744,A1744,$C$2:C1744,C1744)=1,ABS(SUMIFS(RAW_발주!$D:$D,RAW_발주!$C:$C,A1744,RAW_발주!$A:$A,C1744)-SUMIFS($W:$W,$A:$A,A1744,$C:$C,C1744)),0)</f>
        <v>0</v>
      </c>
    </row>
    <row r="1745" customFormat="false" ht="15.75" hidden="false" customHeight="true" outlineLevel="0" collapsed="false">
      <c r="A1745" s="45" t="s">
        <v>1660</v>
      </c>
      <c r="B1745" s="42" t="str">
        <f aca="false">IF(A1745="100","HK",IF(A1745="200","CN",IF(A1745="300","TW","홀세일")))</f>
        <v>CN</v>
      </c>
      <c r="C1745" s="45" t="s">
        <v>692</v>
      </c>
      <c r="D1745" s="46" t="n">
        <v>287</v>
      </c>
      <c r="E1745" s="46"/>
      <c r="F1745" s="46" t="n">
        <v>38494</v>
      </c>
      <c r="G1745" s="42" t="n">
        <v>0</v>
      </c>
      <c r="H1745" s="42" t="n">
        <v>39.6</v>
      </c>
      <c r="J1745" s="46" t="n">
        <f aca="false">IF(N(E1745)&gt;0,E1745,IF(N(F1745)&gt;0,F1745*요약!$F$27,0))</f>
        <v>153976</v>
      </c>
      <c r="K1745" s="46" t="n">
        <f aca="false">IF(N(F1745)&gt;0,F1745,IF(N(E1745)&gt;0,E1745/요약!$F$27,0))</f>
        <v>38494</v>
      </c>
      <c r="L1745" s="46" t="n">
        <f aca="false">IF(B1745="CN",IF(N(I1745)&gt;0,I1745*요약!$G$27,K1745*(1+요약!$E$27)),IF(N(H1745)&gt;0,H1745*요약!$G$27,J1745*요약!$D$27))</f>
        <v>40418.7</v>
      </c>
      <c r="M1745" s="46" t="n">
        <f aca="false">D1745*J1745</f>
        <v>44191112</v>
      </c>
      <c r="N1745" s="46" t="n">
        <f aca="false">D1745*K1745</f>
        <v>11047778</v>
      </c>
      <c r="O1745" s="46" t="n">
        <f aca="false">D1745*L1745</f>
        <v>11600166.9</v>
      </c>
      <c r="P1745" s="42" t="str">
        <f aca="false">TRIM(IF(N(E1745)&lt;=0,"택가보정 ","")&amp;IF(N(F1745)&lt;=0,"원가보정 ","")&amp;IF(AND(B1745&lt;&gt;"CN",N(H1745)&lt;=0),"공급가보정 ","")&amp;IF(AND(B1745="CN",N(I1745)&lt;=0),"중국공급가=원가+마진 ",""))</f>
        <v>택가보정 중국공급가=원가+마진</v>
      </c>
      <c r="Q1745" s="47" t="n">
        <f aca="false">IF(SUMIFS($W:$W,$A:$A,A1745,$C:$C,C1745)=0,0,SUMIFS(RAW_판매펀칭!$K:$K,RAW_판매펀칭!$P:$P,A1745,RAW_판매펀칭!$I:$I,C1745)*W1745/SUMIFS($W:$W,$A:$A,A1745,$C:$C,C1745))</f>
        <v>287</v>
      </c>
      <c r="R1745" s="47" t="n">
        <f aca="false">IF(OR(A1745="500",A1745="800",A1745="810"),0,MAX(W1745-Q1745,0))</f>
        <v>0</v>
      </c>
      <c r="S1745" s="47" t="n">
        <f aca="false">R1745*L1745</f>
        <v>0</v>
      </c>
      <c r="T1745" s="47" t="n">
        <f aca="false">R1745*J1745</f>
        <v>0</v>
      </c>
      <c r="U1745" s="47" t="n">
        <f aca="false">R1745*K1745</f>
        <v>0</v>
      </c>
      <c r="V1745" s="0" t="str">
        <f aca="false">IF(COUNTIFS($A$2:A1745,A1745,$C$2:C1745,C1745,$D$2:D1745,D1745)&gt;1,"중복","")</f>
        <v/>
      </c>
      <c r="W1745" s="0" t="n">
        <f aca="false">IF(V1745="중복",0,N(D1745))</f>
        <v>287</v>
      </c>
      <c r="X1745" s="0" t="n">
        <f aca="false">IF(COUNTIFS($A$2:A1745,A1745,$C$2:C1745,C1745)=1,ABS(SUMIFS(RAW_발주!$D:$D,RAW_발주!$C:$C,A1745,RAW_발주!$A:$A,C1745)-SUMIFS($W:$W,$A:$A,A1745,$C:$C,C1745)),0)</f>
        <v>0</v>
      </c>
    </row>
    <row r="1746" customFormat="false" ht="15" hidden="false" customHeight="true" outlineLevel="0" collapsed="false">
      <c r="A1746" s="45" t="s">
        <v>1661</v>
      </c>
      <c r="B1746" s="42" t="str">
        <f aca="false">IF(A1746="100","HK",IF(A1746="200","CN",IF(A1746="300","TW","홀세일")))</f>
        <v>TW</v>
      </c>
      <c r="C1746" s="45" t="s">
        <v>692</v>
      </c>
      <c r="D1746" s="46" t="n">
        <v>320</v>
      </c>
      <c r="E1746" s="46"/>
      <c r="F1746" s="46" t="n">
        <v>38494</v>
      </c>
      <c r="G1746" s="42" t="n">
        <v>0</v>
      </c>
      <c r="H1746" s="42" t="n">
        <v>39.6</v>
      </c>
      <c r="J1746" s="46" t="n">
        <f aca="false">IF(N(E1746)&gt;0,E1746,IF(N(F1746)&gt;0,F1746*요약!$F$27,0))</f>
        <v>153976</v>
      </c>
      <c r="K1746" s="46" t="n">
        <f aca="false">IF(N(F1746)&gt;0,F1746,IF(N(E1746)&gt;0,E1746/요약!$F$27,0))</f>
        <v>38494</v>
      </c>
      <c r="L1746" s="46" t="n">
        <f aca="false">IF(B1746="CN",IF(N(I1746)&gt;0,I1746*요약!$G$27,K1746*(1+요약!$E$27)),IF(N(H1746)&gt;0,H1746*요약!$G$27,J1746*요약!$D$27))</f>
        <v>52272</v>
      </c>
      <c r="M1746" s="46" t="n">
        <f aca="false">D1746*J1746</f>
        <v>49272320</v>
      </c>
      <c r="N1746" s="46" t="n">
        <f aca="false">D1746*K1746</f>
        <v>12318080</v>
      </c>
      <c r="O1746" s="46" t="n">
        <f aca="false">D1746*L1746</f>
        <v>16727040</v>
      </c>
      <c r="P1746" s="42" t="str">
        <f aca="false">TRIM(IF(N(E1746)&lt;=0,"택가보정 ","")&amp;IF(N(F1746)&lt;=0,"원가보정 ","")&amp;IF(AND(B1746&lt;&gt;"CN",N(H1746)&lt;=0),"공급가보정 ","")&amp;IF(AND(B1746="CN",N(I1746)&lt;=0),"중국공급가=원가+마진 ",""))</f>
        <v>택가보정</v>
      </c>
      <c r="Q1746" s="47" t="n">
        <f aca="false">IF(SUMIFS($W:$W,$A:$A,A1746,$C:$C,C1746)=0,0,SUMIFS(RAW_판매펀칭!$K:$K,RAW_판매펀칭!$P:$P,A1746,RAW_판매펀칭!$I:$I,C1746)*W1746/SUMIFS($W:$W,$A:$A,A1746,$C:$C,C1746))</f>
        <v>320</v>
      </c>
      <c r="R1746" s="47" t="n">
        <f aca="false">IF(OR(A1746="500",A1746="800",A1746="810"),0,MAX(W1746-Q1746,0))</f>
        <v>0</v>
      </c>
      <c r="S1746" s="47" t="n">
        <f aca="false">R1746*L1746</f>
        <v>0</v>
      </c>
      <c r="T1746" s="47" t="n">
        <f aca="false">R1746*J1746</f>
        <v>0</v>
      </c>
      <c r="U1746" s="47" t="n">
        <f aca="false">R1746*K1746</f>
        <v>0</v>
      </c>
      <c r="V1746" s="0" t="str">
        <f aca="false">IF(COUNTIFS($A$2:A1746,A1746,$C$2:C1746,C1746,$D$2:D1746,D1746)&gt;1,"중복","")</f>
        <v/>
      </c>
      <c r="W1746" s="0" t="n">
        <f aca="false">IF(V1746="중복",0,N(D1746))</f>
        <v>320</v>
      </c>
      <c r="X1746" s="0" t="n">
        <f aca="false">IF(COUNTIFS($A$2:A1746,A1746,$C$2:C1746,C1746)=1,ABS(SUMIFS(RAW_발주!$D:$D,RAW_발주!$C:$C,A1746,RAW_발주!$A:$A,C1746)-SUMIFS($W:$W,$A:$A,A1746,$C:$C,C1746)),0)</f>
        <v>0</v>
      </c>
    </row>
    <row r="1747" customFormat="false" ht="15" hidden="false" customHeight="true" outlineLevel="0" collapsed="false">
      <c r="A1747" s="45" t="s">
        <v>1659</v>
      </c>
      <c r="B1747" s="42" t="str">
        <f aca="false">IF(A1747="100","HK",IF(A1747="200","CN",IF(A1747="300","TW","홀세일")))</f>
        <v>HK</v>
      </c>
      <c r="C1747" s="45" t="s">
        <v>694</v>
      </c>
      <c r="D1747" s="46" t="n">
        <v>140</v>
      </c>
      <c r="E1747" s="46" t="n">
        <v>119000</v>
      </c>
      <c r="F1747" s="46" t="n">
        <v>34439</v>
      </c>
      <c r="G1747" s="42" t="n">
        <v>7.21</v>
      </c>
      <c r="H1747" s="42" t="n">
        <v>29.8</v>
      </c>
      <c r="J1747" s="46" t="n">
        <f aca="false">IF(N(E1747)&gt;0,E1747,IF(N(F1747)&gt;0,F1747*요약!$F$27,0))</f>
        <v>119000</v>
      </c>
      <c r="K1747" s="46" t="n">
        <f aca="false">IF(N(F1747)&gt;0,F1747,IF(N(E1747)&gt;0,E1747/요약!$F$27,0))</f>
        <v>34439</v>
      </c>
      <c r="L1747" s="46" t="n">
        <f aca="false">IF(B1747="CN",IF(N(I1747)&gt;0,I1747*요약!$G$27,K1747*(1+요약!$E$27)),IF(N(H1747)&gt;0,H1747*요약!$G$27,J1747*요약!$D$27))</f>
        <v>39336</v>
      </c>
      <c r="M1747" s="46" t="n">
        <f aca="false">D1747*J1747</f>
        <v>16660000</v>
      </c>
      <c r="N1747" s="46" t="n">
        <f aca="false">D1747*K1747</f>
        <v>4821460</v>
      </c>
      <c r="O1747" s="46" t="n">
        <f aca="false">D1747*L1747</f>
        <v>5507040</v>
      </c>
      <c r="P1747" s="42" t="str">
        <f aca="false">TRIM(IF(N(E1747)&lt;=0,"택가보정 ","")&amp;IF(N(F1747)&lt;=0,"원가보정 ","")&amp;IF(AND(B1747&lt;&gt;"CN",N(H1747)&lt;=0),"공급가보정 ","")&amp;IF(AND(B1747="CN",N(I1747)&lt;=0),"중국공급가=원가+마진 ",""))</f>
        <v/>
      </c>
      <c r="Q1747" s="47" t="n">
        <f aca="false">IF(SUMIFS($W:$W,$A:$A,A1747,$C:$C,C1747)=0,0,SUMIFS(RAW_판매펀칭!$K:$K,RAW_판매펀칭!$P:$P,A1747,RAW_판매펀칭!$I:$I,C1747)*W1747/SUMIFS($W:$W,$A:$A,A1747,$C:$C,C1747))</f>
        <v>140</v>
      </c>
      <c r="R1747" s="47" t="n">
        <f aca="false">IF(OR(A1747="500",A1747="800",A1747="810"),0,MAX(W1747-Q1747,0))</f>
        <v>0</v>
      </c>
      <c r="S1747" s="47" t="n">
        <f aca="false">R1747*L1747</f>
        <v>0</v>
      </c>
      <c r="T1747" s="47" t="n">
        <f aca="false">R1747*J1747</f>
        <v>0</v>
      </c>
      <c r="U1747" s="47" t="n">
        <f aca="false">R1747*K1747</f>
        <v>0</v>
      </c>
      <c r="V1747" s="0" t="str">
        <f aca="false">IF(COUNTIFS($A$2:A1747,A1747,$C$2:C1747,C1747,$D$2:D1747,D1747)&gt;1,"중복","")</f>
        <v/>
      </c>
      <c r="W1747" s="0" t="n">
        <f aca="false">IF(V1747="중복",0,N(D1747))</f>
        <v>140</v>
      </c>
      <c r="X1747" s="0" t="n">
        <f aca="false">IF(COUNTIFS($A$2:A1747,A1747,$C$2:C1747,C1747)=1,ABS(SUMIFS(RAW_발주!$D:$D,RAW_발주!$C:$C,A1747,RAW_발주!$A:$A,C1747)-SUMIFS($W:$W,$A:$A,A1747,$C:$C,C1747)),0)</f>
        <v>0</v>
      </c>
    </row>
    <row r="1748" customFormat="false" ht="15.75" hidden="false" customHeight="true" outlineLevel="0" collapsed="false">
      <c r="A1748" s="45" t="s">
        <v>1660</v>
      </c>
      <c r="B1748" s="42" t="str">
        <f aca="false">IF(A1748="100","HK",IF(A1748="200","CN",IF(A1748="300","TW","홀세일")))</f>
        <v>CN</v>
      </c>
      <c r="C1748" s="45" t="s">
        <v>694</v>
      </c>
      <c r="D1748" s="46" t="n">
        <v>482</v>
      </c>
      <c r="E1748" s="46" t="n">
        <v>119000</v>
      </c>
      <c r="F1748" s="46" t="n">
        <v>34439</v>
      </c>
      <c r="G1748" s="42" t="n">
        <v>7.21</v>
      </c>
      <c r="H1748" s="42" t="n">
        <v>29.8</v>
      </c>
      <c r="J1748" s="46" t="n">
        <f aca="false">IF(N(E1748)&gt;0,E1748,IF(N(F1748)&gt;0,F1748*요약!$F$27,0))</f>
        <v>119000</v>
      </c>
      <c r="K1748" s="46" t="n">
        <f aca="false">IF(N(F1748)&gt;0,F1748,IF(N(E1748)&gt;0,E1748/요약!$F$27,0))</f>
        <v>34439</v>
      </c>
      <c r="L1748" s="46" t="n">
        <f aca="false">IF(B1748="CN",IF(N(I1748)&gt;0,I1748*요약!$G$27,K1748*(1+요약!$E$27)),IF(N(H1748)&gt;0,H1748*요약!$G$27,J1748*요약!$D$27))</f>
        <v>36160.95</v>
      </c>
      <c r="M1748" s="46" t="n">
        <f aca="false">D1748*J1748</f>
        <v>57358000</v>
      </c>
      <c r="N1748" s="46" t="n">
        <f aca="false">D1748*K1748</f>
        <v>16599598</v>
      </c>
      <c r="O1748" s="46" t="n">
        <f aca="false">D1748*L1748</f>
        <v>17429577.9</v>
      </c>
      <c r="P1748" s="42" t="str">
        <f aca="false">TRIM(IF(N(E1748)&lt;=0,"택가보정 ","")&amp;IF(N(F1748)&lt;=0,"원가보정 ","")&amp;IF(AND(B1748&lt;&gt;"CN",N(H1748)&lt;=0),"공급가보정 ","")&amp;IF(AND(B1748="CN",N(I1748)&lt;=0),"중국공급가=원가+마진 ",""))</f>
        <v>중국공급가=원가+마진</v>
      </c>
      <c r="Q1748" s="47" t="n">
        <f aca="false">IF(SUMIFS($W:$W,$A:$A,A1748,$C:$C,C1748)=0,0,SUMIFS(RAW_판매펀칭!$K:$K,RAW_판매펀칭!$P:$P,A1748,RAW_판매펀칭!$I:$I,C1748)*W1748/SUMIFS($W:$W,$A:$A,A1748,$C:$C,C1748))</f>
        <v>473</v>
      </c>
      <c r="R1748" s="47" t="n">
        <f aca="false">IF(OR(A1748="500",A1748="800",A1748="810"),0,MAX(W1748-Q1748,0))</f>
        <v>9</v>
      </c>
      <c r="S1748" s="47" t="n">
        <f aca="false">R1748*L1748</f>
        <v>325448.55</v>
      </c>
      <c r="T1748" s="47" t="n">
        <f aca="false">R1748*J1748</f>
        <v>1071000</v>
      </c>
      <c r="U1748" s="47" t="n">
        <f aca="false">R1748*K1748</f>
        <v>309951</v>
      </c>
      <c r="V1748" s="0" t="str">
        <f aca="false">IF(COUNTIFS($A$2:A1748,A1748,$C$2:C1748,C1748,$D$2:D1748,D1748)&gt;1,"중복","")</f>
        <v/>
      </c>
      <c r="W1748" s="0" t="n">
        <f aca="false">IF(V1748="중복",0,N(D1748))</f>
        <v>482</v>
      </c>
      <c r="X1748" s="0" t="n">
        <f aca="false">IF(COUNTIFS($A$2:A1748,A1748,$C$2:C1748,C1748)=1,ABS(SUMIFS(RAW_발주!$D:$D,RAW_발주!$C:$C,A1748,RAW_발주!$A:$A,C1748)-SUMIFS($W:$W,$A:$A,A1748,$C:$C,C1748)),0)</f>
        <v>0</v>
      </c>
    </row>
    <row r="1749" customFormat="false" ht="15" hidden="false" customHeight="true" outlineLevel="0" collapsed="false">
      <c r="A1749" s="45" t="s">
        <v>1661</v>
      </c>
      <c r="B1749" s="42" t="str">
        <f aca="false">IF(A1749="100","HK",IF(A1749="200","CN",IF(A1749="300","TW","홀세일")))</f>
        <v>TW</v>
      </c>
      <c r="C1749" s="45" t="s">
        <v>694</v>
      </c>
      <c r="D1749" s="46" t="n">
        <v>450</v>
      </c>
      <c r="E1749" s="46" t="n">
        <v>119000</v>
      </c>
      <c r="F1749" s="46" t="n">
        <v>34439</v>
      </c>
      <c r="G1749" s="42" t="n">
        <v>7.21</v>
      </c>
      <c r="H1749" s="42" t="n">
        <v>29.8</v>
      </c>
      <c r="J1749" s="46" t="n">
        <f aca="false">IF(N(E1749)&gt;0,E1749,IF(N(F1749)&gt;0,F1749*요약!$F$27,0))</f>
        <v>119000</v>
      </c>
      <c r="K1749" s="46" t="n">
        <f aca="false">IF(N(F1749)&gt;0,F1749,IF(N(E1749)&gt;0,E1749/요약!$F$27,0))</f>
        <v>34439</v>
      </c>
      <c r="L1749" s="46" t="n">
        <f aca="false">IF(B1749="CN",IF(N(I1749)&gt;0,I1749*요약!$G$27,K1749*(1+요약!$E$27)),IF(N(H1749)&gt;0,H1749*요약!$G$27,J1749*요약!$D$27))</f>
        <v>39336</v>
      </c>
      <c r="M1749" s="46" t="n">
        <f aca="false">D1749*J1749</f>
        <v>53550000</v>
      </c>
      <c r="N1749" s="46" t="n">
        <f aca="false">D1749*K1749</f>
        <v>15497550</v>
      </c>
      <c r="O1749" s="46" t="n">
        <f aca="false">D1749*L1749</f>
        <v>17701200</v>
      </c>
      <c r="P1749" s="42" t="str">
        <f aca="false">TRIM(IF(N(E1749)&lt;=0,"택가보정 ","")&amp;IF(N(F1749)&lt;=0,"원가보정 ","")&amp;IF(AND(B1749&lt;&gt;"CN",N(H1749)&lt;=0),"공급가보정 ","")&amp;IF(AND(B1749="CN",N(I1749)&lt;=0),"중국공급가=원가+마진 ",""))</f>
        <v/>
      </c>
      <c r="Q1749" s="47" t="n">
        <f aca="false">IF(SUMIFS($W:$W,$A:$A,A1749,$C:$C,C1749)=0,0,SUMIFS(RAW_판매펀칭!$K:$K,RAW_판매펀칭!$P:$P,A1749,RAW_판매펀칭!$I:$I,C1749)*W1749/SUMIFS($W:$W,$A:$A,A1749,$C:$C,C1749))</f>
        <v>395</v>
      </c>
      <c r="R1749" s="47" t="n">
        <f aca="false">IF(OR(A1749="500",A1749="800",A1749="810"),0,MAX(W1749-Q1749,0))</f>
        <v>55</v>
      </c>
      <c r="S1749" s="47" t="n">
        <f aca="false">R1749*L1749</f>
        <v>2163480</v>
      </c>
      <c r="T1749" s="47" t="n">
        <f aca="false">R1749*J1749</f>
        <v>6545000</v>
      </c>
      <c r="U1749" s="47" t="n">
        <f aca="false">R1749*K1749</f>
        <v>1894145</v>
      </c>
      <c r="V1749" s="0" t="str">
        <f aca="false">IF(COUNTIFS($A$2:A1749,A1749,$C$2:C1749,C1749,$D$2:D1749,D1749)&gt;1,"중복","")</f>
        <v/>
      </c>
      <c r="W1749" s="0" t="n">
        <f aca="false">IF(V1749="중복",0,N(D1749))</f>
        <v>450</v>
      </c>
      <c r="X1749" s="0" t="n">
        <f aca="false">IF(COUNTIFS($A$2:A1749,A1749,$C$2:C1749,C1749)=1,ABS(SUMIFS(RAW_발주!$D:$D,RAW_발주!$C:$C,A1749,RAW_발주!$A:$A,C1749)-SUMIFS($W:$W,$A:$A,A1749,$C:$C,C1749)),0)</f>
        <v>0</v>
      </c>
    </row>
    <row r="1750" customFormat="false" ht="15" hidden="false" customHeight="true" outlineLevel="0" collapsed="false">
      <c r="A1750" s="45" t="s">
        <v>1664</v>
      </c>
      <c r="B1750" s="42" t="str">
        <f aca="false">IF(A1750="100","HK",IF(A1750="200","CN",IF(A1750="300","TW","홀세일")))</f>
        <v>홀세일</v>
      </c>
      <c r="C1750" s="45" t="s">
        <v>694</v>
      </c>
      <c r="D1750" s="46" t="n">
        <v>30</v>
      </c>
      <c r="E1750" s="46" t="n">
        <v>119000</v>
      </c>
      <c r="F1750" s="46" t="n">
        <v>34439</v>
      </c>
      <c r="G1750" s="42" t="n">
        <v>7.21</v>
      </c>
      <c r="H1750" s="42" t="n">
        <v>29.8</v>
      </c>
      <c r="J1750" s="46" t="n">
        <f aca="false">IF(N(E1750)&gt;0,E1750,IF(N(F1750)&gt;0,F1750*요약!$F$27,0))</f>
        <v>119000</v>
      </c>
      <c r="K1750" s="46" t="n">
        <f aca="false">IF(N(F1750)&gt;0,F1750,IF(N(E1750)&gt;0,E1750/요약!$F$27,0))</f>
        <v>34439</v>
      </c>
      <c r="L1750" s="46" t="n">
        <f aca="false">IF(B1750="CN",IF(N(I1750)&gt;0,I1750*요약!$G$27,K1750*(1+요약!$E$27)),IF(N(H1750)&gt;0,H1750*요약!$G$27,J1750*요약!$D$27))</f>
        <v>39336</v>
      </c>
      <c r="M1750" s="46" t="n">
        <f aca="false">D1750*J1750</f>
        <v>3570000</v>
      </c>
      <c r="N1750" s="46" t="n">
        <f aca="false">D1750*K1750</f>
        <v>1033170</v>
      </c>
      <c r="O1750" s="46" t="n">
        <f aca="false">D1750*L1750</f>
        <v>1180080</v>
      </c>
      <c r="P1750" s="42" t="str">
        <f aca="false">TRIM(IF(N(E1750)&lt;=0,"택가보정 ","")&amp;IF(N(F1750)&lt;=0,"원가보정 ","")&amp;IF(AND(B1750&lt;&gt;"CN",N(H1750)&lt;=0),"공급가보정 ","")&amp;IF(AND(B1750="CN",N(I1750)&lt;=0),"중국공급가=원가+마진 ",""))</f>
        <v/>
      </c>
      <c r="Q1750" s="47" t="n">
        <f aca="false">IF(SUMIFS($W:$W,$A:$A,A1750,$C:$C,C1750)=0,0,SUMIFS(RAW_판매펀칭!$K:$K,RAW_판매펀칭!$P:$P,A1750,RAW_판매펀칭!$I:$I,C1750)*W1750/SUMIFS($W:$W,$A:$A,A1750,$C:$C,C1750))</f>
        <v>0</v>
      </c>
      <c r="R1750" s="47" t="n">
        <f aca="false">IF(OR(A1750="500",A1750="800",A1750="810"),0,MAX(W1750-Q1750,0))</f>
        <v>0</v>
      </c>
      <c r="S1750" s="47" t="n">
        <f aca="false">R1750*L1750</f>
        <v>0</v>
      </c>
      <c r="T1750" s="47" t="n">
        <f aca="false">R1750*J1750</f>
        <v>0</v>
      </c>
      <c r="U1750" s="47" t="n">
        <f aca="false">R1750*K1750</f>
        <v>0</v>
      </c>
      <c r="V1750" s="0" t="str">
        <f aca="false">IF(COUNTIFS($A$2:A1750,A1750,$C$2:C1750,C1750,$D$2:D1750,D1750)&gt;1,"중복","")</f>
        <v/>
      </c>
      <c r="W1750" s="0" t="n">
        <f aca="false">IF(V1750="중복",0,N(D1750))</f>
        <v>30</v>
      </c>
      <c r="X1750" s="0" t="n">
        <f aca="false">IF(COUNTIFS($A$2:A1750,A1750,$C$2:C1750,C1750)=1,ABS(SUMIFS(RAW_발주!$D:$D,RAW_발주!$C:$C,A1750,RAW_발주!$A:$A,C1750)-SUMIFS($W:$W,$A:$A,A1750,$C:$C,C1750)),0)</f>
        <v>0</v>
      </c>
    </row>
    <row r="1751" customFormat="false" ht="15.75" hidden="false" customHeight="true" outlineLevel="0" collapsed="false">
      <c r="A1751" s="45" t="s">
        <v>1660</v>
      </c>
      <c r="B1751" s="42" t="str">
        <f aca="false">IF(A1751="100","HK",IF(A1751="200","CN",IF(A1751="300","TW","홀세일")))</f>
        <v>CN</v>
      </c>
      <c r="C1751" s="45" t="s">
        <v>696</v>
      </c>
      <c r="D1751" s="46" t="n">
        <v>563</v>
      </c>
      <c r="E1751" s="46"/>
      <c r="F1751" s="46" t="n">
        <v>43398</v>
      </c>
      <c r="G1751" s="42" t="n">
        <v>0</v>
      </c>
      <c r="H1751" s="42" t="n">
        <v>39.6</v>
      </c>
      <c r="J1751" s="46" t="n">
        <f aca="false">IF(N(E1751)&gt;0,E1751,IF(N(F1751)&gt;0,F1751*요약!$F$27,0))</f>
        <v>173592</v>
      </c>
      <c r="K1751" s="46" t="n">
        <f aca="false">IF(N(F1751)&gt;0,F1751,IF(N(E1751)&gt;0,E1751/요약!$F$27,0))</f>
        <v>43398</v>
      </c>
      <c r="L1751" s="46" t="n">
        <f aca="false">IF(B1751="CN",IF(N(I1751)&gt;0,I1751*요약!$G$27,K1751*(1+요약!$E$27)),IF(N(H1751)&gt;0,H1751*요약!$G$27,J1751*요약!$D$27))</f>
        <v>45567.9</v>
      </c>
      <c r="M1751" s="46" t="n">
        <f aca="false">D1751*J1751</f>
        <v>97732296</v>
      </c>
      <c r="N1751" s="46" t="n">
        <f aca="false">D1751*K1751</f>
        <v>24433074</v>
      </c>
      <c r="O1751" s="46" t="n">
        <f aca="false">D1751*L1751</f>
        <v>25654727.7</v>
      </c>
      <c r="P1751" s="42" t="str">
        <f aca="false">TRIM(IF(N(E1751)&lt;=0,"택가보정 ","")&amp;IF(N(F1751)&lt;=0,"원가보정 ","")&amp;IF(AND(B1751&lt;&gt;"CN",N(H1751)&lt;=0),"공급가보정 ","")&amp;IF(AND(B1751="CN",N(I1751)&lt;=0),"중국공급가=원가+마진 ",""))</f>
        <v>택가보정 중국공급가=원가+마진</v>
      </c>
      <c r="Q1751" s="47" t="n">
        <f aca="false">IF(SUMIFS($W:$W,$A:$A,A1751,$C:$C,C1751)=0,0,SUMIFS(RAW_판매펀칭!$K:$K,RAW_판매펀칭!$P:$P,A1751,RAW_판매펀칭!$I:$I,C1751)*W1751/SUMIFS($W:$W,$A:$A,A1751,$C:$C,C1751))</f>
        <v>541</v>
      </c>
      <c r="R1751" s="47" t="n">
        <f aca="false">IF(OR(A1751="500",A1751="800",A1751="810"),0,MAX(W1751-Q1751,0))</f>
        <v>22</v>
      </c>
      <c r="S1751" s="47" t="n">
        <f aca="false">R1751*L1751</f>
        <v>1002493.8</v>
      </c>
      <c r="T1751" s="47" t="n">
        <f aca="false">R1751*J1751</f>
        <v>3819024</v>
      </c>
      <c r="U1751" s="47" t="n">
        <f aca="false">R1751*K1751</f>
        <v>954756</v>
      </c>
      <c r="V1751" s="0" t="str">
        <f aca="false">IF(COUNTIFS($A$2:A1751,A1751,$C$2:C1751,C1751,$D$2:D1751,D1751)&gt;1,"중복","")</f>
        <v/>
      </c>
      <c r="W1751" s="0" t="n">
        <f aca="false">IF(V1751="중복",0,N(D1751))</f>
        <v>563</v>
      </c>
      <c r="X1751" s="0" t="n">
        <f aca="false">IF(COUNTIFS($A$2:A1751,A1751,$C$2:C1751,C1751)=1,ABS(SUMIFS(RAW_발주!$D:$D,RAW_발주!$C:$C,A1751,RAW_발주!$A:$A,C1751)-SUMIFS($W:$W,$A:$A,A1751,$C:$C,C1751)),0)</f>
        <v>0</v>
      </c>
    </row>
    <row r="1752" customFormat="false" ht="15" hidden="false" customHeight="true" outlineLevel="0" collapsed="false">
      <c r="A1752" s="45" t="s">
        <v>1661</v>
      </c>
      <c r="B1752" s="42" t="str">
        <f aca="false">IF(A1752="100","HK",IF(A1752="200","CN",IF(A1752="300","TW","홀세일")))</f>
        <v>TW</v>
      </c>
      <c r="C1752" s="45" t="s">
        <v>696</v>
      </c>
      <c r="D1752" s="46" t="n">
        <v>130</v>
      </c>
      <c r="E1752" s="46"/>
      <c r="F1752" s="46" t="n">
        <v>43398</v>
      </c>
      <c r="G1752" s="42" t="n">
        <v>0</v>
      </c>
      <c r="H1752" s="42" t="n">
        <v>39.6</v>
      </c>
      <c r="J1752" s="46" t="n">
        <f aca="false">IF(N(E1752)&gt;0,E1752,IF(N(F1752)&gt;0,F1752*요약!$F$27,0))</f>
        <v>173592</v>
      </c>
      <c r="K1752" s="46" t="n">
        <f aca="false">IF(N(F1752)&gt;0,F1752,IF(N(E1752)&gt;0,E1752/요약!$F$27,0))</f>
        <v>43398</v>
      </c>
      <c r="L1752" s="46" t="n">
        <f aca="false">IF(B1752="CN",IF(N(I1752)&gt;0,I1752*요약!$G$27,K1752*(1+요약!$E$27)),IF(N(H1752)&gt;0,H1752*요약!$G$27,J1752*요약!$D$27))</f>
        <v>52272</v>
      </c>
      <c r="M1752" s="46" t="n">
        <f aca="false">D1752*J1752</f>
        <v>22566960</v>
      </c>
      <c r="N1752" s="46" t="n">
        <f aca="false">D1752*K1752</f>
        <v>5641740</v>
      </c>
      <c r="O1752" s="46" t="n">
        <f aca="false">D1752*L1752</f>
        <v>6795360</v>
      </c>
      <c r="P1752" s="42" t="str">
        <f aca="false">TRIM(IF(N(E1752)&lt;=0,"택가보정 ","")&amp;IF(N(F1752)&lt;=0,"원가보정 ","")&amp;IF(AND(B1752&lt;&gt;"CN",N(H1752)&lt;=0),"공급가보정 ","")&amp;IF(AND(B1752="CN",N(I1752)&lt;=0),"중국공급가=원가+마진 ",""))</f>
        <v>택가보정</v>
      </c>
      <c r="Q1752" s="47" t="n">
        <f aca="false">IF(SUMIFS($W:$W,$A:$A,A1752,$C:$C,C1752)=0,0,SUMIFS(RAW_판매펀칭!$K:$K,RAW_판매펀칭!$P:$P,A1752,RAW_판매펀칭!$I:$I,C1752)*W1752/SUMIFS($W:$W,$A:$A,A1752,$C:$C,C1752))</f>
        <v>130</v>
      </c>
      <c r="R1752" s="47" t="n">
        <f aca="false">IF(OR(A1752="500",A1752="800",A1752="810"),0,MAX(W1752-Q1752,0))</f>
        <v>0</v>
      </c>
      <c r="S1752" s="47" t="n">
        <f aca="false">R1752*L1752</f>
        <v>0</v>
      </c>
      <c r="T1752" s="47" t="n">
        <f aca="false">R1752*J1752</f>
        <v>0</v>
      </c>
      <c r="U1752" s="47" t="n">
        <f aca="false">R1752*K1752</f>
        <v>0</v>
      </c>
      <c r="V1752" s="0" t="str">
        <f aca="false">IF(COUNTIFS($A$2:A1752,A1752,$C$2:C1752,C1752,$D$2:D1752,D1752)&gt;1,"중복","")</f>
        <v/>
      </c>
      <c r="W1752" s="0" t="n">
        <f aca="false">IF(V1752="중복",0,N(D1752))</f>
        <v>130</v>
      </c>
      <c r="X1752" s="0" t="n">
        <f aca="false">IF(COUNTIFS($A$2:A1752,A1752,$C$2:C1752,C1752)=1,ABS(SUMIFS(RAW_발주!$D:$D,RAW_발주!$C:$C,A1752,RAW_발주!$A:$A,C1752)-SUMIFS($W:$W,$A:$A,A1752,$C:$C,C1752)),0)</f>
        <v>0</v>
      </c>
    </row>
    <row r="1753" customFormat="false" ht="15" hidden="false" customHeight="true" outlineLevel="0" collapsed="false">
      <c r="A1753" s="45" t="s">
        <v>1659</v>
      </c>
      <c r="B1753" s="42" t="str">
        <f aca="false">IF(A1753="100","HK",IF(A1753="200","CN",IF(A1753="300","TW","홀세일")))</f>
        <v>HK</v>
      </c>
      <c r="C1753" s="45" t="s">
        <v>698</v>
      </c>
      <c r="D1753" s="46" t="n">
        <v>200</v>
      </c>
      <c r="E1753" s="46" t="n">
        <v>169000</v>
      </c>
      <c r="F1753" s="46" t="n">
        <v>59500</v>
      </c>
      <c r="G1753" s="42" t="n">
        <v>10.24</v>
      </c>
      <c r="H1753" s="42" t="n">
        <v>42.3</v>
      </c>
      <c r="J1753" s="46" t="n">
        <f aca="false">IF(N(E1753)&gt;0,E1753,IF(N(F1753)&gt;0,F1753*요약!$F$27,0))</f>
        <v>169000</v>
      </c>
      <c r="K1753" s="46" t="n">
        <f aca="false">IF(N(F1753)&gt;0,F1753,IF(N(E1753)&gt;0,E1753/요약!$F$27,0))</f>
        <v>59500</v>
      </c>
      <c r="L1753" s="46" t="n">
        <f aca="false">IF(B1753="CN",IF(N(I1753)&gt;0,I1753*요약!$G$27,K1753*(1+요약!$E$27)),IF(N(H1753)&gt;0,H1753*요약!$G$27,J1753*요약!$D$27))</f>
        <v>55836</v>
      </c>
      <c r="M1753" s="46" t="n">
        <f aca="false">D1753*J1753</f>
        <v>33800000</v>
      </c>
      <c r="N1753" s="46" t="n">
        <f aca="false">D1753*K1753</f>
        <v>11900000</v>
      </c>
      <c r="O1753" s="46" t="n">
        <f aca="false">D1753*L1753</f>
        <v>11167200</v>
      </c>
      <c r="P1753" s="42" t="str">
        <f aca="false">TRIM(IF(N(E1753)&lt;=0,"택가보정 ","")&amp;IF(N(F1753)&lt;=0,"원가보정 ","")&amp;IF(AND(B1753&lt;&gt;"CN",N(H1753)&lt;=0),"공급가보정 ","")&amp;IF(AND(B1753="CN",N(I1753)&lt;=0),"중국공급가=원가+마진 ",""))</f>
        <v/>
      </c>
      <c r="Q1753" s="47" t="n">
        <f aca="false">IF(SUMIFS($W:$W,$A:$A,A1753,$C:$C,C1753)=0,0,SUMIFS(RAW_판매펀칭!$K:$K,RAW_판매펀칭!$P:$P,A1753,RAW_판매펀칭!$I:$I,C1753)*W1753/SUMIFS($W:$W,$A:$A,A1753,$C:$C,C1753))</f>
        <v>200</v>
      </c>
      <c r="R1753" s="47" t="n">
        <f aca="false">IF(OR(A1753="500",A1753="800",A1753="810"),0,MAX(W1753-Q1753,0))</f>
        <v>0</v>
      </c>
      <c r="S1753" s="47" t="n">
        <f aca="false">R1753*L1753</f>
        <v>0</v>
      </c>
      <c r="T1753" s="47" t="n">
        <f aca="false">R1753*J1753</f>
        <v>0</v>
      </c>
      <c r="U1753" s="47" t="n">
        <f aca="false">R1753*K1753</f>
        <v>0</v>
      </c>
      <c r="V1753" s="0" t="str">
        <f aca="false">IF(COUNTIFS($A$2:A1753,A1753,$C$2:C1753,C1753,$D$2:D1753,D1753)&gt;1,"중복","")</f>
        <v/>
      </c>
      <c r="W1753" s="0" t="n">
        <f aca="false">IF(V1753="중복",0,N(D1753))</f>
        <v>200</v>
      </c>
      <c r="X1753" s="0" t="n">
        <f aca="false">IF(COUNTIFS($A$2:A1753,A1753,$C$2:C1753,C1753)=1,ABS(SUMIFS(RAW_발주!$D:$D,RAW_발주!$C:$C,A1753,RAW_발주!$A:$A,C1753)-SUMIFS($W:$W,$A:$A,A1753,$C:$C,C1753)),0)</f>
        <v>0</v>
      </c>
    </row>
    <row r="1754" customFormat="false" ht="15" hidden="false" customHeight="true" outlineLevel="0" collapsed="false">
      <c r="A1754" s="45" t="s">
        <v>1661</v>
      </c>
      <c r="B1754" s="42" t="str">
        <f aca="false">IF(A1754="100","HK",IF(A1754="200","CN",IF(A1754="300","TW","홀세일")))</f>
        <v>TW</v>
      </c>
      <c r="C1754" s="45" t="s">
        <v>698</v>
      </c>
      <c r="D1754" s="46" t="n">
        <v>320</v>
      </c>
      <c r="E1754" s="46" t="n">
        <v>169000</v>
      </c>
      <c r="F1754" s="46" t="n">
        <v>59500</v>
      </c>
      <c r="G1754" s="42" t="n">
        <v>10.24</v>
      </c>
      <c r="H1754" s="42" t="n">
        <v>42.3</v>
      </c>
      <c r="J1754" s="46" t="n">
        <f aca="false">IF(N(E1754)&gt;0,E1754,IF(N(F1754)&gt;0,F1754*요약!$F$27,0))</f>
        <v>169000</v>
      </c>
      <c r="K1754" s="46" t="n">
        <f aca="false">IF(N(F1754)&gt;0,F1754,IF(N(E1754)&gt;0,E1754/요약!$F$27,0))</f>
        <v>59500</v>
      </c>
      <c r="L1754" s="46" t="n">
        <f aca="false">IF(B1754="CN",IF(N(I1754)&gt;0,I1754*요약!$G$27,K1754*(1+요약!$E$27)),IF(N(H1754)&gt;0,H1754*요약!$G$27,J1754*요약!$D$27))</f>
        <v>55836</v>
      </c>
      <c r="M1754" s="46" t="n">
        <f aca="false">D1754*J1754</f>
        <v>54080000</v>
      </c>
      <c r="N1754" s="46" t="n">
        <f aca="false">D1754*K1754</f>
        <v>19040000</v>
      </c>
      <c r="O1754" s="46" t="n">
        <f aca="false">D1754*L1754</f>
        <v>17867520</v>
      </c>
      <c r="P1754" s="42" t="str">
        <f aca="false">TRIM(IF(N(E1754)&lt;=0,"택가보정 ","")&amp;IF(N(F1754)&lt;=0,"원가보정 ","")&amp;IF(AND(B1754&lt;&gt;"CN",N(H1754)&lt;=0),"공급가보정 ","")&amp;IF(AND(B1754="CN",N(I1754)&lt;=0),"중국공급가=원가+마진 ",""))</f>
        <v/>
      </c>
      <c r="Q1754" s="47" t="n">
        <f aca="false">IF(SUMIFS($W:$W,$A:$A,A1754,$C:$C,C1754)=0,0,SUMIFS(RAW_판매펀칭!$K:$K,RAW_판매펀칭!$P:$P,A1754,RAW_판매펀칭!$I:$I,C1754)*W1754/SUMIFS($W:$W,$A:$A,A1754,$C:$C,C1754))</f>
        <v>320</v>
      </c>
      <c r="R1754" s="47" t="n">
        <f aca="false">IF(OR(A1754="500",A1754="800",A1754="810"),0,MAX(W1754-Q1754,0))</f>
        <v>0</v>
      </c>
      <c r="S1754" s="47" t="n">
        <f aca="false">R1754*L1754</f>
        <v>0</v>
      </c>
      <c r="T1754" s="47" t="n">
        <f aca="false">R1754*J1754</f>
        <v>0</v>
      </c>
      <c r="U1754" s="47" t="n">
        <f aca="false">R1754*K1754</f>
        <v>0</v>
      </c>
      <c r="V1754" s="0" t="str">
        <f aca="false">IF(COUNTIFS($A$2:A1754,A1754,$C$2:C1754,C1754,$D$2:D1754,D1754)&gt;1,"중복","")</f>
        <v/>
      </c>
      <c r="W1754" s="0" t="n">
        <f aca="false">IF(V1754="중복",0,N(D1754))</f>
        <v>320</v>
      </c>
      <c r="X1754" s="0" t="n">
        <f aca="false">IF(COUNTIFS($A$2:A1754,A1754,$C$2:C1754,C1754)=1,ABS(SUMIFS(RAW_발주!$D:$D,RAW_발주!$C:$C,A1754,RAW_발주!$A:$A,C1754)-SUMIFS($W:$W,$A:$A,A1754,$C:$C,C1754)),0)</f>
        <v>0</v>
      </c>
    </row>
    <row r="1755" customFormat="false" ht="15" hidden="false" customHeight="true" outlineLevel="0" collapsed="false">
      <c r="A1755" s="45" t="s">
        <v>1664</v>
      </c>
      <c r="B1755" s="42" t="str">
        <f aca="false">IF(A1755="100","HK",IF(A1755="200","CN",IF(A1755="300","TW","홀세일")))</f>
        <v>홀세일</v>
      </c>
      <c r="C1755" s="45" t="s">
        <v>698</v>
      </c>
      <c r="D1755" s="46" t="n">
        <v>55</v>
      </c>
      <c r="E1755" s="46" t="n">
        <v>169000</v>
      </c>
      <c r="F1755" s="46" t="n">
        <v>59500</v>
      </c>
      <c r="G1755" s="42" t="n">
        <v>10.24</v>
      </c>
      <c r="H1755" s="42" t="n">
        <v>42.3</v>
      </c>
      <c r="J1755" s="46" t="n">
        <f aca="false">IF(N(E1755)&gt;0,E1755,IF(N(F1755)&gt;0,F1755*요약!$F$27,0))</f>
        <v>169000</v>
      </c>
      <c r="K1755" s="46" t="n">
        <f aca="false">IF(N(F1755)&gt;0,F1755,IF(N(E1755)&gt;0,E1755/요약!$F$27,0))</f>
        <v>59500</v>
      </c>
      <c r="L1755" s="46" t="n">
        <f aca="false">IF(B1755="CN",IF(N(I1755)&gt;0,I1755*요약!$G$27,K1755*(1+요약!$E$27)),IF(N(H1755)&gt;0,H1755*요약!$G$27,J1755*요약!$D$27))</f>
        <v>55836</v>
      </c>
      <c r="M1755" s="46" t="n">
        <f aca="false">D1755*J1755</f>
        <v>9295000</v>
      </c>
      <c r="N1755" s="46" t="n">
        <f aca="false">D1755*K1755</f>
        <v>3272500</v>
      </c>
      <c r="O1755" s="46" t="n">
        <f aca="false">D1755*L1755</f>
        <v>3070980</v>
      </c>
      <c r="P1755" s="42" t="str">
        <f aca="false">TRIM(IF(N(E1755)&lt;=0,"택가보정 ","")&amp;IF(N(F1755)&lt;=0,"원가보정 ","")&amp;IF(AND(B1755&lt;&gt;"CN",N(H1755)&lt;=0),"공급가보정 ","")&amp;IF(AND(B1755="CN",N(I1755)&lt;=0),"중국공급가=원가+마진 ",""))</f>
        <v/>
      </c>
      <c r="Q1755" s="47" t="n">
        <f aca="false">IF(SUMIFS($W:$W,$A:$A,A1755,$C:$C,C1755)=0,0,SUMIFS(RAW_판매펀칭!$K:$K,RAW_판매펀칭!$P:$P,A1755,RAW_판매펀칭!$I:$I,C1755)*W1755/SUMIFS($W:$W,$A:$A,A1755,$C:$C,C1755))</f>
        <v>0</v>
      </c>
      <c r="R1755" s="47" t="n">
        <f aca="false">IF(OR(A1755="500",A1755="800",A1755="810"),0,MAX(W1755-Q1755,0))</f>
        <v>0</v>
      </c>
      <c r="S1755" s="47" t="n">
        <f aca="false">R1755*L1755</f>
        <v>0</v>
      </c>
      <c r="T1755" s="47" t="n">
        <f aca="false">R1755*J1755</f>
        <v>0</v>
      </c>
      <c r="U1755" s="47" t="n">
        <f aca="false">R1755*K1755</f>
        <v>0</v>
      </c>
      <c r="V1755" s="0" t="str">
        <f aca="false">IF(COUNTIFS($A$2:A1755,A1755,$C$2:C1755,C1755,$D$2:D1755,D1755)&gt;1,"중복","")</f>
        <v/>
      </c>
      <c r="W1755" s="0" t="n">
        <f aca="false">IF(V1755="중복",0,N(D1755))</f>
        <v>55</v>
      </c>
      <c r="X1755" s="0" t="n">
        <f aca="false">IF(COUNTIFS($A$2:A1755,A1755,$C$2:C1755,C1755)=1,ABS(SUMIFS(RAW_발주!$D:$D,RAW_발주!$C:$C,A1755,RAW_발주!$A:$A,C1755)-SUMIFS($W:$W,$A:$A,A1755,$C:$C,C1755)),0)</f>
        <v>0</v>
      </c>
    </row>
    <row r="1756" customFormat="false" ht="15" hidden="false" customHeight="true" outlineLevel="0" collapsed="false">
      <c r="A1756" s="45" t="s">
        <v>1659</v>
      </c>
      <c r="B1756" s="42" t="str">
        <f aca="false">IF(A1756="100","HK",IF(A1756="200","CN",IF(A1756="300","TW","홀세일")))</f>
        <v>HK</v>
      </c>
      <c r="C1756" s="45" t="s">
        <v>1005</v>
      </c>
      <c r="D1756" s="46" t="n">
        <v>200</v>
      </c>
      <c r="E1756" s="46" t="n">
        <v>169000</v>
      </c>
      <c r="F1756" s="46" t="n">
        <v>47994</v>
      </c>
      <c r="G1756" s="42" t="n">
        <v>11.82</v>
      </c>
      <c r="H1756" s="42" t="n">
        <v>42.3</v>
      </c>
      <c r="J1756" s="46" t="n">
        <f aca="false">IF(N(E1756)&gt;0,E1756,IF(N(F1756)&gt;0,F1756*요약!$F$27,0))</f>
        <v>169000</v>
      </c>
      <c r="K1756" s="46" t="n">
        <f aca="false">IF(N(F1756)&gt;0,F1756,IF(N(E1756)&gt;0,E1756/요약!$F$27,0))</f>
        <v>47994</v>
      </c>
      <c r="L1756" s="46" t="n">
        <f aca="false">IF(B1756="CN",IF(N(I1756)&gt;0,I1756*요약!$G$27,K1756*(1+요약!$E$27)),IF(N(H1756)&gt;0,H1756*요약!$G$27,J1756*요약!$D$27))</f>
        <v>55836</v>
      </c>
      <c r="M1756" s="46" t="n">
        <f aca="false">D1756*J1756</f>
        <v>33800000</v>
      </c>
      <c r="N1756" s="46" t="n">
        <f aca="false">D1756*K1756</f>
        <v>9598800</v>
      </c>
      <c r="O1756" s="46" t="n">
        <f aca="false">D1756*L1756</f>
        <v>11167200</v>
      </c>
      <c r="P1756" s="42" t="str">
        <f aca="false">TRIM(IF(N(E1756)&lt;=0,"택가보정 ","")&amp;IF(N(F1756)&lt;=0,"원가보정 ","")&amp;IF(AND(B1756&lt;&gt;"CN",N(H1756)&lt;=0),"공급가보정 ","")&amp;IF(AND(B1756="CN",N(I1756)&lt;=0),"중국공급가=원가+마진 ",""))</f>
        <v/>
      </c>
      <c r="Q1756" s="47" t="n">
        <f aca="false">IF(SUMIFS($W:$W,$A:$A,A1756,$C:$C,C1756)=0,0,SUMIFS(RAW_판매펀칭!$K:$K,RAW_판매펀칭!$P:$P,A1756,RAW_판매펀칭!$I:$I,C1756)*W1756/SUMIFS($W:$W,$A:$A,A1756,$C:$C,C1756))</f>
        <v>200</v>
      </c>
      <c r="R1756" s="47" t="n">
        <f aca="false">IF(OR(A1756="500",A1756="800",A1756="810"),0,MAX(W1756-Q1756,0))</f>
        <v>0</v>
      </c>
      <c r="S1756" s="47" t="n">
        <f aca="false">R1756*L1756</f>
        <v>0</v>
      </c>
      <c r="T1756" s="47" t="n">
        <f aca="false">R1756*J1756</f>
        <v>0</v>
      </c>
      <c r="U1756" s="47" t="n">
        <f aca="false">R1756*K1756</f>
        <v>0</v>
      </c>
      <c r="V1756" s="0" t="str">
        <f aca="false">IF(COUNTIFS($A$2:A1756,A1756,$C$2:C1756,C1756,$D$2:D1756,D1756)&gt;1,"중복","")</f>
        <v/>
      </c>
      <c r="W1756" s="0" t="n">
        <f aca="false">IF(V1756="중복",0,N(D1756))</f>
        <v>200</v>
      </c>
      <c r="X1756" s="0" t="n">
        <f aca="false">IF(COUNTIFS($A$2:A1756,A1756,$C$2:C1756,C1756)=1,ABS(SUMIFS(RAW_발주!$D:$D,RAW_발주!$C:$C,A1756,RAW_발주!$A:$A,C1756)-SUMIFS($W:$W,$A:$A,A1756,$C:$C,C1756)),0)</f>
        <v>0</v>
      </c>
    </row>
    <row r="1757" customFormat="false" ht="15.75" hidden="false" customHeight="true" outlineLevel="0" collapsed="false">
      <c r="A1757" s="45" t="s">
        <v>1660</v>
      </c>
      <c r="B1757" s="42" t="str">
        <f aca="false">IF(A1757="100","HK",IF(A1757="200","CN",IF(A1757="300","TW","홀세일")))</f>
        <v>CN</v>
      </c>
      <c r="C1757" s="45" t="s">
        <v>1005</v>
      </c>
      <c r="D1757" s="46" t="n">
        <v>1100</v>
      </c>
      <c r="E1757" s="46" t="n">
        <v>169000</v>
      </c>
      <c r="F1757" s="46" t="n">
        <v>47994</v>
      </c>
      <c r="G1757" s="42" t="n">
        <v>11.82</v>
      </c>
      <c r="H1757" s="42" t="n">
        <v>42.3</v>
      </c>
      <c r="J1757" s="46" t="n">
        <f aca="false">IF(N(E1757)&gt;0,E1757,IF(N(F1757)&gt;0,F1757*요약!$F$27,0))</f>
        <v>169000</v>
      </c>
      <c r="K1757" s="46" t="n">
        <f aca="false">IF(N(F1757)&gt;0,F1757,IF(N(E1757)&gt;0,E1757/요약!$F$27,0))</f>
        <v>47994</v>
      </c>
      <c r="L1757" s="46" t="n">
        <f aca="false">IF(B1757="CN",IF(N(I1757)&gt;0,I1757*요약!$G$27,K1757*(1+요약!$E$27)),IF(N(H1757)&gt;0,H1757*요약!$G$27,J1757*요약!$D$27))</f>
        <v>50393.7</v>
      </c>
      <c r="M1757" s="46" t="n">
        <f aca="false">D1757*J1757</f>
        <v>185900000</v>
      </c>
      <c r="N1757" s="46" t="n">
        <f aca="false">D1757*K1757</f>
        <v>52793400</v>
      </c>
      <c r="O1757" s="46" t="n">
        <f aca="false">D1757*L1757</f>
        <v>55433070</v>
      </c>
      <c r="P1757" s="42" t="str">
        <f aca="false">TRIM(IF(N(E1757)&lt;=0,"택가보정 ","")&amp;IF(N(F1757)&lt;=0,"원가보정 ","")&amp;IF(AND(B1757&lt;&gt;"CN",N(H1757)&lt;=0),"공급가보정 ","")&amp;IF(AND(B1757="CN",N(I1757)&lt;=0),"중국공급가=원가+마진 ",""))</f>
        <v>중국공급가=원가+마진</v>
      </c>
      <c r="Q1757" s="47" t="n">
        <f aca="false">IF(SUMIFS($W:$W,$A:$A,A1757,$C:$C,C1757)=0,0,SUMIFS(RAW_판매펀칭!$K:$K,RAW_판매펀칭!$P:$P,A1757,RAW_판매펀칭!$I:$I,C1757)*W1757/SUMIFS($W:$W,$A:$A,A1757,$C:$C,C1757))</f>
        <v>1081</v>
      </c>
      <c r="R1757" s="47" t="n">
        <f aca="false">IF(OR(A1757="500",A1757="800",A1757="810"),0,MAX(W1757-Q1757,0))</f>
        <v>19</v>
      </c>
      <c r="S1757" s="47" t="n">
        <f aca="false">R1757*L1757</f>
        <v>957480.3</v>
      </c>
      <c r="T1757" s="47" t="n">
        <f aca="false">R1757*J1757</f>
        <v>3211000</v>
      </c>
      <c r="U1757" s="47" t="n">
        <f aca="false">R1757*K1757</f>
        <v>911886</v>
      </c>
      <c r="V1757" s="0" t="str">
        <f aca="false">IF(COUNTIFS($A$2:A1757,A1757,$C$2:C1757,C1757,$D$2:D1757,D1757)&gt;1,"중복","")</f>
        <v/>
      </c>
      <c r="W1757" s="0" t="n">
        <f aca="false">IF(V1757="중복",0,N(D1757))</f>
        <v>1100</v>
      </c>
      <c r="X1757" s="0" t="n">
        <f aca="false">IF(COUNTIFS($A$2:A1757,A1757,$C$2:C1757,C1757)=1,ABS(SUMIFS(RAW_발주!$D:$D,RAW_발주!$C:$C,A1757,RAW_발주!$A:$A,C1757)-SUMIFS($W:$W,$A:$A,A1757,$C:$C,C1757)),0)</f>
        <v>0</v>
      </c>
    </row>
    <row r="1758" customFormat="false" ht="15" hidden="false" customHeight="true" outlineLevel="0" collapsed="false">
      <c r="A1758" s="45" t="s">
        <v>1664</v>
      </c>
      <c r="B1758" s="42" t="str">
        <f aca="false">IF(A1758="100","HK",IF(A1758="200","CN",IF(A1758="300","TW","홀세일")))</f>
        <v>홀세일</v>
      </c>
      <c r="C1758" s="45" t="s">
        <v>1005</v>
      </c>
      <c r="D1758" s="46" t="n">
        <v>55</v>
      </c>
      <c r="E1758" s="46" t="n">
        <v>169000</v>
      </c>
      <c r="F1758" s="46" t="n">
        <v>47994</v>
      </c>
      <c r="G1758" s="42" t="n">
        <v>11.82</v>
      </c>
      <c r="H1758" s="42" t="n">
        <v>42.3</v>
      </c>
      <c r="J1758" s="46" t="n">
        <f aca="false">IF(N(E1758)&gt;0,E1758,IF(N(F1758)&gt;0,F1758*요약!$F$27,0))</f>
        <v>169000</v>
      </c>
      <c r="K1758" s="46" t="n">
        <f aca="false">IF(N(F1758)&gt;0,F1758,IF(N(E1758)&gt;0,E1758/요약!$F$27,0))</f>
        <v>47994</v>
      </c>
      <c r="L1758" s="46" t="n">
        <f aca="false">IF(B1758="CN",IF(N(I1758)&gt;0,I1758*요약!$G$27,K1758*(1+요약!$E$27)),IF(N(H1758)&gt;0,H1758*요약!$G$27,J1758*요약!$D$27))</f>
        <v>55836</v>
      </c>
      <c r="M1758" s="46" t="n">
        <f aca="false">D1758*J1758</f>
        <v>9295000</v>
      </c>
      <c r="N1758" s="46" t="n">
        <f aca="false">D1758*K1758</f>
        <v>2639670</v>
      </c>
      <c r="O1758" s="46" t="n">
        <f aca="false">D1758*L1758</f>
        <v>3070980</v>
      </c>
      <c r="P1758" s="42" t="str">
        <f aca="false">TRIM(IF(N(E1758)&lt;=0,"택가보정 ","")&amp;IF(N(F1758)&lt;=0,"원가보정 ","")&amp;IF(AND(B1758&lt;&gt;"CN",N(H1758)&lt;=0),"공급가보정 ","")&amp;IF(AND(B1758="CN",N(I1758)&lt;=0),"중국공급가=원가+마진 ",""))</f>
        <v/>
      </c>
      <c r="Q1758" s="47" t="n">
        <f aca="false">IF(SUMIFS($W:$W,$A:$A,A1758,$C:$C,C1758)=0,0,SUMIFS(RAW_판매펀칭!$K:$K,RAW_판매펀칭!$P:$P,A1758,RAW_판매펀칭!$I:$I,C1758)*W1758/SUMIFS($W:$W,$A:$A,A1758,$C:$C,C1758))</f>
        <v>0</v>
      </c>
      <c r="R1758" s="47" t="n">
        <f aca="false">IF(OR(A1758="500",A1758="800",A1758="810"),0,MAX(W1758-Q1758,0))</f>
        <v>0</v>
      </c>
      <c r="S1758" s="47" t="n">
        <f aca="false">R1758*L1758</f>
        <v>0</v>
      </c>
      <c r="T1758" s="47" t="n">
        <f aca="false">R1758*J1758</f>
        <v>0</v>
      </c>
      <c r="U1758" s="47" t="n">
        <f aca="false">R1758*K1758</f>
        <v>0</v>
      </c>
      <c r="V1758" s="0" t="str">
        <f aca="false">IF(COUNTIFS($A$2:A1758,A1758,$C$2:C1758,C1758,$D$2:D1758,D1758)&gt;1,"중복","")</f>
        <v/>
      </c>
      <c r="W1758" s="0" t="n">
        <f aca="false">IF(V1758="중복",0,N(D1758))</f>
        <v>55</v>
      </c>
      <c r="X1758" s="0" t="n">
        <f aca="false">IF(COUNTIFS($A$2:A1758,A1758,$C$2:C1758,C1758)=1,ABS(SUMIFS(RAW_발주!$D:$D,RAW_발주!$C:$C,A1758,RAW_발주!$A:$A,C1758)-SUMIFS($W:$W,$A:$A,A1758,$C:$C,C1758)),0)</f>
        <v>0</v>
      </c>
    </row>
    <row r="1759" customFormat="false" ht="15" hidden="false" customHeight="true" outlineLevel="0" collapsed="false">
      <c r="A1759" s="45" t="s">
        <v>1659</v>
      </c>
      <c r="B1759" s="42" t="str">
        <f aca="false">IF(A1759="100","HK",IF(A1759="200","CN",IF(A1759="300","TW","홀세일")))</f>
        <v>HK</v>
      </c>
      <c r="C1759" s="45" t="s">
        <v>1007</v>
      </c>
      <c r="D1759" s="46" t="n">
        <v>120</v>
      </c>
      <c r="E1759" s="46" t="n">
        <v>139000</v>
      </c>
      <c r="F1759" s="46" t="n">
        <v>43541</v>
      </c>
      <c r="G1759" s="42" t="n">
        <v>11.18</v>
      </c>
      <c r="H1759" s="42" t="n">
        <v>34.8</v>
      </c>
      <c r="J1759" s="46" t="n">
        <f aca="false">IF(N(E1759)&gt;0,E1759,IF(N(F1759)&gt;0,F1759*요약!$F$27,0))</f>
        <v>139000</v>
      </c>
      <c r="K1759" s="46" t="n">
        <f aca="false">IF(N(F1759)&gt;0,F1759,IF(N(E1759)&gt;0,E1759/요약!$F$27,0))</f>
        <v>43541</v>
      </c>
      <c r="L1759" s="46" t="n">
        <f aca="false">IF(B1759="CN",IF(N(I1759)&gt;0,I1759*요약!$G$27,K1759*(1+요약!$E$27)),IF(N(H1759)&gt;0,H1759*요약!$G$27,J1759*요약!$D$27))</f>
        <v>45936</v>
      </c>
      <c r="M1759" s="46" t="n">
        <f aca="false">D1759*J1759</f>
        <v>16680000</v>
      </c>
      <c r="N1759" s="46" t="n">
        <f aca="false">D1759*K1759</f>
        <v>5224920</v>
      </c>
      <c r="O1759" s="46" t="n">
        <f aca="false">D1759*L1759</f>
        <v>5512320</v>
      </c>
      <c r="P1759" s="42" t="str">
        <f aca="false">TRIM(IF(N(E1759)&lt;=0,"택가보정 ","")&amp;IF(N(F1759)&lt;=0,"원가보정 ","")&amp;IF(AND(B1759&lt;&gt;"CN",N(H1759)&lt;=0),"공급가보정 ","")&amp;IF(AND(B1759="CN",N(I1759)&lt;=0),"중국공급가=원가+마진 ",""))</f>
        <v/>
      </c>
      <c r="Q1759" s="47" t="n">
        <f aca="false">IF(SUMIFS($W:$W,$A:$A,A1759,$C:$C,C1759)=0,0,SUMIFS(RAW_판매펀칭!$K:$K,RAW_판매펀칭!$P:$P,A1759,RAW_판매펀칭!$I:$I,C1759)*W1759/SUMIFS($W:$W,$A:$A,A1759,$C:$C,C1759))</f>
        <v>113</v>
      </c>
      <c r="R1759" s="47" t="n">
        <f aca="false">IF(OR(A1759="500",A1759="800",A1759="810"),0,MAX(W1759-Q1759,0))</f>
        <v>7</v>
      </c>
      <c r="S1759" s="47" t="n">
        <f aca="false">R1759*L1759</f>
        <v>321552</v>
      </c>
      <c r="T1759" s="47" t="n">
        <f aca="false">R1759*J1759</f>
        <v>973000</v>
      </c>
      <c r="U1759" s="47" t="n">
        <f aca="false">R1759*K1759</f>
        <v>304787</v>
      </c>
      <c r="V1759" s="0" t="str">
        <f aca="false">IF(COUNTIFS($A$2:A1759,A1759,$C$2:C1759,C1759,$D$2:D1759,D1759)&gt;1,"중복","")</f>
        <v/>
      </c>
      <c r="W1759" s="0" t="n">
        <f aca="false">IF(V1759="중복",0,N(D1759))</f>
        <v>120</v>
      </c>
      <c r="X1759" s="0" t="n">
        <f aca="false">IF(COUNTIFS($A$2:A1759,A1759,$C$2:C1759,C1759)=1,ABS(SUMIFS(RAW_발주!$D:$D,RAW_발주!$C:$C,A1759,RAW_발주!$A:$A,C1759)-SUMIFS($W:$W,$A:$A,A1759,$C:$C,C1759)),0)</f>
        <v>0</v>
      </c>
    </row>
    <row r="1760" customFormat="false" ht="15.75" hidden="false" customHeight="true" outlineLevel="0" collapsed="false">
      <c r="A1760" s="45" t="s">
        <v>1660</v>
      </c>
      <c r="B1760" s="42" t="str">
        <f aca="false">IF(A1760="100","HK",IF(A1760="200","CN",IF(A1760="300","TW","홀세일")))</f>
        <v>CN</v>
      </c>
      <c r="C1760" s="45" t="s">
        <v>1007</v>
      </c>
      <c r="D1760" s="46" t="n">
        <v>507</v>
      </c>
      <c r="E1760" s="46" t="n">
        <v>139000</v>
      </c>
      <c r="F1760" s="46" t="n">
        <v>43541</v>
      </c>
      <c r="G1760" s="42" t="n">
        <v>11.18</v>
      </c>
      <c r="H1760" s="42" t="n">
        <v>34.8</v>
      </c>
      <c r="J1760" s="46" t="n">
        <f aca="false">IF(N(E1760)&gt;0,E1760,IF(N(F1760)&gt;0,F1760*요약!$F$27,0))</f>
        <v>139000</v>
      </c>
      <c r="K1760" s="46" t="n">
        <f aca="false">IF(N(F1760)&gt;0,F1760,IF(N(E1760)&gt;0,E1760/요약!$F$27,0))</f>
        <v>43541</v>
      </c>
      <c r="L1760" s="46" t="n">
        <f aca="false">IF(B1760="CN",IF(N(I1760)&gt;0,I1760*요약!$G$27,K1760*(1+요약!$E$27)),IF(N(H1760)&gt;0,H1760*요약!$G$27,J1760*요약!$D$27))</f>
        <v>45718.05</v>
      </c>
      <c r="M1760" s="46" t="n">
        <f aca="false">D1760*J1760</f>
        <v>70473000</v>
      </c>
      <c r="N1760" s="46" t="n">
        <f aca="false">D1760*K1760</f>
        <v>22075287</v>
      </c>
      <c r="O1760" s="46" t="n">
        <f aca="false">D1760*L1760</f>
        <v>23179051.35</v>
      </c>
      <c r="P1760" s="42" t="str">
        <f aca="false">TRIM(IF(N(E1760)&lt;=0,"택가보정 ","")&amp;IF(N(F1760)&lt;=0,"원가보정 ","")&amp;IF(AND(B1760&lt;&gt;"CN",N(H1760)&lt;=0),"공급가보정 ","")&amp;IF(AND(B1760="CN",N(I1760)&lt;=0),"중국공급가=원가+마진 ",""))</f>
        <v>중국공급가=원가+마진</v>
      </c>
      <c r="Q1760" s="47" t="n">
        <f aca="false">IF(SUMIFS($W:$W,$A:$A,A1760,$C:$C,C1760)=0,0,SUMIFS(RAW_판매펀칭!$K:$K,RAW_판매펀칭!$P:$P,A1760,RAW_판매펀칭!$I:$I,C1760)*W1760/SUMIFS($W:$W,$A:$A,A1760,$C:$C,C1760))</f>
        <v>458</v>
      </c>
      <c r="R1760" s="47" t="n">
        <f aca="false">IF(OR(A1760="500",A1760="800",A1760="810"),0,MAX(W1760-Q1760,0))</f>
        <v>49</v>
      </c>
      <c r="S1760" s="47" t="n">
        <f aca="false">R1760*L1760</f>
        <v>2240184.45</v>
      </c>
      <c r="T1760" s="47" t="n">
        <f aca="false">R1760*J1760</f>
        <v>6811000</v>
      </c>
      <c r="U1760" s="47" t="n">
        <f aca="false">R1760*K1760</f>
        <v>2133509</v>
      </c>
      <c r="V1760" s="0" t="str">
        <f aca="false">IF(COUNTIFS($A$2:A1760,A1760,$C$2:C1760,C1760,$D$2:D1760,D1760)&gt;1,"중복","")</f>
        <v/>
      </c>
      <c r="W1760" s="0" t="n">
        <f aca="false">IF(V1760="중복",0,N(D1760))</f>
        <v>507</v>
      </c>
      <c r="X1760" s="0" t="n">
        <f aca="false">IF(COUNTIFS($A$2:A1760,A1760,$C$2:C1760,C1760)=1,ABS(SUMIFS(RAW_발주!$D:$D,RAW_발주!$C:$C,A1760,RAW_발주!$A:$A,C1760)-SUMIFS($W:$W,$A:$A,A1760,$C:$C,C1760)),0)</f>
        <v>0</v>
      </c>
    </row>
    <row r="1761" customFormat="false" ht="15" hidden="false" customHeight="true" outlineLevel="0" collapsed="false">
      <c r="A1761" s="45" t="s">
        <v>1664</v>
      </c>
      <c r="B1761" s="42" t="str">
        <f aca="false">IF(A1761="100","HK",IF(A1761="200","CN",IF(A1761="300","TW","홀세일")))</f>
        <v>홀세일</v>
      </c>
      <c r="C1761" s="45" t="s">
        <v>1007</v>
      </c>
      <c r="D1761" s="46" t="n">
        <v>25</v>
      </c>
      <c r="E1761" s="46" t="n">
        <v>139000</v>
      </c>
      <c r="F1761" s="46" t="n">
        <v>43541</v>
      </c>
      <c r="G1761" s="42" t="n">
        <v>11.18</v>
      </c>
      <c r="H1761" s="42" t="n">
        <v>34.8</v>
      </c>
      <c r="J1761" s="46" t="n">
        <f aca="false">IF(N(E1761)&gt;0,E1761,IF(N(F1761)&gt;0,F1761*요약!$F$27,0))</f>
        <v>139000</v>
      </c>
      <c r="K1761" s="46" t="n">
        <f aca="false">IF(N(F1761)&gt;0,F1761,IF(N(E1761)&gt;0,E1761/요약!$F$27,0))</f>
        <v>43541</v>
      </c>
      <c r="L1761" s="46" t="n">
        <f aca="false">IF(B1761="CN",IF(N(I1761)&gt;0,I1761*요약!$G$27,K1761*(1+요약!$E$27)),IF(N(H1761)&gt;0,H1761*요약!$G$27,J1761*요약!$D$27))</f>
        <v>45936</v>
      </c>
      <c r="M1761" s="46" t="n">
        <f aca="false">D1761*J1761</f>
        <v>3475000</v>
      </c>
      <c r="N1761" s="46" t="n">
        <f aca="false">D1761*K1761</f>
        <v>1088525</v>
      </c>
      <c r="O1761" s="46" t="n">
        <f aca="false">D1761*L1761</f>
        <v>1148400</v>
      </c>
      <c r="P1761" s="42" t="str">
        <f aca="false">TRIM(IF(N(E1761)&lt;=0,"택가보정 ","")&amp;IF(N(F1761)&lt;=0,"원가보정 ","")&amp;IF(AND(B1761&lt;&gt;"CN",N(H1761)&lt;=0),"공급가보정 ","")&amp;IF(AND(B1761="CN",N(I1761)&lt;=0),"중국공급가=원가+마진 ",""))</f>
        <v/>
      </c>
      <c r="Q1761" s="47" t="n">
        <f aca="false">IF(SUMIFS($W:$W,$A:$A,A1761,$C:$C,C1761)=0,0,SUMIFS(RAW_판매펀칭!$K:$K,RAW_판매펀칭!$P:$P,A1761,RAW_판매펀칭!$I:$I,C1761)*W1761/SUMIFS($W:$W,$A:$A,A1761,$C:$C,C1761))</f>
        <v>0</v>
      </c>
      <c r="R1761" s="47" t="n">
        <f aca="false">IF(OR(A1761="500",A1761="800",A1761="810"),0,MAX(W1761-Q1761,0))</f>
        <v>0</v>
      </c>
      <c r="S1761" s="47" t="n">
        <f aca="false">R1761*L1761</f>
        <v>0</v>
      </c>
      <c r="T1761" s="47" t="n">
        <f aca="false">R1761*J1761</f>
        <v>0</v>
      </c>
      <c r="U1761" s="47" t="n">
        <f aca="false">R1761*K1761</f>
        <v>0</v>
      </c>
      <c r="V1761" s="0" t="str">
        <f aca="false">IF(COUNTIFS($A$2:A1761,A1761,$C$2:C1761,C1761,$D$2:D1761,D1761)&gt;1,"중복","")</f>
        <v/>
      </c>
      <c r="W1761" s="0" t="n">
        <f aca="false">IF(V1761="중복",0,N(D1761))</f>
        <v>25</v>
      </c>
      <c r="X1761" s="0" t="n">
        <f aca="false">IF(COUNTIFS($A$2:A1761,A1761,$C$2:C1761,C1761)=1,ABS(SUMIFS(RAW_발주!$D:$D,RAW_발주!$C:$C,A1761,RAW_발주!$A:$A,C1761)-SUMIFS($W:$W,$A:$A,A1761,$C:$C,C1761)),0)</f>
        <v>0</v>
      </c>
    </row>
    <row r="1762" customFormat="false" ht="15.75" hidden="false" customHeight="true" outlineLevel="0" collapsed="false">
      <c r="A1762" s="45" t="s">
        <v>1660</v>
      </c>
      <c r="B1762" s="42" t="str">
        <f aca="false">IF(A1762="100","HK",IF(A1762="200","CN",IF(A1762="300","TW","홀세일")))</f>
        <v>CN</v>
      </c>
      <c r="C1762" s="45" t="s">
        <v>1148</v>
      </c>
      <c r="D1762" s="46" t="n">
        <v>1089</v>
      </c>
      <c r="E1762" s="46"/>
      <c r="F1762" s="46" t="n">
        <v>41400</v>
      </c>
      <c r="G1762" s="42" t="n">
        <v>0</v>
      </c>
      <c r="J1762" s="46" t="n">
        <f aca="false">IF(N(E1762)&gt;0,E1762,IF(N(F1762)&gt;0,F1762*요약!$F$27,0))</f>
        <v>165600</v>
      </c>
      <c r="K1762" s="46" t="n">
        <f aca="false">IF(N(F1762)&gt;0,F1762,IF(N(E1762)&gt;0,E1762/요약!$F$27,0))</f>
        <v>41400</v>
      </c>
      <c r="L1762" s="46" t="n">
        <f aca="false">IF(B1762="CN",IF(N(I1762)&gt;0,I1762*요약!$G$27,K1762*(1+요약!$E$27)),IF(N(H1762)&gt;0,H1762*요약!$G$27,J1762*요약!$D$27))</f>
        <v>43470</v>
      </c>
      <c r="M1762" s="46" t="n">
        <f aca="false">D1762*J1762</f>
        <v>180338400</v>
      </c>
      <c r="N1762" s="46" t="n">
        <f aca="false">D1762*K1762</f>
        <v>45084600</v>
      </c>
      <c r="O1762" s="46" t="n">
        <f aca="false">D1762*L1762</f>
        <v>47338830</v>
      </c>
      <c r="P1762" s="42" t="str">
        <f aca="false">TRIM(IF(N(E1762)&lt;=0,"택가보정 ","")&amp;IF(N(F1762)&lt;=0,"원가보정 ","")&amp;IF(AND(B1762&lt;&gt;"CN",N(H1762)&lt;=0),"공급가보정 ","")&amp;IF(AND(B1762="CN",N(I1762)&lt;=0),"중국공급가=원가+마진 ",""))</f>
        <v>택가보정 중국공급가=원가+마진</v>
      </c>
      <c r="Q1762" s="47" t="n">
        <f aca="false">IF(SUMIFS($W:$W,$A:$A,A1762,$C:$C,C1762)=0,0,SUMIFS(RAW_판매펀칭!$K:$K,RAW_판매펀칭!$P:$P,A1762,RAW_판매펀칭!$I:$I,C1762)*W1762/SUMIFS($W:$W,$A:$A,A1762,$C:$C,C1762))</f>
        <v>1081</v>
      </c>
      <c r="R1762" s="47" t="n">
        <f aca="false">IF(OR(A1762="500",A1762="800",A1762="810"),0,MAX(W1762-Q1762,0))</f>
        <v>8</v>
      </c>
      <c r="S1762" s="47" t="n">
        <f aca="false">R1762*L1762</f>
        <v>347760</v>
      </c>
      <c r="T1762" s="47" t="n">
        <f aca="false">R1762*J1762</f>
        <v>1324800</v>
      </c>
      <c r="U1762" s="47" t="n">
        <f aca="false">R1762*K1762</f>
        <v>331200</v>
      </c>
      <c r="V1762" s="0" t="str">
        <f aca="false">IF(COUNTIFS($A$2:A1762,A1762,$C$2:C1762,C1762,$D$2:D1762,D1762)&gt;1,"중복","")</f>
        <v/>
      </c>
      <c r="W1762" s="0" t="n">
        <f aca="false">IF(V1762="중복",0,N(D1762))</f>
        <v>1089</v>
      </c>
      <c r="X1762" s="0" t="n">
        <f aca="false">IF(COUNTIFS($A$2:A1762,A1762,$C$2:C1762,C1762)=1,ABS(SUMIFS(RAW_발주!$D:$D,RAW_발주!$C:$C,A1762,RAW_발주!$A:$A,C1762)-SUMIFS($W:$W,$A:$A,A1762,$C:$C,C1762)),0)</f>
        <v>0</v>
      </c>
    </row>
    <row r="1763" customFormat="false" ht="15" hidden="false" customHeight="true" outlineLevel="0" collapsed="false">
      <c r="A1763" s="45" t="s">
        <v>1659</v>
      </c>
      <c r="B1763" s="42" t="str">
        <f aca="false">IF(A1763="100","HK",IF(A1763="200","CN",IF(A1763="300","TW","홀세일")))</f>
        <v>HK</v>
      </c>
      <c r="C1763" s="45" t="s">
        <v>700</v>
      </c>
      <c r="D1763" s="46" t="n">
        <v>100</v>
      </c>
      <c r="E1763" s="46" t="n">
        <v>149000</v>
      </c>
      <c r="F1763" s="46" t="n">
        <v>38324</v>
      </c>
      <c r="G1763" s="42" t="n">
        <v>4.77</v>
      </c>
      <c r="H1763" s="42" t="n">
        <v>37.3</v>
      </c>
      <c r="J1763" s="46" t="n">
        <f aca="false">IF(N(E1763)&gt;0,E1763,IF(N(F1763)&gt;0,F1763*요약!$F$27,0))</f>
        <v>149000</v>
      </c>
      <c r="K1763" s="46" t="n">
        <f aca="false">IF(N(F1763)&gt;0,F1763,IF(N(E1763)&gt;0,E1763/요약!$F$27,0))</f>
        <v>38324</v>
      </c>
      <c r="L1763" s="46" t="n">
        <f aca="false">IF(B1763="CN",IF(N(I1763)&gt;0,I1763*요약!$G$27,K1763*(1+요약!$E$27)),IF(N(H1763)&gt;0,H1763*요약!$G$27,J1763*요약!$D$27))</f>
        <v>49236</v>
      </c>
      <c r="M1763" s="46" t="n">
        <f aca="false">D1763*J1763</f>
        <v>14900000</v>
      </c>
      <c r="N1763" s="46" t="n">
        <f aca="false">D1763*K1763</f>
        <v>3832400</v>
      </c>
      <c r="O1763" s="46" t="n">
        <f aca="false">D1763*L1763</f>
        <v>4923600</v>
      </c>
      <c r="P1763" s="42" t="str">
        <f aca="false">TRIM(IF(N(E1763)&lt;=0,"택가보정 ","")&amp;IF(N(F1763)&lt;=0,"원가보정 ","")&amp;IF(AND(B1763&lt;&gt;"CN",N(H1763)&lt;=0),"공급가보정 ","")&amp;IF(AND(B1763="CN",N(I1763)&lt;=0),"중국공급가=원가+마진 ",""))</f>
        <v/>
      </c>
      <c r="Q1763" s="47" t="n">
        <f aca="false">IF(SUMIFS($W:$W,$A:$A,A1763,$C:$C,C1763)=0,0,SUMIFS(RAW_판매펀칭!$K:$K,RAW_판매펀칭!$P:$P,A1763,RAW_판매펀칭!$I:$I,C1763)*W1763/SUMIFS($W:$W,$A:$A,A1763,$C:$C,C1763))</f>
        <v>100</v>
      </c>
      <c r="R1763" s="47" t="n">
        <f aca="false">IF(OR(A1763="500",A1763="800",A1763="810"),0,MAX(W1763-Q1763,0))</f>
        <v>0</v>
      </c>
      <c r="S1763" s="47" t="n">
        <f aca="false">R1763*L1763</f>
        <v>0</v>
      </c>
      <c r="T1763" s="47" t="n">
        <f aca="false">R1763*J1763</f>
        <v>0</v>
      </c>
      <c r="U1763" s="47" t="n">
        <f aca="false">R1763*K1763</f>
        <v>0</v>
      </c>
      <c r="V1763" s="0" t="str">
        <f aca="false">IF(COUNTIFS($A$2:A1763,A1763,$C$2:C1763,C1763,$D$2:D1763,D1763)&gt;1,"중복","")</f>
        <v/>
      </c>
      <c r="W1763" s="0" t="n">
        <f aca="false">IF(V1763="중복",0,N(D1763))</f>
        <v>100</v>
      </c>
      <c r="X1763" s="0" t="n">
        <f aca="false">IF(COUNTIFS($A$2:A1763,A1763,$C$2:C1763,C1763)=1,ABS(SUMIFS(RAW_발주!$D:$D,RAW_발주!$C:$C,A1763,RAW_발주!$A:$A,C1763)-SUMIFS($W:$W,$A:$A,A1763,$C:$C,C1763)),0)</f>
        <v>0</v>
      </c>
    </row>
    <row r="1764" customFormat="false" ht="15.75" hidden="false" customHeight="true" outlineLevel="0" collapsed="false">
      <c r="A1764" s="45" t="s">
        <v>1660</v>
      </c>
      <c r="B1764" s="42" t="str">
        <f aca="false">IF(A1764="100","HK",IF(A1764="200","CN",IF(A1764="300","TW","홀세일")))</f>
        <v>CN</v>
      </c>
      <c r="C1764" s="45" t="s">
        <v>700</v>
      </c>
      <c r="D1764" s="46" t="n">
        <v>676</v>
      </c>
      <c r="E1764" s="46" t="n">
        <v>149000</v>
      </c>
      <c r="F1764" s="46" t="n">
        <v>38324</v>
      </c>
      <c r="G1764" s="42" t="n">
        <v>4.77</v>
      </c>
      <c r="H1764" s="42" t="n">
        <v>37.3</v>
      </c>
      <c r="J1764" s="46" t="n">
        <f aca="false">IF(N(E1764)&gt;0,E1764,IF(N(F1764)&gt;0,F1764*요약!$F$27,0))</f>
        <v>149000</v>
      </c>
      <c r="K1764" s="46" t="n">
        <f aca="false">IF(N(F1764)&gt;0,F1764,IF(N(E1764)&gt;0,E1764/요약!$F$27,0))</f>
        <v>38324</v>
      </c>
      <c r="L1764" s="46" t="n">
        <f aca="false">IF(B1764="CN",IF(N(I1764)&gt;0,I1764*요약!$G$27,K1764*(1+요약!$E$27)),IF(N(H1764)&gt;0,H1764*요약!$G$27,J1764*요약!$D$27))</f>
        <v>40240.2</v>
      </c>
      <c r="M1764" s="46" t="n">
        <f aca="false">D1764*J1764</f>
        <v>100724000</v>
      </c>
      <c r="N1764" s="46" t="n">
        <f aca="false">D1764*K1764</f>
        <v>25907024</v>
      </c>
      <c r="O1764" s="46" t="n">
        <f aca="false">D1764*L1764</f>
        <v>27202375.2</v>
      </c>
      <c r="P1764" s="42" t="str">
        <f aca="false">TRIM(IF(N(E1764)&lt;=0,"택가보정 ","")&amp;IF(N(F1764)&lt;=0,"원가보정 ","")&amp;IF(AND(B1764&lt;&gt;"CN",N(H1764)&lt;=0),"공급가보정 ","")&amp;IF(AND(B1764="CN",N(I1764)&lt;=0),"중국공급가=원가+마진 ",""))</f>
        <v>중국공급가=원가+마진</v>
      </c>
      <c r="Q1764" s="47" t="n">
        <f aca="false">IF(SUMIFS($W:$W,$A:$A,A1764,$C:$C,C1764)=0,0,SUMIFS(RAW_판매펀칭!$K:$K,RAW_판매펀칭!$P:$P,A1764,RAW_판매펀칭!$I:$I,C1764)*W1764/SUMIFS($W:$W,$A:$A,A1764,$C:$C,C1764))</f>
        <v>635</v>
      </c>
      <c r="R1764" s="47" t="n">
        <f aca="false">IF(OR(A1764="500",A1764="800",A1764="810"),0,MAX(W1764-Q1764,0))</f>
        <v>41</v>
      </c>
      <c r="S1764" s="47" t="n">
        <f aca="false">R1764*L1764</f>
        <v>1649848.2</v>
      </c>
      <c r="T1764" s="47" t="n">
        <f aca="false">R1764*J1764</f>
        <v>6109000</v>
      </c>
      <c r="U1764" s="47" t="n">
        <f aca="false">R1764*K1764</f>
        <v>1571284</v>
      </c>
      <c r="V1764" s="0" t="str">
        <f aca="false">IF(COUNTIFS($A$2:A1764,A1764,$C$2:C1764,C1764,$D$2:D1764,D1764)&gt;1,"중복","")</f>
        <v/>
      </c>
      <c r="W1764" s="0" t="n">
        <f aca="false">IF(V1764="중복",0,N(D1764))</f>
        <v>676</v>
      </c>
      <c r="X1764" s="0" t="n">
        <f aca="false">IF(COUNTIFS($A$2:A1764,A1764,$C$2:C1764,C1764)=1,ABS(SUMIFS(RAW_발주!$D:$D,RAW_발주!$C:$C,A1764,RAW_발주!$A:$A,C1764)-SUMIFS($W:$W,$A:$A,A1764,$C:$C,C1764)),0)</f>
        <v>0</v>
      </c>
    </row>
    <row r="1765" customFormat="false" ht="15" hidden="false" customHeight="true" outlineLevel="0" collapsed="false">
      <c r="A1765" s="45" t="s">
        <v>1661</v>
      </c>
      <c r="B1765" s="42" t="str">
        <f aca="false">IF(A1765="100","HK",IF(A1765="200","CN",IF(A1765="300","TW","홀세일")))</f>
        <v>TW</v>
      </c>
      <c r="C1765" s="45" t="s">
        <v>700</v>
      </c>
      <c r="D1765" s="46" t="n">
        <v>150</v>
      </c>
      <c r="E1765" s="46" t="n">
        <v>149000</v>
      </c>
      <c r="F1765" s="46" t="n">
        <v>38324</v>
      </c>
      <c r="G1765" s="42" t="n">
        <v>4.77</v>
      </c>
      <c r="H1765" s="42" t="n">
        <v>37.3</v>
      </c>
      <c r="J1765" s="46" t="n">
        <f aca="false">IF(N(E1765)&gt;0,E1765,IF(N(F1765)&gt;0,F1765*요약!$F$27,0))</f>
        <v>149000</v>
      </c>
      <c r="K1765" s="46" t="n">
        <f aca="false">IF(N(F1765)&gt;0,F1765,IF(N(E1765)&gt;0,E1765/요약!$F$27,0))</f>
        <v>38324</v>
      </c>
      <c r="L1765" s="46" t="n">
        <f aca="false">IF(B1765="CN",IF(N(I1765)&gt;0,I1765*요약!$G$27,K1765*(1+요약!$E$27)),IF(N(H1765)&gt;0,H1765*요약!$G$27,J1765*요약!$D$27))</f>
        <v>49236</v>
      </c>
      <c r="M1765" s="46" t="n">
        <f aca="false">D1765*J1765</f>
        <v>22350000</v>
      </c>
      <c r="N1765" s="46" t="n">
        <f aca="false">D1765*K1765</f>
        <v>5748600</v>
      </c>
      <c r="O1765" s="46" t="n">
        <f aca="false">D1765*L1765</f>
        <v>7385400</v>
      </c>
      <c r="P1765" s="42" t="str">
        <f aca="false">TRIM(IF(N(E1765)&lt;=0,"택가보정 ","")&amp;IF(N(F1765)&lt;=0,"원가보정 ","")&amp;IF(AND(B1765&lt;&gt;"CN",N(H1765)&lt;=0),"공급가보정 ","")&amp;IF(AND(B1765="CN",N(I1765)&lt;=0),"중국공급가=원가+마진 ",""))</f>
        <v/>
      </c>
      <c r="Q1765" s="47" t="n">
        <f aca="false">IF(SUMIFS($W:$W,$A:$A,A1765,$C:$C,C1765)=0,0,SUMIFS(RAW_판매펀칭!$K:$K,RAW_판매펀칭!$P:$P,A1765,RAW_판매펀칭!$I:$I,C1765)*W1765/SUMIFS($W:$W,$A:$A,A1765,$C:$C,C1765))</f>
        <v>150</v>
      </c>
      <c r="R1765" s="47" t="n">
        <f aca="false">IF(OR(A1765="500",A1765="800",A1765="810"),0,MAX(W1765-Q1765,0))</f>
        <v>0</v>
      </c>
      <c r="S1765" s="47" t="n">
        <f aca="false">R1765*L1765</f>
        <v>0</v>
      </c>
      <c r="T1765" s="47" t="n">
        <f aca="false">R1765*J1765</f>
        <v>0</v>
      </c>
      <c r="U1765" s="47" t="n">
        <f aca="false">R1765*K1765</f>
        <v>0</v>
      </c>
      <c r="V1765" s="0" t="str">
        <f aca="false">IF(COUNTIFS($A$2:A1765,A1765,$C$2:C1765,C1765,$D$2:D1765,D1765)&gt;1,"중복","")</f>
        <v/>
      </c>
      <c r="W1765" s="0" t="n">
        <f aca="false">IF(V1765="중복",0,N(D1765))</f>
        <v>150</v>
      </c>
      <c r="X1765" s="0" t="n">
        <f aca="false">IF(COUNTIFS($A$2:A1765,A1765,$C$2:C1765,C1765)=1,ABS(SUMIFS(RAW_발주!$D:$D,RAW_발주!$C:$C,A1765,RAW_발주!$A:$A,C1765)-SUMIFS($W:$W,$A:$A,A1765,$C:$C,C1765)),0)</f>
        <v>0</v>
      </c>
    </row>
    <row r="1766" customFormat="false" ht="15" hidden="false" customHeight="true" outlineLevel="0" collapsed="false">
      <c r="A1766" s="45" t="s">
        <v>1659</v>
      </c>
      <c r="B1766" s="42" t="str">
        <f aca="false">IF(A1766="100","HK",IF(A1766="200","CN",IF(A1766="300","TW","홀세일")))</f>
        <v>HK</v>
      </c>
      <c r="C1766" s="45" t="s">
        <v>1009</v>
      </c>
      <c r="D1766" s="46" t="n">
        <v>210</v>
      </c>
      <c r="E1766" s="46"/>
      <c r="F1766" s="46" t="n">
        <v>38732</v>
      </c>
      <c r="G1766" s="42" t="n">
        <v>0</v>
      </c>
      <c r="H1766" s="42" t="n">
        <v>39.6</v>
      </c>
      <c r="J1766" s="46" t="n">
        <f aca="false">IF(N(E1766)&gt;0,E1766,IF(N(F1766)&gt;0,F1766*요약!$F$27,0))</f>
        <v>154928</v>
      </c>
      <c r="K1766" s="46" t="n">
        <f aca="false">IF(N(F1766)&gt;0,F1766,IF(N(E1766)&gt;0,E1766/요약!$F$27,0))</f>
        <v>38732</v>
      </c>
      <c r="L1766" s="46" t="n">
        <f aca="false">IF(B1766="CN",IF(N(I1766)&gt;0,I1766*요약!$G$27,K1766*(1+요약!$E$27)),IF(N(H1766)&gt;0,H1766*요약!$G$27,J1766*요약!$D$27))</f>
        <v>52272</v>
      </c>
      <c r="M1766" s="46" t="n">
        <f aca="false">D1766*J1766</f>
        <v>32534880</v>
      </c>
      <c r="N1766" s="46" t="n">
        <f aca="false">D1766*K1766</f>
        <v>8133720</v>
      </c>
      <c r="O1766" s="46" t="n">
        <f aca="false">D1766*L1766</f>
        <v>10977120</v>
      </c>
      <c r="P1766" s="42" t="str">
        <f aca="false">TRIM(IF(N(E1766)&lt;=0,"택가보정 ","")&amp;IF(N(F1766)&lt;=0,"원가보정 ","")&amp;IF(AND(B1766&lt;&gt;"CN",N(H1766)&lt;=0),"공급가보정 ","")&amp;IF(AND(B1766="CN",N(I1766)&lt;=0),"중국공급가=원가+마진 ",""))</f>
        <v>택가보정</v>
      </c>
      <c r="Q1766" s="47" t="n">
        <f aca="false">IF(SUMIFS($W:$W,$A:$A,A1766,$C:$C,C1766)=0,0,SUMIFS(RAW_판매펀칭!$K:$K,RAW_판매펀칭!$P:$P,A1766,RAW_판매펀칭!$I:$I,C1766)*W1766/SUMIFS($W:$W,$A:$A,A1766,$C:$C,C1766))</f>
        <v>210</v>
      </c>
      <c r="R1766" s="47" t="n">
        <f aca="false">IF(OR(A1766="500",A1766="800",A1766="810"),0,MAX(W1766-Q1766,0))</f>
        <v>0</v>
      </c>
      <c r="S1766" s="47" t="n">
        <f aca="false">R1766*L1766</f>
        <v>0</v>
      </c>
      <c r="T1766" s="47" t="n">
        <f aca="false">R1766*J1766</f>
        <v>0</v>
      </c>
      <c r="U1766" s="47" t="n">
        <f aca="false">R1766*K1766</f>
        <v>0</v>
      </c>
      <c r="V1766" s="0" t="str">
        <f aca="false">IF(COUNTIFS($A$2:A1766,A1766,$C$2:C1766,C1766,$D$2:D1766,D1766)&gt;1,"중복","")</f>
        <v/>
      </c>
      <c r="W1766" s="0" t="n">
        <f aca="false">IF(V1766="중복",0,N(D1766))</f>
        <v>210</v>
      </c>
      <c r="X1766" s="0" t="n">
        <f aca="false">IF(COUNTIFS($A$2:A1766,A1766,$C$2:C1766,C1766)=1,ABS(SUMIFS(RAW_발주!$D:$D,RAW_발주!$C:$C,A1766,RAW_발주!$A:$A,C1766)-SUMIFS($W:$W,$A:$A,A1766,$C:$C,C1766)),0)</f>
        <v>0</v>
      </c>
    </row>
    <row r="1767" customFormat="false" ht="15.75" hidden="false" customHeight="true" outlineLevel="0" collapsed="false">
      <c r="A1767" s="45" t="s">
        <v>1660</v>
      </c>
      <c r="B1767" s="42" t="str">
        <f aca="false">IF(A1767="100","HK",IF(A1767="200","CN",IF(A1767="300","TW","홀세일")))</f>
        <v>CN</v>
      </c>
      <c r="C1767" s="45" t="s">
        <v>1009</v>
      </c>
      <c r="D1767" s="46" t="n">
        <v>412</v>
      </c>
      <c r="E1767" s="46"/>
      <c r="F1767" s="46" t="n">
        <v>38732</v>
      </c>
      <c r="G1767" s="42" t="n">
        <v>0</v>
      </c>
      <c r="H1767" s="42" t="n">
        <v>39.6</v>
      </c>
      <c r="J1767" s="46" t="n">
        <f aca="false">IF(N(E1767)&gt;0,E1767,IF(N(F1767)&gt;0,F1767*요약!$F$27,0))</f>
        <v>154928</v>
      </c>
      <c r="K1767" s="46" t="n">
        <f aca="false">IF(N(F1767)&gt;0,F1767,IF(N(E1767)&gt;0,E1767/요약!$F$27,0))</f>
        <v>38732</v>
      </c>
      <c r="L1767" s="46" t="n">
        <f aca="false">IF(B1767="CN",IF(N(I1767)&gt;0,I1767*요약!$G$27,K1767*(1+요약!$E$27)),IF(N(H1767)&gt;0,H1767*요약!$G$27,J1767*요약!$D$27))</f>
        <v>40668.6</v>
      </c>
      <c r="M1767" s="46" t="n">
        <f aca="false">D1767*J1767</f>
        <v>63830336</v>
      </c>
      <c r="N1767" s="46" t="n">
        <f aca="false">D1767*K1767</f>
        <v>15957584</v>
      </c>
      <c r="O1767" s="46" t="n">
        <f aca="false">D1767*L1767</f>
        <v>16755463.2</v>
      </c>
      <c r="P1767" s="42" t="str">
        <f aca="false">TRIM(IF(N(E1767)&lt;=0,"택가보정 ","")&amp;IF(N(F1767)&lt;=0,"원가보정 ","")&amp;IF(AND(B1767&lt;&gt;"CN",N(H1767)&lt;=0),"공급가보정 ","")&amp;IF(AND(B1767="CN",N(I1767)&lt;=0),"중국공급가=원가+마진 ",""))</f>
        <v>택가보정 중국공급가=원가+마진</v>
      </c>
      <c r="Q1767" s="47" t="n">
        <f aca="false">IF(SUMIFS($W:$W,$A:$A,A1767,$C:$C,C1767)=0,0,SUMIFS(RAW_판매펀칭!$K:$K,RAW_판매펀칭!$P:$P,A1767,RAW_판매펀칭!$I:$I,C1767)*W1767/SUMIFS($W:$W,$A:$A,A1767,$C:$C,C1767))</f>
        <v>412</v>
      </c>
      <c r="R1767" s="47" t="n">
        <f aca="false">IF(OR(A1767="500",A1767="800",A1767="810"),0,MAX(W1767-Q1767,0))</f>
        <v>0</v>
      </c>
      <c r="S1767" s="47" t="n">
        <f aca="false">R1767*L1767</f>
        <v>0</v>
      </c>
      <c r="T1767" s="47" t="n">
        <f aca="false">R1767*J1767</f>
        <v>0</v>
      </c>
      <c r="U1767" s="47" t="n">
        <f aca="false">R1767*K1767</f>
        <v>0</v>
      </c>
      <c r="V1767" s="0" t="str">
        <f aca="false">IF(COUNTIFS($A$2:A1767,A1767,$C$2:C1767,C1767,$D$2:D1767,D1767)&gt;1,"중복","")</f>
        <v/>
      </c>
      <c r="W1767" s="0" t="n">
        <f aca="false">IF(V1767="중복",0,N(D1767))</f>
        <v>412</v>
      </c>
      <c r="X1767" s="0" t="n">
        <f aca="false">IF(COUNTIFS($A$2:A1767,A1767,$C$2:C1767,C1767)=1,ABS(SUMIFS(RAW_발주!$D:$D,RAW_발주!$C:$C,A1767,RAW_발주!$A:$A,C1767)-SUMIFS($W:$W,$A:$A,A1767,$C:$C,C1767)),0)</f>
        <v>0</v>
      </c>
    </row>
    <row r="1768" customFormat="false" ht="15.75" hidden="false" customHeight="true" outlineLevel="0" collapsed="false">
      <c r="A1768" s="45" t="s">
        <v>1660</v>
      </c>
      <c r="B1768" s="42" t="str">
        <f aca="false">IF(A1768="100","HK",IF(A1768="200","CN",IF(A1768="300","TW","홀세일")))</f>
        <v>CN</v>
      </c>
      <c r="C1768" s="45" t="s">
        <v>1009</v>
      </c>
      <c r="D1768" s="46" t="n">
        <v>412</v>
      </c>
      <c r="E1768" s="46"/>
      <c r="F1768" s="46" t="n">
        <v>38732</v>
      </c>
      <c r="G1768" s="42" t="n">
        <v>0</v>
      </c>
      <c r="H1768" s="42" t="n">
        <v>39.6</v>
      </c>
      <c r="J1768" s="46" t="n">
        <f aca="false">IF(N(E1768)&gt;0,E1768,IF(N(F1768)&gt;0,F1768*요약!$F$27,0))</f>
        <v>154928</v>
      </c>
      <c r="K1768" s="46" t="n">
        <f aca="false">IF(N(F1768)&gt;0,F1768,IF(N(E1768)&gt;0,E1768/요약!$F$27,0))</f>
        <v>38732</v>
      </c>
      <c r="L1768" s="46" t="n">
        <f aca="false">IF(B1768="CN",IF(N(I1768)&gt;0,I1768*요약!$G$27,K1768*(1+요약!$E$27)),IF(N(H1768)&gt;0,H1768*요약!$G$27,J1768*요약!$D$27))</f>
        <v>40668.6</v>
      </c>
      <c r="M1768" s="46" t="n">
        <f aca="false">D1768*J1768</f>
        <v>63830336</v>
      </c>
      <c r="N1768" s="46" t="n">
        <f aca="false">D1768*K1768</f>
        <v>15957584</v>
      </c>
      <c r="O1768" s="46" t="n">
        <f aca="false">D1768*L1768</f>
        <v>16755463.2</v>
      </c>
      <c r="P1768" s="42" t="str">
        <f aca="false">TRIM(IF(N(E1768)&lt;=0,"택가보정 ","")&amp;IF(N(F1768)&lt;=0,"원가보정 ","")&amp;IF(AND(B1768&lt;&gt;"CN",N(H1768)&lt;=0),"공급가보정 ","")&amp;IF(AND(B1768="CN",N(I1768)&lt;=0),"중국공급가=원가+마진 ",""))</f>
        <v>택가보정 중국공급가=원가+마진</v>
      </c>
      <c r="Q1768" s="47" t="n">
        <f aca="false">IF(SUMIFS($W:$W,$A:$A,A1768,$C:$C,C1768)=0,0,SUMIFS(RAW_판매펀칭!$K:$K,RAW_판매펀칭!$P:$P,A1768,RAW_판매펀칭!$I:$I,C1768)*W1768/SUMIFS($W:$W,$A:$A,A1768,$C:$C,C1768))</f>
        <v>0</v>
      </c>
      <c r="R1768" s="47" t="n">
        <f aca="false">IF(OR(A1768="500",A1768="800",A1768="810"),0,MAX(W1768-Q1768,0))</f>
        <v>0</v>
      </c>
      <c r="S1768" s="47" t="n">
        <f aca="false">R1768*L1768</f>
        <v>0</v>
      </c>
      <c r="T1768" s="47" t="n">
        <f aca="false">R1768*J1768</f>
        <v>0</v>
      </c>
      <c r="U1768" s="47" t="n">
        <f aca="false">R1768*K1768</f>
        <v>0</v>
      </c>
      <c r="V1768" s="0" t="str">
        <f aca="false">IF(COUNTIFS($A$2:A1768,A1768,$C$2:C1768,C1768,$D$2:D1768,D1768)&gt;1,"중복","")</f>
        <v>중복</v>
      </c>
      <c r="W1768" s="0" t="n">
        <f aca="false">IF(V1768="중복",0,N(D1768))</f>
        <v>0</v>
      </c>
      <c r="X1768" s="0" t="n">
        <f aca="false">IF(COUNTIFS($A$2:A1768,A1768,$C$2:C1768,C1768)=1,ABS(SUMIFS(RAW_발주!$D:$D,RAW_발주!$C:$C,A1768,RAW_발주!$A:$A,C1768)-SUMIFS($W:$W,$A:$A,A1768,$C:$C,C1768)),0)</f>
        <v>0</v>
      </c>
    </row>
    <row r="1769" customFormat="false" ht="15.75" hidden="false" customHeight="true" outlineLevel="0" collapsed="false">
      <c r="A1769" s="45" t="s">
        <v>1660</v>
      </c>
      <c r="B1769" s="42" t="str">
        <f aca="false">IF(A1769="100","HK",IF(A1769="200","CN",IF(A1769="300","TW","홀세일")))</f>
        <v>CN</v>
      </c>
      <c r="C1769" s="45" t="s">
        <v>1150</v>
      </c>
      <c r="D1769" s="46" t="n">
        <v>122</v>
      </c>
      <c r="E1769" s="46" t="n">
        <v>189000</v>
      </c>
      <c r="F1769" s="46" t="n">
        <v>54100</v>
      </c>
      <c r="G1769" s="42" t="n">
        <v>3.01</v>
      </c>
      <c r="H1769" s="42" t="n">
        <v>47.3</v>
      </c>
      <c r="J1769" s="46" t="n">
        <f aca="false">IF(N(E1769)&gt;0,E1769,IF(N(F1769)&gt;0,F1769*요약!$F$27,0))</f>
        <v>189000</v>
      </c>
      <c r="K1769" s="46" t="n">
        <f aca="false">IF(N(F1769)&gt;0,F1769,IF(N(E1769)&gt;0,E1769/요약!$F$27,0))</f>
        <v>54100</v>
      </c>
      <c r="L1769" s="46" t="n">
        <f aca="false">IF(B1769="CN",IF(N(I1769)&gt;0,I1769*요약!$G$27,K1769*(1+요약!$E$27)),IF(N(H1769)&gt;0,H1769*요약!$G$27,J1769*요약!$D$27))</f>
        <v>56805</v>
      </c>
      <c r="M1769" s="46" t="n">
        <f aca="false">D1769*J1769</f>
        <v>23058000</v>
      </c>
      <c r="N1769" s="46" t="n">
        <f aca="false">D1769*K1769</f>
        <v>6600200</v>
      </c>
      <c r="O1769" s="46" t="n">
        <f aca="false">D1769*L1769</f>
        <v>6930210</v>
      </c>
      <c r="P1769" s="42" t="str">
        <f aca="false">TRIM(IF(N(E1769)&lt;=0,"택가보정 ","")&amp;IF(N(F1769)&lt;=0,"원가보정 ","")&amp;IF(AND(B1769&lt;&gt;"CN",N(H1769)&lt;=0),"공급가보정 ","")&amp;IF(AND(B1769="CN",N(I1769)&lt;=0),"중국공급가=원가+마진 ",""))</f>
        <v>중국공급가=원가+마진</v>
      </c>
      <c r="Q1769" s="47" t="n">
        <f aca="false">IF(SUMIFS($W:$W,$A:$A,A1769,$C:$C,C1769)=0,0,SUMIFS(RAW_판매펀칭!$K:$K,RAW_판매펀칭!$P:$P,A1769,RAW_판매펀칭!$I:$I,C1769)*W1769/SUMIFS($W:$W,$A:$A,A1769,$C:$C,C1769))</f>
        <v>1</v>
      </c>
      <c r="R1769" s="47" t="n">
        <f aca="false">IF(OR(A1769="500",A1769="800",A1769="810"),0,MAX(W1769-Q1769,0))</f>
        <v>121</v>
      </c>
      <c r="S1769" s="47" t="n">
        <f aca="false">R1769*L1769</f>
        <v>6873405</v>
      </c>
      <c r="T1769" s="47" t="n">
        <f aca="false">R1769*J1769</f>
        <v>22869000</v>
      </c>
      <c r="U1769" s="47" t="n">
        <f aca="false">R1769*K1769</f>
        <v>6546100</v>
      </c>
      <c r="V1769" s="0" t="str">
        <f aca="false">IF(COUNTIFS($A$2:A1769,A1769,$C$2:C1769,C1769,$D$2:D1769,D1769)&gt;1,"중복","")</f>
        <v/>
      </c>
      <c r="W1769" s="0" t="n">
        <f aca="false">IF(V1769="중복",0,N(D1769))</f>
        <v>122</v>
      </c>
      <c r="X1769" s="0" t="n">
        <f aca="false">IF(COUNTIFS($A$2:A1769,A1769,$C$2:C1769,C1769)=1,ABS(SUMIFS(RAW_발주!$D:$D,RAW_발주!$C:$C,A1769,RAW_발주!$A:$A,C1769)-SUMIFS($W:$W,$A:$A,A1769,$C:$C,C1769)),0)</f>
        <v>0</v>
      </c>
    </row>
    <row r="1770" customFormat="false" ht="15" hidden="false" customHeight="true" outlineLevel="0" collapsed="false">
      <c r="A1770" s="45" t="s">
        <v>1659</v>
      </c>
      <c r="B1770" s="42" t="str">
        <f aca="false">IF(A1770="100","HK",IF(A1770="200","CN",IF(A1770="300","TW","홀세일")))</f>
        <v>HK</v>
      </c>
      <c r="C1770" s="45" t="s">
        <v>702</v>
      </c>
      <c r="D1770" s="46" t="n">
        <v>140</v>
      </c>
      <c r="E1770" s="46" t="n">
        <v>169000</v>
      </c>
      <c r="F1770" s="46" t="n">
        <v>50679</v>
      </c>
      <c r="G1770" s="42" t="n">
        <v>2.99</v>
      </c>
      <c r="H1770" s="42" t="n">
        <v>42.3</v>
      </c>
      <c r="J1770" s="46" t="n">
        <f aca="false">IF(N(E1770)&gt;0,E1770,IF(N(F1770)&gt;0,F1770*요약!$F$27,0))</f>
        <v>169000</v>
      </c>
      <c r="K1770" s="46" t="n">
        <f aca="false">IF(N(F1770)&gt;0,F1770,IF(N(E1770)&gt;0,E1770/요약!$F$27,0))</f>
        <v>50679</v>
      </c>
      <c r="L1770" s="46" t="n">
        <f aca="false">IF(B1770="CN",IF(N(I1770)&gt;0,I1770*요약!$G$27,K1770*(1+요약!$E$27)),IF(N(H1770)&gt;0,H1770*요약!$G$27,J1770*요약!$D$27))</f>
        <v>55836</v>
      </c>
      <c r="M1770" s="46" t="n">
        <f aca="false">D1770*J1770</f>
        <v>23660000</v>
      </c>
      <c r="N1770" s="46" t="n">
        <f aca="false">D1770*K1770</f>
        <v>7095060</v>
      </c>
      <c r="O1770" s="46" t="n">
        <f aca="false">D1770*L1770</f>
        <v>7817040</v>
      </c>
      <c r="P1770" s="42" t="str">
        <f aca="false">TRIM(IF(N(E1770)&lt;=0,"택가보정 ","")&amp;IF(N(F1770)&lt;=0,"원가보정 ","")&amp;IF(AND(B1770&lt;&gt;"CN",N(H1770)&lt;=0),"공급가보정 ","")&amp;IF(AND(B1770="CN",N(I1770)&lt;=0),"중국공급가=원가+마진 ",""))</f>
        <v/>
      </c>
      <c r="Q1770" s="47" t="n">
        <f aca="false">IF(SUMIFS($W:$W,$A:$A,A1770,$C:$C,C1770)=0,0,SUMIFS(RAW_판매펀칭!$K:$K,RAW_판매펀칭!$P:$P,A1770,RAW_판매펀칭!$I:$I,C1770)*W1770/SUMIFS($W:$W,$A:$A,A1770,$C:$C,C1770))</f>
        <v>140</v>
      </c>
      <c r="R1770" s="47" t="n">
        <f aca="false">IF(OR(A1770="500",A1770="800",A1770="810"),0,MAX(W1770-Q1770,0))</f>
        <v>0</v>
      </c>
      <c r="S1770" s="47" t="n">
        <f aca="false">R1770*L1770</f>
        <v>0</v>
      </c>
      <c r="T1770" s="47" t="n">
        <f aca="false">R1770*J1770</f>
        <v>0</v>
      </c>
      <c r="U1770" s="47" t="n">
        <f aca="false">R1770*K1770</f>
        <v>0</v>
      </c>
      <c r="V1770" s="0" t="str">
        <f aca="false">IF(COUNTIFS($A$2:A1770,A1770,$C$2:C1770,C1770,$D$2:D1770,D1770)&gt;1,"중복","")</f>
        <v/>
      </c>
      <c r="W1770" s="0" t="n">
        <f aca="false">IF(V1770="중복",0,N(D1770))</f>
        <v>140</v>
      </c>
      <c r="X1770" s="0" t="n">
        <f aca="false">IF(COUNTIFS($A$2:A1770,A1770,$C$2:C1770,C1770)=1,ABS(SUMIFS(RAW_발주!$D:$D,RAW_발주!$C:$C,A1770,RAW_발주!$A:$A,C1770)-SUMIFS($W:$W,$A:$A,A1770,$C:$C,C1770)),0)</f>
        <v>0</v>
      </c>
    </row>
    <row r="1771" customFormat="false" ht="15.75" hidden="false" customHeight="true" outlineLevel="0" collapsed="false">
      <c r="A1771" s="45" t="s">
        <v>1660</v>
      </c>
      <c r="B1771" s="42" t="str">
        <f aca="false">IF(A1771="100","HK",IF(A1771="200","CN",IF(A1771="300","TW","홀세일")))</f>
        <v>CN</v>
      </c>
      <c r="C1771" s="45" t="s">
        <v>702</v>
      </c>
      <c r="D1771" s="46" t="n">
        <v>276</v>
      </c>
      <c r="E1771" s="46" t="n">
        <v>169000</v>
      </c>
      <c r="F1771" s="46" t="n">
        <v>50679</v>
      </c>
      <c r="G1771" s="42" t="n">
        <v>2.99</v>
      </c>
      <c r="H1771" s="42" t="n">
        <v>42.3</v>
      </c>
      <c r="J1771" s="46" t="n">
        <f aca="false">IF(N(E1771)&gt;0,E1771,IF(N(F1771)&gt;0,F1771*요약!$F$27,0))</f>
        <v>169000</v>
      </c>
      <c r="K1771" s="46" t="n">
        <f aca="false">IF(N(F1771)&gt;0,F1771,IF(N(E1771)&gt;0,E1771/요약!$F$27,0))</f>
        <v>50679</v>
      </c>
      <c r="L1771" s="46" t="n">
        <f aca="false">IF(B1771="CN",IF(N(I1771)&gt;0,I1771*요약!$G$27,K1771*(1+요약!$E$27)),IF(N(H1771)&gt;0,H1771*요약!$G$27,J1771*요약!$D$27))</f>
        <v>53212.95</v>
      </c>
      <c r="M1771" s="46" t="n">
        <f aca="false">D1771*J1771</f>
        <v>46644000</v>
      </c>
      <c r="N1771" s="46" t="n">
        <f aca="false">D1771*K1771</f>
        <v>13987404</v>
      </c>
      <c r="O1771" s="46" t="n">
        <f aca="false">D1771*L1771</f>
        <v>14686774.2</v>
      </c>
      <c r="P1771" s="42" t="str">
        <f aca="false">TRIM(IF(N(E1771)&lt;=0,"택가보정 ","")&amp;IF(N(F1771)&lt;=0,"원가보정 ","")&amp;IF(AND(B1771&lt;&gt;"CN",N(H1771)&lt;=0),"공급가보정 ","")&amp;IF(AND(B1771="CN",N(I1771)&lt;=0),"중국공급가=원가+마진 ",""))</f>
        <v>중국공급가=원가+마진</v>
      </c>
      <c r="Q1771" s="47" t="n">
        <f aca="false">IF(SUMIFS($W:$W,$A:$A,A1771,$C:$C,C1771)=0,0,SUMIFS(RAW_판매펀칭!$K:$K,RAW_판매펀칭!$P:$P,A1771,RAW_판매펀칭!$I:$I,C1771)*W1771/SUMIFS($W:$W,$A:$A,A1771,$C:$C,C1771))</f>
        <v>276</v>
      </c>
      <c r="R1771" s="47" t="n">
        <f aca="false">IF(OR(A1771="500",A1771="800",A1771="810"),0,MAX(W1771-Q1771,0))</f>
        <v>0</v>
      </c>
      <c r="S1771" s="47" t="n">
        <f aca="false">R1771*L1771</f>
        <v>0</v>
      </c>
      <c r="T1771" s="47" t="n">
        <f aca="false">R1771*J1771</f>
        <v>0</v>
      </c>
      <c r="U1771" s="47" t="n">
        <f aca="false">R1771*K1771</f>
        <v>0</v>
      </c>
      <c r="V1771" s="0" t="str">
        <f aca="false">IF(COUNTIFS($A$2:A1771,A1771,$C$2:C1771,C1771,$D$2:D1771,D1771)&gt;1,"중복","")</f>
        <v/>
      </c>
      <c r="W1771" s="0" t="n">
        <f aca="false">IF(V1771="중복",0,N(D1771))</f>
        <v>276</v>
      </c>
      <c r="X1771" s="0" t="n">
        <f aca="false">IF(COUNTIFS($A$2:A1771,A1771,$C$2:C1771,C1771)=1,ABS(SUMIFS(RAW_발주!$D:$D,RAW_발주!$C:$C,A1771,RAW_발주!$A:$A,C1771)-SUMIFS($W:$W,$A:$A,A1771,$C:$C,C1771)),0)</f>
        <v>0</v>
      </c>
    </row>
    <row r="1772" customFormat="false" ht="15" hidden="false" customHeight="true" outlineLevel="0" collapsed="false">
      <c r="A1772" s="45" t="s">
        <v>1661</v>
      </c>
      <c r="B1772" s="42" t="str">
        <f aca="false">IF(A1772="100","HK",IF(A1772="200","CN",IF(A1772="300","TW","홀세일")))</f>
        <v>TW</v>
      </c>
      <c r="C1772" s="45" t="s">
        <v>702</v>
      </c>
      <c r="D1772" s="46" t="n">
        <v>280</v>
      </c>
      <c r="E1772" s="46" t="n">
        <v>169000</v>
      </c>
      <c r="F1772" s="46" t="n">
        <v>50679</v>
      </c>
      <c r="G1772" s="42" t="n">
        <v>2.99</v>
      </c>
      <c r="H1772" s="42" t="n">
        <v>42.3</v>
      </c>
      <c r="J1772" s="46" t="n">
        <f aca="false">IF(N(E1772)&gt;0,E1772,IF(N(F1772)&gt;0,F1772*요약!$F$27,0))</f>
        <v>169000</v>
      </c>
      <c r="K1772" s="46" t="n">
        <f aca="false">IF(N(F1772)&gt;0,F1772,IF(N(E1772)&gt;0,E1772/요약!$F$27,0))</f>
        <v>50679</v>
      </c>
      <c r="L1772" s="46" t="n">
        <f aca="false">IF(B1772="CN",IF(N(I1772)&gt;0,I1772*요약!$G$27,K1772*(1+요약!$E$27)),IF(N(H1772)&gt;0,H1772*요약!$G$27,J1772*요약!$D$27))</f>
        <v>55836</v>
      </c>
      <c r="M1772" s="46" t="n">
        <f aca="false">D1772*J1772</f>
        <v>47320000</v>
      </c>
      <c r="N1772" s="46" t="n">
        <f aca="false">D1772*K1772</f>
        <v>14190120</v>
      </c>
      <c r="O1772" s="46" t="n">
        <f aca="false">D1772*L1772</f>
        <v>15634080</v>
      </c>
      <c r="P1772" s="42" t="str">
        <f aca="false">TRIM(IF(N(E1772)&lt;=0,"택가보정 ","")&amp;IF(N(F1772)&lt;=0,"원가보정 ","")&amp;IF(AND(B1772&lt;&gt;"CN",N(H1772)&lt;=0),"공급가보정 ","")&amp;IF(AND(B1772="CN",N(I1772)&lt;=0),"중국공급가=원가+마진 ",""))</f>
        <v/>
      </c>
      <c r="Q1772" s="47" t="n">
        <f aca="false">IF(SUMIFS($W:$W,$A:$A,A1772,$C:$C,C1772)=0,0,SUMIFS(RAW_판매펀칭!$K:$K,RAW_판매펀칭!$P:$P,A1772,RAW_판매펀칭!$I:$I,C1772)*W1772/SUMIFS($W:$W,$A:$A,A1772,$C:$C,C1772))</f>
        <v>263</v>
      </c>
      <c r="R1772" s="47" t="n">
        <f aca="false">IF(OR(A1772="500",A1772="800",A1772="810"),0,MAX(W1772-Q1772,0))</f>
        <v>17</v>
      </c>
      <c r="S1772" s="47" t="n">
        <f aca="false">R1772*L1772</f>
        <v>949212</v>
      </c>
      <c r="T1772" s="47" t="n">
        <f aca="false">R1772*J1772</f>
        <v>2873000</v>
      </c>
      <c r="U1772" s="47" t="n">
        <f aca="false">R1772*K1772</f>
        <v>861543</v>
      </c>
      <c r="V1772" s="0" t="str">
        <f aca="false">IF(COUNTIFS($A$2:A1772,A1772,$C$2:C1772,C1772,$D$2:D1772,D1772)&gt;1,"중복","")</f>
        <v/>
      </c>
      <c r="W1772" s="0" t="n">
        <f aca="false">IF(V1772="중복",0,N(D1772))</f>
        <v>280</v>
      </c>
      <c r="X1772" s="0" t="n">
        <f aca="false">IF(COUNTIFS($A$2:A1772,A1772,$C$2:C1772,C1772)=1,ABS(SUMIFS(RAW_발주!$D:$D,RAW_발주!$C:$C,A1772,RAW_발주!$A:$A,C1772)-SUMIFS($W:$W,$A:$A,A1772,$C:$C,C1772)),0)</f>
        <v>0</v>
      </c>
    </row>
    <row r="1773" customFormat="false" ht="15" hidden="false" customHeight="true" outlineLevel="0" collapsed="false">
      <c r="A1773" s="45" t="s">
        <v>1663</v>
      </c>
      <c r="B1773" s="42" t="str">
        <f aca="false">IF(A1773="100","HK",IF(A1773="200","CN",IF(A1773="300","TW","홀세일")))</f>
        <v>홀세일</v>
      </c>
      <c r="C1773" s="45" t="s">
        <v>702</v>
      </c>
      <c r="D1773" s="46" t="n">
        <v>15</v>
      </c>
      <c r="E1773" s="46" t="n">
        <v>169000</v>
      </c>
      <c r="F1773" s="46" t="n">
        <v>50679</v>
      </c>
      <c r="G1773" s="42" t="n">
        <v>2.99</v>
      </c>
      <c r="H1773" s="42" t="n">
        <v>42.3</v>
      </c>
      <c r="J1773" s="46" t="n">
        <f aca="false">IF(N(E1773)&gt;0,E1773,IF(N(F1773)&gt;0,F1773*요약!$F$27,0))</f>
        <v>169000</v>
      </c>
      <c r="K1773" s="46" t="n">
        <f aca="false">IF(N(F1773)&gt;0,F1773,IF(N(E1773)&gt;0,E1773/요약!$F$27,0))</f>
        <v>50679</v>
      </c>
      <c r="L1773" s="46" t="n">
        <f aca="false">IF(B1773="CN",IF(N(I1773)&gt;0,I1773*요약!$G$27,K1773*(1+요약!$E$27)),IF(N(H1773)&gt;0,H1773*요약!$G$27,J1773*요약!$D$27))</f>
        <v>55836</v>
      </c>
      <c r="M1773" s="46" t="n">
        <f aca="false">D1773*J1773</f>
        <v>2535000</v>
      </c>
      <c r="N1773" s="46" t="n">
        <f aca="false">D1773*K1773</f>
        <v>760185</v>
      </c>
      <c r="O1773" s="46" t="n">
        <f aca="false">D1773*L1773</f>
        <v>837540</v>
      </c>
      <c r="P1773" s="42" t="str">
        <f aca="false">TRIM(IF(N(E1773)&lt;=0,"택가보정 ","")&amp;IF(N(F1773)&lt;=0,"원가보정 ","")&amp;IF(AND(B1773&lt;&gt;"CN",N(H1773)&lt;=0),"공급가보정 ","")&amp;IF(AND(B1773="CN",N(I1773)&lt;=0),"중국공급가=원가+마진 ",""))</f>
        <v/>
      </c>
      <c r="Q1773" s="47" t="n">
        <f aca="false">IF(SUMIFS($W:$W,$A:$A,A1773,$C:$C,C1773)=0,0,SUMIFS(RAW_판매펀칭!$K:$K,RAW_판매펀칭!$P:$P,A1773,RAW_판매펀칭!$I:$I,C1773)*W1773/SUMIFS($W:$W,$A:$A,A1773,$C:$C,C1773))</f>
        <v>15</v>
      </c>
      <c r="R1773" s="47" t="n">
        <f aca="false">IF(OR(A1773="500",A1773="800",A1773="810"),0,MAX(W1773-Q1773,0))</f>
        <v>0</v>
      </c>
      <c r="S1773" s="47" t="n">
        <f aca="false">R1773*L1773</f>
        <v>0</v>
      </c>
      <c r="T1773" s="47" t="n">
        <f aca="false">R1773*J1773</f>
        <v>0</v>
      </c>
      <c r="U1773" s="47" t="n">
        <f aca="false">R1773*K1773</f>
        <v>0</v>
      </c>
      <c r="V1773" s="0" t="str">
        <f aca="false">IF(COUNTIFS($A$2:A1773,A1773,$C$2:C1773,C1773,$D$2:D1773,D1773)&gt;1,"중복","")</f>
        <v/>
      </c>
      <c r="W1773" s="0" t="n">
        <f aca="false">IF(V1773="중복",0,N(D1773))</f>
        <v>15</v>
      </c>
      <c r="X1773" s="0" t="n">
        <f aca="false">IF(COUNTIFS($A$2:A1773,A1773,$C$2:C1773,C1773)=1,ABS(SUMIFS(RAW_발주!$D:$D,RAW_발주!$C:$C,A1773,RAW_발주!$A:$A,C1773)-SUMIFS($W:$W,$A:$A,A1773,$C:$C,C1773)),0)</f>
        <v>0</v>
      </c>
    </row>
    <row r="1774" customFormat="false" ht="15.75" hidden="false" customHeight="true" outlineLevel="0" collapsed="false">
      <c r="A1774" s="45" t="s">
        <v>1660</v>
      </c>
      <c r="B1774" s="42" t="str">
        <f aca="false">IF(A1774="100","HK",IF(A1774="200","CN",IF(A1774="300","TW","홀세일")))</f>
        <v>CN</v>
      </c>
      <c r="C1774" s="45" t="s">
        <v>1152</v>
      </c>
      <c r="D1774" s="46" t="n">
        <v>483</v>
      </c>
      <c r="E1774" s="46" t="n">
        <v>89000</v>
      </c>
      <c r="F1774" s="46" t="n">
        <v>24695</v>
      </c>
      <c r="G1774" s="42" t="n">
        <v>4.57</v>
      </c>
      <c r="H1774" s="42" t="n">
        <v>22.3</v>
      </c>
      <c r="J1774" s="46" t="n">
        <f aca="false">IF(N(E1774)&gt;0,E1774,IF(N(F1774)&gt;0,F1774*요약!$F$27,0))</f>
        <v>89000</v>
      </c>
      <c r="K1774" s="46" t="n">
        <f aca="false">IF(N(F1774)&gt;0,F1774,IF(N(E1774)&gt;0,E1774/요약!$F$27,0))</f>
        <v>24695</v>
      </c>
      <c r="L1774" s="46" t="n">
        <f aca="false">IF(B1774="CN",IF(N(I1774)&gt;0,I1774*요약!$G$27,K1774*(1+요약!$E$27)),IF(N(H1774)&gt;0,H1774*요약!$G$27,J1774*요약!$D$27))</f>
        <v>25929.75</v>
      </c>
      <c r="M1774" s="46" t="n">
        <f aca="false">D1774*J1774</f>
        <v>42987000</v>
      </c>
      <c r="N1774" s="46" t="n">
        <f aca="false">D1774*K1774</f>
        <v>11927685</v>
      </c>
      <c r="O1774" s="46" t="n">
        <f aca="false">D1774*L1774</f>
        <v>12524069.25</v>
      </c>
      <c r="P1774" s="42" t="str">
        <f aca="false">TRIM(IF(N(E1774)&lt;=0,"택가보정 ","")&amp;IF(N(F1774)&lt;=0,"원가보정 ","")&amp;IF(AND(B1774&lt;&gt;"CN",N(H1774)&lt;=0),"공급가보정 ","")&amp;IF(AND(B1774="CN",N(I1774)&lt;=0),"중국공급가=원가+마진 ",""))</f>
        <v>중국공급가=원가+마진</v>
      </c>
      <c r="Q1774" s="47" t="n">
        <f aca="false">IF(SUMIFS($W:$W,$A:$A,A1774,$C:$C,C1774)=0,0,SUMIFS(RAW_판매펀칭!$K:$K,RAW_판매펀칭!$P:$P,A1774,RAW_판매펀칭!$I:$I,C1774)*W1774/SUMIFS($W:$W,$A:$A,A1774,$C:$C,C1774))</f>
        <v>483</v>
      </c>
      <c r="R1774" s="47" t="n">
        <f aca="false">IF(OR(A1774="500",A1774="800",A1774="810"),0,MAX(W1774-Q1774,0))</f>
        <v>0</v>
      </c>
      <c r="S1774" s="47" t="n">
        <f aca="false">R1774*L1774</f>
        <v>0</v>
      </c>
      <c r="T1774" s="47" t="n">
        <f aca="false">R1774*J1774</f>
        <v>0</v>
      </c>
      <c r="U1774" s="47" t="n">
        <f aca="false">R1774*K1774</f>
        <v>0</v>
      </c>
      <c r="V1774" s="0" t="str">
        <f aca="false">IF(COUNTIFS($A$2:A1774,A1774,$C$2:C1774,C1774,$D$2:D1774,D1774)&gt;1,"중복","")</f>
        <v/>
      </c>
      <c r="W1774" s="0" t="n">
        <f aca="false">IF(V1774="중복",0,N(D1774))</f>
        <v>483</v>
      </c>
      <c r="X1774" s="0" t="n">
        <f aca="false">IF(COUNTIFS($A$2:A1774,A1774,$C$2:C1774,C1774)=1,ABS(SUMIFS(RAW_발주!$D:$D,RAW_발주!$C:$C,A1774,RAW_발주!$A:$A,C1774)-SUMIFS($W:$W,$A:$A,A1774,$C:$C,C1774)),0)</f>
        <v>0</v>
      </c>
    </row>
    <row r="1775" customFormat="false" ht="15.75" hidden="false" customHeight="true" outlineLevel="0" collapsed="false">
      <c r="A1775" s="45" t="s">
        <v>1660</v>
      </c>
      <c r="B1775" s="42" t="str">
        <f aca="false">IF(A1775="100","HK",IF(A1775="200","CN",IF(A1775="300","TW","홀세일")))</f>
        <v>CN</v>
      </c>
      <c r="C1775" s="45" t="s">
        <v>1154</v>
      </c>
      <c r="D1775" s="46" t="n">
        <v>533</v>
      </c>
      <c r="E1775" s="46"/>
      <c r="F1775" s="46" t="n">
        <v>27197</v>
      </c>
      <c r="G1775" s="42" t="n">
        <v>0</v>
      </c>
      <c r="H1775" s="42" t="n">
        <v>29</v>
      </c>
      <c r="J1775" s="46" t="n">
        <f aca="false">IF(N(E1775)&gt;0,E1775,IF(N(F1775)&gt;0,F1775*요약!$F$27,0))</f>
        <v>108788</v>
      </c>
      <c r="K1775" s="46" t="n">
        <f aca="false">IF(N(F1775)&gt;0,F1775,IF(N(E1775)&gt;0,E1775/요약!$F$27,0))</f>
        <v>27197</v>
      </c>
      <c r="L1775" s="46" t="n">
        <f aca="false">IF(B1775="CN",IF(N(I1775)&gt;0,I1775*요약!$G$27,K1775*(1+요약!$E$27)),IF(N(H1775)&gt;0,H1775*요약!$G$27,J1775*요약!$D$27))</f>
        <v>28556.85</v>
      </c>
      <c r="M1775" s="46" t="n">
        <f aca="false">D1775*J1775</f>
        <v>57984004</v>
      </c>
      <c r="N1775" s="46" t="n">
        <f aca="false">D1775*K1775</f>
        <v>14496001</v>
      </c>
      <c r="O1775" s="46" t="n">
        <f aca="false">D1775*L1775</f>
        <v>15220801.05</v>
      </c>
      <c r="P1775" s="42" t="str">
        <f aca="false">TRIM(IF(N(E1775)&lt;=0,"택가보정 ","")&amp;IF(N(F1775)&lt;=0,"원가보정 ","")&amp;IF(AND(B1775&lt;&gt;"CN",N(H1775)&lt;=0),"공급가보정 ","")&amp;IF(AND(B1775="CN",N(I1775)&lt;=0),"중국공급가=원가+마진 ",""))</f>
        <v>택가보정 중국공급가=원가+마진</v>
      </c>
      <c r="Q1775" s="47" t="n">
        <f aca="false">IF(SUMIFS($W:$W,$A:$A,A1775,$C:$C,C1775)=0,0,SUMIFS(RAW_판매펀칭!$K:$K,RAW_판매펀칭!$P:$P,A1775,RAW_판매펀칭!$I:$I,C1775)*W1775/SUMIFS($W:$W,$A:$A,A1775,$C:$C,C1775))</f>
        <v>497</v>
      </c>
      <c r="R1775" s="47" t="n">
        <f aca="false">IF(OR(A1775="500",A1775="800",A1775="810"),0,MAX(W1775-Q1775,0))</f>
        <v>36</v>
      </c>
      <c r="S1775" s="47" t="n">
        <f aca="false">R1775*L1775</f>
        <v>1028046.6</v>
      </c>
      <c r="T1775" s="47" t="n">
        <f aca="false">R1775*J1775</f>
        <v>3916368</v>
      </c>
      <c r="U1775" s="47" t="n">
        <f aca="false">R1775*K1775</f>
        <v>979092</v>
      </c>
      <c r="V1775" s="0" t="str">
        <f aca="false">IF(COUNTIFS($A$2:A1775,A1775,$C$2:C1775,C1775,$D$2:D1775,D1775)&gt;1,"중복","")</f>
        <v/>
      </c>
      <c r="W1775" s="0" t="n">
        <f aca="false">IF(V1775="중복",0,N(D1775))</f>
        <v>533</v>
      </c>
      <c r="X1775" s="0" t="n">
        <f aca="false">IF(COUNTIFS($A$2:A1775,A1775,$C$2:C1775,C1775)=1,ABS(SUMIFS(RAW_발주!$D:$D,RAW_발주!$C:$C,A1775,RAW_발주!$A:$A,C1775)-SUMIFS($W:$W,$A:$A,A1775,$C:$C,C1775)),0)</f>
        <v>0</v>
      </c>
    </row>
    <row r="1776" customFormat="false" ht="15" hidden="false" customHeight="true" outlineLevel="0" collapsed="false">
      <c r="A1776" s="45" t="s">
        <v>1659</v>
      </c>
      <c r="B1776" s="42" t="str">
        <f aca="false">IF(A1776="100","HK",IF(A1776="200","CN",IF(A1776="300","TW","홀세일")))</f>
        <v>HK</v>
      </c>
      <c r="C1776" s="45" t="s">
        <v>1011</v>
      </c>
      <c r="D1776" s="46" t="n">
        <v>90</v>
      </c>
      <c r="E1776" s="46"/>
      <c r="F1776" s="46" t="n">
        <v>31301</v>
      </c>
      <c r="G1776" s="42" t="n">
        <v>0</v>
      </c>
      <c r="H1776" s="42" t="n">
        <v>26.3</v>
      </c>
      <c r="J1776" s="46" t="n">
        <f aca="false">IF(N(E1776)&gt;0,E1776,IF(N(F1776)&gt;0,F1776*요약!$F$27,0))</f>
        <v>125204</v>
      </c>
      <c r="K1776" s="46" t="n">
        <f aca="false">IF(N(F1776)&gt;0,F1776,IF(N(E1776)&gt;0,E1776/요약!$F$27,0))</f>
        <v>31301</v>
      </c>
      <c r="L1776" s="46" t="n">
        <f aca="false">IF(B1776="CN",IF(N(I1776)&gt;0,I1776*요약!$G$27,K1776*(1+요약!$E$27)),IF(N(H1776)&gt;0,H1776*요약!$G$27,J1776*요약!$D$27))</f>
        <v>34716</v>
      </c>
      <c r="M1776" s="46" t="n">
        <f aca="false">D1776*J1776</f>
        <v>11268360</v>
      </c>
      <c r="N1776" s="46" t="n">
        <f aca="false">D1776*K1776</f>
        <v>2817090</v>
      </c>
      <c r="O1776" s="46" t="n">
        <f aca="false">D1776*L1776</f>
        <v>3124440</v>
      </c>
      <c r="P1776" s="42" t="str">
        <f aca="false">TRIM(IF(N(E1776)&lt;=0,"택가보정 ","")&amp;IF(N(F1776)&lt;=0,"원가보정 ","")&amp;IF(AND(B1776&lt;&gt;"CN",N(H1776)&lt;=0),"공급가보정 ","")&amp;IF(AND(B1776="CN",N(I1776)&lt;=0),"중국공급가=원가+마진 ",""))</f>
        <v>택가보정</v>
      </c>
      <c r="Q1776" s="47" t="n">
        <f aca="false">IF(SUMIFS($W:$W,$A:$A,A1776,$C:$C,C1776)=0,0,SUMIFS(RAW_판매펀칭!$K:$K,RAW_판매펀칭!$P:$P,A1776,RAW_판매펀칭!$I:$I,C1776)*W1776/SUMIFS($W:$W,$A:$A,A1776,$C:$C,C1776))</f>
        <v>90</v>
      </c>
      <c r="R1776" s="47" t="n">
        <f aca="false">IF(OR(A1776="500",A1776="800",A1776="810"),0,MAX(W1776-Q1776,0))</f>
        <v>0</v>
      </c>
      <c r="S1776" s="47" t="n">
        <f aca="false">R1776*L1776</f>
        <v>0</v>
      </c>
      <c r="T1776" s="47" t="n">
        <f aca="false">R1776*J1776</f>
        <v>0</v>
      </c>
      <c r="U1776" s="47" t="n">
        <f aca="false">R1776*K1776</f>
        <v>0</v>
      </c>
      <c r="V1776" s="0" t="str">
        <f aca="false">IF(COUNTIFS($A$2:A1776,A1776,$C$2:C1776,C1776,$D$2:D1776,D1776)&gt;1,"중복","")</f>
        <v/>
      </c>
      <c r="W1776" s="0" t="n">
        <f aca="false">IF(V1776="중복",0,N(D1776))</f>
        <v>90</v>
      </c>
      <c r="X1776" s="0" t="n">
        <f aca="false">IF(COUNTIFS($A$2:A1776,A1776,$C$2:C1776,C1776)=1,ABS(SUMIFS(RAW_발주!$D:$D,RAW_발주!$C:$C,A1776,RAW_발주!$A:$A,C1776)-SUMIFS($W:$W,$A:$A,A1776,$C:$C,C1776)),0)</f>
        <v>0</v>
      </c>
    </row>
    <row r="1777" customFormat="false" ht="15.75" hidden="false" customHeight="true" outlineLevel="0" collapsed="false">
      <c r="A1777" s="45" t="s">
        <v>1660</v>
      </c>
      <c r="B1777" s="42" t="str">
        <f aca="false">IF(A1777="100","HK",IF(A1777="200","CN",IF(A1777="300","TW","홀세일")))</f>
        <v>CN</v>
      </c>
      <c r="C1777" s="45" t="s">
        <v>1011</v>
      </c>
      <c r="D1777" s="46" t="n">
        <v>322</v>
      </c>
      <c r="E1777" s="46"/>
      <c r="F1777" s="46" t="n">
        <v>31301</v>
      </c>
      <c r="G1777" s="42" t="n">
        <v>0</v>
      </c>
      <c r="H1777" s="42" t="n">
        <v>26.3</v>
      </c>
      <c r="J1777" s="46" t="n">
        <f aca="false">IF(N(E1777)&gt;0,E1777,IF(N(F1777)&gt;0,F1777*요약!$F$27,0))</f>
        <v>125204</v>
      </c>
      <c r="K1777" s="46" t="n">
        <f aca="false">IF(N(F1777)&gt;0,F1777,IF(N(E1777)&gt;0,E1777/요약!$F$27,0))</f>
        <v>31301</v>
      </c>
      <c r="L1777" s="46" t="n">
        <f aca="false">IF(B1777="CN",IF(N(I1777)&gt;0,I1777*요약!$G$27,K1777*(1+요약!$E$27)),IF(N(H1777)&gt;0,H1777*요약!$G$27,J1777*요약!$D$27))</f>
        <v>32866.05</v>
      </c>
      <c r="M1777" s="46" t="n">
        <f aca="false">D1777*J1777</f>
        <v>40315688</v>
      </c>
      <c r="N1777" s="46" t="n">
        <f aca="false">D1777*K1777</f>
        <v>10078922</v>
      </c>
      <c r="O1777" s="46" t="n">
        <f aca="false">D1777*L1777</f>
        <v>10582868.1</v>
      </c>
      <c r="P1777" s="42" t="str">
        <f aca="false">TRIM(IF(N(E1777)&lt;=0,"택가보정 ","")&amp;IF(N(F1777)&lt;=0,"원가보정 ","")&amp;IF(AND(B1777&lt;&gt;"CN",N(H1777)&lt;=0),"공급가보정 ","")&amp;IF(AND(B1777="CN",N(I1777)&lt;=0),"중국공급가=원가+마진 ",""))</f>
        <v>택가보정 중국공급가=원가+마진</v>
      </c>
      <c r="Q1777" s="47" t="n">
        <f aca="false">IF(SUMIFS($W:$W,$A:$A,A1777,$C:$C,C1777)=0,0,SUMIFS(RAW_판매펀칭!$K:$K,RAW_판매펀칭!$P:$P,A1777,RAW_판매펀칭!$I:$I,C1777)*W1777/SUMIFS($W:$W,$A:$A,A1777,$C:$C,C1777))</f>
        <v>273</v>
      </c>
      <c r="R1777" s="47" t="n">
        <f aca="false">IF(OR(A1777="500",A1777="800",A1777="810"),0,MAX(W1777-Q1777,0))</f>
        <v>49</v>
      </c>
      <c r="S1777" s="47" t="n">
        <f aca="false">R1777*L1777</f>
        <v>1610436.45</v>
      </c>
      <c r="T1777" s="47" t="n">
        <f aca="false">R1777*J1777</f>
        <v>6134996</v>
      </c>
      <c r="U1777" s="47" t="n">
        <f aca="false">R1777*K1777</f>
        <v>1533749</v>
      </c>
      <c r="V1777" s="0" t="str">
        <f aca="false">IF(COUNTIFS($A$2:A1777,A1777,$C$2:C1777,C1777,$D$2:D1777,D1777)&gt;1,"중복","")</f>
        <v/>
      </c>
      <c r="W1777" s="0" t="n">
        <f aca="false">IF(V1777="중복",0,N(D1777))</f>
        <v>322</v>
      </c>
      <c r="X1777" s="0" t="n">
        <f aca="false">IF(COUNTIFS($A$2:A1777,A1777,$C$2:C1777,C1777)=1,ABS(SUMIFS(RAW_발주!$D:$D,RAW_발주!$C:$C,A1777,RAW_발주!$A:$A,C1777)-SUMIFS($W:$W,$A:$A,A1777,$C:$C,C1777)),0)</f>
        <v>0</v>
      </c>
    </row>
    <row r="1778" customFormat="false" ht="15" hidden="false" customHeight="true" outlineLevel="0" collapsed="false">
      <c r="A1778" s="45" t="s">
        <v>1659</v>
      </c>
      <c r="B1778" s="42" t="str">
        <f aca="false">IF(A1778="100","HK",IF(A1778="200","CN",IF(A1778="300","TW","홀세일")))</f>
        <v>HK</v>
      </c>
      <c r="C1778" s="45" t="s">
        <v>1013</v>
      </c>
      <c r="D1778" s="46" t="n">
        <v>100</v>
      </c>
      <c r="E1778" s="46"/>
      <c r="F1778" s="46" t="n">
        <v>17899</v>
      </c>
      <c r="G1778" s="42" t="n">
        <v>0</v>
      </c>
      <c r="H1778" s="42" t="n">
        <v>18.4</v>
      </c>
      <c r="J1778" s="46" t="n">
        <f aca="false">IF(N(E1778)&gt;0,E1778,IF(N(F1778)&gt;0,F1778*요약!$F$27,0))</f>
        <v>71596</v>
      </c>
      <c r="K1778" s="46" t="n">
        <f aca="false">IF(N(F1778)&gt;0,F1778,IF(N(E1778)&gt;0,E1778/요약!$F$27,0))</f>
        <v>17899</v>
      </c>
      <c r="L1778" s="46" t="n">
        <f aca="false">IF(B1778="CN",IF(N(I1778)&gt;0,I1778*요약!$G$27,K1778*(1+요약!$E$27)),IF(N(H1778)&gt;0,H1778*요약!$G$27,J1778*요약!$D$27))</f>
        <v>24288</v>
      </c>
      <c r="M1778" s="46" t="n">
        <f aca="false">D1778*J1778</f>
        <v>7159600</v>
      </c>
      <c r="N1778" s="46" t="n">
        <f aca="false">D1778*K1778</f>
        <v>1789900</v>
      </c>
      <c r="O1778" s="46" t="n">
        <f aca="false">D1778*L1778</f>
        <v>2428800</v>
      </c>
      <c r="P1778" s="42" t="str">
        <f aca="false">TRIM(IF(N(E1778)&lt;=0,"택가보정 ","")&amp;IF(N(F1778)&lt;=0,"원가보정 ","")&amp;IF(AND(B1778&lt;&gt;"CN",N(H1778)&lt;=0),"공급가보정 ","")&amp;IF(AND(B1778="CN",N(I1778)&lt;=0),"중국공급가=원가+마진 ",""))</f>
        <v>택가보정</v>
      </c>
      <c r="Q1778" s="47" t="n">
        <f aca="false">IF(SUMIFS($W:$W,$A:$A,A1778,$C:$C,C1778)=0,0,SUMIFS(RAW_판매펀칭!$K:$K,RAW_판매펀칭!$P:$P,A1778,RAW_판매펀칭!$I:$I,C1778)*W1778/SUMIFS($W:$W,$A:$A,A1778,$C:$C,C1778))</f>
        <v>100</v>
      </c>
      <c r="R1778" s="47" t="n">
        <f aca="false">IF(OR(A1778="500",A1778="800",A1778="810"),0,MAX(W1778-Q1778,0))</f>
        <v>0</v>
      </c>
      <c r="S1778" s="47" t="n">
        <f aca="false">R1778*L1778</f>
        <v>0</v>
      </c>
      <c r="T1778" s="47" t="n">
        <f aca="false">R1778*J1778</f>
        <v>0</v>
      </c>
      <c r="U1778" s="47" t="n">
        <f aca="false">R1778*K1778</f>
        <v>0</v>
      </c>
      <c r="V1778" s="0" t="str">
        <f aca="false">IF(COUNTIFS($A$2:A1778,A1778,$C$2:C1778,C1778,$D$2:D1778,D1778)&gt;1,"중복","")</f>
        <v/>
      </c>
      <c r="W1778" s="0" t="n">
        <f aca="false">IF(V1778="중복",0,N(D1778))</f>
        <v>100</v>
      </c>
      <c r="X1778" s="0" t="n">
        <f aca="false">IF(COUNTIFS($A$2:A1778,A1778,$C$2:C1778,C1778)=1,ABS(SUMIFS(RAW_발주!$D:$D,RAW_발주!$C:$C,A1778,RAW_발주!$A:$A,C1778)-SUMIFS($W:$W,$A:$A,A1778,$C:$C,C1778)),0)</f>
        <v>0</v>
      </c>
    </row>
    <row r="1779" customFormat="false" ht="15.75" hidden="false" customHeight="true" outlineLevel="0" collapsed="false">
      <c r="A1779" s="45" t="s">
        <v>1660</v>
      </c>
      <c r="B1779" s="42" t="str">
        <f aca="false">IF(A1779="100","HK",IF(A1779="200","CN",IF(A1779="300","TW","홀세일")))</f>
        <v>CN</v>
      </c>
      <c r="C1779" s="45" t="s">
        <v>1013</v>
      </c>
      <c r="D1779" s="46" t="n">
        <v>372</v>
      </c>
      <c r="E1779" s="46"/>
      <c r="F1779" s="46" t="n">
        <v>17899</v>
      </c>
      <c r="G1779" s="42" t="n">
        <v>0</v>
      </c>
      <c r="H1779" s="42" t="n">
        <v>18.4</v>
      </c>
      <c r="J1779" s="46" t="n">
        <f aca="false">IF(N(E1779)&gt;0,E1779,IF(N(F1779)&gt;0,F1779*요약!$F$27,0))</f>
        <v>71596</v>
      </c>
      <c r="K1779" s="46" t="n">
        <f aca="false">IF(N(F1779)&gt;0,F1779,IF(N(E1779)&gt;0,E1779/요약!$F$27,0))</f>
        <v>17899</v>
      </c>
      <c r="L1779" s="46" t="n">
        <f aca="false">IF(B1779="CN",IF(N(I1779)&gt;0,I1779*요약!$G$27,K1779*(1+요약!$E$27)),IF(N(H1779)&gt;0,H1779*요약!$G$27,J1779*요약!$D$27))</f>
        <v>18793.95</v>
      </c>
      <c r="M1779" s="46" t="n">
        <f aca="false">D1779*J1779</f>
        <v>26633712</v>
      </c>
      <c r="N1779" s="46" t="n">
        <f aca="false">D1779*K1779</f>
        <v>6658428</v>
      </c>
      <c r="O1779" s="46" t="n">
        <f aca="false">D1779*L1779</f>
        <v>6991349.4</v>
      </c>
      <c r="P1779" s="42" t="str">
        <f aca="false">TRIM(IF(N(E1779)&lt;=0,"택가보정 ","")&amp;IF(N(F1779)&lt;=0,"원가보정 ","")&amp;IF(AND(B1779&lt;&gt;"CN",N(H1779)&lt;=0),"공급가보정 ","")&amp;IF(AND(B1779="CN",N(I1779)&lt;=0),"중국공급가=원가+마진 ",""))</f>
        <v>택가보정 중국공급가=원가+마진</v>
      </c>
      <c r="Q1779" s="47" t="n">
        <f aca="false">IF(SUMIFS($W:$W,$A:$A,A1779,$C:$C,C1779)=0,0,SUMIFS(RAW_판매펀칭!$K:$K,RAW_판매펀칭!$P:$P,A1779,RAW_판매펀칭!$I:$I,C1779)*W1779/SUMIFS($W:$W,$A:$A,A1779,$C:$C,C1779))</f>
        <v>372</v>
      </c>
      <c r="R1779" s="47" t="n">
        <f aca="false">IF(OR(A1779="500",A1779="800",A1779="810"),0,MAX(W1779-Q1779,0))</f>
        <v>0</v>
      </c>
      <c r="S1779" s="47" t="n">
        <f aca="false">R1779*L1779</f>
        <v>0</v>
      </c>
      <c r="T1779" s="47" t="n">
        <f aca="false">R1779*J1779</f>
        <v>0</v>
      </c>
      <c r="U1779" s="47" t="n">
        <f aca="false">R1779*K1779</f>
        <v>0</v>
      </c>
      <c r="V1779" s="0" t="str">
        <f aca="false">IF(COUNTIFS($A$2:A1779,A1779,$C$2:C1779,C1779,$D$2:D1779,D1779)&gt;1,"중복","")</f>
        <v/>
      </c>
      <c r="W1779" s="0" t="n">
        <f aca="false">IF(V1779="중복",0,N(D1779))</f>
        <v>372</v>
      </c>
      <c r="X1779" s="0" t="n">
        <f aca="false">IF(COUNTIFS($A$2:A1779,A1779,$C$2:C1779,C1779)=1,ABS(SUMIFS(RAW_발주!$D:$D,RAW_발주!$C:$C,A1779,RAW_발주!$A:$A,C1779)-SUMIFS($W:$W,$A:$A,A1779,$C:$C,C1779)),0)</f>
        <v>0</v>
      </c>
    </row>
    <row r="1780" customFormat="false" ht="15" hidden="false" customHeight="true" outlineLevel="0" collapsed="false">
      <c r="A1780" s="45" t="s">
        <v>1659</v>
      </c>
      <c r="B1780" s="42" t="str">
        <f aca="false">IF(A1780="100","HK",IF(A1780="200","CN",IF(A1780="300","TW","홀세일")))</f>
        <v>HK</v>
      </c>
      <c r="C1780" s="45" t="s">
        <v>1015</v>
      </c>
      <c r="D1780" s="46" t="n">
        <v>180</v>
      </c>
      <c r="E1780" s="46"/>
      <c r="F1780" s="46" t="n">
        <v>31102</v>
      </c>
      <c r="G1780" s="42" t="n">
        <v>0</v>
      </c>
      <c r="H1780" s="42" t="n">
        <v>29</v>
      </c>
      <c r="J1780" s="46" t="n">
        <f aca="false">IF(N(E1780)&gt;0,E1780,IF(N(F1780)&gt;0,F1780*요약!$F$27,0))</f>
        <v>124408</v>
      </c>
      <c r="K1780" s="46" t="n">
        <f aca="false">IF(N(F1780)&gt;0,F1780,IF(N(E1780)&gt;0,E1780/요약!$F$27,0))</f>
        <v>31102</v>
      </c>
      <c r="L1780" s="46" t="n">
        <f aca="false">IF(B1780="CN",IF(N(I1780)&gt;0,I1780*요약!$G$27,K1780*(1+요약!$E$27)),IF(N(H1780)&gt;0,H1780*요약!$G$27,J1780*요약!$D$27))</f>
        <v>38280</v>
      </c>
      <c r="M1780" s="46" t="n">
        <f aca="false">D1780*J1780</f>
        <v>22393440</v>
      </c>
      <c r="N1780" s="46" t="n">
        <f aca="false">D1780*K1780</f>
        <v>5598360</v>
      </c>
      <c r="O1780" s="46" t="n">
        <f aca="false">D1780*L1780</f>
        <v>6890400</v>
      </c>
      <c r="P1780" s="42" t="str">
        <f aca="false">TRIM(IF(N(E1780)&lt;=0,"택가보정 ","")&amp;IF(N(F1780)&lt;=0,"원가보정 ","")&amp;IF(AND(B1780&lt;&gt;"CN",N(H1780)&lt;=0),"공급가보정 ","")&amp;IF(AND(B1780="CN",N(I1780)&lt;=0),"중국공급가=원가+마진 ",""))</f>
        <v>택가보정</v>
      </c>
      <c r="Q1780" s="47" t="n">
        <f aca="false">IF(SUMIFS($W:$W,$A:$A,A1780,$C:$C,C1780)=0,0,SUMIFS(RAW_판매펀칭!$K:$K,RAW_판매펀칭!$P:$P,A1780,RAW_판매펀칭!$I:$I,C1780)*W1780/SUMIFS($W:$W,$A:$A,A1780,$C:$C,C1780))</f>
        <v>180</v>
      </c>
      <c r="R1780" s="47" t="n">
        <f aca="false">IF(OR(A1780="500",A1780="800",A1780="810"),0,MAX(W1780-Q1780,0))</f>
        <v>0</v>
      </c>
      <c r="S1780" s="47" t="n">
        <f aca="false">R1780*L1780</f>
        <v>0</v>
      </c>
      <c r="T1780" s="47" t="n">
        <f aca="false">R1780*J1780</f>
        <v>0</v>
      </c>
      <c r="U1780" s="47" t="n">
        <f aca="false">R1780*K1780</f>
        <v>0</v>
      </c>
      <c r="V1780" s="0" t="str">
        <f aca="false">IF(COUNTIFS($A$2:A1780,A1780,$C$2:C1780,C1780,$D$2:D1780,D1780)&gt;1,"중복","")</f>
        <v/>
      </c>
      <c r="W1780" s="0" t="n">
        <f aca="false">IF(V1780="중복",0,N(D1780))</f>
        <v>180</v>
      </c>
      <c r="X1780" s="0" t="n">
        <f aca="false">IF(COUNTIFS($A$2:A1780,A1780,$C$2:C1780,C1780)=1,ABS(SUMIFS(RAW_발주!$D:$D,RAW_발주!$C:$C,A1780,RAW_발주!$A:$A,C1780)-SUMIFS($W:$W,$A:$A,A1780,$C:$C,C1780)),0)</f>
        <v>0</v>
      </c>
    </row>
    <row r="1781" customFormat="false" ht="15.75" hidden="false" customHeight="true" outlineLevel="0" collapsed="false">
      <c r="A1781" s="45" t="s">
        <v>1660</v>
      </c>
      <c r="B1781" s="42" t="str">
        <f aca="false">IF(A1781="100","HK",IF(A1781="200","CN",IF(A1781="300","TW","홀세일")))</f>
        <v>CN</v>
      </c>
      <c r="C1781" s="45" t="s">
        <v>1015</v>
      </c>
      <c r="D1781" s="46" t="n">
        <v>603</v>
      </c>
      <c r="E1781" s="46"/>
      <c r="F1781" s="46" t="n">
        <v>31102</v>
      </c>
      <c r="G1781" s="42" t="n">
        <v>0</v>
      </c>
      <c r="H1781" s="42" t="n">
        <v>29</v>
      </c>
      <c r="J1781" s="46" t="n">
        <f aca="false">IF(N(E1781)&gt;0,E1781,IF(N(F1781)&gt;0,F1781*요약!$F$27,0))</f>
        <v>124408</v>
      </c>
      <c r="K1781" s="46" t="n">
        <f aca="false">IF(N(F1781)&gt;0,F1781,IF(N(E1781)&gt;0,E1781/요약!$F$27,0))</f>
        <v>31102</v>
      </c>
      <c r="L1781" s="46" t="n">
        <f aca="false">IF(B1781="CN",IF(N(I1781)&gt;0,I1781*요약!$G$27,K1781*(1+요약!$E$27)),IF(N(H1781)&gt;0,H1781*요약!$G$27,J1781*요약!$D$27))</f>
        <v>32657.1</v>
      </c>
      <c r="M1781" s="46" t="n">
        <f aca="false">D1781*J1781</f>
        <v>75018024</v>
      </c>
      <c r="N1781" s="46" t="n">
        <f aca="false">D1781*K1781</f>
        <v>18754506</v>
      </c>
      <c r="O1781" s="46" t="n">
        <f aca="false">D1781*L1781</f>
        <v>19692231.3</v>
      </c>
      <c r="P1781" s="42" t="str">
        <f aca="false">TRIM(IF(N(E1781)&lt;=0,"택가보정 ","")&amp;IF(N(F1781)&lt;=0,"원가보정 ","")&amp;IF(AND(B1781&lt;&gt;"CN",N(H1781)&lt;=0),"공급가보정 ","")&amp;IF(AND(B1781="CN",N(I1781)&lt;=0),"중국공급가=원가+마진 ",""))</f>
        <v>택가보정 중국공급가=원가+마진</v>
      </c>
      <c r="Q1781" s="47" t="n">
        <f aca="false">IF(SUMIFS($W:$W,$A:$A,A1781,$C:$C,C1781)=0,0,SUMIFS(RAW_판매펀칭!$K:$K,RAW_판매펀칭!$P:$P,A1781,RAW_판매펀칭!$I:$I,C1781)*W1781/SUMIFS($W:$W,$A:$A,A1781,$C:$C,C1781))</f>
        <v>595</v>
      </c>
      <c r="R1781" s="47" t="n">
        <f aca="false">IF(OR(A1781="500",A1781="800",A1781="810"),0,MAX(W1781-Q1781,0))</f>
        <v>8</v>
      </c>
      <c r="S1781" s="47" t="n">
        <f aca="false">R1781*L1781</f>
        <v>261256.8</v>
      </c>
      <c r="T1781" s="47" t="n">
        <f aca="false">R1781*J1781</f>
        <v>995264</v>
      </c>
      <c r="U1781" s="47" t="n">
        <f aca="false">R1781*K1781</f>
        <v>248816</v>
      </c>
      <c r="V1781" s="0" t="str">
        <f aca="false">IF(COUNTIFS($A$2:A1781,A1781,$C$2:C1781,C1781,$D$2:D1781,D1781)&gt;1,"중복","")</f>
        <v/>
      </c>
      <c r="W1781" s="0" t="n">
        <f aca="false">IF(V1781="중복",0,N(D1781))</f>
        <v>603</v>
      </c>
      <c r="X1781" s="0" t="n">
        <f aca="false">IF(COUNTIFS($A$2:A1781,A1781,$C$2:C1781,C1781)=1,ABS(SUMIFS(RAW_발주!$D:$D,RAW_발주!$C:$C,A1781,RAW_발주!$A:$A,C1781)-SUMIFS($W:$W,$A:$A,A1781,$C:$C,C1781)),0)</f>
        <v>0</v>
      </c>
    </row>
    <row r="1782" customFormat="false" ht="15.75" hidden="false" customHeight="true" outlineLevel="0" collapsed="false">
      <c r="A1782" s="45" t="s">
        <v>1660</v>
      </c>
      <c r="B1782" s="42" t="str">
        <f aca="false">IF(A1782="100","HK",IF(A1782="200","CN",IF(A1782="300","TW","홀세일")))</f>
        <v>CN</v>
      </c>
      <c r="C1782" s="45" t="s">
        <v>1156</v>
      </c>
      <c r="D1782" s="46" t="n">
        <v>527</v>
      </c>
      <c r="E1782" s="46" t="n">
        <v>99000</v>
      </c>
      <c r="F1782" s="46" t="n">
        <v>21388</v>
      </c>
      <c r="G1782" s="42" t="n">
        <v>3.28</v>
      </c>
      <c r="H1782" s="42" t="n">
        <v>24.8</v>
      </c>
      <c r="J1782" s="46" t="n">
        <f aca="false">IF(N(E1782)&gt;0,E1782,IF(N(F1782)&gt;0,F1782*요약!$F$27,0))</f>
        <v>99000</v>
      </c>
      <c r="K1782" s="46" t="n">
        <f aca="false">IF(N(F1782)&gt;0,F1782,IF(N(E1782)&gt;0,E1782/요약!$F$27,0))</f>
        <v>21388</v>
      </c>
      <c r="L1782" s="46" t="n">
        <f aca="false">IF(B1782="CN",IF(N(I1782)&gt;0,I1782*요약!$G$27,K1782*(1+요약!$E$27)),IF(N(H1782)&gt;0,H1782*요약!$G$27,J1782*요약!$D$27))</f>
        <v>22457.4</v>
      </c>
      <c r="M1782" s="46" t="n">
        <f aca="false">D1782*J1782</f>
        <v>52173000</v>
      </c>
      <c r="N1782" s="46" t="n">
        <f aca="false">D1782*K1782</f>
        <v>11271476</v>
      </c>
      <c r="O1782" s="46" t="n">
        <f aca="false">D1782*L1782</f>
        <v>11835049.8</v>
      </c>
      <c r="P1782" s="42" t="str">
        <f aca="false">TRIM(IF(N(E1782)&lt;=0,"택가보정 ","")&amp;IF(N(F1782)&lt;=0,"원가보정 ","")&amp;IF(AND(B1782&lt;&gt;"CN",N(H1782)&lt;=0),"공급가보정 ","")&amp;IF(AND(B1782="CN",N(I1782)&lt;=0),"중국공급가=원가+마진 ",""))</f>
        <v>중국공급가=원가+마진</v>
      </c>
      <c r="Q1782" s="47" t="n">
        <f aca="false">IF(SUMIFS($W:$W,$A:$A,A1782,$C:$C,C1782)=0,0,SUMIFS(RAW_판매펀칭!$K:$K,RAW_판매펀칭!$P:$P,A1782,RAW_판매펀칭!$I:$I,C1782)*W1782/SUMIFS($W:$W,$A:$A,A1782,$C:$C,C1782))</f>
        <v>520</v>
      </c>
      <c r="R1782" s="47" t="n">
        <f aca="false">IF(OR(A1782="500",A1782="800",A1782="810"),0,MAX(W1782-Q1782,0))</f>
        <v>7</v>
      </c>
      <c r="S1782" s="47" t="n">
        <f aca="false">R1782*L1782</f>
        <v>157201.8</v>
      </c>
      <c r="T1782" s="47" t="n">
        <f aca="false">R1782*J1782</f>
        <v>693000</v>
      </c>
      <c r="U1782" s="47" t="n">
        <f aca="false">R1782*K1782</f>
        <v>149716</v>
      </c>
      <c r="V1782" s="0" t="str">
        <f aca="false">IF(COUNTIFS($A$2:A1782,A1782,$C$2:C1782,C1782,$D$2:D1782,D1782)&gt;1,"중복","")</f>
        <v/>
      </c>
      <c r="W1782" s="0" t="n">
        <f aca="false">IF(V1782="중복",0,N(D1782))</f>
        <v>527</v>
      </c>
      <c r="X1782" s="0" t="n">
        <f aca="false">IF(COUNTIFS($A$2:A1782,A1782,$C$2:C1782,C1782)=1,ABS(SUMIFS(RAW_발주!$D:$D,RAW_발주!$C:$C,A1782,RAW_발주!$A:$A,C1782)-SUMIFS($W:$W,$A:$A,A1782,$C:$C,C1782)),0)</f>
        <v>0</v>
      </c>
    </row>
    <row r="1783" customFormat="false" ht="15" hidden="false" customHeight="true" outlineLevel="0" collapsed="false">
      <c r="A1783" s="45" t="s">
        <v>1664</v>
      </c>
      <c r="B1783" s="42" t="str">
        <f aca="false">IF(A1783="100","HK",IF(A1783="200","CN",IF(A1783="300","TW","홀세일")))</f>
        <v>홀세일</v>
      </c>
      <c r="C1783" s="45" t="s">
        <v>1156</v>
      </c>
      <c r="D1783" s="46" t="n">
        <v>25</v>
      </c>
      <c r="E1783" s="46" t="n">
        <v>99000</v>
      </c>
      <c r="F1783" s="46" t="n">
        <v>21388</v>
      </c>
      <c r="G1783" s="42" t="n">
        <v>3.28</v>
      </c>
      <c r="H1783" s="42" t="n">
        <v>24.8</v>
      </c>
      <c r="J1783" s="46" t="n">
        <f aca="false">IF(N(E1783)&gt;0,E1783,IF(N(F1783)&gt;0,F1783*요약!$F$27,0))</f>
        <v>99000</v>
      </c>
      <c r="K1783" s="46" t="n">
        <f aca="false">IF(N(F1783)&gt;0,F1783,IF(N(E1783)&gt;0,E1783/요약!$F$27,0))</f>
        <v>21388</v>
      </c>
      <c r="L1783" s="46" t="n">
        <f aca="false">IF(B1783="CN",IF(N(I1783)&gt;0,I1783*요약!$G$27,K1783*(1+요약!$E$27)),IF(N(H1783)&gt;0,H1783*요약!$G$27,J1783*요약!$D$27))</f>
        <v>32736</v>
      </c>
      <c r="M1783" s="46" t="n">
        <f aca="false">D1783*J1783</f>
        <v>2475000</v>
      </c>
      <c r="N1783" s="46" t="n">
        <f aca="false">D1783*K1783</f>
        <v>534700</v>
      </c>
      <c r="O1783" s="46" t="n">
        <f aca="false">D1783*L1783</f>
        <v>818400</v>
      </c>
      <c r="P1783" s="42" t="str">
        <f aca="false">TRIM(IF(N(E1783)&lt;=0,"택가보정 ","")&amp;IF(N(F1783)&lt;=0,"원가보정 ","")&amp;IF(AND(B1783&lt;&gt;"CN",N(H1783)&lt;=0),"공급가보정 ","")&amp;IF(AND(B1783="CN",N(I1783)&lt;=0),"중국공급가=원가+마진 ",""))</f>
        <v/>
      </c>
      <c r="Q1783" s="47" t="n">
        <f aca="false">IF(SUMIFS($W:$W,$A:$A,A1783,$C:$C,C1783)=0,0,SUMIFS(RAW_판매펀칭!$K:$K,RAW_판매펀칭!$P:$P,A1783,RAW_판매펀칭!$I:$I,C1783)*W1783/SUMIFS($W:$W,$A:$A,A1783,$C:$C,C1783))</f>
        <v>0</v>
      </c>
      <c r="R1783" s="47" t="n">
        <f aca="false">IF(OR(A1783="500",A1783="800",A1783="810"),0,MAX(W1783-Q1783,0))</f>
        <v>0</v>
      </c>
      <c r="S1783" s="47" t="n">
        <f aca="false">R1783*L1783</f>
        <v>0</v>
      </c>
      <c r="T1783" s="47" t="n">
        <f aca="false">R1783*J1783</f>
        <v>0</v>
      </c>
      <c r="U1783" s="47" t="n">
        <f aca="false">R1783*K1783</f>
        <v>0</v>
      </c>
      <c r="V1783" s="0" t="str">
        <f aca="false">IF(COUNTIFS($A$2:A1783,A1783,$C$2:C1783,C1783,$D$2:D1783,D1783)&gt;1,"중복","")</f>
        <v/>
      </c>
      <c r="W1783" s="0" t="n">
        <f aca="false">IF(V1783="중복",0,N(D1783))</f>
        <v>25</v>
      </c>
      <c r="X1783" s="0" t="n">
        <f aca="false">IF(COUNTIFS($A$2:A1783,A1783,$C$2:C1783,C1783)=1,ABS(SUMIFS(RAW_발주!$D:$D,RAW_발주!$C:$C,A1783,RAW_발주!$A:$A,C1783)-SUMIFS($W:$W,$A:$A,A1783,$C:$C,C1783)),0)</f>
        <v>0</v>
      </c>
    </row>
    <row r="1784" customFormat="false" ht="15.75" hidden="false" customHeight="true" outlineLevel="0" collapsed="false">
      <c r="A1784" s="45" t="s">
        <v>1660</v>
      </c>
      <c r="B1784" s="42" t="str">
        <f aca="false">IF(A1784="100","HK",IF(A1784="200","CN",IF(A1784="300","TW","홀세일")))</f>
        <v>CN</v>
      </c>
      <c r="C1784" s="45" t="s">
        <v>1158</v>
      </c>
      <c r="D1784" s="46" t="n">
        <v>533</v>
      </c>
      <c r="E1784" s="46" t="n">
        <v>79000</v>
      </c>
      <c r="F1784" s="46" t="n">
        <v>17078</v>
      </c>
      <c r="G1784" s="42" t="n">
        <v>3.92</v>
      </c>
      <c r="H1784" s="42" t="n">
        <v>19.8</v>
      </c>
      <c r="J1784" s="46" t="n">
        <f aca="false">IF(N(E1784)&gt;0,E1784,IF(N(F1784)&gt;0,F1784*요약!$F$27,0))</f>
        <v>79000</v>
      </c>
      <c r="K1784" s="46" t="n">
        <f aca="false">IF(N(F1784)&gt;0,F1784,IF(N(E1784)&gt;0,E1784/요약!$F$27,0))</f>
        <v>17078</v>
      </c>
      <c r="L1784" s="46" t="n">
        <f aca="false">IF(B1784="CN",IF(N(I1784)&gt;0,I1784*요약!$G$27,K1784*(1+요약!$E$27)),IF(N(H1784)&gt;0,H1784*요약!$G$27,J1784*요약!$D$27))</f>
        <v>17931.9</v>
      </c>
      <c r="M1784" s="46" t="n">
        <f aca="false">D1784*J1784</f>
        <v>42107000</v>
      </c>
      <c r="N1784" s="46" t="n">
        <f aca="false">D1784*K1784</f>
        <v>9102574</v>
      </c>
      <c r="O1784" s="46" t="n">
        <f aca="false">D1784*L1784</f>
        <v>9557702.7</v>
      </c>
      <c r="P1784" s="42" t="str">
        <f aca="false">TRIM(IF(N(E1784)&lt;=0,"택가보정 ","")&amp;IF(N(F1784)&lt;=0,"원가보정 ","")&amp;IF(AND(B1784&lt;&gt;"CN",N(H1784)&lt;=0),"공급가보정 ","")&amp;IF(AND(B1784="CN",N(I1784)&lt;=0),"중국공급가=원가+마진 ",""))</f>
        <v>중국공급가=원가+마진</v>
      </c>
      <c r="Q1784" s="47" t="n">
        <f aca="false">IF(SUMIFS($W:$W,$A:$A,A1784,$C:$C,C1784)=0,0,SUMIFS(RAW_판매펀칭!$K:$K,RAW_판매펀칭!$P:$P,A1784,RAW_판매펀칭!$I:$I,C1784)*W1784/SUMIFS($W:$W,$A:$A,A1784,$C:$C,C1784))</f>
        <v>511</v>
      </c>
      <c r="R1784" s="47" t="n">
        <f aca="false">IF(OR(A1784="500",A1784="800",A1784="810"),0,MAX(W1784-Q1784,0))</f>
        <v>22</v>
      </c>
      <c r="S1784" s="47" t="n">
        <f aca="false">R1784*L1784</f>
        <v>394501.8</v>
      </c>
      <c r="T1784" s="47" t="n">
        <f aca="false">R1784*J1784</f>
        <v>1738000</v>
      </c>
      <c r="U1784" s="47" t="n">
        <f aca="false">R1784*K1784</f>
        <v>375716</v>
      </c>
      <c r="V1784" s="0" t="str">
        <f aca="false">IF(COUNTIFS($A$2:A1784,A1784,$C$2:C1784,C1784,$D$2:D1784,D1784)&gt;1,"중복","")</f>
        <v/>
      </c>
      <c r="W1784" s="0" t="n">
        <f aca="false">IF(V1784="중복",0,N(D1784))</f>
        <v>533</v>
      </c>
      <c r="X1784" s="0" t="n">
        <f aca="false">IF(COUNTIFS($A$2:A1784,A1784,$C$2:C1784,C1784)=1,ABS(SUMIFS(RAW_발주!$D:$D,RAW_발주!$C:$C,A1784,RAW_발주!$A:$A,C1784)-SUMIFS($W:$W,$A:$A,A1784,$C:$C,C1784)),0)</f>
        <v>0</v>
      </c>
    </row>
    <row r="1785" customFormat="false" ht="15" hidden="false" customHeight="true" outlineLevel="0" collapsed="false">
      <c r="A1785" s="45" t="s">
        <v>1664</v>
      </c>
      <c r="B1785" s="42" t="str">
        <f aca="false">IF(A1785="100","HK",IF(A1785="200","CN",IF(A1785="300","TW","홀세일")))</f>
        <v>홀세일</v>
      </c>
      <c r="C1785" s="45" t="s">
        <v>1158</v>
      </c>
      <c r="D1785" s="46" t="n">
        <v>100</v>
      </c>
      <c r="E1785" s="46" t="n">
        <v>79000</v>
      </c>
      <c r="F1785" s="46" t="n">
        <v>17078</v>
      </c>
      <c r="G1785" s="42" t="n">
        <v>3.92</v>
      </c>
      <c r="H1785" s="42" t="n">
        <v>19.8</v>
      </c>
      <c r="J1785" s="46" t="n">
        <f aca="false">IF(N(E1785)&gt;0,E1785,IF(N(F1785)&gt;0,F1785*요약!$F$27,0))</f>
        <v>79000</v>
      </c>
      <c r="K1785" s="46" t="n">
        <f aca="false">IF(N(F1785)&gt;0,F1785,IF(N(E1785)&gt;0,E1785/요약!$F$27,0))</f>
        <v>17078</v>
      </c>
      <c r="L1785" s="46" t="n">
        <f aca="false">IF(B1785="CN",IF(N(I1785)&gt;0,I1785*요약!$G$27,K1785*(1+요약!$E$27)),IF(N(H1785)&gt;0,H1785*요약!$G$27,J1785*요약!$D$27))</f>
        <v>26136</v>
      </c>
      <c r="M1785" s="46" t="n">
        <f aca="false">D1785*J1785</f>
        <v>7900000</v>
      </c>
      <c r="N1785" s="46" t="n">
        <f aca="false">D1785*K1785</f>
        <v>1707800</v>
      </c>
      <c r="O1785" s="46" t="n">
        <f aca="false">D1785*L1785</f>
        <v>2613600</v>
      </c>
      <c r="P1785" s="42" t="str">
        <f aca="false">TRIM(IF(N(E1785)&lt;=0,"택가보정 ","")&amp;IF(N(F1785)&lt;=0,"원가보정 ","")&amp;IF(AND(B1785&lt;&gt;"CN",N(H1785)&lt;=0),"공급가보정 ","")&amp;IF(AND(B1785="CN",N(I1785)&lt;=0),"중국공급가=원가+마진 ",""))</f>
        <v/>
      </c>
      <c r="Q1785" s="47" t="n">
        <f aca="false">IF(SUMIFS($W:$W,$A:$A,A1785,$C:$C,C1785)=0,0,SUMIFS(RAW_판매펀칭!$K:$K,RAW_판매펀칭!$P:$P,A1785,RAW_판매펀칭!$I:$I,C1785)*W1785/SUMIFS($W:$W,$A:$A,A1785,$C:$C,C1785))</f>
        <v>0</v>
      </c>
      <c r="R1785" s="47" t="n">
        <f aca="false">IF(OR(A1785="500",A1785="800",A1785="810"),0,MAX(W1785-Q1785,0))</f>
        <v>0</v>
      </c>
      <c r="S1785" s="47" t="n">
        <f aca="false">R1785*L1785</f>
        <v>0</v>
      </c>
      <c r="T1785" s="47" t="n">
        <f aca="false">R1785*J1785</f>
        <v>0</v>
      </c>
      <c r="U1785" s="47" t="n">
        <f aca="false">R1785*K1785</f>
        <v>0</v>
      </c>
      <c r="V1785" s="0" t="str">
        <f aca="false">IF(COUNTIFS($A$2:A1785,A1785,$C$2:C1785,C1785,$D$2:D1785,D1785)&gt;1,"중복","")</f>
        <v/>
      </c>
      <c r="W1785" s="0" t="n">
        <f aca="false">IF(V1785="중복",0,N(D1785))</f>
        <v>100</v>
      </c>
      <c r="X1785" s="0" t="n">
        <f aca="false">IF(COUNTIFS($A$2:A1785,A1785,$C$2:C1785,C1785)=1,ABS(SUMIFS(RAW_발주!$D:$D,RAW_발주!$C:$C,A1785,RAW_발주!$A:$A,C1785)-SUMIFS($W:$W,$A:$A,A1785,$C:$C,C1785)),0)</f>
        <v>0</v>
      </c>
    </row>
    <row r="1786" customFormat="false" ht="15" hidden="false" customHeight="true" outlineLevel="0" collapsed="false">
      <c r="A1786" s="45" t="s">
        <v>1659</v>
      </c>
      <c r="B1786" s="42" t="str">
        <f aca="false">IF(A1786="100","HK",IF(A1786="200","CN",IF(A1786="300","TW","홀세일")))</f>
        <v>HK</v>
      </c>
      <c r="C1786" s="45" t="s">
        <v>706</v>
      </c>
      <c r="D1786" s="46" t="n">
        <v>200</v>
      </c>
      <c r="E1786" s="46" t="n">
        <v>99000</v>
      </c>
      <c r="F1786" s="46" t="n">
        <v>30135</v>
      </c>
      <c r="G1786" s="42" t="n">
        <v>2.69</v>
      </c>
      <c r="H1786" s="42" t="n">
        <v>24.8</v>
      </c>
      <c r="J1786" s="46" t="n">
        <f aca="false">IF(N(E1786)&gt;0,E1786,IF(N(F1786)&gt;0,F1786*요약!$F$27,0))</f>
        <v>99000</v>
      </c>
      <c r="K1786" s="46" t="n">
        <f aca="false">IF(N(F1786)&gt;0,F1786,IF(N(E1786)&gt;0,E1786/요약!$F$27,0))</f>
        <v>30135</v>
      </c>
      <c r="L1786" s="46" t="n">
        <f aca="false">IF(B1786="CN",IF(N(I1786)&gt;0,I1786*요약!$G$27,K1786*(1+요약!$E$27)),IF(N(H1786)&gt;0,H1786*요약!$G$27,J1786*요약!$D$27))</f>
        <v>32736</v>
      </c>
      <c r="M1786" s="46" t="n">
        <f aca="false">D1786*J1786</f>
        <v>19800000</v>
      </c>
      <c r="N1786" s="46" t="n">
        <f aca="false">D1786*K1786</f>
        <v>6027000</v>
      </c>
      <c r="O1786" s="46" t="n">
        <f aca="false">D1786*L1786</f>
        <v>6547200</v>
      </c>
      <c r="P1786" s="42" t="str">
        <f aca="false">TRIM(IF(N(E1786)&lt;=0,"택가보정 ","")&amp;IF(N(F1786)&lt;=0,"원가보정 ","")&amp;IF(AND(B1786&lt;&gt;"CN",N(H1786)&lt;=0),"공급가보정 ","")&amp;IF(AND(B1786="CN",N(I1786)&lt;=0),"중국공급가=원가+마진 ",""))</f>
        <v/>
      </c>
      <c r="Q1786" s="47" t="n">
        <f aca="false">IF(SUMIFS($W:$W,$A:$A,A1786,$C:$C,C1786)=0,0,SUMIFS(RAW_판매펀칭!$K:$K,RAW_판매펀칭!$P:$P,A1786,RAW_판매펀칭!$I:$I,C1786)*W1786/SUMIFS($W:$W,$A:$A,A1786,$C:$C,C1786))</f>
        <v>197</v>
      </c>
      <c r="R1786" s="47" t="n">
        <f aca="false">IF(OR(A1786="500",A1786="800",A1786="810"),0,MAX(W1786-Q1786,0))</f>
        <v>3</v>
      </c>
      <c r="S1786" s="47" t="n">
        <f aca="false">R1786*L1786</f>
        <v>98208</v>
      </c>
      <c r="T1786" s="47" t="n">
        <f aca="false">R1786*J1786</f>
        <v>297000</v>
      </c>
      <c r="U1786" s="47" t="n">
        <f aca="false">R1786*K1786</f>
        <v>90405</v>
      </c>
      <c r="V1786" s="0" t="str">
        <f aca="false">IF(COUNTIFS($A$2:A1786,A1786,$C$2:C1786,C1786,$D$2:D1786,D1786)&gt;1,"중복","")</f>
        <v/>
      </c>
      <c r="W1786" s="0" t="n">
        <f aca="false">IF(V1786="중복",0,N(D1786))</f>
        <v>200</v>
      </c>
      <c r="X1786" s="0" t="n">
        <f aca="false">IF(COUNTIFS($A$2:A1786,A1786,$C$2:C1786,C1786)=1,ABS(SUMIFS(RAW_발주!$D:$D,RAW_발주!$C:$C,A1786,RAW_발주!$A:$A,C1786)-SUMIFS($W:$W,$A:$A,A1786,$C:$C,C1786)),0)</f>
        <v>0</v>
      </c>
    </row>
    <row r="1787" customFormat="false" ht="15.75" hidden="false" customHeight="true" outlineLevel="0" collapsed="false">
      <c r="A1787" s="45" t="s">
        <v>1660</v>
      </c>
      <c r="B1787" s="42" t="str">
        <f aca="false">IF(A1787="100","HK",IF(A1787="200","CN",IF(A1787="300","TW","홀세일")))</f>
        <v>CN</v>
      </c>
      <c r="C1787" s="45" t="s">
        <v>706</v>
      </c>
      <c r="D1787" s="46" t="n">
        <v>392</v>
      </c>
      <c r="E1787" s="46" t="n">
        <v>99000</v>
      </c>
      <c r="F1787" s="46" t="n">
        <v>30135</v>
      </c>
      <c r="G1787" s="42" t="n">
        <v>2.69</v>
      </c>
      <c r="H1787" s="42" t="n">
        <v>24.8</v>
      </c>
      <c r="J1787" s="46" t="n">
        <f aca="false">IF(N(E1787)&gt;0,E1787,IF(N(F1787)&gt;0,F1787*요약!$F$27,0))</f>
        <v>99000</v>
      </c>
      <c r="K1787" s="46" t="n">
        <f aca="false">IF(N(F1787)&gt;0,F1787,IF(N(E1787)&gt;0,E1787/요약!$F$27,0))</f>
        <v>30135</v>
      </c>
      <c r="L1787" s="46" t="n">
        <f aca="false">IF(B1787="CN",IF(N(I1787)&gt;0,I1787*요약!$G$27,K1787*(1+요약!$E$27)),IF(N(H1787)&gt;0,H1787*요약!$G$27,J1787*요약!$D$27))</f>
        <v>31641.75</v>
      </c>
      <c r="M1787" s="46" t="n">
        <f aca="false">D1787*J1787</f>
        <v>38808000</v>
      </c>
      <c r="N1787" s="46" t="n">
        <f aca="false">D1787*K1787</f>
        <v>11812920</v>
      </c>
      <c r="O1787" s="46" t="n">
        <f aca="false">D1787*L1787</f>
        <v>12403566</v>
      </c>
      <c r="P1787" s="42" t="str">
        <f aca="false">TRIM(IF(N(E1787)&lt;=0,"택가보정 ","")&amp;IF(N(F1787)&lt;=0,"원가보정 ","")&amp;IF(AND(B1787&lt;&gt;"CN",N(H1787)&lt;=0),"공급가보정 ","")&amp;IF(AND(B1787="CN",N(I1787)&lt;=0),"중국공급가=원가+마진 ",""))</f>
        <v>중국공급가=원가+마진</v>
      </c>
      <c r="Q1787" s="47" t="n">
        <f aca="false">IF(SUMIFS($W:$W,$A:$A,A1787,$C:$C,C1787)=0,0,SUMIFS(RAW_판매펀칭!$K:$K,RAW_판매펀칭!$P:$P,A1787,RAW_판매펀칭!$I:$I,C1787)*W1787/SUMIFS($W:$W,$A:$A,A1787,$C:$C,C1787))</f>
        <v>313</v>
      </c>
      <c r="R1787" s="47" t="n">
        <f aca="false">IF(OR(A1787="500",A1787="800",A1787="810"),0,MAX(W1787-Q1787,0))</f>
        <v>79</v>
      </c>
      <c r="S1787" s="47" t="n">
        <f aca="false">R1787*L1787</f>
        <v>2499698.25</v>
      </c>
      <c r="T1787" s="47" t="n">
        <f aca="false">R1787*J1787</f>
        <v>7821000</v>
      </c>
      <c r="U1787" s="47" t="n">
        <f aca="false">R1787*K1787</f>
        <v>2380665</v>
      </c>
      <c r="V1787" s="0" t="str">
        <f aca="false">IF(COUNTIFS($A$2:A1787,A1787,$C$2:C1787,C1787,$D$2:D1787,D1787)&gt;1,"중복","")</f>
        <v/>
      </c>
      <c r="W1787" s="0" t="n">
        <f aca="false">IF(V1787="중복",0,N(D1787))</f>
        <v>392</v>
      </c>
      <c r="X1787" s="0" t="n">
        <f aca="false">IF(COUNTIFS($A$2:A1787,A1787,$C$2:C1787,C1787)=1,ABS(SUMIFS(RAW_발주!$D:$D,RAW_발주!$C:$C,A1787,RAW_발주!$A:$A,C1787)-SUMIFS($W:$W,$A:$A,A1787,$C:$C,C1787)),0)</f>
        <v>0</v>
      </c>
    </row>
    <row r="1788" customFormat="false" ht="15.75" hidden="false" customHeight="true" outlineLevel="0" collapsed="false">
      <c r="A1788" s="45" t="s">
        <v>1660</v>
      </c>
      <c r="B1788" s="42" t="str">
        <f aca="false">IF(A1788="100","HK",IF(A1788="200","CN",IF(A1788="300","TW","홀세일")))</f>
        <v>CN</v>
      </c>
      <c r="C1788" s="45" t="s">
        <v>706</v>
      </c>
      <c r="D1788" s="46" t="n">
        <v>392</v>
      </c>
      <c r="E1788" s="46" t="n">
        <v>99000</v>
      </c>
      <c r="F1788" s="46" t="n">
        <v>30135</v>
      </c>
      <c r="G1788" s="42" t="n">
        <v>2.69</v>
      </c>
      <c r="H1788" s="42" t="n">
        <v>24.8</v>
      </c>
      <c r="J1788" s="46" t="n">
        <f aca="false">IF(N(E1788)&gt;0,E1788,IF(N(F1788)&gt;0,F1788*요약!$F$27,0))</f>
        <v>99000</v>
      </c>
      <c r="K1788" s="46" t="n">
        <f aca="false">IF(N(F1788)&gt;0,F1788,IF(N(E1788)&gt;0,E1788/요약!$F$27,0))</f>
        <v>30135</v>
      </c>
      <c r="L1788" s="46" t="n">
        <f aca="false">IF(B1788="CN",IF(N(I1788)&gt;0,I1788*요약!$G$27,K1788*(1+요약!$E$27)),IF(N(H1788)&gt;0,H1788*요약!$G$27,J1788*요약!$D$27))</f>
        <v>31641.75</v>
      </c>
      <c r="M1788" s="46" t="n">
        <f aca="false">D1788*J1788</f>
        <v>38808000</v>
      </c>
      <c r="N1788" s="46" t="n">
        <f aca="false">D1788*K1788</f>
        <v>11812920</v>
      </c>
      <c r="O1788" s="46" t="n">
        <f aca="false">D1788*L1788</f>
        <v>12403566</v>
      </c>
      <c r="P1788" s="42" t="str">
        <f aca="false">TRIM(IF(N(E1788)&lt;=0,"택가보정 ","")&amp;IF(N(F1788)&lt;=0,"원가보정 ","")&amp;IF(AND(B1788&lt;&gt;"CN",N(H1788)&lt;=0),"공급가보정 ","")&amp;IF(AND(B1788="CN",N(I1788)&lt;=0),"중국공급가=원가+마진 ",""))</f>
        <v>중국공급가=원가+마진</v>
      </c>
      <c r="Q1788" s="47" t="n">
        <f aca="false">IF(SUMIFS($W:$W,$A:$A,A1788,$C:$C,C1788)=0,0,SUMIFS(RAW_판매펀칭!$K:$K,RAW_판매펀칭!$P:$P,A1788,RAW_판매펀칭!$I:$I,C1788)*W1788/SUMIFS($W:$W,$A:$A,A1788,$C:$C,C1788))</f>
        <v>0</v>
      </c>
      <c r="R1788" s="47" t="n">
        <f aca="false">IF(OR(A1788="500",A1788="800",A1788="810"),0,MAX(W1788-Q1788,0))</f>
        <v>0</v>
      </c>
      <c r="S1788" s="47" t="n">
        <f aca="false">R1788*L1788</f>
        <v>0</v>
      </c>
      <c r="T1788" s="47" t="n">
        <f aca="false">R1788*J1788</f>
        <v>0</v>
      </c>
      <c r="U1788" s="47" t="n">
        <f aca="false">R1788*K1788</f>
        <v>0</v>
      </c>
      <c r="V1788" s="0" t="str">
        <f aca="false">IF(COUNTIFS($A$2:A1788,A1788,$C$2:C1788,C1788,$D$2:D1788,D1788)&gt;1,"중복","")</f>
        <v>중복</v>
      </c>
      <c r="W1788" s="0" t="n">
        <f aca="false">IF(V1788="중복",0,N(D1788))</f>
        <v>0</v>
      </c>
      <c r="X1788" s="0" t="n">
        <f aca="false">IF(COUNTIFS($A$2:A1788,A1788,$C$2:C1788,C1788)=1,ABS(SUMIFS(RAW_발주!$D:$D,RAW_발주!$C:$C,A1788,RAW_발주!$A:$A,C1788)-SUMIFS($W:$W,$A:$A,A1788,$C:$C,C1788)),0)</f>
        <v>0</v>
      </c>
    </row>
    <row r="1789" customFormat="false" ht="15" hidden="false" customHeight="true" outlineLevel="0" collapsed="false">
      <c r="A1789" s="45" t="s">
        <v>1661</v>
      </c>
      <c r="B1789" s="42" t="str">
        <f aca="false">IF(A1789="100","HK",IF(A1789="200","CN",IF(A1789="300","TW","홀세일")))</f>
        <v>TW</v>
      </c>
      <c r="C1789" s="45" t="s">
        <v>706</v>
      </c>
      <c r="D1789" s="46" t="n">
        <v>360</v>
      </c>
      <c r="E1789" s="46" t="n">
        <v>99000</v>
      </c>
      <c r="F1789" s="46" t="n">
        <v>30135</v>
      </c>
      <c r="G1789" s="42" t="n">
        <v>2.69</v>
      </c>
      <c r="H1789" s="42" t="n">
        <v>24.8</v>
      </c>
      <c r="J1789" s="46" t="n">
        <f aca="false">IF(N(E1789)&gt;0,E1789,IF(N(F1789)&gt;0,F1789*요약!$F$27,0))</f>
        <v>99000</v>
      </c>
      <c r="K1789" s="46" t="n">
        <f aca="false">IF(N(F1789)&gt;0,F1789,IF(N(E1789)&gt;0,E1789/요약!$F$27,0))</f>
        <v>30135</v>
      </c>
      <c r="L1789" s="46" t="n">
        <f aca="false">IF(B1789="CN",IF(N(I1789)&gt;0,I1789*요약!$G$27,K1789*(1+요약!$E$27)),IF(N(H1789)&gt;0,H1789*요약!$G$27,J1789*요약!$D$27))</f>
        <v>32736</v>
      </c>
      <c r="M1789" s="46" t="n">
        <f aca="false">D1789*J1789</f>
        <v>35640000</v>
      </c>
      <c r="N1789" s="46" t="n">
        <f aca="false">D1789*K1789</f>
        <v>10848600</v>
      </c>
      <c r="O1789" s="46" t="n">
        <f aca="false">D1789*L1789</f>
        <v>11784960</v>
      </c>
      <c r="P1789" s="42" t="str">
        <f aca="false">TRIM(IF(N(E1789)&lt;=0,"택가보정 ","")&amp;IF(N(F1789)&lt;=0,"원가보정 ","")&amp;IF(AND(B1789&lt;&gt;"CN",N(H1789)&lt;=0),"공급가보정 ","")&amp;IF(AND(B1789="CN",N(I1789)&lt;=0),"중국공급가=원가+마진 ",""))</f>
        <v/>
      </c>
      <c r="Q1789" s="47" t="n">
        <f aca="false">IF(SUMIFS($W:$W,$A:$A,A1789,$C:$C,C1789)=0,0,SUMIFS(RAW_판매펀칭!$K:$K,RAW_판매펀칭!$P:$P,A1789,RAW_판매펀칭!$I:$I,C1789)*W1789/SUMIFS($W:$W,$A:$A,A1789,$C:$C,C1789))</f>
        <v>354</v>
      </c>
      <c r="R1789" s="47" t="n">
        <f aca="false">IF(OR(A1789="500",A1789="800",A1789="810"),0,MAX(W1789-Q1789,0))</f>
        <v>6</v>
      </c>
      <c r="S1789" s="47" t="n">
        <f aca="false">R1789*L1789</f>
        <v>196416</v>
      </c>
      <c r="T1789" s="47" t="n">
        <f aca="false">R1789*J1789</f>
        <v>594000</v>
      </c>
      <c r="U1789" s="47" t="n">
        <f aca="false">R1789*K1789</f>
        <v>180810</v>
      </c>
      <c r="V1789" s="0" t="str">
        <f aca="false">IF(COUNTIFS($A$2:A1789,A1789,$C$2:C1789,C1789,$D$2:D1789,D1789)&gt;1,"중복","")</f>
        <v/>
      </c>
      <c r="W1789" s="0" t="n">
        <f aca="false">IF(V1789="중복",0,N(D1789))</f>
        <v>360</v>
      </c>
      <c r="X1789" s="0" t="n">
        <f aca="false">IF(COUNTIFS($A$2:A1789,A1789,$C$2:C1789,C1789)=1,ABS(SUMIFS(RAW_발주!$D:$D,RAW_발주!$C:$C,A1789,RAW_발주!$A:$A,C1789)-SUMIFS($W:$W,$A:$A,A1789,$C:$C,C1789)),0)</f>
        <v>0</v>
      </c>
    </row>
    <row r="1790" customFormat="false" ht="15.75" hidden="false" customHeight="true" outlineLevel="0" collapsed="false">
      <c r="A1790" s="45" t="s">
        <v>1660</v>
      </c>
      <c r="B1790" s="42" t="str">
        <f aca="false">IF(A1790="100","HK",IF(A1790="200","CN",IF(A1790="300","TW","홀세일")))</f>
        <v>CN</v>
      </c>
      <c r="C1790" s="45" t="s">
        <v>1160</v>
      </c>
      <c r="D1790" s="46" t="n">
        <v>598</v>
      </c>
      <c r="E1790" s="46"/>
      <c r="F1790" s="46" t="n">
        <v>29399</v>
      </c>
      <c r="G1790" s="42" t="n">
        <v>0</v>
      </c>
      <c r="H1790" s="42" t="n">
        <v>26.3</v>
      </c>
      <c r="J1790" s="46" t="n">
        <f aca="false">IF(N(E1790)&gt;0,E1790,IF(N(F1790)&gt;0,F1790*요약!$F$27,0))</f>
        <v>117596</v>
      </c>
      <c r="K1790" s="46" t="n">
        <f aca="false">IF(N(F1790)&gt;0,F1790,IF(N(E1790)&gt;0,E1790/요약!$F$27,0))</f>
        <v>29399</v>
      </c>
      <c r="L1790" s="46" t="n">
        <f aca="false">IF(B1790="CN",IF(N(I1790)&gt;0,I1790*요약!$G$27,K1790*(1+요약!$E$27)),IF(N(H1790)&gt;0,H1790*요약!$G$27,J1790*요약!$D$27))</f>
        <v>30868.95</v>
      </c>
      <c r="M1790" s="46" t="n">
        <f aca="false">D1790*J1790</f>
        <v>70322408</v>
      </c>
      <c r="N1790" s="46" t="n">
        <f aca="false">D1790*K1790</f>
        <v>17580602</v>
      </c>
      <c r="O1790" s="46" t="n">
        <f aca="false">D1790*L1790</f>
        <v>18459632.1</v>
      </c>
      <c r="P1790" s="42" t="str">
        <f aca="false">TRIM(IF(N(E1790)&lt;=0,"택가보정 ","")&amp;IF(N(F1790)&lt;=0,"원가보정 ","")&amp;IF(AND(B1790&lt;&gt;"CN",N(H1790)&lt;=0),"공급가보정 ","")&amp;IF(AND(B1790="CN",N(I1790)&lt;=0),"중국공급가=원가+마진 ",""))</f>
        <v>택가보정 중국공급가=원가+마진</v>
      </c>
      <c r="Q1790" s="47" t="n">
        <f aca="false">IF(SUMIFS($W:$W,$A:$A,A1790,$C:$C,C1790)=0,0,SUMIFS(RAW_판매펀칭!$K:$K,RAW_판매펀칭!$P:$P,A1790,RAW_판매펀칭!$I:$I,C1790)*W1790/SUMIFS($W:$W,$A:$A,A1790,$C:$C,C1790))</f>
        <v>568</v>
      </c>
      <c r="R1790" s="47" t="n">
        <f aca="false">IF(OR(A1790="500",A1790="800",A1790="810"),0,MAX(W1790-Q1790,0))</f>
        <v>30</v>
      </c>
      <c r="S1790" s="47" t="n">
        <f aca="false">R1790*L1790</f>
        <v>926068.5</v>
      </c>
      <c r="T1790" s="47" t="n">
        <f aca="false">R1790*J1790</f>
        <v>3527880</v>
      </c>
      <c r="U1790" s="47" t="n">
        <f aca="false">R1790*K1790</f>
        <v>881970</v>
      </c>
      <c r="V1790" s="0" t="str">
        <f aca="false">IF(COUNTIFS($A$2:A1790,A1790,$C$2:C1790,C1790,$D$2:D1790,D1790)&gt;1,"중복","")</f>
        <v/>
      </c>
      <c r="W1790" s="0" t="n">
        <f aca="false">IF(V1790="중복",0,N(D1790))</f>
        <v>598</v>
      </c>
      <c r="X1790" s="0" t="n">
        <f aca="false">IF(COUNTIFS($A$2:A1790,A1790,$C$2:C1790,C1790)=1,ABS(SUMIFS(RAW_발주!$D:$D,RAW_발주!$C:$C,A1790,RAW_발주!$A:$A,C1790)-SUMIFS($W:$W,$A:$A,A1790,$C:$C,C1790)),0)</f>
        <v>0</v>
      </c>
    </row>
    <row r="1791" customFormat="false" ht="15" hidden="false" customHeight="true" outlineLevel="0" collapsed="false">
      <c r="A1791" s="45" t="s">
        <v>1667</v>
      </c>
      <c r="B1791" s="42" t="str">
        <f aca="false">IF(A1791="100","HK",IF(A1791="200","CN",IF(A1791="300","TW","홀세일")))</f>
        <v>홀세일</v>
      </c>
      <c r="C1791" s="45" t="s">
        <v>1443</v>
      </c>
      <c r="D1791" s="46" t="n">
        <v>80</v>
      </c>
      <c r="E1791" s="46" t="n">
        <v>59000</v>
      </c>
      <c r="F1791" s="46" t="n">
        <v>10900</v>
      </c>
      <c r="G1791" s="42" t="n">
        <v>0</v>
      </c>
      <c r="H1791" s="42" t="n">
        <v>14.8</v>
      </c>
      <c r="J1791" s="46" t="n">
        <f aca="false">IF(N(E1791)&gt;0,E1791,IF(N(F1791)&gt;0,F1791*요약!$F$27,0))</f>
        <v>59000</v>
      </c>
      <c r="K1791" s="46" t="n">
        <f aca="false">IF(N(F1791)&gt;0,F1791,IF(N(E1791)&gt;0,E1791/요약!$F$27,0))</f>
        <v>10900</v>
      </c>
      <c r="L1791" s="46" t="n">
        <f aca="false">IF(B1791="CN",IF(N(I1791)&gt;0,I1791*요약!$G$27,K1791*(1+요약!$E$27)),IF(N(H1791)&gt;0,H1791*요약!$G$27,J1791*요약!$D$27))</f>
        <v>19536</v>
      </c>
      <c r="M1791" s="46" t="n">
        <f aca="false">D1791*J1791</f>
        <v>4720000</v>
      </c>
      <c r="N1791" s="46" t="n">
        <f aca="false">D1791*K1791</f>
        <v>872000</v>
      </c>
      <c r="O1791" s="46" t="n">
        <f aca="false">D1791*L1791</f>
        <v>1562880</v>
      </c>
      <c r="P1791" s="42" t="str">
        <f aca="false">TRIM(IF(N(E1791)&lt;=0,"택가보정 ","")&amp;IF(N(F1791)&lt;=0,"원가보정 ","")&amp;IF(AND(B1791&lt;&gt;"CN",N(H1791)&lt;=0),"공급가보정 ","")&amp;IF(AND(B1791="CN",N(I1791)&lt;=0),"중국공급가=원가+마진 ",""))</f>
        <v/>
      </c>
      <c r="Q1791" s="47" t="n">
        <f aca="false">IF(SUMIFS($W:$W,$A:$A,A1791,$C:$C,C1791)=0,0,SUMIFS(RAW_판매펀칭!$K:$K,RAW_판매펀칭!$P:$P,A1791,RAW_판매펀칭!$I:$I,C1791)*W1791/SUMIFS($W:$W,$A:$A,A1791,$C:$C,C1791))</f>
        <v>80</v>
      </c>
      <c r="R1791" s="47" t="n">
        <f aca="false">IF(OR(A1791="500",A1791="800",A1791="810"),0,MAX(W1791-Q1791,0))</f>
        <v>0</v>
      </c>
      <c r="S1791" s="47" t="n">
        <f aca="false">R1791*L1791</f>
        <v>0</v>
      </c>
      <c r="T1791" s="47" t="n">
        <f aca="false">R1791*J1791</f>
        <v>0</v>
      </c>
      <c r="U1791" s="47" t="n">
        <f aca="false">R1791*K1791</f>
        <v>0</v>
      </c>
      <c r="V1791" s="0" t="str">
        <f aca="false">IF(COUNTIFS($A$2:A1791,A1791,$C$2:C1791,C1791,$D$2:D1791,D1791)&gt;1,"중복","")</f>
        <v/>
      </c>
      <c r="W1791" s="0" t="n">
        <f aca="false">IF(V1791="중복",0,N(D1791))</f>
        <v>80</v>
      </c>
      <c r="X1791" s="0" t="n">
        <f aca="false">IF(COUNTIFS($A$2:A1791,A1791,$C$2:C1791,C1791)=1,ABS(SUMIFS(RAW_발주!$D:$D,RAW_발주!$C:$C,A1791,RAW_발주!$A:$A,C1791)-SUMIFS($W:$W,$A:$A,A1791,$C:$C,C1791)),0)</f>
        <v>0</v>
      </c>
    </row>
    <row r="1792" customFormat="false" ht="15" hidden="false" customHeight="true" outlineLevel="0" collapsed="false">
      <c r="A1792" s="45" t="s">
        <v>1665</v>
      </c>
      <c r="B1792" s="42" t="str">
        <f aca="false">IF(A1792="100","HK",IF(A1792="200","CN",IF(A1792="300","TW","홀세일")))</f>
        <v>홀세일</v>
      </c>
      <c r="C1792" s="45" t="s">
        <v>1443</v>
      </c>
      <c r="D1792" s="46" t="n">
        <v>804</v>
      </c>
      <c r="E1792" s="46" t="n">
        <v>59000</v>
      </c>
      <c r="F1792" s="46" t="n">
        <v>10900</v>
      </c>
      <c r="G1792" s="42" t="n">
        <v>0</v>
      </c>
      <c r="H1792" s="42" t="n">
        <v>14.8</v>
      </c>
      <c r="J1792" s="46" t="n">
        <f aca="false">IF(N(E1792)&gt;0,E1792,IF(N(F1792)&gt;0,F1792*요약!$F$27,0))</f>
        <v>59000</v>
      </c>
      <c r="K1792" s="46" t="n">
        <f aca="false">IF(N(F1792)&gt;0,F1792,IF(N(E1792)&gt;0,E1792/요약!$F$27,0))</f>
        <v>10900</v>
      </c>
      <c r="L1792" s="46" t="n">
        <f aca="false">IF(B1792="CN",IF(N(I1792)&gt;0,I1792*요약!$G$27,K1792*(1+요약!$E$27)),IF(N(H1792)&gt;0,H1792*요약!$G$27,J1792*요약!$D$27))</f>
        <v>19536</v>
      </c>
      <c r="M1792" s="46" t="n">
        <f aca="false">D1792*J1792</f>
        <v>47436000</v>
      </c>
      <c r="N1792" s="46" t="n">
        <f aca="false">D1792*K1792</f>
        <v>8763600</v>
      </c>
      <c r="O1792" s="46" t="n">
        <f aca="false">D1792*L1792</f>
        <v>15706944</v>
      </c>
      <c r="P1792" s="42" t="str">
        <f aca="false">TRIM(IF(N(E1792)&lt;=0,"택가보정 ","")&amp;IF(N(F1792)&lt;=0,"원가보정 ","")&amp;IF(AND(B1792&lt;&gt;"CN",N(H1792)&lt;=0),"공급가보정 ","")&amp;IF(AND(B1792="CN",N(I1792)&lt;=0),"중국공급가=원가+마진 ",""))</f>
        <v/>
      </c>
      <c r="Q1792" s="47" t="n">
        <f aca="false">IF(SUMIFS($W:$W,$A:$A,A1792,$C:$C,C1792)=0,0,SUMIFS(RAW_판매펀칭!$K:$K,RAW_판매펀칭!$P:$P,A1792,RAW_판매펀칭!$I:$I,C1792)*W1792/SUMIFS($W:$W,$A:$A,A1792,$C:$C,C1792))</f>
        <v>0</v>
      </c>
      <c r="R1792" s="47" t="n">
        <f aca="false">IF(OR(A1792="500",A1792="800",A1792="810"),0,MAX(W1792-Q1792,0))</f>
        <v>0</v>
      </c>
      <c r="S1792" s="47" t="n">
        <f aca="false">R1792*L1792</f>
        <v>0</v>
      </c>
      <c r="T1792" s="47" t="n">
        <f aca="false">R1792*J1792</f>
        <v>0</v>
      </c>
      <c r="U1792" s="47" t="n">
        <f aca="false">R1792*K1792</f>
        <v>0</v>
      </c>
      <c r="V1792" s="0" t="str">
        <f aca="false">IF(COUNTIFS($A$2:A1792,A1792,$C$2:C1792,C1792,$D$2:D1792,D1792)&gt;1,"중복","")</f>
        <v/>
      </c>
      <c r="W1792" s="0" t="n">
        <f aca="false">IF(V1792="중복",0,N(D1792))</f>
        <v>804</v>
      </c>
      <c r="X1792" s="0" t="n">
        <f aca="false">IF(COUNTIFS($A$2:A1792,A1792,$C$2:C1792,C1792)=1,ABS(SUMIFS(RAW_발주!$D:$D,RAW_발주!$C:$C,A1792,RAW_발주!$A:$A,C1792)-SUMIFS($W:$W,$A:$A,A1792,$C:$C,C1792)),0)</f>
        <v>0</v>
      </c>
    </row>
    <row r="1793" customFormat="false" ht="15" hidden="false" customHeight="true" outlineLevel="0" collapsed="false">
      <c r="A1793" s="45" t="s">
        <v>1665</v>
      </c>
      <c r="B1793" s="42" t="str">
        <f aca="false">IF(A1793="100","HK",IF(A1793="200","CN",IF(A1793="300","TW","홀세일")))</f>
        <v>홀세일</v>
      </c>
      <c r="C1793" s="45" t="s">
        <v>1733</v>
      </c>
      <c r="D1793" s="46" t="n">
        <v>400</v>
      </c>
      <c r="E1793" s="46"/>
      <c r="F1793" s="46" t="n">
        <v>12300</v>
      </c>
      <c r="G1793" s="42" t="n">
        <v>0</v>
      </c>
      <c r="J1793" s="46" t="n">
        <f aca="false">IF(N(E1793)&gt;0,E1793,IF(N(F1793)&gt;0,F1793*요약!$F$27,0))</f>
        <v>49200</v>
      </c>
      <c r="K1793" s="46" t="n">
        <f aca="false">IF(N(F1793)&gt;0,F1793,IF(N(E1793)&gt;0,E1793/요약!$F$27,0))</f>
        <v>12300</v>
      </c>
      <c r="L1793" s="46" t="n">
        <f aca="false">IF(B1793="CN",IF(N(I1793)&gt;0,I1793*요약!$G$27,K1793*(1+요약!$E$27)),IF(N(H1793)&gt;0,H1793*요약!$G$27,J1793*요약!$D$27))</f>
        <v>16236</v>
      </c>
      <c r="M1793" s="46" t="n">
        <f aca="false">D1793*J1793</f>
        <v>19680000</v>
      </c>
      <c r="N1793" s="46" t="n">
        <f aca="false">D1793*K1793</f>
        <v>4920000</v>
      </c>
      <c r="O1793" s="46" t="n">
        <f aca="false">D1793*L1793</f>
        <v>6494400</v>
      </c>
      <c r="P1793" s="42" t="str">
        <f aca="false">TRIM(IF(N(E1793)&lt;=0,"택가보정 ","")&amp;IF(N(F1793)&lt;=0,"원가보정 ","")&amp;IF(AND(B1793&lt;&gt;"CN",N(H1793)&lt;=0),"공급가보정 ","")&amp;IF(AND(B1793="CN",N(I1793)&lt;=0),"중국공급가=원가+마진 ",""))</f>
        <v>택가보정 공급가보정</v>
      </c>
      <c r="Q1793" s="47" t="n">
        <f aca="false">IF(SUMIFS($W:$W,$A:$A,A1793,$C:$C,C1793)=0,0,SUMIFS(RAW_판매펀칭!$K:$K,RAW_판매펀칭!$P:$P,A1793,RAW_판매펀칭!$I:$I,C1793)*W1793/SUMIFS($W:$W,$A:$A,A1793,$C:$C,C1793))</f>
        <v>0</v>
      </c>
      <c r="R1793" s="47" t="n">
        <f aca="false">IF(OR(A1793="500",A1793="800",A1793="810"),0,MAX(W1793-Q1793,0))</f>
        <v>0</v>
      </c>
      <c r="S1793" s="47" t="n">
        <f aca="false">R1793*L1793</f>
        <v>0</v>
      </c>
      <c r="T1793" s="47" t="n">
        <f aca="false">R1793*J1793</f>
        <v>0</v>
      </c>
      <c r="U1793" s="47" t="n">
        <f aca="false">R1793*K1793</f>
        <v>0</v>
      </c>
      <c r="V1793" s="0" t="str">
        <f aca="false">IF(COUNTIFS($A$2:A1793,A1793,$C$2:C1793,C1793,$D$2:D1793,D1793)&gt;1,"중복","")</f>
        <v/>
      </c>
      <c r="W1793" s="0" t="n">
        <f aca="false">IF(V1793="중복",0,N(D1793))</f>
        <v>400</v>
      </c>
      <c r="X1793" s="0" t="n">
        <f aca="false">IF(COUNTIFS($A$2:A1793,A1793,$C$2:C1793,C1793)=1,ABS(SUMIFS(RAW_발주!$D:$D,RAW_발주!$C:$C,A1793,RAW_발주!$A:$A,C1793)-SUMIFS($W:$W,$A:$A,A1793,$C:$C,C1793)),0)</f>
        <v>0</v>
      </c>
    </row>
    <row r="1794" customFormat="false" ht="15" hidden="false" customHeight="true" outlineLevel="0" collapsed="false">
      <c r="A1794" s="45" t="s">
        <v>1659</v>
      </c>
      <c r="B1794" s="42" t="str">
        <f aca="false">IF(A1794="100","HK",IF(A1794="200","CN",IF(A1794="300","TW","홀세일")))</f>
        <v>HK</v>
      </c>
      <c r="C1794" s="45" t="s">
        <v>704</v>
      </c>
      <c r="D1794" s="46" t="n">
        <v>35</v>
      </c>
      <c r="E1794" s="46" t="n">
        <v>34000</v>
      </c>
      <c r="F1794" s="46" t="n">
        <v>8600</v>
      </c>
      <c r="G1794" s="42" t="n">
        <v>3.51</v>
      </c>
      <c r="H1794" s="42" t="n">
        <v>8.6</v>
      </c>
      <c r="J1794" s="46" t="n">
        <f aca="false">IF(N(E1794)&gt;0,E1794,IF(N(F1794)&gt;0,F1794*요약!$F$27,0))</f>
        <v>34000</v>
      </c>
      <c r="K1794" s="46" t="n">
        <f aca="false">IF(N(F1794)&gt;0,F1794,IF(N(E1794)&gt;0,E1794/요약!$F$27,0))</f>
        <v>8600</v>
      </c>
      <c r="L1794" s="46" t="n">
        <f aca="false">IF(B1794="CN",IF(N(I1794)&gt;0,I1794*요약!$G$27,K1794*(1+요약!$E$27)),IF(N(H1794)&gt;0,H1794*요약!$G$27,J1794*요약!$D$27))</f>
        <v>11352</v>
      </c>
      <c r="M1794" s="46" t="n">
        <f aca="false">D1794*J1794</f>
        <v>1190000</v>
      </c>
      <c r="N1794" s="46" t="n">
        <f aca="false">D1794*K1794</f>
        <v>301000</v>
      </c>
      <c r="O1794" s="46" t="n">
        <f aca="false">D1794*L1794</f>
        <v>397320</v>
      </c>
      <c r="P1794" s="42" t="str">
        <f aca="false">TRIM(IF(N(E1794)&lt;=0,"택가보정 ","")&amp;IF(N(F1794)&lt;=0,"원가보정 ","")&amp;IF(AND(B1794&lt;&gt;"CN",N(H1794)&lt;=0),"공급가보정 ","")&amp;IF(AND(B1794="CN",N(I1794)&lt;=0),"중국공급가=원가+마진 ",""))</f>
        <v/>
      </c>
      <c r="Q1794" s="47" t="n">
        <f aca="false">IF(SUMIFS($W:$W,$A:$A,A1794,$C:$C,C1794)=0,0,SUMIFS(RAW_판매펀칭!$K:$K,RAW_판매펀칭!$P:$P,A1794,RAW_판매펀칭!$I:$I,C1794)*W1794/SUMIFS($W:$W,$A:$A,A1794,$C:$C,C1794))</f>
        <v>0</v>
      </c>
      <c r="R1794" s="47" t="n">
        <f aca="false">IF(OR(A1794="500",A1794="800",A1794="810"),0,MAX(W1794-Q1794,0))</f>
        <v>35</v>
      </c>
      <c r="S1794" s="47" t="n">
        <f aca="false">R1794*L1794</f>
        <v>397320</v>
      </c>
      <c r="T1794" s="47" t="n">
        <f aca="false">R1794*J1794</f>
        <v>1190000</v>
      </c>
      <c r="U1794" s="47" t="n">
        <f aca="false">R1794*K1794</f>
        <v>301000</v>
      </c>
      <c r="V1794" s="0" t="str">
        <f aca="false">IF(COUNTIFS($A$2:A1794,A1794,$C$2:C1794,C1794,$D$2:D1794,D1794)&gt;1,"중복","")</f>
        <v/>
      </c>
      <c r="W1794" s="0" t="n">
        <f aca="false">IF(V1794="중복",0,N(D1794))</f>
        <v>35</v>
      </c>
      <c r="X1794" s="0" t="n">
        <f aca="false">IF(COUNTIFS($A$2:A1794,A1794,$C$2:C1794,C1794)=1,ABS(SUMIFS(RAW_발주!$D:$D,RAW_발주!$C:$C,A1794,RAW_발주!$A:$A,C1794)-SUMIFS($W:$W,$A:$A,A1794,$C:$C,C1794)),0)</f>
        <v>0</v>
      </c>
    </row>
    <row r="1795" customFormat="false" ht="15" hidden="false" customHeight="true" outlineLevel="0" collapsed="false">
      <c r="A1795" s="45" t="s">
        <v>1661</v>
      </c>
      <c r="B1795" s="42" t="str">
        <f aca="false">IF(A1795="100","HK",IF(A1795="200","CN",IF(A1795="300","TW","홀세일")))</f>
        <v>TW</v>
      </c>
      <c r="C1795" s="45" t="s">
        <v>704</v>
      </c>
      <c r="D1795" s="46" t="n">
        <v>340</v>
      </c>
      <c r="E1795" s="46" t="n">
        <v>34000</v>
      </c>
      <c r="F1795" s="46" t="n">
        <v>8600</v>
      </c>
      <c r="G1795" s="42" t="n">
        <v>3.51</v>
      </c>
      <c r="H1795" s="42" t="n">
        <v>8.6</v>
      </c>
      <c r="J1795" s="46" t="n">
        <f aca="false">IF(N(E1795)&gt;0,E1795,IF(N(F1795)&gt;0,F1795*요약!$F$27,0))</f>
        <v>34000</v>
      </c>
      <c r="K1795" s="46" t="n">
        <f aca="false">IF(N(F1795)&gt;0,F1795,IF(N(E1795)&gt;0,E1795/요약!$F$27,0))</f>
        <v>8600</v>
      </c>
      <c r="L1795" s="46" t="n">
        <f aca="false">IF(B1795="CN",IF(N(I1795)&gt;0,I1795*요약!$G$27,K1795*(1+요약!$E$27)),IF(N(H1795)&gt;0,H1795*요약!$G$27,J1795*요약!$D$27))</f>
        <v>11352</v>
      </c>
      <c r="M1795" s="46" t="n">
        <f aca="false">D1795*J1795</f>
        <v>11560000</v>
      </c>
      <c r="N1795" s="46" t="n">
        <f aca="false">D1795*K1795</f>
        <v>2924000</v>
      </c>
      <c r="O1795" s="46" t="n">
        <f aca="false">D1795*L1795</f>
        <v>3859680</v>
      </c>
      <c r="P1795" s="42" t="str">
        <f aca="false">TRIM(IF(N(E1795)&lt;=0,"택가보정 ","")&amp;IF(N(F1795)&lt;=0,"원가보정 ","")&amp;IF(AND(B1795&lt;&gt;"CN",N(H1795)&lt;=0),"공급가보정 ","")&amp;IF(AND(B1795="CN",N(I1795)&lt;=0),"중국공급가=원가+마진 ",""))</f>
        <v/>
      </c>
      <c r="Q1795" s="47" t="n">
        <f aca="false">IF(SUMIFS($W:$W,$A:$A,A1795,$C:$C,C1795)=0,0,SUMIFS(RAW_판매펀칭!$K:$K,RAW_판매펀칭!$P:$P,A1795,RAW_판매펀칭!$I:$I,C1795)*W1795/SUMIFS($W:$W,$A:$A,A1795,$C:$C,C1795))</f>
        <v>340</v>
      </c>
      <c r="R1795" s="47" t="n">
        <f aca="false">IF(OR(A1795="500",A1795="800",A1795="810"),0,MAX(W1795-Q1795,0))</f>
        <v>0</v>
      </c>
      <c r="S1795" s="47" t="n">
        <f aca="false">R1795*L1795</f>
        <v>0</v>
      </c>
      <c r="T1795" s="47" t="n">
        <f aca="false">R1795*J1795</f>
        <v>0</v>
      </c>
      <c r="U1795" s="47" t="n">
        <f aca="false">R1795*K1795</f>
        <v>0</v>
      </c>
      <c r="V1795" s="0" t="str">
        <f aca="false">IF(COUNTIFS($A$2:A1795,A1795,$C$2:C1795,C1795,$D$2:D1795,D1795)&gt;1,"중복","")</f>
        <v/>
      </c>
      <c r="W1795" s="0" t="n">
        <f aca="false">IF(V1795="중복",0,N(D1795))</f>
        <v>340</v>
      </c>
      <c r="X1795" s="0" t="n">
        <f aca="false">IF(COUNTIFS($A$2:A1795,A1795,$C$2:C1795,C1795)=1,ABS(SUMIFS(RAW_발주!$D:$D,RAW_발주!$C:$C,A1795,RAW_발주!$A:$A,C1795)-SUMIFS($W:$W,$A:$A,A1795,$C:$C,C1795)),0)</f>
        <v>0</v>
      </c>
    </row>
    <row r="1796" customFormat="false" ht="15" hidden="false" customHeight="true" outlineLevel="0" collapsed="false">
      <c r="A1796" s="45" t="s">
        <v>1662</v>
      </c>
      <c r="B1796" s="42" t="str">
        <f aca="false">IF(A1796="100","HK",IF(A1796="200","CN",IF(A1796="300","TW","홀세일")))</f>
        <v>홀세일</v>
      </c>
      <c r="C1796" s="45" t="s">
        <v>704</v>
      </c>
      <c r="D1796" s="46" t="n">
        <v>35</v>
      </c>
      <c r="E1796" s="46" t="n">
        <v>34000</v>
      </c>
      <c r="F1796" s="46" t="n">
        <v>8600</v>
      </c>
      <c r="G1796" s="42" t="n">
        <v>3.51</v>
      </c>
      <c r="H1796" s="42" t="n">
        <v>8.6</v>
      </c>
      <c r="J1796" s="46" t="n">
        <f aca="false">IF(N(E1796)&gt;0,E1796,IF(N(F1796)&gt;0,F1796*요약!$F$27,0))</f>
        <v>34000</v>
      </c>
      <c r="K1796" s="46" t="n">
        <f aca="false">IF(N(F1796)&gt;0,F1796,IF(N(E1796)&gt;0,E1796/요약!$F$27,0))</f>
        <v>8600</v>
      </c>
      <c r="L1796" s="46" t="n">
        <f aca="false">IF(B1796="CN",IF(N(I1796)&gt;0,I1796*요약!$G$27,K1796*(1+요약!$E$27)),IF(N(H1796)&gt;0,H1796*요약!$G$27,J1796*요약!$D$27))</f>
        <v>11352</v>
      </c>
      <c r="M1796" s="46" t="n">
        <f aca="false">D1796*J1796</f>
        <v>1190000</v>
      </c>
      <c r="N1796" s="46" t="n">
        <f aca="false">D1796*K1796</f>
        <v>301000</v>
      </c>
      <c r="O1796" s="46" t="n">
        <f aca="false">D1796*L1796</f>
        <v>397320</v>
      </c>
      <c r="P1796" s="42" t="str">
        <f aca="false">TRIM(IF(N(E1796)&lt;=0,"택가보정 ","")&amp;IF(N(F1796)&lt;=0,"원가보정 ","")&amp;IF(AND(B1796&lt;&gt;"CN",N(H1796)&lt;=0),"공급가보정 ","")&amp;IF(AND(B1796="CN",N(I1796)&lt;=0),"중국공급가=원가+마진 ",""))</f>
        <v/>
      </c>
      <c r="Q1796" s="47" t="n">
        <f aca="false">IF(SUMIFS($W:$W,$A:$A,A1796,$C:$C,C1796)=0,0,SUMIFS(RAW_판매펀칭!$K:$K,RAW_판매펀칭!$P:$P,A1796,RAW_판매펀칭!$I:$I,C1796)*W1796/SUMIFS($W:$W,$A:$A,A1796,$C:$C,C1796))</f>
        <v>0</v>
      </c>
      <c r="R1796" s="47" t="n">
        <f aca="false">IF(OR(A1796="500",A1796="800",A1796="810"),0,MAX(W1796-Q1796,0))</f>
        <v>0</v>
      </c>
      <c r="S1796" s="47" t="n">
        <f aca="false">R1796*L1796</f>
        <v>0</v>
      </c>
      <c r="T1796" s="47" t="n">
        <f aca="false">R1796*J1796</f>
        <v>0</v>
      </c>
      <c r="U1796" s="47" t="n">
        <f aca="false">R1796*K1796</f>
        <v>0</v>
      </c>
      <c r="V1796" s="0" t="str">
        <f aca="false">IF(COUNTIFS($A$2:A1796,A1796,$C$2:C1796,C1796,$D$2:D1796,D1796)&gt;1,"중복","")</f>
        <v/>
      </c>
      <c r="W1796" s="0" t="n">
        <f aca="false">IF(V1796="중복",0,N(D1796))</f>
        <v>35</v>
      </c>
      <c r="X1796" s="0" t="n">
        <f aca="false">IF(COUNTIFS($A$2:A1796,A1796,$C$2:C1796,C1796)=1,ABS(SUMIFS(RAW_발주!$D:$D,RAW_발주!$C:$C,A1796,RAW_발주!$A:$A,C1796)-SUMIFS($W:$W,$A:$A,A1796,$C:$C,C1796)),0)</f>
        <v>0</v>
      </c>
    </row>
    <row r="1797" customFormat="false" ht="15" hidden="false" customHeight="true" outlineLevel="0" collapsed="false">
      <c r="A1797" s="45" t="s">
        <v>1664</v>
      </c>
      <c r="B1797" s="42" t="str">
        <f aca="false">IF(A1797="100","HK",IF(A1797="200","CN",IF(A1797="300","TW","홀세일")))</f>
        <v>홀세일</v>
      </c>
      <c r="C1797" s="45" t="s">
        <v>704</v>
      </c>
      <c r="D1797" s="46" t="n">
        <v>40</v>
      </c>
      <c r="E1797" s="46" t="n">
        <v>34000</v>
      </c>
      <c r="F1797" s="46" t="n">
        <v>8600</v>
      </c>
      <c r="G1797" s="42" t="n">
        <v>3.51</v>
      </c>
      <c r="H1797" s="42" t="n">
        <v>8.6</v>
      </c>
      <c r="J1797" s="46" t="n">
        <f aca="false">IF(N(E1797)&gt;0,E1797,IF(N(F1797)&gt;0,F1797*요약!$F$27,0))</f>
        <v>34000</v>
      </c>
      <c r="K1797" s="46" t="n">
        <f aca="false">IF(N(F1797)&gt;0,F1797,IF(N(E1797)&gt;0,E1797/요약!$F$27,0))</f>
        <v>8600</v>
      </c>
      <c r="L1797" s="46" t="n">
        <f aca="false">IF(B1797="CN",IF(N(I1797)&gt;0,I1797*요약!$G$27,K1797*(1+요약!$E$27)),IF(N(H1797)&gt;0,H1797*요약!$G$27,J1797*요약!$D$27))</f>
        <v>11352</v>
      </c>
      <c r="M1797" s="46" t="n">
        <f aca="false">D1797*J1797</f>
        <v>1360000</v>
      </c>
      <c r="N1797" s="46" t="n">
        <f aca="false">D1797*K1797</f>
        <v>344000</v>
      </c>
      <c r="O1797" s="46" t="n">
        <f aca="false">D1797*L1797</f>
        <v>454080</v>
      </c>
      <c r="P1797" s="42" t="str">
        <f aca="false">TRIM(IF(N(E1797)&lt;=0,"택가보정 ","")&amp;IF(N(F1797)&lt;=0,"원가보정 ","")&amp;IF(AND(B1797&lt;&gt;"CN",N(H1797)&lt;=0),"공급가보정 ","")&amp;IF(AND(B1797="CN",N(I1797)&lt;=0),"중국공급가=원가+마진 ",""))</f>
        <v/>
      </c>
      <c r="Q1797" s="47" t="n">
        <f aca="false">IF(SUMIFS($W:$W,$A:$A,A1797,$C:$C,C1797)=0,0,SUMIFS(RAW_판매펀칭!$K:$K,RAW_판매펀칭!$P:$P,A1797,RAW_판매펀칭!$I:$I,C1797)*W1797/SUMIFS($W:$W,$A:$A,A1797,$C:$C,C1797))</f>
        <v>0</v>
      </c>
      <c r="R1797" s="47" t="n">
        <f aca="false">IF(OR(A1797="500",A1797="800",A1797="810"),0,MAX(W1797-Q1797,0))</f>
        <v>0</v>
      </c>
      <c r="S1797" s="47" t="n">
        <f aca="false">R1797*L1797</f>
        <v>0</v>
      </c>
      <c r="T1797" s="47" t="n">
        <f aca="false">R1797*J1797</f>
        <v>0</v>
      </c>
      <c r="U1797" s="47" t="n">
        <f aca="false">R1797*K1797</f>
        <v>0</v>
      </c>
      <c r="V1797" s="0" t="str">
        <f aca="false">IF(COUNTIFS($A$2:A1797,A1797,$C$2:C1797,C1797,$D$2:D1797,D1797)&gt;1,"중복","")</f>
        <v/>
      </c>
      <c r="W1797" s="0" t="n">
        <f aca="false">IF(V1797="중복",0,N(D1797))</f>
        <v>40</v>
      </c>
      <c r="X1797" s="0" t="n">
        <f aca="false">IF(COUNTIFS($A$2:A1797,A1797,$C$2:C1797,C1797)=1,ABS(SUMIFS(RAW_발주!$D:$D,RAW_발주!$C:$C,A1797,RAW_발주!$A:$A,C1797)-SUMIFS($W:$W,$A:$A,A1797,$C:$C,C1797)),0)</f>
        <v>0</v>
      </c>
    </row>
    <row r="1798" customFormat="false" ht="15" hidden="false" customHeight="true" outlineLevel="0" collapsed="false">
      <c r="A1798" s="45" t="s">
        <v>1665</v>
      </c>
      <c r="B1798" s="42" t="str">
        <f aca="false">IF(A1798="100","HK",IF(A1798="200","CN",IF(A1798="300","TW","홀세일")))</f>
        <v>홀세일</v>
      </c>
      <c r="C1798" s="45" t="s">
        <v>704</v>
      </c>
      <c r="D1798" s="46" t="n">
        <v>194</v>
      </c>
      <c r="E1798" s="46" t="n">
        <v>34000</v>
      </c>
      <c r="F1798" s="46" t="n">
        <v>8600</v>
      </c>
      <c r="G1798" s="42" t="n">
        <v>3.51</v>
      </c>
      <c r="H1798" s="42" t="n">
        <v>8.6</v>
      </c>
      <c r="J1798" s="46" t="n">
        <f aca="false">IF(N(E1798)&gt;0,E1798,IF(N(F1798)&gt;0,F1798*요약!$F$27,0))</f>
        <v>34000</v>
      </c>
      <c r="K1798" s="46" t="n">
        <f aca="false">IF(N(F1798)&gt;0,F1798,IF(N(E1798)&gt;0,E1798/요약!$F$27,0))</f>
        <v>8600</v>
      </c>
      <c r="L1798" s="46" t="n">
        <f aca="false">IF(B1798="CN",IF(N(I1798)&gt;0,I1798*요약!$G$27,K1798*(1+요약!$E$27)),IF(N(H1798)&gt;0,H1798*요약!$G$27,J1798*요약!$D$27))</f>
        <v>11352</v>
      </c>
      <c r="M1798" s="46" t="n">
        <f aca="false">D1798*J1798</f>
        <v>6596000</v>
      </c>
      <c r="N1798" s="46" t="n">
        <f aca="false">D1798*K1798</f>
        <v>1668400</v>
      </c>
      <c r="O1798" s="46" t="n">
        <f aca="false">D1798*L1798</f>
        <v>2202288</v>
      </c>
      <c r="P1798" s="42" t="str">
        <f aca="false">TRIM(IF(N(E1798)&lt;=0,"택가보정 ","")&amp;IF(N(F1798)&lt;=0,"원가보정 ","")&amp;IF(AND(B1798&lt;&gt;"CN",N(H1798)&lt;=0),"공급가보정 ","")&amp;IF(AND(B1798="CN",N(I1798)&lt;=0),"중국공급가=원가+마진 ",""))</f>
        <v/>
      </c>
      <c r="Q1798" s="47" t="n">
        <f aca="false">IF(SUMIFS($W:$W,$A:$A,A1798,$C:$C,C1798)=0,0,SUMIFS(RAW_판매펀칭!$K:$K,RAW_판매펀칭!$P:$P,A1798,RAW_판매펀칭!$I:$I,C1798)*W1798/SUMIFS($W:$W,$A:$A,A1798,$C:$C,C1798))</f>
        <v>0</v>
      </c>
      <c r="R1798" s="47" t="n">
        <f aca="false">IF(OR(A1798="500",A1798="800",A1798="810"),0,MAX(W1798-Q1798,0))</f>
        <v>0</v>
      </c>
      <c r="S1798" s="47" t="n">
        <f aca="false">R1798*L1798</f>
        <v>0</v>
      </c>
      <c r="T1798" s="47" t="n">
        <f aca="false">R1798*J1798</f>
        <v>0</v>
      </c>
      <c r="U1798" s="47" t="n">
        <f aca="false">R1798*K1798</f>
        <v>0</v>
      </c>
      <c r="V1798" s="0" t="str">
        <f aca="false">IF(COUNTIFS($A$2:A1798,A1798,$C$2:C1798,C1798,$D$2:D1798,D1798)&gt;1,"중복","")</f>
        <v/>
      </c>
      <c r="W1798" s="0" t="n">
        <f aca="false">IF(V1798="중복",0,N(D1798))</f>
        <v>194</v>
      </c>
      <c r="X1798" s="0" t="n">
        <f aca="false">IF(COUNTIFS($A$2:A1798,A1798,$C$2:C1798,C1798)=1,ABS(SUMIFS(RAW_발주!$D:$D,RAW_발주!$C:$C,A1798,RAW_발주!$A:$A,C1798)-SUMIFS($W:$W,$A:$A,A1798,$C:$C,C1798)),0)</f>
        <v>0</v>
      </c>
    </row>
    <row r="1799" customFormat="false" ht="15" hidden="false" customHeight="true" outlineLevel="0" collapsed="false">
      <c r="A1799" s="45" t="s">
        <v>1666</v>
      </c>
      <c r="B1799" s="42" t="str">
        <f aca="false">IF(A1799="100","HK",IF(A1799="200","CN",IF(A1799="300","TW","홀세일")))</f>
        <v>홀세일</v>
      </c>
      <c r="C1799" s="45" t="s">
        <v>704</v>
      </c>
      <c r="D1799" s="46" t="n">
        <v>2000</v>
      </c>
      <c r="E1799" s="46" t="n">
        <v>34000</v>
      </c>
      <c r="F1799" s="46" t="n">
        <v>8600</v>
      </c>
      <c r="G1799" s="42" t="n">
        <v>3.51</v>
      </c>
      <c r="H1799" s="42" t="n">
        <v>8.6</v>
      </c>
      <c r="J1799" s="46" t="n">
        <f aca="false">IF(N(E1799)&gt;0,E1799,IF(N(F1799)&gt;0,F1799*요약!$F$27,0))</f>
        <v>34000</v>
      </c>
      <c r="K1799" s="46" t="n">
        <f aca="false">IF(N(F1799)&gt;0,F1799,IF(N(E1799)&gt;0,E1799/요약!$F$27,0))</f>
        <v>8600</v>
      </c>
      <c r="L1799" s="46" t="n">
        <f aca="false">IF(B1799="CN",IF(N(I1799)&gt;0,I1799*요약!$G$27,K1799*(1+요약!$E$27)),IF(N(H1799)&gt;0,H1799*요약!$G$27,J1799*요약!$D$27))</f>
        <v>11352</v>
      </c>
      <c r="M1799" s="46" t="n">
        <f aca="false">D1799*J1799</f>
        <v>68000000</v>
      </c>
      <c r="N1799" s="46" t="n">
        <f aca="false">D1799*K1799</f>
        <v>17200000</v>
      </c>
      <c r="O1799" s="46" t="n">
        <f aca="false">D1799*L1799</f>
        <v>22704000</v>
      </c>
      <c r="P1799" s="42" t="str">
        <f aca="false">TRIM(IF(N(E1799)&lt;=0,"택가보정 ","")&amp;IF(N(F1799)&lt;=0,"원가보정 ","")&amp;IF(AND(B1799&lt;&gt;"CN",N(H1799)&lt;=0),"공급가보정 ","")&amp;IF(AND(B1799="CN",N(I1799)&lt;=0),"중국공급가=원가+마진 ",""))</f>
        <v/>
      </c>
      <c r="Q1799" s="47" t="n">
        <f aca="false">IF(SUMIFS($W:$W,$A:$A,A1799,$C:$C,C1799)=0,0,SUMIFS(RAW_판매펀칭!$K:$K,RAW_판매펀칭!$P:$P,A1799,RAW_판매펀칭!$I:$I,C1799)*W1799/SUMIFS($W:$W,$A:$A,A1799,$C:$C,C1799))</f>
        <v>1922</v>
      </c>
      <c r="R1799" s="47" t="n">
        <f aca="false">IF(OR(A1799="500",A1799="800",A1799="810"),0,MAX(W1799-Q1799,0))</f>
        <v>78</v>
      </c>
      <c r="S1799" s="47" t="n">
        <f aca="false">R1799*L1799</f>
        <v>885456</v>
      </c>
      <c r="T1799" s="47" t="n">
        <f aca="false">R1799*J1799</f>
        <v>2652000</v>
      </c>
      <c r="U1799" s="47" t="n">
        <f aca="false">R1799*K1799</f>
        <v>670800</v>
      </c>
      <c r="V1799" s="0" t="str">
        <f aca="false">IF(COUNTIFS($A$2:A1799,A1799,$C$2:C1799,C1799,$D$2:D1799,D1799)&gt;1,"중복","")</f>
        <v/>
      </c>
      <c r="W1799" s="0" t="n">
        <f aca="false">IF(V1799="중복",0,N(D1799))</f>
        <v>2000</v>
      </c>
      <c r="X1799" s="0" t="n">
        <f aca="false">IF(COUNTIFS($A$2:A1799,A1799,$C$2:C1799,C1799)=1,ABS(SUMIFS(RAW_발주!$D:$D,RAW_발주!$C:$C,A1799,RAW_발주!$A:$A,C1799)-SUMIFS($W:$W,$A:$A,A1799,$C:$C,C1799)),0)</f>
        <v>0</v>
      </c>
    </row>
    <row r="1800" customFormat="false" ht="15" hidden="false" customHeight="true" outlineLevel="0" collapsed="false">
      <c r="A1800" s="45" t="s">
        <v>1663</v>
      </c>
      <c r="B1800" s="42" t="str">
        <f aca="false">IF(A1800="100","HK",IF(A1800="200","CN",IF(A1800="300","TW","홀세일")))</f>
        <v>홀세일</v>
      </c>
      <c r="C1800" s="45" t="s">
        <v>1382</v>
      </c>
      <c r="D1800" s="46" t="n">
        <v>400</v>
      </c>
      <c r="E1800" s="46" t="n">
        <v>49000</v>
      </c>
      <c r="F1800" s="46" t="n">
        <v>9000</v>
      </c>
      <c r="G1800" s="42" t="n">
        <v>4.95</v>
      </c>
      <c r="H1800" s="42" t="n">
        <v>13.1</v>
      </c>
      <c r="J1800" s="46" t="n">
        <f aca="false">IF(N(E1800)&gt;0,E1800,IF(N(F1800)&gt;0,F1800*요약!$F$27,0))</f>
        <v>49000</v>
      </c>
      <c r="K1800" s="46" t="n">
        <f aca="false">IF(N(F1800)&gt;0,F1800,IF(N(E1800)&gt;0,E1800/요약!$F$27,0))</f>
        <v>9000</v>
      </c>
      <c r="L1800" s="46" t="n">
        <f aca="false">IF(B1800="CN",IF(N(I1800)&gt;0,I1800*요약!$G$27,K1800*(1+요약!$E$27)),IF(N(H1800)&gt;0,H1800*요약!$G$27,J1800*요약!$D$27))</f>
        <v>17292</v>
      </c>
      <c r="M1800" s="46" t="n">
        <f aca="false">D1800*J1800</f>
        <v>19600000</v>
      </c>
      <c r="N1800" s="46" t="n">
        <f aca="false">D1800*K1800</f>
        <v>3600000</v>
      </c>
      <c r="O1800" s="46" t="n">
        <f aca="false">D1800*L1800</f>
        <v>6916800</v>
      </c>
      <c r="P1800" s="42" t="str">
        <f aca="false">TRIM(IF(N(E1800)&lt;=0,"택가보정 ","")&amp;IF(N(F1800)&lt;=0,"원가보정 ","")&amp;IF(AND(B1800&lt;&gt;"CN",N(H1800)&lt;=0),"공급가보정 ","")&amp;IF(AND(B1800="CN",N(I1800)&lt;=0),"중국공급가=원가+마진 ",""))</f>
        <v/>
      </c>
      <c r="Q1800" s="47" t="n">
        <f aca="false">IF(SUMIFS($W:$W,$A:$A,A1800,$C:$C,C1800)=0,0,SUMIFS(RAW_판매펀칭!$K:$K,RAW_판매펀칭!$P:$P,A1800,RAW_판매펀칭!$I:$I,C1800)*W1800/SUMIFS($W:$W,$A:$A,A1800,$C:$C,C1800))</f>
        <v>400</v>
      </c>
      <c r="R1800" s="47" t="n">
        <f aca="false">IF(OR(A1800="500",A1800="800",A1800="810"),0,MAX(W1800-Q1800,0))</f>
        <v>0</v>
      </c>
      <c r="S1800" s="47" t="n">
        <f aca="false">R1800*L1800</f>
        <v>0</v>
      </c>
      <c r="T1800" s="47" t="n">
        <f aca="false">R1800*J1800</f>
        <v>0</v>
      </c>
      <c r="U1800" s="47" t="n">
        <f aca="false">R1800*K1800</f>
        <v>0</v>
      </c>
      <c r="V1800" s="0" t="str">
        <f aca="false">IF(COUNTIFS($A$2:A1800,A1800,$C$2:C1800,C1800,$D$2:D1800,D1800)&gt;1,"중복","")</f>
        <v/>
      </c>
      <c r="W1800" s="0" t="n">
        <f aca="false">IF(V1800="중복",0,N(D1800))</f>
        <v>400</v>
      </c>
      <c r="X1800" s="0" t="n">
        <f aca="false">IF(COUNTIFS($A$2:A1800,A1800,$C$2:C1800,C1800)=1,ABS(SUMIFS(RAW_발주!$D:$D,RAW_발주!$C:$C,A1800,RAW_발주!$A:$A,C1800)-SUMIFS($W:$W,$A:$A,A1800,$C:$C,C1800)),0)</f>
        <v>0</v>
      </c>
    </row>
    <row r="1801" customFormat="false" ht="15" hidden="false" customHeight="true" outlineLevel="0" collapsed="false">
      <c r="A1801" s="45" t="s">
        <v>1663</v>
      </c>
      <c r="B1801" s="42" t="str">
        <f aca="false">IF(A1801="100","HK",IF(A1801="200","CN",IF(A1801="300","TW","홀세일")))</f>
        <v>홀세일</v>
      </c>
      <c r="C1801" s="45" t="s">
        <v>1384</v>
      </c>
      <c r="D1801" s="46" t="n">
        <v>400</v>
      </c>
      <c r="E1801" s="46"/>
      <c r="F1801" s="46" t="n">
        <v>9600</v>
      </c>
      <c r="G1801" s="42" t="n">
        <v>0</v>
      </c>
      <c r="J1801" s="46" t="n">
        <f aca="false">IF(N(E1801)&gt;0,E1801,IF(N(F1801)&gt;0,F1801*요약!$F$27,0))</f>
        <v>38400</v>
      </c>
      <c r="K1801" s="46" t="n">
        <f aca="false">IF(N(F1801)&gt;0,F1801,IF(N(E1801)&gt;0,E1801/요약!$F$27,0))</f>
        <v>9600</v>
      </c>
      <c r="L1801" s="46" t="n">
        <f aca="false">IF(B1801="CN",IF(N(I1801)&gt;0,I1801*요약!$G$27,K1801*(1+요약!$E$27)),IF(N(H1801)&gt;0,H1801*요약!$G$27,J1801*요약!$D$27))</f>
        <v>12672</v>
      </c>
      <c r="M1801" s="46" t="n">
        <f aca="false">D1801*J1801</f>
        <v>15360000</v>
      </c>
      <c r="N1801" s="46" t="n">
        <f aca="false">D1801*K1801</f>
        <v>3840000</v>
      </c>
      <c r="O1801" s="46" t="n">
        <f aca="false">D1801*L1801</f>
        <v>5068800</v>
      </c>
      <c r="P1801" s="42" t="str">
        <f aca="false">TRIM(IF(N(E1801)&lt;=0,"택가보정 ","")&amp;IF(N(F1801)&lt;=0,"원가보정 ","")&amp;IF(AND(B1801&lt;&gt;"CN",N(H1801)&lt;=0),"공급가보정 ","")&amp;IF(AND(B1801="CN",N(I1801)&lt;=0),"중국공급가=원가+마진 ",""))</f>
        <v>택가보정 공급가보정</v>
      </c>
      <c r="Q1801" s="47" t="n">
        <f aca="false">IF(SUMIFS($W:$W,$A:$A,A1801,$C:$C,C1801)=0,0,SUMIFS(RAW_판매펀칭!$K:$K,RAW_판매펀칭!$P:$P,A1801,RAW_판매펀칭!$I:$I,C1801)*W1801/SUMIFS($W:$W,$A:$A,A1801,$C:$C,C1801))</f>
        <v>400</v>
      </c>
      <c r="R1801" s="47" t="n">
        <f aca="false">IF(OR(A1801="500",A1801="800",A1801="810"),0,MAX(W1801-Q1801,0))</f>
        <v>0</v>
      </c>
      <c r="S1801" s="47" t="n">
        <f aca="false">R1801*L1801</f>
        <v>0</v>
      </c>
      <c r="T1801" s="47" t="n">
        <f aca="false">R1801*J1801</f>
        <v>0</v>
      </c>
      <c r="U1801" s="47" t="n">
        <f aca="false">R1801*K1801</f>
        <v>0</v>
      </c>
      <c r="V1801" s="0" t="str">
        <f aca="false">IF(COUNTIFS($A$2:A1801,A1801,$C$2:C1801,C1801,$D$2:D1801,D1801)&gt;1,"중복","")</f>
        <v/>
      </c>
      <c r="W1801" s="0" t="n">
        <f aca="false">IF(V1801="중복",0,N(D1801))</f>
        <v>400</v>
      </c>
      <c r="X1801" s="0" t="n">
        <f aca="false">IF(COUNTIFS($A$2:A1801,A1801,$C$2:C1801,C1801)=1,ABS(SUMIFS(RAW_발주!$D:$D,RAW_발주!$C:$C,A1801,RAW_발주!$A:$A,C1801)-SUMIFS($W:$W,$A:$A,A1801,$C:$C,C1801)),0)</f>
        <v>0</v>
      </c>
    </row>
    <row r="1802" customFormat="false" ht="15" hidden="false" customHeight="true" outlineLevel="0" collapsed="false">
      <c r="A1802" s="45" t="s">
        <v>1660</v>
      </c>
      <c r="B1802" s="42" t="str">
        <f aca="false">IF(A1802="100","HK",IF(A1802="200","CN",IF(A1802="300","TW","홀세일")))</f>
        <v>CN</v>
      </c>
      <c r="C1802" s="45" t="s">
        <v>1162</v>
      </c>
      <c r="D1802" s="46" t="n">
        <v>402</v>
      </c>
      <c r="E1802" s="46" t="n">
        <v>189000</v>
      </c>
      <c r="F1802" s="46" t="n">
        <v>52102</v>
      </c>
      <c r="G1802" s="42" t="n">
        <v>2.76</v>
      </c>
      <c r="H1802" s="42" t="n">
        <v>44.5</v>
      </c>
      <c r="I1802" s="42" t="n">
        <v>41.8</v>
      </c>
      <c r="J1802" s="46" t="n">
        <f aca="false">IF(N(E1802)&gt;0,E1802,IF(N(F1802)&gt;0,F1802*요약!$F$27,0))</f>
        <v>189000</v>
      </c>
      <c r="K1802" s="46" t="n">
        <f aca="false">IF(N(F1802)&gt;0,F1802,IF(N(E1802)&gt;0,E1802/요약!$F$27,0))</f>
        <v>52102</v>
      </c>
      <c r="L1802" s="46" t="n">
        <f aca="false">IF(B1802="CN",IF(N(I1802)&gt;0,I1802*요약!$G$27,K1802*(1+요약!$E$27)),IF(N(H1802)&gt;0,H1802*요약!$G$27,J1802*요약!$D$27))</f>
        <v>55176</v>
      </c>
      <c r="M1802" s="46" t="n">
        <f aca="false">D1802*J1802</f>
        <v>75978000</v>
      </c>
      <c r="N1802" s="46" t="n">
        <f aca="false">D1802*K1802</f>
        <v>20945004</v>
      </c>
      <c r="O1802" s="46" t="n">
        <f aca="false">D1802*L1802</f>
        <v>22180752</v>
      </c>
      <c r="P1802" s="42" t="str">
        <f aca="false">TRIM(IF(N(E1802)&lt;=0,"택가보정 ","")&amp;IF(N(F1802)&lt;=0,"원가보정 ","")&amp;IF(AND(B1802&lt;&gt;"CN",N(H1802)&lt;=0),"공급가보정 ","")&amp;IF(AND(B1802="CN",N(I1802)&lt;=0),"중국공급가=원가+마진 ",""))</f>
        <v/>
      </c>
      <c r="Q1802" s="47" t="n">
        <f aca="false">IF(SUMIFS($W:$W,$A:$A,A1802,$C:$C,C1802)=0,0,SUMIFS(RAW_판매펀칭!$K:$K,RAW_판매펀칭!$P:$P,A1802,RAW_판매펀칭!$I:$I,C1802)*W1802/SUMIFS($W:$W,$A:$A,A1802,$C:$C,C1802))</f>
        <v>383</v>
      </c>
      <c r="R1802" s="47" t="n">
        <f aca="false">IF(OR(A1802="500",A1802="800",A1802="810"),0,MAX(W1802-Q1802,0))</f>
        <v>19</v>
      </c>
      <c r="S1802" s="47" t="n">
        <f aca="false">R1802*L1802</f>
        <v>1048344</v>
      </c>
      <c r="T1802" s="47" t="n">
        <f aca="false">R1802*J1802</f>
        <v>3591000</v>
      </c>
      <c r="U1802" s="47" t="n">
        <f aca="false">R1802*K1802</f>
        <v>989938</v>
      </c>
      <c r="V1802" s="0" t="str">
        <f aca="false">IF(COUNTIFS($A$2:A1802,A1802,$C$2:C1802,C1802,$D$2:D1802,D1802)&gt;1,"중복","")</f>
        <v/>
      </c>
      <c r="W1802" s="0" t="n">
        <f aca="false">IF(V1802="중복",0,N(D1802))</f>
        <v>402</v>
      </c>
      <c r="X1802" s="0" t="n">
        <f aca="false">IF(COUNTIFS($A$2:A1802,A1802,$C$2:C1802,C1802)=1,ABS(SUMIFS(RAW_발주!$D:$D,RAW_발주!$C:$C,A1802,RAW_발주!$A:$A,C1802)-SUMIFS($W:$W,$A:$A,A1802,$C:$C,C1802)),0)</f>
        <v>0</v>
      </c>
    </row>
    <row r="1803" customFormat="false" ht="15" hidden="false" customHeight="true" outlineLevel="0" collapsed="false">
      <c r="A1803" s="45" t="s">
        <v>1660</v>
      </c>
      <c r="B1803" s="42" t="str">
        <f aca="false">IF(A1803="100","HK",IF(A1803="200","CN",IF(A1803="300","TW","홀세일")))</f>
        <v>CN</v>
      </c>
      <c r="C1803" s="45" t="s">
        <v>1162</v>
      </c>
      <c r="D1803" s="46" t="n">
        <v>402</v>
      </c>
      <c r="E1803" s="46" t="n">
        <v>189000</v>
      </c>
      <c r="F1803" s="46" t="n">
        <v>52102</v>
      </c>
      <c r="G1803" s="42" t="n">
        <v>2.76</v>
      </c>
      <c r="H1803" s="42" t="n">
        <v>44.5</v>
      </c>
      <c r="I1803" s="42" t="n">
        <v>41.8</v>
      </c>
      <c r="J1803" s="46" t="n">
        <f aca="false">IF(N(E1803)&gt;0,E1803,IF(N(F1803)&gt;0,F1803*요약!$F$27,0))</f>
        <v>189000</v>
      </c>
      <c r="K1803" s="46" t="n">
        <f aca="false">IF(N(F1803)&gt;0,F1803,IF(N(E1803)&gt;0,E1803/요약!$F$27,0))</f>
        <v>52102</v>
      </c>
      <c r="L1803" s="46" t="n">
        <f aca="false">IF(B1803="CN",IF(N(I1803)&gt;0,I1803*요약!$G$27,K1803*(1+요약!$E$27)),IF(N(H1803)&gt;0,H1803*요약!$G$27,J1803*요약!$D$27))</f>
        <v>55176</v>
      </c>
      <c r="M1803" s="46" t="n">
        <f aca="false">D1803*J1803</f>
        <v>75978000</v>
      </c>
      <c r="N1803" s="46" t="n">
        <f aca="false">D1803*K1803</f>
        <v>20945004</v>
      </c>
      <c r="O1803" s="46" t="n">
        <f aca="false">D1803*L1803</f>
        <v>22180752</v>
      </c>
      <c r="P1803" s="42" t="str">
        <f aca="false">TRIM(IF(N(E1803)&lt;=0,"택가보정 ","")&amp;IF(N(F1803)&lt;=0,"원가보정 ","")&amp;IF(AND(B1803&lt;&gt;"CN",N(H1803)&lt;=0),"공급가보정 ","")&amp;IF(AND(B1803="CN",N(I1803)&lt;=0),"중국공급가=원가+마진 ",""))</f>
        <v/>
      </c>
      <c r="Q1803" s="47" t="n">
        <f aca="false">IF(SUMIFS($W:$W,$A:$A,A1803,$C:$C,C1803)=0,0,SUMIFS(RAW_판매펀칭!$K:$K,RAW_판매펀칭!$P:$P,A1803,RAW_판매펀칭!$I:$I,C1803)*W1803/SUMIFS($W:$W,$A:$A,A1803,$C:$C,C1803))</f>
        <v>0</v>
      </c>
      <c r="R1803" s="47" t="n">
        <f aca="false">IF(OR(A1803="500",A1803="800",A1803="810"),0,MAX(W1803-Q1803,0))</f>
        <v>0</v>
      </c>
      <c r="S1803" s="47" t="n">
        <f aca="false">R1803*L1803</f>
        <v>0</v>
      </c>
      <c r="T1803" s="47" t="n">
        <f aca="false">R1803*J1803</f>
        <v>0</v>
      </c>
      <c r="U1803" s="47" t="n">
        <f aca="false">R1803*K1803</f>
        <v>0</v>
      </c>
      <c r="V1803" s="0" t="str">
        <f aca="false">IF(COUNTIFS($A$2:A1803,A1803,$C$2:C1803,C1803,$D$2:D1803,D1803)&gt;1,"중복","")</f>
        <v>중복</v>
      </c>
      <c r="W1803" s="0" t="n">
        <f aca="false">IF(V1803="중복",0,N(D1803))</f>
        <v>0</v>
      </c>
      <c r="X1803" s="0" t="n">
        <f aca="false">IF(COUNTIFS($A$2:A1803,A1803,$C$2:C1803,C1803)=1,ABS(SUMIFS(RAW_발주!$D:$D,RAW_발주!$C:$C,A1803,RAW_발주!$A:$A,C1803)-SUMIFS($W:$W,$A:$A,A1803,$C:$C,C1803)),0)</f>
        <v>0</v>
      </c>
    </row>
    <row r="1804" customFormat="false" ht="15" hidden="false" customHeight="true" outlineLevel="0" collapsed="false">
      <c r="A1804" s="45" t="s">
        <v>1660</v>
      </c>
      <c r="B1804" s="42" t="str">
        <f aca="false">IF(A1804="100","HK",IF(A1804="200","CN",IF(A1804="300","TW","홀세일")))</f>
        <v>CN</v>
      </c>
      <c r="C1804" s="45" t="s">
        <v>1164</v>
      </c>
      <c r="D1804" s="46" t="n">
        <v>344</v>
      </c>
      <c r="E1804" s="46" t="n">
        <v>179000</v>
      </c>
      <c r="F1804" s="46" t="n">
        <v>52700</v>
      </c>
      <c r="G1804" s="42" t="n">
        <v>3.31</v>
      </c>
      <c r="H1804" s="42" t="n">
        <v>42.1</v>
      </c>
      <c r="I1804" s="42" t="n">
        <v>42</v>
      </c>
      <c r="J1804" s="46" t="n">
        <f aca="false">IF(N(E1804)&gt;0,E1804,IF(N(F1804)&gt;0,F1804*요약!$F$27,0))</f>
        <v>179000</v>
      </c>
      <c r="K1804" s="46" t="n">
        <f aca="false">IF(N(F1804)&gt;0,F1804,IF(N(E1804)&gt;0,E1804/요약!$F$27,0))</f>
        <v>52700</v>
      </c>
      <c r="L1804" s="46" t="n">
        <f aca="false">IF(B1804="CN",IF(N(I1804)&gt;0,I1804*요약!$G$27,K1804*(1+요약!$E$27)),IF(N(H1804)&gt;0,H1804*요약!$G$27,J1804*요약!$D$27))</f>
        <v>55440</v>
      </c>
      <c r="M1804" s="46" t="n">
        <f aca="false">D1804*J1804</f>
        <v>61576000</v>
      </c>
      <c r="N1804" s="46" t="n">
        <f aca="false">D1804*K1804</f>
        <v>18128800</v>
      </c>
      <c r="O1804" s="46" t="n">
        <f aca="false">D1804*L1804</f>
        <v>19071360</v>
      </c>
      <c r="P1804" s="42" t="str">
        <f aca="false">TRIM(IF(N(E1804)&lt;=0,"택가보정 ","")&amp;IF(N(F1804)&lt;=0,"원가보정 ","")&amp;IF(AND(B1804&lt;&gt;"CN",N(H1804)&lt;=0),"공급가보정 ","")&amp;IF(AND(B1804="CN",N(I1804)&lt;=0),"중국공급가=원가+마진 ",""))</f>
        <v/>
      </c>
      <c r="Q1804" s="47" t="n">
        <f aca="false">IF(SUMIFS($W:$W,$A:$A,A1804,$C:$C,C1804)=0,0,SUMIFS(RAW_판매펀칭!$K:$K,RAW_판매펀칭!$P:$P,A1804,RAW_판매펀칭!$I:$I,C1804)*W1804/SUMIFS($W:$W,$A:$A,A1804,$C:$C,C1804))</f>
        <v>294</v>
      </c>
      <c r="R1804" s="47" t="n">
        <f aca="false">IF(OR(A1804="500",A1804="800",A1804="810"),0,MAX(W1804-Q1804,0))</f>
        <v>50</v>
      </c>
      <c r="S1804" s="47" t="n">
        <f aca="false">R1804*L1804</f>
        <v>2772000</v>
      </c>
      <c r="T1804" s="47" t="n">
        <f aca="false">R1804*J1804</f>
        <v>8950000</v>
      </c>
      <c r="U1804" s="47" t="n">
        <f aca="false">R1804*K1804</f>
        <v>2635000</v>
      </c>
      <c r="V1804" s="0" t="str">
        <f aca="false">IF(COUNTIFS($A$2:A1804,A1804,$C$2:C1804,C1804,$D$2:D1804,D1804)&gt;1,"중복","")</f>
        <v/>
      </c>
      <c r="W1804" s="0" t="n">
        <f aca="false">IF(V1804="중복",0,N(D1804))</f>
        <v>344</v>
      </c>
      <c r="X1804" s="0" t="n">
        <f aca="false">IF(COUNTIFS($A$2:A1804,A1804,$C$2:C1804,C1804)=1,ABS(SUMIFS(RAW_발주!$D:$D,RAW_발주!$C:$C,A1804,RAW_발주!$A:$A,C1804)-SUMIFS($W:$W,$A:$A,A1804,$C:$C,C1804)),0)</f>
        <v>0</v>
      </c>
    </row>
    <row r="1805" customFormat="false" ht="15" hidden="false" customHeight="true" outlineLevel="0" collapsed="false">
      <c r="A1805" s="45" t="s">
        <v>1660</v>
      </c>
      <c r="B1805" s="42" t="str">
        <f aca="false">IF(A1805="100","HK",IF(A1805="200","CN",IF(A1805="300","TW","홀세일")))</f>
        <v>CN</v>
      </c>
      <c r="C1805" s="45" t="s">
        <v>1166</v>
      </c>
      <c r="D1805" s="46" t="n">
        <v>75</v>
      </c>
      <c r="E1805" s="46" t="n">
        <v>239000</v>
      </c>
      <c r="F1805" s="46" t="n">
        <v>67495</v>
      </c>
      <c r="G1805" s="42" t="n">
        <v>2.69</v>
      </c>
      <c r="H1805" s="42" t="n">
        <v>56.2</v>
      </c>
      <c r="I1805" s="42" t="n">
        <v>53.5</v>
      </c>
      <c r="J1805" s="46" t="n">
        <f aca="false">IF(N(E1805)&gt;0,E1805,IF(N(F1805)&gt;0,F1805*요약!$F$27,0))</f>
        <v>239000</v>
      </c>
      <c r="K1805" s="46" t="n">
        <f aca="false">IF(N(F1805)&gt;0,F1805,IF(N(E1805)&gt;0,E1805/요약!$F$27,0))</f>
        <v>67495</v>
      </c>
      <c r="L1805" s="46" t="n">
        <f aca="false">IF(B1805="CN",IF(N(I1805)&gt;0,I1805*요약!$G$27,K1805*(1+요약!$E$27)),IF(N(H1805)&gt;0,H1805*요약!$G$27,J1805*요약!$D$27))</f>
        <v>70620</v>
      </c>
      <c r="M1805" s="46" t="n">
        <f aca="false">D1805*J1805</f>
        <v>17925000</v>
      </c>
      <c r="N1805" s="46" t="n">
        <f aca="false">D1805*K1805</f>
        <v>5062125</v>
      </c>
      <c r="O1805" s="46" t="n">
        <f aca="false">D1805*L1805</f>
        <v>5296500</v>
      </c>
      <c r="P1805" s="42" t="str">
        <f aca="false">TRIM(IF(N(E1805)&lt;=0,"택가보정 ","")&amp;IF(N(F1805)&lt;=0,"원가보정 ","")&amp;IF(AND(B1805&lt;&gt;"CN",N(H1805)&lt;=0),"공급가보정 ","")&amp;IF(AND(B1805="CN",N(I1805)&lt;=0),"중국공급가=원가+마진 ",""))</f>
        <v/>
      </c>
      <c r="Q1805" s="47" t="n">
        <f aca="false">IF(SUMIFS($W:$W,$A:$A,A1805,$C:$C,C1805)=0,0,SUMIFS(RAW_판매펀칭!$K:$K,RAW_판매펀칭!$P:$P,A1805,RAW_판매펀칭!$I:$I,C1805)*W1805/SUMIFS($W:$W,$A:$A,A1805,$C:$C,C1805))</f>
        <v>75</v>
      </c>
      <c r="R1805" s="47" t="n">
        <f aca="false">IF(OR(A1805="500",A1805="800",A1805="810"),0,MAX(W1805-Q1805,0))</f>
        <v>0</v>
      </c>
      <c r="S1805" s="47" t="n">
        <f aca="false">R1805*L1805</f>
        <v>0</v>
      </c>
      <c r="T1805" s="47" t="n">
        <f aca="false">R1805*J1805</f>
        <v>0</v>
      </c>
      <c r="U1805" s="47" t="n">
        <f aca="false">R1805*K1805</f>
        <v>0</v>
      </c>
      <c r="V1805" s="0" t="str">
        <f aca="false">IF(COUNTIFS($A$2:A1805,A1805,$C$2:C1805,C1805,$D$2:D1805,D1805)&gt;1,"중복","")</f>
        <v/>
      </c>
      <c r="W1805" s="0" t="n">
        <f aca="false">IF(V1805="중복",0,N(D1805))</f>
        <v>75</v>
      </c>
      <c r="X1805" s="0" t="n">
        <f aca="false">IF(COUNTIFS($A$2:A1805,A1805,$C$2:C1805,C1805)=1,ABS(SUMIFS(RAW_발주!$D:$D,RAW_발주!$C:$C,A1805,RAW_발주!$A:$A,C1805)-SUMIFS($W:$W,$A:$A,A1805,$C:$C,C1805)),0)</f>
        <v>0</v>
      </c>
    </row>
    <row r="1806" customFormat="false" ht="15" hidden="false" customHeight="true" outlineLevel="0" collapsed="false">
      <c r="A1806" s="45" t="s">
        <v>1660</v>
      </c>
      <c r="B1806" s="42" t="str">
        <f aca="false">IF(A1806="100","HK",IF(A1806="200","CN",IF(A1806="300","TW","홀세일")))</f>
        <v>CN</v>
      </c>
      <c r="C1806" s="45" t="s">
        <v>708</v>
      </c>
      <c r="D1806" s="46" t="n">
        <v>577</v>
      </c>
      <c r="E1806" s="46" t="n">
        <v>489000</v>
      </c>
      <c r="F1806" s="46" t="n">
        <v>143252</v>
      </c>
      <c r="G1806" s="42" t="n">
        <v>3.09</v>
      </c>
      <c r="H1806" s="42" t="n">
        <v>122.4</v>
      </c>
      <c r="I1806" s="42" t="n">
        <v>111.4</v>
      </c>
      <c r="J1806" s="46" t="n">
        <f aca="false">IF(N(E1806)&gt;0,E1806,IF(N(F1806)&gt;0,F1806*요약!$F$27,0))</f>
        <v>489000</v>
      </c>
      <c r="K1806" s="46" t="n">
        <f aca="false">IF(N(F1806)&gt;0,F1806,IF(N(E1806)&gt;0,E1806/요약!$F$27,0))</f>
        <v>143252</v>
      </c>
      <c r="L1806" s="46" t="n">
        <f aca="false">IF(B1806="CN",IF(N(I1806)&gt;0,I1806*요약!$G$27,K1806*(1+요약!$E$27)),IF(N(H1806)&gt;0,H1806*요약!$G$27,J1806*요약!$D$27))</f>
        <v>147048</v>
      </c>
      <c r="M1806" s="46" t="n">
        <f aca="false">D1806*J1806</f>
        <v>282153000</v>
      </c>
      <c r="N1806" s="46" t="n">
        <f aca="false">D1806*K1806</f>
        <v>82656404</v>
      </c>
      <c r="O1806" s="46" t="n">
        <f aca="false">D1806*L1806</f>
        <v>84846696</v>
      </c>
      <c r="P1806" s="42" t="str">
        <f aca="false">TRIM(IF(N(E1806)&lt;=0,"택가보정 ","")&amp;IF(N(F1806)&lt;=0,"원가보정 ","")&amp;IF(AND(B1806&lt;&gt;"CN",N(H1806)&lt;=0),"공급가보정 ","")&amp;IF(AND(B1806="CN",N(I1806)&lt;=0),"중국공급가=원가+마진 ",""))</f>
        <v/>
      </c>
      <c r="Q1806" s="47" t="n">
        <f aca="false">IF(SUMIFS($W:$W,$A:$A,A1806,$C:$C,C1806)=0,0,SUMIFS(RAW_판매펀칭!$K:$K,RAW_판매펀칭!$P:$P,A1806,RAW_판매펀칭!$I:$I,C1806)*W1806/SUMIFS($W:$W,$A:$A,A1806,$C:$C,C1806))</f>
        <v>565</v>
      </c>
      <c r="R1806" s="47" t="n">
        <f aca="false">IF(OR(A1806="500",A1806="800",A1806="810"),0,MAX(W1806-Q1806,0))</f>
        <v>12</v>
      </c>
      <c r="S1806" s="47" t="n">
        <f aca="false">R1806*L1806</f>
        <v>1764576</v>
      </c>
      <c r="T1806" s="47" t="n">
        <f aca="false">R1806*J1806</f>
        <v>5868000</v>
      </c>
      <c r="U1806" s="47" t="n">
        <f aca="false">R1806*K1806</f>
        <v>1719024</v>
      </c>
      <c r="V1806" s="0" t="str">
        <f aca="false">IF(COUNTIFS($A$2:A1806,A1806,$C$2:C1806,C1806,$D$2:D1806,D1806)&gt;1,"중복","")</f>
        <v/>
      </c>
      <c r="W1806" s="0" t="n">
        <f aca="false">IF(V1806="중복",0,N(D1806))</f>
        <v>577</v>
      </c>
      <c r="X1806" s="0" t="n">
        <f aca="false">IF(COUNTIFS($A$2:A1806,A1806,$C$2:C1806,C1806)=1,ABS(SUMIFS(RAW_발주!$D:$D,RAW_발주!$C:$C,A1806,RAW_발주!$A:$A,C1806)-SUMIFS($W:$W,$A:$A,A1806,$C:$C,C1806)),0)</f>
        <v>0</v>
      </c>
    </row>
    <row r="1807" customFormat="false" ht="15" hidden="false" customHeight="true" outlineLevel="0" collapsed="false">
      <c r="A1807" s="45" t="s">
        <v>1660</v>
      </c>
      <c r="B1807" s="42" t="str">
        <f aca="false">IF(A1807="100","HK",IF(A1807="200","CN",IF(A1807="300","TW","홀세일")))</f>
        <v>CN</v>
      </c>
      <c r="C1807" s="45" t="s">
        <v>708</v>
      </c>
      <c r="D1807" s="46" t="n">
        <v>577</v>
      </c>
      <c r="E1807" s="46" t="n">
        <v>489000</v>
      </c>
      <c r="F1807" s="46" t="n">
        <v>143252</v>
      </c>
      <c r="G1807" s="42" t="n">
        <v>3.09</v>
      </c>
      <c r="H1807" s="42" t="n">
        <v>122.4</v>
      </c>
      <c r="I1807" s="42" t="n">
        <v>111.4</v>
      </c>
      <c r="J1807" s="46" t="n">
        <f aca="false">IF(N(E1807)&gt;0,E1807,IF(N(F1807)&gt;0,F1807*요약!$F$27,0))</f>
        <v>489000</v>
      </c>
      <c r="K1807" s="46" t="n">
        <f aca="false">IF(N(F1807)&gt;0,F1807,IF(N(E1807)&gt;0,E1807/요약!$F$27,0))</f>
        <v>143252</v>
      </c>
      <c r="L1807" s="46" t="n">
        <f aca="false">IF(B1807="CN",IF(N(I1807)&gt;0,I1807*요약!$G$27,K1807*(1+요약!$E$27)),IF(N(H1807)&gt;0,H1807*요약!$G$27,J1807*요약!$D$27))</f>
        <v>147048</v>
      </c>
      <c r="M1807" s="46" t="n">
        <f aca="false">D1807*J1807</f>
        <v>282153000</v>
      </c>
      <c r="N1807" s="46" t="n">
        <f aca="false">D1807*K1807</f>
        <v>82656404</v>
      </c>
      <c r="O1807" s="46" t="n">
        <f aca="false">D1807*L1807</f>
        <v>84846696</v>
      </c>
      <c r="P1807" s="42" t="str">
        <f aca="false">TRIM(IF(N(E1807)&lt;=0,"택가보정 ","")&amp;IF(N(F1807)&lt;=0,"원가보정 ","")&amp;IF(AND(B1807&lt;&gt;"CN",N(H1807)&lt;=0),"공급가보정 ","")&amp;IF(AND(B1807="CN",N(I1807)&lt;=0),"중국공급가=원가+마진 ",""))</f>
        <v/>
      </c>
      <c r="Q1807" s="47" t="n">
        <f aca="false">IF(SUMIFS($W:$W,$A:$A,A1807,$C:$C,C1807)=0,0,SUMIFS(RAW_판매펀칭!$K:$K,RAW_판매펀칭!$P:$P,A1807,RAW_판매펀칭!$I:$I,C1807)*W1807/SUMIFS($W:$W,$A:$A,A1807,$C:$C,C1807))</f>
        <v>0</v>
      </c>
      <c r="R1807" s="47" t="n">
        <f aca="false">IF(OR(A1807="500",A1807="800",A1807="810"),0,MAX(W1807-Q1807,0))</f>
        <v>0</v>
      </c>
      <c r="S1807" s="47" t="n">
        <f aca="false">R1807*L1807</f>
        <v>0</v>
      </c>
      <c r="T1807" s="47" t="n">
        <f aca="false">R1807*J1807</f>
        <v>0</v>
      </c>
      <c r="U1807" s="47" t="n">
        <f aca="false">R1807*K1807</f>
        <v>0</v>
      </c>
      <c r="V1807" s="0" t="str">
        <f aca="false">IF(COUNTIFS($A$2:A1807,A1807,$C$2:C1807,C1807,$D$2:D1807,D1807)&gt;1,"중복","")</f>
        <v>중복</v>
      </c>
      <c r="W1807" s="0" t="n">
        <f aca="false">IF(V1807="중복",0,N(D1807))</f>
        <v>0</v>
      </c>
      <c r="X1807" s="0" t="n">
        <f aca="false">IF(COUNTIFS($A$2:A1807,A1807,$C$2:C1807,C1807)=1,ABS(SUMIFS(RAW_발주!$D:$D,RAW_발주!$C:$C,A1807,RAW_발주!$A:$A,C1807)-SUMIFS($W:$W,$A:$A,A1807,$C:$C,C1807)),0)</f>
        <v>0</v>
      </c>
    </row>
    <row r="1808" customFormat="false" ht="15" hidden="false" customHeight="true" outlineLevel="0" collapsed="false">
      <c r="A1808" s="45" t="s">
        <v>1660</v>
      </c>
      <c r="B1808" s="42" t="str">
        <f aca="false">IF(A1808="100","HK",IF(A1808="200","CN",IF(A1808="300","TW","홀세일")))</f>
        <v>CN</v>
      </c>
      <c r="C1808" s="45" t="s">
        <v>708</v>
      </c>
      <c r="D1808" s="46" t="n">
        <v>577</v>
      </c>
      <c r="E1808" s="46" t="n">
        <v>489000</v>
      </c>
      <c r="F1808" s="46" t="n">
        <v>143252</v>
      </c>
      <c r="G1808" s="42" t="n">
        <v>3.09</v>
      </c>
      <c r="H1808" s="42" t="n">
        <v>122.4</v>
      </c>
      <c r="I1808" s="42" t="n">
        <v>111.4</v>
      </c>
      <c r="J1808" s="46" t="n">
        <f aca="false">IF(N(E1808)&gt;0,E1808,IF(N(F1808)&gt;0,F1808*요약!$F$27,0))</f>
        <v>489000</v>
      </c>
      <c r="K1808" s="46" t="n">
        <f aca="false">IF(N(F1808)&gt;0,F1808,IF(N(E1808)&gt;0,E1808/요약!$F$27,0))</f>
        <v>143252</v>
      </c>
      <c r="L1808" s="46" t="n">
        <f aca="false">IF(B1808="CN",IF(N(I1808)&gt;0,I1808*요약!$G$27,K1808*(1+요약!$E$27)),IF(N(H1808)&gt;0,H1808*요약!$G$27,J1808*요약!$D$27))</f>
        <v>147048</v>
      </c>
      <c r="M1808" s="46" t="n">
        <f aca="false">D1808*J1808</f>
        <v>282153000</v>
      </c>
      <c r="N1808" s="46" t="n">
        <f aca="false">D1808*K1808</f>
        <v>82656404</v>
      </c>
      <c r="O1808" s="46" t="n">
        <f aca="false">D1808*L1808</f>
        <v>84846696</v>
      </c>
      <c r="P1808" s="42" t="str">
        <f aca="false">TRIM(IF(N(E1808)&lt;=0,"택가보정 ","")&amp;IF(N(F1808)&lt;=0,"원가보정 ","")&amp;IF(AND(B1808&lt;&gt;"CN",N(H1808)&lt;=0),"공급가보정 ","")&amp;IF(AND(B1808="CN",N(I1808)&lt;=0),"중국공급가=원가+마진 ",""))</f>
        <v/>
      </c>
      <c r="Q1808" s="47" t="n">
        <f aca="false">IF(SUMIFS($W:$W,$A:$A,A1808,$C:$C,C1808)=0,0,SUMIFS(RAW_판매펀칭!$K:$K,RAW_판매펀칭!$P:$P,A1808,RAW_판매펀칭!$I:$I,C1808)*W1808/SUMIFS($W:$W,$A:$A,A1808,$C:$C,C1808))</f>
        <v>0</v>
      </c>
      <c r="R1808" s="47" t="n">
        <f aca="false">IF(OR(A1808="500",A1808="800",A1808="810"),0,MAX(W1808-Q1808,0))</f>
        <v>0</v>
      </c>
      <c r="S1808" s="47" t="n">
        <f aca="false">R1808*L1808</f>
        <v>0</v>
      </c>
      <c r="T1808" s="47" t="n">
        <f aca="false">R1808*J1808</f>
        <v>0</v>
      </c>
      <c r="U1808" s="47" t="n">
        <f aca="false">R1808*K1808</f>
        <v>0</v>
      </c>
      <c r="V1808" s="0" t="str">
        <f aca="false">IF(COUNTIFS($A$2:A1808,A1808,$C$2:C1808,C1808,$D$2:D1808,D1808)&gt;1,"중복","")</f>
        <v>중복</v>
      </c>
      <c r="W1808" s="0" t="n">
        <f aca="false">IF(V1808="중복",0,N(D1808))</f>
        <v>0</v>
      </c>
      <c r="X1808" s="0" t="n">
        <f aca="false">IF(COUNTIFS($A$2:A1808,A1808,$C$2:C1808,C1808)=1,ABS(SUMIFS(RAW_발주!$D:$D,RAW_발주!$C:$C,A1808,RAW_발주!$A:$A,C1808)-SUMIFS($W:$W,$A:$A,A1808,$C:$C,C1808)),0)</f>
        <v>0</v>
      </c>
    </row>
    <row r="1809" customFormat="false" ht="15" hidden="false" customHeight="true" outlineLevel="0" collapsed="false">
      <c r="A1809" s="45" t="s">
        <v>1661</v>
      </c>
      <c r="B1809" s="42" t="str">
        <f aca="false">IF(A1809="100","HK",IF(A1809="200","CN",IF(A1809="300","TW","홀세일")))</f>
        <v>TW</v>
      </c>
      <c r="C1809" s="45" t="s">
        <v>708</v>
      </c>
      <c r="D1809" s="46" t="n">
        <v>270</v>
      </c>
      <c r="E1809" s="46" t="n">
        <v>489000</v>
      </c>
      <c r="F1809" s="46" t="n">
        <v>143252</v>
      </c>
      <c r="G1809" s="42" t="n">
        <v>3.09</v>
      </c>
      <c r="H1809" s="42" t="n">
        <v>122.4</v>
      </c>
      <c r="I1809" s="42" t="n">
        <v>111.4</v>
      </c>
      <c r="J1809" s="46" t="n">
        <f aca="false">IF(N(E1809)&gt;0,E1809,IF(N(F1809)&gt;0,F1809*요약!$F$27,0))</f>
        <v>489000</v>
      </c>
      <c r="K1809" s="46" t="n">
        <f aca="false">IF(N(F1809)&gt;0,F1809,IF(N(E1809)&gt;0,E1809/요약!$F$27,0))</f>
        <v>143252</v>
      </c>
      <c r="L1809" s="46" t="n">
        <f aca="false">IF(B1809="CN",IF(N(I1809)&gt;0,I1809*요약!$G$27,K1809*(1+요약!$E$27)),IF(N(H1809)&gt;0,H1809*요약!$G$27,J1809*요약!$D$27))</f>
        <v>161568</v>
      </c>
      <c r="M1809" s="46" t="n">
        <f aca="false">D1809*J1809</f>
        <v>132030000</v>
      </c>
      <c r="N1809" s="46" t="n">
        <f aca="false">D1809*K1809</f>
        <v>38678040</v>
      </c>
      <c r="O1809" s="46" t="n">
        <f aca="false">D1809*L1809</f>
        <v>43623360</v>
      </c>
      <c r="P1809" s="42" t="str">
        <f aca="false">TRIM(IF(N(E1809)&lt;=0,"택가보정 ","")&amp;IF(N(F1809)&lt;=0,"원가보정 ","")&amp;IF(AND(B1809&lt;&gt;"CN",N(H1809)&lt;=0),"공급가보정 ","")&amp;IF(AND(B1809="CN",N(I1809)&lt;=0),"중국공급가=원가+마진 ",""))</f>
        <v/>
      </c>
      <c r="Q1809" s="47" t="n">
        <f aca="false">IF(SUMIFS($W:$W,$A:$A,A1809,$C:$C,C1809)=0,0,SUMIFS(RAW_판매펀칭!$K:$K,RAW_판매펀칭!$P:$P,A1809,RAW_판매펀칭!$I:$I,C1809)*W1809/SUMIFS($W:$W,$A:$A,A1809,$C:$C,C1809))</f>
        <v>270</v>
      </c>
      <c r="R1809" s="47" t="n">
        <f aca="false">IF(OR(A1809="500",A1809="800",A1809="810"),0,MAX(W1809-Q1809,0))</f>
        <v>0</v>
      </c>
      <c r="S1809" s="47" t="n">
        <f aca="false">R1809*L1809</f>
        <v>0</v>
      </c>
      <c r="T1809" s="47" t="n">
        <f aca="false">R1809*J1809</f>
        <v>0</v>
      </c>
      <c r="U1809" s="47" t="n">
        <f aca="false">R1809*K1809</f>
        <v>0</v>
      </c>
      <c r="V1809" s="0" t="str">
        <f aca="false">IF(COUNTIFS($A$2:A1809,A1809,$C$2:C1809,C1809,$D$2:D1809,D1809)&gt;1,"중복","")</f>
        <v/>
      </c>
      <c r="W1809" s="0" t="n">
        <f aca="false">IF(V1809="중복",0,N(D1809))</f>
        <v>270</v>
      </c>
      <c r="X1809" s="0" t="n">
        <f aca="false">IF(COUNTIFS($A$2:A1809,A1809,$C$2:C1809,C1809)=1,ABS(SUMIFS(RAW_발주!$D:$D,RAW_발주!$C:$C,A1809,RAW_발주!$A:$A,C1809)-SUMIFS($W:$W,$A:$A,A1809,$C:$C,C1809)),0)</f>
        <v>0</v>
      </c>
    </row>
    <row r="1810" customFormat="false" ht="15" hidden="false" customHeight="true" outlineLevel="0" collapsed="false">
      <c r="A1810" s="45" t="s">
        <v>1663</v>
      </c>
      <c r="B1810" s="42" t="str">
        <f aca="false">IF(A1810="100","HK",IF(A1810="200","CN",IF(A1810="300","TW","홀세일")))</f>
        <v>홀세일</v>
      </c>
      <c r="C1810" s="45" t="s">
        <v>708</v>
      </c>
      <c r="D1810" s="46" t="n">
        <v>20</v>
      </c>
      <c r="E1810" s="46" t="n">
        <v>489000</v>
      </c>
      <c r="F1810" s="46" t="n">
        <v>143252</v>
      </c>
      <c r="G1810" s="42" t="n">
        <v>3.09</v>
      </c>
      <c r="H1810" s="42" t="n">
        <v>122.4</v>
      </c>
      <c r="I1810" s="42" t="n">
        <v>111.4</v>
      </c>
      <c r="J1810" s="46" t="n">
        <f aca="false">IF(N(E1810)&gt;0,E1810,IF(N(F1810)&gt;0,F1810*요약!$F$27,0))</f>
        <v>489000</v>
      </c>
      <c r="K1810" s="46" t="n">
        <f aca="false">IF(N(F1810)&gt;0,F1810,IF(N(E1810)&gt;0,E1810/요약!$F$27,0))</f>
        <v>143252</v>
      </c>
      <c r="L1810" s="46" t="n">
        <f aca="false">IF(B1810="CN",IF(N(I1810)&gt;0,I1810*요약!$G$27,K1810*(1+요약!$E$27)),IF(N(H1810)&gt;0,H1810*요약!$G$27,J1810*요약!$D$27))</f>
        <v>161568</v>
      </c>
      <c r="M1810" s="46" t="n">
        <f aca="false">D1810*J1810</f>
        <v>9780000</v>
      </c>
      <c r="N1810" s="46" t="n">
        <f aca="false">D1810*K1810</f>
        <v>2865040</v>
      </c>
      <c r="O1810" s="46" t="n">
        <f aca="false">D1810*L1810</f>
        <v>3231360</v>
      </c>
      <c r="P1810" s="42" t="str">
        <f aca="false">TRIM(IF(N(E1810)&lt;=0,"택가보정 ","")&amp;IF(N(F1810)&lt;=0,"원가보정 ","")&amp;IF(AND(B1810&lt;&gt;"CN",N(H1810)&lt;=0),"공급가보정 ","")&amp;IF(AND(B1810="CN",N(I1810)&lt;=0),"중국공급가=원가+마진 ",""))</f>
        <v/>
      </c>
      <c r="Q1810" s="47" t="n">
        <f aca="false">IF(SUMIFS($W:$W,$A:$A,A1810,$C:$C,C1810)=0,0,SUMIFS(RAW_판매펀칭!$K:$K,RAW_판매펀칭!$P:$P,A1810,RAW_판매펀칭!$I:$I,C1810)*W1810/SUMIFS($W:$W,$A:$A,A1810,$C:$C,C1810))</f>
        <v>20</v>
      </c>
      <c r="R1810" s="47" t="n">
        <f aca="false">IF(OR(A1810="500",A1810="800",A1810="810"),0,MAX(W1810-Q1810,0))</f>
        <v>0</v>
      </c>
      <c r="S1810" s="47" t="n">
        <f aca="false">R1810*L1810</f>
        <v>0</v>
      </c>
      <c r="T1810" s="47" t="n">
        <f aca="false">R1810*J1810</f>
        <v>0</v>
      </c>
      <c r="U1810" s="47" t="n">
        <f aca="false">R1810*K1810</f>
        <v>0</v>
      </c>
      <c r="V1810" s="0" t="str">
        <f aca="false">IF(COUNTIFS($A$2:A1810,A1810,$C$2:C1810,C1810,$D$2:D1810,D1810)&gt;1,"중복","")</f>
        <v/>
      </c>
      <c r="W1810" s="0" t="n">
        <f aca="false">IF(V1810="중복",0,N(D1810))</f>
        <v>20</v>
      </c>
      <c r="X1810" s="0" t="n">
        <f aca="false">IF(COUNTIFS($A$2:A1810,A1810,$C$2:C1810,C1810)=1,ABS(SUMIFS(RAW_발주!$D:$D,RAW_발주!$C:$C,A1810,RAW_발주!$A:$A,C1810)-SUMIFS($W:$W,$A:$A,A1810,$C:$C,C1810)),0)</f>
        <v>0</v>
      </c>
    </row>
    <row r="1811" customFormat="false" ht="15" hidden="false" customHeight="true" outlineLevel="0" collapsed="false">
      <c r="A1811" s="45" t="s">
        <v>1660</v>
      </c>
      <c r="B1811" s="42" t="str">
        <f aca="false">IF(A1811="100","HK",IF(A1811="200","CN",IF(A1811="300","TW","홀세일")))</f>
        <v>CN</v>
      </c>
      <c r="C1811" s="45" t="s">
        <v>1168</v>
      </c>
      <c r="D1811" s="46" t="n">
        <v>171</v>
      </c>
      <c r="E1811" s="46" t="n">
        <v>219000</v>
      </c>
      <c r="F1811" s="46" t="n">
        <v>63800</v>
      </c>
      <c r="G1811" s="42" t="n">
        <v>3.06</v>
      </c>
      <c r="H1811" s="42" t="n">
        <v>54.9</v>
      </c>
      <c r="I1811" s="42" t="n">
        <v>50.8</v>
      </c>
      <c r="J1811" s="46" t="n">
        <f aca="false">IF(N(E1811)&gt;0,E1811,IF(N(F1811)&gt;0,F1811*요약!$F$27,0))</f>
        <v>219000</v>
      </c>
      <c r="K1811" s="46" t="n">
        <f aca="false">IF(N(F1811)&gt;0,F1811,IF(N(E1811)&gt;0,E1811/요약!$F$27,0))</f>
        <v>63800</v>
      </c>
      <c r="L1811" s="46" t="n">
        <f aca="false">IF(B1811="CN",IF(N(I1811)&gt;0,I1811*요약!$G$27,K1811*(1+요약!$E$27)),IF(N(H1811)&gt;0,H1811*요약!$G$27,J1811*요약!$D$27))</f>
        <v>67056</v>
      </c>
      <c r="M1811" s="46" t="n">
        <f aca="false">D1811*J1811</f>
        <v>37449000</v>
      </c>
      <c r="N1811" s="46" t="n">
        <f aca="false">D1811*K1811</f>
        <v>10909800</v>
      </c>
      <c r="O1811" s="46" t="n">
        <f aca="false">D1811*L1811</f>
        <v>11466576</v>
      </c>
      <c r="P1811" s="42" t="str">
        <f aca="false">TRIM(IF(N(E1811)&lt;=0,"택가보정 ","")&amp;IF(N(F1811)&lt;=0,"원가보정 ","")&amp;IF(AND(B1811&lt;&gt;"CN",N(H1811)&lt;=0),"공급가보정 ","")&amp;IF(AND(B1811="CN",N(I1811)&lt;=0),"중국공급가=원가+마진 ",""))</f>
        <v/>
      </c>
      <c r="Q1811" s="47" t="n">
        <f aca="false">IF(SUMIFS($W:$W,$A:$A,A1811,$C:$C,C1811)=0,0,SUMIFS(RAW_판매펀칭!$K:$K,RAW_판매펀칭!$P:$P,A1811,RAW_판매펀칭!$I:$I,C1811)*W1811/SUMIFS($W:$W,$A:$A,A1811,$C:$C,C1811))</f>
        <v>164</v>
      </c>
      <c r="R1811" s="47" t="n">
        <f aca="false">IF(OR(A1811="500",A1811="800",A1811="810"),0,MAX(W1811-Q1811,0))</f>
        <v>7</v>
      </c>
      <c r="S1811" s="47" t="n">
        <f aca="false">R1811*L1811</f>
        <v>469392</v>
      </c>
      <c r="T1811" s="47" t="n">
        <f aca="false">R1811*J1811</f>
        <v>1533000</v>
      </c>
      <c r="U1811" s="47" t="n">
        <f aca="false">R1811*K1811</f>
        <v>446600</v>
      </c>
      <c r="V1811" s="0" t="str">
        <f aca="false">IF(COUNTIFS($A$2:A1811,A1811,$C$2:C1811,C1811,$D$2:D1811,D1811)&gt;1,"중복","")</f>
        <v/>
      </c>
      <c r="W1811" s="0" t="n">
        <f aca="false">IF(V1811="중복",0,N(D1811))</f>
        <v>171</v>
      </c>
      <c r="X1811" s="0" t="n">
        <f aca="false">IF(COUNTIFS($A$2:A1811,A1811,$C$2:C1811,C1811)=1,ABS(SUMIFS(RAW_발주!$D:$D,RAW_발주!$C:$C,A1811,RAW_발주!$A:$A,C1811)-SUMIFS($W:$W,$A:$A,A1811,$C:$C,C1811)),0)</f>
        <v>0</v>
      </c>
    </row>
    <row r="1812" customFormat="false" ht="15" hidden="false" customHeight="true" outlineLevel="0" collapsed="false">
      <c r="A1812" s="45" t="s">
        <v>1663</v>
      </c>
      <c r="B1812" s="42" t="str">
        <f aca="false">IF(A1812="100","HK",IF(A1812="200","CN",IF(A1812="300","TW","홀세일")))</f>
        <v>홀세일</v>
      </c>
      <c r="C1812" s="45" t="s">
        <v>1168</v>
      </c>
      <c r="D1812" s="46" t="n">
        <v>20</v>
      </c>
      <c r="E1812" s="46" t="n">
        <v>219000</v>
      </c>
      <c r="F1812" s="46" t="n">
        <v>63800</v>
      </c>
      <c r="G1812" s="42" t="n">
        <v>3.06</v>
      </c>
      <c r="H1812" s="42" t="n">
        <v>54.9</v>
      </c>
      <c r="I1812" s="42" t="n">
        <v>50.8</v>
      </c>
      <c r="J1812" s="46" t="n">
        <f aca="false">IF(N(E1812)&gt;0,E1812,IF(N(F1812)&gt;0,F1812*요약!$F$27,0))</f>
        <v>219000</v>
      </c>
      <c r="K1812" s="46" t="n">
        <f aca="false">IF(N(F1812)&gt;0,F1812,IF(N(E1812)&gt;0,E1812/요약!$F$27,0))</f>
        <v>63800</v>
      </c>
      <c r="L1812" s="46" t="n">
        <f aca="false">IF(B1812="CN",IF(N(I1812)&gt;0,I1812*요약!$G$27,K1812*(1+요약!$E$27)),IF(N(H1812)&gt;0,H1812*요약!$G$27,J1812*요약!$D$27))</f>
        <v>72468</v>
      </c>
      <c r="M1812" s="46" t="n">
        <f aca="false">D1812*J1812</f>
        <v>4380000</v>
      </c>
      <c r="N1812" s="46" t="n">
        <f aca="false">D1812*K1812</f>
        <v>1276000</v>
      </c>
      <c r="O1812" s="46" t="n">
        <f aca="false">D1812*L1812</f>
        <v>1449360</v>
      </c>
      <c r="P1812" s="42" t="str">
        <f aca="false">TRIM(IF(N(E1812)&lt;=0,"택가보정 ","")&amp;IF(N(F1812)&lt;=0,"원가보정 ","")&amp;IF(AND(B1812&lt;&gt;"CN",N(H1812)&lt;=0),"공급가보정 ","")&amp;IF(AND(B1812="CN",N(I1812)&lt;=0),"중국공급가=원가+마진 ",""))</f>
        <v/>
      </c>
      <c r="Q1812" s="47" t="n">
        <f aca="false">IF(SUMIFS($W:$W,$A:$A,A1812,$C:$C,C1812)=0,0,SUMIFS(RAW_판매펀칭!$K:$K,RAW_판매펀칭!$P:$P,A1812,RAW_판매펀칭!$I:$I,C1812)*W1812/SUMIFS($W:$W,$A:$A,A1812,$C:$C,C1812))</f>
        <v>20</v>
      </c>
      <c r="R1812" s="47" t="n">
        <f aca="false">IF(OR(A1812="500",A1812="800",A1812="810"),0,MAX(W1812-Q1812,0))</f>
        <v>0</v>
      </c>
      <c r="S1812" s="47" t="n">
        <f aca="false">R1812*L1812</f>
        <v>0</v>
      </c>
      <c r="T1812" s="47" t="n">
        <f aca="false">R1812*J1812</f>
        <v>0</v>
      </c>
      <c r="U1812" s="47" t="n">
        <f aca="false">R1812*K1812</f>
        <v>0</v>
      </c>
      <c r="V1812" s="0" t="str">
        <f aca="false">IF(COUNTIFS($A$2:A1812,A1812,$C$2:C1812,C1812,$D$2:D1812,D1812)&gt;1,"중복","")</f>
        <v/>
      </c>
      <c r="W1812" s="0" t="n">
        <f aca="false">IF(V1812="중복",0,N(D1812))</f>
        <v>20</v>
      </c>
      <c r="X1812" s="0" t="n">
        <f aca="false">IF(COUNTIFS($A$2:A1812,A1812,$C$2:C1812,C1812)=1,ABS(SUMIFS(RAW_발주!$D:$D,RAW_발주!$C:$C,A1812,RAW_발주!$A:$A,C1812)-SUMIFS($W:$W,$A:$A,A1812,$C:$C,C1812)),0)</f>
        <v>0</v>
      </c>
    </row>
    <row r="1813" customFormat="false" ht="15" hidden="false" customHeight="true" outlineLevel="0" collapsed="false">
      <c r="A1813" s="45" t="s">
        <v>1660</v>
      </c>
      <c r="B1813" s="42" t="str">
        <f aca="false">IF(A1813="100","HK",IF(A1813="200","CN",IF(A1813="300","TW","홀세일")))</f>
        <v>CN</v>
      </c>
      <c r="C1813" s="45" t="s">
        <v>1170</v>
      </c>
      <c r="D1813" s="46" t="n">
        <v>342</v>
      </c>
      <c r="E1813" s="46" t="n">
        <v>179000</v>
      </c>
      <c r="F1813" s="46" t="n">
        <v>50701</v>
      </c>
      <c r="G1813" s="42" t="n">
        <v>3.24</v>
      </c>
      <c r="H1813" s="42" t="n">
        <v>44.8</v>
      </c>
      <c r="I1813" s="42" t="n">
        <v>40.5</v>
      </c>
      <c r="J1813" s="46" t="n">
        <f aca="false">IF(N(E1813)&gt;0,E1813,IF(N(F1813)&gt;0,F1813*요약!$F$27,0))</f>
        <v>179000</v>
      </c>
      <c r="K1813" s="46" t="n">
        <f aca="false">IF(N(F1813)&gt;0,F1813,IF(N(E1813)&gt;0,E1813/요약!$F$27,0))</f>
        <v>50701</v>
      </c>
      <c r="L1813" s="46" t="n">
        <f aca="false">IF(B1813="CN",IF(N(I1813)&gt;0,I1813*요약!$G$27,K1813*(1+요약!$E$27)),IF(N(H1813)&gt;0,H1813*요약!$G$27,J1813*요약!$D$27))</f>
        <v>53460</v>
      </c>
      <c r="M1813" s="46" t="n">
        <f aca="false">D1813*J1813</f>
        <v>61218000</v>
      </c>
      <c r="N1813" s="46" t="n">
        <f aca="false">D1813*K1813</f>
        <v>17339742</v>
      </c>
      <c r="O1813" s="46" t="n">
        <f aca="false">D1813*L1813</f>
        <v>18283320</v>
      </c>
      <c r="P1813" s="42" t="str">
        <f aca="false">TRIM(IF(N(E1813)&lt;=0,"택가보정 ","")&amp;IF(N(F1813)&lt;=0,"원가보정 ","")&amp;IF(AND(B1813&lt;&gt;"CN",N(H1813)&lt;=0),"공급가보정 ","")&amp;IF(AND(B1813="CN",N(I1813)&lt;=0),"중국공급가=원가+마진 ",""))</f>
        <v/>
      </c>
      <c r="Q1813" s="47" t="n">
        <f aca="false">IF(SUMIFS($W:$W,$A:$A,A1813,$C:$C,C1813)=0,0,SUMIFS(RAW_판매펀칭!$K:$K,RAW_판매펀칭!$P:$P,A1813,RAW_판매펀칭!$I:$I,C1813)*W1813/SUMIFS($W:$W,$A:$A,A1813,$C:$C,C1813))</f>
        <v>325</v>
      </c>
      <c r="R1813" s="47" t="n">
        <f aca="false">IF(OR(A1813="500",A1813="800",A1813="810"),0,MAX(W1813-Q1813,0))</f>
        <v>17</v>
      </c>
      <c r="S1813" s="47" t="n">
        <f aca="false">R1813*L1813</f>
        <v>908820</v>
      </c>
      <c r="T1813" s="47" t="n">
        <f aca="false">R1813*J1813</f>
        <v>3043000</v>
      </c>
      <c r="U1813" s="47" t="n">
        <f aca="false">R1813*K1813</f>
        <v>861917</v>
      </c>
      <c r="V1813" s="0" t="str">
        <f aca="false">IF(COUNTIFS($A$2:A1813,A1813,$C$2:C1813,C1813,$D$2:D1813,D1813)&gt;1,"중복","")</f>
        <v/>
      </c>
      <c r="W1813" s="0" t="n">
        <f aca="false">IF(V1813="중복",0,N(D1813))</f>
        <v>342</v>
      </c>
      <c r="X1813" s="0" t="n">
        <f aca="false">IF(COUNTIFS($A$2:A1813,A1813,$C$2:C1813,C1813)=1,ABS(SUMIFS(RAW_발주!$D:$D,RAW_발주!$C:$C,A1813,RAW_발주!$A:$A,C1813)-SUMIFS($W:$W,$A:$A,A1813,$C:$C,C1813)),0)</f>
        <v>0</v>
      </c>
    </row>
    <row r="1814" customFormat="false" ht="15" hidden="false" customHeight="true" outlineLevel="0" collapsed="false">
      <c r="A1814" s="45" t="s">
        <v>1660</v>
      </c>
      <c r="B1814" s="42" t="str">
        <f aca="false">IF(A1814="100","HK",IF(A1814="200","CN",IF(A1814="300","TW","홀세일")))</f>
        <v>CN</v>
      </c>
      <c r="C1814" s="45" t="s">
        <v>1170</v>
      </c>
      <c r="D1814" s="46" t="n">
        <v>342</v>
      </c>
      <c r="E1814" s="46" t="n">
        <v>179000</v>
      </c>
      <c r="F1814" s="46" t="n">
        <v>50701</v>
      </c>
      <c r="G1814" s="42" t="n">
        <v>3.24</v>
      </c>
      <c r="H1814" s="42" t="n">
        <v>44.8</v>
      </c>
      <c r="I1814" s="42" t="n">
        <v>40.5</v>
      </c>
      <c r="J1814" s="46" t="n">
        <f aca="false">IF(N(E1814)&gt;0,E1814,IF(N(F1814)&gt;0,F1814*요약!$F$27,0))</f>
        <v>179000</v>
      </c>
      <c r="K1814" s="46" t="n">
        <f aca="false">IF(N(F1814)&gt;0,F1814,IF(N(E1814)&gt;0,E1814/요약!$F$27,0))</f>
        <v>50701</v>
      </c>
      <c r="L1814" s="46" t="n">
        <f aca="false">IF(B1814="CN",IF(N(I1814)&gt;0,I1814*요약!$G$27,K1814*(1+요약!$E$27)),IF(N(H1814)&gt;0,H1814*요약!$G$27,J1814*요약!$D$27))</f>
        <v>53460</v>
      </c>
      <c r="M1814" s="46" t="n">
        <f aca="false">D1814*J1814</f>
        <v>61218000</v>
      </c>
      <c r="N1814" s="46" t="n">
        <f aca="false">D1814*K1814</f>
        <v>17339742</v>
      </c>
      <c r="O1814" s="46" t="n">
        <f aca="false">D1814*L1814</f>
        <v>18283320</v>
      </c>
      <c r="P1814" s="42" t="str">
        <f aca="false">TRIM(IF(N(E1814)&lt;=0,"택가보정 ","")&amp;IF(N(F1814)&lt;=0,"원가보정 ","")&amp;IF(AND(B1814&lt;&gt;"CN",N(H1814)&lt;=0),"공급가보정 ","")&amp;IF(AND(B1814="CN",N(I1814)&lt;=0),"중국공급가=원가+마진 ",""))</f>
        <v/>
      </c>
      <c r="Q1814" s="47" t="n">
        <f aca="false">IF(SUMIFS($W:$W,$A:$A,A1814,$C:$C,C1814)=0,0,SUMIFS(RAW_판매펀칭!$K:$K,RAW_판매펀칭!$P:$P,A1814,RAW_판매펀칭!$I:$I,C1814)*W1814/SUMIFS($W:$W,$A:$A,A1814,$C:$C,C1814))</f>
        <v>0</v>
      </c>
      <c r="R1814" s="47" t="n">
        <f aca="false">IF(OR(A1814="500",A1814="800",A1814="810"),0,MAX(W1814-Q1814,0))</f>
        <v>0</v>
      </c>
      <c r="S1814" s="47" t="n">
        <f aca="false">R1814*L1814</f>
        <v>0</v>
      </c>
      <c r="T1814" s="47" t="n">
        <f aca="false">R1814*J1814</f>
        <v>0</v>
      </c>
      <c r="U1814" s="47" t="n">
        <f aca="false">R1814*K1814</f>
        <v>0</v>
      </c>
      <c r="V1814" s="0" t="str">
        <f aca="false">IF(COUNTIFS($A$2:A1814,A1814,$C$2:C1814,C1814,$D$2:D1814,D1814)&gt;1,"중복","")</f>
        <v>중복</v>
      </c>
      <c r="W1814" s="0" t="n">
        <f aca="false">IF(V1814="중복",0,N(D1814))</f>
        <v>0</v>
      </c>
      <c r="X1814" s="0" t="n">
        <f aca="false">IF(COUNTIFS($A$2:A1814,A1814,$C$2:C1814,C1814)=1,ABS(SUMIFS(RAW_발주!$D:$D,RAW_발주!$C:$C,A1814,RAW_발주!$A:$A,C1814)-SUMIFS($W:$W,$A:$A,A1814,$C:$C,C1814)),0)</f>
        <v>0</v>
      </c>
    </row>
    <row r="1815" customFormat="false" ht="15" hidden="false" customHeight="true" outlineLevel="0" collapsed="false">
      <c r="A1815" s="45" t="s">
        <v>1660</v>
      </c>
      <c r="B1815" s="42" t="str">
        <f aca="false">IF(A1815="100","HK",IF(A1815="200","CN",IF(A1815="300","TW","홀세일")))</f>
        <v>CN</v>
      </c>
      <c r="C1815" s="45" t="s">
        <v>1172</v>
      </c>
      <c r="D1815" s="46" t="n">
        <v>151</v>
      </c>
      <c r="E1815" s="46" t="n">
        <v>149000</v>
      </c>
      <c r="F1815" s="46" t="n">
        <v>44700</v>
      </c>
      <c r="G1815" s="42" t="n">
        <v>3.05</v>
      </c>
      <c r="H1815" s="42" t="n">
        <v>35.1</v>
      </c>
      <c r="I1815" s="42" t="n">
        <v>35.6</v>
      </c>
      <c r="J1815" s="46" t="n">
        <f aca="false">IF(N(E1815)&gt;0,E1815,IF(N(F1815)&gt;0,F1815*요약!$F$27,0))</f>
        <v>149000</v>
      </c>
      <c r="K1815" s="46" t="n">
        <f aca="false">IF(N(F1815)&gt;0,F1815,IF(N(E1815)&gt;0,E1815/요약!$F$27,0))</f>
        <v>44700</v>
      </c>
      <c r="L1815" s="46" t="n">
        <f aca="false">IF(B1815="CN",IF(N(I1815)&gt;0,I1815*요약!$G$27,K1815*(1+요약!$E$27)),IF(N(H1815)&gt;0,H1815*요약!$G$27,J1815*요약!$D$27))</f>
        <v>46992</v>
      </c>
      <c r="M1815" s="46" t="n">
        <f aca="false">D1815*J1815</f>
        <v>22499000</v>
      </c>
      <c r="N1815" s="46" t="n">
        <f aca="false">D1815*K1815</f>
        <v>6749700</v>
      </c>
      <c r="O1815" s="46" t="n">
        <f aca="false">D1815*L1815</f>
        <v>7095792</v>
      </c>
      <c r="P1815" s="42" t="str">
        <f aca="false">TRIM(IF(N(E1815)&lt;=0,"택가보정 ","")&amp;IF(N(F1815)&lt;=0,"원가보정 ","")&amp;IF(AND(B1815&lt;&gt;"CN",N(H1815)&lt;=0),"공급가보정 ","")&amp;IF(AND(B1815="CN",N(I1815)&lt;=0),"중국공급가=원가+마진 ",""))</f>
        <v/>
      </c>
      <c r="Q1815" s="47" t="n">
        <f aca="false">IF(SUMIFS($W:$W,$A:$A,A1815,$C:$C,C1815)=0,0,SUMIFS(RAW_판매펀칭!$K:$K,RAW_판매펀칭!$P:$P,A1815,RAW_판매펀칭!$I:$I,C1815)*W1815/SUMIFS($W:$W,$A:$A,A1815,$C:$C,C1815))</f>
        <v>147</v>
      </c>
      <c r="R1815" s="47" t="n">
        <f aca="false">IF(OR(A1815="500",A1815="800",A1815="810"),0,MAX(W1815-Q1815,0))</f>
        <v>4</v>
      </c>
      <c r="S1815" s="47" t="n">
        <f aca="false">R1815*L1815</f>
        <v>187968</v>
      </c>
      <c r="T1815" s="47" t="n">
        <f aca="false">R1815*J1815</f>
        <v>596000</v>
      </c>
      <c r="U1815" s="47" t="n">
        <f aca="false">R1815*K1815</f>
        <v>178800</v>
      </c>
      <c r="V1815" s="0" t="str">
        <f aca="false">IF(COUNTIFS($A$2:A1815,A1815,$C$2:C1815,C1815,$D$2:D1815,D1815)&gt;1,"중복","")</f>
        <v/>
      </c>
      <c r="W1815" s="0" t="n">
        <f aca="false">IF(V1815="중복",0,N(D1815))</f>
        <v>151</v>
      </c>
      <c r="X1815" s="0" t="n">
        <f aca="false">IF(COUNTIFS($A$2:A1815,A1815,$C$2:C1815,C1815)=1,ABS(SUMIFS(RAW_발주!$D:$D,RAW_발주!$C:$C,A1815,RAW_발주!$A:$A,C1815)-SUMIFS($W:$W,$A:$A,A1815,$C:$C,C1815)),0)</f>
        <v>0</v>
      </c>
    </row>
    <row r="1816" customFormat="false" ht="15" hidden="false" customHeight="true" outlineLevel="0" collapsed="false">
      <c r="A1816" s="45" t="s">
        <v>1663</v>
      </c>
      <c r="B1816" s="42" t="str">
        <f aca="false">IF(A1816="100","HK",IF(A1816="200","CN",IF(A1816="300","TW","홀세일")))</f>
        <v>홀세일</v>
      </c>
      <c r="C1816" s="45" t="s">
        <v>1172</v>
      </c>
      <c r="D1816" s="46" t="n">
        <v>35</v>
      </c>
      <c r="E1816" s="46" t="n">
        <v>149000</v>
      </c>
      <c r="F1816" s="46" t="n">
        <v>44700</v>
      </c>
      <c r="G1816" s="42" t="n">
        <v>3.05</v>
      </c>
      <c r="H1816" s="42" t="n">
        <v>35.1</v>
      </c>
      <c r="I1816" s="42" t="n">
        <v>35.6</v>
      </c>
      <c r="J1816" s="46" t="n">
        <f aca="false">IF(N(E1816)&gt;0,E1816,IF(N(F1816)&gt;0,F1816*요약!$F$27,0))</f>
        <v>149000</v>
      </c>
      <c r="K1816" s="46" t="n">
        <f aca="false">IF(N(F1816)&gt;0,F1816,IF(N(E1816)&gt;0,E1816/요약!$F$27,0))</f>
        <v>44700</v>
      </c>
      <c r="L1816" s="46" t="n">
        <f aca="false">IF(B1816="CN",IF(N(I1816)&gt;0,I1816*요약!$G$27,K1816*(1+요약!$E$27)),IF(N(H1816)&gt;0,H1816*요약!$G$27,J1816*요약!$D$27))</f>
        <v>46332</v>
      </c>
      <c r="M1816" s="46" t="n">
        <f aca="false">D1816*J1816</f>
        <v>5215000</v>
      </c>
      <c r="N1816" s="46" t="n">
        <f aca="false">D1816*K1816</f>
        <v>1564500</v>
      </c>
      <c r="O1816" s="46" t="n">
        <f aca="false">D1816*L1816</f>
        <v>1621620</v>
      </c>
      <c r="P1816" s="42" t="str">
        <f aca="false">TRIM(IF(N(E1816)&lt;=0,"택가보정 ","")&amp;IF(N(F1816)&lt;=0,"원가보정 ","")&amp;IF(AND(B1816&lt;&gt;"CN",N(H1816)&lt;=0),"공급가보정 ","")&amp;IF(AND(B1816="CN",N(I1816)&lt;=0),"중국공급가=원가+마진 ",""))</f>
        <v/>
      </c>
      <c r="Q1816" s="47" t="n">
        <f aca="false">IF(SUMIFS($W:$W,$A:$A,A1816,$C:$C,C1816)=0,0,SUMIFS(RAW_판매펀칭!$K:$K,RAW_판매펀칭!$P:$P,A1816,RAW_판매펀칭!$I:$I,C1816)*W1816/SUMIFS($W:$W,$A:$A,A1816,$C:$C,C1816))</f>
        <v>35</v>
      </c>
      <c r="R1816" s="47" t="n">
        <f aca="false">IF(OR(A1816="500",A1816="800",A1816="810"),0,MAX(W1816-Q1816,0))</f>
        <v>0</v>
      </c>
      <c r="S1816" s="47" t="n">
        <f aca="false">R1816*L1816</f>
        <v>0</v>
      </c>
      <c r="T1816" s="47" t="n">
        <f aca="false">R1816*J1816</f>
        <v>0</v>
      </c>
      <c r="U1816" s="47" t="n">
        <f aca="false">R1816*K1816</f>
        <v>0</v>
      </c>
      <c r="V1816" s="0" t="str">
        <f aca="false">IF(COUNTIFS($A$2:A1816,A1816,$C$2:C1816,C1816,$D$2:D1816,D1816)&gt;1,"중복","")</f>
        <v/>
      </c>
      <c r="W1816" s="0" t="n">
        <f aca="false">IF(V1816="중복",0,N(D1816))</f>
        <v>35</v>
      </c>
      <c r="X1816" s="0" t="n">
        <f aca="false">IF(COUNTIFS($A$2:A1816,A1816,$C$2:C1816,C1816)=1,ABS(SUMIFS(RAW_발주!$D:$D,RAW_발주!$C:$C,A1816,RAW_발주!$A:$A,C1816)-SUMIFS($W:$W,$A:$A,A1816,$C:$C,C1816)),0)</f>
        <v>0</v>
      </c>
    </row>
    <row r="1817" customFormat="false" ht="15" hidden="false" customHeight="true" outlineLevel="0" collapsed="false">
      <c r="A1817" s="45" t="s">
        <v>1660</v>
      </c>
      <c r="B1817" s="42" t="str">
        <f aca="false">IF(A1817="100","HK",IF(A1817="200","CN",IF(A1817="300","TW","홀세일")))</f>
        <v>CN</v>
      </c>
      <c r="C1817" s="45" t="s">
        <v>1174</v>
      </c>
      <c r="D1817" s="46" t="n">
        <v>412</v>
      </c>
      <c r="E1817" s="46" t="n">
        <v>79000</v>
      </c>
      <c r="F1817" s="46" t="n">
        <v>21010</v>
      </c>
      <c r="G1817" s="42" t="n">
        <v>3.28</v>
      </c>
      <c r="H1817" s="42" t="n">
        <v>18.6</v>
      </c>
      <c r="I1817" s="42" t="n">
        <v>16.8</v>
      </c>
      <c r="J1817" s="46" t="n">
        <f aca="false">IF(N(E1817)&gt;0,E1817,IF(N(F1817)&gt;0,F1817*요약!$F$27,0))</f>
        <v>79000</v>
      </c>
      <c r="K1817" s="46" t="n">
        <f aca="false">IF(N(F1817)&gt;0,F1817,IF(N(E1817)&gt;0,E1817/요약!$F$27,0))</f>
        <v>21010</v>
      </c>
      <c r="L1817" s="46" t="n">
        <f aca="false">IF(B1817="CN",IF(N(I1817)&gt;0,I1817*요약!$G$27,K1817*(1+요약!$E$27)),IF(N(H1817)&gt;0,H1817*요약!$G$27,J1817*요약!$D$27))</f>
        <v>22176</v>
      </c>
      <c r="M1817" s="46" t="n">
        <f aca="false">D1817*J1817</f>
        <v>32548000</v>
      </c>
      <c r="N1817" s="46" t="n">
        <f aca="false">D1817*K1817</f>
        <v>8656120</v>
      </c>
      <c r="O1817" s="46" t="n">
        <f aca="false">D1817*L1817</f>
        <v>9136512</v>
      </c>
      <c r="P1817" s="42" t="str">
        <f aca="false">TRIM(IF(N(E1817)&lt;=0,"택가보정 ","")&amp;IF(N(F1817)&lt;=0,"원가보정 ","")&amp;IF(AND(B1817&lt;&gt;"CN",N(H1817)&lt;=0),"공급가보정 ","")&amp;IF(AND(B1817="CN",N(I1817)&lt;=0),"중국공급가=원가+마진 ",""))</f>
        <v/>
      </c>
      <c r="Q1817" s="47" t="n">
        <f aca="false">IF(SUMIFS($W:$W,$A:$A,A1817,$C:$C,C1817)=0,0,SUMIFS(RAW_판매펀칭!$K:$K,RAW_판매펀칭!$P:$P,A1817,RAW_판매펀칭!$I:$I,C1817)*W1817/SUMIFS($W:$W,$A:$A,A1817,$C:$C,C1817))</f>
        <v>412</v>
      </c>
      <c r="R1817" s="47" t="n">
        <f aca="false">IF(OR(A1817="500",A1817="800",A1817="810"),0,MAX(W1817-Q1817,0))</f>
        <v>0</v>
      </c>
      <c r="S1817" s="47" t="n">
        <f aca="false">R1817*L1817</f>
        <v>0</v>
      </c>
      <c r="T1817" s="47" t="n">
        <f aca="false">R1817*J1817</f>
        <v>0</v>
      </c>
      <c r="U1817" s="47" t="n">
        <f aca="false">R1817*K1817</f>
        <v>0</v>
      </c>
      <c r="V1817" s="0" t="str">
        <f aca="false">IF(COUNTIFS($A$2:A1817,A1817,$C$2:C1817,C1817,$D$2:D1817,D1817)&gt;1,"중복","")</f>
        <v/>
      </c>
      <c r="W1817" s="0" t="n">
        <f aca="false">IF(V1817="중복",0,N(D1817))</f>
        <v>412</v>
      </c>
      <c r="X1817" s="0" t="n">
        <f aca="false">IF(COUNTIFS($A$2:A1817,A1817,$C$2:C1817,C1817)=1,ABS(SUMIFS(RAW_발주!$D:$D,RAW_발주!$C:$C,A1817,RAW_발주!$A:$A,C1817)-SUMIFS($W:$W,$A:$A,A1817,$C:$C,C1817)),0)</f>
        <v>0</v>
      </c>
    </row>
    <row r="1818" customFormat="false" ht="15" hidden="false" customHeight="true" outlineLevel="0" collapsed="false">
      <c r="A1818" s="45" t="s">
        <v>1660</v>
      </c>
      <c r="B1818" s="42" t="str">
        <f aca="false">IF(A1818="100","HK",IF(A1818="200","CN",IF(A1818="300","TW","홀세일")))</f>
        <v>CN</v>
      </c>
      <c r="C1818" s="45" t="s">
        <v>1174</v>
      </c>
      <c r="D1818" s="46" t="n">
        <v>412</v>
      </c>
      <c r="E1818" s="46" t="n">
        <v>79000</v>
      </c>
      <c r="F1818" s="46" t="n">
        <v>21010</v>
      </c>
      <c r="G1818" s="42" t="n">
        <v>3.28</v>
      </c>
      <c r="H1818" s="42" t="n">
        <v>18.6</v>
      </c>
      <c r="I1818" s="42" t="n">
        <v>16.8</v>
      </c>
      <c r="J1818" s="46" t="n">
        <f aca="false">IF(N(E1818)&gt;0,E1818,IF(N(F1818)&gt;0,F1818*요약!$F$27,0))</f>
        <v>79000</v>
      </c>
      <c r="K1818" s="46" t="n">
        <f aca="false">IF(N(F1818)&gt;0,F1818,IF(N(E1818)&gt;0,E1818/요약!$F$27,0))</f>
        <v>21010</v>
      </c>
      <c r="L1818" s="46" t="n">
        <f aca="false">IF(B1818="CN",IF(N(I1818)&gt;0,I1818*요약!$G$27,K1818*(1+요약!$E$27)),IF(N(H1818)&gt;0,H1818*요약!$G$27,J1818*요약!$D$27))</f>
        <v>22176</v>
      </c>
      <c r="M1818" s="46" t="n">
        <f aca="false">D1818*J1818</f>
        <v>32548000</v>
      </c>
      <c r="N1818" s="46" t="n">
        <f aca="false">D1818*K1818</f>
        <v>8656120</v>
      </c>
      <c r="O1818" s="46" t="n">
        <f aca="false">D1818*L1818</f>
        <v>9136512</v>
      </c>
      <c r="P1818" s="42" t="str">
        <f aca="false">TRIM(IF(N(E1818)&lt;=0,"택가보정 ","")&amp;IF(N(F1818)&lt;=0,"원가보정 ","")&amp;IF(AND(B1818&lt;&gt;"CN",N(H1818)&lt;=0),"공급가보정 ","")&amp;IF(AND(B1818="CN",N(I1818)&lt;=0),"중국공급가=원가+마진 ",""))</f>
        <v/>
      </c>
      <c r="Q1818" s="47" t="n">
        <f aca="false">IF(SUMIFS($W:$W,$A:$A,A1818,$C:$C,C1818)=0,0,SUMIFS(RAW_판매펀칭!$K:$K,RAW_판매펀칭!$P:$P,A1818,RAW_판매펀칭!$I:$I,C1818)*W1818/SUMIFS($W:$W,$A:$A,A1818,$C:$C,C1818))</f>
        <v>0</v>
      </c>
      <c r="R1818" s="47" t="n">
        <f aca="false">IF(OR(A1818="500",A1818="800",A1818="810"),0,MAX(W1818-Q1818,0))</f>
        <v>0</v>
      </c>
      <c r="S1818" s="47" t="n">
        <f aca="false">R1818*L1818</f>
        <v>0</v>
      </c>
      <c r="T1818" s="47" t="n">
        <f aca="false">R1818*J1818</f>
        <v>0</v>
      </c>
      <c r="U1818" s="47" t="n">
        <f aca="false">R1818*K1818</f>
        <v>0</v>
      </c>
      <c r="V1818" s="0" t="str">
        <f aca="false">IF(COUNTIFS($A$2:A1818,A1818,$C$2:C1818,C1818,$D$2:D1818,D1818)&gt;1,"중복","")</f>
        <v>중복</v>
      </c>
      <c r="W1818" s="0" t="n">
        <f aca="false">IF(V1818="중복",0,N(D1818))</f>
        <v>0</v>
      </c>
      <c r="X1818" s="0" t="n">
        <f aca="false">IF(COUNTIFS($A$2:A1818,A1818,$C$2:C1818,C1818)=1,ABS(SUMIFS(RAW_발주!$D:$D,RAW_발주!$C:$C,A1818,RAW_발주!$A:$A,C1818)-SUMIFS($W:$W,$A:$A,A1818,$C:$C,C1818)),0)</f>
        <v>0</v>
      </c>
    </row>
    <row r="1819" customFormat="false" ht="15" hidden="false" customHeight="true" outlineLevel="0" collapsed="false">
      <c r="A1819" s="45" t="s">
        <v>1661</v>
      </c>
      <c r="B1819" s="42" t="str">
        <f aca="false">IF(A1819="100","HK",IF(A1819="200","CN",IF(A1819="300","TW","홀세일")))</f>
        <v>TW</v>
      </c>
      <c r="C1819" s="45" t="s">
        <v>710</v>
      </c>
      <c r="D1819" s="46" t="n">
        <v>400</v>
      </c>
      <c r="E1819" s="46" t="n">
        <v>119000</v>
      </c>
      <c r="F1819" s="46" t="n">
        <v>32100</v>
      </c>
      <c r="G1819" s="42" t="n">
        <v>3.08</v>
      </c>
      <c r="H1819" s="42" t="n">
        <v>29.8</v>
      </c>
      <c r="J1819" s="46" t="n">
        <f aca="false">IF(N(E1819)&gt;0,E1819,IF(N(F1819)&gt;0,F1819*요약!$F$27,0))</f>
        <v>119000</v>
      </c>
      <c r="K1819" s="46" t="n">
        <f aca="false">IF(N(F1819)&gt;0,F1819,IF(N(E1819)&gt;0,E1819/요약!$F$27,0))</f>
        <v>32100</v>
      </c>
      <c r="L1819" s="46" t="n">
        <f aca="false">IF(B1819="CN",IF(N(I1819)&gt;0,I1819*요약!$G$27,K1819*(1+요약!$E$27)),IF(N(H1819)&gt;0,H1819*요약!$G$27,J1819*요약!$D$27))</f>
        <v>39336</v>
      </c>
      <c r="M1819" s="46" t="n">
        <f aca="false">D1819*J1819</f>
        <v>47600000</v>
      </c>
      <c r="N1819" s="46" t="n">
        <f aca="false">D1819*K1819</f>
        <v>12840000</v>
      </c>
      <c r="O1819" s="46" t="n">
        <f aca="false">D1819*L1819</f>
        <v>15734400</v>
      </c>
      <c r="P1819" s="42" t="str">
        <f aca="false">TRIM(IF(N(E1819)&lt;=0,"택가보정 ","")&amp;IF(N(F1819)&lt;=0,"원가보정 ","")&amp;IF(AND(B1819&lt;&gt;"CN",N(H1819)&lt;=0),"공급가보정 ","")&amp;IF(AND(B1819="CN",N(I1819)&lt;=0),"중국공급가=원가+마진 ",""))</f>
        <v/>
      </c>
      <c r="Q1819" s="47" t="n">
        <f aca="false">IF(SUMIFS($W:$W,$A:$A,A1819,$C:$C,C1819)=0,0,SUMIFS(RAW_판매펀칭!$K:$K,RAW_판매펀칭!$P:$P,A1819,RAW_판매펀칭!$I:$I,C1819)*W1819/SUMIFS($W:$W,$A:$A,A1819,$C:$C,C1819))</f>
        <v>400</v>
      </c>
      <c r="R1819" s="47" t="n">
        <f aca="false">IF(OR(A1819="500",A1819="800",A1819="810"),0,MAX(W1819-Q1819,0))</f>
        <v>0</v>
      </c>
      <c r="S1819" s="47" t="n">
        <f aca="false">R1819*L1819</f>
        <v>0</v>
      </c>
      <c r="T1819" s="47" t="n">
        <f aca="false">R1819*J1819</f>
        <v>0</v>
      </c>
      <c r="U1819" s="47" t="n">
        <f aca="false">R1819*K1819</f>
        <v>0</v>
      </c>
      <c r="V1819" s="0" t="str">
        <f aca="false">IF(COUNTIFS($A$2:A1819,A1819,$C$2:C1819,C1819,$D$2:D1819,D1819)&gt;1,"중복","")</f>
        <v/>
      </c>
      <c r="W1819" s="0" t="n">
        <f aca="false">IF(V1819="중복",0,N(D1819))</f>
        <v>400</v>
      </c>
      <c r="X1819" s="0" t="n">
        <f aca="false">IF(COUNTIFS($A$2:A1819,A1819,$C$2:C1819,C1819)=1,ABS(SUMIFS(RAW_발주!$D:$D,RAW_발주!$C:$C,A1819,RAW_발주!$A:$A,C1819)-SUMIFS($W:$W,$A:$A,A1819,$C:$C,C1819)),0)</f>
        <v>0</v>
      </c>
    </row>
    <row r="1820" customFormat="false" ht="15" hidden="false" customHeight="true" outlineLevel="0" collapsed="false">
      <c r="A1820" s="45" t="s">
        <v>1661</v>
      </c>
      <c r="B1820" s="42" t="str">
        <f aca="false">IF(A1820="100","HK",IF(A1820="200","CN",IF(A1820="300","TW","홀세일")))</f>
        <v>TW</v>
      </c>
      <c r="C1820" s="45" t="s">
        <v>712</v>
      </c>
      <c r="D1820" s="46" t="n">
        <v>400</v>
      </c>
      <c r="E1820" s="46" t="n">
        <v>119000</v>
      </c>
      <c r="F1820" s="46" t="n">
        <v>29100</v>
      </c>
      <c r="G1820" s="42" t="n">
        <v>3.51</v>
      </c>
      <c r="H1820" s="42" t="n">
        <v>29.8</v>
      </c>
      <c r="J1820" s="46" t="n">
        <f aca="false">IF(N(E1820)&gt;0,E1820,IF(N(F1820)&gt;0,F1820*요약!$F$27,0))</f>
        <v>119000</v>
      </c>
      <c r="K1820" s="46" t="n">
        <f aca="false">IF(N(F1820)&gt;0,F1820,IF(N(E1820)&gt;0,E1820/요약!$F$27,0))</f>
        <v>29100</v>
      </c>
      <c r="L1820" s="46" t="n">
        <f aca="false">IF(B1820="CN",IF(N(I1820)&gt;0,I1820*요약!$G$27,K1820*(1+요약!$E$27)),IF(N(H1820)&gt;0,H1820*요약!$G$27,J1820*요약!$D$27))</f>
        <v>39336</v>
      </c>
      <c r="M1820" s="46" t="n">
        <f aca="false">D1820*J1820</f>
        <v>47600000</v>
      </c>
      <c r="N1820" s="46" t="n">
        <f aca="false">D1820*K1820</f>
        <v>11640000</v>
      </c>
      <c r="O1820" s="46" t="n">
        <f aca="false">D1820*L1820</f>
        <v>15734400</v>
      </c>
      <c r="P1820" s="42" t="str">
        <f aca="false">TRIM(IF(N(E1820)&lt;=0,"택가보정 ","")&amp;IF(N(F1820)&lt;=0,"원가보정 ","")&amp;IF(AND(B1820&lt;&gt;"CN",N(H1820)&lt;=0),"공급가보정 ","")&amp;IF(AND(B1820="CN",N(I1820)&lt;=0),"중국공급가=원가+마진 ",""))</f>
        <v/>
      </c>
      <c r="Q1820" s="47" t="n">
        <f aca="false">IF(SUMIFS($W:$W,$A:$A,A1820,$C:$C,C1820)=0,0,SUMIFS(RAW_판매펀칭!$K:$K,RAW_판매펀칭!$P:$P,A1820,RAW_판매펀칭!$I:$I,C1820)*W1820/SUMIFS($W:$W,$A:$A,A1820,$C:$C,C1820))</f>
        <v>400</v>
      </c>
      <c r="R1820" s="47" t="n">
        <f aca="false">IF(OR(A1820="500",A1820="800",A1820="810"),0,MAX(W1820-Q1820,0))</f>
        <v>0</v>
      </c>
      <c r="S1820" s="47" t="n">
        <f aca="false">R1820*L1820</f>
        <v>0</v>
      </c>
      <c r="T1820" s="47" t="n">
        <f aca="false">R1820*J1820</f>
        <v>0</v>
      </c>
      <c r="U1820" s="47" t="n">
        <f aca="false">R1820*K1820</f>
        <v>0</v>
      </c>
      <c r="V1820" s="0" t="str">
        <f aca="false">IF(COUNTIFS($A$2:A1820,A1820,$C$2:C1820,C1820,$D$2:D1820,D1820)&gt;1,"중복","")</f>
        <v/>
      </c>
      <c r="W1820" s="0" t="n">
        <f aca="false">IF(V1820="중복",0,N(D1820))</f>
        <v>400</v>
      </c>
      <c r="X1820" s="0" t="n">
        <f aca="false">IF(COUNTIFS($A$2:A1820,A1820,$C$2:C1820,C1820)=1,ABS(SUMIFS(RAW_발주!$D:$D,RAW_발주!$C:$C,A1820,RAW_발주!$A:$A,C1820)-SUMIFS($W:$W,$A:$A,A1820,$C:$C,C1820)),0)</f>
        <v>0</v>
      </c>
    </row>
    <row r="1821" customFormat="false" ht="15" hidden="false" customHeight="true" outlineLevel="0" collapsed="false">
      <c r="A1821" s="45" t="s">
        <v>1663</v>
      </c>
      <c r="B1821" s="42" t="str">
        <f aca="false">IF(A1821="100","HK",IF(A1821="200","CN",IF(A1821="300","TW","홀세일")))</f>
        <v>홀세일</v>
      </c>
      <c r="C1821" s="45" t="s">
        <v>1734</v>
      </c>
      <c r="D1821" s="46" t="n">
        <v>125</v>
      </c>
      <c r="E1821" s="46" t="n">
        <v>89000</v>
      </c>
      <c r="F1821" s="46" t="n">
        <v>25900</v>
      </c>
      <c r="G1821" s="42" t="n">
        <v>3.12</v>
      </c>
      <c r="H1821" s="42" t="n">
        <v>21.6</v>
      </c>
      <c r="J1821" s="46" t="n">
        <f aca="false">IF(N(E1821)&gt;0,E1821,IF(N(F1821)&gt;0,F1821*요약!$F$27,0))</f>
        <v>89000</v>
      </c>
      <c r="K1821" s="46" t="n">
        <f aca="false">IF(N(F1821)&gt;0,F1821,IF(N(E1821)&gt;0,E1821/요약!$F$27,0))</f>
        <v>25900</v>
      </c>
      <c r="L1821" s="46" t="n">
        <f aca="false">IF(B1821="CN",IF(N(I1821)&gt;0,I1821*요약!$G$27,K1821*(1+요약!$E$27)),IF(N(H1821)&gt;0,H1821*요약!$G$27,J1821*요약!$D$27))</f>
        <v>28512</v>
      </c>
      <c r="M1821" s="46" t="n">
        <f aca="false">D1821*J1821</f>
        <v>11125000</v>
      </c>
      <c r="N1821" s="46" t="n">
        <f aca="false">D1821*K1821</f>
        <v>3237500</v>
      </c>
      <c r="O1821" s="46" t="n">
        <f aca="false">D1821*L1821</f>
        <v>3564000</v>
      </c>
      <c r="P1821" s="42" t="str">
        <f aca="false">TRIM(IF(N(E1821)&lt;=0,"택가보정 ","")&amp;IF(N(F1821)&lt;=0,"원가보정 ","")&amp;IF(AND(B1821&lt;&gt;"CN",N(H1821)&lt;=0),"공급가보정 ","")&amp;IF(AND(B1821="CN",N(I1821)&lt;=0),"중국공급가=원가+마진 ",""))</f>
        <v/>
      </c>
      <c r="Q1821" s="47" t="n">
        <f aca="false">IF(SUMIFS($W:$W,$A:$A,A1821,$C:$C,C1821)=0,0,SUMIFS(RAW_판매펀칭!$K:$K,RAW_판매펀칭!$P:$P,A1821,RAW_판매펀칭!$I:$I,C1821)*W1821/SUMIFS($W:$W,$A:$A,A1821,$C:$C,C1821))</f>
        <v>0</v>
      </c>
      <c r="R1821" s="47" t="n">
        <f aca="false">IF(OR(A1821="500",A1821="800",A1821="810"),0,MAX(W1821-Q1821,0))</f>
        <v>125</v>
      </c>
      <c r="S1821" s="47" t="n">
        <f aca="false">R1821*L1821</f>
        <v>3564000</v>
      </c>
      <c r="T1821" s="47" t="n">
        <f aca="false">R1821*J1821</f>
        <v>11125000</v>
      </c>
      <c r="U1821" s="47" t="n">
        <f aca="false">R1821*K1821</f>
        <v>3237500</v>
      </c>
      <c r="V1821" s="0" t="str">
        <f aca="false">IF(COUNTIFS($A$2:A1821,A1821,$C$2:C1821,C1821,$D$2:D1821,D1821)&gt;1,"중복","")</f>
        <v/>
      </c>
      <c r="W1821" s="0" t="n">
        <f aca="false">IF(V1821="중복",0,N(D1821))</f>
        <v>125</v>
      </c>
      <c r="X1821" s="0" t="n">
        <f aca="false">IF(COUNTIFS($A$2:A1821,A1821,$C$2:C1821,C1821)=1,ABS(SUMIFS(RAW_발주!$D:$D,RAW_발주!$C:$C,A1821,RAW_발주!$A:$A,C1821)-SUMIFS($W:$W,$A:$A,A1821,$C:$C,C1821)),0)</f>
        <v>0</v>
      </c>
    </row>
    <row r="1822" customFormat="false" ht="15" hidden="false" customHeight="true" outlineLevel="0" collapsed="false">
      <c r="A1822" s="45" t="s">
        <v>1667</v>
      </c>
      <c r="B1822" s="42" t="str">
        <f aca="false">IF(A1822="100","HK",IF(A1822="200","CN",IF(A1822="300","TW","홀세일")))</f>
        <v>홀세일</v>
      </c>
      <c r="C1822" s="45" t="s">
        <v>1734</v>
      </c>
      <c r="D1822" s="46" t="n">
        <v>1800</v>
      </c>
      <c r="E1822" s="46" t="n">
        <v>89000</v>
      </c>
      <c r="F1822" s="46" t="n">
        <v>25900</v>
      </c>
      <c r="G1822" s="42" t="n">
        <v>3.12</v>
      </c>
      <c r="H1822" s="42" t="n">
        <v>21.6</v>
      </c>
      <c r="J1822" s="46" t="n">
        <f aca="false">IF(N(E1822)&gt;0,E1822,IF(N(F1822)&gt;0,F1822*요약!$F$27,0))</f>
        <v>89000</v>
      </c>
      <c r="K1822" s="46" t="n">
        <f aca="false">IF(N(F1822)&gt;0,F1822,IF(N(E1822)&gt;0,E1822/요약!$F$27,0))</f>
        <v>25900</v>
      </c>
      <c r="L1822" s="46" t="n">
        <f aca="false">IF(B1822="CN",IF(N(I1822)&gt;0,I1822*요약!$G$27,K1822*(1+요약!$E$27)),IF(N(H1822)&gt;0,H1822*요약!$G$27,J1822*요약!$D$27))</f>
        <v>28512</v>
      </c>
      <c r="M1822" s="46" t="n">
        <f aca="false">D1822*J1822</f>
        <v>160200000</v>
      </c>
      <c r="N1822" s="46" t="n">
        <f aca="false">D1822*K1822</f>
        <v>46620000</v>
      </c>
      <c r="O1822" s="46" t="n">
        <f aca="false">D1822*L1822</f>
        <v>51321600</v>
      </c>
      <c r="P1822" s="42" t="str">
        <f aca="false">TRIM(IF(N(E1822)&lt;=0,"택가보정 ","")&amp;IF(N(F1822)&lt;=0,"원가보정 ","")&amp;IF(AND(B1822&lt;&gt;"CN",N(H1822)&lt;=0),"공급가보정 ","")&amp;IF(AND(B1822="CN",N(I1822)&lt;=0),"중국공급가=원가+마진 ",""))</f>
        <v/>
      </c>
      <c r="Q1822" s="47" t="n">
        <f aca="false">IF(SUMIFS($W:$W,$A:$A,A1822,$C:$C,C1822)=0,0,SUMIFS(RAW_판매펀칭!$K:$K,RAW_판매펀칭!$P:$P,A1822,RAW_판매펀칭!$I:$I,C1822)*W1822/SUMIFS($W:$W,$A:$A,A1822,$C:$C,C1822))</f>
        <v>0</v>
      </c>
      <c r="R1822" s="47" t="n">
        <f aca="false">IF(OR(A1822="500",A1822="800",A1822="810"),0,MAX(W1822-Q1822,0))</f>
        <v>1800</v>
      </c>
      <c r="S1822" s="47" t="n">
        <f aca="false">R1822*L1822</f>
        <v>51321600</v>
      </c>
      <c r="T1822" s="47" t="n">
        <f aca="false">R1822*J1822</f>
        <v>160200000</v>
      </c>
      <c r="U1822" s="47" t="n">
        <f aca="false">R1822*K1822</f>
        <v>46620000</v>
      </c>
      <c r="V1822" s="0" t="str">
        <f aca="false">IF(COUNTIFS($A$2:A1822,A1822,$C$2:C1822,C1822,$D$2:D1822,D1822)&gt;1,"중복","")</f>
        <v/>
      </c>
      <c r="W1822" s="0" t="n">
        <f aca="false">IF(V1822="중복",0,N(D1822))</f>
        <v>1800</v>
      </c>
      <c r="X1822" s="0" t="n">
        <f aca="false">IF(COUNTIFS($A$2:A1822,A1822,$C$2:C1822,C1822)=1,ABS(SUMIFS(RAW_발주!$D:$D,RAW_발주!$C:$C,A1822,RAW_발주!$A:$A,C1822)-SUMIFS($W:$W,$A:$A,A1822,$C:$C,C1822)),0)</f>
        <v>0</v>
      </c>
    </row>
    <row r="1823" customFormat="false" ht="15" hidden="false" customHeight="true" outlineLevel="0" collapsed="false">
      <c r="A1823" s="45" t="s">
        <v>1661</v>
      </c>
      <c r="B1823" s="42" t="str">
        <f aca="false">IF(A1823="100","HK",IF(A1823="200","CN",IF(A1823="300","TW","홀세일")))</f>
        <v>TW</v>
      </c>
      <c r="C1823" s="45" t="s">
        <v>714</v>
      </c>
      <c r="D1823" s="46" t="n">
        <v>800</v>
      </c>
      <c r="E1823" s="46" t="n">
        <v>99000</v>
      </c>
      <c r="F1823" s="46" t="n">
        <v>23000</v>
      </c>
      <c r="G1823" s="42" t="n">
        <v>3.69</v>
      </c>
      <c r="H1823" s="42" t="n">
        <v>24.8</v>
      </c>
      <c r="J1823" s="46" t="n">
        <f aca="false">IF(N(E1823)&gt;0,E1823,IF(N(F1823)&gt;0,F1823*요약!$F$27,0))</f>
        <v>99000</v>
      </c>
      <c r="K1823" s="46" t="n">
        <f aca="false">IF(N(F1823)&gt;0,F1823,IF(N(E1823)&gt;0,E1823/요약!$F$27,0))</f>
        <v>23000</v>
      </c>
      <c r="L1823" s="46" t="n">
        <f aca="false">IF(B1823="CN",IF(N(I1823)&gt;0,I1823*요약!$G$27,K1823*(1+요약!$E$27)),IF(N(H1823)&gt;0,H1823*요약!$G$27,J1823*요약!$D$27))</f>
        <v>32736</v>
      </c>
      <c r="M1823" s="46" t="n">
        <f aca="false">D1823*J1823</f>
        <v>79200000</v>
      </c>
      <c r="N1823" s="46" t="n">
        <f aca="false">D1823*K1823</f>
        <v>18400000</v>
      </c>
      <c r="O1823" s="46" t="n">
        <f aca="false">D1823*L1823</f>
        <v>26188800</v>
      </c>
      <c r="P1823" s="42" t="str">
        <f aca="false">TRIM(IF(N(E1823)&lt;=0,"택가보정 ","")&amp;IF(N(F1823)&lt;=0,"원가보정 ","")&amp;IF(AND(B1823&lt;&gt;"CN",N(H1823)&lt;=0),"공급가보정 ","")&amp;IF(AND(B1823="CN",N(I1823)&lt;=0),"중국공급가=원가+마진 ",""))</f>
        <v/>
      </c>
      <c r="Q1823" s="47" t="n">
        <f aca="false">IF(SUMIFS($W:$W,$A:$A,A1823,$C:$C,C1823)=0,0,SUMIFS(RAW_판매펀칭!$K:$K,RAW_판매펀칭!$P:$P,A1823,RAW_판매펀칭!$I:$I,C1823)*W1823/SUMIFS($W:$W,$A:$A,A1823,$C:$C,C1823))</f>
        <v>800</v>
      </c>
      <c r="R1823" s="47" t="n">
        <f aca="false">IF(OR(A1823="500",A1823="800",A1823="810"),0,MAX(W1823-Q1823,0))</f>
        <v>0</v>
      </c>
      <c r="S1823" s="47" t="n">
        <f aca="false">R1823*L1823</f>
        <v>0</v>
      </c>
      <c r="T1823" s="47" t="n">
        <f aca="false">R1823*J1823</f>
        <v>0</v>
      </c>
      <c r="U1823" s="47" t="n">
        <f aca="false">R1823*K1823</f>
        <v>0</v>
      </c>
      <c r="V1823" s="0" t="str">
        <f aca="false">IF(COUNTIFS($A$2:A1823,A1823,$C$2:C1823,C1823,$D$2:D1823,D1823)&gt;1,"중복","")</f>
        <v/>
      </c>
      <c r="W1823" s="0" t="n">
        <f aca="false">IF(V1823="중복",0,N(D1823))</f>
        <v>800</v>
      </c>
      <c r="X1823" s="0" t="n">
        <f aca="false">IF(COUNTIFS($A$2:A1823,A1823,$C$2:C1823,C1823)=1,ABS(SUMIFS(RAW_발주!$D:$D,RAW_발주!$C:$C,A1823,RAW_발주!$A:$A,C1823)-SUMIFS($W:$W,$A:$A,A1823,$C:$C,C1823)),0)</f>
        <v>0</v>
      </c>
    </row>
    <row r="1824" customFormat="false" ht="15" hidden="false" customHeight="true" outlineLevel="0" collapsed="false">
      <c r="A1824" s="45" t="s">
        <v>1661</v>
      </c>
      <c r="B1824" s="42" t="str">
        <f aca="false">IF(A1824="100","HK",IF(A1824="200","CN",IF(A1824="300","TW","홀세일")))</f>
        <v>TW</v>
      </c>
      <c r="C1824" s="45" t="s">
        <v>716</v>
      </c>
      <c r="D1824" s="46" t="n">
        <v>800</v>
      </c>
      <c r="E1824" s="46" t="n">
        <v>99000</v>
      </c>
      <c r="F1824" s="46" t="n">
        <v>24500</v>
      </c>
      <c r="G1824" s="42" t="n">
        <v>3.59</v>
      </c>
      <c r="H1824" s="42" t="n">
        <v>24.8</v>
      </c>
      <c r="J1824" s="46" t="n">
        <f aca="false">IF(N(E1824)&gt;0,E1824,IF(N(F1824)&gt;0,F1824*요약!$F$27,0))</f>
        <v>99000</v>
      </c>
      <c r="K1824" s="46" t="n">
        <f aca="false">IF(N(F1824)&gt;0,F1824,IF(N(E1824)&gt;0,E1824/요약!$F$27,0))</f>
        <v>24500</v>
      </c>
      <c r="L1824" s="46" t="n">
        <f aca="false">IF(B1824="CN",IF(N(I1824)&gt;0,I1824*요약!$G$27,K1824*(1+요약!$E$27)),IF(N(H1824)&gt;0,H1824*요약!$G$27,J1824*요약!$D$27))</f>
        <v>32736</v>
      </c>
      <c r="M1824" s="46" t="n">
        <f aca="false">D1824*J1824</f>
        <v>79200000</v>
      </c>
      <c r="N1824" s="46" t="n">
        <f aca="false">D1824*K1824</f>
        <v>19600000</v>
      </c>
      <c r="O1824" s="46" t="n">
        <f aca="false">D1824*L1824</f>
        <v>26188800</v>
      </c>
      <c r="P1824" s="42" t="str">
        <f aca="false">TRIM(IF(N(E1824)&lt;=0,"택가보정 ","")&amp;IF(N(F1824)&lt;=0,"원가보정 ","")&amp;IF(AND(B1824&lt;&gt;"CN",N(H1824)&lt;=0),"공급가보정 ","")&amp;IF(AND(B1824="CN",N(I1824)&lt;=0),"중국공급가=원가+마진 ",""))</f>
        <v/>
      </c>
      <c r="Q1824" s="47" t="n">
        <f aca="false">IF(SUMIFS($W:$W,$A:$A,A1824,$C:$C,C1824)=0,0,SUMIFS(RAW_판매펀칭!$K:$K,RAW_판매펀칭!$P:$P,A1824,RAW_판매펀칭!$I:$I,C1824)*W1824/SUMIFS($W:$W,$A:$A,A1824,$C:$C,C1824))</f>
        <v>800</v>
      </c>
      <c r="R1824" s="47" t="n">
        <f aca="false">IF(OR(A1824="500",A1824="800",A1824="810"),0,MAX(W1824-Q1824,0))</f>
        <v>0</v>
      </c>
      <c r="S1824" s="47" t="n">
        <f aca="false">R1824*L1824</f>
        <v>0</v>
      </c>
      <c r="T1824" s="47" t="n">
        <f aca="false">R1824*J1824</f>
        <v>0</v>
      </c>
      <c r="U1824" s="47" t="n">
        <f aca="false">R1824*K1824</f>
        <v>0</v>
      </c>
      <c r="V1824" s="0" t="str">
        <f aca="false">IF(COUNTIFS($A$2:A1824,A1824,$C$2:C1824,C1824,$D$2:D1824,D1824)&gt;1,"중복","")</f>
        <v/>
      </c>
      <c r="W1824" s="0" t="n">
        <f aca="false">IF(V1824="중복",0,N(D1824))</f>
        <v>800</v>
      </c>
      <c r="X1824" s="0" t="n">
        <f aca="false">IF(COUNTIFS($A$2:A1824,A1824,$C$2:C1824,C1824)=1,ABS(SUMIFS(RAW_발주!$D:$D,RAW_발주!$C:$C,A1824,RAW_발주!$A:$A,C1824)-SUMIFS($W:$W,$A:$A,A1824,$C:$C,C1824)),0)</f>
        <v>0</v>
      </c>
    </row>
    <row r="1825" customFormat="false" ht="15" hidden="false" customHeight="true" outlineLevel="0" collapsed="false">
      <c r="A1825" s="45" t="s">
        <v>1661</v>
      </c>
      <c r="B1825" s="42" t="str">
        <f aca="false">IF(A1825="100","HK",IF(A1825="200","CN",IF(A1825="300","TW","홀세일")))</f>
        <v>TW</v>
      </c>
      <c r="C1825" s="45" t="s">
        <v>718</v>
      </c>
      <c r="D1825" s="46" t="n">
        <v>400</v>
      </c>
      <c r="E1825" s="46" t="n">
        <v>69000</v>
      </c>
      <c r="F1825" s="46" t="n">
        <v>15500</v>
      </c>
      <c r="G1825" s="42" t="n">
        <v>4.07</v>
      </c>
      <c r="H1825" s="42" t="n">
        <v>17.3</v>
      </c>
      <c r="J1825" s="46" t="n">
        <f aca="false">IF(N(E1825)&gt;0,E1825,IF(N(F1825)&gt;0,F1825*요약!$F$27,0))</f>
        <v>69000</v>
      </c>
      <c r="K1825" s="46" t="n">
        <f aca="false">IF(N(F1825)&gt;0,F1825,IF(N(E1825)&gt;0,E1825/요약!$F$27,0))</f>
        <v>15500</v>
      </c>
      <c r="L1825" s="46" t="n">
        <f aca="false">IF(B1825="CN",IF(N(I1825)&gt;0,I1825*요약!$G$27,K1825*(1+요약!$E$27)),IF(N(H1825)&gt;0,H1825*요약!$G$27,J1825*요약!$D$27))</f>
        <v>22836</v>
      </c>
      <c r="M1825" s="46" t="n">
        <f aca="false">D1825*J1825</f>
        <v>27600000</v>
      </c>
      <c r="N1825" s="46" t="n">
        <f aca="false">D1825*K1825</f>
        <v>6200000</v>
      </c>
      <c r="O1825" s="46" t="n">
        <f aca="false">D1825*L1825</f>
        <v>9134400</v>
      </c>
      <c r="P1825" s="42" t="str">
        <f aca="false">TRIM(IF(N(E1825)&lt;=0,"택가보정 ","")&amp;IF(N(F1825)&lt;=0,"원가보정 ","")&amp;IF(AND(B1825&lt;&gt;"CN",N(H1825)&lt;=0),"공급가보정 ","")&amp;IF(AND(B1825="CN",N(I1825)&lt;=0),"중국공급가=원가+마진 ",""))</f>
        <v/>
      </c>
      <c r="Q1825" s="47" t="n">
        <f aca="false">IF(SUMIFS($W:$W,$A:$A,A1825,$C:$C,C1825)=0,0,SUMIFS(RAW_판매펀칭!$K:$K,RAW_판매펀칭!$P:$P,A1825,RAW_판매펀칭!$I:$I,C1825)*W1825/SUMIFS($W:$W,$A:$A,A1825,$C:$C,C1825))</f>
        <v>400</v>
      </c>
      <c r="R1825" s="47" t="n">
        <f aca="false">IF(OR(A1825="500",A1825="800",A1825="810"),0,MAX(W1825-Q1825,0))</f>
        <v>0</v>
      </c>
      <c r="S1825" s="47" t="n">
        <f aca="false">R1825*L1825</f>
        <v>0</v>
      </c>
      <c r="T1825" s="47" t="n">
        <f aca="false">R1825*J1825</f>
        <v>0</v>
      </c>
      <c r="U1825" s="47" t="n">
        <f aca="false">R1825*K1825</f>
        <v>0</v>
      </c>
      <c r="V1825" s="0" t="str">
        <f aca="false">IF(COUNTIFS($A$2:A1825,A1825,$C$2:C1825,C1825,$D$2:D1825,D1825)&gt;1,"중복","")</f>
        <v/>
      </c>
      <c r="W1825" s="0" t="n">
        <f aca="false">IF(V1825="중복",0,N(D1825))</f>
        <v>400</v>
      </c>
      <c r="X1825" s="0" t="n">
        <f aca="false">IF(COUNTIFS($A$2:A1825,A1825,$C$2:C1825,C1825)=1,ABS(SUMIFS(RAW_발주!$D:$D,RAW_발주!$C:$C,A1825,RAW_발주!$A:$A,C1825)-SUMIFS($W:$W,$A:$A,A1825,$C:$C,C1825)),0)</f>
        <v>0</v>
      </c>
    </row>
    <row r="1826" customFormat="false" ht="15" hidden="false" customHeight="true" outlineLevel="0" collapsed="false">
      <c r="A1826" s="45" t="s">
        <v>1661</v>
      </c>
      <c r="B1826" s="42" t="str">
        <f aca="false">IF(A1826="100","HK",IF(A1826="200","CN",IF(A1826="300","TW","홀세일")))</f>
        <v>TW</v>
      </c>
      <c r="C1826" s="45" t="s">
        <v>720</v>
      </c>
      <c r="D1826" s="46" t="n">
        <v>400</v>
      </c>
      <c r="E1826" s="46" t="n">
        <v>69000</v>
      </c>
      <c r="F1826" s="46" t="n">
        <v>17200</v>
      </c>
      <c r="G1826" s="42" t="n">
        <v>3.35</v>
      </c>
      <c r="H1826" s="42" t="n">
        <v>17.3</v>
      </c>
      <c r="J1826" s="46" t="n">
        <f aca="false">IF(N(E1826)&gt;0,E1826,IF(N(F1826)&gt;0,F1826*요약!$F$27,0))</f>
        <v>69000</v>
      </c>
      <c r="K1826" s="46" t="n">
        <f aca="false">IF(N(F1826)&gt;0,F1826,IF(N(E1826)&gt;0,E1826/요약!$F$27,0))</f>
        <v>17200</v>
      </c>
      <c r="L1826" s="46" t="n">
        <f aca="false">IF(B1826="CN",IF(N(I1826)&gt;0,I1826*요약!$G$27,K1826*(1+요약!$E$27)),IF(N(H1826)&gt;0,H1826*요약!$G$27,J1826*요약!$D$27))</f>
        <v>22836</v>
      </c>
      <c r="M1826" s="46" t="n">
        <f aca="false">D1826*J1826</f>
        <v>27600000</v>
      </c>
      <c r="N1826" s="46" t="n">
        <f aca="false">D1826*K1826</f>
        <v>6880000</v>
      </c>
      <c r="O1826" s="46" t="n">
        <f aca="false">D1826*L1826</f>
        <v>9134400</v>
      </c>
      <c r="P1826" s="42" t="str">
        <f aca="false">TRIM(IF(N(E1826)&lt;=0,"택가보정 ","")&amp;IF(N(F1826)&lt;=0,"원가보정 ","")&amp;IF(AND(B1826&lt;&gt;"CN",N(H1826)&lt;=0),"공급가보정 ","")&amp;IF(AND(B1826="CN",N(I1826)&lt;=0),"중국공급가=원가+마진 ",""))</f>
        <v/>
      </c>
      <c r="Q1826" s="47" t="n">
        <f aca="false">IF(SUMIFS($W:$W,$A:$A,A1826,$C:$C,C1826)=0,0,SUMIFS(RAW_판매펀칭!$K:$K,RAW_판매펀칭!$P:$P,A1826,RAW_판매펀칭!$I:$I,C1826)*W1826/SUMIFS($W:$W,$A:$A,A1826,$C:$C,C1826))</f>
        <v>400</v>
      </c>
      <c r="R1826" s="47" t="n">
        <f aca="false">IF(OR(A1826="500",A1826="800",A1826="810"),0,MAX(W1826-Q1826,0))</f>
        <v>0</v>
      </c>
      <c r="S1826" s="47" t="n">
        <f aca="false">R1826*L1826</f>
        <v>0</v>
      </c>
      <c r="T1826" s="47" t="n">
        <f aca="false">R1826*J1826</f>
        <v>0</v>
      </c>
      <c r="U1826" s="47" t="n">
        <f aca="false">R1826*K1826</f>
        <v>0</v>
      </c>
      <c r="V1826" s="0" t="str">
        <f aca="false">IF(COUNTIFS($A$2:A1826,A1826,$C$2:C1826,C1826,$D$2:D1826,D1826)&gt;1,"중복","")</f>
        <v/>
      </c>
      <c r="W1826" s="0" t="n">
        <f aca="false">IF(V1826="중복",0,N(D1826))</f>
        <v>400</v>
      </c>
      <c r="X1826" s="0" t="n">
        <f aca="false">IF(COUNTIFS($A$2:A1826,A1826,$C$2:C1826,C1826)=1,ABS(SUMIFS(RAW_발주!$D:$D,RAW_발주!$C:$C,A1826,RAW_발주!$A:$A,C1826)-SUMIFS($W:$W,$A:$A,A1826,$C:$C,C1826)),0)</f>
        <v>0</v>
      </c>
    </row>
    <row r="1827" customFormat="false" ht="15" hidden="false" customHeight="true" outlineLevel="0" collapsed="false">
      <c r="A1827" s="45" t="s">
        <v>1661</v>
      </c>
      <c r="B1827" s="42" t="str">
        <f aca="false">IF(A1827="100","HK",IF(A1827="200","CN",IF(A1827="300","TW","홀세일")))</f>
        <v>TW</v>
      </c>
      <c r="C1827" s="45" t="s">
        <v>722</v>
      </c>
      <c r="D1827" s="46" t="n">
        <v>400</v>
      </c>
      <c r="E1827" s="46" t="n">
        <v>69000</v>
      </c>
      <c r="F1827" s="46" t="n">
        <v>15700</v>
      </c>
      <c r="G1827" s="42" t="n">
        <v>3.9</v>
      </c>
      <c r="H1827" s="42" t="n">
        <v>17.3</v>
      </c>
      <c r="J1827" s="46" t="n">
        <f aca="false">IF(N(E1827)&gt;0,E1827,IF(N(F1827)&gt;0,F1827*요약!$F$27,0))</f>
        <v>69000</v>
      </c>
      <c r="K1827" s="46" t="n">
        <f aca="false">IF(N(F1827)&gt;0,F1827,IF(N(E1827)&gt;0,E1827/요약!$F$27,0))</f>
        <v>15700</v>
      </c>
      <c r="L1827" s="46" t="n">
        <f aca="false">IF(B1827="CN",IF(N(I1827)&gt;0,I1827*요약!$G$27,K1827*(1+요약!$E$27)),IF(N(H1827)&gt;0,H1827*요약!$G$27,J1827*요약!$D$27))</f>
        <v>22836</v>
      </c>
      <c r="M1827" s="46" t="n">
        <f aca="false">D1827*J1827</f>
        <v>27600000</v>
      </c>
      <c r="N1827" s="46" t="n">
        <f aca="false">D1827*K1827</f>
        <v>6280000</v>
      </c>
      <c r="O1827" s="46" t="n">
        <f aca="false">D1827*L1827</f>
        <v>9134400</v>
      </c>
      <c r="P1827" s="42" t="str">
        <f aca="false">TRIM(IF(N(E1827)&lt;=0,"택가보정 ","")&amp;IF(N(F1827)&lt;=0,"원가보정 ","")&amp;IF(AND(B1827&lt;&gt;"CN",N(H1827)&lt;=0),"공급가보정 ","")&amp;IF(AND(B1827="CN",N(I1827)&lt;=0),"중국공급가=원가+마진 ",""))</f>
        <v/>
      </c>
      <c r="Q1827" s="47" t="n">
        <f aca="false">IF(SUMIFS($W:$W,$A:$A,A1827,$C:$C,C1827)=0,0,SUMIFS(RAW_판매펀칭!$K:$K,RAW_판매펀칭!$P:$P,A1827,RAW_판매펀칭!$I:$I,C1827)*W1827/SUMIFS($W:$W,$A:$A,A1827,$C:$C,C1827))</f>
        <v>400</v>
      </c>
      <c r="R1827" s="47" t="n">
        <f aca="false">IF(OR(A1827="500",A1827="800",A1827="810"),0,MAX(W1827-Q1827,0))</f>
        <v>0</v>
      </c>
      <c r="S1827" s="47" t="n">
        <f aca="false">R1827*L1827</f>
        <v>0</v>
      </c>
      <c r="T1827" s="47" t="n">
        <f aca="false">R1827*J1827</f>
        <v>0</v>
      </c>
      <c r="U1827" s="47" t="n">
        <f aca="false">R1827*K1827</f>
        <v>0</v>
      </c>
      <c r="V1827" s="0" t="str">
        <f aca="false">IF(COUNTIFS($A$2:A1827,A1827,$C$2:C1827,C1827,$D$2:D1827,D1827)&gt;1,"중복","")</f>
        <v/>
      </c>
      <c r="W1827" s="0" t="n">
        <f aca="false">IF(V1827="중복",0,N(D1827))</f>
        <v>400</v>
      </c>
      <c r="X1827" s="0" t="n">
        <f aca="false">IF(COUNTIFS($A$2:A1827,A1827,$C$2:C1827,C1827)=1,ABS(SUMIFS(RAW_발주!$D:$D,RAW_발주!$C:$C,A1827,RAW_발주!$A:$A,C1827)-SUMIFS($W:$W,$A:$A,A1827,$C:$C,C1827)),0)</f>
        <v>0</v>
      </c>
    </row>
    <row r="1828" customFormat="false" ht="15" hidden="false" customHeight="true" outlineLevel="0" collapsed="false">
      <c r="A1828" s="45" t="s">
        <v>1661</v>
      </c>
      <c r="B1828" s="42" t="str">
        <f aca="false">IF(A1828="100","HK",IF(A1828="200","CN",IF(A1828="300","TW","홀세일")))</f>
        <v>TW</v>
      </c>
      <c r="C1828" s="45" t="s">
        <v>724</v>
      </c>
      <c r="D1828" s="46" t="n">
        <v>400</v>
      </c>
      <c r="E1828" s="46" t="n">
        <v>59000</v>
      </c>
      <c r="F1828" s="46" t="n">
        <v>12400</v>
      </c>
      <c r="G1828" s="42" t="n">
        <v>4.26</v>
      </c>
      <c r="H1828" s="42" t="n">
        <v>14.8</v>
      </c>
      <c r="J1828" s="46" t="n">
        <f aca="false">IF(N(E1828)&gt;0,E1828,IF(N(F1828)&gt;0,F1828*요약!$F$27,0))</f>
        <v>59000</v>
      </c>
      <c r="K1828" s="46" t="n">
        <f aca="false">IF(N(F1828)&gt;0,F1828,IF(N(E1828)&gt;0,E1828/요약!$F$27,0))</f>
        <v>12400</v>
      </c>
      <c r="L1828" s="46" t="n">
        <f aca="false">IF(B1828="CN",IF(N(I1828)&gt;0,I1828*요약!$G$27,K1828*(1+요약!$E$27)),IF(N(H1828)&gt;0,H1828*요약!$G$27,J1828*요약!$D$27))</f>
        <v>19536</v>
      </c>
      <c r="M1828" s="46" t="n">
        <f aca="false">D1828*J1828</f>
        <v>23600000</v>
      </c>
      <c r="N1828" s="46" t="n">
        <f aca="false">D1828*K1828</f>
        <v>4960000</v>
      </c>
      <c r="O1828" s="46" t="n">
        <f aca="false">D1828*L1828</f>
        <v>7814400</v>
      </c>
      <c r="P1828" s="42" t="str">
        <f aca="false">TRIM(IF(N(E1828)&lt;=0,"택가보정 ","")&amp;IF(N(F1828)&lt;=0,"원가보정 ","")&amp;IF(AND(B1828&lt;&gt;"CN",N(H1828)&lt;=0),"공급가보정 ","")&amp;IF(AND(B1828="CN",N(I1828)&lt;=0),"중국공급가=원가+마진 ",""))</f>
        <v/>
      </c>
      <c r="Q1828" s="47" t="n">
        <f aca="false">IF(SUMIFS($W:$W,$A:$A,A1828,$C:$C,C1828)=0,0,SUMIFS(RAW_판매펀칭!$K:$K,RAW_판매펀칭!$P:$P,A1828,RAW_판매펀칭!$I:$I,C1828)*W1828/SUMIFS($W:$W,$A:$A,A1828,$C:$C,C1828))</f>
        <v>400</v>
      </c>
      <c r="R1828" s="47" t="n">
        <f aca="false">IF(OR(A1828="500",A1828="800",A1828="810"),0,MAX(W1828-Q1828,0))</f>
        <v>0</v>
      </c>
      <c r="S1828" s="47" t="n">
        <f aca="false">R1828*L1828</f>
        <v>0</v>
      </c>
      <c r="T1828" s="47" t="n">
        <f aca="false">R1828*J1828</f>
        <v>0</v>
      </c>
      <c r="U1828" s="47" t="n">
        <f aca="false">R1828*K1828</f>
        <v>0</v>
      </c>
      <c r="V1828" s="0" t="str">
        <f aca="false">IF(COUNTIFS($A$2:A1828,A1828,$C$2:C1828,C1828,$D$2:D1828,D1828)&gt;1,"중복","")</f>
        <v/>
      </c>
      <c r="W1828" s="0" t="n">
        <f aca="false">IF(V1828="중복",0,N(D1828))</f>
        <v>400</v>
      </c>
      <c r="X1828" s="0" t="n">
        <f aca="false">IF(COUNTIFS($A$2:A1828,A1828,$C$2:C1828,C1828)=1,ABS(SUMIFS(RAW_발주!$D:$D,RAW_발주!$C:$C,A1828,RAW_발주!$A:$A,C1828)-SUMIFS($W:$W,$A:$A,A1828,$C:$C,C1828)),0)</f>
        <v>0</v>
      </c>
    </row>
    <row r="1829" customFormat="false" ht="15" hidden="false" customHeight="true" outlineLevel="0" collapsed="false">
      <c r="A1829" s="45" t="s">
        <v>1661</v>
      </c>
      <c r="B1829" s="42" t="str">
        <f aca="false">IF(A1829="100","HK",IF(A1829="200","CN",IF(A1829="300","TW","홀세일")))</f>
        <v>TW</v>
      </c>
      <c r="C1829" s="45" t="s">
        <v>726</v>
      </c>
      <c r="D1829" s="46" t="n">
        <v>400</v>
      </c>
      <c r="E1829" s="46" t="n">
        <v>69000</v>
      </c>
      <c r="F1829" s="46" t="n">
        <v>16500</v>
      </c>
      <c r="G1829" s="42" t="n">
        <v>3.78</v>
      </c>
      <c r="H1829" s="42" t="n">
        <v>17.3</v>
      </c>
      <c r="J1829" s="46" t="n">
        <f aca="false">IF(N(E1829)&gt;0,E1829,IF(N(F1829)&gt;0,F1829*요약!$F$27,0))</f>
        <v>69000</v>
      </c>
      <c r="K1829" s="46" t="n">
        <f aca="false">IF(N(F1829)&gt;0,F1829,IF(N(E1829)&gt;0,E1829/요약!$F$27,0))</f>
        <v>16500</v>
      </c>
      <c r="L1829" s="46" t="n">
        <f aca="false">IF(B1829="CN",IF(N(I1829)&gt;0,I1829*요약!$G$27,K1829*(1+요약!$E$27)),IF(N(H1829)&gt;0,H1829*요약!$G$27,J1829*요약!$D$27))</f>
        <v>22836</v>
      </c>
      <c r="M1829" s="46" t="n">
        <f aca="false">D1829*J1829</f>
        <v>27600000</v>
      </c>
      <c r="N1829" s="46" t="n">
        <f aca="false">D1829*K1829</f>
        <v>6600000</v>
      </c>
      <c r="O1829" s="46" t="n">
        <f aca="false">D1829*L1829</f>
        <v>9134400</v>
      </c>
      <c r="P1829" s="42" t="str">
        <f aca="false">TRIM(IF(N(E1829)&lt;=0,"택가보정 ","")&amp;IF(N(F1829)&lt;=0,"원가보정 ","")&amp;IF(AND(B1829&lt;&gt;"CN",N(H1829)&lt;=0),"공급가보정 ","")&amp;IF(AND(B1829="CN",N(I1829)&lt;=0),"중국공급가=원가+마진 ",""))</f>
        <v/>
      </c>
      <c r="Q1829" s="47" t="n">
        <f aca="false">IF(SUMIFS($W:$W,$A:$A,A1829,$C:$C,C1829)=0,0,SUMIFS(RAW_판매펀칭!$K:$K,RAW_판매펀칭!$P:$P,A1829,RAW_판매펀칭!$I:$I,C1829)*W1829/SUMIFS($W:$W,$A:$A,A1829,$C:$C,C1829))</f>
        <v>400</v>
      </c>
      <c r="R1829" s="47" t="n">
        <f aca="false">IF(OR(A1829="500",A1829="800",A1829="810"),0,MAX(W1829-Q1829,0))</f>
        <v>0</v>
      </c>
      <c r="S1829" s="47" t="n">
        <f aca="false">R1829*L1829</f>
        <v>0</v>
      </c>
      <c r="T1829" s="47" t="n">
        <f aca="false">R1829*J1829</f>
        <v>0</v>
      </c>
      <c r="U1829" s="47" t="n">
        <f aca="false">R1829*K1829</f>
        <v>0</v>
      </c>
      <c r="V1829" s="0" t="str">
        <f aca="false">IF(COUNTIFS($A$2:A1829,A1829,$C$2:C1829,C1829,$D$2:D1829,D1829)&gt;1,"중복","")</f>
        <v/>
      </c>
      <c r="W1829" s="0" t="n">
        <f aca="false">IF(V1829="중복",0,N(D1829))</f>
        <v>400</v>
      </c>
      <c r="X1829" s="0" t="n">
        <f aca="false">IF(COUNTIFS($A$2:A1829,A1829,$C$2:C1829,C1829)=1,ABS(SUMIFS(RAW_발주!$D:$D,RAW_발주!$C:$C,A1829,RAW_발주!$A:$A,C1829)-SUMIFS($W:$W,$A:$A,A1829,$C:$C,C1829)),0)</f>
        <v>0</v>
      </c>
    </row>
    <row r="1830" customFormat="false" ht="15" hidden="false" customHeight="true" outlineLevel="0" collapsed="false">
      <c r="A1830" s="45" t="s">
        <v>1661</v>
      </c>
      <c r="B1830" s="42" t="str">
        <f aca="false">IF(A1830="100","HK",IF(A1830="200","CN",IF(A1830="300","TW","홀세일")))</f>
        <v>TW</v>
      </c>
      <c r="C1830" s="45" t="s">
        <v>728</v>
      </c>
      <c r="D1830" s="46" t="n">
        <v>400</v>
      </c>
      <c r="E1830" s="46" t="n">
        <v>59000</v>
      </c>
      <c r="F1830" s="46" t="n">
        <v>12400</v>
      </c>
      <c r="G1830" s="42" t="n">
        <v>4.26</v>
      </c>
      <c r="H1830" s="42" t="n">
        <v>14.8</v>
      </c>
      <c r="J1830" s="46" t="n">
        <f aca="false">IF(N(E1830)&gt;0,E1830,IF(N(F1830)&gt;0,F1830*요약!$F$27,0))</f>
        <v>59000</v>
      </c>
      <c r="K1830" s="46" t="n">
        <f aca="false">IF(N(F1830)&gt;0,F1830,IF(N(E1830)&gt;0,E1830/요약!$F$27,0))</f>
        <v>12400</v>
      </c>
      <c r="L1830" s="46" t="n">
        <f aca="false">IF(B1830="CN",IF(N(I1830)&gt;0,I1830*요약!$G$27,K1830*(1+요약!$E$27)),IF(N(H1830)&gt;0,H1830*요약!$G$27,J1830*요약!$D$27))</f>
        <v>19536</v>
      </c>
      <c r="M1830" s="46" t="n">
        <f aca="false">D1830*J1830</f>
        <v>23600000</v>
      </c>
      <c r="N1830" s="46" t="n">
        <f aca="false">D1830*K1830</f>
        <v>4960000</v>
      </c>
      <c r="O1830" s="46" t="n">
        <f aca="false">D1830*L1830</f>
        <v>7814400</v>
      </c>
      <c r="P1830" s="42" t="str">
        <f aca="false">TRIM(IF(N(E1830)&lt;=0,"택가보정 ","")&amp;IF(N(F1830)&lt;=0,"원가보정 ","")&amp;IF(AND(B1830&lt;&gt;"CN",N(H1830)&lt;=0),"공급가보정 ","")&amp;IF(AND(B1830="CN",N(I1830)&lt;=0),"중국공급가=원가+마진 ",""))</f>
        <v/>
      </c>
      <c r="Q1830" s="47" t="n">
        <f aca="false">IF(SUMIFS($W:$W,$A:$A,A1830,$C:$C,C1830)=0,0,SUMIFS(RAW_판매펀칭!$K:$K,RAW_판매펀칭!$P:$P,A1830,RAW_판매펀칭!$I:$I,C1830)*W1830/SUMIFS($W:$W,$A:$A,A1830,$C:$C,C1830))</f>
        <v>400</v>
      </c>
      <c r="R1830" s="47" t="n">
        <f aca="false">IF(OR(A1830="500",A1830="800",A1830="810"),0,MAX(W1830-Q1830,0))</f>
        <v>0</v>
      </c>
      <c r="S1830" s="47" t="n">
        <f aca="false">R1830*L1830</f>
        <v>0</v>
      </c>
      <c r="T1830" s="47" t="n">
        <f aca="false">R1830*J1830</f>
        <v>0</v>
      </c>
      <c r="U1830" s="47" t="n">
        <f aca="false">R1830*K1830</f>
        <v>0</v>
      </c>
      <c r="V1830" s="0" t="str">
        <f aca="false">IF(COUNTIFS($A$2:A1830,A1830,$C$2:C1830,C1830,$D$2:D1830,D1830)&gt;1,"중복","")</f>
        <v/>
      </c>
      <c r="W1830" s="0" t="n">
        <f aca="false">IF(V1830="중복",0,N(D1830))</f>
        <v>400</v>
      </c>
      <c r="X1830" s="0" t="n">
        <f aca="false">IF(COUNTIFS($A$2:A1830,A1830,$C$2:C1830,C1830)=1,ABS(SUMIFS(RAW_발주!$D:$D,RAW_발주!$C:$C,A1830,RAW_발주!$A:$A,C1830)-SUMIFS($W:$W,$A:$A,A1830,$C:$C,C1830)),0)</f>
        <v>0</v>
      </c>
    </row>
    <row r="1831" customFormat="false" ht="15" hidden="false" customHeight="true" outlineLevel="0" collapsed="false">
      <c r="A1831" s="45" t="s">
        <v>1663</v>
      </c>
      <c r="B1831" s="42" t="str">
        <f aca="false">IF(A1831="100","HK",IF(A1831="200","CN",IF(A1831="300","TW","홀세일")))</f>
        <v>홀세일</v>
      </c>
      <c r="C1831" s="45" t="s">
        <v>1386</v>
      </c>
      <c r="D1831" s="46" t="n">
        <v>401</v>
      </c>
      <c r="E1831" s="46" t="n">
        <v>69000</v>
      </c>
      <c r="F1831" s="46" t="n">
        <v>15700</v>
      </c>
      <c r="G1831" s="42" t="n">
        <v>3.95</v>
      </c>
      <c r="H1831" s="42" t="n">
        <v>17.3</v>
      </c>
      <c r="J1831" s="46" t="n">
        <f aca="false">IF(N(E1831)&gt;0,E1831,IF(N(F1831)&gt;0,F1831*요약!$F$27,0))</f>
        <v>69000</v>
      </c>
      <c r="K1831" s="46" t="n">
        <f aca="false">IF(N(F1831)&gt;0,F1831,IF(N(E1831)&gt;0,E1831/요약!$F$27,0))</f>
        <v>15700</v>
      </c>
      <c r="L1831" s="46" t="n">
        <f aca="false">IF(B1831="CN",IF(N(I1831)&gt;0,I1831*요약!$G$27,K1831*(1+요약!$E$27)),IF(N(H1831)&gt;0,H1831*요약!$G$27,J1831*요약!$D$27))</f>
        <v>22836</v>
      </c>
      <c r="M1831" s="46" t="n">
        <f aca="false">D1831*J1831</f>
        <v>27669000</v>
      </c>
      <c r="N1831" s="46" t="n">
        <f aca="false">D1831*K1831</f>
        <v>6295700</v>
      </c>
      <c r="O1831" s="46" t="n">
        <f aca="false">D1831*L1831</f>
        <v>9157236</v>
      </c>
      <c r="P1831" s="42" t="str">
        <f aca="false">TRIM(IF(N(E1831)&lt;=0,"택가보정 ","")&amp;IF(N(F1831)&lt;=0,"원가보정 ","")&amp;IF(AND(B1831&lt;&gt;"CN",N(H1831)&lt;=0),"공급가보정 ","")&amp;IF(AND(B1831="CN",N(I1831)&lt;=0),"중국공급가=원가+마진 ",""))</f>
        <v/>
      </c>
      <c r="Q1831" s="47" t="n">
        <f aca="false">IF(SUMIFS($W:$W,$A:$A,A1831,$C:$C,C1831)=0,0,SUMIFS(RAW_판매펀칭!$K:$K,RAW_판매펀칭!$P:$P,A1831,RAW_판매펀칭!$I:$I,C1831)*W1831/SUMIFS($W:$W,$A:$A,A1831,$C:$C,C1831))</f>
        <v>401</v>
      </c>
      <c r="R1831" s="47" t="n">
        <f aca="false">IF(OR(A1831="500",A1831="800",A1831="810"),0,MAX(W1831-Q1831,0))</f>
        <v>0</v>
      </c>
      <c r="S1831" s="47" t="n">
        <f aca="false">R1831*L1831</f>
        <v>0</v>
      </c>
      <c r="T1831" s="47" t="n">
        <f aca="false">R1831*J1831</f>
        <v>0</v>
      </c>
      <c r="U1831" s="47" t="n">
        <f aca="false">R1831*K1831</f>
        <v>0</v>
      </c>
      <c r="V1831" s="0" t="str">
        <f aca="false">IF(COUNTIFS($A$2:A1831,A1831,$C$2:C1831,C1831,$D$2:D1831,D1831)&gt;1,"중복","")</f>
        <v/>
      </c>
      <c r="W1831" s="0" t="n">
        <f aca="false">IF(V1831="중복",0,N(D1831))</f>
        <v>401</v>
      </c>
      <c r="X1831" s="0" t="n">
        <f aca="false">IF(COUNTIFS($A$2:A1831,A1831,$C$2:C1831,C1831)=1,ABS(SUMIFS(RAW_발주!$D:$D,RAW_발주!$C:$C,A1831,RAW_발주!$A:$A,C1831)-SUMIFS($W:$W,$A:$A,A1831,$C:$C,C1831)),0)</f>
        <v>0</v>
      </c>
    </row>
    <row r="1832" customFormat="false" ht="15" hidden="false" customHeight="true" outlineLevel="0" collapsed="false">
      <c r="A1832" s="45" t="s">
        <v>1663</v>
      </c>
      <c r="B1832" s="42" t="str">
        <f aca="false">IF(A1832="100","HK",IF(A1832="200","CN",IF(A1832="300","TW","홀세일")))</f>
        <v>홀세일</v>
      </c>
      <c r="C1832" s="45" t="s">
        <v>1388</v>
      </c>
      <c r="D1832" s="46" t="n">
        <v>401</v>
      </c>
      <c r="E1832" s="46" t="n">
        <v>69000</v>
      </c>
      <c r="F1832" s="46" t="n">
        <v>16103</v>
      </c>
      <c r="G1832" s="42" t="n">
        <v>3.65</v>
      </c>
      <c r="H1832" s="42" t="n">
        <v>17.3</v>
      </c>
      <c r="J1832" s="46" t="n">
        <f aca="false">IF(N(E1832)&gt;0,E1832,IF(N(F1832)&gt;0,F1832*요약!$F$27,0))</f>
        <v>69000</v>
      </c>
      <c r="K1832" s="46" t="n">
        <f aca="false">IF(N(F1832)&gt;0,F1832,IF(N(E1832)&gt;0,E1832/요약!$F$27,0))</f>
        <v>16103</v>
      </c>
      <c r="L1832" s="46" t="n">
        <f aca="false">IF(B1832="CN",IF(N(I1832)&gt;0,I1832*요약!$G$27,K1832*(1+요약!$E$27)),IF(N(H1832)&gt;0,H1832*요약!$G$27,J1832*요약!$D$27))</f>
        <v>22836</v>
      </c>
      <c r="M1832" s="46" t="n">
        <f aca="false">D1832*J1832</f>
        <v>27669000</v>
      </c>
      <c r="N1832" s="46" t="n">
        <f aca="false">D1832*K1832</f>
        <v>6457303</v>
      </c>
      <c r="O1832" s="46" t="n">
        <f aca="false">D1832*L1832</f>
        <v>9157236</v>
      </c>
      <c r="P1832" s="42" t="str">
        <f aca="false">TRIM(IF(N(E1832)&lt;=0,"택가보정 ","")&amp;IF(N(F1832)&lt;=0,"원가보정 ","")&amp;IF(AND(B1832&lt;&gt;"CN",N(H1832)&lt;=0),"공급가보정 ","")&amp;IF(AND(B1832="CN",N(I1832)&lt;=0),"중국공급가=원가+마진 ",""))</f>
        <v/>
      </c>
      <c r="Q1832" s="47" t="n">
        <f aca="false">IF(SUMIFS($W:$W,$A:$A,A1832,$C:$C,C1832)=0,0,SUMIFS(RAW_판매펀칭!$K:$K,RAW_판매펀칭!$P:$P,A1832,RAW_판매펀칭!$I:$I,C1832)*W1832/SUMIFS($W:$W,$A:$A,A1832,$C:$C,C1832))</f>
        <v>401</v>
      </c>
      <c r="R1832" s="47" t="n">
        <f aca="false">IF(OR(A1832="500",A1832="800",A1832="810"),0,MAX(W1832-Q1832,0))</f>
        <v>0</v>
      </c>
      <c r="S1832" s="47" t="n">
        <f aca="false">R1832*L1832</f>
        <v>0</v>
      </c>
      <c r="T1832" s="47" t="n">
        <f aca="false">R1832*J1832</f>
        <v>0</v>
      </c>
      <c r="U1832" s="47" t="n">
        <f aca="false">R1832*K1832</f>
        <v>0</v>
      </c>
      <c r="V1832" s="0" t="str">
        <f aca="false">IF(COUNTIFS($A$2:A1832,A1832,$C$2:C1832,C1832,$D$2:D1832,D1832)&gt;1,"중복","")</f>
        <v/>
      </c>
      <c r="W1832" s="0" t="n">
        <f aca="false">IF(V1832="중복",0,N(D1832))</f>
        <v>401</v>
      </c>
      <c r="X1832" s="0" t="n">
        <f aca="false">IF(COUNTIFS($A$2:A1832,A1832,$C$2:C1832,C1832)=1,ABS(SUMIFS(RAW_발주!$D:$D,RAW_발주!$C:$C,A1832,RAW_발주!$A:$A,C1832)-SUMIFS($W:$W,$A:$A,A1832,$C:$C,C1832)),0)</f>
        <v>0</v>
      </c>
    </row>
    <row r="1833" customFormat="false" ht="15" hidden="false" customHeight="true" outlineLevel="0" collapsed="false">
      <c r="A1833" s="45" t="s">
        <v>1663</v>
      </c>
      <c r="B1833" s="42" t="str">
        <f aca="false">IF(A1833="100","HK",IF(A1833="200","CN",IF(A1833="300","TW","홀세일")))</f>
        <v>홀세일</v>
      </c>
      <c r="C1833" s="45" t="s">
        <v>1390</v>
      </c>
      <c r="D1833" s="46" t="n">
        <v>401</v>
      </c>
      <c r="E1833" s="46" t="n">
        <v>69000</v>
      </c>
      <c r="F1833" s="46" t="n">
        <v>16001</v>
      </c>
      <c r="G1833" s="42" t="n">
        <v>3.78</v>
      </c>
      <c r="H1833" s="42" t="n">
        <v>17.3</v>
      </c>
      <c r="J1833" s="46" t="n">
        <f aca="false">IF(N(E1833)&gt;0,E1833,IF(N(F1833)&gt;0,F1833*요약!$F$27,0))</f>
        <v>69000</v>
      </c>
      <c r="K1833" s="46" t="n">
        <f aca="false">IF(N(F1833)&gt;0,F1833,IF(N(E1833)&gt;0,E1833/요약!$F$27,0))</f>
        <v>16001</v>
      </c>
      <c r="L1833" s="46" t="n">
        <f aca="false">IF(B1833="CN",IF(N(I1833)&gt;0,I1833*요약!$G$27,K1833*(1+요약!$E$27)),IF(N(H1833)&gt;0,H1833*요약!$G$27,J1833*요약!$D$27))</f>
        <v>22836</v>
      </c>
      <c r="M1833" s="46" t="n">
        <f aca="false">D1833*J1833</f>
        <v>27669000</v>
      </c>
      <c r="N1833" s="46" t="n">
        <f aca="false">D1833*K1833</f>
        <v>6416401</v>
      </c>
      <c r="O1833" s="46" t="n">
        <f aca="false">D1833*L1833</f>
        <v>9157236</v>
      </c>
      <c r="P1833" s="42" t="str">
        <f aca="false">TRIM(IF(N(E1833)&lt;=0,"택가보정 ","")&amp;IF(N(F1833)&lt;=0,"원가보정 ","")&amp;IF(AND(B1833&lt;&gt;"CN",N(H1833)&lt;=0),"공급가보정 ","")&amp;IF(AND(B1833="CN",N(I1833)&lt;=0),"중국공급가=원가+마진 ",""))</f>
        <v/>
      </c>
      <c r="Q1833" s="47" t="n">
        <f aca="false">IF(SUMIFS($W:$W,$A:$A,A1833,$C:$C,C1833)=0,0,SUMIFS(RAW_판매펀칭!$K:$K,RAW_판매펀칭!$P:$P,A1833,RAW_판매펀칭!$I:$I,C1833)*W1833/SUMIFS($W:$W,$A:$A,A1833,$C:$C,C1833))</f>
        <v>401</v>
      </c>
      <c r="R1833" s="47" t="n">
        <f aca="false">IF(OR(A1833="500",A1833="800",A1833="810"),0,MAX(W1833-Q1833,0))</f>
        <v>0</v>
      </c>
      <c r="S1833" s="47" t="n">
        <f aca="false">R1833*L1833</f>
        <v>0</v>
      </c>
      <c r="T1833" s="47" t="n">
        <f aca="false">R1833*J1833</f>
        <v>0</v>
      </c>
      <c r="U1833" s="47" t="n">
        <f aca="false">R1833*K1833</f>
        <v>0</v>
      </c>
      <c r="V1833" s="0" t="str">
        <f aca="false">IF(COUNTIFS($A$2:A1833,A1833,$C$2:C1833,C1833,$D$2:D1833,D1833)&gt;1,"중복","")</f>
        <v/>
      </c>
      <c r="W1833" s="0" t="n">
        <f aca="false">IF(V1833="중복",0,N(D1833))</f>
        <v>401</v>
      </c>
      <c r="X1833" s="0" t="n">
        <f aca="false">IF(COUNTIFS($A$2:A1833,A1833,$C$2:C1833,C1833)=1,ABS(SUMIFS(RAW_발주!$D:$D,RAW_발주!$C:$C,A1833,RAW_발주!$A:$A,C1833)-SUMIFS($W:$W,$A:$A,A1833,$C:$C,C1833)),0)</f>
        <v>0</v>
      </c>
    </row>
    <row r="1834" customFormat="false" ht="15" hidden="false" customHeight="true" outlineLevel="0" collapsed="false">
      <c r="A1834" s="45" t="s">
        <v>1663</v>
      </c>
      <c r="B1834" s="42" t="str">
        <f aca="false">IF(A1834="100","HK",IF(A1834="200","CN",IF(A1834="300","TW","홀세일")))</f>
        <v>홀세일</v>
      </c>
      <c r="C1834" s="45" t="s">
        <v>1392</v>
      </c>
      <c r="D1834" s="46" t="n">
        <v>401</v>
      </c>
      <c r="E1834" s="46" t="n">
        <v>69000</v>
      </c>
      <c r="F1834" s="46" t="n">
        <v>13306</v>
      </c>
      <c r="G1834" s="42" t="n">
        <v>4</v>
      </c>
      <c r="H1834" s="42" t="n">
        <v>17.3</v>
      </c>
      <c r="J1834" s="46" t="n">
        <f aca="false">IF(N(E1834)&gt;0,E1834,IF(N(F1834)&gt;0,F1834*요약!$F$27,0))</f>
        <v>69000</v>
      </c>
      <c r="K1834" s="46" t="n">
        <f aca="false">IF(N(F1834)&gt;0,F1834,IF(N(E1834)&gt;0,E1834/요약!$F$27,0))</f>
        <v>13306</v>
      </c>
      <c r="L1834" s="46" t="n">
        <f aca="false">IF(B1834="CN",IF(N(I1834)&gt;0,I1834*요약!$G$27,K1834*(1+요약!$E$27)),IF(N(H1834)&gt;0,H1834*요약!$G$27,J1834*요약!$D$27))</f>
        <v>22836</v>
      </c>
      <c r="M1834" s="46" t="n">
        <f aca="false">D1834*J1834</f>
        <v>27669000</v>
      </c>
      <c r="N1834" s="46" t="n">
        <f aca="false">D1834*K1834</f>
        <v>5335706</v>
      </c>
      <c r="O1834" s="46" t="n">
        <f aca="false">D1834*L1834</f>
        <v>9157236</v>
      </c>
      <c r="P1834" s="42" t="str">
        <f aca="false">TRIM(IF(N(E1834)&lt;=0,"택가보정 ","")&amp;IF(N(F1834)&lt;=0,"원가보정 ","")&amp;IF(AND(B1834&lt;&gt;"CN",N(H1834)&lt;=0),"공급가보정 ","")&amp;IF(AND(B1834="CN",N(I1834)&lt;=0),"중국공급가=원가+마진 ",""))</f>
        <v/>
      </c>
      <c r="Q1834" s="47" t="n">
        <f aca="false">IF(SUMIFS($W:$W,$A:$A,A1834,$C:$C,C1834)=0,0,SUMIFS(RAW_판매펀칭!$K:$K,RAW_판매펀칭!$P:$P,A1834,RAW_판매펀칭!$I:$I,C1834)*W1834/SUMIFS($W:$W,$A:$A,A1834,$C:$C,C1834))</f>
        <v>401</v>
      </c>
      <c r="R1834" s="47" t="n">
        <f aca="false">IF(OR(A1834="500",A1834="800",A1834="810"),0,MAX(W1834-Q1834,0))</f>
        <v>0</v>
      </c>
      <c r="S1834" s="47" t="n">
        <f aca="false">R1834*L1834</f>
        <v>0</v>
      </c>
      <c r="T1834" s="47" t="n">
        <f aca="false">R1834*J1834</f>
        <v>0</v>
      </c>
      <c r="U1834" s="47" t="n">
        <f aca="false">R1834*K1834</f>
        <v>0</v>
      </c>
      <c r="V1834" s="0" t="str">
        <f aca="false">IF(COUNTIFS($A$2:A1834,A1834,$C$2:C1834,C1834,$D$2:D1834,D1834)&gt;1,"중복","")</f>
        <v/>
      </c>
      <c r="W1834" s="0" t="n">
        <f aca="false">IF(V1834="중복",0,N(D1834))</f>
        <v>401</v>
      </c>
      <c r="X1834" s="0" t="n">
        <f aca="false">IF(COUNTIFS($A$2:A1834,A1834,$C$2:C1834,C1834)=1,ABS(SUMIFS(RAW_발주!$D:$D,RAW_발주!$C:$C,A1834,RAW_발주!$A:$A,C1834)-SUMIFS($W:$W,$A:$A,A1834,$C:$C,C1834)),0)</f>
        <v>0</v>
      </c>
    </row>
    <row r="1835" customFormat="false" ht="15" hidden="false" customHeight="true" outlineLevel="0" collapsed="false">
      <c r="A1835" s="45" t="s">
        <v>1667</v>
      </c>
      <c r="B1835" s="42" t="str">
        <f aca="false">IF(A1835="100","HK",IF(A1835="200","CN",IF(A1835="300","TW","홀세일")))</f>
        <v>홀세일</v>
      </c>
      <c r="C1835" s="45" t="s">
        <v>1735</v>
      </c>
      <c r="D1835" s="46" t="n">
        <v>1250</v>
      </c>
      <c r="E1835" s="46" t="n">
        <v>45000</v>
      </c>
      <c r="F1835" s="46" t="n">
        <v>13500</v>
      </c>
      <c r="G1835" s="42" t="n">
        <v>3.53</v>
      </c>
      <c r="H1835" s="42" t="n">
        <v>10.9</v>
      </c>
      <c r="J1835" s="46" t="n">
        <f aca="false">IF(N(E1835)&gt;0,E1835,IF(N(F1835)&gt;0,F1835*요약!$F$27,0))</f>
        <v>45000</v>
      </c>
      <c r="K1835" s="46" t="n">
        <f aca="false">IF(N(F1835)&gt;0,F1835,IF(N(E1835)&gt;0,E1835/요약!$F$27,0))</f>
        <v>13500</v>
      </c>
      <c r="L1835" s="46" t="n">
        <f aca="false">IF(B1835="CN",IF(N(I1835)&gt;0,I1835*요약!$G$27,K1835*(1+요약!$E$27)),IF(N(H1835)&gt;0,H1835*요약!$G$27,J1835*요약!$D$27))</f>
        <v>14388</v>
      </c>
      <c r="M1835" s="46" t="n">
        <f aca="false">D1835*J1835</f>
        <v>56250000</v>
      </c>
      <c r="N1835" s="46" t="n">
        <f aca="false">D1835*K1835</f>
        <v>16875000</v>
      </c>
      <c r="O1835" s="46" t="n">
        <f aca="false">D1835*L1835</f>
        <v>17985000</v>
      </c>
      <c r="P1835" s="42" t="str">
        <f aca="false">TRIM(IF(N(E1835)&lt;=0,"택가보정 ","")&amp;IF(N(F1835)&lt;=0,"원가보정 ","")&amp;IF(AND(B1835&lt;&gt;"CN",N(H1835)&lt;=0),"공급가보정 ","")&amp;IF(AND(B1835="CN",N(I1835)&lt;=0),"중국공급가=원가+마진 ",""))</f>
        <v/>
      </c>
      <c r="Q1835" s="47" t="n">
        <f aca="false">IF(SUMIFS($W:$W,$A:$A,A1835,$C:$C,C1835)=0,0,SUMIFS(RAW_판매펀칭!$K:$K,RAW_판매펀칭!$P:$P,A1835,RAW_판매펀칭!$I:$I,C1835)*W1835/SUMIFS($W:$W,$A:$A,A1835,$C:$C,C1835))</f>
        <v>0</v>
      </c>
      <c r="R1835" s="47" t="n">
        <f aca="false">IF(OR(A1835="500",A1835="800",A1835="810"),0,MAX(W1835-Q1835,0))</f>
        <v>1250</v>
      </c>
      <c r="S1835" s="47" t="n">
        <f aca="false">R1835*L1835</f>
        <v>17985000</v>
      </c>
      <c r="T1835" s="47" t="n">
        <f aca="false">R1835*J1835</f>
        <v>56250000</v>
      </c>
      <c r="U1835" s="47" t="n">
        <f aca="false">R1835*K1835</f>
        <v>16875000</v>
      </c>
      <c r="V1835" s="0" t="str">
        <f aca="false">IF(COUNTIFS($A$2:A1835,A1835,$C$2:C1835,C1835,$D$2:D1835,D1835)&gt;1,"중복","")</f>
        <v/>
      </c>
      <c r="W1835" s="0" t="n">
        <f aca="false">IF(V1835="중복",0,N(D1835))</f>
        <v>1250</v>
      </c>
      <c r="X1835" s="0" t="n">
        <f aca="false">IF(COUNTIFS($A$2:A1835,A1835,$C$2:C1835,C1835)=1,ABS(SUMIFS(RAW_발주!$D:$D,RAW_발주!$C:$C,A1835,RAW_발주!$A:$A,C1835)-SUMIFS($W:$W,$A:$A,A1835,$C:$C,C1835)),0)</f>
        <v>0</v>
      </c>
    </row>
    <row r="1836" customFormat="false" ht="15" hidden="false" customHeight="true" outlineLevel="0" collapsed="false">
      <c r="A1836" s="45" t="s">
        <v>1663</v>
      </c>
      <c r="B1836" s="42" t="str">
        <f aca="false">IF(A1836="100","HK",IF(A1836="200","CN",IF(A1836="300","TW","홀세일")))</f>
        <v>홀세일</v>
      </c>
      <c r="C1836" s="45" t="s">
        <v>1736</v>
      </c>
      <c r="D1836" s="46" t="n">
        <v>290</v>
      </c>
      <c r="E1836" s="46" t="n">
        <v>45000</v>
      </c>
      <c r="F1836" s="46" t="n">
        <v>12400</v>
      </c>
      <c r="G1836" s="42" t="n">
        <v>3.3</v>
      </c>
      <c r="H1836" s="42" t="n">
        <v>10.9</v>
      </c>
      <c r="J1836" s="46" t="n">
        <f aca="false">IF(N(E1836)&gt;0,E1836,IF(N(F1836)&gt;0,F1836*요약!$F$27,0))</f>
        <v>45000</v>
      </c>
      <c r="K1836" s="46" t="n">
        <f aca="false">IF(N(F1836)&gt;0,F1836,IF(N(E1836)&gt;0,E1836/요약!$F$27,0))</f>
        <v>12400</v>
      </c>
      <c r="L1836" s="46" t="n">
        <f aca="false">IF(B1836="CN",IF(N(I1836)&gt;0,I1836*요약!$G$27,K1836*(1+요약!$E$27)),IF(N(H1836)&gt;0,H1836*요약!$G$27,J1836*요약!$D$27))</f>
        <v>14388</v>
      </c>
      <c r="M1836" s="46" t="n">
        <f aca="false">D1836*J1836</f>
        <v>13050000</v>
      </c>
      <c r="N1836" s="46" t="n">
        <f aca="false">D1836*K1836</f>
        <v>3596000</v>
      </c>
      <c r="O1836" s="46" t="n">
        <f aca="false">D1836*L1836</f>
        <v>4172520</v>
      </c>
      <c r="P1836" s="42" t="str">
        <f aca="false">TRIM(IF(N(E1836)&lt;=0,"택가보정 ","")&amp;IF(N(F1836)&lt;=0,"원가보정 ","")&amp;IF(AND(B1836&lt;&gt;"CN",N(H1836)&lt;=0),"공급가보정 ","")&amp;IF(AND(B1836="CN",N(I1836)&lt;=0),"중국공급가=원가+마진 ",""))</f>
        <v/>
      </c>
      <c r="Q1836" s="47" t="n">
        <f aca="false">IF(SUMIFS($W:$W,$A:$A,A1836,$C:$C,C1836)=0,0,SUMIFS(RAW_판매펀칭!$K:$K,RAW_판매펀칭!$P:$P,A1836,RAW_판매펀칭!$I:$I,C1836)*W1836/SUMIFS($W:$W,$A:$A,A1836,$C:$C,C1836))</f>
        <v>0</v>
      </c>
      <c r="R1836" s="47" t="n">
        <f aca="false">IF(OR(A1836="500",A1836="800",A1836="810"),0,MAX(W1836-Q1836,0))</f>
        <v>290</v>
      </c>
      <c r="S1836" s="47" t="n">
        <f aca="false">R1836*L1836</f>
        <v>4172520</v>
      </c>
      <c r="T1836" s="47" t="n">
        <f aca="false">R1836*J1836</f>
        <v>13050000</v>
      </c>
      <c r="U1836" s="47" t="n">
        <f aca="false">R1836*K1836</f>
        <v>3596000</v>
      </c>
      <c r="V1836" s="0" t="str">
        <f aca="false">IF(COUNTIFS($A$2:A1836,A1836,$C$2:C1836,C1836,$D$2:D1836,D1836)&gt;1,"중복","")</f>
        <v/>
      </c>
      <c r="W1836" s="0" t="n">
        <f aca="false">IF(V1836="중복",0,N(D1836))</f>
        <v>290</v>
      </c>
      <c r="X1836" s="0" t="n">
        <f aca="false">IF(COUNTIFS($A$2:A1836,A1836,$C$2:C1836,C1836)=1,ABS(SUMIFS(RAW_발주!$D:$D,RAW_발주!$C:$C,A1836,RAW_발주!$A:$A,C1836)-SUMIFS($W:$W,$A:$A,A1836,$C:$C,C1836)),0)</f>
        <v>0</v>
      </c>
    </row>
    <row r="1837" customFormat="false" ht="15" hidden="false" customHeight="true" outlineLevel="0" collapsed="false">
      <c r="A1837" s="45" t="s">
        <v>1667</v>
      </c>
      <c r="B1837" s="42" t="str">
        <f aca="false">IF(A1837="100","HK",IF(A1837="200","CN",IF(A1837="300","TW","홀세일")))</f>
        <v>홀세일</v>
      </c>
      <c r="C1837" s="45" t="s">
        <v>1736</v>
      </c>
      <c r="D1837" s="46" t="n">
        <v>1250</v>
      </c>
      <c r="E1837" s="46" t="n">
        <v>45000</v>
      </c>
      <c r="F1837" s="46" t="n">
        <v>12400</v>
      </c>
      <c r="G1837" s="42" t="n">
        <v>3.3</v>
      </c>
      <c r="H1837" s="42" t="n">
        <v>10.9</v>
      </c>
      <c r="J1837" s="46" t="n">
        <f aca="false">IF(N(E1837)&gt;0,E1837,IF(N(F1837)&gt;0,F1837*요약!$F$27,0))</f>
        <v>45000</v>
      </c>
      <c r="K1837" s="46" t="n">
        <f aca="false">IF(N(F1837)&gt;0,F1837,IF(N(E1837)&gt;0,E1837/요약!$F$27,0))</f>
        <v>12400</v>
      </c>
      <c r="L1837" s="46" t="n">
        <f aca="false">IF(B1837="CN",IF(N(I1837)&gt;0,I1837*요약!$G$27,K1837*(1+요약!$E$27)),IF(N(H1837)&gt;0,H1837*요약!$G$27,J1837*요약!$D$27))</f>
        <v>14388</v>
      </c>
      <c r="M1837" s="46" t="n">
        <f aca="false">D1837*J1837</f>
        <v>56250000</v>
      </c>
      <c r="N1837" s="46" t="n">
        <f aca="false">D1837*K1837</f>
        <v>15500000</v>
      </c>
      <c r="O1837" s="46" t="n">
        <f aca="false">D1837*L1837</f>
        <v>17985000</v>
      </c>
      <c r="P1837" s="42" t="str">
        <f aca="false">TRIM(IF(N(E1837)&lt;=0,"택가보정 ","")&amp;IF(N(F1837)&lt;=0,"원가보정 ","")&amp;IF(AND(B1837&lt;&gt;"CN",N(H1837)&lt;=0),"공급가보정 ","")&amp;IF(AND(B1837="CN",N(I1837)&lt;=0),"중국공급가=원가+마진 ",""))</f>
        <v/>
      </c>
      <c r="Q1837" s="47" t="n">
        <f aca="false">IF(SUMIFS($W:$W,$A:$A,A1837,$C:$C,C1837)=0,0,SUMIFS(RAW_판매펀칭!$K:$K,RAW_판매펀칭!$P:$P,A1837,RAW_판매펀칭!$I:$I,C1837)*W1837/SUMIFS($W:$W,$A:$A,A1837,$C:$C,C1837))</f>
        <v>0</v>
      </c>
      <c r="R1837" s="47" t="n">
        <f aca="false">IF(OR(A1837="500",A1837="800",A1837="810"),0,MAX(W1837-Q1837,0))</f>
        <v>1250</v>
      </c>
      <c r="S1837" s="47" t="n">
        <f aca="false">R1837*L1837</f>
        <v>17985000</v>
      </c>
      <c r="T1837" s="47" t="n">
        <f aca="false">R1837*J1837</f>
        <v>56250000</v>
      </c>
      <c r="U1837" s="47" t="n">
        <f aca="false">R1837*K1837</f>
        <v>15500000</v>
      </c>
      <c r="V1837" s="0" t="str">
        <f aca="false">IF(COUNTIFS($A$2:A1837,A1837,$C$2:C1837,C1837,$D$2:D1837,D1837)&gt;1,"중복","")</f>
        <v/>
      </c>
      <c r="W1837" s="0" t="n">
        <f aca="false">IF(V1837="중복",0,N(D1837))</f>
        <v>1250</v>
      </c>
      <c r="X1837" s="0" t="n">
        <f aca="false">IF(COUNTIFS($A$2:A1837,A1837,$C$2:C1837,C1837)=1,ABS(SUMIFS(RAW_발주!$D:$D,RAW_발주!$C:$C,A1837,RAW_발주!$A:$A,C1837)-SUMIFS($W:$W,$A:$A,A1837,$C:$C,C1837)),0)</f>
        <v>0</v>
      </c>
    </row>
    <row r="1838" customFormat="false" ht="15" hidden="false" customHeight="true" outlineLevel="0" collapsed="false">
      <c r="A1838" s="45" t="s">
        <v>1660</v>
      </c>
      <c r="B1838" s="42" t="str">
        <f aca="false">IF(A1838="100","HK",IF(A1838="200","CN",IF(A1838="300","TW","홀세일")))</f>
        <v>CN</v>
      </c>
      <c r="C1838" s="45" t="s">
        <v>730</v>
      </c>
      <c r="D1838" s="46" t="n">
        <v>305</v>
      </c>
      <c r="E1838" s="46" t="n">
        <v>109000</v>
      </c>
      <c r="F1838" s="46" t="n">
        <v>32396</v>
      </c>
      <c r="G1838" s="42" t="n">
        <v>3.24</v>
      </c>
      <c r="H1838" s="42" t="n">
        <v>25.7</v>
      </c>
      <c r="I1838" s="42" t="n">
        <v>25.5</v>
      </c>
      <c r="J1838" s="46" t="n">
        <f aca="false">IF(N(E1838)&gt;0,E1838,IF(N(F1838)&gt;0,F1838*요약!$F$27,0))</f>
        <v>109000</v>
      </c>
      <c r="K1838" s="46" t="n">
        <f aca="false">IF(N(F1838)&gt;0,F1838,IF(N(E1838)&gt;0,E1838/요약!$F$27,0))</f>
        <v>32396</v>
      </c>
      <c r="L1838" s="46" t="n">
        <f aca="false">IF(B1838="CN",IF(N(I1838)&gt;0,I1838*요약!$G$27,K1838*(1+요약!$E$27)),IF(N(H1838)&gt;0,H1838*요약!$G$27,J1838*요약!$D$27))</f>
        <v>33660</v>
      </c>
      <c r="M1838" s="46" t="n">
        <f aca="false">D1838*J1838</f>
        <v>33245000</v>
      </c>
      <c r="N1838" s="46" t="n">
        <f aca="false">D1838*K1838</f>
        <v>9880780</v>
      </c>
      <c r="O1838" s="46" t="n">
        <f aca="false">D1838*L1838</f>
        <v>10266300</v>
      </c>
      <c r="P1838" s="42" t="str">
        <f aca="false">TRIM(IF(N(E1838)&lt;=0,"택가보정 ","")&amp;IF(N(F1838)&lt;=0,"원가보정 ","")&amp;IF(AND(B1838&lt;&gt;"CN",N(H1838)&lt;=0),"공급가보정 ","")&amp;IF(AND(B1838="CN",N(I1838)&lt;=0),"중국공급가=원가+마진 ",""))</f>
        <v/>
      </c>
      <c r="Q1838" s="47" t="n">
        <f aca="false">IF(SUMIFS($W:$W,$A:$A,A1838,$C:$C,C1838)=0,0,SUMIFS(RAW_판매펀칭!$K:$K,RAW_판매펀칭!$P:$P,A1838,RAW_판매펀칭!$I:$I,C1838)*W1838/SUMIFS($W:$W,$A:$A,A1838,$C:$C,C1838))</f>
        <v>295</v>
      </c>
      <c r="R1838" s="47" t="n">
        <f aca="false">IF(OR(A1838="500",A1838="800",A1838="810"),0,MAX(W1838-Q1838,0))</f>
        <v>10</v>
      </c>
      <c r="S1838" s="47" t="n">
        <f aca="false">R1838*L1838</f>
        <v>336600</v>
      </c>
      <c r="T1838" s="47" t="n">
        <f aca="false">R1838*J1838</f>
        <v>1090000</v>
      </c>
      <c r="U1838" s="47" t="n">
        <f aca="false">R1838*K1838</f>
        <v>323960</v>
      </c>
      <c r="V1838" s="0" t="str">
        <f aca="false">IF(COUNTIFS($A$2:A1838,A1838,$C$2:C1838,C1838,$D$2:D1838,D1838)&gt;1,"중복","")</f>
        <v/>
      </c>
      <c r="W1838" s="0" t="n">
        <f aca="false">IF(V1838="중복",0,N(D1838))</f>
        <v>305</v>
      </c>
      <c r="X1838" s="0" t="n">
        <f aca="false">IF(COUNTIFS($A$2:A1838,A1838,$C$2:C1838,C1838)=1,ABS(SUMIFS(RAW_발주!$D:$D,RAW_발주!$C:$C,A1838,RAW_발주!$A:$A,C1838)-SUMIFS($W:$W,$A:$A,A1838,$C:$C,C1838)),0)</f>
        <v>0</v>
      </c>
    </row>
    <row r="1839" customFormat="false" ht="15" hidden="false" customHeight="true" outlineLevel="0" collapsed="false">
      <c r="A1839" s="45" t="s">
        <v>1661</v>
      </c>
      <c r="B1839" s="42" t="str">
        <f aca="false">IF(A1839="100","HK",IF(A1839="200","CN",IF(A1839="300","TW","홀세일")))</f>
        <v>TW</v>
      </c>
      <c r="C1839" s="45" t="s">
        <v>730</v>
      </c>
      <c r="D1839" s="46" t="n">
        <v>200</v>
      </c>
      <c r="E1839" s="46" t="n">
        <v>109000</v>
      </c>
      <c r="F1839" s="46" t="n">
        <v>32396</v>
      </c>
      <c r="G1839" s="42" t="n">
        <v>3.24</v>
      </c>
      <c r="H1839" s="42" t="n">
        <v>25.7</v>
      </c>
      <c r="I1839" s="42" t="n">
        <v>25.5</v>
      </c>
      <c r="J1839" s="46" t="n">
        <f aca="false">IF(N(E1839)&gt;0,E1839,IF(N(F1839)&gt;0,F1839*요약!$F$27,0))</f>
        <v>109000</v>
      </c>
      <c r="K1839" s="46" t="n">
        <f aca="false">IF(N(F1839)&gt;0,F1839,IF(N(E1839)&gt;0,E1839/요약!$F$27,0))</f>
        <v>32396</v>
      </c>
      <c r="L1839" s="46" t="n">
        <f aca="false">IF(B1839="CN",IF(N(I1839)&gt;0,I1839*요약!$G$27,K1839*(1+요약!$E$27)),IF(N(H1839)&gt;0,H1839*요약!$G$27,J1839*요약!$D$27))</f>
        <v>33924</v>
      </c>
      <c r="M1839" s="46" t="n">
        <f aca="false">D1839*J1839</f>
        <v>21800000</v>
      </c>
      <c r="N1839" s="46" t="n">
        <f aca="false">D1839*K1839</f>
        <v>6479200</v>
      </c>
      <c r="O1839" s="46" t="n">
        <f aca="false">D1839*L1839</f>
        <v>6784800</v>
      </c>
      <c r="P1839" s="42" t="str">
        <f aca="false">TRIM(IF(N(E1839)&lt;=0,"택가보정 ","")&amp;IF(N(F1839)&lt;=0,"원가보정 ","")&amp;IF(AND(B1839&lt;&gt;"CN",N(H1839)&lt;=0),"공급가보정 ","")&amp;IF(AND(B1839="CN",N(I1839)&lt;=0),"중국공급가=원가+마진 ",""))</f>
        <v/>
      </c>
      <c r="Q1839" s="47" t="n">
        <f aca="false">IF(SUMIFS($W:$W,$A:$A,A1839,$C:$C,C1839)=0,0,SUMIFS(RAW_판매펀칭!$K:$K,RAW_판매펀칭!$P:$P,A1839,RAW_판매펀칭!$I:$I,C1839)*W1839/SUMIFS($W:$W,$A:$A,A1839,$C:$C,C1839))</f>
        <v>197</v>
      </c>
      <c r="R1839" s="47" t="n">
        <f aca="false">IF(OR(A1839="500",A1839="800",A1839="810"),0,MAX(W1839-Q1839,0))</f>
        <v>3</v>
      </c>
      <c r="S1839" s="47" t="n">
        <f aca="false">R1839*L1839</f>
        <v>101772</v>
      </c>
      <c r="T1839" s="47" t="n">
        <f aca="false">R1839*J1839</f>
        <v>327000</v>
      </c>
      <c r="U1839" s="47" t="n">
        <f aca="false">R1839*K1839</f>
        <v>97188</v>
      </c>
      <c r="V1839" s="0" t="str">
        <f aca="false">IF(COUNTIFS($A$2:A1839,A1839,$C$2:C1839,C1839,$D$2:D1839,D1839)&gt;1,"중복","")</f>
        <v/>
      </c>
      <c r="W1839" s="0" t="n">
        <f aca="false">IF(V1839="중복",0,N(D1839))</f>
        <v>200</v>
      </c>
      <c r="X1839" s="0" t="n">
        <f aca="false">IF(COUNTIFS($A$2:A1839,A1839,$C$2:C1839,C1839)=1,ABS(SUMIFS(RAW_발주!$D:$D,RAW_발주!$C:$C,A1839,RAW_발주!$A:$A,C1839)-SUMIFS($W:$W,$A:$A,A1839,$C:$C,C1839)),0)</f>
        <v>0</v>
      </c>
    </row>
    <row r="1840" customFormat="false" ht="15" hidden="false" customHeight="true" outlineLevel="0" collapsed="false">
      <c r="A1840" s="45" t="s">
        <v>1663</v>
      </c>
      <c r="B1840" s="42" t="str">
        <f aca="false">IF(A1840="100","HK",IF(A1840="200","CN",IF(A1840="300","TW","홀세일")))</f>
        <v>홀세일</v>
      </c>
      <c r="C1840" s="45" t="s">
        <v>730</v>
      </c>
      <c r="D1840" s="46" t="n">
        <v>20</v>
      </c>
      <c r="E1840" s="46" t="n">
        <v>109000</v>
      </c>
      <c r="F1840" s="46" t="n">
        <v>32396</v>
      </c>
      <c r="G1840" s="42" t="n">
        <v>3.24</v>
      </c>
      <c r="H1840" s="42" t="n">
        <v>25.7</v>
      </c>
      <c r="I1840" s="42" t="n">
        <v>25.5</v>
      </c>
      <c r="J1840" s="46" t="n">
        <f aca="false">IF(N(E1840)&gt;0,E1840,IF(N(F1840)&gt;0,F1840*요약!$F$27,0))</f>
        <v>109000</v>
      </c>
      <c r="K1840" s="46" t="n">
        <f aca="false">IF(N(F1840)&gt;0,F1840,IF(N(E1840)&gt;0,E1840/요약!$F$27,0))</f>
        <v>32396</v>
      </c>
      <c r="L1840" s="46" t="n">
        <f aca="false">IF(B1840="CN",IF(N(I1840)&gt;0,I1840*요약!$G$27,K1840*(1+요약!$E$27)),IF(N(H1840)&gt;0,H1840*요약!$G$27,J1840*요약!$D$27))</f>
        <v>33924</v>
      </c>
      <c r="M1840" s="46" t="n">
        <f aca="false">D1840*J1840</f>
        <v>2180000</v>
      </c>
      <c r="N1840" s="46" t="n">
        <f aca="false">D1840*K1840</f>
        <v>647920</v>
      </c>
      <c r="O1840" s="46" t="n">
        <f aca="false">D1840*L1840</f>
        <v>678480</v>
      </c>
      <c r="P1840" s="42" t="str">
        <f aca="false">TRIM(IF(N(E1840)&lt;=0,"택가보정 ","")&amp;IF(N(F1840)&lt;=0,"원가보정 ","")&amp;IF(AND(B1840&lt;&gt;"CN",N(H1840)&lt;=0),"공급가보정 ","")&amp;IF(AND(B1840="CN",N(I1840)&lt;=0),"중국공급가=원가+마진 ",""))</f>
        <v/>
      </c>
      <c r="Q1840" s="47" t="n">
        <f aca="false">IF(SUMIFS($W:$W,$A:$A,A1840,$C:$C,C1840)=0,0,SUMIFS(RAW_판매펀칭!$K:$K,RAW_판매펀칭!$P:$P,A1840,RAW_판매펀칭!$I:$I,C1840)*W1840/SUMIFS($W:$W,$A:$A,A1840,$C:$C,C1840))</f>
        <v>20</v>
      </c>
      <c r="R1840" s="47" t="n">
        <f aca="false">IF(OR(A1840="500",A1840="800",A1840="810"),0,MAX(W1840-Q1840,0))</f>
        <v>0</v>
      </c>
      <c r="S1840" s="47" t="n">
        <f aca="false">R1840*L1840</f>
        <v>0</v>
      </c>
      <c r="T1840" s="47" t="n">
        <f aca="false">R1840*J1840</f>
        <v>0</v>
      </c>
      <c r="U1840" s="47" t="n">
        <f aca="false">R1840*K1840</f>
        <v>0</v>
      </c>
      <c r="V1840" s="0" t="str">
        <f aca="false">IF(COUNTIFS($A$2:A1840,A1840,$C$2:C1840,C1840,$D$2:D1840,D1840)&gt;1,"중복","")</f>
        <v/>
      </c>
      <c r="W1840" s="0" t="n">
        <f aca="false">IF(V1840="중복",0,N(D1840))</f>
        <v>20</v>
      </c>
      <c r="X1840" s="0" t="n">
        <f aca="false">IF(COUNTIFS($A$2:A1840,A1840,$C$2:C1840,C1840)=1,ABS(SUMIFS(RAW_발주!$D:$D,RAW_발주!$C:$C,A1840,RAW_발주!$A:$A,C1840)-SUMIFS($W:$W,$A:$A,A1840,$C:$C,C1840)),0)</f>
        <v>0</v>
      </c>
    </row>
    <row r="1841" customFormat="false" ht="15" hidden="false" customHeight="true" outlineLevel="0" collapsed="false">
      <c r="A1841" s="45" t="s">
        <v>1660</v>
      </c>
      <c r="B1841" s="42" t="str">
        <f aca="false">IF(A1841="100","HK",IF(A1841="200","CN",IF(A1841="300","TW","홀세일")))</f>
        <v>CN</v>
      </c>
      <c r="C1841" s="45" t="s">
        <v>732</v>
      </c>
      <c r="D1841" s="46" t="n">
        <v>341</v>
      </c>
      <c r="E1841" s="46" t="n">
        <v>469000</v>
      </c>
      <c r="F1841" s="46" t="n">
        <v>129343</v>
      </c>
      <c r="G1841" s="42" t="n">
        <v>3.23</v>
      </c>
      <c r="H1841" s="42" t="n">
        <v>117.4</v>
      </c>
      <c r="I1841" s="42" t="n">
        <v>97</v>
      </c>
      <c r="J1841" s="46" t="n">
        <f aca="false">IF(N(E1841)&gt;0,E1841,IF(N(F1841)&gt;0,F1841*요약!$F$27,0))</f>
        <v>469000</v>
      </c>
      <c r="K1841" s="46" t="n">
        <f aca="false">IF(N(F1841)&gt;0,F1841,IF(N(E1841)&gt;0,E1841/요약!$F$27,0))</f>
        <v>129343</v>
      </c>
      <c r="L1841" s="46" t="n">
        <f aca="false">IF(B1841="CN",IF(N(I1841)&gt;0,I1841*요약!$G$27,K1841*(1+요약!$E$27)),IF(N(H1841)&gt;0,H1841*요약!$G$27,J1841*요약!$D$27))</f>
        <v>128040</v>
      </c>
      <c r="M1841" s="46" t="n">
        <f aca="false">D1841*J1841</f>
        <v>159929000</v>
      </c>
      <c r="N1841" s="46" t="n">
        <f aca="false">D1841*K1841</f>
        <v>44105963</v>
      </c>
      <c r="O1841" s="46" t="n">
        <f aca="false">D1841*L1841</f>
        <v>43661640</v>
      </c>
      <c r="P1841" s="42" t="str">
        <f aca="false">TRIM(IF(N(E1841)&lt;=0,"택가보정 ","")&amp;IF(N(F1841)&lt;=0,"원가보정 ","")&amp;IF(AND(B1841&lt;&gt;"CN",N(H1841)&lt;=0),"공급가보정 ","")&amp;IF(AND(B1841="CN",N(I1841)&lt;=0),"중국공급가=원가+마진 ",""))</f>
        <v/>
      </c>
      <c r="Q1841" s="47" t="n">
        <f aca="false">IF(SUMIFS($W:$W,$A:$A,A1841,$C:$C,C1841)=0,0,SUMIFS(RAW_판매펀칭!$K:$K,RAW_판매펀칭!$P:$P,A1841,RAW_판매펀칭!$I:$I,C1841)*W1841/SUMIFS($W:$W,$A:$A,A1841,$C:$C,C1841))</f>
        <v>341</v>
      </c>
      <c r="R1841" s="47" t="n">
        <f aca="false">IF(OR(A1841="500",A1841="800",A1841="810"),0,MAX(W1841-Q1841,0))</f>
        <v>0</v>
      </c>
      <c r="S1841" s="47" t="n">
        <f aca="false">R1841*L1841</f>
        <v>0</v>
      </c>
      <c r="T1841" s="47" t="n">
        <f aca="false">R1841*J1841</f>
        <v>0</v>
      </c>
      <c r="U1841" s="47" t="n">
        <f aca="false">R1841*K1841</f>
        <v>0</v>
      </c>
      <c r="V1841" s="0" t="str">
        <f aca="false">IF(COUNTIFS($A$2:A1841,A1841,$C$2:C1841,C1841,$D$2:D1841,D1841)&gt;1,"중복","")</f>
        <v/>
      </c>
      <c r="W1841" s="0" t="n">
        <f aca="false">IF(V1841="중복",0,N(D1841))</f>
        <v>341</v>
      </c>
      <c r="X1841" s="0" t="n">
        <f aca="false">IF(COUNTIFS($A$2:A1841,A1841,$C$2:C1841,C1841)=1,ABS(SUMIFS(RAW_발주!$D:$D,RAW_발주!$C:$C,A1841,RAW_발주!$A:$A,C1841)-SUMIFS($W:$W,$A:$A,A1841,$C:$C,C1841)),0)</f>
        <v>0</v>
      </c>
    </row>
    <row r="1842" customFormat="false" ht="15" hidden="false" customHeight="true" outlineLevel="0" collapsed="false">
      <c r="A1842" s="45" t="s">
        <v>1661</v>
      </c>
      <c r="B1842" s="42" t="str">
        <f aca="false">IF(A1842="100","HK",IF(A1842="200","CN",IF(A1842="300","TW","홀세일")))</f>
        <v>TW</v>
      </c>
      <c r="C1842" s="45" t="s">
        <v>732</v>
      </c>
      <c r="D1842" s="46" t="n">
        <v>200</v>
      </c>
      <c r="E1842" s="46" t="n">
        <v>469000</v>
      </c>
      <c r="F1842" s="46" t="n">
        <v>129343</v>
      </c>
      <c r="G1842" s="42" t="n">
        <v>3.23</v>
      </c>
      <c r="H1842" s="42" t="n">
        <v>117.4</v>
      </c>
      <c r="I1842" s="42" t="n">
        <v>97</v>
      </c>
      <c r="J1842" s="46" t="n">
        <f aca="false">IF(N(E1842)&gt;0,E1842,IF(N(F1842)&gt;0,F1842*요약!$F$27,0))</f>
        <v>469000</v>
      </c>
      <c r="K1842" s="46" t="n">
        <f aca="false">IF(N(F1842)&gt;0,F1842,IF(N(E1842)&gt;0,E1842/요약!$F$27,0))</f>
        <v>129343</v>
      </c>
      <c r="L1842" s="46" t="n">
        <f aca="false">IF(B1842="CN",IF(N(I1842)&gt;0,I1842*요약!$G$27,K1842*(1+요약!$E$27)),IF(N(H1842)&gt;0,H1842*요약!$G$27,J1842*요약!$D$27))</f>
        <v>154968</v>
      </c>
      <c r="M1842" s="46" t="n">
        <f aca="false">D1842*J1842</f>
        <v>93800000</v>
      </c>
      <c r="N1842" s="46" t="n">
        <f aca="false">D1842*K1842</f>
        <v>25868600</v>
      </c>
      <c r="O1842" s="46" t="n">
        <f aca="false">D1842*L1842</f>
        <v>30993600</v>
      </c>
      <c r="P1842" s="42" t="str">
        <f aca="false">TRIM(IF(N(E1842)&lt;=0,"택가보정 ","")&amp;IF(N(F1842)&lt;=0,"원가보정 ","")&amp;IF(AND(B1842&lt;&gt;"CN",N(H1842)&lt;=0),"공급가보정 ","")&amp;IF(AND(B1842="CN",N(I1842)&lt;=0),"중국공급가=원가+마진 ",""))</f>
        <v/>
      </c>
      <c r="Q1842" s="47" t="n">
        <f aca="false">IF(SUMIFS($W:$W,$A:$A,A1842,$C:$C,C1842)=0,0,SUMIFS(RAW_판매펀칭!$K:$K,RAW_판매펀칭!$P:$P,A1842,RAW_판매펀칭!$I:$I,C1842)*W1842/SUMIFS($W:$W,$A:$A,A1842,$C:$C,C1842))</f>
        <v>200</v>
      </c>
      <c r="R1842" s="47" t="n">
        <f aca="false">IF(OR(A1842="500",A1842="800",A1842="810"),0,MAX(W1842-Q1842,0))</f>
        <v>0</v>
      </c>
      <c r="S1842" s="47" t="n">
        <f aca="false">R1842*L1842</f>
        <v>0</v>
      </c>
      <c r="T1842" s="47" t="n">
        <f aca="false">R1842*J1842</f>
        <v>0</v>
      </c>
      <c r="U1842" s="47" t="n">
        <f aca="false">R1842*K1842</f>
        <v>0</v>
      </c>
      <c r="V1842" s="0" t="str">
        <f aca="false">IF(COUNTIFS($A$2:A1842,A1842,$C$2:C1842,C1842,$D$2:D1842,D1842)&gt;1,"중복","")</f>
        <v/>
      </c>
      <c r="W1842" s="0" t="n">
        <f aca="false">IF(V1842="중복",0,N(D1842))</f>
        <v>200</v>
      </c>
      <c r="X1842" s="0" t="n">
        <f aca="false">IF(COUNTIFS($A$2:A1842,A1842,$C$2:C1842,C1842)=1,ABS(SUMIFS(RAW_발주!$D:$D,RAW_발주!$C:$C,A1842,RAW_발주!$A:$A,C1842)-SUMIFS($W:$W,$A:$A,A1842,$C:$C,C1842)),0)</f>
        <v>0</v>
      </c>
    </row>
    <row r="1843" customFormat="false" ht="15" hidden="false" customHeight="true" outlineLevel="0" collapsed="false">
      <c r="A1843" s="45" t="s">
        <v>1660</v>
      </c>
      <c r="B1843" s="42" t="str">
        <f aca="false">IF(A1843="100","HK",IF(A1843="200","CN",IF(A1843="300","TW","홀세일")))</f>
        <v>CN</v>
      </c>
      <c r="C1843" s="45" t="s">
        <v>1176</v>
      </c>
      <c r="D1843" s="46" t="n">
        <v>292</v>
      </c>
      <c r="E1843" s="46" t="n">
        <v>229000</v>
      </c>
      <c r="F1843" s="46" t="n">
        <v>70468</v>
      </c>
      <c r="G1843" s="42" t="n">
        <v>3.05</v>
      </c>
      <c r="H1843" s="42" t="n">
        <v>57.4</v>
      </c>
      <c r="I1843" s="42" t="n">
        <v>52.7</v>
      </c>
      <c r="J1843" s="46" t="n">
        <f aca="false">IF(N(E1843)&gt;0,E1843,IF(N(F1843)&gt;0,F1843*요약!$F$27,0))</f>
        <v>229000</v>
      </c>
      <c r="K1843" s="46" t="n">
        <f aca="false">IF(N(F1843)&gt;0,F1843,IF(N(E1843)&gt;0,E1843/요약!$F$27,0))</f>
        <v>70468</v>
      </c>
      <c r="L1843" s="46" t="n">
        <f aca="false">IF(B1843="CN",IF(N(I1843)&gt;0,I1843*요약!$G$27,K1843*(1+요약!$E$27)),IF(N(H1843)&gt;0,H1843*요약!$G$27,J1843*요약!$D$27))</f>
        <v>69564</v>
      </c>
      <c r="M1843" s="46" t="n">
        <f aca="false">D1843*J1843</f>
        <v>66868000</v>
      </c>
      <c r="N1843" s="46" t="n">
        <f aca="false">D1843*K1843</f>
        <v>20576656</v>
      </c>
      <c r="O1843" s="46" t="n">
        <f aca="false">D1843*L1843</f>
        <v>20312688</v>
      </c>
      <c r="P1843" s="42" t="str">
        <f aca="false">TRIM(IF(N(E1843)&lt;=0,"택가보정 ","")&amp;IF(N(F1843)&lt;=0,"원가보정 ","")&amp;IF(AND(B1843&lt;&gt;"CN",N(H1843)&lt;=0),"공급가보정 ","")&amp;IF(AND(B1843="CN",N(I1843)&lt;=0),"중국공급가=원가+마진 ",""))</f>
        <v/>
      </c>
      <c r="Q1843" s="47" t="n">
        <f aca="false">IF(SUMIFS($W:$W,$A:$A,A1843,$C:$C,C1843)=0,0,SUMIFS(RAW_판매펀칭!$K:$K,RAW_판매펀칭!$P:$P,A1843,RAW_판매펀칭!$I:$I,C1843)*W1843/SUMIFS($W:$W,$A:$A,A1843,$C:$C,C1843))</f>
        <v>278</v>
      </c>
      <c r="R1843" s="47" t="n">
        <f aca="false">IF(OR(A1843="500",A1843="800",A1843="810"),0,MAX(W1843-Q1843,0))</f>
        <v>14</v>
      </c>
      <c r="S1843" s="47" t="n">
        <f aca="false">R1843*L1843</f>
        <v>973896</v>
      </c>
      <c r="T1843" s="47" t="n">
        <f aca="false">R1843*J1843</f>
        <v>3206000</v>
      </c>
      <c r="U1843" s="47" t="n">
        <f aca="false">R1843*K1843</f>
        <v>986552</v>
      </c>
      <c r="V1843" s="0" t="str">
        <f aca="false">IF(COUNTIFS($A$2:A1843,A1843,$C$2:C1843,C1843,$D$2:D1843,D1843)&gt;1,"중복","")</f>
        <v/>
      </c>
      <c r="W1843" s="0" t="n">
        <f aca="false">IF(V1843="중복",0,N(D1843))</f>
        <v>292</v>
      </c>
      <c r="X1843" s="0" t="n">
        <f aca="false">IF(COUNTIFS($A$2:A1843,A1843,$C$2:C1843,C1843)=1,ABS(SUMIFS(RAW_발주!$D:$D,RAW_발주!$C:$C,A1843,RAW_발주!$A:$A,C1843)-SUMIFS($W:$W,$A:$A,A1843,$C:$C,C1843)),0)</f>
        <v>0</v>
      </c>
    </row>
    <row r="1844" customFormat="false" ht="15" hidden="false" customHeight="true" outlineLevel="0" collapsed="false">
      <c r="A1844" s="45" t="s">
        <v>1661</v>
      </c>
      <c r="B1844" s="42" t="str">
        <f aca="false">IF(A1844="100","HK",IF(A1844="200","CN",IF(A1844="300","TW","홀세일")))</f>
        <v>TW</v>
      </c>
      <c r="C1844" s="45" t="s">
        <v>1737</v>
      </c>
      <c r="D1844" s="46" t="n">
        <v>280</v>
      </c>
      <c r="E1844" s="46"/>
      <c r="F1844" s="46"/>
      <c r="G1844" s="42" t="n">
        <v>0</v>
      </c>
      <c r="J1844" s="46" t="n">
        <f aca="false">IF(N(E1844)&gt;0,E1844,IF(N(F1844)&gt;0,F1844*요약!$F$27,0))</f>
        <v>0</v>
      </c>
      <c r="K1844" s="46" t="n">
        <f aca="false">IF(N(F1844)&gt;0,F1844,IF(N(E1844)&gt;0,E1844/요약!$F$27,0))</f>
        <v>0</v>
      </c>
      <c r="L1844" s="46" t="n">
        <f aca="false">IF(B1844="CN",IF(N(I1844)&gt;0,I1844*요약!$G$27,K1844*(1+요약!$E$27)),IF(N(H1844)&gt;0,H1844*요약!$G$27,J1844*요약!$D$27))</f>
        <v>0</v>
      </c>
      <c r="M1844" s="46" t="n">
        <f aca="false">D1844*J1844</f>
        <v>0</v>
      </c>
      <c r="N1844" s="46" t="n">
        <f aca="false">D1844*K1844</f>
        <v>0</v>
      </c>
      <c r="O1844" s="46" t="n">
        <f aca="false">D1844*L1844</f>
        <v>0</v>
      </c>
      <c r="P1844" s="42" t="str">
        <f aca="false">TRIM(IF(N(E1844)&lt;=0,"택가보정 ","")&amp;IF(N(F1844)&lt;=0,"원가보정 ","")&amp;IF(AND(B1844&lt;&gt;"CN",N(H1844)&lt;=0),"공급가보정 ","")&amp;IF(AND(B1844="CN",N(I1844)&lt;=0),"중국공급가=원가+마진 ",""))</f>
        <v>택가보정 원가보정 공급가보정</v>
      </c>
      <c r="Q1844" s="47" t="n">
        <f aca="false">IF(SUMIFS($W:$W,$A:$A,A1844,$C:$C,C1844)=0,0,SUMIFS(RAW_판매펀칭!$K:$K,RAW_판매펀칭!$P:$P,A1844,RAW_판매펀칭!$I:$I,C1844)*W1844/SUMIFS($W:$W,$A:$A,A1844,$C:$C,C1844))</f>
        <v>0</v>
      </c>
      <c r="R1844" s="47" t="n">
        <f aca="false">IF(OR(A1844="500",A1844="800",A1844="810"),0,MAX(W1844-Q1844,0))</f>
        <v>280</v>
      </c>
      <c r="S1844" s="47" t="n">
        <f aca="false">R1844*L1844</f>
        <v>0</v>
      </c>
      <c r="T1844" s="47" t="n">
        <f aca="false">R1844*J1844</f>
        <v>0</v>
      </c>
      <c r="U1844" s="47" t="n">
        <f aca="false">R1844*K1844</f>
        <v>0</v>
      </c>
      <c r="V1844" s="0" t="str">
        <f aca="false">IF(COUNTIFS($A$2:A1844,A1844,$C$2:C1844,C1844,$D$2:D1844,D1844)&gt;1,"중복","")</f>
        <v/>
      </c>
      <c r="W1844" s="0" t="n">
        <f aca="false">IF(V1844="중복",0,N(D1844))</f>
        <v>280</v>
      </c>
      <c r="X1844" s="0" t="n">
        <f aca="false">IF(COUNTIFS($A$2:A1844,A1844,$C$2:C1844,C1844)=1,ABS(SUMIFS(RAW_발주!$D:$D,RAW_발주!$C:$C,A1844,RAW_발주!$A:$A,C1844)-SUMIFS($W:$W,$A:$A,A1844,$C:$C,C1844)),0)</f>
        <v>0</v>
      </c>
    </row>
    <row r="1845" customFormat="false" ht="15" hidden="false" customHeight="true" outlineLevel="0" collapsed="false">
      <c r="A1845" s="45" t="s">
        <v>1659</v>
      </c>
      <c r="B1845" s="42" t="str">
        <f aca="false">IF(A1845="100","HK",IF(A1845="200","CN",IF(A1845="300","TW","홀세일")))</f>
        <v>HK</v>
      </c>
      <c r="C1845" s="45" t="s">
        <v>1017</v>
      </c>
      <c r="D1845" s="46" t="n">
        <v>240</v>
      </c>
      <c r="E1845" s="46" t="n">
        <v>319000</v>
      </c>
      <c r="F1845" s="46" t="n">
        <v>71894</v>
      </c>
      <c r="G1845" s="42" t="n">
        <v>3.24</v>
      </c>
      <c r="H1845" s="42" t="n">
        <v>79.9</v>
      </c>
      <c r="I1845" s="42" t="n">
        <v>55.9</v>
      </c>
      <c r="J1845" s="46" t="n">
        <f aca="false">IF(N(E1845)&gt;0,E1845,IF(N(F1845)&gt;0,F1845*요약!$F$27,0))</f>
        <v>319000</v>
      </c>
      <c r="K1845" s="46" t="n">
        <f aca="false">IF(N(F1845)&gt;0,F1845,IF(N(E1845)&gt;0,E1845/요약!$F$27,0))</f>
        <v>71894</v>
      </c>
      <c r="L1845" s="46" t="n">
        <f aca="false">IF(B1845="CN",IF(N(I1845)&gt;0,I1845*요약!$G$27,K1845*(1+요약!$E$27)),IF(N(H1845)&gt;0,H1845*요약!$G$27,J1845*요약!$D$27))</f>
        <v>105468</v>
      </c>
      <c r="M1845" s="46" t="n">
        <f aca="false">D1845*J1845</f>
        <v>76560000</v>
      </c>
      <c r="N1845" s="46" t="n">
        <f aca="false">D1845*K1845</f>
        <v>17254560</v>
      </c>
      <c r="O1845" s="46" t="n">
        <f aca="false">D1845*L1845</f>
        <v>25312320</v>
      </c>
      <c r="P1845" s="42" t="str">
        <f aca="false">TRIM(IF(N(E1845)&lt;=0,"택가보정 ","")&amp;IF(N(F1845)&lt;=0,"원가보정 ","")&amp;IF(AND(B1845&lt;&gt;"CN",N(H1845)&lt;=0),"공급가보정 ","")&amp;IF(AND(B1845="CN",N(I1845)&lt;=0),"중국공급가=원가+마진 ",""))</f>
        <v/>
      </c>
      <c r="Q1845" s="47" t="n">
        <f aca="false">IF(SUMIFS($W:$W,$A:$A,A1845,$C:$C,C1845)=0,0,SUMIFS(RAW_판매펀칭!$K:$K,RAW_판매펀칭!$P:$P,A1845,RAW_판매펀칭!$I:$I,C1845)*W1845/SUMIFS($W:$W,$A:$A,A1845,$C:$C,C1845))</f>
        <v>230</v>
      </c>
      <c r="R1845" s="47" t="n">
        <f aca="false">IF(OR(A1845="500",A1845="800",A1845="810"),0,MAX(W1845-Q1845,0))</f>
        <v>10</v>
      </c>
      <c r="S1845" s="47" t="n">
        <f aca="false">R1845*L1845</f>
        <v>1054680</v>
      </c>
      <c r="T1845" s="47" t="n">
        <f aca="false">R1845*J1845</f>
        <v>3190000</v>
      </c>
      <c r="U1845" s="47" t="n">
        <f aca="false">R1845*K1845</f>
        <v>718940</v>
      </c>
      <c r="V1845" s="0" t="str">
        <f aca="false">IF(COUNTIFS($A$2:A1845,A1845,$C$2:C1845,C1845,$D$2:D1845,D1845)&gt;1,"중복","")</f>
        <v/>
      </c>
      <c r="W1845" s="0" t="n">
        <f aca="false">IF(V1845="중복",0,N(D1845))</f>
        <v>240</v>
      </c>
      <c r="X1845" s="0" t="n">
        <f aca="false">IF(COUNTIFS($A$2:A1845,A1845,$C$2:C1845,C1845)=1,ABS(SUMIFS(RAW_발주!$D:$D,RAW_발주!$C:$C,A1845,RAW_발주!$A:$A,C1845)-SUMIFS($W:$W,$A:$A,A1845,$C:$C,C1845)),0)</f>
        <v>0</v>
      </c>
    </row>
    <row r="1846" customFormat="false" ht="15" hidden="false" customHeight="true" outlineLevel="0" collapsed="false">
      <c r="A1846" s="45" t="s">
        <v>1660</v>
      </c>
      <c r="B1846" s="42" t="str">
        <f aca="false">IF(A1846="100","HK",IF(A1846="200","CN",IF(A1846="300","TW","홀세일")))</f>
        <v>CN</v>
      </c>
      <c r="C1846" s="45" t="s">
        <v>1017</v>
      </c>
      <c r="D1846" s="46" t="n">
        <v>91</v>
      </c>
      <c r="E1846" s="46" t="n">
        <v>319000</v>
      </c>
      <c r="F1846" s="46" t="n">
        <v>71894</v>
      </c>
      <c r="G1846" s="42" t="n">
        <v>3.24</v>
      </c>
      <c r="H1846" s="42" t="n">
        <v>79.9</v>
      </c>
      <c r="I1846" s="42" t="n">
        <v>55.9</v>
      </c>
      <c r="J1846" s="46" t="n">
        <f aca="false">IF(N(E1846)&gt;0,E1846,IF(N(F1846)&gt;0,F1846*요약!$F$27,0))</f>
        <v>319000</v>
      </c>
      <c r="K1846" s="46" t="n">
        <f aca="false">IF(N(F1846)&gt;0,F1846,IF(N(E1846)&gt;0,E1846/요약!$F$27,0))</f>
        <v>71894</v>
      </c>
      <c r="L1846" s="46" t="n">
        <f aca="false">IF(B1846="CN",IF(N(I1846)&gt;0,I1846*요약!$G$27,K1846*(1+요약!$E$27)),IF(N(H1846)&gt;0,H1846*요약!$G$27,J1846*요약!$D$27))</f>
        <v>73788</v>
      </c>
      <c r="M1846" s="46" t="n">
        <f aca="false">D1846*J1846</f>
        <v>29029000</v>
      </c>
      <c r="N1846" s="46" t="n">
        <f aca="false">D1846*K1846</f>
        <v>6542354</v>
      </c>
      <c r="O1846" s="46" t="n">
        <f aca="false">D1846*L1846</f>
        <v>6714708</v>
      </c>
      <c r="P1846" s="42" t="str">
        <f aca="false">TRIM(IF(N(E1846)&lt;=0,"택가보정 ","")&amp;IF(N(F1846)&lt;=0,"원가보정 ","")&amp;IF(AND(B1846&lt;&gt;"CN",N(H1846)&lt;=0),"공급가보정 ","")&amp;IF(AND(B1846="CN",N(I1846)&lt;=0),"중국공급가=원가+마진 ",""))</f>
        <v/>
      </c>
      <c r="Q1846" s="47" t="n">
        <f aca="false">IF(SUMIFS($W:$W,$A:$A,A1846,$C:$C,C1846)=0,0,SUMIFS(RAW_판매펀칭!$K:$K,RAW_판매펀칭!$P:$P,A1846,RAW_판매펀칭!$I:$I,C1846)*W1846/SUMIFS($W:$W,$A:$A,A1846,$C:$C,C1846))</f>
        <v>89</v>
      </c>
      <c r="R1846" s="47" t="n">
        <f aca="false">IF(OR(A1846="500",A1846="800",A1846="810"),0,MAX(W1846-Q1846,0))</f>
        <v>2</v>
      </c>
      <c r="S1846" s="47" t="n">
        <f aca="false">R1846*L1846</f>
        <v>147576</v>
      </c>
      <c r="T1846" s="47" t="n">
        <f aca="false">R1846*J1846</f>
        <v>638000</v>
      </c>
      <c r="U1846" s="47" t="n">
        <f aca="false">R1846*K1846</f>
        <v>143788</v>
      </c>
      <c r="V1846" s="0" t="str">
        <f aca="false">IF(COUNTIFS($A$2:A1846,A1846,$C$2:C1846,C1846,$D$2:D1846,D1846)&gt;1,"중복","")</f>
        <v/>
      </c>
      <c r="W1846" s="0" t="n">
        <f aca="false">IF(V1846="중복",0,N(D1846))</f>
        <v>91</v>
      </c>
      <c r="X1846" s="0" t="n">
        <f aca="false">IF(COUNTIFS($A$2:A1846,A1846,$C$2:C1846,C1846)=1,ABS(SUMIFS(RAW_발주!$D:$D,RAW_발주!$C:$C,A1846,RAW_발주!$A:$A,C1846)-SUMIFS($W:$W,$A:$A,A1846,$C:$C,C1846)),0)</f>
        <v>0</v>
      </c>
    </row>
    <row r="1847" customFormat="false" ht="15" hidden="false" customHeight="true" outlineLevel="0" collapsed="false">
      <c r="A1847" s="45" t="s">
        <v>1660</v>
      </c>
      <c r="B1847" s="42" t="str">
        <f aca="false">IF(A1847="100","HK",IF(A1847="200","CN",IF(A1847="300","TW","홀세일")))</f>
        <v>CN</v>
      </c>
      <c r="C1847" s="45" t="s">
        <v>1017</v>
      </c>
      <c r="D1847" s="46" t="n">
        <v>91</v>
      </c>
      <c r="E1847" s="46" t="n">
        <v>319000</v>
      </c>
      <c r="F1847" s="46" t="n">
        <v>71894</v>
      </c>
      <c r="G1847" s="42" t="n">
        <v>3.24</v>
      </c>
      <c r="H1847" s="42" t="n">
        <v>79.9</v>
      </c>
      <c r="I1847" s="42" t="n">
        <v>55.9</v>
      </c>
      <c r="J1847" s="46" t="n">
        <f aca="false">IF(N(E1847)&gt;0,E1847,IF(N(F1847)&gt;0,F1847*요약!$F$27,0))</f>
        <v>319000</v>
      </c>
      <c r="K1847" s="46" t="n">
        <f aca="false">IF(N(F1847)&gt;0,F1847,IF(N(E1847)&gt;0,E1847/요약!$F$27,0))</f>
        <v>71894</v>
      </c>
      <c r="L1847" s="46" t="n">
        <f aca="false">IF(B1847="CN",IF(N(I1847)&gt;0,I1847*요약!$G$27,K1847*(1+요약!$E$27)),IF(N(H1847)&gt;0,H1847*요약!$G$27,J1847*요약!$D$27))</f>
        <v>73788</v>
      </c>
      <c r="M1847" s="46" t="n">
        <f aca="false">D1847*J1847</f>
        <v>29029000</v>
      </c>
      <c r="N1847" s="46" t="n">
        <f aca="false">D1847*K1847</f>
        <v>6542354</v>
      </c>
      <c r="O1847" s="46" t="n">
        <f aca="false">D1847*L1847</f>
        <v>6714708</v>
      </c>
      <c r="P1847" s="42" t="str">
        <f aca="false">TRIM(IF(N(E1847)&lt;=0,"택가보정 ","")&amp;IF(N(F1847)&lt;=0,"원가보정 ","")&amp;IF(AND(B1847&lt;&gt;"CN",N(H1847)&lt;=0),"공급가보정 ","")&amp;IF(AND(B1847="CN",N(I1847)&lt;=0),"중국공급가=원가+마진 ",""))</f>
        <v/>
      </c>
      <c r="Q1847" s="47" t="n">
        <f aca="false">IF(SUMIFS($W:$W,$A:$A,A1847,$C:$C,C1847)=0,0,SUMIFS(RAW_판매펀칭!$K:$K,RAW_판매펀칭!$P:$P,A1847,RAW_판매펀칭!$I:$I,C1847)*W1847/SUMIFS($W:$W,$A:$A,A1847,$C:$C,C1847))</f>
        <v>0</v>
      </c>
      <c r="R1847" s="47" t="n">
        <f aca="false">IF(OR(A1847="500",A1847="800",A1847="810"),0,MAX(W1847-Q1847,0))</f>
        <v>0</v>
      </c>
      <c r="S1847" s="47" t="n">
        <f aca="false">R1847*L1847</f>
        <v>0</v>
      </c>
      <c r="T1847" s="47" t="n">
        <f aca="false">R1847*J1847</f>
        <v>0</v>
      </c>
      <c r="U1847" s="47" t="n">
        <f aca="false">R1847*K1847</f>
        <v>0</v>
      </c>
      <c r="V1847" s="0" t="str">
        <f aca="false">IF(COUNTIFS($A$2:A1847,A1847,$C$2:C1847,C1847,$D$2:D1847,D1847)&gt;1,"중복","")</f>
        <v>중복</v>
      </c>
      <c r="W1847" s="0" t="n">
        <f aca="false">IF(V1847="중복",0,N(D1847))</f>
        <v>0</v>
      </c>
      <c r="X1847" s="0" t="n">
        <f aca="false">IF(COUNTIFS($A$2:A1847,A1847,$C$2:C1847,C1847)=1,ABS(SUMIFS(RAW_발주!$D:$D,RAW_발주!$C:$C,A1847,RAW_발주!$A:$A,C1847)-SUMIFS($W:$W,$A:$A,A1847,$C:$C,C1847)),0)</f>
        <v>0</v>
      </c>
    </row>
    <row r="1848" customFormat="false" ht="15" hidden="false" customHeight="true" outlineLevel="0" collapsed="false">
      <c r="A1848" s="45" t="s">
        <v>1659</v>
      </c>
      <c r="B1848" s="42" t="str">
        <f aca="false">IF(A1848="100","HK",IF(A1848="200","CN",IF(A1848="300","TW","홀세일")))</f>
        <v>HK</v>
      </c>
      <c r="C1848" s="45" t="s">
        <v>734</v>
      </c>
      <c r="D1848" s="46" t="n">
        <v>240</v>
      </c>
      <c r="E1848" s="46" t="n">
        <v>179000</v>
      </c>
      <c r="F1848" s="46" t="n">
        <v>51295</v>
      </c>
      <c r="G1848" s="42" t="n">
        <v>3.57</v>
      </c>
      <c r="H1848" s="42" t="n">
        <v>42.1</v>
      </c>
      <c r="I1848" s="42" t="n">
        <v>40.6</v>
      </c>
      <c r="J1848" s="46" t="n">
        <f aca="false">IF(N(E1848)&gt;0,E1848,IF(N(F1848)&gt;0,F1848*요약!$F$27,0))</f>
        <v>179000</v>
      </c>
      <c r="K1848" s="46" t="n">
        <f aca="false">IF(N(F1848)&gt;0,F1848,IF(N(E1848)&gt;0,E1848/요약!$F$27,0))</f>
        <v>51295</v>
      </c>
      <c r="L1848" s="46" t="n">
        <f aca="false">IF(B1848="CN",IF(N(I1848)&gt;0,I1848*요약!$G$27,K1848*(1+요약!$E$27)),IF(N(H1848)&gt;0,H1848*요약!$G$27,J1848*요약!$D$27))</f>
        <v>55572</v>
      </c>
      <c r="M1848" s="46" t="n">
        <f aca="false">D1848*J1848</f>
        <v>42960000</v>
      </c>
      <c r="N1848" s="46" t="n">
        <f aca="false">D1848*K1848</f>
        <v>12310800</v>
      </c>
      <c r="O1848" s="46" t="n">
        <f aca="false">D1848*L1848</f>
        <v>13337280</v>
      </c>
      <c r="P1848" s="42" t="str">
        <f aca="false">TRIM(IF(N(E1848)&lt;=0,"택가보정 ","")&amp;IF(N(F1848)&lt;=0,"원가보정 ","")&amp;IF(AND(B1848&lt;&gt;"CN",N(H1848)&lt;=0),"공급가보정 ","")&amp;IF(AND(B1848="CN",N(I1848)&lt;=0),"중국공급가=원가+마진 ",""))</f>
        <v/>
      </c>
      <c r="Q1848" s="47" t="n">
        <f aca="false">IF(SUMIFS($W:$W,$A:$A,A1848,$C:$C,C1848)=0,0,SUMIFS(RAW_판매펀칭!$K:$K,RAW_판매펀칭!$P:$P,A1848,RAW_판매펀칭!$I:$I,C1848)*W1848/SUMIFS($W:$W,$A:$A,A1848,$C:$C,C1848))</f>
        <v>240</v>
      </c>
      <c r="R1848" s="47" t="n">
        <f aca="false">IF(OR(A1848="500",A1848="800",A1848="810"),0,MAX(W1848-Q1848,0))</f>
        <v>0</v>
      </c>
      <c r="S1848" s="47" t="n">
        <f aca="false">R1848*L1848</f>
        <v>0</v>
      </c>
      <c r="T1848" s="47" t="n">
        <f aca="false">R1848*J1848</f>
        <v>0</v>
      </c>
      <c r="U1848" s="47" t="n">
        <f aca="false">R1848*K1848</f>
        <v>0</v>
      </c>
      <c r="V1848" s="0" t="str">
        <f aca="false">IF(COUNTIFS($A$2:A1848,A1848,$C$2:C1848,C1848,$D$2:D1848,D1848)&gt;1,"중복","")</f>
        <v/>
      </c>
      <c r="W1848" s="0" t="n">
        <f aca="false">IF(V1848="중복",0,N(D1848))</f>
        <v>240</v>
      </c>
      <c r="X1848" s="0" t="n">
        <f aca="false">IF(COUNTIFS($A$2:A1848,A1848,$C$2:C1848,C1848)=1,ABS(SUMIFS(RAW_발주!$D:$D,RAW_발주!$C:$C,A1848,RAW_발주!$A:$A,C1848)-SUMIFS($W:$W,$A:$A,A1848,$C:$C,C1848)),0)</f>
        <v>0</v>
      </c>
    </row>
    <row r="1849" customFormat="false" ht="15" hidden="false" customHeight="true" outlineLevel="0" collapsed="false">
      <c r="A1849" s="45" t="s">
        <v>1660</v>
      </c>
      <c r="B1849" s="42" t="str">
        <f aca="false">IF(A1849="100","HK",IF(A1849="200","CN",IF(A1849="300","TW","홀세일")))</f>
        <v>CN</v>
      </c>
      <c r="C1849" s="45" t="s">
        <v>734</v>
      </c>
      <c r="D1849" s="46" t="n">
        <v>421</v>
      </c>
      <c r="E1849" s="46" t="n">
        <v>179000</v>
      </c>
      <c r="F1849" s="46" t="n">
        <v>51295</v>
      </c>
      <c r="G1849" s="42" t="n">
        <v>3.57</v>
      </c>
      <c r="H1849" s="42" t="n">
        <v>42.1</v>
      </c>
      <c r="I1849" s="42" t="n">
        <v>40.6</v>
      </c>
      <c r="J1849" s="46" t="n">
        <f aca="false">IF(N(E1849)&gt;0,E1849,IF(N(F1849)&gt;0,F1849*요약!$F$27,0))</f>
        <v>179000</v>
      </c>
      <c r="K1849" s="46" t="n">
        <f aca="false">IF(N(F1849)&gt;0,F1849,IF(N(E1849)&gt;0,E1849/요약!$F$27,0))</f>
        <v>51295</v>
      </c>
      <c r="L1849" s="46" t="n">
        <f aca="false">IF(B1849="CN",IF(N(I1849)&gt;0,I1849*요약!$G$27,K1849*(1+요약!$E$27)),IF(N(H1849)&gt;0,H1849*요약!$G$27,J1849*요약!$D$27))</f>
        <v>53592</v>
      </c>
      <c r="M1849" s="46" t="n">
        <f aca="false">D1849*J1849</f>
        <v>75359000</v>
      </c>
      <c r="N1849" s="46" t="n">
        <f aca="false">D1849*K1849</f>
        <v>21595195</v>
      </c>
      <c r="O1849" s="46" t="n">
        <f aca="false">D1849*L1849</f>
        <v>22562232</v>
      </c>
      <c r="P1849" s="42" t="str">
        <f aca="false">TRIM(IF(N(E1849)&lt;=0,"택가보정 ","")&amp;IF(N(F1849)&lt;=0,"원가보정 ","")&amp;IF(AND(B1849&lt;&gt;"CN",N(H1849)&lt;=0),"공급가보정 ","")&amp;IF(AND(B1849="CN",N(I1849)&lt;=0),"중국공급가=원가+마진 ",""))</f>
        <v/>
      </c>
      <c r="Q1849" s="47" t="n">
        <f aca="false">IF(SUMIFS($W:$W,$A:$A,A1849,$C:$C,C1849)=0,0,SUMIFS(RAW_판매펀칭!$K:$K,RAW_판매펀칭!$P:$P,A1849,RAW_판매펀칭!$I:$I,C1849)*W1849/SUMIFS($W:$W,$A:$A,A1849,$C:$C,C1849))</f>
        <v>399</v>
      </c>
      <c r="R1849" s="47" t="n">
        <f aca="false">IF(OR(A1849="500",A1849="800",A1849="810"),0,MAX(W1849-Q1849,0))</f>
        <v>22</v>
      </c>
      <c r="S1849" s="47" t="n">
        <f aca="false">R1849*L1849</f>
        <v>1179024</v>
      </c>
      <c r="T1849" s="47" t="n">
        <f aca="false">R1849*J1849</f>
        <v>3938000</v>
      </c>
      <c r="U1849" s="47" t="n">
        <f aca="false">R1849*K1849</f>
        <v>1128490</v>
      </c>
      <c r="V1849" s="0" t="str">
        <f aca="false">IF(COUNTIFS($A$2:A1849,A1849,$C$2:C1849,C1849,$D$2:D1849,D1849)&gt;1,"중복","")</f>
        <v/>
      </c>
      <c r="W1849" s="0" t="n">
        <f aca="false">IF(V1849="중복",0,N(D1849))</f>
        <v>421</v>
      </c>
      <c r="X1849" s="0" t="n">
        <f aca="false">IF(COUNTIFS($A$2:A1849,A1849,$C$2:C1849,C1849)=1,ABS(SUMIFS(RAW_발주!$D:$D,RAW_발주!$C:$C,A1849,RAW_발주!$A:$A,C1849)-SUMIFS($W:$W,$A:$A,A1849,$C:$C,C1849)),0)</f>
        <v>0</v>
      </c>
    </row>
    <row r="1850" customFormat="false" ht="15" hidden="false" customHeight="true" outlineLevel="0" collapsed="false">
      <c r="A1850" s="45" t="s">
        <v>1660</v>
      </c>
      <c r="B1850" s="42" t="str">
        <f aca="false">IF(A1850="100","HK",IF(A1850="200","CN",IF(A1850="300","TW","홀세일")))</f>
        <v>CN</v>
      </c>
      <c r="C1850" s="45" t="s">
        <v>734</v>
      </c>
      <c r="D1850" s="46" t="n">
        <v>421</v>
      </c>
      <c r="E1850" s="46" t="n">
        <v>179000</v>
      </c>
      <c r="F1850" s="46" t="n">
        <v>51295</v>
      </c>
      <c r="G1850" s="42" t="n">
        <v>3.57</v>
      </c>
      <c r="H1850" s="42" t="n">
        <v>42.1</v>
      </c>
      <c r="I1850" s="42" t="n">
        <v>40.6</v>
      </c>
      <c r="J1850" s="46" t="n">
        <f aca="false">IF(N(E1850)&gt;0,E1850,IF(N(F1850)&gt;0,F1850*요약!$F$27,0))</f>
        <v>179000</v>
      </c>
      <c r="K1850" s="46" t="n">
        <f aca="false">IF(N(F1850)&gt;0,F1850,IF(N(E1850)&gt;0,E1850/요약!$F$27,0))</f>
        <v>51295</v>
      </c>
      <c r="L1850" s="46" t="n">
        <f aca="false">IF(B1850="CN",IF(N(I1850)&gt;0,I1850*요약!$G$27,K1850*(1+요약!$E$27)),IF(N(H1850)&gt;0,H1850*요약!$G$27,J1850*요약!$D$27))</f>
        <v>53592</v>
      </c>
      <c r="M1850" s="46" t="n">
        <f aca="false">D1850*J1850</f>
        <v>75359000</v>
      </c>
      <c r="N1850" s="46" t="n">
        <f aca="false">D1850*K1850</f>
        <v>21595195</v>
      </c>
      <c r="O1850" s="46" t="n">
        <f aca="false">D1850*L1850</f>
        <v>22562232</v>
      </c>
      <c r="P1850" s="42" t="str">
        <f aca="false">TRIM(IF(N(E1850)&lt;=0,"택가보정 ","")&amp;IF(N(F1850)&lt;=0,"원가보정 ","")&amp;IF(AND(B1850&lt;&gt;"CN",N(H1850)&lt;=0),"공급가보정 ","")&amp;IF(AND(B1850="CN",N(I1850)&lt;=0),"중국공급가=원가+마진 ",""))</f>
        <v/>
      </c>
      <c r="Q1850" s="47" t="n">
        <f aca="false">IF(SUMIFS($W:$W,$A:$A,A1850,$C:$C,C1850)=0,0,SUMIFS(RAW_판매펀칭!$K:$K,RAW_판매펀칭!$P:$P,A1850,RAW_판매펀칭!$I:$I,C1850)*W1850/SUMIFS($W:$W,$A:$A,A1850,$C:$C,C1850))</f>
        <v>0</v>
      </c>
      <c r="R1850" s="47" t="n">
        <f aca="false">IF(OR(A1850="500",A1850="800",A1850="810"),0,MAX(W1850-Q1850,0))</f>
        <v>0</v>
      </c>
      <c r="S1850" s="47" t="n">
        <f aca="false">R1850*L1850</f>
        <v>0</v>
      </c>
      <c r="T1850" s="47" t="n">
        <f aca="false">R1850*J1850</f>
        <v>0</v>
      </c>
      <c r="U1850" s="47" t="n">
        <f aca="false">R1850*K1850</f>
        <v>0</v>
      </c>
      <c r="V1850" s="0" t="str">
        <f aca="false">IF(COUNTIFS($A$2:A1850,A1850,$C$2:C1850,C1850,$D$2:D1850,D1850)&gt;1,"중복","")</f>
        <v>중복</v>
      </c>
      <c r="W1850" s="0" t="n">
        <f aca="false">IF(V1850="중복",0,N(D1850))</f>
        <v>0</v>
      </c>
      <c r="X1850" s="0" t="n">
        <f aca="false">IF(COUNTIFS($A$2:A1850,A1850,$C$2:C1850,C1850)=1,ABS(SUMIFS(RAW_발주!$D:$D,RAW_발주!$C:$C,A1850,RAW_발주!$A:$A,C1850)-SUMIFS($W:$W,$A:$A,A1850,$C:$C,C1850)),0)</f>
        <v>0</v>
      </c>
    </row>
    <row r="1851" customFormat="false" ht="15" hidden="false" customHeight="true" outlineLevel="0" collapsed="false">
      <c r="A1851" s="45" t="s">
        <v>1661</v>
      </c>
      <c r="B1851" s="42" t="str">
        <f aca="false">IF(A1851="100","HK",IF(A1851="200","CN",IF(A1851="300","TW","홀세일")))</f>
        <v>TW</v>
      </c>
      <c r="C1851" s="45" t="s">
        <v>734</v>
      </c>
      <c r="D1851" s="46" t="n">
        <v>280</v>
      </c>
      <c r="E1851" s="46" t="n">
        <v>179000</v>
      </c>
      <c r="F1851" s="46" t="n">
        <v>51295</v>
      </c>
      <c r="G1851" s="42" t="n">
        <v>3.57</v>
      </c>
      <c r="H1851" s="42" t="n">
        <v>42.1</v>
      </c>
      <c r="I1851" s="42" t="n">
        <v>40.6</v>
      </c>
      <c r="J1851" s="46" t="n">
        <f aca="false">IF(N(E1851)&gt;0,E1851,IF(N(F1851)&gt;0,F1851*요약!$F$27,0))</f>
        <v>179000</v>
      </c>
      <c r="K1851" s="46" t="n">
        <f aca="false">IF(N(F1851)&gt;0,F1851,IF(N(E1851)&gt;0,E1851/요약!$F$27,0))</f>
        <v>51295</v>
      </c>
      <c r="L1851" s="46" t="n">
        <f aca="false">IF(B1851="CN",IF(N(I1851)&gt;0,I1851*요약!$G$27,K1851*(1+요약!$E$27)),IF(N(H1851)&gt;0,H1851*요약!$G$27,J1851*요약!$D$27))</f>
        <v>55572</v>
      </c>
      <c r="M1851" s="46" t="n">
        <f aca="false">D1851*J1851</f>
        <v>50120000</v>
      </c>
      <c r="N1851" s="46" t="n">
        <f aca="false">D1851*K1851</f>
        <v>14362600</v>
      </c>
      <c r="O1851" s="46" t="n">
        <f aca="false">D1851*L1851</f>
        <v>15560160</v>
      </c>
      <c r="P1851" s="42" t="str">
        <f aca="false">TRIM(IF(N(E1851)&lt;=0,"택가보정 ","")&amp;IF(N(F1851)&lt;=0,"원가보정 ","")&amp;IF(AND(B1851&lt;&gt;"CN",N(H1851)&lt;=0),"공급가보정 ","")&amp;IF(AND(B1851="CN",N(I1851)&lt;=0),"중국공급가=원가+마진 ",""))</f>
        <v/>
      </c>
      <c r="Q1851" s="47" t="n">
        <f aca="false">IF(SUMIFS($W:$W,$A:$A,A1851,$C:$C,C1851)=0,0,SUMIFS(RAW_판매펀칭!$K:$K,RAW_판매펀칭!$P:$P,A1851,RAW_판매펀칭!$I:$I,C1851)*W1851/SUMIFS($W:$W,$A:$A,A1851,$C:$C,C1851))</f>
        <v>272</v>
      </c>
      <c r="R1851" s="47" t="n">
        <f aca="false">IF(OR(A1851="500",A1851="800",A1851="810"),0,MAX(W1851-Q1851,0))</f>
        <v>8</v>
      </c>
      <c r="S1851" s="47" t="n">
        <f aca="false">R1851*L1851</f>
        <v>444576</v>
      </c>
      <c r="T1851" s="47" t="n">
        <f aca="false">R1851*J1851</f>
        <v>1432000</v>
      </c>
      <c r="U1851" s="47" t="n">
        <f aca="false">R1851*K1851</f>
        <v>410360</v>
      </c>
      <c r="V1851" s="0" t="str">
        <f aca="false">IF(COUNTIFS($A$2:A1851,A1851,$C$2:C1851,C1851,$D$2:D1851,D1851)&gt;1,"중복","")</f>
        <v/>
      </c>
      <c r="W1851" s="0" t="n">
        <f aca="false">IF(V1851="중복",0,N(D1851))</f>
        <v>280</v>
      </c>
      <c r="X1851" s="0" t="n">
        <f aca="false">IF(COUNTIFS($A$2:A1851,A1851,$C$2:C1851,C1851)=1,ABS(SUMIFS(RAW_발주!$D:$D,RAW_발주!$C:$C,A1851,RAW_발주!$A:$A,C1851)-SUMIFS($W:$W,$A:$A,A1851,$C:$C,C1851)),0)</f>
        <v>0</v>
      </c>
    </row>
    <row r="1852" customFormat="false" ht="15" hidden="false" customHeight="true" outlineLevel="0" collapsed="false">
      <c r="A1852" s="45" t="s">
        <v>1663</v>
      </c>
      <c r="B1852" s="42" t="str">
        <f aca="false">IF(A1852="100","HK",IF(A1852="200","CN",IF(A1852="300","TW","홀세일")))</f>
        <v>홀세일</v>
      </c>
      <c r="C1852" s="45" t="s">
        <v>734</v>
      </c>
      <c r="D1852" s="46" t="n">
        <v>30</v>
      </c>
      <c r="E1852" s="46" t="n">
        <v>179000</v>
      </c>
      <c r="F1852" s="46" t="n">
        <v>51295</v>
      </c>
      <c r="G1852" s="42" t="n">
        <v>3.57</v>
      </c>
      <c r="H1852" s="42" t="n">
        <v>42.1</v>
      </c>
      <c r="I1852" s="42" t="n">
        <v>40.6</v>
      </c>
      <c r="J1852" s="46" t="n">
        <f aca="false">IF(N(E1852)&gt;0,E1852,IF(N(F1852)&gt;0,F1852*요약!$F$27,0))</f>
        <v>179000</v>
      </c>
      <c r="K1852" s="46" t="n">
        <f aca="false">IF(N(F1852)&gt;0,F1852,IF(N(E1852)&gt;0,E1852/요약!$F$27,0))</f>
        <v>51295</v>
      </c>
      <c r="L1852" s="46" t="n">
        <f aca="false">IF(B1852="CN",IF(N(I1852)&gt;0,I1852*요약!$G$27,K1852*(1+요약!$E$27)),IF(N(H1852)&gt;0,H1852*요약!$G$27,J1852*요약!$D$27))</f>
        <v>55572</v>
      </c>
      <c r="M1852" s="46" t="n">
        <f aca="false">D1852*J1852</f>
        <v>5370000</v>
      </c>
      <c r="N1852" s="46" t="n">
        <f aca="false">D1852*K1852</f>
        <v>1538850</v>
      </c>
      <c r="O1852" s="46" t="n">
        <f aca="false">D1852*L1852</f>
        <v>1667160</v>
      </c>
      <c r="P1852" s="42" t="str">
        <f aca="false">TRIM(IF(N(E1852)&lt;=0,"택가보정 ","")&amp;IF(N(F1852)&lt;=0,"원가보정 ","")&amp;IF(AND(B1852&lt;&gt;"CN",N(H1852)&lt;=0),"공급가보정 ","")&amp;IF(AND(B1852="CN",N(I1852)&lt;=0),"중국공급가=원가+마진 ",""))</f>
        <v/>
      </c>
      <c r="Q1852" s="47" t="n">
        <f aca="false">IF(SUMIFS($W:$W,$A:$A,A1852,$C:$C,C1852)=0,0,SUMIFS(RAW_판매펀칭!$K:$K,RAW_판매펀칭!$P:$P,A1852,RAW_판매펀칭!$I:$I,C1852)*W1852/SUMIFS($W:$W,$A:$A,A1852,$C:$C,C1852))</f>
        <v>30</v>
      </c>
      <c r="R1852" s="47" t="n">
        <f aca="false">IF(OR(A1852="500",A1852="800",A1852="810"),0,MAX(W1852-Q1852,0))</f>
        <v>0</v>
      </c>
      <c r="S1852" s="47" t="n">
        <f aca="false">R1852*L1852</f>
        <v>0</v>
      </c>
      <c r="T1852" s="47" t="n">
        <f aca="false">R1852*J1852</f>
        <v>0</v>
      </c>
      <c r="U1852" s="47" t="n">
        <f aca="false">R1852*K1852</f>
        <v>0</v>
      </c>
      <c r="V1852" s="0" t="str">
        <f aca="false">IF(COUNTIFS($A$2:A1852,A1852,$C$2:C1852,C1852,$D$2:D1852,D1852)&gt;1,"중복","")</f>
        <v/>
      </c>
      <c r="W1852" s="0" t="n">
        <f aca="false">IF(V1852="중복",0,N(D1852))</f>
        <v>30</v>
      </c>
      <c r="X1852" s="0" t="n">
        <f aca="false">IF(COUNTIFS($A$2:A1852,A1852,$C$2:C1852,C1852)=1,ABS(SUMIFS(RAW_발주!$D:$D,RAW_발주!$C:$C,A1852,RAW_발주!$A:$A,C1852)-SUMIFS($W:$W,$A:$A,A1852,$C:$C,C1852)),0)</f>
        <v>0</v>
      </c>
    </row>
    <row r="1853" customFormat="false" ht="15" hidden="false" customHeight="true" outlineLevel="0" collapsed="false">
      <c r="A1853" s="45" t="s">
        <v>1660</v>
      </c>
      <c r="B1853" s="42" t="str">
        <f aca="false">IF(A1853="100","HK",IF(A1853="200","CN",IF(A1853="300","TW","홀세일")))</f>
        <v>CN</v>
      </c>
      <c r="C1853" s="45" t="s">
        <v>1178</v>
      </c>
      <c r="D1853" s="46" t="n">
        <v>304</v>
      </c>
      <c r="E1853" s="46" t="n">
        <v>189000</v>
      </c>
      <c r="F1853" s="46" t="n">
        <v>54191</v>
      </c>
      <c r="G1853" s="42" t="n">
        <v>3.38</v>
      </c>
      <c r="H1853" s="42" t="n">
        <v>44.5</v>
      </c>
      <c r="I1853" s="42" t="n">
        <v>42.6</v>
      </c>
      <c r="J1853" s="46" t="n">
        <f aca="false">IF(N(E1853)&gt;0,E1853,IF(N(F1853)&gt;0,F1853*요약!$F$27,0))</f>
        <v>189000</v>
      </c>
      <c r="K1853" s="46" t="n">
        <f aca="false">IF(N(F1853)&gt;0,F1853,IF(N(E1853)&gt;0,E1853/요약!$F$27,0))</f>
        <v>54191</v>
      </c>
      <c r="L1853" s="46" t="n">
        <f aca="false">IF(B1853="CN",IF(N(I1853)&gt;0,I1853*요약!$G$27,K1853*(1+요약!$E$27)),IF(N(H1853)&gt;0,H1853*요약!$G$27,J1853*요약!$D$27))</f>
        <v>56232</v>
      </c>
      <c r="M1853" s="46" t="n">
        <f aca="false">D1853*J1853</f>
        <v>57456000</v>
      </c>
      <c r="N1853" s="46" t="n">
        <f aca="false">D1853*K1853</f>
        <v>16474064</v>
      </c>
      <c r="O1853" s="46" t="n">
        <f aca="false">D1853*L1853</f>
        <v>17094528</v>
      </c>
      <c r="P1853" s="42" t="str">
        <f aca="false">TRIM(IF(N(E1853)&lt;=0,"택가보정 ","")&amp;IF(N(F1853)&lt;=0,"원가보정 ","")&amp;IF(AND(B1853&lt;&gt;"CN",N(H1853)&lt;=0),"공급가보정 ","")&amp;IF(AND(B1853="CN",N(I1853)&lt;=0),"중국공급가=원가+마진 ",""))</f>
        <v/>
      </c>
      <c r="Q1853" s="47" t="n">
        <f aca="false">IF(SUMIFS($W:$W,$A:$A,A1853,$C:$C,C1853)=0,0,SUMIFS(RAW_판매펀칭!$K:$K,RAW_판매펀칭!$P:$P,A1853,RAW_판매펀칭!$I:$I,C1853)*W1853/SUMIFS($W:$W,$A:$A,A1853,$C:$C,C1853))</f>
        <v>295</v>
      </c>
      <c r="R1853" s="47" t="n">
        <f aca="false">IF(OR(A1853="500",A1853="800",A1853="810"),0,MAX(W1853-Q1853,0))</f>
        <v>9</v>
      </c>
      <c r="S1853" s="47" t="n">
        <f aca="false">R1853*L1853</f>
        <v>506088</v>
      </c>
      <c r="T1853" s="47" t="n">
        <f aca="false">R1853*J1853</f>
        <v>1701000</v>
      </c>
      <c r="U1853" s="47" t="n">
        <f aca="false">R1853*K1853</f>
        <v>487719</v>
      </c>
      <c r="V1853" s="0" t="str">
        <f aca="false">IF(COUNTIFS($A$2:A1853,A1853,$C$2:C1853,C1853,$D$2:D1853,D1853)&gt;1,"중복","")</f>
        <v/>
      </c>
      <c r="W1853" s="0" t="n">
        <f aca="false">IF(V1853="중복",0,N(D1853))</f>
        <v>304</v>
      </c>
      <c r="X1853" s="0" t="n">
        <f aca="false">IF(COUNTIFS($A$2:A1853,A1853,$C$2:C1853,C1853)=1,ABS(SUMIFS(RAW_발주!$D:$D,RAW_발주!$C:$C,A1853,RAW_발주!$A:$A,C1853)-SUMIFS($W:$W,$A:$A,A1853,$C:$C,C1853)),0)</f>
        <v>0</v>
      </c>
    </row>
    <row r="1854" customFormat="false" ht="15" hidden="false" customHeight="true" outlineLevel="0" collapsed="false">
      <c r="A1854" s="45" t="s">
        <v>1667</v>
      </c>
      <c r="B1854" s="42" t="str">
        <f aca="false">IF(A1854="100","HK",IF(A1854="200","CN",IF(A1854="300","TW","홀세일")))</f>
        <v>홀세일</v>
      </c>
      <c r="C1854" s="45" t="s">
        <v>1738</v>
      </c>
      <c r="D1854" s="46" t="n">
        <v>1200</v>
      </c>
      <c r="E1854" s="46" t="n">
        <v>89000</v>
      </c>
      <c r="F1854" s="46" t="n">
        <v>25000</v>
      </c>
      <c r="G1854" s="42" t="n">
        <v>3.24</v>
      </c>
      <c r="H1854" s="42" t="n">
        <v>21.6</v>
      </c>
      <c r="J1854" s="46" t="n">
        <f aca="false">IF(N(E1854)&gt;0,E1854,IF(N(F1854)&gt;0,F1854*요약!$F$27,0))</f>
        <v>89000</v>
      </c>
      <c r="K1854" s="46" t="n">
        <f aca="false">IF(N(F1854)&gt;0,F1854,IF(N(E1854)&gt;0,E1854/요약!$F$27,0))</f>
        <v>25000</v>
      </c>
      <c r="L1854" s="46" t="n">
        <f aca="false">IF(B1854="CN",IF(N(I1854)&gt;0,I1854*요약!$G$27,K1854*(1+요약!$E$27)),IF(N(H1854)&gt;0,H1854*요약!$G$27,J1854*요약!$D$27))</f>
        <v>28512</v>
      </c>
      <c r="M1854" s="46" t="n">
        <f aca="false">D1854*J1854</f>
        <v>106800000</v>
      </c>
      <c r="N1854" s="46" t="n">
        <f aca="false">D1854*K1854</f>
        <v>30000000</v>
      </c>
      <c r="O1854" s="46" t="n">
        <f aca="false">D1854*L1854</f>
        <v>34214400</v>
      </c>
      <c r="P1854" s="42" t="str">
        <f aca="false">TRIM(IF(N(E1854)&lt;=0,"택가보정 ","")&amp;IF(N(F1854)&lt;=0,"원가보정 ","")&amp;IF(AND(B1854&lt;&gt;"CN",N(H1854)&lt;=0),"공급가보정 ","")&amp;IF(AND(B1854="CN",N(I1854)&lt;=0),"중국공급가=원가+마진 ",""))</f>
        <v/>
      </c>
      <c r="Q1854" s="47" t="n">
        <f aca="false">IF(SUMIFS($W:$W,$A:$A,A1854,$C:$C,C1854)=0,0,SUMIFS(RAW_판매펀칭!$K:$K,RAW_판매펀칭!$P:$P,A1854,RAW_판매펀칭!$I:$I,C1854)*W1854/SUMIFS($W:$W,$A:$A,A1854,$C:$C,C1854))</f>
        <v>0</v>
      </c>
      <c r="R1854" s="47" t="n">
        <f aca="false">IF(OR(A1854="500",A1854="800",A1854="810"),0,MAX(W1854-Q1854,0))</f>
        <v>1200</v>
      </c>
      <c r="S1854" s="47" t="n">
        <f aca="false">R1854*L1854</f>
        <v>34214400</v>
      </c>
      <c r="T1854" s="47" t="n">
        <f aca="false">R1854*J1854</f>
        <v>106800000</v>
      </c>
      <c r="U1854" s="47" t="n">
        <f aca="false">R1854*K1854</f>
        <v>30000000</v>
      </c>
      <c r="V1854" s="0" t="str">
        <f aca="false">IF(COUNTIFS($A$2:A1854,A1854,$C$2:C1854,C1854,$D$2:D1854,D1854)&gt;1,"중복","")</f>
        <v/>
      </c>
      <c r="W1854" s="0" t="n">
        <f aca="false">IF(V1854="중복",0,N(D1854))</f>
        <v>1200</v>
      </c>
      <c r="X1854" s="0" t="n">
        <f aca="false">IF(COUNTIFS($A$2:A1854,A1854,$C$2:C1854,C1854)=1,ABS(SUMIFS(RAW_발주!$D:$D,RAW_발주!$C:$C,A1854,RAW_발주!$A:$A,C1854)-SUMIFS($W:$W,$A:$A,A1854,$C:$C,C1854)),0)</f>
        <v>0</v>
      </c>
    </row>
    <row r="1855" customFormat="false" ht="15" hidden="false" customHeight="true" outlineLevel="0" collapsed="false">
      <c r="A1855" s="45" t="s">
        <v>1660</v>
      </c>
      <c r="B1855" s="42" t="str">
        <f aca="false">IF(A1855="100","HK",IF(A1855="200","CN",IF(A1855="300","TW","홀세일")))</f>
        <v>CN</v>
      </c>
      <c r="C1855" s="45" t="s">
        <v>1180</v>
      </c>
      <c r="D1855" s="46" t="n">
        <v>282</v>
      </c>
      <c r="E1855" s="46" t="n">
        <v>59000</v>
      </c>
      <c r="F1855" s="46" t="n">
        <v>17303</v>
      </c>
      <c r="G1855" s="42" t="n">
        <v>3.21</v>
      </c>
      <c r="H1855" s="42" t="n">
        <v>13.9</v>
      </c>
      <c r="I1855" s="42" t="n">
        <v>14.3</v>
      </c>
      <c r="J1855" s="46" t="n">
        <f aca="false">IF(N(E1855)&gt;0,E1855,IF(N(F1855)&gt;0,F1855*요약!$F$27,0))</f>
        <v>59000</v>
      </c>
      <c r="K1855" s="46" t="n">
        <f aca="false">IF(N(F1855)&gt;0,F1855,IF(N(E1855)&gt;0,E1855/요약!$F$27,0))</f>
        <v>17303</v>
      </c>
      <c r="L1855" s="46" t="n">
        <f aca="false">IF(B1855="CN",IF(N(I1855)&gt;0,I1855*요약!$G$27,K1855*(1+요약!$E$27)),IF(N(H1855)&gt;0,H1855*요약!$G$27,J1855*요약!$D$27))</f>
        <v>18876</v>
      </c>
      <c r="M1855" s="46" t="n">
        <f aca="false">D1855*J1855</f>
        <v>16638000</v>
      </c>
      <c r="N1855" s="46" t="n">
        <f aca="false">D1855*K1855</f>
        <v>4879446</v>
      </c>
      <c r="O1855" s="46" t="n">
        <f aca="false">D1855*L1855</f>
        <v>5323032</v>
      </c>
      <c r="P1855" s="42" t="str">
        <f aca="false">TRIM(IF(N(E1855)&lt;=0,"택가보정 ","")&amp;IF(N(F1855)&lt;=0,"원가보정 ","")&amp;IF(AND(B1855&lt;&gt;"CN",N(H1855)&lt;=0),"공급가보정 ","")&amp;IF(AND(B1855="CN",N(I1855)&lt;=0),"중국공급가=원가+마진 ",""))</f>
        <v/>
      </c>
      <c r="Q1855" s="47" t="n">
        <f aca="false">IF(SUMIFS($W:$W,$A:$A,A1855,$C:$C,C1855)=0,0,SUMIFS(RAW_판매펀칭!$K:$K,RAW_판매펀칭!$P:$P,A1855,RAW_판매펀칭!$I:$I,C1855)*W1855/SUMIFS($W:$W,$A:$A,A1855,$C:$C,C1855))</f>
        <v>282</v>
      </c>
      <c r="R1855" s="47" t="n">
        <f aca="false">IF(OR(A1855="500",A1855="800",A1855="810"),0,MAX(W1855-Q1855,0))</f>
        <v>0</v>
      </c>
      <c r="S1855" s="47" t="n">
        <f aca="false">R1855*L1855</f>
        <v>0</v>
      </c>
      <c r="T1855" s="47" t="n">
        <f aca="false">R1855*J1855</f>
        <v>0</v>
      </c>
      <c r="U1855" s="47" t="n">
        <f aca="false">R1855*K1855</f>
        <v>0</v>
      </c>
      <c r="V1855" s="0" t="str">
        <f aca="false">IF(COUNTIFS($A$2:A1855,A1855,$C$2:C1855,C1855,$D$2:D1855,D1855)&gt;1,"중복","")</f>
        <v/>
      </c>
      <c r="W1855" s="0" t="n">
        <f aca="false">IF(V1855="중복",0,N(D1855))</f>
        <v>282</v>
      </c>
      <c r="X1855" s="0" t="n">
        <f aca="false">IF(COUNTIFS($A$2:A1855,A1855,$C$2:C1855,C1855)=1,ABS(SUMIFS(RAW_발주!$D:$D,RAW_발주!$C:$C,A1855,RAW_발주!$A:$A,C1855)-SUMIFS($W:$W,$A:$A,A1855,$C:$C,C1855)),0)</f>
        <v>0</v>
      </c>
    </row>
    <row r="1856" customFormat="false" ht="15" hidden="false" customHeight="true" outlineLevel="0" collapsed="false">
      <c r="A1856" s="45" t="s">
        <v>1663</v>
      </c>
      <c r="B1856" s="42" t="str">
        <f aca="false">IF(A1856="100","HK",IF(A1856="200","CN",IF(A1856="300","TW","홀세일")))</f>
        <v>홀세일</v>
      </c>
      <c r="C1856" s="45" t="s">
        <v>1180</v>
      </c>
      <c r="D1856" s="46" t="n">
        <v>65</v>
      </c>
      <c r="E1856" s="46" t="n">
        <v>59000</v>
      </c>
      <c r="F1856" s="46" t="n">
        <v>17303</v>
      </c>
      <c r="G1856" s="42" t="n">
        <v>3.21</v>
      </c>
      <c r="H1856" s="42" t="n">
        <v>13.9</v>
      </c>
      <c r="I1856" s="42" t="n">
        <v>14.3</v>
      </c>
      <c r="J1856" s="46" t="n">
        <f aca="false">IF(N(E1856)&gt;0,E1856,IF(N(F1856)&gt;0,F1856*요약!$F$27,0))</f>
        <v>59000</v>
      </c>
      <c r="K1856" s="46" t="n">
        <f aca="false">IF(N(F1856)&gt;0,F1856,IF(N(E1856)&gt;0,E1856/요약!$F$27,0))</f>
        <v>17303</v>
      </c>
      <c r="L1856" s="46" t="n">
        <f aca="false">IF(B1856="CN",IF(N(I1856)&gt;0,I1856*요약!$G$27,K1856*(1+요약!$E$27)),IF(N(H1856)&gt;0,H1856*요약!$G$27,J1856*요약!$D$27))</f>
        <v>18348</v>
      </c>
      <c r="M1856" s="46" t="n">
        <f aca="false">D1856*J1856</f>
        <v>3835000</v>
      </c>
      <c r="N1856" s="46" t="n">
        <f aca="false">D1856*K1856</f>
        <v>1124695</v>
      </c>
      <c r="O1856" s="46" t="n">
        <f aca="false">D1856*L1856</f>
        <v>1192620</v>
      </c>
      <c r="P1856" s="42" t="str">
        <f aca="false">TRIM(IF(N(E1856)&lt;=0,"택가보정 ","")&amp;IF(N(F1856)&lt;=0,"원가보정 ","")&amp;IF(AND(B1856&lt;&gt;"CN",N(H1856)&lt;=0),"공급가보정 ","")&amp;IF(AND(B1856="CN",N(I1856)&lt;=0),"중국공급가=원가+마진 ",""))</f>
        <v/>
      </c>
      <c r="Q1856" s="47" t="n">
        <f aca="false">IF(SUMIFS($W:$W,$A:$A,A1856,$C:$C,C1856)=0,0,SUMIFS(RAW_판매펀칭!$K:$K,RAW_판매펀칭!$P:$P,A1856,RAW_판매펀칭!$I:$I,C1856)*W1856/SUMIFS($W:$W,$A:$A,A1856,$C:$C,C1856))</f>
        <v>65</v>
      </c>
      <c r="R1856" s="47" t="n">
        <f aca="false">IF(OR(A1856="500",A1856="800",A1856="810"),0,MAX(W1856-Q1856,0))</f>
        <v>0</v>
      </c>
      <c r="S1856" s="47" t="n">
        <f aca="false">R1856*L1856</f>
        <v>0</v>
      </c>
      <c r="T1856" s="47" t="n">
        <f aca="false">R1856*J1856</f>
        <v>0</v>
      </c>
      <c r="U1856" s="47" t="n">
        <f aca="false">R1856*K1856</f>
        <v>0</v>
      </c>
      <c r="V1856" s="0" t="str">
        <f aca="false">IF(COUNTIFS($A$2:A1856,A1856,$C$2:C1856,C1856,$D$2:D1856,D1856)&gt;1,"중복","")</f>
        <v/>
      </c>
      <c r="W1856" s="0" t="n">
        <f aca="false">IF(V1856="중복",0,N(D1856))</f>
        <v>65</v>
      </c>
      <c r="X1856" s="0" t="n">
        <f aca="false">IF(COUNTIFS($A$2:A1856,A1856,$C$2:C1856,C1856)=1,ABS(SUMIFS(RAW_발주!$D:$D,RAW_발주!$C:$C,A1856,RAW_발주!$A:$A,C1856)-SUMIFS($W:$W,$A:$A,A1856,$C:$C,C1856)),0)</f>
        <v>0</v>
      </c>
    </row>
    <row r="1857" customFormat="false" ht="15" hidden="false" customHeight="true" outlineLevel="0" collapsed="false">
      <c r="A1857" s="45" t="s">
        <v>1667</v>
      </c>
      <c r="B1857" s="42" t="str">
        <f aca="false">IF(A1857="100","HK",IF(A1857="200","CN",IF(A1857="300","TW","홀세일")))</f>
        <v>홀세일</v>
      </c>
      <c r="C1857" s="45" t="s">
        <v>1739</v>
      </c>
      <c r="D1857" s="46" t="n">
        <v>750</v>
      </c>
      <c r="E1857" s="46" t="n">
        <v>45000</v>
      </c>
      <c r="F1857" s="46" t="n">
        <v>13600</v>
      </c>
      <c r="G1857" s="42" t="n">
        <v>3.01</v>
      </c>
      <c r="H1857" s="42" t="n">
        <v>10.9</v>
      </c>
      <c r="J1857" s="46" t="n">
        <f aca="false">IF(N(E1857)&gt;0,E1857,IF(N(F1857)&gt;0,F1857*요약!$F$27,0))</f>
        <v>45000</v>
      </c>
      <c r="K1857" s="46" t="n">
        <f aca="false">IF(N(F1857)&gt;0,F1857,IF(N(E1857)&gt;0,E1857/요약!$F$27,0))</f>
        <v>13600</v>
      </c>
      <c r="L1857" s="46" t="n">
        <f aca="false">IF(B1857="CN",IF(N(I1857)&gt;0,I1857*요약!$G$27,K1857*(1+요약!$E$27)),IF(N(H1857)&gt;0,H1857*요약!$G$27,J1857*요약!$D$27))</f>
        <v>14388</v>
      </c>
      <c r="M1857" s="46" t="n">
        <f aca="false">D1857*J1857</f>
        <v>33750000</v>
      </c>
      <c r="N1857" s="46" t="n">
        <f aca="false">D1857*K1857</f>
        <v>10200000</v>
      </c>
      <c r="O1857" s="46" t="n">
        <f aca="false">D1857*L1857</f>
        <v>10791000</v>
      </c>
      <c r="P1857" s="42" t="str">
        <f aca="false">TRIM(IF(N(E1857)&lt;=0,"택가보정 ","")&amp;IF(N(F1857)&lt;=0,"원가보정 ","")&amp;IF(AND(B1857&lt;&gt;"CN",N(H1857)&lt;=0),"공급가보정 ","")&amp;IF(AND(B1857="CN",N(I1857)&lt;=0),"중국공급가=원가+마진 ",""))</f>
        <v/>
      </c>
      <c r="Q1857" s="47" t="n">
        <f aca="false">IF(SUMIFS($W:$W,$A:$A,A1857,$C:$C,C1857)=0,0,SUMIFS(RAW_판매펀칭!$K:$K,RAW_판매펀칭!$P:$P,A1857,RAW_판매펀칭!$I:$I,C1857)*W1857/SUMIFS($W:$W,$A:$A,A1857,$C:$C,C1857))</f>
        <v>0</v>
      </c>
      <c r="R1857" s="47" t="n">
        <f aca="false">IF(OR(A1857="500",A1857="800",A1857="810"),0,MAX(W1857-Q1857,0))</f>
        <v>750</v>
      </c>
      <c r="S1857" s="47" t="n">
        <f aca="false">R1857*L1857</f>
        <v>10791000</v>
      </c>
      <c r="T1857" s="47" t="n">
        <f aca="false">R1857*J1857</f>
        <v>33750000</v>
      </c>
      <c r="U1857" s="47" t="n">
        <f aca="false">R1857*K1857</f>
        <v>10200000</v>
      </c>
      <c r="V1857" s="0" t="str">
        <f aca="false">IF(COUNTIFS($A$2:A1857,A1857,$C$2:C1857,C1857,$D$2:D1857,D1857)&gt;1,"중복","")</f>
        <v/>
      </c>
      <c r="W1857" s="0" t="n">
        <f aca="false">IF(V1857="중복",0,N(D1857))</f>
        <v>750</v>
      </c>
      <c r="X1857" s="0" t="n">
        <f aca="false">IF(COUNTIFS($A$2:A1857,A1857,$C$2:C1857,C1857)=1,ABS(SUMIFS(RAW_발주!$D:$D,RAW_발주!$C:$C,A1857,RAW_발주!$A:$A,C1857)-SUMIFS($W:$W,$A:$A,A1857,$C:$C,C1857)),0)</f>
        <v>0</v>
      </c>
    </row>
    <row r="1858" customFormat="false" ht="15" hidden="false" customHeight="true" outlineLevel="0" collapsed="false">
      <c r="A1858" s="45" t="s">
        <v>1659</v>
      </c>
      <c r="B1858" s="42" t="str">
        <f aca="false">IF(A1858="100","HK",IF(A1858="200","CN",IF(A1858="300","TW","홀세일")))</f>
        <v>HK</v>
      </c>
      <c r="C1858" s="45" t="s">
        <v>1740</v>
      </c>
      <c r="D1858" s="46" t="n">
        <v>50</v>
      </c>
      <c r="E1858" s="46"/>
      <c r="F1858" s="46"/>
      <c r="G1858" s="42" t="n">
        <v>0</v>
      </c>
      <c r="J1858" s="46" t="n">
        <f aca="false">IF(N(E1858)&gt;0,E1858,IF(N(F1858)&gt;0,F1858*요약!$F$27,0))</f>
        <v>0</v>
      </c>
      <c r="K1858" s="46" t="n">
        <f aca="false">IF(N(F1858)&gt;0,F1858,IF(N(E1858)&gt;0,E1858/요약!$F$27,0))</f>
        <v>0</v>
      </c>
      <c r="L1858" s="46" t="n">
        <f aca="false">IF(B1858="CN",IF(N(I1858)&gt;0,I1858*요약!$G$27,K1858*(1+요약!$E$27)),IF(N(H1858)&gt;0,H1858*요약!$G$27,J1858*요약!$D$27))</f>
        <v>0</v>
      </c>
      <c r="M1858" s="46" t="n">
        <f aca="false">D1858*J1858</f>
        <v>0</v>
      </c>
      <c r="N1858" s="46" t="n">
        <f aca="false">D1858*K1858</f>
        <v>0</v>
      </c>
      <c r="O1858" s="46" t="n">
        <f aca="false">D1858*L1858</f>
        <v>0</v>
      </c>
      <c r="P1858" s="42" t="str">
        <f aca="false">TRIM(IF(N(E1858)&lt;=0,"택가보정 ","")&amp;IF(N(F1858)&lt;=0,"원가보정 ","")&amp;IF(AND(B1858&lt;&gt;"CN",N(H1858)&lt;=0),"공급가보정 ","")&amp;IF(AND(B1858="CN",N(I1858)&lt;=0),"중국공급가=원가+마진 ",""))</f>
        <v>택가보정 원가보정 공급가보정</v>
      </c>
      <c r="Q1858" s="47" t="n">
        <f aca="false">IF(SUMIFS($W:$W,$A:$A,A1858,$C:$C,C1858)=0,0,SUMIFS(RAW_판매펀칭!$K:$K,RAW_판매펀칭!$P:$P,A1858,RAW_판매펀칭!$I:$I,C1858)*W1858/SUMIFS($W:$W,$A:$A,A1858,$C:$C,C1858))</f>
        <v>0</v>
      </c>
      <c r="R1858" s="47" t="n">
        <f aca="false">IF(OR(A1858="500",A1858="800",A1858="810"),0,MAX(W1858-Q1858,0))</f>
        <v>50</v>
      </c>
      <c r="S1858" s="47" t="n">
        <f aca="false">R1858*L1858</f>
        <v>0</v>
      </c>
      <c r="T1858" s="47" t="n">
        <f aca="false">R1858*J1858</f>
        <v>0</v>
      </c>
      <c r="U1858" s="47" t="n">
        <f aca="false">R1858*K1858</f>
        <v>0</v>
      </c>
      <c r="V1858" s="0" t="str">
        <f aca="false">IF(COUNTIFS($A$2:A1858,A1858,$C$2:C1858,C1858,$D$2:D1858,D1858)&gt;1,"중복","")</f>
        <v/>
      </c>
      <c r="W1858" s="0" t="n">
        <f aca="false">IF(V1858="중복",0,N(D1858))</f>
        <v>50</v>
      </c>
      <c r="X1858" s="0" t="n">
        <f aca="false">IF(COUNTIFS($A$2:A1858,A1858,$C$2:C1858,C1858)=1,ABS(SUMIFS(RAW_발주!$D:$D,RAW_발주!$C:$C,A1858,RAW_발주!$A:$A,C1858)-SUMIFS($W:$W,$A:$A,A1858,$C:$C,C1858)),0)</f>
        <v>0</v>
      </c>
    </row>
    <row r="1859" customFormat="false" ht="15" hidden="false" customHeight="true" outlineLevel="0" collapsed="false">
      <c r="A1859" s="45" t="s">
        <v>1661</v>
      </c>
      <c r="B1859" s="42" t="str">
        <f aca="false">IF(A1859="100","HK",IF(A1859="200","CN",IF(A1859="300","TW","홀세일")))</f>
        <v>TW</v>
      </c>
      <c r="C1859" s="45" t="s">
        <v>1740</v>
      </c>
      <c r="D1859" s="46" t="n">
        <v>450</v>
      </c>
      <c r="E1859" s="46"/>
      <c r="F1859" s="46"/>
      <c r="G1859" s="42" t="n">
        <v>0</v>
      </c>
      <c r="J1859" s="46" t="n">
        <f aca="false">IF(N(E1859)&gt;0,E1859,IF(N(F1859)&gt;0,F1859*요약!$F$27,0))</f>
        <v>0</v>
      </c>
      <c r="K1859" s="46" t="n">
        <f aca="false">IF(N(F1859)&gt;0,F1859,IF(N(E1859)&gt;0,E1859/요약!$F$27,0))</f>
        <v>0</v>
      </c>
      <c r="L1859" s="46" t="n">
        <f aca="false">IF(B1859="CN",IF(N(I1859)&gt;0,I1859*요약!$G$27,K1859*(1+요약!$E$27)),IF(N(H1859)&gt;0,H1859*요약!$G$27,J1859*요약!$D$27))</f>
        <v>0</v>
      </c>
      <c r="M1859" s="46" t="n">
        <f aca="false">D1859*J1859</f>
        <v>0</v>
      </c>
      <c r="N1859" s="46" t="n">
        <f aca="false">D1859*K1859</f>
        <v>0</v>
      </c>
      <c r="O1859" s="46" t="n">
        <f aca="false">D1859*L1859</f>
        <v>0</v>
      </c>
      <c r="P1859" s="42" t="str">
        <f aca="false">TRIM(IF(N(E1859)&lt;=0,"택가보정 ","")&amp;IF(N(F1859)&lt;=0,"원가보정 ","")&amp;IF(AND(B1859&lt;&gt;"CN",N(H1859)&lt;=0),"공급가보정 ","")&amp;IF(AND(B1859="CN",N(I1859)&lt;=0),"중국공급가=원가+마진 ",""))</f>
        <v>택가보정 원가보정 공급가보정</v>
      </c>
      <c r="Q1859" s="47" t="n">
        <f aca="false">IF(SUMIFS($W:$W,$A:$A,A1859,$C:$C,C1859)=0,0,SUMIFS(RAW_판매펀칭!$K:$K,RAW_판매펀칭!$P:$P,A1859,RAW_판매펀칭!$I:$I,C1859)*W1859/SUMIFS($W:$W,$A:$A,A1859,$C:$C,C1859))</f>
        <v>0</v>
      </c>
      <c r="R1859" s="47" t="n">
        <f aca="false">IF(OR(A1859="500",A1859="800",A1859="810"),0,MAX(W1859-Q1859,0))</f>
        <v>450</v>
      </c>
      <c r="S1859" s="47" t="n">
        <f aca="false">R1859*L1859</f>
        <v>0</v>
      </c>
      <c r="T1859" s="47" t="n">
        <f aca="false">R1859*J1859</f>
        <v>0</v>
      </c>
      <c r="U1859" s="47" t="n">
        <f aca="false">R1859*K1859</f>
        <v>0</v>
      </c>
      <c r="V1859" s="0" t="str">
        <f aca="false">IF(COUNTIFS($A$2:A1859,A1859,$C$2:C1859,C1859,$D$2:D1859,D1859)&gt;1,"중복","")</f>
        <v/>
      </c>
      <c r="W1859" s="0" t="n">
        <f aca="false">IF(V1859="중복",0,N(D1859))</f>
        <v>450</v>
      </c>
      <c r="X1859" s="0" t="n">
        <f aca="false">IF(COUNTIFS($A$2:A1859,A1859,$C$2:C1859,C1859)=1,ABS(SUMIFS(RAW_발주!$D:$D,RAW_발주!$C:$C,A1859,RAW_발주!$A:$A,C1859)-SUMIFS($W:$W,$A:$A,A1859,$C:$C,C1859)),0)</f>
        <v>0</v>
      </c>
    </row>
    <row r="1860" customFormat="false" ht="15" hidden="false" customHeight="true" outlineLevel="0" collapsed="false">
      <c r="A1860" s="45" t="s">
        <v>1660</v>
      </c>
      <c r="B1860" s="42" t="str">
        <f aca="false">IF(A1860="100","HK",IF(A1860="200","CN",IF(A1860="300","TW","홀세일")))</f>
        <v>CN</v>
      </c>
      <c r="C1860" s="45" t="s">
        <v>1182</v>
      </c>
      <c r="D1860" s="46" t="n">
        <v>853</v>
      </c>
      <c r="E1860" s="46" t="n">
        <v>179000</v>
      </c>
      <c r="F1860" s="46" t="n">
        <v>49706</v>
      </c>
      <c r="G1860" s="42" t="n">
        <v>3.66</v>
      </c>
      <c r="H1860" s="42" t="n">
        <v>42.1</v>
      </c>
      <c r="I1860" s="42" t="n">
        <v>41</v>
      </c>
      <c r="J1860" s="46" t="n">
        <f aca="false">IF(N(E1860)&gt;0,E1860,IF(N(F1860)&gt;0,F1860*요약!$F$27,0))</f>
        <v>179000</v>
      </c>
      <c r="K1860" s="46" t="n">
        <f aca="false">IF(N(F1860)&gt;0,F1860,IF(N(E1860)&gt;0,E1860/요약!$F$27,0))</f>
        <v>49706</v>
      </c>
      <c r="L1860" s="46" t="n">
        <f aca="false">IF(B1860="CN",IF(N(I1860)&gt;0,I1860*요약!$G$27,K1860*(1+요약!$E$27)),IF(N(H1860)&gt;0,H1860*요약!$G$27,J1860*요약!$D$27))</f>
        <v>54120</v>
      </c>
      <c r="M1860" s="46" t="n">
        <f aca="false">D1860*J1860</f>
        <v>152687000</v>
      </c>
      <c r="N1860" s="46" t="n">
        <f aca="false">D1860*K1860</f>
        <v>42399218</v>
      </c>
      <c r="O1860" s="46" t="n">
        <f aca="false">D1860*L1860</f>
        <v>46164360</v>
      </c>
      <c r="P1860" s="42" t="str">
        <f aca="false">TRIM(IF(N(E1860)&lt;=0,"택가보정 ","")&amp;IF(N(F1860)&lt;=0,"원가보정 ","")&amp;IF(AND(B1860&lt;&gt;"CN",N(H1860)&lt;=0),"공급가보정 ","")&amp;IF(AND(B1860="CN",N(I1860)&lt;=0),"중국공급가=원가+마진 ",""))</f>
        <v/>
      </c>
      <c r="Q1860" s="47" t="n">
        <f aca="false">IF(SUMIFS($W:$W,$A:$A,A1860,$C:$C,C1860)=0,0,SUMIFS(RAW_판매펀칭!$K:$K,RAW_판매펀칭!$P:$P,A1860,RAW_판매펀칭!$I:$I,C1860)*W1860/SUMIFS($W:$W,$A:$A,A1860,$C:$C,C1860))</f>
        <v>834</v>
      </c>
      <c r="R1860" s="47" t="n">
        <f aca="false">IF(OR(A1860="500",A1860="800",A1860="810"),0,MAX(W1860-Q1860,0))</f>
        <v>19</v>
      </c>
      <c r="S1860" s="47" t="n">
        <f aca="false">R1860*L1860</f>
        <v>1028280</v>
      </c>
      <c r="T1860" s="47" t="n">
        <f aca="false">R1860*J1860</f>
        <v>3401000</v>
      </c>
      <c r="U1860" s="47" t="n">
        <f aca="false">R1860*K1860</f>
        <v>944414</v>
      </c>
      <c r="V1860" s="0" t="str">
        <f aca="false">IF(COUNTIFS($A$2:A1860,A1860,$C$2:C1860,C1860,$D$2:D1860,D1860)&gt;1,"중복","")</f>
        <v/>
      </c>
      <c r="W1860" s="0" t="n">
        <f aca="false">IF(V1860="중복",0,N(D1860))</f>
        <v>853</v>
      </c>
      <c r="X1860" s="0" t="n">
        <f aca="false">IF(COUNTIFS($A$2:A1860,A1860,$C$2:C1860,C1860)=1,ABS(SUMIFS(RAW_발주!$D:$D,RAW_발주!$C:$C,A1860,RAW_발주!$A:$A,C1860)-SUMIFS($W:$W,$A:$A,A1860,$C:$C,C1860)),0)</f>
        <v>0</v>
      </c>
    </row>
    <row r="1861" customFormat="false" ht="15" hidden="false" customHeight="true" outlineLevel="0" collapsed="false">
      <c r="A1861" s="45" t="s">
        <v>1660</v>
      </c>
      <c r="B1861" s="42" t="str">
        <f aca="false">IF(A1861="100","HK",IF(A1861="200","CN",IF(A1861="300","TW","홀세일")))</f>
        <v>CN</v>
      </c>
      <c r="C1861" s="45" t="s">
        <v>1184</v>
      </c>
      <c r="D1861" s="46" t="n">
        <v>362</v>
      </c>
      <c r="E1861" s="46" t="n">
        <v>199000</v>
      </c>
      <c r="F1861" s="46" t="n">
        <v>56806</v>
      </c>
      <c r="G1861" s="42" t="n">
        <v>3.3</v>
      </c>
      <c r="H1861" s="42" t="n">
        <v>46.8</v>
      </c>
      <c r="I1861" s="42" t="n">
        <v>46.1</v>
      </c>
      <c r="J1861" s="46" t="n">
        <f aca="false">IF(N(E1861)&gt;0,E1861,IF(N(F1861)&gt;0,F1861*요약!$F$27,0))</f>
        <v>199000</v>
      </c>
      <c r="K1861" s="46" t="n">
        <f aca="false">IF(N(F1861)&gt;0,F1861,IF(N(E1861)&gt;0,E1861/요약!$F$27,0))</f>
        <v>56806</v>
      </c>
      <c r="L1861" s="46" t="n">
        <f aca="false">IF(B1861="CN",IF(N(I1861)&gt;0,I1861*요약!$G$27,K1861*(1+요약!$E$27)),IF(N(H1861)&gt;0,H1861*요약!$G$27,J1861*요약!$D$27))</f>
        <v>60852</v>
      </c>
      <c r="M1861" s="46" t="n">
        <f aca="false">D1861*J1861</f>
        <v>72038000</v>
      </c>
      <c r="N1861" s="46" t="n">
        <f aca="false">D1861*K1861</f>
        <v>20563772</v>
      </c>
      <c r="O1861" s="46" t="n">
        <f aca="false">D1861*L1861</f>
        <v>22028424</v>
      </c>
      <c r="P1861" s="42" t="str">
        <f aca="false">TRIM(IF(N(E1861)&lt;=0,"택가보정 ","")&amp;IF(N(F1861)&lt;=0,"원가보정 ","")&amp;IF(AND(B1861&lt;&gt;"CN",N(H1861)&lt;=0),"공급가보정 ","")&amp;IF(AND(B1861="CN",N(I1861)&lt;=0),"중국공급가=원가+마진 ",""))</f>
        <v/>
      </c>
      <c r="Q1861" s="47" t="n">
        <f aca="false">IF(SUMIFS($W:$W,$A:$A,A1861,$C:$C,C1861)=0,0,SUMIFS(RAW_판매펀칭!$K:$K,RAW_판매펀칭!$P:$P,A1861,RAW_판매펀칭!$I:$I,C1861)*W1861/SUMIFS($W:$W,$A:$A,A1861,$C:$C,C1861))</f>
        <v>356</v>
      </c>
      <c r="R1861" s="47" t="n">
        <f aca="false">IF(OR(A1861="500",A1861="800",A1861="810"),0,MAX(W1861-Q1861,0))</f>
        <v>6</v>
      </c>
      <c r="S1861" s="47" t="n">
        <f aca="false">R1861*L1861</f>
        <v>365112</v>
      </c>
      <c r="T1861" s="47" t="n">
        <f aca="false">R1861*J1861</f>
        <v>1194000</v>
      </c>
      <c r="U1861" s="47" t="n">
        <f aca="false">R1861*K1861</f>
        <v>340836</v>
      </c>
      <c r="V1861" s="0" t="str">
        <f aca="false">IF(COUNTIFS($A$2:A1861,A1861,$C$2:C1861,C1861,$D$2:D1861,D1861)&gt;1,"중복","")</f>
        <v/>
      </c>
      <c r="W1861" s="0" t="n">
        <f aca="false">IF(V1861="중복",0,N(D1861))</f>
        <v>362</v>
      </c>
      <c r="X1861" s="0" t="n">
        <f aca="false">IF(COUNTIFS($A$2:A1861,A1861,$C$2:C1861,C1861)=1,ABS(SUMIFS(RAW_발주!$D:$D,RAW_발주!$C:$C,A1861,RAW_발주!$A:$A,C1861)-SUMIFS($W:$W,$A:$A,A1861,$C:$C,C1861)),0)</f>
        <v>0</v>
      </c>
    </row>
    <row r="1862" customFormat="false" ht="15" hidden="false" customHeight="true" outlineLevel="0" collapsed="false">
      <c r="A1862" s="45" t="s">
        <v>1660</v>
      </c>
      <c r="B1862" s="42" t="str">
        <f aca="false">IF(A1862="100","HK",IF(A1862="200","CN",IF(A1862="300","TW","홀세일")))</f>
        <v>CN</v>
      </c>
      <c r="C1862" s="45" t="s">
        <v>1186</v>
      </c>
      <c r="D1862" s="46" t="n">
        <v>221</v>
      </c>
      <c r="E1862" s="46" t="n">
        <v>219000</v>
      </c>
      <c r="F1862" s="46" t="n">
        <v>61800</v>
      </c>
      <c r="G1862" s="42" t="n">
        <v>2.64</v>
      </c>
      <c r="H1862" s="42" t="n">
        <v>51.5</v>
      </c>
      <c r="I1862" s="42" t="n">
        <v>49.2</v>
      </c>
      <c r="J1862" s="46" t="n">
        <f aca="false">IF(N(E1862)&gt;0,E1862,IF(N(F1862)&gt;0,F1862*요약!$F$27,0))</f>
        <v>219000</v>
      </c>
      <c r="K1862" s="46" t="n">
        <f aca="false">IF(N(F1862)&gt;0,F1862,IF(N(E1862)&gt;0,E1862/요약!$F$27,0))</f>
        <v>61800</v>
      </c>
      <c r="L1862" s="46" t="n">
        <f aca="false">IF(B1862="CN",IF(N(I1862)&gt;0,I1862*요약!$G$27,K1862*(1+요약!$E$27)),IF(N(H1862)&gt;0,H1862*요약!$G$27,J1862*요약!$D$27))</f>
        <v>64944</v>
      </c>
      <c r="M1862" s="46" t="n">
        <f aca="false">D1862*J1862</f>
        <v>48399000</v>
      </c>
      <c r="N1862" s="46" t="n">
        <f aca="false">D1862*K1862</f>
        <v>13657800</v>
      </c>
      <c r="O1862" s="46" t="n">
        <f aca="false">D1862*L1862</f>
        <v>14352624</v>
      </c>
      <c r="P1862" s="42" t="str">
        <f aca="false">TRIM(IF(N(E1862)&lt;=0,"택가보정 ","")&amp;IF(N(F1862)&lt;=0,"원가보정 ","")&amp;IF(AND(B1862&lt;&gt;"CN",N(H1862)&lt;=0),"공급가보정 ","")&amp;IF(AND(B1862="CN",N(I1862)&lt;=0),"중국공급가=원가+마진 ",""))</f>
        <v/>
      </c>
      <c r="Q1862" s="47" t="n">
        <f aca="false">IF(SUMIFS($W:$W,$A:$A,A1862,$C:$C,C1862)=0,0,SUMIFS(RAW_판매펀칭!$K:$K,RAW_판매펀칭!$P:$P,A1862,RAW_판매펀칭!$I:$I,C1862)*W1862/SUMIFS($W:$W,$A:$A,A1862,$C:$C,C1862))</f>
        <v>219</v>
      </c>
      <c r="R1862" s="47" t="n">
        <f aca="false">IF(OR(A1862="500",A1862="800",A1862="810"),0,MAX(W1862-Q1862,0))</f>
        <v>2</v>
      </c>
      <c r="S1862" s="47" t="n">
        <f aca="false">R1862*L1862</f>
        <v>129888</v>
      </c>
      <c r="T1862" s="47" t="n">
        <f aca="false">R1862*J1862</f>
        <v>438000</v>
      </c>
      <c r="U1862" s="47" t="n">
        <f aca="false">R1862*K1862</f>
        <v>123600</v>
      </c>
      <c r="V1862" s="0" t="str">
        <f aca="false">IF(COUNTIFS($A$2:A1862,A1862,$C$2:C1862,C1862,$D$2:D1862,D1862)&gt;1,"중복","")</f>
        <v/>
      </c>
      <c r="W1862" s="0" t="n">
        <f aca="false">IF(V1862="중복",0,N(D1862))</f>
        <v>221</v>
      </c>
      <c r="X1862" s="0" t="n">
        <f aca="false">IF(COUNTIFS($A$2:A1862,A1862,$C$2:C1862,C1862)=1,ABS(SUMIFS(RAW_발주!$D:$D,RAW_발주!$C:$C,A1862,RAW_발주!$A:$A,C1862)-SUMIFS($W:$W,$A:$A,A1862,$C:$C,C1862)),0)</f>
        <v>0</v>
      </c>
    </row>
    <row r="1863" customFormat="false" ht="15" hidden="false" customHeight="true" outlineLevel="0" collapsed="false">
      <c r="A1863" s="45" t="s">
        <v>1663</v>
      </c>
      <c r="B1863" s="42" t="str">
        <f aca="false">IF(A1863="100","HK",IF(A1863="200","CN",IF(A1863="300","TW","홀세일")))</f>
        <v>홀세일</v>
      </c>
      <c r="C1863" s="45" t="s">
        <v>1186</v>
      </c>
      <c r="D1863" s="46" t="n">
        <v>30</v>
      </c>
      <c r="E1863" s="46" t="n">
        <v>219000</v>
      </c>
      <c r="F1863" s="46" t="n">
        <v>61800</v>
      </c>
      <c r="G1863" s="42" t="n">
        <v>2.64</v>
      </c>
      <c r="H1863" s="42" t="n">
        <v>51.5</v>
      </c>
      <c r="I1863" s="42" t="n">
        <v>49.2</v>
      </c>
      <c r="J1863" s="46" t="n">
        <f aca="false">IF(N(E1863)&gt;0,E1863,IF(N(F1863)&gt;0,F1863*요약!$F$27,0))</f>
        <v>219000</v>
      </c>
      <c r="K1863" s="46" t="n">
        <f aca="false">IF(N(F1863)&gt;0,F1863,IF(N(E1863)&gt;0,E1863/요약!$F$27,0))</f>
        <v>61800</v>
      </c>
      <c r="L1863" s="46" t="n">
        <f aca="false">IF(B1863="CN",IF(N(I1863)&gt;0,I1863*요약!$G$27,K1863*(1+요약!$E$27)),IF(N(H1863)&gt;0,H1863*요약!$G$27,J1863*요약!$D$27))</f>
        <v>67980</v>
      </c>
      <c r="M1863" s="46" t="n">
        <f aca="false">D1863*J1863</f>
        <v>6570000</v>
      </c>
      <c r="N1863" s="46" t="n">
        <f aca="false">D1863*K1863</f>
        <v>1854000</v>
      </c>
      <c r="O1863" s="46" t="n">
        <f aca="false">D1863*L1863</f>
        <v>2039400</v>
      </c>
      <c r="P1863" s="42" t="str">
        <f aca="false">TRIM(IF(N(E1863)&lt;=0,"택가보정 ","")&amp;IF(N(F1863)&lt;=0,"원가보정 ","")&amp;IF(AND(B1863&lt;&gt;"CN",N(H1863)&lt;=0),"공급가보정 ","")&amp;IF(AND(B1863="CN",N(I1863)&lt;=0),"중국공급가=원가+마진 ",""))</f>
        <v/>
      </c>
      <c r="Q1863" s="47" t="n">
        <f aca="false">IF(SUMIFS($W:$W,$A:$A,A1863,$C:$C,C1863)=0,0,SUMIFS(RAW_판매펀칭!$K:$K,RAW_판매펀칭!$P:$P,A1863,RAW_판매펀칭!$I:$I,C1863)*W1863/SUMIFS($W:$W,$A:$A,A1863,$C:$C,C1863))</f>
        <v>30</v>
      </c>
      <c r="R1863" s="47" t="n">
        <f aca="false">IF(OR(A1863="500",A1863="800",A1863="810"),0,MAX(W1863-Q1863,0))</f>
        <v>0</v>
      </c>
      <c r="S1863" s="47" t="n">
        <f aca="false">R1863*L1863</f>
        <v>0</v>
      </c>
      <c r="T1863" s="47" t="n">
        <f aca="false">R1863*J1863</f>
        <v>0</v>
      </c>
      <c r="U1863" s="47" t="n">
        <f aca="false">R1863*K1863</f>
        <v>0</v>
      </c>
      <c r="V1863" s="0" t="str">
        <f aca="false">IF(COUNTIFS($A$2:A1863,A1863,$C$2:C1863,C1863,$D$2:D1863,D1863)&gt;1,"중복","")</f>
        <v/>
      </c>
      <c r="W1863" s="0" t="n">
        <f aca="false">IF(V1863="중복",0,N(D1863))</f>
        <v>30</v>
      </c>
      <c r="X1863" s="0" t="n">
        <f aca="false">IF(COUNTIFS($A$2:A1863,A1863,$C$2:C1863,C1863)=1,ABS(SUMIFS(RAW_발주!$D:$D,RAW_발주!$C:$C,A1863,RAW_발주!$A:$A,C1863)-SUMIFS($W:$W,$A:$A,A1863,$C:$C,C1863)),0)</f>
        <v>0</v>
      </c>
    </row>
    <row r="1864" customFormat="false" ht="15" hidden="false" customHeight="true" outlineLevel="0" collapsed="false">
      <c r="A1864" s="45" t="s">
        <v>1659</v>
      </c>
      <c r="B1864" s="42" t="str">
        <f aca="false">IF(A1864="100","HK",IF(A1864="200","CN",IF(A1864="300","TW","홀세일")))</f>
        <v>HK</v>
      </c>
      <c r="C1864" s="45" t="s">
        <v>736</v>
      </c>
      <c r="D1864" s="46" t="n">
        <v>250</v>
      </c>
      <c r="E1864" s="46" t="n">
        <v>879000</v>
      </c>
      <c r="F1864" s="46" t="n">
        <v>204619</v>
      </c>
      <c r="G1864" s="42" t="n">
        <v>3.22</v>
      </c>
      <c r="H1864" s="42" t="n">
        <v>220</v>
      </c>
      <c r="I1864" s="42" t="n">
        <v>186.2</v>
      </c>
      <c r="J1864" s="46" t="n">
        <f aca="false">IF(N(E1864)&gt;0,E1864,IF(N(F1864)&gt;0,F1864*요약!$F$27,0))</f>
        <v>879000</v>
      </c>
      <c r="K1864" s="46" t="n">
        <f aca="false">IF(N(F1864)&gt;0,F1864,IF(N(E1864)&gt;0,E1864/요약!$F$27,0))</f>
        <v>204619</v>
      </c>
      <c r="L1864" s="46" t="n">
        <f aca="false">IF(B1864="CN",IF(N(I1864)&gt;0,I1864*요약!$G$27,K1864*(1+요약!$E$27)),IF(N(H1864)&gt;0,H1864*요약!$G$27,J1864*요약!$D$27))</f>
        <v>290400</v>
      </c>
      <c r="M1864" s="46" t="n">
        <f aca="false">D1864*J1864</f>
        <v>219750000</v>
      </c>
      <c r="N1864" s="46" t="n">
        <f aca="false">D1864*K1864</f>
        <v>51154750</v>
      </c>
      <c r="O1864" s="46" t="n">
        <f aca="false">D1864*L1864</f>
        <v>72600000</v>
      </c>
      <c r="P1864" s="42" t="str">
        <f aca="false">TRIM(IF(N(E1864)&lt;=0,"택가보정 ","")&amp;IF(N(F1864)&lt;=0,"원가보정 ","")&amp;IF(AND(B1864&lt;&gt;"CN",N(H1864)&lt;=0),"공급가보정 ","")&amp;IF(AND(B1864="CN",N(I1864)&lt;=0),"중국공급가=원가+마진 ",""))</f>
        <v/>
      </c>
      <c r="Q1864" s="47" t="n">
        <f aca="false">IF(SUMIFS($W:$W,$A:$A,A1864,$C:$C,C1864)=0,0,SUMIFS(RAW_판매펀칭!$K:$K,RAW_판매펀칭!$P:$P,A1864,RAW_판매펀칭!$I:$I,C1864)*W1864/SUMIFS($W:$W,$A:$A,A1864,$C:$C,C1864))</f>
        <v>237</v>
      </c>
      <c r="R1864" s="47" t="n">
        <f aca="false">IF(OR(A1864="500",A1864="800",A1864="810"),0,MAX(W1864-Q1864,0))</f>
        <v>13</v>
      </c>
      <c r="S1864" s="47" t="n">
        <f aca="false">R1864*L1864</f>
        <v>3775200</v>
      </c>
      <c r="T1864" s="47" t="n">
        <f aca="false">R1864*J1864</f>
        <v>11427000</v>
      </c>
      <c r="U1864" s="47" t="n">
        <f aca="false">R1864*K1864</f>
        <v>2660047</v>
      </c>
      <c r="V1864" s="0" t="str">
        <f aca="false">IF(COUNTIFS($A$2:A1864,A1864,$C$2:C1864,C1864,$D$2:D1864,D1864)&gt;1,"중복","")</f>
        <v/>
      </c>
      <c r="W1864" s="0" t="n">
        <f aca="false">IF(V1864="중복",0,N(D1864))</f>
        <v>250</v>
      </c>
      <c r="X1864" s="0" t="n">
        <f aca="false">IF(COUNTIFS($A$2:A1864,A1864,$C$2:C1864,C1864)=1,ABS(SUMIFS(RAW_발주!$D:$D,RAW_발주!$C:$C,A1864,RAW_발주!$A:$A,C1864)-SUMIFS($W:$W,$A:$A,A1864,$C:$C,C1864)),0)</f>
        <v>0</v>
      </c>
    </row>
    <row r="1865" customFormat="false" ht="15" hidden="false" customHeight="true" outlineLevel="0" collapsed="false">
      <c r="A1865" s="45" t="s">
        <v>1660</v>
      </c>
      <c r="B1865" s="42" t="str">
        <f aca="false">IF(A1865="100","HK",IF(A1865="200","CN",IF(A1865="300","TW","홀세일")))</f>
        <v>CN</v>
      </c>
      <c r="C1865" s="45" t="s">
        <v>736</v>
      </c>
      <c r="D1865" s="46" t="n">
        <v>578</v>
      </c>
      <c r="E1865" s="46" t="n">
        <v>879000</v>
      </c>
      <c r="F1865" s="46" t="n">
        <v>204619</v>
      </c>
      <c r="G1865" s="42" t="n">
        <v>3.22</v>
      </c>
      <c r="H1865" s="42" t="n">
        <v>220</v>
      </c>
      <c r="I1865" s="42" t="n">
        <v>186.2</v>
      </c>
      <c r="J1865" s="46" t="n">
        <f aca="false">IF(N(E1865)&gt;0,E1865,IF(N(F1865)&gt;0,F1865*요약!$F$27,0))</f>
        <v>879000</v>
      </c>
      <c r="K1865" s="46" t="n">
        <f aca="false">IF(N(F1865)&gt;0,F1865,IF(N(E1865)&gt;0,E1865/요약!$F$27,0))</f>
        <v>204619</v>
      </c>
      <c r="L1865" s="46" t="n">
        <f aca="false">IF(B1865="CN",IF(N(I1865)&gt;0,I1865*요약!$G$27,K1865*(1+요약!$E$27)),IF(N(H1865)&gt;0,H1865*요약!$G$27,J1865*요약!$D$27))</f>
        <v>245784</v>
      </c>
      <c r="M1865" s="46" t="n">
        <f aca="false">D1865*J1865</f>
        <v>508062000</v>
      </c>
      <c r="N1865" s="46" t="n">
        <f aca="false">D1865*K1865</f>
        <v>118269782</v>
      </c>
      <c r="O1865" s="46" t="n">
        <f aca="false">D1865*L1865</f>
        <v>142063152</v>
      </c>
      <c r="P1865" s="42" t="str">
        <f aca="false">TRIM(IF(N(E1865)&lt;=0,"택가보정 ","")&amp;IF(N(F1865)&lt;=0,"원가보정 ","")&amp;IF(AND(B1865&lt;&gt;"CN",N(H1865)&lt;=0),"공급가보정 ","")&amp;IF(AND(B1865="CN",N(I1865)&lt;=0),"중국공급가=원가+마진 ",""))</f>
        <v/>
      </c>
      <c r="Q1865" s="47" t="n">
        <f aca="false">IF(SUMIFS($W:$W,$A:$A,A1865,$C:$C,C1865)=0,0,SUMIFS(RAW_판매펀칭!$K:$K,RAW_판매펀칭!$P:$P,A1865,RAW_판매펀칭!$I:$I,C1865)*W1865/SUMIFS($W:$W,$A:$A,A1865,$C:$C,C1865))</f>
        <v>578</v>
      </c>
      <c r="R1865" s="47" t="n">
        <f aca="false">IF(OR(A1865="500",A1865="800",A1865="810"),0,MAX(W1865-Q1865,0))</f>
        <v>0</v>
      </c>
      <c r="S1865" s="47" t="n">
        <f aca="false">R1865*L1865</f>
        <v>0</v>
      </c>
      <c r="T1865" s="47" t="n">
        <f aca="false">R1865*J1865</f>
        <v>0</v>
      </c>
      <c r="U1865" s="47" t="n">
        <f aca="false">R1865*K1865</f>
        <v>0</v>
      </c>
      <c r="V1865" s="0" t="str">
        <f aca="false">IF(COUNTIFS($A$2:A1865,A1865,$C$2:C1865,C1865,$D$2:D1865,D1865)&gt;1,"중복","")</f>
        <v/>
      </c>
      <c r="W1865" s="0" t="n">
        <f aca="false">IF(V1865="중복",0,N(D1865))</f>
        <v>578</v>
      </c>
      <c r="X1865" s="0" t="n">
        <f aca="false">IF(COUNTIFS($A$2:A1865,A1865,$C$2:C1865,C1865)=1,ABS(SUMIFS(RAW_발주!$D:$D,RAW_발주!$C:$C,A1865,RAW_발주!$A:$A,C1865)-SUMIFS($W:$W,$A:$A,A1865,$C:$C,C1865)),0)</f>
        <v>0</v>
      </c>
    </row>
    <row r="1866" customFormat="false" ht="15" hidden="false" customHeight="true" outlineLevel="0" collapsed="false">
      <c r="A1866" s="45" t="s">
        <v>1660</v>
      </c>
      <c r="B1866" s="42" t="str">
        <f aca="false">IF(A1866="100","HK",IF(A1866="200","CN",IF(A1866="300","TW","홀세일")))</f>
        <v>CN</v>
      </c>
      <c r="C1866" s="45" t="s">
        <v>736</v>
      </c>
      <c r="D1866" s="46" t="n">
        <v>578</v>
      </c>
      <c r="E1866" s="46" t="n">
        <v>879000</v>
      </c>
      <c r="F1866" s="46" t="n">
        <v>204619</v>
      </c>
      <c r="G1866" s="42" t="n">
        <v>3.22</v>
      </c>
      <c r="H1866" s="42" t="n">
        <v>220</v>
      </c>
      <c r="I1866" s="42" t="n">
        <v>186.2</v>
      </c>
      <c r="J1866" s="46" t="n">
        <f aca="false">IF(N(E1866)&gt;0,E1866,IF(N(F1866)&gt;0,F1866*요약!$F$27,0))</f>
        <v>879000</v>
      </c>
      <c r="K1866" s="46" t="n">
        <f aca="false">IF(N(F1866)&gt;0,F1866,IF(N(E1866)&gt;0,E1866/요약!$F$27,0))</f>
        <v>204619</v>
      </c>
      <c r="L1866" s="46" t="n">
        <f aca="false">IF(B1866="CN",IF(N(I1866)&gt;0,I1866*요약!$G$27,K1866*(1+요약!$E$27)),IF(N(H1866)&gt;0,H1866*요약!$G$27,J1866*요약!$D$27))</f>
        <v>245784</v>
      </c>
      <c r="M1866" s="46" t="n">
        <f aca="false">D1866*J1866</f>
        <v>508062000</v>
      </c>
      <c r="N1866" s="46" t="n">
        <f aca="false">D1866*K1866</f>
        <v>118269782</v>
      </c>
      <c r="O1866" s="46" t="n">
        <f aca="false">D1866*L1866</f>
        <v>142063152</v>
      </c>
      <c r="P1866" s="42" t="str">
        <f aca="false">TRIM(IF(N(E1866)&lt;=0,"택가보정 ","")&amp;IF(N(F1866)&lt;=0,"원가보정 ","")&amp;IF(AND(B1866&lt;&gt;"CN",N(H1866)&lt;=0),"공급가보정 ","")&amp;IF(AND(B1866="CN",N(I1866)&lt;=0),"중국공급가=원가+마진 ",""))</f>
        <v/>
      </c>
      <c r="Q1866" s="47" t="n">
        <f aca="false">IF(SUMIFS($W:$W,$A:$A,A1866,$C:$C,C1866)=0,0,SUMIFS(RAW_판매펀칭!$K:$K,RAW_판매펀칭!$P:$P,A1866,RAW_판매펀칭!$I:$I,C1866)*W1866/SUMIFS($W:$W,$A:$A,A1866,$C:$C,C1866))</f>
        <v>0</v>
      </c>
      <c r="R1866" s="47" t="n">
        <f aca="false">IF(OR(A1866="500",A1866="800",A1866="810"),0,MAX(W1866-Q1866,0))</f>
        <v>0</v>
      </c>
      <c r="S1866" s="47" t="n">
        <f aca="false">R1866*L1866</f>
        <v>0</v>
      </c>
      <c r="T1866" s="47" t="n">
        <f aca="false">R1866*J1866</f>
        <v>0</v>
      </c>
      <c r="U1866" s="47" t="n">
        <f aca="false">R1866*K1866</f>
        <v>0</v>
      </c>
      <c r="V1866" s="0" t="str">
        <f aca="false">IF(COUNTIFS($A$2:A1866,A1866,$C$2:C1866,C1866,$D$2:D1866,D1866)&gt;1,"중복","")</f>
        <v>중복</v>
      </c>
      <c r="W1866" s="0" t="n">
        <f aca="false">IF(V1866="중복",0,N(D1866))</f>
        <v>0</v>
      </c>
      <c r="X1866" s="0" t="n">
        <f aca="false">IF(COUNTIFS($A$2:A1866,A1866,$C$2:C1866,C1866)=1,ABS(SUMIFS(RAW_발주!$D:$D,RAW_발주!$C:$C,A1866,RAW_발주!$A:$A,C1866)-SUMIFS($W:$W,$A:$A,A1866,$C:$C,C1866)),0)</f>
        <v>0</v>
      </c>
    </row>
    <row r="1867" customFormat="false" ht="15" hidden="false" customHeight="true" outlineLevel="0" collapsed="false">
      <c r="A1867" s="45" t="s">
        <v>1660</v>
      </c>
      <c r="B1867" s="42" t="str">
        <f aca="false">IF(A1867="100","HK",IF(A1867="200","CN",IF(A1867="300","TW","홀세일")))</f>
        <v>CN</v>
      </c>
      <c r="C1867" s="45" t="s">
        <v>736</v>
      </c>
      <c r="D1867" s="46" t="n">
        <v>578</v>
      </c>
      <c r="E1867" s="46" t="n">
        <v>879000</v>
      </c>
      <c r="F1867" s="46" t="n">
        <v>204619</v>
      </c>
      <c r="G1867" s="42" t="n">
        <v>3.22</v>
      </c>
      <c r="H1867" s="42" t="n">
        <v>220</v>
      </c>
      <c r="I1867" s="42" t="n">
        <v>186.2</v>
      </c>
      <c r="J1867" s="46" t="n">
        <f aca="false">IF(N(E1867)&gt;0,E1867,IF(N(F1867)&gt;0,F1867*요약!$F$27,0))</f>
        <v>879000</v>
      </c>
      <c r="K1867" s="46" t="n">
        <f aca="false">IF(N(F1867)&gt;0,F1867,IF(N(E1867)&gt;0,E1867/요약!$F$27,0))</f>
        <v>204619</v>
      </c>
      <c r="L1867" s="46" t="n">
        <f aca="false">IF(B1867="CN",IF(N(I1867)&gt;0,I1867*요약!$G$27,K1867*(1+요약!$E$27)),IF(N(H1867)&gt;0,H1867*요약!$G$27,J1867*요약!$D$27))</f>
        <v>245784</v>
      </c>
      <c r="M1867" s="46" t="n">
        <f aca="false">D1867*J1867</f>
        <v>508062000</v>
      </c>
      <c r="N1867" s="46" t="n">
        <f aca="false">D1867*K1867</f>
        <v>118269782</v>
      </c>
      <c r="O1867" s="46" t="n">
        <f aca="false">D1867*L1867</f>
        <v>142063152</v>
      </c>
      <c r="P1867" s="42" t="str">
        <f aca="false">TRIM(IF(N(E1867)&lt;=0,"택가보정 ","")&amp;IF(N(F1867)&lt;=0,"원가보정 ","")&amp;IF(AND(B1867&lt;&gt;"CN",N(H1867)&lt;=0),"공급가보정 ","")&amp;IF(AND(B1867="CN",N(I1867)&lt;=0),"중국공급가=원가+마진 ",""))</f>
        <v/>
      </c>
      <c r="Q1867" s="47" t="n">
        <f aca="false">IF(SUMIFS($W:$W,$A:$A,A1867,$C:$C,C1867)=0,0,SUMIFS(RAW_판매펀칭!$K:$K,RAW_판매펀칭!$P:$P,A1867,RAW_판매펀칭!$I:$I,C1867)*W1867/SUMIFS($W:$W,$A:$A,A1867,$C:$C,C1867))</f>
        <v>0</v>
      </c>
      <c r="R1867" s="47" t="n">
        <f aca="false">IF(OR(A1867="500",A1867="800",A1867="810"),0,MAX(W1867-Q1867,0))</f>
        <v>0</v>
      </c>
      <c r="S1867" s="47" t="n">
        <f aca="false">R1867*L1867</f>
        <v>0</v>
      </c>
      <c r="T1867" s="47" t="n">
        <f aca="false">R1867*J1867</f>
        <v>0</v>
      </c>
      <c r="U1867" s="47" t="n">
        <f aca="false">R1867*K1867</f>
        <v>0</v>
      </c>
      <c r="V1867" s="0" t="str">
        <f aca="false">IF(COUNTIFS($A$2:A1867,A1867,$C$2:C1867,C1867,$D$2:D1867,D1867)&gt;1,"중복","")</f>
        <v>중복</v>
      </c>
      <c r="W1867" s="0" t="n">
        <f aca="false">IF(V1867="중복",0,N(D1867))</f>
        <v>0</v>
      </c>
      <c r="X1867" s="0" t="n">
        <f aca="false">IF(COUNTIFS($A$2:A1867,A1867,$C$2:C1867,C1867)=1,ABS(SUMIFS(RAW_발주!$D:$D,RAW_발주!$C:$C,A1867,RAW_발주!$A:$A,C1867)-SUMIFS($W:$W,$A:$A,A1867,$C:$C,C1867)),0)</f>
        <v>0</v>
      </c>
    </row>
    <row r="1868" customFormat="false" ht="15" hidden="false" customHeight="true" outlineLevel="0" collapsed="false">
      <c r="A1868" s="45" t="s">
        <v>1661</v>
      </c>
      <c r="B1868" s="42" t="str">
        <f aca="false">IF(A1868="100","HK",IF(A1868="200","CN",IF(A1868="300","TW","홀세일")))</f>
        <v>TW</v>
      </c>
      <c r="C1868" s="45" t="s">
        <v>736</v>
      </c>
      <c r="D1868" s="46" t="n">
        <v>240</v>
      </c>
      <c r="E1868" s="46" t="n">
        <v>879000</v>
      </c>
      <c r="F1868" s="46" t="n">
        <v>204619</v>
      </c>
      <c r="G1868" s="42" t="n">
        <v>3.22</v>
      </c>
      <c r="H1868" s="42" t="n">
        <v>220</v>
      </c>
      <c r="I1868" s="42" t="n">
        <v>186.2</v>
      </c>
      <c r="J1868" s="46" t="n">
        <f aca="false">IF(N(E1868)&gt;0,E1868,IF(N(F1868)&gt;0,F1868*요약!$F$27,0))</f>
        <v>879000</v>
      </c>
      <c r="K1868" s="46" t="n">
        <f aca="false">IF(N(F1868)&gt;0,F1868,IF(N(E1868)&gt;0,E1868/요약!$F$27,0))</f>
        <v>204619</v>
      </c>
      <c r="L1868" s="46" t="n">
        <f aca="false">IF(B1868="CN",IF(N(I1868)&gt;0,I1868*요약!$G$27,K1868*(1+요약!$E$27)),IF(N(H1868)&gt;0,H1868*요약!$G$27,J1868*요약!$D$27))</f>
        <v>290400</v>
      </c>
      <c r="M1868" s="46" t="n">
        <f aca="false">D1868*J1868</f>
        <v>210960000</v>
      </c>
      <c r="N1868" s="46" t="n">
        <f aca="false">D1868*K1868</f>
        <v>49108560</v>
      </c>
      <c r="O1868" s="46" t="n">
        <f aca="false">D1868*L1868</f>
        <v>69696000</v>
      </c>
      <c r="P1868" s="42" t="str">
        <f aca="false">TRIM(IF(N(E1868)&lt;=0,"택가보정 ","")&amp;IF(N(F1868)&lt;=0,"원가보정 ","")&amp;IF(AND(B1868&lt;&gt;"CN",N(H1868)&lt;=0),"공급가보정 ","")&amp;IF(AND(B1868="CN",N(I1868)&lt;=0),"중국공급가=원가+마진 ",""))</f>
        <v/>
      </c>
      <c r="Q1868" s="47" t="n">
        <f aca="false">IF(SUMIFS($W:$W,$A:$A,A1868,$C:$C,C1868)=0,0,SUMIFS(RAW_판매펀칭!$K:$K,RAW_판매펀칭!$P:$P,A1868,RAW_판매펀칭!$I:$I,C1868)*W1868/SUMIFS($W:$W,$A:$A,A1868,$C:$C,C1868))</f>
        <v>239</v>
      </c>
      <c r="R1868" s="47" t="n">
        <f aca="false">IF(OR(A1868="500",A1868="800",A1868="810"),0,MAX(W1868-Q1868,0))</f>
        <v>1</v>
      </c>
      <c r="S1868" s="47" t="n">
        <f aca="false">R1868*L1868</f>
        <v>290400</v>
      </c>
      <c r="T1868" s="47" t="n">
        <f aca="false">R1868*J1868</f>
        <v>879000</v>
      </c>
      <c r="U1868" s="47" t="n">
        <f aca="false">R1868*K1868</f>
        <v>204619</v>
      </c>
      <c r="V1868" s="0" t="str">
        <f aca="false">IF(COUNTIFS($A$2:A1868,A1868,$C$2:C1868,C1868,$D$2:D1868,D1868)&gt;1,"중복","")</f>
        <v/>
      </c>
      <c r="W1868" s="0" t="n">
        <f aca="false">IF(V1868="중복",0,N(D1868))</f>
        <v>240</v>
      </c>
      <c r="X1868" s="0" t="n">
        <f aca="false">IF(COUNTIFS($A$2:A1868,A1868,$C$2:C1868,C1868)=1,ABS(SUMIFS(RAW_발주!$D:$D,RAW_발주!$C:$C,A1868,RAW_발주!$A:$A,C1868)-SUMIFS($W:$W,$A:$A,A1868,$C:$C,C1868)),0)</f>
        <v>0</v>
      </c>
    </row>
    <row r="1869" customFormat="false" ht="15" hidden="false" customHeight="true" outlineLevel="0" collapsed="false">
      <c r="A1869" s="45" t="s">
        <v>1661</v>
      </c>
      <c r="B1869" s="42" t="str">
        <f aca="false">IF(A1869="100","HK",IF(A1869="200","CN",IF(A1869="300","TW","홀세일")))</f>
        <v>TW</v>
      </c>
      <c r="C1869" s="45" t="s">
        <v>736</v>
      </c>
      <c r="D1869" s="46" t="n">
        <v>240</v>
      </c>
      <c r="E1869" s="46" t="n">
        <v>879000</v>
      </c>
      <c r="F1869" s="46" t="n">
        <v>204619</v>
      </c>
      <c r="G1869" s="42" t="n">
        <v>3.22</v>
      </c>
      <c r="H1869" s="42" t="n">
        <v>220</v>
      </c>
      <c r="I1869" s="42" t="n">
        <v>186.2</v>
      </c>
      <c r="J1869" s="46" t="n">
        <f aca="false">IF(N(E1869)&gt;0,E1869,IF(N(F1869)&gt;0,F1869*요약!$F$27,0))</f>
        <v>879000</v>
      </c>
      <c r="K1869" s="46" t="n">
        <f aca="false">IF(N(F1869)&gt;0,F1869,IF(N(E1869)&gt;0,E1869/요약!$F$27,0))</f>
        <v>204619</v>
      </c>
      <c r="L1869" s="46" t="n">
        <f aca="false">IF(B1869="CN",IF(N(I1869)&gt;0,I1869*요약!$G$27,K1869*(1+요약!$E$27)),IF(N(H1869)&gt;0,H1869*요약!$G$27,J1869*요약!$D$27))</f>
        <v>290400</v>
      </c>
      <c r="M1869" s="46" t="n">
        <f aca="false">D1869*J1869</f>
        <v>210960000</v>
      </c>
      <c r="N1869" s="46" t="n">
        <f aca="false">D1869*K1869</f>
        <v>49108560</v>
      </c>
      <c r="O1869" s="46" t="n">
        <f aca="false">D1869*L1869</f>
        <v>69696000</v>
      </c>
      <c r="P1869" s="42" t="str">
        <f aca="false">TRIM(IF(N(E1869)&lt;=0,"택가보정 ","")&amp;IF(N(F1869)&lt;=0,"원가보정 ","")&amp;IF(AND(B1869&lt;&gt;"CN",N(H1869)&lt;=0),"공급가보정 ","")&amp;IF(AND(B1869="CN",N(I1869)&lt;=0),"중국공급가=원가+마진 ",""))</f>
        <v/>
      </c>
      <c r="Q1869" s="47" t="n">
        <f aca="false">IF(SUMIFS($W:$W,$A:$A,A1869,$C:$C,C1869)=0,0,SUMIFS(RAW_판매펀칭!$K:$K,RAW_판매펀칭!$P:$P,A1869,RAW_판매펀칭!$I:$I,C1869)*W1869/SUMIFS($W:$W,$A:$A,A1869,$C:$C,C1869))</f>
        <v>0</v>
      </c>
      <c r="R1869" s="47" t="n">
        <f aca="false">IF(OR(A1869="500",A1869="800",A1869="810"),0,MAX(W1869-Q1869,0))</f>
        <v>0</v>
      </c>
      <c r="S1869" s="47" t="n">
        <f aca="false">R1869*L1869</f>
        <v>0</v>
      </c>
      <c r="T1869" s="47" t="n">
        <f aca="false">R1869*J1869</f>
        <v>0</v>
      </c>
      <c r="U1869" s="47" t="n">
        <f aca="false">R1869*K1869</f>
        <v>0</v>
      </c>
      <c r="V1869" s="0" t="str">
        <f aca="false">IF(COUNTIFS($A$2:A1869,A1869,$C$2:C1869,C1869,$D$2:D1869,D1869)&gt;1,"중복","")</f>
        <v>중복</v>
      </c>
      <c r="W1869" s="0" t="n">
        <f aca="false">IF(V1869="중복",0,N(D1869))</f>
        <v>0</v>
      </c>
      <c r="X1869" s="0" t="n">
        <f aca="false">IF(COUNTIFS($A$2:A1869,A1869,$C$2:C1869,C1869)=1,ABS(SUMIFS(RAW_발주!$D:$D,RAW_발주!$C:$C,A1869,RAW_발주!$A:$A,C1869)-SUMIFS($W:$W,$A:$A,A1869,$C:$C,C1869)),0)</f>
        <v>0</v>
      </c>
    </row>
    <row r="1870" customFormat="false" ht="15" hidden="false" customHeight="true" outlineLevel="0" collapsed="false">
      <c r="A1870" s="45" t="s">
        <v>1663</v>
      </c>
      <c r="B1870" s="42" t="str">
        <f aca="false">IF(A1870="100","HK",IF(A1870="200","CN",IF(A1870="300","TW","홀세일")))</f>
        <v>홀세일</v>
      </c>
      <c r="C1870" s="45" t="s">
        <v>736</v>
      </c>
      <c r="D1870" s="46" t="n">
        <v>20</v>
      </c>
      <c r="E1870" s="46" t="n">
        <v>879000</v>
      </c>
      <c r="F1870" s="46" t="n">
        <v>204619</v>
      </c>
      <c r="G1870" s="42" t="n">
        <v>3.22</v>
      </c>
      <c r="H1870" s="42" t="n">
        <v>220</v>
      </c>
      <c r="I1870" s="42" t="n">
        <v>186.2</v>
      </c>
      <c r="J1870" s="46" t="n">
        <f aca="false">IF(N(E1870)&gt;0,E1870,IF(N(F1870)&gt;0,F1870*요약!$F$27,0))</f>
        <v>879000</v>
      </c>
      <c r="K1870" s="46" t="n">
        <f aca="false">IF(N(F1870)&gt;0,F1870,IF(N(E1870)&gt;0,E1870/요약!$F$27,0))</f>
        <v>204619</v>
      </c>
      <c r="L1870" s="46" t="n">
        <f aca="false">IF(B1870="CN",IF(N(I1870)&gt;0,I1870*요약!$G$27,K1870*(1+요약!$E$27)),IF(N(H1870)&gt;0,H1870*요약!$G$27,J1870*요약!$D$27))</f>
        <v>290400</v>
      </c>
      <c r="M1870" s="46" t="n">
        <f aca="false">D1870*J1870</f>
        <v>17580000</v>
      </c>
      <c r="N1870" s="46" t="n">
        <f aca="false">D1870*K1870</f>
        <v>4092380</v>
      </c>
      <c r="O1870" s="46" t="n">
        <f aca="false">D1870*L1870</f>
        <v>5808000</v>
      </c>
      <c r="P1870" s="42" t="str">
        <f aca="false">TRIM(IF(N(E1870)&lt;=0,"택가보정 ","")&amp;IF(N(F1870)&lt;=0,"원가보정 ","")&amp;IF(AND(B1870&lt;&gt;"CN",N(H1870)&lt;=0),"공급가보정 ","")&amp;IF(AND(B1870="CN",N(I1870)&lt;=0),"중국공급가=원가+마진 ",""))</f>
        <v/>
      </c>
      <c r="Q1870" s="47" t="n">
        <f aca="false">IF(SUMIFS($W:$W,$A:$A,A1870,$C:$C,C1870)=0,0,SUMIFS(RAW_판매펀칭!$K:$K,RAW_판매펀칭!$P:$P,A1870,RAW_판매펀칭!$I:$I,C1870)*W1870/SUMIFS($W:$W,$A:$A,A1870,$C:$C,C1870))</f>
        <v>20</v>
      </c>
      <c r="R1870" s="47" t="n">
        <f aca="false">IF(OR(A1870="500",A1870="800",A1870="810"),0,MAX(W1870-Q1870,0))</f>
        <v>0</v>
      </c>
      <c r="S1870" s="47" t="n">
        <f aca="false">R1870*L1870</f>
        <v>0</v>
      </c>
      <c r="T1870" s="47" t="n">
        <f aca="false">R1870*J1870</f>
        <v>0</v>
      </c>
      <c r="U1870" s="47" t="n">
        <f aca="false">R1870*K1870</f>
        <v>0</v>
      </c>
      <c r="V1870" s="0" t="str">
        <f aca="false">IF(COUNTIFS($A$2:A1870,A1870,$C$2:C1870,C1870,$D$2:D1870,D1870)&gt;1,"중복","")</f>
        <v/>
      </c>
      <c r="W1870" s="0" t="n">
        <f aca="false">IF(V1870="중복",0,N(D1870))</f>
        <v>20</v>
      </c>
      <c r="X1870" s="0" t="n">
        <f aca="false">IF(COUNTIFS($A$2:A1870,A1870,$C$2:C1870,C1870)=1,ABS(SUMIFS(RAW_발주!$D:$D,RAW_발주!$C:$C,A1870,RAW_발주!$A:$A,C1870)-SUMIFS($W:$W,$A:$A,A1870,$C:$C,C1870)),0)</f>
        <v>0</v>
      </c>
    </row>
    <row r="1871" customFormat="false" ht="15" hidden="false" customHeight="true" outlineLevel="0" collapsed="false">
      <c r="A1871" s="45" t="s">
        <v>1660</v>
      </c>
      <c r="B1871" s="42" t="str">
        <f aca="false">IF(A1871="100","HK",IF(A1871="200","CN",IF(A1871="300","TW","홀세일")))</f>
        <v>CN</v>
      </c>
      <c r="C1871" s="45" t="s">
        <v>1188</v>
      </c>
      <c r="D1871" s="46" t="n">
        <v>382</v>
      </c>
      <c r="E1871" s="46" t="n">
        <v>549000</v>
      </c>
      <c r="F1871" s="46" t="n">
        <v>155502</v>
      </c>
      <c r="G1871" s="42" t="n">
        <v>3.21</v>
      </c>
      <c r="H1871" s="42" t="n">
        <v>137.4</v>
      </c>
      <c r="I1871" s="42" t="n">
        <v>123.9</v>
      </c>
      <c r="J1871" s="46" t="n">
        <f aca="false">IF(N(E1871)&gt;0,E1871,IF(N(F1871)&gt;0,F1871*요약!$F$27,0))</f>
        <v>549000</v>
      </c>
      <c r="K1871" s="46" t="n">
        <f aca="false">IF(N(F1871)&gt;0,F1871,IF(N(E1871)&gt;0,E1871/요약!$F$27,0))</f>
        <v>155502</v>
      </c>
      <c r="L1871" s="46" t="n">
        <f aca="false">IF(B1871="CN",IF(N(I1871)&gt;0,I1871*요약!$G$27,K1871*(1+요약!$E$27)),IF(N(H1871)&gt;0,H1871*요약!$G$27,J1871*요약!$D$27))</f>
        <v>163548</v>
      </c>
      <c r="M1871" s="46" t="n">
        <f aca="false">D1871*J1871</f>
        <v>209718000</v>
      </c>
      <c r="N1871" s="46" t="n">
        <f aca="false">D1871*K1871</f>
        <v>59401764</v>
      </c>
      <c r="O1871" s="46" t="n">
        <f aca="false">D1871*L1871</f>
        <v>62475336</v>
      </c>
      <c r="P1871" s="42" t="str">
        <f aca="false">TRIM(IF(N(E1871)&lt;=0,"택가보정 ","")&amp;IF(N(F1871)&lt;=0,"원가보정 ","")&amp;IF(AND(B1871&lt;&gt;"CN",N(H1871)&lt;=0),"공급가보정 ","")&amp;IF(AND(B1871="CN",N(I1871)&lt;=0),"중국공급가=원가+마진 ",""))</f>
        <v/>
      </c>
      <c r="Q1871" s="47" t="n">
        <f aca="false">IF(SUMIFS($W:$W,$A:$A,A1871,$C:$C,C1871)=0,0,SUMIFS(RAW_판매펀칭!$K:$K,RAW_판매펀칭!$P:$P,A1871,RAW_판매펀칭!$I:$I,C1871)*W1871/SUMIFS($W:$W,$A:$A,A1871,$C:$C,C1871))</f>
        <v>81</v>
      </c>
      <c r="R1871" s="47" t="n">
        <f aca="false">IF(OR(A1871="500",A1871="800",A1871="810"),0,MAX(W1871-Q1871,0))</f>
        <v>301</v>
      </c>
      <c r="S1871" s="47" t="n">
        <f aca="false">R1871*L1871</f>
        <v>49227948</v>
      </c>
      <c r="T1871" s="47" t="n">
        <f aca="false">R1871*J1871</f>
        <v>165249000</v>
      </c>
      <c r="U1871" s="47" t="n">
        <f aca="false">R1871*K1871</f>
        <v>46806102</v>
      </c>
      <c r="V1871" s="0" t="str">
        <f aca="false">IF(COUNTIFS($A$2:A1871,A1871,$C$2:C1871,C1871,$D$2:D1871,D1871)&gt;1,"중복","")</f>
        <v/>
      </c>
      <c r="W1871" s="0" t="n">
        <f aca="false">IF(V1871="중복",0,N(D1871))</f>
        <v>382</v>
      </c>
      <c r="X1871" s="0" t="n">
        <f aca="false">IF(COUNTIFS($A$2:A1871,A1871,$C$2:C1871,C1871)=1,ABS(SUMIFS(RAW_발주!$D:$D,RAW_발주!$C:$C,A1871,RAW_발주!$A:$A,C1871)-SUMIFS($W:$W,$A:$A,A1871,$C:$C,C1871)),0)</f>
        <v>0</v>
      </c>
    </row>
    <row r="1872" customFormat="false" ht="15" hidden="false" customHeight="true" outlineLevel="0" collapsed="false">
      <c r="A1872" s="45" t="s">
        <v>1660</v>
      </c>
      <c r="B1872" s="42" t="str">
        <f aca="false">IF(A1872="100","HK",IF(A1872="200","CN",IF(A1872="300","TW","홀세일")))</f>
        <v>CN</v>
      </c>
      <c r="C1872" s="45" t="s">
        <v>1188</v>
      </c>
      <c r="D1872" s="46" t="n">
        <v>382</v>
      </c>
      <c r="E1872" s="46" t="n">
        <v>549000</v>
      </c>
      <c r="F1872" s="46" t="n">
        <v>155502</v>
      </c>
      <c r="G1872" s="42" t="n">
        <v>3.21</v>
      </c>
      <c r="H1872" s="42" t="n">
        <v>137.4</v>
      </c>
      <c r="I1872" s="42" t="n">
        <v>123.9</v>
      </c>
      <c r="J1872" s="46" t="n">
        <f aca="false">IF(N(E1872)&gt;0,E1872,IF(N(F1872)&gt;0,F1872*요약!$F$27,0))</f>
        <v>549000</v>
      </c>
      <c r="K1872" s="46" t="n">
        <f aca="false">IF(N(F1872)&gt;0,F1872,IF(N(E1872)&gt;0,E1872/요약!$F$27,0))</f>
        <v>155502</v>
      </c>
      <c r="L1872" s="46" t="n">
        <f aca="false">IF(B1872="CN",IF(N(I1872)&gt;0,I1872*요약!$G$27,K1872*(1+요약!$E$27)),IF(N(H1872)&gt;0,H1872*요약!$G$27,J1872*요약!$D$27))</f>
        <v>163548</v>
      </c>
      <c r="M1872" s="46" t="n">
        <f aca="false">D1872*J1872</f>
        <v>209718000</v>
      </c>
      <c r="N1872" s="46" t="n">
        <f aca="false">D1872*K1872</f>
        <v>59401764</v>
      </c>
      <c r="O1872" s="46" t="n">
        <f aca="false">D1872*L1872</f>
        <v>62475336</v>
      </c>
      <c r="P1872" s="42" t="str">
        <f aca="false">TRIM(IF(N(E1872)&lt;=0,"택가보정 ","")&amp;IF(N(F1872)&lt;=0,"원가보정 ","")&amp;IF(AND(B1872&lt;&gt;"CN",N(H1872)&lt;=0),"공급가보정 ","")&amp;IF(AND(B1872="CN",N(I1872)&lt;=0),"중국공급가=원가+마진 ",""))</f>
        <v/>
      </c>
      <c r="Q1872" s="47" t="n">
        <f aca="false">IF(SUMIFS($W:$W,$A:$A,A1872,$C:$C,C1872)=0,0,SUMIFS(RAW_판매펀칭!$K:$K,RAW_판매펀칭!$P:$P,A1872,RAW_판매펀칭!$I:$I,C1872)*W1872/SUMIFS($W:$W,$A:$A,A1872,$C:$C,C1872))</f>
        <v>0</v>
      </c>
      <c r="R1872" s="47" t="n">
        <f aca="false">IF(OR(A1872="500",A1872="800",A1872="810"),0,MAX(W1872-Q1872,0))</f>
        <v>0</v>
      </c>
      <c r="S1872" s="47" t="n">
        <f aca="false">R1872*L1872</f>
        <v>0</v>
      </c>
      <c r="T1872" s="47" t="n">
        <f aca="false">R1872*J1872</f>
        <v>0</v>
      </c>
      <c r="U1872" s="47" t="n">
        <f aca="false">R1872*K1872</f>
        <v>0</v>
      </c>
      <c r="V1872" s="0" t="str">
        <f aca="false">IF(COUNTIFS($A$2:A1872,A1872,$C$2:C1872,C1872,$D$2:D1872,D1872)&gt;1,"중복","")</f>
        <v>중복</v>
      </c>
      <c r="W1872" s="0" t="n">
        <f aca="false">IF(V1872="중복",0,N(D1872))</f>
        <v>0</v>
      </c>
      <c r="X1872" s="0" t="n">
        <f aca="false">IF(COUNTIFS($A$2:A1872,A1872,$C$2:C1872,C1872)=1,ABS(SUMIFS(RAW_발주!$D:$D,RAW_발주!$C:$C,A1872,RAW_발주!$A:$A,C1872)-SUMIFS($W:$W,$A:$A,A1872,$C:$C,C1872)),0)</f>
        <v>0</v>
      </c>
    </row>
    <row r="1873" customFormat="false" ht="15" hidden="false" customHeight="true" outlineLevel="0" collapsed="false">
      <c r="A1873" s="45" t="s">
        <v>1660</v>
      </c>
      <c r="B1873" s="42" t="str">
        <f aca="false">IF(A1873="100","HK",IF(A1873="200","CN",IF(A1873="300","TW","홀세일")))</f>
        <v>CN</v>
      </c>
      <c r="C1873" s="45" t="s">
        <v>1188</v>
      </c>
      <c r="D1873" s="46" t="n">
        <v>382</v>
      </c>
      <c r="E1873" s="46" t="n">
        <v>549000</v>
      </c>
      <c r="F1873" s="46" t="n">
        <v>155502</v>
      </c>
      <c r="G1873" s="42" t="n">
        <v>3.21</v>
      </c>
      <c r="H1873" s="42" t="n">
        <v>137.4</v>
      </c>
      <c r="I1873" s="42" t="n">
        <v>123.9</v>
      </c>
      <c r="J1873" s="46" t="n">
        <f aca="false">IF(N(E1873)&gt;0,E1873,IF(N(F1873)&gt;0,F1873*요약!$F$27,0))</f>
        <v>549000</v>
      </c>
      <c r="K1873" s="46" t="n">
        <f aca="false">IF(N(F1873)&gt;0,F1873,IF(N(E1873)&gt;0,E1873/요약!$F$27,0))</f>
        <v>155502</v>
      </c>
      <c r="L1873" s="46" t="n">
        <f aca="false">IF(B1873="CN",IF(N(I1873)&gt;0,I1873*요약!$G$27,K1873*(1+요약!$E$27)),IF(N(H1873)&gt;0,H1873*요약!$G$27,J1873*요약!$D$27))</f>
        <v>163548</v>
      </c>
      <c r="M1873" s="46" t="n">
        <f aca="false">D1873*J1873</f>
        <v>209718000</v>
      </c>
      <c r="N1873" s="46" t="n">
        <f aca="false">D1873*K1873</f>
        <v>59401764</v>
      </c>
      <c r="O1873" s="46" t="n">
        <f aca="false">D1873*L1873</f>
        <v>62475336</v>
      </c>
      <c r="P1873" s="42" t="str">
        <f aca="false">TRIM(IF(N(E1873)&lt;=0,"택가보정 ","")&amp;IF(N(F1873)&lt;=0,"원가보정 ","")&amp;IF(AND(B1873&lt;&gt;"CN",N(H1873)&lt;=0),"공급가보정 ","")&amp;IF(AND(B1873="CN",N(I1873)&lt;=0),"중국공급가=원가+마진 ",""))</f>
        <v/>
      </c>
      <c r="Q1873" s="47" t="n">
        <f aca="false">IF(SUMIFS($W:$W,$A:$A,A1873,$C:$C,C1873)=0,0,SUMIFS(RAW_판매펀칭!$K:$K,RAW_판매펀칭!$P:$P,A1873,RAW_판매펀칭!$I:$I,C1873)*W1873/SUMIFS($W:$W,$A:$A,A1873,$C:$C,C1873))</f>
        <v>0</v>
      </c>
      <c r="R1873" s="47" t="n">
        <f aca="false">IF(OR(A1873="500",A1873="800",A1873="810"),0,MAX(W1873-Q1873,0))</f>
        <v>0</v>
      </c>
      <c r="S1873" s="47" t="n">
        <f aca="false">R1873*L1873</f>
        <v>0</v>
      </c>
      <c r="T1873" s="47" t="n">
        <f aca="false">R1873*J1873</f>
        <v>0</v>
      </c>
      <c r="U1873" s="47" t="n">
        <f aca="false">R1873*K1873</f>
        <v>0</v>
      </c>
      <c r="V1873" s="0" t="str">
        <f aca="false">IF(COUNTIFS($A$2:A1873,A1873,$C$2:C1873,C1873,$D$2:D1873,D1873)&gt;1,"중복","")</f>
        <v>중복</v>
      </c>
      <c r="W1873" s="0" t="n">
        <f aca="false">IF(V1873="중복",0,N(D1873))</f>
        <v>0</v>
      </c>
      <c r="X1873" s="0" t="n">
        <f aca="false">IF(COUNTIFS($A$2:A1873,A1873,$C$2:C1873,C1873)=1,ABS(SUMIFS(RAW_발주!$D:$D,RAW_발주!$C:$C,A1873,RAW_발주!$A:$A,C1873)-SUMIFS($W:$W,$A:$A,A1873,$C:$C,C1873)),0)</f>
        <v>0</v>
      </c>
    </row>
    <row r="1874" customFormat="false" ht="15" hidden="false" customHeight="true" outlineLevel="0" collapsed="false">
      <c r="A1874" s="45" t="s">
        <v>1660</v>
      </c>
      <c r="B1874" s="42" t="str">
        <f aca="false">IF(A1874="100","HK",IF(A1874="200","CN",IF(A1874="300","TW","홀세일")))</f>
        <v>CN</v>
      </c>
      <c r="C1874" s="45" t="s">
        <v>1190</v>
      </c>
      <c r="D1874" s="46" t="n">
        <v>422</v>
      </c>
      <c r="E1874" s="46" t="n">
        <v>569000</v>
      </c>
      <c r="F1874" s="46" t="n">
        <v>144839</v>
      </c>
      <c r="G1874" s="42" t="n">
        <v>3.12</v>
      </c>
      <c r="H1874" s="42" t="n">
        <v>142.4</v>
      </c>
      <c r="I1874" s="42" t="n">
        <v>120.3</v>
      </c>
      <c r="J1874" s="46" t="n">
        <f aca="false">IF(N(E1874)&gt;0,E1874,IF(N(F1874)&gt;0,F1874*요약!$F$27,0))</f>
        <v>569000</v>
      </c>
      <c r="K1874" s="46" t="n">
        <f aca="false">IF(N(F1874)&gt;0,F1874,IF(N(E1874)&gt;0,E1874/요약!$F$27,0))</f>
        <v>144839</v>
      </c>
      <c r="L1874" s="46" t="n">
        <f aca="false">IF(B1874="CN",IF(N(I1874)&gt;0,I1874*요약!$G$27,K1874*(1+요약!$E$27)),IF(N(H1874)&gt;0,H1874*요약!$G$27,J1874*요약!$D$27))</f>
        <v>158796</v>
      </c>
      <c r="M1874" s="46" t="n">
        <f aca="false">D1874*J1874</f>
        <v>240118000</v>
      </c>
      <c r="N1874" s="46" t="n">
        <f aca="false">D1874*K1874</f>
        <v>61122058</v>
      </c>
      <c r="O1874" s="46" t="n">
        <f aca="false">D1874*L1874</f>
        <v>67011912</v>
      </c>
      <c r="P1874" s="42" t="str">
        <f aca="false">TRIM(IF(N(E1874)&lt;=0,"택가보정 ","")&amp;IF(N(F1874)&lt;=0,"원가보정 ","")&amp;IF(AND(B1874&lt;&gt;"CN",N(H1874)&lt;=0),"공급가보정 ","")&amp;IF(AND(B1874="CN",N(I1874)&lt;=0),"중국공급가=원가+마진 ",""))</f>
        <v/>
      </c>
      <c r="Q1874" s="47" t="n">
        <f aca="false">IF(SUMIFS($W:$W,$A:$A,A1874,$C:$C,C1874)=0,0,SUMIFS(RAW_판매펀칭!$K:$K,RAW_판매펀칭!$P:$P,A1874,RAW_판매펀칭!$I:$I,C1874)*W1874/SUMIFS($W:$W,$A:$A,A1874,$C:$C,C1874))</f>
        <v>317</v>
      </c>
      <c r="R1874" s="47" t="n">
        <f aca="false">IF(OR(A1874="500",A1874="800",A1874="810"),0,MAX(W1874-Q1874,0))</f>
        <v>105</v>
      </c>
      <c r="S1874" s="47" t="n">
        <f aca="false">R1874*L1874</f>
        <v>16673580</v>
      </c>
      <c r="T1874" s="47" t="n">
        <f aca="false">R1874*J1874</f>
        <v>59745000</v>
      </c>
      <c r="U1874" s="47" t="n">
        <f aca="false">R1874*K1874</f>
        <v>15208095</v>
      </c>
      <c r="V1874" s="0" t="str">
        <f aca="false">IF(COUNTIFS($A$2:A1874,A1874,$C$2:C1874,C1874,$D$2:D1874,D1874)&gt;1,"중복","")</f>
        <v/>
      </c>
      <c r="W1874" s="0" t="n">
        <f aca="false">IF(V1874="중복",0,N(D1874))</f>
        <v>422</v>
      </c>
      <c r="X1874" s="0" t="n">
        <f aca="false">IF(COUNTIFS($A$2:A1874,A1874,$C$2:C1874,C1874)=1,ABS(SUMIFS(RAW_발주!$D:$D,RAW_발주!$C:$C,A1874,RAW_발주!$A:$A,C1874)-SUMIFS($W:$W,$A:$A,A1874,$C:$C,C1874)),0)</f>
        <v>0</v>
      </c>
    </row>
    <row r="1875" customFormat="false" ht="15" hidden="false" customHeight="true" outlineLevel="0" collapsed="false">
      <c r="A1875" s="45" t="s">
        <v>1660</v>
      </c>
      <c r="B1875" s="42" t="str">
        <f aca="false">IF(A1875="100","HK",IF(A1875="200","CN",IF(A1875="300","TW","홀세일")))</f>
        <v>CN</v>
      </c>
      <c r="C1875" s="45" t="s">
        <v>1190</v>
      </c>
      <c r="D1875" s="46" t="n">
        <v>422</v>
      </c>
      <c r="E1875" s="46" t="n">
        <v>569000</v>
      </c>
      <c r="F1875" s="46" t="n">
        <v>144839</v>
      </c>
      <c r="G1875" s="42" t="n">
        <v>3.12</v>
      </c>
      <c r="H1875" s="42" t="n">
        <v>142.4</v>
      </c>
      <c r="I1875" s="42" t="n">
        <v>120.3</v>
      </c>
      <c r="J1875" s="46" t="n">
        <f aca="false">IF(N(E1875)&gt;0,E1875,IF(N(F1875)&gt;0,F1875*요약!$F$27,0))</f>
        <v>569000</v>
      </c>
      <c r="K1875" s="46" t="n">
        <f aca="false">IF(N(F1875)&gt;0,F1875,IF(N(E1875)&gt;0,E1875/요약!$F$27,0))</f>
        <v>144839</v>
      </c>
      <c r="L1875" s="46" t="n">
        <f aca="false">IF(B1875="CN",IF(N(I1875)&gt;0,I1875*요약!$G$27,K1875*(1+요약!$E$27)),IF(N(H1875)&gt;0,H1875*요약!$G$27,J1875*요약!$D$27))</f>
        <v>158796</v>
      </c>
      <c r="M1875" s="46" t="n">
        <f aca="false">D1875*J1875</f>
        <v>240118000</v>
      </c>
      <c r="N1875" s="46" t="n">
        <f aca="false">D1875*K1875</f>
        <v>61122058</v>
      </c>
      <c r="O1875" s="46" t="n">
        <f aca="false">D1875*L1875</f>
        <v>67011912</v>
      </c>
      <c r="P1875" s="42" t="str">
        <f aca="false">TRIM(IF(N(E1875)&lt;=0,"택가보정 ","")&amp;IF(N(F1875)&lt;=0,"원가보정 ","")&amp;IF(AND(B1875&lt;&gt;"CN",N(H1875)&lt;=0),"공급가보정 ","")&amp;IF(AND(B1875="CN",N(I1875)&lt;=0),"중국공급가=원가+마진 ",""))</f>
        <v/>
      </c>
      <c r="Q1875" s="47" t="n">
        <f aca="false">IF(SUMIFS($W:$W,$A:$A,A1875,$C:$C,C1875)=0,0,SUMIFS(RAW_판매펀칭!$K:$K,RAW_판매펀칭!$P:$P,A1875,RAW_판매펀칭!$I:$I,C1875)*W1875/SUMIFS($W:$W,$A:$A,A1875,$C:$C,C1875))</f>
        <v>0</v>
      </c>
      <c r="R1875" s="47" t="n">
        <f aca="false">IF(OR(A1875="500",A1875="800",A1875="810"),0,MAX(W1875-Q1875,0))</f>
        <v>0</v>
      </c>
      <c r="S1875" s="47" t="n">
        <f aca="false">R1875*L1875</f>
        <v>0</v>
      </c>
      <c r="T1875" s="47" t="n">
        <f aca="false">R1875*J1875</f>
        <v>0</v>
      </c>
      <c r="U1875" s="47" t="n">
        <f aca="false">R1875*K1875</f>
        <v>0</v>
      </c>
      <c r="V1875" s="0" t="str">
        <f aca="false">IF(COUNTIFS($A$2:A1875,A1875,$C$2:C1875,C1875,$D$2:D1875,D1875)&gt;1,"중복","")</f>
        <v>중복</v>
      </c>
      <c r="W1875" s="0" t="n">
        <f aca="false">IF(V1875="중복",0,N(D1875))</f>
        <v>0</v>
      </c>
      <c r="X1875" s="0" t="n">
        <f aca="false">IF(COUNTIFS($A$2:A1875,A1875,$C$2:C1875,C1875)=1,ABS(SUMIFS(RAW_발주!$D:$D,RAW_발주!$C:$C,A1875,RAW_발주!$A:$A,C1875)-SUMIFS($W:$W,$A:$A,A1875,$C:$C,C1875)),0)</f>
        <v>0</v>
      </c>
    </row>
    <row r="1876" customFormat="false" ht="15" hidden="false" customHeight="true" outlineLevel="0" collapsed="false">
      <c r="A1876" s="45" t="s">
        <v>1660</v>
      </c>
      <c r="B1876" s="42" t="str">
        <f aca="false">IF(A1876="100","HK",IF(A1876="200","CN",IF(A1876="300","TW","홀세일")))</f>
        <v>CN</v>
      </c>
      <c r="C1876" s="45" t="s">
        <v>1190</v>
      </c>
      <c r="D1876" s="46" t="n">
        <v>422</v>
      </c>
      <c r="E1876" s="46" t="n">
        <v>569000</v>
      </c>
      <c r="F1876" s="46" t="n">
        <v>144839</v>
      </c>
      <c r="G1876" s="42" t="n">
        <v>3.12</v>
      </c>
      <c r="H1876" s="42" t="n">
        <v>142.4</v>
      </c>
      <c r="I1876" s="42" t="n">
        <v>120.3</v>
      </c>
      <c r="J1876" s="46" t="n">
        <f aca="false">IF(N(E1876)&gt;0,E1876,IF(N(F1876)&gt;0,F1876*요약!$F$27,0))</f>
        <v>569000</v>
      </c>
      <c r="K1876" s="46" t="n">
        <f aca="false">IF(N(F1876)&gt;0,F1876,IF(N(E1876)&gt;0,E1876/요약!$F$27,0))</f>
        <v>144839</v>
      </c>
      <c r="L1876" s="46" t="n">
        <f aca="false">IF(B1876="CN",IF(N(I1876)&gt;0,I1876*요약!$G$27,K1876*(1+요약!$E$27)),IF(N(H1876)&gt;0,H1876*요약!$G$27,J1876*요약!$D$27))</f>
        <v>158796</v>
      </c>
      <c r="M1876" s="46" t="n">
        <f aca="false">D1876*J1876</f>
        <v>240118000</v>
      </c>
      <c r="N1876" s="46" t="n">
        <f aca="false">D1876*K1876</f>
        <v>61122058</v>
      </c>
      <c r="O1876" s="46" t="n">
        <f aca="false">D1876*L1876</f>
        <v>67011912</v>
      </c>
      <c r="P1876" s="42" t="str">
        <f aca="false">TRIM(IF(N(E1876)&lt;=0,"택가보정 ","")&amp;IF(N(F1876)&lt;=0,"원가보정 ","")&amp;IF(AND(B1876&lt;&gt;"CN",N(H1876)&lt;=0),"공급가보정 ","")&amp;IF(AND(B1876="CN",N(I1876)&lt;=0),"중국공급가=원가+마진 ",""))</f>
        <v/>
      </c>
      <c r="Q1876" s="47" t="n">
        <f aca="false">IF(SUMIFS($W:$W,$A:$A,A1876,$C:$C,C1876)=0,0,SUMIFS(RAW_판매펀칭!$K:$K,RAW_판매펀칭!$P:$P,A1876,RAW_판매펀칭!$I:$I,C1876)*W1876/SUMIFS($W:$W,$A:$A,A1876,$C:$C,C1876))</f>
        <v>0</v>
      </c>
      <c r="R1876" s="47" t="n">
        <f aca="false">IF(OR(A1876="500",A1876="800",A1876="810"),0,MAX(W1876-Q1876,0))</f>
        <v>0</v>
      </c>
      <c r="S1876" s="47" t="n">
        <f aca="false">R1876*L1876</f>
        <v>0</v>
      </c>
      <c r="T1876" s="47" t="n">
        <f aca="false">R1876*J1876</f>
        <v>0</v>
      </c>
      <c r="U1876" s="47" t="n">
        <f aca="false">R1876*K1876</f>
        <v>0</v>
      </c>
      <c r="V1876" s="0" t="str">
        <f aca="false">IF(COUNTIFS($A$2:A1876,A1876,$C$2:C1876,C1876,$D$2:D1876,D1876)&gt;1,"중복","")</f>
        <v>중복</v>
      </c>
      <c r="W1876" s="0" t="n">
        <f aca="false">IF(V1876="중복",0,N(D1876))</f>
        <v>0</v>
      </c>
      <c r="X1876" s="0" t="n">
        <f aca="false">IF(COUNTIFS($A$2:A1876,A1876,$C$2:C1876,C1876)=1,ABS(SUMIFS(RAW_발주!$D:$D,RAW_발주!$C:$C,A1876,RAW_발주!$A:$A,C1876)-SUMIFS($W:$W,$A:$A,A1876,$C:$C,C1876)),0)</f>
        <v>0</v>
      </c>
    </row>
    <row r="1877" customFormat="false" ht="15" hidden="false" customHeight="true" outlineLevel="0" collapsed="false">
      <c r="A1877" s="45" t="s">
        <v>1660</v>
      </c>
      <c r="B1877" s="42" t="str">
        <f aca="false">IF(A1877="100","HK",IF(A1877="200","CN",IF(A1877="300","TW","홀세일")))</f>
        <v>CN</v>
      </c>
      <c r="C1877" s="45" t="s">
        <v>1192</v>
      </c>
      <c r="D1877" s="46" t="n">
        <v>422</v>
      </c>
      <c r="E1877" s="46" t="n">
        <v>329000</v>
      </c>
      <c r="F1877" s="46" t="n">
        <v>96974</v>
      </c>
      <c r="G1877" s="42" t="n">
        <v>3.57</v>
      </c>
      <c r="H1877" s="42" t="n">
        <v>82.4</v>
      </c>
      <c r="I1877" s="42" t="n">
        <v>72.9</v>
      </c>
      <c r="J1877" s="46" t="n">
        <f aca="false">IF(N(E1877)&gt;0,E1877,IF(N(F1877)&gt;0,F1877*요약!$F$27,0))</f>
        <v>329000</v>
      </c>
      <c r="K1877" s="46" t="n">
        <f aca="false">IF(N(F1877)&gt;0,F1877,IF(N(E1877)&gt;0,E1877/요약!$F$27,0))</f>
        <v>96974</v>
      </c>
      <c r="L1877" s="46" t="n">
        <f aca="false">IF(B1877="CN",IF(N(I1877)&gt;0,I1877*요약!$G$27,K1877*(1+요약!$E$27)),IF(N(H1877)&gt;0,H1877*요약!$G$27,J1877*요약!$D$27))</f>
        <v>96228</v>
      </c>
      <c r="M1877" s="46" t="n">
        <f aca="false">D1877*J1877</f>
        <v>138838000</v>
      </c>
      <c r="N1877" s="46" t="n">
        <f aca="false">D1877*K1877</f>
        <v>40923028</v>
      </c>
      <c r="O1877" s="46" t="n">
        <f aca="false">D1877*L1877</f>
        <v>40608216</v>
      </c>
      <c r="P1877" s="42" t="str">
        <f aca="false">TRIM(IF(N(E1877)&lt;=0,"택가보정 ","")&amp;IF(N(F1877)&lt;=0,"원가보정 ","")&amp;IF(AND(B1877&lt;&gt;"CN",N(H1877)&lt;=0),"공급가보정 ","")&amp;IF(AND(B1877="CN",N(I1877)&lt;=0),"중국공급가=원가+마진 ",""))</f>
        <v/>
      </c>
      <c r="Q1877" s="47" t="n">
        <f aca="false">IF(SUMIFS($W:$W,$A:$A,A1877,$C:$C,C1877)=0,0,SUMIFS(RAW_판매펀칭!$K:$K,RAW_판매펀칭!$P:$P,A1877,RAW_판매펀칭!$I:$I,C1877)*W1877/SUMIFS($W:$W,$A:$A,A1877,$C:$C,C1877))</f>
        <v>422</v>
      </c>
      <c r="R1877" s="47" t="n">
        <f aca="false">IF(OR(A1877="500",A1877="800",A1877="810"),0,MAX(W1877-Q1877,0))</f>
        <v>0</v>
      </c>
      <c r="S1877" s="47" t="n">
        <f aca="false">R1877*L1877</f>
        <v>0</v>
      </c>
      <c r="T1877" s="47" t="n">
        <f aca="false">R1877*J1877</f>
        <v>0</v>
      </c>
      <c r="U1877" s="47" t="n">
        <f aca="false">R1877*K1877</f>
        <v>0</v>
      </c>
      <c r="V1877" s="0" t="str">
        <f aca="false">IF(COUNTIFS($A$2:A1877,A1877,$C$2:C1877,C1877,$D$2:D1877,D1877)&gt;1,"중복","")</f>
        <v/>
      </c>
      <c r="W1877" s="0" t="n">
        <f aca="false">IF(V1877="중복",0,N(D1877))</f>
        <v>422</v>
      </c>
      <c r="X1877" s="0" t="n">
        <f aca="false">IF(COUNTIFS($A$2:A1877,A1877,$C$2:C1877,C1877)=1,ABS(SUMIFS(RAW_발주!$D:$D,RAW_발주!$C:$C,A1877,RAW_발주!$A:$A,C1877)-SUMIFS($W:$W,$A:$A,A1877,$C:$C,C1877)),0)</f>
        <v>0</v>
      </c>
    </row>
    <row r="1878" customFormat="false" ht="15" hidden="false" customHeight="true" outlineLevel="0" collapsed="false">
      <c r="A1878" s="45" t="s">
        <v>1660</v>
      </c>
      <c r="B1878" s="42" t="str">
        <f aca="false">IF(A1878="100","HK",IF(A1878="200","CN",IF(A1878="300","TW","홀세일")))</f>
        <v>CN</v>
      </c>
      <c r="C1878" s="45" t="s">
        <v>1194</v>
      </c>
      <c r="D1878" s="46" t="n">
        <v>151</v>
      </c>
      <c r="E1878" s="46" t="n">
        <v>279000</v>
      </c>
      <c r="F1878" s="46" t="n">
        <v>73335</v>
      </c>
      <c r="G1878" s="42" t="n">
        <v>3.02</v>
      </c>
      <c r="H1878" s="42" t="n">
        <v>69.9</v>
      </c>
      <c r="I1878" s="42" t="n">
        <v>62.4</v>
      </c>
      <c r="J1878" s="46" t="n">
        <f aca="false">IF(N(E1878)&gt;0,E1878,IF(N(F1878)&gt;0,F1878*요약!$F$27,0))</f>
        <v>279000</v>
      </c>
      <c r="K1878" s="46" t="n">
        <f aca="false">IF(N(F1878)&gt;0,F1878,IF(N(E1878)&gt;0,E1878/요약!$F$27,0))</f>
        <v>73335</v>
      </c>
      <c r="L1878" s="46" t="n">
        <f aca="false">IF(B1878="CN",IF(N(I1878)&gt;0,I1878*요약!$G$27,K1878*(1+요약!$E$27)),IF(N(H1878)&gt;0,H1878*요약!$G$27,J1878*요약!$D$27))</f>
        <v>82368</v>
      </c>
      <c r="M1878" s="46" t="n">
        <f aca="false">D1878*J1878</f>
        <v>42129000</v>
      </c>
      <c r="N1878" s="46" t="n">
        <f aca="false">D1878*K1878</f>
        <v>11073585</v>
      </c>
      <c r="O1878" s="46" t="n">
        <f aca="false">D1878*L1878</f>
        <v>12437568</v>
      </c>
      <c r="P1878" s="42" t="str">
        <f aca="false">TRIM(IF(N(E1878)&lt;=0,"택가보정 ","")&amp;IF(N(F1878)&lt;=0,"원가보정 ","")&amp;IF(AND(B1878&lt;&gt;"CN",N(H1878)&lt;=0),"공급가보정 ","")&amp;IF(AND(B1878="CN",N(I1878)&lt;=0),"중국공급가=원가+마진 ",""))</f>
        <v/>
      </c>
      <c r="Q1878" s="47" t="n">
        <f aca="false">IF(SUMIFS($W:$W,$A:$A,A1878,$C:$C,C1878)=0,0,SUMIFS(RAW_판매펀칭!$K:$K,RAW_판매펀칭!$P:$P,A1878,RAW_판매펀칭!$I:$I,C1878)*W1878/SUMIFS($W:$W,$A:$A,A1878,$C:$C,C1878))</f>
        <v>141</v>
      </c>
      <c r="R1878" s="47" t="n">
        <f aca="false">IF(OR(A1878="500",A1878="800",A1878="810"),0,MAX(W1878-Q1878,0))</f>
        <v>10</v>
      </c>
      <c r="S1878" s="47" t="n">
        <f aca="false">R1878*L1878</f>
        <v>823680</v>
      </c>
      <c r="T1878" s="47" t="n">
        <f aca="false">R1878*J1878</f>
        <v>2790000</v>
      </c>
      <c r="U1878" s="47" t="n">
        <f aca="false">R1878*K1878</f>
        <v>733350</v>
      </c>
      <c r="V1878" s="0" t="str">
        <f aca="false">IF(COUNTIFS($A$2:A1878,A1878,$C$2:C1878,C1878,$D$2:D1878,D1878)&gt;1,"중복","")</f>
        <v/>
      </c>
      <c r="W1878" s="0" t="n">
        <f aca="false">IF(V1878="중복",0,N(D1878))</f>
        <v>151</v>
      </c>
      <c r="X1878" s="0" t="n">
        <f aca="false">IF(COUNTIFS($A$2:A1878,A1878,$C$2:C1878,C1878)=1,ABS(SUMIFS(RAW_발주!$D:$D,RAW_발주!$C:$C,A1878,RAW_발주!$A:$A,C1878)-SUMIFS($W:$W,$A:$A,A1878,$C:$C,C1878)),0)</f>
        <v>0</v>
      </c>
    </row>
    <row r="1879" customFormat="false" ht="15" hidden="false" customHeight="true" outlineLevel="0" collapsed="false">
      <c r="A1879" s="45" t="s">
        <v>1660</v>
      </c>
      <c r="B1879" s="42" t="str">
        <f aca="false">IF(A1879="100","HK",IF(A1879="200","CN",IF(A1879="300","TW","홀세일")))</f>
        <v>CN</v>
      </c>
      <c r="C1879" s="45" t="s">
        <v>1196</v>
      </c>
      <c r="D1879" s="46" t="n">
        <v>472</v>
      </c>
      <c r="E1879" s="46" t="n">
        <v>249000</v>
      </c>
      <c r="F1879" s="46" t="n">
        <v>81692</v>
      </c>
      <c r="G1879" s="42" t="n">
        <v>2.94</v>
      </c>
      <c r="H1879" s="42" t="n">
        <v>62.4</v>
      </c>
      <c r="I1879" s="42" t="n">
        <v>63.7</v>
      </c>
      <c r="J1879" s="46" t="n">
        <f aca="false">IF(N(E1879)&gt;0,E1879,IF(N(F1879)&gt;0,F1879*요약!$F$27,0))</f>
        <v>249000</v>
      </c>
      <c r="K1879" s="46" t="n">
        <f aca="false">IF(N(F1879)&gt;0,F1879,IF(N(E1879)&gt;0,E1879/요약!$F$27,0))</f>
        <v>81692</v>
      </c>
      <c r="L1879" s="46" t="n">
        <f aca="false">IF(B1879="CN",IF(N(I1879)&gt;0,I1879*요약!$G$27,K1879*(1+요약!$E$27)),IF(N(H1879)&gt;0,H1879*요약!$G$27,J1879*요약!$D$27))</f>
        <v>84084</v>
      </c>
      <c r="M1879" s="46" t="n">
        <f aca="false">D1879*J1879</f>
        <v>117528000</v>
      </c>
      <c r="N1879" s="46" t="n">
        <f aca="false">D1879*K1879</f>
        <v>38558624</v>
      </c>
      <c r="O1879" s="46" t="n">
        <f aca="false">D1879*L1879</f>
        <v>39687648</v>
      </c>
      <c r="P1879" s="42" t="str">
        <f aca="false">TRIM(IF(N(E1879)&lt;=0,"택가보정 ","")&amp;IF(N(F1879)&lt;=0,"원가보정 ","")&amp;IF(AND(B1879&lt;&gt;"CN",N(H1879)&lt;=0),"공급가보정 ","")&amp;IF(AND(B1879="CN",N(I1879)&lt;=0),"중국공급가=원가+마진 ",""))</f>
        <v/>
      </c>
      <c r="Q1879" s="47" t="n">
        <f aca="false">IF(SUMIFS($W:$W,$A:$A,A1879,$C:$C,C1879)=0,0,SUMIFS(RAW_판매펀칭!$K:$K,RAW_판매펀칭!$P:$P,A1879,RAW_판매펀칭!$I:$I,C1879)*W1879/SUMIFS($W:$W,$A:$A,A1879,$C:$C,C1879))</f>
        <v>403</v>
      </c>
      <c r="R1879" s="47" t="n">
        <f aca="false">IF(OR(A1879="500",A1879="800",A1879="810"),0,MAX(W1879-Q1879,0))</f>
        <v>69</v>
      </c>
      <c r="S1879" s="47" t="n">
        <f aca="false">R1879*L1879</f>
        <v>5801796</v>
      </c>
      <c r="T1879" s="47" t="n">
        <f aca="false">R1879*J1879</f>
        <v>17181000</v>
      </c>
      <c r="U1879" s="47" t="n">
        <f aca="false">R1879*K1879</f>
        <v>5636748</v>
      </c>
      <c r="V1879" s="0" t="str">
        <f aca="false">IF(COUNTIFS($A$2:A1879,A1879,$C$2:C1879,C1879,$D$2:D1879,D1879)&gt;1,"중복","")</f>
        <v/>
      </c>
      <c r="W1879" s="0" t="n">
        <f aca="false">IF(V1879="중복",0,N(D1879))</f>
        <v>472</v>
      </c>
      <c r="X1879" s="0" t="n">
        <f aca="false">IF(COUNTIFS($A$2:A1879,A1879,$C$2:C1879,C1879)=1,ABS(SUMIFS(RAW_발주!$D:$D,RAW_발주!$C:$C,A1879,RAW_발주!$A:$A,C1879)-SUMIFS($W:$W,$A:$A,A1879,$C:$C,C1879)),0)</f>
        <v>0</v>
      </c>
    </row>
    <row r="1880" customFormat="false" ht="15" hidden="false" customHeight="true" outlineLevel="0" collapsed="false">
      <c r="A1880" s="45" t="s">
        <v>1660</v>
      </c>
      <c r="B1880" s="42" t="str">
        <f aca="false">IF(A1880="100","HK",IF(A1880="200","CN",IF(A1880="300","TW","홀세일")))</f>
        <v>CN</v>
      </c>
      <c r="C1880" s="45" t="s">
        <v>1198</v>
      </c>
      <c r="D1880" s="46" t="n">
        <v>352</v>
      </c>
      <c r="E1880" s="46" t="n">
        <v>160000</v>
      </c>
      <c r="F1880" s="46" t="n">
        <v>47529</v>
      </c>
      <c r="G1880" s="42" t="n">
        <v>2.98</v>
      </c>
      <c r="H1880" s="42" t="n">
        <v>37.7</v>
      </c>
      <c r="I1880" s="42" t="n">
        <v>41.8</v>
      </c>
      <c r="J1880" s="46" t="n">
        <f aca="false">IF(N(E1880)&gt;0,E1880,IF(N(F1880)&gt;0,F1880*요약!$F$27,0))</f>
        <v>160000</v>
      </c>
      <c r="K1880" s="46" t="n">
        <f aca="false">IF(N(F1880)&gt;0,F1880,IF(N(E1880)&gt;0,E1880/요약!$F$27,0))</f>
        <v>47529</v>
      </c>
      <c r="L1880" s="46" t="n">
        <f aca="false">IF(B1880="CN",IF(N(I1880)&gt;0,I1880*요약!$G$27,K1880*(1+요약!$E$27)),IF(N(H1880)&gt;0,H1880*요약!$G$27,J1880*요약!$D$27))</f>
        <v>55176</v>
      </c>
      <c r="M1880" s="46" t="n">
        <f aca="false">D1880*J1880</f>
        <v>56320000</v>
      </c>
      <c r="N1880" s="46" t="n">
        <f aca="false">D1880*K1880</f>
        <v>16730208</v>
      </c>
      <c r="O1880" s="46" t="n">
        <f aca="false">D1880*L1880</f>
        <v>19421952</v>
      </c>
      <c r="P1880" s="42" t="str">
        <f aca="false">TRIM(IF(N(E1880)&lt;=0,"택가보정 ","")&amp;IF(N(F1880)&lt;=0,"원가보정 ","")&amp;IF(AND(B1880&lt;&gt;"CN",N(H1880)&lt;=0),"공급가보정 ","")&amp;IF(AND(B1880="CN",N(I1880)&lt;=0),"중국공급가=원가+마진 ",""))</f>
        <v/>
      </c>
      <c r="Q1880" s="47" t="n">
        <f aca="false">IF(SUMIFS($W:$W,$A:$A,A1880,$C:$C,C1880)=0,0,SUMIFS(RAW_판매펀칭!$K:$K,RAW_판매펀칭!$P:$P,A1880,RAW_판매펀칭!$I:$I,C1880)*W1880/SUMIFS($W:$W,$A:$A,A1880,$C:$C,C1880))</f>
        <v>346</v>
      </c>
      <c r="R1880" s="47" t="n">
        <f aca="false">IF(OR(A1880="500",A1880="800",A1880="810"),0,MAX(W1880-Q1880,0))</f>
        <v>6</v>
      </c>
      <c r="S1880" s="47" t="n">
        <f aca="false">R1880*L1880</f>
        <v>331056</v>
      </c>
      <c r="T1880" s="47" t="n">
        <f aca="false">R1880*J1880</f>
        <v>960000</v>
      </c>
      <c r="U1880" s="47" t="n">
        <f aca="false">R1880*K1880</f>
        <v>285174</v>
      </c>
      <c r="V1880" s="0" t="str">
        <f aca="false">IF(COUNTIFS($A$2:A1880,A1880,$C$2:C1880,C1880,$D$2:D1880,D1880)&gt;1,"중복","")</f>
        <v/>
      </c>
      <c r="W1880" s="0" t="n">
        <f aca="false">IF(V1880="중복",0,N(D1880))</f>
        <v>352</v>
      </c>
      <c r="X1880" s="0" t="n">
        <f aca="false">IF(COUNTIFS($A$2:A1880,A1880,$C$2:C1880,C1880)=1,ABS(SUMIFS(RAW_발주!$D:$D,RAW_발주!$C:$C,A1880,RAW_발주!$A:$A,C1880)-SUMIFS($W:$W,$A:$A,A1880,$C:$C,C1880)),0)</f>
        <v>0</v>
      </c>
    </row>
    <row r="1881" customFormat="false" ht="15" hidden="false" customHeight="true" outlineLevel="0" collapsed="false">
      <c r="A1881" s="45" t="s">
        <v>1660</v>
      </c>
      <c r="B1881" s="42" t="str">
        <f aca="false">IF(A1881="100","HK",IF(A1881="200","CN",IF(A1881="300","TW","홀세일")))</f>
        <v>CN</v>
      </c>
      <c r="C1881" s="45" t="s">
        <v>1200</v>
      </c>
      <c r="D1881" s="46" t="n">
        <v>322</v>
      </c>
      <c r="E1881" s="46" t="n">
        <v>139000</v>
      </c>
      <c r="F1881" s="46" t="n">
        <v>38900</v>
      </c>
      <c r="G1881" s="42" t="n">
        <v>3.22</v>
      </c>
      <c r="H1881" s="42" t="n">
        <v>32.7</v>
      </c>
      <c r="I1881" s="42" t="n">
        <v>31</v>
      </c>
      <c r="J1881" s="46" t="n">
        <f aca="false">IF(N(E1881)&gt;0,E1881,IF(N(F1881)&gt;0,F1881*요약!$F$27,0))</f>
        <v>139000</v>
      </c>
      <c r="K1881" s="46" t="n">
        <f aca="false">IF(N(F1881)&gt;0,F1881,IF(N(E1881)&gt;0,E1881/요약!$F$27,0))</f>
        <v>38900</v>
      </c>
      <c r="L1881" s="46" t="n">
        <f aca="false">IF(B1881="CN",IF(N(I1881)&gt;0,I1881*요약!$G$27,K1881*(1+요약!$E$27)),IF(N(H1881)&gt;0,H1881*요약!$G$27,J1881*요약!$D$27))</f>
        <v>40920</v>
      </c>
      <c r="M1881" s="46" t="n">
        <f aca="false">D1881*J1881</f>
        <v>44758000</v>
      </c>
      <c r="N1881" s="46" t="n">
        <f aca="false">D1881*K1881</f>
        <v>12525800</v>
      </c>
      <c r="O1881" s="46" t="n">
        <f aca="false">D1881*L1881</f>
        <v>13176240</v>
      </c>
      <c r="P1881" s="42" t="str">
        <f aca="false">TRIM(IF(N(E1881)&lt;=0,"택가보정 ","")&amp;IF(N(F1881)&lt;=0,"원가보정 ","")&amp;IF(AND(B1881&lt;&gt;"CN",N(H1881)&lt;=0),"공급가보정 ","")&amp;IF(AND(B1881="CN",N(I1881)&lt;=0),"중국공급가=원가+마진 ",""))</f>
        <v/>
      </c>
      <c r="Q1881" s="47" t="n">
        <f aca="false">IF(SUMIFS($W:$W,$A:$A,A1881,$C:$C,C1881)=0,0,SUMIFS(RAW_판매펀칭!$K:$K,RAW_판매펀칭!$P:$P,A1881,RAW_판매펀칭!$I:$I,C1881)*W1881/SUMIFS($W:$W,$A:$A,A1881,$C:$C,C1881))</f>
        <v>322</v>
      </c>
      <c r="R1881" s="47" t="n">
        <f aca="false">IF(OR(A1881="500",A1881="800",A1881="810"),0,MAX(W1881-Q1881,0))</f>
        <v>0</v>
      </c>
      <c r="S1881" s="47" t="n">
        <f aca="false">R1881*L1881</f>
        <v>0</v>
      </c>
      <c r="T1881" s="47" t="n">
        <f aca="false">R1881*J1881</f>
        <v>0</v>
      </c>
      <c r="U1881" s="47" t="n">
        <f aca="false">R1881*K1881</f>
        <v>0</v>
      </c>
      <c r="V1881" s="0" t="str">
        <f aca="false">IF(COUNTIFS($A$2:A1881,A1881,$C$2:C1881,C1881,$D$2:D1881,D1881)&gt;1,"중복","")</f>
        <v/>
      </c>
      <c r="W1881" s="0" t="n">
        <f aca="false">IF(V1881="중복",0,N(D1881))</f>
        <v>322</v>
      </c>
      <c r="X1881" s="0" t="n">
        <f aca="false">IF(COUNTIFS($A$2:A1881,A1881,$C$2:C1881,C1881)=1,ABS(SUMIFS(RAW_발주!$D:$D,RAW_발주!$C:$C,A1881,RAW_발주!$A:$A,C1881)-SUMIFS($W:$W,$A:$A,A1881,$C:$C,C1881)),0)</f>
        <v>0</v>
      </c>
    </row>
    <row r="1882" customFormat="false" ht="15" hidden="false" customHeight="true" outlineLevel="0" collapsed="false">
      <c r="A1882" s="45" t="s">
        <v>1660</v>
      </c>
      <c r="B1882" s="42" t="str">
        <f aca="false">IF(A1882="100","HK",IF(A1882="200","CN",IF(A1882="300","TW","홀세일")))</f>
        <v>CN</v>
      </c>
      <c r="C1882" s="45" t="s">
        <v>1202</v>
      </c>
      <c r="D1882" s="46" t="n">
        <v>422</v>
      </c>
      <c r="E1882" s="46" t="n">
        <v>129000</v>
      </c>
      <c r="F1882" s="46" t="n">
        <v>31522</v>
      </c>
      <c r="G1882" s="42" t="n">
        <v>3.14</v>
      </c>
      <c r="H1882" s="42" t="n">
        <v>30.4</v>
      </c>
      <c r="I1882" s="42" t="n">
        <v>28.8</v>
      </c>
      <c r="J1882" s="46" t="n">
        <f aca="false">IF(N(E1882)&gt;0,E1882,IF(N(F1882)&gt;0,F1882*요약!$F$27,0))</f>
        <v>129000</v>
      </c>
      <c r="K1882" s="46" t="n">
        <f aca="false">IF(N(F1882)&gt;0,F1882,IF(N(E1882)&gt;0,E1882/요약!$F$27,0))</f>
        <v>31522</v>
      </c>
      <c r="L1882" s="46" t="n">
        <f aca="false">IF(B1882="CN",IF(N(I1882)&gt;0,I1882*요약!$G$27,K1882*(1+요약!$E$27)),IF(N(H1882)&gt;0,H1882*요약!$G$27,J1882*요약!$D$27))</f>
        <v>38016</v>
      </c>
      <c r="M1882" s="46" t="n">
        <f aca="false">D1882*J1882</f>
        <v>54438000</v>
      </c>
      <c r="N1882" s="46" t="n">
        <f aca="false">D1882*K1882</f>
        <v>13302284</v>
      </c>
      <c r="O1882" s="46" t="n">
        <f aca="false">D1882*L1882</f>
        <v>16042752</v>
      </c>
      <c r="P1882" s="42" t="str">
        <f aca="false">TRIM(IF(N(E1882)&lt;=0,"택가보정 ","")&amp;IF(N(F1882)&lt;=0,"원가보정 ","")&amp;IF(AND(B1882&lt;&gt;"CN",N(H1882)&lt;=0),"공급가보정 ","")&amp;IF(AND(B1882="CN",N(I1882)&lt;=0),"중국공급가=원가+마진 ",""))</f>
        <v/>
      </c>
      <c r="Q1882" s="47" t="n">
        <f aca="false">IF(SUMIFS($W:$W,$A:$A,A1882,$C:$C,C1882)=0,0,SUMIFS(RAW_판매펀칭!$K:$K,RAW_판매펀칭!$P:$P,A1882,RAW_판매펀칭!$I:$I,C1882)*W1882/SUMIFS($W:$W,$A:$A,A1882,$C:$C,C1882))</f>
        <v>412</v>
      </c>
      <c r="R1882" s="47" t="n">
        <f aca="false">IF(OR(A1882="500",A1882="800",A1882="810"),0,MAX(W1882-Q1882,0))</f>
        <v>10</v>
      </c>
      <c r="S1882" s="47" t="n">
        <f aca="false">R1882*L1882</f>
        <v>380160</v>
      </c>
      <c r="T1882" s="47" t="n">
        <f aca="false">R1882*J1882</f>
        <v>1290000</v>
      </c>
      <c r="U1882" s="47" t="n">
        <f aca="false">R1882*K1882</f>
        <v>315220</v>
      </c>
      <c r="V1882" s="0" t="str">
        <f aca="false">IF(COUNTIFS($A$2:A1882,A1882,$C$2:C1882,C1882,$D$2:D1882,D1882)&gt;1,"중복","")</f>
        <v/>
      </c>
      <c r="W1882" s="0" t="n">
        <f aca="false">IF(V1882="중복",0,N(D1882))</f>
        <v>422</v>
      </c>
      <c r="X1882" s="0" t="n">
        <f aca="false">IF(COUNTIFS($A$2:A1882,A1882,$C$2:C1882,C1882)=1,ABS(SUMIFS(RAW_발주!$D:$D,RAW_발주!$C:$C,A1882,RAW_발주!$A:$A,C1882)-SUMIFS($W:$W,$A:$A,A1882,$C:$C,C1882)),0)</f>
        <v>0</v>
      </c>
    </row>
    <row r="1883" customFormat="false" ht="15" hidden="false" customHeight="true" outlineLevel="0" collapsed="false">
      <c r="A1883" s="45" t="s">
        <v>1660</v>
      </c>
      <c r="B1883" s="42" t="str">
        <f aca="false">IF(A1883="100","HK",IF(A1883="200","CN",IF(A1883="300","TW","홀세일")))</f>
        <v>CN</v>
      </c>
      <c r="C1883" s="45" t="s">
        <v>1204</v>
      </c>
      <c r="D1883" s="46" t="n">
        <v>646</v>
      </c>
      <c r="E1883" s="46"/>
      <c r="F1883" s="46" t="n">
        <v>158427</v>
      </c>
      <c r="G1883" s="42" t="n">
        <v>0</v>
      </c>
      <c r="I1883" s="42" t="n">
        <v>105.6</v>
      </c>
      <c r="J1883" s="46" t="n">
        <f aca="false">IF(N(E1883)&gt;0,E1883,IF(N(F1883)&gt;0,F1883*요약!$F$27,0))</f>
        <v>633708</v>
      </c>
      <c r="K1883" s="46" t="n">
        <f aca="false">IF(N(F1883)&gt;0,F1883,IF(N(E1883)&gt;0,E1883/요약!$F$27,0))</f>
        <v>158427</v>
      </c>
      <c r="L1883" s="46" t="n">
        <f aca="false">IF(B1883="CN",IF(N(I1883)&gt;0,I1883*요약!$G$27,K1883*(1+요약!$E$27)),IF(N(H1883)&gt;0,H1883*요약!$G$27,J1883*요약!$D$27))</f>
        <v>139392</v>
      </c>
      <c r="M1883" s="46" t="n">
        <f aca="false">D1883*J1883</f>
        <v>409375368</v>
      </c>
      <c r="N1883" s="46" t="n">
        <f aca="false">D1883*K1883</f>
        <v>102343842</v>
      </c>
      <c r="O1883" s="46" t="n">
        <f aca="false">D1883*L1883</f>
        <v>90047232</v>
      </c>
      <c r="P1883" s="42" t="str">
        <f aca="false">TRIM(IF(N(E1883)&lt;=0,"택가보정 ","")&amp;IF(N(F1883)&lt;=0,"원가보정 ","")&amp;IF(AND(B1883&lt;&gt;"CN",N(H1883)&lt;=0),"공급가보정 ","")&amp;IF(AND(B1883="CN",N(I1883)&lt;=0),"중국공급가=원가+마진 ",""))</f>
        <v>택가보정</v>
      </c>
      <c r="Q1883" s="47" t="n">
        <f aca="false">IF(SUMIFS($W:$W,$A:$A,A1883,$C:$C,C1883)=0,0,SUMIFS(RAW_판매펀칭!$K:$K,RAW_판매펀칭!$P:$P,A1883,RAW_판매펀칭!$I:$I,C1883)*W1883/SUMIFS($W:$W,$A:$A,A1883,$C:$C,C1883))</f>
        <v>611</v>
      </c>
      <c r="R1883" s="47" t="n">
        <f aca="false">IF(OR(A1883="500",A1883="800",A1883="810"),0,MAX(W1883-Q1883,0))</f>
        <v>35</v>
      </c>
      <c r="S1883" s="47" t="n">
        <f aca="false">R1883*L1883</f>
        <v>4878720</v>
      </c>
      <c r="T1883" s="47" t="n">
        <f aca="false">R1883*J1883</f>
        <v>22179780</v>
      </c>
      <c r="U1883" s="47" t="n">
        <f aca="false">R1883*K1883</f>
        <v>5544945</v>
      </c>
      <c r="V1883" s="0" t="str">
        <f aca="false">IF(COUNTIFS($A$2:A1883,A1883,$C$2:C1883,C1883,$D$2:D1883,D1883)&gt;1,"중복","")</f>
        <v/>
      </c>
      <c r="W1883" s="0" t="n">
        <f aca="false">IF(V1883="중복",0,N(D1883))</f>
        <v>646</v>
      </c>
      <c r="X1883" s="0" t="n">
        <f aca="false">IF(COUNTIFS($A$2:A1883,A1883,$C$2:C1883,C1883)=1,ABS(SUMIFS(RAW_발주!$D:$D,RAW_발주!$C:$C,A1883,RAW_발주!$A:$A,C1883)-SUMIFS($W:$W,$A:$A,A1883,$C:$C,C1883)),0)</f>
        <v>0</v>
      </c>
    </row>
    <row r="1884" customFormat="false" ht="15" hidden="false" customHeight="true" outlineLevel="0" collapsed="false">
      <c r="A1884" s="45" t="s">
        <v>1660</v>
      </c>
      <c r="B1884" s="42" t="str">
        <f aca="false">IF(A1884="100","HK",IF(A1884="200","CN",IF(A1884="300","TW","홀세일")))</f>
        <v>CN</v>
      </c>
      <c r="C1884" s="45" t="s">
        <v>1204</v>
      </c>
      <c r="D1884" s="46" t="n">
        <v>646</v>
      </c>
      <c r="E1884" s="46"/>
      <c r="F1884" s="46" t="n">
        <v>158427</v>
      </c>
      <c r="G1884" s="42" t="n">
        <v>0</v>
      </c>
      <c r="I1884" s="42" t="n">
        <v>105.6</v>
      </c>
      <c r="J1884" s="46" t="n">
        <f aca="false">IF(N(E1884)&gt;0,E1884,IF(N(F1884)&gt;0,F1884*요약!$F$27,0))</f>
        <v>633708</v>
      </c>
      <c r="K1884" s="46" t="n">
        <f aca="false">IF(N(F1884)&gt;0,F1884,IF(N(E1884)&gt;0,E1884/요약!$F$27,0))</f>
        <v>158427</v>
      </c>
      <c r="L1884" s="46" t="n">
        <f aca="false">IF(B1884="CN",IF(N(I1884)&gt;0,I1884*요약!$G$27,K1884*(1+요약!$E$27)),IF(N(H1884)&gt;0,H1884*요약!$G$27,J1884*요약!$D$27))</f>
        <v>139392</v>
      </c>
      <c r="M1884" s="46" t="n">
        <f aca="false">D1884*J1884</f>
        <v>409375368</v>
      </c>
      <c r="N1884" s="46" t="n">
        <f aca="false">D1884*K1884</f>
        <v>102343842</v>
      </c>
      <c r="O1884" s="46" t="n">
        <f aca="false">D1884*L1884</f>
        <v>90047232</v>
      </c>
      <c r="P1884" s="42" t="str">
        <f aca="false">TRIM(IF(N(E1884)&lt;=0,"택가보정 ","")&amp;IF(N(F1884)&lt;=0,"원가보정 ","")&amp;IF(AND(B1884&lt;&gt;"CN",N(H1884)&lt;=0),"공급가보정 ","")&amp;IF(AND(B1884="CN",N(I1884)&lt;=0),"중국공급가=원가+마진 ",""))</f>
        <v>택가보정</v>
      </c>
      <c r="Q1884" s="47" t="n">
        <f aca="false">IF(SUMIFS($W:$W,$A:$A,A1884,$C:$C,C1884)=0,0,SUMIFS(RAW_판매펀칭!$K:$K,RAW_판매펀칭!$P:$P,A1884,RAW_판매펀칭!$I:$I,C1884)*W1884/SUMIFS($W:$W,$A:$A,A1884,$C:$C,C1884))</f>
        <v>0</v>
      </c>
      <c r="R1884" s="47" t="n">
        <f aca="false">IF(OR(A1884="500",A1884="800",A1884="810"),0,MAX(W1884-Q1884,0))</f>
        <v>0</v>
      </c>
      <c r="S1884" s="47" t="n">
        <f aca="false">R1884*L1884</f>
        <v>0</v>
      </c>
      <c r="T1884" s="47" t="n">
        <f aca="false">R1884*J1884</f>
        <v>0</v>
      </c>
      <c r="U1884" s="47" t="n">
        <f aca="false">R1884*K1884</f>
        <v>0</v>
      </c>
      <c r="V1884" s="0" t="str">
        <f aca="false">IF(COUNTIFS($A$2:A1884,A1884,$C$2:C1884,C1884,$D$2:D1884,D1884)&gt;1,"중복","")</f>
        <v>중복</v>
      </c>
      <c r="W1884" s="0" t="n">
        <f aca="false">IF(V1884="중복",0,N(D1884))</f>
        <v>0</v>
      </c>
      <c r="X1884" s="0" t="n">
        <f aca="false">IF(COUNTIFS($A$2:A1884,A1884,$C$2:C1884,C1884)=1,ABS(SUMIFS(RAW_발주!$D:$D,RAW_발주!$C:$C,A1884,RAW_발주!$A:$A,C1884)-SUMIFS($W:$W,$A:$A,A1884,$C:$C,C1884)),0)</f>
        <v>0</v>
      </c>
    </row>
    <row r="1885" customFormat="false" ht="15" hidden="false" customHeight="true" outlineLevel="0" collapsed="false">
      <c r="A1885" s="45" t="s">
        <v>1659</v>
      </c>
      <c r="B1885" s="42" t="str">
        <f aca="false">IF(A1885="100","HK",IF(A1885="200","CN",IF(A1885="300","TW","홀세일")))</f>
        <v>HK</v>
      </c>
      <c r="C1885" s="45" t="s">
        <v>1741</v>
      </c>
      <c r="D1885" s="46" t="n">
        <v>80</v>
      </c>
      <c r="E1885" s="46"/>
      <c r="F1885" s="46" t="n">
        <v>188000</v>
      </c>
      <c r="G1885" s="42" t="n">
        <v>2.85</v>
      </c>
      <c r="H1885" s="42" t="n">
        <v>147.7</v>
      </c>
      <c r="I1885" s="42" t="n">
        <v>149.7</v>
      </c>
      <c r="J1885" s="46" t="n">
        <f aca="false">IF(N(E1885)&gt;0,E1885,IF(N(F1885)&gt;0,F1885*요약!$F$27,0))</f>
        <v>752000</v>
      </c>
      <c r="K1885" s="46" t="n">
        <f aca="false">IF(N(F1885)&gt;0,F1885,IF(N(E1885)&gt;0,E1885/요약!$F$27,0))</f>
        <v>188000</v>
      </c>
      <c r="L1885" s="46" t="n">
        <f aca="false">IF(B1885="CN",IF(N(I1885)&gt;0,I1885*요약!$G$27,K1885*(1+요약!$E$27)),IF(N(H1885)&gt;0,H1885*요약!$G$27,J1885*요약!$D$27))</f>
        <v>194964</v>
      </c>
      <c r="M1885" s="46" t="n">
        <f aca="false">D1885*J1885</f>
        <v>60160000</v>
      </c>
      <c r="N1885" s="46" t="n">
        <f aca="false">D1885*K1885</f>
        <v>15040000</v>
      </c>
      <c r="O1885" s="46" t="n">
        <f aca="false">D1885*L1885</f>
        <v>15597120</v>
      </c>
      <c r="P1885" s="42" t="str">
        <f aca="false">TRIM(IF(N(E1885)&lt;=0,"택가보정 ","")&amp;IF(N(F1885)&lt;=0,"원가보정 ","")&amp;IF(AND(B1885&lt;&gt;"CN",N(H1885)&lt;=0),"공급가보정 ","")&amp;IF(AND(B1885="CN",N(I1885)&lt;=0),"중국공급가=원가+마진 ",""))</f>
        <v>택가보정</v>
      </c>
      <c r="Q1885" s="47" t="n">
        <f aca="false">IF(SUMIFS($W:$W,$A:$A,A1885,$C:$C,C1885)=0,0,SUMIFS(RAW_판매펀칭!$K:$K,RAW_판매펀칭!$P:$P,A1885,RAW_판매펀칭!$I:$I,C1885)*W1885/SUMIFS($W:$W,$A:$A,A1885,$C:$C,C1885))</f>
        <v>0</v>
      </c>
      <c r="R1885" s="47" t="n">
        <f aca="false">IF(OR(A1885="500",A1885="800",A1885="810"),0,MAX(W1885-Q1885,0))</f>
        <v>80</v>
      </c>
      <c r="S1885" s="47" t="n">
        <f aca="false">R1885*L1885</f>
        <v>15597120</v>
      </c>
      <c r="T1885" s="47" t="n">
        <f aca="false">R1885*J1885</f>
        <v>60160000</v>
      </c>
      <c r="U1885" s="47" t="n">
        <f aca="false">R1885*K1885</f>
        <v>15040000</v>
      </c>
      <c r="V1885" s="0" t="str">
        <f aca="false">IF(COUNTIFS($A$2:A1885,A1885,$C$2:C1885,C1885,$D$2:D1885,D1885)&gt;1,"중복","")</f>
        <v/>
      </c>
      <c r="W1885" s="0" t="n">
        <f aca="false">IF(V1885="중복",0,N(D1885))</f>
        <v>80</v>
      </c>
      <c r="X1885" s="0" t="n">
        <f aca="false">IF(COUNTIFS($A$2:A1885,A1885,$C$2:C1885,C1885)=1,ABS(SUMIFS(RAW_발주!$D:$D,RAW_발주!$C:$C,A1885,RAW_발주!$A:$A,C1885)-SUMIFS($W:$W,$A:$A,A1885,$C:$C,C1885)),0)</f>
        <v>0</v>
      </c>
    </row>
    <row r="1886" customFormat="false" ht="15" hidden="false" customHeight="true" outlineLevel="0" collapsed="false">
      <c r="A1886" s="45" t="s">
        <v>1660</v>
      </c>
      <c r="B1886" s="42" t="str">
        <f aca="false">IF(A1886="100","HK",IF(A1886="200","CN",IF(A1886="300","TW","홀세일")))</f>
        <v>CN</v>
      </c>
      <c r="C1886" s="45" t="s">
        <v>1741</v>
      </c>
      <c r="D1886" s="46" t="n">
        <v>346</v>
      </c>
      <c r="E1886" s="46"/>
      <c r="F1886" s="46" t="n">
        <v>188000</v>
      </c>
      <c r="G1886" s="42" t="n">
        <v>2.85</v>
      </c>
      <c r="H1886" s="42" t="n">
        <v>147.7</v>
      </c>
      <c r="I1886" s="42" t="n">
        <v>149.7</v>
      </c>
      <c r="J1886" s="46" t="n">
        <f aca="false">IF(N(E1886)&gt;0,E1886,IF(N(F1886)&gt;0,F1886*요약!$F$27,0))</f>
        <v>752000</v>
      </c>
      <c r="K1886" s="46" t="n">
        <f aca="false">IF(N(F1886)&gt;0,F1886,IF(N(E1886)&gt;0,E1886/요약!$F$27,0))</f>
        <v>188000</v>
      </c>
      <c r="L1886" s="46" t="n">
        <f aca="false">IF(B1886="CN",IF(N(I1886)&gt;0,I1886*요약!$G$27,K1886*(1+요약!$E$27)),IF(N(H1886)&gt;0,H1886*요약!$G$27,J1886*요약!$D$27))</f>
        <v>197604</v>
      </c>
      <c r="M1886" s="46" t="n">
        <f aca="false">D1886*J1886</f>
        <v>260192000</v>
      </c>
      <c r="N1886" s="46" t="n">
        <f aca="false">D1886*K1886</f>
        <v>65048000</v>
      </c>
      <c r="O1886" s="46" t="n">
        <f aca="false">D1886*L1886</f>
        <v>68370984</v>
      </c>
      <c r="P1886" s="42" t="str">
        <f aca="false">TRIM(IF(N(E1886)&lt;=0,"택가보정 ","")&amp;IF(N(F1886)&lt;=0,"원가보정 ","")&amp;IF(AND(B1886&lt;&gt;"CN",N(H1886)&lt;=0),"공급가보정 ","")&amp;IF(AND(B1886="CN",N(I1886)&lt;=0),"중국공급가=원가+마진 ",""))</f>
        <v>택가보정</v>
      </c>
      <c r="Q1886" s="47" t="n">
        <f aca="false">IF(SUMIFS($W:$W,$A:$A,A1886,$C:$C,C1886)=0,0,SUMIFS(RAW_판매펀칭!$K:$K,RAW_판매펀칭!$P:$P,A1886,RAW_판매펀칭!$I:$I,C1886)*W1886/SUMIFS($W:$W,$A:$A,A1886,$C:$C,C1886))</f>
        <v>0</v>
      </c>
      <c r="R1886" s="47" t="n">
        <f aca="false">IF(OR(A1886="500",A1886="800",A1886="810"),0,MAX(W1886-Q1886,0))</f>
        <v>346</v>
      </c>
      <c r="S1886" s="47" t="n">
        <f aca="false">R1886*L1886</f>
        <v>68370984</v>
      </c>
      <c r="T1886" s="47" t="n">
        <f aca="false">R1886*J1886</f>
        <v>260192000</v>
      </c>
      <c r="U1886" s="47" t="n">
        <f aca="false">R1886*K1886</f>
        <v>65048000</v>
      </c>
      <c r="V1886" s="0" t="str">
        <f aca="false">IF(COUNTIFS($A$2:A1886,A1886,$C$2:C1886,C1886,$D$2:D1886,D1886)&gt;1,"중복","")</f>
        <v/>
      </c>
      <c r="W1886" s="0" t="n">
        <f aca="false">IF(V1886="중복",0,N(D1886))</f>
        <v>346</v>
      </c>
      <c r="X1886" s="0" t="n">
        <f aca="false">IF(COUNTIFS($A$2:A1886,A1886,$C$2:C1886,C1886)=1,ABS(SUMIFS(RAW_발주!$D:$D,RAW_발주!$C:$C,A1886,RAW_발주!$A:$A,C1886)-SUMIFS($W:$W,$A:$A,A1886,$C:$C,C1886)),0)</f>
        <v>0</v>
      </c>
    </row>
    <row r="1887" customFormat="false" ht="15" hidden="false" customHeight="true" outlineLevel="0" collapsed="false">
      <c r="A1887" s="45" t="s">
        <v>1660</v>
      </c>
      <c r="B1887" s="42" t="str">
        <f aca="false">IF(A1887="100","HK",IF(A1887="200","CN",IF(A1887="300","TW","홀세일")))</f>
        <v>CN</v>
      </c>
      <c r="C1887" s="45" t="s">
        <v>1741</v>
      </c>
      <c r="D1887" s="46" t="n">
        <v>346</v>
      </c>
      <c r="E1887" s="46"/>
      <c r="F1887" s="46" t="n">
        <v>188000</v>
      </c>
      <c r="G1887" s="42" t="n">
        <v>2.85</v>
      </c>
      <c r="H1887" s="42" t="n">
        <v>147.7</v>
      </c>
      <c r="I1887" s="42" t="n">
        <v>149.7</v>
      </c>
      <c r="J1887" s="46" t="n">
        <f aca="false">IF(N(E1887)&gt;0,E1887,IF(N(F1887)&gt;0,F1887*요약!$F$27,0))</f>
        <v>752000</v>
      </c>
      <c r="K1887" s="46" t="n">
        <f aca="false">IF(N(F1887)&gt;0,F1887,IF(N(E1887)&gt;0,E1887/요약!$F$27,0))</f>
        <v>188000</v>
      </c>
      <c r="L1887" s="46" t="n">
        <f aca="false">IF(B1887="CN",IF(N(I1887)&gt;0,I1887*요약!$G$27,K1887*(1+요약!$E$27)),IF(N(H1887)&gt;0,H1887*요약!$G$27,J1887*요약!$D$27))</f>
        <v>197604</v>
      </c>
      <c r="M1887" s="46" t="n">
        <f aca="false">D1887*J1887</f>
        <v>260192000</v>
      </c>
      <c r="N1887" s="46" t="n">
        <f aca="false">D1887*K1887</f>
        <v>65048000</v>
      </c>
      <c r="O1887" s="46" t="n">
        <f aca="false">D1887*L1887</f>
        <v>68370984</v>
      </c>
      <c r="P1887" s="42" t="str">
        <f aca="false">TRIM(IF(N(E1887)&lt;=0,"택가보정 ","")&amp;IF(N(F1887)&lt;=0,"원가보정 ","")&amp;IF(AND(B1887&lt;&gt;"CN",N(H1887)&lt;=0),"공급가보정 ","")&amp;IF(AND(B1887="CN",N(I1887)&lt;=0),"중국공급가=원가+마진 ",""))</f>
        <v>택가보정</v>
      </c>
      <c r="Q1887" s="47" t="n">
        <f aca="false">IF(SUMIFS($W:$W,$A:$A,A1887,$C:$C,C1887)=0,0,SUMIFS(RAW_판매펀칭!$K:$K,RAW_판매펀칭!$P:$P,A1887,RAW_판매펀칭!$I:$I,C1887)*W1887/SUMIFS($W:$W,$A:$A,A1887,$C:$C,C1887))</f>
        <v>0</v>
      </c>
      <c r="R1887" s="47" t="n">
        <f aca="false">IF(OR(A1887="500",A1887="800",A1887="810"),0,MAX(W1887-Q1887,0))</f>
        <v>0</v>
      </c>
      <c r="S1887" s="47" t="n">
        <f aca="false">R1887*L1887</f>
        <v>0</v>
      </c>
      <c r="T1887" s="47" t="n">
        <f aca="false">R1887*J1887</f>
        <v>0</v>
      </c>
      <c r="U1887" s="47" t="n">
        <f aca="false">R1887*K1887</f>
        <v>0</v>
      </c>
      <c r="V1887" s="0" t="str">
        <f aca="false">IF(COUNTIFS($A$2:A1887,A1887,$C$2:C1887,C1887,$D$2:D1887,D1887)&gt;1,"중복","")</f>
        <v>중복</v>
      </c>
      <c r="W1887" s="0" t="n">
        <f aca="false">IF(V1887="중복",0,N(D1887))</f>
        <v>0</v>
      </c>
      <c r="X1887" s="0" t="n">
        <f aca="false">IF(COUNTIFS($A$2:A1887,A1887,$C$2:C1887,C1887)=1,ABS(SUMIFS(RAW_발주!$D:$D,RAW_발주!$C:$C,A1887,RAW_발주!$A:$A,C1887)-SUMIFS($W:$W,$A:$A,A1887,$C:$C,C1887)),0)</f>
        <v>0</v>
      </c>
    </row>
    <row r="1888" customFormat="false" ht="15" hidden="false" customHeight="true" outlineLevel="0" collapsed="false">
      <c r="A1888" s="45" t="s">
        <v>1661</v>
      </c>
      <c r="B1888" s="42" t="str">
        <f aca="false">IF(A1888="100","HK",IF(A1888="200","CN",IF(A1888="300","TW","홀세일")))</f>
        <v>TW</v>
      </c>
      <c r="C1888" s="45" t="s">
        <v>1741</v>
      </c>
      <c r="D1888" s="46" t="n">
        <v>600</v>
      </c>
      <c r="E1888" s="46"/>
      <c r="F1888" s="46" t="n">
        <v>188000</v>
      </c>
      <c r="G1888" s="42" t="n">
        <v>2.85</v>
      </c>
      <c r="H1888" s="42" t="n">
        <v>147.7</v>
      </c>
      <c r="I1888" s="42" t="n">
        <v>149.7</v>
      </c>
      <c r="J1888" s="46" t="n">
        <f aca="false">IF(N(E1888)&gt;0,E1888,IF(N(F1888)&gt;0,F1888*요약!$F$27,0))</f>
        <v>752000</v>
      </c>
      <c r="K1888" s="46" t="n">
        <f aca="false">IF(N(F1888)&gt;0,F1888,IF(N(E1888)&gt;0,E1888/요약!$F$27,0))</f>
        <v>188000</v>
      </c>
      <c r="L1888" s="46" t="n">
        <f aca="false">IF(B1888="CN",IF(N(I1888)&gt;0,I1888*요약!$G$27,K1888*(1+요약!$E$27)),IF(N(H1888)&gt;0,H1888*요약!$G$27,J1888*요약!$D$27))</f>
        <v>194964</v>
      </c>
      <c r="M1888" s="46" t="n">
        <f aca="false">D1888*J1888</f>
        <v>451200000</v>
      </c>
      <c r="N1888" s="46" t="n">
        <f aca="false">D1888*K1888</f>
        <v>112800000</v>
      </c>
      <c r="O1888" s="46" t="n">
        <f aca="false">D1888*L1888</f>
        <v>116978400</v>
      </c>
      <c r="P1888" s="42" t="str">
        <f aca="false">TRIM(IF(N(E1888)&lt;=0,"택가보정 ","")&amp;IF(N(F1888)&lt;=0,"원가보정 ","")&amp;IF(AND(B1888&lt;&gt;"CN",N(H1888)&lt;=0),"공급가보정 ","")&amp;IF(AND(B1888="CN",N(I1888)&lt;=0),"중국공급가=원가+마진 ",""))</f>
        <v>택가보정</v>
      </c>
      <c r="Q1888" s="47" t="n">
        <f aca="false">IF(SUMIFS($W:$W,$A:$A,A1888,$C:$C,C1888)=0,0,SUMIFS(RAW_판매펀칭!$K:$K,RAW_판매펀칭!$P:$P,A1888,RAW_판매펀칭!$I:$I,C1888)*W1888/SUMIFS($W:$W,$A:$A,A1888,$C:$C,C1888))</f>
        <v>0</v>
      </c>
      <c r="R1888" s="47" t="n">
        <f aca="false">IF(OR(A1888="500",A1888="800",A1888="810"),0,MAX(W1888-Q1888,0))</f>
        <v>600</v>
      </c>
      <c r="S1888" s="47" t="n">
        <f aca="false">R1888*L1888</f>
        <v>116978400</v>
      </c>
      <c r="T1888" s="47" t="n">
        <f aca="false">R1888*J1888</f>
        <v>451200000</v>
      </c>
      <c r="U1888" s="47" t="n">
        <f aca="false">R1888*K1888</f>
        <v>112800000</v>
      </c>
      <c r="V1888" s="0" t="str">
        <f aca="false">IF(COUNTIFS($A$2:A1888,A1888,$C$2:C1888,C1888,$D$2:D1888,D1888)&gt;1,"중복","")</f>
        <v/>
      </c>
      <c r="W1888" s="0" t="n">
        <f aca="false">IF(V1888="중복",0,N(D1888))</f>
        <v>600</v>
      </c>
      <c r="X1888" s="0" t="n">
        <f aca="false">IF(COUNTIFS($A$2:A1888,A1888,$C$2:C1888,C1888)=1,ABS(SUMIFS(RAW_발주!$D:$D,RAW_발주!$C:$C,A1888,RAW_발주!$A:$A,C1888)-SUMIFS($W:$W,$A:$A,A1888,$C:$C,C1888)),0)</f>
        <v>0</v>
      </c>
    </row>
    <row r="1889" customFormat="false" ht="15" hidden="false" customHeight="true" outlineLevel="0" collapsed="false">
      <c r="A1889" s="45" t="s">
        <v>1661</v>
      </c>
      <c r="B1889" s="42" t="str">
        <f aca="false">IF(A1889="100","HK",IF(A1889="200","CN",IF(A1889="300","TW","홀세일")))</f>
        <v>TW</v>
      </c>
      <c r="C1889" s="45" t="s">
        <v>1741</v>
      </c>
      <c r="D1889" s="46" t="n">
        <v>600</v>
      </c>
      <c r="E1889" s="46"/>
      <c r="F1889" s="46" t="n">
        <v>188000</v>
      </c>
      <c r="G1889" s="42" t="n">
        <v>2.85</v>
      </c>
      <c r="H1889" s="42" t="n">
        <v>147.7</v>
      </c>
      <c r="I1889" s="42" t="n">
        <v>149.7</v>
      </c>
      <c r="J1889" s="46" t="n">
        <f aca="false">IF(N(E1889)&gt;0,E1889,IF(N(F1889)&gt;0,F1889*요약!$F$27,0))</f>
        <v>752000</v>
      </c>
      <c r="K1889" s="46" t="n">
        <f aca="false">IF(N(F1889)&gt;0,F1889,IF(N(E1889)&gt;0,E1889/요약!$F$27,0))</f>
        <v>188000</v>
      </c>
      <c r="L1889" s="46" t="n">
        <f aca="false">IF(B1889="CN",IF(N(I1889)&gt;0,I1889*요약!$G$27,K1889*(1+요약!$E$27)),IF(N(H1889)&gt;0,H1889*요약!$G$27,J1889*요약!$D$27))</f>
        <v>194964</v>
      </c>
      <c r="M1889" s="46" t="n">
        <f aca="false">D1889*J1889</f>
        <v>451200000</v>
      </c>
      <c r="N1889" s="46" t="n">
        <f aca="false">D1889*K1889</f>
        <v>112800000</v>
      </c>
      <c r="O1889" s="46" t="n">
        <f aca="false">D1889*L1889</f>
        <v>116978400</v>
      </c>
      <c r="P1889" s="42" t="str">
        <f aca="false">TRIM(IF(N(E1889)&lt;=0,"택가보정 ","")&amp;IF(N(F1889)&lt;=0,"원가보정 ","")&amp;IF(AND(B1889&lt;&gt;"CN",N(H1889)&lt;=0),"공급가보정 ","")&amp;IF(AND(B1889="CN",N(I1889)&lt;=0),"중국공급가=원가+마진 ",""))</f>
        <v>택가보정</v>
      </c>
      <c r="Q1889" s="47" t="n">
        <f aca="false">IF(SUMIFS($W:$W,$A:$A,A1889,$C:$C,C1889)=0,0,SUMIFS(RAW_판매펀칭!$K:$K,RAW_판매펀칭!$P:$P,A1889,RAW_판매펀칭!$I:$I,C1889)*W1889/SUMIFS($W:$W,$A:$A,A1889,$C:$C,C1889))</f>
        <v>0</v>
      </c>
      <c r="R1889" s="47" t="n">
        <f aca="false">IF(OR(A1889="500",A1889="800",A1889="810"),0,MAX(W1889-Q1889,0))</f>
        <v>0</v>
      </c>
      <c r="S1889" s="47" t="n">
        <f aca="false">R1889*L1889</f>
        <v>0</v>
      </c>
      <c r="T1889" s="47" t="n">
        <f aca="false">R1889*J1889</f>
        <v>0</v>
      </c>
      <c r="U1889" s="47" t="n">
        <f aca="false">R1889*K1889</f>
        <v>0</v>
      </c>
      <c r="V1889" s="0" t="str">
        <f aca="false">IF(COUNTIFS($A$2:A1889,A1889,$C$2:C1889,C1889,$D$2:D1889,D1889)&gt;1,"중복","")</f>
        <v>중복</v>
      </c>
      <c r="W1889" s="0" t="n">
        <f aca="false">IF(V1889="중복",0,N(D1889))</f>
        <v>0</v>
      </c>
      <c r="X1889" s="0" t="n">
        <f aca="false">IF(COUNTIFS($A$2:A1889,A1889,$C$2:C1889,C1889)=1,ABS(SUMIFS(RAW_발주!$D:$D,RAW_발주!$C:$C,A1889,RAW_발주!$A:$A,C1889)-SUMIFS($W:$W,$A:$A,A1889,$C:$C,C1889)),0)</f>
        <v>0</v>
      </c>
    </row>
    <row r="1890" customFormat="false" ht="15" hidden="false" customHeight="true" outlineLevel="0" collapsed="false">
      <c r="A1890" s="45" t="s">
        <v>1660</v>
      </c>
      <c r="B1890" s="42" t="str">
        <f aca="false">IF(A1890="100","HK",IF(A1890="200","CN",IF(A1890="300","TW","홀세일")))</f>
        <v>CN</v>
      </c>
      <c r="C1890" s="45" t="s">
        <v>1206</v>
      </c>
      <c r="D1890" s="46" t="n">
        <v>82</v>
      </c>
      <c r="E1890" s="46"/>
      <c r="F1890" s="46" t="n">
        <v>290154</v>
      </c>
      <c r="G1890" s="42" t="n">
        <v>2.89</v>
      </c>
      <c r="I1890" s="42" t="n">
        <v>222.6</v>
      </c>
      <c r="J1890" s="46" t="n">
        <f aca="false">IF(N(E1890)&gt;0,E1890,IF(N(F1890)&gt;0,F1890*요약!$F$27,0))</f>
        <v>1160616</v>
      </c>
      <c r="K1890" s="46" t="n">
        <f aca="false">IF(N(F1890)&gt;0,F1890,IF(N(E1890)&gt;0,E1890/요약!$F$27,0))</f>
        <v>290154</v>
      </c>
      <c r="L1890" s="46" t="n">
        <f aca="false">IF(B1890="CN",IF(N(I1890)&gt;0,I1890*요약!$G$27,K1890*(1+요약!$E$27)),IF(N(H1890)&gt;0,H1890*요약!$G$27,J1890*요약!$D$27))</f>
        <v>293832</v>
      </c>
      <c r="M1890" s="46" t="n">
        <f aca="false">D1890*J1890</f>
        <v>95170512</v>
      </c>
      <c r="N1890" s="46" t="n">
        <f aca="false">D1890*K1890</f>
        <v>23792628</v>
      </c>
      <c r="O1890" s="46" t="n">
        <f aca="false">D1890*L1890</f>
        <v>24094224</v>
      </c>
      <c r="P1890" s="42" t="str">
        <f aca="false">TRIM(IF(N(E1890)&lt;=0,"택가보정 ","")&amp;IF(N(F1890)&lt;=0,"원가보정 ","")&amp;IF(AND(B1890&lt;&gt;"CN",N(H1890)&lt;=0),"공급가보정 ","")&amp;IF(AND(B1890="CN",N(I1890)&lt;=0),"중국공급가=원가+마진 ",""))</f>
        <v>택가보정</v>
      </c>
      <c r="Q1890" s="47" t="n">
        <f aca="false">IF(SUMIFS($W:$W,$A:$A,A1890,$C:$C,C1890)=0,0,SUMIFS(RAW_판매펀칭!$K:$K,RAW_판매펀칭!$P:$P,A1890,RAW_판매펀칭!$I:$I,C1890)*W1890/SUMIFS($W:$W,$A:$A,A1890,$C:$C,C1890))</f>
        <v>81</v>
      </c>
      <c r="R1890" s="47" t="n">
        <f aca="false">IF(OR(A1890="500",A1890="800",A1890="810"),0,MAX(W1890-Q1890,0))</f>
        <v>1</v>
      </c>
      <c r="S1890" s="47" t="n">
        <f aca="false">R1890*L1890</f>
        <v>293832</v>
      </c>
      <c r="T1890" s="47" t="n">
        <f aca="false">R1890*J1890</f>
        <v>1160616</v>
      </c>
      <c r="U1890" s="47" t="n">
        <f aca="false">R1890*K1890</f>
        <v>290154</v>
      </c>
      <c r="V1890" s="0" t="str">
        <f aca="false">IF(COUNTIFS($A$2:A1890,A1890,$C$2:C1890,C1890,$D$2:D1890,D1890)&gt;1,"중복","")</f>
        <v/>
      </c>
      <c r="W1890" s="0" t="n">
        <f aca="false">IF(V1890="중복",0,N(D1890))</f>
        <v>82</v>
      </c>
      <c r="X1890" s="0" t="n">
        <f aca="false">IF(COUNTIFS($A$2:A1890,A1890,$C$2:C1890,C1890)=1,ABS(SUMIFS(RAW_발주!$D:$D,RAW_발주!$C:$C,A1890,RAW_발주!$A:$A,C1890)-SUMIFS($W:$W,$A:$A,A1890,$C:$C,C1890)),0)</f>
        <v>0</v>
      </c>
    </row>
    <row r="1891" customFormat="false" ht="15" hidden="false" customHeight="true" outlineLevel="0" collapsed="false">
      <c r="A1891" s="45" t="s">
        <v>1660</v>
      </c>
      <c r="B1891" s="42" t="str">
        <f aca="false">IF(A1891="100","HK",IF(A1891="200","CN",IF(A1891="300","TW","홀세일")))</f>
        <v>CN</v>
      </c>
      <c r="C1891" s="45" t="s">
        <v>1208</v>
      </c>
      <c r="D1891" s="46" t="n">
        <v>202</v>
      </c>
      <c r="E1891" s="46" t="n">
        <v>109000</v>
      </c>
      <c r="F1891" s="46" t="n">
        <v>31900</v>
      </c>
      <c r="G1891" s="42" t="n">
        <v>3.25</v>
      </c>
      <c r="H1891" s="42" t="n">
        <v>27.3</v>
      </c>
      <c r="I1891" s="42" t="n">
        <v>25.4</v>
      </c>
      <c r="J1891" s="46" t="n">
        <f aca="false">IF(N(E1891)&gt;0,E1891,IF(N(F1891)&gt;0,F1891*요약!$F$27,0))</f>
        <v>109000</v>
      </c>
      <c r="K1891" s="46" t="n">
        <f aca="false">IF(N(F1891)&gt;0,F1891,IF(N(E1891)&gt;0,E1891/요약!$F$27,0))</f>
        <v>31900</v>
      </c>
      <c r="L1891" s="46" t="n">
        <f aca="false">IF(B1891="CN",IF(N(I1891)&gt;0,I1891*요약!$G$27,K1891*(1+요약!$E$27)),IF(N(H1891)&gt;0,H1891*요약!$G$27,J1891*요약!$D$27))</f>
        <v>33528</v>
      </c>
      <c r="M1891" s="46" t="n">
        <f aca="false">D1891*J1891</f>
        <v>22018000</v>
      </c>
      <c r="N1891" s="46" t="n">
        <f aca="false">D1891*K1891</f>
        <v>6443800</v>
      </c>
      <c r="O1891" s="46" t="n">
        <f aca="false">D1891*L1891</f>
        <v>6772656</v>
      </c>
      <c r="P1891" s="42" t="str">
        <f aca="false">TRIM(IF(N(E1891)&lt;=0,"택가보정 ","")&amp;IF(N(F1891)&lt;=0,"원가보정 ","")&amp;IF(AND(B1891&lt;&gt;"CN",N(H1891)&lt;=0),"공급가보정 ","")&amp;IF(AND(B1891="CN",N(I1891)&lt;=0),"중국공급가=원가+마진 ",""))</f>
        <v/>
      </c>
      <c r="Q1891" s="47" t="n">
        <f aca="false">IF(SUMIFS($W:$W,$A:$A,A1891,$C:$C,C1891)=0,0,SUMIFS(RAW_판매펀칭!$K:$K,RAW_판매펀칭!$P:$P,A1891,RAW_판매펀칭!$I:$I,C1891)*W1891/SUMIFS($W:$W,$A:$A,A1891,$C:$C,C1891))</f>
        <v>182</v>
      </c>
      <c r="R1891" s="47" t="n">
        <f aca="false">IF(OR(A1891="500",A1891="800",A1891="810"),0,MAX(W1891-Q1891,0))</f>
        <v>20</v>
      </c>
      <c r="S1891" s="47" t="n">
        <f aca="false">R1891*L1891</f>
        <v>670560</v>
      </c>
      <c r="T1891" s="47" t="n">
        <f aca="false">R1891*J1891</f>
        <v>2180000</v>
      </c>
      <c r="U1891" s="47" t="n">
        <f aca="false">R1891*K1891</f>
        <v>638000</v>
      </c>
      <c r="V1891" s="0" t="str">
        <f aca="false">IF(COUNTIFS($A$2:A1891,A1891,$C$2:C1891,C1891,$D$2:D1891,D1891)&gt;1,"중복","")</f>
        <v/>
      </c>
      <c r="W1891" s="0" t="n">
        <f aca="false">IF(V1891="중복",0,N(D1891))</f>
        <v>202</v>
      </c>
      <c r="X1891" s="0" t="n">
        <f aca="false">IF(COUNTIFS($A$2:A1891,A1891,$C$2:C1891,C1891)=1,ABS(SUMIFS(RAW_발주!$D:$D,RAW_발주!$C:$C,A1891,RAW_발주!$A:$A,C1891)-SUMIFS($W:$W,$A:$A,A1891,$C:$C,C1891)),0)</f>
        <v>0</v>
      </c>
    </row>
    <row r="1892" customFormat="false" ht="15" hidden="false" customHeight="true" outlineLevel="0" collapsed="false">
      <c r="A1892" s="45" t="s">
        <v>1663</v>
      </c>
      <c r="B1892" s="42" t="str">
        <f aca="false">IF(A1892="100","HK",IF(A1892="200","CN",IF(A1892="300","TW","홀세일")))</f>
        <v>홀세일</v>
      </c>
      <c r="C1892" s="45" t="s">
        <v>1208</v>
      </c>
      <c r="D1892" s="46" t="n">
        <v>20</v>
      </c>
      <c r="E1892" s="46" t="n">
        <v>109000</v>
      </c>
      <c r="F1892" s="46" t="n">
        <v>31900</v>
      </c>
      <c r="G1892" s="42" t="n">
        <v>3.25</v>
      </c>
      <c r="H1892" s="42" t="n">
        <v>27.3</v>
      </c>
      <c r="I1892" s="42" t="n">
        <v>25.4</v>
      </c>
      <c r="J1892" s="46" t="n">
        <f aca="false">IF(N(E1892)&gt;0,E1892,IF(N(F1892)&gt;0,F1892*요약!$F$27,0))</f>
        <v>109000</v>
      </c>
      <c r="K1892" s="46" t="n">
        <f aca="false">IF(N(F1892)&gt;0,F1892,IF(N(E1892)&gt;0,E1892/요약!$F$27,0))</f>
        <v>31900</v>
      </c>
      <c r="L1892" s="46" t="n">
        <f aca="false">IF(B1892="CN",IF(N(I1892)&gt;0,I1892*요약!$G$27,K1892*(1+요약!$E$27)),IF(N(H1892)&gt;0,H1892*요약!$G$27,J1892*요약!$D$27))</f>
        <v>36036</v>
      </c>
      <c r="M1892" s="46" t="n">
        <f aca="false">D1892*J1892</f>
        <v>2180000</v>
      </c>
      <c r="N1892" s="46" t="n">
        <f aca="false">D1892*K1892</f>
        <v>638000</v>
      </c>
      <c r="O1892" s="46" t="n">
        <f aca="false">D1892*L1892</f>
        <v>720720</v>
      </c>
      <c r="P1892" s="42" t="str">
        <f aca="false">TRIM(IF(N(E1892)&lt;=0,"택가보정 ","")&amp;IF(N(F1892)&lt;=0,"원가보정 ","")&amp;IF(AND(B1892&lt;&gt;"CN",N(H1892)&lt;=0),"공급가보정 ","")&amp;IF(AND(B1892="CN",N(I1892)&lt;=0),"중국공급가=원가+마진 ",""))</f>
        <v/>
      </c>
      <c r="Q1892" s="47" t="n">
        <f aca="false">IF(SUMIFS($W:$W,$A:$A,A1892,$C:$C,C1892)=0,0,SUMIFS(RAW_판매펀칭!$K:$K,RAW_판매펀칭!$P:$P,A1892,RAW_판매펀칭!$I:$I,C1892)*W1892/SUMIFS($W:$W,$A:$A,A1892,$C:$C,C1892))</f>
        <v>20</v>
      </c>
      <c r="R1892" s="47" t="n">
        <f aca="false">IF(OR(A1892="500",A1892="800",A1892="810"),0,MAX(W1892-Q1892,0))</f>
        <v>0</v>
      </c>
      <c r="S1892" s="47" t="n">
        <f aca="false">R1892*L1892</f>
        <v>0</v>
      </c>
      <c r="T1892" s="47" t="n">
        <f aca="false">R1892*J1892</f>
        <v>0</v>
      </c>
      <c r="U1892" s="47" t="n">
        <f aca="false">R1892*K1892</f>
        <v>0</v>
      </c>
      <c r="V1892" s="0" t="str">
        <f aca="false">IF(COUNTIFS($A$2:A1892,A1892,$C$2:C1892,C1892,$D$2:D1892,D1892)&gt;1,"중복","")</f>
        <v/>
      </c>
      <c r="W1892" s="0" t="n">
        <f aca="false">IF(V1892="중복",0,N(D1892))</f>
        <v>20</v>
      </c>
      <c r="X1892" s="0" t="n">
        <f aca="false">IF(COUNTIFS($A$2:A1892,A1892,$C$2:C1892,C1892)=1,ABS(SUMIFS(RAW_발주!$D:$D,RAW_발주!$C:$C,A1892,RAW_발주!$A:$A,C1892)-SUMIFS($W:$W,$A:$A,A1892,$C:$C,C1892)),0)</f>
        <v>0</v>
      </c>
    </row>
    <row r="1893" customFormat="false" ht="15" hidden="false" customHeight="true" outlineLevel="0" collapsed="false">
      <c r="A1893" s="45" t="s">
        <v>1660</v>
      </c>
      <c r="B1893" s="42" t="str">
        <f aca="false">IF(A1893="100","HK",IF(A1893="200","CN",IF(A1893="300","TW","홀세일")))</f>
        <v>CN</v>
      </c>
      <c r="C1893" s="45" t="s">
        <v>1210</v>
      </c>
      <c r="D1893" s="46" t="n">
        <v>201</v>
      </c>
      <c r="E1893" s="46" t="n">
        <v>179000</v>
      </c>
      <c r="F1893" s="46" t="n">
        <v>61298</v>
      </c>
      <c r="G1893" s="42" t="n">
        <v>3.25</v>
      </c>
      <c r="H1893" s="42" t="n">
        <v>42.1</v>
      </c>
      <c r="I1893" s="42" t="n">
        <v>48.6</v>
      </c>
      <c r="J1893" s="46" t="n">
        <f aca="false">IF(N(E1893)&gt;0,E1893,IF(N(F1893)&gt;0,F1893*요약!$F$27,0))</f>
        <v>179000</v>
      </c>
      <c r="K1893" s="46" t="n">
        <f aca="false">IF(N(F1893)&gt;0,F1893,IF(N(E1893)&gt;0,E1893/요약!$F$27,0))</f>
        <v>61298</v>
      </c>
      <c r="L1893" s="46" t="n">
        <f aca="false">IF(B1893="CN",IF(N(I1893)&gt;0,I1893*요약!$G$27,K1893*(1+요약!$E$27)),IF(N(H1893)&gt;0,H1893*요약!$G$27,J1893*요약!$D$27))</f>
        <v>64152</v>
      </c>
      <c r="M1893" s="46" t="n">
        <f aca="false">D1893*J1893</f>
        <v>35979000</v>
      </c>
      <c r="N1893" s="46" t="n">
        <f aca="false">D1893*K1893</f>
        <v>12320898</v>
      </c>
      <c r="O1893" s="46" t="n">
        <f aca="false">D1893*L1893</f>
        <v>12894552</v>
      </c>
      <c r="P1893" s="42" t="str">
        <f aca="false">TRIM(IF(N(E1893)&lt;=0,"택가보정 ","")&amp;IF(N(F1893)&lt;=0,"원가보정 ","")&amp;IF(AND(B1893&lt;&gt;"CN",N(H1893)&lt;=0),"공급가보정 ","")&amp;IF(AND(B1893="CN",N(I1893)&lt;=0),"중국공급가=원가+마진 ",""))</f>
        <v/>
      </c>
      <c r="Q1893" s="47" t="n">
        <f aca="false">IF(SUMIFS($W:$W,$A:$A,A1893,$C:$C,C1893)=0,0,SUMIFS(RAW_판매펀칭!$K:$K,RAW_판매펀칭!$P:$P,A1893,RAW_판매펀칭!$I:$I,C1893)*W1893/SUMIFS($W:$W,$A:$A,A1893,$C:$C,C1893))</f>
        <v>188</v>
      </c>
      <c r="R1893" s="47" t="n">
        <f aca="false">IF(OR(A1893="500",A1893="800",A1893="810"),0,MAX(W1893-Q1893,0))</f>
        <v>13</v>
      </c>
      <c r="S1893" s="47" t="n">
        <f aca="false">R1893*L1893</f>
        <v>833976</v>
      </c>
      <c r="T1893" s="47" t="n">
        <f aca="false">R1893*J1893</f>
        <v>2327000</v>
      </c>
      <c r="U1893" s="47" t="n">
        <f aca="false">R1893*K1893</f>
        <v>796874</v>
      </c>
      <c r="V1893" s="0" t="str">
        <f aca="false">IF(COUNTIFS($A$2:A1893,A1893,$C$2:C1893,C1893,$D$2:D1893,D1893)&gt;1,"중복","")</f>
        <v/>
      </c>
      <c r="W1893" s="0" t="n">
        <f aca="false">IF(V1893="중복",0,N(D1893))</f>
        <v>201</v>
      </c>
      <c r="X1893" s="0" t="n">
        <f aca="false">IF(COUNTIFS($A$2:A1893,A1893,$C$2:C1893,C1893)=1,ABS(SUMIFS(RAW_발주!$D:$D,RAW_발주!$C:$C,A1893,RAW_발주!$A:$A,C1893)-SUMIFS($W:$W,$A:$A,A1893,$C:$C,C1893)),0)</f>
        <v>0</v>
      </c>
    </row>
    <row r="1894" customFormat="false" ht="15" hidden="false" customHeight="true" outlineLevel="0" collapsed="false">
      <c r="A1894" s="45" t="s">
        <v>1660</v>
      </c>
      <c r="B1894" s="42" t="str">
        <f aca="false">IF(A1894="100","HK",IF(A1894="200","CN",IF(A1894="300","TW","홀세일")))</f>
        <v>CN</v>
      </c>
      <c r="C1894" s="45" t="s">
        <v>1212</v>
      </c>
      <c r="D1894" s="46" t="n">
        <v>242</v>
      </c>
      <c r="E1894" s="46" t="n">
        <v>219000</v>
      </c>
      <c r="F1894" s="46" t="n">
        <v>76801</v>
      </c>
      <c r="G1894" s="42" t="n">
        <v>3.16</v>
      </c>
      <c r="H1894" s="42" t="n">
        <v>51.5</v>
      </c>
      <c r="I1894" s="42" t="n">
        <v>61.3</v>
      </c>
      <c r="J1894" s="46" t="n">
        <f aca="false">IF(N(E1894)&gt;0,E1894,IF(N(F1894)&gt;0,F1894*요약!$F$27,0))</f>
        <v>219000</v>
      </c>
      <c r="K1894" s="46" t="n">
        <f aca="false">IF(N(F1894)&gt;0,F1894,IF(N(E1894)&gt;0,E1894/요약!$F$27,0))</f>
        <v>76801</v>
      </c>
      <c r="L1894" s="46" t="n">
        <f aca="false">IF(B1894="CN",IF(N(I1894)&gt;0,I1894*요약!$G$27,K1894*(1+요약!$E$27)),IF(N(H1894)&gt;0,H1894*요약!$G$27,J1894*요약!$D$27))</f>
        <v>80916</v>
      </c>
      <c r="M1894" s="46" t="n">
        <f aca="false">D1894*J1894</f>
        <v>52998000</v>
      </c>
      <c r="N1894" s="46" t="n">
        <f aca="false">D1894*K1894</f>
        <v>18585842</v>
      </c>
      <c r="O1894" s="46" t="n">
        <f aca="false">D1894*L1894</f>
        <v>19581672</v>
      </c>
      <c r="P1894" s="42" t="str">
        <f aca="false">TRIM(IF(N(E1894)&lt;=0,"택가보정 ","")&amp;IF(N(F1894)&lt;=0,"원가보정 ","")&amp;IF(AND(B1894&lt;&gt;"CN",N(H1894)&lt;=0),"공급가보정 ","")&amp;IF(AND(B1894="CN",N(I1894)&lt;=0),"중국공급가=원가+마진 ",""))</f>
        <v/>
      </c>
      <c r="Q1894" s="47" t="n">
        <f aca="false">IF(SUMIFS($W:$W,$A:$A,A1894,$C:$C,C1894)=0,0,SUMIFS(RAW_판매펀칭!$K:$K,RAW_판매펀칭!$P:$P,A1894,RAW_판매펀칭!$I:$I,C1894)*W1894/SUMIFS($W:$W,$A:$A,A1894,$C:$C,C1894))</f>
        <v>175</v>
      </c>
      <c r="R1894" s="47" t="n">
        <f aca="false">IF(OR(A1894="500",A1894="800",A1894="810"),0,MAX(W1894-Q1894,0))</f>
        <v>67</v>
      </c>
      <c r="S1894" s="47" t="n">
        <f aca="false">R1894*L1894</f>
        <v>5421372</v>
      </c>
      <c r="T1894" s="47" t="n">
        <f aca="false">R1894*J1894</f>
        <v>14673000</v>
      </c>
      <c r="U1894" s="47" t="n">
        <f aca="false">R1894*K1894</f>
        <v>5145667</v>
      </c>
      <c r="V1894" s="0" t="str">
        <f aca="false">IF(COUNTIFS($A$2:A1894,A1894,$C$2:C1894,C1894,$D$2:D1894,D1894)&gt;1,"중복","")</f>
        <v/>
      </c>
      <c r="W1894" s="0" t="n">
        <f aca="false">IF(V1894="중복",0,N(D1894))</f>
        <v>242</v>
      </c>
      <c r="X1894" s="0" t="n">
        <f aca="false">IF(COUNTIFS($A$2:A1894,A1894,$C$2:C1894,C1894)=1,ABS(SUMIFS(RAW_발주!$D:$D,RAW_발주!$C:$C,A1894,RAW_발주!$A:$A,C1894)-SUMIFS($W:$W,$A:$A,A1894,$C:$C,C1894)),0)</f>
        <v>0</v>
      </c>
    </row>
    <row r="1895" customFormat="false" ht="15" hidden="false" customHeight="true" outlineLevel="0" collapsed="false">
      <c r="A1895" s="45" t="s">
        <v>1660</v>
      </c>
      <c r="B1895" s="42" t="str">
        <f aca="false">IF(A1895="100","HK",IF(A1895="200","CN",IF(A1895="300","TW","홀세일")))</f>
        <v>CN</v>
      </c>
      <c r="C1895" s="45" t="s">
        <v>1212</v>
      </c>
      <c r="D1895" s="46" t="n">
        <v>242</v>
      </c>
      <c r="E1895" s="46" t="n">
        <v>219000</v>
      </c>
      <c r="F1895" s="46" t="n">
        <v>76801</v>
      </c>
      <c r="G1895" s="42" t="n">
        <v>3.16</v>
      </c>
      <c r="H1895" s="42" t="n">
        <v>51.5</v>
      </c>
      <c r="I1895" s="42" t="n">
        <v>61.3</v>
      </c>
      <c r="J1895" s="46" t="n">
        <f aca="false">IF(N(E1895)&gt;0,E1895,IF(N(F1895)&gt;0,F1895*요약!$F$27,0))</f>
        <v>219000</v>
      </c>
      <c r="K1895" s="46" t="n">
        <f aca="false">IF(N(F1895)&gt;0,F1895,IF(N(E1895)&gt;0,E1895/요약!$F$27,0))</f>
        <v>76801</v>
      </c>
      <c r="L1895" s="46" t="n">
        <f aca="false">IF(B1895="CN",IF(N(I1895)&gt;0,I1895*요약!$G$27,K1895*(1+요약!$E$27)),IF(N(H1895)&gt;0,H1895*요약!$G$27,J1895*요약!$D$27))</f>
        <v>80916</v>
      </c>
      <c r="M1895" s="46" t="n">
        <f aca="false">D1895*J1895</f>
        <v>52998000</v>
      </c>
      <c r="N1895" s="46" t="n">
        <f aca="false">D1895*K1895</f>
        <v>18585842</v>
      </c>
      <c r="O1895" s="46" t="n">
        <f aca="false">D1895*L1895</f>
        <v>19581672</v>
      </c>
      <c r="P1895" s="42" t="str">
        <f aca="false">TRIM(IF(N(E1895)&lt;=0,"택가보정 ","")&amp;IF(N(F1895)&lt;=0,"원가보정 ","")&amp;IF(AND(B1895&lt;&gt;"CN",N(H1895)&lt;=0),"공급가보정 ","")&amp;IF(AND(B1895="CN",N(I1895)&lt;=0),"중국공급가=원가+마진 ",""))</f>
        <v/>
      </c>
      <c r="Q1895" s="47" t="n">
        <f aca="false">IF(SUMIFS($W:$W,$A:$A,A1895,$C:$C,C1895)=0,0,SUMIFS(RAW_판매펀칭!$K:$K,RAW_판매펀칭!$P:$P,A1895,RAW_판매펀칭!$I:$I,C1895)*W1895/SUMIFS($W:$W,$A:$A,A1895,$C:$C,C1895))</f>
        <v>0</v>
      </c>
      <c r="R1895" s="47" t="n">
        <f aca="false">IF(OR(A1895="500",A1895="800",A1895="810"),0,MAX(W1895-Q1895,0))</f>
        <v>0</v>
      </c>
      <c r="S1895" s="47" t="n">
        <f aca="false">R1895*L1895</f>
        <v>0</v>
      </c>
      <c r="T1895" s="47" t="n">
        <f aca="false">R1895*J1895</f>
        <v>0</v>
      </c>
      <c r="U1895" s="47" t="n">
        <f aca="false">R1895*K1895</f>
        <v>0</v>
      </c>
      <c r="V1895" s="0" t="str">
        <f aca="false">IF(COUNTIFS($A$2:A1895,A1895,$C$2:C1895,C1895,$D$2:D1895,D1895)&gt;1,"중복","")</f>
        <v>중복</v>
      </c>
      <c r="W1895" s="0" t="n">
        <f aca="false">IF(V1895="중복",0,N(D1895))</f>
        <v>0</v>
      </c>
      <c r="X1895" s="0" t="n">
        <f aca="false">IF(COUNTIFS($A$2:A1895,A1895,$C$2:C1895,C1895)=1,ABS(SUMIFS(RAW_발주!$D:$D,RAW_발주!$C:$C,A1895,RAW_발주!$A:$A,C1895)-SUMIFS($W:$W,$A:$A,A1895,$C:$C,C1895)),0)</f>
        <v>0</v>
      </c>
    </row>
    <row r="1896" customFormat="false" ht="15" hidden="false" customHeight="true" outlineLevel="0" collapsed="false">
      <c r="A1896" s="45" t="s">
        <v>1664</v>
      </c>
      <c r="B1896" s="42" t="str">
        <f aca="false">IF(A1896="100","HK",IF(A1896="200","CN",IF(A1896="300","TW","홀세일")))</f>
        <v>홀세일</v>
      </c>
      <c r="C1896" s="45" t="s">
        <v>1212</v>
      </c>
      <c r="D1896" s="46" t="n">
        <v>55</v>
      </c>
      <c r="E1896" s="46" t="n">
        <v>219000</v>
      </c>
      <c r="F1896" s="46" t="n">
        <v>76801</v>
      </c>
      <c r="G1896" s="42" t="n">
        <v>3.16</v>
      </c>
      <c r="H1896" s="42" t="n">
        <v>51.5</v>
      </c>
      <c r="I1896" s="42" t="n">
        <v>61.3</v>
      </c>
      <c r="J1896" s="46" t="n">
        <f aca="false">IF(N(E1896)&gt;0,E1896,IF(N(F1896)&gt;0,F1896*요약!$F$27,0))</f>
        <v>219000</v>
      </c>
      <c r="K1896" s="46" t="n">
        <f aca="false">IF(N(F1896)&gt;0,F1896,IF(N(E1896)&gt;0,E1896/요약!$F$27,0))</f>
        <v>76801</v>
      </c>
      <c r="L1896" s="46" t="n">
        <f aca="false">IF(B1896="CN",IF(N(I1896)&gt;0,I1896*요약!$G$27,K1896*(1+요약!$E$27)),IF(N(H1896)&gt;0,H1896*요약!$G$27,J1896*요약!$D$27))</f>
        <v>67980</v>
      </c>
      <c r="M1896" s="46" t="n">
        <f aca="false">D1896*J1896</f>
        <v>12045000</v>
      </c>
      <c r="N1896" s="46" t="n">
        <f aca="false">D1896*K1896</f>
        <v>4224055</v>
      </c>
      <c r="O1896" s="46" t="n">
        <f aca="false">D1896*L1896</f>
        <v>3738900</v>
      </c>
      <c r="P1896" s="42" t="str">
        <f aca="false">TRIM(IF(N(E1896)&lt;=0,"택가보정 ","")&amp;IF(N(F1896)&lt;=0,"원가보정 ","")&amp;IF(AND(B1896&lt;&gt;"CN",N(H1896)&lt;=0),"공급가보정 ","")&amp;IF(AND(B1896="CN",N(I1896)&lt;=0),"중국공급가=원가+마진 ",""))</f>
        <v/>
      </c>
      <c r="Q1896" s="47" t="n">
        <f aca="false">IF(SUMIFS($W:$W,$A:$A,A1896,$C:$C,C1896)=0,0,SUMIFS(RAW_판매펀칭!$K:$K,RAW_판매펀칭!$P:$P,A1896,RAW_판매펀칭!$I:$I,C1896)*W1896/SUMIFS($W:$W,$A:$A,A1896,$C:$C,C1896))</f>
        <v>0</v>
      </c>
      <c r="R1896" s="47" t="n">
        <f aca="false">IF(OR(A1896="500",A1896="800",A1896="810"),0,MAX(W1896-Q1896,0))</f>
        <v>0</v>
      </c>
      <c r="S1896" s="47" t="n">
        <f aca="false">R1896*L1896</f>
        <v>0</v>
      </c>
      <c r="T1896" s="47" t="n">
        <f aca="false">R1896*J1896</f>
        <v>0</v>
      </c>
      <c r="U1896" s="47" t="n">
        <f aca="false">R1896*K1896</f>
        <v>0</v>
      </c>
      <c r="V1896" s="0" t="str">
        <f aca="false">IF(COUNTIFS($A$2:A1896,A1896,$C$2:C1896,C1896,$D$2:D1896,D1896)&gt;1,"중복","")</f>
        <v/>
      </c>
      <c r="W1896" s="0" t="n">
        <f aca="false">IF(V1896="중복",0,N(D1896))</f>
        <v>55</v>
      </c>
      <c r="X1896" s="0" t="n">
        <f aca="false">IF(COUNTIFS($A$2:A1896,A1896,$C$2:C1896,C1896)=1,ABS(SUMIFS(RAW_발주!$D:$D,RAW_발주!$C:$C,A1896,RAW_발주!$A:$A,C1896)-SUMIFS($W:$W,$A:$A,A1896,$C:$C,C1896)),0)</f>
        <v>0</v>
      </c>
    </row>
    <row r="1897" customFormat="false" ht="15" hidden="false" customHeight="true" outlineLevel="0" collapsed="false">
      <c r="A1897" s="45" t="s">
        <v>1660</v>
      </c>
      <c r="B1897" s="42" t="str">
        <f aca="false">IF(A1897="100","HK",IF(A1897="200","CN",IF(A1897="300","TW","홀세일")))</f>
        <v>CN</v>
      </c>
      <c r="C1897" s="45" t="s">
        <v>1214</v>
      </c>
      <c r="D1897" s="46" t="n">
        <v>172</v>
      </c>
      <c r="E1897" s="46"/>
      <c r="F1897" s="46" t="n">
        <v>123800</v>
      </c>
      <c r="G1897" s="42" t="n">
        <v>0</v>
      </c>
      <c r="I1897" s="42" t="n">
        <v>98.6</v>
      </c>
      <c r="J1897" s="46" t="n">
        <f aca="false">IF(N(E1897)&gt;0,E1897,IF(N(F1897)&gt;0,F1897*요약!$F$27,0))</f>
        <v>495200</v>
      </c>
      <c r="K1897" s="46" t="n">
        <f aca="false">IF(N(F1897)&gt;0,F1897,IF(N(E1897)&gt;0,E1897/요약!$F$27,0))</f>
        <v>123800</v>
      </c>
      <c r="L1897" s="46" t="n">
        <f aca="false">IF(B1897="CN",IF(N(I1897)&gt;0,I1897*요약!$G$27,K1897*(1+요약!$E$27)),IF(N(H1897)&gt;0,H1897*요약!$G$27,J1897*요약!$D$27))</f>
        <v>130152</v>
      </c>
      <c r="M1897" s="46" t="n">
        <f aca="false">D1897*J1897</f>
        <v>85174400</v>
      </c>
      <c r="N1897" s="46" t="n">
        <f aca="false">D1897*K1897</f>
        <v>21293600</v>
      </c>
      <c r="O1897" s="46" t="n">
        <f aca="false">D1897*L1897</f>
        <v>22386144</v>
      </c>
      <c r="P1897" s="42" t="str">
        <f aca="false">TRIM(IF(N(E1897)&lt;=0,"택가보정 ","")&amp;IF(N(F1897)&lt;=0,"원가보정 ","")&amp;IF(AND(B1897&lt;&gt;"CN",N(H1897)&lt;=0),"공급가보정 ","")&amp;IF(AND(B1897="CN",N(I1897)&lt;=0),"중국공급가=원가+마진 ",""))</f>
        <v>택가보정</v>
      </c>
      <c r="Q1897" s="47" t="n">
        <f aca="false">IF(SUMIFS($W:$W,$A:$A,A1897,$C:$C,C1897)=0,0,SUMIFS(RAW_판매펀칭!$K:$K,RAW_판매펀칭!$P:$P,A1897,RAW_판매펀칭!$I:$I,C1897)*W1897/SUMIFS($W:$W,$A:$A,A1897,$C:$C,C1897))</f>
        <v>2</v>
      </c>
      <c r="R1897" s="47" t="n">
        <f aca="false">IF(OR(A1897="500",A1897="800",A1897="810"),0,MAX(W1897-Q1897,0))</f>
        <v>170</v>
      </c>
      <c r="S1897" s="47" t="n">
        <f aca="false">R1897*L1897</f>
        <v>22125840</v>
      </c>
      <c r="T1897" s="47" t="n">
        <f aca="false">R1897*J1897</f>
        <v>84184000</v>
      </c>
      <c r="U1897" s="47" t="n">
        <f aca="false">R1897*K1897</f>
        <v>21046000</v>
      </c>
      <c r="V1897" s="0" t="str">
        <f aca="false">IF(COUNTIFS($A$2:A1897,A1897,$C$2:C1897,C1897,$D$2:D1897,D1897)&gt;1,"중복","")</f>
        <v/>
      </c>
      <c r="W1897" s="0" t="n">
        <f aca="false">IF(V1897="중복",0,N(D1897))</f>
        <v>172</v>
      </c>
      <c r="X1897" s="0" t="n">
        <f aca="false">IF(COUNTIFS($A$2:A1897,A1897,$C$2:C1897,C1897)=1,ABS(SUMIFS(RAW_발주!$D:$D,RAW_발주!$C:$C,A1897,RAW_발주!$A:$A,C1897)-SUMIFS($W:$W,$A:$A,A1897,$C:$C,C1897)),0)</f>
        <v>0</v>
      </c>
    </row>
    <row r="1898" customFormat="false" ht="15" hidden="false" customHeight="true" outlineLevel="0" collapsed="false">
      <c r="A1898" s="45" t="s">
        <v>1659</v>
      </c>
      <c r="B1898" s="42" t="str">
        <f aca="false">IF(A1898="100","HK",IF(A1898="200","CN",IF(A1898="300","TW","홀세일")))</f>
        <v>HK</v>
      </c>
      <c r="C1898" s="45" t="s">
        <v>738</v>
      </c>
      <c r="D1898" s="46" t="n">
        <v>250</v>
      </c>
      <c r="E1898" s="46" t="n">
        <v>799000</v>
      </c>
      <c r="F1898" s="46" t="n">
        <v>198615</v>
      </c>
      <c r="G1898" s="42" t="n">
        <v>3.26</v>
      </c>
      <c r="H1898" s="42" t="n">
        <v>200</v>
      </c>
      <c r="I1898" s="42" t="n">
        <v>167.8</v>
      </c>
      <c r="J1898" s="46" t="n">
        <f aca="false">IF(N(E1898)&gt;0,E1898,IF(N(F1898)&gt;0,F1898*요약!$F$27,0))</f>
        <v>799000</v>
      </c>
      <c r="K1898" s="46" t="n">
        <f aca="false">IF(N(F1898)&gt;0,F1898,IF(N(E1898)&gt;0,E1898/요약!$F$27,0))</f>
        <v>198615</v>
      </c>
      <c r="L1898" s="46" t="n">
        <f aca="false">IF(B1898="CN",IF(N(I1898)&gt;0,I1898*요약!$G$27,K1898*(1+요약!$E$27)),IF(N(H1898)&gt;0,H1898*요약!$G$27,J1898*요약!$D$27))</f>
        <v>264000</v>
      </c>
      <c r="M1898" s="46" t="n">
        <f aca="false">D1898*J1898</f>
        <v>199750000</v>
      </c>
      <c r="N1898" s="46" t="n">
        <f aca="false">D1898*K1898</f>
        <v>49653750</v>
      </c>
      <c r="O1898" s="46" t="n">
        <f aca="false">D1898*L1898</f>
        <v>66000000</v>
      </c>
      <c r="P1898" s="42" t="str">
        <f aca="false">TRIM(IF(N(E1898)&lt;=0,"택가보정 ","")&amp;IF(N(F1898)&lt;=0,"원가보정 ","")&amp;IF(AND(B1898&lt;&gt;"CN",N(H1898)&lt;=0),"공급가보정 ","")&amp;IF(AND(B1898="CN",N(I1898)&lt;=0),"중국공급가=원가+마진 ",""))</f>
        <v/>
      </c>
      <c r="Q1898" s="47" t="n">
        <f aca="false">IF(SUMIFS($W:$W,$A:$A,A1898,$C:$C,C1898)=0,0,SUMIFS(RAW_판매펀칭!$K:$K,RAW_판매펀칭!$P:$P,A1898,RAW_판매펀칭!$I:$I,C1898)*W1898/SUMIFS($W:$W,$A:$A,A1898,$C:$C,C1898))</f>
        <v>246</v>
      </c>
      <c r="R1898" s="47" t="n">
        <f aca="false">IF(OR(A1898="500",A1898="800",A1898="810"),0,MAX(W1898-Q1898,0))</f>
        <v>4</v>
      </c>
      <c r="S1898" s="47" t="n">
        <f aca="false">R1898*L1898</f>
        <v>1056000</v>
      </c>
      <c r="T1898" s="47" t="n">
        <f aca="false">R1898*J1898</f>
        <v>3196000</v>
      </c>
      <c r="U1898" s="47" t="n">
        <f aca="false">R1898*K1898</f>
        <v>794460</v>
      </c>
      <c r="V1898" s="0" t="str">
        <f aca="false">IF(COUNTIFS($A$2:A1898,A1898,$C$2:C1898,C1898,$D$2:D1898,D1898)&gt;1,"중복","")</f>
        <v/>
      </c>
      <c r="W1898" s="0" t="n">
        <f aca="false">IF(V1898="중복",0,N(D1898))</f>
        <v>250</v>
      </c>
      <c r="X1898" s="0" t="n">
        <f aca="false">IF(COUNTIFS($A$2:A1898,A1898,$C$2:C1898,C1898)=1,ABS(SUMIFS(RAW_발주!$D:$D,RAW_발주!$C:$C,A1898,RAW_발주!$A:$A,C1898)-SUMIFS($W:$W,$A:$A,A1898,$C:$C,C1898)),0)</f>
        <v>0</v>
      </c>
    </row>
    <row r="1899" customFormat="false" ht="15" hidden="false" customHeight="true" outlineLevel="0" collapsed="false">
      <c r="A1899" s="45" t="s">
        <v>1660</v>
      </c>
      <c r="B1899" s="42" t="str">
        <f aca="false">IF(A1899="100","HK",IF(A1899="200","CN",IF(A1899="300","TW","홀세일")))</f>
        <v>CN</v>
      </c>
      <c r="C1899" s="45" t="s">
        <v>738</v>
      </c>
      <c r="D1899" s="46" t="n">
        <v>601</v>
      </c>
      <c r="E1899" s="46" t="n">
        <v>799000</v>
      </c>
      <c r="F1899" s="46" t="n">
        <v>198615</v>
      </c>
      <c r="G1899" s="42" t="n">
        <v>3.26</v>
      </c>
      <c r="H1899" s="42" t="n">
        <v>200</v>
      </c>
      <c r="I1899" s="42" t="n">
        <v>167.8</v>
      </c>
      <c r="J1899" s="46" t="n">
        <f aca="false">IF(N(E1899)&gt;0,E1899,IF(N(F1899)&gt;0,F1899*요약!$F$27,0))</f>
        <v>799000</v>
      </c>
      <c r="K1899" s="46" t="n">
        <f aca="false">IF(N(F1899)&gt;0,F1899,IF(N(E1899)&gt;0,E1899/요약!$F$27,0))</f>
        <v>198615</v>
      </c>
      <c r="L1899" s="46" t="n">
        <f aca="false">IF(B1899="CN",IF(N(I1899)&gt;0,I1899*요약!$G$27,K1899*(1+요약!$E$27)),IF(N(H1899)&gt;0,H1899*요약!$G$27,J1899*요약!$D$27))</f>
        <v>221496</v>
      </c>
      <c r="M1899" s="46" t="n">
        <f aca="false">D1899*J1899</f>
        <v>480199000</v>
      </c>
      <c r="N1899" s="46" t="n">
        <f aca="false">D1899*K1899</f>
        <v>119367615</v>
      </c>
      <c r="O1899" s="46" t="n">
        <f aca="false">D1899*L1899</f>
        <v>133119096</v>
      </c>
      <c r="P1899" s="42" t="str">
        <f aca="false">TRIM(IF(N(E1899)&lt;=0,"택가보정 ","")&amp;IF(N(F1899)&lt;=0,"원가보정 ","")&amp;IF(AND(B1899&lt;&gt;"CN",N(H1899)&lt;=0),"공급가보정 ","")&amp;IF(AND(B1899="CN",N(I1899)&lt;=0),"중국공급가=원가+마진 ",""))</f>
        <v/>
      </c>
      <c r="Q1899" s="47" t="n">
        <f aca="false">IF(SUMIFS($W:$W,$A:$A,A1899,$C:$C,C1899)=0,0,SUMIFS(RAW_판매펀칭!$K:$K,RAW_판매펀칭!$P:$P,A1899,RAW_판매펀칭!$I:$I,C1899)*W1899/SUMIFS($W:$W,$A:$A,A1899,$C:$C,C1899))</f>
        <v>600</v>
      </c>
      <c r="R1899" s="47" t="n">
        <f aca="false">IF(OR(A1899="500",A1899="800",A1899="810"),0,MAX(W1899-Q1899,0))</f>
        <v>1</v>
      </c>
      <c r="S1899" s="47" t="n">
        <f aca="false">R1899*L1899</f>
        <v>221496</v>
      </c>
      <c r="T1899" s="47" t="n">
        <f aca="false">R1899*J1899</f>
        <v>799000</v>
      </c>
      <c r="U1899" s="47" t="n">
        <f aca="false">R1899*K1899</f>
        <v>198615</v>
      </c>
      <c r="V1899" s="0" t="str">
        <f aca="false">IF(COUNTIFS($A$2:A1899,A1899,$C$2:C1899,C1899,$D$2:D1899,D1899)&gt;1,"중복","")</f>
        <v/>
      </c>
      <c r="W1899" s="0" t="n">
        <f aca="false">IF(V1899="중복",0,N(D1899))</f>
        <v>601</v>
      </c>
      <c r="X1899" s="0" t="n">
        <f aca="false">IF(COUNTIFS($A$2:A1899,A1899,$C$2:C1899,C1899)=1,ABS(SUMIFS(RAW_발주!$D:$D,RAW_발주!$C:$C,A1899,RAW_발주!$A:$A,C1899)-SUMIFS($W:$W,$A:$A,A1899,$C:$C,C1899)),0)</f>
        <v>0</v>
      </c>
    </row>
    <row r="1900" customFormat="false" ht="15" hidden="false" customHeight="true" outlineLevel="0" collapsed="false">
      <c r="A1900" s="45" t="s">
        <v>1660</v>
      </c>
      <c r="B1900" s="42" t="str">
        <f aca="false">IF(A1900="100","HK",IF(A1900="200","CN",IF(A1900="300","TW","홀세일")))</f>
        <v>CN</v>
      </c>
      <c r="C1900" s="45" t="s">
        <v>738</v>
      </c>
      <c r="D1900" s="46" t="n">
        <v>601</v>
      </c>
      <c r="E1900" s="46" t="n">
        <v>799000</v>
      </c>
      <c r="F1900" s="46" t="n">
        <v>198615</v>
      </c>
      <c r="G1900" s="42" t="n">
        <v>3.26</v>
      </c>
      <c r="H1900" s="42" t="n">
        <v>200</v>
      </c>
      <c r="I1900" s="42" t="n">
        <v>167.8</v>
      </c>
      <c r="J1900" s="46" t="n">
        <f aca="false">IF(N(E1900)&gt;0,E1900,IF(N(F1900)&gt;0,F1900*요약!$F$27,0))</f>
        <v>799000</v>
      </c>
      <c r="K1900" s="46" t="n">
        <f aca="false">IF(N(F1900)&gt;0,F1900,IF(N(E1900)&gt;0,E1900/요약!$F$27,0))</f>
        <v>198615</v>
      </c>
      <c r="L1900" s="46" t="n">
        <f aca="false">IF(B1900="CN",IF(N(I1900)&gt;0,I1900*요약!$G$27,K1900*(1+요약!$E$27)),IF(N(H1900)&gt;0,H1900*요약!$G$27,J1900*요약!$D$27))</f>
        <v>221496</v>
      </c>
      <c r="M1900" s="46" t="n">
        <f aca="false">D1900*J1900</f>
        <v>480199000</v>
      </c>
      <c r="N1900" s="46" t="n">
        <f aca="false">D1900*K1900</f>
        <v>119367615</v>
      </c>
      <c r="O1900" s="46" t="n">
        <f aca="false">D1900*L1900</f>
        <v>133119096</v>
      </c>
      <c r="P1900" s="42" t="str">
        <f aca="false">TRIM(IF(N(E1900)&lt;=0,"택가보정 ","")&amp;IF(N(F1900)&lt;=0,"원가보정 ","")&amp;IF(AND(B1900&lt;&gt;"CN",N(H1900)&lt;=0),"공급가보정 ","")&amp;IF(AND(B1900="CN",N(I1900)&lt;=0),"중국공급가=원가+마진 ",""))</f>
        <v/>
      </c>
      <c r="Q1900" s="47" t="n">
        <f aca="false">IF(SUMIFS($W:$W,$A:$A,A1900,$C:$C,C1900)=0,0,SUMIFS(RAW_판매펀칭!$K:$K,RAW_판매펀칭!$P:$P,A1900,RAW_판매펀칭!$I:$I,C1900)*W1900/SUMIFS($W:$W,$A:$A,A1900,$C:$C,C1900))</f>
        <v>0</v>
      </c>
      <c r="R1900" s="47" t="n">
        <f aca="false">IF(OR(A1900="500",A1900="800",A1900="810"),0,MAX(W1900-Q1900,0))</f>
        <v>0</v>
      </c>
      <c r="S1900" s="47" t="n">
        <f aca="false">R1900*L1900</f>
        <v>0</v>
      </c>
      <c r="T1900" s="47" t="n">
        <f aca="false">R1900*J1900</f>
        <v>0</v>
      </c>
      <c r="U1900" s="47" t="n">
        <f aca="false">R1900*K1900</f>
        <v>0</v>
      </c>
      <c r="V1900" s="0" t="str">
        <f aca="false">IF(COUNTIFS($A$2:A1900,A1900,$C$2:C1900,C1900,$D$2:D1900,D1900)&gt;1,"중복","")</f>
        <v>중복</v>
      </c>
      <c r="W1900" s="0" t="n">
        <f aca="false">IF(V1900="중복",0,N(D1900))</f>
        <v>0</v>
      </c>
      <c r="X1900" s="0" t="n">
        <f aca="false">IF(COUNTIFS($A$2:A1900,A1900,$C$2:C1900,C1900)=1,ABS(SUMIFS(RAW_발주!$D:$D,RAW_발주!$C:$C,A1900,RAW_발주!$A:$A,C1900)-SUMIFS($W:$W,$A:$A,A1900,$C:$C,C1900)),0)</f>
        <v>0</v>
      </c>
    </row>
    <row r="1901" customFormat="false" ht="15" hidden="false" customHeight="true" outlineLevel="0" collapsed="false">
      <c r="A1901" s="45" t="s">
        <v>1661</v>
      </c>
      <c r="B1901" s="42" t="str">
        <f aca="false">IF(A1901="100","HK",IF(A1901="200","CN",IF(A1901="300","TW","홀세일")))</f>
        <v>TW</v>
      </c>
      <c r="C1901" s="45" t="s">
        <v>738</v>
      </c>
      <c r="D1901" s="46" t="n">
        <v>355</v>
      </c>
      <c r="E1901" s="46" t="n">
        <v>799000</v>
      </c>
      <c r="F1901" s="46" t="n">
        <v>198615</v>
      </c>
      <c r="G1901" s="42" t="n">
        <v>3.26</v>
      </c>
      <c r="H1901" s="42" t="n">
        <v>200</v>
      </c>
      <c r="I1901" s="42" t="n">
        <v>167.8</v>
      </c>
      <c r="J1901" s="46" t="n">
        <f aca="false">IF(N(E1901)&gt;0,E1901,IF(N(F1901)&gt;0,F1901*요약!$F$27,0))</f>
        <v>799000</v>
      </c>
      <c r="K1901" s="46" t="n">
        <f aca="false">IF(N(F1901)&gt;0,F1901,IF(N(E1901)&gt;0,E1901/요약!$F$27,0))</f>
        <v>198615</v>
      </c>
      <c r="L1901" s="46" t="n">
        <f aca="false">IF(B1901="CN",IF(N(I1901)&gt;0,I1901*요약!$G$27,K1901*(1+요약!$E$27)),IF(N(H1901)&gt;0,H1901*요약!$G$27,J1901*요약!$D$27))</f>
        <v>264000</v>
      </c>
      <c r="M1901" s="46" t="n">
        <f aca="false">D1901*J1901</f>
        <v>283645000</v>
      </c>
      <c r="N1901" s="46" t="n">
        <f aca="false">D1901*K1901</f>
        <v>70508325</v>
      </c>
      <c r="O1901" s="46" t="n">
        <f aca="false">D1901*L1901</f>
        <v>93720000</v>
      </c>
      <c r="P1901" s="42" t="str">
        <f aca="false">TRIM(IF(N(E1901)&lt;=0,"택가보정 ","")&amp;IF(N(F1901)&lt;=0,"원가보정 ","")&amp;IF(AND(B1901&lt;&gt;"CN",N(H1901)&lt;=0),"공급가보정 ","")&amp;IF(AND(B1901="CN",N(I1901)&lt;=0),"중국공급가=원가+마진 ",""))</f>
        <v/>
      </c>
      <c r="Q1901" s="47" t="n">
        <f aca="false">IF(SUMIFS($W:$W,$A:$A,A1901,$C:$C,C1901)=0,0,SUMIFS(RAW_판매펀칭!$K:$K,RAW_판매펀칭!$P:$P,A1901,RAW_판매펀칭!$I:$I,C1901)*W1901/SUMIFS($W:$W,$A:$A,A1901,$C:$C,C1901))</f>
        <v>304</v>
      </c>
      <c r="R1901" s="47" t="n">
        <f aca="false">IF(OR(A1901="500",A1901="800",A1901="810"),0,MAX(W1901-Q1901,0))</f>
        <v>51</v>
      </c>
      <c r="S1901" s="47" t="n">
        <f aca="false">R1901*L1901</f>
        <v>13464000</v>
      </c>
      <c r="T1901" s="47" t="n">
        <f aca="false">R1901*J1901</f>
        <v>40749000</v>
      </c>
      <c r="U1901" s="47" t="n">
        <f aca="false">R1901*K1901</f>
        <v>10129365</v>
      </c>
      <c r="V1901" s="0" t="str">
        <f aca="false">IF(COUNTIFS($A$2:A1901,A1901,$C$2:C1901,C1901,$D$2:D1901,D1901)&gt;1,"중복","")</f>
        <v/>
      </c>
      <c r="W1901" s="0" t="n">
        <f aca="false">IF(V1901="중복",0,N(D1901))</f>
        <v>355</v>
      </c>
      <c r="X1901" s="0" t="n">
        <f aca="false">IF(COUNTIFS($A$2:A1901,A1901,$C$2:C1901,C1901)=1,ABS(SUMIFS(RAW_발주!$D:$D,RAW_발주!$C:$C,A1901,RAW_발주!$A:$A,C1901)-SUMIFS($W:$W,$A:$A,A1901,$C:$C,C1901)),0)</f>
        <v>0</v>
      </c>
    </row>
    <row r="1902" customFormat="false" ht="15" hidden="false" customHeight="true" outlineLevel="0" collapsed="false">
      <c r="A1902" s="45" t="s">
        <v>1661</v>
      </c>
      <c r="B1902" s="42" t="str">
        <f aca="false">IF(A1902="100","HK",IF(A1902="200","CN",IF(A1902="300","TW","홀세일")))</f>
        <v>TW</v>
      </c>
      <c r="C1902" s="45" t="s">
        <v>738</v>
      </c>
      <c r="D1902" s="46" t="n">
        <v>355</v>
      </c>
      <c r="E1902" s="46" t="n">
        <v>799000</v>
      </c>
      <c r="F1902" s="46" t="n">
        <v>198615</v>
      </c>
      <c r="G1902" s="42" t="n">
        <v>3.26</v>
      </c>
      <c r="H1902" s="42" t="n">
        <v>200</v>
      </c>
      <c r="I1902" s="42" t="n">
        <v>167.8</v>
      </c>
      <c r="J1902" s="46" t="n">
        <f aca="false">IF(N(E1902)&gt;0,E1902,IF(N(F1902)&gt;0,F1902*요약!$F$27,0))</f>
        <v>799000</v>
      </c>
      <c r="K1902" s="46" t="n">
        <f aca="false">IF(N(F1902)&gt;0,F1902,IF(N(E1902)&gt;0,E1902/요약!$F$27,0))</f>
        <v>198615</v>
      </c>
      <c r="L1902" s="46" t="n">
        <f aca="false">IF(B1902="CN",IF(N(I1902)&gt;0,I1902*요약!$G$27,K1902*(1+요약!$E$27)),IF(N(H1902)&gt;0,H1902*요약!$G$27,J1902*요약!$D$27))</f>
        <v>264000</v>
      </c>
      <c r="M1902" s="46" t="n">
        <f aca="false">D1902*J1902</f>
        <v>283645000</v>
      </c>
      <c r="N1902" s="46" t="n">
        <f aca="false">D1902*K1902</f>
        <v>70508325</v>
      </c>
      <c r="O1902" s="46" t="n">
        <f aca="false">D1902*L1902</f>
        <v>93720000</v>
      </c>
      <c r="P1902" s="42" t="str">
        <f aca="false">TRIM(IF(N(E1902)&lt;=0,"택가보정 ","")&amp;IF(N(F1902)&lt;=0,"원가보정 ","")&amp;IF(AND(B1902&lt;&gt;"CN",N(H1902)&lt;=0),"공급가보정 ","")&amp;IF(AND(B1902="CN",N(I1902)&lt;=0),"중국공급가=원가+마진 ",""))</f>
        <v/>
      </c>
      <c r="Q1902" s="47" t="n">
        <f aca="false">IF(SUMIFS($W:$W,$A:$A,A1902,$C:$C,C1902)=0,0,SUMIFS(RAW_판매펀칭!$K:$K,RAW_판매펀칭!$P:$P,A1902,RAW_판매펀칭!$I:$I,C1902)*W1902/SUMIFS($W:$W,$A:$A,A1902,$C:$C,C1902))</f>
        <v>0</v>
      </c>
      <c r="R1902" s="47" t="n">
        <f aca="false">IF(OR(A1902="500",A1902="800",A1902="810"),0,MAX(W1902-Q1902,0))</f>
        <v>0</v>
      </c>
      <c r="S1902" s="47" t="n">
        <f aca="false">R1902*L1902</f>
        <v>0</v>
      </c>
      <c r="T1902" s="47" t="n">
        <f aca="false">R1902*J1902</f>
        <v>0</v>
      </c>
      <c r="U1902" s="47" t="n">
        <f aca="false">R1902*K1902</f>
        <v>0</v>
      </c>
      <c r="V1902" s="0" t="str">
        <f aca="false">IF(COUNTIFS($A$2:A1902,A1902,$C$2:C1902,C1902,$D$2:D1902,D1902)&gt;1,"중복","")</f>
        <v>중복</v>
      </c>
      <c r="W1902" s="0" t="n">
        <f aca="false">IF(V1902="중복",0,N(D1902))</f>
        <v>0</v>
      </c>
      <c r="X1902" s="0" t="n">
        <f aca="false">IF(COUNTIFS($A$2:A1902,A1902,$C$2:C1902,C1902)=1,ABS(SUMIFS(RAW_발주!$D:$D,RAW_발주!$C:$C,A1902,RAW_발주!$A:$A,C1902)-SUMIFS($W:$W,$A:$A,A1902,$C:$C,C1902)),0)</f>
        <v>0</v>
      </c>
    </row>
    <row r="1903" customFormat="false" ht="15" hidden="false" customHeight="true" outlineLevel="0" collapsed="false">
      <c r="A1903" s="45" t="s">
        <v>1663</v>
      </c>
      <c r="B1903" s="42" t="str">
        <f aca="false">IF(A1903="100","HK",IF(A1903="200","CN",IF(A1903="300","TW","홀세일")))</f>
        <v>홀세일</v>
      </c>
      <c r="C1903" s="45" t="s">
        <v>738</v>
      </c>
      <c r="D1903" s="46" t="n">
        <v>20</v>
      </c>
      <c r="E1903" s="46" t="n">
        <v>799000</v>
      </c>
      <c r="F1903" s="46" t="n">
        <v>198615</v>
      </c>
      <c r="G1903" s="42" t="n">
        <v>3.26</v>
      </c>
      <c r="H1903" s="42" t="n">
        <v>200</v>
      </c>
      <c r="I1903" s="42" t="n">
        <v>167.8</v>
      </c>
      <c r="J1903" s="46" t="n">
        <f aca="false">IF(N(E1903)&gt;0,E1903,IF(N(F1903)&gt;0,F1903*요약!$F$27,0))</f>
        <v>799000</v>
      </c>
      <c r="K1903" s="46" t="n">
        <f aca="false">IF(N(F1903)&gt;0,F1903,IF(N(E1903)&gt;0,E1903/요약!$F$27,0))</f>
        <v>198615</v>
      </c>
      <c r="L1903" s="46" t="n">
        <f aca="false">IF(B1903="CN",IF(N(I1903)&gt;0,I1903*요약!$G$27,K1903*(1+요약!$E$27)),IF(N(H1903)&gt;0,H1903*요약!$G$27,J1903*요약!$D$27))</f>
        <v>264000</v>
      </c>
      <c r="M1903" s="46" t="n">
        <f aca="false">D1903*J1903</f>
        <v>15980000</v>
      </c>
      <c r="N1903" s="46" t="n">
        <f aca="false">D1903*K1903</f>
        <v>3972300</v>
      </c>
      <c r="O1903" s="46" t="n">
        <f aca="false">D1903*L1903</f>
        <v>5280000</v>
      </c>
      <c r="P1903" s="42" t="str">
        <f aca="false">TRIM(IF(N(E1903)&lt;=0,"택가보정 ","")&amp;IF(N(F1903)&lt;=0,"원가보정 ","")&amp;IF(AND(B1903&lt;&gt;"CN",N(H1903)&lt;=0),"공급가보정 ","")&amp;IF(AND(B1903="CN",N(I1903)&lt;=0),"중국공급가=원가+마진 ",""))</f>
        <v/>
      </c>
      <c r="Q1903" s="47" t="n">
        <f aca="false">IF(SUMIFS($W:$W,$A:$A,A1903,$C:$C,C1903)=0,0,SUMIFS(RAW_판매펀칭!$K:$K,RAW_판매펀칭!$P:$P,A1903,RAW_판매펀칭!$I:$I,C1903)*W1903/SUMIFS($W:$W,$A:$A,A1903,$C:$C,C1903))</f>
        <v>20</v>
      </c>
      <c r="R1903" s="47" t="n">
        <f aca="false">IF(OR(A1903="500",A1903="800",A1903="810"),0,MAX(W1903-Q1903,0))</f>
        <v>0</v>
      </c>
      <c r="S1903" s="47" t="n">
        <f aca="false">R1903*L1903</f>
        <v>0</v>
      </c>
      <c r="T1903" s="47" t="n">
        <f aca="false">R1903*J1903</f>
        <v>0</v>
      </c>
      <c r="U1903" s="47" t="n">
        <f aca="false">R1903*K1903</f>
        <v>0</v>
      </c>
      <c r="V1903" s="0" t="str">
        <f aca="false">IF(COUNTIFS($A$2:A1903,A1903,$C$2:C1903,C1903,$D$2:D1903,D1903)&gt;1,"중복","")</f>
        <v/>
      </c>
      <c r="W1903" s="0" t="n">
        <f aca="false">IF(V1903="중복",0,N(D1903))</f>
        <v>20</v>
      </c>
      <c r="X1903" s="0" t="n">
        <f aca="false">IF(COUNTIFS($A$2:A1903,A1903,$C$2:C1903,C1903)=1,ABS(SUMIFS(RAW_발주!$D:$D,RAW_발주!$C:$C,A1903,RAW_발주!$A:$A,C1903)-SUMIFS($W:$W,$A:$A,A1903,$C:$C,C1903)),0)</f>
        <v>0</v>
      </c>
    </row>
    <row r="1904" customFormat="false" ht="15" hidden="false" customHeight="true" outlineLevel="0" collapsed="false">
      <c r="A1904" s="45" t="s">
        <v>1664</v>
      </c>
      <c r="B1904" s="42" t="str">
        <f aca="false">IF(A1904="100","HK",IF(A1904="200","CN",IF(A1904="300","TW","홀세일")))</f>
        <v>홀세일</v>
      </c>
      <c r="C1904" s="45" t="s">
        <v>738</v>
      </c>
      <c r="D1904" s="46" t="n">
        <v>55</v>
      </c>
      <c r="E1904" s="46" t="n">
        <v>799000</v>
      </c>
      <c r="F1904" s="46" t="n">
        <v>198615</v>
      </c>
      <c r="G1904" s="42" t="n">
        <v>3.26</v>
      </c>
      <c r="H1904" s="42" t="n">
        <v>200</v>
      </c>
      <c r="I1904" s="42" t="n">
        <v>167.8</v>
      </c>
      <c r="J1904" s="46" t="n">
        <f aca="false">IF(N(E1904)&gt;0,E1904,IF(N(F1904)&gt;0,F1904*요약!$F$27,0))</f>
        <v>799000</v>
      </c>
      <c r="K1904" s="46" t="n">
        <f aca="false">IF(N(F1904)&gt;0,F1904,IF(N(E1904)&gt;0,E1904/요약!$F$27,0))</f>
        <v>198615</v>
      </c>
      <c r="L1904" s="46" t="n">
        <f aca="false">IF(B1904="CN",IF(N(I1904)&gt;0,I1904*요약!$G$27,K1904*(1+요약!$E$27)),IF(N(H1904)&gt;0,H1904*요약!$G$27,J1904*요약!$D$27))</f>
        <v>264000</v>
      </c>
      <c r="M1904" s="46" t="n">
        <f aca="false">D1904*J1904</f>
        <v>43945000</v>
      </c>
      <c r="N1904" s="46" t="n">
        <f aca="false">D1904*K1904</f>
        <v>10923825</v>
      </c>
      <c r="O1904" s="46" t="n">
        <f aca="false">D1904*L1904</f>
        <v>14520000</v>
      </c>
      <c r="P1904" s="42" t="str">
        <f aca="false">TRIM(IF(N(E1904)&lt;=0,"택가보정 ","")&amp;IF(N(F1904)&lt;=0,"원가보정 ","")&amp;IF(AND(B1904&lt;&gt;"CN",N(H1904)&lt;=0),"공급가보정 ","")&amp;IF(AND(B1904="CN",N(I1904)&lt;=0),"중국공급가=원가+마진 ",""))</f>
        <v/>
      </c>
      <c r="Q1904" s="47" t="n">
        <f aca="false">IF(SUMIFS($W:$W,$A:$A,A1904,$C:$C,C1904)=0,0,SUMIFS(RAW_판매펀칭!$K:$K,RAW_판매펀칭!$P:$P,A1904,RAW_판매펀칭!$I:$I,C1904)*W1904/SUMIFS($W:$W,$A:$A,A1904,$C:$C,C1904))</f>
        <v>0</v>
      </c>
      <c r="R1904" s="47" t="n">
        <f aca="false">IF(OR(A1904="500",A1904="800",A1904="810"),0,MAX(W1904-Q1904,0))</f>
        <v>0</v>
      </c>
      <c r="S1904" s="47" t="n">
        <f aca="false">R1904*L1904</f>
        <v>0</v>
      </c>
      <c r="T1904" s="47" t="n">
        <f aca="false">R1904*J1904</f>
        <v>0</v>
      </c>
      <c r="U1904" s="47" t="n">
        <f aca="false">R1904*K1904</f>
        <v>0</v>
      </c>
      <c r="V1904" s="0" t="str">
        <f aca="false">IF(COUNTIFS($A$2:A1904,A1904,$C$2:C1904,C1904,$D$2:D1904,D1904)&gt;1,"중복","")</f>
        <v/>
      </c>
      <c r="W1904" s="0" t="n">
        <f aca="false">IF(V1904="중복",0,N(D1904))</f>
        <v>55</v>
      </c>
      <c r="X1904" s="0" t="n">
        <f aca="false">IF(COUNTIFS($A$2:A1904,A1904,$C$2:C1904,C1904)=1,ABS(SUMIFS(RAW_발주!$D:$D,RAW_발주!$C:$C,A1904,RAW_발주!$A:$A,C1904)-SUMIFS($W:$W,$A:$A,A1904,$C:$C,C1904)),0)</f>
        <v>0</v>
      </c>
    </row>
    <row r="1905" customFormat="false" ht="15" hidden="false" customHeight="true" outlineLevel="0" collapsed="false">
      <c r="A1905" s="45" t="s">
        <v>1659</v>
      </c>
      <c r="B1905" s="42" t="str">
        <f aca="false">IF(A1905="100","HK",IF(A1905="200","CN",IF(A1905="300","TW","홀세일")))</f>
        <v>HK</v>
      </c>
      <c r="C1905" s="45" t="s">
        <v>740</v>
      </c>
      <c r="D1905" s="46" t="n">
        <v>400</v>
      </c>
      <c r="E1905" s="46" t="n">
        <v>299000</v>
      </c>
      <c r="F1905" s="46" t="n">
        <v>94700</v>
      </c>
      <c r="G1905" s="42" t="n">
        <v>3.21</v>
      </c>
      <c r="H1905" s="42" t="n">
        <v>74.9</v>
      </c>
      <c r="I1905" s="42" t="n">
        <v>0</v>
      </c>
      <c r="J1905" s="46" t="n">
        <f aca="false">IF(N(E1905)&gt;0,E1905,IF(N(F1905)&gt;0,F1905*요약!$F$27,0))</f>
        <v>299000</v>
      </c>
      <c r="K1905" s="46" t="n">
        <f aca="false">IF(N(F1905)&gt;0,F1905,IF(N(E1905)&gt;0,E1905/요약!$F$27,0))</f>
        <v>94700</v>
      </c>
      <c r="L1905" s="46" t="n">
        <f aca="false">IF(B1905="CN",IF(N(I1905)&gt;0,I1905*요약!$G$27,K1905*(1+요약!$E$27)),IF(N(H1905)&gt;0,H1905*요약!$G$27,J1905*요약!$D$27))</f>
        <v>98868</v>
      </c>
      <c r="M1905" s="46" t="n">
        <f aca="false">D1905*J1905</f>
        <v>119600000</v>
      </c>
      <c r="N1905" s="46" t="n">
        <f aca="false">D1905*K1905</f>
        <v>37880000</v>
      </c>
      <c r="O1905" s="46" t="n">
        <f aca="false">D1905*L1905</f>
        <v>39547200</v>
      </c>
      <c r="P1905" s="42" t="str">
        <f aca="false">TRIM(IF(N(E1905)&lt;=0,"택가보정 ","")&amp;IF(N(F1905)&lt;=0,"원가보정 ","")&amp;IF(AND(B1905&lt;&gt;"CN",N(H1905)&lt;=0),"공급가보정 ","")&amp;IF(AND(B1905="CN",N(I1905)&lt;=0),"중국공급가=원가+마진 ",""))</f>
        <v/>
      </c>
      <c r="Q1905" s="47" t="n">
        <f aca="false">IF(SUMIFS($W:$W,$A:$A,A1905,$C:$C,C1905)=0,0,SUMIFS(RAW_판매펀칭!$K:$K,RAW_판매펀칭!$P:$P,A1905,RAW_판매펀칭!$I:$I,C1905)*W1905/SUMIFS($W:$W,$A:$A,A1905,$C:$C,C1905))</f>
        <v>385</v>
      </c>
      <c r="R1905" s="47" t="n">
        <f aca="false">IF(OR(A1905="500",A1905="800",A1905="810"),0,MAX(W1905-Q1905,0))</f>
        <v>15</v>
      </c>
      <c r="S1905" s="47" t="n">
        <f aca="false">R1905*L1905</f>
        <v>1483020</v>
      </c>
      <c r="T1905" s="47" t="n">
        <f aca="false">R1905*J1905</f>
        <v>4485000</v>
      </c>
      <c r="U1905" s="47" t="n">
        <f aca="false">R1905*K1905</f>
        <v>1420500</v>
      </c>
      <c r="V1905" s="0" t="str">
        <f aca="false">IF(COUNTIFS($A$2:A1905,A1905,$C$2:C1905,C1905,$D$2:D1905,D1905)&gt;1,"중복","")</f>
        <v/>
      </c>
      <c r="W1905" s="0" t="n">
        <f aca="false">IF(V1905="중복",0,N(D1905))</f>
        <v>400</v>
      </c>
      <c r="X1905" s="0" t="n">
        <f aca="false">IF(COUNTIFS($A$2:A1905,A1905,$C$2:C1905,C1905)=1,ABS(SUMIFS(RAW_발주!$D:$D,RAW_발주!$C:$C,A1905,RAW_발주!$A:$A,C1905)-SUMIFS($W:$W,$A:$A,A1905,$C:$C,C1905)),0)</f>
        <v>0</v>
      </c>
    </row>
    <row r="1906" customFormat="false" ht="15" hidden="false" customHeight="true" outlineLevel="0" collapsed="false">
      <c r="A1906" s="45" t="s">
        <v>1661</v>
      </c>
      <c r="B1906" s="42" t="str">
        <f aca="false">IF(A1906="100","HK",IF(A1906="200","CN",IF(A1906="300","TW","홀세일")))</f>
        <v>TW</v>
      </c>
      <c r="C1906" s="45" t="s">
        <v>740</v>
      </c>
      <c r="D1906" s="46" t="n">
        <v>250</v>
      </c>
      <c r="E1906" s="46" t="n">
        <v>299000</v>
      </c>
      <c r="F1906" s="46" t="n">
        <v>94700</v>
      </c>
      <c r="G1906" s="42" t="n">
        <v>3.21</v>
      </c>
      <c r="H1906" s="42" t="n">
        <v>74.9</v>
      </c>
      <c r="I1906" s="42" t="n">
        <v>0</v>
      </c>
      <c r="J1906" s="46" t="n">
        <f aca="false">IF(N(E1906)&gt;0,E1906,IF(N(F1906)&gt;0,F1906*요약!$F$27,0))</f>
        <v>299000</v>
      </c>
      <c r="K1906" s="46" t="n">
        <f aca="false">IF(N(F1906)&gt;0,F1906,IF(N(E1906)&gt;0,E1906/요약!$F$27,0))</f>
        <v>94700</v>
      </c>
      <c r="L1906" s="46" t="n">
        <f aca="false">IF(B1906="CN",IF(N(I1906)&gt;0,I1906*요약!$G$27,K1906*(1+요약!$E$27)),IF(N(H1906)&gt;0,H1906*요약!$G$27,J1906*요약!$D$27))</f>
        <v>98868</v>
      </c>
      <c r="M1906" s="46" t="n">
        <f aca="false">D1906*J1906</f>
        <v>74750000</v>
      </c>
      <c r="N1906" s="46" t="n">
        <f aca="false">D1906*K1906</f>
        <v>23675000</v>
      </c>
      <c r="O1906" s="46" t="n">
        <f aca="false">D1906*L1906</f>
        <v>24717000</v>
      </c>
      <c r="P1906" s="42" t="str">
        <f aca="false">TRIM(IF(N(E1906)&lt;=0,"택가보정 ","")&amp;IF(N(F1906)&lt;=0,"원가보정 ","")&amp;IF(AND(B1906&lt;&gt;"CN",N(H1906)&lt;=0),"공급가보정 ","")&amp;IF(AND(B1906="CN",N(I1906)&lt;=0),"중국공급가=원가+마진 ",""))</f>
        <v/>
      </c>
      <c r="Q1906" s="47" t="n">
        <f aca="false">IF(SUMIFS($W:$W,$A:$A,A1906,$C:$C,C1906)=0,0,SUMIFS(RAW_판매펀칭!$K:$K,RAW_판매펀칭!$P:$P,A1906,RAW_판매펀칭!$I:$I,C1906)*W1906/SUMIFS($W:$W,$A:$A,A1906,$C:$C,C1906))</f>
        <v>250</v>
      </c>
      <c r="R1906" s="47" t="n">
        <f aca="false">IF(OR(A1906="500",A1906="800",A1906="810"),0,MAX(W1906-Q1906,0))</f>
        <v>0</v>
      </c>
      <c r="S1906" s="47" t="n">
        <f aca="false">R1906*L1906</f>
        <v>0</v>
      </c>
      <c r="T1906" s="47" t="n">
        <f aca="false">R1906*J1906</f>
        <v>0</v>
      </c>
      <c r="U1906" s="47" t="n">
        <f aca="false">R1906*K1906</f>
        <v>0</v>
      </c>
      <c r="V1906" s="0" t="str">
        <f aca="false">IF(COUNTIFS($A$2:A1906,A1906,$C$2:C1906,C1906,$D$2:D1906,D1906)&gt;1,"중복","")</f>
        <v/>
      </c>
      <c r="W1906" s="0" t="n">
        <f aca="false">IF(V1906="중복",0,N(D1906))</f>
        <v>250</v>
      </c>
      <c r="X1906" s="0" t="n">
        <f aca="false">IF(COUNTIFS($A$2:A1906,A1906,$C$2:C1906,C1906)=1,ABS(SUMIFS(RAW_발주!$D:$D,RAW_발주!$C:$C,A1906,RAW_발주!$A:$A,C1906)-SUMIFS($W:$W,$A:$A,A1906,$C:$C,C1906)),0)</f>
        <v>0</v>
      </c>
    </row>
    <row r="1907" customFormat="false" ht="15" hidden="false" customHeight="true" outlineLevel="0" collapsed="false">
      <c r="A1907" s="45" t="s">
        <v>1663</v>
      </c>
      <c r="B1907" s="42" t="str">
        <f aca="false">IF(A1907="100","HK",IF(A1907="200","CN",IF(A1907="300","TW","홀세일")))</f>
        <v>홀세일</v>
      </c>
      <c r="C1907" s="45" t="s">
        <v>740</v>
      </c>
      <c r="D1907" s="46" t="n">
        <v>15</v>
      </c>
      <c r="E1907" s="46" t="n">
        <v>299000</v>
      </c>
      <c r="F1907" s="46" t="n">
        <v>94700</v>
      </c>
      <c r="G1907" s="42" t="n">
        <v>3.21</v>
      </c>
      <c r="H1907" s="42" t="n">
        <v>74.9</v>
      </c>
      <c r="I1907" s="42" t="n">
        <v>0</v>
      </c>
      <c r="J1907" s="46" t="n">
        <f aca="false">IF(N(E1907)&gt;0,E1907,IF(N(F1907)&gt;0,F1907*요약!$F$27,0))</f>
        <v>299000</v>
      </c>
      <c r="K1907" s="46" t="n">
        <f aca="false">IF(N(F1907)&gt;0,F1907,IF(N(E1907)&gt;0,E1907/요약!$F$27,0))</f>
        <v>94700</v>
      </c>
      <c r="L1907" s="46" t="n">
        <f aca="false">IF(B1907="CN",IF(N(I1907)&gt;0,I1907*요약!$G$27,K1907*(1+요약!$E$27)),IF(N(H1907)&gt;0,H1907*요약!$G$27,J1907*요약!$D$27))</f>
        <v>98868</v>
      </c>
      <c r="M1907" s="46" t="n">
        <f aca="false">D1907*J1907</f>
        <v>4485000</v>
      </c>
      <c r="N1907" s="46" t="n">
        <f aca="false">D1907*K1907</f>
        <v>1420500</v>
      </c>
      <c r="O1907" s="46" t="n">
        <f aca="false">D1907*L1907</f>
        <v>1483020</v>
      </c>
      <c r="P1907" s="42" t="str">
        <f aca="false">TRIM(IF(N(E1907)&lt;=0,"택가보정 ","")&amp;IF(N(F1907)&lt;=0,"원가보정 ","")&amp;IF(AND(B1907&lt;&gt;"CN",N(H1907)&lt;=0),"공급가보정 ","")&amp;IF(AND(B1907="CN",N(I1907)&lt;=0),"중국공급가=원가+마진 ",""))</f>
        <v/>
      </c>
      <c r="Q1907" s="47" t="n">
        <f aca="false">IF(SUMIFS($W:$W,$A:$A,A1907,$C:$C,C1907)=0,0,SUMIFS(RAW_판매펀칭!$K:$K,RAW_판매펀칭!$P:$P,A1907,RAW_판매펀칭!$I:$I,C1907)*W1907/SUMIFS($W:$W,$A:$A,A1907,$C:$C,C1907))</f>
        <v>15</v>
      </c>
      <c r="R1907" s="47" t="n">
        <f aca="false">IF(OR(A1907="500",A1907="800",A1907="810"),0,MAX(W1907-Q1907,0))</f>
        <v>0</v>
      </c>
      <c r="S1907" s="47" t="n">
        <f aca="false">R1907*L1907</f>
        <v>0</v>
      </c>
      <c r="T1907" s="47" t="n">
        <f aca="false">R1907*J1907</f>
        <v>0</v>
      </c>
      <c r="U1907" s="47" t="n">
        <f aca="false">R1907*K1907</f>
        <v>0</v>
      </c>
      <c r="V1907" s="0" t="str">
        <f aca="false">IF(COUNTIFS($A$2:A1907,A1907,$C$2:C1907,C1907,$D$2:D1907,D1907)&gt;1,"중복","")</f>
        <v/>
      </c>
      <c r="W1907" s="0" t="n">
        <f aca="false">IF(V1907="중복",0,N(D1907))</f>
        <v>15</v>
      </c>
      <c r="X1907" s="0" t="n">
        <f aca="false">IF(COUNTIFS($A$2:A1907,A1907,$C$2:C1907,C1907)=1,ABS(SUMIFS(RAW_발주!$D:$D,RAW_발주!$C:$C,A1907,RAW_발주!$A:$A,C1907)-SUMIFS($W:$W,$A:$A,A1907,$C:$C,C1907)),0)</f>
        <v>0</v>
      </c>
    </row>
    <row r="1908" customFormat="false" ht="15" hidden="false" customHeight="true" outlineLevel="0" collapsed="false">
      <c r="A1908" s="45" t="s">
        <v>1660</v>
      </c>
      <c r="B1908" s="42" t="str">
        <f aca="false">IF(A1908="100","HK",IF(A1908="200","CN",IF(A1908="300","TW","홀세일")))</f>
        <v>CN</v>
      </c>
      <c r="C1908" s="45" t="s">
        <v>742</v>
      </c>
      <c r="D1908" s="46" t="n">
        <v>133</v>
      </c>
      <c r="E1908" s="46" t="n">
        <v>429000</v>
      </c>
      <c r="F1908" s="46" t="n">
        <v>121487</v>
      </c>
      <c r="G1908" s="42" t="n">
        <v>3.24</v>
      </c>
      <c r="H1908" s="42" t="n">
        <v>107.4</v>
      </c>
      <c r="I1908" s="42" t="n">
        <v>96</v>
      </c>
      <c r="J1908" s="46" t="n">
        <f aca="false">IF(N(E1908)&gt;0,E1908,IF(N(F1908)&gt;0,F1908*요약!$F$27,0))</f>
        <v>429000</v>
      </c>
      <c r="K1908" s="46" t="n">
        <f aca="false">IF(N(F1908)&gt;0,F1908,IF(N(E1908)&gt;0,E1908/요약!$F$27,0))</f>
        <v>121487</v>
      </c>
      <c r="L1908" s="46" t="n">
        <f aca="false">IF(B1908="CN",IF(N(I1908)&gt;0,I1908*요약!$G$27,K1908*(1+요약!$E$27)),IF(N(H1908)&gt;0,H1908*요약!$G$27,J1908*요약!$D$27))</f>
        <v>126720</v>
      </c>
      <c r="M1908" s="46" t="n">
        <f aca="false">D1908*J1908</f>
        <v>57057000</v>
      </c>
      <c r="N1908" s="46" t="n">
        <f aca="false">D1908*K1908</f>
        <v>16157771</v>
      </c>
      <c r="O1908" s="46" t="n">
        <f aca="false">D1908*L1908</f>
        <v>16853760</v>
      </c>
      <c r="P1908" s="42" t="str">
        <f aca="false">TRIM(IF(N(E1908)&lt;=0,"택가보정 ","")&amp;IF(N(F1908)&lt;=0,"원가보정 ","")&amp;IF(AND(B1908&lt;&gt;"CN",N(H1908)&lt;=0),"공급가보정 ","")&amp;IF(AND(B1908="CN",N(I1908)&lt;=0),"중국공급가=원가+마진 ",""))</f>
        <v/>
      </c>
      <c r="Q1908" s="47" t="n">
        <f aca="false">IF(SUMIFS($W:$W,$A:$A,A1908,$C:$C,C1908)=0,0,SUMIFS(RAW_판매펀칭!$K:$K,RAW_판매펀칭!$P:$P,A1908,RAW_판매펀칭!$I:$I,C1908)*W1908/SUMIFS($W:$W,$A:$A,A1908,$C:$C,C1908))</f>
        <v>133</v>
      </c>
      <c r="R1908" s="47" t="n">
        <f aca="false">IF(OR(A1908="500",A1908="800",A1908="810"),0,MAX(W1908-Q1908,0))</f>
        <v>0</v>
      </c>
      <c r="S1908" s="47" t="n">
        <f aca="false">R1908*L1908</f>
        <v>0</v>
      </c>
      <c r="T1908" s="47" t="n">
        <f aca="false">R1908*J1908</f>
        <v>0</v>
      </c>
      <c r="U1908" s="47" t="n">
        <f aca="false">R1908*K1908</f>
        <v>0</v>
      </c>
      <c r="V1908" s="0" t="str">
        <f aca="false">IF(COUNTIFS($A$2:A1908,A1908,$C$2:C1908,C1908,$D$2:D1908,D1908)&gt;1,"중복","")</f>
        <v/>
      </c>
      <c r="W1908" s="0" t="n">
        <f aca="false">IF(V1908="중복",0,N(D1908))</f>
        <v>133</v>
      </c>
      <c r="X1908" s="0" t="n">
        <f aca="false">IF(COUNTIFS($A$2:A1908,A1908,$C$2:C1908,C1908)=1,ABS(SUMIFS(RAW_발주!$D:$D,RAW_발주!$C:$C,A1908,RAW_발주!$A:$A,C1908)-SUMIFS($W:$W,$A:$A,A1908,$C:$C,C1908)),0)</f>
        <v>0</v>
      </c>
    </row>
    <row r="1909" customFormat="false" ht="15" hidden="false" customHeight="true" outlineLevel="0" collapsed="false">
      <c r="A1909" s="45" t="s">
        <v>1661</v>
      </c>
      <c r="B1909" s="42" t="str">
        <f aca="false">IF(A1909="100","HK",IF(A1909="200","CN",IF(A1909="300","TW","홀세일")))</f>
        <v>TW</v>
      </c>
      <c r="C1909" s="45" t="s">
        <v>742</v>
      </c>
      <c r="D1909" s="46" t="n">
        <v>100</v>
      </c>
      <c r="E1909" s="46" t="n">
        <v>429000</v>
      </c>
      <c r="F1909" s="46" t="n">
        <v>121487</v>
      </c>
      <c r="G1909" s="42" t="n">
        <v>3.24</v>
      </c>
      <c r="H1909" s="42" t="n">
        <v>107.4</v>
      </c>
      <c r="I1909" s="42" t="n">
        <v>96</v>
      </c>
      <c r="J1909" s="46" t="n">
        <f aca="false">IF(N(E1909)&gt;0,E1909,IF(N(F1909)&gt;0,F1909*요약!$F$27,0))</f>
        <v>429000</v>
      </c>
      <c r="K1909" s="46" t="n">
        <f aca="false">IF(N(F1909)&gt;0,F1909,IF(N(E1909)&gt;0,E1909/요약!$F$27,0))</f>
        <v>121487</v>
      </c>
      <c r="L1909" s="46" t="n">
        <f aca="false">IF(B1909="CN",IF(N(I1909)&gt;0,I1909*요약!$G$27,K1909*(1+요약!$E$27)),IF(N(H1909)&gt;0,H1909*요약!$G$27,J1909*요약!$D$27))</f>
        <v>141768</v>
      </c>
      <c r="M1909" s="46" t="n">
        <f aca="false">D1909*J1909</f>
        <v>42900000</v>
      </c>
      <c r="N1909" s="46" t="n">
        <f aca="false">D1909*K1909</f>
        <v>12148700</v>
      </c>
      <c r="O1909" s="46" t="n">
        <f aca="false">D1909*L1909</f>
        <v>14176800</v>
      </c>
      <c r="P1909" s="42" t="str">
        <f aca="false">TRIM(IF(N(E1909)&lt;=0,"택가보정 ","")&amp;IF(N(F1909)&lt;=0,"원가보정 ","")&amp;IF(AND(B1909&lt;&gt;"CN",N(H1909)&lt;=0),"공급가보정 ","")&amp;IF(AND(B1909="CN",N(I1909)&lt;=0),"중국공급가=원가+마진 ",""))</f>
        <v/>
      </c>
      <c r="Q1909" s="47" t="n">
        <f aca="false">IF(SUMIFS($W:$W,$A:$A,A1909,$C:$C,C1909)=0,0,SUMIFS(RAW_판매펀칭!$K:$K,RAW_판매펀칭!$P:$P,A1909,RAW_판매펀칭!$I:$I,C1909)*W1909/SUMIFS($W:$W,$A:$A,A1909,$C:$C,C1909))</f>
        <v>100</v>
      </c>
      <c r="R1909" s="47" t="n">
        <f aca="false">IF(OR(A1909="500",A1909="800",A1909="810"),0,MAX(W1909-Q1909,0))</f>
        <v>0</v>
      </c>
      <c r="S1909" s="47" t="n">
        <f aca="false">R1909*L1909</f>
        <v>0</v>
      </c>
      <c r="T1909" s="47" t="n">
        <f aca="false">R1909*J1909</f>
        <v>0</v>
      </c>
      <c r="U1909" s="47" t="n">
        <f aca="false">R1909*K1909</f>
        <v>0</v>
      </c>
      <c r="V1909" s="0" t="str">
        <f aca="false">IF(COUNTIFS($A$2:A1909,A1909,$C$2:C1909,C1909,$D$2:D1909,D1909)&gt;1,"중복","")</f>
        <v/>
      </c>
      <c r="W1909" s="0" t="n">
        <f aca="false">IF(V1909="중복",0,N(D1909))</f>
        <v>100</v>
      </c>
      <c r="X1909" s="0" t="n">
        <f aca="false">IF(COUNTIFS($A$2:A1909,A1909,$C$2:C1909,C1909)=1,ABS(SUMIFS(RAW_발주!$D:$D,RAW_발주!$C:$C,A1909,RAW_발주!$A:$A,C1909)-SUMIFS($W:$W,$A:$A,A1909,$C:$C,C1909)),0)</f>
        <v>0</v>
      </c>
    </row>
    <row r="1910" customFormat="false" ht="15" hidden="false" customHeight="true" outlineLevel="0" collapsed="false">
      <c r="A1910" s="45" t="s">
        <v>1660</v>
      </c>
      <c r="B1910" s="42" t="str">
        <f aca="false">IF(A1910="100","HK",IF(A1910="200","CN",IF(A1910="300","TW","홀세일")))</f>
        <v>CN</v>
      </c>
      <c r="C1910" s="45" t="s">
        <v>744</v>
      </c>
      <c r="D1910" s="46" t="n">
        <v>519</v>
      </c>
      <c r="E1910" s="46" t="n">
        <v>399000</v>
      </c>
      <c r="F1910" s="46" t="n">
        <v>118189</v>
      </c>
      <c r="G1910" s="42" t="n">
        <v>3.3</v>
      </c>
      <c r="H1910" s="42" t="n">
        <v>99.9</v>
      </c>
      <c r="I1910" s="42" t="n">
        <v>93.3</v>
      </c>
      <c r="J1910" s="46" t="n">
        <f aca="false">IF(N(E1910)&gt;0,E1910,IF(N(F1910)&gt;0,F1910*요약!$F$27,0))</f>
        <v>399000</v>
      </c>
      <c r="K1910" s="46" t="n">
        <f aca="false">IF(N(F1910)&gt;0,F1910,IF(N(E1910)&gt;0,E1910/요약!$F$27,0))</f>
        <v>118189</v>
      </c>
      <c r="L1910" s="46" t="n">
        <f aca="false">IF(B1910="CN",IF(N(I1910)&gt;0,I1910*요약!$G$27,K1910*(1+요약!$E$27)),IF(N(H1910)&gt;0,H1910*요약!$G$27,J1910*요약!$D$27))</f>
        <v>123156</v>
      </c>
      <c r="M1910" s="46" t="n">
        <f aca="false">D1910*J1910</f>
        <v>207081000</v>
      </c>
      <c r="N1910" s="46" t="n">
        <f aca="false">D1910*K1910</f>
        <v>61340091</v>
      </c>
      <c r="O1910" s="46" t="n">
        <f aca="false">D1910*L1910</f>
        <v>63917964</v>
      </c>
      <c r="P1910" s="42" t="str">
        <f aca="false">TRIM(IF(N(E1910)&lt;=0,"택가보정 ","")&amp;IF(N(F1910)&lt;=0,"원가보정 ","")&amp;IF(AND(B1910&lt;&gt;"CN",N(H1910)&lt;=0),"공급가보정 ","")&amp;IF(AND(B1910="CN",N(I1910)&lt;=0),"중국공급가=원가+마진 ",""))</f>
        <v/>
      </c>
      <c r="Q1910" s="47" t="n">
        <f aca="false">IF(SUMIFS($W:$W,$A:$A,A1910,$C:$C,C1910)=0,0,SUMIFS(RAW_판매펀칭!$K:$K,RAW_판매펀칭!$P:$P,A1910,RAW_판매펀칭!$I:$I,C1910)*W1910/SUMIFS($W:$W,$A:$A,A1910,$C:$C,C1910))</f>
        <v>519</v>
      </c>
      <c r="R1910" s="47" t="n">
        <f aca="false">IF(OR(A1910="500",A1910="800",A1910="810"),0,MAX(W1910-Q1910,0))</f>
        <v>0</v>
      </c>
      <c r="S1910" s="47" t="n">
        <f aca="false">R1910*L1910</f>
        <v>0</v>
      </c>
      <c r="T1910" s="47" t="n">
        <f aca="false">R1910*J1910</f>
        <v>0</v>
      </c>
      <c r="U1910" s="47" t="n">
        <f aca="false">R1910*K1910</f>
        <v>0</v>
      </c>
      <c r="V1910" s="0" t="str">
        <f aca="false">IF(COUNTIFS($A$2:A1910,A1910,$C$2:C1910,C1910,$D$2:D1910,D1910)&gt;1,"중복","")</f>
        <v/>
      </c>
      <c r="W1910" s="0" t="n">
        <f aca="false">IF(V1910="중복",0,N(D1910))</f>
        <v>519</v>
      </c>
      <c r="X1910" s="0" t="n">
        <f aca="false">IF(COUNTIFS($A$2:A1910,A1910,$C$2:C1910,C1910)=1,ABS(SUMIFS(RAW_발주!$D:$D,RAW_발주!$C:$C,A1910,RAW_발주!$A:$A,C1910)-SUMIFS($W:$W,$A:$A,A1910,$C:$C,C1910)),0)</f>
        <v>0</v>
      </c>
    </row>
    <row r="1911" customFormat="false" ht="15" hidden="false" customHeight="true" outlineLevel="0" collapsed="false">
      <c r="A1911" s="45" t="s">
        <v>1661</v>
      </c>
      <c r="B1911" s="42" t="str">
        <f aca="false">IF(A1911="100","HK",IF(A1911="200","CN",IF(A1911="300","TW","홀세일")))</f>
        <v>TW</v>
      </c>
      <c r="C1911" s="45" t="s">
        <v>744</v>
      </c>
      <c r="D1911" s="46" t="n">
        <v>360</v>
      </c>
      <c r="E1911" s="46" t="n">
        <v>399000</v>
      </c>
      <c r="F1911" s="46" t="n">
        <v>118189</v>
      </c>
      <c r="G1911" s="42" t="n">
        <v>3.3</v>
      </c>
      <c r="H1911" s="42" t="n">
        <v>99.9</v>
      </c>
      <c r="I1911" s="42" t="n">
        <v>93.3</v>
      </c>
      <c r="J1911" s="46" t="n">
        <f aca="false">IF(N(E1911)&gt;0,E1911,IF(N(F1911)&gt;0,F1911*요약!$F$27,0))</f>
        <v>399000</v>
      </c>
      <c r="K1911" s="46" t="n">
        <f aca="false">IF(N(F1911)&gt;0,F1911,IF(N(E1911)&gt;0,E1911/요약!$F$27,0))</f>
        <v>118189</v>
      </c>
      <c r="L1911" s="46" t="n">
        <f aca="false">IF(B1911="CN",IF(N(I1911)&gt;0,I1911*요약!$G$27,K1911*(1+요약!$E$27)),IF(N(H1911)&gt;0,H1911*요약!$G$27,J1911*요약!$D$27))</f>
        <v>131868</v>
      </c>
      <c r="M1911" s="46" t="n">
        <f aca="false">D1911*J1911</f>
        <v>143640000</v>
      </c>
      <c r="N1911" s="46" t="n">
        <f aca="false">D1911*K1911</f>
        <v>42548040</v>
      </c>
      <c r="O1911" s="46" t="n">
        <f aca="false">D1911*L1911</f>
        <v>47472480</v>
      </c>
      <c r="P1911" s="42" t="str">
        <f aca="false">TRIM(IF(N(E1911)&lt;=0,"택가보정 ","")&amp;IF(N(F1911)&lt;=0,"원가보정 ","")&amp;IF(AND(B1911&lt;&gt;"CN",N(H1911)&lt;=0),"공급가보정 ","")&amp;IF(AND(B1911="CN",N(I1911)&lt;=0),"중국공급가=원가+마진 ",""))</f>
        <v/>
      </c>
      <c r="Q1911" s="47" t="n">
        <f aca="false">IF(SUMIFS($W:$W,$A:$A,A1911,$C:$C,C1911)=0,0,SUMIFS(RAW_판매펀칭!$K:$K,RAW_판매펀칭!$P:$P,A1911,RAW_판매펀칭!$I:$I,C1911)*W1911/SUMIFS($W:$W,$A:$A,A1911,$C:$C,C1911))</f>
        <v>360</v>
      </c>
      <c r="R1911" s="47" t="n">
        <f aca="false">IF(OR(A1911="500",A1911="800",A1911="810"),0,MAX(W1911-Q1911,0))</f>
        <v>0</v>
      </c>
      <c r="S1911" s="47" t="n">
        <f aca="false">R1911*L1911</f>
        <v>0</v>
      </c>
      <c r="T1911" s="47" t="n">
        <f aca="false">R1911*J1911</f>
        <v>0</v>
      </c>
      <c r="U1911" s="47" t="n">
        <f aca="false">R1911*K1911</f>
        <v>0</v>
      </c>
      <c r="V1911" s="0" t="str">
        <f aca="false">IF(COUNTIFS($A$2:A1911,A1911,$C$2:C1911,C1911,$D$2:D1911,D1911)&gt;1,"중복","")</f>
        <v/>
      </c>
      <c r="W1911" s="0" t="n">
        <f aca="false">IF(V1911="중복",0,N(D1911))</f>
        <v>360</v>
      </c>
      <c r="X1911" s="0" t="n">
        <f aca="false">IF(COUNTIFS($A$2:A1911,A1911,$C$2:C1911,C1911)=1,ABS(SUMIFS(RAW_발주!$D:$D,RAW_발주!$C:$C,A1911,RAW_발주!$A:$A,C1911)-SUMIFS($W:$W,$A:$A,A1911,$C:$C,C1911)),0)</f>
        <v>0</v>
      </c>
    </row>
    <row r="1912" customFormat="false" ht="15" hidden="false" customHeight="true" outlineLevel="0" collapsed="false">
      <c r="A1912" s="45" t="s">
        <v>1660</v>
      </c>
      <c r="B1912" s="42" t="str">
        <f aca="false">IF(A1912="100","HK",IF(A1912="200","CN",IF(A1912="300","TW","홀세일")))</f>
        <v>CN</v>
      </c>
      <c r="C1912" s="45" t="s">
        <v>1216</v>
      </c>
      <c r="D1912" s="46" t="n">
        <v>286</v>
      </c>
      <c r="E1912" s="46"/>
      <c r="F1912" s="46" t="n">
        <v>192700</v>
      </c>
      <c r="G1912" s="42" t="n">
        <v>3.26</v>
      </c>
      <c r="I1912" s="42" t="n">
        <v>153.5</v>
      </c>
      <c r="J1912" s="46" t="n">
        <f aca="false">IF(N(E1912)&gt;0,E1912,IF(N(F1912)&gt;0,F1912*요약!$F$27,0))</f>
        <v>770800</v>
      </c>
      <c r="K1912" s="46" t="n">
        <f aca="false">IF(N(F1912)&gt;0,F1912,IF(N(E1912)&gt;0,E1912/요약!$F$27,0))</f>
        <v>192700</v>
      </c>
      <c r="L1912" s="46" t="n">
        <f aca="false">IF(B1912="CN",IF(N(I1912)&gt;0,I1912*요약!$G$27,K1912*(1+요약!$E$27)),IF(N(H1912)&gt;0,H1912*요약!$G$27,J1912*요약!$D$27))</f>
        <v>202620</v>
      </c>
      <c r="M1912" s="46" t="n">
        <f aca="false">D1912*J1912</f>
        <v>220448800</v>
      </c>
      <c r="N1912" s="46" t="n">
        <f aca="false">D1912*K1912</f>
        <v>55112200</v>
      </c>
      <c r="O1912" s="46" t="n">
        <f aca="false">D1912*L1912</f>
        <v>57949320</v>
      </c>
      <c r="P1912" s="42" t="str">
        <f aca="false">TRIM(IF(N(E1912)&lt;=0,"택가보정 ","")&amp;IF(N(F1912)&lt;=0,"원가보정 ","")&amp;IF(AND(B1912&lt;&gt;"CN",N(H1912)&lt;=0),"공급가보정 ","")&amp;IF(AND(B1912="CN",N(I1912)&lt;=0),"중국공급가=원가+마진 ",""))</f>
        <v>택가보정</v>
      </c>
      <c r="Q1912" s="47" t="n">
        <f aca="false">IF(SUMIFS($W:$W,$A:$A,A1912,$C:$C,C1912)=0,0,SUMIFS(RAW_판매펀칭!$K:$K,RAW_판매펀칭!$P:$P,A1912,RAW_판매펀칭!$I:$I,C1912)*W1912/SUMIFS($W:$W,$A:$A,A1912,$C:$C,C1912))</f>
        <v>6</v>
      </c>
      <c r="R1912" s="47" t="n">
        <f aca="false">IF(OR(A1912="500",A1912="800",A1912="810"),0,MAX(W1912-Q1912,0))</f>
        <v>280</v>
      </c>
      <c r="S1912" s="47" t="n">
        <f aca="false">R1912*L1912</f>
        <v>56733600</v>
      </c>
      <c r="T1912" s="47" t="n">
        <f aca="false">R1912*J1912</f>
        <v>215824000</v>
      </c>
      <c r="U1912" s="47" t="n">
        <f aca="false">R1912*K1912</f>
        <v>53956000</v>
      </c>
      <c r="V1912" s="0" t="str">
        <f aca="false">IF(COUNTIFS($A$2:A1912,A1912,$C$2:C1912,C1912,$D$2:D1912,D1912)&gt;1,"중복","")</f>
        <v/>
      </c>
      <c r="W1912" s="0" t="n">
        <f aca="false">IF(V1912="중복",0,N(D1912))</f>
        <v>286</v>
      </c>
      <c r="X1912" s="0" t="n">
        <f aca="false">IF(COUNTIFS($A$2:A1912,A1912,$C$2:C1912,C1912)=1,ABS(SUMIFS(RAW_발주!$D:$D,RAW_발주!$C:$C,A1912,RAW_발주!$A:$A,C1912)-SUMIFS($W:$W,$A:$A,A1912,$C:$C,C1912)),0)</f>
        <v>0</v>
      </c>
    </row>
    <row r="1913" customFormat="false" ht="15" hidden="false" customHeight="true" outlineLevel="0" collapsed="false">
      <c r="A1913" s="45" t="s">
        <v>1660</v>
      </c>
      <c r="B1913" s="42" t="str">
        <f aca="false">IF(A1913="100","HK",IF(A1913="200","CN",IF(A1913="300","TW","홀세일")))</f>
        <v>CN</v>
      </c>
      <c r="C1913" s="45" t="s">
        <v>1216</v>
      </c>
      <c r="D1913" s="46" t="n">
        <v>286</v>
      </c>
      <c r="E1913" s="46"/>
      <c r="F1913" s="46" t="n">
        <v>192700</v>
      </c>
      <c r="G1913" s="42" t="n">
        <v>3.26</v>
      </c>
      <c r="I1913" s="42" t="n">
        <v>153.5</v>
      </c>
      <c r="J1913" s="46" t="n">
        <f aca="false">IF(N(E1913)&gt;0,E1913,IF(N(F1913)&gt;0,F1913*요약!$F$27,0))</f>
        <v>770800</v>
      </c>
      <c r="K1913" s="46" t="n">
        <f aca="false">IF(N(F1913)&gt;0,F1913,IF(N(E1913)&gt;0,E1913/요약!$F$27,0))</f>
        <v>192700</v>
      </c>
      <c r="L1913" s="46" t="n">
        <f aca="false">IF(B1913="CN",IF(N(I1913)&gt;0,I1913*요약!$G$27,K1913*(1+요약!$E$27)),IF(N(H1913)&gt;0,H1913*요약!$G$27,J1913*요약!$D$27))</f>
        <v>202620</v>
      </c>
      <c r="M1913" s="46" t="n">
        <f aca="false">D1913*J1913</f>
        <v>220448800</v>
      </c>
      <c r="N1913" s="46" t="n">
        <f aca="false">D1913*K1913</f>
        <v>55112200</v>
      </c>
      <c r="O1913" s="46" t="n">
        <f aca="false">D1913*L1913</f>
        <v>57949320</v>
      </c>
      <c r="P1913" s="42" t="str">
        <f aca="false">TRIM(IF(N(E1913)&lt;=0,"택가보정 ","")&amp;IF(N(F1913)&lt;=0,"원가보정 ","")&amp;IF(AND(B1913&lt;&gt;"CN",N(H1913)&lt;=0),"공급가보정 ","")&amp;IF(AND(B1913="CN",N(I1913)&lt;=0),"중국공급가=원가+마진 ",""))</f>
        <v>택가보정</v>
      </c>
      <c r="Q1913" s="47" t="n">
        <f aca="false">IF(SUMIFS($W:$W,$A:$A,A1913,$C:$C,C1913)=0,0,SUMIFS(RAW_판매펀칭!$K:$K,RAW_판매펀칭!$P:$P,A1913,RAW_판매펀칭!$I:$I,C1913)*W1913/SUMIFS($W:$W,$A:$A,A1913,$C:$C,C1913))</f>
        <v>0</v>
      </c>
      <c r="R1913" s="47" t="n">
        <f aca="false">IF(OR(A1913="500",A1913="800",A1913="810"),0,MAX(W1913-Q1913,0))</f>
        <v>0</v>
      </c>
      <c r="S1913" s="47" t="n">
        <f aca="false">R1913*L1913</f>
        <v>0</v>
      </c>
      <c r="T1913" s="47" t="n">
        <f aca="false">R1913*J1913</f>
        <v>0</v>
      </c>
      <c r="U1913" s="47" t="n">
        <f aca="false">R1913*K1913</f>
        <v>0</v>
      </c>
      <c r="V1913" s="0" t="str">
        <f aca="false">IF(COUNTIFS($A$2:A1913,A1913,$C$2:C1913,C1913,$D$2:D1913,D1913)&gt;1,"중복","")</f>
        <v>중복</v>
      </c>
      <c r="W1913" s="0" t="n">
        <f aca="false">IF(V1913="중복",0,N(D1913))</f>
        <v>0</v>
      </c>
      <c r="X1913" s="0" t="n">
        <f aca="false">IF(COUNTIFS($A$2:A1913,A1913,$C$2:C1913,C1913)=1,ABS(SUMIFS(RAW_발주!$D:$D,RAW_발주!$C:$C,A1913,RAW_발주!$A:$A,C1913)-SUMIFS($W:$W,$A:$A,A1913,$C:$C,C1913)),0)</f>
        <v>0</v>
      </c>
    </row>
    <row r="1914" customFormat="false" ht="15" hidden="false" customHeight="true" outlineLevel="0" collapsed="false">
      <c r="A1914" s="45" t="s">
        <v>1660</v>
      </c>
      <c r="B1914" s="42" t="str">
        <f aca="false">IF(A1914="100","HK",IF(A1914="200","CN",IF(A1914="300","TW","홀세일")))</f>
        <v>CN</v>
      </c>
      <c r="C1914" s="45" t="s">
        <v>1218</v>
      </c>
      <c r="D1914" s="46" t="n">
        <v>122</v>
      </c>
      <c r="E1914" s="46"/>
      <c r="F1914" s="46" t="n">
        <v>226400</v>
      </c>
      <c r="G1914" s="42" t="n">
        <v>3.17</v>
      </c>
      <c r="H1914" s="42" t="n">
        <v>197.7</v>
      </c>
      <c r="I1914" s="42" t="n">
        <v>180.3</v>
      </c>
      <c r="J1914" s="46" t="n">
        <f aca="false">IF(N(E1914)&gt;0,E1914,IF(N(F1914)&gt;0,F1914*요약!$F$27,0))</f>
        <v>905600</v>
      </c>
      <c r="K1914" s="46" t="n">
        <f aca="false">IF(N(F1914)&gt;0,F1914,IF(N(E1914)&gt;0,E1914/요약!$F$27,0))</f>
        <v>226400</v>
      </c>
      <c r="L1914" s="46" t="n">
        <f aca="false">IF(B1914="CN",IF(N(I1914)&gt;0,I1914*요약!$G$27,K1914*(1+요약!$E$27)),IF(N(H1914)&gt;0,H1914*요약!$G$27,J1914*요약!$D$27))</f>
        <v>237996</v>
      </c>
      <c r="M1914" s="46" t="n">
        <f aca="false">D1914*J1914</f>
        <v>110483200</v>
      </c>
      <c r="N1914" s="46" t="n">
        <f aca="false">D1914*K1914</f>
        <v>27620800</v>
      </c>
      <c r="O1914" s="46" t="n">
        <f aca="false">D1914*L1914</f>
        <v>29035512</v>
      </c>
      <c r="P1914" s="42" t="str">
        <f aca="false">TRIM(IF(N(E1914)&lt;=0,"택가보정 ","")&amp;IF(N(F1914)&lt;=0,"원가보정 ","")&amp;IF(AND(B1914&lt;&gt;"CN",N(H1914)&lt;=0),"공급가보정 ","")&amp;IF(AND(B1914="CN",N(I1914)&lt;=0),"중국공급가=원가+마진 ",""))</f>
        <v>택가보정</v>
      </c>
      <c r="Q1914" s="47" t="n">
        <f aca="false">IF(SUMIFS($W:$W,$A:$A,A1914,$C:$C,C1914)=0,0,SUMIFS(RAW_판매펀칭!$K:$K,RAW_판매펀칭!$P:$P,A1914,RAW_판매펀칭!$I:$I,C1914)*W1914/SUMIFS($W:$W,$A:$A,A1914,$C:$C,C1914))</f>
        <v>2</v>
      </c>
      <c r="R1914" s="47" t="n">
        <f aca="false">IF(OR(A1914="500",A1914="800",A1914="810"),0,MAX(W1914-Q1914,0))</f>
        <v>120</v>
      </c>
      <c r="S1914" s="47" t="n">
        <f aca="false">R1914*L1914</f>
        <v>28559520</v>
      </c>
      <c r="T1914" s="47" t="n">
        <f aca="false">R1914*J1914</f>
        <v>108672000</v>
      </c>
      <c r="U1914" s="47" t="n">
        <f aca="false">R1914*K1914</f>
        <v>27168000</v>
      </c>
      <c r="V1914" s="0" t="str">
        <f aca="false">IF(COUNTIFS($A$2:A1914,A1914,$C$2:C1914,C1914,$D$2:D1914,D1914)&gt;1,"중복","")</f>
        <v/>
      </c>
      <c r="W1914" s="0" t="n">
        <f aca="false">IF(V1914="중복",0,N(D1914))</f>
        <v>122</v>
      </c>
      <c r="X1914" s="0" t="n">
        <f aca="false">IF(COUNTIFS($A$2:A1914,A1914,$C$2:C1914,C1914)=1,ABS(SUMIFS(RAW_발주!$D:$D,RAW_발주!$C:$C,A1914,RAW_발주!$A:$A,C1914)-SUMIFS($W:$W,$A:$A,A1914,$C:$C,C1914)),0)</f>
        <v>0</v>
      </c>
    </row>
    <row r="1915" customFormat="false" ht="15" hidden="false" customHeight="true" outlineLevel="0" collapsed="false">
      <c r="A1915" s="45" t="s">
        <v>1661</v>
      </c>
      <c r="B1915" s="42" t="str">
        <f aca="false">IF(A1915="100","HK",IF(A1915="200","CN",IF(A1915="300","TW","홀세일")))</f>
        <v>TW</v>
      </c>
      <c r="C1915" s="45" t="s">
        <v>1218</v>
      </c>
      <c r="D1915" s="46" t="n">
        <v>290</v>
      </c>
      <c r="E1915" s="46"/>
      <c r="F1915" s="46" t="n">
        <v>226400</v>
      </c>
      <c r="G1915" s="42" t="n">
        <v>3.17</v>
      </c>
      <c r="H1915" s="42" t="n">
        <v>197.7</v>
      </c>
      <c r="I1915" s="42" t="n">
        <v>180.3</v>
      </c>
      <c r="J1915" s="46" t="n">
        <f aca="false">IF(N(E1915)&gt;0,E1915,IF(N(F1915)&gt;0,F1915*요약!$F$27,0))</f>
        <v>905600</v>
      </c>
      <c r="K1915" s="46" t="n">
        <f aca="false">IF(N(F1915)&gt;0,F1915,IF(N(E1915)&gt;0,E1915/요약!$F$27,0))</f>
        <v>226400</v>
      </c>
      <c r="L1915" s="46" t="n">
        <f aca="false">IF(B1915="CN",IF(N(I1915)&gt;0,I1915*요약!$G$27,K1915*(1+요약!$E$27)),IF(N(H1915)&gt;0,H1915*요약!$G$27,J1915*요약!$D$27))</f>
        <v>260964</v>
      </c>
      <c r="M1915" s="46" t="n">
        <f aca="false">D1915*J1915</f>
        <v>262624000</v>
      </c>
      <c r="N1915" s="46" t="n">
        <f aca="false">D1915*K1915</f>
        <v>65656000</v>
      </c>
      <c r="O1915" s="46" t="n">
        <f aca="false">D1915*L1915</f>
        <v>75679560</v>
      </c>
      <c r="P1915" s="42" t="str">
        <f aca="false">TRIM(IF(N(E1915)&lt;=0,"택가보정 ","")&amp;IF(N(F1915)&lt;=0,"원가보정 ","")&amp;IF(AND(B1915&lt;&gt;"CN",N(H1915)&lt;=0),"공급가보정 ","")&amp;IF(AND(B1915="CN",N(I1915)&lt;=0),"중국공급가=원가+마진 ",""))</f>
        <v>택가보정</v>
      </c>
      <c r="Q1915" s="47" t="n">
        <f aca="false">IF(SUMIFS($W:$W,$A:$A,A1915,$C:$C,C1915)=0,0,SUMIFS(RAW_판매펀칭!$K:$K,RAW_판매펀칭!$P:$P,A1915,RAW_판매펀칭!$I:$I,C1915)*W1915/SUMIFS($W:$W,$A:$A,A1915,$C:$C,C1915))</f>
        <v>0</v>
      </c>
      <c r="R1915" s="47" t="n">
        <f aca="false">IF(OR(A1915="500",A1915="800",A1915="810"),0,MAX(W1915-Q1915,0))</f>
        <v>290</v>
      </c>
      <c r="S1915" s="47" t="n">
        <f aca="false">R1915*L1915</f>
        <v>75679560</v>
      </c>
      <c r="T1915" s="47" t="n">
        <f aca="false">R1915*J1915</f>
        <v>262624000</v>
      </c>
      <c r="U1915" s="47" t="n">
        <f aca="false">R1915*K1915</f>
        <v>65656000</v>
      </c>
      <c r="V1915" s="0" t="str">
        <f aca="false">IF(COUNTIFS($A$2:A1915,A1915,$C$2:C1915,C1915,$D$2:D1915,D1915)&gt;1,"중복","")</f>
        <v/>
      </c>
      <c r="W1915" s="0" t="n">
        <f aca="false">IF(V1915="중복",0,N(D1915))</f>
        <v>290</v>
      </c>
      <c r="X1915" s="0" t="n">
        <f aca="false">IF(COUNTIFS($A$2:A1915,A1915,$C$2:C1915,C1915)=1,ABS(SUMIFS(RAW_발주!$D:$D,RAW_발주!$C:$C,A1915,RAW_발주!$A:$A,C1915)-SUMIFS($W:$W,$A:$A,A1915,$C:$C,C1915)),0)</f>
        <v>0</v>
      </c>
    </row>
    <row r="1916" customFormat="false" ht="15" hidden="false" customHeight="true" outlineLevel="0" collapsed="false">
      <c r="A1916" s="45" t="s">
        <v>1661</v>
      </c>
      <c r="B1916" s="42" t="str">
        <f aca="false">IF(A1916="100","HK",IF(A1916="200","CN",IF(A1916="300","TW","홀세일")))</f>
        <v>TW</v>
      </c>
      <c r="C1916" s="45" t="s">
        <v>1218</v>
      </c>
      <c r="D1916" s="46" t="n">
        <v>290</v>
      </c>
      <c r="E1916" s="46"/>
      <c r="F1916" s="46" t="n">
        <v>226400</v>
      </c>
      <c r="G1916" s="42" t="n">
        <v>3.17</v>
      </c>
      <c r="H1916" s="42" t="n">
        <v>197.7</v>
      </c>
      <c r="I1916" s="42" t="n">
        <v>180.3</v>
      </c>
      <c r="J1916" s="46" t="n">
        <f aca="false">IF(N(E1916)&gt;0,E1916,IF(N(F1916)&gt;0,F1916*요약!$F$27,0))</f>
        <v>905600</v>
      </c>
      <c r="K1916" s="46" t="n">
        <f aca="false">IF(N(F1916)&gt;0,F1916,IF(N(E1916)&gt;0,E1916/요약!$F$27,0))</f>
        <v>226400</v>
      </c>
      <c r="L1916" s="46" t="n">
        <f aca="false">IF(B1916="CN",IF(N(I1916)&gt;0,I1916*요약!$G$27,K1916*(1+요약!$E$27)),IF(N(H1916)&gt;0,H1916*요약!$G$27,J1916*요약!$D$27))</f>
        <v>260964</v>
      </c>
      <c r="M1916" s="46" t="n">
        <f aca="false">D1916*J1916</f>
        <v>262624000</v>
      </c>
      <c r="N1916" s="46" t="n">
        <f aca="false">D1916*K1916</f>
        <v>65656000</v>
      </c>
      <c r="O1916" s="46" t="n">
        <f aca="false">D1916*L1916</f>
        <v>75679560</v>
      </c>
      <c r="P1916" s="42" t="str">
        <f aca="false">TRIM(IF(N(E1916)&lt;=0,"택가보정 ","")&amp;IF(N(F1916)&lt;=0,"원가보정 ","")&amp;IF(AND(B1916&lt;&gt;"CN",N(H1916)&lt;=0),"공급가보정 ","")&amp;IF(AND(B1916="CN",N(I1916)&lt;=0),"중국공급가=원가+마진 ",""))</f>
        <v>택가보정</v>
      </c>
      <c r="Q1916" s="47" t="n">
        <f aca="false">IF(SUMIFS($W:$W,$A:$A,A1916,$C:$C,C1916)=0,0,SUMIFS(RAW_판매펀칭!$K:$K,RAW_판매펀칭!$P:$P,A1916,RAW_판매펀칭!$I:$I,C1916)*W1916/SUMIFS($W:$W,$A:$A,A1916,$C:$C,C1916))</f>
        <v>0</v>
      </c>
      <c r="R1916" s="47" t="n">
        <f aca="false">IF(OR(A1916="500",A1916="800",A1916="810"),0,MAX(W1916-Q1916,0))</f>
        <v>0</v>
      </c>
      <c r="S1916" s="47" t="n">
        <f aca="false">R1916*L1916</f>
        <v>0</v>
      </c>
      <c r="T1916" s="47" t="n">
        <f aca="false">R1916*J1916</f>
        <v>0</v>
      </c>
      <c r="U1916" s="47" t="n">
        <f aca="false">R1916*K1916</f>
        <v>0</v>
      </c>
      <c r="V1916" s="0" t="str">
        <f aca="false">IF(COUNTIFS($A$2:A1916,A1916,$C$2:C1916,C1916,$D$2:D1916,D1916)&gt;1,"중복","")</f>
        <v>중복</v>
      </c>
      <c r="W1916" s="0" t="n">
        <f aca="false">IF(V1916="중복",0,N(D1916))</f>
        <v>0</v>
      </c>
      <c r="X1916" s="0" t="n">
        <f aca="false">IF(COUNTIFS($A$2:A1916,A1916,$C$2:C1916,C1916)=1,ABS(SUMIFS(RAW_발주!$D:$D,RAW_발주!$C:$C,A1916,RAW_발주!$A:$A,C1916)-SUMIFS($W:$W,$A:$A,A1916,$C:$C,C1916)),0)</f>
        <v>0</v>
      </c>
    </row>
    <row r="1917" customFormat="false" ht="15" hidden="false" customHeight="true" outlineLevel="0" collapsed="false">
      <c r="A1917" s="45" t="s">
        <v>1660</v>
      </c>
      <c r="B1917" s="42" t="str">
        <f aca="false">IF(A1917="100","HK",IF(A1917="200","CN",IF(A1917="300","TW","홀세일")))</f>
        <v>CN</v>
      </c>
      <c r="C1917" s="45" t="s">
        <v>1220</v>
      </c>
      <c r="D1917" s="46" t="n">
        <v>382</v>
      </c>
      <c r="E1917" s="46" t="n">
        <v>299000</v>
      </c>
      <c r="F1917" s="46" t="n">
        <v>91666</v>
      </c>
      <c r="G1917" s="42" t="n">
        <v>3.84</v>
      </c>
      <c r="H1917" s="42" t="n">
        <v>74.9</v>
      </c>
      <c r="I1917" s="42" t="n">
        <v>68</v>
      </c>
      <c r="J1917" s="46" t="n">
        <f aca="false">IF(N(E1917)&gt;0,E1917,IF(N(F1917)&gt;0,F1917*요약!$F$27,0))</f>
        <v>299000</v>
      </c>
      <c r="K1917" s="46" t="n">
        <f aca="false">IF(N(F1917)&gt;0,F1917,IF(N(E1917)&gt;0,E1917/요약!$F$27,0))</f>
        <v>91666</v>
      </c>
      <c r="L1917" s="46" t="n">
        <f aca="false">IF(B1917="CN",IF(N(I1917)&gt;0,I1917*요약!$G$27,K1917*(1+요약!$E$27)),IF(N(H1917)&gt;0,H1917*요약!$G$27,J1917*요약!$D$27))</f>
        <v>89760</v>
      </c>
      <c r="M1917" s="46" t="n">
        <f aca="false">D1917*J1917</f>
        <v>114218000</v>
      </c>
      <c r="N1917" s="46" t="n">
        <f aca="false">D1917*K1917</f>
        <v>35016412</v>
      </c>
      <c r="O1917" s="46" t="n">
        <f aca="false">D1917*L1917</f>
        <v>34288320</v>
      </c>
      <c r="P1917" s="42" t="str">
        <f aca="false">TRIM(IF(N(E1917)&lt;=0,"택가보정 ","")&amp;IF(N(F1917)&lt;=0,"원가보정 ","")&amp;IF(AND(B1917&lt;&gt;"CN",N(H1917)&lt;=0),"공급가보정 ","")&amp;IF(AND(B1917="CN",N(I1917)&lt;=0),"중국공급가=원가+마진 ",""))</f>
        <v/>
      </c>
      <c r="Q1917" s="47" t="n">
        <f aca="false">IF(SUMIFS($W:$W,$A:$A,A1917,$C:$C,C1917)=0,0,SUMIFS(RAW_판매펀칭!$K:$K,RAW_판매펀칭!$P:$P,A1917,RAW_판매펀칭!$I:$I,C1917)*W1917/SUMIFS($W:$W,$A:$A,A1917,$C:$C,C1917))</f>
        <v>382</v>
      </c>
      <c r="R1917" s="47" t="n">
        <f aca="false">IF(OR(A1917="500",A1917="800",A1917="810"),0,MAX(W1917-Q1917,0))</f>
        <v>0</v>
      </c>
      <c r="S1917" s="47" t="n">
        <f aca="false">R1917*L1917</f>
        <v>0</v>
      </c>
      <c r="T1917" s="47" t="n">
        <f aca="false">R1917*J1917</f>
        <v>0</v>
      </c>
      <c r="U1917" s="47" t="n">
        <f aca="false">R1917*K1917</f>
        <v>0</v>
      </c>
      <c r="V1917" s="0" t="str">
        <f aca="false">IF(COUNTIFS($A$2:A1917,A1917,$C$2:C1917,C1917,$D$2:D1917,D1917)&gt;1,"중복","")</f>
        <v/>
      </c>
      <c r="W1917" s="0" t="n">
        <f aca="false">IF(V1917="중복",0,N(D1917))</f>
        <v>382</v>
      </c>
      <c r="X1917" s="0" t="n">
        <f aca="false">IF(COUNTIFS($A$2:A1917,A1917,$C$2:C1917,C1917)=1,ABS(SUMIFS(RAW_발주!$D:$D,RAW_발주!$C:$C,A1917,RAW_발주!$A:$A,C1917)-SUMIFS($W:$W,$A:$A,A1917,$C:$C,C1917)),0)</f>
        <v>0</v>
      </c>
    </row>
    <row r="1918" customFormat="false" ht="15" hidden="false" customHeight="true" outlineLevel="0" collapsed="false">
      <c r="A1918" s="45" t="s">
        <v>1660</v>
      </c>
      <c r="B1918" s="42" t="str">
        <f aca="false">IF(A1918="100","HK",IF(A1918="200","CN",IF(A1918="300","TW","홀세일")))</f>
        <v>CN</v>
      </c>
      <c r="C1918" s="45" t="s">
        <v>1222</v>
      </c>
      <c r="D1918" s="46" t="n">
        <v>292</v>
      </c>
      <c r="E1918" s="46" t="n">
        <v>239000</v>
      </c>
      <c r="F1918" s="46" t="n">
        <v>81412</v>
      </c>
      <c r="G1918" s="42" t="n">
        <v>4.1</v>
      </c>
      <c r="H1918" s="42" t="n">
        <v>59.9</v>
      </c>
      <c r="I1918" s="42" t="n">
        <v>66.1</v>
      </c>
      <c r="J1918" s="46" t="n">
        <f aca="false">IF(N(E1918)&gt;0,E1918,IF(N(F1918)&gt;0,F1918*요약!$F$27,0))</f>
        <v>239000</v>
      </c>
      <c r="K1918" s="46" t="n">
        <f aca="false">IF(N(F1918)&gt;0,F1918,IF(N(E1918)&gt;0,E1918/요약!$F$27,0))</f>
        <v>81412</v>
      </c>
      <c r="L1918" s="46" t="n">
        <f aca="false">IF(B1918="CN",IF(N(I1918)&gt;0,I1918*요약!$G$27,K1918*(1+요약!$E$27)),IF(N(H1918)&gt;0,H1918*요약!$G$27,J1918*요약!$D$27))</f>
        <v>87252</v>
      </c>
      <c r="M1918" s="46" t="n">
        <f aca="false">D1918*J1918</f>
        <v>69788000</v>
      </c>
      <c r="N1918" s="46" t="n">
        <f aca="false">D1918*K1918</f>
        <v>23772304</v>
      </c>
      <c r="O1918" s="46" t="n">
        <f aca="false">D1918*L1918</f>
        <v>25477584</v>
      </c>
      <c r="P1918" s="42" t="str">
        <f aca="false">TRIM(IF(N(E1918)&lt;=0,"택가보정 ","")&amp;IF(N(F1918)&lt;=0,"원가보정 ","")&amp;IF(AND(B1918&lt;&gt;"CN",N(H1918)&lt;=0),"공급가보정 ","")&amp;IF(AND(B1918="CN",N(I1918)&lt;=0),"중국공급가=원가+마진 ",""))</f>
        <v/>
      </c>
      <c r="Q1918" s="47" t="n">
        <f aca="false">IF(SUMIFS($W:$W,$A:$A,A1918,$C:$C,C1918)=0,0,SUMIFS(RAW_판매펀칭!$K:$K,RAW_판매펀칭!$P:$P,A1918,RAW_판매펀칭!$I:$I,C1918)*W1918/SUMIFS($W:$W,$A:$A,A1918,$C:$C,C1918))</f>
        <v>251</v>
      </c>
      <c r="R1918" s="47" t="n">
        <f aca="false">IF(OR(A1918="500",A1918="800",A1918="810"),0,MAX(W1918-Q1918,0))</f>
        <v>41</v>
      </c>
      <c r="S1918" s="47" t="n">
        <f aca="false">R1918*L1918</f>
        <v>3577332</v>
      </c>
      <c r="T1918" s="47" t="n">
        <f aca="false">R1918*J1918</f>
        <v>9799000</v>
      </c>
      <c r="U1918" s="47" t="n">
        <f aca="false">R1918*K1918</f>
        <v>3337892</v>
      </c>
      <c r="V1918" s="0" t="str">
        <f aca="false">IF(COUNTIFS($A$2:A1918,A1918,$C$2:C1918,C1918,$D$2:D1918,D1918)&gt;1,"중복","")</f>
        <v/>
      </c>
      <c r="W1918" s="0" t="n">
        <f aca="false">IF(V1918="중복",0,N(D1918))</f>
        <v>292</v>
      </c>
      <c r="X1918" s="0" t="n">
        <f aca="false">IF(COUNTIFS($A$2:A1918,A1918,$C$2:C1918,C1918)=1,ABS(SUMIFS(RAW_발주!$D:$D,RAW_발주!$C:$C,A1918,RAW_발주!$A:$A,C1918)-SUMIFS($W:$W,$A:$A,A1918,$C:$C,C1918)),0)</f>
        <v>0</v>
      </c>
    </row>
    <row r="1919" customFormat="false" ht="15" hidden="false" customHeight="true" outlineLevel="0" collapsed="false">
      <c r="A1919" s="45" t="s">
        <v>1660</v>
      </c>
      <c r="B1919" s="42" t="str">
        <f aca="false">IF(A1919="100","HK",IF(A1919="200","CN",IF(A1919="300","TW","홀세일")))</f>
        <v>CN</v>
      </c>
      <c r="C1919" s="45" t="s">
        <v>1222</v>
      </c>
      <c r="D1919" s="46" t="n">
        <v>292</v>
      </c>
      <c r="E1919" s="46" t="n">
        <v>239000</v>
      </c>
      <c r="F1919" s="46" t="n">
        <v>81412</v>
      </c>
      <c r="G1919" s="42" t="n">
        <v>4.1</v>
      </c>
      <c r="H1919" s="42" t="n">
        <v>59.9</v>
      </c>
      <c r="I1919" s="42" t="n">
        <v>66.1</v>
      </c>
      <c r="J1919" s="46" t="n">
        <f aca="false">IF(N(E1919)&gt;0,E1919,IF(N(F1919)&gt;0,F1919*요약!$F$27,0))</f>
        <v>239000</v>
      </c>
      <c r="K1919" s="46" t="n">
        <f aca="false">IF(N(F1919)&gt;0,F1919,IF(N(E1919)&gt;0,E1919/요약!$F$27,0))</f>
        <v>81412</v>
      </c>
      <c r="L1919" s="46" t="n">
        <f aca="false">IF(B1919="CN",IF(N(I1919)&gt;0,I1919*요약!$G$27,K1919*(1+요약!$E$27)),IF(N(H1919)&gt;0,H1919*요약!$G$27,J1919*요약!$D$27))</f>
        <v>87252</v>
      </c>
      <c r="M1919" s="46" t="n">
        <f aca="false">D1919*J1919</f>
        <v>69788000</v>
      </c>
      <c r="N1919" s="46" t="n">
        <f aca="false">D1919*K1919</f>
        <v>23772304</v>
      </c>
      <c r="O1919" s="46" t="n">
        <f aca="false">D1919*L1919</f>
        <v>25477584</v>
      </c>
      <c r="P1919" s="42" t="str">
        <f aca="false">TRIM(IF(N(E1919)&lt;=0,"택가보정 ","")&amp;IF(N(F1919)&lt;=0,"원가보정 ","")&amp;IF(AND(B1919&lt;&gt;"CN",N(H1919)&lt;=0),"공급가보정 ","")&amp;IF(AND(B1919="CN",N(I1919)&lt;=0),"중국공급가=원가+마진 ",""))</f>
        <v/>
      </c>
      <c r="Q1919" s="47" t="n">
        <f aca="false">IF(SUMIFS($W:$W,$A:$A,A1919,$C:$C,C1919)=0,0,SUMIFS(RAW_판매펀칭!$K:$K,RAW_판매펀칭!$P:$P,A1919,RAW_판매펀칭!$I:$I,C1919)*W1919/SUMIFS($W:$W,$A:$A,A1919,$C:$C,C1919))</f>
        <v>0</v>
      </c>
      <c r="R1919" s="47" t="n">
        <f aca="false">IF(OR(A1919="500",A1919="800",A1919="810"),0,MAX(W1919-Q1919,0))</f>
        <v>0</v>
      </c>
      <c r="S1919" s="47" t="n">
        <f aca="false">R1919*L1919</f>
        <v>0</v>
      </c>
      <c r="T1919" s="47" t="n">
        <f aca="false">R1919*J1919</f>
        <v>0</v>
      </c>
      <c r="U1919" s="47" t="n">
        <f aca="false">R1919*K1919</f>
        <v>0</v>
      </c>
      <c r="V1919" s="0" t="str">
        <f aca="false">IF(COUNTIFS($A$2:A1919,A1919,$C$2:C1919,C1919,$D$2:D1919,D1919)&gt;1,"중복","")</f>
        <v>중복</v>
      </c>
      <c r="W1919" s="0" t="n">
        <f aca="false">IF(V1919="중복",0,N(D1919))</f>
        <v>0</v>
      </c>
      <c r="X1919" s="0" t="n">
        <f aca="false">IF(COUNTIFS($A$2:A1919,A1919,$C$2:C1919,C1919)=1,ABS(SUMIFS(RAW_발주!$D:$D,RAW_발주!$C:$C,A1919,RAW_발주!$A:$A,C1919)-SUMIFS($W:$W,$A:$A,A1919,$C:$C,C1919)),0)</f>
        <v>0</v>
      </c>
    </row>
    <row r="1920" customFormat="false" ht="15" hidden="false" customHeight="true" outlineLevel="0" collapsed="false">
      <c r="A1920" s="45" t="s">
        <v>1664</v>
      </c>
      <c r="B1920" s="42" t="str">
        <f aca="false">IF(A1920="100","HK",IF(A1920="200","CN",IF(A1920="300","TW","홀세일")))</f>
        <v>홀세일</v>
      </c>
      <c r="C1920" s="45" t="s">
        <v>1222</v>
      </c>
      <c r="D1920" s="46" t="n">
        <v>55</v>
      </c>
      <c r="E1920" s="46" t="n">
        <v>239000</v>
      </c>
      <c r="F1920" s="46" t="n">
        <v>81412</v>
      </c>
      <c r="G1920" s="42" t="n">
        <v>4.1</v>
      </c>
      <c r="H1920" s="42" t="n">
        <v>59.9</v>
      </c>
      <c r="I1920" s="42" t="n">
        <v>66.1</v>
      </c>
      <c r="J1920" s="46" t="n">
        <f aca="false">IF(N(E1920)&gt;0,E1920,IF(N(F1920)&gt;0,F1920*요약!$F$27,0))</f>
        <v>239000</v>
      </c>
      <c r="K1920" s="46" t="n">
        <f aca="false">IF(N(F1920)&gt;0,F1920,IF(N(E1920)&gt;0,E1920/요약!$F$27,0))</f>
        <v>81412</v>
      </c>
      <c r="L1920" s="46" t="n">
        <f aca="false">IF(B1920="CN",IF(N(I1920)&gt;0,I1920*요약!$G$27,K1920*(1+요약!$E$27)),IF(N(H1920)&gt;0,H1920*요약!$G$27,J1920*요약!$D$27))</f>
        <v>79068</v>
      </c>
      <c r="M1920" s="46" t="n">
        <f aca="false">D1920*J1920</f>
        <v>13145000</v>
      </c>
      <c r="N1920" s="46" t="n">
        <f aca="false">D1920*K1920</f>
        <v>4477660</v>
      </c>
      <c r="O1920" s="46" t="n">
        <f aca="false">D1920*L1920</f>
        <v>4348740</v>
      </c>
      <c r="P1920" s="42" t="str">
        <f aca="false">TRIM(IF(N(E1920)&lt;=0,"택가보정 ","")&amp;IF(N(F1920)&lt;=0,"원가보정 ","")&amp;IF(AND(B1920&lt;&gt;"CN",N(H1920)&lt;=0),"공급가보정 ","")&amp;IF(AND(B1920="CN",N(I1920)&lt;=0),"중국공급가=원가+마진 ",""))</f>
        <v/>
      </c>
      <c r="Q1920" s="47" t="n">
        <f aca="false">IF(SUMIFS($W:$W,$A:$A,A1920,$C:$C,C1920)=0,0,SUMIFS(RAW_판매펀칭!$K:$K,RAW_판매펀칭!$P:$P,A1920,RAW_판매펀칭!$I:$I,C1920)*W1920/SUMIFS($W:$W,$A:$A,A1920,$C:$C,C1920))</f>
        <v>0</v>
      </c>
      <c r="R1920" s="47" t="n">
        <f aca="false">IF(OR(A1920="500",A1920="800",A1920="810"),0,MAX(W1920-Q1920,0))</f>
        <v>0</v>
      </c>
      <c r="S1920" s="47" t="n">
        <f aca="false">R1920*L1920</f>
        <v>0</v>
      </c>
      <c r="T1920" s="47" t="n">
        <f aca="false">R1920*J1920</f>
        <v>0</v>
      </c>
      <c r="U1920" s="47" t="n">
        <f aca="false">R1920*K1920</f>
        <v>0</v>
      </c>
      <c r="V1920" s="0" t="str">
        <f aca="false">IF(COUNTIFS($A$2:A1920,A1920,$C$2:C1920,C1920,$D$2:D1920,D1920)&gt;1,"중복","")</f>
        <v/>
      </c>
      <c r="W1920" s="0" t="n">
        <f aca="false">IF(V1920="중복",0,N(D1920))</f>
        <v>55</v>
      </c>
      <c r="X1920" s="0" t="n">
        <f aca="false">IF(COUNTIFS($A$2:A1920,A1920,$C$2:C1920,C1920)=1,ABS(SUMIFS(RAW_발주!$D:$D,RAW_발주!$C:$C,A1920,RAW_발주!$A:$A,C1920)-SUMIFS($W:$W,$A:$A,A1920,$C:$C,C1920)),0)</f>
        <v>0</v>
      </c>
    </row>
    <row r="1921" customFormat="false" ht="15" hidden="false" customHeight="true" outlineLevel="0" collapsed="false">
      <c r="A1921" s="45" t="s">
        <v>1660</v>
      </c>
      <c r="B1921" s="42" t="str">
        <f aca="false">IF(A1921="100","HK",IF(A1921="200","CN",IF(A1921="300","TW","홀세일")))</f>
        <v>CN</v>
      </c>
      <c r="C1921" s="45" t="s">
        <v>1224</v>
      </c>
      <c r="D1921" s="46" t="n">
        <v>322</v>
      </c>
      <c r="E1921" s="46" t="n">
        <v>119000</v>
      </c>
      <c r="F1921" s="46" t="n">
        <v>29711</v>
      </c>
      <c r="G1921" s="42" t="n">
        <v>4.45</v>
      </c>
      <c r="H1921" s="42" t="n">
        <v>28</v>
      </c>
      <c r="I1921" s="42" t="n">
        <v>25</v>
      </c>
      <c r="J1921" s="46" t="n">
        <f aca="false">IF(N(E1921)&gt;0,E1921,IF(N(F1921)&gt;0,F1921*요약!$F$27,0))</f>
        <v>119000</v>
      </c>
      <c r="K1921" s="46" t="n">
        <f aca="false">IF(N(F1921)&gt;0,F1921,IF(N(E1921)&gt;0,E1921/요약!$F$27,0))</f>
        <v>29711</v>
      </c>
      <c r="L1921" s="46" t="n">
        <f aca="false">IF(B1921="CN",IF(N(I1921)&gt;0,I1921*요약!$G$27,K1921*(1+요약!$E$27)),IF(N(H1921)&gt;0,H1921*요약!$G$27,J1921*요약!$D$27))</f>
        <v>33000</v>
      </c>
      <c r="M1921" s="46" t="n">
        <f aca="false">D1921*J1921</f>
        <v>38318000</v>
      </c>
      <c r="N1921" s="46" t="n">
        <f aca="false">D1921*K1921</f>
        <v>9566942</v>
      </c>
      <c r="O1921" s="46" t="n">
        <f aca="false">D1921*L1921</f>
        <v>10626000</v>
      </c>
      <c r="P1921" s="42" t="str">
        <f aca="false">TRIM(IF(N(E1921)&lt;=0,"택가보정 ","")&amp;IF(N(F1921)&lt;=0,"원가보정 ","")&amp;IF(AND(B1921&lt;&gt;"CN",N(H1921)&lt;=0),"공급가보정 ","")&amp;IF(AND(B1921="CN",N(I1921)&lt;=0),"중국공급가=원가+마진 ",""))</f>
        <v/>
      </c>
      <c r="Q1921" s="47" t="n">
        <f aca="false">IF(SUMIFS($W:$W,$A:$A,A1921,$C:$C,C1921)=0,0,SUMIFS(RAW_판매펀칭!$K:$K,RAW_판매펀칭!$P:$P,A1921,RAW_판매펀칭!$I:$I,C1921)*W1921/SUMIFS($W:$W,$A:$A,A1921,$C:$C,C1921))</f>
        <v>300</v>
      </c>
      <c r="R1921" s="47" t="n">
        <f aca="false">IF(OR(A1921="500",A1921="800",A1921="810"),0,MAX(W1921-Q1921,0))</f>
        <v>22</v>
      </c>
      <c r="S1921" s="47" t="n">
        <f aca="false">R1921*L1921</f>
        <v>726000</v>
      </c>
      <c r="T1921" s="47" t="n">
        <f aca="false">R1921*J1921</f>
        <v>2618000</v>
      </c>
      <c r="U1921" s="47" t="n">
        <f aca="false">R1921*K1921</f>
        <v>653642</v>
      </c>
      <c r="V1921" s="0" t="str">
        <f aca="false">IF(COUNTIFS($A$2:A1921,A1921,$C$2:C1921,C1921,$D$2:D1921,D1921)&gt;1,"중복","")</f>
        <v/>
      </c>
      <c r="W1921" s="0" t="n">
        <f aca="false">IF(V1921="중복",0,N(D1921))</f>
        <v>322</v>
      </c>
      <c r="X1921" s="0" t="n">
        <f aca="false">IF(COUNTIFS($A$2:A1921,A1921,$C$2:C1921,C1921)=1,ABS(SUMIFS(RAW_발주!$D:$D,RAW_발주!$C:$C,A1921,RAW_발주!$A:$A,C1921)-SUMIFS($W:$W,$A:$A,A1921,$C:$C,C1921)),0)</f>
        <v>0</v>
      </c>
    </row>
    <row r="1922" customFormat="false" ht="15" hidden="false" customHeight="true" outlineLevel="0" collapsed="false">
      <c r="A1922" s="45" t="s">
        <v>1659</v>
      </c>
      <c r="B1922" s="42" t="str">
        <f aca="false">IF(A1922="100","HK",IF(A1922="200","CN",IF(A1922="300","TW","홀세일")))</f>
        <v>HK</v>
      </c>
      <c r="C1922" s="45" t="s">
        <v>746</v>
      </c>
      <c r="D1922" s="46" t="n">
        <v>200</v>
      </c>
      <c r="E1922" s="46" t="n">
        <v>159000</v>
      </c>
      <c r="F1922" s="46" t="n">
        <v>27600</v>
      </c>
      <c r="G1922" s="42" t="n">
        <v>5.05</v>
      </c>
      <c r="H1922" s="42" t="n">
        <v>37.4</v>
      </c>
      <c r="J1922" s="46" t="n">
        <f aca="false">IF(N(E1922)&gt;0,E1922,IF(N(F1922)&gt;0,F1922*요약!$F$27,0))</f>
        <v>159000</v>
      </c>
      <c r="K1922" s="46" t="n">
        <f aca="false">IF(N(F1922)&gt;0,F1922,IF(N(E1922)&gt;0,E1922/요약!$F$27,0))</f>
        <v>27600</v>
      </c>
      <c r="L1922" s="46" t="n">
        <f aca="false">IF(B1922="CN",IF(N(I1922)&gt;0,I1922*요약!$G$27,K1922*(1+요약!$E$27)),IF(N(H1922)&gt;0,H1922*요약!$G$27,J1922*요약!$D$27))</f>
        <v>49368</v>
      </c>
      <c r="M1922" s="46" t="n">
        <f aca="false">D1922*J1922</f>
        <v>31800000</v>
      </c>
      <c r="N1922" s="46" t="n">
        <f aca="false">D1922*K1922</f>
        <v>5520000</v>
      </c>
      <c r="O1922" s="46" t="n">
        <f aca="false">D1922*L1922</f>
        <v>9873600</v>
      </c>
      <c r="P1922" s="42" t="str">
        <f aca="false">TRIM(IF(N(E1922)&lt;=0,"택가보정 ","")&amp;IF(N(F1922)&lt;=0,"원가보정 ","")&amp;IF(AND(B1922&lt;&gt;"CN",N(H1922)&lt;=0),"공급가보정 ","")&amp;IF(AND(B1922="CN",N(I1922)&lt;=0),"중국공급가=원가+마진 ",""))</f>
        <v/>
      </c>
      <c r="Q1922" s="47" t="n">
        <f aca="false">IF(SUMIFS($W:$W,$A:$A,A1922,$C:$C,C1922)=0,0,SUMIFS(RAW_판매펀칭!$K:$K,RAW_판매펀칭!$P:$P,A1922,RAW_판매펀칭!$I:$I,C1922)*W1922/SUMIFS($W:$W,$A:$A,A1922,$C:$C,C1922))</f>
        <v>200</v>
      </c>
      <c r="R1922" s="47" t="n">
        <f aca="false">IF(OR(A1922="500",A1922="800",A1922="810"),0,MAX(W1922-Q1922,0))</f>
        <v>0</v>
      </c>
      <c r="S1922" s="47" t="n">
        <f aca="false">R1922*L1922</f>
        <v>0</v>
      </c>
      <c r="T1922" s="47" t="n">
        <f aca="false">R1922*J1922</f>
        <v>0</v>
      </c>
      <c r="U1922" s="47" t="n">
        <f aca="false">R1922*K1922</f>
        <v>0</v>
      </c>
      <c r="V1922" s="0" t="str">
        <f aca="false">IF(COUNTIFS($A$2:A1922,A1922,$C$2:C1922,C1922,$D$2:D1922,D1922)&gt;1,"중복","")</f>
        <v/>
      </c>
      <c r="W1922" s="0" t="n">
        <f aca="false">IF(V1922="중복",0,N(D1922))</f>
        <v>200</v>
      </c>
      <c r="X1922" s="0" t="n">
        <f aca="false">IF(COUNTIFS($A$2:A1922,A1922,$C$2:C1922,C1922)=1,ABS(SUMIFS(RAW_발주!$D:$D,RAW_발주!$C:$C,A1922,RAW_발주!$A:$A,C1922)-SUMIFS($W:$W,$A:$A,A1922,$C:$C,C1922)),0)</f>
        <v>0</v>
      </c>
    </row>
    <row r="1923" customFormat="false" ht="15" hidden="false" customHeight="true" outlineLevel="0" collapsed="false">
      <c r="A1923" s="45" t="s">
        <v>1661</v>
      </c>
      <c r="B1923" s="42" t="str">
        <f aca="false">IF(A1923="100","HK",IF(A1923="200","CN",IF(A1923="300","TW","홀세일")))</f>
        <v>TW</v>
      </c>
      <c r="C1923" s="45" t="s">
        <v>746</v>
      </c>
      <c r="D1923" s="46" t="n">
        <v>340</v>
      </c>
      <c r="E1923" s="46" t="n">
        <v>159000</v>
      </c>
      <c r="F1923" s="46" t="n">
        <v>27600</v>
      </c>
      <c r="G1923" s="42" t="n">
        <v>5.05</v>
      </c>
      <c r="H1923" s="42" t="n">
        <v>37.4</v>
      </c>
      <c r="J1923" s="46" t="n">
        <f aca="false">IF(N(E1923)&gt;0,E1923,IF(N(F1923)&gt;0,F1923*요약!$F$27,0))</f>
        <v>159000</v>
      </c>
      <c r="K1923" s="46" t="n">
        <f aca="false">IF(N(F1923)&gt;0,F1923,IF(N(E1923)&gt;0,E1923/요약!$F$27,0))</f>
        <v>27600</v>
      </c>
      <c r="L1923" s="46" t="n">
        <f aca="false">IF(B1923="CN",IF(N(I1923)&gt;0,I1923*요약!$G$27,K1923*(1+요약!$E$27)),IF(N(H1923)&gt;0,H1923*요약!$G$27,J1923*요약!$D$27))</f>
        <v>49368</v>
      </c>
      <c r="M1923" s="46" t="n">
        <f aca="false">D1923*J1923</f>
        <v>54060000</v>
      </c>
      <c r="N1923" s="46" t="n">
        <f aca="false">D1923*K1923</f>
        <v>9384000</v>
      </c>
      <c r="O1923" s="46" t="n">
        <f aca="false">D1923*L1923</f>
        <v>16785120</v>
      </c>
      <c r="P1923" s="42" t="str">
        <f aca="false">TRIM(IF(N(E1923)&lt;=0,"택가보정 ","")&amp;IF(N(F1923)&lt;=0,"원가보정 ","")&amp;IF(AND(B1923&lt;&gt;"CN",N(H1923)&lt;=0),"공급가보정 ","")&amp;IF(AND(B1923="CN",N(I1923)&lt;=0),"중국공급가=원가+마진 ",""))</f>
        <v/>
      </c>
      <c r="Q1923" s="47" t="n">
        <f aca="false">IF(SUMIFS($W:$W,$A:$A,A1923,$C:$C,C1923)=0,0,SUMIFS(RAW_판매펀칭!$K:$K,RAW_판매펀칭!$P:$P,A1923,RAW_판매펀칭!$I:$I,C1923)*W1923/SUMIFS($W:$W,$A:$A,A1923,$C:$C,C1923))</f>
        <v>339</v>
      </c>
      <c r="R1923" s="47" t="n">
        <f aca="false">IF(OR(A1923="500",A1923="800",A1923="810"),0,MAX(W1923-Q1923,0))</f>
        <v>1</v>
      </c>
      <c r="S1923" s="47" t="n">
        <f aca="false">R1923*L1923</f>
        <v>49368</v>
      </c>
      <c r="T1923" s="47" t="n">
        <f aca="false">R1923*J1923</f>
        <v>159000</v>
      </c>
      <c r="U1923" s="47" t="n">
        <f aca="false">R1923*K1923</f>
        <v>27600</v>
      </c>
      <c r="V1923" s="0" t="str">
        <f aca="false">IF(COUNTIFS($A$2:A1923,A1923,$C$2:C1923,C1923,$D$2:D1923,D1923)&gt;1,"중복","")</f>
        <v/>
      </c>
      <c r="W1923" s="0" t="n">
        <f aca="false">IF(V1923="중복",0,N(D1923))</f>
        <v>340</v>
      </c>
      <c r="X1923" s="0" t="n">
        <f aca="false">IF(COUNTIFS($A$2:A1923,A1923,$C$2:C1923,C1923)=1,ABS(SUMIFS(RAW_발주!$D:$D,RAW_발주!$C:$C,A1923,RAW_발주!$A:$A,C1923)-SUMIFS($W:$W,$A:$A,A1923,$C:$C,C1923)),0)</f>
        <v>0</v>
      </c>
    </row>
    <row r="1924" customFormat="false" ht="15" hidden="false" customHeight="true" outlineLevel="0" collapsed="false">
      <c r="A1924" s="45" t="s">
        <v>1661</v>
      </c>
      <c r="B1924" s="42" t="str">
        <f aca="false">IF(A1924="100","HK",IF(A1924="200","CN",IF(A1924="300","TW","홀세일")))</f>
        <v>TW</v>
      </c>
      <c r="C1924" s="45" t="s">
        <v>746</v>
      </c>
      <c r="D1924" s="46" t="n">
        <v>340</v>
      </c>
      <c r="E1924" s="46" t="n">
        <v>159000</v>
      </c>
      <c r="F1924" s="46" t="n">
        <v>27600</v>
      </c>
      <c r="G1924" s="42" t="n">
        <v>5.05</v>
      </c>
      <c r="H1924" s="42" t="n">
        <v>37.4</v>
      </c>
      <c r="J1924" s="46" t="n">
        <f aca="false">IF(N(E1924)&gt;0,E1924,IF(N(F1924)&gt;0,F1924*요약!$F$27,0))</f>
        <v>159000</v>
      </c>
      <c r="K1924" s="46" t="n">
        <f aca="false">IF(N(F1924)&gt;0,F1924,IF(N(E1924)&gt;0,E1924/요약!$F$27,0))</f>
        <v>27600</v>
      </c>
      <c r="L1924" s="46" t="n">
        <f aca="false">IF(B1924="CN",IF(N(I1924)&gt;0,I1924*요약!$G$27,K1924*(1+요약!$E$27)),IF(N(H1924)&gt;0,H1924*요약!$G$27,J1924*요약!$D$27))</f>
        <v>49368</v>
      </c>
      <c r="M1924" s="46" t="n">
        <f aca="false">D1924*J1924</f>
        <v>54060000</v>
      </c>
      <c r="N1924" s="46" t="n">
        <f aca="false">D1924*K1924</f>
        <v>9384000</v>
      </c>
      <c r="O1924" s="46" t="n">
        <f aca="false">D1924*L1924</f>
        <v>16785120</v>
      </c>
      <c r="P1924" s="42" t="str">
        <f aca="false">TRIM(IF(N(E1924)&lt;=0,"택가보정 ","")&amp;IF(N(F1924)&lt;=0,"원가보정 ","")&amp;IF(AND(B1924&lt;&gt;"CN",N(H1924)&lt;=0),"공급가보정 ","")&amp;IF(AND(B1924="CN",N(I1924)&lt;=0),"중국공급가=원가+마진 ",""))</f>
        <v/>
      </c>
      <c r="Q1924" s="47" t="n">
        <f aca="false">IF(SUMIFS($W:$W,$A:$A,A1924,$C:$C,C1924)=0,0,SUMIFS(RAW_판매펀칭!$K:$K,RAW_판매펀칭!$P:$P,A1924,RAW_판매펀칭!$I:$I,C1924)*W1924/SUMIFS($W:$W,$A:$A,A1924,$C:$C,C1924))</f>
        <v>0</v>
      </c>
      <c r="R1924" s="47" t="n">
        <f aca="false">IF(OR(A1924="500",A1924="800",A1924="810"),0,MAX(W1924-Q1924,0))</f>
        <v>0</v>
      </c>
      <c r="S1924" s="47" t="n">
        <f aca="false">R1924*L1924</f>
        <v>0</v>
      </c>
      <c r="T1924" s="47" t="n">
        <f aca="false">R1924*J1924</f>
        <v>0</v>
      </c>
      <c r="U1924" s="47" t="n">
        <f aca="false">R1924*K1924</f>
        <v>0</v>
      </c>
      <c r="V1924" s="0" t="str">
        <f aca="false">IF(COUNTIFS($A$2:A1924,A1924,$C$2:C1924,C1924,$D$2:D1924,D1924)&gt;1,"중복","")</f>
        <v>중복</v>
      </c>
      <c r="W1924" s="0" t="n">
        <f aca="false">IF(V1924="중복",0,N(D1924))</f>
        <v>0</v>
      </c>
      <c r="X1924" s="0" t="n">
        <f aca="false">IF(COUNTIFS($A$2:A1924,A1924,$C$2:C1924,C1924)=1,ABS(SUMIFS(RAW_발주!$D:$D,RAW_발주!$C:$C,A1924,RAW_발주!$A:$A,C1924)-SUMIFS($W:$W,$A:$A,A1924,$C:$C,C1924)),0)</f>
        <v>0</v>
      </c>
    </row>
    <row r="1925" customFormat="false" ht="15" hidden="false" customHeight="true" outlineLevel="0" collapsed="false">
      <c r="A1925" s="45" t="s">
        <v>1663</v>
      </c>
      <c r="B1925" s="42" t="str">
        <f aca="false">IF(A1925="100","HK",IF(A1925="200","CN",IF(A1925="300","TW","홀세일")))</f>
        <v>홀세일</v>
      </c>
      <c r="C1925" s="45" t="s">
        <v>746</v>
      </c>
      <c r="D1925" s="46" t="n">
        <v>95</v>
      </c>
      <c r="E1925" s="46" t="n">
        <v>159000</v>
      </c>
      <c r="F1925" s="46" t="n">
        <v>27600</v>
      </c>
      <c r="G1925" s="42" t="n">
        <v>5.05</v>
      </c>
      <c r="H1925" s="42" t="n">
        <v>37.4</v>
      </c>
      <c r="J1925" s="46" t="n">
        <f aca="false">IF(N(E1925)&gt;0,E1925,IF(N(F1925)&gt;0,F1925*요약!$F$27,0))</f>
        <v>159000</v>
      </c>
      <c r="K1925" s="46" t="n">
        <f aca="false">IF(N(F1925)&gt;0,F1925,IF(N(E1925)&gt;0,E1925/요약!$F$27,0))</f>
        <v>27600</v>
      </c>
      <c r="L1925" s="46" t="n">
        <f aca="false">IF(B1925="CN",IF(N(I1925)&gt;0,I1925*요약!$G$27,K1925*(1+요약!$E$27)),IF(N(H1925)&gt;0,H1925*요약!$G$27,J1925*요약!$D$27))</f>
        <v>49368</v>
      </c>
      <c r="M1925" s="46" t="n">
        <f aca="false">D1925*J1925</f>
        <v>15105000</v>
      </c>
      <c r="N1925" s="46" t="n">
        <f aca="false">D1925*K1925</f>
        <v>2622000</v>
      </c>
      <c r="O1925" s="46" t="n">
        <f aca="false">D1925*L1925</f>
        <v>4689960</v>
      </c>
      <c r="P1925" s="42" t="str">
        <f aca="false">TRIM(IF(N(E1925)&lt;=0,"택가보정 ","")&amp;IF(N(F1925)&lt;=0,"원가보정 ","")&amp;IF(AND(B1925&lt;&gt;"CN",N(H1925)&lt;=0),"공급가보정 ","")&amp;IF(AND(B1925="CN",N(I1925)&lt;=0),"중국공급가=원가+마진 ",""))</f>
        <v/>
      </c>
      <c r="Q1925" s="47" t="n">
        <f aca="false">IF(SUMIFS($W:$W,$A:$A,A1925,$C:$C,C1925)=0,0,SUMIFS(RAW_판매펀칭!$K:$K,RAW_판매펀칭!$P:$P,A1925,RAW_판매펀칭!$I:$I,C1925)*W1925/SUMIFS($W:$W,$A:$A,A1925,$C:$C,C1925))</f>
        <v>95</v>
      </c>
      <c r="R1925" s="47" t="n">
        <f aca="false">IF(OR(A1925="500",A1925="800",A1925="810"),0,MAX(W1925-Q1925,0))</f>
        <v>0</v>
      </c>
      <c r="S1925" s="47" t="n">
        <f aca="false">R1925*L1925</f>
        <v>0</v>
      </c>
      <c r="T1925" s="47" t="n">
        <f aca="false">R1925*J1925</f>
        <v>0</v>
      </c>
      <c r="U1925" s="47" t="n">
        <f aca="false">R1925*K1925</f>
        <v>0</v>
      </c>
      <c r="V1925" s="0" t="str">
        <f aca="false">IF(COUNTIFS($A$2:A1925,A1925,$C$2:C1925,C1925,$D$2:D1925,D1925)&gt;1,"중복","")</f>
        <v/>
      </c>
      <c r="W1925" s="0" t="n">
        <f aca="false">IF(V1925="중복",0,N(D1925))</f>
        <v>95</v>
      </c>
      <c r="X1925" s="0" t="n">
        <f aca="false">IF(COUNTIFS($A$2:A1925,A1925,$C$2:C1925,C1925)=1,ABS(SUMIFS(RAW_발주!$D:$D,RAW_발주!$C:$C,A1925,RAW_발주!$A:$A,C1925)-SUMIFS($W:$W,$A:$A,A1925,$C:$C,C1925)),0)</f>
        <v>0</v>
      </c>
    </row>
    <row r="1926" customFormat="false" ht="15" hidden="false" customHeight="true" outlineLevel="0" collapsed="false">
      <c r="A1926" s="45" t="s">
        <v>1664</v>
      </c>
      <c r="B1926" s="42" t="str">
        <f aca="false">IF(A1926="100","HK",IF(A1926="200","CN",IF(A1926="300","TW","홀세일")))</f>
        <v>홀세일</v>
      </c>
      <c r="C1926" s="45" t="s">
        <v>746</v>
      </c>
      <c r="D1926" s="46" t="n">
        <v>60</v>
      </c>
      <c r="E1926" s="46" t="n">
        <v>159000</v>
      </c>
      <c r="F1926" s="46" t="n">
        <v>27600</v>
      </c>
      <c r="G1926" s="42" t="n">
        <v>5.05</v>
      </c>
      <c r="H1926" s="42" t="n">
        <v>37.4</v>
      </c>
      <c r="J1926" s="46" t="n">
        <f aca="false">IF(N(E1926)&gt;0,E1926,IF(N(F1926)&gt;0,F1926*요약!$F$27,0))</f>
        <v>159000</v>
      </c>
      <c r="K1926" s="46" t="n">
        <f aca="false">IF(N(F1926)&gt;0,F1926,IF(N(E1926)&gt;0,E1926/요약!$F$27,0))</f>
        <v>27600</v>
      </c>
      <c r="L1926" s="46" t="n">
        <f aca="false">IF(B1926="CN",IF(N(I1926)&gt;0,I1926*요약!$G$27,K1926*(1+요약!$E$27)),IF(N(H1926)&gt;0,H1926*요약!$G$27,J1926*요약!$D$27))</f>
        <v>49368</v>
      </c>
      <c r="M1926" s="46" t="n">
        <f aca="false">D1926*J1926</f>
        <v>9540000</v>
      </c>
      <c r="N1926" s="46" t="n">
        <f aca="false">D1926*K1926</f>
        <v>1656000</v>
      </c>
      <c r="O1926" s="46" t="n">
        <f aca="false">D1926*L1926</f>
        <v>2962080</v>
      </c>
      <c r="P1926" s="42" t="str">
        <f aca="false">TRIM(IF(N(E1926)&lt;=0,"택가보정 ","")&amp;IF(N(F1926)&lt;=0,"원가보정 ","")&amp;IF(AND(B1926&lt;&gt;"CN",N(H1926)&lt;=0),"공급가보정 ","")&amp;IF(AND(B1926="CN",N(I1926)&lt;=0),"중국공급가=원가+마진 ",""))</f>
        <v/>
      </c>
      <c r="Q1926" s="47" t="n">
        <f aca="false">IF(SUMIFS($W:$W,$A:$A,A1926,$C:$C,C1926)=0,0,SUMIFS(RAW_판매펀칭!$K:$K,RAW_판매펀칭!$P:$P,A1926,RAW_판매펀칭!$I:$I,C1926)*W1926/SUMIFS($W:$W,$A:$A,A1926,$C:$C,C1926))</f>
        <v>0</v>
      </c>
      <c r="R1926" s="47" t="n">
        <f aca="false">IF(OR(A1926="500",A1926="800",A1926="810"),0,MAX(W1926-Q1926,0))</f>
        <v>0</v>
      </c>
      <c r="S1926" s="47" t="n">
        <f aca="false">R1926*L1926</f>
        <v>0</v>
      </c>
      <c r="T1926" s="47" t="n">
        <f aca="false">R1926*J1926</f>
        <v>0</v>
      </c>
      <c r="U1926" s="47" t="n">
        <f aca="false">R1926*K1926</f>
        <v>0</v>
      </c>
      <c r="V1926" s="0" t="str">
        <f aca="false">IF(COUNTIFS($A$2:A1926,A1926,$C$2:C1926,C1926,$D$2:D1926,D1926)&gt;1,"중복","")</f>
        <v/>
      </c>
      <c r="W1926" s="0" t="n">
        <f aca="false">IF(V1926="중복",0,N(D1926))</f>
        <v>60</v>
      </c>
      <c r="X1926" s="0" t="n">
        <f aca="false">IF(COUNTIFS($A$2:A1926,A1926,$C$2:C1926,C1926)=1,ABS(SUMIFS(RAW_발주!$D:$D,RAW_발주!$C:$C,A1926,RAW_발주!$A:$A,C1926)-SUMIFS($W:$W,$A:$A,A1926,$C:$C,C1926)),0)</f>
        <v>0</v>
      </c>
    </row>
    <row r="1927" customFormat="false" ht="15" hidden="false" customHeight="true" outlineLevel="0" collapsed="false">
      <c r="A1927" s="45" t="s">
        <v>1660</v>
      </c>
      <c r="B1927" s="42" t="str">
        <f aca="false">IF(A1927="100","HK",IF(A1927="200","CN",IF(A1927="300","TW","홀세일")))</f>
        <v>CN</v>
      </c>
      <c r="C1927" s="45" t="s">
        <v>748</v>
      </c>
      <c r="D1927" s="46" t="n">
        <v>302</v>
      </c>
      <c r="E1927" s="46" t="n">
        <v>139000</v>
      </c>
      <c r="F1927" s="46" t="n">
        <v>37316</v>
      </c>
      <c r="G1927" s="42" t="n">
        <v>3.84</v>
      </c>
      <c r="H1927" s="42" t="n">
        <v>32.7</v>
      </c>
      <c r="I1927" s="42" t="n">
        <v>32.7</v>
      </c>
      <c r="J1927" s="46" t="n">
        <f aca="false">IF(N(E1927)&gt;0,E1927,IF(N(F1927)&gt;0,F1927*요약!$F$27,0))</f>
        <v>139000</v>
      </c>
      <c r="K1927" s="46" t="n">
        <f aca="false">IF(N(F1927)&gt;0,F1927,IF(N(E1927)&gt;0,E1927/요약!$F$27,0))</f>
        <v>37316</v>
      </c>
      <c r="L1927" s="46" t="n">
        <f aca="false">IF(B1927="CN",IF(N(I1927)&gt;0,I1927*요약!$G$27,K1927*(1+요약!$E$27)),IF(N(H1927)&gt;0,H1927*요약!$G$27,J1927*요약!$D$27))</f>
        <v>43164</v>
      </c>
      <c r="M1927" s="46" t="n">
        <f aca="false">D1927*J1927</f>
        <v>41978000</v>
      </c>
      <c r="N1927" s="46" t="n">
        <f aca="false">D1927*K1927</f>
        <v>11269432</v>
      </c>
      <c r="O1927" s="46" t="n">
        <f aca="false">D1927*L1927</f>
        <v>13035528</v>
      </c>
      <c r="P1927" s="42" t="str">
        <f aca="false">TRIM(IF(N(E1927)&lt;=0,"택가보정 ","")&amp;IF(N(F1927)&lt;=0,"원가보정 ","")&amp;IF(AND(B1927&lt;&gt;"CN",N(H1927)&lt;=0),"공급가보정 ","")&amp;IF(AND(B1927="CN",N(I1927)&lt;=0),"중국공급가=원가+마진 ",""))</f>
        <v/>
      </c>
      <c r="Q1927" s="47" t="n">
        <f aca="false">IF(SUMIFS($W:$W,$A:$A,A1927,$C:$C,C1927)=0,0,SUMIFS(RAW_판매펀칭!$K:$K,RAW_판매펀칭!$P:$P,A1927,RAW_판매펀칭!$I:$I,C1927)*W1927/SUMIFS($W:$W,$A:$A,A1927,$C:$C,C1927))</f>
        <v>302</v>
      </c>
      <c r="R1927" s="47" t="n">
        <f aca="false">IF(OR(A1927="500",A1927="800",A1927="810"),0,MAX(W1927-Q1927,0))</f>
        <v>0</v>
      </c>
      <c r="S1927" s="47" t="n">
        <f aca="false">R1927*L1927</f>
        <v>0</v>
      </c>
      <c r="T1927" s="47" t="n">
        <f aca="false">R1927*J1927</f>
        <v>0</v>
      </c>
      <c r="U1927" s="47" t="n">
        <f aca="false">R1927*K1927</f>
        <v>0</v>
      </c>
      <c r="V1927" s="0" t="str">
        <f aca="false">IF(COUNTIFS($A$2:A1927,A1927,$C$2:C1927,C1927,$D$2:D1927,D1927)&gt;1,"중복","")</f>
        <v/>
      </c>
      <c r="W1927" s="0" t="n">
        <f aca="false">IF(V1927="중복",0,N(D1927))</f>
        <v>302</v>
      </c>
      <c r="X1927" s="0" t="n">
        <f aca="false">IF(COUNTIFS($A$2:A1927,A1927,$C$2:C1927,C1927)=1,ABS(SUMIFS(RAW_발주!$D:$D,RAW_발주!$C:$C,A1927,RAW_발주!$A:$A,C1927)-SUMIFS($W:$W,$A:$A,A1927,$C:$C,C1927)),0)</f>
        <v>0</v>
      </c>
    </row>
    <row r="1928" customFormat="false" ht="15" hidden="false" customHeight="true" outlineLevel="0" collapsed="false">
      <c r="A1928" s="45" t="s">
        <v>1661</v>
      </c>
      <c r="B1928" s="42" t="str">
        <f aca="false">IF(A1928="100","HK",IF(A1928="200","CN",IF(A1928="300","TW","홀세일")))</f>
        <v>TW</v>
      </c>
      <c r="C1928" s="45" t="s">
        <v>748</v>
      </c>
      <c r="D1928" s="46" t="n">
        <v>180</v>
      </c>
      <c r="E1928" s="46" t="n">
        <v>139000</v>
      </c>
      <c r="F1928" s="46" t="n">
        <v>37316</v>
      </c>
      <c r="G1928" s="42" t="n">
        <v>3.84</v>
      </c>
      <c r="H1928" s="42" t="n">
        <v>32.7</v>
      </c>
      <c r="I1928" s="42" t="n">
        <v>32.7</v>
      </c>
      <c r="J1928" s="46" t="n">
        <f aca="false">IF(N(E1928)&gt;0,E1928,IF(N(F1928)&gt;0,F1928*요약!$F$27,0))</f>
        <v>139000</v>
      </c>
      <c r="K1928" s="46" t="n">
        <f aca="false">IF(N(F1928)&gt;0,F1928,IF(N(E1928)&gt;0,E1928/요약!$F$27,0))</f>
        <v>37316</v>
      </c>
      <c r="L1928" s="46" t="n">
        <f aca="false">IF(B1928="CN",IF(N(I1928)&gt;0,I1928*요약!$G$27,K1928*(1+요약!$E$27)),IF(N(H1928)&gt;0,H1928*요약!$G$27,J1928*요약!$D$27))</f>
        <v>43164</v>
      </c>
      <c r="M1928" s="46" t="n">
        <f aca="false">D1928*J1928</f>
        <v>25020000</v>
      </c>
      <c r="N1928" s="46" t="n">
        <f aca="false">D1928*K1928</f>
        <v>6716880</v>
      </c>
      <c r="O1928" s="46" t="n">
        <f aca="false">D1928*L1928</f>
        <v>7769520</v>
      </c>
      <c r="P1928" s="42" t="str">
        <f aca="false">TRIM(IF(N(E1928)&lt;=0,"택가보정 ","")&amp;IF(N(F1928)&lt;=0,"원가보정 ","")&amp;IF(AND(B1928&lt;&gt;"CN",N(H1928)&lt;=0),"공급가보정 ","")&amp;IF(AND(B1928="CN",N(I1928)&lt;=0),"중국공급가=원가+마진 ",""))</f>
        <v/>
      </c>
      <c r="Q1928" s="47" t="n">
        <f aca="false">IF(SUMIFS($W:$W,$A:$A,A1928,$C:$C,C1928)=0,0,SUMIFS(RAW_판매펀칭!$K:$K,RAW_판매펀칭!$P:$P,A1928,RAW_판매펀칭!$I:$I,C1928)*W1928/SUMIFS($W:$W,$A:$A,A1928,$C:$C,C1928))</f>
        <v>166</v>
      </c>
      <c r="R1928" s="47" t="n">
        <f aca="false">IF(OR(A1928="500",A1928="800",A1928="810"),0,MAX(W1928-Q1928,0))</f>
        <v>14</v>
      </c>
      <c r="S1928" s="47" t="n">
        <f aca="false">R1928*L1928</f>
        <v>604296</v>
      </c>
      <c r="T1928" s="47" t="n">
        <f aca="false">R1928*J1928</f>
        <v>1946000</v>
      </c>
      <c r="U1928" s="47" t="n">
        <f aca="false">R1928*K1928</f>
        <v>522424</v>
      </c>
      <c r="V1928" s="0" t="str">
        <f aca="false">IF(COUNTIFS($A$2:A1928,A1928,$C$2:C1928,C1928,$D$2:D1928,D1928)&gt;1,"중복","")</f>
        <v/>
      </c>
      <c r="W1928" s="0" t="n">
        <f aca="false">IF(V1928="중복",0,N(D1928))</f>
        <v>180</v>
      </c>
      <c r="X1928" s="0" t="n">
        <f aca="false">IF(COUNTIFS($A$2:A1928,A1928,$C$2:C1928,C1928)=1,ABS(SUMIFS(RAW_발주!$D:$D,RAW_발주!$C:$C,A1928,RAW_발주!$A:$A,C1928)-SUMIFS($W:$W,$A:$A,A1928,$C:$C,C1928)),0)</f>
        <v>0</v>
      </c>
    </row>
    <row r="1929" customFormat="false" ht="15" hidden="false" customHeight="true" outlineLevel="0" collapsed="false">
      <c r="A1929" s="45" t="s">
        <v>1660</v>
      </c>
      <c r="B1929" s="42" t="str">
        <f aca="false">IF(A1929="100","HK",IF(A1929="200","CN",IF(A1929="300","TW","홀세일")))</f>
        <v>CN</v>
      </c>
      <c r="C1929" s="45" t="s">
        <v>1226</v>
      </c>
      <c r="D1929" s="46" t="n">
        <v>387</v>
      </c>
      <c r="E1929" s="46" t="n">
        <v>89000</v>
      </c>
      <c r="F1929" s="46" t="n">
        <v>27003</v>
      </c>
      <c r="G1929" s="42" t="n">
        <v>3.6</v>
      </c>
      <c r="H1929" s="42" t="n">
        <v>21</v>
      </c>
      <c r="I1929" s="42" t="n">
        <v>21.9</v>
      </c>
      <c r="J1929" s="46" t="n">
        <f aca="false">IF(N(E1929)&gt;0,E1929,IF(N(F1929)&gt;0,F1929*요약!$F$27,0))</f>
        <v>89000</v>
      </c>
      <c r="K1929" s="46" t="n">
        <f aca="false">IF(N(F1929)&gt;0,F1929,IF(N(E1929)&gt;0,E1929/요약!$F$27,0))</f>
        <v>27003</v>
      </c>
      <c r="L1929" s="46" t="n">
        <f aca="false">IF(B1929="CN",IF(N(I1929)&gt;0,I1929*요약!$G$27,K1929*(1+요약!$E$27)),IF(N(H1929)&gt;0,H1929*요약!$G$27,J1929*요약!$D$27))</f>
        <v>28908</v>
      </c>
      <c r="M1929" s="46" t="n">
        <f aca="false">D1929*J1929</f>
        <v>34443000</v>
      </c>
      <c r="N1929" s="46" t="n">
        <f aca="false">D1929*K1929</f>
        <v>10450161</v>
      </c>
      <c r="O1929" s="46" t="n">
        <f aca="false">D1929*L1929</f>
        <v>11187396</v>
      </c>
      <c r="P1929" s="42" t="str">
        <f aca="false">TRIM(IF(N(E1929)&lt;=0,"택가보정 ","")&amp;IF(N(F1929)&lt;=0,"원가보정 ","")&amp;IF(AND(B1929&lt;&gt;"CN",N(H1929)&lt;=0),"공급가보정 ","")&amp;IF(AND(B1929="CN",N(I1929)&lt;=0),"중국공급가=원가+마진 ",""))</f>
        <v/>
      </c>
      <c r="Q1929" s="47" t="n">
        <f aca="false">IF(SUMIFS($W:$W,$A:$A,A1929,$C:$C,C1929)=0,0,SUMIFS(RAW_판매펀칭!$K:$K,RAW_판매펀칭!$P:$P,A1929,RAW_판매펀칭!$I:$I,C1929)*W1929/SUMIFS($W:$W,$A:$A,A1929,$C:$C,C1929))</f>
        <v>341</v>
      </c>
      <c r="R1929" s="47" t="n">
        <f aca="false">IF(OR(A1929="500",A1929="800",A1929="810"),0,MAX(W1929-Q1929,0))</f>
        <v>46</v>
      </c>
      <c r="S1929" s="47" t="n">
        <f aca="false">R1929*L1929</f>
        <v>1329768</v>
      </c>
      <c r="T1929" s="47" t="n">
        <f aca="false">R1929*J1929</f>
        <v>4094000</v>
      </c>
      <c r="U1929" s="47" t="n">
        <f aca="false">R1929*K1929</f>
        <v>1242138</v>
      </c>
      <c r="V1929" s="0" t="str">
        <f aca="false">IF(COUNTIFS($A$2:A1929,A1929,$C$2:C1929,C1929,$D$2:D1929,D1929)&gt;1,"중복","")</f>
        <v/>
      </c>
      <c r="W1929" s="0" t="n">
        <f aca="false">IF(V1929="중복",0,N(D1929))</f>
        <v>387</v>
      </c>
      <c r="X1929" s="0" t="n">
        <f aca="false">IF(COUNTIFS($A$2:A1929,A1929,$C$2:C1929,C1929)=1,ABS(SUMIFS(RAW_발주!$D:$D,RAW_발주!$C:$C,A1929,RAW_발주!$A:$A,C1929)-SUMIFS($W:$W,$A:$A,A1929,$C:$C,C1929)),0)</f>
        <v>0</v>
      </c>
    </row>
    <row r="1930" customFormat="false" ht="15" hidden="false" customHeight="true" outlineLevel="0" collapsed="false">
      <c r="A1930" s="45" t="s">
        <v>1660</v>
      </c>
      <c r="B1930" s="42" t="str">
        <f aca="false">IF(A1930="100","HK",IF(A1930="200","CN",IF(A1930="300","TW","홀세일")))</f>
        <v>CN</v>
      </c>
      <c r="C1930" s="45" t="s">
        <v>1228</v>
      </c>
      <c r="D1930" s="46" t="n">
        <v>332</v>
      </c>
      <c r="E1930" s="46" t="n">
        <v>119000</v>
      </c>
      <c r="F1930" s="46" t="n">
        <v>34195</v>
      </c>
      <c r="G1930" s="42" t="n">
        <v>3.55</v>
      </c>
      <c r="H1930" s="42" t="n">
        <v>28</v>
      </c>
      <c r="I1930" s="42" t="n">
        <v>26.6</v>
      </c>
      <c r="J1930" s="46" t="n">
        <f aca="false">IF(N(E1930)&gt;0,E1930,IF(N(F1930)&gt;0,F1930*요약!$F$27,0))</f>
        <v>119000</v>
      </c>
      <c r="K1930" s="46" t="n">
        <f aca="false">IF(N(F1930)&gt;0,F1930,IF(N(E1930)&gt;0,E1930/요약!$F$27,0))</f>
        <v>34195</v>
      </c>
      <c r="L1930" s="46" t="n">
        <f aca="false">IF(B1930="CN",IF(N(I1930)&gt;0,I1930*요약!$G$27,K1930*(1+요약!$E$27)),IF(N(H1930)&gt;0,H1930*요약!$G$27,J1930*요약!$D$27))</f>
        <v>35112</v>
      </c>
      <c r="M1930" s="46" t="n">
        <f aca="false">D1930*J1930</f>
        <v>39508000</v>
      </c>
      <c r="N1930" s="46" t="n">
        <f aca="false">D1930*K1930</f>
        <v>11352740</v>
      </c>
      <c r="O1930" s="46" t="n">
        <f aca="false">D1930*L1930</f>
        <v>11657184</v>
      </c>
      <c r="P1930" s="42" t="str">
        <f aca="false">TRIM(IF(N(E1930)&lt;=0,"택가보정 ","")&amp;IF(N(F1930)&lt;=0,"원가보정 ","")&amp;IF(AND(B1930&lt;&gt;"CN",N(H1930)&lt;=0),"공급가보정 ","")&amp;IF(AND(B1930="CN",N(I1930)&lt;=0),"중국공급가=원가+마진 ",""))</f>
        <v/>
      </c>
      <c r="Q1930" s="47" t="n">
        <f aca="false">IF(SUMIFS($W:$W,$A:$A,A1930,$C:$C,C1930)=0,0,SUMIFS(RAW_판매펀칭!$K:$K,RAW_판매펀칭!$P:$P,A1930,RAW_판매펀칭!$I:$I,C1930)*W1930/SUMIFS($W:$W,$A:$A,A1930,$C:$C,C1930))</f>
        <v>325</v>
      </c>
      <c r="R1930" s="47" t="n">
        <f aca="false">IF(OR(A1930="500",A1930="800",A1930="810"),0,MAX(W1930-Q1930,0))</f>
        <v>7</v>
      </c>
      <c r="S1930" s="47" t="n">
        <f aca="false">R1930*L1930</f>
        <v>245784</v>
      </c>
      <c r="T1930" s="47" t="n">
        <f aca="false">R1930*J1930</f>
        <v>833000</v>
      </c>
      <c r="U1930" s="47" t="n">
        <f aca="false">R1930*K1930</f>
        <v>239365</v>
      </c>
      <c r="V1930" s="0" t="str">
        <f aca="false">IF(COUNTIFS($A$2:A1930,A1930,$C$2:C1930,C1930,$D$2:D1930,D1930)&gt;1,"중복","")</f>
        <v/>
      </c>
      <c r="W1930" s="0" t="n">
        <f aca="false">IF(V1930="중복",0,N(D1930))</f>
        <v>332</v>
      </c>
      <c r="X1930" s="0" t="n">
        <f aca="false">IF(COUNTIFS($A$2:A1930,A1930,$C$2:C1930,C1930)=1,ABS(SUMIFS(RAW_발주!$D:$D,RAW_발주!$C:$C,A1930,RAW_발주!$A:$A,C1930)-SUMIFS($W:$W,$A:$A,A1930,$C:$C,C1930)),0)</f>
        <v>0</v>
      </c>
    </row>
    <row r="1931" customFormat="false" ht="15" hidden="false" customHeight="true" outlineLevel="0" collapsed="false">
      <c r="A1931" s="45" t="s">
        <v>1665</v>
      </c>
      <c r="B1931" s="42" t="str">
        <f aca="false">IF(A1931="100","HK",IF(A1931="200","CN",IF(A1931="300","TW","홀세일")))</f>
        <v>홀세일</v>
      </c>
      <c r="C1931" s="45" t="s">
        <v>1742</v>
      </c>
      <c r="D1931" s="46" t="n">
        <v>216</v>
      </c>
      <c r="E1931" s="46" t="n">
        <v>19000</v>
      </c>
      <c r="F1931" s="46" t="n">
        <v>4600</v>
      </c>
      <c r="G1931" s="42" t="n">
        <v>0</v>
      </c>
      <c r="H1931" s="42" t="n">
        <v>5.1</v>
      </c>
      <c r="J1931" s="46" t="n">
        <f aca="false">IF(N(E1931)&gt;0,E1931,IF(N(F1931)&gt;0,F1931*요약!$F$27,0))</f>
        <v>19000</v>
      </c>
      <c r="K1931" s="46" t="n">
        <f aca="false">IF(N(F1931)&gt;0,F1931,IF(N(E1931)&gt;0,E1931/요약!$F$27,0))</f>
        <v>4600</v>
      </c>
      <c r="L1931" s="46" t="n">
        <f aca="false">IF(B1931="CN",IF(N(I1931)&gt;0,I1931*요약!$G$27,K1931*(1+요약!$E$27)),IF(N(H1931)&gt;0,H1931*요약!$G$27,J1931*요약!$D$27))</f>
        <v>6732</v>
      </c>
      <c r="M1931" s="46" t="n">
        <f aca="false">D1931*J1931</f>
        <v>4104000</v>
      </c>
      <c r="N1931" s="46" t="n">
        <f aca="false">D1931*K1931</f>
        <v>993600</v>
      </c>
      <c r="O1931" s="46" t="n">
        <f aca="false">D1931*L1931</f>
        <v>1454112</v>
      </c>
      <c r="P1931" s="42" t="str">
        <f aca="false">TRIM(IF(N(E1931)&lt;=0,"택가보정 ","")&amp;IF(N(F1931)&lt;=0,"원가보정 ","")&amp;IF(AND(B1931&lt;&gt;"CN",N(H1931)&lt;=0),"공급가보정 ","")&amp;IF(AND(B1931="CN",N(I1931)&lt;=0),"중국공급가=원가+마진 ",""))</f>
        <v/>
      </c>
      <c r="Q1931" s="47" t="n">
        <f aca="false">IF(SUMIFS($W:$W,$A:$A,A1931,$C:$C,C1931)=0,0,SUMIFS(RAW_판매펀칭!$K:$K,RAW_판매펀칭!$P:$P,A1931,RAW_판매펀칭!$I:$I,C1931)*W1931/SUMIFS($W:$W,$A:$A,A1931,$C:$C,C1931))</f>
        <v>0</v>
      </c>
      <c r="R1931" s="47" t="n">
        <f aca="false">IF(OR(A1931="500",A1931="800",A1931="810"),0,MAX(W1931-Q1931,0))</f>
        <v>0</v>
      </c>
      <c r="S1931" s="47" t="n">
        <f aca="false">R1931*L1931</f>
        <v>0</v>
      </c>
      <c r="T1931" s="47" t="n">
        <f aca="false">R1931*J1931</f>
        <v>0</v>
      </c>
      <c r="U1931" s="47" t="n">
        <f aca="false">R1931*K1931</f>
        <v>0</v>
      </c>
      <c r="V1931" s="0" t="str">
        <f aca="false">IF(COUNTIFS($A$2:A1931,A1931,$C$2:C1931,C1931,$D$2:D1931,D1931)&gt;1,"중복","")</f>
        <v/>
      </c>
      <c r="W1931" s="0" t="n">
        <f aca="false">IF(V1931="중복",0,N(D1931))</f>
        <v>216</v>
      </c>
      <c r="X1931" s="0" t="n">
        <f aca="false">IF(COUNTIFS($A$2:A1931,A1931,$C$2:C1931,C1931)=1,ABS(SUMIFS(RAW_발주!$D:$D,RAW_발주!$C:$C,A1931,RAW_발주!$A:$A,C1931)-SUMIFS($W:$W,$A:$A,A1931,$C:$C,C1931)),0)</f>
        <v>0</v>
      </c>
    </row>
    <row r="1932" customFormat="false" ht="15" hidden="false" customHeight="true" outlineLevel="0" collapsed="false">
      <c r="A1932" s="45" t="s">
        <v>1664</v>
      </c>
      <c r="B1932" s="42" t="str">
        <f aca="false">IF(A1932="100","HK",IF(A1932="200","CN",IF(A1932="300","TW","홀세일")))</f>
        <v>홀세일</v>
      </c>
      <c r="C1932" s="45" t="s">
        <v>1455</v>
      </c>
      <c r="D1932" s="46" t="n">
        <v>30</v>
      </c>
      <c r="E1932" s="46" t="n">
        <v>89000</v>
      </c>
      <c r="F1932" s="46" t="n">
        <v>22000</v>
      </c>
      <c r="G1932" s="42" t="n">
        <v>3.44</v>
      </c>
      <c r="H1932" s="42" t="n">
        <v>23.7</v>
      </c>
      <c r="J1932" s="46" t="n">
        <f aca="false">IF(N(E1932)&gt;0,E1932,IF(N(F1932)&gt;0,F1932*요약!$F$27,0))</f>
        <v>89000</v>
      </c>
      <c r="K1932" s="46" t="n">
        <f aca="false">IF(N(F1932)&gt;0,F1932,IF(N(E1932)&gt;0,E1932/요약!$F$27,0))</f>
        <v>22000</v>
      </c>
      <c r="L1932" s="46" t="n">
        <f aca="false">IF(B1932="CN",IF(N(I1932)&gt;0,I1932*요약!$G$27,K1932*(1+요약!$E$27)),IF(N(H1932)&gt;0,H1932*요약!$G$27,J1932*요약!$D$27))</f>
        <v>31284</v>
      </c>
      <c r="M1932" s="46" t="n">
        <f aca="false">D1932*J1932</f>
        <v>2670000</v>
      </c>
      <c r="N1932" s="46" t="n">
        <f aca="false">D1932*K1932</f>
        <v>660000</v>
      </c>
      <c r="O1932" s="46" t="n">
        <f aca="false">D1932*L1932</f>
        <v>938520</v>
      </c>
      <c r="P1932" s="42" t="str">
        <f aca="false">TRIM(IF(N(E1932)&lt;=0,"택가보정 ","")&amp;IF(N(F1932)&lt;=0,"원가보정 ","")&amp;IF(AND(B1932&lt;&gt;"CN",N(H1932)&lt;=0),"공급가보정 ","")&amp;IF(AND(B1932="CN",N(I1932)&lt;=0),"중국공급가=원가+마진 ",""))</f>
        <v/>
      </c>
      <c r="Q1932" s="47" t="n">
        <f aca="false">IF(SUMIFS($W:$W,$A:$A,A1932,$C:$C,C1932)=0,0,SUMIFS(RAW_판매펀칭!$K:$K,RAW_판매펀칭!$P:$P,A1932,RAW_판매펀칭!$I:$I,C1932)*W1932/SUMIFS($W:$W,$A:$A,A1932,$C:$C,C1932))</f>
        <v>30</v>
      </c>
      <c r="R1932" s="47" t="n">
        <f aca="false">IF(OR(A1932="500",A1932="800",A1932="810"),0,MAX(W1932-Q1932,0))</f>
        <v>0</v>
      </c>
      <c r="S1932" s="47" t="n">
        <f aca="false">R1932*L1932</f>
        <v>0</v>
      </c>
      <c r="T1932" s="47" t="n">
        <f aca="false">R1932*J1932</f>
        <v>0</v>
      </c>
      <c r="U1932" s="47" t="n">
        <f aca="false">R1932*K1932</f>
        <v>0</v>
      </c>
      <c r="V1932" s="0" t="str">
        <f aca="false">IF(COUNTIFS($A$2:A1932,A1932,$C$2:C1932,C1932,$D$2:D1932,D1932)&gt;1,"중복","")</f>
        <v/>
      </c>
      <c r="W1932" s="0" t="n">
        <f aca="false">IF(V1932="중복",0,N(D1932))</f>
        <v>30</v>
      </c>
      <c r="X1932" s="0" t="n">
        <f aca="false">IF(COUNTIFS($A$2:A1932,A1932,$C$2:C1932,C1932)=1,ABS(SUMIFS(RAW_발주!$D:$D,RAW_발주!$C:$C,A1932,RAW_발주!$A:$A,C1932)-SUMIFS($W:$W,$A:$A,A1932,$C:$C,C1932)),0)</f>
        <v>0</v>
      </c>
    </row>
    <row r="1933" customFormat="false" ht="15" hidden="false" customHeight="true" outlineLevel="0" collapsed="false">
      <c r="A1933" s="45" t="s">
        <v>1661</v>
      </c>
      <c r="B1933" s="42" t="str">
        <f aca="false">IF(A1933="100","HK",IF(A1933="200","CN",IF(A1933="300","TW","홀세일")))</f>
        <v>TW</v>
      </c>
      <c r="C1933" s="45" t="s">
        <v>750</v>
      </c>
      <c r="D1933" s="46" t="n">
        <v>300</v>
      </c>
      <c r="E1933" s="46"/>
      <c r="F1933" s="46" t="n">
        <v>32000</v>
      </c>
      <c r="G1933" s="42" t="n">
        <v>0</v>
      </c>
      <c r="H1933" s="42" t="n">
        <v>39.6</v>
      </c>
      <c r="J1933" s="46" t="n">
        <f aca="false">IF(N(E1933)&gt;0,E1933,IF(N(F1933)&gt;0,F1933*요약!$F$27,0))</f>
        <v>128000</v>
      </c>
      <c r="K1933" s="46" t="n">
        <f aca="false">IF(N(F1933)&gt;0,F1933,IF(N(E1933)&gt;0,E1933/요약!$F$27,0))</f>
        <v>32000</v>
      </c>
      <c r="L1933" s="46" t="n">
        <f aca="false">IF(B1933="CN",IF(N(I1933)&gt;0,I1933*요약!$G$27,K1933*(1+요약!$E$27)),IF(N(H1933)&gt;0,H1933*요약!$G$27,J1933*요약!$D$27))</f>
        <v>52272</v>
      </c>
      <c r="M1933" s="46" t="n">
        <f aca="false">D1933*J1933</f>
        <v>38400000</v>
      </c>
      <c r="N1933" s="46" t="n">
        <f aca="false">D1933*K1933</f>
        <v>9600000</v>
      </c>
      <c r="O1933" s="46" t="n">
        <f aca="false">D1933*L1933</f>
        <v>15681600</v>
      </c>
      <c r="P1933" s="42" t="str">
        <f aca="false">TRIM(IF(N(E1933)&lt;=0,"택가보정 ","")&amp;IF(N(F1933)&lt;=0,"원가보정 ","")&amp;IF(AND(B1933&lt;&gt;"CN",N(H1933)&lt;=0),"공급가보정 ","")&amp;IF(AND(B1933="CN",N(I1933)&lt;=0),"중국공급가=원가+마진 ",""))</f>
        <v>택가보정</v>
      </c>
      <c r="Q1933" s="47" t="n">
        <f aca="false">IF(SUMIFS($W:$W,$A:$A,A1933,$C:$C,C1933)=0,0,SUMIFS(RAW_판매펀칭!$K:$K,RAW_판매펀칭!$P:$P,A1933,RAW_판매펀칭!$I:$I,C1933)*W1933/SUMIFS($W:$W,$A:$A,A1933,$C:$C,C1933))</f>
        <v>300</v>
      </c>
      <c r="R1933" s="47" t="n">
        <f aca="false">IF(OR(A1933="500",A1933="800",A1933="810"),0,MAX(W1933-Q1933,0))</f>
        <v>0</v>
      </c>
      <c r="S1933" s="47" t="n">
        <f aca="false">R1933*L1933</f>
        <v>0</v>
      </c>
      <c r="T1933" s="47" t="n">
        <f aca="false">R1933*J1933</f>
        <v>0</v>
      </c>
      <c r="U1933" s="47" t="n">
        <f aca="false">R1933*K1933</f>
        <v>0</v>
      </c>
      <c r="V1933" s="0" t="str">
        <f aca="false">IF(COUNTIFS($A$2:A1933,A1933,$C$2:C1933,C1933,$D$2:D1933,D1933)&gt;1,"중복","")</f>
        <v/>
      </c>
      <c r="W1933" s="0" t="n">
        <f aca="false">IF(V1933="중복",0,N(D1933))</f>
        <v>300</v>
      </c>
      <c r="X1933" s="0" t="n">
        <f aca="false">IF(COUNTIFS($A$2:A1933,A1933,$C$2:C1933,C1933)=1,ABS(SUMIFS(RAW_발주!$D:$D,RAW_발주!$C:$C,A1933,RAW_발주!$A:$A,C1933)-SUMIFS($W:$W,$A:$A,A1933,$C:$C,C1933)),0)</f>
        <v>0</v>
      </c>
    </row>
    <row r="1934" customFormat="false" ht="15" hidden="false" customHeight="true" outlineLevel="0" collapsed="false">
      <c r="A1934" s="45" t="s">
        <v>1661</v>
      </c>
      <c r="B1934" s="42" t="str">
        <f aca="false">IF(A1934="100","HK",IF(A1934="200","CN",IF(A1934="300","TW","홀세일")))</f>
        <v>TW</v>
      </c>
      <c r="C1934" s="45" t="s">
        <v>750</v>
      </c>
      <c r="D1934" s="46" t="n">
        <v>300</v>
      </c>
      <c r="E1934" s="46"/>
      <c r="F1934" s="46" t="n">
        <v>32000</v>
      </c>
      <c r="G1934" s="42" t="n">
        <v>0</v>
      </c>
      <c r="H1934" s="42" t="n">
        <v>39.6</v>
      </c>
      <c r="J1934" s="46" t="n">
        <f aca="false">IF(N(E1934)&gt;0,E1934,IF(N(F1934)&gt;0,F1934*요약!$F$27,0))</f>
        <v>128000</v>
      </c>
      <c r="K1934" s="46" t="n">
        <f aca="false">IF(N(F1934)&gt;0,F1934,IF(N(E1934)&gt;0,E1934/요약!$F$27,0))</f>
        <v>32000</v>
      </c>
      <c r="L1934" s="46" t="n">
        <f aca="false">IF(B1934="CN",IF(N(I1934)&gt;0,I1934*요약!$G$27,K1934*(1+요약!$E$27)),IF(N(H1934)&gt;0,H1934*요약!$G$27,J1934*요약!$D$27))</f>
        <v>52272</v>
      </c>
      <c r="M1934" s="46" t="n">
        <f aca="false">D1934*J1934</f>
        <v>38400000</v>
      </c>
      <c r="N1934" s="46" t="n">
        <f aca="false">D1934*K1934</f>
        <v>9600000</v>
      </c>
      <c r="O1934" s="46" t="n">
        <f aca="false">D1934*L1934</f>
        <v>15681600</v>
      </c>
      <c r="P1934" s="42" t="str">
        <f aca="false">TRIM(IF(N(E1934)&lt;=0,"택가보정 ","")&amp;IF(N(F1934)&lt;=0,"원가보정 ","")&amp;IF(AND(B1934&lt;&gt;"CN",N(H1934)&lt;=0),"공급가보정 ","")&amp;IF(AND(B1934="CN",N(I1934)&lt;=0),"중국공급가=원가+마진 ",""))</f>
        <v>택가보정</v>
      </c>
      <c r="Q1934" s="47" t="n">
        <f aca="false">IF(SUMIFS($W:$W,$A:$A,A1934,$C:$C,C1934)=0,0,SUMIFS(RAW_판매펀칭!$K:$K,RAW_판매펀칭!$P:$P,A1934,RAW_판매펀칭!$I:$I,C1934)*W1934/SUMIFS($W:$W,$A:$A,A1934,$C:$C,C1934))</f>
        <v>0</v>
      </c>
      <c r="R1934" s="47" t="n">
        <f aca="false">IF(OR(A1934="500",A1934="800",A1934="810"),0,MAX(W1934-Q1934,0))</f>
        <v>0</v>
      </c>
      <c r="S1934" s="47" t="n">
        <f aca="false">R1934*L1934</f>
        <v>0</v>
      </c>
      <c r="T1934" s="47" t="n">
        <f aca="false">R1934*J1934</f>
        <v>0</v>
      </c>
      <c r="U1934" s="47" t="n">
        <f aca="false">R1934*K1934</f>
        <v>0</v>
      </c>
      <c r="V1934" s="0" t="str">
        <f aca="false">IF(COUNTIFS($A$2:A1934,A1934,$C$2:C1934,C1934,$D$2:D1934,D1934)&gt;1,"중복","")</f>
        <v>중복</v>
      </c>
      <c r="W1934" s="0" t="n">
        <f aca="false">IF(V1934="중복",0,N(D1934))</f>
        <v>0</v>
      </c>
      <c r="X1934" s="0" t="n">
        <f aca="false">IF(COUNTIFS($A$2:A1934,A1934,$C$2:C1934,C1934)=1,ABS(SUMIFS(RAW_발주!$D:$D,RAW_발주!$C:$C,A1934,RAW_발주!$A:$A,C1934)-SUMIFS($W:$W,$A:$A,A1934,$C:$C,C1934)),0)</f>
        <v>0</v>
      </c>
    </row>
    <row r="1935" customFormat="false" ht="15" hidden="false" customHeight="true" outlineLevel="0" collapsed="false">
      <c r="A1935" s="45" t="s">
        <v>1661</v>
      </c>
      <c r="B1935" s="42" t="str">
        <f aca="false">IF(A1935="100","HK",IF(A1935="200","CN",IF(A1935="300","TW","홀세일")))</f>
        <v>TW</v>
      </c>
      <c r="C1935" s="45" t="s">
        <v>752</v>
      </c>
      <c r="D1935" s="46" t="n">
        <v>4280</v>
      </c>
      <c r="E1935" s="46"/>
      <c r="F1935" s="46" t="n">
        <v>32000</v>
      </c>
      <c r="G1935" s="42" t="n">
        <v>0</v>
      </c>
      <c r="H1935" s="42" t="n">
        <v>42.2</v>
      </c>
      <c r="J1935" s="46" t="n">
        <f aca="false">IF(N(E1935)&gt;0,E1935,IF(N(F1935)&gt;0,F1935*요약!$F$27,0))</f>
        <v>128000</v>
      </c>
      <c r="K1935" s="46" t="n">
        <f aca="false">IF(N(F1935)&gt;0,F1935,IF(N(E1935)&gt;0,E1935/요약!$F$27,0))</f>
        <v>32000</v>
      </c>
      <c r="L1935" s="46" t="n">
        <f aca="false">IF(B1935="CN",IF(N(I1935)&gt;0,I1935*요약!$G$27,K1935*(1+요약!$E$27)),IF(N(H1935)&gt;0,H1935*요약!$G$27,J1935*요약!$D$27))</f>
        <v>55704</v>
      </c>
      <c r="M1935" s="46" t="n">
        <f aca="false">D1935*J1935</f>
        <v>547840000</v>
      </c>
      <c r="N1935" s="46" t="n">
        <f aca="false">D1935*K1935</f>
        <v>136960000</v>
      </c>
      <c r="O1935" s="46" t="n">
        <f aca="false">D1935*L1935</f>
        <v>238413120</v>
      </c>
      <c r="P1935" s="42" t="str">
        <f aca="false">TRIM(IF(N(E1935)&lt;=0,"택가보정 ","")&amp;IF(N(F1935)&lt;=0,"원가보정 ","")&amp;IF(AND(B1935&lt;&gt;"CN",N(H1935)&lt;=0),"공급가보정 ","")&amp;IF(AND(B1935="CN",N(I1935)&lt;=0),"중국공급가=원가+마진 ",""))</f>
        <v>택가보정</v>
      </c>
      <c r="Q1935" s="47" t="n">
        <f aca="false">IF(SUMIFS($W:$W,$A:$A,A1935,$C:$C,C1935)=0,0,SUMIFS(RAW_판매펀칭!$K:$K,RAW_판매펀칭!$P:$P,A1935,RAW_판매펀칭!$I:$I,C1935)*W1935/SUMIFS($W:$W,$A:$A,A1935,$C:$C,C1935))</f>
        <v>400</v>
      </c>
      <c r="R1935" s="47" t="n">
        <f aca="false">IF(OR(A1935="500",A1935="800",A1935="810"),0,MAX(W1935-Q1935,0))</f>
        <v>3880</v>
      </c>
      <c r="S1935" s="47" t="n">
        <f aca="false">R1935*L1935</f>
        <v>216131520</v>
      </c>
      <c r="T1935" s="47" t="n">
        <f aca="false">R1935*J1935</f>
        <v>496640000</v>
      </c>
      <c r="U1935" s="47" t="n">
        <f aca="false">R1935*K1935</f>
        <v>124160000</v>
      </c>
      <c r="V1935" s="0" t="str">
        <f aca="false">IF(COUNTIFS($A$2:A1935,A1935,$C$2:C1935,C1935,$D$2:D1935,D1935)&gt;1,"중복","")</f>
        <v/>
      </c>
      <c r="W1935" s="0" t="n">
        <f aca="false">IF(V1935="중복",0,N(D1935))</f>
        <v>4280</v>
      </c>
      <c r="X1935" s="0" t="n">
        <f aca="false">IF(COUNTIFS($A$2:A1935,A1935,$C$2:C1935,C1935)=1,ABS(SUMIFS(RAW_발주!$D:$D,RAW_발주!$C:$C,A1935,RAW_발주!$A:$A,C1935)-SUMIFS($W:$W,$A:$A,A1935,$C:$C,C1935)),0)</f>
        <v>0</v>
      </c>
    </row>
    <row r="1936" customFormat="false" ht="15" hidden="false" customHeight="true" outlineLevel="0" collapsed="false">
      <c r="A1936" s="45" t="s">
        <v>1661</v>
      </c>
      <c r="B1936" s="42" t="str">
        <f aca="false">IF(A1936="100","HK",IF(A1936="200","CN",IF(A1936="300","TW","홀세일")))</f>
        <v>TW</v>
      </c>
      <c r="C1936" s="45" t="s">
        <v>754</v>
      </c>
      <c r="D1936" s="46" t="n">
        <v>200</v>
      </c>
      <c r="E1936" s="46"/>
      <c r="F1936" s="46" t="n">
        <v>32000</v>
      </c>
      <c r="G1936" s="42" t="n">
        <v>0</v>
      </c>
      <c r="H1936" s="42" t="n">
        <v>39.6</v>
      </c>
      <c r="J1936" s="46" t="n">
        <f aca="false">IF(N(E1936)&gt;0,E1936,IF(N(F1936)&gt;0,F1936*요약!$F$27,0))</f>
        <v>128000</v>
      </c>
      <c r="K1936" s="46" t="n">
        <f aca="false">IF(N(F1936)&gt;0,F1936,IF(N(E1936)&gt;0,E1936/요약!$F$27,0))</f>
        <v>32000</v>
      </c>
      <c r="L1936" s="46" t="n">
        <f aca="false">IF(B1936="CN",IF(N(I1936)&gt;0,I1936*요약!$G$27,K1936*(1+요약!$E$27)),IF(N(H1936)&gt;0,H1936*요약!$G$27,J1936*요약!$D$27))</f>
        <v>52272</v>
      </c>
      <c r="M1936" s="46" t="n">
        <f aca="false">D1936*J1936</f>
        <v>25600000</v>
      </c>
      <c r="N1936" s="46" t="n">
        <f aca="false">D1936*K1936</f>
        <v>6400000</v>
      </c>
      <c r="O1936" s="46" t="n">
        <f aca="false">D1936*L1936</f>
        <v>10454400</v>
      </c>
      <c r="P1936" s="42" t="str">
        <f aca="false">TRIM(IF(N(E1936)&lt;=0,"택가보정 ","")&amp;IF(N(F1936)&lt;=0,"원가보정 ","")&amp;IF(AND(B1936&lt;&gt;"CN",N(H1936)&lt;=0),"공급가보정 ","")&amp;IF(AND(B1936="CN",N(I1936)&lt;=0),"중국공급가=원가+마진 ",""))</f>
        <v>택가보정</v>
      </c>
      <c r="Q1936" s="47" t="n">
        <f aca="false">IF(SUMIFS($W:$W,$A:$A,A1936,$C:$C,C1936)=0,0,SUMIFS(RAW_판매펀칭!$K:$K,RAW_판매펀칭!$P:$P,A1936,RAW_판매펀칭!$I:$I,C1936)*W1936/SUMIFS($W:$W,$A:$A,A1936,$C:$C,C1936))</f>
        <v>200</v>
      </c>
      <c r="R1936" s="47" t="n">
        <f aca="false">IF(OR(A1936="500",A1936="800",A1936="810"),0,MAX(W1936-Q1936,0))</f>
        <v>0</v>
      </c>
      <c r="S1936" s="47" t="n">
        <f aca="false">R1936*L1936</f>
        <v>0</v>
      </c>
      <c r="T1936" s="47" t="n">
        <f aca="false">R1936*J1936</f>
        <v>0</v>
      </c>
      <c r="U1936" s="47" t="n">
        <f aca="false">R1936*K1936</f>
        <v>0</v>
      </c>
      <c r="V1936" s="0" t="str">
        <f aca="false">IF(COUNTIFS($A$2:A1936,A1936,$C$2:C1936,C1936,$D$2:D1936,D1936)&gt;1,"중복","")</f>
        <v/>
      </c>
      <c r="W1936" s="0" t="n">
        <f aca="false">IF(V1936="중복",0,N(D1936))</f>
        <v>200</v>
      </c>
      <c r="X1936" s="0" t="n">
        <f aca="false">IF(COUNTIFS($A$2:A1936,A1936,$C$2:C1936,C1936)=1,ABS(SUMIFS(RAW_발주!$D:$D,RAW_발주!$C:$C,A1936,RAW_발주!$A:$A,C1936)-SUMIFS($W:$W,$A:$A,A1936,$C:$C,C1936)),0)</f>
        <v>0</v>
      </c>
    </row>
    <row r="1937" customFormat="false" ht="15" hidden="false" customHeight="true" outlineLevel="0" collapsed="false">
      <c r="A1937" s="45" t="s">
        <v>1661</v>
      </c>
      <c r="B1937" s="42" t="str">
        <f aca="false">IF(A1937="100","HK",IF(A1937="200","CN",IF(A1937="300","TW","홀세일")))</f>
        <v>TW</v>
      </c>
      <c r="C1937" s="45" t="s">
        <v>756</v>
      </c>
      <c r="D1937" s="46" t="n">
        <v>200</v>
      </c>
      <c r="E1937" s="46"/>
      <c r="F1937" s="46" t="n">
        <v>32000</v>
      </c>
      <c r="G1937" s="42" t="n">
        <v>0</v>
      </c>
      <c r="H1937" s="42" t="n">
        <v>39.6</v>
      </c>
      <c r="J1937" s="46" t="n">
        <f aca="false">IF(N(E1937)&gt;0,E1937,IF(N(F1937)&gt;0,F1937*요약!$F$27,0))</f>
        <v>128000</v>
      </c>
      <c r="K1937" s="46" t="n">
        <f aca="false">IF(N(F1937)&gt;0,F1937,IF(N(E1937)&gt;0,E1937/요약!$F$27,0))</f>
        <v>32000</v>
      </c>
      <c r="L1937" s="46" t="n">
        <f aca="false">IF(B1937="CN",IF(N(I1937)&gt;0,I1937*요약!$G$27,K1937*(1+요약!$E$27)),IF(N(H1937)&gt;0,H1937*요약!$G$27,J1937*요약!$D$27))</f>
        <v>52272</v>
      </c>
      <c r="M1937" s="46" t="n">
        <f aca="false">D1937*J1937</f>
        <v>25600000</v>
      </c>
      <c r="N1937" s="46" t="n">
        <f aca="false">D1937*K1937</f>
        <v>6400000</v>
      </c>
      <c r="O1937" s="46" t="n">
        <f aca="false">D1937*L1937</f>
        <v>10454400</v>
      </c>
      <c r="P1937" s="42" t="str">
        <f aca="false">TRIM(IF(N(E1937)&lt;=0,"택가보정 ","")&amp;IF(N(F1937)&lt;=0,"원가보정 ","")&amp;IF(AND(B1937&lt;&gt;"CN",N(H1937)&lt;=0),"공급가보정 ","")&amp;IF(AND(B1937="CN",N(I1937)&lt;=0),"중국공급가=원가+마진 ",""))</f>
        <v>택가보정</v>
      </c>
      <c r="Q1937" s="47" t="n">
        <f aca="false">IF(SUMIFS($W:$W,$A:$A,A1937,$C:$C,C1937)=0,0,SUMIFS(RAW_판매펀칭!$K:$K,RAW_판매펀칭!$P:$P,A1937,RAW_판매펀칭!$I:$I,C1937)*W1937/SUMIFS($W:$W,$A:$A,A1937,$C:$C,C1937))</f>
        <v>200</v>
      </c>
      <c r="R1937" s="47" t="n">
        <f aca="false">IF(OR(A1937="500",A1937="800",A1937="810"),0,MAX(W1937-Q1937,0))</f>
        <v>0</v>
      </c>
      <c r="S1937" s="47" t="n">
        <f aca="false">R1937*L1937</f>
        <v>0</v>
      </c>
      <c r="T1937" s="47" t="n">
        <f aca="false">R1937*J1937</f>
        <v>0</v>
      </c>
      <c r="U1937" s="47" t="n">
        <f aca="false">R1937*K1937</f>
        <v>0</v>
      </c>
      <c r="V1937" s="0" t="str">
        <f aca="false">IF(COUNTIFS($A$2:A1937,A1937,$C$2:C1937,C1937,$D$2:D1937,D1937)&gt;1,"중복","")</f>
        <v/>
      </c>
      <c r="W1937" s="0" t="n">
        <f aca="false">IF(V1937="중복",0,N(D1937))</f>
        <v>200</v>
      </c>
      <c r="X1937" s="0" t="n">
        <f aca="false">IF(COUNTIFS($A$2:A1937,A1937,$C$2:C1937,C1937)=1,ABS(SUMIFS(RAW_발주!$D:$D,RAW_발주!$C:$C,A1937,RAW_발주!$A:$A,C1937)-SUMIFS($W:$W,$A:$A,A1937,$C:$C,C1937)),0)</f>
        <v>0</v>
      </c>
    </row>
    <row r="1938" customFormat="false" ht="15" hidden="false" customHeight="true" outlineLevel="0" collapsed="false">
      <c r="A1938" s="45" t="s">
        <v>1661</v>
      </c>
      <c r="B1938" s="42" t="str">
        <f aca="false">IF(A1938="100","HK",IF(A1938="200","CN",IF(A1938="300","TW","홀세일")))</f>
        <v>TW</v>
      </c>
      <c r="C1938" s="45" t="s">
        <v>758</v>
      </c>
      <c r="D1938" s="46" t="n">
        <v>200</v>
      </c>
      <c r="E1938" s="46"/>
      <c r="F1938" s="46" t="n">
        <v>32000</v>
      </c>
      <c r="G1938" s="42" t="n">
        <v>0</v>
      </c>
      <c r="H1938" s="42" t="n">
        <v>42.2</v>
      </c>
      <c r="J1938" s="46" t="n">
        <f aca="false">IF(N(E1938)&gt;0,E1938,IF(N(F1938)&gt;0,F1938*요약!$F$27,0))</f>
        <v>128000</v>
      </c>
      <c r="K1938" s="46" t="n">
        <f aca="false">IF(N(F1938)&gt;0,F1938,IF(N(E1938)&gt;0,E1938/요약!$F$27,0))</f>
        <v>32000</v>
      </c>
      <c r="L1938" s="46" t="n">
        <f aca="false">IF(B1938="CN",IF(N(I1938)&gt;0,I1938*요약!$G$27,K1938*(1+요약!$E$27)),IF(N(H1938)&gt;0,H1938*요약!$G$27,J1938*요약!$D$27))</f>
        <v>55704</v>
      </c>
      <c r="M1938" s="46" t="n">
        <f aca="false">D1938*J1938</f>
        <v>25600000</v>
      </c>
      <c r="N1938" s="46" t="n">
        <f aca="false">D1938*K1938</f>
        <v>6400000</v>
      </c>
      <c r="O1938" s="46" t="n">
        <f aca="false">D1938*L1938</f>
        <v>11140800</v>
      </c>
      <c r="P1938" s="42" t="str">
        <f aca="false">TRIM(IF(N(E1938)&lt;=0,"택가보정 ","")&amp;IF(N(F1938)&lt;=0,"원가보정 ","")&amp;IF(AND(B1938&lt;&gt;"CN",N(H1938)&lt;=0),"공급가보정 ","")&amp;IF(AND(B1938="CN",N(I1938)&lt;=0),"중국공급가=원가+마진 ",""))</f>
        <v>택가보정</v>
      </c>
      <c r="Q1938" s="47" t="n">
        <f aca="false">IF(SUMIFS($W:$W,$A:$A,A1938,$C:$C,C1938)=0,0,SUMIFS(RAW_판매펀칭!$K:$K,RAW_판매펀칭!$P:$P,A1938,RAW_판매펀칭!$I:$I,C1938)*W1938/SUMIFS($W:$W,$A:$A,A1938,$C:$C,C1938))</f>
        <v>200</v>
      </c>
      <c r="R1938" s="47" t="n">
        <f aca="false">IF(OR(A1938="500",A1938="800",A1938="810"),0,MAX(W1938-Q1938,0))</f>
        <v>0</v>
      </c>
      <c r="S1938" s="47" t="n">
        <f aca="false">R1938*L1938</f>
        <v>0</v>
      </c>
      <c r="T1938" s="47" t="n">
        <f aca="false">R1938*J1938</f>
        <v>0</v>
      </c>
      <c r="U1938" s="47" t="n">
        <f aca="false">R1938*K1938</f>
        <v>0</v>
      </c>
      <c r="V1938" s="0" t="str">
        <f aca="false">IF(COUNTIFS($A$2:A1938,A1938,$C$2:C1938,C1938,$D$2:D1938,D1938)&gt;1,"중복","")</f>
        <v/>
      </c>
      <c r="W1938" s="0" t="n">
        <f aca="false">IF(V1938="중복",0,N(D1938))</f>
        <v>200</v>
      </c>
      <c r="X1938" s="0" t="n">
        <f aca="false">IF(COUNTIFS($A$2:A1938,A1938,$C$2:C1938,C1938)=1,ABS(SUMIFS(RAW_발주!$D:$D,RAW_발주!$C:$C,A1938,RAW_발주!$A:$A,C1938)-SUMIFS($W:$W,$A:$A,A1938,$C:$C,C1938)),0)</f>
        <v>0</v>
      </c>
    </row>
    <row r="1939" customFormat="false" ht="15" hidden="false" customHeight="true" outlineLevel="0" collapsed="false">
      <c r="A1939" s="45" t="s">
        <v>1661</v>
      </c>
      <c r="B1939" s="42" t="str">
        <f aca="false">IF(A1939="100","HK",IF(A1939="200","CN",IF(A1939="300","TW","홀세일")))</f>
        <v>TW</v>
      </c>
      <c r="C1939" s="45" t="s">
        <v>760</v>
      </c>
      <c r="D1939" s="46" t="n">
        <v>200</v>
      </c>
      <c r="E1939" s="46"/>
      <c r="F1939" s="46" t="n">
        <v>35000</v>
      </c>
      <c r="G1939" s="42" t="n">
        <v>0</v>
      </c>
      <c r="H1939" s="42" t="n">
        <v>44.9</v>
      </c>
      <c r="J1939" s="46" t="n">
        <f aca="false">IF(N(E1939)&gt;0,E1939,IF(N(F1939)&gt;0,F1939*요약!$F$27,0))</f>
        <v>140000</v>
      </c>
      <c r="K1939" s="46" t="n">
        <f aca="false">IF(N(F1939)&gt;0,F1939,IF(N(E1939)&gt;0,E1939/요약!$F$27,0))</f>
        <v>35000</v>
      </c>
      <c r="L1939" s="46" t="n">
        <f aca="false">IF(B1939="CN",IF(N(I1939)&gt;0,I1939*요약!$G$27,K1939*(1+요약!$E$27)),IF(N(H1939)&gt;0,H1939*요약!$G$27,J1939*요약!$D$27))</f>
        <v>59268</v>
      </c>
      <c r="M1939" s="46" t="n">
        <f aca="false">D1939*J1939</f>
        <v>28000000</v>
      </c>
      <c r="N1939" s="46" t="n">
        <f aca="false">D1939*K1939</f>
        <v>7000000</v>
      </c>
      <c r="O1939" s="46" t="n">
        <f aca="false">D1939*L1939</f>
        <v>11853600</v>
      </c>
      <c r="P1939" s="42" t="str">
        <f aca="false">TRIM(IF(N(E1939)&lt;=0,"택가보정 ","")&amp;IF(N(F1939)&lt;=0,"원가보정 ","")&amp;IF(AND(B1939&lt;&gt;"CN",N(H1939)&lt;=0),"공급가보정 ","")&amp;IF(AND(B1939="CN",N(I1939)&lt;=0),"중국공급가=원가+마진 ",""))</f>
        <v>택가보정</v>
      </c>
      <c r="Q1939" s="47" t="n">
        <f aca="false">IF(SUMIFS($W:$W,$A:$A,A1939,$C:$C,C1939)=0,0,SUMIFS(RAW_판매펀칭!$K:$K,RAW_판매펀칭!$P:$P,A1939,RAW_판매펀칭!$I:$I,C1939)*W1939/SUMIFS($W:$W,$A:$A,A1939,$C:$C,C1939))</f>
        <v>200</v>
      </c>
      <c r="R1939" s="47" t="n">
        <f aca="false">IF(OR(A1939="500",A1939="800",A1939="810"),0,MAX(W1939-Q1939,0))</f>
        <v>0</v>
      </c>
      <c r="S1939" s="47" t="n">
        <f aca="false">R1939*L1939</f>
        <v>0</v>
      </c>
      <c r="T1939" s="47" t="n">
        <f aca="false">R1939*J1939</f>
        <v>0</v>
      </c>
      <c r="U1939" s="47" t="n">
        <f aca="false">R1939*K1939</f>
        <v>0</v>
      </c>
      <c r="V1939" s="0" t="str">
        <f aca="false">IF(COUNTIFS($A$2:A1939,A1939,$C$2:C1939,C1939,$D$2:D1939,D1939)&gt;1,"중복","")</f>
        <v/>
      </c>
      <c r="W1939" s="0" t="n">
        <f aca="false">IF(V1939="중복",0,N(D1939))</f>
        <v>200</v>
      </c>
      <c r="X1939" s="0" t="n">
        <f aca="false">IF(COUNTIFS($A$2:A1939,A1939,$C$2:C1939,C1939)=1,ABS(SUMIFS(RAW_발주!$D:$D,RAW_발주!$C:$C,A1939,RAW_발주!$A:$A,C1939)-SUMIFS($W:$W,$A:$A,A1939,$C:$C,C1939)),0)</f>
        <v>0</v>
      </c>
    </row>
    <row r="1940" customFormat="false" ht="15" hidden="false" customHeight="true" outlineLevel="0" collapsed="false">
      <c r="A1940" s="45" t="s">
        <v>1665</v>
      </c>
      <c r="B1940" s="42" t="str">
        <f aca="false">IF(A1940="100","HK",IF(A1940="200","CN",IF(A1940="300","TW","홀세일")))</f>
        <v>홀세일</v>
      </c>
      <c r="C1940" s="45" t="s">
        <v>1743</v>
      </c>
      <c r="D1940" s="46" t="n">
        <v>402</v>
      </c>
      <c r="E1940" s="46" t="n">
        <v>89000</v>
      </c>
      <c r="F1940" s="46" t="n">
        <v>22000</v>
      </c>
      <c r="G1940" s="42" t="n">
        <v>0</v>
      </c>
      <c r="H1940" s="42" t="n">
        <v>23.7</v>
      </c>
      <c r="J1940" s="46" t="n">
        <f aca="false">IF(N(E1940)&gt;0,E1940,IF(N(F1940)&gt;0,F1940*요약!$F$27,0))</f>
        <v>89000</v>
      </c>
      <c r="K1940" s="46" t="n">
        <f aca="false">IF(N(F1940)&gt;0,F1940,IF(N(E1940)&gt;0,E1940/요약!$F$27,0))</f>
        <v>22000</v>
      </c>
      <c r="L1940" s="46" t="n">
        <f aca="false">IF(B1940="CN",IF(N(I1940)&gt;0,I1940*요약!$G$27,K1940*(1+요약!$E$27)),IF(N(H1940)&gt;0,H1940*요약!$G$27,J1940*요약!$D$27))</f>
        <v>31284</v>
      </c>
      <c r="M1940" s="46" t="n">
        <f aca="false">D1940*J1940</f>
        <v>35778000</v>
      </c>
      <c r="N1940" s="46" t="n">
        <f aca="false">D1940*K1940</f>
        <v>8844000</v>
      </c>
      <c r="O1940" s="46" t="n">
        <f aca="false">D1940*L1940</f>
        <v>12576168</v>
      </c>
      <c r="P1940" s="42" t="str">
        <f aca="false">TRIM(IF(N(E1940)&lt;=0,"택가보정 ","")&amp;IF(N(F1940)&lt;=0,"원가보정 ","")&amp;IF(AND(B1940&lt;&gt;"CN",N(H1940)&lt;=0),"공급가보정 ","")&amp;IF(AND(B1940="CN",N(I1940)&lt;=0),"중국공급가=원가+마진 ",""))</f>
        <v/>
      </c>
      <c r="Q1940" s="47" t="n">
        <f aca="false">IF(SUMIFS($W:$W,$A:$A,A1940,$C:$C,C1940)=0,0,SUMIFS(RAW_판매펀칭!$K:$K,RAW_판매펀칭!$P:$P,A1940,RAW_판매펀칭!$I:$I,C1940)*W1940/SUMIFS($W:$W,$A:$A,A1940,$C:$C,C1940))</f>
        <v>0</v>
      </c>
      <c r="R1940" s="47" t="n">
        <f aca="false">IF(OR(A1940="500",A1940="800",A1940="810"),0,MAX(W1940-Q1940,0))</f>
        <v>0</v>
      </c>
      <c r="S1940" s="47" t="n">
        <f aca="false">R1940*L1940</f>
        <v>0</v>
      </c>
      <c r="T1940" s="47" t="n">
        <f aca="false">R1940*J1940</f>
        <v>0</v>
      </c>
      <c r="U1940" s="47" t="n">
        <f aca="false">R1940*K1940</f>
        <v>0</v>
      </c>
      <c r="V1940" s="0" t="str">
        <f aca="false">IF(COUNTIFS($A$2:A1940,A1940,$C$2:C1940,C1940,$D$2:D1940,D1940)&gt;1,"중복","")</f>
        <v/>
      </c>
      <c r="W1940" s="0" t="n">
        <f aca="false">IF(V1940="중복",0,N(D1940))</f>
        <v>402</v>
      </c>
      <c r="X1940" s="0" t="n">
        <f aca="false">IF(COUNTIFS($A$2:A1940,A1940,$C$2:C1940,C1940)=1,ABS(SUMIFS(RAW_발주!$D:$D,RAW_발주!$C:$C,A1940,RAW_발주!$A:$A,C1940)-SUMIFS($W:$W,$A:$A,A1940,$C:$C,C1940)),0)</f>
        <v>0</v>
      </c>
    </row>
    <row r="1941" customFormat="false" ht="15" hidden="false" customHeight="true" outlineLevel="0" collapsed="false">
      <c r="A1941" s="45" t="s">
        <v>1665</v>
      </c>
      <c r="B1941" s="42" t="str">
        <f aca="false">IF(A1941="100","HK",IF(A1941="200","CN",IF(A1941="300","TW","홀세일")))</f>
        <v>홀세일</v>
      </c>
      <c r="C1941" s="45" t="s">
        <v>1744</v>
      </c>
      <c r="D1941" s="46" t="n">
        <v>408</v>
      </c>
      <c r="E1941" s="46" t="n">
        <v>69000</v>
      </c>
      <c r="F1941" s="46" t="n">
        <v>13100</v>
      </c>
      <c r="G1941" s="42" t="n">
        <v>0</v>
      </c>
      <c r="H1941" s="42" t="n">
        <v>18.4</v>
      </c>
      <c r="J1941" s="46" t="n">
        <f aca="false">IF(N(E1941)&gt;0,E1941,IF(N(F1941)&gt;0,F1941*요약!$F$27,0))</f>
        <v>69000</v>
      </c>
      <c r="K1941" s="46" t="n">
        <f aca="false">IF(N(F1941)&gt;0,F1941,IF(N(E1941)&gt;0,E1941/요약!$F$27,0))</f>
        <v>13100</v>
      </c>
      <c r="L1941" s="46" t="n">
        <f aca="false">IF(B1941="CN",IF(N(I1941)&gt;0,I1941*요약!$G$27,K1941*(1+요약!$E$27)),IF(N(H1941)&gt;0,H1941*요약!$G$27,J1941*요약!$D$27))</f>
        <v>24288</v>
      </c>
      <c r="M1941" s="46" t="n">
        <f aca="false">D1941*J1941</f>
        <v>28152000</v>
      </c>
      <c r="N1941" s="46" t="n">
        <f aca="false">D1941*K1941</f>
        <v>5344800</v>
      </c>
      <c r="O1941" s="46" t="n">
        <f aca="false">D1941*L1941</f>
        <v>9909504</v>
      </c>
      <c r="P1941" s="42" t="str">
        <f aca="false">TRIM(IF(N(E1941)&lt;=0,"택가보정 ","")&amp;IF(N(F1941)&lt;=0,"원가보정 ","")&amp;IF(AND(B1941&lt;&gt;"CN",N(H1941)&lt;=0),"공급가보정 ","")&amp;IF(AND(B1941="CN",N(I1941)&lt;=0),"중국공급가=원가+마진 ",""))</f>
        <v/>
      </c>
      <c r="Q1941" s="47" t="n">
        <f aca="false">IF(SUMIFS($W:$W,$A:$A,A1941,$C:$C,C1941)=0,0,SUMIFS(RAW_판매펀칭!$K:$K,RAW_판매펀칭!$P:$P,A1941,RAW_판매펀칭!$I:$I,C1941)*W1941/SUMIFS($W:$W,$A:$A,A1941,$C:$C,C1941))</f>
        <v>0</v>
      </c>
      <c r="R1941" s="47" t="n">
        <f aca="false">IF(OR(A1941="500",A1941="800",A1941="810"),0,MAX(W1941-Q1941,0))</f>
        <v>0</v>
      </c>
      <c r="S1941" s="47" t="n">
        <f aca="false">R1941*L1941</f>
        <v>0</v>
      </c>
      <c r="T1941" s="47" t="n">
        <f aca="false">R1941*J1941</f>
        <v>0</v>
      </c>
      <c r="U1941" s="47" t="n">
        <f aca="false">R1941*K1941</f>
        <v>0</v>
      </c>
      <c r="V1941" s="0" t="str">
        <f aca="false">IF(COUNTIFS($A$2:A1941,A1941,$C$2:C1941,C1941,$D$2:D1941,D1941)&gt;1,"중복","")</f>
        <v/>
      </c>
      <c r="W1941" s="0" t="n">
        <f aca="false">IF(V1941="중복",0,N(D1941))</f>
        <v>408</v>
      </c>
      <c r="X1941" s="0" t="n">
        <f aca="false">IF(COUNTIFS($A$2:A1941,A1941,$C$2:C1941,C1941)=1,ABS(SUMIFS(RAW_발주!$D:$D,RAW_발주!$C:$C,A1941,RAW_발주!$A:$A,C1941)-SUMIFS($W:$W,$A:$A,A1941,$C:$C,C1941)),0)</f>
        <v>0</v>
      </c>
    </row>
    <row r="1942" customFormat="false" ht="15" hidden="false" customHeight="true" outlineLevel="0" collapsed="false">
      <c r="A1942" s="45" t="s">
        <v>1665</v>
      </c>
      <c r="B1942" s="42" t="str">
        <f aca="false">IF(A1942="100","HK",IF(A1942="200","CN",IF(A1942="300","TW","홀세일")))</f>
        <v>홀세일</v>
      </c>
      <c r="C1942" s="45" t="s">
        <v>1745</v>
      </c>
      <c r="D1942" s="46" t="n">
        <v>312</v>
      </c>
      <c r="E1942" s="46" t="n">
        <v>59000</v>
      </c>
      <c r="F1942" s="46" t="n">
        <v>15300</v>
      </c>
      <c r="G1942" s="42" t="n">
        <v>0</v>
      </c>
      <c r="H1942" s="42" t="n">
        <v>15.7</v>
      </c>
      <c r="J1942" s="46" t="n">
        <f aca="false">IF(N(E1942)&gt;0,E1942,IF(N(F1942)&gt;0,F1942*요약!$F$27,0))</f>
        <v>59000</v>
      </c>
      <c r="K1942" s="46" t="n">
        <f aca="false">IF(N(F1942)&gt;0,F1942,IF(N(E1942)&gt;0,E1942/요약!$F$27,0))</f>
        <v>15300</v>
      </c>
      <c r="L1942" s="46" t="n">
        <f aca="false">IF(B1942="CN",IF(N(I1942)&gt;0,I1942*요약!$G$27,K1942*(1+요약!$E$27)),IF(N(H1942)&gt;0,H1942*요약!$G$27,J1942*요약!$D$27))</f>
        <v>20724</v>
      </c>
      <c r="M1942" s="46" t="n">
        <f aca="false">D1942*J1942</f>
        <v>18408000</v>
      </c>
      <c r="N1942" s="46" t="n">
        <f aca="false">D1942*K1942</f>
        <v>4773600</v>
      </c>
      <c r="O1942" s="46" t="n">
        <f aca="false">D1942*L1942</f>
        <v>6465888</v>
      </c>
      <c r="P1942" s="42" t="str">
        <f aca="false">TRIM(IF(N(E1942)&lt;=0,"택가보정 ","")&amp;IF(N(F1942)&lt;=0,"원가보정 ","")&amp;IF(AND(B1942&lt;&gt;"CN",N(H1942)&lt;=0),"공급가보정 ","")&amp;IF(AND(B1942="CN",N(I1942)&lt;=0),"중국공급가=원가+마진 ",""))</f>
        <v/>
      </c>
      <c r="Q1942" s="47" t="n">
        <f aca="false">IF(SUMIFS($W:$W,$A:$A,A1942,$C:$C,C1942)=0,0,SUMIFS(RAW_판매펀칭!$K:$K,RAW_판매펀칭!$P:$P,A1942,RAW_판매펀칭!$I:$I,C1942)*W1942/SUMIFS($W:$W,$A:$A,A1942,$C:$C,C1942))</f>
        <v>0</v>
      </c>
      <c r="R1942" s="47" t="n">
        <f aca="false">IF(OR(A1942="500",A1942="800",A1942="810"),0,MAX(W1942-Q1942,0))</f>
        <v>0</v>
      </c>
      <c r="S1942" s="47" t="n">
        <f aca="false">R1942*L1942</f>
        <v>0</v>
      </c>
      <c r="T1942" s="47" t="n">
        <f aca="false">R1942*J1942</f>
        <v>0</v>
      </c>
      <c r="U1942" s="47" t="n">
        <f aca="false">R1942*K1942</f>
        <v>0</v>
      </c>
      <c r="V1942" s="0" t="str">
        <f aca="false">IF(COUNTIFS($A$2:A1942,A1942,$C$2:C1942,C1942,$D$2:D1942,D1942)&gt;1,"중복","")</f>
        <v/>
      </c>
      <c r="W1942" s="0" t="n">
        <f aca="false">IF(V1942="중복",0,N(D1942))</f>
        <v>312</v>
      </c>
      <c r="X1942" s="0" t="n">
        <f aca="false">IF(COUNTIFS($A$2:A1942,A1942,$C$2:C1942,C1942)=1,ABS(SUMIFS(RAW_발주!$D:$D,RAW_발주!$C:$C,A1942,RAW_발주!$A:$A,C1942)-SUMIFS($W:$W,$A:$A,A1942,$C:$C,C1942)),0)</f>
        <v>0</v>
      </c>
    </row>
    <row r="1943" customFormat="false" ht="15" hidden="false" customHeight="true" outlineLevel="0" collapsed="false">
      <c r="A1943" s="45" t="s">
        <v>1665</v>
      </c>
      <c r="B1943" s="42" t="str">
        <f aca="false">IF(A1943="100","HK",IF(A1943="200","CN",IF(A1943="300","TW","홀세일")))</f>
        <v>홀세일</v>
      </c>
      <c r="C1943" s="45" t="s">
        <v>1746</v>
      </c>
      <c r="D1943" s="46" t="n">
        <v>504</v>
      </c>
      <c r="E1943" s="46" t="n">
        <v>49000</v>
      </c>
      <c r="F1943" s="46" t="n">
        <v>11900</v>
      </c>
      <c r="G1943" s="42" t="n">
        <v>0</v>
      </c>
      <c r="H1943" s="42" t="n">
        <v>13.1</v>
      </c>
      <c r="J1943" s="46" t="n">
        <f aca="false">IF(N(E1943)&gt;0,E1943,IF(N(F1943)&gt;0,F1943*요약!$F$27,0))</f>
        <v>49000</v>
      </c>
      <c r="K1943" s="46" t="n">
        <f aca="false">IF(N(F1943)&gt;0,F1943,IF(N(E1943)&gt;0,E1943/요약!$F$27,0))</f>
        <v>11900</v>
      </c>
      <c r="L1943" s="46" t="n">
        <f aca="false">IF(B1943="CN",IF(N(I1943)&gt;0,I1943*요약!$G$27,K1943*(1+요약!$E$27)),IF(N(H1943)&gt;0,H1943*요약!$G$27,J1943*요약!$D$27))</f>
        <v>17292</v>
      </c>
      <c r="M1943" s="46" t="n">
        <f aca="false">D1943*J1943</f>
        <v>24696000</v>
      </c>
      <c r="N1943" s="46" t="n">
        <f aca="false">D1943*K1943</f>
        <v>5997600</v>
      </c>
      <c r="O1943" s="46" t="n">
        <f aca="false">D1943*L1943</f>
        <v>8715168</v>
      </c>
      <c r="P1943" s="42" t="str">
        <f aca="false">TRIM(IF(N(E1943)&lt;=0,"택가보정 ","")&amp;IF(N(F1943)&lt;=0,"원가보정 ","")&amp;IF(AND(B1943&lt;&gt;"CN",N(H1943)&lt;=0),"공급가보정 ","")&amp;IF(AND(B1943="CN",N(I1943)&lt;=0),"중국공급가=원가+마진 ",""))</f>
        <v/>
      </c>
      <c r="Q1943" s="47" t="n">
        <f aca="false">IF(SUMIFS($W:$W,$A:$A,A1943,$C:$C,C1943)=0,0,SUMIFS(RAW_판매펀칭!$K:$K,RAW_판매펀칭!$P:$P,A1943,RAW_판매펀칭!$I:$I,C1943)*W1943/SUMIFS($W:$W,$A:$A,A1943,$C:$C,C1943))</f>
        <v>0</v>
      </c>
      <c r="R1943" s="47" t="n">
        <f aca="false">IF(OR(A1943="500",A1943="800",A1943="810"),0,MAX(W1943-Q1943,0))</f>
        <v>0</v>
      </c>
      <c r="S1943" s="47" t="n">
        <f aca="false">R1943*L1943</f>
        <v>0</v>
      </c>
      <c r="T1943" s="47" t="n">
        <f aca="false">R1943*J1943</f>
        <v>0</v>
      </c>
      <c r="U1943" s="47" t="n">
        <f aca="false">R1943*K1943</f>
        <v>0</v>
      </c>
      <c r="V1943" s="0" t="str">
        <f aca="false">IF(COUNTIFS($A$2:A1943,A1943,$C$2:C1943,C1943,$D$2:D1943,D1943)&gt;1,"중복","")</f>
        <v/>
      </c>
      <c r="W1943" s="0" t="n">
        <f aca="false">IF(V1943="중복",0,N(D1943))</f>
        <v>504</v>
      </c>
      <c r="X1943" s="0" t="n">
        <f aca="false">IF(COUNTIFS($A$2:A1943,A1943,$C$2:C1943,C1943)=1,ABS(SUMIFS(RAW_발주!$D:$D,RAW_발주!$C:$C,A1943,RAW_발주!$A:$A,C1943)-SUMIFS($W:$W,$A:$A,A1943,$C:$C,C1943)),0)</f>
        <v>0</v>
      </c>
    </row>
    <row r="1944" customFormat="false" ht="15" hidden="false" customHeight="true" outlineLevel="0" collapsed="false">
      <c r="A1944" s="45" t="s">
        <v>1663</v>
      </c>
      <c r="B1944" s="42" t="str">
        <f aca="false">IF(A1944="100","HK",IF(A1944="200","CN",IF(A1944="300","TW","홀세일")))</f>
        <v>홀세일</v>
      </c>
      <c r="C1944" s="45" t="s">
        <v>1747</v>
      </c>
      <c r="D1944" s="46" t="n">
        <v>1000</v>
      </c>
      <c r="E1944" s="46"/>
      <c r="F1944" s="46" t="n">
        <v>21400</v>
      </c>
      <c r="G1944" s="42" t="n">
        <v>0</v>
      </c>
      <c r="J1944" s="46" t="n">
        <f aca="false">IF(N(E1944)&gt;0,E1944,IF(N(F1944)&gt;0,F1944*요약!$F$27,0))</f>
        <v>85600</v>
      </c>
      <c r="K1944" s="46" t="n">
        <f aca="false">IF(N(F1944)&gt;0,F1944,IF(N(E1944)&gt;0,E1944/요약!$F$27,0))</f>
        <v>21400</v>
      </c>
      <c r="L1944" s="46" t="n">
        <f aca="false">IF(B1944="CN",IF(N(I1944)&gt;0,I1944*요약!$G$27,K1944*(1+요약!$E$27)),IF(N(H1944)&gt;0,H1944*요약!$G$27,J1944*요약!$D$27))</f>
        <v>28248</v>
      </c>
      <c r="M1944" s="46" t="n">
        <f aca="false">D1944*J1944</f>
        <v>85600000</v>
      </c>
      <c r="N1944" s="46" t="n">
        <f aca="false">D1944*K1944</f>
        <v>21400000</v>
      </c>
      <c r="O1944" s="46" t="n">
        <f aca="false">D1944*L1944</f>
        <v>28248000</v>
      </c>
      <c r="P1944" s="42" t="str">
        <f aca="false">TRIM(IF(N(E1944)&lt;=0,"택가보정 ","")&amp;IF(N(F1944)&lt;=0,"원가보정 ","")&amp;IF(AND(B1944&lt;&gt;"CN",N(H1944)&lt;=0),"공급가보정 ","")&amp;IF(AND(B1944="CN",N(I1944)&lt;=0),"중국공급가=원가+마진 ",""))</f>
        <v>택가보정 공급가보정</v>
      </c>
      <c r="Q1944" s="47" t="n">
        <f aca="false">IF(SUMIFS($W:$W,$A:$A,A1944,$C:$C,C1944)=0,0,SUMIFS(RAW_판매펀칭!$K:$K,RAW_판매펀칭!$P:$P,A1944,RAW_판매펀칭!$I:$I,C1944)*W1944/SUMIFS($W:$W,$A:$A,A1944,$C:$C,C1944))</f>
        <v>0</v>
      </c>
      <c r="R1944" s="47" t="n">
        <f aca="false">IF(OR(A1944="500",A1944="800",A1944="810"),0,MAX(W1944-Q1944,0))</f>
        <v>1000</v>
      </c>
      <c r="S1944" s="47" t="n">
        <f aca="false">R1944*L1944</f>
        <v>28248000</v>
      </c>
      <c r="T1944" s="47" t="n">
        <f aca="false">R1944*J1944</f>
        <v>85600000</v>
      </c>
      <c r="U1944" s="47" t="n">
        <f aca="false">R1944*K1944</f>
        <v>21400000</v>
      </c>
      <c r="V1944" s="0" t="str">
        <f aca="false">IF(COUNTIFS($A$2:A1944,A1944,$C$2:C1944,C1944,$D$2:D1944,D1944)&gt;1,"중복","")</f>
        <v/>
      </c>
      <c r="W1944" s="0" t="n">
        <f aca="false">IF(V1944="중복",0,N(D1944))</f>
        <v>1000</v>
      </c>
      <c r="X1944" s="0" t="n">
        <f aca="false">IF(COUNTIFS($A$2:A1944,A1944,$C$2:C1944,C1944)=1,ABS(SUMIFS(RAW_발주!$D:$D,RAW_발주!$C:$C,A1944,RAW_발주!$A:$A,C1944)-SUMIFS($W:$W,$A:$A,A1944,$C:$C,C1944)),0)</f>
        <v>0</v>
      </c>
    </row>
    <row r="1945" customFormat="false" ht="15" hidden="false" customHeight="true" outlineLevel="0" collapsed="false">
      <c r="A1945" s="45" t="s">
        <v>1665</v>
      </c>
      <c r="B1945" s="42" t="str">
        <f aca="false">IF(A1945="100","HK",IF(A1945="200","CN",IF(A1945="300","TW","홀세일")))</f>
        <v>홀세일</v>
      </c>
      <c r="C1945" s="45" t="s">
        <v>1748</v>
      </c>
      <c r="D1945" s="46" t="n">
        <v>1005</v>
      </c>
      <c r="E1945" s="46"/>
      <c r="F1945" s="46" t="n">
        <v>12554</v>
      </c>
      <c r="G1945" s="42" t="n">
        <v>0</v>
      </c>
      <c r="J1945" s="46" t="n">
        <f aca="false">IF(N(E1945)&gt;0,E1945,IF(N(F1945)&gt;0,F1945*요약!$F$27,0))</f>
        <v>50216</v>
      </c>
      <c r="K1945" s="46" t="n">
        <f aca="false">IF(N(F1945)&gt;0,F1945,IF(N(E1945)&gt;0,E1945/요약!$F$27,0))</f>
        <v>12554</v>
      </c>
      <c r="L1945" s="46" t="n">
        <f aca="false">IF(B1945="CN",IF(N(I1945)&gt;0,I1945*요약!$G$27,K1945*(1+요약!$E$27)),IF(N(H1945)&gt;0,H1945*요약!$G$27,J1945*요약!$D$27))</f>
        <v>16571.28</v>
      </c>
      <c r="M1945" s="46" t="n">
        <f aca="false">D1945*J1945</f>
        <v>50467080</v>
      </c>
      <c r="N1945" s="46" t="n">
        <f aca="false">D1945*K1945</f>
        <v>12616770</v>
      </c>
      <c r="O1945" s="46" t="n">
        <f aca="false">D1945*L1945</f>
        <v>16654136.4</v>
      </c>
      <c r="P1945" s="42" t="str">
        <f aca="false">TRIM(IF(N(E1945)&lt;=0,"택가보정 ","")&amp;IF(N(F1945)&lt;=0,"원가보정 ","")&amp;IF(AND(B1945&lt;&gt;"CN",N(H1945)&lt;=0),"공급가보정 ","")&amp;IF(AND(B1945="CN",N(I1945)&lt;=0),"중국공급가=원가+마진 ",""))</f>
        <v>택가보정 공급가보정</v>
      </c>
      <c r="Q1945" s="47" t="n">
        <f aca="false">IF(SUMIFS($W:$W,$A:$A,A1945,$C:$C,C1945)=0,0,SUMIFS(RAW_판매펀칭!$K:$K,RAW_판매펀칭!$P:$P,A1945,RAW_판매펀칭!$I:$I,C1945)*W1945/SUMIFS($W:$W,$A:$A,A1945,$C:$C,C1945))</f>
        <v>0</v>
      </c>
      <c r="R1945" s="47" t="n">
        <f aca="false">IF(OR(A1945="500",A1945="800",A1945="810"),0,MAX(W1945-Q1945,0))</f>
        <v>0</v>
      </c>
      <c r="S1945" s="47" t="n">
        <f aca="false">R1945*L1945</f>
        <v>0</v>
      </c>
      <c r="T1945" s="47" t="n">
        <f aca="false">R1945*J1945</f>
        <v>0</v>
      </c>
      <c r="U1945" s="47" t="n">
        <f aca="false">R1945*K1945</f>
        <v>0</v>
      </c>
      <c r="V1945" s="0" t="str">
        <f aca="false">IF(COUNTIFS($A$2:A1945,A1945,$C$2:C1945,C1945,$D$2:D1945,D1945)&gt;1,"중복","")</f>
        <v/>
      </c>
      <c r="W1945" s="0" t="n">
        <f aca="false">IF(V1945="중복",0,N(D1945))</f>
        <v>1005</v>
      </c>
      <c r="X1945" s="0" t="n">
        <f aca="false">IF(COUNTIFS($A$2:A1945,A1945,$C$2:C1945,C1945)=1,ABS(SUMIFS(RAW_발주!$D:$D,RAW_발주!$C:$C,A1945,RAW_발주!$A:$A,C1945)-SUMIFS($W:$W,$A:$A,A1945,$C:$C,C1945)),0)</f>
        <v>0</v>
      </c>
    </row>
    <row r="1946" customFormat="false" ht="15" hidden="false" customHeight="true" outlineLevel="0" collapsed="false">
      <c r="A1946" s="45" t="s">
        <v>1665</v>
      </c>
      <c r="B1946" s="42" t="str">
        <f aca="false">IF(A1946="100","HK",IF(A1946="200","CN",IF(A1946="300","TW","홀세일")))</f>
        <v>홀세일</v>
      </c>
      <c r="C1946" s="45" t="s">
        <v>1485</v>
      </c>
      <c r="D1946" s="46" t="n">
        <v>1000</v>
      </c>
      <c r="E1946" s="46" t="n">
        <v>29000</v>
      </c>
      <c r="F1946" s="46" t="n">
        <v>8488</v>
      </c>
      <c r="G1946" s="42" t="n">
        <v>0</v>
      </c>
      <c r="H1946" s="42" t="n">
        <v>13.2</v>
      </c>
      <c r="J1946" s="46" t="n">
        <f aca="false">IF(N(E1946)&gt;0,E1946,IF(N(F1946)&gt;0,F1946*요약!$F$27,0))</f>
        <v>29000</v>
      </c>
      <c r="K1946" s="46" t="n">
        <f aca="false">IF(N(F1946)&gt;0,F1946,IF(N(E1946)&gt;0,E1946/요약!$F$27,0))</f>
        <v>8488</v>
      </c>
      <c r="L1946" s="46" t="n">
        <f aca="false">IF(B1946="CN",IF(N(I1946)&gt;0,I1946*요약!$G$27,K1946*(1+요약!$E$27)),IF(N(H1946)&gt;0,H1946*요약!$G$27,J1946*요약!$D$27))</f>
        <v>17424</v>
      </c>
      <c r="M1946" s="46" t="n">
        <f aca="false">D1946*J1946</f>
        <v>29000000</v>
      </c>
      <c r="N1946" s="46" t="n">
        <f aca="false">D1946*K1946</f>
        <v>8488000</v>
      </c>
      <c r="O1946" s="46" t="n">
        <f aca="false">D1946*L1946</f>
        <v>17424000</v>
      </c>
      <c r="P1946" s="42" t="str">
        <f aca="false">TRIM(IF(N(E1946)&lt;=0,"택가보정 ","")&amp;IF(N(F1946)&lt;=0,"원가보정 ","")&amp;IF(AND(B1946&lt;&gt;"CN",N(H1946)&lt;=0),"공급가보정 ","")&amp;IF(AND(B1946="CN",N(I1946)&lt;=0),"중국공급가=원가+마진 ",""))</f>
        <v/>
      </c>
      <c r="Q1946" s="47" t="n">
        <f aca="false">IF(SUMIFS($W:$W,$A:$A,A1946,$C:$C,C1946)=0,0,SUMIFS(RAW_판매펀칭!$K:$K,RAW_판매펀칭!$P:$P,A1946,RAW_판매펀칭!$I:$I,C1946)*W1946/SUMIFS($W:$W,$A:$A,A1946,$C:$C,C1946))</f>
        <v>1000</v>
      </c>
      <c r="R1946" s="47" t="n">
        <f aca="false">IF(OR(A1946="500",A1946="800",A1946="810"),0,MAX(W1946-Q1946,0))</f>
        <v>0</v>
      </c>
      <c r="S1946" s="47" t="n">
        <f aca="false">R1946*L1946</f>
        <v>0</v>
      </c>
      <c r="T1946" s="47" t="n">
        <f aca="false">R1946*J1946</f>
        <v>0</v>
      </c>
      <c r="U1946" s="47" t="n">
        <f aca="false">R1946*K1946</f>
        <v>0</v>
      </c>
      <c r="V1946" s="0" t="str">
        <f aca="false">IF(COUNTIFS($A$2:A1946,A1946,$C$2:C1946,C1946,$D$2:D1946,D1946)&gt;1,"중복","")</f>
        <v/>
      </c>
      <c r="W1946" s="0" t="n">
        <f aca="false">IF(V1946="중복",0,N(D1946))</f>
        <v>1000</v>
      </c>
      <c r="X1946" s="0" t="n">
        <f aca="false">IF(COUNTIFS($A$2:A1946,A1946,$C$2:C1946,C1946)=1,ABS(SUMIFS(RAW_발주!$D:$D,RAW_발주!$C:$C,A1946,RAW_발주!$A:$A,C1946)-SUMIFS($W:$W,$A:$A,A1946,$C:$C,C1946)),0)</f>
        <v>0</v>
      </c>
    </row>
    <row r="1947" customFormat="false" ht="15" hidden="false" customHeight="true" outlineLevel="0" collapsed="false">
      <c r="A1947" s="45" t="s">
        <v>1659</v>
      </c>
      <c r="B1947" s="42" t="str">
        <f aca="false">IF(A1947="100","HK",IF(A1947="200","CN",IF(A1947="300","TW","홀세일")))</f>
        <v>HK</v>
      </c>
      <c r="C1947" s="45" t="s">
        <v>1749</v>
      </c>
      <c r="D1947" s="46" t="n">
        <v>1000</v>
      </c>
      <c r="E1947" s="46"/>
      <c r="F1947" s="46" t="n">
        <v>9000</v>
      </c>
      <c r="G1947" s="42" t="n">
        <v>0</v>
      </c>
      <c r="J1947" s="46" t="n">
        <f aca="false">IF(N(E1947)&gt;0,E1947,IF(N(F1947)&gt;0,F1947*요약!$F$27,0))</f>
        <v>36000</v>
      </c>
      <c r="K1947" s="46" t="n">
        <f aca="false">IF(N(F1947)&gt;0,F1947,IF(N(E1947)&gt;0,E1947/요약!$F$27,0))</f>
        <v>9000</v>
      </c>
      <c r="L1947" s="46" t="n">
        <f aca="false">IF(B1947="CN",IF(N(I1947)&gt;0,I1947*요약!$G$27,K1947*(1+요약!$E$27)),IF(N(H1947)&gt;0,H1947*요약!$G$27,J1947*요약!$D$27))</f>
        <v>11880</v>
      </c>
      <c r="M1947" s="46" t="n">
        <f aca="false">D1947*J1947</f>
        <v>36000000</v>
      </c>
      <c r="N1947" s="46" t="n">
        <f aca="false">D1947*K1947</f>
        <v>9000000</v>
      </c>
      <c r="O1947" s="46" t="n">
        <f aca="false">D1947*L1947</f>
        <v>11880000</v>
      </c>
      <c r="P1947" s="42" t="str">
        <f aca="false">TRIM(IF(N(E1947)&lt;=0,"택가보정 ","")&amp;IF(N(F1947)&lt;=0,"원가보정 ","")&amp;IF(AND(B1947&lt;&gt;"CN",N(H1947)&lt;=0),"공급가보정 ","")&amp;IF(AND(B1947="CN",N(I1947)&lt;=0),"중국공급가=원가+마진 ",""))</f>
        <v>택가보정 공급가보정</v>
      </c>
      <c r="Q1947" s="47" t="n">
        <f aca="false">IF(SUMIFS($W:$W,$A:$A,A1947,$C:$C,C1947)=0,0,SUMIFS(RAW_판매펀칭!$K:$K,RAW_판매펀칭!$P:$P,A1947,RAW_판매펀칭!$I:$I,C1947)*W1947/SUMIFS($W:$W,$A:$A,A1947,$C:$C,C1947))</f>
        <v>0</v>
      </c>
      <c r="R1947" s="47" t="n">
        <f aca="false">IF(OR(A1947="500",A1947="800",A1947="810"),0,MAX(W1947-Q1947,0))</f>
        <v>1000</v>
      </c>
      <c r="S1947" s="47" t="n">
        <f aca="false">R1947*L1947</f>
        <v>11880000</v>
      </c>
      <c r="T1947" s="47" t="n">
        <f aca="false">R1947*J1947</f>
        <v>36000000</v>
      </c>
      <c r="U1947" s="47" t="n">
        <f aca="false">R1947*K1947</f>
        <v>9000000</v>
      </c>
      <c r="V1947" s="0" t="str">
        <f aca="false">IF(COUNTIFS($A$2:A1947,A1947,$C$2:C1947,C1947,$D$2:D1947,D1947)&gt;1,"중복","")</f>
        <v/>
      </c>
      <c r="W1947" s="0" t="n">
        <f aca="false">IF(V1947="중복",0,N(D1947))</f>
        <v>1000</v>
      </c>
      <c r="X1947" s="0" t="n">
        <f aca="false">IF(COUNTIFS($A$2:A1947,A1947,$C$2:C1947,C1947)=1,ABS(SUMIFS(RAW_발주!$D:$D,RAW_발주!$C:$C,A1947,RAW_발주!$A:$A,C1947)-SUMIFS($W:$W,$A:$A,A1947,$C:$C,C1947)),0)</f>
        <v>0</v>
      </c>
    </row>
    <row r="1948" customFormat="false" ht="15" hidden="false" customHeight="true" outlineLevel="0" collapsed="false">
      <c r="A1948" s="45" t="s">
        <v>1660</v>
      </c>
      <c r="B1948" s="42" t="str">
        <f aca="false">IF(A1948="100","HK",IF(A1948="200","CN",IF(A1948="300","TW","홀세일")))</f>
        <v>CN</v>
      </c>
      <c r="C1948" s="45" t="s">
        <v>1230</v>
      </c>
      <c r="D1948" s="46" t="n">
        <v>1379</v>
      </c>
      <c r="E1948" s="46"/>
      <c r="F1948" s="46" t="n">
        <v>14800</v>
      </c>
      <c r="G1948" s="42" t="n">
        <v>0</v>
      </c>
      <c r="I1948" s="42" t="n">
        <v>11.4</v>
      </c>
      <c r="J1948" s="46" t="n">
        <f aca="false">IF(N(E1948)&gt;0,E1948,IF(N(F1948)&gt;0,F1948*요약!$F$27,0))</f>
        <v>59200</v>
      </c>
      <c r="K1948" s="46" t="n">
        <f aca="false">IF(N(F1948)&gt;0,F1948,IF(N(E1948)&gt;0,E1948/요약!$F$27,0))</f>
        <v>14800</v>
      </c>
      <c r="L1948" s="46" t="n">
        <f aca="false">IF(B1948="CN",IF(N(I1948)&gt;0,I1948*요약!$G$27,K1948*(1+요약!$E$27)),IF(N(H1948)&gt;0,H1948*요약!$G$27,J1948*요약!$D$27))</f>
        <v>15048</v>
      </c>
      <c r="M1948" s="46" t="n">
        <f aca="false">D1948*J1948</f>
        <v>81636800</v>
      </c>
      <c r="N1948" s="46" t="n">
        <f aca="false">D1948*K1948</f>
        <v>20409200</v>
      </c>
      <c r="O1948" s="46" t="n">
        <f aca="false">D1948*L1948</f>
        <v>20751192</v>
      </c>
      <c r="P1948" s="42" t="str">
        <f aca="false">TRIM(IF(N(E1948)&lt;=0,"택가보정 ","")&amp;IF(N(F1948)&lt;=0,"원가보정 ","")&amp;IF(AND(B1948&lt;&gt;"CN",N(H1948)&lt;=0),"공급가보정 ","")&amp;IF(AND(B1948="CN",N(I1948)&lt;=0),"중국공급가=원가+마진 ",""))</f>
        <v>택가보정</v>
      </c>
      <c r="Q1948" s="47" t="n">
        <f aca="false">IF(SUMIFS($W:$W,$A:$A,A1948,$C:$C,C1948)=0,0,SUMIFS(RAW_판매펀칭!$K:$K,RAW_판매펀칭!$P:$P,A1948,RAW_판매펀칭!$I:$I,C1948)*W1948/SUMIFS($W:$W,$A:$A,A1948,$C:$C,C1948))</f>
        <v>1292</v>
      </c>
      <c r="R1948" s="47" t="n">
        <f aca="false">IF(OR(A1948="500",A1948="800",A1948="810"),0,MAX(W1948-Q1948,0))</f>
        <v>87</v>
      </c>
      <c r="S1948" s="47" t="n">
        <f aca="false">R1948*L1948</f>
        <v>1309176</v>
      </c>
      <c r="T1948" s="47" t="n">
        <f aca="false">R1948*J1948</f>
        <v>5150400</v>
      </c>
      <c r="U1948" s="47" t="n">
        <f aca="false">R1948*K1948</f>
        <v>1287600</v>
      </c>
      <c r="V1948" s="0" t="str">
        <f aca="false">IF(COUNTIFS($A$2:A1948,A1948,$C$2:C1948,C1948,$D$2:D1948,D1948)&gt;1,"중복","")</f>
        <v/>
      </c>
      <c r="W1948" s="0" t="n">
        <f aca="false">IF(V1948="중복",0,N(D1948))</f>
        <v>1379</v>
      </c>
      <c r="X1948" s="0" t="n">
        <f aca="false">IF(COUNTIFS($A$2:A1948,A1948,$C$2:C1948,C1948)=1,ABS(SUMIFS(RAW_발주!$D:$D,RAW_발주!$C:$C,A1948,RAW_발주!$A:$A,C1948)-SUMIFS($W:$W,$A:$A,A1948,$C:$C,C1948)),0)</f>
        <v>0</v>
      </c>
    </row>
    <row r="1949" customFormat="false" ht="15" hidden="false" customHeight="true" outlineLevel="0" collapsed="false">
      <c r="A1949" s="45" t="s">
        <v>1660</v>
      </c>
      <c r="B1949" s="42" t="str">
        <f aca="false">IF(A1949="100","HK",IF(A1949="200","CN",IF(A1949="300","TW","홀세일")))</f>
        <v>CN</v>
      </c>
      <c r="C1949" s="45" t="s">
        <v>1231</v>
      </c>
      <c r="D1949" s="46" t="n">
        <v>703</v>
      </c>
      <c r="E1949" s="46"/>
      <c r="F1949" s="46" t="n">
        <v>12475</v>
      </c>
      <c r="G1949" s="42" t="n">
        <v>0</v>
      </c>
      <c r="I1949" s="42" t="n">
        <v>10</v>
      </c>
      <c r="J1949" s="46" t="n">
        <f aca="false">IF(N(E1949)&gt;0,E1949,IF(N(F1949)&gt;0,F1949*요약!$F$27,0))</f>
        <v>49900</v>
      </c>
      <c r="K1949" s="46" t="n">
        <f aca="false">IF(N(F1949)&gt;0,F1949,IF(N(E1949)&gt;0,E1949/요약!$F$27,0))</f>
        <v>12475</v>
      </c>
      <c r="L1949" s="46" t="n">
        <f aca="false">IF(B1949="CN",IF(N(I1949)&gt;0,I1949*요약!$G$27,K1949*(1+요약!$E$27)),IF(N(H1949)&gt;0,H1949*요약!$G$27,J1949*요약!$D$27))</f>
        <v>13200</v>
      </c>
      <c r="M1949" s="46" t="n">
        <f aca="false">D1949*J1949</f>
        <v>35079700</v>
      </c>
      <c r="N1949" s="46" t="n">
        <f aca="false">D1949*K1949</f>
        <v>8769925</v>
      </c>
      <c r="O1949" s="46" t="n">
        <f aca="false">D1949*L1949</f>
        <v>9279600</v>
      </c>
      <c r="P1949" s="42" t="str">
        <f aca="false">TRIM(IF(N(E1949)&lt;=0,"택가보정 ","")&amp;IF(N(F1949)&lt;=0,"원가보정 ","")&amp;IF(AND(B1949&lt;&gt;"CN",N(H1949)&lt;=0),"공급가보정 ","")&amp;IF(AND(B1949="CN",N(I1949)&lt;=0),"중국공급가=원가+마진 ",""))</f>
        <v>택가보정</v>
      </c>
      <c r="Q1949" s="47" t="n">
        <f aca="false">IF(SUMIFS($W:$W,$A:$A,A1949,$C:$C,C1949)=0,0,SUMIFS(RAW_판매펀칭!$K:$K,RAW_판매펀칭!$P:$P,A1949,RAW_판매펀칭!$I:$I,C1949)*W1949/SUMIFS($W:$W,$A:$A,A1949,$C:$C,C1949))</f>
        <v>697</v>
      </c>
      <c r="R1949" s="47" t="n">
        <f aca="false">IF(OR(A1949="500",A1949="800",A1949="810"),0,MAX(W1949-Q1949,0))</f>
        <v>6</v>
      </c>
      <c r="S1949" s="47" t="n">
        <f aca="false">R1949*L1949</f>
        <v>79200</v>
      </c>
      <c r="T1949" s="47" t="n">
        <f aca="false">R1949*J1949</f>
        <v>299400</v>
      </c>
      <c r="U1949" s="47" t="n">
        <f aca="false">R1949*K1949</f>
        <v>74850</v>
      </c>
      <c r="V1949" s="0" t="str">
        <f aca="false">IF(COUNTIFS($A$2:A1949,A1949,$C$2:C1949,C1949,$D$2:D1949,D1949)&gt;1,"중복","")</f>
        <v/>
      </c>
      <c r="W1949" s="0" t="n">
        <f aca="false">IF(V1949="중복",0,N(D1949))</f>
        <v>703</v>
      </c>
      <c r="X1949" s="0" t="n">
        <f aca="false">IF(COUNTIFS($A$2:A1949,A1949,$C$2:C1949,C1949)=1,ABS(SUMIFS(RAW_발주!$D:$D,RAW_발주!$C:$C,A1949,RAW_발주!$A:$A,C1949)-SUMIFS($W:$W,$A:$A,A1949,$C:$C,C1949)),0)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4" min="4" style="0" width="11"/>
    <col collapsed="false" customWidth="true" hidden="false" outlineLevel="0" max="6" min="5" style="0" width="15"/>
  </cols>
  <sheetData>
    <row r="1" customFormat="false" ht="15" hidden="false" customHeight="false" outlineLevel="0" collapsed="false">
      <c r="A1" s="48" t="s">
        <v>89</v>
      </c>
      <c r="B1" s="48" t="s">
        <v>1750</v>
      </c>
      <c r="C1" s="48" t="s">
        <v>1751</v>
      </c>
      <c r="D1" s="48" t="s">
        <v>1752</v>
      </c>
      <c r="E1" s="49" t="s">
        <v>1753</v>
      </c>
      <c r="F1" s="48" t="s">
        <v>1649</v>
      </c>
      <c r="I1" s="40" t="s">
        <v>1754</v>
      </c>
      <c r="J1" s="40" t="s">
        <v>1751</v>
      </c>
      <c r="L1" s="35" t="s">
        <v>1755</v>
      </c>
    </row>
    <row r="2" customFormat="false" ht="15" hidden="false" customHeight="false" outlineLevel="0" collapsed="false">
      <c r="A2" s="0" t="s">
        <v>132</v>
      </c>
      <c r="B2" s="0" t="n">
        <v>100</v>
      </c>
      <c r="C2" s="0" t="str">
        <f aca="false">TEXT(VLOOKUP(B2,$I$2:$J$20,2,FALSE()),"0")</f>
        <v>100</v>
      </c>
      <c r="D2" s="47" t="n">
        <v>240</v>
      </c>
      <c r="E2" s="47" t="n">
        <v>40560000</v>
      </c>
      <c r="F2" s="47" t="n">
        <v>9480960</v>
      </c>
      <c r="I2" s="0" t="n">
        <v>100</v>
      </c>
      <c r="J2" s="0" t="n">
        <v>100</v>
      </c>
    </row>
    <row r="3" customFormat="false" ht="15" hidden="false" customHeight="false" outlineLevel="0" collapsed="false">
      <c r="A3" s="0" t="s">
        <v>132</v>
      </c>
      <c r="B3" s="0" t="n">
        <v>200</v>
      </c>
      <c r="C3" s="0" t="str">
        <f aca="false">TEXT(VLOOKUP(B3,$I$2:$J$20,2,FALSE()),"0")</f>
        <v>200</v>
      </c>
      <c r="D3" s="47" t="n">
        <v>980</v>
      </c>
      <c r="E3" s="47" t="n">
        <v>165620000</v>
      </c>
      <c r="F3" s="47" t="n">
        <v>38713920</v>
      </c>
      <c r="I3" s="0" t="n">
        <v>101</v>
      </c>
      <c r="J3" s="0" t="n">
        <v>100</v>
      </c>
    </row>
    <row r="4" customFormat="false" ht="15" hidden="false" customHeight="false" outlineLevel="0" collapsed="false">
      <c r="A4" s="0" t="s">
        <v>132</v>
      </c>
      <c r="B4" s="0" t="n">
        <v>201</v>
      </c>
      <c r="C4" s="0" t="str">
        <f aca="false">TEXT(VLOOKUP(B4,$I$2:$J$20,2,FALSE()),"0")</f>
        <v>200</v>
      </c>
      <c r="D4" s="47" t="n">
        <v>350</v>
      </c>
      <c r="E4" s="47" t="n">
        <v>59150000</v>
      </c>
      <c r="F4" s="47" t="n">
        <v>13826400</v>
      </c>
      <c r="I4" s="0" t="n">
        <v>200</v>
      </c>
      <c r="J4" s="0" t="n">
        <v>200</v>
      </c>
    </row>
    <row r="5" customFormat="false" ht="15" hidden="false" customHeight="false" outlineLevel="0" collapsed="false">
      <c r="A5" s="0" t="s">
        <v>132</v>
      </c>
      <c r="B5" s="0" t="n">
        <v>299</v>
      </c>
      <c r="C5" s="0" t="str">
        <f aca="false">TEXT(VLOOKUP(B5,$I$2:$J$20,2,FALSE()),"0")</f>
        <v>200</v>
      </c>
      <c r="D5" s="47" t="n">
        <v>6</v>
      </c>
      <c r="E5" s="47" t="n">
        <v>1014000</v>
      </c>
      <c r="F5" s="47" t="n">
        <v>237024</v>
      </c>
      <c r="I5" s="0" t="n">
        <v>201</v>
      </c>
      <c r="J5" s="0" t="n">
        <v>200</v>
      </c>
    </row>
    <row r="6" customFormat="false" ht="15" hidden="false" customHeight="false" outlineLevel="0" collapsed="false">
      <c r="A6" s="0" t="s">
        <v>132</v>
      </c>
      <c r="B6" s="0" t="n">
        <v>300</v>
      </c>
      <c r="C6" s="0" t="str">
        <f aca="false">TEXT(VLOOKUP(B6,$I$2:$J$20,2,FALSE()),"0")</f>
        <v>300</v>
      </c>
      <c r="D6" s="47" t="n">
        <v>150</v>
      </c>
      <c r="E6" s="47" t="n">
        <v>25350000</v>
      </c>
      <c r="F6" s="47" t="n">
        <v>5925600</v>
      </c>
      <c r="I6" s="0" t="n">
        <v>299</v>
      </c>
      <c r="J6" s="0" t="n">
        <v>200</v>
      </c>
    </row>
    <row r="7" customFormat="false" ht="15" hidden="false" customHeight="false" outlineLevel="0" collapsed="false">
      <c r="A7" s="0" t="s">
        <v>132</v>
      </c>
      <c r="B7" s="0" t="n">
        <v>500</v>
      </c>
      <c r="C7" s="0" t="str">
        <f aca="false">TEXT(VLOOKUP(B7,$I$2:$J$20,2,FALSE()),"0")</f>
        <v>500</v>
      </c>
      <c r="D7" s="47" t="n">
        <v>25</v>
      </c>
      <c r="E7" s="47" t="n">
        <v>4225000</v>
      </c>
      <c r="F7" s="47" t="n">
        <v>987600</v>
      </c>
      <c r="I7" s="0" t="n">
        <v>300</v>
      </c>
      <c r="J7" s="0" t="n">
        <v>300</v>
      </c>
    </row>
    <row r="8" customFormat="false" ht="15" hidden="false" customHeight="false" outlineLevel="0" collapsed="false">
      <c r="A8" s="0" t="s">
        <v>132</v>
      </c>
      <c r="B8" s="0" t="n">
        <v>600</v>
      </c>
      <c r="C8" s="0" t="str">
        <f aca="false">TEXT(VLOOKUP(B8,$I$2:$J$20,2,FALSE()),"0")</f>
        <v>600</v>
      </c>
      <c r="D8" s="47" t="n">
        <v>50</v>
      </c>
      <c r="E8" s="47" t="n">
        <v>8450000</v>
      </c>
      <c r="F8" s="47" t="n">
        <v>1975200</v>
      </c>
      <c r="I8" s="0" t="n">
        <v>301</v>
      </c>
      <c r="J8" s="0" t="n">
        <v>300</v>
      </c>
    </row>
    <row r="9" customFormat="false" ht="15" hidden="false" customHeight="false" outlineLevel="0" collapsed="false">
      <c r="A9" s="0" t="s">
        <v>132</v>
      </c>
      <c r="B9" s="0" t="n">
        <v>800</v>
      </c>
      <c r="C9" s="0" t="str">
        <f aca="false">TEXT(VLOOKUP(B9,$I$2:$J$20,2,FALSE()),"0")</f>
        <v>800</v>
      </c>
      <c r="D9" s="47" t="n">
        <v>30</v>
      </c>
      <c r="E9" s="47" t="n">
        <v>5070000</v>
      </c>
      <c r="F9" s="47" t="n">
        <v>1185120</v>
      </c>
      <c r="I9" s="0" t="n">
        <v>500</v>
      </c>
      <c r="J9" s="0" t="n">
        <v>500</v>
      </c>
    </row>
    <row r="10" customFormat="false" ht="15" hidden="false" customHeight="false" outlineLevel="0" collapsed="false">
      <c r="A10" s="0" t="s">
        <v>132</v>
      </c>
      <c r="B10" s="0" t="n">
        <v>810</v>
      </c>
      <c r="C10" s="0" t="str">
        <f aca="false">TEXT(VLOOKUP(B10,$I$2:$J$20,2,FALSE()),"0")</f>
        <v>810</v>
      </c>
      <c r="D10" s="47" t="n">
        <v>36</v>
      </c>
      <c r="E10" s="47" t="n">
        <v>6084000</v>
      </c>
      <c r="F10" s="47" t="n">
        <v>1422144</v>
      </c>
      <c r="I10" s="0" t="n">
        <v>501</v>
      </c>
      <c r="J10" s="0" t="n">
        <v>500</v>
      </c>
    </row>
    <row r="11" customFormat="false" ht="15" hidden="false" customHeight="false" outlineLevel="0" collapsed="false">
      <c r="A11" s="0" t="s">
        <v>132</v>
      </c>
      <c r="B11" s="0" t="n">
        <v>830</v>
      </c>
      <c r="C11" s="0" t="str">
        <f aca="false">TEXT(VLOOKUP(B11,$I$2:$J$20,2,FALSE()),"0")</f>
        <v>830</v>
      </c>
      <c r="D11" s="47" t="n">
        <v>30</v>
      </c>
      <c r="E11" s="47" t="n">
        <v>5070000</v>
      </c>
      <c r="F11" s="47" t="n">
        <v>1185120</v>
      </c>
      <c r="I11" s="0" t="n">
        <v>600</v>
      </c>
      <c r="J11" s="0" t="n">
        <v>600</v>
      </c>
    </row>
    <row r="12" customFormat="false" ht="15" hidden="false" customHeight="false" outlineLevel="0" collapsed="false">
      <c r="A12" s="0" t="s">
        <v>134</v>
      </c>
      <c r="B12" s="0" t="n">
        <v>100</v>
      </c>
      <c r="C12" s="0" t="str">
        <f aca="false">TEXT(VLOOKUP(B12,$I$2:$J$20,2,FALSE()),"0")</f>
        <v>100</v>
      </c>
      <c r="D12" s="47" t="n">
        <v>160</v>
      </c>
      <c r="E12" s="47" t="n">
        <v>28640000</v>
      </c>
      <c r="F12" s="47" t="n">
        <v>6764480</v>
      </c>
      <c r="I12" s="0" t="n">
        <v>601</v>
      </c>
      <c r="J12" s="0" t="n">
        <v>600</v>
      </c>
    </row>
    <row r="13" customFormat="false" ht="15" hidden="false" customHeight="false" outlineLevel="0" collapsed="false">
      <c r="A13" s="0" t="s">
        <v>134</v>
      </c>
      <c r="B13" s="0" t="n">
        <v>300</v>
      </c>
      <c r="C13" s="0" t="str">
        <f aca="false">TEXT(VLOOKUP(B13,$I$2:$J$20,2,FALSE()),"0")</f>
        <v>300</v>
      </c>
      <c r="D13" s="47" t="n">
        <v>250</v>
      </c>
      <c r="E13" s="47" t="n">
        <v>44750000</v>
      </c>
      <c r="F13" s="47" t="n">
        <v>10569500</v>
      </c>
      <c r="I13" s="0" t="n">
        <v>699</v>
      </c>
      <c r="J13" s="0" t="n">
        <v>600</v>
      </c>
    </row>
    <row r="14" customFormat="false" ht="15" hidden="false" customHeight="false" outlineLevel="0" collapsed="false">
      <c r="A14" s="0" t="s">
        <v>134</v>
      </c>
      <c r="B14" s="0" t="n">
        <v>600</v>
      </c>
      <c r="C14" s="0" t="str">
        <f aca="false">TEXT(VLOOKUP(B14,$I$2:$J$20,2,FALSE()),"0")</f>
        <v>600</v>
      </c>
      <c r="D14" s="47" t="n">
        <v>50</v>
      </c>
      <c r="E14" s="47" t="n">
        <v>8950000</v>
      </c>
      <c r="F14" s="47" t="n">
        <v>2113900</v>
      </c>
      <c r="I14" s="0" t="n">
        <v>700</v>
      </c>
      <c r="J14" s="0" t="n">
        <v>700</v>
      </c>
    </row>
    <row r="15" customFormat="false" ht="15" hidden="false" customHeight="false" outlineLevel="0" collapsed="false">
      <c r="A15" s="0" t="s">
        <v>134</v>
      </c>
      <c r="B15" s="0" t="n">
        <v>800</v>
      </c>
      <c r="C15" s="0" t="str">
        <f aca="false">TEXT(VLOOKUP(B15,$I$2:$J$20,2,FALSE()),"0")</f>
        <v>800</v>
      </c>
      <c r="D15" s="47" t="n">
        <v>40</v>
      </c>
      <c r="E15" s="47" t="n">
        <v>7160000</v>
      </c>
      <c r="F15" s="47" t="n">
        <v>1691120</v>
      </c>
      <c r="I15" s="0" t="n">
        <v>701</v>
      </c>
      <c r="J15" s="0" t="n">
        <v>700</v>
      </c>
    </row>
    <row r="16" customFormat="false" ht="15" hidden="false" customHeight="false" outlineLevel="0" collapsed="false">
      <c r="A16" s="0" t="s">
        <v>136</v>
      </c>
      <c r="B16" s="0" t="n">
        <v>100</v>
      </c>
      <c r="C16" s="0" t="str">
        <f aca="false">TEXT(VLOOKUP(B16,$I$2:$J$20,2,FALSE()),"0")</f>
        <v>100</v>
      </c>
      <c r="D16" s="47" t="n">
        <v>140</v>
      </c>
      <c r="E16" s="47" t="n">
        <v>23660000</v>
      </c>
      <c r="F16" s="47" t="n">
        <v>5642000</v>
      </c>
      <c r="I16" s="0" t="n">
        <v>702</v>
      </c>
      <c r="J16" s="0" t="n">
        <v>700</v>
      </c>
    </row>
    <row r="17" customFormat="false" ht="15" hidden="false" customHeight="false" outlineLevel="0" collapsed="false">
      <c r="A17" s="0" t="s">
        <v>136</v>
      </c>
      <c r="B17" s="0" t="n">
        <v>300</v>
      </c>
      <c r="C17" s="0" t="str">
        <f aca="false">TEXT(VLOOKUP(B17,$I$2:$J$20,2,FALSE()),"0")</f>
        <v>300</v>
      </c>
      <c r="D17" s="47" t="n">
        <v>130</v>
      </c>
      <c r="E17" s="47" t="n">
        <v>21970000</v>
      </c>
      <c r="F17" s="47" t="n">
        <v>5239000</v>
      </c>
      <c r="I17" s="0" t="n">
        <v>799</v>
      </c>
      <c r="J17" s="0" t="n">
        <v>700</v>
      </c>
    </row>
    <row r="18" customFormat="false" ht="15" hidden="false" customHeight="false" outlineLevel="0" collapsed="false">
      <c r="A18" s="0" t="s">
        <v>136</v>
      </c>
      <c r="B18" s="0" t="n">
        <v>600</v>
      </c>
      <c r="C18" s="0" t="str">
        <f aca="false">TEXT(VLOOKUP(B18,$I$2:$J$20,2,FALSE()),"0")</f>
        <v>600</v>
      </c>
      <c r="D18" s="47" t="n">
        <v>30</v>
      </c>
      <c r="E18" s="47" t="n">
        <v>5070000</v>
      </c>
      <c r="F18" s="47" t="n">
        <v>1209000</v>
      </c>
      <c r="I18" s="0" t="n">
        <v>800</v>
      </c>
      <c r="J18" s="0" t="n">
        <v>800</v>
      </c>
    </row>
    <row r="19" customFormat="false" ht="15" hidden="false" customHeight="false" outlineLevel="0" collapsed="false">
      <c r="A19" s="0" t="s">
        <v>136</v>
      </c>
      <c r="B19" s="0" t="n">
        <v>700</v>
      </c>
      <c r="C19" s="0" t="str">
        <f aca="false">TEXT(VLOOKUP(B19,$I$2:$J$20,2,FALSE()),"0")</f>
        <v>700</v>
      </c>
      <c r="D19" s="47" t="n">
        <v>40</v>
      </c>
      <c r="E19" s="47" t="n">
        <v>6760000</v>
      </c>
      <c r="F19" s="47" t="n">
        <v>1612000</v>
      </c>
      <c r="I19" s="0" t="n">
        <v>810</v>
      </c>
      <c r="J19" s="0" t="n">
        <v>810</v>
      </c>
    </row>
    <row r="20" customFormat="false" ht="15" hidden="false" customHeight="false" outlineLevel="0" collapsed="false">
      <c r="A20" s="0" t="s">
        <v>136</v>
      </c>
      <c r="B20" s="0" t="n">
        <v>799</v>
      </c>
      <c r="C20" s="0" t="str">
        <f aca="false">TEXT(VLOOKUP(B20,$I$2:$J$20,2,FALSE()),"0")</f>
        <v>700</v>
      </c>
      <c r="D20" s="47" t="n">
        <v>1</v>
      </c>
      <c r="E20" s="47" t="n">
        <v>169000</v>
      </c>
      <c r="F20" s="47" t="n">
        <v>40300</v>
      </c>
      <c r="I20" s="0" t="n">
        <v>830</v>
      </c>
      <c r="J20" s="0" t="n">
        <v>830</v>
      </c>
    </row>
    <row r="21" customFormat="false" ht="15" hidden="false" customHeight="false" outlineLevel="0" collapsed="false">
      <c r="A21" s="0" t="s">
        <v>138</v>
      </c>
      <c r="B21" s="0" t="n">
        <v>200</v>
      </c>
      <c r="C21" s="0" t="str">
        <f aca="false">TEXT(VLOOKUP(B21,$I$2:$J$20,2,FALSE()),"0")</f>
        <v>200</v>
      </c>
      <c r="D21" s="47" t="n">
        <v>230</v>
      </c>
      <c r="E21" s="47" t="n">
        <v>34270000</v>
      </c>
      <c r="F21" s="47" t="n">
        <v>8534610</v>
      </c>
    </row>
    <row r="22" customFormat="false" ht="15" hidden="false" customHeight="false" outlineLevel="0" collapsed="false">
      <c r="A22" s="0" t="s">
        <v>138</v>
      </c>
      <c r="B22" s="0" t="n">
        <v>299</v>
      </c>
      <c r="C22" s="0" t="str">
        <f aca="false">TEXT(VLOOKUP(B22,$I$2:$J$20,2,FALSE()),"0")</f>
        <v>200</v>
      </c>
      <c r="D22" s="47" t="n">
        <v>2</v>
      </c>
      <c r="E22" s="47" t="n">
        <v>298000</v>
      </c>
      <c r="F22" s="47" t="n">
        <v>74214</v>
      </c>
    </row>
    <row r="23" customFormat="false" ht="15" hidden="false" customHeight="false" outlineLevel="0" collapsed="false">
      <c r="A23" s="0" t="s">
        <v>138</v>
      </c>
      <c r="B23" s="0" t="n">
        <v>300</v>
      </c>
      <c r="C23" s="0" t="str">
        <f aca="false">TEXT(VLOOKUP(B23,$I$2:$J$20,2,FALSE()),"0")</f>
        <v>300</v>
      </c>
      <c r="D23" s="47" t="n">
        <v>180</v>
      </c>
      <c r="E23" s="47" t="n">
        <v>26820000</v>
      </c>
      <c r="F23" s="47" t="n">
        <v>6679260</v>
      </c>
    </row>
    <row r="24" customFormat="false" ht="15" hidden="false" customHeight="false" outlineLevel="0" collapsed="false">
      <c r="A24" s="0" t="s">
        <v>138</v>
      </c>
      <c r="B24" s="0" t="n">
        <v>600</v>
      </c>
      <c r="C24" s="0" t="str">
        <f aca="false">TEXT(VLOOKUP(B24,$I$2:$J$20,2,FALSE()),"0")</f>
        <v>600</v>
      </c>
      <c r="D24" s="47" t="n">
        <v>15</v>
      </c>
      <c r="E24" s="47" t="n">
        <v>2235000</v>
      </c>
      <c r="F24" s="47" t="n">
        <v>556605</v>
      </c>
    </row>
    <row r="25" customFormat="false" ht="15" hidden="false" customHeight="false" outlineLevel="0" collapsed="false">
      <c r="A25" s="0" t="s">
        <v>138</v>
      </c>
      <c r="B25" s="0" t="n">
        <v>800</v>
      </c>
      <c r="C25" s="0" t="str">
        <f aca="false">TEXT(VLOOKUP(B25,$I$2:$J$20,2,FALSE()),"0")</f>
        <v>800</v>
      </c>
      <c r="D25" s="47" t="n">
        <v>20</v>
      </c>
      <c r="E25" s="47" t="n">
        <v>2980000</v>
      </c>
      <c r="F25" s="47" t="n">
        <v>742140</v>
      </c>
    </row>
    <row r="26" customFormat="false" ht="15" hidden="false" customHeight="false" outlineLevel="0" collapsed="false">
      <c r="A26" s="0" t="s">
        <v>140</v>
      </c>
      <c r="B26" s="0" t="n">
        <v>100</v>
      </c>
      <c r="C26" s="0" t="str">
        <f aca="false">TEXT(VLOOKUP(B26,$I$2:$J$20,2,FALSE()),"0")</f>
        <v>100</v>
      </c>
      <c r="D26" s="47" t="n">
        <v>180</v>
      </c>
      <c r="E26" s="47" t="n">
        <v>26820000</v>
      </c>
      <c r="F26" s="47" t="n">
        <v>6336180</v>
      </c>
    </row>
    <row r="27" customFormat="false" ht="15" hidden="false" customHeight="false" outlineLevel="0" collapsed="false">
      <c r="A27" s="0" t="s">
        <v>140</v>
      </c>
      <c r="B27" s="0" t="n">
        <v>200</v>
      </c>
      <c r="C27" s="0" t="str">
        <f aca="false">TEXT(VLOOKUP(B27,$I$2:$J$20,2,FALSE()),"0")</f>
        <v>200</v>
      </c>
      <c r="D27" s="47" t="n">
        <v>110</v>
      </c>
      <c r="E27" s="47" t="n">
        <v>16390000</v>
      </c>
      <c r="F27" s="47" t="n">
        <v>3872110</v>
      </c>
    </row>
    <row r="28" customFormat="false" ht="15" hidden="false" customHeight="false" outlineLevel="0" collapsed="false">
      <c r="A28" s="0" t="s">
        <v>140</v>
      </c>
      <c r="B28" s="0" t="n">
        <v>299</v>
      </c>
      <c r="C28" s="0" t="str">
        <f aca="false">TEXT(VLOOKUP(B28,$I$2:$J$20,2,FALSE()),"0")</f>
        <v>200</v>
      </c>
      <c r="D28" s="47" t="n">
        <v>2</v>
      </c>
      <c r="E28" s="47" t="n">
        <v>298000</v>
      </c>
      <c r="F28" s="47" t="n">
        <v>70402</v>
      </c>
    </row>
    <row r="29" customFormat="false" ht="15" hidden="false" customHeight="false" outlineLevel="0" collapsed="false">
      <c r="A29" s="0" t="s">
        <v>140</v>
      </c>
      <c r="B29" s="0" t="n">
        <v>300</v>
      </c>
      <c r="C29" s="0" t="str">
        <f aca="false">TEXT(VLOOKUP(B29,$I$2:$J$20,2,FALSE()),"0")</f>
        <v>300</v>
      </c>
      <c r="D29" s="47" t="n">
        <v>80</v>
      </c>
      <c r="E29" s="47" t="n">
        <v>11920000</v>
      </c>
      <c r="F29" s="47" t="n">
        <v>2816080</v>
      </c>
    </row>
    <row r="30" customFormat="false" ht="15" hidden="false" customHeight="false" outlineLevel="0" collapsed="false">
      <c r="A30" s="0" t="s">
        <v>140</v>
      </c>
      <c r="B30" s="0" t="n">
        <v>500</v>
      </c>
      <c r="C30" s="0" t="str">
        <f aca="false">TEXT(VLOOKUP(B30,$I$2:$J$20,2,FALSE()),"0")</f>
        <v>500</v>
      </c>
      <c r="D30" s="47" t="n">
        <v>25</v>
      </c>
      <c r="E30" s="47" t="n">
        <v>3725000</v>
      </c>
      <c r="F30" s="47" t="n">
        <v>880025</v>
      </c>
    </row>
    <row r="31" customFormat="false" ht="15" hidden="false" customHeight="false" outlineLevel="0" collapsed="false">
      <c r="A31" s="0" t="s">
        <v>140</v>
      </c>
      <c r="B31" s="0" t="n">
        <v>600</v>
      </c>
      <c r="C31" s="0" t="str">
        <f aca="false">TEXT(VLOOKUP(B31,$I$2:$J$20,2,FALSE()),"0")</f>
        <v>600</v>
      </c>
      <c r="D31" s="47" t="n">
        <v>20</v>
      </c>
      <c r="E31" s="47" t="n">
        <v>2980000</v>
      </c>
      <c r="F31" s="47" t="n">
        <v>704020</v>
      </c>
    </row>
    <row r="32" customFormat="false" ht="15" hidden="false" customHeight="false" outlineLevel="0" collapsed="false">
      <c r="A32" s="0" t="s">
        <v>140</v>
      </c>
      <c r="B32" s="0" t="n">
        <v>700</v>
      </c>
      <c r="C32" s="0" t="str">
        <f aca="false">TEXT(VLOOKUP(B32,$I$2:$J$20,2,FALSE()),"0")</f>
        <v>700</v>
      </c>
      <c r="D32" s="47" t="n">
        <v>60</v>
      </c>
      <c r="E32" s="47" t="n">
        <v>8940000</v>
      </c>
      <c r="F32" s="47" t="n">
        <v>2112060</v>
      </c>
    </row>
    <row r="33" customFormat="false" ht="15" hidden="false" customHeight="false" outlineLevel="0" collapsed="false">
      <c r="A33" s="0" t="s">
        <v>140</v>
      </c>
      <c r="B33" s="0" t="n">
        <v>799</v>
      </c>
      <c r="C33" s="0" t="str">
        <f aca="false">TEXT(VLOOKUP(B33,$I$2:$J$20,2,FALSE()),"0")</f>
        <v>700</v>
      </c>
      <c r="D33" s="47" t="n">
        <v>1</v>
      </c>
      <c r="E33" s="47" t="n">
        <v>149000</v>
      </c>
      <c r="F33" s="47" t="n">
        <v>35201</v>
      </c>
    </row>
    <row r="34" customFormat="false" ht="15" hidden="false" customHeight="false" outlineLevel="0" collapsed="false">
      <c r="A34" s="0" t="s">
        <v>142</v>
      </c>
      <c r="B34" s="0" t="n">
        <v>100</v>
      </c>
      <c r="C34" s="0" t="str">
        <f aca="false">TEXT(VLOOKUP(B34,$I$2:$J$20,2,FALSE()),"0")</f>
        <v>100</v>
      </c>
      <c r="D34" s="47" t="n">
        <v>200</v>
      </c>
      <c r="E34" s="47" t="n">
        <v>33800000</v>
      </c>
      <c r="F34" s="47" t="n">
        <v>8231800</v>
      </c>
    </row>
    <row r="35" customFormat="false" ht="15" hidden="false" customHeight="false" outlineLevel="0" collapsed="false">
      <c r="A35" s="0" t="s">
        <v>142</v>
      </c>
      <c r="B35" s="0" t="n">
        <v>300</v>
      </c>
      <c r="C35" s="0" t="str">
        <f aca="false">TEXT(VLOOKUP(B35,$I$2:$J$20,2,FALSE()),"0")</f>
        <v>300</v>
      </c>
      <c r="D35" s="47" t="n">
        <v>150</v>
      </c>
      <c r="E35" s="47" t="n">
        <v>25350000</v>
      </c>
      <c r="F35" s="47" t="n">
        <v>6173850</v>
      </c>
    </row>
    <row r="36" customFormat="false" ht="15" hidden="false" customHeight="false" outlineLevel="0" collapsed="false">
      <c r="A36" s="0" t="s">
        <v>142</v>
      </c>
      <c r="B36" s="0" t="n">
        <v>600</v>
      </c>
      <c r="C36" s="0" t="str">
        <f aca="false">TEXT(VLOOKUP(B36,$I$2:$J$20,2,FALSE()),"0")</f>
        <v>600</v>
      </c>
      <c r="D36" s="47" t="n">
        <v>30</v>
      </c>
      <c r="E36" s="47" t="n">
        <v>5070000</v>
      </c>
      <c r="F36" s="47" t="n">
        <v>1234770</v>
      </c>
    </row>
    <row r="37" customFormat="false" ht="15" hidden="false" customHeight="false" outlineLevel="0" collapsed="false">
      <c r="A37" s="0" t="s">
        <v>142</v>
      </c>
      <c r="B37" s="0" t="n">
        <v>700</v>
      </c>
      <c r="C37" s="0" t="str">
        <f aca="false">TEXT(VLOOKUP(B37,$I$2:$J$20,2,FALSE()),"0")</f>
        <v>700</v>
      </c>
      <c r="D37" s="47" t="n">
        <v>160</v>
      </c>
      <c r="E37" s="47" t="n">
        <v>27040000</v>
      </c>
      <c r="F37" s="47" t="n">
        <v>6585440</v>
      </c>
    </row>
    <row r="38" customFormat="false" ht="15" hidden="false" customHeight="false" outlineLevel="0" collapsed="false">
      <c r="A38" s="0" t="s">
        <v>142</v>
      </c>
      <c r="B38" s="0" t="n">
        <v>799</v>
      </c>
      <c r="C38" s="0" t="str">
        <f aca="false">TEXT(VLOOKUP(B38,$I$2:$J$20,2,FALSE()),"0")</f>
        <v>700</v>
      </c>
      <c r="D38" s="47" t="n">
        <v>2</v>
      </c>
      <c r="E38" s="47" t="n">
        <v>338000</v>
      </c>
      <c r="F38" s="47" t="n">
        <v>82318</v>
      </c>
    </row>
    <row r="39" customFormat="false" ht="15" hidden="false" customHeight="false" outlineLevel="0" collapsed="false">
      <c r="A39" s="0" t="s">
        <v>142</v>
      </c>
      <c r="B39" s="0" t="n">
        <v>800</v>
      </c>
      <c r="C39" s="0" t="str">
        <f aca="false">TEXT(VLOOKUP(B39,$I$2:$J$20,2,FALSE()),"0")</f>
        <v>800</v>
      </c>
      <c r="D39" s="47" t="n">
        <v>25</v>
      </c>
      <c r="E39" s="47" t="n">
        <v>4225000</v>
      </c>
      <c r="F39" s="47" t="n">
        <v>1028975</v>
      </c>
    </row>
    <row r="40" customFormat="false" ht="15" hidden="false" customHeight="false" outlineLevel="0" collapsed="false">
      <c r="A40" s="0" t="s">
        <v>142</v>
      </c>
      <c r="B40" s="0" t="n">
        <v>810</v>
      </c>
      <c r="C40" s="0" t="str">
        <f aca="false">TEXT(VLOOKUP(B40,$I$2:$J$20,2,FALSE()),"0")</f>
        <v>810</v>
      </c>
      <c r="D40" s="47" t="n">
        <v>36</v>
      </c>
      <c r="E40" s="47" t="n">
        <v>6084000</v>
      </c>
      <c r="F40" s="47" t="n">
        <v>1481724</v>
      </c>
    </row>
    <row r="41" customFormat="false" ht="15" hidden="false" customHeight="false" outlineLevel="0" collapsed="false">
      <c r="A41" s="0" t="s">
        <v>142</v>
      </c>
      <c r="B41" s="0" t="n">
        <v>830</v>
      </c>
      <c r="C41" s="0" t="str">
        <f aca="false">TEXT(VLOOKUP(B41,$I$2:$J$20,2,FALSE()),"0")</f>
        <v>830</v>
      </c>
      <c r="D41" s="47" t="n">
        <v>30</v>
      </c>
      <c r="E41" s="47" t="n">
        <v>5070000</v>
      </c>
      <c r="F41" s="47" t="n">
        <v>1234770</v>
      </c>
    </row>
    <row r="42" customFormat="false" ht="15" hidden="false" customHeight="false" outlineLevel="0" collapsed="false">
      <c r="A42" s="0" t="s">
        <v>144</v>
      </c>
      <c r="B42" s="0" t="n">
        <v>100</v>
      </c>
      <c r="C42" s="0" t="str">
        <f aca="false">TEXT(VLOOKUP(B42,$I$2:$J$20,2,FALSE()),"0")</f>
        <v>100</v>
      </c>
      <c r="D42" s="47" t="n">
        <v>180</v>
      </c>
      <c r="E42" s="47" t="n">
        <v>30420000</v>
      </c>
      <c r="F42" s="47" t="n">
        <v>7030440</v>
      </c>
    </row>
    <row r="43" customFormat="false" ht="15" hidden="false" customHeight="false" outlineLevel="0" collapsed="false">
      <c r="A43" s="0" t="s">
        <v>144</v>
      </c>
      <c r="B43" s="0" t="n">
        <v>300</v>
      </c>
      <c r="C43" s="0" t="str">
        <f aca="false">TEXT(VLOOKUP(B43,$I$2:$J$20,2,FALSE()),"0")</f>
        <v>300</v>
      </c>
      <c r="D43" s="47" t="n">
        <v>80</v>
      </c>
      <c r="E43" s="47" t="n">
        <v>13520000</v>
      </c>
      <c r="F43" s="47" t="n">
        <v>3124640</v>
      </c>
    </row>
    <row r="44" customFormat="false" ht="15" hidden="false" customHeight="false" outlineLevel="0" collapsed="false">
      <c r="A44" s="0" t="s">
        <v>144</v>
      </c>
      <c r="B44" s="0" t="n">
        <v>500</v>
      </c>
      <c r="C44" s="0" t="str">
        <f aca="false">TEXT(VLOOKUP(B44,$I$2:$J$20,2,FALSE()),"0")</f>
        <v>500</v>
      </c>
      <c r="D44" s="47" t="n">
        <v>30</v>
      </c>
      <c r="E44" s="47" t="n">
        <v>5070000</v>
      </c>
      <c r="F44" s="47" t="n">
        <v>1171740</v>
      </c>
    </row>
    <row r="45" customFormat="false" ht="15" hidden="false" customHeight="false" outlineLevel="0" collapsed="false">
      <c r="A45" s="0" t="s">
        <v>144</v>
      </c>
      <c r="B45" s="0" t="n">
        <v>600</v>
      </c>
      <c r="C45" s="0" t="str">
        <f aca="false">TEXT(VLOOKUP(B45,$I$2:$J$20,2,FALSE()),"0")</f>
        <v>600</v>
      </c>
      <c r="D45" s="47" t="n">
        <v>15</v>
      </c>
      <c r="E45" s="47" t="n">
        <v>2535000</v>
      </c>
      <c r="F45" s="47" t="n">
        <v>585870</v>
      </c>
    </row>
    <row r="46" customFormat="false" ht="15" hidden="false" customHeight="false" outlineLevel="0" collapsed="false">
      <c r="A46" s="0" t="s">
        <v>144</v>
      </c>
      <c r="B46" s="0" t="n">
        <v>700</v>
      </c>
      <c r="C46" s="0" t="str">
        <f aca="false">TEXT(VLOOKUP(B46,$I$2:$J$20,2,FALSE()),"0")</f>
        <v>700</v>
      </c>
      <c r="D46" s="47" t="n">
        <v>120</v>
      </c>
      <c r="E46" s="47" t="n">
        <v>20280000</v>
      </c>
      <c r="F46" s="47" t="n">
        <v>4686960</v>
      </c>
    </row>
    <row r="47" customFormat="false" ht="15" hidden="false" customHeight="false" outlineLevel="0" collapsed="false">
      <c r="A47" s="0" t="s">
        <v>144</v>
      </c>
      <c r="B47" s="0" t="n">
        <v>799</v>
      </c>
      <c r="C47" s="0" t="str">
        <f aca="false">TEXT(VLOOKUP(B47,$I$2:$J$20,2,FALSE()),"0")</f>
        <v>700</v>
      </c>
      <c r="D47" s="47" t="n">
        <v>2</v>
      </c>
      <c r="E47" s="47" t="n">
        <v>338000</v>
      </c>
      <c r="F47" s="47" t="n">
        <v>78116</v>
      </c>
    </row>
    <row r="48" customFormat="false" ht="15" hidden="false" customHeight="false" outlineLevel="0" collapsed="false">
      <c r="A48" s="0" t="s">
        <v>144</v>
      </c>
      <c r="B48" s="0" t="n">
        <v>800</v>
      </c>
      <c r="C48" s="0" t="str">
        <f aca="false">TEXT(VLOOKUP(B48,$I$2:$J$20,2,FALSE()),"0")</f>
        <v>800</v>
      </c>
      <c r="D48" s="47" t="n">
        <v>25</v>
      </c>
      <c r="E48" s="47" t="n">
        <v>4225000</v>
      </c>
      <c r="F48" s="47" t="n">
        <v>976450</v>
      </c>
    </row>
    <row r="49" customFormat="false" ht="15" hidden="false" customHeight="false" outlineLevel="0" collapsed="false">
      <c r="A49" s="0" t="s">
        <v>146</v>
      </c>
      <c r="B49" s="0" t="n">
        <v>100</v>
      </c>
      <c r="C49" s="0" t="str">
        <f aca="false">TEXT(VLOOKUP(B49,$I$2:$J$20,2,FALSE()),"0")</f>
        <v>100</v>
      </c>
      <c r="D49" s="47" t="n">
        <v>180</v>
      </c>
      <c r="E49" s="47" t="n">
        <v>34020000</v>
      </c>
      <c r="F49" s="47" t="n">
        <v>8130960</v>
      </c>
    </row>
    <row r="50" customFormat="false" ht="15" hidden="false" customHeight="false" outlineLevel="0" collapsed="false">
      <c r="A50" s="0" t="s">
        <v>146</v>
      </c>
      <c r="B50" s="0" t="n">
        <v>300</v>
      </c>
      <c r="C50" s="0" t="str">
        <f aca="false">TEXT(VLOOKUP(B50,$I$2:$J$20,2,FALSE()),"0")</f>
        <v>300</v>
      </c>
      <c r="D50" s="47" t="n">
        <v>80</v>
      </c>
      <c r="E50" s="47" t="n">
        <v>15120000</v>
      </c>
      <c r="F50" s="47" t="n">
        <v>3613760</v>
      </c>
    </row>
    <row r="51" customFormat="false" ht="15" hidden="false" customHeight="false" outlineLevel="0" collapsed="false">
      <c r="A51" s="0" t="s">
        <v>146</v>
      </c>
      <c r="B51" s="0" t="n">
        <v>500</v>
      </c>
      <c r="C51" s="0" t="str">
        <f aca="false">TEXT(VLOOKUP(B51,$I$2:$J$20,2,FALSE()),"0")</f>
        <v>500</v>
      </c>
      <c r="D51" s="47" t="n">
        <v>30</v>
      </c>
      <c r="E51" s="47" t="n">
        <v>5670000</v>
      </c>
      <c r="F51" s="47" t="n">
        <v>1355160</v>
      </c>
    </row>
    <row r="52" customFormat="false" ht="15" hidden="false" customHeight="false" outlineLevel="0" collapsed="false">
      <c r="A52" s="0" t="s">
        <v>146</v>
      </c>
      <c r="B52" s="0" t="n">
        <v>600</v>
      </c>
      <c r="C52" s="0" t="str">
        <f aca="false">TEXT(VLOOKUP(B52,$I$2:$J$20,2,FALSE()),"0")</f>
        <v>600</v>
      </c>
      <c r="D52" s="47" t="n">
        <v>15</v>
      </c>
      <c r="E52" s="47" t="n">
        <v>2835000</v>
      </c>
      <c r="F52" s="47" t="n">
        <v>677580</v>
      </c>
    </row>
    <row r="53" customFormat="false" ht="15" hidden="false" customHeight="false" outlineLevel="0" collapsed="false">
      <c r="A53" s="0" t="s">
        <v>146</v>
      </c>
      <c r="B53" s="0" t="n">
        <v>700</v>
      </c>
      <c r="C53" s="0" t="str">
        <f aca="false">TEXT(VLOOKUP(B53,$I$2:$J$20,2,FALSE()),"0")</f>
        <v>700</v>
      </c>
      <c r="D53" s="47" t="n">
        <v>100</v>
      </c>
      <c r="E53" s="47" t="n">
        <v>18900000</v>
      </c>
      <c r="F53" s="47" t="n">
        <v>4517200</v>
      </c>
    </row>
    <row r="54" customFormat="false" ht="15" hidden="false" customHeight="false" outlineLevel="0" collapsed="false">
      <c r="A54" s="0" t="s">
        <v>146</v>
      </c>
      <c r="B54" s="0" t="n">
        <v>701</v>
      </c>
      <c r="C54" s="0" t="str">
        <f aca="false">TEXT(VLOOKUP(B54,$I$2:$J$20,2,FALSE()),"0")</f>
        <v>700</v>
      </c>
      <c r="D54" s="47" t="n">
        <v>200</v>
      </c>
      <c r="E54" s="47" t="n">
        <v>37800000</v>
      </c>
      <c r="F54" s="47" t="n">
        <v>9034400</v>
      </c>
    </row>
    <row r="55" customFormat="false" ht="15" hidden="false" customHeight="false" outlineLevel="0" collapsed="false">
      <c r="A55" s="0" t="s">
        <v>146</v>
      </c>
      <c r="B55" s="0" t="n">
        <v>799</v>
      </c>
      <c r="C55" s="0" t="str">
        <f aca="false">TEXT(VLOOKUP(B55,$I$2:$J$20,2,FALSE()),"0")</f>
        <v>700</v>
      </c>
      <c r="D55" s="47" t="n">
        <v>2</v>
      </c>
      <c r="E55" s="47" t="n">
        <v>378000</v>
      </c>
      <c r="F55" s="47" t="n">
        <v>90344</v>
      </c>
    </row>
    <row r="56" customFormat="false" ht="15" hidden="false" customHeight="false" outlineLevel="0" collapsed="false">
      <c r="A56" s="0" t="s">
        <v>146</v>
      </c>
      <c r="B56" s="0" t="n">
        <v>800</v>
      </c>
      <c r="C56" s="0" t="str">
        <f aca="false">TEXT(VLOOKUP(B56,$I$2:$J$20,2,FALSE()),"0")</f>
        <v>800</v>
      </c>
      <c r="D56" s="47" t="n">
        <v>25</v>
      </c>
      <c r="E56" s="47" t="n">
        <v>4725000</v>
      </c>
      <c r="F56" s="47" t="n">
        <v>1129300</v>
      </c>
    </row>
    <row r="57" customFormat="false" ht="15" hidden="false" customHeight="false" outlineLevel="0" collapsed="false">
      <c r="A57" s="0" t="s">
        <v>146</v>
      </c>
      <c r="B57" s="0" t="n">
        <v>810</v>
      </c>
      <c r="C57" s="0" t="str">
        <f aca="false">TEXT(VLOOKUP(B57,$I$2:$J$20,2,FALSE()),"0")</f>
        <v>810</v>
      </c>
      <c r="D57" s="47" t="n">
        <v>24</v>
      </c>
      <c r="E57" s="47" t="n">
        <v>4536000</v>
      </c>
      <c r="F57" s="47" t="n">
        <v>1084128</v>
      </c>
    </row>
    <row r="58" customFormat="false" ht="15" hidden="false" customHeight="false" outlineLevel="0" collapsed="false">
      <c r="A58" s="0" t="s">
        <v>148</v>
      </c>
      <c r="B58" s="0" t="n">
        <v>100</v>
      </c>
      <c r="C58" s="0" t="str">
        <f aca="false">TEXT(VLOOKUP(B58,$I$2:$J$20,2,FALSE()),"0")</f>
        <v>100</v>
      </c>
      <c r="D58" s="47" t="n">
        <v>200</v>
      </c>
      <c r="E58" s="47" t="n">
        <v>35800000</v>
      </c>
      <c r="F58" s="47" t="n">
        <v>8438400</v>
      </c>
    </row>
    <row r="59" customFormat="false" ht="15" hidden="false" customHeight="false" outlineLevel="0" collapsed="false">
      <c r="A59" s="0" t="s">
        <v>148</v>
      </c>
      <c r="B59" s="0" t="n">
        <v>200</v>
      </c>
      <c r="C59" s="0" t="str">
        <f aca="false">TEXT(VLOOKUP(B59,$I$2:$J$20,2,FALSE()),"0")</f>
        <v>200</v>
      </c>
      <c r="D59" s="47" t="n">
        <v>280</v>
      </c>
      <c r="E59" s="47" t="n">
        <v>50120000</v>
      </c>
      <c r="F59" s="47" t="n">
        <v>11813760</v>
      </c>
    </row>
    <row r="60" customFormat="false" ht="15" hidden="false" customHeight="false" outlineLevel="0" collapsed="false">
      <c r="A60" s="0" t="s">
        <v>148</v>
      </c>
      <c r="B60" s="0" t="n">
        <v>299</v>
      </c>
      <c r="C60" s="0" t="str">
        <f aca="false">TEXT(VLOOKUP(B60,$I$2:$J$20,2,FALSE()),"0")</f>
        <v>200</v>
      </c>
      <c r="D60" s="47" t="n">
        <v>2</v>
      </c>
      <c r="E60" s="47" t="n">
        <v>358000</v>
      </c>
      <c r="F60" s="47" t="n">
        <v>84384</v>
      </c>
    </row>
    <row r="61" customFormat="false" ht="15" hidden="false" customHeight="false" outlineLevel="0" collapsed="false">
      <c r="A61" s="0" t="s">
        <v>148</v>
      </c>
      <c r="B61" s="0" t="n">
        <v>300</v>
      </c>
      <c r="C61" s="0" t="str">
        <f aca="false">TEXT(VLOOKUP(B61,$I$2:$J$20,2,FALSE()),"0")</f>
        <v>300</v>
      </c>
      <c r="D61" s="47" t="n">
        <v>80</v>
      </c>
      <c r="E61" s="47" t="n">
        <v>14320000</v>
      </c>
      <c r="F61" s="47" t="n">
        <v>3375360</v>
      </c>
    </row>
    <row r="62" customFormat="false" ht="15" hidden="false" customHeight="false" outlineLevel="0" collapsed="false">
      <c r="A62" s="0" t="s">
        <v>148</v>
      </c>
      <c r="B62" s="0" t="n">
        <v>600</v>
      </c>
      <c r="C62" s="0" t="str">
        <f aca="false">TEXT(VLOOKUP(B62,$I$2:$J$20,2,FALSE()),"0")</f>
        <v>600</v>
      </c>
      <c r="D62" s="47" t="n">
        <v>30</v>
      </c>
      <c r="E62" s="47" t="n">
        <v>5370000</v>
      </c>
      <c r="F62" s="47" t="n">
        <v>1265760</v>
      </c>
    </row>
    <row r="63" customFormat="false" ht="15" hidden="false" customHeight="false" outlineLevel="0" collapsed="false">
      <c r="A63" s="0" t="s">
        <v>148</v>
      </c>
      <c r="B63" s="0" t="n">
        <v>700</v>
      </c>
      <c r="C63" s="0" t="str">
        <f aca="false">TEXT(VLOOKUP(B63,$I$2:$J$20,2,FALSE()),"0")</f>
        <v>700</v>
      </c>
      <c r="D63" s="47" t="n">
        <v>100</v>
      </c>
      <c r="E63" s="47" t="n">
        <v>17900000</v>
      </c>
      <c r="F63" s="47" t="n">
        <v>4219200</v>
      </c>
    </row>
    <row r="64" customFormat="false" ht="15" hidden="false" customHeight="false" outlineLevel="0" collapsed="false">
      <c r="A64" s="0" t="s">
        <v>148</v>
      </c>
      <c r="B64" s="0" t="n">
        <v>799</v>
      </c>
      <c r="C64" s="0" t="str">
        <f aca="false">TEXT(VLOOKUP(B64,$I$2:$J$20,2,FALSE()),"0")</f>
        <v>700</v>
      </c>
      <c r="D64" s="47" t="n">
        <v>2</v>
      </c>
      <c r="E64" s="47" t="n">
        <v>358000</v>
      </c>
      <c r="F64" s="47" t="n">
        <v>84384</v>
      </c>
    </row>
    <row r="65" customFormat="false" ht="15" hidden="false" customHeight="false" outlineLevel="0" collapsed="false">
      <c r="A65" s="0" t="s">
        <v>148</v>
      </c>
      <c r="B65" s="0" t="n">
        <v>800</v>
      </c>
      <c r="C65" s="0" t="str">
        <f aca="false">TEXT(VLOOKUP(B65,$I$2:$J$20,2,FALSE()),"0")</f>
        <v>800</v>
      </c>
      <c r="D65" s="47" t="n">
        <v>20</v>
      </c>
      <c r="E65" s="47" t="n">
        <v>3580000</v>
      </c>
      <c r="F65" s="47" t="n">
        <v>843840</v>
      </c>
    </row>
    <row r="66" customFormat="false" ht="15" hidden="false" customHeight="false" outlineLevel="0" collapsed="false">
      <c r="A66" s="0" t="s">
        <v>150</v>
      </c>
      <c r="B66" s="0" t="n">
        <v>100</v>
      </c>
      <c r="C66" s="0" t="str">
        <f aca="false">TEXT(VLOOKUP(B66,$I$2:$J$20,2,FALSE()),"0")</f>
        <v>100</v>
      </c>
      <c r="D66" s="47" t="n">
        <v>140</v>
      </c>
      <c r="E66" s="47" t="n">
        <v>26460000</v>
      </c>
      <c r="F66" s="47" t="n">
        <v>6178340</v>
      </c>
    </row>
    <row r="67" customFormat="false" ht="15" hidden="false" customHeight="false" outlineLevel="0" collapsed="false">
      <c r="A67" s="0" t="s">
        <v>150</v>
      </c>
      <c r="B67" s="0" t="n">
        <v>200</v>
      </c>
      <c r="C67" s="0" t="str">
        <f aca="false">TEXT(VLOOKUP(B67,$I$2:$J$20,2,FALSE()),"0")</f>
        <v>200</v>
      </c>
      <c r="D67" s="47" t="n">
        <v>100</v>
      </c>
      <c r="E67" s="47" t="n">
        <v>18900000</v>
      </c>
      <c r="F67" s="47" t="n">
        <v>4413100</v>
      </c>
    </row>
    <row r="68" customFormat="false" ht="15" hidden="false" customHeight="false" outlineLevel="0" collapsed="false">
      <c r="A68" s="0" t="s">
        <v>150</v>
      </c>
      <c r="B68" s="0" t="n">
        <v>299</v>
      </c>
      <c r="C68" s="0" t="str">
        <f aca="false">TEXT(VLOOKUP(B68,$I$2:$J$20,2,FALSE()),"0")</f>
        <v>200</v>
      </c>
      <c r="D68" s="47" t="n">
        <v>1</v>
      </c>
      <c r="E68" s="47" t="n">
        <v>189000</v>
      </c>
      <c r="F68" s="47" t="n">
        <v>44131</v>
      </c>
    </row>
    <row r="69" customFormat="false" ht="15" hidden="false" customHeight="false" outlineLevel="0" collapsed="false">
      <c r="A69" s="0" t="s">
        <v>150</v>
      </c>
      <c r="B69" s="0" t="n">
        <v>300</v>
      </c>
      <c r="C69" s="0" t="str">
        <f aca="false">TEXT(VLOOKUP(B69,$I$2:$J$20,2,FALSE()),"0")</f>
        <v>300</v>
      </c>
      <c r="D69" s="47" t="n">
        <v>80</v>
      </c>
      <c r="E69" s="47" t="n">
        <v>15120000</v>
      </c>
      <c r="F69" s="47" t="n">
        <v>3530480</v>
      </c>
    </row>
    <row r="70" customFormat="false" ht="15" hidden="false" customHeight="false" outlineLevel="0" collapsed="false">
      <c r="A70" s="0" t="s">
        <v>150</v>
      </c>
      <c r="B70" s="0" t="n">
        <v>500</v>
      </c>
      <c r="C70" s="0" t="str">
        <f aca="false">TEXT(VLOOKUP(B70,$I$2:$J$20,2,FALSE()),"0")</f>
        <v>500</v>
      </c>
      <c r="D70" s="47" t="n">
        <v>30</v>
      </c>
      <c r="E70" s="47" t="n">
        <v>5670000</v>
      </c>
      <c r="F70" s="47" t="n">
        <v>1323930</v>
      </c>
    </row>
    <row r="71" customFormat="false" ht="15" hidden="false" customHeight="false" outlineLevel="0" collapsed="false">
      <c r="A71" s="0" t="s">
        <v>150</v>
      </c>
      <c r="B71" s="0" t="n">
        <v>600</v>
      </c>
      <c r="C71" s="0" t="str">
        <f aca="false">TEXT(VLOOKUP(B71,$I$2:$J$20,2,FALSE()),"0")</f>
        <v>600</v>
      </c>
      <c r="D71" s="47" t="n">
        <v>20</v>
      </c>
      <c r="E71" s="47" t="n">
        <v>3780000</v>
      </c>
      <c r="F71" s="47" t="n">
        <v>882620</v>
      </c>
    </row>
    <row r="72" customFormat="false" ht="15" hidden="false" customHeight="false" outlineLevel="0" collapsed="false">
      <c r="A72" s="0" t="s">
        <v>150</v>
      </c>
      <c r="B72" s="0" t="n">
        <v>700</v>
      </c>
      <c r="C72" s="0" t="str">
        <f aca="false">TEXT(VLOOKUP(B72,$I$2:$J$20,2,FALSE()),"0")</f>
        <v>700</v>
      </c>
      <c r="D72" s="47" t="n">
        <v>100</v>
      </c>
      <c r="E72" s="47" t="n">
        <v>18900000</v>
      </c>
      <c r="F72" s="47" t="n">
        <v>4413100</v>
      </c>
    </row>
    <row r="73" customFormat="false" ht="15" hidden="false" customHeight="false" outlineLevel="0" collapsed="false">
      <c r="A73" s="0" t="s">
        <v>150</v>
      </c>
      <c r="B73" s="0" t="n">
        <v>799</v>
      </c>
      <c r="C73" s="0" t="str">
        <f aca="false">TEXT(VLOOKUP(B73,$I$2:$J$20,2,FALSE()),"0")</f>
        <v>700</v>
      </c>
      <c r="D73" s="47" t="n">
        <v>2</v>
      </c>
      <c r="E73" s="47" t="n">
        <v>378000</v>
      </c>
      <c r="F73" s="47" t="n">
        <v>88262</v>
      </c>
    </row>
    <row r="74" customFormat="false" ht="15" hidden="false" customHeight="false" outlineLevel="0" collapsed="false">
      <c r="A74" s="0" t="s">
        <v>150</v>
      </c>
      <c r="B74" s="0" t="n">
        <v>800</v>
      </c>
      <c r="C74" s="0" t="str">
        <f aca="false">TEXT(VLOOKUP(B74,$I$2:$J$20,2,FALSE()),"0")</f>
        <v>800</v>
      </c>
      <c r="D74" s="47" t="n">
        <v>20</v>
      </c>
      <c r="E74" s="47" t="n">
        <v>3780000</v>
      </c>
      <c r="F74" s="47" t="n">
        <v>882620</v>
      </c>
    </row>
    <row r="75" customFormat="false" ht="15" hidden="false" customHeight="false" outlineLevel="0" collapsed="false">
      <c r="A75" s="0" t="s">
        <v>1396</v>
      </c>
      <c r="B75" s="0" t="n">
        <v>300</v>
      </c>
      <c r="C75" s="0" t="str">
        <f aca="false">TEXT(VLOOKUP(B75,$I$2:$J$20,2,FALSE()),"0")</f>
        <v>300</v>
      </c>
      <c r="D75" s="47" t="n">
        <v>30</v>
      </c>
      <c r="E75" s="47" t="n">
        <v>4170000</v>
      </c>
      <c r="F75" s="47" t="n">
        <v>915060</v>
      </c>
    </row>
    <row r="76" customFormat="false" ht="15" hidden="false" customHeight="false" outlineLevel="0" collapsed="false">
      <c r="A76" s="0" t="s">
        <v>1396</v>
      </c>
      <c r="B76" s="0" t="n">
        <v>600</v>
      </c>
      <c r="C76" s="0" t="str">
        <f aca="false">TEXT(VLOOKUP(B76,$I$2:$J$20,2,FALSE()),"0")</f>
        <v>600</v>
      </c>
      <c r="D76" s="47" t="n">
        <v>45</v>
      </c>
      <c r="E76" s="47" t="n">
        <v>6255000</v>
      </c>
      <c r="F76" s="47" t="n">
        <v>1372590</v>
      </c>
    </row>
    <row r="77" customFormat="false" ht="15" hidden="false" customHeight="false" outlineLevel="0" collapsed="false">
      <c r="A77" s="0" t="s">
        <v>1396</v>
      </c>
      <c r="B77" s="0" t="n">
        <v>700</v>
      </c>
      <c r="C77" s="0" t="str">
        <f aca="false">TEXT(VLOOKUP(B77,$I$2:$J$20,2,FALSE()),"0")</f>
        <v>700</v>
      </c>
      <c r="D77" s="47" t="n">
        <v>95</v>
      </c>
      <c r="E77" s="47" t="n">
        <v>13205000</v>
      </c>
      <c r="F77" s="47" t="n">
        <v>2897690</v>
      </c>
    </row>
    <row r="78" customFormat="false" ht="15" hidden="false" customHeight="false" outlineLevel="0" collapsed="false">
      <c r="A78" s="0" t="s">
        <v>1396</v>
      </c>
      <c r="B78" s="0" t="n">
        <v>799</v>
      </c>
      <c r="C78" s="0" t="str">
        <f aca="false">TEXT(VLOOKUP(B78,$I$2:$J$20,2,FALSE()),"0")</f>
        <v>700</v>
      </c>
      <c r="D78" s="47" t="n">
        <v>2</v>
      </c>
      <c r="E78" s="47" t="n">
        <v>278000</v>
      </c>
      <c r="F78" s="47" t="n">
        <v>61004</v>
      </c>
    </row>
    <row r="79" customFormat="false" ht="15" hidden="false" customHeight="false" outlineLevel="0" collapsed="false">
      <c r="A79" s="0" t="s">
        <v>1668</v>
      </c>
      <c r="B79" s="0" t="n">
        <v>100</v>
      </c>
      <c r="C79" s="0" t="str">
        <f aca="false">TEXT(VLOOKUP(B79,$I$2:$J$20,2,FALSE()),"0")</f>
        <v>100</v>
      </c>
      <c r="D79" s="47" t="n">
        <v>350</v>
      </c>
      <c r="E79" s="47" t="n">
        <v>45150000</v>
      </c>
      <c r="F79" s="47" t="n">
        <v>8546650</v>
      </c>
    </row>
    <row r="80" customFormat="false" ht="15" hidden="false" customHeight="false" outlineLevel="0" collapsed="false">
      <c r="A80" s="0" t="s">
        <v>1668</v>
      </c>
      <c r="B80" s="0" t="n">
        <v>200</v>
      </c>
      <c r="C80" s="0" t="str">
        <f aca="false">TEXT(VLOOKUP(B80,$I$2:$J$20,2,FALSE()),"0")</f>
        <v>200</v>
      </c>
      <c r="D80" s="47" t="n">
        <v>355</v>
      </c>
      <c r="E80" s="47" t="n">
        <v>45795000</v>
      </c>
      <c r="F80" s="47" t="n">
        <v>8668745</v>
      </c>
    </row>
    <row r="81" customFormat="false" ht="15" hidden="false" customHeight="false" outlineLevel="0" collapsed="false">
      <c r="A81" s="0" t="s">
        <v>1668</v>
      </c>
      <c r="B81" s="0" t="n">
        <v>299</v>
      </c>
      <c r="C81" s="0" t="str">
        <f aca="false">TEXT(VLOOKUP(B81,$I$2:$J$20,2,FALSE()),"0")</f>
        <v>200</v>
      </c>
      <c r="D81" s="47" t="n">
        <v>2</v>
      </c>
      <c r="E81" s="47" t="n">
        <v>258000</v>
      </c>
      <c r="F81" s="47" t="n">
        <v>48838</v>
      </c>
    </row>
    <row r="82" customFormat="false" ht="15" hidden="false" customHeight="false" outlineLevel="0" collapsed="false">
      <c r="A82" s="0" t="s">
        <v>1668</v>
      </c>
      <c r="B82" s="0" t="n">
        <v>600</v>
      </c>
      <c r="C82" s="0" t="str">
        <f aca="false">TEXT(VLOOKUP(B82,$I$2:$J$20,2,FALSE()),"0")</f>
        <v>600</v>
      </c>
      <c r="D82" s="47" t="n">
        <v>70</v>
      </c>
      <c r="E82" s="47" t="n">
        <v>9030000</v>
      </c>
      <c r="F82" s="47" t="n">
        <v>1709330</v>
      </c>
    </row>
    <row r="83" customFormat="false" ht="15" hidden="false" customHeight="false" outlineLevel="0" collapsed="false">
      <c r="A83" s="0" t="s">
        <v>156</v>
      </c>
      <c r="B83" s="0" t="n">
        <v>300</v>
      </c>
      <c r="C83" s="0" t="str">
        <f aca="false">TEXT(VLOOKUP(B83,$I$2:$J$20,2,FALSE()),"0")</f>
        <v>300</v>
      </c>
      <c r="D83" s="47" t="n">
        <v>150</v>
      </c>
      <c r="E83" s="47" t="n">
        <v>25350000</v>
      </c>
      <c r="F83" s="47" t="n">
        <v>5100000</v>
      </c>
    </row>
    <row r="84" customFormat="false" ht="15" hidden="false" customHeight="false" outlineLevel="0" collapsed="false">
      <c r="A84" s="0" t="s">
        <v>156</v>
      </c>
      <c r="B84" s="0" t="n">
        <v>600</v>
      </c>
      <c r="C84" s="0" t="str">
        <f aca="false">TEXT(VLOOKUP(B84,$I$2:$J$20,2,FALSE()),"0")</f>
        <v>600</v>
      </c>
      <c r="D84" s="47" t="n">
        <v>25</v>
      </c>
      <c r="E84" s="47" t="n">
        <v>4225000</v>
      </c>
      <c r="F84" s="47" t="n">
        <v>850000</v>
      </c>
    </row>
    <row r="85" customFormat="false" ht="15" hidden="false" customHeight="false" outlineLevel="0" collapsed="false">
      <c r="A85" s="0" t="s">
        <v>1398</v>
      </c>
      <c r="B85" s="0" t="n">
        <v>200</v>
      </c>
      <c r="C85" s="0" t="str">
        <f aca="false">TEXT(VLOOKUP(B85,$I$2:$J$20,2,FALSE()),"0")</f>
        <v>200</v>
      </c>
      <c r="D85" s="47" t="n">
        <v>140</v>
      </c>
      <c r="E85" s="47" t="n">
        <v>27860000</v>
      </c>
      <c r="F85" s="47" t="n">
        <v>7816200</v>
      </c>
    </row>
    <row r="86" customFormat="false" ht="15" hidden="false" customHeight="false" outlineLevel="0" collapsed="false">
      <c r="A86" s="0" t="s">
        <v>1398</v>
      </c>
      <c r="B86" s="0" t="n">
        <v>299</v>
      </c>
      <c r="C86" s="0" t="str">
        <f aca="false">TEXT(VLOOKUP(B86,$I$2:$J$20,2,FALSE()),"0")</f>
        <v>200</v>
      </c>
      <c r="D86" s="47" t="n">
        <v>1</v>
      </c>
      <c r="E86" s="47" t="n">
        <v>199000</v>
      </c>
      <c r="F86" s="47" t="n">
        <v>55830</v>
      </c>
    </row>
    <row r="87" customFormat="false" ht="15" hidden="false" customHeight="false" outlineLevel="0" collapsed="false">
      <c r="A87" s="0" t="s">
        <v>1398</v>
      </c>
      <c r="B87" s="0" t="n">
        <v>600</v>
      </c>
      <c r="C87" s="0" t="str">
        <f aca="false">TEXT(VLOOKUP(B87,$I$2:$J$20,2,FALSE()),"0")</f>
        <v>600</v>
      </c>
      <c r="D87" s="47" t="n">
        <v>15</v>
      </c>
      <c r="E87" s="47" t="n">
        <v>2985000</v>
      </c>
      <c r="F87" s="47" t="n">
        <v>837450</v>
      </c>
    </row>
    <row r="88" customFormat="false" ht="15" hidden="false" customHeight="false" outlineLevel="0" collapsed="false">
      <c r="A88" s="0" t="s">
        <v>1398</v>
      </c>
      <c r="B88" s="0" t="n">
        <v>700</v>
      </c>
      <c r="C88" s="0" t="str">
        <f aca="false">TEXT(VLOOKUP(B88,$I$2:$J$20,2,FALSE()),"0")</f>
        <v>700</v>
      </c>
      <c r="D88" s="47" t="n">
        <v>40</v>
      </c>
      <c r="E88" s="47" t="n">
        <v>7960000</v>
      </c>
      <c r="F88" s="47" t="n">
        <v>2233200</v>
      </c>
    </row>
    <row r="89" customFormat="false" ht="15" hidden="false" customHeight="false" outlineLevel="0" collapsed="false">
      <c r="A89" s="0" t="s">
        <v>1398</v>
      </c>
      <c r="B89" s="0" t="n">
        <v>799</v>
      </c>
      <c r="C89" s="0" t="str">
        <f aca="false">TEXT(VLOOKUP(B89,$I$2:$J$20,2,FALSE()),"0")</f>
        <v>700</v>
      </c>
      <c r="D89" s="47" t="n">
        <v>1</v>
      </c>
      <c r="E89" s="47" t="n">
        <v>199000</v>
      </c>
      <c r="F89" s="47" t="n">
        <v>55830</v>
      </c>
    </row>
    <row r="90" customFormat="false" ht="15" hidden="false" customHeight="false" outlineLevel="0" collapsed="false">
      <c r="A90" s="0" t="s">
        <v>778</v>
      </c>
      <c r="B90" s="0" t="n">
        <v>100</v>
      </c>
      <c r="C90" s="0" t="str">
        <f aca="false">TEXT(VLOOKUP(B90,$I$2:$J$20,2,FALSE()),"0")</f>
        <v>100</v>
      </c>
      <c r="D90" s="47" t="n">
        <v>90</v>
      </c>
      <c r="E90" s="47" t="n">
        <v>12510000</v>
      </c>
      <c r="F90" s="47" t="n">
        <v>3123000</v>
      </c>
    </row>
    <row r="91" customFormat="false" ht="15" hidden="false" customHeight="false" outlineLevel="0" collapsed="false">
      <c r="A91" s="0" t="s">
        <v>778</v>
      </c>
      <c r="B91" s="0" t="n">
        <v>810</v>
      </c>
      <c r="C91" s="0" t="str">
        <f aca="false">TEXT(VLOOKUP(B91,$I$2:$J$20,2,FALSE()),"0")</f>
        <v>810</v>
      </c>
      <c r="D91" s="47" t="n">
        <v>228</v>
      </c>
      <c r="E91" s="47" t="n">
        <v>31692000</v>
      </c>
      <c r="F91" s="47" t="n">
        <v>7911600</v>
      </c>
    </row>
    <row r="92" customFormat="false" ht="15" hidden="false" customHeight="false" outlineLevel="0" collapsed="false">
      <c r="A92" s="0" t="s">
        <v>1251</v>
      </c>
      <c r="B92" s="0" t="n">
        <v>100</v>
      </c>
      <c r="C92" s="0" t="str">
        <f aca="false">TEXT(VLOOKUP(B92,$I$2:$J$20,2,FALSE()),"0")</f>
        <v>100</v>
      </c>
      <c r="D92" s="47" t="n">
        <v>90</v>
      </c>
      <c r="E92" s="47" t="n">
        <v>16110000</v>
      </c>
      <c r="F92" s="47" t="n">
        <v>3989970</v>
      </c>
    </row>
    <row r="93" customFormat="false" ht="15" hidden="false" customHeight="false" outlineLevel="0" collapsed="false">
      <c r="A93" s="0" t="s">
        <v>1251</v>
      </c>
      <c r="B93" s="0" t="n">
        <v>200</v>
      </c>
      <c r="C93" s="0" t="str">
        <f aca="false">TEXT(VLOOKUP(B93,$I$2:$J$20,2,FALSE()),"0")</f>
        <v>200</v>
      </c>
      <c r="D93" s="47" t="n">
        <v>310</v>
      </c>
      <c r="E93" s="47" t="n">
        <v>55490000</v>
      </c>
      <c r="F93" s="47" t="n">
        <v>13743230</v>
      </c>
    </row>
    <row r="94" customFormat="false" ht="15" hidden="false" customHeight="false" outlineLevel="0" collapsed="false">
      <c r="A94" s="0" t="s">
        <v>1251</v>
      </c>
      <c r="B94" s="0" t="n">
        <v>299</v>
      </c>
      <c r="C94" s="0" t="str">
        <f aca="false">TEXT(VLOOKUP(B94,$I$2:$J$20,2,FALSE()),"0")</f>
        <v>200</v>
      </c>
      <c r="D94" s="47" t="n">
        <v>2</v>
      </c>
      <c r="E94" s="47" t="n">
        <v>358000</v>
      </c>
      <c r="F94" s="47" t="n">
        <v>88666</v>
      </c>
    </row>
    <row r="95" customFormat="false" ht="15" hidden="false" customHeight="false" outlineLevel="0" collapsed="false">
      <c r="A95" s="0" t="s">
        <v>1251</v>
      </c>
      <c r="B95" s="0" t="n">
        <v>300</v>
      </c>
      <c r="C95" s="0" t="str">
        <f aca="false">TEXT(VLOOKUP(B95,$I$2:$J$20,2,FALSE()),"0")</f>
        <v>300</v>
      </c>
      <c r="D95" s="47" t="n">
        <v>120</v>
      </c>
      <c r="E95" s="47" t="n">
        <v>21480000</v>
      </c>
      <c r="F95" s="47" t="n">
        <v>5319960</v>
      </c>
    </row>
    <row r="96" customFormat="false" ht="15" hidden="false" customHeight="false" outlineLevel="0" collapsed="false">
      <c r="A96" s="0" t="s">
        <v>1251</v>
      </c>
      <c r="B96" s="0" t="n">
        <v>500</v>
      </c>
      <c r="C96" s="0" t="str">
        <f aca="false">TEXT(VLOOKUP(B96,$I$2:$J$20,2,FALSE()),"0")</f>
        <v>500</v>
      </c>
      <c r="D96" s="47" t="n">
        <v>25</v>
      </c>
      <c r="E96" s="47" t="n">
        <v>4475000</v>
      </c>
      <c r="F96" s="47" t="n">
        <v>1108325</v>
      </c>
    </row>
    <row r="97" customFormat="false" ht="15" hidden="false" customHeight="false" outlineLevel="0" collapsed="false">
      <c r="A97" s="0" t="s">
        <v>780</v>
      </c>
      <c r="B97" s="0" t="n">
        <v>100</v>
      </c>
      <c r="C97" s="0" t="str">
        <f aca="false">TEXT(VLOOKUP(B97,$I$2:$J$20,2,FALSE()),"0")</f>
        <v>100</v>
      </c>
      <c r="D97" s="47" t="n">
        <v>110</v>
      </c>
      <c r="E97" s="47" t="n">
        <v>17490000</v>
      </c>
      <c r="F97" s="47" t="n">
        <v>3729110</v>
      </c>
    </row>
    <row r="98" customFormat="false" ht="15" hidden="false" customHeight="false" outlineLevel="0" collapsed="false">
      <c r="A98" s="0" t="s">
        <v>780</v>
      </c>
      <c r="B98" s="0" t="n">
        <v>700</v>
      </c>
      <c r="C98" s="0" t="str">
        <f aca="false">TEXT(VLOOKUP(B98,$I$2:$J$20,2,FALSE()),"0")</f>
        <v>700</v>
      </c>
      <c r="D98" s="47" t="n">
        <v>40</v>
      </c>
      <c r="E98" s="47" t="n">
        <v>6360000</v>
      </c>
      <c r="F98" s="47" t="n">
        <v>1356040</v>
      </c>
    </row>
    <row r="99" customFormat="false" ht="15" hidden="false" customHeight="false" outlineLevel="0" collapsed="false">
      <c r="A99" s="0" t="s">
        <v>780</v>
      </c>
      <c r="B99" s="0" t="n">
        <v>799</v>
      </c>
      <c r="C99" s="0" t="str">
        <f aca="false">TEXT(VLOOKUP(B99,$I$2:$J$20,2,FALSE()),"0")</f>
        <v>700</v>
      </c>
      <c r="D99" s="47" t="n">
        <v>1</v>
      </c>
      <c r="E99" s="47" t="n">
        <v>159000</v>
      </c>
      <c r="F99" s="47" t="n">
        <v>33901</v>
      </c>
    </row>
    <row r="100" customFormat="false" ht="15" hidden="false" customHeight="false" outlineLevel="0" collapsed="false">
      <c r="A100" s="0" t="s">
        <v>1669</v>
      </c>
      <c r="B100" s="0" t="n">
        <v>600</v>
      </c>
      <c r="C100" s="0" t="str">
        <f aca="false">TEXT(VLOOKUP(B100,$I$2:$J$20,2,FALSE()),"0")</f>
        <v>600</v>
      </c>
      <c r="D100" s="47" t="n">
        <v>40</v>
      </c>
      <c r="E100" s="47" t="n">
        <v>5560000</v>
      </c>
      <c r="F100" s="47" t="n">
        <v>1132000</v>
      </c>
    </row>
    <row r="101" customFormat="false" ht="15" hidden="false" customHeight="false" outlineLevel="0" collapsed="false">
      <c r="A101" s="0" t="s">
        <v>158</v>
      </c>
      <c r="B101" s="0" t="n">
        <v>300</v>
      </c>
      <c r="C101" s="0" t="str">
        <f aca="false">TEXT(VLOOKUP(B101,$I$2:$J$20,2,FALSE()),"0")</f>
        <v>300</v>
      </c>
      <c r="D101" s="47" t="n">
        <v>200</v>
      </c>
      <c r="E101" s="47" t="n">
        <v>47800000</v>
      </c>
      <c r="F101" s="47" t="n">
        <v>12460000</v>
      </c>
    </row>
    <row r="102" customFormat="false" ht="15" hidden="false" customHeight="false" outlineLevel="0" collapsed="false">
      <c r="A102" s="0" t="s">
        <v>158</v>
      </c>
      <c r="B102" s="0" t="n">
        <v>600</v>
      </c>
      <c r="C102" s="0" t="str">
        <f aca="false">TEXT(VLOOKUP(B102,$I$2:$J$20,2,FALSE()),"0")</f>
        <v>600</v>
      </c>
      <c r="D102" s="47" t="n">
        <v>20</v>
      </c>
      <c r="E102" s="47" t="n">
        <v>4780000</v>
      </c>
      <c r="F102" s="47" t="n">
        <v>1246000</v>
      </c>
    </row>
    <row r="103" customFormat="false" ht="15" hidden="false" customHeight="false" outlineLevel="0" collapsed="false">
      <c r="A103" s="0" t="s">
        <v>1253</v>
      </c>
      <c r="B103" s="0" t="n">
        <v>200</v>
      </c>
      <c r="C103" s="0" t="str">
        <f aca="false">TEXT(VLOOKUP(B103,$I$2:$J$20,2,FALSE()),"0")</f>
        <v>200</v>
      </c>
      <c r="D103" s="47" t="n">
        <v>80</v>
      </c>
      <c r="E103" s="47" t="n">
        <v>47200000</v>
      </c>
      <c r="F103" s="47" t="n">
        <v>11848560</v>
      </c>
    </row>
    <row r="104" customFormat="false" ht="15" hidden="false" customHeight="false" outlineLevel="0" collapsed="false">
      <c r="A104" s="0" t="s">
        <v>1253</v>
      </c>
      <c r="B104" s="0" t="n">
        <v>299</v>
      </c>
      <c r="C104" s="0" t="str">
        <f aca="false">TEXT(VLOOKUP(B104,$I$2:$J$20,2,FALSE()),"0")</f>
        <v>200</v>
      </c>
      <c r="D104" s="47" t="n">
        <v>3</v>
      </c>
      <c r="E104" s="47" t="n">
        <v>1770000</v>
      </c>
      <c r="F104" s="47" t="n">
        <v>444321</v>
      </c>
    </row>
    <row r="105" customFormat="false" ht="15" hidden="false" customHeight="false" outlineLevel="0" collapsed="false">
      <c r="A105" s="0" t="s">
        <v>1253</v>
      </c>
      <c r="B105" s="0" t="n">
        <v>300</v>
      </c>
      <c r="C105" s="0" t="str">
        <f aca="false">TEXT(VLOOKUP(B105,$I$2:$J$20,2,FALSE()),"0")</f>
        <v>300</v>
      </c>
      <c r="D105" s="47" t="n">
        <v>320</v>
      </c>
      <c r="E105" s="47" t="n">
        <v>188800000</v>
      </c>
      <c r="F105" s="47" t="n">
        <v>47394240</v>
      </c>
    </row>
    <row r="106" customFormat="false" ht="15" hidden="false" customHeight="false" outlineLevel="0" collapsed="false">
      <c r="A106" s="0" t="s">
        <v>1253</v>
      </c>
      <c r="B106" s="0" t="n">
        <v>500</v>
      </c>
      <c r="C106" s="0" t="str">
        <f aca="false">TEXT(VLOOKUP(B106,$I$2:$J$20,2,FALSE()),"0")</f>
        <v>500</v>
      </c>
      <c r="D106" s="47" t="n">
        <v>25</v>
      </c>
      <c r="E106" s="47" t="n">
        <v>14750000</v>
      </c>
      <c r="F106" s="47" t="n">
        <v>3702675</v>
      </c>
    </row>
    <row r="107" customFormat="false" ht="15" hidden="false" customHeight="false" outlineLevel="0" collapsed="false">
      <c r="A107" s="0" t="s">
        <v>1253</v>
      </c>
      <c r="B107" s="0" t="n">
        <v>800</v>
      </c>
      <c r="C107" s="0" t="str">
        <f aca="false">TEXT(VLOOKUP(B107,$I$2:$J$20,2,FALSE()),"0")</f>
        <v>800</v>
      </c>
      <c r="D107" s="47" t="n">
        <v>15</v>
      </c>
      <c r="E107" s="47" t="n">
        <v>8850000</v>
      </c>
      <c r="F107" s="47" t="n">
        <v>2221605</v>
      </c>
    </row>
    <row r="108" customFormat="false" ht="15" hidden="false" customHeight="false" outlineLevel="0" collapsed="false">
      <c r="A108" s="0" t="s">
        <v>1255</v>
      </c>
      <c r="B108" s="0" t="n">
        <v>100</v>
      </c>
      <c r="C108" s="0" t="str">
        <f aca="false">TEXT(VLOOKUP(B108,$I$2:$J$20,2,FALSE()),"0")</f>
        <v>100</v>
      </c>
      <c r="D108" s="47" t="n">
        <v>160</v>
      </c>
      <c r="E108" s="47" t="n">
        <v>47840000</v>
      </c>
      <c r="F108" s="47" t="n">
        <v>9903840</v>
      </c>
    </row>
    <row r="109" customFormat="false" ht="15" hidden="false" customHeight="false" outlineLevel="0" collapsed="false">
      <c r="A109" s="0" t="s">
        <v>1255</v>
      </c>
      <c r="B109" s="0" t="n">
        <v>200</v>
      </c>
      <c r="C109" s="0" t="str">
        <f aca="false">TEXT(VLOOKUP(B109,$I$2:$J$20,2,FALSE()),"0")</f>
        <v>200</v>
      </c>
      <c r="D109" s="47" t="n">
        <v>190</v>
      </c>
      <c r="E109" s="47" t="n">
        <v>56810000</v>
      </c>
      <c r="F109" s="47" t="n">
        <v>11760810</v>
      </c>
    </row>
    <row r="110" customFormat="false" ht="15" hidden="false" customHeight="false" outlineLevel="0" collapsed="false">
      <c r="A110" s="0" t="s">
        <v>1255</v>
      </c>
      <c r="B110" s="0" t="n">
        <v>299</v>
      </c>
      <c r="C110" s="0" t="str">
        <f aca="false">TEXT(VLOOKUP(B110,$I$2:$J$20,2,FALSE()),"0")</f>
        <v>200</v>
      </c>
      <c r="D110" s="47" t="n">
        <v>4</v>
      </c>
      <c r="E110" s="47" t="n">
        <v>1196000</v>
      </c>
      <c r="F110" s="47" t="n">
        <v>247596</v>
      </c>
    </row>
    <row r="111" customFormat="false" ht="15" hidden="false" customHeight="false" outlineLevel="0" collapsed="false">
      <c r="A111" s="0" t="s">
        <v>1255</v>
      </c>
      <c r="B111" s="0" t="n">
        <v>300</v>
      </c>
      <c r="C111" s="0" t="str">
        <f aca="false">TEXT(VLOOKUP(B111,$I$2:$J$20,2,FALSE()),"0")</f>
        <v>300</v>
      </c>
      <c r="D111" s="47" t="n">
        <v>120</v>
      </c>
      <c r="E111" s="47" t="n">
        <v>35880000</v>
      </c>
      <c r="F111" s="47" t="n">
        <v>7427880</v>
      </c>
    </row>
    <row r="112" customFormat="false" ht="15" hidden="false" customHeight="false" outlineLevel="0" collapsed="false">
      <c r="A112" s="0" t="s">
        <v>1255</v>
      </c>
      <c r="B112" s="0" t="n">
        <v>500</v>
      </c>
      <c r="C112" s="0" t="str">
        <f aca="false">TEXT(VLOOKUP(B112,$I$2:$J$20,2,FALSE()),"0")</f>
        <v>500</v>
      </c>
      <c r="D112" s="47" t="n">
        <v>35</v>
      </c>
      <c r="E112" s="47" t="n">
        <v>10465000</v>
      </c>
      <c r="F112" s="47" t="n">
        <v>2166465</v>
      </c>
    </row>
    <row r="113" customFormat="false" ht="15" hidden="false" customHeight="false" outlineLevel="0" collapsed="false">
      <c r="A113" s="0" t="s">
        <v>1255</v>
      </c>
      <c r="B113" s="0" t="n">
        <v>700</v>
      </c>
      <c r="C113" s="0" t="str">
        <f aca="false">TEXT(VLOOKUP(B113,$I$2:$J$20,2,FALSE()),"0")</f>
        <v>700</v>
      </c>
      <c r="D113" s="47" t="n">
        <v>40</v>
      </c>
      <c r="E113" s="47" t="n">
        <v>11960000</v>
      </c>
      <c r="F113" s="47" t="n">
        <v>2475960</v>
      </c>
    </row>
    <row r="114" customFormat="false" ht="15" hidden="false" customHeight="false" outlineLevel="0" collapsed="false">
      <c r="A114" s="0" t="s">
        <v>1255</v>
      </c>
      <c r="B114" s="0" t="n">
        <v>799</v>
      </c>
      <c r="C114" s="0" t="str">
        <f aca="false">TEXT(VLOOKUP(B114,$I$2:$J$20,2,FALSE()),"0")</f>
        <v>700</v>
      </c>
      <c r="D114" s="47" t="n">
        <v>1</v>
      </c>
      <c r="E114" s="47" t="n">
        <v>299000</v>
      </c>
      <c r="F114" s="47" t="n">
        <v>61899</v>
      </c>
    </row>
    <row r="115" customFormat="false" ht="15" hidden="false" customHeight="false" outlineLevel="0" collapsed="false">
      <c r="A115" s="0" t="s">
        <v>782</v>
      </c>
      <c r="B115" s="0" t="n">
        <v>100</v>
      </c>
      <c r="C115" s="0" t="str">
        <f aca="false">TEXT(VLOOKUP(B115,$I$2:$J$20,2,FALSE()),"0")</f>
        <v>100</v>
      </c>
      <c r="D115" s="47" t="n">
        <v>80</v>
      </c>
      <c r="E115" s="47" t="n">
        <v>22320000</v>
      </c>
      <c r="F115" s="47" t="n">
        <v>4267680</v>
      </c>
    </row>
    <row r="116" customFormat="false" ht="15" hidden="false" customHeight="false" outlineLevel="0" collapsed="false">
      <c r="A116" s="0" t="s">
        <v>782</v>
      </c>
      <c r="B116" s="0" t="n">
        <v>200</v>
      </c>
      <c r="C116" s="0" t="str">
        <f aca="false">TEXT(VLOOKUP(B116,$I$2:$J$20,2,FALSE()),"0")</f>
        <v>200</v>
      </c>
      <c r="D116" s="47" t="n">
        <v>280</v>
      </c>
      <c r="E116" s="47" t="n">
        <v>78120000</v>
      </c>
      <c r="F116" s="47" t="n">
        <v>14936880</v>
      </c>
    </row>
    <row r="117" customFormat="false" ht="15" hidden="false" customHeight="false" outlineLevel="0" collapsed="false">
      <c r="A117" s="0" t="s">
        <v>782</v>
      </c>
      <c r="B117" s="0" t="n">
        <v>299</v>
      </c>
      <c r="C117" s="0" t="str">
        <f aca="false">TEXT(VLOOKUP(B117,$I$2:$J$20,2,FALSE()),"0")</f>
        <v>200</v>
      </c>
      <c r="D117" s="47" t="n">
        <v>6</v>
      </c>
      <c r="E117" s="47" t="n">
        <v>1674000</v>
      </c>
      <c r="F117" s="47" t="n">
        <v>320076</v>
      </c>
    </row>
    <row r="118" customFormat="false" ht="15" hidden="false" customHeight="false" outlineLevel="0" collapsed="false">
      <c r="A118" s="0" t="s">
        <v>782</v>
      </c>
      <c r="B118" s="0" t="n">
        <v>500</v>
      </c>
      <c r="C118" s="0" t="str">
        <f aca="false">TEXT(VLOOKUP(B118,$I$2:$J$20,2,FALSE()),"0")</f>
        <v>500</v>
      </c>
      <c r="D118" s="47" t="n">
        <v>25</v>
      </c>
      <c r="E118" s="47" t="n">
        <v>6975000</v>
      </c>
      <c r="F118" s="47" t="n">
        <v>1333650</v>
      </c>
    </row>
    <row r="119" customFormat="false" ht="15" hidden="false" customHeight="false" outlineLevel="0" collapsed="false">
      <c r="A119" s="0" t="s">
        <v>782</v>
      </c>
      <c r="B119" s="0" t="n">
        <v>700</v>
      </c>
      <c r="C119" s="0" t="str">
        <f aca="false">TEXT(VLOOKUP(B119,$I$2:$J$20,2,FALSE()),"0")</f>
        <v>700</v>
      </c>
      <c r="D119" s="47" t="n">
        <v>80</v>
      </c>
      <c r="E119" s="47" t="n">
        <v>22320000</v>
      </c>
      <c r="F119" s="47" t="n">
        <v>4267680</v>
      </c>
    </row>
    <row r="120" customFormat="false" ht="15" hidden="false" customHeight="false" outlineLevel="0" collapsed="false">
      <c r="A120" s="0" t="s">
        <v>782</v>
      </c>
      <c r="B120" s="0" t="n">
        <v>799</v>
      </c>
      <c r="C120" s="0" t="str">
        <f aca="false">TEXT(VLOOKUP(B120,$I$2:$J$20,2,FALSE()),"0")</f>
        <v>700</v>
      </c>
      <c r="D120" s="47" t="n">
        <v>2</v>
      </c>
      <c r="E120" s="47" t="n">
        <v>558000</v>
      </c>
      <c r="F120" s="47" t="n">
        <v>106692</v>
      </c>
    </row>
    <row r="121" customFormat="false" ht="15" hidden="false" customHeight="false" outlineLevel="0" collapsed="false">
      <c r="A121" s="0" t="s">
        <v>784</v>
      </c>
      <c r="B121" s="0" t="n">
        <v>100</v>
      </c>
      <c r="C121" s="0" t="str">
        <f aca="false">TEXT(VLOOKUP(B121,$I$2:$J$20,2,FALSE()),"0")</f>
        <v>100</v>
      </c>
      <c r="D121" s="47" t="n">
        <v>100</v>
      </c>
      <c r="E121" s="47" t="n">
        <v>21900000</v>
      </c>
      <c r="F121" s="47" t="n">
        <v>4750300</v>
      </c>
    </row>
    <row r="122" customFormat="false" ht="15" hidden="false" customHeight="false" outlineLevel="0" collapsed="false">
      <c r="A122" s="0" t="s">
        <v>784</v>
      </c>
      <c r="B122" s="0" t="n">
        <v>700</v>
      </c>
      <c r="C122" s="0" t="str">
        <f aca="false">TEXT(VLOOKUP(B122,$I$2:$J$20,2,FALSE()),"0")</f>
        <v>700</v>
      </c>
      <c r="D122" s="47" t="n">
        <v>90</v>
      </c>
      <c r="E122" s="47" t="n">
        <v>19710000</v>
      </c>
      <c r="F122" s="47" t="n">
        <v>4275270</v>
      </c>
    </row>
    <row r="123" customFormat="false" ht="15" hidden="false" customHeight="false" outlineLevel="0" collapsed="false">
      <c r="A123" s="0" t="s">
        <v>784</v>
      </c>
      <c r="B123" s="0" t="n">
        <v>799</v>
      </c>
      <c r="C123" s="0" t="str">
        <f aca="false">TEXT(VLOOKUP(B123,$I$2:$J$20,2,FALSE()),"0")</f>
        <v>700</v>
      </c>
      <c r="D123" s="47" t="n">
        <v>2</v>
      </c>
      <c r="E123" s="47" t="n">
        <v>438000</v>
      </c>
      <c r="F123" s="47" t="n">
        <v>95006</v>
      </c>
    </row>
    <row r="124" customFormat="false" ht="15" hidden="false" customHeight="false" outlineLevel="0" collapsed="false">
      <c r="A124" s="0" t="s">
        <v>1670</v>
      </c>
      <c r="B124" s="0" t="n">
        <v>100</v>
      </c>
      <c r="C124" s="0" t="str">
        <f aca="false">TEXT(VLOOKUP(B124,$I$2:$J$20,2,FALSE()),"0")</f>
        <v>100</v>
      </c>
      <c r="D124" s="47" t="n">
        <v>240</v>
      </c>
      <c r="E124" s="47" t="n">
        <v>47760000</v>
      </c>
      <c r="F124" s="47" t="n">
        <v>10824000</v>
      </c>
    </row>
    <row r="125" customFormat="false" ht="15" hidden="false" customHeight="false" outlineLevel="0" collapsed="false">
      <c r="A125" s="0" t="s">
        <v>786</v>
      </c>
      <c r="B125" s="0" t="n">
        <v>100</v>
      </c>
      <c r="C125" s="0" t="str">
        <f aca="false">TEXT(VLOOKUP(B125,$I$2:$J$20,2,FALSE()),"0")</f>
        <v>100</v>
      </c>
      <c r="D125" s="47" t="n">
        <v>220</v>
      </c>
      <c r="E125" s="47" t="n">
        <v>56980000</v>
      </c>
      <c r="F125" s="47" t="n">
        <v>17006000</v>
      </c>
    </row>
    <row r="126" customFormat="false" ht="15" hidden="false" customHeight="false" outlineLevel="0" collapsed="false">
      <c r="A126" s="0" t="s">
        <v>1399</v>
      </c>
      <c r="B126" s="0" t="n">
        <v>100</v>
      </c>
      <c r="C126" s="0" t="str">
        <f aca="false">TEXT(VLOOKUP(B126,$I$2:$J$20,2,FALSE()),"0")</f>
        <v>100</v>
      </c>
      <c r="D126" s="47" t="n">
        <v>80</v>
      </c>
      <c r="E126" s="47" t="n">
        <v>31920000</v>
      </c>
      <c r="F126" s="47" t="n">
        <v>8201200</v>
      </c>
    </row>
    <row r="127" customFormat="false" ht="15" hidden="false" customHeight="false" outlineLevel="0" collapsed="false">
      <c r="A127" s="0" t="s">
        <v>1399</v>
      </c>
      <c r="B127" s="0" t="n">
        <v>700</v>
      </c>
      <c r="C127" s="0" t="str">
        <f aca="false">TEXT(VLOOKUP(B127,$I$2:$J$20,2,FALSE()),"0")</f>
        <v>700</v>
      </c>
      <c r="D127" s="47" t="n">
        <v>40</v>
      </c>
      <c r="E127" s="47" t="n">
        <v>15960000</v>
      </c>
      <c r="F127" s="47" t="n">
        <v>4100600</v>
      </c>
    </row>
    <row r="128" customFormat="false" ht="15" hidden="false" customHeight="false" outlineLevel="0" collapsed="false">
      <c r="A128" s="0" t="s">
        <v>1399</v>
      </c>
      <c r="B128" s="0" t="n">
        <v>799</v>
      </c>
      <c r="C128" s="0" t="str">
        <f aca="false">TEXT(VLOOKUP(B128,$I$2:$J$20,2,FALSE()),"0")</f>
        <v>700</v>
      </c>
      <c r="D128" s="47" t="n">
        <v>1</v>
      </c>
      <c r="E128" s="47" t="n">
        <v>399000</v>
      </c>
      <c r="F128" s="47" t="n">
        <v>102515</v>
      </c>
    </row>
    <row r="129" customFormat="false" ht="15" hidden="false" customHeight="false" outlineLevel="0" collapsed="false">
      <c r="A129" s="0" t="s">
        <v>1401</v>
      </c>
      <c r="B129" s="0" t="n">
        <v>100</v>
      </c>
      <c r="C129" s="0" t="str">
        <f aca="false">TEXT(VLOOKUP(B129,$I$2:$J$20,2,FALSE()),"0")</f>
        <v>100</v>
      </c>
      <c r="D129" s="47" t="n">
        <v>200</v>
      </c>
      <c r="E129" s="47" t="n">
        <v>27800000</v>
      </c>
      <c r="F129" s="47" t="n">
        <v>6264600</v>
      </c>
    </row>
    <row r="130" customFormat="false" ht="15" hidden="false" customHeight="false" outlineLevel="0" collapsed="false">
      <c r="A130" s="0" t="s">
        <v>1401</v>
      </c>
      <c r="B130" s="0" t="n">
        <v>200</v>
      </c>
      <c r="C130" s="0" t="str">
        <f aca="false">TEXT(VLOOKUP(B130,$I$2:$J$20,2,FALSE()),"0")</f>
        <v>200</v>
      </c>
      <c r="D130" s="47" t="n">
        <v>110</v>
      </c>
      <c r="E130" s="47" t="n">
        <v>15290000</v>
      </c>
      <c r="F130" s="47" t="n">
        <v>3445530</v>
      </c>
    </row>
    <row r="131" customFormat="false" ht="15" hidden="false" customHeight="false" outlineLevel="0" collapsed="false">
      <c r="A131" s="0" t="s">
        <v>1401</v>
      </c>
      <c r="B131" s="0" t="n">
        <v>299</v>
      </c>
      <c r="C131" s="0" t="str">
        <f aca="false">TEXT(VLOOKUP(B131,$I$2:$J$20,2,FALSE()),"0")</f>
        <v>200</v>
      </c>
      <c r="D131" s="47" t="n">
        <v>1</v>
      </c>
      <c r="E131" s="47" t="n">
        <v>139000</v>
      </c>
      <c r="F131" s="47" t="n">
        <v>31323</v>
      </c>
    </row>
    <row r="132" customFormat="false" ht="15" hidden="false" customHeight="false" outlineLevel="0" collapsed="false">
      <c r="A132" s="0" t="s">
        <v>1401</v>
      </c>
      <c r="B132" s="0" t="n">
        <v>700</v>
      </c>
      <c r="C132" s="0" t="str">
        <f aca="false">TEXT(VLOOKUP(B132,$I$2:$J$20,2,FALSE()),"0")</f>
        <v>700</v>
      </c>
      <c r="D132" s="47" t="n">
        <v>40</v>
      </c>
      <c r="E132" s="47" t="n">
        <v>5560000</v>
      </c>
      <c r="F132" s="47" t="n">
        <v>1252920</v>
      </c>
    </row>
    <row r="133" customFormat="false" ht="15" hidden="false" customHeight="false" outlineLevel="0" collapsed="false">
      <c r="A133" s="0" t="s">
        <v>1401</v>
      </c>
      <c r="B133" s="0" t="n">
        <v>799</v>
      </c>
      <c r="C133" s="0" t="str">
        <f aca="false">TEXT(VLOOKUP(B133,$I$2:$J$20,2,FALSE()),"0")</f>
        <v>700</v>
      </c>
      <c r="D133" s="47" t="n">
        <v>1</v>
      </c>
      <c r="E133" s="47" t="n">
        <v>139000</v>
      </c>
      <c r="F133" s="47" t="n">
        <v>31323</v>
      </c>
    </row>
    <row r="134" customFormat="false" ht="15" hidden="false" customHeight="false" outlineLevel="0" collapsed="false">
      <c r="A134" s="0" t="s">
        <v>1401</v>
      </c>
      <c r="B134" s="0" t="n">
        <v>800</v>
      </c>
      <c r="C134" s="0" t="str">
        <f aca="false">TEXT(VLOOKUP(B134,$I$2:$J$20,2,FALSE()),"0")</f>
        <v>800</v>
      </c>
      <c r="D134" s="47" t="n">
        <v>30</v>
      </c>
      <c r="E134" s="47" t="n">
        <v>4170000</v>
      </c>
      <c r="F134" s="47" t="n">
        <v>939690</v>
      </c>
    </row>
    <row r="135" customFormat="false" ht="15" hidden="false" customHeight="false" outlineLevel="0" collapsed="false">
      <c r="A135" s="0" t="s">
        <v>788</v>
      </c>
      <c r="B135" s="0" t="n">
        <v>100</v>
      </c>
      <c r="C135" s="0" t="str">
        <f aca="false">TEXT(VLOOKUP(B135,$I$2:$J$20,2,FALSE()),"0")</f>
        <v>100</v>
      </c>
      <c r="D135" s="47" t="n">
        <v>70</v>
      </c>
      <c r="E135" s="47" t="n">
        <v>13930000</v>
      </c>
      <c r="F135" s="47" t="n">
        <v>3290000</v>
      </c>
    </row>
    <row r="136" customFormat="false" ht="15" hidden="false" customHeight="false" outlineLevel="0" collapsed="false">
      <c r="A136" s="0" t="s">
        <v>1029</v>
      </c>
      <c r="B136" s="0" t="n">
        <v>200</v>
      </c>
      <c r="C136" s="0" t="str">
        <f aca="false">TEXT(VLOOKUP(B136,$I$2:$J$20,2,FALSE()),"0")</f>
        <v>200</v>
      </c>
      <c r="D136" s="47" t="n">
        <v>60</v>
      </c>
      <c r="E136" s="47" t="n">
        <v>9540000</v>
      </c>
      <c r="F136" s="47" t="n">
        <v>2251920</v>
      </c>
    </row>
    <row r="137" customFormat="false" ht="15" hidden="false" customHeight="false" outlineLevel="0" collapsed="false">
      <c r="A137" s="0" t="s">
        <v>1029</v>
      </c>
      <c r="B137" s="0" t="n">
        <v>299</v>
      </c>
      <c r="C137" s="0" t="str">
        <f aca="false">TEXT(VLOOKUP(B137,$I$2:$J$20,2,FALSE()),"0")</f>
        <v>200</v>
      </c>
      <c r="D137" s="47" t="n">
        <v>2</v>
      </c>
      <c r="E137" s="47" t="n">
        <v>318000</v>
      </c>
      <c r="F137" s="47" t="n">
        <v>75064</v>
      </c>
    </row>
    <row r="138" customFormat="false" ht="15" hidden="false" customHeight="false" outlineLevel="0" collapsed="false">
      <c r="A138" s="0" t="s">
        <v>1029</v>
      </c>
      <c r="B138" s="0" t="n">
        <v>600</v>
      </c>
      <c r="C138" s="0" t="str">
        <f aca="false">TEXT(VLOOKUP(B138,$I$2:$J$20,2,FALSE()),"0")</f>
        <v>600</v>
      </c>
      <c r="D138" s="47" t="n">
        <v>30</v>
      </c>
      <c r="E138" s="47" t="n">
        <v>4770000</v>
      </c>
      <c r="F138" s="47" t="n">
        <v>1125960</v>
      </c>
    </row>
    <row r="139" customFormat="false" ht="15" hidden="false" customHeight="false" outlineLevel="0" collapsed="false">
      <c r="A139" s="0" t="s">
        <v>1031</v>
      </c>
      <c r="B139" s="0" t="n">
        <v>200</v>
      </c>
      <c r="C139" s="0" t="str">
        <f aca="false">TEXT(VLOOKUP(B139,$I$2:$J$20,2,FALSE()),"0")</f>
        <v>200</v>
      </c>
      <c r="D139" s="47" t="n">
        <v>200</v>
      </c>
      <c r="E139" s="47" t="n">
        <v>23800000</v>
      </c>
      <c r="F139" s="47" t="n">
        <v>5224400</v>
      </c>
    </row>
    <row r="140" customFormat="false" ht="15" hidden="false" customHeight="false" outlineLevel="0" collapsed="false">
      <c r="A140" s="0" t="s">
        <v>1031</v>
      </c>
      <c r="B140" s="0" t="n">
        <v>299</v>
      </c>
      <c r="C140" s="0" t="str">
        <f aca="false">TEXT(VLOOKUP(B140,$I$2:$J$20,2,FALSE()),"0")</f>
        <v>200</v>
      </c>
      <c r="D140" s="47" t="n">
        <v>4</v>
      </c>
      <c r="E140" s="47" t="n">
        <v>476000</v>
      </c>
      <c r="F140" s="47" t="n">
        <v>104488</v>
      </c>
    </row>
    <row r="141" customFormat="false" ht="15" hidden="false" customHeight="false" outlineLevel="0" collapsed="false">
      <c r="A141" s="0" t="s">
        <v>1031</v>
      </c>
      <c r="B141" s="0" t="n">
        <v>600</v>
      </c>
      <c r="C141" s="0" t="str">
        <f aca="false">TEXT(VLOOKUP(B141,$I$2:$J$20,2,FALSE()),"0")</f>
        <v>600</v>
      </c>
      <c r="D141" s="47" t="n">
        <v>40</v>
      </c>
      <c r="E141" s="47" t="n">
        <v>4760000</v>
      </c>
      <c r="F141" s="47" t="n">
        <v>1044880</v>
      </c>
    </row>
    <row r="142" customFormat="false" ht="15" hidden="false" customHeight="false" outlineLevel="0" collapsed="false">
      <c r="A142" s="0" t="s">
        <v>1033</v>
      </c>
      <c r="B142" s="0" t="n">
        <v>200</v>
      </c>
      <c r="C142" s="0" t="str">
        <f aca="false">TEXT(VLOOKUP(B142,$I$2:$J$20,2,FALSE()),"0")</f>
        <v>200</v>
      </c>
      <c r="D142" s="47" t="n">
        <v>100</v>
      </c>
      <c r="E142" s="47" t="n">
        <v>12900000</v>
      </c>
      <c r="F142" s="47" t="n">
        <v>3032100</v>
      </c>
    </row>
    <row r="143" customFormat="false" ht="15" hidden="false" customHeight="false" outlineLevel="0" collapsed="false">
      <c r="A143" s="0" t="s">
        <v>1033</v>
      </c>
      <c r="B143" s="0" t="n">
        <v>299</v>
      </c>
      <c r="C143" s="0" t="str">
        <f aca="false">TEXT(VLOOKUP(B143,$I$2:$J$20,2,FALSE()),"0")</f>
        <v>200</v>
      </c>
      <c r="D143" s="47" t="n">
        <v>2</v>
      </c>
      <c r="E143" s="47" t="n">
        <v>258000</v>
      </c>
      <c r="F143" s="47" t="n">
        <v>60642</v>
      </c>
    </row>
    <row r="144" customFormat="false" ht="15" hidden="false" customHeight="false" outlineLevel="0" collapsed="false">
      <c r="A144" s="0" t="s">
        <v>1035</v>
      </c>
      <c r="B144" s="0" t="n">
        <v>200</v>
      </c>
      <c r="C144" s="0" t="str">
        <f aca="false">TEXT(VLOOKUP(B144,$I$2:$J$20,2,FALSE()),"0")</f>
        <v>200</v>
      </c>
      <c r="D144" s="47" t="n">
        <v>330</v>
      </c>
      <c r="E144" s="47" t="n">
        <v>26070000</v>
      </c>
      <c r="F144" s="47" t="n">
        <v>4203540</v>
      </c>
    </row>
    <row r="145" customFormat="false" ht="15" hidden="false" customHeight="false" outlineLevel="0" collapsed="false">
      <c r="A145" s="0" t="s">
        <v>1035</v>
      </c>
      <c r="B145" s="0" t="n">
        <v>299</v>
      </c>
      <c r="C145" s="0" t="str">
        <f aca="false">TEXT(VLOOKUP(B145,$I$2:$J$20,2,FALSE()),"0")</f>
        <v>200</v>
      </c>
      <c r="D145" s="47" t="n">
        <v>3</v>
      </c>
      <c r="E145" s="47" t="n">
        <v>237000</v>
      </c>
      <c r="F145" s="47" t="n">
        <v>38214</v>
      </c>
    </row>
    <row r="146" customFormat="false" ht="15" hidden="false" customHeight="false" outlineLevel="0" collapsed="false">
      <c r="A146" s="0" t="s">
        <v>160</v>
      </c>
      <c r="B146" s="0" t="n">
        <v>300</v>
      </c>
      <c r="C146" s="0" t="str">
        <f aca="false">TEXT(VLOOKUP(B146,$I$2:$J$20,2,FALSE()),"0")</f>
        <v>300</v>
      </c>
      <c r="D146" s="47" t="n">
        <v>30</v>
      </c>
      <c r="E146" s="47" t="n">
        <v>3270000</v>
      </c>
      <c r="F146" s="47" t="n">
        <v>657000</v>
      </c>
    </row>
    <row r="147" customFormat="false" ht="15" hidden="false" customHeight="false" outlineLevel="0" collapsed="false">
      <c r="A147" s="0" t="s">
        <v>160</v>
      </c>
      <c r="B147" s="0" t="n">
        <v>600</v>
      </c>
      <c r="C147" s="0" t="str">
        <f aca="false">TEXT(VLOOKUP(B147,$I$2:$J$20,2,FALSE()),"0")</f>
        <v>600</v>
      </c>
      <c r="D147" s="47" t="n">
        <v>45</v>
      </c>
      <c r="E147" s="47" t="n">
        <v>4905000</v>
      </c>
      <c r="F147" s="47" t="n">
        <v>985500</v>
      </c>
    </row>
    <row r="148" customFormat="false" ht="15" hidden="false" customHeight="false" outlineLevel="0" collapsed="false">
      <c r="A148" s="0" t="s">
        <v>160</v>
      </c>
      <c r="B148" s="0" t="n">
        <v>810</v>
      </c>
      <c r="C148" s="0" t="str">
        <f aca="false">TEXT(VLOOKUP(B148,$I$2:$J$20,2,FALSE()),"0")</f>
        <v>810</v>
      </c>
      <c r="D148" s="47" t="n">
        <v>228</v>
      </c>
      <c r="E148" s="47" t="n">
        <v>24852000</v>
      </c>
      <c r="F148" s="47" t="n">
        <v>4993200</v>
      </c>
    </row>
    <row r="149" customFormat="false" ht="15" hidden="false" customHeight="false" outlineLevel="0" collapsed="false">
      <c r="A149" s="0" t="s">
        <v>790</v>
      </c>
      <c r="B149" s="0" t="n">
        <v>100</v>
      </c>
      <c r="C149" s="0" t="str">
        <f aca="false">TEXT(VLOOKUP(B149,$I$2:$J$20,2,FALSE()),"0")</f>
        <v>100</v>
      </c>
      <c r="D149" s="47" t="n">
        <v>210</v>
      </c>
      <c r="E149" s="47" t="n">
        <v>27090000</v>
      </c>
      <c r="F149" s="47" t="n">
        <v>5922000</v>
      </c>
    </row>
    <row r="150" customFormat="false" ht="15" hidden="false" customHeight="false" outlineLevel="0" collapsed="false">
      <c r="A150" s="0" t="s">
        <v>790</v>
      </c>
      <c r="B150" s="0" t="n">
        <v>600</v>
      </c>
      <c r="C150" s="0" t="str">
        <f aca="false">TEXT(VLOOKUP(B150,$I$2:$J$20,2,FALSE()),"0")</f>
        <v>600</v>
      </c>
      <c r="D150" s="47" t="n">
        <v>20</v>
      </c>
      <c r="E150" s="47" t="n">
        <v>2580000</v>
      </c>
      <c r="F150" s="47" t="n">
        <v>564000</v>
      </c>
    </row>
    <row r="151" customFormat="false" ht="15" hidden="false" customHeight="false" outlineLevel="0" collapsed="false">
      <c r="A151" s="0" t="s">
        <v>1671</v>
      </c>
      <c r="B151" s="0" t="n">
        <v>600</v>
      </c>
      <c r="C151" s="0" t="str">
        <f aca="false">TEXT(VLOOKUP(B151,$I$2:$J$20,2,FALSE()),"0")</f>
        <v>600</v>
      </c>
      <c r="D151" s="47" t="n">
        <v>35</v>
      </c>
      <c r="E151" s="47" t="n">
        <v>4865000</v>
      </c>
      <c r="F151" s="47" t="n">
        <v>871500</v>
      </c>
    </row>
    <row r="152" customFormat="false" ht="15" hidden="false" customHeight="false" outlineLevel="0" collapsed="false">
      <c r="A152" s="0" t="s">
        <v>792</v>
      </c>
      <c r="B152" s="0" t="n">
        <v>100</v>
      </c>
      <c r="C152" s="0" t="str">
        <f aca="false">TEXT(VLOOKUP(B152,$I$2:$J$20,2,FALSE()),"0")</f>
        <v>100</v>
      </c>
      <c r="D152" s="47" t="n">
        <v>300</v>
      </c>
      <c r="E152" s="47" t="n">
        <v>44700000</v>
      </c>
      <c r="F152" s="47" t="n">
        <v>8010000</v>
      </c>
    </row>
    <row r="153" customFormat="false" ht="15" hidden="false" customHeight="false" outlineLevel="0" collapsed="false">
      <c r="A153" s="0" t="s">
        <v>1403</v>
      </c>
      <c r="B153" s="0" t="n">
        <v>700</v>
      </c>
      <c r="C153" s="0" t="str">
        <f aca="false">TEXT(VLOOKUP(B153,$I$2:$J$20,2,FALSE()),"0")</f>
        <v>700</v>
      </c>
      <c r="D153" s="47" t="n">
        <v>80</v>
      </c>
      <c r="E153" s="47" t="n">
        <v>11120000</v>
      </c>
      <c r="F153" s="47" t="n">
        <v>2430800</v>
      </c>
    </row>
    <row r="154" customFormat="false" ht="15" hidden="false" customHeight="false" outlineLevel="0" collapsed="false">
      <c r="A154" s="0" t="s">
        <v>1403</v>
      </c>
      <c r="B154" s="0" t="n">
        <v>799</v>
      </c>
      <c r="C154" s="0" t="str">
        <f aca="false">TEXT(VLOOKUP(B154,$I$2:$J$20,2,FALSE()),"0")</f>
        <v>700</v>
      </c>
      <c r="D154" s="47" t="n">
        <v>2</v>
      </c>
      <c r="E154" s="47" t="n">
        <v>278000</v>
      </c>
      <c r="F154" s="47" t="n">
        <v>60770</v>
      </c>
    </row>
    <row r="155" customFormat="false" ht="15" hidden="false" customHeight="false" outlineLevel="0" collapsed="false">
      <c r="A155" s="0" t="s">
        <v>1471</v>
      </c>
      <c r="B155" s="0" t="n">
        <v>810</v>
      </c>
      <c r="C155" s="0" t="str">
        <f aca="false">TEXT(VLOOKUP(B155,$I$2:$J$20,2,FALSE()),"0")</f>
        <v>810</v>
      </c>
      <c r="D155" s="47" t="n">
        <v>216</v>
      </c>
      <c r="E155" s="47" t="n">
        <v>23544000</v>
      </c>
      <c r="F155" s="47" t="n">
        <v>6023808</v>
      </c>
    </row>
    <row r="156" customFormat="false" ht="15" hidden="false" customHeight="false" outlineLevel="0" collapsed="false">
      <c r="A156" s="0" t="s">
        <v>1257</v>
      </c>
      <c r="B156" s="0" t="n">
        <v>100</v>
      </c>
      <c r="C156" s="0" t="str">
        <f aca="false">TEXT(VLOOKUP(B156,$I$2:$J$20,2,FALSE()),"0")</f>
        <v>100</v>
      </c>
      <c r="D156" s="47" t="n">
        <v>600</v>
      </c>
      <c r="E156" s="47" t="n">
        <v>131400000</v>
      </c>
      <c r="F156" s="47" t="n">
        <v>29460000</v>
      </c>
    </row>
    <row r="157" customFormat="false" ht="15" hidden="false" customHeight="false" outlineLevel="0" collapsed="false">
      <c r="A157" s="0" t="s">
        <v>1257</v>
      </c>
      <c r="B157" s="0" t="n">
        <v>500</v>
      </c>
      <c r="C157" s="0" t="str">
        <f aca="false">TEXT(VLOOKUP(B157,$I$2:$J$20,2,FALSE()),"0")</f>
        <v>500</v>
      </c>
      <c r="D157" s="47" t="n">
        <v>40</v>
      </c>
      <c r="E157" s="47" t="n">
        <v>8760000</v>
      </c>
      <c r="F157" s="47" t="n">
        <v>1964000</v>
      </c>
    </row>
    <row r="158" customFormat="false" ht="15" hidden="false" customHeight="false" outlineLevel="0" collapsed="false">
      <c r="A158" s="0" t="s">
        <v>1257</v>
      </c>
      <c r="B158" s="0" t="n">
        <v>700</v>
      </c>
      <c r="C158" s="0" t="str">
        <f aca="false">TEXT(VLOOKUP(B158,$I$2:$J$20,2,FALSE()),"0")</f>
        <v>700</v>
      </c>
      <c r="D158" s="47" t="n">
        <v>80</v>
      </c>
      <c r="E158" s="47" t="n">
        <v>17520000</v>
      </c>
      <c r="F158" s="47" t="n">
        <v>3928000</v>
      </c>
    </row>
    <row r="159" customFormat="false" ht="15" hidden="false" customHeight="false" outlineLevel="0" collapsed="false">
      <c r="A159" s="0" t="s">
        <v>1257</v>
      </c>
      <c r="B159" s="0" t="n">
        <v>799</v>
      </c>
      <c r="C159" s="0" t="str">
        <f aca="false">TEXT(VLOOKUP(B159,$I$2:$J$20,2,FALSE()),"0")</f>
        <v>700</v>
      </c>
      <c r="D159" s="47" t="n">
        <v>2</v>
      </c>
      <c r="E159" s="47" t="n">
        <v>438000</v>
      </c>
      <c r="F159" s="47" t="n">
        <v>98200</v>
      </c>
    </row>
    <row r="160" customFormat="false" ht="15" hidden="false" customHeight="false" outlineLevel="0" collapsed="false">
      <c r="A160" s="0" t="s">
        <v>1257</v>
      </c>
      <c r="B160" s="0" t="n">
        <v>800</v>
      </c>
      <c r="C160" s="0" t="str">
        <f aca="false">TEXT(VLOOKUP(B160,$I$2:$J$20,2,FALSE()),"0")</f>
        <v>800</v>
      </c>
      <c r="D160" s="47" t="n">
        <v>30</v>
      </c>
      <c r="E160" s="47" t="n">
        <v>6570000</v>
      </c>
      <c r="F160" s="47" t="n">
        <v>1473000</v>
      </c>
    </row>
    <row r="161" customFormat="false" ht="15" hidden="false" customHeight="false" outlineLevel="0" collapsed="false">
      <c r="A161" s="0" t="s">
        <v>1672</v>
      </c>
      <c r="B161" s="0" t="n">
        <v>800</v>
      </c>
      <c r="C161" s="0" t="str">
        <f aca="false">TEXT(VLOOKUP(B161,$I$2:$J$20,2,FALSE()),"0")</f>
        <v>800</v>
      </c>
      <c r="D161" s="47" t="n">
        <v>65</v>
      </c>
      <c r="E161" s="47" t="n">
        <v>16185000</v>
      </c>
      <c r="F161" s="47" t="n">
        <v>3463200</v>
      </c>
    </row>
    <row r="162" customFormat="false" ht="15" hidden="false" customHeight="false" outlineLevel="0" collapsed="false">
      <c r="A162" s="0" t="s">
        <v>162</v>
      </c>
      <c r="B162" s="0" t="n">
        <v>100</v>
      </c>
      <c r="C162" s="0" t="str">
        <f aca="false">TEXT(VLOOKUP(B162,$I$2:$J$20,2,FALSE()),"0")</f>
        <v>100</v>
      </c>
      <c r="D162" s="47" t="n">
        <v>550</v>
      </c>
      <c r="E162" s="47" t="n">
        <v>109450000</v>
      </c>
      <c r="F162" s="47" t="n">
        <v>20966000</v>
      </c>
    </row>
    <row r="163" customFormat="false" ht="15" hidden="false" customHeight="false" outlineLevel="0" collapsed="false">
      <c r="A163" s="0" t="s">
        <v>162</v>
      </c>
      <c r="B163" s="0" t="n">
        <v>200</v>
      </c>
      <c r="C163" s="0" t="str">
        <f aca="false">TEXT(VLOOKUP(B163,$I$2:$J$20,2,FALSE()),"0")</f>
        <v>200</v>
      </c>
      <c r="D163" s="47" t="n">
        <v>260</v>
      </c>
      <c r="E163" s="47" t="n">
        <v>51740000</v>
      </c>
      <c r="F163" s="47" t="n">
        <v>9911200</v>
      </c>
    </row>
    <row r="164" customFormat="false" ht="15" hidden="false" customHeight="false" outlineLevel="0" collapsed="false">
      <c r="A164" s="0" t="s">
        <v>162</v>
      </c>
      <c r="B164" s="0" t="n">
        <v>299</v>
      </c>
      <c r="C164" s="0" t="str">
        <f aca="false">TEXT(VLOOKUP(B164,$I$2:$J$20,2,FALSE()),"0")</f>
        <v>200</v>
      </c>
      <c r="D164" s="47" t="n">
        <v>2</v>
      </c>
      <c r="E164" s="47" t="n">
        <v>398000</v>
      </c>
      <c r="F164" s="47" t="n">
        <v>76240</v>
      </c>
    </row>
    <row r="165" customFormat="false" ht="15" hidden="false" customHeight="false" outlineLevel="0" collapsed="false">
      <c r="A165" s="0" t="s">
        <v>162</v>
      </c>
      <c r="B165" s="0" t="n">
        <v>300</v>
      </c>
      <c r="C165" s="0" t="str">
        <f aca="false">TEXT(VLOOKUP(B165,$I$2:$J$20,2,FALSE()),"0")</f>
        <v>300</v>
      </c>
      <c r="D165" s="47" t="n">
        <v>80</v>
      </c>
      <c r="E165" s="47" t="n">
        <v>15920000</v>
      </c>
      <c r="F165" s="47" t="n">
        <v>3049600</v>
      </c>
    </row>
    <row r="166" customFormat="false" ht="15" hidden="false" customHeight="false" outlineLevel="0" collapsed="false">
      <c r="A166" s="0" t="s">
        <v>162</v>
      </c>
      <c r="B166" s="0" t="n">
        <v>600</v>
      </c>
      <c r="C166" s="0" t="str">
        <f aca="false">TEXT(VLOOKUP(B166,$I$2:$J$20,2,FALSE()),"0")</f>
        <v>600</v>
      </c>
      <c r="D166" s="47" t="n">
        <v>25</v>
      </c>
      <c r="E166" s="47" t="n">
        <v>4975000</v>
      </c>
      <c r="F166" s="47" t="n">
        <v>953000</v>
      </c>
    </row>
    <row r="167" customFormat="false" ht="15" hidden="false" customHeight="false" outlineLevel="0" collapsed="false">
      <c r="A167" s="0" t="s">
        <v>162</v>
      </c>
      <c r="B167" s="0" t="n">
        <v>700</v>
      </c>
      <c r="C167" s="0" t="str">
        <f aca="false">TEXT(VLOOKUP(B167,$I$2:$J$20,2,FALSE()),"0")</f>
        <v>700</v>
      </c>
      <c r="D167" s="47" t="n">
        <v>40</v>
      </c>
      <c r="E167" s="47" t="n">
        <v>7960000</v>
      </c>
      <c r="F167" s="47" t="n">
        <v>1524800</v>
      </c>
    </row>
    <row r="168" customFormat="false" ht="15" hidden="false" customHeight="false" outlineLevel="0" collapsed="false">
      <c r="A168" s="0" t="s">
        <v>162</v>
      </c>
      <c r="B168" s="0" t="n">
        <v>799</v>
      </c>
      <c r="C168" s="0" t="str">
        <f aca="false">TEXT(VLOOKUP(B168,$I$2:$J$20,2,FALSE()),"0")</f>
        <v>700</v>
      </c>
      <c r="D168" s="47" t="n">
        <v>1</v>
      </c>
      <c r="E168" s="47" t="n">
        <v>199000</v>
      </c>
      <c r="F168" s="47" t="n">
        <v>38120</v>
      </c>
    </row>
    <row r="169" customFormat="false" ht="15" hidden="false" customHeight="false" outlineLevel="0" collapsed="false">
      <c r="A169" s="0" t="s">
        <v>164</v>
      </c>
      <c r="B169" s="0" t="n">
        <v>100</v>
      </c>
      <c r="C169" s="0" t="str">
        <f aca="false">TEXT(VLOOKUP(B169,$I$2:$J$20,2,FALSE()),"0")</f>
        <v>100</v>
      </c>
      <c r="D169" s="47" t="n">
        <v>300</v>
      </c>
      <c r="E169" s="47" t="n">
        <v>56700000</v>
      </c>
      <c r="F169" s="47" t="n">
        <v>11730000</v>
      </c>
    </row>
    <row r="170" customFormat="false" ht="15" hidden="false" customHeight="false" outlineLevel="0" collapsed="false">
      <c r="A170" s="0" t="s">
        <v>164</v>
      </c>
      <c r="B170" s="0" t="n">
        <v>300</v>
      </c>
      <c r="C170" s="0" t="str">
        <f aca="false">TEXT(VLOOKUP(B170,$I$2:$J$20,2,FALSE()),"0")</f>
        <v>300</v>
      </c>
      <c r="D170" s="47" t="n">
        <v>60</v>
      </c>
      <c r="E170" s="47" t="n">
        <v>11340000</v>
      </c>
      <c r="F170" s="47" t="n">
        <v>2346000</v>
      </c>
    </row>
    <row r="171" customFormat="false" ht="15" hidden="false" customHeight="false" outlineLevel="0" collapsed="false">
      <c r="A171" s="0" t="s">
        <v>164</v>
      </c>
      <c r="B171" s="0" t="n">
        <v>700</v>
      </c>
      <c r="C171" s="0" t="str">
        <f aca="false">TEXT(VLOOKUP(B171,$I$2:$J$20,2,FALSE()),"0")</f>
        <v>700</v>
      </c>
      <c r="D171" s="47" t="n">
        <v>45</v>
      </c>
      <c r="E171" s="47" t="n">
        <v>8505000</v>
      </c>
      <c r="F171" s="47" t="n">
        <v>1759500</v>
      </c>
    </row>
    <row r="172" customFormat="false" ht="15" hidden="false" customHeight="false" outlineLevel="0" collapsed="false">
      <c r="A172" s="0" t="s">
        <v>164</v>
      </c>
      <c r="B172" s="0" t="n">
        <v>799</v>
      </c>
      <c r="C172" s="0" t="str">
        <f aca="false">TEXT(VLOOKUP(B172,$I$2:$J$20,2,FALSE()),"0")</f>
        <v>700</v>
      </c>
      <c r="D172" s="47" t="n">
        <v>1</v>
      </c>
      <c r="E172" s="47" t="n">
        <v>189000</v>
      </c>
      <c r="F172" s="47" t="n">
        <v>39100</v>
      </c>
    </row>
    <row r="173" customFormat="false" ht="15" hidden="false" customHeight="false" outlineLevel="0" collapsed="false">
      <c r="A173" s="0" t="s">
        <v>166</v>
      </c>
      <c r="B173" s="0" t="n">
        <v>300</v>
      </c>
      <c r="C173" s="0" t="str">
        <f aca="false">TEXT(VLOOKUP(B173,$I$2:$J$20,2,FALSE()),"0")</f>
        <v>300</v>
      </c>
      <c r="D173" s="47" t="n">
        <v>80</v>
      </c>
      <c r="E173" s="47" t="n">
        <v>14320000</v>
      </c>
      <c r="F173" s="47" t="n">
        <v>3016000</v>
      </c>
    </row>
    <row r="174" customFormat="false" ht="15" hidden="false" customHeight="false" outlineLevel="0" collapsed="false">
      <c r="A174" s="0" t="s">
        <v>1405</v>
      </c>
      <c r="B174" s="0" t="n">
        <v>700</v>
      </c>
      <c r="C174" s="0" t="str">
        <f aca="false">TEXT(VLOOKUP(B174,$I$2:$J$20,2,FALSE()),"0")</f>
        <v>700</v>
      </c>
      <c r="D174" s="47" t="n">
        <v>65</v>
      </c>
      <c r="E174" s="47" t="n">
        <v>11635000</v>
      </c>
      <c r="F174" s="47" t="n">
        <v>3068000</v>
      </c>
    </row>
    <row r="175" customFormat="false" ht="15" hidden="false" customHeight="false" outlineLevel="0" collapsed="false">
      <c r="A175" s="0" t="s">
        <v>1405</v>
      </c>
      <c r="B175" s="0" t="n">
        <v>799</v>
      </c>
      <c r="C175" s="0" t="str">
        <f aca="false">TEXT(VLOOKUP(B175,$I$2:$J$20,2,FALSE()),"0")</f>
        <v>700</v>
      </c>
      <c r="D175" s="47" t="n">
        <v>1</v>
      </c>
      <c r="E175" s="47" t="n">
        <v>179000</v>
      </c>
      <c r="F175" s="47" t="n">
        <v>47200</v>
      </c>
    </row>
    <row r="176" customFormat="false" ht="15" hidden="false" customHeight="false" outlineLevel="0" collapsed="false">
      <c r="A176" s="0" t="s">
        <v>168</v>
      </c>
      <c r="B176" s="0" t="n">
        <v>300</v>
      </c>
      <c r="C176" s="0" t="str">
        <f aca="false">TEXT(VLOOKUP(B176,$I$2:$J$20,2,FALSE()),"0")</f>
        <v>300</v>
      </c>
      <c r="D176" s="47" t="n">
        <v>160</v>
      </c>
      <c r="E176" s="47" t="n">
        <v>23840000</v>
      </c>
      <c r="F176" s="47" t="n">
        <v>6672000</v>
      </c>
    </row>
    <row r="177" customFormat="false" ht="15" hidden="false" customHeight="false" outlineLevel="0" collapsed="false">
      <c r="A177" s="0" t="s">
        <v>1407</v>
      </c>
      <c r="B177" s="0" t="n">
        <v>100</v>
      </c>
      <c r="C177" s="0" t="str">
        <f aca="false">TEXT(VLOOKUP(B177,$I$2:$J$20,2,FALSE()),"0")</f>
        <v>100</v>
      </c>
      <c r="D177" s="47" t="n">
        <v>200</v>
      </c>
      <c r="E177" s="47" t="n">
        <v>31800000</v>
      </c>
      <c r="F177" s="47" t="n">
        <v>9071600</v>
      </c>
    </row>
    <row r="178" customFormat="false" ht="15" hidden="false" customHeight="false" outlineLevel="0" collapsed="false">
      <c r="A178" s="0" t="s">
        <v>1407</v>
      </c>
      <c r="B178" s="0" t="n">
        <v>200</v>
      </c>
      <c r="C178" s="0" t="str">
        <f aca="false">TEXT(VLOOKUP(B178,$I$2:$J$20,2,FALSE()),"0")</f>
        <v>200</v>
      </c>
      <c r="D178" s="47" t="n">
        <v>350</v>
      </c>
      <c r="E178" s="47" t="n">
        <v>55650000</v>
      </c>
      <c r="F178" s="47" t="n">
        <v>15875300</v>
      </c>
    </row>
    <row r="179" customFormat="false" ht="15" hidden="false" customHeight="false" outlineLevel="0" collapsed="false">
      <c r="A179" s="0" t="s">
        <v>1407</v>
      </c>
      <c r="B179" s="0" t="n">
        <v>299</v>
      </c>
      <c r="C179" s="0" t="str">
        <f aca="false">TEXT(VLOOKUP(B179,$I$2:$J$20,2,FALSE()),"0")</f>
        <v>200</v>
      </c>
      <c r="D179" s="47" t="n">
        <v>8</v>
      </c>
      <c r="E179" s="47" t="n">
        <v>1272000</v>
      </c>
      <c r="F179" s="47" t="n">
        <v>362864</v>
      </c>
    </row>
    <row r="180" customFormat="false" ht="15" hidden="false" customHeight="false" outlineLevel="0" collapsed="false">
      <c r="A180" s="0" t="s">
        <v>1407</v>
      </c>
      <c r="B180" s="0" t="n">
        <v>700</v>
      </c>
      <c r="C180" s="0" t="str">
        <f aca="false">TEXT(VLOOKUP(B180,$I$2:$J$20,2,FALSE()),"0")</f>
        <v>700</v>
      </c>
      <c r="D180" s="47" t="n">
        <v>45</v>
      </c>
      <c r="E180" s="47" t="n">
        <v>7155000</v>
      </c>
      <c r="F180" s="47" t="n">
        <v>2041110</v>
      </c>
    </row>
    <row r="181" customFormat="false" ht="15" hidden="false" customHeight="false" outlineLevel="0" collapsed="false">
      <c r="A181" s="0" t="s">
        <v>1407</v>
      </c>
      <c r="B181" s="0" t="n">
        <v>799</v>
      </c>
      <c r="C181" s="0" t="str">
        <f aca="false">TEXT(VLOOKUP(B181,$I$2:$J$20,2,FALSE()),"0")</f>
        <v>700</v>
      </c>
      <c r="D181" s="47" t="n">
        <v>1</v>
      </c>
      <c r="E181" s="47" t="n">
        <v>159000</v>
      </c>
      <c r="F181" s="47" t="n">
        <v>45358</v>
      </c>
    </row>
    <row r="182" customFormat="false" ht="15" hidden="false" customHeight="false" outlineLevel="0" collapsed="false">
      <c r="A182" s="0" t="s">
        <v>794</v>
      </c>
      <c r="B182" s="0" t="n">
        <v>100</v>
      </c>
      <c r="C182" s="0" t="str">
        <f aca="false">TEXT(VLOOKUP(B182,$I$2:$J$20,2,FALSE()),"0")</f>
        <v>100</v>
      </c>
      <c r="D182" s="47" t="n">
        <v>180</v>
      </c>
      <c r="E182" s="47" t="n">
        <v>28620000</v>
      </c>
      <c r="F182" s="47" t="n">
        <v>6120000</v>
      </c>
    </row>
    <row r="183" customFormat="false" ht="15" hidden="false" customHeight="false" outlineLevel="0" collapsed="false">
      <c r="A183" s="0" t="s">
        <v>794</v>
      </c>
      <c r="B183" s="0" t="n">
        <v>600</v>
      </c>
      <c r="C183" s="0" t="str">
        <f aca="false">TEXT(VLOOKUP(B183,$I$2:$J$20,2,FALSE()),"0")</f>
        <v>600</v>
      </c>
      <c r="D183" s="47" t="n">
        <v>20</v>
      </c>
      <c r="E183" s="47" t="n">
        <v>3180000</v>
      </c>
      <c r="F183" s="47" t="n">
        <v>680000</v>
      </c>
    </row>
    <row r="184" customFormat="false" ht="15" hidden="false" customHeight="false" outlineLevel="0" collapsed="false">
      <c r="A184" s="0" t="s">
        <v>796</v>
      </c>
      <c r="B184" s="0" t="n">
        <v>100</v>
      </c>
      <c r="C184" s="0" t="str">
        <f aca="false">TEXT(VLOOKUP(B184,$I$2:$J$20,2,FALSE()),"0")</f>
        <v>100</v>
      </c>
      <c r="D184" s="47" t="n">
        <v>290</v>
      </c>
      <c r="E184" s="47" t="n">
        <v>54810000</v>
      </c>
      <c r="F184" s="47" t="n">
        <v>11484290</v>
      </c>
    </row>
    <row r="185" customFormat="false" ht="15" hidden="false" customHeight="false" outlineLevel="0" collapsed="false">
      <c r="A185" s="0" t="s">
        <v>796</v>
      </c>
      <c r="B185" s="0" t="n">
        <v>700</v>
      </c>
      <c r="C185" s="0" t="str">
        <f aca="false">TEXT(VLOOKUP(B185,$I$2:$J$20,2,FALSE()),"0")</f>
        <v>700</v>
      </c>
      <c r="D185" s="47" t="n">
        <v>110</v>
      </c>
      <c r="E185" s="47" t="n">
        <v>20790000</v>
      </c>
      <c r="F185" s="47" t="n">
        <v>4356110</v>
      </c>
    </row>
    <row r="186" customFormat="false" ht="15" hidden="false" customHeight="false" outlineLevel="0" collapsed="false">
      <c r="A186" s="0" t="s">
        <v>796</v>
      </c>
      <c r="B186" s="0" t="n">
        <v>799</v>
      </c>
      <c r="C186" s="0" t="str">
        <f aca="false">TEXT(VLOOKUP(B186,$I$2:$J$20,2,FALSE()),"0")</f>
        <v>700</v>
      </c>
      <c r="D186" s="47" t="n">
        <v>2</v>
      </c>
      <c r="E186" s="47" t="n">
        <v>378000</v>
      </c>
      <c r="F186" s="47" t="n">
        <v>79202</v>
      </c>
    </row>
    <row r="187" customFormat="false" ht="15" hidden="false" customHeight="false" outlineLevel="0" collapsed="false">
      <c r="A187" s="0" t="s">
        <v>798</v>
      </c>
      <c r="B187" s="0" t="n">
        <v>100</v>
      </c>
      <c r="C187" s="0" t="str">
        <f aca="false">TEXT(VLOOKUP(B187,$I$2:$J$20,2,FALSE()),"0")</f>
        <v>100</v>
      </c>
      <c r="D187" s="47" t="n">
        <v>90</v>
      </c>
      <c r="E187" s="47" t="n">
        <v>16110000</v>
      </c>
      <c r="F187" s="47" t="n">
        <v>4032180</v>
      </c>
    </row>
    <row r="188" customFormat="false" ht="15" hidden="false" customHeight="false" outlineLevel="0" collapsed="false">
      <c r="A188" s="0" t="s">
        <v>798</v>
      </c>
      <c r="B188" s="0" t="n">
        <v>700</v>
      </c>
      <c r="C188" s="0" t="str">
        <f aca="false">TEXT(VLOOKUP(B188,$I$2:$J$20,2,FALSE()),"0")</f>
        <v>700</v>
      </c>
      <c r="D188" s="47" t="n">
        <v>65</v>
      </c>
      <c r="E188" s="47" t="n">
        <v>11635000</v>
      </c>
      <c r="F188" s="47" t="n">
        <v>2912130</v>
      </c>
    </row>
    <row r="189" customFormat="false" ht="15" hidden="false" customHeight="false" outlineLevel="0" collapsed="false">
      <c r="A189" s="0" t="s">
        <v>798</v>
      </c>
      <c r="B189" s="0" t="n">
        <v>799</v>
      </c>
      <c r="C189" s="0" t="str">
        <f aca="false">TEXT(VLOOKUP(B189,$I$2:$J$20,2,FALSE()),"0")</f>
        <v>700</v>
      </c>
      <c r="D189" s="47" t="n">
        <v>1</v>
      </c>
      <c r="E189" s="47" t="n">
        <v>179000</v>
      </c>
      <c r="F189" s="47" t="n">
        <v>44802</v>
      </c>
    </row>
    <row r="190" customFormat="false" ht="15" hidden="false" customHeight="false" outlineLevel="0" collapsed="false">
      <c r="A190" s="0" t="s">
        <v>170</v>
      </c>
      <c r="B190" s="0" t="n">
        <v>300</v>
      </c>
      <c r="C190" s="0" t="str">
        <f aca="false">TEXT(VLOOKUP(B190,$I$2:$J$20,2,FALSE()),"0")</f>
        <v>300</v>
      </c>
      <c r="D190" s="47" t="n">
        <v>350</v>
      </c>
      <c r="E190" s="47" t="n">
        <v>38150000</v>
      </c>
      <c r="F190" s="47" t="n">
        <v>7350000</v>
      </c>
    </row>
    <row r="191" customFormat="false" ht="15" hidden="false" customHeight="false" outlineLevel="0" collapsed="false">
      <c r="A191" s="0" t="s">
        <v>172</v>
      </c>
      <c r="B191" s="0" t="n">
        <v>100</v>
      </c>
      <c r="C191" s="0" t="str">
        <f aca="false">TEXT(VLOOKUP(B191,$I$2:$J$20,2,FALSE()),"0")</f>
        <v>100</v>
      </c>
      <c r="D191" s="47" t="n">
        <v>240</v>
      </c>
      <c r="E191" s="47" t="n">
        <v>28560000</v>
      </c>
      <c r="F191" s="47" t="n">
        <v>5784000</v>
      </c>
    </row>
    <row r="192" customFormat="false" ht="15" hidden="false" customHeight="false" outlineLevel="0" collapsed="false">
      <c r="A192" s="0" t="s">
        <v>172</v>
      </c>
      <c r="B192" s="0" t="n">
        <v>300</v>
      </c>
      <c r="C192" s="0" t="str">
        <f aca="false">TEXT(VLOOKUP(B192,$I$2:$J$20,2,FALSE()),"0")</f>
        <v>300</v>
      </c>
      <c r="D192" s="47" t="n">
        <v>165</v>
      </c>
      <c r="E192" s="47" t="n">
        <v>19635000</v>
      </c>
      <c r="F192" s="47" t="n">
        <v>3976500</v>
      </c>
    </row>
    <row r="193" customFormat="false" ht="15" hidden="false" customHeight="false" outlineLevel="0" collapsed="false">
      <c r="A193" s="0" t="s">
        <v>172</v>
      </c>
      <c r="B193" s="0" t="n">
        <v>800</v>
      </c>
      <c r="C193" s="0" t="str">
        <f aca="false">TEXT(VLOOKUP(B193,$I$2:$J$20,2,FALSE()),"0")</f>
        <v>800</v>
      </c>
      <c r="D193" s="47" t="n">
        <v>105</v>
      </c>
      <c r="E193" s="47" t="n">
        <v>12495000</v>
      </c>
      <c r="F193" s="47" t="n">
        <v>2530500</v>
      </c>
    </row>
    <row r="194" customFormat="false" ht="15" hidden="false" customHeight="false" outlineLevel="0" collapsed="false">
      <c r="A194" s="0" t="s">
        <v>172</v>
      </c>
      <c r="B194" s="0" t="n">
        <v>810</v>
      </c>
      <c r="C194" s="0" t="str">
        <f aca="false">TEXT(VLOOKUP(B194,$I$2:$J$20,2,FALSE()),"0")</f>
        <v>810</v>
      </c>
      <c r="D194" s="47" t="n">
        <v>216</v>
      </c>
      <c r="E194" s="47" t="n">
        <v>25704000</v>
      </c>
      <c r="F194" s="47" t="n">
        <v>5205600</v>
      </c>
    </row>
    <row r="195" customFormat="false" ht="15" hidden="false" customHeight="false" outlineLevel="0" collapsed="false">
      <c r="A195" s="0" t="s">
        <v>174</v>
      </c>
      <c r="B195" s="0" t="n">
        <v>300</v>
      </c>
      <c r="C195" s="0" t="str">
        <f aca="false">TEXT(VLOOKUP(B195,$I$2:$J$20,2,FALSE()),"0")</f>
        <v>300</v>
      </c>
      <c r="D195" s="47" t="n">
        <v>180</v>
      </c>
      <c r="E195" s="47" t="n">
        <v>19620000</v>
      </c>
      <c r="F195" s="47" t="n">
        <v>4212000</v>
      </c>
    </row>
    <row r="196" customFormat="false" ht="15" hidden="false" customHeight="false" outlineLevel="0" collapsed="false">
      <c r="A196" s="0" t="s">
        <v>176</v>
      </c>
      <c r="B196" s="0" t="n">
        <v>100</v>
      </c>
      <c r="C196" s="0" t="str">
        <f aca="false">TEXT(VLOOKUP(B196,$I$2:$J$20,2,FALSE()),"0")</f>
        <v>100</v>
      </c>
      <c r="D196" s="47" t="n">
        <v>420</v>
      </c>
      <c r="E196" s="47" t="n">
        <v>33180000</v>
      </c>
      <c r="F196" s="47" t="n">
        <v>6678000</v>
      </c>
    </row>
    <row r="197" customFormat="false" ht="15" hidden="false" customHeight="false" outlineLevel="0" collapsed="false">
      <c r="A197" s="0" t="s">
        <v>176</v>
      </c>
      <c r="B197" s="0" t="n">
        <v>300</v>
      </c>
      <c r="C197" s="0" t="str">
        <f aca="false">TEXT(VLOOKUP(B197,$I$2:$J$20,2,FALSE()),"0")</f>
        <v>300</v>
      </c>
      <c r="D197" s="47" t="n">
        <v>280</v>
      </c>
      <c r="E197" s="47" t="n">
        <v>22120000</v>
      </c>
      <c r="F197" s="47" t="n">
        <v>4452000</v>
      </c>
    </row>
    <row r="198" customFormat="false" ht="15" hidden="false" customHeight="false" outlineLevel="0" collapsed="false">
      <c r="A198" s="0" t="s">
        <v>176</v>
      </c>
      <c r="B198" s="0" t="n">
        <v>600</v>
      </c>
      <c r="C198" s="0" t="str">
        <f aca="false">TEXT(VLOOKUP(B198,$I$2:$J$20,2,FALSE()),"0")</f>
        <v>600</v>
      </c>
      <c r="D198" s="47" t="n">
        <v>60</v>
      </c>
      <c r="E198" s="47" t="n">
        <v>4740000</v>
      </c>
      <c r="F198" s="47" t="n">
        <v>954000</v>
      </c>
    </row>
    <row r="199" customFormat="false" ht="15" hidden="false" customHeight="false" outlineLevel="0" collapsed="false">
      <c r="A199" s="0" t="s">
        <v>178</v>
      </c>
      <c r="B199" s="0" t="n">
        <v>100</v>
      </c>
      <c r="C199" s="0" t="str">
        <f aca="false">TEXT(VLOOKUP(B199,$I$2:$J$20,2,FALSE()),"0")</f>
        <v>100</v>
      </c>
      <c r="D199" s="47" t="n">
        <v>340</v>
      </c>
      <c r="E199" s="47" t="n">
        <v>30260000</v>
      </c>
      <c r="F199" s="47" t="n">
        <v>7042760</v>
      </c>
    </row>
    <row r="200" customFormat="false" ht="15" hidden="false" customHeight="false" outlineLevel="0" collapsed="false">
      <c r="A200" s="0" t="s">
        <v>178</v>
      </c>
      <c r="B200" s="0" t="n">
        <v>200</v>
      </c>
      <c r="C200" s="0" t="str">
        <f aca="false">TEXT(VLOOKUP(B200,$I$2:$J$20,2,FALSE()),"0")</f>
        <v>200</v>
      </c>
      <c r="D200" s="47" t="n">
        <v>300</v>
      </c>
      <c r="E200" s="47" t="n">
        <v>26700000</v>
      </c>
      <c r="F200" s="47" t="n">
        <v>6214200</v>
      </c>
    </row>
    <row r="201" customFormat="false" ht="15" hidden="false" customHeight="false" outlineLevel="0" collapsed="false">
      <c r="A201" s="0" t="s">
        <v>178</v>
      </c>
      <c r="B201" s="0" t="n">
        <v>299</v>
      </c>
      <c r="C201" s="0" t="str">
        <f aca="false">TEXT(VLOOKUP(B201,$I$2:$J$20,2,FALSE()),"0")</f>
        <v>200</v>
      </c>
      <c r="D201" s="47" t="n">
        <v>2</v>
      </c>
      <c r="E201" s="47" t="n">
        <v>178000</v>
      </c>
      <c r="F201" s="47" t="n">
        <v>41428</v>
      </c>
    </row>
    <row r="202" customFormat="false" ht="15" hidden="false" customHeight="false" outlineLevel="0" collapsed="false">
      <c r="A202" s="0" t="s">
        <v>178</v>
      </c>
      <c r="B202" s="0" t="n">
        <v>300</v>
      </c>
      <c r="C202" s="0" t="str">
        <f aca="false">TEXT(VLOOKUP(B202,$I$2:$J$20,2,FALSE()),"0")</f>
        <v>300</v>
      </c>
      <c r="D202" s="47" t="n">
        <v>330</v>
      </c>
      <c r="E202" s="47" t="n">
        <v>29370000</v>
      </c>
      <c r="F202" s="47" t="n">
        <v>6835620</v>
      </c>
    </row>
    <row r="203" customFormat="false" ht="15" hidden="false" customHeight="false" outlineLevel="0" collapsed="false">
      <c r="A203" s="0" t="s">
        <v>178</v>
      </c>
      <c r="B203" s="0" t="n">
        <v>600</v>
      </c>
      <c r="C203" s="0" t="str">
        <f aca="false">TEXT(VLOOKUP(B203,$I$2:$J$20,2,FALSE()),"0")</f>
        <v>600</v>
      </c>
      <c r="D203" s="47" t="n">
        <v>40</v>
      </c>
      <c r="E203" s="47" t="n">
        <v>3560000</v>
      </c>
      <c r="F203" s="47" t="n">
        <v>828560</v>
      </c>
    </row>
    <row r="204" customFormat="false" ht="15" hidden="false" customHeight="false" outlineLevel="0" collapsed="false">
      <c r="A204" s="0" t="s">
        <v>178</v>
      </c>
      <c r="B204" s="0" t="n">
        <v>800</v>
      </c>
      <c r="C204" s="0" t="str">
        <f aca="false">TEXT(VLOOKUP(B204,$I$2:$J$20,2,FALSE()),"0")</f>
        <v>800</v>
      </c>
      <c r="D204" s="47" t="n">
        <v>160</v>
      </c>
      <c r="E204" s="47" t="n">
        <v>14240000</v>
      </c>
      <c r="F204" s="47" t="n">
        <v>3314240</v>
      </c>
    </row>
    <row r="205" customFormat="false" ht="15" hidden="false" customHeight="false" outlineLevel="0" collapsed="false">
      <c r="A205" s="0" t="s">
        <v>180</v>
      </c>
      <c r="B205" s="0" t="n">
        <v>100</v>
      </c>
      <c r="C205" s="0" t="str">
        <f aca="false">TEXT(VLOOKUP(B205,$I$2:$J$20,2,FALSE()),"0")</f>
        <v>100</v>
      </c>
      <c r="D205" s="47" t="n">
        <v>200</v>
      </c>
      <c r="E205" s="47" t="n">
        <v>17800000</v>
      </c>
      <c r="F205" s="47" t="n">
        <v>3880000</v>
      </c>
    </row>
    <row r="206" customFormat="false" ht="15" hidden="false" customHeight="false" outlineLevel="0" collapsed="false">
      <c r="A206" s="0" t="s">
        <v>180</v>
      </c>
      <c r="B206" s="0" t="n">
        <v>300</v>
      </c>
      <c r="C206" s="0" t="str">
        <f aca="false">TEXT(VLOOKUP(B206,$I$2:$J$20,2,FALSE()),"0")</f>
        <v>300</v>
      </c>
      <c r="D206" s="47" t="n">
        <v>150</v>
      </c>
      <c r="E206" s="47" t="n">
        <v>13350000</v>
      </c>
      <c r="F206" s="47" t="n">
        <v>2910000</v>
      </c>
    </row>
    <row r="207" customFormat="false" ht="15" hidden="false" customHeight="false" outlineLevel="0" collapsed="false">
      <c r="A207" s="0" t="s">
        <v>180</v>
      </c>
      <c r="B207" s="0" t="n">
        <v>600</v>
      </c>
      <c r="C207" s="0" t="str">
        <f aca="false">TEXT(VLOOKUP(B207,$I$2:$J$20,2,FALSE()),"0")</f>
        <v>600</v>
      </c>
      <c r="D207" s="47" t="n">
        <v>40</v>
      </c>
      <c r="E207" s="47" t="n">
        <v>3560000</v>
      </c>
      <c r="F207" s="47" t="n">
        <v>776000</v>
      </c>
    </row>
    <row r="208" customFormat="false" ht="15" hidden="false" customHeight="false" outlineLevel="0" collapsed="false">
      <c r="A208" s="0" t="s">
        <v>180</v>
      </c>
      <c r="B208" s="0" t="n">
        <v>800</v>
      </c>
      <c r="C208" s="0" t="str">
        <f aca="false">TEXT(VLOOKUP(B208,$I$2:$J$20,2,FALSE()),"0")</f>
        <v>800</v>
      </c>
      <c r="D208" s="47" t="n">
        <v>70</v>
      </c>
      <c r="E208" s="47" t="n">
        <v>6230000</v>
      </c>
      <c r="F208" s="47" t="n">
        <v>1358000</v>
      </c>
    </row>
    <row r="209" customFormat="false" ht="15" hidden="false" customHeight="false" outlineLevel="0" collapsed="false">
      <c r="A209" s="0" t="s">
        <v>182</v>
      </c>
      <c r="B209" s="0" t="n">
        <v>100</v>
      </c>
      <c r="C209" s="0" t="str">
        <f aca="false">TEXT(VLOOKUP(B209,$I$2:$J$20,2,FALSE()),"0")</f>
        <v>100</v>
      </c>
      <c r="D209" s="47" t="n">
        <v>200</v>
      </c>
      <c r="E209" s="47" t="n">
        <v>23800000</v>
      </c>
      <c r="F209" s="47" t="n">
        <v>5540000</v>
      </c>
    </row>
    <row r="210" customFormat="false" ht="15" hidden="false" customHeight="false" outlineLevel="0" collapsed="false">
      <c r="A210" s="0" t="s">
        <v>182</v>
      </c>
      <c r="B210" s="0" t="n">
        <v>300</v>
      </c>
      <c r="C210" s="0" t="str">
        <f aca="false">TEXT(VLOOKUP(B210,$I$2:$J$20,2,FALSE()),"0")</f>
        <v>300</v>
      </c>
      <c r="D210" s="47" t="n">
        <v>125</v>
      </c>
      <c r="E210" s="47" t="n">
        <v>14875000</v>
      </c>
      <c r="F210" s="47" t="n">
        <v>3462500</v>
      </c>
    </row>
    <row r="211" customFormat="false" ht="15" hidden="false" customHeight="false" outlineLevel="0" collapsed="false">
      <c r="A211" s="0" t="s">
        <v>182</v>
      </c>
      <c r="B211" s="0" t="n">
        <v>600</v>
      </c>
      <c r="C211" s="0" t="str">
        <f aca="false">TEXT(VLOOKUP(B211,$I$2:$J$20,2,FALSE()),"0")</f>
        <v>600</v>
      </c>
      <c r="D211" s="47" t="n">
        <v>20</v>
      </c>
      <c r="E211" s="47" t="n">
        <v>2380000</v>
      </c>
      <c r="F211" s="47" t="n">
        <v>554000</v>
      </c>
    </row>
    <row r="212" customFormat="false" ht="15" hidden="false" customHeight="false" outlineLevel="0" collapsed="false">
      <c r="A212" s="0" t="s">
        <v>800</v>
      </c>
      <c r="B212" s="0" t="n">
        <v>100</v>
      </c>
      <c r="C212" s="0" t="str">
        <f aca="false">TEXT(VLOOKUP(B212,$I$2:$J$20,2,FALSE()),"0")</f>
        <v>100</v>
      </c>
      <c r="D212" s="47" t="n">
        <v>200</v>
      </c>
      <c r="E212" s="47" t="n">
        <v>21800000</v>
      </c>
      <c r="F212" s="47" t="n">
        <v>4020000</v>
      </c>
    </row>
    <row r="213" customFormat="false" ht="15" hidden="false" customHeight="false" outlineLevel="0" collapsed="false">
      <c r="A213" s="0" t="s">
        <v>802</v>
      </c>
      <c r="B213" s="0" t="n">
        <v>100</v>
      </c>
      <c r="C213" s="0" t="str">
        <f aca="false">TEXT(VLOOKUP(B213,$I$2:$J$20,2,FALSE()),"0")</f>
        <v>100</v>
      </c>
      <c r="D213" s="47" t="n">
        <v>480</v>
      </c>
      <c r="E213" s="47" t="n">
        <v>42720000</v>
      </c>
      <c r="F213" s="47" t="n">
        <v>10368000</v>
      </c>
    </row>
    <row r="214" customFormat="false" ht="15" hidden="false" customHeight="false" outlineLevel="0" collapsed="false">
      <c r="A214" s="0" t="s">
        <v>184</v>
      </c>
      <c r="B214" s="0" t="n">
        <v>200</v>
      </c>
      <c r="C214" s="0" t="str">
        <f aca="false">TEXT(VLOOKUP(B214,$I$2:$J$20,2,FALSE()),"0")</f>
        <v>200</v>
      </c>
      <c r="D214" s="47" t="n">
        <v>80</v>
      </c>
      <c r="E214" s="47" t="n">
        <v>6320000</v>
      </c>
      <c r="F214" s="47" t="n">
        <v>1264640</v>
      </c>
    </row>
    <row r="215" customFormat="false" ht="15" hidden="false" customHeight="false" outlineLevel="0" collapsed="false">
      <c r="A215" s="0" t="s">
        <v>184</v>
      </c>
      <c r="B215" s="0" t="n">
        <v>299</v>
      </c>
      <c r="C215" s="0" t="str">
        <f aca="false">TEXT(VLOOKUP(B215,$I$2:$J$20,2,FALSE()),"0")</f>
        <v>200</v>
      </c>
      <c r="D215" s="47" t="n">
        <v>1</v>
      </c>
      <c r="E215" s="47" t="n">
        <v>79000</v>
      </c>
      <c r="F215" s="47" t="n">
        <v>15808</v>
      </c>
    </row>
    <row r="216" customFormat="false" ht="15" hidden="false" customHeight="false" outlineLevel="0" collapsed="false">
      <c r="A216" s="0" t="s">
        <v>184</v>
      </c>
      <c r="B216" s="0" t="n">
        <v>300</v>
      </c>
      <c r="C216" s="0" t="str">
        <f aca="false">TEXT(VLOOKUP(B216,$I$2:$J$20,2,FALSE()),"0")</f>
        <v>300</v>
      </c>
      <c r="D216" s="47" t="n">
        <v>150</v>
      </c>
      <c r="E216" s="47" t="n">
        <v>11850000</v>
      </c>
      <c r="F216" s="47" t="n">
        <v>2371200</v>
      </c>
    </row>
    <row r="217" customFormat="false" ht="15" hidden="false" customHeight="false" outlineLevel="0" collapsed="false">
      <c r="A217" s="0" t="s">
        <v>184</v>
      </c>
      <c r="B217" s="0" t="n">
        <v>600</v>
      </c>
      <c r="C217" s="0" t="str">
        <f aca="false">TEXT(VLOOKUP(B217,$I$2:$J$20,2,FALSE()),"0")</f>
        <v>600</v>
      </c>
      <c r="D217" s="47" t="n">
        <v>30</v>
      </c>
      <c r="E217" s="47" t="n">
        <v>2370000</v>
      </c>
      <c r="F217" s="47" t="n">
        <v>474240</v>
      </c>
    </row>
    <row r="218" customFormat="false" ht="15" hidden="false" customHeight="false" outlineLevel="0" collapsed="false">
      <c r="A218" s="0" t="s">
        <v>186</v>
      </c>
      <c r="B218" s="0" t="n">
        <v>300</v>
      </c>
      <c r="C218" s="0" t="str">
        <f aca="false">TEXT(VLOOKUP(B218,$I$2:$J$20,2,FALSE()),"0")</f>
        <v>300</v>
      </c>
      <c r="D218" s="47" t="n">
        <v>300</v>
      </c>
      <c r="E218" s="47" t="n">
        <v>17700000</v>
      </c>
      <c r="F218" s="47" t="n">
        <v>2910000</v>
      </c>
    </row>
    <row r="219" customFormat="false" ht="15" hidden="false" customHeight="false" outlineLevel="0" collapsed="false">
      <c r="A219" s="0" t="s">
        <v>186</v>
      </c>
      <c r="B219" s="0" t="n">
        <v>600</v>
      </c>
      <c r="C219" s="0" t="str">
        <f aca="false">TEXT(VLOOKUP(B219,$I$2:$J$20,2,FALSE()),"0")</f>
        <v>600</v>
      </c>
      <c r="D219" s="47" t="n">
        <v>105</v>
      </c>
      <c r="E219" s="47" t="n">
        <v>6195000</v>
      </c>
      <c r="F219" s="47" t="n">
        <v>1018500</v>
      </c>
    </row>
    <row r="220" customFormat="false" ht="15" hidden="false" customHeight="false" outlineLevel="0" collapsed="false">
      <c r="A220" s="0" t="s">
        <v>1278</v>
      </c>
      <c r="B220" s="0" t="n">
        <v>600</v>
      </c>
      <c r="C220" s="0" t="str">
        <f aca="false">TEXT(VLOOKUP(B220,$I$2:$J$20,2,FALSE()),"0")</f>
        <v>600</v>
      </c>
      <c r="D220" s="47" t="n">
        <v>40</v>
      </c>
      <c r="E220" s="47" t="n">
        <v>2760000</v>
      </c>
      <c r="F220" s="47" t="n">
        <v>684000</v>
      </c>
    </row>
    <row r="221" customFormat="false" ht="15" hidden="false" customHeight="false" outlineLevel="0" collapsed="false">
      <c r="A221" s="0" t="s">
        <v>1278</v>
      </c>
      <c r="B221" s="0" t="n">
        <v>700</v>
      </c>
      <c r="C221" s="0" t="str">
        <f aca="false">TEXT(VLOOKUP(B221,$I$2:$J$20,2,FALSE()),"0")</f>
        <v>700</v>
      </c>
      <c r="D221" s="47" t="n">
        <v>60</v>
      </c>
      <c r="E221" s="47" t="n">
        <v>4140000</v>
      </c>
      <c r="F221" s="47" t="n">
        <v>1026000</v>
      </c>
    </row>
    <row r="222" customFormat="false" ht="15" hidden="false" customHeight="false" outlineLevel="0" collapsed="false">
      <c r="A222" s="0" t="s">
        <v>1278</v>
      </c>
      <c r="B222" s="0" t="n">
        <v>799</v>
      </c>
      <c r="C222" s="0" t="str">
        <f aca="false">TEXT(VLOOKUP(B222,$I$2:$J$20,2,FALSE()),"0")</f>
        <v>700</v>
      </c>
      <c r="D222" s="47" t="n">
        <v>1</v>
      </c>
      <c r="E222" s="47" t="n">
        <v>69000</v>
      </c>
      <c r="F222" s="47" t="n">
        <v>17100</v>
      </c>
    </row>
    <row r="223" customFormat="false" ht="15" hidden="false" customHeight="false" outlineLevel="0" collapsed="false">
      <c r="A223" s="0" t="s">
        <v>1280</v>
      </c>
      <c r="B223" s="0" t="n">
        <v>600</v>
      </c>
      <c r="C223" s="0" t="str">
        <f aca="false">TEXT(VLOOKUP(B223,$I$2:$J$20,2,FALSE()),"0")</f>
        <v>600</v>
      </c>
      <c r="D223" s="47" t="n">
        <v>75</v>
      </c>
      <c r="E223" s="47" t="n">
        <v>3675000</v>
      </c>
      <c r="F223" s="47" t="n">
        <v>720000</v>
      </c>
    </row>
    <row r="224" customFormat="false" ht="15" hidden="false" customHeight="false" outlineLevel="0" collapsed="false">
      <c r="A224" s="0" t="s">
        <v>189</v>
      </c>
      <c r="B224" s="0" t="n">
        <v>300</v>
      </c>
      <c r="C224" s="0" t="str">
        <f aca="false">TEXT(VLOOKUP(B224,$I$2:$J$20,2,FALSE()),"0")</f>
        <v>300</v>
      </c>
      <c r="D224" s="47" t="n">
        <v>150</v>
      </c>
      <c r="E224" s="47" t="n">
        <v>16350000</v>
      </c>
      <c r="F224" s="47" t="n">
        <v>3375000</v>
      </c>
    </row>
    <row r="225" customFormat="false" ht="15" hidden="false" customHeight="false" outlineLevel="0" collapsed="false">
      <c r="A225" s="0" t="s">
        <v>189</v>
      </c>
      <c r="B225" s="0" t="n">
        <v>810</v>
      </c>
      <c r="C225" s="0" t="str">
        <f aca="false">TEXT(VLOOKUP(B225,$I$2:$J$20,2,FALSE()),"0")</f>
        <v>810</v>
      </c>
      <c r="D225" s="47" t="n">
        <v>132</v>
      </c>
      <c r="E225" s="47" t="n">
        <v>14388000</v>
      </c>
      <c r="F225" s="47" t="n">
        <v>2970000</v>
      </c>
    </row>
    <row r="226" customFormat="false" ht="15" hidden="false" customHeight="false" outlineLevel="0" collapsed="false">
      <c r="A226" s="0" t="s">
        <v>191</v>
      </c>
      <c r="B226" s="0" t="n">
        <v>100</v>
      </c>
      <c r="C226" s="0" t="str">
        <f aca="false">TEXT(VLOOKUP(B226,$I$2:$J$20,2,FALSE()),"0")</f>
        <v>100</v>
      </c>
      <c r="D226" s="47" t="n">
        <v>180</v>
      </c>
      <c r="E226" s="47" t="n">
        <v>23220000</v>
      </c>
      <c r="F226" s="47" t="n">
        <v>4014360</v>
      </c>
    </row>
    <row r="227" customFormat="false" ht="15" hidden="false" customHeight="false" outlineLevel="0" collapsed="false">
      <c r="A227" s="0" t="s">
        <v>191</v>
      </c>
      <c r="B227" s="0" t="n">
        <v>300</v>
      </c>
      <c r="C227" s="0" t="str">
        <f aca="false">TEXT(VLOOKUP(B227,$I$2:$J$20,2,FALSE()),"0")</f>
        <v>300</v>
      </c>
      <c r="D227" s="47" t="n">
        <v>230</v>
      </c>
      <c r="E227" s="47" t="n">
        <v>29670000</v>
      </c>
      <c r="F227" s="47" t="n">
        <v>5129460</v>
      </c>
    </row>
    <row r="228" customFormat="false" ht="15" hidden="false" customHeight="false" outlineLevel="0" collapsed="false">
      <c r="A228" s="0" t="s">
        <v>191</v>
      </c>
      <c r="B228" s="0" t="n">
        <v>600</v>
      </c>
      <c r="C228" s="0" t="str">
        <f aca="false">TEXT(VLOOKUP(B228,$I$2:$J$20,2,FALSE()),"0")</f>
        <v>600</v>
      </c>
      <c r="D228" s="47" t="n">
        <v>60</v>
      </c>
      <c r="E228" s="47" t="n">
        <v>7740000</v>
      </c>
      <c r="F228" s="47" t="n">
        <v>1338120</v>
      </c>
    </row>
    <row r="229" customFormat="false" ht="15" hidden="false" customHeight="false" outlineLevel="0" collapsed="false">
      <c r="A229" s="0" t="s">
        <v>191</v>
      </c>
      <c r="B229" s="0" t="n">
        <v>700</v>
      </c>
      <c r="C229" s="0" t="str">
        <f aca="false">TEXT(VLOOKUP(B229,$I$2:$J$20,2,FALSE()),"0")</f>
        <v>700</v>
      </c>
      <c r="D229" s="47" t="n">
        <v>90</v>
      </c>
      <c r="E229" s="47" t="n">
        <v>11610000</v>
      </c>
      <c r="F229" s="47" t="n">
        <v>2007180</v>
      </c>
    </row>
    <row r="230" customFormat="false" ht="15" hidden="false" customHeight="false" outlineLevel="0" collapsed="false">
      <c r="A230" s="0" t="s">
        <v>191</v>
      </c>
      <c r="B230" s="0" t="n">
        <v>799</v>
      </c>
      <c r="C230" s="0" t="str">
        <f aca="false">TEXT(VLOOKUP(B230,$I$2:$J$20,2,FALSE()),"0")</f>
        <v>700</v>
      </c>
      <c r="D230" s="47" t="n">
        <v>2</v>
      </c>
      <c r="E230" s="47" t="n">
        <v>258000</v>
      </c>
      <c r="F230" s="47" t="n">
        <v>44604</v>
      </c>
    </row>
    <row r="231" customFormat="false" ht="15" hidden="false" customHeight="false" outlineLevel="0" collapsed="false">
      <c r="A231" s="0" t="s">
        <v>193</v>
      </c>
      <c r="B231" s="0" t="n">
        <v>100</v>
      </c>
      <c r="C231" s="0" t="str">
        <f aca="false">TEXT(VLOOKUP(B231,$I$2:$J$20,2,FALSE()),"0")</f>
        <v>100</v>
      </c>
      <c r="D231" s="47" t="n">
        <v>160</v>
      </c>
      <c r="E231" s="47" t="n">
        <v>17440000</v>
      </c>
      <c r="F231" s="47" t="n">
        <v>3456000</v>
      </c>
    </row>
    <row r="232" customFormat="false" ht="15" hidden="false" customHeight="false" outlineLevel="0" collapsed="false">
      <c r="A232" s="0" t="s">
        <v>193</v>
      </c>
      <c r="B232" s="0" t="n">
        <v>300</v>
      </c>
      <c r="C232" s="0" t="str">
        <f aca="false">TEXT(VLOOKUP(B232,$I$2:$J$20,2,FALSE()),"0")</f>
        <v>300</v>
      </c>
      <c r="D232" s="47" t="n">
        <v>80</v>
      </c>
      <c r="E232" s="47" t="n">
        <v>8720000</v>
      </c>
      <c r="F232" s="47" t="n">
        <v>1728000</v>
      </c>
    </row>
    <row r="233" customFormat="false" ht="15" hidden="false" customHeight="false" outlineLevel="0" collapsed="false">
      <c r="A233" s="0" t="s">
        <v>195</v>
      </c>
      <c r="B233" s="0" t="n">
        <v>100</v>
      </c>
      <c r="C233" s="0" t="str">
        <f aca="false">TEXT(VLOOKUP(B233,$I$2:$J$20,2,FALSE()),"0")</f>
        <v>100</v>
      </c>
      <c r="D233" s="47" t="n">
        <v>90</v>
      </c>
      <c r="E233" s="47" t="n">
        <v>12510000</v>
      </c>
      <c r="F233" s="47" t="n">
        <v>2142000</v>
      </c>
    </row>
    <row r="234" customFormat="false" ht="15" hidden="false" customHeight="false" outlineLevel="0" collapsed="false">
      <c r="A234" s="0" t="s">
        <v>195</v>
      </c>
      <c r="B234" s="0" t="n">
        <v>300</v>
      </c>
      <c r="C234" s="0" t="str">
        <f aca="false">TEXT(VLOOKUP(B234,$I$2:$J$20,2,FALSE()),"0")</f>
        <v>300</v>
      </c>
      <c r="D234" s="47" t="n">
        <v>230</v>
      </c>
      <c r="E234" s="47" t="n">
        <v>31970000</v>
      </c>
      <c r="F234" s="47" t="n">
        <v>5474000</v>
      </c>
    </row>
    <row r="235" customFormat="false" ht="15" hidden="false" customHeight="false" outlineLevel="0" collapsed="false">
      <c r="A235" s="0" t="s">
        <v>197</v>
      </c>
      <c r="B235" s="0" t="n">
        <v>100</v>
      </c>
      <c r="C235" s="0" t="str">
        <f aca="false">TEXT(VLOOKUP(B235,$I$2:$J$20,2,FALSE()),"0")</f>
        <v>100</v>
      </c>
      <c r="D235" s="47" t="n">
        <v>200</v>
      </c>
      <c r="E235" s="47" t="n">
        <v>29800000</v>
      </c>
      <c r="F235" s="47" t="n">
        <v>4120000</v>
      </c>
    </row>
    <row r="236" customFormat="false" ht="15" hidden="false" customHeight="false" outlineLevel="0" collapsed="false">
      <c r="A236" s="0" t="s">
        <v>197</v>
      </c>
      <c r="B236" s="0" t="n">
        <v>300</v>
      </c>
      <c r="C236" s="0" t="str">
        <f aca="false">TEXT(VLOOKUP(B236,$I$2:$J$20,2,FALSE()),"0")</f>
        <v>300</v>
      </c>
      <c r="D236" s="47" t="n">
        <v>280</v>
      </c>
      <c r="E236" s="47" t="n">
        <v>41720000</v>
      </c>
      <c r="F236" s="47" t="n">
        <v>5768000</v>
      </c>
    </row>
    <row r="237" customFormat="false" ht="15" hidden="false" customHeight="false" outlineLevel="0" collapsed="false">
      <c r="A237" s="0" t="s">
        <v>197</v>
      </c>
      <c r="B237" s="0" t="n">
        <v>600</v>
      </c>
      <c r="C237" s="0" t="str">
        <f aca="false">TEXT(VLOOKUP(B237,$I$2:$J$20,2,FALSE()),"0")</f>
        <v>600</v>
      </c>
      <c r="D237" s="47" t="n">
        <v>45</v>
      </c>
      <c r="E237" s="47" t="n">
        <v>6705000</v>
      </c>
      <c r="F237" s="47" t="n">
        <v>927000</v>
      </c>
    </row>
    <row r="238" customFormat="false" ht="15" hidden="false" customHeight="false" outlineLevel="0" collapsed="false">
      <c r="A238" s="0" t="s">
        <v>199</v>
      </c>
      <c r="B238" s="0" t="n">
        <v>200</v>
      </c>
      <c r="C238" s="0" t="str">
        <f aca="false">TEXT(VLOOKUP(B238,$I$2:$J$20,2,FALSE()),"0")</f>
        <v>200</v>
      </c>
      <c r="D238" s="47" t="n">
        <v>130</v>
      </c>
      <c r="E238" s="47" t="n">
        <v>20670000</v>
      </c>
      <c r="F238" s="47" t="n">
        <v>4630340</v>
      </c>
    </row>
    <row r="239" customFormat="false" ht="15" hidden="false" customHeight="false" outlineLevel="0" collapsed="false">
      <c r="A239" s="0" t="s">
        <v>199</v>
      </c>
      <c r="B239" s="0" t="n">
        <v>299</v>
      </c>
      <c r="C239" s="0" t="str">
        <f aca="false">TEXT(VLOOKUP(B239,$I$2:$J$20,2,FALSE()),"0")</f>
        <v>200</v>
      </c>
      <c r="D239" s="47" t="n">
        <v>2</v>
      </c>
      <c r="E239" s="47" t="n">
        <v>318000</v>
      </c>
      <c r="F239" s="47" t="n">
        <v>71236</v>
      </c>
    </row>
    <row r="240" customFormat="false" ht="15" hidden="false" customHeight="false" outlineLevel="0" collapsed="false">
      <c r="A240" s="0" t="s">
        <v>199</v>
      </c>
      <c r="B240" s="0" t="n">
        <v>300</v>
      </c>
      <c r="C240" s="0" t="str">
        <f aca="false">TEXT(VLOOKUP(B240,$I$2:$J$20,2,FALSE()),"0")</f>
        <v>300</v>
      </c>
      <c r="D240" s="47" t="n">
        <v>280</v>
      </c>
      <c r="E240" s="47" t="n">
        <v>44520000</v>
      </c>
      <c r="F240" s="47" t="n">
        <v>9973040</v>
      </c>
    </row>
    <row r="241" customFormat="false" ht="15" hidden="false" customHeight="false" outlineLevel="0" collapsed="false">
      <c r="A241" s="0" t="s">
        <v>199</v>
      </c>
      <c r="B241" s="0" t="n">
        <v>600</v>
      </c>
      <c r="C241" s="0" t="str">
        <f aca="false">TEXT(VLOOKUP(B241,$I$2:$J$20,2,FALSE()),"0")</f>
        <v>600</v>
      </c>
      <c r="D241" s="47" t="n">
        <v>35</v>
      </c>
      <c r="E241" s="47" t="n">
        <v>5565000</v>
      </c>
      <c r="F241" s="47" t="n">
        <v>1246630</v>
      </c>
    </row>
    <row r="242" customFormat="false" ht="15" hidden="false" customHeight="false" outlineLevel="0" collapsed="false">
      <c r="A242" s="0" t="s">
        <v>201</v>
      </c>
      <c r="B242" s="0" t="n">
        <v>300</v>
      </c>
      <c r="C242" s="0" t="str">
        <f aca="false">TEXT(VLOOKUP(B242,$I$2:$J$20,2,FALSE()),"0")</f>
        <v>300</v>
      </c>
      <c r="D242" s="47" t="n">
        <v>80</v>
      </c>
      <c r="E242" s="47" t="n">
        <v>19120000</v>
      </c>
      <c r="F242" s="47" t="n">
        <v>4343520</v>
      </c>
    </row>
    <row r="243" customFormat="false" ht="15" hidden="false" customHeight="false" outlineLevel="0" collapsed="false">
      <c r="A243" s="0" t="s">
        <v>201</v>
      </c>
      <c r="B243" s="0" t="n">
        <v>700</v>
      </c>
      <c r="C243" s="0" t="str">
        <f aca="false">TEXT(VLOOKUP(B243,$I$2:$J$20,2,FALSE()),"0")</f>
        <v>700</v>
      </c>
      <c r="D243" s="47" t="n">
        <v>50</v>
      </c>
      <c r="E243" s="47" t="n">
        <v>11950000</v>
      </c>
      <c r="F243" s="47" t="n">
        <v>2714700</v>
      </c>
    </row>
    <row r="244" customFormat="false" ht="15" hidden="false" customHeight="false" outlineLevel="0" collapsed="false">
      <c r="A244" s="0" t="s">
        <v>201</v>
      </c>
      <c r="B244" s="0" t="n">
        <v>799</v>
      </c>
      <c r="C244" s="0" t="str">
        <f aca="false">TEXT(VLOOKUP(B244,$I$2:$J$20,2,FALSE()),"0")</f>
        <v>700</v>
      </c>
      <c r="D244" s="47" t="n">
        <v>1</v>
      </c>
      <c r="E244" s="47" t="n">
        <v>239000</v>
      </c>
      <c r="F244" s="47" t="n">
        <v>54294</v>
      </c>
    </row>
    <row r="245" customFormat="false" ht="15" hidden="false" customHeight="false" outlineLevel="0" collapsed="false">
      <c r="A245" s="0" t="s">
        <v>203</v>
      </c>
      <c r="B245" s="0" t="n">
        <v>100</v>
      </c>
      <c r="C245" s="0" t="str">
        <f aca="false">TEXT(VLOOKUP(B245,$I$2:$J$20,2,FALSE()),"0")</f>
        <v>100</v>
      </c>
      <c r="D245" s="47" t="n">
        <v>490</v>
      </c>
      <c r="E245" s="47" t="n">
        <v>97510000</v>
      </c>
      <c r="F245" s="47" t="n">
        <v>17983000</v>
      </c>
    </row>
    <row r="246" customFormat="false" ht="15" hidden="false" customHeight="false" outlineLevel="0" collapsed="false">
      <c r="A246" s="0" t="s">
        <v>203</v>
      </c>
      <c r="B246" s="0" t="n">
        <v>300</v>
      </c>
      <c r="C246" s="0" t="str">
        <f aca="false">TEXT(VLOOKUP(B246,$I$2:$J$20,2,FALSE()),"0")</f>
        <v>300</v>
      </c>
      <c r="D246" s="47" t="n">
        <v>120</v>
      </c>
      <c r="E246" s="47" t="n">
        <v>23880000</v>
      </c>
      <c r="F246" s="47" t="n">
        <v>4404000</v>
      </c>
    </row>
    <row r="247" customFormat="false" ht="15" hidden="false" customHeight="false" outlineLevel="0" collapsed="false">
      <c r="A247" s="0" t="s">
        <v>203</v>
      </c>
      <c r="B247" s="0" t="n">
        <v>600</v>
      </c>
      <c r="C247" s="0" t="str">
        <f aca="false">TEXT(VLOOKUP(B247,$I$2:$J$20,2,FALSE()),"0")</f>
        <v>600</v>
      </c>
      <c r="D247" s="47" t="n">
        <v>60</v>
      </c>
      <c r="E247" s="47" t="n">
        <v>11940000</v>
      </c>
      <c r="F247" s="47" t="n">
        <v>2202000</v>
      </c>
    </row>
    <row r="248" customFormat="false" ht="15" hidden="false" customHeight="false" outlineLevel="0" collapsed="false">
      <c r="A248" s="0" t="s">
        <v>804</v>
      </c>
      <c r="B248" s="0" t="n">
        <v>100</v>
      </c>
      <c r="C248" s="0" t="str">
        <f aca="false">TEXT(VLOOKUP(B248,$I$2:$J$20,2,FALSE()),"0")</f>
        <v>100</v>
      </c>
      <c r="D248" s="47" t="n">
        <v>110</v>
      </c>
      <c r="E248" s="47" t="n">
        <v>24090000</v>
      </c>
      <c r="F248" s="47" t="n">
        <v>4631000</v>
      </c>
    </row>
    <row r="249" customFormat="false" ht="15" hidden="false" customHeight="false" outlineLevel="0" collapsed="false">
      <c r="A249" s="0" t="s">
        <v>205</v>
      </c>
      <c r="B249" s="0" t="n">
        <v>100</v>
      </c>
      <c r="C249" s="0" t="str">
        <f aca="false">TEXT(VLOOKUP(B249,$I$2:$J$20,2,FALSE()),"0")</f>
        <v>100</v>
      </c>
      <c r="D249" s="47" t="n">
        <v>70</v>
      </c>
      <c r="E249" s="47" t="n">
        <v>10430000</v>
      </c>
      <c r="F249" s="47" t="n">
        <v>1862000</v>
      </c>
    </row>
    <row r="250" customFormat="false" ht="15" hidden="false" customHeight="false" outlineLevel="0" collapsed="false">
      <c r="A250" s="0" t="s">
        <v>205</v>
      </c>
      <c r="B250" s="0" t="n">
        <v>300</v>
      </c>
      <c r="C250" s="0" t="str">
        <f aca="false">TEXT(VLOOKUP(B250,$I$2:$J$20,2,FALSE()),"0")</f>
        <v>300</v>
      </c>
      <c r="D250" s="47" t="n">
        <v>80</v>
      </c>
      <c r="E250" s="47" t="n">
        <v>11920000</v>
      </c>
      <c r="F250" s="47" t="n">
        <v>2128000</v>
      </c>
    </row>
    <row r="251" customFormat="false" ht="15" hidden="false" customHeight="false" outlineLevel="0" collapsed="false">
      <c r="A251" s="0" t="s">
        <v>207</v>
      </c>
      <c r="B251" s="0" t="n">
        <v>100</v>
      </c>
      <c r="C251" s="0" t="str">
        <f aca="false">TEXT(VLOOKUP(B251,$I$2:$J$20,2,FALSE()),"0")</f>
        <v>100</v>
      </c>
      <c r="D251" s="47" t="n">
        <v>300</v>
      </c>
      <c r="E251" s="47" t="n">
        <v>56700000</v>
      </c>
      <c r="F251" s="47" t="n">
        <v>10390500</v>
      </c>
    </row>
    <row r="252" customFormat="false" ht="15" hidden="false" customHeight="false" outlineLevel="0" collapsed="false">
      <c r="A252" s="0" t="s">
        <v>207</v>
      </c>
      <c r="B252" s="0" t="n">
        <v>200</v>
      </c>
      <c r="C252" s="0" t="str">
        <f aca="false">TEXT(VLOOKUP(B252,$I$2:$J$20,2,FALSE()),"0")</f>
        <v>200</v>
      </c>
      <c r="D252" s="47" t="n">
        <v>275</v>
      </c>
      <c r="E252" s="47" t="n">
        <v>51975000</v>
      </c>
      <c r="F252" s="47" t="n">
        <v>9524625</v>
      </c>
    </row>
    <row r="253" customFormat="false" ht="15" hidden="false" customHeight="false" outlineLevel="0" collapsed="false">
      <c r="A253" s="0" t="s">
        <v>207</v>
      </c>
      <c r="B253" s="0" t="n">
        <v>299</v>
      </c>
      <c r="C253" s="0" t="str">
        <f aca="false">TEXT(VLOOKUP(B253,$I$2:$J$20,2,FALSE()),"0")</f>
        <v>200</v>
      </c>
      <c r="D253" s="47" t="n">
        <v>2</v>
      </c>
      <c r="E253" s="47" t="n">
        <v>378000</v>
      </c>
      <c r="F253" s="47" t="n">
        <v>69270</v>
      </c>
    </row>
    <row r="254" customFormat="false" ht="15" hidden="false" customHeight="false" outlineLevel="0" collapsed="false">
      <c r="A254" s="0" t="s">
        <v>207</v>
      </c>
      <c r="B254" s="0" t="n">
        <v>300</v>
      </c>
      <c r="C254" s="0" t="str">
        <f aca="false">TEXT(VLOOKUP(B254,$I$2:$J$20,2,FALSE()),"0")</f>
        <v>300</v>
      </c>
      <c r="D254" s="47" t="n">
        <v>150</v>
      </c>
      <c r="E254" s="47" t="n">
        <v>28350000</v>
      </c>
      <c r="F254" s="47" t="n">
        <v>5195250</v>
      </c>
    </row>
    <row r="255" customFormat="false" ht="15" hidden="false" customHeight="false" outlineLevel="0" collapsed="false">
      <c r="A255" s="0" t="s">
        <v>207</v>
      </c>
      <c r="B255" s="0" t="n">
        <v>600</v>
      </c>
      <c r="C255" s="0" t="str">
        <f aca="false">TEXT(VLOOKUP(B255,$I$2:$J$20,2,FALSE()),"0")</f>
        <v>600</v>
      </c>
      <c r="D255" s="47" t="n">
        <v>50</v>
      </c>
      <c r="E255" s="47" t="n">
        <v>9450000</v>
      </c>
      <c r="F255" s="47" t="n">
        <v>1731750</v>
      </c>
    </row>
    <row r="256" customFormat="false" ht="15" hidden="false" customHeight="false" outlineLevel="0" collapsed="false">
      <c r="A256" s="0" t="s">
        <v>209</v>
      </c>
      <c r="B256" s="0" t="n">
        <v>100</v>
      </c>
      <c r="C256" s="0" t="str">
        <f aca="false">TEXT(VLOOKUP(B256,$I$2:$J$20,2,FALSE()),"0")</f>
        <v>100</v>
      </c>
      <c r="D256" s="47" t="n">
        <v>160</v>
      </c>
      <c r="E256" s="47" t="n">
        <v>19040000</v>
      </c>
      <c r="F256" s="47" t="n">
        <v>4368000</v>
      </c>
    </row>
    <row r="257" customFormat="false" ht="15" hidden="false" customHeight="false" outlineLevel="0" collapsed="false">
      <c r="A257" s="0" t="s">
        <v>209</v>
      </c>
      <c r="B257" s="0" t="n">
        <v>300</v>
      </c>
      <c r="C257" s="0" t="str">
        <f aca="false">TEXT(VLOOKUP(B257,$I$2:$J$20,2,FALSE()),"0")</f>
        <v>300</v>
      </c>
      <c r="D257" s="47" t="n">
        <v>80</v>
      </c>
      <c r="E257" s="47" t="n">
        <v>9520000</v>
      </c>
      <c r="F257" s="47" t="n">
        <v>2184000</v>
      </c>
    </row>
    <row r="258" customFormat="false" ht="15" hidden="false" customHeight="false" outlineLevel="0" collapsed="false">
      <c r="A258" s="0" t="s">
        <v>209</v>
      </c>
      <c r="B258" s="0" t="n">
        <v>600</v>
      </c>
      <c r="C258" s="0" t="str">
        <f aca="false">TEXT(VLOOKUP(B258,$I$2:$J$20,2,FALSE()),"0")</f>
        <v>600</v>
      </c>
      <c r="D258" s="47" t="n">
        <v>30</v>
      </c>
      <c r="E258" s="47" t="n">
        <v>3570000</v>
      </c>
      <c r="F258" s="47" t="n">
        <v>819000</v>
      </c>
    </row>
    <row r="259" customFormat="false" ht="15" hidden="false" customHeight="false" outlineLevel="0" collapsed="false">
      <c r="A259" s="0" t="s">
        <v>211</v>
      </c>
      <c r="B259" s="0" t="n">
        <v>100</v>
      </c>
      <c r="C259" s="0" t="str">
        <f aca="false">TEXT(VLOOKUP(B259,$I$2:$J$20,2,FALSE()),"0")</f>
        <v>100</v>
      </c>
      <c r="D259" s="47" t="n">
        <v>180</v>
      </c>
      <c r="E259" s="47" t="n">
        <v>17820000</v>
      </c>
      <c r="F259" s="47" t="n">
        <v>3572100</v>
      </c>
    </row>
    <row r="260" customFormat="false" ht="15" hidden="false" customHeight="false" outlineLevel="0" collapsed="false">
      <c r="A260" s="0" t="s">
        <v>211</v>
      </c>
      <c r="B260" s="0" t="n">
        <v>200</v>
      </c>
      <c r="C260" s="0" t="str">
        <f aca="false">TEXT(VLOOKUP(B260,$I$2:$J$20,2,FALSE()),"0")</f>
        <v>200</v>
      </c>
      <c r="D260" s="47" t="n">
        <v>300</v>
      </c>
      <c r="E260" s="47" t="n">
        <v>29700000</v>
      </c>
      <c r="F260" s="47" t="n">
        <v>5953500</v>
      </c>
    </row>
    <row r="261" customFormat="false" ht="15" hidden="false" customHeight="false" outlineLevel="0" collapsed="false">
      <c r="A261" s="0" t="s">
        <v>211</v>
      </c>
      <c r="B261" s="0" t="n">
        <v>299</v>
      </c>
      <c r="C261" s="0" t="str">
        <f aca="false">TEXT(VLOOKUP(B261,$I$2:$J$20,2,FALSE()),"0")</f>
        <v>200</v>
      </c>
      <c r="D261" s="47" t="n">
        <v>2</v>
      </c>
      <c r="E261" s="47" t="n">
        <v>198000</v>
      </c>
      <c r="F261" s="47" t="n">
        <v>39690</v>
      </c>
    </row>
    <row r="262" customFormat="false" ht="15" hidden="false" customHeight="false" outlineLevel="0" collapsed="false">
      <c r="A262" s="0" t="s">
        <v>211</v>
      </c>
      <c r="B262" s="0" t="n">
        <v>300</v>
      </c>
      <c r="C262" s="0" t="str">
        <f aca="false">TEXT(VLOOKUP(B262,$I$2:$J$20,2,FALSE()),"0")</f>
        <v>300</v>
      </c>
      <c r="D262" s="47" t="n">
        <v>100</v>
      </c>
      <c r="E262" s="47" t="n">
        <v>9900000</v>
      </c>
      <c r="F262" s="47" t="n">
        <v>1984500</v>
      </c>
    </row>
    <row r="263" customFormat="false" ht="15" hidden="false" customHeight="false" outlineLevel="0" collapsed="false">
      <c r="A263" s="0" t="s">
        <v>211</v>
      </c>
      <c r="B263" s="0" t="n">
        <v>600</v>
      </c>
      <c r="C263" s="0" t="str">
        <f aca="false">TEXT(VLOOKUP(B263,$I$2:$J$20,2,FALSE()),"0")</f>
        <v>600</v>
      </c>
      <c r="D263" s="47" t="n">
        <v>40</v>
      </c>
      <c r="E263" s="47" t="n">
        <v>3960000</v>
      </c>
      <c r="F263" s="47" t="n">
        <v>793800</v>
      </c>
    </row>
    <row r="264" customFormat="false" ht="15" hidden="false" customHeight="false" outlineLevel="0" collapsed="false">
      <c r="A264" s="0" t="s">
        <v>213</v>
      </c>
      <c r="B264" s="0" t="n">
        <v>100</v>
      </c>
      <c r="C264" s="0" t="str">
        <f aca="false">TEXT(VLOOKUP(B264,$I$2:$J$20,2,FALSE()),"0")</f>
        <v>100</v>
      </c>
      <c r="D264" s="47" t="n">
        <v>180</v>
      </c>
      <c r="E264" s="47" t="n">
        <v>16020000</v>
      </c>
      <c r="F264" s="47" t="n">
        <v>2520000</v>
      </c>
    </row>
    <row r="265" customFormat="false" ht="15" hidden="false" customHeight="false" outlineLevel="0" collapsed="false">
      <c r="A265" s="0" t="s">
        <v>213</v>
      </c>
      <c r="B265" s="0" t="n">
        <v>300</v>
      </c>
      <c r="C265" s="0" t="str">
        <f aca="false">TEXT(VLOOKUP(B265,$I$2:$J$20,2,FALSE()),"0")</f>
        <v>300</v>
      </c>
      <c r="D265" s="47" t="n">
        <v>100</v>
      </c>
      <c r="E265" s="47" t="n">
        <v>8900000</v>
      </c>
      <c r="F265" s="47" t="n">
        <v>1400000</v>
      </c>
    </row>
    <row r="266" customFormat="false" ht="15" hidden="false" customHeight="false" outlineLevel="0" collapsed="false">
      <c r="A266" s="0" t="s">
        <v>215</v>
      </c>
      <c r="B266" s="0" t="n">
        <v>100</v>
      </c>
      <c r="C266" s="0" t="str">
        <f aca="false">TEXT(VLOOKUP(B266,$I$2:$J$20,2,FALSE()),"0")</f>
        <v>100</v>
      </c>
      <c r="D266" s="47" t="n">
        <v>90</v>
      </c>
      <c r="E266" s="47" t="n">
        <v>8910000</v>
      </c>
      <c r="F266" s="47" t="n">
        <v>1541160</v>
      </c>
    </row>
    <row r="267" customFormat="false" ht="15" hidden="false" customHeight="false" outlineLevel="0" collapsed="false">
      <c r="A267" s="0" t="s">
        <v>215</v>
      </c>
      <c r="B267" s="0" t="n">
        <v>200</v>
      </c>
      <c r="C267" s="0" t="str">
        <f aca="false">TEXT(VLOOKUP(B267,$I$2:$J$20,2,FALSE()),"0")</f>
        <v>200</v>
      </c>
      <c r="D267" s="47" t="n">
        <v>180</v>
      </c>
      <c r="E267" s="47" t="n">
        <v>17820000</v>
      </c>
      <c r="F267" s="47" t="n">
        <v>3082320</v>
      </c>
    </row>
    <row r="268" customFormat="false" ht="15" hidden="false" customHeight="false" outlineLevel="0" collapsed="false">
      <c r="A268" s="0" t="s">
        <v>215</v>
      </c>
      <c r="B268" s="0" t="n">
        <v>299</v>
      </c>
      <c r="C268" s="0" t="str">
        <f aca="false">TEXT(VLOOKUP(B268,$I$2:$J$20,2,FALSE()),"0")</f>
        <v>200</v>
      </c>
      <c r="D268" s="47" t="n">
        <v>2</v>
      </c>
      <c r="E268" s="47" t="n">
        <v>198000</v>
      </c>
      <c r="F268" s="47" t="n">
        <v>34248</v>
      </c>
    </row>
    <row r="269" customFormat="false" ht="15" hidden="false" customHeight="false" outlineLevel="0" collapsed="false">
      <c r="A269" s="0" t="s">
        <v>215</v>
      </c>
      <c r="B269" s="0" t="n">
        <v>300</v>
      </c>
      <c r="C269" s="0" t="str">
        <f aca="false">TEXT(VLOOKUP(B269,$I$2:$J$20,2,FALSE()),"0")</f>
        <v>300</v>
      </c>
      <c r="D269" s="47" t="n">
        <v>80</v>
      </c>
      <c r="E269" s="47" t="n">
        <v>7920000</v>
      </c>
      <c r="F269" s="47" t="n">
        <v>1369920</v>
      </c>
    </row>
    <row r="270" customFormat="false" ht="15" hidden="false" customHeight="false" outlineLevel="0" collapsed="false">
      <c r="A270" s="0" t="s">
        <v>215</v>
      </c>
      <c r="B270" s="0" t="n">
        <v>600</v>
      </c>
      <c r="C270" s="0" t="str">
        <f aca="false">TEXT(VLOOKUP(B270,$I$2:$J$20,2,FALSE()),"0")</f>
        <v>600</v>
      </c>
      <c r="D270" s="47" t="n">
        <v>30</v>
      </c>
      <c r="E270" s="47" t="n">
        <v>2970000</v>
      </c>
      <c r="F270" s="47" t="n">
        <v>513720</v>
      </c>
    </row>
    <row r="271" customFormat="false" ht="15" hidden="false" customHeight="false" outlineLevel="0" collapsed="false">
      <c r="A271" s="0" t="s">
        <v>217</v>
      </c>
      <c r="B271" s="0" t="n">
        <v>300</v>
      </c>
      <c r="C271" s="0" t="str">
        <f aca="false">TEXT(VLOOKUP(B271,$I$2:$J$20,2,FALSE()),"0")</f>
        <v>300</v>
      </c>
      <c r="D271" s="47" t="n">
        <v>80</v>
      </c>
      <c r="E271" s="47" t="n">
        <v>5520000</v>
      </c>
      <c r="F271" s="47" t="n">
        <v>1080000</v>
      </c>
    </row>
    <row r="272" customFormat="false" ht="15" hidden="false" customHeight="false" outlineLevel="0" collapsed="false">
      <c r="A272" s="0" t="s">
        <v>1282</v>
      </c>
      <c r="B272" s="0" t="n">
        <v>200</v>
      </c>
      <c r="C272" s="0" t="str">
        <f aca="false">TEXT(VLOOKUP(B272,$I$2:$J$20,2,FALSE()),"0")</f>
        <v>200</v>
      </c>
      <c r="D272" s="47" t="n">
        <v>230</v>
      </c>
      <c r="E272" s="47" t="n">
        <v>15870000</v>
      </c>
      <c r="F272" s="47" t="n">
        <v>2978730</v>
      </c>
    </row>
    <row r="273" customFormat="false" ht="15" hidden="false" customHeight="false" outlineLevel="0" collapsed="false">
      <c r="A273" s="0" t="s">
        <v>1282</v>
      </c>
      <c r="B273" s="0" t="n">
        <v>299</v>
      </c>
      <c r="C273" s="0" t="str">
        <f aca="false">TEXT(VLOOKUP(B273,$I$2:$J$20,2,FALSE()),"0")</f>
        <v>200</v>
      </c>
      <c r="D273" s="47" t="n">
        <v>2</v>
      </c>
      <c r="E273" s="47" t="n">
        <v>138000</v>
      </c>
      <c r="F273" s="47" t="n">
        <v>25902</v>
      </c>
    </row>
    <row r="274" customFormat="false" ht="15" hidden="false" customHeight="false" outlineLevel="0" collapsed="false">
      <c r="A274" s="0" t="s">
        <v>1282</v>
      </c>
      <c r="B274" s="0" t="n">
        <v>600</v>
      </c>
      <c r="C274" s="0" t="str">
        <f aca="false">TEXT(VLOOKUP(B274,$I$2:$J$20,2,FALSE()),"0")</f>
        <v>600</v>
      </c>
      <c r="D274" s="47" t="n">
        <v>30</v>
      </c>
      <c r="E274" s="47" t="n">
        <v>2070000</v>
      </c>
      <c r="F274" s="47" t="n">
        <v>388530</v>
      </c>
    </row>
    <row r="275" customFormat="false" ht="15" hidden="false" customHeight="false" outlineLevel="0" collapsed="false">
      <c r="A275" s="0" t="s">
        <v>1284</v>
      </c>
      <c r="B275" s="0" t="n">
        <v>600</v>
      </c>
      <c r="C275" s="0" t="str">
        <f aca="false">TEXT(VLOOKUP(B275,$I$2:$J$20,2,FALSE()),"0")</f>
        <v>600</v>
      </c>
      <c r="D275" s="47" t="n">
        <v>10</v>
      </c>
      <c r="E275" s="47" t="n">
        <v>450000</v>
      </c>
      <c r="F275" s="47" t="n">
        <v>102480</v>
      </c>
    </row>
    <row r="276" customFormat="false" ht="15" hidden="false" customHeight="false" outlineLevel="0" collapsed="false">
      <c r="A276" s="0" t="s">
        <v>1284</v>
      </c>
      <c r="B276" s="0" t="n">
        <v>700</v>
      </c>
      <c r="C276" s="0" t="str">
        <f aca="false">TEXT(VLOOKUP(B276,$I$2:$J$20,2,FALSE()),"0")</f>
        <v>700</v>
      </c>
      <c r="D276" s="47" t="n">
        <v>60</v>
      </c>
      <c r="E276" s="47" t="n">
        <v>2700000</v>
      </c>
      <c r="F276" s="47" t="n">
        <v>614880</v>
      </c>
    </row>
    <row r="277" customFormat="false" ht="15" hidden="false" customHeight="false" outlineLevel="0" collapsed="false">
      <c r="A277" s="0" t="s">
        <v>1284</v>
      </c>
      <c r="B277" s="0" t="n">
        <v>799</v>
      </c>
      <c r="C277" s="0" t="str">
        <f aca="false">TEXT(VLOOKUP(B277,$I$2:$J$20,2,FALSE()),"0")</f>
        <v>700</v>
      </c>
      <c r="D277" s="47" t="n">
        <v>2</v>
      </c>
      <c r="E277" s="47" t="n">
        <v>90000</v>
      </c>
      <c r="F277" s="47" t="n">
        <v>20496</v>
      </c>
    </row>
    <row r="278" customFormat="false" ht="15" hidden="false" customHeight="false" outlineLevel="0" collapsed="false">
      <c r="A278" s="0" t="s">
        <v>1284</v>
      </c>
      <c r="B278" s="0" t="n">
        <v>800</v>
      </c>
      <c r="C278" s="0" t="str">
        <f aca="false">TEXT(VLOOKUP(B278,$I$2:$J$20,2,FALSE()),"0")</f>
        <v>800</v>
      </c>
      <c r="D278" s="47" t="n">
        <v>10</v>
      </c>
      <c r="E278" s="47" t="n">
        <v>450000</v>
      </c>
      <c r="F278" s="47" t="n">
        <v>102480</v>
      </c>
    </row>
    <row r="279" customFormat="false" ht="15" hidden="false" customHeight="false" outlineLevel="0" collapsed="false">
      <c r="A279" s="0" t="s">
        <v>1284</v>
      </c>
      <c r="B279" s="0" t="n">
        <v>810</v>
      </c>
      <c r="C279" s="0" t="str">
        <f aca="false">TEXT(VLOOKUP(B279,$I$2:$J$20,2,FALSE()),"0")</f>
        <v>810</v>
      </c>
      <c r="D279" s="47" t="n">
        <v>168</v>
      </c>
      <c r="E279" s="47" t="n">
        <v>7560000</v>
      </c>
      <c r="F279" s="47" t="n">
        <v>1721664</v>
      </c>
    </row>
    <row r="280" customFormat="false" ht="15" hidden="false" customHeight="false" outlineLevel="0" collapsed="false">
      <c r="A280" s="0" t="s">
        <v>1284</v>
      </c>
      <c r="B280" s="0" t="n">
        <v>830</v>
      </c>
      <c r="C280" s="0" t="str">
        <f aca="false">TEXT(VLOOKUP(B280,$I$2:$J$20,2,FALSE()),"0")</f>
        <v>830</v>
      </c>
      <c r="D280" s="47" t="n">
        <v>400</v>
      </c>
      <c r="E280" s="47" t="n">
        <v>18000000</v>
      </c>
      <c r="F280" s="47" t="n">
        <v>4099200</v>
      </c>
    </row>
    <row r="281" customFormat="false" ht="15" hidden="false" customHeight="false" outlineLevel="0" collapsed="false">
      <c r="A281" s="0" t="s">
        <v>1037</v>
      </c>
      <c r="B281" s="0" t="n">
        <v>200</v>
      </c>
      <c r="C281" s="0" t="str">
        <f aca="false">TEXT(VLOOKUP(B281,$I$2:$J$20,2,FALSE()),"0")</f>
        <v>200</v>
      </c>
      <c r="D281" s="47" t="n">
        <v>60</v>
      </c>
      <c r="E281" s="47" t="n">
        <v>3900000</v>
      </c>
      <c r="F281" s="47" t="n">
        <v>967620</v>
      </c>
    </row>
    <row r="282" customFormat="false" ht="15" hidden="false" customHeight="false" outlineLevel="0" collapsed="false">
      <c r="A282" s="0" t="s">
        <v>1037</v>
      </c>
      <c r="B282" s="0" t="n">
        <v>299</v>
      </c>
      <c r="C282" s="0" t="str">
        <f aca="false">TEXT(VLOOKUP(B282,$I$2:$J$20,2,FALSE()),"0")</f>
        <v>200</v>
      </c>
      <c r="D282" s="47" t="n">
        <v>1</v>
      </c>
      <c r="E282" s="47" t="n">
        <v>65000</v>
      </c>
      <c r="F282" s="47" t="n">
        <v>16127</v>
      </c>
    </row>
    <row r="283" customFormat="false" ht="15" hidden="false" customHeight="false" outlineLevel="0" collapsed="false">
      <c r="A283" s="0" t="s">
        <v>1037</v>
      </c>
      <c r="B283" s="0" t="n">
        <v>600</v>
      </c>
      <c r="C283" s="0" t="str">
        <f aca="false">TEXT(VLOOKUP(B283,$I$2:$J$20,2,FALSE()),"0")</f>
        <v>600</v>
      </c>
      <c r="D283" s="47" t="n">
        <v>10</v>
      </c>
      <c r="E283" s="47" t="n">
        <v>650000</v>
      </c>
      <c r="F283" s="47" t="n">
        <v>161270</v>
      </c>
    </row>
    <row r="284" customFormat="false" ht="15" hidden="false" customHeight="false" outlineLevel="0" collapsed="false">
      <c r="A284" s="0" t="s">
        <v>1286</v>
      </c>
      <c r="B284" s="0" t="n">
        <v>600</v>
      </c>
      <c r="C284" s="0" t="str">
        <f aca="false">TEXT(VLOOKUP(B284,$I$2:$J$20,2,FALSE()),"0")</f>
        <v>600</v>
      </c>
      <c r="D284" s="47" t="n">
        <v>75</v>
      </c>
      <c r="E284" s="47" t="n">
        <v>5925000</v>
      </c>
      <c r="F284" s="47" t="n">
        <v>1530000</v>
      </c>
    </row>
    <row r="285" customFormat="false" ht="15" hidden="false" customHeight="false" outlineLevel="0" collapsed="false">
      <c r="A285" s="0" t="s">
        <v>1286</v>
      </c>
      <c r="B285" s="0" t="n">
        <v>810</v>
      </c>
      <c r="C285" s="0" t="str">
        <f aca="false">TEXT(VLOOKUP(B285,$I$2:$J$20,2,FALSE()),"0")</f>
        <v>810</v>
      </c>
      <c r="D285" s="47" t="n">
        <v>204</v>
      </c>
      <c r="E285" s="47" t="n">
        <v>16116000</v>
      </c>
      <c r="F285" s="47" t="n">
        <v>4161600</v>
      </c>
    </row>
    <row r="286" customFormat="false" ht="15" hidden="false" customHeight="false" outlineLevel="0" collapsed="false">
      <c r="A286" s="0" t="s">
        <v>220</v>
      </c>
      <c r="B286" s="0" t="n">
        <v>300</v>
      </c>
      <c r="C286" s="0" t="str">
        <f aca="false">TEXT(VLOOKUP(B286,$I$2:$J$20,2,FALSE()),"0")</f>
        <v>300</v>
      </c>
      <c r="D286" s="47" t="n">
        <v>300</v>
      </c>
      <c r="E286" s="47" t="n">
        <v>26700000</v>
      </c>
      <c r="F286" s="47" t="n">
        <v>5010000</v>
      </c>
    </row>
    <row r="287" customFormat="false" ht="15" hidden="false" customHeight="false" outlineLevel="0" collapsed="false">
      <c r="A287" s="0" t="s">
        <v>1039</v>
      </c>
      <c r="B287" s="0" t="n">
        <v>200</v>
      </c>
      <c r="C287" s="0" t="str">
        <f aca="false">TEXT(VLOOKUP(B287,$I$2:$J$20,2,FALSE()),"0")</f>
        <v>200</v>
      </c>
      <c r="D287" s="47" t="n">
        <v>100</v>
      </c>
      <c r="E287" s="47" t="n">
        <v>8900000</v>
      </c>
      <c r="F287" s="47" t="n">
        <v>2451700</v>
      </c>
    </row>
    <row r="288" customFormat="false" ht="15" hidden="false" customHeight="false" outlineLevel="0" collapsed="false">
      <c r="A288" s="0" t="s">
        <v>1039</v>
      </c>
      <c r="B288" s="0" t="n">
        <v>299</v>
      </c>
      <c r="C288" s="0" t="str">
        <f aca="false">TEXT(VLOOKUP(B288,$I$2:$J$20,2,FALSE()),"0")</f>
        <v>200</v>
      </c>
      <c r="D288" s="47" t="n">
        <v>1</v>
      </c>
      <c r="E288" s="47" t="n">
        <v>89000</v>
      </c>
      <c r="F288" s="47" t="n">
        <v>24517</v>
      </c>
    </row>
    <row r="289" customFormat="false" ht="15" hidden="false" customHeight="false" outlineLevel="0" collapsed="false">
      <c r="A289" s="0" t="s">
        <v>222</v>
      </c>
      <c r="B289" s="0" t="n">
        <v>200</v>
      </c>
      <c r="C289" s="0" t="str">
        <f aca="false">TEXT(VLOOKUP(B289,$I$2:$J$20,2,FALSE()),"0")</f>
        <v>200</v>
      </c>
      <c r="D289" s="47" t="n">
        <v>200</v>
      </c>
      <c r="E289" s="47" t="n">
        <v>25800000</v>
      </c>
      <c r="F289" s="47" t="n">
        <v>6245000</v>
      </c>
    </row>
    <row r="290" customFormat="false" ht="15" hidden="false" customHeight="false" outlineLevel="0" collapsed="false">
      <c r="A290" s="0" t="s">
        <v>222</v>
      </c>
      <c r="B290" s="0" t="n">
        <v>299</v>
      </c>
      <c r="C290" s="0" t="str">
        <f aca="false">TEXT(VLOOKUP(B290,$I$2:$J$20,2,FALSE()),"0")</f>
        <v>200</v>
      </c>
      <c r="D290" s="47" t="n">
        <v>2</v>
      </c>
      <c r="E290" s="47" t="n">
        <v>258000</v>
      </c>
      <c r="F290" s="47" t="n">
        <v>62450</v>
      </c>
    </row>
    <row r="291" customFormat="false" ht="15" hidden="false" customHeight="false" outlineLevel="0" collapsed="false">
      <c r="A291" s="0" t="s">
        <v>222</v>
      </c>
      <c r="B291" s="0" t="n">
        <v>300</v>
      </c>
      <c r="C291" s="0" t="str">
        <f aca="false">TEXT(VLOOKUP(B291,$I$2:$J$20,2,FALSE()),"0")</f>
        <v>300</v>
      </c>
      <c r="D291" s="47" t="n">
        <v>200</v>
      </c>
      <c r="E291" s="47" t="n">
        <v>25800000</v>
      </c>
      <c r="F291" s="47" t="n">
        <v>6245000</v>
      </c>
    </row>
    <row r="292" customFormat="false" ht="15" hidden="false" customHeight="false" outlineLevel="0" collapsed="false">
      <c r="A292" s="0" t="s">
        <v>222</v>
      </c>
      <c r="B292" s="0" t="n">
        <v>700</v>
      </c>
      <c r="C292" s="0" t="str">
        <f aca="false">TEXT(VLOOKUP(B292,$I$2:$J$20,2,FALSE()),"0")</f>
        <v>700</v>
      </c>
      <c r="D292" s="47" t="n">
        <v>40</v>
      </c>
      <c r="E292" s="47" t="n">
        <v>5160000</v>
      </c>
      <c r="F292" s="47" t="n">
        <v>1249000</v>
      </c>
    </row>
    <row r="293" customFormat="false" ht="15" hidden="false" customHeight="false" outlineLevel="0" collapsed="false">
      <c r="A293" s="0" t="s">
        <v>222</v>
      </c>
      <c r="B293" s="0" t="n">
        <v>799</v>
      </c>
      <c r="C293" s="0" t="str">
        <f aca="false">TEXT(VLOOKUP(B293,$I$2:$J$20,2,FALSE()),"0")</f>
        <v>700</v>
      </c>
      <c r="D293" s="47" t="n">
        <v>1</v>
      </c>
      <c r="E293" s="47" t="n">
        <v>129000</v>
      </c>
      <c r="F293" s="47" t="n">
        <v>31225</v>
      </c>
    </row>
    <row r="294" customFormat="false" ht="15" hidden="false" customHeight="false" outlineLevel="0" collapsed="false">
      <c r="A294" s="0" t="s">
        <v>222</v>
      </c>
      <c r="B294" s="0" t="n">
        <v>800</v>
      </c>
      <c r="C294" s="0" t="str">
        <f aca="false">TEXT(VLOOKUP(B294,$I$2:$J$20,2,FALSE()),"0")</f>
        <v>800</v>
      </c>
      <c r="D294" s="47" t="n">
        <v>40</v>
      </c>
      <c r="E294" s="47" t="n">
        <v>5160000</v>
      </c>
      <c r="F294" s="47" t="n">
        <v>1249000</v>
      </c>
    </row>
    <row r="295" customFormat="false" ht="15" hidden="false" customHeight="false" outlineLevel="0" collapsed="false">
      <c r="A295" s="0" t="s">
        <v>224</v>
      </c>
      <c r="B295" s="0" t="n">
        <v>100</v>
      </c>
      <c r="C295" s="0" t="str">
        <f aca="false">TEXT(VLOOKUP(B295,$I$2:$J$20,2,FALSE()),"0")</f>
        <v>100</v>
      </c>
      <c r="D295" s="47" t="n">
        <v>170</v>
      </c>
      <c r="E295" s="47" t="n">
        <v>18530000</v>
      </c>
      <c r="F295" s="47" t="n">
        <v>4354040</v>
      </c>
    </row>
    <row r="296" customFormat="false" ht="15" hidden="false" customHeight="false" outlineLevel="0" collapsed="false">
      <c r="A296" s="0" t="s">
        <v>224</v>
      </c>
      <c r="B296" s="0" t="n">
        <v>200</v>
      </c>
      <c r="C296" s="0" t="str">
        <f aca="false">TEXT(VLOOKUP(B296,$I$2:$J$20,2,FALSE()),"0")</f>
        <v>200</v>
      </c>
      <c r="D296" s="47" t="n">
        <v>105</v>
      </c>
      <c r="E296" s="47" t="n">
        <v>11445000</v>
      </c>
      <c r="F296" s="47" t="n">
        <v>2689260</v>
      </c>
    </row>
    <row r="297" customFormat="false" ht="15" hidden="false" customHeight="false" outlineLevel="0" collapsed="false">
      <c r="A297" s="0" t="s">
        <v>224</v>
      </c>
      <c r="B297" s="0" t="n">
        <v>299</v>
      </c>
      <c r="C297" s="0" t="str">
        <f aca="false">TEXT(VLOOKUP(B297,$I$2:$J$20,2,FALSE()),"0")</f>
        <v>200</v>
      </c>
      <c r="D297" s="47" t="n">
        <v>1</v>
      </c>
      <c r="E297" s="47" t="n">
        <v>109000</v>
      </c>
      <c r="F297" s="47" t="n">
        <v>25612</v>
      </c>
    </row>
    <row r="298" customFormat="false" ht="15" hidden="false" customHeight="false" outlineLevel="0" collapsed="false">
      <c r="A298" s="0" t="s">
        <v>224</v>
      </c>
      <c r="B298" s="0" t="n">
        <v>300</v>
      </c>
      <c r="C298" s="0" t="str">
        <f aca="false">TEXT(VLOOKUP(B298,$I$2:$J$20,2,FALSE()),"0")</f>
        <v>300</v>
      </c>
      <c r="D298" s="47" t="n">
        <v>400</v>
      </c>
      <c r="E298" s="47" t="n">
        <v>43600000</v>
      </c>
      <c r="F298" s="47" t="n">
        <v>10244800</v>
      </c>
    </row>
    <row r="299" customFormat="false" ht="15" hidden="false" customHeight="false" outlineLevel="0" collapsed="false">
      <c r="A299" s="0" t="s">
        <v>224</v>
      </c>
      <c r="B299" s="0" t="n">
        <v>500</v>
      </c>
      <c r="C299" s="0" t="str">
        <f aca="false">TEXT(VLOOKUP(B299,$I$2:$J$20,2,FALSE()),"0")</f>
        <v>500</v>
      </c>
      <c r="D299" s="47" t="n">
        <v>50</v>
      </c>
      <c r="E299" s="47" t="n">
        <v>5450000</v>
      </c>
      <c r="F299" s="47" t="n">
        <v>1280600</v>
      </c>
    </row>
    <row r="300" customFormat="false" ht="15" hidden="false" customHeight="false" outlineLevel="0" collapsed="false">
      <c r="A300" s="0" t="s">
        <v>226</v>
      </c>
      <c r="B300" s="0" t="n">
        <v>300</v>
      </c>
      <c r="C300" s="0" t="str">
        <f aca="false">TEXT(VLOOKUP(B300,$I$2:$J$20,2,FALSE()),"0")</f>
        <v>300</v>
      </c>
      <c r="D300" s="47" t="n">
        <v>350</v>
      </c>
      <c r="E300" s="47" t="n">
        <v>31150000</v>
      </c>
      <c r="F300" s="47" t="n">
        <v>5530000</v>
      </c>
    </row>
    <row r="301" customFormat="false" ht="15" hidden="false" customHeight="false" outlineLevel="0" collapsed="false">
      <c r="A301" s="0" t="s">
        <v>226</v>
      </c>
      <c r="B301" s="0" t="n">
        <v>800</v>
      </c>
      <c r="C301" s="0" t="str">
        <f aca="false">TEXT(VLOOKUP(B301,$I$2:$J$20,2,FALSE()),"0")</f>
        <v>800</v>
      </c>
      <c r="D301" s="47" t="n">
        <v>60</v>
      </c>
      <c r="E301" s="47" t="n">
        <v>5340000</v>
      </c>
      <c r="F301" s="47" t="n">
        <v>948000</v>
      </c>
    </row>
    <row r="302" customFormat="false" ht="15" hidden="false" customHeight="false" outlineLevel="0" collapsed="false">
      <c r="A302" s="0" t="s">
        <v>806</v>
      </c>
      <c r="B302" s="0" t="n">
        <v>100</v>
      </c>
      <c r="C302" s="0" t="str">
        <f aca="false">TEXT(VLOOKUP(B302,$I$2:$J$20,2,FALSE()),"0")</f>
        <v>100</v>
      </c>
      <c r="D302" s="47" t="n">
        <v>400</v>
      </c>
      <c r="E302" s="47" t="n">
        <v>63600000</v>
      </c>
      <c r="F302" s="47" t="n">
        <v>12612400</v>
      </c>
    </row>
    <row r="303" customFormat="false" ht="15" hidden="false" customHeight="false" outlineLevel="0" collapsed="false">
      <c r="A303" s="0" t="s">
        <v>806</v>
      </c>
      <c r="B303" s="0" t="n">
        <v>200</v>
      </c>
      <c r="C303" s="0" t="str">
        <f aca="false">TEXT(VLOOKUP(B303,$I$2:$J$20,2,FALSE()),"0")</f>
        <v>200</v>
      </c>
      <c r="D303" s="47" t="n">
        <v>765</v>
      </c>
      <c r="E303" s="47" t="n">
        <v>121635000</v>
      </c>
      <c r="F303" s="47" t="n">
        <v>24121215</v>
      </c>
    </row>
    <row r="304" customFormat="false" ht="15" hidden="false" customHeight="false" outlineLevel="0" collapsed="false">
      <c r="A304" s="0" t="s">
        <v>806</v>
      </c>
      <c r="B304" s="0" t="n">
        <v>299</v>
      </c>
      <c r="C304" s="0" t="str">
        <f aca="false">TEXT(VLOOKUP(B304,$I$2:$J$20,2,FALSE()),"0")</f>
        <v>200</v>
      </c>
      <c r="D304" s="47" t="n">
        <v>3</v>
      </c>
      <c r="E304" s="47" t="n">
        <v>477000</v>
      </c>
      <c r="F304" s="47" t="n">
        <v>94593</v>
      </c>
    </row>
    <row r="305" customFormat="false" ht="15" hidden="false" customHeight="false" outlineLevel="0" collapsed="false">
      <c r="A305" s="0" t="s">
        <v>806</v>
      </c>
      <c r="B305" s="0" t="n">
        <v>500</v>
      </c>
      <c r="C305" s="0" t="str">
        <f aca="false">TEXT(VLOOKUP(B305,$I$2:$J$20,2,FALSE()),"0")</f>
        <v>500</v>
      </c>
      <c r="D305" s="47" t="n">
        <v>40</v>
      </c>
      <c r="E305" s="47" t="n">
        <v>6360000</v>
      </c>
      <c r="F305" s="47" t="n">
        <v>1261240</v>
      </c>
    </row>
    <row r="306" customFormat="false" ht="15" hidden="false" customHeight="false" outlineLevel="0" collapsed="false">
      <c r="A306" s="0" t="s">
        <v>806</v>
      </c>
      <c r="B306" s="0" t="n">
        <v>600</v>
      </c>
      <c r="C306" s="0" t="str">
        <f aca="false">TEXT(VLOOKUP(B306,$I$2:$J$20,2,FALSE()),"0")</f>
        <v>600</v>
      </c>
      <c r="D306" s="47" t="n">
        <v>80</v>
      </c>
      <c r="E306" s="47" t="n">
        <v>12720000</v>
      </c>
      <c r="F306" s="47" t="n">
        <v>2522480</v>
      </c>
    </row>
    <row r="307" customFormat="false" ht="15" hidden="false" customHeight="false" outlineLevel="0" collapsed="false">
      <c r="A307" s="0" t="s">
        <v>806</v>
      </c>
      <c r="B307" s="0" t="n">
        <v>700</v>
      </c>
      <c r="C307" s="0" t="str">
        <f aca="false">TEXT(VLOOKUP(B307,$I$2:$J$20,2,FALSE()),"0")</f>
        <v>700</v>
      </c>
      <c r="D307" s="47" t="n">
        <v>95</v>
      </c>
      <c r="E307" s="47" t="n">
        <v>15105000</v>
      </c>
      <c r="F307" s="47" t="n">
        <v>2995445</v>
      </c>
    </row>
    <row r="308" customFormat="false" ht="15" hidden="false" customHeight="false" outlineLevel="0" collapsed="false">
      <c r="A308" s="0" t="s">
        <v>806</v>
      </c>
      <c r="B308" s="0" t="n">
        <v>799</v>
      </c>
      <c r="C308" s="0" t="str">
        <f aca="false">TEXT(VLOOKUP(B308,$I$2:$J$20,2,FALSE()),"0")</f>
        <v>700</v>
      </c>
      <c r="D308" s="47" t="n">
        <v>2</v>
      </c>
      <c r="E308" s="47" t="n">
        <v>318000</v>
      </c>
      <c r="F308" s="47" t="n">
        <v>63062</v>
      </c>
    </row>
    <row r="309" customFormat="false" ht="15" hidden="false" customHeight="false" outlineLevel="0" collapsed="false">
      <c r="A309" s="0" t="s">
        <v>808</v>
      </c>
      <c r="B309" s="0" t="n">
        <v>100</v>
      </c>
      <c r="C309" s="0" t="str">
        <f aca="false">TEXT(VLOOKUP(B309,$I$2:$J$20,2,FALSE()),"0")</f>
        <v>100</v>
      </c>
      <c r="D309" s="47" t="n">
        <v>360</v>
      </c>
      <c r="E309" s="47" t="n">
        <v>60840000</v>
      </c>
      <c r="F309" s="47" t="n">
        <v>12564000</v>
      </c>
    </row>
    <row r="310" customFormat="false" ht="15" hidden="false" customHeight="false" outlineLevel="0" collapsed="false">
      <c r="A310" s="0" t="s">
        <v>808</v>
      </c>
      <c r="B310" s="0" t="n">
        <v>700</v>
      </c>
      <c r="C310" s="0" t="str">
        <f aca="false">TEXT(VLOOKUP(B310,$I$2:$J$20,2,FALSE()),"0")</f>
        <v>700</v>
      </c>
      <c r="D310" s="47" t="n">
        <v>40</v>
      </c>
      <c r="E310" s="47" t="n">
        <v>6760000</v>
      </c>
      <c r="F310" s="47" t="n">
        <v>1396000</v>
      </c>
    </row>
    <row r="311" customFormat="false" ht="15" hidden="false" customHeight="false" outlineLevel="0" collapsed="false">
      <c r="A311" s="0" t="s">
        <v>808</v>
      </c>
      <c r="B311" s="0" t="n">
        <v>799</v>
      </c>
      <c r="C311" s="0" t="str">
        <f aca="false">TEXT(VLOOKUP(B311,$I$2:$J$20,2,FALSE()),"0")</f>
        <v>700</v>
      </c>
      <c r="D311" s="47" t="n">
        <v>1</v>
      </c>
      <c r="E311" s="47" t="n">
        <v>169000</v>
      </c>
      <c r="F311" s="47" t="n">
        <v>34900</v>
      </c>
    </row>
    <row r="312" customFormat="false" ht="15" hidden="false" customHeight="false" outlineLevel="0" collapsed="false">
      <c r="A312" s="0" t="s">
        <v>810</v>
      </c>
      <c r="B312" s="0" t="n">
        <v>100</v>
      </c>
      <c r="C312" s="0" t="str">
        <f aca="false">TEXT(VLOOKUP(B312,$I$2:$J$20,2,FALSE()),"0")</f>
        <v>100</v>
      </c>
      <c r="D312" s="47" t="n">
        <v>330</v>
      </c>
      <c r="E312" s="47" t="n">
        <v>45870000</v>
      </c>
      <c r="F312" s="47" t="n">
        <v>9141990</v>
      </c>
    </row>
    <row r="313" customFormat="false" ht="15" hidden="false" customHeight="false" outlineLevel="0" collapsed="false">
      <c r="A313" s="0" t="s">
        <v>810</v>
      </c>
      <c r="B313" s="0" t="n">
        <v>700</v>
      </c>
      <c r="C313" s="0" t="str">
        <f aca="false">TEXT(VLOOKUP(B313,$I$2:$J$20,2,FALSE()),"0")</f>
        <v>700</v>
      </c>
      <c r="D313" s="47" t="n">
        <v>110</v>
      </c>
      <c r="E313" s="47" t="n">
        <v>15290000</v>
      </c>
      <c r="F313" s="47" t="n">
        <v>3047330</v>
      </c>
    </row>
    <row r="314" customFormat="false" ht="15" hidden="false" customHeight="false" outlineLevel="0" collapsed="false">
      <c r="A314" s="0" t="s">
        <v>810</v>
      </c>
      <c r="B314" s="0" t="n">
        <v>799</v>
      </c>
      <c r="C314" s="0" t="str">
        <f aca="false">TEXT(VLOOKUP(B314,$I$2:$J$20,2,FALSE()),"0")</f>
        <v>700</v>
      </c>
      <c r="D314" s="47" t="n">
        <v>2</v>
      </c>
      <c r="E314" s="47" t="n">
        <v>278000</v>
      </c>
      <c r="F314" s="47" t="n">
        <v>55406</v>
      </c>
    </row>
    <row r="315" customFormat="false" ht="15" hidden="false" customHeight="false" outlineLevel="0" collapsed="false">
      <c r="A315" s="0" t="s">
        <v>812</v>
      </c>
      <c r="B315" s="0" t="n">
        <v>100</v>
      </c>
      <c r="C315" s="0" t="str">
        <f aca="false">TEXT(VLOOKUP(B315,$I$2:$J$20,2,FALSE()),"0")</f>
        <v>100</v>
      </c>
      <c r="D315" s="47" t="n">
        <v>260</v>
      </c>
      <c r="E315" s="47" t="n">
        <v>36140000</v>
      </c>
      <c r="F315" s="47" t="n">
        <v>7852000</v>
      </c>
    </row>
    <row r="316" customFormat="false" ht="15" hidden="false" customHeight="false" outlineLevel="0" collapsed="false">
      <c r="A316" s="0" t="s">
        <v>1041</v>
      </c>
      <c r="B316" s="0" t="n">
        <v>200</v>
      </c>
      <c r="C316" s="0" t="str">
        <f aca="false">TEXT(VLOOKUP(B316,$I$2:$J$20,2,FALSE()),"0")</f>
        <v>200</v>
      </c>
      <c r="D316" s="47" t="n">
        <v>110</v>
      </c>
      <c r="E316" s="47" t="n">
        <v>24090000</v>
      </c>
      <c r="F316" s="47" t="n">
        <v>4754860</v>
      </c>
    </row>
    <row r="317" customFormat="false" ht="15" hidden="false" customHeight="false" outlineLevel="0" collapsed="false">
      <c r="A317" s="0" t="s">
        <v>1041</v>
      </c>
      <c r="B317" s="0" t="n">
        <v>299</v>
      </c>
      <c r="C317" s="0" t="str">
        <f aca="false">TEXT(VLOOKUP(B317,$I$2:$J$20,2,FALSE()),"0")</f>
        <v>200</v>
      </c>
      <c r="D317" s="47" t="n">
        <v>2</v>
      </c>
      <c r="E317" s="47" t="n">
        <v>438000</v>
      </c>
      <c r="F317" s="47" t="n">
        <v>86452</v>
      </c>
    </row>
    <row r="318" customFormat="false" ht="15" hidden="false" customHeight="false" outlineLevel="0" collapsed="false">
      <c r="A318" s="0" t="s">
        <v>1041</v>
      </c>
      <c r="B318" s="0" t="n">
        <v>600</v>
      </c>
      <c r="C318" s="0" t="str">
        <f aca="false">TEXT(VLOOKUP(B318,$I$2:$J$20,2,FALSE()),"0")</f>
        <v>600</v>
      </c>
      <c r="D318" s="47" t="n">
        <v>15</v>
      </c>
      <c r="E318" s="47" t="n">
        <v>3285000</v>
      </c>
      <c r="F318" s="47" t="n">
        <v>648390</v>
      </c>
    </row>
    <row r="319" customFormat="false" ht="15" hidden="false" customHeight="false" outlineLevel="0" collapsed="false">
      <c r="A319" s="0" t="s">
        <v>1041</v>
      </c>
      <c r="B319" s="0" t="n">
        <v>700</v>
      </c>
      <c r="C319" s="0" t="str">
        <f aca="false">TEXT(VLOOKUP(B319,$I$2:$J$20,2,FALSE()),"0")</f>
        <v>700</v>
      </c>
      <c r="D319" s="47" t="n">
        <v>40</v>
      </c>
      <c r="E319" s="47" t="n">
        <v>8760000</v>
      </c>
      <c r="F319" s="47" t="n">
        <v>1729040</v>
      </c>
    </row>
    <row r="320" customFormat="false" ht="15" hidden="false" customHeight="false" outlineLevel="0" collapsed="false">
      <c r="A320" s="0" t="s">
        <v>1041</v>
      </c>
      <c r="B320" s="0" t="n">
        <v>799</v>
      </c>
      <c r="C320" s="0" t="str">
        <f aca="false">TEXT(VLOOKUP(B320,$I$2:$J$20,2,FALSE()),"0")</f>
        <v>700</v>
      </c>
      <c r="D320" s="47" t="n">
        <v>1</v>
      </c>
      <c r="E320" s="47" t="n">
        <v>219000</v>
      </c>
      <c r="F320" s="47" t="n">
        <v>43226</v>
      </c>
    </row>
    <row r="321" customFormat="false" ht="15" hidden="false" customHeight="false" outlineLevel="0" collapsed="false">
      <c r="A321" s="0" t="s">
        <v>1041</v>
      </c>
      <c r="B321" s="0" t="n">
        <v>810</v>
      </c>
      <c r="C321" s="0" t="str">
        <f aca="false">TEXT(VLOOKUP(B321,$I$2:$J$20,2,FALSE()),"0")</f>
        <v>810</v>
      </c>
      <c r="D321" s="47" t="n">
        <v>216</v>
      </c>
      <c r="E321" s="47" t="n">
        <v>47304000</v>
      </c>
      <c r="F321" s="47" t="n">
        <v>9336816</v>
      </c>
    </row>
    <row r="322" customFormat="false" ht="15" hidden="false" customHeight="false" outlineLevel="0" collapsed="false">
      <c r="A322" s="0" t="s">
        <v>814</v>
      </c>
      <c r="B322" s="0" t="n">
        <v>100</v>
      </c>
      <c r="C322" s="0" t="str">
        <f aca="false">TEXT(VLOOKUP(B322,$I$2:$J$20,2,FALSE()),"0")</f>
        <v>100</v>
      </c>
      <c r="D322" s="47" t="n">
        <v>300</v>
      </c>
      <c r="E322" s="47" t="n">
        <v>59700000</v>
      </c>
      <c r="F322" s="47" t="n">
        <v>15192300</v>
      </c>
    </row>
    <row r="323" customFormat="false" ht="15" hidden="false" customHeight="false" outlineLevel="0" collapsed="false">
      <c r="A323" s="0" t="s">
        <v>814</v>
      </c>
      <c r="B323" s="0" t="n">
        <v>200</v>
      </c>
      <c r="C323" s="0" t="str">
        <f aca="false">TEXT(VLOOKUP(B323,$I$2:$J$20,2,FALSE()),"0")</f>
        <v>200</v>
      </c>
      <c r="D323" s="47" t="n">
        <v>190</v>
      </c>
      <c r="E323" s="47" t="n">
        <v>37810000</v>
      </c>
      <c r="F323" s="47" t="n">
        <v>9621790</v>
      </c>
    </row>
    <row r="324" customFormat="false" ht="15" hidden="false" customHeight="false" outlineLevel="0" collapsed="false">
      <c r="A324" s="0" t="s">
        <v>814</v>
      </c>
      <c r="B324" s="0" t="n">
        <v>299</v>
      </c>
      <c r="C324" s="0" t="str">
        <f aca="false">TEXT(VLOOKUP(B324,$I$2:$J$20,2,FALSE()),"0")</f>
        <v>200</v>
      </c>
      <c r="D324" s="47" t="n">
        <v>6</v>
      </c>
      <c r="E324" s="47" t="n">
        <v>1194000</v>
      </c>
      <c r="F324" s="47" t="n">
        <v>303846</v>
      </c>
    </row>
    <row r="325" customFormat="false" ht="15" hidden="false" customHeight="false" outlineLevel="0" collapsed="false">
      <c r="A325" s="0" t="s">
        <v>814</v>
      </c>
      <c r="B325" s="0" t="n">
        <v>600</v>
      </c>
      <c r="C325" s="0" t="str">
        <f aca="false">TEXT(VLOOKUP(B325,$I$2:$J$20,2,FALSE()),"0")</f>
        <v>600</v>
      </c>
      <c r="D325" s="47" t="n">
        <v>15</v>
      </c>
      <c r="E325" s="47" t="n">
        <v>2985000</v>
      </c>
      <c r="F325" s="47" t="n">
        <v>759615</v>
      </c>
    </row>
    <row r="326" customFormat="false" ht="15" hidden="false" customHeight="false" outlineLevel="0" collapsed="false">
      <c r="A326" s="0" t="s">
        <v>814</v>
      </c>
      <c r="B326" s="0" t="n">
        <v>700</v>
      </c>
      <c r="C326" s="0" t="str">
        <f aca="false">TEXT(VLOOKUP(B326,$I$2:$J$20,2,FALSE()),"0")</f>
        <v>700</v>
      </c>
      <c r="D326" s="47" t="n">
        <v>50</v>
      </c>
      <c r="E326" s="47" t="n">
        <v>9950000</v>
      </c>
      <c r="F326" s="47" t="n">
        <v>2532050</v>
      </c>
    </row>
    <row r="327" customFormat="false" ht="15" hidden="false" customHeight="false" outlineLevel="0" collapsed="false">
      <c r="A327" s="0" t="s">
        <v>814</v>
      </c>
      <c r="B327" s="0" t="n">
        <v>799</v>
      </c>
      <c r="C327" s="0" t="str">
        <f aca="false">TEXT(VLOOKUP(B327,$I$2:$J$20,2,FALSE()),"0")</f>
        <v>700</v>
      </c>
      <c r="D327" s="47" t="n">
        <v>1</v>
      </c>
      <c r="E327" s="47" t="n">
        <v>199000</v>
      </c>
      <c r="F327" s="47" t="n">
        <v>50641</v>
      </c>
    </row>
    <row r="328" customFormat="false" ht="15" hidden="false" customHeight="false" outlineLevel="0" collapsed="false">
      <c r="A328" s="0" t="s">
        <v>814</v>
      </c>
      <c r="B328" s="0" t="n">
        <v>800</v>
      </c>
      <c r="C328" s="0" t="str">
        <f aca="false">TEXT(VLOOKUP(B328,$I$2:$J$20,2,FALSE()),"0")</f>
        <v>800</v>
      </c>
      <c r="D328" s="47" t="n">
        <v>30</v>
      </c>
      <c r="E328" s="47" t="n">
        <v>5970000</v>
      </c>
      <c r="F328" s="47" t="n">
        <v>1519230</v>
      </c>
    </row>
    <row r="329" customFormat="false" ht="15" hidden="false" customHeight="false" outlineLevel="0" collapsed="false">
      <c r="A329" s="0" t="s">
        <v>816</v>
      </c>
      <c r="B329" s="0" t="n">
        <v>100</v>
      </c>
      <c r="C329" s="0" t="str">
        <f aca="false">TEXT(VLOOKUP(B329,$I$2:$J$20,2,FALSE()),"0")</f>
        <v>100</v>
      </c>
      <c r="D329" s="47" t="n">
        <v>250</v>
      </c>
      <c r="E329" s="47" t="n">
        <v>32250000</v>
      </c>
      <c r="F329" s="47" t="n">
        <v>7850000</v>
      </c>
    </row>
    <row r="330" customFormat="false" ht="15" hidden="false" customHeight="false" outlineLevel="0" collapsed="false">
      <c r="A330" s="0" t="s">
        <v>816</v>
      </c>
      <c r="B330" s="0" t="n">
        <v>800</v>
      </c>
      <c r="C330" s="0" t="str">
        <f aca="false">TEXT(VLOOKUP(B330,$I$2:$J$20,2,FALSE()),"0")</f>
        <v>800</v>
      </c>
      <c r="D330" s="47" t="n">
        <v>30</v>
      </c>
      <c r="E330" s="47" t="n">
        <v>3870000</v>
      </c>
      <c r="F330" s="47" t="n">
        <v>942000</v>
      </c>
    </row>
    <row r="331" customFormat="false" ht="15" hidden="false" customHeight="false" outlineLevel="0" collapsed="false">
      <c r="A331" s="0" t="s">
        <v>818</v>
      </c>
      <c r="B331" s="0" t="n">
        <v>100</v>
      </c>
      <c r="C331" s="0" t="str">
        <f aca="false">TEXT(VLOOKUP(B331,$I$2:$J$20,2,FALSE()),"0")</f>
        <v>100</v>
      </c>
      <c r="D331" s="47" t="n">
        <v>180</v>
      </c>
      <c r="E331" s="47" t="n">
        <v>30420000</v>
      </c>
      <c r="F331" s="47" t="n">
        <v>6768000</v>
      </c>
    </row>
    <row r="332" customFormat="false" ht="15" hidden="false" customHeight="false" outlineLevel="0" collapsed="false">
      <c r="A332" s="0" t="s">
        <v>818</v>
      </c>
      <c r="B332" s="0" t="n">
        <v>700</v>
      </c>
      <c r="C332" s="0" t="str">
        <f aca="false">TEXT(VLOOKUP(B332,$I$2:$J$20,2,FALSE()),"0")</f>
        <v>700</v>
      </c>
      <c r="D332" s="47" t="n">
        <v>50</v>
      </c>
      <c r="E332" s="47" t="n">
        <v>8450000</v>
      </c>
      <c r="F332" s="47" t="n">
        <v>1880000</v>
      </c>
    </row>
    <row r="333" customFormat="false" ht="15" hidden="false" customHeight="false" outlineLevel="0" collapsed="false">
      <c r="A333" s="0" t="s">
        <v>818</v>
      </c>
      <c r="B333" s="0" t="n">
        <v>799</v>
      </c>
      <c r="C333" s="0" t="str">
        <f aca="false">TEXT(VLOOKUP(B333,$I$2:$J$20,2,FALSE()),"0")</f>
        <v>700</v>
      </c>
      <c r="D333" s="47" t="n">
        <v>1</v>
      </c>
      <c r="E333" s="47" t="n">
        <v>169000</v>
      </c>
      <c r="F333" s="47" t="n">
        <v>37600</v>
      </c>
    </row>
    <row r="334" customFormat="false" ht="15" hidden="false" customHeight="false" outlineLevel="0" collapsed="false">
      <c r="A334" s="0" t="s">
        <v>228</v>
      </c>
      <c r="B334" s="0" t="n">
        <v>100</v>
      </c>
      <c r="C334" s="0" t="str">
        <f aca="false">TEXT(VLOOKUP(B334,$I$2:$J$20,2,FALSE()),"0")</f>
        <v>100</v>
      </c>
      <c r="D334" s="47" t="n">
        <v>430</v>
      </c>
      <c r="E334" s="47" t="n">
        <v>38270000</v>
      </c>
      <c r="F334" s="47" t="n">
        <v>8892400</v>
      </c>
    </row>
    <row r="335" customFormat="false" ht="15" hidden="false" customHeight="false" outlineLevel="0" collapsed="false">
      <c r="A335" s="0" t="s">
        <v>228</v>
      </c>
      <c r="B335" s="0" t="n">
        <v>200</v>
      </c>
      <c r="C335" s="0" t="str">
        <f aca="false">TEXT(VLOOKUP(B335,$I$2:$J$20,2,FALSE()),"0")</f>
        <v>200</v>
      </c>
      <c r="D335" s="47" t="n">
        <v>760</v>
      </c>
      <c r="E335" s="47" t="n">
        <v>67640000</v>
      </c>
      <c r="F335" s="47" t="n">
        <v>15716800</v>
      </c>
    </row>
    <row r="336" customFormat="false" ht="15" hidden="false" customHeight="false" outlineLevel="0" collapsed="false">
      <c r="A336" s="0" t="s">
        <v>228</v>
      </c>
      <c r="B336" s="0" t="n">
        <v>299</v>
      </c>
      <c r="C336" s="0" t="str">
        <f aca="false">TEXT(VLOOKUP(B336,$I$2:$J$20,2,FALSE()),"0")</f>
        <v>200</v>
      </c>
      <c r="D336" s="47" t="n">
        <v>4</v>
      </c>
      <c r="E336" s="47" t="n">
        <v>356000</v>
      </c>
      <c r="F336" s="47" t="n">
        <v>82720</v>
      </c>
    </row>
    <row r="337" customFormat="false" ht="15" hidden="false" customHeight="false" outlineLevel="0" collapsed="false">
      <c r="A337" s="0" t="s">
        <v>228</v>
      </c>
      <c r="B337" s="0" t="n">
        <v>300</v>
      </c>
      <c r="C337" s="0" t="str">
        <f aca="false">TEXT(VLOOKUP(B337,$I$2:$J$20,2,FALSE()),"0")</f>
        <v>300</v>
      </c>
      <c r="D337" s="47" t="n">
        <v>130</v>
      </c>
      <c r="E337" s="47" t="n">
        <v>11570000</v>
      </c>
      <c r="F337" s="47" t="n">
        <v>2688400</v>
      </c>
    </row>
    <row r="338" customFormat="false" ht="15" hidden="false" customHeight="false" outlineLevel="0" collapsed="false">
      <c r="A338" s="0" t="s">
        <v>228</v>
      </c>
      <c r="B338" s="0" t="n">
        <v>301</v>
      </c>
      <c r="C338" s="0" t="str">
        <f aca="false">TEXT(VLOOKUP(B338,$I$2:$J$20,2,FALSE()),"0")</f>
        <v>300</v>
      </c>
      <c r="D338" s="47" t="n">
        <v>100</v>
      </c>
      <c r="E338" s="47" t="n">
        <v>8900000</v>
      </c>
      <c r="F338" s="47" t="n">
        <v>2068000</v>
      </c>
    </row>
    <row r="339" customFormat="false" ht="15" hidden="false" customHeight="false" outlineLevel="0" collapsed="false">
      <c r="A339" s="0" t="s">
        <v>228</v>
      </c>
      <c r="B339" s="0" t="n">
        <v>600</v>
      </c>
      <c r="C339" s="0" t="str">
        <f aca="false">TEXT(VLOOKUP(B339,$I$2:$J$20,2,FALSE()),"0")</f>
        <v>600</v>
      </c>
      <c r="D339" s="47" t="n">
        <v>90</v>
      </c>
      <c r="E339" s="47" t="n">
        <v>8010000</v>
      </c>
      <c r="F339" s="47" t="n">
        <v>1861200</v>
      </c>
    </row>
    <row r="340" customFormat="false" ht="15" hidden="false" customHeight="false" outlineLevel="0" collapsed="false">
      <c r="A340" s="0" t="s">
        <v>228</v>
      </c>
      <c r="B340" s="0" t="n">
        <v>700</v>
      </c>
      <c r="C340" s="0" t="str">
        <f aca="false">TEXT(VLOOKUP(B340,$I$2:$J$20,2,FALSE()),"0")</f>
        <v>700</v>
      </c>
      <c r="D340" s="47" t="n">
        <v>175</v>
      </c>
      <c r="E340" s="47" t="n">
        <v>15575000</v>
      </c>
      <c r="F340" s="47" t="n">
        <v>3619000</v>
      </c>
    </row>
    <row r="341" customFormat="false" ht="15" hidden="false" customHeight="false" outlineLevel="0" collapsed="false">
      <c r="A341" s="0" t="s">
        <v>228</v>
      </c>
      <c r="B341" s="0" t="n">
        <v>701</v>
      </c>
      <c r="C341" s="0" t="str">
        <f aca="false">TEXT(VLOOKUP(B341,$I$2:$J$20,2,FALSE()),"0")</f>
        <v>700</v>
      </c>
      <c r="D341" s="47" t="n">
        <v>110</v>
      </c>
      <c r="E341" s="47" t="n">
        <v>9790000</v>
      </c>
      <c r="F341" s="47" t="n">
        <v>2274800</v>
      </c>
    </row>
    <row r="342" customFormat="false" ht="15" hidden="false" customHeight="false" outlineLevel="0" collapsed="false">
      <c r="A342" s="0" t="s">
        <v>228</v>
      </c>
      <c r="B342" s="0" t="n">
        <v>799</v>
      </c>
      <c r="C342" s="0" t="str">
        <f aca="false">TEXT(VLOOKUP(B342,$I$2:$J$20,2,FALSE()),"0")</f>
        <v>700</v>
      </c>
      <c r="D342" s="47" t="n">
        <v>3</v>
      </c>
      <c r="E342" s="47" t="n">
        <v>267000</v>
      </c>
      <c r="F342" s="47" t="n">
        <v>62040</v>
      </c>
    </row>
    <row r="343" customFormat="false" ht="15" hidden="false" customHeight="false" outlineLevel="0" collapsed="false">
      <c r="A343" s="0" t="s">
        <v>228</v>
      </c>
      <c r="B343" s="0" t="n">
        <v>800</v>
      </c>
      <c r="C343" s="0" t="str">
        <f aca="false">TEXT(VLOOKUP(B343,$I$2:$J$20,2,FALSE()),"0")</f>
        <v>800</v>
      </c>
      <c r="D343" s="47" t="n">
        <v>85</v>
      </c>
      <c r="E343" s="47" t="n">
        <v>7565000</v>
      </c>
      <c r="F343" s="47" t="n">
        <v>1757800</v>
      </c>
    </row>
    <row r="344" customFormat="false" ht="15" hidden="false" customHeight="false" outlineLevel="0" collapsed="false">
      <c r="A344" s="0" t="s">
        <v>230</v>
      </c>
      <c r="B344" s="0" t="n">
        <v>100</v>
      </c>
      <c r="C344" s="0" t="str">
        <f aca="false">TEXT(VLOOKUP(B344,$I$2:$J$20,2,FALSE()),"0")</f>
        <v>100</v>
      </c>
      <c r="D344" s="47" t="n">
        <v>390</v>
      </c>
      <c r="E344" s="47" t="n">
        <v>42510000</v>
      </c>
      <c r="F344" s="47" t="n">
        <v>9448140</v>
      </c>
    </row>
    <row r="345" customFormat="false" ht="15" hidden="false" customHeight="false" outlineLevel="0" collapsed="false">
      <c r="A345" s="0" t="s">
        <v>230</v>
      </c>
      <c r="B345" s="0" t="n">
        <v>200</v>
      </c>
      <c r="C345" s="0" t="str">
        <f aca="false">TEXT(VLOOKUP(B345,$I$2:$J$20,2,FALSE()),"0")</f>
        <v>200</v>
      </c>
      <c r="D345" s="47" t="n">
        <v>1195</v>
      </c>
      <c r="E345" s="47" t="n">
        <v>130255000</v>
      </c>
      <c r="F345" s="47" t="n">
        <v>28950070</v>
      </c>
    </row>
    <row r="346" customFormat="false" ht="15" hidden="false" customHeight="false" outlineLevel="0" collapsed="false">
      <c r="A346" s="0" t="s">
        <v>230</v>
      </c>
      <c r="B346" s="0" t="n">
        <v>299</v>
      </c>
      <c r="C346" s="0" t="str">
        <f aca="false">TEXT(VLOOKUP(B346,$I$2:$J$20,2,FALSE()),"0")</f>
        <v>200</v>
      </c>
      <c r="D346" s="47" t="n">
        <v>4</v>
      </c>
      <c r="E346" s="47" t="n">
        <v>436000</v>
      </c>
      <c r="F346" s="47" t="n">
        <v>96904</v>
      </c>
    </row>
    <row r="347" customFormat="false" ht="15" hidden="false" customHeight="false" outlineLevel="0" collapsed="false">
      <c r="A347" s="0" t="s">
        <v>230</v>
      </c>
      <c r="B347" s="0" t="n">
        <v>300</v>
      </c>
      <c r="C347" s="0" t="str">
        <f aca="false">TEXT(VLOOKUP(B347,$I$2:$J$20,2,FALSE()),"0")</f>
        <v>300</v>
      </c>
      <c r="D347" s="47" t="n">
        <v>300</v>
      </c>
      <c r="E347" s="47" t="n">
        <v>32700000</v>
      </c>
      <c r="F347" s="47" t="n">
        <v>7267800</v>
      </c>
    </row>
    <row r="348" customFormat="false" ht="15" hidden="false" customHeight="false" outlineLevel="0" collapsed="false">
      <c r="A348" s="0" t="s">
        <v>230</v>
      </c>
      <c r="B348" s="0" t="n">
        <v>600</v>
      </c>
      <c r="C348" s="0" t="str">
        <f aca="false">TEXT(VLOOKUP(B348,$I$2:$J$20,2,FALSE()),"0")</f>
        <v>600</v>
      </c>
      <c r="D348" s="47" t="n">
        <v>55</v>
      </c>
      <c r="E348" s="47" t="n">
        <v>5995000</v>
      </c>
      <c r="F348" s="47" t="n">
        <v>1332430</v>
      </c>
    </row>
    <row r="349" customFormat="false" ht="15" hidden="false" customHeight="false" outlineLevel="0" collapsed="false">
      <c r="A349" s="0" t="s">
        <v>230</v>
      </c>
      <c r="B349" s="0" t="n">
        <v>601</v>
      </c>
      <c r="C349" s="0" t="str">
        <f aca="false">TEXT(VLOOKUP(B349,$I$2:$J$20,2,FALSE()),"0")</f>
        <v>600</v>
      </c>
      <c r="D349" s="47" t="n">
        <v>60</v>
      </c>
      <c r="E349" s="47" t="n">
        <v>6540000</v>
      </c>
      <c r="F349" s="47" t="n">
        <v>1453560</v>
      </c>
    </row>
    <row r="350" customFormat="false" ht="15" hidden="false" customHeight="false" outlineLevel="0" collapsed="false">
      <c r="A350" s="0" t="s">
        <v>230</v>
      </c>
      <c r="B350" s="0" t="n">
        <v>700</v>
      </c>
      <c r="C350" s="0" t="str">
        <f aca="false">TEXT(VLOOKUP(B350,$I$2:$J$20,2,FALSE()),"0")</f>
        <v>700</v>
      </c>
      <c r="D350" s="47" t="n">
        <v>125</v>
      </c>
      <c r="E350" s="47" t="n">
        <v>13625000</v>
      </c>
      <c r="F350" s="47" t="n">
        <v>3028250</v>
      </c>
    </row>
    <row r="351" customFormat="false" ht="15" hidden="false" customHeight="false" outlineLevel="0" collapsed="false">
      <c r="A351" s="0" t="s">
        <v>230</v>
      </c>
      <c r="B351" s="0" t="n">
        <v>701</v>
      </c>
      <c r="C351" s="0" t="str">
        <f aca="false">TEXT(VLOOKUP(B351,$I$2:$J$20,2,FALSE()),"0")</f>
        <v>700</v>
      </c>
      <c r="D351" s="47" t="n">
        <v>110</v>
      </c>
      <c r="E351" s="47" t="n">
        <v>11990000</v>
      </c>
      <c r="F351" s="47" t="n">
        <v>2664860</v>
      </c>
    </row>
    <row r="352" customFormat="false" ht="15" hidden="false" customHeight="false" outlineLevel="0" collapsed="false">
      <c r="A352" s="0" t="s">
        <v>230</v>
      </c>
      <c r="B352" s="0" t="n">
        <v>799</v>
      </c>
      <c r="C352" s="0" t="str">
        <f aca="false">TEXT(VLOOKUP(B352,$I$2:$J$20,2,FALSE()),"0")</f>
        <v>700</v>
      </c>
      <c r="D352" s="47" t="n">
        <v>2</v>
      </c>
      <c r="E352" s="47" t="n">
        <v>218000</v>
      </c>
      <c r="F352" s="47" t="n">
        <v>48452</v>
      </c>
    </row>
    <row r="353" customFormat="false" ht="15" hidden="false" customHeight="false" outlineLevel="0" collapsed="false">
      <c r="A353" s="0" t="s">
        <v>1288</v>
      </c>
      <c r="B353" s="0" t="n">
        <v>600</v>
      </c>
      <c r="C353" s="0" t="str">
        <f aca="false">TEXT(VLOOKUP(B353,$I$2:$J$20,2,FALSE()),"0")</f>
        <v>600</v>
      </c>
      <c r="D353" s="47" t="n">
        <v>40</v>
      </c>
      <c r="E353" s="47" t="n">
        <v>4360000</v>
      </c>
      <c r="F353" s="47" t="n">
        <v>716000</v>
      </c>
    </row>
    <row r="354" customFormat="false" ht="15" hidden="false" customHeight="false" outlineLevel="0" collapsed="false">
      <c r="A354" s="0" t="s">
        <v>1288</v>
      </c>
      <c r="B354" s="0" t="n">
        <v>810</v>
      </c>
      <c r="C354" s="0" t="str">
        <f aca="false">TEXT(VLOOKUP(B354,$I$2:$J$20,2,FALSE()),"0")</f>
        <v>810</v>
      </c>
      <c r="D354" s="47" t="n">
        <v>216</v>
      </c>
      <c r="E354" s="47" t="n">
        <v>23544000</v>
      </c>
      <c r="F354" s="47" t="n">
        <v>3866400</v>
      </c>
    </row>
    <row r="355" customFormat="false" ht="15" hidden="false" customHeight="false" outlineLevel="0" collapsed="false">
      <c r="A355" s="0" t="s">
        <v>1290</v>
      </c>
      <c r="B355" s="0" t="n">
        <v>600</v>
      </c>
      <c r="C355" s="0" t="str">
        <f aca="false">TEXT(VLOOKUP(B355,$I$2:$J$20,2,FALSE()),"0")</f>
        <v>600</v>
      </c>
      <c r="D355" s="47" t="n">
        <v>10</v>
      </c>
      <c r="E355" s="47" t="n">
        <v>1090000</v>
      </c>
      <c r="F355" s="47" t="n">
        <v>248000</v>
      </c>
    </row>
    <row r="356" customFormat="false" ht="15" hidden="false" customHeight="false" outlineLevel="0" collapsed="false">
      <c r="A356" s="0" t="s">
        <v>1290</v>
      </c>
      <c r="B356" s="0" t="n">
        <v>700</v>
      </c>
      <c r="C356" s="0" t="str">
        <f aca="false">TEXT(VLOOKUP(B356,$I$2:$J$20,2,FALSE()),"0")</f>
        <v>700</v>
      </c>
      <c r="D356" s="47" t="n">
        <v>90</v>
      </c>
      <c r="E356" s="47" t="n">
        <v>9810000</v>
      </c>
      <c r="F356" s="47" t="n">
        <v>2232000</v>
      </c>
    </row>
    <row r="357" customFormat="false" ht="15" hidden="false" customHeight="false" outlineLevel="0" collapsed="false">
      <c r="A357" s="0" t="s">
        <v>1290</v>
      </c>
      <c r="B357" s="0" t="n">
        <v>799</v>
      </c>
      <c r="C357" s="0" t="str">
        <f aca="false">TEXT(VLOOKUP(B357,$I$2:$J$20,2,FALSE()),"0")</f>
        <v>700</v>
      </c>
      <c r="D357" s="47" t="n">
        <v>2</v>
      </c>
      <c r="E357" s="47" t="n">
        <v>218000</v>
      </c>
      <c r="F357" s="47" t="n">
        <v>49600</v>
      </c>
    </row>
    <row r="358" customFormat="false" ht="15" hidden="false" customHeight="false" outlineLevel="0" collapsed="false">
      <c r="A358" s="0" t="s">
        <v>820</v>
      </c>
      <c r="B358" s="0" t="n">
        <v>100</v>
      </c>
      <c r="C358" s="0" t="str">
        <f aca="false">TEXT(VLOOKUP(B358,$I$2:$J$20,2,FALSE()),"0")</f>
        <v>100</v>
      </c>
      <c r="D358" s="47" t="n">
        <v>100</v>
      </c>
      <c r="E358" s="47" t="n">
        <v>15900000</v>
      </c>
      <c r="F358" s="47" t="n">
        <v>3522300</v>
      </c>
    </row>
    <row r="359" customFormat="false" ht="15" hidden="false" customHeight="false" outlineLevel="0" collapsed="false">
      <c r="A359" s="0" t="s">
        <v>820</v>
      </c>
      <c r="B359" s="0" t="n">
        <v>200</v>
      </c>
      <c r="C359" s="0" t="str">
        <f aca="false">TEXT(VLOOKUP(B359,$I$2:$J$20,2,FALSE()),"0")</f>
        <v>200</v>
      </c>
      <c r="D359" s="47" t="n">
        <v>140</v>
      </c>
      <c r="E359" s="47" t="n">
        <v>22260000</v>
      </c>
      <c r="F359" s="47" t="n">
        <v>4931220</v>
      </c>
    </row>
    <row r="360" customFormat="false" ht="15" hidden="false" customHeight="false" outlineLevel="0" collapsed="false">
      <c r="A360" s="0" t="s">
        <v>820</v>
      </c>
      <c r="B360" s="0" t="n">
        <v>299</v>
      </c>
      <c r="C360" s="0" t="str">
        <f aca="false">TEXT(VLOOKUP(B360,$I$2:$J$20,2,FALSE()),"0")</f>
        <v>200</v>
      </c>
      <c r="D360" s="47" t="n">
        <v>2</v>
      </c>
      <c r="E360" s="47" t="n">
        <v>318000</v>
      </c>
      <c r="F360" s="47" t="n">
        <v>70446</v>
      </c>
    </row>
    <row r="361" customFormat="false" ht="15" hidden="false" customHeight="false" outlineLevel="0" collapsed="false">
      <c r="A361" s="0" t="s">
        <v>1673</v>
      </c>
      <c r="B361" s="0" t="n">
        <v>800</v>
      </c>
      <c r="C361" s="0" t="str">
        <f aca="false">TEXT(VLOOKUP(B361,$I$2:$J$20,2,FALSE()),"0")</f>
        <v>800</v>
      </c>
      <c r="D361" s="47" t="n">
        <v>40</v>
      </c>
      <c r="E361" s="47" t="n">
        <v>5560000</v>
      </c>
      <c r="F361" s="47" t="n">
        <v>1116000</v>
      </c>
    </row>
    <row r="362" customFormat="false" ht="15" hidden="false" customHeight="false" outlineLevel="0" collapsed="false">
      <c r="A362" s="0" t="s">
        <v>232</v>
      </c>
      <c r="B362" s="0" t="n">
        <v>100</v>
      </c>
      <c r="C362" s="0" t="str">
        <f aca="false">TEXT(VLOOKUP(B362,$I$2:$J$20,2,FALSE()),"0")</f>
        <v>100</v>
      </c>
      <c r="D362" s="47" t="n">
        <v>180</v>
      </c>
      <c r="E362" s="47" t="n">
        <v>26820000</v>
      </c>
      <c r="F362" s="47" t="n">
        <v>5078520</v>
      </c>
    </row>
    <row r="363" customFormat="false" ht="15" hidden="false" customHeight="false" outlineLevel="0" collapsed="false">
      <c r="A363" s="0" t="s">
        <v>232</v>
      </c>
      <c r="B363" s="0" t="n">
        <v>200</v>
      </c>
      <c r="C363" s="0" t="str">
        <f aca="false">TEXT(VLOOKUP(B363,$I$2:$J$20,2,FALSE()),"0")</f>
        <v>200</v>
      </c>
      <c r="D363" s="47" t="n">
        <v>100</v>
      </c>
      <c r="E363" s="47" t="n">
        <v>14900000</v>
      </c>
      <c r="F363" s="47" t="n">
        <v>2821400</v>
      </c>
    </row>
    <row r="364" customFormat="false" ht="15" hidden="false" customHeight="false" outlineLevel="0" collapsed="false">
      <c r="A364" s="0" t="s">
        <v>232</v>
      </c>
      <c r="B364" s="0" t="n">
        <v>299</v>
      </c>
      <c r="C364" s="0" t="str">
        <f aca="false">TEXT(VLOOKUP(B364,$I$2:$J$20,2,FALSE()),"0")</f>
        <v>200</v>
      </c>
      <c r="D364" s="47" t="n">
        <v>1</v>
      </c>
      <c r="E364" s="47" t="n">
        <v>149000</v>
      </c>
      <c r="F364" s="47" t="n">
        <v>28214</v>
      </c>
    </row>
    <row r="365" customFormat="false" ht="15" hidden="false" customHeight="false" outlineLevel="0" collapsed="false">
      <c r="A365" s="0" t="s">
        <v>232</v>
      </c>
      <c r="B365" s="0" t="n">
        <v>300</v>
      </c>
      <c r="C365" s="0" t="str">
        <f aca="false">TEXT(VLOOKUP(B365,$I$2:$J$20,2,FALSE()),"0")</f>
        <v>300</v>
      </c>
      <c r="D365" s="47" t="n">
        <v>200</v>
      </c>
      <c r="E365" s="47" t="n">
        <v>29800000</v>
      </c>
      <c r="F365" s="47" t="n">
        <v>5642800</v>
      </c>
    </row>
    <row r="366" customFormat="false" ht="15" hidden="false" customHeight="false" outlineLevel="0" collapsed="false">
      <c r="A366" s="0" t="s">
        <v>232</v>
      </c>
      <c r="B366" s="0" t="n">
        <v>600</v>
      </c>
      <c r="C366" s="0" t="str">
        <f aca="false">TEXT(VLOOKUP(B366,$I$2:$J$20,2,FALSE()),"0")</f>
        <v>600</v>
      </c>
      <c r="D366" s="47" t="n">
        <v>35</v>
      </c>
      <c r="E366" s="47" t="n">
        <v>5215000</v>
      </c>
      <c r="F366" s="47" t="n">
        <v>987490</v>
      </c>
    </row>
    <row r="367" customFormat="false" ht="15" hidden="false" customHeight="false" outlineLevel="0" collapsed="false">
      <c r="A367" s="0" t="s">
        <v>232</v>
      </c>
      <c r="B367" s="0" t="n">
        <v>700</v>
      </c>
      <c r="C367" s="0" t="str">
        <f aca="false">TEXT(VLOOKUP(B367,$I$2:$J$20,2,FALSE()),"0")</f>
        <v>700</v>
      </c>
      <c r="D367" s="47" t="n">
        <v>50</v>
      </c>
      <c r="E367" s="47" t="n">
        <v>7450000</v>
      </c>
      <c r="F367" s="47" t="n">
        <v>1410700</v>
      </c>
    </row>
    <row r="368" customFormat="false" ht="15" hidden="false" customHeight="false" outlineLevel="0" collapsed="false">
      <c r="A368" s="0" t="s">
        <v>232</v>
      </c>
      <c r="B368" s="0" t="n">
        <v>799</v>
      </c>
      <c r="C368" s="0" t="str">
        <f aca="false">TEXT(VLOOKUP(B368,$I$2:$J$20,2,FALSE()),"0")</f>
        <v>700</v>
      </c>
      <c r="D368" s="47" t="n">
        <v>1</v>
      </c>
      <c r="E368" s="47" t="n">
        <v>149000</v>
      </c>
      <c r="F368" s="47" t="n">
        <v>28214</v>
      </c>
    </row>
    <row r="369" customFormat="false" ht="15" hidden="false" customHeight="false" outlineLevel="0" collapsed="false">
      <c r="A369" s="0" t="s">
        <v>234</v>
      </c>
      <c r="B369" s="0" t="n">
        <v>100</v>
      </c>
      <c r="C369" s="0" t="str">
        <f aca="false">TEXT(VLOOKUP(B369,$I$2:$J$20,2,FALSE()),"0")</f>
        <v>100</v>
      </c>
      <c r="D369" s="47" t="n">
        <v>750</v>
      </c>
      <c r="E369" s="47" t="n">
        <v>44250000</v>
      </c>
      <c r="F369" s="47" t="n">
        <v>11025000</v>
      </c>
    </row>
    <row r="370" customFormat="false" ht="15" hidden="false" customHeight="false" outlineLevel="0" collapsed="false">
      <c r="A370" s="0" t="s">
        <v>234</v>
      </c>
      <c r="B370" s="0" t="n">
        <v>300</v>
      </c>
      <c r="C370" s="0" t="str">
        <f aca="false">TEXT(VLOOKUP(B370,$I$2:$J$20,2,FALSE()),"0")</f>
        <v>300</v>
      </c>
      <c r="D370" s="47" t="n">
        <v>370</v>
      </c>
      <c r="E370" s="47" t="n">
        <v>21830000</v>
      </c>
      <c r="F370" s="47" t="n">
        <v>5439000</v>
      </c>
    </row>
    <row r="371" customFormat="false" ht="15" hidden="false" customHeight="false" outlineLevel="0" collapsed="false">
      <c r="A371" s="0" t="s">
        <v>234</v>
      </c>
      <c r="B371" s="0" t="n">
        <v>600</v>
      </c>
      <c r="C371" s="0" t="str">
        <f aca="false">TEXT(VLOOKUP(B371,$I$2:$J$20,2,FALSE()),"0")</f>
        <v>600</v>
      </c>
      <c r="D371" s="47" t="n">
        <v>60</v>
      </c>
      <c r="E371" s="47" t="n">
        <v>3540000</v>
      </c>
      <c r="F371" s="47" t="n">
        <v>882000</v>
      </c>
    </row>
    <row r="372" customFormat="false" ht="15" hidden="false" customHeight="false" outlineLevel="0" collapsed="false">
      <c r="A372" s="0" t="s">
        <v>1674</v>
      </c>
      <c r="B372" s="0" t="n">
        <v>800</v>
      </c>
      <c r="C372" s="0" t="str">
        <f aca="false">TEXT(VLOOKUP(B372,$I$2:$J$20,2,FALSE()),"0")</f>
        <v>800</v>
      </c>
      <c r="D372" s="47" t="n">
        <v>60</v>
      </c>
      <c r="E372" s="47" t="n">
        <v>4140000</v>
      </c>
      <c r="F372" s="47" t="n">
        <v>1002000</v>
      </c>
    </row>
    <row r="373" customFormat="false" ht="15" hidden="false" customHeight="false" outlineLevel="0" collapsed="false">
      <c r="A373" s="0" t="s">
        <v>236</v>
      </c>
      <c r="B373" s="0" t="n">
        <v>100</v>
      </c>
      <c r="C373" s="0" t="str">
        <f aca="false">TEXT(VLOOKUP(B373,$I$2:$J$20,2,FALSE()),"0")</f>
        <v>100</v>
      </c>
      <c r="D373" s="47" t="n">
        <v>80</v>
      </c>
      <c r="E373" s="47" t="n">
        <v>6320000</v>
      </c>
      <c r="F373" s="47" t="n">
        <v>1778720</v>
      </c>
    </row>
    <row r="374" customFormat="false" ht="15" hidden="false" customHeight="false" outlineLevel="0" collapsed="false">
      <c r="A374" s="0" t="s">
        <v>236</v>
      </c>
      <c r="B374" s="0" t="n">
        <v>200</v>
      </c>
      <c r="C374" s="0" t="str">
        <f aca="false">TEXT(VLOOKUP(B374,$I$2:$J$20,2,FALSE()),"0")</f>
        <v>200</v>
      </c>
      <c r="D374" s="47" t="n">
        <v>200</v>
      </c>
      <c r="E374" s="47" t="n">
        <v>15800000</v>
      </c>
      <c r="F374" s="47" t="n">
        <v>4446800</v>
      </c>
    </row>
    <row r="375" customFormat="false" ht="15" hidden="false" customHeight="false" outlineLevel="0" collapsed="false">
      <c r="A375" s="0" t="s">
        <v>236</v>
      </c>
      <c r="B375" s="0" t="n">
        <v>299</v>
      </c>
      <c r="C375" s="0" t="str">
        <f aca="false">TEXT(VLOOKUP(B375,$I$2:$J$20,2,FALSE()),"0")</f>
        <v>200</v>
      </c>
      <c r="D375" s="47" t="n">
        <v>2</v>
      </c>
      <c r="E375" s="47" t="n">
        <v>158000</v>
      </c>
      <c r="F375" s="47" t="n">
        <v>44468</v>
      </c>
    </row>
    <row r="376" customFormat="false" ht="15" hidden="false" customHeight="false" outlineLevel="0" collapsed="false">
      <c r="A376" s="0" t="s">
        <v>236</v>
      </c>
      <c r="B376" s="0" t="n">
        <v>300</v>
      </c>
      <c r="C376" s="0" t="str">
        <f aca="false">TEXT(VLOOKUP(B376,$I$2:$J$20,2,FALSE()),"0")</f>
        <v>300</v>
      </c>
      <c r="D376" s="47" t="n">
        <v>350</v>
      </c>
      <c r="E376" s="47" t="n">
        <v>27650000</v>
      </c>
      <c r="F376" s="47" t="n">
        <v>7781900</v>
      </c>
    </row>
    <row r="377" customFormat="false" ht="15" hidden="false" customHeight="false" outlineLevel="0" collapsed="false">
      <c r="A377" s="0" t="s">
        <v>238</v>
      </c>
      <c r="B377" s="0" t="n">
        <v>100</v>
      </c>
      <c r="C377" s="0" t="str">
        <f aca="false">TEXT(VLOOKUP(B377,$I$2:$J$20,2,FALSE()),"0")</f>
        <v>100</v>
      </c>
      <c r="D377" s="47" t="n">
        <v>80</v>
      </c>
      <c r="E377" s="47" t="n">
        <v>6320000</v>
      </c>
      <c r="F377" s="47" t="n">
        <v>1385760</v>
      </c>
    </row>
    <row r="378" customFormat="false" ht="15" hidden="false" customHeight="false" outlineLevel="0" collapsed="false">
      <c r="A378" s="0" t="s">
        <v>238</v>
      </c>
      <c r="B378" s="0" t="n">
        <v>200</v>
      </c>
      <c r="C378" s="0" t="str">
        <f aca="false">TEXT(VLOOKUP(B378,$I$2:$J$20,2,FALSE()),"0")</f>
        <v>200</v>
      </c>
      <c r="D378" s="47" t="n">
        <v>240</v>
      </c>
      <c r="E378" s="47" t="n">
        <v>18960000</v>
      </c>
      <c r="F378" s="47" t="n">
        <v>4157280</v>
      </c>
    </row>
    <row r="379" customFormat="false" ht="15" hidden="false" customHeight="false" outlineLevel="0" collapsed="false">
      <c r="A379" s="0" t="s">
        <v>238</v>
      </c>
      <c r="B379" s="0" t="n">
        <v>299</v>
      </c>
      <c r="C379" s="0" t="str">
        <f aca="false">TEXT(VLOOKUP(B379,$I$2:$J$20,2,FALSE()),"0")</f>
        <v>200</v>
      </c>
      <c r="D379" s="47" t="n">
        <v>2</v>
      </c>
      <c r="E379" s="47" t="n">
        <v>158000</v>
      </c>
      <c r="F379" s="47" t="n">
        <v>34644</v>
      </c>
    </row>
    <row r="380" customFormat="false" ht="15" hidden="false" customHeight="false" outlineLevel="0" collapsed="false">
      <c r="A380" s="0" t="s">
        <v>238</v>
      </c>
      <c r="B380" s="0" t="n">
        <v>300</v>
      </c>
      <c r="C380" s="0" t="str">
        <f aca="false">TEXT(VLOOKUP(B380,$I$2:$J$20,2,FALSE()),"0")</f>
        <v>300</v>
      </c>
      <c r="D380" s="47" t="n">
        <v>150</v>
      </c>
      <c r="E380" s="47" t="n">
        <v>11850000</v>
      </c>
      <c r="F380" s="47" t="n">
        <v>2598300</v>
      </c>
    </row>
    <row r="381" customFormat="false" ht="15" hidden="false" customHeight="false" outlineLevel="0" collapsed="false">
      <c r="A381" s="0" t="s">
        <v>240</v>
      </c>
      <c r="B381" s="0" t="n">
        <v>100</v>
      </c>
      <c r="C381" s="0" t="str">
        <f aca="false">TEXT(VLOOKUP(B381,$I$2:$J$20,2,FALSE()),"0")</f>
        <v>100</v>
      </c>
      <c r="D381" s="47" t="n">
        <v>210</v>
      </c>
      <c r="E381" s="47" t="n">
        <v>14490000</v>
      </c>
      <c r="F381" s="47" t="n">
        <v>3482640</v>
      </c>
    </row>
    <row r="382" customFormat="false" ht="15" hidden="false" customHeight="false" outlineLevel="0" collapsed="false">
      <c r="A382" s="0" t="s">
        <v>240</v>
      </c>
      <c r="B382" s="0" t="n">
        <v>200</v>
      </c>
      <c r="C382" s="0" t="str">
        <f aca="false">TEXT(VLOOKUP(B382,$I$2:$J$20,2,FALSE()),"0")</f>
        <v>200</v>
      </c>
      <c r="D382" s="47" t="n">
        <v>200</v>
      </c>
      <c r="E382" s="47" t="n">
        <v>13800000</v>
      </c>
      <c r="F382" s="47" t="n">
        <v>3316800</v>
      </c>
    </row>
    <row r="383" customFormat="false" ht="15" hidden="false" customHeight="false" outlineLevel="0" collapsed="false">
      <c r="A383" s="0" t="s">
        <v>240</v>
      </c>
      <c r="B383" s="0" t="n">
        <v>299</v>
      </c>
      <c r="C383" s="0" t="str">
        <f aca="false">TEXT(VLOOKUP(B383,$I$2:$J$20,2,FALSE()),"0")</f>
        <v>200</v>
      </c>
      <c r="D383" s="47" t="n">
        <v>2</v>
      </c>
      <c r="E383" s="47" t="n">
        <v>138000</v>
      </c>
      <c r="F383" s="47" t="n">
        <v>33168</v>
      </c>
    </row>
    <row r="384" customFormat="false" ht="15" hidden="false" customHeight="false" outlineLevel="0" collapsed="false">
      <c r="A384" s="0" t="s">
        <v>240</v>
      </c>
      <c r="B384" s="0" t="n">
        <v>300</v>
      </c>
      <c r="C384" s="0" t="str">
        <f aca="false">TEXT(VLOOKUP(B384,$I$2:$J$20,2,FALSE()),"0")</f>
        <v>300</v>
      </c>
      <c r="D384" s="47" t="n">
        <v>400</v>
      </c>
      <c r="E384" s="47" t="n">
        <v>27600000</v>
      </c>
      <c r="F384" s="47" t="n">
        <v>6633600</v>
      </c>
    </row>
    <row r="385" customFormat="false" ht="15" hidden="false" customHeight="false" outlineLevel="0" collapsed="false">
      <c r="A385" s="0" t="s">
        <v>240</v>
      </c>
      <c r="B385" s="0" t="n">
        <v>500</v>
      </c>
      <c r="C385" s="0" t="str">
        <f aca="false">TEXT(VLOOKUP(B385,$I$2:$J$20,2,FALSE()),"0")</f>
        <v>500</v>
      </c>
      <c r="D385" s="47" t="n">
        <v>75</v>
      </c>
      <c r="E385" s="47" t="n">
        <v>5175000</v>
      </c>
      <c r="F385" s="47" t="n">
        <v>1243800</v>
      </c>
    </row>
    <row r="386" customFormat="false" ht="15" hidden="false" customHeight="false" outlineLevel="0" collapsed="false">
      <c r="A386" s="0" t="s">
        <v>240</v>
      </c>
      <c r="B386" s="0" t="n">
        <v>600</v>
      </c>
      <c r="C386" s="0" t="str">
        <f aca="false">TEXT(VLOOKUP(B386,$I$2:$J$20,2,FALSE()),"0")</f>
        <v>600</v>
      </c>
      <c r="D386" s="47" t="n">
        <v>120</v>
      </c>
      <c r="E386" s="47" t="n">
        <v>8280000</v>
      </c>
      <c r="F386" s="47" t="n">
        <v>1990080</v>
      </c>
    </row>
    <row r="387" customFormat="false" ht="15" hidden="false" customHeight="false" outlineLevel="0" collapsed="false">
      <c r="A387" s="0" t="s">
        <v>240</v>
      </c>
      <c r="B387" s="0" t="n">
        <v>810</v>
      </c>
      <c r="C387" s="0" t="str">
        <f aca="false">TEXT(VLOOKUP(B387,$I$2:$J$20,2,FALSE()),"0")</f>
        <v>810</v>
      </c>
      <c r="D387" s="47" t="n">
        <v>432</v>
      </c>
      <c r="E387" s="47" t="n">
        <v>29808000</v>
      </c>
      <c r="F387" s="47" t="n">
        <v>7164288</v>
      </c>
    </row>
    <row r="388" customFormat="false" ht="15" hidden="false" customHeight="false" outlineLevel="0" collapsed="false">
      <c r="A388" s="0" t="s">
        <v>822</v>
      </c>
      <c r="B388" s="0" t="n">
        <v>100</v>
      </c>
      <c r="C388" s="0" t="str">
        <f aca="false">TEXT(VLOOKUP(B388,$I$2:$J$20,2,FALSE()),"0")</f>
        <v>100</v>
      </c>
      <c r="D388" s="47" t="n">
        <v>340</v>
      </c>
      <c r="E388" s="47" t="n">
        <v>20060000</v>
      </c>
      <c r="F388" s="47" t="n">
        <v>4998000</v>
      </c>
    </row>
    <row r="389" customFormat="false" ht="15" hidden="false" customHeight="false" outlineLevel="0" collapsed="false">
      <c r="A389" s="0" t="s">
        <v>822</v>
      </c>
      <c r="B389" s="0" t="n">
        <v>800</v>
      </c>
      <c r="C389" s="0" t="str">
        <f aca="false">TEXT(VLOOKUP(B389,$I$2:$J$20,2,FALSE()),"0")</f>
        <v>800</v>
      </c>
      <c r="D389" s="47" t="n">
        <v>90</v>
      </c>
      <c r="E389" s="47" t="n">
        <v>5310000</v>
      </c>
      <c r="F389" s="47" t="n">
        <v>1323000</v>
      </c>
    </row>
    <row r="390" customFormat="false" ht="15" hidden="false" customHeight="false" outlineLevel="0" collapsed="false">
      <c r="A390" s="0" t="s">
        <v>242</v>
      </c>
      <c r="B390" s="0" t="n">
        <v>100</v>
      </c>
      <c r="C390" s="0" t="str">
        <f aca="false">TEXT(VLOOKUP(B390,$I$2:$J$20,2,FALSE()),"0")</f>
        <v>100</v>
      </c>
      <c r="D390" s="47" t="n">
        <v>80</v>
      </c>
      <c r="E390" s="47" t="n">
        <v>6320000</v>
      </c>
      <c r="F390" s="47" t="n">
        <v>1480000</v>
      </c>
    </row>
    <row r="391" customFormat="false" ht="15" hidden="false" customHeight="false" outlineLevel="0" collapsed="false">
      <c r="A391" s="0" t="s">
        <v>242</v>
      </c>
      <c r="B391" s="0" t="n">
        <v>300</v>
      </c>
      <c r="C391" s="0" t="str">
        <f aca="false">TEXT(VLOOKUP(B391,$I$2:$J$20,2,FALSE()),"0")</f>
        <v>300</v>
      </c>
      <c r="D391" s="47" t="n">
        <v>350</v>
      </c>
      <c r="E391" s="47" t="n">
        <v>27650000</v>
      </c>
      <c r="F391" s="47" t="n">
        <v>6475000</v>
      </c>
    </row>
    <row r="392" customFormat="false" ht="15" hidden="false" customHeight="false" outlineLevel="0" collapsed="false">
      <c r="A392" s="0" t="s">
        <v>242</v>
      </c>
      <c r="B392" s="0" t="n">
        <v>500</v>
      </c>
      <c r="C392" s="0" t="str">
        <f aca="false">TEXT(VLOOKUP(B392,$I$2:$J$20,2,FALSE()),"0")</f>
        <v>500</v>
      </c>
      <c r="D392" s="47" t="n">
        <v>50</v>
      </c>
      <c r="E392" s="47" t="n">
        <v>3950000</v>
      </c>
      <c r="F392" s="47" t="n">
        <v>925000</v>
      </c>
    </row>
    <row r="393" customFormat="false" ht="15" hidden="false" customHeight="false" outlineLevel="0" collapsed="false">
      <c r="A393" s="0" t="s">
        <v>242</v>
      </c>
      <c r="B393" s="0" t="n">
        <v>600</v>
      </c>
      <c r="C393" s="0" t="str">
        <f aca="false">TEXT(VLOOKUP(B393,$I$2:$J$20,2,FALSE()),"0")</f>
        <v>600</v>
      </c>
      <c r="D393" s="47" t="n">
        <v>100</v>
      </c>
      <c r="E393" s="47" t="n">
        <v>7900000</v>
      </c>
      <c r="F393" s="47" t="n">
        <v>1850000</v>
      </c>
    </row>
    <row r="394" customFormat="false" ht="15" hidden="false" customHeight="false" outlineLevel="0" collapsed="false">
      <c r="A394" s="0" t="s">
        <v>242</v>
      </c>
      <c r="B394" s="0" t="n">
        <v>700</v>
      </c>
      <c r="C394" s="0" t="str">
        <f aca="false">TEXT(VLOOKUP(B394,$I$2:$J$20,2,FALSE()),"0")</f>
        <v>700</v>
      </c>
      <c r="D394" s="47" t="n">
        <v>75</v>
      </c>
      <c r="E394" s="47" t="n">
        <v>5925000</v>
      </c>
      <c r="F394" s="47" t="n">
        <v>1387500</v>
      </c>
    </row>
    <row r="395" customFormat="false" ht="15" hidden="false" customHeight="false" outlineLevel="0" collapsed="false">
      <c r="A395" s="0" t="s">
        <v>242</v>
      </c>
      <c r="B395" s="0" t="n">
        <v>799</v>
      </c>
      <c r="C395" s="0" t="str">
        <f aca="false">TEXT(VLOOKUP(B395,$I$2:$J$20,2,FALSE()),"0")</f>
        <v>700</v>
      </c>
      <c r="D395" s="47" t="n">
        <v>1</v>
      </c>
      <c r="E395" s="47" t="n">
        <v>79000</v>
      </c>
      <c r="F395" s="47" t="n">
        <v>18500</v>
      </c>
    </row>
    <row r="396" customFormat="false" ht="15" hidden="false" customHeight="false" outlineLevel="0" collapsed="false">
      <c r="A396" s="0" t="s">
        <v>242</v>
      </c>
      <c r="B396" s="0" t="n">
        <v>800</v>
      </c>
      <c r="C396" s="0" t="str">
        <f aca="false">TEXT(VLOOKUP(B396,$I$2:$J$20,2,FALSE()),"0")</f>
        <v>800</v>
      </c>
      <c r="D396" s="47" t="n">
        <v>60</v>
      </c>
      <c r="E396" s="47" t="n">
        <v>4740000</v>
      </c>
      <c r="F396" s="47" t="n">
        <v>1110000</v>
      </c>
    </row>
    <row r="397" customFormat="false" ht="15" hidden="false" customHeight="false" outlineLevel="0" collapsed="false">
      <c r="A397" s="0" t="s">
        <v>824</v>
      </c>
      <c r="B397" s="0" t="n">
        <v>100</v>
      </c>
      <c r="C397" s="0" t="str">
        <f aca="false">TEXT(VLOOKUP(B397,$I$2:$J$20,2,FALSE()),"0")</f>
        <v>100</v>
      </c>
      <c r="D397" s="47" t="n">
        <v>340</v>
      </c>
      <c r="E397" s="47" t="n">
        <v>23460000</v>
      </c>
      <c r="F397" s="47" t="n">
        <v>5137060</v>
      </c>
    </row>
    <row r="398" customFormat="false" ht="15" hidden="false" customHeight="false" outlineLevel="0" collapsed="false">
      <c r="A398" s="0" t="s">
        <v>824</v>
      </c>
      <c r="B398" s="0" t="n">
        <v>800</v>
      </c>
      <c r="C398" s="0" t="str">
        <f aca="false">TEXT(VLOOKUP(B398,$I$2:$J$20,2,FALSE()),"0")</f>
        <v>800</v>
      </c>
      <c r="D398" s="47" t="n">
        <v>45</v>
      </c>
      <c r="E398" s="47" t="n">
        <v>3105000</v>
      </c>
      <c r="F398" s="47" t="n">
        <v>679905</v>
      </c>
    </row>
    <row r="399" customFormat="false" ht="15" hidden="false" customHeight="false" outlineLevel="0" collapsed="false">
      <c r="A399" s="0" t="s">
        <v>244</v>
      </c>
      <c r="B399" s="0" t="n">
        <v>100</v>
      </c>
      <c r="C399" s="0" t="str">
        <f aca="false">TEXT(VLOOKUP(B399,$I$2:$J$20,2,FALSE()),"0")</f>
        <v>100</v>
      </c>
      <c r="D399" s="47" t="n">
        <v>660</v>
      </c>
      <c r="E399" s="47" t="n">
        <v>52140000</v>
      </c>
      <c r="F399" s="47" t="n">
        <v>12359160</v>
      </c>
    </row>
    <row r="400" customFormat="false" ht="15" hidden="false" customHeight="false" outlineLevel="0" collapsed="false">
      <c r="A400" s="0" t="s">
        <v>244</v>
      </c>
      <c r="B400" s="0" t="n">
        <v>200</v>
      </c>
      <c r="C400" s="0" t="str">
        <f aca="false">TEXT(VLOOKUP(B400,$I$2:$J$20,2,FALSE()),"0")</f>
        <v>200</v>
      </c>
      <c r="D400" s="47" t="n">
        <v>1180</v>
      </c>
      <c r="E400" s="47" t="n">
        <v>93220000</v>
      </c>
      <c r="F400" s="47" t="n">
        <v>22096680</v>
      </c>
    </row>
    <row r="401" customFormat="false" ht="15" hidden="false" customHeight="false" outlineLevel="0" collapsed="false">
      <c r="A401" s="0" t="s">
        <v>244</v>
      </c>
      <c r="B401" s="0" t="n">
        <v>299</v>
      </c>
      <c r="C401" s="0" t="str">
        <f aca="false">TEXT(VLOOKUP(B401,$I$2:$J$20,2,FALSE()),"0")</f>
        <v>200</v>
      </c>
      <c r="D401" s="47" t="n">
        <v>4</v>
      </c>
      <c r="E401" s="47" t="n">
        <v>316000</v>
      </c>
      <c r="F401" s="47" t="n">
        <v>74904</v>
      </c>
    </row>
    <row r="402" customFormat="false" ht="15" hidden="false" customHeight="false" outlineLevel="0" collapsed="false">
      <c r="A402" s="0" t="s">
        <v>244</v>
      </c>
      <c r="B402" s="0" t="n">
        <v>300</v>
      </c>
      <c r="C402" s="0" t="str">
        <f aca="false">TEXT(VLOOKUP(B402,$I$2:$J$20,2,FALSE()),"0")</f>
        <v>300</v>
      </c>
      <c r="D402" s="47" t="n">
        <v>450</v>
      </c>
      <c r="E402" s="47" t="n">
        <v>35550000</v>
      </c>
      <c r="F402" s="47" t="n">
        <v>8426700</v>
      </c>
    </row>
    <row r="403" customFormat="false" ht="15" hidden="false" customHeight="false" outlineLevel="0" collapsed="false">
      <c r="A403" s="0" t="s">
        <v>244</v>
      </c>
      <c r="B403" s="0" t="n">
        <v>600</v>
      </c>
      <c r="C403" s="0" t="str">
        <f aca="false">TEXT(VLOOKUP(B403,$I$2:$J$20,2,FALSE()),"0")</f>
        <v>600</v>
      </c>
      <c r="D403" s="47" t="n">
        <v>40</v>
      </c>
      <c r="E403" s="47" t="n">
        <v>3160000</v>
      </c>
      <c r="F403" s="47" t="n">
        <v>749040</v>
      </c>
    </row>
    <row r="404" customFormat="false" ht="15" hidden="false" customHeight="false" outlineLevel="0" collapsed="false">
      <c r="A404" s="0" t="s">
        <v>244</v>
      </c>
      <c r="B404" s="0" t="n">
        <v>700</v>
      </c>
      <c r="C404" s="0" t="str">
        <f aca="false">TEXT(VLOOKUP(B404,$I$2:$J$20,2,FALSE()),"0")</f>
        <v>700</v>
      </c>
      <c r="D404" s="47" t="n">
        <v>175</v>
      </c>
      <c r="E404" s="47" t="n">
        <v>13825000</v>
      </c>
      <c r="F404" s="47" t="n">
        <v>3277050</v>
      </c>
    </row>
    <row r="405" customFormat="false" ht="15" hidden="false" customHeight="false" outlineLevel="0" collapsed="false">
      <c r="A405" s="0" t="s">
        <v>244</v>
      </c>
      <c r="B405" s="0" t="n">
        <v>799</v>
      </c>
      <c r="C405" s="0" t="str">
        <f aca="false">TEXT(VLOOKUP(B405,$I$2:$J$20,2,FALSE()),"0")</f>
        <v>700</v>
      </c>
      <c r="D405" s="47" t="n">
        <v>3</v>
      </c>
      <c r="E405" s="47" t="n">
        <v>237000</v>
      </c>
      <c r="F405" s="47" t="n">
        <v>56178</v>
      </c>
    </row>
    <row r="406" customFormat="false" ht="15" hidden="false" customHeight="false" outlineLevel="0" collapsed="false">
      <c r="A406" s="0" t="s">
        <v>244</v>
      </c>
      <c r="B406" s="0" t="n">
        <v>800</v>
      </c>
      <c r="C406" s="0" t="str">
        <f aca="false">TEXT(VLOOKUP(B406,$I$2:$J$20,2,FALSE()),"0")</f>
        <v>800</v>
      </c>
      <c r="D406" s="47" t="n">
        <v>95</v>
      </c>
      <c r="E406" s="47" t="n">
        <v>7505000</v>
      </c>
      <c r="F406" s="47" t="n">
        <v>1778970</v>
      </c>
    </row>
    <row r="407" customFormat="false" ht="15" hidden="false" customHeight="false" outlineLevel="0" collapsed="false">
      <c r="A407" s="0" t="s">
        <v>246</v>
      </c>
      <c r="B407" s="0" t="n">
        <v>100</v>
      </c>
      <c r="C407" s="0" t="str">
        <f aca="false">TEXT(VLOOKUP(B407,$I$2:$J$20,2,FALSE()),"0")</f>
        <v>100</v>
      </c>
      <c r="D407" s="47" t="n">
        <v>260</v>
      </c>
      <c r="E407" s="47" t="n">
        <v>20540000</v>
      </c>
      <c r="F407" s="47" t="n">
        <v>4680000</v>
      </c>
    </row>
    <row r="408" customFormat="false" ht="15" hidden="false" customHeight="false" outlineLevel="0" collapsed="false">
      <c r="A408" s="0" t="s">
        <v>246</v>
      </c>
      <c r="B408" s="0" t="n">
        <v>300</v>
      </c>
      <c r="C408" s="0" t="str">
        <f aca="false">TEXT(VLOOKUP(B408,$I$2:$J$20,2,FALSE()),"0")</f>
        <v>300</v>
      </c>
      <c r="D408" s="47" t="n">
        <v>350</v>
      </c>
      <c r="E408" s="47" t="n">
        <v>27650000</v>
      </c>
      <c r="F408" s="47" t="n">
        <v>6300000</v>
      </c>
    </row>
    <row r="409" customFormat="false" ht="15" hidden="false" customHeight="false" outlineLevel="0" collapsed="false">
      <c r="A409" s="0" t="s">
        <v>246</v>
      </c>
      <c r="B409" s="0" t="n">
        <v>600</v>
      </c>
      <c r="C409" s="0" t="str">
        <f aca="false">TEXT(VLOOKUP(B409,$I$2:$J$20,2,FALSE()),"0")</f>
        <v>600</v>
      </c>
      <c r="D409" s="47" t="n">
        <v>70</v>
      </c>
      <c r="E409" s="47" t="n">
        <v>5530000</v>
      </c>
      <c r="F409" s="47" t="n">
        <v>1260000</v>
      </c>
    </row>
    <row r="410" customFormat="false" ht="15" hidden="false" customHeight="false" outlineLevel="0" collapsed="false">
      <c r="A410" s="0" t="s">
        <v>246</v>
      </c>
      <c r="B410" s="0" t="n">
        <v>810</v>
      </c>
      <c r="C410" s="0" t="str">
        <f aca="false">TEXT(VLOOKUP(B410,$I$2:$J$20,2,FALSE()),"0")</f>
        <v>810</v>
      </c>
      <c r="D410" s="47" t="n">
        <v>228</v>
      </c>
      <c r="E410" s="47" t="n">
        <v>18012000</v>
      </c>
      <c r="F410" s="47" t="n">
        <v>4104000</v>
      </c>
    </row>
    <row r="411" customFormat="false" ht="15" hidden="false" customHeight="false" outlineLevel="0" collapsed="false">
      <c r="A411" s="0" t="s">
        <v>248</v>
      </c>
      <c r="B411" s="0" t="n">
        <v>100</v>
      </c>
      <c r="C411" s="0" t="str">
        <f aca="false">TEXT(VLOOKUP(B411,$I$2:$J$20,2,FALSE()),"0")</f>
        <v>100</v>
      </c>
      <c r="D411" s="47" t="n">
        <v>380</v>
      </c>
      <c r="E411" s="47" t="n">
        <v>37620000</v>
      </c>
      <c r="F411" s="47" t="n">
        <v>10868000</v>
      </c>
    </row>
    <row r="412" customFormat="false" ht="15" hidden="false" customHeight="false" outlineLevel="0" collapsed="false">
      <c r="A412" s="0" t="s">
        <v>248</v>
      </c>
      <c r="B412" s="0" t="n">
        <v>300</v>
      </c>
      <c r="C412" s="0" t="str">
        <f aca="false">TEXT(VLOOKUP(B412,$I$2:$J$20,2,FALSE()),"0")</f>
        <v>300</v>
      </c>
      <c r="D412" s="47" t="n">
        <v>320</v>
      </c>
      <c r="E412" s="47" t="n">
        <v>31680000</v>
      </c>
      <c r="F412" s="47" t="n">
        <v>9152000</v>
      </c>
    </row>
    <row r="413" customFormat="false" ht="15" hidden="false" customHeight="false" outlineLevel="0" collapsed="false">
      <c r="A413" s="0" t="s">
        <v>248</v>
      </c>
      <c r="B413" s="0" t="n">
        <v>500</v>
      </c>
      <c r="C413" s="0" t="str">
        <f aca="false">TEXT(VLOOKUP(B413,$I$2:$J$20,2,FALSE()),"0")</f>
        <v>500</v>
      </c>
      <c r="D413" s="47" t="n">
        <v>50</v>
      </c>
      <c r="E413" s="47" t="n">
        <v>4950000</v>
      </c>
      <c r="F413" s="47" t="n">
        <v>1430000</v>
      </c>
    </row>
    <row r="414" customFormat="false" ht="15" hidden="false" customHeight="false" outlineLevel="0" collapsed="false">
      <c r="A414" s="0" t="s">
        <v>248</v>
      </c>
      <c r="B414" s="0" t="n">
        <v>600</v>
      </c>
      <c r="C414" s="0" t="str">
        <f aca="false">TEXT(VLOOKUP(B414,$I$2:$J$20,2,FALSE()),"0")</f>
        <v>600</v>
      </c>
      <c r="D414" s="47" t="n">
        <v>70</v>
      </c>
      <c r="E414" s="47" t="n">
        <v>6930000</v>
      </c>
      <c r="F414" s="47" t="n">
        <v>2002000</v>
      </c>
    </row>
    <row r="415" customFormat="false" ht="15" hidden="false" customHeight="false" outlineLevel="0" collapsed="false">
      <c r="A415" s="0" t="s">
        <v>248</v>
      </c>
      <c r="B415" s="0" t="n">
        <v>800</v>
      </c>
      <c r="C415" s="0" t="str">
        <f aca="false">TEXT(VLOOKUP(B415,$I$2:$J$20,2,FALSE()),"0")</f>
        <v>800</v>
      </c>
      <c r="D415" s="47" t="n">
        <v>70</v>
      </c>
      <c r="E415" s="47" t="n">
        <v>6930000</v>
      </c>
      <c r="F415" s="47" t="n">
        <v>2002000</v>
      </c>
    </row>
    <row r="416" customFormat="false" ht="15" hidden="false" customHeight="false" outlineLevel="0" collapsed="false">
      <c r="A416" s="0" t="s">
        <v>1043</v>
      </c>
      <c r="B416" s="0" t="n">
        <v>200</v>
      </c>
      <c r="C416" s="0" t="str">
        <f aca="false">TEXT(VLOOKUP(B416,$I$2:$J$20,2,FALSE()),"0")</f>
        <v>200</v>
      </c>
      <c r="D416" s="47" t="n">
        <v>330</v>
      </c>
      <c r="E416" s="47" t="n">
        <v>26070000</v>
      </c>
      <c r="F416" s="47" t="n">
        <v>5548620</v>
      </c>
    </row>
    <row r="417" customFormat="false" ht="15" hidden="false" customHeight="false" outlineLevel="0" collapsed="false">
      <c r="A417" s="0" t="s">
        <v>1043</v>
      </c>
      <c r="B417" s="0" t="n">
        <v>299</v>
      </c>
      <c r="C417" s="0" t="str">
        <f aca="false">TEXT(VLOOKUP(B417,$I$2:$J$20,2,FALSE()),"0")</f>
        <v>200</v>
      </c>
      <c r="D417" s="47" t="n">
        <v>2</v>
      </c>
      <c r="E417" s="47" t="n">
        <v>158000</v>
      </c>
      <c r="F417" s="47" t="n">
        <v>33628</v>
      </c>
    </row>
    <row r="418" customFormat="false" ht="15" hidden="false" customHeight="false" outlineLevel="0" collapsed="false">
      <c r="A418" s="0" t="s">
        <v>250</v>
      </c>
      <c r="B418" s="0" t="n">
        <v>100</v>
      </c>
      <c r="C418" s="0" t="str">
        <f aca="false">TEXT(VLOOKUP(B418,$I$2:$J$20,2,FALSE()),"0")</f>
        <v>100</v>
      </c>
      <c r="D418" s="47" t="n">
        <v>550</v>
      </c>
      <c r="E418" s="47" t="n">
        <v>48950000</v>
      </c>
      <c r="F418" s="47" t="n">
        <v>12320000</v>
      </c>
    </row>
    <row r="419" customFormat="false" ht="15" hidden="false" customHeight="false" outlineLevel="0" collapsed="false">
      <c r="A419" s="0" t="s">
        <v>250</v>
      </c>
      <c r="B419" s="0" t="n">
        <v>300</v>
      </c>
      <c r="C419" s="0" t="str">
        <f aca="false">TEXT(VLOOKUP(B419,$I$2:$J$20,2,FALSE()),"0")</f>
        <v>300</v>
      </c>
      <c r="D419" s="47" t="n">
        <v>1390</v>
      </c>
      <c r="E419" s="47" t="n">
        <v>123710000</v>
      </c>
      <c r="F419" s="47" t="n">
        <v>31136000</v>
      </c>
    </row>
    <row r="420" customFormat="false" ht="15" hidden="false" customHeight="false" outlineLevel="0" collapsed="false">
      <c r="A420" s="0" t="s">
        <v>250</v>
      </c>
      <c r="B420" s="0" t="n">
        <v>600</v>
      </c>
      <c r="C420" s="0" t="str">
        <f aca="false">TEXT(VLOOKUP(B420,$I$2:$J$20,2,FALSE()),"0")</f>
        <v>600</v>
      </c>
      <c r="D420" s="47" t="n">
        <v>85</v>
      </c>
      <c r="E420" s="47" t="n">
        <v>7565000</v>
      </c>
      <c r="F420" s="47" t="n">
        <v>1904000</v>
      </c>
    </row>
    <row r="421" customFormat="false" ht="15" hidden="false" customHeight="false" outlineLevel="0" collapsed="false">
      <c r="A421" s="0" t="s">
        <v>250</v>
      </c>
      <c r="B421" s="0" t="n">
        <v>800</v>
      </c>
      <c r="C421" s="0" t="str">
        <f aca="false">TEXT(VLOOKUP(B421,$I$2:$J$20,2,FALSE()),"0")</f>
        <v>800</v>
      </c>
      <c r="D421" s="47" t="n">
        <v>115</v>
      </c>
      <c r="E421" s="47" t="n">
        <v>10235000</v>
      </c>
      <c r="F421" s="47" t="n">
        <v>2576000</v>
      </c>
    </row>
    <row r="422" customFormat="false" ht="15" hidden="false" customHeight="false" outlineLevel="0" collapsed="false">
      <c r="A422" s="0" t="s">
        <v>250</v>
      </c>
      <c r="B422" s="0" t="n">
        <v>810</v>
      </c>
      <c r="C422" s="0" t="str">
        <f aca="false">TEXT(VLOOKUP(B422,$I$2:$J$20,2,FALSE()),"0")</f>
        <v>810</v>
      </c>
      <c r="D422" s="47" t="n">
        <v>228</v>
      </c>
      <c r="E422" s="47" t="n">
        <v>20292000</v>
      </c>
      <c r="F422" s="47" t="n">
        <v>5107200</v>
      </c>
    </row>
    <row r="423" customFormat="false" ht="15" hidden="false" customHeight="false" outlineLevel="0" collapsed="false">
      <c r="A423" s="0" t="s">
        <v>252</v>
      </c>
      <c r="B423" s="0" t="n">
        <v>100</v>
      </c>
      <c r="C423" s="0" t="str">
        <f aca="false">TEXT(VLOOKUP(B423,$I$2:$J$20,2,FALSE()),"0")</f>
        <v>100</v>
      </c>
      <c r="D423" s="47" t="n">
        <v>340</v>
      </c>
      <c r="E423" s="47" t="n">
        <v>26860000</v>
      </c>
      <c r="F423" s="47" t="n">
        <v>5644000</v>
      </c>
    </row>
    <row r="424" customFormat="false" ht="15" hidden="false" customHeight="false" outlineLevel="0" collapsed="false">
      <c r="A424" s="0" t="s">
        <v>252</v>
      </c>
      <c r="B424" s="0" t="n">
        <v>300</v>
      </c>
      <c r="C424" s="0" t="str">
        <f aca="false">TEXT(VLOOKUP(B424,$I$2:$J$20,2,FALSE()),"0")</f>
        <v>300</v>
      </c>
      <c r="D424" s="47" t="n">
        <v>350</v>
      </c>
      <c r="E424" s="47" t="n">
        <v>27650000</v>
      </c>
      <c r="F424" s="47" t="n">
        <v>5810000</v>
      </c>
    </row>
    <row r="425" customFormat="false" ht="15" hidden="false" customHeight="false" outlineLevel="0" collapsed="false">
      <c r="A425" s="0" t="s">
        <v>252</v>
      </c>
      <c r="B425" s="0" t="n">
        <v>600</v>
      </c>
      <c r="C425" s="0" t="str">
        <f aca="false">TEXT(VLOOKUP(B425,$I$2:$J$20,2,FALSE()),"0")</f>
        <v>600</v>
      </c>
      <c r="D425" s="47" t="n">
        <v>45</v>
      </c>
      <c r="E425" s="47" t="n">
        <v>3555000</v>
      </c>
      <c r="F425" s="47" t="n">
        <v>747000</v>
      </c>
    </row>
    <row r="426" customFormat="false" ht="15" hidden="false" customHeight="false" outlineLevel="0" collapsed="false">
      <c r="A426" s="0" t="s">
        <v>254</v>
      </c>
      <c r="B426" s="0" t="n">
        <v>100</v>
      </c>
      <c r="C426" s="0" t="str">
        <f aca="false">TEXT(VLOOKUP(B426,$I$2:$J$20,2,FALSE()),"0")</f>
        <v>100</v>
      </c>
      <c r="D426" s="47" t="n">
        <v>510</v>
      </c>
      <c r="E426" s="47" t="n">
        <v>40290000</v>
      </c>
      <c r="F426" s="47" t="n">
        <v>8874000</v>
      </c>
    </row>
    <row r="427" customFormat="false" ht="15" hidden="false" customHeight="false" outlineLevel="0" collapsed="false">
      <c r="A427" s="0" t="s">
        <v>254</v>
      </c>
      <c r="B427" s="0" t="n">
        <v>300</v>
      </c>
      <c r="C427" s="0" t="str">
        <f aca="false">TEXT(VLOOKUP(B427,$I$2:$J$20,2,FALSE()),"0")</f>
        <v>300</v>
      </c>
      <c r="D427" s="47" t="n">
        <v>400</v>
      </c>
      <c r="E427" s="47" t="n">
        <v>31600000</v>
      </c>
      <c r="F427" s="47" t="n">
        <v>6960000</v>
      </c>
    </row>
    <row r="428" customFormat="false" ht="15" hidden="false" customHeight="false" outlineLevel="0" collapsed="false">
      <c r="A428" s="0" t="s">
        <v>254</v>
      </c>
      <c r="B428" s="0" t="n">
        <v>600</v>
      </c>
      <c r="C428" s="0" t="str">
        <f aca="false">TEXT(VLOOKUP(B428,$I$2:$J$20,2,FALSE()),"0")</f>
        <v>600</v>
      </c>
      <c r="D428" s="47" t="n">
        <v>105</v>
      </c>
      <c r="E428" s="47" t="n">
        <v>8295000</v>
      </c>
      <c r="F428" s="47" t="n">
        <v>1827000</v>
      </c>
    </row>
    <row r="429" customFormat="false" ht="15" hidden="false" customHeight="false" outlineLevel="0" collapsed="false">
      <c r="A429" s="0" t="s">
        <v>254</v>
      </c>
      <c r="B429" s="0" t="n">
        <v>810</v>
      </c>
      <c r="C429" s="0" t="str">
        <f aca="false">TEXT(VLOOKUP(B429,$I$2:$J$20,2,FALSE()),"0")</f>
        <v>810</v>
      </c>
      <c r="D429" s="47" t="n">
        <v>228</v>
      </c>
      <c r="E429" s="47" t="n">
        <v>18012000</v>
      </c>
      <c r="F429" s="47" t="n">
        <v>3967200</v>
      </c>
    </row>
    <row r="430" customFormat="false" ht="15" hidden="false" customHeight="false" outlineLevel="0" collapsed="false">
      <c r="A430" s="0" t="s">
        <v>826</v>
      </c>
      <c r="B430" s="0" t="n">
        <v>100</v>
      </c>
      <c r="C430" s="0" t="str">
        <f aca="false">TEXT(VLOOKUP(B430,$I$2:$J$20,2,FALSE()),"0")</f>
        <v>100</v>
      </c>
      <c r="D430" s="47" t="n">
        <v>380</v>
      </c>
      <c r="E430" s="47" t="n">
        <v>33820000</v>
      </c>
      <c r="F430" s="47" t="n">
        <v>8177980</v>
      </c>
    </row>
    <row r="431" customFormat="false" ht="15" hidden="false" customHeight="false" outlineLevel="0" collapsed="false">
      <c r="A431" s="0" t="s">
        <v>826</v>
      </c>
      <c r="B431" s="0" t="n">
        <v>200</v>
      </c>
      <c r="C431" s="0" t="str">
        <f aca="false">TEXT(VLOOKUP(B431,$I$2:$J$20,2,FALSE()),"0")</f>
        <v>200</v>
      </c>
      <c r="D431" s="47" t="n">
        <v>480</v>
      </c>
      <c r="E431" s="47" t="n">
        <v>42720000</v>
      </c>
      <c r="F431" s="47" t="n">
        <v>10330080</v>
      </c>
    </row>
    <row r="432" customFormat="false" ht="15" hidden="false" customHeight="false" outlineLevel="0" collapsed="false">
      <c r="A432" s="0" t="s">
        <v>826</v>
      </c>
      <c r="B432" s="0" t="n">
        <v>299</v>
      </c>
      <c r="C432" s="0" t="str">
        <f aca="false">TEXT(VLOOKUP(B432,$I$2:$J$20,2,FALSE()),"0")</f>
        <v>200</v>
      </c>
      <c r="D432" s="47" t="n">
        <v>3</v>
      </c>
      <c r="E432" s="47" t="n">
        <v>267000</v>
      </c>
      <c r="F432" s="47" t="n">
        <v>64563</v>
      </c>
    </row>
    <row r="433" customFormat="false" ht="15" hidden="false" customHeight="false" outlineLevel="0" collapsed="false">
      <c r="A433" s="0" t="s">
        <v>256</v>
      </c>
      <c r="B433" s="0" t="n">
        <v>100</v>
      </c>
      <c r="C433" s="0" t="str">
        <f aca="false">TEXT(VLOOKUP(B433,$I$2:$J$20,2,FALSE()),"0")</f>
        <v>100</v>
      </c>
      <c r="D433" s="47" t="n">
        <v>50</v>
      </c>
      <c r="E433" s="47" t="n">
        <v>4450000</v>
      </c>
      <c r="F433" s="47" t="n">
        <v>1195000</v>
      </c>
    </row>
    <row r="434" customFormat="false" ht="15" hidden="false" customHeight="false" outlineLevel="0" collapsed="false">
      <c r="A434" s="0" t="s">
        <v>256</v>
      </c>
      <c r="B434" s="0" t="n">
        <v>300</v>
      </c>
      <c r="C434" s="0" t="str">
        <f aca="false">TEXT(VLOOKUP(B434,$I$2:$J$20,2,FALSE()),"0")</f>
        <v>300</v>
      </c>
      <c r="D434" s="47" t="n">
        <v>400</v>
      </c>
      <c r="E434" s="47" t="n">
        <v>35600000</v>
      </c>
      <c r="F434" s="47" t="n">
        <v>9560000</v>
      </c>
    </row>
    <row r="435" customFormat="false" ht="15" hidden="false" customHeight="false" outlineLevel="0" collapsed="false">
      <c r="A435" s="0" t="s">
        <v>256</v>
      </c>
      <c r="B435" s="0" t="n">
        <v>700</v>
      </c>
      <c r="C435" s="0" t="str">
        <f aca="false">TEXT(VLOOKUP(B435,$I$2:$J$20,2,FALSE()),"0")</f>
        <v>700</v>
      </c>
      <c r="D435" s="47" t="n">
        <v>240</v>
      </c>
      <c r="E435" s="47" t="n">
        <v>21360000</v>
      </c>
      <c r="F435" s="47" t="n">
        <v>5736000</v>
      </c>
    </row>
    <row r="436" customFormat="false" ht="15" hidden="false" customHeight="false" outlineLevel="0" collapsed="false">
      <c r="A436" s="0" t="s">
        <v>256</v>
      </c>
      <c r="B436" s="0" t="n">
        <v>799</v>
      </c>
      <c r="C436" s="0" t="str">
        <f aca="false">TEXT(VLOOKUP(B436,$I$2:$J$20,2,FALSE()),"0")</f>
        <v>700</v>
      </c>
      <c r="D436" s="47" t="n">
        <v>3</v>
      </c>
      <c r="E436" s="47" t="n">
        <v>267000</v>
      </c>
      <c r="F436" s="47" t="n">
        <v>71700</v>
      </c>
    </row>
    <row r="437" customFormat="false" ht="15" hidden="false" customHeight="false" outlineLevel="0" collapsed="false">
      <c r="A437" s="0" t="s">
        <v>256</v>
      </c>
      <c r="B437" s="0" t="n">
        <v>800</v>
      </c>
      <c r="C437" s="0" t="str">
        <f aca="false">TEXT(VLOOKUP(B437,$I$2:$J$20,2,FALSE()),"0")</f>
        <v>800</v>
      </c>
      <c r="D437" s="47" t="n">
        <v>80</v>
      </c>
      <c r="E437" s="47" t="n">
        <v>7120000</v>
      </c>
      <c r="F437" s="47" t="n">
        <v>1912000</v>
      </c>
    </row>
    <row r="438" customFormat="false" ht="15" hidden="false" customHeight="false" outlineLevel="0" collapsed="false">
      <c r="A438" s="0" t="s">
        <v>258</v>
      </c>
      <c r="B438" s="0" t="n">
        <v>100</v>
      </c>
      <c r="C438" s="0" t="str">
        <f aca="false">TEXT(VLOOKUP(B438,$I$2:$J$20,2,FALSE()),"0")</f>
        <v>100</v>
      </c>
      <c r="D438" s="47" t="n">
        <v>300</v>
      </c>
      <c r="E438" s="47" t="n">
        <v>38700000</v>
      </c>
      <c r="F438" s="47" t="n">
        <v>7020000</v>
      </c>
    </row>
    <row r="439" customFormat="false" ht="15" hidden="false" customHeight="false" outlineLevel="0" collapsed="false">
      <c r="A439" s="0" t="s">
        <v>258</v>
      </c>
      <c r="B439" s="0" t="n">
        <v>300</v>
      </c>
      <c r="C439" s="0" t="str">
        <f aca="false">TEXT(VLOOKUP(B439,$I$2:$J$20,2,FALSE()),"0")</f>
        <v>300</v>
      </c>
      <c r="D439" s="47" t="n">
        <v>300</v>
      </c>
      <c r="E439" s="47" t="n">
        <v>38700000</v>
      </c>
      <c r="F439" s="47" t="n">
        <v>7020000</v>
      </c>
    </row>
    <row r="440" customFormat="false" ht="15" hidden="false" customHeight="false" outlineLevel="0" collapsed="false">
      <c r="A440" s="0" t="s">
        <v>258</v>
      </c>
      <c r="B440" s="0" t="n">
        <v>600</v>
      </c>
      <c r="C440" s="0" t="str">
        <f aca="false">TEXT(VLOOKUP(B440,$I$2:$J$20,2,FALSE()),"0")</f>
        <v>600</v>
      </c>
      <c r="D440" s="47" t="n">
        <v>45</v>
      </c>
      <c r="E440" s="47" t="n">
        <v>5805000</v>
      </c>
      <c r="F440" s="47" t="n">
        <v>1053000</v>
      </c>
    </row>
    <row r="441" customFormat="false" ht="15" hidden="false" customHeight="false" outlineLevel="0" collapsed="false">
      <c r="A441" s="0" t="s">
        <v>260</v>
      </c>
      <c r="B441" s="0" t="n">
        <v>100</v>
      </c>
      <c r="C441" s="0" t="str">
        <f aca="false">TEXT(VLOOKUP(B441,$I$2:$J$20,2,FALSE()),"0")</f>
        <v>100</v>
      </c>
      <c r="D441" s="47" t="n">
        <v>520</v>
      </c>
      <c r="E441" s="47" t="n">
        <v>72280000</v>
      </c>
      <c r="F441" s="47" t="n">
        <v>14756040</v>
      </c>
    </row>
    <row r="442" customFormat="false" ht="15" hidden="false" customHeight="false" outlineLevel="0" collapsed="false">
      <c r="A442" s="0" t="s">
        <v>260</v>
      </c>
      <c r="B442" s="0" t="n">
        <v>300</v>
      </c>
      <c r="C442" s="0" t="str">
        <f aca="false">TEXT(VLOOKUP(B442,$I$2:$J$20,2,FALSE()),"0")</f>
        <v>300</v>
      </c>
      <c r="D442" s="47" t="n">
        <v>650</v>
      </c>
      <c r="E442" s="47" t="n">
        <v>90350000</v>
      </c>
      <c r="F442" s="47" t="n">
        <v>18445050</v>
      </c>
    </row>
    <row r="443" customFormat="false" ht="15" hidden="false" customHeight="false" outlineLevel="0" collapsed="false">
      <c r="A443" s="0" t="s">
        <v>260</v>
      </c>
      <c r="B443" s="0" t="n">
        <v>800</v>
      </c>
      <c r="C443" s="0" t="str">
        <f aca="false">TEXT(VLOOKUP(B443,$I$2:$J$20,2,FALSE()),"0")</f>
        <v>800</v>
      </c>
      <c r="D443" s="47" t="n">
        <v>120</v>
      </c>
      <c r="E443" s="47" t="n">
        <v>16680000</v>
      </c>
      <c r="F443" s="47" t="n">
        <v>3405240</v>
      </c>
    </row>
    <row r="444" customFormat="false" ht="15" hidden="false" customHeight="false" outlineLevel="0" collapsed="false">
      <c r="A444" s="0" t="s">
        <v>262</v>
      </c>
      <c r="B444" s="0" t="n">
        <v>300</v>
      </c>
      <c r="C444" s="0" t="str">
        <f aca="false">TEXT(VLOOKUP(B444,$I$2:$J$20,2,FALSE()),"0")</f>
        <v>300</v>
      </c>
      <c r="D444" s="47" t="n">
        <v>650</v>
      </c>
      <c r="E444" s="47" t="n">
        <v>83850000</v>
      </c>
      <c r="F444" s="47" t="n">
        <v>17355000</v>
      </c>
    </row>
    <row r="445" customFormat="false" ht="15" hidden="false" customHeight="false" outlineLevel="0" collapsed="false">
      <c r="A445" s="0" t="s">
        <v>262</v>
      </c>
      <c r="B445" s="0" t="n">
        <v>600</v>
      </c>
      <c r="C445" s="0" t="str">
        <f aca="false">TEXT(VLOOKUP(B445,$I$2:$J$20,2,FALSE()),"0")</f>
        <v>600</v>
      </c>
      <c r="D445" s="47" t="n">
        <v>60</v>
      </c>
      <c r="E445" s="47" t="n">
        <v>7740000</v>
      </c>
      <c r="F445" s="47" t="n">
        <v>1602000</v>
      </c>
    </row>
    <row r="446" customFormat="false" ht="15" hidden="false" customHeight="false" outlineLevel="0" collapsed="false">
      <c r="A446" s="0" t="s">
        <v>264</v>
      </c>
      <c r="B446" s="0" t="n">
        <v>100</v>
      </c>
      <c r="C446" s="0" t="str">
        <f aca="false">TEXT(VLOOKUP(B446,$I$2:$J$20,2,FALSE()),"0")</f>
        <v>100</v>
      </c>
      <c r="D446" s="47" t="n">
        <v>180</v>
      </c>
      <c r="E446" s="47" t="n">
        <v>19620000</v>
      </c>
      <c r="F446" s="47" t="n">
        <v>4573980</v>
      </c>
    </row>
    <row r="447" customFormat="false" ht="15" hidden="false" customHeight="false" outlineLevel="0" collapsed="false">
      <c r="A447" s="0" t="s">
        <v>264</v>
      </c>
      <c r="B447" s="0" t="n">
        <v>200</v>
      </c>
      <c r="C447" s="0" t="str">
        <f aca="false">TEXT(VLOOKUP(B447,$I$2:$J$20,2,FALSE()),"0")</f>
        <v>200</v>
      </c>
      <c r="D447" s="47" t="n">
        <v>365</v>
      </c>
      <c r="E447" s="47" t="n">
        <v>39785000</v>
      </c>
      <c r="F447" s="47" t="n">
        <v>9275015</v>
      </c>
    </row>
    <row r="448" customFormat="false" ht="15" hidden="false" customHeight="false" outlineLevel="0" collapsed="false">
      <c r="A448" s="0" t="s">
        <v>264</v>
      </c>
      <c r="B448" s="0" t="n">
        <v>299</v>
      </c>
      <c r="C448" s="0" t="str">
        <f aca="false">TEXT(VLOOKUP(B448,$I$2:$J$20,2,FALSE()),"0")</f>
        <v>200</v>
      </c>
      <c r="D448" s="47" t="n">
        <v>2</v>
      </c>
      <c r="E448" s="47" t="n">
        <v>218000</v>
      </c>
      <c r="F448" s="47" t="n">
        <v>50822</v>
      </c>
    </row>
    <row r="449" customFormat="false" ht="15" hidden="false" customHeight="false" outlineLevel="0" collapsed="false">
      <c r="A449" s="0" t="s">
        <v>264</v>
      </c>
      <c r="B449" s="0" t="n">
        <v>300</v>
      </c>
      <c r="C449" s="0" t="str">
        <f aca="false">TEXT(VLOOKUP(B449,$I$2:$J$20,2,FALSE()),"0")</f>
        <v>300</v>
      </c>
      <c r="D449" s="47" t="n">
        <v>80</v>
      </c>
      <c r="E449" s="47" t="n">
        <v>8720000</v>
      </c>
      <c r="F449" s="47" t="n">
        <v>2032880</v>
      </c>
    </row>
    <row r="450" customFormat="false" ht="15" hidden="false" customHeight="false" outlineLevel="0" collapsed="false">
      <c r="A450" s="0" t="s">
        <v>264</v>
      </c>
      <c r="B450" s="0" t="n">
        <v>810</v>
      </c>
      <c r="C450" s="0" t="str">
        <f aca="false">TEXT(VLOOKUP(B450,$I$2:$J$20,2,FALSE()),"0")</f>
        <v>810</v>
      </c>
      <c r="D450" s="47" t="n">
        <v>228</v>
      </c>
      <c r="E450" s="47" t="n">
        <v>24852000</v>
      </c>
      <c r="F450" s="47" t="n">
        <v>5793708</v>
      </c>
    </row>
    <row r="451" customFormat="false" ht="15" hidden="false" customHeight="false" outlineLevel="0" collapsed="false">
      <c r="A451" s="0" t="s">
        <v>266</v>
      </c>
      <c r="B451" s="0" t="n">
        <v>300</v>
      </c>
      <c r="C451" s="0" t="str">
        <f aca="false">TEXT(VLOOKUP(B451,$I$2:$J$20,2,FALSE()),"0")</f>
        <v>300</v>
      </c>
      <c r="D451" s="47" t="n">
        <v>120</v>
      </c>
      <c r="E451" s="47" t="n">
        <v>11880000</v>
      </c>
      <c r="F451" s="47" t="n">
        <v>2628000</v>
      </c>
    </row>
    <row r="452" customFormat="false" ht="15" hidden="false" customHeight="false" outlineLevel="0" collapsed="false">
      <c r="A452" s="0" t="s">
        <v>266</v>
      </c>
      <c r="B452" s="0" t="n">
        <v>600</v>
      </c>
      <c r="C452" s="0" t="str">
        <f aca="false">TEXT(VLOOKUP(B452,$I$2:$J$20,2,FALSE()),"0")</f>
        <v>600</v>
      </c>
      <c r="D452" s="47" t="n">
        <v>20</v>
      </c>
      <c r="E452" s="47" t="n">
        <v>1980000</v>
      </c>
      <c r="F452" s="47" t="n">
        <v>438000</v>
      </c>
    </row>
    <row r="453" customFormat="false" ht="15" hidden="false" customHeight="false" outlineLevel="0" collapsed="false">
      <c r="A453" s="0" t="s">
        <v>828</v>
      </c>
      <c r="B453" s="0" t="n">
        <v>100</v>
      </c>
      <c r="C453" s="0" t="str">
        <f aca="false">TEXT(VLOOKUP(B453,$I$2:$J$20,2,FALSE()),"0")</f>
        <v>100</v>
      </c>
      <c r="D453" s="47" t="n">
        <v>330</v>
      </c>
      <c r="E453" s="47" t="n">
        <v>45870000</v>
      </c>
      <c r="F453" s="47" t="n">
        <v>9867000</v>
      </c>
    </row>
    <row r="454" customFormat="false" ht="15" hidden="false" customHeight="false" outlineLevel="0" collapsed="false">
      <c r="A454" s="0" t="s">
        <v>828</v>
      </c>
      <c r="B454" s="0" t="n">
        <v>600</v>
      </c>
      <c r="C454" s="0" t="str">
        <f aca="false">TEXT(VLOOKUP(B454,$I$2:$J$20,2,FALSE()),"0")</f>
        <v>600</v>
      </c>
      <c r="D454" s="47" t="n">
        <v>65</v>
      </c>
      <c r="E454" s="47" t="n">
        <v>9035000</v>
      </c>
      <c r="F454" s="47" t="n">
        <v>1943500</v>
      </c>
    </row>
    <row r="455" customFormat="false" ht="15" hidden="false" customHeight="false" outlineLevel="0" collapsed="false">
      <c r="A455" s="0" t="s">
        <v>828</v>
      </c>
      <c r="B455" s="0" t="n">
        <v>700</v>
      </c>
      <c r="C455" s="0" t="str">
        <f aca="false">TEXT(VLOOKUP(B455,$I$2:$J$20,2,FALSE()),"0")</f>
        <v>700</v>
      </c>
      <c r="D455" s="47" t="n">
        <v>65</v>
      </c>
      <c r="E455" s="47" t="n">
        <v>9035000</v>
      </c>
      <c r="F455" s="47" t="n">
        <v>1943500</v>
      </c>
    </row>
    <row r="456" customFormat="false" ht="15" hidden="false" customHeight="false" outlineLevel="0" collapsed="false">
      <c r="A456" s="0" t="s">
        <v>828</v>
      </c>
      <c r="B456" s="0" t="n">
        <v>799</v>
      </c>
      <c r="C456" s="0" t="str">
        <f aca="false">TEXT(VLOOKUP(B456,$I$2:$J$20,2,FALSE()),"0")</f>
        <v>700</v>
      </c>
      <c r="D456" s="47" t="n">
        <v>1</v>
      </c>
      <c r="E456" s="47" t="n">
        <v>139000</v>
      </c>
      <c r="F456" s="47" t="n">
        <v>29900</v>
      </c>
    </row>
    <row r="457" customFormat="false" ht="15" hidden="false" customHeight="false" outlineLevel="0" collapsed="false">
      <c r="A457" s="0" t="s">
        <v>268</v>
      </c>
      <c r="B457" s="0" t="n">
        <v>100</v>
      </c>
      <c r="C457" s="0" t="str">
        <f aca="false">TEXT(VLOOKUP(B457,$I$2:$J$20,2,FALSE()),"0")</f>
        <v>100</v>
      </c>
      <c r="D457" s="47" t="n">
        <v>470</v>
      </c>
      <c r="E457" s="47" t="n">
        <v>79430000</v>
      </c>
      <c r="F457" s="47" t="n">
        <v>13856540</v>
      </c>
    </row>
    <row r="458" customFormat="false" ht="15" hidden="false" customHeight="false" outlineLevel="0" collapsed="false">
      <c r="A458" s="0" t="s">
        <v>268</v>
      </c>
      <c r="B458" s="0" t="n">
        <v>300</v>
      </c>
      <c r="C458" s="0" t="str">
        <f aca="false">TEXT(VLOOKUP(B458,$I$2:$J$20,2,FALSE()),"0")</f>
        <v>300</v>
      </c>
      <c r="D458" s="47" t="n">
        <v>400</v>
      </c>
      <c r="E458" s="47" t="n">
        <v>67600000</v>
      </c>
      <c r="F458" s="47" t="n">
        <v>11792800</v>
      </c>
    </row>
    <row r="459" customFormat="false" ht="15" hidden="false" customHeight="false" outlineLevel="0" collapsed="false">
      <c r="A459" s="0" t="s">
        <v>268</v>
      </c>
      <c r="B459" s="0" t="n">
        <v>600</v>
      </c>
      <c r="C459" s="0" t="str">
        <f aca="false">TEXT(VLOOKUP(B459,$I$2:$J$20,2,FALSE()),"0")</f>
        <v>600</v>
      </c>
      <c r="D459" s="47" t="n">
        <v>90</v>
      </c>
      <c r="E459" s="47" t="n">
        <v>15210000</v>
      </c>
      <c r="F459" s="47" t="n">
        <v>2653380</v>
      </c>
    </row>
    <row r="460" customFormat="false" ht="15" hidden="false" customHeight="false" outlineLevel="0" collapsed="false">
      <c r="A460" s="0" t="s">
        <v>268</v>
      </c>
      <c r="B460" s="0" t="n">
        <v>800</v>
      </c>
      <c r="C460" s="0" t="str">
        <f aca="false">TEXT(VLOOKUP(B460,$I$2:$J$20,2,FALSE()),"0")</f>
        <v>800</v>
      </c>
      <c r="D460" s="47" t="n">
        <v>65</v>
      </c>
      <c r="E460" s="47" t="n">
        <v>10985000</v>
      </c>
      <c r="F460" s="47" t="n">
        <v>1916330</v>
      </c>
    </row>
    <row r="461" customFormat="false" ht="15" hidden="false" customHeight="false" outlineLevel="0" collapsed="false">
      <c r="A461" s="0" t="s">
        <v>268</v>
      </c>
      <c r="B461" s="0" t="n">
        <v>810</v>
      </c>
      <c r="C461" s="0" t="str">
        <f aca="false">TEXT(VLOOKUP(B461,$I$2:$J$20,2,FALSE()),"0")</f>
        <v>810</v>
      </c>
      <c r="D461" s="47" t="n">
        <v>216</v>
      </c>
      <c r="E461" s="47" t="n">
        <v>36504000</v>
      </c>
      <c r="F461" s="47" t="n">
        <v>6368112</v>
      </c>
    </row>
    <row r="462" customFormat="false" ht="15" hidden="false" customHeight="false" outlineLevel="0" collapsed="false">
      <c r="A462" s="0" t="s">
        <v>270</v>
      </c>
      <c r="B462" s="0" t="n">
        <v>100</v>
      </c>
      <c r="C462" s="0" t="str">
        <f aca="false">TEXT(VLOOKUP(B462,$I$2:$J$20,2,FALSE()),"0")</f>
        <v>100</v>
      </c>
      <c r="D462" s="47" t="n">
        <v>130</v>
      </c>
      <c r="E462" s="47" t="n">
        <v>20670000</v>
      </c>
      <c r="F462" s="47" t="n">
        <v>3510000</v>
      </c>
    </row>
    <row r="463" customFormat="false" ht="15" hidden="false" customHeight="false" outlineLevel="0" collapsed="false">
      <c r="A463" s="0" t="s">
        <v>270</v>
      </c>
      <c r="B463" s="0" t="n">
        <v>300</v>
      </c>
      <c r="C463" s="0" t="str">
        <f aca="false">TEXT(VLOOKUP(B463,$I$2:$J$20,2,FALSE()),"0")</f>
        <v>300</v>
      </c>
      <c r="D463" s="47" t="n">
        <v>80</v>
      </c>
      <c r="E463" s="47" t="n">
        <v>12720000</v>
      </c>
      <c r="F463" s="47" t="n">
        <v>2160000</v>
      </c>
    </row>
    <row r="464" customFormat="false" ht="15" hidden="false" customHeight="false" outlineLevel="0" collapsed="false">
      <c r="A464" s="0" t="s">
        <v>270</v>
      </c>
      <c r="B464" s="0" t="n">
        <v>800</v>
      </c>
      <c r="C464" s="0" t="str">
        <f aca="false">TEXT(VLOOKUP(B464,$I$2:$J$20,2,FALSE()),"0")</f>
        <v>800</v>
      </c>
      <c r="D464" s="47" t="n">
        <v>90</v>
      </c>
      <c r="E464" s="47" t="n">
        <v>14310000</v>
      </c>
      <c r="F464" s="47" t="n">
        <v>2430000</v>
      </c>
    </row>
    <row r="465" customFormat="false" ht="15" hidden="false" customHeight="false" outlineLevel="0" collapsed="false">
      <c r="A465" s="0" t="s">
        <v>1675</v>
      </c>
      <c r="B465" s="0" t="n">
        <v>100</v>
      </c>
      <c r="C465" s="0" t="str">
        <f aca="false">TEXT(VLOOKUP(B465,$I$2:$J$20,2,FALSE()),"0")</f>
        <v>100</v>
      </c>
      <c r="D465" s="47" t="n">
        <v>130</v>
      </c>
      <c r="E465" s="47" t="n">
        <v>20670000</v>
      </c>
      <c r="F465" s="47" t="n">
        <v>3887000</v>
      </c>
    </row>
    <row r="466" customFormat="false" ht="15" hidden="false" customHeight="false" outlineLevel="0" collapsed="false">
      <c r="A466" s="0" t="s">
        <v>830</v>
      </c>
      <c r="B466" s="0" t="n">
        <v>100</v>
      </c>
      <c r="C466" s="0" t="str">
        <f aca="false">TEXT(VLOOKUP(B466,$I$2:$J$20,2,FALSE()),"0")</f>
        <v>100</v>
      </c>
      <c r="D466" s="47" t="n">
        <v>230</v>
      </c>
      <c r="E466" s="47" t="n">
        <v>41170000</v>
      </c>
      <c r="F466" s="47" t="n">
        <v>9108000</v>
      </c>
    </row>
    <row r="467" customFormat="false" ht="15" hidden="false" customHeight="false" outlineLevel="0" collapsed="false">
      <c r="A467" s="0" t="s">
        <v>830</v>
      </c>
      <c r="B467" s="0" t="n">
        <v>800</v>
      </c>
      <c r="C467" s="0" t="str">
        <f aca="false">TEXT(VLOOKUP(B467,$I$2:$J$20,2,FALSE()),"0")</f>
        <v>800</v>
      </c>
      <c r="D467" s="47" t="n">
        <v>65</v>
      </c>
      <c r="E467" s="47" t="n">
        <v>11635000</v>
      </c>
      <c r="F467" s="47" t="n">
        <v>2574000</v>
      </c>
    </row>
    <row r="468" customFormat="false" ht="15" hidden="false" customHeight="false" outlineLevel="0" collapsed="false">
      <c r="A468" s="0" t="s">
        <v>272</v>
      </c>
      <c r="B468" s="0" t="n">
        <v>100</v>
      </c>
      <c r="C468" s="0" t="str">
        <f aca="false">TEXT(VLOOKUP(B468,$I$2:$J$20,2,FALSE()),"0")</f>
        <v>100</v>
      </c>
      <c r="D468" s="47" t="n">
        <v>550</v>
      </c>
      <c r="E468" s="47" t="n">
        <v>103950000</v>
      </c>
      <c r="F468" s="47" t="n">
        <v>21254200</v>
      </c>
    </row>
    <row r="469" customFormat="false" ht="15" hidden="false" customHeight="false" outlineLevel="0" collapsed="false">
      <c r="A469" s="0" t="s">
        <v>272</v>
      </c>
      <c r="B469" s="0" t="n">
        <v>300</v>
      </c>
      <c r="C469" s="0" t="str">
        <f aca="false">TEXT(VLOOKUP(B469,$I$2:$J$20,2,FALSE()),"0")</f>
        <v>300</v>
      </c>
      <c r="D469" s="47" t="n">
        <v>930</v>
      </c>
      <c r="E469" s="47" t="n">
        <v>175770000</v>
      </c>
      <c r="F469" s="47" t="n">
        <v>35938920</v>
      </c>
    </row>
    <row r="470" customFormat="false" ht="15" hidden="false" customHeight="false" outlineLevel="0" collapsed="false">
      <c r="A470" s="0" t="s">
        <v>272</v>
      </c>
      <c r="B470" s="0" t="n">
        <v>600</v>
      </c>
      <c r="C470" s="0" t="str">
        <f aca="false">TEXT(VLOOKUP(B470,$I$2:$J$20,2,FALSE()),"0")</f>
        <v>600</v>
      </c>
      <c r="D470" s="47" t="n">
        <v>85</v>
      </c>
      <c r="E470" s="47" t="n">
        <v>16065000</v>
      </c>
      <c r="F470" s="47" t="n">
        <v>3284740</v>
      </c>
    </row>
    <row r="471" customFormat="false" ht="15" hidden="false" customHeight="false" outlineLevel="0" collapsed="false">
      <c r="A471" s="0" t="s">
        <v>272</v>
      </c>
      <c r="B471" s="0" t="n">
        <v>800</v>
      </c>
      <c r="C471" s="0" t="str">
        <f aca="false">TEXT(VLOOKUP(B471,$I$2:$J$20,2,FALSE()),"0")</f>
        <v>800</v>
      </c>
      <c r="D471" s="47" t="n">
        <v>85</v>
      </c>
      <c r="E471" s="47" t="n">
        <v>16065000</v>
      </c>
      <c r="F471" s="47" t="n">
        <v>3284740</v>
      </c>
    </row>
    <row r="472" customFormat="false" ht="15" hidden="false" customHeight="false" outlineLevel="0" collapsed="false">
      <c r="A472" s="0" t="s">
        <v>274</v>
      </c>
      <c r="B472" s="0" t="n">
        <v>300</v>
      </c>
      <c r="C472" s="0" t="str">
        <f aca="false">TEXT(VLOOKUP(B472,$I$2:$J$20,2,FALSE()),"0")</f>
        <v>300</v>
      </c>
      <c r="D472" s="47" t="n">
        <v>420</v>
      </c>
      <c r="E472" s="47" t="n">
        <v>75180000</v>
      </c>
      <c r="F472" s="47" t="n">
        <v>14749980</v>
      </c>
    </row>
    <row r="473" customFormat="false" ht="15" hidden="false" customHeight="false" outlineLevel="0" collapsed="false">
      <c r="A473" s="0" t="s">
        <v>276</v>
      </c>
      <c r="B473" s="0" t="n">
        <v>300</v>
      </c>
      <c r="C473" s="0" t="str">
        <f aca="false">TEXT(VLOOKUP(B473,$I$2:$J$20,2,FALSE()),"0")</f>
        <v>300</v>
      </c>
      <c r="D473" s="47" t="n">
        <v>470</v>
      </c>
      <c r="E473" s="47" t="n">
        <v>70030000</v>
      </c>
      <c r="F473" s="47" t="n">
        <v>15181000</v>
      </c>
    </row>
    <row r="474" customFormat="false" ht="15" hidden="false" customHeight="false" outlineLevel="0" collapsed="false">
      <c r="A474" s="0" t="s">
        <v>276</v>
      </c>
      <c r="B474" s="0" t="n">
        <v>600</v>
      </c>
      <c r="C474" s="0" t="str">
        <f aca="false">TEXT(VLOOKUP(B474,$I$2:$J$20,2,FALSE()),"0")</f>
        <v>600</v>
      </c>
      <c r="D474" s="47" t="n">
        <v>55</v>
      </c>
      <c r="E474" s="47" t="n">
        <v>8195000</v>
      </c>
      <c r="F474" s="47" t="n">
        <v>1776500</v>
      </c>
    </row>
    <row r="475" customFormat="false" ht="15" hidden="false" customHeight="false" outlineLevel="0" collapsed="false">
      <c r="A475" s="0" t="s">
        <v>276</v>
      </c>
      <c r="B475" s="0" t="n">
        <v>800</v>
      </c>
      <c r="C475" s="0" t="str">
        <f aca="false">TEXT(VLOOKUP(B475,$I$2:$J$20,2,FALSE()),"0")</f>
        <v>800</v>
      </c>
      <c r="D475" s="47" t="n">
        <v>65</v>
      </c>
      <c r="E475" s="47" t="n">
        <v>9685000</v>
      </c>
      <c r="F475" s="47" t="n">
        <v>2099500</v>
      </c>
    </row>
    <row r="476" customFormat="false" ht="15" hidden="false" customHeight="false" outlineLevel="0" collapsed="false">
      <c r="A476" s="0" t="s">
        <v>276</v>
      </c>
      <c r="B476" s="0" t="n">
        <v>810</v>
      </c>
      <c r="C476" s="0" t="str">
        <f aca="false">TEXT(VLOOKUP(B476,$I$2:$J$20,2,FALSE()),"0")</f>
        <v>810</v>
      </c>
      <c r="D476" s="47" t="n">
        <v>216</v>
      </c>
      <c r="E476" s="47" t="n">
        <v>32184000</v>
      </c>
      <c r="F476" s="47" t="n">
        <v>6976800</v>
      </c>
    </row>
    <row r="477" customFormat="false" ht="15" hidden="false" customHeight="false" outlineLevel="0" collapsed="false">
      <c r="A477" s="0" t="s">
        <v>1294</v>
      </c>
      <c r="B477" s="0" t="n">
        <v>600</v>
      </c>
      <c r="C477" s="0" t="str">
        <f aca="false">TEXT(VLOOKUP(B477,$I$2:$J$20,2,FALSE()),"0")</f>
        <v>600</v>
      </c>
      <c r="D477" s="47" t="n">
        <v>100</v>
      </c>
      <c r="E477" s="47" t="n">
        <v>8900000</v>
      </c>
      <c r="F477" s="47" t="n">
        <v>1410000</v>
      </c>
    </row>
    <row r="478" customFormat="false" ht="15" hidden="false" customHeight="false" outlineLevel="0" collapsed="false">
      <c r="A478" s="0" t="s">
        <v>1294</v>
      </c>
      <c r="B478" s="0" t="n">
        <v>700</v>
      </c>
      <c r="C478" s="0" t="str">
        <f aca="false">TEXT(VLOOKUP(B478,$I$2:$J$20,2,FALSE()),"0")</f>
        <v>700</v>
      </c>
      <c r="D478" s="47" t="n">
        <v>260</v>
      </c>
      <c r="E478" s="47" t="n">
        <v>23140000</v>
      </c>
      <c r="F478" s="47" t="n">
        <v>3666000</v>
      </c>
    </row>
    <row r="479" customFormat="false" ht="15" hidden="false" customHeight="false" outlineLevel="0" collapsed="false">
      <c r="A479" s="0" t="s">
        <v>1294</v>
      </c>
      <c r="B479" s="0" t="n">
        <v>799</v>
      </c>
      <c r="C479" s="0" t="str">
        <f aca="false">TEXT(VLOOKUP(B479,$I$2:$J$20,2,FALSE()),"0")</f>
        <v>700</v>
      </c>
      <c r="D479" s="47" t="n">
        <v>4</v>
      </c>
      <c r="E479" s="47" t="n">
        <v>356000</v>
      </c>
      <c r="F479" s="47" t="n">
        <v>56400</v>
      </c>
    </row>
    <row r="480" customFormat="false" ht="15" hidden="false" customHeight="false" outlineLevel="0" collapsed="false">
      <c r="A480" s="0" t="s">
        <v>1294</v>
      </c>
      <c r="B480" s="0" t="n">
        <v>800</v>
      </c>
      <c r="C480" s="0" t="str">
        <f aca="false">TEXT(VLOOKUP(B480,$I$2:$J$20,2,FALSE()),"0")</f>
        <v>800</v>
      </c>
      <c r="D480" s="47" t="n">
        <v>100</v>
      </c>
      <c r="E480" s="47" t="n">
        <v>8900000</v>
      </c>
      <c r="F480" s="47" t="n">
        <v>1410000</v>
      </c>
    </row>
    <row r="481" customFormat="false" ht="15" hidden="false" customHeight="false" outlineLevel="0" collapsed="false">
      <c r="A481" s="0" t="s">
        <v>278</v>
      </c>
      <c r="B481" s="0" t="n">
        <v>100</v>
      </c>
      <c r="C481" s="0" t="str">
        <f aca="false">TEXT(VLOOKUP(B481,$I$2:$J$20,2,FALSE()),"0")</f>
        <v>100</v>
      </c>
      <c r="D481" s="47" t="n">
        <v>260</v>
      </c>
      <c r="E481" s="47" t="n">
        <v>25740000</v>
      </c>
      <c r="F481" s="47" t="n">
        <v>5229380</v>
      </c>
    </row>
    <row r="482" customFormat="false" ht="15" hidden="false" customHeight="false" outlineLevel="0" collapsed="false">
      <c r="A482" s="0" t="s">
        <v>278</v>
      </c>
      <c r="B482" s="0" t="n">
        <v>200</v>
      </c>
      <c r="C482" s="0" t="str">
        <f aca="false">TEXT(VLOOKUP(B482,$I$2:$J$20,2,FALSE()),"0")</f>
        <v>200</v>
      </c>
      <c r="D482" s="47" t="n">
        <v>510</v>
      </c>
      <c r="E482" s="47" t="n">
        <v>50490000</v>
      </c>
      <c r="F482" s="47" t="n">
        <v>10257630</v>
      </c>
    </row>
    <row r="483" customFormat="false" ht="15" hidden="false" customHeight="false" outlineLevel="0" collapsed="false">
      <c r="A483" s="0" t="s">
        <v>278</v>
      </c>
      <c r="B483" s="0" t="n">
        <v>299</v>
      </c>
      <c r="C483" s="0" t="str">
        <f aca="false">TEXT(VLOOKUP(B483,$I$2:$J$20,2,FALSE()),"0")</f>
        <v>200</v>
      </c>
      <c r="D483" s="47" t="n">
        <v>3</v>
      </c>
      <c r="E483" s="47" t="n">
        <v>297000</v>
      </c>
      <c r="F483" s="47" t="n">
        <v>60339</v>
      </c>
    </row>
    <row r="484" customFormat="false" ht="15" hidden="false" customHeight="false" outlineLevel="0" collapsed="false">
      <c r="A484" s="0" t="s">
        <v>278</v>
      </c>
      <c r="B484" s="0" t="n">
        <v>300</v>
      </c>
      <c r="C484" s="0" t="str">
        <f aca="false">TEXT(VLOOKUP(B484,$I$2:$J$20,2,FALSE()),"0")</f>
        <v>300</v>
      </c>
      <c r="D484" s="47" t="n">
        <v>880</v>
      </c>
      <c r="E484" s="47" t="n">
        <v>87120000</v>
      </c>
      <c r="F484" s="47" t="n">
        <v>17699440</v>
      </c>
    </row>
    <row r="485" customFormat="false" ht="15" hidden="false" customHeight="false" outlineLevel="0" collapsed="false">
      <c r="A485" s="0" t="s">
        <v>278</v>
      </c>
      <c r="B485" s="0" t="n">
        <v>600</v>
      </c>
      <c r="C485" s="0" t="str">
        <f aca="false">TEXT(VLOOKUP(B485,$I$2:$J$20,2,FALSE()),"0")</f>
        <v>600</v>
      </c>
      <c r="D485" s="47" t="n">
        <v>95</v>
      </c>
      <c r="E485" s="47" t="n">
        <v>9405000</v>
      </c>
      <c r="F485" s="47" t="n">
        <v>1910735</v>
      </c>
    </row>
    <row r="486" customFormat="false" ht="15" hidden="false" customHeight="false" outlineLevel="0" collapsed="false">
      <c r="A486" s="0" t="s">
        <v>280</v>
      </c>
      <c r="B486" s="0" t="n">
        <v>100</v>
      </c>
      <c r="C486" s="0" t="str">
        <f aca="false">TEXT(VLOOKUP(B486,$I$2:$J$20,2,FALSE()),"0")</f>
        <v>100</v>
      </c>
      <c r="D486" s="47" t="n">
        <v>130</v>
      </c>
      <c r="E486" s="47" t="n">
        <v>12870000</v>
      </c>
      <c r="F486" s="47" t="n">
        <v>2520960</v>
      </c>
    </row>
    <row r="487" customFormat="false" ht="15" hidden="false" customHeight="false" outlineLevel="0" collapsed="false">
      <c r="A487" s="0" t="s">
        <v>280</v>
      </c>
      <c r="B487" s="0" t="n">
        <v>200</v>
      </c>
      <c r="C487" s="0" t="str">
        <f aca="false">TEXT(VLOOKUP(B487,$I$2:$J$20,2,FALSE()),"0")</f>
        <v>200</v>
      </c>
      <c r="D487" s="47" t="n">
        <v>50</v>
      </c>
      <c r="E487" s="47" t="n">
        <v>4950000</v>
      </c>
      <c r="F487" s="47" t="n">
        <v>969600</v>
      </c>
    </row>
    <row r="488" customFormat="false" ht="15" hidden="false" customHeight="false" outlineLevel="0" collapsed="false">
      <c r="A488" s="0" t="s">
        <v>280</v>
      </c>
      <c r="B488" s="0" t="n">
        <v>300</v>
      </c>
      <c r="C488" s="0" t="str">
        <f aca="false">TEXT(VLOOKUP(B488,$I$2:$J$20,2,FALSE()),"0")</f>
        <v>300</v>
      </c>
      <c r="D488" s="47" t="n">
        <v>150</v>
      </c>
      <c r="E488" s="47" t="n">
        <v>14850000</v>
      </c>
      <c r="F488" s="47" t="n">
        <v>2908800</v>
      </c>
    </row>
    <row r="489" customFormat="false" ht="15" hidden="false" customHeight="false" outlineLevel="0" collapsed="false">
      <c r="A489" s="0" t="s">
        <v>280</v>
      </c>
      <c r="B489" s="0" t="n">
        <v>700</v>
      </c>
      <c r="C489" s="0" t="str">
        <f aca="false">TEXT(VLOOKUP(B489,$I$2:$J$20,2,FALSE()),"0")</f>
        <v>700</v>
      </c>
      <c r="D489" s="47" t="n">
        <v>120</v>
      </c>
      <c r="E489" s="47" t="n">
        <v>11880000</v>
      </c>
      <c r="F489" s="47" t="n">
        <v>2327040</v>
      </c>
    </row>
    <row r="490" customFormat="false" ht="15" hidden="false" customHeight="false" outlineLevel="0" collapsed="false">
      <c r="A490" s="0" t="s">
        <v>280</v>
      </c>
      <c r="B490" s="0" t="n">
        <v>799</v>
      </c>
      <c r="C490" s="0" t="str">
        <f aca="false">TEXT(VLOOKUP(B490,$I$2:$J$20,2,FALSE()),"0")</f>
        <v>700</v>
      </c>
      <c r="D490" s="47" t="n">
        <v>2</v>
      </c>
      <c r="E490" s="47" t="n">
        <v>198000</v>
      </c>
      <c r="F490" s="47" t="n">
        <v>38784</v>
      </c>
    </row>
    <row r="491" customFormat="false" ht="15" hidden="false" customHeight="false" outlineLevel="0" collapsed="false">
      <c r="A491" s="0" t="s">
        <v>280</v>
      </c>
      <c r="B491" s="0" t="n">
        <v>800</v>
      </c>
      <c r="C491" s="0" t="str">
        <f aca="false">TEXT(VLOOKUP(B491,$I$2:$J$20,2,FALSE()),"0")</f>
        <v>800</v>
      </c>
      <c r="D491" s="47" t="n">
        <v>70</v>
      </c>
      <c r="E491" s="47" t="n">
        <v>6930000</v>
      </c>
      <c r="F491" s="47" t="n">
        <v>1357440</v>
      </c>
    </row>
    <row r="492" customFormat="false" ht="15" hidden="false" customHeight="false" outlineLevel="0" collapsed="false">
      <c r="A492" s="0" t="s">
        <v>1473</v>
      </c>
      <c r="B492" s="0" t="n">
        <v>810</v>
      </c>
      <c r="C492" s="0" t="str">
        <f aca="false">TEXT(VLOOKUP(B492,$I$2:$J$20,2,FALSE()),"0")</f>
        <v>810</v>
      </c>
      <c r="D492" s="47" t="n">
        <v>216</v>
      </c>
      <c r="E492" s="47" t="n">
        <v>19224000</v>
      </c>
      <c r="F492" s="47" t="n">
        <v>3391200</v>
      </c>
    </row>
    <row r="493" customFormat="false" ht="15" hidden="false" customHeight="false" outlineLevel="0" collapsed="false">
      <c r="A493" s="0" t="s">
        <v>282</v>
      </c>
      <c r="B493" s="0" t="n">
        <v>100</v>
      </c>
      <c r="C493" s="0" t="str">
        <f aca="false">TEXT(VLOOKUP(B493,$I$2:$J$20,2,FALSE()),"0")</f>
        <v>100</v>
      </c>
      <c r="D493" s="47" t="n">
        <v>300</v>
      </c>
      <c r="E493" s="47" t="n">
        <v>38700000</v>
      </c>
      <c r="F493" s="47" t="n">
        <v>6692400</v>
      </c>
    </row>
    <row r="494" customFormat="false" ht="15" hidden="false" customHeight="false" outlineLevel="0" collapsed="false">
      <c r="A494" s="0" t="s">
        <v>282</v>
      </c>
      <c r="B494" s="0" t="n">
        <v>200</v>
      </c>
      <c r="C494" s="0" t="str">
        <f aca="false">TEXT(VLOOKUP(B494,$I$2:$J$20,2,FALSE()),"0")</f>
        <v>200</v>
      </c>
      <c r="D494" s="47" t="n">
        <v>210</v>
      </c>
      <c r="E494" s="47" t="n">
        <v>27090000</v>
      </c>
      <c r="F494" s="47" t="n">
        <v>4684680</v>
      </c>
    </row>
    <row r="495" customFormat="false" ht="15" hidden="false" customHeight="false" outlineLevel="0" collapsed="false">
      <c r="A495" s="0" t="s">
        <v>282</v>
      </c>
      <c r="B495" s="0" t="n">
        <v>299</v>
      </c>
      <c r="C495" s="0" t="str">
        <f aca="false">TEXT(VLOOKUP(B495,$I$2:$J$20,2,FALSE()),"0")</f>
        <v>200</v>
      </c>
      <c r="D495" s="47" t="n">
        <v>2</v>
      </c>
      <c r="E495" s="47" t="n">
        <v>258000</v>
      </c>
      <c r="F495" s="47" t="n">
        <v>44616</v>
      </c>
    </row>
    <row r="496" customFormat="false" ht="15" hidden="false" customHeight="false" outlineLevel="0" collapsed="false">
      <c r="A496" s="0" t="s">
        <v>282</v>
      </c>
      <c r="B496" s="0" t="n">
        <v>300</v>
      </c>
      <c r="C496" s="0" t="str">
        <f aca="false">TEXT(VLOOKUP(B496,$I$2:$J$20,2,FALSE()),"0")</f>
        <v>300</v>
      </c>
      <c r="D496" s="47" t="n">
        <v>550</v>
      </c>
      <c r="E496" s="47" t="n">
        <v>70950000</v>
      </c>
      <c r="F496" s="47" t="n">
        <v>12269400</v>
      </c>
    </row>
    <row r="497" customFormat="false" ht="15" hidden="false" customHeight="false" outlineLevel="0" collapsed="false">
      <c r="A497" s="0" t="s">
        <v>282</v>
      </c>
      <c r="B497" s="0" t="n">
        <v>600</v>
      </c>
      <c r="C497" s="0" t="str">
        <f aca="false">TEXT(VLOOKUP(B497,$I$2:$J$20,2,FALSE()),"0")</f>
        <v>600</v>
      </c>
      <c r="D497" s="47" t="n">
        <v>90</v>
      </c>
      <c r="E497" s="47" t="n">
        <v>11610000</v>
      </c>
      <c r="F497" s="47" t="n">
        <v>2007720</v>
      </c>
    </row>
    <row r="498" customFormat="false" ht="15" hidden="false" customHeight="false" outlineLevel="0" collapsed="false">
      <c r="A498" s="0" t="s">
        <v>282</v>
      </c>
      <c r="B498" s="0" t="n">
        <v>810</v>
      </c>
      <c r="C498" s="0" t="str">
        <f aca="false">TEXT(VLOOKUP(B498,$I$2:$J$20,2,FALSE()),"0")</f>
        <v>810</v>
      </c>
      <c r="D498" s="47" t="n">
        <v>240</v>
      </c>
      <c r="E498" s="47" t="n">
        <v>30960000</v>
      </c>
      <c r="F498" s="47" t="n">
        <v>5353920</v>
      </c>
    </row>
    <row r="499" customFormat="false" ht="15" hidden="false" customHeight="false" outlineLevel="0" collapsed="false">
      <c r="A499" s="0" t="s">
        <v>284</v>
      </c>
      <c r="B499" s="0" t="n">
        <v>300</v>
      </c>
      <c r="C499" s="0" t="str">
        <f aca="false">TEXT(VLOOKUP(B499,$I$2:$J$20,2,FALSE()),"0")</f>
        <v>300</v>
      </c>
      <c r="D499" s="47" t="n">
        <v>330</v>
      </c>
      <c r="E499" s="47" t="n">
        <v>22770000</v>
      </c>
      <c r="F499" s="47" t="n">
        <v>4818000</v>
      </c>
    </row>
    <row r="500" customFormat="false" ht="15" hidden="false" customHeight="false" outlineLevel="0" collapsed="false">
      <c r="A500" s="0" t="s">
        <v>284</v>
      </c>
      <c r="B500" s="0" t="n">
        <v>810</v>
      </c>
      <c r="C500" s="0" t="str">
        <f aca="false">TEXT(VLOOKUP(B500,$I$2:$J$20,2,FALSE()),"0")</f>
        <v>810</v>
      </c>
      <c r="D500" s="47" t="n">
        <v>216</v>
      </c>
      <c r="E500" s="47" t="n">
        <v>14904000</v>
      </c>
      <c r="F500" s="47" t="n">
        <v>3153600</v>
      </c>
    </row>
    <row r="501" customFormat="false" ht="15" hidden="false" customHeight="false" outlineLevel="0" collapsed="false">
      <c r="A501" s="0" t="s">
        <v>286</v>
      </c>
      <c r="B501" s="0" t="n">
        <v>100</v>
      </c>
      <c r="C501" s="0" t="str">
        <f aca="false">TEXT(VLOOKUP(B501,$I$2:$J$20,2,FALSE()),"0")</f>
        <v>100</v>
      </c>
      <c r="D501" s="47" t="n">
        <v>660</v>
      </c>
      <c r="E501" s="47" t="n">
        <v>38940000</v>
      </c>
      <c r="F501" s="47" t="n">
        <v>7329300</v>
      </c>
    </row>
    <row r="502" customFormat="false" ht="15" hidden="false" customHeight="false" outlineLevel="0" collapsed="false">
      <c r="A502" s="0" t="s">
        <v>286</v>
      </c>
      <c r="B502" s="0" t="n">
        <v>200</v>
      </c>
      <c r="C502" s="0" t="str">
        <f aca="false">TEXT(VLOOKUP(B502,$I$2:$J$20,2,FALSE()),"0")</f>
        <v>200</v>
      </c>
      <c r="D502" s="47" t="n">
        <v>335</v>
      </c>
      <c r="E502" s="47" t="n">
        <v>19765000</v>
      </c>
      <c r="F502" s="47" t="n">
        <v>3720175</v>
      </c>
    </row>
    <row r="503" customFormat="false" ht="15" hidden="false" customHeight="false" outlineLevel="0" collapsed="false">
      <c r="A503" s="0" t="s">
        <v>286</v>
      </c>
      <c r="B503" s="0" t="n">
        <v>299</v>
      </c>
      <c r="C503" s="0" t="str">
        <f aca="false">TEXT(VLOOKUP(B503,$I$2:$J$20,2,FALSE()),"0")</f>
        <v>200</v>
      </c>
      <c r="D503" s="47" t="n">
        <v>3</v>
      </c>
      <c r="E503" s="47" t="n">
        <v>177000</v>
      </c>
      <c r="F503" s="47" t="n">
        <v>33315</v>
      </c>
    </row>
    <row r="504" customFormat="false" ht="15" hidden="false" customHeight="false" outlineLevel="0" collapsed="false">
      <c r="A504" s="0" t="s">
        <v>286</v>
      </c>
      <c r="B504" s="0" t="n">
        <v>300</v>
      </c>
      <c r="C504" s="0" t="str">
        <f aca="false">TEXT(VLOOKUP(B504,$I$2:$J$20,2,FALSE()),"0")</f>
        <v>300</v>
      </c>
      <c r="D504" s="47" t="n">
        <v>680</v>
      </c>
      <c r="E504" s="47" t="n">
        <v>40120000</v>
      </c>
      <c r="F504" s="47" t="n">
        <v>7551400</v>
      </c>
    </row>
    <row r="505" customFormat="false" ht="15" hidden="false" customHeight="false" outlineLevel="0" collapsed="false">
      <c r="A505" s="0" t="s">
        <v>286</v>
      </c>
      <c r="B505" s="0" t="n">
        <v>600</v>
      </c>
      <c r="C505" s="0" t="str">
        <f aca="false">TEXT(VLOOKUP(B505,$I$2:$J$20,2,FALSE()),"0")</f>
        <v>600</v>
      </c>
      <c r="D505" s="47" t="n">
        <v>265</v>
      </c>
      <c r="E505" s="47" t="n">
        <v>15635000</v>
      </c>
      <c r="F505" s="47" t="n">
        <v>2942825</v>
      </c>
    </row>
    <row r="506" customFormat="false" ht="15" hidden="false" customHeight="false" outlineLevel="0" collapsed="false">
      <c r="A506" s="0" t="s">
        <v>288</v>
      </c>
      <c r="B506" s="0" t="n">
        <v>100</v>
      </c>
      <c r="C506" s="0" t="str">
        <f aca="false">TEXT(VLOOKUP(B506,$I$2:$J$20,2,FALSE()),"0")</f>
        <v>100</v>
      </c>
      <c r="D506" s="47" t="n">
        <v>960</v>
      </c>
      <c r="E506" s="47" t="n">
        <v>56640000</v>
      </c>
      <c r="F506" s="47" t="n">
        <v>10927680</v>
      </c>
    </row>
    <row r="507" customFormat="false" ht="15" hidden="false" customHeight="false" outlineLevel="0" collapsed="false">
      <c r="A507" s="0" t="s">
        <v>288</v>
      </c>
      <c r="B507" s="0" t="n">
        <v>300</v>
      </c>
      <c r="C507" s="0" t="str">
        <f aca="false">TEXT(VLOOKUP(B507,$I$2:$J$20,2,FALSE()),"0")</f>
        <v>300</v>
      </c>
      <c r="D507" s="47" t="n">
        <v>850</v>
      </c>
      <c r="E507" s="47" t="n">
        <v>50150000</v>
      </c>
      <c r="F507" s="47" t="n">
        <v>9675550</v>
      </c>
    </row>
    <row r="508" customFormat="false" ht="15" hidden="false" customHeight="false" outlineLevel="0" collapsed="false">
      <c r="A508" s="0" t="s">
        <v>288</v>
      </c>
      <c r="B508" s="0" t="n">
        <v>600</v>
      </c>
      <c r="C508" s="0" t="str">
        <f aca="false">TEXT(VLOOKUP(B508,$I$2:$J$20,2,FALSE()),"0")</f>
        <v>600</v>
      </c>
      <c r="D508" s="47" t="n">
        <v>245</v>
      </c>
      <c r="E508" s="47" t="n">
        <v>14455000</v>
      </c>
      <c r="F508" s="47" t="n">
        <v>2788835</v>
      </c>
    </row>
    <row r="509" customFormat="false" ht="15" hidden="false" customHeight="false" outlineLevel="0" collapsed="false">
      <c r="A509" s="0" t="s">
        <v>290</v>
      </c>
      <c r="B509" s="0" t="n">
        <v>100</v>
      </c>
      <c r="C509" s="0" t="str">
        <f aca="false">TEXT(VLOOKUP(B509,$I$2:$J$20,2,FALSE()),"0")</f>
        <v>100</v>
      </c>
      <c r="D509" s="47" t="n">
        <v>1140</v>
      </c>
      <c r="E509" s="47" t="n">
        <v>78660000</v>
      </c>
      <c r="F509" s="47" t="n">
        <v>15281700</v>
      </c>
    </row>
    <row r="510" customFormat="false" ht="15" hidden="false" customHeight="false" outlineLevel="0" collapsed="false">
      <c r="A510" s="0" t="s">
        <v>290</v>
      </c>
      <c r="B510" s="0" t="n">
        <v>200</v>
      </c>
      <c r="C510" s="0" t="str">
        <f aca="false">TEXT(VLOOKUP(B510,$I$2:$J$20,2,FALSE()),"0")</f>
        <v>200</v>
      </c>
      <c r="D510" s="47" t="n">
        <v>410</v>
      </c>
      <c r="E510" s="47" t="n">
        <v>28290000</v>
      </c>
      <c r="F510" s="47" t="n">
        <v>5496050</v>
      </c>
    </row>
    <row r="511" customFormat="false" ht="15" hidden="false" customHeight="false" outlineLevel="0" collapsed="false">
      <c r="A511" s="0" t="s">
        <v>290</v>
      </c>
      <c r="B511" s="0" t="n">
        <v>299</v>
      </c>
      <c r="C511" s="0" t="str">
        <f aca="false">TEXT(VLOOKUP(B511,$I$2:$J$20,2,FALSE()),"0")</f>
        <v>200</v>
      </c>
      <c r="D511" s="47" t="n">
        <v>3</v>
      </c>
      <c r="E511" s="47" t="n">
        <v>207000</v>
      </c>
      <c r="F511" s="47" t="n">
        <v>40215</v>
      </c>
    </row>
    <row r="512" customFormat="false" ht="15" hidden="false" customHeight="false" outlineLevel="0" collapsed="false">
      <c r="A512" s="0" t="s">
        <v>290</v>
      </c>
      <c r="B512" s="0" t="n">
        <v>300</v>
      </c>
      <c r="C512" s="0" t="str">
        <f aca="false">TEXT(VLOOKUP(B512,$I$2:$J$20,2,FALSE()),"0")</f>
        <v>300</v>
      </c>
      <c r="D512" s="47" t="n">
        <v>900</v>
      </c>
      <c r="E512" s="47" t="n">
        <v>62100000</v>
      </c>
      <c r="F512" s="47" t="n">
        <v>12064500</v>
      </c>
    </row>
    <row r="513" customFormat="false" ht="15" hidden="false" customHeight="false" outlineLevel="0" collapsed="false">
      <c r="A513" s="0" t="s">
        <v>290</v>
      </c>
      <c r="B513" s="0" t="n">
        <v>500</v>
      </c>
      <c r="C513" s="0" t="str">
        <f aca="false">TEXT(VLOOKUP(B513,$I$2:$J$20,2,FALSE()),"0")</f>
        <v>500</v>
      </c>
      <c r="D513" s="47" t="n">
        <v>50</v>
      </c>
      <c r="E513" s="47" t="n">
        <v>3450000</v>
      </c>
      <c r="F513" s="47" t="n">
        <v>670250</v>
      </c>
    </row>
    <row r="514" customFormat="false" ht="15" hidden="false" customHeight="false" outlineLevel="0" collapsed="false">
      <c r="A514" s="0" t="s">
        <v>290</v>
      </c>
      <c r="B514" s="0" t="n">
        <v>600</v>
      </c>
      <c r="C514" s="0" t="str">
        <f aca="false">TEXT(VLOOKUP(B514,$I$2:$J$20,2,FALSE()),"0")</f>
        <v>600</v>
      </c>
      <c r="D514" s="47" t="n">
        <v>270</v>
      </c>
      <c r="E514" s="47" t="n">
        <v>18630000</v>
      </c>
      <c r="F514" s="47" t="n">
        <v>3619350</v>
      </c>
    </row>
    <row r="515" customFormat="false" ht="15" hidden="false" customHeight="false" outlineLevel="0" collapsed="false">
      <c r="A515" s="0" t="s">
        <v>290</v>
      </c>
      <c r="B515" s="0" t="n">
        <v>700</v>
      </c>
      <c r="C515" s="0" t="str">
        <f aca="false">TEXT(VLOOKUP(B515,$I$2:$J$20,2,FALSE()),"0")</f>
        <v>700</v>
      </c>
      <c r="D515" s="47" t="n">
        <v>180</v>
      </c>
      <c r="E515" s="47" t="n">
        <v>12420000</v>
      </c>
      <c r="F515" s="47" t="n">
        <v>2412900</v>
      </c>
    </row>
    <row r="516" customFormat="false" ht="15" hidden="false" customHeight="false" outlineLevel="0" collapsed="false">
      <c r="A516" s="0" t="s">
        <v>290</v>
      </c>
      <c r="B516" s="0" t="n">
        <v>799</v>
      </c>
      <c r="C516" s="0" t="str">
        <f aca="false">TEXT(VLOOKUP(B516,$I$2:$J$20,2,FALSE()),"0")</f>
        <v>700</v>
      </c>
      <c r="D516" s="47" t="n">
        <v>3</v>
      </c>
      <c r="E516" s="47" t="n">
        <v>207000</v>
      </c>
      <c r="F516" s="47" t="n">
        <v>40215</v>
      </c>
    </row>
    <row r="517" customFormat="false" ht="15" hidden="false" customHeight="false" outlineLevel="0" collapsed="false">
      <c r="A517" s="0" t="s">
        <v>290</v>
      </c>
      <c r="B517" s="0" t="n">
        <v>800</v>
      </c>
      <c r="C517" s="0" t="str">
        <f aca="false">TEXT(VLOOKUP(B517,$I$2:$J$20,2,FALSE()),"0")</f>
        <v>800</v>
      </c>
      <c r="D517" s="47" t="n">
        <v>100</v>
      </c>
      <c r="E517" s="47" t="n">
        <v>6900000</v>
      </c>
      <c r="F517" s="47" t="n">
        <v>1340500</v>
      </c>
    </row>
    <row r="518" customFormat="false" ht="15" hidden="false" customHeight="false" outlineLevel="0" collapsed="false">
      <c r="A518" s="0" t="s">
        <v>292</v>
      </c>
      <c r="B518" s="0" t="n">
        <v>100</v>
      </c>
      <c r="C518" s="0" t="str">
        <f aca="false">TEXT(VLOOKUP(B518,$I$2:$J$20,2,FALSE()),"0")</f>
        <v>100</v>
      </c>
      <c r="D518" s="47" t="n">
        <v>420</v>
      </c>
      <c r="E518" s="47" t="n">
        <v>24780000</v>
      </c>
      <c r="F518" s="47" t="n">
        <v>5670000</v>
      </c>
    </row>
    <row r="519" customFormat="false" ht="15" hidden="false" customHeight="false" outlineLevel="0" collapsed="false">
      <c r="A519" s="0" t="s">
        <v>292</v>
      </c>
      <c r="B519" s="0" t="n">
        <v>300</v>
      </c>
      <c r="C519" s="0" t="str">
        <f aca="false">TEXT(VLOOKUP(B519,$I$2:$J$20,2,FALSE()),"0")</f>
        <v>300</v>
      </c>
      <c r="D519" s="47" t="n">
        <v>550</v>
      </c>
      <c r="E519" s="47" t="n">
        <v>32450000</v>
      </c>
      <c r="F519" s="47" t="n">
        <v>7425000</v>
      </c>
    </row>
    <row r="520" customFormat="false" ht="15" hidden="false" customHeight="false" outlineLevel="0" collapsed="false">
      <c r="A520" s="0" t="s">
        <v>292</v>
      </c>
      <c r="B520" s="0" t="n">
        <v>600</v>
      </c>
      <c r="C520" s="0" t="str">
        <f aca="false">TEXT(VLOOKUP(B520,$I$2:$J$20,2,FALSE()),"0")</f>
        <v>600</v>
      </c>
      <c r="D520" s="47" t="n">
        <v>90</v>
      </c>
      <c r="E520" s="47" t="n">
        <v>5310000</v>
      </c>
      <c r="F520" s="47" t="n">
        <v>1215000</v>
      </c>
    </row>
    <row r="521" customFormat="false" ht="15" hidden="false" customHeight="false" outlineLevel="0" collapsed="false">
      <c r="A521" s="0" t="s">
        <v>292</v>
      </c>
      <c r="B521" s="0" t="n">
        <v>700</v>
      </c>
      <c r="C521" s="0" t="str">
        <f aca="false">TEXT(VLOOKUP(B521,$I$2:$J$20,2,FALSE()),"0")</f>
        <v>700</v>
      </c>
      <c r="D521" s="47" t="n">
        <v>60</v>
      </c>
      <c r="E521" s="47" t="n">
        <v>3540000</v>
      </c>
      <c r="F521" s="47" t="n">
        <v>810000</v>
      </c>
    </row>
    <row r="522" customFormat="false" ht="15" hidden="false" customHeight="false" outlineLevel="0" collapsed="false">
      <c r="A522" s="0" t="s">
        <v>292</v>
      </c>
      <c r="B522" s="0" t="n">
        <v>799</v>
      </c>
      <c r="C522" s="0" t="str">
        <f aca="false">TEXT(VLOOKUP(B522,$I$2:$J$20,2,FALSE()),"0")</f>
        <v>700</v>
      </c>
      <c r="D522" s="47" t="n">
        <v>1</v>
      </c>
      <c r="E522" s="47" t="n">
        <v>59000</v>
      </c>
      <c r="F522" s="47" t="n">
        <v>13500</v>
      </c>
    </row>
    <row r="523" customFormat="false" ht="15" hidden="false" customHeight="false" outlineLevel="0" collapsed="false">
      <c r="A523" s="0" t="s">
        <v>292</v>
      </c>
      <c r="B523" s="0" t="n">
        <v>800</v>
      </c>
      <c r="C523" s="0" t="str">
        <f aca="false">TEXT(VLOOKUP(B523,$I$2:$J$20,2,FALSE()),"0")</f>
        <v>800</v>
      </c>
      <c r="D523" s="47" t="n">
        <v>65</v>
      </c>
      <c r="E523" s="47" t="n">
        <v>3835000</v>
      </c>
      <c r="F523" s="47" t="n">
        <v>877500</v>
      </c>
    </row>
    <row r="524" customFormat="false" ht="15" hidden="false" customHeight="false" outlineLevel="0" collapsed="false">
      <c r="A524" s="0" t="s">
        <v>294</v>
      </c>
      <c r="B524" s="0" t="n">
        <v>100</v>
      </c>
      <c r="C524" s="0" t="str">
        <f aca="false">TEXT(VLOOKUP(B524,$I$2:$J$20,2,FALSE()),"0")</f>
        <v>100</v>
      </c>
      <c r="D524" s="47" t="n">
        <v>360</v>
      </c>
      <c r="E524" s="47" t="n">
        <v>21240000</v>
      </c>
      <c r="F524" s="47" t="n">
        <v>4648680</v>
      </c>
    </row>
    <row r="525" customFormat="false" ht="15" hidden="false" customHeight="false" outlineLevel="0" collapsed="false">
      <c r="A525" s="0" t="s">
        <v>294</v>
      </c>
      <c r="B525" s="0" t="n">
        <v>200</v>
      </c>
      <c r="C525" s="0" t="str">
        <f aca="false">TEXT(VLOOKUP(B525,$I$2:$J$20,2,FALSE()),"0")</f>
        <v>200</v>
      </c>
      <c r="D525" s="47" t="n">
        <v>460</v>
      </c>
      <c r="E525" s="47" t="n">
        <v>27140000</v>
      </c>
      <c r="F525" s="47" t="n">
        <v>5939980</v>
      </c>
    </row>
    <row r="526" customFormat="false" ht="15" hidden="false" customHeight="false" outlineLevel="0" collapsed="false">
      <c r="A526" s="0" t="s">
        <v>294</v>
      </c>
      <c r="B526" s="0" t="n">
        <v>299</v>
      </c>
      <c r="C526" s="0" t="str">
        <f aca="false">TEXT(VLOOKUP(B526,$I$2:$J$20,2,FALSE()),"0")</f>
        <v>200</v>
      </c>
      <c r="D526" s="47" t="n">
        <v>3</v>
      </c>
      <c r="E526" s="47" t="n">
        <v>177000</v>
      </c>
      <c r="F526" s="47" t="n">
        <v>38739</v>
      </c>
    </row>
    <row r="527" customFormat="false" ht="15" hidden="false" customHeight="false" outlineLevel="0" collapsed="false">
      <c r="A527" s="0" t="s">
        <v>294</v>
      </c>
      <c r="B527" s="0" t="n">
        <v>300</v>
      </c>
      <c r="C527" s="0" t="str">
        <f aca="false">TEXT(VLOOKUP(B527,$I$2:$J$20,2,FALSE()),"0")</f>
        <v>300</v>
      </c>
      <c r="D527" s="47" t="n">
        <v>400</v>
      </c>
      <c r="E527" s="47" t="n">
        <v>23600000</v>
      </c>
      <c r="F527" s="47" t="n">
        <v>5165200</v>
      </c>
    </row>
    <row r="528" customFormat="false" ht="15" hidden="false" customHeight="false" outlineLevel="0" collapsed="false">
      <c r="A528" s="0" t="s">
        <v>294</v>
      </c>
      <c r="B528" s="0" t="n">
        <v>600</v>
      </c>
      <c r="C528" s="0" t="str">
        <f aca="false">TEXT(VLOOKUP(B528,$I$2:$J$20,2,FALSE()),"0")</f>
        <v>600</v>
      </c>
      <c r="D528" s="47" t="n">
        <v>40</v>
      </c>
      <c r="E528" s="47" t="n">
        <v>2360000</v>
      </c>
      <c r="F528" s="47" t="n">
        <v>516520</v>
      </c>
    </row>
    <row r="529" customFormat="false" ht="15" hidden="false" customHeight="false" outlineLevel="0" collapsed="false">
      <c r="A529" s="0" t="s">
        <v>294</v>
      </c>
      <c r="B529" s="0" t="n">
        <v>800</v>
      </c>
      <c r="C529" s="0" t="str">
        <f aca="false">TEXT(VLOOKUP(B529,$I$2:$J$20,2,FALSE()),"0")</f>
        <v>800</v>
      </c>
      <c r="D529" s="47" t="n">
        <v>40</v>
      </c>
      <c r="E529" s="47" t="n">
        <v>2360000</v>
      </c>
      <c r="F529" s="47" t="n">
        <v>516520</v>
      </c>
    </row>
    <row r="530" customFormat="false" ht="15" hidden="false" customHeight="false" outlineLevel="0" collapsed="false">
      <c r="A530" s="0" t="s">
        <v>296</v>
      </c>
      <c r="B530" s="0" t="n">
        <v>300</v>
      </c>
      <c r="C530" s="0" t="str">
        <f aca="false">TEXT(VLOOKUP(B530,$I$2:$J$20,2,FALSE()),"0")</f>
        <v>300</v>
      </c>
      <c r="D530" s="47" t="n">
        <v>450</v>
      </c>
      <c r="E530" s="47" t="n">
        <v>31050000</v>
      </c>
      <c r="F530" s="47" t="n">
        <v>6435000</v>
      </c>
    </row>
    <row r="531" customFormat="false" ht="15" hidden="false" customHeight="false" outlineLevel="0" collapsed="false">
      <c r="A531" s="0" t="s">
        <v>296</v>
      </c>
      <c r="B531" s="0" t="n">
        <v>600</v>
      </c>
      <c r="C531" s="0" t="str">
        <f aca="false">TEXT(VLOOKUP(B531,$I$2:$J$20,2,FALSE()),"0")</f>
        <v>600</v>
      </c>
      <c r="D531" s="47" t="n">
        <v>170</v>
      </c>
      <c r="E531" s="47" t="n">
        <v>11730000</v>
      </c>
      <c r="F531" s="47" t="n">
        <v>2431000</v>
      </c>
    </row>
    <row r="532" customFormat="false" ht="15" hidden="false" customHeight="false" outlineLevel="0" collapsed="false">
      <c r="A532" s="0" t="s">
        <v>296</v>
      </c>
      <c r="B532" s="0" t="n">
        <v>800</v>
      </c>
      <c r="C532" s="0" t="str">
        <f aca="false">TEXT(VLOOKUP(B532,$I$2:$J$20,2,FALSE()),"0")</f>
        <v>800</v>
      </c>
      <c r="D532" s="47" t="n">
        <v>65</v>
      </c>
      <c r="E532" s="47" t="n">
        <v>4485000</v>
      </c>
      <c r="F532" s="47" t="n">
        <v>929500</v>
      </c>
    </row>
    <row r="533" customFormat="false" ht="15" hidden="false" customHeight="false" outlineLevel="0" collapsed="false">
      <c r="A533" s="0" t="s">
        <v>298</v>
      </c>
      <c r="B533" s="0" t="n">
        <v>100</v>
      </c>
      <c r="C533" s="0" t="str">
        <f aca="false">TEXT(VLOOKUP(B533,$I$2:$J$20,2,FALSE()),"0")</f>
        <v>100</v>
      </c>
      <c r="D533" s="47" t="n">
        <v>480</v>
      </c>
      <c r="E533" s="47" t="n">
        <v>28320000</v>
      </c>
      <c r="F533" s="47" t="n">
        <v>5808000</v>
      </c>
    </row>
    <row r="534" customFormat="false" ht="15" hidden="false" customHeight="false" outlineLevel="0" collapsed="false">
      <c r="A534" s="0" t="s">
        <v>298</v>
      </c>
      <c r="B534" s="0" t="n">
        <v>300</v>
      </c>
      <c r="C534" s="0" t="str">
        <f aca="false">TEXT(VLOOKUP(B534,$I$2:$J$20,2,FALSE()),"0")</f>
        <v>300</v>
      </c>
      <c r="D534" s="47" t="n">
        <v>580</v>
      </c>
      <c r="E534" s="47" t="n">
        <v>34220000</v>
      </c>
      <c r="F534" s="47" t="n">
        <v>7018000</v>
      </c>
    </row>
    <row r="535" customFormat="false" ht="15" hidden="false" customHeight="false" outlineLevel="0" collapsed="false">
      <c r="A535" s="0" t="s">
        <v>298</v>
      </c>
      <c r="B535" s="0" t="n">
        <v>600</v>
      </c>
      <c r="C535" s="0" t="str">
        <f aca="false">TEXT(VLOOKUP(B535,$I$2:$J$20,2,FALSE()),"0")</f>
        <v>600</v>
      </c>
      <c r="D535" s="47" t="n">
        <v>135</v>
      </c>
      <c r="E535" s="47" t="n">
        <v>7965000</v>
      </c>
      <c r="F535" s="47" t="n">
        <v>1633500</v>
      </c>
    </row>
    <row r="536" customFormat="false" ht="15" hidden="false" customHeight="false" outlineLevel="0" collapsed="false">
      <c r="A536" s="0" t="s">
        <v>300</v>
      </c>
      <c r="B536" s="0" t="n">
        <v>100</v>
      </c>
      <c r="C536" s="0" t="str">
        <f aca="false">TEXT(VLOOKUP(B536,$I$2:$J$20,2,FALSE()),"0")</f>
        <v>100</v>
      </c>
      <c r="D536" s="47" t="n">
        <v>720</v>
      </c>
      <c r="E536" s="47" t="n">
        <v>49680000</v>
      </c>
      <c r="F536" s="47" t="n">
        <v>9864000</v>
      </c>
    </row>
    <row r="537" customFormat="false" ht="15" hidden="false" customHeight="false" outlineLevel="0" collapsed="false">
      <c r="A537" s="0" t="s">
        <v>300</v>
      </c>
      <c r="B537" s="0" t="n">
        <v>300</v>
      </c>
      <c r="C537" s="0" t="str">
        <f aca="false">TEXT(VLOOKUP(B537,$I$2:$J$20,2,FALSE()),"0")</f>
        <v>300</v>
      </c>
      <c r="D537" s="47" t="n">
        <v>700</v>
      </c>
      <c r="E537" s="47" t="n">
        <v>48300000</v>
      </c>
      <c r="F537" s="47" t="n">
        <v>9590000</v>
      </c>
    </row>
    <row r="538" customFormat="false" ht="15" hidden="false" customHeight="false" outlineLevel="0" collapsed="false">
      <c r="A538" s="0" t="s">
        <v>300</v>
      </c>
      <c r="B538" s="0" t="n">
        <v>600</v>
      </c>
      <c r="C538" s="0" t="str">
        <f aca="false">TEXT(VLOOKUP(B538,$I$2:$J$20,2,FALSE()),"0")</f>
        <v>600</v>
      </c>
      <c r="D538" s="47" t="n">
        <v>205</v>
      </c>
      <c r="E538" s="47" t="n">
        <v>14145000</v>
      </c>
      <c r="F538" s="47" t="n">
        <v>2808500</v>
      </c>
    </row>
    <row r="539" customFormat="false" ht="15" hidden="false" customHeight="false" outlineLevel="0" collapsed="false">
      <c r="A539" s="0" t="s">
        <v>300</v>
      </c>
      <c r="B539" s="0" t="n">
        <v>700</v>
      </c>
      <c r="C539" s="0" t="str">
        <f aca="false">TEXT(VLOOKUP(B539,$I$2:$J$20,2,FALSE()),"0")</f>
        <v>700</v>
      </c>
      <c r="D539" s="47" t="n">
        <v>55</v>
      </c>
      <c r="E539" s="47" t="n">
        <v>3795000</v>
      </c>
      <c r="F539" s="47" t="n">
        <v>753500</v>
      </c>
    </row>
    <row r="540" customFormat="false" ht="15" hidden="false" customHeight="false" outlineLevel="0" collapsed="false">
      <c r="A540" s="0" t="s">
        <v>300</v>
      </c>
      <c r="B540" s="0" t="n">
        <v>799</v>
      </c>
      <c r="C540" s="0" t="str">
        <f aca="false">TEXT(VLOOKUP(B540,$I$2:$J$20,2,FALSE()),"0")</f>
        <v>700</v>
      </c>
      <c r="D540" s="47" t="n">
        <v>1</v>
      </c>
      <c r="E540" s="47" t="n">
        <v>69000</v>
      </c>
      <c r="F540" s="47" t="n">
        <v>13700</v>
      </c>
    </row>
    <row r="541" customFormat="false" ht="15" hidden="false" customHeight="false" outlineLevel="0" collapsed="false">
      <c r="A541" s="0" t="s">
        <v>300</v>
      </c>
      <c r="B541" s="0" t="n">
        <v>800</v>
      </c>
      <c r="C541" s="0" t="str">
        <f aca="false">TEXT(VLOOKUP(B541,$I$2:$J$20,2,FALSE()),"0")</f>
        <v>800</v>
      </c>
      <c r="D541" s="47" t="n">
        <v>65</v>
      </c>
      <c r="E541" s="47" t="n">
        <v>4485000</v>
      </c>
      <c r="F541" s="47" t="n">
        <v>890500</v>
      </c>
    </row>
    <row r="542" customFormat="false" ht="15" hidden="false" customHeight="false" outlineLevel="0" collapsed="false">
      <c r="A542" s="0" t="s">
        <v>302</v>
      </c>
      <c r="B542" s="0" t="n">
        <v>100</v>
      </c>
      <c r="C542" s="0" t="str">
        <f aca="false">TEXT(VLOOKUP(B542,$I$2:$J$20,2,FALSE()),"0")</f>
        <v>100</v>
      </c>
      <c r="D542" s="47" t="n">
        <v>720</v>
      </c>
      <c r="E542" s="47" t="n">
        <v>49680000</v>
      </c>
      <c r="F542" s="47" t="n">
        <v>10162800</v>
      </c>
    </row>
    <row r="543" customFormat="false" ht="15" hidden="false" customHeight="false" outlineLevel="0" collapsed="false">
      <c r="A543" s="0" t="s">
        <v>302</v>
      </c>
      <c r="B543" s="0" t="n">
        <v>200</v>
      </c>
      <c r="C543" s="0" t="str">
        <f aca="false">TEXT(VLOOKUP(B543,$I$2:$J$20,2,FALSE()),"0")</f>
        <v>200</v>
      </c>
      <c r="D543" s="47" t="n">
        <v>240</v>
      </c>
      <c r="E543" s="47" t="n">
        <v>16560000</v>
      </c>
      <c r="F543" s="47" t="n">
        <v>3387600</v>
      </c>
    </row>
    <row r="544" customFormat="false" ht="15" hidden="false" customHeight="false" outlineLevel="0" collapsed="false">
      <c r="A544" s="0" t="s">
        <v>302</v>
      </c>
      <c r="B544" s="0" t="n">
        <v>299</v>
      </c>
      <c r="C544" s="0" t="str">
        <f aca="false">TEXT(VLOOKUP(B544,$I$2:$J$20,2,FALSE()),"0")</f>
        <v>200</v>
      </c>
      <c r="D544" s="47" t="n">
        <v>2</v>
      </c>
      <c r="E544" s="47" t="n">
        <v>138000</v>
      </c>
      <c r="F544" s="47" t="n">
        <v>28230</v>
      </c>
    </row>
    <row r="545" customFormat="false" ht="15" hidden="false" customHeight="false" outlineLevel="0" collapsed="false">
      <c r="A545" s="0" t="s">
        <v>302</v>
      </c>
      <c r="B545" s="0" t="n">
        <v>300</v>
      </c>
      <c r="C545" s="0" t="str">
        <f aca="false">TEXT(VLOOKUP(B545,$I$2:$J$20,2,FALSE()),"0")</f>
        <v>300</v>
      </c>
      <c r="D545" s="47" t="n">
        <v>600</v>
      </c>
      <c r="E545" s="47" t="n">
        <v>41400000</v>
      </c>
      <c r="F545" s="47" t="n">
        <v>8469000</v>
      </c>
    </row>
    <row r="546" customFormat="false" ht="15" hidden="false" customHeight="false" outlineLevel="0" collapsed="false">
      <c r="A546" s="0" t="s">
        <v>302</v>
      </c>
      <c r="B546" s="0" t="n">
        <v>600</v>
      </c>
      <c r="C546" s="0" t="str">
        <f aca="false">TEXT(VLOOKUP(B546,$I$2:$J$20,2,FALSE()),"0")</f>
        <v>600</v>
      </c>
      <c r="D546" s="47" t="n">
        <v>50</v>
      </c>
      <c r="E546" s="47" t="n">
        <v>3450000</v>
      </c>
      <c r="F546" s="47" t="n">
        <v>705750</v>
      </c>
    </row>
    <row r="547" customFormat="false" ht="15" hidden="false" customHeight="false" outlineLevel="0" collapsed="false">
      <c r="A547" s="0" t="s">
        <v>302</v>
      </c>
      <c r="B547" s="0" t="n">
        <v>700</v>
      </c>
      <c r="C547" s="0" t="str">
        <f aca="false">TEXT(VLOOKUP(B547,$I$2:$J$20,2,FALSE()),"0")</f>
        <v>700</v>
      </c>
      <c r="D547" s="47" t="n">
        <v>55</v>
      </c>
      <c r="E547" s="47" t="n">
        <v>3795000</v>
      </c>
      <c r="F547" s="47" t="n">
        <v>776325</v>
      </c>
    </row>
    <row r="548" customFormat="false" ht="15" hidden="false" customHeight="false" outlineLevel="0" collapsed="false">
      <c r="A548" s="0" t="s">
        <v>302</v>
      </c>
      <c r="B548" s="0" t="n">
        <v>799</v>
      </c>
      <c r="C548" s="0" t="str">
        <f aca="false">TEXT(VLOOKUP(B548,$I$2:$J$20,2,FALSE()),"0")</f>
        <v>700</v>
      </c>
      <c r="D548" s="47" t="n">
        <v>1</v>
      </c>
      <c r="E548" s="47" t="n">
        <v>69000</v>
      </c>
      <c r="F548" s="47" t="n">
        <v>14115</v>
      </c>
    </row>
    <row r="549" customFormat="false" ht="15" hidden="false" customHeight="false" outlineLevel="0" collapsed="false">
      <c r="A549" s="0" t="s">
        <v>302</v>
      </c>
      <c r="B549" s="0" t="n">
        <v>800</v>
      </c>
      <c r="C549" s="0" t="str">
        <f aca="false">TEXT(VLOOKUP(B549,$I$2:$J$20,2,FALSE()),"0")</f>
        <v>800</v>
      </c>
      <c r="D549" s="47" t="n">
        <v>60</v>
      </c>
      <c r="E549" s="47" t="n">
        <v>4140000</v>
      </c>
      <c r="F549" s="47" t="n">
        <v>846900</v>
      </c>
    </row>
    <row r="550" customFormat="false" ht="15" hidden="false" customHeight="false" outlineLevel="0" collapsed="false">
      <c r="A550" s="0" t="s">
        <v>832</v>
      </c>
      <c r="B550" s="0" t="n">
        <v>100</v>
      </c>
      <c r="C550" s="0" t="str">
        <f aca="false">TEXT(VLOOKUP(B550,$I$2:$J$20,2,FALSE()),"0")</f>
        <v>100</v>
      </c>
      <c r="D550" s="47" t="n">
        <v>660</v>
      </c>
      <c r="E550" s="47" t="n">
        <v>38940000</v>
      </c>
      <c r="F550" s="47" t="n">
        <v>7337220</v>
      </c>
    </row>
    <row r="551" customFormat="false" ht="15" hidden="false" customHeight="false" outlineLevel="0" collapsed="false">
      <c r="A551" s="0" t="s">
        <v>304</v>
      </c>
      <c r="B551" s="0" t="n">
        <v>100</v>
      </c>
      <c r="C551" s="0" t="str">
        <f aca="false">TEXT(VLOOKUP(B551,$I$2:$J$20,2,FALSE()),"0")</f>
        <v>100</v>
      </c>
      <c r="D551" s="47" t="n">
        <v>660</v>
      </c>
      <c r="E551" s="47" t="n">
        <v>38940000</v>
      </c>
      <c r="F551" s="47" t="n">
        <v>6534000</v>
      </c>
    </row>
    <row r="552" customFormat="false" ht="15" hidden="false" customHeight="false" outlineLevel="0" collapsed="false">
      <c r="A552" s="0" t="s">
        <v>304</v>
      </c>
      <c r="B552" s="0" t="n">
        <v>300</v>
      </c>
      <c r="C552" s="0" t="str">
        <f aca="false">TEXT(VLOOKUP(B552,$I$2:$J$20,2,FALSE()),"0")</f>
        <v>300</v>
      </c>
      <c r="D552" s="47" t="n">
        <v>400</v>
      </c>
      <c r="E552" s="47" t="n">
        <v>23600000</v>
      </c>
      <c r="F552" s="47" t="n">
        <v>3960000</v>
      </c>
    </row>
    <row r="553" customFormat="false" ht="15" hidden="false" customHeight="false" outlineLevel="0" collapsed="false">
      <c r="A553" s="0" t="s">
        <v>304</v>
      </c>
      <c r="B553" s="0" t="n">
        <v>600</v>
      </c>
      <c r="C553" s="0" t="str">
        <f aca="false">TEXT(VLOOKUP(B553,$I$2:$J$20,2,FALSE()),"0")</f>
        <v>600</v>
      </c>
      <c r="D553" s="47" t="n">
        <v>135</v>
      </c>
      <c r="E553" s="47" t="n">
        <v>7965000</v>
      </c>
      <c r="F553" s="47" t="n">
        <v>1336500</v>
      </c>
    </row>
    <row r="554" customFormat="false" ht="15" hidden="false" customHeight="false" outlineLevel="0" collapsed="false">
      <c r="A554" s="0" t="s">
        <v>304</v>
      </c>
      <c r="B554" s="0" t="n">
        <v>700</v>
      </c>
      <c r="C554" s="0" t="str">
        <f aca="false">TEXT(VLOOKUP(B554,$I$2:$J$20,2,FALSE()),"0")</f>
        <v>700</v>
      </c>
      <c r="D554" s="47" t="n">
        <v>140</v>
      </c>
      <c r="E554" s="47" t="n">
        <v>8260000</v>
      </c>
      <c r="F554" s="47" t="n">
        <v>1386000</v>
      </c>
    </row>
    <row r="555" customFormat="false" ht="15" hidden="false" customHeight="false" outlineLevel="0" collapsed="false">
      <c r="A555" s="0" t="s">
        <v>304</v>
      </c>
      <c r="B555" s="0" t="n">
        <v>799</v>
      </c>
      <c r="C555" s="0" t="str">
        <f aca="false">TEXT(VLOOKUP(B555,$I$2:$J$20,2,FALSE()),"0")</f>
        <v>700</v>
      </c>
      <c r="D555" s="47" t="n">
        <v>2</v>
      </c>
      <c r="E555" s="47" t="n">
        <v>118000</v>
      </c>
      <c r="F555" s="47" t="n">
        <v>19800</v>
      </c>
    </row>
    <row r="556" customFormat="false" ht="15" hidden="false" customHeight="false" outlineLevel="0" collapsed="false">
      <c r="A556" s="0" t="s">
        <v>306</v>
      </c>
      <c r="B556" s="0" t="n">
        <v>100</v>
      </c>
      <c r="C556" s="0" t="str">
        <f aca="false">TEXT(VLOOKUP(B556,$I$2:$J$20,2,FALSE()),"0")</f>
        <v>100</v>
      </c>
      <c r="D556" s="47" t="n">
        <v>480</v>
      </c>
      <c r="E556" s="47" t="n">
        <v>33120000</v>
      </c>
      <c r="F556" s="47" t="n">
        <v>6288000</v>
      </c>
    </row>
    <row r="557" customFormat="false" ht="15" hidden="false" customHeight="false" outlineLevel="0" collapsed="false">
      <c r="A557" s="0" t="s">
        <v>306</v>
      </c>
      <c r="B557" s="0" t="n">
        <v>300</v>
      </c>
      <c r="C557" s="0" t="str">
        <f aca="false">TEXT(VLOOKUP(B557,$I$2:$J$20,2,FALSE()),"0")</f>
        <v>300</v>
      </c>
      <c r="D557" s="47" t="n">
        <v>240</v>
      </c>
      <c r="E557" s="47" t="n">
        <v>16560000</v>
      </c>
      <c r="F557" s="47" t="n">
        <v>3144000</v>
      </c>
    </row>
    <row r="558" customFormat="false" ht="15" hidden="false" customHeight="false" outlineLevel="0" collapsed="false">
      <c r="A558" s="0" t="s">
        <v>306</v>
      </c>
      <c r="B558" s="0" t="n">
        <v>800</v>
      </c>
      <c r="C558" s="0" t="str">
        <f aca="false">TEXT(VLOOKUP(B558,$I$2:$J$20,2,FALSE()),"0")</f>
        <v>800</v>
      </c>
      <c r="D558" s="47" t="n">
        <v>90</v>
      </c>
      <c r="E558" s="47" t="n">
        <v>6210000</v>
      </c>
      <c r="F558" s="47" t="n">
        <v>1179000</v>
      </c>
    </row>
    <row r="559" customFormat="false" ht="15" hidden="false" customHeight="false" outlineLevel="0" collapsed="false">
      <c r="A559" s="0" t="s">
        <v>306</v>
      </c>
      <c r="B559" s="0" t="n">
        <v>810</v>
      </c>
      <c r="C559" s="0" t="str">
        <f aca="false">TEXT(VLOOKUP(B559,$I$2:$J$20,2,FALSE()),"0")</f>
        <v>810</v>
      </c>
      <c r="D559" s="47" t="n">
        <v>216</v>
      </c>
      <c r="E559" s="47" t="n">
        <v>14904000</v>
      </c>
      <c r="F559" s="47" t="n">
        <v>2829600</v>
      </c>
    </row>
    <row r="560" customFormat="false" ht="15" hidden="false" customHeight="false" outlineLevel="0" collapsed="false">
      <c r="A560" s="0" t="s">
        <v>308</v>
      </c>
      <c r="B560" s="0" t="n">
        <v>100</v>
      </c>
      <c r="C560" s="0" t="str">
        <f aca="false">TEXT(VLOOKUP(B560,$I$2:$J$20,2,FALSE()),"0")</f>
        <v>100</v>
      </c>
      <c r="D560" s="47" t="n">
        <v>600</v>
      </c>
      <c r="E560" s="47" t="n">
        <v>53400000</v>
      </c>
      <c r="F560" s="47" t="n">
        <v>10620000</v>
      </c>
    </row>
    <row r="561" customFormat="false" ht="15" hidden="false" customHeight="false" outlineLevel="0" collapsed="false">
      <c r="A561" s="0" t="s">
        <v>308</v>
      </c>
      <c r="B561" s="0" t="n">
        <v>300</v>
      </c>
      <c r="C561" s="0" t="str">
        <f aca="false">TEXT(VLOOKUP(B561,$I$2:$J$20,2,FALSE()),"0")</f>
        <v>300</v>
      </c>
      <c r="D561" s="47" t="n">
        <v>1100</v>
      </c>
      <c r="E561" s="47" t="n">
        <v>97900000</v>
      </c>
      <c r="F561" s="47" t="n">
        <v>19470000</v>
      </c>
    </row>
    <row r="562" customFormat="false" ht="15" hidden="false" customHeight="false" outlineLevel="0" collapsed="false">
      <c r="A562" s="0" t="s">
        <v>308</v>
      </c>
      <c r="B562" s="0" t="n">
        <v>600</v>
      </c>
      <c r="C562" s="0" t="str">
        <f aca="false">TEXT(VLOOKUP(B562,$I$2:$J$20,2,FALSE()),"0")</f>
        <v>600</v>
      </c>
      <c r="D562" s="47" t="n">
        <v>75</v>
      </c>
      <c r="E562" s="47" t="n">
        <v>6675000</v>
      </c>
      <c r="F562" s="47" t="n">
        <v>1327500</v>
      </c>
    </row>
    <row r="563" customFormat="false" ht="15" hidden="false" customHeight="false" outlineLevel="0" collapsed="false">
      <c r="A563" s="0" t="s">
        <v>310</v>
      </c>
      <c r="B563" s="0" t="n">
        <v>300</v>
      </c>
      <c r="C563" s="0" t="str">
        <f aca="false">TEXT(VLOOKUP(B563,$I$2:$J$20,2,FALSE()),"0")</f>
        <v>300</v>
      </c>
      <c r="D563" s="47" t="n">
        <v>480</v>
      </c>
      <c r="E563" s="47" t="n">
        <v>42720000</v>
      </c>
      <c r="F563" s="47" t="n">
        <v>9418560</v>
      </c>
    </row>
    <row r="564" customFormat="false" ht="15" hidden="false" customHeight="false" outlineLevel="0" collapsed="false">
      <c r="A564" s="0" t="s">
        <v>310</v>
      </c>
      <c r="B564" s="0" t="n">
        <v>600</v>
      </c>
      <c r="C564" s="0" t="str">
        <f aca="false">TEXT(VLOOKUP(B564,$I$2:$J$20,2,FALSE()),"0")</f>
        <v>600</v>
      </c>
      <c r="D564" s="47" t="n">
        <v>50</v>
      </c>
      <c r="E564" s="47" t="n">
        <v>4450000</v>
      </c>
      <c r="F564" s="47" t="n">
        <v>981100</v>
      </c>
    </row>
    <row r="565" customFormat="false" ht="15" hidden="false" customHeight="false" outlineLevel="0" collapsed="false">
      <c r="A565" s="0" t="s">
        <v>312</v>
      </c>
      <c r="B565" s="0" t="n">
        <v>100</v>
      </c>
      <c r="C565" s="0" t="str">
        <f aca="false">TEXT(VLOOKUP(B565,$I$2:$J$20,2,FALSE()),"0")</f>
        <v>100</v>
      </c>
      <c r="D565" s="47" t="n">
        <v>780</v>
      </c>
      <c r="E565" s="47" t="n">
        <v>69420000</v>
      </c>
      <c r="F565" s="47" t="n">
        <v>11469120</v>
      </c>
    </row>
    <row r="566" customFormat="false" ht="15" hidden="false" customHeight="false" outlineLevel="0" collapsed="false">
      <c r="A566" s="0" t="s">
        <v>312</v>
      </c>
      <c r="B566" s="0" t="n">
        <v>200</v>
      </c>
      <c r="C566" s="0" t="str">
        <f aca="false">TEXT(VLOOKUP(B566,$I$2:$J$20,2,FALSE()),"0")</f>
        <v>200</v>
      </c>
      <c r="D566" s="47" t="n">
        <v>520</v>
      </c>
      <c r="E566" s="47" t="n">
        <v>46280000</v>
      </c>
      <c r="F566" s="47" t="n">
        <v>7646080</v>
      </c>
    </row>
    <row r="567" customFormat="false" ht="15" hidden="false" customHeight="false" outlineLevel="0" collapsed="false">
      <c r="A567" s="0" t="s">
        <v>312</v>
      </c>
      <c r="B567" s="0" t="n">
        <v>299</v>
      </c>
      <c r="C567" s="0" t="str">
        <f aca="false">TEXT(VLOOKUP(B567,$I$2:$J$20,2,FALSE()),"0")</f>
        <v>200</v>
      </c>
      <c r="D567" s="47" t="n">
        <v>3</v>
      </c>
      <c r="E567" s="47" t="n">
        <v>267000</v>
      </c>
      <c r="F567" s="47" t="n">
        <v>44112</v>
      </c>
    </row>
    <row r="568" customFormat="false" ht="15" hidden="false" customHeight="false" outlineLevel="0" collapsed="false">
      <c r="A568" s="0" t="s">
        <v>312</v>
      </c>
      <c r="B568" s="0" t="n">
        <v>300</v>
      </c>
      <c r="C568" s="0" t="str">
        <f aca="false">TEXT(VLOOKUP(B568,$I$2:$J$20,2,FALSE()),"0")</f>
        <v>300</v>
      </c>
      <c r="D568" s="47" t="n">
        <v>900</v>
      </c>
      <c r="E568" s="47" t="n">
        <v>80100000</v>
      </c>
      <c r="F568" s="47" t="n">
        <v>13233600</v>
      </c>
    </row>
    <row r="569" customFormat="false" ht="15" hidden="false" customHeight="false" outlineLevel="0" collapsed="false">
      <c r="A569" s="0" t="s">
        <v>312</v>
      </c>
      <c r="B569" s="0" t="n">
        <v>600</v>
      </c>
      <c r="C569" s="0" t="str">
        <f aca="false">TEXT(VLOOKUP(B569,$I$2:$J$20,2,FALSE()),"0")</f>
        <v>600</v>
      </c>
      <c r="D569" s="47" t="n">
        <v>215</v>
      </c>
      <c r="E569" s="47" t="n">
        <v>19135000</v>
      </c>
      <c r="F569" s="47" t="n">
        <v>3161360</v>
      </c>
    </row>
    <row r="570" customFormat="false" ht="15" hidden="false" customHeight="false" outlineLevel="0" collapsed="false">
      <c r="A570" s="0" t="s">
        <v>312</v>
      </c>
      <c r="B570" s="0" t="n">
        <v>700</v>
      </c>
      <c r="C570" s="0" t="str">
        <f aca="false">TEXT(VLOOKUP(B570,$I$2:$J$20,2,FALSE()),"0")</f>
        <v>700</v>
      </c>
      <c r="D570" s="47" t="n">
        <v>55</v>
      </c>
      <c r="E570" s="47" t="n">
        <v>4895000</v>
      </c>
      <c r="F570" s="47" t="n">
        <v>808720</v>
      </c>
    </row>
    <row r="571" customFormat="false" ht="15" hidden="false" customHeight="false" outlineLevel="0" collapsed="false">
      <c r="A571" s="0" t="s">
        <v>312</v>
      </c>
      <c r="B571" s="0" t="n">
        <v>799</v>
      </c>
      <c r="C571" s="0" t="str">
        <f aca="false">TEXT(VLOOKUP(B571,$I$2:$J$20,2,FALSE()),"0")</f>
        <v>700</v>
      </c>
      <c r="D571" s="47" t="n">
        <v>1</v>
      </c>
      <c r="E571" s="47" t="n">
        <v>89000</v>
      </c>
      <c r="F571" s="47" t="n">
        <v>14704</v>
      </c>
    </row>
    <row r="572" customFormat="false" ht="15" hidden="false" customHeight="false" outlineLevel="0" collapsed="false">
      <c r="A572" s="0" t="s">
        <v>312</v>
      </c>
      <c r="B572" s="0" t="n">
        <v>810</v>
      </c>
      <c r="C572" s="0" t="str">
        <f aca="false">TEXT(VLOOKUP(B572,$I$2:$J$20,2,FALSE()),"0")</f>
        <v>810</v>
      </c>
      <c r="D572" s="47" t="n">
        <v>216</v>
      </c>
      <c r="E572" s="47" t="n">
        <v>19224000</v>
      </c>
      <c r="F572" s="47" t="n">
        <v>3176064</v>
      </c>
    </row>
    <row r="573" customFormat="false" ht="15" hidden="false" customHeight="false" outlineLevel="0" collapsed="false">
      <c r="A573" s="0" t="s">
        <v>1676</v>
      </c>
      <c r="B573" s="0" t="n">
        <v>601</v>
      </c>
      <c r="C573" s="0" t="str">
        <f aca="false">TEXT(VLOOKUP(B573,$I$2:$J$20,2,FALSE()),"0")</f>
        <v>600</v>
      </c>
      <c r="D573" s="47" t="n">
        <v>80</v>
      </c>
      <c r="E573" s="47" t="n">
        <v>7120000</v>
      </c>
      <c r="F573" s="47" t="n">
        <v>1638880</v>
      </c>
    </row>
    <row r="574" customFormat="false" ht="15" hidden="false" customHeight="false" outlineLevel="0" collapsed="false">
      <c r="A574" s="0" t="s">
        <v>834</v>
      </c>
      <c r="B574" s="0" t="n">
        <v>100</v>
      </c>
      <c r="C574" s="0" t="str">
        <f aca="false">TEXT(VLOOKUP(B574,$I$2:$J$20,2,FALSE()),"0")</f>
        <v>100</v>
      </c>
      <c r="D574" s="47" t="n">
        <v>180</v>
      </c>
      <c r="E574" s="47" t="n">
        <v>12420000</v>
      </c>
      <c r="F574" s="47" t="n">
        <v>2502000</v>
      </c>
    </row>
    <row r="575" customFormat="false" ht="15" hidden="false" customHeight="false" outlineLevel="0" collapsed="false">
      <c r="A575" s="0" t="s">
        <v>834</v>
      </c>
      <c r="B575" s="0" t="n">
        <v>500</v>
      </c>
      <c r="C575" s="0" t="str">
        <f aca="false">TEXT(VLOOKUP(B575,$I$2:$J$20,2,FALSE()),"0")</f>
        <v>500</v>
      </c>
      <c r="D575" s="47" t="n">
        <v>0</v>
      </c>
      <c r="E575" s="47" t="n">
        <v>0</v>
      </c>
      <c r="F575" s="47" t="n">
        <v>0</v>
      </c>
    </row>
    <row r="576" customFormat="false" ht="15" hidden="false" customHeight="false" outlineLevel="0" collapsed="false">
      <c r="A576" s="0" t="s">
        <v>1296</v>
      </c>
      <c r="B576" s="0" t="n">
        <v>600</v>
      </c>
      <c r="C576" s="0" t="str">
        <f aca="false">TEXT(VLOOKUP(B576,$I$2:$J$20,2,FALSE()),"0")</f>
        <v>600</v>
      </c>
      <c r="D576" s="47" t="n">
        <v>30</v>
      </c>
      <c r="E576" s="47" t="n">
        <v>1770000</v>
      </c>
      <c r="F576" s="47" t="n">
        <v>480000</v>
      </c>
    </row>
    <row r="577" customFormat="false" ht="15" hidden="false" customHeight="false" outlineLevel="0" collapsed="false">
      <c r="A577" s="0" t="s">
        <v>1296</v>
      </c>
      <c r="B577" s="0" t="n">
        <v>810</v>
      </c>
      <c r="C577" s="0" t="str">
        <f aca="false">TEXT(VLOOKUP(B577,$I$2:$J$20,2,FALSE()),"0")</f>
        <v>810</v>
      </c>
      <c r="D577" s="47" t="n">
        <v>216</v>
      </c>
      <c r="E577" s="47" t="n">
        <v>12744000</v>
      </c>
      <c r="F577" s="47" t="n">
        <v>3456000</v>
      </c>
    </row>
    <row r="578" customFormat="false" ht="15" hidden="false" customHeight="false" outlineLevel="0" collapsed="false">
      <c r="A578" s="0" t="s">
        <v>1045</v>
      </c>
      <c r="B578" s="0" t="n">
        <v>200</v>
      </c>
      <c r="C578" s="0" t="str">
        <f aca="false">TEXT(VLOOKUP(B578,$I$2:$J$20,2,FALSE()),"0")</f>
        <v>200</v>
      </c>
      <c r="D578" s="47" t="n">
        <v>390</v>
      </c>
      <c r="E578" s="47" t="n">
        <v>23010000</v>
      </c>
      <c r="F578" s="47" t="n">
        <v>5163210</v>
      </c>
    </row>
    <row r="579" customFormat="false" ht="15" hidden="false" customHeight="false" outlineLevel="0" collapsed="false">
      <c r="A579" s="0" t="s">
        <v>1045</v>
      </c>
      <c r="B579" s="0" t="n">
        <v>299</v>
      </c>
      <c r="C579" s="0" t="str">
        <f aca="false">TEXT(VLOOKUP(B579,$I$2:$J$20,2,FALSE()),"0")</f>
        <v>200</v>
      </c>
      <c r="D579" s="47" t="n">
        <v>2</v>
      </c>
      <c r="E579" s="47" t="n">
        <v>118000</v>
      </c>
      <c r="F579" s="47" t="n">
        <v>26478</v>
      </c>
    </row>
    <row r="580" customFormat="false" ht="15" hidden="false" customHeight="false" outlineLevel="0" collapsed="false">
      <c r="A580" s="0" t="s">
        <v>314</v>
      </c>
      <c r="B580" s="0" t="n">
        <v>100</v>
      </c>
      <c r="C580" s="0" t="str">
        <f aca="false">TEXT(VLOOKUP(B580,$I$2:$J$20,2,FALSE()),"0")</f>
        <v>100</v>
      </c>
      <c r="D580" s="47" t="n">
        <v>960</v>
      </c>
      <c r="E580" s="47" t="n">
        <v>56640000</v>
      </c>
      <c r="F580" s="47" t="n">
        <v>13841280</v>
      </c>
    </row>
    <row r="581" customFormat="false" ht="15" hidden="false" customHeight="false" outlineLevel="0" collapsed="false">
      <c r="A581" s="0" t="s">
        <v>314</v>
      </c>
      <c r="B581" s="0" t="n">
        <v>200</v>
      </c>
      <c r="C581" s="0" t="str">
        <f aca="false">TEXT(VLOOKUP(B581,$I$2:$J$20,2,FALSE()),"0")</f>
        <v>200</v>
      </c>
      <c r="D581" s="47" t="n">
        <v>950</v>
      </c>
      <c r="E581" s="47" t="n">
        <v>56050000</v>
      </c>
      <c r="F581" s="47" t="n">
        <v>13697100</v>
      </c>
    </row>
    <row r="582" customFormat="false" ht="15" hidden="false" customHeight="false" outlineLevel="0" collapsed="false">
      <c r="A582" s="0" t="s">
        <v>314</v>
      </c>
      <c r="B582" s="0" t="n">
        <v>299</v>
      </c>
      <c r="C582" s="0" t="str">
        <f aca="false">TEXT(VLOOKUP(B582,$I$2:$J$20,2,FALSE()),"0")</f>
        <v>200</v>
      </c>
      <c r="D582" s="47" t="n">
        <v>4</v>
      </c>
      <c r="E582" s="47" t="n">
        <v>236000</v>
      </c>
      <c r="F582" s="47" t="n">
        <v>57672</v>
      </c>
    </row>
    <row r="583" customFormat="false" ht="15" hidden="false" customHeight="false" outlineLevel="0" collapsed="false">
      <c r="A583" s="0" t="s">
        <v>314</v>
      </c>
      <c r="B583" s="0" t="n">
        <v>300</v>
      </c>
      <c r="C583" s="0" t="str">
        <f aca="false">TEXT(VLOOKUP(B583,$I$2:$J$20,2,FALSE()),"0")</f>
        <v>300</v>
      </c>
      <c r="D583" s="47" t="n">
        <v>300</v>
      </c>
      <c r="E583" s="47" t="n">
        <v>17700000</v>
      </c>
      <c r="F583" s="47" t="n">
        <v>4325400</v>
      </c>
    </row>
    <row r="584" customFormat="false" ht="15" hidden="false" customHeight="false" outlineLevel="0" collapsed="false">
      <c r="A584" s="0" t="s">
        <v>314</v>
      </c>
      <c r="B584" s="0" t="n">
        <v>600</v>
      </c>
      <c r="C584" s="0" t="str">
        <f aca="false">TEXT(VLOOKUP(B584,$I$2:$J$20,2,FALSE()),"0")</f>
        <v>600</v>
      </c>
      <c r="D584" s="47" t="n">
        <v>100</v>
      </c>
      <c r="E584" s="47" t="n">
        <v>5900000</v>
      </c>
      <c r="F584" s="47" t="n">
        <v>1441800</v>
      </c>
    </row>
    <row r="585" customFormat="false" ht="15" hidden="false" customHeight="false" outlineLevel="0" collapsed="false">
      <c r="A585" s="0" t="s">
        <v>314</v>
      </c>
      <c r="B585" s="0" t="n">
        <v>800</v>
      </c>
      <c r="C585" s="0" t="str">
        <f aca="false">TEXT(VLOOKUP(B585,$I$2:$J$20,2,FALSE()),"0")</f>
        <v>800</v>
      </c>
      <c r="D585" s="47" t="n">
        <v>85</v>
      </c>
      <c r="E585" s="47" t="n">
        <v>5015000</v>
      </c>
      <c r="F585" s="47" t="n">
        <v>1225530</v>
      </c>
    </row>
    <row r="586" customFormat="false" ht="15" hidden="false" customHeight="false" outlineLevel="0" collapsed="false">
      <c r="A586" s="0" t="s">
        <v>316</v>
      </c>
      <c r="B586" s="0" t="n">
        <v>100</v>
      </c>
      <c r="C586" s="0" t="str">
        <f aca="false">TEXT(VLOOKUP(B586,$I$2:$J$20,2,FALSE()),"0")</f>
        <v>100</v>
      </c>
      <c r="D586" s="47" t="n">
        <v>780</v>
      </c>
      <c r="E586" s="47" t="n">
        <v>46020000</v>
      </c>
      <c r="F586" s="47" t="n">
        <v>10764000</v>
      </c>
    </row>
    <row r="587" customFormat="false" ht="15" hidden="false" customHeight="false" outlineLevel="0" collapsed="false">
      <c r="A587" s="0" t="s">
        <v>316</v>
      </c>
      <c r="B587" s="0" t="n">
        <v>300</v>
      </c>
      <c r="C587" s="0" t="str">
        <f aca="false">TEXT(VLOOKUP(B587,$I$2:$J$20,2,FALSE()),"0")</f>
        <v>300</v>
      </c>
      <c r="D587" s="47" t="n">
        <v>150</v>
      </c>
      <c r="E587" s="47" t="n">
        <v>8850000</v>
      </c>
      <c r="F587" s="47" t="n">
        <v>2070000</v>
      </c>
    </row>
    <row r="588" customFormat="false" ht="15" hidden="false" customHeight="false" outlineLevel="0" collapsed="false">
      <c r="A588" s="0" t="s">
        <v>316</v>
      </c>
      <c r="B588" s="0" t="n">
        <v>700</v>
      </c>
      <c r="C588" s="0" t="str">
        <f aca="false">TEXT(VLOOKUP(B588,$I$2:$J$20,2,FALSE()),"0")</f>
        <v>700</v>
      </c>
      <c r="D588" s="47" t="n">
        <v>120</v>
      </c>
      <c r="E588" s="47" t="n">
        <v>7080000</v>
      </c>
      <c r="F588" s="47" t="n">
        <v>1656000</v>
      </c>
    </row>
    <row r="589" customFormat="false" ht="15" hidden="false" customHeight="false" outlineLevel="0" collapsed="false">
      <c r="A589" s="0" t="s">
        <v>316</v>
      </c>
      <c r="B589" s="0" t="n">
        <v>799</v>
      </c>
      <c r="C589" s="0" t="str">
        <f aca="false">TEXT(VLOOKUP(B589,$I$2:$J$20,2,FALSE()),"0")</f>
        <v>700</v>
      </c>
      <c r="D589" s="47" t="n">
        <v>2</v>
      </c>
      <c r="E589" s="47" t="n">
        <v>118000</v>
      </c>
      <c r="F589" s="47" t="n">
        <v>27600</v>
      </c>
    </row>
    <row r="590" customFormat="false" ht="15" hidden="false" customHeight="false" outlineLevel="0" collapsed="false">
      <c r="A590" s="0" t="s">
        <v>316</v>
      </c>
      <c r="B590" s="0" t="n">
        <v>800</v>
      </c>
      <c r="C590" s="0" t="str">
        <f aca="false">TEXT(VLOOKUP(B590,$I$2:$J$20,2,FALSE()),"0")</f>
        <v>800</v>
      </c>
      <c r="D590" s="47" t="n">
        <v>110</v>
      </c>
      <c r="E590" s="47" t="n">
        <v>6490000</v>
      </c>
      <c r="F590" s="47" t="n">
        <v>1518000</v>
      </c>
    </row>
    <row r="591" customFormat="false" ht="15" hidden="false" customHeight="false" outlineLevel="0" collapsed="false">
      <c r="A591" s="0" t="s">
        <v>318</v>
      </c>
      <c r="B591" s="0" t="n">
        <v>100</v>
      </c>
      <c r="C591" s="0" t="str">
        <f aca="false">TEXT(VLOOKUP(B591,$I$2:$J$20,2,FALSE()),"0")</f>
        <v>100</v>
      </c>
      <c r="D591" s="47" t="n">
        <v>660</v>
      </c>
      <c r="E591" s="47" t="n">
        <v>38940000</v>
      </c>
      <c r="F591" s="47" t="n">
        <v>8514660</v>
      </c>
    </row>
    <row r="592" customFormat="false" ht="15" hidden="false" customHeight="false" outlineLevel="0" collapsed="false">
      <c r="A592" s="0" t="s">
        <v>318</v>
      </c>
      <c r="B592" s="0" t="n">
        <v>200</v>
      </c>
      <c r="C592" s="0" t="str">
        <f aca="false">TEXT(VLOOKUP(B592,$I$2:$J$20,2,FALSE()),"0")</f>
        <v>200</v>
      </c>
      <c r="D592" s="47" t="n">
        <v>80</v>
      </c>
      <c r="E592" s="47" t="n">
        <v>4720000</v>
      </c>
      <c r="F592" s="47" t="n">
        <v>1032080</v>
      </c>
    </row>
    <row r="593" customFormat="false" ht="15" hidden="false" customHeight="false" outlineLevel="0" collapsed="false">
      <c r="A593" s="0" t="s">
        <v>318</v>
      </c>
      <c r="B593" s="0" t="n">
        <v>300</v>
      </c>
      <c r="C593" s="0" t="str">
        <f aca="false">TEXT(VLOOKUP(B593,$I$2:$J$20,2,FALSE()),"0")</f>
        <v>300</v>
      </c>
      <c r="D593" s="47" t="n">
        <v>500</v>
      </c>
      <c r="E593" s="47" t="n">
        <v>29500000</v>
      </c>
      <c r="F593" s="47" t="n">
        <v>6450500</v>
      </c>
    </row>
    <row r="594" customFormat="false" ht="15" hidden="false" customHeight="false" outlineLevel="0" collapsed="false">
      <c r="A594" s="0" t="s">
        <v>318</v>
      </c>
      <c r="B594" s="0" t="n">
        <v>500</v>
      </c>
      <c r="C594" s="0" t="str">
        <f aca="false">TEXT(VLOOKUP(B594,$I$2:$J$20,2,FALSE()),"0")</f>
        <v>500</v>
      </c>
      <c r="D594" s="47" t="n">
        <v>50</v>
      </c>
      <c r="E594" s="47" t="n">
        <v>2950000</v>
      </c>
      <c r="F594" s="47" t="n">
        <v>645050</v>
      </c>
    </row>
    <row r="595" customFormat="false" ht="15" hidden="false" customHeight="false" outlineLevel="0" collapsed="false">
      <c r="A595" s="0" t="s">
        <v>318</v>
      </c>
      <c r="B595" s="0" t="n">
        <v>600</v>
      </c>
      <c r="C595" s="0" t="str">
        <f aca="false">TEXT(VLOOKUP(B595,$I$2:$J$20,2,FALSE()),"0")</f>
        <v>600</v>
      </c>
      <c r="D595" s="47" t="n">
        <v>75</v>
      </c>
      <c r="E595" s="47" t="n">
        <v>4425000</v>
      </c>
      <c r="F595" s="47" t="n">
        <v>967575</v>
      </c>
    </row>
    <row r="596" customFormat="false" ht="15" hidden="false" customHeight="false" outlineLevel="0" collapsed="false">
      <c r="A596" s="0" t="s">
        <v>318</v>
      </c>
      <c r="B596" s="0" t="n">
        <v>800</v>
      </c>
      <c r="C596" s="0" t="str">
        <f aca="false">TEXT(VLOOKUP(B596,$I$2:$J$20,2,FALSE()),"0")</f>
        <v>800</v>
      </c>
      <c r="D596" s="47" t="n">
        <v>110</v>
      </c>
      <c r="E596" s="47" t="n">
        <v>6490000</v>
      </c>
      <c r="F596" s="47" t="n">
        <v>1419110</v>
      </c>
    </row>
    <row r="597" customFormat="false" ht="15" hidden="false" customHeight="false" outlineLevel="0" collapsed="false">
      <c r="A597" s="0" t="s">
        <v>320</v>
      </c>
      <c r="B597" s="0" t="n">
        <v>100</v>
      </c>
      <c r="C597" s="0" t="str">
        <f aca="false">TEXT(VLOOKUP(B597,$I$2:$J$20,2,FALSE()),"0")</f>
        <v>100</v>
      </c>
      <c r="D597" s="47" t="n">
        <v>780</v>
      </c>
      <c r="E597" s="47" t="n">
        <v>53820000</v>
      </c>
      <c r="F597" s="47" t="n">
        <v>12246000</v>
      </c>
    </row>
    <row r="598" customFormat="false" ht="15" hidden="false" customHeight="false" outlineLevel="0" collapsed="false">
      <c r="A598" s="0" t="s">
        <v>320</v>
      </c>
      <c r="B598" s="0" t="n">
        <v>300</v>
      </c>
      <c r="C598" s="0" t="str">
        <f aca="false">TEXT(VLOOKUP(B598,$I$2:$J$20,2,FALSE()),"0")</f>
        <v>300</v>
      </c>
      <c r="D598" s="47" t="n">
        <v>200</v>
      </c>
      <c r="E598" s="47" t="n">
        <v>13800000</v>
      </c>
      <c r="F598" s="47" t="n">
        <v>3140000</v>
      </c>
    </row>
    <row r="599" customFormat="false" ht="15" hidden="false" customHeight="false" outlineLevel="0" collapsed="false">
      <c r="A599" s="0" t="s">
        <v>320</v>
      </c>
      <c r="B599" s="0" t="n">
        <v>500</v>
      </c>
      <c r="C599" s="0" t="str">
        <f aca="false">TEXT(VLOOKUP(B599,$I$2:$J$20,2,FALSE()),"0")</f>
        <v>500</v>
      </c>
      <c r="D599" s="47" t="n">
        <v>50</v>
      </c>
      <c r="E599" s="47" t="n">
        <v>3450000</v>
      </c>
      <c r="F599" s="47" t="n">
        <v>785000</v>
      </c>
    </row>
    <row r="600" customFormat="false" ht="15" hidden="false" customHeight="false" outlineLevel="0" collapsed="false">
      <c r="A600" s="0" t="s">
        <v>320</v>
      </c>
      <c r="B600" s="0" t="n">
        <v>600</v>
      </c>
      <c r="C600" s="0" t="str">
        <f aca="false">TEXT(VLOOKUP(B600,$I$2:$J$20,2,FALSE()),"0")</f>
        <v>600</v>
      </c>
      <c r="D600" s="47" t="n">
        <v>45</v>
      </c>
      <c r="E600" s="47" t="n">
        <v>3105000</v>
      </c>
      <c r="F600" s="47" t="n">
        <v>706500</v>
      </c>
    </row>
    <row r="601" customFormat="false" ht="15" hidden="false" customHeight="false" outlineLevel="0" collapsed="false">
      <c r="A601" s="0" t="s">
        <v>320</v>
      </c>
      <c r="B601" s="0" t="n">
        <v>700</v>
      </c>
      <c r="C601" s="0" t="str">
        <f aca="false">TEXT(VLOOKUP(B601,$I$2:$J$20,2,FALSE()),"0")</f>
        <v>700</v>
      </c>
      <c r="D601" s="47" t="n">
        <v>55</v>
      </c>
      <c r="E601" s="47" t="n">
        <v>3795000</v>
      </c>
      <c r="F601" s="47" t="n">
        <v>863500</v>
      </c>
    </row>
    <row r="602" customFormat="false" ht="15" hidden="false" customHeight="false" outlineLevel="0" collapsed="false">
      <c r="A602" s="0" t="s">
        <v>320</v>
      </c>
      <c r="B602" s="0" t="n">
        <v>799</v>
      </c>
      <c r="C602" s="0" t="str">
        <f aca="false">TEXT(VLOOKUP(B602,$I$2:$J$20,2,FALSE()),"0")</f>
        <v>700</v>
      </c>
      <c r="D602" s="47" t="n">
        <v>1</v>
      </c>
      <c r="E602" s="47" t="n">
        <v>69000</v>
      </c>
      <c r="F602" s="47" t="n">
        <v>15700</v>
      </c>
    </row>
    <row r="603" customFormat="false" ht="15" hidden="false" customHeight="false" outlineLevel="0" collapsed="false">
      <c r="A603" s="0" t="s">
        <v>320</v>
      </c>
      <c r="B603" s="0" t="n">
        <v>800</v>
      </c>
      <c r="C603" s="0" t="str">
        <f aca="false">TEXT(VLOOKUP(B603,$I$2:$J$20,2,FALSE()),"0")</f>
        <v>800</v>
      </c>
      <c r="D603" s="47" t="n">
        <v>80</v>
      </c>
      <c r="E603" s="47" t="n">
        <v>5520000</v>
      </c>
      <c r="F603" s="47" t="n">
        <v>1256000</v>
      </c>
    </row>
    <row r="604" customFormat="false" ht="15" hidden="false" customHeight="false" outlineLevel="0" collapsed="false">
      <c r="A604" s="0" t="s">
        <v>1475</v>
      </c>
      <c r="B604" s="0" t="n">
        <v>800</v>
      </c>
      <c r="C604" s="0" t="str">
        <f aca="false">TEXT(VLOOKUP(B604,$I$2:$J$20,2,FALSE()),"0")</f>
        <v>800</v>
      </c>
      <c r="D604" s="47" t="n">
        <v>85</v>
      </c>
      <c r="E604" s="47" t="n">
        <v>4165000</v>
      </c>
      <c r="F604" s="47" t="n">
        <v>850000</v>
      </c>
    </row>
    <row r="605" customFormat="false" ht="15" hidden="false" customHeight="false" outlineLevel="0" collapsed="false">
      <c r="A605" s="0" t="s">
        <v>1475</v>
      </c>
      <c r="B605" s="0" t="n">
        <v>810</v>
      </c>
      <c r="C605" s="0" t="str">
        <f aca="false">TEXT(VLOOKUP(B605,$I$2:$J$20,2,FALSE()),"0")</f>
        <v>810</v>
      </c>
      <c r="D605" s="47" t="n">
        <v>216</v>
      </c>
      <c r="E605" s="47" t="n">
        <v>10584000</v>
      </c>
      <c r="F605" s="47" t="n">
        <v>2160000</v>
      </c>
    </row>
    <row r="606" customFormat="false" ht="15" hidden="false" customHeight="false" outlineLevel="0" collapsed="false">
      <c r="A606" s="0" t="s">
        <v>1677</v>
      </c>
      <c r="B606" s="0" t="n">
        <v>800</v>
      </c>
      <c r="C606" s="0" t="str">
        <f aca="false">TEXT(VLOOKUP(B606,$I$2:$J$20,2,FALSE()),"0")</f>
        <v>800</v>
      </c>
      <c r="D606" s="47" t="n">
        <v>90</v>
      </c>
      <c r="E606" s="47" t="n">
        <v>5310000</v>
      </c>
      <c r="F606" s="47" t="n">
        <v>1008990</v>
      </c>
    </row>
    <row r="607" customFormat="false" ht="15" hidden="false" customHeight="false" outlineLevel="0" collapsed="false">
      <c r="A607" s="0" t="s">
        <v>1409</v>
      </c>
      <c r="B607" s="0" t="n">
        <v>700</v>
      </c>
      <c r="C607" s="0" t="str">
        <f aca="false">TEXT(VLOOKUP(B607,$I$2:$J$20,2,FALSE()),"0")</f>
        <v>700</v>
      </c>
      <c r="D607" s="47" t="n">
        <v>60</v>
      </c>
      <c r="E607" s="47" t="n">
        <v>3540000</v>
      </c>
      <c r="F607" s="47" t="n">
        <v>684000</v>
      </c>
    </row>
    <row r="608" customFormat="false" ht="15" hidden="false" customHeight="false" outlineLevel="0" collapsed="false">
      <c r="A608" s="0" t="s">
        <v>1409</v>
      </c>
      <c r="B608" s="0" t="n">
        <v>799</v>
      </c>
      <c r="C608" s="0" t="str">
        <f aca="false">TEXT(VLOOKUP(B608,$I$2:$J$20,2,FALSE()),"0")</f>
        <v>700</v>
      </c>
      <c r="D608" s="47" t="n">
        <v>1</v>
      </c>
      <c r="E608" s="47" t="n">
        <v>59000</v>
      </c>
      <c r="F608" s="47" t="n">
        <v>11400</v>
      </c>
    </row>
    <row r="609" customFormat="false" ht="15" hidden="false" customHeight="false" outlineLevel="0" collapsed="false">
      <c r="A609" s="0" t="s">
        <v>1409</v>
      </c>
      <c r="B609" s="0" t="n">
        <v>800</v>
      </c>
      <c r="C609" s="0" t="str">
        <f aca="false">TEXT(VLOOKUP(B609,$I$2:$J$20,2,FALSE()),"0")</f>
        <v>800</v>
      </c>
      <c r="D609" s="47" t="n">
        <v>90</v>
      </c>
      <c r="E609" s="47" t="n">
        <v>5310000</v>
      </c>
      <c r="F609" s="47" t="n">
        <v>1026000</v>
      </c>
    </row>
    <row r="610" customFormat="false" ht="15" hidden="false" customHeight="false" outlineLevel="0" collapsed="false">
      <c r="A610" s="0" t="s">
        <v>1678</v>
      </c>
      <c r="B610" s="0" t="n">
        <v>800</v>
      </c>
      <c r="C610" s="0" t="str">
        <f aca="false">TEXT(VLOOKUP(B610,$I$2:$J$20,2,FALSE()),"0")</f>
        <v>800</v>
      </c>
      <c r="D610" s="47" t="n">
        <v>60</v>
      </c>
      <c r="E610" s="47" t="n">
        <v>3540000</v>
      </c>
      <c r="F610" s="47" t="n">
        <v>806460</v>
      </c>
    </row>
    <row r="611" customFormat="false" ht="15" hidden="false" customHeight="false" outlineLevel="0" collapsed="false">
      <c r="A611" s="0" t="s">
        <v>1679</v>
      </c>
      <c r="B611" s="0" t="n">
        <v>800</v>
      </c>
      <c r="C611" s="0" t="str">
        <f aca="false">TEXT(VLOOKUP(B611,$I$2:$J$20,2,FALSE()),"0")</f>
        <v>800</v>
      </c>
      <c r="D611" s="47" t="n">
        <v>45</v>
      </c>
      <c r="E611" s="47" t="n">
        <v>2655000</v>
      </c>
      <c r="F611" s="47" t="n">
        <v>558000</v>
      </c>
    </row>
    <row r="612" customFormat="false" ht="15" hidden="false" customHeight="false" outlineLevel="0" collapsed="false">
      <c r="A612" s="0" t="s">
        <v>1258</v>
      </c>
      <c r="B612" s="0" t="n">
        <v>500</v>
      </c>
      <c r="C612" s="0" t="str">
        <f aca="false">TEXT(VLOOKUP(B612,$I$2:$J$20,2,FALSE()),"0")</f>
        <v>500</v>
      </c>
      <c r="D612" s="47" t="n">
        <v>25</v>
      </c>
      <c r="E612" s="47" t="n">
        <v>1475000</v>
      </c>
      <c r="F612" s="47" t="n">
        <v>305000</v>
      </c>
    </row>
    <row r="613" customFormat="false" ht="15" hidden="false" customHeight="false" outlineLevel="0" collapsed="false">
      <c r="A613" s="0" t="s">
        <v>1260</v>
      </c>
      <c r="B613" s="0" t="n">
        <v>500</v>
      </c>
      <c r="C613" s="0" t="str">
        <f aca="false">TEXT(VLOOKUP(B613,$I$2:$J$20,2,FALSE()),"0")</f>
        <v>500</v>
      </c>
      <c r="D613" s="47" t="n">
        <v>25</v>
      </c>
      <c r="E613" s="47" t="n">
        <v>1475000</v>
      </c>
      <c r="F613" s="47" t="n">
        <v>345000</v>
      </c>
    </row>
    <row r="614" customFormat="false" ht="15" hidden="false" customHeight="false" outlineLevel="0" collapsed="false">
      <c r="A614" s="0" t="s">
        <v>836</v>
      </c>
      <c r="B614" s="0" t="n">
        <v>100</v>
      </c>
      <c r="C614" s="0" t="str">
        <f aca="false">TEXT(VLOOKUP(B614,$I$2:$J$20,2,FALSE()),"0")</f>
        <v>100</v>
      </c>
      <c r="D614" s="47" t="n">
        <v>190</v>
      </c>
      <c r="E614" s="47" t="n">
        <v>9310000</v>
      </c>
      <c r="F614" s="47" t="n">
        <v>2547900</v>
      </c>
    </row>
    <row r="615" customFormat="false" ht="15" hidden="false" customHeight="false" outlineLevel="0" collapsed="false">
      <c r="A615" s="0" t="s">
        <v>1411</v>
      </c>
      <c r="B615" s="0" t="n">
        <v>700</v>
      </c>
      <c r="C615" s="0" t="str">
        <f aca="false">TEXT(VLOOKUP(B615,$I$2:$J$20,2,FALSE()),"0")</f>
        <v>700</v>
      </c>
      <c r="D615" s="47" t="n">
        <v>120</v>
      </c>
      <c r="E615" s="47" t="n">
        <v>15480000</v>
      </c>
      <c r="F615" s="47" t="n">
        <v>3600000</v>
      </c>
    </row>
    <row r="616" customFormat="false" ht="15" hidden="false" customHeight="false" outlineLevel="0" collapsed="false">
      <c r="A616" s="0" t="s">
        <v>1047</v>
      </c>
      <c r="B616" s="0" t="n">
        <v>100</v>
      </c>
      <c r="C616" s="0" t="str">
        <f aca="false">TEXT(VLOOKUP(B616,$I$2:$J$20,2,FALSE()),"0")</f>
        <v>100</v>
      </c>
      <c r="D616" s="47" t="n">
        <v>300</v>
      </c>
      <c r="E616" s="47" t="n">
        <v>17700000</v>
      </c>
      <c r="F616" s="47" t="n">
        <v>4650000</v>
      </c>
    </row>
    <row r="617" customFormat="false" ht="15" hidden="false" customHeight="false" outlineLevel="0" collapsed="false">
      <c r="A617" s="0" t="s">
        <v>1047</v>
      </c>
      <c r="B617" s="0" t="n">
        <v>200</v>
      </c>
      <c r="C617" s="0" t="str">
        <f aca="false">TEXT(VLOOKUP(B617,$I$2:$J$20,2,FALSE()),"0")</f>
        <v>200</v>
      </c>
      <c r="D617" s="47" t="n">
        <v>530</v>
      </c>
      <c r="E617" s="47" t="n">
        <v>31270000</v>
      </c>
      <c r="F617" s="47" t="n">
        <v>8215000</v>
      </c>
    </row>
    <row r="618" customFormat="false" ht="15" hidden="false" customHeight="false" outlineLevel="0" collapsed="false">
      <c r="A618" s="0" t="s">
        <v>1047</v>
      </c>
      <c r="B618" s="0" t="n">
        <v>299</v>
      </c>
      <c r="C618" s="0" t="str">
        <f aca="false">TEXT(VLOOKUP(B618,$I$2:$J$20,2,FALSE()),"0")</f>
        <v>200</v>
      </c>
      <c r="D618" s="47" t="n">
        <v>2</v>
      </c>
      <c r="E618" s="47" t="n">
        <v>118000</v>
      </c>
      <c r="F618" s="47" t="n">
        <v>31000</v>
      </c>
    </row>
    <row r="619" customFormat="false" ht="15" hidden="false" customHeight="false" outlineLevel="0" collapsed="false">
      <c r="A619" s="0" t="s">
        <v>1304</v>
      </c>
      <c r="B619" s="0" t="n">
        <v>300</v>
      </c>
      <c r="C619" s="0" t="str">
        <f aca="false">TEXT(VLOOKUP(B619,$I$2:$J$20,2,FALSE()),"0")</f>
        <v>300</v>
      </c>
      <c r="D619" s="47" t="n">
        <v>620</v>
      </c>
      <c r="E619" s="47" t="n">
        <v>30380000</v>
      </c>
      <c r="F619" s="47" t="n">
        <v>8556000</v>
      </c>
    </row>
    <row r="620" customFormat="false" ht="15" hidden="false" customHeight="false" outlineLevel="0" collapsed="false">
      <c r="A620" s="0" t="s">
        <v>1304</v>
      </c>
      <c r="B620" s="0" t="n">
        <v>600</v>
      </c>
      <c r="C620" s="0" t="str">
        <f aca="false">TEXT(VLOOKUP(B620,$I$2:$J$20,2,FALSE()),"0")</f>
        <v>600</v>
      </c>
      <c r="D620" s="47" t="n">
        <v>120</v>
      </c>
      <c r="E620" s="47" t="n">
        <v>5880000</v>
      </c>
      <c r="F620" s="47" t="n">
        <v>1656000</v>
      </c>
    </row>
    <row r="621" customFormat="false" ht="15" hidden="false" customHeight="false" outlineLevel="0" collapsed="false">
      <c r="A621" s="0" t="s">
        <v>1306</v>
      </c>
      <c r="B621" s="0" t="n">
        <v>600</v>
      </c>
      <c r="C621" s="0" t="str">
        <f aca="false">TEXT(VLOOKUP(B621,$I$2:$J$20,2,FALSE()),"0")</f>
        <v>600</v>
      </c>
      <c r="D621" s="47" t="n">
        <v>20</v>
      </c>
      <c r="E621" s="47" t="n">
        <v>1780000</v>
      </c>
      <c r="F621" s="47" t="n">
        <v>470000</v>
      </c>
    </row>
    <row r="622" customFormat="false" ht="15" hidden="false" customHeight="false" outlineLevel="0" collapsed="false">
      <c r="A622" s="0" t="s">
        <v>1306</v>
      </c>
      <c r="B622" s="0" t="n">
        <v>810</v>
      </c>
      <c r="C622" s="0" t="str">
        <f aca="false">TEXT(VLOOKUP(B622,$I$2:$J$20,2,FALSE()),"0")</f>
        <v>810</v>
      </c>
      <c r="D622" s="47" t="n">
        <v>132</v>
      </c>
      <c r="E622" s="47" t="n">
        <v>11748000</v>
      </c>
      <c r="F622" s="47" t="n">
        <v>3102000</v>
      </c>
    </row>
    <row r="623" customFormat="false" ht="15" hidden="false" customHeight="false" outlineLevel="0" collapsed="false">
      <c r="A623" s="0" t="s">
        <v>322</v>
      </c>
      <c r="B623" s="0" t="n">
        <v>100</v>
      </c>
      <c r="C623" s="0" t="str">
        <f aca="false">TEXT(VLOOKUP(B623,$I$2:$J$20,2,FALSE()),"0")</f>
        <v>100</v>
      </c>
      <c r="D623" s="47" t="n">
        <v>200</v>
      </c>
      <c r="E623" s="47" t="n">
        <v>15800000</v>
      </c>
      <c r="F623" s="47" t="n">
        <v>3060000</v>
      </c>
    </row>
    <row r="624" customFormat="false" ht="15" hidden="false" customHeight="false" outlineLevel="0" collapsed="false">
      <c r="A624" s="0" t="s">
        <v>322</v>
      </c>
      <c r="B624" s="0" t="n">
        <v>300</v>
      </c>
      <c r="C624" s="0" t="str">
        <f aca="false">TEXT(VLOOKUP(B624,$I$2:$J$20,2,FALSE()),"0")</f>
        <v>300</v>
      </c>
      <c r="D624" s="47" t="n">
        <v>300</v>
      </c>
      <c r="E624" s="47" t="n">
        <v>23700000</v>
      </c>
      <c r="F624" s="47" t="n">
        <v>4590000</v>
      </c>
    </row>
    <row r="625" customFormat="false" ht="15" hidden="false" customHeight="false" outlineLevel="0" collapsed="false">
      <c r="A625" s="0" t="s">
        <v>322</v>
      </c>
      <c r="B625" s="0" t="n">
        <v>600</v>
      </c>
      <c r="C625" s="0" t="str">
        <f aca="false">TEXT(VLOOKUP(B625,$I$2:$J$20,2,FALSE()),"0")</f>
        <v>600</v>
      </c>
      <c r="D625" s="47" t="n">
        <v>15</v>
      </c>
      <c r="E625" s="47" t="n">
        <v>1185000</v>
      </c>
      <c r="F625" s="47" t="n">
        <v>229500</v>
      </c>
    </row>
    <row r="626" customFormat="false" ht="15" hidden="false" customHeight="false" outlineLevel="0" collapsed="false">
      <c r="A626" s="0" t="s">
        <v>322</v>
      </c>
      <c r="B626" s="0" t="n">
        <v>800</v>
      </c>
      <c r="C626" s="0" t="str">
        <f aca="false">TEXT(VLOOKUP(B626,$I$2:$J$20,2,FALSE()),"0")</f>
        <v>800</v>
      </c>
      <c r="D626" s="47" t="n">
        <v>30</v>
      </c>
      <c r="E626" s="47" t="n">
        <v>2370000</v>
      </c>
      <c r="F626" s="47" t="n">
        <v>459000</v>
      </c>
    </row>
    <row r="627" customFormat="false" ht="15" hidden="false" customHeight="false" outlineLevel="0" collapsed="false">
      <c r="A627" s="0" t="s">
        <v>324</v>
      </c>
      <c r="B627" s="0" t="n">
        <v>300</v>
      </c>
      <c r="C627" s="0" t="str">
        <f aca="false">TEXT(VLOOKUP(B627,$I$2:$J$20,2,FALSE()),"0")</f>
        <v>300</v>
      </c>
      <c r="D627" s="47" t="n">
        <v>150</v>
      </c>
      <c r="E627" s="47" t="n">
        <v>17850000</v>
      </c>
      <c r="F627" s="47" t="n">
        <v>3825000</v>
      </c>
    </row>
    <row r="628" customFormat="false" ht="15" hidden="false" customHeight="false" outlineLevel="0" collapsed="false">
      <c r="A628" s="0" t="s">
        <v>326</v>
      </c>
      <c r="B628" s="0" t="n">
        <v>100</v>
      </c>
      <c r="C628" s="0" t="str">
        <f aca="false">TEXT(VLOOKUP(B628,$I$2:$J$20,2,FALSE()),"0")</f>
        <v>100</v>
      </c>
      <c r="D628" s="47" t="n">
        <v>300</v>
      </c>
      <c r="E628" s="47" t="n">
        <v>23700000</v>
      </c>
      <c r="F628" s="47" t="n">
        <v>5519400</v>
      </c>
    </row>
    <row r="629" customFormat="false" ht="15" hidden="false" customHeight="false" outlineLevel="0" collapsed="false">
      <c r="A629" s="0" t="s">
        <v>326</v>
      </c>
      <c r="B629" s="0" t="n">
        <v>200</v>
      </c>
      <c r="C629" s="0" t="str">
        <f aca="false">TEXT(VLOOKUP(B629,$I$2:$J$20,2,FALSE()),"0")</f>
        <v>200</v>
      </c>
      <c r="D629" s="47" t="n">
        <v>450</v>
      </c>
      <c r="E629" s="47" t="n">
        <v>35550000</v>
      </c>
      <c r="F629" s="47" t="n">
        <v>8279100</v>
      </c>
    </row>
    <row r="630" customFormat="false" ht="15" hidden="false" customHeight="false" outlineLevel="0" collapsed="false">
      <c r="A630" s="0" t="s">
        <v>326</v>
      </c>
      <c r="B630" s="0" t="n">
        <v>299</v>
      </c>
      <c r="C630" s="0" t="str">
        <f aca="false">TEXT(VLOOKUP(B630,$I$2:$J$20,2,FALSE()),"0")</f>
        <v>200</v>
      </c>
      <c r="D630" s="47" t="n">
        <v>3</v>
      </c>
      <c r="E630" s="47" t="n">
        <v>237000</v>
      </c>
      <c r="F630" s="47" t="n">
        <v>55194</v>
      </c>
    </row>
    <row r="631" customFormat="false" ht="15" hidden="false" customHeight="false" outlineLevel="0" collapsed="false">
      <c r="A631" s="0" t="s">
        <v>326</v>
      </c>
      <c r="B631" s="0" t="n">
        <v>300</v>
      </c>
      <c r="C631" s="0" t="str">
        <f aca="false">TEXT(VLOOKUP(B631,$I$2:$J$20,2,FALSE()),"0")</f>
        <v>300</v>
      </c>
      <c r="D631" s="47" t="n">
        <v>150</v>
      </c>
      <c r="E631" s="47" t="n">
        <v>11850000</v>
      </c>
      <c r="F631" s="47" t="n">
        <v>2759700</v>
      </c>
    </row>
    <row r="632" customFormat="false" ht="15" hidden="false" customHeight="false" outlineLevel="0" collapsed="false">
      <c r="A632" s="0" t="s">
        <v>326</v>
      </c>
      <c r="B632" s="0" t="n">
        <v>600</v>
      </c>
      <c r="C632" s="0" t="str">
        <f aca="false">TEXT(VLOOKUP(B632,$I$2:$J$20,2,FALSE()),"0")</f>
        <v>600</v>
      </c>
      <c r="D632" s="47" t="n">
        <v>35</v>
      </c>
      <c r="E632" s="47" t="n">
        <v>2765000</v>
      </c>
      <c r="F632" s="47" t="n">
        <v>643930</v>
      </c>
    </row>
    <row r="633" customFormat="false" ht="15" hidden="false" customHeight="false" outlineLevel="0" collapsed="false">
      <c r="A633" s="0" t="s">
        <v>326</v>
      </c>
      <c r="B633" s="0" t="n">
        <v>800</v>
      </c>
      <c r="C633" s="0" t="str">
        <f aca="false">TEXT(VLOOKUP(B633,$I$2:$J$20,2,FALSE()),"0")</f>
        <v>800</v>
      </c>
      <c r="D633" s="47" t="n">
        <v>60</v>
      </c>
      <c r="E633" s="47" t="n">
        <v>4740000</v>
      </c>
      <c r="F633" s="47" t="n">
        <v>1103880</v>
      </c>
    </row>
    <row r="634" customFormat="false" ht="15" hidden="false" customHeight="false" outlineLevel="0" collapsed="false">
      <c r="A634" s="0" t="s">
        <v>838</v>
      </c>
      <c r="B634" s="0" t="n">
        <v>100</v>
      </c>
      <c r="C634" s="0" t="str">
        <f aca="false">TEXT(VLOOKUP(B634,$I$2:$J$20,2,FALSE()),"0")</f>
        <v>100</v>
      </c>
      <c r="D634" s="47" t="n">
        <v>180</v>
      </c>
      <c r="E634" s="47" t="n">
        <v>16020000</v>
      </c>
      <c r="F634" s="47" t="n">
        <v>4122000</v>
      </c>
    </row>
    <row r="635" customFormat="false" ht="15" hidden="false" customHeight="false" outlineLevel="0" collapsed="false">
      <c r="A635" s="0" t="s">
        <v>838</v>
      </c>
      <c r="B635" s="0" t="n">
        <v>600</v>
      </c>
      <c r="C635" s="0" t="str">
        <f aca="false">TEXT(VLOOKUP(B635,$I$2:$J$20,2,FALSE()),"0")</f>
        <v>600</v>
      </c>
      <c r="D635" s="47" t="n">
        <v>20</v>
      </c>
      <c r="E635" s="47" t="n">
        <v>1780000</v>
      </c>
      <c r="F635" s="47" t="n">
        <v>458000</v>
      </c>
    </row>
    <row r="636" customFormat="false" ht="15" hidden="false" customHeight="false" outlineLevel="0" collapsed="false">
      <c r="A636" s="0" t="s">
        <v>838</v>
      </c>
      <c r="B636" s="0" t="n">
        <v>800</v>
      </c>
      <c r="C636" s="0" t="str">
        <f aca="false">TEXT(VLOOKUP(B636,$I$2:$J$20,2,FALSE()),"0")</f>
        <v>800</v>
      </c>
      <c r="D636" s="47" t="n">
        <v>30</v>
      </c>
      <c r="E636" s="47" t="n">
        <v>2670000</v>
      </c>
      <c r="F636" s="47" t="n">
        <v>687000</v>
      </c>
    </row>
    <row r="637" customFormat="false" ht="15" hidden="false" customHeight="false" outlineLevel="0" collapsed="false">
      <c r="A637" s="0" t="s">
        <v>838</v>
      </c>
      <c r="B637" s="0" t="n">
        <v>810</v>
      </c>
      <c r="C637" s="0" t="str">
        <f aca="false">TEXT(VLOOKUP(B637,$I$2:$J$20,2,FALSE()),"0")</f>
        <v>810</v>
      </c>
      <c r="D637" s="47" t="n">
        <v>192</v>
      </c>
      <c r="E637" s="47" t="n">
        <v>17088000</v>
      </c>
      <c r="F637" s="47" t="n">
        <v>4396800</v>
      </c>
    </row>
    <row r="638" customFormat="false" ht="15" hidden="false" customHeight="false" outlineLevel="0" collapsed="false">
      <c r="A638" s="0" t="s">
        <v>328</v>
      </c>
      <c r="B638" s="0" t="n">
        <v>300</v>
      </c>
      <c r="C638" s="0" t="str">
        <f aca="false">TEXT(VLOOKUP(B638,$I$2:$J$20,2,FALSE()),"0")</f>
        <v>300</v>
      </c>
      <c r="D638" s="47" t="n">
        <v>200</v>
      </c>
      <c r="E638" s="47" t="n">
        <v>17800000</v>
      </c>
      <c r="F638" s="47" t="n">
        <v>3140000</v>
      </c>
    </row>
    <row r="639" customFormat="false" ht="15" hidden="false" customHeight="false" outlineLevel="0" collapsed="false">
      <c r="A639" s="0" t="s">
        <v>330</v>
      </c>
      <c r="B639" s="0" t="n">
        <v>100</v>
      </c>
      <c r="C639" s="0" t="str">
        <f aca="false">TEXT(VLOOKUP(B639,$I$2:$J$20,2,FALSE()),"0")</f>
        <v>100</v>
      </c>
      <c r="D639" s="47" t="n">
        <v>200</v>
      </c>
      <c r="E639" s="47" t="n">
        <v>27800000</v>
      </c>
      <c r="F639" s="47" t="n">
        <v>6025000</v>
      </c>
    </row>
    <row r="640" customFormat="false" ht="15" hidden="false" customHeight="false" outlineLevel="0" collapsed="false">
      <c r="A640" s="0" t="s">
        <v>330</v>
      </c>
      <c r="B640" s="0" t="n">
        <v>300</v>
      </c>
      <c r="C640" s="0" t="str">
        <f aca="false">TEXT(VLOOKUP(B640,$I$2:$J$20,2,FALSE()),"0")</f>
        <v>300</v>
      </c>
      <c r="D640" s="47" t="n">
        <v>380</v>
      </c>
      <c r="E640" s="47" t="n">
        <v>52820000</v>
      </c>
      <c r="F640" s="47" t="n">
        <v>11447500</v>
      </c>
    </row>
    <row r="641" customFormat="false" ht="15" hidden="false" customHeight="false" outlineLevel="0" collapsed="false">
      <c r="A641" s="0" t="s">
        <v>330</v>
      </c>
      <c r="B641" s="0" t="n">
        <v>500</v>
      </c>
      <c r="C641" s="0" t="str">
        <f aca="false">TEXT(VLOOKUP(B641,$I$2:$J$20,2,FALSE()),"0")</f>
        <v>500</v>
      </c>
      <c r="D641" s="47" t="n">
        <v>40</v>
      </c>
      <c r="E641" s="47" t="n">
        <v>5560000</v>
      </c>
      <c r="F641" s="47" t="n">
        <v>1205000</v>
      </c>
    </row>
    <row r="642" customFormat="false" ht="15" hidden="false" customHeight="false" outlineLevel="0" collapsed="false">
      <c r="A642" s="0" t="s">
        <v>330</v>
      </c>
      <c r="B642" s="0" t="n">
        <v>600</v>
      </c>
      <c r="C642" s="0" t="str">
        <f aca="false">TEXT(VLOOKUP(B642,$I$2:$J$20,2,FALSE()),"0")</f>
        <v>600</v>
      </c>
      <c r="D642" s="47" t="n">
        <v>20</v>
      </c>
      <c r="E642" s="47" t="n">
        <v>2780000</v>
      </c>
      <c r="F642" s="47" t="n">
        <v>602500</v>
      </c>
    </row>
    <row r="643" customFormat="false" ht="15" hidden="false" customHeight="false" outlineLevel="0" collapsed="false">
      <c r="A643" s="0" t="s">
        <v>332</v>
      </c>
      <c r="B643" s="0" t="n">
        <v>100</v>
      </c>
      <c r="C643" s="0" t="str">
        <f aca="false">TEXT(VLOOKUP(B643,$I$2:$J$20,2,FALSE()),"0")</f>
        <v>100</v>
      </c>
      <c r="D643" s="47" t="n">
        <v>200</v>
      </c>
      <c r="E643" s="47" t="n">
        <v>25800000</v>
      </c>
      <c r="F643" s="47" t="n">
        <v>5360000</v>
      </c>
    </row>
    <row r="644" customFormat="false" ht="15" hidden="false" customHeight="false" outlineLevel="0" collapsed="false">
      <c r="A644" s="0" t="s">
        <v>332</v>
      </c>
      <c r="B644" s="0" t="n">
        <v>200</v>
      </c>
      <c r="C644" s="0" t="str">
        <f aca="false">TEXT(VLOOKUP(B644,$I$2:$J$20,2,FALSE()),"0")</f>
        <v>200</v>
      </c>
      <c r="D644" s="47" t="n">
        <v>360</v>
      </c>
      <c r="E644" s="47" t="n">
        <v>46440000</v>
      </c>
      <c r="F644" s="47" t="n">
        <v>9648000</v>
      </c>
    </row>
    <row r="645" customFormat="false" ht="15" hidden="false" customHeight="false" outlineLevel="0" collapsed="false">
      <c r="A645" s="0" t="s">
        <v>332</v>
      </c>
      <c r="B645" s="0" t="n">
        <v>299</v>
      </c>
      <c r="C645" s="0" t="str">
        <f aca="false">TEXT(VLOOKUP(B645,$I$2:$J$20,2,FALSE()),"0")</f>
        <v>200</v>
      </c>
      <c r="D645" s="47" t="n">
        <v>2</v>
      </c>
      <c r="E645" s="47" t="n">
        <v>258000</v>
      </c>
      <c r="F645" s="47" t="n">
        <v>53600</v>
      </c>
    </row>
    <row r="646" customFormat="false" ht="15" hidden="false" customHeight="false" outlineLevel="0" collapsed="false">
      <c r="A646" s="0" t="s">
        <v>332</v>
      </c>
      <c r="B646" s="0" t="n">
        <v>300</v>
      </c>
      <c r="C646" s="0" t="str">
        <f aca="false">TEXT(VLOOKUP(B646,$I$2:$J$20,2,FALSE()),"0")</f>
        <v>300</v>
      </c>
      <c r="D646" s="47" t="n">
        <v>300</v>
      </c>
      <c r="E646" s="47" t="n">
        <v>38700000</v>
      </c>
      <c r="F646" s="47" t="n">
        <v>8040000</v>
      </c>
    </row>
    <row r="647" customFormat="false" ht="15" hidden="false" customHeight="false" outlineLevel="0" collapsed="false">
      <c r="A647" s="0" t="s">
        <v>332</v>
      </c>
      <c r="B647" s="0" t="n">
        <v>600</v>
      </c>
      <c r="C647" s="0" t="str">
        <f aca="false">TEXT(VLOOKUP(B647,$I$2:$J$20,2,FALSE()),"0")</f>
        <v>600</v>
      </c>
      <c r="D647" s="47" t="n">
        <v>30</v>
      </c>
      <c r="E647" s="47" t="n">
        <v>3870000</v>
      </c>
      <c r="F647" s="47" t="n">
        <v>804000</v>
      </c>
    </row>
    <row r="648" customFormat="false" ht="15" hidden="false" customHeight="false" outlineLevel="0" collapsed="false">
      <c r="A648" s="0" t="s">
        <v>332</v>
      </c>
      <c r="B648" s="0" t="n">
        <v>700</v>
      </c>
      <c r="C648" s="0" t="str">
        <f aca="false">TEXT(VLOOKUP(B648,$I$2:$J$20,2,FALSE()),"0")</f>
        <v>700</v>
      </c>
      <c r="D648" s="47" t="n">
        <v>80</v>
      </c>
      <c r="E648" s="47" t="n">
        <v>10320000</v>
      </c>
      <c r="F648" s="47" t="n">
        <v>2144000</v>
      </c>
    </row>
    <row r="649" customFormat="false" ht="15" hidden="false" customHeight="false" outlineLevel="0" collapsed="false">
      <c r="A649" s="0" t="s">
        <v>332</v>
      </c>
      <c r="B649" s="0" t="n">
        <v>799</v>
      </c>
      <c r="C649" s="0" t="str">
        <f aca="false">TEXT(VLOOKUP(B649,$I$2:$J$20,2,FALSE()),"0")</f>
        <v>700</v>
      </c>
      <c r="D649" s="47" t="n">
        <v>2</v>
      </c>
      <c r="E649" s="47" t="n">
        <v>258000</v>
      </c>
      <c r="F649" s="47" t="n">
        <v>53600</v>
      </c>
    </row>
    <row r="650" customFormat="false" ht="15" hidden="false" customHeight="false" outlineLevel="0" collapsed="false">
      <c r="A650" s="0" t="s">
        <v>334</v>
      </c>
      <c r="B650" s="0" t="n">
        <v>100</v>
      </c>
      <c r="C650" s="0" t="str">
        <f aca="false">TEXT(VLOOKUP(B650,$I$2:$J$20,2,FALSE()),"0")</f>
        <v>100</v>
      </c>
      <c r="D650" s="47" t="n">
        <v>90</v>
      </c>
      <c r="E650" s="47" t="n">
        <v>13410000</v>
      </c>
      <c r="F650" s="47" t="n">
        <v>2912760</v>
      </c>
    </row>
    <row r="651" customFormat="false" ht="15" hidden="false" customHeight="false" outlineLevel="0" collapsed="false">
      <c r="A651" s="0" t="s">
        <v>334</v>
      </c>
      <c r="B651" s="0" t="n">
        <v>200</v>
      </c>
      <c r="C651" s="0" t="str">
        <f aca="false">TEXT(VLOOKUP(B651,$I$2:$J$20,2,FALSE()),"0")</f>
        <v>200</v>
      </c>
      <c r="D651" s="47" t="n">
        <v>75</v>
      </c>
      <c r="E651" s="47" t="n">
        <v>11175000</v>
      </c>
      <c r="F651" s="47" t="n">
        <v>2427300</v>
      </c>
    </row>
    <row r="652" customFormat="false" ht="15" hidden="false" customHeight="false" outlineLevel="0" collapsed="false">
      <c r="A652" s="0" t="s">
        <v>334</v>
      </c>
      <c r="B652" s="0" t="n">
        <v>299</v>
      </c>
      <c r="C652" s="0" t="str">
        <f aca="false">TEXT(VLOOKUP(B652,$I$2:$J$20,2,FALSE()),"0")</f>
        <v>200</v>
      </c>
      <c r="D652" s="47" t="n">
        <v>1</v>
      </c>
      <c r="E652" s="47" t="n">
        <v>149000</v>
      </c>
      <c r="F652" s="47" t="n">
        <v>32364</v>
      </c>
    </row>
    <row r="653" customFormat="false" ht="15" hidden="false" customHeight="false" outlineLevel="0" collapsed="false">
      <c r="A653" s="0" t="s">
        <v>334</v>
      </c>
      <c r="B653" s="0" t="n">
        <v>300</v>
      </c>
      <c r="C653" s="0" t="str">
        <f aca="false">TEXT(VLOOKUP(B653,$I$2:$J$20,2,FALSE()),"0")</f>
        <v>300</v>
      </c>
      <c r="D653" s="47" t="n">
        <v>300</v>
      </c>
      <c r="E653" s="47" t="n">
        <v>44700000</v>
      </c>
      <c r="F653" s="47" t="n">
        <v>9709200</v>
      </c>
    </row>
    <row r="654" customFormat="false" ht="15" hidden="false" customHeight="false" outlineLevel="0" collapsed="false">
      <c r="A654" s="0" t="s">
        <v>334</v>
      </c>
      <c r="B654" s="0" t="n">
        <v>600</v>
      </c>
      <c r="C654" s="0" t="str">
        <f aca="false">TEXT(VLOOKUP(B654,$I$2:$J$20,2,FALSE()),"0")</f>
        <v>600</v>
      </c>
      <c r="D654" s="47" t="n">
        <v>20</v>
      </c>
      <c r="E654" s="47" t="n">
        <v>2980000</v>
      </c>
      <c r="F654" s="47" t="n">
        <v>647280</v>
      </c>
    </row>
    <row r="655" customFormat="false" ht="15" hidden="false" customHeight="false" outlineLevel="0" collapsed="false">
      <c r="A655" s="0" t="s">
        <v>334</v>
      </c>
      <c r="B655" s="0" t="n">
        <v>700</v>
      </c>
      <c r="C655" s="0" t="str">
        <f aca="false">TEXT(VLOOKUP(B655,$I$2:$J$20,2,FALSE()),"0")</f>
        <v>700</v>
      </c>
      <c r="D655" s="47" t="n">
        <v>80</v>
      </c>
      <c r="E655" s="47" t="n">
        <v>11920000</v>
      </c>
      <c r="F655" s="47" t="n">
        <v>2589120</v>
      </c>
    </row>
    <row r="656" customFormat="false" ht="15" hidden="false" customHeight="false" outlineLevel="0" collapsed="false">
      <c r="A656" s="0" t="s">
        <v>334</v>
      </c>
      <c r="B656" s="0" t="n">
        <v>799</v>
      </c>
      <c r="C656" s="0" t="str">
        <f aca="false">TEXT(VLOOKUP(B656,$I$2:$J$20,2,FALSE()),"0")</f>
        <v>700</v>
      </c>
      <c r="D656" s="47" t="n">
        <v>2</v>
      </c>
      <c r="E656" s="47" t="n">
        <v>298000</v>
      </c>
      <c r="F656" s="47" t="n">
        <v>64728</v>
      </c>
    </row>
    <row r="657" customFormat="false" ht="15" hidden="false" customHeight="false" outlineLevel="0" collapsed="false">
      <c r="A657" s="0" t="s">
        <v>336</v>
      </c>
      <c r="B657" s="0" t="n">
        <v>100</v>
      </c>
      <c r="C657" s="0" t="str">
        <f aca="false">TEXT(VLOOKUP(B657,$I$2:$J$20,2,FALSE()),"0")</f>
        <v>100</v>
      </c>
      <c r="D657" s="47" t="n">
        <v>90</v>
      </c>
      <c r="E657" s="47" t="n">
        <v>9810000</v>
      </c>
      <c r="F657" s="47" t="n">
        <v>2493000</v>
      </c>
    </row>
    <row r="658" customFormat="false" ht="15" hidden="false" customHeight="false" outlineLevel="0" collapsed="false">
      <c r="A658" s="0" t="s">
        <v>336</v>
      </c>
      <c r="B658" s="0" t="n">
        <v>300</v>
      </c>
      <c r="C658" s="0" t="str">
        <f aca="false">TEXT(VLOOKUP(B658,$I$2:$J$20,2,FALSE()),"0")</f>
        <v>300</v>
      </c>
      <c r="D658" s="47" t="n">
        <v>80</v>
      </c>
      <c r="E658" s="47" t="n">
        <v>8720000</v>
      </c>
      <c r="F658" s="47" t="n">
        <v>2216000</v>
      </c>
    </row>
    <row r="659" customFormat="false" ht="15" hidden="false" customHeight="false" outlineLevel="0" collapsed="false">
      <c r="A659" s="0" t="s">
        <v>338</v>
      </c>
      <c r="B659" s="0" t="n">
        <v>300</v>
      </c>
      <c r="C659" s="0" t="str">
        <f aca="false">TEXT(VLOOKUP(B659,$I$2:$J$20,2,FALSE()),"0")</f>
        <v>300</v>
      </c>
      <c r="D659" s="47" t="n">
        <v>550</v>
      </c>
      <c r="E659" s="47" t="n">
        <v>70950000</v>
      </c>
      <c r="F659" s="47" t="n">
        <v>16343800</v>
      </c>
    </row>
    <row r="660" customFormat="false" ht="15" hidden="false" customHeight="false" outlineLevel="0" collapsed="false">
      <c r="A660" s="0" t="s">
        <v>338</v>
      </c>
      <c r="B660" s="0" t="n">
        <v>600</v>
      </c>
      <c r="C660" s="0" t="str">
        <f aca="false">TEXT(VLOOKUP(B660,$I$2:$J$20,2,FALSE()),"0")</f>
        <v>600</v>
      </c>
      <c r="D660" s="47" t="n">
        <v>45</v>
      </c>
      <c r="E660" s="47" t="n">
        <v>5805000</v>
      </c>
      <c r="F660" s="47" t="n">
        <v>1337220</v>
      </c>
    </row>
    <row r="661" customFormat="false" ht="15" hidden="false" customHeight="false" outlineLevel="0" collapsed="false">
      <c r="A661" s="0" t="s">
        <v>340</v>
      </c>
      <c r="B661" s="0" t="n">
        <v>100</v>
      </c>
      <c r="C661" s="0" t="str">
        <f aca="false">TEXT(VLOOKUP(B661,$I$2:$J$20,2,FALSE()),"0")</f>
        <v>100</v>
      </c>
      <c r="D661" s="47" t="n">
        <v>90</v>
      </c>
      <c r="E661" s="47" t="n">
        <v>10710000</v>
      </c>
      <c r="F661" s="47" t="n">
        <v>2403810</v>
      </c>
    </row>
    <row r="662" customFormat="false" ht="15" hidden="false" customHeight="false" outlineLevel="0" collapsed="false">
      <c r="A662" s="0" t="s">
        <v>340</v>
      </c>
      <c r="B662" s="0" t="n">
        <v>200</v>
      </c>
      <c r="C662" s="0" t="str">
        <f aca="false">TEXT(VLOOKUP(B662,$I$2:$J$20,2,FALSE()),"0")</f>
        <v>200</v>
      </c>
      <c r="D662" s="47" t="n">
        <v>140</v>
      </c>
      <c r="E662" s="47" t="n">
        <v>16660000</v>
      </c>
      <c r="F662" s="47" t="n">
        <v>3739260</v>
      </c>
    </row>
    <row r="663" customFormat="false" ht="15" hidden="false" customHeight="false" outlineLevel="0" collapsed="false">
      <c r="A663" s="0" t="s">
        <v>340</v>
      </c>
      <c r="B663" s="0" t="n">
        <v>299</v>
      </c>
      <c r="C663" s="0" t="str">
        <f aca="false">TEXT(VLOOKUP(B663,$I$2:$J$20,2,FALSE()),"0")</f>
        <v>200</v>
      </c>
      <c r="D663" s="47" t="n">
        <v>1</v>
      </c>
      <c r="E663" s="47" t="n">
        <v>119000</v>
      </c>
      <c r="F663" s="47" t="n">
        <v>26709</v>
      </c>
    </row>
    <row r="664" customFormat="false" ht="15" hidden="false" customHeight="false" outlineLevel="0" collapsed="false">
      <c r="A664" s="0" t="s">
        <v>340</v>
      </c>
      <c r="B664" s="0" t="n">
        <v>300</v>
      </c>
      <c r="C664" s="0" t="str">
        <f aca="false">TEXT(VLOOKUP(B664,$I$2:$J$20,2,FALSE()),"0")</f>
        <v>300</v>
      </c>
      <c r="D664" s="47" t="n">
        <v>200</v>
      </c>
      <c r="E664" s="47" t="n">
        <v>23800000</v>
      </c>
      <c r="F664" s="47" t="n">
        <v>5341800</v>
      </c>
    </row>
    <row r="665" customFormat="false" ht="15" hidden="false" customHeight="false" outlineLevel="0" collapsed="false">
      <c r="A665" s="0" t="s">
        <v>340</v>
      </c>
      <c r="B665" s="0" t="n">
        <v>600</v>
      </c>
      <c r="C665" s="0" t="str">
        <f aca="false">TEXT(VLOOKUP(B665,$I$2:$J$20,2,FALSE()),"0")</f>
        <v>600</v>
      </c>
      <c r="D665" s="47" t="n">
        <v>40</v>
      </c>
      <c r="E665" s="47" t="n">
        <v>4760000</v>
      </c>
      <c r="F665" s="47" t="n">
        <v>1068360</v>
      </c>
    </row>
    <row r="666" customFormat="false" ht="15" hidden="false" customHeight="false" outlineLevel="0" collapsed="false">
      <c r="A666" s="0" t="s">
        <v>1049</v>
      </c>
      <c r="B666" s="0" t="n">
        <v>200</v>
      </c>
      <c r="C666" s="0" t="str">
        <f aca="false">TEXT(VLOOKUP(B666,$I$2:$J$20,2,FALSE()),"0")</f>
        <v>200</v>
      </c>
      <c r="D666" s="47" t="n">
        <v>255</v>
      </c>
      <c r="E666" s="47" t="n">
        <v>27795000</v>
      </c>
      <c r="F666" s="47" t="n">
        <v>5849445</v>
      </c>
    </row>
    <row r="667" customFormat="false" ht="15" hidden="false" customHeight="false" outlineLevel="0" collapsed="false">
      <c r="A667" s="0" t="s">
        <v>1049</v>
      </c>
      <c r="B667" s="0" t="n">
        <v>299</v>
      </c>
      <c r="C667" s="0" t="str">
        <f aca="false">TEXT(VLOOKUP(B667,$I$2:$J$20,2,FALSE()),"0")</f>
        <v>200</v>
      </c>
      <c r="D667" s="47" t="n">
        <v>2</v>
      </c>
      <c r="E667" s="47" t="n">
        <v>218000</v>
      </c>
      <c r="F667" s="47" t="n">
        <v>45878</v>
      </c>
    </row>
    <row r="668" customFormat="false" ht="15" hidden="false" customHeight="false" outlineLevel="0" collapsed="false">
      <c r="A668" s="0" t="s">
        <v>342</v>
      </c>
      <c r="B668" s="0" t="n">
        <v>100</v>
      </c>
      <c r="C668" s="0" t="str">
        <f aca="false">TEXT(VLOOKUP(B668,$I$2:$J$20,2,FALSE()),"0")</f>
        <v>100</v>
      </c>
      <c r="D668" s="47" t="n">
        <v>320</v>
      </c>
      <c r="E668" s="47" t="n">
        <v>54080000</v>
      </c>
      <c r="F668" s="47" t="n">
        <v>9182400</v>
      </c>
    </row>
    <row r="669" customFormat="false" ht="15" hidden="false" customHeight="false" outlineLevel="0" collapsed="false">
      <c r="A669" s="0" t="s">
        <v>342</v>
      </c>
      <c r="B669" s="0" t="n">
        <v>300</v>
      </c>
      <c r="C669" s="0" t="str">
        <f aca="false">TEXT(VLOOKUP(B669,$I$2:$J$20,2,FALSE()),"0")</f>
        <v>300</v>
      </c>
      <c r="D669" s="47" t="n">
        <v>300</v>
      </c>
      <c r="E669" s="47" t="n">
        <v>50700000</v>
      </c>
      <c r="F669" s="47" t="n">
        <v>8608500</v>
      </c>
    </row>
    <row r="670" customFormat="false" ht="15" hidden="false" customHeight="false" outlineLevel="0" collapsed="false">
      <c r="A670" s="0" t="s">
        <v>342</v>
      </c>
      <c r="B670" s="0" t="n">
        <v>810</v>
      </c>
      <c r="C670" s="0" t="str">
        <f aca="false">TEXT(VLOOKUP(B670,$I$2:$J$20,2,FALSE()),"0")</f>
        <v>810</v>
      </c>
      <c r="D670" s="47" t="n">
        <v>204</v>
      </c>
      <c r="E670" s="47" t="n">
        <v>34476000</v>
      </c>
      <c r="F670" s="47" t="n">
        <v>5853780</v>
      </c>
    </row>
    <row r="671" customFormat="false" ht="15" hidden="false" customHeight="false" outlineLevel="0" collapsed="false">
      <c r="A671" s="0" t="s">
        <v>344</v>
      </c>
      <c r="B671" s="0" t="n">
        <v>300</v>
      </c>
      <c r="C671" s="0" t="str">
        <f aca="false">TEXT(VLOOKUP(B671,$I$2:$J$20,2,FALSE()),"0")</f>
        <v>300</v>
      </c>
      <c r="D671" s="47" t="n">
        <v>160</v>
      </c>
      <c r="E671" s="47" t="n">
        <v>25440000</v>
      </c>
      <c r="F671" s="47" t="n">
        <v>4400000</v>
      </c>
    </row>
    <row r="672" customFormat="false" ht="15" hidden="false" customHeight="false" outlineLevel="0" collapsed="false">
      <c r="A672" s="0" t="s">
        <v>344</v>
      </c>
      <c r="B672" s="0" t="n">
        <v>800</v>
      </c>
      <c r="C672" s="0" t="str">
        <f aca="false">TEXT(VLOOKUP(B672,$I$2:$J$20,2,FALSE()),"0")</f>
        <v>800</v>
      </c>
      <c r="D672" s="47" t="n">
        <v>40</v>
      </c>
      <c r="E672" s="47" t="n">
        <v>6360000</v>
      </c>
      <c r="F672" s="47" t="n">
        <v>1100000</v>
      </c>
    </row>
    <row r="673" customFormat="false" ht="15" hidden="false" customHeight="false" outlineLevel="0" collapsed="false">
      <c r="A673" s="0" t="s">
        <v>1308</v>
      </c>
      <c r="B673" s="0" t="n">
        <v>600</v>
      </c>
      <c r="C673" s="0" t="str">
        <f aca="false">TEXT(VLOOKUP(B673,$I$2:$J$20,2,FALSE()),"0")</f>
        <v>600</v>
      </c>
      <c r="D673" s="47" t="n">
        <v>40</v>
      </c>
      <c r="E673" s="47" t="n">
        <v>6360000</v>
      </c>
      <c r="F673" s="47" t="n">
        <v>1160000</v>
      </c>
    </row>
    <row r="674" customFormat="false" ht="15" hidden="false" customHeight="false" outlineLevel="0" collapsed="false">
      <c r="A674" s="0" t="s">
        <v>1308</v>
      </c>
      <c r="B674" s="0" t="n">
        <v>800</v>
      </c>
      <c r="C674" s="0" t="str">
        <f aca="false">TEXT(VLOOKUP(B674,$I$2:$J$20,2,FALSE()),"0")</f>
        <v>800</v>
      </c>
      <c r="D674" s="47" t="n">
        <v>60</v>
      </c>
      <c r="E674" s="47" t="n">
        <v>9540000</v>
      </c>
      <c r="F674" s="47" t="n">
        <v>1740000</v>
      </c>
    </row>
    <row r="675" customFormat="false" ht="15" hidden="false" customHeight="false" outlineLevel="0" collapsed="false">
      <c r="A675" s="0" t="s">
        <v>840</v>
      </c>
      <c r="B675" s="0" t="n">
        <v>100</v>
      </c>
      <c r="C675" s="0" t="str">
        <f aca="false">TEXT(VLOOKUP(B675,$I$2:$J$20,2,FALSE()),"0")</f>
        <v>100</v>
      </c>
      <c r="D675" s="47" t="n">
        <v>100</v>
      </c>
      <c r="E675" s="47" t="n">
        <v>17900000</v>
      </c>
      <c r="F675" s="47" t="n">
        <v>3750100</v>
      </c>
    </row>
    <row r="676" customFormat="false" ht="15" hidden="false" customHeight="false" outlineLevel="0" collapsed="false">
      <c r="A676" s="0" t="s">
        <v>840</v>
      </c>
      <c r="B676" s="0" t="n">
        <v>800</v>
      </c>
      <c r="C676" s="0" t="str">
        <f aca="false">TEXT(VLOOKUP(B676,$I$2:$J$20,2,FALSE()),"0")</f>
        <v>800</v>
      </c>
      <c r="D676" s="47" t="n">
        <v>15</v>
      </c>
      <c r="E676" s="47" t="n">
        <v>2685000</v>
      </c>
      <c r="F676" s="47" t="n">
        <v>562515</v>
      </c>
    </row>
    <row r="677" customFormat="false" ht="15" hidden="false" customHeight="false" outlineLevel="0" collapsed="false">
      <c r="A677" s="0" t="s">
        <v>842</v>
      </c>
      <c r="B677" s="0" t="n">
        <v>100</v>
      </c>
      <c r="C677" s="0" t="str">
        <f aca="false">TEXT(VLOOKUP(B677,$I$2:$J$20,2,FALSE()),"0")</f>
        <v>100</v>
      </c>
      <c r="D677" s="47" t="n">
        <v>240</v>
      </c>
      <c r="E677" s="47" t="n">
        <v>42960000</v>
      </c>
      <c r="F677" s="47" t="n">
        <v>8496000</v>
      </c>
    </row>
    <row r="678" customFormat="false" ht="15" hidden="false" customHeight="false" outlineLevel="0" collapsed="false">
      <c r="A678" s="0" t="s">
        <v>346</v>
      </c>
      <c r="B678" s="0" t="n">
        <v>100</v>
      </c>
      <c r="C678" s="0" t="str">
        <f aca="false">TEXT(VLOOKUP(B678,$I$2:$J$20,2,FALSE()),"0")</f>
        <v>100</v>
      </c>
      <c r="D678" s="47" t="n">
        <v>430</v>
      </c>
      <c r="E678" s="47" t="n">
        <v>81270000</v>
      </c>
      <c r="F678" s="47" t="n">
        <v>15174700</v>
      </c>
    </row>
    <row r="679" customFormat="false" ht="15" hidden="false" customHeight="false" outlineLevel="0" collapsed="false">
      <c r="A679" s="0" t="s">
        <v>346</v>
      </c>
      <c r="B679" s="0" t="n">
        <v>300</v>
      </c>
      <c r="C679" s="0" t="str">
        <f aca="false">TEXT(VLOOKUP(B679,$I$2:$J$20,2,FALSE()),"0")</f>
        <v>300</v>
      </c>
      <c r="D679" s="47" t="n">
        <v>530</v>
      </c>
      <c r="E679" s="47" t="n">
        <v>100170000</v>
      </c>
      <c r="F679" s="47" t="n">
        <v>18703700</v>
      </c>
    </row>
    <row r="680" customFormat="false" ht="15" hidden="false" customHeight="false" outlineLevel="0" collapsed="false">
      <c r="A680" s="0" t="s">
        <v>346</v>
      </c>
      <c r="B680" s="0" t="n">
        <v>600</v>
      </c>
      <c r="C680" s="0" t="str">
        <f aca="false">TEXT(VLOOKUP(B680,$I$2:$J$20,2,FALSE()),"0")</f>
        <v>600</v>
      </c>
      <c r="D680" s="47" t="n">
        <v>50</v>
      </c>
      <c r="E680" s="47" t="n">
        <v>9450000</v>
      </c>
      <c r="F680" s="47" t="n">
        <v>1764500</v>
      </c>
    </row>
    <row r="681" customFormat="false" ht="15" hidden="false" customHeight="false" outlineLevel="0" collapsed="false">
      <c r="A681" s="0" t="s">
        <v>346</v>
      </c>
      <c r="B681" s="0" t="n">
        <v>800</v>
      </c>
      <c r="C681" s="0" t="str">
        <f aca="false">TEXT(VLOOKUP(B681,$I$2:$J$20,2,FALSE()),"0")</f>
        <v>800</v>
      </c>
      <c r="D681" s="47" t="n">
        <v>70</v>
      </c>
      <c r="E681" s="47" t="n">
        <v>13230000</v>
      </c>
      <c r="F681" s="47" t="n">
        <v>2470300</v>
      </c>
    </row>
    <row r="682" customFormat="false" ht="15" hidden="false" customHeight="false" outlineLevel="0" collapsed="false">
      <c r="A682" s="0" t="s">
        <v>348</v>
      </c>
      <c r="B682" s="0" t="n">
        <v>100</v>
      </c>
      <c r="C682" s="0" t="str">
        <f aca="false">TEXT(VLOOKUP(B682,$I$2:$J$20,2,FALSE()),"0")</f>
        <v>100</v>
      </c>
      <c r="D682" s="47" t="n">
        <v>220</v>
      </c>
      <c r="E682" s="47" t="n">
        <v>32780000</v>
      </c>
      <c r="F682" s="47" t="n">
        <v>8858740</v>
      </c>
    </row>
    <row r="683" customFormat="false" ht="15" hidden="false" customHeight="false" outlineLevel="0" collapsed="false">
      <c r="A683" s="0" t="s">
        <v>348</v>
      </c>
      <c r="B683" s="0" t="n">
        <v>200</v>
      </c>
      <c r="C683" s="0" t="str">
        <f aca="false">TEXT(VLOOKUP(B683,$I$2:$J$20,2,FALSE()),"0")</f>
        <v>200</v>
      </c>
      <c r="D683" s="47" t="n">
        <v>170</v>
      </c>
      <c r="E683" s="47" t="n">
        <v>25330000</v>
      </c>
      <c r="F683" s="47" t="n">
        <v>6845390</v>
      </c>
    </row>
    <row r="684" customFormat="false" ht="15" hidden="false" customHeight="false" outlineLevel="0" collapsed="false">
      <c r="A684" s="0" t="s">
        <v>348</v>
      </c>
      <c r="B684" s="0" t="n">
        <v>299</v>
      </c>
      <c r="C684" s="0" t="str">
        <f aca="false">TEXT(VLOOKUP(B684,$I$2:$J$20,2,FALSE()),"0")</f>
        <v>200</v>
      </c>
      <c r="D684" s="47" t="n">
        <v>2</v>
      </c>
      <c r="E684" s="47" t="n">
        <v>298000</v>
      </c>
      <c r="F684" s="47" t="n">
        <v>80534</v>
      </c>
    </row>
    <row r="685" customFormat="false" ht="15" hidden="false" customHeight="false" outlineLevel="0" collapsed="false">
      <c r="A685" s="0" t="s">
        <v>348</v>
      </c>
      <c r="B685" s="0" t="n">
        <v>300</v>
      </c>
      <c r="C685" s="0" t="str">
        <f aca="false">TEXT(VLOOKUP(B685,$I$2:$J$20,2,FALSE()),"0")</f>
        <v>300</v>
      </c>
      <c r="D685" s="47" t="n">
        <v>150</v>
      </c>
      <c r="E685" s="47" t="n">
        <v>22350000</v>
      </c>
      <c r="F685" s="47" t="n">
        <v>6040050</v>
      </c>
    </row>
    <row r="686" customFormat="false" ht="15" hidden="false" customHeight="false" outlineLevel="0" collapsed="false">
      <c r="A686" s="0" t="s">
        <v>348</v>
      </c>
      <c r="B686" s="0" t="n">
        <v>800</v>
      </c>
      <c r="C686" s="0" t="str">
        <f aca="false">TEXT(VLOOKUP(B686,$I$2:$J$20,2,FALSE()),"0")</f>
        <v>800</v>
      </c>
      <c r="D686" s="47" t="n">
        <v>40</v>
      </c>
      <c r="E686" s="47" t="n">
        <v>5960000</v>
      </c>
      <c r="F686" s="47" t="n">
        <v>1610680</v>
      </c>
    </row>
    <row r="687" customFormat="false" ht="15" hidden="false" customHeight="false" outlineLevel="0" collapsed="false">
      <c r="A687" s="0" t="s">
        <v>1310</v>
      </c>
      <c r="B687" s="0" t="n">
        <v>600</v>
      </c>
      <c r="C687" s="0" t="str">
        <f aca="false">TEXT(VLOOKUP(B687,$I$2:$J$20,2,FALSE()),"0")</f>
        <v>600</v>
      </c>
      <c r="D687" s="47" t="n">
        <v>20</v>
      </c>
      <c r="E687" s="47" t="n">
        <v>2580000</v>
      </c>
      <c r="F687" s="47" t="n">
        <v>436060</v>
      </c>
    </row>
    <row r="688" customFormat="false" ht="15" hidden="false" customHeight="false" outlineLevel="0" collapsed="false">
      <c r="A688" s="0" t="s">
        <v>1310</v>
      </c>
      <c r="B688" s="0" t="n">
        <v>700</v>
      </c>
      <c r="C688" s="0" t="str">
        <f aca="false">TEXT(VLOOKUP(B688,$I$2:$J$20,2,FALSE()),"0")</f>
        <v>700</v>
      </c>
      <c r="D688" s="47" t="n">
        <v>90</v>
      </c>
      <c r="E688" s="47" t="n">
        <v>11610000</v>
      </c>
      <c r="F688" s="47" t="n">
        <v>1962270</v>
      </c>
    </row>
    <row r="689" customFormat="false" ht="15" hidden="false" customHeight="false" outlineLevel="0" collapsed="false">
      <c r="A689" s="0" t="s">
        <v>1310</v>
      </c>
      <c r="B689" s="0" t="n">
        <v>799</v>
      </c>
      <c r="C689" s="0" t="str">
        <f aca="false">TEXT(VLOOKUP(B689,$I$2:$J$20,2,FALSE()),"0")</f>
        <v>700</v>
      </c>
      <c r="D689" s="47" t="n">
        <v>2</v>
      </c>
      <c r="E689" s="47" t="n">
        <v>258000</v>
      </c>
      <c r="F689" s="47" t="n">
        <v>43606</v>
      </c>
    </row>
    <row r="690" customFormat="false" ht="15" hidden="false" customHeight="false" outlineLevel="0" collapsed="false">
      <c r="A690" s="0" t="s">
        <v>844</v>
      </c>
      <c r="B690" s="0" t="n">
        <v>100</v>
      </c>
      <c r="C690" s="0" t="str">
        <f aca="false">TEXT(VLOOKUP(B690,$I$2:$J$20,2,FALSE()),"0")</f>
        <v>100</v>
      </c>
      <c r="D690" s="47" t="n">
        <v>140</v>
      </c>
      <c r="E690" s="47" t="n">
        <v>22260000</v>
      </c>
      <c r="F690" s="47" t="n">
        <v>4774000</v>
      </c>
    </row>
    <row r="691" customFormat="false" ht="15" hidden="false" customHeight="false" outlineLevel="0" collapsed="false">
      <c r="A691" s="0" t="s">
        <v>846</v>
      </c>
      <c r="B691" s="0" t="n">
        <v>100</v>
      </c>
      <c r="C691" s="0" t="str">
        <f aca="false">TEXT(VLOOKUP(B691,$I$2:$J$20,2,FALSE()),"0")</f>
        <v>100</v>
      </c>
      <c r="D691" s="47" t="n">
        <v>170</v>
      </c>
      <c r="E691" s="47" t="n">
        <v>30430000</v>
      </c>
      <c r="F691" s="47" t="n">
        <v>6692560</v>
      </c>
    </row>
    <row r="692" customFormat="false" ht="15" hidden="false" customHeight="false" outlineLevel="0" collapsed="false">
      <c r="A692" s="0" t="s">
        <v>846</v>
      </c>
      <c r="B692" s="0" t="n">
        <v>200</v>
      </c>
      <c r="C692" s="0" t="str">
        <f aca="false">TEXT(VLOOKUP(B692,$I$2:$J$20,2,FALSE()),"0")</f>
        <v>200</v>
      </c>
      <c r="D692" s="47" t="n">
        <v>455</v>
      </c>
      <c r="E692" s="47" t="n">
        <v>81445000</v>
      </c>
      <c r="F692" s="47" t="n">
        <v>17912440</v>
      </c>
    </row>
    <row r="693" customFormat="false" ht="15" hidden="false" customHeight="false" outlineLevel="0" collapsed="false">
      <c r="A693" s="0" t="s">
        <v>846</v>
      </c>
      <c r="B693" s="0" t="n">
        <v>299</v>
      </c>
      <c r="C693" s="0" t="str">
        <f aca="false">TEXT(VLOOKUP(B693,$I$2:$J$20,2,FALSE()),"0")</f>
        <v>200</v>
      </c>
      <c r="D693" s="47" t="n">
        <v>3</v>
      </c>
      <c r="E693" s="47" t="n">
        <v>537000</v>
      </c>
      <c r="F693" s="47" t="n">
        <v>118104</v>
      </c>
    </row>
    <row r="694" customFormat="false" ht="15" hidden="false" customHeight="false" outlineLevel="0" collapsed="false">
      <c r="A694" s="0" t="s">
        <v>846</v>
      </c>
      <c r="B694" s="0" t="n">
        <v>600</v>
      </c>
      <c r="C694" s="0" t="str">
        <f aca="false">TEXT(VLOOKUP(B694,$I$2:$J$20,2,FALSE()),"0")</f>
        <v>600</v>
      </c>
      <c r="D694" s="47" t="n">
        <v>40</v>
      </c>
      <c r="E694" s="47" t="n">
        <v>7160000</v>
      </c>
      <c r="F694" s="47" t="n">
        <v>1574720</v>
      </c>
    </row>
    <row r="695" customFormat="false" ht="15" hidden="false" customHeight="false" outlineLevel="0" collapsed="false">
      <c r="A695" s="0" t="s">
        <v>350</v>
      </c>
      <c r="B695" s="0" t="n">
        <v>200</v>
      </c>
      <c r="C695" s="0" t="str">
        <f aca="false">TEXT(VLOOKUP(B695,$I$2:$J$20,2,FALSE()),"0")</f>
        <v>200</v>
      </c>
      <c r="D695" s="47" t="n">
        <v>110</v>
      </c>
      <c r="E695" s="47" t="n">
        <v>17490000</v>
      </c>
      <c r="F695" s="47" t="n">
        <v>3936350</v>
      </c>
    </row>
    <row r="696" customFormat="false" ht="15" hidden="false" customHeight="false" outlineLevel="0" collapsed="false">
      <c r="A696" s="0" t="s">
        <v>350</v>
      </c>
      <c r="B696" s="0" t="n">
        <v>299</v>
      </c>
      <c r="C696" s="0" t="str">
        <f aca="false">TEXT(VLOOKUP(B696,$I$2:$J$20,2,FALSE()),"0")</f>
        <v>200</v>
      </c>
      <c r="D696" s="47" t="n">
        <v>1</v>
      </c>
      <c r="E696" s="47" t="n">
        <v>159000</v>
      </c>
      <c r="F696" s="47" t="n">
        <v>35785</v>
      </c>
    </row>
    <row r="697" customFormat="false" ht="15" hidden="false" customHeight="false" outlineLevel="0" collapsed="false">
      <c r="A697" s="0" t="s">
        <v>350</v>
      </c>
      <c r="B697" s="0" t="n">
        <v>300</v>
      </c>
      <c r="C697" s="0" t="str">
        <f aca="false">TEXT(VLOOKUP(B697,$I$2:$J$20,2,FALSE()),"0")</f>
        <v>300</v>
      </c>
      <c r="D697" s="47" t="n">
        <v>120</v>
      </c>
      <c r="E697" s="47" t="n">
        <v>19080000</v>
      </c>
      <c r="F697" s="47" t="n">
        <v>4294200</v>
      </c>
    </row>
    <row r="698" customFormat="false" ht="15" hidden="false" customHeight="false" outlineLevel="0" collapsed="false">
      <c r="A698" s="0" t="s">
        <v>350</v>
      </c>
      <c r="B698" s="0" t="n">
        <v>600</v>
      </c>
      <c r="C698" s="0" t="str">
        <f aca="false">TEXT(VLOOKUP(B698,$I$2:$J$20,2,FALSE()),"0")</f>
        <v>600</v>
      </c>
      <c r="D698" s="47" t="n">
        <v>15</v>
      </c>
      <c r="E698" s="47" t="n">
        <v>2385000</v>
      </c>
      <c r="F698" s="47" t="n">
        <v>536775</v>
      </c>
    </row>
    <row r="699" customFormat="false" ht="15" hidden="false" customHeight="false" outlineLevel="0" collapsed="false">
      <c r="A699" s="0" t="s">
        <v>1051</v>
      </c>
      <c r="B699" s="0" t="n">
        <v>200</v>
      </c>
      <c r="C699" s="0" t="str">
        <f aca="false">TEXT(VLOOKUP(B699,$I$2:$J$20,2,FALSE()),"0")</f>
        <v>200</v>
      </c>
      <c r="D699" s="47" t="n">
        <v>200</v>
      </c>
      <c r="E699" s="47" t="n">
        <v>35800000</v>
      </c>
      <c r="F699" s="47" t="n">
        <v>6987200</v>
      </c>
    </row>
    <row r="700" customFormat="false" ht="15" hidden="false" customHeight="false" outlineLevel="0" collapsed="false">
      <c r="A700" s="0" t="s">
        <v>1051</v>
      </c>
      <c r="B700" s="0" t="n">
        <v>299</v>
      </c>
      <c r="C700" s="0" t="str">
        <f aca="false">TEXT(VLOOKUP(B700,$I$2:$J$20,2,FALSE()),"0")</f>
        <v>200</v>
      </c>
      <c r="D700" s="47" t="n">
        <v>2</v>
      </c>
      <c r="E700" s="47" t="n">
        <v>358000</v>
      </c>
      <c r="F700" s="47" t="n">
        <v>69872</v>
      </c>
    </row>
    <row r="701" customFormat="false" ht="15" hidden="false" customHeight="false" outlineLevel="0" collapsed="false">
      <c r="A701" s="0" t="s">
        <v>1312</v>
      </c>
      <c r="B701" s="0" t="n">
        <v>600</v>
      </c>
      <c r="C701" s="0" t="str">
        <f aca="false">TEXT(VLOOKUP(B701,$I$2:$J$20,2,FALSE()),"0")</f>
        <v>600</v>
      </c>
      <c r="D701" s="47" t="n">
        <v>30</v>
      </c>
      <c r="E701" s="47" t="n">
        <v>2670000</v>
      </c>
      <c r="F701" s="47" t="n">
        <v>486030</v>
      </c>
    </row>
    <row r="702" customFormat="false" ht="15" hidden="false" customHeight="false" outlineLevel="0" collapsed="false">
      <c r="A702" s="0" t="s">
        <v>1312</v>
      </c>
      <c r="B702" s="0" t="n">
        <v>700</v>
      </c>
      <c r="C702" s="0" t="str">
        <f aca="false">TEXT(VLOOKUP(B702,$I$2:$J$20,2,FALSE()),"0")</f>
        <v>700</v>
      </c>
      <c r="D702" s="47" t="n">
        <v>180</v>
      </c>
      <c r="E702" s="47" t="n">
        <v>16020000</v>
      </c>
      <c r="F702" s="47" t="n">
        <v>2916180</v>
      </c>
    </row>
    <row r="703" customFormat="false" ht="15" hidden="false" customHeight="false" outlineLevel="0" collapsed="false">
      <c r="A703" s="0" t="s">
        <v>1312</v>
      </c>
      <c r="B703" s="0" t="n">
        <v>799</v>
      </c>
      <c r="C703" s="0" t="str">
        <f aca="false">TEXT(VLOOKUP(B703,$I$2:$J$20,2,FALSE()),"0")</f>
        <v>700</v>
      </c>
      <c r="D703" s="47" t="n">
        <v>3</v>
      </c>
      <c r="E703" s="47" t="n">
        <v>267000</v>
      </c>
      <c r="F703" s="47" t="n">
        <v>48603</v>
      </c>
    </row>
    <row r="704" customFormat="false" ht="15" hidden="false" customHeight="false" outlineLevel="0" collapsed="false">
      <c r="A704" s="0" t="s">
        <v>1314</v>
      </c>
      <c r="B704" s="0" t="n">
        <v>600</v>
      </c>
      <c r="C704" s="0" t="str">
        <f aca="false">TEXT(VLOOKUP(B704,$I$2:$J$20,2,FALSE()),"0")</f>
        <v>600</v>
      </c>
      <c r="D704" s="47" t="n">
        <v>20</v>
      </c>
      <c r="E704" s="47" t="n">
        <v>1980000</v>
      </c>
      <c r="F704" s="47" t="n">
        <v>336020</v>
      </c>
    </row>
    <row r="705" customFormat="false" ht="15" hidden="false" customHeight="false" outlineLevel="0" collapsed="false">
      <c r="A705" s="0" t="s">
        <v>1314</v>
      </c>
      <c r="B705" s="0" t="n">
        <v>700</v>
      </c>
      <c r="C705" s="0" t="str">
        <f aca="false">TEXT(VLOOKUP(B705,$I$2:$J$20,2,FALSE()),"0")</f>
        <v>700</v>
      </c>
      <c r="D705" s="47" t="n">
        <v>105</v>
      </c>
      <c r="E705" s="47" t="n">
        <v>10395000</v>
      </c>
      <c r="F705" s="47" t="n">
        <v>1764105</v>
      </c>
    </row>
    <row r="706" customFormat="false" ht="15" hidden="false" customHeight="false" outlineLevel="0" collapsed="false">
      <c r="A706" s="0" t="s">
        <v>1314</v>
      </c>
      <c r="B706" s="0" t="n">
        <v>799</v>
      </c>
      <c r="C706" s="0" t="str">
        <f aca="false">TEXT(VLOOKUP(B706,$I$2:$J$20,2,FALSE()),"0")</f>
        <v>700</v>
      </c>
      <c r="D706" s="47" t="n">
        <v>2</v>
      </c>
      <c r="E706" s="47" t="n">
        <v>198000</v>
      </c>
      <c r="F706" s="47" t="n">
        <v>33602</v>
      </c>
    </row>
    <row r="707" customFormat="false" ht="15" hidden="false" customHeight="false" outlineLevel="0" collapsed="false">
      <c r="A707" s="0" t="s">
        <v>1314</v>
      </c>
      <c r="B707" s="0" t="n">
        <v>800</v>
      </c>
      <c r="C707" s="0" t="str">
        <f aca="false">TEXT(VLOOKUP(B707,$I$2:$J$20,2,FALSE()),"0")</f>
        <v>800</v>
      </c>
      <c r="D707" s="47" t="n">
        <v>40</v>
      </c>
      <c r="E707" s="47" t="n">
        <v>3960000</v>
      </c>
      <c r="F707" s="47" t="n">
        <v>672040</v>
      </c>
    </row>
    <row r="708" customFormat="false" ht="15" hidden="false" customHeight="false" outlineLevel="0" collapsed="false">
      <c r="A708" s="0" t="s">
        <v>352</v>
      </c>
      <c r="B708" s="0" t="n">
        <v>100</v>
      </c>
      <c r="C708" s="0" t="str">
        <f aca="false">TEXT(VLOOKUP(B708,$I$2:$J$20,2,FALSE()),"0")</f>
        <v>100</v>
      </c>
      <c r="D708" s="47" t="n">
        <v>160</v>
      </c>
      <c r="E708" s="47" t="n">
        <v>15840000</v>
      </c>
      <c r="F708" s="47" t="n">
        <v>2960160</v>
      </c>
    </row>
    <row r="709" customFormat="false" ht="15" hidden="false" customHeight="false" outlineLevel="0" collapsed="false">
      <c r="A709" s="0" t="s">
        <v>352</v>
      </c>
      <c r="B709" s="0" t="n">
        <v>300</v>
      </c>
      <c r="C709" s="0" t="str">
        <f aca="false">TEXT(VLOOKUP(B709,$I$2:$J$20,2,FALSE()),"0")</f>
        <v>300</v>
      </c>
      <c r="D709" s="47" t="n">
        <v>80</v>
      </c>
      <c r="E709" s="47" t="n">
        <v>7920000</v>
      </c>
      <c r="F709" s="47" t="n">
        <v>1480080</v>
      </c>
    </row>
    <row r="710" customFormat="false" ht="15" hidden="false" customHeight="false" outlineLevel="0" collapsed="false">
      <c r="A710" s="0" t="s">
        <v>352</v>
      </c>
      <c r="B710" s="0" t="n">
        <v>700</v>
      </c>
      <c r="C710" s="0" t="str">
        <f aca="false">TEXT(VLOOKUP(B710,$I$2:$J$20,2,FALSE()),"0")</f>
        <v>700</v>
      </c>
      <c r="D710" s="47" t="n">
        <v>45</v>
      </c>
      <c r="E710" s="47" t="n">
        <v>4455000</v>
      </c>
      <c r="F710" s="47" t="n">
        <v>832545</v>
      </c>
    </row>
    <row r="711" customFormat="false" ht="15" hidden="false" customHeight="false" outlineLevel="0" collapsed="false">
      <c r="A711" s="0" t="s">
        <v>352</v>
      </c>
      <c r="B711" s="0" t="n">
        <v>799</v>
      </c>
      <c r="C711" s="0" t="str">
        <f aca="false">TEXT(VLOOKUP(B711,$I$2:$J$20,2,FALSE()),"0")</f>
        <v>700</v>
      </c>
      <c r="D711" s="47" t="n">
        <v>1</v>
      </c>
      <c r="E711" s="47" t="n">
        <v>99000</v>
      </c>
      <c r="F711" s="47" t="n">
        <v>18501</v>
      </c>
    </row>
    <row r="712" customFormat="false" ht="15" hidden="false" customHeight="false" outlineLevel="0" collapsed="false">
      <c r="A712" s="0" t="s">
        <v>1316</v>
      </c>
      <c r="B712" s="0" t="n">
        <v>600</v>
      </c>
      <c r="C712" s="0" t="str">
        <f aca="false">TEXT(VLOOKUP(B712,$I$2:$J$20,2,FALSE()),"0")</f>
        <v>600</v>
      </c>
      <c r="D712" s="47" t="n">
        <v>20</v>
      </c>
      <c r="E712" s="47" t="n">
        <v>1980000</v>
      </c>
      <c r="F712" s="47" t="n">
        <v>412000</v>
      </c>
    </row>
    <row r="713" customFormat="false" ht="15" hidden="false" customHeight="false" outlineLevel="0" collapsed="false">
      <c r="A713" s="0" t="s">
        <v>1316</v>
      </c>
      <c r="B713" s="0" t="n">
        <v>810</v>
      </c>
      <c r="C713" s="0" t="str">
        <f aca="false">TEXT(VLOOKUP(B713,$I$2:$J$20,2,FALSE()),"0")</f>
        <v>810</v>
      </c>
      <c r="D713" s="47" t="n">
        <v>204</v>
      </c>
      <c r="E713" s="47" t="n">
        <v>20196000</v>
      </c>
      <c r="F713" s="47" t="n">
        <v>4202400</v>
      </c>
    </row>
    <row r="714" customFormat="false" ht="15" hidden="false" customHeight="false" outlineLevel="0" collapsed="false">
      <c r="A714" s="0" t="s">
        <v>354</v>
      </c>
      <c r="B714" s="0" t="n">
        <v>100</v>
      </c>
      <c r="C714" s="0" t="str">
        <f aca="false">TEXT(VLOOKUP(B714,$I$2:$J$20,2,FALSE()),"0")</f>
        <v>100</v>
      </c>
      <c r="D714" s="47" t="n">
        <v>90</v>
      </c>
      <c r="E714" s="47" t="n">
        <v>9810000</v>
      </c>
      <c r="F714" s="47" t="n">
        <v>2142720</v>
      </c>
    </row>
    <row r="715" customFormat="false" ht="15" hidden="false" customHeight="false" outlineLevel="0" collapsed="false">
      <c r="A715" s="0" t="s">
        <v>354</v>
      </c>
      <c r="B715" s="0" t="n">
        <v>200</v>
      </c>
      <c r="C715" s="0" t="str">
        <f aca="false">TEXT(VLOOKUP(B715,$I$2:$J$20,2,FALSE()),"0")</f>
        <v>200</v>
      </c>
      <c r="D715" s="47" t="n">
        <v>170</v>
      </c>
      <c r="E715" s="47" t="n">
        <v>18530000</v>
      </c>
      <c r="F715" s="47" t="n">
        <v>4047360</v>
      </c>
    </row>
    <row r="716" customFormat="false" ht="15" hidden="false" customHeight="false" outlineLevel="0" collapsed="false">
      <c r="A716" s="0" t="s">
        <v>354</v>
      </c>
      <c r="B716" s="0" t="n">
        <v>299</v>
      </c>
      <c r="C716" s="0" t="str">
        <f aca="false">TEXT(VLOOKUP(B716,$I$2:$J$20,2,FALSE()),"0")</f>
        <v>200</v>
      </c>
      <c r="D716" s="47" t="n">
        <v>1</v>
      </c>
      <c r="E716" s="47" t="n">
        <v>109000</v>
      </c>
      <c r="F716" s="47" t="n">
        <v>23808</v>
      </c>
    </row>
    <row r="717" customFormat="false" ht="15" hidden="false" customHeight="false" outlineLevel="0" collapsed="false">
      <c r="A717" s="0" t="s">
        <v>354</v>
      </c>
      <c r="B717" s="0" t="n">
        <v>300</v>
      </c>
      <c r="C717" s="0" t="str">
        <f aca="false">TEXT(VLOOKUP(B717,$I$2:$J$20,2,FALSE()),"0")</f>
        <v>300</v>
      </c>
      <c r="D717" s="47" t="n">
        <v>160</v>
      </c>
      <c r="E717" s="47" t="n">
        <v>17440000</v>
      </c>
      <c r="F717" s="47" t="n">
        <v>3809280</v>
      </c>
    </row>
    <row r="718" customFormat="false" ht="15" hidden="false" customHeight="false" outlineLevel="0" collapsed="false">
      <c r="A718" s="0" t="s">
        <v>354</v>
      </c>
      <c r="B718" s="0" t="n">
        <v>600</v>
      </c>
      <c r="C718" s="0" t="str">
        <f aca="false">TEXT(VLOOKUP(B718,$I$2:$J$20,2,FALSE()),"0")</f>
        <v>600</v>
      </c>
      <c r="D718" s="47" t="n">
        <v>30</v>
      </c>
      <c r="E718" s="47" t="n">
        <v>3270000</v>
      </c>
      <c r="F718" s="47" t="n">
        <v>714240</v>
      </c>
    </row>
    <row r="719" customFormat="false" ht="15" hidden="false" customHeight="false" outlineLevel="0" collapsed="false">
      <c r="A719" s="0" t="s">
        <v>354</v>
      </c>
      <c r="B719" s="0" t="n">
        <v>810</v>
      </c>
      <c r="C719" s="0" t="str">
        <f aca="false">TEXT(VLOOKUP(B719,$I$2:$J$20,2,FALSE()),"0")</f>
        <v>810</v>
      </c>
      <c r="D719" s="47" t="n">
        <v>204</v>
      </c>
      <c r="E719" s="47" t="n">
        <v>22236000</v>
      </c>
      <c r="F719" s="47" t="n">
        <v>4856832</v>
      </c>
    </row>
    <row r="720" customFormat="false" ht="15" hidden="false" customHeight="false" outlineLevel="0" collapsed="false">
      <c r="A720" s="0" t="s">
        <v>1053</v>
      </c>
      <c r="B720" s="0" t="n">
        <v>200</v>
      </c>
      <c r="C720" s="0" t="str">
        <f aca="false">TEXT(VLOOKUP(B720,$I$2:$J$20,2,FALSE()),"0")</f>
        <v>200</v>
      </c>
      <c r="D720" s="47" t="n">
        <v>290</v>
      </c>
      <c r="E720" s="47" t="n">
        <v>37410000</v>
      </c>
      <c r="F720" s="47" t="n">
        <v>8451760</v>
      </c>
    </row>
    <row r="721" customFormat="false" ht="15" hidden="false" customHeight="false" outlineLevel="0" collapsed="false">
      <c r="A721" s="0" t="s">
        <v>1053</v>
      </c>
      <c r="B721" s="0" t="n">
        <v>299</v>
      </c>
      <c r="C721" s="0" t="str">
        <f aca="false">TEXT(VLOOKUP(B721,$I$2:$J$20,2,FALSE()),"0")</f>
        <v>200</v>
      </c>
      <c r="D721" s="47" t="n">
        <v>3</v>
      </c>
      <c r="E721" s="47" t="n">
        <v>387000</v>
      </c>
      <c r="F721" s="47" t="n">
        <v>87432</v>
      </c>
    </row>
    <row r="722" customFormat="false" ht="15" hidden="false" customHeight="false" outlineLevel="0" collapsed="false">
      <c r="A722" s="0" t="s">
        <v>1053</v>
      </c>
      <c r="B722" s="0" t="n">
        <v>600</v>
      </c>
      <c r="C722" s="0" t="str">
        <f aca="false">TEXT(VLOOKUP(B722,$I$2:$J$20,2,FALSE()),"0")</f>
        <v>600</v>
      </c>
      <c r="D722" s="47" t="n">
        <v>30</v>
      </c>
      <c r="E722" s="47" t="n">
        <v>3870000</v>
      </c>
      <c r="F722" s="47" t="n">
        <v>874320</v>
      </c>
    </row>
    <row r="723" customFormat="false" ht="15" hidden="false" customHeight="false" outlineLevel="0" collapsed="false">
      <c r="A723" s="0" t="s">
        <v>848</v>
      </c>
      <c r="B723" s="0" t="n">
        <v>100</v>
      </c>
      <c r="C723" s="0" t="str">
        <f aca="false">TEXT(VLOOKUP(B723,$I$2:$J$20,2,FALSE()),"0")</f>
        <v>100</v>
      </c>
      <c r="D723" s="47" t="n">
        <v>300</v>
      </c>
      <c r="E723" s="47" t="n">
        <v>17700000</v>
      </c>
      <c r="F723" s="47" t="n">
        <v>2460000</v>
      </c>
    </row>
    <row r="724" customFormat="false" ht="15" hidden="false" customHeight="false" outlineLevel="0" collapsed="false">
      <c r="A724" s="0" t="s">
        <v>848</v>
      </c>
      <c r="B724" s="0" t="n">
        <v>600</v>
      </c>
      <c r="C724" s="0" t="str">
        <f aca="false">TEXT(VLOOKUP(B724,$I$2:$J$20,2,FALSE()),"0")</f>
        <v>600</v>
      </c>
      <c r="D724" s="47" t="n">
        <v>35</v>
      </c>
      <c r="E724" s="47" t="n">
        <v>2065000</v>
      </c>
      <c r="F724" s="47" t="n">
        <v>287000</v>
      </c>
    </row>
    <row r="725" customFormat="false" ht="15" hidden="false" customHeight="false" outlineLevel="0" collapsed="false">
      <c r="A725" s="0" t="s">
        <v>848</v>
      </c>
      <c r="B725" s="0" t="n">
        <v>601</v>
      </c>
      <c r="C725" s="0" t="str">
        <f aca="false">TEXT(VLOOKUP(B725,$I$2:$J$20,2,FALSE()),"0")</f>
        <v>600</v>
      </c>
      <c r="D725" s="47" t="n">
        <v>3</v>
      </c>
      <c r="E725" s="47" t="n">
        <v>177000</v>
      </c>
      <c r="F725" s="47" t="n">
        <v>24600</v>
      </c>
    </row>
    <row r="726" customFormat="false" ht="15" hidden="false" customHeight="false" outlineLevel="0" collapsed="false">
      <c r="A726" s="0" t="s">
        <v>850</v>
      </c>
      <c r="B726" s="0" t="n">
        <v>100</v>
      </c>
      <c r="C726" s="0" t="str">
        <f aca="false">TEXT(VLOOKUP(B726,$I$2:$J$20,2,FALSE()),"0")</f>
        <v>100</v>
      </c>
      <c r="D726" s="47" t="n">
        <v>300</v>
      </c>
      <c r="E726" s="47" t="n">
        <v>20700000</v>
      </c>
      <c r="F726" s="47" t="n">
        <v>3630000</v>
      </c>
    </row>
    <row r="727" customFormat="false" ht="15" hidden="false" customHeight="false" outlineLevel="0" collapsed="false">
      <c r="A727" s="0" t="s">
        <v>852</v>
      </c>
      <c r="B727" s="0" t="n">
        <v>100</v>
      </c>
      <c r="C727" s="0" t="str">
        <f aca="false">TEXT(VLOOKUP(B727,$I$2:$J$20,2,FALSE()),"0")</f>
        <v>100</v>
      </c>
      <c r="D727" s="47" t="n">
        <v>150</v>
      </c>
      <c r="E727" s="47" t="n">
        <v>8850000</v>
      </c>
      <c r="F727" s="47" t="n">
        <v>1652700</v>
      </c>
    </row>
    <row r="728" customFormat="false" ht="15" hidden="false" customHeight="false" outlineLevel="0" collapsed="false">
      <c r="A728" s="0" t="s">
        <v>852</v>
      </c>
      <c r="B728" s="0" t="n">
        <v>200</v>
      </c>
      <c r="C728" s="0" t="str">
        <f aca="false">TEXT(VLOOKUP(B728,$I$2:$J$20,2,FALSE()),"0")</f>
        <v>200</v>
      </c>
      <c r="D728" s="47" t="n">
        <v>190</v>
      </c>
      <c r="E728" s="47" t="n">
        <v>11210000</v>
      </c>
      <c r="F728" s="47" t="n">
        <v>2093420</v>
      </c>
    </row>
    <row r="729" customFormat="false" ht="15" hidden="false" customHeight="false" outlineLevel="0" collapsed="false">
      <c r="A729" s="0" t="s">
        <v>852</v>
      </c>
      <c r="B729" s="0" t="n">
        <v>299</v>
      </c>
      <c r="C729" s="0" t="str">
        <f aca="false">TEXT(VLOOKUP(B729,$I$2:$J$20,2,FALSE()),"0")</f>
        <v>200</v>
      </c>
      <c r="D729" s="47" t="n">
        <v>2</v>
      </c>
      <c r="E729" s="47" t="n">
        <v>118000</v>
      </c>
      <c r="F729" s="47" t="n">
        <v>22036</v>
      </c>
    </row>
    <row r="730" customFormat="false" ht="15" hidden="false" customHeight="false" outlineLevel="0" collapsed="false">
      <c r="A730" s="0" t="s">
        <v>854</v>
      </c>
      <c r="B730" s="0" t="n">
        <v>100</v>
      </c>
      <c r="C730" s="0" t="str">
        <f aca="false">TEXT(VLOOKUP(B730,$I$2:$J$20,2,FALSE()),"0")</f>
        <v>100</v>
      </c>
      <c r="D730" s="47" t="n">
        <v>400</v>
      </c>
      <c r="E730" s="47" t="n">
        <v>23600000</v>
      </c>
      <c r="F730" s="47" t="n">
        <v>5200000</v>
      </c>
    </row>
    <row r="731" customFormat="false" ht="15" hidden="false" customHeight="false" outlineLevel="0" collapsed="false">
      <c r="A731" s="0" t="s">
        <v>854</v>
      </c>
      <c r="B731" s="0" t="n">
        <v>600</v>
      </c>
      <c r="C731" s="0" t="str">
        <f aca="false">TEXT(VLOOKUP(B731,$I$2:$J$20,2,FALSE()),"0")</f>
        <v>600</v>
      </c>
      <c r="D731" s="47" t="n">
        <v>30</v>
      </c>
      <c r="E731" s="47" t="n">
        <v>1770000</v>
      </c>
      <c r="F731" s="47" t="n">
        <v>390000</v>
      </c>
    </row>
    <row r="732" customFormat="false" ht="15" hidden="false" customHeight="false" outlineLevel="0" collapsed="false">
      <c r="A732" s="0" t="s">
        <v>856</v>
      </c>
      <c r="B732" s="0" t="n">
        <v>100</v>
      </c>
      <c r="C732" s="0" t="str">
        <f aca="false">TEXT(VLOOKUP(B732,$I$2:$J$20,2,FALSE()),"0")</f>
        <v>100</v>
      </c>
      <c r="D732" s="47" t="n">
        <v>550</v>
      </c>
      <c r="E732" s="47" t="n">
        <v>32450000</v>
      </c>
      <c r="F732" s="47" t="n">
        <v>6820000</v>
      </c>
    </row>
    <row r="733" customFormat="false" ht="15" hidden="false" customHeight="false" outlineLevel="0" collapsed="false">
      <c r="A733" s="0" t="s">
        <v>356</v>
      </c>
      <c r="B733" s="0" t="n">
        <v>100</v>
      </c>
      <c r="C733" s="0" t="str">
        <f aca="false">TEXT(VLOOKUP(B733,$I$2:$J$20,2,FALSE()),"0")</f>
        <v>100</v>
      </c>
      <c r="D733" s="47" t="n">
        <v>300</v>
      </c>
      <c r="E733" s="47" t="n">
        <v>20700000</v>
      </c>
      <c r="F733" s="47" t="n">
        <v>3900000</v>
      </c>
    </row>
    <row r="734" customFormat="false" ht="15" hidden="false" customHeight="false" outlineLevel="0" collapsed="false">
      <c r="A734" s="0" t="s">
        <v>356</v>
      </c>
      <c r="B734" s="0" t="n">
        <v>300</v>
      </c>
      <c r="C734" s="0" t="str">
        <f aca="false">TEXT(VLOOKUP(B734,$I$2:$J$20,2,FALSE()),"0")</f>
        <v>300</v>
      </c>
      <c r="D734" s="47" t="n">
        <v>80</v>
      </c>
      <c r="E734" s="47" t="n">
        <v>5520000</v>
      </c>
      <c r="F734" s="47" t="n">
        <v>1040000</v>
      </c>
    </row>
    <row r="735" customFormat="false" ht="15" hidden="false" customHeight="false" outlineLevel="0" collapsed="false">
      <c r="A735" s="0" t="s">
        <v>858</v>
      </c>
      <c r="B735" s="0" t="n">
        <v>100</v>
      </c>
      <c r="C735" s="0" t="str">
        <f aca="false">TEXT(VLOOKUP(B735,$I$2:$J$20,2,FALSE()),"0")</f>
        <v>100</v>
      </c>
      <c r="D735" s="47" t="n">
        <v>300</v>
      </c>
      <c r="E735" s="47" t="n">
        <v>17700000</v>
      </c>
      <c r="F735" s="47" t="n">
        <v>4140000</v>
      </c>
    </row>
    <row r="736" customFormat="false" ht="15" hidden="false" customHeight="false" outlineLevel="0" collapsed="false">
      <c r="A736" s="0" t="s">
        <v>858</v>
      </c>
      <c r="B736" s="0" t="n">
        <v>600</v>
      </c>
      <c r="C736" s="0" t="str">
        <f aca="false">TEXT(VLOOKUP(B736,$I$2:$J$20,2,FALSE()),"0")</f>
        <v>600</v>
      </c>
      <c r="D736" s="47" t="n">
        <v>15</v>
      </c>
      <c r="E736" s="47" t="n">
        <v>885000</v>
      </c>
      <c r="F736" s="47" t="n">
        <v>207000</v>
      </c>
    </row>
    <row r="737" customFormat="false" ht="15" hidden="false" customHeight="false" outlineLevel="0" collapsed="false">
      <c r="A737" s="0" t="s">
        <v>358</v>
      </c>
      <c r="B737" s="0" t="n">
        <v>100</v>
      </c>
      <c r="C737" s="0" t="str">
        <f aca="false">TEXT(VLOOKUP(B737,$I$2:$J$20,2,FALSE()),"0")</f>
        <v>100</v>
      </c>
      <c r="D737" s="47" t="n">
        <v>200</v>
      </c>
      <c r="E737" s="47" t="n">
        <v>15800000</v>
      </c>
      <c r="F737" s="47" t="n">
        <v>3520800</v>
      </c>
    </row>
    <row r="738" customFormat="false" ht="15" hidden="false" customHeight="false" outlineLevel="0" collapsed="false">
      <c r="A738" s="0" t="s">
        <v>358</v>
      </c>
      <c r="B738" s="0" t="n">
        <v>200</v>
      </c>
      <c r="C738" s="0" t="str">
        <f aca="false">TEXT(VLOOKUP(B738,$I$2:$J$20,2,FALSE()),"0")</f>
        <v>200</v>
      </c>
      <c r="D738" s="47" t="n">
        <v>170</v>
      </c>
      <c r="E738" s="47" t="n">
        <v>13430000</v>
      </c>
      <c r="F738" s="47" t="n">
        <v>2992680</v>
      </c>
    </row>
    <row r="739" customFormat="false" ht="15" hidden="false" customHeight="false" outlineLevel="0" collapsed="false">
      <c r="A739" s="0" t="s">
        <v>358</v>
      </c>
      <c r="B739" s="0" t="n">
        <v>299</v>
      </c>
      <c r="C739" s="0" t="str">
        <f aca="false">TEXT(VLOOKUP(B739,$I$2:$J$20,2,FALSE()),"0")</f>
        <v>200</v>
      </c>
      <c r="D739" s="47" t="n">
        <v>2</v>
      </c>
      <c r="E739" s="47" t="n">
        <v>158000</v>
      </c>
      <c r="F739" s="47" t="n">
        <v>35208</v>
      </c>
    </row>
    <row r="740" customFormat="false" ht="15" hidden="false" customHeight="false" outlineLevel="0" collapsed="false">
      <c r="A740" s="0" t="s">
        <v>358</v>
      </c>
      <c r="B740" s="0" t="n">
        <v>300</v>
      </c>
      <c r="C740" s="0" t="str">
        <f aca="false">TEXT(VLOOKUP(B740,$I$2:$J$20,2,FALSE()),"0")</f>
        <v>300</v>
      </c>
      <c r="D740" s="47" t="n">
        <v>190</v>
      </c>
      <c r="E740" s="47" t="n">
        <v>15010000</v>
      </c>
      <c r="F740" s="47" t="n">
        <v>3344760</v>
      </c>
    </row>
    <row r="741" customFormat="false" ht="15" hidden="false" customHeight="false" outlineLevel="0" collapsed="false">
      <c r="A741" s="0" t="s">
        <v>358</v>
      </c>
      <c r="B741" s="0" t="n">
        <v>600</v>
      </c>
      <c r="C741" s="0" t="str">
        <f aca="false">TEXT(VLOOKUP(B741,$I$2:$J$20,2,FALSE()),"0")</f>
        <v>600</v>
      </c>
      <c r="D741" s="47" t="n">
        <v>45</v>
      </c>
      <c r="E741" s="47" t="n">
        <v>3555000</v>
      </c>
      <c r="F741" s="47" t="n">
        <v>792180</v>
      </c>
    </row>
    <row r="742" customFormat="false" ht="15" hidden="false" customHeight="false" outlineLevel="0" collapsed="false">
      <c r="A742" s="0" t="s">
        <v>358</v>
      </c>
      <c r="B742" s="0" t="n">
        <v>700</v>
      </c>
      <c r="C742" s="0" t="str">
        <f aca="false">TEXT(VLOOKUP(B742,$I$2:$J$20,2,FALSE()),"0")</f>
        <v>700</v>
      </c>
      <c r="D742" s="47" t="n">
        <v>120</v>
      </c>
      <c r="E742" s="47" t="n">
        <v>9480000</v>
      </c>
      <c r="F742" s="47" t="n">
        <v>2112480</v>
      </c>
    </row>
    <row r="743" customFormat="false" ht="15" hidden="false" customHeight="false" outlineLevel="0" collapsed="false">
      <c r="A743" s="0" t="s">
        <v>358</v>
      </c>
      <c r="B743" s="0" t="n">
        <v>799</v>
      </c>
      <c r="C743" s="0" t="str">
        <f aca="false">TEXT(VLOOKUP(B743,$I$2:$J$20,2,FALSE()),"0")</f>
        <v>700</v>
      </c>
      <c r="D743" s="47" t="n">
        <v>2</v>
      </c>
      <c r="E743" s="47" t="n">
        <v>158000</v>
      </c>
      <c r="F743" s="47" t="n">
        <v>35208</v>
      </c>
    </row>
    <row r="744" customFormat="false" ht="15" hidden="false" customHeight="false" outlineLevel="0" collapsed="false">
      <c r="A744" s="0" t="s">
        <v>860</v>
      </c>
      <c r="B744" s="0" t="n">
        <v>100</v>
      </c>
      <c r="C744" s="0" t="str">
        <f aca="false">TEXT(VLOOKUP(B744,$I$2:$J$20,2,FALSE()),"0")</f>
        <v>100</v>
      </c>
      <c r="D744" s="47" t="n">
        <v>300</v>
      </c>
      <c r="E744" s="47" t="n">
        <v>26700000</v>
      </c>
      <c r="F744" s="47" t="n">
        <v>5915700</v>
      </c>
    </row>
    <row r="745" customFormat="false" ht="15" hidden="false" customHeight="false" outlineLevel="0" collapsed="false">
      <c r="A745" s="0" t="s">
        <v>860</v>
      </c>
      <c r="B745" s="0" t="n">
        <v>200</v>
      </c>
      <c r="C745" s="0" t="str">
        <f aca="false">TEXT(VLOOKUP(B745,$I$2:$J$20,2,FALSE()),"0")</f>
        <v>200</v>
      </c>
      <c r="D745" s="47" t="n">
        <v>225</v>
      </c>
      <c r="E745" s="47" t="n">
        <v>20025000</v>
      </c>
      <c r="F745" s="47" t="n">
        <v>4436775</v>
      </c>
    </row>
    <row r="746" customFormat="false" ht="15" hidden="false" customHeight="false" outlineLevel="0" collapsed="false">
      <c r="A746" s="0" t="s">
        <v>860</v>
      </c>
      <c r="B746" s="0" t="n">
        <v>299</v>
      </c>
      <c r="C746" s="0" t="str">
        <f aca="false">TEXT(VLOOKUP(B746,$I$2:$J$20,2,FALSE()),"0")</f>
        <v>200</v>
      </c>
      <c r="D746" s="47" t="n">
        <v>2</v>
      </c>
      <c r="E746" s="47" t="n">
        <v>178000</v>
      </c>
      <c r="F746" s="47" t="n">
        <v>39438</v>
      </c>
    </row>
    <row r="747" customFormat="false" ht="15" hidden="false" customHeight="false" outlineLevel="0" collapsed="false">
      <c r="A747" s="0" t="s">
        <v>862</v>
      </c>
      <c r="B747" s="0" t="n">
        <v>100</v>
      </c>
      <c r="C747" s="0" t="str">
        <f aca="false">TEXT(VLOOKUP(B747,$I$2:$J$20,2,FALSE()),"0")</f>
        <v>100</v>
      </c>
      <c r="D747" s="47" t="n">
        <v>350</v>
      </c>
      <c r="E747" s="47" t="n">
        <v>20650000</v>
      </c>
      <c r="F747" s="47" t="n">
        <v>4760000</v>
      </c>
    </row>
    <row r="748" customFormat="false" ht="15" hidden="false" customHeight="false" outlineLevel="0" collapsed="false">
      <c r="A748" s="0" t="s">
        <v>361</v>
      </c>
      <c r="B748" s="0" t="n">
        <v>100</v>
      </c>
      <c r="C748" s="0" t="str">
        <f aca="false">TEXT(VLOOKUP(B748,$I$2:$J$20,2,FALSE()),"0")</f>
        <v>100</v>
      </c>
      <c r="D748" s="47" t="n">
        <v>160</v>
      </c>
      <c r="E748" s="47" t="n">
        <v>17440000</v>
      </c>
      <c r="F748" s="47" t="n">
        <v>4528000</v>
      </c>
    </row>
    <row r="749" customFormat="false" ht="15" hidden="false" customHeight="false" outlineLevel="0" collapsed="false">
      <c r="A749" s="0" t="s">
        <v>361</v>
      </c>
      <c r="B749" s="0" t="n">
        <v>200</v>
      </c>
      <c r="C749" s="0" t="str">
        <f aca="false">TEXT(VLOOKUP(B749,$I$2:$J$20,2,FALSE()),"0")</f>
        <v>200</v>
      </c>
      <c r="D749" s="47" t="n">
        <v>210</v>
      </c>
      <c r="E749" s="47" t="n">
        <v>22890000</v>
      </c>
      <c r="F749" s="47" t="n">
        <v>5943000</v>
      </c>
    </row>
    <row r="750" customFormat="false" ht="15" hidden="false" customHeight="false" outlineLevel="0" collapsed="false">
      <c r="A750" s="0" t="s">
        <v>361</v>
      </c>
      <c r="B750" s="0" t="n">
        <v>299</v>
      </c>
      <c r="C750" s="0" t="str">
        <f aca="false">TEXT(VLOOKUP(B750,$I$2:$J$20,2,FALSE()),"0")</f>
        <v>200</v>
      </c>
      <c r="D750" s="47" t="n">
        <v>2</v>
      </c>
      <c r="E750" s="47" t="n">
        <v>218000</v>
      </c>
      <c r="F750" s="47" t="n">
        <v>56600</v>
      </c>
    </row>
    <row r="751" customFormat="false" ht="15" hidden="false" customHeight="false" outlineLevel="0" collapsed="false">
      <c r="A751" s="0" t="s">
        <v>361</v>
      </c>
      <c r="B751" s="0" t="n">
        <v>300</v>
      </c>
      <c r="C751" s="0" t="str">
        <f aca="false">TEXT(VLOOKUP(B751,$I$2:$J$20,2,FALSE()),"0")</f>
        <v>300</v>
      </c>
      <c r="D751" s="47" t="n">
        <v>220</v>
      </c>
      <c r="E751" s="47" t="n">
        <v>23980000</v>
      </c>
      <c r="F751" s="47" t="n">
        <v>6226000</v>
      </c>
    </row>
    <row r="752" customFormat="false" ht="15" hidden="false" customHeight="false" outlineLevel="0" collapsed="false">
      <c r="A752" s="0" t="s">
        <v>361</v>
      </c>
      <c r="B752" s="0" t="n">
        <v>500</v>
      </c>
      <c r="C752" s="0" t="str">
        <f aca="false">TEXT(VLOOKUP(B752,$I$2:$J$20,2,FALSE()),"0")</f>
        <v>500</v>
      </c>
      <c r="D752" s="47" t="n">
        <v>30</v>
      </c>
      <c r="E752" s="47" t="n">
        <v>3270000</v>
      </c>
      <c r="F752" s="47" t="n">
        <v>849000</v>
      </c>
    </row>
    <row r="753" customFormat="false" ht="15" hidden="false" customHeight="false" outlineLevel="0" collapsed="false">
      <c r="A753" s="0" t="s">
        <v>364</v>
      </c>
      <c r="B753" s="0" t="n">
        <v>100</v>
      </c>
      <c r="C753" s="0" t="str">
        <f aca="false">TEXT(VLOOKUP(B753,$I$2:$J$20,2,FALSE()),"0")</f>
        <v>100</v>
      </c>
      <c r="D753" s="47" t="n">
        <v>140</v>
      </c>
      <c r="E753" s="47" t="n">
        <v>5460000</v>
      </c>
      <c r="F753" s="47" t="n">
        <v>1064000</v>
      </c>
    </row>
    <row r="754" customFormat="false" ht="15" hidden="false" customHeight="false" outlineLevel="0" collapsed="false">
      <c r="A754" s="0" t="s">
        <v>364</v>
      </c>
      <c r="B754" s="0" t="n">
        <v>300</v>
      </c>
      <c r="C754" s="0" t="str">
        <f aca="false">TEXT(VLOOKUP(B754,$I$2:$J$20,2,FALSE()),"0")</f>
        <v>300</v>
      </c>
      <c r="D754" s="47" t="n">
        <v>300</v>
      </c>
      <c r="E754" s="47" t="n">
        <v>11700000</v>
      </c>
      <c r="F754" s="47" t="n">
        <v>2280000</v>
      </c>
    </row>
    <row r="755" customFormat="false" ht="15" hidden="false" customHeight="false" outlineLevel="0" collapsed="false">
      <c r="A755" s="0" t="s">
        <v>364</v>
      </c>
      <c r="B755" s="0" t="n">
        <v>600</v>
      </c>
      <c r="C755" s="0" t="str">
        <f aca="false">TEXT(VLOOKUP(B755,$I$2:$J$20,2,FALSE()),"0")</f>
        <v>600</v>
      </c>
      <c r="D755" s="47" t="n">
        <v>35</v>
      </c>
      <c r="E755" s="47" t="n">
        <v>1365000</v>
      </c>
      <c r="F755" s="47" t="n">
        <v>266000</v>
      </c>
    </row>
    <row r="756" customFormat="false" ht="15" hidden="false" customHeight="false" outlineLevel="0" collapsed="false">
      <c r="A756" s="0" t="s">
        <v>364</v>
      </c>
      <c r="B756" s="0" t="n">
        <v>700</v>
      </c>
      <c r="C756" s="0" t="str">
        <f aca="false">TEXT(VLOOKUP(B756,$I$2:$J$20,2,FALSE()),"0")</f>
        <v>700</v>
      </c>
      <c r="D756" s="47" t="n">
        <v>150</v>
      </c>
      <c r="E756" s="47" t="n">
        <v>5850000</v>
      </c>
      <c r="F756" s="47" t="n">
        <v>1140000</v>
      </c>
    </row>
    <row r="757" customFormat="false" ht="15" hidden="false" customHeight="false" outlineLevel="0" collapsed="false">
      <c r="A757" s="0" t="s">
        <v>364</v>
      </c>
      <c r="B757" s="0" t="n">
        <v>799</v>
      </c>
      <c r="C757" s="0" t="str">
        <f aca="false">TEXT(VLOOKUP(B757,$I$2:$J$20,2,FALSE()),"0")</f>
        <v>700</v>
      </c>
      <c r="D757" s="47" t="n">
        <v>2</v>
      </c>
      <c r="E757" s="47" t="n">
        <v>78000</v>
      </c>
      <c r="F757" s="47" t="n">
        <v>15200</v>
      </c>
    </row>
    <row r="758" customFormat="false" ht="15" hidden="false" customHeight="false" outlineLevel="0" collapsed="false">
      <c r="A758" s="0" t="s">
        <v>364</v>
      </c>
      <c r="B758" s="0" t="n">
        <v>800</v>
      </c>
      <c r="C758" s="0" t="str">
        <f aca="false">TEXT(VLOOKUP(B758,$I$2:$J$20,2,FALSE()),"0")</f>
        <v>800</v>
      </c>
      <c r="D758" s="47" t="n">
        <v>20</v>
      </c>
      <c r="E758" s="47" t="n">
        <v>780000</v>
      </c>
      <c r="F758" s="47" t="n">
        <v>152000</v>
      </c>
    </row>
    <row r="759" customFormat="false" ht="15" hidden="false" customHeight="false" outlineLevel="0" collapsed="false">
      <c r="A759" s="0" t="s">
        <v>366</v>
      </c>
      <c r="B759" s="0" t="n">
        <v>100</v>
      </c>
      <c r="C759" s="0" t="str">
        <f aca="false">TEXT(VLOOKUP(B759,$I$2:$J$20,2,FALSE()),"0")</f>
        <v>100</v>
      </c>
      <c r="D759" s="47" t="n">
        <v>140</v>
      </c>
      <c r="E759" s="47" t="n">
        <v>22260000</v>
      </c>
      <c r="F759" s="47" t="n">
        <v>5016620</v>
      </c>
    </row>
    <row r="760" customFormat="false" ht="15" hidden="false" customHeight="false" outlineLevel="0" collapsed="false">
      <c r="A760" s="0" t="s">
        <v>366</v>
      </c>
      <c r="B760" s="0" t="n">
        <v>200</v>
      </c>
      <c r="C760" s="0" t="str">
        <f aca="false">TEXT(VLOOKUP(B760,$I$2:$J$20,2,FALSE()),"0")</f>
        <v>200</v>
      </c>
      <c r="D760" s="47" t="n">
        <v>50</v>
      </c>
      <c r="E760" s="47" t="n">
        <v>7950000</v>
      </c>
      <c r="F760" s="47" t="n">
        <v>1791650</v>
      </c>
    </row>
    <row r="761" customFormat="false" ht="15" hidden="false" customHeight="false" outlineLevel="0" collapsed="false">
      <c r="A761" s="0" t="s">
        <v>366</v>
      </c>
      <c r="B761" s="0" t="n">
        <v>299</v>
      </c>
      <c r="C761" s="0" t="str">
        <f aca="false">TEXT(VLOOKUP(B761,$I$2:$J$20,2,FALSE()),"0")</f>
        <v>200</v>
      </c>
      <c r="D761" s="47" t="n">
        <v>1</v>
      </c>
      <c r="E761" s="47" t="n">
        <v>159000</v>
      </c>
      <c r="F761" s="47" t="n">
        <v>35833</v>
      </c>
    </row>
    <row r="762" customFormat="false" ht="15" hidden="false" customHeight="false" outlineLevel="0" collapsed="false">
      <c r="A762" s="0" t="s">
        <v>366</v>
      </c>
      <c r="B762" s="0" t="n">
        <v>300</v>
      </c>
      <c r="C762" s="0" t="str">
        <f aca="false">TEXT(VLOOKUP(B762,$I$2:$J$20,2,FALSE()),"0")</f>
        <v>300</v>
      </c>
      <c r="D762" s="47" t="n">
        <v>100</v>
      </c>
      <c r="E762" s="47" t="n">
        <v>15900000</v>
      </c>
      <c r="F762" s="47" t="n">
        <v>3583300</v>
      </c>
    </row>
    <row r="763" customFormat="false" ht="15" hidden="false" customHeight="false" outlineLevel="0" collapsed="false">
      <c r="A763" s="0" t="s">
        <v>366</v>
      </c>
      <c r="B763" s="0" t="n">
        <v>500</v>
      </c>
      <c r="C763" s="0" t="str">
        <f aca="false">TEXT(VLOOKUP(B763,$I$2:$J$20,2,FALSE()),"0")</f>
        <v>500</v>
      </c>
      <c r="D763" s="47" t="n">
        <v>240</v>
      </c>
      <c r="E763" s="47" t="n">
        <v>38160000</v>
      </c>
      <c r="F763" s="47" t="n">
        <v>8599920</v>
      </c>
    </row>
    <row r="764" customFormat="false" ht="15" hidden="false" customHeight="false" outlineLevel="0" collapsed="false">
      <c r="A764" s="0" t="s">
        <v>366</v>
      </c>
      <c r="B764" s="0" t="n">
        <v>600</v>
      </c>
      <c r="C764" s="0" t="str">
        <f aca="false">TEXT(VLOOKUP(B764,$I$2:$J$20,2,FALSE()),"0")</f>
        <v>600</v>
      </c>
      <c r="D764" s="47" t="n">
        <v>50</v>
      </c>
      <c r="E764" s="47" t="n">
        <v>7950000</v>
      </c>
      <c r="F764" s="47" t="n">
        <v>1791650</v>
      </c>
    </row>
    <row r="765" customFormat="false" ht="15" hidden="false" customHeight="false" outlineLevel="0" collapsed="false">
      <c r="A765" s="0" t="s">
        <v>366</v>
      </c>
      <c r="B765" s="0" t="n">
        <v>800</v>
      </c>
      <c r="C765" s="0" t="str">
        <f aca="false">TEXT(VLOOKUP(B765,$I$2:$J$20,2,FALSE()),"0")</f>
        <v>800</v>
      </c>
      <c r="D765" s="47" t="n">
        <v>30</v>
      </c>
      <c r="E765" s="47" t="n">
        <v>4770000</v>
      </c>
      <c r="F765" s="47" t="n">
        <v>1074990</v>
      </c>
    </row>
    <row r="766" customFormat="false" ht="15" hidden="false" customHeight="false" outlineLevel="0" collapsed="false">
      <c r="A766" s="0" t="s">
        <v>366</v>
      </c>
      <c r="B766" s="0" t="n">
        <v>810</v>
      </c>
      <c r="C766" s="0" t="str">
        <f aca="false">TEXT(VLOOKUP(B766,$I$2:$J$20,2,FALSE()),"0")</f>
        <v>810</v>
      </c>
      <c r="D766" s="47" t="n">
        <v>48</v>
      </c>
      <c r="E766" s="47" t="n">
        <v>7632000</v>
      </c>
      <c r="F766" s="47" t="n">
        <v>1719984</v>
      </c>
    </row>
    <row r="767" customFormat="false" ht="15" hidden="false" customHeight="false" outlineLevel="0" collapsed="false">
      <c r="A767" s="0" t="s">
        <v>864</v>
      </c>
      <c r="B767" s="0" t="n">
        <v>100</v>
      </c>
      <c r="C767" s="0" t="str">
        <f aca="false">TEXT(VLOOKUP(B767,$I$2:$J$20,2,FALSE()),"0")</f>
        <v>100</v>
      </c>
      <c r="D767" s="47" t="n">
        <v>60</v>
      </c>
      <c r="E767" s="47" t="n">
        <v>15540000</v>
      </c>
      <c r="F767" s="47" t="n">
        <v>4150080</v>
      </c>
    </row>
    <row r="768" customFormat="false" ht="15" hidden="false" customHeight="false" outlineLevel="0" collapsed="false">
      <c r="A768" s="0" t="s">
        <v>864</v>
      </c>
      <c r="B768" s="0" t="n">
        <v>200</v>
      </c>
      <c r="C768" s="0" t="str">
        <f aca="false">TEXT(VLOOKUP(B768,$I$2:$J$20,2,FALSE()),"0")</f>
        <v>200</v>
      </c>
      <c r="D768" s="47" t="n">
        <v>80</v>
      </c>
      <c r="E768" s="47" t="n">
        <v>20720000</v>
      </c>
      <c r="F768" s="47" t="n">
        <v>5533440</v>
      </c>
    </row>
    <row r="769" customFormat="false" ht="15" hidden="false" customHeight="false" outlineLevel="0" collapsed="false">
      <c r="A769" s="0" t="s">
        <v>864</v>
      </c>
      <c r="B769" s="0" t="n">
        <v>299</v>
      </c>
      <c r="C769" s="0" t="str">
        <f aca="false">TEXT(VLOOKUP(B769,$I$2:$J$20,2,FALSE()),"0")</f>
        <v>200</v>
      </c>
      <c r="D769" s="47" t="n">
        <v>2</v>
      </c>
      <c r="E769" s="47" t="n">
        <v>518000</v>
      </c>
      <c r="F769" s="47" t="n">
        <v>138336</v>
      </c>
    </row>
    <row r="770" customFormat="false" ht="15" hidden="false" customHeight="false" outlineLevel="0" collapsed="false">
      <c r="A770" s="0" t="s">
        <v>864</v>
      </c>
      <c r="B770" s="0" t="n">
        <v>500</v>
      </c>
      <c r="C770" s="0" t="str">
        <f aca="false">TEXT(VLOOKUP(B770,$I$2:$J$20,2,FALSE()),"0")</f>
        <v>500</v>
      </c>
      <c r="D770" s="47" t="n">
        <v>20</v>
      </c>
      <c r="E770" s="47" t="n">
        <v>5180000</v>
      </c>
      <c r="F770" s="47" t="n">
        <v>1383360</v>
      </c>
    </row>
    <row r="771" customFormat="false" ht="15" hidden="false" customHeight="false" outlineLevel="0" collapsed="false">
      <c r="A771" s="0" t="s">
        <v>864</v>
      </c>
      <c r="B771" s="0" t="n">
        <v>600</v>
      </c>
      <c r="C771" s="0" t="str">
        <f aca="false">TEXT(VLOOKUP(B771,$I$2:$J$20,2,FALSE()),"0")</f>
        <v>600</v>
      </c>
      <c r="D771" s="47" t="n">
        <v>10</v>
      </c>
      <c r="E771" s="47" t="n">
        <v>2590000</v>
      </c>
      <c r="F771" s="47" t="n">
        <v>691680</v>
      </c>
    </row>
    <row r="772" customFormat="false" ht="15" hidden="false" customHeight="false" outlineLevel="0" collapsed="false">
      <c r="A772" s="0" t="s">
        <v>864</v>
      </c>
      <c r="B772" s="0" t="n">
        <v>800</v>
      </c>
      <c r="C772" s="0" t="str">
        <f aca="false">TEXT(VLOOKUP(B772,$I$2:$J$20,2,FALSE()),"0")</f>
        <v>800</v>
      </c>
      <c r="D772" s="47" t="n">
        <v>10</v>
      </c>
      <c r="E772" s="47" t="n">
        <v>2590000</v>
      </c>
      <c r="F772" s="47" t="n">
        <v>691680</v>
      </c>
    </row>
    <row r="773" customFormat="false" ht="15" hidden="false" customHeight="false" outlineLevel="0" collapsed="false">
      <c r="A773" s="0" t="s">
        <v>864</v>
      </c>
      <c r="B773" s="0" t="n">
        <v>810</v>
      </c>
      <c r="C773" s="0" t="str">
        <f aca="false">TEXT(VLOOKUP(B773,$I$2:$J$20,2,FALSE()),"0")</f>
        <v>810</v>
      </c>
      <c r="D773" s="47" t="n">
        <v>36</v>
      </c>
      <c r="E773" s="47" t="n">
        <v>9324000</v>
      </c>
      <c r="F773" s="47" t="n">
        <v>2490048</v>
      </c>
    </row>
    <row r="774" customFormat="false" ht="15" hidden="false" customHeight="false" outlineLevel="0" collapsed="false">
      <c r="A774" s="0" t="s">
        <v>866</v>
      </c>
      <c r="B774" s="0" t="n">
        <v>100</v>
      </c>
      <c r="C774" s="0" t="str">
        <f aca="false">TEXT(VLOOKUP(B774,$I$2:$J$20,2,FALSE()),"0")</f>
        <v>100</v>
      </c>
      <c r="D774" s="47" t="n">
        <v>390</v>
      </c>
      <c r="E774" s="47" t="n">
        <v>42510000</v>
      </c>
      <c r="F774" s="47" t="n">
        <v>10796370</v>
      </c>
    </row>
    <row r="775" customFormat="false" ht="15" hidden="false" customHeight="false" outlineLevel="0" collapsed="false">
      <c r="A775" s="0" t="s">
        <v>866</v>
      </c>
      <c r="B775" s="0" t="n">
        <v>200</v>
      </c>
      <c r="C775" s="0" t="str">
        <f aca="false">TEXT(VLOOKUP(B775,$I$2:$J$20,2,FALSE()),"0")</f>
        <v>200</v>
      </c>
      <c r="D775" s="47" t="n">
        <v>240</v>
      </c>
      <c r="E775" s="47" t="n">
        <v>26160000</v>
      </c>
      <c r="F775" s="47" t="n">
        <v>6643920</v>
      </c>
    </row>
    <row r="776" customFormat="false" ht="15" hidden="false" customHeight="false" outlineLevel="0" collapsed="false">
      <c r="A776" s="0" t="s">
        <v>866</v>
      </c>
      <c r="B776" s="0" t="n">
        <v>299</v>
      </c>
      <c r="C776" s="0" t="str">
        <f aca="false">TEXT(VLOOKUP(B776,$I$2:$J$20,2,FALSE()),"0")</f>
        <v>200</v>
      </c>
      <c r="D776" s="47" t="n">
        <v>3</v>
      </c>
      <c r="E776" s="47" t="n">
        <v>327000</v>
      </c>
      <c r="F776" s="47" t="n">
        <v>83049</v>
      </c>
    </row>
    <row r="777" customFormat="false" ht="15" hidden="false" customHeight="false" outlineLevel="0" collapsed="false">
      <c r="A777" s="0" t="s">
        <v>866</v>
      </c>
      <c r="B777" s="0" t="n">
        <v>600</v>
      </c>
      <c r="C777" s="0" t="str">
        <f aca="false">TEXT(VLOOKUP(B777,$I$2:$J$20,2,FALSE()),"0")</f>
        <v>600</v>
      </c>
      <c r="D777" s="47" t="n">
        <v>35</v>
      </c>
      <c r="E777" s="47" t="n">
        <v>3815000</v>
      </c>
      <c r="F777" s="47" t="n">
        <v>968905</v>
      </c>
    </row>
    <row r="778" customFormat="false" ht="15" hidden="false" customHeight="false" outlineLevel="0" collapsed="false">
      <c r="A778" s="0" t="s">
        <v>866</v>
      </c>
      <c r="B778" s="0" t="n">
        <v>810</v>
      </c>
      <c r="C778" s="0" t="str">
        <f aca="false">TEXT(VLOOKUP(B778,$I$2:$J$20,2,FALSE()),"0")</f>
        <v>810</v>
      </c>
      <c r="D778" s="47" t="n">
        <v>36</v>
      </c>
      <c r="E778" s="47" t="n">
        <v>3924000</v>
      </c>
      <c r="F778" s="47" t="n">
        <v>996588</v>
      </c>
    </row>
    <row r="779" customFormat="false" ht="15" hidden="false" customHeight="false" outlineLevel="0" collapsed="false">
      <c r="A779" s="0" t="s">
        <v>866</v>
      </c>
      <c r="B779" s="0" t="n">
        <v>830</v>
      </c>
      <c r="C779" s="0" t="str">
        <f aca="false">TEXT(VLOOKUP(B779,$I$2:$J$20,2,FALSE()),"0")</f>
        <v>830</v>
      </c>
      <c r="D779" s="47" t="n">
        <v>350</v>
      </c>
      <c r="E779" s="47" t="n">
        <v>38150000</v>
      </c>
      <c r="F779" s="47" t="n">
        <v>9689050</v>
      </c>
    </row>
    <row r="780" customFormat="false" ht="15" hidden="false" customHeight="false" outlineLevel="0" collapsed="false">
      <c r="A780" s="0" t="s">
        <v>368</v>
      </c>
      <c r="B780" s="0" t="n">
        <v>300</v>
      </c>
      <c r="C780" s="0" t="str">
        <f aca="false">TEXT(VLOOKUP(B780,$I$2:$J$20,2,FALSE()),"0")</f>
        <v>300</v>
      </c>
      <c r="D780" s="47" t="n">
        <v>500</v>
      </c>
      <c r="E780" s="47" t="n">
        <v>44500000</v>
      </c>
      <c r="F780" s="47" t="n">
        <v>9910500</v>
      </c>
    </row>
    <row r="781" customFormat="false" ht="15" hidden="false" customHeight="false" outlineLevel="0" collapsed="false">
      <c r="A781" s="0" t="s">
        <v>368</v>
      </c>
      <c r="B781" s="0" t="n">
        <v>600</v>
      </c>
      <c r="C781" s="0" t="str">
        <f aca="false">TEXT(VLOOKUP(B781,$I$2:$J$20,2,FALSE()),"0")</f>
        <v>600</v>
      </c>
      <c r="D781" s="47" t="n">
        <v>50</v>
      </c>
      <c r="E781" s="47" t="n">
        <v>4450000</v>
      </c>
      <c r="F781" s="47" t="n">
        <v>991050</v>
      </c>
    </row>
    <row r="782" customFormat="false" ht="15" hidden="false" customHeight="false" outlineLevel="0" collapsed="false">
      <c r="A782" s="0" t="s">
        <v>368</v>
      </c>
      <c r="B782" s="0" t="n">
        <v>700</v>
      </c>
      <c r="C782" s="0" t="str">
        <f aca="false">TEXT(VLOOKUP(B782,$I$2:$J$20,2,FALSE()),"0")</f>
        <v>700</v>
      </c>
      <c r="D782" s="47" t="n">
        <v>100</v>
      </c>
      <c r="E782" s="47" t="n">
        <v>8900000</v>
      </c>
      <c r="F782" s="47" t="n">
        <v>1982100</v>
      </c>
    </row>
    <row r="783" customFormat="false" ht="15" hidden="false" customHeight="false" outlineLevel="0" collapsed="false">
      <c r="A783" s="0" t="s">
        <v>368</v>
      </c>
      <c r="B783" s="0" t="n">
        <v>799</v>
      </c>
      <c r="C783" s="0" t="str">
        <f aca="false">TEXT(VLOOKUP(B783,$I$2:$J$20,2,FALSE()),"0")</f>
        <v>700</v>
      </c>
      <c r="D783" s="47" t="n">
        <v>2</v>
      </c>
      <c r="E783" s="47" t="n">
        <v>178000</v>
      </c>
      <c r="F783" s="47" t="n">
        <v>39642</v>
      </c>
    </row>
    <row r="784" customFormat="false" ht="15" hidden="false" customHeight="false" outlineLevel="0" collapsed="false">
      <c r="A784" s="0" t="s">
        <v>368</v>
      </c>
      <c r="B784" s="0" t="n">
        <v>800</v>
      </c>
      <c r="C784" s="0" t="str">
        <f aca="false">TEXT(VLOOKUP(B784,$I$2:$J$20,2,FALSE()),"0")</f>
        <v>800</v>
      </c>
      <c r="D784" s="47" t="n">
        <v>30</v>
      </c>
      <c r="E784" s="47" t="n">
        <v>2670000</v>
      </c>
      <c r="F784" s="47" t="n">
        <v>594630</v>
      </c>
    </row>
    <row r="785" customFormat="false" ht="15" hidden="false" customHeight="false" outlineLevel="0" collapsed="false">
      <c r="A785" s="0" t="s">
        <v>368</v>
      </c>
      <c r="B785" s="0" t="n">
        <v>810</v>
      </c>
      <c r="C785" s="0" t="str">
        <f aca="false">TEXT(VLOOKUP(B785,$I$2:$J$20,2,FALSE()),"0")</f>
        <v>810</v>
      </c>
      <c r="D785" s="47" t="n">
        <v>48</v>
      </c>
      <c r="E785" s="47" t="n">
        <v>4272000</v>
      </c>
      <c r="F785" s="47" t="n">
        <v>951408</v>
      </c>
    </row>
    <row r="786" customFormat="false" ht="15" hidden="false" customHeight="false" outlineLevel="0" collapsed="false">
      <c r="A786" s="0" t="s">
        <v>370</v>
      </c>
      <c r="B786" s="0" t="n">
        <v>200</v>
      </c>
      <c r="C786" s="0" t="str">
        <f aca="false">TEXT(VLOOKUP(B786,$I$2:$J$20,2,FALSE()),"0")</f>
        <v>200</v>
      </c>
      <c r="D786" s="47" t="n">
        <v>50</v>
      </c>
      <c r="E786" s="47" t="n">
        <v>3450000</v>
      </c>
      <c r="F786" s="47" t="n">
        <v>689750</v>
      </c>
    </row>
    <row r="787" customFormat="false" ht="15" hidden="false" customHeight="false" outlineLevel="0" collapsed="false">
      <c r="A787" s="0" t="s">
        <v>370</v>
      </c>
      <c r="B787" s="0" t="n">
        <v>299</v>
      </c>
      <c r="C787" s="0" t="str">
        <f aca="false">TEXT(VLOOKUP(B787,$I$2:$J$20,2,FALSE()),"0")</f>
        <v>200</v>
      </c>
      <c r="D787" s="47" t="n">
        <v>1</v>
      </c>
      <c r="E787" s="47" t="n">
        <v>69000</v>
      </c>
      <c r="F787" s="47" t="n">
        <v>13795</v>
      </c>
    </row>
    <row r="788" customFormat="false" ht="15" hidden="false" customHeight="false" outlineLevel="0" collapsed="false">
      <c r="A788" s="0" t="s">
        <v>370</v>
      </c>
      <c r="B788" s="0" t="n">
        <v>300</v>
      </c>
      <c r="C788" s="0" t="str">
        <f aca="false">TEXT(VLOOKUP(B788,$I$2:$J$20,2,FALSE()),"0")</f>
        <v>300</v>
      </c>
      <c r="D788" s="47" t="n">
        <v>200</v>
      </c>
      <c r="E788" s="47" t="n">
        <v>13800000</v>
      </c>
      <c r="F788" s="47" t="n">
        <v>2759000</v>
      </c>
    </row>
    <row r="789" customFormat="false" ht="15" hidden="false" customHeight="false" outlineLevel="0" collapsed="false">
      <c r="A789" s="0" t="s">
        <v>370</v>
      </c>
      <c r="B789" s="0" t="n">
        <v>600</v>
      </c>
      <c r="C789" s="0" t="str">
        <f aca="false">TEXT(VLOOKUP(B789,$I$2:$J$20,2,FALSE()),"0")</f>
        <v>600</v>
      </c>
      <c r="D789" s="47" t="n">
        <v>40</v>
      </c>
      <c r="E789" s="47" t="n">
        <v>2760000</v>
      </c>
      <c r="F789" s="47" t="n">
        <v>551800</v>
      </c>
    </row>
    <row r="790" customFormat="false" ht="15" hidden="false" customHeight="false" outlineLevel="0" collapsed="false">
      <c r="A790" s="0" t="s">
        <v>370</v>
      </c>
      <c r="B790" s="0" t="n">
        <v>700</v>
      </c>
      <c r="C790" s="0" t="str">
        <f aca="false">TEXT(VLOOKUP(B790,$I$2:$J$20,2,FALSE()),"0")</f>
        <v>700</v>
      </c>
      <c r="D790" s="47" t="n">
        <v>165</v>
      </c>
      <c r="E790" s="47" t="n">
        <v>11385000</v>
      </c>
      <c r="F790" s="47" t="n">
        <v>2276175</v>
      </c>
    </row>
    <row r="791" customFormat="false" ht="15" hidden="false" customHeight="false" outlineLevel="0" collapsed="false">
      <c r="A791" s="0" t="s">
        <v>370</v>
      </c>
      <c r="B791" s="0" t="n">
        <v>799</v>
      </c>
      <c r="C791" s="0" t="str">
        <f aca="false">TEXT(VLOOKUP(B791,$I$2:$J$20,2,FALSE()),"0")</f>
        <v>700</v>
      </c>
      <c r="D791" s="47" t="n">
        <v>2</v>
      </c>
      <c r="E791" s="47" t="n">
        <v>138000</v>
      </c>
      <c r="F791" s="47" t="n">
        <v>27590</v>
      </c>
    </row>
    <row r="792" customFormat="false" ht="15" hidden="false" customHeight="false" outlineLevel="0" collapsed="false">
      <c r="A792" s="0" t="s">
        <v>370</v>
      </c>
      <c r="B792" s="0" t="n">
        <v>800</v>
      </c>
      <c r="C792" s="0" t="str">
        <f aca="false">TEXT(VLOOKUP(B792,$I$2:$J$20,2,FALSE()),"0")</f>
        <v>800</v>
      </c>
      <c r="D792" s="47" t="n">
        <v>30</v>
      </c>
      <c r="E792" s="47" t="n">
        <v>2070000</v>
      </c>
      <c r="F792" s="47" t="n">
        <v>413850</v>
      </c>
    </row>
    <row r="793" customFormat="false" ht="15" hidden="false" customHeight="false" outlineLevel="0" collapsed="false">
      <c r="A793" s="0" t="s">
        <v>372</v>
      </c>
      <c r="B793" s="0" t="n">
        <v>100</v>
      </c>
      <c r="C793" s="0" t="str">
        <f aca="false">TEXT(VLOOKUP(B793,$I$2:$J$20,2,FALSE()),"0")</f>
        <v>100</v>
      </c>
      <c r="D793" s="47" t="n">
        <v>200</v>
      </c>
      <c r="E793" s="47" t="n">
        <v>19800000</v>
      </c>
      <c r="F793" s="47" t="n">
        <v>5167200</v>
      </c>
    </row>
    <row r="794" customFormat="false" ht="15" hidden="false" customHeight="false" outlineLevel="0" collapsed="false">
      <c r="A794" s="0" t="s">
        <v>372</v>
      </c>
      <c r="B794" s="0" t="n">
        <v>200</v>
      </c>
      <c r="C794" s="0" t="str">
        <f aca="false">TEXT(VLOOKUP(B794,$I$2:$J$20,2,FALSE()),"0")</f>
        <v>200</v>
      </c>
      <c r="D794" s="47" t="n">
        <v>220</v>
      </c>
      <c r="E794" s="47" t="n">
        <v>21780000</v>
      </c>
      <c r="F794" s="47" t="n">
        <v>5683920</v>
      </c>
    </row>
    <row r="795" customFormat="false" ht="15" hidden="false" customHeight="false" outlineLevel="0" collapsed="false">
      <c r="A795" s="0" t="s">
        <v>372</v>
      </c>
      <c r="B795" s="0" t="n">
        <v>299</v>
      </c>
      <c r="C795" s="0" t="str">
        <f aca="false">TEXT(VLOOKUP(B795,$I$2:$J$20,2,FALSE()),"0")</f>
        <v>200</v>
      </c>
      <c r="D795" s="47" t="n">
        <v>2</v>
      </c>
      <c r="E795" s="47" t="n">
        <v>198000</v>
      </c>
      <c r="F795" s="47" t="n">
        <v>51672</v>
      </c>
    </row>
    <row r="796" customFormat="false" ht="15" hidden="false" customHeight="false" outlineLevel="0" collapsed="false">
      <c r="A796" s="0" t="s">
        <v>372</v>
      </c>
      <c r="B796" s="0" t="n">
        <v>300</v>
      </c>
      <c r="C796" s="0" t="str">
        <f aca="false">TEXT(VLOOKUP(B796,$I$2:$J$20,2,FALSE()),"0")</f>
        <v>300</v>
      </c>
      <c r="D796" s="47" t="n">
        <v>400</v>
      </c>
      <c r="E796" s="47" t="n">
        <v>39600000</v>
      </c>
      <c r="F796" s="47" t="n">
        <v>10334400</v>
      </c>
    </row>
    <row r="797" customFormat="false" ht="15" hidden="false" customHeight="false" outlineLevel="0" collapsed="false">
      <c r="A797" s="0" t="s">
        <v>372</v>
      </c>
      <c r="B797" s="0" t="n">
        <v>500</v>
      </c>
      <c r="C797" s="0" t="str">
        <f aca="false">TEXT(VLOOKUP(B797,$I$2:$J$20,2,FALSE()),"0")</f>
        <v>500</v>
      </c>
      <c r="D797" s="47" t="n">
        <v>160</v>
      </c>
      <c r="E797" s="47" t="n">
        <v>15840000</v>
      </c>
      <c r="F797" s="47" t="n">
        <v>4133760</v>
      </c>
    </row>
    <row r="798" customFormat="false" ht="15" hidden="false" customHeight="false" outlineLevel="0" collapsed="false">
      <c r="A798" s="0" t="s">
        <v>372</v>
      </c>
      <c r="B798" s="0" t="n">
        <v>600</v>
      </c>
      <c r="C798" s="0" t="str">
        <f aca="false">TEXT(VLOOKUP(B798,$I$2:$J$20,2,FALSE()),"0")</f>
        <v>600</v>
      </c>
      <c r="D798" s="47" t="n">
        <v>40</v>
      </c>
      <c r="E798" s="47" t="n">
        <v>3960000</v>
      </c>
      <c r="F798" s="47" t="n">
        <v>1033440</v>
      </c>
    </row>
    <row r="799" customFormat="false" ht="15" hidden="false" customHeight="false" outlineLevel="0" collapsed="false">
      <c r="A799" s="0" t="s">
        <v>372</v>
      </c>
      <c r="B799" s="0" t="n">
        <v>700</v>
      </c>
      <c r="C799" s="0" t="str">
        <f aca="false">TEXT(VLOOKUP(B799,$I$2:$J$20,2,FALSE()),"0")</f>
        <v>700</v>
      </c>
      <c r="D799" s="47" t="n">
        <v>100</v>
      </c>
      <c r="E799" s="47" t="n">
        <v>9900000</v>
      </c>
      <c r="F799" s="47" t="n">
        <v>2583600</v>
      </c>
    </row>
    <row r="800" customFormat="false" ht="15" hidden="false" customHeight="false" outlineLevel="0" collapsed="false">
      <c r="A800" s="0" t="s">
        <v>372</v>
      </c>
      <c r="B800" s="0" t="n">
        <v>799</v>
      </c>
      <c r="C800" s="0" t="str">
        <f aca="false">TEXT(VLOOKUP(B800,$I$2:$J$20,2,FALSE()),"0")</f>
        <v>700</v>
      </c>
      <c r="D800" s="47" t="n">
        <v>2</v>
      </c>
      <c r="E800" s="47" t="n">
        <v>198000</v>
      </c>
      <c r="F800" s="47" t="n">
        <v>51672</v>
      </c>
    </row>
    <row r="801" customFormat="false" ht="15" hidden="false" customHeight="false" outlineLevel="0" collapsed="false">
      <c r="A801" s="0" t="s">
        <v>372</v>
      </c>
      <c r="B801" s="0" t="n">
        <v>800</v>
      </c>
      <c r="C801" s="0" t="str">
        <f aca="false">TEXT(VLOOKUP(B801,$I$2:$J$20,2,FALSE()),"0")</f>
        <v>800</v>
      </c>
      <c r="D801" s="47" t="n">
        <v>20</v>
      </c>
      <c r="E801" s="47" t="n">
        <v>1980000</v>
      </c>
      <c r="F801" s="47" t="n">
        <v>516720</v>
      </c>
    </row>
    <row r="802" customFormat="false" ht="15" hidden="false" customHeight="false" outlineLevel="0" collapsed="false">
      <c r="A802" s="0" t="s">
        <v>372</v>
      </c>
      <c r="B802" s="0" t="n">
        <v>830</v>
      </c>
      <c r="C802" s="0" t="str">
        <f aca="false">TEXT(VLOOKUP(B802,$I$2:$J$20,2,FALSE()),"0")</f>
        <v>830</v>
      </c>
      <c r="D802" s="47" t="n">
        <v>500</v>
      </c>
      <c r="E802" s="47" t="n">
        <v>49500000</v>
      </c>
      <c r="F802" s="47" t="n">
        <v>12918000</v>
      </c>
    </row>
    <row r="803" customFormat="false" ht="15" hidden="false" customHeight="false" outlineLevel="0" collapsed="false">
      <c r="A803" s="0" t="s">
        <v>374</v>
      </c>
      <c r="B803" s="0" t="n">
        <v>100</v>
      </c>
      <c r="C803" s="0" t="str">
        <f aca="false">TEXT(VLOOKUP(B803,$I$2:$J$20,2,FALSE()),"0")</f>
        <v>100</v>
      </c>
      <c r="D803" s="47" t="n">
        <v>200</v>
      </c>
      <c r="E803" s="47" t="n">
        <v>13800000</v>
      </c>
      <c r="F803" s="47" t="n">
        <v>3475400</v>
      </c>
    </row>
    <row r="804" customFormat="false" ht="15" hidden="false" customHeight="false" outlineLevel="0" collapsed="false">
      <c r="A804" s="0" t="s">
        <v>374</v>
      </c>
      <c r="B804" s="0" t="n">
        <v>200</v>
      </c>
      <c r="C804" s="0" t="str">
        <f aca="false">TEXT(VLOOKUP(B804,$I$2:$J$20,2,FALSE()),"0")</f>
        <v>200</v>
      </c>
      <c r="D804" s="47" t="n">
        <v>150</v>
      </c>
      <c r="E804" s="47" t="n">
        <v>10350000</v>
      </c>
      <c r="F804" s="47" t="n">
        <v>2606550</v>
      </c>
    </row>
    <row r="805" customFormat="false" ht="15" hidden="false" customHeight="false" outlineLevel="0" collapsed="false">
      <c r="A805" s="0" t="s">
        <v>374</v>
      </c>
      <c r="B805" s="0" t="n">
        <v>299</v>
      </c>
      <c r="C805" s="0" t="str">
        <f aca="false">TEXT(VLOOKUP(B805,$I$2:$J$20,2,FALSE()),"0")</f>
        <v>200</v>
      </c>
      <c r="D805" s="47" t="n">
        <v>2</v>
      </c>
      <c r="E805" s="47" t="n">
        <v>138000</v>
      </c>
      <c r="F805" s="47" t="n">
        <v>34754</v>
      </c>
    </row>
    <row r="806" customFormat="false" ht="15" hidden="false" customHeight="false" outlineLevel="0" collapsed="false">
      <c r="A806" s="0" t="s">
        <v>374</v>
      </c>
      <c r="B806" s="0" t="n">
        <v>300</v>
      </c>
      <c r="C806" s="0" t="str">
        <f aca="false">TEXT(VLOOKUP(B806,$I$2:$J$20,2,FALSE()),"0")</f>
        <v>300</v>
      </c>
      <c r="D806" s="47" t="n">
        <v>500</v>
      </c>
      <c r="E806" s="47" t="n">
        <v>34500000</v>
      </c>
      <c r="F806" s="47" t="n">
        <v>8688500</v>
      </c>
    </row>
    <row r="807" customFormat="false" ht="15" hidden="false" customHeight="false" outlineLevel="0" collapsed="false">
      <c r="A807" s="0" t="s">
        <v>374</v>
      </c>
      <c r="B807" s="0" t="n">
        <v>500</v>
      </c>
      <c r="C807" s="0" t="str">
        <f aca="false">TEXT(VLOOKUP(B807,$I$2:$J$20,2,FALSE()),"0")</f>
        <v>500</v>
      </c>
      <c r="D807" s="47" t="n">
        <v>240</v>
      </c>
      <c r="E807" s="47" t="n">
        <v>16560000</v>
      </c>
      <c r="F807" s="47" t="n">
        <v>4170480</v>
      </c>
    </row>
    <row r="808" customFormat="false" ht="15" hidden="false" customHeight="false" outlineLevel="0" collapsed="false">
      <c r="A808" s="0" t="s">
        <v>374</v>
      </c>
      <c r="B808" s="0" t="n">
        <v>830</v>
      </c>
      <c r="C808" s="0" t="str">
        <f aca="false">TEXT(VLOOKUP(B808,$I$2:$J$20,2,FALSE()),"0")</f>
        <v>830</v>
      </c>
      <c r="D808" s="47" t="n">
        <v>30</v>
      </c>
      <c r="E808" s="47" t="n">
        <v>2070000</v>
      </c>
      <c r="F808" s="47" t="n">
        <v>521310</v>
      </c>
    </row>
    <row r="809" customFormat="false" ht="15" hidden="false" customHeight="false" outlineLevel="0" collapsed="false">
      <c r="A809" s="0" t="s">
        <v>376</v>
      </c>
      <c r="B809" s="0" t="n">
        <v>100</v>
      </c>
      <c r="C809" s="0" t="str">
        <f aca="false">TEXT(VLOOKUP(B809,$I$2:$J$20,2,FALSE()),"0")</f>
        <v>100</v>
      </c>
      <c r="D809" s="47" t="n">
        <v>230</v>
      </c>
      <c r="E809" s="47" t="n">
        <v>20470000</v>
      </c>
      <c r="F809" s="47" t="n">
        <v>3988660</v>
      </c>
    </row>
    <row r="810" customFormat="false" ht="15" hidden="false" customHeight="false" outlineLevel="0" collapsed="false">
      <c r="A810" s="0" t="s">
        <v>376</v>
      </c>
      <c r="B810" s="0" t="n">
        <v>300</v>
      </c>
      <c r="C810" s="0" t="str">
        <f aca="false">TEXT(VLOOKUP(B810,$I$2:$J$20,2,FALSE()),"0")</f>
        <v>300</v>
      </c>
      <c r="D810" s="47" t="n">
        <v>150</v>
      </c>
      <c r="E810" s="47" t="n">
        <v>13350000</v>
      </c>
      <c r="F810" s="47" t="n">
        <v>2601300</v>
      </c>
    </row>
    <row r="811" customFormat="false" ht="15" hidden="false" customHeight="false" outlineLevel="0" collapsed="false">
      <c r="A811" s="0" t="s">
        <v>376</v>
      </c>
      <c r="B811" s="0" t="n">
        <v>600</v>
      </c>
      <c r="C811" s="0" t="str">
        <f aca="false">TEXT(VLOOKUP(B811,$I$2:$J$20,2,FALSE()),"0")</f>
        <v>600</v>
      </c>
      <c r="D811" s="47" t="n">
        <v>50</v>
      </c>
      <c r="E811" s="47" t="n">
        <v>4450000</v>
      </c>
      <c r="F811" s="47" t="n">
        <v>867100</v>
      </c>
    </row>
    <row r="812" customFormat="false" ht="15" hidden="false" customHeight="false" outlineLevel="0" collapsed="false">
      <c r="A812" s="0" t="s">
        <v>376</v>
      </c>
      <c r="B812" s="0" t="n">
        <v>700</v>
      </c>
      <c r="C812" s="0" t="str">
        <f aca="false">TEXT(VLOOKUP(B812,$I$2:$J$20,2,FALSE()),"0")</f>
        <v>700</v>
      </c>
      <c r="D812" s="47" t="n">
        <v>100</v>
      </c>
      <c r="E812" s="47" t="n">
        <v>8900000</v>
      </c>
      <c r="F812" s="47" t="n">
        <v>1734200</v>
      </c>
    </row>
    <row r="813" customFormat="false" ht="15" hidden="false" customHeight="false" outlineLevel="0" collapsed="false">
      <c r="A813" s="0" t="s">
        <v>376</v>
      </c>
      <c r="B813" s="0" t="n">
        <v>799</v>
      </c>
      <c r="C813" s="0" t="str">
        <f aca="false">TEXT(VLOOKUP(B813,$I$2:$J$20,2,FALSE()),"0")</f>
        <v>700</v>
      </c>
      <c r="D813" s="47" t="n">
        <v>2</v>
      </c>
      <c r="E813" s="47" t="n">
        <v>178000</v>
      </c>
      <c r="F813" s="47" t="n">
        <v>34684</v>
      </c>
    </row>
    <row r="814" customFormat="false" ht="15" hidden="false" customHeight="false" outlineLevel="0" collapsed="false">
      <c r="A814" s="0" t="s">
        <v>376</v>
      </c>
      <c r="B814" s="0" t="n">
        <v>810</v>
      </c>
      <c r="C814" s="0" t="str">
        <f aca="false">TEXT(VLOOKUP(B814,$I$2:$J$20,2,FALSE()),"0")</f>
        <v>810</v>
      </c>
      <c r="D814" s="47" t="n">
        <v>48</v>
      </c>
      <c r="E814" s="47" t="n">
        <v>4272000</v>
      </c>
      <c r="F814" s="47" t="n">
        <v>832416</v>
      </c>
    </row>
    <row r="815" customFormat="false" ht="15" hidden="false" customHeight="false" outlineLevel="0" collapsed="false">
      <c r="A815" s="0" t="s">
        <v>376</v>
      </c>
      <c r="B815" s="0" t="n">
        <v>830</v>
      </c>
      <c r="C815" s="0" t="str">
        <f aca="false">TEXT(VLOOKUP(B815,$I$2:$J$20,2,FALSE()),"0")</f>
        <v>830</v>
      </c>
      <c r="D815" s="47" t="n">
        <v>1000</v>
      </c>
      <c r="E815" s="47" t="n">
        <v>89000000</v>
      </c>
      <c r="F815" s="47" t="n">
        <v>17342000</v>
      </c>
    </row>
    <row r="816" customFormat="false" ht="15" hidden="false" customHeight="false" outlineLevel="0" collapsed="false">
      <c r="A816" s="0" t="s">
        <v>378</v>
      </c>
      <c r="B816" s="0" t="n">
        <v>100</v>
      </c>
      <c r="C816" s="0" t="str">
        <f aca="false">TEXT(VLOOKUP(B816,$I$2:$J$20,2,FALSE()),"0")</f>
        <v>100</v>
      </c>
      <c r="D816" s="47" t="n">
        <v>210</v>
      </c>
      <c r="E816" s="47" t="n">
        <v>16590000</v>
      </c>
      <c r="F816" s="47" t="n">
        <v>3783360</v>
      </c>
    </row>
    <row r="817" customFormat="false" ht="15" hidden="false" customHeight="false" outlineLevel="0" collapsed="false">
      <c r="A817" s="0" t="s">
        <v>378</v>
      </c>
      <c r="B817" s="0" t="n">
        <v>300</v>
      </c>
      <c r="C817" s="0" t="str">
        <f aca="false">TEXT(VLOOKUP(B817,$I$2:$J$20,2,FALSE()),"0")</f>
        <v>300</v>
      </c>
      <c r="D817" s="47" t="n">
        <v>250</v>
      </c>
      <c r="E817" s="47" t="n">
        <v>19750000</v>
      </c>
      <c r="F817" s="47" t="n">
        <v>4504000</v>
      </c>
    </row>
    <row r="818" customFormat="false" ht="15" hidden="false" customHeight="false" outlineLevel="0" collapsed="false">
      <c r="A818" s="0" t="s">
        <v>378</v>
      </c>
      <c r="B818" s="0" t="n">
        <v>700</v>
      </c>
      <c r="C818" s="0" t="str">
        <f aca="false">TEXT(VLOOKUP(B818,$I$2:$J$20,2,FALSE()),"0")</f>
        <v>700</v>
      </c>
      <c r="D818" s="47" t="n">
        <v>30</v>
      </c>
      <c r="E818" s="47" t="n">
        <v>2370000</v>
      </c>
      <c r="F818" s="47" t="n">
        <v>540480</v>
      </c>
    </row>
    <row r="819" customFormat="false" ht="15" hidden="false" customHeight="false" outlineLevel="0" collapsed="false">
      <c r="A819" s="0" t="s">
        <v>378</v>
      </c>
      <c r="B819" s="0" t="n">
        <v>799</v>
      </c>
      <c r="C819" s="0" t="str">
        <f aca="false">TEXT(VLOOKUP(B819,$I$2:$J$20,2,FALSE()),"0")</f>
        <v>700</v>
      </c>
      <c r="D819" s="47" t="n">
        <v>1</v>
      </c>
      <c r="E819" s="47" t="n">
        <v>79000</v>
      </c>
      <c r="F819" s="47" t="n">
        <v>18016</v>
      </c>
    </row>
    <row r="820" customFormat="false" ht="15" hidden="false" customHeight="false" outlineLevel="0" collapsed="false">
      <c r="A820" s="0" t="s">
        <v>378</v>
      </c>
      <c r="B820" s="0" t="n">
        <v>810</v>
      </c>
      <c r="C820" s="0" t="str">
        <f aca="false">TEXT(VLOOKUP(B820,$I$2:$J$20,2,FALSE()),"0")</f>
        <v>810</v>
      </c>
      <c r="D820" s="47" t="n">
        <v>48</v>
      </c>
      <c r="E820" s="47" t="n">
        <v>3792000</v>
      </c>
      <c r="F820" s="47" t="n">
        <v>864768</v>
      </c>
    </row>
    <row r="821" customFormat="false" ht="15" hidden="false" customHeight="false" outlineLevel="0" collapsed="false">
      <c r="A821" s="0" t="s">
        <v>378</v>
      </c>
      <c r="B821" s="0" t="n">
        <v>830</v>
      </c>
      <c r="C821" s="0" t="str">
        <f aca="false">TEXT(VLOOKUP(B821,$I$2:$J$20,2,FALSE()),"0")</f>
        <v>830</v>
      </c>
      <c r="D821" s="47" t="n">
        <v>300</v>
      </c>
      <c r="E821" s="47" t="n">
        <v>23700000</v>
      </c>
      <c r="F821" s="47" t="n">
        <v>5404800</v>
      </c>
    </row>
    <row r="822" customFormat="false" ht="15" hidden="false" customHeight="false" outlineLevel="0" collapsed="false">
      <c r="A822" s="0" t="s">
        <v>380</v>
      </c>
      <c r="B822" s="0" t="n">
        <v>100</v>
      </c>
      <c r="C822" s="0" t="str">
        <f aca="false">TEXT(VLOOKUP(B822,$I$2:$J$20,2,FALSE()),"0")</f>
        <v>100</v>
      </c>
      <c r="D822" s="47" t="n">
        <v>50</v>
      </c>
      <c r="E822" s="47" t="n">
        <v>2950000</v>
      </c>
      <c r="F822" s="47" t="n">
        <v>759700</v>
      </c>
    </row>
    <row r="823" customFormat="false" ht="15" hidden="false" customHeight="false" outlineLevel="0" collapsed="false">
      <c r="A823" s="0" t="s">
        <v>380</v>
      </c>
      <c r="B823" s="0" t="n">
        <v>300</v>
      </c>
      <c r="C823" s="0" t="str">
        <f aca="false">TEXT(VLOOKUP(B823,$I$2:$J$20,2,FALSE()),"0")</f>
        <v>300</v>
      </c>
      <c r="D823" s="47" t="n">
        <v>100</v>
      </c>
      <c r="E823" s="47" t="n">
        <v>5900000</v>
      </c>
      <c r="F823" s="47" t="n">
        <v>1519400</v>
      </c>
    </row>
    <row r="824" customFormat="false" ht="15" hidden="false" customHeight="false" outlineLevel="0" collapsed="false">
      <c r="A824" s="0" t="s">
        <v>380</v>
      </c>
      <c r="B824" s="0" t="n">
        <v>600</v>
      </c>
      <c r="C824" s="0" t="str">
        <f aca="false">TEXT(VLOOKUP(B824,$I$2:$J$20,2,FALSE()),"0")</f>
        <v>600</v>
      </c>
      <c r="D824" s="47" t="n">
        <v>25</v>
      </c>
      <c r="E824" s="47" t="n">
        <v>1475000</v>
      </c>
      <c r="F824" s="47" t="n">
        <v>379850</v>
      </c>
    </row>
    <row r="825" customFormat="false" ht="15" hidden="false" customHeight="false" outlineLevel="0" collapsed="false">
      <c r="A825" s="0" t="s">
        <v>380</v>
      </c>
      <c r="B825" s="0" t="n">
        <v>700</v>
      </c>
      <c r="C825" s="0" t="str">
        <f aca="false">TEXT(VLOOKUP(B825,$I$2:$J$20,2,FALSE()),"0")</f>
        <v>700</v>
      </c>
      <c r="D825" s="47" t="n">
        <v>90</v>
      </c>
      <c r="E825" s="47" t="n">
        <v>5310000</v>
      </c>
      <c r="F825" s="47" t="n">
        <v>1367460</v>
      </c>
    </row>
    <row r="826" customFormat="false" ht="15" hidden="false" customHeight="false" outlineLevel="0" collapsed="false">
      <c r="A826" s="0" t="s">
        <v>380</v>
      </c>
      <c r="B826" s="0" t="n">
        <v>799</v>
      </c>
      <c r="C826" s="0" t="str">
        <f aca="false">TEXT(VLOOKUP(B826,$I$2:$J$20,2,FALSE()),"0")</f>
        <v>700</v>
      </c>
      <c r="D826" s="47" t="n">
        <v>1</v>
      </c>
      <c r="E826" s="47" t="n">
        <v>59000</v>
      </c>
      <c r="F826" s="47" t="n">
        <v>15194</v>
      </c>
    </row>
    <row r="827" customFormat="false" ht="15" hidden="false" customHeight="false" outlineLevel="0" collapsed="false">
      <c r="A827" s="0" t="s">
        <v>1055</v>
      </c>
      <c r="B827" s="0" t="n">
        <v>200</v>
      </c>
      <c r="C827" s="0" t="str">
        <f aca="false">TEXT(VLOOKUP(B827,$I$2:$J$20,2,FALSE()),"0")</f>
        <v>200</v>
      </c>
      <c r="D827" s="47" t="n">
        <v>130</v>
      </c>
      <c r="E827" s="47" t="n">
        <v>7670000</v>
      </c>
      <c r="F827" s="47" t="n">
        <v>1897610</v>
      </c>
    </row>
    <row r="828" customFormat="false" ht="15" hidden="false" customHeight="false" outlineLevel="0" collapsed="false">
      <c r="A828" s="0" t="s">
        <v>1055</v>
      </c>
      <c r="B828" s="0" t="n">
        <v>299</v>
      </c>
      <c r="C828" s="0" t="str">
        <f aca="false">TEXT(VLOOKUP(B828,$I$2:$J$20,2,FALSE()),"0")</f>
        <v>200</v>
      </c>
      <c r="D828" s="47" t="n">
        <v>1</v>
      </c>
      <c r="E828" s="47" t="n">
        <v>59000</v>
      </c>
      <c r="F828" s="47" t="n">
        <v>14597</v>
      </c>
    </row>
    <row r="829" customFormat="false" ht="15" hidden="false" customHeight="false" outlineLevel="0" collapsed="false">
      <c r="A829" s="0" t="s">
        <v>1055</v>
      </c>
      <c r="B829" s="0" t="n">
        <v>600</v>
      </c>
      <c r="C829" s="0" t="str">
        <f aca="false">TEXT(VLOOKUP(B829,$I$2:$J$20,2,FALSE()),"0")</f>
        <v>600</v>
      </c>
      <c r="D829" s="47" t="n">
        <v>25</v>
      </c>
      <c r="E829" s="47" t="n">
        <v>1475000</v>
      </c>
      <c r="F829" s="47" t="n">
        <v>364925</v>
      </c>
    </row>
    <row r="830" customFormat="false" ht="15" hidden="false" customHeight="false" outlineLevel="0" collapsed="false">
      <c r="A830" s="0" t="s">
        <v>1055</v>
      </c>
      <c r="B830" s="0" t="n">
        <v>700</v>
      </c>
      <c r="C830" s="0" t="str">
        <f aca="false">TEXT(VLOOKUP(B830,$I$2:$J$20,2,FALSE()),"0")</f>
        <v>700</v>
      </c>
      <c r="D830" s="47" t="n">
        <v>120</v>
      </c>
      <c r="E830" s="47" t="n">
        <v>7080000</v>
      </c>
      <c r="F830" s="47" t="n">
        <v>1751640</v>
      </c>
    </row>
    <row r="831" customFormat="false" ht="15" hidden="false" customHeight="false" outlineLevel="0" collapsed="false">
      <c r="A831" s="0" t="s">
        <v>1055</v>
      </c>
      <c r="B831" s="0" t="n">
        <v>799</v>
      </c>
      <c r="C831" s="0" t="str">
        <f aca="false">TEXT(VLOOKUP(B831,$I$2:$J$20,2,FALSE()),"0")</f>
        <v>700</v>
      </c>
      <c r="D831" s="47" t="n">
        <v>1</v>
      </c>
      <c r="E831" s="47" t="n">
        <v>59000</v>
      </c>
      <c r="F831" s="47" t="n">
        <v>14597</v>
      </c>
    </row>
    <row r="832" customFormat="false" ht="15" hidden="false" customHeight="false" outlineLevel="0" collapsed="false">
      <c r="A832" s="0" t="s">
        <v>382</v>
      </c>
      <c r="B832" s="0" t="n">
        <v>100</v>
      </c>
      <c r="C832" s="0" t="str">
        <f aca="false">TEXT(VLOOKUP(B832,$I$2:$J$20,2,FALSE()),"0")</f>
        <v>100</v>
      </c>
      <c r="D832" s="47" t="n">
        <v>70</v>
      </c>
      <c r="E832" s="47" t="n">
        <v>4830000</v>
      </c>
      <c r="F832" s="47" t="n">
        <v>1102990</v>
      </c>
    </row>
    <row r="833" customFormat="false" ht="15" hidden="false" customHeight="false" outlineLevel="0" collapsed="false">
      <c r="A833" s="0" t="s">
        <v>382</v>
      </c>
      <c r="B833" s="0" t="n">
        <v>300</v>
      </c>
      <c r="C833" s="0" t="str">
        <f aca="false">TEXT(VLOOKUP(B833,$I$2:$J$20,2,FALSE()),"0")</f>
        <v>300</v>
      </c>
      <c r="D833" s="47" t="n">
        <v>100</v>
      </c>
      <c r="E833" s="47" t="n">
        <v>6900000</v>
      </c>
      <c r="F833" s="47" t="n">
        <v>1575700</v>
      </c>
    </row>
    <row r="834" customFormat="false" ht="15" hidden="false" customHeight="false" outlineLevel="0" collapsed="false">
      <c r="A834" s="0" t="s">
        <v>382</v>
      </c>
      <c r="B834" s="0" t="n">
        <v>700</v>
      </c>
      <c r="C834" s="0" t="str">
        <f aca="false">TEXT(VLOOKUP(B834,$I$2:$J$20,2,FALSE()),"0")</f>
        <v>700</v>
      </c>
      <c r="D834" s="47" t="n">
        <v>90</v>
      </c>
      <c r="E834" s="47" t="n">
        <v>6210000</v>
      </c>
      <c r="F834" s="47" t="n">
        <v>1418130</v>
      </c>
    </row>
    <row r="835" customFormat="false" ht="15" hidden="false" customHeight="false" outlineLevel="0" collapsed="false">
      <c r="A835" s="0" t="s">
        <v>382</v>
      </c>
      <c r="B835" s="0" t="n">
        <v>799</v>
      </c>
      <c r="C835" s="0" t="str">
        <f aca="false">TEXT(VLOOKUP(B835,$I$2:$J$20,2,FALSE()),"0")</f>
        <v>700</v>
      </c>
      <c r="D835" s="47" t="n">
        <v>1</v>
      </c>
      <c r="E835" s="47" t="n">
        <v>69000</v>
      </c>
      <c r="F835" s="47" t="n">
        <v>15757</v>
      </c>
    </row>
    <row r="836" customFormat="false" ht="15" hidden="false" customHeight="false" outlineLevel="0" collapsed="false">
      <c r="A836" s="0" t="s">
        <v>382</v>
      </c>
      <c r="B836" s="0" t="n">
        <v>800</v>
      </c>
      <c r="C836" s="0" t="str">
        <f aca="false">TEXT(VLOOKUP(B836,$I$2:$J$20,2,FALSE()),"0")</f>
        <v>800</v>
      </c>
      <c r="D836" s="47" t="n">
        <v>10</v>
      </c>
      <c r="E836" s="47" t="n">
        <v>690000</v>
      </c>
      <c r="F836" s="47" t="n">
        <v>157570</v>
      </c>
    </row>
    <row r="837" customFormat="false" ht="15" hidden="false" customHeight="false" outlineLevel="0" collapsed="false">
      <c r="A837" s="0" t="s">
        <v>384</v>
      </c>
      <c r="B837" s="0" t="n">
        <v>200</v>
      </c>
      <c r="C837" s="0" t="str">
        <f aca="false">TEXT(VLOOKUP(B837,$I$2:$J$20,2,FALSE()),"0")</f>
        <v>200</v>
      </c>
      <c r="D837" s="47" t="n">
        <v>100</v>
      </c>
      <c r="E837" s="47" t="n">
        <v>7900000</v>
      </c>
      <c r="F837" s="47" t="n">
        <v>1908600</v>
      </c>
    </row>
    <row r="838" customFormat="false" ht="15" hidden="false" customHeight="false" outlineLevel="0" collapsed="false">
      <c r="A838" s="0" t="s">
        <v>384</v>
      </c>
      <c r="B838" s="0" t="n">
        <v>299</v>
      </c>
      <c r="C838" s="0" t="str">
        <f aca="false">TEXT(VLOOKUP(B838,$I$2:$J$20,2,FALSE()),"0")</f>
        <v>200</v>
      </c>
      <c r="D838" s="47" t="n">
        <v>1</v>
      </c>
      <c r="E838" s="47" t="n">
        <v>79000</v>
      </c>
      <c r="F838" s="47" t="n">
        <v>19086</v>
      </c>
    </row>
    <row r="839" customFormat="false" ht="15" hidden="false" customHeight="false" outlineLevel="0" collapsed="false">
      <c r="A839" s="0" t="s">
        <v>384</v>
      </c>
      <c r="B839" s="0" t="n">
        <v>300</v>
      </c>
      <c r="C839" s="0" t="str">
        <f aca="false">TEXT(VLOOKUP(B839,$I$2:$J$20,2,FALSE()),"0")</f>
        <v>300</v>
      </c>
      <c r="D839" s="47" t="n">
        <v>100</v>
      </c>
      <c r="E839" s="47" t="n">
        <v>7900000</v>
      </c>
      <c r="F839" s="47" t="n">
        <v>1908600</v>
      </c>
    </row>
    <row r="840" customFormat="false" ht="15" hidden="false" customHeight="false" outlineLevel="0" collapsed="false">
      <c r="A840" s="0" t="s">
        <v>384</v>
      </c>
      <c r="B840" s="0" t="n">
        <v>600</v>
      </c>
      <c r="C840" s="0" t="str">
        <f aca="false">TEXT(VLOOKUP(B840,$I$2:$J$20,2,FALSE()),"0")</f>
        <v>600</v>
      </c>
      <c r="D840" s="47" t="n">
        <v>20</v>
      </c>
      <c r="E840" s="47" t="n">
        <v>1580000</v>
      </c>
      <c r="F840" s="47" t="n">
        <v>381720</v>
      </c>
    </row>
    <row r="841" customFormat="false" ht="15" hidden="false" customHeight="false" outlineLevel="0" collapsed="false">
      <c r="A841" s="0" t="s">
        <v>384</v>
      </c>
      <c r="B841" s="0" t="n">
        <v>700</v>
      </c>
      <c r="C841" s="0" t="str">
        <f aca="false">TEXT(VLOOKUP(B841,$I$2:$J$20,2,FALSE()),"0")</f>
        <v>700</v>
      </c>
      <c r="D841" s="47" t="n">
        <v>60</v>
      </c>
      <c r="E841" s="47" t="n">
        <v>4740000</v>
      </c>
      <c r="F841" s="47" t="n">
        <v>1145160</v>
      </c>
    </row>
    <row r="842" customFormat="false" ht="15" hidden="false" customHeight="false" outlineLevel="0" collapsed="false">
      <c r="A842" s="0" t="s">
        <v>384</v>
      </c>
      <c r="B842" s="0" t="n">
        <v>799</v>
      </c>
      <c r="C842" s="0" t="str">
        <f aca="false">TEXT(VLOOKUP(B842,$I$2:$J$20,2,FALSE()),"0")</f>
        <v>700</v>
      </c>
      <c r="D842" s="47" t="n">
        <v>1</v>
      </c>
      <c r="E842" s="47" t="n">
        <v>79000</v>
      </c>
      <c r="F842" s="47" t="n">
        <v>19086</v>
      </c>
    </row>
    <row r="843" customFormat="false" ht="15" hidden="false" customHeight="false" outlineLevel="0" collapsed="false">
      <c r="A843" s="0" t="s">
        <v>868</v>
      </c>
      <c r="B843" s="0" t="n">
        <v>100</v>
      </c>
      <c r="C843" s="0" t="str">
        <f aca="false">TEXT(VLOOKUP(B843,$I$2:$J$20,2,FALSE()),"0")</f>
        <v>100</v>
      </c>
      <c r="D843" s="47" t="n">
        <v>260</v>
      </c>
      <c r="E843" s="47" t="n">
        <v>12740000</v>
      </c>
      <c r="F843" s="47" t="n">
        <v>2574520</v>
      </c>
    </row>
    <row r="844" customFormat="false" ht="15" hidden="false" customHeight="false" outlineLevel="0" collapsed="false">
      <c r="A844" s="0" t="s">
        <v>868</v>
      </c>
      <c r="B844" s="0" t="n">
        <v>200</v>
      </c>
      <c r="C844" s="0" t="str">
        <f aca="false">TEXT(VLOOKUP(B844,$I$2:$J$20,2,FALSE()),"0")</f>
        <v>200</v>
      </c>
      <c r="D844" s="47" t="n">
        <v>220</v>
      </c>
      <c r="E844" s="47" t="n">
        <v>10780000</v>
      </c>
      <c r="F844" s="47" t="n">
        <v>2178440</v>
      </c>
    </row>
    <row r="845" customFormat="false" ht="15" hidden="false" customHeight="false" outlineLevel="0" collapsed="false">
      <c r="A845" s="0" t="s">
        <v>868</v>
      </c>
      <c r="B845" s="0" t="n">
        <v>299</v>
      </c>
      <c r="C845" s="0" t="str">
        <f aca="false">TEXT(VLOOKUP(B845,$I$2:$J$20,2,FALSE()),"0")</f>
        <v>200</v>
      </c>
      <c r="D845" s="47" t="n">
        <v>2</v>
      </c>
      <c r="E845" s="47" t="n">
        <v>98000</v>
      </c>
      <c r="F845" s="47" t="n">
        <v>19804</v>
      </c>
    </row>
    <row r="846" customFormat="false" ht="15" hidden="false" customHeight="false" outlineLevel="0" collapsed="false">
      <c r="A846" s="0" t="s">
        <v>868</v>
      </c>
      <c r="B846" s="0" t="n">
        <v>500</v>
      </c>
      <c r="C846" s="0" t="str">
        <f aca="false">TEXT(VLOOKUP(B846,$I$2:$J$20,2,FALSE()),"0")</f>
        <v>500</v>
      </c>
      <c r="D846" s="47" t="n">
        <v>120</v>
      </c>
      <c r="E846" s="47" t="n">
        <v>5880000</v>
      </c>
      <c r="F846" s="47" t="n">
        <v>1188240</v>
      </c>
    </row>
    <row r="847" customFormat="false" ht="15" hidden="false" customHeight="false" outlineLevel="0" collapsed="false">
      <c r="A847" s="0" t="s">
        <v>868</v>
      </c>
      <c r="B847" s="0" t="n">
        <v>600</v>
      </c>
      <c r="C847" s="0" t="str">
        <f aca="false">TEXT(VLOOKUP(B847,$I$2:$J$20,2,FALSE()),"0")</f>
        <v>600</v>
      </c>
      <c r="D847" s="47" t="n">
        <v>60</v>
      </c>
      <c r="E847" s="47" t="n">
        <v>2940000</v>
      </c>
      <c r="F847" s="47" t="n">
        <v>594120</v>
      </c>
    </row>
    <row r="848" customFormat="false" ht="15" hidden="false" customHeight="false" outlineLevel="0" collapsed="false">
      <c r="A848" s="0" t="s">
        <v>870</v>
      </c>
      <c r="B848" s="0" t="n">
        <v>100</v>
      </c>
      <c r="C848" s="0" t="str">
        <f aca="false">TEXT(VLOOKUP(B848,$I$2:$J$20,2,FALSE()),"0")</f>
        <v>100</v>
      </c>
      <c r="D848" s="47" t="n">
        <v>290</v>
      </c>
      <c r="E848" s="47" t="n">
        <v>14210000</v>
      </c>
      <c r="F848" s="47" t="n">
        <v>2690330</v>
      </c>
    </row>
    <row r="849" customFormat="false" ht="15" hidden="false" customHeight="false" outlineLevel="0" collapsed="false">
      <c r="A849" s="0" t="s">
        <v>870</v>
      </c>
      <c r="B849" s="0" t="n">
        <v>200</v>
      </c>
      <c r="C849" s="0" t="str">
        <f aca="false">TEXT(VLOOKUP(B849,$I$2:$J$20,2,FALSE()),"0")</f>
        <v>200</v>
      </c>
      <c r="D849" s="47" t="n">
        <v>200</v>
      </c>
      <c r="E849" s="47" t="n">
        <v>9800000</v>
      </c>
      <c r="F849" s="47" t="n">
        <v>1855400</v>
      </c>
    </row>
    <row r="850" customFormat="false" ht="15" hidden="false" customHeight="false" outlineLevel="0" collapsed="false">
      <c r="A850" s="0" t="s">
        <v>870</v>
      </c>
      <c r="B850" s="0" t="n">
        <v>299</v>
      </c>
      <c r="C850" s="0" t="str">
        <f aca="false">TEXT(VLOOKUP(B850,$I$2:$J$20,2,FALSE()),"0")</f>
        <v>200</v>
      </c>
      <c r="D850" s="47" t="n">
        <v>2</v>
      </c>
      <c r="E850" s="47" t="n">
        <v>98000</v>
      </c>
      <c r="F850" s="47" t="n">
        <v>18554</v>
      </c>
    </row>
    <row r="851" customFormat="false" ht="15" hidden="false" customHeight="false" outlineLevel="0" collapsed="false">
      <c r="A851" s="0" t="s">
        <v>870</v>
      </c>
      <c r="B851" s="0" t="n">
        <v>500</v>
      </c>
      <c r="C851" s="0" t="str">
        <f aca="false">TEXT(VLOOKUP(B851,$I$2:$J$20,2,FALSE()),"0")</f>
        <v>500</v>
      </c>
      <c r="D851" s="47" t="n">
        <v>120</v>
      </c>
      <c r="E851" s="47" t="n">
        <v>5880000</v>
      </c>
      <c r="F851" s="47" t="n">
        <v>1113240</v>
      </c>
    </row>
    <row r="852" customFormat="false" ht="15" hidden="false" customHeight="false" outlineLevel="0" collapsed="false">
      <c r="A852" s="0" t="s">
        <v>870</v>
      </c>
      <c r="B852" s="0" t="n">
        <v>600</v>
      </c>
      <c r="C852" s="0" t="str">
        <f aca="false">TEXT(VLOOKUP(B852,$I$2:$J$20,2,FALSE()),"0")</f>
        <v>600</v>
      </c>
      <c r="D852" s="47" t="n">
        <v>65</v>
      </c>
      <c r="E852" s="47" t="n">
        <v>3185000</v>
      </c>
      <c r="F852" s="47" t="n">
        <v>603005</v>
      </c>
    </row>
    <row r="853" customFormat="false" ht="15" hidden="false" customHeight="false" outlineLevel="0" collapsed="false">
      <c r="A853" s="0" t="s">
        <v>870</v>
      </c>
      <c r="B853" s="0" t="n">
        <v>700</v>
      </c>
      <c r="C853" s="0" t="str">
        <f aca="false">TEXT(VLOOKUP(B853,$I$2:$J$20,2,FALSE()),"0")</f>
        <v>700</v>
      </c>
      <c r="D853" s="47" t="n">
        <v>210</v>
      </c>
      <c r="E853" s="47" t="n">
        <v>10290000</v>
      </c>
      <c r="F853" s="47" t="n">
        <v>1948170</v>
      </c>
    </row>
    <row r="854" customFormat="false" ht="15" hidden="false" customHeight="false" outlineLevel="0" collapsed="false">
      <c r="A854" s="0" t="s">
        <v>870</v>
      </c>
      <c r="B854" s="0" t="n">
        <v>799</v>
      </c>
      <c r="C854" s="0" t="str">
        <f aca="false">TEXT(VLOOKUP(B854,$I$2:$J$20,2,FALSE()),"0")</f>
        <v>700</v>
      </c>
      <c r="D854" s="47" t="n">
        <v>3</v>
      </c>
      <c r="E854" s="47" t="n">
        <v>147000</v>
      </c>
      <c r="F854" s="47" t="n">
        <v>27831</v>
      </c>
    </row>
    <row r="855" customFormat="false" ht="15" hidden="false" customHeight="false" outlineLevel="0" collapsed="false">
      <c r="A855" s="0" t="s">
        <v>870</v>
      </c>
      <c r="B855" s="0" t="n">
        <v>810</v>
      </c>
      <c r="C855" s="0" t="str">
        <f aca="false">TEXT(VLOOKUP(B855,$I$2:$J$20,2,FALSE()),"0")</f>
        <v>810</v>
      </c>
      <c r="D855" s="47" t="n">
        <v>504</v>
      </c>
      <c r="E855" s="47" t="n">
        <v>24696000</v>
      </c>
      <c r="F855" s="47" t="n">
        <v>4675608</v>
      </c>
    </row>
    <row r="856" customFormat="false" ht="15" hidden="false" customHeight="false" outlineLevel="0" collapsed="false">
      <c r="A856" s="0" t="s">
        <v>386</v>
      </c>
      <c r="B856" s="0" t="n">
        <v>100</v>
      </c>
      <c r="C856" s="0" t="str">
        <f aca="false">TEXT(VLOOKUP(B856,$I$2:$J$20,2,FALSE()),"0")</f>
        <v>100</v>
      </c>
      <c r="D856" s="47" t="n">
        <v>510</v>
      </c>
      <c r="E856" s="47" t="n">
        <v>24990000</v>
      </c>
      <c r="F856" s="47" t="n">
        <v>4998000</v>
      </c>
    </row>
    <row r="857" customFormat="false" ht="15" hidden="false" customHeight="false" outlineLevel="0" collapsed="false">
      <c r="A857" s="0" t="s">
        <v>386</v>
      </c>
      <c r="B857" s="0" t="n">
        <v>200</v>
      </c>
      <c r="C857" s="0" t="str">
        <f aca="false">TEXT(VLOOKUP(B857,$I$2:$J$20,2,FALSE()),"0")</f>
        <v>200</v>
      </c>
      <c r="D857" s="47" t="n">
        <v>530</v>
      </c>
      <c r="E857" s="47" t="n">
        <v>25970000</v>
      </c>
      <c r="F857" s="47" t="n">
        <v>5194000</v>
      </c>
    </row>
    <row r="858" customFormat="false" ht="15" hidden="false" customHeight="false" outlineLevel="0" collapsed="false">
      <c r="A858" s="0" t="s">
        <v>386</v>
      </c>
      <c r="B858" s="0" t="n">
        <v>299</v>
      </c>
      <c r="C858" s="0" t="str">
        <f aca="false">TEXT(VLOOKUP(B858,$I$2:$J$20,2,FALSE()),"0")</f>
        <v>200</v>
      </c>
      <c r="D858" s="47" t="n">
        <v>5</v>
      </c>
      <c r="E858" s="47" t="n">
        <v>245000</v>
      </c>
      <c r="F858" s="47" t="n">
        <v>49000</v>
      </c>
    </row>
    <row r="859" customFormat="false" ht="15" hidden="false" customHeight="false" outlineLevel="0" collapsed="false">
      <c r="A859" s="0" t="s">
        <v>386</v>
      </c>
      <c r="B859" s="0" t="n">
        <v>300</v>
      </c>
      <c r="C859" s="0" t="str">
        <f aca="false">TEXT(VLOOKUP(B859,$I$2:$J$20,2,FALSE()),"0")</f>
        <v>300</v>
      </c>
      <c r="D859" s="47" t="n">
        <v>300</v>
      </c>
      <c r="E859" s="47" t="n">
        <v>14700000</v>
      </c>
      <c r="F859" s="47" t="n">
        <v>2940000</v>
      </c>
    </row>
    <row r="860" customFormat="false" ht="15" hidden="false" customHeight="false" outlineLevel="0" collapsed="false">
      <c r="A860" s="0" t="s">
        <v>386</v>
      </c>
      <c r="B860" s="0" t="n">
        <v>500</v>
      </c>
      <c r="C860" s="0" t="str">
        <f aca="false">TEXT(VLOOKUP(B860,$I$2:$J$20,2,FALSE()),"0")</f>
        <v>500</v>
      </c>
      <c r="D860" s="47" t="n">
        <v>40</v>
      </c>
      <c r="E860" s="47" t="n">
        <v>1960000</v>
      </c>
      <c r="F860" s="47" t="n">
        <v>392000</v>
      </c>
    </row>
    <row r="861" customFormat="false" ht="15" hidden="false" customHeight="false" outlineLevel="0" collapsed="false">
      <c r="A861" s="0" t="s">
        <v>386</v>
      </c>
      <c r="B861" s="0" t="n">
        <v>600</v>
      </c>
      <c r="C861" s="0" t="str">
        <f aca="false">TEXT(VLOOKUP(B861,$I$2:$J$20,2,FALSE()),"0")</f>
        <v>600</v>
      </c>
      <c r="D861" s="47" t="n">
        <v>65</v>
      </c>
      <c r="E861" s="47" t="n">
        <v>3185000</v>
      </c>
      <c r="F861" s="47" t="n">
        <v>637000</v>
      </c>
    </row>
    <row r="862" customFormat="false" ht="15" hidden="false" customHeight="false" outlineLevel="0" collapsed="false">
      <c r="A862" s="0" t="s">
        <v>386</v>
      </c>
      <c r="B862" s="0" t="n">
        <v>700</v>
      </c>
      <c r="C862" s="0" t="str">
        <f aca="false">TEXT(VLOOKUP(B862,$I$2:$J$20,2,FALSE()),"0")</f>
        <v>700</v>
      </c>
      <c r="D862" s="47" t="n">
        <v>90</v>
      </c>
      <c r="E862" s="47" t="n">
        <v>4410000</v>
      </c>
      <c r="F862" s="47" t="n">
        <v>882000</v>
      </c>
    </row>
    <row r="863" customFormat="false" ht="15" hidden="false" customHeight="false" outlineLevel="0" collapsed="false">
      <c r="A863" s="0" t="s">
        <v>386</v>
      </c>
      <c r="B863" s="0" t="n">
        <v>799</v>
      </c>
      <c r="C863" s="0" t="str">
        <f aca="false">TEXT(VLOOKUP(B863,$I$2:$J$20,2,FALSE()),"0")</f>
        <v>700</v>
      </c>
      <c r="D863" s="47" t="n">
        <v>3</v>
      </c>
      <c r="E863" s="47" t="n">
        <v>147000</v>
      </c>
      <c r="F863" s="47" t="n">
        <v>29400</v>
      </c>
    </row>
    <row r="864" customFormat="false" ht="15" hidden="false" customHeight="false" outlineLevel="0" collapsed="false">
      <c r="A864" s="0" t="s">
        <v>872</v>
      </c>
      <c r="B864" s="0" t="n">
        <v>100</v>
      </c>
      <c r="C864" s="0" t="str">
        <f aca="false">TEXT(VLOOKUP(B864,$I$2:$J$20,2,FALSE()),"0")</f>
        <v>100</v>
      </c>
      <c r="D864" s="47" t="n">
        <v>280</v>
      </c>
      <c r="E864" s="47" t="n">
        <v>16520000</v>
      </c>
      <c r="F864" s="47" t="n">
        <v>3990000</v>
      </c>
    </row>
    <row r="865" customFormat="false" ht="15" hidden="false" customHeight="false" outlineLevel="0" collapsed="false">
      <c r="A865" s="0" t="s">
        <v>872</v>
      </c>
      <c r="B865" s="0" t="n">
        <v>700</v>
      </c>
      <c r="C865" s="0" t="str">
        <f aca="false">TEXT(VLOOKUP(B865,$I$2:$J$20,2,FALSE()),"0")</f>
        <v>700</v>
      </c>
      <c r="D865" s="47" t="n">
        <v>40</v>
      </c>
      <c r="E865" s="47" t="n">
        <v>2360000</v>
      </c>
      <c r="F865" s="47" t="n">
        <v>570000</v>
      </c>
    </row>
    <row r="866" customFormat="false" ht="15" hidden="false" customHeight="false" outlineLevel="0" collapsed="false">
      <c r="A866" s="0" t="s">
        <v>872</v>
      </c>
      <c r="B866" s="0" t="n">
        <v>799</v>
      </c>
      <c r="C866" s="0" t="str">
        <f aca="false">TEXT(VLOOKUP(B866,$I$2:$J$20,2,FALSE()),"0")</f>
        <v>700</v>
      </c>
      <c r="D866" s="47" t="n">
        <v>2</v>
      </c>
      <c r="E866" s="47" t="n">
        <v>118000</v>
      </c>
      <c r="F866" s="47" t="n">
        <v>28500</v>
      </c>
    </row>
    <row r="867" customFormat="false" ht="15" hidden="false" customHeight="false" outlineLevel="0" collapsed="false">
      <c r="A867" s="0" t="s">
        <v>872</v>
      </c>
      <c r="B867" s="0" t="n">
        <v>800</v>
      </c>
      <c r="C867" s="0" t="str">
        <f aca="false">TEXT(VLOOKUP(B867,$I$2:$J$20,2,FALSE()),"0")</f>
        <v>800</v>
      </c>
      <c r="D867" s="47" t="n">
        <v>20</v>
      </c>
      <c r="E867" s="47" t="n">
        <v>1180000</v>
      </c>
      <c r="F867" s="47" t="n">
        <v>285000</v>
      </c>
    </row>
    <row r="868" customFormat="false" ht="15" hidden="false" customHeight="false" outlineLevel="0" collapsed="false">
      <c r="A868" s="0" t="s">
        <v>388</v>
      </c>
      <c r="B868" s="0" t="n">
        <v>100</v>
      </c>
      <c r="C868" s="0" t="str">
        <f aca="false">TEXT(VLOOKUP(B868,$I$2:$J$20,2,FALSE()),"0")</f>
        <v>100</v>
      </c>
      <c r="D868" s="47" t="n">
        <v>200</v>
      </c>
      <c r="E868" s="47" t="n">
        <v>11800000</v>
      </c>
      <c r="F868" s="47" t="n">
        <v>2759200</v>
      </c>
    </row>
    <row r="869" customFormat="false" ht="15" hidden="false" customHeight="false" outlineLevel="0" collapsed="false">
      <c r="A869" s="0" t="s">
        <v>388</v>
      </c>
      <c r="B869" s="0" t="n">
        <v>300</v>
      </c>
      <c r="C869" s="0" t="str">
        <f aca="false">TEXT(VLOOKUP(B869,$I$2:$J$20,2,FALSE()),"0")</f>
        <v>300</v>
      </c>
      <c r="D869" s="47" t="n">
        <v>330</v>
      </c>
      <c r="E869" s="47" t="n">
        <v>19470000</v>
      </c>
      <c r="F869" s="47" t="n">
        <v>4552680</v>
      </c>
    </row>
    <row r="870" customFormat="false" ht="15" hidden="false" customHeight="false" outlineLevel="0" collapsed="false">
      <c r="A870" s="0" t="s">
        <v>390</v>
      </c>
      <c r="B870" s="0" t="n">
        <v>100</v>
      </c>
      <c r="C870" s="0" t="str">
        <f aca="false">TEXT(VLOOKUP(B870,$I$2:$J$20,2,FALSE()),"0")</f>
        <v>100</v>
      </c>
      <c r="D870" s="47" t="n">
        <v>350</v>
      </c>
      <c r="E870" s="47" t="n">
        <v>17150000</v>
      </c>
      <c r="F870" s="47" t="n">
        <v>4345600</v>
      </c>
    </row>
    <row r="871" customFormat="false" ht="15" hidden="false" customHeight="false" outlineLevel="0" collapsed="false">
      <c r="A871" s="0" t="s">
        <v>390</v>
      </c>
      <c r="B871" s="0" t="n">
        <v>300</v>
      </c>
      <c r="C871" s="0" t="str">
        <f aca="false">TEXT(VLOOKUP(B871,$I$2:$J$20,2,FALSE()),"0")</f>
        <v>300</v>
      </c>
      <c r="D871" s="47" t="n">
        <v>270</v>
      </c>
      <c r="E871" s="47" t="n">
        <v>13230000</v>
      </c>
      <c r="F871" s="47" t="n">
        <v>3352320</v>
      </c>
    </row>
    <row r="872" customFormat="false" ht="15" hidden="false" customHeight="false" outlineLevel="0" collapsed="false">
      <c r="A872" s="0" t="s">
        <v>390</v>
      </c>
      <c r="B872" s="0" t="n">
        <v>600</v>
      </c>
      <c r="C872" s="0" t="str">
        <f aca="false">TEXT(VLOOKUP(B872,$I$2:$J$20,2,FALSE()),"0")</f>
        <v>600</v>
      </c>
      <c r="D872" s="47" t="n">
        <v>15</v>
      </c>
      <c r="E872" s="47" t="n">
        <v>735000</v>
      </c>
      <c r="F872" s="47" t="n">
        <v>186240</v>
      </c>
    </row>
    <row r="873" customFormat="false" ht="15" hidden="false" customHeight="false" outlineLevel="0" collapsed="false">
      <c r="A873" s="0" t="s">
        <v>392</v>
      </c>
      <c r="B873" s="0" t="n">
        <v>100</v>
      </c>
      <c r="C873" s="0" t="str">
        <f aca="false">TEXT(VLOOKUP(B873,$I$2:$J$20,2,FALSE()),"0")</f>
        <v>100</v>
      </c>
      <c r="D873" s="47" t="n">
        <v>350</v>
      </c>
      <c r="E873" s="47" t="n">
        <v>17150000</v>
      </c>
      <c r="F873" s="47" t="n">
        <v>3580150</v>
      </c>
    </row>
    <row r="874" customFormat="false" ht="15" hidden="false" customHeight="false" outlineLevel="0" collapsed="false">
      <c r="A874" s="0" t="s">
        <v>392</v>
      </c>
      <c r="B874" s="0" t="n">
        <v>300</v>
      </c>
      <c r="C874" s="0" t="str">
        <f aca="false">TEXT(VLOOKUP(B874,$I$2:$J$20,2,FALSE()),"0")</f>
        <v>300</v>
      </c>
      <c r="D874" s="47" t="n">
        <v>200</v>
      </c>
      <c r="E874" s="47" t="n">
        <v>9800000</v>
      </c>
      <c r="F874" s="47" t="n">
        <v>2045800</v>
      </c>
    </row>
    <row r="875" customFormat="false" ht="15" hidden="false" customHeight="false" outlineLevel="0" collapsed="false">
      <c r="A875" s="0" t="s">
        <v>392</v>
      </c>
      <c r="B875" s="0" t="n">
        <v>600</v>
      </c>
      <c r="C875" s="0" t="str">
        <f aca="false">TEXT(VLOOKUP(B875,$I$2:$J$20,2,FALSE()),"0")</f>
        <v>600</v>
      </c>
      <c r="D875" s="47" t="n">
        <v>30</v>
      </c>
      <c r="E875" s="47" t="n">
        <v>1470000</v>
      </c>
      <c r="F875" s="47" t="n">
        <v>306870</v>
      </c>
    </row>
    <row r="876" customFormat="false" ht="15" hidden="false" customHeight="false" outlineLevel="0" collapsed="false">
      <c r="A876" s="0" t="s">
        <v>392</v>
      </c>
      <c r="B876" s="0" t="n">
        <v>700</v>
      </c>
      <c r="C876" s="0" t="str">
        <f aca="false">TEXT(VLOOKUP(B876,$I$2:$J$20,2,FALSE()),"0")</f>
        <v>700</v>
      </c>
      <c r="D876" s="47" t="n">
        <v>100</v>
      </c>
      <c r="E876" s="47" t="n">
        <v>4900000</v>
      </c>
      <c r="F876" s="47" t="n">
        <v>1022900</v>
      </c>
    </row>
    <row r="877" customFormat="false" ht="15" hidden="false" customHeight="false" outlineLevel="0" collapsed="false">
      <c r="A877" s="0" t="s">
        <v>392</v>
      </c>
      <c r="B877" s="0" t="n">
        <v>799</v>
      </c>
      <c r="C877" s="0" t="str">
        <f aca="false">TEXT(VLOOKUP(B877,$I$2:$J$20,2,FALSE()),"0")</f>
        <v>700</v>
      </c>
      <c r="D877" s="47" t="n">
        <v>2</v>
      </c>
      <c r="E877" s="47" t="n">
        <v>98000</v>
      </c>
      <c r="F877" s="47" t="n">
        <v>20458</v>
      </c>
    </row>
    <row r="878" customFormat="false" ht="15" hidden="false" customHeight="false" outlineLevel="0" collapsed="false">
      <c r="A878" s="0" t="s">
        <v>1318</v>
      </c>
      <c r="B878" s="0" t="n">
        <v>600</v>
      </c>
      <c r="C878" s="0" t="str">
        <f aca="false">TEXT(VLOOKUP(B878,$I$2:$J$20,2,FALSE()),"0")</f>
        <v>600</v>
      </c>
      <c r="D878" s="47" t="n">
        <v>40</v>
      </c>
      <c r="E878" s="47" t="n">
        <v>2360000</v>
      </c>
      <c r="F878" s="47" t="n">
        <v>600000</v>
      </c>
    </row>
    <row r="879" customFormat="false" ht="15" hidden="false" customHeight="false" outlineLevel="0" collapsed="false">
      <c r="A879" s="0" t="s">
        <v>1318</v>
      </c>
      <c r="B879" s="0" t="n">
        <v>700</v>
      </c>
      <c r="C879" s="0" t="str">
        <f aca="false">TEXT(VLOOKUP(B879,$I$2:$J$20,2,FALSE()),"0")</f>
        <v>700</v>
      </c>
      <c r="D879" s="47" t="n">
        <v>120</v>
      </c>
      <c r="E879" s="47" t="n">
        <v>7080000</v>
      </c>
      <c r="F879" s="47" t="n">
        <v>1800000</v>
      </c>
    </row>
    <row r="880" customFormat="false" ht="15" hidden="false" customHeight="false" outlineLevel="0" collapsed="false">
      <c r="A880" s="0" t="s">
        <v>1318</v>
      </c>
      <c r="B880" s="0" t="n">
        <v>799</v>
      </c>
      <c r="C880" s="0" t="str">
        <f aca="false">TEXT(VLOOKUP(B880,$I$2:$J$20,2,FALSE()),"0")</f>
        <v>700</v>
      </c>
      <c r="D880" s="47" t="n">
        <v>2</v>
      </c>
      <c r="E880" s="47" t="n">
        <v>118000</v>
      </c>
      <c r="F880" s="47" t="n">
        <v>30000</v>
      </c>
    </row>
    <row r="881" customFormat="false" ht="15" hidden="false" customHeight="false" outlineLevel="0" collapsed="false">
      <c r="A881" s="0" t="s">
        <v>394</v>
      </c>
      <c r="B881" s="0" t="n">
        <v>300</v>
      </c>
      <c r="C881" s="0" t="str">
        <f aca="false">TEXT(VLOOKUP(B881,$I$2:$J$20,2,FALSE()),"0")</f>
        <v>300</v>
      </c>
      <c r="D881" s="47" t="n">
        <v>120</v>
      </c>
      <c r="E881" s="47" t="n">
        <v>7080000</v>
      </c>
      <c r="F881" s="47" t="n">
        <v>1809840</v>
      </c>
    </row>
    <row r="882" customFormat="false" ht="15" hidden="false" customHeight="false" outlineLevel="0" collapsed="false">
      <c r="A882" s="0" t="s">
        <v>394</v>
      </c>
      <c r="B882" s="0" t="n">
        <v>600</v>
      </c>
      <c r="C882" s="0" t="str">
        <f aca="false">TEXT(VLOOKUP(B882,$I$2:$J$20,2,FALSE()),"0")</f>
        <v>600</v>
      </c>
      <c r="D882" s="47" t="n">
        <v>15</v>
      </c>
      <c r="E882" s="47" t="n">
        <v>885000</v>
      </c>
      <c r="F882" s="47" t="n">
        <v>226230</v>
      </c>
    </row>
    <row r="883" customFormat="false" ht="15" hidden="false" customHeight="false" outlineLevel="0" collapsed="false">
      <c r="A883" s="0" t="s">
        <v>394</v>
      </c>
      <c r="B883" s="0" t="n">
        <v>700</v>
      </c>
      <c r="C883" s="0" t="str">
        <f aca="false">TEXT(VLOOKUP(B883,$I$2:$J$20,2,FALSE()),"0")</f>
        <v>700</v>
      </c>
      <c r="D883" s="47" t="n">
        <v>30</v>
      </c>
      <c r="E883" s="47" t="n">
        <v>1770000</v>
      </c>
      <c r="F883" s="47" t="n">
        <v>452460</v>
      </c>
    </row>
    <row r="884" customFormat="false" ht="15" hidden="false" customHeight="false" outlineLevel="0" collapsed="false">
      <c r="A884" s="0" t="s">
        <v>394</v>
      </c>
      <c r="B884" s="0" t="n">
        <v>799</v>
      </c>
      <c r="C884" s="0" t="str">
        <f aca="false">TEXT(VLOOKUP(B884,$I$2:$J$20,2,FALSE()),"0")</f>
        <v>700</v>
      </c>
      <c r="D884" s="47" t="n">
        <v>1</v>
      </c>
      <c r="E884" s="47" t="n">
        <v>59000</v>
      </c>
      <c r="F884" s="47" t="n">
        <v>15082</v>
      </c>
    </row>
    <row r="885" customFormat="false" ht="15" hidden="false" customHeight="false" outlineLevel="0" collapsed="false">
      <c r="A885" s="0" t="s">
        <v>394</v>
      </c>
      <c r="B885" s="0" t="n">
        <v>800</v>
      </c>
      <c r="C885" s="0" t="str">
        <f aca="false">TEXT(VLOOKUP(B885,$I$2:$J$20,2,FALSE()),"0")</f>
        <v>800</v>
      </c>
      <c r="D885" s="47" t="n">
        <v>10</v>
      </c>
      <c r="E885" s="47" t="n">
        <v>590000</v>
      </c>
      <c r="F885" s="47" t="n">
        <v>150820</v>
      </c>
    </row>
    <row r="886" customFormat="false" ht="15" hidden="false" customHeight="false" outlineLevel="0" collapsed="false">
      <c r="A886" s="0" t="s">
        <v>396</v>
      </c>
      <c r="B886" s="0" t="n">
        <v>300</v>
      </c>
      <c r="C886" s="0" t="str">
        <f aca="false">TEXT(VLOOKUP(B886,$I$2:$J$20,2,FALSE()),"0")</f>
        <v>300</v>
      </c>
      <c r="D886" s="47" t="n">
        <v>120</v>
      </c>
      <c r="E886" s="47" t="n">
        <v>17880000</v>
      </c>
      <c r="F886" s="47" t="n">
        <v>4079160</v>
      </c>
    </row>
    <row r="887" customFormat="false" ht="15" hidden="false" customHeight="false" outlineLevel="0" collapsed="false">
      <c r="A887" s="0" t="s">
        <v>396</v>
      </c>
      <c r="B887" s="0" t="n">
        <v>600</v>
      </c>
      <c r="C887" s="0" t="str">
        <f aca="false">TEXT(VLOOKUP(B887,$I$2:$J$20,2,FALSE()),"0")</f>
        <v>600</v>
      </c>
      <c r="D887" s="47" t="n">
        <v>20</v>
      </c>
      <c r="E887" s="47" t="n">
        <v>2980000</v>
      </c>
      <c r="F887" s="47" t="n">
        <v>679860</v>
      </c>
    </row>
    <row r="888" customFormat="false" ht="15" hidden="false" customHeight="false" outlineLevel="0" collapsed="false">
      <c r="A888" s="0" t="s">
        <v>396</v>
      </c>
      <c r="B888" s="0" t="n">
        <v>700</v>
      </c>
      <c r="C888" s="0" t="str">
        <f aca="false">TEXT(VLOOKUP(B888,$I$2:$J$20,2,FALSE()),"0")</f>
        <v>700</v>
      </c>
      <c r="D888" s="47" t="n">
        <v>55</v>
      </c>
      <c r="E888" s="47" t="n">
        <v>8195000</v>
      </c>
      <c r="F888" s="47" t="n">
        <v>1869615</v>
      </c>
    </row>
    <row r="889" customFormat="false" ht="15" hidden="false" customHeight="false" outlineLevel="0" collapsed="false">
      <c r="A889" s="0" t="s">
        <v>396</v>
      </c>
      <c r="B889" s="0" t="n">
        <v>799</v>
      </c>
      <c r="C889" s="0" t="str">
        <f aca="false">TEXT(VLOOKUP(B889,$I$2:$J$20,2,FALSE()),"0")</f>
        <v>700</v>
      </c>
      <c r="D889" s="47" t="n">
        <v>2</v>
      </c>
      <c r="E889" s="47" t="n">
        <v>298000</v>
      </c>
      <c r="F889" s="47" t="n">
        <v>67986</v>
      </c>
    </row>
    <row r="890" customFormat="false" ht="15" hidden="false" customHeight="false" outlineLevel="0" collapsed="false">
      <c r="A890" s="0" t="s">
        <v>396</v>
      </c>
      <c r="B890" s="0" t="n">
        <v>800</v>
      </c>
      <c r="C890" s="0" t="str">
        <f aca="false">TEXT(VLOOKUP(B890,$I$2:$J$20,2,FALSE()),"0")</f>
        <v>800</v>
      </c>
      <c r="D890" s="47" t="n">
        <v>30</v>
      </c>
      <c r="E890" s="47" t="n">
        <v>4470000</v>
      </c>
      <c r="F890" s="47" t="n">
        <v>1019790</v>
      </c>
    </row>
    <row r="891" customFormat="false" ht="15" hidden="false" customHeight="false" outlineLevel="0" collapsed="false">
      <c r="A891" s="0" t="s">
        <v>396</v>
      </c>
      <c r="B891" s="0" t="n">
        <v>810</v>
      </c>
      <c r="C891" s="0" t="str">
        <f aca="false">TEXT(VLOOKUP(B891,$I$2:$J$20,2,FALSE()),"0")</f>
        <v>810</v>
      </c>
      <c r="D891" s="47" t="n">
        <v>48</v>
      </c>
      <c r="E891" s="47" t="n">
        <v>7152000</v>
      </c>
      <c r="F891" s="47" t="n">
        <v>1631664</v>
      </c>
    </row>
    <row r="892" customFormat="false" ht="15" hidden="false" customHeight="false" outlineLevel="0" collapsed="false">
      <c r="A892" s="0" t="s">
        <v>874</v>
      </c>
      <c r="B892" s="0" t="n">
        <v>100</v>
      </c>
      <c r="C892" s="0" t="str">
        <f aca="false">TEXT(VLOOKUP(B892,$I$2:$J$20,2,FALSE()),"0")</f>
        <v>100</v>
      </c>
      <c r="D892" s="47" t="n">
        <v>200</v>
      </c>
      <c r="E892" s="47" t="n">
        <v>15800000</v>
      </c>
      <c r="F892" s="47" t="n">
        <v>3406000</v>
      </c>
    </row>
    <row r="893" customFormat="false" ht="15" hidden="false" customHeight="false" outlineLevel="0" collapsed="false">
      <c r="A893" s="0" t="s">
        <v>874</v>
      </c>
      <c r="B893" s="0" t="n">
        <v>200</v>
      </c>
      <c r="C893" s="0" t="str">
        <f aca="false">TEXT(VLOOKUP(B893,$I$2:$J$20,2,FALSE()),"0")</f>
        <v>200</v>
      </c>
      <c r="D893" s="47" t="n">
        <v>120</v>
      </c>
      <c r="E893" s="47" t="n">
        <v>9480000</v>
      </c>
      <c r="F893" s="47" t="n">
        <v>2043600</v>
      </c>
    </row>
    <row r="894" customFormat="false" ht="15" hidden="false" customHeight="false" outlineLevel="0" collapsed="false">
      <c r="A894" s="0" t="s">
        <v>874</v>
      </c>
      <c r="B894" s="0" t="n">
        <v>299</v>
      </c>
      <c r="C894" s="0" t="str">
        <f aca="false">TEXT(VLOOKUP(B894,$I$2:$J$20,2,FALSE()),"0")</f>
        <v>200</v>
      </c>
      <c r="D894" s="47" t="n">
        <v>2</v>
      </c>
      <c r="E894" s="47" t="n">
        <v>158000</v>
      </c>
      <c r="F894" s="47" t="n">
        <v>34060</v>
      </c>
    </row>
    <row r="895" customFormat="false" ht="15" hidden="false" customHeight="false" outlineLevel="0" collapsed="false">
      <c r="A895" s="0" t="s">
        <v>874</v>
      </c>
      <c r="B895" s="0" t="n">
        <v>810</v>
      </c>
      <c r="C895" s="0" t="str">
        <f aca="false">TEXT(VLOOKUP(B895,$I$2:$J$20,2,FALSE()),"0")</f>
        <v>810</v>
      </c>
      <c r="D895" s="47" t="n">
        <v>48</v>
      </c>
      <c r="E895" s="47" t="n">
        <v>3792000</v>
      </c>
      <c r="F895" s="47" t="n">
        <v>817440</v>
      </c>
    </row>
    <row r="896" customFormat="false" ht="15" hidden="false" customHeight="false" outlineLevel="0" collapsed="false">
      <c r="A896" s="0" t="s">
        <v>874</v>
      </c>
      <c r="B896" s="0" t="n">
        <v>830</v>
      </c>
      <c r="C896" s="0" t="str">
        <f aca="false">TEXT(VLOOKUP(B896,$I$2:$J$20,2,FALSE()),"0")</f>
        <v>830</v>
      </c>
      <c r="D896" s="47" t="n">
        <v>110</v>
      </c>
      <c r="E896" s="47" t="n">
        <v>8690000</v>
      </c>
      <c r="F896" s="47" t="n">
        <v>1873300</v>
      </c>
    </row>
    <row r="897" customFormat="false" ht="15" hidden="false" customHeight="false" outlineLevel="0" collapsed="false">
      <c r="A897" s="0" t="s">
        <v>398</v>
      </c>
      <c r="B897" s="0" t="n">
        <v>300</v>
      </c>
      <c r="C897" s="0" t="str">
        <f aca="false">TEXT(VLOOKUP(B897,$I$2:$J$20,2,FALSE()),"0")</f>
        <v>300</v>
      </c>
      <c r="D897" s="47" t="n">
        <v>180</v>
      </c>
      <c r="E897" s="47" t="n">
        <v>25020000</v>
      </c>
      <c r="F897" s="47" t="n">
        <v>5562000</v>
      </c>
    </row>
    <row r="898" customFormat="false" ht="15" hidden="false" customHeight="false" outlineLevel="0" collapsed="false">
      <c r="A898" s="0" t="s">
        <v>398</v>
      </c>
      <c r="B898" s="0" t="n">
        <v>500</v>
      </c>
      <c r="C898" s="0" t="str">
        <f aca="false">TEXT(VLOOKUP(B898,$I$2:$J$20,2,FALSE()),"0")</f>
        <v>500</v>
      </c>
      <c r="D898" s="47" t="n">
        <v>270</v>
      </c>
      <c r="E898" s="47" t="n">
        <v>37530000</v>
      </c>
      <c r="F898" s="47" t="n">
        <v>8343000</v>
      </c>
    </row>
    <row r="899" customFormat="false" ht="15" hidden="false" customHeight="false" outlineLevel="0" collapsed="false">
      <c r="A899" s="0" t="s">
        <v>398</v>
      </c>
      <c r="B899" s="0" t="n">
        <v>600</v>
      </c>
      <c r="C899" s="0" t="str">
        <f aca="false">TEXT(VLOOKUP(B899,$I$2:$J$20,2,FALSE()),"0")</f>
        <v>600</v>
      </c>
      <c r="D899" s="47" t="n">
        <v>55</v>
      </c>
      <c r="E899" s="47" t="n">
        <v>7645000</v>
      </c>
      <c r="F899" s="47" t="n">
        <v>1699500</v>
      </c>
    </row>
    <row r="900" customFormat="false" ht="15" hidden="false" customHeight="false" outlineLevel="0" collapsed="false">
      <c r="A900" s="0" t="s">
        <v>398</v>
      </c>
      <c r="B900" s="0" t="n">
        <v>700</v>
      </c>
      <c r="C900" s="0" t="str">
        <f aca="false">TEXT(VLOOKUP(B900,$I$2:$J$20,2,FALSE()),"0")</f>
        <v>700</v>
      </c>
      <c r="D900" s="47" t="n">
        <v>220</v>
      </c>
      <c r="E900" s="47" t="n">
        <v>30580000</v>
      </c>
      <c r="F900" s="47" t="n">
        <v>6798000</v>
      </c>
    </row>
    <row r="901" customFormat="false" ht="15" hidden="false" customHeight="false" outlineLevel="0" collapsed="false">
      <c r="A901" s="0" t="s">
        <v>398</v>
      </c>
      <c r="B901" s="0" t="n">
        <v>799</v>
      </c>
      <c r="C901" s="0" t="str">
        <f aca="false">TEXT(VLOOKUP(B901,$I$2:$J$20,2,FALSE()),"0")</f>
        <v>700</v>
      </c>
      <c r="D901" s="47" t="n">
        <v>2</v>
      </c>
      <c r="E901" s="47" t="n">
        <v>278000</v>
      </c>
      <c r="F901" s="47" t="n">
        <v>61800</v>
      </c>
    </row>
    <row r="902" customFormat="false" ht="15" hidden="false" customHeight="false" outlineLevel="0" collapsed="false">
      <c r="A902" s="0" t="s">
        <v>398</v>
      </c>
      <c r="B902" s="0" t="n">
        <v>800</v>
      </c>
      <c r="C902" s="0" t="str">
        <f aca="false">TEXT(VLOOKUP(B902,$I$2:$J$20,2,FALSE()),"0")</f>
        <v>800</v>
      </c>
      <c r="D902" s="47" t="n">
        <v>30</v>
      </c>
      <c r="E902" s="47" t="n">
        <v>4170000</v>
      </c>
      <c r="F902" s="47" t="n">
        <v>927000</v>
      </c>
    </row>
    <row r="903" customFormat="false" ht="15" hidden="false" customHeight="false" outlineLevel="0" collapsed="false">
      <c r="A903" s="0" t="s">
        <v>400</v>
      </c>
      <c r="B903" s="0" t="n">
        <v>300</v>
      </c>
      <c r="C903" s="0" t="str">
        <f aca="false">TEXT(VLOOKUP(B903,$I$2:$J$20,2,FALSE()),"0")</f>
        <v>300</v>
      </c>
      <c r="D903" s="47" t="n">
        <v>130</v>
      </c>
      <c r="E903" s="47" t="n">
        <v>21970000</v>
      </c>
      <c r="F903" s="47" t="n">
        <v>4862000</v>
      </c>
    </row>
    <row r="904" customFormat="false" ht="15" hidden="false" customHeight="false" outlineLevel="0" collapsed="false">
      <c r="A904" s="0" t="s">
        <v>400</v>
      </c>
      <c r="B904" s="0" t="n">
        <v>500</v>
      </c>
      <c r="C904" s="0" t="str">
        <f aca="false">TEXT(VLOOKUP(B904,$I$2:$J$20,2,FALSE()),"0")</f>
        <v>500</v>
      </c>
      <c r="D904" s="47" t="n">
        <v>360</v>
      </c>
      <c r="E904" s="47" t="n">
        <v>60840000</v>
      </c>
      <c r="F904" s="47" t="n">
        <v>13464000</v>
      </c>
    </row>
    <row r="905" customFormat="false" ht="15" hidden="false" customHeight="false" outlineLevel="0" collapsed="false">
      <c r="A905" s="0" t="s">
        <v>402</v>
      </c>
      <c r="B905" s="0" t="n">
        <v>300</v>
      </c>
      <c r="C905" s="0" t="str">
        <f aca="false">TEXT(VLOOKUP(B905,$I$2:$J$20,2,FALSE()),"0")</f>
        <v>300</v>
      </c>
      <c r="D905" s="47" t="n">
        <v>180</v>
      </c>
      <c r="E905" s="47" t="n">
        <v>28620000</v>
      </c>
      <c r="F905" s="47" t="n">
        <v>6408000</v>
      </c>
    </row>
    <row r="906" customFormat="false" ht="15" hidden="false" customHeight="false" outlineLevel="0" collapsed="false">
      <c r="A906" s="0" t="s">
        <v>402</v>
      </c>
      <c r="B906" s="0" t="n">
        <v>600</v>
      </c>
      <c r="C906" s="0" t="str">
        <f aca="false">TEXT(VLOOKUP(B906,$I$2:$J$20,2,FALSE()),"0")</f>
        <v>600</v>
      </c>
      <c r="D906" s="47" t="n">
        <v>40</v>
      </c>
      <c r="E906" s="47" t="n">
        <v>6360000</v>
      </c>
      <c r="F906" s="47" t="n">
        <v>1424000</v>
      </c>
    </row>
    <row r="907" customFormat="false" ht="15" hidden="false" customHeight="false" outlineLevel="0" collapsed="false">
      <c r="A907" s="0" t="s">
        <v>404</v>
      </c>
      <c r="B907" s="0" t="n">
        <v>300</v>
      </c>
      <c r="C907" s="0" t="str">
        <f aca="false">TEXT(VLOOKUP(B907,$I$2:$J$20,2,FALSE()),"0")</f>
        <v>300</v>
      </c>
      <c r="D907" s="47" t="n">
        <v>180</v>
      </c>
      <c r="E907" s="47" t="n">
        <v>30420000</v>
      </c>
      <c r="F907" s="47" t="n">
        <v>7272000</v>
      </c>
    </row>
    <row r="908" customFormat="false" ht="15" hidden="false" customHeight="false" outlineLevel="0" collapsed="false">
      <c r="A908" s="0" t="s">
        <v>404</v>
      </c>
      <c r="B908" s="0" t="n">
        <v>500</v>
      </c>
      <c r="C908" s="0" t="str">
        <f aca="false">TEXT(VLOOKUP(B908,$I$2:$J$20,2,FALSE()),"0")</f>
        <v>500</v>
      </c>
      <c r="D908" s="47" t="n">
        <v>270</v>
      </c>
      <c r="E908" s="47" t="n">
        <v>45630000</v>
      </c>
      <c r="F908" s="47" t="n">
        <v>10908000</v>
      </c>
    </row>
    <row r="909" customFormat="false" ht="15" hidden="false" customHeight="false" outlineLevel="0" collapsed="false">
      <c r="A909" s="0" t="s">
        <v>1057</v>
      </c>
      <c r="B909" s="0" t="n">
        <v>200</v>
      </c>
      <c r="C909" s="0" t="str">
        <f aca="false">TEXT(VLOOKUP(B909,$I$2:$J$20,2,FALSE()),"0")</f>
        <v>200</v>
      </c>
      <c r="D909" s="47" t="n">
        <v>140</v>
      </c>
      <c r="E909" s="47" t="n">
        <v>27860000</v>
      </c>
      <c r="F909" s="47" t="n">
        <v>8105860</v>
      </c>
    </row>
    <row r="910" customFormat="false" ht="15" hidden="false" customHeight="false" outlineLevel="0" collapsed="false">
      <c r="A910" s="0" t="s">
        <v>1057</v>
      </c>
      <c r="B910" s="0" t="n">
        <v>299</v>
      </c>
      <c r="C910" s="0" t="str">
        <f aca="false">TEXT(VLOOKUP(B910,$I$2:$J$20,2,FALSE()),"0")</f>
        <v>200</v>
      </c>
      <c r="D910" s="47" t="n">
        <v>2</v>
      </c>
      <c r="E910" s="47" t="n">
        <v>398000</v>
      </c>
      <c r="F910" s="47" t="n">
        <v>115798</v>
      </c>
    </row>
    <row r="911" customFormat="false" ht="15" hidden="false" customHeight="false" outlineLevel="0" collapsed="false">
      <c r="A911" s="0" t="s">
        <v>1057</v>
      </c>
      <c r="B911" s="0" t="n">
        <v>500</v>
      </c>
      <c r="C911" s="0" t="str">
        <f aca="false">TEXT(VLOOKUP(B911,$I$2:$J$20,2,FALSE()),"0")</f>
        <v>500</v>
      </c>
      <c r="D911" s="47" t="n">
        <v>40</v>
      </c>
      <c r="E911" s="47" t="n">
        <v>7960000</v>
      </c>
      <c r="F911" s="47" t="n">
        <v>2315960</v>
      </c>
    </row>
    <row r="912" customFormat="false" ht="15" hidden="false" customHeight="false" outlineLevel="0" collapsed="false">
      <c r="A912" s="0" t="s">
        <v>876</v>
      </c>
      <c r="B912" s="0" t="n">
        <v>100</v>
      </c>
      <c r="C912" s="0" t="str">
        <f aca="false">TEXT(VLOOKUP(B912,$I$2:$J$20,2,FALSE()),"0")</f>
        <v>100</v>
      </c>
      <c r="D912" s="47" t="n">
        <v>120</v>
      </c>
      <c r="E912" s="47" t="n">
        <v>21480000</v>
      </c>
      <c r="F912" s="47" t="n">
        <v>6108000</v>
      </c>
    </row>
    <row r="913" customFormat="false" ht="15" hidden="false" customHeight="false" outlineLevel="0" collapsed="false">
      <c r="A913" s="0" t="s">
        <v>876</v>
      </c>
      <c r="B913" s="0" t="n">
        <v>800</v>
      </c>
      <c r="C913" s="0" t="str">
        <f aca="false">TEXT(VLOOKUP(B913,$I$2:$J$20,2,FALSE()),"0")</f>
        <v>800</v>
      </c>
      <c r="D913" s="47" t="n">
        <v>40</v>
      </c>
      <c r="E913" s="47" t="n">
        <v>7160000</v>
      </c>
      <c r="F913" s="47" t="n">
        <v>2036000</v>
      </c>
    </row>
    <row r="914" customFormat="false" ht="15" hidden="false" customHeight="false" outlineLevel="0" collapsed="false">
      <c r="A914" s="0" t="s">
        <v>406</v>
      </c>
      <c r="B914" s="0" t="n">
        <v>300</v>
      </c>
      <c r="C914" s="0" t="str">
        <f aca="false">TEXT(VLOOKUP(B914,$I$2:$J$20,2,FALSE()),"0")</f>
        <v>300</v>
      </c>
      <c r="D914" s="47" t="n">
        <v>150</v>
      </c>
      <c r="E914" s="47" t="n">
        <v>23850000</v>
      </c>
      <c r="F914" s="47" t="n">
        <v>5985000</v>
      </c>
    </row>
    <row r="915" customFormat="false" ht="15" hidden="false" customHeight="false" outlineLevel="0" collapsed="false">
      <c r="A915" s="0" t="s">
        <v>1059</v>
      </c>
      <c r="B915" s="0" t="n">
        <v>200</v>
      </c>
      <c r="C915" s="0" t="str">
        <f aca="false">TEXT(VLOOKUP(B915,$I$2:$J$20,2,FALSE()),"0")</f>
        <v>200</v>
      </c>
      <c r="D915" s="47" t="n">
        <v>70</v>
      </c>
      <c r="E915" s="47" t="n">
        <v>19530000</v>
      </c>
      <c r="F915" s="47" t="n">
        <v>5121060</v>
      </c>
    </row>
    <row r="916" customFormat="false" ht="15" hidden="false" customHeight="false" outlineLevel="0" collapsed="false">
      <c r="A916" s="0" t="s">
        <v>1059</v>
      </c>
      <c r="B916" s="0" t="n">
        <v>299</v>
      </c>
      <c r="C916" s="0" t="str">
        <f aca="false">TEXT(VLOOKUP(B916,$I$2:$J$20,2,FALSE()),"0")</f>
        <v>200</v>
      </c>
      <c r="D916" s="47" t="n">
        <v>1</v>
      </c>
      <c r="E916" s="47" t="n">
        <v>279000</v>
      </c>
      <c r="F916" s="47" t="n">
        <v>73158</v>
      </c>
    </row>
    <row r="917" customFormat="false" ht="15" hidden="false" customHeight="false" outlineLevel="0" collapsed="false">
      <c r="A917" s="0" t="s">
        <v>1059</v>
      </c>
      <c r="B917" s="0" t="n">
        <v>500</v>
      </c>
      <c r="C917" s="0" t="str">
        <f aca="false">TEXT(VLOOKUP(B917,$I$2:$J$20,2,FALSE()),"0")</f>
        <v>500</v>
      </c>
      <c r="D917" s="47" t="n">
        <v>100</v>
      </c>
      <c r="E917" s="47" t="n">
        <v>27900000</v>
      </c>
      <c r="F917" s="47" t="n">
        <v>7315800</v>
      </c>
    </row>
    <row r="918" customFormat="false" ht="15" hidden="false" customHeight="false" outlineLevel="0" collapsed="false">
      <c r="A918" s="0" t="s">
        <v>1059</v>
      </c>
      <c r="B918" s="0" t="n">
        <v>700</v>
      </c>
      <c r="C918" s="0" t="str">
        <f aca="false">TEXT(VLOOKUP(B918,$I$2:$J$20,2,FALSE()),"0")</f>
        <v>700</v>
      </c>
      <c r="D918" s="47" t="n">
        <v>150</v>
      </c>
      <c r="E918" s="47" t="n">
        <v>41850000</v>
      </c>
      <c r="F918" s="47" t="n">
        <v>10973700</v>
      </c>
    </row>
    <row r="919" customFormat="false" ht="15" hidden="false" customHeight="false" outlineLevel="0" collapsed="false">
      <c r="A919" s="0" t="s">
        <v>1059</v>
      </c>
      <c r="B919" s="0" t="n">
        <v>799</v>
      </c>
      <c r="C919" s="0" t="str">
        <f aca="false">TEXT(VLOOKUP(B919,$I$2:$J$20,2,FALSE()),"0")</f>
        <v>700</v>
      </c>
      <c r="D919" s="47" t="n">
        <v>2</v>
      </c>
      <c r="E919" s="47" t="n">
        <v>558000</v>
      </c>
      <c r="F919" s="47" t="n">
        <v>146316</v>
      </c>
    </row>
    <row r="920" customFormat="false" ht="15" hidden="false" customHeight="false" outlineLevel="0" collapsed="false">
      <c r="A920" s="0" t="s">
        <v>878</v>
      </c>
      <c r="B920" s="0" t="n">
        <v>100</v>
      </c>
      <c r="C920" s="0" t="str">
        <f aca="false">TEXT(VLOOKUP(B920,$I$2:$J$20,2,FALSE()),"0")</f>
        <v>100</v>
      </c>
      <c r="D920" s="47" t="n">
        <v>140</v>
      </c>
      <c r="E920" s="47" t="n">
        <v>36260000</v>
      </c>
      <c r="F920" s="47" t="n">
        <v>9926000</v>
      </c>
    </row>
    <row r="921" customFormat="false" ht="15" hidden="false" customHeight="false" outlineLevel="0" collapsed="false">
      <c r="A921" s="0" t="s">
        <v>878</v>
      </c>
      <c r="B921" s="0" t="n">
        <v>600</v>
      </c>
      <c r="C921" s="0" t="str">
        <f aca="false">TEXT(VLOOKUP(B921,$I$2:$J$20,2,FALSE()),"0")</f>
        <v>600</v>
      </c>
      <c r="D921" s="47" t="n">
        <v>20</v>
      </c>
      <c r="E921" s="47" t="n">
        <v>5180000</v>
      </c>
      <c r="F921" s="47" t="n">
        <v>1418000</v>
      </c>
    </row>
    <row r="922" customFormat="false" ht="15" hidden="false" customHeight="false" outlineLevel="0" collapsed="false">
      <c r="A922" s="0" t="s">
        <v>1680</v>
      </c>
      <c r="B922" s="0" t="n">
        <v>500</v>
      </c>
      <c r="C922" s="0" t="str">
        <f aca="false">TEXT(VLOOKUP(B922,$I$2:$J$20,2,FALSE()),"0")</f>
        <v>500</v>
      </c>
      <c r="D922" s="47" t="n">
        <v>240</v>
      </c>
      <c r="E922" s="47" t="n">
        <v>62160000</v>
      </c>
      <c r="F922" s="47" t="n">
        <v>18576000</v>
      </c>
    </row>
    <row r="923" customFormat="false" ht="15" hidden="false" customHeight="false" outlineLevel="0" collapsed="false">
      <c r="A923" s="0" t="s">
        <v>408</v>
      </c>
      <c r="B923" s="0" t="n">
        <v>100</v>
      </c>
      <c r="C923" s="0" t="str">
        <f aca="false">TEXT(VLOOKUP(B923,$I$2:$J$20,2,FALSE()),"0")</f>
        <v>100</v>
      </c>
      <c r="D923" s="47" t="n">
        <v>90</v>
      </c>
      <c r="E923" s="47" t="n">
        <v>53100000</v>
      </c>
      <c r="F923" s="47" t="n">
        <v>18760860</v>
      </c>
    </row>
    <row r="924" customFormat="false" ht="15" hidden="false" customHeight="false" outlineLevel="0" collapsed="false">
      <c r="A924" s="0" t="s">
        <v>408</v>
      </c>
      <c r="B924" s="0" t="n">
        <v>200</v>
      </c>
      <c r="C924" s="0" t="str">
        <f aca="false">TEXT(VLOOKUP(B924,$I$2:$J$20,2,FALSE()),"0")</f>
        <v>200</v>
      </c>
      <c r="D924" s="47" t="n">
        <v>80</v>
      </c>
      <c r="E924" s="47" t="n">
        <v>47200000</v>
      </c>
      <c r="F924" s="47" t="n">
        <v>16676320</v>
      </c>
    </row>
    <row r="925" customFormat="false" ht="15" hidden="false" customHeight="false" outlineLevel="0" collapsed="false">
      <c r="A925" s="0" t="s">
        <v>408</v>
      </c>
      <c r="B925" s="0" t="n">
        <v>299</v>
      </c>
      <c r="C925" s="0" t="str">
        <f aca="false">TEXT(VLOOKUP(B925,$I$2:$J$20,2,FALSE()),"0")</f>
        <v>200</v>
      </c>
      <c r="D925" s="47" t="n">
        <v>2</v>
      </c>
      <c r="E925" s="47" t="n">
        <v>1180000</v>
      </c>
      <c r="F925" s="47" t="n">
        <v>416908</v>
      </c>
    </row>
    <row r="926" customFormat="false" ht="15" hidden="false" customHeight="false" outlineLevel="0" collapsed="false">
      <c r="A926" s="0" t="s">
        <v>408</v>
      </c>
      <c r="B926" s="0" t="n">
        <v>300</v>
      </c>
      <c r="C926" s="0" t="str">
        <f aca="false">TEXT(VLOOKUP(B926,$I$2:$J$20,2,FALSE()),"0")</f>
        <v>300</v>
      </c>
      <c r="D926" s="47" t="n">
        <v>360</v>
      </c>
      <c r="E926" s="47" t="n">
        <v>212400000</v>
      </c>
      <c r="F926" s="47" t="n">
        <v>75043440</v>
      </c>
    </row>
    <row r="927" customFormat="false" ht="15" hidden="false" customHeight="false" outlineLevel="0" collapsed="false">
      <c r="A927" s="0" t="s">
        <v>408</v>
      </c>
      <c r="B927" s="0" t="n">
        <v>600</v>
      </c>
      <c r="C927" s="0" t="str">
        <f aca="false">TEXT(VLOOKUP(B927,$I$2:$J$20,2,FALSE()),"0")</f>
        <v>600</v>
      </c>
      <c r="D927" s="47" t="n">
        <v>20</v>
      </c>
      <c r="E927" s="47" t="n">
        <v>11800000</v>
      </c>
      <c r="F927" s="47" t="n">
        <v>4169080</v>
      </c>
    </row>
    <row r="928" customFormat="false" ht="15" hidden="false" customHeight="false" outlineLevel="0" collapsed="false">
      <c r="A928" s="0" t="s">
        <v>408</v>
      </c>
      <c r="B928" s="0" t="n">
        <v>700</v>
      </c>
      <c r="C928" s="0" t="str">
        <f aca="false">TEXT(VLOOKUP(B928,$I$2:$J$20,2,FALSE()),"0")</f>
        <v>700</v>
      </c>
      <c r="D928" s="47" t="n">
        <v>120</v>
      </c>
      <c r="E928" s="47" t="n">
        <v>70800000</v>
      </c>
      <c r="F928" s="47" t="n">
        <v>25014480</v>
      </c>
    </row>
    <row r="929" customFormat="false" ht="15" hidden="false" customHeight="false" outlineLevel="0" collapsed="false">
      <c r="A929" s="0" t="s">
        <v>408</v>
      </c>
      <c r="B929" s="0" t="n">
        <v>799</v>
      </c>
      <c r="C929" s="0" t="str">
        <f aca="false">TEXT(VLOOKUP(B929,$I$2:$J$20,2,FALSE()),"0")</f>
        <v>700</v>
      </c>
      <c r="D929" s="47" t="n">
        <v>2</v>
      </c>
      <c r="E929" s="47" t="n">
        <v>1180000</v>
      </c>
      <c r="F929" s="47" t="n">
        <v>416908</v>
      </c>
    </row>
    <row r="930" customFormat="false" ht="15" hidden="false" customHeight="false" outlineLevel="0" collapsed="false">
      <c r="A930" s="0" t="s">
        <v>1061</v>
      </c>
      <c r="B930" s="0" t="n">
        <v>200</v>
      </c>
      <c r="C930" s="0" t="str">
        <f aca="false">TEXT(VLOOKUP(B930,$I$2:$J$20,2,FALSE()),"0")</f>
        <v>200</v>
      </c>
      <c r="D930" s="47" t="n">
        <v>195</v>
      </c>
      <c r="E930" s="47" t="n">
        <v>25155000</v>
      </c>
      <c r="F930" s="47" t="n">
        <v>5440110</v>
      </c>
    </row>
    <row r="931" customFormat="false" ht="15" hidden="false" customHeight="false" outlineLevel="0" collapsed="false">
      <c r="A931" s="0" t="s">
        <v>1061</v>
      </c>
      <c r="B931" s="0" t="n">
        <v>299</v>
      </c>
      <c r="C931" s="0" t="str">
        <f aca="false">TEXT(VLOOKUP(B931,$I$2:$J$20,2,FALSE()),"0")</f>
        <v>200</v>
      </c>
      <c r="D931" s="47" t="n">
        <v>2</v>
      </c>
      <c r="E931" s="47" t="n">
        <v>258000</v>
      </c>
      <c r="F931" s="47" t="n">
        <v>55796</v>
      </c>
    </row>
    <row r="932" customFormat="false" ht="15" hidden="false" customHeight="false" outlineLevel="0" collapsed="false">
      <c r="A932" s="0" t="s">
        <v>1061</v>
      </c>
      <c r="B932" s="0" t="n">
        <v>600</v>
      </c>
      <c r="C932" s="0" t="str">
        <f aca="false">TEXT(VLOOKUP(B932,$I$2:$J$20,2,FALSE()),"0")</f>
        <v>600</v>
      </c>
      <c r="D932" s="47" t="n">
        <v>30</v>
      </c>
      <c r="E932" s="47" t="n">
        <v>3870000</v>
      </c>
      <c r="F932" s="47" t="n">
        <v>836940</v>
      </c>
    </row>
    <row r="933" customFormat="false" ht="15" hidden="false" customHeight="false" outlineLevel="0" collapsed="false">
      <c r="A933" s="0" t="s">
        <v>410</v>
      </c>
      <c r="B933" s="0" t="n">
        <v>100</v>
      </c>
      <c r="C933" s="0" t="str">
        <f aca="false">TEXT(VLOOKUP(B933,$I$2:$J$20,2,FALSE()),"0")</f>
        <v>100</v>
      </c>
      <c r="D933" s="47" t="n">
        <v>90</v>
      </c>
      <c r="E933" s="47" t="n">
        <v>9810000</v>
      </c>
      <c r="F933" s="47" t="n">
        <v>2457000</v>
      </c>
    </row>
    <row r="934" customFormat="false" ht="15" hidden="false" customHeight="false" outlineLevel="0" collapsed="false">
      <c r="A934" s="0" t="s">
        <v>410</v>
      </c>
      <c r="B934" s="0" t="n">
        <v>300</v>
      </c>
      <c r="C934" s="0" t="str">
        <f aca="false">TEXT(VLOOKUP(B934,$I$2:$J$20,2,FALSE()),"0")</f>
        <v>300</v>
      </c>
      <c r="D934" s="47" t="n">
        <v>260</v>
      </c>
      <c r="E934" s="47" t="n">
        <v>28340000</v>
      </c>
      <c r="F934" s="47" t="n">
        <v>7098000</v>
      </c>
    </row>
    <row r="935" customFormat="false" ht="15" hidden="false" customHeight="false" outlineLevel="0" collapsed="false">
      <c r="A935" s="0" t="s">
        <v>410</v>
      </c>
      <c r="B935" s="0" t="n">
        <v>500</v>
      </c>
      <c r="C935" s="0" t="str">
        <f aca="false">TEXT(VLOOKUP(B935,$I$2:$J$20,2,FALSE()),"0")</f>
        <v>500</v>
      </c>
      <c r="D935" s="47" t="n">
        <v>80</v>
      </c>
      <c r="E935" s="47" t="n">
        <v>8720000</v>
      </c>
      <c r="F935" s="47" t="n">
        <v>2184000</v>
      </c>
    </row>
    <row r="936" customFormat="false" ht="15" hidden="false" customHeight="false" outlineLevel="0" collapsed="false">
      <c r="A936" s="0" t="s">
        <v>412</v>
      </c>
      <c r="B936" s="0" t="n">
        <v>100</v>
      </c>
      <c r="C936" s="0" t="str">
        <f aca="false">TEXT(VLOOKUP(B936,$I$2:$J$20,2,FALSE()),"0")</f>
        <v>100</v>
      </c>
      <c r="D936" s="47" t="n">
        <v>160</v>
      </c>
      <c r="E936" s="47" t="n">
        <v>14240000</v>
      </c>
      <c r="F936" s="47" t="n">
        <v>3552000</v>
      </c>
    </row>
    <row r="937" customFormat="false" ht="15" hidden="false" customHeight="false" outlineLevel="0" collapsed="false">
      <c r="A937" s="0" t="s">
        <v>412</v>
      </c>
      <c r="B937" s="0" t="n">
        <v>300</v>
      </c>
      <c r="C937" s="0" t="str">
        <f aca="false">TEXT(VLOOKUP(B937,$I$2:$J$20,2,FALSE()),"0")</f>
        <v>300</v>
      </c>
      <c r="D937" s="47" t="n">
        <v>150</v>
      </c>
      <c r="E937" s="47" t="n">
        <v>13350000</v>
      </c>
      <c r="F937" s="47" t="n">
        <v>3330000</v>
      </c>
    </row>
    <row r="938" customFormat="false" ht="15" hidden="false" customHeight="false" outlineLevel="0" collapsed="false">
      <c r="A938" s="0" t="s">
        <v>412</v>
      </c>
      <c r="B938" s="0" t="n">
        <v>600</v>
      </c>
      <c r="C938" s="0" t="str">
        <f aca="false">TEXT(VLOOKUP(B938,$I$2:$J$20,2,FALSE()),"0")</f>
        <v>600</v>
      </c>
      <c r="D938" s="47" t="n">
        <v>45</v>
      </c>
      <c r="E938" s="47" t="n">
        <v>4005000</v>
      </c>
      <c r="F938" s="47" t="n">
        <v>999000</v>
      </c>
    </row>
    <row r="939" customFormat="false" ht="15" hidden="false" customHeight="false" outlineLevel="0" collapsed="false">
      <c r="A939" s="0" t="s">
        <v>412</v>
      </c>
      <c r="B939" s="0" t="n">
        <v>800</v>
      </c>
      <c r="C939" s="0" t="str">
        <f aca="false">TEXT(VLOOKUP(B939,$I$2:$J$20,2,FALSE()),"0")</f>
        <v>800</v>
      </c>
      <c r="D939" s="47" t="n">
        <v>60</v>
      </c>
      <c r="E939" s="47" t="n">
        <v>5340000</v>
      </c>
      <c r="F939" s="47" t="n">
        <v>1332000</v>
      </c>
    </row>
    <row r="940" customFormat="false" ht="15" hidden="false" customHeight="false" outlineLevel="0" collapsed="false">
      <c r="A940" s="0" t="s">
        <v>880</v>
      </c>
      <c r="B940" s="0" t="n">
        <v>100</v>
      </c>
      <c r="C940" s="0" t="str">
        <f aca="false">TEXT(VLOOKUP(B940,$I$2:$J$20,2,FALSE()),"0")</f>
        <v>100</v>
      </c>
      <c r="D940" s="47" t="n">
        <v>180</v>
      </c>
      <c r="E940" s="47" t="n">
        <v>21420000</v>
      </c>
      <c r="F940" s="47" t="n">
        <v>4554000</v>
      </c>
    </row>
    <row r="941" customFormat="false" ht="15" hidden="false" customHeight="false" outlineLevel="0" collapsed="false">
      <c r="A941" s="0" t="s">
        <v>414</v>
      </c>
      <c r="B941" s="0" t="n">
        <v>100</v>
      </c>
      <c r="C941" s="0" t="str">
        <f aca="false">TEXT(VLOOKUP(B941,$I$2:$J$20,2,FALSE()),"0")</f>
        <v>100</v>
      </c>
      <c r="D941" s="47" t="n">
        <v>230</v>
      </c>
      <c r="E941" s="47" t="n">
        <v>34270000</v>
      </c>
      <c r="F941" s="47" t="n">
        <v>5704000</v>
      </c>
    </row>
    <row r="942" customFormat="false" ht="15" hidden="false" customHeight="false" outlineLevel="0" collapsed="false">
      <c r="A942" s="0" t="s">
        <v>414</v>
      </c>
      <c r="B942" s="0" t="n">
        <v>200</v>
      </c>
      <c r="C942" s="0" t="str">
        <f aca="false">TEXT(VLOOKUP(B942,$I$2:$J$20,2,FALSE()),"0")</f>
        <v>200</v>
      </c>
      <c r="D942" s="47" t="n">
        <v>400</v>
      </c>
      <c r="E942" s="47" t="n">
        <v>59600000</v>
      </c>
      <c r="F942" s="47" t="n">
        <v>9920000</v>
      </c>
    </row>
    <row r="943" customFormat="false" ht="15" hidden="false" customHeight="false" outlineLevel="0" collapsed="false">
      <c r="A943" s="0" t="s">
        <v>414</v>
      </c>
      <c r="B943" s="0" t="n">
        <v>299</v>
      </c>
      <c r="C943" s="0" t="str">
        <f aca="false">TEXT(VLOOKUP(B943,$I$2:$J$20,2,FALSE()),"0")</f>
        <v>200</v>
      </c>
      <c r="D943" s="47" t="n">
        <v>4</v>
      </c>
      <c r="E943" s="47" t="n">
        <v>596000</v>
      </c>
      <c r="F943" s="47" t="n">
        <v>99200</v>
      </c>
    </row>
    <row r="944" customFormat="false" ht="15" hidden="false" customHeight="false" outlineLevel="0" collapsed="false">
      <c r="A944" s="0" t="s">
        <v>414</v>
      </c>
      <c r="B944" s="0" t="n">
        <v>300</v>
      </c>
      <c r="C944" s="0" t="str">
        <f aca="false">TEXT(VLOOKUP(B944,$I$2:$J$20,2,FALSE()),"0")</f>
        <v>300</v>
      </c>
      <c r="D944" s="47" t="n">
        <v>430</v>
      </c>
      <c r="E944" s="47" t="n">
        <v>64070000</v>
      </c>
      <c r="F944" s="47" t="n">
        <v>10664000</v>
      </c>
    </row>
    <row r="945" customFormat="false" ht="15" hidden="false" customHeight="false" outlineLevel="0" collapsed="false">
      <c r="A945" s="0" t="s">
        <v>414</v>
      </c>
      <c r="B945" s="0" t="n">
        <v>600</v>
      </c>
      <c r="C945" s="0" t="str">
        <f aca="false">TEXT(VLOOKUP(B945,$I$2:$J$20,2,FALSE()),"0")</f>
        <v>600</v>
      </c>
      <c r="D945" s="47" t="n">
        <v>125</v>
      </c>
      <c r="E945" s="47" t="n">
        <v>18625000</v>
      </c>
      <c r="F945" s="47" t="n">
        <v>3100000</v>
      </c>
    </row>
    <row r="946" customFormat="false" ht="15" hidden="false" customHeight="false" outlineLevel="0" collapsed="false">
      <c r="A946" s="0" t="s">
        <v>414</v>
      </c>
      <c r="B946" s="0" t="n">
        <v>800</v>
      </c>
      <c r="C946" s="0" t="str">
        <f aca="false">TEXT(VLOOKUP(B946,$I$2:$J$20,2,FALSE()),"0")</f>
        <v>800</v>
      </c>
      <c r="D946" s="47" t="n">
        <v>70</v>
      </c>
      <c r="E946" s="47" t="n">
        <v>10430000</v>
      </c>
      <c r="F946" s="47" t="n">
        <v>1736000</v>
      </c>
    </row>
    <row r="947" customFormat="false" ht="15" hidden="false" customHeight="false" outlineLevel="0" collapsed="false">
      <c r="A947" s="0" t="s">
        <v>414</v>
      </c>
      <c r="B947" s="0" t="n">
        <v>830</v>
      </c>
      <c r="C947" s="0" t="str">
        <f aca="false">TEXT(VLOOKUP(B947,$I$2:$J$20,2,FALSE()),"0")</f>
        <v>830</v>
      </c>
      <c r="D947" s="47" t="n">
        <v>35</v>
      </c>
      <c r="E947" s="47" t="n">
        <v>5215000</v>
      </c>
      <c r="F947" s="47" t="n">
        <v>868000</v>
      </c>
    </row>
    <row r="948" customFormat="false" ht="15" hidden="false" customHeight="false" outlineLevel="0" collapsed="false">
      <c r="A948" s="0" t="s">
        <v>416</v>
      </c>
      <c r="B948" s="0" t="n">
        <v>100</v>
      </c>
      <c r="C948" s="0" t="str">
        <f aca="false">TEXT(VLOOKUP(B948,$I$2:$J$20,2,FALSE()),"0")</f>
        <v>100</v>
      </c>
      <c r="D948" s="47" t="n">
        <v>210</v>
      </c>
      <c r="E948" s="47" t="n">
        <v>31290000</v>
      </c>
      <c r="F948" s="47" t="n">
        <v>5733000</v>
      </c>
    </row>
    <row r="949" customFormat="false" ht="15" hidden="false" customHeight="false" outlineLevel="0" collapsed="false">
      <c r="A949" s="0" t="s">
        <v>416</v>
      </c>
      <c r="B949" s="0" t="n">
        <v>300</v>
      </c>
      <c r="C949" s="0" t="str">
        <f aca="false">TEXT(VLOOKUP(B949,$I$2:$J$20,2,FALSE()),"0")</f>
        <v>300</v>
      </c>
      <c r="D949" s="47" t="n">
        <v>430</v>
      </c>
      <c r="E949" s="47" t="n">
        <v>64070000</v>
      </c>
      <c r="F949" s="47" t="n">
        <v>11739000</v>
      </c>
    </row>
    <row r="950" customFormat="false" ht="15" hidden="false" customHeight="false" outlineLevel="0" collapsed="false">
      <c r="A950" s="0" t="s">
        <v>416</v>
      </c>
      <c r="B950" s="0" t="n">
        <v>500</v>
      </c>
      <c r="C950" s="0" t="str">
        <f aca="false">TEXT(VLOOKUP(B950,$I$2:$J$20,2,FALSE()),"0")</f>
        <v>500</v>
      </c>
      <c r="D950" s="47" t="n">
        <v>270</v>
      </c>
      <c r="E950" s="47" t="n">
        <v>40230000</v>
      </c>
      <c r="F950" s="47" t="n">
        <v>7371000</v>
      </c>
    </row>
    <row r="951" customFormat="false" ht="15" hidden="false" customHeight="false" outlineLevel="0" collapsed="false">
      <c r="A951" s="0" t="s">
        <v>416</v>
      </c>
      <c r="B951" s="0" t="n">
        <v>600</v>
      </c>
      <c r="C951" s="0" t="str">
        <f aca="false">TEXT(VLOOKUP(B951,$I$2:$J$20,2,FALSE()),"0")</f>
        <v>600</v>
      </c>
      <c r="D951" s="47" t="n">
        <v>75</v>
      </c>
      <c r="E951" s="47" t="n">
        <v>11175000</v>
      </c>
      <c r="F951" s="47" t="n">
        <v>2047500</v>
      </c>
    </row>
    <row r="952" customFormat="false" ht="15" hidden="false" customHeight="false" outlineLevel="0" collapsed="false">
      <c r="A952" s="0" t="s">
        <v>416</v>
      </c>
      <c r="B952" s="0" t="n">
        <v>810</v>
      </c>
      <c r="C952" s="0" t="str">
        <f aca="false">TEXT(VLOOKUP(B952,$I$2:$J$20,2,FALSE()),"0")</f>
        <v>810</v>
      </c>
      <c r="D952" s="47" t="n">
        <v>228</v>
      </c>
      <c r="E952" s="47" t="n">
        <v>33972000</v>
      </c>
      <c r="F952" s="47" t="n">
        <v>6224400</v>
      </c>
    </row>
    <row r="953" customFormat="false" ht="15" hidden="false" customHeight="false" outlineLevel="0" collapsed="false">
      <c r="A953" s="0" t="s">
        <v>882</v>
      </c>
      <c r="B953" s="0" t="n">
        <v>100</v>
      </c>
      <c r="C953" s="0" t="str">
        <f aca="false">TEXT(VLOOKUP(B953,$I$2:$J$20,2,FALSE()),"0")</f>
        <v>100</v>
      </c>
      <c r="D953" s="47" t="n">
        <v>230</v>
      </c>
      <c r="E953" s="47" t="n">
        <v>25070000</v>
      </c>
      <c r="F953" s="47" t="n">
        <v>5543000</v>
      </c>
    </row>
    <row r="954" customFormat="false" ht="15" hidden="false" customHeight="false" outlineLevel="0" collapsed="false">
      <c r="A954" s="0" t="s">
        <v>882</v>
      </c>
      <c r="B954" s="0" t="n">
        <v>600</v>
      </c>
      <c r="C954" s="0" t="str">
        <f aca="false">TEXT(VLOOKUP(B954,$I$2:$J$20,2,FALSE()),"0")</f>
        <v>600</v>
      </c>
      <c r="D954" s="47" t="n">
        <v>55</v>
      </c>
      <c r="E954" s="47" t="n">
        <v>5995000</v>
      </c>
      <c r="F954" s="47" t="n">
        <v>1325500</v>
      </c>
    </row>
    <row r="955" customFormat="false" ht="15" hidden="false" customHeight="false" outlineLevel="0" collapsed="false">
      <c r="A955" s="0" t="s">
        <v>418</v>
      </c>
      <c r="B955" s="0" t="n">
        <v>100</v>
      </c>
      <c r="C955" s="0" t="str">
        <f aca="false">TEXT(VLOOKUP(B955,$I$2:$J$20,2,FALSE()),"0")</f>
        <v>100</v>
      </c>
      <c r="D955" s="47" t="n">
        <v>100</v>
      </c>
      <c r="E955" s="47" t="n">
        <v>13900000</v>
      </c>
      <c r="F955" s="47" t="n">
        <v>2890000</v>
      </c>
    </row>
    <row r="956" customFormat="false" ht="15" hidden="false" customHeight="false" outlineLevel="0" collapsed="false">
      <c r="A956" s="0" t="s">
        <v>418</v>
      </c>
      <c r="B956" s="0" t="n">
        <v>300</v>
      </c>
      <c r="C956" s="0" t="str">
        <f aca="false">TEXT(VLOOKUP(B956,$I$2:$J$20,2,FALSE()),"0")</f>
        <v>300</v>
      </c>
      <c r="D956" s="47" t="n">
        <v>100</v>
      </c>
      <c r="E956" s="47" t="n">
        <v>13900000</v>
      </c>
      <c r="F956" s="47" t="n">
        <v>2890000</v>
      </c>
    </row>
    <row r="957" customFormat="false" ht="15" hidden="false" customHeight="false" outlineLevel="0" collapsed="false">
      <c r="A957" s="0" t="s">
        <v>418</v>
      </c>
      <c r="B957" s="0" t="n">
        <v>830</v>
      </c>
      <c r="C957" s="0" t="str">
        <f aca="false">TEXT(VLOOKUP(B957,$I$2:$J$20,2,FALSE()),"0")</f>
        <v>830</v>
      </c>
      <c r="D957" s="47" t="n">
        <v>45</v>
      </c>
      <c r="E957" s="47" t="n">
        <v>6255000</v>
      </c>
      <c r="F957" s="47" t="n">
        <v>1300500</v>
      </c>
    </row>
    <row r="958" customFormat="false" ht="15" hidden="false" customHeight="false" outlineLevel="0" collapsed="false">
      <c r="A958" s="0" t="s">
        <v>1063</v>
      </c>
      <c r="B958" s="0" t="n">
        <v>200</v>
      </c>
      <c r="C958" s="0" t="str">
        <f aca="false">TEXT(VLOOKUP(B958,$I$2:$J$20,2,FALSE()),"0")</f>
        <v>200</v>
      </c>
      <c r="D958" s="47" t="n">
        <v>395</v>
      </c>
      <c r="E958" s="47" t="n">
        <v>62805000</v>
      </c>
      <c r="F958" s="47" t="n">
        <v>17223580</v>
      </c>
    </row>
    <row r="959" customFormat="false" ht="15" hidden="false" customHeight="false" outlineLevel="0" collapsed="false">
      <c r="A959" s="0" t="s">
        <v>1063</v>
      </c>
      <c r="B959" s="0" t="n">
        <v>299</v>
      </c>
      <c r="C959" s="0" t="str">
        <f aca="false">TEXT(VLOOKUP(B959,$I$2:$J$20,2,FALSE()),"0")</f>
        <v>200</v>
      </c>
      <c r="D959" s="47" t="n">
        <v>2</v>
      </c>
      <c r="E959" s="47" t="n">
        <v>318000</v>
      </c>
      <c r="F959" s="47" t="n">
        <v>87208</v>
      </c>
    </row>
    <row r="960" customFormat="false" ht="15" hidden="false" customHeight="false" outlineLevel="0" collapsed="false">
      <c r="A960" s="0" t="s">
        <v>420</v>
      </c>
      <c r="B960" s="0" t="n">
        <v>100</v>
      </c>
      <c r="C960" s="0" t="str">
        <f aca="false">TEXT(VLOOKUP(B960,$I$2:$J$20,2,FALSE()),"0")</f>
        <v>100</v>
      </c>
      <c r="D960" s="47" t="n">
        <v>210</v>
      </c>
      <c r="E960" s="47" t="n">
        <v>54390000</v>
      </c>
      <c r="F960" s="47" t="n">
        <v>14427000</v>
      </c>
    </row>
    <row r="961" customFormat="false" ht="15" hidden="false" customHeight="false" outlineLevel="0" collapsed="false">
      <c r="A961" s="0" t="s">
        <v>420</v>
      </c>
      <c r="B961" s="0" t="n">
        <v>300</v>
      </c>
      <c r="C961" s="0" t="str">
        <f aca="false">TEXT(VLOOKUP(B961,$I$2:$J$20,2,FALSE()),"0")</f>
        <v>300</v>
      </c>
      <c r="D961" s="47" t="n">
        <v>70</v>
      </c>
      <c r="E961" s="47" t="n">
        <v>18130000</v>
      </c>
      <c r="F961" s="47" t="n">
        <v>4809000</v>
      </c>
    </row>
    <row r="962" customFormat="false" ht="15" hidden="false" customHeight="false" outlineLevel="0" collapsed="false">
      <c r="A962" s="0" t="s">
        <v>420</v>
      </c>
      <c r="B962" s="0" t="n">
        <v>500</v>
      </c>
      <c r="C962" s="0" t="str">
        <f aca="false">TEXT(VLOOKUP(B962,$I$2:$J$20,2,FALSE()),"0")</f>
        <v>500</v>
      </c>
      <c r="D962" s="47" t="n">
        <v>220</v>
      </c>
      <c r="E962" s="47" t="n">
        <v>56980000</v>
      </c>
      <c r="F962" s="47" t="n">
        <v>15114000</v>
      </c>
    </row>
    <row r="963" customFormat="false" ht="15" hidden="false" customHeight="false" outlineLevel="0" collapsed="false">
      <c r="A963" s="0" t="s">
        <v>420</v>
      </c>
      <c r="B963" s="0" t="n">
        <v>830</v>
      </c>
      <c r="C963" s="0" t="str">
        <f aca="false">TEXT(VLOOKUP(B963,$I$2:$J$20,2,FALSE()),"0")</f>
        <v>830</v>
      </c>
      <c r="D963" s="47" t="n">
        <v>35</v>
      </c>
      <c r="E963" s="47" t="n">
        <v>9065000</v>
      </c>
      <c r="F963" s="47" t="n">
        <v>2404500</v>
      </c>
    </row>
    <row r="964" customFormat="false" ht="15" hidden="false" customHeight="false" outlineLevel="0" collapsed="false">
      <c r="A964" s="0" t="s">
        <v>1600</v>
      </c>
      <c r="B964" s="0" t="n">
        <v>830</v>
      </c>
      <c r="C964" s="0" t="str">
        <f aca="false">TEXT(VLOOKUP(B964,$I$2:$J$20,2,FALSE()),"0")</f>
        <v>830</v>
      </c>
      <c r="D964" s="47" t="n">
        <v>30</v>
      </c>
      <c r="E964" s="47" t="n">
        <v>7470000</v>
      </c>
      <c r="F964" s="47" t="n">
        <v>1746000</v>
      </c>
    </row>
    <row r="965" customFormat="false" ht="15" hidden="false" customHeight="false" outlineLevel="0" collapsed="false">
      <c r="A965" s="0" t="s">
        <v>1320</v>
      </c>
      <c r="B965" s="0" t="n">
        <v>600</v>
      </c>
      <c r="C965" s="0" t="str">
        <f aca="false">TEXT(VLOOKUP(B965,$I$2:$J$20,2,FALSE()),"0")</f>
        <v>600</v>
      </c>
      <c r="D965" s="47" t="n">
        <v>60</v>
      </c>
      <c r="E965" s="47" t="n">
        <v>11340000</v>
      </c>
      <c r="F965" s="47" t="n">
        <v>3432000</v>
      </c>
    </row>
    <row r="966" customFormat="false" ht="15" hidden="false" customHeight="false" outlineLevel="0" collapsed="false">
      <c r="A966" s="0" t="s">
        <v>1320</v>
      </c>
      <c r="B966" s="0" t="n">
        <v>800</v>
      </c>
      <c r="C966" s="0" t="str">
        <f aca="false">TEXT(VLOOKUP(B966,$I$2:$J$20,2,FALSE()),"0")</f>
        <v>800</v>
      </c>
      <c r="D966" s="47" t="n">
        <v>90</v>
      </c>
      <c r="E966" s="47" t="n">
        <v>17010000</v>
      </c>
      <c r="F966" s="47" t="n">
        <v>5148000</v>
      </c>
    </row>
    <row r="967" customFormat="false" ht="15" hidden="false" customHeight="false" outlineLevel="0" collapsed="false">
      <c r="A967" s="0" t="s">
        <v>884</v>
      </c>
      <c r="B967" s="0" t="n">
        <v>100</v>
      </c>
      <c r="C967" s="0" t="str">
        <f aca="false">TEXT(VLOOKUP(B967,$I$2:$J$20,2,FALSE()),"0")</f>
        <v>100</v>
      </c>
      <c r="D967" s="47" t="n">
        <v>210</v>
      </c>
      <c r="E967" s="47" t="n">
        <v>50190000</v>
      </c>
      <c r="F967" s="47" t="n">
        <v>13671000</v>
      </c>
    </row>
    <row r="968" customFormat="false" ht="15" hidden="false" customHeight="false" outlineLevel="0" collapsed="false">
      <c r="A968" s="0" t="s">
        <v>884</v>
      </c>
      <c r="B968" s="0" t="n">
        <v>600</v>
      </c>
      <c r="C968" s="0" t="str">
        <f aca="false">TEXT(VLOOKUP(B968,$I$2:$J$20,2,FALSE()),"0")</f>
        <v>600</v>
      </c>
      <c r="D968" s="47" t="n">
        <v>60</v>
      </c>
      <c r="E968" s="47" t="n">
        <v>14340000</v>
      </c>
      <c r="F968" s="47" t="n">
        <v>3906000</v>
      </c>
    </row>
    <row r="969" customFormat="false" ht="15" hidden="false" customHeight="false" outlineLevel="0" collapsed="false">
      <c r="A969" s="0" t="s">
        <v>884</v>
      </c>
      <c r="B969" s="0" t="n">
        <v>700</v>
      </c>
      <c r="C969" s="0" t="str">
        <f aca="false">TEXT(VLOOKUP(B969,$I$2:$J$20,2,FALSE()),"0")</f>
        <v>700</v>
      </c>
      <c r="D969" s="47" t="n">
        <v>190</v>
      </c>
      <c r="E969" s="47" t="n">
        <v>45410000</v>
      </c>
      <c r="F969" s="47" t="n">
        <v>12369000</v>
      </c>
    </row>
    <row r="970" customFormat="false" ht="15" hidden="false" customHeight="false" outlineLevel="0" collapsed="false">
      <c r="A970" s="0" t="s">
        <v>884</v>
      </c>
      <c r="B970" s="0" t="n">
        <v>799</v>
      </c>
      <c r="C970" s="0" t="str">
        <f aca="false">TEXT(VLOOKUP(B970,$I$2:$J$20,2,FALSE()),"0")</f>
        <v>700</v>
      </c>
      <c r="D970" s="47" t="n">
        <v>2</v>
      </c>
      <c r="E970" s="47" t="n">
        <v>478000</v>
      </c>
      <c r="F970" s="47" t="n">
        <v>130200</v>
      </c>
    </row>
    <row r="971" customFormat="false" ht="15" hidden="false" customHeight="false" outlineLevel="0" collapsed="false">
      <c r="A971" s="0" t="s">
        <v>422</v>
      </c>
      <c r="B971" s="0" t="n">
        <v>100</v>
      </c>
      <c r="C971" s="0" t="str">
        <f aca="false">TEXT(VLOOKUP(B971,$I$2:$J$20,2,FALSE()),"0")</f>
        <v>100</v>
      </c>
      <c r="D971" s="47" t="n">
        <v>90</v>
      </c>
      <c r="E971" s="47" t="n">
        <v>31410000</v>
      </c>
      <c r="F971" s="47" t="n">
        <v>9513540</v>
      </c>
    </row>
    <row r="972" customFormat="false" ht="15" hidden="false" customHeight="false" outlineLevel="0" collapsed="false">
      <c r="A972" s="0" t="s">
        <v>422</v>
      </c>
      <c r="B972" s="0" t="n">
        <v>200</v>
      </c>
      <c r="C972" s="0" t="str">
        <f aca="false">TEXT(VLOOKUP(B972,$I$2:$J$20,2,FALSE()),"0")</f>
        <v>200</v>
      </c>
      <c r="D972" s="47" t="n">
        <v>125</v>
      </c>
      <c r="E972" s="47" t="n">
        <v>43625000</v>
      </c>
      <c r="F972" s="47" t="n">
        <v>13213250</v>
      </c>
    </row>
    <row r="973" customFormat="false" ht="15" hidden="false" customHeight="false" outlineLevel="0" collapsed="false">
      <c r="A973" s="0" t="s">
        <v>422</v>
      </c>
      <c r="B973" s="0" t="n">
        <v>299</v>
      </c>
      <c r="C973" s="0" t="str">
        <f aca="false">TEXT(VLOOKUP(B973,$I$2:$J$20,2,FALSE()),"0")</f>
        <v>200</v>
      </c>
      <c r="D973" s="47" t="n">
        <v>2</v>
      </c>
      <c r="E973" s="47" t="n">
        <v>698000</v>
      </c>
      <c r="F973" s="47" t="n">
        <v>211412</v>
      </c>
    </row>
    <row r="974" customFormat="false" ht="15" hidden="false" customHeight="false" outlineLevel="0" collapsed="false">
      <c r="A974" s="0" t="s">
        <v>422</v>
      </c>
      <c r="B974" s="0" t="n">
        <v>300</v>
      </c>
      <c r="C974" s="0" t="str">
        <f aca="false">TEXT(VLOOKUP(B974,$I$2:$J$20,2,FALSE()),"0")</f>
        <v>300</v>
      </c>
      <c r="D974" s="47" t="n">
        <v>395</v>
      </c>
      <c r="E974" s="47" t="n">
        <v>137855000</v>
      </c>
      <c r="F974" s="47" t="n">
        <v>41753870</v>
      </c>
    </row>
    <row r="975" customFormat="false" ht="15" hidden="false" customHeight="false" outlineLevel="0" collapsed="false">
      <c r="A975" s="0" t="s">
        <v>422</v>
      </c>
      <c r="B975" s="0" t="n">
        <v>600</v>
      </c>
      <c r="C975" s="0" t="str">
        <f aca="false">TEXT(VLOOKUP(B975,$I$2:$J$20,2,FALSE()),"0")</f>
        <v>600</v>
      </c>
      <c r="D975" s="47" t="n">
        <v>50</v>
      </c>
      <c r="E975" s="47" t="n">
        <v>17450000</v>
      </c>
      <c r="F975" s="47" t="n">
        <v>5285300</v>
      </c>
    </row>
    <row r="976" customFormat="false" ht="15" hidden="false" customHeight="false" outlineLevel="0" collapsed="false">
      <c r="A976" s="0" t="s">
        <v>422</v>
      </c>
      <c r="B976" s="0" t="n">
        <v>800</v>
      </c>
      <c r="C976" s="0" t="str">
        <f aca="false">TEXT(VLOOKUP(B976,$I$2:$J$20,2,FALSE()),"0")</f>
        <v>800</v>
      </c>
      <c r="D976" s="47" t="n">
        <v>80</v>
      </c>
      <c r="E976" s="47" t="n">
        <v>27920000</v>
      </c>
      <c r="F976" s="47" t="n">
        <v>8456480</v>
      </c>
    </row>
    <row r="977" customFormat="false" ht="15" hidden="false" customHeight="false" outlineLevel="0" collapsed="false">
      <c r="A977" s="0" t="s">
        <v>424</v>
      </c>
      <c r="B977" s="0" t="n">
        <v>100</v>
      </c>
      <c r="C977" s="0" t="str">
        <f aca="false">TEXT(VLOOKUP(B977,$I$2:$J$20,2,FALSE()),"0")</f>
        <v>100</v>
      </c>
      <c r="D977" s="47" t="n">
        <v>180</v>
      </c>
      <c r="E977" s="47" t="n">
        <v>32220000</v>
      </c>
      <c r="F977" s="47" t="n">
        <v>8704440</v>
      </c>
    </row>
    <row r="978" customFormat="false" ht="15" hidden="false" customHeight="false" outlineLevel="0" collapsed="false">
      <c r="A978" s="0" t="s">
        <v>424</v>
      </c>
      <c r="B978" s="0" t="n">
        <v>200</v>
      </c>
      <c r="C978" s="0" t="str">
        <f aca="false">TEXT(VLOOKUP(B978,$I$2:$J$20,2,FALSE()),"0")</f>
        <v>200</v>
      </c>
      <c r="D978" s="47" t="n">
        <v>265</v>
      </c>
      <c r="E978" s="47" t="n">
        <v>47435000</v>
      </c>
      <c r="F978" s="47" t="n">
        <v>12814870</v>
      </c>
    </row>
    <row r="979" customFormat="false" ht="15" hidden="false" customHeight="false" outlineLevel="0" collapsed="false">
      <c r="A979" s="0" t="s">
        <v>424</v>
      </c>
      <c r="B979" s="0" t="n">
        <v>299</v>
      </c>
      <c r="C979" s="0" t="str">
        <f aca="false">TEXT(VLOOKUP(B979,$I$2:$J$20,2,FALSE()),"0")</f>
        <v>200</v>
      </c>
      <c r="D979" s="47" t="n">
        <v>2</v>
      </c>
      <c r="E979" s="47" t="n">
        <v>358000</v>
      </c>
      <c r="F979" s="47" t="n">
        <v>96716</v>
      </c>
    </row>
    <row r="980" customFormat="false" ht="15" hidden="false" customHeight="false" outlineLevel="0" collapsed="false">
      <c r="A980" s="0" t="s">
        <v>424</v>
      </c>
      <c r="B980" s="0" t="n">
        <v>300</v>
      </c>
      <c r="C980" s="0" t="str">
        <f aca="false">TEXT(VLOOKUP(B980,$I$2:$J$20,2,FALSE()),"0")</f>
        <v>300</v>
      </c>
      <c r="D980" s="47" t="n">
        <v>100</v>
      </c>
      <c r="E980" s="47" t="n">
        <v>17900000</v>
      </c>
      <c r="F980" s="47" t="n">
        <v>4835800</v>
      </c>
    </row>
    <row r="981" customFormat="false" ht="15" hidden="false" customHeight="false" outlineLevel="0" collapsed="false">
      <c r="A981" s="0" t="s">
        <v>424</v>
      </c>
      <c r="B981" s="0" t="n">
        <v>600</v>
      </c>
      <c r="C981" s="0" t="str">
        <f aca="false">TEXT(VLOOKUP(B981,$I$2:$J$20,2,FALSE()),"0")</f>
        <v>600</v>
      </c>
      <c r="D981" s="47" t="n">
        <v>20</v>
      </c>
      <c r="E981" s="47" t="n">
        <v>3580000</v>
      </c>
      <c r="F981" s="47" t="n">
        <v>967160</v>
      </c>
    </row>
    <row r="982" customFormat="false" ht="15" hidden="false" customHeight="false" outlineLevel="0" collapsed="false">
      <c r="A982" s="0" t="s">
        <v>424</v>
      </c>
      <c r="B982" s="0" t="n">
        <v>800</v>
      </c>
      <c r="C982" s="0" t="str">
        <f aca="false">TEXT(VLOOKUP(B982,$I$2:$J$20,2,FALSE()),"0")</f>
        <v>800</v>
      </c>
      <c r="D982" s="47" t="n">
        <v>80</v>
      </c>
      <c r="E982" s="47" t="n">
        <v>14320000</v>
      </c>
      <c r="F982" s="47" t="n">
        <v>3868640</v>
      </c>
    </row>
    <row r="983" customFormat="false" ht="15" hidden="false" customHeight="false" outlineLevel="0" collapsed="false">
      <c r="A983" s="0" t="s">
        <v>426</v>
      </c>
      <c r="B983" s="0" t="n">
        <v>300</v>
      </c>
      <c r="C983" s="0" t="str">
        <f aca="false">TEXT(VLOOKUP(B983,$I$2:$J$20,2,FALSE()),"0")</f>
        <v>300</v>
      </c>
      <c r="D983" s="47" t="n">
        <v>200</v>
      </c>
      <c r="E983" s="47" t="n">
        <v>43800000</v>
      </c>
      <c r="F983" s="47" t="n">
        <v>10980000</v>
      </c>
    </row>
    <row r="984" customFormat="false" ht="15" hidden="false" customHeight="false" outlineLevel="0" collapsed="false">
      <c r="A984" s="0" t="s">
        <v>426</v>
      </c>
      <c r="B984" s="0" t="n">
        <v>700</v>
      </c>
      <c r="C984" s="0" t="str">
        <f aca="false">TEXT(VLOOKUP(B984,$I$2:$J$20,2,FALSE()),"0")</f>
        <v>700</v>
      </c>
      <c r="D984" s="47" t="n">
        <v>90</v>
      </c>
      <c r="E984" s="47" t="n">
        <v>19710000</v>
      </c>
      <c r="F984" s="47" t="n">
        <v>4941000</v>
      </c>
    </row>
    <row r="985" customFormat="false" ht="15" hidden="false" customHeight="false" outlineLevel="0" collapsed="false">
      <c r="A985" s="0" t="s">
        <v>426</v>
      </c>
      <c r="B985" s="0" t="n">
        <v>799</v>
      </c>
      <c r="C985" s="0" t="str">
        <f aca="false">TEXT(VLOOKUP(B985,$I$2:$J$20,2,FALSE()),"0")</f>
        <v>700</v>
      </c>
      <c r="D985" s="47" t="n">
        <v>1</v>
      </c>
      <c r="E985" s="47" t="n">
        <v>219000</v>
      </c>
      <c r="F985" s="47" t="n">
        <v>54900</v>
      </c>
    </row>
    <row r="986" customFormat="false" ht="15" hidden="false" customHeight="false" outlineLevel="0" collapsed="false">
      <c r="A986" s="0" t="s">
        <v>426</v>
      </c>
      <c r="B986" s="0" t="n">
        <v>800</v>
      </c>
      <c r="C986" s="0" t="str">
        <f aca="false">TEXT(VLOOKUP(B986,$I$2:$J$20,2,FALSE()),"0")</f>
        <v>800</v>
      </c>
      <c r="D986" s="47" t="n">
        <v>50</v>
      </c>
      <c r="E986" s="47" t="n">
        <v>10950000</v>
      </c>
      <c r="F986" s="47" t="n">
        <v>2745000</v>
      </c>
    </row>
    <row r="987" customFormat="false" ht="15" hidden="false" customHeight="false" outlineLevel="0" collapsed="false">
      <c r="A987" s="0" t="s">
        <v>886</v>
      </c>
      <c r="B987" s="0" t="n">
        <v>100</v>
      </c>
      <c r="C987" s="0" t="str">
        <f aca="false">TEXT(VLOOKUP(B987,$I$2:$J$20,2,FALSE()),"0")</f>
        <v>100</v>
      </c>
      <c r="D987" s="47" t="n">
        <v>90</v>
      </c>
      <c r="E987" s="47" t="n">
        <v>35910000</v>
      </c>
      <c r="F987" s="47" t="n">
        <v>8082000</v>
      </c>
    </row>
    <row r="988" customFormat="false" ht="15" hidden="false" customHeight="false" outlineLevel="0" collapsed="false">
      <c r="A988" s="0" t="s">
        <v>888</v>
      </c>
      <c r="B988" s="0" t="n">
        <v>100</v>
      </c>
      <c r="C988" s="0" t="str">
        <f aca="false">TEXT(VLOOKUP(B988,$I$2:$J$20,2,FALSE()),"0")</f>
        <v>100</v>
      </c>
      <c r="D988" s="47" t="n">
        <v>160</v>
      </c>
      <c r="E988" s="47" t="n">
        <v>25440000</v>
      </c>
      <c r="F988" s="47" t="n">
        <v>5760000</v>
      </c>
    </row>
    <row r="989" customFormat="false" ht="15" hidden="false" customHeight="false" outlineLevel="0" collapsed="false">
      <c r="A989" s="0" t="s">
        <v>888</v>
      </c>
      <c r="B989" s="0" t="n">
        <v>600</v>
      </c>
      <c r="C989" s="0" t="str">
        <f aca="false">TEXT(VLOOKUP(B989,$I$2:$J$20,2,FALSE()),"0")</f>
        <v>600</v>
      </c>
      <c r="D989" s="47" t="n">
        <v>90</v>
      </c>
      <c r="E989" s="47" t="n">
        <v>14310000</v>
      </c>
      <c r="F989" s="47" t="n">
        <v>3240000</v>
      </c>
    </row>
    <row r="990" customFormat="false" ht="15" hidden="false" customHeight="false" outlineLevel="0" collapsed="false">
      <c r="A990" s="0" t="s">
        <v>428</v>
      </c>
      <c r="B990" s="0" t="n">
        <v>100</v>
      </c>
      <c r="C990" s="0" t="str">
        <f aca="false">TEXT(VLOOKUP(B990,$I$2:$J$20,2,FALSE()),"0")</f>
        <v>100</v>
      </c>
      <c r="D990" s="47" t="n">
        <v>360</v>
      </c>
      <c r="E990" s="47" t="n">
        <v>68040000</v>
      </c>
      <c r="F990" s="47" t="n">
        <v>15120720</v>
      </c>
    </row>
    <row r="991" customFormat="false" ht="15" hidden="false" customHeight="false" outlineLevel="0" collapsed="false">
      <c r="A991" s="0" t="s">
        <v>428</v>
      </c>
      <c r="B991" s="0" t="n">
        <v>200</v>
      </c>
      <c r="C991" s="0" t="str">
        <f aca="false">TEXT(VLOOKUP(B991,$I$2:$J$20,2,FALSE()),"0")</f>
        <v>200</v>
      </c>
      <c r="D991" s="47" t="n">
        <v>520</v>
      </c>
      <c r="E991" s="47" t="n">
        <v>98280000</v>
      </c>
      <c r="F991" s="47" t="n">
        <v>21841040</v>
      </c>
    </row>
    <row r="992" customFormat="false" ht="15" hidden="false" customHeight="false" outlineLevel="0" collapsed="false">
      <c r="A992" s="0" t="s">
        <v>428</v>
      </c>
      <c r="B992" s="0" t="n">
        <v>299</v>
      </c>
      <c r="C992" s="0" t="str">
        <f aca="false">TEXT(VLOOKUP(B992,$I$2:$J$20,2,FALSE()),"0")</f>
        <v>200</v>
      </c>
      <c r="D992" s="47" t="n">
        <v>10</v>
      </c>
      <c r="E992" s="47" t="n">
        <v>1890000</v>
      </c>
      <c r="F992" s="47" t="n">
        <v>420020</v>
      </c>
    </row>
    <row r="993" customFormat="false" ht="15" hidden="false" customHeight="false" outlineLevel="0" collapsed="false">
      <c r="A993" s="0" t="s">
        <v>428</v>
      </c>
      <c r="B993" s="0" t="n">
        <v>300</v>
      </c>
      <c r="C993" s="0" t="str">
        <f aca="false">TEXT(VLOOKUP(B993,$I$2:$J$20,2,FALSE()),"0")</f>
        <v>300</v>
      </c>
      <c r="D993" s="47" t="n">
        <v>560</v>
      </c>
      <c r="E993" s="47" t="n">
        <v>105840000</v>
      </c>
      <c r="F993" s="47" t="n">
        <v>23521120</v>
      </c>
    </row>
    <row r="994" customFormat="false" ht="15" hidden="false" customHeight="false" outlineLevel="0" collapsed="false">
      <c r="A994" s="0" t="s">
        <v>428</v>
      </c>
      <c r="B994" s="0" t="n">
        <v>600</v>
      </c>
      <c r="C994" s="0" t="str">
        <f aca="false">TEXT(VLOOKUP(B994,$I$2:$J$20,2,FALSE()),"0")</f>
        <v>600</v>
      </c>
      <c r="D994" s="47" t="n">
        <v>50</v>
      </c>
      <c r="E994" s="47" t="n">
        <v>9450000</v>
      </c>
      <c r="F994" s="47" t="n">
        <v>2100100</v>
      </c>
    </row>
    <row r="995" customFormat="false" ht="15" hidden="false" customHeight="false" outlineLevel="0" collapsed="false">
      <c r="A995" s="0" t="s">
        <v>428</v>
      </c>
      <c r="B995" s="0" t="n">
        <v>700</v>
      </c>
      <c r="C995" s="0" t="str">
        <f aca="false">TEXT(VLOOKUP(B995,$I$2:$J$20,2,FALSE()),"0")</f>
        <v>700</v>
      </c>
      <c r="D995" s="47" t="n">
        <v>320</v>
      </c>
      <c r="E995" s="47" t="n">
        <v>60480000</v>
      </c>
      <c r="F995" s="47" t="n">
        <v>13440640</v>
      </c>
    </row>
    <row r="996" customFormat="false" ht="15" hidden="false" customHeight="false" outlineLevel="0" collapsed="false">
      <c r="A996" s="0" t="s">
        <v>428</v>
      </c>
      <c r="B996" s="0" t="n">
        <v>799</v>
      </c>
      <c r="C996" s="0" t="str">
        <f aca="false">TEXT(VLOOKUP(B996,$I$2:$J$20,2,FALSE()),"0")</f>
        <v>700</v>
      </c>
      <c r="D996" s="47" t="n">
        <v>3</v>
      </c>
      <c r="E996" s="47" t="n">
        <v>567000</v>
      </c>
      <c r="F996" s="47" t="n">
        <v>126006</v>
      </c>
    </row>
    <row r="997" customFormat="false" ht="15" hidden="false" customHeight="false" outlineLevel="0" collapsed="false">
      <c r="A997" s="0" t="s">
        <v>428</v>
      </c>
      <c r="B997" s="0" t="n">
        <v>810</v>
      </c>
      <c r="C997" s="0" t="str">
        <f aca="false">TEXT(VLOOKUP(B997,$I$2:$J$20,2,FALSE()),"0")</f>
        <v>810</v>
      </c>
      <c r="D997" s="47" t="n">
        <v>216</v>
      </c>
      <c r="E997" s="47" t="n">
        <v>40824000</v>
      </c>
      <c r="F997" s="47" t="n">
        <v>9072432</v>
      </c>
    </row>
    <row r="998" customFormat="false" ht="15" hidden="false" customHeight="false" outlineLevel="0" collapsed="false">
      <c r="A998" s="0" t="s">
        <v>1322</v>
      </c>
      <c r="B998" s="0" t="n">
        <v>600</v>
      </c>
      <c r="C998" s="0" t="str">
        <f aca="false">TEXT(VLOOKUP(B998,$I$2:$J$20,2,FALSE()),"0")</f>
        <v>600</v>
      </c>
      <c r="D998" s="47" t="n">
        <v>35</v>
      </c>
      <c r="E998" s="47" t="n">
        <v>5565000</v>
      </c>
      <c r="F998" s="47" t="n">
        <v>1400000</v>
      </c>
    </row>
    <row r="999" customFormat="false" ht="15" hidden="false" customHeight="false" outlineLevel="0" collapsed="false">
      <c r="A999" s="0" t="s">
        <v>430</v>
      </c>
      <c r="B999" s="0" t="n">
        <v>100</v>
      </c>
      <c r="C999" s="0" t="str">
        <f aca="false">TEXT(VLOOKUP(B999,$I$2:$J$20,2,FALSE()),"0")</f>
        <v>100</v>
      </c>
      <c r="D999" s="47" t="n">
        <v>280</v>
      </c>
      <c r="E999" s="47" t="n">
        <v>30520000</v>
      </c>
      <c r="F999" s="47" t="n">
        <v>6384000</v>
      </c>
    </row>
    <row r="1000" customFormat="false" ht="15" hidden="false" customHeight="false" outlineLevel="0" collapsed="false">
      <c r="A1000" s="0" t="s">
        <v>430</v>
      </c>
      <c r="B1000" s="0" t="n">
        <v>300</v>
      </c>
      <c r="C1000" s="0" t="str">
        <f aca="false">TEXT(VLOOKUP(B1000,$I$2:$J$20,2,FALSE()),"0")</f>
        <v>300</v>
      </c>
      <c r="D1000" s="47" t="n">
        <v>550</v>
      </c>
      <c r="E1000" s="47" t="n">
        <v>59950000</v>
      </c>
      <c r="F1000" s="47" t="n">
        <v>12540000</v>
      </c>
    </row>
    <row r="1001" customFormat="false" ht="15" hidden="false" customHeight="false" outlineLevel="0" collapsed="false">
      <c r="A1001" s="0" t="s">
        <v>430</v>
      </c>
      <c r="B1001" s="0" t="n">
        <v>800</v>
      </c>
      <c r="C1001" s="0" t="str">
        <f aca="false">TEXT(VLOOKUP(B1001,$I$2:$J$20,2,FALSE()),"0")</f>
        <v>800</v>
      </c>
      <c r="D1001" s="47" t="n">
        <v>90</v>
      </c>
      <c r="E1001" s="47" t="n">
        <v>9810000</v>
      </c>
      <c r="F1001" s="47" t="n">
        <v>2052000</v>
      </c>
    </row>
    <row r="1002" customFormat="false" ht="15" hidden="false" customHeight="false" outlineLevel="0" collapsed="false">
      <c r="A1002" s="0" t="s">
        <v>430</v>
      </c>
      <c r="B1002" s="0" t="n">
        <v>810</v>
      </c>
      <c r="C1002" s="0" t="str">
        <f aca="false">TEXT(VLOOKUP(B1002,$I$2:$J$20,2,FALSE()),"0")</f>
        <v>810</v>
      </c>
      <c r="D1002" s="47" t="n">
        <v>216</v>
      </c>
      <c r="E1002" s="47" t="n">
        <v>23544000</v>
      </c>
      <c r="F1002" s="47" t="n">
        <v>4924800</v>
      </c>
    </row>
    <row r="1003" customFormat="false" ht="15" hidden="false" customHeight="false" outlineLevel="0" collapsed="false">
      <c r="A1003" s="0" t="s">
        <v>1324</v>
      </c>
      <c r="B1003" s="0" t="n">
        <v>600</v>
      </c>
      <c r="C1003" s="0" t="str">
        <f aca="false">TEXT(VLOOKUP(B1003,$I$2:$J$20,2,FALSE()),"0")</f>
        <v>600</v>
      </c>
      <c r="D1003" s="47" t="n">
        <v>45</v>
      </c>
      <c r="E1003" s="47" t="n">
        <v>7605000</v>
      </c>
      <c r="F1003" s="47" t="n">
        <v>1822500</v>
      </c>
    </row>
    <row r="1004" customFormat="false" ht="15" hidden="false" customHeight="false" outlineLevel="0" collapsed="false">
      <c r="A1004" s="0" t="s">
        <v>432</v>
      </c>
      <c r="B1004" s="0" t="n">
        <v>100</v>
      </c>
      <c r="C1004" s="0" t="str">
        <f aca="false">TEXT(VLOOKUP(B1004,$I$2:$J$20,2,FALSE()),"0")</f>
        <v>100</v>
      </c>
      <c r="D1004" s="47" t="n">
        <v>420</v>
      </c>
      <c r="E1004" s="47" t="n">
        <v>33180000</v>
      </c>
      <c r="F1004" s="47" t="n">
        <v>7308000</v>
      </c>
    </row>
    <row r="1005" customFormat="false" ht="15" hidden="false" customHeight="false" outlineLevel="0" collapsed="false">
      <c r="A1005" s="0" t="s">
        <v>432</v>
      </c>
      <c r="B1005" s="0" t="n">
        <v>300</v>
      </c>
      <c r="C1005" s="0" t="str">
        <f aca="false">TEXT(VLOOKUP(B1005,$I$2:$J$20,2,FALSE()),"0")</f>
        <v>300</v>
      </c>
      <c r="D1005" s="47" t="n">
        <v>700</v>
      </c>
      <c r="E1005" s="47" t="n">
        <v>55300000</v>
      </c>
      <c r="F1005" s="47" t="n">
        <v>12180000</v>
      </c>
    </row>
    <row r="1006" customFormat="false" ht="15" hidden="false" customHeight="false" outlineLevel="0" collapsed="false">
      <c r="A1006" s="0" t="s">
        <v>432</v>
      </c>
      <c r="B1006" s="0" t="n">
        <v>810</v>
      </c>
      <c r="C1006" s="0" t="str">
        <f aca="false">TEXT(VLOOKUP(B1006,$I$2:$J$20,2,FALSE()),"0")</f>
        <v>810</v>
      </c>
      <c r="D1006" s="47" t="n">
        <v>216</v>
      </c>
      <c r="E1006" s="47" t="n">
        <v>17064000</v>
      </c>
      <c r="F1006" s="47" t="n">
        <v>3758400</v>
      </c>
    </row>
    <row r="1007" customFormat="false" ht="15" hidden="false" customHeight="false" outlineLevel="0" collapsed="false">
      <c r="A1007" s="0" t="s">
        <v>890</v>
      </c>
      <c r="B1007" s="0" t="n">
        <v>100</v>
      </c>
      <c r="C1007" s="0" t="str">
        <f aca="false">TEXT(VLOOKUP(B1007,$I$2:$J$20,2,FALSE()),"0")</f>
        <v>100</v>
      </c>
      <c r="D1007" s="47" t="n">
        <v>160</v>
      </c>
      <c r="E1007" s="47" t="n">
        <v>17440000</v>
      </c>
      <c r="F1007" s="47" t="n">
        <v>3184000</v>
      </c>
    </row>
    <row r="1008" customFormat="false" ht="15" hidden="false" customHeight="false" outlineLevel="0" collapsed="false">
      <c r="A1008" s="0" t="s">
        <v>890</v>
      </c>
      <c r="B1008" s="0" t="n">
        <v>700</v>
      </c>
      <c r="C1008" s="0" t="str">
        <f aca="false">TEXT(VLOOKUP(B1008,$I$2:$J$20,2,FALSE()),"0")</f>
        <v>700</v>
      </c>
      <c r="D1008" s="47" t="n">
        <v>115</v>
      </c>
      <c r="E1008" s="47" t="n">
        <v>12535000</v>
      </c>
      <c r="F1008" s="47" t="n">
        <v>2288500</v>
      </c>
    </row>
    <row r="1009" customFormat="false" ht="15" hidden="false" customHeight="false" outlineLevel="0" collapsed="false">
      <c r="A1009" s="0" t="s">
        <v>890</v>
      </c>
      <c r="B1009" s="0" t="n">
        <v>799</v>
      </c>
      <c r="C1009" s="0" t="str">
        <f aca="false">TEXT(VLOOKUP(B1009,$I$2:$J$20,2,FALSE()),"0")</f>
        <v>700</v>
      </c>
      <c r="D1009" s="47" t="n">
        <v>2</v>
      </c>
      <c r="E1009" s="47" t="n">
        <v>218000</v>
      </c>
      <c r="F1009" s="47" t="n">
        <v>39800</v>
      </c>
    </row>
    <row r="1010" customFormat="false" ht="15" hidden="false" customHeight="false" outlineLevel="0" collapsed="false">
      <c r="A1010" s="0" t="s">
        <v>434</v>
      </c>
      <c r="B1010" s="0" t="n">
        <v>100</v>
      </c>
      <c r="C1010" s="0" t="str">
        <f aca="false">TEXT(VLOOKUP(B1010,$I$2:$J$20,2,FALSE()),"0")</f>
        <v>100</v>
      </c>
      <c r="D1010" s="47" t="n">
        <v>600</v>
      </c>
      <c r="E1010" s="47" t="n">
        <v>65400000</v>
      </c>
      <c r="F1010" s="47" t="n">
        <v>15360000</v>
      </c>
    </row>
    <row r="1011" customFormat="false" ht="15" hidden="false" customHeight="false" outlineLevel="0" collapsed="false">
      <c r="A1011" s="0" t="s">
        <v>434</v>
      </c>
      <c r="B1011" s="0" t="n">
        <v>300</v>
      </c>
      <c r="C1011" s="0" t="str">
        <f aca="false">TEXT(VLOOKUP(B1011,$I$2:$J$20,2,FALSE()),"0")</f>
        <v>300</v>
      </c>
      <c r="D1011" s="47" t="n">
        <v>580</v>
      </c>
      <c r="E1011" s="47" t="n">
        <v>63220000</v>
      </c>
      <c r="F1011" s="47" t="n">
        <v>14848000</v>
      </c>
    </row>
    <row r="1012" customFormat="false" ht="15" hidden="false" customHeight="false" outlineLevel="0" collapsed="false">
      <c r="A1012" s="0" t="s">
        <v>434</v>
      </c>
      <c r="B1012" s="0" t="n">
        <v>500</v>
      </c>
      <c r="C1012" s="0" t="str">
        <f aca="false">TEXT(VLOOKUP(B1012,$I$2:$J$20,2,FALSE()),"0")</f>
        <v>500</v>
      </c>
      <c r="D1012" s="47" t="n">
        <v>230</v>
      </c>
      <c r="E1012" s="47" t="n">
        <v>25070000</v>
      </c>
      <c r="F1012" s="47" t="n">
        <v>5888000</v>
      </c>
    </row>
    <row r="1013" customFormat="false" ht="15" hidden="false" customHeight="false" outlineLevel="0" collapsed="false">
      <c r="A1013" s="0" t="s">
        <v>434</v>
      </c>
      <c r="B1013" s="0" t="n">
        <v>600</v>
      </c>
      <c r="C1013" s="0" t="str">
        <f aca="false">TEXT(VLOOKUP(B1013,$I$2:$J$20,2,FALSE()),"0")</f>
        <v>600</v>
      </c>
      <c r="D1013" s="47" t="n">
        <v>130</v>
      </c>
      <c r="E1013" s="47" t="n">
        <v>14170000</v>
      </c>
      <c r="F1013" s="47" t="n">
        <v>3328000</v>
      </c>
    </row>
    <row r="1014" customFormat="false" ht="15" hidden="false" customHeight="false" outlineLevel="0" collapsed="false">
      <c r="A1014" s="0" t="s">
        <v>436</v>
      </c>
      <c r="B1014" s="0" t="n">
        <v>100</v>
      </c>
      <c r="C1014" s="0" t="str">
        <f aca="false">TEXT(VLOOKUP(B1014,$I$2:$J$20,2,FALSE()),"0")</f>
        <v>100</v>
      </c>
      <c r="D1014" s="47" t="n">
        <v>200</v>
      </c>
      <c r="E1014" s="47" t="n">
        <v>11800000</v>
      </c>
      <c r="F1014" s="47" t="n">
        <v>2000000</v>
      </c>
    </row>
    <row r="1015" customFormat="false" ht="15" hidden="false" customHeight="false" outlineLevel="0" collapsed="false">
      <c r="A1015" s="0" t="s">
        <v>436</v>
      </c>
      <c r="B1015" s="0" t="n">
        <v>300</v>
      </c>
      <c r="C1015" s="0" t="str">
        <f aca="false">TEXT(VLOOKUP(B1015,$I$2:$J$20,2,FALSE()),"0")</f>
        <v>300</v>
      </c>
      <c r="D1015" s="47" t="n">
        <v>450</v>
      </c>
      <c r="E1015" s="47" t="n">
        <v>26550000</v>
      </c>
      <c r="F1015" s="47" t="n">
        <v>4500000</v>
      </c>
    </row>
    <row r="1016" customFormat="false" ht="15" hidden="false" customHeight="false" outlineLevel="0" collapsed="false">
      <c r="A1016" s="0" t="s">
        <v>436</v>
      </c>
      <c r="B1016" s="0" t="n">
        <v>600</v>
      </c>
      <c r="C1016" s="0" t="str">
        <f aca="false">TEXT(VLOOKUP(B1016,$I$2:$J$20,2,FALSE()),"0")</f>
        <v>600</v>
      </c>
      <c r="D1016" s="47" t="n">
        <v>35</v>
      </c>
      <c r="E1016" s="47" t="n">
        <v>2065000</v>
      </c>
      <c r="F1016" s="47" t="n">
        <v>350000</v>
      </c>
    </row>
    <row r="1017" customFormat="false" ht="15" hidden="false" customHeight="false" outlineLevel="0" collapsed="false">
      <c r="A1017" s="0" t="s">
        <v>436</v>
      </c>
      <c r="B1017" s="0" t="n">
        <v>800</v>
      </c>
      <c r="C1017" s="0" t="str">
        <f aca="false">TEXT(VLOOKUP(B1017,$I$2:$J$20,2,FALSE()),"0")</f>
        <v>800</v>
      </c>
      <c r="D1017" s="47" t="n">
        <v>105</v>
      </c>
      <c r="E1017" s="47" t="n">
        <v>6195000</v>
      </c>
      <c r="F1017" s="47" t="n">
        <v>1050000</v>
      </c>
    </row>
    <row r="1018" customFormat="false" ht="15" hidden="false" customHeight="false" outlineLevel="0" collapsed="false">
      <c r="A1018" s="0" t="s">
        <v>438</v>
      </c>
      <c r="B1018" s="0" t="n">
        <v>100</v>
      </c>
      <c r="C1018" s="0" t="str">
        <f aca="false">TEXT(VLOOKUP(B1018,$I$2:$J$20,2,FALSE()),"0")</f>
        <v>100</v>
      </c>
      <c r="D1018" s="47" t="n">
        <v>200</v>
      </c>
      <c r="E1018" s="47" t="n">
        <v>15800000</v>
      </c>
      <c r="F1018" s="47" t="n">
        <v>3700000</v>
      </c>
    </row>
    <row r="1019" customFormat="false" ht="15" hidden="false" customHeight="false" outlineLevel="0" collapsed="false">
      <c r="A1019" s="0" t="s">
        <v>438</v>
      </c>
      <c r="B1019" s="0" t="n">
        <v>300</v>
      </c>
      <c r="C1019" s="0" t="str">
        <f aca="false">TEXT(VLOOKUP(B1019,$I$2:$J$20,2,FALSE()),"0")</f>
        <v>300</v>
      </c>
      <c r="D1019" s="47" t="n">
        <v>550</v>
      </c>
      <c r="E1019" s="47" t="n">
        <v>43450000</v>
      </c>
      <c r="F1019" s="47" t="n">
        <v>10175000</v>
      </c>
    </row>
    <row r="1020" customFormat="false" ht="15" hidden="false" customHeight="false" outlineLevel="0" collapsed="false">
      <c r="A1020" s="0" t="s">
        <v>438</v>
      </c>
      <c r="B1020" s="0" t="n">
        <v>600</v>
      </c>
      <c r="C1020" s="0" t="str">
        <f aca="false">TEXT(VLOOKUP(B1020,$I$2:$J$20,2,FALSE()),"0")</f>
        <v>600</v>
      </c>
      <c r="D1020" s="47" t="n">
        <v>75</v>
      </c>
      <c r="E1020" s="47" t="n">
        <v>5925000</v>
      </c>
      <c r="F1020" s="47" t="n">
        <v>1387500</v>
      </c>
    </row>
    <row r="1021" customFormat="false" ht="15" hidden="false" customHeight="false" outlineLevel="0" collapsed="false">
      <c r="A1021" s="0" t="s">
        <v>440</v>
      </c>
      <c r="B1021" s="0" t="n">
        <v>100</v>
      </c>
      <c r="C1021" s="0" t="str">
        <f aca="false">TEXT(VLOOKUP(B1021,$I$2:$J$20,2,FALSE()),"0")</f>
        <v>100</v>
      </c>
      <c r="D1021" s="47" t="n">
        <v>400</v>
      </c>
      <c r="E1021" s="47" t="n">
        <v>27600000</v>
      </c>
      <c r="F1021" s="47" t="n">
        <v>5120400</v>
      </c>
    </row>
    <row r="1022" customFormat="false" ht="15" hidden="false" customHeight="false" outlineLevel="0" collapsed="false">
      <c r="A1022" s="0" t="s">
        <v>440</v>
      </c>
      <c r="B1022" s="0" t="n">
        <v>200</v>
      </c>
      <c r="C1022" s="0" t="str">
        <f aca="false">TEXT(VLOOKUP(B1022,$I$2:$J$20,2,FALSE()),"0")</f>
        <v>200</v>
      </c>
      <c r="D1022" s="47" t="n">
        <v>420</v>
      </c>
      <c r="E1022" s="47" t="n">
        <v>28980000</v>
      </c>
      <c r="F1022" s="47" t="n">
        <v>5376420</v>
      </c>
    </row>
    <row r="1023" customFormat="false" ht="15" hidden="false" customHeight="false" outlineLevel="0" collapsed="false">
      <c r="A1023" s="0" t="s">
        <v>440</v>
      </c>
      <c r="B1023" s="0" t="n">
        <v>299</v>
      </c>
      <c r="C1023" s="0" t="str">
        <f aca="false">TEXT(VLOOKUP(B1023,$I$2:$J$20,2,FALSE()),"0")</f>
        <v>200</v>
      </c>
      <c r="D1023" s="47" t="n">
        <v>3</v>
      </c>
      <c r="E1023" s="47" t="n">
        <v>207000</v>
      </c>
      <c r="F1023" s="47" t="n">
        <v>38403</v>
      </c>
    </row>
    <row r="1024" customFormat="false" ht="15" hidden="false" customHeight="false" outlineLevel="0" collapsed="false">
      <c r="A1024" s="0" t="s">
        <v>440</v>
      </c>
      <c r="B1024" s="0" t="n">
        <v>300</v>
      </c>
      <c r="C1024" s="0" t="str">
        <f aca="false">TEXT(VLOOKUP(B1024,$I$2:$J$20,2,FALSE()),"0")</f>
        <v>300</v>
      </c>
      <c r="D1024" s="47" t="n">
        <v>390</v>
      </c>
      <c r="E1024" s="47" t="n">
        <v>26910000</v>
      </c>
      <c r="F1024" s="47" t="n">
        <v>4992390</v>
      </c>
    </row>
    <row r="1025" customFormat="false" ht="15" hidden="false" customHeight="false" outlineLevel="0" collapsed="false">
      <c r="A1025" s="0" t="s">
        <v>440</v>
      </c>
      <c r="B1025" s="0" t="n">
        <v>500</v>
      </c>
      <c r="C1025" s="0" t="str">
        <f aca="false">TEXT(VLOOKUP(B1025,$I$2:$J$20,2,FALSE()),"0")</f>
        <v>500</v>
      </c>
      <c r="D1025" s="47" t="n">
        <v>750</v>
      </c>
      <c r="E1025" s="47" t="n">
        <v>51750000</v>
      </c>
      <c r="F1025" s="47" t="n">
        <v>9600750</v>
      </c>
    </row>
    <row r="1026" customFormat="false" ht="15" hidden="false" customHeight="false" outlineLevel="0" collapsed="false">
      <c r="A1026" s="0" t="s">
        <v>440</v>
      </c>
      <c r="B1026" s="0" t="n">
        <v>600</v>
      </c>
      <c r="C1026" s="0" t="str">
        <f aca="false">TEXT(VLOOKUP(B1026,$I$2:$J$20,2,FALSE()),"0")</f>
        <v>600</v>
      </c>
      <c r="D1026" s="47" t="n">
        <v>285</v>
      </c>
      <c r="E1026" s="47" t="n">
        <v>19665000</v>
      </c>
      <c r="F1026" s="47" t="n">
        <v>3648285</v>
      </c>
    </row>
    <row r="1027" customFormat="false" ht="15" hidden="false" customHeight="false" outlineLevel="0" collapsed="false">
      <c r="A1027" s="0" t="s">
        <v>440</v>
      </c>
      <c r="B1027" s="0" t="n">
        <v>700</v>
      </c>
      <c r="C1027" s="0" t="str">
        <f aca="false">TEXT(VLOOKUP(B1027,$I$2:$J$20,2,FALSE()),"0")</f>
        <v>700</v>
      </c>
      <c r="D1027" s="47" t="n">
        <v>220</v>
      </c>
      <c r="E1027" s="47" t="n">
        <v>15180000</v>
      </c>
      <c r="F1027" s="47" t="n">
        <v>2816220</v>
      </c>
    </row>
    <row r="1028" customFormat="false" ht="15" hidden="false" customHeight="false" outlineLevel="0" collapsed="false">
      <c r="A1028" s="0" t="s">
        <v>440</v>
      </c>
      <c r="B1028" s="0" t="n">
        <v>799</v>
      </c>
      <c r="C1028" s="0" t="str">
        <f aca="false">TEXT(VLOOKUP(B1028,$I$2:$J$20,2,FALSE()),"0")</f>
        <v>700</v>
      </c>
      <c r="D1028" s="47" t="n">
        <v>2</v>
      </c>
      <c r="E1028" s="47" t="n">
        <v>138000</v>
      </c>
      <c r="F1028" s="47" t="n">
        <v>25602</v>
      </c>
    </row>
    <row r="1029" customFormat="false" ht="15" hidden="false" customHeight="false" outlineLevel="0" collapsed="false">
      <c r="A1029" s="0" t="s">
        <v>440</v>
      </c>
      <c r="B1029" s="0" t="n">
        <v>800</v>
      </c>
      <c r="C1029" s="0" t="str">
        <f aca="false">TEXT(VLOOKUP(B1029,$I$2:$J$20,2,FALSE()),"0")</f>
        <v>800</v>
      </c>
      <c r="D1029" s="47" t="n">
        <v>80</v>
      </c>
      <c r="E1029" s="47" t="n">
        <v>5520000</v>
      </c>
      <c r="F1029" s="47" t="n">
        <v>1024080</v>
      </c>
    </row>
    <row r="1030" customFormat="false" ht="15" hidden="false" customHeight="false" outlineLevel="0" collapsed="false">
      <c r="A1030" s="0" t="s">
        <v>442</v>
      </c>
      <c r="B1030" s="0" t="n">
        <v>100</v>
      </c>
      <c r="C1030" s="0" t="str">
        <f aca="false">TEXT(VLOOKUP(B1030,$I$2:$J$20,2,FALSE()),"0")</f>
        <v>100</v>
      </c>
      <c r="D1030" s="47" t="n">
        <v>200</v>
      </c>
      <c r="E1030" s="47" t="n">
        <v>15800000</v>
      </c>
      <c r="F1030" s="47" t="n">
        <v>2840000</v>
      </c>
    </row>
    <row r="1031" customFormat="false" ht="15" hidden="false" customHeight="false" outlineLevel="0" collapsed="false">
      <c r="A1031" s="0" t="s">
        <v>442</v>
      </c>
      <c r="B1031" s="0" t="n">
        <v>300</v>
      </c>
      <c r="C1031" s="0" t="str">
        <f aca="false">TEXT(VLOOKUP(B1031,$I$2:$J$20,2,FALSE()),"0")</f>
        <v>300</v>
      </c>
      <c r="D1031" s="47" t="n">
        <v>120</v>
      </c>
      <c r="E1031" s="47" t="n">
        <v>9480000</v>
      </c>
      <c r="F1031" s="47" t="n">
        <v>1704000</v>
      </c>
    </row>
    <row r="1032" customFormat="false" ht="15" hidden="false" customHeight="false" outlineLevel="0" collapsed="false">
      <c r="A1032" s="0" t="s">
        <v>442</v>
      </c>
      <c r="B1032" s="0" t="n">
        <v>500</v>
      </c>
      <c r="C1032" s="0" t="str">
        <f aca="false">TEXT(VLOOKUP(B1032,$I$2:$J$20,2,FALSE()),"0")</f>
        <v>500</v>
      </c>
      <c r="D1032" s="47" t="n">
        <v>375</v>
      </c>
      <c r="E1032" s="47" t="n">
        <v>29625000</v>
      </c>
      <c r="F1032" s="47" t="n">
        <v>5325000</v>
      </c>
    </row>
    <row r="1033" customFormat="false" ht="15" hidden="false" customHeight="false" outlineLevel="0" collapsed="false">
      <c r="A1033" s="0" t="s">
        <v>442</v>
      </c>
      <c r="B1033" s="0" t="n">
        <v>600</v>
      </c>
      <c r="C1033" s="0" t="str">
        <f aca="false">TEXT(VLOOKUP(B1033,$I$2:$J$20,2,FALSE()),"0")</f>
        <v>600</v>
      </c>
      <c r="D1033" s="47" t="n">
        <v>120</v>
      </c>
      <c r="E1033" s="47" t="n">
        <v>9480000</v>
      </c>
      <c r="F1033" s="47" t="n">
        <v>1704000</v>
      </c>
    </row>
    <row r="1034" customFormat="false" ht="15" hidden="false" customHeight="false" outlineLevel="0" collapsed="false">
      <c r="A1034" s="0" t="s">
        <v>442</v>
      </c>
      <c r="B1034" s="0" t="n">
        <v>810</v>
      </c>
      <c r="C1034" s="0" t="str">
        <f aca="false">TEXT(VLOOKUP(B1034,$I$2:$J$20,2,FALSE()),"0")</f>
        <v>810</v>
      </c>
      <c r="D1034" s="47" t="n">
        <v>216</v>
      </c>
      <c r="E1034" s="47" t="n">
        <v>17064000</v>
      </c>
      <c r="F1034" s="47" t="n">
        <v>3067200</v>
      </c>
    </row>
    <row r="1035" customFormat="false" ht="15" hidden="false" customHeight="false" outlineLevel="0" collapsed="false">
      <c r="A1035" s="0" t="s">
        <v>442</v>
      </c>
      <c r="B1035" s="0" t="n">
        <v>830</v>
      </c>
      <c r="C1035" s="0" t="str">
        <f aca="false">TEXT(VLOOKUP(B1035,$I$2:$J$20,2,FALSE()),"0")</f>
        <v>830</v>
      </c>
      <c r="D1035" s="47" t="n">
        <v>175</v>
      </c>
      <c r="E1035" s="47" t="n">
        <v>13825000</v>
      </c>
      <c r="F1035" s="47" t="n">
        <v>2485000</v>
      </c>
    </row>
    <row r="1036" customFormat="false" ht="15" hidden="false" customHeight="false" outlineLevel="0" collapsed="false">
      <c r="A1036" s="0" t="s">
        <v>444</v>
      </c>
      <c r="B1036" s="0" t="n">
        <v>300</v>
      </c>
      <c r="C1036" s="0" t="str">
        <f aca="false">TEXT(VLOOKUP(B1036,$I$2:$J$20,2,FALSE()),"0")</f>
        <v>300</v>
      </c>
      <c r="D1036" s="47" t="n">
        <v>300</v>
      </c>
      <c r="E1036" s="47" t="n">
        <v>29700000</v>
      </c>
      <c r="F1036" s="47" t="n">
        <v>6600000</v>
      </c>
    </row>
    <row r="1037" customFormat="false" ht="15" hidden="false" customHeight="false" outlineLevel="0" collapsed="false">
      <c r="A1037" s="0" t="s">
        <v>1681</v>
      </c>
      <c r="B1037" s="0" t="n">
        <v>500</v>
      </c>
      <c r="C1037" s="0" t="str">
        <f aca="false">TEXT(VLOOKUP(B1037,$I$2:$J$20,2,FALSE()),"0")</f>
        <v>500</v>
      </c>
      <c r="D1037" s="47" t="n">
        <v>290</v>
      </c>
      <c r="E1037" s="47" t="n">
        <v>20010000</v>
      </c>
      <c r="F1037" s="47" t="n">
        <v>3973000</v>
      </c>
    </row>
    <row r="1038" customFormat="false" ht="15" hidden="false" customHeight="false" outlineLevel="0" collapsed="false">
      <c r="A1038" s="0" t="s">
        <v>446</v>
      </c>
      <c r="B1038" s="0" t="n">
        <v>100</v>
      </c>
      <c r="C1038" s="0" t="str">
        <f aca="false">TEXT(VLOOKUP(B1038,$I$2:$J$20,2,FALSE()),"0")</f>
        <v>100</v>
      </c>
      <c r="D1038" s="47" t="n">
        <v>200</v>
      </c>
      <c r="E1038" s="47" t="n">
        <v>13800000</v>
      </c>
      <c r="F1038" s="47" t="n">
        <v>2959800</v>
      </c>
    </row>
    <row r="1039" customFormat="false" ht="15" hidden="false" customHeight="false" outlineLevel="0" collapsed="false">
      <c r="A1039" s="0" t="s">
        <v>446</v>
      </c>
      <c r="B1039" s="0" t="n">
        <v>200</v>
      </c>
      <c r="C1039" s="0" t="str">
        <f aca="false">TEXT(VLOOKUP(B1039,$I$2:$J$20,2,FALSE()),"0")</f>
        <v>200</v>
      </c>
      <c r="D1039" s="47" t="n">
        <v>220</v>
      </c>
      <c r="E1039" s="47" t="n">
        <v>15180000</v>
      </c>
      <c r="F1039" s="47" t="n">
        <v>3255780</v>
      </c>
    </row>
    <row r="1040" customFormat="false" ht="15" hidden="false" customHeight="false" outlineLevel="0" collapsed="false">
      <c r="A1040" s="0" t="s">
        <v>446</v>
      </c>
      <c r="B1040" s="0" t="n">
        <v>299</v>
      </c>
      <c r="C1040" s="0" t="str">
        <f aca="false">TEXT(VLOOKUP(B1040,$I$2:$J$20,2,FALSE()),"0")</f>
        <v>200</v>
      </c>
      <c r="D1040" s="47" t="n">
        <v>2</v>
      </c>
      <c r="E1040" s="47" t="n">
        <v>138000</v>
      </c>
      <c r="F1040" s="47" t="n">
        <v>29598</v>
      </c>
    </row>
    <row r="1041" customFormat="false" ht="15" hidden="false" customHeight="false" outlineLevel="0" collapsed="false">
      <c r="A1041" s="0" t="s">
        <v>446</v>
      </c>
      <c r="B1041" s="0" t="n">
        <v>300</v>
      </c>
      <c r="C1041" s="0" t="str">
        <f aca="false">TEXT(VLOOKUP(B1041,$I$2:$J$20,2,FALSE()),"0")</f>
        <v>300</v>
      </c>
      <c r="D1041" s="47" t="n">
        <v>100</v>
      </c>
      <c r="E1041" s="47" t="n">
        <v>6900000</v>
      </c>
      <c r="F1041" s="47" t="n">
        <v>1479900</v>
      </c>
    </row>
    <row r="1042" customFormat="false" ht="15" hidden="false" customHeight="false" outlineLevel="0" collapsed="false">
      <c r="A1042" s="0" t="s">
        <v>446</v>
      </c>
      <c r="B1042" s="0" t="n">
        <v>600</v>
      </c>
      <c r="C1042" s="0" t="str">
        <f aca="false">TEXT(VLOOKUP(B1042,$I$2:$J$20,2,FALSE()),"0")</f>
        <v>600</v>
      </c>
      <c r="D1042" s="47" t="n">
        <v>180</v>
      </c>
      <c r="E1042" s="47" t="n">
        <v>12420000</v>
      </c>
      <c r="F1042" s="47" t="n">
        <v>2663820</v>
      </c>
    </row>
    <row r="1043" customFormat="false" ht="15" hidden="false" customHeight="false" outlineLevel="0" collapsed="false">
      <c r="A1043" s="0" t="s">
        <v>446</v>
      </c>
      <c r="B1043" s="0" t="n">
        <v>800</v>
      </c>
      <c r="C1043" s="0" t="str">
        <f aca="false">TEXT(VLOOKUP(B1043,$I$2:$J$20,2,FALSE()),"0")</f>
        <v>800</v>
      </c>
      <c r="D1043" s="47" t="n">
        <v>70</v>
      </c>
      <c r="E1043" s="47" t="n">
        <v>4830000</v>
      </c>
      <c r="F1043" s="47" t="n">
        <v>1035930</v>
      </c>
    </row>
    <row r="1044" customFormat="false" ht="15" hidden="false" customHeight="false" outlineLevel="0" collapsed="false">
      <c r="A1044" s="0" t="s">
        <v>446</v>
      </c>
      <c r="B1044" s="0" t="n">
        <v>810</v>
      </c>
      <c r="C1044" s="0" t="str">
        <f aca="false">TEXT(VLOOKUP(B1044,$I$2:$J$20,2,FALSE()),"0")</f>
        <v>810</v>
      </c>
      <c r="D1044" s="47" t="n">
        <v>216</v>
      </c>
      <c r="E1044" s="47" t="n">
        <v>14904000</v>
      </c>
      <c r="F1044" s="47" t="n">
        <v>3196584</v>
      </c>
    </row>
    <row r="1045" customFormat="false" ht="15" hidden="false" customHeight="false" outlineLevel="0" collapsed="false">
      <c r="A1045" s="0" t="s">
        <v>448</v>
      </c>
      <c r="B1045" s="0" t="n">
        <v>100</v>
      </c>
      <c r="C1045" s="0" t="str">
        <f aca="false">TEXT(VLOOKUP(B1045,$I$2:$J$20,2,FALSE()),"0")</f>
        <v>100</v>
      </c>
      <c r="D1045" s="47" t="n">
        <v>70</v>
      </c>
      <c r="E1045" s="47" t="n">
        <v>5530000</v>
      </c>
      <c r="F1045" s="47" t="n">
        <v>1204000</v>
      </c>
    </row>
    <row r="1046" customFormat="false" ht="15" hidden="false" customHeight="false" outlineLevel="0" collapsed="false">
      <c r="A1046" s="0" t="s">
        <v>448</v>
      </c>
      <c r="B1046" s="0" t="n">
        <v>300</v>
      </c>
      <c r="C1046" s="0" t="str">
        <f aca="false">TEXT(VLOOKUP(B1046,$I$2:$J$20,2,FALSE()),"0")</f>
        <v>300</v>
      </c>
      <c r="D1046" s="47" t="n">
        <v>100</v>
      </c>
      <c r="E1046" s="47" t="n">
        <v>7900000</v>
      </c>
      <c r="F1046" s="47" t="n">
        <v>1720000</v>
      </c>
    </row>
    <row r="1047" customFormat="false" ht="15" hidden="false" customHeight="false" outlineLevel="0" collapsed="false">
      <c r="A1047" s="0" t="s">
        <v>448</v>
      </c>
      <c r="B1047" s="0" t="n">
        <v>600</v>
      </c>
      <c r="C1047" s="0" t="str">
        <f aca="false">TEXT(VLOOKUP(B1047,$I$2:$J$20,2,FALSE()),"0")</f>
        <v>600</v>
      </c>
      <c r="D1047" s="47" t="n">
        <v>35</v>
      </c>
      <c r="E1047" s="47" t="n">
        <v>2765000</v>
      </c>
      <c r="F1047" s="47" t="n">
        <v>602000</v>
      </c>
    </row>
    <row r="1048" customFormat="false" ht="15" hidden="false" customHeight="false" outlineLevel="0" collapsed="false">
      <c r="A1048" s="0" t="s">
        <v>448</v>
      </c>
      <c r="B1048" s="0" t="n">
        <v>800</v>
      </c>
      <c r="C1048" s="0" t="str">
        <f aca="false">TEXT(VLOOKUP(B1048,$I$2:$J$20,2,FALSE()),"0")</f>
        <v>800</v>
      </c>
      <c r="D1048" s="47" t="n">
        <v>70</v>
      </c>
      <c r="E1048" s="47" t="n">
        <v>5530000</v>
      </c>
      <c r="F1048" s="47" t="n">
        <v>1204000</v>
      </c>
    </row>
    <row r="1049" customFormat="false" ht="15" hidden="false" customHeight="false" outlineLevel="0" collapsed="false">
      <c r="A1049" s="0" t="s">
        <v>448</v>
      </c>
      <c r="B1049" s="0" t="n">
        <v>810</v>
      </c>
      <c r="C1049" s="0" t="str">
        <f aca="false">TEXT(VLOOKUP(B1049,$I$2:$J$20,2,FALSE()),"0")</f>
        <v>810</v>
      </c>
      <c r="D1049" s="47" t="n">
        <v>216</v>
      </c>
      <c r="E1049" s="47" t="n">
        <v>17064000</v>
      </c>
      <c r="F1049" s="47" t="n">
        <v>3715200</v>
      </c>
    </row>
    <row r="1050" customFormat="false" ht="15" hidden="false" customHeight="false" outlineLevel="0" collapsed="false">
      <c r="A1050" s="0" t="s">
        <v>450</v>
      </c>
      <c r="B1050" s="0" t="n">
        <v>100</v>
      </c>
      <c r="C1050" s="0" t="str">
        <f aca="false">TEXT(VLOOKUP(B1050,$I$2:$J$20,2,FALSE()),"0")</f>
        <v>100</v>
      </c>
      <c r="D1050" s="47" t="n">
        <v>280</v>
      </c>
      <c r="E1050" s="47" t="n">
        <v>19320000</v>
      </c>
      <c r="F1050" s="47" t="n">
        <v>4200000</v>
      </c>
    </row>
    <row r="1051" customFormat="false" ht="15" hidden="false" customHeight="false" outlineLevel="0" collapsed="false">
      <c r="A1051" s="0" t="s">
        <v>450</v>
      </c>
      <c r="B1051" s="0" t="n">
        <v>300</v>
      </c>
      <c r="C1051" s="0" t="str">
        <f aca="false">TEXT(VLOOKUP(B1051,$I$2:$J$20,2,FALSE()),"0")</f>
        <v>300</v>
      </c>
      <c r="D1051" s="47" t="n">
        <v>270</v>
      </c>
      <c r="E1051" s="47" t="n">
        <v>18630000</v>
      </c>
      <c r="F1051" s="47" t="n">
        <v>4050000</v>
      </c>
    </row>
    <row r="1052" customFormat="false" ht="15" hidden="false" customHeight="false" outlineLevel="0" collapsed="false">
      <c r="A1052" s="0" t="s">
        <v>450</v>
      </c>
      <c r="B1052" s="0" t="n">
        <v>500</v>
      </c>
      <c r="C1052" s="0" t="str">
        <f aca="false">TEXT(VLOOKUP(B1052,$I$2:$J$20,2,FALSE()),"0")</f>
        <v>500</v>
      </c>
      <c r="D1052" s="47" t="n">
        <v>1115</v>
      </c>
      <c r="E1052" s="47" t="n">
        <v>76935000</v>
      </c>
      <c r="F1052" s="47" t="n">
        <v>16725000</v>
      </c>
    </row>
    <row r="1053" customFormat="false" ht="15" hidden="false" customHeight="false" outlineLevel="0" collapsed="false">
      <c r="A1053" s="0" t="s">
        <v>450</v>
      </c>
      <c r="B1053" s="0" t="n">
        <v>600</v>
      </c>
      <c r="C1053" s="0" t="str">
        <f aca="false">TEXT(VLOOKUP(B1053,$I$2:$J$20,2,FALSE()),"0")</f>
        <v>600</v>
      </c>
      <c r="D1053" s="47" t="n">
        <v>190</v>
      </c>
      <c r="E1053" s="47" t="n">
        <v>13110000</v>
      </c>
      <c r="F1053" s="47" t="n">
        <v>2850000</v>
      </c>
    </row>
    <row r="1054" customFormat="false" ht="15" hidden="false" customHeight="false" outlineLevel="0" collapsed="false">
      <c r="A1054" s="0" t="s">
        <v>450</v>
      </c>
      <c r="B1054" s="0" t="n">
        <v>700</v>
      </c>
      <c r="C1054" s="0" t="str">
        <f aca="false">TEXT(VLOOKUP(B1054,$I$2:$J$20,2,FALSE()),"0")</f>
        <v>700</v>
      </c>
      <c r="D1054" s="47" t="n">
        <v>220</v>
      </c>
      <c r="E1054" s="47" t="n">
        <v>15180000</v>
      </c>
      <c r="F1054" s="47" t="n">
        <v>3300000</v>
      </c>
    </row>
    <row r="1055" customFormat="false" ht="15" hidden="false" customHeight="false" outlineLevel="0" collapsed="false">
      <c r="A1055" s="0" t="s">
        <v>450</v>
      </c>
      <c r="B1055" s="0" t="n">
        <v>799</v>
      </c>
      <c r="C1055" s="0" t="str">
        <f aca="false">TEXT(VLOOKUP(B1055,$I$2:$J$20,2,FALSE()),"0")</f>
        <v>700</v>
      </c>
      <c r="D1055" s="47" t="n">
        <v>2</v>
      </c>
      <c r="E1055" s="47" t="n">
        <v>138000</v>
      </c>
      <c r="F1055" s="47" t="n">
        <v>30000</v>
      </c>
    </row>
    <row r="1056" customFormat="false" ht="15" hidden="false" customHeight="false" outlineLevel="0" collapsed="false">
      <c r="A1056" s="0" t="s">
        <v>450</v>
      </c>
      <c r="B1056" s="0" t="n">
        <v>800</v>
      </c>
      <c r="C1056" s="0" t="str">
        <f aca="false">TEXT(VLOOKUP(B1056,$I$2:$J$20,2,FALSE()),"0")</f>
        <v>800</v>
      </c>
      <c r="D1056" s="47" t="n">
        <v>70</v>
      </c>
      <c r="E1056" s="47" t="n">
        <v>4830000</v>
      </c>
      <c r="F1056" s="47" t="n">
        <v>1050000</v>
      </c>
    </row>
    <row r="1057" customFormat="false" ht="15" hidden="false" customHeight="false" outlineLevel="0" collapsed="false">
      <c r="A1057" s="0" t="s">
        <v>450</v>
      </c>
      <c r="B1057" s="0" t="n">
        <v>810</v>
      </c>
      <c r="C1057" s="0" t="str">
        <f aca="false">TEXT(VLOOKUP(B1057,$I$2:$J$20,2,FALSE()),"0")</f>
        <v>810</v>
      </c>
      <c r="D1057" s="47" t="n">
        <v>216</v>
      </c>
      <c r="E1057" s="47" t="n">
        <v>14904000</v>
      </c>
      <c r="F1057" s="47" t="n">
        <v>3240000</v>
      </c>
    </row>
    <row r="1058" customFormat="false" ht="15" hidden="false" customHeight="false" outlineLevel="0" collapsed="false">
      <c r="A1058" s="0" t="s">
        <v>450</v>
      </c>
      <c r="B1058" s="0" t="n">
        <v>830</v>
      </c>
      <c r="C1058" s="0" t="str">
        <f aca="false">TEXT(VLOOKUP(B1058,$I$2:$J$20,2,FALSE()),"0")</f>
        <v>830</v>
      </c>
      <c r="D1058" s="47" t="n">
        <v>220</v>
      </c>
      <c r="E1058" s="47" t="n">
        <v>15180000</v>
      </c>
      <c r="F1058" s="47" t="n">
        <v>3300000</v>
      </c>
    </row>
    <row r="1059" customFormat="false" ht="15" hidden="false" customHeight="false" outlineLevel="0" collapsed="false">
      <c r="A1059" s="0" t="s">
        <v>452</v>
      </c>
      <c r="B1059" s="0" t="n">
        <v>300</v>
      </c>
      <c r="C1059" s="0" t="str">
        <f aca="false">TEXT(VLOOKUP(B1059,$I$2:$J$20,2,FALSE()),"0")</f>
        <v>300</v>
      </c>
      <c r="D1059" s="47" t="n">
        <v>1600</v>
      </c>
      <c r="E1059" s="47" t="n">
        <v>94400000</v>
      </c>
      <c r="F1059" s="47" t="n">
        <v>22880000</v>
      </c>
    </row>
    <row r="1060" customFormat="false" ht="15" hidden="false" customHeight="false" outlineLevel="0" collapsed="false">
      <c r="A1060" s="0" t="s">
        <v>892</v>
      </c>
      <c r="B1060" s="0" t="n">
        <v>100</v>
      </c>
      <c r="C1060" s="0" t="str">
        <f aca="false">TEXT(VLOOKUP(B1060,$I$2:$J$20,2,FALSE()),"0")</f>
        <v>100</v>
      </c>
      <c r="D1060" s="47" t="n">
        <v>90</v>
      </c>
      <c r="E1060" s="47" t="n">
        <v>9810000</v>
      </c>
      <c r="F1060" s="47" t="n">
        <v>2079000</v>
      </c>
    </row>
    <row r="1061" customFormat="false" ht="15" hidden="false" customHeight="false" outlineLevel="0" collapsed="false">
      <c r="A1061" s="0" t="s">
        <v>892</v>
      </c>
      <c r="B1061" s="0" t="n">
        <v>600</v>
      </c>
      <c r="C1061" s="0" t="str">
        <f aca="false">TEXT(VLOOKUP(B1061,$I$2:$J$20,2,FALSE()),"0")</f>
        <v>600</v>
      </c>
      <c r="D1061" s="47" t="n">
        <v>50</v>
      </c>
      <c r="E1061" s="47" t="n">
        <v>5450000</v>
      </c>
      <c r="F1061" s="47" t="n">
        <v>1155000</v>
      </c>
    </row>
    <row r="1062" customFormat="false" ht="15" hidden="false" customHeight="false" outlineLevel="0" collapsed="false">
      <c r="A1062" s="0" t="s">
        <v>892</v>
      </c>
      <c r="B1062" s="0" t="n">
        <v>800</v>
      </c>
      <c r="C1062" s="0" t="str">
        <f aca="false">TEXT(VLOOKUP(B1062,$I$2:$J$20,2,FALSE()),"0")</f>
        <v>800</v>
      </c>
      <c r="D1062" s="47" t="n">
        <v>25</v>
      </c>
      <c r="E1062" s="47" t="n">
        <v>2725000</v>
      </c>
      <c r="F1062" s="47" t="n">
        <v>577500</v>
      </c>
    </row>
    <row r="1063" customFormat="false" ht="15" hidden="false" customHeight="false" outlineLevel="0" collapsed="false">
      <c r="A1063" s="0" t="s">
        <v>892</v>
      </c>
      <c r="B1063" s="0" t="n">
        <v>810</v>
      </c>
      <c r="C1063" s="0" t="str">
        <f aca="false">TEXT(VLOOKUP(B1063,$I$2:$J$20,2,FALSE()),"0")</f>
        <v>810</v>
      </c>
      <c r="D1063" s="47" t="n">
        <v>144</v>
      </c>
      <c r="E1063" s="47" t="n">
        <v>15696000</v>
      </c>
      <c r="F1063" s="47" t="n">
        <v>3326400</v>
      </c>
    </row>
    <row r="1064" customFormat="false" ht="15" hidden="false" customHeight="false" outlineLevel="0" collapsed="false">
      <c r="A1064" s="0" t="s">
        <v>454</v>
      </c>
      <c r="B1064" s="0" t="n">
        <v>100</v>
      </c>
      <c r="C1064" s="0" t="str">
        <f aca="false">TEXT(VLOOKUP(B1064,$I$2:$J$20,2,FALSE()),"0")</f>
        <v>100</v>
      </c>
      <c r="D1064" s="47" t="n">
        <v>160</v>
      </c>
      <c r="E1064" s="47" t="n">
        <v>17440000</v>
      </c>
      <c r="F1064" s="47" t="n">
        <v>3600000</v>
      </c>
    </row>
    <row r="1065" customFormat="false" ht="15" hidden="false" customHeight="false" outlineLevel="0" collapsed="false">
      <c r="A1065" s="0" t="s">
        <v>454</v>
      </c>
      <c r="B1065" s="0" t="n">
        <v>300</v>
      </c>
      <c r="C1065" s="0" t="str">
        <f aca="false">TEXT(VLOOKUP(B1065,$I$2:$J$20,2,FALSE()),"0")</f>
        <v>300</v>
      </c>
      <c r="D1065" s="47" t="n">
        <v>140</v>
      </c>
      <c r="E1065" s="47" t="n">
        <v>15260000</v>
      </c>
      <c r="F1065" s="47" t="n">
        <v>3150000</v>
      </c>
    </row>
    <row r="1066" customFormat="false" ht="15" hidden="false" customHeight="false" outlineLevel="0" collapsed="false">
      <c r="A1066" s="0" t="s">
        <v>454</v>
      </c>
      <c r="B1066" s="0" t="n">
        <v>600</v>
      </c>
      <c r="C1066" s="0" t="str">
        <f aca="false">TEXT(VLOOKUP(B1066,$I$2:$J$20,2,FALSE()),"0")</f>
        <v>600</v>
      </c>
      <c r="D1066" s="47" t="n">
        <v>45</v>
      </c>
      <c r="E1066" s="47" t="n">
        <v>4905000</v>
      </c>
      <c r="F1066" s="47" t="n">
        <v>1012500</v>
      </c>
    </row>
    <row r="1067" customFormat="false" ht="15" hidden="false" customHeight="false" outlineLevel="0" collapsed="false">
      <c r="A1067" s="0" t="s">
        <v>454</v>
      </c>
      <c r="B1067" s="0" t="n">
        <v>800</v>
      </c>
      <c r="C1067" s="0" t="str">
        <f aca="false">TEXT(VLOOKUP(B1067,$I$2:$J$20,2,FALSE()),"0")</f>
        <v>800</v>
      </c>
      <c r="D1067" s="47" t="n">
        <v>30</v>
      </c>
      <c r="E1067" s="47" t="n">
        <v>3270000</v>
      </c>
      <c r="F1067" s="47" t="n">
        <v>675000</v>
      </c>
    </row>
    <row r="1068" customFormat="false" ht="15" hidden="false" customHeight="false" outlineLevel="0" collapsed="false">
      <c r="A1068" s="0" t="s">
        <v>456</v>
      </c>
      <c r="B1068" s="0" t="n">
        <v>100</v>
      </c>
      <c r="C1068" s="0" t="str">
        <f aca="false">TEXT(VLOOKUP(B1068,$I$2:$J$20,2,FALSE()),"0")</f>
        <v>100</v>
      </c>
      <c r="D1068" s="47" t="n">
        <v>90</v>
      </c>
      <c r="E1068" s="47" t="n">
        <v>13410000</v>
      </c>
      <c r="F1068" s="47" t="n">
        <v>2673000</v>
      </c>
    </row>
    <row r="1069" customFormat="false" ht="15" hidden="false" customHeight="false" outlineLevel="0" collapsed="false">
      <c r="A1069" s="0" t="s">
        <v>456</v>
      </c>
      <c r="B1069" s="0" t="n">
        <v>300</v>
      </c>
      <c r="C1069" s="0" t="str">
        <f aca="false">TEXT(VLOOKUP(B1069,$I$2:$J$20,2,FALSE()),"0")</f>
        <v>300</v>
      </c>
      <c r="D1069" s="47" t="n">
        <v>100</v>
      </c>
      <c r="E1069" s="47" t="n">
        <v>14900000</v>
      </c>
      <c r="F1069" s="47" t="n">
        <v>2970000</v>
      </c>
    </row>
    <row r="1070" customFormat="false" ht="15" hidden="false" customHeight="false" outlineLevel="0" collapsed="false">
      <c r="A1070" s="0" t="s">
        <v>456</v>
      </c>
      <c r="B1070" s="0" t="n">
        <v>600</v>
      </c>
      <c r="C1070" s="0" t="str">
        <f aca="false">TEXT(VLOOKUP(B1070,$I$2:$J$20,2,FALSE()),"0")</f>
        <v>600</v>
      </c>
      <c r="D1070" s="47" t="n">
        <v>25</v>
      </c>
      <c r="E1070" s="47" t="n">
        <v>3725000</v>
      </c>
      <c r="F1070" s="47" t="n">
        <v>742500</v>
      </c>
    </row>
    <row r="1071" customFormat="false" ht="15" hidden="false" customHeight="false" outlineLevel="0" collapsed="false">
      <c r="A1071" s="0" t="s">
        <v>458</v>
      </c>
      <c r="B1071" s="0" t="n">
        <v>100</v>
      </c>
      <c r="C1071" s="0" t="str">
        <f aca="false">TEXT(VLOOKUP(B1071,$I$2:$J$20,2,FALSE()),"0")</f>
        <v>100</v>
      </c>
      <c r="D1071" s="47" t="n">
        <v>90</v>
      </c>
      <c r="E1071" s="47" t="n">
        <v>13410000</v>
      </c>
      <c r="F1071" s="47" t="n">
        <v>2106000</v>
      </c>
    </row>
    <row r="1072" customFormat="false" ht="15" hidden="false" customHeight="false" outlineLevel="0" collapsed="false">
      <c r="A1072" s="0" t="s">
        <v>458</v>
      </c>
      <c r="B1072" s="0" t="n">
        <v>300</v>
      </c>
      <c r="C1072" s="0" t="str">
        <f aca="false">TEXT(VLOOKUP(B1072,$I$2:$J$20,2,FALSE()),"0")</f>
        <v>300</v>
      </c>
      <c r="D1072" s="47" t="n">
        <v>255</v>
      </c>
      <c r="E1072" s="47" t="n">
        <v>37995000</v>
      </c>
      <c r="F1072" s="47" t="n">
        <v>5967000</v>
      </c>
    </row>
    <row r="1073" customFormat="false" ht="15" hidden="false" customHeight="false" outlineLevel="0" collapsed="false">
      <c r="A1073" s="0" t="s">
        <v>460</v>
      </c>
      <c r="B1073" s="0" t="n">
        <v>300</v>
      </c>
      <c r="C1073" s="0" t="str">
        <f aca="false">TEXT(VLOOKUP(B1073,$I$2:$J$20,2,FALSE()),"0")</f>
        <v>300</v>
      </c>
      <c r="D1073" s="47" t="n">
        <v>220</v>
      </c>
      <c r="E1073" s="47" t="n">
        <v>30580000</v>
      </c>
      <c r="F1073" s="47" t="n">
        <v>8030000</v>
      </c>
    </row>
    <row r="1074" customFormat="false" ht="15" hidden="false" customHeight="false" outlineLevel="0" collapsed="false">
      <c r="A1074" s="0" t="s">
        <v>894</v>
      </c>
      <c r="B1074" s="0" t="n">
        <v>100</v>
      </c>
      <c r="C1074" s="0" t="str">
        <f aca="false">TEXT(VLOOKUP(B1074,$I$2:$J$20,2,FALSE()),"0")</f>
        <v>100</v>
      </c>
      <c r="D1074" s="47" t="n">
        <v>70</v>
      </c>
      <c r="E1074" s="47" t="n">
        <v>9730000</v>
      </c>
      <c r="F1074" s="47" t="n">
        <v>2303280</v>
      </c>
    </row>
    <row r="1075" customFormat="false" ht="15" hidden="false" customHeight="false" outlineLevel="0" collapsed="false">
      <c r="A1075" s="0" t="s">
        <v>894</v>
      </c>
      <c r="B1075" s="0" t="n">
        <v>200</v>
      </c>
      <c r="C1075" s="0" t="str">
        <f aca="false">TEXT(VLOOKUP(B1075,$I$2:$J$20,2,FALSE()),"0")</f>
        <v>200</v>
      </c>
      <c r="D1075" s="47" t="n">
        <v>215</v>
      </c>
      <c r="E1075" s="47" t="n">
        <v>29885000</v>
      </c>
      <c r="F1075" s="47" t="n">
        <v>7074360</v>
      </c>
    </row>
    <row r="1076" customFormat="false" ht="15" hidden="false" customHeight="false" outlineLevel="0" collapsed="false">
      <c r="A1076" s="0" t="s">
        <v>894</v>
      </c>
      <c r="B1076" s="0" t="n">
        <v>299</v>
      </c>
      <c r="C1076" s="0" t="str">
        <f aca="false">TEXT(VLOOKUP(B1076,$I$2:$J$20,2,FALSE()),"0")</f>
        <v>200</v>
      </c>
      <c r="D1076" s="47" t="n">
        <v>2</v>
      </c>
      <c r="E1076" s="47" t="n">
        <v>278000</v>
      </c>
      <c r="F1076" s="47" t="n">
        <v>65808</v>
      </c>
    </row>
    <row r="1077" customFormat="false" ht="15" hidden="false" customHeight="false" outlineLevel="0" collapsed="false">
      <c r="A1077" s="0" t="s">
        <v>462</v>
      </c>
      <c r="B1077" s="0" t="n">
        <v>300</v>
      </c>
      <c r="C1077" s="0" t="str">
        <f aca="false">TEXT(VLOOKUP(B1077,$I$2:$J$20,2,FALSE()),"0")</f>
        <v>300</v>
      </c>
      <c r="D1077" s="47" t="n">
        <v>50</v>
      </c>
      <c r="E1077" s="47" t="n">
        <v>7950000</v>
      </c>
      <c r="F1077" s="47" t="n">
        <v>1275000</v>
      </c>
    </row>
    <row r="1078" customFormat="false" ht="15" hidden="false" customHeight="false" outlineLevel="0" collapsed="false">
      <c r="A1078" s="0" t="s">
        <v>462</v>
      </c>
      <c r="B1078" s="0" t="n">
        <v>600</v>
      </c>
      <c r="C1078" s="0" t="str">
        <f aca="false">TEXT(VLOOKUP(B1078,$I$2:$J$20,2,FALSE()),"0")</f>
        <v>600</v>
      </c>
      <c r="D1078" s="47" t="n">
        <v>30</v>
      </c>
      <c r="E1078" s="47" t="n">
        <v>4770000</v>
      </c>
      <c r="F1078" s="47" t="n">
        <v>765000</v>
      </c>
    </row>
    <row r="1079" customFormat="false" ht="15" hidden="false" customHeight="false" outlineLevel="0" collapsed="false">
      <c r="A1079" s="0" t="s">
        <v>464</v>
      </c>
      <c r="B1079" s="0" t="n">
        <v>100</v>
      </c>
      <c r="C1079" s="0" t="str">
        <f aca="false">TEXT(VLOOKUP(B1079,$I$2:$J$20,2,FALSE()),"0")</f>
        <v>100</v>
      </c>
      <c r="D1079" s="47" t="n">
        <v>180</v>
      </c>
      <c r="E1079" s="47" t="n">
        <v>46620000</v>
      </c>
      <c r="F1079" s="47" t="n">
        <v>10602000</v>
      </c>
    </row>
    <row r="1080" customFormat="false" ht="15" hidden="false" customHeight="false" outlineLevel="0" collapsed="false">
      <c r="A1080" s="0" t="s">
        <v>464</v>
      </c>
      <c r="B1080" s="0" t="n">
        <v>300</v>
      </c>
      <c r="C1080" s="0" t="str">
        <f aca="false">TEXT(VLOOKUP(B1080,$I$2:$J$20,2,FALSE()),"0")</f>
        <v>300</v>
      </c>
      <c r="D1080" s="47" t="n">
        <v>270</v>
      </c>
      <c r="E1080" s="47" t="n">
        <v>69930000</v>
      </c>
      <c r="F1080" s="47" t="n">
        <v>15903000</v>
      </c>
    </row>
    <row r="1081" customFormat="false" ht="15" hidden="false" customHeight="false" outlineLevel="0" collapsed="false">
      <c r="A1081" s="0" t="s">
        <v>464</v>
      </c>
      <c r="B1081" s="0" t="n">
        <v>500</v>
      </c>
      <c r="C1081" s="0" t="str">
        <f aca="false">TEXT(VLOOKUP(B1081,$I$2:$J$20,2,FALSE()),"0")</f>
        <v>500</v>
      </c>
      <c r="D1081" s="47" t="n">
        <v>200</v>
      </c>
      <c r="E1081" s="47" t="n">
        <v>51800000</v>
      </c>
      <c r="F1081" s="47" t="n">
        <v>11780000</v>
      </c>
    </row>
    <row r="1082" customFormat="false" ht="15" hidden="false" customHeight="false" outlineLevel="0" collapsed="false">
      <c r="A1082" s="0" t="s">
        <v>464</v>
      </c>
      <c r="B1082" s="0" t="n">
        <v>600</v>
      </c>
      <c r="C1082" s="0" t="str">
        <f aca="false">TEXT(VLOOKUP(B1082,$I$2:$J$20,2,FALSE()),"0")</f>
        <v>600</v>
      </c>
      <c r="D1082" s="47" t="n">
        <v>30</v>
      </c>
      <c r="E1082" s="47" t="n">
        <v>7770000</v>
      </c>
      <c r="F1082" s="47" t="n">
        <v>1767000</v>
      </c>
    </row>
    <row r="1083" customFormat="false" ht="15" hidden="false" customHeight="false" outlineLevel="0" collapsed="false">
      <c r="A1083" s="0" t="s">
        <v>896</v>
      </c>
      <c r="B1083" s="0" t="n">
        <v>100</v>
      </c>
      <c r="C1083" s="0" t="str">
        <f aca="false">TEXT(VLOOKUP(B1083,$I$2:$J$20,2,FALSE()),"0")</f>
        <v>100</v>
      </c>
      <c r="D1083" s="47" t="n">
        <v>160</v>
      </c>
      <c r="E1083" s="47" t="n">
        <v>28640000</v>
      </c>
      <c r="F1083" s="47" t="n">
        <v>8544000</v>
      </c>
    </row>
    <row r="1084" customFormat="false" ht="15" hidden="false" customHeight="false" outlineLevel="0" collapsed="false">
      <c r="A1084" s="0" t="s">
        <v>1326</v>
      </c>
      <c r="B1084" s="0" t="n">
        <v>600</v>
      </c>
      <c r="C1084" s="0" t="str">
        <f aca="false">TEXT(VLOOKUP(B1084,$I$2:$J$20,2,FALSE()),"0")</f>
        <v>600</v>
      </c>
      <c r="D1084" s="47" t="n">
        <v>20</v>
      </c>
      <c r="E1084" s="47" t="n">
        <v>4380000</v>
      </c>
      <c r="F1084" s="47" t="n">
        <v>1284000</v>
      </c>
    </row>
    <row r="1085" customFormat="false" ht="15" hidden="false" customHeight="false" outlineLevel="0" collapsed="false">
      <c r="A1085" s="0" t="s">
        <v>466</v>
      </c>
      <c r="B1085" s="0" t="n">
        <v>100</v>
      </c>
      <c r="C1085" s="0" t="str">
        <f aca="false">TEXT(VLOOKUP(B1085,$I$2:$J$20,2,FALSE()),"0")</f>
        <v>100</v>
      </c>
      <c r="D1085" s="47" t="n">
        <v>180</v>
      </c>
      <c r="E1085" s="47" t="n">
        <v>28620000</v>
      </c>
      <c r="F1085" s="47" t="n">
        <v>6336000</v>
      </c>
    </row>
    <row r="1086" customFormat="false" ht="15" hidden="false" customHeight="false" outlineLevel="0" collapsed="false">
      <c r="A1086" s="0" t="s">
        <v>466</v>
      </c>
      <c r="B1086" s="0" t="n">
        <v>300</v>
      </c>
      <c r="C1086" s="0" t="str">
        <f aca="false">TEXT(VLOOKUP(B1086,$I$2:$J$20,2,FALSE()),"0")</f>
        <v>300</v>
      </c>
      <c r="D1086" s="47" t="n">
        <v>270</v>
      </c>
      <c r="E1086" s="47" t="n">
        <v>42930000</v>
      </c>
      <c r="F1086" s="47" t="n">
        <v>9504000</v>
      </c>
    </row>
    <row r="1087" customFormat="false" ht="15" hidden="false" customHeight="false" outlineLevel="0" collapsed="false">
      <c r="A1087" s="0" t="s">
        <v>466</v>
      </c>
      <c r="B1087" s="0" t="n">
        <v>600</v>
      </c>
      <c r="C1087" s="0" t="str">
        <f aca="false">TEXT(VLOOKUP(B1087,$I$2:$J$20,2,FALSE()),"0")</f>
        <v>600</v>
      </c>
      <c r="D1087" s="47" t="n">
        <v>40</v>
      </c>
      <c r="E1087" s="47" t="n">
        <v>6360000</v>
      </c>
      <c r="F1087" s="47" t="n">
        <v>1408000</v>
      </c>
    </row>
    <row r="1088" customFormat="false" ht="15" hidden="false" customHeight="false" outlineLevel="0" collapsed="false">
      <c r="A1088" s="0" t="s">
        <v>466</v>
      </c>
      <c r="B1088" s="0" t="n">
        <v>800</v>
      </c>
      <c r="C1088" s="0" t="str">
        <f aca="false">TEXT(VLOOKUP(B1088,$I$2:$J$20,2,FALSE()),"0")</f>
        <v>800</v>
      </c>
      <c r="D1088" s="47" t="n">
        <v>30</v>
      </c>
      <c r="E1088" s="47" t="n">
        <v>4770000</v>
      </c>
      <c r="F1088" s="47" t="n">
        <v>1056000</v>
      </c>
    </row>
    <row r="1089" customFormat="false" ht="15" hidden="false" customHeight="false" outlineLevel="0" collapsed="false">
      <c r="A1089" s="0" t="s">
        <v>468</v>
      </c>
      <c r="B1089" s="0" t="n">
        <v>100</v>
      </c>
      <c r="C1089" s="0" t="str">
        <f aca="false">TEXT(VLOOKUP(B1089,$I$2:$J$20,2,FALSE()),"0")</f>
        <v>100</v>
      </c>
      <c r="D1089" s="47" t="n">
        <v>100</v>
      </c>
      <c r="E1089" s="47" t="n">
        <v>18900000</v>
      </c>
      <c r="F1089" s="47" t="n">
        <v>4120000</v>
      </c>
    </row>
    <row r="1090" customFormat="false" ht="15" hidden="false" customHeight="false" outlineLevel="0" collapsed="false">
      <c r="A1090" s="0" t="s">
        <v>468</v>
      </c>
      <c r="B1090" s="0" t="n">
        <v>300</v>
      </c>
      <c r="C1090" s="0" t="str">
        <f aca="false">TEXT(VLOOKUP(B1090,$I$2:$J$20,2,FALSE()),"0")</f>
        <v>300</v>
      </c>
      <c r="D1090" s="47" t="n">
        <v>280</v>
      </c>
      <c r="E1090" s="47" t="n">
        <v>52920000</v>
      </c>
      <c r="F1090" s="47" t="n">
        <v>11536000</v>
      </c>
    </row>
    <row r="1091" customFormat="false" ht="15" hidden="false" customHeight="false" outlineLevel="0" collapsed="false">
      <c r="A1091" s="0" t="s">
        <v>468</v>
      </c>
      <c r="B1091" s="0" t="n">
        <v>600</v>
      </c>
      <c r="C1091" s="0" t="str">
        <f aca="false">TEXT(VLOOKUP(B1091,$I$2:$J$20,2,FALSE()),"0")</f>
        <v>600</v>
      </c>
      <c r="D1091" s="47" t="n">
        <v>60</v>
      </c>
      <c r="E1091" s="47" t="n">
        <v>11340000</v>
      </c>
      <c r="F1091" s="47" t="n">
        <v>2472000</v>
      </c>
    </row>
    <row r="1092" customFormat="false" ht="15" hidden="false" customHeight="false" outlineLevel="0" collapsed="false">
      <c r="A1092" s="0" t="s">
        <v>1328</v>
      </c>
      <c r="B1092" s="0" t="n">
        <v>600</v>
      </c>
      <c r="C1092" s="0" t="str">
        <f aca="false">TEXT(VLOOKUP(B1092,$I$2:$J$20,2,FALSE()),"0")</f>
        <v>600</v>
      </c>
      <c r="D1092" s="47" t="n">
        <v>20</v>
      </c>
      <c r="E1092" s="47" t="n">
        <v>4380000</v>
      </c>
      <c r="F1092" s="47" t="n">
        <v>1284000</v>
      </c>
    </row>
    <row r="1093" customFormat="false" ht="15" hidden="false" customHeight="false" outlineLevel="0" collapsed="false">
      <c r="A1093" s="0" t="s">
        <v>470</v>
      </c>
      <c r="B1093" s="0" t="n">
        <v>100</v>
      </c>
      <c r="C1093" s="0" t="str">
        <f aca="false">TEXT(VLOOKUP(B1093,$I$2:$J$20,2,FALSE()),"0")</f>
        <v>100</v>
      </c>
      <c r="D1093" s="47" t="n">
        <v>180</v>
      </c>
      <c r="E1093" s="47" t="n">
        <v>14220000</v>
      </c>
      <c r="F1093" s="47" t="n">
        <v>2700000</v>
      </c>
    </row>
    <row r="1094" customFormat="false" ht="15" hidden="false" customHeight="false" outlineLevel="0" collapsed="false">
      <c r="A1094" s="0" t="s">
        <v>470</v>
      </c>
      <c r="B1094" s="0" t="n">
        <v>300</v>
      </c>
      <c r="C1094" s="0" t="str">
        <f aca="false">TEXT(VLOOKUP(B1094,$I$2:$J$20,2,FALSE()),"0")</f>
        <v>300</v>
      </c>
      <c r="D1094" s="47" t="n">
        <v>290</v>
      </c>
      <c r="E1094" s="47" t="n">
        <v>22910000</v>
      </c>
      <c r="F1094" s="47" t="n">
        <v>4350000</v>
      </c>
    </row>
    <row r="1095" customFormat="false" ht="15" hidden="false" customHeight="false" outlineLevel="0" collapsed="false">
      <c r="A1095" s="0" t="s">
        <v>470</v>
      </c>
      <c r="B1095" s="0" t="n">
        <v>800</v>
      </c>
      <c r="C1095" s="0" t="str">
        <f aca="false">TEXT(VLOOKUP(B1095,$I$2:$J$20,2,FALSE()),"0")</f>
        <v>800</v>
      </c>
      <c r="D1095" s="47" t="n">
        <v>70</v>
      </c>
      <c r="E1095" s="47" t="n">
        <v>5530000</v>
      </c>
      <c r="F1095" s="47" t="n">
        <v>1050000</v>
      </c>
    </row>
    <row r="1096" customFormat="false" ht="15" hidden="false" customHeight="false" outlineLevel="0" collapsed="false">
      <c r="A1096" s="0" t="s">
        <v>898</v>
      </c>
      <c r="B1096" s="0" t="n">
        <v>100</v>
      </c>
      <c r="C1096" s="0" t="str">
        <f aca="false">TEXT(VLOOKUP(B1096,$I$2:$J$20,2,FALSE()),"0")</f>
        <v>100</v>
      </c>
      <c r="D1096" s="47" t="n">
        <v>200</v>
      </c>
      <c r="E1096" s="47" t="n">
        <v>21800000</v>
      </c>
      <c r="F1096" s="47" t="n">
        <v>4960000</v>
      </c>
    </row>
    <row r="1097" customFormat="false" ht="15" hidden="false" customHeight="false" outlineLevel="0" collapsed="false">
      <c r="A1097" s="0" t="s">
        <v>900</v>
      </c>
      <c r="B1097" s="0" t="n">
        <v>100</v>
      </c>
      <c r="C1097" s="0" t="str">
        <f aca="false">TEXT(VLOOKUP(B1097,$I$2:$J$20,2,FALSE()),"0")</f>
        <v>100</v>
      </c>
      <c r="D1097" s="47" t="n">
        <v>200</v>
      </c>
      <c r="E1097" s="47" t="n">
        <v>13800000</v>
      </c>
      <c r="F1097" s="47" t="n">
        <v>2900000</v>
      </c>
    </row>
    <row r="1098" customFormat="false" ht="15" hidden="false" customHeight="false" outlineLevel="0" collapsed="false">
      <c r="A1098" s="0" t="s">
        <v>900</v>
      </c>
      <c r="B1098" s="0" t="n">
        <v>800</v>
      </c>
      <c r="C1098" s="0" t="str">
        <f aca="false">TEXT(VLOOKUP(B1098,$I$2:$J$20,2,FALSE()),"0")</f>
        <v>800</v>
      </c>
      <c r="D1098" s="47" t="n">
        <v>80</v>
      </c>
      <c r="E1098" s="47" t="n">
        <v>5520000</v>
      </c>
      <c r="F1098" s="47" t="n">
        <v>1160000</v>
      </c>
    </row>
    <row r="1099" customFormat="false" ht="15" hidden="false" customHeight="false" outlineLevel="0" collapsed="false">
      <c r="A1099" s="0" t="s">
        <v>900</v>
      </c>
      <c r="B1099" s="0" t="n">
        <v>810</v>
      </c>
      <c r="C1099" s="0" t="str">
        <f aca="false">TEXT(VLOOKUP(B1099,$I$2:$J$20,2,FALSE()),"0")</f>
        <v>810</v>
      </c>
      <c r="D1099" s="47" t="n">
        <v>204</v>
      </c>
      <c r="E1099" s="47" t="n">
        <v>14076000</v>
      </c>
      <c r="F1099" s="47" t="n">
        <v>2958000</v>
      </c>
    </row>
    <row r="1100" customFormat="false" ht="15" hidden="false" customHeight="false" outlineLevel="0" collapsed="false">
      <c r="A1100" s="0" t="s">
        <v>1065</v>
      </c>
      <c r="B1100" s="0" t="n">
        <v>200</v>
      </c>
      <c r="C1100" s="0" t="str">
        <f aca="false">TEXT(VLOOKUP(B1100,$I$2:$J$20,2,FALSE()),"0")</f>
        <v>200</v>
      </c>
      <c r="D1100" s="47" t="n">
        <v>240</v>
      </c>
      <c r="E1100" s="47" t="n">
        <v>14160000</v>
      </c>
      <c r="F1100" s="47" t="n">
        <v>2688000</v>
      </c>
    </row>
    <row r="1101" customFormat="false" ht="15" hidden="false" customHeight="false" outlineLevel="0" collapsed="false">
      <c r="A1101" s="0" t="s">
        <v>1065</v>
      </c>
      <c r="B1101" s="0" t="n">
        <v>299</v>
      </c>
      <c r="C1101" s="0" t="str">
        <f aca="false">TEXT(VLOOKUP(B1101,$I$2:$J$20,2,FALSE()),"0")</f>
        <v>200</v>
      </c>
      <c r="D1101" s="47" t="n">
        <v>2</v>
      </c>
      <c r="E1101" s="47" t="n">
        <v>118000</v>
      </c>
      <c r="F1101" s="47" t="n">
        <v>22400</v>
      </c>
    </row>
    <row r="1102" customFormat="false" ht="15" hidden="false" customHeight="false" outlineLevel="0" collapsed="false">
      <c r="A1102" s="0" t="s">
        <v>472</v>
      </c>
      <c r="B1102" s="0" t="n">
        <v>100</v>
      </c>
      <c r="C1102" s="0" t="str">
        <f aca="false">TEXT(VLOOKUP(B1102,$I$2:$J$20,2,FALSE()),"0")</f>
        <v>100</v>
      </c>
      <c r="D1102" s="47" t="n">
        <v>350</v>
      </c>
      <c r="E1102" s="47" t="n">
        <v>24150000</v>
      </c>
      <c r="F1102" s="47" t="n">
        <v>4795000</v>
      </c>
    </row>
    <row r="1103" customFormat="false" ht="15" hidden="false" customHeight="false" outlineLevel="0" collapsed="false">
      <c r="A1103" s="0" t="s">
        <v>472</v>
      </c>
      <c r="B1103" s="0" t="n">
        <v>200</v>
      </c>
      <c r="C1103" s="0" t="str">
        <f aca="false">TEXT(VLOOKUP(B1103,$I$2:$J$20,2,FALSE()),"0")</f>
        <v>200</v>
      </c>
      <c r="D1103" s="47" t="n">
        <v>480</v>
      </c>
      <c r="E1103" s="47" t="n">
        <v>33120000</v>
      </c>
      <c r="F1103" s="47" t="n">
        <v>6576000</v>
      </c>
    </row>
    <row r="1104" customFormat="false" ht="15" hidden="false" customHeight="false" outlineLevel="0" collapsed="false">
      <c r="A1104" s="0" t="s">
        <v>472</v>
      </c>
      <c r="B1104" s="0" t="n">
        <v>299</v>
      </c>
      <c r="C1104" s="0" t="str">
        <f aca="false">TEXT(VLOOKUP(B1104,$I$2:$J$20,2,FALSE()),"0")</f>
        <v>200</v>
      </c>
      <c r="D1104" s="47" t="n">
        <v>3</v>
      </c>
      <c r="E1104" s="47" t="n">
        <v>207000</v>
      </c>
      <c r="F1104" s="47" t="n">
        <v>41100</v>
      </c>
    </row>
    <row r="1105" customFormat="false" ht="15" hidden="false" customHeight="false" outlineLevel="0" collapsed="false">
      <c r="A1105" s="0" t="s">
        <v>472</v>
      </c>
      <c r="B1105" s="0" t="n">
        <v>300</v>
      </c>
      <c r="C1105" s="0" t="str">
        <f aca="false">TEXT(VLOOKUP(B1105,$I$2:$J$20,2,FALSE()),"0")</f>
        <v>300</v>
      </c>
      <c r="D1105" s="47" t="n">
        <v>540</v>
      </c>
      <c r="E1105" s="47" t="n">
        <v>37260000</v>
      </c>
      <c r="F1105" s="47" t="n">
        <v>7398000</v>
      </c>
    </row>
    <row r="1106" customFormat="false" ht="15" hidden="false" customHeight="false" outlineLevel="0" collapsed="false">
      <c r="A1106" s="0" t="s">
        <v>472</v>
      </c>
      <c r="B1106" s="0" t="n">
        <v>600</v>
      </c>
      <c r="C1106" s="0" t="str">
        <f aca="false">TEXT(VLOOKUP(B1106,$I$2:$J$20,2,FALSE()),"0")</f>
        <v>600</v>
      </c>
      <c r="D1106" s="47" t="n">
        <v>210</v>
      </c>
      <c r="E1106" s="47" t="n">
        <v>14490000</v>
      </c>
      <c r="F1106" s="47" t="n">
        <v>2877000</v>
      </c>
    </row>
    <row r="1107" customFormat="false" ht="15" hidden="false" customHeight="false" outlineLevel="0" collapsed="false">
      <c r="A1107" s="0" t="s">
        <v>472</v>
      </c>
      <c r="B1107" s="0" t="n">
        <v>700</v>
      </c>
      <c r="C1107" s="0" t="str">
        <f aca="false">TEXT(VLOOKUP(B1107,$I$2:$J$20,2,FALSE()),"0")</f>
        <v>700</v>
      </c>
      <c r="D1107" s="47" t="n">
        <v>230</v>
      </c>
      <c r="E1107" s="47" t="n">
        <v>15870000</v>
      </c>
      <c r="F1107" s="47" t="n">
        <v>3151000</v>
      </c>
    </row>
    <row r="1108" customFormat="false" ht="15" hidden="false" customHeight="false" outlineLevel="0" collapsed="false">
      <c r="A1108" s="0" t="s">
        <v>472</v>
      </c>
      <c r="B1108" s="0" t="n">
        <v>799</v>
      </c>
      <c r="C1108" s="0" t="str">
        <f aca="false">TEXT(VLOOKUP(B1108,$I$2:$J$20,2,FALSE()),"0")</f>
        <v>700</v>
      </c>
      <c r="D1108" s="47" t="n">
        <v>2</v>
      </c>
      <c r="E1108" s="47" t="n">
        <v>138000</v>
      </c>
      <c r="F1108" s="47" t="n">
        <v>27400</v>
      </c>
    </row>
    <row r="1109" customFormat="false" ht="15" hidden="false" customHeight="false" outlineLevel="0" collapsed="false">
      <c r="A1109" s="0" t="s">
        <v>472</v>
      </c>
      <c r="B1109" s="0" t="n">
        <v>830</v>
      </c>
      <c r="C1109" s="0" t="str">
        <f aca="false">TEXT(VLOOKUP(B1109,$I$2:$J$20,2,FALSE()),"0")</f>
        <v>830</v>
      </c>
      <c r="D1109" s="47" t="n">
        <v>105</v>
      </c>
      <c r="E1109" s="47" t="n">
        <v>7245000</v>
      </c>
      <c r="F1109" s="47" t="n">
        <v>1438500</v>
      </c>
    </row>
    <row r="1110" customFormat="false" ht="15" hidden="false" customHeight="false" outlineLevel="0" collapsed="false">
      <c r="A1110" s="0" t="s">
        <v>1330</v>
      </c>
      <c r="B1110" s="0" t="n">
        <v>600</v>
      </c>
      <c r="C1110" s="0" t="str">
        <f aca="false">TEXT(VLOOKUP(B1110,$I$2:$J$20,2,FALSE()),"0")</f>
        <v>600</v>
      </c>
      <c r="D1110" s="47" t="n">
        <v>50</v>
      </c>
      <c r="E1110" s="47" t="n">
        <v>3450000</v>
      </c>
      <c r="F1110" s="47" t="n">
        <v>705000</v>
      </c>
    </row>
    <row r="1111" customFormat="false" ht="15" hidden="false" customHeight="false" outlineLevel="0" collapsed="false">
      <c r="A1111" s="0" t="s">
        <v>475</v>
      </c>
      <c r="B1111" s="0" t="n">
        <v>100</v>
      </c>
      <c r="C1111" s="0" t="str">
        <f aca="false">TEXT(VLOOKUP(B1111,$I$2:$J$20,2,FALSE()),"0")</f>
        <v>100</v>
      </c>
      <c r="D1111" s="47" t="n">
        <v>120</v>
      </c>
      <c r="E1111" s="47" t="n">
        <v>9480000</v>
      </c>
      <c r="F1111" s="47" t="n">
        <v>1878960</v>
      </c>
    </row>
    <row r="1112" customFormat="false" ht="15" hidden="false" customHeight="false" outlineLevel="0" collapsed="false">
      <c r="A1112" s="0" t="s">
        <v>475</v>
      </c>
      <c r="B1112" s="0" t="n">
        <v>300</v>
      </c>
      <c r="C1112" s="0" t="str">
        <f aca="false">TEXT(VLOOKUP(B1112,$I$2:$J$20,2,FALSE()),"0")</f>
        <v>300</v>
      </c>
      <c r="D1112" s="47" t="n">
        <v>200</v>
      </c>
      <c r="E1112" s="47" t="n">
        <v>15800000</v>
      </c>
      <c r="F1112" s="47" t="n">
        <v>3131600</v>
      </c>
    </row>
    <row r="1113" customFormat="false" ht="15" hidden="false" customHeight="false" outlineLevel="0" collapsed="false">
      <c r="A1113" s="0" t="s">
        <v>475</v>
      </c>
      <c r="B1113" s="0" t="n">
        <v>500</v>
      </c>
      <c r="C1113" s="0" t="str">
        <f aca="false">TEXT(VLOOKUP(B1113,$I$2:$J$20,2,FALSE()),"0")</f>
        <v>500</v>
      </c>
      <c r="D1113" s="47" t="n">
        <v>20</v>
      </c>
      <c r="E1113" s="47" t="n">
        <v>1580000</v>
      </c>
      <c r="F1113" s="47" t="n">
        <v>313160</v>
      </c>
    </row>
    <row r="1114" customFormat="false" ht="15" hidden="false" customHeight="false" outlineLevel="0" collapsed="false">
      <c r="A1114" s="0" t="s">
        <v>475</v>
      </c>
      <c r="B1114" s="0" t="n">
        <v>600</v>
      </c>
      <c r="C1114" s="0" t="str">
        <f aca="false">TEXT(VLOOKUP(B1114,$I$2:$J$20,2,FALSE()),"0")</f>
        <v>600</v>
      </c>
      <c r="D1114" s="47" t="n">
        <v>35</v>
      </c>
      <c r="E1114" s="47" t="n">
        <v>2765000</v>
      </c>
      <c r="F1114" s="47" t="n">
        <v>548030</v>
      </c>
    </row>
    <row r="1115" customFormat="false" ht="15" hidden="false" customHeight="false" outlineLevel="0" collapsed="false">
      <c r="A1115" s="0" t="s">
        <v>475</v>
      </c>
      <c r="B1115" s="0" t="n">
        <v>700</v>
      </c>
      <c r="C1115" s="0" t="str">
        <f aca="false">TEXT(VLOOKUP(B1115,$I$2:$J$20,2,FALSE()),"0")</f>
        <v>700</v>
      </c>
      <c r="D1115" s="47" t="n">
        <v>160</v>
      </c>
      <c r="E1115" s="47" t="n">
        <v>12640000</v>
      </c>
      <c r="F1115" s="47" t="n">
        <v>2505280</v>
      </c>
    </row>
    <row r="1116" customFormat="false" ht="15" hidden="false" customHeight="false" outlineLevel="0" collapsed="false">
      <c r="A1116" s="0" t="s">
        <v>475</v>
      </c>
      <c r="B1116" s="0" t="n">
        <v>799</v>
      </c>
      <c r="C1116" s="0" t="str">
        <f aca="false">TEXT(VLOOKUP(B1116,$I$2:$J$20,2,FALSE()),"0")</f>
        <v>700</v>
      </c>
      <c r="D1116" s="47" t="n">
        <v>2</v>
      </c>
      <c r="E1116" s="47" t="n">
        <v>158000</v>
      </c>
      <c r="F1116" s="47" t="n">
        <v>31316</v>
      </c>
    </row>
    <row r="1117" customFormat="false" ht="15" hidden="false" customHeight="false" outlineLevel="0" collapsed="false">
      <c r="A1117" s="0" t="s">
        <v>477</v>
      </c>
      <c r="B1117" s="0" t="n">
        <v>300</v>
      </c>
      <c r="C1117" s="0" t="str">
        <f aca="false">TEXT(VLOOKUP(B1117,$I$2:$J$20,2,FALSE()),"0")</f>
        <v>300</v>
      </c>
      <c r="D1117" s="47" t="n">
        <v>200</v>
      </c>
      <c r="E1117" s="47" t="n">
        <v>15800000</v>
      </c>
      <c r="F1117" s="47" t="n">
        <v>3600000</v>
      </c>
    </row>
    <row r="1118" customFormat="false" ht="15" hidden="false" customHeight="false" outlineLevel="0" collapsed="false">
      <c r="A1118" s="0" t="s">
        <v>477</v>
      </c>
      <c r="B1118" s="0" t="n">
        <v>500</v>
      </c>
      <c r="C1118" s="0" t="str">
        <f aca="false">TEXT(VLOOKUP(B1118,$I$2:$J$20,2,FALSE()),"0")</f>
        <v>500</v>
      </c>
      <c r="D1118" s="47" t="n">
        <v>20</v>
      </c>
      <c r="E1118" s="47" t="n">
        <v>1580000</v>
      </c>
      <c r="F1118" s="47" t="n">
        <v>360000</v>
      </c>
    </row>
    <row r="1119" customFormat="false" ht="15" hidden="false" customHeight="false" outlineLevel="0" collapsed="false">
      <c r="A1119" s="0" t="s">
        <v>477</v>
      </c>
      <c r="B1119" s="0" t="n">
        <v>600</v>
      </c>
      <c r="C1119" s="0" t="str">
        <f aca="false">TEXT(VLOOKUP(B1119,$I$2:$J$20,2,FALSE()),"0")</f>
        <v>600</v>
      </c>
      <c r="D1119" s="47" t="n">
        <v>35</v>
      </c>
      <c r="E1119" s="47" t="n">
        <v>2765000</v>
      </c>
      <c r="F1119" s="47" t="n">
        <v>630000</v>
      </c>
    </row>
    <row r="1120" customFormat="false" ht="15" hidden="false" customHeight="false" outlineLevel="0" collapsed="false">
      <c r="A1120" s="0" t="s">
        <v>477</v>
      </c>
      <c r="B1120" s="0" t="n">
        <v>700</v>
      </c>
      <c r="C1120" s="0" t="str">
        <f aca="false">TEXT(VLOOKUP(B1120,$I$2:$J$20,2,FALSE()),"0")</f>
        <v>700</v>
      </c>
      <c r="D1120" s="47" t="n">
        <v>90</v>
      </c>
      <c r="E1120" s="47" t="n">
        <v>7110000</v>
      </c>
      <c r="F1120" s="47" t="n">
        <v>1620000</v>
      </c>
    </row>
    <row r="1121" customFormat="false" ht="15" hidden="false" customHeight="false" outlineLevel="0" collapsed="false">
      <c r="A1121" s="0" t="s">
        <v>477</v>
      </c>
      <c r="B1121" s="0" t="n">
        <v>799</v>
      </c>
      <c r="C1121" s="0" t="str">
        <f aca="false">TEXT(VLOOKUP(B1121,$I$2:$J$20,2,FALSE()),"0")</f>
        <v>700</v>
      </c>
      <c r="D1121" s="47" t="n">
        <v>2</v>
      </c>
      <c r="E1121" s="47" t="n">
        <v>158000</v>
      </c>
      <c r="F1121" s="47" t="n">
        <v>36000</v>
      </c>
    </row>
    <row r="1122" customFormat="false" ht="15" hidden="false" customHeight="false" outlineLevel="0" collapsed="false">
      <c r="A1122" s="0" t="s">
        <v>902</v>
      </c>
      <c r="B1122" s="0" t="n">
        <v>100</v>
      </c>
      <c r="C1122" s="0" t="str">
        <f aca="false">TEXT(VLOOKUP(B1122,$I$2:$J$20,2,FALSE()),"0")</f>
        <v>100</v>
      </c>
      <c r="D1122" s="47" t="n">
        <v>220</v>
      </c>
      <c r="E1122" s="47" t="n">
        <v>32780000</v>
      </c>
      <c r="F1122" s="47" t="n">
        <v>7656000</v>
      </c>
    </row>
    <row r="1123" customFormat="false" ht="15" hidden="false" customHeight="false" outlineLevel="0" collapsed="false">
      <c r="A1123" s="0" t="s">
        <v>902</v>
      </c>
      <c r="B1123" s="0" t="n">
        <v>700</v>
      </c>
      <c r="C1123" s="0" t="str">
        <f aca="false">TEXT(VLOOKUP(B1123,$I$2:$J$20,2,FALSE()),"0")</f>
        <v>700</v>
      </c>
      <c r="D1123" s="47" t="n">
        <v>220</v>
      </c>
      <c r="E1123" s="47" t="n">
        <v>32780000</v>
      </c>
      <c r="F1123" s="47" t="n">
        <v>7656000</v>
      </c>
    </row>
    <row r="1124" customFormat="false" ht="15" hidden="false" customHeight="false" outlineLevel="0" collapsed="false">
      <c r="A1124" s="0" t="s">
        <v>902</v>
      </c>
      <c r="B1124" s="0" t="n">
        <v>799</v>
      </c>
      <c r="C1124" s="0" t="str">
        <f aca="false">TEXT(VLOOKUP(B1124,$I$2:$J$20,2,FALSE()),"0")</f>
        <v>700</v>
      </c>
      <c r="D1124" s="47" t="n">
        <v>2</v>
      </c>
      <c r="E1124" s="47" t="n">
        <v>298000</v>
      </c>
      <c r="F1124" s="47" t="n">
        <v>69600</v>
      </c>
    </row>
    <row r="1125" customFormat="false" ht="15" hidden="false" customHeight="false" outlineLevel="0" collapsed="false">
      <c r="A1125" s="0" t="s">
        <v>479</v>
      </c>
      <c r="B1125" s="0" t="n">
        <v>300</v>
      </c>
      <c r="C1125" s="0" t="str">
        <f aca="false">TEXT(VLOOKUP(B1125,$I$2:$J$20,2,FALSE()),"0")</f>
        <v>300</v>
      </c>
      <c r="D1125" s="47" t="n">
        <v>180</v>
      </c>
      <c r="E1125" s="47" t="n">
        <v>30420000</v>
      </c>
      <c r="F1125" s="47" t="n">
        <v>7884000</v>
      </c>
    </row>
    <row r="1126" customFormat="false" ht="15" hidden="false" customHeight="false" outlineLevel="0" collapsed="false">
      <c r="A1126" s="0" t="s">
        <v>479</v>
      </c>
      <c r="B1126" s="0" t="n">
        <v>600</v>
      </c>
      <c r="C1126" s="0" t="str">
        <f aca="false">TEXT(VLOOKUP(B1126,$I$2:$J$20,2,FALSE()),"0")</f>
        <v>600</v>
      </c>
      <c r="D1126" s="47" t="n">
        <v>55</v>
      </c>
      <c r="E1126" s="47" t="n">
        <v>9295000</v>
      </c>
      <c r="F1126" s="47" t="n">
        <v>2409000</v>
      </c>
    </row>
    <row r="1127" customFormat="false" ht="15" hidden="false" customHeight="false" outlineLevel="0" collapsed="false">
      <c r="A1127" s="0" t="s">
        <v>904</v>
      </c>
      <c r="B1127" s="0" t="n">
        <v>100</v>
      </c>
      <c r="C1127" s="0" t="str">
        <f aca="false">TEXT(VLOOKUP(B1127,$I$2:$J$20,2,FALSE()),"0")</f>
        <v>100</v>
      </c>
      <c r="D1127" s="47" t="n">
        <v>180</v>
      </c>
      <c r="E1127" s="47" t="n">
        <v>26820000</v>
      </c>
      <c r="F1127" s="47" t="n">
        <v>6714000</v>
      </c>
    </row>
    <row r="1128" customFormat="false" ht="15" hidden="false" customHeight="false" outlineLevel="0" collapsed="false">
      <c r="A1128" s="0" t="s">
        <v>904</v>
      </c>
      <c r="B1128" s="0" t="n">
        <v>500</v>
      </c>
      <c r="C1128" s="0" t="str">
        <f aca="false">TEXT(VLOOKUP(B1128,$I$2:$J$20,2,FALSE()),"0")</f>
        <v>500</v>
      </c>
      <c r="D1128" s="47" t="n">
        <v>170</v>
      </c>
      <c r="E1128" s="47" t="n">
        <v>25330000</v>
      </c>
      <c r="F1128" s="47" t="n">
        <v>6341000</v>
      </c>
    </row>
    <row r="1129" customFormat="false" ht="15" hidden="false" customHeight="false" outlineLevel="0" collapsed="false">
      <c r="A1129" s="0" t="s">
        <v>1684</v>
      </c>
      <c r="B1129" s="0" t="n">
        <v>500</v>
      </c>
      <c r="C1129" s="0" t="str">
        <f aca="false">TEXT(VLOOKUP(B1129,$I$2:$J$20,2,FALSE()),"0")</f>
        <v>500</v>
      </c>
      <c r="D1129" s="47" t="n">
        <v>100</v>
      </c>
      <c r="E1129" s="47" t="n">
        <v>19900000</v>
      </c>
      <c r="F1129" s="47" t="n">
        <v>5170000</v>
      </c>
    </row>
    <row r="1130" customFormat="false" ht="15" hidden="false" customHeight="false" outlineLevel="0" collapsed="false">
      <c r="A1130" s="0" t="s">
        <v>1067</v>
      </c>
      <c r="B1130" s="0" t="n">
        <v>200</v>
      </c>
      <c r="C1130" s="0" t="str">
        <f aca="false">TEXT(VLOOKUP(B1130,$I$2:$J$20,2,FALSE()),"0")</f>
        <v>200</v>
      </c>
      <c r="D1130" s="47" t="n">
        <v>130</v>
      </c>
      <c r="E1130" s="47" t="n">
        <v>25870000</v>
      </c>
      <c r="F1130" s="47" t="n">
        <v>8567000</v>
      </c>
    </row>
    <row r="1131" customFormat="false" ht="15" hidden="false" customHeight="false" outlineLevel="0" collapsed="false">
      <c r="A1131" s="0" t="s">
        <v>1067</v>
      </c>
      <c r="B1131" s="0" t="n">
        <v>299</v>
      </c>
      <c r="C1131" s="0" t="str">
        <f aca="false">TEXT(VLOOKUP(B1131,$I$2:$J$20,2,FALSE()),"0")</f>
        <v>200</v>
      </c>
      <c r="D1131" s="47" t="n">
        <v>2</v>
      </c>
      <c r="E1131" s="47" t="n">
        <v>398000</v>
      </c>
      <c r="F1131" s="47" t="n">
        <v>131800</v>
      </c>
    </row>
    <row r="1132" customFormat="false" ht="15" hidden="false" customHeight="false" outlineLevel="0" collapsed="false">
      <c r="A1132" s="0" t="s">
        <v>1067</v>
      </c>
      <c r="B1132" s="0" t="n">
        <v>600</v>
      </c>
      <c r="C1132" s="0" t="str">
        <f aca="false">TEXT(VLOOKUP(B1132,$I$2:$J$20,2,FALSE()),"0")</f>
        <v>600</v>
      </c>
      <c r="D1132" s="47" t="n">
        <v>10</v>
      </c>
      <c r="E1132" s="47" t="n">
        <v>1990000</v>
      </c>
      <c r="F1132" s="47" t="n">
        <v>659000</v>
      </c>
    </row>
    <row r="1133" customFormat="false" ht="15" hidden="false" customHeight="false" outlineLevel="0" collapsed="false">
      <c r="A1133" s="0" t="s">
        <v>1682</v>
      </c>
      <c r="B1133" s="0" t="n">
        <v>800</v>
      </c>
      <c r="C1133" s="0" t="str">
        <f aca="false">TEXT(VLOOKUP(B1133,$I$2:$J$20,2,FALSE()),"0")</f>
        <v>800</v>
      </c>
      <c r="D1133" s="47" t="n">
        <v>60</v>
      </c>
      <c r="E1133" s="47" t="n">
        <v>10140000</v>
      </c>
      <c r="F1133" s="47" t="n">
        <v>1752000</v>
      </c>
    </row>
    <row r="1134" customFormat="false" ht="15" hidden="false" customHeight="false" outlineLevel="0" collapsed="false">
      <c r="A1134" s="0" t="s">
        <v>1332</v>
      </c>
      <c r="B1134" s="0" t="n">
        <v>500</v>
      </c>
      <c r="C1134" s="0" t="str">
        <f aca="false">TEXT(VLOOKUP(B1134,$I$2:$J$20,2,FALSE()),"0")</f>
        <v>500</v>
      </c>
      <c r="D1134" s="47" t="n">
        <v>140</v>
      </c>
      <c r="E1134" s="47" t="n">
        <v>19460000</v>
      </c>
      <c r="F1134" s="47" t="n">
        <v>5390000</v>
      </c>
    </row>
    <row r="1135" customFormat="false" ht="15" hidden="false" customHeight="false" outlineLevel="0" collapsed="false">
      <c r="A1135" s="0" t="s">
        <v>1332</v>
      </c>
      <c r="B1135" s="0" t="n">
        <v>600</v>
      </c>
      <c r="C1135" s="0" t="str">
        <f aca="false">TEXT(VLOOKUP(B1135,$I$2:$J$20,2,FALSE()),"0")</f>
        <v>600</v>
      </c>
      <c r="D1135" s="47" t="n">
        <v>30</v>
      </c>
      <c r="E1135" s="47" t="n">
        <v>4170000</v>
      </c>
      <c r="F1135" s="47" t="n">
        <v>1155000</v>
      </c>
    </row>
    <row r="1136" customFormat="false" ht="15" hidden="false" customHeight="false" outlineLevel="0" collapsed="false">
      <c r="A1136" s="0" t="s">
        <v>1683</v>
      </c>
      <c r="B1136" s="0" t="n">
        <v>700</v>
      </c>
      <c r="C1136" s="0" t="str">
        <f aca="false">TEXT(VLOOKUP(B1136,$I$2:$J$20,2,FALSE()),"0")</f>
        <v>700</v>
      </c>
      <c r="D1136" s="47" t="n">
        <v>220</v>
      </c>
      <c r="E1136" s="47" t="n">
        <v>37180000</v>
      </c>
      <c r="F1136" s="47" t="n">
        <v>12298000</v>
      </c>
    </row>
    <row r="1137" customFormat="false" ht="15" hidden="false" customHeight="false" outlineLevel="0" collapsed="false">
      <c r="A1137" s="0" t="s">
        <v>1683</v>
      </c>
      <c r="B1137" s="0" t="n">
        <v>799</v>
      </c>
      <c r="C1137" s="0" t="str">
        <f aca="false">TEXT(VLOOKUP(B1137,$I$2:$J$20,2,FALSE()),"0")</f>
        <v>700</v>
      </c>
      <c r="D1137" s="47" t="n">
        <v>2</v>
      </c>
      <c r="E1137" s="47" t="n">
        <v>338000</v>
      </c>
      <c r="F1137" s="47" t="n">
        <v>111800</v>
      </c>
    </row>
    <row r="1138" customFormat="false" ht="15" hidden="false" customHeight="false" outlineLevel="0" collapsed="false">
      <c r="A1138" s="0" t="s">
        <v>906</v>
      </c>
      <c r="B1138" s="0" t="n">
        <v>100</v>
      </c>
      <c r="C1138" s="0" t="str">
        <f aca="false">TEXT(VLOOKUP(B1138,$I$2:$J$20,2,FALSE()),"0")</f>
        <v>100</v>
      </c>
      <c r="D1138" s="47" t="n">
        <v>200</v>
      </c>
      <c r="E1138" s="47" t="n">
        <v>39800000</v>
      </c>
      <c r="F1138" s="47" t="n">
        <v>9477200</v>
      </c>
    </row>
    <row r="1139" customFormat="false" ht="15" hidden="false" customHeight="false" outlineLevel="0" collapsed="false">
      <c r="A1139" s="0" t="s">
        <v>906</v>
      </c>
      <c r="B1139" s="0" t="n">
        <v>200</v>
      </c>
      <c r="C1139" s="0" t="str">
        <f aca="false">TEXT(VLOOKUP(B1139,$I$2:$J$20,2,FALSE()),"0")</f>
        <v>200</v>
      </c>
      <c r="D1139" s="47" t="n">
        <v>280</v>
      </c>
      <c r="E1139" s="47" t="n">
        <v>55720000</v>
      </c>
      <c r="F1139" s="47" t="n">
        <v>13268080</v>
      </c>
    </row>
    <row r="1140" customFormat="false" ht="15" hidden="false" customHeight="false" outlineLevel="0" collapsed="false">
      <c r="A1140" s="0" t="s">
        <v>906</v>
      </c>
      <c r="B1140" s="0" t="n">
        <v>299</v>
      </c>
      <c r="C1140" s="0" t="str">
        <f aca="false">TEXT(VLOOKUP(B1140,$I$2:$J$20,2,FALSE()),"0")</f>
        <v>200</v>
      </c>
      <c r="D1140" s="47" t="n">
        <v>2</v>
      </c>
      <c r="E1140" s="47" t="n">
        <v>398000</v>
      </c>
      <c r="F1140" s="47" t="n">
        <v>94772</v>
      </c>
    </row>
    <row r="1141" customFormat="false" ht="15" hidden="false" customHeight="false" outlineLevel="0" collapsed="false">
      <c r="A1141" s="0" t="s">
        <v>906</v>
      </c>
      <c r="B1141" s="0" t="n">
        <v>600</v>
      </c>
      <c r="C1141" s="0" t="str">
        <f aca="false">TEXT(VLOOKUP(B1141,$I$2:$J$20,2,FALSE()),"0")</f>
        <v>600</v>
      </c>
      <c r="D1141" s="47" t="n">
        <v>25</v>
      </c>
      <c r="E1141" s="47" t="n">
        <v>4975000</v>
      </c>
      <c r="F1141" s="47" t="n">
        <v>1184650</v>
      </c>
    </row>
    <row r="1142" customFormat="false" ht="15" hidden="false" customHeight="false" outlineLevel="0" collapsed="false">
      <c r="A1142" s="0" t="s">
        <v>1069</v>
      </c>
      <c r="B1142" s="0" t="n">
        <v>200</v>
      </c>
      <c r="C1142" s="0" t="str">
        <f aca="false">TEXT(VLOOKUP(B1142,$I$2:$J$20,2,FALSE()),"0")</f>
        <v>200</v>
      </c>
      <c r="D1142" s="47" t="n">
        <v>200</v>
      </c>
      <c r="E1142" s="47" t="n">
        <v>99800000</v>
      </c>
      <c r="F1142" s="47" t="n">
        <v>35080000</v>
      </c>
    </row>
    <row r="1143" customFormat="false" ht="15" hidden="false" customHeight="false" outlineLevel="0" collapsed="false">
      <c r="A1143" s="0" t="s">
        <v>1069</v>
      </c>
      <c r="B1143" s="0" t="n">
        <v>299</v>
      </c>
      <c r="C1143" s="0" t="str">
        <f aca="false">TEXT(VLOOKUP(B1143,$I$2:$J$20,2,FALSE()),"0")</f>
        <v>200</v>
      </c>
      <c r="D1143" s="47" t="n">
        <v>2</v>
      </c>
      <c r="E1143" s="47" t="n">
        <v>998000</v>
      </c>
      <c r="F1143" s="47" t="n">
        <v>350800</v>
      </c>
    </row>
    <row r="1144" customFormat="false" ht="15" hidden="false" customHeight="false" outlineLevel="0" collapsed="false">
      <c r="A1144" s="0" t="s">
        <v>1069</v>
      </c>
      <c r="B1144" s="0" t="n">
        <v>300</v>
      </c>
      <c r="C1144" s="0" t="str">
        <f aca="false">TEXT(VLOOKUP(B1144,$I$2:$J$20,2,FALSE()),"0")</f>
        <v>300</v>
      </c>
      <c r="D1144" s="47" t="n">
        <v>40</v>
      </c>
      <c r="E1144" s="47" t="n">
        <v>19960000</v>
      </c>
      <c r="F1144" s="47" t="n">
        <v>7016000</v>
      </c>
    </row>
    <row r="1145" customFormat="false" ht="15" hidden="false" customHeight="false" outlineLevel="0" collapsed="false">
      <c r="A1145" s="0" t="s">
        <v>1069</v>
      </c>
      <c r="B1145" s="0" t="n">
        <v>500</v>
      </c>
      <c r="C1145" s="0" t="str">
        <f aca="false">TEXT(VLOOKUP(B1145,$I$2:$J$20,2,FALSE()),"0")</f>
        <v>500</v>
      </c>
      <c r="D1145" s="47" t="n">
        <v>60</v>
      </c>
      <c r="E1145" s="47" t="n">
        <v>29940000</v>
      </c>
      <c r="F1145" s="47" t="n">
        <v>10524000</v>
      </c>
    </row>
    <row r="1146" customFormat="false" ht="15" hidden="false" customHeight="false" outlineLevel="0" collapsed="false">
      <c r="A1146" s="0" t="s">
        <v>1069</v>
      </c>
      <c r="B1146" s="0" t="n">
        <v>800</v>
      </c>
      <c r="C1146" s="0" t="str">
        <f aca="false">TEXT(VLOOKUP(B1146,$I$2:$J$20,2,FALSE()),"0")</f>
        <v>800</v>
      </c>
      <c r="D1146" s="47" t="n">
        <v>50</v>
      </c>
      <c r="E1146" s="47" t="n">
        <v>24950000</v>
      </c>
      <c r="F1146" s="47" t="n">
        <v>8770000</v>
      </c>
    </row>
    <row r="1147" customFormat="false" ht="15" hidden="false" customHeight="false" outlineLevel="0" collapsed="false">
      <c r="A1147" s="0" t="s">
        <v>1071</v>
      </c>
      <c r="B1147" s="0" t="n">
        <v>200</v>
      </c>
      <c r="C1147" s="0" t="str">
        <f aca="false">TEXT(VLOOKUP(B1147,$I$2:$J$20,2,FALSE()),"0")</f>
        <v>200</v>
      </c>
      <c r="D1147" s="47" t="n">
        <v>70</v>
      </c>
      <c r="E1147" s="47" t="n">
        <v>41300000</v>
      </c>
      <c r="F1147" s="47" t="n">
        <v>11375000</v>
      </c>
    </row>
    <row r="1148" customFormat="false" ht="15" hidden="false" customHeight="false" outlineLevel="0" collapsed="false">
      <c r="A1148" s="0" t="s">
        <v>1071</v>
      </c>
      <c r="B1148" s="0" t="n">
        <v>299</v>
      </c>
      <c r="C1148" s="0" t="str">
        <f aca="false">TEXT(VLOOKUP(B1148,$I$2:$J$20,2,FALSE()),"0")</f>
        <v>200</v>
      </c>
      <c r="D1148" s="47" t="n">
        <v>1</v>
      </c>
      <c r="E1148" s="47" t="n">
        <v>590000</v>
      </c>
      <c r="F1148" s="47" t="n">
        <v>162500</v>
      </c>
    </row>
    <row r="1149" customFormat="false" ht="15" hidden="false" customHeight="false" outlineLevel="0" collapsed="false">
      <c r="A1149" s="0" t="s">
        <v>1071</v>
      </c>
      <c r="B1149" s="0" t="n">
        <v>300</v>
      </c>
      <c r="C1149" s="0" t="str">
        <f aca="false">TEXT(VLOOKUP(B1149,$I$2:$J$20,2,FALSE()),"0")</f>
        <v>300</v>
      </c>
      <c r="D1149" s="47" t="n">
        <v>70</v>
      </c>
      <c r="E1149" s="47" t="n">
        <v>41300000</v>
      </c>
      <c r="F1149" s="47" t="n">
        <v>11375000</v>
      </c>
    </row>
    <row r="1150" customFormat="false" ht="15" hidden="false" customHeight="false" outlineLevel="0" collapsed="false">
      <c r="A1150" s="0" t="s">
        <v>1071</v>
      </c>
      <c r="B1150" s="0" t="n">
        <v>500</v>
      </c>
      <c r="C1150" s="0" t="str">
        <f aca="false">TEXT(VLOOKUP(B1150,$I$2:$J$20,2,FALSE()),"0")</f>
        <v>500</v>
      </c>
      <c r="D1150" s="47" t="n">
        <v>30</v>
      </c>
      <c r="E1150" s="47" t="n">
        <v>17700000</v>
      </c>
      <c r="F1150" s="47" t="n">
        <v>4875000</v>
      </c>
    </row>
    <row r="1151" customFormat="false" ht="15" hidden="false" customHeight="false" outlineLevel="0" collapsed="false">
      <c r="A1151" s="0" t="s">
        <v>481</v>
      </c>
      <c r="B1151" s="0" t="n">
        <v>100</v>
      </c>
      <c r="C1151" s="0" t="str">
        <f aca="false">TEXT(VLOOKUP(B1151,$I$2:$J$20,2,FALSE()),"0")</f>
        <v>100</v>
      </c>
      <c r="D1151" s="47" t="n">
        <v>220</v>
      </c>
      <c r="E1151" s="47" t="n">
        <v>43780000</v>
      </c>
      <c r="F1151" s="47" t="n">
        <v>12386000</v>
      </c>
    </row>
    <row r="1152" customFormat="false" ht="15" hidden="false" customHeight="false" outlineLevel="0" collapsed="false">
      <c r="A1152" s="0" t="s">
        <v>481</v>
      </c>
      <c r="B1152" s="0" t="n">
        <v>300</v>
      </c>
      <c r="C1152" s="0" t="str">
        <f aca="false">TEXT(VLOOKUP(B1152,$I$2:$J$20,2,FALSE()),"0")</f>
        <v>300</v>
      </c>
      <c r="D1152" s="47" t="n">
        <v>100</v>
      </c>
      <c r="E1152" s="47" t="n">
        <v>19900000</v>
      </c>
      <c r="F1152" s="47" t="n">
        <v>5630000</v>
      </c>
    </row>
    <row r="1153" customFormat="false" ht="15" hidden="false" customHeight="false" outlineLevel="0" collapsed="false">
      <c r="A1153" s="0" t="s">
        <v>908</v>
      </c>
      <c r="B1153" s="0" t="n">
        <v>100</v>
      </c>
      <c r="C1153" s="0" t="str">
        <f aca="false">TEXT(VLOOKUP(B1153,$I$2:$J$20,2,FALSE()),"0")</f>
        <v>100</v>
      </c>
      <c r="D1153" s="47" t="n">
        <v>280</v>
      </c>
      <c r="E1153" s="47" t="n">
        <v>122920000</v>
      </c>
      <c r="F1153" s="47" t="n">
        <v>33657120</v>
      </c>
    </row>
    <row r="1154" customFormat="false" ht="15" hidden="false" customHeight="false" outlineLevel="0" collapsed="false">
      <c r="A1154" s="0" t="s">
        <v>908</v>
      </c>
      <c r="B1154" s="0" t="n">
        <v>200</v>
      </c>
      <c r="C1154" s="0" t="str">
        <f aca="false">TEXT(VLOOKUP(B1154,$I$2:$J$20,2,FALSE()),"0")</f>
        <v>200</v>
      </c>
      <c r="D1154" s="47" t="n">
        <v>260</v>
      </c>
      <c r="E1154" s="47" t="n">
        <v>114140000</v>
      </c>
      <c r="F1154" s="47" t="n">
        <v>31253040</v>
      </c>
    </row>
    <row r="1155" customFormat="false" ht="15" hidden="false" customHeight="false" outlineLevel="0" collapsed="false">
      <c r="A1155" s="0" t="s">
        <v>908</v>
      </c>
      <c r="B1155" s="0" t="n">
        <v>299</v>
      </c>
      <c r="C1155" s="0" t="str">
        <f aca="false">TEXT(VLOOKUP(B1155,$I$2:$J$20,2,FALSE()),"0")</f>
        <v>200</v>
      </c>
      <c r="D1155" s="47" t="n">
        <v>2</v>
      </c>
      <c r="E1155" s="47" t="n">
        <v>878000</v>
      </c>
      <c r="F1155" s="47" t="n">
        <v>240408</v>
      </c>
    </row>
    <row r="1156" customFormat="false" ht="15" hidden="false" customHeight="false" outlineLevel="0" collapsed="false">
      <c r="A1156" s="0" t="s">
        <v>908</v>
      </c>
      <c r="B1156" s="0" t="n">
        <v>600</v>
      </c>
      <c r="C1156" s="0" t="str">
        <f aca="false">TEXT(VLOOKUP(B1156,$I$2:$J$20,2,FALSE()),"0")</f>
        <v>600</v>
      </c>
      <c r="D1156" s="47" t="n">
        <v>30</v>
      </c>
      <c r="E1156" s="47" t="n">
        <v>13170000</v>
      </c>
      <c r="F1156" s="47" t="n">
        <v>3606120</v>
      </c>
    </row>
    <row r="1157" customFormat="false" ht="15" hidden="false" customHeight="false" outlineLevel="0" collapsed="false">
      <c r="A1157" s="0" t="s">
        <v>908</v>
      </c>
      <c r="B1157" s="0" t="n">
        <v>700</v>
      </c>
      <c r="C1157" s="0" t="str">
        <f aca="false">TEXT(VLOOKUP(B1157,$I$2:$J$20,2,FALSE()),"0")</f>
        <v>700</v>
      </c>
      <c r="D1157" s="47" t="n">
        <v>50</v>
      </c>
      <c r="E1157" s="47" t="n">
        <v>21950000</v>
      </c>
      <c r="F1157" s="47" t="n">
        <v>6010200</v>
      </c>
    </row>
    <row r="1158" customFormat="false" ht="15" hidden="false" customHeight="false" outlineLevel="0" collapsed="false">
      <c r="A1158" s="0" t="s">
        <v>908</v>
      </c>
      <c r="B1158" s="0" t="n">
        <v>799</v>
      </c>
      <c r="C1158" s="0" t="str">
        <f aca="false">TEXT(VLOOKUP(B1158,$I$2:$J$20,2,FALSE()),"0")</f>
        <v>700</v>
      </c>
      <c r="D1158" s="47" t="n">
        <v>2</v>
      </c>
      <c r="E1158" s="47" t="n">
        <v>878000</v>
      </c>
      <c r="F1158" s="47" t="n">
        <v>240408</v>
      </c>
    </row>
    <row r="1159" customFormat="false" ht="15" hidden="false" customHeight="false" outlineLevel="0" collapsed="false">
      <c r="A1159" s="0" t="s">
        <v>483</v>
      </c>
      <c r="B1159" s="0" t="n">
        <v>100</v>
      </c>
      <c r="C1159" s="0" t="str">
        <f aca="false">TEXT(VLOOKUP(B1159,$I$2:$J$20,2,FALSE()),"0")</f>
        <v>100</v>
      </c>
      <c r="D1159" s="47" t="n">
        <v>140</v>
      </c>
      <c r="E1159" s="47" t="n">
        <v>36260000</v>
      </c>
      <c r="F1159" s="47" t="n">
        <v>10990000</v>
      </c>
    </row>
    <row r="1160" customFormat="false" ht="15" hidden="false" customHeight="false" outlineLevel="0" collapsed="false">
      <c r="A1160" s="0" t="s">
        <v>483</v>
      </c>
      <c r="B1160" s="0" t="n">
        <v>300</v>
      </c>
      <c r="C1160" s="0" t="str">
        <f aca="false">TEXT(VLOOKUP(B1160,$I$2:$J$20,2,FALSE()),"0")</f>
        <v>300</v>
      </c>
      <c r="D1160" s="47" t="n">
        <v>50</v>
      </c>
      <c r="E1160" s="47" t="n">
        <v>12950000</v>
      </c>
      <c r="F1160" s="47" t="n">
        <v>3925000</v>
      </c>
    </row>
    <row r="1161" customFormat="false" ht="15" hidden="false" customHeight="false" outlineLevel="0" collapsed="false">
      <c r="A1161" s="0" t="s">
        <v>910</v>
      </c>
      <c r="B1161" s="0" t="n">
        <v>100</v>
      </c>
      <c r="C1161" s="0" t="str">
        <f aca="false">TEXT(VLOOKUP(B1161,$I$2:$J$20,2,FALSE()),"0")</f>
        <v>100</v>
      </c>
      <c r="D1161" s="47" t="n">
        <v>50</v>
      </c>
      <c r="E1161" s="47" t="n">
        <v>12950000</v>
      </c>
      <c r="F1161" s="47" t="n">
        <v>3845000</v>
      </c>
    </row>
    <row r="1162" customFormat="false" ht="15" hidden="false" customHeight="false" outlineLevel="0" collapsed="false">
      <c r="A1162" s="0" t="s">
        <v>1073</v>
      </c>
      <c r="B1162" s="0" t="n">
        <v>200</v>
      </c>
      <c r="C1162" s="0" t="str">
        <f aca="false">TEXT(VLOOKUP(B1162,$I$2:$J$20,2,FALSE()),"0")</f>
        <v>200</v>
      </c>
      <c r="D1162" s="47" t="n">
        <v>410</v>
      </c>
      <c r="E1162" s="47" t="n">
        <v>81590000</v>
      </c>
      <c r="F1162" s="47" t="n">
        <v>19967000</v>
      </c>
    </row>
    <row r="1163" customFormat="false" ht="15" hidden="false" customHeight="false" outlineLevel="0" collapsed="false">
      <c r="A1163" s="0" t="s">
        <v>1073</v>
      </c>
      <c r="B1163" s="0" t="n">
        <v>299</v>
      </c>
      <c r="C1163" s="0" t="str">
        <f aca="false">TEXT(VLOOKUP(B1163,$I$2:$J$20,2,FALSE()),"0")</f>
        <v>200</v>
      </c>
      <c r="D1163" s="47" t="n">
        <v>2</v>
      </c>
      <c r="E1163" s="47" t="n">
        <v>398000</v>
      </c>
      <c r="F1163" s="47" t="n">
        <v>97400</v>
      </c>
    </row>
    <row r="1164" customFormat="false" ht="15" hidden="false" customHeight="false" outlineLevel="0" collapsed="false">
      <c r="A1164" s="0" t="s">
        <v>485</v>
      </c>
      <c r="B1164" s="0" t="n">
        <v>200</v>
      </c>
      <c r="C1164" s="0" t="str">
        <f aca="false">TEXT(VLOOKUP(B1164,$I$2:$J$20,2,FALSE()),"0")</f>
        <v>200</v>
      </c>
      <c r="D1164" s="47" t="n">
        <v>330</v>
      </c>
      <c r="E1164" s="47" t="n">
        <v>72270000</v>
      </c>
      <c r="F1164" s="47" t="n">
        <v>19567350</v>
      </c>
    </row>
    <row r="1165" customFormat="false" ht="15" hidden="false" customHeight="false" outlineLevel="0" collapsed="false">
      <c r="A1165" s="0" t="s">
        <v>485</v>
      </c>
      <c r="B1165" s="0" t="n">
        <v>299</v>
      </c>
      <c r="C1165" s="0" t="str">
        <f aca="false">TEXT(VLOOKUP(B1165,$I$2:$J$20,2,FALSE()),"0")</f>
        <v>200</v>
      </c>
      <c r="D1165" s="47" t="n">
        <v>2</v>
      </c>
      <c r="E1165" s="47" t="n">
        <v>438000</v>
      </c>
      <c r="F1165" s="47" t="n">
        <v>118590</v>
      </c>
    </row>
    <row r="1166" customFormat="false" ht="15" hidden="false" customHeight="false" outlineLevel="0" collapsed="false">
      <c r="A1166" s="0" t="s">
        <v>485</v>
      </c>
      <c r="B1166" s="0" t="n">
        <v>300</v>
      </c>
      <c r="C1166" s="0" t="str">
        <f aca="false">TEXT(VLOOKUP(B1166,$I$2:$J$20,2,FALSE()),"0")</f>
        <v>300</v>
      </c>
      <c r="D1166" s="47" t="n">
        <v>150</v>
      </c>
      <c r="E1166" s="47" t="n">
        <v>32850000</v>
      </c>
      <c r="F1166" s="47" t="n">
        <v>8894250</v>
      </c>
    </row>
    <row r="1167" customFormat="false" ht="15" hidden="false" customHeight="false" outlineLevel="0" collapsed="false">
      <c r="A1167" s="0" t="s">
        <v>485</v>
      </c>
      <c r="B1167" s="0" t="n">
        <v>810</v>
      </c>
      <c r="C1167" s="0" t="str">
        <f aca="false">TEXT(VLOOKUP(B1167,$I$2:$J$20,2,FALSE()),"0")</f>
        <v>810</v>
      </c>
      <c r="D1167" s="47" t="n">
        <v>216</v>
      </c>
      <c r="E1167" s="47" t="n">
        <v>47304000</v>
      </c>
      <c r="F1167" s="47" t="n">
        <v>12807720</v>
      </c>
    </row>
    <row r="1168" customFormat="false" ht="15" hidden="false" customHeight="false" outlineLevel="0" collapsed="false">
      <c r="A1168" s="0" t="s">
        <v>912</v>
      </c>
      <c r="B1168" s="0" t="n">
        <v>100</v>
      </c>
      <c r="C1168" s="0" t="str">
        <f aca="false">TEXT(VLOOKUP(B1168,$I$2:$J$20,2,FALSE()),"0")</f>
        <v>100</v>
      </c>
      <c r="D1168" s="47" t="n">
        <v>115</v>
      </c>
      <c r="E1168" s="47" t="n">
        <v>15985000</v>
      </c>
      <c r="F1168" s="47" t="n">
        <v>4267420</v>
      </c>
    </row>
    <row r="1169" customFormat="false" ht="15" hidden="false" customHeight="false" outlineLevel="0" collapsed="false">
      <c r="A1169" s="0" t="s">
        <v>912</v>
      </c>
      <c r="B1169" s="0" t="n">
        <v>200</v>
      </c>
      <c r="C1169" s="0" t="str">
        <f aca="false">TEXT(VLOOKUP(B1169,$I$2:$J$20,2,FALSE()),"0")</f>
        <v>200</v>
      </c>
      <c r="D1169" s="47" t="n">
        <v>120</v>
      </c>
      <c r="E1169" s="47" t="n">
        <v>16680000</v>
      </c>
      <c r="F1169" s="47" t="n">
        <v>4452960</v>
      </c>
    </row>
    <row r="1170" customFormat="false" ht="15" hidden="false" customHeight="false" outlineLevel="0" collapsed="false">
      <c r="A1170" s="0" t="s">
        <v>912</v>
      </c>
      <c r="B1170" s="0" t="n">
        <v>299</v>
      </c>
      <c r="C1170" s="0" t="str">
        <f aca="false">TEXT(VLOOKUP(B1170,$I$2:$J$20,2,FALSE()),"0")</f>
        <v>200</v>
      </c>
      <c r="D1170" s="47" t="n">
        <v>2</v>
      </c>
      <c r="E1170" s="47" t="n">
        <v>278000</v>
      </c>
      <c r="F1170" s="47" t="n">
        <v>74216</v>
      </c>
    </row>
    <row r="1171" customFormat="false" ht="15" hidden="false" customHeight="false" outlineLevel="0" collapsed="false">
      <c r="A1171" s="0" t="s">
        <v>912</v>
      </c>
      <c r="B1171" s="0" t="n">
        <v>700</v>
      </c>
      <c r="C1171" s="0" t="str">
        <f aca="false">TEXT(VLOOKUP(B1171,$I$2:$J$20,2,FALSE()),"0")</f>
        <v>700</v>
      </c>
      <c r="D1171" s="47" t="n">
        <v>50</v>
      </c>
      <c r="E1171" s="47" t="n">
        <v>6950000</v>
      </c>
      <c r="F1171" s="47" t="n">
        <v>1855400</v>
      </c>
    </row>
    <row r="1172" customFormat="false" ht="15" hidden="false" customHeight="false" outlineLevel="0" collapsed="false">
      <c r="A1172" s="0" t="s">
        <v>912</v>
      </c>
      <c r="B1172" s="0" t="n">
        <v>799</v>
      </c>
      <c r="C1172" s="0" t="str">
        <f aca="false">TEXT(VLOOKUP(B1172,$I$2:$J$20,2,FALSE()),"0")</f>
        <v>700</v>
      </c>
      <c r="D1172" s="47" t="n">
        <v>1</v>
      </c>
      <c r="E1172" s="47" t="n">
        <v>139000</v>
      </c>
      <c r="F1172" s="47" t="n">
        <v>37108</v>
      </c>
    </row>
    <row r="1173" customFormat="false" ht="15" hidden="false" customHeight="false" outlineLevel="0" collapsed="false">
      <c r="A1173" s="0" t="s">
        <v>1685</v>
      </c>
      <c r="B1173" s="0" t="n">
        <v>300</v>
      </c>
      <c r="C1173" s="0" t="str">
        <f aca="false">TEXT(VLOOKUP(B1173,$I$2:$J$20,2,FALSE()),"0")</f>
        <v>300</v>
      </c>
      <c r="D1173" s="47" t="n">
        <v>260</v>
      </c>
      <c r="E1173" s="47" t="n">
        <v>62140000</v>
      </c>
      <c r="F1173" s="47" t="n">
        <v>16198000</v>
      </c>
    </row>
    <row r="1174" customFormat="false" ht="15" hidden="false" customHeight="false" outlineLevel="0" collapsed="false">
      <c r="A1174" s="0" t="s">
        <v>487</v>
      </c>
      <c r="B1174" s="0" t="n">
        <v>100</v>
      </c>
      <c r="C1174" s="0" t="str">
        <f aca="false">TEXT(VLOOKUP(B1174,$I$2:$J$20,2,FALSE()),"0")</f>
        <v>100</v>
      </c>
      <c r="D1174" s="47" t="n">
        <v>70</v>
      </c>
      <c r="E1174" s="47" t="n">
        <v>6930000</v>
      </c>
      <c r="F1174" s="47" t="n">
        <v>1547140</v>
      </c>
    </row>
    <row r="1175" customFormat="false" ht="15" hidden="false" customHeight="false" outlineLevel="0" collapsed="false">
      <c r="A1175" s="0" t="s">
        <v>487</v>
      </c>
      <c r="B1175" s="0" t="n">
        <v>200</v>
      </c>
      <c r="C1175" s="0" t="str">
        <f aca="false">TEXT(VLOOKUP(B1175,$I$2:$J$20,2,FALSE()),"0")</f>
        <v>200</v>
      </c>
      <c r="D1175" s="47" t="n">
        <v>160</v>
      </c>
      <c r="E1175" s="47" t="n">
        <v>15840000</v>
      </c>
      <c r="F1175" s="47" t="n">
        <v>3536320</v>
      </c>
    </row>
    <row r="1176" customFormat="false" ht="15" hidden="false" customHeight="false" outlineLevel="0" collapsed="false">
      <c r="A1176" s="0" t="s">
        <v>487</v>
      </c>
      <c r="B1176" s="0" t="n">
        <v>299</v>
      </c>
      <c r="C1176" s="0" t="str">
        <f aca="false">TEXT(VLOOKUP(B1176,$I$2:$J$20,2,FALSE()),"0")</f>
        <v>200</v>
      </c>
      <c r="D1176" s="47" t="n">
        <v>2</v>
      </c>
      <c r="E1176" s="47" t="n">
        <v>198000</v>
      </c>
      <c r="F1176" s="47" t="n">
        <v>44204</v>
      </c>
    </row>
    <row r="1177" customFormat="false" ht="15" hidden="false" customHeight="false" outlineLevel="0" collapsed="false">
      <c r="A1177" s="0" t="s">
        <v>487</v>
      </c>
      <c r="B1177" s="0" t="n">
        <v>300</v>
      </c>
      <c r="C1177" s="0" t="str">
        <f aca="false">TEXT(VLOOKUP(B1177,$I$2:$J$20,2,FALSE()),"0")</f>
        <v>300</v>
      </c>
      <c r="D1177" s="47" t="n">
        <v>240</v>
      </c>
      <c r="E1177" s="47" t="n">
        <v>23760000</v>
      </c>
      <c r="F1177" s="47" t="n">
        <v>5304480</v>
      </c>
    </row>
    <row r="1178" customFormat="false" ht="15" hidden="false" customHeight="false" outlineLevel="0" collapsed="false">
      <c r="A1178" s="0" t="s">
        <v>487</v>
      </c>
      <c r="B1178" s="0" t="n">
        <v>800</v>
      </c>
      <c r="C1178" s="0" t="str">
        <f aca="false">TEXT(VLOOKUP(B1178,$I$2:$J$20,2,FALSE()),"0")</f>
        <v>800</v>
      </c>
      <c r="D1178" s="47" t="n">
        <v>60</v>
      </c>
      <c r="E1178" s="47" t="n">
        <v>5940000</v>
      </c>
      <c r="F1178" s="47" t="n">
        <v>1326120</v>
      </c>
    </row>
    <row r="1179" customFormat="false" ht="15" hidden="false" customHeight="false" outlineLevel="0" collapsed="false">
      <c r="A1179" s="0" t="s">
        <v>1075</v>
      </c>
      <c r="B1179" s="0" t="n">
        <v>200</v>
      </c>
      <c r="C1179" s="0" t="str">
        <f aca="false">TEXT(VLOOKUP(B1179,$I$2:$J$20,2,FALSE()),"0")</f>
        <v>200</v>
      </c>
      <c r="D1179" s="47" t="n">
        <v>410</v>
      </c>
      <c r="E1179" s="47" t="n">
        <v>40590000</v>
      </c>
      <c r="F1179" s="47" t="n">
        <v>9061410</v>
      </c>
    </row>
    <row r="1180" customFormat="false" ht="15" hidden="false" customHeight="false" outlineLevel="0" collapsed="false">
      <c r="A1180" s="0" t="s">
        <v>1075</v>
      </c>
      <c r="B1180" s="0" t="n">
        <v>299</v>
      </c>
      <c r="C1180" s="0" t="str">
        <f aca="false">TEXT(VLOOKUP(B1180,$I$2:$J$20,2,FALSE()),"0")</f>
        <v>200</v>
      </c>
      <c r="D1180" s="47" t="n">
        <v>2</v>
      </c>
      <c r="E1180" s="47" t="n">
        <v>198000</v>
      </c>
      <c r="F1180" s="47" t="n">
        <v>44202</v>
      </c>
    </row>
    <row r="1181" customFormat="false" ht="15" hidden="false" customHeight="false" outlineLevel="0" collapsed="false">
      <c r="A1181" s="0" t="s">
        <v>1075</v>
      </c>
      <c r="B1181" s="0" t="n">
        <v>700</v>
      </c>
      <c r="C1181" s="0" t="str">
        <f aca="false">TEXT(VLOOKUP(B1181,$I$2:$J$20,2,FALSE()),"0")</f>
        <v>700</v>
      </c>
      <c r="D1181" s="47" t="n">
        <v>90</v>
      </c>
      <c r="E1181" s="47" t="n">
        <v>8910000</v>
      </c>
      <c r="F1181" s="47" t="n">
        <v>1989090</v>
      </c>
    </row>
    <row r="1182" customFormat="false" ht="15" hidden="false" customHeight="false" outlineLevel="0" collapsed="false">
      <c r="A1182" s="0" t="s">
        <v>1075</v>
      </c>
      <c r="B1182" s="0" t="n">
        <v>799</v>
      </c>
      <c r="C1182" s="0" t="str">
        <f aca="false">TEXT(VLOOKUP(B1182,$I$2:$J$20,2,FALSE()),"0")</f>
        <v>700</v>
      </c>
      <c r="D1182" s="47" t="n">
        <v>1</v>
      </c>
      <c r="E1182" s="47" t="n">
        <v>99000</v>
      </c>
      <c r="F1182" s="47" t="n">
        <v>22101</v>
      </c>
    </row>
    <row r="1183" customFormat="false" ht="15" hidden="false" customHeight="false" outlineLevel="0" collapsed="false">
      <c r="A1183" s="0" t="s">
        <v>1075</v>
      </c>
      <c r="B1183" s="0" t="n">
        <v>800</v>
      </c>
      <c r="C1183" s="0" t="str">
        <f aca="false">TEXT(VLOOKUP(B1183,$I$2:$J$20,2,FALSE()),"0")</f>
        <v>800</v>
      </c>
      <c r="D1183" s="47" t="n">
        <v>60</v>
      </c>
      <c r="E1183" s="47" t="n">
        <v>5940000</v>
      </c>
      <c r="F1183" s="47" t="n">
        <v>1326060</v>
      </c>
    </row>
    <row r="1184" customFormat="false" ht="15" hidden="false" customHeight="false" outlineLevel="0" collapsed="false">
      <c r="A1184" s="0" t="s">
        <v>489</v>
      </c>
      <c r="B1184" s="0" t="n">
        <v>100</v>
      </c>
      <c r="C1184" s="0" t="str">
        <f aca="false">TEXT(VLOOKUP(B1184,$I$2:$J$20,2,FALSE()),"0")</f>
        <v>100</v>
      </c>
      <c r="D1184" s="47" t="n">
        <v>280</v>
      </c>
      <c r="E1184" s="47" t="n">
        <v>44520000</v>
      </c>
      <c r="F1184" s="47" t="n">
        <v>8512280</v>
      </c>
    </row>
    <row r="1185" customFormat="false" ht="15" hidden="false" customHeight="false" outlineLevel="0" collapsed="false">
      <c r="A1185" s="0" t="s">
        <v>489</v>
      </c>
      <c r="B1185" s="0" t="n">
        <v>200</v>
      </c>
      <c r="C1185" s="0" t="str">
        <f aca="false">TEXT(VLOOKUP(B1185,$I$2:$J$20,2,FALSE()),"0")</f>
        <v>200</v>
      </c>
      <c r="D1185" s="47" t="n">
        <v>750</v>
      </c>
      <c r="E1185" s="47" t="n">
        <v>119250000</v>
      </c>
      <c r="F1185" s="47" t="n">
        <v>22800750</v>
      </c>
    </row>
    <row r="1186" customFormat="false" ht="15" hidden="false" customHeight="false" outlineLevel="0" collapsed="false">
      <c r="A1186" s="0" t="s">
        <v>489</v>
      </c>
      <c r="B1186" s="0" t="n">
        <v>299</v>
      </c>
      <c r="C1186" s="0" t="str">
        <f aca="false">TEXT(VLOOKUP(B1186,$I$2:$J$20,2,FALSE()),"0")</f>
        <v>200</v>
      </c>
      <c r="D1186" s="47" t="n">
        <v>3</v>
      </c>
      <c r="E1186" s="47" t="n">
        <v>477000</v>
      </c>
      <c r="F1186" s="47" t="n">
        <v>91203</v>
      </c>
    </row>
    <row r="1187" customFormat="false" ht="15" hidden="false" customHeight="false" outlineLevel="0" collapsed="false">
      <c r="A1187" s="0" t="s">
        <v>489</v>
      </c>
      <c r="B1187" s="0" t="n">
        <v>300</v>
      </c>
      <c r="C1187" s="0" t="str">
        <f aca="false">TEXT(VLOOKUP(B1187,$I$2:$J$20,2,FALSE()),"0")</f>
        <v>300</v>
      </c>
      <c r="D1187" s="47" t="n">
        <v>420</v>
      </c>
      <c r="E1187" s="47" t="n">
        <v>66780000</v>
      </c>
      <c r="F1187" s="47" t="n">
        <v>12768420</v>
      </c>
    </row>
    <row r="1188" customFormat="false" ht="15" hidden="false" customHeight="false" outlineLevel="0" collapsed="false">
      <c r="A1188" s="0" t="s">
        <v>489</v>
      </c>
      <c r="B1188" s="0" t="n">
        <v>500</v>
      </c>
      <c r="C1188" s="0" t="str">
        <f aca="false">TEXT(VLOOKUP(B1188,$I$2:$J$20,2,FALSE()),"0")</f>
        <v>500</v>
      </c>
      <c r="D1188" s="47" t="n">
        <v>70</v>
      </c>
      <c r="E1188" s="47" t="n">
        <v>11130000</v>
      </c>
      <c r="F1188" s="47" t="n">
        <v>2128070</v>
      </c>
    </row>
    <row r="1189" customFormat="false" ht="15" hidden="false" customHeight="false" outlineLevel="0" collapsed="false">
      <c r="A1189" s="0" t="s">
        <v>489</v>
      </c>
      <c r="B1189" s="0" t="n">
        <v>600</v>
      </c>
      <c r="C1189" s="0" t="str">
        <f aca="false">TEXT(VLOOKUP(B1189,$I$2:$J$20,2,FALSE()),"0")</f>
        <v>600</v>
      </c>
      <c r="D1189" s="47" t="n">
        <v>25</v>
      </c>
      <c r="E1189" s="47" t="n">
        <v>3975000</v>
      </c>
      <c r="F1189" s="47" t="n">
        <v>760025</v>
      </c>
    </row>
    <row r="1190" customFormat="false" ht="15" hidden="false" customHeight="false" outlineLevel="0" collapsed="false">
      <c r="A1190" s="0" t="s">
        <v>489</v>
      </c>
      <c r="B1190" s="0" t="n">
        <v>700</v>
      </c>
      <c r="C1190" s="0" t="str">
        <f aca="false">TEXT(VLOOKUP(B1190,$I$2:$J$20,2,FALSE()),"0")</f>
        <v>700</v>
      </c>
      <c r="D1190" s="47" t="n">
        <v>110</v>
      </c>
      <c r="E1190" s="47" t="n">
        <v>17490000</v>
      </c>
      <c r="F1190" s="47" t="n">
        <v>3344110</v>
      </c>
    </row>
    <row r="1191" customFormat="false" ht="15" hidden="false" customHeight="false" outlineLevel="0" collapsed="false">
      <c r="A1191" s="0" t="s">
        <v>489</v>
      </c>
      <c r="B1191" s="0" t="n">
        <v>799</v>
      </c>
      <c r="C1191" s="0" t="str">
        <f aca="false">TEXT(VLOOKUP(B1191,$I$2:$J$20,2,FALSE()),"0")</f>
        <v>700</v>
      </c>
      <c r="D1191" s="47" t="n">
        <v>1</v>
      </c>
      <c r="E1191" s="47" t="n">
        <v>159000</v>
      </c>
      <c r="F1191" s="47" t="n">
        <v>30401</v>
      </c>
    </row>
    <row r="1192" customFormat="false" ht="15" hidden="false" customHeight="false" outlineLevel="0" collapsed="false">
      <c r="A1192" s="0" t="s">
        <v>491</v>
      </c>
      <c r="B1192" s="0" t="n">
        <v>100</v>
      </c>
      <c r="C1192" s="0" t="str">
        <f aca="false">TEXT(VLOOKUP(B1192,$I$2:$J$20,2,FALSE()),"0")</f>
        <v>100</v>
      </c>
      <c r="D1192" s="47" t="n">
        <v>240</v>
      </c>
      <c r="E1192" s="47" t="n">
        <v>38160000</v>
      </c>
      <c r="F1192" s="47" t="n">
        <v>7920000</v>
      </c>
    </row>
    <row r="1193" customFormat="false" ht="15" hidden="false" customHeight="false" outlineLevel="0" collapsed="false">
      <c r="A1193" s="0" t="s">
        <v>491</v>
      </c>
      <c r="B1193" s="0" t="n">
        <v>300</v>
      </c>
      <c r="C1193" s="0" t="str">
        <f aca="false">TEXT(VLOOKUP(B1193,$I$2:$J$20,2,FALSE()),"0")</f>
        <v>300</v>
      </c>
      <c r="D1193" s="47" t="n">
        <v>420</v>
      </c>
      <c r="E1193" s="47" t="n">
        <v>66780000</v>
      </c>
      <c r="F1193" s="47" t="n">
        <v>13860000</v>
      </c>
    </row>
    <row r="1194" customFormat="false" ht="15" hidden="false" customHeight="false" outlineLevel="0" collapsed="false">
      <c r="A1194" s="0" t="s">
        <v>914</v>
      </c>
      <c r="B1194" s="0" t="n">
        <v>100</v>
      </c>
      <c r="C1194" s="0" t="str">
        <f aca="false">TEXT(VLOOKUP(B1194,$I$2:$J$20,2,FALSE()),"0")</f>
        <v>100</v>
      </c>
      <c r="D1194" s="47" t="n">
        <v>120</v>
      </c>
      <c r="E1194" s="47" t="n">
        <v>14280000</v>
      </c>
      <c r="F1194" s="47" t="n">
        <v>3156000</v>
      </c>
    </row>
    <row r="1195" customFormat="false" ht="15" hidden="false" customHeight="false" outlineLevel="0" collapsed="false">
      <c r="A1195" s="0" t="s">
        <v>914</v>
      </c>
      <c r="B1195" s="0" t="n">
        <v>600</v>
      </c>
      <c r="C1195" s="0" t="str">
        <f aca="false">TEXT(VLOOKUP(B1195,$I$2:$J$20,2,FALSE()),"0")</f>
        <v>600</v>
      </c>
      <c r="D1195" s="47" t="n">
        <v>25</v>
      </c>
      <c r="E1195" s="47" t="n">
        <v>2975000</v>
      </c>
      <c r="F1195" s="47" t="n">
        <v>657500</v>
      </c>
    </row>
    <row r="1196" customFormat="false" ht="15" hidden="false" customHeight="false" outlineLevel="0" collapsed="false">
      <c r="A1196" s="0" t="s">
        <v>1686</v>
      </c>
      <c r="B1196" s="0" t="n">
        <v>810</v>
      </c>
      <c r="C1196" s="0" t="str">
        <f aca="false">TEXT(VLOOKUP(B1196,$I$2:$J$20,2,FALSE()),"0")</f>
        <v>810</v>
      </c>
      <c r="D1196" s="47" t="n">
        <v>228</v>
      </c>
      <c r="E1196" s="47" t="n">
        <v>36252000</v>
      </c>
      <c r="F1196" s="47" t="n">
        <v>8367600</v>
      </c>
    </row>
    <row r="1197" customFormat="false" ht="15" hidden="false" customHeight="false" outlineLevel="0" collapsed="false">
      <c r="A1197" s="0" t="s">
        <v>916</v>
      </c>
      <c r="B1197" s="0" t="n">
        <v>100</v>
      </c>
      <c r="C1197" s="0" t="str">
        <f aca="false">TEXT(VLOOKUP(B1197,$I$2:$J$20,2,FALSE()),"0")</f>
        <v>100</v>
      </c>
      <c r="D1197" s="47" t="n">
        <v>180</v>
      </c>
      <c r="E1197" s="47" t="n">
        <v>35820000</v>
      </c>
      <c r="F1197" s="47" t="n">
        <v>8619120</v>
      </c>
    </row>
    <row r="1198" customFormat="false" ht="15" hidden="false" customHeight="false" outlineLevel="0" collapsed="false">
      <c r="A1198" s="0" t="s">
        <v>916</v>
      </c>
      <c r="B1198" s="0" t="n">
        <v>810</v>
      </c>
      <c r="C1198" s="0" t="str">
        <f aca="false">TEXT(VLOOKUP(B1198,$I$2:$J$20,2,FALSE()),"0")</f>
        <v>810</v>
      </c>
      <c r="D1198" s="47" t="n">
        <v>228</v>
      </c>
      <c r="E1198" s="47" t="n">
        <v>45372000</v>
      </c>
      <c r="F1198" s="47" t="n">
        <v>10917552</v>
      </c>
    </row>
    <row r="1199" customFormat="false" ht="15" hidden="false" customHeight="false" outlineLevel="0" collapsed="false">
      <c r="A1199" s="0" t="s">
        <v>493</v>
      </c>
      <c r="B1199" s="0" t="n">
        <v>100</v>
      </c>
      <c r="C1199" s="0" t="str">
        <f aca="false">TEXT(VLOOKUP(B1199,$I$2:$J$20,2,FALSE()),"0")</f>
        <v>100</v>
      </c>
      <c r="D1199" s="47" t="n">
        <v>210</v>
      </c>
      <c r="E1199" s="47" t="n">
        <v>31290000</v>
      </c>
      <c r="F1199" s="47" t="n">
        <v>6734700</v>
      </c>
    </row>
    <row r="1200" customFormat="false" ht="15" hidden="false" customHeight="false" outlineLevel="0" collapsed="false">
      <c r="A1200" s="0" t="s">
        <v>493</v>
      </c>
      <c r="B1200" s="0" t="n">
        <v>200</v>
      </c>
      <c r="C1200" s="0" t="str">
        <f aca="false">TEXT(VLOOKUP(B1200,$I$2:$J$20,2,FALSE()),"0")</f>
        <v>200</v>
      </c>
      <c r="D1200" s="47" t="n">
        <v>425</v>
      </c>
      <c r="E1200" s="47" t="n">
        <v>63325000</v>
      </c>
      <c r="F1200" s="47" t="n">
        <v>13629750</v>
      </c>
    </row>
    <row r="1201" customFormat="false" ht="15" hidden="false" customHeight="false" outlineLevel="0" collapsed="false">
      <c r="A1201" s="0" t="s">
        <v>493</v>
      </c>
      <c r="B1201" s="0" t="n">
        <v>299</v>
      </c>
      <c r="C1201" s="0" t="str">
        <f aca="false">TEXT(VLOOKUP(B1201,$I$2:$J$20,2,FALSE()),"0")</f>
        <v>200</v>
      </c>
      <c r="D1201" s="47" t="n">
        <v>2</v>
      </c>
      <c r="E1201" s="47" t="n">
        <v>298000</v>
      </c>
      <c r="F1201" s="47" t="n">
        <v>64140</v>
      </c>
    </row>
    <row r="1202" customFormat="false" ht="15" hidden="false" customHeight="false" outlineLevel="0" collapsed="false">
      <c r="A1202" s="0" t="s">
        <v>493</v>
      </c>
      <c r="B1202" s="0" t="n">
        <v>300</v>
      </c>
      <c r="C1202" s="0" t="str">
        <f aca="false">TEXT(VLOOKUP(B1202,$I$2:$J$20,2,FALSE()),"0")</f>
        <v>300</v>
      </c>
      <c r="D1202" s="47" t="n">
        <v>870</v>
      </c>
      <c r="E1202" s="47" t="n">
        <v>129630000</v>
      </c>
      <c r="F1202" s="47" t="n">
        <v>27900900</v>
      </c>
    </row>
    <row r="1203" customFormat="false" ht="15" hidden="false" customHeight="false" outlineLevel="0" collapsed="false">
      <c r="A1203" s="0" t="s">
        <v>493</v>
      </c>
      <c r="B1203" s="0" t="n">
        <v>600</v>
      </c>
      <c r="C1203" s="0" t="str">
        <f aca="false">TEXT(VLOOKUP(B1203,$I$2:$J$20,2,FALSE()),"0")</f>
        <v>600</v>
      </c>
      <c r="D1203" s="47" t="n">
        <v>50</v>
      </c>
      <c r="E1203" s="47" t="n">
        <v>7450000</v>
      </c>
      <c r="F1203" s="47" t="n">
        <v>1603500</v>
      </c>
    </row>
    <row r="1204" customFormat="false" ht="15" hidden="false" customHeight="false" outlineLevel="0" collapsed="false">
      <c r="A1204" s="0" t="s">
        <v>493</v>
      </c>
      <c r="B1204" s="0" t="n">
        <v>700</v>
      </c>
      <c r="C1204" s="0" t="str">
        <f aca="false">TEXT(VLOOKUP(B1204,$I$2:$J$20,2,FALSE()),"0")</f>
        <v>700</v>
      </c>
      <c r="D1204" s="47" t="n">
        <v>50</v>
      </c>
      <c r="E1204" s="47" t="n">
        <v>7450000</v>
      </c>
      <c r="F1204" s="47" t="n">
        <v>1603500</v>
      </c>
    </row>
    <row r="1205" customFormat="false" ht="15" hidden="false" customHeight="false" outlineLevel="0" collapsed="false">
      <c r="A1205" s="0" t="s">
        <v>493</v>
      </c>
      <c r="B1205" s="0" t="n">
        <v>799</v>
      </c>
      <c r="C1205" s="0" t="str">
        <f aca="false">TEXT(VLOOKUP(B1205,$I$2:$J$20,2,FALSE()),"0")</f>
        <v>700</v>
      </c>
      <c r="D1205" s="47" t="n">
        <v>1</v>
      </c>
      <c r="E1205" s="47" t="n">
        <v>149000</v>
      </c>
      <c r="F1205" s="47" t="n">
        <v>32070</v>
      </c>
    </row>
    <row r="1206" customFormat="false" ht="15" hidden="false" customHeight="false" outlineLevel="0" collapsed="false">
      <c r="A1206" s="0" t="s">
        <v>1687</v>
      </c>
      <c r="B1206" s="0" t="n">
        <v>800</v>
      </c>
      <c r="C1206" s="0" t="str">
        <f aca="false">TEXT(VLOOKUP(B1206,$I$2:$J$20,2,FALSE()),"0")</f>
        <v>800</v>
      </c>
      <c r="D1206" s="47" t="n">
        <v>85</v>
      </c>
      <c r="E1206" s="47" t="n">
        <v>18615000</v>
      </c>
      <c r="F1206" s="47" t="n">
        <v>4556000</v>
      </c>
    </row>
    <row r="1207" customFormat="false" ht="15" hidden="false" customHeight="false" outlineLevel="0" collapsed="false">
      <c r="A1207" s="0" t="s">
        <v>495</v>
      </c>
      <c r="B1207" s="0" t="n">
        <v>300</v>
      </c>
      <c r="C1207" s="0" t="str">
        <f aca="false">TEXT(VLOOKUP(B1207,$I$2:$J$20,2,FALSE()),"0")</f>
        <v>300</v>
      </c>
      <c r="D1207" s="47" t="n">
        <v>190</v>
      </c>
      <c r="E1207" s="47" t="n">
        <v>45410000</v>
      </c>
      <c r="F1207" s="47" t="n">
        <v>13706030</v>
      </c>
    </row>
    <row r="1208" customFormat="false" ht="15" hidden="false" customHeight="false" outlineLevel="0" collapsed="false">
      <c r="A1208" s="0" t="s">
        <v>495</v>
      </c>
      <c r="B1208" s="0" t="n">
        <v>700</v>
      </c>
      <c r="C1208" s="0" t="str">
        <f aca="false">TEXT(VLOOKUP(B1208,$I$2:$J$20,2,FALSE()),"0")</f>
        <v>700</v>
      </c>
      <c r="D1208" s="47" t="n">
        <v>155</v>
      </c>
      <c r="E1208" s="47" t="n">
        <v>37045000</v>
      </c>
      <c r="F1208" s="47" t="n">
        <v>11181235</v>
      </c>
    </row>
    <row r="1209" customFormat="false" ht="15" hidden="false" customHeight="false" outlineLevel="0" collapsed="false">
      <c r="A1209" s="0" t="s">
        <v>495</v>
      </c>
      <c r="B1209" s="0" t="n">
        <v>799</v>
      </c>
      <c r="C1209" s="0" t="str">
        <f aca="false">TEXT(VLOOKUP(B1209,$I$2:$J$20,2,FALSE()),"0")</f>
        <v>700</v>
      </c>
      <c r="D1209" s="47" t="n">
        <v>2</v>
      </c>
      <c r="E1209" s="47" t="n">
        <v>478000</v>
      </c>
      <c r="F1209" s="47" t="n">
        <v>144274</v>
      </c>
    </row>
    <row r="1210" customFormat="false" ht="15" hidden="false" customHeight="false" outlineLevel="0" collapsed="false">
      <c r="A1210" s="0" t="s">
        <v>495</v>
      </c>
      <c r="B1210" s="0" t="n">
        <v>800</v>
      </c>
      <c r="C1210" s="0" t="str">
        <f aca="false">TEXT(VLOOKUP(B1210,$I$2:$J$20,2,FALSE()),"0")</f>
        <v>800</v>
      </c>
      <c r="D1210" s="47" t="n">
        <v>45</v>
      </c>
      <c r="E1210" s="47" t="n">
        <v>10755000</v>
      </c>
      <c r="F1210" s="47" t="n">
        <v>3246165</v>
      </c>
    </row>
    <row r="1211" customFormat="false" ht="15" hidden="false" customHeight="false" outlineLevel="0" collapsed="false">
      <c r="A1211" s="0" t="s">
        <v>497</v>
      </c>
      <c r="B1211" s="0" t="n">
        <v>100</v>
      </c>
      <c r="C1211" s="0" t="str">
        <f aca="false">TEXT(VLOOKUP(B1211,$I$2:$J$20,2,FALSE()),"0")</f>
        <v>100</v>
      </c>
      <c r="D1211" s="47" t="n">
        <v>340</v>
      </c>
      <c r="E1211" s="47" t="n">
        <v>88060000</v>
      </c>
      <c r="F1211" s="47" t="n">
        <v>24563300</v>
      </c>
    </row>
    <row r="1212" customFormat="false" ht="15" hidden="false" customHeight="false" outlineLevel="0" collapsed="false">
      <c r="A1212" s="0" t="s">
        <v>497</v>
      </c>
      <c r="B1212" s="0" t="n">
        <v>300</v>
      </c>
      <c r="C1212" s="0" t="str">
        <f aca="false">TEXT(VLOOKUP(B1212,$I$2:$J$20,2,FALSE()),"0")</f>
        <v>300</v>
      </c>
      <c r="D1212" s="47" t="n">
        <v>505</v>
      </c>
      <c r="E1212" s="47" t="n">
        <v>130795000</v>
      </c>
      <c r="F1212" s="47" t="n">
        <v>36483725</v>
      </c>
    </row>
    <row r="1213" customFormat="false" ht="15" hidden="false" customHeight="false" outlineLevel="0" collapsed="false">
      <c r="A1213" s="0" t="s">
        <v>497</v>
      </c>
      <c r="B1213" s="0" t="n">
        <v>600</v>
      </c>
      <c r="C1213" s="0" t="str">
        <f aca="false">TEXT(VLOOKUP(B1213,$I$2:$J$20,2,FALSE()),"0")</f>
        <v>600</v>
      </c>
      <c r="D1213" s="47" t="n">
        <v>40</v>
      </c>
      <c r="E1213" s="47" t="n">
        <v>10360000</v>
      </c>
      <c r="F1213" s="47" t="n">
        <v>2889800</v>
      </c>
    </row>
    <row r="1214" customFormat="false" ht="15" hidden="false" customHeight="false" outlineLevel="0" collapsed="false">
      <c r="A1214" s="0" t="s">
        <v>499</v>
      </c>
      <c r="B1214" s="0" t="n">
        <v>100</v>
      </c>
      <c r="C1214" s="0" t="str">
        <f aca="false">TEXT(VLOOKUP(B1214,$I$2:$J$20,2,FALSE()),"0")</f>
        <v>100</v>
      </c>
      <c r="D1214" s="47" t="n">
        <v>200</v>
      </c>
      <c r="E1214" s="47" t="n">
        <v>33800000</v>
      </c>
      <c r="F1214" s="47" t="n">
        <v>8334600</v>
      </c>
    </row>
    <row r="1215" customFormat="false" ht="15" hidden="false" customHeight="false" outlineLevel="0" collapsed="false">
      <c r="A1215" s="0" t="s">
        <v>499</v>
      </c>
      <c r="B1215" s="0" t="n">
        <v>200</v>
      </c>
      <c r="C1215" s="0" t="str">
        <f aca="false">TEXT(VLOOKUP(B1215,$I$2:$J$20,2,FALSE()),"0")</f>
        <v>200</v>
      </c>
      <c r="D1215" s="47" t="n">
        <v>640</v>
      </c>
      <c r="E1215" s="47" t="n">
        <v>108160000</v>
      </c>
      <c r="F1215" s="47" t="n">
        <v>26670720</v>
      </c>
    </row>
    <row r="1216" customFormat="false" ht="15" hidden="false" customHeight="false" outlineLevel="0" collapsed="false">
      <c r="A1216" s="0" t="s">
        <v>499</v>
      </c>
      <c r="B1216" s="0" t="n">
        <v>299</v>
      </c>
      <c r="C1216" s="0" t="str">
        <f aca="false">TEXT(VLOOKUP(B1216,$I$2:$J$20,2,FALSE()),"0")</f>
        <v>200</v>
      </c>
      <c r="D1216" s="47" t="n">
        <v>3</v>
      </c>
      <c r="E1216" s="47" t="n">
        <v>507000</v>
      </c>
      <c r="F1216" s="47" t="n">
        <v>125019</v>
      </c>
    </row>
    <row r="1217" customFormat="false" ht="15" hidden="false" customHeight="false" outlineLevel="0" collapsed="false">
      <c r="A1217" s="0" t="s">
        <v>499</v>
      </c>
      <c r="B1217" s="0" t="n">
        <v>300</v>
      </c>
      <c r="C1217" s="0" t="str">
        <f aca="false">TEXT(VLOOKUP(B1217,$I$2:$J$20,2,FALSE()),"0")</f>
        <v>300</v>
      </c>
      <c r="D1217" s="47" t="n">
        <v>450</v>
      </c>
      <c r="E1217" s="47" t="n">
        <v>76050000</v>
      </c>
      <c r="F1217" s="47" t="n">
        <v>18752850</v>
      </c>
    </row>
    <row r="1218" customFormat="false" ht="15" hidden="false" customHeight="false" outlineLevel="0" collapsed="false">
      <c r="A1218" s="0" t="s">
        <v>499</v>
      </c>
      <c r="B1218" s="0" t="n">
        <v>600</v>
      </c>
      <c r="C1218" s="0" t="str">
        <f aca="false">TEXT(VLOOKUP(B1218,$I$2:$J$20,2,FALSE()),"0")</f>
        <v>600</v>
      </c>
      <c r="D1218" s="47" t="n">
        <v>110</v>
      </c>
      <c r="E1218" s="47" t="n">
        <v>18590000</v>
      </c>
      <c r="F1218" s="47" t="n">
        <v>4584030</v>
      </c>
    </row>
    <row r="1219" customFormat="false" ht="15" hidden="false" customHeight="false" outlineLevel="0" collapsed="false">
      <c r="A1219" s="0" t="s">
        <v>499</v>
      </c>
      <c r="B1219" s="0" t="n">
        <v>700</v>
      </c>
      <c r="C1219" s="0" t="str">
        <f aca="false">TEXT(VLOOKUP(B1219,$I$2:$J$20,2,FALSE()),"0")</f>
        <v>700</v>
      </c>
      <c r="D1219" s="47" t="n">
        <v>140</v>
      </c>
      <c r="E1219" s="47" t="n">
        <v>23660000</v>
      </c>
      <c r="F1219" s="47" t="n">
        <v>5834220</v>
      </c>
    </row>
    <row r="1220" customFormat="false" ht="15" hidden="false" customHeight="false" outlineLevel="0" collapsed="false">
      <c r="A1220" s="0" t="s">
        <v>499</v>
      </c>
      <c r="B1220" s="0" t="n">
        <v>799</v>
      </c>
      <c r="C1220" s="0" t="str">
        <f aca="false">TEXT(VLOOKUP(B1220,$I$2:$J$20,2,FALSE()),"0")</f>
        <v>700</v>
      </c>
      <c r="D1220" s="47" t="n">
        <v>2</v>
      </c>
      <c r="E1220" s="47" t="n">
        <v>338000</v>
      </c>
      <c r="F1220" s="47" t="n">
        <v>83346</v>
      </c>
    </row>
    <row r="1221" customFormat="false" ht="15" hidden="false" customHeight="false" outlineLevel="0" collapsed="false">
      <c r="A1221" s="0" t="s">
        <v>501</v>
      </c>
      <c r="B1221" s="0" t="n">
        <v>100</v>
      </c>
      <c r="C1221" s="0" t="str">
        <f aca="false">TEXT(VLOOKUP(B1221,$I$2:$J$20,2,FALSE()),"0")</f>
        <v>100</v>
      </c>
      <c r="D1221" s="47" t="n">
        <v>270</v>
      </c>
      <c r="E1221" s="47" t="n">
        <v>51030000</v>
      </c>
      <c r="F1221" s="47" t="n">
        <v>12443760</v>
      </c>
    </row>
    <row r="1222" customFormat="false" ht="15" hidden="false" customHeight="false" outlineLevel="0" collapsed="false">
      <c r="A1222" s="0" t="s">
        <v>501</v>
      </c>
      <c r="B1222" s="0" t="n">
        <v>300</v>
      </c>
      <c r="C1222" s="0" t="str">
        <f aca="false">TEXT(VLOOKUP(B1222,$I$2:$J$20,2,FALSE()),"0")</f>
        <v>300</v>
      </c>
      <c r="D1222" s="47" t="n">
        <v>800</v>
      </c>
      <c r="E1222" s="47" t="n">
        <v>151200000</v>
      </c>
      <c r="F1222" s="47" t="n">
        <v>36870400</v>
      </c>
    </row>
    <row r="1223" customFormat="false" ht="15" hidden="false" customHeight="false" outlineLevel="0" collapsed="false">
      <c r="A1223" s="0" t="s">
        <v>501</v>
      </c>
      <c r="B1223" s="0" t="n">
        <v>600</v>
      </c>
      <c r="C1223" s="0" t="str">
        <f aca="false">TEXT(VLOOKUP(B1223,$I$2:$J$20,2,FALSE()),"0")</f>
        <v>600</v>
      </c>
      <c r="D1223" s="47" t="n">
        <v>25</v>
      </c>
      <c r="E1223" s="47" t="n">
        <v>4725000</v>
      </c>
      <c r="F1223" s="47" t="n">
        <v>1152200</v>
      </c>
    </row>
    <row r="1224" customFormat="false" ht="15" hidden="false" customHeight="false" outlineLevel="0" collapsed="false">
      <c r="A1224" s="0" t="s">
        <v>501</v>
      </c>
      <c r="B1224" s="0" t="n">
        <v>700</v>
      </c>
      <c r="C1224" s="0" t="str">
        <f aca="false">TEXT(VLOOKUP(B1224,$I$2:$J$20,2,FALSE()),"0")</f>
        <v>700</v>
      </c>
      <c r="D1224" s="47" t="n">
        <v>75</v>
      </c>
      <c r="E1224" s="47" t="n">
        <v>14175000</v>
      </c>
      <c r="F1224" s="47" t="n">
        <v>3456600</v>
      </c>
    </row>
    <row r="1225" customFormat="false" ht="15" hidden="false" customHeight="false" outlineLevel="0" collapsed="false">
      <c r="A1225" s="0" t="s">
        <v>501</v>
      </c>
      <c r="B1225" s="0" t="n">
        <v>799</v>
      </c>
      <c r="C1225" s="0" t="str">
        <f aca="false">TEXT(VLOOKUP(B1225,$I$2:$J$20,2,FALSE()),"0")</f>
        <v>700</v>
      </c>
      <c r="D1225" s="47" t="n">
        <v>1</v>
      </c>
      <c r="E1225" s="47" t="n">
        <v>189000</v>
      </c>
      <c r="F1225" s="47" t="n">
        <v>46088</v>
      </c>
    </row>
    <row r="1226" customFormat="false" ht="15" hidden="false" customHeight="false" outlineLevel="0" collapsed="false">
      <c r="A1226" s="0" t="s">
        <v>1688</v>
      </c>
      <c r="B1226" s="0" t="n">
        <v>300</v>
      </c>
      <c r="C1226" s="0" t="str">
        <f aca="false">TEXT(VLOOKUP(B1226,$I$2:$J$20,2,FALSE()),"0")</f>
        <v>300</v>
      </c>
      <c r="D1226" s="47" t="n">
        <v>560</v>
      </c>
      <c r="E1226" s="47" t="n">
        <v>111440000</v>
      </c>
      <c r="F1226" s="47" t="n">
        <v>27048000</v>
      </c>
    </row>
    <row r="1227" customFormat="false" ht="15" hidden="false" customHeight="false" outlineLevel="0" collapsed="false">
      <c r="A1227" s="0" t="s">
        <v>918</v>
      </c>
      <c r="B1227" s="0" t="n">
        <v>100</v>
      </c>
      <c r="C1227" s="0" t="str">
        <f aca="false">TEXT(VLOOKUP(B1227,$I$2:$J$20,2,FALSE()),"0")</f>
        <v>100</v>
      </c>
      <c r="D1227" s="47" t="n">
        <v>420</v>
      </c>
      <c r="E1227" s="47" t="n">
        <v>100380000</v>
      </c>
      <c r="F1227" s="47" t="n">
        <v>28742700</v>
      </c>
    </row>
    <row r="1228" customFormat="false" ht="15" hidden="false" customHeight="false" outlineLevel="0" collapsed="false">
      <c r="A1228" s="0" t="s">
        <v>918</v>
      </c>
      <c r="B1228" s="0" t="n">
        <v>800</v>
      </c>
      <c r="C1228" s="0" t="str">
        <f aca="false">TEXT(VLOOKUP(B1228,$I$2:$J$20,2,FALSE()),"0")</f>
        <v>800</v>
      </c>
      <c r="D1228" s="47" t="n">
        <v>60</v>
      </c>
      <c r="E1228" s="47" t="n">
        <v>14340000</v>
      </c>
      <c r="F1228" s="47" t="n">
        <v>4106100</v>
      </c>
    </row>
    <row r="1229" customFormat="false" ht="15" hidden="false" customHeight="false" outlineLevel="0" collapsed="false">
      <c r="A1229" s="0" t="s">
        <v>920</v>
      </c>
      <c r="B1229" s="0" t="n">
        <v>100</v>
      </c>
      <c r="C1229" s="0" t="str">
        <f aca="false">TEXT(VLOOKUP(B1229,$I$2:$J$20,2,FALSE()),"0")</f>
        <v>100</v>
      </c>
      <c r="D1229" s="47" t="n">
        <v>200</v>
      </c>
      <c r="E1229" s="47" t="n">
        <v>65800000</v>
      </c>
      <c r="F1229" s="47" t="n">
        <v>15672200</v>
      </c>
    </row>
    <row r="1230" customFormat="false" ht="15" hidden="false" customHeight="false" outlineLevel="0" collapsed="false">
      <c r="A1230" s="0" t="s">
        <v>920</v>
      </c>
      <c r="B1230" s="0" t="n">
        <v>800</v>
      </c>
      <c r="C1230" s="0" t="str">
        <f aca="false">TEXT(VLOOKUP(B1230,$I$2:$J$20,2,FALSE()),"0")</f>
        <v>800</v>
      </c>
      <c r="D1230" s="47" t="n">
        <v>110</v>
      </c>
      <c r="E1230" s="47" t="n">
        <v>36190000</v>
      </c>
      <c r="F1230" s="47" t="n">
        <v>8619710</v>
      </c>
    </row>
    <row r="1231" customFormat="false" ht="15" hidden="false" customHeight="false" outlineLevel="0" collapsed="false">
      <c r="A1231" s="0" t="s">
        <v>503</v>
      </c>
      <c r="B1231" s="0" t="n">
        <v>100</v>
      </c>
      <c r="C1231" s="0" t="str">
        <f aca="false">TEXT(VLOOKUP(B1231,$I$2:$J$20,2,FALSE()),"0")</f>
        <v>100</v>
      </c>
      <c r="D1231" s="47" t="n">
        <v>280</v>
      </c>
      <c r="E1231" s="47" t="n">
        <v>72520000</v>
      </c>
      <c r="F1231" s="47" t="n">
        <v>21794640</v>
      </c>
    </row>
    <row r="1232" customFormat="false" ht="15" hidden="false" customHeight="false" outlineLevel="0" collapsed="false">
      <c r="A1232" s="0" t="s">
        <v>503</v>
      </c>
      <c r="B1232" s="0" t="n">
        <v>300</v>
      </c>
      <c r="C1232" s="0" t="str">
        <f aca="false">TEXT(VLOOKUP(B1232,$I$2:$J$20,2,FALSE()),"0")</f>
        <v>300</v>
      </c>
      <c r="D1232" s="47" t="n">
        <v>30</v>
      </c>
      <c r="E1232" s="47" t="n">
        <v>7770000</v>
      </c>
      <c r="F1232" s="47" t="n">
        <v>2335140</v>
      </c>
    </row>
    <row r="1233" customFormat="false" ht="15" hidden="false" customHeight="false" outlineLevel="0" collapsed="false">
      <c r="A1233" s="0" t="s">
        <v>1689</v>
      </c>
      <c r="B1233" s="0" t="n">
        <v>100</v>
      </c>
      <c r="C1233" s="0" t="str">
        <f aca="false">TEXT(VLOOKUP(B1233,$I$2:$J$20,2,FALSE()),"0")</f>
        <v>100</v>
      </c>
      <c r="D1233" s="47" t="n">
        <v>200</v>
      </c>
      <c r="E1233" s="47" t="n">
        <v>65800000</v>
      </c>
      <c r="F1233" s="47" t="n">
        <v>17180000</v>
      </c>
    </row>
    <row r="1234" customFormat="false" ht="15" hidden="false" customHeight="false" outlineLevel="0" collapsed="false">
      <c r="A1234" s="0" t="s">
        <v>1689</v>
      </c>
      <c r="B1234" s="0" t="n">
        <v>600</v>
      </c>
      <c r="C1234" s="0" t="str">
        <f aca="false">TEXT(VLOOKUP(B1234,$I$2:$J$20,2,FALSE()),"0")</f>
        <v>600</v>
      </c>
      <c r="D1234" s="47" t="n">
        <v>25</v>
      </c>
      <c r="E1234" s="47" t="n">
        <v>8225000</v>
      </c>
      <c r="F1234" s="47" t="n">
        <v>2147500</v>
      </c>
    </row>
    <row r="1235" customFormat="false" ht="15" hidden="false" customHeight="false" outlineLevel="0" collapsed="false">
      <c r="A1235" s="0" t="s">
        <v>505</v>
      </c>
      <c r="B1235" s="0" t="n">
        <v>100</v>
      </c>
      <c r="C1235" s="0" t="str">
        <f aca="false">TEXT(VLOOKUP(B1235,$I$2:$J$20,2,FALSE()),"0")</f>
        <v>100</v>
      </c>
      <c r="D1235" s="47" t="n">
        <v>310</v>
      </c>
      <c r="E1235" s="47" t="n">
        <v>92690000</v>
      </c>
      <c r="F1235" s="47" t="n">
        <v>19915950</v>
      </c>
    </row>
    <row r="1236" customFormat="false" ht="15" hidden="false" customHeight="false" outlineLevel="0" collapsed="false">
      <c r="A1236" s="0" t="s">
        <v>505</v>
      </c>
      <c r="B1236" s="0" t="n">
        <v>300</v>
      </c>
      <c r="C1236" s="0" t="str">
        <f aca="false">TEXT(VLOOKUP(B1236,$I$2:$J$20,2,FALSE()),"0")</f>
        <v>300</v>
      </c>
      <c r="D1236" s="47" t="n">
        <v>585</v>
      </c>
      <c r="E1236" s="47" t="n">
        <v>174915000</v>
      </c>
      <c r="F1236" s="47" t="n">
        <v>37583325</v>
      </c>
    </row>
    <row r="1237" customFormat="false" ht="15" hidden="false" customHeight="false" outlineLevel="0" collapsed="false">
      <c r="A1237" s="0" t="s">
        <v>505</v>
      </c>
      <c r="B1237" s="0" t="n">
        <v>600</v>
      </c>
      <c r="C1237" s="0" t="str">
        <f aca="false">TEXT(VLOOKUP(B1237,$I$2:$J$20,2,FALSE()),"0")</f>
        <v>600</v>
      </c>
      <c r="D1237" s="47" t="n">
        <v>25</v>
      </c>
      <c r="E1237" s="47" t="n">
        <v>7475000</v>
      </c>
      <c r="F1237" s="47" t="n">
        <v>1606125</v>
      </c>
    </row>
    <row r="1238" customFormat="false" ht="15" hidden="false" customHeight="false" outlineLevel="0" collapsed="false">
      <c r="A1238" s="0" t="s">
        <v>505</v>
      </c>
      <c r="B1238" s="0" t="n">
        <v>700</v>
      </c>
      <c r="C1238" s="0" t="str">
        <f aca="false">TEXT(VLOOKUP(B1238,$I$2:$J$20,2,FALSE()),"0")</f>
        <v>700</v>
      </c>
      <c r="D1238" s="47" t="n">
        <v>90</v>
      </c>
      <c r="E1238" s="47" t="n">
        <v>26910000</v>
      </c>
      <c r="F1238" s="47" t="n">
        <v>5782050</v>
      </c>
    </row>
    <row r="1239" customFormat="false" ht="15" hidden="false" customHeight="false" outlineLevel="0" collapsed="false">
      <c r="A1239" s="0" t="s">
        <v>505</v>
      </c>
      <c r="B1239" s="0" t="n">
        <v>799</v>
      </c>
      <c r="C1239" s="0" t="str">
        <f aca="false">TEXT(VLOOKUP(B1239,$I$2:$J$20,2,FALSE()),"0")</f>
        <v>700</v>
      </c>
      <c r="D1239" s="47" t="n">
        <v>1</v>
      </c>
      <c r="E1239" s="47" t="n">
        <v>299000</v>
      </c>
      <c r="F1239" s="47" t="n">
        <v>64245</v>
      </c>
    </row>
    <row r="1240" customFormat="false" ht="15" hidden="false" customHeight="false" outlineLevel="0" collapsed="false">
      <c r="A1240" s="0" t="s">
        <v>922</v>
      </c>
      <c r="B1240" s="0" t="n">
        <v>100</v>
      </c>
      <c r="C1240" s="0" t="str">
        <f aca="false">TEXT(VLOOKUP(B1240,$I$2:$J$20,2,FALSE()),"0")</f>
        <v>100</v>
      </c>
      <c r="D1240" s="47" t="n">
        <v>100</v>
      </c>
      <c r="E1240" s="47" t="n">
        <v>32900000</v>
      </c>
      <c r="F1240" s="47" t="n">
        <v>9910000</v>
      </c>
    </row>
    <row r="1241" customFormat="false" ht="15" hidden="false" customHeight="false" outlineLevel="0" collapsed="false">
      <c r="A1241" s="0" t="s">
        <v>922</v>
      </c>
      <c r="B1241" s="0" t="n">
        <v>300</v>
      </c>
      <c r="C1241" s="0" t="str">
        <f aca="false">TEXT(VLOOKUP(B1241,$I$2:$J$20,2,FALSE()),"0")</f>
        <v>300</v>
      </c>
      <c r="D1241" s="47" t="n">
        <v>100</v>
      </c>
      <c r="E1241" s="47" t="n">
        <v>32900000</v>
      </c>
      <c r="F1241" s="47" t="n">
        <v>9910000</v>
      </c>
    </row>
    <row r="1242" customFormat="false" ht="15" hidden="false" customHeight="false" outlineLevel="0" collapsed="false">
      <c r="A1242" s="0" t="s">
        <v>922</v>
      </c>
      <c r="B1242" s="0" t="n">
        <v>500</v>
      </c>
      <c r="C1242" s="0" t="str">
        <f aca="false">TEXT(VLOOKUP(B1242,$I$2:$J$20,2,FALSE()),"0")</f>
        <v>500</v>
      </c>
      <c r="D1242" s="47" t="n">
        <v>35</v>
      </c>
      <c r="E1242" s="47" t="n">
        <v>11515000</v>
      </c>
      <c r="F1242" s="47" t="n">
        <v>3468500</v>
      </c>
    </row>
    <row r="1243" customFormat="false" ht="15" hidden="false" customHeight="false" outlineLevel="0" collapsed="false">
      <c r="A1243" s="0" t="s">
        <v>922</v>
      </c>
      <c r="B1243" s="0" t="n">
        <v>700</v>
      </c>
      <c r="C1243" s="0" t="str">
        <f aca="false">TEXT(VLOOKUP(B1243,$I$2:$J$20,2,FALSE()),"0")</f>
        <v>700</v>
      </c>
      <c r="D1243" s="47" t="n">
        <v>150</v>
      </c>
      <c r="E1243" s="47" t="n">
        <v>49350000</v>
      </c>
      <c r="F1243" s="47" t="n">
        <v>14865000</v>
      </c>
    </row>
    <row r="1244" customFormat="false" ht="15" hidden="false" customHeight="false" outlineLevel="0" collapsed="false">
      <c r="A1244" s="0" t="s">
        <v>922</v>
      </c>
      <c r="B1244" s="0" t="n">
        <v>799</v>
      </c>
      <c r="C1244" s="0" t="str">
        <f aca="false">TEXT(VLOOKUP(B1244,$I$2:$J$20,2,FALSE()),"0")</f>
        <v>700</v>
      </c>
      <c r="D1244" s="47" t="n">
        <v>2</v>
      </c>
      <c r="E1244" s="47" t="n">
        <v>658000</v>
      </c>
      <c r="F1244" s="47" t="n">
        <v>198200</v>
      </c>
    </row>
    <row r="1245" customFormat="false" ht="15" hidden="false" customHeight="false" outlineLevel="0" collapsed="false">
      <c r="A1245" s="0" t="s">
        <v>1690</v>
      </c>
      <c r="B1245" s="0" t="n">
        <v>100</v>
      </c>
      <c r="C1245" s="0" t="str">
        <f aca="false">TEXT(VLOOKUP(B1245,$I$2:$J$20,2,FALSE()),"0")</f>
        <v>100</v>
      </c>
      <c r="D1245" s="47" t="n">
        <v>140</v>
      </c>
      <c r="E1245" s="47" t="n">
        <v>55860000</v>
      </c>
      <c r="F1245" s="47" t="n">
        <v>14910000</v>
      </c>
    </row>
    <row r="1246" customFormat="false" ht="15" hidden="false" customHeight="false" outlineLevel="0" collapsed="false">
      <c r="A1246" s="0" t="s">
        <v>1690</v>
      </c>
      <c r="B1246" s="0" t="n">
        <v>300</v>
      </c>
      <c r="C1246" s="0" t="str">
        <f aca="false">TEXT(VLOOKUP(B1246,$I$2:$J$20,2,FALSE()),"0")</f>
        <v>300</v>
      </c>
      <c r="D1246" s="47" t="n">
        <v>480</v>
      </c>
      <c r="E1246" s="47" t="n">
        <v>191520000</v>
      </c>
      <c r="F1246" s="47" t="n">
        <v>51120000</v>
      </c>
    </row>
    <row r="1247" customFormat="false" ht="15" hidden="false" customHeight="false" outlineLevel="0" collapsed="false">
      <c r="A1247" s="0" t="s">
        <v>1690</v>
      </c>
      <c r="B1247" s="0" t="n">
        <v>600</v>
      </c>
      <c r="C1247" s="0" t="str">
        <f aca="false">TEXT(VLOOKUP(B1247,$I$2:$J$20,2,FALSE()),"0")</f>
        <v>600</v>
      </c>
      <c r="D1247" s="47" t="n">
        <v>15</v>
      </c>
      <c r="E1247" s="47" t="n">
        <v>5985000</v>
      </c>
      <c r="F1247" s="47" t="n">
        <v>1597500</v>
      </c>
    </row>
    <row r="1248" customFormat="false" ht="15" hidden="false" customHeight="false" outlineLevel="0" collapsed="false">
      <c r="A1248" s="0" t="s">
        <v>1690</v>
      </c>
      <c r="B1248" s="0" t="n">
        <v>700</v>
      </c>
      <c r="C1248" s="0" t="str">
        <f aca="false">TEXT(VLOOKUP(B1248,$I$2:$J$20,2,FALSE()),"0")</f>
        <v>700</v>
      </c>
      <c r="D1248" s="47" t="n">
        <v>25</v>
      </c>
      <c r="E1248" s="47" t="n">
        <v>9975000</v>
      </c>
      <c r="F1248" s="47" t="n">
        <v>2662500</v>
      </c>
    </row>
    <row r="1249" customFormat="false" ht="15" hidden="false" customHeight="false" outlineLevel="0" collapsed="false">
      <c r="A1249" s="0" t="s">
        <v>1690</v>
      </c>
      <c r="B1249" s="0" t="n">
        <v>799</v>
      </c>
      <c r="C1249" s="0" t="str">
        <f aca="false">TEXT(VLOOKUP(B1249,$I$2:$J$20,2,FALSE()),"0")</f>
        <v>700</v>
      </c>
      <c r="D1249" s="47" t="n">
        <v>1</v>
      </c>
      <c r="E1249" s="47" t="n">
        <v>399000</v>
      </c>
      <c r="F1249" s="47" t="n">
        <v>106500</v>
      </c>
    </row>
    <row r="1250" customFormat="false" ht="15" hidden="false" customHeight="false" outlineLevel="0" collapsed="false">
      <c r="A1250" s="0" t="s">
        <v>507</v>
      </c>
      <c r="B1250" s="0" t="n">
        <v>100</v>
      </c>
      <c r="C1250" s="0" t="str">
        <f aca="false">TEXT(VLOOKUP(B1250,$I$2:$J$20,2,FALSE()),"0")</f>
        <v>100</v>
      </c>
      <c r="D1250" s="47" t="n">
        <v>100</v>
      </c>
      <c r="E1250" s="47" t="n">
        <v>43900000</v>
      </c>
      <c r="F1250" s="47" t="n">
        <v>10577000</v>
      </c>
    </row>
    <row r="1251" customFormat="false" ht="15" hidden="false" customHeight="false" outlineLevel="0" collapsed="false">
      <c r="A1251" s="0" t="s">
        <v>507</v>
      </c>
      <c r="B1251" s="0" t="n">
        <v>101</v>
      </c>
      <c r="C1251" s="0" t="str">
        <f aca="false">TEXT(VLOOKUP(B1251,$I$2:$J$20,2,FALSE()),"0")</f>
        <v>100</v>
      </c>
      <c r="D1251" s="47" t="n">
        <v>50</v>
      </c>
      <c r="E1251" s="47" t="n">
        <v>21950000</v>
      </c>
      <c r="F1251" s="47" t="n">
        <v>5288500</v>
      </c>
    </row>
    <row r="1252" customFormat="false" ht="15" hidden="false" customHeight="false" outlineLevel="0" collapsed="false">
      <c r="A1252" s="0" t="s">
        <v>507</v>
      </c>
      <c r="B1252" s="0" t="n">
        <v>300</v>
      </c>
      <c r="C1252" s="0" t="str">
        <f aca="false">TEXT(VLOOKUP(B1252,$I$2:$J$20,2,FALSE()),"0")</f>
        <v>300</v>
      </c>
      <c r="D1252" s="47" t="n">
        <v>360</v>
      </c>
      <c r="E1252" s="47" t="n">
        <v>158040000</v>
      </c>
      <c r="F1252" s="47" t="n">
        <v>38077200</v>
      </c>
    </row>
    <row r="1253" customFormat="false" ht="15" hidden="false" customHeight="false" outlineLevel="0" collapsed="false">
      <c r="A1253" s="0" t="s">
        <v>507</v>
      </c>
      <c r="B1253" s="0" t="n">
        <v>301</v>
      </c>
      <c r="C1253" s="0" t="str">
        <f aca="false">TEXT(VLOOKUP(B1253,$I$2:$J$20,2,FALSE()),"0")</f>
        <v>300</v>
      </c>
      <c r="D1253" s="47" t="n">
        <v>60</v>
      </c>
      <c r="E1253" s="47" t="n">
        <v>26340000</v>
      </c>
      <c r="F1253" s="47" t="n">
        <v>6346200</v>
      </c>
    </row>
    <row r="1254" customFormat="false" ht="15" hidden="false" customHeight="false" outlineLevel="0" collapsed="false">
      <c r="A1254" s="0" t="s">
        <v>507</v>
      </c>
      <c r="B1254" s="0" t="n">
        <v>800</v>
      </c>
      <c r="C1254" s="0" t="str">
        <f aca="false">TEXT(VLOOKUP(B1254,$I$2:$J$20,2,FALSE()),"0")</f>
        <v>800</v>
      </c>
      <c r="D1254" s="47" t="n">
        <v>40</v>
      </c>
      <c r="E1254" s="47" t="n">
        <v>17560000</v>
      </c>
      <c r="F1254" s="47" t="n">
        <v>4230800</v>
      </c>
    </row>
    <row r="1255" customFormat="false" ht="15" hidden="false" customHeight="false" outlineLevel="0" collapsed="false">
      <c r="A1255" s="0" t="s">
        <v>509</v>
      </c>
      <c r="B1255" s="0" t="n">
        <v>100</v>
      </c>
      <c r="C1255" s="0" t="str">
        <f aca="false">TEXT(VLOOKUP(B1255,$I$2:$J$20,2,FALSE()),"0")</f>
        <v>100</v>
      </c>
      <c r="D1255" s="47" t="n">
        <v>200</v>
      </c>
      <c r="E1255" s="47" t="n">
        <v>79800000</v>
      </c>
      <c r="F1255" s="47" t="n">
        <v>20985200</v>
      </c>
    </row>
    <row r="1256" customFormat="false" ht="15" hidden="false" customHeight="false" outlineLevel="0" collapsed="false">
      <c r="A1256" s="0" t="s">
        <v>509</v>
      </c>
      <c r="B1256" s="0" t="n">
        <v>200</v>
      </c>
      <c r="C1256" s="0" t="str">
        <f aca="false">TEXT(VLOOKUP(B1256,$I$2:$J$20,2,FALSE()),"0")</f>
        <v>200</v>
      </c>
      <c r="D1256" s="47" t="n">
        <v>260</v>
      </c>
      <c r="E1256" s="47" t="n">
        <v>103740000</v>
      </c>
      <c r="F1256" s="47" t="n">
        <v>27280760</v>
      </c>
    </row>
    <row r="1257" customFormat="false" ht="15" hidden="false" customHeight="false" outlineLevel="0" collapsed="false">
      <c r="A1257" s="0" t="s">
        <v>509</v>
      </c>
      <c r="B1257" s="0" t="n">
        <v>299</v>
      </c>
      <c r="C1257" s="0" t="str">
        <f aca="false">TEXT(VLOOKUP(B1257,$I$2:$J$20,2,FALSE()),"0")</f>
        <v>200</v>
      </c>
      <c r="D1257" s="47" t="n">
        <v>3</v>
      </c>
      <c r="E1257" s="47" t="n">
        <v>1197000</v>
      </c>
      <c r="F1257" s="47" t="n">
        <v>314778</v>
      </c>
    </row>
    <row r="1258" customFormat="false" ht="15" hidden="false" customHeight="false" outlineLevel="0" collapsed="false">
      <c r="A1258" s="0" t="s">
        <v>509</v>
      </c>
      <c r="B1258" s="0" t="n">
        <v>300</v>
      </c>
      <c r="C1258" s="0" t="str">
        <f aca="false">TEXT(VLOOKUP(B1258,$I$2:$J$20,2,FALSE()),"0")</f>
        <v>300</v>
      </c>
      <c r="D1258" s="47" t="n">
        <v>140</v>
      </c>
      <c r="E1258" s="47" t="n">
        <v>55860000</v>
      </c>
      <c r="F1258" s="47" t="n">
        <v>14689640</v>
      </c>
    </row>
    <row r="1259" customFormat="false" ht="15" hidden="false" customHeight="false" outlineLevel="0" collapsed="false">
      <c r="A1259" s="0" t="s">
        <v>1077</v>
      </c>
      <c r="B1259" s="0" t="n">
        <v>100</v>
      </c>
      <c r="C1259" s="0" t="str">
        <f aca="false">TEXT(VLOOKUP(B1259,$I$2:$J$20,2,FALSE()),"0")</f>
        <v>100</v>
      </c>
      <c r="D1259" s="47" t="n">
        <v>50</v>
      </c>
      <c r="E1259" s="47" t="n">
        <v>22950000</v>
      </c>
      <c r="F1259" s="47" t="n">
        <v>6085000</v>
      </c>
    </row>
    <row r="1260" customFormat="false" ht="15" hidden="false" customHeight="false" outlineLevel="0" collapsed="false">
      <c r="A1260" s="0" t="s">
        <v>1077</v>
      </c>
      <c r="B1260" s="0" t="n">
        <v>200</v>
      </c>
      <c r="C1260" s="0" t="str">
        <f aca="false">TEXT(VLOOKUP(B1260,$I$2:$J$20,2,FALSE()),"0")</f>
        <v>200</v>
      </c>
      <c r="D1260" s="47" t="n">
        <v>220</v>
      </c>
      <c r="E1260" s="47" t="n">
        <v>100980000</v>
      </c>
      <c r="F1260" s="47" t="n">
        <v>26774000</v>
      </c>
    </row>
    <row r="1261" customFormat="false" ht="15" hidden="false" customHeight="false" outlineLevel="0" collapsed="false">
      <c r="A1261" s="0" t="s">
        <v>1077</v>
      </c>
      <c r="B1261" s="0" t="n">
        <v>299</v>
      </c>
      <c r="C1261" s="0" t="str">
        <f aca="false">TEXT(VLOOKUP(B1261,$I$2:$J$20,2,FALSE()),"0")</f>
        <v>200</v>
      </c>
      <c r="D1261" s="47" t="n">
        <v>2</v>
      </c>
      <c r="E1261" s="47" t="n">
        <v>918000</v>
      </c>
      <c r="F1261" s="47" t="n">
        <v>243400</v>
      </c>
    </row>
    <row r="1262" customFormat="false" ht="15" hidden="false" customHeight="false" outlineLevel="0" collapsed="false">
      <c r="A1262" s="0" t="s">
        <v>1691</v>
      </c>
      <c r="B1262" s="0" t="n">
        <v>101</v>
      </c>
      <c r="C1262" s="0" t="str">
        <f aca="false">TEXT(VLOOKUP(B1262,$I$2:$J$20,2,FALSE()),"0")</f>
        <v>100</v>
      </c>
      <c r="D1262" s="47" t="n">
        <v>50</v>
      </c>
      <c r="E1262" s="47" t="n">
        <v>14950000</v>
      </c>
      <c r="F1262" s="47" t="n">
        <v>0</v>
      </c>
    </row>
    <row r="1263" customFormat="false" ht="15" hidden="false" customHeight="false" outlineLevel="0" collapsed="false">
      <c r="A1263" s="0" t="s">
        <v>1691</v>
      </c>
      <c r="B1263" s="0" t="n">
        <v>300</v>
      </c>
      <c r="C1263" s="0" t="str">
        <f aca="false">TEXT(VLOOKUP(B1263,$I$2:$J$20,2,FALSE()),"0")</f>
        <v>300</v>
      </c>
      <c r="D1263" s="47" t="n">
        <v>320</v>
      </c>
      <c r="E1263" s="47" t="n">
        <v>95680000</v>
      </c>
      <c r="F1263" s="47" t="n">
        <v>0</v>
      </c>
    </row>
    <row r="1264" customFormat="false" ht="15" hidden="false" customHeight="false" outlineLevel="0" collapsed="false">
      <c r="A1264" s="0" t="s">
        <v>511</v>
      </c>
      <c r="B1264" s="0" t="n">
        <v>100</v>
      </c>
      <c r="C1264" s="0" t="str">
        <f aca="false">TEXT(VLOOKUP(B1264,$I$2:$J$20,2,FALSE()),"0")</f>
        <v>100</v>
      </c>
      <c r="D1264" s="47" t="n">
        <v>150</v>
      </c>
      <c r="E1264" s="47" t="n">
        <v>65850000</v>
      </c>
      <c r="F1264" s="47" t="n">
        <v>17276100</v>
      </c>
    </row>
    <row r="1265" customFormat="false" ht="15" hidden="false" customHeight="false" outlineLevel="0" collapsed="false">
      <c r="A1265" s="0" t="s">
        <v>511</v>
      </c>
      <c r="B1265" s="0" t="n">
        <v>200</v>
      </c>
      <c r="C1265" s="0" t="str">
        <f aca="false">TEXT(VLOOKUP(B1265,$I$2:$J$20,2,FALSE()),"0")</f>
        <v>200</v>
      </c>
      <c r="D1265" s="47" t="n">
        <v>460</v>
      </c>
      <c r="E1265" s="47" t="n">
        <v>201940000</v>
      </c>
      <c r="F1265" s="47" t="n">
        <v>52980040</v>
      </c>
    </row>
    <row r="1266" customFormat="false" ht="15" hidden="false" customHeight="false" outlineLevel="0" collapsed="false">
      <c r="A1266" s="0" t="s">
        <v>511</v>
      </c>
      <c r="B1266" s="0" t="n">
        <v>299</v>
      </c>
      <c r="C1266" s="0" t="str">
        <f aca="false">TEXT(VLOOKUP(B1266,$I$2:$J$20,2,FALSE()),"0")</f>
        <v>200</v>
      </c>
      <c r="D1266" s="47" t="n">
        <v>2</v>
      </c>
      <c r="E1266" s="47" t="n">
        <v>878000</v>
      </c>
      <c r="F1266" s="47" t="n">
        <v>230348</v>
      </c>
    </row>
    <row r="1267" customFormat="false" ht="15" hidden="false" customHeight="false" outlineLevel="0" collapsed="false">
      <c r="A1267" s="0" t="s">
        <v>511</v>
      </c>
      <c r="B1267" s="0" t="n">
        <v>300</v>
      </c>
      <c r="C1267" s="0" t="str">
        <f aca="false">TEXT(VLOOKUP(B1267,$I$2:$J$20,2,FALSE()),"0")</f>
        <v>300</v>
      </c>
      <c r="D1267" s="47" t="n">
        <v>270</v>
      </c>
      <c r="E1267" s="47" t="n">
        <v>118530000</v>
      </c>
      <c r="F1267" s="47" t="n">
        <v>31096980</v>
      </c>
    </row>
    <row r="1268" customFormat="false" ht="15" hidden="false" customHeight="false" outlineLevel="0" collapsed="false">
      <c r="A1268" s="0" t="s">
        <v>511</v>
      </c>
      <c r="B1268" s="0" t="n">
        <v>600</v>
      </c>
      <c r="C1268" s="0" t="str">
        <f aca="false">TEXT(VLOOKUP(B1268,$I$2:$J$20,2,FALSE()),"0")</f>
        <v>600</v>
      </c>
      <c r="D1268" s="47" t="n">
        <v>25</v>
      </c>
      <c r="E1268" s="47" t="n">
        <v>10975000</v>
      </c>
      <c r="F1268" s="47" t="n">
        <v>2879350</v>
      </c>
    </row>
    <row r="1269" customFormat="false" ht="15" hidden="false" customHeight="false" outlineLevel="0" collapsed="false">
      <c r="A1269" s="0" t="s">
        <v>511</v>
      </c>
      <c r="B1269" s="0" t="n">
        <v>700</v>
      </c>
      <c r="C1269" s="0" t="str">
        <f aca="false">TEXT(VLOOKUP(B1269,$I$2:$J$20,2,FALSE()),"0")</f>
        <v>700</v>
      </c>
      <c r="D1269" s="47" t="n">
        <v>140</v>
      </c>
      <c r="E1269" s="47" t="n">
        <v>61460000</v>
      </c>
      <c r="F1269" s="47" t="n">
        <v>16124360</v>
      </c>
    </row>
    <row r="1270" customFormat="false" ht="15" hidden="false" customHeight="false" outlineLevel="0" collapsed="false">
      <c r="A1270" s="0" t="s">
        <v>511</v>
      </c>
      <c r="B1270" s="0" t="n">
        <v>799</v>
      </c>
      <c r="C1270" s="0" t="str">
        <f aca="false">TEXT(VLOOKUP(B1270,$I$2:$J$20,2,FALSE()),"0")</f>
        <v>700</v>
      </c>
      <c r="D1270" s="47" t="n">
        <v>2</v>
      </c>
      <c r="E1270" s="47" t="n">
        <v>878000</v>
      </c>
      <c r="F1270" s="47" t="n">
        <v>230348</v>
      </c>
    </row>
    <row r="1271" customFormat="false" ht="15" hidden="false" customHeight="false" outlineLevel="0" collapsed="false">
      <c r="A1271" s="0" t="s">
        <v>924</v>
      </c>
      <c r="B1271" s="0" t="n">
        <v>100</v>
      </c>
      <c r="C1271" s="0" t="str">
        <f aca="false">TEXT(VLOOKUP(B1271,$I$2:$J$20,2,FALSE()),"0")</f>
        <v>100</v>
      </c>
      <c r="D1271" s="47" t="n">
        <v>240</v>
      </c>
      <c r="E1271" s="47" t="n">
        <v>86160000</v>
      </c>
      <c r="F1271" s="47" t="n">
        <v>23284080</v>
      </c>
    </row>
    <row r="1272" customFormat="false" ht="15" hidden="false" customHeight="false" outlineLevel="0" collapsed="false">
      <c r="A1272" s="0" t="s">
        <v>924</v>
      </c>
      <c r="B1272" s="0" t="n">
        <v>700</v>
      </c>
      <c r="C1272" s="0" t="str">
        <f aca="false">TEXT(VLOOKUP(B1272,$I$2:$J$20,2,FALSE()),"0")</f>
        <v>700</v>
      </c>
      <c r="D1272" s="47" t="n">
        <v>50</v>
      </c>
      <c r="E1272" s="47" t="n">
        <v>17950000</v>
      </c>
      <c r="F1272" s="47" t="n">
        <v>4850850</v>
      </c>
    </row>
    <row r="1273" customFormat="false" ht="15" hidden="false" customHeight="false" outlineLevel="0" collapsed="false">
      <c r="A1273" s="0" t="s">
        <v>924</v>
      </c>
      <c r="B1273" s="0" t="n">
        <v>799</v>
      </c>
      <c r="C1273" s="0" t="str">
        <f aca="false">TEXT(VLOOKUP(B1273,$I$2:$J$20,2,FALSE()),"0")</f>
        <v>700</v>
      </c>
      <c r="D1273" s="47" t="n">
        <v>1</v>
      </c>
      <c r="E1273" s="47" t="n">
        <v>359000</v>
      </c>
      <c r="F1273" s="47" t="n">
        <v>97017</v>
      </c>
    </row>
    <row r="1274" customFormat="false" ht="15" hidden="false" customHeight="false" outlineLevel="0" collapsed="false">
      <c r="A1274" s="0" t="s">
        <v>1692</v>
      </c>
      <c r="B1274" s="0" t="n">
        <v>200</v>
      </c>
      <c r="C1274" s="0" t="str">
        <f aca="false">TEXT(VLOOKUP(B1274,$I$2:$J$20,2,FALSE()),"0")</f>
        <v>200</v>
      </c>
      <c r="D1274" s="47" t="n">
        <v>100</v>
      </c>
      <c r="E1274" s="47" t="n">
        <v>39900000</v>
      </c>
      <c r="F1274" s="47" t="n">
        <v>9940000</v>
      </c>
    </row>
    <row r="1275" customFormat="false" ht="15" hidden="false" customHeight="false" outlineLevel="0" collapsed="false">
      <c r="A1275" s="0" t="s">
        <v>1692</v>
      </c>
      <c r="B1275" s="0" t="n">
        <v>500</v>
      </c>
      <c r="C1275" s="0" t="str">
        <f aca="false">TEXT(VLOOKUP(B1275,$I$2:$J$20,2,FALSE()),"0")</f>
        <v>500</v>
      </c>
      <c r="D1275" s="47" t="n">
        <v>30</v>
      </c>
      <c r="E1275" s="47" t="n">
        <v>11970000</v>
      </c>
      <c r="F1275" s="47" t="n">
        <v>2982000</v>
      </c>
    </row>
    <row r="1276" customFormat="false" ht="15" hidden="false" customHeight="false" outlineLevel="0" collapsed="false">
      <c r="A1276" s="0" t="s">
        <v>1694</v>
      </c>
      <c r="B1276" s="0" t="n">
        <v>100</v>
      </c>
      <c r="C1276" s="0" t="str">
        <f aca="false">TEXT(VLOOKUP(B1276,$I$2:$J$20,2,FALSE()),"0")</f>
        <v>100</v>
      </c>
      <c r="D1276" s="47" t="n">
        <v>170</v>
      </c>
      <c r="E1276" s="47" t="n">
        <v>67830000</v>
      </c>
      <c r="F1276" s="47" t="n">
        <v>18598000</v>
      </c>
    </row>
    <row r="1277" customFormat="false" ht="15" hidden="false" customHeight="false" outlineLevel="0" collapsed="false">
      <c r="A1277" s="0" t="s">
        <v>1694</v>
      </c>
      <c r="B1277" s="0" t="n">
        <v>300</v>
      </c>
      <c r="C1277" s="0" t="str">
        <f aca="false">TEXT(VLOOKUP(B1277,$I$2:$J$20,2,FALSE()),"0")</f>
        <v>300</v>
      </c>
      <c r="D1277" s="47" t="n">
        <v>330</v>
      </c>
      <c r="E1277" s="47" t="n">
        <v>131670000</v>
      </c>
      <c r="F1277" s="47" t="n">
        <v>36102000</v>
      </c>
    </row>
    <row r="1278" customFormat="false" ht="15" hidden="false" customHeight="false" outlineLevel="0" collapsed="false">
      <c r="A1278" s="0" t="s">
        <v>1694</v>
      </c>
      <c r="B1278" s="0" t="n">
        <v>600</v>
      </c>
      <c r="C1278" s="0" t="str">
        <f aca="false">TEXT(VLOOKUP(B1278,$I$2:$J$20,2,FALSE()),"0")</f>
        <v>600</v>
      </c>
      <c r="D1278" s="47" t="n">
        <v>45</v>
      </c>
      <c r="E1278" s="47" t="n">
        <v>17955000</v>
      </c>
      <c r="F1278" s="47" t="n">
        <v>4923000</v>
      </c>
    </row>
    <row r="1279" customFormat="false" ht="15" hidden="false" customHeight="false" outlineLevel="0" collapsed="false">
      <c r="A1279" s="0" t="s">
        <v>513</v>
      </c>
      <c r="B1279" s="0" t="n">
        <v>300</v>
      </c>
      <c r="C1279" s="0" t="str">
        <f aca="false">TEXT(VLOOKUP(B1279,$I$2:$J$20,2,FALSE()),"0")</f>
        <v>300</v>
      </c>
      <c r="D1279" s="47" t="n">
        <v>100</v>
      </c>
      <c r="E1279" s="47" t="n">
        <v>24900000</v>
      </c>
      <c r="F1279" s="47" t="n">
        <v>6232900</v>
      </c>
    </row>
    <row r="1280" customFormat="false" ht="15" hidden="false" customHeight="false" outlineLevel="0" collapsed="false">
      <c r="A1280" s="0" t="s">
        <v>1693</v>
      </c>
      <c r="B1280" s="0" t="n">
        <v>100</v>
      </c>
      <c r="C1280" s="0" t="str">
        <f aca="false">TEXT(VLOOKUP(B1280,$I$2:$J$20,2,FALSE()),"0")</f>
        <v>100</v>
      </c>
      <c r="D1280" s="47" t="n">
        <v>240</v>
      </c>
      <c r="E1280" s="47" t="n">
        <v>66960000</v>
      </c>
      <c r="F1280" s="47" t="n">
        <v>20280000</v>
      </c>
    </row>
    <row r="1281" customFormat="false" ht="15" hidden="false" customHeight="false" outlineLevel="0" collapsed="false">
      <c r="A1281" s="0" t="s">
        <v>1693</v>
      </c>
      <c r="B1281" s="0" t="n">
        <v>300</v>
      </c>
      <c r="C1281" s="0" t="str">
        <f aca="false">TEXT(VLOOKUP(B1281,$I$2:$J$20,2,FALSE()),"0")</f>
        <v>300</v>
      </c>
      <c r="D1281" s="47" t="n">
        <v>70</v>
      </c>
      <c r="E1281" s="47" t="n">
        <v>19530000</v>
      </c>
      <c r="F1281" s="47" t="n">
        <v>5915000</v>
      </c>
    </row>
    <row r="1282" customFormat="false" ht="15" hidden="false" customHeight="false" outlineLevel="0" collapsed="false">
      <c r="A1282" s="0" t="s">
        <v>1079</v>
      </c>
      <c r="B1282" s="0" t="n">
        <v>200</v>
      </c>
      <c r="C1282" s="0" t="str">
        <f aca="false">TEXT(VLOOKUP(B1282,$I$2:$J$20,2,FALSE()),"0")</f>
        <v>200</v>
      </c>
      <c r="D1282" s="47" t="n">
        <v>250</v>
      </c>
      <c r="E1282" s="47" t="n">
        <v>64750000</v>
      </c>
      <c r="F1282" s="47" t="n">
        <v>13800000</v>
      </c>
    </row>
    <row r="1283" customFormat="false" ht="15" hidden="false" customHeight="false" outlineLevel="0" collapsed="false">
      <c r="A1283" s="0" t="s">
        <v>1079</v>
      </c>
      <c r="B1283" s="0" t="n">
        <v>299</v>
      </c>
      <c r="C1283" s="0" t="str">
        <f aca="false">TEXT(VLOOKUP(B1283,$I$2:$J$20,2,FALSE()),"0")</f>
        <v>200</v>
      </c>
      <c r="D1283" s="47" t="n">
        <v>2</v>
      </c>
      <c r="E1283" s="47" t="n">
        <v>518000</v>
      </c>
      <c r="F1283" s="47" t="n">
        <v>110400</v>
      </c>
    </row>
    <row r="1284" customFormat="false" ht="15" hidden="false" customHeight="false" outlineLevel="0" collapsed="false">
      <c r="A1284" s="0" t="s">
        <v>1079</v>
      </c>
      <c r="B1284" s="0" t="n">
        <v>800</v>
      </c>
      <c r="C1284" s="0" t="str">
        <f aca="false">TEXT(VLOOKUP(B1284,$I$2:$J$20,2,FALSE()),"0")</f>
        <v>800</v>
      </c>
      <c r="D1284" s="47" t="n">
        <v>50</v>
      </c>
      <c r="E1284" s="47" t="n">
        <v>12950000</v>
      </c>
      <c r="F1284" s="47" t="n">
        <v>2760000</v>
      </c>
    </row>
    <row r="1285" customFormat="false" ht="15" hidden="false" customHeight="false" outlineLevel="0" collapsed="false">
      <c r="A1285" s="0" t="s">
        <v>1695</v>
      </c>
      <c r="B1285" s="0" t="n">
        <v>600</v>
      </c>
      <c r="C1285" s="0" t="str">
        <f aca="false">TEXT(VLOOKUP(B1285,$I$2:$J$20,2,FALSE()),"0")</f>
        <v>600</v>
      </c>
      <c r="D1285" s="47" t="n">
        <v>50</v>
      </c>
      <c r="E1285" s="47" t="n">
        <v>29500000</v>
      </c>
      <c r="F1285" s="47" t="n">
        <v>9205000</v>
      </c>
    </row>
    <row r="1286" customFormat="false" ht="15" hidden="false" customHeight="false" outlineLevel="0" collapsed="false">
      <c r="A1286" s="0" t="s">
        <v>1696</v>
      </c>
      <c r="B1286" s="0" t="n">
        <v>100</v>
      </c>
      <c r="C1286" s="0" t="str">
        <f aca="false">TEXT(VLOOKUP(B1286,$I$2:$J$20,2,FALSE()),"0")</f>
        <v>100</v>
      </c>
      <c r="D1286" s="47" t="n">
        <v>120</v>
      </c>
      <c r="E1286" s="47" t="n">
        <v>82800000</v>
      </c>
      <c r="F1286" s="47" t="n">
        <v>19776000</v>
      </c>
    </row>
    <row r="1287" customFormat="false" ht="15" hidden="false" customHeight="false" outlineLevel="0" collapsed="false">
      <c r="A1287" s="0" t="s">
        <v>1696</v>
      </c>
      <c r="B1287" s="0" t="n">
        <v>300</v>
      </c>
      <c r="C1287" s="0" t="str">
        <f aca="false">TEXT(VLOOKUP(B1287,$I$2:$J$20,2,FALSE()),"0")</f>
        <v>300</v>
      </c>
      <c r="D1287" s="47" t="n">
        <v>150</v>
      </c>
      <c r="E1287" s="47" t="n">
        <v>103500000</v>
      </c>
      <c r="F1287" s="47" t="n">
        <v>24720000</v>
      </c>
    </row>
    <row r="1288" customFormat="false" ht="15" hidden="false" customHeight="false" outlineLevel="0" collapsed="false">
      <c r="A1288" s="0" t="s">
        <v>1696</v>
      </c>
      <c r="B1288" s="0" t="n">
        <v>600</v>
      </c>
      <c r="C1288" s="0" t="str">
        <f aca="false">TEXT(VLOOKUP(B1288,$I$2:$J$20,2,FALSE()),"0")</f>
        <v>600</v>
      </c>
      <c r="D1288" s="47" t="n">
        <v>25</v>
      </c>
      <c r="E1288" s="47" t="n">
        <v>17250000</v>
      </c>
      <c r="F1288" s="47" t="n">
        <v>4120000</v>
      </c>
    </row>
    <row r="1289" customFormat="false" ht="15" hidden="false" customHeight="false" outlineLevel="0" collapsed="false">
      <c r="A1289" s="0" t="s">
        <v>1697</v>
      </c>
      <c r="B1289" s="0" t="n">
        <v>300</v>
      </c>
      <c r="C1289" s="0" t="str">
        <f aca="false">TEXT(VLOOKUP(B1289,$I$2:$J$20,2,FALSE()),"0")</f>
        <v>300</v>
      </c>
      <c r="D1289" s="47" t="n">
        <v>180</v>
      </c>
      <c r="E1289" s="47" t="n">
        <v>160200000</v>
      </c>
      <c r="F1289" s="47" t="n">
        <v>45936000</v>
      </c>
    </row>
    <row r="1290" customFormat="false" ht="15" hidden="false" customHeight="false" outlineLevel="0" collapsed="false">
      <c r="A1290" s="0" t="s">
        <v>1697</v>
      </c>
      <c r="B1290" s="0" t="n">
        <v>600</v>
      </c>
      <c r="C1290" s="0" t="str">
        <f aca="false">TEXT(VLOOKUP(B1290,$I$2:$J$20,2,FALSE()),"0")</f>
        <v>600</v>
      </c>
      <c r="D1290" s="47" t="n">
        <v>25</v>
      </c>
      <c r="E1290" s="47" t="n">
        <v>22250000</v>
      </c>
      <c r="F1290" s="47" t="n">
        <v>6380000</v>
      </c>
    </row>
    <row r="1291" customFormat="false" ht="15" hidden="false" customHeight="false" outlineLevel="0" collapsed="false">
      <c r="A1291" s="0" t="s">
        <v>1697</v>
      </c>
      <c r="B1291" s="0" t="n">
        <v>700</v>
      </c>
      <c r="C1291" s="0" t="str">
        <f aca="false">TEXT(VLOOKUP(B1291,$I$2:$J$20,2,FALSE()),"0")</f>
        <v>700</v>
      </c>
      <c r="D1291" s="47" t="n">
        <v>25</v>
      </c>
      <c r="E1291" s="47" t="n">
        <v>22250000</v>
      </c>
      <c r="F1291" s="47" t="n">
        <v>6380000</v>
      </c>
    </row>
    <row r="1292" customFormat="false" ht="15" hidden="false" customHeight="false" outlineLevel="0" collapsed="false">
      <c r="A1292" s="0" t="s">
        <v>1697</v>
      </c>
      <c r="B1292" s="0" t="n">
        <v>799</v>
      </c>
      <c r="C1292" s="0" t="str">
        <f aca="false">TEXT(VLOOKUP(B1292,$I$2:$J$20,2,FALSE()),"0")</f>
        <v>700</v>
      </c>
      <c r="D1292" s="47" t="n">
        <v>1</v>
      </c>
      <c r="E1292" s="47" t="n">
        <v>890000</v>
      </c>
      <c r="F1292" s="47" t="n">
        <v>255200</v>
      </c>
    </row>
    <row r="1293" customFormat="false" ht="15" hidden="false" customHeight="false" outlineLevel="0" collapsed="false">
      <c r="A1293" s="0" t="s">
        <v>1081</v>
      </c>
      <c r="B1293" s="0" t="n">
        <v>200</v>
      </c>
      <c r="C1293" s="0" t="str">
        <f aca="false">TEXT(VLOOKUP(B1293,$I$2:$J$20,2,FALSE()),"0")</f>
        <v>200</v>
      </c>
      <c r="D1293" s="47" t="n">
        <v>415</v>
      </c>
      <c r="E1293" s="47" t="n">
        <v>99185000</v>
      </c>
      <c r="F1293" s="47" t="n">
        <v>24306135</v>
      </c>
    </row>
    <row r="1294" customFormat="false" ht="15" hidden="false" customHeight="false" outlineLevel="0" collapsed="false">
      <c r="A1294" s="0" t="s">
        <v>1081</v>
      </c>
      <c r="B1294" s="0" t="n">
        <v>299</v>
      </c>
      <c r="C1294" s="0" t="str">
        <f aca="false">TEXT(VLOOKUP(B1294,$I$2:$J$20,2,FALSE()),"0")</f>
        <v>200</v>
      </c>
      <c r="D1294" s="47" t="n">
        <v>3</v>
      </c>
      <c r="E1294" s="47" t="n">
        <v>717000</v>
      </c>
      <c r="F1294" s="47" t="n">
        <v>175707</v>
      </c>
    </row>
    <row r="1295" customFormat="false" ht="15" hidden="false" customHeight="false" outlineLevel="0" collapsed="false">
      <c r="A1295" s="0" t="s">
        <v>515</v>
      </c>
      <c r="B1295" s="0" t="n">
        <v>100</v>
      </c>
      <c r="C1295" s="0" t="str">
        <f aca="false">TEXT(VLOOKUP(B1295,$I$2:$J$20,2,FALSE()),"0")</f>
        <v>100</v>
      </c>
      <c r="D1295" s="47" t="n">
        <v>360</v>
      </c>
      <c r="E1295" s="47" t="n">
        <v>68040000</v>
      </c>
      <c r="F1295" s="47" t="n">
        <v>15840000</v>
      </c>
    </row>
    <row r="1296" customFormat="false" ht="15" hidden="false" customHeight="false" outlineLevel="0" collapsed="false">
      <c r="A1296" s="0" t="s">
        <v>515</v>
      </c>
      <c r="B1296" s="0" t="n">
        <v>300</v>
      </c>
      <c r="C1296" s="0" t="str">
        <f aca="false">TEXT(VLOOKUP(B1296,$I$2:$J$20,2,FALSE()),"0")</f>
        <v>300</v>
      </c>
      <c r="D1296" s="47" t="n">
        <v>360</v>
      </c>
      <c r="E1296" s="47" t="n">
        <v>68040000</v>
      </c>
      <c r="F1296" s="47" t="n">
        <v>15840000</v>
      </c>
    </row>
    <row r="1297" customFormat="false" ht="15" hidden="false" customHeight="false" outlineLevel="0" collapsed="false">
      <c r="A1297" s="0" t="s">
        <v>515</v>
      </c>
      <c r="B1297" s="0" t="n">
        <v>301</v>
      </c>
      <c r="C1297" s="0" t="str">
        <f aca="false">TEXT(VLOOKUP(B1297,$I$2:$J$20,2,FALSE()),"0")</f>
        <v>300</v>
      </c>
      <c r="D1297" s="47" t="n">
        <v>80</v>
      </c>
      <c r="E1297" s="47" t="n">
        <v>15120000</v>
      </c>
      <c r="F1297" s="47" t="n">
        <v>3520000</v>
      </c>
    </row>
    <row r="1298" customFormat="false" ht="15" hidden="false" customHeight="false" outlineLevel="0" collapsed="false">
      <c r="A1298" s="0" t="s">
        <v>515</v>
      </c>
      <c r="B1298" s="0" t="n">
        <v>500</v>
      </c>
      <c r="C1298" s="0" t="str">
        <f aca="false">TEXT(VLOOKUP(B1298,$I$2:$J$20,2,FALSE()),"0")</f>
        <v>500</v>
      </c>
      <c r="D1298" s="47" t="n">
        <v>135</v>
      </c>
      <c r="E1298" s="47" t="n">
        <v>25515000</v>
      </c>
      <c r="F1298" s="47" t="n">
        <v>5940000</v>
      </c>
    </row>
    <row r="1299" customFormat="false" ht="15" hidden="false" customHeight="false" outlineLevel="0" collapsed="false">
      <c r="A1299" s="0" t="s">
        <v>515</v>
      </c>
      <c r="B1299" s="0" t="n">
        <v>600</v>
      </c>
      <c r="C1299" s="0" t="str">
        <f aca="false">TEXT(VLOOKUP(B1299,$I$2:$J$20,2,FALSE()),"0")</f>
        <v>600</v>
      </c>
      <c r="D1299" s="47" t="n">
        <v>15</v>
      </c>
      <c r="E1299" s="47" t="n">
        <v>2835000</v>
      </c>
      <c r="F1299" s="47" t="n">
        <v>660000</v>
      </c>
    </row>
    <row r="1300" customFormat="false" ht="15" hidden="false" customHeight="false" outlineLevel="0" collapsed="false">
      <c r="A1300" s="0" t="s">
        <v>515</v>
      </c>
      <c r="B1300" s="0" t="n">
        <v>700</v>
      </c>
      <c r="C1300" s="0" t="str">
        <f aca="false">TEXT(VLOOKUP(B1300,$I$2:$J$20,2,FALSE()),"0")</f>
        <v>700</v>
      </c>
      <c r="D1300" s="47" t="n">
        <v>70</v>
      </c>
      <c r="E1300" s="47" t="n">
        <v>13230000</v>
      </c>
      <c r="F1300" s="47" t="n">
        <v>3080000</v>
      </c>
    </row>
    <row r="1301" customFormat="false" ht="15" hidden="false" customHeight="false" outlineLevel="0" collapsed="false">
      <c r="A1301" s="0" t="s">
        <v>515</v>
      </c>
      <c r="B1301" s="0" t="n">
        <v>799</v>
      </c>
      <c r="C1301" s="0" t="str">
        <f aca="false">TEXT(VLOOKUP(B1301,$I$2:$J$20,2,FALSE()),"0")</f>
        <v>700</v>
      </c>
      <c r="D1301" s="47" t="n">
        <v>1</v>
      </c>
      <c r="E1301" s="47" t="n">
        <v>189000</v>
      </c>
      <c r="F1301" s="47" t="n">
        <v>44000</v>
      </c>
    </row>
    <row r="1302" customFormat="false" ht="15" hidden="false" customHeight="false" outlineLevel="0" collapsed="false">
      <c r="A1302" s="0" t="s">
        <v>517</v>
      </c>
      <c r="B1302" s="0" t="n">
        <v>100</v>
      </c>
      <c r="C1302" s="0" t="str">
        <f aca="false">TEXT(VLOOKUP(B1302,$I$2:$J$20,2,FALSE()),"0")</f>
        <v>100</v>
      </c>
      <c r="D1302" s="47" t="n">
        <v>110</v>
      </c>
      <c r="E1302" s="47" t="n">
        <v>19690000</v>
      </c>
      <c r="F1302" s="47" t="n">
        <v>4345000</v>
      </c>
    </row>
    <row r="1303" customFormat="false" ht="15" hidden="false" customHeight="false" outlineLevel="0" collapsed="false">
      <c r="A1303" s="0" t="s">
        <v>517</v>
      </c>
      <c r="B1303" s="0" t="n">
        <v>300</v>
      </c>
      <c r="C1303" s="0" t="str">
        <f aca="false">TEXT(VLOOKUP(B1303,$I$2:$J$20,2,FALSE()),"0")</f>
        <v>300</v>
      </c>
      <c r="D1303" s="47" t="n">
        <v>540</v>
      </c>
      <c r="E1303" s="47" t="n">
        <v>96660000</v>
      </c>
      <c r="F1303" s="47" t="n">
        <v>21330000</v>
      </c>
    </row>
    <row r="1304" customFormat="false" ht="15" hidden="false" customHeight="false" outlineLevel="0" collapsed="false">
      <c r="A1304" s="0" t="s">
        <v>517</v>
      </c>
      <c r="B1304" s="0" t="n">
        <v>500</v>
      </c>
      <c r="C1304" s="0" t="str">
        <f aca="false">TEXT(VLOOKUP(B1304,$I$2:$J$20,2,FALSE()),"0")</f>
        <v>500</v>
      </c>
      <c r="D1304" s="47" t="n">
        <v>140</v>
      </c>
      <c r="E1304" s="47" t="n">
        <v>25060000</v>
      </c>
      <c r="F1304" s="47" t="n">
        <v>5530000</v>
      </c>
    </row>
    <row r="1305" customFormat="false" ht="15" hidden="false" customHeight="false" outlineLevel="0" collapsed="false">
      <c r="A1305" s="0" t="s">
        <v>517</v>
      </c>
      <c r="B1305" s="0" t="n">
        <v>600</v>
      </c>
      <c r="C1305" s="0" t="str">
        <f aca="false">TEXT(VLOOKUP(B1305,$I$2:$J$20,2,FALSE()),"0")</f>
        <v>600</v>
      </c>
      <c r="D1305" s="47" t="n">
        <v>40</v>
      </c>
      <c r="E1305" s="47" t="n">
        <v>7160000</v>
      </c>
      <c r="F1305" s="47" t="n">
        <v>1580000</v>
      </c>
    </row>
    <row r="1306" customFormat="false" ht="15" hidden="false" customHeight="false" outlineLevel="0" collapsed="false">
      <c r="A1306" s="0" t="s">
        <v>517</v>
      </c>
      <c r="B1306" s="0" t="n">
        <v>700</v>
      </c>
      <c r="C1306" s="0" t="str">
        <f aca="false">TEXT(VLOOKUP(B1306,$I$2:$J$20,2,FALSE()),"0")</f>
        <v>700</v>
      </c>
      <c r="D1306" s="47" t="n">
        <v>80</v>
      </c>
      <c r="E1306" s="47" t="n">
        <v>14320000</v>
      </c>
      <c r="F1306" s="47" t="n">
        <v>3160000</v>
      </c>
    </row>
    <row r="1307" customFormat="false" ht="15" hidden="false" customHeight="false" outlineLevel="0" collapsed="false">
      <c r="A1307" s="0" t="s">
        <v>517</v>
      </c>
      <c r="B1307" s="0" t="n">
        <v>799</v>
      </c>
      <c r="C1307" s="0" t="str">
        <f aca="false">TEXT(VLOOKUP(B1307,$I$2:$J$20,2,FALSE()),"0")</f>
        <v>700</v>
      </c>
      <c r="D1307" s="47" t="n">
        <v>1</v>
      </c>
      <c r="E1307" s="47" t="n">
        <v>179000</v>
      </c>
      <c r="F1307" s="47" t="n">
        <v>39500</v>
      </c>
    </row>
    <row r="1308" customFormat="false" ht="15" hidden="false" customHeight="false" outlineLevel="0" collapsed="false">
      <c r="A1308" s="0" t="s">
        <v>519</v>
      </c>
      <c r="B1308" s="0" t="n">
        <v>300</v>
      </c>
      <c r="C1308" s="0" t="str">
        <f aca="false">TEXT(VLOOKUP(B1308,$I$2:$J$20,2,FALSE()),"0")</f>
        <v>300</v>
      </c>
      <c r="D1308" s="47" t="n">
        <v>380</v>
      </c>
      <c r="E1308" s="47" t="n">
        <v>83220000</v>
      </c>
      <c r="F1308" s="47" t="n">
        <v>20672000</v>
      </c>
    </row>
    <row r="1309" customFormat="false" ht="15" hidden="false" customHeight="false" outlineLevel="0" collapsed="false">
      <c r="A1309" s="0" t="s">
        <v>519</v>
      </c>
      <c r="B1309" s="0" t="n">
        <v>500</v>
      </c>
      <c r="C1309" s="0" t="str">
        <f aca="false">TEXT(VLOOKUP(B1309,$I$2:$J$20,2,FALSE()),"0")</f>
        <v>500</v>
      </c>
      <c r="D1309" s="47" t="n">
        <v>60</v>
      </c>
      <c r="E1309" s="47" t="n">
        <v>13140000</v>
      </c>
      <c r="F1309" s="47" t="n">
        <v>3264000</v>
      </c>
    </row>
    <row r="1310" customFormat="false" ht="15" hidden="false" customHeight="false" outlineLevel="0" collapsed="false">
      <c r="A1310" s="0" t="s">
        <v>519</v>
      </c>
      <c r="B1310" s="0" t="n">
        <v>600</v>
      </c>
      <c r="C1310" s="0" t="str">
        <f aca="false">TEXT(VLOOKUP(B1310,$I$2:$J$20,2,FALSE()),"0")</f>
        <v>600</v>
      </c>
      <c r="D1310" s="47" t="n">
        <v>15</v>
      </c>
      <c r="E1310" s="47" t="n">
        <v>3285000</v>
      </c>
      <c r="F1310" s="47" t="n">
        <v>816000</v>
      </c>
    </row>
    <row r="1311" customFormat="false" ht="15" hidden="false" customHeight="false" outlineLevel="0" collapsed="false">
      <c r="A1311" s="0" t="s">
        <v>1698</v>
      </c>
      <c r="B1311" s="0" t="n">
        <v>100</v>
      </c>
      <c r="C1311" s="0" t="str">
        <f aca="false">TEXT(VLOOKUP(B1311,$I$2:$J$20,2,FALSE()),"0")</f>
        <v>100</v>
      </c>
      <c r="D1311" s="47" t="n">
        <v>65</v>
      </c>
      <c r="E1311" s="47" t="n">
        <v>18135000</v>
      </c>
      <c r="F1311" s="47" t="n">
        <v>4948580</v>
      </c>
    </row>
    <row r="1312" customFormat="false" ht="15" hidden="false" customHeight="false" outlineLevel="0" collapsed="false">
      <c r="A1312" s="0" t="s">
        <v>926</v>
      </c>
      <c r="B1312" s="0" t="n">
        <v>100</v>
      </c>
      <c r="C1312" s="0" t="str">
        <f aca="false">TEXT(VLOOKUP(B1312,$I$2:$J$20,2,FALSE()),"0")</f>
        <v>100</v>
      </c>
      <c r="D1312" s="47" t="n">
        <v>240</v>
      </c>
      <c r="E1312" s="47" t="n">
        <v>28560000</v>
      </c>
      <c r="F1312" s="47" t="n">
        <v>6864000</v>
      </c>
    </row>
    <row r="1313" customFormat="false" ht="15" hidden="false" customHeight="false" outlineLevel="0" collapsed="false">
      <c r="A1313" s="0" t="s">
        <v>926</v>
      </c>
      <c r="B1313" s="0" t="n">
        <v>700</v>
      </c>
      <c r="C1313" s="0" t="str">
        <f aca="false">TEXT(VLOOKUP(B1313,$I$2:$J$20,2,FALSE()),"0")</f>
        <v>700</v>
      </c>
      <c r="D1313" s="47" t="n">
        <v>155</v>
      </c>
      <c r="E1313" s="47" t="n">
        <v>18445000</v>
      </c>
      <c r="F1313" s="47" t="n">
        <v>4433000</v>
      </c>
    </row>
    <row r="1314" customFormat="false" ht="15" hidden="false" customHeight="false" outlineLevel="0" collapsed="false">
      <c r="A1314" s="0" t="s">
        <v>926</v>
      </c>
      <c r="B1314" s="0" t="n">
        <v>799</v>
      </c>
      <c r="C1314" s="0" t="str">
        <f aca="false">TEXT(VLOOKUP(B1314,$I$2:$J$20,2,FALSE()),"0")</f>
        <v>700</v>
      </c>
      <c r="D1314" s="47" t="n">
        <v>2</v>
      </c>
      <c r="E1314" s="47" t="n">
        <v>238000</v>
      </c>
      <c r="F1314" s="47" t="n">
        <v>57200</v>
      </c>
    </row>
    <row r="1315" customFormat="false" ht="15" hidden="false" customHeight="false" outlineLevel="0" collapsed="false">
      <c r="A1315" s="0" t="s">
        <v>1334</v>
      </c>
      <c r="B1315" s="0" t="n">
        <v>600</v>
      </c>
      <c r="C1315" s="0" t="str">
        <f aca="false">TEXT(VLOOKUP(B1315,$I$2:$J$20,2,FALSE()),"0")</f>
        <v>600</v>
      </c>
      <c r="D1315" s="47" t="n">
        <v>65</v>
      </c>
      <c r="E1315" s="47" t="n">
        <v>7735000</v>
      </c>
      <c r="F1315" s="47" t="n">
        <v>1735500</v>
      </c>
    </row>
    <row r="1316" customFormat="false" ht="15" hidden="false" customHeight="false" outlineLevel="0" collapsed="false">
      <c r="A1316" s="0" t="s">
        <v>1334</v>
      </c>
      <c r="B1316" s="0" t="n">
        <v>700</v>
      </c>
      <c r="C1316" s="0" t="str">
        <f aca="false">TEXT(VLOOKUP(B1316,$I$2:$J$20,2,FALSE()),"0")</f>
        <v>700</v>
      </c>
      <c r="D1316" s="47" t="n">
        <v>160</v>
      </c>
      <c r="E1316" s="47" t="n">
        <v>19040000</v>
      </c>
      <c r="F1316" s="47" t="n">
        <v>4272000</v>
      </c>
    </row>
    <row r="1317" customFormat="false" ht="15" hidden="false" customHeight="false" outlineLevel="0" collapsed="false">
      <c r="A1317" s="0" t="s">
        <v>1334</v>
      </c>
      <c r="B1317" s="0" t="n">
        <v>799</v>
      </c>
      <c r="C1317" s="0" t="str">
        <f aca="false">TEXT(VLOOKUP(B1317,$I$2:$J$20,2,FALSE()),"0")</f>
        <v>700</v>
      </c>
      <c r="D1317" s="47" t="n">
        <v>2</v>
      </c>
      <c r="E1317" s="47" t="n">
        <v>238000</v>
      </c>
      <c r="F1317" s="47" t="n">
        <v>53400</v>
      </c>
    </row>
    <row r="1318" customFormat="false" ht="15" hidden="false" customHeight="false" outlineLevel="0" collapsed="false">
      <c r="A1318" s="0" t="s">
        <v>521</v>
      </c>
      <c r="B1318" s="0" t="n">
        <v>100</v>
      </c>
      <c r="C1318" s="0" t="str">
        <f aca="false">TEXT(VLOOKUP(B1318,$I$2:$J$20,2,FALSE()),"0")</f>
        <v>100</v>
      </c>
      <c r="D1318" s="47" t="n">
        <v>360</v>
      </c>
      <c r="E1318" s="47" t="n">
        <v>53640000</v>
      </c>
      <c r="F1318" s="47" t="n">
        <v>11628000</v>
      </c>
    </row>
    <row r="1319" customFormat="false" ht="15" hidden="false" customHeight="false" outlineLevel="0" collapsed="false">
      <c r="A1319" s="0" t="s">
        <v>521</v>
      </c>
      <c r="B1319" s="0" t="n">
        <v>300</v>
      </c>
      <c r="C1319" s="0" t="str">
        <f aca="false">TEXT(VLOOKUP(B1319,$I$2:$J$20,2,FALSE()),"0")</f>
        <v>300</v>
      </c>
      <c r="D1319" s="47" t="n">
        <v>140</v>
      </c>
      <c r="E1319" s="47" t="n">
        <v>20860000</v>
      </c>
      <c r="F1319" s="47" t="n">
        <v>4522000</v>
      </c>
    </row>
    <row r="1320" customFormat="false" ht="15" hidden="false" customHeight="false" outlineLevel="0" collapsed="false">
      <c r="A1320" s="0" t="s">
        <v>521</v>
      </c>
      <c r="B1320" s="0" t="n">
        <v>700</v>
      </c>
      <c r="C1320" s="0" t="str">
        <f aca="false">TEXT(VLOOKUP(B1320,$I$2:$J$20,2,FALSE()),"0")</f>
        <v>700</v>
      </c>
      <c r="D1320" s="47" t="n">
        <v>155</v>
      </c>
      <c r="E1320" s="47" t="n">
        <v>23095000</v>
      </c>
      <c r="F1320" s="47" t="n">
        <v>5006500</v>
      </c>
    </row>
    <row r="1321" customFormat="false" ht="15" hidden="false" customHeight="false" outlineLevel="0" collapsed="false">
      <c r="A1321" s="0" t="s">
        <v>521</v>
      </c>
      <c r="B1321" s="0" t="n">
        <v>799</v>
      </c>
      <c r="C1321" s="0" t="str">
        <f aca="false">TEXT(VLOOKUP(B1321,$I$2:$J$20,2,FALSE()),"0")</f>
        <v>700</v>
      </c>
      <c r="D1321" s="47" t="n">
        <v>2</v>
      </c>
      <c r="E1321" s="47" t="n">
        <v>298000</v>
      </c>
      <c r="F1321" s="47" t="n">
        <v>64600</v>
      </c>
    </row>
    <row r="1322" customFormat="false" ht="15" hidden="false" customHeight="false" outlineLevel="0" collapsed="false">
      <c r="A1322" s="0" t="s">
        <v>1336</v>
      </c>
      <c r="B1322" s="0" t="n">
        <v>300</v>
      </c>
      <c r="C1322" s="0" t="str">
        <f aca="false">TEXT(VLOOKUP(B1322,$I$2:$J$20,2,FALSE()),"0")</f>
        <v>300</v>
      </c>
      <c r="D1322" s="47" t="n">
        <v>180</v>
      </c>
      <c r="E1322" s="47" t="n">
        <v>35820000</v>
      </c>
      <c r="F1322" s="47" t="n">
        <v>11178000</v>
      </c>
    </row>
    <row r="1323" customFormat="false" ht="15" hidden="false" customHeight="false" outlineLevel="0" collapsed="false">
      <c r="A1323" s="0" t="s">
        <v>1336</v>
      </c>
      <c r="B1323" s="0" t="n">
        <v>600</v>
      </c>
      <c r="C1323" s="0" t="str">
        <f aca="false">TEXT(VLOOKUP(B1323,$I$2:$J$20,2,FALSE()),"0")</f>
        <v>600</v>
      </c>
      <c r="D1323" s="47" t="n">
        <v>25</v>
      </c>
      <c r="E1323" s="47" t="n">
        <v>4975000</v>
      </c>
      <c r="F1323" s="47" t="n">
        <v>1552500</v>
      </c>
    </row>
    <row r="1324" customFormat="false" ht="15" hidden="false" customHeight="false" outlineLevel="0" collapsed="false">
      <c r="A1324" s="0" t="s">
        <v>928</v>
      </c>
      <c r="B1324" s="0" t="n">
        <v>100</v>
      </c>
      <c r="C1324" s="0" t="str">
        <f aca="false">TEXT(VLOOKUP(B1324,$I$2:$J$20,2,FALSE()),"0")</f>
        <v>100</v>
      </c>
      <c r="D1324" s="47" t="n">
        <v>240</v>
      </c>
      <c r="E1324" s="47" t="n">
        <v>52560000</v>
      </c>
      <c r="F1324" s="47" t="n">
        <v>12720000</v>
      </c>
    </row>
    <row r="1325" customFormat="false" ht="15" hidden="false" customHeight="false" outlineLevel="0" collapsed="false">
      <c r="A1325" s="0" t="s">
        <v>928</v>
      </c>
      <c r="B1325" s="0" t="n">
        <v>600</v>
      </c>
      <c r="C1325" s="0" t="str">
        <f aca="false">TEXT(VLOOKUP(B1325,$I$2:$J$20,2,FALSE()),"0")</f>
        <v>600</v>
      </c>
      <c r="D1325" s="47" t="n">
        <v>85</v>
      </c>
      <c r="E1325" s="47" t="n">
        <v>18615000</v>
      </c>
      <c r="F1325" s="47" t="n">
        <v>4505000</v>
      </c>
    </row>
    <row r="1326" customFormat="false" ht="15" hidden="false" customHeight="false" outlineLevel="0" collapsed="false">
      <c r="A1326" s="0" t="s">
        <v>523</v>
      </c>
      <c r="B1326" s="0" t="n">
        <v>200</v>
      </c>
      <c r="C1326" s="0" t="str">
        <f aca="false">TEXT(VLOOKUP(B1326,$I$2:$J$20,2,FALSE()),"0")</f>
        <v>200</v>
      </c>
      <c r="D1326" s="47" t="n">
        <v>205</v>
      </c>
      <c r="E1326" s="47" t="n">
        <v>44895000</v>
      </c>
      <c r="F1326" s="47" t="n">
        <v>9676205</v>
      </c>
    </row>
    <row r="1327" customFormat="false" ht="15" hidden="false" customHeight="false" outlineLevel="0" collapsed="false">
      <c r="A1327" s="0" t="s">
        <v>523</v>
      </c>
      <c r="B1327" s="0" t="n">
        <v>299</v>
      </c>
      <c r="C1327" s="0" t="str">
        <f aca="false">TEXT(VLOOKUP(B1327,$I$2:$J$20,2,FALSE()),"0")</f>
        <v>200</v>
      </c>
      <c r="D1327" s="47" t="n">
        <v>2</v>
      </c>
      <c r="E1327" s="47" t="n">
        <v>438000</v>
      </c>
      <c r="F1327" s="47" t="n">
        <v>94402</v>
      </c>
    </row>
    <row r="1328" customFormat="false" ht="15" hidden="false" customHeight="false" outlineLevel="0" collapsed="false">
      <c r="A1328" s="0" t="s">
        <v>523</v>
      </c>
      <c r="B1328" s="0" t="n">
        <v>300</v>
      </c>
      <c r="C1328" s="0" t="str">
        <f aca="false">TEXT(VLOOKUP(B1328,$I$2:$J$20,2,FALSE()),"0")</f>
        <v>300</v>
      </c>
      <c r="D1328" s="47" t="n">
        <v>100</v>
      </c>
      <c r="E1328" s="47" t="n">
        <v>21900000</v>
      </c>
      <c r="F1328" s="47" t="n">
        <v>4720100</v>
      </c>
    </row>
    <row r="1329" customFormat="false" ht="15" hidden="false" customHeight="false" outlineLevel="0" collapsed="false">
      <c r="A1329" s="0" t="s">
        <v>523</v>
      </c>
      <c r="B1329" s="0" t="n">
        <v>800</v>
      </c>
      <c r="C1329" s="0" t="str">
        <f aca="false">TEXT(VLOOKUP(B1329,$I$2:$J$20,2,FALSE()),"0")</f>
        <v>800</v>
      </c>
      <c r="D1329" s="47" t="n">
        <v>70</v>
      </c>
      <c r="E1329" s="47" t="n">
        <v>15330000</v>
      </c>
      <c r="F1329" s="47" t="n">
        <v>3304070</v>
      </c>
    </row>
    <row r="1330" customFormat="false" ht="15" hidden="false" customHeight="false" outlineLevel="0" collapsed="false">
      <c r="A1330" s="0" t="s">
        <v>525</v>
      </c>
      <c r="B1330" s="0" t="n">
        <v>300</v>
      </c>
      <c r="C1330" s="0" t="str">
        <f aca="false">TEXT(VLOOKUP(B1330,$I$2:$J$20,2,FALSE()),"0")</f>
        <v>300</v>
      </c>
      <c r="D1330" s="47" t="n">
        <v>70</v>
      </c>
      <c r="E1330" s="47" t="n">
        <v>19530000</v>
      </c>
      <c r="F1330" s="47" t="n">
        <v>4648000</v>
      </c>
    </row>
    <row r="1331" customFormat="false" ht="15" hidden="false" customHeight="false" outlineLevel="0" collapsed="false">
      <c r="A1331" s="0" t="s">
        <v>1338</v>
      </c>
      <c r="B1331" s="0" t="n">
        <v>600</v>
      </c>
      <c r="C1331" s="0" t="str">
        <f aca="false">TEXT(VLOOKUP(B1331,$I$2:$J$20,2,FALSE()),"0")</f>
        <v>600</v>
      </c>
      <c r="D1331" s="47" t="n">
        <v>25</v>
      </c>
      <c r="E1331" s="47" t="n">
        <v>5975000</v>
      </c>
      <c r="F1331" s="47" t="n">
        <v>1680000</v>
      </c>
    </row>
    <row r="1332" customFormat="false" ht="15" hidden="false" customHeight="false" outlineLevel="0" collapsed="false">
      <c r="A1332" s="0" t="s">
        <v>1338</v>
      </c>
      <c r="B1332" s="0" t="n">
        <v>700</v>
      </c>
      <c r="C1332" s="0" t="str">
        <f aca="false">TEXT(VLOOKUP(B1332,$I$2:$J$20,2,FALSE()),"0")</f>
        <v>700</v>
      </c>
      <c r="D1332" s="47" t="n">
        <v>80</v>
      </c>
      <c r="E1332" s="47" t="n">
        <v>19120000</v>
      </c>
      <c r="F1332" s="47" t="n">
        <v>5376000</v>
      </c>
    </row>
    <row r="1333" customFormat="false" ht="15" hidden="false" customHeight="false" outlineLevel="0" collapsed="false">
      <c r="A1333" s="0" t="s">
        <v>1338</v>
      </c>
      <c r="B1333" s="0" t="n">
        <v>799</v>
      </c>
      <c r="C1333" s="0" t="str">
        <f aca="false">TEXT(VLOOKUP(B1333,$I$2:$J$20,2,FALSE()),"0")</f>
        <v>700</v>
      </c>
      <c r="D1333" s="47" t="n">
        <v>1</v>
      </c>
      <c r="E1333" s="47" t="n">
        <v>239000</v>
      </c>
      <c r="F1333" s="47" t="n">
        <v>67200</v>
      </c>
    </row>
    <row r="1334" customFormat="false" ht="15" hidden="false" customHeight="false" outlineLevel="0" collapsed="false">
      <c r="A1334" s="0" t="s">
        <v>1340</v>
      </c>
      <c r="B1334" s="0" t="n">
        <v>500</v>
      </c>
      <c r="C1334" s="0" t="str">
        <f aca="false">TEXT(VLOOKUP(B1334,$I$2:$J$20,2,FALSE()),"0")</f>
        <v>500</v>
      </c>
      <c r="D1334" s="47" t="n">
        <v>90</v>
      </c>
      <c r="E1334" s="47" t="n">
        <v>16110000</v>
      </c>
      <c r="F1334" s="47" t="n">
        <v>4527000</v>
      </c>
    </row>
    <row r="1335" customFormat="false" ht="15" hidden="false" customHeight="false" outlineLevel="0" collapsed="false">
      <c r="A1335" s="0" t="s">
        <v>1340</v>
      </c>
      <c r="B1335" s="0" t="n">
        <v>600</v>
      </c>
      <c r="C1335" s="0" t="str">
        <f aca="false">TEXT(VLOOKUP(B1335,$I$2:$J$20,2,FALSE()),"0")</f>
        <v>600</v>
      </c>
      <c r="D1335" s="47" t="n">
        <v>50</v>
      </c>
      <c r="E1335" s="47" t="n">
        <v>8950000</v>
      </c>
      <c r="F1335" s="47" t="n">
        <v>2515000</v>
      </c>
    </row>
    <row r="1336" customFormat="false" ht="15" hidden="false" customHeight="false" outlineLevel="0" collapsed="false">
      <c r="A1336" s="0" t="s">
        <v>1699</v>
      </c>
      <c r="B1336" s="0" t="n">
        <v>810</v>
      </c>
      <c r="C1336" s="0" t="str">
        <f aca="false">TEXT(VLOOKUP(B1336,$I$2:$J$20,2,FALSE()),"0")</f>
        <v>810</v>
      </c>
      <c r="D1336" s="47" t="n">
        <v>216</v>
      </c>
      <c r="E1336" s="47" t="n">
        <v>34344000</v>
      </c>
      <c r="F1336" s="47" t="n">
        <v>7689600</v>
      </c>
    </row>
    <row r="1337" customFormat="false" ht="15" hidden="false" customHeight="false" outlineLevel="0" collapsed="false">
      <c r="A1337" s="0" t="s">
        <v>527</v>
      </c>
      <c r="B1337" s="0" t="n">
        <v>100</v>
      </c>
      <c r="C1337" s="0" t="str">
        <f aca="false">TEXT(VLOOKUP(B1337,$I$2:$J$20,2,FALSE()),"0")</f>
        <v>100</v>
      </c>
      <c r="D1337" s="47" t="n">
        <v>130</v>
      </c>
      <c r="E1337" s="47" t="n">
        <v>25870000</v>
      </c>
      <c r="F1337" s="47" t="n">
        <v>5954000</v>
      </c>
    </row>
    <row r="1338" customFormat="false" ht="15" hidden="false" customHeight="false" outlineLevel="0" collapsed="false">
      <c r="A1338" s="0" t="s">
        <v>527</v>
      </c>
      <c r="B1338" s="0" t="n">
        <v>300</v>
      </c>
      <c r="C1338" s="0" t="str">
        <f aca="false">TEXT(VLOOKUP(B1338,$I$2:$J$20,2,FALSE()),"0")</f>
        <v>300</v>
      </c>
      <c r="D1338" s="47" t="n">
        <v>600</v>
      </c>
      <c r="E1338" s="47" t="n">
        <v>119400000</v>
      </c>
      <c r="F1338" s="47" t="n">
        <v>27480000</v>
      </c>
    </row>
    <row r="1339" customFormat="false" ht="15" hidden="false" customHeight="false" outlineLevel="0" collapsed="false">
      <c r="A1339" s="0" t="s">
        <v>527</v>
      </c>
      <c r="B1339" s="0" t="n">
        <v>700</v>
      </c>
      <c r="C1339" s="0" t="str">
        <f aca="false">TEXT(VLOOKUP(B1339,$I$2:$J$20,2,FALSE()),"0")</f>
        <v>700</v>
      </c>
      <c r="D1339" s="47" t="n">
        <v>190</v>
      </c>
      <c r="E1339" s="47" t="n">
        <v>37810000</v>
      </c>
      <c r="F1339" s="47" t="n">
        <v>8702000</v>
      </c>
    </row>
    <row r="1340" customFormat="false" ht="15" hidden="false" customHeight="false" outlineLevel="0" collapsed="false">
      <c r="A1340" s="0" t="s">
        <v>527</v>
      </c>
      <c r="B1340" s="0" t="n">
        <v>799</v>
      </c>
      <c r="C1340" s="0" t="str">
        <f aca="false">TEXT(VLOOKUP(B1340,$I$2:$J$20,2,FALSE()),"0")</f>
        <v>700</v>
      </c>
      <c r="D1340" s="47" t="n">
        <v>1</v>
      </c>
      <c r="E1340" s="47" t="n">
        <v>199000</v>
      </c>
      <c r="F1340" s="47" t="n">
        <v>45800</v>
      </c>
    </row>
    <row r="1341" customFormat="false" ht="15" hidden="false" customHeight="false" outlineLevel="0" collapsed="false">
      <c r="A1341" s="0" t="s">
        <v>527</v>
      </c>
      <c r="B1341" s="0" t="n">
        <v>800</v>
      </c>
      <c r="C1341" s="0" t="str">
        <f aca="false">TEXT(VLOOKUP(B1341,$I$2:$J$20,2,FALSE()),"0")</f>
        <v>800</v>
      </c>
      <c r="D1341" s="47" t="n">
        <v>90</v>
      </c>
      <c r="E1341" s="47" t="n">
        <v>17910000</v>
      </c>
      <c r="F1341" s="47" t="n">
        <v>4122000</v>
      </c>
    </row>
    <row r="1342" customFormat="false" ht="15" hidden="false" customHeight="false" outlineLevel="0" collapsed="false">
      <c r="A1342" s="0" t="s">
        <v>930</v>
      </c>
      <c r="B1342" s="0" t="n">
        <v>100</v>
      </c>
      <c r="C1342" s="0" t="str">
        <f aca="false">TEXT(VLOOKUP(B1342,$I$2:$J$20,2,FALSE()),"0")</f>
        <v>100</v>
      </c>
      <c r="D1342" s="47" t="n">
        <v>285</v>
      </c>
      <c r="E1342" s="47" t="n">
        <v>36765000</v>
      </c>
      <c r="F1342" s="47" t="n">
        <v>8379000</v>
      </c>
    </row>
    <row r="1343" customFormat="false" ht="15" hidden="false" customHeight="false" outlineLevel="0" collapsed="false">
      <c r="A1343" s="0" t="s">
        <v>930</v>
      </c>
      <c r="B1343" s="0" t="n">
        <v>600</v>
      </c>
      <c r="C1343" s="0" t="str">
        <f aca="false">TEXT(VLOOKUP(B1343,$I$2:$J$20,2,FALSE()),"0")</f>
        <v>600</v>
      </c>
      <c r="D1343" s="47" t="n">
        <v>40</v>
      </c>
      <c r="E1343" s="47" t="n">
        <v>5160000</v>
      </c>
      <c r="F1343" s="47" t="n">
        <v>1176000</v>
      </c>
    </row>
    <row r="1344" customFormat="false" ht="15" hidden="false" customHeight="false" outlineLevel="0" collapsed="false">
      <c r="A1344" s="0" t="s">
        <v>529</v>
      </c>
      <c r="B1344" s="0" t="n">
        <v>300</v>
      </c>
      <c r="C1344" s="0" t="str">
        <f aca="false">TEXT(VLOOKUP(B1344,$I$2:$J$20,2,FALSE()),"0")</f>
        <v>300</v>
      </c>
      <c r="D1344" s="47" t="n">
        <v>100</v>
      </c>
      <c r="E1344" s="47" t="n">
        <v>15900000</v>
      </c>
      <c r="F1344" s="47" t="n">
        <v>3940000</v>
      </c>
    </row>
    <row r="1345" customFormat="false" ht="15" hidden="false" customHeight="false" outlineLevel="0" collapsed="false">
      <c r="A1345" s="0" t="s">
        <v>529</v>
      </c>
      <c r="B1345" s="0" t="n">
        <v>800</v>
      </c>
      <c r="C1345" s="0" t="str">
        <f aca="false">TEXT(VLOOKUP(B1345,$I$2:$J$20,2,FALSE()),"0")</f>
        <v>800</v>
      </c>
      <c r="D1345" s="47" t="n">
        <v>70</v>
      </c>
      <c r="E1345" s="47" t="n">
        <v>11130000</v>
      </c>
      <c r="F1345" s="47" t="n">
        <v>2758000</v>
      </c>
    </row>
    <row r="1346" customFormat="false" ht="15" hidden="false" customHeight="false" outlineLevel="0" collapsed="false">
      <c r="A1346" s="0" t="s">
        <v>531</v>
      </c>
      <c r="B1346" s="0" t="n">
        <v>300</v>
      </c>
      <c r="C1346" s="0" t="str">
        <f aca="false">TEXT(VLOOKUP(B1346,$I$2:$J$20,2,FALSE()),"0")</f>
        <v>300</v>
      </c>
      <c r="D1346" s="47" t="n">
        <v>60</v>
      </c>
      <c r="E1346" s="47" t="n">
        <v>8940000</v>
      </c>
      <c r="F1346" s="47" t="n">
        <v>2346000</v>
      </c>
    </row>
    <row r="1347" customFormat="false" ht="15" hidden="false" customHeight="false" outlineLevel="0" collapsed="false">
      <c r="A1347" s="0" t="s">
        <v>531</v>
      </c>
      <c r="B1347" s="0" t="n">
        <v>600</v>
      </c>
      <c r="C1347" s="0" t="str">
        <f aca="false">TEXT(VLOOKUP(B1347,$I$2:$J$20,2,FALSE()),"0")</f>
        <v>600</v>
      </c>
      <c r="D1347" s="47" t="n">
        <v>30</v>
      </c>
      <c r="E1347" s="47" t="n">
        <v>4470000</v>
      </c>
      <c r="F1347" s="47" t="n">
        <v>1173000</v>
      </c>
    </row>
    <row r="1348" customFormat="false" ht="15" hidden="false" customHeight="false" outlineLevel="0" collapsed="false">
      <c r="A1348" s="0" t="s">
        <v>531</v>
      </c>
      <c r="B1348" s="0" t="n">
        <v>800</v>
      </c>
      <c r="C1348" s="0" t="str">
        <f aca="false">TEXT(VLOOKUP(B1348,$I$2:$J$20,2,FALSE()),"0")</f>
        <v>800</v>
      </c>
      <c r="D1348" s="47" t="n">
        <v>70</v>
      </c>
      <c r="E1348" s="47" t="n">
        <v>10430000</v>
      </c>
      <c r="F1348" s="47" t="n">
        <v>2737000</v>
      </c>
    </row>
    <row r="1349" customFormat="false" ht="15" hidden="false" customHeight="false" outlineLevel="0" collapsed="false">
      <c r="A1349" s="0" t="s">
        <v>533</v>
      </c>
      <c r="B1349" s="0" t="n">
        <v>100</v>
      </c>
      <c r="C1349" s="0" t="str">
        <f aca="false">TEXT(VLOOKUP(B1349,$I$2:$J$20,2,FALSE()),"0")</f>
        <v>100</v>
      </c>
      <c r="D1349" s="47" t="n">
        <v>500</v>
      </c>
      <c r="E1349" s="47" t="n">
        <v>44500000</v>
      </c>
      <c r="F1349" s="47" t="n">
        <v>9100000</v>
      </c>
    </row>
    <row r="1350" customFormat="false" ht="15" hidden="false" customHeight="false" outlineLevel="0" collapsed="false">
      <c r="A1350" s="0" t="s">
        <v>533</v>
      </c>
      <c r="B1350" s="0" t="n">
        <v>300</v>
      </c>
      <c r="C1350" s="0" t="str">
        <f aca="false">TEXT(VLOOKUP(B1350,$I$2:$J$20,2,FALSE()),"0")</f>
        <v>300</v>
      </c>
      <c r="D1350" s="47" t="n">
        <v>850</v>
      </c>
      <c r="E1350" s="47" t="n">
        <v>75650000</v>
      </c>
      <c r="F1350" s="47" t="n">
        <v>15470000</v>
      </c>
    </row>
    <row r="1351" customFormat="false" ht="15" hidden="false" customHeight="false" outlineLevel="0" collapsed="false">
      <c r="A1351" s="0" t="s">
        <v>533</v>
      </c>
      <c r="B1351" s="0" t="n">
        <v>700</v>
      </c>
      <c r="C1351" s="0" t="str">
        <f aca="false">TEXT(VLOOKUP(B1351,$I$2:$J$20,2,FALSE()),"0")</f>
        <v>700</v>
      </c>
      <c r="D1351" s="47" t="n">
        <v>190</v>
      </c>
      <c r="E1351" s="47" t="n">
        <v>16910000</v>
      </c>
      <c r="F1351" s="47" t="n">
        <v>3458000</v>
      </c>
    </row>
    <row r="1352" customFormat="false" ht="15" hidden="false" customHeight="false" outlineLevel="0" collapsed="false">
      <c r="A1352" s="0" t="s">
        <v>533</v>
      </c>
      <c r="B1352" s="0" t="n">
        <v>799</v>
      </c>
      <c r="C1352" s="0" t="str">
        <f aca="false">TEXT(VLOOKUP(B1352,$I$2:$J$20,2,FALSE()),"0")</f>
        <v>700</v>
      </c>
      <c r="D1352" s="47" t="n">
        <v>2</v>
      </c>
      <c r="E1352" s="47" t="n">
        <v>178000</v>
      </c>
      <c r="F1352" s="47" t="n">
        <v>36400</v>
      </c>
    </row>
    <row r="1353" customFormat="false" ht="15" hidden="false" customHeight="false" outlineLevel="0" collapsed="false">
      <c r="A1353" s="0" t="s">
        <v>533</v>
      </c>
      <c r="B1353" s="0" t="n">
        <v>800</v>
      </c>
      <c r="C1353" s="0" t="str">
        <f aca="false">TEXT(VLOOKUP(B1353,$I$2:$J$20,2,FALSE()),"0")</f>
        <v>800</v>
      </c>
      <c r="D1353" s="47" t="n">
        <v>105</v>
      </c>
      <c r="E1353" s="47" t="n">
        <v>9345000</v>
      </c>
      <c r="F1353" s="47" t="n">
        <v>1911000</v>
      </c>
    </row>
    <row r="1354" customFormat="false" ht="15" hidden="false" customHeight="false" outlineLevel="0" collapsed="false">
      <c r="A1354" s="0" t="s">
        <v>932</v>
      </c>
      <c r="B1354" s="0" t="n">
        <v>100</v>
      </c>
      <c r="C1354" s="0" t="str">
        <f aca="false">TEXT(VLOOKUP(B1354,$I$2:$J$20,2,FALSE()),"0")</f>
        <v>100</v>
      </c>
      <c r="D1354" s="47" t="n">
        <v>310</v>
      </c>
      <c r="E1354" s="47" t="n">
        <v>33790000</v>
      </c>
      <c r="F1354" s="47" t="n">
        <v>6696000</v>
      </c>
    </row>
    <row r="1355" customFormat="false" ht="15" hidden="false" customHeight="false" outlineLevel="0" collapsed="false">
      <c r="A1355" s="0" t="s">
        <v>932</v>
      </c>
      <c r="B1355" s="0" t="n">
        <v>600</v>
      </c>
      <c r="C1355" s="0" t="str">
        <f aca="false">TEXT(VLOOKUP(B1355,$I$2:$J$20,2,FALSE()),"0")</f>
        <v>600</v>
      </c>
      <c r="D1355" s="47" t="n">
        <v>40</v>
      </c>
      <c r="E1355" s="47" t="n">
        <v>4360000</v>
      </c>
      <c r="F1355" s="47" t="n">
        <v>864000</v>
      </c>
    </row>
    <row r="1356" customFormat="false" ht="15" hidden="false" customHeight="false" outlineLevel="0" collapsed="false">
      <c r="A1356" s="0" t="s">
        <v>535</v>
      </c>
      <c r="B1356" s="0" t="n">
        <v>100</v>
      </c>
      <c r="C1356" s="0" t="str">
        <f aca="false">TEXT(VLOOKUP(B1356,$I$2:$J$20,2,FALSE()),"0")</f>
        <v>100</v>
      </c>
      <c r="D1356" s="47" t="n">
        <v>100</v>
      </c>
      <c r="E1356" s="47" t="n">
        <v>14900000</v>
      </c>
      <c r="F1356" s="47" t="n">
        <v>2730000</v>
      </c>
    </row>
    <row r="1357" customFormat="false" ht="15" hidden="false" customHeight="false" outlineLevel="0" collapsed="false">
      <c r="A1357" s="0" t="s">
        <v>535</v>
      </c>
      <c r="B1357" s="0" t="n">
        <v>300</v>
      </c>
      <c r="C1357" s="0" t="str">
        <f aca="false">TEXT(VLOOKUP(B1357,$I$2:$J$20,2,FALSE()),"0")</f>
        <v>300</v>
      </c>
      <c r="D1357" s="47" t="n">
        <v>300</v>
      </c>
      <c r="E1357" s="47" t="n">
        <v>44700000</v>
      </c>
      <c r="F1357" s="47" t="n">
        <v>8190000</v>
      </c>
    </row>
    <row r="1358" customFormat="false" ht="15" hidden="false" customHeight="false" outlineLevel="0" collapsed="false">
      <c r="A1358" s="0" t="s">
        <v>535</v>
      </c>
      <c r="B1358" s="0" t="n">
        <v>600</v>
      </c>
      <c r="C1358" s="0" t="str">
        <f aca="false">TEXT(VLOOKUP(B1358,$I$2:$J$20,2,FALSE()),"0")</f>
        <v>600</v>
      </c>
      <c r="D1358" s="47" t="n">
        <v>25</v>
      </c>
      <c r="E1358" s="47" t="n">
        <v>3725000</v>
      </c>
      <c r="F1358" s="47" t="n">
        <v>682500</v>
      </c>
    </row>
    <row r="1359" customFormat="false" ht="15" hidden="false" customHeight="false" outlineLevel="0" collapsed="false">
      <c r="A1359" s="0" t="s">
        <v>1342</v>
      </c>
      <c r="B1359" s="0" t="n">
        <v>600</v>
      </c>
      <c r="C1359" s="0" t="str">
        <f aca="false">TEXT(VLOOKUP(B1359,$I$2:$J$20,2,FALSE()),"0")</f>
        <v>600</v>
      </c>
      <c r="D1359" s="47" t="n">
        <v>40</v>
      </c>
      <c r="E1359" s="47" t="n">
        <v>5160000</v>
      </c>
      <c r="F1359" s="47" t="n">
        <v>1176000</v>
      </c>
    </row>
    <row r="1360" customFormat="false" ht="15" hidden="false" customHeight="false" outlineLevel="0" collapsed="false">
      <c r="A1360" s="0" t="s">
        <v>1342</v>
      </c>
      <c r="B1360" s="0" t="n">
        <v>810</v>
      </c>
      <c r="C1360" s="0" t="str">
        <f aca="false">TEXT(VLOOKUP(B1360,$I$2:$J$20,2,FALSE()),"0")</f>
        <v>810</v>
      </c>
      <c r="D1360" s="47" t="n">
        <v>216</v>
      </c>
      <c r="E1360" s="47" t="n">
        <v>27864000</v>
      </c>
      <c r="F1360" s="47" t="n">
        <v>6350400</v>
      </c>
    </row>
    <row r="1361" customFormat="false" ht="15" hidden="false" customHeight="false" outlineLevel="0" collapsed="false">
      <c r="A1361" s="0" t="s">
        <v>1083</v>
      </c>
      <c r="B1361" s="0" t="n">
        <v>200</v>
      </c>
      <c r="C1361" s="0" t="str">
        <f aca="false">TEXT(VLOOKUP(B1361,$I$2:$J$20,2,FALSE()),"0")</f>
        <v>200</v>
      </c>
      <c r="D1361" s="47" t="n">
        <v>230</v>
      </c>
      <c r="E1361" s="47" t="n">
        <v>29670000</v>
      </c>
      <c r="F1361" s="47" t="n">
        <v>6810300</v>
      </c>
    </row>
    <row r="1362" customFormat="false" ht="15" hidden="false" customHeight="false" outlineLevel="0" collapsed="false">
      <c r="A1362" s="0" t="s">
        <v>1083</v>
      </c>
      <c r="B1362" s="0" t="n">
        <v>299</v>
      </c>
      <c r="C1362" s="0" t="str">
        <f aca="false">TEXT(VLOOKUP(B1362,$I$2:$J$20,2,FALSE()),"0")</f>
        <v>200</v>
      </c>
      <c r="D1362" s="47" t="n">
        <v>2</v>
      </c>
      <c r="E1362" s="47" t="n">
        <v>258000</v>
      </c>
      <c r="F1362" s="47" t="n">
        <v>59220</v>
      </c>
    </row>
    <row r="1363" customFormat="false" ht="15" hidden="false" customHeight="false" outlineLevel="0" collapsed="false">
      <c r="A1363" s="0" t="s">
        <v>1083</v>
      </c>
      <c r="B1363" s="0" t="n">
        <v>500</v>
      </c>
      <c r="C1363" s="0" t="str">
        <f aca="false">TEXT(VLOOKUP(B1363,$I$2:$J$20,2,FALSE()),"0")</f>
        <v>500</v>
      </c>
      <c r="D1363" s="47" t="n">
        <v>150</v>
      </c>
      <c r="E1363" s="47" t="n">
        <v>19350000</v>
      </c>
      <c r="F1363" s="47" t="n">
        <v>4441500</v>
      </c>
    </row>
    <row r="1364" customFormat="false" ht="15" hidden="false" customHeight="false" outlineLevel="0" collapsed="false">
      <c r="A1364" s="0" t="s">
        <v>537</v>
      </c>
      <c r="B1364" s="0" t="n">
        <v>300</v>
      </c>
      <c r="C1364" s="0" t="str">
        <f aca="false">TEXT(VLOOKUP(B1364,$I$2:$J$20,2,FALSE()),"0")</f>
        <v>300</v>
      </c>
      <c r="D1364" s="47" t="n">
        <v>1600</v>
      </c>
      <c r="E1364" s="47" t="n">
        <v>142400000</v>
      </c>
      <c r="F1364" s="47" t="n">
        <v>43200000</v>
      </c>
    </row>
    <row r="1365" customFormat="false" ht="15" hidden="false" customHeight="false" outlineLevel="0" collapsed="false">
      <c r="A1365" s="0" t="s">
        <v>1085</v>
      </c>
      <c r="B1365" s="0" t="n">
        <v>200</v>
      </c>
      <c r="C1365" s="0" t="str">
        <f aca="false">TEXT(VLOOKUP(B1365,$I$2:$J$20,2,FALSE()),"0")</f>
        <v>200</v>
      </c>
      <c r="D1365" s="47" t="n">
        <v>210</v>
      </c>
      <c r="E1365" s="47" t="n">
        <v>20790000</v>
      </c>
      <c r="F1365" s="47" t="n">
        <v>5691000</v>
      </c>
    </row>
    <row r="1366" customFormat="false" ht="15" hidden="false" customHeight="false" outlineLevel="0" collapsed="false">
      <c r="A1366" s="0" t="s">
        <v>1085</v>
      </c>
      <c r="B1366" s="0" t="n">
        <v>299</v>
      </c>
      <c r="C1366" s="0" t="str">
        <f aca="false">TEXT(VLOOKUP(B1366,$I$2:$J$20,2,FALSE()),"0")</f>
        <v>200</v>
      </c>
      <c r="D1366" s="47" t="n">
        <v>2</v>
      </c>
      <c r="E1366" s="47" t="n">
        <v>198000</v>
      </c>
      <c r="F1366" s="47" t="n">
        <v>54200</v>
      </c>
    </row>
    <row r="1367" customFormat="false" ht="15" hidden="false" customHeight="false" outlineLevel="0" collapsed="false">
      <c r="A1367" s="0" t="s">
        <v>1087</v>
      </c>
      <c r="B1367" s="0" t="n">
        <v>200</v>
      </c>
      <c r="C1367" s="0" t="str">
        <f aca="false">TEXT(VLOOKUP(B1367,$I$2:$J$20,2,FALSE()),"0")</f>
        <v>200</v>
      </c>
      <c r="D1367" s="47" t="n">
        <v>160</v>
      </c>
      <c r="E1367" s="47" t="n">
        <v>19040000</v>
      </c>
      <c r="F1367" s="47" t="n">
        <v>5120000</v>
      </c>
    </row>
    <row r="1368" customFormat="false" ht="15" hidden="false" customHeight="false" outlineLevel="0" collapsed="false">
      <c r="A1368" s="0" t="s">
        <v>1087</v>
      </c>
      <c r="B1368" s="0" t="n">
        <v>299</v>
      </c>
      <c r="C1368" s="0" t="str">
        <f aca="false">TEXT(VLOOKUP(B1368,$I$2:$J$20,2,FALSE()),"0")</f>
        <v>200</v>
      </c>
      <c r="D1368" s="47" t="n">
        <v>2</v>
      </c>
      <c r="E1368" s="47" t="n">
        <v>238000</v>
      </c>
      <c r="F1368" s="47" t="n">
        <v>64000</v>
      </c>
    </row>
    <row r="1369" customFormat="false" ht="15" hidden="false" customHeight="false" outlineLevel="0" collapsed="false">
      <c r="A1369" s="0" t="s">
        <v>1087</v>
      </c>
      <c r="B1369" s="0" t="n">
        <v>300</v>
      </c>
      <c r="C1369" s="0" t="str">
        <f aca="false">TEXT(VLOOKUP(B1369,$I$2:$J$20,2,FALSE()),"0")</f>
        <v>300</v>
      </c>
      <c r="D1369" s="47" t="n">
        <v>220</v>
      </c>
      <c r="E1369" s="47" t="n">
        <v>26180000</v>
      </c>
      <c r="F1369" s="47" t="n">
        <v>7040000</v>
      </c>
    </row>
    <row r="1370" customFormat="false" ht="15" hidden="false" customHeight="false" outlineLevel="0" collapsed="false">
      <c r="A1370" s="0" t="s">
        <v>1700</v>
      </c>
      <c r="B1370" s="0" t="n">
        <v>100</v>
      </c>
      <c r="C1370" s="0" t="str">
        <f aca="false">TEXT(VLOOKUP(B1370,$I$2:$J$20,2,FALSE()),"0")</f>
        <v>100</v>
      </c>
      <c r="D1370" s="47" t="n">
        <v>260</v>
      </c>
      <c r="E1370" s="47" t="n">
        <v>36140000</v>
      </c>
      <c r="F1370" s="47" t="n">
        <v>9620000</v>
      </c>
    </row>
    <row r="1371" customFormat="false" ht="15" hidden="false" customHeight="false" outlineLevel="0" collapsed="false">
      <c r="A1371" s="0" t="s">
        <v>1700</v>
      </c>
      <c r="B1371" s="0" t="n">
        <v>300</v>
      </c>
      <c r="C1371" s="0" t="str">
        <f aca="false">TEXT(VLOOKUP(B1371,$I$2:$J$20,2,FALSE()),"0")</f>
        <v>300</v>
      </c>
      <c r="D1371" s="47" t="n">
        <v>600</v>
      </c>
      <c r="E1371" s="47" t="n">
        <v>83400000</v>
      </c>
      <c r="F1371" s="47" t="n">
        <v>22200000</v>
      </c>
    </row>
    <row r="1372" customFormat="false" ht="15" hidden="false" customHeight="false" outlineLevel="0" collapsed="false">
      <c r="A1372" s="0" t="s">
        <v>1700</v>
      </c>
      <c r="B1372" s="0" t="n">
        <v>700</v>
      </c>
      <c r="C1372" s="0" t="str">
        <f aca="false">TEXT(VLOOKUP(B1372,$I$2:$J$20,2,FALSE()),"0")</f>
        <v>700</v>
      </c>
      <c r="D1372" s="47" t="n">
        <v>520</v>
      </c>
      <c r="E1372" s="47" t="n">
        <v>72280000</v>
      </c>
      <c r="F1372" s="47" t="n">
        <v>19240000</v>
      </c>
    </row>
    <row r="1373" customFormat="false" ht="15" hidden="false" customHeight="false" outlineLevel="0" collapsed="false">
      <c r="A1373" s="0" t="s">
        <v>1700</v>
      </c>
      <c r="B1373" s="0" t="n">
        <v>799</v>
      </c>
      <c r="C1373" s="0" t="str">
        <f aca="false">TEXT(VLOOKUP(B1373,$I$2:$J$20,2,FALSE()),"0")</f>
        <v>700</v>
      </c>
      <c r="D1373" s="47" t="n">
        <v>3</v>
      </c>
      <c r="E1373" s="47" t="n">
        <v>417000</v>
      </c>
      <c r="F1373" s="47" t="n">
        <v>111000</v>
      </c>
    </row>
    <row r="1374" customFormat="false" ht="15" hidden="false" customHeight="false" outlineLevel="0" collapsed="false">
      <c r="A1374" s="0" t="s">
        <v>1089</v>
      </c>
      <c r="B1374" s="0" t="n">
        <v>200</v>
      </c>
      <c r="C1374" s="0" t="str">
        <f aca="false">TEXT(VLOOKUP(B1374,$I$2:$J$20,2,FALSE()),"0")</f>
        <v>200</v>
      </c>
      <c r="D1374" s="47" t="n">
        <v>150</v>
      </c>
      <c r="E1374" s="47" t="n">
        <v>16350000</v>
      </c>
      <c r="F1374" s="47" t="n">
        <v>4950000</v>
      </c>
    </row>
    <row r="1375" customFormat="false" ht="15" hidden="false" customHeight="false" outlineLevel="0" collapsed="false">
      <c r="A1375" s="0" t="s">
        <v>1089</v>
      </c>
      <c r="B1375" s="0" t="n">
        <v>299</v>
      </c>
      <c r="C1375" s="0" t="str">
        <f aca="false">TEXT(VLOOKUP(B1375,$I$2:$J$20,2,FALSE()),"0")</f>
        <v>200</v>
      </c>
      <c r="D1375" s="47" t="n">
        <v>2</v>
      </c>
      <c r="E1375" s="47" t="n">
        <v>218000</v>
      </c>
      <c r="F1375" s="47" t="n">
        <v>66000</v>
      </c>
    </row>
    <row r="1376" customFormat="false" ht="15" hidden="false" customHeight="false" outlineLevel="0" collapsed="false">
      <c r="A1376" s="0" t="s">
        <v>1089</v>
      </c>
      <c r="B1376" s="0" t="n">
        <v>600</v>
      </c>
      <c r="C1376" s="0" t="str">
        <f aca="false">TEXT(VLOOKUP(B1376,$I$2:$J$20,2,FALSE()),"0")</f>
        <v>600</v>
      </c>
      <c r="D1376" s="47" t="n">
        <v>70</v>
      </c>
      <c r="E1376" s="47" t="n">
        <v>7630000</v>
      </c>
      <c r="F1376" s="47" t="n">
        <v>2310000</v>
      </c>
    </row>
    <row r="1377" customFormat="false" ht="15" hidden="false" customHeight="false" outlineLevel="0" collapsed="false">
      <c r="A1377" s="0" t="s">
        <v>539</v>
      </c>
      <c r="B1377" s="0" t="n">
        <v>100</v>
      </c>
      <c r="C1377" s="0" t="str">
        <f aca="false">TEXT(VLOOKUP(B1377,$I$2:$J$20,2,FALSE()),"0")</f>
        <v>100</v>
      </c>
      <c r="D1377" s="47" t="n">
        <v>180</v>
      </c>
      <c r="E1377" s="47" t="n">
        <v>17820000</v>
      </c>
      <c r="F1377" s="47" t="n">
        <v>4500000</v>
      </c>
    </row>
    <row r="1378" customFormat="false" ht="15" hidden="false" customHeight="false" outlineLevel="0" collapsed="false">
      <c r="A1378" s="0" t="s">
        <v>539</v>
      </c>
      <c r="B1378" s="0" t="n">
        <v>300</v>
      </c>
      <c r="C1378" s="0" t="str">
        <f aca="false">TEXT(VLOOKUP(B1378,$I$2:$J$20,2,FALSE()),"0")</f>
        <v>300</v>
      </c>
      <c r="D1378" s="47" t="n">
        <v>370</v>
      </c>
      <c r="E1378" s="47" t="n">
        <v>36630000</v>
      </c>
      <c r="F1378" s="47" t="n">
        <v>9250000</v>
      </c>
    </row>
    <row r="1379" customFormat="false" ht="15" hidden="false" customHeight="false" outlineLevel="0" collapsed="false">
      <c r="A1379" s="0" t="s">
        <v>1701</v>
      </c>
      <c r="B1379" s="0" t="n">
        <v>300</v>
      </c>
      <c r="C1379" s="0" t="str">
        <f aca="false">TEXT(VLOOKUP(B1379,$I$2:$J$20,2,FALSE()),"0")</f>
        <v>300</v>
      </c>
      <c r="D1379" s="47" t="n">
        <v>150</v>
      </c>
      <c r="E1379" s="47" t="n">
        <v>17850000</v>
      </c>
      <c r="F1379" s="47" t="n">
        <v>4800000</v>
      </c>
    </row>
    <row r="1380" customFormat="false" ht="15" hidden="false" customHeight="false" outlineLevel="0" collapsed="false">
      <c r="A1380" s="0" t="s">
        <v>541</v>
      </c>
      <c r="B1380" s="0" t="n">
        <v>100</v>
      </c>
      <c r="C1380" s="0" t="str">
        <f aca="false">TEXT(VLOOKUP(B1380,$I$2:$J$20,2,FALSE()),"0")</f>
        <v>100</v>
      </c>
      <c r="D1380" s="47" t="n">
        <v>90</v>
      </c>
      <c r="E1380" s="47" t="n">
        <v>14310000</v>
      </c>
      <c r="F1380" s="47" t="n">
        <v>2799090</v>
      </c>
    </row>
    <row r="1381" customFormat="false" ht="15" hidden="false" customHeight="false" outlineLevel="0" collapsed="false">
      <c r="A1381" s="0" t="s">
        <v>541</v>
      </c>
      <c r="B1381" s="0" t="n">
        <v>200</v>
      </c>
      <c r="C1381" s="0" t="str">
        <f aca="false">TEXT(VLOOKUP(B1381,$I$2:$J$20,2,FALSE()),"0")</f>
        <v>200</v>
      </c>
      <c r="D1381" s="47" t="n">
        <v>560</v>
      </c>
      <c r="E1381" s="47" t="n">
        <v>89040000</v>
      </c>
      <c r="F1381" s="47" t="n">
        <v>17416560</v>
      </c>
    </row>
    <row r="1382" customFormat="false" ht="15" hidden="false" customHeight="false" outlineLevel="0" collapsed="false">
      <c r="A1382" s="0" t="s">
        <v>541</v>
      </c>
      <c r="B1382" s="0" t="n">
        <v>299</v>
      </c>
      <c r="C1382" s="0" t="str">
        <f aca="false">TEXT(VLOOKUP(B1382,$I$2:$J$20,2,FALSE()),"0")</f>
        <v>200</v>
      </c>
      <c r="D1382" s="47" t="n">
        <v>3</v>
      </c>
      <c r="E1382" s="47" t="n">
        <v>477000</v>
      </c>
      <c r="F1382" s="47" t="n">
        <v>93303</v>
      </c>
    </row>
    <row r="1383" customFormat="false" ht="15" hidden="false" customHeight="false" outlineLevel="0" collapsed="false">
      <c r="A1383" s="0" t="s">
        <v>541</v>
      </c>
      <c r="B1383" s="0" t="n">
        <v>300</v>
      </c>
      <c r="C1383" s="0" t="str">
        <f aca="false">TEXT(VLOOKUP(B1383,$I$2:$J$20,2,FALSE()),"0")</f>
        <v>300</v>
      </c>
      <c r="D1383" s="47" t="n">
        <v>150</v>
      </c>
      <c r="E1383" s="47" t="n">
        <v>23850000</v>
      </c>
      <c r="F1383" s="47" t="n">
        <v>4665150</v>
      </c>
    </row>
    <row r="1384" customFormat="false" ht="15" hidden="false" customHeight="false" outlineLevel="0" collapsed="false">
      <c r="A1384" s="0" t="s">
        <v>541</v>
      </c>
      <c r="B1384" s="0" t="n">
        <v>600</v>
      </c>
      <c r="C1384" s="0" t="str">
        <f aca="false">TEXT(VLOOKUP(B1384,$I$2:$J$20,2,FALSE()),"0")</f>
        <v>600</v>
      </c>
      <c r="D1384" s="47" t="n">
        <v>20</v>
      </c>
      <c r="E1384" s="47" t="n">
        <v>3180000</v>
      </c>
      <c r="F1384" s="47" t="n">
        <v>622020</v>
      </c>
    </row>
    <row r="1385" customFormat="false" ht="15" hidden="false" customHeight="false" outlineLevel="0" collapsed="false">
      <c r="A1385" s="0" t="s">
        <v>541</v>
      </c>
      <c r="B1385" s="0" t="n">
        <v>700</v>
      </c>
      <c r="C1385" s="0" t="str">
        <f aca="false">TEXT(VLOOKUP(B1385,$I$2:$J$20,2,FALSE()),"0")</f>
        <v>700</v>
      </c>
      <c r="D1385" s="47" t="n">
        <v>80</v>
      </c>
      <c r="E1385" s="47" t="n">
        <v>12720000</v>
      </c>
      <c r="F1385" s="47" t="n">
        <v>2488080</v>
      </c>
    </row>
    <row r="1386" customFormat="false" ht="15" hidden="false" customHeight="false" outlineLevel="0" collapsed="false">
      <c r="A1386" s="0" t="s">
        <v>541</v>
      </c>
      <c r="B1386" s="0" t="n">
        <v>799</v>
      </c>
      <c r="C1386" s="0" t="str">
        <f aca="false">TEXT(VLOOKUP(B1386,$I$2:$J$20,2,FALSE()),"0")</f>
        <v>700</v>
      </c>
      <c r="D1386" s="47" t="n">
        <v>1</v>
      </c>
      <c r="E1386" s="47" t="n">
        <v>159000</v>
      </c>
      <c r="F1386" s="47" t="n">
        <v>31101</v>
      </c>
    </row>
    <row r="1387" customFormat="false" ht="15" hidden="false" customHeight="false" outlineLevel="0" collapsed="false">
      <c r="A1387" s="0" t="s">
        <v>543</v>
      </c>
      <c r="B1387" s="0" t="n">
        <v>300</v>
      </c>
      <c r="C1387" s="0" t="str">
        <f aca="false">TEXT(VLOOKUP(B1387,$I$2:$J$20,2,FALSE()),"0")</f>
        <v>300</v>
      </c>
      <c r="D1387" s="47" t="n">
        <v>300</v>
      </c>
      <c r="E1387" s="47" t="n">
        <v>47700000</v>
      </c>
      <c r="F1387" s="47" t="n">
        <v>8850000</v>
      </c>
    </row>
    <row r="1388" customFormat="false" ht="15" hidden="false" customHeight="false" outlineLevel="0" collapsed="false">
      <c r="A1388" s="0" t="s">
        <v>543</v>
      </c>
      <c r="B1388" s="0" t="n">
        <v>810</v>
      </c>
      <c r="C1388" s="0" t="str">
        <f aca="false">TEXT(VLOOKUP(B1388,$I$2:$J$20,2,FALSE()),"0")</f>
        <v>810</v>
      </c>
      <c r="D1388" s="47" t="n">
        <v>228</v>
      </c>
      <c r="E1388" s="47" t="n">
        <v>36252000</v>
      </c>
      <c r="F1388" s="47" t="n">
        <v>6726000</v>
      </c>
    </row>
    <row r="1389" customFormat="false" ht="15" hidden="false" customHeight="false" outlineLevel="0" collapsed="false">
      <c r="A1389" s="0" t="s">
        <v>934</v>
      </c>
      <c r="B1389" s="0" t="n">
        <v>100</v>
      </c>
      <c r="C1389" s="0" t="str">
        <f aca="false">TEXT(VLOOKUP(B1389,$I$2:$J$20,2,FALSE()),"0")</f>
        <v>100</v>
      </c>
      <c r="D1389" s="47" t="n">
        <v>90</v>
      </c>
      <c r="E1389" s="47" t="n">
        <v>11610000</v>
      </c>
      <c r="F1389" s="47" t="n">
        <v>2196270</v>
      </c>
    </row>
    <row r="1390" customFormat="false" ht="15" hidden="false" customHeight="false" outlineLevel="0" collapsed="false">
      <c r="A1390" s="0" t="s">
        <v>934</v>
      </c>
      <c r="B1390" s="0" t="n">
        <v>200</v>
      </c>
      <c r="C1390" s="0" t="str">
        <f aca="false">TEXT(VLOOKUP(B1390,$I$2:$J$20,2,FALSE()),"0")</f>
        <v>200</v>
      </c>
      <c r="D1390" s="47" t="n">
        <v>280</v>
      </c>
      <c r="E1390" s="47" t="n">
        <v>36120000</v>
      </c>
      <c r="F1390" s="47" t="n">
        <v>6832840</v>
      </c>
    </row>
    <row r="1391" customFormat="false" ht="15" hidden="false" customHeight="false" outlineLevel="0" collapsed="false">
      <c r="A1391" s="0" t="s">
        <v>934</v>
      </c>
      <c r="B1391" s="0" t="n">
        <v>299</v>
      </c>
      <c r="C1391" s="0" t="str">
        <f aca="false">TEXT(VLOOKUP(B1391,$I$2:$J$20,2,FALSE()),"0")</f>
        <v>200</v>
      </c>
      <c r="D1391" s="47" t="n">
        <v>2</v>
      </c>
      <c r="E1391" s="47" t="n">
        <v>258000</v>
      </c>
      <c r="F1391" s="47" t="n">
        <v>48806</v>
      </c>
    </row>
    <row r="1392" customFormat="false" ht="15" hidden="false" customHeight="false" outlineLevel="0" collapsed="false">
      <c r="A1392" s="0" t="s">
        <v>934</v>
      </c>
      <c r="B1392" s="0" t="n">
        <v>600</v>
      </c>
      <c r="C1392" s="0" t="str">
        <f aca="false">TEXT(VLOOKUP(B1392,$I$2:$J$20,2,FALSE()),"0")</f>
        <v>600</v>
      </c>
      <c r="D1392" s="47" t="n">
        <v>20</v>
      </c>
      <c r="E1392" s="47" t="n">
        <v>2580000</v>
      </c>
      <c r="F1392" s="47" t="n">
        <v>488060</v>
      </c>
    </row>
    <row r="1393" customFormat="false" ht="15" hidden="false" customHeight="false" outlineLevel="0" collapsed="false">
      <c r="A1393" s="0" t="s">
        <v>934</v>
      </c>
      <c r="B1393" s="0" t="n">
        <v>800</v>
      </c>
      <c r="C1393" s="0" t="str">
        <f aca="false">TEXT(VLOOKUP(B1393,$I$2:$J$20,2,FALSE()),"0")</f>
        <v>800</v>
      </c>
      <c r="D1393" s="47" t="n">
        <v>60</v>
      </c>
      <c r="E1393" s="47" t="n">
        <v>7740000</v>
      </c>
      <c r="F1393" s="47" t="n">
        <v>1464180</v>
      </c>
    </row>
    <row r="1394" customFormat="false" ht="15" hidden="false" customHeight="false" outlineLevel="0" collapsed="false">
      <c r="A1394" s="0" t="s">
        <v>1702</v>
      </c>
      <c r="B1394" s="0" t="n">
        <v>200</v>
      </c>
      <c r="C1394" s="0" t="str">
        <f aca="false">TEXT(VLOOKUP(B1394,$I$2:$J$20,2,FALSE()),"0")</f>
        <v>200</v>
      </c>
      <c r="D1394" s="47" t="n">
        <v>130</v>
      </c>
      <c r="E1394" s="47" t="n">
        <v>23270000</v>
      </c>
      <c r="F1394" s="47" t="n">
        <v>5499000</v>
      </c>
    </row>
    <row r="1395" customFormat="false" ht="15" hidden="false" customHeight="false" outlineLevel="0" collapsed="false">
      <c r="A1395" s="0" t="s">
        <v>1702</v>
      </c>
      <c r="B1395" s="0" t="n">
        <v>500</v>
      </c>
      <c r="C1395" s="0" t="str">
        <f aca="false">TEXT(VLOOKUP(B1395,$I$2:$J$20,2,FALSE()),"0")</f>
        <v>500</v>
      </c>
      <c r="D1395" s="47" t="n">
        <v>7</v>
      </c>
      <c r="E1395" s="47" t="n">
        <v>1253000</v>
      </c>
      <c r="F1395" s="47" t="n">
        <v>296100</v>
      </c>
    </row>
    <row r="1396" customFormat="false" ht="15" hidden="false" customHeight="false" outlineLevel="0" collapsed="false">
      <c r="A1396" s="0" t="s">
        <v>936</v>
      </c>
      <c r="B1396" s="0" t="n">
        <v>100</v>
      </c>
      <c r="C1396" s="0" t="str">
        <f aca="false">TEXT(VLOOKUP(B1396,$I$2:$J$20,2,FALSE()),"0")</f>
        <v>100</v>
      </c>
      <c r="D1396" s="47" t="n">
        <v>70</v>
      </c>
      <c r="E1396" s="47" t="n">
        <v>11830000</v>
      </c>
      <c r="F1396" s="47" t="n">
        <v>1981000</v>
      </c>
    </row>
    <row r="1397" customFormat="false" ht="15" hidden="false" customHeight="false" outlineLevel="0" collapsed="false">
      <c r="A1397" s="0" t="s">
        <v>936</v>
      </c>
      <c r="B1397" s="0" t="n">
        <v>700</v>
      </c>
      <c r="C1397" s="0" t="str">
        <f aca="false">TEXT(VLOOKUP(B1397,$I$2:$J$20,2,FALSE()),"0")</f>
        <v>700</v>
      </c>
      <c r="D1397" s="47" t="n">
        <v>80</v>
      </c>
      <c r="E1397" s="47" t="n">
        <v>13520000</v>
      </c>
      <c r="F1397" s="47" t="n">
        <v>2264000</v>
      </c>
    </row>
    <row r="1398" customFormat="false" ht="15" hidden="false" customHeight="false" outlineLevel="0" collapsed="false">
      <c r="A1398" s="0" t="s">
        <v>936</v>
      </c>
      <c r="B1398" s="0" t="n">
        <v>799</v>
      </c>
      <c r="C1398" s="0" t="str">
        <f aca="false">TEXT(VLOOKUP(B1398,$I$2:$J$20,2,FALSE()),"0")</f>
        <v>700</v>
      </c>
      <c r="D1398" s="47" t="n">
        <v>1</v>
      </c>
      <c r="E1398" s="47" t="n">
        <v>169000</v>
      </c>
      <c r="F1398" s="47" t="n">
        <v>28300</v>
      </c>
    </row>
    <row r="1399" customFormat="false" ht="15" hidden="false" customHeight="false" outlineLevel="0" collapsed="false">
      <c r="A1399" s="0" t="s">
        <v>1091</v>
      </c>
      <c r="B1399" s="0" t="n">
        <v>200</v>
      </c>
      <c r="C1399" s="0" t="str">
        <f aca="false">TEXT(VLOOKUP(B1399,$I$2:$J$20,2,FALSE()),"0")</f>
        <v>200</v>
      </c>
      <c r="D1399" s="47" t="n">
        <v>120</v>
      </c>
      <c r="E1399" s="47" t="n">
        <v>20280000</v>
      </c>
      <c r="F1399" s="47" t="n">
        <v>3864000</v>
      </c>
    </row>
    <row r="1400" customFormat="false" ht="15" hidden="false" customHeight="false" outlineLevel="0" collapsed="false">
      <c r="A1400" s="0" t="s">
        <v>1091</v>
      </c>
      <c r="B1400" s="0" t="n">
        <v>299</v>
      </c>
      <c r="C1400" s="0" t="str">
        <f aca="false">TEXT(VLOOKUP(B1400,$I$2:$J$20,2,FALSE()),"0")</f>
        <v>200</v>
      </c>
      <c r="D1400" s="47" t="n">
        <v>1</v>
      </c>
      <c r="E1400" s="47" t="n">
        <v>169000</v>
      </c>
      <c r="F1400" s="47" t="n">
        <v>32200</v>
      </c>
    </row>
    <row r="1401" customFormat="false" ht="15" hidden="false" customHeight="false" outlineLevel="0" collapsed="false">
      <c r="A1401" s="0" t="s">
        <v>1344</v>
      </c>
      <c r="B1401" s="0" t="n">
        <v>600</v>
      </c>
      <c r="C1401" s="0" t="str">
        <f aca="false">TEXT(VLOOKUP(B1401,$I$2:$J$20,2,FALSE()),"0")</f>
        <v>600</v>
      </c>
      <c r="D1401" s="47" t="n">
        <v>35</v>
      </c>
      <c r="E1401" s="47" t="n">
        <v>3465000</v>
      </c>
      <c r="F1401" s="47" t="n">
        <v>805000</v>
      </c>
    </row>
    <row r="1402" customFormat="false" ht="15" hidden="false" customHeight="false" outlineLevel="0" collapsed="false">
      <c r="A1402" s="0" t="s">
        <v>938</v>
      </c>
      <c r="B1402" s="0" t="n">
        <v>100</v>
      </c>
      <c r="C1402" s="0" t="str">
        <f aca="false">TEXT(VLOOKUP(B1402,$I$2:$J$20,2,FALSE()),"0")</f>
        <v>100</v>
      </c>
      <c r="D1402" s="47" t="n">
        <v>160</v>
      </c>
      <c r="E1402" s="47" t="n">
        <v>31840000</v>
      </c>
      <c r="F1402" s="47" t="n">
        <v>6568000</v>
      </c>
    </row>
    <row r="1403" customFormat="false" ht="15" hidden="false" customHeight="false" outlineLevel="0" collapsed="false">
      <c r="A1403" s="0" t="s">
        <v>545</v>
      </c>
      <c r="B1403" s="0" t="n">
        <v>100</v>
      </c>
      <c r="C1403" s="0" t="str">
        <f aca="false">TEXT(VLOOKUP(B1403,$I$2:$J$20,2,FALSE()),"0")</f>
        <v>100</v>
      </c>
      <c r="D1403" s="47" t="n">
        <v>380</v>
      </c>
      <c r="E1403" s="47" t="n">
        <v>56620000</v>
      </c>
      <c r="F1403" s="47" t="n">
        <v>11037860</v>
      </c>
    </row>
    <row r="1404" customFormat="false" ht="15" hidden="false" customHeight="false" outlineLevel="0" collapsed="false">
      <c r="A1404" s="0" t="s">
        <v>545</v>
      </c>
      <c r="B1404" s="0" t="n">
        <v>200</v>
      </c>
      <c r="C1404" s="0" t="str">
        <f aca="false">TEXT(VLOOKUP(B1404,$I$2:$J$20,2,FALSE()),"0")</f>
        <v>200</v>
      </c>
      <c r="D1404" s="47" t="n">
        <v>610</v>
      </c>
      <c r="E1404" s="47" t="n">
        <v>90890000</v>
      </c>
      <c r="F1404" s="47" t="n">
        <v>17718670</v>
      </c>
    </row>
    <row r="1405" customFormat="false" ht="15" hidden="false" customHeight="false" outlineLevel="0" collapsed="false">
      <c r="A1405" s="0" t="s">
        <v>545</v>
      </c>
      <c r="B1405" s="0" t="n">
        <v>299</v>
      </c>
      <c r="C1405" s="0" t="str">
        <f aca="false">TEXT(VLOOKUP(B1405,$I$2:$J$20,2,FALSE()),"0")</f>
        <v>200</v>
      </c>
      <c r="D1405" s="47" t="n">
        <v>3</v>
      </c>
      <c r="E1405" s="47" t="n">
        <v>447000</v>
      </c>
      <c r="F1405" s="47" t="n">
        <v>87141</v>
      </c>
    </row>
    <row r="1406" customFormat="false" ht="15" hidden="false" customHeight="false" outlineLevel="0" collapsed="false">
      <c r="A1406" s="0" t="s">
        <v>545</v>
      </c>
      <c r="B1406" s="0" t="n">
        <v>300</v>
      </c>
      <c r="C1406" s="0" t="str">
        <f aca="false">TEXT(VLOOKUP(B1406,$I$2:$J$20,2,FALSE()),"0")</f>
        <v>300</v>
      </c>
      <c r="D1406" s="47" t="n">
        <v>940</v>
      </c>
      <c r="E1406" s="47" t="n">
        <v>140060000</v>
      </c>
      <c r="F1406" s="47" t="n">
        <v>27304180</v>
      </c>
    </row>
    <row r="1407" customFormat="false" ht="15" hidden="false" customHeight="false" outlineLevel="0" collapsed="false">
      <c r="A1407" s="0" t="s">
        <v>545</v>
      </c>
      <c r="B1407" s="0" t="n">
        <v>600</v>
      </c>
      <c r="C1407" s="0" t="str">
        <f aca="false">TEXT(VLOOKUP(B1407,$I$2:$J$20,2,FALSE()),"0")</f>
        <v>600</v>
      </c>
      <c r="D1407" s="47" t="n">
        <v>30</v>
      </c>
      <c r="E1407" s="47" t="n">
        <v>4470000</v>
      </c>
      <c r="F1407" s="47" t="n">
        <v>871410</v>
      </c>
    </row>
    <row r="1408" customFormat="false" ht="15" hidden="false" customHeight="false" outlineLevel="0" collapsed="false">
      <c r="A1408" s="0" t="s">
        <v>545</v>
      </c>
      <c r="B1408" s="0" t="n">
        <v>700</v>
      </c>
      <c r="C1408" s="0" t="str">
        <f aca="false">TEXT(VLOOKUP(B1408,$I$2:$J$20,2,FALSE()),"0")</f>
        <v>700</v>
      </c>
      <c r="D1408" s="47" t="n">
        <v>50</v>
      </c>
      <c r="E1408" s="47" t="n">
        <v>7450000</v>
      </c>
      <c r="F1408" s="47" t="n">
        <v>1452350</v>
      </c>
    </row>
    <row r="1409" customFormat="false" ht="15" hidden="false" customHeight="false" outlineLevel="0" collapsed="false">
      <c r="A1409" s="0" t="s">
        <v>545</v>
      </c>
      <c r="B1409" s="0" t="n">
        <v>799</v>
      </c>
      <c r="C1409" s="0" t="str">
        <f aca="false">TEXT(VLOOKUP(B1409,$I$2:$J$20,2,FALSE()),"0")</f>
        <v>700</v>
      </c>
      <c r="D1409" s="47" t="n">
        <v>1</v>
      </c>
      <c r="E1409" s="47" t="n">
        <v>149000</v>
      </c>
      <c r="F1409" s="47" t="n">
        <v>29047</v>
      </c>
    </row>
    <row r="1410" customFormat="false" ht="15" hidden="false" customHeight="false" outlineLevel="0" collapsed="false">
      <c r="A1410" s="0" t="s">
        <v>940</v>
      </c>
      <c r="B1410" s="0" t="n">
        <v>100</v>
      </c>
      <c r="C1410" s="0" t="str">
        <f aca="false">TEXT(VLOOKUP(B1410,$I$2:$J$20,2,FALSE()),"0")</f>
        <v>100</v>
      </c>
      <c r="D1410" s="47" t="n">
        <v>80</v>
      </c>
      <c r="E1410" s="47" t="n">
        <v>17520000</v>
      </c>
      <c r="F1410" s="47" t="n">
        <v>3930800</v>
      </c>
    </row>
    <row r="1411" customFormat="false" ht="15" hidden="false" customHeight="false" outlineLevel="0" collapsed="false">
      <c r="A1411" s="0" t="s">
        <v>940</v>
      </c>
      <c r="B1411" s="0" t="n">
        <v>700</v>
      </c>
      <c r="C1411" s="0" t="str">
        <f aca="false">TEXT(VLOOKUP(B1411,$I$2:$J$20,2,FALSE()),"0")</f>
        <v>700</v>
      </c>
      <c r="D1411" s="47" t="n">
        <v>70</v>
      </c>
      <c r="E1411" s="47" t="n">
        <v>15330000</v>
      </c>
      <c r="F1411" s="47" t="n">
        <v>3439450</v>
      </c>
    </row>
    <row r="1412" customFormat="false" ht="15" hidden="false" customHeight="false" outlineLevel="0" collapsed="false">
      <c r="A1412" s="0" t="s">
        <v>940</v>
      </c>
      <c r="B1412" s="0" t="n">
        <v>799</v>
      </c>
      <c r="C1412" s="0" t="str">
        <f aca="false">TEXT(VLOOKUP(B1412,$I$2:$J$20,2,FALSE()),"0")</f>
        <v>700</v>
      </c>
      <c r="D1412" s="47" t="n">
        <v>1</v>
      </c>
      <c r="E1412" s="47" t="n">
        <v>219000</v>
      </c>
      <c r="F1412" s="47" t="n">
        <v>49135</v>
      </c>
    </row>
    <row r="1413" customFormat="false" ht="15" hidden="false" customHeight="false" outlineLevel="0" collapsed="false">
      <c r="A1413" s="0" t="s">
        <v>547</v>
      </c>
      <c r="B1413" s="0" t="n">
        <v>100</v>
      </c>
      <c r="C1413" s="0" t="str">
        <f aca="false">TEXT(VLOOKUP(B1413,$I$2:$J$20,2,FALSE()),"0")</f>
        <v>100</v>
      </c>
      <c r="D1413" s="47" t="n">
        <v>190</v>
      </c>
      <c r="E1413" s="47" t="n">
        <v>45410000</v>
      </c>
      <c r="F1413" s="47" t="n">
        <v>10179060</v>
      </c>
    </row>
    <row r="1414" customFormat="false" ht="15" hidden="false" customHeight="false" outlineLevel="0" collapsed="false">
      <c r="A1414" s="0" t="s">
        <v>547</v>
      </c>
      <c r="B1414" s="0" t="n">
        <v>300</v>
      </c>
      <c r="C1414" s="0" t="str">
        <f aca="false">TEXT(VLOOKUP(B1414,$I$2:$J$20,2,FALSE()),"0")</f>
        <v>300</v>
      </c>
      <c r="D1414" s="47" t="n">
        <v>50</v>
      </c>
      <c r="E1414" s="47" t="n">
        <v>11950000</v>
      </c>
      <c r="F1414" s="47" t="n">
        <v>2678700</v>
      </c>
    </row>
    <row r="1415" customFormat="false" ht="15" hidden="false" customHeight="false" outlineLevel="0" collapsed="false">
      <c r="A1415" s="0" t="s">
        <v>547</v>
      </c>
      <c r="B1415" s="0" t="n">
        <v>600</v>
      </c>
      <c r="C1415" s="0" t="str">
        <f aca="false">TEXT(VLOOKUP(B1415,$I$2:$J$20,2,FALSE()),"0")</f>
        <v>600</v>
      </c>
      <c r="D1415" s="47" t="n">
        <v>20</v>
      </c>
      <c r="E1415" s="47" t="n">
        <v>4780000</v>
      </c>
      <c r="F1415" s="47" t="n">
        <v>1071480</v>
      </c>
    </row>
    <row r="1416" customFormat="false" ht="15" hidden="false" customHeight="false" outlineLevel="0" collapsed="false">
      <c r="A1416" s="0" t="s">
        <v>547</v>
      </c>
      <c r="B1416" s="0" t="n">
        <v>700</v>
      </c>
      <c r="C1416" s="0" t="str">
        <f aca="false">TEXT(VLOOKUP(B1416,$I$2:$J$20,2,FALSE()),"0")</f>
        <v>700</v>
      </c>
      <c r="D1416" s="47" t="n">
        <v>50</v>
      </c>
      <c r="E1416" s="47" t="n">
        <v>11950000</v>
      </c>
      <c r="F1416" s="47" t="n">
        <v>2678700</v>
      </c>
    </row>
    <row r="1417" customFormat="false" ht="15" hidden="false" customHeight="false" outlineLevel="0" collapsed="false">
      <c r="A1417" s="0" t="s">
        <v>547</v>
      </c>
      <c r="B1417" s="0" t="n">
        <v>799</v>
      </c>
      <c r="C1417" s="0" t="str">
        <f aca="false">TEXT(VLOOKUP(B1417,$I$2:$J$20,2,FALSE()),"0")</f>
        <v>700</v>
      </c>
      <c r="D1417" s="47" t="n">
        <v>1</v>
      </c>
      <c r="E1417" s="47" t="n">
        <v>239000</v>
      </c>
      <c r="F1417" s="47" t="n">
        <v>53574</v>
      </c>
    </row>
    <row r="1418" customFormat="false" ht="15" hidden="false" customHeight="false" outlineLevel="0" collapsed="false">
      <c r="A1418" s="0" t="s">
        <v>547</v>
      </c>
      <c r="B1418" s="0" t="n">
        <v>800</v>
      </c>
      <c r="C1418" s="0" t="str">
        <f aca="false">TEXT(VLOOKUP(B1418,$I$2:$J$20,2,FALSE()),"0")</f>
        <v>800</v>
      </c>
      <c r="D1418" s="47" t="n">
        <v>60</v>
      </c>
      <c r="E1418" s="47" t="n">
        <v>14340000</v>
      </c>
      <c r="F1418" s="47" t="n">
        <v>3214440</v>
      </c>
    </row>
    <row r="1419" customFormat="false" ht="15" hidden="false" customHeight="false" outlineLevel="0" collapsed="false">
      <c r="A1419" s="0" t="s">
        <v>549</v>
      </c>
      <c r="B1419" s="0" t="n">
        <v>100</v>
      </c>
      <c r="C1419" s="0" t="str">
        <f aca="false">TEXT(VLOOKUP(B1419,$I$2:$J$20,2,FALSE()),"0")</f>
        <v>100</v>
      </c>
      <c r="D1419" s="47" t="n">
        <v>205</v>
      </c>
      <c r="E1419" s="47" t="n">
        <v>53095000</v>
      </c>
      <c r="F1419" s="47" t="n">
        <v>12222510</v>
      </c>
    </row>
    <row r="1420" customFormat="false" ht="15" hidden="false" customHeight="false" outlineLevel="0" collapsed="false">
      <c r="A1420" s="0" t="s">
        <v>549</v>
      </c>
      <c r="B1420" s="0" t="n">
        <v>300</v>
      </c>
      <c r="C1420" s="0" t="str">
        <f aca="false">TEXT(VLOOKUP(B1420,$I$2:$J$20,2,FALSE()),"0")</f>
        <v>300</v>
      </c>
      <c r="D1420" s="47" t="n">
        <v>300</v>
      </c>
      <c r="E1420" s="47" t="n">
        <v>77700000</v>
      </c>
      <c r="F1420" s="47" t="n">
        <v>17886600</v>
      </c>
    </row>
    <row r="1421" customFormat="false" ht="15" hidden="false" customHeight="false" outlineLevel="0" collapsed="false">
      <c r="A1421" s="0" t="s">
        <v>551</v>
      </c>
      <c r="B1421" s="0" t="n">
        <v>100</v>
      </c>
      <c r="C1421" s="0" t="str">
        <f aca="false">TEXT(VLOOKUP(B1421,$I$2:$J$20,2,FALSE()),"0")</f>
        <v>100</v>
      </c>
      <c r="D1421" s="47" t="n">
        <v>560</v>
      </c>
      <c r="E1421" s="47" t="n">
        <v>94640000</v>
      </c>
      <c r="F1421" s="47" t="n">
        <v>21175840</v>
      </c>
    </row>
    <row r="1422" customFormat="false" ht="15" hidden="false" customHeight="false" outlineLevel="0" collapsed="false">
      <c r="A1422" s="0" t="s">
        <v>551</v>
      </c>
      <c r="B1422" s="0" t="n">
        <v>200</v>
      </c>
      <c r="C1422" s="0" t="str">
        <f aca="false">TEXT(VLOOKUP(B1422,$I$2:$J$20,2,FALSE()),"0")</f>
        <v>200</v>
      </c>
      <c r="D1422" s="47" t="n">
        <v>670</v>
      </c>
      <c r="E1422" s="47" t="n">
        <v>113230000</v>
      </c>
      <c r="F1422" s="47" t="n">
        <v>25335380</v>
      </c>
    </row>
    <row r="1423" customFormat="false" ht="15" hidden="false" customHeight="false" outlineLevel="0" collapsed="false">
      <c r="A1423" s="0" t="s">
        <v>551</v>
      </c>
      <c r="B1423" s="0" t="n">
        <v>299</v>
      </c>
      <c r="C1423" s="0" t="str">
        <f aca="false">TEXT(VLOOKUP(B1423,$I$2:$J$20,2,FALSE()),"0")</f>
        <v>200</v>
      </c>
      <c r="D1423" s="47" t="n">
        <v>3</v>
      </c>
      <c r="E1423" s="47" t="n">
        <v>507000</v>
      </c>
      <c r="F1423" s="47" t="n">
        <v>113442</v>
      </c>
    </row>
    <row r="1424" customFormat="false" ht="15" hidden="false" customHeight="false" outlineLevel="0" collapsed="false">
      <c r="A1424" s="0" t="s">
        <v>551</v>
      </c>
      <c r="B1424" s="0" t="n">
        <v>300</v>
      </c>
      <c r="C1424" s="0" t="str">
        <f aca="false">TEXT(VLOOKUP(B1424,$I$2:$J$20,2,FALSE()),"0")</f>
        <v>300</v>
      </c>
      <c r="D1424" s="47" t="n">
        <v>610</v>
      </c>
      <c r="E1424" s="47" t="n">
        <v>103090000</v>
      </c>
      <c r="F1424" s="47" t="n">
        <v>23066540</v>
      </c>
    </row>
    <row r="1425" customFormat="false" ht="15" hidden="false" customHeight="false" outlineLevel="0" collapsed="false">
      <c r="A1425" s="0" t="s">
        <v>551</v>
      </c>
      <c r="B1425" s="0" t="n">
        <v>600</v>
      </c>
      <c r="C1425" s="0" t="str">
        <f aca="false">TEXT(VLOOKUP(B1425,$I$2:$J$20,2,FALSE()),"0")</f>
        <v>600</v>
      </c>
      <c r="D1425" s="47" t="n">
        <v>50</v>
      </c>
      <c r="E1425" s="47" t="n">
        <v>8450000</v>
      </c>
      <c r="F1425" s="47" t="n">
        <v>1890700</v>
      </c>
    </row>
    <row r="1426" customFormat="false" ht="15" hidden="false" customHeight="false" outlineLevel="0" collapsed="false">
      <c r="A1426" s="0" t="s">
        <v>551</v>
      </c>
      <c r="B1426" s="0" t="n">
        <v>700</v>
      </c>
      <c r="C1426" s="0" t="str">
        <f aca="false">TEXT(VLOOKUP(B1426,$I$2:$J$20,2,FALSE()),"0")</f>
        <v>700</v>
      </c>
      <c r="D1426" s="47" t="n">
        <v>140</v>
      </c>
      <c r="E1426" s="47" t="n">
        <v>23660000</v>
      </c>
      <c r="F1426" s="47" t="n">
        <v>5293960</v>
      </c>
    </row>
    <row r="1427" customFormat="false" ht="15" hidden="false" customHeight="false" outlineLevel="0" collapsed="false">
      <c r="A1427" s="0" t="s">
        <v>551</v>
      </c>
      <c r="B1427" s="0" t="n">
        <v>799</v>
      </c>
      <c r="C1427" s="0" t="str">
        <f aca="false">TEXT(VLOOKUP(B1427,$I$2:$J$20,2,FALSE()),"0")</f>
        <v>700</v>
      </c>
      <c r="D1427" s="47" t="n">
        <v>2</v>
      </c>
      <c r="E1427" s="47" t="n">
        <v>338000</v>
      </c>
      <c r="F1427" s="47" t="n">
        <v>75628</v>
      </c>
    </row>
    <row r="1428" customFormat="false" ht="15" hidden="false" customHeight="false" outlineLevel="0" collapsed="false">
      <c r="A1428" s="0" t="s">
        <v>553</v>
      </c>
      <c r="B1428" s="0" t="n">
        <v>300</v>
      </c>
      <c r="C1428" s="0" t="str">
        <f aca="false">TEXT(VLOOKUP(B1428,$I$2:$J$20,2,FALSE()),"0")</f>
        <v>300</v>
      </c>
      <c r="D1428" s="47" t="n">
        <v>350</v>
      </c>
      <c r="E1428" s="47" t="n">
        <v>62650000</v>
      </c>
      <c r="F1428" s="47" t="n">
        <v>13545700</v>
      </c>
    </row>
    <row r="1429" customFormat="false" ht="15" hidden="false" customHeight="false" outlineLevel="0" collapsed="false">
      <c r="A1429" s="0" t="s">
        <v>553</v>
      </c>
      <c r="B1429" s="0" t="n">
        <v>600</v>
      </c>
      <c r="C1429" s="0" t="str">
        <f aca="false">TEXT(VLOOKUP(B1429,$I$2:$J$20,2,FALSE()),"0")</f>
        <v>600</v>
      </c>
      <c r="D1429" s="47" t="n">
        <v>45</v>
      </c>
      <c r="E1429" s="47" t="n">
        <v>8055000</v>
      </c>
      <c r="F1429" s="47" t="n">
        <v>1741590</v>
      </c>
    </row>
    <row r="1430" customFormat="false" ht="15" hidden="false" customHeight="false" outlineLevel="0" collapsed="false">
      <c r="A1430" s="0" t="s">
        <v>1703</v>
      </c>
      <c r="B1430" s="0" t="n">
        <v>100</v>
      </c>
      <c r="C1430" s="0" t="str">
        <f aca="false">TEXT(VLOOKUP(B1430,$I$2:$J$20,2,FALSE()),"0")</f>
        <v>100</v>
      </c>
      <c r="D1430" s="47" t="n">
        <v>85</v>
      </c>
      <c r="E1430" s="47" t="n">
        <v>23715000</v>
      </c>
      <c r="F1430" s="47" t="n">
        <v>5261500</v>
      </c>
    </row>
    <row r="1431" customFormat="false" ht="15" hidden="false" customHeight="false" outlineLevel="0" collapsed="false">
      <c r="A1431" s="0" t="s">
        <v>942</v>
      </c>
      <c r="B1431" s="0" t="n">
        <v>100</v>
      </c>
      <c r="C1431" s="0" t="str">
        <f aca="false">TEXT(VLOOKUP(B1431,$I$2:$J$20,2,FALSE()),"0")</f>
        <v>100</v>
      </c>
      <c r="D1431" s="47" t="n">
        <v>160</v>
      </c>
      <c r="E1431" s="47" t="n">
        <v>52640000</v>
      </c>
      <c r="F1431" s="47" t="n">
        <v>11045440</v>
      </c>
    </row>
    <row r="1432" customFormat="false" ht="15" hidden="false" customHeight="false" outlineLevel="0" collapsed="false">
      <c r="A1432" s="0" t="s">
        <v>555</v>
      </c>
      <c r="B1432" s="0" t="n">
        <v>300</v>
      </c>
      <c r="C1432" s="0" t="str">
        <f aca="false">TEXT(VLOOKUP(B1432,$I$2:$J$20,2,FALSE()),"0")</f>
        <v>300</v>
      </c>
      <c r="D1432" s="47" t="n">
        <v>455</v>
      </c>
      <c r="E1432" s="47" t="n">
        <v>136045000</v>
      </c>
      <c r="F1432" s="47" t="n">
        <v>25532325</v>
      </c>
    </row>
    <row r="1433" customFormat="false" ht="15" hidden="false" customHeight="false" outlineLevel="0" collapsed="false">
      <c r="A1433" s="0" t="s">
        <v>555</v>
      </c>
      <c r="B1433" s="0" t="n">
        <v>600</v>
      </c>
      <c r="C1433" s="0" t="str">
        <f aca="false">TEXT(VLOOKUP(B1433,$I$2:$J$20,2,FALSE()),"0")</f>
        <v>600</v>
      </c>
      <c r="D1433" s="47" t="n">
        <v>50</v>
      </c>
      <c r="E1433" s="47" t="n">
        <v>14950000</v>
      </c>
      <c r="F1433" s="47" t="n">
        <v>2805750</v>
      </c>
    </row>
    <row r="1434" customFormat="false" ht="15" hidden="false" customHeight="false" outlineLevel="0" collapsed="false">
      <c r="A1434" s="0" t="s">
        <v>557</v>
      </c>
      <c r="B1434" s="0" t="n">
        <v>100</v>
      </c>
      <c r="C1434" s="0" t="str">
        <f aca="false">TEXT(VLOOKUP(B1434,$I$2:$J$20,2,FALSE()),"0")</f>
        <v>100</v>
      </c>
      <c r="D1434" s="47" t="n">
        <v>280</v>
      </c>
      <c r="E1434" s="47" t="n">
        <v>92120000</v>
      </c>
      <c r="F1434" s="47" t="n">
        <v>19939080</v>
      </c>
    </row>
    <row r="1435" customFormat="false" ht="15" hidden="false" customHeight="false" outlineLevel="0" collapsed="false">
      <c r="A1435" s="0" t="s">
        <v>557</v>
      </c>
      <c r="B1435" s="0" t="n">
        <v>200</v>
      </c>
      <c r="C1435" s="0" t="str">
        <f aca="false">TEXT(VLOOKUP(B1435,$I$2:$J$20,2,FALSE()),"0")</f>
        <v>200</v>
      </c>
      <c r="D1435" s="47" t="n">
        <v>240</v>
      </c>
      <c r="E1435" s="47" t="n">
        <v>78960000</v>
      </c>
      <c r="F1435" s="47" t="n">
        <v>17090640</v>
      </c>
    </row>
    <row r="1436" customFormat="false" ht="15" hidden="false" customHeight="false" outlineLevel="0" collapsed="false">
      <c r="A1436" s="0" t="s">
        <v>557</v>
      </c>
      <c r="B1436" s="0" t="n">
        <v>299</v>
      </c>
      <c r="C1436" s="0" t="str">
        <f aca="false">TEXT(VLOOKUP(B1436,$I$2:$J$20,2,FALSE()),"0")</f>
        <v>200</v>
      </c>
      <c r="D1436" s="47" t="n">
        <v>2</v>
      </c>
      <c r="E1436" s="47" t="n">
        <v>658000</v>
      </c>
      <c r="F1436" s="47" t="n">
        <v>142422</v>
      </c>
    </row>
    <row r="1437" customFormat="false" ht="15" hidden="false" customHeight="false" outlineLevel="0" collapsed="false">
      <c r="A1437" s="0" t="s">
        <v>557</v>
      </c>
      <c r="B1437" s="0" t="n">
        <v>300</v>
      </c>
      <c r="C1437" s="0" t="str">
        <f aca="false">TEXT(VLOOKUP(B1437,$I$2:$J$20,2,FALSE()),"0")</f>
        <v>300</v>
      </c>
      <c r="D1437" s="47" t="n">
        <v>160</v>
      </c>
      <c r="E1437" s="47" t="n">
        <v>52640000</v>
      </c>
      <c r="F1437" s="47" t="n">
        <v>11393760</v>
      </c>
    </row>
    <row r="1438" customFormat="false" ht="15" hidden="false" customHeight="false" outlineLevel="0" collapsed="false">
      <c r="A1438" s="0" t="s">
        <v>557</v>
      </c>
      <c r="B1438" s="0" t="n">
        <v>600</v>
      </c>
      <c r="C1438" s="0" t="str">
        <f aca="false">TEXT(VLOOKUP(B1438,$I$2:$J$20,2,FALSE()),"0")</f>
        <v>600</v>
      </c>
      <c r="D1438" s="47" t="n">
        <v>15</v>
      </c>
      <c r="E1438" s="47" t="n">
        <v>4935000</v>
      </c>
      <c r="F1438" s="47" t="n">
        <v>1068165</v>
      </c>
    </row>
    <row r="1439" customFormat="false" ht="15" hidden="false" customHeight="false" outlineLevel="0" collapsed="false">
      <c r="A1439" s="0" t="s">
        <v>1704</v>
      </c>
      <c r="B1439" s="0" t="n">
        <v>100</v>
      </c>
      <c r="C1439" s="0" t="str">
        <f aca="false">TEXT(VLOOKUP(B1439,$I$2:$J$20,2,FALSE()),"0")</f>
        <v>100</v>
      </c>
      <c r="D1439" s="47" t="n">
        <v>160</v>
      </c>
      <c r="E1439" s="47" t="n">
        <v>57440000</v>
      </c>
      <c r="F1439" s="47" t="n">
        <v>14016000</v>
      </c>
    </row>
    <row r="1440" customFormat="false" ht="15" hidden="false" customHeight="false" outlineLevel="0" collapsed="false">
      <c r="A1440" s="0" t="s">
        <v>1704</v>
      </c>
      <c r="B1440" s="0" t="n">
        <v>300</v>
      </c>
      <c r="C1440" s="0" t="str">
        <f aca="false">TEXT(VLOOKUP(B1440,$I$2:$J$20,2,FALSE()),"0")</f>
        <v>300</v>
      </c>
      <c r="D1440" s="47" t="n">
        <v>50</v>
      </c>
      <c r="E1440" s="47" t="n">
        <v>17950000</v>
      </c>
      <c r="F1440" s="47" t="n">
        <v>4380000</v>
      </c>
    </row>
    <row r="1441" customFormat="false" ht="15" hidden="false" customHeight="false" outlineLevel="0" collapsed="false">
      <c r="A1441" s="0" t="s">
        <v>559</v>
      </c>
      <c r="B1441" s="0" t="n">
        <v>100</v>
      </c>
      <c r="C1441" s="0" t="str">
        <f aca="false">TEXT(VLOOKUP(B1441,$I$2:$J$20,2,FALSE()),"0")</f>
        <v>100</v>
      </c>
      <c r="D1441" s="47" t="n">
        <v>300</v>
      </c>
      <c r="E1441" s="47" t="n">
        <v>119700000</v>
      </c>
      <c r="F1441" s="47" t="n">
        <v>32415300</v>
      </c>
    </row>
    <row r="1442" customFormat="false" ht="15" hidden="false" customHeight="false" outlineLevel="0" collapsed="false">
      <c r="A1442" s="0" t="s">
        <v>559</v>
      </c>
      <c r="B1442" s="0" t="n">
        <v>300</v>
      </c>
      <c r="C1442" s="0" t="str">
        <f aca="false">TEXT(VLOOKUP(B1442,$I$2:$J$20,2,FALSE()),"0")</f>
        <v>300</v>
      </c>
      <c r="D1442" s="47" t="n">
        <v>250</v>
      </c>
      <c r="E1442" s="47" t="n">
        <v>99750000</v>
      </c>
      <c r="F1442" s="47" t="n">
        <v>27012750</v>
      </c>
    </row>
    <row r="1443" customFormat="false" ht="15" hidden="false" customHeight="false" outlineLevel="0" collapsed="false">
      <c r="A1443" s="0" t="s">
        <v>559</v>
      </c>
      <c r="B1443" s="0" t="n">
        <v>600</v>
      </c>
      <c r="C1443" s="0" t="str">
        <f aca="false">TEXT(VLOOKUP(B1443,$I$2:$J$20,2,FALSE()),"0")</f>
        <v>600</v>
      </c>
      <c r="D1443" s="47" t="n">
        <v>15</v>
      </c>
      <c r="E1443" s="47" t="n">
        <v>5985000</v>
      </c>
      <c r="F1443" s="47" t="n">
        <v>1620765</v>
      </c>
    </row>
    <row r="1444" customFormat="false" ht="15" hidden="false" customHeight="false" outlineLevel="0" collapsed="false">
      <c r="A1444" s="0" t="s">
        <v>1093</v>
      </c>
      <c r="B1444" s="0" t="n">
        <v>100</v>
      </c>
      <c r="C1444" s="0" t="str">
        <f aca="false">TEXT(VLOOKUP(B1444,$I$2:$J$20,2,FALSE()),"0")</f>
        <v>100</v>
      </c>
      <c r="D1444" s="47" t="n">
        <v>240</v>
      </c>
      <c r="E1444" s="47" t="n">
        <v>119760000</v>
      </c>
      <c r="F1444" s="47" t="n">
        <v>29298480</v>
      </c>
    </row>
    <row r="1445" customFormat="false" ht="15" hidden="false" customHeight="false" outlineLevel="0" collapsed="false">
      <c r="A1445" s="0" t="s">
        <v>1093</v>
      </c>
      <c r="B1445" s="0" t="n">
        <v>200</v>
      </c>
      <c r="C1445" s="0" t="str">
        <f aca="false">TEXT(VLOOKUP(B1445,$I$2:$J$20,2,FALSE()),"0")</f>
        <v>200</v>
      </c>
      <c r="D1445" s="47" t="n">
        <v>370</v>
      </c>
      <c r="E1445" s="47" t="n">
        <v>184630000</v>
      </c>
      <c r="F1445" s="47" t="n">
        <v>45168490</v>
      </c>
    </row>
    <row r="1446" customFormat="false" ht="15" hidden="false" customHeight="false" outlineLevel="0" collapsed="false">
      <c r="A1446" s="0" t="s">
        <v>1093</v>
      </c>
      <c r="B1446" s="0" t="n">
        <v>201</v>
      </c>
      <c r="C1446" s="0" t="str">
        <f aca="false">TEXT(VLOOKUP(B1446,$I$2:$J$20,2,FALSE()),"0")</f>
        <v>200</v>
      </c>
      <c r="D1446" s="47" t="n">
        <v>50</v>
      </c>
      <c r="E1446" s="47" t="n">
        <v>24950000</v>
      </c>
      <c r="F1446" s="47" t="n">
        <v>6103850</v>
      </c>
    </row>
    <row r="1447" customFormat="false" ht="15" hidden="false" customHeight="false" outlineLevel="0" collapsed="false">
      <c r="A1447" s="0" t="s">
        <v>1093</v>
      </c>
      <c r="B1447" s="0" t="n">
        <v>299</v>
      </c>
      <c r="C1447" s="0" t="str">
        <f aca="false">TEXT(VLOOKUP(B1447,$I$2:$J$20,2,FALSE()),"0")</f>
        <v>200</v>
      </c>
      <c r="D1447" s="47" t="n">
        <v>2</v>
      </c>
      <c r="E1447" s="47" t="n">
        <v>998000</v>
      </c>
      <c r="F1447" s="47" t="n">
        <v>244154</v>
      </c>
    </row>
    <row r="1448" customFormat="false" ht="15" hidden="false" customHeight="false" outlineLevel="0" collapsed="false">
      <c r="A1448" s="0" t="s">
        <v>1093</v>
      </c>
      <c r="B1448" s="0" t="n">
        <v>300</v>
      </c>
      <c r="C1448" s="0" t="str">
        <f aca="false">TEXT(VLOOKUP(B1448,$I$2:$J$20,2,FALSE()),"0")</f>
        <v>300</v>
      </c>
      <c r="D1448" s="47" t="n">
        <v>200</v>
      </c>
      <c r="E1448" s="47" t="n">
        <v>99800000</v>
      </c>
      <c r="F1448" s="47" t="n">
        <v>24415400</v>
      </c>
    </row>
    <row r="1449" customFormat="false" ht="15" hidden="false" customHeight="false" outlineLevel="0" collapsed="false">
      <c r="A1449" s="0" t="s">
        <v>1093</v>
      </c>
      <c r="B1449" s="0" t="n">
        <v>700</v>
      </c>
      <c r="C1449" s="0" t="str">
        <f aca="false">TEXT(VLOOKUP(B1449,$I$2:$J$20,2,FALSE()),"0")</f>
        <v>700</v>
      </c>
      <c r="D1449" s="47" t="n">
        <v>120</v>
      </c>
      <c r="E1449" s="47" t="n">
        <v>59880000</v>
      </c>
      <c r="F1449" s="47" t="n">
        <v>14649240</v>
      </c>
    </row>
    <row r="1450" customFormat="false" ht="15" hidden="false" customHeight="false" outlineLevel="0" collapsed="false">
      <c r="A1450" s="0" t="s">
        <v>1093</v>
      </c>
      <c r="B1450" s="0" t="n">
        <v>799</v>
      </c>
      <c r="C1450" s="0" t="str">
        <f aca="false">TEXT(VLOOKUP(B1450,$I$2:$J$20,2,FALSE()),"0")</f>
        <v>700</v>
      </c>
      <c r="D1450" s="47" t="n">
        <v>2</v>
      </c>
      <c r="E1450" s="47" t="n">
        <v>998000</v>
      </c>
      <c r="F1450" s="47" t="n">
        <v>244154</v>
      </c>
    </row>
    <row r="1451" customFormat="false" ht="15" hidden="false" customHeight="false" outlineLevel="0" collapsed="false">
      <c r="A1451" s="0" t="s">
        <v>561</v>
      </c>
      <c r="B1451" s="0" t="n">
        <v>100</v>
      </c>
      <c r="C1451" s="0" t="str">
        <f aca="false">TEXT(VLOOKUP(B1451,$I$2:$J$20,2,FALSE()),"0")</f>
        <v>100</v>
      </c>
      <c r="D1451" s="47" t="n">
        <v>160</v>
      </c>
      <c r="E1451" s="47" t="n">
        <v>63840000</v>
      </c>
      <c r="F1451" s="47" t="n">
        <v>13536000</v>
      </c>
    </row>
    <row r="1452" customFormat="false" ht="15" hidden="false" customHeight="false" outlineLevel="0" collapsed="false">
      <c r="A1452" s="0" t="s">
        <v>561</v>
      </c>
      <c r="B1452" s="0" t="n">
        <v>300</v>
      </c>
      <c r="C1452" s="0" t="str">
        <f aca="false">TEXT(VLOOKUP(B1452,$I$2:$J$20,2,FALSE()),"0")</f>
        <v>300</v>
      </c>
      <c r="D1452" s="47" t="n">
        <v>180</v>
      </c>
      <c r="E1452" s="47" t="n">
        <v>71820000</v>
      </c>
      <c r="F1452" s="47" t="n">
        <v>15228000</v>
      </c>
    </row>
    <row r="1453" customFormat="false" ht="15" hidden="false" customHeight="false" outlineLevel="0" collapsed="false">
      <c r="A1453" s="0" t="s">
        <v>1705</v>
      </c>
      <c r="B1453" s="0" t="n">
        <v>300</v>
      </c>
      <c r="C1453" s="0" t="str">
        <f aca="false">TEXT(VLOOKUP(B1453,$I$2:$J$20,2,FALSE()),"0")</f>
        <v>300</v>
      </c>
      <c r="D1453" s="47" t="n">
        <v>315</v>
      </c>
      <c r="E1453" s="47" t="n">
        <v>138285000</v>
      </c>
      <c r="F1453" s="47" t="n">
        <v>30397500</v>
      </c>
    </row>
    <row r="1454" customFormat="false" ht="15" hidden="false" customHeight="false" outlineLevel="0" collapsed="false">
      <c r="A1454" s="0" t="s">
        <v>563</v>
      </c>
      <c r="B1454" s="0" t="n">
        <v>100</v>
      </c>
      <c r="C1454" s="0" t="str">
        <f aca="false">TEXT(VLOOKUP(B1454,$I$2:$J$20,2,FALSE()),"0")</f>
        <v>100</v>
      </c>
      <c r="D1454" s="47" t="n">
        <v>50</v>
      </c>
      <c r="E1454" s="47" t="n">
        <v>22950000</v>
      </c>
      <c r="F1454" s="47" t="n">
        <v>5730550</v>
      </c>
    </row>
    <row r="1455" customFormat="false" ht="15" hidden="false" customHeight="false" outlineLevel="0" collapsed="false">
      <c r="A1455" s="0" t="s">
        <v>563</v>
      </c>
      <c r="B1455" s="0" t="n">
        <v>200</v>
      </c>
      <c r="C1455" s="0" t="str">
        <f aca="false">TEXT(VLOOKUP(B1455,$I$2:$J$20,2,FALSE()),"0")</f>
        <v>200</v>
      </c>
      <c r="D1455" s="47" t="n">
        <v>60</v>
      </c>
      <c r="E1455" s="47" t="n">
        <v>27540000</v>
      </c>
      <c r="F1455" s="47" t="n">
        <v>6876660</v>
      </c>
    </row>
    <row r="1456" customFormat="false" ht="15" hidden="false" customHeight="false" outlineLevel="0" collapsed="false">
      <c r="A1456" s="0" t="s">
        <v>563</v>
      </c>
      <c r="B1456" s="0" t="n">
        <v>299</v>
      </c>
      <c r="C1456" s="0" t="str">
        <f aca="false">TEXT(VLOOKUP(B1456,$I$2:$J$20,2,FALSE()),"0")</f>
        <v>200</v>
      </c>
      <c r="D1456" s="47" t="n">
        <v>2</v>
      </c>
      <c r="E1456" s="47" t="n">
        <v>918000</v>
      </c>
      <c r="F1456" s="47" t="n">
        <v>229222</v>
      </c>
    </row>
    <row r="1457" customFormat="false" ht="15" hidden="false" customHeight="false" outlineLevel="0" collapsed="false">
      <c r="A1457" s="0" t="s">
        <v>563</v>
      </c>
      <c r="B1457" s="0" t="n">
        <v>300</v>
      </c>
      <c r="C1457" s="0" t="str">
        <f aca="false">TEXT(VLOOKUP(B1457,$I$2:$J$20,2,FALSE()),"0")</f>
        <v>300</v>
      </c>
      <c r="D1457" s="47" t="n">
        <v>100</v>
      </c>
      <c r="E1457" s="47" t="n">
        <v>45900000</v>
      </c>
      <c r="F1457" s="47" t="n">
        <v>11461100</v>
      </c>
    </row>
    <row r="1458" customFormat="false" ht="15" hidden="false" customHeight="false" outlineLevel="0" collapsed="false">
      <c r="A1458" s="0" t="s">
        <v>563</v>
      </c>
      <c r="B1458" s="0" t="n">
        <v>700</v>
      </c>
      <c r="C1458" s="0" t="str">
        <f aca="false">TEXT(VLOOKUP(B1458,$I$2:$J$20,2,FALSE()),"0")</f>
        <v>700</v>
      </c>
      <c r="D1458" s="47" t="n">
        <v>50</v>
      </c>
      <c r="E1458" s="47" t="n">
        <v>22950000</v>
      </c>
      <c r="F1458" s="47" t="n">
        <v>5730550</v>
      </c>
    </row>
    <row r="1459" customFormat="false" ht="15" hidden="false" customHeight="false" outlineLevel="0" collapsed="false">
      <c r="A1459" s="0" t="s">
        <v>1095</v>
      </c>
      <c r="B1459" s="0" t="n">
        <v>100</v>
      </c>
      <c r="C1459" s="0" t="str">
        <f aca="false">TEXT(VLOOKUP(B1459,$I$2:$J$20,2,FALSE()),"0")</f>
        <v>100</v>
      </c>
      <c r="D1459" s="47" t="n">
        <v>60</v>
      </c>
      <c r="E1459" s="47" t="n">
        <v>17940000</v>
      </c>
      <c r="F1459" s="47" t="n">
        <v>5436000</v>
      </c>
    </row>
    <row r="1460" customFormat="false" ht="15" hidden="false" customHeight="false" outlineLevel="0" collapsed="false">
      <c r="A1460" s="0" t="s">
        <v>1095</v>
      </c>
      <c r="B1460" s="0" t="n">
        <v>200</v>
      </c>
      <c r="C1460" s="0" t="str">
        <f aca="false">TEXT(VLOOKUP(B1460,$I$2:$J$20,2,FALSE()),"0")</f>
        <v>200</v>
      </c>
      <c r="D1460" s="47" t="n">
        <v>200</v>
      </c>
      <c r="E1460" s="47" t="n">
        <v>59800000</v>
      </c>
      <c r="F1460" s="47" t="n">
        <v>18120000</v>
      </c>
    </row>
    <row r="1461" customFormat="false" ht="15" hidden="false" customHeight="false" outlineLevel="0" collapsed="false">
      <c r="A1461" s="0" t="s">
        <v>1095</v>
      </c>
      <c r="B1461" s="0" t="n">
        <v>299</v>
      </c>
      <c r="C1461" s="0" t="str">
        <f aca="false">TEXT(VLOOKUP(B1461,$I$2:$J$20,2,FALSE()),"0")</f>
        <v>200</v>
      </c>
      <c r="D1461" s="47" t="n">
        <v>4</v>
      </c>
      <c r="E1461" s="47" t="n">
        <v>1196000</v>
      </c>
      <c r="F1461" s="47" t="n">
        <v>362400</v>
      </c>
    </row>
    <row r="1462" customFormat="false" ht="15" hidden="false" customHeight="false" outlineLevel="0" collapsed="false">
      <c r="A1462" s="0" t="s">
        <v>1095</v>
      </c>
      <c r="B1462" s="0" t="n">
        <v>300</v>
      </c>
      <c r="C1462" s="0" t="str">
        <f aca="false">TEXT(VLOOKUP(B1462,$I$2:$J$20,2,FALSE()),"0")</f>
        <v>300</v>
      </c>
      <c r="D1462" s="47" t="n">
        <v>120</v>
      </c>
      <c r="E1462" s="47" t="n">
        <v>35880000</v>
      </c>
      <c r="F1462" s="47" t="n">
        <v>10872000</v>
      </c>
    </row>
    <row r="1463" customFormat="false" ht="15" hidden="false" customHeight="false" outlineLevel="0" collapsed="false">
      <c r="A1463" s="0" t="s">
        <v>565</v>
      </c>
      <c r="B1463" s="0" t="n">
        <v>100</v>
      </c>
      <c r="C1463" s="0" t="str">
        <f aca="false">TEXT(VLOOKUP(B1463,$I$2:$J$20,2,FALSE()),"0")</f>
        <v>100</v>
      </c>
      <c r="D1463" s="47" t="n">
        <v>200</v>
      </c>
      <c r="E1463" s="47" t="n">
        <v>87800000</v>
      </c>
      <c r="F1463" s="47" t="n">
        <v>20796800</v>
      </c>
    </row>
    <row r="1464" customFormat="false" ht="15" hidden="false" customHeight="false" outlineLevel="0" collapsed="false">
      <c r="A1464" s="0" t="s">
        <v>565</v>
      </c>
      <c r="B1464" s="0" t="n">
        <v>200</v>
      </c>
      <c r="C1464" s="0" t="str">
        <f aca="false">TEXT(VLOOKUP(B1464,$I$2:$J$20,2,FALSE()),"0")</f>
        <v>200</v>
      </c>
      <c r="D1464" s="47" t="n">
        <v>460</v>
      </c>
      <c r="E1464" s="47" t="n">
        <v>201940000</v>
      </c>
      <c r="F1464" s="47" t="n">
        <v>47832640</v>
      </c>
    </row>
    <row r="1465" customFormat="false" ht="15" hidden="false" customHeight="false" outlineLevel="0" collapsed="false">
      <c r="A1465" s="0" t="s">
        <v>565</v>
      </c>
      <c r="B1465" s="0" t="n">
        <v>299</v>
      </c>
      <c r="C1465" s="0" t="str">
        <f aca="false">TEXT(VLOOKUP(B1465,$I$2:$J$20,2,FALSE()),"0")</f>
        <v>200</v>
      </c>
      <c r="D1465" s="47" t="n">
        <v>2</v>
      </c>
      <c r="E1465" s="47" t="n">
        <v>878000</v>
      </c>
      <c r="F1465" s="47" t="n">
        <v>207968</v>
      </c>
    </row>
    <row r="1466" customFormat="false" ht="15" hidden="false" customHeight="false" outlineLevel="0" collapsed="false">
      <c r="A1466" s="0" t="s">
        <v>565</v>
      </c>
      <c r="B1466" s="0" t="n">
        <v>300</v>
      </c>
      <c r="C1466" s="0" t="str">
        <f aca="false">TEXT(VLOOKUP(B1466,$I$2:$J$20,2,FALSE()),"0")</f>
        <v>300</v>
      </c>
      <c r="D1466" s="47" t="n">
        <v>600</v>
      </c>
      <c r="E1466" s="47" t="n">
        <v>263400000</v>
      </c>
      <c r="F1466" s="47" t="n">
        <v>62390400</v>
      </c>
    </row>
    <row r="1467" customFormat="false" ht="15" hidden="false" customHeight="false" outlineLevel="0" collapsed="false">
      <c r="A1467" s="0" t="s">
        <v>565</v>
      </c>
      <c r="B1467" s="0" t="n">
        <v>700</v>
      </c>
      <c r="C1467" s="0" t="str">
        <f aca="false">TEXT(VLOOKUP(B1467,$I$2:$J$20,2,FALSE()),"0")</f>
        <v>700</v>
      </c>
      <c r="D1467" s="47" t="n">
        <v>110</v>
      </c>
      <c r="E1467" s="47" t="n">
        <v>48290000</v>
      </c>
      <c r="F1467" s="47" t="n">
        <v>11438240</v>
      </c>
    </row>
    <row r="1468" customFormat="false" ht="15" hidden="false" customHeight="false" outlineLevel="0" collapsed="false">
      <c r="A1468" s="0" t="s">
        <v>565</v>
      </c>
      <c r="B1468" s="0" t="n">
        <v>799</v>
      </c>
      <c r="C1468" s="0" t="str">
        <f aca="false">TEXT(VLOOKUP(B1468,$I$2:$J$20,2,FALSE()),"0")</f>
        <v>700</v>
      </c>
      <c r="D1468" s="47" t="n">
        <v>2</v>
      </c>
      <c r="E1468" s="47" t="n">
        <v>878000</v>
      </c>
      <c r="F1468" s="47" t="n">
        <v>207968</v>
      </c>
    </row>
    <row r="1469" customFormat="false" ht="15" hidden="false" customHeight="false" outlineLevel="0" collapsed="false">
      <c r="A1469" s="0" t="s">
        <v>1706</v>
      </c>
      <c r="B1469" s="0" t="n">
        <v>200</v>
      </c>
      <c r="C1469" s="0" t="str">
        <f aca="false">TEXT(VLOOKUP(B1469,$I$2:$J$20,2,FALSE()),"0")</f>
        <v>200</v>
      </c>
      <c r="D1469" s="47" t="n">
        <v>120</v>
      </c>
      <c r="E1469" s="47" t="n">
        <v>47880000</v>
      </c>
      <c r="F1469" s="47" t="n">
        <v>10848000</v>
      </c>
    </row>
    <row r="1470" customFormat="false" ht="15" hidden="false" customHeight="false" outlineLevel="0" collapsed="false">
      <c r="A1470" s="0" t="s">
        <v>1706</v>
      </c>
      <c r="B1470" s="0" t="n">
        <v>300</v>
      </c>
      <c r="C1470" s="0" t="str">
        <f aca="false">TEXT(VLOOKUP(B1470,$I$2:$J$20,2,FALSE()),"0")</f>
        <v>300</v>
      </c>
      <c r="D1470" s="47" t="n">
        <v>450</v>
      </c>
      <c r="E1470" s="47" t="n">
        <v>179550000</v>
      </c>
      <c r="F1470" s="47" t="n">
        <v>40680000</v>
      </c>
    </row>
    <row r="1471" customFormat="false" ht="15" hidden="false" customHeight="false" outlineLevel="0" collapsed="false">
      <c r="A1471" s="0" t="s">
        <v>1706</v>
      </c>
      <c r="B1471" s="0" t="n">
        <v>500</v>
      </c>
      <c r="C1471" s="0" t="str">
        <f aca="false">TEXT(VLOOKUP(B1471,$I$2:$J$20,2,FALSE()),"0")</f>
        <v>500</v>
      </c>
      <c r="D1471" s="47" t="n">
        <v>20</v>
      </c>
      <c r="E1471" s="47" t="n">
        <v>7980000</v>
      </c>
      <c r="F1471" s="47" t="n">
        <v>1808000</v>
      </c>
    </row>
    <row r="1472" customFormat="false" ht="15" hidden="false" customHeight="false" outlineLevel="0" collapsed="false">
      <c r="A1472" s="0" t="s">
        <v>567</v>
      </c>
      <c r="B1472" s="0" t="n">
        <v>100</v>
      </c>
      <c r="C1472" s="0" t="str">
        <f aca="false">TEXT(VLOOKUP(B1472,$I$2:$J$20,2,FALSE()),"0")</f>
        <v>100</v>
      </c>
      <c r="D1472" s="47" t="n">
        <v>200</v>
      </c>
      <c r="E1472" s="47" t="n">
        <v>65800000</v>
      </c>
      <c r="F1472" s="47" t="n">
        <v>11561400</v>
      </c>
    </row>
    <row r="1473" customFormat="false" ht="15" hidden="false" customHeight="false" outlineLevel="0" collapsed="false">
      <c r="A1473" s="0" t="s">
        <v>567</v>
      </c>
      <c r="B1473" s="0" t="n">
        <v>300</v>
      </c>
      <c r="C1473" s="0" t="str">
        <f aca="false">TEXT(VLOOKUP(B1473,$I$2:$J$20,2,FALSE()),"0")</f>
        <v>300</v>
      </c>
      <c r="D1473" s="47" t="n">
        <v>350</v>
      </c>
      <c r="E1473" s="47" t="n">
        <v>115150000</v>
      </c>
      <c r="F1473" s="47" t="n">
        <v>20232450</v>
      </c>
    </row>
    <row r="1474" customFormat="false" ht="15" hidden="false" customHeight="false" outlineLevel="0" collapsed="false">
      <c r="A1474" s="0" t="s">
        <v>944</v>
      </c>
      <c r="B1474" s="0" t="n">
        <v>100</v>
      </c>
      <c r="C1474" s="0" t="str">
        <f aca="false">TEXT(VLOOKUP(B1474,$I$2:$J$20,2,FALSE()),"0")</f>
        <v>100</v>
      </c>
      <c r="D1474" s="47" t="n">
        <v>240</v>
      </c>
      <c r="E1474" s="47" t="n">
        <v>47760000</v>
      </c>
      <c r="F1474" s="47" t="n">
        <v>13168560</v>
      </c>
    </row>
    <row r="1475" customFormat="false" ht="15" hidden="false" customHeight="false" outlineLevel="0" collapsed="false">
      <c r="A1475" s="0" t="s">
        <v>1707</v>
      </c>
      <c r="B1475" s="0" t="n">
        <v>100</v>
      </c>
      <c r="C1475" s="0" t="str">
        <f aca="false">TEXT(VLOOKUP(B1475,$I$2:$J$20,2,FALSE()),"0")</f>
        <v>100</v>
      </c>
      <c r="D1475" s="47" t="n">
        <v>130</v>
      </c>
      <c r="E1475" s="47" t="n">
        <v>46670000</v>
      </c>
      <c r="F1475" s="47" t="n">
        <v>13247000</v>
      </c>
    </row>
    <row r="1476" customFormat="false" ht="15" hidden="false" customHeight="false" outlineLevel="0" collapsed="false">
      <c r="A1476" s="0" t="s">
        <v>1708</v>
      </c>
      <c r="B1476" s="0" t="n">
        <v>100</v>
      </c>
      <c r="C1476" s="0" t="str">
        <f aca="false">TEXT(VLOOKUP(B1476,$I$2:$J$20,2,FALSE()),"0")</f>
        <v>100</v>
      </c>
      <c r="D1476" s="47" t="n">
        <v>160</v>
      </c>
      <c r="E1476" s="47" t="n">
        <v>110400000</v>
      </c>
      <c r="F1476" s="47" t="n">
        <v>26928000</v>
      </c>
    </row>
    <row r="1477" customFormat="false" ht="15" hidden="false" customHeight="false" outlineLevel="0" collapsed="false">
      <c r="A1477" s="0" t="s">
        <v>1708</v>
      </c>
      <c r="B1477" s="0" t="n">
        <v>300</v>
      </c>
      <c r="C1477" s="0" t="str">
        <f aca="false">TEXT(VLOOKUP(B1477,$I$2:$J$20,2,FALSE()),"0")</f>
        <v>300</v>
      </c>
      <c r="D1477" s="47" t="n">
        <v>170</v>
      </c>
      <c r="E1477" s="47" t="n">
        <v>117300000</v>
      </c>
      <c r="F1477" s="47" t="n">
        <v>28611000</v>
      </c>
    </row>
    <row r="1478" customFormat="false" ht="15" hidden="false" customHeight="false" outlineLevel="0" collapsed="false">
      <c r="A1478" s="0" t="s">
        <v>1708</v>
      </c>
      <c r="B1478" s="0" t="n">
        <v>600</v>
      </c>
      <c r="C1478" s="0" t="str">
        <f aca="false">TEXT(VLOOKUP(B1478,$I$2:$J$20,2,FALSE()),"0")</f>
        <v>600</v>
      </c>
      <c r="D1478" s="47" t="n">
        <v>0</v>
      </c>
      <c r="E1478" s="47" t="n">
        <v>0</v>
      </c>
      <c r="F1478" s="47" t="n">
        <v>0</v>
      </c>
    </row>
    <row r="1479" customFormat="false" ht="15" hidden="false" customHeight="false" outlineLevel="0" collapsed="false">
      <c r="A1479" s="0" t="s">
        <v>1708</v>
      </c>
      <c r="B1479" s="0" t="n">
        <v>700</v>
      </c>
      <c r="C1479" s="0" t="str">
        <f aca="false">TEXT(VLOOKUP(B1479,$I$2:$J$20,2,FALSE()),"0")</f>
        <v>700</v>
      </c>
      <c r="D1479" s="47" t="n">
        <v>0</v>
      </c>
      <c r="E1479" s="47" t="n">
        <v>0</v>
      </c>
      <c r="F1479" s="47" t="n">
        <v>0</v>
      </c>
    </row>
    <row r="1480" customFormat="false" ht="15" hidden="false" customHeight="false" outlineLevel="0" collapsed="false">
      <c r="A1480" s="0" t="s">
        <v>1708</v>
      </c>
      <c r="B1480" s="0" t="n">
        <v>799</v>
      </c>
      <c r="C1480" s="0" t="str">
        <f aca="false">TEXT(VLOOKUP(B1480,$I$2:$J$20,2,FALSE()),"0")</f>
        <v>700</v>
      </c>
      <c r="D1480" s="47" t="n">
        <v>0</v>
      </c>
      <c r="E1480" s="47" t="n">
        <v>0</v>
      </c>
      <c r="F1480" s="47" t="n">
        <v>0</v>
      </c>
    </row>
    <row r="1481" customFormat="false" ht="15" hidden="false" customHeight="false" outlineLevel="0" collapsed="false">
      <c r="A1481" s="0" t="s">
        <v>1709</v>
      </c>
      <c r="B1481" s="0" t="n">
        <v>100</v>
      </c>
      <c r="C1481" s="0" t="str">
        <f aca="false">TEXT(VLOOKUP(B1481,$I$2:$J$20,2,FALSE()),"0")</f>
        <v>100</v>
      </c>
      <c r="D1481" s="47" t="n">
        <v>175</v>
      </c>
      <c r="E1481" s="47" t="n">
        <v>138250000</v>
      </c>
      <c r="F1481" s="47" t="n">
        <v>34440000</v>
      </c>
    </row>
    <row r="1482" customFormat="false" ht="15" hidden="false" customHeight="false" outlineLevel="0" collapsed="false">
      <c r="A1482" s="0" t="s">
        <v>1709</v>
      </c>
      <c r="B1482" s="0" t="n">
        <v>600</v>
      </c>
      <c r="C1482" s="0" t="str">
        <f aca="false">TEXT(VLOOKUP(B1482,$I$2:$J$20,2,FALSE()),"0")</f>
        <v>600</v>
      </c>
      <c r="D1482" s="47" t="n">
        <v>20</v>
      </c>
      <c r="E1482" s="47" t="n">
        <v>15800000</v>
      </c>
      <c r="F1482" s="47" t="n">
        <v>3936000</v>
      </c>
    </row>
    <row r="1483" customFormat="false" ht="15" hidden="false" customHeight="false" outlineLevel="0" collapsed="false">
      <c r="A1483" s="0" t="s">
        <v>569</v>
      </c>
      <c r="B1483" s="0" t="n">
        <v>100</v>
      </c>
      <c r="C1483" s="0" t="str">
        <f aca="false">TEXT(VLOOKUP(B1483,$I$2:$J$20,2,FALSE()),"0")</f>
        <v>100</v>
      </c>
      <c r="D1483" s="47" t="n">
        <v>360</v>
      </c>
      <c r="E1483" s="47" t="n">
        <v>68040000</v>
      </c>
      <c r="F1483" s="47" t="n">
        <v>15192000</v>
      </c>
    </row>
    <row r="1484" customFormat="false" ht="15" hidden="false" customHeight="false" outlineLevel="0" collapsed="false">
      <c r="A1484" s="0" t="s">
        <v>569</v>
      </c>
      <c r="B1484" s="0" t="n">
        <v>200</v>
      </c>
      <c r="C1484" s="0" t="str">
        <f aca="false">TEXT(VLOOKUP(B1484,$I$2:$J$20,2,FALSE()),"0")</f>
        <v>200</v>
      </c>
      <c r="D1484" s="47" t="n">
        <v>80</v>
      </c>
      <c r="E1484" s="47" t="n">
        <v>15120000</v>
      </c>
      <c r="F1484" s="47" t="n">
        <v>3376000</v>
      </c>
    </row>
    <row r="1485" customFormat="false" ht="15" hidden="false" customHeight="false" outlineLevel="0" collapsed="false">
      <c r="A1485" s="0" t="s">
        <v>569</v>
      </c>
      <c r="B1485" s="0" t="n">
        <v>299</v>
      </c>
      <c r="C1485" s="0" t="str">
        <f aca="false">TEXT(VLOOKUP(B1485,$I$2:$J$20,2,FALSE()),"0")</f>
        <v>200</v>
      </c>
      <c r="D1485" s="47" t="n">
        <v>1</v>
      </c>
      <c r="E1485" s="47" t="n">
        <v>189000</v>
      </c>
      <c r="F1485" s="47" t="n">
        <v>42200</v>
      </c>
    </row>
    <row r="1486" customFormat="false" ht="15" hidden="false" customHeight="false" outlineLevel="0" collapsed="false">
      <c r="A1486" s="0" t="s">
        <v>569</v>
      </c>
      <c r="B1486" s="0" t="n">
        <v>300</v>
      </c>
      <c r="C1486" s="0" t="str">
        <f aca="false">TEXT(VLOOKUP(B1486,$I$2:$J$20,2,FALSE()),"0")</f>
        <v>300</v>
      </c>
      <c r="D1486" s="47" t="n">
        <v>540</v>
      </c>
      <c r="E1486" s="47" t="n">
        <v>102060000</v>
      </c>
      <c r="F1486" s="47" t="n">
        <v>22788000</v>
      </c>
    </row>
    <row r="1487" customFormat="false" ht="15" hidden="false" customHeight="false" outlineLevel="0" collapsed="false">
      <c r="A1487" s="0" t="s">
        <v>569</v>
      </c>
      <c r="B1487" s="0" t="n">
        <v>301</v>
      </c>
      <c r="C1487" s="0" t="str">
        <f aca="false">TEXT(VLOOKUP(B1487,$I$2:$J$20,2,FALSE()),"0")</f>
        <v>300</v>
      </c>
      <c r="D1487" s="47" t="n">
        <v>60</v>
      </c>
      <c r="E1487" s="47" t="n">
        <v>11340000</v>
      </c>
      <c r="F1487" s="47" t="n">
        <v>2532000</v>
      </c>
    </row>
    <row r="1488" customFormat="false" ht="15" hidden="false" customHeight="false" outlineLevel="0" collapsed="false">
      <c r="A1488" s="0" t="s">
        <v>569</v>
      </c>
      <c r="B1488" s="0" t="n">
        <v>500</v>
      </c>
      <c r="C1488" s="0" t="str">
        <f aca="false">TEXT(VLOOKUP(B1488,$I$2:$J$20,2,FALSE()),"0")</f>
        <v>500</v>
      </c>
      <c r="D1488" s="47" t="n">
        <v>100</v>
      </c>
      <c r="E1488" s="47" t="n">
        <v>18900000</v>
      </c>
      <c r="F1488" s="47" t="n">
        <v>4220000</v>
      </c>
    </row>
    <row r="1489" customFormat="false" ht="15" hidden="false" customHeight="false" outlineLevel="0" collapsed="false">
      <c r="A1489" s="0" t="s">
        <v>569</v>
      </c>
      <c r="B1489" s="0" t="n">
        <v>600</v>
      </c>
      <c r="C1489" s="0" t="str">
        <f aca="false">TEXT(VLOOKUP(B1489,$I$2:$J$20,2,FALSE()),"0")</f>
        <v>600</v>
      </c>
      <c r="D1489" s="47" t="n">
        <v>20</v>
      </c>
      <c r="E1489" s="47" t="n">
        <v>3780000</v>
      </c>
      <c r="F1489" s="47" t="n">
        <v>844000</v>
      </c>
    </row>
    <row r="1490" customFormat="false" ht="15" hidden="false" customHeight="false" outlineLevel="0" collapsed="false">
      <c r="A1490" s="0" t="s">
        <v>571</v>
      </c>
      <c r="B1490" s="0" t="n">
        <v>300</v>
      </c>
      <c r="C1490" s="0" t="str">
        <f aca="false">TEXT(VLOOKUP(B1490,$I$2:$J$20,2,FALSE()),"0")</f>
        <v>300</v>
      </c>
      <c r="D1490" s="47" t="n">
        <v>50</v>
      </c>
      <c r="E1490" s="47" t="n">
        <v>10950000</v>
      </c>
      <c r="F1490" s="47" t="n">
        <v>2640000</v>
      </c>
    </row>
    <row r="1491" customFormat="false" ht="15" hidden="false" customHeight="false" outlineLevel="0" collapsed="false">
      <c r="A1491" s="0" t="s">
        <v>571</v>
      </c>
      <c r="B1491" s="0" t="n">
        <v>600</v>
      </c>
      <c r="C1491" s="0" t="str">
        <f aca="false">TEXT(VLOOKUP(B1491,$I$2:$J$20,2,FALSE()),"0")</f>
        <v>600</v>
      </c>
      <c r="D1491" s="47" t="n">
        <v>15</v>
      </c>
      <c r="E1491" s="47" t="n">
        <v>3285000</v>
      </c>
      <c r="F1491" s="47" t="n">
        <v>792000</v>
      </c>
    </row>
    <row r="1492" customFormat="false" ht="15" hidden="false" customHeight="false" outlineLevel="0" collapsed="false">
      <c r="A1492" s="0" t="s">
        <v>1413</v>
      </c>
      <c r="B1492" s="0" t="n">
        <v>700</v>
      </c>
      <c r="C1492" s="0" t="str">
        <f aca="false">TEXT(VLOOKUP(B1492,$I$2:$J$20,2,FALSE()),"0")</f>
        <v>700</v>
      </c>
      <c r="D1492" s="47" t="n">
        <v>50</v>
      </c>
      <c r="E1492" s="47" t="n">
        <v>9450000</v>
      </c>
      <c r="F1492" s="47" t="n">
        <v>2140000</v>
      </c>
    </row>
    <row r="1493" customFormat="false" ht="15" hidden="false" customHeight="false" outlineLevel="0" collapsed="false">
      <c r="A1493" s="0" t="s">
        <v>1413</v>
      </c>
      <c r="B1493" s="0" t="n">
        <v>799</v>
      </c>
      <c r="C1493" s="0" t="str">
        <f aca="false">TEXT(VLOOKUP(B1493,$I$2:$J$20,2,FALSE()),"0")</f>
        <v>700</v>
      </c>
      <c r="D1493" s="47" t="n">
        <v>1</v>
      </c>
      <c r="E1493" s="47" t="n">
        <v>189000</v>
      </c>
      <c r="F1493" s="47" t="n">
        <v>42800</v>
      </c>
    </row>
    <row r="1494" customFormat="false" ht="15" hidden="false" customHeight="false" outlineLevel="0" collapsed="false">
      <c r="A1494" s="0" t="s">
        <v>1097</v>
      </c>
      <c r="B1494" s="0" t="n">
        <v>100</v>
      </c>
      <c r="C1494" s="0" t="str">
        <f aca="false">TEXT(VLOOKUP(B1494,$I$2:$J$20,2,FALSE()),"0")</f>
        <v>100</v>
      </c>
      <c r="D1494" s="47" t="n">
        <v>65</v>
      </c>
      <c r="E1494" s="47" t="n">
        <v>18135000</v>
      </c>
      <c r="F1494" s="47" t="n">
        <v>5318495</v>
      </c>
    </row>
    <row r="1495" customFormat="false" ht="15" hidden="false" customHeight="false" outlineLevel="0" collapsed="false">
      <c r="A1495" s="0" t="s">
        <v>1097</v>
      </c>
      <c r="B1495" s="0" t="n">
        <v>200</v>
      </c>
      <c r="C1495" s="0" t="str">
        <f aca="false">TEXT(VLOOKUP(B1495,$I$2:$J$20,2,FALSE()),"0")</f>
        <v>200</v>
      </c>
      <c r="D1495" s="47" t="n">
        <v>200</v>
      </c>
      <c r="E1495" s="47" t="n">
        <v>55800000</v>
      </c>
      <c r="F1495" s="47" t="n">
        <v>16364600</v>
      </c>
    </row>
    <row r="1496" customFormat="false" ht="15" hidden="false" customHeight="false" outlineLevel="0" collapsed="false">
      <c r="A1496" s="0" t="s">
        <v>1097</v>
      </c>
      <c r="B1496" s="0" t="n">
        <v>299</v>
      </c>
      <c r="C1496" s="0" t="str">
        <f aca="false">TEXT(VLOOKUP(B1496,$I$2:$J$20,2,FALSE()),"0")</f>
        <v>200</v>
      </c>
      <c r="D1496" s="47" t="n">
        <v>3</v>
      </c>
      <c r="E1496" s="47" t="n">
        <v>837000</v>
      </c>
      <c r="F1496" s="47" t="n">
        <v>245469</v>
      </c>
    </row>
    <row r="1497" customFormat="false" ht="15" hidden="false" customHeight="false" outlineLevel="0" collapsed="false">
      <c r="A1497" s="0" t="s">
        <v>1097</v>
      </c>
      <c r="B1497" s="0" t="n">
        <v>300</v>
      </c>
      <c r="C1497" s="0" t="str">
        <f aca="false">TEXT(VLOOKUP(B1497,$I$2:$J$20,2,FALSE()),"0")</f>
        <v>300</v>
      </c>
      <c r="D1497" s="47" t="n">
        <v>120</v>
      </c>
      <c r="E1497" s="47" t="n">
        <v>33480000</v>
      </c>
      <c r="F1497" s="47" t="n">
        <v>9818760</v>
      </c>
    </row>
    <row r="1498" customFormat="false" ht="15" hidden="false" customHeight="false" outlineLevel="0" collapsed="false">
      <c r="A1498" s="0" t="s">
        <v>1097</v>
      </c>
      <c r="B1498" s="0" t="n">
        <v>700</v>
      </c>
      <c r="C1498" s="0" t="str">
        <f aca="false">TEXT(VLOOKUP(B1498,$I$2:$J$20,2,FALSE()),"0")</f>
        <v>700</v>
      </c>
      <c r="D1498" s="47" t="n">
        <v>50</v>
      </c>
      <c r="E1498" s="47" t="n">
        <v>13950000</v>
      </c>
      <c r="F1498" s="47" t="n">
        <v>4091150</v>
      </c>
    </row>
    <row r="1499" customFormat="false" ht="15" hidden="false" customHeight="false" outlineLevel="0" collapsed="false">
      <c r="A1499" s="0" t="s">
        <v>573</v>
      </c>
      <c r="B1499" s="0" t="n">
        <v>100</v>
      </c>
      <c r="C1499" s="0" t="str">
        <f aca="false">TEXT(VLOOKUP(B1499,$I$2:$J$20,2,FALSE()),"0")</f>
        <v>100</v>
      </c>
      <c r="D1499" s="47" t="n">
        <v>400</v>
      </c>
      <c r="E1499" s="47" t="n">
        <v>79600000</v>
      </c>
      <c r="F1499" s="47" t="n">
        <v>18600000</v>
      </c>
    </row>
    <row r="1500" customFormat="false" ht="15" hidden="false" customHeight="false" outlineLevel="0" collapsed="false">
      <c r="A1500" s="0" t="s">
        <v>573</v>
      </c>
      <c r="B1500" s="0" t="n">
        <v>300</v>
      </c>
      <c r="C1500" s="0" t="str">
        <f aca="false">TEXT(VLOOKUP(B1500,$I$2:$J$20,2,FALSE()),"0")</f>
        <v>300</v>
      </c>
      <c r="D1500" s="47" t="n">
        <v>360</v>
      </c>
      <c r="E1500" s="47" t="n">
        <v>71640000</v>
      </c>
      <c r="F1500" s="47" t="n">
        <v>16740000</v>
      </c>
    </row>
    <row r="1501" customFormat="false" ht="15" hidden="false" customHeight="false" outlineLevel="0" collapsed="false">
      <c r="A1501" s="0" t="s">
        <v>573</v>
      </c>
      <c r="B1501" s="0" t="n">
        <v>600</v>
      </c>
      <c r="C1501" s="0" t="str">
        <f aca="false">TEXT(VLOOKUP(B1501,$I$2:$J$20,2,FALSE()),"0")</f>
        <v>600</v>
      </c>
      <c r="D1501" s="47" t="n">
        <v>20</v>
      </c>
      <c r="E1501" s="47" t="n">
        <v>3980000</v>
      </c>
      <c r="F1501" s="47" t="n">
        <v>930000</v>
      </c>
    </row>
    <row r="1502" customFormat="false" ht="15" hidden="false" customHeight="false" outlineLevel="0" collapsed="false">
      <c r="A1502" s="0" t="s">
        <v>575</v>
      </c>
      <c r="B1502" s="0" t="n">
        <v>100</v>
      </c>
      <c r="C1502" s="0" t="str">
        <f aca="false">TEXT(VLOOKUP(B1502,$I$2:$J$20,2,FALSE()),"0")</f>
        <v>100</v>
      </c>
      <c r="D1502" s="47" t="n">
        <v>80</v>
      </c>
      <c r="E1502" s="47" t="n">
        <v>11920000</v>
      </c>
      <c r="F1502" s="47" t="n">
        <v>2616000</v>
      </c>
    </row>
    <row r="1503" customFormat="false" ht="15" hidden="false" customHeight="false" outlineLevel="0" collapsed="false">
      <c r="A1503" s="0" t="s">
        <v>575</v>
      </c>
      <c r="B1503" s="0" t="n">
        <v>300</v>
      </c>
      <c r="C1503" s="0" t="str">
        <f aca="false">TEXT(VLOOKUP(B1503,$I$2:$J$20,2,FALSE()),"0")</f>
        <v>300</v>
      </c>
      <c r="D1503" s="47" t="n">
        <v>70</v>
      </c>
      <c r="E1503" s="47" t="n">
        <v>10430000</v>
      </c>
      <c r="F1503" s="47" t="n">
        <v>2289000</v>
      </c>
    </row>
    <row r="1504" customFormat="false" ht="15" hidden="false" customHeight="false" outlineLevel="0" collapsed="false">
      <c r="A1504" s="0" t="s">
        <v>575</v>
      </c>
      <c r="B1504" s="0" t="n">
        <v>600</v>
      </c>
      <c r="C1504" s="0" t="str">
        <f aca="false">TEXT(VLOOKUP(B1504,$I$2:$J$20,2,FALSE()),"0")</f>
        <v>600</v>
      </c>
      <c r="D1504" s="47" t="n">
        <v>20</v>
      </c>
      <c r="E1504" s="47" t="n">
        <v>2980000</v>
      </c>
      <c r="F1504" s="47" t="n">
        <v>654000</v>
      </c>
    </row>
    <row r="1505" customFormat="false" ht="15" hidden="false" customHeight="false" outlineLevel="0" collapsed="false">
      <c r="A1505" s="0" t="s">
        <v>1710</v>
      </c>
      <c r="B1505" s="0" t="n">
        <v>810</v>
      </c>
      <c r="C1505" s="0" t="str">
        <f aca="false">TEXT(VLOOKUP(B1505,$I$2:$J$20,2,FALSE()),"0")</f>
        <v>810</v>
      </c>
      <c r="D1505" s="47" t="n">
        <v>204</v>
      </c>
      <c r="E1505" s="47" t="n">
        <v>32436000</v>
      </c>
      <c r="F1505" s="47" t="n">
        <v>6691200</v>
      </c>
    </row>
    <row r="1506" customFormat="false" ht="15" hidden="false" customHeight="false" outlineLevel="0" collapsed="false">
      <c r="A1506" s="0" t="s">
        <v>577</v>
      </c>
      <c r="B1506" s="0" t="n">
        <v>200</v>
      </c>
      <c r="C1506" s="0" t="str">
        <f aca="false">TEXT(VLOOKUP(B1506,$I$2:$J$20,2,FALSE()),"0")</f>
        <v>200</v>
      </c>
      <c r="D1506" s="47" t="n">
        <v>475</v>
      </c>
      <c r="E1506" s="47" t="n">
        <v>94525000</v>
      </c>
      <c r="F1506" s="47" t="n">
        <v>21185950</v>
      </c>
    </row>
    <row r="1507" customFormat="false" ht="15" hidden="false" customHeight="false" outlineLevel="0" collapsed="false">
      <c r="A1507" s="0" t="s">
        <v>577</v>
      </c>
      <c r="B1507" s="0" t="n">
        <v>299</v>
      </c>
      <c r="C1507" s="0" t="str">
        <f aca="false">TEXT(VLOOKUP(B1507,$I$2:$J$20,2,FALSE()),"0")</f>
        <v>200</v>
      </c>
      <c r="D1507" s="47" t="n">
        <v>3</v>
      </c>
      <c r="E1507" s="47" t="n">
        <v>597000</v>
      </c>
      <c r="F1507" s="47" t="n">
        <v>133806</v>
      </c>
    </row>
    <row r="1508" customFormat="false" ht="15" hidden="false" customHeight="false" outlineLevel="0" collapsed="false">
      <c r="A1508" s="0" t="s">
        <v>577</v>
      </c>
      <c r="B1508" s="0" t="n">
        <v>300</v>
      </c>
      <c r="C1508" s="0" t="str">
        <f aca="false">TEXT(VLOOKUP(B1508,$I$2:$J$20,2,FALSE()),"0")</f>
        <v>300</v>
      </c>
      <c r="D1508" s="47" t="n">
        <v>360</v>
      </c>
      <c r="E1508" s="47" t="n">
        <v>71640000</v>
      </c>
      <c r="F1508" s="47" t="n">
        <v>16056720</v>
      </c>
    </row>
    <row r="1509" customFormat="false" ht="15" hidden="false" customHeight="false" outlineLevel="0" collapsed="false">
      <c r="A1509" s="0" t="s">
        <v>577</v>
      </c>
      <c r="B1509" s="0" t="n">
        <v>700</v>
      </c>
      <c r="C1509" s="0" t="str">
        <f aca="false">TEXT(VLOOKUP(B1509,$I$2:$J$20,2,FALSE()),"0")</f>
        <v>700</v>
      </c>
      <c r="D1509" s="47" t="n">
        <v>140</v>
      </c>
      <c r="E1509" s="47" t="n">
        <v>27860000</v>
      </c>
      <c r="F1509" s="47" t="n">
        <v>6244280</v>
      </c>
    </row>
    <row r="1510" customFormat="false" ht="15" hidden="false" customHeight="false" outlineLevel="0" collapsed="false">
      <c r="A1510" s="0" t="s">
        <v>577</v>
      </c>
      <c r="B1510" s="0" t="n">
        <v>799</v>
      </c>
      <c r="C1510" s="0" t="str">
        <f aca="false">TEXT(VLOOKUP(B1510,$I$2:$J$20,2,FALSE()),"0")</f>
        <v>700</v>
      </c>
      <c r="D1510" s="47" t="n">
        <v>2</v>
      </c>
      <c r="E1510" s="47" t="n">
        <v>398000</v>
      </c>
      <c r="F1510" s="47" t="n">
        <v>89204</v>
      </c>
    </row>
    <row r="1511" customFormat="false" ht="15" hidden="false" customHeight="false" outlineLevel="0" collapsed="false">
      <c r="A1511" s="0" t="s">
        <v>577</v>
      </c>
      <c r="B1511" s="0" t="n">
        <v>830</v>
      </c>
      <c r="C1511" s="0" t="str">
        <f aca="false">TEXT(VLOOKUP(B1511,$I$2:$J$20,2,FALSE()),"0")</f>
        <v>830</v>
      </c>
      <c r="D1511" s="47" t="n">
        <v>45</v>
      </c>
      <c r="E1511" s="47" t="n">
        <v>8955000</v>
      </c>
      <c r="F1511" s="47" t="n">
        <v>2007090</v>
      </c>
    </row>
    <row r="1512" customFormat="false" ht="15" hidden="false" customHeight="false" outlineLevel="0" collapsed="false">
      <c r="A1512" s="0" t="s">
        <v>946</v>
      </c>
      <c r="B1512" s="0" t="n">
        <v>100</v>
      </c>
      <c r="C1512" s="0" t="str">
        <f aca="false">TEXT(VLOOKUP(B1512,$I$2:$J$20,2,FALSE()),"0")</f>
        <v>100</v>
      </c>
      <c r="D1512" s="47" t="n">
        <v>200</v>
      </c>
      <c r="E1512" s="47" t="n">
        <v>31800000</v>
      </c>
      <c r="F1512" s="47" t="n">
        <v>6680000</v>
      </c>
    </row>
    <row r="1513" customFormat="false" ht="15" hidden="false" customHeight="false" outlineLevel="0" collapsed="false">
      <c r="A1513" s="0" t="s">
        <v>946</v>
      </c>
      <c r="B1513" s="0" t="n">
        <v>200</v>
      </c>
      <c r="C1513" s="0" t="str">
        <f aca="false">TEXT(VLOOKUP(B1513,$I$2:$J$20,2,FALSE()),"0")</f>
        <v>200</v>
      </c>
      <c r="D1513" s="47" t="n">
        <v>300</v>
      </c>
      <c r="E1513" s="47" t="n">
        <v>47700000</v>
      </c>
      <c r="F1513" s="47" t="n">
        <v>10020000</v>
      </c>
    </row>
    <row r="1514" customFormat="false" ht="15" hidden="false" customHeight="false" outlineLevel="0" collapsed="false">
      <c r="A1514" s="0" t="s">
        <v>946</v>
      </c>
      <c r="B1514" s="0" t="n">
        <v>299</v>
      </c>
      <c r="C1514" s="0" t="str">
        <f aca="false">TEXT(VLOOKUP(B1514,$I$2:$J$20,2,FALSE()),"0")</f>
        <v>200</v>
      </c>
      <c r="D1514" s="47" t="n">
        <v>2</v>
      </c>
      <c r="E1514" s="47" t="n">
        <v>318000</v>
      </c>
      <c r="F1514" s="47" t="n">
        <v>66800</v>
      </c>
    </row>
    <row r="1515" customFormat="false" ht="15" hidden="false" customHeight="false" outlineLevel="0" collapsed="false">
      <c r="A1515" s="0" t="s">
        <v>946</v>
      </c>
      <c r="B1515" s="0" t="n">
        <v>600</v>
      </c>
      <c r="C1515" s="0" t="str">
        <f aca="false">TEXT(VLOOKUP(B1515,$I$2:$J$20,2,FALSE()),"0")</f>
        <v>600</v>
      </c>
      <c r="D1515" s="47" t="n">
        <v>20</v>
      </c>
      <c r="E1515" s="47" t="n">
        <v>3180000</v>
      </c>
      <c r="F1515" s="47" t="n">
        <v>668000</v>
      </c>
    </row>
    <row r="1516" customFormat="false" ht="15" hidden="false" customHeight="false" outlineLevel="0" collapsed="false">
      <c r="A1516" s="0" t="s">
        <v>948</v>
      </c>
      <c r="B1516" s="0" t="n">
        <v>100</v>
      </c>
      <c r="C1516" s="0" t="str">
        <f aca="false">TEXT(VLOOKUP(B1516,$I$2:$J$20,2,FALSE()),"0")</f>
        <v>100</v>
      </c>
      <c r="D1516" s="47" t="n">
        <v>180</v>
      </c>
      <c r="E1516" s="47" t="n">
        <v>21420000</v>
      </c>
      <c r="F1516" s="47" t="n">
        <v>4140000</v>
      </c>
    </row>
    <row r="1517" customFormat="false" ht="15" hidden="false" customHeight="false" outlineLevel="0" collapsed="false">
      <c r="A1517" s="0" t="s">
        <v>579</v>
      </c>
      <c r="B1517" s="0" t="n">
        <v>300</v>
      </c>
      <c r="C1517" s="0" t="str">
        <f aca="false">TEXT(VLOOKUP(B1517,$I$2:$J$20,2,FALSE()),"0")</f>
        <v>300</v>
      </c>
      <c r="D1517" s="47" t="n">
        <v>100</v>
      </c>
      <c r="E1517" s="47" t="n">
        <v>13900000</v>
      </c>
      <c r="F1517" s="47" t="n">
        <v>2990000</v>
      </c>
    </row>
    <row r="1518" customFormat="false" ht="15" hidden="false" customHeight="false" outlineLevel="0" collapsed="false">
      <c r="A1518" s="0" t="s">
        <v>579</v>
      </c>
      <c r="B1518" s="0" t="n">
        <v>810</v>
      </c>
      <c r="C1518" s="0" t="str">
        <f aca="false">TEXT(VLOOKUP(B1518,$I$2:$J$20,2,FALSE()),"0")</f>
        <v>810</v>
      </c>
      <c r="D1518" s="47" t="n">
        <v>204</v>
      </c>
      <c r="E1518" s="47" t="n">
        <v>28356000</v>
      </c>
      <c r="F1518" s="47" t="n">
        <v>6099600</v>
      </c>
    </row>
    <row r="1519" customFormat="false" ht="15" hidden="false" customHeight="false" outlineLevel="0" collapsed="false">
      <c r="A1519" s="0" t="s">
        <v>1346</v>
      </c>
      <c r="B1519" s="0" t="n">
        <v>600</v>
      </c>
      <c r="C1519" s="0" t="str">
        <f aca="false">TEXT(VLOOKUP(B1519,$I$2:$J$20,2,FALSE()),"0")</f>
        <v>600</v>
      </c>
      <c r="D1519" s="47" t="n">
        <v>40</v>
      </c>
      <c r="E1519" s="47" t="n">
        <v>5960000</v>
      </c>
      <c r="F1519" s="47" t="n">
        <v>1024000</v>
      </c>
    </row>
    <row r="1520" customFormat="false" ht="15" hidden="false" customHeight="false" outlineLevel="0" collapsed="false">
      <c r="A1520" s="0" t="s">
        <v>1099</v>
      </c>
      <c r="B1520" s="0" t="n">
        <v>200</v>
      </c>
      <c r="C1520" s="0" t="str">
        <f aca="false">TEXT(VLOOKUP(B1520,$I$2:$J$20,2,FALSE()),"0")</f>
        <v>200</v>
      </c>
      <c r="D1520" s="47" t="n">
        <v>270</v>
      </c>
      <c r="E1520" s="47" t="n">
        <v>29430000</v>
      </c>
      <c r="F1520" s="47" t="n">
        <v>6615000</v>
      </c>
    </row>
    <row r="1521" customFormat="false" ht="15" hidden="false" customHeight="false" outlineLevel="0" collapsed="false">
      <c r="A1521" s="0" t="s">
        <v>1099</v>
      </c>
      <c r="B1521" s="0" t="n">
        <v>299</v>
      </c>
      <c r="C1521" s="0" t="str">
        <f aca="false">TEXT(VLOOKUP(B1521,$I$2:$J$20,2,FALSE()),"0")</f>
        <v>200</v>
      </c>
      <c r="D1521" s="47" t="n">
        <v>2</v>
      </c>
      <c r="E1521" s="47" t="n">
        <v>218000</v>
      </c>
      <c r="F1521" s="47" t="n">
        <v>49000</v>
      </c>
    </row>
    <row r="1522" customFormat="false" ht="15" hidden="false" customHeight="false" outlineLevel="0" collapsed="false">
      <c r="A1522" s="0" t="s">
        <v>1348</v>
      </c>
      <c r="B1522" s="0" t="n">
        <v>600</v>
      </c>
      <c r="C1522" s="0" t="str">
        <f aca="false">TEXT(VLOOKUP(B1522,$I$2:$J$20,2,FALSE()),"0")</f>
        <v>600</v>
      </c>
      <c r="D1522" s="47" t="n">
        <v>30</v>
      </c>
      <c r="E1522" s="47" t="n">
        <v>2970000</v>
      </c>
      <c r="F1522" s="47" t="n">
        <v>561000</v>
      </c>
    </row>
    <row r="1523" customFormat="false" ht="15" hidden="false" customHeight="false" outlineLevel="0" collapsed="false">
      <c r="A1523" s="0" t="s">
        <v>1348</v>
      </c>
      <c r="B1523" s="0" t="n">
        <v>800</v>
      </c>
      <c r="C1523" s="0" t="str">
        <f aca="false">TEXT(VLOOKUP(B1523,$I$2:$J$20,2,FALSE()),"0")</f>
        <v>800</v>
      </c>
      <c r="D1523" s="47" t="n">
        <v>60</v>
      </c>
      <c r="E1523" s="47" t="n">
        <v>5940000</v>
      </c>
      <c r="F1523" s="47" t="n">
        <v>1122000</v>
      </c>
    </row>
    <row r="1524" customFormat="false" ht="15" hidden="false" customHeight="false" outlineLevel="0" collapsed="false">
      <c r="A1524" s="0" t="s">
        <v>1711</v>
      </c>
      <c r="B1524" s="0" t="n">
        <v>810</v>
      </c>
      <c r="C1524" s="0" t="str">
        <f aca="false">TEXT(VLOOKUP(B1524,$I$2:$J$20,2,FALSE()),"0")</f>
        <v>810</v>
      </c>
      <c r="D1524" s="47" t="n">
        <v>204</v>
      </c>
      <c r="E1524" s="47" t="n">
        <v>22236000</v>
      </c>
      <c r="F1524" s="47" t="n">
        <v>4406400</v>
      </c>
    </row>
    <row r="1525" customFormat="false" ht="15" hidden="false" customHeight="false" outlineLevel="0" collapsed="false">
      <c r="A1525" s="0" t="s">
        <v>1350</v>
      </c>
      <c r="B1525" s="0" t="n">
        <v>200</v>
      </c>
      <c r="C1525" s="0" t="str">
        <f aca="false">TEXT(VLOOKUP(B1525,$I$2:$J$20,2,FALSE()),"0")</f>
        <v>200</v>
      </c>
      <c r="D1525" s="47" t="n">
        <v>170</v>
      </c>
      <c r="E1525" s="47" t="n">
        <v>3230000</v>
      </c>
      <c r="F1525" s="47" t="n">
        <v>836400</v>
      </c>
    </row>
    <row r="1526" customFormat="false" ht="15" hidden="false" customHeight="false" outlineLevel="0" collapsed="false">
      <c r="A1526" s="0" t="s">
        <v>1350</v>
      </c>
      <c r="B1526" s="0" t="n">
        <v>299</v>
      </c>
      <c r="C1526" s="0" t="str">
        <f aca="false">TEXT(VLOOKUP(B1526,$I$2:$J$20,2,FALSE()),"0")</f>
        <v>200</v>
      </c>
      <c r="D1526" s="47" t="n">
        <v>2</v>
      </c>
      <c r="E1526" s="47" t="n">
        <v>38000</v>
      </c>
      <c r="F1526" s="47" t="n">
        <v>9840</v>
      </c>
    </row>
    <row r="1527" customFormat="false" ht="15" hidden="false" customHeight="false" outlineLevel="0" collapsed="false">
      <c r="A1527" s="0" t="s">
        <v>1350</v>
      </c>
      <c r="B1527" s="0" t="n">
        <v>300</v>
      </c>
      <c r="C1527" s="0" t="str">
        <f aca="false">TEXT(VLOOKUP(B1527,$I$2:$J$20,2,FALSE()),"0")</f>
        <v>300</v>
      </c>
      <c r="D1527" s="47" t="n">
        <v>750</v>
      </c>
      <c r="E1527" s="47" t="n">
        <v>14250000</v>
      </c>
      <c r="F1527" s="47" t="n">
        <v>3690000</v>
      </c>
    </row>
    <row r="1528" customFormat="false" ht="15" hidden="false" customHeight="false" outlineLevel="0" collapsed="false">
      <c r="A1528" s="0" t="s">
        <v>1350</v>
      </c>
      <c r="B1528" s="0" t="n">
        <v>500</v>
      </c>
      <c r="C1528" s="0" t="str">
        <f aca="false">TEXT(VLOOKUP(B1528,$I$2:$J$20,2,FALSE()),"0")</f>
        <v>500</v>
      </c>
      <c r="D1528" s="47" t="n">
        <v>45</v>
      </c>
      <c r="E1528" s="47" t="n">
        <v>855000</v>
      </c>
      <c r="F1528" s="47" t="n">
        <v>221400</v>
      </c>
    </row>
    <row r="1529" customFormat="false" ht="15" hidden="false" customHeight="false" outlineLevel="0" collapsed="false">
      <c r="A1529" s="0" t="s">
        <v>1350</v>
      </c>
      <c r="B1529" s="0" t="n">
        <v>600</v>
      </c>
      <c r="C1529" s="0" t="str">
        <f aca="false">TEXT(VLOOKUP(B1529,$I$2:$J$20,2,FALSE()),"0")</f>
        <v>600</v>
      </c>
      <c r="D1529" s="47" t="n">
        <v>60</v>
      </c>
      <c r="E1529" s="47" t="n">
        <v>1140000</v>
      </c>
      <c r="F1529" s="47" t="n">
        <v>295200</v>
      </c>
    </row>
    <row r="1530" customFormat="false" ht="15" hidden="false" customHeight="false" outlineLevel="0" collapsed="false">
      <c r="A1530" s="0" t="s">
        <v>1350</v>
      </c>
      <c r="B1530" s="0" t="n">
        <v>601</v>
      </c>
      <c r="C1530" s="0" t="str">
        <f aca="false">TEXT(VLOOKUP(B1530,$I$2:$J$20,2,FALSE()),"0")</f>
        <v>600</v>
      </c>
      <c r="D1530" s="47" t="n">
        <v>60</v>
      </c>
      <c r="E1530" s="47" t="n">
        <v>1140000</v>
      </c>
      <c r="F1530" s="47" t="n">
        <v>295200</v>
      </c>
    </row>
    <row r="1531" customFormat="false" ht="15" hidden="false" customHeight="false" outlineLevel="0" collapsed="false">
      <c r="A1531" s="0" t="s">
        <v>1350</v>
      </c>
      <c r="B1531" s="0" t="n">
        <v>700</v>
      </c>
      <c r="C1531" s="0" t="str">
        <f aca="false">TEXT(VLOOKUP(B1531,$I$2:$J$20,2,FALSE()),"0")</f>
        <v>700</v>
      </c>
      <c r="D1531" s="47" t="n">
        <v>300</v>
      </c>
      <c r="E1531" s="47" t="n">
        <v>5700000</v>
      </c>
      <c r="F1531" s="47" t="n">
        <v>1476000</v>
      </c>
    </row>
    <row r="1532" customFormat="false" ht="15" hidden="false" customHeight="false" outlineLevel="0" collapsed="false">
      <c r="A1532" s="0" t="s">
        <v>1350</v>
      </c>
      <c r="B1532" s="0" t="n">
        <v>701</v>
      </c>
      <c r="C1532" s="0" t="str">
        <f aca="false">TEXT(VLOOKUP(B1532,$I$2:$J$20,2,FALSE()),"0")</f>
        <v>700</v>
      </c>
      <c r="D1532" s="47" t="n">
        <v>300</v>
      </c>
      <c r="E1532" s="47" t="n">
        <v>5700000</v>
      </c>
      <c r="F1532" s="47" t="n">
        <v>1476000</v>
      </c>
    </row>
    <row r="1533" customFormat="false" ht="15" hidden="false" customHeight="false" outlineLevel="0" collapsed="false">
      <c r="A1533" s="0" t="s">
        <v>1350</v>
      </c>
      <c r="B1533" s="0" t="n">
        <v>799</v>
      </c>
      <c r="C1533" s="0" t="str">
        <f aca="false">TEXT(VLOOKUP(B1533,$I$2:$J$20,2,FALSE()),"0")</f>
        <v>700</v>
      </c>
      <c r="D1533" s="47" t="n">
        <v>3</v>
      </c>
      <c r="E1533" s="47" t="n">
        <v>57000</v>
      </c>
      <c r="F1533" s="47" t="n">
        <v>14760</v>
      </c>
    </row>
    <row r="1534" customFormat="false" ht="15" hidden="false" customHeight="false" outlineLevel="0" collapsed="false">
      <c r="A1534" s="0" t="s">
        <v>1350</v>
      </c>
      <c r="B1534" s="0" t="n">
        <v>800</v>
      </c>
      <c r="C1534" s="0" t="str">
        <f aca="false">TEXT(VLOOKUP(B1534,$I$2:$J$20,2,FALSE()),"0")</f>
        <v>800</v>
      </c>
      <c r="D1534" s="47" t="n">
        <v>20</v>
      </c>
      <c r="E1534" s="47" t="n">
        <v>380000</v>
      </c>
      <c r="F1534" s="47" t="n">
        <v>98400</v>
      </c>
    </row>
    <row r="1535" customFormat="false" ht="15" hidden="false" customHeight="false" outlineLevel="0" collapsed="false">
      <c r="A1535" s="0" t="s">
        <v>581</v>
      </c>
      <c r="B1535" s="0" t="n">
        <v>200</v>
      </c>
      <c r="C1535" s="0" t="str">
        <f aca="false">TEXT(VLOOKUP(B1535,$I$2:$J$20,2,FALSE()),"0")</f>
        <v>200</v>
      </c>
      <c r="D1535" s="47" t="n">
        <v>625</v>
      </c>
      <c r="E1535" s="47" t="n">
        <v>18125000</v>
      </c>
      <c r="F1535" s="47" t="n">
        <v>3835000</v>
      </c>
    </row>
    <row r="1536" customFormat="false" ht="15" hidden="false" customHeight="false" outlineLevel="0" collapsed="false">
      <c r="A1536" s="0" t="s">
        <v>581</v>
      </c>
      <c r="B1536" s="0" t="n">
        <v>299</v>
      </c>
      <c r="C1536" s="0" t="str">
        <f aca="false">TEXT(VLOOKUP(B1536,$I$2:$J$20,2,FALSE()),"0")</f>
        <v>200</v>
      </c>
      <c r="D1536" s="47" t="n">
        <v>5</v>
      </c>
      <c r="E1536" s="47" t="n">
        <v>145000</v>
      </c>
      <c r="F1536" s="47" t="n">
        <v>30680</v>
      </c>
    </row>
    <row r="1537" customFormat="false" ht="15" hidden="false" customHeight="false" outlineLevel="0" collapsed="false">
      <c r="A1537" s="0" t="s">
        <v>581</v>
      </c>
      <c r="B1537" s="0" t="n">
        <v>300</v>
      </c>
      <c r="C1537" s="0" t="str">
        <f aca="false">TEXT(VLOOKUP(B1537,$I$2:$J$20,2,FALSE()),"0")</f>
        <v>300</v>
      </c>
      <c r="D1537" s="47" t="n">
        <v>600</v>
      </c>
      <c r="E1537" s="47" t="n">
        <v>17400000</v>
      </c>
      <c r="F1537" s="47" t="n">
        <v>3681600</v>
      </c>
    </row>
    <row r="1538" customFormat="false" ht="15" hidden="false" customHeight="false" outlineLevel="0" collapsed="false">
      <c r="A1538" s="0" t="s">
        <v>581</v>
      </c>
      <c r="B1538" s="0" t="n">
        <v>501</v>
      </c>
      <c r="C1538" s="0" t="str">
        <f aca="false">TEXT(VLOOKUP(B1538,$I$2:$J$20,2,FALSE()),"0")</f>
        <v>500</v>
      </c>
      <c r="D1538" s="47" t="n">
        <v>90</v>
      </c>
      <c r="E1538" s="47" t="n">
        <v>2610000</v>
      </c>
      <c r="F1538" s="47" t="n">
        <v>552240</v>
      </c>
    </row>
    <row r="1539" customFormat="false" ht="15" hidden="false" customHeight="false" outlineLevel="0" collapsed="false">
      <c r="A1539" s="0" t="s">
        <v>581</v>
      </c>
      <c r="B1539" s="0" t="n">
        <v>600</v>
      </c>
      <c r="C1539" s="0" t="str">
        <f aca="false">TEXT(VLOOKUP(B1539,$I$2:$J$20,2,FALSE()),"0")</f>
        <v>600</v>
      </c>
      <c r="D1539" s="47" t="n">
        <v>60</v>
      </c>
      <c r="E1539" s="47" t="n">
        <v>1740000</v>
      </c>
      <c r="F1539" s="47" t="n">
        <v>368160</v>
      </c>
    </row>
    <row r="1540" customFormat="false" ht="15" hidden="false" customHeight="false" outlineLevel="0" collapsed="false">
      <c r="A1540" s="0" t="s">
        <v>581</v>
      </c>
      <c r="B1540" s="0" t="n">
        <v>601</v>
      </c>
      <c r="C1540" s="0" t="str">
        <f aca="false">TEXT(VLOOKUP(B1540,$I$2:$J$20,2,FALSE()),"0")</f>
        <v>600</v>
      </c>
      <c r="D1540" s="47" t="n">
        <v>110</v>
      </c>
      <c r="E1540" s="47" t="n">
        <v>3190000</v>
      </c>
      <c r="F1540" s="47" t="n">
        <v>674960</v>
      </c>
    </row>
    <row r="1541" customFormat="false" ht="15" hidden="false" customHeight="false" outlineLevel="0" collapsed="false">
      <c r="A1541" s="0" t="s">
        <v>581</v>
      </c>
      <c r="B1541" s="0" t="n">
        <v>700</v>
      </c>
      <c r="C1541" s="0" t="str">
        <f aca="false">TEXT(VLOOKUP(B1541,$I$2:$J$20,2,FALSE()),"0")</f>
        <v>700</v>
      </c>
      <c r="D1541" s="47" t="n">
        <v>300</v>
      </c>
      <c r="E1541" s="47" t="n">
        <v>8700000</v>
      </c>
      <c r="F1541" s="47" t="n">
        <v>1840800</v>
      </c>
    </row>
    <row r="1542" customFormat="false" ht="15" hidden="false" customHeight="false" outlineLevel="0" collapsed="false">
      <c r="A1542" s="0" t="s">
        <v>581</v>
      </c>
      <c r="B1542" s="0" t="n">
        <v>799</v>
      </c>
      <c r="C1542" s="0" t="str">
        <f aca="false">TEXT(VLOOKUP(B1542,$I$2:$J$20,2,FALSE()),"0")</f>
        <v>700</v>
      </c>
      <c r="D1542" s="47" t="n">
        <v>3</v>
      </c>
      <c r="E1542" s="47" t="n">
        <v>87000</v>
      </c>
      <c r="F1542" s="47" t="n">
        <v>18408</v>
      </c>
    </row>
    <row r="1543" customFormat="false" ht="15" hidden="false" customHeight="false" outlineLevel="0" collapsed="false">
      <c r="A1543" s="0" t="s">
        <v>581</v>
      </c>
      <c r="B1543" s="0" t="n">
        <v>800</v>
      </c>
      <c r="C1543" s="0" t="str">
        <f aca="false">TEXT(VLOOKUP(B1543,$I$2:$J$20,2,FALSE()),"0")</f>
        <v>800</v>
      </c>
      <c r="D1543" s="47" t="n">
        <v>15</v>
      </c>
      <c r="E1543" s="47" t="n">
        <v>435000</v>
      </c>
      <c r="F1543" s="47" t="n">
        <v>92040</v>
      </c>
    </row>
    <row r="1544" customFormat="false" ht="15" hidden="false" customHeight="false" outlineLevel="0" collapsed="false">
      <c r="A1544" s="0" t="s">
        <v>1447</v>
      </c>
      <c r="B1544" s="0" t="n">
        <v>300</v>
      </c>
      <c r="C1544" s="0" t="str">
        <f aca="false">TEXT(VLOOKUP(B1544,$I$2:$J$20,2,FALSE()),"0")</f>
        <v>300</v>
      </c>
      <c r="D1544" s="47" t="n">
        <v>400</v>
      </c>
      <c r="E1544" s="47" t="n">
        <v>7600000</v>
      </c>
      <c r="F1544" s="47" t="n">
        <v>1784400</v>
      </c>
    </row>
    <row r="1545" customFormat="false" ht="15" hidden="false" customHeight="false" outlineLevel="0" collapsed="false">
      <c r="A1545" s="0" t="s">
        <v>1447</v>
      </c>
      <c r="B1545" s="0" t="n">
        <v>800</v>
      </c>
      <c r="C1545" s="0" t="str">
        <f aca="false">TEXT(VLOOKUP(B1545,$I$2:$J$20,2,FALSE()),"0")</f>
        <v>800</v>
      </c>
      <c r="D1545" s="47" t="n">
        <v>20</v>
      </c>
      <c r="E1545" s="47" t="n">
        <v>380000</v>
      </c>
      <c r="F1545" s="47" t="n">
        <v>89220</v>
      </c>
    </row>
    <row r="1546" customFormat="false" ht="15" hidden="false" customHeight="false" outlineLevel="0" collapsed="false">
      <c r="A1546" s="0" t="s">
        <v>1449</v>
      </c>
      <c r="B1546" s="0" t="n">
        <v>200</v>
      </c>
      <c r="C1546" s="0" t="str">
        <f aca="false">TEXT(VLOOKUP(B1546,$I$2:$J$20,2,FALSE()),"0")</f>
        <v>200</v>
      </c>
      <c r="D1546" s="47" t="n">
        <v>170</v>
      </c>
      <c r="E1546" s="47" t="n">
        <v>4930000</v>
      </c>
      <c r="F1546" s="47" t="n">
        <v>1192040</v>
      </c>
    </row>
    <row r="1547" customFormat="false" ht="15" hidden="false" customHeight="false" outlineLevel="0" collapsed="false">
      <c r="A1547" s="0" t="s">
        <v>1449</v>
      </c>
      <c r="B1547" s="0" t="n">
        <v>299</v>
      </c>
      <c r="C1547" s="0" t="str">
        <f aca="false">TEXT(VLOOKUP(B1547,$I$2:$J$20,2,FALSE()),"0")</f>
        <v>200</v>
      </c>
      <c r="D1547" s="47" t="n">
        <v>2</v>
      </c>
      <c r="E1547" s="47" t="n">
        <v>58000</v>
      </c>
      <c r="F1547" s="47" t="n">
        <v>14024</v>
      </c>
    </row>
    <row r="1548" customFormat="false" ht="15" hidden="false" customHeight="false" outlineLevel="0" collapsed="false">
      <c r="A1548" s="0" t="s">
        <v>1449</v>
      </c>
      <c r="B1548" s="0" t="n">
        <v>300</v>
      </c>
      <c r="C1548" s="0" t="str">
        <f aca="false">TEXT(VLOOKUP(B1548,$I$2:$J$20,2,FALSE()),"0")</f>
        <v>300</v>
      </c>
      <c r="D1548" s="47" t="n">
        <v>400</v>
      </c>
      <c r="E1548" s="47" t="n">
        <v>11600000</v>
      </c>
      <c r="F1548" s="47" t="n">
        <v>2804800</v>
      </c>
    </row>
    <row r="1549" customFormat="false" ht="15" hidden="false" customHeight="false" outlineLevel="0" collapsed="false">
      <c r="A1549" s="0" t="s">
        <v>1449</v>
      </c>
      <c r="B1549" s="0" t="n">
        <v>800</v>
      </c>
      <c r="C1549" s="0" t="str">
        <f aca="false">TEXT(VLOOKUP(B1549,$I$2:$J$20,2,FALSE()),"0")</f>
        <v>800</v>
      </c>
      <c r="D1549" s="47" t="n">
        <v>10</v>
      </c>
      <c r="E1549" s="47" t="n">
        <v>290000</v>
      </c>
      <c r="F1549" s="47" t="n">
        <v>70120</v>
      </c>
    </row>
    <row r="1550" customFormat="false" ht="15" hidden="false" customHeight="false" outlineLevel="0" collapsed="false">
      <c r="A1550" s="0" t="s">
        <v>583</v>
      </c>
      <c r="B1550" s="0" t="n">
        <v>300</v>
      </c>
      <c r="C1550" s="0" t="str">
        <f aca="false">TEXT(VLOOKUP(B1550,$I$2:$J$20,2,FALSE()),"0")</f>
        <v>300</v>
      </c>
      <c r="D1550" s="47" t="n">
        <v>180</v>
      </c>
      <c r="E1550" s="47" t="n">
        <v>8820000</v>
      </c>
      <c r="F1550" s="47" t="n">
        <v>2105820</v>
      </c>
    </row>
    <row r="1551" customFormat="false" ht="15" hidden="false" customHeight="false" outlineLevel="0" collapsed="false">
      <c r="A1551" s="0" t="s">
        <v>1101</v>
      </c>
      <c r="B1551" s="0" t="n">
        <v>200</v>
      </c>
      <c r="C1551" s="0" t="str">
        <f aca="false">TEXT(VLOOKUP(B1551,$I$2:$J$20,2,FALSE()),"0")</f>
        <v>200</v>
      </c>
      <c r="D1551" s="47" t="n">
        <v>240</v>
      </c>
      <c r="E1551" s="47" t="n">
        <v>23760000</v>
      </c>
      <c r="F1551" s="47" t="n">
        <v>5642640</v>
      </c>
    </row>
    <row r="1552" customFormat="false" ht="15" hidden="false" customHeight="false" outlineLevel="0" collapsed="false">
      <c r="A1552" s="0" t="s">
        <v>1101</v>
      </c>
      <c r="B1552" s="0" t="n">
        <v>299</v>
      </c>
      <c r="C1552" s="0" t="str">
        <f aca="false">TEXT(VLOOKUP(B1552,$I$2:$J$20,2,FALSE()),"0")</f>
        <v>200</v>
      </c>
      <c r="D1552" s="47" t="n">
        <v>2</v>
      </c>
      <c r="E1552" s="47" t="n">
        <v>198000</v>
      </c>
      <c r="F1552" s="47" t="n">
        <v>47022</v>
      </c>
    </row>
    <row r="1553" customFormat="false" ht="15" hidden="false" customHeight="false" outlineLevel="0" collapsed="false">
      <c r="A1553" s="0" t="s">
        <v>1101</v>
      </c>
      <c r="B1553" s="0" t="n">
        <v>600</v>
      </c>
      <c r="C1553" s="0" t="str">
        <f aca="false">TEXT(VLOOKUP(B1553,$I$2:$J$20,2,FALSE()),"0")</f>
        <v>600</v>
      </c>
      <c r="D1553" s="47" t="n">
        <v>10</v>
      </c>
      <c r="E1553" s="47" t="n">
        <v>990000</v>
      </c>
      <c r="F1553" s="47" t="n">
        <v>235110</v>
      </c>
    </row>
    <row r="1554" customFormat="false" ht="15" hidden="false" customHeight="false" outlineLevel="0" collapsed="false">
      <c r="A1554" s="0" t="s">
        <v>1101</v>
      </c>
      <c r="B1554" s="0" t="n">
        <v>800</v>
      </c>
      <c r="C1554" s="0" t="str">
        <f aca="false">TEXT(VLOOKUP(B1554,$I$2:$J$20,2,FALSE()),"0")</f>
        <v>800</v>
      </c>
      <c r="D1554" s="47" t="n">
        <v>10</v>
      </c>
      <c r="E1554" s="47" t="n">
        <v>990000</v>
      </c>
      <c r="F1554" s="47" t="n">
        <v>235110</v>
      </c>
    </row>
    <row r="1555" customFormat="false" ht="15" hidden="false" customHeight="false" outlineLevel="0" collapsed="false">
      <c r="A1555" s="0" t="s">
        <v>1101</v>
      </c>
      <c r="B1555" s="0" t="n">
        <v>810</v>
      </c>
      <c r="C1555" s="0" t="str">
        <f aca="false">TEXT(VLOOKUP(B1555,$I$2:$J$20,2,FALSE()),"0")</f>
        <v>810</v>
      </c>
      <c r="D1555" s="47" t="n">
        <v>54</v>
      </c>
      <c r="E1555" s="47" t="n">
        <v>5346000</v>
      </c>
      <c r="F1555" s="47" t="n">
        <v>1269594</v>
      </c>
    </row>
    <row r="1556" customFormat="false" ht="15" hidden="false" customHeight="false" outlineLevel="0" collapsed="false">
      <c r="A1556" s="0" t="s">
        <v>585</v>
      </c>
      <c r="B1556" s="0" t="n">
        <v>100</v>
      </c>
      <c r="C1556" s="0" t="str">
        <f aca="false">TEXT(VLOOKUP(B1556,$I$2:$J$20,2,FALSE()),"0")</f>
        <v>100</v>
      </c>
      <c r="D1556" s="47" t="n">
        <v>300</v>
      </c>
      <c r="E1556" s="47" t="n">
        <v>35700000</v>
      </c>
      <c r="F1556" s="47" t="n">
        <v>7019700</v>
      </c>
    </row>
    <row r="1557" customFormat="false" ht="15" hidden="false" customHeight="false" outlineLevel="0" collapsed="false">
      <c r="A1557" s="0" t="s">
        <v>585</v>
      </c>
      <c r="B1557" s="0" t="n">
        <v>200</v>
      </c>
      <c r="C1557" s="0" t="str">
        <f aca="false">TEXT(VLOOKUP(B1557,$I$2:$J$20,2,FALSE()),"0")</f>
        <v>200</v>
      </c>
      <c r="D1557" s="47" t="n">
        <v>580</v>
      </c>
      <c r="E1557" s="47" t="n">
        <v>69020000</v>
      </c>
      <c r="F1557" s="47" t="n">
        <v>13571420</v>
      </c>
    </row>
    <row r="1558" customFormat="false" ht="15" hidden="false" customHeight="false" outlineLevel="0" collapsed="false">
      <c r="A1558" s="0" t="s">
        <v>585</v>
      </c>
      <c r="B1558" s="0" t="n">
        <v>299</v>
      </c>
      <c r="C1558" s="0" t="str">
        <f aca="false">TEXT(VLOOKUP(B1558,$I$2:$J$20,2,FALSE()),"0")</f>
        <v>200</v>
      </c>
      <c r="D1558" s="47" t="n">
        <v>3</v>
      </c>
      <c r="E1558" s="47" t="n">
        <v>357000</v>
      </c>
      <c r="F1558" s="47" t="n">
        <v>70197</v>
      </c>
    </row>
    <row r="1559" customFormat="false" ht="15" hidden="false" customHeight="false" outlineLevel="0" collapsed="false">
      <c r="A1559" s="0" t="s">
        <v>585</v>
      </c>
      <c r="B1559" s="0" t="n">
        <v>300</v>
      </c>
      <c r="C1559" s="0" t="str">
        <f aca="false">TEXT(VLOOKUP(B1559,$I$2:$J$20,2,FALSE()),"0")</f>
        <v>300</v>
      </c>
      <c r="D1559" s="47" t="n">
        <v>200</v>
      </c>
      <c r="E1559" s="47" t="n">
        <v>23800000</v>
      </c>
      <c r="F1559" s="47" t="n">
        <v>4679800</v>
      </c>
    </row>
    <row r="1560" customFormat="false" ht="15" hidden="false" customHeight="false" outlineLevel="0" collapsed="false">
      <c r="A1560" s="0" t="s">
        <v>585</v>
      </c>
      <c r="B1560" s="0" t="n">
        <v>800</v>
      </c>
      <c r="C1560" s="0" t="str">
        <f aca="false">TEXT(VLOOKUP(B1560,$I$2:$J$20,2,FALSE()),"0")</f>
        <v>800</v>
      </c>
      <c r="D1560" s="47" t="n">
        <v>30</v>
      </c>
      <c r="E1560" s="47" t="n">
        <v>3570000</v>
      </c>
      <c r="F1560" s="47" t="n">
        <v>701970</v>
      </c>
    </row>
    <row r="1561" customFormat="false" ht="15" hidden="false" customHeight="false" outlineLevel="0" collapsed="false">
      <c r="A1561" s="0" t="s">
        <v>950</v>
      </c>
      <c r="B1561" s="0" t="n">
        <v>100</v>
      </c>
      <c r="C1561" s="0" t="str">
        <f aca="false">TEXT(VLOOKUP(B1561,$I$2:$J$20,2,FALSE()),"0")</f>
        <v>100</v>
      </c>
      <c r="D1561" s="47" t="n">
        <v>210</v>
      </c>
      <c r="E1561" s="47" t="n">
        <v>24990000</v>
      </c>
      <c r="F1561" s="47" t="n">
        <v>6060180</v>
      </c>
    </row>
    <row r="1562" customFormat="false" ht="15" hidden="false" customHeight="false" outlineLevel="0" collapsed="false">
      <c r="A1562" s="0" t="s">
        <v>950</v>
      </c>
      <c r="B1562" s="0" t="n">
        <v>200</v>
      </c>
      <c r="C1562" s="0" t="str">
        <f aca="false">TEXT(VLOOKUP(B1562,$I$2:$J$20,2,FALSE()),"0")</f>
        <v>200</v>
      </c>
      <c r="D1562" s="47" t="n">
        <v>535</v>
      </c>
      <c r="E1562" s="47" t="n">
        <v>63665000</v>
      </c>
      <c r="F1562" s="47" t="n">
        <v>15439030</v>
      </c>
    </row>
    <row r="1563" customFormat="false" ht="15" hidden="false" customHeight="false" outlineLevel="0" collapsed="false">
      <c r="A1563" s="0" t="s">
        <v>950</v>
      </c>
      <c r="B1563" s="0" t="n">
        <v>299</v>
      </c>
      <c r="C1563" s="0" t="str">
        <f aca="false">TEXT(VLOOKUP(B1563,$I$2:$J$20,2,FALSE()),"0")</f>
        <v>200</v>
      </c>
      <c r="D1563" s="47" t="n">
        <v>3</v>
      </c>
      <c r="E1563" s="47" t="n">
        <v>357000</v>
      </c>
      <c r="F1563" s="47" t="n">
        <v>86574</v>
      </c>
    </row>
    <row r="1564" customFormat="false" ht="15" hidden="false" customHeight="false" outlineLevel="0" collapsed="false">
      <c r="A1564" s="0" t="s">
        <v>950</v>
      </c>
      <c r="B1564" s="0" t="n">
        <v>500</v>
      </c>
      <c r="C1564" s="0" t="str">
        <f aca="false">TEXT(VLOOKUP(B1564,$I$2:$J$20,2,FALSE()),"0")</f>
        <v>500</v>
      </c>
      <c r="D1564" s="47" t="n">
        <v>15</v>
      </c>
      <c r="E1564" s="47" t="n">
        <v>1785000</v>
      </c>
      <c r="F1564" s="47" t="n">
        <v>432870</v>
      </c>
    </row>
    <row r="1565" customFormat="false" ht="15" hidden="false" customHeight="false" outlineLevel="0" collapsed="false">
      <c r="A1565" s="0" t="s">
        <v>950</v>
      </c>
      <c r="B1565" s="0" t="n">
        <v>700</v>
      </c>
      <c r="C1565" s="0" t="str">
        <f aca="false">TEXT(VLOOKUP(B1565,$I$2:$J$20,2,FALSE()),"0")</f>
        <v>700</v>
      </c>
      <c r="D1565" s="47" t="n">
        <v>40</v>
      </c>
      <c r="E1565" s="47" t="n">
        <v>4760000</v>
      </c>
      <c r="F1565" s="47" t="n">
        <v>1154320</v>
      </c>
    </row>
    <row r="1566" customFormat="false" ht="15" hidden="false" customHeight="false" outlineLevel="0" collapsed="false">
      <c r="A1566" s="0" t="s">
        <v>950</v>
      </c>
      <c r="B1566" s="0" t="n">
        <v>799</v>
      </c>
      <c r="C1566" s="0" t="str">
        <f aca="false">TEXT(VLOOKUP(B1566,$I$2:$J$20,2,FALSE()),"0")</f>
        <v>700</v>
      </c>
      <c r="D1566" s="47" t="n">
        <v>1</v>
      </c>
      <c r="E1566" s="47" t="n">
        <v>119000</v>
      </c>
      <c r="F1566" s="47" t="n">
        <v>28858</v>
      </c>
    </row>
    <row r="1567" customFormat="false" ht="15" hidden="false" customHeight="false" outlineLevel="0" collapsed="false">
      <c r="A1567" s="0" t="s">
        <v>950</v>
      </c>
      <c r="B1567" s="0" t="n">
        <v>800</v>
      </c>
      <c r="C1567" s="0" t="str">
        <f aca="false">TEXT(VLOOKUP(B1567,$I$2:$J$20,2,FALSE()),"0")</f>
        <v>800</v>
      </c>
      <c r="D1567" s="47" t="n">
        <v>10</v>
      </c>
      <c r="E1567" s="47" t="n">
        <v>1190000</v>
      </c>
      <c r="F1567" s="47" t="n">
        <v>288580</v>
      </c>
    </row>
    <row r="1568" customFormat="false" ht="15" hidden="false" customHeight="false" outlineLevel="0" collapsed="false">
      <c r="A1568" s="0" t="s">
        <v>1352</v>
      </c>
      <c r="B1568" s="0" t="n">
        <v>600</v>
      </c>
      <c r="C1568" s="0" t="str">
        <f aca="false">TEXT(VLOOKUP(B1568,$I$2:$J$20,2,FALSE()),"0")</f>
        <v>600</v>
      </c>
      <c r="D1568" s="47" t="n">
        <v>5</v>
      </c>
      <c r="E1568" s="47" t="n">
        <v>1745000</v>
      </c>
      <c r="F1568" s="47" t="n">
        <v>382325</v>
      </c>
    </row>
    <row r="1569" customFormat="false" ht="15" hidden="false" customHeight="false" outlineLevel="0" collapsed="false">
      <c r="A1569" s="0" t="s">
        <v>1352</v>
      </c>
      <c r="B1569" s="0" t="n">
        <v>700</v>
      </c>
      <c r="C1569" s="0" t="str">
        <f aca="false">TEXT(VLOOKUP(B1569,$I$2:$J$20,2,FALSE()),"0")</f>
        <v>700</v>
      </c>
      <c r="D1569" s="47" t="n">
        <v>100</v>
      </c>
      <c r="E1569" s="47" t="n">
        <v>34900000</v>
      </c>
      <c r="F1569" s="47" t="n">
        <v>7646500</v>
      </c>
    </row>
    <row r="1570" customFormat="false" ht="15" hidden="false" customHeight="false" outlineLevel="0" collapsed="false">
      <c r="A1570" s="0" t="s">
        <v>1352</v>
      </c>
      <c r="B1570" s="0" t="n">
        <v>799</v>
      </c>
      <c r="C1570" s="0" t="str">
        <f aca="false">TEXT(VLOOKUP(B1570,$I$2:$J$20,2,FALSE()),"0")</f>
        <v>700</v>
      </c>
      <c r="D1570" s="47" t="n">
        <v>2</v>
      </c>
      <c r="E1570" s="47" t="n">
        <v>698000</v>
      </c>
      <c r="F1570" s="47" t="n">
        <v>152930</v>
      </c>
    </row>
    <row r="1571" customFormat="false" ht="15" hidden="false" customHeight="false" outlineLevel="0" collapsed="false">
      <c r="A1571" s="0" t="s">
        <v>1352</v>
      </c>
      <c r="B1571" s="0" t="n">
        <v>800</v>
      </c>
      <c r="C1571" s="0" t="str">
        <f aca="false">TEXT(VLOOKUP(B1571,$I$2:$J$20,2,FALSE()),"0")</f>
        <v>800</v>
      </c>
      <c r="D1571" s="47" t="n">
        <v>10</v>
      </c>
      <c r="E1571" s="47" t="n">
        <v>3490000</v>
      </c>
      <c r="F1571" s="47" t="n">
        <v>764650</v>
      </c>
    </row>
    <row r="1572" customFormat="false" ht="15" hidden="false" customHeight="false" outlineLevel="0" collapsed="false">
      <c r="A1572" s="0" t="s">
        <v>952</v>
      </c>
      <c r="B1572" s="0" t="n">
        <v>100</v>
      </c>
      <c r="C1572" s="0" t="str">
        <f aca="false">TEXT(VLOOKUP(B1572,$I$2:$J$20,2,FALSE()),"0")</f>
        <v>100</v>
      </c>
      <c r="D1572" s="47" t="n">
        <v>60</v>
      </c>
      <c r="E1572" s="47" t="n">
        <v>4140000</v>
      </c>
      <c r="F1572" s="47" t="n">
        <v>984720</v>
      </c>
    </row>
    <row r="1573" customFormat="false" ht="15" hidden="false" customHeight="false" outlineLevel="0" collapsed="false">
      <c r="A1573" s="0" t="s">
        <v>952</v>
      </c>
      <c r="B1573" s="0" t="n">
        <v>700</v>
      </c>
      <c r="C1573" s="0" t="str">
        <f aca="false">TEXT(VLOOKUP(B1573,$I$2:$J$20,2,FALSE()),"0")</f>
        <v>700</v>
      </c>
      <c r="D1573" s="47" t="n">
        <v>125</v>
      </c>
      <c r="E1573" s="47" t="n">
        <v>8625000</v>
      </c>
      <c r="F1573" s="47" t="n">
        <v>2051500</v>
      </c>
    </row>
    <row r="1574" customFormat="false" ht="15" hidden="false" customHeight="false" outlineLevel="0" collapsed="false">
      <c r="A1574" s="0" t="s">
        <v>954</v>
      </c>
      <c r="B1574" s="0" t="n">
        <v>100</v>
      </c>
      <c r="C1574" s="0" t="str">
        <f aca="false">TEXT(VLOOKUP(B1574,$I$2:$J$20,2,FALSE()),"0")</f>
        <v>100</v>
      </c>
      <c r="D1574" s="47" t="n">
        <v>60</v>
      </c>
      <c r="E1574" s="47" t="n">
        <v>10740000</v>
      </c>
      <c r="F1574" s="47" t="n">
        <v>2704920</v>
      </c>
    </row>
    <row r="1575" customFormat="false" ht="15" hidden="false" customHeight="false" outlineLevel="0" collapsed="false">
      <c r="A1575" s="0" t="s">
        <v>954</v>
      </c>
      <c r="B1575" s="0" t="n">
        <v>200</v>
      </c>
      <c r="C1575" s="0" t="str">
        <f aca="false">TEXT(VLOOKUP(B1575,$I$2:$J$20,2,FALSE()),"0")</f>
        <v>200</v>
      </c>
      <c r="D1575" s="47" t="n">
        <v>240</v>
      </c>
      <c r="E1575" s="47" t="n">
        <v>42960000</v>
      </c>
      <c r="F1575" s="47" t="n">
        <v>10819680</v>
      </c>
    </row>
    <row r="1576" customFormat="false" ht="15" hidden="false" customHeight="false" outlineLevel="0" collapsed="false">
      <c r="A1576" s="0" t="s">
        <v>954</v>
      </c>
      <c r="B1576" s="0" t="n">
        <v>299</v>
      </c>
      <c r="C1576" s="0" t="str">
        <f aca="false">TEXT(VLOOKUP(B1576,$I$2:$J$20,2,FALSE()),"0")</f>
        <v>200</v>
      </c>
      <c r="D1576" s="47" t="n">
        <v>2</v>
      </c>
      <c r="E1576" s="47" t="n">
        <v>358000</v>
      </c>
      <c r="F1576" s="47" t="n">
        <v>90164</v>
      </c>
    </row>
    <row r="1577" customFormat="false" ht="15" hidden="false" customHeight="false" outlineLevel="0" collapsed="false">
      <c r="A1577" s="0" t="s">
        <v>954</v>
      </c>
      <c r="B1577" s="0" t="n">
        <v>700</v>
      </c>
      <c r="C1577" s="0" t="str">
        <f aca="false">TEXT(VLOOKUP(B1577,$I$2:$J$20,2,FALSE()),"0")</f>
        <v>700</v>
      </c>
      <c r="D1577" s="47" t="n">
        <v>80</v>
      </c>
      <c r="E1577" s="47" t="n">
        <v>14320000</v>
      </c>
      <c r="F1577" s="47" t="n">
        <v>3606560</v>
      </c>
    </row>
    <row r="1578" customFormat="false" ht="15" hidden="false" customHeight="false" outlineLevel="0" collapsed="false">
      <c r="A1578" s="0" t="s">
        <v>1451</v>
      </c>
      <c r="B1578" s="0" t="n">
        <v>200</v>
      </c>
      <c r="C1578" s="0" t="str">
        <f aca="false">TEXT(VLOOKUP(B1578,$I$2:$J$20,2,FALSE()),"0")</f>
        <v>200</v>
      </c>
      <c r="D1578" s="47" t="n">
        <v>80</v>
      </c>
      <c r="E1578" s="47" t="n">
        <v>15920000</v>
      </c>
      <c r="F1578" s="47" t="n">
        <v>3776160</v>
      </c>
    </row>
    <row r="1579" customFormat="false" ht="15" hidden="false" customHeight="false" outlineLevel="0" collapsed="false">
      <c r="A1579" s="0" t="s">
        <v>1451</v>
      </c>
      <c r="B1579" s="0" t="n">
        <v>299</v>
      </c>
      <c r="C1579" s="0" t="str">
        <f aca="false">TEXT(VLOOKUP(B1579,$I$2:$J$20,2,FALSE()),"0")</f>
        <v>200</v>
      </c>
      <c r="D1579" s="47" t="n">
        <v>1</v>
      </c>
      <c r="E1579" s="47" t="n">
        <v>199000</v>
      </c>
      <c r="F1579" s="47" t="n">
        <v>47202</v>
      </c>
    </row>
    <row r="1580" customFormat="false" ht="15" hidden="false" customHeight="false" outlineLevel="0" collapsed="false">
      <c r="A1580" s="0" t="s">
        <v>1451</v>
      </c>
      <c r="B1580" s="0" t="n">
        <v>800</v>
      </c>
      <c r="C1580" s="0" t="str">
        <f aca="false">TEXT(VLOOKUP(B1580,$I$2:$J$20,2,FALSE()),"0")</f>
        <v>800</v>
      </c>
      <c r="D1580" s="47" t="n">
        <v>5</v>
      </c>
      <c r="E1580" s="47" t="n">
        <v>995000</v>
      </c>
      <c r="F1580" s="47" t="n">
        <v>236010</v>
      </c>
    </row>
    <row r="1581" customFormat="false" ht="15" hidden="false" customHeight="false" outlineLevel="0" collapsed="false">
      <c r="A1581" s="0" t="s">
        <v>1415</v>
      </c>
      <c r="B1581" s="0" t="n">
        <v>700</v>
      </c>
      <c r="C1581" s="0" t="str">
        <f aca="false">TEXT(VLOOKUP(B1581,$I$2:$J$20,2,FALSE()),"0")</f>
        <v>700</v>
      </c>
      <c r="D1581" s="47" t="n">
        <v>60</v>
      </c>
      <c r="E1581" s="47" t="n">
        <v>11340000</v>
      </c>
      <c r="F1581" s="47" t="n">
        <v>2616180</v>
      </c>
    </row>
    <row r="1582" customFormat="false" ht="15" hidden="false" customHeight="false" outlineLevel="0" collapsed="false">
      <c r="A1582" s="0" t="s">
        <v>1415</v>
      </c>
      <c r="B1582" s="0" t="n">
        <v>799</v>
      </c>
      <c r="C1582" s="0" t="str">
        <f aca="false">TEXT(VLOOKUP(B1582,$I$2:$J$20,2,FALSE()),"0")</f>
        <v>700</v>
      </c>
      <c r="D1582" s="47" t="n">
        <v>1</v>
      </c>
      <c r="E1582" s="47" t="n">
        <v>189000</v>
      </c>
      <c r="F1582" s="47" t="n">
        <v>43603</v>
      </c>
    </row>
    <row r="1583" customFormat="false" ht="15" hidden="false" customHeight="false" outlineLevel="0" collapsed="false">
      <c r="A1583" s="0" t="s">
        <v>1415</v>
      </c>
      <c r="B1583" s="0" t="n">
        <v>800</v>
      </c>
      <c r="C1583" s="0" t="str">
        <f aca="false">TEXT(VLOOKUP(B1583,$I$2:$J$20,2,FALSE()),"0")</f>
        <v>800</v>
      </c>
      <c r="D1583" s="47" t="n">
        <v>5</v>
      </c>
      <c r="E1583" s="47" t="n">
        <v>945000</v>
      </c>
      <c r="F1583" s="47" t="n">
        <v>218015</v>
      </c>
    </row>
    <row r="1584" customFormat="false" ht="15" hidden="false" customHeight="false" outlineLevel="0" collapsed="false">
      <c r="A1584" s="0" t="s">
        <v>587</v>
      </c>
      <c r="B1584" s="0" t="n">
        <v>200</v>
      </c>
      <c r="C1584" s="0" t="str">
        <f aca="false">TEXT(VLOOKUP(B1584,$I$2:$J$20,2,FALSE()),"0")</f>
        <v>200</v>
      </c>
      <c r="D1584" s="47" t="n">
        <v>60</v>
      </c>
      <c r="E1584" s="47" t="n">
        <v>11940000</v>
      </c>
      <c r="F1584" s="47" t="n">
        <v>2860680</v>
      </c>
    </row>
    <row r="1585" customFormat="false" ht="15" hidden="false" customHeight="false" outlineLevel="0" collapsed="false">
      <c r="A1585" s="0" t="s">
        <v>587</v>
      </c>
      <c r="B1585" s="0" t="n">
        <v>299</v>
      </c>
      <c r="C1585" s="0" t="str">
        <f aca="false">TEXT(VLOOKUP(B1585,$I$2:$J$20,2,FALSE()),"0")</f>
        <v>200</v>
      </c>
      <c r="D1585" s="47" t="n">
        <v>1</v>
      </c>
      <c r="E1585" s="47" t="n">
        <v>199000</v>
      </c>
      <c r="F1585" s="47" t="n">
        <v>47678</v>
      </c>
    </row>
    <row r="1586" customFormat="false" ht="15" hidden="false" customHeight="false" outlineLevel="0" collapsed="false">
      <c r="A1586" s="0" t="s">
        <v>587</v>
      </c>
      <c r="B1586" s="0" t="n">
        <v>300</v>
      </c>
      <c r="C1586" s="0" t="str">
        <f aca="false">TEXT(VLOOKUP(B1586,$I$2:$J$20,2,FALSE()),"0")</f>
        <v>300</v>
      </c>
      <c r="D1586" s="47" t="n">
        <v>80</v>
      </c>
      <c r="E1586" s="47" t="n">
        <v>15920000</v>
      </c>
      <c r="F1586" s="47" t="n">
        <v>3814240</v>
      </c>
    </row>
    <row r="1587" customFormat="false" ht="15" hidden="false" customHeight="false" outlineLevel="0" collapsed="false">
      <c r="A1587" s="0" t="s">
        <v>587</v>
      </c>
      <c r="B1587" s="0" t="n">
        <v>500</v>
      </c>
      <c r="C1587" s="0" t="str">
        <f aca="false">TEXT(VLOOKUP(B1587,$I$2:$J$20,2,FALSE()),"0")</f>
        <v>500</v>
      </c>
      <c r="D1587" s="47" t="n">
        <v>15</v>
      </c>
      <c r="E1587" s="47" t="n">
        <v>2985000</v>
      </c>
      <c r="F1587" s="47" t="n">
        <v>715170</v>
      </c>
    </row>
    <row r="1588" customFormat="false" ht="15" hidden="false" customHeight="false" outlineLevel="0" collapsed="false">
      <c r="A1588" s="0" t="s">
        <v>587</v>
      </c>
      <c r="B1588" s="0" t="n">
        <v>600</v>
      </c>
      <c r="C1588" s="0" t="str">
        <f aca="false">TEXT(VLOOKUP(B1588,$I$2:$J$20,2,FALSE()),"0")</f>
        <v>600</v>
      </c>
      <c r="D1588" s="47" t="n">
        <v>10</v>
      </c>
      <c r="E1588" s="47" t="n">
        <v>1990000</v>
      </c>
      <c r="F1588" s="47" t="n">
        <v>476780</v>
      </c>
    </row>
    <row r="1589" customFormat="false" ht="15" hidden="false" customHeight="false" outlineLevel="0" collapsed="false">
      <c r="A1589" s="0" t="s">
        <v>587</v>
      </c>
      <c r="B1589" s="0" t="n">
        <v>700</v>
      </c>
      <c r="C1589" s="0" t="str">
        <f aca="false">TEXT(VLOOKUP(B1589,$I$2:$J$20,2,FALSE()),"0")</f>
        <v>700</v>
      </c>
      <c r="D1589" s="47" t="n">
        <v>60</v>
      </c>
      <c r="E1589" s="47" t="n">
        <v>11940000</v>
      </c>
      <c r="F1589" s="47" t="n">
        <v>2860680</v>
      </c>
    </row>
    <row r="1590" customFormat="false" ht="15" hidden="false" customHeight="false" outlineLevel="0" collapsed="false">
      <c r="A1590" s="0" t="s">
        <v>587</v>
      </c>
      <c r="B1590" s="0" t="n">
        <v>799</v>
      </c>
      <c r="C1590" s="0" t="str">
        <f aca="false">TEXT(VLOOKUP(B1590,$I$2:$J$20,2,FALSE()),"0")</f>
        <v>700</v>
      </c>
      <c r="D1590" s="47" t="n">
        <v>1</v>
      </c>
      <c r="E1590" s="47" t="n">
        <v>199000</v>
      </c>
      <c r="F1590" s="47" t="n">
        <v>47678</v>
      </c>
    </row>
    <row r="1591" customFormat="false" ht="15" hidden="false" customHeight="false" outlineLevel="0" collapsed="false">
      <c r="A1591" s="0" t="s">
        <v>587</v>
      </c>
      <c r="B1591" s="0" t="n">
        <v>800</v>
      </c>
      <c r="C1591" s="0" t="str">
        <f aca="false">TEXT(VLOOKUP(B1591,$I$2:$J$20,2,FALSE()),"0")</f>
        <v>800</v>
      </c>
      <c r="D1591" s="47" t="n">
        <v>5</v>
      </c>
      <c r="E1591" s="47" t="n">
        <v>995000</v>
      </c>
      <c r="F1591" s="47" t="n">
        <v>238390</v>
      </c>
    </row>
    <row r="1592" customFormat="false" ht="15" hidden="false" customHeight="false" outlineLevel="0" collapsed="false">
      <c r="A1592" s="0" t="s">
        <v>1354</v>
      </c>
      <c r="B1592" s="0" t="n">
        <v>600</v>
      </c>
      <c r="C1592" s="0" t="str">
        <f aca="false">TEXT(VLOOKUP(B1592,$I$2:$J$20,2,FALSE()),"0")</f>
        <v>600</v>
      </c>
      <c r="D1592" s="47" t="n">
        <v>10</v>
      </c>
      <c r="E1592" s="47" t="n">
        <v>1490000</v>
      </c>
      <c r="F1592" s="47" t="n">
        <v>337000</v>
      </c>
    </row>
    <row r="1593" customFormat="false" ht="15" hidden="false" customHeight="false" outlineLevel="0" collapsed="false">
      <c r="A1593" s="0" t="s">
        <v>589</v>
      </c>
      <c r="B1593" s="0" t="n">
        <v>100</v>
      </c>
      <c r="C1593" s="0" t="str">
        <f aca="false">TEXT(VLOOKUP(B1593,$I$2:$J$20,2,FALSE()),"0")</f>
        <v>100</v>
      </c>
      <c r="D1593" s="47" t="n">
        <v>210</v>
      </c>
      <c r="E1593" s="47" t="n">
        <v>31290000</v>
      </c>
      <c r="F1593" s="47" t="n">
        <v>7845180</v>
      </c>
    </row>
    <row r="1594" customFormat="false" ht="15" hidden="false" customHeight="false" outlineLevel="0" collapsed="false">
      <c r="A1594" s="0" t="s">
        <v>589</v>
      </c>
      <c r="B1594" s="0" t="n">
        <v>200</v>
      </c>
      <c r="C1594" s="0" t="str">
        <f aca="false">TEXT(VLOOKUP(B1594,$I$2:$J$20,2,FALSE()),"0")</f>
        <v>200</v>
      </c>
      <c r="D1594" s="47" t="n">
        <v>190</v>
      </c>
      <c r="E1594" s="47" t="n">
        <v>28310000</v>
      </c>
      <c r="F1594" s="47" t="n">
        <v>7098020</v>
      </c>
    </row>
    <row r="1595" customFormat="false" ht="15" hidden="false" customHeight="false" outlineLevel="0" collapsed="false">
      <c r="A1595" s="0" t="s">
        <v>589</v>
      </c>
      <c r="B1595" s="0" t="n">
        <v>299</v>
      </c>
      <c r="C1595" s="0" t="str">
        <f aca="false">TEXT(VLOOKUP(B1595,$I$2:$J$20,2,FALSE()),"0")</f>
        <v>200</v>
      </c>
      <c r="D1595" s="47" t="n">
        <v>2</v>
      </c>
      <c r="E1595" s="47" t="n">
        <v>298000</v>
      </c>
      <c r="F1595" s="47" t="n">
        <v>74716</v>
      </c>
    </row>
    <row r="1596" customFormat="false" ht="15" hidden="false" customHeight="false" outlineLevel="0" collapsed="false">
      <c r="A1596" s="0" t="s">
        <v>589</v>
      </c>
      <c r="B1596" s="0" t="n">
        <v>300</v>
      </c>
      <c r="C1596" s="0" t="str">
        <f aca="false">TEXT(VLOOKUP(B1596,$I$2:$J$20,2,FALSE()),"0")</f>
        <v>300</v>
      </c>
      <c r="D1596" s="47" t="n">
        <v>230</v>
      </c>
      <c r="E1596" s="47" t="n">
        <v>34270000</v>
      </c>
      <c r="F1596" s="47" t="n">
        <v>8592340</v>
      </c>
    </row>
    <row r="1597" customFormat="false" ht="15" hidden="false" customHeight="false" outlineLevel="0" collapsed="false">
      <c r="A1597" s="0" t="s">
        <v>589</v>
      </c>
      <c r="B1597" s="0" t="n">
        <v>500</v>
      </c>
      <c r="C1597" s="0" t="str">
        <f aca="false">TEXT(VLOOKUP(B1597,$I$2:$J$20,2,FALSE()),"0")</f>
        <v>500</v>
      </c>
      <c r="D1597" s="47" t="n">
        <v>15</v>
      </c>
      <c r="E1597" s="47" t="n">
        <v>2235000</v>
      </c>
      <c r="F1597" s="47" t="n">
        <v>560370</v>
      </c>
    </row>
    <row r="1598" customFormat="false" ht="15" hidden="false" customHeight="false" outlineLevel="0" collapsed="false">
      <c r="A1598" s="0" t="s">
        <v>589</v>
      </c>
      <c r="B1598" s="0" t="n">
        <v>700</v>
      </c>
      <c r="C1598" s="0" t="str">
        <f aca="false">TEXT(VLOOKUP(B1598,$I$2:$J$20,2,FALSE()),"0")</f>
        <v>700</v>
      </c>
      <c r="D1598" s="47" t="n">
        <v>100</v>
      </c>
      <c r="E1598" s="47" t="n">
        <v>14900000</v>
      </c>
      <c r="F1598" s="47" t="n">
        <v>3735800</v>
      </c>
    </row>
    <row r="1599" customFormat="false" ht="15" hidden="false" customHeight="false" outlineLevel="0" collapsed="false">
      <c r="A1599" s="0" t="s">
        <v>589</v>
      </c>
      <c r="B1599" s="0" t="n">
        <v>799</v>
      </c>
      <c r="C1599" s="0" t="str">
        <f aca="false">TEXT(VLOOKUP(B1599,$I$2:$J$20,2,FALSE()),"0")</f>
        <v>700</v>
      </c>
      <c r="D1599" s="47" t="n">
        <v>2</v>
      </c>
      <c r="E1599" s="47" t="n">
        <v>298000</v>
      </c>
      <c r="F1599" s="47" t="n">
        <v>74716</v>
      </c>
    </row>
    <row r="1600" customFormat="false" ht="15" hidden="false" customHeight="false" outlineLevel="0" collapsed="false">
      <c r="A1600" s="0" t="s">
        <v>591</v>
      </c>
      <c r="B1600" s="0" t="n">
        <v>100</v>
      </c>
      <c r="C1600" s="0" t="str">
        <f aca="false">TEXT(VLOOKUP(B1600,$I$2:$J$20,2,FALSE()),"0")</f>
        <v>100</v>
      </c>
      <c r="D1600" s="47" t="n">
        <v>200</v>
      </c>
      <c r="E1600" s="47" t="n">
        <v>25800000</v>
      </c>
      <c r="F1600" s="47" t="n">
        <v>6047200</v>
      </c>
    </row>
    <row r="1601" customFormat="false" ht="15" hidden="false" customHeight="false" outlineLevel="0" collapsed="false">
      <c r="A1601" s="0" t="s">
        <v>591</v>
      </c>
      <c r="B1601" s="0" t="n">
        <v>300</v>
      </c>
      <c r="C1601" s="0" t="str">
        <f aca="false">TEXT(VLOOKUP(B1601,$I$2:$J$20,2,FALSE()),"0")</f>
        <v>300</v>
      </c>
      <c r="D1601" s="47" t="n">
        <v>30</v>
      </c>
      <c r="E1601" s="47" t="n">
        <v>3870000</v>
      </c>
      <c r="F1601" s="47" t="n">
        <v>907080</v>
      </c>
    </row>
    <row r="1602" customFormat="false" ht="15" hidden="false" customHeight="false" outlineLevel="0" collapsed="false">
      <c r="A1602" s="0" t="s">
        <v>591</v>
      </c>
      <c r="B1602" s="0" t="n">
        <v>700</v>
      </c>
      <c r="C1602" s="0" t="str">
        <f aca="false">TEXT(VLOOKUP(B1602,$I$2:$J$20,2,FALSE()),"0")</f>
        <v>700</v>
      </c>
      <c r="D1602" s="47" t="n">
        <v>90</v>
      </c>
      <c r="E1602" s="47" t="n">
        <v>11610000</v>
      </c>
      <c r="F1602" s="47" t="n">
        <v>2721240</v>
      </c>
    </row>
    <row r="1603" customFormat="false" ht="15" hidden="false" customHeight="false" outlineLevel="0" collapsed="false">
      <c r="A1603" s="0" t="s">
        <v>591</v>
      </c>
      <c r="B1603" s="0" t="n">
        <v>799</v>
      </c>
      <c r="C1603" s="0" t="str">
        <f aca="false">TEXT(VLOOKUP(B1603,$I$2:$J$20,2,FALSE()),"0")</f>
        <v>700</v>
      </c>
      <c r="D1603" s="47" t="n">
        <v>2</v>
      </c>
      <c r="E1603" s="47" t="n">
        <v>258000</v>
      </c>
      <c r="F1603" s="47" t="n">
        <v>60472</v>
      </c>
    </row>
    <row r="1604" customFormat="false" ht="15" hidden="false" customHeight="false" outlineLevel="0" collapsed="false">
      <c r="A1604" s="0" t="s">
        <v>591</v>
      </c>
      <c r="B1604" s="0" t="n">
        <v>800</v>
      </c>
      <c r="C1604" s="0" t="str">
        <f aca="false">TEXT(VLOOKUP(B1604,$I$2:$J$20,2,FALSE()),"0")</f>
        <v>800</v>
      </c>
      <c r="D1604" s="47" t="n">
        <v>90</v>
      </c>
      <c r="E1604" s="47" t="n">
        <v>11610000</v>
      </c>
      <c r="F1604" s="47" t="n">
        <v>2721240</v>
      </c>
    </row>
    <row r="1605" customFormat="false" ht="15" hidden="false" customHeight="false" outlineLevel="0" collapsed="false">
      <c r="A1605" s="0" t="s">
        <v>591</v>
      </c>
      <c r="B1605" s="0" t="n">
        <v>810</v>
      </c>
      <c r="C1605" s="0" t="str">
        <f aca="false">TEXT(VLOOKUP(B1605,$I$2:$J$20,2,FALSE()),"0")</f>
        <v>810</v>
      </c>
      <c r="D1605" s="47" t="n">
        <v>48</v>
      </c>
      <c r="E1605" s="47" t="n">
        <v>6192000</v>
      </c>
      <c r="F1605" s="47" t="n">
        <v>1451328</v>
      </c>
    </row>
    <row r="1606" customFormat="false" ht="15" hidden="false" customHeight="false" outlineLevel="0" collapsed="false">
      <c r="A1606" s="0" t="s">
        <v>1105</v>
      </c>
      <c r="B1606" s="0" t="n">
        <v>200</v>
      </c>
      <c r="C1606" s="0" t="str">
        <f aca="false">TEXT(VLOOKUP(B1606,$I$2:$J$20,2,FALSE()),"0")</f>
        <v>200</v>
      </c>
      <c r="D1606" s="47" t="n">
        <v>110</v>
      </c>
      <c r="E1606" s="47" t="n">
        <v>11990000</v>
      </c>
      <c r="F1606" s="47" t="n">
        <v>2966810</v>
      </c>
    </row>
    <row r="1607" customFormat="false" ht="15" hidden="false" customHeight="false" outlineLevel="0" collapsed="false">
      <c r="A1607" s="0" t="s">
        <v>1105</v>
      </c>
      <c r="B1607" s="0" t="n">
        <v>299</v>
      </c>
      <c r="C1607" s="0" t="str">
        <f aca="false">TEXT(VLOOKUP(B1607,$I$2:$J$20,2,FALSE()),"0")</f>
        <v>200</v>
      </c>
      <c r="D1607" s="47" t="n">
        <v>2</v>
      </c>
      <c r="E1607" s="47" t="n">
        <v>218000</v>
      </c>
      <c r="F1607" s="47" t="n">
        <v>53942</v>
      </c>
    </row>
    <row r="1608" customFormat="false" ht="15" hidden="false" customHeight="false" outlineLevel="0" collapsed="false">
      <c r="A1608" s="0" t="s">
        <v>1105</v>
      </c>
      <c r="B1608" s="0" t="n">
        <v>600</v>
      </c>
      <c r="C1608" s="0" t="str">
        <f aca="false">TEXT(VLOOKUP(B1608,$I$2:$J$20,2,FALSE()),"0")</f>
        <v>600</v>
      </c>
      <c r="D1608" s="47" t="n">
        <v>35</v>
      </c>
      <c r="E1608" s="47" t="n">
        <v>3815000</v>
      </c>
      <c r="F1608" s="47" t="n">
        <v>943985</v>
      </c>
    </row>
    <row r="1609" customFormat="false" ht="15" hidden="false" customHeight="false" outlineLevel="0" collapsed="false">
      <c r="A1609" s="0" t="s">
        <v>1105</v>
      </c>
      <c r="B1609" s="0" t="n">
        <v>800</v>
      </c>
      <c r="C1609" s="0" t="str">
        <f aca="false">TEXT(VLOOKUP(B1609,$I$2:$J$20,2,FALSE()),"0")</f>
        <v>800</v>
      </c>
      <c r="D1609" s="47" t="n">
        <v>65</v>
      </c>
      <c r="E1609" s="47" t="n">
        <v>7085000</v>
      </c>
      <c r="F1609" s="47" t="n">
        <v>1753115</v>
      </c>
    </row>
    <row r="1610" customFormat="false" ht="15" hidden="false" customHeight="false" outlineLevel="0" collapsed="false">
      <c r="A1610" s="0" t="s">
        <v>593</v>
      </c>
      <c r="B1610" s="0" t="n">
        <v>300</v>
      </c>
      <c r="C1610" s="0" t="str">
        <f aca="false">TEXT(VLOOKUP(B1610,$I$2:$J$20,2,FALSE()),"0")</f>
        <v>300</v>
      </c>
      <c r="D1610" s="47" t="n">
        <v>250</v>
      </c>
      <c r="E1610" s="47" t="n">
        <v>29750000</v>
      </c>
      <c r="F1610" s="47" t="n">
        <v>7128500</v>
      </c>
    </row>
    <row r="1611" customFormat="false" ht="15" hidden="false" customHeight="false" outlineLevel="0" collapsed="false">
      <c r="A1611" s="0" t="s">
        <v>593</v>
      </c>
      <c r="B1611" s="0" t="n">
        <v>600</v>
      </c>
      <c r="C1611" s="0" t="str">
        <f aca="false">TEXT(VLOOKUP(B1611,$I$2:$J$20,2,FALSE()),"0")</f>
        <v>600</v>
      </c>
      <c r="D1611" s="47" t="n">
        <v>40</v>
      </c>
      <c r="E1611" s="47" t="n">
        <v>4760000</v>
      </c>
      <c r="F1611" s="47" t="n">
        <v>1140560</v>
      </c>
    </row>
    <row r="1612" customFormat="false" ht="15" hidden="false" customHeight="false" outlineLevel="0" collapsed="false">
      <c r="A1612" s="0" t="s">
        <v>593</v>
      </c>
      <c r="B1612" s="0" t="n">
        <v>700</v>
      </c>
      <c r="C1612" s="0" t="str">
        <f aca="false">TEXT(VLOOKUP(B1612,$I$2:$J$20,2,FALSE()),"0")</f>
        <v>700</v>
      </c>
      <c r="D1612" s="47" t="n">
        <v>90</v>
      </c>
      <c r="E1612" s="47" t="n">
        <v>10710000</v>
      </c>
      <c r="F1612" s="47" t="n">
        <v>2566260</v>
      </c>
    </row>
    <row r="1613" customFormat="false" ht="15" hidden="false" customHeight="false" outlineLevel="0" collapsed="false">
      <c r="A1613" s="0" t="s">
        <v>593</v>
      </c>
      <c r="B1613" s="0" t="n">
        <v>799</v>
      </c>
      <c r="C1613" s="0" t="str">
        <f aca="false">TEXT(VLOOKUP(B1613,$I$2:$J$20,2,FALSE()),"0")</f>
        <v>700</v>
      </c>
      <c r="D1613" s="47" t="n">
        <v>2</v>
      </c>
      <c r="E1613" s="47" t="n">
        <v>238000</v>
      </c>
      <c r="F1613" s="47" t="n">
        <v>57028</v>
      </c>
    </row>
    <row r="1614" customFormat="false" ht="15" hidden="false" customHeight="false" outlineLevel="0" collapsed="false">
      <c r="A1614" s="0" t="s">
        <v>593</v>
      </c>
      <c r="B1614" s="0" t="n">
        <v>800</v>
      </c>
      <c r="C1614" s="0" t="str">
        <f aca="false">TEXT(VLOOKUP(B1614,$I$2:$J$20,2,FALSE()),"0")</f>
        <v>800</v>
      </c>
      <c r="D1614" s="47" t="n">
        <v>55</v>
      </c>
      <c r="E1614" s="47" t="n">
        <v>6545000</v>
      </c>
      <c r="F1614" s="47" t="n">
        <v>1568270</v>
      </c>
    </row>
    <row r="1615" customFormat="false" ht="15" hidden="false" customHeight="false" outlineLevel="0" collapsed="false">
      <c r="A1615" s="0" t="s">
        <v>595</v>
      </c>
      <c r="B1615" s="0" t="n">
        <v>100</v>
      </c>
      <c r="C1615" s="0" t="str">
        <f aca="false">TEXT(VLOOKUP(B1615,$I$2:$J$20,2,FALSE()),"0")</f>
        <v>100</v>
      </c>
      <c r="D1615" s="47" t="n">
        <v>150</v>
      </c>
      <c r="E1615" s="47" t="n">
        <v>8850000</v>
      </c>
      <c r="F1615" s="47" t="n">
        <v>2038500</v>
      </c>
    </row>
    <row r="1616" customFormat="false" ht="15" hidden="false" customHeight="false" outlineLevel="0" collapsed="false">
      <c r="A1616" s="0" t="s">
        <v>595</v>
      </c>
      <c r="B1616" s="0" t="n">
        <v>300</v>
      </c>
      <c r="C1616" s="0" t="str">
        <f aca="false">TEXT(VLOOKUP(B1616,$I$2:$J$20,2,FALSE()),"0")</f>
        <v>300</v>
      </c>
      <c r="D1616" s="47" t="n">
        <v>250</v>
      </c>
      <c r="E1616" s="47" t="n">
        <v>14750000</v>
      </c>
      <c r="F1616" s="47" t="n">
        <v>3397500</v>
      </c>
    </row>
    <row r="1617" customFormat="false" ht="15" hidden="false" customHeight="false" outlineLevel="0" collapsed="false">
      <c r="A1617" s="0" t="s">
        <v>595</v>
      </c>
      <c r="B1617" s="0" t="n">
        <v>600</v>
      </c>
      <c r="C1617" s="0" t="str">
        <f aca="false">TEXT(VLOOKUP(B1617,$I$2:$J$20,2,FALSE()),"0")</f>
        <v>600</v>
      </c>
      <c r="D1617" s="47" t="n">
        <v>35</v>
      </c>
      <c r="E1617" s="47" t="n">
        <v>2065000</v>
      </c>
      <c r="F1617" s="47" t="n">
        <v>475650</v>
      </c>
    </row>
    <row r="1618" customFormat="false" ht="15" hidden="false" customHeight="false" outlineLevel="0" collapsed="false">
      <c r="A1618" s="0" t="s">
        <v>595</v>
      </c>
      <c r="B1618" s="0" t="n">
        <v>700</v>
      </c>
      <c r="C1618" s="0" t="str">
        <f aca="false">TEXT(VLOOKUP(B1618,$I$2:$J$20,2,FALSE()),"0")</f>
        <v>700</v>
      </c>
      <c r="D1618" s="47" t="n">
        <v>120</v>
      </c>
      <c r="E1618" s="47" t="n">
        <v>7080000</v>
      </c>
      <c r="F1618" s="47" t="n">
        <v>1630800</v>
      </c>
    </row>
    <row r="1619" customFormat="false" ht="15" hidden="false" customHeight="false" outlineLevel="0" collapsed="false">
      <c r="A1619" s="0" t="s">
        <v>595</v>
      </c>
      <c r="B1619" s="0" t="n">
        <v>799</v>
      </c>
      <c r="C1619" s="0" t="str">
        <f aca="false">TEXT(VLOOKUP(B1619,$I$2:$J$20,2,FALSE()),"0")</f>
        <v>700</v>
      </c>
      <c r="D1619" s="47" t="n">
        <v>1</v>
      </c>
      <c r="E1619" s="47" t="n">
        <v>59000</v>
      </c>
      <c r="F1619" s="47" t="n">
        <v>13590</v>
      </c>
    </row>
    <row r="1620" customFormat="false" ht="15" hidden="false" customHeight="false" outlineLevel="0" collapsed="false">
      <c r="A1620" s="0" t="s">
        <v>597</v>
      </c>
      <c r="B1620" s="0" t="n">
        <v>100</v>
      </c>
      <c r="C1620" s="0" t="str">
        <f aca="false">TEXT(VLOOKUP(B1620,$I$2:$J$20,2,FALSE()),"0")</f>
        <v>100</v>
      </c>
      <c r="D1620" s="47" t="n">
        <v>250</v>
      </c>
      <c r="E1620" s="47" t="n">
        <v>17250000</v>
      </c>
      <c r="F1620" s="47" t="n">
        <v>4213500</v>
      </c>
    </row>
    <row r="1621" customFormat="false" ht="15" hidden="false" customHeight="false" outlineLevel="0" collapsed="false">
      <c r="A1621" s="0" t="s">
        <v>597</v>
      </c>
      <c r="B1621" s="0" t="n">
        <v>300</v>
      </c>
      <c r="C1621" s="0" t="str">
        <f aca="false">TEXT(VLOOKUP(B1621,$I$2:$J$20,2,FALSE()),"0")</f>
        <v>300</v>
      </c>
      <c r="D1621" s="47" t="n">
        <v>350</v>
      </c>
      <c r="E1621" s="47" t="n">
        <v>24150000</v>
      </c>
      <c r="F1621" s="47" t="n">
        <v>5898900</v>
      </c>
    </row>
    <row r="1622" customFormat="false" ht="15" hidden="false" customHeight="false" outlineLevel="0" collapsed="false">
      <c r="A1622" s="0" t="s">
        <v>597</v>
      </c>
      <c r="B1622" s="0" t="n">
        <v>500</v>
      </c>
      <c r="C1622" s="0" t="str">
        <f aca="false">TEXT(VLOOKUP(B1622,$I$2:$J$20,2,FALSE()),"0")</f>
        <v>500</v>
      </c>
      <c r="D1622" s="47" t="n">
        <v>20</v>
      </c>
      <c r="E1622" s="47" t="n">
        <v>1380000</v>
      </c>
      <c r="F1622" s="47" t="n">
        <v>337080</v>
      </c>
    </row>
    <row r="1623" customFormat="false" ht="15" hidden="false" customHeight="false" outlineLevel="0" collapsed="false">
      <c r="A1623" s="0" t="s">
        <v>597</v>
      </c>
      <c r="B1623" s="0" t="n">
        <v>600</v>
      </c>
      <c r="C1623" s="0" t="str">
        <f aca="false">TEXT(VLOOKUP(B1623,$I$2:$J$20,2,FALSE()),"0")</f>
        <v>600</v>
      </c>
      <c r="D1623" s="47" t="n">
        <v>50</v>
      </c>
      <c r="E1623" s="47" t="n">
        <v>3450000</v>
      </c>
      <c r="F1623" s="47" t="n">
        <v>842700</v>
      </c>
    </row>
    <row r="1624" customFormat="false" ht="15" hidden="false" customHeight="false" outlineLevel="0" collapsed="false">
      <c r="A1624" s="0" t="s">
        <v>597</v>
      </c>
      <c r="B1624" s="0" t="n">
        <v>700</v>
      </c>
      <c r="C1624" s="0" t="str">
        <f aca="false">TEXT(VLOOKUP(B1624,$I$2:$J$20,2,FALSE()),"0")</f>
        <v>700</v>
      </c>
      <c r="D1624" s="47" t="n">
        <v>60</v>
      </c>
      <c r="E1624" s="47" t="n">
        <v>4140000</v>
      </c>
      <c r="F1624" s="47" t="n">
        <v>1011240</v>
      </c>
    </row>
    <row r="1625" customFormat="false" ht="15" hidden="false" customHeight="false" outlineLevel="0" collapsed="false">
      <c r="A1625" s="0" t="s">
        <v>597</v>
      </c>
      <c r="B1625" s="0" t="n">
        <v>799</v>
      </c>
      <c r="C1625" s="0" t="str">
        <f aca="false">TEXT(VLOOKUP(B1625,$I$2:$J$20,2,FALSE()),"0")</f>
        <v>700</v>
      </c>
      <c r="D1625" s="47" t="n">
        <v>1</v>
      </c>
      <c r="E1625" s="47" t="n">
        <v>69000</v>
      </c>
      <c r="F1625" s="47" t="n">
        <v>16854</v>
      </c>
    </row>
    <row r="1626" customFormat="false" ht="15" hidden="false" customHeight="false" outlineLevel="0" collapsed="false">
      <c r="A1626" s="0" t="s">
        <v>597</v>
      </c>
      <c r="B1626" s="0" t="n">
        <v>810</v>
      </c>
      <c r="C1626" s="0" t="str">
        <f aca="false">TEXT(VLOOKUP(B1626,$I$2:$J$20,2,FALSE()),"0")</f>
        <v>810</v>
      </c>
      <c r="D1626" s="47" t="n">
        <v>96</v>
      </c>
      <c r="E1626" s="47" t="n">
        <v>6624000</v>
      </c>
      <c r="F1626" s="47" t="n">
        <v>1617984</v>
      </c>
    </row>
    <row r="1627" customFormat="false" ht="15" hidden="false" customHeight="false" outlineLevel="0" collapsed="false">
      <c r="A1627" s="0" t="s">
        <v>1417</v>
      </c>
      <c r="B1627" s="0" t="n">
        <v>500</v>
      </c>
      <c r="C1627" s="0" t="str">
        <f aca="false">TEXT(VLOOKUP(B1627,$I$2:$J$20,2,FALSE()),"0")</f>
        <v>500</v>
      </c>
      <c r="D1627" s="47" t="n">
        <v>45</v>
      </c>
      <c r="E1627" s="47" t="n">
        <v>3105000</v>
      </c>
      <c r="F1627" s="47" t="n">
        <v>759510</v>
      </c>
    </row>
    <row r="1628" customFormat="false" ht="15" hidden="false" customHeight="false" outlineLevel="0" collapsed="false">
      <c r="A1628" s="0" t="s">
        <v>1417</v>
      </c>
      <c r="B1628" s="0" t="n">
        <v>700</v>
      </c>
      <c r="C1628" s="0" t="str">
        <f aca="false">TEXT(VLOOKUP(B1628,$I$2:$J$20,2,FALSE()),"0")</f>
        <v>700</v>
      </c>
      <c r="D1628" s="47" t="n">
        <v>150</v>
      </c>
      <c r="E1628" s="47" t="n">
        <v>10350000</v>
      </c>
      <c r="F1628" s="47" t="n">
        <v>2531700</v>
      </c>
    </row>
    <row r="1629" customFormat="false" ht="15" hidden="false" customHeight="false" outlineLevel="0" collapsed="false">
      <c r="A1629" s="0" t="s">
        <v>1417</v>
      </c>
      <c r="B1629" s="0" t="n">
        <v>799</v>
      </c>
      <c r="C1629" s="0" t="str">
        <f aca="false">TEXT(VLOOKUP(B1629,$I$2:$J$20,2,FALSE()),"0")</f>
        <v>700</v>
      </c>
      <c r="D1629" s="47" t="n">
        <v>2</v>
      </c>
      <c r="E1629" s="47" t="n">
        <v>138000</v>
      </c>
      <c r="F1629" s="47" t="n">
        <v>33756</v>
      </c>
    </row>
    <row r="1630" customFormat="false" ht="15" hidden="false" customHeight="false" outlineLevel="0" collapsed="false">
      <c r="A1630" s="0" t="s">
        <v>599</v>
      </c>
      <c r="B1630" s="0" t="n">
        <v>100</v>
      </c>
      <c r="C1630" s="0" t="str">
        <f aca="false">TEXT(VLOOKUP(B1630,$I$2:$J$20,2,FALSE()),"0")</f>
        <v>100</v>
      </c>
      <c r="D1630" s="47" t="n">
        <v>300</v>
      </c>
      <c r="E1630" s="47" t="n">
        <v>23700000</v>
      </c>
      <c r="F1630" s="47" t="n">
        <v>5876400</v>
      </c>
    </row>
    <row r="1631" customFormat="false" ht="15" hidden="false" customHeight="false" outlineLevel="0" collapsed="false">
      <c r="A1631" s="0" t="s">
        <v>599</v>
      </c>
      <c r="B1631" s="0" t="n">
        <v>200</v>
      </c>
      <c r="C1631" s="0" t="str">
        <f aca="false">TEXT(VLOOKUP(B1631,$I$2:$J$20,2,FALSE()),"0")</f>
        <v>200</v>
      </c>
      <c r="D1631" s="47" t="n">
        <v>100</v>
      </c>
      <c r="E1631" s="47" t="n">
        <v>7900000</v>
      </c>
      <c r="F1631" s="47" t="n">
        <v>1958800</v>
      </c>
    </row>
    <row r="1632" customFormat="false" ht="15" hidden="false" customHeight="false" outlineLevel="0" collapsed="false">
      <c r="A1632" s="0" t="s">
        <v>599</v>
      </c>
      <c r="B1632" s="0" t="n">
        <v>299</v>
      </c>
      <c r="C1632" s="0" t="str">
        <f aca="false">TEXT(VLOOKUP(B1632,$I$2:$J$20,2,FALSE()),"0")</f>
        <v>200</v>
      </c>
      <c r="D1632" s="47" t="n">
        <v>2</v>
      </c>
      <c r="E1632" s="47" t="n">
        <v>158000</v>
      </c>
      <c r="F1632" s="47" t="n">
        <v>39176</v>
      </c>
    </row>
    <row r="1633" customFormat="false" ht="15" hidden="false" customHeight="false" outlineLevel="0" collapsed="false">
      <c r="A1633" s="0" t="s">
        <v>599</v>
      </c>
      <c r="B1633" s="0" t="n">
        <v>300</v>
      </c>
      <c r="C1633" s="0" t="str">
        <f aca="false">TEXT(VLOOKUP(B1633,$I$2:$J$20,2,FALSE()),"0")</f>
        <v>300</v>
      </c>
      <c r="D1633" s="47" t="n">
        <v>180</v>
      </c>
      <c r="E1633" s="47" t="n">
        <v>14220000</v>
      </c>
      <c r="F1633" s="47" t="n">
        <v>3525840</v>
      </c>
    </row>
    <row r="1634" customFormat="false" ht="15" hidden="false" customHeight="false" outlineLevel="0" collapsed="false">
      <c r="A1634" s="0" t="s">
        <v>599</v>
      </c>
      <c r="B1634" s="0" t="n">
        <v>600</v>
      </c>
      <c r="C1634" s="0" t="str">
        <f aca="false">TEXT(VLOOKUP(B1634,$I$2:$J$20,2,FALSE()),"0")</f>
        <v>600</v>
      </c>
      <c r="D1634" s="47" t="n">
        <v>20</v>
      </c>
      <c r="E1634" s="47" t="n">
        <v>1580000</v>
      </c>
      <c r="F1634" s="47" t="n">
        <v>391760</v>
      </c>
    </row>
    <row r="1635" customFormat="false" ht="15" hidden="false" customHeight="false" outlineLevel="0" collapsed="false">
      <c r="A1635" s="0" t="s">
        <v>599</v>
      </c>
      <c r="B1635" s="0" t="n">
        <v>800</v>
      </c>
      <c r="C1635" s="0" t="str">
        <f aca="false">TEXT(VLOOKUP(B1635,$I$2:$J$20,2,FALSE()),"0")</f>
        <v>800</v>
      </c>
      <c r="D1635" s="47" t="n">
        <v>20</v>
      </c>
      <c r="E1635" s="47" t="n">
        <v>1580000</v>
      </c>
      <c r="F1635" s="47" t="n">
        <v>391760</v>
      </c>
    </row>
    <row r="1636" customFormat="false" ht="15" hidden="false" customHeight="false" outlineLevel="0" collapsed="false">
      <c r="A1636" s="0" t="s">
        <v>956</v>
      </c>
      <c r="B1636" s="0" t="n">
        <v>100</v>
      </c>
      <c r="C1636" s="0" t="str">
        <f aca="false">TEXT(VLOOKUP(B1636,$I$2:$J$20,2,FALSE()),"0")</f>
        <v>100</v>
      </c>
      <c r="D1636" s="47" t="n">
        <v>500</v>
      </c>
      <c r="E1636" s="47" t="n">
        <v>44500000</v>
      </c>
      <c r="F1636" s="47" t="n">
        <v>9272500</v>
      </c>
    </row>
    <row r="1637" customFormat="false" ht="15" hidden="false" customHeight="false" outlineLevel="0" collapsed="false">
      <c r="A1637" s="0" t="s">
        <v>956</v>
      </c>
      <c r="B1637" s="0" t="n">
        <v>600</v>
      </c>
      <c r="C1637" s="0" t="str">
        <f aca="false">TEXT(VLOOKUP(B1637,$I$2:$J$20,2,FALSE()),"0")</f>
        <v>600</v>
      </c>
      <c r="D1637" s="47" t="n">
        <v>50</v>
      </c>
      <c r="E1637" s="47" t="n">
        <v>4450000</v>
      </c>
      <c r="F1637" s="47" t="n">
        <v>927250</v>
      </c>
    </row>
    <row r="1638" customFormat="false" ht="15" hidden="false" customHeight="false" outlineLevel="0" collapsed="false">
      <c r="A1638" s="0" t="s">
        <v>956</v>
      </c>
      <c r="B1638" s="0" t="n">
        <v>700</v>
      </c>
      <c r="C1638" s="0" t="str">
        <f aca="false">TEXT(VLOOKUP(B1638,$I$2:$J$20,2,FALSE()),"0")</f>
        <v>700</v>
      </c>
      <c r="D1638" s="47" t="n">
        <v>90</v>
      </c>
      <c r="E1638" s="47" t="n">
        <v>8010000</v>
      </c>
      <c r="F1638" s="47" t="n">
        <v>1669050</v>
      </c>
    </row>
    <row r="1639" customFormat="false" ht="15" hidden="false" customHeight="false" outlineLevel="0" collapsed="false">
      <c r="A1639" s="0" t="s">
        <v>956</v>
      </c>
      <c r="B1639" s="0" t="n">
        <v>799</v>
      </c>
      <c r="C1639" s="0" t="str">
        <f aca="false">TEXT(VLOOKUP(B1639,$I$2:$J$20,2,FALSE()),"0")</f>
        <v>700</v>
      </c>
      <c r="D1639" s="47" t="n">
        <v>2</v>
      </c>
      <c r="E1639" s="47" t="n">
        <v>178000</v>
      </c>
      <c r="F1639" s="47" t="n">
        <v>37090</v>
      </c>
    </row>
    <row r="1640" customFormat="false" ht="15" hidden="false" customHeight="false" outlineLevel="0" collapsed="false">
      <c r="A1640" s="0" t="s">
        <v>956</v>
      </c>
      <c r="B1640" s="0" t="n">
        <v>810</v>
      </c>
      <c r="C1640" s="0" t="str">
        <f aca="false">TEXT(VLOOKUP(B1640,$I$2:$J$20,2,FALSE()),"0")</f>
        <v>810</v>
      </c>
      <c r="D1640" s="47" t="n">
        <v>48</v>
      </c>
      <c r="E1640" s="47" t="n">
        <v>4272000</v>
      </c>
      <c r="F1640" s="47" t="n">
        <v>890160</v>
      </c>
    </row>
    <row r="1641" customFormat="false" ht="15" hidden="false" customHeight="false" outlineLevel="0" collapsed="false">
      <c r="A1641" s="0" t="s">
        <v>601</v>
      </c>
      <c r="B1641" s="0" t="n">
        <v>100</v>
      </c>
      <c r="C1641" s="0" t="str">
        <f aca="false">TEXT(VLOOKUP(B1641,$I$2:$J$20,2,FALSE()),"0")</f>
        <v>100</v>
      </c>
      <c r="D1641" s="47" t="n">
        <v>550</v>
      </c>
      <c r="E1641" s="47" t="n">
        <v>43450000</v>
      </c>
      <c r="F1641" s="47" t="n">
        <v>9859850</v>
      </c>
    </row>
    <row r="1642" customFormat="false" ht="15" hidden="false" customHeight="false" outlineLevel="0" collapsed="false">
      <c r="A1642" s="0" t="s">
        <v>601</v>
      </c>
      <c r="B1642" s="0" t="n">
        <v>200</v>
      </c>
      <c r="C1642" s="0" t="str">
        <f aca="false">TEXT(VLOOKUP(B1642,$I$2:$J$20,2,FALSE()),"0")</f>
        <v>200</v>
      </c>
      <c r="D1642" s="47" t="n">
        <v>550</v>
      </c>
      <c r="E1642" s="47" t="n">
        <v>43450000</v>
      </c>
      <c r="F1642" s="47" t="n">
        <v>9859850</v>
      </c>
    </row>
    <row r="1643" customFormat="false" ht="15" hidden="false" customHeight="false" outlineLevel="0" collapsed="false">
      <c r="A1643" s="0" t="s">
        <v>601</v>
      </c>
      <c r="B1643" s="0" t="n">
        <v>299</v>
      </c>
      <c r="C1643" s="0" t="str">
        <f aca="false">TEXT(VLOOKUP(B1643,$I$2:$J$20,2,FALSE()),"0")</f>
        <v>200</v>
      </c>
      <c r="D1643" s="47" t="n">
        <v>3</v>
      </c>
      <c r="E1643" s="47" t="n">
        <v>237000</v>
      </c>
      <c r="F1643" s="47" t="n">
        <v>53781</v>
      </c>
    </row>
    <row r="1644" customFormat="false" ht="15" hidden="false" customHeight="false" outlineLevel="0" collapsed="false">
      <c r="A1644" s="0" t="s">
        <v>601</v>
      </c>
      <c r="B1644" s="0" t="n">
        <v>300</v>
      </c>
      <c r="C1644" s="0" t="str">
        <f aca="false">TEXT(VLOOKUP(B1644,$I$2:$J$20,2,FALSE()),"0")</f>
        <v>300</v>
      </c>
      <c r="D1644" s="47" t="n">
        <v>350</v>
      </c>
      <c r="E1644" s="47" t="n">
        <v>27650000</v>
      </c>
      <c r="F1644" s="47" t="n">
        <v>6274450</v>
      </c>
    </row>
    <row r="1645" customFormat="false" ht="15" hidden="false" customHeight="false" outlineLevel="0" collapsed="false">
      <c r="A1645" s="0" t="s">
        <v>601</v>
      </c>
      <c r="B1645" s="0" t="n">
        <v>600</v>
      </c>
      <c r="C1645" s="0" t="str">
        <f aca="false">TEXT(VLOOKUP(B1645,$I$2:$J$20,2,FALSE()),"0")</f>
        <v>600</v>
      </c>
      <c r="D1645" s="47" t="n">
        <v>10</v>
      </c>
      <c r="E1645" s="47" t="n">
        <v>790000</v>
      </c>
      <c r="F1645" s="47" t="n">
        <v>179270</v>
      </c>
    </row>
    <row r="1646" customFormat="false" ht="15" hidden="false" customHeight="false" outlineLevel="0" collapsed="false">
      <c r="A1646" s="0" t="s">
        <v>601</v>
      </c>
      <c r="B1646" s="0" t="n">
        <v>700</v>
      </c>
      <c r="C1646" s="0" t="str">
        <f aca="false">TEXT(VLOOKUP(B1646,$I$2:$J$20,2,FALSE()),"0")</f>
        <v>700</v>
      </c>
      <c r="D1646" s="47" t="n">
        <v>240</v>
      </c>
      <c r="E1646" s="47" t="n">
        <v>18960000</v>
      </c>
      <c r="F1646" s="47" t="n">
        <v>4302480</v>
      </c>
    </row>
    <row r="1647" customFormat="false" ht="15" hidden="false" customHeight="false" outlineLevel="0" collapsed="false">
      <c r="A1647" s="0" t="s">
        <v>601</v>
      </c>
      <c r="B1647" s="0" t="n">
        <v>701</v>
      </c>
      <c r="C1647" s="0" t="str">
        <f aca="false">TEXT(VLOOKUP(B1647,$I$2:$J$20,2,FALSE()),"0")</f>
        <v>700</v>
      </c>
      <c r="D1647" s="47" t="n">
        <v>200</v>
      </c>
      <c r="E1647" s="47" t="n">
        <v>15800000</v>
      </c>
      <c r="F1647" s="47" t="n">
        <v>3585400</v>
      </c>
    </row>
    <row r="1648" customFormat="false" ht="15" hidden="false" customHeight="false" outlineLevel="0" collapsed="false">
      <c r="A1648" s="0" t="s">
        <v>601</v>
      </c>
      <c r="B1648" s="0" t="n">
        <v>799</v>
      </c>
      <c r="C1648" s="0" t="str">
        <f aca="false">TEXT(VLOOKUP(B1648,$I$2:$J$20,2,FALSE()),"0")</f>
        <v>700</v>
      </c>
      <c r="D1648" s="47" t="n">
        <v>3</v>
      </c>
      <c r="E1648" s="47" t="n">
        <v>237000</v>
      </c>
      <c r="F1648" s="47" t="n">
        <v>53781</v>
      </c>
    </row>
    <row r="1649" customFormat="false" ht="15" hidden="false" customHeight="false" outlineLevel="0" collapsed="false">
      <c r="A1649" s="0" t="s">
        <v>601</v>
      </c>
      <c r="B1649" s="0" t="n">
        <v>810</v>
      </c>
      <c r="C1649" s="0" t="str">
        <f aca="false">TEXT(VLOOKUP(B1649,$I$2:$J$20,2,FALSE()),"0")</f>
        <v>810</v>
      </c>
      <c r="D1649" s="47" t="n">
        <v>48</v>
      </c>
      <c r="E1649" s="47" t="n">
        <v>3792000</v>
      </c>
      <c r="F1649" s="47" t="n">
        <v>860496</v>
      </c>
    </row>
    <row r="1650" customFormat="false" ht="15" hidden="false" customHeight="false" outlineLevel="0" collapsed="false">
      <c r="A1650" s="0" t="s">
        <v>1419</v>
      </c>
      <c r="B1650" s="0" t="n">
        <v>700</v>
      </c>
      <c r="C1650" s="0" t="str">
        <f aca="false">TEXT(VLOOKUP(B1650,$I$2:$J$20,2,FALSE()),"0")</f>
        <v>700</v>
      </c>
      <c r="D1650" s="47" t="n">
        <v>90</v>
      </c>
      <c r="E1650" s="47" t="n">
        <v>7110000</v>
      </c>
      <c r="F1650" s="47" t="n">
        <v>1361970</v>
      </c>
    </row>
    <row r="1651" customFormat="false" ht="15" hidden="false" customHeight="false" outlineLevel="0" collapsed="false">
      <c r="A1651" s="0" t="s">
        <v>1419</v>
      </c>
      <c r="B1651" s="0" t="n">
        <v>799</v>
      </c>
      <c r="C1651" s="0" t="str">
        <f aca="false">TEXT(VLOOKUP(B1651,$I$2:$J$20,2,FALSE()),"0")</f>
        <v>700</v>
      </c>
      <c r="D1651" s="47" t="n">
        <v>2</v>
      </c>
      <c r="E1651" s="47" t="n">
        <v>158000</v>
      </c>
      <c r="F1651" s="47" t="n">
        <v>30266</v>
      </c>
    </row>
    <row r="1652" customFormat="false" ht="15" hidden="false" customHeight="false" outlineLevel="0" collapsed="false">
      <c r="A1652" s="0" t="s">
        <v>603</v>
      </c>
      <c r="B1652" s="0" t="n">
        <v>300</v>
      </c>
      <c r="C1652" s="0" t="str">
        <f aca="false">TEXT(VLOOKUP(B1652,$I$2:$J$20,2,FALSE()),"0")</f>
        <v>300</v>
      </c>
      <c r="D1652" s="47" t="n">
        <v>300</v>
      </c>
      <c r="E1652" s="47" t="n">
        <v>20700000</v>
      </c>
      <c r="F1652" s="47" t="n">
        <v>4421100</v>
      </c>
    </row>
    <row r="1653" customFormat="false" ht="15" hidden="false" customHeight="false" outlineLevel="0" collapsed="false">
      <c r="A1653" s="0" t="s">
        <v>603</v>
      </c>
      <c r="B1653" s="0" t="n">
        <v>600</v>
      </c>
      <c r="C1653" s="0" t="str">
        <f aca="false">TEXT(VLOOKUP(B1653,$I$2:$J$20,2,FALSE()),"0")</f>
        <v>600</v>
      </c>
      <c r="D1653" s="47" t="n">
        <v>40</v>
      </c>
      <c r="E1653" s="47" t="n">
        <v>2760000</v>
      </c>
      <c r="F1653" s="47" t="n">
        <v>589480</v>
      </c>
    </row>
    <row r="1654" customFormat="false" ht="15" hidden="false" customHeight="false" outlineLevel="0" collapsed="false">
      <c r="A1654" s="0" t="s">
        <v>603</v>
      </c>
      <c r="B1654" s="0" t="n">
        <v>700</v>
      </c>
      <c r="C1654" s="0" t="str">
        <f aca="false">TEXT(VLOOKUP(B1654,$I$2:$J$20,2,FALSE()),"0")</f>
        <v>700</v>
      </c>
      <c r="D1654" s="47" t="n">
        <v>90</v>
      </c>
      <c r="E1654" s="47" t="n">
        <v>6210000</v>
      </c>
      <c r="F1654" s="47" t="n">
        <v>1326330</v>
      </c>
    </row>
    <row r="1655" customFormat="false" ht="15" hidden="false" customHeight="false" outlineLevel="0" collapsed="false">
      <c r="A1655" s="0" t="s">
        <v>603</v>
      </c>
      <c r="B1655" s="0" t="n">
        <v>799</v>
      </c>
      <c r="C1655" s="0" t="str">
        <f aca="false">TEXT(VLOOKUP(B1655,$I$2:$J$20,2,FALSE()),"0")</f>
        <v>700</v>
      </c>
      <c r="D1655" s="47" t="n">
        <v>2</v>
      </c>
      <c r="E1655" s="47" t="n">
        <v>138000</v>
      </c>
      <c r="F1655" s="47" t="n">
        <v>29474</v>
      </c>
    </row>
    <row r="1656" customFormat="false" ht="15" hidden="false" customHeight="false" outlineLevel="0" collapsed="false">
      <c r="A1656" s="0" t="s">
        <v>605</v>
      </c>
      <c r="B1656" s="0" t="n">
        <v>100</v>
      </c>
      <c r="C1656" s="0" t="str">
        <f aca="false">TEXT(VLOOKUP(B1656,$I$2:$J$20,2,FALSE()),"0")</f>
        <v>100</v>
      </c>
      <c r="D1656" s="47" t="n">
        <v>300</v>
      </c>
      <c r="E1656" s="47" t="n">
        <v>20700000</v>
      </c>
      <c r="F1656" s="47" t="n">
        <v>4375200</v>
      </c>
    </row>
    <row r="1657" customFormat="false" ht="15" hidden="false" customHeight="false" outlineLevel="0" collapsed="false">
      <c r="A1657" s="0" t="s">
        <v>605</v>
      </c>
      <c r="B1657" s="0" t="n">
        <v>200</v>
      </c>
      <c r="C1657" s="0" t="str">
        <f aca="false">TEXT(VLOOKUP(B1657,$I$2:$J$20,2,FALSE()),"0")</f>
        <v>200</v>
      </c>
      <c r="D1657" s="47" t="n">
        <v>220</v>
      </c>
      <c r="E1657" s="47" t="n">
        <v>15180000</v>
      </c>
      <c r="F1657" s="47" t="n">
        <v>3208480</v>
      </c>
    </row>
    <row r="1658" customFormat="false" ht="15" hidden="false" customHeight="false" outlineLevel="0" collapsed="false">
      <c r="A1658" s="0" t="s">
        <v>605</v>
      </c>
      <c r="B1658" s="0" t="n">
        <v>299</v>
      </c>
      <c r="C1658" s="0" t="str">
        <f aca="false">TEXT(VLOOKUP(B1658,$I$2:$J$20,2,FALSE()),"0")</f>
        <v>200</v>
      </c>
      <c r="D1658" s="47" t="n">
        <v>3</v>
      </c>
      <c r="E1658" s="47" t="n">
        <v>207000</v>
      </c>
      <c r="F1658" s="47" t="n">
        <v>43752</v>
      </c>
    </row>
    <row r="1659" customFormat="false" ht="15" hidden="false" customHeight="false" outlineLevel="0" collapsed="false">
      <c r="A1659" s="0" t="s">
        <v>605</v>
      </c>
      <c r="B1659" s="0" t="n">
        <v>300</v>
      </c>
      <c r="C1659" s="0" t="str">
        <f aca="false">TEXT(VLOOKUP(B1659,$I$2:$J$20,2,FALSE()),"0")</f>
        <v>300</v>
      </c>
      <c r="D1659" s="47" t="n">
        <v>350</v>
      </c>
      <c r="E1659" s="47" t="n">
        <v>24150000</v>
      </c>
      <c r="F1659" s="47" t="n">
        <v>5104400</v>
      </c>
    </row>
    <row r="1660" customFormat="false" ht="15" hidden="false" customHeight="false" outlineLevel="0" collapsed="false">
      <c r="A1660" s="0" t="s">
        <v>605</v>
      </c>
      <c r="B1660" s="0" t="n">
        <v>301</v>
      </c>
      <c r="C1660" s="0" t="str">
        <f aca="false">TEXT(VLOOKUP(B1660,$I$2:$J$20,2,FALSE()),"0")</f>
        <v>300</v>
      </c>
      <c r="D1660" s="47" t="n">
        <v>3880</v>
      </c>
      <c r="E1660" s="47" t="n">
        <v>267720000</v>
      </c>
      <c r="F1660" s="47" t="n">
        <v>56585920</v>
      </c>
    </row>
    <row r="1661" customFormat="false" ht="15" hidden="false" customHeight="false" outlineLevel="0" collapsed="false">
      <c r="A1661" s="0" t="s">
        <v>958</v>
      </c>
      <c r="B1661" s="0" t="n">
        <v>100</v>
      </c>
      <c r="C1661" s="0" t="str">
        <f aca="false">TEXT(VLOOKUP(B1661,$I$2:$J$20,2,FALSE()),"0")</f>
        <v>100</v>
      </c>
      <c r="D1661" s="47" t="n">
        <v>350</v>
      </c>
      <c r="E1661" s="47" t="n">
        <v>17150000</v>
      </c>
      <c r="F1661" s="47" t="n">
        <v>4119850</v>
      </c>
    </row>
    <row r="1662" customFormat="false" ht="15" hidden="false" customHeight="false" outlineLevel="0" collapsed="false">
      <c r="A1662" s="0" t="s">
        <v>958</v>
      </c>
      <c r="B1662" s="0" t="n">
        <v>500</v>
      </c>
      <c r="C1662" s="0" t="str">
        <f aca="false">TEXT(VLOOKUP(B1662,$I$2:$J$20,2,FALSE()),"0")</f>
        <v>500</v>
      </c>
      <c r="D1662" s="47" t="n">
        <v>15</v>
      </c>
      <c r="E1662" s="47" t="n">
        <v>735000</v>
      </c>
      <c r="F1662" s="47" t="n">
        <v>176565</v>
      </c>
    </row>
    <row r="1663" customFormat="false" ht="15" hidden="false" customHeight="false" outlineLevel="0" collapsed="false">
      <c r="A1663" s="0" t="s">
        <v>1107</v>
      </c>
      <c r="B1663" s="0" t="n">
        <v>200</v>
      </c>
      <c r="C1663" s="0" t="str">
        <f aca="false">TEXT(VLOOKUP(B1663,$I$2:$J$20,2,FALSE()),"0")</f>
        <v>200</v>
      </c>
      <c r="D1663" s="47" t="n">
        <v>515</v>
      </c>
      <c r="E1663" s="47" t="n">
        <v>20085000</v>
      </c>
      <c r="F1663" s="47" t="n">
        <v>5196350</v>
      </c>
    </row>
    <row r="1664" customFormat="false" ht="15" hidden="false" customHeight="false" outlineLevel="0" collapsed="false">
      <c r="A1664" s="0" t="s">
        <v>1107</v>
      </c>
      <c r="B1664" s="0" t="n">
        <v>299</v>
      </c>
      <c r="C1664" s="0" t="str">
        <f aca="false">TEXT(VLOOKUP(B1664,$I$2:$J$20,2,FALSE()),"0")</f>
        <v>200</v>
      </c>
      <c r="D1664" s="47" t="n">
        <v>4</v>
      </c>
      <c r="E1664" s="47" t="n">
        <v>156000</v>
      </c>
      <c r="F1664" s="47" t="n">
        <v>40360</v>
      </c>
    </row>
    <row r="1665" customFormat="false" ht="15" hidden="false" customHeight="false" outlineLevel="0" collapsed="false">
      <c r="A1665" s="0" t="s">
        <v>1421</v>
      </c>
      <c r="B1665" s="0" t="n">
        <v>500</v>
      </c>
      <c r="C1665" s="0" t="str">
        <f aca="false">TEXT(VLOOKUP(B1665,$I$2:$J$20,2,FALSE()),"0")</f>
        <v>500</v>
      </c>
      <c r="D1665" s="47" t="n">
        <v>25</v>
      </c>
      <c r="E1665" s="47" t="n">
        <v>4975000</v>
      </c>
      <c r="F1665" s="47" t="n">
        <v>1081350</v>
      </c>
    </row>
    <row r="1666" customFormat="false" ht="15" hidden="false" customHeight="false" outlineLevel="0" collapsed="false">
      <c r="A1666" s="0" t="s">
        <v>1421</v>
      </c>
      <c r="B1666" s="0" t="n">
        <v>501</v>
      </c>
      <c r="C1666" s="0" t="str">
        <f aca="false">TEXT(VLOOKUP(B1666,$I$2:$J$20,2,FALSE()),"0")</f>
        <v>500</v>
      </c>
      <c r="D1666" s="47" t="n">
        <v>0</v>
      </c>
      <c r="E1666" s="47" t="n">
        <v>0</v>
      </c>
      <c r="F1666" s="47" t="n">
        <v>0</v>
      </c>
    </row>
    <row r="1667" customFormat="false" ht="15" hidden="false" customHeight="false" outlineLevel="0" collapsed="false">
      <c r="A1667" s="0" t="s">
        <v>1421</v>
      </c>
      <c r="B1667" s="0" t="n">
        <v>700</v>
      </c>
      <c r="C1667" s="0" t="str">
        <f aca="false">TEXT(VLOOKUP(B1667,$I$2:$J$20,2,FALSE()),"0")</f>
        <v>700</v>
      </c>
      <c r="D1667" s="47" t="n">
        <v>120</v>
      </c>
      <c r="E1667" s="47" t="n">
        <v>23880000</v>
      </c>
      <c r="F1667" s="47" t="n">
        <v>5190480</v>
      </c>
    </row>
    <row r="1668" customFormat="false" ht="15" hidden="false" customHeight="false" outlineLevel="0" collapsed="false">
      <c r="A1668" s="0" t="s">
        <v>1421</v>
      </c>
      <c r="B1668" s="0" t="n">
        <v>799</v>
      </c>
      <c r="C1668" s="0" t="str">
        <f aca="false">TEXT(VLOOKUP(B1668,$I$2:$J$20,2,FALSE()),"0")</f>
        <v>700</v>
      </c>
      <c r="D1668" s="47" t="n">
        <v>2</v>
      </c>
      <c r="E1668" s="47" t="n">
        <v>398000</v>
      </c>
      <c r="F1668" s="47" t="n">
        <v>86508</v>
      </c>
    </row>
    <row r="1669" customFormat="false" ht="15" hidden="false" customHeight="false" outlineLevel="0" collapsed="false">
      <c r="A1669" s="0" t="s">
        <v>607</v>
      </c>
      <c r="B1669" s="0" t="n">
        <v>100</v>
      </c>
      <c r="C1669" s="0" t="str">
        <f aca="false">TEXT(VLOOKUP(B1669,$I$2:$J$20,2,FALSE()),"0")</f>
        <v>100</v>
      </c>
      <c r="D1669" s="47" t="n">
        <v>550</v>
      </c>
      <c r="E1669" s="47" t="n">
        <v>43450000</v>
      </c>
      <c r="F1669" s="47" t="n">
        <v>9638200</v>
      </c>
    </row>
    <row r="1670" customFormat="false" ht="15" hidden="false" customHeight="false" outlineLevel="0" collapsed="false">
      <c r="A1670" s="0" t="s">
        <v>607</v>
      </c>
      <c r="B1670" s="0" t="n">
        <v>300</v>
      </c>
      <c r="C1670" s="0" t="str">
        <f aca="false">TEXT(VLOOKUP(B1670,$I$2:$J$20,2,FALSE()),"0")</f>
        <v>300</v>
      </c>
      <c r="D1670" s="47" t="n">
        <v>600</v>
      </c>
      <c r="E1670" s="47" t="n">
        <v>47400000</v>
      </c>
      <c r="F1670" s="47" t="n">
        <v>10514400</v>
      </c>
    </row>
    <row r="1671" customFormat="false" ht="15" hidden="false" customHeight="false" outlineLevel="0" collapsed="false">
      <c r="A1671" s="0" t="s">
        <v>607</v>
      </c>
      <c r="B1671" s="0" t="n">
        <v>500</v>
      </c>
      <c r="C1671" s="0" t="str">
        <f aca="false">TEXT(VLOOKUP(B1671,$I$2:$J$20,2,FALSE()),"0")</f>
        <v>500</v>
      </c>
      <c r="D1671" s="47" t="n">
        <v>10</v>
      </c>
      <c r="E1671" s="47" t="n">
        <v>790000</v>
      </c>
      <c r="F1671" s="47" t="n">
        <v>175240</v>
      </c>
    </row>
    <row r="1672" customFormat="false" ht="15" hidden="false" customHeight="false" outlineLevel="0" collapsed="false">
      <c r="A1672" s="0" t="s">
        <v>607</v>
      </c>
      <c r="B1672" s="0" t="n">
        <v>700</v>
      </c>
      <c r="C1672" s="0" t="str">
        <f aca="false">TEXT(VLOOKUP(B1672,$I$2:$J$20,2,FALSE()),"0")</f>
        <v>700</v>
      </c>
      <c r="D1672" s="47" t="n">
        <v>120</v>
      </c>
      <c r="E1672" s="47" t="n">
        <v>9480000</v>
      </c>
      <c r="F1672" s="47" t="n">
        <v>2102880</v>
      </c>
    </row>
    <row r="1673" customFormat="false" ht="15" hidden="false" customHeight="false" outlineLevel="0" collapsed="false">
      <c r="A1673" s="0" t="s">
        <v>607</v>
      </c>
      <c r="B1673" s="0" t="n">
        <v>799</v>
      </c>
      <c r="C1673" s="0" t="str">
        <f aca="false">TEXT(VLOOKUP(B1673,$I$2:$J$20,2,FALSE()),"0")</f>
        <v>700</v>
      </c>
      <c r="D1673" s="47" t="n">
        <v>3</v>
      </c>
      <c r="E1673" s="47" t="n">
        <v>237000</v>
      </c>
      <c r="F1673" s="47" t="n">
        <v>52572</v>
      </c>
    </row>
    <row r="1674" customFormat="false" ht="15" hidden="false" customHeight="false" outlineLevel="0" collapsed="false">
      <c r="A1674" s="0" t="s">
        <v>609</v>
      </c>
      <c r="B1674" s="0" t="n">
        <v>100</v>
      </c>
      <c r="C1674" s="0" t="str">
        <f aca="false">TEXT(VLOOKUP(B1674,$I$2:$J$20,2,FALSE()),"0")</f>
        <v>100</v>
      </c>
      <c r="D1674" s="47" t="n">
        <v>250</v>
      </c>
      <c r="E1674" s="47" t="n">
        <v>14750000</v>
      </c>
      <c r="F1674" s="47" t="n">
        <v>3875000</v>
      </c>
    </row>
    <row r="1675" customFormat="false" ht="15" hidden="false" customHeight="false" outlineLevel="0" collapsed="false">
      <c r="A1675" s="0" t="s">
        <v>609</v>
      </c>
      <c r="B1675" s="0" t="n">
        <v>300</v>
      </c>
      <c r="C1675" s="0" t="str">
        <f aca="false">TEXT(VLOOKUP(B1675,$I$2:$J$20,2,FALSE()),"0")</f>
        <v>300</v>
      </c>
      <c r="D1675" s="47" t="n">
        <v>350</v>
      </c>
      <c r="E1675" s="47" t="n">
        <v>20650000</v>
      </c>
      <c r="F1675" s="47" t="n">
        <v>5425000</v>
      </c>
    </row>
    <row r="1676" customFormat="false" ht="15" hidden="false" customHeight="false" outlineLevel="0" collapsed="false">
      <c r="A1676" s="0" t="s">
        <v>609</v>
      </c>
      <c r="B1676" s="0" t="n">
        <v>600</v>
      </c>
      <c r="C1676" s="0" t="str">
        <f aca="false">TEXT(VLOOKUP(B1676,$I$2:$J$20,2,FALSE()),"0")</f>
        <v>600</v>
      </c>
      <c r="D1676" s="47" t="n">
        <v>10</v>
      </c>
      <c r="E1676" s="47" t="n">
        <v>590000</v>
      </c>
      <c r="F1676" s="47" t="n">
        <v>155000</v>
      </c>
    </row>
    <row r="1677" customFormat="false" ht="15" hidden="false" customHeight="false" outlineLevel="0" collapsed="false">
      <c r="A1677" s="0" t="s">
        <v>609</v>
      </c>
      <c r="B1677" s="0" t="n">
        <v>700</v>
      </c>
      <c r="C1677" s="0" t="str">
        <f aca="false">TEXT(VLOOKUP(B1677,$I$2:$J$20,2,FALSE()),"0")</f>
        <v>700</v>
      </c>
      <c r="D1677" s="47" t="n">
        <v>30</v>
      </c>
      <c r="E1677" s="47" t="n">
        <v>1770000</v>
      </c>
      <c r="F1677" s="47" t="n">
        <v>465000</v>
      </c>
    </row>
    <row r="1678" customFormat="false" ht="15" hidden="false" customHeight="false" outlineLevel="0" collapsed="false">
      <c r="A1678" s="0" t="s">
        <v>609</v>
      </c>
      <c r="B1678" s="0" t="n">
        <v>799</v>
      </c>
      <c r="C1678" s="0" t="str">
        <f aca="false">TEXT(VLOOKUP(B1678,$I$2:$J$20,2,FALSE()),"0")</f>
        <v>700</v>
      </c>
      <c r="D1678" s="47" t="n">
        <v>1</v>
      </c>
      <c r="E1678" s="47" t="n">
        <v>59000</v>
      </c>
      <c r="F1678" s="47" t="n">
        <v>15500</v>
      </c>
    </row>
    <row r="1679" customFormat="false" ht="15" hidden="false" customHeight="false" outlineLevel="0" collapsed="false">
      <c r="A1679" s="0" t="s">
        <v>609</v>
      </c>
      <c r="B1679" s="0" t="n">
        <v>800</v>
      </c>
      <c r="C1679" s="0" t="str">
        <f aca="false">TEXT(VLOOKUP(B1679,$I$2:$J$20,2,FALSE()),"0")</f>
        <v>800</v>
      </c>
      <c r="D1679" s="47" t="n">
        <v>30</v>
      </c>
      <c r="E1679" s="47" t="n">
        <v>1770000</v>
      </c>
      <c r="F1679" s="47" t="n">
        <v>465000</v>
      </c>
    </row>
    <row r="1680" customFormat="false" ht="15" hidden="false" customHeight="false" outlineLevel="0" collapsed="false">
      <c r="A1680" s="0" t="s">
        <v>960</v>
      </c>
      <c r="B1680" s="0" t="n">
        <v>100</v>
      </c>
      <c r="C1680" s="0" t="str">
        <f aca="false">TEXT(VLOOKUP(B1680,$I$2:$J$20,2,FALSE()),"0")</f>
        <v>100</v>
      </c>
      <c r="D1680" s="47" t="n">
        <v>350</v>
      </c>
      <c r="E1680" s="47" t="n">
        <v>27650000</v>
      </c>
      <c r="F1680" s="47" t="n">
        <v>7006300</v>
      </c>
    </row>
    <row r="1681" customFormat="false" ht="15" hidden="false" customHeight="false" outlineLevel="0" collapsed="false">
      <c r="A1681" s="0" t="s">
        <v>960</v>
      </c>
      <c r="B1681" s="0" t="n">
        <v>700</v>
      </c>
      <c r="C1681" s="0" t="str">
        <f aca="false">TEXT(VLOOKUP(B1681,$I$2:$J$20,2,FALSE()),"0")</f>
        <v>700</v>
      </c>
      <c r="D1681" s="47" t="n">
        <v>60</v>
      </c>
      <c r="E1681" s="47" t="n">
        <v>4740000</v>
      </c>
      <c r="F1681" s="47" t="n">
        <v>1201080</v>
      </c>
    </row>
    <row r="1682" customFormat="false" ht="15" hidden="false" customHeight="false" outlineLevel="0" collapsed="false">
      <c r="A1682" s="0" t="s">
        <v>960</v>
      </c>
      <c r="B1682" s="0" t="n">
        <v>799</v>
      </c>
      <c r="C1682" s="0" t="str">
        <f aca="false">TEXT(VLOOKUP(B1682,$I$2:$J$20,2,FALSE()),"0")</f>
        <v>700</v>
      </c>
      <c r="D1682" s="47" t="n">
        <v>1</v>
      </c>
      <c r="E1682" s="47" t="n">
        <v>79000</v>
      </c>
      <c r="F1682" s="47" t="n">
        <v>20018</v>
      </c>
    </row>
    <row r="1683" customFormat="false" ht="15" hidden="false" customHeight="false" outlineLevel="0" collapsed="false">
      <c r="A1683" s="0" t="s">
        <v>960</v>
      </c>
      <c r="B1683" s="0" t="n">
        <v>800</v>
      </c>
      <c r="C1683" s="0" t="str">
        <f aca="false">TEXT(VLOOKUP(B1683,$I$2:$J$20,2,FALSE()),"0")</f>
        <v>800</v>
      </c>
      <c r="D1683" s="47" t="n">
        <v>20</v>
      </c>
      <c r="E1683" s="47" t="n">
        <v>1580000</v>
      </c>
      <c r="F1683" s="47" t="n">
        <v>400360</v>
      </c>
    </row>
    <row r="1684" customFormat="false" ht="15" hidden="false" customHeight="false" outlineLevel="0" collapsed="false">
      <c r="A1684" s="0" t="s">
        <v>611</v>
      </c>
      <c r="B1684" s="0" t="n">
        <v>100</v>
      </c>
      <c r="C1684" s="0" t="str">
        <f aca="false">TEXT(VLOOKUP(B1684,$I$2:$J$20,2,FALSE()),"0")</f>
        <v>100</v>
      </c>
      <c r="D1684" s="47" t="n">
        <v>350</v>
      </c>
      <c r="E1684" s="47" t="n">
        <v>24150000</v>
      </c>
      <c r="F1684" s="47" t="n">
        <v>6045900</v>
      </c>
    </row>
    <row r="1685" customFormat="false" ht="15" hidden="false" customHeight="false" outlineLevel="0" collapsed="false">
      <c r="A1685" s="0" t="s">
        <v>611</v>
      </c>
      <c r="B1685" s="0" t="n">
        <v>200</v>
      </c>
      <c r="C1685" s="0" t="str">
        <f aca="false">TEXT(VLOOKUP(B1685,$I$2:$J$20,2,FALSE()),"0")</f>
        <v>200</v>
      </c>
      <c r="D1685" s="47" t="n">
        <v>120</v>
      </c>
      <c r="E1685" s="47" t="n">
        <v>8280000</v>
      </c>
      <c r="F1685" s="47" t="n">
        <v>2072880</v>
      </c>
    </row>
    <row r="1686" customFormat="false" ht="15" hidden="false" customHeight="false" outlineLevel="0" collapsed="false">
      <c r="A1686" s="0" t="s">
        <v>611</v>
      </c>
      <c r="B1686" s="0" t="n">
        <v>299</v>
      </c>
      <c r="C1686" s="0" t="str">
        <f aca="false">TEXT(VLOOKUP(B1686,$I$2:$J$20,2,FALSE()),"0")</f>
        <v>200</v>
      </c>
      <c r="D1686" s="47" t="n">
        <v>3</v>
      </c>
      <c r="E1686" s="47" t="n">
        <v>207000</v>
      </c>
      <c r="F1686" s="47" t="n">
        <v>51822</v>
      </c>
    </row>
    <row r="1687" customFormat="false" ht="15" hidden="false" customHeight="false" outlineLevel="0" collapsed="false">
      <c r="A1687" s="0" t="s">
        <v>611</v>
      </c>
      <c r="B1687" s="0" t="n">
        <v>300</v>
      </c>
      <c r="C1687" s="0" t="str">
        <f aca="false">TEXT(VLOOKUP(B1687,$I$2:$J$20,2,FALSE()),"0")</f>
        <v>300</v>
      </c>
      <c r="D1687" s="47" t="n">
        <v>200</v>
      </c>
      <c r="E1687" s="47" t="n">
        <v>13800000</v>
      </c>
      <c r="F1687" s="47" t="n">
        <v>3454800</v>
      </c>
    </row>
    <row r="1688" customFormat="false" ht="15" hidden="false" customHeight="false" outlineLevel="0" collapsed="false">
      <c r="A1688" s="0" t="s">
        <v>611</v>
      </c>
      <c r="B1688" s="0" t="n">
        <v>600</v>
      </c>
      <c r="C1688" s="0" t="str">
        <f aca="false">TEXT(VLOOKUP(B1688,$I$2:$J$20,2,FALSE()),"0")</f>
        <v>600</v>
      </c>
      <c r="D1688" s="47" t="n">
        <v>20</v>
      </c>
      <c r="E1688" s="47" t="n">
        <v>1380000</v>
      </c>
      <c r="F1688" s="47" t="n">
        <v>345480</v>
      </c>
    </row>
    <row r="1689" customFormat="false" ht="15" hidden="false" customHeight="false" outlineLevel="0" collapsed="false">
      <c r="A1689" s="0" t="s">
        <v>611</v>
      </c>
      <c r="B1689" s="0" t="n">
        <v>800</v>
      </c>
      <c r="C1689" s="0" t="str">
        <f aca="false">TEXT(VLOOKUP(B1689,$I$2:$J$20,2,FALSE()),"0")</f>
        <v>800</v>
      </c>
      <c r="D1689" s="47" t="n">
        <v>20</v>
      </c>
      <c r="E1689" s="47" t="n">
        <v>1380000</v>
      </c>
      <c r="F1689" s="47" t="n">
        <v>345480</v>
      </c>
    </row>
    <row r="1690" customFormat="false" ht="15" hidden="false" customHeight="false" outlineLevel="0" collapsed="false">
      <c r="A1690" s="0" t="s">
        <v>611</v>
      </c>
      <c r="B1690" s="0" t="n">
        <v>810</v>
      </c>
      <c r="C1690" s="0" t="str">
        <f aca="false">TEXT(VLOOKUP(B1690,$I$2:$J$20,2,FALSE()),"0")</f>
        <v>810</v>
      </c>
      <c r="D1690" s="47" t="n">
        <v>48</v>
      </c>
      <c r="E1690" s="47" t="n">
        <v>3312000</v>
      </c>
      <c r="F1690" s="47" t="n">
        <v>829152</v>
      </c>
    </row>
    <row r="1691" customFormat="false" ht="15" hidden="false" customHeight="false" outlineLevel="0" collapsed="false">
      <c r="A1691" s="0" t="s">
        <v>962</v>
      </c>
      <c r="B1691" s="0" t="n">
        <v>100</v>
      </c>
      <c r="C1691" s="0" t="str">
        <f aca="false">TEXT(VLOOKUP(B1691,$I$2:$J$20,2,FALSE()),"0")</f>
        <v>100</v>
      </c>
      <c r="D1691" s="47" t="n">
        <v>100</v>
      </c>
      <c r="E1691" s="47" t="n">
        <v>3900000</v>
      </c>
      <c r="F1691" s="47" t="n">
        <v>931100</v>
      </c>
    </row>
    <row r="1692" customFormat="false" ht="15" hidden="false" customHeight="false" outlineLevel="0" collapsed="false">
      <c r="A1692" s="0" t="s">
        <v>962</v>
      </c>
      <c r="B1692" s="0" t="n">
        <v>700</v>
      </c>
      <c r="C1692" s="0" t="str">
        <f aca="false">TEXT(VLOOKUP(B1692,$I$2:$J$20,2,FALSE()),"0")</f>
        <v>700</v>
      </c>
      <c r="D1692" s="47" t="n">
        <v>190</v>
      </c>
      <c r="E1692" s="47" t="n">
        <v>7410000</v>
      </c>
      <c r="F1692" s="47" t="n">
        <v>1769090</v>
      </c>
    </row>
    <row r="1693" customFormat="false" ht="15" hidden="false" customHeight="false" outlineLevel="0" collapsed="false">
      <c r="A1693" s="0" t="s">
        <v>964</v>
      </c>
      <c r="B1693" s="0" t="n">
        <v>100</v>
      </c>
      <c r="C1693" s="0" t="str">
        <f aca="false">TEXT(VLOOKUP(B1693,$I$2:$J$20,2,FALSE()),"0")</f>
        <v>100</v>
      </c>
      <c r="D1693" s="47" t="n">
        <v>100</v>
      </c>
      <c r="E1693" s="47" t="n">
        <v>4900000</v>
      </c>
      <c r="F1693" s="47" t="n">
        <v>1204300</v>
      </c>
    </row>
    <row r="1694" customFormat="false" ht="15" hidden="false" customHeight="false" outlineLevel="0" collapsed="false">
      <c r="A1694" s="0" t="s">
        <v>964</v>
      </c>
      <c r="B1694" s="0" t="n">
        <v>700</v>
      </c>
      <c r="C1694" s="0" t="str">
        <f aca="false">TEXT(VLOOKUP(B1694,$I$2:$J$20,2,FALSE()),"0")</f>
        <v>700</v>
      </c>
      <c r="D1694" s="47" t="n">
        <v>190</v>
      </c>
      <c r="E1694" s="47" t="n">
        <v>9310000</v>
      </c>
      <c r="F1694" s="47" t="n">
        <v>2288170</v>
      </c>
    </row>
    <row r="1695" customFormat="false" ht="15" hidden="false" customHeight="false" outlineLevel="0" collapsed="false">
      <c r="A1695" s="0" t="s">
        <v>1423</v>
      </c>
      <c r="B1695" s="0" t="n">
        <v>700</v>
      </c>
      <c r="C1695" s="0" t="str">
        <f aca="false">TEXT(VLOOKUP(B1695,$I$2:$J$20,2,FALSE()),"0")</f>
        <v>700</v>
      </c>
      <c r="D1695" s="47" t="n">
        <v>190</v>
      </c>
      <c r="E1695" s="47" t="n">
        <v>11210000</v>
      </c>
      <c r="F1695" s="47" t="n">
        <v>2572220</v>
      </c>
    </row>
    <row r="1696" customFormat="false" ht="15" hidden="false" customHeight="false" outlineLevel="0" collapsed="false">
      <c r="A1696" s="0" t="s">
        <v>966</v>
      </c>
      <c r="B1696" s="0" t="n">
        <v>100</v>
      </c>
      <c r="C1696" s="0" t="str">
        <f aca="false">TEXT(VLOOKUP(B1696,$I$2:$J$20,2,FALSE()),"0")</f>
        <v>100</v>
      </c>
      <c r="D1696" s="47" t="n">
        <v>80</v>
      </c>
      <c r="E1696" s="47" t="n">
        <v>4720000</v>
      </c>
      <c r="F1696" s="47" t="n">
        <v>1218480</v>
      </c>
    </row>
    <row r="1697" customFormat="false" ht="15" hidden="false" customHeight="false" outlineLevel="0" collapsed="false">
      <c r="A1697" s="0" t="s">
        <v>966</v>
      </c>
      <c r="B1697" s="0" t="n">
        <v>200</v>
      </c>
      <c r="C1697" s="0" t="str">
        <f aca="false">TEXT(VLOOKUP(B1697,$I$2:$J$20,2,FALSE()),"0")</f>
        <v>200</v>
      </c>
      <c r="D1697" s="47" t="n">
        <v>110</v>
      </c>
      <c r="E1697" s="47" t="n">
        <v>6490000</v>
      </c>
      <c r="F1697" s="47" t="n">
        <v>1675410</v>
      </c>
    </row>
    <row r="1698" customFormat="false" ht="15" hidden="false" customHeight="false" outlineLevel="0" collapsed="false">
      <c r="A1698" s="0" t="s">
        <v>966</v>
      </c>
      <c r="B1698" s="0" t="n">
        <v>299</v>
      </c>
      <c r="C1698" s="0" t="str">
        <f aca="false">TEXT(VLOOKUP(B1698,$I$2:$J$20,2,FALSE()),"0")</f>
        <v>200</v>
      </c>
      <c r="D1698" s="47" t="n">
        <v>2</v>
      </c>
      <c r="E1698" s="47" t="n">
        <v>118000</v>
      </c>
      <c r="F1698" s="47" t="n">
        <v>30462</v>
      </c>
    </row>
    <row r="1699" customFormat="false" ht="15" hidden="false" customHeight="false" outlineLevel="0" collapsed="false">
      <c r="A1699" s="0" t="s">
        <v>966</v>
      </c>
      <c r="B1699" s="0" t="n">
        <v>700</v>
      </c>
      <c r="C1699" s="0" t="str">
        <f aca="false">TEXT(VLOOKUP(B1699,$I$2:$J$20,2,FALSE()),"0")</f>
        <v>700</v>
      </c>
      <c r="D1699" s="47" t="n">
        <v>90</v>
      </c>
      <c r="E1699" s="47" t="n">
        <v>5310000</v>
      </c>
      <c r="F1699" s="47" t="n">
        <v>1370790</v>
      </c>
    </row>
    <row r="1700" customFormat="false" ht="15" hidden="false" customHeight="false" outlineLevel="0" collapsed="false">
      <c r="A1700" s="0" t="s">
        <v>1425</v>
      </c>
      <c r="B1700" s="0" t="n">
        <v>700</v>
      </c>
      <c r="C1700" s="0" t="str">
        <f aca="false">TEXT(VLOOKUP(B1700,$I$2:$J$20,2,FALSE()),"0")</f>
        <v>700</v>
      </c>
      <c r="D1700" s="47" t="n">
        <v>100</v>
      </c>
      <c r="E1700" s="47" t="n">
        <v>8900000</v>
      </c>
      <c r="F1700" s="47" t="n">
        <v>2006700</v>
      </c>
    </row>
    <row r="1701" customFormat="false" ht="15" hidden="false" customHeight="false" outlineLevel="0" collapsed="false">
      <c r="A1701" s="0" t="s">
        <v>1425</v>
      </c>
      <c r="B1701" s="0" t="n">
        <v>701</v>
      </c>
      <c r="C1701" s="0" t="str">
        <f aca="false">TEXT(VLOOKUP(B1701,$I$2:$J$20,2,FALSE()),"0")</f>
        <v>700</v>
      </c>
      <c r="D1701" s="47" t="n">
        <v>200</v>
      </c>
      <c r="E1701" s="47" t="n">
        <v>17800000</v>
      </c>
      <c r="F1701" s="47" t="n">
        <v>4013400</v>
      </c>
    </row>
    <row r="1702" customFormat="false" ht="15" hidden="false" customHeight="false" outlineLevel="0" collapsed="false">
      <c r="A1702" s="0" t="s">
        <v>1425</v>
      </c>
      <c r="B1702" s="0" t="n">
        <v>799</v>
      </c>
      <c r="C1702" s="0" t="str">
        <f aca="false">TEXT(VLOOKUP(B1702,$I$2:$J$20,2,FALSE()),"0")</f>
        <v>700</v>
      </c>
      <c r="D1702" s="47" t="n">
        <v>1</v>
      </c>
      <c r="E1702" s="47" t="n">
        <v>89000</v>
      </c>
      <c r="F1702" s="47" t="n">
        <v>20067</v>
      </c>
    </row>
    <row r="1703" customFormat="false" ht="15" hidden="false" customHeight="false" outlineLevel="0" collapsed="false">
      <c r="A1703" s="0" t="s">
        <v>1358</v>
      </c>
      <c r="B1703" s="0" t="n">
        <v>500</v>
      </c>
      <c r="C1703" s="0" t="str">
        <f aca="false">TEXT(VLOOKUP(B1703,$I$2:$J$20,2,FALSE()),"0")</f>
        <v>500</v>
      </c>
      <c r="D1703" s="47" t="n">
        <v>20</v>
      </c>
      <c r="E1703" s="47" t="n">
        <v>1780000</v>
      </c>
      <c r="F1703" s="47" t="n">
        <v>433420</v>
      </c>
    </row>
    <row r="1704" customFormat="false" ht="15" hidden="false" customHeight="false" outlineLevel="0" collapsed="false">
      <c r="A1704" s="0" t="s">
        <v>1358</v>
      </c>
      <c r="B1704" s="0" t="n">
        <v>700</v>
      </c>
      <c r="C1704" s="0" t="str">
        <f aca="false">TEXT(VLOOKUP(B1704,$I$2:$J$20,2,FALSE()),"0")</f>
        <v>700</v>
      </c>
      <c r="D1704" s="47" t="n">
        <v>100</v>
      </c>
      <c r="E1704" s="47" t="n">
        <v>8900000</v>
      </c>
      <c r="F1704" s="47" t="n">
        <v>2167100</v>
      </c>
    </row>
    <row r="1705" customFormat="false" ht="15" hidden="false" customHeight="false" outlineLevel="0" collapsed="false">
      <c r="A1705" s="0" t="s">
        <v>1358</v>
      </c>
      <c r="B1705" s="0" t="n">
        <v>701</v>
      </c>
      <c r="C1705" s="0" t="str">
        <f aca="false">TEXT(VLOOKUP(B1705,$I$2:$J$20,2,FALSE()),"0")</f>
        <v>700</v>
      </c>
      <c r="D1705" s="47" t="n">
        <v>200</v>
      </c>
      <c r="E1705" s="47" t="n">
        <v>17800000</v>
      </c>
      <c r="F1705" s="47" t="n">
        <v>4334200</v>
      </c>
    </row>
    <row r="1706" customFormat="false" ht="15" hidden="false" customHeight="false" outlineLevel="0" collapsed="false">
      <c r="A1706" s="0" t="s">
        <v>1358</v>
      </c>
      <c r="B1706" s="0" t="n">
        <v>799</v>
      </c>
      <c r="C1706" s="0" t="str">
        <f aca="false">TEXT(VLOOKUP(B1706,$I$2:$J$20,2,FALSE()),"0")</f>
        <v>700</v>
      </c>
      <c r="D1706" s="47" t="n">
        <v>1</v>
      </c>
      <c r="E1706" s="47" t="n">
        <v>89000</v>
      </c>
      <c r="F1706" s="47" t="n">
        <v>21671</v>
      </c>
    </row>
    <row r="1707" customFormat="false" ht="15" hidden="false" customHeight="false" outlineLevel="0" collapsed="false">
      <c r="A1707" s="0" t="s">
        <v>613</v>
      </c>
      <c r="B1707" s="0" t="n">
        <v>300</v>
      </c>
      <c r="C1707" s="0" t="str">
        <f aca="false">TEXT(VLOOKUP(B1707,$I$2:$J$20,2,FALSE()),"0")</f>
        <v>300</v>
      </c>
      <c r="D1707" s="47" t="n">
        <v>300</v>
      </c>
      <c r="E1707" s="47" t="n">
        <v>29700000</v>
      </c>
      <c r="F1707" s="47" t="n">
        <v>5722500</v>
      </c>
    </row>
    <row r="1708" customFormat="false" ht="15" hidden="false" customHeight="false" outlineLevel="0" collapsed="false">
      <c r="A1708" s="0" t="s">
        <v>613</v>
      </c>
      <c r="B1708" s="0" t="n">
        <v>500</v>
      </c>
      <c r="C1708" s="0" t="str">
        <f aca="false">TEXT(VLOOKUP(B1708,$I$2:$J$20,2,FALSE()),"0")</f>
        <v>500</v>
      </c>
      <c r="D1708" s="47" t="n">
        <v>25</v>
      </c>
      <c r="E1708" s="47" t="n">
        <v>2475000</v>
      </c>
      <c r="F1708" s="47" t="n">
        <v>476875</v>
      </c>
    </row>
    <row r="1709" customFormat="false" ht="15" hidden="false" customHeight="false" outlineLevel="0" collapsed="false">
      <c r="A1709" s="0" t="s">
        <v>613</v>
      </c>
      <c r="B1709" s="0" t="n">
        <v>600</v>
      </c>
      <c r="C1709" s="0" t="str">
        <f aca="false">TEXT(VLOOKUP(B1709,$I$2:$J$20,2,FALSE()),"0")</f>
        <v>600</v>
      </c>
      <c r="D1709" s="47" t="n">
        <v>40</v>
      </c>
      <c r="E1709" s="47" t="n">
        <v>3960000</v>
      </c>
      <c r="F1709" s="47" t="n">
        <v>763000</v>
      </c>
    </row>
    <row r="1710" customFormat="false" ht="15" hidden="false" customHeight="false" outlineLevel="0" collapsed="false">
      <c r="A1710" s="0" t="s">
        <v>615</v>
      </c>
      <c r="B1710" s="0" t="n">
        <v>300</v>
      </c>
      <c r="C1710" s="0" t="str">
        <f aca="false">TEXT(VLOOKUP(B1710,$I$2:$J$20,2,FALSE()),"0")</f>
        <v>300</v>
      </c>
      <c r="D1710" s="47" t="n">
        <v>350</v>
      </c>
      <c r="E1710" s="47" t="n">
        <v>27650000</v>
      </c>
      <c r="F1710" s="47" t="n">
        <v>6755350</v>
      </c>
    </row>
    <row r="1711" customFormat="false" ht="15" hidden="false" customHeight="false" outlineLevel="0" collapsed="false">
      <c r="A1711" s="0" t="s">
        <v>615</v>
      </c>
      <c r="B1711" s="0" t="n">
        <v>600</v>
      </c>
      <c r="C1711" s="0" t="str">
        <f aca="false">TEXT(VLOOKUP(B1711,$I$2:$J$20,2,FALSE()),"0")</f>
        <v>600</v>
      </c>
      <c r="D1711" s="47" t="n">
        <v>5</v>
      </c>
      <c r="E1711" s="47" t="n">
        <v>395000</v>
      </c>
      <c r="F1711" s="47" t="n">
        <v>96505</v>
      </c>
    </row>
    <row r="1712" customFormat="false" ht="15" hidden="false" customHeight="false" outlineLevel="0" collapsed="false">
      <c r="A1712" s="0" t="s">
        <v>615</v>
      </c>
      <c r="B1712" s="0" t="n">
        <v>700</v>
      </c>
      <c r="C1712" s="0" t="str">
        <f aca="false">TEXT(VLOOKUP(B1712,$I$2:$J$20,2,FALSE()),"0")</f>
        <v>700</v>
      </c>
      <c r="D1712" s="47" t="n">
        <v>90</v>
      </c>
      <c r="E1712" s="47" t="n">
        <v>7110000</v>
      </c>
      <c r="F1712" s="47" t="n">
        <v>1737090</v>
      </c>
    </row>
    <row r="1713" customFormat="false" ht="15" hidden="false" customHeight="false" outlineLevel="0" collapsed="false">
      <c r="A1713" s="0" t="s">
        <v>615</v>
      </c>
      <c r="B1713" s="0" t="n">
        <v>799</v>
      </c>
      <c r="C1713" s="0" t="str">
        <f aca="false">TEXT(VLOOKUP(B1713,$I$2:$J$20,2,FALSE()),"0")</f>
        <v>700</v>
      </c>
      <c r="D1713" s="47" t="n">
        <v>2</v>
      </c>
      <c r="E1713" s="47" t="n">
        <v>158000</v>
      </c>
      <c r="F1713" s="47" t="n">
        <v>38602</v>
      </c>
    </row>
    <row r="1714" customFormat="false" ht="15" hidden="false" customHeight="false" outlineLevel="0" collapsed="false">
      <c r="A1714" s="0" t="s">
        <v>615</v>
      </c>
      <c r="B1714" s="0" t="n">
        <v>830</v>
      </c>
      <c r="C1714" s="0" t="str">
        <f aca="false">TEXT(VLOOKUP(B1714,$I$2:$J$20,2,FALSE()),"0")</f>
        <v>830</v>
      </c>
      <c r="D1714" s="47" t="n">
        <v>300</v>
      </c>
      <c r="E1714" s="47" t="n">
        <v>23700000</v>
      </c>
      <c r="F1714" s="47" t="n">
        <v>5790300</v>
      </c>
    </row>
    <row r="1715" customFormat="false" ht="15" hidden="false" customHeight="false" outlineLevel="0" collapsed="false">
      <c r="A1715" s="0" t="s">
        <v>1427</v>
      </c>
      <c r="B1715" s="0" t="n">
        <v>500</v>
      </c>
      <c r="C1715" s="0" t="str">
        <f aca="false">TEXT(VLOOKUP(B1715,$I$2:$J$20,2,FALSE()),"0")</f>
        <v>500</v>
      </c>
      <c r="D1715" s="47" t="n">
        <v>15</v>
      </c>
      <c r="E1715" s="47" t="n">
        <v>1035000</v>
      </c>
      <c r="F1715" s="47" t="n">
        <v>248460</v>
      </c>
    </row>
    <row r="1716" customFormat="false" ht="15" hidden="false" customHeight="false" outlineLevel="0" collapsed="false">
      <c r="A1716" s="0" t="s">
        <v>1427</v>
      </c>
      <c r="B1716" s="0" t="n">
        <v>700</v>
      </c>
      <c r="C1716" s="0" t="str">
        <f aca="false">TEXT(VLOOKUP(B1716,$I$2:$J$20,2,FALSE()),"0")</f>
        <v>700</v>
      </c>
      <c r="D1716" s="47" t="n">
        <v>60</v>
      </c>
      <c r="E1716" s="47" t="n">
        <v>4140000</v>
      </c>
      <c r="F1716" s="47" t="n">
        <v>993840</v>
      </c>
    </row>
    <row r="1717" customFormat="false" ht="15" hidden="false" customHeight="false" outlineLevel="0" collapsed="false">
      <c r="A1717" s="0" t="s">
        <v>1427</v>
      </c>
      <c r="B1717" s="0" t="n">
        <v>701</v>
      </c>
      <c r="C1717" s="0" t="str">
        <f aca="false">TEXT(VLOOKUP(B1717,$I$2:$J$20,2,FALSE()),"0")</f>
        <v>700</v>
      </c>
      <c r="D1717" s="47" t="n">
        <v>200</v>
      </c>
      <c r="E1717" s="47" t="n">
        <v>13800000</v>
      </c>
      <c r="F1717" s="47" t="n">
        <v>3312800</v>
      </c>
    </row>
    <row r="1718" customFormat="false" ht="15" hidden="false" customHeight="false" outlineLevel="0" collapsed="false">
      <c r="A1718" s="0" t="s">
        <v>1427</v>
      </c>
      <c r="B1718" s="0" t="n">
        <v>799</v>
      </c>
      <c r="C1718" s="0" t="str">
        <f aca="false">TEXT(VLOOKUP(B1718,$I$2:$J$20,2,FALSE()),"0")</f>
        <v>700</v>
      </c>
      <c r="D1718" s="47" t="n">
        <v>2</v>
      </c>
      <c r="E1718" s="47" t="n">
        <v>138000</v>
      </c>
      <c r="F1718" s="47" t="n">
        <v>33128</v>
      </c>
    </row>
    <row r="1719" customFormat="false" ht="15" hidden="false" customHeight="false" outlineLevel="0" collapsed="false">
      <c r="A1719" s="0" t="s">
        <v>619</v>
      </c>
      <c r="B1719" s="0" t="n">
        <v>100</v>
      </c>
      <c r="C1719" s="0" t="str">
        <f aca="false">TEXT(VLOOKUP(B1719,$I$2:$J$20,2,FALSE()),"0")</f>
        <v>100</v>
      </c>
      <c r="D1719" s="47" t="n">
        <v>530</v>
      </c>
      <c r="E1719" s="47" t="n">
        <v>20670000</v>
      </c>
      <c r="F1719" s="47" t="n">
        <v>4731310</v>
      </c>
    </row>
    <row r="1720" customFormat="false" ht="15" hidden="false" customHeight="false" outlineLevel="0" collapsed="false">
      <c r="A1720" s="0" t="s">
        <v>619</v>
      </c>
      <c r="B1720" s="0" t="n">
        <v>200</v>
      </c>
      <c r="C1720" s="0" t="str">
        <f aca="false">TEXT(VLOOKUP(B1720,$I$2:$J$20,2,FALSE()),"0")</f>
        <v>200</v>
      </c>
      <c r="D1720" s="47" t="n">
        <v>470</v>
      </c>
      <c r="E1720" s="47" t="n">
        <v>18330000</v>
      </c>
      <c r="F1720" s="47" t="n">
        <v>4195690</v>
      </c>
    </row>
    <row r="1721" customFormat="false" ht="15" hidden="false" customHeight="false" outlineLevel="0" collapsed="false">
      <c r="A1721" s="0" t="s">
        <v>619</v>
      </c>
      <c r="B1721" s="0" t="n">
        <v>299</v>
      </c>
      <c r="C1721" s="0" t="str">
        <f aca="false">TEXT(VLOOKUP(B1721,$I$2:$J$20,2,FALSE()),"0")</f>
        <v>200</v>
      </c>
      <c r="D1721" s="47" t="n">
        <v>4</v>
      </c>
      <c r="E1721" s="47" t="n">
        <v>156000</v>
      </c>
      <c r="F1721" s="47" t="n">
        <v>35708</v>
      </c>
    </row>
    <row r="1722" customFormat="false" ht="15" hidden="false" customHeight="false" outlineLevel="0" collapsed="false">
      <c r="A1722" s="0" t="s">
        <v>619</v>
      </c>
      <c r="B1722" s="0" t="n">
        <v>300</v>
      </c>
      <c r="C1722" s="0" t="str">
        <f aca="false">TEXT(VLOOKUP(B1722,$I$2:$J$20,2,FALSE()),"0")</f>
        <v>300</v>
      </c>
      <c r="D1722" s="47" t="n">
        <v>690</v>
      </c>
      <c r="E1722" s="47" t="n">
        <v>26910000</v>
      </c>
      <c r="F1722" s="47" t="n">
        <v>6159630</v>
      </c>
    </row>
    <row r="1723" customFormat="false" ht="15" hidden="false" customHeight="false" outlineLevel="0" collapsed="false">
      <c r="A1723" s="0" t="s">
        <v>619</v>
      </c>
      <c r="B1723" s="0" t="n">
        <v>500</v>
      </c>
      <c r="C1723" s="0" t="str">
        <f aca="false">TEXT(VLOOKUP(B1723,$I$2:$J$20,2,FALSE()),"0")</f>
        <v>500</v>
      </c>
      <c r="D1723" s="47" t="n">
        <v>140</v>
      </c>
      <c r="E1723" s="47" t="n">
        <v>5460000</v>
      </c>
      <c r="F1723" s="47" t="n">
        <v>1249780</v>
      </c>
    </row>
    <row r="1724" customFormat="false" ht="15" hidden="false" customHeight="false" outlineLevel="0" collapsed="false">
      <c r="A1724" s="0" t="s">
        <v>619</v>
      </c>
      <c r="B1724" s="0" t="n">
        <v>600</v>
      </c>
      <c r="C1724" s="0" t="str">
        <f aca="false">TEXT(VLOOKUP(B1724,$I$2:$J$20,2,FALSE()),"0")</f>
        <v>600</v>
      </c>
      <c r="D1724" s="47" t="n">
        <v>180</v>
      </c>
      <c r="E1724" s="47" t="n">
        <v>7020000</v>
      </c>
      <c r="F1724" s="47" t="n">
        <v>1606860</v>
      </c>
    </row>
    <row r="1725" customFormat="false" ht="15" hidden="false" customHeight="false" outlineLevel="0" collapsed="false">
      <c r="A1725" s="0" t="s">
        <v>619</v>
      </c>
      <c r="B1725" s="0" t="n">
        <v>700</v>
      </c>
      <c r="C1725" s="0" t="str">
        <f aca="false">TEXT(VLOOKUP(B1725,$I$2:$J$20,2,FALSE()),"0")</f>
        <v>700</v>
      </c>
      <c r="D1725" s="47" t="n">
        <v>200</v>
      </c>
      <c r="E1725" s="47" t="n">
        <v>7800000</v>
      </c>
      <c r="F1725" s="47" t="n">
        <v>1785400</v>
      </c>
    </row>
    <row r="1726" customFormat="false" ht="15" hidden="false" customHeight="false" outlineLevel="0" collapsed="false">
      <c r="A1726" s="0" t="s">
        <v>619</v>
      </c>
      <c r="B1726" s="0" t="n">
        <v>799</v>
      </c>
      <c r="C1726" s="0" t="str">
        <f aca="false">TEXT(VLOOKUP(B1726,$I$2:$J$20,2,FALSE()),"0")</f>
        <v>700</v>
      </c>
      <c r="D1726" s="47" t="n">
        <v>3</v>
      </c>
      <c r="E1726" s="47" t="n">
        <v>117000</v>
      </c>
      <c r="F1726" s="47" t="n">
        <v>26781</v>
      </c>
    </row>
    <row r="1727" customFormat="false" ht="15" hidden="false" customHeight="false" outlineLevel="0" collapsed="false">
      <c r="A1727" s="0" t="s">
        <v>619</v>
      </c>
      <c r="B1727" s="0" t="n">
        <v>800</v>
      </c>
      <c r="C1727" s="0" t="str">
        <f aca="false">TEXT(VLOOKUP(B1727,$I$2:$J$20,2,FALSE()),"0")</f>
        <v>800</v>
      </c>
      <c r="D1727" s="47" t="n">
        <v>90</v>
      </c>
      <c r="E1727" s="47" t="n">
        <v>3510000</v>
      </c>
      <c r="F1727" s="47" t="n">
        <v>803430</v>
      </c>
    </row>
    <row r="1728" customFormat="false" ht="15" hidden="false" customHeight="false" outlineLevel="0" collapsed="false">
      <c r="A1728" s="0" t="s">
        <v>619</v>
      </c>
      <c r="B1728" s="0" t="n">
        <v>810</v>
      </c>
      <c r="C1728" s="0" t="str">
        <f aca="false">TEXT(VLOOKUP(B1728,$I$2:$J$20,2,FALSE()),"0")</f>
        <v>810</v>
      </c>
      <c r="D1728" s="47" t="n">
        <v>168</v>
      </c>
      <c r="E1728" s="47" t="n">
        <v>6552000</v>
      </c>
      <c r="F1728" s="47" t="n">
        <v>1499736</v>
      </c>
    </row>
    <row r="1729" customFormat="false" ht="15" hidden="false" customHeight="false" outlineLevel="0" collapsed="false">
      <c r="A1729" s="0" t="s">
        <v>621</v>
      </c>
      <c r="B1729" s="0" t="n">
        <v>100</v>
      </c>
      <c r="C1729" s="0" t="str">
        <f aca="false">TEXT(VLOOKUP(B1729,$I$2:$J$20,2,FALSE()),"0")</f>
        <v>100</v>
      </c>
      <c r="D1729" s="47" t="n">
        <v>470</v>
      </c>
      <c r="E1729" s="47" t="n">
        <v>18330000</v>
      </c>
      <c r="F1729" s="47" t="n">
        <v>4050930</v>
      </c>
    </row>
    <row r="1730" customFormat="false" ht="15" hidden="false" customHeight="false" outlineLevel="0" collapsed="false">
      <c r="A1730" s="0" t="s">
        <v>621</v>
      </c>
      <c r="B1730" s="0" t="n">
        <v>200</v>
      </c>
      <c r="C1730" s="0" t="str">
        <f aca="false">TEXT(VLOOKUP(B1730,$I$2:$J$20,2,FALSE()),"0")</f>
        <v>200</v>
      </c>
      <c r="D1730" s="47" t="n">
        <v>300</v>
      </c>
      <c r="E1730" s="47" t="n">
        <v>11700000</v>
      </c>
      <c r="F1730" s="47" t="n">
        <v>2585700</v>
      </c>
    </row>
    <row r="1731" customFormat="false" ht="15" hidden="false" customHeight="false" outlineLevel="0" collapsed="false">
      <c r="A1731" s="0" t="s">
        <v>621</v>
      </c>
      <c r="B1731" s="0" t="n">
        <v>201</v>
      </c>
      <c r="C1731" s="0" t="str">
        <f aca="false">TEXT(VLOOKUP(B1731,$I$2:$J$20,2,FALSE()),"0")</f>
        <v>200</v>
      </c>
      <c r="D1731" s="47" t="n">
        <v>500</v>
      </c>
      <c r="E1731" s="47" t="n">
        <v>19500000</v>
      </c>
      <c r="F1731" s="47" t="n">
        <v>4309500</v>
      </c>
    </row>
    <row r="1732" customFormat="false" ht="15" hidden="false" customHeight="false" outlineLevel="0" collapsed="false">
      <c r="A1732" s="0" t="s">
        <v>621</v>
      </c>
      <c r="B1732" s="0" t="n">
        <v>299</v>
      </c>
      <c r="C1732" s="0" t="str">
        <f aca="false">TEXT(VLOOKUP(B1732,$I$2:$J$20,2,FALSE()),"0")</f>
        <v>200</v>
      </c>
      <c r="D1732" s="47" t="n">
        <v>3</v>
      </c>
      <c r="E1732" s="47" t="n">
        <v>117000</v>
      </c>
      <c r="F1732" s="47" t="n">
        <v>25857</v>
      </c>
    </row>
    <row r="1733" customFormat="false" ht="15" hidden="false" customHeight="false" outlineLevel="0" collapsed="false">
      <c r="A1733" s="0" t="s">
        <v>621</v>
      </c>
      <c r="B1733" s="0" t="n">
        <v>300</v>
      </c>
      <c r="C1733" s="0" t="str">
        <f aca="false">TEXT(VLOOKUP(B1733,$I$2:$J$20,2,FALSE()),"0")</f>
        <v>300</v>
      </c>
      <c r="D1733" s="47" t="n">
        <v>450</v>
      </c>
      <c r="E1733" s="47" t="n">
        <v>17550000</v>
      </c>
      <c r="F1733" s="47" t="n">
        <v>3878550</v>
      </c>
    </row>
    <row r="1734" customFormat="false" ht="15" hidden="false" customHeight="false" outlineLevel="0" collapsed="false">
      <c r="A1734" s="0" t="s">
        <v>621</v>
      </c>
      <c r="B1734" s="0" t="n">
        <v>301</v>
      </c>
      <c r="C1734" s="0" t="str">
        <f aca="false">TEXT(VLOOKUP(B1734,$I$2:$J$20,2,FALSE()),"0")</f>
        <v>300</v>
      </c>
      <c r="D1734" s="47" t="n">
        <v>100</v>
      </c>
      <c r="E1734" s="47" t="n">
        <v>3900000</v>
      </c>
      <c r="F1734" s="47" t="n">
        <v>861900</v>
      </c>
    </row>
    <row r="1735" customFormat="false" ht="15" hidden="false" customHeight="false" outlineLevel="0" collapsed="false">
      <c r="A1735" s="0" t="s">
        <v>621</v>
      </c>
      <c r="B1735" s="0" t="n">
        <v>500</v>
      </c>
      <c r="C1735" s="0" t="str">
        <f aca="false">TEXT(VLOOKUP(B1735,$I$2:$J$20,2,FALSE()),"0")</f>
        <v>500</v>
      </c>
      <c r="D1735" s="47" t="n">
        <v>80</v>
      </c>
      <c r="E1735" s="47" t="n">
        <v>3120000</v>
      </c>
      <c r="F1735" s="47" t="n">
        <v>689520</v>
      </c>
    </row>
    <row r="1736" customFormat="false" ht="15" hidden="false" customHeight="false" outlineLevel="0" collapsed="false">
      <c r="A1736" s="0" t="s">
        <v>621</v>
      </c>
      <c r="B1736" s="0" t="n">
        <v>600</v>
      </c>
      <c r="C1736" s="0" t="str">
        <f aca="false">TEXT(VLOOKUP(B1736,$I$2:$J$20,2,FALSE()),"0")</f>
        <v>600</v>
      </c>
      <c r="D1736" s="47" t="n">
        <v>140</v>
      </c>
      <c r="E1736" s="47" t="n">
        <v>5460000</v>
      </c>
      <c r="F1736" s="47" t="n">
        <v>1206660</v>
      </c>
    </row>
    <row r="1737" customFormat="false" ht="15" hidden="false" customHeight="false" outlineLevel="0" collapsed="false">
      <c r="A1737" s="0" t="s">
        <v>621</v>
      </c>
      <c r="B1737" s="0" t="n">
        <v>700</v>
      </c>
      <c r="C1737" s="0" t="str">
        <f aca="false">TEXT(VLOOKUP(B1737,$I$2:$J$20,2,FALSE()),"0")</f>
        <v>700</v>
      </c>
      <c r="D1737" s="47" t="n">
        <v>240</v>
      </c>
      <c r="E1737" s="47" t="n">
        <v>9360000</v>
      </c>
      <c r="F1737" s="47" t="n">
        <v>2068560</v>
      </c>
    </row>
    <row r="1738" customFormat="false" ht="15" hidden="false" customHeight="false" outlineLevel="0" collapsed="false">
      <c r="A1738" s="0" t="s">
        <v>621</v>
      </c>
      <c r="B1738" s="0" t="n">
        <v>701</v>
      </c>
      <c r="C1738" s="0" t="str">
        <f aca="false">TEXT(VLOOKUP(B1738,$I$2:$J$20,2,FALSE()),"0")</f>
        <v>700</v>
      </c>
      <c r="D1738" s="47" t="n">
        <v>400</v>
      </c>
      <c r="E1738" s="47" t="n">
        <v>15600000</v>
      </c>
      <c r="F1738" s="47" t="n">
        <v>3447600</v>
      </c>
    </row>
    <row r="1739" customFormat="false" ht="15" hidden="false" customHeight="false" outlineLevel="0" collapsed="false">
      <c r="A1739" s="0" t="s">
        <v>621</v>
      </c>
      <c r="B1739" s="0" t="n">
        <v>799</v>
      </c>
      <c r="C1739" s="0" t="str">
        <f aca="false">TEXT(VLOOKUP(B1739,$I$2:$J$20,2,FALSE()),"0")</f>
        <v>700</v>
      </c>
      <c r="D1739" s="47" t="n">
        <v>2</v>
      </c>
      <c r="E1739" s="47" t="n">
        <v>78000</v>
      </c>
      <c r="F1739" s="47" t="n">
        <v>17238</v>
      </c>
    </row>
    <row r="1740" customFormat="false" ht="15" hidden="false" customHeight="false" outlineLevel="0" collapsed="false">
      <c r="A1740" s="0" t="s">
        <v>621</v>
      </c>
      <c r="B1740" s="0" t="n">
        <v>800</v>
      </c>
      <c r="C1740" s="0" t="str">
        <f aca="false">TEXT(VLOOKUP(B1740,$I$2:$J$20,2,FALSE()),"0")</f>
        <v>800</v>
      </c>
      <c r="D1740" s="47" t="n">
        <v>105</v>
      </c>
      <c r="E1740" s="47" t="n">
        <v>4095000</v>
      </c>
      <c r="F1740" s="47" t="n">
        <v>904995</v>
      </c>
    </row>
    <row r="1741" customFormat="false" ht="15" hidden="false" customHeight="false" outlineLevel="0" collapsed="false">
      <c r="A1741" s="0" t="s">
        <v>623</v>
      </c>
      <c r="B1741" s="0" t="n">
        <v>200</v>
      </c>
      <c r="C1741" s="0" t="str">
        <f aca="false">TEXT(VLOOKUP(B1741,$I$2:$J$20,2,FALSE()),"0")</f>
        <v>200</v>
      </c>
      <c r="D1741" s="47" t="n">
        <v>180</v>
      </c>
      <c r="E1741" s="47" t="n">
        <v>8820000</v>
      </c>
      <c r="F1741" s="47" t="n">
        <v>1997640</v>
      </c>
    </row>
    <row r="1742" customFormat="false" ht="15" hidden="false" customHeight="false" outlineLevel="0" collapsed="false">
      <c r="A1742" s="0" t="s">
        <v>623</v>
      </c>
      <c r="B1742" s="0" t="n">
        <v>299</v>
      </c>
      <c r="C1742" s="0" t="str">
        <f aca="false">TEXT(VLOOKUP(B1742,$I$2:$J$20,2,FALSE()),"0")</f>
        <v>200</v>
      </c>
      <c r="D1742" s="47" t="n">
        <v>2</v>
      </c>
      <c r="E1742" s="47" t="n">
        <v>98000</v>
      </c>
      <c r="F1742" s="47" t="n">
        <v>22196</v>
      </c>
    </row>
    <row r="1743" customFormat="false" ht="15" hidden="false" customHeight="false" outlineLevel="0" collapsed="false">
      <c r="A1743" s="0" t="s">
        <v>623</v>
      </c>
      <c r="B1743" s="0" t="n">
        <v>300</v>
      </c>
      <c r="C1743" s="0" t="str">
        <f aca="false">TEXT(VLOOKUP(B1743,$I$2:$J$20,2,FALSE()),"0")</f>
        <v>300</v>
      </c>
      <c r="D1743" s="47" t="n">
        <v>250</v>
      </c>
      <c r="E1743" s="47" t="n">
        <v>12250000</v>
      </c>
      <c r="F1743" s="47" t="n">
        <v>2774500</v>
      </c>
    </row>
    <row r="1744" customFormat="false" ht="15" hidden="false" customHeight="false" outlineLevel="0" collapsed="false">
      <c r="A1744" s="0" t="s">
        <v>623</v>
      </c>
      <c r="B1744" s="0" t="n">
        <v>500</v>
      </c>
      <c r="C1744" s="0" t="str">
        <f aca="false">TEXT(VLOOKUP(B1744,$I$2:$J$20,2,FALSE()),"0")</f>
        <v>500</v>
      </c>
      <c r="D1744" s="47" t="n">
        <v>40</v>
      </c>
      <c r="E1744" s="47" t="n">
        <v>1960000</v>
      </c>
      <c r="F1744" s="47" t="n">
        <v>443920</v>
      </c>
    </row>
    <row r="1745" customFormat="false" ht="15" hidden="false" customHeight="false" outlineLevel="0" collapsed="false">
      <c r="A1745" s="0" t="s">
        <v>623</v>
      </c>
      <c r="B1745" s="0" t="n">
        <v>800</v>
      </c>
      <c r="C1745" s="0" t="str">
        <f aca="false">TEXT(VLOOKUP(B1745,$I$2:$J$20,2,FALSE()),"0")</f>
        <v>800</v>
      </c>
      <c r="D1745" s="47" t="n">
        <v>65</v>
      </c>
      <c r="E1745" s="47" t="n">
        <v>3185000</v>
      </c>
      <c r="F1745" s="47" t="n">
        <v>721370</v>
      </c>
    </row>
    <row r="1746" customFormat="false" ht="15" hidden="false" customHeight="false" outlineLevel="0" collapsed="false">
      <c r="A1746" s="0" t="s">
        <v>968</v>
      </c>
      <c r="B1746" s="0" t="n">
        <v>100</v>
      </c>
      <c r="C1746" s="0" t="str">
        <f aca="false">TEXT(VLOOKUP(B1746,$I$2:$J$20,2,FALSE()),"0")</f>
        <v>100</v>
      </c>
      <c r="D1746" s="47" t="n">
        <v>200</v>
      </c>
      <c r="E1746" s="47" t="n">
        <v>9800000</v>
      </c>
      <c r="F1746" s="47" t="n">
        <v>2412800</v>
      </c>
    </row>
    <row r="1747" customFormat="false" ht="15" hidden="false" customHeight="false" outlineLevel="0" collapsed="false">
      <c r="A1747" s="0" t="s">
        <v>968</v>
      </c>
      <c r="B1747" s="0" t="n">
        <v>500</v>
      </c>
      <c r="C1747" s="0" t="str">
        <f aca="false">TEXT(VLOOKUP(B1747,$I$2:$J$20,2,FALSE()),"0")</f>
        <v>500</v>
      </c>
      <c r="D1747" s="47" t="n">
        <v>40</v>
      </c>
      <c r="E1747" s="47" t="n">
        <v>1960000</v>
      </c>
      <c r="F1747" s="47" t="n">
        <v>482560</v>
      </c>
    </row>
    <row r="1748" customFormat="false" ht="15" hidden="false" customHeight="false" outlineLevel="0" collapsed="false">
      <c r="A1748" s="0" t="s">
        <v>968</v>
      </c>
      <c r="B1748" s="0" t="n">
        <v>800</v>
      </c>
      <c r="C1748" s="0" t="str">
        <f aca="false">TEXT(VLOOKUP(B1748,$I$2:$J$20,2,FALSE()),"0")</f>
        <v>800</v>
      </c>
      <c r="D1748" s="47" t="n">
        <v>25</v>
      </c>
      <c r="E1748" s="47" t="n">
        <v>1225000</v>
      </c>
      <c r="F1748" s="47" t="n">
        <v>301600</v>
      </c>
    </row>
    <row r="1749" customFormat="false" ht="15" hidden="false" customHeight="false" outlineLevel="0" collapsed="false">
      <c r="A1749" s="0" t="s">
        <v>625</v>
      </c>
      <c r="B1749" s="0" t="n">
        <v>200</v>
      </c>
      <c r="C1749" s="0" t="str">
        <f aca="false">TEXT(VLOOKUP(B1749,$I$2:$J$20,2,FALSE()),"0")</f>
        <v>200</v>
      </c>
      <c r="D1749" s="47" t="n">
        <v>160</v>
      </c>
      <c r="E1749" s="47" t="n">
        <v>9440000</v>
      </c>
      <c r="F1749" s="47" t="n">
        <v>2140480</v>
      </c>
    </row>
    <row r="1750" customFormat="false" ht="15" hidden="false" customHeight="false" outlineLevel="0" collapsed="false">
      <c r="A1750" s="0" t="s">
        <v>625</v>
      </c>
      <c r="B1750" s="0" t="n">
        <v>299</v>
      </c>
      <c r="C1750" s="0" t="str">
        <f aca="false">TEXT(VLOOKUP(B1750,$I$2:$J$20,2,FALSE()),"0")</f>
        <v>200</v>
      </c>
      <c r="D1750" s="47" t="n">
        <v>2</v>
      </c>
      <c r="E1750" s="47" t="n">
        <v>118000</v>
      </c>
      <c r="F1750" s="47" t="n">
        <v>26756</v>
      </c>
    </row>
    <row r="1751" customFormat="false" ht="15" hidden="false" customHeight="false" outlineLevel="0" collapsed="false">
      <c r="A1751" s="0" t="s">
        <v>625</v>
      </c>
      <c r="B1751" s="0" t="n">
        <v>300</v>
      </c>
      <c r="C1751" s="0" t="str">
        <f aca="false">TEXT(VLOOKUP(B1751,$I$2:$J$20,2,FALSE()),"0")</f>
        <v>300</v>
      </c>
      <c r="D1751" s="47" t="n">
        <v>350</v>
      </c>
      <c r="E1751" s="47" t="n">
        <v>20650000</v>
      </c>
      <c r="F1751" s="47" t="n">
        <v>4682300</v>
      </c>
    </row>
    <row r="1752" customFormat="false" ht="15" hidden="false" customHeight="false" outlineLevel="0" collapsed="false">
      <c r="A1752" s="0" t="s">
        <v>625</v>
      </c>
      <c r="B1752" s="0" t="n">
        <v>500</v>
      </c>
      <c r="C1752" s="0" t="str">
        <f aca="false">TEXT(VLOOKUP(B1752,$I$2:$J$20,2,FALSE()),"0")</f>
        <v>500</v>
      </c>
      <c r="D1752" s="47" t="n">
        <v>130</v>
      </c>
      <c r="E1752" s="47" t="n">
        <v>7670000</v>
      </c>
      <c r="F1752" s="47" t="n">
        <v>1739140</v>
      </c>
    </row>
    <row r="1753" customFormat="false" ht="15" hidden="false" customHeight="false" outlineLevel="0" collapsed="false">
      <c r="A1753" s="0" t="s">
        <v>625</v>
      </c>
      <c r="B1753" s="0" t="n">
        <v>501</v>
      </c>
      <c r="C1753" s="0" t="str">
        <f aca="false">TEXT(VLOOKUP(B1753,$I$2:$J$20,2,FALSE()),"0")</f>
        <v>500</v>
      </c>
      <c r="D1753" s="47" t="n">
        <v>0</v>
      </c>
      <c r="E1753" s="47" t="n">
        <v>0</v>
      </c>
      <c r="F1753" s="47" t="n">
        <v>0</v>
      </c>
    </row>
    <row r="1754" customFormat="false" ht="15" hidden="false" customHeight="false" outlineLevel="0" collapsed="false">
      <c r="A1754" s="0" t="s">
        <v>625</v>
      </c>
      <c r="B1754" s="0" t="n">
        <v>601</v>
      </c>
      <c r="C1754" s="0" t="str">
        <f aca="false">TEXT(VLOOKUP(B1754,$I$2:$J$20,2,FALSE()),"0")</f>
        <v>600</v>
      </c>
      <c r="D1754" s="47" t="n">
        <v>0</v>
      </c>
      <c r="E1754" s="47" t="n">
        <v>0</v>
      </c>
      <c r="F1754" s="47" t="n">
        <v>0</v>
      </c>
    </row>
    <row r="1755" customFormat="false" ht="15" hidden="false" customHeight="false" outlineLevel="0" collapsed="false">
      <c r="A1755" s="0" t="s">
        <v>625</v>
      </c>
      <c r="B1755" s="0" t="n">
        <v>700</v>
      </c>
      <c r="C1755" s="0" t="str">
        <f aca="false">TEXT(VLOOKUP(B1755,$I$2:$J$20,2,FALSE()),"0")</f>
        <v>700</v>
      </c>
      <c r="D1755" s="47" t="n">
        <v>240</v>
      </c>
      <c r="E1755" s="47" t="n">
        <v>14160000</v>
      </c>
      <c r="F1755" s="47" t="n">
        <v>3210720</v>
      </c>
    </row>
    <row r="1756" customFormat="false" ht="15" hidden="false" customHeight="false" outlineLevel="0" collapsed="false">
      <c r="A1756" s="0" t="s">
        <v>625</v>
      </c>
      <c r="B1756" s="0" t="n">
        <v>701</v>
      </c>
      <c r="C1756" s="0" t="str">
        <f aca="false">TEXT(VLOOKUP(B1756,$I$2:$J$20,2,FALSE()),"0")</f>
        <v>700</v>
      </c>
      <c r="D1756" s="47" t="n">
        <v>600</v>
      </c>
      <c r="E1756" s="47" t="n">
        <v>35400000</v>
      </c>
      <c r="F1756" s="47" t="n">
        <v>8026800</v>
      </c>
    </row>
    <row r="1757" customFormat="false" ht="15" hidden="false" customHeight="false" outlineLevel="0" collapsed="false">
      <c r="A1757" s="0" t="s">
        <v>625</v>
      </c>
      <c r="B1757" s="0" t="n">
        <v>799</v>
      </c>
      <c r="C1757" s="0" t="str">
        <f aca="false">TEXT(VLOOKUP(B1757,$I$2:$J$20,2,FALSE()),"0")</f>
        <v>700</v>
      </c>
      <c r="D1757" s="47" t="n">
        <v>3</v>
      </c>
      <c r="E1757" s="47" t="n">
        <v>177000</v>
      </c>
      <c r="F1757" s="47" t="n">
        <v>40134</v>
      </c>
    </row>
    <row r="1758" customFormat="false" ht="15" hidden="false" customHeight="false" outlineLevel="0" collapsed="false">
      <c r="A1758" s="0" t="s">
        <v>625</v>
      </c>
      <c r="B1758" s="0" t="n">
        <v>800</v>
      </c>
      <c r="C1758" s="0" t="str">
        <f aca="false">TEXT(VLOOKUP(B1758,$I$2:$J$20,2,FALSE()),"0")</f>
        <v>800</v>
      </c>
      <c r="D1758" s="47" t="n">
        <v>70</v>
      </c>
      <c r="E1758" s="47" t="n">
        <v>4130000</v>
      </c>
      <c r="F1758" s="47" t="n">
        <v>936460</v>
      </c>
    </row>
    <row r="1759" customFormat="false" ht="15" hidden="false" customHeight="false" outlineLevel="0" collapsed="false">
      <c r="A1759" s="0" t="s">
        <v>625</v>
      </c>
      <c r="B1759" s="0" t="n">
        <v>810</v>
      </c>
      <c r="C1759" s="0" t="str">
        <f aca="false">TEXT(VLOOKUP(B1759,$I$2:$J$20,2,FALSE()),"0")</f>
        <v>810</v>
      </c>
      <c r="D1759" s="47" t="n">
        <v>168</v>
      </c>
      <c r="E1759" s="47" t="n">
        <v>9912000</v>
      </c>
      <c r="F1759" s="47" t="n">
        <v>2247504</v>
      </c>
    </row>
    <row r="1760" customFormat="false" ht="15" hidden="false" customHeight="false" outlineLevel="0" collapsed="false">
      <c r="A1760" s="0" t="s">
        <v>627</v>
      </c>
      <c r="B1760" s="0" t="n">
        <v>100</v>
      </c>
      <c r="C1760" s="0" t="str">
        <f aca="false">TEXT(VLOOKUP(B1760,$I$2:$J$20,2,FALSE()),"0")</f>
        <v>100</v>
      </c>
      <c r="D1760" s="47" t="n">
        <v>130</v>
      </c>
      <c r="E1760" s="47" t="n">
        <v>10270000</v>
      </c>
      <c r="F1760" s="47" t="n">
        <v>2470000</v>
      </c>
    </row>
    <row r="1761" customFormat="false" ht="15" hidden="false" customHeight="false" outlineLevel="0" collapsed="false">
      <c r="A1761" s="0" t="s">
        <v>627</v>
      </c>
      <c r="B1761" s="0" t="n">
        <v>200</v>
      </c>
      <c r="C1761" s="0" t="str">
        <f aca="false">TEXT(VLOOKUP(B1761,$I$2:$J$20,2,FALSE()),"0")</f>
        <v>200</v>
      </c>
      <c r="D1761" s="47" t="n">
        <v>80</v>
      </c>
      <c r="E1761" s="47" t="n">
        <v>6320000</v>
      </c>
      <c r="F1761" s="47" t="n">
        <v>1520000</v>
      </c>
    </row>
    <row r="1762" customFormat="false" ht="15" hidden="false" customHeight="false" outlineLevel="0" collapsed="false">
      <c r="A1762" s="0" t="s">
        <v>627</v>
      </c>
      <c r="B1762" s="0" t="n">
        <v>299</v>
      </c>
      <c r="C1762" s="0" t="str">
        <f aca="false">TEXT(VLOOKUP(B1762,$I$2:$J$20,2,FALSE()),"0")</f>
        <v>200</v>
      </c>
      <c r="D1762" s="47" t="n">
        <v>1</v>
      </c>
      <c r="E1762" s="47" t="n">
        <v>79000</v>
      </c>
      <c r="F1762" s="47" t="n">
        <v>19000</v>
      </c>
    </row>
    <row r="1763" customFormat="false" ht="15" hidden="false" customHeight="false" outlineLevel="0" collapsed="false">
      <c r="A1763" s="0" t="s">
        <v>627</v>
      </c>
      <c r="B1763" s="0" t="n">
        <v>300</v>
      </c>
      <c r="C1763" s="0" t="str">
        <f aca="false">TEXT(VLOOKUP(B1763,$I$2:$J$20,2,FALSE()),"0")</f>
        <v>300</v>
      </c>
      <c r="D1763" s="47" t="n">
        <v>250</v>
      </c>
      <c r="E1763" s="47" t="n">
        <v>19750000</v>
      </c>
      <c r="F1763" s="47" t="n">
        <v>4750000</v>
      </c>
    </row>
    <row r="1764" customFormat="false" ht="15" hidden="false" customHeight="false" outlineLevel="0" collapsed="false">
      <c r="A1764" s="0" t="s">
        <v>627</v>
      </c>
      <c r="B1764" s="0" t="n">
        <v>500</v>
      </c>
      <c r="C1764" s="0" t="str">
        <f aca="false">TEXT(VLOOKUP(B1764,$I$2:$J$20,2,FALSE()),"0")</f>
        <v>500</v>
      </c>
      <c r="D1764" s="47" t="n">
        <v>40</v>
      </c>
      <c r="E1764" s="47" t="n">
        <v>3160000</v>
      </c>
      <c r="F1764" s="47" t="n">
        <v>760000</v>
      </c>
    </row>
    <row r="1765" customFormat="false" ht="15" hidden="false" customHeight="false" outlineLevel="0" collapsed="false">
      <c r="A1765" s="0" t="s">
        <v>627</v>
      </c>
      <c r="B1765" s="0" t="n">
        <v>600</v>
      </c>
      <c r="C1765" s="0" t="str">
        <f aca="false">TEXT(VLOOKUP(B1765,$I$2:$J$20,2,FALSE()),"0")</f>
        <v>600</v>
      </c>
      <c r="D1765" s="47" t="n">
        <v>15</v>
      </c>
      <c r="E1765" s="47" t="n">
        <v>1185000</v>
      </c>
      <c r="F1765" s="47" t="n">
        <v>285000</v>
      </c>
    </row>
    <row r="1766" customFormat="false" ht="15" hidden="false" customHeight="false" outlineLevel="0" collapsed="false">
      <c r="A1766" s="0" t="s">
        <v>627</v>
      </c>
      <c r="B1766" s="0" t="n">
        <v>700</v>
      </c>
      <c r="C1766" s="0" t="str">
        <f aca="false">TEXT(VLOOKUP(B1766,$I$2:$J$20,2,FALSE()),"0")</f>
        <v>700</v>
      </c>
      <c r="D1766" s="47" t="n">
        <v>120</v>
      </c>
      <c r="E1766" s="47" t="n">
        <v>9480000</v>
      </c>
      <c r="F1766" s="47" t="n">
        <v>2280000</v>
      </c>
    </row>
    <row r="1767" customFormat="false" ht="15" hidden="false" customHeight="false" outlineLevel="0" collapsed="false">
      <c r="A1767" s="0" t="s">
        <v>627</v>
      </c>
      <c r="B1767" s="0" t="n">
        <v>799</v>
      </c>
      <c r="C1767" s="0" t="str">
        <f aca="false">TEXT(VLOOKUP(B1767,$I$2:$J$20,2,FALSE()),"0")</f>
        <v>700</v>
      </c>
      <c r="D1767" s="47" t="n">
        <v>1</v>
      </c>
      <c r="E1767" s="47" t="n">
        <v>79000</v>
      </c>
      <c r="F1767" s="47" t="n">
        <v>19000</v>
      </c>
    </row>
    <row r="1768" customFormat="false" ht="15" hidden="false" customHeight="false" outlineLevel="0" collapsed="false">
      <c r="A1768" s="0" t="s">
        <v>627</v>
      </c>
      <c r="B1768" s="0" t="n">
        <v>800</v>
      </c>
      <c r="C1768" s="0" t="str">
        <f aca="false">TEXT(VLOOKUP(B1768,$I$2:$J$20,2,FALSE()),"0")</f>
        <v>800</v>
      </c>
      <c r="D1768" s="47" t="n">
        <v>15</v>
      </c>
      <c r="E1768" s="47" t="n">
        <v>1185000</v>
      </c>
      <c r="F1768" s="47" t="n">
        <v>285000</v>
      </c>
    </row>
    <row r="1769" customFormat="false" ht="15" hidden="false" customHeight="false" outlineLevel="0" collapsed="false">
      <c r="A1769" s="0" t="s">
        <v>629</v>
      </c>
      <c r="B1769" s="0" t="n">
        <v>100</v>
      </c>
      <c r="C1769" s="0" t="str">
        <f aca="false">TEXT(VLOOKUP(B1769,$I$2:$J$20,2,FALSE()),"0")</f>
        <v>100</v>
      </c>
      <c r="D1769" s="47" t="n">
        <v>230</v>
      </c>
      <c r="E1769" s="47" t="n">
        <v>11270000</v>
      </c>
      <c r="F1769" s="47" t="n">
        <v>2553920</v>
      </c>
    </row>
    <row r="1770" customFormat="false" ht="15" hidden="false" customHeight="false" outlineLevel="0" collapsed="false">
      <c r="A1770" s="0" t="s">
        <v>629</v>
      </c>
      <c r="B1770" s="0" t="n">
        <v>300</v>
      </c>
      <c r="C1770" s="0" t="str">
        <f aca="false">TEXT(VLOOKUP(B1770,$I$2:$J$20,2,FALSE()),"0")</f>
        <v>300</v>
      </c>
      <c r="D1770" s="47" t="n">
        <v>180</v>
      </c>
      <c r="E1770" s="47" t="n">
        <v>8820000</v>
      </c>
      <c r="F1770" s="47" t="n">
        <v>1998720</v>
      </c>
    </row>
    <row r="1771" customFormat="false" ht="15" hidden="false" customHeight="false" outlineLevel="0" collapsed="false">
      <c r="A1771" s="0" t="s">
        <v>629</v>
      </c>
      <c r="B1771" s="0" t="n">
        <v>500</v>
      </c>
      <c r="C1771" s="0" t="str">
        <f aca="false">TEXT(VLOOKUP(B1771,$I$2:$J$20,2,FALSE()),"0")</f>
        <v>500</v>
      </c>
      <c r="D1771" s="47" t="n">
        <v>70</v>
      </c>
      <c r="E1771" s="47" t="n">
        <v>3430000</v>
      </c>
      <c r="F1771" s="47" t="n">
        <v>777280</v>
      </c>
    </row>
    <row r="1772" customFormat="false" ht="15" hidden="false" customHeight="false" outlineLevel="0" collapsed="false">
      <c r="A1772" s="0" t="s">
        <v>629</v>
      </c>
      <c r="B1772" s="0" t="n">
        <v>600</v>
      </c>
      <c r="C1772" s="0" t="str">
        <f aca="false">TEXT(VLOOKUP(B1772,$I$2:$J$20,2,FALSE()),"0")</f>
        <v>600</v>
      </c>
      <c r="D1772" s="47" t="n">
        <v>30</v>
      </c>
      <c r="E1772" s="47" t="n">
        <v>1470000</v>
      </c>
      <c r="F1772" s="47" t="n">
        <v>333120</v>
      </c>
    </row>
    <row r="1773" customFormat="false" ht="15" hidden="false" customHeight="false" outlineLevel="0" collapsed="false">
      <c r="A1773" s="0" t="s">
        <v>629</v>
      </c>
      <c r="B1773" s="0" t="n">
        <v>700</v>
      </c>
      <c r="C1773" s="0" t="str">
        <f aca="false">TEXT(VLOOKUP(B1773,$I$2:$J$20,2,FALSE()),"0")</f>
        <v>700</v>
      </c>
      <c r="D1773" s="47" t="n">
        <v>60</v>
      </c>
      <c r="E1773" s="47" t="n">
        <v>2940000</v>
      </c>
      <c r="F1773" s="47" t="n">
        <v>666240</v>
      </c>
    </row>
    <row r="1774" customFormat="false" ht="15" hidden="false" customHeight="false" outlineLevel="0" collapsed="false">
      <c r="A1774" s="0" t="s">
        <v>629</v>
      </c>
      <c r="B1774" s="0" t="n">
        <v>799</v>
      </c>
      <c r="C1774" s="0" t="str">
        <f aca="false">TEXT(VLOOKUP(B1774,$I$2:$J$20,2,FALSE()),"0")</f>
        <v>700</v>
      </c>
      <c r="D1774" s="47" t="n">
        <v>1</v>
      </c>
      <c r="E1774" s="47" t="n">
        <v>49000</v>
      </c>
      <c r="F1774" s="47" t="n">
        <v>11104</v>
      </c>
    </row>
    <row r="1775" customFormat="false" ht="15" hidden="false" customHeight="false" outlineLevel="0" collapsed="false">
      <c r="A1775" s="0" t="s">
        <v>629</v>
      </c>
      <c r="B1775" s="0" t="n">
        <v>810</v>
      </c>
      <c r="C1775" s="0" t="str">
        <f aca="false">TEXT(VLOOKUP(B1775,$I$2:$J$20,2,FALSE()),"0")</f>
        <v>810</v>
      </c>
      <c r="D1775" s="47" t="n">
        <v>168</v>
      </c>
      <c r="E1775" s="47" t="n">
        <v>8232000</v>
      </c>
      <c r="F1775" s="47" t="n">
        <v>1865472</v>
      </c>
    </row>
    <row r="1776" customFormat="false" ht="15" hidden="false" customHeight="false" outlineLevel="0" collapsed="false">
      <c r="A1776" s="0" t="s">
        <v>1360</v>
      </c>
      <c r="B1776" s="0" t="n">
        <v>600</v>
      </c>
      <c r="C1776" s="0" t="str">
        <f aca="false">TEXT(VLOOKUP(B1776,$I$2:$J$20,2,FALSE()),"0")</f>
        <v>600</v>
      </c>
      <c r="D1776" s="47" t="n">
        <v>20</v>
      </c>
      <c r="E1776" s="47" t="n">
        <v>1580000</v>
      </c>
      <c r="F1776" s="47" t="n">
        <v>334000</v>
      </c>
    </row>
    <row r="1777" customFormat="false" ht="15" hidden="false" customHeight="false" outlineLevel="0" collapsed="false">
      <c r="A1777" s="0" t="s">
        <v>1360</v>
      </c>
      <c r="B1777" s="0" t="n">
        <v>800</v>
      </c>
      <c r="C1777" s="0" t="str">
        <f aca="false">TEXT(VLOOKUP(B1777,$I$2:$J$20,2,FALSE()),"0")</f>
        <v>800</v>
      </c>
      <c r="D1777" s="47" t="n">
        <v>20</v>
      </c>
      <c r="E1777" s="47" t="n">
        <v>1580000</v>
      </c>
      <c r="F1777" s="47" t="n">
        <v>334000</v>
      </c>
    </row>
    <row r="1778" customFormat="false" ht="15" hidden="false" customHeight="false" outlineLevel="0" collapsed="false">
      <c r="A1778" s="0" t="s">
        <v>1362</v>
      </c>
      <c r="B1778" s="0" t="n">
        <v>500</v>
      </c>
      <c r="C1778" s="0" t="str">
        <f aca="false">TEXT(VLOOKUP(B1778,$I$2:$J$20,2,FALSE()),"0")</f>
        <v>500</v>
      </c>
      <c r="D1778" s="47" t="n">
        <v>20</v>
      </c>
      <c r="E1778" s="47" t="n">
        <v>980000</v>
      </c>
      <c r="F1778" s="47" t="n">
        <v>198000</v>
      </c>
    </row>
    <row r="1779" customFormat="false" ht="15" hidden="false" customHeight="false" outlineLevel="0" collapsed="false">
      <c r="A1779" s="0" t="s">
        <v>1362</v>
      </c>
      <c r="B1779" s="0" t="n">
        <v>600</v>
      </c>
      <c r="C1779" s="0" t="str">
        <f aca="false">TEXT(VLOOKUP(B1779,$I$2:$J$20,2,FALSE()),"0")</f>
        <v>600</v>
      </c>
      <c r="D1779" s="47" t="n">
        <v>40</v>
      </c>
      <c r="E1779" s="47" t="n">
        <v>1960000</v>
      </c>
      <c r="F1779" s="47" t="n">
        <v>396000</v>
      </c>
    </row>
    <row r="1780" customFormat="false" ht="15" hidden="false" customHeight="false" outlineLevel="0" collapsed="false">
      <c r="A1780" s="0" t="s">
        <v>1362</v>
      </c>
      <c r="B1780" s="0" t="n">
        <v>810</v>
      </c>
      <c r="C1780" s="0" t="str">
        <f aca="false">TEXT(VLOOKUP(B1780,$I$2:$J$20,2,FALSE()),"0")</f>
        <v>810</v>
      </c>
      <c r="D1780" s="47" t="n">
        <v>288</v>
      </c>
      <c r="E1780" s="47" t="n">
        <v>14112000</v>
      </c>
      <c r="F1780" s="47" t="n">
        <v>2851200</v>
      </c>
    </row>
    <row r="1781" customFormat="false" ht="15" hidden="false" customHeight="false" outlineLevel="0" collapsed="false">
      <c r="A1781" s="0" t="s">
        <v>631</v>
      </c>
      <c r="B1781" s="0" t="n">
        <v>100</v>
      </c>
      <c r="C1781" s="0" t="str">
        <f aca="false">TEXT(VLOOKUP(B1781,$I$2:$J$20,2,FALSE()),"0")</f>
        <v>100</v>
      </c>
      <c r="D1781" s="47" t="n">
        <v>200</v>
      </c>
      <c r="E1781" s="47" t="n">
        <v>11800000</v>
      </c>
      <c r="F1781" s="47" t="n">
        <v>3077200</v>
      </c>
    </row>
    <row r="1782" customFormat="false" ht="15" hidden="false" customHeight="false" outlineLevel="0" collapsed="false">
      <c r="A1782" s="0" t="s">
        <v>631</v>
      </c>
      <c r="B1782" s="0" t="n">
        <v>300</v>
      </c>
      <c r="C1782" s="0" t="str">
        <f aca="false">TEXT(VLOOKUP(B1782,$I$2:$J$20,2,FALSE()),"0")</f>
        <v>300</v>
      </c>
      <c r="D1782" s="47" t="n">
        <v>150</v>
      </c>
      <c r="E1782" s="47" t="n">
        <v>8850000</v>
      </c>
      <c r="F1782" s="47" t="n">
        <v>2307900</v>
      </c>
    </row>
    <row r="1783" customFormat="false" ht="15" hidden="false" customHeight="false" outlineLevel="0" collapsed="false">
      <c r="A1783" s="0" t="s">
        <v>631</v>
      </c>
      <c r="B1783" s="0" t="n">
        <v>500</v>
      </c>
      <c r="C1783" s="0" t="str">
        <f aca="false">TEXT(VLOOKUP(B1783,$I$2:$J$20,2,FALSE()),"0")</f>
        <v>500</v>
      </c>
      <c r="D1783" s="47" t="n">
        <v>65</v>
      </c>
      <c r="E1783" s="47" t="n">
        <v>3835000</v>
      </c>
      <c r="F1783" s="47" t="n">
        <v>1000090</v>
      </c>
    </row>
    <row r="1784" customFormat="false" ht="15" hidden="false" customHeight="false" outlineLevel="0" collapsed="false">
      <c r="A1784" s="0" t="s">
        <v>631</v>
      </c>
      <c r="B1784" s="0" t="n">
        <v>700</v>
      </c>
      <c r="C1784" s="0" t="str">
        <f aca="false">TEXT(VLOOKUP(B1784,$I$2:$J$20,2,FALSE()),"0")</f>
        <v>700</v>
      </c>
      <c r="D1784" s="47" t="n">
        <v>120</v>
      </c>
      <c r="E1784" s="47" t="n">
        <v>7080000</v>
      </c>
      <c r="F1784" s="47" t="n">
        <v>1846320</v>
      </c>
    </row>
    <row r="1785" customFormat="false" ht="15" hidden="false" customHeight="false" outlineLevel="0" collapsed="false">
      <c r="A1785" s="0" t="s">
        <v>631</v>
      </c>
      <c r="B1785" s="0" t="n">
        <v>799</v>
      </c>
      <c r="C1785" s="0" t="str">
        <f aca="false">TEXT(VLOOKUP(B1785,$I$2:$J$20,2,FALSE()),"0")</f>
        <v>700</v>
      </c>
      <c r="D1785" s="47" t="n">
        <v>2</v>
      </c>
      <c r="E1785" s="47" t="n">
        <v>118000</v>
      </c>
      <c r="F1785" s="47" t="n">
        <v>30772</v>
      </c>
    </row>
    <row r="1786" customFormat="false" ht="15" hidden="false" customHeight="false" outlineLevel="0" collapsed="false">
      <c r="A1786" s="0" t="s">
        <v>631</v>
      </c>
      <c r="B1786" s="0" t="n">
        <v>800</v>
      </c>
      <c r="C1786" s="0" t="str">
        <f aca="false">TEXT(VLOOKUP(B1786,$I$2:$J$20,2,FALSE()),"0")</f>
        <v>800</v>
      </c>
      <c r="D1786" s="47" t="n">
        <v>10</v>
      </c>
      <c r="E1786" s="47" t="n">
        <v>590000</v>
      </c>
      <c r="F1786" s="47" t="n">
        <v>153860</v>
      </c>
    </row>
    <row r="1787" customFormat="false" ht="15" hidden="false" customHeight="false" outlineLevel="0" collapsed="false">
      <c r="A1787" s="0" t="s">
        <v>970</v>
      </c>
      <c r="B1787" s="0" t="n">
        <v>100</v>
      </c>
      <c r="C1787" s="0" t="str">
        <f aca="false">TEXT(VLOOKUP(B1787,$I$2:$J$20,2,FALSE()),"0")</f>
        <v>100</v>
      </c>
      <c r="D1787" s="47" t="n">
        <v>200</v>
      </c>
      <c r="E1787" s="47" t="n">
        <v>15800000</v>
      </c>
      <c r="F1787" s="47" t="n">
        <v>3582000</v>
      </c>
    </row>
    <row r="1788" customFormat="false" ht="15" hidden="false" customHeight="false" outlineLevel="0" collapsed="false">
      <c r="A1788" s="0" t="s">
        <v>970</v>
      </c>
      <c r="B1788" s="0" t="n">
        <v>200</v>
      </c>
      <c r="C1788" s="0" t="str">
        <f aca="false">TEXT(VLOOKUP(B1788,$I$2:$J$20,2,FALSE()),"0")</f>
        <v>200</v>
      </c>
      <c r="D1788" s="47" t="n">
        <v>140</v>
      </c>
      <c r="E1788" s="47" t="n">
        <v>11060000</v>
      </c>
      <c r="F1788" s="47" t="n">
        <v>2507400</v>
      </c>
    </row>
    <row r="1789" customFormat="false" ht="15" hidden="false" customHeight="false" outlineLevel="0" collapsed="false">
      <c r="A1789" s="0" t="s">
        <v>970</v>
      </c>
      <c r="B1789" s="0" t="n">
        <v>299</v>
      </c>
      <c r="C1789" s="0" t="str">
        <f aca="false">TEXT(VLOOKUP(B1789,$I$2:$J$20,2,FALSE()),"0")</f>
        <v>200</v>
      </c>
      <c r="D1789" s="47" t="n">
        <v>1</v>
      </c>
      <c r="E1789" s="47" t="n">
        <v>79000</v>
      </c>
      <c r="F1789" s="47" t="n">
        <v>17910</v>
      </c>
    </row>
    <row r="1790" customFormat="false" ht="15" hidden="false" customHeight="false" outlineLevel="0" collapsed="false">
      <c r="A1790" s="0" t="s">
        <v>970</v>
      </c>
      <c r="B1790" s="0" t="n">
        <v>500</v>
      </c>
      <c r="C1790" s="0" t="str">
        <f aca="false">TEXT(VLOOKUP(B1790,$I$2:$J$20,2,FALSE()),"0")</f>
        <v>500</v>
      </c>
      <c r="D1790" s="47" t="n">
        <v>70</v>
      </c>
      <c r="E1790" s="47" t="n">
        <v>5530000</v>
      </c>
      <c r="F1790" s="47" t="n">
        <v>1253700</v>
      </c>
    </row>
    <row r="1791" customFormat="false" ht="15" hidden="false" customHeight="false" outlineLevel="0" collapsed="false">
      <c r="A1791" s="0" t="s">
        <v>970</v>
      </c>
      <c r="B1791" s="0" t="n">
        <v>600</v>
      </c>
      <c r="C1791" s="0" t="str">
        <f aca="false">TEXT(VLOOKUP(B1791,$I$2:$J$20,2,FALSE()),"0")</f>
        <v>600</v>
      </c>
      <c r="D1791" s="47" t="n">
        <v>10</v>
      </c>
      <c r="E1791" s="47" t="n">
        <v>790000</v>
      </c>
      <c r="F1791" s="47" t="n">
        <v>179100</v>
      </c>
    </row>
    <row r="1792" customFormat="false" ht="15" hidden="false" customHeight="false" outlineLevel="0" collapsed="false">
      <c r="A1792" s="0" t="s">
        <v>970</v>
      </c>
      <c r="B1792" s="0" t="n">
        <v>700</v>
      </c>
      <c r="C1792" s="0" t="str">
        <f aca="false">TEXT(VLOOKUP(B1792,$I$2:$J$20,2,FALSE()),"0")</f>
        <v>700</v>
      </c>
      <c r="D1792" s="47" t="n">
        <v>120</v>
      </c>
      <c r="E1792" s="47" t="n">
        <v>9480000</v>
      </c>
      <c r="F1792" s="47" t="n">
        <v>2149200</v>
      </c>
    </row>
    <row r="1793" customFormat="false" ht="15" hidden="false" customHeight="false" outlineLevel="0" collapsed="false">
      <c r="A1793" s="0" t="s">
        <v>970</v>
      </c>
      <c r="B1793" s="0" t="n">
        <v>799</v>
      </c>
      <c r="C1793" s="0" t="str">
        <f aca="false">TEXT(VLOOKUP(B1793,$I$2:$J$20,2,FALSE()),"0")</f>
        <v>700</v>
      </c>
      <c r="D1793" s="47" t="n">
        <v>1</v>
      </c>
      <c r="E1793" s="47" t="n">
        <v>79000</v>
      </c>
      <c r="F1793" s="47" t="n">
        <v>17910</v>
      </c>
    </row>
    <row r="1794" customFormat="false" ht="15" hidden="false" customHeight="false" outlineLevel="0" collapsed="false">
      <c r="A1794" s="0" t="s">
        <v>970</v>
      </c>
      <c r="B1794" s="0" t="n">
        <v>800</v>
      </c>
      <c r="C1794" s="0" t="str">
        <f aca="false">TEXT(VLOOKUP(B1794,$I$2:$J$20,2,FALSE()),"0")</f>
        <v>800</v>
      </c>
      <c r="D1794" s="47" t="n">
        <v>10</v>
      </c>
      <c r="E1794" s="47" t="n">
        <v>790000</v>
      </c>
      <c r="F1794" s="47" t="n">
        <v>179100</v>
      </c>
    </row>
    <row r="1795" customFormat="false" ht="15" hidden="false" customHeight="false" outlineLevel="0" collapsed="false">
      <c r="A1795" s="0" t="s">
        <v>970</v>
      </c>
      <c r="B1795" s="0" t="n">
        <v>810</v>
      </c>
      <c r="C1795" s="0" t="str">
        <f aca="false">TEXT(VLOOKUP(B1795,$I$2:$J$20,2,FALSE()),"0")</f>
        <v>810</v>
      </c>
      <c r="D1795" s="47" t="n">
        <v>96</v>
      </c>
      <c r="E1795" s="47" t="n">
        <v>7584000</v>
      </c>
      <c r="F1795" s="47" t="n">
        <v>1719360</v>
      </c>
    </row>
    <row r="1796" customFormat="false" ht="15" hidden="false" customHeight="false" outlineLevel="0" collapsed="false">
      <c r="A1796" s="0" t="s">
        <v>1364</v>
      </c>
      <c r="B1796" s="0" t="n">
        <v>500</v>
      </c>
      <c r="C1796" s="0" t="str">
        <f aca="false">TEXT(VLOOKUP(B1796,$I$2:$J$20,2,FALSE()),"0")</f>
        <v>500</v>
      </c>
      <c r="D1796" s="47" t="n">
        <v>20</v>
      </c>
      <c r="E1796" s="47" t="n">
        <v>1580000</v>
      </c>
      <c r="F1796" s="47" t="n">
        <v>357960</v>
      </c>
    </row>
    <row r="1797" customFormat="false" ht="15" hidden="false" customHeight="false" outlineLevel="0" collapsed="false">
      <c r="A1797" s="0" t="s">
        <v>1364</v>
      </c>
      <c r="B1797" s="0" t="n">
        <v>600</v>
      </c>
      <c r="C1797" s="0" t="str">
        <f aca="false">TEXT(VLOOKUP(B1797,$I$2:$J$20,2,FALSE()),"0")</f>
        <v>600</v>
      </c>
      <c r="D1797" s="47" t="n">
        <v>60</v>
      </c>
      <c r="E1797" s="47" t="n">
        <v>4740000</v>
      </c>
      <c r="F1797" s="47" t="n">
        <v>1073880</v>
      </c>
    </row>
    <row r="1798" customFormat="false" ht="15" hidden="false" customHeight="false" outlineLevel="0" collapsed="false">
      <c r="A1798" s="0" t="s">
        <v>1364</v>
      </c>
      <c r="B1798" s="0" t="n">
        <v>700</v>
      </c>
      <c r="C1798" s="0" t="str">
        <f aca="false">TEXT(VLOOKUP(B1798,$I$2:$J$20,2,FALSE()),"0")</f>
        <v>700</v>
      </c>
      <c r="D1798" s="47" t="n">
        <v>120</v>
      </c>
      <c r="E1798" s="47" t="n">
        <v>9480000</v>
      </c>
      <c r="F1798" s="47" t="n">
        <v>2147760</v>
      </c>
    </row>
    <row r="1799" customFormat="false" ht="15" hidden="false" customHeight="false" outlineLevel="0" collapsed="false">
      <c r="A1799" s="0" t="s">
        <v>1364</v>
      </c>
      <c r="B1799" s="0" t="n">
        <v>799</v>
      </c>
      <c r="C1799" s="0" t="str">
        <f aca="false">TEXT(VLOOKUP(B1799,$I$2:$J$20,2,FALSE()),"0")</f>
        <v>700</v>
      </c>
      <c r="D1799" s="47" t="n">
        <v>2</v>
      </c>
      <c r="E1799" s="47" t="n">
        <v>158000</v>
      </c>
      <c r="F1799" s="47" t="n">
        <v>35796</v>
      </c>
    </row>
    <row r="1800" customFormat="false" ht="15" hidden="false" customHeight="false" outlineLevel="0" collapsed="false">
      <c r="A1800" s="0" t="s">
        <v>1364</v>
      </c>
      <c r="B1800" s="0" t="n">
        <v>800</v>
      </c>
      <c r="C1800" s="0" t="str">
        <f aca="false">TEXT(VLOOKUP(B1800,$I$2:$J$20,2,FALSE()),"0")</f>
        <v>800</v>
      </c>
      <c r="D1800" s="47" t="n">
        <v>10</v>
      </c>
      <c r="E1800" s="47" t="n">
        <v>790000</v>
      </c>
      <c r="F1800" s="47" t="n">
        <v>178980</v>
      </c>
    </row>
    <row r="1801" customFormat="false" ht="15" hidden="false" customHeight="false" outlineLevel="0" collapsed="false">
      <c r="A1801" s="0" t="s">
        <v>1364</v>
      </c>
      <c r="B1801" s="0" t="n">
        <v>830</v>
      </c>
      <c r="C1801" s="0" t="str">
        <f aca="false">TEXT(VLOOKUP(B1801,$I$2:$J$20,2,FALSE()),"0")</f>
        <v>830</v>
      </c>
      <c r="D1801" s="47" t="n">
        <v>200</v>
      </c>
      <c r="E1801" s="47" t="n">
        <v>15800000</v>
      </c>
      <c r="F1801" s="47" t="n">
        <v>3579600</v>
      </c>
    </row>
    <row r="1802" customFormat="false" ht="15" hidden="false" customHeight="false" outlineLevel="0" collapsed="false">
      <c r="A1802" s="0" t="s">
        <v>1109</v>
      </c>
      <c r="B1802" s="0" t="n">
        <v>200</v>
      </c>
      <c r="C1802" s="0" t="str">
        <f aca="false">TEXT(VLOOKUP(B1802,$I$2:$J$20,2,FALSE()),"0")</f>
        <v>200</v>
      </c>
      <c r="D1802" s="47" t="n">
        <v>80</v>
      </c>
      <c r="E1802" s="47" t="n">
        <v>7120000</v>
      </c>
      <c r="F1802" s="47" t="n">
        <v>1840000</v>
      </c>
    </row>
    <row r="1803" customFormat="false" ht="15" hidden="false" customHeight="false" outlineLevel="0" collapsed="false">
      <c r="A1803" s="0" t="s">
        <v>1109</v>
      </c>
      <c r="B1803" s="0" t="n">
        <v>299</v>
      </c>
      <c r="C1803" s="0" t="str">
        <f aca="false">TEXT(VLOOKUP(B1803,$I$2:$J$20,2,FALSE()),"0")</f>
        <v>200</v>
      </c>
      <c r="D1803" s="47" t="n">
        <v>1</v>
      </c>
      <c r="E1803" s="47" t="n">
        <v>89000</v>
      </c>
      <c r="F1803" s="47" t="n">
        <v>23000</v>
      </c>
    </row>
    <row r="1804" customFormat="false" ht="15" hidden="false" customHeight="false" outlineLevel="0" collapsed="false">
      <c r="A1804" s="0" t="s">
        <v>1109</v>
      </c>
      <c r="B1804" s="0" t="n">
        <v>500</v>
      </c>
      <c r="C1804" s="0" t="str">
        <f aca="false">TEXT(VLOOKUP(B1804,$I$2:$J$20,2,FALSE()),"0")</f>
        <v>500</v>
      </c>
      <c r="D1804" s="47" t="n">
        <v>35</v>
      </c>
      <c r="E1804" s="47" t="n">
        <v>3115000</v>
      </c>
      <c r="F1804" s="47" t="n">
        <v>805000</v>
      </c>
    </row>
    <row r="1805" customFormat="false" ht="15" hidden="false" customHeight="false" outlineLevel="0" collapsed="false">
      <c r="A1805" s="0" t="s">
        <v>1109</v>
      </c>
      <c r="B1805" s="0" t="n">
        <v>700</v>
      </c>
      <c r="C1805" s="0" t="str">
        <f aca="false">TEXT(VLOOKUP(B1805,$I$2:$J$20,2,FALSE()),"0")</f>
        <v>700</v>
      </c>
      <c r="D1805" s="47" t="n">
        <v>80</v>
      </c>
      <c r="E1805" s="47" t="n">
        <v>7120000</v>
      </c>
      <c r="F1805" s="47" t="n">
        <v>1840000</v>
      </c>
    </row>
    <row r="1806" customFormat="false" ht="15" hidden="false" customHeight="false" outlineLevel="0" collapsed="false">
      <c r="A1806" s="0" t="s">
        <v>1109</v>
      </c>
      <c r="B1806" s="0" t="n">
        <v>799</v>
      </c>
      <c r="C1806" s="0" t="str">
        <f aca="false">TEXT(VLOOKUP(B1806,$I$2:$J$20,2,FALSE()),"0")</f>
        <v>700</v>
      </c>
      <c r="D1806" s="47" t="n">
        <v>1</v>
      </c>
      <c r="E1806" s="47" t="n">
        <v>89000</v>
      </c>
      <c r="F1806" s="47" t="n">
        <v>23000</v>
      </c>
    </row>
    <row r="1807" customFormat="false" ht="15" hidden="false" customHeight="false" outlineLevel="0" collapsed="false">
      <c r="A1807" s="0" t="s">
        <v>1109</v>
      </c>
      <c r="B1807" s="0" t="n">
        <v>800</v>
      </c>
      <c r="C1807" s="0" t="str">
        <f aca="false">TEXT(VLOOKUP(B1807,$I$2:$J$20,2,FALSE()),"0")</f>
        <v>800</v>
      </c>
      <c r="D1807" s="47" t="n">
        <v>10</v>
      </c>
      <c r="E1807" s="47" t="n">
        <v>890000</v>
      </c>
      <c r="F1807" s="47" t="n">
        <v>230000</v>
      </c>
    </row>
    <row r="1808" customFormat="false" ht="15" hidden="false" customHeight="false" outlineLevel="0" collapsed="false">
      <c r="A1808" s="0" t="s">
        <v>1109</v>
      </c>
      <c r="B1808" s="0" t="n">
        <v>810</v>
      </c>
      <c r="C1808" s="0" t="str">
        <f aca="false">TEXT(VLOOKUP(B1808,$I$2:$J$20,2,FALSE()),"0")</f>
        <v>810</v>
      </c>
      <c r="D1808" s="47" t="n">
        <v>96</v>
      </c>
      <c r="E1808" s="47" t="n">
        <v>8544000</v>
      </c>
      <c r="F1808" s="47" t="n">
        <v>2208000</v>
      </c>
    </row>
    <row r="1809" customFormat="false" ht="15" hidden="false" customHeight="false" outlineLevel="0" collapsed="false">
      <c r="A1809" s="0" t="s">
        <v>1366</v>
      </c>
      <c r="B1809" s="0" t="n">
        <v>500</v>
      </c>
      <c r="C1809" s="0" t="str">
        <f aca="false">TEXT(VLOOKUP(B1809,$I$2:$J$20,2,FALSE()),"0")</f>
        <v>500</v>
      </c>
      <c r="D1809" s="47" t="n">
        <v>20</v>
      </c>
      <c r="E1809" s="47" t="n">
        <v>1180000</v>
      </c>
      <c r="F1809" s="47" t="n">
        <v>288000</v>
      </c>
    </row>
    <row r="1810" customFormat="false" ht="15" hidden="false" customHeight="false" outlineLevel="0" collapsed="false">
      <c r="A1810" s="0" t="s">
        <v>1366</v>
      </c>
      <c r="B1810" s="0" t="n">
        <v>600</v>
      </c>
      <c r="C1810" s="0" t="str">
        <f aca="false">TEXT(VLOOKUP(B1810,$I$2:$J$20,2,FALSE()),"0")</f>
        <v>600</v>
      </c>
      <c r="D1810" s="47" t="n">
        <v>20</v>
      </c>
      <c r="E1810" s="47" t="n">
        <v>1180000</v>
      </c>
      <c r="F1810" s="47" t="n">
        <v>288000</v>
      </c>
    </row>
    <row r="1811" customFormat="false" ht="15" hidden="false" customHeight="false" outlineLevel="0" collapsed="false">
      <c r="A1811" s="0" t="s">
        <v>633</v>
      </c>
      <c r="B1811" s="0" t="n">
        <v>200</v>
      </c>
      <c r="C1811" s="0" t="str">
        <f aca="false">TEXT(VLOOKUP(B1811,$I$2:$J$20,2,FALSE()),"0")</f>
        <v>200</v>
      </c>
      <c r="D1811" s="47" t="n">
        <v>160</v>
      </c>
      <c r="E1811" s="47" t="n">
        <v>12640000</v>
      </c>
      <c r="F1811" s="47" t="n">
        <v>3191520</v>
      </c>
    </row>
    <row r="1812" customFormat="false" ht="15" hidden="false" customHeight="false" outlineLevel="0" collapsed="false">
      <c r="A1812" s="0" t="s">
        <v>633</v>
      </c>
      <c r="B1812" s="0" t="n">
        <v>299</v>
      </c>
      <c r="C1812" s="0" t="str">
        <f aca="false">TEXT(VLOOKUP(B1812,$I$2:$J$20,2,FALSE()),"0")</f>
        <v>200</v>
      </c>
      <c r="D1812" s="47" t="n">
        <v>2</v>
      </c>
      <c r="E1812" s="47" t="n">
        <v>158000</v>
      </c>
      <c r="F1812" s="47" t="n">
        <v>39894</v>
      </c>
    </row>
    <row r="1813" customFormat="false" ht="15" hidden="false" customHeight="false" outlineLevel="0" collapsed="false">
      <c r="A1813" s="0" t="s">
        <v>633</v>
      </c>
      <c r="B1813" s="0" t="n">
        <v>300</v>
      </c>
      <c r="C1813" s="0" t="str">
        <f aca="false">TEXT(VLOOKUP(B1813,$I$2:$J$20,2,FALSE()),"0")</f>
        <v>300</v>
      </c>
      <c r="D1813" s="47" t="n">
        <v>400</v>
      </c>
      <c r="E1813" s="47" t="n">
        <v>31600000</v>
      </c>
      <c r="F1813" s="47" t="n">
        <v>7978800</v>
      </c>
    </row>
    <row r="1814" customFormat="false" ht="15" hidden="false" customHeight="false" outlineLevel="0" collapsed="false">
      <c r="A1814" s="0" t="s">
        <v>633</v>
      </c>
      <c r="B1814" s="0" t="n">
        <v>500</v>
      </c>
      <c r="C1814" s="0" t="str">
        <f aca="false">TEXT(VLOOKUP(B1814,$I$2:$J$20,2,FALSE()),"0")</f>
        <v>500</v>
      </c>
      <c r="D1814" s="47" t="n">
        <v>15</v>
      </c>
      <c r="E1814" s="47" t="n">
        <v>1185000</v>
      </c>
      <c r="F1814" s="47" t="n">
        <v>299205</v>
      </c>
    </row>
    <row r="1815" customFormat="false" ht="15" hidden="false" customHeight="false" outlineLevel="0" collapsed="false">
      <c r="A1815" s="0" t="s">
        <v>633</v>
      </c>
      <c r="B1815" s="0" t="n">
        <v>600</v>
      </c>
      <c r="C1815" s="0" t="str">
        <f aca="false">TEXT(VLOOKUP(B1815,$I$2:$J$20,2,FALSE()),"0")</f>
        <v>600</v>
      </c>
      <c r="D1815" s="47" t="n">
        <v>20</v>
      </c>
      <c r="E1815" s="47" t="n">
        <v>1580000</v>
      </c>
      <c r="F1815" s="47" t="n">
        <v>398940</v>
      </c>
    </row>
    <row r="1816" customFormat="false" ht="15" hidden="false" customHeight="false" outlineLevel="0" collapsed="false">
      <c r="A1816" s="0" t="s">
        <v>633</v>
      </c>
      <c r="B1816" s="0" t="n">
        <v>700</v>
      </c>
      <c r="C1816" s="0" t="str">
        <f aca="false">TEXT(VLOOKUP(B1816,$I$2:$J$20,2,FALSE()),"0")</f>
        <v>700</v>
      </c>
      <c r="D1816" s="47" t="n">
        <v>120</v>
      </c>
      <c r="E1816" s="47" t="n">
        <v>9480000</v>
      </c>
      <c r="F1816" s="47" t="n">
        <v>2393640</v>
      </c>
    </row>
    <row r="1817" customFormat="false" ht="15" hidden="false" customHeight="false" outlineLevel="0" collapsed="false">
      <c r="A1817" s="0" t="s">
        <v>633</v>
      </c>
      <c r="B1817" s="0" t="n">
        <v>799</v>
      </c>
      <c r="C1817" s="0" t="str">
        <f aca="false">TEXT(VLOOKUP(B1817,$I$2:$J$20,2,FALSE()),"0")</f>
        <v>700</v>
      </c>
      <c r="D1817" s="47" t="n">
        <v>2</v>
      </c>
      <c r="E1817" s="47" t="n">
        <v>158000</v>
      </c>
      <c r="F1817" s="47" t="n">
        <v>39894</v>
      </c>
    </row>
    <row r="1818" customFormat="false" ht="15" hidden="false" customHeight="false" outlineLevel="0" collapsed="false">
      <c r="A1818" s="0" t="s">
        <v>635</v>
      </c>
      <c r="B1818" s="0" t="n">
        <v>100</v>
      </c>
      <c r="C1818" s="0" t="str">
        <f aca="false">TEXT(VLOOKUP(B1818,$I$2:$J$20,2,FALSE()),"0")</f>
        <v>100</v>
      </c>
      <c r="D1818" s="47" t="n">
        <v>280</v>
      </c>
      <c r="E1818" s="47" t="n">
        <v>5880000</v>
      </c>
      <c r="F1818" s="47" t="n">
        <v>1149400</v>
      </c>
    </row>
    <row r="1819" customFormat="false" ht="15" hidden="false" customHeight="false" outlineLevel="0" collapsed="false">
      <c r="A1819" s="0" t="s">
        <v>635</v>
      </c>
      <c r="B1819" s="0" t="n">
        <v>300</v>
      </c>
      <c r="C1819" s="0" t="str">
        <f aca="false">TEXT(VLOOKUP(B1819,$I$2:$J$20,2,FALSE()),"0")</f>
        <v>300</v>
      </c>
      <c r="D1819" s="47" t="n">
        <v>700</v>
      </c>
      <c r="E1819" s="47" t="n">
        <v>14700000</v>
      </c>
      <c r="F1819" s="47" t="n">
        <v>2873500</v>
      </c>
    </row>
    <row r="1820" customFormat="false" ht="15" hidden="false" customHeight="false" outlineLevel="0" collapsed="false">
      <c r="A1820" s="0" t="s">
        <v>635</v>
      </c>
      <c r="B1820" s="0" t="n">
        <v>500</v>
      </c>
      <c r="C1820" s="0" t="str">
        <f aca="false">TEXT(VLOOKUP(B1820,$I$2:$J$20,2,FALSE()),"0")</f>
        <v>500</v>
      </c>
      <c r="D1820" s="47" t="n">
        <v>60</v>
      </c>
      <c r="E1820" s="47" t="n">
        <v>1260000</v>
      </c>
      <c r="F1820" s="47" t="n">
        <v>246300</v>
      </c>
    </row>
    <row r="1821" customFormat="false" ht="15" hidden="false" customHeight="false" outlineLevel="0" collapsed="false">
      <c r="A1821" s="0" t="s">
        <v>635</v>
      </c>
      <c r="B1821" s="0" t="n">
        <v>600</v>
      </c>
      <c r="C1821" s="0" t="str">
        <f aca="false">TEXT(VLOOKUP(B1821,$I$2:$J$20,2,FALSE()),"0")</f>
        <v>600</v>
      </c>
      <c r="D1821" s="47" t="n">
        <v>100</v>
      </c>
      <c r="E1821" s="47" t="n">
        <v>2100000</v>
      </c>
      <c r="F1821" s="47" t="n">
        <v>410500</v>
      </c>
    </row>
    <row r="1822" customFormat="false" ht="15" hidden="false" customHeight="false" outlineLevel="0" collapsed="false">
      <c r="A1822" s="0" t="s">
        <v>635</v>
      </c>
      <c r="B1822" s="0" t="n">
        <v>700</v>
      </c>
      <c r="C1822" s="0" t="str">
        <f aca="false">TEXT(VLOOKUP(B1822,$I$2:$J$20,2,FALSE()),"0")</f>
        <v>700</v>
      </c>
      <c r="D1822" s="47" t="n">
        <v>120</v>
      </c>
      <c r="E1822" s="47" t="n">
        <v>2520000</v>
      </c>
      <c r="F1822" s="47" t="n">
        <v>492600</v>
      </c>
    </row>
    <row r="1823" customFormat="false" ht="15" hidden="false" customHeight="false" outlineLevel="0" collapsed="false">
      <c r="A1823" s="0" t="s">
        <v>635</v>
      </c>
      <c r="B1823" s="0" t="n">
        <v>799</v>
      </c>
      <c r="C1823" s="0" t="str">
        <f aca="false">TEXT(VLOOKUP(B1823,$I$2:$J$20,2,FALSE()),"0")</f>
        <v>700</v>
      </c>
      <c r="D1823" s="47" t="n">
        <v>2</v>
      </c>
      <c r="E1823" s="47" t="n">
        <v>42000</v>
      </c>
      <c r="F1823" s="47" t="n">
        <v>8210</v>
      </c>
    </row>
    <row r="1824" customFormat="false" ht="15" hidden="false" customHeight="false" outlineLevel="0" collapsed="false">
      <c r="A1824" s="0" t="s">
        <v>635</v>
      </c>
      <c r="B1824" s="0" t="n">
        <v>800</v>
      </c>
      <c r="C1824" s="0" t="str">
        <f aca="false">TEXT(VLOOKUP(B1824,$I$2:$J$20,2,FALSE()),"0")</f>
        <v>800</v>
      </c>
      <c r="D1824" s="47" t="n">
        <v>80</v>
      </c>
      <c r="E1824" s="47" t="n">
        <v>1680000</v>
      </c>
      <c r="F1824" s="47" t="n">
        <v>328400</v>
      </c>
    </row>
    <row r="1825" customFormat="false" ht="15" hidden="false" customHeight="false" outlineLevel="0" collapsed="false">
      <c r="A1825" s="0" t="s">
        <v>635</v>
      </c>
      <c r="B1825" s="0" t="n">
        <v>830</v>
      </c>
      <c r="C1825" s="0" t="str">
        <f aca="false">TEXT(VLOOKUP(B1825,$I$2:$J$20,2,FALSE()),"0")</f>
        <v>830</v>
      </c>
      <c r="D1825" s="47" t="n">
        <v>200</v>
      </c>
      <c r="E1825" s="47" t="n">
        <v>4200000</v>
      </c>
      <c r="F1825" s="47" t="n">
        <v>821000</v>
      </c>
    </row>
    <row r="1826" customFormat="false" ht="15" hidden="false" customHeight="false" outlineLevel="0" collapsed="false">
      <c r="A1826" s="0" t="s">
        <v>637</v>
      </c>
      <c r="B1826" s="0" t="n">
        <v>100</v>
      </c>
      <c r="C1826" s="0" t="str">
        <f aca="false">TEXT(VLOOKUP(B1826,$I$2:$J$20,2,FALSE()),"0")</f>
        <v>100</v>
      </c>
      <c r="D1826" s="47" t="n">
        <v>280</v>
      </c>
      <c r="E1826" s="47" t="n">
        <v>5320000</v>
      </c>
      <c r="F1826" s="47" t="n">
        <v>982800</v>
      </c>
    </row>
    <row r="1827" customFormat="false" ht="15" hidden="false" customHeight="false" outlineLevel="0" collapsed="false">
      <c r="A1827" s="0" t="s">
        <v>637</v>
      </c>
      <c r="B1827" s="0" t="n">
        <v>200</v>
      </c>
      <c r="C1827" s="0" t="str">
        <f aca="false">TEXT(VLOOKUP(B1827,$I$2:$J$20,2,FALSE()),"0")</f>
        <v>200</v>
      </c>
      <c r="D1827" s="47" t="n">
        <v>150</v>
      </c>
      <c r="E1827" s="47" t="n">
        <v>2850000</v>
      </c>
      <c r="F1827" s="47" t="n">
        <v>526500</v>
      </c>
    </row>
    <row r="1828" customFormat="false" ht="15" hidden="false" customHeight="false" outlineLevel="0" collapsed="false">
      <c r="A1828" s="0" t="s">
        <v>637</v>
      </c>
      <c r="B1828" s="0" t="n">
        <v>299</v>
      </c>
      <c r="C1828" s="0" t="str">
        <f aca="false">TEXT(VLOOKUP(B1828,$I$2:$J$20,2,FALSE()),"0")</f>
        <v>200</v>
      </c>
      <c r="D1828" s="47" t="n">
        <v>1</v>
      </c>
      <c r="E1828" s="47" t="n">
        <v>19000</v>
      </c>
      <c r="F1828" s="47" t="n">
        <v>3510</v>
      </c>
    </row>
    <row r="1829" customFormat="false" ht="15" hidden="false" customHeight="false" outlineLevel="0" collapsed="false">
      <c r="A1829" s="0" t="s">
        <v>637</v>
      </c>
      <c r="B1829" s="0" t="n">
        <v>300</v>
      </c>
      <c r="C1829" s="0" t="str">
        <f aca="false">TEXT(VLOOKUP(B1829,$I$2:$J$20,2,FALSE()),"0")</f>
        <v>300</v>
      </c>
      <c r="D1829" s="47" t="n">
        <v>400</v>
      </c>
      <c r="E1829" s="47" t="n">
        <v>7600000</v>
      </c>
      <c r="F1829" s="47" t="n">
        <v>1404000</v>
      </c>
    </row>
    <row r="1830" customFormat="false" ht="15" hidden="false" customHeight="false" outlineLevel="0" collapsed="false">
      <c r="A1830" s="0" t="s">
        <v>637</v>
      </c>
      <c r="B1830" s="0" t="n">
        <v>600</v>
      </c>
      <c r="C1830" s="0" t="str">
        <f aca="false">TEXT(VLOOKUP(B1830,$I$2:$J$20,2,FALSE()),"0")</f>
        <v>600</v>
      </c>
      <c r="D1830" s="47" t="n">
        <v>50</v>
      </c>
      <c r="E1830" s="47" t="n">
        <v>950000</v>
      </c>
      <c r="F1830" s="47" t="n">
        <v>175500</v>
      </c>
    </row>
    <row r="1831" customFormat="false" ht="15" hidden="false" customHeight="false" outlineLevel="0" collapsed="false">
      <c r="A1831" s="0" t="s">
        <v>637</v>
      </c>
      <c r="B1831" s="0" t="n">
        <v>800</v>
      </c>
      <c r="C1831" s="0" t="str">
        <f aca="false">TEXT(VLOOKUP(B1831,$I$2:$J$20,2,FALSE()),"0")</f>
        <v>800</v>
      </c>
      <c r="D1831" s="47" t="n">
        <v>80</v>
      </c>
      <c r="E1831" s="47" t="n">
        <v>1520000</v>
      </c>
      <c r="F1831" s="47" t="n">
        <v>280800</v>
      </c>
    </row>
    <row r="1832" customFormat="false" ht="15" hidden="false" customHeight="false" outlineLevel="0" collapsed="false">
      <c r="A1832" s="0" t="s">
        <v>639</v>
      </c>
      <c r="B1832" s="0" t="n">
        <v>100</v>
      </c>
      <c r="C1832" s="0" t="str">
        <f aca="false">TEXT(VLOOKUP(B1832,$I$2:$J$20,2,FALSE()),"0")</f>
        <v>100</v>
      </c>
      <c r="D1832" s="47" t="n">
        <v>280</v>
      </c>
      <c r="E1832" s="47" t="n">
        <v>5572000</v>
      </c>
      <c r="F1832" s="47" t="n">
        <v>1064000</v>
      </c>
    </row>
    <row r="1833" customFormat="false" ht="15" hidden="false" customHeight="false" outlineLevel="0" collapsed="false">
      <c r="A1833" s="0" t="s">
        <v>639</v>
      </c>
      <c r="B1833" s="0" t="n">
        <v>200</v>
      </c>
      <c r="C1833" s="0" t="str">
        <f aca="false">TEXT(VLOOKUP(B1833,$I$2:$J$20,2,FALSE()),"0")</f>
        <v>200</v>
      </c>
      <c r="D1833" s="47" t="n">
        <v>300</v>
      </c>
      <c r="E1833" s="47" t="n">
        <v>5970000</v>
      </c>
      <c r="F1833" s="47" t="n">
        <v>1140000</v>
      </c>
    </row>
    <row r="1834" customFormat="false" ht="15" hidden="false" customHeight="false" outlineLevel="0" collapsed="false">
      <c r="A1834" s="0" t="s">
        <v>639</v>
      </c>
      <c r="B1834" s="0" t="n">
        <v>299</v>
      </c>
      <c r="C1834" s="0" t="str">
        <f aca="false">TEXT(VLOOKUP(B1834,$I$2:$J$20,2,FALSE()),"0")</f>
        <v>200</v>
      </c>
      <c r="D1834" s="47" t="n">
        <v>2</v>
      </c>
      <c r="E1834" s="47" t="n">
        <v>39800</v>
      </c>
      <c r="F1834" s="47" t="n">
        <v>7600</v>
      </c>
    </row>
    <row r="1835" customFormat="false" ht="15" hidden="false" customHeight="false" outlineLevel="0" collapsed="false">
      <c r="A1835" s="0" t="s">
        <v>639</v>
      </c>
      <c r="B1835" s="0" t="n">
        <v>300</v>
      </c>
      <c r="C1835" s="0" t="str">
        <f aca="false">TEXT(VLOOKUP(B1835,$I$2:$J$20,2,FALSE()),"0")</f>
        <v>300</v>
      </c>
      <c r="D1835" s="47" t="n">
        <v>600</v>
      </c>
      <c r="E1835" s="47" t="n">
        <v>11940000</v>
      </c>
      <c r="F1835" s="47" t="n">
        <v>2280000</v>
      </c>
    </row>
    <row r="1836" customFormat="false" ht="15" hidden="false" customHeight="false" outlineLevel="0" collapsed="false">
      <c r="A1836" s="0" t="s">
        <v>639</v>
      </c>
      <c r="B1836" s="0" t="n">
        <v>800</v>
      </c>
      <c r="C1836" s="0" t="str">
        <f aca="false">TEXT(VLOOKUP(B1836,$I$2:$J$20,2,FALSE()),"0")</f>
        <v>800</v>
      </c>
      <c r="D1836" s="47" t="n">
        <v>40</v>
      </c>
      <c r="E1836" s="47" t="n">
        <v>796000</v>
      </c>
      <c r="F1836" s="47" t="n">
        <v>152000</v>
      </c>
    </row>
    <row r="1837" customFormat="false" ht="15" hidden="false" customHeight="false" outlineLevel="0" collapsed="false">
      <c r="A1837" s="0" t="s">
        <v>641</v>
      </c>
      <c r="B1837" s="0" t="n">
        <v>100</v>
      </c>
      <c r="C1837" s="0" t="str">
        <f aca="false">TEXT(VLOOKUP(B1837,$I$2:$J$20,2,FALSE()),"0")</f>
        <v>100</v>
      </c>
      <c r="D1837" s="47" t="n">
        <v>340</v>
      </c>
      <c r="E1837" s="47" t="n">
        <v>3706000</v>
      </c>
      <c r="F1837" s="47" t="n">
        <v>885020</v>
      </c>
    </row>
    <row r="1838" customFormat="false" ht="15" hidden="false" customHeight="false" outlineLevel="0" collapsed="false">
      <c r="A1838" s="0" t="s">
        <v>641</v>
      </c>
      <c r="B1838" s="0" t="n">
        <v>200</v>
      </c>
      <c r="C1838" s="0" t="str">
        <f aca="false">TEXT(VLOOKUP(B1838,$I$2:$J$20,2,FALSE()),"0")</f>
        <v>200</v>
      </c>
      <c r="D1838" s="47" t="n">
        <v>390</v>
      </c>
      <c r="E1838" s="47" t="n">
        <v>4251000</v>
      </c>
      <c r="F1838" s="47" t="n">
        <v>1015170</v>
      </c>
    </row>
    <row r="1839" customFormat="false" ht="15" hidden="false" customHeight="false" outlineLevel="0" collapsed="false">
      <c r="A1839" s="0" t="s">
        <v>641</v>
      </c>
      <c r="B1839" s="0" t="n">
        <v>299</v>
      </c>
      <c r="C1839" s="0" t="str">
        <f aca="false">TEXT(VLOOKUP(B1839,$I$2:$J$20,2,FALSE()),"0")</f>
        <v>200</v>
      </c>
      <c r="D1839" s="47" t="n">
        <v>3</v>
      </c>
      <c r="E1839" s="47" t="n">
        <v>32700</v>
      </c>
      <c r="F1839" s="47" t="n">
        <v>7809</v>
      </c>
    </row>
    <row r="1840" customFormat="false" ht="15" hidden="false" customHeight="false" outlineLevel="0" collapsed="false">
      <c r="A1840" s="0" t="s">
        <v>641</v>
      </c>
      <c r="B1840" s="0" t="n">
        <v>300</v>
      </c>
      <c r="C1840" s="0" t="str">
        <f aca="false">TEXT(VLOOKUP(B1840,$I$2:$J$20,2,FALSE()),"0")</f>
        <v>300</v>
      </c>
      <c r="D1840" s="47" t="n">
        <v>1000</v>
      </c>
      <c r="E1840" s="47" t="n">
        <v>10900000</v>
      </c>
      <c r="F1840" s="47" t="n">
        <v>2603000</v>
      </c>
    </row>
    <row r="1841" customFormat="false" ht="15" hidden="false" customHeight="false" outlineLevel="0" collapsed="false">
      <c r="A1841" s="0" t="s">
        <v>641</v>
      </c>
      <c r="B1841" s="0" t="n">
        <v>500</v>
      </c>
      <c r="C1841" s="0" t="str">
        <f aca="false">TEXT(VLOOKUP(B1841,$I$2:$J$20,2,FALSE()),"0")</f>
        <v>500</v>
      </c>
      <c r="D1841" s="47" t="n">
        <v>60</v>
      </c>
      <c r="E1841" s="47" t="n">
        <v>654000</v>
      </c>
      <c r="F1841" s="47" t="n">
        <v>156180</v>
      </c>
    </row>
    <row r="1842" customFormat="false" ht="15" hidden="false" customHeight="false" outlineLevel="0" collapsed="false">
      <c r="A1842" s="0" t="s">
        <v>641</v>
      </c>
      <c r="B1842" s="0" t="n">
        <v>600</v>
      </c>
      <c r="C1842" s="0" t="str">
        <f aca="false">TEXT(VLOOKUP(B1842,$I$2:$J$20,2,FALSE()),"0")</f>
        <v>600</v>
      </c>
      <c r="D1842" s="47" t="n">
        <v>100</v>
      </c>
      <c r="E1842" s="47" t="n">
        <v>1090000</v>
      </c>
      <c r="F1842" s="47" t="n">
        <v>260300</v>
      </c>
    </row>
    <row r="1843" customFormat="false" ht="15" hidden="false" customHeight="false" outlineLevel="0" collapsed="false">
      <c r="A1843" s="0" t="s">
        <v>641</v>
      </c>
      <c r="B1843" s="0" t="n">
        <v>800</v>
      </c>
      <c r="C1843" s="0" t="str">
        <f aca="false">TEXT(VLOOKUP(B1843,$I$2:$J$20,2,FALSE()),"0")</f>
        <v>800</v>
      </c>
      <c r="D1843" s="47" t="n">
        <v>40</v>
      </c>
      <c r="E1843" s="47" t="n">
        <v>436000</v>
      </c>
      <c r="F1843" s="47" t="n">
        <v>104120</v>
      </c>
    </row>
    <row r="1844" customFormat="false" ht="15" hidden="false" customHeight="false" outlineLevel="0" collapsed="false">
      <c r="A1844" s="0" t="s">
        <v>643</v>
      </c>
      <c r="B1844" s="0" t="n">
        <v>100</v>
      </c>
      <c r="C1844" s="0" t="str">
        <f aca="false">TEXT(VLOOKUP(B1844,$I$2:$J$20,2,FALSE()),"0")</f>
        <v>100</v>
      </c>
      <c r="D1844" s="47" t="n">
        <v>170</v>
      </c>
      <c r="E1844" s="47" t="n">
        <v>1853000</v>
      </c>
      <c r="F1844" s="47" t="n">
        <v>374000</v>
      </c>
    </row>
    <row r="1845" customFormat="false" ht="15" hidden="false" customHeight="false" outlineLevel="0" collapsed="false">
      <c r="A1845" s="0" t="s">
        <v>643</v>
      </c>
      <c r="B1845" s="0" t="n">
        <v>300</v>
      </c>
      <c r="C1845" s="0" t="str">
        <f aca="false">TEXT(VLOOKUP(B1845,$I$2:$J$20,2,FALSE()),"0")</f>
        <v>300</v>
      </c>
      <c r="D1845" s="47" t="n">
        <v>500</v>
      </c>
      <c r="E1845" s="47" t="n">
        <v>5450000</v>
      </c>
      <c r="F1845" s="47" t="n">
        <v>1100000</v>
      </c>
    </row>
    <row r="1846" customFormat="false" ht="15" hidden="false" customHeight="false" outlineLevel="0" collapsed="false">
      <c r="A1846" s="0" t="s">
        <v>643</v>
      </c>
      <c r="B1846" s="0" t="n">
        <v>800</v>
      </c>
      <c r="C1846" s="0" t="str">
        <f aca="false">TEXT(VLOOKUP(B1846,$I$2:$J$20,2,FALSE()),"0")</f>
        <v>800</v>
      </c>
      <c r="D1846" s="47" t="n">
        <v>20</v>
      </c>
      <c r="E1846" s="47" t="n">
        <v>218000</v>
      </c>
      <c r="F1846" s="47" t="n">
        <v>44000</v>
      </c>
    </row>
    <row r="1847" customFormat="false" ht="15" hidden="false" customHeight="false" outlineLevel="0" collapsed="false">
      <c r="A1847" s="0" t="s">
        <v>643</v>
      </c>
      <c r="B1847" s="0" t="n">
        <v>830</v>
      </c>
      <c r="C1847" s="0" t="str">
        <f aca="false">TEXT(VLOOKUP(B1847,$I$2:$J$20,2,FALSE()),"0")</f>
        <v>830</v>
      </c>
      <c r="D1847" s="47" t="n">
        <v>200</v>
      </c>
      <c r="E1847" s="47" t="n">
        <v>2180000</v>
      </c>
      <c r="F1847" s="47" t="n">
        <v>440000</v>
      </c>
    </row>
    <row r="1848" customFormat="false" ht="15" hidden="false" customHeight="false" outlineLevel="0" collapsed="false">
      <c r="A1848" s="0" t="s">
        <v>645</v>
      </c>
      <c r="B1848" s="0" t="n">
        <v>200</v>
      </c>
      <c r="C1848" s="0" t="str">
        <f aca="false">TEXT(VLOOKUP(B1848,$I$2:$J$20,2,FALSE()),"0")</f>
        <v>200</v>
      </c>
      <c r="D1848" s="47" t="n">
        <v>80</v>
      </c>
      <c r="E1848" s="47" t="n">
        <v>10320000</v>
      </c>
      <c r="F1848" s="47" t="n">
        <v>2471280</v>
      </c>
    </row>
    <row r="1849" customFormat="false" ht="15" hidden="false" customHeight="false" outlineLevel="0" collapsed="false">
      <c r="A1849" s="0" t="s">
        <v>645</v>
      </c>
      <c r="B1849" s="0" t="n">
        <v>299</v>
      </c>
      <c r="C1849" s="0" t="str">
        <f aca="false">TEXT(VLOOKUP(B1849,$I$2:$J$20,2,FALSE()),"0")</f>
        <v>200</v>
      </c>
      <c r="D1849" s="47" t="n">
        <v>2</v>
      </c>
      <c r="E1849" s="47" t="n">
        <v>258000</v>
      </c>
      <c r="F1849" s="47" t="n">
        <v>61782</v>
      </c>
    </row>
    <row r="1850" customFormat="false" ht="15" hidden="false" customHeight="false" outlineLevel="0" collapsed="false">
      <c r="A1850" s="0" t="s">
        <v>645</v>
      </c>
      <c r="B1850" s="0" t="n">
        <v>300</v>
      </c>
      <c r="C1850" s="0" t="str">
        <f aca="false">TEXT(VLOOKUP(B1850,$I$2:$J$20,2,FALSE()),"0")</f>
        <v>300</v>
      </c>
      <c r="D1850" s="47" t="n">
        <v>150</v>
      </c>
      <c r="E1850" s="47" t="n">
        <v>19350000</v>
      </c>
      <c r="F1850" s="47" t="n">
        <v>4633650</v>
      </c>
    </row>
    <row r="1851" customFormat="false" ht="15" hidden="false" customHeight="false" outlineLevel="0" collapsed="false">
      <c r="A1851" s="0" t="s">
        <v>645</v>
      </c>
      <c r="B1851" s="0" t="n">
        <v>500</v>
      </c>
      <c r="C1851" s="0" t="str">
        <f aca="false">TEXT(VLOOKUP(B1851,$I$2:$J$20,2,FALSE()),"0")</f>
        <v>500</v>
      </c>
      <c r="D1851" s="47" t="n">
        <v>10</v>
      </c>
      <c r="E1851" s="47" t="n">
        <v>1290000</v>
      </c>
      <c r="F1851" s="47" t="n">
        <v>308910</v>
      </c>
    </row>
    <row r="1852" customFormat="false" ht="15" hidden="false" customHeight="false" outlineLevel="0" collapsed="false">
      <c r="A1852" s="0" t="s">
        <v>645</v>
      </c>
      <c r="B1852" s="0" t="n">
        <v>600</v>
      </c>
      <c r="C1852" s="0" t="str">
        <f aca="false">TEXT(VLOOKUP(B1852,$I$2:$J$20,2,FALSE()),"0")</f>
        <v>600</v>
      </c>
      <c r="D1852" s="47" t="n">
        <v>20</v>
      </c>
      <c r="E1852" s="47" t="n">
        <v>2580000</v>
      </c>
      <c r="F1852" s="47" t="n">
        <v>617820</v>
      </c>
    </row>
    <row r="1853" customFormat="false" ht="15" hidden="false" customHeight="false" outlineLevel="0" collapsed="false">
      <c r="A1853" s="0" t="s">
        <v>645</v>
      </c>
      <c r="B1853" s="0" t="n">
        <v>700</v>
      </c>
      <c r="C1853" s="0" t="str">
        <f aca="false">TEXT(VLOOKUP(B1853,$I$2:$J$20,2,FALSE()),"0")</f>
        <v>700</v>
      </c>
      <c r="D1853" s="47" t="n">
        <v>100</v>
      </c>
      <c r="E1853" s="47" t="n">
        <v>12900000</v>
      </c>
      <c r="F1853" s="47" t="n">
        <v>3089100</v>
      </c>
    </row>
    <row r="1854" customFormat="false" ht="15" hidden="false" customHeight="false" outlineLevel="0" collapsed="false">
      <c r="A1854" s="0" t="s">
        <v>645</v>
      </c>
      <c r="B1854" s="0" t="n">
        <v>799</v>
      </c>
      <c r="C1854" s="0" t="str">
        <f aca="false">TEXT(VLOOKUP(B1854,$I$2:$J$20,2,FALSE()),"0")</f>
        <v>700</v>
      </c>
      <c r="D1854" s="47" t="n">
        <v>2</v>
      </c>
      <c r="E1854" s="47" t="n">
        <v>258000</v>
      </c>
      <c r="F1854" s="47" t="n">
        <v>61782</v>
      </c>
    </row>
    <row r="1855" customFormat="false" ht="15" hidden="false" customHeight="false" outlineLevel="0" collapsed="false">
      <c r="A1855" s="0" t="s">
        <v>645</v>
      </c>
      <c r="B1855" s="0" t="n">
        <v>800</v>
      </c>
      <c r="C1855" s="0" t="str">
        <f aca="false">TEXT(VLOOKUP(B1855,$I$2:$J$20,2,FALSE()),"0")</f>
        <v>800</v>
      </c>
      <c r="D1855" s="47" t="n">
        <v>20</v>
      </c>
      <c r="E1855" s="47" t="n">
        <v>2580000</v>
      </c>
      <c r="F1855" s="47" t="n">
        <v>617820</v>
      </c>
    </row>
    <row r="1856" customFormat="false" ht="15" hidden="false" customHeight="false" outlineLevel="0" collapsed="false">
      <c r="A1856" s="0" t="s">
        <v>645</v>
      </c>
      <c r="B1856" s="0" t="n">
        <v>830</v>
      </c>
      <c r="C1856" s="0" t="str">
        <f aca="false">TEXT(VLOOKUP(B1856,$I$2:$J$20,2,FALSE()),"0")</f>
        <v>830</v>
      </c>
      <c r="D1856" s="47" t="n">
        <v>300</v>
      </c>
      <c r="E1856" s="47" t="n">
        <v>38700000</v>
      </c>
      <c r="F1856" s="47" t="n">
        <v>9267300</v>
      </c>
    </row>
    <row r="1857" customFormat="false" ht="15" hidden="false" customHeight="false" outlineLevel="0" collapsed="false">
      <c r="A1857" s="0" t="s">
        <v>647</v>
      </c>
      <c r="B1857" s="0" t="n">
        <v>200</v>
      </c>
      <c r="C1857" s="0" t="str">
        <f aca="false">TEXT(VLOOKUP(B1857,$I$2:$J$20,2,FALSE()),"0")</f>
        <v>200</v>
      </c>
      <c r="D1857" s="47" t="n">
        <v>50</v>
      </c>
      <c r="E1857" s="47" t="n">
        <v>6450000</v>
      </c>
      <c r="F1857" s="47" t="n">
        <v>1514900</v>
      </c>
    </row>
    <row r="1858" customFormat="false" ht="15" hidden="false" customHeight="false" outlineLevel="0" collapsed="false">
      <c r="A1858" s="0" t="s">
        <v>647</v>
      </c>
      <c r="B1858" s="0" t="n">
        <v>299</v>
      </c>
      <c r="C1858" s="0" t="str">
        <f aca="false">TEXT(VLOOKUP(B1858,$I$2:$J$20,2,FALSE()),"0")</f>
        <v>200</v>
      </c>
      <c r="D1858" s="47" t="n">
        <v>2</v>
      </c>
      <c r="E1858" s="47" t="n">
        <v>258000</v>
      </c>
      <c r="F1858" s="47" t="n">
        <v>60596</v>
      </c>
    </row>
    <row r="1859" customFormat="false" ht="15" hidden="false" customHeight="false" outlineLevel="0" collapsed="false">
      <c r="A1859" s="0" t="s">
        <v>647</v>
      </c>
      <c r="B1859" s="0" t="n">
        <v>300</v>
      </c>
      <c r="C1859" s="0" t="str">
        <f aca="false">TEXT(VLOOKUP(B1859,$I$2:$J$20,2,FALSE()),"0")</f>
        <v>300</v>
      </c>
      <c r="D1859" s="47" t="n">
        <v>120</v>
      </c>
      <c r="E1859" s="47" t="n">
        <v>15480000</v>
      </c>
      <c r="F1859" s="47" t="n">
        <v>3635760</v>
      </c>
    </row>
    <row r="1860" customFormat="false" ht="15" hidden="false" customHeight="false" outlineLevel="0" collapsed="false">
      <c r="A1860" s="0" t="s">
        <v>647</v>
      </c>
      <c r="B1860" s="0" t="n">
        <v>500</v>
      </c>
      <c r="C1860" s="0" t="str">
        <f aca="false">TEXT(VLOOKUP(B1860,$I$2:$J$20,2,FALSE()),"0")</f>
        <v>500</v>
      </c>
      <c r="D1860" s="47" t="n">
        <v>10</v>
      </c>
      <c r="E1860" s="47" t="n">
        <v>1290000</v>
      </c>
      <c r="F1860" s="47" t="n">
        <v>302980</v>
      </c>
    </row>
    <row r="1861" customFormat="false" ht="15" hidden="false" customHeight="false" outlineLevel="0" collapsed="false">
      <c r="A1861" s="0" t="s">
        <v>647</v>
      </c>
      <c r="B1861" s="0" t="n">
        <v>600</v>
      </c>
      <c r="C1861" s="0" t="str">
        <f aca="false">TEXT(VLOOKUP(B1861,$I$2:$J$20,2,FALSE()),"0")</f>
        <v>600</v>
      </c>
      <c r="D1861" s="47" t="n">
        <v>40</v>
      </c>
      <c r="E1861" s="47" t="n">
        <v>5160000</v>
      </c>
      <c r="F1861" s="47" t="n">
        <v>1211920</v>
      </c>
    </row>
    <row r="1862" customFormat="false" ht="15" hidden="false" customHeight="false" outlineLevel="0" collapsed="false">
      <c r="A1862" s="0" t="s">
        <v>647</v>
      </c>
      <c r="B1862" s="0" t="n">
        <v>700</v>
      </c>
      <c r="C1862" s="0" t="str">
        <f aca="false">TEXT(VLOOKUP(B1862,$I$2:$J$20,2,FALSE()),"0")</f>
        <v>700</v>
      </c>
      <c r="D1862" s="47" t="n">
        <v>120</v>
      </c>
      <c r="E1862" s="47" t="n">
        <v>15480000</v>
      </c>
      <c r="F1862" s="47" t="n">
        <v>3635760</v>
      </c>
    </row>
    <row r="1863" customFormat="false" ht="15" hidden="false" customHeight="false" outlineLevel="0" collapsed="false">
      <c r="A1863" s="0" t="s">
        <v>647</v>
      </c>
      <c r="B1863" s="0" t="n">
        <v>799</v>
      </c>
      <c r="C1863" s="0" t="str">
        <f aca="false">TEXT(VLOOKUP(B1863,$I$2:$J$20,2,FALSE()),"0")</f>
        <v>700</v>
      </c>
      <c r="D1863" s="47" t="n">
        <v>2</v>
      </c>
      <c r="E1863" s="47" t="n">
        <v>258000</v>
      </c>
      <c r="F1863" s="47" t="n">
        <v>60596</v>
      </c>
    </row>
    <row r="1864" customFormat="false" ht="15" hidden="false" customHeight="false" outlineLevel="0" collapsed="false">
      <c r="A1864" s="0" t="s">
        <v>647</v>
      </c>
      <c r="B1864" s="0" t="n">
        <v>800</v>
      </c>
      <c r="C1864" s="0" t="str">
        <f aca="false">TEXT(VLOOKUP(B1864,$I$2:$J$20,2,FALSE()),"0")</f>
        <v>800</v>
      </c>
      <c r="D1864" s="47" t="n">
        <v>20</v>
      </c>
      <c r="E1864" s="47" t="n">
        <v>2580000</v>
      </c>
      <c r="F1864" s="47" t="n">
        <v>605960</v>
      </c>
    </row>
    <row r="1865" customFormat="false" ht="15" hidden="false" customHeight="false" outlineLevel="0" collapsed="false">
      <c r="A1865" s="0" t="s">
        <v>647</v>
      </c>
      <c r="B1865" s="0" t="n">
        <v>830</v>
      </c>
      <c r="C1865" s="0" t="str">
        <f aca="false">TEXT(VLOOKUP(B1865,$I$2:$J$20,2,FALSE()),"0")</f>
        <v>830</v>
      </c>
      <c r="D1865" s="47" t="n">
        <v>350</v>
      </c>
      <c r="E1865" s="47" t="n">
        <v>45150000</v>
      </c>
      <c r="F1865" s="47" t="n">
        <v>10604300</v>
      </c>
    </row>
    <row r="1866" customFormat="false" ht="15" hidden="false" customHeight="false" outlineLevel="0" collapsed="false">
      <c r="A1866" s="0" t="s">
        <v>1368</v>
      </c>
      <c r="B1866" s="0" t="n">
        <v>600</v>
      </c>
      <c r="C1866" s="0" t="str">
        <f aca="false">TEXT(VLOOKUP(B1866,$I$2:$J$20,2,FALSE()),"0")</f>
        <v>600</v>
      </c>
      <c r="D1866" s="47" t="n">
        <v>10</v>
      </c>
      <c r="E1866" s="47" t="n">
        <v>790000</v>
      </c>
      <c r="F1866" s="47" t="n">
        <v>195000</v>
      </c>
    </row>
    <row r="1867" customFormat="false" ht="15" hidden="false" customHeight="false" outlineLevel="0" collapsed="false">
      <c r="A1867" s="0" t="s">
        <v>1429</v>
      </c>
      <c r="B1867" s="0" t="n">
        <v>700</v>
      </c>
      <c r="C1867" s="0" t="str">
        <f aca="false">TEXT(VLOOKUP(B1867,$I$2:$J$20,2,FALSE()),"0")</f>
        <v>700</v>
      </c>
      <c r="D1867" s="47" t="n">
        <v>60</v>
      </c>
      <c r="E1867" s="47" t="n">
        <v>2340000</v>
      </c>
      <c r="F1867" s="47" t="n">
        <v>542160</v>
      </c>
    </row>
    <row r="1868" customFormat="false" ht="15" hidden="false" customHeight="false" outlineLevel="0" collapsed="false">
      <c r="A1868" s="0" t="s">
        <v>1429</v>
      </c>
      <c r="B1868" s="0" t="n">
        <v>701</v>
      </c>
      <c r="C1868" s="0" t="str">
        <f aca="false">TEXT(VLOOKUP(B1868,$I$2:$J$20,2,FALSE()),"0")</f>
        <v>700</v>
      </c>
      <c r="D1868" s="47" t="n">
        <v>200</v>
      </c>
      <c r="E1868" s="47" t="n">
        <v>7800000</v>
      </c>
      <c r="F1868" s="47" t="n">
        <v>1807200</v>
      </c>
    </row>
    <row r="1869" customFormat="false" ht="15" hidden="false" customHeight="false" outlineLevel="0" collapsed="false">
      <c r="A1869" s="0" t="s">
        <v>1429</v>
      </c>
      <c r="B1869" s="0" t="n">
        <v>799</v>
      </c>
      <c r="C1869" s="0" t="str">
        <f aca="false">TEXT(VLOOKUP(B1869,$I$2:$J$20,2,FALSE()),"0")</f>
        <v>700</v>
      </c>
      <c r="D1869" s="47" t="n">
        <v>2</v>
      </c>
      <c r="E1869" s="47" t="n">
        <v>78000</v>
      </c>
      <c r="F1869" s="47" t="n">
        <v>18072</v>
      </c>
    </row>
    <row r="1870" customFormat="false" ht="15" hidden="false" customHeight="false" outlineLevel="0" collapsed="false">
      <c r="A1870" s="0" t="s">
        <v>650</v>
      </c>
      <c r="B1870" s="0" t="n">
        <v>300</v>
      </c>
      <c r="C1870" s="0" t="str">
        <f aca="false">TEXT(VLOOKUP(B1870,$I$2:$J$20,2,FALSE()),"0")</f>
        <v>300</v>
      </c>
      <c r="D1870" s="47" t="n">
        <v>1500</v>
      </c>
      <c r="E1870" s="47" t="n">
        <v>58500000</v>
      </c>
      <c r="F1870" s="47" t="n">
        <v>7350000</v>
      </c>
    </row>
    <row r="1871" customFormat="false" ht="15" hidden="false" customHeight="false" outlineLevel="0" collapsed="false">
      <c r="A1871" s="0" t="s">
        <v>1112</v>
      </c>
      <c r="B1871" s="0" t="n">
        <v>200</v>
      </c>
      <c r="C1871" s="0" t="str">
        <f aca="false">TEXT(VLOOKUP(B1871,$I$2:$J$20,2,FALSE()),"0")</f>
        <v>200</v>
      </c>
      <c r="D1871" s="47" t="n">
        <v>600</v>
      </c>
      <c r="E1871" s="47" t="n">
        <v>51000000</v>
      </c>
      <c r="F1871" s="47" t="n">
        <v>20693400</v>
      </c>
    </row>
    <row r="1872" customFormat="false" ht="15" hidden="false" customHeight="false" outlineLevel="0" collapsed="false">
      <c r="A1872" s="0" t="s">
        <v>1114</v>
      </c>
      <c r="B1872" s="0" t="n">
        <v>200</v>
      </c>
      <c r="C1872" s="0" t="str">
        <f aca="false">TEXT(VLOOKUP(B1872,$I$2:$J$20,2,FALSE()),"0")</f>
        <v>200</v>
      </c>
      <c r="D1872" s="47" t="n">
        <v>700</v>
      </c>
      <c r="E1872" s="47" t="n">
        <v>31500000</v>
      </c>
      <c r="F1872" s="47" t="n">
        <v>8290800</v>
      </c>
    </row>
    <row r="1873" customFormat="false" ht="15" hidden="false" customHeight="false" outlineLevel="0" collapsed="false">
      <c r="A1873" s="0" t="s">
        <v>1114</v>
      </c>
      <c r="B1873" s="0" t="n">
        <v>810</v>
      </c>
      <c r="C1873" s="0" t="str">
        <f aca="false">TEXT(VLOOKUP(B1873,$I$2:$J$20,2,FALSE()),"0")</f>
        <v>810</v>
      </c>
      <c r="D1873" s="47" t="n">
        <v>300</v>
      </c>
      <c r="E1873" s="47" t="n">
        <v>13500000</v>
      </c>
      <c r="F1873" s="47" t="n">
        <v>3553200</v>
      </c>
    </row>
    <row r="1874" customFormat="false" ht="15" hidden="false" customHeight="false" outlineLevel="0" collapsed="false">
      <c r="A1874" s="0" t="s">
        <v>1116</v>
      </c>
      <c r="B1874" s="0" t="n">
        <v>200</v>
      </c>
      <c r="C1874" s="0" t="str">
        <f aca="false">TEXT(VLOOKUP(B1874,$I$2:$J$20,2,FALSE()),"0")</f>
        <v>200</v>
      </c>
      <c r="D1874" s="47" t="n">
        <v>1300</v>
      </c>
      <c r="E1874" s="47" t="n">
        <v>37700000</v>
      </c>
      <c r="F1874" s="47" t="n">
        <v>11277500</v>
      </c>
    </row>
    <row r="1875" customFormat="false" ht="15" hidden="false" customHeight="false" outlineLevel="0" collapsed="false">
      <c r="A1875" s="0" t="s">
        <v>1116</v>
      </c>
      <c r="B1875" s="0" t="n">
        <v>600</v>
      </c>
      <c r="C1875" s="0" t="str">
        <f aca="false">TEXT(VLOOKUP(B1875,$I$2:$J$20,2,FALSE()),"0")</f>
        <v>600</v>
      </c>
      <c r="D1875" s="47" t="n">
        <v>40</v>
      </c>
      <c r="E1875" s="47" t="n">
        <v>1160000</v>
      </c>
      <c r="F1875" s="47" t="n">
        <v>347000</v>
      </c>
    </row>
    <row r="1876" customFormat="false" ht="15" hidden="false" customHeight="false" outlineLevel="0" collapsed="false">
      <c r="A1876" s="0" t="s">
        <v>1118</v>
      </c>
      <c r="B1876" s="0" t="n">
        <v>100</v>
      </c>
      <c r="C1876" s="0" t="str">
        <f aca="false">TEXT(VLOOKUP(B1876,$I$2:$J$20,2,FALSE()),"0")</f>
        <v>100</v>
      </c>
      <c r="D1876" s="47" t="n">
        <v>100</v>
      </c>
      <c r="E1876" s="47" t="n">
        <v>24500000</v>
      </c>
      <c r="F1876" s="47" t="n">
        <v>5427800</v>
      </c>
    </row>
    <row r="1877" customFormat="false" ht="15" hidden="false" customHeight="false" outlineLevel="0" collapsed="false">
      <c r="A1877" s="0" t="s">
        <v>1118</v>
      </c>
      <c r="B1877" s="0" t="n">
        <v>200</v>
      </c>
      <c r="C1877" s="0" t="str">
        <f aca="false">TEXT(VLOOKUP(B1877,$I$2:$J$20,2,FALSE()),"0")</f>
        <v>200</v>
      </c>
      <c r="D1877" s="47" t="n">
        <v>120</v>
      </c>
      <c r="E1877" s="47" t="n">
        <v>29400000</v>
      </c>
      <c r="F1877" s="47" t="n">
        <v>6513360</v>
      </c>
    </row>
    <row r="1878" customFormat="false" ht="15" hidden="false" customHeight="false" outlineLevel="0" collapsed="false">
      <c r="A1878" s="0" t="s">
        <v>1118</v>
      </c>
      <c r="B1878" s="0" t="n">
        <v>600</v>
      </c>
      <c r="C1878" s="0" t="str">
        <f aca="false">TEXT(VLOOKUP(B1878,$I$2:$J$20,2,FALSE()),"0")</f>
        <v>600</v>
      </c>
      <c r="D1878" s="47" t="n">
        <v>15</v>
      </c>
      <c r="E1878" s="47" t="n">
        <v>3675000</v>
      </c>
      <c r="F1878" s="47" t="n">
        <v>814170</v>
      </c>
    </row>
    <row r="1879" customFormat="false" ht="15" hidden="false" customHeight="false" outlineLevel="0" collapsed="false">
      <c r="A1879" s="0" t="s">
        <v>1118</v>
      </c>
      <c r="B1879" s="0" t="n">
        <v>700</v>
      </c>
      <c r="C1879" s="0" t="str">
        <f aca="false">TEXT(VLOOKUP(B1879,$I$2:$J$20,2,FALSE()),"0")</f>
        <v>700</v>
      </c>
      <c r="D1879" s="47" t="n">
        <v>30</v>
      </c>
      <c r="E1879" s="47" t="n">
        <v>7350000</v>
      </c>
      <c r="F1879" s="47" t="n">
        <v>1628340</v>
      </c>
    </row>
    <row r="1880" customFormat="false" ht="15" hidden="false" customHeight="false" outlineLevel="0" collapsed="false">
      <c r="A1880" s="0" t="s">
        <v>1120</v>
      </c>
      <c r="B1880" s="0" t="n">
        <v>100</v>
      </c>
      <c r="C1880" s="0" t="str">
        <f aca="false">TEXT(VLOOKUP(B1880,$I$2:$J$20,2,FALSE()),"0")</f>
        <v>100</v>
      </c>
      <c r="D1880" s="47" t="n">
        <v>180</v>
      </c>
      <c r="E1880" s="47" t="n">
        <v>62100000</v>
      </c>
      <c r="F1880" s="47" t="n">
        <v>15750720</v>
      </c>
    </row>
    <row r="1881" customFormat="false" ht="15" hidden="false" customHeight="false" outlineLevel="0" collapsed="false">
      <c r="A1881" s="0" t="s">
        <v>1120</v>
      </c>
      <c r="B1881" s="0" t="n">
        <v>200</v>
      </c>
      <c r="C1881" s="0" t="str">
        <f aca="false">TEXT(VLOOKUP(B1881,$I$2:$J$20,2,FALSE()),"0")</f>
        <v>200</v>
      </c>
      <c r="D1881" s="47" t="n">
        <v>50</v>
      </c>
      <c r="E1881" s="47" t="n">
        <v>17250000</v>
      </c>
      <c r="F1881" s="47" t="n">
        <v>4375200</v>
      </c>
    </row>
    <row r="1882" customFormat="false" ht="15" hidden="false" customHeight="false" outlineLevel="0" collapsed="false">
      <c r="A1882" s="0" t="s">
        <v>1120</v>
      </c>
      <c r="B1882" s="0" t="n">
        <v>700</v>
      </c>
      <c r="C1882" s="0" t="str">
        <f aca="false">TEXT(VLOOKUP(B1882,$I$2:$J$20,2,FALSE()),"0")</f>
        <v>700</v>
      </c>
      <c r="D1882" s="47" t="n">
        <v>40</v>
      </c>
      <c r="E1882" s="47" t="n">
        <v>13800000</v>
      </c>
      <c r="F1882" s="47" t="n">
        <v>3500160</v>
      </c>
    </row>
    <row r="1883" customFormat="false" ht="15" hidden="false" customHeight="false" outlineLevel="0" collapsed="false">
      <c r="A1883" s="0" t="s">
        <v>1712</v>
      </c>
      <c r="B1883" s="0" t="n">
        <v>100</v>
      </c>
      <c r="C1883" s="0" t="str">
        <f aca="false">TEXT(VLOOKUP(B1883,$I$2:$J$20,2,FALSE()),"0")</f>
        <v>100</v>
      </c>
      <c r="D1883" s="47" t="n">
        <v>140</v>
      </c>
      <c r="E1883" s="47" t="n">
        <v>30660000</v>
      </c>
      <c r="F1883" s="47" t="n">
        <v>6698300</v>
      </c>
    </row>
    <row r="1884" customFormat="false" ht="15" hidden="false" customHeight="false" outlineLevel="0" collapsed="false">
      <c r="A1884" s="0" t="s">
        <v>1713</v>
      </c>
      <c r="B1884" s="0" t="n">
        <v>100</v>
      </c>
      <c r="C1884" s="0" t="str">
        <f aca="false">TEXT(VLOOKUP(B1884,$I$2:$J$20,2,FALSE()),"0")</f>
        <v>100</v>
      </c>
      <c r="D1884" s="47" t="n">
        <v>140</v>
      </c>
      <c r="E1884" s="47" t="n">
        <v>39060000</v>
      </c>
      <c r="F1884" s="47" t="n">
        <v>8687840</v>
      </c>
    </row>
    <row r="1885" customFormat="false" ht="15" hidden="false" customHeight="false" outlineLevel="0" collapsed="false">
      <c r="A1885" s="0" t="s">
        <v>1370</v>
      </c>
      <c r="B1885" s="0" t="n">
        <v>100</v>
      </c>
      <c r="C1885" s="0" t="str">
        <f aca="false">TEXT(VLOOKUP(B1885,$I$2:$J$20,2,FALSE()),"0")</f>
        <v>100</v>
      </c>
      <c r="D1885" s="47" t="n">
        <v>60</v>
      </c>
      <c r="E1885" s="47" t="n">
        <v>17880000</v>
      </c>
      <c r="F1885" s="47" t="n">
        <v>4487400</v>
      </c>
    </row>
    <row r="1886" customFormat="false" ht="15" hidden="false" customHeight="false" outlineLevel="0" collapsed="false">
      <c r="A1886" s="0" t="s">
        <v>1370</v>
      </c>
      <c r="B1886" s="0" t="n">
        <v>200</v>
      </c>
      <c r="C1886" s="0" t="str">
        <f aca="false">TEXT(VLOOKUP(B1886,$I$2:$J$20,2,FALSE()),"0")</f>
        <v>200</v>
      </c>
      <c r="D1886" s="47" t="n">
        <v>30</v>
      </c>
      <c r="E1886" s="47" t="n">
        <v>8940000</v>
      </c>
      <c r="F1886" s="47" t="n">
        <v>2243700</v>
      </c>
    </row>
    <row r="1887" customFormat="false" ht="15" hidden="false" customHeight="false" outlineLevel="0" collapsed="false">
      <c r="A1887" s="0" t="s">
        <v>1370</v>
      </c>
      <c r="B1887" s="0" t="n">
        <v>500</v>
      </c>
      <c r="C1887" s="0" t="str">
        <f aca="false">TEXT(VLOOKUP(B1887,$I$2:$J$20,2,FALSE()),"0")</f>
        <v>500</v>
      </c>
      <c r="D1887" s="47" t="n">
        <v>10</v>
      </c>
      <c r="E1887" s="47" t="n">
        <v>2980000</v>
      </c>
      <c r="F1887" s="47" t="n">
        <v>747900</v>
      </c>
    </row>
    <row r="1888" customFormat="false" ht="15" hidden="false" customHeight="false" outlineLevel="0" collapsed="false">
      <c r="A1888" s="0" t="s">
        <v>1370</v>
      </c>
      <c r="B1888" s="0" t="n">
        <v>600</v>
      </c>
      <c r="C1888" s="0" t="str">
        <f aca="false">TEXT(VLOOKUP(B1888,$I$2:$J$20,2,FALSE()),"0")</f>
        <v>600</v>
      </c>
      <c r="D1888" s="47" t="n">
        <v>10</v>
      </c>
      <c r="E1888" s="47" t="n">
        <v>2980000</v>
      </c>
      <c r="F1888" s="47" t="n">
        <v>747900</v>
      </c>
    </row>
    <row r="1889" customFormat="false" ht="15" hidden="false" customHeight="false" outlineLevel="0" collapsed="false">
      <c r="A1889" s="0" t="s">
        <v>1370</v>
      </c>
      <c r="B1889" s="0" t="n">
        <v>700</v>
      </c>
      <c r="C1889" s="0" t="str">
        <f aca="false">TEXT(VLOOKUP(B1889,$I$2:$J$20,2,FALSE()),"0")</f>
        <v>700</v>
      </c>
      <c r="D1889" s="47" t="n">
        <v>20</v>
      </c>
      <c r="E1889" s="47" t="n">
        <v>5960000</v>
      </c>
      <c r="F1889" s="47" t="n">
        <v>1495800</v>
      </c>
    </row>
    <row r="1890" customFormat="false" ht="15" hidden="false" customHeight="false" outlineLevel="0" collapsed="false">
      <c r="A1890" s="0" t="s">
        <v>1370</v>
      </c>
      <c r="B1890" s="0" t="n">
        <v>800</v>
      </c>
      <c r="C1890" s="0" t="str">
        <f aca="false">TEXT(VLOOKUP(B1890,$I$2:$J$20,2,FALSE()),"0")</f>
        <v>800</v>
      </c>
      <c r="D1890" s="47" t="n">
        <v>15</v>
      </c>
      <c r="E1890" s="47" t="n">
        <v>4470000</v>
      </c>
      <c r="F1890" s="47" t="n">
        <v>1121850</v>
      </c>
    </row>
    <row r="1891" customFormat="false" ht="15" hidden="false" customHeight="false" outlineLevel="0" collapsed="false">
      <c r="A1891" s="0" t="s">
        <v>1122</v>
      </c>
      <c r="B1891" s="0" t="n">
        <v>100</v>
      </c>
      <c r="C1891" s="0" t="str">
        <f aca="false">TEXT(VLOOKUP(B1891,$I$2:$J$20,2,FALSE()),"0")</f>
        <v>100</v>
      </c>
      <c r="D1891" s="47" t="n">
        <v>100</v>
      </c>
      <c r="E1891" s="47" t="n">
        <v>30900000</v>
      </c>
      <c r="F1891" s="47" t="n">
        <v>7163000</v>
      </c>
    </row>
    <row r="1892" customFormat="false" ht="15" hidden="false" customHeight="false" outlineLevel="0" collapsed="false">
      <c r="A1892" s="0" t="s">
        <v>1122</v>
      </c>
      <c r="B1892" s="0" t="n">
        <v>200</v>
      </c>
      <c r="C1892" s="0" t="str">
        <f aca="false">TEXT(VLOOKUP(B1892,$I$2:$J$20,2,FALSE()),"0")</f>
        <v>200</v>
      </c>
      <c r="D1892" s="47" t="n">
        <v>60</v>
      </c>
      <c r="E1892" s="47" t="n">
        <v>18540000</v>
      </c>
      <c r="F1892" s="47" t="n">
        <v>4297800</v>
      </c>
    </row>
    <row r="1893" customFormat="false" ht="15" hidden="false" customHeight="false" outlineLevel="0" collapsed="false">
      <c r="A1893" s="0" t="s">
        <v>1122</v>
      </c>
      <c r="B1893" s="0" t="n">
        <v>600</v>
      </c>
      <c r="C1893" s="0" t="str">
        <f aca="false">TEXT(VLOOKUP(B1893,$I$2:$J$20,2,FALSE()),"0")</f>
        <v>600</v>
      </c>
      <c r="D1893" s="47" t="n">
        <v>5</v>
      </c>
      <c r="E1893" s="47" t="n">
        <v>1545000</v>
      </c>
      <c r="F1893" s="47" t="n">
        <v>358150</v>
      </c>
    </row>
    <row r="1894" customFormat="false" ht="15" hidden="false" customHeight="false" outlineLevel="0" collapsed="false">
      <c r="A1894" s="0" t="s">
        <v>1122</v>
      </c>
      <c r="B1894" s="0" t="n">
        <v>700</v>
      </c>
      <c r="C1894" s="0" t="str">
        <f aca="false">TEXT(VLOOKUP(B1894,$I$2:$J$20,2,FALSE()),"0")</f>
        <v>700</v>
      </c>
      <c r="D1894" s="47" t="n">
        <v>40</v>
      </c>
      <c r="E1894" s="47" t="n">
        <v>12360000</v>
      </c>
      <c r="F1894" s="47" t="n">
        <v>2865200</v>
      </c>
    </row>
    <row r="1895" customFormat="false" ht="15" hidden="false" customHeight="false" outlineLevel="0" collapsed="false">
      <c r="A1895" s="0" t="s">
        <v>1122</v>
      </c>
      <c r="B1895" s="0" t="n">
        <v>800</v>
      </c>
      <c r="C1895" s="0" t="str">
        <f aca="false">TEXT(VLOOKUP(B1895,$I$2:$J$20,2,FALSE()),"0")</f>
        <v>800</v>
      </c>
      <c r="D1895" s="47" t="n">
        <v>30</v>
      </c>
      <c r="E1895" s="47" t="n">
        <v>9270000</v>
      </c>
      <c r="F1895" s="47" t="n">
        <v>2148900</v>
      </c>
    </row>
    <row r="1896" customFormat="false" ht="15" hidden="false" customHeight="false" outlineLevel="0" collapsed="false">
      <c r="A1896" s="0" t="s">
        <v>1431</v>
      </c>
      <c r="B1896" s="0" t="n">
        <v>200</v>
      </c>
      <c r="C1896" s="0" t="str">
        <f aca="false">TEXT(VLOOKUP(B1896,$I$2:$J$20,2,FALSE()),"0")</f>
        <v>200</v>
      </c>
      <c r="D1896" s="47" t="n">
        <v>160</v>
      </c>
      <c r="E1896" s="47" t="n">
        <v>44640000</v>
      </c>
      <c r="F1896" s="47" t="n">
        <v>11235200</v>
      </c>
    </row>
    <row r="1897" customFormat="false" ht="15" hidden="false" customHeight="false" outlineLevel="0" collapsed="false">
      <c r="A1897" s="0" t="s">
        <v>1431</v>
      </c>
      <c r="B1897" s="0" t="n">
        <v>299</v>
      </c>
      <c r="C1897" s="0" t="str">
        <f aca="false">TEXT(VLOOKUP(B1897,$I$2:$J$20,2,FALSE()),"0")</f>
        <v>200</v>
      </c>
      <c r="D1897" s="47" t="n">
        <v>2</v>
      </c>
      <c r="E1897" s="47" t="n">
        <v>558000</v>
      </c>
      <c r="F1897" s="47" t="n">
        <v>140440</v>
      </c>
    </row>
    <row r="1898" customFormat="false" ht="15" hidden="false" customHeight="false" outlineLevel="0" collapsed="false">
      <c r="A1898" s="0" t="s">
        <v>1431</v>
      </c>
      <c r="B1898" s="0" t="n">
        <v>300</v>
      </c>
      <c r="C1898" s="0" t="str">
        <f aca="false">TEXT(VLOOKUP(B1898,$I$2:$J$20,2,FALSE()),"0")</f>
        <v>300</v>
      </c>
      <c r="D1898" s="47" t="n">
        <v>100</v>
      </c>
      <c r="E1898" s="47" t="n">
        <v>27900000</v>
      </c>
      <c r="F1898" s="47" t="n">
        <v>7022000</v>
      </c>
    </row>
    <row r="1899" customFormat="false" ht="15" hidden="false" customHeight="false" outlineLevel="0" collapsed="false">
      <c r="A1899" s="0" t="s">
        <v>1431</v>
      </c>
      <c r="B1899" s="0" t="n">
        <v>600</v>
      </c>
      <c r="C1899" s="0" t="str">
        <f aca="false">TEXT(VLOOKUP(B1899,$I$2:$J$20,2,FALSE()),"0")</f>
        <v>600</v>
      </c>
      <c r="D1899" s="47" t="n">
        <v>30</v>
      </c>
      <c r="E1899" s="47" t="n">
        <v>8370000</v>
      </c>
      <c r="F1899" s="47" t="n">
        <v>2106600</v>
      </c>
    </row>
    <row r="1900" customFormat="false" ht="15" hidden="false" customHeight="false" outlineLevel="0" collapsed="false">
      <c r="A1900" s="0" t="s">
        <v>1431</v>
      </c>
      <c r="B1900" s="0" t="n">
        <v>700</v>
      </c>
      <c r="C1900" s="0" t="str">
        <f aca="false">TEXT(VLOOKUP(B1900,$I$2:$J$20,2,FALSE()),"0")</f>
        <v>700</v>
      </c>
      <c r="D1900" s="47" t="n">
        <v>90</v>
      </c>
      <c r="E1900" s="47" t="n">
        <v>25110000</v>
      </c>
      <c r="F1900" s="47" t="n">
        <v>6319800</v>
      </c>
    </row>
    <row r="1901" customFormat="false" ht="15" hidden="false" customHeight="false" outlineLevel="0" collapsed="false">
      <c r="A1901" s="0" t="s">
        <v>1431</v>
      </c>
      <c r="B1901" s="0" t="n">
        <v>799</v>
      </c>
      <c r="C1901" s="0" t="str">
        <f aca="false">TEXT(VLOOKUP(B1901,$I$2:$J$20,2,FALSE()),"0")</f>
        <v>700</v>
      </c>
      <c r="D1901" s="47" t="n">
        <v>2</v>
      </c>
      <c r="E1901" s="47" t="n">
        <v>558000</v>
      </c>
      <c r="F1901" s="47" t="n">
        <v>140440</v>
      </c>
    </row>
    <row r="1902" customFormat="false" ht="15" hidden="false" customHeight="false" outlineLevel="0" collapsed="false">
      <c r="A1902" s="0" t="s">
        <v>1431</v>
      </c>
      <c r="B1902" s="0" t="n">
        <v>800</v>
      </c>
      <c r="C1902" s="0" t="str">
        <f aca="false">TEXT(VLOOKUP(B1902,$I$2:$J$20,2,FALSE()),"0")</f>
        <v>800</v>
      </c>
      <c r="D1902" s="47" t="n">
        <v>60</v>
      </c>
      <c r="E1902" s="47" t="n">
        <v>16740000</v>
      </c>
      <c r="F1902" s="47" t="n">
        <v>4213200</v>
      </c>
    </row>
    <row r="1903" customFormat="false" ht="15" hidden="false" customHeight="false" outlineLevel="0" collapsed="false">
      <c r="A1903" s="0" t="s">
        <v>652</v>
      </c>
      <c r="B1903" s="0" t="n">
        <v>100</v>
      </c>
      <c r="C1903" s="0" t="str">
        <f aca="false">TEXT(VLOOKUP(B1903,$I$2:$J$20,2,FALSE()),"0")</f>
        <v>100</v>
      </c>
      <c r="D1903" s="47" t="n">
        <v>240</v>
      </c>
      <c r="E1903" s="47" t="n">
        <v>119760000</v>
      </c>
      <c r="F1903" s="47" t="n">
        <v>37896000</v>
      </c>
    </row>
    <row r="1904" customFormat="false" ht="15" hidden="false" customHeight="false" outlineLevel="0" collapsed="false">
      <c r="A1904" s="0" t="s">
        <v>652</v>
      </c>
      <c r="B1904" s="0" t="n">
        <v>300</v>
      </c>
      <c r="C1904" s="0" t="str">
        <f aca="false">TEXT(VLOOKUP(B1904,$I$2:$J$20,2,FALSE()),"0")</f>
        <v>300</v>
      </c>
      <c r="D1904" s="47" t="n">
        <v>340</v>
      </c>
      <c r="E1904" s="47" t="n">
        <v>169660000</v>
      </c>
      <c r="F1904" s="47" t="n">
        <v>53686000</v>
      </c>
    </row>
    <row r="1905" customFormat="false" ht="15" hidden="false" customHeight="false" outlineLevel="0" collapsed="false">
      <c r="A1905" s="0" t="s">
        <v>652</v>
      </c>
      <c r="B1905" s="0" t="n">
        <v>600</v>
      </c>
      <c r="C1905" s="0" t="str">
        <f aca="false">TEXT(VLOOKUP(B1905,$I$2:$J$20,2,FALSE()),"0")</f>
        <v>600</v>
      </c>
      <c r="D1905" s="47" t="n">
        <v>30</v>
      </c>
      <c r="E1905" s="47" t="n">
        <v>14970000</v>
      </c>
      <c r="F1905" s="47" t="n">
        <v>4737000</v>
      </c>
    </row>
    <row r="1906" customFormat="false" ht="15" hidden="false" customHeight="false" outlineLevel="0" collapsed="false">
      <c r="A1906" s="0" t="s">
        <v>652</v>
      </c>
      <c r="B1906" s="0" t="n">
        <v>800</v>
      </c>
      <c r="C1906" s="0" t="str">
        <f aca="false">TEXT(VLOOKUP(B1906,$I$2:$J$20,2,FALSE()),"0")</f>
        <v>800</v>
      </c>
      <c r="D1906" s="47" t="n">
        <v>60</v>
      </c>
      <c r="E1906" s="47" t="n">
        <v>29940000</v>
      </c>
      <c r="F1906" s="47" t="n">
        <v>9474000</v>
      </c>
    </row>
    <row r="1907" customFormat="false" ht="15" hidden="false" customHeight="false" outlineLevel="0" collapsed="false">
      <c r="A1907" s="0" t="s">
        <v>1433</v>
      </c>
      <c r="B1907" s="0" t="n">
        <v>100</v>
      </c>
      <c r="C1907" s="0" t="str">
        <f aca="false">TEXT(VLOOKUP(B1907,$I$2:$J$20,2,FALSE()),"0")</f>
        <v>100</v>
      </c>
      <c r="D1907" s="47" t="n">
        <v>450</v>
      </c>
      <c r="E1907" s="47" t="n">
        <v>134550000</v>
      </c>
      <c r="F1907" s="47" t="n">
        <v>33579450</v>
      </c>
    </row>
    <row r="1908" customFormat="false" ht="15" hidden="false" customHeight="false" outlineLevel="0" collapsed="false">
      <c r="A1908" s="0" t="s">
        <v>1433</v>
      </c>
      <c r="B1908" s="0" t="n">
        <v>200</v>
      </c>
      <c r="C1908" s="0" t="str">
        <f aca="false">TEXT(VLOOKUP(B1908,$I$2:$J$20,2,FALSE()),"0")</f>
        <v>200</v>
      </c>
      <c r="D1908" s="47" t="n">
        <v>400</v>
      </c>
      <c r="E1908" s="47" t="n">
        <v>119600000</v>
      </c>
      <c r="F1908" s="47" t="n">
        <v>29848400</v>
      </c>
    </row>
    <row r="1909" customFormat="false" ht="15" hidden="false" customHeight="false" outlineLevel="0" collapsed="false">
      <c r="A1909" s="0" t="s">
        <v>1433</v>
      </c>
      <c r="B1909" s="0" t="n">
        <v>299</v>
      </c>
      <c r="C1909" s="0" t="str">
        <f aca="false">TEXT(VLOOKUP(B1909,$I$2:$J$20,2,FALSE()),"0")</f>
        <v>200</v>
      </c>
      <c r="D1909" s="47" t="n">
        <v>3</v>
      </c>
      <c r="E1909" s="47" t="n">
        <v>897000</v>
      </c>
      <c r="F1909" s="47" t="n">
        <v>223863</v>
      </c>
    </row>
    <row r="1910" customFormat="false" ht="15" hidden="false" customHeight="false" outlineLevel="0" collapsed="false">
      <c r="A1910" s="0" t="s">
        <v>1433</v>
      </c>
      <c r="B1910" s="0" t="n">
        <v>300</v>
      </c>
      <c r="C1910" s="0" t="str">
        <f aca="false">TEXT(VLOOKUP(B1910,$I$2:$J$20,2,FALSE()),"0")</f>
        <v>300</v>
      </c>
      <c r="D1910" s="47" t="n">
        <v>500</v>
      </c>
      <c r="E1910" s="47" t="n">
        <v>149500000</v>
      </c>
      <c r="F1910" s="47" t="n">
        <v>37310500</v>
      </c>
    </row>
    <row r="1911" customFormat="false" ht="15" hidden="false" customHeight="false" outlineLevel="0" collapsed="false">
      <c r="A1911" s="0" t="s">
        <v>1433</v>
      </c>
      <c r="B1911" s="0" t="n">
        <v>600</v>
      </c>
      <c r="C1911" s="0" t="str">
        <f aca="false">TEXT(VLOOKUP(B1911,$I$2:$J$20,2,FALSE()),"0")</f>
        <v>600</v>
      </c>
      <c r="D1911" s="47" t="n">
        <v>30</v>
      </c>
      <c r="E1911" s="47" t="n">
        <v>8970000</v>
      </c>
      <c r="F1911" s="47" t="n">
        <v>2238630</v>
      </c>
    </row>
    <row r="1912" customFormat="false" ht="15" hidden="false" customHeight="false" outlineLevel="0" collapsed="false">
      <c r="A1912" s="0" t="s">
        <v>1433</v>
      </c>
      <c r="B1912" s="0" t="n">
        <v>700</v>
      </c>
      <c r="C1912" s="0" t="str">
        <f aca="false">TEXT(VLOOKUP(B1912,$I$2:$J$20,2,FALSE()),"0")</f>
        <v>700</v>
      </c>
      <c r="D1912" s="47" t="n">
        <v>120</v>
      </c>
      <c r="E1912" s="47" t="n">
        <v>35880000</v>
      </c>
      <c r="F1912" s="47" t="n">
        <v>8954520</v>
      </c>
    </row>
    <row r="1913" customFormat="false" ht="15" hidden="false" customHeight="false" outlineLevel="0" collapsed="false">
      <c r="A1913" s="0" t="s">
        <v>1433</v>
      </c>
      <c r="B1913" s="0" t="n">
        <v>799</v>
      </c>
      <c r="C1913" s="0" t="str">
        <f aca="false">TEXT(VLOOKUP(B1913,$I$2:$J$20,2,FALSE()),"0")</f>
        <v>700</v>
      </c>
      <c r="D1913" s="47" t="n">
        <v>2</v>
      </c>
      <c r="E1913" s="47" t="n">
        <v>598000</v>
      </c>
      <c r="F1913" s="47" t="n">
        <v>149242</v>
      </c>
    </row>
    <row r="1914" customFormat="false" ht="15" hidden="false" customHeight="false" outlineLevel="0" collapsed="false">
      <c r="A1914" s="0" t="s">
        <v>1433</v>
      </c>
      <c r="B1914" s="0" t="n">
        <v>800</v>
      </c>
      <c r="C1914" s="0" t="str">
        <f aca="false">TEXT(VLOOKUP(B1914,$I$2:$J$20,2,FALSE()),"0")</f>
        <v>800</v>
      </c>
      <c r="D1914" s="47" t="n">
        <v>60</v>
      </c>
      <c r="E1914" s="47" t="n">
        <v>17940000</v>
      </c>
      <c r="F1914" s="47" t="n">
        <v>4477260</v>
      </c>
    </row>
    <row r="1915" customFormat="false" ht="15" hidden="false" customHeight="false" outlineLevel="0" collapsed="false">
      <c r="A1915" s="0" t="s">
        <v>1714</v>
      </c>
      <c r="B1915" s="0" t="n">
        <v>601</v>
      </c>
      <c r="C1915" s="0" t="str">
        <f aca="false">TEXT(VLOOKUP(B1915,$I$2:$J$20,2,FALSE()),"0")</f>
        <v>600</v>
      </c>
      <c r="D1915" s="47" t="n">
        <v>140</v>
      </c>
      <c r="E1915" s="47" t="n">
        <v>9660000</v>
      </c>
      <c r="F1915" s="47" t="n">
        <v>2325120</v>
      </c>
    </row>
    <row r="1916" customFormat="false" ht="15" hidden="false" customHeight="false" outlineLevel="0" collapsed="false">
      <c r="A1916" s="0" t="s">
        <v>654</v>
      </c>
      <c r="B1916" s="0" t="n">
        <v>300</v>
      </c>
      <c r="C1916" s="0" t="str">
        <f aca="false">TEXT(VLOOKUP(B1916,$I$2:$J$20,2,FALSE()),"0")</f>
        <v>300</v>
      </c>
      <c r="D1916" s="47" t="n">
        <v>1050</v>
      </c>
      <c r="E1916" s="47" t="n">
        <v>51450000</v>
      </c>
      <c r="F1916" s="47" t="n">
        <v>8829450</v>
      </c>
    </row>
    <row r="1917" customFormat="false" ht="15" hidden="false" customHeight="false" outlineLevel="0" collapsed="false">
      <c r="A1917" s="0" t="s">
        <v>654</v>
      </c>
      <c r="B1917" s="0" t="n">
        <v>600</v>
      </c>
      <c r="C1917" s="0" t="str">
        <f aca="false">TEXT(VLOOKUP(B1917,$I$2:$J$20,2,FALSE()),"0")</f>
        <v>600</v>
      </c>
      <c r="D1917" s="47" t="n">
        <v>305</v>
      </c>
      <c r="E1917" s="47" t="n">
        <v>14945000</v>
      </c>
      <c r="F1917" s="47" t="n">
        <v>2564745</v>
      </c>
    </row>
    <row r="1918" customFormat="false" ht="15" hidden="false" customHeight="false" outlineLevel="0" collapsed="false">
      <c r="A1918" s="0" t="s">
        <v>654</v>
      </c>
      <c r="B1918" s="0" t="n">
        <v>800</v>
      </c>
      <c r="C1918" s="0" t="str">
        <f aca="false">TEXT(VLOOKUP(B1918,$I$2:$J$20,2,FALSE()),"0")</f>
        <v>800</v>
      </c>
      <c r="D1918" s="47" t="n">
        <v>100</v>
      </c>
      <c r="E1918" s="47" t="n">
        <v>4900000</v>
      </c>
      <c r="F1918" s="47" t="n">
        <v>840900</v>
      </c>
    </row>
    <row r="1919" customFormat="false" ht="15" hidden="false" customHeight="false" outlineLevel="0" collapsed="false">
      <c r="A1919" s="0" t="s">
        <v>1372</v>
      </c>
      <c r="B1919" s="0" t="n">
        <v>600</v>
      </c>
      <c r="C1919" s="0" t="str">
        <f aca="false">TEXT(VLOOKUP(B1919,$I$2:$J$20,2,FALSE()),"0")</f>
        <v>600</v>
      </c>
      <c r="D1919" s="47" t="n">
        <v>80</v>
      </c>
      <c r="E1919" s="47" t="n">
        <v>3920000</v>
      </c>
      <c r="F1919" s="47" t="n">
        <v>736000</v>
      </c>
    </row>
    <row r="1920" customFormat="false" ht="15" hidden="false" customHeight="false" outlineLevel="0" collapsed="false">
      <c r="A1920" s="0" t="s">
        <v>1372</v>
      </c>
      <c r="B1920" s="0" t="n">
        <v>800</v>
      </c>
      <c r="C1920" s="0" t="str">
        <f aca="false">TEXT(VLOOKUP(B1920,$I$2:$J$20,2,FALSE()),"0")</f>
        <v>800</v>
      </c>
      <c r="D1920" s="47" t="n">
        <v>95</v>
      </c>
      <c r="E1920" s="47" t="n">
        <v>4655000</v>
      </c>
      <c r="F1920" s="47" t="n">
        <v>874000</v>
      </c>
    </row>
    <row r="1921" customFormat="false" ht="15" hidden="false" customHeight="false" outlineLevel="0" collapsed="false">
      <c r="A1921" s="0" t="s">
        <v>1372</v>
      </c>
      <c r="B1921" s="0" t="n">
        <v>810</v>
      </c>
      <c r="C1921" s="0" t="str">
        <f aca="false">TEXT(VLOOKUP(B1921,$I$2:$J$20,2,FALSE()),"0")</f>
        <v>810</v>
      </c>
      <c r="D1921" s="47" t="n">
        <v>432</v>
      </c>
      <c r="E1921" s="47" t="n">
        <v>21168000</v>
      </c>
      <c r="F1921" s="47" t="n">
        <v>3974400</v>
      </c>
    </row>
    <row r="1922" customFormat="false" ht="15" hidden="false" customHeight="false" outlineLevel="0" collapsed="false">
      <c r="A1922" s="0" t="s">
        <v>1715</v>
      </c>
      <c r="B1922" s="0" t="n">
        <v>800</v>
      </c>
      <c r="C1922" s="0" t="str">
        <f aca="false">TEXT(VLOOKUP(B1922,$I$2:$J$20,2,FALSE()),"0")</f>
        <v>800</v>
      </c>
      <c r="D1922" s="47" t="n">
        <v>65</v>
      </c>
      <c r="E1922" s="47" t="n">
        <v>3185000</v>
      </c>
      <c r="F1922" s="47" t="n">
        <v>810810</v>
      </c>
    </row>
    <row r="1923" customFormat="false" ht="15" hidden="false" customHeight="false" outlineLevel="0" collapsed="false">
      <c r="A1923" s="0" t="s">
        <v>656</v>
      </c>
      <c r="B1923" s="0" t="n">
        <v>300</v>
      </c>
      <c r="C1923" s="0" t="str">
        <f aca="false">TEXT(VLOOKUP(B1923,$I$2:$J$20,2,FALSE()),"0")</f>
        <v>300</v>
      </c>
      <c r="D1923" s="47" t="n">
        <v>180</v>
      </c>
      <c r="E1923" s="47" t="n">
        <v>7020000</v>
      </c>
      <c r="F1923" s="47" t="n">
        <v>1887840</v>
      </c>
    </row>
    <row r="1924" customFormat="false" ht="15" hidden="false" customHeight="false" outlineLevel="0" collapsed="false">
      <c r="A1924" s="0" t="s">
        <v>656</v>
      </c>
      <c r="B1924" s="0" t="n">
        <v>800</v>
      </c>
      <c r="C1924" s="0" t="str">
        <f aca="false">TEXT(VLOOKUP(B1924,$I$2:$J$20,2,FALSE()),"0")</f>
        <v>800</v>
      </c>
      <c r="D1924" s="47" t="n">
        <v>110</v>
      </c>
      <c r="E1924" s="47" t="n">
        <v>4290000</v>
      </c>
      <c r="F1924" s="47" t="n">
        <v>1153680</v>
      </c>
    </row>
    <row r="1925" customFormat="false" ht="15" hidden="false" customHeight="false" outlineLevel="0" collapsed="false">
      <c r="A1925" s="0" t="s">
        <v>658</v>
      </c>
      <c r="B1925" s="0" t="n">
        <v>100</v>
      </c>
      <c r="C1925" s="0" t="str">
        <f aca="false">TEXT(VLOOKUP(B1925,$I$2:$J$20,2,FALSE()),"0")</f>
        <v>100</v>
      </c>
      <c r="D1925" s="47" t="n">
        <v>260</v>
      </c>
      <c r="E1925" s="47" t="n">
        <v>36140000</v>
      </c>
      <c r="F1925" s="47" t="n">
        <v>8840000</v>
      </c>
    </row>
    <row r="1926" customFormat="false" ht="15" hidden="false" customHeight="false" outlineLevel="0" collapsed="false">
      <c r="A1926" s="0" t="s">
        <v>658</v>
      </c>
      <c r="B1926" s="0" t="n">
        <v>200</v>
      </c>
      <c r="C1926" s="0" t="str">
        <f aca="false">TEXT(VLOOKUP(B1926,$I$2:$J$20,2,FALSE()),"0")</f>
        <v>200</v>
      </c>
      <c r="D1926" s="47" t="n">
        <v>515</v>
      </c>
      <c r="E1926" s="47" t="n">
        <v>71585000</v>
      </c>
      <c r="F1926" s="47" t="n">
        <v>17510000</v>
      </c>
    </row>
    <row r="1927" customFormat="false" ht="15" hidden="false" customHeight="false" outlineLevel="0" collapsed="false">
      <c r="A1927" s="0" t="s">
        <v>658</v>
      </c>
      <c r="B1927" s="0" t="n">
        <v>299</v>
      </c>
      <c r="C1927" s="0" t="str">
        <f aca="false">TEXT(VLOOKUP(B1927,$I$2:$J$20,2,FALSE()),"0")</f>
        <v>200</v>
      </c>
      <c r="D1927" s="47" t="n">
        <v>2</v>
      </c>
      <c r="E1927" s="47" t="n">
        <v>278000</v>
      </c>
      <c r="F1927" s="47" t="n">
        <v>68000</v>
      </c>
    </row>
    <row r="1928" customFormat="false" ht="15" hidden="false" customHeight="false" outlineLevel="0" collapsed="false">
      <c r="A1928" s="0" t="s">
        <v>658</v>
      </c>
      <c r="B1928" s="0" t="n">
        <v>300</v>
      </c>
      <c r="C1928" s="0" t="str">
        <f aca="false">TEXT(VLOOKUP(B1928,$I$2:$J$20,2,FALSE()),"0")</f>
        <v>300</v>
      </c>
      <c r="D1928" s="47" t="n">
        <v>950</v>
      </c>
      <c r="E1928" s="47" t="n">
        <v>132050000</v>
      </c>
      <c r="F1928" s="47" t="n">
        <v>32300000</v>
      </c>
    </row>
    <row r="1929" customFormat="false" ht="15" hidden="false" customHeight="false" outlineLevel="0" collapsed="false">
      <c r="A1929" s="0" t="s">
        <v>658</v>
      </c>
      <c r="B1929" s="0" t="n">
        <v>500</v>
      </c>
      <c r="C1929" s="0" t="str">
        <f aca="false">TEXT(VLOOKUP(B1929,$I$2:$J$20,2,FALSE()),"0")</f>
        <v>500</v>
      </c>
      <c r="D1929" s="47" t="n">
        <v>30</v>
      </c>
      <c r="E1929" s="47" t="n">
        <v>4170000</v>
      </c>
      <c r="F1929" s="47" t="n">
        <v>1020000</v>
      </c>
    </row>
    <row r="1930" customFormat="false" ht="15" hidden="false" customHeight="false" outlineLevel="0" collapsed="false">
      <c r="A1930" s="0" t="s">
        <v>972</v>
      </c>
      <c r="B1930" s="0" t="n">
        <v>100</v>
      </c>
      <c r="C1930" s="0" t="str">
        <f aca="false">TEXT(VLOOKUP(B1930,$I$2:$J$20,2,FALSE()),"0")</f>
        <v>100</v>
      </c>
      <c r="D1930" s="47" t="n">
        <v>390</v>
      </c>
      <c r="E1930" s="47" t="n">
        <v>50310000</v>
      </c>
      <c r="F1930" s="47" t="n">
        <v>12374700</v>
      </c>
    </row>
    <row r="1931" customFormat="false" ht="15" hidden="false" customHeight="false" outlineLevel="0" collapsed="false">
      <c r="A1931" s="0" t="s">
        <v>1435</v>
      </c>
      <c r="B1931" s="0" t="n">
        <v>700</v>
      </c>
      <c r="C1931" s="0" t="str">
        <f aca="false">TEXT(VLOOKUP(B1931,$I$2:$J$20,2,FALSE()),"0")</f>
        <v>700</v>
      </c>
      <c r="D1931" s="47" t="n">
        <v>120</v>
      </c>
      <c r="E1931" s="47" t="n">
        <v>15480000</v>
      </c>
      <c r="F1931" s="47" t="n">
        <v>4140000</v>
      </c>
    </row>
    <row r="1932" customFormat="false" ht="15" hidden="false" customHeight="false" outlineLevel="0" collapsed="false">
      <c r="A1932" s="0" t="s">
        <v>1437</v>
      </c>
      <c r="B1932" s="0" t="n">
        <v>700</v>
      </c>
      <c r="C1932" s="0" t="str">
        <f aca="false">TEXT(VLOOKUP(B1932,$I$2:$J$20,2,FALSE()),"0")</f>
        <v>700</v>
      </c>
      <c r="D1932" s="47" t="n">
        <v>60</v>
      </c>
      <c r="E1932" s="47" t="n">
        <v>7140000</v>
      </c>
      <c r="F1932" s="47" t="n">
        <v>1920000</v>
      </c>
    </row>
    <row r="1933" customFormat="false" ht="15" hidden="false" customHeight="false" outlineLevel="0" collapsed="false">
      <c r="A1933" s="0" t="s">
        <v>974</v>
      </c>
      <c r="B1933" s="0" t="n">
        <v>100</v>
      </c>
      <c r="C1933" s="0" t="str">
        <f aca="false">TEXT(VLOOKUP(B1933,$I$2:$J$20,2,FALSE()),"0")</f>
        <v>100</v>
      </c>
      <c r="D1933" s="47" t="n">
        <v>190</v>
      </c>
      <c r="E1933" s="47" t="n">
        <v>22610000</v>
      </c>
      <c r="F1933" s="47" t="n">
        <v>5928000</v>
      </c>
    </row>
    <row r="1934" customFormat="false" ht="15" hidden="false" customHeight="false" outlineLevel="0" collapsed="false">
      <c r="A1934" s="0" t="s">
        <v>1439</v>
      </c>
      <c r="B1934" s="0" t="n">
        <v>700</v>
      </c>
      <c r="C1934" s="0" t="str">
        <f aca="false">TEXT(VLOOKUP(B1934,$I$2:$J$20,2,FALSE()),"0")</f>
        <v>700</v>
      </c>
      <c r="D1934" s="47" t="n">
        <v>60</v>
      </c>
      <c r="E1934" s="47" t="n">
        <v>8940000</v>
      </c>
      <c r="F1934" s="47" t="n">
        <v>2130000</v>
      </c>
    </row>
    <row r="1935" customFormat="false" ht="15" hidden="false" customHeight="false" outlineLevel="0" collapsed="false">
      <c r="A1935" s="0" t="s">
        <v>1439</v>
      </c>
      <c r="B1935" s="0" t="n">
        <v>799</v>
      </c>
      <c r="C1935" s="0" t="str">
        <f aca="false">TEXT(VLOOKUP(B1935,$I$2:$J$20,2,FALSE()),"0")</f>
        <v>700</v>
      </c>
      <c r="D1935" s="47" t="n">
        <v>2</v>
      </c>
      <c r="E1935" s="47" t="n">
        <v>298000</v>
      </c>
      <c r="F1935" s="47" t="n">
        <v>71000</v>
      </c>
    </row>
    <row r="1936" customFormat="false" ht="15" hidden="false" customHeight="false" outlineLevel="0" collapsed="false">
      <c r="A1936" s="0" t="s">
        <v>660</v>
      </c>
      <c r="B1936" s="0" t="n">
        <v>100</v>
      </c>
      <c r="C1936" s="0" t="str">
        <f aca="false">TEXT(VLOOKUP(B1936,$I$2:$J$20,2,FALSE()),"0")</f>
        <v>100</v>
      </c>
      <c r="D1936" s="47" t="n">
        <v>130</v>
      </c>
      <c r="E1936" s="47" t="n">
        <v>12870000</v>
      </c>
      <c r="F1936" s="47" t="n">
        <v>4288960</v>
      </c>
    </row>
    <row r="1937" customFormat="false" ht="15" hidden="false" customHeight="false" outlineLevel="0" collapsed="false">
      <c r="A1937" s="0" t="s">
        <v>660</v>
      </c>
      <c r="B1937" s="0" t="n">
        <v>300</v>
      </c>
      <c r="C1937" s="0" t="str">
        <f aca="false">TEXT(VLOOKUP(B1937,$I$2:$J$20,2,FALSE()),"0")</f>
        <v>300</v>
      </c>
      <c r="D1937" s="47" t="n">
        <v>310</v>
      </c>
      <c r="E1937" s="47" t="n">
        <v>30690000</v>
      </c>
      <c r="F1937" s="47" t="n">
        <v>10227520</v>
      </c>
    </row>
    <row r="1938" customFormat="false" ht="15" hidden="false" customHeight="false" outlineLevel="0" collapsed="false">
      <c r="A1938" s="0" t="s">
        <v>662</v>
      </c>
      <c r="B1938" s="0" t="n">
        <v>100</v>
      </c>
      <c r="C1938" s="0" t="str">
        <f aca="false">TEXT(VLOOKUP(B1938,$I$2:$J$20,2,FALSE()),"0")</f>
        <v>100</v>
      </c>
      <c r="D1938" s="47" t="n">
        <v>240</v>
      </c>
      <c r="E1938" s="47" t="n">
        <v>95760000</v>
      </c>
      <c r="F1938" s="47" t="n">
        <v>28299600</v>
      </c>
    </row>
    <row r="1939" customFormat="false" ht="15" hidden="false" customHeight="false" outlineLevel="0" collapsed="false">
      <c r="A1939" s="0" t="s">
        <v>662</v>
      </c>
      <c r="B1939" s="0" t="n">
        <v>200</v>
      </c>
      <c r="C1939" s="0" t="str">
        <f aca="false">TEXT(VLOOKUP(B1939,$I$2:$J$20,2,FALSE()),"0")</f>
        <v>200</v>
      </c>
      <c r="D1939" s="47" t="n">
        <v>240</v>
      </c>
      <c r="E1939" s="47" t="n">
        <v>95760000</v>
      </c>
      <c r="F1939" s="47" t="n">
        <v>28299600</v>
      </c>
    </row>
    <row r="1940" customFormat="false" ht="15" hidden="false" customHeight="false" outlineLevel="0" collapsed="false">
      <c r="A1940" s="0" t="s">
        <v>662</v>
      </c>
      <c r="B1940" s="0" t="n">
        <v>299</v>
      </c>
      <c r="C1940" s="0" t="str">
        <f aca="false">TEXT(VLOOKUP(B1940,$I$2:$J$20,2,FALSE()),"0")</f>
        <v>200</v>
      </c>
      <c r="D1940" s="47" t="n">
        <v>2</v>
      </c>
      <c r="E1940" s="47" t="n">
        <v>798000</v>
      </c>
      <c r="F1940" s="47" t="n">
        <v>235830</v>
      </c>
    </row>
    <row r="1941" customFormat="false" ht="15" hidden="false" customHeight="false" outlineLevel="0" collapsed="false">
      <c r="A1941" s="0" t="s">
        <v>662</v>
      </c>
      <c r="B1941" s="0" t="n">
        <v>300</v>
      </c>
      <c r="C1941" s="0" t="str">
        <f aca="false">TEXT(VLOOKUP(B1941,$I$2:$J$20,2,FALSE()),"0")</f>
        <v>300</v>
      </c>
      <c r="D1941" s="47" t="n">
        <v>300</v>
      </c>
      <c r="E1941" s="47" t="n">
        <v>119700000</v>
      </c>
      <c r="F1941" s="47" t="n">
        <v>35374500</v>
      </c>
    </row>
    <row r="1942" customFormat="false" ht="15" hidden="false" customHeight="false" outlineLevel="0" collapsed="false">
      <c r="A1942" s="0" t="s">
        <v>662</v>
      </c>
      <c r="B1942" s="0" t="n">
        <v>600</v>
      </c>
      <c r="C1942" s="0" t="str">
        <f aca="false">TEXT(VLOOKUP(B1942,$I$2:$J$20,2,FALSE()),"0")</f>
        <v>600</v>
      </c>
      <c r="D1942" s="47" t="n">
        <v>15</v>
      </c>
      <c r="E1942" s="47" t="n">
        <v>5985000</v>
      </c>
      <c r="F1942" s="47" t="n">
        <v>1768725</v>
      </c>
    </row>
    <row r="1943" customFormat="false" ht="15" hidden="false" customHeight="false" outlineLevel="0" collapsed="false">
      <c r="A1943" s="0" t="s">
        <v>662</v>
      </c>
      <c r="B1943" s="0" t="n">
        <v>700</v>
      </c>
      <c r="C1943" s="0" t="str">
        <f aca="false">TEXT(VLOOKUP(B1943,$I$2:$J$20,2,FALSE()),"0")</f>
        <v>700</v>
      </c>
      <c r="D1943" s="47" t="n">
        <v>70</v>
      </c>
      <c r="E1943" s="47" t="n">
        <v>27930000</v>
      </c>
      <c r="F1943" s="47" t="n">
        <v>8254050</v>
      </c>
    </row>
    <row r="1944" customFormat="false" ht="15" hidden="false" customHeight="false" outlineLevel="0" collapsed="false">
      <c r="A1944" s="0" t="s">
        <v>662</v>
      </c>
      <c r="B1944" s="0" t="n">
        <v>799</v>
      </c>
      <c r="C1944" s="0" t="str">
        <f aca="false">TEXT(VLOOKUP(B1944,$I$2:$J$20,2,FALSE()),"0")</f>
        <v>700</v>
      </c>
      <c r="D1944" s="47" t="n">
        <v>2</v>
      </c>
      <c r="E1944" s="47" t="n">
        <v>798000</v>
      </c>
      <c r="F1944" s="47" t="n">
        <v>235830</v>
      </c>
    </row>
    <row r="1945" customFormat="false" ht="15" hidden="false" customHeight="false" outlineLevel="0" collapsed="false">
      <c r="A1945" s="0" t="s">
        <v>662</v>
      </c>
      <c r="B1945" s="0" t="n">
        <v>800</v>
      </c>
      <c r="C1945" s="0" t="str">
        <f aca="false">TEXT(VLOOKUP(B1945,$I$2:$J$20,2,FALSE()),"0")</f>
        <v>800</v>
      </c>
      <c r="D1945" s="47" t="n">
        <v>60</v>
      </c>
      <c r="E1945" s="47" t="n">
        <v>23940000</v>
      </c>
      <c r="F1945" s="47" t="n">
        <v>7074900</v>
      </c>
    </row>
    <row r="1946" customFormat="false" ht="15" hidden="false" customHeight="false" outlineLevel="0" collapsed="false">
      <c r="A1946" s="0" t="s">
        <v>1716</v>
      </c>
      <c r="B1946" s="0" t="n">
        <v>800</v>
      </c>
      <c r="C1946" s="0" t="str">
        <f aca="false">TEXT(VLOOKUP(B1946,$I$2:$J$20,2,FALSE()),"0")</f>
        <v>800</v>
      </c>
      <c r="D1946" s="47" t="n">
        <v>90</v>
      </c>
      <c r="E1946" s="47" t="n">
        <v>4410000</v>
      </c>
      <c r="F1946" s="47" t="n">
        <v>630000</v>
      </c>
    </row>
    <row r="1947" customFormat="false" ht="15" hidden="false" customHeight="false" outlineLevel="0" collapsed="false">
      <c r="A1947" s="0" t="s">
        <v>1124</v>
      </c>
      <c r="B1947" s="0" t="n">
        <v>200</v>
      </c>
      <c r="C1947" s="0" t="str">
        <f aca="false">TEXT(VLOOKUP(B1947,$I$2:$J$20,2,FALSE()),"0")</f>
        <v>200</v>
      </c>
      <c r="D1947" s="47" t="n">
        <v>355</v>
      </c>
      <c r="E1947" s="47" t="n">
        <v>56445000</v>
      </c>
      <c r="F1947" s="47" t="n">
        <v>13595080</v>
      </c>
    </row>
    <row r="1948" customFormat="false" ht="15" hidden="false" customHeight="false" outlineLevel="0" collapsed="false">
      <c r="A1948" s="0" t="s">
        <v>1124</v>
      </c>
      <c r="B1948" s="0" t="n">
        <v>299</v>
      </c>
      <c r="C1948" s="0" t="str">
        <f aca="false">TEXT(VLOOKUP(B1948,$I$2:$J$20,2,FALSE()),"0")</f>
        <v>200</v>
      </c>
      <c r="D1948" s="47" t="n">
        <v>2</v>
      </c>
      <c r="E1948" s="47" t="n">
        <v>318000</v>
      </c>
      <c r="F1948" s="47" t="n">
        <v>76592</v>
      </c>
    </row>
    <row r="1949" customFormat="false" ht="15" hidden="false" customHeight="false" outlineLevel="0" collapsed="false">
      <c r="A1949" s="0" t="s">
        <v>1717</v>
      </c>
      <c r="B1949" s="0" t="n">
        <v>200</v>
      </c>
      <c r="C1949" s="0" t="str">
        <f aca="false">TEXT(VLOOKUP(B1949,$I$2:$J$20,2,FALSE()),"0")</f>
        <v>200</v>
      </c>
      <c r="D1949" s="47" t="n">
        <v>420</v>
      </c>
      <c r="E1949" s="47" t="n">
        <v>209580000</v>
      </c>
      <c r="F1949" s="47" t="n">
        <v>56709240</v>
      </c>
    </row>
    <row r="1950" customFormat="false" ht="15" hidden="false" customHeight="false" outlineLevel="0" collapsed="false">
      <c r="A1950" s="0" t="s">
        <v>1717</v>
      </c>
      <c r="B1950" s="0" t="n">
        <v>299</v>
      </c>
      <c r="C1950" s="0" t="str">
        <f aca="false">TEXT(VLOOKUP(B1950,$I$2:$J$20,2,FALSE()),"0")</f>
        <v>200</v>
      </c>
      <c r="D1950" s="47" t="n">
        <v>7</v>
      </c>
      <c r="E1950" s="47" t="n">
        <v>3493000</v>
      </c>
      <c r="F1950" s="47" t="n">
        <v>945154</v>
      </c>
    </row>
    <row r="1951" customFormat="false" ht="15" hidden="false" customHeight="false" outlineLevel="0" collapsed="false">
      <c r="A1951" s="0" t="s">
        <v>1125</v>
      </c>
      <c r="B1951" s="0" t="n">
        <v>200</v>
      </c>
      <c r="C1951" s="0" t="str">
        <f aca="false">TEXT(VLOOKUP(B1951,$I$2:$J$20,2,FALSE()),"0")</f>
        <v>200</v>
      </c>
      <c r="D1951" s="47" t="n">
        <v>350</v>
      </c>
      <c r="E1951" s="47" t="n">
        <v>48650000</v>
      </c>
      <c r="F1951" s="47" t="n">
        <v>12775000</v>
      </c>
    </row>
    <row r="1952" customFormat="false" ht="15" hidden="false" customHeight="false" outlineLevel="0" collapsed="false">
      <c r="A1952" s="0" t="s">
        <v>1125</v>
      </c>
      <c r="B1952" s="0" t="n">
        <v>299</v>
      </c>
      <c r="C1952" s="0" t="str">
        <f aca="false">TEXT(VLOOKUP(B1952,$I$2:$J$20,2,FALSE()),"0")</f>
        <v>200</v>
      </c>
      <c r="D1952" s="47" t="n">
        <v>2</v>
      </c>
      <c r="E1952" s="47" t="n">
        <v>278000</v>
      </c>
      <c r="F1952" s="47" t="n">
        <v>73000</v>
      </c>
    </row>
    <row r="1953" customFormat="false" ht="15" hidden="false" customHeight="false" outlineLevel="0" collapsed="false">
      <c r="A1953" s="0" t="s">
        <v>1718</v>
      </c>
      <c r="B1953" s="0" t="n">
        <v>100</v>
      </c>
      <c r="C1953" s="0" t="str">
        <f aca="false">TEXT(VLOOKUP(B1953,$I$2:$J$20,2,FALSE()),"0")</f>
        <v>100</v>
      </c>
      <c r="D1953" s="47" t="n">
        <v>90</v>
      </c>
      <c r="E1953" s="47" t="n">
        <v>17010000</v>
      </c>
      <c r="F1953" s="47" t="n">
        <v>5337000</v>
      </c>
    </row>
    <row r="1954" customFormat="false" ht="15" hidden="false" customHeight="false" outlineLevel="0" collapsed="false">
      <c r="A1954" s="0" t="s">
        <v>1718</v>
      </c>
      <c r="B1954" s="0" t="n">
        <v>300</v>
      </c>
      <c r="C1954" s="0" t="str">
        <f aca="false">TEXT(VLOOKUP(B1954,$I$2:$J$20,2,FALSE()),"0")</f>
        <v>300</v>
      </c>
      <c r="D1954" s="47" t="n">
        <v>150</v>
      </c>
      <c r="E1954" s="47" t="n">
        <v>28350000</v>
      </c>
      <c r="F1954" s="47" t="n">
        <v>8895000</v>
      </c>
    </row>
    <row r="1955" customFormat="false" ht="15" hidden="false" customHeight="false" outlineLevel="0" collapsed="false">
      <c r="A1955" s="0" t="s">
        <v>1127</v>
      </c>
      <c r="B1955" s="0" t="n">
        <v>200</v>
      </c>
      <c r="C1955" s="0" t="str">
        <f aca="false">TEXT(VLOOKUP(B1955,$I$2:$J$20,2,FALSE()),"0")</f>
        <v>200</v>
      </c>
      <c r="D1955" s="47" t="n">
        <v>445</v>
      </c>
      <c r="E1955" s="47" t="n">
        <v>97455000</v>
      </c>
      <c r="F1955" s="47" t="n">
        <v>24475000</v>
      </c>
    </row>
    <row r="1956" customFormat="false" ht="15" hidden="false" customHeight="false" outlineLevel="0" collapsed="false">
      <c r="A1956" s="0" t="s">
        <v>1127</v>
      </c>
      <c r="B1956" s="0" t="n">
        <v>299</v>
      </c>
      <c r="C1956" s="0" t="str">
        <f aca="false">TEXT(VLOOKUP(B1956,$I$2:$J$20,2,FALSE()),"0")</f>
        <v>200</v>
      </c>
      <c r="D1956" s="47" t="n">
        <v>8</v>
      </c>
      <c r="E1956" s="47" t="n">
        <v>1752000</v>
      </c>
      <c r="F1956" s="47" t="n">
        <v>440000</v>
      </c>
    </row>
    <row r="1957" customFormat="false" ht="15" hidden="false" customHeight="false" outlineLevel="0" collapsed="false">
      <c r="A1957" s="0" t="s">
        <v>976</v>
      </c>
      <c r="B1957" s="0" t="n">
        <v>100</v>
      </c>
      <c r="C1957" s="0" t="str">
        <f aca="false">TEXT(VLOOKUP(B1957,$I$2:$J$20,2,FALSE()),"0")</f>
        <v>100</v>
      </c>
      <c r="D1957" s="47" t="n">
        <v>400</v>
      </c>
      <c r="E1957" s="47" t="n">
        <v>71600000</v>
      </c>
      <c r="F1957" s="47" t="n">
        <v>15633600</v>
      </c>
    </row>
    <row r="1958" customFormat="false" ht="15" hidden="false" customHeight="false" outlineLevel="0" collapsed="false">
      <c r="A1958" s="0" t="s">
        <v>976</v>
      </c>
      <c r="B1958" s="0" t="n">
        <v>200</v>
      </c>
      <c r="C1958" s="0" t="str">
        <f aca="false">TEXT(VLOOKUP(B1958,$I$2:$J$20,2,FALSE()),"0")</f>
        <v>200</v>
      </c>
      <c r="D1958" s="47" t="n">
        <v>220</v>
      </c>
      <c r="E1958" s="47" t="n">
        <v>39380000</v>
      </c>
      <c r="F1958" s="47" t="n">
        <v>8598480</v>
      </c>
    </row>
    <row r="1959" customFormat="false" ht="15" hidden="false" customHeight="false" outlineLevel="0" collapsed="false">
      <c r="A1959" s="0" t="s">
        <v>976</v>
      </c>
      <c r="B1959" s="0" t="n">
        <v>299</v>
      </c>
      <c r="C1959" s="0" t="str">
        <f aca="false">TEXT(VLOOKUP(B1959,$I$2:$J$20,2,FALSE()),"0")</f>
        <v>200</v>
      </c>
      <c r="D1959" s="47" t="n">
        <v>2</v>
      </c>
      <c r="E1959" s="47" t="n">
        <v>358000</v>
      </c>
      <c r="F1959" s="47" t="n">
        <v>78168</v>
      </c>
    </row>
    <row r="1960" customFormat="false" ht="15" hidden="false" customHeight="false" outlineLevel="0" collapsed="false">
      <c r="A1960" s="0" t="s">
        <v>1719</v>
      </c>
      <c r="B1960" s="0" t="n">
        <v>300</v>
      </c>
      <c r="C1960" s="0" t="str">
        <f aca="false">TEXT(VLOOKUP(B1960,$I$2:$J$20,2,FALSE()),"0")</f>
        <v>300</v>
      </c>
      <c r="D1960" s="47" t="n">
        <v>250</v>
      </c>
      <c r="E1960" s="47" t="n">
        <v>57250000</v>
      </c>
      <c r="F1960" s="47" t="n">
        <v>16250000</v>
      </c>
    </row>
    <row r="1961" customFormat="false" ht="15" hidden="false" customHeight="false" outlineLevel="0" collapsed="false">
      <c r="A1961" s="0" t="s">
        <v>1720</v>
      </c>
      <c r="B1961" s="0" t="n">
        <v>100</v>
      </c>
      <c r="C1961" s="0" t="str">
        <f aca="false">TEXT(VLOOKUP(B1961,$I$2:$J$20,2,FALSE()),"0")</f>
        <v>100</v>
      </c>
      <c r="D1961" s="47" t="n">
        <v>250</v>
      </c>
      <c r="E1961" s="47" t="n">
        <v>57250000</v>
      </c>
      <c r="F1961" s="47" t="n">
        <v>16025000</v>
      </c>
    </row>
    <row r="1962" customFormat="false" ht="15" hidden="false" customHeight="false" outlineLevel="0" collapsed="false">
      <c r="A1962" s="0" t="s">
        <v>1720</v>
      </c>
      <c r="B1962" s="0" t="n">
        <v>300</v>
      </c>
      <c r="C1962" s="0" t="str">
        <f aca="false">TEXT(VLOOKUP(B1962,$I$2:$J$20,2,FALSE()),"0")</f>
        <v>300</v>
      </c>
      <c r="D1962" s="47" t="n">
        <v>260</v>
      </c>
      <c r="E1962" s="47" t="n">
        <v>59540000</v>
      </c>
      <c r="F1962" s="47" t="n">
        <v>16666000</v>
      </c>
    </row>
    <row r="1963" customFormat="false" ht="15" hidden="false" customHeight="false" outlineLevel="0" collapsed="false">
      <c r="A1963" s="0" t="s">
        <v>1721</v>
      </c>
      <c r="B1963" s="0" t="n">
        <v>300</v>
      </c>
      <c r="C1963" s="0" t="str">
        <f aca="false">TEXT(VLOOKUP(B1963,$I$2:$J$20,2,FALSE()),"0")</f>
        <v>300</v>
      </c>
      <c r="D1963" s="47" t="n">
        <v>2000</v>
      </c>
      <c r="E1963" s="47" t="n">
        <v>598000000</v>
      </c>
      <c r="F1963" s="47" t="n">
        <v>0</v>
      </c>
    </row>
    <row r="1964" customFormat="false" ht="15" hidden="false" customHeight="false" outlineLevel="0" collapsed="false">
      <c r="A1964" s="0" t="s">
        <v>1721</v>
      </c>
      <c r="B1964" s="0" t="n">
        <v>301</v>
      </c>
      <c r="C1964" s="0" t="str">
        <f aca="false">TEXT(VLOOKUP(B1964,$I$2:$J$20,2,FALSE()),"0")</f>
        <v>300</v>
      </c>
      <c r="D1964" s="47" t="n">
        <v>2419</v>
      </c>
      <c r="E1964" s="47" t="n">
        <v>723281000</v>
      </c>
      <c r="F1964" s="47" t="n">
        <v>0</v>
      </c>
    </row>
    <row r="1965" customFormat="false" ht="15" hidden="false" customHeight="false" outlineLevel="0" collapsed="false">
      <c r="A1965" s="0" t="s">
        <v>1477</v>
      </c>
      <c r="B1965" s="0" t="n">
        <v>810</v>
      </c>
      <c r="C1965" s="0" t="str">
        <f aca="false">TEXT(VLOOKUP(B1965,$I$2:$J$20,2,FALSE()),"0")</f>
        <v>810</v>
      </c>
      <c r="D1965" s="47" t="n">
        <v>744</v>
      </c>
      <c r="E1965" s="47" t="n">
        <v>118296000</v>
      </c>
      <c r="F1965" s="47" t="n">
        <v>32289600</v>
      </c>
    </row>
    <row r="1966" customFormat="false" ht="15" hidden="false" customHeight="false" outlineLevel="0" collapsed="false">
      <c r="A1966" s="0" t="s">
        <v>1722</v>
      </c>
      <c r="B1966" s="0" t="n">
        <v>200</v>
      </c>
      <c r="C1966" s="0" t="str">
        <f aca="false">TEXT(VLOOKUP(B1966,$I$2:$J$20,2,FALSE()),"0")</f>
        <v>200</v>
      </c>
      <c r="D1966" s="47" t="n">
        <v>380</v>
      </c>
      <c r="E1966" s="47" t="n">
        <v>52820000</v>
      </c>
      <c r="F1966" s="47" t="n">
        <v>11411400</v>
      </c>
    </row>
    <row r="1967" customFormat="false" ht="15" hidden="false" customHeight="false" outlineLevel="0" collapsed="false">
      <c r="A1967" s="0" t="s">
        <v>1722</v>
      </c>
      <c r="B1967" s="0" t="n">
        <v>299</v>
      </c>
      <c r="C1967" s="0" t="str">
        <f aca="false">TEXT(VLOOKUP(B1967,$I$2:$J$20,2,FALSE()),"0")</f>
        <v>200</v>
      </c>
      <c r="D1967" s="47" t="n">
        <v>6</v>
      </c>
      <c r="E1967" s="47" t="n">
        <v>834000</v>
      </c>
      <c r="F1967" s="47" t="n">
        <v>180180</v>
      </c>
    </row>
    <row r="1968" customFormat="false" ht="15" hidden="false" customHeight="false" outlineLevel="0" collapsed="false">
      <c r="A1968" s="0" t="s">
        <v>1723</v>
      </c>
      <c r="B1968" s="0" t="n">
        <v>100</v>
      </c>
      <c r="C1968" s="0" t="str">
        <f aca="false">TEXT(VLOOKUP(B1968,$I$2:$J$20,2,FALSE()),"0")</f>
        <v>100</v>
      </c>
      <c r="D1968" s="47" t="n">
        <v>180</v>
      </c>
      <c r="E1968" s="47" t="n">
        <v>25020000</v>
      </c>
      <c r="F1968" s="47" t="n">
        <v>5490000</v>
      </c>
    </row>
    <row r="1969" customFormat="false" ht="15" hidden="false" customHeight="false" outlineLevel="0" collapsed="false">
      <c r="A1969" s="0" t="s">
        <v>1723</v>
      </c>
      <c r="B1969" s="0" t="n">
        <v>300</v>
      </c>
      <c r="C1969" s="0" t="str">
        <f aca="false">TEXT(VLOOKUP(B1969,$I$2:$J$20,2,FALSE()),"0")</f>
        <v>300</v>
      </c>
      <c r="D1969" s="47" t="n">
        <v>160</v>
      </c>
      <c r="E1969" s="47" t="n">
        <v>22240000</v>
      </c>
      <c r="F1969" s="47" t="n">
        <v>4880000</v>
      </c>
    </row>
    <row r="1970" customFormat="false" ht="15" hidden="false" customHeight="false" outlineLevel="0" collapsed="false">
      <c r="A1970" s="0" t="s">
        <v>1723</v>
      </c>
      <c r="B1970" s="0" t="n">
        <v>600</v>
      </c>
      <c r="C1970" s="0" t="str">
        <f aca="false">TEXT(VLOOKUP(B1970,$I$2:$J$20,2,FALSE()),"0")</f>
        <v>600</v>
      </c>
      <c r="D1970" s="47" t="n">
        <v>40</v>
      </c>
      <c r="E1970" s="47" t="n">
        <v>5560000</v>
      </c>
      <c r="F1970" s="47" t="n">
        <v>1220000</v>
      </c>
    </row>
    <row r="1971" customFormat="false" ht="15" hidden="false" customHeight="false" outlineLevel="0" collapsed="false">
      <c r="A1971" s="0" t="s">
        <v>1724</v>
      </c>
      <c r="B1971" s="0" t="n">
        <v>100</v>
      </c>
      <c r="C1971" s="0" t="str">
        <f aca="false">TEXT(VLOOKUP(B1971,$I$2:$J$20,2,FALSE()),"0")</f>
        <v>100</v>
      </c>
      <c r="D1971" s="47" t="n">
        <v>240</v>
      </c>
      <c r="E1971" s="47" t="n">
        <v>23760000</v>
      </c>
      <c r="F1971" s="47" t="n">
        <v>5112000</v>
      </c>
    </row>
    <row r="1972" customFormat="false" ht="15" hidden="false" customHeight="false" outlineLevel="0" collapsed="false">
      <c r="A1972" s="0" t="s">
        <v>1479</v>
      </c>
      <c r="B1972" s="0" t="n">
        <v>810</v>
      </c>
      <c r="C1972" s="0" t="str">
        <f aca="false">TEXT(VLOOKUP(B1972,$I$2:$J$20,2,FALSE()),"0")</f>
        <v>810</v>
      </c>
      <c r="D1972" s="47" t="n">
        <v>900</v>
      </c>
      <c r="E1972" s="47" t="n">
        <v>107100000</v>
      </c>
      <c r="F1972" s="47" t="n">
        <v>23220000</v>
      </c>
    </row>
    <row r="1973" customFormat="false" ht="15" hidden="false" customHeight="false" outlineLevel="0" collapsed="false">
      <c r="A1973" s="0" t="s">
        <v>1725</v>
      </c>
      <c r="B1973" s="0" t="n">
        <v>100</v>
      </c>
      <c r="C1973" s="0" t="str">
        <f aca="false">TEXT(VLOOKUP(B1973,$I$2:$J$20,2,FALSE()),"0")</f>
        <v>100</v>
      </c>
      <c r="D1973" s="47" t="n">
        <v>225</v>
      </c>
      <c r="E1973" s="47" t="n">
        <v>15525000</v>
      </c>
      <c r="F1973" s="47" t="n">
        <v>4223700</v>
      </c>
    </row>
    <row r="1974" customFormat="false" ht="15" hidden="false" customHeight="false" outlineLevel="0" collapsed="false">
      <c r="A1974" s="0" t="s">
        <v>1725</v>
      </c>
      <c r="B1974" s="0" t="n">
        <v>200</v>
      </c>
      <c r="C1974" s="0" t="str">
        <f aca="false">TEXT(VLOOKUP(B1974,$I$2:$J$20,2,FALSE()),"0")</f>
        <v>200</v>
      </c>
      <c r="D1974" s="47" t="n">
        <v>580</v>
      </c>
      <c r="E1974" s="47" t="n">
        <v>40020000</v>
      </c>
      <c r="F1974" s="47" t="n">
        <v>10887760</v>
      </c>
    </row>
    <row r="1975" customFormat="false" ht="15" hidden="false" customHeight="false" outlineLevel="0" collapsed="false">
      <c r="A1975" s="0" t="s">
        <v>1725</v>
      </c>
      <c r="B1975" s="0" t="n">
        <v>299</v>
      </c>
      <c r="C1975" s="0" t="str">
        <f aca="false">TEXT(VLOOKUP(B1975,$I$2:$J$20,2,FALSE()),"0")</f>
        <v>200</v>
      </c>
      <c r="D1975" s="47" t="n">
        <v>3</v>
      </c>
      <c r="E1975" s="47" t="n">
        <v>207000</v>
      </c>
      <c r="F1975" s="47" t="n">
        <v>56316</v>
      </c>
    </row>
    <row r="1976" customFormat="false" ht="15" hidden="false" customHeight="false" outlineLevel="0" collapsed="false">
      <c r="A1976" s="0" t="s">
        <v>1726</v>
      </c>
      <c r="B1976" s="0" t="n">
        <v>200</v>
      </c>
      <c r="C1976" s="0" t="str">
        <f aca="false">TEXT(VLOOKUP(B1976,$I$2:$J$20,2,FALSE()),"0")</f>
        <v>200</v>
      </c>
      <c r="D1976" s="47" t="n">
        <v>260</v>
      </c>
      <c r="E1976" s="47" t="n">
        <v>17940000</v>
      </c>
      <c r="F1976" s="47" t="n">
        <v>4522700</v>
      </c>
    </row>
    <row r="1977" customFormat="false" ht="15" hidden="false" customHeight="false" outlineLevel="0" collapsed="false">
      <c r="A1977" s="0" t="s">
        <v>1726</v>
      </c>
      <c r="B1977" s="0" t="n">
        <v>299</v>
      </c>
      <c r="C1977" s="0" t="str">
        <f aca="false">TEXT(VLOOKUP(B1977,$I$2:$J$20,2,FALSE()),"0")</f>
        <v>200</v>
      </c>
      <c r="D1977" s="47" t="n">
        <v>2</v>
      </c>
      <c r="E1977" s="47" t="n">
        <v>138000</v>
      </c>
      <c r="F1977" s="47" t="n">
        <v>34790</v>
      </c>
    </row>
    <row r="1978" customFormat="false" ht="15" hidden="false" customHeight="false" outlineLevel="0" collapsed="false">
      <c r="A1978" s="0" t="s">
        <v>1727</v>
      </c>
      <c r="B1978" s="0" t="n">
        <v>100</v>
      </c>
      <c r="C1978" s="0" t="str">
        <f aca="false">TEXT(VLOOKUP(B1978,$I$2:$J$20,2,FALSE()),"0")</f>
        <v>100</v>
      </c>
      <c r="D1978" s="47" t="n">
        <v>350</v>
      </c>
      <c r="E1978" s="47" t="n">
        <v>24150000</v>
      </c>
      <c r="F1978" s="47" t="n">
        <v>5285000</v>
      </c>
    </row>
    <row r="1979" customFormat="false" ht="15" hidden="false" customHeight="false" outlineLevel="0" collapsed="false">
      <c r="A1979" s="0" t="s">
        <v>1727</v>
      </c>
      <c r="B1979" s="0" t="n">
        <v>600</v>
      </c>
      <c r="C1979" s="0" t="str">
        <f aca="false">TEXT(VLOOKUP(B1979,$I$2:$J$20,2,FALSE()),"0")</f>
        <v>600</v>
      </c>
      <c r="D1979" s="47" t="n">
        <v>120</v>
      </c>
      <c r="E1979" s="47" t="n">
        <v>8280000</v>
      </c>
      <c r="F1979" s="47" t="n">
        <v>1812000</v>
      </c>
    </row>
    <row r="1980" customFormat="false" ht="15" hidden="false" customHeight="false" outlineLevel="0" collapsed="false">
      <c r="A1980" s="0" t="s">
        <v>1728</v>
      </c>
      <c r="B1980" s="0" t="n">
        <v>300</v>
      </c>
      <c r="C1980" s="0" t="str">
        <f aca="false">TEXT(VLOOKUP(B1980,$I$2:$J$20,2,FALSE()),"0")</f>
        <v>300</v>
      </c>
      <c r="D1980" s="47" t="n">
        <v>210</v>
      </c>
      <c r="E1980" s="47" t="n">
        <v>12390000</v>
      </c>
      <c r="F1980" s="47" t="n">
        <v>2751000</v>
      </c>
    </row>
    <row r="1981" customFormat="false" ht="15" hidden="false" customHeight="false" outlineLevel="0" collapsed="false">
      <c r="A1981" s="0" t="s">
        <v>1728</v>
      </c>
      <c r="B1981" s="0" t="n">
        <v>600</v>
      </c>
      <c r="C1981" s="0" t="str">
        <f aca="false">TEXT(VLOOKUP(B1981,$I$2:$J$20,2,FALSE()),"0")</f>
        <v>600</v>
      </c>
      <c r="D1981" s="47" t="n">
        <v>30</v>
      </c>
      <c r="E1981" s="47" t="n">
        <v>1770000</v>
      </c>
      <c r="F1981" s="47" t="n">
        <v>393000</v>
      </c>
    </row>
    <row r="1982" customFormat="false" ht="15" hidden="false" customHeight="false" outlineLevel="0" collapsed="false">
      <c r="A1982" s="0" t="s">
        <v>1129</v>
      </c>
      <c r="B1982" s="0" t="n">
        <v>200</v>
      </c>
      <c r="C1982" s="0" t="str">
        <f aca="false">TEXT(VLOOKUP(B1982,$I$2:$J$20,2,FALSE()),"0")</f>
        <v>200</v>
      </c>
      <c r="D1982" s="47" t="n">
        <v>125</v>
      </c>
      <c r="E1982" s="47" t="n">
        <v>11125000</v>
      </c>
      <c r="F1982" s="47" t="n">
        <v>2650000</v>
      </c>
    </row>
    <row r="1983" customFormat="false" ht="15" hidden="false" customHeight="false" outlineLevel="0" collapsed="false">
      <c r="A1983" s="0" t="s">
        <v>1129</v>
      </c>
      <c r="B1983" s="0" t="n">
        <v>299</v>
      </c>
      <c r="C1983" s="0" t="str">
        <f aca="false">TEXT(VLOOKUP(B1983,$I$2:$J$20,2,FALSE()),"0")</f>
        <v>200</v>
      </c>
      <c r="D1983" s="47" t="n">
        <v>1</v>
      </c>
      <c r="E1983" s="47" t="n">
        <v>89000</v>
      </c>
      <c r="F1983" s="47" t="n">
        <v>21200</v>
      </c>
    </row>
    <row r="1984" customFormat="false" ht="15" hidden="false" customHeight="false" outlineLevel="0" collapsed="false">
      <c r="A1984" s="0" t="s">
        <v>1729</v>
      </c>
      <c r="B1984" s="0" t="n">
        <v>200</v>
      </c>
      <c r="C1984" s="0" t="str">
        <f aca="false">TEXT(VLOOKUP(B1984,$I$2:$J$20,2,FALSE()),"0")</f>
        <v>200</v>
      </c>
      <c r="D1984" s="47" t="n">
        <v>555</v>
      </c>
      <c r="E1984" s="47" t="n">
        <v>165945000</v>
      </c>
      <c r="F1984" s="47" t="n">
        <v>47463045</v>
      </c>
    </row>
    <row r="1985" customFormat="false" ht="15" hidden="false" customHeight="false" outlineLevel="0" collapsed="false">
      <c r="A1985" s="0" t="s">
        <v>1729</v>
      </c>
      <c r="B1985" s="0" t="n">
        <v>299</v>
      </c>
      <c r="C1985" s="0" t="str">
        <f aca="false">TEXT(VLOOKUP(B1985,$I$2:$J$20,2,FALSE()),"0")</f>
        <v>200</v>
      </c>
      <c r="D1985" s="47" t="n">
        <v>8</v>
      </c>
      <c r="E1985" s="47" t="n">
        <v>2392000</v>
      </c>
      <c r="F1985" s="47" t="n">
        <v>684152</v>
      </c>
    </row>
    <row r="1986" customFormat="false" ht="15" hidden="false" customHeight="false" outlineLevel="0" collapsed="false">
      <c r="A1986" s="0" t="s">
        <v>1730</v>
      </c>
      <c r="B1986" s="0" t="n">
        <v>100</v>
      </c>
      <c r="C1986" s="0" t="str">
        <f aca="false">TEXT(VLOOKUP(B1986,$I$2:$J$20,2,FALSE()),"0")</f>
        <v>100</v>
      </c>
      <c r="D1986" s="47" t="n">
        <v>395</v>
      </c>
      <c r="E1986" s="47" t="n">
        <v>90455000</v>
      </c>
      <c r="F1986" s="47" t="n">
        <v>22945550</v>
      </c>
    </row>
    <row r="1987" customFormat="false" ht="15" hidden="false" customHeight="false" outlineLevel="0" collapsed="false">
      <c r="A1987" s="0" t="s">
        <v>1730</v>
      </c>
      <c r="B1987" s="0" t="n">
        <v>200</v>
      </c>
      <c r="C1987" s="0" t="str">
        <f aca="false">TEXT(VLOOKUP(B1987,$I$2:$J$20,2,FALSE()),"0")</f>
        <v>200</v>
      </c>
      <c r="D1987" s="47" t="n">
        <v>695</v>
      </c>
      <c r="E1987" s="47" t="n">
        <v>159155000</v>
      </c>
      <c r="F1987" s="47" t="n">
        <v>40372550</v>
      </c>
    </row>
    <row r="1988" customFormat="false" ht="15" hidden="false" customHeight="false" outlineLevel="0" collapsed="false">
      <c r="A1988" s="0" t="s">
        <v>1730</v>
      </c>
      <c r="B1988" s="0" t="n">
        <v>299</v>
      </c>
      <c r="C1988" s="0" t="str">
        <f aca="false">TEXT(VLOOKUP(B1988,$I$2:$J$20,2,FALSE()),"0")</f>
        <v>200</v>
      </c>
      <c r="D1988" s="47" t="n">
        <v>8</v>
      </c>
      <c r="E1988" s="47" t="n">
        <v>1832000</v>
      </c>
      <c r="F1988" s="47" t="n">
        <v>464720</v>
      </c>
    </row>
    <row r="1989" customFormat="false" ht="15" hidden="false" customHeight="false" outlineLevel="0" collapsed="false">
      <c r="A1989" s="0" t="s">
        <v>1730</v>
      </c>
      <c r="B1989" s="0" t="n">
        <v>300</v>
      </c>
      <c r="C1989" s="0" t="str">
        <f aca="false">TEXT(VLOOKUP(B1989,$I$2:$J$20,2,FALSE()),"0")</f>
        <v>300</v>
      </c>
      <c r="D1989" s="47" t="n">
        <v>440</v>
      </c>
      <c r="E1989" s="47" t="n">
        <v>100760000</v>
      </c>
      <c r="F1989" s="47" t="n">
        <v>25559600</v>
      </c>
    </row>
    <row r="1990" customFormat="false" ht="15" hidden="false" customHeight="false" outlineLevel="0" collapsed="false">
      <c r="A1990" s="0" t="s">
        <v>1730</v>
      </c>
      <c r="B1990" s="0" t="n">
        <v>600</v>
      </c>
      <c r="C1990" s="0" t="str">
        <f aca="false">TEXT(VLOOKUP(B1990,$I$2:$J$20,2,FALSE()),"0")</f>
        <v>600</v>
      </c>
      <c r="D1990" s="47" t="n">
        <v>20</v>
      </c>
      <c r="E1990" s="47" t="n">
        <v>4580000</v>
      </c>
      <c r="F1990" s="47" t="n">
        <v>1161800</v>
      </c>
    </row>
    <row r="1991" customFormat="false" ht="15" hidden="false" customHeight="false" outlineLevel="0" collapsed="false">
      <c r="A1991" s="0" t="s">
        <v>1730</v>
      </c>
      <c r="B1991" s="0" t="n">
        <v>800</v>
      </c>
      <c r="C1991" s="0" t="str">
        <f aca="false">TEXT(VLOOKUP(B1991,$I$2:$J$20,2,FALSE()),"0")</f>
        <v>800</v>
      </c>
      <c r="D1991" s="47" t="n">
        <v>30</v>
      </c>
      <c r="E1991" s="47" t="n">
        <v>6870000</v>
      </c>
      <c r="F1991" s="47" t="n">
        <v>1742700</v>
      </c>
    </row>
    <row r="1992" customFormat="false" ht="15" hidden="false" customHeight="false" outlineLevel="0" collapsed="false">
      <c r="A1992" s="0" t="s">
        <v>1731</v>
      </c>
      <c r="B1992" s="0" t="n">
        <v>200</v>
      </c>
      <c r="C1992" s="0" t="str">
        <f aca="false">TEXT(VLOOKUP(B1992,$I$2:$J$20,2,FALSE()),"0")</f>
        <v>200</v>
      </c>
      <c r="D1992" s="47" t="n">
        <v>415</v>
      </c>
      <c r="E1992" s="47" t="n">
        <v>207085000</v>
      </c>
      <c r="F1992" s="47" t="n">
        <v>51699040</v>
      </c>
    </row>
    <row r="1993" customFormat="false" ht="15" hidden="false" customHeight="false" outlineLevel="0" collapsed="false">
      <c r="A1993" s="0" t="s">
        <v>1731</v>
      </c>
      <c r="B1993" s="0" t="n">
        <v>299</v>
      </c>
      <c r="C1993" s="0" t="str">
        <f aca="false">TEXT(VLOOKUP(B1993,$I$2:$J$20,2,FALSE()),"0")</f>
        <v>200</v>
      </c>
      <c r="D1993" s="47" t="n">
        <v>8</v>
      </c>
      <c r="E1993" s="47" t="n">
        <v>3992000</v>
      </c>
      <c r="F1993" s="47" t="n">
        <v>996608</v>
      </c>
    </row>
    <row r="1994" customFormat="false" ht="15" hidden="false" customHeight="false" outlineLevel="0" collapsed="false">
      <c r="A1994" s="0" t="s">
        <v>665</v>
      </c>
      <c r="B1994" s="0" t="n">
        <v>200</v>
      </c>
      <c r="C1994" s="0" t="str">
        <f aca="false">TEXT(VLOOKUP(B1994,$I$2:$J$20,2,FALSE()),"0")</f>
        <v>200</v>
      </c>
      <c r="D1994" s="47" t="n">
        <v>315</v>
      </c>
      <c r="E1994" s="47" t="n">
        <v>28035000</v>
      </c>
      <c r="F1994" s="47" t="n">
        <v>6237000</v>
      </c>
    </row>
    <row r="1995" customFormat="false" ht="15" hidden="false" customHeight="false" outlineLevel="0" collapsed="false">
      <c r="A1995" s="0" t="s">
        <v>665</v>
      </c>
      <c r="B1995" s="0" t="n">
        <v>299</v>
      </c>
      <c r="C1995" s="0" t="str">
        <f aca="false">TEXT(VLOOKUP(B1995,$I$2:$J$20,2,FALSE()),"0")</f>
        <v>200</v>
      </c>
      <c r="D1995" s="47" t="n">
        <v>2</v>
      </c>
      <c r="E1995" s="47" t="n">
        <v>178000</v>
      </c>
      <c r="F1995" s="47" t="n">
        <v>39600</v>
      </c>
    </row>
    <row r="1996" customFormat="false" ht="15" hidden="false" customHeight="false" outlineLevel="0" collapsed="false">
      <c r="A1996" s="0" t="s">
        <v>665</v>
      </c>
      <c r="B1996" s="0" t="n">
        <v>300</v>
      </c>
      <c r="C1996" s="0" t="str">
        <f aca="false">TEXT(VLOOKUP(B1996,$I$2:$J$20,2,FALSE()),"0")</f>
        <v>300</v>
      </c>
      <c r="D1996" s="47" t="n">
        <v>100</v>
      </c>
      <c r="E1996" s="47" t="n">
        <v>8900000</v>
      </c>
      <c r="F1996" s="47" t="n">
        <v>1980000</v>
      </c>
    </row>
    <row r="1997" customFormat="false" ht="15" hidden="false" customHeight="false" outlineLevel="0" collapsed="false">
      <c r="A1997" s="0" t="s">
        <v>667</v>
      </c>
      <c r="B1997" s="0" t="n">
        <v>100</v>
      </c>
      <c r="C1997" s="0" t="str">
        <f aca="false">TEXT(VLOOKUP(B1997,$I$2:$J$20,2,FALSE()),"0")</f>
        <v>100</v>
      </c>
      <c r="D1997" s="47" t="n">
        <v>240</v>
      </c>
      <c r="E1997" s="47" t="n">
        <v>23760000</v>
      </c>
      <c r="F1997" s="47" t="n">
        <v>7224000</v>
      </c>
    </row>
    <row r="1998" customFormat="false" ht="15" hidden="false" customHeight="false" outlineLevel="0" collapsed="false">
      <c r="A1998" s="0" t="s">
        <v>667</v>
      </c>
      <c r="B1998" s="0" t="n">
        <v>200</v>
      </c>
      <c r="C1998" s="0" t="str">
        <f aca="false">TEXT(VLOOKUP(B1998,$I$2:$J$20,2,FALSE()),"0")</f>
        <v>200</v>
      </c>
      <c r="D1998" s="47" t="n">
        <v>365</v>
      </c>
      <c r="E1998" s="47" t="n">
        <v>36135000</v>
      </c>
      <c r="F1998" s="47" t="n">
        <v>10986500</v>
      </c>
    </row>
    <row r="1999" customFormat="false" ht="15" hidden="false" customHeight="false" outlineLevel="0" collapsed="false">
      <c r="A1999" s="0" t="s">
        <v>667</v>
      </c>
      <c r="B1999" s="0" t="n">
        <v>299</v>
      </c>
      <c r="C1999" s="0" t="str">
        <f aca="false">TEXT(VLOOKUP(B1999,$I$2:$J$20,2,FALSE()),"0")</f>
        <v>200</v>
      </c>
      <c r="D1999" s="47" t="n">
        <v>2</v>
      </c>
      <c r="E1999" s="47" t="n">
        <v>198000</v>
      </c>
      <c r="F1999" s="47" t="n">
        <v>60200</v>
      </c>
    </row>
    <row r="2000" customFormat="false" ht="15" hidden="false" customHeight="false" outlineLevel="0" collapsed="false">
      <c r="A2000" s="0" t="s">
        <v>667</v>
      </c>
      <c r="B2000" s="0" t="n">
        <v>300</v>
      </c>
      <c r="C2000" s="0" t="str">
        <f aca="false">TEXT(VLOOKUP(B2000,$I$2:$J$20,2,FALSE()),"0")</f>
        <v>300</v>
      </c>
      <c r="D2000" s="47" t="n">
        <v>1000</v>
      </c>
      <c r="E2000" s="47" t="n">
        <v>99000000</v>
      </c>
      <c r="F2000" s="47" t="n">
        <v>30100000</v>
      </c>
    </row>
    <row r="2001" customFormat="false" ht="15" hidden="false" customHeight="false" outlineLevel="0" collapsed="false">
      <c r="A2001" s="0" t="s">
        <v>1131</v>
      </c>
      <c r="B2001" s="0" t="n">
        <v>200</v>
      </c>
      <c r="C2001" s="0" t="str">
        <f aca="false">TEXT(VLOOKUP(B2001,$I$2:$J$20,2,FALSE()),"0")</f>
        <v>200</v>
      </c>
      <c r="D2001" s="47" t="n">
        <v>310</v>
      </c>
      <c r="E2001" s="47" t="n">
        <v>46190000</v>
      </c>
      <c r="F2001" s="47" t="n">
        <v>9052310</v>
      </c>
    </row>
    <row r="2002" customFormat="false" ht="15" hidden="false" customHeight="false" outlineLevel="0" collapsed="false">
      <c r="A2002" s="0" t="s">
        <v>1131</v>
      </c>
      <c r="B2002" s="0" t="n">
        <v>299</v>
      </c>
      <c r="C2002" s="0" t="str">
        <f aca="false">TEXT(VLOOKUP(B2002,$I$2:$J$20,2,FALSE()),"0")</f>
        <v>200</v>
      </c>
      <c r="D2002" s="47" t="n">
        <v>2</v>
      </c>
      <c r="E2002" s="47" t="n">
        <v>298000</v>
      </c>
      <c r="F2002" s="47" t="n">
        <v>58402</v>
      </c>
    </row>
    <row r="2003" customFormat="false" ht="15" hidden="false" customHeight="false" outlineLevel="0" collapsed="false">
      <c r="A2003" s="0" t="s">
        <v>1133</v>
      </c>
      <c r="B2003" s="0" t="n">
        <v>200</v>
      </c>
      <c r="C2003" s="0" t="str">
        <f aca="false">TEXT(VLOOKUP(B2003,$I$2:$J$20,2,FALSE()),"0")</f>
        <v>200</v>
      </c>
      <c r="D2003" s="47" t="n">
        <v>710</v>
      </c>
      <c r="E2003" s="47" t="n">
        <v>98690000</v>
      </c>
      <c r="F2003" s="47" t="n">
        <v>23211320</v>
      </c>
    </row>
    <row r="2004" customFormat="false" ht="15" hidden="false" customHeight="false" outlineLevel="0" collapsed="false">
      <c r="A2004" s="0" t="s">
        <v>1133</v>
      </c>
      <c r="B2004" s="0" t="n">
        <v>299</v>
      </c>
      <c r="C2004" s="0" t="str">
        <f aca="false">TEXT(VLOOKUP(B2004,$I$2:$J$20,2,FALSE()),"0")</f>
        <v>200</v>
      </c>
      <c r="D2004" s="47" t="n">
        <v>3</v>
      </c>
      <c r="E2004" s="47" t="n">
        <v>417000</v>
      </c>
      <c r="F2004" s="47" t="n">
        <v>98076</v>
      </c>
    </row>
    <row r="2005" customFormat="false" ht="15" hidden="false" customHeight="false" outlineLevel="0" collapsed="false">
      <c r="A2005" s="0" t="s">
        <v>1134</v>
      </c>
      <c r="B2005" s="0" t="n">
        <v>200</v>
      </c>
      <c r="C2005" s="0" t="str">
        <f aca="false">TEXT(VLOOKUP(B2005,$I$2:$J$20,2,FALSE()),"0")</f>
        <v>200</v>
      </c>
      <c r="D2005" s="47" t="n">
        <v>340</v>
      </c>
      <c r="E2005" s="47" t="n">
        <v>43860000</v>
      </c>
      <c r="F2005" s="47" t="n">
        <v>11424680</v>
      </c>
    </row>
    <row r="2006" customFormat="false" ht="15" hidden="false" customHeight="false" outlineLevel="0" collapsed="false">
      <c r="A2006" s="0" t="s">
        <v>1134</v>
      </c>
      <c r="B2006" s="0" t="n">
        <v>299</v>
      </c>
      <c r="C2006" s="0" t="str">
        <f aca="false">TEXT(VLOOKUP(B2006,$I$2:$J$20,2,FALSE()),"0")</f>
        <v>200</v>
      </c>
      <c r="D2006" s="47" t="n">
        <v>2</v>
      </c>
      <c r="E2006" s="47" t="n">
        <v>258000</v>
      </c>
      <c r="F2006" s="47" t="n">
        <v>67204</v>
      </c>
    </row>
    <row r="2007" customFormat="false" ht="15" hidden="false" customHeight="false" outlineLevel="0" collapsed="false">
      <c r="A2007" s="0" t="s">
        <v>1135</v>
      </c>
      <c r="B2007" s="0" t="n">
        <v>200</v>
      </c>
      <c r="C2007" s="0" t="str">
        <f aca="false">TEXT(VLOOKUP(B2007,$I$2:$J$20,2,FALSE()),"0")</f>
        <v>200</v>
      </c>
      <c r="D2007" s="47" t="n">
        <v>200</v>
      </c>
      <c r="E2007" s="47" t="n">
        <v>17800000</v>
      </c>
      <c r="F2007" s="47" t="n">
        <v>5340800</v>
      </c>
    </row>
    <row r="2008" customFormat="false" ht="15" hidden="false" customHeight="false" outlineLevel="0" collapsed="false">
      <c r="A2008" s="0" t="s">
        <v>1135</v>
      </c>
      <c r="B2008" s="0" t="n">
        <v>299</v>
      </c>
      <c r="C2008" s="0" t="str">
        <f aca="false">TEXT(VLOOKUP(B2008,$I$2:$J$20,2,FALSE()),"0")</f>
        <v>200</v>
      </c>
      <c r="D2008" s="47" t="n">
        <v>2</v>
      </c>
      <c r="E2008" s="47" t="n">
        <v>178000</v>
      </c>
      <c r="F2008" s="47" t="n">
        <v>53408</v>
      </c>
    </row>
    <row r="2009" customFormat="false" ht="15" hidden="false" customHeight="false" outlineLevel="0" collapsed="false">
      <c r="A2009" s="0" t="s">
        <v>977</v>
      </c>
      <c r="B2009" s="0" t="n">
        <v>100</v>
      </c>
      <c r="C2009" s="0" t="str">
        <f aca="false">TEXT(VLOOKUP(B2009,$I$2:$J$20,2,FALSE()),"0")</f>
        <v>100</v>
      </c>
      <c r="D2009" s="47" t="n">
        <v>240</v>
      </c>
      <c r="E2009" s="47" t="n">
        <v>28560000</v>
      </c>
      <c r="F2009" s="47" t="n">
        <v>9216000</v>
      </c>
    </row>
    <row r="2010" customFormat="false" ht="15" hidden="false" customHeight="false" outlineLevel="0" collapsed="false">
      <c r="A2010" s="0" t="s">
        <v>977</v>
      </c>
      <c r="B2010" s="0" t="n">
        <v>200</v>
      </c>
      <c r="C2010" s="0" t="str">
        <f aca="false">TEXT(VLOOKUP(B2010,$I$2:$J$20,2,FALSE()),"0")</f>
        <v>200</v>
      </c>
      <c r="D2010" s="47" t="n">
        <v>510</v>
      </c>
      <c r="E2010" s="47" t="n">
        <v>60690000</v>
      </c>
      <c r="F2010" s="47" t="n">
        <v>19584000</v>
      </c>
    </row>
    <row r="2011" customFormat="false" ht="15" hidden="false" customHeight="false" outlineLevel="0" collapsed="false">
      <c r="A2011" s="0" t="s">
        <v>977</v>
      </c>
      <c r="B2011" s="0" t="n">
        <v>299</v>
      </c>
      <c r="C2011" s="0" t="str">
        <f aca="false">TEXT(VLOOKUP(B2011,$I$2:$J$20,2,FALSE()),"0")</f>
        <v>200</v>
      </c>
      <c r="D2011" s="47" t="n">
        <v>3</v>
      </c>
      <c r="E2011" s="47" t="n">
        <v>357000</v>
      </c>
      <c r="F2011" s="47" t="n">
        <v>115200</v>
      </c>
    </row>
    <row r="2012" customFormat="false" ht="15" hidden="false" customHeight="false" outlineLevel="0" collapsed="false">
      <c r="A2012" s="0" t="s">
        <v>977</v>
      </c>
      <c r="B2012" s="0" t="n">
        <v>800</v>
      </c>
      <c r="C2012" s="0" t="str">
        <f aca="false">TEXT(VLOOKUP(B2012,$I$2:$J$20,2,FALSE()),"0")</f>
        <v>800</v>
      </c>
      <c r="D2012" s="47" t="n">
        <v>60</v>
      </c>
      <c r="E2012" s="47" t="n">
        <v>7140000</v>
      </c>
      <c r="F2012" s="47" t="n">
        <v>2304000</v>
      </c>
    </row>
    <row r="2013" customFormat="false" ht="15" hidden="false" customHeight="false" outlineLevel="0" collapsed="false">
      <c r="A2013" s="0" t="s">
        <v>1137</v>
      </c>
      <c r="B2013" s="0" t="n">
        <v>200</v>
      </c>
      <c r="C2013" s="0" t="str">
        <f aca="false">TEXT(VLOOKUP(B2013,$I$2:$J$20,2,FALSE()),"0")</f>
        <v>200</v>
      </c>
      <c r="D2013" s="47" t="n">
        <v>575</v>
      </c>
      <c r="E2013" s="47" t="n">
        <v>51175000</v>
      </c>
      <c r="F2013" s="47" t="n">
        <v>12943250</v>
      </c>
    </row>
    <row r="2014" customFormat="false" ht="15" hidden="false" customHeight="false" outlineLevel="0" collapsed="false">
      <c r="A2014" s="0" t="s">
        <v>1137</v>
      </c>
      <c r="B2014" s="0" t="n">
        <v>299</v>
      </c>
      <c r="C2014" s="0" t="str">
        <f aca="false">TEXT(VLOOKUP(B2014,$I$2:$J$20,2,FALSE()),"0")</f>
        <v>200</v>
      </c>
      <c r="D2014" s="47" t="n">
        <v>3</v>
      </c>
      <c r="E2014" s="47" t="n">
        <v>267000</v>
      </c>
      <c r="F2014" s="47" t="n">
        <v>67530</v>
      </c>
    </row>
    <row r="2015" customFormat="false" ht="15" hidden="false" customHeight="false" outlineLevel="0" collapsed="false">
      <c r="A2015" s="0" t="s">
        <v>1139</v>
      </c>
      <c r="B2015" s="0" t="n">
        <v>200</v>
      </c>
      <c r="C2015" s="0" t="str">
        <f aca="false">TEXT(VLOOKUP(B2015,$I$2:$J$20,2,FALSE()),"0")</f>
        <v>200</v>
      </c>
      <c r="D2015" s="47" t="n">
        <v>1410</v>
      </c>
      <c r="E2015" s="47" t="n">
        <v>125490000</v>
      </c>
      <c r="F2015" s="47" t="n">
        <v>34122000</v>
      </c>
    </row>
    <row r="2016" customFormat="false" ht="15" hidden="false" customHeight="false" outlineLevel="0" collapsed="false">
      <c r="A2016" s="0" t="s">
        <v>1139</v>
      </c>
      <c r="B2016" s="0" t="n">
        <v>299</v>
      </c>
      <c r="C2016" s="0" t="str">
        <f aca="false">TEXT(VLOOKUP(B2016,$I$2:$J$20,2,FALSE()),"0")</f>
        <v>200</v>
      </c>
      <c r="D2016" s="47" t="n">
        <v>16</v>
      </c>
      <c r="E2016" s="47" t="n">
        <v>1424000</v>
      </c>
      <c r="F2016" s="47" t="n">
        <v>387200</v>
      </c>
    </row>
    <row r="2017" customFormat="false" ht="15" hidden="false" customHeight="false" outlineLevel="0" collapsed="false">
      <c r="A2017" s="0" t="s">
        <v>1140</v>
      </c>
      <c r="B2017" s="0" t="n">
        <v>200</v>
      </c>
      <c r="C2017" s="0" t="str">
        <f aca="false">TEXT(VLOOKUP(B2017,$I$2:$J$20,2,FALSE()),"0")</f>
        <v>200</v>
      </c>
      <c r="D2017" s="47" t="n">
        <v>650</v>
      </c>
      <c r="E2017" s="47" t="n">
        <v>90350000</v>
      </c>
      <c r="F2017" s="47" t="n">
        <v>18330000</v>
      </c>
    </row>
    <row r="2018" customFormat="false" ht="15" hidden="false" customHeight="false" outlineLevel="0" collapsed="false">
      <c r="A2018" s="0" t="s">
        <v>1140</v>
      </c>
      <c r="B2018" s="0" t="n">
        <v>201</v>
      </c>
      <c r="C2018" s="0" t="str">
        <f aca="false">TEXT(VLOOKUP(B2018,$I$2:$J$20,2,FALSE()),"0")</f>
        <v>200</v>
      </c>
      <c r="D2018" s="47" t="n">
        <v>25</v>
      </c>
      <c r="E2018" s="47" t="n">
        <v>3475000</v>
      </c>
      <c r="F2018" s="47" t="n">
        <v>705000</v>
      </c>
    </row>
    <row r="2019" customFormat="false" ht="15" hidden="false" customHeight="false" outlineLevel="0" collapsed="false">
      <c r="A2019" s="0" t="s">
        <v>1140</v>
      </c>
      <c r="B2019" s="0" t="n">
        <v>299</v>
      </c>
      <c r="C2019" s="0" t="str">
        <f aca="false">TEXT(VLOOKUP(B2019,$I$2:$J$20,2,FALSE()),"0")</f>
        <v>200</v>
      </c>
      <c r="D2019" s="47" t="n">
        <v>3</v>
      </c>
      <c r="E2019" s="47" t="n">
        <v>417000</v>
      </c>
      <c r="F2019" s="47" t="n">
        <v>84600</v>
      </c>
    </row>
    <row r="2020" customFormat="false" ht="15" hidden="false" customHeight="false" outlineLevel="0" collapsed="false">
      <c r="A2020" s="0" t="s">
        <v>669</v>
      </c>
      <c r="B2020" s="0" t="n">
        <v>200</v>
      </c>
      <c r="C2020" s="0" t="str">
        <f aca="false">TEXT(VLOOKUP(B2020,$I$2:$J$20,2,FALSE()),"0")</f>
        <v>200</v>
      </c>
      <c r="D2020" s="47" t="n">
        <v>1010</v>
      </c>
      <c r="E2020" s="47" t="n">
        <v>170690000</v>
      </c>
      <c r="F2020" s="47" t="n">
        <v>48355770</v>
      </c>
    </row>
    <row r="2021" customFormat="false" ht="15" hidden="false" customHeight="false" outlineLevel="0" collapsed="false">
      <c r="A2021" s="0" t="s">
        <v>669</v>
      </c>
      <c r="B2021" s="0" t="n">
        <v>299</v>
      </c>
      <c r="C2021" s="0" t="str">
        <f aca="false">TEXT(VLOOKUP(B2021,$I$2:$J$20,2,FALSE()),"0")</f>
        <v>200</v>
      </c>
      <c r="D2021" s="47" t="n">
        <v>14</v>
      </c>
      <c r="E2021" s="47" t="n">
        <v>2366000</v>
      </c>
      <c r="F2021" s="47" t="n">
        <v>670278</v>
      </c>
    </row>
    <row r="2022" customFormat="false" ht="15" hidden="false" customHeight="false" outlineLevel="0" collapsed="false">
      <c r="A2022" s="0" t="s">
        <v>669</v>
      </c>
      <c r="B2022" s="0" t="n">
        <v>300</v>
      </c>
      <c r="C2022" s="0" t="str">
        <f aca="false">TEXT(VLOOKUP(B2022,$I$2:$J$20,2,FALSE()),"0")</f>
        <v>300</v>
      </c>
      <c r="D2022" s="47" t="n">
        <v>300</v>
      </c>
      <c r="E2022" s="47" t="n">
        <v>50700000</v>
      </c>
      <c r="F2022" s="47" t="n">
        <v>14363100</v>
      </c>
    </row>
    <row r="2023" customFormat="false" ht="15" hidden="false" customHeight="false" outlineLevel="0" collapsed="false">
      <c r="A2023" s="0" t="s">
        <v>1141</v>
      </c>
      <c r="B2023" s="0" t="n">
        <v>200</v>
      </c>
      <c r="C2023" s="0" t="str">
        <f aca="false">TEXT(VLOOKUP(B2023,$I$2:$J$20,2,FALSE()),"0")</f>
        <v>200</v>
      </c>
      <c r="D2023" s="47" t="n">
        <v>385</v>
      </c>
      <c r="E2023" s="47" t="n">
        <v>53515000</v>
      </c>
      <c r="F2023" s="47" t="n">
        <v>16571555</v>
      </c>
    </row>
    <row r="2024" customFormat="false" ht="15" hidden="false" customHeight="false" outlineLevel="0" collapsed="false">
      <c r="A2024" s="0" t="s">
        <v>1141</v>
      </c>
      <c r="B2024" s="0" t="n">
        <v>299</v>
      </c>
      <c r="C2024" s="0" t="str">
        <f aca="false">TEXT(VLOOKUP(B2024,$I$2:$J$20,2,FALSE()),"0")</f>
        <v>200</v>
      </c>
      <c r="D2024" s="47" t="n">
        <v>2</v>
      </c>
      <c r="E2024" s="47" t="n">
        <v>278000</v>
      </c>
      <c r="F2024" s="47" t="n">
        <v>86086</v>
      </c>
    </row>
    <row r="2025" customFormat="false" ht="15" hidden="false" customHeight="false" outlineLevel="0" collapsed="false">
      <c r="A2025" s="0" t="s">
        <v>1143</v>
      </c>
      <c r="B2025" s="0" t="n">
        <v>200</v>
      </c>
      <c r="C2025" s="0" t="str">
        <f aca="false">TEXT(VLOOKUP(B2025,$I$2:$J$20,2,FALSE()),"0")</f>
        <v>200</v>
      </c>
      <c r="D2025" s="47" t="n">
        <v>1175</v>
      </c>
      <c r="E2025" s="47" t="n">
        <v>222075000</v>
      </c>
      <c r="F2025" s="47" t="n">
        <v>47470000</v>
      </c>
    </row>
    <row r="2026" customFormat="false" ht="15" hidden="false" customHeight="false" outlineLevel="0" collapsed="false">
      <c r="A2026" s="0" t="s">
        <v>1143</v>
      </c>
      <c r="B2026" s="0" t="n">
        <v>201</v>
      </c>
      <c r="C2026" s="0" t="str">
        <f aca="false">TEXT(VLOOKUP(B2026,$I$2:$J$20,2,FALSE()),"0")</f>
        <v>200</v>
      </c>
      <c r="D2026" s="47" t="n">
        <v>25</v>
      </c>
      <c r="E2026" s="47" t="n">
        <v>4725000</v>
      </c>
      <c r="F2026" s="47" t="n">
        <v>1010000</v>
      </c>
    </row>
    <row r="2027" customFormat="false" ht="15" hidden="false" customHeight="false" outlineLevel="0" collapsed="false">
      <c r="A2027" s="0" t="s">
        <v>1143</v>
      </c>
      <c r="B2027" s="0" t="n">
        <v>299</v>
      </c>
      <c r="C2027" s="0" t="str">
        <f aca="false">TEXT(VLOOKUP(B2027,$I$2:$J$20,2,FALSE()),"0")</f>
        <v>200</v>
      </c>
      <c r="D2027" s="47" t="n">
        <v>8</v>
      </c>
      <c r="E2027" s="47" t="n">
        <v>1512000</v>
      </c>
      <c r="F2027" s="47" t="n">
        <v>323200</v>
      </c>
    </row>
    <row r="2028" customFormat="false" ht="15" hidden="false" customHeight="false" outlineLevel="0" collapsed="false">
      <c r="A2028" s="0" t="s">
        <v>979</v>
      </c>
      <c r="B2028" s="0" t="n">
        <v>100</v>
      </c>
      <c r="C2028" s="0" t="str">
        <f aca="false">TEXT(VLOOKUP(B2028,$I$2:$J$20,2,FALSE()),"0")</f>
        <v>100</v>
      </c>
      <c r="D2028" s="47" t="n">
        <v>750</v>
      </c>
      <c r="E2028" s="47" t="n">
        <v>111750000</v>
      </c>
      <c r="F2028" s="47" t="n">
        <v>24705000</v>
      </c>
    </row>
    <row r="2029" customFormat="false" ht="15" hidden="false" customHeight="false" outlineLevel="0" collapsed="false">
      <c r="A2029" s="0" t="s">
        <v>979</v>
      </c>
      <c r="B2029" s="0" t="n">
        <v>200</v>
      </c>
      <c r="C2029" s="0" t="str">
        <f aca="false">TEXT(VLOOKUP(B2029,$I$2:$J$20,2,FALSE()),"0")</f>
        <v>200</v>
      </c>
      <c r="D2029" s="47" t="n">
        <v>1630</v>
      </c>
      <c r="E2029" s="47" t="n">
        <v>242870000</v>
      </c>
      <c r="F2029" s="47" t="n">
        <v>53692200</v>
      </c>
    </row>
    <row r="2030" customFormat="false" ht="15" hidden="false" customHeight="false" outlineLevel="0" collapsed="false">
      <c r="A2030" s="0" t="s">
        <v>979</v>
      </c>
      <c r="B2030" s="0" t="n">
        <v>201</v>
      </c>
      <c r="C2030" s="0" t="str">
        <f aca="false">TEXT(VLOOKUP(B2030,$I$2:$J$20,2,FALSE()),"0")</f>
        <v>200</v>
      </c>
      <c r="D2030" s="47" t="n">
        <v>20</v>
      </c>
      <c r="E2030" s="47" t="n">
        <v>2980000</v>
      </c>
      <c r="F2030" s="47" t="n">
        <v>658800</v>
      </c>
    </row>
    <row r="2031" customFormat="false" ht="15" hidden="false" customHeight="false" outlineLevel="0" collapsed="false">
      <c r="A2031" s="0" t="s">
        <v>979</v>
      </c>
      <c r="B2031" s="0" t="n">
        <v>299</v>
      </c>
      <c r="C2031" s="0" t="str">
        <f aca="false">TEXT(VLOOKUP(B2031,$I$2:$J$20,2,FALSE()),"0")</f>
        <v>200</v>
      </c>
      <c r="D2031" s="47" t="n">
        <v>18</v>
      </c>
      <c r="E2031" s="47" t="n">
        <v>2682000</v>
      </c>
      <c r="F2031" s="47" t="n">
        <v>592920</v>
      </c>
    </row>
    <row r="2032" customFormat="false" ht="15" hidden="false" customHeight="false" outlineLevel="0" collapsed="false">
      <c r="A2032" s="0" t="s">
        <v>1481</v>
      </c>
      <c r="B2032" s="0" t="n">
        <v>810</v>
      </c>
      <c r="C2032" s="0" t="str">
        <f aca="false">TEXT(VLOOKUP(B2032,$I$2:$J$20,2,FALSE()),"0")</f>
        <v>810</v>
      </c>
      <c r="D2032" s="47" t="n">
        <v>720</v>
      </c>
      <c r="E2032" s="47" t="n">
        <v>64080000</v>
      </c>
      <c r="F2032" s="47" t="n">
        <v>10296000</v>
      </c>
    </row>
    <row r="2033" customFormat="false" ht="15" hidden="false" customHeight="false" outlineLevel="0" collapsed="false">
      <c r="A2033" s="0" t="s">
        <v>980</v>
      </c>
      <c r="B2033" s="0" t="n">
        <v>100</v>
      </c>
      <c r="C2033" s="0" t="str">
        <f aca="false">TEXT(VLOOKUP(B2033,$I$2:$J$20,2,FALSE()),"0")</f>
        <v>100</v>
      </c>
      <c r="D2033" s="47" t="n">
        <v>720</v>
      </c>
      <c r="E2033" s="47" t="n">
        <v>64080000</v>
      </c>
      <c r="F2033" s="47" t="n">
        <v>15045120</v>
      </c>
    </row>
    <row r="2034" customFormat="false" ht="15" hidden="false" customHeight="false" outlineLevel="0" collapsed="false">
      <c r="A2034" s="0" t="s">
        <v>980</v>
      </c>
      <c r="B2034" s="0" t="n">
        <v>200</v>
      </c>
      <c r="C2034" s="0" t="str">
        <f aca="false">TEXT(VLOOKUP(B2034,$I$2:$J$20,2,FALSE()),"0")</f>
        <v>200</v>
      </c>
      <c r="D2034" s="47" t="n">
        <v>660</v>
      </c>
      <c r="E2034" s="47" t="n">
        <v>58740000</v>
      </c>
      <c r="F2034" s="47" t="n">
        <v>13791360</v>
      </c>
    </row>
    <row r="2035" customFormat="false" ht="15" hidden="false" customHeight="false" outlineLevel="0" collapsed="false">
      <c r="A2035" s="0" t="s">
        <v>980</v>
      </c>
      <c r="B2035" s="0" t="n">
        <v>299</v>
      </c>
      <c r="C2035" s="0" t="str">
        <f aca="false">TEXT(VLOOKUP(B2035,$I$2:$J$20,2,FALSE()),"0")</f>
        <v>200</v>
      </c>
      <c r="D2035" s="47" t="n">
        <v>4</v>
      </c>
      <c r="E2035" s="47" t="n">
        <v>356000</v>
      </c>
      <c r="F2035" s="47" t="n">
        <v>83584</v>
      </c>
    </row>
    <row r="2036" customFormat="false" ht="15" hidden="false" customHeight="false" outlineLevel="0" collapsed="false">
      <c r="A2036" s="0" t="s">
        <v>671</v>
      </c>
      <c r="B2036" s="0" t="n">
        <v>100</v>
      </c>
      <c r="C2036" s="0" t="str">
        <f aca="false">TEXT(VLOOKUP(B2036,$I$2:$J$20,2,FALSE()),"0")</f>
        <v>100</v>
      </c>
      <c r="D2036" s="47" t="n">
        <v>100</v>
      </c>
      <c r="E2036" s="47" t="n">
        <v>6900000</v>
      </c>
      <c r="F2036" s="47" t="n">
        <v>1710000</v>
      </c>
    </row>
    <row r="2037" customFormat="false" ht="15" hidden="false" customHeight="false" outlineLevel="0" collapsed="false">
      <c r="A2037" s="0" t="s">
        <v>671</v>
      </c>
      <c r="B2037" s="0" t="n">
        <v>200</v>
      </c>
      <c r="C2037" s="0" t="str">
        <f aca="false">TEXT(VLOOKUP(B2037,$I$2:$J$20,2,FALSE()),"0")</f>
        <v>200</v>
      </c>
      <c r="D2037" s="47" t="n">
        <v>300</v>
      </c>
      <c r="E2037" s="47" t="n">
        <v>20700000</v>
      </c>
      <c r="F2037" s="47" t="n">
        <v>5130000</v>
      </c>
    </row>
    <row r="2038" customFormat="false" ht="15" hidden="false" customHeight="false" outlineLevel="0" collapsed="false">
      <c r="A2038" s="0" t="s">
        <v>671</v>
      </c>
      <c r="B2038" s="0" t="n">
        <v>299</v>
      </c>
      <c r="C2038" s="0" t="str">
        <f aca="false">TEXT(VLOOKUP(B2038,$I$2:$J$20,2,FALSE()),"0")</f>
        <v>200</v>
      </c>
      <c r="D2038" s="47" t="n">
        <v>2</v>
      </c>
      <c r="E2038" s="47" t="n">
        <v>138000</v>
      </c>
      <c r="F2038" s="47" t="n">
        <v>34200</v>
      </c>
    </row>
    <row r="2039" customFormat="false" ht="15" hidden="false" customHeight="false" outlineLevel="0" collapsed="false">
      <c r="A2039" s="0" t="s">
        <v>671</v>
      </c>
      <c r="B2039" s="0" t="n">
        <v>300</v>
      </c>
      <c r="C2039" s="0" t="str">
        <f aca="false">TEXT(VLOOKUP(B2039,$I$2:$J$20,2,FALSE()),"0")</f>
        <v>300</v>
      </c>
      <c r="D2039" s="47" t="n">
        <v>680</v>
      </c>
      <c r="E2039" s="47" t="n">
        <v>46920000</v>
      </c>
      <c r="F2039" s="47" t="n">
        <v>11628000</v>
      </c>
    </row>
    <row r="2040" customFormat="false" ht="15" hidden="false" customHeight="false" outlineLevel="0" collapsed="false">
      <c r="A2040" s="0" t="s">
        <v>1441</v>
      </c>
      <c r="B2040" s="0" t="n">
        <v>700</v>
      </c>
      <c r="C2040" s="0" t="str">
        <f aca="false">TEXT(VLOOKUP(B2040,$I$2:$J$20,2,FALSE()),"0")</f>
        <v>700</v>
      </c>
      <c r="D2040" s="47" t="n">
        <v>140</v>
      </c>
      <c r="E2040" s="47" t="n">
        <v>8260000</v>
      </c>
      <c r="F2040" s="47" t="n">
        <v>1862000</v>
      </c>
    </row>
    <row r="2041" customFormat="false" ht="15" hidden="false" customHeight="false" outlineLevel="0" collapsed="false">
      <c r="A2041" s="0" t="s">
        <v>1441</v>
      </c>
      <c r="B2041" s="0" t="n">
        <v>701</v>
      </c>
      <c r="C2041" s="0" t="str">
        <f aca="false">TEXT(VLOOKUP(B2041,$I$2:$J$20,2,FALSE()),"0")</f>
        <v>700</v>
      </c>
      <c r="D2041" s="47" t="n">
        <v>800</v>
      </c>
      <c r="E2041" s="47" t="n">
        <v>47200000</v>
      </c>
      <c r="F2041" s="47" t="n">
        <v>10640000</v>
      </c>
    </row>
    <row r="2042" customFormat="false" ht="15" hidden="false" customHeight="false" outlineLevel="0" collapsed="false">
      <c r="A2042" s="0" t="s">
        <v>1441</v>
      </c>
      <c r="B2042" s="0" t="n">
        <v>702</v>
      </c>
      <c r="C2042" s="0" t="str">
        <f aca="false">TEXT(VLOOKUP(B2042,$I$2:$J$20,2,FALSE()),"0")</f>
        <v>700</v>
      </c>
      <c r="D2042" s="47" t="n">
        <v>400</v>
      </c>
      <c r="E2042" s="47" t="n">
        <v>23600000</v>
      </c>
      <c r="F2042" s="47" t="n">
        <v>5320000</v>
      </c>
    </row>
    <row r="2043" customFormat="false" ht="15" hidden="false" customHeight="false" outlineLevel="0" collapsed="false">
      <c r="A2043" s="0" t="s">
        <v>1441</v>
      </c>
      <c r="B2043" s="0" t="n">
        <v>800</v>
      </c>
      <c r="C2043" s="0" t="str">
        <f aca="false">TEXT(VLOOKUP(B2043,$I$2:$J$20,2,FALSE()),"0")</f>
        <v>800</v>
      </c>
      <c r="D2043" s="47" t="n">
        <v>130</v>
      </c>
      <c r="E2043" s="47" t="n">
        <v>7670000</v>
      </c>
      <c r="F2043" s="47" t="n">
        <v>1729000</v>
      </c>
    </row>
    <row r="2044" customFormat="false" ht="15" hidden="false" customHeight="false" outlineLevel="0" collapsed="false">
      <c r="A2044" s="0" t="s">
        <v>1441</v>
      </c>
      <c r="B2044" s="0" t="n">
        <v>810</v>
      </c>
      <c r="C2044" s="0" t="str">
        <f aca="false">TEXT(VLOOKUP(B2044,$I$2:$J$20,2,FALSE()),"0")</f>
        <v>810</v>
      </c>
      <c r="D2044" s="47" t="n">
        <v>708</v>
      </c>
      <c r="E2044" s="47" t="n">
        <v>41772000</v>
      </c>
      <c r="F2044" s="47" t="n">
        <v>9416400</v>
      </c>
    </row>
    <row r="2045" customFormat="false" ht="15" hidden="false" customHeight="false" outlineLevel="0" collapsed="false">
      <c r="A2045" s="0" t="s">
        <v>1732</v>
      </c>
      <c r="B2045" s="0" t="n">
        <v>810</v>
      </c>
      <c r="C2045" s="0" t="str">
        <f aca="false">TEXT(VLOOKUP(B2045,$I$2:$J$20,2,FALSE()),"0")</f>
        <v>810</v>
      </c>
      <c r="D2045" s="47" t="n">
        <v>420</v>
      </c>
      <c r="E2045" s="47" t="n">
        <v>37380000</v>
      </c>
      <c r="F2045" s="47" t="n">
        <v>8904000</v>
      </c>
    </row>
    <row r="2046" customFormat="false" ht="15" hidden="false" customHeight="false" outlineLevel="0" collapsed="false">
      <c r="A2046" s="0" t="s">
        <v>1374</v>
      </c>
      <c r="B2046" s="0" t="n">
        <v>600</v>
      </c>
      <c r="C2046" s="0" t="str">
        <f aca="false">TEXT(VLOOKUP(B2046,$I$2:$J$20,2,FALSE()),"0")</f>
        <v>600</v>
      </c>
      <c r="D2046" s="47" t="n">
        <v>180</v>
      </c>
      <c r="E2046" s="47" t="n">
        <v>10620000</v>
      </c>
      <c r="F2046" s="47" t="n">
        <v>2556000</v>
      </c>
    </row>
    <row r="2047" customFormat="false" ht="15" hidden="false" customHeight="false" outlineLevel="0" collapsed="false">
      <c r="A2047" s="0" t="s">
        <v>1374</v>
      </c>
      <c r="B2047" s="0" t="n">
        <v>810</v>
      </c>
      <c r="C2047" s="0" t="str">
        <f aca="false">TEXT(VLOOKUP(B2047,$I$2:$J$20,2,FALSE()),"0")</f>
        <v>810</v>
      </c>
      <c r="D2047" s="47" t="n">
        <v>1074</v>
      </c>
      <c r="E2047" s="47" t="n">
        <v>63366000</v>
      </c>
      <c r="F2047" s="47" t="n">
        <v>15250800</v>
      </c>
    </row>
    <row r="2048" customFormat="false" ht="15" hidden="false" customHeight="false" outlineLevel="0" collapsed="false">
      <c r="A2048" s="0" t="s">
        <v>1483</v>
      </c>
      <c r="B2048" s="0" t="n">
        <v>810</v>
      </c>
      <c r="C2048" s="0" t="str">
        <f aca="false">TEXT(VLOOKUP(B2048,$I$2:$J$20,2,FALSE()),"0")</f>
        <v>810</v>
      </c>
      <c r="D2048" s="47" t="n">
        <v>576</v>
      </c>
      <c r="E2048" s="47" t="n">
        <v>39744000</v>
      </c>
      <c r="F2048" s="47" t="n">
        <v>9849600</v>
      </c>
    </row>
    <row r="2049" customFormat="false" ht="15" hidden="false" customHeight="false" outlineLevel="0" collapsed="false">
      <c r="A2049" s="0" t="s">
        <v>981</v>
      </c>
      <c r="B2049" s="0" t="n">
        <v>100</v>
      </c>
      <c r="C2049" s="0" t="str">
        <f aca="false">TEXT(VLOOKUP(B2049,$I$2:$J$20,2,FALSE()),"0")</f>
        <v>100</v>
      </c>
      <c r="D2049" s="47" t="n">
        <v>400</v>
      </c>
      <c r="E2049" s="47" t="n">
        <v>23600000</v>
      </c>
      <c r="F2049" s="47" t="n">
        <v>4120000</v>
      </c>
    </row>
    <row r="2050" customFormat="false" ht="15" hidden="false" customHeight="false" outlineLevel="0" collapsed="false">
      <c r="A2050" s="0" t="s">
        <v>983</v>
      </c>
      <c r="B2050" s="0" t="n">
        <v>100</v>
      </c>
      <c r="C2050" s="0" t="str">
        <f aca="false">TEXT(VLOOKUP(B2050,$I$2:$J$20,2,FALSE()),"0")</f>
        <v>100</v>
      </c>
      <c r="D2050" s="47" t="n">
        <v>400</v>
      </c>
      <c r="E2050" s="47" t="n">
        <v>23600000</v>
      </c>
      <c r="F2050" s="47" t="n">
        <v>4120000</v>
      </c>
    </row>
    <row r="2051" customFormat="false" ht="15" hidden="false" customHeight="false" outlineLevel="0" collapsed="false">
      <c r="A2051" s="0" t="s">
        <v>985</v>
      </c>
      <c r="B2051" s="0" t="n">
        <v>100</v>
      </c>
      <c r="C2051" s="0" t="str">
        <f aca="false">TEXT(VLOOKUP(B2051,$I$2:$J$20,2,FALSE()),"0")</f>
        <v>100</v>
      </c>
      <c r="D2051" s="47" t="n">
        <v>400</v>
      </c>
      <c r="E2051" s="47" t="n">
        <v>23600000</v>
      </c>
      <c r="F2051" s="47" t="n">
        <v>4160000</v>
      </c>
    </row>
    <row r="2052" customFormat="false" ht="15" hidden="false" customHeight="false" outlineLevel="0" collapsed="false">
      <c r="A2052" s="0" t="s">
        <v>987</v>
      </c>
      <c r="B2052" s="0" t="n">
        <v>100</v>
      </c>
      <c r="C2052" s="0" t="str">
        <f aca="false">TEXT(VLOOKUP(B2052,$I$2:$J$20,2,FALSE()),"0")</f>
        <v>100</v>
      </c>
      <c r="D2052" s="47" t="n">
        <v>400</v>
      </c>
      <c r="E2052" s="47" t="n">
        <v>23600000</v>
      </c>
      <c r="F2052" s="47" t="n">
        <v>4400000</v>
      </c>
    </row>
    <row r="2053" customFormat="false" ht="15" hidden="false" customHeight="false" outlineLevel="0" collapsed="false">
      <c r="A2053" s="0" t="s">
        <v>989</v>
      </c>
      <c r="B2053" s="0" t="n">
        <v>100</v>
      </c>
      <c r="C2053" s="0" t="str">
        <f aca="false">TEXT(VLOOKUP(B2053,$I$2:$J$20,2,FALSE()),"0")</f>
        <v>100</v>
      </c>
      <c r="D2053" s="47" t="n">
        <v>400</v>
      </c>
      <c r="E2053" s="47" t="n">
        <v>27600000</v>
      </c>
      <c r="F2053" s="47" t="n">
        <v>5920000</v>
      </c>
    </row>
    <row r="2054" customFormat="false" ht="15" hidden="false" customHeight="false" outlineLevel="0" collapsed="false">
      <c r="A2054" s="0" t="s">
        <v>991</v>
      </c>
      <c r="B2054" s="0" t="n">
        <v>100</v>
      </c>
      <c r="C2054" s="0" t="str">
        <f aca="false">TEXT(VLOOKUP(B2054,$I$2:$J$20,2,FALSE()),"0")</f>
        <v>100</v>
      </c>
      <c r="D2054" s="47" t="n">
        <v>400</v>
      </c>
      <c r="E2054" s="47" t="n">
        <v>27600000</v>
      </c>
      <c r="F2054" s="47" t="n">
        <v>6000000</v>
      </c>
    </row>
    <row r="2055" customFormat="false" ht="15" hidden="false" customHeight="false" outlineLevel="0" collapsed="false">
      <c r="A2055" s="0" t="s">
        <v>1144</v>
      </c>
      <c r="B2055" s="0" t="n">
        <v>200</v>
      </c>
      <c r="C2055" s="0" t="str">
        <f aca="false">TEXT(VLOOKUP(B2055,$I$2:$J$20,2,FALSE()),"0")</f>
        <v>200</v>
      </c>
      <c r="D2055" s="47" t="n">
        <v>760</v>
      </c>
      <c r="E2055" s="47" t="n">
        <v>60040000</v>
      </c>
      <c r="F2055" s="47" t="n">
        <v>13075800</v>
      </c>
    </row>
    <row r="2056" customFormat="false" ht="15" hidden="false" customHeight="false" outlineLevel="0" collapsed="false">
      <c r="A2056" s="0" t="s">
        <v>1144</v>
      </c>
      <c r="B2056" s="0" t="n">
        <v>299</v>
      </c>
      <c r="C2056" s="0" t="str">
        <f aca="false">TEXT(VLOOKUP(B2056,$I$2:$J$20,2,FALSE()),"0")</f>
        <v>200</v>
      </c>
      <c r="D2056" s="47" t="n">
        <v>3</v>
      </c>
      <c r="E2056" s="47" t="n">
        <v>237000</v>
      </c>
      <c r="F2056" s="47" t="n">
        <v>51615</v>
      </c>
    </row>
    <row r="2057" customFormat="false" ht="15" hidden="false" customHeight="false" outlineLevel="0" collapsed="false">
      <c r="A2057" s="0" t="s">
        <v>1146</v>
      </c>
      <c r="B2057" s="0" t="n">
        <v>200</v>
      </c>
      <c r="C2057" s="0" t="str">
        <f aca="false">TEXT(VLOOKUP(B2057,$I$2:$J$20,2,FALSE()),"0")</f>
        <v>200</v>
      </c>
      <c r="D2057" s="47" t="n">
        <v>550</v>
      </c>
      <c r="E2057" s="47" t="n">
        <v>43450000</v>
      </c>
      <c r="F2057" s="47" t="n">
        <v>7372200</v>
      </c>
    </row>
    <row r="2058" customFormat="false" ht="15" hidden="false" customHeight="false" outlineLevel="0" collapsed="false">
      <c r="A2058" s="0" t="s">
        <v>1146</v>
      </c>
      <c r="B2058" s="0" t="n">
        <v>299</v>
      </c>
      <c r="C2058" s="0" t="str">
        <f aca="false">TEXT(VLOOKUP(B2058,$I$2:$J$20,2,FALSE()),"0")</f>
        <v>200</v>
      </c>
      <c r="D2058" s="47" t="n">
        <v>2</v>
      </c>
      <c r="E2058" s="47" t="n">
        <v>158000</v>
      </c>
      <c r="F2058" s="47" t="n">
        <v>26808</v>
      </c>
    </row>
    <row r="2059" customFormat="false" ht="15" hidden="false" customHeight="false" outlineLevel="0" collapsed="false">
      <c r="A2059" s="0" t="s">
        <v>674</v>
      </c>
      <c r="B2059" s="0" t="n">
        <v>100</v>
      </c>
      <c r="C2059" s="0" t="str">
        <f aca="false">TEXT(VLOOKUP(B2059,$I$2:$J$20,2,FALSE()),"0")</f>
        <v>100</v>
      </c>
      <c r="D2059" s="47" t="n">
        <v>70</v>
      </c>
      <c r="E2059" s="47" t="n">
        <v>2240000</v>
      </c>
      <c r="F2059" s="47" t="n">
        <v>581000</v>
      </c>
    </row>
    <row r="2060" customFormat="false" ht="15" hidden="false" customHeight="false" outlineLevel="0" collapsed="false">
      <c r="A2060" s="0" t="s">
        <v>674</v>
      </c>
      <c r="B2060" s="0" t="n">
        <v>300</v>
      </c>
      <c r="C2060" s="0" t="str">
        <f aca="false">TEXT(VLOOKUP(B2060,$I$2:$J$20,2,FALSE()),"0")</f>
        <v>300</v>
      </c>
      <c r="D2060" s="47" t="n">
        <v>500</v>
      </c>
      <c r="E2060" s="47" t="n">
        <v>16000000</v>
      </c>
      <c r="F2060" s="47" t="n">
        <v>4150000</v>
      </c>
    </row>
    <row r="2061" customFormat="false" ht="15" hidden="false" customHeight="false" outlineLevel="0" collapsed="false">
      <c r="A2061" s="0" t="s">
        <v>674</v>
      </c>
      <c r="B2061" s="0" t="n">
        <v>500</v>
      </c>
      <c r="C2061" s="0" t="str">
        <f aca="false">TEXT(VLOOKUP(B2061,$I$2:$J$20,2,FALSE()),"0")</f>
        <v>500</v>
      </c>
      <c r="D2061" s="47" t="n">
        <v>430</v>
      </c>
      <c r="E2061" s="47" t="n">
        <v>13760000</v>
      </c>
      <c r="F2061" s="47" t="n">
        <v>3569000</v>
      </c>
    </row>
    <row r="2062" customFormat="false" ht="15" hidden="false" customHeight="false" outlineLevel="0" collapsed="false">
      <c r="A2062" s="0" t="s">
        <v>674</v>
      </c>
      <c r="B2062" s="0" t="n">
        <v>800</v>
      </c>
      <c r="C2062" s="0" t="str">
        <f aca="false">TEXT(VLOOKUP(B2062,$I$2:$J$20,2,FALSE()),"0")</f>
        <v>800</v>
      </c>
      <c r="D2062" s="47" t="n">
        <v>210</v>
      </c>
      <c r="E2062" s="47" t="n">
        <v>6720000</v>
      </c>
      <c r="F2062" s="47" t="n">
        <v>1743000</v>
      </c>
    </row>
    <row r="2063" customFormat="false" ht="15" hidden="false" customHeight="false" outlineLevel="0" collapsed="false">
      <c r="A2063" s="0" t="s">
        <v>674</v>
      </c>
      <c r="B2063" s="0" t="n">
        <v>810</v>
      </c>
      <c r="C2063" s="0" t="str">
        <f aca="false">TEXT(VLOOKUP(B2063,$I$2:$J$20,2,FALSE()),"0")</f>
        <v>810</v>
      </c>
      <c r="D2063" s="47" t="n">
        <v>204</v>
      </c>
      <c r="E2063" s="47" t="n">
        <v>6528000</v>
      </c>
      <c r="F2063" s="47" t="n">
        <v>1693200</v>
      </c>
    </row>
    <row r="2064" customFormat="false" ht="15" hidden="false" customHeight="false" outlineLevel="0" collapsed="false">
      <c r="A2064" s="0" t="s">
        <v>674</v>
      </c>
      <c r="B2064" s="0" t="n">
        <v>830</v>
      </c>
      <c r="C2064" s="0" t="str">
        <f aca="false">TEXT(VLOOKUP(B2064,$I$2:$J$20,2,FALSE()),"0")</f>
        <v>830</v>
      </c>
      <c r="D2064" s="47" t="n">
        <v>2000</v>
      </c>
      <c r="E2064" s="47" t="n">
        <v>64000000</v>
      </c>
      <c r="F2064" s="47" t="n">
        <v>16600000</v>
      </c>
    </row>
    <row r="2065" customFormat="false" ht="15" hidden="false" customHeight="false" outlineLevel="0" collapsed="false">
      <c r="A2065" s="0" t="s">
        <v>1602</v>
      </c>
      <c r="B2065" s="0" t="n">
        <v>500</v>
      </c>
      <c r="C2065" s="0" t="str">
        <f aca="false">TEXT(VLOOKUP(B2065,$I$2:$J$20,2,FALSE()),"0")</f>
        <v>500</v>
      </c>
      <c r="D2065" s="47" t="n">
        <v>400</v>
      </c>
      <c r="E2065" s="47" t="n">
        <v>13600000</v>
      </c>
      <c r="F2065" s="47" t="n">
        <v>3800000</v>
      </c>
    </row>
    <row r="2066" customFormat="false" ht="15" hidden="false" customHeight="false" outlineLevel="0" collapsed="false">
      <c r="A2066" s="0" t="s">
        <v>1602</v>
      </c>
      <c r="B2066" s="0" t="n">
        <v>810</v>
      </c>
      <c r="C2066" s="0" t="str">
        <f aca="false">TEXT(VLOOKUP(B2066,$I$2:$J$20,2,FALSE()),"0")</f>
        <v>810</v>
      </c>
      <c r="D2066" s="47" t="n">
        <v>216</v>
      </c>
      <c r="E2066" s="47" t="n">
        <v>7344000</v>
      </c>
      <c r="F2066" s="47" t="n">
        <v>2052000</v>
      </c>
    </row>
    <row r="2067" customFormat="false" ht="15" hidden="false" customHeight="false" outlineLevel="0" collapsed="false">
      <c r="A2067" s="0" t="s">
        <v>1602</v>
      </c>
      <c r="B2067" s="0" t="n">
        <v>830</v>
      </c>
      <c r="C2067" s="0" t="str">
        <f aca="false">TEXT(VLOOKUP(B2067,$I$2:$J$20,2,FALSE()),"0")</f>
        <v>830</v>
      </c>
      <c r="D2067" s="47" t="n">
        <v>1000</v>
      </c>
      <c r="E2067" s="47" t="n">
        <v>34000000</v>
      </c>
      <c r="F2067" s="47" t="n">
        <v>9500000</v>
      </c>
    </row>
    <row r="2068" customFormat="false" ht="15" hidden="false" customHeight="false" outlineLevel="0" collapsed="false">
      <c r="A2068" s="0" t="s">
        <v>1376</v>
      </c>
      <c r="B2068" s="0" t="n">
        <v>100</v>
      </c>
      <c r="C2068" s="0" t="str">
        <f aca="false">TEXT(VLOOKUP(B2068,$I$2:$J$20,2,FALSE()),"0")</f>
        <v>100</v>
      </c>
      <c r="D2068" s="47" t="n">
        <v>100</v>
      </c>
      <c r="E2068" s="47" t="n">
        <v>3600000</v>
      </c>
      <c r="F2068" s="47" t="n">
        <v>1000000</v>
      </c>
    </row>
    <row r="2069" customFormat="false" ht="15" hidden="false" customHeight="false" outlineLevel="0" collapsed="false">
      <c r="A2069" s="0" t="s">
        <v>1376</v>
      </c>
      <c r="B2069" s="0" t="n">
        <v>500</v>
      </c>
      <c r="C2069" s="0" t="str">
        <f aca="false">TEXT(VLOOKUP(B2069,$I$2:$J$20,2,FALSE()),"0")</f>
        <v>500</v>
      </c>
      <c r="D2069" s="47" t="n">
        <v>1500</v>
      </c>
      <c r="E2069" s="47" t="n">
        <v>54000000</v>
      </c>
      <c r="F2069" s="47" t="n">
        <v>15000000</v>
      </c>
    </row>
    <row r="2070" customFormat="false" ht="15" hidden="false" customHeight="false" outlineLevel="0" collapsed="false">
      <c r="A2070" s="0" t="s">
        <v>1376</v>
      </c>
      <c r="B2070" s="0" t="n">
        <v>600</v>
      </c>
      <c r="C2070" s="0" t="str">
        <f aca="false">TEXT(VLOOKUP(B2070,$I$2:$J$20,2,FALSE()),"0")</f>
        <v>600</v>
      </c>
      <c r="D2070" s="47" t="n">
        <v>135</v>
      </c>
      <c r="E2070" s="47" t="n">
        <v>4860000</v>
      </c>
      <c r="F2070" s="47" t="n">
        <v>1350000</v>
      </c>
    </row>
    <row r="2071" customFormat="false" ht="15" hidden="false" customHeight="false" outlineLevel="0" collapsed="false">
      <c r="A2071" s="0" t="s">
        <v>1376</v>
      </c>
      <c r="B2071" s="0" t="n">
        <v>810</v>
      </c>
      <c r="C2071" s="0" t="str">
        <f aca="false">TEXT(VLOOKUP(B2071,$I$2:$J$20,2,FALSE()),"0")</f>
        <v>810</v>
      </c>
      <c r="D2071" s="47" t="n">
        <v>240</v>
      </c>
      <c r="E2071" s="47" t="n">
        <v>8640000</v>
      </c>
      <c r="F2071" s="47" t="n">
        <v>2400000</v>
      </c>
    </row>
    <row r="2072" customFormat="false" ht="15" hidden="false" customHeight="false" outlineLevel="0" collapsed="false">
      <c r="A2072" s="0" t="s">
        <v>1376</v>
      </c>
      <c r="B2072" s="0" t="n">
        <v>830</v>
      </c>
      <c r="C2072" s="0" t="str">
        <f aca="false">TEXT(VLOOKUP(B2072,$I$2:$J$20,2,FALSE()),"0")</f>
        <v>830</v>
      </c>
      <c r="D2072" s="47" t="n">
        <v>3000</v>
      </c>
      <c r="E2072" s="47" t="n">
        <v>108000000</v>
      </c>
      <c r="F2072" s="47" t="n">
        <v>30000000</v>
      </c>
    </row>
    <row r="2073" customFormat="false" ht="15" hidden="false" customHeight="false" outlineLevel="0" collapsed="false">
      <c r="A2073" s="0" t="s">
        <v>1378</v>
      </c>
      <c r="B2073" s="0" t="n">
        <v>500</v>
      </c>
      <c r="C2073" s="0" t="str">
        <f aca="false">TEXT(VLOOKUP(B2073,$I$2:$J$20,2,FALSE()),"0")</f>
        <v>500</v>
      </c>
      <c r="D2073" s="47" t="n">
        <v>1600</v>
      </c>
      <c r="E2073" s="47" t="n">
        <v>57600000</v>
      </c>
      <c r="F2073" s="47" t="n">
        <v>16160000</v>
      </c>
    </row>
    <row r="2074" customFormat="false" ht="15" hidden="false" customHeight="false" outlineLevel="0" collapsed="false">
      <c r="A2074" s="0" t="s">
        <v>1378</v>
      </c>
      <c r="B2074" s="0" t="n">
        <v>600</v>
      </c>
      <c r="C2074" s="0" t="str">
        <f aca="false">TEXT(VLOOKUP(B2074,$I$2:$J$20,2,FALSE()),"0")</f>
        <v>600</v>
      </c>
      <c r="D2074" s="47" t="n">
        <v>70</v>
      </c>
      <c r="E2074" s="47" t="n">
        <v>2520000</v>
      </c>
      <c r="F2074" s="47" t="n">
        <v>707000</v>
      </c>
    </row>
    <row r="2075" customFormat="false" ht="15" hidden="false" customHeight="false" outlineLevel="0" collapsed="false">
      <c r="A2075" s="0" t="s">
        <v>1378</v>
      </c>
      <c r="B2075" s="0" t="n">
        <v>810</v>
      </c>
      <c r="C2075" s="0" t="str">
        <f aca="false">TEXT(VLOOKUP(B2075,$I$2:$J$20,2,FALSE()),"0")</f>
        <v>810</v>
      </c>
      <c r="D2075" s="47" t="n">
        <v>204</v>
      </c>
      <c r="E2075" s="47" t="n">
        <v>7344000</v>
      </c>
      <c r="F2075" s="47" t="n">
        <v>2060400</v>
      </c>
    </row>
    <row r="2076" customFormat="false" ht="15" hidden="false" customHeight="false" outlineLevel="0" collapsed="false">
      <c r="A2076" s="0" t="s">
        <v>1378</v>
      </c>
      <c r="B2076" s="0" t="n">
        <v>830</v>
      </c>
      <c r="C2076" s="0" t="str">
        <f aca="false">TEXT(VLOOKUP(B2076,$I$2:$J$20,2,FALSE()),"0")</f>
        <v>830</v>
      </c>
      <c r="D2076" s="47" t="n">
        <v>3000</v>
      </c>
      <c r="E2076" s="47" t="n">
        <v>108000000</v>
      </c>
      <c r="F2076" s="47" t="n">
        <v>30300000</v>
      </c>
    </row>
    <row r="2077" customFormat="false" ht="15" hidden="false" customHeight="false" outlineLevel="0" collapsed="false">
      <c r="A2077" s="0" t="s">
        <v>1380</v>
      </c>
      <c r="B2077" s="0" t="n">
        <v>500</v>
      </c>
      <c r="C2077" s="0" t="str">
        <f aca="false">TEXT(VLOOKUP(B2077,$I$2:$J$20,2,FALSE()),"0")</f>
        <v>500</v>
      </c>
      <c r="D2077" s="47" t="n">
        <v>1600</v>
      </c>
      <c r="E2077" s="47" t="n">
        <v>57600000</v>
      </c>
      <c r="F2077" s="47" t="n">
        <v>15680000</v>
      </c>
    </row>
    <row r="2078" customFormat="false" ht="15" hidden="false" customHeight="false" outlineLevel="0" collapsed="false">
      <c r="A2078" s="0" t="s">
        <v>1380</v>
      </c>
      <c r="B2078" s="0" t="n">
        <v>600</v>
      </c>
      <c r="C2078" s="0" t="str">
        <f aca="false">TEXT(VLOOKUP(B2078,$I$2:$J$20,2,FALSE()),"0")</f>
        <v>600</v>
      </c>
      <c r="D2078" s="47" t="n">
        <v>90</v>
      </c>
      <c r="E2078" s="47" t="n">
        <v>3240000</v>
      </c>
      <c r="F2078" s="47" t="n">
        <v>882000</v>
      </c>
    </row>
    <row r="2079" customFormat="false" ht="15" hidden="false" customHeight="false" outlineLevel="0" collapsed="false">
      <c r="A2079" s="0" t="s">
        <v>1380</v>
      </c>
      <c r="B2079" s="0" t="n">
        <v>800</v>
      </c>
      <c r="C2079" s="0" t="str">
        <f aca="false">TEXT(VLOOKUP(B2079,$I$2:$J$20,2,FALSE()),"0")</f>
        <v>800</v>
      </c>
      <c r="D2079" s="47" t="n">
        <v>30</v>
      </c>
      <c r="E2079" s="47" t="n">
        <v>1080000</v>
      </c>
      <c r="F2079" s="47" t="n">
        <v>294000</v>
      </c>
    </row>
    <row r="2080" customFormat="false" ht="15" hidden="false" customHeight="false" outlineLevel="0" collapsed="false">
      <c r="A2080" s="0" t="s">
        <v>1380</v>
      </c>
      <c r="B2080" s="0" t="n">
        <v>810</v>
      </c>
      <c r="C2080" s="0" t="str">
        <f aca="false">TEXT(VLOOKUP(B2080,$I$2:$J$20,2,FALSE()),"0")</f>
        <v>810</v>
      </c>
      <c r="D2080" s="47" t="n">
        <v>276</v>
      </c>
      <c r="E2080" s="47" t="n">
        <v>9936000</v>
      </c>
      <c r="F2080" s="47" t="n">
        <v>2704800</v>
      </c>
    </row>
    <row r="2081" customFormat="false" ht="15" hidden="false" customHeight="false" outlineLevel="0" collapsed="false">
      <c r="A2081" s="0" t="s">
        <v>1380</v>
      </c>
      <c r="B2081" s="0" t="n">
        <v>830</v>
      </c>
      <c r="C2081" s="0" t="str">
        <f aca="false">TEXT(VLOOKUP(B2081,$I$2:$J$20,2,FALSE()),"0")</f>
        <v>830</v>
      </c>
      <c r="D2081" s="47" t="n">
        <v>3000</v>
      </c>
      <c r="E2081" s="47" t="n">
        <v>108000000</v>
      </c>
      <c r="F2081" s="47" t="n">
        <v>29400000</v>
      </c>
    </row>
    <row r="2082" customFormat="false" ht="15" hidden="false" customHeight="false" outlineLevel="0" collapsed="false">
      <c r="A2082" s="0" t="s">
        <v>676</v>
      </c>
      <c r="B2082" s="0" t="n">
        <v>300</v>
      </c>
      <c r="C2082" s="0" t="str">
        <f aca="false">TEXT(VLOOKUP(B2082,$I$2:$J$20,2,FALSE()),"0")</f>
        <v>300</v>
      </c>
      <c r="D2082" s="47" t="n">
        <v>800</v>
      </c>
      <c r="E2082" s="47" t="n">
        <v>55200000</v>
      </c>
      <c r="F2082" s="47" t="n">
        <v>12400000</v>
      </c>
    </row>
    <row r="2083" customFormat="false" ht="15" hidden="false" customHeight="false" outlineLevel="0" collapsed="false">
      <c r="A2083" s="0" t="s">
        <v>678</v>
      </c>
      <c r="B2083" s="0" t="n">
        <v>300</v>
      </c>
      <c r="C2083" s="0" t="str">
        <f aca="false">TEXT(VLOOKUP(B2083,$I$2:$J$20,2,FALSE()),"0")</f>
        <v>300</v>
      </c>
      <c r="D2083" s="47" t="n">
        <v>850</v>
      </c>
      <c r="E2083" s="47" t="n">
        <v>50150000</v>
      </c>
      <c r="F2083" s="47" t="n">
        <v>8925000</v>
      </c>
    </row>
    <row r="2084" customFormat="false" ht="15" hidden="false" customHeight="false" outlineLevel="0" collapsed="false">
      <c r="A2084" s="0" t="s">
        <v>680</v>
      </c>
      <c r="B2084" s="0" t="n">
        <v>300</v>
      </c>
      <c r="C2084" s="0" t="str">
        <f aca="false">TEXT(VLOOKUP(B2084,$I$2:$J$20,2,FALSE()),"0")</f>
        <v>300</v>
      </c>
      <c r="D2084" s="47" t="n">
        <v>800</v>
      </c>
      <c r="E2084" s="47" t="n">
        <v>47200000</v>
      </c>
      <c r="F2084" s="47" t="n">
        <v>8400000</v>
      </c>
    </row>
    <row r="2085" customFormat="false" ht="15" hidden="false" customHeight="false" outlineLevel="0" collapsed="false">
      <c r="A2085" s="0" t="s">
        <v>682</v>
      </c>
      <c r="B2085" s="0" t="n">
        <v>300</v>
      </c>
      <c r="C2085" s="0" t="str">
        <f aca="false">TEXT(VLOOKUP(B2085,$I$2:$J$20,2,FALSE()),"0")</f>
        <v>300</v>
      </c>
      <c r="D2085" s="47" t="n">
        <v>800</v>
      </c>
      <c r="E2085" s="47" t="n">
        <v>55200000</v>
      </c>
      <c r="F2085" s="47" t="n">
        <v>11680000</v>
      </c>
    </row>
    <row r="2086" customFormat="false" ht="15" hidden="false" customHeight="false" outlineLevel="0" collapsed="false">
      <c r="A2086" s="0" t="s">
        <v>684</v>
      </c>
      <c r="B2086" s="0" t="n">
        <v>300</v>
      </c>
      <c r="C2086" s="0" t="str">
        <f aca="false">TEXT(VLOOKUP(B2086,$I$2:$J$20,2,FALSE()),"0")</f>
        <v>300</v>
      </c>
      <c r="D2086" s="47" t="n">
        <v>800</v>
      </c>
      <c r="E2086" s="47" t="n">
        <v>55200000</v>
      </c>
      <c r="F2086" s="47" t="n">
        <v>11440000</v>
      </c>
    </row>
    <row r="2087" customFormat="false" ht="15" hidden="false" customHeight="false" outlineLevel="0" collapsed="false">
      <c r="A2087" s="0" t="s">
        <v>686</v>
      </c>
      <c r="B2087" s="0" t="n">
        <v>300</v>
      </c>
      <c r="C2087" s="0" t="str">
        <f aca="false">TEXT(VLOOKUP(B2087,$I$2:$J$20,2,FALSE()),"0")</f>
        <v>300</v>
      </c>
      <c r="D2087" s="47" t="n">
        <v>800</v>
      </c>
      <c r="E2087" s="47" t="n">
        <v>55200000</v>
      </c>
      <c r="F2087" s="47" t="n">
        <v>12160000</v>
      </c>
    </row>
    <row r="2088" customFormat="false" ht="15" hidden="false" customHeight="false" outlineLevel="0" collapsed="false">
      <c r="A2088" s="0" t="s">
        <v>993</v>
      </c>
      <c r="B2088" s="0" t="n">
        <v>100</v>
      </c>
      <c r="C2088" s="0" t="str">
        <f aca="false">TEXT(VLOOKUP(B2088,$I$2:$J$20,2,FALSE()),"0")</f>
        <v>100</v>
      </c>
      <c r="D2088" s="47" t="n">
        <v>800</v>
      </c>
      <c r="E2088" s="47" t="n">
        <v>55200000</v>
      </c>
      <c r="F2088" s="47" t="n">
        <v>11200000</v>
      </c>
    </row>
    <row r="2089" customFormat="false" ht="15" hidden="false" customHeight="false" outlineLevel="0" collapsed="false">
      <c r="A2089" s="0" t="s">
        <v>995</v>
      </c>
      <c r="B2089" s="0" t="n">
        <v>100</v>
      </c>
      <c r="C2089" s="0" t="str">
        <f aca="false">TEXT(VLOOKUP(B2089,$I$2:$J$20,2,FALSE()),"0")</f>
        <v>100</v>
      </c>
      <c r="D2089" s="47" t="n">
        <v>400</v>
      </c>
      <c r="E2089" s="47" t="n">
        <v>23600000</v>
      </c>
      <c r="F2089" s="47" t="n">
        <v>4800000</v>
      </c>
    </row>
    <row r="2090" customFormat="false" ht="15" hidden="false" customHeight="false" outlineLevel="0" collapsed="false">
      <c r="A2090" s="0" t="s">
        <v>997</v>
      </c>
      <c r="B2090" s="0" t="n">
        <v>100</v>
      </c>
      <c r="C2090" s="0" t="str">
        <f aca="false">TEXT(VLOOKUP(B2090,$I$2:$J$20,2,FALSE()),"0")</f>
        <v>100</v>
      </c>
      <c r="D2090" s="47" t="n">
        <v>400</v>
      </c>
      <c r="E2090" s="47" t="n">
        <v>23600000</v>
      </c>
      <c r="F2090" s="47" t="n">
        <v>4120000</v>
      </c>
    </row>
    <row r="2091" customFormat="false" ht="15" hidden="false" customHeight="false" outlineLevel="0" collapsed="false">
      <c r="A2091" s="0" t="s">
        <v>999</v>
      </c>
      <c r="B2091" s="0" t="n">
        <v>100</v>
      </c>
      <c r="C2091" s="0" t="str">
        <f aca="false">TEXT(VLOOKUP(B2091,$I$2:$J$20,2,FALSE()),"0")</f>
        <v>100</v>
      </c>
      <c r="D2091" s="47" t="n">
        <v>400</v>
      </c>
      <c r="E2091" s="47" t="n">
        <v>23600000</v>
      </c>
      <c r="F2091" s="47" t="n">
        <v>4600000</v>
      </c>
    </row>
    <row r="2092" customFormat="false" ht="15" hidden="false" customHeight="false" outlineLevel="0" collapsed="false">
      <c r="A2092" s="0" t="s">
        <v>1001</v>
      </c>
      <c r="B2092" s="0" t="n">
        <v>100</v>
      </c>
      <c r="C2092" s="0" t="str">
        <f aca="false">TEXT(VLOOKUP(B2092,$I$2:$J$20,2,FALSE()),"0")</f>
        <v>100</v>
      </c>
      <c r="D2092" s="47" t="n">
        <v>400</v>
      </c>
      <c r="E2092" s="47" t="n">
        <v>23600000</v>
      </c>
      <c r="F2092" s="47" t="n">
        <v>4120000</v>
      </c>
    </row>
    <row r="2093" customFormat="false" ht="15" hidden="false" customHeight="false" outlineLevel="0" collapsed="false">
      <c r="A2093" s="0" t="s">
        <v>1003</v>
      </c>
      <c r="B2093" s="0" t="n">
        <v>100</v>
      </c>
      <c r="C2093" s="0" t="str">
        <f aca="false">TEXT(VLOOKUP(B2093,$I$2:$J$20,2,FALSE()),"0")</f>
        <v>100</v>
      </c>
      <c r="D2093" s="47" t="n">
        <v>400</v>
      </c>
      <c r="E2093" s="47" t="n">
        <v>23600000</v>
      </c>
      <c r="F2093" s="47" t="n">
        <v>4320000</v>
      </c>
    </row>
    <row r="2094" customFormat="false" ht="15" hidden="false" customHeight="false" outlineLevel="0" collapsed="false">
      <c r="A2094" s="0" t="s">
        <v>688</v>
      </c>
      <c r="B2094" s="0" t="n">
        <v>200</v>
      </c>
      <c r="C2094" s="0" t="str">
        <f aca="false">TEXT(VLOOKUP(B2094,$I$2:$J$20,2,FALSE()),"0")</f>
        <v>200</v>
      </c>
      <c r="D2094" s="47" t="n">
        <v>495</v>
      </c>
      <c r="E2094" s="47" t="n">
        <v>78705000</v>
      </c>
      <c r="F2094" s="47" t="n">
        <v>21610710</v>
      </c>
    </row>
    <row r="2095" customFormat="false" ht="15" hidden="false" customHeight="false" outlineLevel="0" collapsed="false">
      <c r="A2095" s="0" t="s">
        <v>688</v>
      </c>
      <c r="B2095" s="0" t="n">
        <v>299</v>
      </c>
      <c r="C2095" s="0" t="str">
        <f aca="false">TEXT(VLOOKUP(B2095,$I$2:$J$20,2,FALSE()),"0")</f>
        <v>200</v>
      </c>
      <c r="D2095" s="47" t="n">
        <v>2</v>
      </c>
      <c r="E2095" s="47" t="n">
        <v>318000</v>
      </c>
      <c r="F2095" s="47" t="n">
        <v>87316</v>
      </c>
    </row>
    <row r="2096" customFormat="false" ht="15" hidden="false" customHeight="false" outlineLevel="0" collapsed="false">
      <c r="A2096" s="0" t="s">
        <v>688</v>
      </c>
      <c r="B2096" s="0" t="n">
        <v>300</v>
      </c>
      <c r="C2096" s="0" t="str">
        <f aca="false">TEXT(VLOOKUP(B2096,$I$2:$J$20,2,FALSE()),"0")</f>
        <v>300</v>
      </c>
      <c r="D2096" s="47" t="n">
        <v>320</v>
      </c>
      <c r="E2096" s="47" t="n">
        <v>50880000</v>
      </c>
      <c r="F2096" s="47" t="n">
        <v>13970560</v>
      </c>
    </row>
    <row r="2097" customFormat="false" ht="15" hidden="false" customHeight="false" outlineLevel="0" collapsed="false">
      <c r="A2097" s="0" t="s">
        <v>688</v>
      </c>
      <c r="B2097" s="0" t="n">
        <v>600</v>
      </c>
      <c r="C2097" s="0" t="str">
        <f aca="false">TEXT(VLOOKUP(B2097,$I$2:$J$20,2,FALSE()),"0")</f>
        <v>600</v>
      </c>
      <c r="D2097" s="47" t="n">
        <v>20</v>
      </c>
      <c r="E2097" s="47" t="n">
        <v>3180000</v>
      </c>
      <c r="F2097" s="47" t="n">
        <v>873160</v>
      </c>
    </row>
    <row r="2098" customFormat="false" ht="15" hidden="false" customHeight="false" outlineLevel="0" collapsed="false">
      <c r="A2098" s="0" t="s">
        <v>690</v>
      </c>
      <c r="B2098" s="0" t="n">
        <v>100</v>
      </c>
      <c r="C2098" s="0" t="str">
        <f aca="false">TEXT(VLOOKUP(B2098,$I$2:$J$20,2,FALSE()),"0")</f>
        <v>100</v>
      </c>
      <c r="D2098" s="47" t="n">
        <v>310</v>
      </c>
      <c r="E2098" s="47" t="n">
        <v>39990000</v>
      </c>
      <c r="F2098" s="47" t="n">
        <v>10944550</v>
      </c>
    </row>
    <row r="2099" customFormat="false" ht="15" hidden="false" customHeight="false" outlineLevel="0" collapsed="false">
      <c r="A2099" s="0" t="s">
        <v>690</v>
      </c>
      <c r="B2099" s="0" t="n">
        <v>200</v>
      </c>
      <c r="C2099" s="0" t="str">
        <f aca="false">TEXT(VLOOKUP(B2099,$I$2:$J$20,2,FALSE()),"0")</f>
        <v>200</v>
      </c>
      <c r="D2099" s="47" t="n">
        <v>715</v>
      </c>
      <c r="E2099" s="47" t="n">
        <v>92235000</v>
      </c>
      <c r="F2099" s="47" t="n">
        <v>25243075</v>
      </c>
    </row>
    <row r="2100" customFormat="false" ht="15" hidden="false" customHeight="false" outlineLevel="0" collapsed="false">
      <c r="A2100" s="0" t="s">
        <v>690</v>
      </c>
      <c r="B2100" s="0" t="n">
        <v>201</v>
      </c>
      <c r="C2100" s="0" t="str">
        <f aca="false">TEXT(VLOOKUP(B2100,$I$2:$J$20,2,FALSE()),"0")</f>
        <v>200</v>
      </c>
      <c r="D2100" s="47" t="n">
        <v>30</v>
      </c>
      <c r="E2100" s="47" t="n">
        <v>3870000</v>
      </c>
      <c r="F2100" s="47" t="n">
        <v>1059150</v>
      </c>
    </row>
    <row r="2101" customFormat="false" ht="15" hidden="false" customHeight="false" outlineLevel="0" collapsed="false">
      <c r="A2101" s="0" t="s">
        <v>690</v>
      </c>
      <c r="B2101" s="0" t="n">
        <v>299</v>
      </c>
      <c r="C2101" s="0" t="str">
        <f aca="false">TEXT(VLOOKUP(B2101,$I$2:$J$20,2,FALSE()),"0")</f>
        <v>200</v>
      </c>
      <c r="D2101" s="47" t="n">
        <v>3</v>
      </c>
      <c r="E2101" s="47" t="n">
        <v>387000</v>
      </c>
      <c r="F2101" s="47" t="n">
        <v>105915</v>
      </c>
    </row>
    <row r="2102" customFormat="false" ht="15" hidden="false" customHeight="false" outlineLevel="0" collapsed="false">
      <c r="A2102" s="0" t="s">
        <v>690</v>
      </c>
      <c r="B2102" s="0" t="n">
        <v>300</v>
      </c>
      <c r="C2102" s="0" t="str">
        <f aca="false">TEXT(VLOOKUP(B2102,$I$2:$J$20,2,FALSE()),"0")</f>
        <v>300</v>
      </c>
      <c r="D2102" s="47" t="n">
        <v>360</v>
      </c>
      <c r="E2102" s="47" t="n">
        <v>46440000</v>
      </c>
      <c r="F2102" s="47" t="n">
        <v>12709800</v>
      </c>
    </row>
    <row r="2103" customFormat="false" ht="15" hidden="false" customHeight="false" outlineLevel="0" collapsed="false">
      <c r="A2103" s="0" t="s">
        <v>692</v>
      </c>
      <c r="B2103" s="0" t="n">
        <v>200</v>
      </c>
      <c r="C2103" s="0" t="str">
        <f aca="false">TEXT(VLOOKUP(B2103,$I$2:$J$20,2,FALSE()),"0")</f>
        <v>200</v>
      </c>
      <c r="D2103" s="47" t="n">
        <v>285</v>
      </c>
      <c r="E2103" s="47" t="n">
        <v>42465000</v>
      </c>
      <c r="F2103" s="47" t="n">
        <v>10970790</v>
      </c>
    </row>
    <row r="2104" customFormat="false" ht="15" hidden="false" customHeight="false" outlineLevel="0" collapsed="false">
      <c r="A2104" s="0" t="s">
        <v>692</v>
      </c>
      <c r="B2104" s="0" t="n">
        <v>299</v>
      </c>
      <c r="C2104" s="0" t="str">
        <f aca="false">TEXT(VLOOKUP(B2104,$I$2:$J$20,2,FALSE()),"0")</f>
        <v>200</v>
      </c>
      <c r="D2104" s="47" t="n">
        <v>2</v>
      </c>
      <c r="E2104" s="47" t="n">
        <v>298000</v>
      </c>
      <c r="F2104" s="47" t="n">
        <v>76988</v>
      </c>
    </row>
    <row r="2105" customFormat="false" ht="15" hidden="false" customHeight="false" outlineLevel="0" collapsed="false">
      <c r="A2105" s="0" t="s">
        <v>692</v>
      </c>
      <c r="B2105" s="0" t="n">
        <v>300</v>
      </c>
      <c r="C2105" s="0" t="str">
        <f aca="false">TEXT(VLOOKUP(B2105,$I$2:$J$20,2,FALSE()),"0")</f>
        <v>300</v>
      </c>
      <c r="D2105" s="47" t="n">
        <v>320</v>
      </c>
      <c r="E2105" s="47" t="n">
        <v>47680000</v>
      </c>
      <c r="F2105" s="47" t="n">
        <v>12318080</v>
      </c>
    </row>
    <row r="2106" customFormat="false" ht="15" hidden="false" customHeight="false" outlineLevel="0" collapsed="false">
      <c r="A2106" s="0" t="s">
        <v>694</v>
      </c>
      <c r="B2106" s="0" t="n">
        <v>100</v>
      </c>
      <c r="C2106" s="0" t="str">
        <f aca="false">TEXT(VLOOKUP(B2106,$I$2:$J$20,2,FALSE()),"0")</f>
        <v>100</v>
      </c>
      <c r="D2106" s="47" t="n">
        <v>140</v>
      </c>
      <c r="E2106" s="47" t="n">
        <v>16660000</v>
      </c>
      <c r="F2106" s="47" t="n">
        <v>4821460</v>
      </c>
    </row>
    <row r="2107" customFormat="false" ht="15" hidden="false" customHeight="false" outlineLevel="0" collapsed="false">
      <c r="A2107" s="0" t="s">
        <v>694</v>
      </c>
      <c r="B2107" s="0" t="n">
        <v>200</v>
      </c>
      <c r="C2107" s="0" t="str">
        <f aca="false">TEXT(VLOOKUP(B2107,$I$2:$J$20,2,FALSE()),"0")</f>
        <v>200</v>
      </c>
      <c r="D2107" s="47" t="n">
        <v>475</v>
      </c>
      <c r="E2107" s="47" t="n">
        <v>56525000</v>
      </c>
      <c r="F2107" s="47" t="n">
        <v>16358525</v>
      </c>
    </row>
    <row r="2108" customFormat="false" ht="15" hidden="false" customHeight="false" outlineLevel="0" collapsed="false">
      <c r="A2108" s="0" t="s">
        <v>694</v>
      </c>
      <c r="B2108" s="0" t="n">
        <v>299</v>
      </c>
      <c r="C2108" s="0" t="str">
        <f aca="false">TEXT(VLOOKUP(B2108,$I$2:$J$20,2,FALSE()),"0")</f>
        <v>200</v>
      </c>
      <c r="D2108" s="47" t="n">
        <v>7</v>
      </c>
      <c r="E2108" s="47" t="n">
        <v>833000</v>
      </c>
      <c r="F2108" s="47" t="n">
        <v>241073</v>
      </c>
    </row>
    <row r="2109" customFormat="false" ht="15" hidden="false" customHeight="false" outlineLevel="0" collapsed="false">
      <c r="A2109" s="0" t="s">
        <v>694</v>
      </c>
      <c r="B2109" s="0" t="n">
        <v>300</v>
      </c>
      <c r="C2109" s="0" t="str">
        <f aca="false">TEXT(VLOOKUP(B2109,$I$2:$J$20,2,FALSE()),"0")</f>
        <v>300</v>
      </c>
      <c r="D2109" s="47" t="n">
        <v>450</v>
      </c>
      <c r="E2109" s="47" t="n">
        <v>53550000</v>
      </c>
      <c r="F2109" s="47" t="n">
        <v>15497550</v>
      </c>
    </row>
    <row r="2110" customFormat="false" ht="15" hidden="false" customHeight="false" outlineLevel="0" collapsed="false">
      <c r="A2110" s="0" t="s">
        <v>694</v>
      </c>
      <c r="B2110" s="0" t="n">
        <v>800</v>
      </c>
      <c r="C2110" s="0" t="str">
        <f aca="false">TEXT(VLOOKUP(B2110,$I$2:$J$20,2,FALSE()),"0")</f>
        <v>800</v>
      </c>
      <c r="D2110" s="47" t="n">
        <v>30</v>
      </c>
      <c r="E2110" s="47" t="n">
        <v>3570000</v>
      </c>
      <c r="F2110" s="47" t="n">
        <v>1033170</v>
      </c>
    </row>
    <row r="2111" customFormat="false" ht="15" hidden="false" customHeight="false" outlineLevel="0" collapsed="false">
      <c r="A2111" s="0" t="s">
        <v>696</v>
      </c>
      <c r="B2111" s="0" t="n">
        <v>200</v>
      </c>
      <c r="C2111" s="0" t="str">
        <f aca="false">TEXT(VLOOKUP(B2111,$I$2:$J$20,2,FALSE()),"0")</f>
        <v>200</v>
      </c>
      <c r="D2111" s="47" t="n">
        <v>560</v>
      </c>
      <c r="E2111" s="47" t="n">
        <v>83440000</v>
      </c>
      <c r="F2111" s="47" t="n">
        <v>24302880</v>
      </c>
    </row>
    <row r="2112" customFormat="false" ht="15" hidden="false" customHeight="false" outlineLevel="0" collapsed="false">
      <c r="A2112" s="0" t="s">
        <v>696</v>
      </c>
      <c r="B2112" s="0" t="n">
        <v>299</v>
      </c>
      <c r="C2112" s="0" t="str">
        <f aca="false">TEXT(VLOOKUP(B2112,$I$2:$J$20,2,FALSE()),"0")</f>
        <v>200</v>
      </c>
      <c r="D2112" s="47" t="n">
        <v>3</v>
      </c>
      <c r="E2112" s="47" t="n">
        <v>447000</v>
      </c>
      <c r="F2112" s="47" t="n">
        <v>130194</v>
      </c>
    </row>
    <row r="2113" customFormat="false" ht="15" hidden="false" customHeight="false" outlineLevel="0" collapsed="false">
      <c r="A2113" s="0" t="s">
        <v>696</v>
      </c>
      <c r="B2113" s="0" t="n">
        <v>300</v>
      </c>
      <c r="C2113" s="0" t="str">
        <f aca="false">TEXT(VLOOKUP(B2113,$I$2:$J$20,2,FALSE()),"0")</f>
        <v>300</v>
      </c>
      <c r="D2113" s="47" t="n">
        <v>130</v>
      </c>
      <c r="E2113" s="47" t="n">
        <v>19370000</v>
      </c>
      <c r="F2113" s="47" t="n">
        <v>5641740</v>
      </c>
    </row>
    <row r="2114" customFormat="false" ht="15" hidden="false" customHeight="false" outlineLevel="0" collapsed="false">
      <c r="A2114" s="0" t="s">
        <v>698</v>
      </c>
      <c r="B2114" s="0" t="n">
        <v>100</v>
      </c>
      <c r="C2114" s="0" t="str">
        <f aca="false">TEXT(VLOOKUP(B2114,$I$2:$J$20,2,FALSE()),"0")</f>
        <v>100</v>
      </c>
      <c r="D2114" s="47" t="n">
        <v>200</v>
      </c>
      <c r="E2114" s="47" t="n">
        <v>33800000</v>
      </c>
      <c r="F2114" s="47" t="n">
        <v>11900000</v>
      </c>
    </row>
    <row r="2115" customFormat="false" ht="15" hidden="false" customHeight="false" outlineLevel="0" collapsed="false">
      <c r="A2115" s="0" t="s">
        <v>698</v>
      </c>
      <c r="B2115" s="0" t="n">
        <v>300</v>
      </c>
      <c r="C2115" s="0" t="str">
        <f aca="false">TEXT(VLOOKUP(B2115,$I$2:$J$20,2,FALSE()),"0")</f>
        <v>300</v>
      </c>
      <c r="D2115" s="47" t="n">
        <v>320</v>
      </c>
      <c r="E2115" s="47" t="n">
        <v>54080000</v>
      </c>
      <c r="F2115" s="47" t="n">
        <v>19040000</v>
      </c>
    </row>
    <row r="2116" customFormat="false" ht="15" hidden="false" customHeight="false" outlineLevel="0" collapsed="false">
      <c r="A2116" s="0" t="s">
        <v>698</v>
      </c>
      <c r="B2116" s="0" t="n">
        <v>800</v>
      </c>
      <c r="C2116" s="0" t="str">
        <f aca="false">TEXT(VLOOKUP(B2116,$I$2:$J$20,2,FALSE()),"0")</f>
        <v>800</v>
      </c>
      <c r="D2116" s="47" t="n">
        <v>55</v>
      </c>
      <c r="E2116" s="47" t="n">
        <v>9295000</v>
      </c>
      <c r="F2116" s="47" t="n">
        <v>3272500</v>
      </c>
    </row>
    <row r="2117" customFormat="false" ht="15" hidden="false" customHeight="false" outlineLevel="0" collapsed="false">
      <c r="A2117" s="0" t="s">
        <v>1005</v>
      </c>
      <c r="B2117" s="0" t="n">
        <v>100</v>
      </c>
      <c r="C2117" s="0" t="str">
        <f aca="false">TEXT(VLOOKUP(B2117,$I$2:$J$20,2,FALSE()),"0")</f>
        <v>100</v>
      </c>
      <c r="D2117" s="47" t="n">
        <v>200</v>
      </c>
      <c r="E2117" s="47" t="n">
        <v>33800000</v>
      </c>
      <c r="F2117" s="47" t="n">
        <v>9598800</v>
      </c>
    </row>
    <row r="2118" customFormat="false" ht="15" hidden="false" customHeight="false" outlineLevel="0" collapsed="false">
      <c r="A2118" s="0" t="s">
        <v>1005</v>
      </c>
      <c r="B2118" s="0" t="n">
        <v>200</v>
      </c>
      <c r="C2118" s="0" t="str">
        <f aca="false">TEXT(VLOOKUP(B2118,$I$2:$J$20,2,FALSE()),"0")</f>
        <v>200</v>
      </c>
      <c r="D2118" s="47" t="n">
        <v>1090</v>
      </c>
      <c r="E2118" s="47" t="n">
        <v>184210000</v>
      </c>
      <c r="F2118" s="47" t="n">
        <v>52313460</v>
      </c>
    </row>
    <row r="2119" customFormat="false" ht="15" hidden="false" customHeight="false" outlineLevel="0" collapsed="false">
      <c r="A2119" s="0" t="s">
        <v>1005</v>
      </c>
      <c r="B2119" s="0" t="n">
        <v>299</v>
      </c>
      <c r="C2119" s="0" t="str">
        <f aca="false">TEXT(VLOOKUP(B2119,$I$2:$J$20,2,FALSE()),"0")</f>
        <v>200</v>
      </c>
      <c r="D2119" s="47" t="n">
        <v>10</v>
      </c>
      <c r="E2119" s="47" t="n">
        <v>1690000</v>
      </c>
      <c r="F2119" s="47" t="n">
        <v>479940</v>
      </c>
    </row>
    <row r="2120" customFormat="false" ht="15" hidden="false" customHeight="false" outlineLevel="0" collapsed="false">
      <c r="A2120" s="0" t="s">
        <v>1005</v>
      </c>
      <c r="B2120" s="0" t="n">
        <v>800</v>
      </c>
      <c r="C2120" s="0" t="str">
        <f aca="false">TEXT(VLOOKUP(B2120,$I$2:$J$20,2,FALSE()),"0")</f>
        <v>800</v>
      </c>
      <c r="D2120" s="47" t="n">
        <v>55</v>
      </c>
      <c r="E2120" s="47" t="n">
        <v>9295000</v>
      </c>
      <c r="F2120" s="47" t="n">
        <v>2639670</v>
      </c>
    </row>
    <row r="2121" customFormat="false" ht="15" hidden="false" customHeight="false" outlineLevel="0" collapsed="false">
      <c r="A2121" s="0" t="s">
        <v>1007</v>
      </c>
      <c r="B2121" s="0" t="n">
        <v>100</v>
      </c>
      <c r="C2121" s="0" t="str">
        <f aca="false">TEXT(VLOOKUP(B2121,$I$2:$J$20,2,FALSE()),"0")</f>
        <v>100</v>
      </c>
      <c r="D2121" s="47" t="n">
        <v>120</v>
      </c>
      <c r="E2121" s="47" t="n">
        <v>16680000</v>
      </c>
      <c r="F2121" s="47" t="n">
        <v>5224920</v>
      </c>
    </row>
    <row r="2122" customFormat="false" ht="15" hidden="false" customHeight="false" outlineLevel="0" collapsed="false">
      <c r="A2122" s="0" t="s">
        <v>1007</v>
      </c>
      <c r="B2122" s="0" t="n">
        <v>200</v>
      </c>
      <c r="C2122" s="0" t="str">
        <f aca="false">TEXT(VLOOKUP(B2122,$I$2:$J$20,2,FALSE()),"0")</f>
        <v>200</v>
      </c>
      <c r="D2122" s="47" t="n">
        <v>495</v>
      </c>
      <c r="E2122" s="47" t="n">
        <v>68805000</v>
      </c>
      <c r="F2122" s="47" t="n">
        <v>21552795</v>
      </c>
    </row>
    <row r="2123" customFormat="false" ht="15" hidden="false" customHeight="false" outlineLevel="0" collapsed="false">
      <c r="A2123" s="0" t="s">
        <v>1007</v>
      </c>
      <c r="B2123" s="0" t="n">
        <v>299</v>
      </c>
      <c r="C2123" s="0" t="str">
        <f aca="false">TEXT(VLOOKUP(B2123,$I$2:$J$20,2,FALSE()),"0")</f>
        <v>200</v>
      </c>
      <c r="D2123" s="47" t="n">
        <v>12</v>
      </c>
      <c r="E2123" s="47" t="n">
        <v>1668000</v>
      </c>
      <c r="F2123" s="47" t="n">
        <v>522492</v>
      </c>
    </row>
    <row r="2124" customFormat="false" ht="15" hidden="false" customHeight="false" outlineLevel="0" collapsed="false">
      <c r="A2124" s="0" t="s">
        <v>1007</v>
      </c>
      <c r="B2124" s="0" t="n">
        <v>800</v>
      </c>
      <c r="C2124" s="0" t="str">
        <f aca="false">TEXT(VLOOKUP(B2124,$I$2:$J$20,2,FALSE()),"0")</f>
        <v>800</v>
      </c>
      <c r="D2124" s="47" t="n">
        <v>25</v>
      </c>
      <c r="E2124" s="47" t="n">
        <v>3475000</v>
      </c>
      <c r="F2124" s="47" t="n">
        <v>1088525</v>
      </c>
    </row>
    <row r="2125" customFormat="false" ht="15" hidden="false" customHeight="false" outlineLevel="0" collapsed="false">
      <c r="A2125" s="0" t="s">
        <v>1148</v>
      </c>
      <c r="B2125" s="0" t="n">
        <v>200</v>
      </c>
      <c r="C2125" s="0" t="str">
        <f aca="false">TEXT(VLOOKUP(B2125,$I$2:$J$20,2,FALSE()),"0")</f>
        <v>200</v>
      </c>
      <c r="D2125" s="47" t="n">
        <v>1060</v>
      </c>
      <c r="E2125" s="47" t="n">
        <v>200340000</v>
      </c>
      <c r="F2125" s="47" t="n">
        <v>43884000</v>
      </c>
    </row>
    <row r="2126" customFormat="false" ht="15" hidden="false" customHeight="false" outlineLevel="0" collapsed="false">
      <c r="A2126" s="0" t="s">
        <v>1148</v>
      </c>
      <c r="B2126" s="0" t="n">
        <v>201</v>
      </c>
      <c r="C2126" s="0" t="str">
        <f aca="false">TEXT(VLOOKUP(B2126,$I$2:$J$20,2,FALSE()),"0")</f>
        <v>200</v>
      </c>
      <c r="D2126" s="47" t="n">
        <v>25</v>
      </c>
      <c r="E2126" s="47" t="n">
        <v>4725000</v>
      </c>
      <c r="F2126" s="47" t="n">
        <v>1035000</v>
      </c>
    </row>
    <row r="2127" customFormat="false" ht="15" hidden="false" customHeight="false" outlineLevel="0" collapsed="false">
      <c r="A2127" s="0" t="s">
        <v>1148</v>
      </c>
      <c r="B2127" s="0" t="n">
        <v>299</v>
      </c>
      <c r="C2127" s="0" t="str">
        <f aca="false">TEXT(VLOOKUP(B2127,$I$2:$J$20,2,FALSE()),"0")</f>
        <v>200</v>
      </c>
      <c r="D2127" s="47" t="n">
        <v>4</v>
      </c>
      <c r="E2127" s="47" t="n">
        <v>756000</v>
      </c>
      <c r="F2127" s="47" t="n">
        <v>165600</v>
      </c>
    </row>
    <row r="2128" customFormat="false" ht="15" hidden="false" customHeight="false" outlineLevel="0" collapsed="false">
      <c r="A2128" s="0" t="s">
        <v>700</v>
      </c>
      <c r="B2128" s="0" t="n">
        <v>100</v>
      </c>
      <c r="C2128" s="0" t="str">
        <f aca="false">TEXT(VLOOKUP(B2128,$I$2:$J$20,2,FALSE()),"0")</f>
        <v>100</v>
      </c>
      <c r="D2128" s="47" t="n">
        <v>100</v>
      </c>
      <c r="E2128" s="47" t="n">
        <v>15900000</v>
      </c>
      <c r="F2128" s="47" t="n">
        <v>3832400</v>
      </c>
    </row>
    <row r="2129" customFormat="false" ht="15" hidden="false" customHeight="false" outlineLevel="0" collapsed="false">
      <c r="A2129" s="0" t="s">
        <v>700</v>
      </c>
      <c r="B2129" s="0" t="n">
        <v>200</v>
      </c>
      <c r="C2129" s="0" t="str">
        <f aca="false">TEXT(VLOOKUP(B2129,$I$2:$J$20,2,FALSE()),"0")</f>
        <v>200</v>
      </c>
      <c r="D2129" s="47" t="n">
        <v>640</v>
      </c>
      <c r="E2129" s="47" t="n">
        <v>101760000</v>
      </c>
      <c r="F2129" s="47" t="n">
        <v>24527360</v>
      </c>
    </row>
    <row r="2130" customFormat="false" ht="15" hidden="false" customHeight="false" outlineLevel="0" collapsed="false">
      <c r="A2130" s="0" t="s">
        <v>700</v>
      </c>
      <c r="B2130" s="0" t="n">
        <v>201</v>
      </c>
      <c r="C2130" s="0" t="str">
        <f aca="false">TEXT(VLOOKUP(B2130,$I$2:$J$20,2,FALSE()),"0")</f>
        <v>200</v>
      </c>
      <c r="D2130" s="47" t="n">
        <v>25</v>
      </c>
      <c r="E2130" s="47" t="n">
        <v>3975000</v>
      </c>
      <c r="F2130" s="47" t="n">
        <v>958100</v>
      </c>
    </row>
    <row r="2131" customFormat="false" ht="15" hidden="false" customHeight="false" outlineLevel="0" collapsed="false">
      <c r="A2131" s="0" t="s">
        <v>700</v>
      </c>
      <c r="B2131" s="0" t="n">
        <v>299</v>
      </c>
      <c r="C2131" s="0" t="str">
        <f aca="false">TEXT(VLOOKUP(B2131,$I$2:$J$20,2,FALSE()),"0")</f>
        <v>200</v>
      </c>
      <c r="D2131" s="47" t="n">
        <v>11</v>
      </c>
      <c r="E2131" s="47" t="n">
        <v>1749000</v>
      </c>
      <c r="F2131" s="47" t="n">
        <v>421564</v>
      </c>
    </row>
    <row r="2132" customFormat="false" ht="15" hidden="false" customHeight="false" outlineLevel="0" collapsed="false">
      <c r="A2132" s="0" t="s">
        <v>700</v>
      </c>
      <c r="B2132" s="0" t="n">
        <v>300</v>
      </c>
      <c r="C2132" s="0" t="str">
        <f aca="false">TEXT(VLOOKUP(B2132,$I$2:$J$20,2,FALSE()),"0")</f>
        <v>300</v>
      </c>
      <c r="D2132" s="47" t="n">
        <v>150</v>
      </c>
      <c r="E2132" s="47" t="n">
        <v>23850000</v>
      </c>
      <c r="F2132" s="47" t="n">
        <v>5748600</v>
      </c>
    </row>
    <row r="2133" customFormat="false" ht="15" hidden="false" customHeight="false" outlineLevel="0" collapsed="false">
      <c r="A2133" s="0" t="s">
        <v>1009</v>
      </c>
      <c r="B2133" s="0" t="n">
        <v>100</v>
      </c>
      <c r="C2133" s="0" t="str">
        <f aca="false">TEXT(VLOOKUP(B2133,$I$2:$J$20,2,FALSE()),"0")</f>
        <v>100</v>
      </c>
      <c r="D2133" s="47" t="n">
        <v>210</v>
      </c>
      <c r="E2133" s="47" t="n">
        <v>31290000</v>
      </c>
      <c r="F2133" s="47" t="n">
        <v>8133720</v>
      </c>
    </row>
    <row r="2134" customFormat="false" ht="15" hidden="false" customHeight="false" outlineLevel="0" collapsed="false">
      <c r="A2134" s="0" t="s">
        <v>1009</v>
      </c>
      <c r="B2134" s="0" t="n">
        <v>200</v>
      </c>
      <c r="C2134" s="0" t="str">
        <f aca="false">TEXT(VLOOKUP(B2134,$I$2:$J$20,2,FALSE()),"0")</f>
        <v>200</v>
      </c>
      <c r="D2134" s="47" t="n">
        <v>410</v>
      </c>
      <c r="E2134" s="47" t="n">
        <v>61090000</v>
      </c>
      <c r="F2134" s="47" t="n">
        <v>15880120</v>
      </c>
    </row>
    <row r="2135" customFormat="false" ht="15" hidden="false" customHeight="false" outlineLevel="0" collapsed="false">
      <c r="A2135" s="0" t="s">
        <v>1009</v>
      </c>
      <c r="B2135" s="0" t="n">
        <v>299</v>
      </c>
      <c r="C2135" s="0" t="str">
        <f aca="false">TEXT(VLOOKUP(B2135,$I$2:$J$20,2,FALSE()),"0")</f>
        <v>200</v>
      </c>
      <c r="D2135" s="47" t="n">
        <v>2</v>
      </c>
      <c r="E2135" s="47" t="n">
        <v>298000</v>
      </c>
      <c r="F2135" s="47" t="n">
        <v>77464</v>
      </c>
    </row>
    <row r="2136" customFormat="false" ht="15" hidden="false" customHeight="false" outlineLevel="0" collapsed="false">
      <c r="A2136" s="0" t="s">
        <v>1150</v>
      </c>
      <c r="B2136" s="0" t="n">
        <v>200</v>
      </c>
      <c r="C2136" s="0" t="str">
        <f aca="false">TEXT(VLOOKUP(B2136,$I$2:$J$20,2,FALSE()),"0")</f>
        <v>200</v>
      </c>
      <c r="D2136" s="47" t="n">
        <v>120</v>
      </c>
      <c r="E2136" s="47" t="n">
        <v>22680000</v>
      </c>
      <c r="F2136" s="47" t="n">
        <v>6492000</v>
      </c>
    </row>
    <row r="2137" customFormat="false" ht="15" hidden="false" customHeight="false" outlineLevel="0" collapsed="false">
      <c r="A2137" s="0" t="s">
        <v>1150</v>
      </c>
      <c r="B2137" s="0" t="n">
        <v>299</v>
      </c>
      <c r="C2137" s="0" t="str">
        <f aca="false">TEXT(VLOOKUP(B2137,$I$2:$J$20,2,FALSE()),"0")</f>
        <v>200</v>
      </c>
      <c r="D2137" s="47" t="n">
        <v>2</v>
      </c>
      <c r="E2137" s="47" t="n">
        <v>378000</v>
      </c>
      <c r="F2137" s="47" t="n">
        <v>108200</v>
      </c>
    </row>
    <row r="2138" customFormat="false" ht="15" hidden="false" customHeight="false" outlineLevel="0" collapsed="false">
      <c r="A2138" s="0" t="s">
        <v>702</v>
      </c>
      <c r="B2138" s="0" t="n">
        <v>100</v>
      </c>
      <c r="C2138" s="0" t="str">
        <f aca="false">TEXT(VLOOKUP(B2138,$I$2:$J$20,2,FALSE()),"0")</f>
        <v>100</v>
      </c>
      <c r="D2138" s="47" t="n">
        <v>140</v>
      </c>
      <c r="E2138" s="47" t="n">
        <v>23660000</v>
      </c>
      <c r="F2138" s="47" t="n">
        <v>7095060</v>
      </c>
    </row>
    <row r="2139" customFormat="false" ht="15" hidden="false" customHeight="false" outlineLevel="0" collapsed="false">
      <c r="A2139" s="0" t="s">
        <v>702</v>
      </c>
      <c r="B2139" s="0" t="n">
        <v>200</v>
      </c>
      <c r="C2139" s="0" t="str">
        <f aca="false">TEXT(VLOOKUP(B2139,$I$2:$J$20,2,FALSE()),"0")</f>
        <v>200</v>
      </c>
      <c r="D2139" s="47" t="n">
        <v>270</v>
      </c>
      <c r="E2139" s="47" t="n">
        <v>45630000</v>
      </c>
      <c r="F2139" s="47" t="n">
        <v>13683330</v>
      </c>
    </row>
    <row r="2140" customFormat="false" ht="15" hidden="false" customHeight="false" outlineLevel="0" collapsed="false">
      <c r="A2140" s="0" t="s">
        <v>702</v>
      </c>
      <c r="B2140" s="0" t="n">
        <v>299</v>
      </c>
      <c r="C2140" s="0" t="str">
        <f aca="false">TEXT(VLOOKUP(B2140,$I$2:$J$20,2,FALSE()),"0")</f>
        <v>200</v>
      </c>
      <c r="D2140" s="47" t="n">
        <v>6</v>
      </c>
      <c r="E2140" s="47" t="n">
        <v>1014000</v>
      </c>
      <c r="F2140" s="47" t="n">
        <v>304074</v>
      </c>
    </row>
    <row r="2141" customFormat="false" ht="15" hidden="false" customHeight="false" outlineLevel="0" collapsed="false">
      <c r="A2141" s="0" t="s">
        <v>702</v>
      </c>
      <c r="B2141" s="0" t="n">
        <v>300</v>
      </c>
      <c r="C2141" s="0" t="str">
        <f aca="false">TEXT(VLOOKUP(B2141,$I$2:$J$20,2,FALSE()),"0")</f>
        <v>300</v>
      </c>
      <c r="D2141" s="47" t="n">
        <v>280</v>
      </c>
      <c r="E2141" s="47" t="n">
        <v>47320000</v>
      </c>
      <c r="F2141" s="47" t="n">
        <v>14190120</v>
      </c>
    </row>
    <row r="2142" customFormat="false" ht="15" hidden="false" customHeight="false" outlineLevel="0" collapsed="false">
      <c r="A2142" s="0" t="s">
        <v>702</v>
      </c>
      <c r="B2142" s="0" t="n">
        <v>600</v>
      </c>
      <c r="C2142" s="0" t="str">
        <f aca="false">TEXT(VLOOKUP(B2142,$I$2:$J$20,2,FALSE()),"0")</f>
        <v>600</v>
      </c>
      <c r="D2142" s="47" t="n">
        <v>15</v>
      </c>
      <c r="E2142" s="47" t="n">
        <v>2535000</v>
      </c>
      <c r="F2142" s="47" t="n">
        <v>760185</v>
      </c>
    </row>
    <row r="2143" customFormat="false" ht="15" hidden="false" customHeight="false" outlineLevel="0" collapsed="false">
      <c r="A2143" s="0" t="s">
        <v>1152</v>
      </c>
      <c r="B2143" s="0" t="n">
        <v>200</v>
      </c>
      <c r="C2143" s="0" t="str">
        <f aca="false">TEXT(VLOOKUP(B2143,$I$2:$J$20,2,FALSE()),"0")</f>
        <v>200</v>
      </c>
      <c r="D2143" s="47" t="n">
        <v>480</v>
      </c>
      <c r="E2143" s="47" t="n">
        <v>42720000</v>
      </c>
      <c r="F2143" s="47" t="n">
        <v>11853600</v>
      </c>
    </row>
    <row r="2144" customFormat="false" ht="15" hidden="false" customHeight="false" outlineLevel="0" collapsed="false">
      <c r="A2144" s="0" t="s">
        <v>1152</v>
      </c>
      <c r="B2144" s="0" t="n">
        <v>299</v>
      </c>
      <c r="C2144" s="0" t="str">
        <f aca="false">TEXT(VLOOKUP(B2144,$I$2:$J$20,2,FALSE()),"0")</f>
        <v>200</v>
      </c>
      <c r="D2144" s="47" t="n">
        <v>3</v>
      </c>
      <c r="E2144" s="47" t="n">
        <v>267000</v>
      </c>
      <c r="F2144" s="47" t="n">
        <v>74085</v>
      </c>
    </row>
    <row r="2145" customFormat="false" ht="15" hidden="false" customHeight="false" outlineLevel="0" collapsed="false">
      <c r="A2145" s="0" t="s">
        <v>1154</v>
      </c>
      <c r="B2145" s="0" t="n">
        <v>200</v>
      </c>
      <c r="C2145" s="0" t="str">
        <f aca="false">TEXT(VLOOKUP(B2145,$I$2:$J$20,2,FALSE()),"0")</f>
        <v>200</v>
      </c>
      <c r="D2145" s="47" t="n">
        <v>530</v>
      </c>
      <c r="E2145" s="47" t="n">
        <v>57770000</v>
      </c>
      <c r="F2145" s="47" t="n">
        <v>14414410</v>
      </c>
    </row>
    <row r="2146" customFormat="false" ht="15" hidden="false" customHeight="false" outlineLevel="0" collapsed="false">
      <c r="A2146" s="0" t="s">
        <v>1154</v>
      </c>
      <c r="B2146" s="0" t="n">
        <v>299</v>
      </c>
      <c r="C2146" s="0" t="str">
        <f aca="false">TEXT(VLOOKUP(B2146,$I$2:$J$20,2,FALSE()),"0")</f>
        <v>200</v>
      </c>
      <c r="D2146" s="47" t="n">
        <v>3</v>
      </c>
      <c r="E2146" s="47" t="n">
        <v>327000</v>
      </c>
      <c r="F2146" s="47" t="n">
        <v>81591</v>
      </c>
    </row>
    <row r="2147" customFormat="false" ht="15" hidden="false" customHeight="false" outlineLevel="0" collapsed="false">
      <c r="A2147" s="0" t="s">
        <v>1011</v>
      </c>
      <c r="B2147" s="0" t="n">
        <v>100</v>
      </c>
      <c r="C2147" s="0" t="str">
        <f aca="false">TEXT(VLOOKUP(B2147,$I$2:$J$20,2,FALSE()),"0")</f>
        <v>100</v>
      </c>
      <c r="D2147" s="47" t="n">
        <v>90</v>
      </c>
      <c r="E2147" s="47" t="n">
        <v>8910000</v>
      </c>
      <c r="F2147" s="47" t="n">
        <v>2817090</v>
      </c>
    </row>
    <row r="2148" customFormat="false" ht="15" hidden="false" customHeight="false" outlineLevel="0" collapsed="false">
      <c r="A2148" s="0" t="s">
        <v>1011</v>
      </c>
      <c r="B2148" s="0" t="n">
        <v>200</v>
      </c>
      <c r="C2148" s="0" t="str">
        <f aca="false">TEXT(VLOOKUP(B2148,$I$2:$J$20,2,FALSE()),"0")</f>
        <v>200</v>
      </c>
      <c r="D2148" s="47" t="n">
        <v>320</v>
      </c>
      <c r="E2148" s="47" t="n">
        <v>31680000</v>
      </c>
      <c r="F2148" s="47" t="n">
        <v>10016320</v>
      </c>
    </row>
    <row r="2149" customFormat="false" ht="15" hidden="false" customHeight="false" outlineLevel="0" collapsed="false">
      <c r="A2149" s="0" t="s">
        <v>1011</v>
      </c>
      <c r="B2149" s="0" t="n">
        <v>299</v>
      </c>
      <c r="C2149" s="0" t="str">
        <f aca="false">TEXT(VLOOKUP(B2149,$I$2:$J$20,2,FALSE()),"0")</f>
        <v>200</v>
      </c>
      <c r="D2149" s="47" t="n">
        <v>2</v>
      </c>
      <c r="E2149" s="47" t="n">
        <v>198000</v>
      </c>
      <c r="F2149" s="47" t="n">
        <v>62602</v>
      </c>
    </row>
    <row r="2150" customFormat="false" ht="15" hidden="false" customHeight="false" outlineLevel="0" collapsed="false">
      <c r="A2150" s="0" t="s">
        <v>1443</v>
      </c>
      <c r="B2150" s="0" t="n">
        <v>700</v>
      </c>
      <c r="C2150" s="0" t="str">
        <f aca="false">TEXT(VLOOKUP(B2150,$I$2:$J$20,2,FALSE()),"0")</f>
        <v>700</v>
      </c>
      <c r="D2150" s="47" t="n">
        <v>80</v>
      </c>
      <c r="E2150" s="47" t="n">
        <v>4720000</v>
      </c>
      <c r="F2150" s="47" t="n">
        <v>872000</v>
      </c>
    </row>
    <row r="2151" customFormat="false" ht="15" hidden="false" customHeight="false" outlineLevel="0" collapsed="false">
      <c r="A2151" s="0" t="s">
        <v>1443</v>
      </c>
      <c r="B2151" s="0" t="n">
        <v>810</v>
      </c>
      <c r="C2151" s="0" t="str">
        <f aca="false">TEXT(VLOOKUP(B2151,$I$2:$J$20,2,FALSE()),"0")</f>
        <v>810</v>
      </c>
      <c r="D2151" s="47" t="n">
        <v>804</v>
      </c>
      <c r="E2151" s="47" t="n">
        <v>47436000</v>
      </c>
      <c r="F2151" s="47" t="n">
        <v>8763600</v>
      </c>
    </row>
    <row r="2152" customFormat="false" ht="15" hidden="false" customHeight="false" outlineLevel="0" collapsed="false">
      <c r="A2152" s="0" t="s">
        <v>1733</v>
      </c>
      <c r="B2152" s="0" t="n">
        <v>810</v>
      </c>
      <c r="C2152" s="0" t="str">
        <f aca="false">TEXT(VLOOKUP(B2152,$I$2:$J$20,2,FALSE()),"0")</f>
        <v>810</v>
      </c>
      <c r="D2152" s="47" t="n">
        <v>400</v>
      </c>
      <c r="E2152" s="47" t="n">
        <v>23600000</v>
      </c>
      <c r="F2152" s="47" t="n">
        <v>4920000</v>
      </c>
    </row>
    <row r="2153" customFormat="false" ht="15" hidden="false" customHeight="false" outlineLevel="0" collapsed="false">
      <c r="A2153" s="0" t="s">
        <v>704</v>
      </c>
      <c r="B2153" s="0" t="n">
        <v>100</v>
      </c>
      <c r="C2153" s="0" t="str">
        <f aca="false">TEXT(VLOOKUP(B2153,$I$2:$J$20,2,FALSE()),"0")</f>
        <v>100</v>
      </c>
      <c r="D2153" s="47" t="n">
        <v>35</v>
      </c>
      <c r="E2153" s="47" t="n">
        <v>1190000</v>
      </c>
      <c r="F2153" s="47" t="n">
        <v>301000</v>
      </c>
    </row>
    <row r="2154" customFormat="false" ht="15" hidden="false" customHeight="false" outlineLevel="0" collapsed="false">
      <c r="A2154" s="0" t="s">
        <v>704</v>
      </c>
      <c r="B2154" s="0" t="n">
        <v>300</v>
      </c>
      <c r="C2154" s="0" t="str">
        <f aca="false">TEXT(VLOOKUP(B2154,$I$2:$J$20,2,FALSE()),"0")</f>
        <v>300</v>
      </c>
      <c r="D2154" s="47" t="n">
        <v>340</v>
      </c>
      <c r="E2154" s="47" t="n">
        <v>11560000</v>
      </c>
      <c r="F2154" s="47" t="n">
        <v>2924000</v>
      </c>
    </row>
    <row r="2155" customFormat="false" ht="15" hidden="false" customHeight="false" outlineLevel="0" collapsed="false">
      <c r="A2155" s="0" t="s">
        <v>704</v>
      </c>
      <c r="B2155" s="0" t="n">
        <v>500</v>
      </c>
      <c r="C2155" s="0" t="str">
        <f aca="false">TEXT(VLOOKUP(B2155,$I$2:$J$20,2,FALSE()),"0")</f>
        <v>500</v>
      </c>
      <c r="D2155" s="47" t="n">
        <v>35</v>
      </c>
      <c r="E2155" s="47" t="n">
        <v>1190000</v>
      </c>
      <c r="F2155" s="47" t="n">
        <v>301000</v>
      </c>
    </row>
    <row r="2156" customFormat="false" ht="15" hidden="false" customHeight="false" outlineLevel="0" collapsed="false">
      <c r="A2156" s="0" t="s">
        <v>704</v>
      </c>
      <c r="B2156" s="0" t="n">
        <v>800</v>
      </c>
      <c r="C2156" s="0" t="str">
        <f aca="false">TEXT(VLOOKUP(B2156,$I$2:$J$20,2,FALSE()),"0")</f>
        <v>800</v>
      </c>
      <c r="D2156" s="47" t="n">
        <v>40</v>
      </c>
      <c r="E2156" s="47" t="n">
        <v>1360000</v>
      </c>
      <c r="F2156" s="47" t="n">
        <v>344000</v>
      </c>
    </row>
    <row r="2157" customFormat="false" ht="15" hidden="false" customHeight="false" outlineLevel="0" collapsed="false">
      <c r="A2157" s="0" t="s">
        <v>704</v>
      </c>
      <c r="B2157" s="0" t="n">
        <v>810</v>
      </c>
      <c r="C2157" s="0" t="str">
        <f aca="false">TEXT(VLOOKUP(B2157,$I$2:$J$20,2,FALSE()),"0")</f>
        <v>810</v>
      </c>
      <c r="D2157" s="47" t="n">
        <v>194</v>
      </c>
      <c r="E2157" s="47" t="n">
        <v>6596000</v>
      </c>
      <c r="F2157" s="47" t="n">
        <v>1668400</v>
      </c>
    </row>
    <row r="2158" customFormat="false" ht="15" hidden="false" customHeight="false" outlineLevel="0" collapsed="false">
      <c r="A2158" s="0" t="s">
        <v>704</v>
      </c>
      <c r="B2158" s="0" t="n">
        <v>830</v>
      </c>
      <c r="C2158" s="0" t="str">
        <f aca="false">TEXT(VLOOKUP(B2158,$I$2:$J$20,2,FALSE()),"0")</f>
        <v>830</v>
      </c>
      <c r="D2158" s="47" t="n">
        <v>2000</v>
      </c>
      <c r="E2158" s="47" t="n">
        <v>68000000</v>
      </c>
      <c r="F2158" s="47" t="n">
        <v>17200000</v>
      </c>
    </row>
    <row r="2159" customFormat="false" ht="15" hidden="false" customHeight="false" outlineLevel="0" collapsed="false">
      <c r="A2159" s="0" t="s">
        <v>1013</v>
      </c>
      <c r="B2159" s="0" t="n">
        <v>100</v>
      </c>
      <c r="C2159" s="0" t="str">
        <f aca="false">TEXT(VLOOKUP(B2159,$I$2:$J$20,2,FALSE()),"0")</f>
        <v>100</v>
      </c>
      <c r="D2159" s="47" t="n">
        <v>100</v>
      </c>
      <c r="E2159" s="47" t="n">
        <v>6900000</v>
      </c>
      <c r="F2159" s="47" t="n">
        <v>1789900</v>
      </c>
    </row>
    <row r="2160" customFormat="false" ht="15" hidden="false" customHeight="false" outlineLevel="0" collapsed="false">
      <c r="A2160" s="0" t="s">
        <v>1013</v>
      </c>
      <c r="B2160" s="0" t="n">
        <v>200</v>
      </c>
      <c r="C2160" s="0" t="str">
        <f aca="false">TEXT(VLOOKUP(B2160,$I$2:$J$20,2,FALSE()),"0")</f>
        <v>200</v>
      </c>
      <c r="D2160" s="47" t="n">
        <v>370</v>
      </c>
      <c r="E2160" s="47" t="n">
        <v>25530000</v>
      </c>
      <c r="F2160" s="47" t="n">
        <v>6622630</v>
      </c>
    </row>
    <row r="2161" customFormat="false" ht="15" hidden="false" customHeight="false" outlineLevel="0" collapsed="false">
      <c r="A2161" s="0" t="s">
        <v>1013</v>
      </c>
      <c r="B2161" s="0" t="n">
        <v>299</v>
      </c>
      <c r="C2161" s="0" t="str">
        <f aca="false">TEXT(VLOOKUP(B2161,$I$2:$J$20,2,FALSE()),"0")</f>
        <v>200</v>
      </c>
      <c r="D2161" s="47" t="n">
        <v>2</v>
      </c>
      <c r="E2161" s="47" t="n">
        <v>138000</v>
      </c>
      <c r="F2161" s="47" t="n">
        <v>35798</v>
      </c>
    </row>
    <row r="2162" customFormat="false" ht="15" hidden="false" customHeight="false" outlineLevel="0" collapsed="false">
      <c r="A2162" s="0" t="s">
        <v>1015</v>
      </c>
      <c r="B2162" s="0" t="n">
        <v>100</v>
      </c>
      <c r="C2162" s="0" t="str">
        <f aca="false">TEXT(VLOOKUP(B2162,$I$2:$J$20,2,FALSE()),"0")</f>
        <v>100</v>
      </c>
      <c r="D2162" s="47" t="n">
        <v>180</v>
      </c>
      <c r="E2162" s="47" t="n">
        <v>19620000</v>
      </c>
      <c r="F2162" s="47" t="n">
        <v>5598360</v>
      </c>
    </row>
    <row r="2163" customFormat="false" ht="15" hidden="false" customHeight="false" outlineLevel="0" collapsed="false">
      <c r="A2163" s="0" t="s">
        <v>1015</v>
      </c>
      <c r="B2163" s="0" t="n">
        <v>200</v>
      </c>
      <c r="C2163" s="0" t="str">
        <f aca="false">TEXT(VLOOKUP(B2163,$I$2:$J$20,2,FALSE()),"0")</f>
        <v>200</v>
      </c>
      <c r="D2163" s="47" t="n">
        <v>600</v>
      </c>
      <c r="E2163" s="47" t="n">
        <v>65400000</v>
      </c>
      <c r="F2163" s="47" t="n">
        <v>18661200</v>
      </c>
    </row>
    <row r="2164" customFormat="false" ht="15" hidden="false" customHeight="false" outlineLevel="0" collapsed="false">
      <c r="A2164" s="0" t="s">
        <v>1015</v>
      </c>
      <c r="B2164" s="0" t="n">
        <v>299</v>
      </c>
      <c r="C2164" s="0" t="str">
        <f aca="false">TEXT(VLOOKUP(B2164,$I$2:$J$20,2,FALSE()),"0")</f>
        <v>200</v>
      </c>
      <c r="D2164" s="47" t="n">
        <v>3</v>
      </c>
      <c r="E2164" s="47" t="n">
        <v>327000</v>
      </c>
      <c r="F2164" s="47" t="n">
        <v>93306</v>
      </c>
    </row>
    <row r="2165" customFormat="false" ht="15" hidden="false" customHeight="false" outlineLevel="0" collapsed="false">
      <c r="A2165" s="0" t="s">
        <v>1156</v>
      </c>
      <c r="B2165" s="0" t="n">
        <v>200</v>
      </c>
      <c r="C2165" s="0" t="str">
        <f aca="false">TEXT(VLOOKUP(B2165,$I$2:$J$20,2,FALSE()),"0")</f>
        <v>200</v>
      </c>
      <c r="D2165" s="47" t="n">
        <v>525</v>
      </c>
      <c r="E2165" s="47" t="n">
        <v>51975000</v>
      </c>
      <c r="F2165" s="47" t="n">
        <v>11228700</v>
      </c>
    </row>
    <row r="2166" customFormat="false" ht="15" hidden="false" customHeight="false" outlineLevel="0" collapsed="false">
      <c r="A2166" s="0" t="s">
        <v>1156</v>
      </c>
      <c r="B2166" s="0" t="n">
        <v>299</v>
      </c>
      <c r="C2166" s="0" t="str">
        <f aca="false">TEXT(VLOOKUP(B2166,$I$2:$J$20,2,FALSE()),"0")</f>
        <v>200</v>
      </c>
      <c r="D2166" s="47" t="n">
        <v>2</v>
      </c>
      <c r="E2166" s="47" t="n">
        <v>198000</v>
      </c>
      <c r="F2166" s="47" t="n">
        <v>42776</v>
      </c>
    </row>
    <row r="2167" customFormat="false" ht="15" hidden="false" customHeight="false" outlineLevel="0" collapsed="false">
      <c r="A2167" s="0" t="s">
        <v>1156</v>
      </c>
      <c r="B2167" s="0" t="n">
        <v>800</v>
      </c>
      <c r="C2167" s="0" t="str">
        <f aca="false">TEXT(VLOOKUP(B2167,$I$2:$J$20,2,FALSE()),"0")</f>
        <v>800</v>
      </c>
      <c r="D2167" s="47" t="n">
        <v>25</v>
      </c>
      <c r="E2167" s="47" t="n">
        <v>2475000</v>
      </c>
      <c r="F2167" s="47" t="n">
        <v>534700</v>
      </c>
    </row>
    <row r="2168" customFormat="false" ht="15" hidden="false" customHeight="false" outlineLevel="0" collapsed="false">
      <c r="A2168" s="0" t="s">
        <v>1158</v>
      </c>
      <c r="B2168" s="0" t="n">
        <v>200</v>
      </c>
      <c r="C2168" s="0" t="str">
        <f aca="false">TEXT(VLOOKUP(B2168,$I$2:$J$20,2,FALSE()),"0")</f>
        <v>200</v>
      </c>
      <c r="D2168" s="47" t="n">
        <v>530</v>
      </c>
      <c r="E2168" s="47" t="n">
        <v>41870000</v>
      </c>
      <c r="F2168" s="47" t="n">
        <v>9051340</v>
      </c>
    </row>
    <row r="2169" customFormat="false" ht="15" hidden="false" customHeight="false" outlineLevel="0" collapsed="false">
      <c r="A2169" s="0" t="s">
        <v>1158</v>
      </c>
      <c r="B2169" s="0" t="n">
        <v>299</v>
      </c>
      <c r="C2169" s="0" t="str">
        <f aca="false">TEXT(VLOOKUP(B2169,$I$2:$J$20,2,FALSE()),"0")</f>
        <v>200</v>
      </c>
      <c r="D2169" s="47" t="n">
        <v>3</v>
      </c>
      <c r="E2169" s="47" t="n">
        <v>237000</v>
      </c>
      <c r="F2169" s="47" t="n">
        <v>51234</v>
      </c>
    </row>
    <row r="2170" customFormat="false" ht="15" hidden="false" customHeight="false" outlineLevel="0" collapsed="false">
      <c r="A2170" s="0" t="s">
        <v>1158</v>
      </c>
      <c r="B2170" s="0" t="n">
        <v>800</v>
      </c>
      <c r="C2170" s="0" t="str">
        <f aca="false">TEXT(VLOOKUP(B2170,$I$2:$J$20,2,FALSE()),"0")</f>
        <v>800</v>
      </c>
      <c r="D2170" s="47" t="n">
        <v>100</v>
      </c>
      <c r="E2170" s="47" t="n">
        <v>7900000</v>
      </c>
      <c r="F2170" s="47" t="n">
        <v>1707800</v>
      </c>
    </row>
    <row r="2171" customFormat="false" ht="15" hidden="false" customHeight="false" outlineLevel="0" collapsed="false">
      <c r="A2171" s="0" t="s">
        <v>706</v>
      </c>
      <c r="B2171" s="0" t="n">
        <v>100</v>
      </c>
      <c r="C2171" s="0" t="str">
        <f aca="false">TEXT(VLOOKUP(B2171,$I$2:$J$20,2,FALSE()),"0")</f>
        <v>100</v>
      </c>
      <c r="D2171" s="47" t="n">
        <v>200</v>
      </c>
      <c r="E2171" s="47" t="n">
        <v>19800000</v>
      </c>
      <c r="F2171" s="47" t="n">
        <v>6027000</v>
      </c>
    </row>
    <row r="2172" customFormat="false" ht="15" hidden="false" customHeight="false" outlineLevel="0" collapsed="false">
      <c r="A2172" s="0" t="s">
        <v>706</v>
      </c>
      <c r="B2172" s="0" t="n">
        <v>200</v>
      </c>
      <c r="C2172" s="0" t="str">
        <f aca="false">TEXT(VLOOKUP(B2172,$I$2:$J$20,2,FALSE()),"0")</f>
        <v>200</v>
      </c>
      <c r="D2172" s="47" t="n">
        <v>390</v>
      </c>
      <c r="E2172" s="47" t="n">
        <v>38610000</v>
      </c>
      <c r="F2172" s="47" t="n">
        <v>11752650</v>
      </c>
    </row>
    <row r="2173" customFormat="false" ht="15" hidden="false" customHeight="false" outlineLevel="0" collapsed="false">
      <c r="A2173" s="0" t="s">
        <v>706</v>
      </c>
      <c r="B2173" s="0" t="n">
        <v>299</v>
      </c>
      <c r="C2173" s="0" t="str">
        <f aca="false">TEXT(VLOOKUP(B2173,$I$2:$J$20,2,FALSE()),"0")</f>
        <v>200</v>
      </c>
      <c r="D2173" s="47" t="n">
        <v>2</v>
      </c>
      <c r="E2173" s="47" t="n">
        <v>198000</v>
      </c>
      <c r="F2173" s="47" t="n">
        <v>60270</v>
      </c>
    </row>
    <row r="2174" customFormat="false" ht="15" hidden="false" customHeight="false" outlineLevel="0" collapsed="false">
      <c r="A2174" s="0" t="s">
        <v>706</v>
      </c>
      <c r="B2174" s="0" t="n">
        <v>300</v>
      </c>
      <c r="C2174" s="0" t="str">
        <f aca="false">TEXT(VLOOKUP(B2174,$I$2:$J$20,2,FALSE()),"0")</f>
        <v>300</v>
      </c>
      <c r="D2174" s="47" t="n">
        <v>360</v>
      </c>
      <c r="E2174" s="47" t="n">
        <v>35640000</v>
      </c>
      <c r="F2174" s="47" t="n">
        <v>10848600</v>
      </c>
    </row>
    <row r="2175" customFormat="false" ht="15" hidden="false" customHeight="false" outlineLevel="0" collapsed="false">
      <c r="A2175" s="0" t="s">
        <v>1160</v>
      </c>
      <c r="B2175" s="0" t="n">
        <v>200</v>
      </c>
      <c r="C2175" s="0" t="str">
        <f aca="false">TEXT(VLOOKUP(B2175,$I$2:$J$20,2,FALSE()),"0")</f>
        <v>200</v>
      </c>
      <c r="D2175" s="47" t="n">
        <v>595</v>
      </c>
      <c r="E2175" s="47" t="n">
        <v>58905000</v>
      </c>
      <c r="F2175" s="47" t="n">
        <v>17492405</v>
      </c>
    </row>
    <row r="2176" customFormat="false" ht="15" hidden="false" customHeight="false" outlineLevel="0" collapsed="false">
      <c r="A2176" s="0" t="s">
        <v>1160</v>
      </c>
      <c r="B2176" s="0" t="n">
        <v>299</v>
      </c>
      <c r="C2176" s="0" t="str">
        <f aca="false">TEXT(VLOOKUP(B2176,$I$2:$J$20,2,FALSE()),"0")</f>
        <v>200</v>
      </c>
      <c r="D2176" s="47" t="n">
        <v>3</v>
      </c>
      <c r="E2176" s="47" t="n">
        <v>297000</v>
      </c>
      <c r="F2176" s="47" t="n">
        <v>88197</v>
      </c>
    </row>
    <row r="2177" customFormat="false" ht="15" hidden="false" customHeight="false" outlineLevel="0" collapsed="false">
      <c r="A2177" s="0" t="s">
        <v>1382</v>
      </c>
      <c r="B2177" s="0" t="n">
        <v>600</v>
      </c>
      <c r="C2177" s="0" t="str">
        <f aca="false">TEXT(VLOOKUP(B2177,$I$2:$J$20,2,FALSE()),"0")</f>
        <v>600</v>
      </c>
      <c r="D2177" s="47" t="n">
        <v>400</v>
      </c>
      <c r="E2177" s="47" t="n">
        <v>19600000</v>
      </c>
      <c r="F2177" s="47" t="n">
        <v>3600000</v>
      </c>
    </row>
    <row r="2178" customFormat="false" ht="15" hidden="false" customHeight="false" outlineLevel="0" collapsed="false">
      <c r="A2178" s="0" t="s">
        <v>1384</v>
      </c>
      <c r="B2178" s="0" t="n">
        <v>600</v>
      </c>
      <c r="C2178" s="0" t="str">
        <f aca="false">TEXT(VLOOKUP(B2178,$I$2:$J$20,2,FALSE()),"0")</f>
        <v>600</v>
      </c>
      <c r="D2178" s="47" t="n">
        <v>400</v>
      </c>
      <c r="E2178" s="47" t="n">
        <v>19600000</v>
      </c>
      <c r="F2178" s="47" t="n">
        <v>3840000</v>
      </c>
    </row>
    <row r="2179" customFormat="false" ht="15" hidden="false" customHeight="false" outlineLevel="0" collapsed="false">
      <c r="A2179" s="0" t="s">
        <v>1162</v>
      </c>
      <c r="B2179" s="0" t="n">
        <v>200</v>
      </c>
      <c r="C2179" s="0" t="str">
        <f aca="false">TEXT(VLOOKUP(B2179,$I$2:$J$20,2,FALSE()),"0")</f>
        <v>200</v>
      </c>
      <c r="D2179" s="47" t="n">
        <v>400</v>
      </c>
      <c r="E2179" s="47" t="n">
        <v>63600000</v>
      </c>
      <c r="F2179" s="47" t="n">
        <v>20840800</v>
      </c>
    </row>
    <row r="2180" customFormat="false" ht="15" hidden="false" customHeight="false" outlineLevel="0" collapsed="false">
      <c r="A2180" s="0" t="s">
        <v>1162</v>
      </c>
      <c r="B2180" s="0" t="n">
        <v>299</v>
      </c>
      <c r="C2180" s="0" t="str">
        <f aca="false">TEXT(VLOOKUP(B2180,$I$2:$J$20,2,FALSE()),"0")</f>
        <v>200</v>
      </c>
      <c r="D2180" s="47" t="n">
        <v>2</v>
      </c>
      <c r="E2180" s="47" t="n">
        <v>318000</v>
      </c>
      <c r="F2180" s="47" t="n">
        <v>104204</v>
      </c>
    </row>
    <row r="2181" customFormat="false" ht="15" hidden="false" customHeight="false" outlineLevel="0" collapsed="false">
      <c r="A2181" s="0" t="s">
        <v>1164</v>
      </c>
      <c r="B2181" s="0" t="n">
        <v>200</v>
      </c>
      <c r="C2181" s="0" t="str">
        <f aca="false">TEXT(VLOOKUP(B2181,$I$2:$J$20,2,FALSE()),"0")</f>
        <v>200</v>
      </c>
      <c r="D2181" s="47" t="n">
        <v>340</v>
      </c>
      <c r="E2181" s="47" t="n">
        <v>60860000</v>
      </c>
      <c r="F2181" s="47" t="n">
        <v>17918000</v>
      </c>
    </row>
    <row r="2182" customFormat="false" ht="15" hidden="false" customHeight="false" outlineLevel="0" collapsed="false">
      <c r="A2182" s="0" t="s">
        <v>1164</v>
      </c>
      <c r="B2182" s="0" t="n">
        <v>299</v>
      </c>
      <c r="C2182" s="0" t="str">
        <f aca="false">TEXT(VLOOKUP(B2182,$I$2:$J$20,2,FALSE()),"0")</f>
        <v>200</v>
      </c>
      <c r="D2182" s="47" t="n">
        <v>4</v>
      </c>
      <c r="E2182" s="47" t="n">
        <v>716000</v>
      </c>
      <c r="F2182" s="47" t="n">
        <v>210800</v>
      </c>
    </row>
    <row r="2183" customFormat="false" ht="15" hidden="false" customHeight="false" outlineLevel="0" collapsed="false">
      <c r="A2183" s="0" t="s">
        <v>1166</v>
      </c>
      <c r="B2183" s="0" t="n">
        <v>200</v>
      </c>
      <c r="C2183" s="0" t="str">
        <f aca="false">TEXT(VLOOKUP(B2183,$I$2:$J$20,2,FALSE()),"0")</f>
        <v>200</v>
      </c>
      <c r="D2183" s="47" t="n">
        <v>74</v>
      </c>
      <c r="E2183" s="47" t="n">
        <v>14726000</v>
      </c>
      <c r="F2183" s="47" t="n">
        <v>4994630</v>
      </c>
    </row>
    <row r="2184" customFormat="false" ht="15" hidden="false" customHeight="false" outlineLevel="0" collapsed="false">
      <c r="A2184" s="0" t="s">
        <v>1166</v>
      </c>
      <c r="B2184" s="0" t="n">
        <v>299</v>
      </c>
      <c r="C2184" s="0" t="str">
        <f aca="false">TEXT(VLOOKUP(B2184,$I$2:$J$20,2,FALSE()),"0")</f>
        <v>200</v>
      </c>
      <c r="D2184" s="47" t="n">
        <v>1</v>
      </c>
      <c r="E2184" s="47" t="n">
        <v>199000</v>
      </c>
      <c r="F2184" s="47" t="n">
        <v>67495</v>
      </c>
    </row>
    <row r="2185" customFormat="false" ht="15" hidden="false" customHeight="false" outlineLevel="0" collapsed="false">
      <c r="A2185" s="0" t="s">
        <v>708</v>
      </c>
      <c r="B2185" s="0" t="n">
        <v>200</v>
      </c>
      <c r="C2185" s="0" t="str">
        <f aca="false">TEXT(VLOOKUP(B2185,$I$2:$J$20,2,FALSE()),"0")</f>
        <v>200</v>
      </c>
      <c r="D2185" s="47" t="n">
        <v>565</v>
      </c>
      <c r="E2185" s="47" t="n">
        <v>264985000</v>
      </c>
      <c r="F2185" s="47" t="n">
        <v>80937380</v>
      </c>
    </row>
    <row r="2186" customFormat="false" ht="15" hidden="false" customHeight="false" outlineLevel="0" collapsed="false">
      <c r="A2186" s="0" t="s">
        <v>708</v>
      </c>
      <c r="B2186" s="0" t="n">
        <v>299</v>
      </c>
      <c r="C2186" s="0" t="str">
        <f aca="false">TEXT(VLOOKUP(B2186,$I$2:$J$20,2,FALSE()),"0")</f>
        <v>200</v>
      </c>
      <c r="D2186" s="47" t="n">
        <v>12</v>
      </c>
      <c r="E2186" s="47" t="n">
        <v>5628000</v>
      </c>
      <c r="F2186" s="47" t="n">
        <v>1719024</v>
      </c>
    </row>
    <row r="2187" customFormat="false" ht="15" hidden="false" customHeight="false" outlineLevel="0" collapsed="false">
      <c r="A2187" s="0" t="s">
        <v>708</v>
      </c>
      <c r="B2187" s="0" t="n">
        <v>300</v>
      </c>
      <c r="C2187" s="0" t="str">
        <f aca="false">TEXT(VLOOKUP(B2187,$I$2:$J$20,2,FALSE()),"0")</f>
        <v>300</v>
      </c>
      <c r="D2187" s="47" t="n">
        <v>270</v>
      </c>
      <c r="E2187" s="47" t="n">
        <v>126630000</v>
      </c>
      <c r="F2187" s="47" t="n">
        <v>38678040</v>
      </c>
    </row>
    <row r="2188" customFormat="false" ht="15" hidden="false" customHeight="false" outlineLevel="0" collapsed="false">
      <c r="A2188" s="0" t="s">
        <v>708</v>
      </c>
      <c r="B2188" s="0" t="n">
        <v>600</v>
      </c>
      <c r="C2188" s="0" t="str">
        <f aca="false">TEXT(VLOOKUP(B2188,$I$2:$J$20,2,FALSE()),"0")</f>
        <v>600</v>
      </c>
      <c r="D2188" s="47" t="n">
        <v>20</v>
      </c>
      <c r="E2188" s="47" t="n">
        <v>9380000</v>
      </c>
      <c r="F2188" s="47" t="n">
        <v>2865040</v>
      </c>
    </row>
    <row r="2189" customFormat="false" ht="15" hidden="false" customHeight="false" outlineLevel="0" collapsed="false">
      <c r="A2189" s="0" t="s">
        <v>1168</v>
      </c>
      <c r="B2189" s="0" t="n">
        <v>200</v>
      </c>
      <c r="C2189" s="0" t="str">
        <f aca="false">TEXT(VLOOKUP(B2189,$I$2:$J$20,2,FALSE()),"0")</f>
        <v>200</v>
      </c>
      <c r="D2189" s="47" t="n">
        <v>170</v>
      </c>
      <c r="E2189" s="47" t="n">
        <v>35530000</v>
      </c>
      <c r="F2189" s="47" t="n">
        <v>10846000</v>
      </c>
    </row>
    <row r="2190" customFormat="false" ht="15" hidden="false" customHeight="false" outlineLevel="0" collapsed="false">
      <c r="A2190" s="0" t="s">
        <v>1168</v>
      </c>
      <c r="B2190" s="0" t="n">
        <v>299</v>
      </c>
      <c r="C2190" s="0" t="str">
        <f aca="false">TEXT(VLOOKUP(B2190,$I$2:$J$20,2,FALSE()),"0")</f>
        <v>200</v>
      </c>
      <c r="D2190" s="47" t="n">
        <v>1</v>
      </c>
      <c r="E2190" s="47" t="n">
        <v>209000</v>
      </c>
      <c r="F2190" s="47" t="n">
        <v>63800</v>
      </c>
    </row>
    <row r="2191" customFormat="false" ht="15" hidden="false" customHeight="false" outlineLevel="0" collapsed="false">
      <c r="A2191" s="0" t="s">
        <v>1168</v>
      </c>
      <c r="B2191" s="0" t="n">
        <v>600</v>
      </c>
      <c r="C2191" s="0" t="str">
        <f aca="false">TEXT(VLOOKUP(B2191,$I$2:$J$20,2,FALSE()),"0")</f>
        <v>600</v>
      </c>
      <c r="D2191" s="47" t="n">
        <v>20</v>
      </c>
      <c r="E2191" s="47" t="n">
        <v>4180000</v>
      </c>
      <c r="F2191" s="47" t="n">
        <v>1276000</v>
      </c>
    </row>
    <row r="2192" customFormat="false" ht="15" hidden="false" customHeight="false" outlineLevel="0" collapsed="false">
      <c r="A2192" s="0" t="s">
        <v>1170</v>
      </c>
      <c r="B2192" s="0" t="n">
        <v>200</v>
      </c>
      <c r="C2192" s="0" t="str">
        <f aca="false">TEXT(VLOOKUP(B2192,$I$2:$J$20,2,FALSE()),"0")</f>
        <v>200</v>
      </c>
      <c r="D2192" s="47" t="n">
        <v>340</v>
      </c>
      <c r="E2192" s="47" t="n">
        <v>60860000</v>
      </c>
      <c r="F2192" s="47" t="n">
        <v>17238340</v>
      </c>
    </row>
    <row r="2193" customFormat="false" ht="15" hidden="false" customHeight="false" outlineLevel="0" collapsed="false">
      <c r="A2193" s="0" t="s">
        <v>1170</v>
      </c>
      <c r="B2193" s="0" t="n">
        <v>299</v>
      </c>
      <c r="C2193" s="0" t="str">
        <f aca="false">TEXT(VLOOKUP(B2193,$I$2:$J$20,2,FALSE()),"0")</f>
        <v>200</v>
      </c>
      <c r="D2193" s="47" t="n">
        <v>2</v>
      </c>
      <c r="E2193" s="47" t="n">
        <v>358000</v>
      </c>
      <c r="F2193" s="47" t="n">
        <v>101402</v>
      </c>
    </row>
    <row r="2194" customFormat="false" ht="15" hidden="false" customHeight="false" outlineLevel="0" collapsed="false">
      <c r="A2194" s="0" t="s">
        <v>1172</v>
      </c>
      <c r="B2194" s="0" t="n">
        <v>200</v>
      </c>
      <c r="C2194" s="0" t="str">
        <f aca="false">TEXT(VLOOKUP(B2194,$I$2:$J$20,2,FALSE()),"0")</f>
        <v>200</v>
      </c>
      <c r="D2194" s="47" t="n">
        <v>150</v>
      </c>
      <c r="E2194" s="47" t="n">
        <v>20850000</v>
      </c>
      <c r="F2194" s="47" t="n">
        <v>6705000</v>
      </c>
    </row>
    <row r="2195" customFormat="false" ht="15" hidden="false" customHeight="false" outlineLevel="0" collapsed="false">
      <c r="A2195" s="0" t="s">
        <v>1172</v>
      </c>
      <c r="B2195" s="0" t="n">
        <v>299</v>
      </c>
      <c r="C2195" s="0" t="str">
        <f aca="false">TEXT(VLOOKUP(B2195,$I$2:$J$20,2,FALSE()),"0")</f>
        <v>200</v>
      </c>
      <c r="D2195" s="47" t="n">
        <v>1</v>
      </c>
      <c r="E2195" s="47" t="n">
        <v>139000</v>
      </c>
      <c r="F2195" s="47" t="n">
        <v>44700</v>
      </c>
    </row>
    <row r="2196" customFormat="false" ht="15" hidden="false" customHeight="false" outlineLevel="0" collapsed="false">
      <c r="A2196" s="0" t="s">
        <v>1172</v>
      </c>
      <c r="B2196" s="0" t="n">
        <v>600</v>
      </c>
      <c r="C2196" s="0" t="str">
        <f aca="false">TEXT(VLOOKUP(B2196,$I$2:$J$20,2,FALSE()),"0")</f>
        <v>600</v>
      </c>
      <c r="D2196" s="47" t="n">
        <v>35</v>
      </c>
      <c r="E2196" s="47" t="n">
        <v>4865000</v>
      </c>
      <c r="F2196" s="47" t="n">
        <v>1564500</v>
      </c>
    </row>
    <row r="2197" customFormat="false" ht="15" hidden="false" customHeight="false" outlineLevel="0" collapsed="false">
      <c r="A2197" s="0" t="s">
        <v>1174</v>
      </c>
      <c r="B2197" s="0" t="n">
        <v>200</v>
      </c>
      <c r="C2197" s="0" t="str">
        <f aca="false">TEXT(VLOOKUP(B2197,$I$2:$J$20,2,FALSE()),"0")</f>
        <v>200</v>
      </c>
      <c r="D2197" s="47" t="n">
        <v>410</v>
      </c>
      <c r="E2197" s="47" t="n">
        <v>32390000</v>
      </c>
      <c r="F2197" s="47" t="n">
        <v>8614100</v>
      </c>
    </row>
    <row r="2198" customFormat="false" ht="15" hidden="false" customHeight="false" outlineLevel="0" collapsed="false">
      <c r="A2198" s="0" t="s">
        <v>1174</v>
      </c>
      <c r="B2198" s="0" t="n">
        <v>299</v>
      </c>
      <c r="C2198" s="0" t="str">
        <f aca="false">TEXT(VLOOKUP(B2198,$I$2:$J$20,2,FALSE()),"0")</f>
        <v>200</v>
      </c>
      <c r="D2198" s="47" t="n">
        <v>2</v>
      </c>
      <c r="E2198" s="47" t="n">
        <v>158000</v>
      </c>
      <c r="F2198" s="47" t="n">
        <v>42020</v>
      </c>
    </row>
    <row r="2199" customFormat="false" ht="15" hidden="false" customHeight="false" outlineLevel="0" collapsed="false">
      <c r="A2199" s="0" t="s">
        <v>710</v>
      </c>
      <c r="B2199" s="0" t="n">
        <v>300</v>
      </c>
      <c r="C2199" s="0" t="str">
        <f aca="false">TEXT(VLOOKUP(B2199,$I$2:$J$20,2,FALSE()),"0")</f>
        <v>300</v>
      </c>
      <c r="D2199" s="47" t="n">
        <v>400</v>
      </c>
      <c r="E2199" s="47" t="n">
        <v>47600000</v>
      </c>
      <c r="F2199" s="47" t="n">
        <v>12840000</v>
      </c>
    </row>
    <row r="2200" customFormat="false" ht="15" hidden="false" customHeight="false" outlineLevel="0" collapsed="false">
      <c r="A2200" s="0" t="s">
        <v>712</v>
      </c>
      <c r="B2200" s="0" t="n">
        <v>300</v>
      </c>
      <c r="C2200" s="0" t="str">
        <f aca="false">TEXT(VLOOKUP(B2200,$I$2:$J$20,2,FALSE()),"0")</f>
        <v>300</v>
      </c>
      <c r="D2200" s="47" t="n">
        <v>400</v>
      </c>
      <c r="E2200" s="47" t="n">
        <v>47600000</v>
      </c>
      <c r="F2200" s="47" t="n">
        <v>11640000</v>
      </c>
    </row>
    <row r="2201" customFormat="false" ht="15" hidden="false" customHeight="false" outlineLevel="0" collapsed="false">
      <c r="A2201" s="0" t="s">
        <v>1734</v>
      </c>
      <c r="B2201" s="0" t="n">
        <v>600</v>
      </c>
      <c r="C2201" s="0" t="str">
        <f aca="false">TEXT(VLOOKUP(B2201,$I$2:$J$20,2,FALSE()),"0")</f>
        <v>600</v>
      </c>
      <c r="D2201" s="47" t="n">
        <v>125</v>
      </c>
      <c r="E2201" s="47" t="n">
        <v>11125000</v>
      </c>
      <c r="F2201" s="47" t="n">
        <v>3237500</v>
      </c>
    </row>
    <row r="2202" customFormat="false" ht="15" hidden="false" customHeight="false" outlineLevel="0" collapsed="false">
      <c r="A2202" s="0" t="s">
        <v>1734</v>
      </c>
      <c r="B2202" s="0" t="n">
        <v>700</v>
      </c>
      <c r="C2202" s="0" t="str">
        <f aca="false">TEXT(VLOOKUP(B2202,$I$2:$J$20,2,FALSE()),"0")</f>
        <v>700</v>
      </c>
      <c r="D2202" s="47" t="n">
        <v>1800</v>
      </c>
      <c r="E2202" s="47" t="n">
        <v>160200000</v>
      </c>
      <c r="F2202" s="47" t="n">
        <v>46620000</v>
      </c>
    </row>
    <row r="2203" customFormat="false" ht="15" hidden="false" customHeight="false" outlineLevel="0" collapsed="false">
      <c r="A2203" s="0" t="s">
        <v>714</v>
      </c>
      <c r="B2203" s="0" t="n">
        <v>300</v>
      </c>
      <c r="C2203" s="0" t="str">
        <f aca="false">TEXT(VLOOKUP(B2203,$I$2:$J$20,2,FALSE()),"0")</f>
        <v>300</v>
      </c>
      <c r="D2203" s="47" t="n">
        <v>800</v>
      </c>
      <c r="E2203" s="47" t="n">
        <v>79200000</v>
      </c>
      <c r="F2203" s="47" t="n">
        <v>18400000</v>
      </c>
    </row>
    <row r="2204" customFormat="false" ht="15" hidden="false" customHeight="false" outlineLevel="0" collapsed="false">
      <c r="A2204" s="0" t="s">
        <v>716</v>
      </c>
      <c r="B2204" s="0" t="n">
        <v>300</v>
      </c>
      <c r="C2204" s="0" t="str">
        <f aca="false">TEXT(VLOOKUP(B2204,$I$2:$J$20,2,FALSE()),"0")</f>
        <v>300</v>
      </c>
      <c r="D2204" s="47" t="n">
        <v>800</v>
      </c>
      <c r="E2204" s="47" t="n">
        <v>79200000</v>
      </c>
      <c r="F2204" s="47" t="n">
        <v>19600000</v>
      </c>
    </row>
    <row r="2205" customFormat="false" ht="15" hidden="false" customHeight="false" outlineLevel="0" collapsed="false">
      <c r="A2205" s="0" t="s">
        <v>718</v>
      </c>
      <c r="B2205" s="0" t="n">
        <v>300</v>
      </c>
      <c r="C2205" s="0" t="str">
        <f aca="false">TEXT(VLOOKUP(B2205,$I$2:$J$20,2,FALSE()),"0")</f>
        <v>300</v>
      </c>
      <c r="D2205" s="47" t="n">
        <v>400</v>
      </c>
      <c r="E2205" s="47" t="n">
        <v>27600000</v>
      </c>
      <c r="F2205" s="47" t="n">
        <v>6200000</v>
      </c>
    </row>
    <row r="2206" customFormat="false" ht="15" hidden="false" customHeight="false" outlineLevel="0" collapsed="false">
      <c r="A2206" s="0" t="s">
        <v>720</v>
      </c>
      <c r="B2206" s="0" t="n">
        <v>300</v>
      </c>
      <c r="C2206" s="0" t="str">
        <f aca="false">TEXT(VLOOKUP(B2206,$I$2:$J$20,2,FALSE()),"0")</f>
        <v>300</v>
      </c>
      <c r="D2206" s="47" t="n">
        <v>400</v>
      </c>
      <c r="E2206" s="47" t="n">
        <v>27600000</v>
      </c>
      <c r="F2206" s="47" t="n">
        <v>6880000</v>
      </c>
    </row>
    <row r="2207" customFormat="false" ht="15" hidden="false" customHeight="false" outlineLevel="0" collapsed="false">
      <c r="A2207" s="0" t="s">
        <v>722</v>
      </c>
      <c r="B2207" s="0" t="n">
        <v>300</v>
      </c>
      <c r="C2207" s="0" t="str">
        <f aca="false">TEXT(VLOOKUP(B2207,$I$2:$J$20,2,FALSE()),"0")</f>
        <v>300</v>
      </c>
      <c r="D2207" s="47" t="n">
        <v>400</v>
      </c>
      <c r="E2207" s="47" t="n">
        <v>27600000</v>
      </c>
      <c r="F2207" s="47" t="n">
        <v>6280000</v>
      </c>
    </row>
    <row r="2208" customFormat="false" ht="15" hidden="false" customHeight="false" outlineLevel="0" collapsed="false">
      <c r="A2208" s="0" t="s">
        <v>724</v>
      </c>
      <c r="B2208" s="0" t="n">
        <v>300</v>
      </c>
      <c r="C2208" s="0" t="str">
        <f aca="false">TEXT(VLOOKUP(B2208,$I$2:$J$20,2,FALSE()),"0")</f>
        <v>300</v>
      </c>
      <c r="D2208" s="47" t="n">
        <v>400</v>
      </c>
      <c r="E2208" s="47" t="n">
        <v>23600000</v>
      </c>
      <c r="F2208" s="47" t="n">
        <v>4960000</v>
      </c>
    </row>
    <row r="2209" customFormat="false" ht="15" hidden="false" customHeight="false" outlineLevel="0" collapsed="false">
      <c r="A2209" s="0" t="s">
        <v>726</v>
      </c>
      <c r="B2209" s="0" t="n">
        <v>300</v>
      </c>
      <c r="C2209" s="0" t="str">
        <f aca="false">TEXT(VLOOKUP(B2209,$I$2:$J$20,2,FALSE()),"0")</f>
        <v>300</v>
      </c>
      <c r="D2209" s="47" t="n">
        <v>400</v>
      </c>
      <c r="E2209" s="47" t="n">
        <v>27600000</v>
      </c>
      <c r="F2209" s="47" t="n">
        <v>6600000</v>
      </c>
    </row>
    <row r="2210" customFormat="false" ht="15" hidden="false" customHeight="false" outlineLevel="0" collapsed="false">
      <c r="A2210" s="0" t="s">
        <v>728</v>
      </c>
      <c r="B2210" s="0" t="n">
        <v>300</v>
      </c>
      <c r="C2210" s="0" t="str">
        <f aca="false">TEXT(VLOOKUP(B2210,$I$2:$J$20,2,FALSE()),"0")</f>
        <v>300</v>
      </c>
      <c r="D2210" s="47" t="n">
        <v>400</v>
      </c>
      <c r="E2210" s="47" t="n">
        <v>23600000</v>
      </c>
      <c r="F2210" s="47" t="n">
        <v>4960000</v>
      </c>
    </row>
    <row r="2211" customFormat="false" ht="15" hidden="false" customHeight="false" outlineLevel="0" collapsed="false">
      <c r="A2211" s="0" t="s">
        <v>1386</v>
      </c>
      <c r="B2211" s="0" t="n">
        <v>600</v>
      </c>
      <c r="C2211" s="0" t="str">
        <f aca="false">TEXT(VLOOKUP(B2211,$I$2:$J$20,2,FALSE()),"0")</f>
        <v>600</v>
      </c>
      <c r="D2211" s="47" t="n">
        <v>400</v>
      </c>
      <c r="E2211" s="47" t="n">
        <v>27600000</v>
      </c>
      <c r="F2211" s="47" t="n">
        <v>6280000</v>
      </c>
    </row>
    <row r="2212" customFormat="false" ht="15" hidden="false" customHeight="false" outlineLevel="0" collapsed="false">
      <c r="A2212" s="0" t="s">
        <v>1386</v>
      </c>
      <c r="B2212" s="0" t="n">
        <v>699</v>
      </c>
      <c r="C2212" s="0" t="str">
        <f aca="false">TEXT(VLOOKUP(B2212,$I$2:$J$20,2,FALSE()),"0")</f>
        <v>600</v>
      </c>
      <c r="D2212" s="47" t="n">
        <v>1</v>
      </c>
      <c r="E2212" s="47" t="n">
        <v>69000</v>
      </c>
      <c r="F2212" s="47" t="n">
        <v>15700</v>
      </c>
    </row>
    <row r="2213" customFormat="false" ht="15" hidden="false" customHeight="false" outlineLevel="0" collapsed="false">
      <c r="A2213" s="0" t="s">
        <v>1388</v>
      </c>
      <c r="B2213" s="0" t="n">
        <v>600</v>
      </c>
      <c r="C2213" s="0" t="str">
        <f aca="false">TEXT(VLOOKUP(B2213,$I$2:$J$20,2,FALSE()),"0")</f>
        <v>600</v>
      </c>
      <c r="D2213" s="47" t="n">
        <v>400</v>
      </c>
      <c r="E2213" s="47" t="n">
        <v>27600000</v>
      </c>
      <c r="F2213" s="47" t="n">
        <v>6441200</v>
      </c>
    </row>
    <row r="2214" customFormat="false" ht="15" hidden="false" customHeight="false" outlineLevel="0" collapsed="false">
      <c r="A2214" s="0" t="s">
        <v>1388</v>
      </c>
      <c r="B2214" s="0" t="n">
        <v>699</v>
      </c>
      <c r="C2214" s="0" t="str">
        <f aca="false">TEXT(VLOOKUP(B2214,$I$2:$J$20,2,FALSE()),"0")</f>
        <v>600</v>
      </c>
      <c r="D2214" s="47" t="n">
        <v>1</v>
      </c>
      <c r="E2214" s="47" t="n">
        <v>69000</v>
      </c>
      <c r="F2214" s="47" t="n">
        <v>16103</v>
      </c>
    </row>
    <row r="2215" customFormat="false" ht="15" hidden="false" customHeight="false" outlineLevel="0" collapsed="false">
      <c r="A2215" s="0" t="s">
        <v>1390</v>
      </c>
      <c r="B2215" s="0" t="n">
        <v>600</v>
      </c>
      <c r="C2215" s="0" t="str">
        <f aca="false">TEXT(VLOOKUP(B2215,$I$2:$J$20,2,FALSE()),"0")</f>
        <v>600</v>
      </c>
      <c r="D2215" s="47" t="n">
        <v>400</v>
      </c>
      <c r="E2215" s="47" t="n">
        <v>27600000</v>
      </c>
      <c r="F2215" s="47" t="n">
        <v>6400400</v>
      </c>
    </row>
    <row r="2216" customFormat="false" ht="15" hidden="false" customHeight="false" outlineLevel="0" collapsed="false">
      <c r="A2216" s="0" t="s">
        <v>1390</v>
      </c>
      <c r="B2216" s="0" t="n">
        <v>699</v>
      </c>
      <c r="C2216" s="0" t="str">
        <f aca="false">TEXT(VLOOKUP(B2216,$I$2:$J$20,2,FALSE()),"0")</f>
        <v>600</v>
      </c>
      <c r="D2216" s="47" t="n">
        <v>1</v>
      </c>
      <c r="E2216" s="47" t="n">
        <v>69000</v>
      </c>
      <c r="F2216" s="47" t="n">
        <v>16001</v>
      </c>
    </row>
    <row r="2217" customFormat="false" ht="15" hidden="false" customHeight="false" outlineLevel="0" collapsed="false">
      <c r="A2217" s="0" t="s">
        <v>1392</v>
      </c>
      <c r="B2217" s="0" t="n">
        <v>600</v>
      </c>
      <c r="C2217" s="0" t="str">
        <f aca="false">TEXT(VLOOKUP(B2217,$I$2:$J$20,2,FALSE()),"0")</f>
        <v>600</v>
      </c>
      <c r="D2217" s="47" t="n">
        <v>400</v>
      </c>
      <c r="E2217" s="47" t="n">
        <v>27600000</v>
      </c>
      <c r="F2217" s="47" t="n">
        <v>5322400</v>
      </c>
    </row>
    <row r="2218" customFormat="false" ht="15" hidden="false" customHeight="false" outlineLevel="0" collapsed="false">
      <c r="A2218" s="0" t="s">
        <v>1392</v>
      </c>
      <c r="B2218" s="0" t="n">
        <v>699</v>
      </c>
      <c r="C2218" s="0" t="str">
        <f aca="false">TEXT(VLOOKUP(B2218,$I$2:$J$20,2,FALSE()),"0")</f>
        <v>600</v>
      </c>
      <c r="D2218" s="47" t="n">
        <v>1</v>
      </c>
      <c r="E2218" s="47" t="n">
        <v>69000</v>
      </c>
      <c r="F2218" s="47" t="n">
        <v>13306</v>
      </c>
    </row>
    <row r="2219" customFormat="false" ht="15" hidden="false" customHeight="false" outlineLevel="0" collapsed="false">
      <c r="A2219" s="0" t="s">
        <v>1735</v>
      </c>
      <c r="B2219" s="0" t="n">
        <v>700</v>
      </c>
      <c r="C2219" s="0" t="str">
        <f aca="false">TEXT(VLOOKUP(B2219,$I$2:$J$20,2,FALSE()),"0")</f>
        <v>700</v>
      </c>
      <c r="D2219" s="47" t="n">
        <v>1250</v>
      </c>
      <c r="E2219" s="47" t="n">
        <v>56250000</v>
      </c>
      <c r="F2219" s="47" t="n">
        <v>16875000</v>
      </c>
    </row>
    <row r="2220" customFormat="false" ht="15" hidden="false" customHeight="false" outlineLevel="0" collapsed="false">
      <c r="A2220" s="0" t="s">
        <v>1736</v>
      </c>
      <c r="B2220" s="0" t="n">
        <v>600</v>
      </c>
      <c r="C2220" s="0" t="str">
        <f aca="false">TEXT(VLOOKUP(B2220,$I$2:$J$20,2,FALSE()),"0")</f>
        <v>600</v>
      </c>
      <c r="D2220" s="47" t="n">
        <v>290</v>
      </c>
      <c r="E2220" s="47" t="n">
        <v>13050000</v>
      </c>
      <c r="F2220" s="47" t="n">
        <v>3596000</v>
      </c>
    </row>
    <row r="2221" customFormat="false" ht="15" hidden="false" customHeight="false" outlineLevel="0" collapsed="false">
      <c r="A2221" s="0" t="s">
        <v>1736</v>
      </c>
      <c r="B2221" s="0" t="n">
        <v>700</v>
      </c>
      <c r="C2221" s="0" t="str">
        <f aca="false">TEXT(VLOOKUP(B2221,$I$2:$J$20,2,FALSE()),"0")</f>
        <v>700</v>
      </c>
      <c r="D2221" s="47" t="n">
        <v>1250</v>
      </c>
      <c r="E2221" s="47" t="n">
        <v>56250000</v>
      </c>
      <c r="F2221" s="47" t="n">
        <v>15500000</v>
      </c>
    </row>
    <row r="2222" customFormat="false" ht="15" hidden="false" customHeight="false" outlineLevel="0" collapsed="false">
      <c r="A2222" s="0" t="s">
        <v>730</v>
      </c>
      <c r="B2222" s="0" t="n">
        <v>200</v>
      </c>
      <c r="C2222" s="0" t="str">
        <f aca="false">TEXT(VLOOKUP(B2222,$I$2:$J$20,2,FALSE()),"0")</f>
        <v>200</v>
      </c>
      <c r="D2222" s="47" t="n">
        <v>300</v>
      </c>
      <c r="E2222" s="47" t="n">
        <v>32700000</v>
      </c>
      <c r="F2222" s="47" t="n">
        <v>9718800</v>
      </c>
    </row>
    <row r="2223" customFormat="false" ht="15" hidden="false" customHeight="false" outlineLevel="0" collapsed="false">
      <c r="A2223" s="0" t="s">
        <v>730</v>
      </c>
      <c r="B2223" s="0" t="n">
        <v>299</v>
      </c>
      <c r="C2223" s="0" t="str">
        <f aca="false">TEXT(VLOOKUP(B2223,$I$2:$J$20,2,FALSE()),"0")</f>
        <v>200</v>
      </c>
      <c r="D2223" s="47" t="n">
        <v>5</v>
      </c>
      <c r="E2223" s="47" t="n">
        <v>545000</v>
      </c>
      <c r="F2223" s="47" t="n">
        <v>161980</v>
      </c>
    </row>
    <row r="2224" customFormat="false" ht="15" hidden="false" customHeight="false" outlineLevel="0" collapsed="false">
      <c r="A2224" s="0" t="s">
        <v>730</v>
      </c>
      <c r="B2224" s="0" t="n">
        <v>300</v>
      </c>
      <c r="C2224" s="0" t="str">
        <f aca="false">TEXT(VLOOKUP(B2224,$I$2:$J$20,2,FALSE()),"0")</f>
        <v>300</v>
      </c>
      <c r="D2224" s="47" t="n">
        <v>200</v>
      </c>
      <c r="E2224" s="47" t="n">
        <v>21800000</v>
      </c>
      <c r="F2224" s="47" t="n">
        <v>6479200</v>
      </c>
    </row>
    <row r="2225" customFormat="false" ht="15" hidden="false" customHeight="false" outlineLevel="0" collapsed="false">
      <c r="A2225" s="0" t="s">
        <v>730</v>
      </c>
      <c r="B2225" s="0" t="n">
        <v>600</v>
      </c>
      <c r="C2225" s="0" t="str">
        <f aca="false">TEXT(VLOOKUP(B2225,$I$2:$J$20,2,FALSE()),"0")</f>
        <v>600</v>
      </c>
      <c r="D2225" s="47" t="n">
        <v>20</v>
      </c>
      <c r="E2225" s="47" t="n">
        <v>2180000</v>
      </c>
      <c r="F2225" s="47" t="n">
        <v>647920</v>
      </c>
    </row>
    <row r="2226" customFormat="false" ht="15" hidden="false" customHeight="false" outlineLevel="0" collapsed="false">
      <c r="A2226" s="0" t="s">
        <v>732</v>
      </c>
      <c r="B2226" s="0" t="n">
        <v>200</v>
      </c>
      <c r="C2226" s="0" t="str">
        <f aca="false">TEXT(VLOOKUP(B2226,$I$2:$J$20,2,FALSE()),"0")</f>
        <v>200</v>
      </c>
      <c r="D2226" s="47" t="n">
        <v>330</v>
      </c>
      <c r="E2226" s="47" t="n">
        <v>154770000</v>
      </c>
      <c r="F2226" s="47" t="n">
        <v>42683190</v>
      </c>
    </row>
    <row r="2227" customFormat="false" ht="15" hidden="false" customHeight="false" outlineLevel="0" collapsed="false">
      <c r="A2227" s="0" t="s">
        <v>732</v>
      </c>
      <c r="B2227" s="0" t="n">
        <v>299</v>
      </c>
      <c r="C2227" s="0" t="str">
        <f aca="false">TEXT(VLOOKUP(B2227,$I$2:$J$20,2,FALSE()),"0")</f>
        <v>200</v>
      </c>
      <c r="D2227" s="47" t="n">
        <v>11</v>
      </c>
      <c r="E2227" s="47" t="n">
        <v>5159000</v>
      </c>
      <c r="F2227" s="47" t="n">
        <v>1422773</v>
      </c>
    </row>
    <row r="2228" customFormat="false" ht="15" hidden="false" customHeight="false" outlineLevel="0" collapsed="false">
      <c r="A2228" s="0" t="s">
        <v>732</v>
      </c>
      <c r="B2228" s="0" t="n">
        <v>300</v>
      </c>
      <c r="C2228" s="0" t="str">
        <f aca="false">TEXT(VLOOKUP(B2228,$I$2:$J$20,2,FALSE()),"0")</f>
        <v>300</v>
      </c>
      <c r="D2228" s="47" t="n">
        <v>200</v>
      </c>
      <c r="E2228" s="47" t="n">
        <v>93800000</v>
      </c>
      <c r="F2228" s="47" t="n">
        <v>25868600</v>
      </c>
    </row>
    <row r="2229" customFormat="false" ht="15" hidden="false" customHeight="false" outlineLevel="0" collapsed="false">
      <c r="A2229" s="0" t="s">
        <v>1176</v>
      </c>
      <c r="B2229" s="0" t="n">
        <v>200</v>
      </c>
      <c r="C2229" s="0" t="str">
        <f aca="false">TEXT(VLOOKUP(B2229,$I$2:$J$20,2,FALSE()),"0")</f>
        <v>200</v>
      </c>
      <c r="D2229" s="47" t="n">
        <v>290</v>
      </c>
      <c r="E2229" s="47" t="n">
        <v>63510000</v>
      </c>
      <c r="F2229" s="47" t="n">
        <v>20435720</v>
      </c>
    </row>
    <row r="2230" customFormat="false" ht="15" hidden="false" customHeight="false" outlineLevel="0" collapsed="false">
      <c r="A2230" s="0" t="s">
        <v>1176</v>
      </c>
      <c r="B2230" s="0" t="n">
        <v>299</v>
      </c>
      <c r="C2230" s="0" t="str">
        <f aca="false">TEXT(VLOOKUP(B2230,$I$2:$J$20,2,FALSE()),"0")</f>
        <v>200</v>
      </c>
      <c r="D2230" s="47" t="n">
        <v>2</v>
      </c>
      <c r="E2230" s="47" t="n">
        <v>438000</v>
      </c>
      <c r="F2230" s="47" t="n">
        <v>140936</v>
      </c>
    </row>
    <row r="2231" customFormat="false" ht="15" hidden="false" customHeight="false" outlineLevel="0" collapsed="false">
      <c r="A2231" s="0" t="s">
        <v>1737</v>
      </c>
      <c r="B2231" s="0" t="n">
        <v>300</v>
      </c>
      <c r="C2231" s="0" t="str">
        <f aca="false">TEXT(VLOOKUP(B2231,$I$2:$J$20,2,FALSE()),"0")</f>
        <v>300</v>
      </c>
      <c r="D2231" s="47" t="n">
        <v>280</v>
      </c>
      <c r="E2231" s="47" t="n">
        <v>111720000</v>
      </c>
      <c r="F2231" s="47" t="n">
        <v>0</v>
      </c>
    </row>
    <row r="2232" customFormat="false" ht="15" hidden="false" customHeight="false" outlineLevel="0" collapsed="false">
      <c r="A2232" s="0" t="s">
        <v>1017</v>
      </c>
      <c r="B2232" s="0" t="n">
        <v>100</v>
      </c>
      <c r="C2232" s="0" t="str">
        <f aca="false">TEXT(VLOOKUP(B2232,$I$2:$J$20,2,FALSE()),"0")</f>
        <v>100</v>
      </c>
      <c r="D2232" s="47" t="n">
        <v>240</v>
      </c>
      <c r="E2232" s="47" t="n">
        <v>76560000</v>
      </c>
      <c r="F2232" s="47" t="n">
        <v>17254560</v>
      </c>
    </row>
    <row r="2233" customFormat="false" ht="15" hidden="false" customHeight="false" outlineLevel="0" collapsed="false">
      <c r="A2233" s="0" t="s">
        <v>1017</v>
      </c>
      <c r="B2233" s="0" t="n">
        <v>200</v>
      </c>
      <c r="C2233" s="0" t="str">
        <f aca="false">TEXT(VLOOKUP(B2233,$I$2:$J$20,2,FALSE()),"0")</f>
        <v>200</v>
      </c>
      <c r="D2233" s="47" t="n">
        <v>90</v>
      </c>
      <c r="E2233" s="47" t="n">
        <v>28710000</v>
      </c>
      <c r="F2233" s="47" t="n">
        <v>6470460</v>
      </c>
    </row>
    <row r="2234" customFormat="false" ht="15" hidden="false" customHeight="false" outlineLevel="0" collapsed="false">
      <c r="A2234" s="0" t="s">
        <v>1017</v>
      </c>
      <c r="B2234" s="0" t="n">
        <v>299</v>
      </c>
      <c r="C2234" s="0" t="str">
        <f aca="false">TEXT(VLOOKUP(B2234,$I$2:$J$20,2,FALSE()),"0")</f>
        <v>200</v>
      </c>
      <c r="D2234" s="47" t="n">
        <v>1</v>
      </c>
      <c r="E2234" s="47" t="n">
        <v>319000</v>
      </c>
      <c r="F2234" s="47" t="n">
        <v>71894</v>
      </c>
    </row>
    <row r="2235" customFormat="false" ht="15" hidden="false" customHeight="false" outlineLevel="0" collapsed="false">
      <c r="A2235" s="0" t="s">
        <v>734</v>
      </c>
      <c r="B2235" s="0" t="n">
        <v>100</v>
      </c>
      <c r="C2235" s="0" t="str">
        <f aca="false">TEXT(VLOOKUP(B2235,$I$2:$J$20,2,FALSE()),"0")</f>
        <v>100</v>
      </c>
      <c r="D2235" s="47" t="n">
        <v>240</v>
      </c>
      <c r="E2235" s="47" t="n">
        <v>47760000</v>
      </c>
      <c r="F2235" s="47" t="n">
        <v>12310800</v>
      </c>
    </row>
    <row r="2236" customFormat="false" ht="15" hidden="false" customHeight="false" outlineLevel="0" collapsed="false">
      <c r="A2236" s="0" t="s">
        <v>734</v>
      </c>
      <c r="B2236" s="0" t="n">
        <v>200</v>
      </c>
      <c r="C2236" s="0" t="str">
        <f aca="false">TEXT(VLOOKUP(B2236,$I$2:$J$20,2,FALSE()),"0")</f>
        <v>200</v>
      </c>
      <c r="D2236" s="47" t="n">
        <v>410</v>
      </c>
      <c r="E2236" s="47" t="n">
        <v>81590000</v>
      </c>
      <c r="F2236" s="47" t="n">
        <v>21030950</v>
      </c>
    </row>
    <row r="2237" customFormat="false" ht="15" hidden="false" customHeight="false" outlineLevel="0" collapsed="false">
      <c r="A2237" s="0" t="s">
        <v>734</v>
      </c>
      <c r="B2237" s="0" t="n">
        <v>299</v>
      </c>
      <c r="C2237" s="0" t="str">
        <f aca="false">TEXT(VLOOKUP(B2237,$I$2:$J$20,2,FALSE()),"0")</f>
        <v>200</v>
      </c>
      <c r="D2237" s="47" t="n">
        <v>11</v>
      </c>
      <c r="E2237" s="47" t="n">
        <v>2189000</v>
      </c>
      <c r="F2237" s="47" t="n">
        <v>564245</v>
      </c>
    </row>
    <row r="2238" customFormat="false" ht="15" hidden="false" customHeight="false" outlineLevel="0" collapsed="false">
      <c r="A2238" s="0" t="s">
        <v>734</v>
      </c>
      <c r="B2238" s="0" t="n">
        <v>300</v>
      </c>
      <c r="C2238" s="0" t="str">
        <f aca="false">TEXT(VLOOKUP(B2238,$I$2:$J$20,2,FALSE()),"0")</f>
        <v>300</v>
      </c>
      <c r="D2238" s="47" t="n">
        <v>280</v>
      </c>
      <c r="E2238" s="47" t="n">
        <v>55720000</v>
      </c>
      <c r="F2238" s="47" t="n">
        <v>14362600</v>
      </c>
    </row>
    <row r="2239" customFormat="false" ht="15" hidden="false" customHeight="false" outlineLevel="0" collapsed="false">
      <c r="A2239" s="0" t="s">
        <v>734</v>
      </c>
      <c r="B2239" s="0" t="n">
        <v>600</v>
      </c>
      <c r="C2239" s="0" t="str">
        <f aca="false">TEXT(VLOOKUP(B2239,$I$2:$J$20,2,FALSE()),"0")</f>
        <v>600</v>
      </c>
      <c r="D2239" s="47" t="n">
        <v>30</v>
      </c>
      <c r="E2239" s="47" t="n">
        <v>5970000</v>
      </c>
      <c r="F2239" s="47" t="n">
        <v>1538850</v>
      </c>
    </row>
    <row r="2240" customFormat="false" ht="15" hidden="false" customHeight="false" outlineLevel="0" collapsed="false">
      <c r="A2240" s="0" t="s">
        <v>1178</v>
      </c>
      <c r="B2240" s="0" t="n">
        <v>200</v>
      </c>
      <c r="C2240" s="0" t="str">
        <f aca="false">TEXT(VLOOKUP(B2240,$I$2:$J$20,2,FALSE()),"0")</f>
        <v>200</v>
      </c>
      <c r="D2240" s="47" t="n">
        <v>300</v>
      </c>
      <c r="E2240" s="47" t="n">
        <v>59700000</v>
      </c>
      <c r="F2240" s="47" t="n">
        <v>16257300</v>
      </c>
    </row>
    <row r="2241" customFormat="false" ht="15" hidden="false" customHeight="false" outlineLevel="0" collapsed="false">
      <c r="A2241" s="0" t="s">
        <v>1178</v>
      </c>
      <c r="B2241" s="0" t="n">
        <v>299</v>
      </c>
      <c r="C2241" s="0" t="str">
        <f aca="false">TEXT(VLOOKUP(B2241,$I$2:$J$20,2,FALSE()),"0")</f>
        <v>200</v>
      </c>
      <c r="D2241" s="47" t="n">
        <v>4</v>
      </c>
      <c r="E2241" s="47" t="n">
        <v>796000</v>
      </c>
      <c r="F2241" s="47" t="n">
        <v>216764</v>
      </c>
    </row>
    <row r="2242" customFormat="false" ht="15" hidden="false" customHeight="false" outlineLevel="0" collapsed="false">
      <c r="A2242" s="0" t="s">
        <v>1738</v>
      </c>
      <c r="B2242" s="0" t="n">
        <v>700</v>
      </c>
      <c r="C2242" s="0" t="str">
        <f aca="false">TEXT(VLOOKUP(B2242,$I$2:$J$20,2,FALSE()),"0")</f>
        <v>700</v>
      </c>
      <c r="D2242" s="47" t="n">
        <v>1200</v>
      </c>
      <c r="E2242" s="47" t="n">
        <v>106800000</v>
      </c>
      <c r="F2242" s="47" t="n">
        <v>30000000</v>
      </c>
    </row>
    <row r="2243" customFormat="false" ht="15" hidden="false" customHeight="false" outlineLevel="0" collapsed="false">
      <c r="A2243" s="0" t="s">
        <v>1739</v>
      </c>
      <c r="B2243" s="0" t="n">
        <v>700</v>
      </c>
      <c r="C2243" s="0" t="str">
        <f aca="false">TEXT(VLOOKUP(B2243,$I$2:$J$20,2,FALSE()),"0")</f>
        <v>700</v>
      </c>
      <c r="D2243" s="47" t="n">
        <v>750</v>
      </c>
      <c r="E2243" s="47" t="n">
        <v>33750000</v>
      </c>
      <c r="F2243" s="47" t="n">
        <v>10200000</v>
      </c>
    </row>
    <row r="2244" customFormat="false" ht="15" hidden="false" customHeight="false" outlineLevel="0" collapsed="false">
      <c r="A2244" s="0" t="s">
        <v>1180</v>
      </c>
      <c r="B2244" s="0" t="n">
        <v>200</v>
      </c>
      <c r="C2244" s="0" t="str">
        <f aca="false">TEXT(VLOOKUP(B2244,$I$2:$J$20,2,FALSE()),"0")</f>
        <v>200</v>
      </c>
      <c r="D2244" s="47" t="n">
        <v>280</v>
      </c>
      <c r="E2244" s="47" t="n">
        <v>16520000</v>
      </c>
      <c r="F2244" s="47" t="n">
        <v>4844840</v>
      </c>
    </row>
    <row r="2245" customFormat="false" ht="15" hidden="false" customHeight="false" outlineLevel="0" collapsed="false">
      <c r="A2245" s="0" t="s">
        <v>1180</v>
      </c>
      <c r="B2245" s="0" t="n">
        <v>299</v>
      </c>
      <c r="C2245" s="0" t="str">
        <f aca="false">TEXT(VLOOKUP(B2245,$I$2:$J$20,2,FALSE()),"0")</f>
        <v>200</v>
      </c>
      <c r="D2245" s="47" t="n">
        <v>2</v>
      </c>
      <c r="E2245" s="47" t="n">
        <v>118000</v>
      </c>
      <c r="F2245" s="47" t="n">
        <v>34606</v>
      </c>
    </row>
    <row r="2246" customFormat="false" ht="15" hidden="false" customHeight="false" outlineLevel="0" collapsed="false">
      <c r="A2246" s="0" t="s">
        <v>1180</v>
      </c>
      <c r="B2246" s="0" t="n">
        <v>600</v>
      </c>
      <c r="C2246" s="0" t="str">
        <f aca="false">TEXT(VLOOKUP(B2246,$I$2:$J$20,2,FALSE()),"0")</f>
        <v>600</v>
      </c>
      <c r="D2246" s="47" t="n">
        <v>65</v>
      </c>
      <c r="E2246" s="47" t="n">
        <v>3835000</v>
      </c>
      <c r="F2246" s="47" t="n">
        <v>1124695</v>
      </c>
    </row>
    <row r="2247" customFormat="false" ht="15" hidden="false" customHeight="false" outlineLevel="0" collapsed="false">
      <c r="A2247" s="0" t="s">
        <v>1740</v>
      </c>
      <c r="B2247" s="0" t="n">
        <v>100</v>
      </c>
      <c r="C2247" s="0" t="str">
        <f aca="false">TEXT(VLOOKUP(B2247,$I$2:$J$20,2,FALSE()),"0")</f>
        <v>100</v>
      </c>
      <c r="D2247" s="47" t="n">
        <v>50</v>
      </c>
      <c r="E2247" s="47" t="n">
        <v>645000</v>
      </c>
      <c r="F2247" s="47" t="n">
        <v>0</v>
      </c>
    </row>
    <row r="2248" customFormat="false" ht="15" hidden="false" customHeight="false" outlineLevel="0" collapsed="false">
      <c r="A2248" s="0" t="s">
        <v>1740</v>
      </c>
      <c r="B2248" s="0" t="n">
        <v>300</v>
      </c>
      <c r="C2248" s="0" t="str">
        <f aca="false">TEXT(VLOOKUP(B2248,$I$2:$J$20,2,FALSE()),"0")</f>
        <v>300</v>
      </c>
      <c r="D2248" s="47" t="n">
        <v>450</v>
      </c>
      <c r="E2248" s="47" t="n">
        <v>5805000</v>
      </c>
      <c r="F2248" s="47" t="n">
        <v>0</v>
      </c>
    </row>
    <row r="2249" customFormat="false" ht="15" hidden="false" customHeight="false" outlineLevel="0" collapsed="false">
      <c r="A2249" s="0" t="s">
        <v>1182</v>
      </c>
      <c r="B2249" s="0" t="n">
        <v>200</v>
      </c>
      <c r="C2249" s="0" t="str">
        <f aca="false">TEXT(VLOOKUP(B2249,$I$2:$J$20,2,FALSE()),"0")</f>
        <v>200</v>
      </c>
      <c r="D2249" s="47" t="n">
        <v>850</v>
      </c>
      <c r="E2249" s="47" t="n">
        <v>169150000</v>
      </c>
      <c r="F2249" s="47" t="n">
        <v>42250100</v>
      </c>
    </row>
    <row r="2250" customFormat="false" ht="15" hidden="false" customHeight="false" outlineLevel="0" collapsed="false">
      <c r="A2250" s="0" t="s">
        <v>1182</v>
      </c>
      <c r="B2250" s="0" t="n">
        <v>299</v>
      </c>
      <c r="C2250" s="0" t="str">
        <f aca="false">TEXT(VLOOKUP(B2250,$I$2:$J$20,2,FALSE()),"0")</f>
        <v>200</v>
      </c>
      <c r="D2250" s="47" t="n">
        <v>3</v>
      </c>
      <c r="E2250" s="47" t="n">
        <v>597000</v>
      </c>
      <c r="F2250" s="47" t="n">
        <v>149118</v>
      </c>
    </row>
    <row r="2251" customFormat="false" ht="15" hidden="false" customHeight="false" outlineLevel="0" collapsed="false">
      <c r="A2251" s="0" t="s">
        <v>1184</v>
      </c>
      <c r="B2251" s="0" t="n">
        <v>200</v>
      </c>
      <c r="C2251" s="0" t="str">
        <f aca="false">TEXT(VLOOKUP(B2251,$I$2:$J$20,2,FALSE()),"0")</f>
        <v>200</v>
      </c>
      <c r="D2251" s="47" t="n">
        <v>360</v>
      </c>
      <c r="E2251" s="47" t="n">
        <v>71640000</v>
      </c>
      <c r="F2251" s="47" t="n">
        <v>20450160</v>
      </c>
    </row>
    <row r="2252" customFormat="false" ht="15" hidden="false" customHeight="false" outlineLevel="0" collapsed="false">
      <c r="A2252" s="0" t="s">
        <v>1184</v>
      </c>
      <c r="B2252" s="0" t="n">
        <v>299</v>
      </c>
      <c r="C2252" s="0" t="str">
        <f aca="false">TEXT(VLOOKUP(B2252,$I$2:$J$20,2,FALSE()),"0")</f>
        <v>200</v>
      </c>
      <c r="D2252" s="47" t="n">
        <v>2</v>
      </c>
      <c r="E2252" s="47" t="n">
        <v>398000</v>
      </c>
      <c r="F2252" s="47" t="n">
        <v>113612</v>
      </c>
    </row>
    <row r="2253" customFormat="false" ht="15" hidden="false" customHeight="false" outlineLevel="0" collapsed="false">
      <c r="A2253" s="0" t="s">
        <v>1186</v>
      </c>
      <c r="B2253" s="0" t="n">
        <v>200</v>
      </c>
      <c r="C2253" s="0" t="str">
        <f aca="false">TEXT(VLOOKUP(B2253,$I$2:$J$20,2,FALSE()),"0")</f>
        <v>200</v>
      </c>
      <c r="D2253" s="47" t="n">
        <v>220</v>
      </c>
      <c r="E2253" s="47" t="n">
        <v>39380000</v>
      </c>
      <c r="F2253" s="47" t="n">
        <v>13596000</v>
      </c>
    </row>
    <row r="2254" customFormat="false" ht="15" hidden="false" customHeight="false" outlineLevel="0" collapsed="false">
      <c r="A2254" s="0" t="s">
        <v>1186</v>
      </c>
      <c r="B2254" s="0" t="n">
        <v>299</v>
      </c>
      <c r="C2254" s="0" t="str">
        <f aca="false">TEXT(VLOOKUP(B2254,$I$2:$J$20,2,FALSE()),"0")</f>
        <v>200</v>
      </c>
      <c r="D2254" s="47" t="n">
        <v>1</v>
      </c>
      <c r="E2254" s="47" t="n">
        <v>179000</v>
      </c>
      <c r="F2254" s="47" t="n">
        <v>61800</v>
      </c>
    </row>
    <row r="2255" customFormat="false" ht="15" hidden="false" customHeight="false" outlineLevel="0" collapsed="false">
      <c r="A2255" s="0" t="s">
        <v>1186</v>
      </c>
      <c r="B2255" s="0" t="n">
        <v>600</v>
      </c>
      <c r="C2255" s="0" t="str">
        <f aca="false">TEXT(VLOOKUP(B2255,$I$2:$J$20,2,FALSE()),"0")</f>
        <v>600</v>
      </c>
      <c r="D2255" s="47" t="n">
        <v>30</v>
      </c>
      <c r="E2255" s="47" t="n">
        <v>5370000</v>
      </c>
      <c r="F2255" s="47" t="n">
        <v>1854000</v>
      </c>
    </row>
    <row r="2256" customFormat="false" ht="15" hidden="false" customHeight="false" outlineLevel="0" collapsed="false">
      <c r="A2256" s="0" t="s">
        <v>736</v>
      </c>
      <c r="B2256" s="0" t="n">
        <v>100</v>
      </c>
      <c r="C2256" s="0" t="str">
        <f aca="false">TEXT(VLOOKUP(B2256,$I$2:$J$20,2,FALSE()),"0")</f>
        <v>100</v>
      </c>
      <c r="D2256" s="47" t="n">
        <v>250</v>
      </c>
      <c r="E2256" s="47" t="n">
        <v>219750000</v>
      </c>
      <c r="F2256" s="47" t="n">
        <v>51154750</v>
      </c>
    </row>
    <row r="2257" customFormat="false" ht="15" hidden="false" customHeight="false" outlineLevel="0" collapsed="false">
      <c r="A2257" s="0" t="s">
        <v>736</v>
      </c>
      <c r="B2257" s="0" t="n">
        <v>200</v>
      </c>
      <c r="C2257" s="0" t="str">
        <f aca="false">TEXT(VLOOKUP(B2257,$I$2:$J$20,2,FALSE()),"0")</f>
        <v>200</v>
      </c>
      <c r="D2257" s="47" t="n">
        <v>570</v>
      </c>
      <c r="E2257" s="47" t="n">
        <v>501030000</v>
      </c>
      <c r="F2257" s="47" t="n">
        <v>116632830</v>
      </c>
    </row>
    <row r="2258" customFormat="false" ht="15" hidden="false" customHeight="false" outlineLevel="0" collapsed="false">
      <c r="A2258" s="0" t="s">
        <v>736</v>
      </c>
      <c r="B2258" s="0" t="n">
        <v>299</v>
      </c>
      <c r="C2258" s="0" t="str">
        <f aca="false">TEXT(VLOOKUP(B2258,$I$2:$J$20,2,FALSE()),"0")</f>
        <v>200</v>
      </c>
      <c r="D2258" s="47" t="n">
        <v>8</v>
      </c>
      <c r="E2258" s="47" t="n">
        <v>7032000</v>
      </c>
      <c r="F2258" s="47" t="n">
        <v>1636952</v>
      </c>
    </row>
    <row r="2259" customFormat="false" ht="15" hidden="false" customHeight="false" outlineLevel="0" collapsed="false">
      <c r="A2259" s="0" t="s">
        <v>736</v>
      </c>
      <c r="B2259" s="0" t="n">
        <v>300</v>
      </c>
      <c r="C2259" s="0" t="str">
        <f aca="false">TEXT(VLOOKUP(B2259,$I$2:$J$20,2,FALSE()),"0")</f>
        <v>300</v>
      </c>
      <c r="D2259" s="47" t="n">
        <v>240</v>
      </c>
      <c r="E2259" s="47" t="n">
        <v>210960000</v>
      </c>
      <c r="F2259" s="47" t="n">
        <v>49108560</v>
      </c>
    </row>
    <row r="2260" customFormat="false" ht="15" hidden="false" customHeight="false" outlineLevel="0" collapsed="false">
      <c r="A2260" s="0" t="s">
        <v>736</v>
      </c>
      <c r="B2260" s="0" t="n">
        <v>600</v>
      </c>
      <c r="C2260" s="0" t="str">
        <f aca="false">TEXT(VLOOKUP(B2260,$I$2:$J$20,2,FALSE()),"0")</f>
        <v>600</v>
      </c>
      <c r="D2260" s="47" t="n">
        <v>20</v>
      </c>
      <c r="E2260" s="47" t="n">
        <v>17580000</v>
      </c>
      <c r="F2260" s="47" t="n">
        <v>4092380</v>
      </c>
    </row>
    <row r="2261" customFormat="false" ht="15" hidden="false" customHeight="false" outlineLevel="0" collapsed="false">
      <c r="A2261" s="0" t="s">
        <v>1188</v>
      </c>
      <c r="B2261" s="0" t="n">
        <v>200</v>
      </c>
      <c r="C2261" s="0" t="str">
        <f aca="false">TEXT(VLOOKUP(B2261,$I$2:$J$20,2,FALSE()),"0")</f>
        <v>200</v>
      </c>
      <c r="D2261" s="47" t="n">
        <v>380</v>
      </c>
      <c r="E2261" s="47" t="n">
        <v>208620000</v>
      </c>
      <c r="F2261" s="47" t="n">
        <v>59090760</v>
      </c>
    </row>
    <row r="2262" customFormat="false" ht="15" hidden="false" customHeight="false" outlineLevel="0" collapsed="false">
      <c r="A2262" s="0" t="s">
        <v>1188</v>
      </c>
      <c r="B2262" s="0" t="n">
        <v>299</v>
      </c>
      <c r="C2262" s="0" t="str">
        <f aca="false">TEXT(VLOOKUP(B2262,$I$2:$J$20,2,FALSE()),"0")</f>
        <v>200</v>
      </c>
      <c r="D2262" s="47" t="n">
        <v>2</v>
      </c>
      <c r="E2262" s="47" t="n">
        <v>1098000</v>
      </c>
      <c r="F2262" s="47" t="n">
        <v>311004</v>
      </c>
    </row>
    <row r="2263" customFormat="false" ht="15" hidden="false" customHeight="false" outlineLevel="0" collapsed="false">
      <c r="A2263" s="0" t="s">
        <v>1190</v>
      </c>
      <c r="B2263" s="0" t="n">
        <v>200</v>
      </c>
      <c r="C2263" s="0" t="str">
        <f aca="false">TEXT(VLOOKUP(B2263,$I$2:$J$20,2,FALSE()),"0")</f>
        <v>200</v>
      </c>
      <c r="D2263" s="47" t="n">
        <v>420</v>
      </c>
      <c r="E2263" s="47" t="n">
        <v>230580000</v>
      </c>
      <c r="F2263" s="47" t="n">
        <v>60832380</v>
      </c>
    </row>
    <row r="2264" customFormat="false" ht="15" hidden="false" customHeight="false" outlineLevel="0" collapsed="false">
      <c r="A2264" s="0" t="s">
        <v>1190</v>
      </c>
      <c r="B2264" s="0" t="n">
        <v>299</v>
      </c>
      <c r="C2264" s="0" t="str">
        <f aca="false">TEXT(VLOOKUP(B2264,$I$2:$J$20,2,FALSE()),"0")</f>
        <v>200</v>
      </c>
      <c r="D2264" s="47" t="n">
        <v>2</v>
      </c>
      <c r="E2264" s="47" t="n">
        <v>1098000</v>
      </c>
      <c r="F2264" s="47" t="n">
        <v>289678</v>
      </c>
    </row>
    <row r="2265" customFormat="false" ht="15" hidden="false" customHeight="false" outlineLevel="0" collapsed="false">
      <c r="A2265" s="0" t="s">
        <v>1192</v>
      </c>
      <c r="B2265" s="0" t="n">
        <v>200</v>
      </c>
      <c r="C2265" s="0" t="str">
        <f aca="false">TEXT(VLOOKUP(B2265,$I$2:$J$20,2,FALSE()),"0")</f>
        <v>200</v>
      </c>
      <c r="D2265" s="47" t="n">
        <v>420</v>
      </c>
      <c r="E2265" s="47" t="n">
        <v>150780000</v>
      </c>
      <c r="F2265" s="47" t="n">
        <v>40729080</v>
      </c>
    </row>
    <row r="2266" customFormat="false" ht="15" hidden="false" customHeight="false" outlineLevel="0" collapsed="false">
      <c r="A2266" s="0" t="s">
        <v>1192</v>
      </c>
      <c r="B2266" s="0" t="n">
        <v>299</v>
      </c>
      <c r="C2266" s="0" t="str">
        <f aca="false">TEXT(VLOOKUP(B2266,$I$2:$J$20,2,FALSE()),"0")</f>
        <v>200</v>
      </c>
      <c r="D2266" s="47" t="n">
        <v>2</v>
      </c>
      <c r="E2266" s="47" t="n">
        <v>718000</v>
      </c>
      <c r="F2266" s="47" t="n">
        <v>193948</v>
      </c>
    </row>
    <row r="2267" customFormat="false" ht="15" hidden="false" customHeight="false" outlineLevel="0" collapsed="false">
      <c r="A2267" s="0" t="s">
        <v>1194</v>
      </c>
      <c r="B2267" s="0" t="n">
        <v>200</v>
      </c>
      <c r="C2267" s="0" t="str">
        <f aca="false">TEXT(VLOOKUP(B2267,$I$2:$J$20,2,FALSE()),"0")</f>
        <v>200</v>
      </c>
      <c r="D2267" s="47" t="n">
        <v>150</v>
      </c>
      <c r="E2267" s="47" t="n">
        <v>38850000</v>
      </c>
      <c r="F2267" s="47" t="n">
        <v>11000250</v>
      </c>
    </row>
    <row r="2268" customFormat="false" ht="15" hidden="false" customHeight="false" outlineLevel="0" collapsed="false">
      <c r="A2268" s="0" t="s">
        <v>1194</v>
      </c>
      <c r="B2268" s="0" t="n">
        <v>299</v>
      </c>
      <c r="C2268" s="0" t="str">
        <f aca="false">TEXT(VLOOKUP(B2268,$I$2:$J$20,2,FALSE()),"0")</f>
        <v>200</v>
      </c>
      <c r="D2268" s="47" t="n">
        <v>1</v>
      </c>
      <c r="E2268" s="47" t="n">
        <v>259000</v>
      </c>
      <c r="F2268" s="47" t="n">
        <v>73335</v>
      </c>
    </row>
    <row r="2269" customFormat="false" ht="15" hidden="false" customHeight="false" outlineLevel="0" collapsed="false">
      <c r="A2269" s="0" t="s">
        <v>1196</v>
      </c>
      <c r="B2269" s="0" t="n">
        <v>200</v>
      </c>
      <c r="C2269" s="0" t="str">
        <f aca="false">TEXT(VLOOKUP(B2269,$I$2:$J$20,2,FALSE()),"0")</f>
        <v>200</v>
      </c>
      <c r="D2269" s="47" t="n">
        <v>470</v>
      </c>
      <c r="E2269" s="47" t="n">
        <v>107630000</v>
      </c>
      <c r="F2269" s="47" t="n">
        <v>38395240</v>
      </c>
    </row>
    <row r="2270" customFormat="false" ht="15" hidden="false" customHeight="false" outlineLevel="0" collapsed="false">
      <c r="A2270" s="0" t="s">
        <v>1196</v>
      </c>
      <c r="B2270" s="0" t="n">
        <v>299</v>
      </c>
      <c r="C2270" s="0" t="str">
        <f aca="false">TEXT(VLOOKUP(B2270,$I$2:$J$20,2,FALSE()),"0")</f>
        <v>200</v>
      </c>
      <c r="D2270" s="47" t="n">
        <v>2</v>
      </c>
      <c r="E2270" s="47" t="n">
        <v>458000</v>
      </c>
      <c r="F2270" s="47" t="n">
        <v>163384</v>
      </c>
    </row>
    <row r="2271" customFormat="false" ht="15" hidden="false" customHeight="false" outlineLevel="0" collapsed="false">
      <c r="A2271" s="0" t="s">
        <v>1198</v>
      </c>
      <c r="B2271" s="0" t="n">
        <v>200</v>
      </c>
      <c r="C2271" s="0" t="str">
        <f aca="false">TEXT(VLOOKUP(B2271,$I$2:$J$20,2,FALSE()),"0")</f>
        <v>200</v>
      </c>
      <c r="D2271" s="47" t="n">
        <v>350</v>
      </c>
      <c r="E2271" s="47" t="n">
        <v>52150000</v>
      </c>
      <c r="F2271" s="47" t="n">
        <v>16635150</v>
      </c>
    </row>
    <row r="2272" customFormat="false" ht="15" hidden="false" customHeight="false" outlineLevel="0" collapsed="false">
      <c r="A2272" s="0" t="s">
        <v>1198</v>
      </c>
      <c r="B2272" s="0" t="n">
        <v>299</v>
      </c>
      <c r="C2272" s="0" t="str">
        <f aca="false">TEXT(VLOOKUP(B2272,$I$2:$J$20,2,FALSE()),"0")</f>
        <v>200</v>
      </c>
      <c r="D2272" s="47" t="n">
        <v>2</v>
      </c>
      <c r="E2272" s="47" t="n">
        <v>298000</v>
      </c>
      <c r="F2272" s="47" t="n">
        <v>95058</v>
      </c>
    </row>
    <row r="2273" customFormat="false" ht="15" hidden="false" customHeight="false" outlineLevel="0" collapsed="false">
      <c r="A2273" s="0" t="s">
        <v>1200</v>
      </c>
      <c r="B2273" s="0" t="n">
        <v>200</v>
      </c>
      <c r="C2273" s="0" t="str">
        <f aca="false">TEXT(VLOOKUP(B2273,$I$2:$J$20,2,FALSE()),"0")</f>
        <v>200</v>
      </c>
      <c r="D2273" s="47" t="n">
        <v>320</v>
      </c>
      <c r="E2273" s="47" t="n">
        <v>44480000</v>
      </c>
      <c r="F2273" s="47" t="n">
        <v>12448000</v>
      </c>
    </row>
    <row r="2274" customFormat="false" ht="15" hidden="false" customHeight="false" outlineLevel="0" collapsed="false">
      <c r="A2274" s="0" t="s">
        <v>1200</v>
      </c>
      <c r="B2274" s="0" t="n">
        <v>299</v>
      </c>
      <c r="C2274" s="0" t="str">
        <f aca="false">TEXT(VLOOKUP(B2274,$I$2:$J$20,2,FALSE()),"0")</f>
        <v>200</v>
      </c>
      <c r="D2274" s="47" t="n">
        <v>2</v>
      </c>
      <c r="E2274" s="47" t="n">
        <v>278000</v>
      </c>
      <c r="F2274" s="47" t="n">
        <v>77800</v>
      </c>
    </row>
    <row r="2275" customFormat="false" ht="15" hidden="false" customHeight="false" outlineLevel="0" collapsed="false">
      <c r="A2275" s="0" t="s">
        <v>1202</v>
      </c>
      <c r="B2275" s="0" t="n">
        <v>200</v>
      </c>
      <c r="C2275" s="0" t="str">
        <f aca="false">TEXT(VLOOKUP(B2275,$I$2:$J$20,2,FALSE()),"0")</f>
        <v>200</v>
      </c>
      <c r="D2275" s="47" t="n">
        <v>420</v>
      </c>
      <c r="E2275" s="47" t="n">
        <v>49980000</v>
      </c>
      <c r="F2275" s="47" t="n">
        <v>13239240</v>
      </c>
    </row>
    <row r="2276" customFormat="false" ht="15" hidden="false" customHeight="false" outlineLevel="0" collapsed="false">
      <c r="A2276" s="0" t="s">
        <v>1202</v>
      </c>
      <c r="B2276" s="0" t="n">
        <v>299</v>
      </c>
      <c r="C2276" s="0" t="str">
        <f aca="false">TEXT(VLOOKUP(B2276,$I$2:$J$20,2,FALSE()),"0")</f>
        <v>200</v>
      </c>
      <c r="D2276" s="47" t="n">
        <v>2</v>
      </c>
      <c r="E2276" s="47" t="n">
        <v>238000</v>
      </c>
      <c r="F2276" s="47" t="n">
        <v>63044</v>
      </c>
    </row>
    <row r="2277" customFormat="false" ht="15" hidden="false" customHeight="false" outlineLevel="0" collapsed="false">
      <c r="A2277" s="0" t="s">
        <v>1204</v>
      </c>
      <c r="B2277" s="0" t="n">
        <v>200</v>
      </c>
      <c r="C2277" s="0" t="str">
        <f aca="false">TEXT(VLOOKUP(B2277,$I$2:$J$20,2,FALSE()),"0")</f>
        <v>200</v>
      </c>
      <c r="D2277" s="47" t="n">
        <v>635</v>
      </c>
      <c r="E2277" s="47" t="n">
        <v>253365000</v>
      </c>
      <c r="F2277" s="47" t="n">
        <v>100601145</v>
      </c>
    </row>
    <row r="2278" customFormat="false" ht="15" hidden="false" customHeight="false" outlineLevel="0" collapsed="false">
      <c r="A2278" s="0" t="s">
        <v>1204</v>
      </c>
      <c r="B2278" s="0" t="n">
        <v>299</v>
      </c>
      <c r="C2278" s="0" t="str">
        <f aca="false">TEXT(VLOOKUP(B2278,$I$2:$J$20,2,FALSE()),"0")</f>
        <v>200</v>
      </c>
      <c r="D2278" s="47" t="n">
        <v>11</v>
      </c>
      <c r="E2278" s="47" t="n">
        <v>4389000</v>
      </c>
      <c r="F2278" s="47" t="n">
        <v>1742697</v>
      </c>
    </row>
    <row r="2279" customFormat="false" ht="15" hidden="false" customHeight="false" outlineLevel="0" collapsed="false">
      <c r="A2279" s="0" t="s">
        <v>1741</v>
      </c>
      <c r="B2279" s="0" t="n">
        <v>100</v>
      </c>
      <c r="C2279" s="0" t="str">
        <f aca="false">TEXT(VLOOKUP(B2279,$I$2:$J$20,2,FALSE()),"0")</f>
        <v>100</v>
      </c>
      <c r="D2279" s="47" t="n">
        <v>80</v>
      </c>
      <c r="E2279" s="47" t="n">
        <v>47200000</v>
      </c>
      <c r="F2279" s="47" t="n">
        <v>15040000</v>
      </c>
    </row>
    <row r="2280" customFormat="false" ht="15" hidden="false" customHeight="false" outlineLevel="0" collapsed="false">
      <c r="A2280" s="0" t="s">
        <v>1741</v>
      </c>
      <c r="B2280" s="0" t="n">
        <v>200</v>
      </c>
      <c r="C2280" s="0" t="str">
        <f aca="false">TEXT(VLOOKUP(B2280,$I$2:$J$20,2,FALSE()),"0")</f>
        <v>200</v>
      </c>
      <c r="D2280" s="47" t="n">
        <v>340</v>
      </c>
      <c r="E2280" s="47" t="n">
        <v>200600000</v>
      </c>
      <c r="F2280" s="47" t="n">
        <v>63920000</v>
      </c>
    </row>
    <row r="2281" customFormat="false" ht="15" hidden="false" customHeight="false" outlineLevel="0" collapsed="false">
      <c r="A2281" s="0" t="s">
        <v>1741</v>
      </c>
      <c r="B2281" s="0" t="n">
        <v>299</v>
      </c>
      <c r="C2281" s="0" t="str">
        <f aca="false">TEXT(VLOOKUP(B2281,$I$2:$J$20,2,FALSE()),"0")</f>
        <v>200</v>
      </c>
      <c r="D2281" s="47" t="n">
        <v>6</v>
      </c>
      <c r="E2281" s="47" t="n">
        <v>3540000</v>
      </c>
      <c r="F2281" s="47" t="n">
        <v>1128000</v>
      </c>
    </row>
    <row r="2282" customFormat="false" ht="15" hidden="false" customHeight="false" outlineLevel="0" collapsed="false">
      <c r="A2282" s="0" t="s">
        <v>1741</v>
      </c>
      <c r="B2282" s="0" t="n">
        <v>300</v>
      </c>
      <c r="C2282" s="0" t="str">
        <f aca="false">TEXT(VLOOKUP(B2282,$I$2:$J$20,2,FALSE()),"0")</f>
        <v>300</v>
      </c>
      <c r="D2282" s="47" t="n">
        <v>600</v>
      </c>
      <c r="E2282" s="47" t="n">
        <v>354000000</v>
      </c>
      <c r="F2282" s="47" t="n">
        <v>112800000</v>
      </c>
    </row>
    <row r="2283" customFormat="false" ht="15" hidden="false" customHeight="false" outlineLevel="0" collapsed="false">
      <c r="A2283" s="0" t="s">
        <v>1206</v>
      </c>
      <c r="B2283" s="0" t="n">
        <v>200</v>
      </c>
      <c r="C2283" s="0" t="str">
        <f aca="false">TEXT(VLOOKUP(B2283,$I$2:$J$20,2,FALSE()),"0")</f>
        <v>200</v>
      </c>
      <c r="D2283" s="47" t="n">
        <v>80</v>
      </c>
      <c r="E2283" s="47" t="n">
        <v>71200000</v>
      </c>
      <c r="F2283" s="47" t="n">
        <v>23212320</v>
      </c>
    </row>
    <row r="2284" customFormat="false" ht="15" hidden="false" customHeight="false" outlineLevel="0" collapsed="false">
      <c r="A2284" s="0" t="s">
        <v>1206</v>
      </c>
      <c r="B2284" s="0" t="n">
        <v>299</v>
      </c>
      <c r="C2284" s="0" t="str">
        <f aca="false">TEXT(VLOOKUP(B2284,$I$2:$J$20,2,FALSE()),"0")</f>
        <v>200</v>
      </c>
      <c r="D2284" s="47" t="n">
        <v>2</v>
      </c>
      <c r="E2284" s="47" t="n">
        <v>1780000</v>
      </c>
      <c r="F2284" s="47" t="n">
        <v>580308</v>
      </c>
    </row>
    <row r="2285" customFormat="false" ht="15" hidden="false" customHeight="false" outlineLevel="0" collapsed="false">
      <c r="A2285" s="0" t="s">
        <v>1208</v>
      </c>
      <c r="B2285" s="0" t="n">
        <v>200</v>
      </c>
      <c r="C2285" s="0" t="str">
        <f aca="false">TEXT(VLOOKUP(B2285,$I$2:$J$20,2,FALSE()),"0")</f>
        <v>200</v>
      </c>
      <c r="D2285" s="47" t="n">
        <v>200</v>
      </c>
      <c r="E2285" s="47" t="n">
        <v>21800000</v>
      </c>
      <c r="F2285" s="47" t="n">
        <v>6380000</v>
      </c>
    </row>
    <row r="2286" customFormat="false" ht="15" hidden="false" customHeight="false" outlineLevel="0" collapsed="false">
      <c r="A2286" s="0" t="s">
        <v>1208</v>
      </c>
      <c r="B2286" s="0" t="n">
        <v>299</v>
      </c>
      <c r="C2286" s="0" t="str">
        <f aca="false">TEXT(VLOOKUP(B2286,$I$2:$J$20,2,FALSE()),"0")</f>
        <v>200</v>
      </c>
      <c r="D2286" s="47" t="n">
        <v>2</v>
      </c>
      <c r="E2286" s="47" t="n">
        <v>218000</v>
      </c>
      <c r="F2286" s="47" t="n">
        <v>63800</v>
      </c>
    </row>
    <row r="2287" customFormat="false" ht="15" hidden="false" customHeight="false" outlineLevel="0" collapsed="false">
      <c r="A2287" s="0" t="s">
        <v>1208</v>
      </c>
      <c r="B2287" s="0" t="n">
        <v>600</v>
      </c>
      <c r="C2287" s="0" t="str">
        <f aca="false">TEXT(VLOOKUP(B2287,$I$2:$J$20,2,FALSE()),"0")</f>
        <v>600</v>
      </c>
      <c r="D2287" s="47" t="n">
        <v>20</v>
      </c>
      <c r="E2287" s="47" t="n">
        <v>2180000</v>
      </c>
      <c r="F2287" s="47" t="n">
        <v>638000</v>
      </c>
    </row>
    <row r="2288" customFormat="false" ht="15" hidden="false" customHeight="false" outlineLevel="0" collapsed="false">
      <c r="A2288" s="0" t="s">
        <v>1210</v>
      </c>
      <c r="B2288" s="0" t="n">
        <v>200</v>
      </c>
      <c r="C2288" s="0" t="str">
        <f aca="false">TEXT(VLOOKUP(B2288,$I$2:$J$20,2,FALSE()),"0")</f>
        <v>200</v>
      </c>
      <c r="D2288" s="47" t="n">
        <v>200</v>
      </c>
      <c r="E2288" s="47" t="n">
        <v>35800000</v>
      </c>
      <c r="F2288" s="47" t="n">
        <v>12259600</v>
      </c>
    </row>
    <row r="2289" customFormat="false" ht="15" hidden="false" customHeight="false" outlineLevel="0" collapsed="false">
      <c r="A2289" s="0" t="s">
        <v>1210</v>
      </c>
      <c r="B2289" s="0" t="n">
        <v>299</v>
      </c>
      <c r="C2289" s="0" t="str">
        <f aca="false">TEXT(VLOOKUP(B2289,$I$2:$J$20,2,FALSE()),"0")</f>
        <v>200</v>
      </c>
      <c r="D2289" s="47" t="n">
        <v>1</v>
      </c>
      <c r="E2289" s="47" t="n">
        <v>179000</v>
      </c>
      <c r="F2289" s="47" t="n">
        <v>61298</v>
      </c>
    </row>
    <row r="2290" customFormat="false" ht="15" hidden="false" customHeight="false" outlineLevel="0" collapsed="false">
      <c r="A2290" s="0" t="s">
        <v>1212</v>
      </c>
      <c r="B2290" s="0" t="n">
        <v>200</v>
      </c>
      <c r="C2290" s="0" t="str">
        <f aca="false">TEXT(VLOOKUP(B2290,$I$2:$J$20,2,FALSE()),"0")</f>
        <v>200</v>
      </c>
      <c r="D2290" s="47" t="n">
        <v>240</v>
      </c>
      <c r="E2290" s="47" t="n">
        <v>50160000</v>
      </c>
      <c r="F2290" s="47" t="n">
        <v>18432240</v>
      </c>
    </row>
    <row r="2291" customFormat="false" ht="15" hidden="false" customHeight="false" outlineLevel="0" collapsed="false">
      <c r="A2291" s="0" t="s">
        <v>1212</v>
      </c>
      <c r="B2291" s="0" t="n">
        <v>299</v>
      </c>
      <c r="C2291" s="0" t="str">
        <f aca="false">TEXT(VLOOKUP(B2291,$I$2:$J$20,2,FALSE()),"0")</f>
        <v>200</v>
      </c>
      <c r="D2291" s="47" t="n">
        <v>2</v>
      </c>
      <c r="E2291" s="47" t="n">
        <v>418000</v>
      </c>
      <c r="F2291" s="47" t="n">
        <v>153602</v>
      </c>
    </row>
    <row r="2292" customFormat="false" ht="15" hidden="false" customHeight="false" outlineLevel="0" collapsed="false">
      <c r="A2292" s="0" t="s">
        <v>1212</v>
      </c>
      <c r="B2292" s="0" t="n">
        <v>800</v>
      </c>
      <c r="C2292" s="0" t="str">
        <f aca="false">TEXT(VLOOKUP(B2292,$I$2:$J$20,2,FALSE()),"0")</f>
        <v>800</v>
      </c>
      <c r="D2292" s="47" t="n">
        <v>55</v>
      </c>
      <c r="E2292" s="47" t="n">
        <v>11495000</v>
      </c>
      <c r="F2292" s="47" t="n">
        <v>4224055</v>
      </c>
    </row>
    <row r="2293" customFormat="false" ht="15" hidden="false" customHeight="false" outlineLevel="0" collapsed="false">
      <c r="A2293" s="0" t="s">
        <v>1214</v>
      </c>
      <c r="B2293" s="0" t="n">
        <v>200</v>
      </c>
      <c r="C2293" s="0" t="str">
        <f aca="false">TEXT(VLOOKUP(B2293,$I$2:$J$20,2,FALSE()),"0")</f>
        <v>200</v>
      </c>
      <c r="D2293" s="47" t="n">
        <v>170</v>
      </c>
      <c r="E2293" s="47" t="n">
        <v>67830000</v>
      </c>
      <c r="F2293" s="47" t="n">
        <v>21046000</v>
      </c>
    </row>
    <row r="2294" customFormat="false" ht="15" hidden="false" customHeight="false" outlineLevel="0" collapsed="false">
      <c r="A2294" s="0" t="s">
        <v>1214</v>
      </c>
      <c r="B2294" s="0" t="n">
        <v>299</v>
      </c>
      <c r="C2294" s="0" t="str">
        <f aca="false">TEXT(VLOOKUP(B2294,$I$2:$J$20,2,FALSE()),"0")</f>
        <v>200</v>
      </c>
      <c r="D2294" s="47" t="n">
        <v>2</v>
      </c>
      <c r="E2294" s="47" t="n">
        <v>798000</v>
      </c>
      <c r="F2294" s="47" t="n">
        <v>247600</v>
      </c>
    </row>
    <row r="2295" customFormat="false" ht="15" hidden="false" customHeight="false" outlineLevel="0" collapsed="false">
      <c r="A2295" s="0" t="s">
        <v>738</v>
      </c>
      <c r="B2295" s="0" t="n">
        <v>100</v>
      </c>
      <c r="C2295" s="0" t="str">
        <f aca="false">TEXT(VLOOKUP(B2295,$I$2:$J$20,2,FALSE()),"0")</f>
        <v>100</v>
      </c>
      <c r="D2295" s="47" t="n">
        <v>250</v>
      </c>
      <c r="E2295" s="47" t="n">
        <v>199750000</v>
      </c>
      <c r="F2295" s="47" t="n">
        <v>49653750</v>
      </c>
    </row>
    <row r="2296" customFormat="false" ht="15" hidden="false" customHeight="false" outlineLevel="0" collapsed="false">
      <c r="A2296" s="0" t="s">
        <v>738</v>
      </c>
      <c r="B2296" s="0" t="n">
        <v>200</v>
      </c>
      <c r="C2296" s="0" t="str">
        <f aca="false">TEXT(VLOOKUP(B2296,$I$2:$J$20,2,FALSE()),"0")</f>
        <v>200</v>
      </c>
      <c r="D2296" s="47" t="n">
        <v>590</v>
      </c>
      <c r="E2296" s="47" t="n">
        <v>471410000</v>
      </c>
      <c r="F2296" s="47" t="n">
        <v>117182850</v>
      </c>
    </row>
    <row r="2297" customFormat="false" ht="15" hidden="false" customHeight="false" outlineLevel="0" collapsed="false">
      <c r="A2297" s="0" t="s">
        <v>738</v>
      </c>
      <c r="B2297" s="0" t="n">
        <v>299</v>
      </c>
      <c r="C2297" s="0" t="str">
        <f aca="false">TEXT(VLOOKUP(B2297,$I$2:$J$20,2,FALSE()),"0")</f>
        <v>200</v>
      </c>
      <c r="D2297" s="47" t="n">
        <v>11</v>
      </c>
      <c r="E2297" s="47" t="n">
        <v>8789000</v>
      </c>
      <c r="F2297" s="47" t="n">
        <v>2184765</v>
      </c>
    </row>
    <row r="2298" customFormat="false" ht="15" hidden="false" customHeight="false" outlineLevel="0" collapsed="false">
      <c r="A2298" s="0" t="s">
        <v>738</v>
      </c>
      <c r="B2298" s="0" t="n">
        <v>300</v>
      </c>
      <c r="C2298" s="0" t="str">
        <f aca="false">TEXT(VLOOKUP(B2298,$I$2:$J$20,2,FALSE()),"0")</f>
        <v>300</v>
      </c>
      <c r="D2298" s="47" t="n">
        <v>355</v>
      </c>
      <c r="E2298" s="47" t="n">
        <v>283645000</v>
      </c>
      <c r="F2298" s="47" t="n">
        <v>70508325</v>
      </c>
    </row>
    <row r="2299" customFormat="false" ht="15" hidden="false" customHeight="false" outlineLevel="0" collapsed="false">
      <c r="A2299" s="0" t="s">
        <v>738</v>
      </c>
      <c r="B2299" s="0" t="n">
        <v>600</v>
      </c>
      <c r="C2299" s="0" t="str">
        <f aca="false">TEXT(VLOOKUP(B2299,$I$2:$J$20,2,FALSE()),"0")</f>
        <v>600</v>
      </c>
      <c r="D2299" s="47" t="n">
        <v>20</v>
      </c>
      <c r="E2299" s="47" t="n">
        <v>15980000</v>
      </c>
      <c r="F2299" s="47" t="n">
        <v>3972300</v>
      </c>
    </row>
    <row r="2300" customFormat="false" ht="15" hidden="false" customHeight="false" outlineLevel="0" collapsed="false">
      <c r="A2300" s="0" t="s">
        <v>738</v>
      </c>
      <c r="B2300" s="0" t="n">
        <v>800</v>
      </c>
      <c r="C2300" s="0" t="str">
        <f aca="false">TEXT(VLOOKUP(B2300,$I$2:$J$20,2,FALSE()),"0")</f>
        <v>800</v>
      </c>
      <c r="D2300" s="47" t="n">
        <v>55</v>
      </c>
      <c r="E2300" s="47" t="n">
        <v>43945000</v>
      </c>
      <c r="F2300" s="47" t="n">
        <v>10923825</v>
      </c>
    </row>
    <row r="2301" customFormat="false" ht="15" hidden="false" customHeight="false" outlineLevel="0" collapsed="false">
      <c r="A2301" s="0" t="s">
        <v>740</v>
      </c>
      <c r="B2301" s="0" t="n">
        <v>100</v>
      </c>
      <c r="C2301" s="0" t="str">
        <f aca="false">TEXT(VLOOKUP(B2301,$I$2:$J$20,2,FALSE()),"0")</f>
        <v>100</v>
      </c>
      <c r="D2301" s="47" t="n">
        <v>400</v>
      </c>
      <c r="E2301" s="47" t="n">
        <v>119600000</v>
      </c>
      <c r="F2301" s="47" t="n">
        <v>37880000</v>
      </c>
    </row>
    <row r="2302" customFormat="false" ht="15" hidden="false" customHeight="false" outlineLevel="0" collapsed="false">
      <c r="A2302" s="0" t="s">
        <v>740</v>
      </c>
      <c r="B2302" s="0" t="n">
        <v>300</v>
      </c>
      <c r="C2302" s="0" t="str">
        <f aca="false">TEXT(VLOOKUP(B2302,$I$2:$J$20,2,FALSE()),"0")</f>
        <v>300</v>
      </c>
      <c r="D2302" s="47" t="n">
        <v>250</v>
      </c>
      <c r="E2302" s="47" t="n">
        <v>74750000</v>
      </c>
      <c r="F2302" s="47" t="n">
        <v>23675000</v>
      </c>
    </row>
    <row r="2303" customFormat="false" ht="15" hidden="false" customHeight="false" outlineLevel="0" collapsed="false">
      <c r="A2303" s="0" t="s">
        <v>740</v>
      </c>
      <c r="B2303" s="0" t="n">
        <v>600</v>
      </c>
      <c r="C2303" s="0" t="str">
        <f aca="false">TEXT(VLOOKUP(B2303,$I$2:$J$20,2,FALSE()),"0")</f>
        <v>600</v>
      </c>
      <c r="D2303" s="47" t="n">
        <v>15</v>
      </c>
      <c r="E2303" s="47" t="n">
        <v>4485000</v>
      </c>
      <c r="F2303" s="47" t="n">
        <v>1420500</v>
      </c>
    </row>
    <row r="2304" customFormat="false" ht="15" hidden="false" customHeight="false" outlineLevel="0" collapsed="false">
      <c r="A2304" s="0" t="s">
        <v>742</v>
      </c>
      <c r="B2304" s="0" t="n">
        <v>200</v>
      </c>
      <c r="C2304" s="0" t="str">
        <f aca="false">TEXT(VLOOKUP(B2304,$I$2:$J$20,2,FALSE()),"0")</f>
        <v>200</v>
      </c>
      <c r="D2304" s="47" t="n">
        <v>130</v>
      </c>
      <c r="E2304" s="47" t="n">
        <v>55770000</v>
      </c>
      <c r="F2304" s="47" t="n">
        <v>15793310</v>
      </c>
    </row>
    <row r="2305" customFormat="false" ht="15" hidden="false" customHeight="false" outlineLevel="0" collapsed="false">
      <c r="A2305" s="0" t="s">
        <v>742</v>
      </c>
      <c r="B2305" s="0" t="n">
        <v>299</v>
      </c>
      <c r="C2305" s="0" t="str">
        <f aca="false">TEXT(VLOOKUP(B2305,$I$2:$J$20,2,FALSE()),"0")</f>
        <v>200</v>
      </c>
      <c r="D2305" s="47" t="n">
        <v>3</v>
      </c>
      <c r="E2305" s="47" t="n">
        <v>1287000</v>
      </c>
      <c r="F2305" s="47" t="n">
        <v>364461</v>
      </c>
    </row>
    <row r="2306" customFormat="false" ht="15" hidden="false" customHeight="false" outlineLevel="0" collapsed="false">
      <c r="A2306" s="0" t="s">
        <v>742</v>
      </c>
      <c r="B2306" s="0" t="n">
        <v>300</v>
      </c>
      <c r="C2306" s="0" t="str">
        <f aca="false">TEXT(VLOOKUP(B2306,$I$2:$J$20,2,FALSE()),"0")</f>
        <v>300</v>
      </c>
      <c r="D2306" s="47" t="n">
        <v>100</v>
      </c>
      <c r="E2306" s="47" t="n">
        <v>42900000</v>
      </c>
      <c r="F2306" s="47" t="n">
        <v>12148700</v>
      </c>
    </row>
    <row r="2307" customFormat="false" ht="15" hidden="false" customHeight="false" outlineLevel="0" collapsed="false">
      <c r="A2307" s="0" t="s">
        <v>744</v>
      </c>
      <c r="B2307" s="0" t="n">
        <v>200</v>
      </c>
      <c r="C2307" s="0" t="str">
        <f aca="false">TEXT(VLOOKUP(B2307,$I$2:$J$20,2,FALSE()),"0")</f>
        <v>200</v>
      </c>
      <c r="D2307" s="47" t="n">
        <v>510</v>
      </c>
      <c r="E2307" s="47" t="n">
        <v>203490000</v>
      </c>
      <c r="F2307" s="47" t="n">
        <v>60276390</v>
      </c>
    </row>
    <row r="2308" customFormat="false" ht="15" hidden="false" customHeight="false" outlineLevel="0" collapsed="false">
      <c r="A2308" s="0" t="s">
        <v>744</v>
      </c>
      <c r="B2308" s="0" t="n">
        <v>299</v>
      </c>
      <c r="C2308" s="0" t="str">
        <f aca="false">TEXT(VLOOKUP(B2308,$I$2:$J$20,2,FALSE()),"0")</f>
        <v>200</v>
      </c>
      <c r="D2308" s="47" t="n">
        <v>9</v>
      </c>
      <c r="E2308" s="47" t="n">
        <v>3591000</v>
      </c>
      <c r="F2308" s="47" t="n">
        <v>1063701</v>
      </c>
    </row>
    <row r="2309" customFormat="false" ht="15" hidden="false" customHeight="false" outlineLevel="0" collapsed="false">
      <c r="A2309" s="0" t="s">
        <v>744</v>
      </c>
      <c r="B2309" s="0" t="n">
        <v>300</v>
      </c>
      <c r="C2309" s="0" t="str">
        <f aca="false">TEXT(VLOOKUP(B2309,$I$2:$J$20,2,FALSE()),"0")</f>
        <v>300</v>
      </c>
      <c r="D2309" s="47" t="n">
        <v>360</v>
      </c>
      <c r="E2309" s="47" t="n">
        <v>143640000</v>
      </c>
      <c r="F2309" s="47" t="n">
        <v>42548040</v>
      </c>
    </row>
    <row r="2310" customFormat="false" ht="15" hidden="false" customHeight="false" outlineLevel="0" collapsed="false">
      <c r="A2310" s="0" t="s">
        <v>1216</v>
      </c>
      <c r="B2310" s="0" t="n">
        <v>200</v>
      </c>
      <c r="C2310" s="0" t="str">
        <f aca="false">TEXT(VLOOKUP(B2310,$I$2:$J$20,2,FALSE()),"0")</f>
        <v>200</v>
      </c>
      <c r="D2310" s="47" t="n">
        <v>280</v>
      </c>
      <c r="E2310" s="47" t="n">
        <v>193200000</v>
      </c>
      <c r="F2310" s="47" t="n">
        <v>53956000</v>
      </c>
    </row>
    <row r="2311" customFormat="false" ht="15" hidden="false" customHeight="false" outlineLevel="0" collapsed="false">
      <c r="A2311" s="0" t="s">
        <v>1216</v>
      </c>
      <c r="B2311" s="0" t="n">
        <v>299</v>
      </c>
      <c r="C2311" s="0" t="str">
        <f aca="false">TEXT(VLOOKUP(B2311,$I$2:$J$20,2,FALSE()),"0")</f>
        <v>200</v>
      </c>
      <c r="D2311" s="47" t="n">
        <v>6</v>
      </c>
      <c r="E2311" s="47" t="n">
        <v>4140000</v>
      </c>
      <c r="F2311" s="47" t="n">
        <v>1156200</v>
      </c>
    </row>
    <row r="2312" customFormat="false" ht="15" hidden="false" customHeight="false" outlineLevel="0" collapsed="false">
      <c r="A2312" s="0" t="s">
        <v>1218</v>
      </c>
      <c r="B2312" s="0" t="n">
        <v>200</v>
      </c>
      <c r="C2312" s="0" t="str">
        <f aca="false">TEXT(VLOOKUP(B2312,$I$2:$J$20,2,FALSE()),"0")</f>
        <v>200</v>
      </c>
      <c r="D2312" s="47" t="n">
        <v>120</v>
      </c>
      <c r="E2312" s="47" t="n">
        <v>94800000</v>
      </c>
      <c r="F2312" s="47" t="n">
        <v>27168000</v>
      </c>
    </row>
    <row r="2313" customFormat="false" ht="15" hidden="false" customHeight="false" outlineLevel="0" collapsed="false">
      <c r="A2313" s="0" t="s">
        <v>1218</v>
      </c>
      <c r="B2313" s="0" t="n">
        <v>299</v>
      </c>
      <c r="C2313" s="0" t="str">
        <f aca="false">TEXT(VLOOKUP(B2313,$I$2:$J$20,2,FALSE()),"0")</f>
        <v>200</v>
      </c>
      <c r="D2313" s="47" t="n">
        <v>2</v>
      </c>
      <c r="E2313" s="47" t="n">
        <v>1580000</v>
      </c>
      <c r="F2313" s="47" t="n">
        <v>452800</v>
      </c>
    </row>
    <row r="2314" customFormat="false" ht="15" hidden="false" customHeight="false" outlineLevel="0" collapsed="false">
      <c r="A2314" s="0" t="s">
        <v>1218</v>
      </c>
      <c r="B2314" s="0" t="n">
        <v>300</v>
      </c>
      <c r="C2314" s="0" t="str">
        <f aca="false">TEXT(VLOOKUP(B2314,$I$2:$J$20,2,FALSE()),"0")</f>
        <v>300</v>
      </c>
      <c r="D2314" s="47" t="n">
        <v>290</v>
      </c>
      <c r="E2314" s="47" t="n">
        <v>229100000</v>
      </c>
      <c r="F2314" s="47" t="n">
        <v>65656000</v>
      </c>
    </row>
    <row r="2315" customFormat="false" ht="15" hidden="false" customHeight="false" outlineLevel="0" collapsed="false">
      <c r="A2315" s="0" t="s">
        <v>1220</v>
      </c>
      <c r="B2315" s="0" t="n">
        <v>200</v>
      </c>
      <c r="C2315" s="0" t="str">
        <f aca="false">TEXT(VLOOKUP(B2315,$I$2:$J$20,2,FALSE()),"0")</f>
        <v>200</v>
      </c>
      <c r="D2315" s="47" t="n">
        <v>380</v>
      </c>
      <c r="E2315" s="47" t="n">
        <v>136420000</v>
      </c>
      <c r="F2315" s="47" t="n">
        <v>34833080</v>
      </c>
    </row>
    <row r="2316" customFormat="false" ht="15" hidden="false" customHeight="false" outlineLevel="0" collapsed="false">
      <c r="A2316" s="0" t="s">
        <v>1220</v>
      </c>
      <c r="B2316" s="0" t="n">
        <v>299</v>
      </c>
      <c r="C2316" s="0" t="str">
        <f aca="false">TEXT(VLOOKUP(B2316,$I$2:$J$20,2,FALSE()),"0")</f>
        <v>200</v>
      </c>
      <c r="D2316" s="47" t="n">
        <v>2</v>
      </c>
      <c r="E2316" s="47" t="n">
        <v>718000</v>
      </c>
      <c r="F2316" s="47" t="n">
        <v>183332</v>
      </c>
    </row>
    <row r="2317" customFormat="false" ht="15" hidden="false" customHeight="false" outlineLevel="0" collapsed="false">
      <c r="A2317" s="0" t="s">
        <v>1222</v>
      </c>
      <c r="B2317" s="0" t="n">
        <v>200</v>
      </c>
      <c r="C2317" s="0" t="str">
        <f aca="false">TEXT(VLOOKUP(B2317,$I$2:$J$20,2,FALSE()),"0")</f>
        <v>200</v>
      </c>
      <c r="D2317" s="47" t="n">
        <v>290</v>
      </c>
      <c r="E2317" s="47" t="n">
        <v>86710000</v>
      </c>
      <c r="F2317" s="47" t="n">
        <v>23609480</v>
      </c>
    </row>
    <row r="2318" customFormat="false" ht="15" hidden="false" customHeight="false" outlineLevel="0" collapsed="false">
      <c r="A2318" s="0" t="s">
        <v>1222</v>
      </c>
      <c r="B2318" s="0" t="n">
        <v>299</v>
      </c>
      <c r="C2318" s="0" t="str">
        <f aca="false">TEXT(VLOOKUP(B2318,$I$2:$J$20,2,FALSE()),"0")</f>
        <v>200</v>
      </c>
      <c r="D2318" s="47" t="n">
        <v>2</v>
      </c>
      <c r="E2318" s="47" t="n">
        <v>598000</v>
      </c>
      <c r="F2318" s="47" t="n">
        <v>162824</v>
      </c>
    </row>
    <row r="2319" customFormat="false" ht="15" hidden="false" customHeight="false" outlineLevel="0" collapsed="false">
      <c r="A2319" s="0" t="s">
        <v>1222</v>
      </c>
      <c r="B2319" s="0" t="n">
        <v>800</v>
      </c>
      <c r="C2319" s="0" t="str">
        <f aca="false">TEXT(VLOOKUP(B2319,$I$2:$J$20,2,FALSE()),"0")</f>
        <v>800</v>
      </c>
      <c r="D2319" s="47" t="n">
        <v>55</v>
      </c>
      <c r="E2319" s="47" t="n">
        <v>16445000</v>
      </c>
      <c r="F2319" s="47" t="n">
        <v>4477660</v>
      </c>
    </row>
    <row r="2320" customFormat="false" ht="15" hidden="false" customHeight="false" outlineLevel="0" collapsed="false">
      <c r="A2320" s="0" t="s">
        <v>1224</v>
      </c>
      <c r="B2320" s="0" t="n">
        <v>200</v>
      </c>
      <c r="C2320" s="0" t="str">
        <f aca="false">TEXT(VLOOKUP(B2320,$I$2:$J$20,2,FALSE()),"0")</f>
        <v>200</v>
      </c>
      <c r="D2320" s="47" t="n">
        <v>320</v>
      </c>
      <c r="E2320" s="47" t="n">
        <v>50880000</v>
      </c>
      <c r="F2320" s="47" t="n">
        <v>9507520</v>
      </c>
    </row>
    <row r="2321" customFormat="false" ht="15" hidden="false" customHeight="false" outlineLevel="0" collapsed="false">
      <c r="A2321" s="0" t="s">
        <v>1224</v>
      </c>
      <c r="B2321" s="0" t="n">
        <v>299</v>
      </c>
      <c r="C2321" s="0" t="str">
        <f aca="false">TEXT(VLOOKUP(B2321,$I$2:$J$20,2,FALSE()),"0")</f>
        <v>200</v>
      </c>
      <c r="D2321" s="47" t="n">
        <v>2</v>
      </c>
      <c r="E2321" s="47" t="n">
        <v>318000</v>
      </c>
      <c r="F2321" s="47" t="n">
        <v>59422</v>
      </c>
    </row>
    <row r="2322" customFormat="false" ht="15" hidden="false" customHeight="false" outlineLevel="0" collapsed="false">
      <c r="A2322" s="0" t="s">
        <v>746</v>
      </c>
      <c r="B2322" s="0" t="n">
        <v>100</v>
      </c>
      <c r="C2322" s="0" t="str">
        <f aca="false">TEXT(VLOOKUP(B2322,$I$2:$J$20,2,FALSE()),"0")</f>
        <v>100</v>
      </c>
      <c r="D2322" s="47" t="n">
        <v>200</v>
      </c>
      <c r="E2322" s="47" t="n">
        <v>31800000</v>
      </c>
      <c r="F2322" s="47" t="n">
        <v>5520000</v>
      </c>
    </row>
    <row r="2323" customFormat="false" ht="15" hidden="false" customHeight="false" outlineLevel="0" collapsed="false">
      <c r="A2323" s="0" t="s">
        <v>746</v>
      </c>
      <c r="B2323" s="0" t="n">
        <v>300</v>
      </c>
      <c r="C2323" s="0" t="str">
        <f aca="false">TEXT(VLOOKUP(B2323,$I$2:$J$20,2,FALSE()),"0")</f>
        <v>300</v>
      </c>
      <c r="D2323" s="47" t="n">
        <v>340</v>
      </c>
      <c r="E2323" s="47" t="n">
        <v>54060000</v>
      </c>
      <c r="F2323" s="47" t="n">
        <v>9384000</v>
      </c>
    </row>
    <row r="2324" customFormat="false" ht="15" hidden="false" customHeight="false" outlineLevel="0" collapsed="false">
      <c r="A2324" s="0" t="s">
        <v>746</v>
      </c>
      <c r="B2324" s="0" t="n">
        <v>600</v>
      </c>
      <c r="C2324" s="0" t="str">
        <f aca="false">TEXT(VLOOKUP(B2324,$I$2:$J$20,2,FALSE()),"0")</f>
        <v>600</v>
      </c>
      <c r="D2324" s="47" t="n">
        <v>95</v>
      </c>
      <c r="E2324" s="47" t="n">
        <v>15105000</v>
      </c>
      <c r="F2324" s="47" t="n">
        <v>2622000</v>
      </c>
    </row>
    <row r="2325" customFormat="false" ht="15" hidden="false" customHeight="false" outlineLevel="0" collapsed="false">
      <c r="A2325" s="0" t="s">
        <v>746</v>
      </c>
      <c r="B2325" s="0" t="n">
        <v>800</v>
      </c>
      <c r="C2325" s="0" t="str">
        <f aca="false">TEXT(VLOOKUP(B2325,$I$2:$J$20,2,FALSE()),"0")</f>
        <v>800</v>
      </c>
      <c r="D2325" s="47" t="n">
        <v>60</v>
      </c>
      <c r="E2325" s="47" t="n">
        <v>9540000</v>
      </c>
      <c r="F2325" s="47" t="n">
        <v>1656000</v>
      </c>
    </row>
    <row r="2326" customFormat="false" ht="15" hidden="false" customHeight="false" outlineLevel="0" collapsed="false">
      <c r="A2326" s="0" t="s">
        <v>748</v>
      </c>
      <c r="B2326" s="0" t="n">
        <v>200</v>
      </c>
      <c r="C2326" s="0" t="str">
        <f aca="false">TEXT(VLOOKUP(B2326,$I$2:$J$20,2,FALSE()),"0")</f>
        <v>200</v>
      </c>
      <c r="D2326" s="47" t="n">
        <v>300</v>
      </c>
      <c r="E2326" s="47" t="n">
        <v>47700000</v>
      </c>
      <c r="F2326" s="47" t="n">
        <v>11194800</v>
      </c>
    </row>
    <row r="2327" customFormat="false" ht="15" hidden="false" customHeight="false" outlineLevel="0" collapsed="false">
      <c r="A2327" s="0" t="s">
        <v>748</v>
      </c>
      <c r="B2327" s="0" t="n">
        <v>299</v>
      </c>
      <c r="C2327" s="0" t="str">
        <f aca="false">TEXT(VLOOKUP(B2327,$I$2:$J$20,2,FALSE()),"0")</f>
        <v>200</v>
      </c>
      <c r="D2327" s="47" t="n">
        <v>2</v>
      </c>
      <c r="E2327" s="47" t="n">
        <v>318000</v>
      </c>
      <c r="F2327" s="47" t="n">
        <v>74632</v>
      </c>
    </row>
    <row r="2328" customFormat="false" ht="15" hidden="false" customHeight="false" outlineLevel="0" collapsed="false">
      <c r="A2328" s="0" t="s">
        <v>748</v>
      </c>
      <c r="B2328" s="0" t="n">
        <v>300</v>
      </c>
      <c r="C2328" s="0" t="str">
        <f aca="false">TEXT(VLOOKUP(B2328,$I$2:$J$20,2,FALSE()),"0")</f>
        <v>300</v>
      </c>
      <c r="D2328" s="47" t="n">
        <v>180</v>
      </c>
      <c r="E2328" s="47" t="n">
        <v>28620000</v>
      </c>
      <c r="F2328" s="47" t="n">
        <v>6716880</v>
      </c>
    </row>
    <row r="2329" customFormat="false" ht="15" hidden="false" customHeight="false" outlineLevel="0" collapsed="false">
      <c r="A2329" s="0" t="s">
        <v>1226</v>
      </c>
      <c r="B2329" s="0" t="n">
        <v>200</v>
      </c>
      <c r="C2329" s="0" t="str">
        <f aca="false">TEXT(VLOOKUP(B2329,$I$2:$J$20,2,FALSE()),"0")</f>
        <v>200</v>
      </c>
      <c r="D2329" s="47" t="n">
        <v>385</v>
      </c>
      <c r="E2329" s="47" t="n">
        <v>38115000</v>
      </c>
      <c r="F2329" s="47" t="n">
        <v>10396155</v>
      </c>
    </row>
    <row r="2330" customFormat="false" ht="15" hidden="false" customHeight="false" outlineLevel="0" collapsed="false">
      <c r="A2330" s="0" t="s">
        <v>1226</v>
      </c>
      <c r="B2330" s="0" t="n">
        <v>299</v>
      </c>
      <c r="C2330" s="0" t="str">
        <f aca="false">TEXT(VLOOKUP(B2330,$I$2:$J$20,2,FALSE()),"0")</f>
        <v>200</v>
      </c>
      <c r="D2330" s="47" t="n">
        <v>2</v>
      </c>
      <c r="E2330" s="47" t="n">
        <v>198000</v>
      </c>
      <c r="F2330" s="47" t="n">
        <v>54006</v>
      </c>
    </row>
    <row r="2331" customFormat="false" ht="15" hidden="false" customHeight="false" outlineLevel="0" collapsed="false">
      <c r="A2331" s="0" t="s">
        <v>1228</v>
      </c>
      <c r="B2331" s="0" t="n">
        <v>200</v>
      </c>
      <c r="C2331" s="0" t="str">
        <f aca="false">TEXT(VLOOKUP(B2331,$I$2:$J$20,2,FALSE()),"0")</f>
        <v>200</v>
      </c>
      <c r="D2331" s="47" t="n">
        <v>330</v>
      </c>
      <c r="E2331" s="47" t="n">
        <v>42570000</v>
      </c>
      <c r="F2331" s="47" t="n">
        <v>11284350</v>
      </c>
    </row>
    <row r="2332" customFormat="false" ht="15" hidden="false" customHeight="false" outlineLevel="0" collapsed="false">
      <c r="A2332" s="0" t="s">
        <v>1228</v>
      </c>
      <c r="B2332" s="0" t="n">
        <v>299</v>
      </c>
      <c r="C2332" s="0" t="str">
        <f aca="false">TEXT(VLOOKUP(B2332,$I$2:$J$20,2,FALSE()),"0")</f>
        <v>200</v>
      </c>
      <c r="D2332" s="47" t="n">
        <v>2</v>
      </c>
      <c r="E2332" s="47" t="n">
        <v>258000</v>
      </c>
      <c r="F2332" s="47" t="n">
        <v>68390</v>
      </c>
    </row>
    <row r="2333" customFormat="false" ht="15" hidden="false" customHeight="false" outlineLevel="0" collapsed="false">
      <c r="A2333" s="0" t="s">
        <v>1742</v>
      </c>
      <c r="B2333" s="0" t="n">
        <v>810</v>
      </c>
      <c r="C2333" s="0" t="str">
        <f aca="false">TEXT(VLOOKUP(B2333,$I$2:$J$20,2,FALSE()),"0")</f>
        <v>810</v>
      </c>
      <c r="D2333" s="47" t="n">
        <v>216</v>
      </c>
      <c r="E2333" s="47" t="n">
        <v>4104000</v>
      </c>
      <c r="F2333" s="47" t="n">
        <v>993600</v>
      </c>
    </row>
    <row r="2334" customFormat="false" ht="15" hidden="false" customHeight="false" outlineLevel="0" collapsed="false">
      <c r="A2334" s="0" t="s">
        <v>1455</v>
      </c>
      <c r="B2334" s="0" t="n">
        <v>800</v>
      </c>
      <c r="C2334" s="0" t="str">
        <f aca="false">TEXT(VLOOKUP(B2334,$I$2:$J$20,2,FALSE()),"0")</f>
        <v>800</v>
      </c>
      <c r="D2334" s="47" t="n">
        <v>30</v>
      </c>
      <c r="E2334" s="47" t="n">
        <v>2670000</v>
      </c>
      <c r="F2334" s="47" t="n">
        <v>660000</v>
      </c>
    </row>
    <row r="2335" customFormat="false" ht="15" hidden="false" customHeight="false" outlineLevel="0" collapsed="false">
      <c r="A2335" s="0" t="s">
        <v>750</v>
      </c>
      <c r="B2335" s="0" t="n">
        <v>300</v>
      </c>
      <c r="C2335" s="0" t="str">
        <f aca="false">TEXT(VLOOKUP(B2335,$I$2:$J$20,2,FALSE()),"0")</f>
        <v>300</v>
      </c>
      <c r="D2335" s="47" t="n">
        <v>300</v>
      </c>
      <c r="E2335" s="47" t="n">
        <v>44700000</v>
      </c>
      <c r="F2335" s="47" t="n">
        <v>9600000</v>
      </c>
    </row>
    <row r="2336" customFormat="false" ht="15" hidden="false" customHeight="false" outlineLevel="0" collapsed="false">
      <c r="A2336" s="0" t="s">
        <v>752</v>
      </c>
      <c r="B2336" s="0" t="n">
        <v>300</v>
      </c>
      <c r="C2336" s="0" t="str">
        <f aca="false">TEXT(VLOOKUP(B2336,$I$2:$J$20,2,FALSE()),"0")</f>
        <v>300</v>
      </c>
      <c r="D2336" s="47" t="n">
        <v>400</v>
      </c>
      <c r="E2336" s="47" t="n">
        <v>63600000</v>
      </c>
      <c r="F2336" s="47" t="n">
        <v>12800000</v>
      </c>
    </row>
    <row r="2337" customFormat="false" ht="15" hidden="false" customHeight="false" outlineLevel="0" collapsed="false">
      <c r="A2337" s="0" t="s">
        <v>752</v>
      </c>
      <c r="B2337" s="0" t="n">
        <v>301</v>
      </c>
      <c r="C2337" s="0" t="str">
        <f aca="false">TEXT(VLOOKUP(B2337,$I$2:$J$20,2,FALSE()),"0")</f>
        <v>300</v>
      </c>
      <c r="D2337" s="47" t="n">
        <v>3880</v>
      </c>
      <c r="E2337" s="47" t="n">
        <v>616920000</v>
      </c>
      <c r="F2337" s="47" t="n">
        <v>124160000</v>
      </c>
    </row>
    <row r="2338" customFormat="false" ht="15" hidden="false" customHeight="false" outlineLevel="0" collapsed="false">
      <c r="A2338" s="0" t="s">
        <v>754</v>
      </c>
      <c r="B2338" s="0" t="n">
        <v>300</v>
      </c>
      <c r="C2338" s="0" t="str">
        <f aca="false">TEXT(VLOOKUP(B2338,$I$2:$J$20,2,FALSE()),"0")</f>
        <v>300</v>
      </c>
      <c r="D2338" s="47" t="n">
        <v>200</v>
      </c>
      <c r="E2338" s="47" t="n">
        <v>29800000</v>
      </c>
      <c r="F2338" s="47" t="n">
        <v>6400000</v>
      </c>
    </row>
    <row r="2339" customFormat="false" ht="15" hidden="false" customHeight="false" outlineLevel="0" collapsed="false">
      <c r="A2339" s="0" t="s">
        <v>756</v>
      </c>
      <c r="B2339" s="0" t="n">
        <v>300</v>
      </c>
      <c r="C2339" s="0" t="str">
        <f aca="false">TEXT(VLOOKUP(B2339,$I$2:$J$20,2,FALSE()),"0")</f>
        <v>300</v>
      </c>
      <c r="D2339" s="47" t="n">
        <v>200</v>
      </c>
      <c r="E2339" s="47" t="n">
        <v>29800000</v>
      </c>
      <c r="F2339" s="47" t="n">
        <v>6400000</v>
      </c>
    </row>
    <row r="2340" customFormat="false" ht="15" hidden="false" customHeight="false" outlineLevel="0" collapsed="false">
      <c r="A2340" s="0" t="s">
        <v>758</v>
      </c>
      <c r="B2340" s="0" t="n">
        <v>300</v>
      </c>
      <c r="C2340" s="0" t="str">
        <f aca="false">TEXT(VLOOKUP(B2340,$I$2:$J$20,2,FALSE()),"0")</f>
        <v>300</v>
      </c>
      <c r="D2340" s="47" t="n">
        <v>200</v>
      </c>
      <c r="E2340" s="47" t="n">
        <v>31800000</v>
      </c>
      <c r="F2340" s="47" t="n">
        <v>6400000</v>
      </c>
    </row>
    <row r="2341" customFormat="false" ht="15" hidden="false" customHeight="false" outlineLevel="0" collapsed="false">
      <c r="A2341" s="0" t="s">
        <v>760</v>
      </c>
      <c r="B2341" s="0" t="n">
        <v>300</v>
      </c>
      <c r="C2341" s="0" t="str">
        <f aca="false">TEXT(VLOOKUP(B2341,$I$2:$J$20,2,FALSE()),"0")</f>
        <v>300</v>
      </c>
      <c r="D2341" s="47" t="n">
        <v>200</v>
      </c>
      <c r="E2341" s="47" t="n">
        <v>33800000</v>
      </c>
      <c r="F2341" s="47" t="n">
        <v>7000000</v>
      </c>
    </row>
    <row r="2342" customFormat="false" ht="15" hidden="false" customHeight="false" outlineLevel="0" collapsed="false">
      <c r="A2342" s="0" t="s">
        <v>1743</v>
      </c>
      <c r="B2342" s="0" t="n">
        <v>810</v>
      </c>
      <c r="C2342" s="0" t="str">
        <f aca="false">TEXT(VLOOKUP(B2342,$I$2:$J$20,2,FALSE()),"0")</f>
        <v>810</v>
      </c>
      <c r="D2342" s="47" t="n">
        <v>402</v>
      </c>
      <c r="E2342" s="47" t="n">
        <v>35778000</v>
      </c>
      <c r="F2342" s="47" t="n">
        <v>8844000</v>
      </c>
    </row>
    <row r="2343" customFormat="false" ht="15" hidden="false" customHeight="false" outlineLevel="0" collapsed="false">
      <c r="A2343" s="0" t="s">
        <v>1744</v>
      </c>
      <c r="B2343" s="0" t="n">
        <v>810</v>
      </c>
      <c r="C2343" s="0" t="str">
        <f aca="false">TEXT(VLOOKUP(B2343,$I$2:$J$20,2,FALSE()),"0")</f>
        <v>810</v>
      </c>
      <c r="D2343" s="47" t="n">
        <v>408</v>
      </c>
      <c r="E2343" s="47" t="n">
        <v>28152000</v>
      </c>
      <c r="F2343" s="47" t="n">
        <v>5344800</v>
      </c>
    </row>
    <row r="2344" customFormat="false" ht="15" hidden="false" customHeight="false" outlineLevel="0" collapsed="false">
      <c r="A2344" s="0" t="s">
        <v>1745</v>
      </c>
      <c r="B2344" s="0" t="n">
        <v>810</v>
      </c>
      <c r="C2344" s="0" t="str">
        <f aca="false">TEXT(VLOOKUP(B2344,$I$2:$J$20,2,FALSE()),"0")</f>
        <v>810</v>
      </c>
      <c r="D2344" s="47" t="n">
        <v>312</v>
      </c>
      <c r="E2344" s="47" t="n">
        <v>18408000</v>
      </c>
      <c r="F2344" s="47" t="n">
        <v>4773600</v>
      </c>
    </row>
    <row r="2345" customFormat="false" ht="15" hidden="false" customHeight="false" outlineLevel="0" collapsed="false">
      <c r="A2345" s="0" t="s">
        <v>1746</v>
      </c>
      <c r="B2345" s="0" t="n">
        <v>810</v>
      </c>
      <c r="C2345" s="0" t="str">
        <f aca="false">TEXT(VLOOKUP(B2345,$I$2:$J$20,2,FALSE()),"0")</f>
        <v>810</v>
      </c>
      <c r="D2345" s="47" t="n">
        <v>504</v>
      </c>
      <c r="E2345" s="47" t="n">
        <v>24696000</v>
      </c>
      <c r="F2345" s="47" t="n">
        <v>5997600</v>
      </c>
    </row>
    <row r="2346" customFormat="false" ht="15" hidden="false" customHeight="false" outlineLevel="0" collapsed="false">
      <c r="A2346" s="0" t="s">
        <v>1747</v>
      </c>
      <c r="B2346" s="0" t="n">
        <v>600</v>
      </c>
      <c r="C2346" s="0" t="str">
        <f aca="false">TEXT(VLOOKUP(B2346,$I$2:$J$20,2,FALSE()),"0")</f>
        <v>600</v>
      </c>
      <c r="D2346" s="47" t="n">
        <v>1000</v>
      </c>
      <c r="E2346" s="47" t="n">
        <v>80000000</v>
      </c>
      <c r="F2346" s="47" t="n">
        <v>21400000</v>
      </c>
    </row>
    <row r="2347" customFormat="false" ht="15" hidden="false" customHeight="false" outlineLevel="0" collapsed="false">
      <c r="A2347" s="0" t="s">
        <v>1748</v>
      </c>
      <c r="B2347" s="0" t="n">
        <v>810</v>
      </c>
      <c r="C2347" s="0" t="str">
        <f aca="false">TEXT(VLOOKUP(B2347,$I$2:$J$20,2,FALSE()),"0")</f>
        <v>810</v>
      </c>
      <c r="D2347" s="47" t="n">
        <v>1005</v>
      </c>
      <c r="E2347" s="47" t="n">
        <v>39195000</v>
      </c>
      <c r="F2347" s="47" t="n">
        <v>12616770</v>
      </c>
    </row>
    <row r="2348" customFormat="false" ht="15" hidden="false" customHeight="false" outlineLevel="0" collapsed="false">
      <c r="A2348" s="0" t="s">
        <v>1485</v>
      </c>
      <c r="B2348" s="0" t="n">
        <v>810</v>
      </c>
      <c r="C2348" s="0" t="str">
        <f aca="false">TEXT(VLOOKUP(B2348,$I$2:$J$20,2,FALSE()),"0")</f>
        <v>810</v>
      </c>
      <c r="D2348" s="47" t="n">
        <v>1000</v>
      </c>
      <c r="E2348" s="47" t="n">
        <v>29000000</v>
      </c>
      <c r="F2348" s="47" t="n">
        <v>8488000</v>
      </c>
    </row>
    <row r="2349" customFormat="false" ht="15" hidden="false" customHeight="false" outlineLevel="0" collapsed="false">
      <c r="A2349" s="0" t="s">
        <v>1749</v>
      </c>
      <c r="B2349" s="0" t="n">
        <v>100</v>
      </c>
      <c r="C2349" s="0" t="str">
        <f aca="false">TEXT(VLOOKUP(B2349,$I$2:$J$20,2,FALSE()),"0")</f>
        <v>100</v>
      </c>
      <c r="D2349" s="47" t="n">
        <v>1000</v>
      </c>
      <c r="E2349" s="47" t="n">
        <v>50400000</v>
      </c>
      <c r="F2349" s="47" t="n">
        <v>9000000</v>
      </c>
    </row>
    <row r="2350" customFormat="false" ht="15" hidden="false" customHeight="false" outlineLevel="0" collapsed="false">
      <c r="A2350" s="0" t="s">
        <v>1230</v>
      </c>
      <c r="B2350" s="0" t="n">
        <v>200</v>
      </c>
      <c r="C2350" s="0" t="str">
        <f aca="false">TEXT(VLOOKUP(B2350,$I$2:$J$20,2,FALSE()),"0")</f>
        <v>200</v>
      </c>
      <c r="D2350" s="47" t="n">
        <v>855</v>
      </c>
      <c r="E2350" s="47" t="n">
        <v>41895000</v>
      </c>
      <c r="F2350" s="47" t="n">
        <v>12654000</v>
      </c>
    </row>
    <row r="2351" customFormat="false" ht="15" hidden="false" customHeight="false" outlineLevel="0" collapsed="false">
      <c r="A2351" s="0" t="s">
        <v>1230</v>
      </c>
      <c r="B2351" s="0" t="n">
        <v>201</v>
      </c>
      <c r="C2351" s="0" t="str">
        <f aca="false">TEXT(VLOOKUP(B2351,$I$2:$J$20,2,FALSE()),"0")</f>
        <v>200</v>
      </c>
      <c r="D2351" s="47" t="n">
        <v>520</v>
      </c>
      <c r="E2351" s="47" t="n">
        <v>25480000</v>
      </c>
      <c r="F2351" s="47" t="n">
        <v>7696000</v>
      </c>
    </row>
    <row r="2352" customFormat="false" ht="15" hidden="false" customHeight="false" outlineLevel="0" collapsed="false">
      <c r="A2352" s="0" t="s">
        <v>1230</v>
      </c>
      <c r="B2352" s="0" t="n">
        <v>299</v>
      </c>
      <c r="C2352" s="0" t="str">
        <f aca="false">TEXT(VLOOKUP(B2352,$I$2:$J$20,2,FALSE()),"0")</f>
        <v>200</v>
      </c>
      <c r="D2352" s="47" t="n">
        <v>4</v>
      </c>
      <c r="E2352" s="47" t="n">
        <v>196000</v>
      </c>
      <c r="F2352" s="47" t="n">
        <v>59200</v>
      </c>
    </row>
    <row r="2353" customFormat="false" ht="15" hidden="false" customHeight="false" outlineLevel="0" collapsed="false">
      <c r="A2353" s="0" t="s">
        <v>1231</v>
      </c>
      <c r="B2353" s="0" t="n">
        <v>200</v>
      </c>
      <c r="C2353" s="0" t="str">
        <f aca="false">TEXT(VLOOKUP(B2353,$I$2:$J$20,2,FALSE()),"0")</f>
        <v>200</v>
      </c>
      <c r="D2353" s="47" t="n">
        <v>570</v>
      </c>
      <c r="E2353" s="47" t="n">
        <v>27930000</v>
      </c>
      <c r="F2353" s="47" t="n">
        <v>7110750</v>
      </c>
    </row>
    <row r="2354" customFormat="false" ht="15" hidden="false" customHeight="false" outlineLevel="0" collapsed="false">
      <c r="A2354" s="0" t="s">
        <v>1231</v>
      </c>
      <c r="B2354" s="0" t="n">
        <v>201</v>
      </c>
      <c r="C2354" s="0" t="str">
        <f aca="false">TEXT(VLOOKUP(B2354,$I$2:$J$20,2,FALSE()),"0")</f>
        <v>200</v>
      </c>
      <c r="D2354" s="47" t="n">
        <v>130</v>
      </c>
      <c r="E2354" s="47" t="n">
        <v>6370000</v>
      </c>
      <c r="F2354" s="47" t="n">
        <v>1621750</v>
      </c>
    </row>
    <row r="2355" customFormat="false" ht="15" hidden="false" customHeight="false" outlineLevel="0" collapsed="false">
      <c r="A2355" s="0" t="s">
        <v>1231</v>
      </c>
      <c r="B2355" s="0" t="n">
        <v>299</v>
      </c>
      <c r="C2355" s="0" t="str">
        <f aca="false">TEXT(VLOOKUP(B2355,$I$2:$J$20,2,FALSE()),"0")</f>
        <v>200</v>
      </c>
      <c r="D2355" s="47" t="n">
        <v>3</v>
      </c>
      <c r="E2355" s="47" t="n">
        <v>147000</v>
      </c>
      <c r="F2355" s="47" t="n">
        <v>37425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2026-10-22T04:24:42Z</dcterms:created>
  <dc:creator>openpyxl</dc:creator>
  <dc:description/>
  <dc:language>ko-KR</dc:language>
  <cp:lastModifiedBy/>
  <dcterms:modified xsi:type="dcterms:W3CDTF">2026-10-22T07:25:40Z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